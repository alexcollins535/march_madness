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4483ebec2dab5e3/Desktop/My Stuff/Python Rough Drafts/march_madness/"/>
    </mc:Choice>
  </mc:AlternateContent>
  <xr:revisionPtr revIDLastSave="124" documentId="13_ncr:1_{B387BA1A-3200-473F-94E1-E77AFACE4539}" xr6:coauthVersionLast="47" xr6:coauthVersionMax="47" xr10:uidLastSave="{D8B645FD-6E7C-4E44-8731-2A07EC99576D}"/>
  <bookViews>
    <workbookView xWindow="-108" yWindow="-108" windowWidth="23256" windowHeight="13896" firstSheet="4" activeTab="4" xr2:uid="{00000000-000D-0000-FFFF-FFFF00000000}"/>
  </bookViews>
  <sheets>
    <sheet name="Overall 2024 Reference" sheetId="4" state="hidden" r:id="rId1"/>
    <sheet name="Raw 2024 Season" sheetId="2" state="hidden" r:id="rId2"/>
    <sheet name="mapping" sheetId="3" state="hidden" r:id="rId3"/>
    <sheet name="Structured 2023" sheetId="6" r:id="rId4"/>
    <sheet name="Structured 2024" sheetId="1" r:id="rId5"/>
    <sheet name="Structured 2025" sheetId="9" r:id="rId6"/>
    <sheet name="Sheet1" sheetId="11" state="hidden" r:id="rId7"/>
    <sheet name="Overall 2023 Reference" sheetId="5" state="hidden" r:id="rId8"/>
    <sheet name="Raw 2023 Season" sheetId="7" state="hidden" r:id="rId9"/>
    <sheet name="Overall 2025 Reference" sheetId="8" state="hidden" r:id="rId10"/>
    <sheet name="Raw 2025 Season" sheetId="10" state="hidden" r:id="rId11"/>
  </sheets>
  <externalReferences>
    <externalReference r:id="rId12"/>
  </externalReferences>
  <definedNames>
    <definedName name="headerRow" localSheetId="5">'Structured 2025'!$1:$1</definedName>
    <definedName name="headerRow">'Structured 2024'!$1:$1</definedName>
    <definedName name="headerRow2">'Structured 2023'!$1:$1</definedName>
    <definedName name="oppCol">'Structured 2025'!$C:$C</definedName>
    <definedName name="oppCol23">'Structured 2023'!$C:$C</definedName>
    <definedName name="oppCol24">'Structured 2024'!$C:$C</definedName>
    <definedName name="ovrHeaderRow">'Overall 2024 Reference'!$1:$1</definedName>
    <definedName name="ovrHeaderRow2">'Overall 2023 Reference'!$1:$1</definedName>
    <definedName name="ovrHeaderRow25">'Overall 2025 Reference'!$1:$1</definedName>
    <definedName name="ovrTable">'Overall 2024 Reference'!$A$1:$AH$69</definedName>
    <definedName name="ovrTable2">'Overall 2023 Reference'!$A$1:$AJ$69</definedName>
    <definedName name="ovrTable25">'Overall 2025 Reference'!$A$1:$AH$69</definedName>
    <definedName name="ovrTeamCol">'Overall 2024 Reference'!$A:$A</definedName>
    <definedName name="ovrTeamCol2">'Overall 2023 Reference'!$A:$A</definedName>
    <definedName name="ovrTeamCol25">'Overall 2025 Reference'!$A:$A</definedName>
    <definedName name="rawLookup">'Raw 2024 Season'!$B:$B</definedName>
    <definedName name="rawLookup2">'Raw 2023 Season'!$B:$B</definedName>
    <definedName name="rawLookup25">'Raw 2025 Season'!$B:$B</definedName>
    <definedName name="rawTeamCol">'Raw 2024 Season'!$E:$E</definedName>
    <definedName name="rawTeamCol2">'Raw 2023 Season'!$E:$E</definedName>
    <definedName name="rawTeamCol25">'Raw 2025 Season'!$E:$E</definedName>
    <definedName name="rawValue">'Raw 2024 Season'!$H:$H</definedName>
    <definedName name="rawValue2">'Raw 2023 Season'!$H:$H</definedName>
    <definedName name="rawValue25">'Raw 2025 Season'!$H:$H</definedName>
    <definedName name="statAbbr">mapping!$H:$H</definedName>
    <definedName name="statID">mapping!$J:$J</definedName>
    <definedName name="statOfficial">mapping!$I:$I</definedName>
    <definedName name="statsNames">[1]mapping!$K:$L</definedName>
    <definedName name="teamCol" localSheetId="5">'Structured 2025'!$A:$A</definedName>
    <definedName name="teamCol">'Structured 2024'!$A:$A</definedName>
    <definedName name="teamCol2">'Structured 2023'!$A:$A</definedName>
    <definedName name="teamID">mapping!$D:$D</definedName>
    <definedName name="teamINI">mapping!$E:$E</definedName>
    <definedName name="teamRawName">mapping!$B:$B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3" i="1" l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BL2" i="1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I34" i="9" s="1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I48" i="9" s="1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I67" i="9" s="1"/>
  <c r="AH67" i="9"/>
  <c r="AH68" i="9"/>
  <c r="AH69" i="9"/>
  <c r="AH70" i="9"/>
  <c r="AH71" i="9"/>
  <c r="AH72" i="9"/>
  <c r="AI72" i="9" s="1"/>
  <c r="AH73" i="9"/>
  <c r="AH74" i="9"/>
  <c r="AH75" i="9"/>
  <c r="AH76" i="9"/>
  <c r="AH77" i="9"/>
  <c r="AH78" i="9"/>
  <c r="AH79" i="9"/>
  <c r="AH80" i="9"/>
  <c r="AH81" i="9"/>
  <c r="AH82" i="9"/>
  <c r="AI82" i="9" s="1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I99" i="9" s="1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19" i="9"/>
  <c r="AH120" i="9"/>
  <c r="AH121" i="9"/>
  <c r="AH122" i="9"/>
  <c r="AH123" i="9"/>
  <c r="AH124" i="9"/>
  <c r="AH125" i="9"/>
  <c r="AH126" i="9"/>
  <c r="AH127" i="9"/>
  <c r="AH128" i="9"/>
  <c r="AH129" i="9"/>
  <c r="AH130" i="9"/>
  <c r="AH131" i="9"/>
  <c r="AH132" i="9"/>
  <c r="AH133" i="9"/>
  <c r="AH134" i="9"/>
  <c r="AH135" i="9"/>
  <c r="AH2" i="9"/>
  <c r="AG131" i="6"/>
  <c r="AG130" i="6"/>
  <c r="AG129" i="6"/>
  <c r="AG128" i="6"/>
  <c r="AG127" i="6"/>
  <c r="AG126" i="6"/>
  <c r="AG125" i="6"/>
  <c r="AG124" i="6"/>
  <c r="AG123" i="6"/>
  <c r="AG122" i="6"/>
  <c r="AG121" i="6"/>
  <c r="AG120" i="6"/>
  <c r="AG115" i="6"/>
  <c r="AG114" i="6"/>
  <c r="AG113" i="6"/>
  <c r="AG112" i="6"/>
  <c r="AG111" i="6"/>
  <c r="AG110" i="6"/>
  <c r="AG109" i="6"/>
  <c r="AG108" i="6"/>
  <c r="AG107" i="6"/>
  <c r="AG106" i="6"/>
  <c r="AG105" i="6"/>
  <c r="AG104" i="6"/>
  <c r="AG99" i="6"/>
  <c r="AG98" i="6"/>
  <c r="AG97" i="6"/>
  <c r="AG96" i="6"/>
  <c r="AG95" i="6"/>
  <c r="AG94" i="6"/>
  <c r="AG93" i="6"/>
  <c r="AG92" i="6"/>
  <c r="AG91" i="6"/>
  <c r="AG90" i="6"/>
  <c r="AG89" i="6"/>
  <c r="AG88" i="6"/>
  <c r="AG83" i="6"/>
  <c r="AG82" i="6"/>
  <c r="AG81" i="6"/>
  <c r="AG80" i="6"/>
  <c r="AG79" i="6"/>
  <c r="AG78" i="6"/>
  <c r="AG77" i="6"/>
  <c r="AG76" i="6"/>
  <c r="AG75" i="6"/>
  <c r="AG74" i="6"/>
  <c r="AG73" i="6"/>
  <c r="AG72" i="6"/>
  <c r="AG67" i="6"/>
  <c r="AG66" i="6"/>
  <c r="AG65" i="6"/>
  <c r="AG64" i="6"/>
  <c r="AG63" i="6"/>
  <c r="AG62" i="6"/>
  <c r="AG61" i="6"/>
  <c r="AG60" i="6"/>
  <c r="AG59" i="6"/>
  <c r="AG58" i="6"/>
  <c r="AG57" i="6"/>
  <c r="AG56" i="6"/>
  <c r="AG51" i="6"/>
  <c r="AG50" i="6"/>
  <c r="AG49" i="6"/>
  <c r="AG48" i="6"/>
  <c r="AG47" i="6"/>
  <c r="AG46" i="6"/>
  <c r="AG45" i="6"/>
  <c r="AG44" i="6"/>
  <c r="AG43" i="6"/>
  <c r="AG42" i="6"/>
  <c r="AG41" i="6"/>
  <c r="AG40" i="6"/>
  <c r="AG35" i="6"/>
  <c r="AG34" i="6"/>
  <c r="AG33" i="6"/>
  <c r="AG32" i="6"/>
  <c r="AG31" i="6"/>
  <c r="AG30" i="6"/>
  <c r="AG29" i="6"/>
  <c r="AG28" i="6"/>
  <c r="AG27" i="6"/>
  <c r="AG26" i="6"/>
  <c r="AG25" i="6"/>
  <c r="AG24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3" i="6"/>
  <c r="AG2" i="6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2" i="1"/>
  <c r="AG3" i="1"/>
  <c r="AF135" i="6"/>
  <c r="AF134" i="6"/>
  <c r="AG135" i="6" s="1"/>
  <c r="AF133" i="6"/>
  <c r="AF132" i="6"/>
  <c r="AG133" i="6" s="1"/>
  <c r="AF131" i="6"/>
  <c r="AF130" i="6"/>
  <c r="AF129" i="6"/>
  <c r="AF128" i="6"/>
  <c r="AF127" i="6"/>
  <c r="AF126" i="6"/>
  <c r="AF125" i="6"/>
  <c r="AF124" i="6"/>
  <c r="AF123" i="6"/>
  <c r="AF122" i="6"/>
  <c r="AF121" i="6"/>
  <c r="AF120" i="6"/>
  <c r="AF119" i="6"/>
  <c r="AF118" i="6"/>
  <c r="AG119" i="6" s="1"/>
  <c r="AF117" i="6"/>
  <c r="AF116" i="6"/>
  <c r="AG117" i="6" s="1"/>
  <c r="AF115" i="6"/>
  <c r="AF114" i="6"/>
  <c r="AF113" i="6"/>
  <c r="AF112" i="6"/>
  <c r="AF111" i="6"/>
  <c r="AF110" i="6"/>
  <c r="AF109" i="6"/>
  <c r="AF108" i="6"/>
  <c r="AF107" i="6"/>
  <c r="AF106" i="6"/>
  <c r="AF105" i="6"/>
  <c r="AF104" i="6"/>
  <c r="AF103" i="6"/>
  <c r="AF102" i="6"/>
  <c r="AG103" i="6" s="1"/>
  <c r="AF101" i="6"/>
  <c r="AF100" i="6"/>
  <c r="AG101" i="6" s="1"/>
  <c r="AF99" i="6"/>
  <c r="AF98" i="6"/>
  <c r="AF97" i="6"/>
  <c r="AF96" i="6"/>
  <c r="AF95" i="6"/>
  <c r="AF94" i="6"/>
  <c r="AF93" i="6"/>
  <c r="AF92" i="6"/>
  <c r="AF91" i="6"/>
  <c r="AF90" i="6"/>
  <c r="AF89" i="6"/>
  <c r="AF88" i="6"/>
  <c r="AF87" i="6"/>
  <c r="AF86" i="6"/>
  <c r="AG87" i="6" s="1"/>
  <c r="AF85" i="6"/>
  <c r="AF84" i="6"/>
  <c r="AG85" i="6" s="1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G71" i="6" s="1"/>
  <c r="AF69" i="6"/>
  <c r="AF68" i="6"/>
  <c r="AG69" i="6" s="1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G55" i="6" s="1"/>
  <c r="AF53" i="6"/>
  <c r="AF52" i="6"/>
  <c r="AG53" i="6" s="1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G39" i="6" s="1"/>
  <c r="AF37" i="6"/>
  <c r="AF36" i="6"/>
  <c r="AG37" i="6" s="1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AG23" i="6" s="1"/>
  <c r="AF21" i="6"/>
  <c r="AF20" i="6"/>
  <c r="AG21" i="6" s="1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G7" i="6" s="1"/>
  <c r="AF5" i="6"/>
  <c r="AF4" i="6"/>
  <c r="AG5" i="6" s="1"/>
  <c r="AF3" i="6"/>
  <c r="AF2" i="6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2" i="1"/>
  <c r="AI88" i="9"/>
  <c r="AI91" i="9"/>
  <c r="AI104" i="9"/>
  <c r="AI107" i="9"/>
  <c r="AI2" i="9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BL1" i="1"/>
  <c r="AI1" i="1"/>
  <c r="AI11" i="1" s="1"/>
  <c r="AJ1" i="1"/>
  <c r="AJ43" i="1" s="1"/>
  <c r="AK1" i="1"/>
  <c r="AL1" i="1"/>
  <c r="AM1" i="1"/>
  <c r="AN1" i="1"/>
  <c r="AO1" i="1"/>
  <c r="AP1" i="1"/>
  <c r="AP11" i="1" s="1"/>
  <c r="AQ1" i="1"/>
  <c r="AQ135" i="1" s="1"/>
  <c r="AR1" i="1"/>
  <c r="AR45" i="1" s="1"/>
  <c r="AS1" i="1"/>
  <c r="AS103" i="1" s="1"/>
  <c r="AT1" i="1"/>
  <c r="AT18" i="1" s="1"/>
  <c r="AU1" i="1"/>
  <c r="AV1" i="1"/>
  <c r="AV120" i="1" s="1"/>
  <c r="AW1" i="1"/>
  <c r="AW51" i="1" s="1"/>
  <c r="AX1" i="1"/>
  <c r="AX31" i="1" s="1"/>
  <c r="AY1" i="1"/>
  <c r="AY119" i="1" s="1"/>
  <c r="AZ1" i="1"/>
  <c r="AZ124" i="1" s="1"/>
  <c r="BA1" i="1"/>
  <c r="BA127" i="1" s="1"/>
  <c r="BB1" i="1"/>
  <c r="BB66" i="1" s="1"/>
  <c r="BC1" i="1"/>
  <c r="BC95" i="1" s="1"/>
  <c r="BD1" i="1"/>
  <c r="BE1" i="1"/>
  <c r="BE95" i="1" s="1"/>
  <c r="BF1" i="1"/>
  <c r="BF113" i="1" s="1"/>
  <c r="BG1" i="1"/>
  <c r="BG39" i="1" s="1"/>
  <c r="BH1" i="1"/>
  <c r="BH88" i="1" s="1"/>
  <c r="BI1" i="1"/>
  <c r="BI62" i="1" s="1"/>
  <c r="BJ1" i="1"/>
  <c r="BJ57" i="1" s="1"/>
  <c r="BK1" i="1"/>
  <c r="BK111" i="1" s="1"/>
  <c r="AH1" i="1"/>
  <c r="AH10" i="1" s="1"/>
  <c r="AY73" i="6"/>
  <c r="AZ73" i="6"/>
  <c r="BA73" i="6"/>
  <c r="BV91" i="6"/>
  <c r="AT92" i="6"/>
  <c r="AI97" i="6"/>
  <c r="CE108" i="6"/>
  <c r="AY2" i="6"/>
  <c r="BM1" i="6"/>
  <c r="BM77" i="6" s="1"/>
  <c r="BN1" i="6"/>
  <c r="BN121" i="6" s="1"/>
  <c r="BO1" i="6"/>
  <c r="BO85" i="6" s="1"/>
  <c r="BP1" i="6"/>
  <c r="BP103" i="6" s="1"/>
  <c r="BQ1" i="6"/>
  <c r="BQ118" i="6" s="1"/>
  <c r="BR1" i="6"/>
  <c r="BS1" i="6"/>
  <c r="BT1" i="6"/>
  <c r="BU1" i="6"/>
  <c r="BU108" i="6" s="1"/>
  <c r="BV1" i="6"/>
  <c r="BV42" i="6" s="1"/>
  <c r="BW1" i="6"/>
  <c r="BW126" i="6" s="1"/>
  <c r="BX1" i="6"/>
  <c r="BX89" i="6" s="1"/>
  <c r="BY1" i="6"/>
  <c r="BY64" i="6" s="1"/>
  <c r="BZ1" i="6"/>
  <c r="BZ74" i="6" s="1"/>
  <c r="CA1" i="6"/>
  <c r="CA115" i="6" s="1"/>
  <c r="CB1" i="6"/>
  <c r="CB90" i="6" s="1"/>
  <c r="CC1" i="6"/>
  <c r="CC98" i="6" s="1"/>
  <c r="CD1" i="6"/>
  <c r="CD28" i="6" s="1"/>
  <c r="CE1" i="6"/>
  <c r="CE36" i="6" s="1"/>
  <c r="CF1" i="6"/>
  <c r="CF115" i="6" s="1"/>
  <c r="CG1" i="6"/>
  <c r="CG76" i="6" s="1"/>
  <c r="CH1" i="6"/>
  <c r="CH115" i="6" s="1"/>
  <c r="CI1" i="6"/>
  <c r="CJ1" i="6"/>
  <c r="CJ108" i="6" s="1"/>
  <c r="CK1" i="6"/>
  <c r="CK6" i="6" s="1"/>
  <c r="CL1" i="6"/>
  <c r="CL63" i="6" s="1"/>
  <c r="CM1" i="6"/>
  <c r="CM87" i="6" s="1"/>
  <c r="CN1" i="6"/>
  <c r="CN23" i="6" s="1"/>
  <c r="CO1" i="6"/>
  <c r="CO116" i="6" s="1"/>
  <c r="BL1" i="6"/>
  <c r="BL85" i="6" s="1"/>
  <c r="AI1" i="6"/>
  <c r="AI117" i="6" s="1"/>
  <c r="AJ1" i="6"/>
  <c r="AJ89" i="6" s="1"/>
  <c r="AK1" i="6"/>
  <c r="AK2" i="6" s="1"/>
  <c r="AL1" i="6"/>
  <c r="AL41" i="6" s="1"/>
  <c r="AM1" i="6"/>
  <c r="AM67" i="6" s="1"/>
  <c r="AN1" i="6"/>
  <c r="AN129" i="6" s="1"/>
  <c r="AO1" i="6"/>
  <c r="AO61" i="6" s="1"/>
  <c r="AP1" i="6"/>
  <c r="AQ1" i="6"/>
  <c r="AQ79" i="6" s="1"/>
  <c r="AR1" i="6"/>
  <c r="AR89" i="6" s="1"/>
  <c r="AS1" i="6"/>
  <c r="AS133" i="6" s="1"/>
  <c r="AT1" i="6"/>
  <c r="AT78" i="6" s="1"/>
  <c r="AU1" i="6"/>
  <c r="AU78" i="6" s="1"/>
  <c r="AV1" i="6"/>
  <c r="AV99" i="6" s="1"/>
  <c r="AW1" i="6"/>
  <c r="AX1" i="6"/>
  <c r="AX66" i="6" s="1"/>
  <c r="AY1" i="6"/>
  <c r="AY65" i="6" s="1"/>
  <c r="AZ1" i="6"/>
  <c r="AZ108" i="6" s="1"/>
  <c r="BA1" i="6"/>
  <c r="BA41" i="6" s="1"/>
  <c r="BB1" i="6"/>
  <c r="BB130" i="6" s="1"/>
  <c r="BC1" i="6"/>
  <c r="BC66" i="6" s="1"/>
  <c r="BD1" i="6"/>
  <c r="BD73" i="6" s="1"/>
  <c r="BE1" i="6"/>
  <c r="BE95" i="6" s="1"/>
  <c r="BF1" i="6"/>
  <c r="BG1" i="6"/>
  <c r="BH1" i="6"/>
  <c r="BH83" i="6" s="1"/>
  <c r="BI1" i="6"/>
  <c r="BI131" i="6" s="1"/>
  <c r="BJ1" i="6"/>
  <c r="BJ107" i="6" s="1"/>
  <c r="BK1" i="6"/>
  <c r="BK42" i="6" s="1"/>
  <c r="AH1" i="6"/>
  <c r="AH93" i="6" s="1"/>
  <c r="CO1" i="9"/>
  <c r="CP1" i="9"/>
  <c r="CQ1" i="9"/>
  <c r="BO1" i="9"/>
  <c r="BP1" i="9"/>
  <c r="BQ1" i="9"/>
  <c r="BR1" i="9"/>
  <c r="BS1" i="9"/>
  <c r="BT1" i="9"/>
  <c r="BU1" i="9"/>
  <c r="BV1" i="9"/>
  <c r="BW1" i="9"/>
  <c r="BX1" i="9"/>
  <c r="BY1" i="9"/>
  <c r="BZ1" i="9"/>
  <c r="CA1" i="9"/>
  <c r="CB1" i="9"/>
  <c r="CC1" i="9"/>
  <c r="CD1" i="9"/>
  <c r="CE1" i="9"/>
  <c r="CF1" i="9"/>
  <c r="CG1" i="9"/>
  <c r="CH1" i="9"/>
  <c r="CI1" i="9"/>
  <c r="CJ1" i="9"/>
  <c r="CK1" i="9"/>
  <c r="CL1" i="9"/>
  <c r="CM1" i="9"/>
  <c r="CN1" i="9"/>
  <c r="BN1" i="9"/>
  <c r="AJ1" i="9"/>
  <c r="AJ43" i="9" s="1"/>
  <c r="AK1" i="9"/>
  <c r="AK30" i="9" s="1"/>
  <c r="AL1" i="9"/>
  <c r="AL134" i="9" s="1"/>
  <c r="AM1" i="9"/>
  <c r="AM134" i="9" s="1"/>
  <c r="AN1" i="9"/>
  <c r="AN114" i="9" s="1"/>
  <c r="AO1" i="9"/>
  <c r="AO53" i="9" s="1"/>
  <c r="AP1" i="9"/>
  <c r="AP122" i="9" s="1"/>
  <c r="AQ1" i="9"/>
  <c r="AQ101" i="9" s="1"/>
  <c r="AR1" i="9"/>
  <c r="AS1" i="9"/>
  <c r="AS65" i="9" s="1"/>
  <c r="AT1" i="9"/>
  <c r="AT117" i="9" s="1"/>
  <c r="AU1" i="9"/>
  <c r="AV1" i="9"/>
  <c r="AW1" i="9"/>
  <c r="AW65" i="9" s="1"/>
  <c r="AX1" i="9"/>
  <c r="AX124" i="9" s="1"/>
  <c r="AY1" i="9"/>
  <c r="AZ1" i="9"/>
  <c r="AZ5" i="9" s="1"/>
  <c r="BA1" i="9"/>
  <c r="BA108" i="9" s="1"/>
  <c r="BB1" i="9"/>
  <c r="BB71" i="9" s="1"/>
  <c r="BC1" i="9"/>
  <c r="BC22" i="9" s="1"/>
  <c r="BD1" i="9"/>
  <c r="BD125" i="9" s="1"/>
  <c r="BE1" i="9"/>
  <c r="BE97" i="9" s="1"/>
  <c r="BF1" i="9"/>
  <c r="BF8" i="9" s="1"/>
  <c r="BG1" i="9"/>
  <c r="BG128" i="9" s="1"/>
  <c r="BH1" i="9"/>
  <c r="BH107" i="9" s="1"/>
  <c r="BI1" i="9"/>
  <c r="BI78" i="9" s="1"/>
  <c r="BJ1" i="9"/>
  <c r="BJ115" i="9" s="1"/>
  <c r="BK1" i="9"/>
  <c r="BK133" i="9" s="1"/>
  <c r="BL1" i="9"/>
  <c r="BM1" i="9"/>
  <c r="BM109" i="9" s="1"/>
  <c r="AI120" i="9" l="1"/>
  <c r="AI24" i="9"/>
  <c r="AI8" i="9"/>
  <c r="AI19" i="9"/>
  <c r="AI31" i="9"/>
  <c r="AI56" i="9"/>
  <c r="AI127" i="9"/>
  <c r="AI111" i="9"/>
  <c r="AI94" i="9"/>
  <c r="AI79" i="9"/>
  <c r="AI63" i="9"/>
  <c r="AI47" i="9"/>
  <c r="AI15" i="9"/>
  <c r="AI58" i="9"/>
  <c r="AI42" i="9"/>
  <c r="AI40" i="9"/>
  <c r="AX125" i="9"/>
  <c r="AS117" i="9"/>
  <c r="AK85" i="9"/>
  <c r="AI128" i="9"/>
  <c r="AI112" i="9"/>
  <c r="AI96" i="9"/>
  <c r="AI80" i="9"/>
  <c r="AI64" i="9"/>
  <c r="AI32" i="9"/>
  <c r="AI16" i="9"/>
  <c r="AI122" i="9"/>
  <c r="AI74" i="9"/>
  <c r="AI26" i="9"/>
  <c r="AI11" i="9"/>
  <c r="AK71" i="9"/>
  <c r="AL62" i="9"/>
  <c r="AK62" i="9"/>
  <c r="AI115" i="9"/>
  <c r="AI50" i="9"/>
  <c r="AI130" i="9"/>
  <c r="AI109" i="9"/>
  <c r="AI93" i="9"/>
  <c r="AI77" i="9"/>
  <c r="AI61" i="9"/>
  <c r="AI45" i="9"/>
  <c r="AI29" i="9"/>
  <c r="AI12" i="9"/>
  <c r="AI125" i="9"/>
  <c r="AI13" i="9"/>
  <c r="AI95" i="9"/>
  <c r="AS64" i="9"/>
  <c r="AI14" i="9"/>
  <c r="AI60" i="9"/>
  <c r="AI62" i="9"/>
  <c r="AI108" i="9"/>
  <c r="BJ25" i="9"/>
  <c r="AI121" i="9"/>
  <c r="AI105" i="9"/>
  <c r="AI89" i="9"/>
  <c r="AI73" i="9"/>
  <c r="AI57" i="9"/>
  <c r="AI41" i="9"/>
  <c r="AI25" i="9"/>
  <c r="AI9" i="9"/>
  <c r="AI28" i="9"/>
  <c r="AI110" i="9"/>
  <c r="AI30" i="9"/>
  <c r="AI76" i="9"/>
  <c r="AI135" i="9"/>
  <c r="AI119" i="9"/>
  <c r="AI103" i="9"/>
  <c r="AI87" i="9"/>
  <c r="AI71" i="9"/>
  <c r="AI55" i="9"/>
  <c r="AI39" i="9"/>
  <c r="AI23" i="9"/>
  <c r="AI7" i="9"/>
  <c r="BA125" i="9"/>
  <c r="AI78" i="9"/>
  <c r="AI124" i="9"/>
  <c r="AI132" i="9"/>
  <c r="AI117" i="9"/>
  <c r="AI100" i="9"/>
  <c r="AI84" i="9"/>
  <c r="AI68" i="9"/>
  <c r="AI53" i="9"/>
  <c r="AI36" i="9"/>
  <c r="AI21" i="9"/>
  <c r="AI4" i="9"/>
  <c r="AI44" i="9"/>
  <c r="AI126" i="9"/>
  <c r="AK117" i="9"/>
  <c r="AX116" i="9"/>
  <c r="AI129" i="9"/>
  <c r="AI113" i="9"/>
  <c r="AI97" i="9"/>
  <c r="AI81" i="9"/>
  <c r="AI65" i="9"/>
  <c r="AI49" i="9"/>
  <c r="AI33" i="9"/>
  <c r="AI17" i="9"/>
  <c r="AI46" i="9"/>
  <c r="AI92" i="9"/>
  <c r="BA114" i="9"/>
  <c r="AG4" i="6"/>
  <c r="AG20" i="6"/>
  <c r="AG36" i="6"/>
  <c r="AG52" i="6"/>
  <c r="AG68" i="6"/>
  <c r="AG84" i="6"/>
  <c r="AG100" i="6"/>
  <c r="AG116" i="6"/>
  <c r="AG132" i="6"/>
  <c r="AG6" i="6"/>
  <c r="AG22" i="6"/>
  <c r="AG38" i="6"/>
  <c r="AG54" i="6"/>
  <c r="AG70" i="6"/>
  <c r="AG86" i="6"/>
  <c r="AG102" i="6"/>
  <c r="AG118" i="6"/>
  <c r="AG134" i="6"/>
  <c r="AI10" i="9"/>
  <c r="AI90" i="9"/>
  <c r="AI27" i="9"/>
  <c r="AI43" i="9"/>
  <c r="AI59" i="9"/>
  <c r="AI75" i="9"/>
  <c r="AI123" i="9"/>
  <c r="AM51" i="9"/>
  <c r="AL111" i="9"/>
  <c r="AK29" i="9"/>
  <c r="AN131" i="9"/>
  <c r="AM131" i="9"/>
  <c r="AI18" i="9"/>
  <c r="AI66" i="9"/>
  <c r="AI114" i="9"/>
  <c r="BA98" i="9"/>
  <c r="AI35" i="9"/>
  <c r="AI83" i="9"/>
  <c r="BA21" i="9"/>
  <c r="AI20" i="9"/>
  <c r="AI52" i="9"/>
  <c r="AI116" i="9"/>
  <c r="BF125" i="9"/>
  <c r="AO93" i="9"/>
  <c r="AK15" i="9"/>
  <c r="AI5" i="9"/>
  <c r="AI37" i="9"/>
  <c r="AI69" i="9"/>
  <c r="AI85" i="9"/>
  <c r="AI101" i="9"/>
  <c r="AI133" i="9"/>
  <c r="AI106" i="9"/>
  <c r="AP131" i="9"/>
  <c r="BA107" i="9"/>
  <c r="AM22" i="9"/>
  <c r="AI98" i="9"/>
  <c r="BE21" i="9"/>
  <c r="AI3" i="9"/>
  <c r="AI51" i="9"/>
  <c r="AI131" i="9"/>
  <c r="AK131" i="9"/>
  <c r="BA91" i="9"/>
  <c r="AK9" i="9"/>
  <c r="AI6" i="9"/>
  <c r="AI22" i="9"/>
  <c r="AI38" i="9"/>
  <c r="AI54" i="9"/>
  <c r="AI70" i="9"/>
  <c r="AI86" i="9"/>
  <c r="AI102" i="9"/>
  <c r="AI118" i="9"/>
  <c r="AI134" i="9"/>
  <c r="BB61" i="9"/>
  <c r="AK132" i="9"/>
  <c r="AM111" i="9"/>
  <c r="AL51" i="9"/>
  <c r="AO131" i="9"/>
  <c r="AK105" i="9"/>
  <c r="AK101" i="9"/>
  <c r="AL131" i="9"/>
  <c r="AQ93" i="9"/>
  <c r="BB125" i="9"/>
  <c r="BA85" i="9"/>
  <c r="BA8" i="9"/>
  <c r="AP97" i="1"/>
  <c r="BM100" i="9"/>
  <c r="BJ83" i="9"/>
  <c r="AW125" i="9"/>
  <c r="BA103" i="9"/>
  <c r="AW79" i="9"/>
  <c r="AK45" i="9"/>
  <c r="AW68" i="9"/>
  <c r="AT25" i="9"/>
  <c r="BK110" i="9"/>
  <c r="BM107" i="9"/>
  <c r="AN83" i="9"/>
  <c r="BM135" i="9"/>
  <c r="AK123" i="9"/>
  <c r="AK75" i="9"/>
  <c r="BB44" i="9"/>
  <c r="AW33" i="9"/>
  <c r="AP83" i="9"/>
  <c r="AO83" i="9"/>
  <c r="AK135" i="9"/>
  <c r="AK120" i="9"/>
  <c r="AP101" i="9"/>
  <c r="BF73" i="9"/>
  <c r="AW39" i="9"/>
  <c r="BM61" i="9"/>
  <c r="AT56" i="9"/>
  <c r="BK107" i="9"/>
  <c r="AW133" i="9"/>
  <c r="AP119" i="9"/>
  <c r="AO101" i="9"/>
  <c r="BE73" i="9"/>
  <c r="BF33" i="9"/>
  <c r="AS56" i="9"/>
  <c r="AO119" i="9"/>
  <c r="BE33" i="9"/>
  <c r="AW87" i="1"/>
  <c r="AQ125" i="1"/>
  <c r="AP70" i="1"/>
  <c r="AO133" i="6"/>
  <c r="AN133" i="6"/>
  <c r="BO125" i="6"/>
  <c r="CG63" i="6"/>
  <c r="BO133" i="6"/>
  <c r="AO62" i="6"/>
  <c r="BC59" i="6"/>
  <c r="BO40" i="6"/>
  <c r="CG115" i="6"/>
  <c r="CE115" i="6"/>
  <c r="AX128" i="1"/>
  <c r="AP113" i="1"/>
  <c r="AW50" i="1"/>
  <c r="AP109" i="1"/>
  <c r="AR60" i="1"/>
  <c r="AQ126" i="1"/>
  <c r="AX87" i="1"/>
  <c r="AR26" i="9"/>
  <c r="AR101" i="9"/>
  <c r="AR56" i="9"/>
  <c r="AR112" i="9"/>
  <c r="AR67" i="9"/>
  <c r="AR64" i="9"/>
  <c r="AP45" i="9"/>
  <c r="AR91" i="9"/>
  <c r="AP17" i="9"/>
  <c r="BD15" i="9"/>
  <c r="BD18" i="9"/>
  <c r="BD34" i="9"/>
  <c r="BD111" i="9"/>
  <c r="BD72" i="9"/>
  <c r="BD95" i="9"/>
  <c r="BD124" i="9"/>
  <c r="BD118" i="9"/>
  <c r="BD114" i="9"/>
  <c r="BD31" i="9"/>
  <c r="BD135" i="9"/>
  <c r="BD73" i="9"/>
  <c r="BD76" i="9"/>
  <c r="BD105" i="9"/>
  <c r="BD99" i="9"/>
  <c r="BD109" i="9"/>
  <c r="BD42" i="9"/>
  <c r="BD133" i="9"/>
  <c r="BD77" i="9"/>
  <c r="BD63" i="9"/>
  <c r="BD126" i="9"/>
  <c r="BD47" i="9"/>
  <c r="BD67" i="9"/>
  <c r="BD55" i="9"/>
  <c r="BD32" i="9"/>
  <c r="AO108" i="9"/>
  <c r="BE81" i="9"/>
  <c r="AN16" i="9"/>
  <c r="BF100" i="9"/>
  <c r="BF43" i="9"/>
  <c r="BB19" i="9"/>
  <c r="BB53" i="9"/>
  <c r="BB91" i="9"/>
  <c r="BB98" i="9"/>
  <c r="BB115" i="9"/>
  <c r="BB37" i="9"/>
  <c r="BB45" i="9"/>
  <c r="BB126" i="9"/>
  <c r="BB102" i="9"/>
  <c r="BB118" i="9"/>
  <c r="BB59" i="9"/>
  <c r="BB83" i="9"/>
  <c r="BB94" i="9"/>
  <c r="BB124" i="9"/>
  <c r="BB81" i="9"/>
  <c r="BB24" i="9"/>
  <c r="BB31" i="9"/>
  <c r="BB109" i="9"/>
  <c r="BB132" i="9"/>
  <c r="BB135" i="9"/>
  <c r="BF116" i="9"/>
  <c r="AO90" i="9"/>
  <c r="AP43" i="9"/>
  <c r="BD129" i="9"/>
  <c r="AN90" i="9"/>
  <c r="AO43" i="9"/>
  <c r="AO129" i="9"/>
  <c r="BB114" i="9"/>
  <c r="AO87" i="9"/>
  <c r="AO28" i="9"/>
  <c r="AM87" i="9"/>
  <c r="AM57" i="9"/>
  <c r="AO10" i="9"/>
  <c r="AN134" i="9"/>
  <c r="AP114" i="9"/>
  <c r="BF77" i="9"/>
  <c r="AP39" i="9"/>
  <c r="BF104" i="9"/>
  <c r="AL67" i="9"/>
  <c r="BF38" i="9"/>
  <c r="AR128" i="9"/>
  <c r="AP120" i="9"/>
  <c r="BD104" i="9"/>
  <c r="BG93" i="9"/>
  <c r="BE85" i="9"/>
  <c r="AP75" i="9"/>
  <c r="AP66" i="9"/>
  <c r="AP53" i="9"/>
  <c r="BE38" i="9"/>
  <c r="BE22" i="9"/>
  <c r="BG8" i="9"/>
  <c r="AO117" i="9"/>
  <c r="AN4" i="9"/>
  <c r="AN30" i="9"/>
  <c r="AN58" i="9"/>
  <c r="AN105" i="9"/>
  <c r="AN12" i="9"/>
  <c r="AN89" i="9"/>
  <c r="AN84" i="9"/>
  <c r="AN70" i="9"/>
  <c r="AN119" i="9"/>
  <c r="AN3" i="9"/>
  <c r="AN62" i="9"/>
  <c r="AN121" i="9"/>
  <c r="AN59" i="9"/>
  <c r="AN77" i="9"/>
  <c r="AN103" i="9"/>
  <c r="AN43" i="9"/>
  <c r="AN122" i="9"/>
  <c r="AN41" i="9"/>
  <c r="AN55" i="9"/>
  <c r="AN8" i="9"/>
  <c r="AN11" i="9"/>
  <c r="AN36" i="9"/>
  <c r="AN47" i="9"/>
  <c r="AN99" i="9"/>
  <c r="AN130" i="9"/>
  <c r="AN26" i="9"/>
  <c r="AN27" i="9"/>
  <c r="AN116" i="9"/>
  <c r="AN93" i="9"/>
  <c r="AN117" i="9"/>
  <c r="AM62" i="9"/>
  <c r="AM59" i="9"/>
  <c r="AM41" i="9"/>
  <c r="AM72" i="9"/>
  <c r="AM5" i="9"/>
  <c r="AM11" i="9"/>
  <c r="AM77" i="9"/>
  <c r="AM81" i="9"/>
  <c r="AM116" i="9"/>
  <c r="AM43" i="9"/>
  <c r="AM93" i="9"/>
  <c r="AM28" i="9"/>
  <c r="AM19" i="9"/>
  <c r="AM118" i="9"/>
  <c r="AM91" i="9"/>
  <c r="BF60" i="9"/>
  <c r="BF57" i="9"/>
  <c r="BD70" i="9"/>
  <c r="AP15" i="9"/>
  <c r="BE78" i="9"/>
  <c r="AP40" i="9"/>
  <c r="BF122" i="9"/>
  <c r="AN67" i="9"/>
  <c r="AN28" i="9"/>
  <c r="BD97" i="9"/>
  <c r="AO122" i="9"/>
  <c r="AM86" i="9"/>
  <c r="AL120" i="9"/>
  <c r="BG112" i="9"/>
  <c r="BF103" i="9"/>
  <c r="BF93" i="9"/>
  <c r="AO66" i="9"/>
  <c r="BD38" i="9"/>
  <c r="BD22" i="9"/>
  <c r="BH126" i="9"/>
  <c r="BH34" i="9"/>
  <c r="BH101" i="9"/>
  <c r="BH130" i="9"/>
  <c r="BH109" i="9"/>
  <c r="AQ83" i="9"/>
  <c r="AQ77" i="9"/>
  <c r="AQ67" i="9"/>
  <c r="AQ135" i="9"/>
  <c r="AQ64" i="9"/>
  <c r="AQ35" i="9"/>
  <c r="AQ48" i="9"/>
  <c r="BF40" i="9"/>
  <c r="BF71" i="9"/>
  <c r="BF75" i="9"/>
  <c r="BF79" i="9"/>
  <c r="BF120" i="9"/>
  <c r="BF123" i="9"/>
  <c r="BF72" i="9"/>
  <c r="BF37" i="9"/>
  <c r="BF109" i="9"/>
  <c r="BF127" i="9"/>
  <c r="BF55" i="9"/>
  <c r="BF89" i="9"/>
  <c r="BF23" i="9"/>
  <c r="BF53" i="9"/>
  <c r="BF87" i="9"/>
  <c r="BF108" i="9"/>
  <c r="BF117" i="9"/>
  <c r="BF83" i="9"/>
  <c r="BF63" i="9"/>
  <c r="BF92" i="9"/>
  <c r="BF126" i="9"/>
  <c r="BF95" i="9"/>
  <c r="BF124" i="9"/>
  <c r="BF84" i="9"/>
  <c r="BF18" i="9"/>
  <c r="BF91" i="9"/>
  <c r="BF98" i="9"/>
  <c r="BF111" i="9"/>
  <c r="BF114" i="9"/>
  <c r="BF105" i="9"/>
  <c r="BF47" i="9"/>
  <c r="BF115" i="9"/>
  <c r="BF99" i="9"/>
  <c r="BF106" i="9"/>
  <c r="BF130" i="9"/>
  <c r="BF135" i="9"/>
  <c r="BF121" i="9"/>
  <c r="BF59" i="9"/>
  <c r="BF3" i="9"/>
  <c r="BF112" i="9"/>
  <c r="AP90" i="9"/>
  <c r="AP23" i="9"/>
  <c r="AP67" i="9"/>
  <c r="AP94" i="9"/>
  <c r="AP108" i="9"/>
  <c r="AP135" i="9"/>
  <c r="AP92" i="9"/>
  <c r="AP130" i="9"/>
  <c r="AP19" i="9"/>
  <c r="AP106" i="9"/>
  <c r="AP133" i="9"/>
  <c r="AP64" i="9"/>
  <c r="AP73" i="9"/>
  <c r="AP96" i="9"/>
  <c r="AP107" i="9"/>
  <c r="AP31" i="9"/>
  <c r="AP105" i="9"/>
  <c r="AP124" i="9"/>
  <c r="AP132" i="9"/>
  <c r="AP48" i="9"/>
  <c r="AP58" i="9"/>
  <c r="AP63" i="9"/>
  <c r="AP95" i="9"/>
  <c r="AP121" i="9"/>
  <c r="AP68" i="9"/>
  <c r="AP127" i="9"/>
  <c r="AP8" i="9"/>
  <c r="AP38" i="9"/>
  <c r="AP103" i="9"/>
  <c r="AP3" i="9"/>
  <c r="AP72" i="9"/>
  <c r="AP80" i="9"/>
  <c r="AP41" i="9"/>
  <c r="AP88" i="9"/>
  <c r="AP112" i="9"/>
  <c r="AP77" i="9"/>
  <c r="AP32" i="9"/>
  <c r="AP50" i="9"/>
  <c r="AP100" i="9"/>
  <c r="BE15" i="9"/>
  <c r="BE129" i="9"/>
  <c r="BE54" i="9"/>
  <c r="BE99" i="9"/>
  <c r="BE130" i="9"/>
  <c r="BE12" i="9"/>
  <c r="BE13" i="9"/>
  <c r="BE18" i="9"/>
  <c r="BE111" i="9"/>
  <c r="BE47" i="9"/>
  <c r="BE109" i="9"/>
  <c r="BE124" i="9"/>
  <c r="BE45" i="9"/>
  <c r="BE63" i="9"/>
  <c r="BE67" i="9"/>
  <c r="BE19" i="9"/>
  <c r="BE135" i="9"/>
  <c r="BE55" i="9"/>
  <c r="BE121" i="9"/>
  <c r="BE112" i="9"/>
  <c r="BE105" i="9"/>
  <c r="BE126" i="9"/>
  <c r="BE106" i="9"/>
  <c r="BE42" i="9"/>
  <c r="BE89" i="9"/>
  <c r="AO31" i="9"/>
  <c r="AO2" i="9"/>
  <c r="AO38" i="9"/>
  <c r="AO58" i="9"/>
  <c r="AO76" i="9"/>
  <c r="AO84" i="9"/>
  <c r="AO103" i="9"/>
  <c r="AO3" i="9"/>
  <c r="AO72" i="9"/>
  <c r="AO12" i="9"/>
  <c r="AO27" i="9"/>
  <c r="AO116" i="9"/>
  <c r="AO41" i="9"/>
  <c r="AO88" i="9"/>
  <c r="AO92" i="9"/>
  <c r="AO95" i="9"/>
  <c r="AO19" i="9"/>
  <c r="AO36" i="9"/>
  <c r="AO99" i="9"/>
  <c r="AO73" i="9"/>
  <c r="AQ71" i="9"/>
  <c r="AP71" i="9"/>
  <c r="BG29" i="9"/>
  <c r="AN108" i="9"/>
  <c r="AM71" i="9"/>
  <c r="AM16" i="9"/>
  <c r="AP98" i="9"/>
  <c r="AO79" i="9"/>
  <c r="AP28" i="9"/>
  <c r="AN98" i="9"/>
  <c r="AN57" i="9"/>
  <c r="AN129" i="9"/>
  <c r="AP78" i="9"/>
  <c r="AN86" i="9"/>
  <c r="AM67" i="9"/>
  <c r="AN10" i="9"/>
  <c r="BF128" i="9"/>
  <c r="AO114" i="9"/>
  <c r="AO97" i="9"/>
  <c r="BE77" i="9"/>
  <c r="BF133" i="9"/>
  <c r="AQ128" i="9"/>
  <c r="BE133" i="9"/>
  <c r="AP126" i="9"/>
  <c r="BC111" i="9"/>
  <c r="BC103" i="9"/>
  <c r="BE93" i="9"/>
  <c r="BF74" i="9"/>
  <c r="AN66" i="9"/>
  <c r="AN52" i="9"/>
  <c r="AQ34" i="9"/>
  <c r="BB8" i="9"/>
  <c r="BG15" i="9"/>
  <c r="BG109" i="9"/>
  <c r="BG87" i="9"/>
  <c r="BG106" i="9"/>
  <c r="BF110" i="9"/>
  <c r="BE82" i="9"/>
  <c r="BE32" i="9"/>
  <c r="AP91" i="9"/>
  <c r="AP61" i="9"/>
  <c r="BC87" i="9"/>
  <c r="BC114" i="9"/>
  <c r="BC115" i="9"/>
  <c r="BC118" i="9"/>
  <c r="BC91" i="9"/>
  <c r="BC98" i="9"/>
  <c r="BC31" i="9"/>
  <c r="BC14" i="9"/>
  <c r="BC126" i="9"/>
  <c r="BC132" i="9"/>
  <c r="BC102" i="9"/>
  <c r="BC89" i="9"/>
  <c r="BC83" i="9"/>
  <c r="BC109" i="9"/>
  <c r="BC135" i="9"/>
  <c r="BC81" i="9"/>
  <c r="BD81" i="9"/>
  <c r="BF29" i="9"/>
  <c r="AL132" i="9"/>
  <c r="AL8" i="9"/>
  <c r="AL11" i="9"/>
  <c r="AL59" i="9"/>
  <c r="AL81" i="9"/>
  <c r="AL21" i="9"/>
  <c r="AL119" i="9"/>
  <c r="AL97" i="9"/>
  <c r="AL80" i="9"/>
  <c r="AL130" i="9"/>
  <c r="AL112" i="9"/>
  <c r="AL32" i="9"/>
  <c r="AL54" i="9"/>
  <c r="AL118" i="9"/>
  <c r="AL121" i="9"/>
  <c r="AL77" i="9"/>
  <c r="AL93" i="9"/>
  <c r="AL100" i="9"/>
  <c r="AP123" i="9"/>
  <c r="BF15" i="9"/>
  <c r="AM123" i="9"/>
  <c r="BB57" i="9"/>
  <c r="AO135" i="9"/>
  <c r="AO126" i="9"/>
  <c r="BF119" i="9"/>
  <c r="AO111" i="9"/>
  <c r="BB93" i="9"/>
  <c r="BE74" i="9"/>
  <c r="AN51" i="9"/>
  <c r="AP34" i="9"/>
  <c r="AN22" i="9"/>
  <c r="AK128" i="9"/>
  <c r="BA73" i="9"/>
  <c r="BA81" i="9"/>
  <c r="BA59" i="9"/>
  <c r="BA121" i="9"/>
  <c r="BA89" i="9"/>
  <c r="BA115" i="9"/>
  <c r="BM111" i="9"/>
  <c r="BJ101" i="9"/>
  <c r="AK77" i="9"/>
  <c r="AS67" i="9"/>
  <c r="AK59" i="9"/>
  <c r="AK69" i="9"/>
  <c r="AK93" i="9"/>
  <c r="BA130" i="9"/>
  <c r="AK42" i="9"/>
  <c r="AK112" i="9"/>
  <c r="AK81" i="9"/>
  <c r="BA135" i="9"/>
  <c r="BA132" i="9"/>
  <c r="AW124" i="9"/>
  <c r="AK121" i="9"/>
  <c r="AK118" i="9"/>
  <c r="BA109" i="9"/>
  <c r="BI101" i="9"/>
  <c r="AK54" i="9"/>
  <c r="BA31" i="9"/>
  <c r="BA24" i="9"/>
  <c r="BA133" i="9"/>
  <c r="AK21" i="9"/>
  <c r="AK32" i="9"/>
  <c r="BA12" i="9"/>
  <c r="BA102" i="9"/>
  <c r="AK130" i="9"/>
  <c r="BM120" i="9"/>
  <c r="BA94" i="9"/>
  <c r="BA83" i="9"/>
  <c r="AK80" i="9"/>
  <c r="AK97" i="9"/>
  <c r="BA37" i="9"/>
  <c r="BA126" i="9"/>
  <c r="BA45" i="9"/>
  <c r="AK11" i="9"/>
  <c r="AU120" i="6"/>
  <c r="BO108" i="6"/>
  <c r="BW34" i="6"/>
  <c r="BQ95" i="6"/>
  <c r="AU2" i="6"/>
  <c r="BV67" i="6"/>
  <c r="BX34" i="6"/>
  <c r="AT22" i="6"/>
  <c r="BP95" i="6"/>
  <c r="AO5" i="6"/>
  <c r="BO95" i="6"/>
  <c r="AM5" i="6"/>
  <c r="AT2" i="6"/>
  <c r="AU92" i="6"/>
  <c r="CE4" i="6"/>
  <c r="BW87" i="6"/>
  <c r="AZ3" i="6"/>
  <c r="AT87" i="6"/>
  <c r="BL125" i="6"/>
  <c r="AK105" i="6"/>
  <c r="BO75" i="6"/>
  <c r="AT54" i="6"/>
  <c r="AY93" i="6"/>
  <c r="CD4" i="6"/>
  <c r="CD58" i="6"/>
  <c r="BL108" i="6"/>
  <c r="BV54" i="6"/>
  <c r="AX54" i="6"/>
  <c r="BM105" i="6"/>
  <c r="AL105" i="6"/>
  <c r="AU54" i="6"/>
  <c r="CL124" i="6"/>
  <c r="CM99" i="6"/>
  <c r="CC115" i="6"/>
  <c r="CB115" i="6"/>
  <c r="BM4" i="6"/>
  <c r="BL87" i="6"/>
  <c r="AU87" i="6"/>
  <c r="BV126" i="6"/>
  <c r="AV54" i="6"/>
  <c r="AI122" i="6"/>
  <c r="BA97" i="6"/>
  <c r="BO74" i="6"/>
  <c r="AR87" i="6"/>
  <c r="BO93" i="6"/>
  <c r="BE131" i="6"/>
  <c r="BC86" i="6"/>
  <c r="AM131" i="6"/>
  <c r="BO112" i="6"/>
  <c r="BM92" i="6"/>
  <c r="CC30" i="6"/>
  <c r="BE92" i="6"/>
  <c r="BO111" i="6"/>
  <c r="BC128" i="6"/>
  <c r="AO47" i="6"/>
  <c r="AM127" i="6"/>
  <c r="AR109" i="6"/>
  <c r="CE90" i="6"/>
  <c r="AJ45" i="6"/>
  <c r="AK127" i="6"/>
  <c r="CM108" i="6"/>
  <c r="CC43" i="6"/>
  <c r="CG133" i="6"/>
  <c r="CC126" i="6"/>
  <c r="AN120" i="6"/>
  <c r="CK108" i="6"/>
  <c r="CE97" i="6"/>
  <c r="AM89" i="6"/>
  <c r="BC78" i="6"/>
  <c r="CC66" i="6"/>
  <c r="BC15" i="6"/>
  <c r="BQ74" i="6"/>
  <c r="BH131" i="6"/>
  <c r="CE124" i="6"/>
  <c r="BD86" i="6"/>
  <c r="AO33" i="6"/>
  <c r="BE124" i="6"/>
  <c r="BQ112" i="6"/>
  <c r="CG30" i="6"/>
  <c r="BP123" i="6"/>
  <c r="CE104" i="6"/>
  <c r="BO84" i="6"/>
  <c r="CB130" i="6"/>
  <c r="BQ111" i="6"/>
  <c r="AM104" i="6"/>
  <c r="BO83" i="6"/>
  <c r="BO71" i="6"/>
  <c r="AM29" i="6"/>
  <c r="BE128" i="6"/>
  <c r="AI104" i="6"/>
  <c r="BE82" i="6"/>
  <c r="BE69" i="6"/>
  <c r="BM121" i="6"/>
  <c r="AZ111" i="6"/>
  <c r="CG102" i="6"/>
  <c r="BC82" i="6"/>
  <c r="CC134" i="6"/>
  <c r="CE127" i="6"/>
  <c r="BM120" i="6"/>
  <c r="AY111" i="6"/>
  <c r="AO82" i="6"/>
  <c r="BQ46" i="6"/>
  <c r="BC21" i="6"/>
  <c r="BM134" i="6"/>
  <c r="CJ98" i="6"/>
  <c r="AN82" i="6"/>
  <c r="AL67" i="6"/>
  <c r="AO21" i="6"/>
  <c r="BH134" i="6"/>
  <c r="AO120" i="6"/>
  <c r="BE78" i="6"/>
  <c r="AK67" i="6"/>
  <c r="BQ16" i="6"/>
  <c r="CE133" i="6"/>
  <c r="BX126" i="6"/>
  <c r="BB97" i="6"/>
  <c r="AY66" i="6"/>
  <c r="BM42" i="6"/>
  <c r="BO5" i="6"/>
  <c r="BF130" i="6"/>
  <c r="BF57" i="6"/>
  <c r="BF71" i="6"/>
  <c r="CH79" i="6"/>
  <c r="CH106" i="6"/>
  <c r="BR133" i="6"/>
  <c r="BR106" i="6"/>
  <c r="BR118" i="6"/>
  <c r="BR110" i="6"/>
  <c r="CH28" i="6"/>
  <c r="CD36" i="6"/>
  <c r="CD85" i="6"/>
  <c r="CD125" i="6"/>
  <c r="CD64" i="6"/>
  <c r="CD109" i="6"/>
  <c r="CD70" i="6"/>
  <c r="CD80" i="6"/>
  <c r="CC59" i="6"/>
  <c r="CC36" i="6"/>
  <c r="CC54" i="6"/>
  <c r="CC85" i="6"/>
  <c r="CC105" i="6"/>
  <c r="CC125" i="6"/>
  <c r="CC64" i="6"/>
  <c r="CC109" i="6"/>
  <c r="CC131" i="6"/>
  <c r="CC70" i="6"/>
  <c r="CC80" i="6"/>
  <c r="CC93" i="6"/>
  <c r="CC28" i="6"/>
  <c r="AZ2" i="6"/>
  <c r="BM125" i="6"/>
  <c r="BR95" i="6"/>
  <c r="CH63" i="6"/>
  <c r="AK41" i="6"/>
  <c r="AK50" i="6"/>
  <c r="CC111" i="6"/>
  <c r="AP135" i="6"/>
  <c r="AP47" i="6"/>
  <c r="AP123" i="6"/>
  <c r="AP6" i="6"/>
  <c r="CH98" i="6"/>
  <c r="BF92" i="6"/>
  <c r="AL127" i="6"/>
  <c r="AL75" i="6"/>
  <c r="BN56" i="6"/>
  <c r="BN75" i="6"/>
  <c r="BN37" i="6"/>
  <c r="BN102" i="6"/>
  <c r="CD133" i="6"/>
  <c r="BF120" i="6"/>
  <c r="BA70" i="6"/>
  <c r="BA89" i="6"/>
  <c r="BA101" i="6"/>
  <c r="BA102" i="6"/>
  <c r="BA126" i="6"/>
  <c r="BA110" i="6"/>
  <c r="CC133" i="6"/>
  <c r="BB78" i="6"/>
  <c r="AJ122" i="6"/>
  <c r="AJ64" i="6"/>
  <c r="AJ28" i="6"/>
  <c r="AJ133" i="6"/>
  <c r="CB24" i="6"/>
  <c r="CB93" i="6"/>
  <c r="CB98" i="6"/>
  <c r="BM130" i="6"/>
  <c r="AK113" i="6"/>
  <c r="BA78" i="6"/>
  <c r="BM51" i="6"/>
  <c r="CA98" i="6"/>
  <c r="CA117" i="6"/>
  <c r="CA24" i="6"/>
  <c r="CA102" i="6"/>
  <c r="AL101" i="6"/>
  <c r="BM85" i="6"/>
  <c r="BN72" i="6"/>
  <c r="AK20" i="6"/>
  <c r="BL122" i="6"/>
  <c r="BL76" i="6"/>
  <c r="BL134" i="6"/>
  <c r="BZ68" i="6"/>
  <c r="BZ79" i="6"/>
  <c r="BZ9" i="6"/>
  <c r="BZ89" i="6"/>
  <c r="BA130" i="6"/>
  <c r="CA90" i="6"/>
  <c r="CC63" i="6"/>
  <c r="BF19" i="6"/>
  <c r="AI120" i="6"/>
  <c r="AY108" i="6"/>
  <c r="CC84" i="6"/>
  <c r="CB77" i="6"/>
  <c r="BA72" i="6"/>
  <c r="CD49" i="6"/>
  <c r="AP133" i="6"/>
  <c r="CD124" i="6"/>
  <c r="CC61" i="6"/>
  <c r="BF16" i="6"/>
  <c r="BK69" i="6"/>
  <c r="BK89" i="6"/>
  <c r="BK113" i="6"/>
  <c r="BK134" i="6"/>
  <c r="AU94" i="6"/>
  <c r="AU123" i="6"/>
  <c r="BW24" i="6"/>
  <c r="BW89" i="6"/>
  <c r="BW76" i="6"/>
  <c r="BZ77" i="6"/>
  <c r="BF69" i="6"/>
  <c r="BM49" i="6"/>
  <c r="BJ97" i="6"/>
  <c r="BJ128" i="6"/>
  <c r="BJ134" i="6"/>
  <c r="AT44" i="6"/>
  <c r="AT123" i="6"/>
  <c r="AT48" i="6"/>
  <c r="AT58" i="6"/>
  <c r="BF124" i="6"/>
  <c r="BM111" i="6"/>
  <c r="AT99" i="6"/>
  <c r="BX131" i="6"/>
  <c r="BK111" i="6"/>
  <c r="CA105" i="6"/>
  <c r="AL99" i="6"/>
  <c r="BA94" i="6"/>
  <c r="AL89" i="6"/>
  <c r="CC76" i="6"/>
  <c r="CA68" i="6"/>
  <c r="BW59" i="6"/>
  <c r="BR46" i="6"/>
  <c r="CH30" i="6"/>
  <c r="CA9" i="6"/>
  <c r="BF131" i="6"/>
  <c r="BR74" i="6"/>
  <c r="BB113" i="6"/>
  <c r="BB86" i="6"/>
  <c r="BB126" i="6"/>
  <c r="AK81" i="6"/>
  <c r="AK132" i="6"/>
  <c r="AK28" i="6"/>
  <c r="AK133" i="6"/>
  <c r="BM44" i="6"/>
  <c r="BM69" i="6"/>
  <c r="BM70" i="6"/>
  <c r="BM97" i="6"/>
  <c r="BM37" i="6"/>
  <c r="BM129" i="6"/>
  <c r="BM47" i="6"/>
  <c r="BM98" i="6"/>
  <c r="BM123" i="6"/>
  <c r="BN130" i="6"/>
  <c r="BB21" i="6"/>
  <c r="AZ106" i="6"/>
  <c r="AZ102" i="6"/>
  <c r="AZ130" i="6"/>
  <c r="AP120" i="6"/>
  <c r="CB102" i="6"/>
  <c r="AI130" i="6"/>
  <c r="AI119" i="6"/>
  <c r="BM133" i="6"/>
  <c r="BA51" i="6"/>
  <c r="AX74" i="6"/>
  <c r="AX37" i="6"/>
  <c r="AX114" i="6"/>
  <c r="BL133" i="6"/>
  <c r="CC100" i="6"/>
  <c r="BM72" i="6"/>
  <c r="AK36" i="6"/>
  <c r="BM90" i="6"/>
  <c r="AV65" i="6"/>
  <c r="AV130" i="6"/>
  <c r="AV94" i="6"/>
  <c r="AJ119" i="6"/>
  <c r="BL95" i="6"/>
  <c r="AY89" i="6"/>
  <c r="CA77" i="6"/>
  <c r="CC49" i="6"/>
  <c r="CB2" i="6"/>
  <c r="BA128" i="6"/>
  <c r="CC124" i="6"/>
  <c r="BZ117" i="6"/>
  <c r="AK107" i="6"/>
  <c r="AU99" i="6"/>
  <c r="AI95" i="6"/>
  <c r="BN84" i="6"/>
  <c r="CC60" i="6"/>
  <c r="BV80" i="6"/>
  <c r="BV118" i="6"/>
  <c r="BZ2" i="6"/>
  <c r="AJ128" i="6"/>
  <c r="AJ117" i="6"/>
  <c r="CB105" i="6"/>
  <c r="BB94" i="6"/>
  <c r="BM84" i="6"/>
  <c r="BX59" i="6"/>
  <c r="BA31" i="6"/>
  <c r="BA12" i="6"/>
  <c r="AS126" i="6"/>
  <c r="AS109" i="6"/>
  <c r="AS47" i="6"/>
  <c r="AY135" i="6"/>
  <c r="AR47" i="6"/>
  <c r="AR123" i="6"/>
  <c r="CJ109" i="6"/>
  <c r="CJ106" i="6"/>
  <c r="BT101" i="6"/>
  <c r="BT126" i="6"/>
  <c r="AX135" i="6"/>
  <c r="BM131" i="6"/>
  <c r="CC127" i="6"/>
  <c r="BA124" i="6"/>
  <c r="BZ116" i="6"/>
  <c r="BJ111" i="6"/>
  <c r="BX105" i="6"/>
  <c r="AK99" i="6"/>
  <c r="AK89" i="6"/>
  <c r="BM82" i="6"/>
  <c r="BX76" i="6"/>
  <c r="BW67" i="6"/>
  <c r="BV59" i="6"/>
  <c r="AO114" i="6"/>
  <c r="CG106" i="6"/>
  <c r="BE57" i="6"/>
  <c r="BE113" i="6"/>
  <c r="BC57" i="6"/>
  <c r="AO6" i="6"/>
  <c r="BL41" i="9"/>
  <c r="BL74" i="9"/>
  <c r="BL9" i="9"/>
  <c r="BL85" i="9"/>
  <c r="BL6" i="9"/>
  <c r="BL108" i="9"/>
  <c r="BL113" i="9"/>
  <c r="BL44" i="9"/>
  <c r="BL59" i="9"/>
  <c r="BL60" i="9"/>
  <c r="BL84" i="9"/>
  <c r="BL46" i="9"/>
  <c r="BL100" i="9"/>
  <c r="AV66" i="9"/>
  <c r="AV79" i="9"/>
  <c r="AV38" i="9"/>
  <c r="AV96" i="9"/>
  <c r="AV5" i="9"/>
  <c r="AV69" i="9"/>
  <c r="AV39" i="9"/>
  <c r="AV65" i="9"/>
  <c r="AV116" i="9"/>
  <c r="AV33" i="9"/>
  <c r="AV68" i="9"/>
  <c r="AV24" i="9"/>
  <c r="AV123" i="9"/>
  <c r="AV125" i="9"/>
  <c r="AU4" i="9"/>
  <c r="AU11" i="9"/>
  <c r="AU39" i="9"/>
  <c r="AU96" i="9"/>
  <c r="AU64" i="9"/>
  <c r="AU118" i="9"/>
  <c r="AU68" i="9"/>
  <c r="AU65" i="9"/>
  <c r="AU117" i="9"/>
  <c r="AU123" i="9"/>
  <c r="AU33" i="9"/>
  <c r="AU24" i="9"/>
  <c r="AT23" i="9"/>
  <c r="AT16" i="9"/>
  <c r="AT88" i="9"/>
  <c r="AT30" i="9"/>
  <c r="AT39" i="9"/>
  <c r="AT54" i="9"/>
  <c r="AT53" i="9"/>
  <c r="AT61" i="9"/>
  <c r="AT94" i="9"/>
  <c r="AT28" i="9"/>
  <c r="AT2" i="9"/>
  <c r="AT70" i="9"/>
  <c r="AT100" i="9"/>
  <c r="AT101" i="9"/>
  <c r="AT113" i="9"/>
  <c r="AT9" i="9"/>
  <c r="AT60" i="9"/>
  <c r="AT63" i="9"/>
  <c r="AT80" i="9"/>
  <c r="AT86" i="9"/>
  <c r="AT17" i="9"/>
  <c r="AT64" i="9"/>
  <c r="AT104" i="9"/>
  <c r="AT105" i="9"/>
  <c r="AT131" i="9"/>
  <c r="AT35" i="9"/>
  <c r="AT112" i="9"/>
  <c r="AT118" i="9"/>
  <c r="AT129" i="9"/>
  <c r="AT68" i="9"/>
  <c r="AT74" i="9"/>
  <c r="AT4" i="9"/>
  <c r="AT7" i="9"/>
  <c r="AT10" i="9"/>
  <c r="AT33" i="9"/>
  <c r="AT90" i="9"/>
  <c r="AT46" i="9"/>
  <c r="AT67" i="9"/>
  <c r="AT97" i="9"/>
  <c r="AT107" i="9"/>
  <c r="AT108" i="9"/>
  <c r="AT120" i="9"/>
  <c r="AT6" i="9"/>
  <c r="AT110" i="9"/>
  <c r="AT127" i="9"/>
  <c r="AT27" i="9"/>
  <c r="AT134" i="9"/>
  <c r="AT72" i="9"/>
  <c r="AT76" i="9"/>
  <c r="AT13" i="9"/>
  <c r="AT49" i="9"/>
  <c r="AT84" i="9"/>
  <c r="AT92" i="9"/>
  <c r="AT41" i="9"/>
  <c r="AT102" i="9"/>
  <c r="AT119" i="9"/>
  <c r="AT14" i="9"/>
  <c r="AT44" i="9"/>
  <c r="AT78" i="9"/>
  <c r="AT115" i="9"/>
  <c r="AT126" i="9"/>
  <c r="AT24" i="9"/>
  <c r="AT96" i="9"/>
  <c r="BJ96" i="9"/>
  <c r="AT124" i="9"/>
  <c r="AS51" i="9"/>
  <c r="BH98" i="9"/>
  <c r="AR51" i="9"/>
  <c r="AQ16" i="9"/>
  <c r="AQ33" i="9"/>
  <c r="AQ38" i="9"/>
  <c r="AQ6" i="9"/>
  <c r="AQ13" i="9"/>
  <c r="AQ27" i="9"/>
  <c r="AQ60" i="9"/>
  <c r="AQ43" i="9"/>
  <c r="AQ58" i="9"/>
  <c r="AQ63" i="9"/>
  <c r="AQ75" i="9"/>
  <c r="AQ22" i="9"/>
  <c r="AQ55" i="9"/>
  <c r="AQ79" i="9"/>
  <c r="AQ112" i="9"/>
  <c r="AQ125" i="9"/>
  <c r="AQ7" i="9"/>
  <c r="AQ24" i="9"/>
  <c r="AQ69" i="9"/>
  <c r="AQ82" i="9"/>
  <c r="AQ15" i="9"/>
  <c r="AQ28" i="9"/>
  <c r="AQ50" i="9"/>
  <c r="AQ54" i="9"/>
  <c r="AQ66" i="9"/>
  <c r="AQ100" i="9"/>
  <c r="AQ109" i="9"/>
  <c r="AQ10" i="9"/>
  <c r="AQ42" i="9"/>
  <c r="AQ84" i="9"/>
  <c r="AQ87" i="9"/>
  <c r="AQ90" i="9"/>
  <c r="AQ99" i="9"/>
  <c r="AQ110" i="9"/>
  <c r="AQ111" i="9"/>
  <c r="AQ116" i="9"/>
  <c r="AQ117" i="9"/>
  <c r="AQ44" i="9"/>
  <c r="AQ115" i="9"/>
  <c r="AQ19" i="9"/>
  <c r="AQ32" i="9"/>
  <c r="AQ88" i="9"/>
  <c r="AQ123" i="9"/>
  <c r="AQ127" i="9"/>
  <c r="AQ131" i="9"/>
  <c r="AQ37" i="9"/>
  <c r="AQ53" i="9"/>
  <c r="AQ98" i="9"/>
  <c r="AQ9" i="9"/>
  <c r="AQ86" i="9"/>
  <c r="AQ102" i="9"/>
  <c r="AQ134" i="9"/>
  <c r="AQ78" i="9"/>
  <c r="AQ126" i="9"/>
  <c r="AQ130" i="9"/>
  <c r="AQ68" i="9"/>
  <c r="AQ61" i="9"/>
  <c r="AQ31" i="9"/>
  <c r="AQ118" i="9"/>
  <c r="AQ122" i="9"/>
  <c r="AQ3" i="9"/>
  <c r="AQ91" i="9"/>
  <c r="AQ72" i="9"/>
  <c r="AQ104" i="9"/>
  <c r="AQ70" i="9"/>
  <c r="AQ94" i="9"/>
  <c r="AQ119" i="9"/>
  <c r="AQ133" i="9"/>
  <c r="AQ74" i="9"/>
  <c r="AQ96" i="9"/>
  <c r="AQ107" i="9"/>
  <c r="AQ17" i="9"/>
  <c r="AQ39" i="9"/>
  <c r="AQ106" i="9"/>
  <c r="AQ80" i="9"/>
  <c r="AQ89" i="9"/>
  <c r="AQ56" i="9"/>
  <c r="AQ85" i="9"/>
  <c r="AT73" i="9"/>
  <c r="BG18" i="9"/>
  <c r="AR132" i="9"/>
  <c r="AQ121" i="9"/>
  <c r="BJ116" i="9"/>
  <c r="BK85" i="9"/>
  <c r="AU106" i="9"/>
  <c r="AT79" i="9"/>
  <c r="AR73" i="9"/>
  <c r="AR114" i="9"/>
  <c r="AQ103" i="9"/>
  <c r="AU69" i="9"/>
  <c r="AR45" i="9"/>
  <c r="BG118" i="9"/>
  <c r="AS85" i="9"/>
  <c r="BJ4" i="9"/>
  <c r="BG133" i="9"/>
  <c r="AR85" i="9"/>
  <c r="AQ49" i="9"/>
  <c r="AR69" i="9"/>
  <c r="BJ48" i="9"/>
  <c r="BK28" i="9"/>
  <c r="BK84" i="9"/>
  <c r="BK44" i="9"/>
  <c r="BK61" i="9"/>
  <c r="BK25" i="9"/>
  <c r="BK108" i="9"/>
  <c r="BK126" i="9"/>
  <c r="BK35" i="9"/>
  <c r="BK60" i="9"/>
  <c r="BK101" i="9"/>
  <c r="BK86" i="9"/>
  <c r="BK119" i="9"/>
  <c r="BK81" i="9"/>
  <c r="BK92" i="9"/>
  <c r="BK100" i="9"/>
  <c r="BK113" i="9"/>
  <c r="BK76" i="9"/>
  <c r="BJ34" i="9"/>
  <c r="BJ22" i="9"/>
  <c r="BJ24" i="9"/>
  <c r="BJ64" i="9"/>
  <c r="BJ85" i="9"/>
  <c r="BJ91" i="9"/>
  <c r="BJ36" i="9"/>
  <c r="BJ45" i="9"/>
  <c r="BJ51" i="9"/>
  <c r="BJ55" i="9"/>
  <c r="BJ70" i="9"/>
  <c r="BJ17" i="9"/>
  <c r="BJ23" i="9"/>
  <c r="BJ30" i="9"/>
  <c r="BJ11" i="9"/>
  <c r="BJ19" i="9"/>
  <c r="BJ44" i="9"/>
  <c r="BJ56" i="9"/>
  <c r="BJ61" i="9"/>
  <c r="BJ72" i="9"/>
  <c r="BJ95" i="9"/>
  <c r="BJ120" i="9"/>
  <c r="BJ33" i="9"/>
  <c r="BJ76" i="9"/>
  <c r="BJ105" i="9"/>
  <c r="BJ106" i="9"/>
  <c r="BJ107" i="9"/>
  <c r="BJ43" i="9"/>
  <c r="BJ88" i="9"/>
  <c r="BJ102" i="9"/>
  <c r="BJ108" i="9"/>
  <c r="BJ124" i="9"/>
  <c r="BJ32" i="9"/>
  <c r="BJ126" i="9"/>
  <c r="BJ60" i="9"/>
  <c r="BJ97" i="9"/>
  <c r="BJ133" i="9"/>
  <c r="BJ28" i="9"/>
  <c r="BJ80" i="9"/>
  <c r="BJ122" i="9"/>
  <c r="BJ12" i="9"/>
  <c r="BJ59" i="9"/>
  <c r="BJ112" i="9"/>
  <c r="BJ128" i="9"/>
  <c r="BJ2" i="9"/>
  <c r="BJ50" i="9"/>
  <c r="BJ63" i="9"/>
  <c r="BJ119" i="9"/>
  <c r="BJ54" i="9"/>
  <c r="BJ62" i="9"/>
  <c r="BJ89" i="9"/>
  <c r="BJ132" i="9"/>
  <c r="BJ10" i="9"/>
  <c r="BJ38" i="9"/>
  <c r="BJ92" i="9"/>
  <c r="BJ100" i="9"/>
  <c r="BJ117" i="9"/>
  <c r="BJ131" i="9"/>
  <c r="BJ110" i="9"/>
  <c r="BJ57" i="9"/>
  <c r="BJ81" i="9"/>
  <c r="BJ121" i="9"/>
  <c r="BJ41" i="9"/>
  <c r="BJ27" i="9"/>
  <c r="BJ49" i="9"/>
  <c r="BJ84" i="9"/>
  <c r="BJ90" i="9"/>
  <c r="BJ6" i="9"/>
  <c r="BJ86" i="9"/>
  <c r="BJ134" i="9"/>
  <c r="BJ14" i="9"/>
  <c r="AV124" i="9"/>
  <c r="BL119" i="9"/>
  <c r="BJ104" i="9"/>
  <c r="BI7" i="9"/>
  <c r="BI40" i="9"/>
  <c r="BI45" i="9"/>
  <c r="BI51" i="9"/>
  <c r="BI55" i="9"/>
  <c r="BI84" i="9"/>
  <c r="BI3" i="9"/>
  <c r="BI19" i="9"/>
  <c r="BI44" i="9"/>
  <c r="BI63" i="9"/>
  <c r="BI80" i="9"/>
  <c r="BI15" i="9"/>
  <c r="BI56" i="9"/>
  <c r="BI61" i="9"/>
  <c r="BI72" i="9"/>
  <c r="BI33" i="9"/>
  <c r="BI91" i="9"/>
  <c r="BI105" i="9"/>
  <c r="BI106" i="9"/>
  <c r="BI107" i="9"/>
  <c r="BI117" i="9"/>
  <c r="BI4" i="9"/>
  <c r="BI28" i="9"/>
  <c r="BI41" i="9"/>
  <c r="BI83" i="9"/>
  <c r="BI123" i="9"/>
  <c r="BI126" i="9"/>
  <c r="BI62" i="9"/>
  <c r="BI60" i="9"/>
  <c r="BI69" i="9"/>
  <c r="BI97" i="9"/>
  <c r="BI133" i="9"/>
  <c r="BI85" i="9"/>
  <c r="BI122" i="9"/>
  <c r="BI12" i="9"/>
  <c r="BI20" i="9"/>
  <c r="BI22" i="9"/>
  <c r="BI50" i="9"/>
  <c r="BI54" i="9"/>
  <c r="BI58" i="9"/>
  <c r="BI89" i="9"/>
  <c r="BI109" i="9"/>
  <c r="BI16" i="9"/>
  <c r="BI102" i="9"/>
  <c r="BI94" i="9"/>
  <c r="BI104" i="9"/>
  <c r="BI29" i="9"/>
  <c r="BI57" i="9"/>
  <c r="BI81" i="9"/>
  <c r="BI93" i="9"/>
  <c r="BI128" i="9"/>
  <c r="BI132" i="9"/>
  <c r="BI38" i="9"/>
  <c r="BI43" i="9"/>
  <c r="BI95" i="9"/>
  <c r="BI100" i="9"/>
  <c r="BI131" i="9"/>
  <c r="BI49" i="9"/>
  <c r="BI111" i="9"/>
  <c r="BI134" i="9"/>
  <c r="BI14" i="9"/>
  <c r="BI110" i="9"/>
  <c r="BI68" i="9"/>
  <c r="BI116" i="9"/>
  <c r="BI121" i="9"/>
  <c r="BI79" i="9"/>
  <c r="BI124" i="9"/>
  <c r="BI90" i="9"/>
  <c r="BI23" i="9"/>
  <c r="BI30" i="9"/>
  <c r="BI86" i="9"/>
  <c r="BI88" i="9"/>
  <c r="BI120" i="9"/>
  <c r="BI70" i="9"/>
  <c r="BI42" i="9"/>
  <c r="BL42" i="9"/>
  <c r="BH6" i="9"/>
  <c r="BH3" i="9"/>
  <c r="BH70" i="9"/>
  <c r="BH9" i="9"/>
  <c r="BH19" i="9"/>
  <c r="BH44" i="9"/>
  <c r="BH63" i="9"/>
  <c r="BH28" i="9"/>
  <c r="BH69" i="9"/>
  <c r="BH90" i="9"/>
  <c r="BH33" i="9"/>
  <c r="BH73" i="9"/>
  <c r="BH39" i="9"/>
  <c r="BH51" i="9"/>
  <c r="BH83" i="9"/>
  <c r="BH115" i="9"/>
  <c r="BH121" i="9"/>
  <c r="BH64" i="9"/>
  <c r="BH102" i="9"/>
  <c r="BH60" i="9"/>
  <c r="BH91" i="9"/>
  <c r="BH133" i="9"/>
  <c r="BH82" i="9"/>
  <c r="BH72" i="9"/>
  <c r="BH75" i="9"/>
  <c r="BH122" i="9"/>
  <c r="BH45" i="9"/>
  <c r="BH56" i="9"/>
  <c r="BH58" i="9"/>
  <c r="BH66" i="9"/>
  <c r="BH85" i="9"/>
  <c r="BH12" i="9"/>
  <c r="BH20" i="9"/>
  <c r="BH22" i="9"/>
  <c r="BH50" i="9"/>
  <c r="BH62" i="9"/>
  <c r="BH80" i="9"/>
  <c r="BH29" i="9"/>
  <c r="BH93" i="9"/>
  <c r="BH106" i="9"/>
  <c r="BH128" i="9"/>
  <c r="BH132" i="9"/>
  <c r="BH55" i="9"/>
  <c r="BH68" i="9"/>
  <c r="BH94" i="9"/>
  <c r="BH116" i="9"/>
  <c r="BH123" i="9"/>
  <c r="BH46" i="9"/>
  <c r="BH114" i="9"/>
  <c r="BH117" i="9"/>
  <c r="BH49" i="9"/>
  <c r="BH111" i="9"/>
  <c r="BH88" i="9"/>
  <c r="BH105" i="9"/>
  <c r="BH96" i="9"/>
  <c r="BH16" i="9"/>
  <c r="BH38" i="9"/>
  <c r="BH43" i="9"/>
  <c r="BH95" i="9"/>
  <c r="BH100" i="9"/>
  <c r="BH79" i="9"/>
  <c r="BH131" i="9"/>
  <c r="BH23" i="9"/>
  <c r="BH84" i="9"/>
  <c r="BH86" i="9"/>
  <c r="BH120" i="9"/>
  <c r="BH134" i="9"/>
  <c r="BH110" i="9"/>
  <c r="BH104" i="9"/>
  <c r="BH127" i="9"/>
  <c r="BH74" i="9"/>
  <c r="BH78" i="9"/>
  <c r="AS121" i="9"/>
  <c r="AT29" i="9"/>
  <c r="AS132" i="9"/>
  <c r="BG125" i="9"/>
  <c r="BG98" i="9"/>
  <c r="AQ51" i="9"/>
  <c r="AS29" i="9"/>
  <c r="AV106" i="9"/>
  <c r="AU79" i="9"/>
  <c r="AU5" i="9"/>
  <c r="AQ132" i="9"/>
  <c r="AR95" i="9"/>
  <c r="BG89" i="9"/>
  <c r="BI37" i="9"/>
  <c r="AT5" i="9"/>
  <c r="BH37" i="9"/>
  <c r="AS22" i="9"/>
  <c r="BJ129" i="9"/>
  <c r="AQ114" i="9"/>
  <c r="BJ78" i="9"/>
  <c r="AT75" i="9"/>
  <c r="AT69" i="9"/>
  <c r="BJ53" i="9"/>
  <c r="AQ45" i="9"/>
  <c r="BI129" i="9"/>
  <c r="BG126" i="9"/>
  <c r="AS69" i="9"/>
  <c r="BI53" i="9"/>
  <c r="BG3" i="9"/>
  <c r="BH129" i="9"/>
  <c r="BH53" i="9"/>
  <c r="AS122" i="9"/>
  <c r="BJ99" i="9"/>
  <c r="BG91" i="9"/>
  <c r="BI48" i="9"/>
  <c r="AR122" i="9"/>
  <c r="BI115" i="9"/>
  <c r="AR105" i="9"/>
  <c r="BI99" i="9"/>
  <c r="BJ74" i="9"/>
  <c r="BJ68" i="9"/>
  <c r="BH61" i="9"/>
  <c r="BH48" i="9"/>
  <c r="AT51" i="9"/>
  <c r="AS32" i="9"/>
  <c r="AS30" i="9"/>
  <c r="AS39" i="9"/>
  <c r="AS54" i="9"/>
  <c r="AS42" i="9"/>
  <c r="AS50" i="9"/>
  <c r="AS53" i="9"/>
  <c r="AS61" i="9"/>
  <c r="AS33" i="9"/>
  <c r="AS2" i="9"/>
  <c r="AS70" i="9"/>
  <c r="AS9" i="9"/>
  <c r="AS60" i="9"/>
  <c r="AS80" i="9"/>
  <c r="AS86" i="9"/>
  <c r="AS93" i="9"/>
  <c r="AS43" i="9"/>
  <c r="AS58" i="9"/>
  <c r="AS75" i="9"/>
  <c r="AS90" i="9"/>
  <c r="AS35" i="9"/>
  <c r="AS77" i="9"/>
  <c r="AS101" i="9"/>
  <c r="AS112" i="9"/>
  <c r="AS118" i="9"/>
  <c r="AS129" i="9"/>
  <c r="AS68" i="9"/>
  <c r="AS74" i="9"/>
  <c r="AS7" i="9"/>
  <c r="AS28" i="9"/>
  <c r="AS100" i="9"/>
  <c r="AS46" i="9"/>
  <c r="AS79" i="9"/>
  <c r="AS84" i="9"/>
  <c r="AS105" i="9"/>
  <c r="AS120" i="9"/>
  <c r="AS131" i="9"/>
  <c r="AS96" i="9"/>
  <c r="AS109" i="9"/>
  <c r="AS17" i="9"/>
  <c r="AS13" i="9"/>
  <c r="AS16" i="9"/>
  <c r="AS49" i="9"/>
  <c r="AS127" i="9"/>
  <c r="AS27" i="9"/>
  <c r="AS41" i="9"/>
  <c r="AS72" i="9"/>
  <c r="AS104" i="9"/>
  <c r="AS20" i="9"/>
  <c r="AS44" i="9"/>
  <c r="AS115" i="9"/>
  <c r="AS126" i="9"/>
  <c r="AS107" i="9"/>
  <c r="AS106" i="9"/>
  <c r="AS6" i="9"/>
  <c r="AS88" i="9"/>
  <c r="AS110" i="9"/>
  <c r="AS102" i="9"/>
  <c r="AS134" i="9"/>
  <c r="AS99" i="9"/>
  <c r="AS14" i="9"/>
  <c r="AS37" i="9"/>
  <c r="AS78" i="9"/>
  <c r="AS94" i="9"/>
  <c r="AS113" i="9"/>
  <c r="AS125" i="9"/>
  <c r="AS133" i="9"/>
  <c r="AS11" i="9"/>
  <c r="BI125" i="9"/>
  <c r="BI96" i="9"/>
  <c r="AR24" i="9"/>
  <c r="AR42" i="9"/>
  <c r="AR50" i="9"/>
  <c r="AR53" i="9"/>
  <c r="AR61" i="9"/>
  <c r="AR77" i="9"/>
  <c r="AR94" i="9"/>
  <c r="AR33" i="9"/>
  <c r="AR38" i="9"/>
  <c r="AR6" i="9"/>
  <c r="AR13" i="9"/>
  <c r="AR27" i="9"/>
  <c r="AR46" i="9"/>
  <c r="AR82" i="9"/>
  <c r="AR93" i="9"/>
  <c r="AR9" i="9"/>
  <c r="AR60" i="9"/>
  <c r="AR66" i="9"/>
  <c r="AR43" i="9"/>
  <c r="AR58" i="9"/>
  <c r="AR63" i="9"/>
  <c r="AR75" i="9"/>
  <c r="AR90" i="9"/>
  <c r="AR20" i="9"/>
  <c r="AR22" i="9"/>
  <c r="AR55" i="9"/>
  <c r="AR79" i="9"/>
  <c r="AR68" i="9"/>
  <c r="AR74" i="9"/>
  <c r="AR80" i="9"/>
  <c r="AR116" i="9"/>
  <c r="AR7" i="9"/>
  <c r="AR28" i="9"/>
  <c r="AR54" i="9"/>
  <c r="AR100" i="9"/>
  <c r="AR10" i="9"/>
  <c r="AR84" i="9"/>
  <c r="AR99" i="9"/>
  <c r="AR110" i="9"/>
  <c r="AR117" i="9"/>
  <c r="AR125" i="9"/>
  <c r="AR16" i="9"/>
  <c r="AR49" i="9"/>
  <c r="AR134" i="9"/>
  <c r="AR106" i="9"/>
  <c r="AR89" i="9"/>
  <c r="AR88" i="9"/>
  <c r="AR127" i="9"/>
  <c r="AR131" i="9"/>
  <c r="AR72" i="9"/>
  <c r="AR104" i="9"/>
  <c r="AR44" i="9"/>
  <c r="AR70" i="9"/>
  <c r="AR78" i="9"/>
  <c r="AR115" i="9"/>
  <c r="AR126" i="9"/>
  <c r="AR133" i="9"/>
  <c r="AR129" i="9"/>
  <c r="AR86" i="9"/>
  <c r="AR102" i="9"/>
  <c r="AR14" i="9"/>
  <c r="AR37" i="9"/>
  <c r="AR113" i="9"/>
  <c r="AR130" i="9"/>
  <c r="AR47" i="9"/>
  <c r="AR96" i="9"/>
  <c r="AR107" i="9"/>
  <c r="AR109" i="9"/>
  <c r="AR17" i="9"/>
  <c r="AR39" i="9"/>
  <c r="AR98" i="9"/>
  <c r="AR118" i="9"/>
  <c r="AT132" i="9"/>
  <c r="BH125" i="9"/>
  <c r="AS124" i="9"/>
  <c r="AS12" i="9"/>
  <c r="BG6" i="9"/>
  <c r="BG9" i="9"/>
  <c r="BG19" i="9"/>
  <c r="BG44" i="9"/>
  <c r="BG63" i="9"/>
  <c r="BG71" i="9"/>
  <c r="BG73" i="9"/>
  <c r="BG80" i="9"/>
  <c r="BG7" i="9"/>
  <c r="BG28" i="9"/>
  <c r="BG16" i="9"/>
  <c r="BG31" i="9"/>
  <c r="BG34" i="9"/>
  <c r="BG83" i="9"/>
  <c r="BG39" i="9"/>
  <c r="BG51" i="9"/>
  <c r="BG77" i="9"/>
  <c r="BG4" i="9"/>
  <c r="BG13" i="9"/>
  <c r="BG26" i="9"/>
  <c r="BG64" i="9"/>
  <c r="BG67" i="9"/>
  <c r="BG102" i="9"/>
  <c r="BG116" i="9"/>
  <c r="BG2" i="9"/>
  <c r="BG94" i="9"/>
  <c r="BG69" i="9"/>
  <c r="BG72" i="9"/>
  <c r="BG75" i="9"/>
  <c r="BG122" i="9"/>
  <c r="BG12" i="9"/>
  <c r="BG22" i="9"/>
  <c r="BG45" i="9"/>
  <c r="BG50" i="9"/>
  <c r="BG56" i="9"/>
  <c r="BG58" i="9"/>
  <c r="BG66" i="9"/>
  <c r="BG85" i="9"/>
  <c r="BG35" i="9"/>
  <c r="BG101" i="9"/>
  <c r="BG107" i="9"/>
  <c r="BG82" i="9"/>
  <c r="BG131" i="9"/>
  <c r="BG132" i="9"/>
  <c r="BG48" i="9"/>
  <c r="BG52" i="9"/>
  <c r="BG96" i="9"/>
  <c r="BG103" i="9"/>
  <c r="BG104" i="9"/>
  <c r="BG127" i="9"/>
  <c r="BG78" i="9"/>
  <c r="BG37" i="9"/>
  <c r="BG99" i="9"/>
  <c r="BG38" i="9"/>
  <c r="BG43" i="9"/>
  <c r="BG95" i="9"/>
  <c r="BG100" i="9"/>
  <c r="BG135" i="9"/>
  <c r="BG23" i="9"/>
  <c r="BG60" i="9"/>
  <c r="BG84" i="9"/>
  <c r="BG88" i="9"/>
  <c r="BG120" i="9"/>
  <c r="BG27" i="9"/>
  <c r="BG68" i="9"/>
  <c r="BG74" i="9"/>
  <c r="BG79" i="9"/>
  <c r="BG114" i="9"/>
  <c r="BG117" i="9"/>
  <c r="BG121" i="9"/>
  <c r="BG111" i="9"/>
  <c r="BG86" i="9"/>
  <c r="BG90" i="9"/>
  <c r="BG105" i="9"/>
  <c r="BG134" i="9"/>
  <c r="BG110" i="9"/>
  <c r="BG55" i="9"/>
  <c r="BG70" i="9"/>
  <c r="BG119" i="9"/>
  <c r="BG123" i="9"/>
  <c r="BG130" i="9"/>
  <c r="BG33" i="9"/>
  <c r="BG61" i="9"/>
  <c r="BJ127" i="9"/>
  <c r="AR121" i="9"/>
  <c r="BI127" i="9"/>
  <c r="BH89" i="9"/>
  <c r="AS73" i="9"/>
  <c r="AT11" i="9"/>
  <c r="BH118" i="9"/>
  <c r="AT106" i="9"/>
  <c r="AQ95" i="9"/>
  <c r="AQ73" i="9"/>
  <c r="AT122" i="9"/>
  <c r="BK99" i="9"/>
  <c r="BJ94" i="9"/>
  <c r="BH40" i="9"/>
  <c r="BL21" i="9"/>
  <c r="BK74" i="9"/>
  <c r="AT65" i="9"/>
  <c r="BL61" i="9"/>
  <c r="BG53" i="9"/>
  <c r="BG40" i="9"/>
  <c r="BK21" i="9"/>
  <c r="AR120" i="9"/>
  <c r="BI112" i="9"/>
  <c r="AQ120" i="9"/>
  <c r="BG115" i="9"/>
  <c r="BH112" i="9"/>
  <c r="BL110" i="9"/>
  <c r="BL107" i="9"/>
  <c r="AQ105" i="9"/>
  <c r="BH99" i="9"/>
  <c r="AS97" i="9"/>
  <c r="BI74" i="9"/>
  <c r="BI64" i="9"/>
  <c r="AR48" i="9"/>
  <c r="AT43" i="9"/>
  <c r="AQ40" i="9"/>
  <c r="AR35" i="9"/>
  <c r="BC15" i="9"/>
  <c r="BC58" i="9"/>
  <c r="BC95" i="9"/>
  <c r="BC43" i="9"/>
  <c r="BC62" i="9"/>
  <c r="BC66" i="9"/>
  <c r="BC18" i="9"/>
  <c r="BC67" i="9"/>
  <c r="BC44" i="9"/>
  <c r="BC46" i="9"/>
  <c r="BC48" i="9"/>
  <c r="BC53" i="9"/>
  <c r="BC71" i="9"/>
  <c r="BC28" i="9"/>
  <c r="BC38" i="9"/>
  <c r="BC100" i="9"/>
  <c r="BC93" i="9"/>
  <c r="BC107" i="9"/>
  <c r="BC120" i="9"/>
  <c r="BC121" i="9"/>
  <c r="BC130" i="9"/>
  <c r="BC42" i="9"/>
  <c r="BC104" i="9"/>
  <c r="BC77" i="9"/>
  <c r="BC129" i="9"/>
  <c r="BC105" i="9"/>
  <c r="AM35" i="9"/>
  <c r="AM48" i="9"/>
  <c r="AM2" i="9"/>
  <c r="AM15" i="9"/>
  <c r="AM23" i="9"/>
  <c r="AM73" i="9"/>
  <c r="AM75" i="9"/>
  <c r="AM88" i="9"/>
  <c r="AM97" i="9"/>
  <c r="AM12" i="9"/>
  <c r="AM18" i="9"/>
  <c r="AM27" i="9"/>
  <c r="AM105" i="9"/>
  <c r="AM4" i="9"/>
  <c r="AM31" i="9"/>
  <c r="AM38" i="9"/>
  <c r="AM79" i="9"/>
  <c r="AM95" i="9"/>
  <c r="AM89" i="9"/>
  <c r="AM114" i="9"/>
  <c r="AM124" i="9"/>
  <c r="AM92" i="9"/>
  <c r="AM125" i="9"/>
  <c r="AM126" i="9"/>
  <c r="AM135" i="9"/>
  <c r="AM26" i="9"/>
  <c r="AM40" i="9"/>
  <c r="AM103" i="9"/>
  <c r="BC116" i="9"/>
  <c r="AM83" i="9"/>
  <c r="BC76" i="9"/>
  <c r="BC72" i="9"/>
  <c r="BC6" i="9"/>
  <c r="AL6" i="9"/>
  <c r="AL15" i="9"/>
  <c r="AL49" i="9"/>
  <c r="AL4" i="9"/>
  <c r="AL22" i="9"/>
  <c r="AL41" i="9"/>
  <c r="AL65" i="9"/>
  <c r="AL92" i="9"/>
  <c r="AL18" i="9"/>
  <c r="AL24" i="9"/>
  <c r="AL82" i="9"/>
  <c r="AL105" i="9"/>
  <c r="AL123" i="9"/>
  <c r="AL16" i="9"/>
  <c r="AL31" i="9"/>
  <c r="AL52" i="9"/>
  <c r="AL68" i="9"/>
  <c r="AL73" i="9"/>
  <c r="AL78" i="9"/>
  <c r="AL96" i="9"/>
  <c r="AL42" i="9"/>
  <c r="AL126" i="9"/>
  <c r="AL128" i="9"/>
  <c r="AL135" i="9"/>
  <c r="AL26" i="9"/>
  <c r="AL40" i="9"/>
  <c r="AL89" i="9"/>
  <c r="AL103" i="9"/>
  <c r="AL114" i="9"/>
  <c r="AL124" i="9"/>
  <c r="AL57" i="9"/>
  <c r="AL70" i="9"/>
  <c r="AL76" i="9"/>
  <c r="BC127" i="9"/>
  <c r="BC123" i="9"/>
  <c r="BB116" i="9"/>
  <c r="BC70" i="9"/>
  <c r="AM58" i="9"/>
  <c r="BB6" i="9"/>
  <c r="BB127" i="9"/>
  <c r="BA116" i="9"/>
  <c r="BA110" i="9"/>
  <c r="BC108" i="9"/>
  <c r="BC63" i="9"/>
  <c r="AM30" i="9"/>
  <c r="BA6" i="9"/>
  <c r="AK129" i="9"/>
  <c r="BB108" i="9"/>
  <c r="BC97" i="9"/>
  <c r="BC52" i="9"/>
  <c r="BA120" i="9"/>
  <c r="AW116" i="9"/>
  <c r="AL113" i="9"/>
  <c r="AL107" i="9"/>
  <c r="BB97" i="9"/>
  <c r="AM94" i="9"/>
  <c r="AL63" i="9"/>
  <c r="BB60" i="9"/>
  <c r="BB52" i="9"/>
  <c r="BB25" i="9"/>
  <c r="BB7" i="9"/>
  <c r="BB43" i="9"/>
  <c r="BB62" i="9"/>
  <c r="BB89" i="9"/>
  <c r="BB67" i="9"/>
  <c r="BB42" i="9"/>
  <c r="BB41" i="9"/>
  <c r="BB38" i="9"/>
  <c r="BB32" i="9"/>
  <c r="BB70" i="9"/>
  <c r="BB99" i="9"/>
  <c r="BB107" i="9"/>
  <c r="BB120" i="9"/>
  <c r="BB121" i="9"/>
  <c r="BB130" i="9"/>
  <c r="BB111" i="9"/>
  <c r="BB48" i="9"/>
  <c r="BB77" i="9"/>
  <c r="BB119" i="9"/>
  <c r="BB104" i="9"/>
  <c r="BB105" i="9"/>
  <c r="BB112" i="9"/>
  <c r="BB64" i="9"/>
  <c r="BB87" i="9"/>
  <c r="AM129" i="9"/>
  <c r="BC99" i="9"/>
  <c r="AM66" i="9"/>
  <c r="AM3" i="9"/>
  <c r="BA3" i="9"/>
  <c r="BA67" i="9"/>
  <c r="BA11" i="9"/>
  <c r="BA57" i="9"/>
  <c r="BA77" i="9"/>
  <c r="BA38" i="9"/>
  <c r="BA32" i="9"/>
  <c r="BA99" i="9"/>
  <c r="BA93" i="9"/>
  <c r="BA101" i="9"/>
  <c r="BA48" i="9"/>
  <c r="BA56" i="9"/>
  <c r="BA62" i="9"/>
  <c r="BA119" i="9"/>
  <c r="BA118" i="9"/>
  <c r="BA17" i="9"/>
  <c r="BA104" i="9"/>
  <c r="BA105" i="9"/>
  <c r="BA64" i="9"/>
  <c r="BA87" i="9"/>
  <c r="BA71" i="9"/>
  <c r="AK38" i="9"/>
  <c r="AK49" i="9"/>
  <c r="AK73" i="9"/>
  <c r="AK22" i="9"/>
  <c r="AK41" i="9"/>
  <c r="AK65" i="9"/>
  <c r="AK8" i="9"/>
  <c r="AK52" i="9"/>
  <c r="AK7" i="9"/>
  <c r="AK50" i="9"/>
  <c r="AK16" i="9"/>
  <c r="AK31" i="9"/>
  <c r="AK78" i="9"/>
  <c r="AK119" i="9"/>
  <c r="AK14" i="9"/>
  <c r="AK40" i="9"/>
  <c r="AK57" i="9"/>
  <c r="AK92" i="9"/>
  <c r="AK115" i="9"/>
  <c r="AK89" i="9"/>
  <c r="AK103" i="9"/>
  <c r="AK114" i="9"/>
  <c r="AK124" i="9"/>
  <c r="AK70" i="9"/>
  <c r="AK76" i="9"/>
  <c r="AK67" i="9"/>
  <c r="AL129" i="9"/>
  <c r="BB123" i="9"/>
  <c r="BA82" i="9"/>
  <c r="AL66" i="9"/>
  <c r="AL58" i="9"/>
  <c r="AK53" i="9"/>
  <c r="AK17" i="9"/>
  <c r="AK3" i="9"/>
  <c r="BA123" i="9"/>
  <c r="AM113" i="9"/>
  <c r="AM107" i="9"/>
  <c r="BA88" i="9"/>
  <c r="BA86" i="9"/>
  <c r="AM76" i="9"/>
  <c r="AK66" i="9"/>
  <c r="AK58" i="9"/>
  <c r="BC55" i="9"/>
  <c r="BA49" i="9"/>
  <c r="AM47" i="9"/>
  <c r="BC19" i="9"/>
  <c r="AK113" i="9"/>
  <c r="AK107" i="9"/>
  <c r="AK104" i="9"/>
  <c r="AM99" i="9"/>
  <c r="BA97" i="9"/>
  <c r="BC75" i="9"/>
  <c r="BC73" i="9"/>
  <c r="AM70" i="9"/>
  <c r="BC32" i="9"/>
  <c r="BA19" i="9"/>
  <c r="BA5" i="9"/>
  <c r="AL30" i="9"/>
  <c r="AY17" i="9"/>
  <c r="AY32" i="9"/>
  <c r="AY71" i="9"/>
  <c r="AX26" i="9"/>
  <c r="AX79" i="9"/>
  <c r="AX98" i="9"/>
  <c r="AX71" i="9"/>
  <c r="AX106" i="9"/>
  <c r="BM2" i="9"/>
  <c r="BM21" i="9"/>
  <c r="BM108" i="9"/>
  <c r="BM119" i="9"/>
  <c r="BM113" i="9"/>
  <c r="AW47" i="9"/>
  <c r="AW96" i="9"/>
  <c r="AW11" i="9"/>
  <c r="AW98" i="9"/>
  <c r="AW71" i="9"/>
  <c r="AW106" i="9"/>
  <c r="AM130" i="9"/>
  <c r="AK126" i="9"/>
  <c r="BC124" i="9"/>
  <c r="AM119" i="9"/>
  <c r="AK99" i="9"/>
  <c r="BC79" i="9"/>
  <c r="BA75" i="9"/>
  <c r="BB73" i="9"/>
  <c r="AM52" i="9"/>
  <c r="AM36" i="9"/>
  <c r="BA26" i="9"/>
  <c r="AL9" i="9"/>
  <c r="BF6" i="9"/>
  <c r="BF28" i="9"/>
  <c r="BF36" i="9"/>
  <c r="BF69" i="9"/>
  <c r="BF90" i="9"/>
  <c r="BF16" i="9"/>
  <c r="BF31" i="9"/>
  <c r="BF34" i="9"/>
  <c r="BF50" i="9"/>
  <c r="BF68" i="9"/>
  <c r="BF78" i="9"/>
  <c r="BF88" i="9"/>
  <c r="BF4" i="9"/>
  <c r="BF13" i="9"/>
  <c r="BF19" i="9"/>
  <c r="BF26" i="9"/>
  <c r="BF64" i="9"/>
  <c r="BF67" i="9"/>
  <c r="BF41" i="9"/>
  <c r="BF76" i="9"/>
  <c r="BF94" i="9"/>
  <c r="BF66" i="9"/>
  <c r="AN135" i="9"/>
  <c r="BD130" i="9"/>
  <c r="AP128" i="9"/>
  <c r="AP125" i="9"/>
  <c r="BD121" i="9"/>
  <c r="BD120" i="9"/>
  <c r="BD119" i="9"/>
  <c r="AP115" i="9"/>
  <c r="BF107" i="9"/>
  <c r="BD106" i="9"/>
  <c r="BF101" i="9"/>
  <c r="BF96" i="9"/>
  <c r="AP44" i="9"/>
  <c r="AP33" i="9"/>
  <c r="AN18" i="9"/>
  <c r="AP4" i="9"/>
  <c r="AN92" i="9"/>
  <c r="AN73" i="9"/>
  <c r="BF52" i="9"/>
  <c r="BF48" i="9"/>
  <c r="BE31" i="9"/>
  <c r="BE34" i="9"/>
  <c r="BE68" i="9"/>
  <c r="BE58" i="9"/>
  <c r="BE95" i="9"/>
  <c r="BE11" i="9"/>
  <c r="BE76" i="9"/>
  <c r="BE66" i="9"/>
  <c r="BE114" i="9"/>
  <c r="BE36" i="9"/>
  <c r="BE46" i="9"/>
  <c r="BE48" i="9"/>
  <c r="BE53" i="9"/>
  <c r="BE71" i="9"/>
  <c r="AO133" i="9"/>
  <c r="AO18" i="9"/>
  <c r="AO57" i="9"/>
  <c r="AO60" i="9"/>
  <c r="AO25" i="9"/>
  <c r="AO48" i="9"/>
  <c r="AO69" i="9"/>
  <c r="AO74" i="9"/>
  <c r="AO85" i="9"/>
  <c r="AO89" i="9"/>
  <c r="AO104" i="9"/>
  <c r="AO110" i="9"/>
  <c r="AO50" i="9"/>
  <c r="BF132" i="9"/>
  <c r="BF131" i="9"/>
  <c r="AO128" i="9"/>
  <c r="AP117" i="9"/>
  <c r="AP116" i="9"/>
  <c r="AO115" i="9"/>
  <c r="AP111" i="9"/>
  <c r="AP110" i="9"/>
  <c r="BE101" i="9"/>
  <c r="AP99" i="9"/>
  <c r="AN95" i="9"/>
  <c r="BD93" i="9"/>
  <c r="BF82" i="9"/>
  <c r="BF80" i="9"/>
  <c r="AN79" i="9"/>
  <c r="BE62" i="9"/>
  <c r="BE52" i="9"/>
  <c r="AO44" i="9"/>
  <c r="AN38" i="9"/>
  <c r="AN31" i="9"/>
  <c r="BF20" i="9"/>
  <c r="AP16" i="9"/>
  <c r="AP6" i="9"/>
  <c r="AP13" i="9"/>
  <c r="AP27" i="9"/>
  <c r="AP82" i="9"/>
  <c r="AP93" i="9"/>
  <c r="AP18" i="9"/>
  <c r="AP57" i="9"/>
  <c r="AP60" i="9"/>
  <c r="AP37" i="9"/>
  <c r="AP49" i="9"/>
  <c r="AP56" i="9"/>
  <c r="AP76" i="9"/>
  <c r="AP87" i="9"/>
  <c r="AP22" i="9"/>
  <c r="AP36" i="9"/>
  <c r="AP55" i="9"/>
  <c r="AP79" i="9"/>
  <c r="AP7" i="9"/>
  <c r="AP69" i="9"/>
  <c r="AP74" i="9"/>
  <c r="AP85" i="9"/>
  <c r="AP89" i="9"/>
  <c r="AP104" i="9"/>
  <c r="AP109" i="9"/>
  <c r="BD68" i="9"/>
  <c r="BD78" i="9"/>
  <c r="BD83" i="9"/>
  <c r="BD58" i="9"/>
  <c r="BD30" i="9"/>
  <c r="BD43" i="9"/>
  <c r="BD54" i="9"/>
  <c r="BD62" i="9"/>
  <c r="BD66" i="9"/>
  <c r="BD89" i="9"/>
  <c r="BD36" i="9"/>
  <c r="BD46" i="9"/>
  <c r="BD48" i="9"/>
  <c r="BD53" i="9"/>
  <c r="BD71" i="9"/>
  <c r="AN6" i="9"/>
  <c r="AN76" i="9"/>
  <c r="AN87" i="9"/>
  <c r="AN25" i="9"/>
  <c r="AN48" i="9"/>
  <c r="AN2" i="9"/>
  <c r="AN15" i="9"/>
  <c r="AN23" i="9"/>
  <c r="AN72" i="9"/>
  <c r="AN74" i="9"/>
  <c r="AN50" i="9"/>
  <c r="AN111" i="9"/>
  <c r="AN124" i="9"/>
  <c r="AN126" i="9"/>
  <c r="AN88" i="9"/>
  <c r="AN97" i="9"/>
  <c r="BD132" i="9"/>
  <c r="AN110" i="9"/>
  <c r="BF85" i="9"/>
  <c r="AP84" i="9"/>
  <c r="BF58" i="9"/>
  <c r="BD52" i="9"/>
  <c r="BF45" i="9"/>
  <c r="BF39" i="9"/>
  <c r="BF32" i="9"/>
  <c r="BF22" i="9"/>
  <c r="BE20" i="9"/>
  <c r="BF12" i="9"/>
  <c r="AP10" i="9"/>
  <c r="AU83" i="9"/>
  <c r="BM80" i="9"/>
  <c r="BL66" i="9"/>
  <c r="BM65" i="9"/>
  <c r="BM54" i="9"/>
  <c r="BM53" i="9"/>
  <c r="AW49" i="9"/>
  <c r="AX47" i="9"/>
  <c r="AU46" i="9"/>
  <c r="AW36" i="9"/>
  <c r="AY26" i="9"/>
  <c r="BL24" i="9"/>
  <c r="AU23" i="9"/>
  <c r="AZ20" i="9"/>
  <c r="AZ7" i="9"/>
  <c r="AZ23" i="9"/>
  <c r="AZ4" i="9"/>
  <c r="AZ13" i="9"/>
  <c r="AZ28" i="9"/>
  <c r="AZ44" i="9"/>
  <c r="AZ60" i="9"/>
  <c r="AZ16" i="9"/>
  <c r="AZ33" i="9"/>
  <c r="AZ49" i="9"/>
  <c r="AZ6" i="9"/>
  <c r="AZ14" i="9"/>
  <c r="AZ46" i="9"/>
  <c r="AZ58" i="9"/>
  <c r="AZ63" i="9"/>
  <c r="AZ79" i="9"/>
  <c r="AZ95" i="9"/>
  <c r="AZ111" i="9"/>
  <c r="AZ127" i="9"/>
  <c r="AZ105" i="9"/>
  <c r="AZ2" i="9"/>
  <c r="AZ18" i="9"/>
  <c r="AZ22" i="9"/>
  <c r="AZ41" i="9"/>
  <c r="AZ53" i="9"/>
  <c r="AZ68" i="9"/>
  <c r="AZ84" i="9"/>
  <c r="AZ100" i="9"/>
  <c r="AZ116" i="9"/>
  <c r="AZ132" i="9"/>
  <c r="AZ73" i="9"/>
  <c r="AZ11" i="9"/>
  <c r="AZ25" i="9"/>
  <c r="AZ48" i="9"/>
  <c r="AZ15" i="9"/>
  <c r="AZ72" i="9"/>
  <c r="AZ80" i="9"/>
  <c r="AZ117" i="9"/>
  <c r="AZ129" i="9"/>
  <c r="AZ66" i="9"/>
  <c r="AZ70" i="9"/>
  <c r="AZ76" i="9"/>
  <c r="AZ112" i="9"/>
  <c r="AZ124" i="9"/>
  <c r="AZ10" i="9"/>
  <c r="AZ29" i="9"/>
  <c r="AZ61" i="9"/>
  <c r="AZ74" i="9"/>
  <c r="AZ19" i="9"/>
  <c r="AZ31" i="9"/>
  <c r="AZ119" i="9"/>
  <c r="AZ131" i="9"/>
  <c r="AZ3" i="9"/>
  <c r="AZ39" i="9"/>
  <c r="AZ40" i="9"/>
  <c r="AZ50" i="9"/>
  <c r="AZ88" i="9"/>
  <c r="AZ110" i="9"/>
  <c r="AZ122" i="9"/>
  <c r="AZ69" i="9"/>
  <c r="AZ92" i="9"/>
  <c r="AZ96" i="9"/>
  <c r="AZ85" i="9"/>
  <c r="AZ97" i="9"/>
  <c r="AZ21" i="9"/>
  <c r="AZ9" i="9"/>
  <c r="AZ42" i="9"/>
  <c r="AZ43" i="9"/>
  <c r="AZ51" i="9"/>
  <c r="AZ52" i="9"/>
  <c r="AZ89" i="9"/>
  <c r="AZ104" i="9"/>
  <c r="AZ107" i="9"/>
  <c r="AZ114" i="9"/>
  <c r="AZ134" i="9"/>
  <c r="AZ120" i="9"/>
  <c r="AZ126" i="9"/>
  <c r="AZ24" i="9"/>
  <c r="AZ62" i="9"/>
  <c r="AZ123" i="9"/>
  <c r="AZ8" i="9"/>
  <c r="AZ93" i="9"/>
  <c r="AJ2" i="9"/>
  <c r="AJ41" i="9"/>
  <c r="AY2" i="9"/>
  <c r="AY12" i="9"/>
  <c r="AY4" i="9"/>
  <c r="AY13" i="9"/>
  <c r="AY23" i="9"/>
  <c r="AY28" i="9"/>
  <c r="AY16" i="9"/>
  <c r="AY33" i="9"/>
  <c r="AY49" i="9"/>
  <c r="AY6" i="9"/>
  <c r="AY38" i="9"/>
  <c r="AY54" i="9"/>
  <c r="AY9" i="9"/>
  <c r="AY19" i="9"/>
  <c r="AY27" i="9"/>
  <c r="AY18" i="9"/>
  <c r="AY22" i="9"/>
  <c r="AY41" i="9"/>
  <c r="AY53" i="9"/>
  <c r="AY68" i="9"/>
  <c r="AY84" i="9"/>
  <c r="AY100" i="9"/>
  <c r="AY116" i="9"/>
  <c r="AY132" i="9"/>
  <c r="AY94" i="9"/>
  <c r="AY7" i="9"/>
  <c r="AY11" i="9"/>
  <c r="AY25" i="9"/>
  <c r="AY48" i="9"/>
  <c r="AY73" i="9"/>
  <c r="AY89" i="9"/>
  <c r="AY105" i="9"/>
  <c r="AY121" i="9"/>
  <c r="AY78" i="9"/>
  <c r="AY3" i="9"/>
  <c r="AY15" i="9"/>
  <c r="AY43" i="9"/>
  <c r="AY10" i="9"/>
  <c r="AY29" i="9"/>
  <c r="AY61" i="9"/>
  <c r="AY66" i="9"/>
  <c r="AY70" i="9"/>
  <c r="AY74" i="9"/>
  <c r="AY76" i="9"/>
  <c r="AY112" i="9"/>
  <c r="AY124" i="9"/>
  <c r="AY131" i="9"/>
  <c r="AY44" i="9"/>
  <c r="AY51" i="9"/>
  <c r="AY58" i="9"/>
  <c r="AY99" i="9"/>
  <c r="AY114" i="9"/>
  <c r="AY31" i="9"/>
  <c r="AY119" i="9"/>
  <c r="AY126" i="9"/>
  <c r="AY14" i="9"/>
  <c r="AY30" i="9"/>
  <c r="AY37" i="9"/>
  <c r="AY64" i="9"/>
  <c r="AY69" i="9"/>
  <c r="AY79" i="9"/>
  <c r="AY92" i="9"/>
  <c r="AY96" i="9"/>
  <c r="AY104" i="9"/>
  <c r="AY107" i="9"/>
  <c r="AY134" i="9"/>
  <c r="AY80" i="9"/>
  <c r="AY93" i="9"/>
  <c r="AY111" i="9"/>
  <c r="AY42" i="9"/>
  <c r="AY52" i="9"/>
  <c r="AY24" i="9"/>
  <c r="AY62" i="9"/>
  <c r="AY120" i="9"/>
  <c r="AY123" i="9"/>
  <c r="AY21" i="9"/>
  <c r="AY129" i="9"/>
  <c r="AY67" i="9"/>
  <c r="AY81" i="9"/>
  <c r="AY8" i="9"/>
  <c r="AY85" i="9"/>
  <c r="AY97" i="9"/>
  <c r="AY117" i="9"/>
  <c r="AY101" i="9"/>
  <c r="AY77" i="9"/>
  <c r="AJ104" i="9"/>
  <c r="AJ40" i="9"/>
  <c r="AY122" i="9"/>
  <c r="AZ67" i="9"/>
  <c r="AJ134" i="9"/>
  <c r="AX122" i="9"/>
  <c r="AZ115" i="9"/>
  <c r="BM6" i="9"/>
  <c r="BM22" i="9"/>
  <c r="BM9" i="9"/>
  <c r="BM19" i="9"/>
  <c r="BM27" i="9"/>
  <c r="BM43" i="9"/>
  <c r="BM59" i="9"/>
  <c r="BM12" i="9"/>
  <c r="BM32" i="9"/>
  <c r="BM48" i="9"/>
  <c r="BM3" i="9"/>
  <c r="BM15" i="9"/>
  <c r="BM4" i="9"/>
  <c r="BM26" i="9"/>
  <c r="BM36" i="9"/>
  <c r="BM55" i="9"/>
  <c r="BM78" i="9"/>
  <c r="BM94" i="9"/>
  <c r="BM110" i="9"/>
  <c r="BM126" i="9"/>
  <c r="BM88" i="9"/>
  <c r="BM5" i="9"/>
  <c r="BM23" i="9"/>
  <c r="BM38" i="9"/>
  <c r="BM50" i="9"/>
  <c r="BM62" i="9"/>
  <c r="BM67" i="9"/>
  <c r="BM83" i="9"/>
  <c r="BM99" i="9"/>
  <c r="BM115" i="9"/>
  <c r="BM131" i="9"/>
  <c r="BM104" i="9"/>
  <c r="BM16" i="9"/>
  <c r="BM34" i="9"/>
  <c r="BM45" i="9"/>
  <c r="BM57" i="9"/>
  <c r="BM72" i="9"/>
  <c r="BM33" i="9"/>
  <c r="BM42" i="9"/>
  <c r="BM85" i="9"/>
  <c r="BM87" i="9"/>
  <c r="BM93" i="9"/>
  <c r="BM81" i="9"/>
  <c r="BM121" i="9"/>
  <c r="BM133" i="9"/>
  <c r="BM49" i="9"/>
  <c r="BM25" i="9"/>
  <c r="BM95" i="9"/>
  <c r="BM56" i="9"/>
  <c r="BM77" i="9"/>
  <c r="BM89" i="9"/>
  <c r="BM116" i="9"/>
  <c r="BM91" i="9"/>
  <c r="BM128" i="9"/>
  <c r="BM37" i="9"/>
  <c r="BM46" i="9"/>
  <c r="BM47" i="9"/>
  <c r="BM74" i="9"/>
  <c r="BM98" i="9"/>
  <c r="BM63" i="9"/>
  <c r="BM71" i="9"/>
  <c r="BM82" i="9"/>
  <c r="BM86" i="9"/>
  <c r="BM90" i="9"/>
  <c r="BM124" i="9"/>
  <c r="BM132" i="9"/>
  <c r="BM68" i="9"/>
  <c r="BM40" i="9"/>
  <c r="BM64" i="9"/>
  <c r="BM18" i="9"/>
  <c r="BM35" i="9"/>
  <c r="BM11" i="9"/>
  <c r="BM105" i="9"/>
  <c r="BM118" i="9"/>
  <c r="BM17" i="9"/>
  <c r="BM29" i="9"/>
  <c r="BM127" i="9"/>
  <c r="BM130" i="9"/>
  <c r="BM39" i="9"/>
  <c r="BM30" i="9"/>
  <c r="BM31" i="9"/>
  <c r="BM112" i="9"/>
  <c r="BM102" i="9"/>
  <c r="BM10" i="9"/>
  <c r="BM58" i="9"/>
  <c r="AJ133" i="9"/>
  <c r="AJ66" i="9"/>
  <c r="AW130" i="9"/>
  <c r="AZ103" i="9"/>
  <c r="AZ94" i="9"/>
  <c r="AX92" i="9"/>
  <c r="BM73" i="9"/>
  <c r="AZ56" i="9"/>
  <c r="AV6" i="9"/>
  <c r="AV11" i="9"/>
  <c r="AV9" i="9"/>
  <c r="AV19" i="9"/>
  <c r="AV27" i="9"/>
  <c r="AV32" i="9"/>
  <c r="AV48" i="9"/>
  <c r="AV12" i="9"/>
  <c r="AV22" i="9"/>
  <c r="AV37" i="9"/>
  <c r="AV53" i="9"/>
  <c r="AV15" i="9"/>
  <c r="AV26" i="9"/>
  <c r="AV3" i="9"/>
  <c r="AV31" i="9"/>
  <c r="AV60" i="9"/>
  <c r="AV67" i="9"/>
  <c r="AV83" i="9"/>
  <c r="AV99" i="9"/>
  <c r="AV115" i="9"/>
  <c r="AV131" i="9"/>
  <c r="AV93" i="9"/>
  <c r="AV8" i="9"/>
  <c r="AV28" i="9"/>
  <c r="AV43" i="9"/>
  <c r="AV55" i="9"/>
  <c r="AV72" i="9"/>
  <c r="AV88" i="9"/>
  <c r="AV104" i="9"/>
  <c r="AV120" i="9"/>
  <c r="AV62" i="9"/>
  <c r="AV36" i="9"/>
  <c r="AV50" i="9"/>
  <c r="AV77" i="9"/>
  <c r="AV16" i="9"/>
  <c r="AV101" i="9"/>
  <c r="AV103" i="9"/>
  <c r="AV107" i="9"/>
  <c r="AV109" i="9"/>
  <c r="AV87" i="9"/>
  <c r="AV17" i="9"/>
  <c r="AV18" i="9"/>
  <c r="AV41" i="9"/>
  <c r="AV97" i="9"/>
  <c r="AV105" i="9"/>
  <c r="AV126" i="9"/>
  <c r="AV52" i="9"/>
  <c r="AV85" i="9"/>
  <c r="AV121" i="9"/>
  <c r="AV20" i="9"/>
  <c r="AV21" i="9"/>
  <c r="AV45" i="9"/>
  <c r="AV133" i="9"/>
  <c r="AV23" i="9"/>
  <c r="AV89" i="9"/>
  <c r="AV117" i="9"/>
  <c r="AV61" i="9"/>
  <c r="AV73" i="9"/>
  <c r="AV80" i="9"/>
  <c r="AV111" i="9"/>
  <c r="AV114" i="9"/>
  <c r="AV129" i="9"/>
  <c r="AV86" i="9"/>
  <c r="AV90" i="9"/>
  <c r="AV51" i="9"/>
  <c r="AV70" i="9"/>
  <c r="AV81" i="9"/>
  <c r="AV63" i="9"/>
  <c r="AV132" i="9"/>
  <c r="AV135" i="9"/>
  <c r="AV14" i="9"/>
  <c r="AV44" i="9"/>
  <c r="AV71" i="9"/>
  <c r="AV2" i="9"/>
  <c r="AV108" i="9"/>
  <c r="AV98" i="9"/>
  <c r="AV74" i="9"/>
  <c r="AJ132" i="9"/>
  <c r="AJ65" i="9"/>
  <c r="BL134" i="9"/>
  <c r="AV122" i="9"/>
  <c r="AY103" i="9"/>
  <c r="AW95" i="9"/>
  <c r="AV58" i="9"/>
  <c r="AY56" i="9"/>
  <c r="AW54" i="9"/>
  <c r="AW52" i="9"/>
  <c r="BL13" i="9"/>
  <c r="BM7" i="9"/>
  <c r="BK6" i="9"/>
  <c r="BK16" i="9"/>
  <c r="BK12" i="9"/>
  <c r="BK22" i="9"/>
  <c r="BK32" i="9"/>
  <c r="BK3" i="9"/>
  <c r="BK15" i="9"/>
  <c r="BK37" i="9"/>
  <c r="BK53" i="9"/>
  <c r="BK26" i="9"/>
  <c r="BK42" i="9"/>
  <c r="BK58" i="9"/>
  <c r="BK5" i="9"/>
  <c r="BK8" i="9"/>
  <c r="BK18" i="9"/>
  <c r="BK31" i="9"/>
  <c r="BK34" i="9"/>
  <c r="BK45" i="9"/>
  <c r="BK57" i="9"/>
  <c r="BK72" i="9"/>
  <c r="BK88" i="9"/>
  <c r="BK104" i="9"/>
  <c r="BK120" i="9"/>
  <c r="BK20" i="9"/>
  <c r="BK29" i="9"/>
  <c r="BK40" i="9"/>
  <c r="BK52" i="9"/>
  <c r="BK77" i="9"/>
  <c r="BK93" i="9"/>
  <c r="BK109" i="9"/>
  <c r="BK125" i="9"/>
  <c r="BK66" i="9"/>
  <c r="BK98" i="9"/>
  <c r="BK9" i="9"/>
  <c r="BK47" i="9"/>
  <c r="BK82" i="9"/>
  <c r="BK49" i="9"/>
  <c r="BK56" i="9"/>
  <c r="BK83" i="9"/>
  <c r="BK89" i="9"/>
  <c r="BK91" i="9"/>
  <c r="BK116" i="9"/>
  <c r="BK128" i="9"/>
  <c r="BK69" i="9"/>
  <c r="BK71" i="9"/>
  <c r="BK79" i="9"/>
  <c r="BK75" i="9"/>
  <c r="BK111" i="9"/>
  <c r="BK123" i="9"/>
  <c r="BK135" i="9"/>
  <c r="BK46" i="9"/>
  <c r="BK65" i="9"/>
  <c r="BK73" i="9"/>
  <c r="BK118" i="9"/>
  <c r="BK130" i="9"/>
  <c r="BK39" i="9"/>
  <c r="BK36" i="9"/>
  <c r="BK55" i="9"/>
  <c r="BK105" i="9"/>
  <c r="BK94" i="9"/>
  <c r="BK112" i="9"/>
  <c r="BK115" i="9"/>
  <c r="BK27" i="9"/>
  <c r="BK38" i="9"/>
  <c r="BK11" i="9"/>
  <c r="BK19" i="9"/>
  <c r="BK30" i="9"/>
  <c r="BK17" i="9"/>
  <c r="BK68" i="9"/>
  <c r="BK78" i="9"/>
  <c r="BK102" i="9"/>
  <c r="BK127" i="9"/>
  <c r="BK48" i="9"/>
  <c r="BK64" i="9"/>
  <c r="BK121" i="9"/>
  <c r="BK87" i="9"/>
  <c r="BK4" i="9"/>
  <c r="BK59" i="9"/>
  <c r="BK10" i="9"/>
  <c r="BK33" i="9"/>
  <c r="AU6" i="9"/>
  <c r="AU16" i="9"/>
  <c r="AU32" i="9"/>
  <c r="AU12" i="9"/>
  <c r="AU22" i="9"/>
  <c r="AU37" i="9"/>
  <c r="AU53" i="9"/>
  <c r="AU15" i="9"/>
  <c r="AU26" i="9"/>
  <c r="AU42" i="9"/>
  <c r="AU58" i="9"/>
  <c r="AU3" i="9"/>
  <c r="AU31" i="9"/>
  <c r="AU8" i="9"/>
  <c r="AU28" i="9"/>
  <c r="AU43" i="9"/>
  <c r="AU55" i="9"/>
  <c r="AU72" i="9"/>
  <c r="AU88" i="9"/>
  <c r="AU104" i="9"/>
  <c r="AU120" i="9"/>
  <c r="AU98" i="9"/>
  <c r="AU36" i="9"/>
  <c r="AU50" i="9"/>
  <c r="AU62" i="9"/>
  <c r="AU77" i="9"/>
  <c r="AU93" i="9"/>
  <c r="AU109" i="9"/>
  <c r="AU125" i="9"/>
  <c r="AU82" i="9"/>
  <c r="AU38" i="9"/>
  <c r="AU45" i="9"/>
  <c r="AU57" i="9"/>
  <c r="AU66" i="9"/>
  <c r="AU17" i="9"/>
  <c r="AU18" i="9"/>
  <c r="AU41" i="9"/>
  <c r="AU97" i="9"/>
  <c r="AU105" i="9"/>
  <c r="AU126" i="9"/>
  <c r="AU52" i="9"/>
  <c r="AU85" i="9"/>
  <c r="AU87" i="9"/>
  <c r="AU99" i="9"/>
  <c r="AU121" i="9"/>
  <c r="AU89" i="9"/>
  <c r="AU19" i="9"/>
  <c r="AU20" i="9"/>
  <c r="AU21" i="9"/>
  <c r="AU133" i="9"/>
  <c r="AU91" i="9"/>
  <c r="AU95" i="9"/>
  <c r="AU128" i="9"/>
  <c r="AU48" i="9"/>
  <c r="AU81" i="9"/>
  <c r="AU116" i="9"/>
  <c r="AU51" i="9"/>
  <c r="AU61" i="9"/>
  <c r="AU73" i="9"/>
  <c r="AU80" i="9"/>
  <c r="AU107" i="9"/>
  <c r="AU111" i="9"/>
  <c r="AU114" i="9"/>
  <c r="AU129" i="9"/>
  <c r="AU70" i="9"/>
  <c r="AU71" i="9"/>
  <c r="AU90" i="9"/>
  <c r="AU9" i="9"/>
  <c r="AU2" i="9"/>
  <c r="AU63" i="9"/>
  <c r="AU108" i="9"/>
  <c r="AU132" i="9"/>
  <c r="AU135" i="9"/>
  <c r="AU101" i="9"/>
  <c r="AU14" i="9"/>
  <c r="AU74" i="9"/>
  <c r="AU86" i="9"/>
  <c r="AU124" i="9"/>
  <c r="AU7" i="9"/>
  <c r="AU54" i="9"/>
  <c r="AU44" i="9"/>
  <c r="AU67" i="9"/>
  <c r="AJ126" i="9"/>
  <c r="AJ62" i="9"/>
  <c r="BK134" i="9"/>
  <c r="BK132" i="9"/>
  <c r="AY127" i="9"/>
  <c r="BM125" i="9"/>
  <c r="AV92" i="9"/>
  <c r="AZ77" i="9"/>
  <c r="AZ59" i="9"/>
  <c r="AV29" i="9"/>
  <c r="AW25" i="9"/>
  <c r="BK13" i="9"/>
  <c r="BL7" i="9"/>
  <c r="AJ61" i="9"/>
  <c r="AW113" i="9"/>
  <c r="AX102" i="9"/>
  <c r="AU78" i="9"/>
  <c r="AY59" i="9"/>
  <c r="AW56" i="9"/>
  <c r="BL47" i="9"/>
  <c r="AW42" i="9"/>
  <c r="AV34" i="9"/>
  <c r="AU29" i="9"/>
  <c r="AV25" i="9"/>
  <c r="AJ60" i="9"/>
  <c r="BK131" i="9"/>
  <c r="AV128" i="9"/>
  <c r="AW112" i="9"/>
  <c r="AW102" i="9"/>
  <c r="BL97" i="9"/>
  <c r="AZ87" i="9"/>
  <c r="AZ82" i="9"/>
  <c r="AV56" i="9"/>
  <c r="AV30" i="9"/>
  <c r="AJ87" i="9"/>
  <c r="AW121" i="9"/>
  <c r="AV112" i="9"/>
  <c r="BL96" i="9"/>
  <c r="AX91" i="9"/>
  <c r="AY87" i="9"/>
  <c r="AV84" i="9"/>
  <c r="AY82" i="9"/>
  <c r="BL70" i="9"/>
  <c r="AY60" i="9"/>
  <c r="AU56" i="9"/>
  <c r="AY46" i="9"/>
  <c r="AU35" i="9"/>
  <c r="AU30" i="9"/>
  <c r="AJ122" i="9"/>
  <c r="AJ22" i="9"/>
  <c r="AU127" i="9"/>
  <c r="BM122" i="9"/>
  <c r="BL117" i="9"/>
  <c r="AX100" i="9"/>
  <c r="BK95" i="9"/>
  <c r="AX87" i="9"/>
  <c r="AU84" i="9"/>
  <c r="AX82" i="9"/>
  <c r="AV75" i="9"/>
  <c r="BM69" i="9"/>
  <c r="AU60" i="9"/>
  <c r="BM51" i="9"/>
  <c r="AV13" i="9"/>
  <c r="AJ85" i="9"/>
  <c r="AY135" i="9"/>
  <c r="BM123" i="9"/>
  <c r="AW119" i="9"/>
  <c r="BK117" i="9"/>
  <c r="AZ108" i="9"/>
  <c r="AW82" i="9"/>
  <c r="BL51" i="9"/>
  <c r="AZ47" i="9"/>
  <c r="AY36" i="9"/>
  <c r="AU13" i="9"/>
  <c r="AU10" i="9"/>
  <c r="AV7" i="9"/>
  <c r="AJ115" i="9"/>
  <c r="AJ46" i="9"/>
  <c r="AX135" i="9"/>
  <c r="BK122" i="9"/>
  <c r="AV119" i="9"/>
  <c r="AY83" i="9"/>
  <c r="BM79" i="9"/>
  <c r="BM66" i="9"/>
  <c r="AX49" i="9"/>
  <c r="BL28" i="9"/>
  <c r="AZ26" i="9"/>
  <c r="BM24" i="9"/>
  <c r="AJ45" i="9"/>
  <c r="AU119" i="9"/>
  <c r="AY118" i="9"/>
  <c r="AZ109" i="9"/>
  <c r="AX108" i="9"/>
  <c r="BM103" i="9"/>
  <c r="AU100" i="9"/>
  <c r="AJ108" i="9"/>
  <c r="AJ82" i="9"/>
  <c r="AJ44" i="9"/>
  <c r="AJ13" i="9"/>
  <c r="AZ133" i="9"/>
  <c r="AU131" i="9"/>
  <c r="BM129" i="9"/>
  <c r="AX118" i="9"/>
  <c r="BM114" i="9"/>
  <c r="AY109" i="9"/>
  <c r="BL103" i="9"/>
  <c r="BL80" i="9"/>
  <c r="AZ65" i="9"/>
  <c r="BL54" i="9"/>
  <c r="BM52" i="9"/>
  <c r="AY50" i="9"/>
  <c r="AV49" i="9"/>
  <c r="BM41" i="9"/>
  <c r="BK24" i="9"/>
  <c r="AY20" i="9"/>
  <c r="AY5" i="9"/>
  <c r="BL2" i="9"/>
  <c r="AJ105" i="9"/>
  <c r="AJ10" i="9"/>
  <c r="AZ37" i="9"/>
  <c r="AJ135" i="9"/>
  <c r="AJ68" i="9"/>
  <c r="AY40" i="9"/>
  <c r="AX17" i="9"/>
  <c r="AX16" i="9"/>
  <c r="AX33" i="9"/>
  <c r="AX6" i="9"/>
  <c r="AX38" i="9"/>
  <c r="AX54" i="9"/>
  <c r="AX9" i="9"/>
  <c r="AX19" i="9"/>
  <c r="AX27" i="9"/>
  <c r="AX43" i="9"/>
  <c r="AX59" i="9"/>
  <c r="AX22" i="9"/>
  <c r="AX32" i="9"/>
  <c r="AX2" i="9"/>
  <c r="AX7" i="9"/>
  <c r="AX11" i="9"/>
  <c r="AX25" i="9"/>
  <c r="AX48" i="9"/>
  <c r="AX73" i="9"/>
  <c r="AX89" i="9"/>
  <c r="AX105" i="9"/>
  <c r="AX121" i="9"/>
  <c r="AX83" i="9"/>
  <c r="AX99" i="9"/>
  <c r="AX3" i="9"/>
  <c r="AX15" i="9"/>
  <c r="AX78" i="9"/>
  <c r="AX94" i="9"/>
  <c r="AX110" i="9"/>
  <c r="AX126" i="9"/>
  <c r="AX67" i="9"/>
  <c r="AX31" i="9"/>
  <c r="AX60" i="9"/>
  <c r="AX68" i="9"/>
  <c r="AX119" i="9"/>
  <c r="AX131" i="9"/>
  <c r="AX44" i="9"/>
  <c r="AX114" i="9"/>
  <c r="AX101" i="9"/>
  <c r="AX103" i="9"/>
  <c r="AX13" i="9"/>
  <c r="AX14" i="9"/>
  <c r="AX30" i="9"/>
  <c r="AX37" i="9"/>
  <c r="AX51" i="9"/>
  <c r="AX58" i="9"/>
  <c r="AX64" i="9"/>
  <c r="AX109" i="9"/>
  <c r="AX55" i="9"/>
  <c r="AX107" i="9"/>
  <c r="AX42" i="9"/>
  <c r="AX52" i="9"/>
  <c r="AX84" i="9"/>
  <c r="AX104" i="9"/>
  <c r="AX134" i="9"/>
  <c r="AX62" i="9"/>
  <c r="AX66" i="9"/>
  <c r="AX76" i="9"/>
  <c r="AX120" i="9"/>
  <c r="AX123" i="9"/>
  <c r="AX63" i="9"/>
  <c r="AX10" i="9"/>
  <c r="AX24" i="9"/>
  <c r="AX8" i="9"/>
  <c r="AX23" i="9"/>
  <c r="AX85" i="9"/>
  <c r="AX97" i="9"/>
  <c r="AX117" i="9"/>
  <c r="AX53" i="9"/>
  <c r="AX61" i="9"/>
  <c r="AX80" i="9"/>
  <c r="AX93" i="9"/>
  <c r="AX70" i="9"/>
  <c r="AX77" i="9"/>
  <c r="AX81" i="9"/>
  <c r="AX21" i="9"/>
  <c r="AX111" i="9"/>
  <c r="AX129" i="9"/>
  <c r="AJ103" i="9"/>
  <c r="AX130" i="9"/>
  <c r="AY95" i="9"/>
  <c r="AX40" i="9"/>
  <c r="AW3" i="9"/>
  <c r="AW22" i="9"/>
  <c r="AW6" i="9"/>
  <c r="AW38" i="9"/>
  <c r="AW9" i="9"/>
  <c r="AW19" i="9"/>
  <c r="AW27" i="9"/>
  <c r="AW43" i="9"/>
  <c r="AW59" i="9"/>
  <c r="AW32" i="9"/>
  <c r="AW48" i="9"/>
  <c r="AW12" i="9"/>
  <c r="AW15" i="9"/>
  <c r="AW78" i="9"/>
  <c r="AW94" i="9"/>
  <c r="AW110" i="9"/>
  <c r="AW126" i="9"/>
  <c r="AW104" i="9"/>
  <c r="AW31" i="9"/>
  <c r="AW60" i="9"/>
  <c r="AW67" i="9"/>
  <c r="AW83" i="9"/>
  <c r="AW99" i="9"/>
  <c r="AW115" i="9"/>
  <c r="AW131" i="9"/>
  <c r="AW72" i="9"/>
  <c r="AW88" i="9"/>
  <c r="AW8" i="9"/>
  <c r="AW28" i="9"/>
  <c r="AW55" i="9"/>
  <c r="AW13" i="9"/>
  <c r="AW14" i="9"/>
  <c r="AW30" i="9"/>
  <c r="AW37" i="9"/>
  <c r="AW44" i="9"/>
  <c r="AW51" i="9"/>
  <c r="AW58" i="9"/>
  <c r="AW64" i="9"/>
  <c r="AW114" i="9"/>
  <c r="AW103" i="9"/>
  <c r="AW16" i="9"/>
  <c r="AW101" i="9"/>
  <c r="AW107" i="9"/>
  <c r="AW109" i="9"/>
  <c r="AW97" i="9"/>
  <c r="AW17" i="9"/>
  <c r="AW18" i="9"/>
  <c r="AW41" i="9"/>
  <c r="AW62" i="9"/>
  <c r="AW105" i="9"/>
  <c r="AW10" i="9"/>
  <c r="AW24" i="9"/>
  <c r="AW66" i="9"/>
  <c r="AW76" i="9"/>
  <c r="AW120" i="9"/>
  <c r="AW123" i="9"/>
  <c r="AW85" i="9"/>
  <c r="AW89" i="9"/>
  <c r="AW117" i="9"/>
  <c r="AW20" i="9"/>
  <c r="AW45" i="9"/>
  <c r="AW23" i="9"/>
  <c r="AW21" i="9"/>
  <c r="AW53" i="9"/>
  <c r="AW61" i="9"/>
  <c r="AW73" i="9"/>
  <c r="AW80" i="9"/>
  <c r="AW93" i="9"/>
  <c r="AW111" i="9"/>
  <c r="AW129" i="9"/>
  <c r="AW77" i="9"/>
  <c r="AW63" i="9"/>
  <c r="AW132" i="9"/>
  <c r="AW70" i="9"/>
  <c r="AW81" i="9"/>
  <c r="AW2" i="9"/>
  <c r="AW108" i="9"/>
  <c r="AW135" i="9"/>
  <c r="AJ35" i="9"/>
  <c r="BM134" i="9"/>
  <c r="AZ128" i="9"/>
  <c r="AW122" i="9"/>
  <c r="AY115" i="9"/>
  <c r="AZ113" i="9"/>
  <c r="AZ57" i="9"/>
  <c r="AZ54" i="9"/>
  <c r="AZ35" i="9"/>
  <c r="AX29" i="9"/>
  <c r="AX28" i="9"/>
  <c r="AX18" i="9"/>
  <c r="AV130" i="9"/>
  <c r="AY128" i="9"/>
  <c r="AX115" i="9"/>
  <c r="AY113" i="9"/>
  <c r="BM106" i="9"/>
  <c r="AZ102" i="9"/>
  <c r="AW92" i="9"/>
  <c r="AZ78" i="9"/>
  <c r="BL73" i="9"/>
  <c r="AY57" i="9"/>
  <c r="AV40" i="9"/>
  <c r="AX34" i="9"/>
  <c r="BL4" i="9"/>
  <c r="AJ33" i="9"/>
  <c r="AX128" i="9"/>
  <c r="BL106" i="9"/>
  <c r="AU103" i="9"/>
  <c r="AV78" i="9"/>
  <c r="BK62" i="9"/>
  <c r="AX57" i="9"/>
  <c r="AV54" i="9"/>
  <c r="AU40" i="9"/>
  <c r="AX35" i="9"/>
  <c r="AJ89" i="9"/>
  <c r="AW128" i="9"/>
  <c r="BL125" i="9"/>
  <c r="AX112" i="9"/>
  <c r="BK106" i="9"/>
  <c r="AU92" i="9"/>
  <c r="AY90" i="9"/>
  <c r="AZ86" i="9"/>
  <c r="AV76" i="9"/>
  <c r="BK63" i="9"/>
  <c r="AW57" i="9"/>
  <c r="AW35" i="9"/>
  <c r="BK23" i="9"/>
  <c r="BK7" i="9"/>
  <c r="AJ124" i="9"/>
  <c r="AZ121" i="9"/>
  <c r="AV113" i="9"/>
  <c r="AY91" i="9"/>
  <c r="AV59" i="9"/>
  <c r="AU34" i="9"/>
  <c r="AU25" i="9"/>
  <c r="BM20" i="9"/>
  <c r="AZ12" i="9"/>
  <c r="AJ59" i="9"/>
  <c r="AU113" i="9"/>
  <c r="AY110" i="9"/>
  <c r="AV102" i="9"/>
  <c r="BK97" i="9"/>
  <c r="AW90" i="9"/>
  <c r="AX86" i="9"/>
  <c r="AW75" i="9"/>
  <c r="AJ58" i="9"/>
  <c r="AU112" i="9"/>
  <c r="AV110" i="9"/>
  <c r="AW91" i="9"/>
  <c r="AW86" i="9"/>
  <c r="BM14" i="9"/>
  <c r="AV10" i="9"/>
  <c r="AJ54" i="9"/>
  <c r="BL122" i="9"/>
  <c r="AW100" i="9"/>
  <c r="AZ83" i="9"/>
  <c r="AU75" i="9"/>
  <c r="AW46" i="9"/>
  <c r="BL14" i="9"/>
  <c r="BM8" i="9"/>
  <c r="AW4" i="9"/>
  <c r="AV100" i="9"/>
  <c r="AV82" i="9"/>
  <c r="AW74" i="9"/>
  <c r="BK51" i="9"/>
  <c r="AY47" i="9"/>
  <c r="AV4" i="9"/>
  <c r="AJ83" i="9"/>
  <c r="AU134" i="9"/>
  <c r="AJ107" i="9"/>
  <c r="AY133" i="9"/>
  <c r="BM92" i="9"/>
  <c r="BK80" i="9"/>
  <c r="BM76" i="9"/>
  <c r="AY72" i="9"/>
  <c r="AX69" i="9"/>
  <c r="AY65" i="9"/>
  <c r="AZ64" i="9"/>
  <c r="BK54" i="9"/>
  <c r="AX50" i="9"/>
  <c r="AU49" i="9"/>
  <c r="AV47" i="9"/>
  <c r="BL43" i="9"/>
  <c r="AY39" i="9"/>
  <c r="AZ27" i="9"/>
  <c r="AW26" i="9"/>
  <c r="AX20" i="9"/>
  <c r="AX5" i="9"/>
  <c r="BK2" i="9"/>
  <c r="AJ15" i="9"/>
  <c r="AJ31" i="9"/>
  <c r="AJ47" i="9"/>
  <c r="AJ63" i="9"/>
  <c r="AJ79" i="9"/>
  <c r="AJ95" i="9"/>
  <c r="AJ111" i="9"/>
  <c r="AJ127" i="9"/>
  <c r="AJ16" i="9"/>
  <c r="AJ32" i="9"/>
  <c r="AJ48" i="9"/>
  <c r="AJ64" i="9"/>
  <c r="AJ80" i="9"/>
  <c r="AJ96" i="9"/>
  <c r="AJ112" i="9"/>
  <c r="AJ128" i="9"/>
  <c r="AJ19" i="9"/>
  <c r="AJ37" i="9"/>
  <c r="AJ55" i="9"/>
  <c r="AJ73" i="9"/>
  <c r="AJ91" i="9"/>
  <c r="AJ109" i="9"/>
  <c r="AJ129" i="9"/>
  <c r="AJ38" i="9"/>
  <c r="AJ74" i="9"/>
  <c r="AJ92" i="9"/>
  <c r="AJ130" i="9"/>
  <c r="AJ57" i="9"/>
  <c r="AJ113" i="9"/>
  <c r="AJ20" i="9"/>
  <c r="AJ56" i="9"/>
  <c r="AJ110" i="9"/>
  <c r="AJ21" i="9"/>
  <c r="AJ75" i="9"/>
  <c r="AJ93" i="9"/>
  <c r="AJ39" i="9"/>
  <c r="AJ131" i="9"/>
  <c r="AJ5" i="9"/>
  <c r="AJ26" i="9"/>
  <c r="AJ49" i="9"/>
  <c r="AJ70" i="9"/>
  <c r="AJ94" i="9"/>
  <c r="AJ117" i="9"/>
  <c r="AJ4" i="9"/>
  <c r="AJ6" i="9"/>
  <c r="AJ27" i="9"/>
  <c r="AJ50" i="9"/>
  <c r="AJ71" i="9"/>
  <c r="AJ97" i="9"/>
  <c r="AJ118" i="9"/>
  <c r="AJ9" i="9"/>
  <c r="AJ77" i="9"/>
  <c r="AJ121" i="9"/>
  <c r="AJ7" i="9"/>
  <c r="AJ28" i="9"/>
  <c r="AJ51" i="9"/>
  <c r="AJ72" i="9"/>
  <c r="AJ98" i="9"/>
  <c r="AJ119" i="9"/>
  <c r="AJ29" i="9"/>
  <c r="AJ76" i="9"/>
  <c r="AJ99" i="9"/>
  <c r="AJ30" i="9"/>
  <c r="AJ100" i="9"/>
  <c r="AJ8" i="9"/>
  <c r="AJ52" i="9"/>
  <c r="AJ120" i="9"/>
  <c r="AJ53" i="9"/>
  <c r="AJ69" i="9"/>
  <c r="AZ130" i="9"/>
  <c r="AY130" i="9"/>
  <c r="AJ67" i="9"/>
  <c r="AJ36" i="9"/>
  <c r="AZ38" i="9"/>
  <c r="AZ34" i="9"/>
  <c r="AJ102" i="9"/>
  <c r="AX95" i="9"/>
  <c r="AW40" i="9"/>
  <c r="AY34" i="9"/>
  <c r="BM13" i="9"/>
  <c r="BL11" i="9"/>
  <c r="BL27" i="9"/>
  <c r="BL12" i="9"/>
  <c r="BL22" i="9"/>
  <c r="BL32" i="9"/>
  <c r="BL48" i="9"/>
  <c r="BL3" i="9"/>
  <c r="BL15" i="9"/>
  <c r="BL37" i="9"/>
  <c r="BL53" i="9"/>
  <c r="BL26" i="9"/>
  <c r="BL5" i="9"/>
  <c r="BL23" i="9"/>
  <c r="BL38" i="9"/>
  <c r="BL50" i="9"/>
  <c r="BL62" i="9"/>
  <c r="BL67" i="9"/>
  <c r="BL83" i="9"/>
  <c r="BL99" i="9"/>
  <c r="BL115" i="9"/>
  <c r="BL131" i="9"/>
  <c r="BL77" i="9"/>
  <c r="BL16" i="9"/>
  <c r="BL34" i="9"/>
  <c r="BL45" i="9"/>
  <c r="BL57" i="9"/>
  <c r="BL72" i="9"/>
  <c r="BL88" i="9"/>
  <c r="BL104" i="9"/>
  <c r="BL120" i="9"/>
  <c r="BL93" i="9"/>
  <c r="BL20" i="9"/>
  <c r="BL29" i="9"/>
  <c r="BL40" i="9"/>
  <c r="BL52" i="9"/>
  <c r="BL25" i="9"/>
  <c r="BL81" i="9"/>
  <c r="BL95" i="9"/>
  <c r="BL121" i="9"/>
  <c r="BL133" i="9"/>
  <c r="BL56" i="9"/>
  <c r="BL89" i="9"/>
  <c r="BL116" i="9"/>
  <c r="BL128" i="9"/>
  <c r="BL71" i="9"/>
  <c r="BL79" i="9"/>
  <c r="BL135" i="9"/>
  <c r="BL49" i="9"/>
  <c r="BL91" i="9"/>
  <c r="BL69" i="9"/>
  <c r="BL111" i="9"/>
  <c r="BL123" i="9"/>
  <c r="BL18" i="9"/>
  <c r="BL35" i="9"/>
  <c r="BL63" i="9"/>
  <c r="BL82" i="9"/>
  <c r="BL86" i="9"/>
  <c r="BL90" i="9"/>
  <c r="BL124" i="9"/>
  <c r="BL132" i="9"/>
  <c r="BL55" i="9"/>
  <c r="BL105" i="9"/>
  <c r="BL118" i="9"/>
  <c r="BL75" i="9"/>
  <c r="BL36" i="9"/>
  <c r="BL19" i="9"/>
  <c r="BL30" i="9"/>
  <c r="BL31" i="9"/>
  <c r="BL94" i="9"/>
  <c r="BL112" i="9"/>
  <c r="BL68" i="9"/>
  <c r="BL78" i="9"/>
  <c r="BL127" i="9"/>
  <c r="BL130" i="9"/>
  <c r="BL109" i="9"/>
  <c r="BL87" i="9"/>
  <c r="BL17" i="9"/>
  <c r="BL102" i="9"/>
  <c r="BL10" i="9"/>
  <c r="BL33" i="9"/>
  <c r="BL39" i="9"/>
  <c r="BL58" i="9"/>
  <c r="BL64" i="9"/>
  <c r="BL65" i="9"/>
  <c r="AJ101" i="9"/>
  <c r="AJ34" i="9"/>
  <c r="AV94" i="9"/>
  <c r="AX41" i="9"/>
  <c r="AY35" i="9"/>
  <c r="AW29" i="9"/>
  <c r="AJ90" i="9"/>
  <c r="AU130" i="9"/>
  <c r="AU122" i="9"/>
  <c r="AU115" i="9"/>
  <c r="AX113" i="9"/>
  <c r="AY102" i="9"/>
  <c r="AV95" i="9"/>
  <c r="AU94" i="9"/>
  <c r="AZ90" i="9"/>
  <c r="AZ75" i="9"/>
  <c r="AX56" i="9"/>
  <c r="AW34" i="9"/>
  <c r="AJ125" i="9"/>
  <c r="AJ25" i="9"/>
  <c r="AX127" i="9"/>
  <c r="BM97" i="9"/>
  <c r="AZ91" i="9"/>
  <c r="AY75" i="9"/>
  <c r="AZ55" i="9"/>
  <c r="AZ30" i="9"/>
  <c r="AJ88" i="9"/>
  <c r="AJ24" i="9"/>
  <c r="AW127" i="9"/>
  <c r="BL98" i="9"/>
  <c r="BM96" i="9"/>
  <c r="AX90" i="9"/>
  <c r="AY86" i="9"/>
  <c r="AW84" i="9"/>
  <c r="AU76" i="9"/>
  <c r="AX75" i="9"/>
  <c r="BM70" i="9"/>
  <c r="AV57" i="9"/>
  <c r="AY55" i="9"/>
  <c r="BK50" i="9"/>
  <c r="AV42" i="9"/>
  <c r="AV35" i="9"/>
  <c r="AJ123" i="9"/>
  <c r="AJ23" i="9"/>
  <c r="AV127" i="9"/>
  <c r="BK124" i="9"/>
  <c r="BM117" i="9"/>
  <c r="AZ101" i="9"/>
  <c r="AY88" i="9"/>
  <c r="AZ81" i="9"/>
  <c r="AU59" i="9"/>
  <c r="AZ45" i="9"/>
  <c r="AX12" i="9"/>
  <c r="AJ86" i="9"/>
  <c r="AZ135" i="9"/>
  <c r="AU102" i="9"/>
  <c r="BK96" i="9"/>
  <c r="AX88" i="9"/>
  <c r="BK70" i="9"/>
  <c r="BK67" i="9"/>
  <c r="AX46" i="9"/>
  <c r="AY45" i="9"/>
  <c r="AZ36" i="9"/>
  <c r="AW7" i="9"/>
  <c r="AX4" i="9"/>
  <c r="AJ116" i="9"/>
  <c r="AJ18" i="9"/>
  <c r="AW134" i="9"/>
  <c r="AU110" i="9"/>
  <c r="AV91" i="9"/>
  <c r="AW87" i="9"/>
  <c r="AX74" i="9"/>
  <c r="AX45" i="9"/>
  <c r="BM28" i="9"/>
  <c r="AJ84" i="9"/>
  <c r="AJ17" i="9"/>
  <c r="AV134" i="9"/>
  <c r="AZ118" i="9"/>
  <c r="AY108" i="9"/>
  <c r="AV46" i="9"/>
  <c r="AX36" i="9"/>
  <c r="AZ17" i="9"/>
  <c r="BK14" i="9"/>
  <c r="BL8" i="9"/>
  <c r="AJ114" i="9"/>
  <c r="AJ14" i="9"/>
  <c r="AJ81" i="9"/>
  <c r="AJ12" i="9"/>
  <c r="BL129" i="9"/>
  <c r="AZ125" i="9"/>
  <c r="AW118" i="9"/>
  <c r="BL114" i="9"/>
  <c r="AZ106" i="9"/>
  <c r="BK103" i="9"/>
  <c r="BM101" i="9"/>
  <c r="AZ99" i="9"/>
  <c r="AZ98" i="9"/>
  <c r="AJ3" i="9"/>
  <c r="AJ106" i="9"/>
  <c r="AJ78" i="9"/>
  <c r="AJ42" i="9"/>
  <c r="AJ11" i="9"/>
  <c r="AX133" i="9"/>
  <c r="AX132" i="9"/>
  <c r="BK129" i="9"/>
  <c r="BL126" i="9"/>
  <c r="AY125" i="9"/>
  <c r="AV118" i="9"/>
  <c r="BK114" i="9"/>
  <c r="AY106" i="9"/>
  <c r="BL101" i="9"/>
  <c r="AY98" i="9"/>
  <c r="AX96" i="9"/>
  <c r="BL92" i="9"/>
  <c r="BK90" i="9"/>
  <c r="BM84" i="9"/>
  <c r="BL76" i="9"/>
  <c r="BM75" i="9"/>
  <c r="AX72" i="9"/>
  <c r="AZ71" i="9"/>
  <c r="AW69" i="9"/>
  <c r="AX65" i="9"/>
  <c r="AV64" i="9"/>
  <c r="AY63" i="9"/>
  <c r="BM60" i="9"/>
  <c r="AW50" i="9"/>
  <c r="AU47" i="9"/>
  <c r="BM44" i="9"/>
  <c r="BK43" i="9"/>
  <c r="BK41" i="9"/>
  <c r="AX39" i="9"/>
  <c r="AZ32" i="9"/>
  <c r="AU27" i="9"/>
  <c r="AW5" i="9"/>
  <c r="BE4" i="9"/>
  <c r="BE14" i="9"/>
  <c r="BE30" i="9"/>
  <c r="BE35" i="9"/>
  <c r="BE51" i="9"/>
  <c r="BE2" i="9"/>
  <c r="BE7" i="9"/>
  <c r="BE17" i="9"/>
  <c r="BE24" i="9"/>
  <c r="BE40" i="9"/>
  <c r="BE56" i="9"/>
  <c r="BE29" i="9"/>
  <c r="BE6" i="9"/>
  <c r="BE10" i="9"/>
  <c r="BE49" i="9"/>
  <c r="BE61" i="9"/>
  <c r="BE70" i="9"/>
  <c r="BE86" i="9"/>
  <c r="BE102" i="9"/>
  <c r="BE118" i="9"/>
  <c r="BE134" i="9"/>
  <c r="BE96" i="9"/>
  <c r="BE27" i="9"/>
  <c r="BE44" i="9"/>
  <c r="BE75" i="9"/>
  <c r="BE91" i="9"/>
  <c r="BE107" i="9"/>
  <c r="BE123" i="9"/>
  <c r="BE37" i="9"/>
  <c r="BE39" i="9"/>
  <c r="BE64" i="9"/>
  <c r="BE80" i="9"/>
  <c r="BE28" i="9"/>
  <c r="BE43" i="9"/>
  <c r="BE50" i="9"/>
  <c r="BE104" i="9"/>
  <c r="BE120" i="9"/>
  <c r="BE132" i="9"/>
  <c r="BE108" i="9"/>
  <c r="BE115" i="9"/>
  <c r="BE127" i="9"/>
  <c r="BE3" i="9"/>
  <c r="BE8" i="9"/>
  <c r="BE84" i="9"/>
  <c r="BE90" i="9"/>
  <c r="BE98" i="9"/>
  <c r="BE57" i="9"/>
  <c r="BE94" i="9"/>
  <c r="BE110" i="9"/>
  <c r="BE122" i="9"/>
  <c r="BE9" i="9"/>
  <c r="BE88" i="9"/>
  <c r="BE117" i="9"/>
  <c r="BD19" i="9"/>
  <c r="BD14" i="9"/>
  <c r="BD35" i="9"/>
  <c r="BD2" i="9"/>
  <c r="BD7" i="9"/>
  <c r="BD17" i="9"/>
  <c r="BD24" i="9"/>
  <c r="BD40" i="9"/>
  <c r="BD56" i="9"/>
  <c r="BD29" i="9"/>
  <c r="BD45" i="9"/>
  <c r="BD61" i="9"/>
  <c r="BD10" i="9"/>
  <c r="BD20" i="9"/>
  <c r="BD27" i="9"/>
  <c r="BD44" i="9"/>
  <c r="BD75" i="9"/>
  <c r="BD91" i="9"/>
  <c r="BD107" i="9"/>
  <c r="BD123" i="9"/>
  <c r="BD85" i="9"/>
  <c r="BD101" i="9"/>
  <c r="BD37" i="9"/>
  <c r="BD39" i="9"/>
  <c r="BD64" i="9"/>
  <c r="BD80" i="9"/>
  <c r="BD96" i="9"/>
  <c r="BD112" i="9"/>
  <c r="BD128" i="9"/>
  <c r="BD69" i="9"/>
  <c r="BD21" i="9"/>
  <c r="BD33" i="9"/>
  <c r="BD3" i="9"/>
  <c r="BD6" i="9"/>
  <c r="BD8" i="9"/>
  <c r="BD84" i="9"/>
  <c r="BD90" i="9"/>
  <c r="BD98" i="9"/>
  <c r="BD102" i="9"/>
  <c r="BD108" i="9"/>
  <c r="BD115" i="9"/>
  <c r="BD127" i="9"/>
  <c r="BD57" i="9"/>
  <c r="BD94" i="9"/>
  <c r="BD82" i="9"/>
  <c r="BD9" i="9"/>
  <c r="BD88" i="9"/>
  <c r="BD110" i="9"/>
  <c r="BD122" i="9"/>
  <c r="BD86" i="9"/>
  <c r="BD5" i="9"/>
  <c r="BD11" i="9"/>
  <c r="BD12" i="9"/>
  <c r="BD13" i="9"/>
  <c r="BD74" i="9"/>
  <c r="BD117" i="9"/>
  <c r="BD134" i="9"/>
  <c r="AN133" i="9"/>
  <c r="BD131" i="9"/>
  <c r="AL125" i="9"/>
  <c r="BE100" i="9"/>
  <c r="BE92" i="9"/>
  <c r="AL91" i="9"/>
  <c r="AL83" i="9"/>
  <c r="AL72" i="9"/>
  <c r="BD65" i="9"/>
  <c r="AL64" i="9"/>
  <c r="BA52" i="9"/>
  <c r="BD51" i="9"/>
  <c r="BA43" i="9"/>
  <c r="BA42" i="9"/>
  <c r="AN37" i="9"/>
  <c r="AL36" i="9"/>
  <c r="AN33" i="9"/>
  <c r="BE26" i="9"/>
  <c r="BD25" i="9"/>
  <c r="BD23" i="9"/>
  <c r="BB22" i="9"/>
  <c r="AL19" i="9"/>
  <c r="AK12" i="9"/>
  <c r="BA9" i="9"/>
  <c r="AO4" i="9"/>
  <c r="AO14" i="9"/>
  <c r="AO11" i="9"/>
  <c r="AO21" i="9"/>
  <c r="AO30" i="9"/>
  <c r="AO5" i="9"/>
  <c r="AO35" i="9"/>
  <c r="AO51" i="9"/>
  <c r="AO24" i="9"/>
  <c r="AO40" i="9"/>
  <c r="AO56" i="9"/>
  <c r="AO7" i="9"/>
  <c r="AO17" i="9"/>
  <c r="AO29" i="9"/>
  <c r="AO16" i="9"/>
  <c r="AO26" i="9"/>
  <c r="AO47" i="9"/>
  <c r="AO59" i="9"/>
  <c r="AO70" i="9"/>
  <c r="AO86" i="9"/>
  <c r="AO102" i="9"/>
  <c r="AO118" i="9"/>
  <c r="AO134" i="9"/>
  <c r="AO80" i="9"/>
  <c r="AO20" i="9"/>
  <c r="AO42" i="9"/>
  <c r="AO54" i="9"/>
  <c r="AO75" i="9"/>
  <c r="AO91" i="9"/>
  <c r="AO107" i="9"/>
  <c r="AO123" i="9"/>
  <c r="AO96" i="9"/>
  <c r="AO9" i="9"/>
  <c r="AO13" i="9"/>
  <c r="AO32" i="9"/>
  <c r="AO49" i="9"/>
  <c r="AO61" i="9"/>
  <c r="AO64" i="9"/>
  <c r="AO22" i="9"/>
  <c r="AO23" i="9"/>
  <c r="AO52" i="9"/>
  <c r="AO67" i="9"/>
  <c r="AO77" i="9"/>
  <c r="AO130" i="9"/>
  <c r="AO71" i="9"/>
  <c r="AO63" i="9"/>
  <c r="AO65" i="9"/>
  <c r="AO39" i="9"/>
  <c r="AO106" i="9"/>
  <c r="AO113" i="9"/>
  <c r="AO125" i="9"/>
  <c r="AO120" i="9"/>
  <c r="AO132" i="9"/>
  <c r="AO34" i="9"/>
  <c r="AO100" i="9"/>
  <c r="BE113" i="9"/>
  <c r="BE65" i="9"/>
  <c r="AO37" i="9"/>
  <c r="AO33" i="9"/>
  <c r="BE23" i="9"/>
  <c r="AL12" i="9"/>
  <c r="BB9" i="9"/>
  <c r="AO6" i="9"/>
  <c r="AN19" i="9"/>
  <c r="AN5" i="9"/>
  <c r="AN35" i="9"/>
  <c r="AN14" i="9"/>
  <c r="AN24" i="9"/>
  <c r="AN40" i="9"/>
  <c r="AN56" i="9"/>
  <c r="AN7" i="9"/>
  <c r="AN17" i="9"/>
  <c r="AN29" i="9"/>
  <c r="AN45" i="9"/>
  <c r="AN61" i="9"/>
  <c r="AN20" i="9"/>
  <c r="AN42" i="9"/>
  <c r="AN54" i="9"/>
  <c r="AN75" i="9"/>
  <c r="AN91" i="9"/>
  <c r="AN107" i="9"/>
  <c r="AN123" i="9"/>
  <c r="AN9" i="9"/>
  <c r="AN13" i="9"/>
  <c r="AN32" i="9"/>
  <c r="AN49" i="9"/>
  <c r="AN64" i="9"/>
  <c r="AN80" i="9"/>
  <c r="AN96" i="9"/>
  <c r="AN112" i="9"/>
  <c r="AN128" i="9"/>
  <c r="AN85" i="9"/>
  <c r="AN101" i="9"/>
  <c r="AN44" i="9"/>
  <c r="AN69" i="9"/>
  <c r="AN39" i="9"/>
  <c r="AN71" i="9"/>
  <c r="AN106" i="9"/>
  <c r="AN113" i="9"/>
  <c r="AN125" i="9"/>
  <c r="AN65" i="9"/>
  <c r="AN120" i="9"/>
  <c r="AN46" i="9"/>
  <c r="AN53" i="9"/>
  <c r="AN60" i="9"/>
  <c r="AN102" i="9"/>
  <c r="AN34" i="9"/>
  <c r="AN63" i="9"/>
  <c r="AN100" i="9"/>
  <c r="AN132" i="9"/>
  <c r="AN104" i="9"/>
  <c r="AN115" i="9"/>
  <c r="AN127" i="9"/>
  <c r="AL116" i="9"/>
  <c r="BD113" i="9"/>
  <c r="AN109" i="9"/>
  <c r="BE103" i="9"/>
  <c r="AL87" i="9"/>
  <c r="BE79" i="9"/>
  <c r="BE69" i="9"/>
  <c r="BC8" i="9"/>
  <c r="BC2" i="9"/>
  <c r="BC7" i="9"/>
  <c r="BC17" i="9"/>
  <c r="BC24" i="9"/>
  <c r="BC29" i="9"/>
  <c r="BC45" i="9"/>
  <c r="BC61" i="9"/>
  <c r="BC10" i="9"/>
  <c r="BC20" i="9"/>
  <c r="BC34" i="9"/>
  <c r="BC50" i="9"/>
  <c r="BC4" i="9"/>
  <c r="BC13" i="9"/>
  <c r="BC23" i="9"/>
  <c r="BC37" i="9"/>
  <c r="BC39" i="9"/>
  <c r="BC64" i="9"/>
  <c r="BC80" i="9"/>
  <c r="BC96" i="9"/>
  <c r="BC112" i="9"/>
  <c r="BC128" i="9"/>
  <c r="BC90" i="9"/>
  <c r="BC106" i="9"/>
  <c r="BC21" i="9"/>
  <c r="BC33" i="9"/>
  <c r="BC56" i="9"/>
  <c r="BC69" i="9"/>
  <c r="BC85" i="9"/>
  <c r="BC101" i="9"/>
  <c r="BC117" i="9"/>
  <c r="BC133" i="9"/>
  <c r="BC30" i="9"/>
  <c r="BC35" i="9"/>
  <c r="BC51" i="9"/>
  <c r="BC74" i="9"/>
  <c r="BC9" i="9"/>
  <c r="BC57" i="9"/>
  <c r="BC88" i="9"/>
  <c r="BC94" i="9"/>
  <c r="BC110" i="9"/>
  <c r="BC122" i="9"/>
  <c r="BC82" i="9"/>
  <c r="BC86" i="9"/>
  <c r="BC47" i="9"/>
  <c r="BC54" i="9"/>
  <c r="BC5" i="9"/>
  <c r="BC11" i="9"/>
  <c r="BC12" i="9"/>
  <c r="BC92" i="9"/>
  <c r="BC134" i="9"/>
  <c r="BC36" i="9"/>
  <c r="BC40" i="9"/>
  <c r="BC68" i="9"/>
  <c r="BC78" i="9"/>
  <c r="AM8" i="9"/>
  <c r="AM14" i="9"/>
  <c r="AM24" i="9"/>
  <c r="AM7" i="9"/>
  <c r="AM17" i="9"/>
  <c r="AM29" i="9"/>
  <c r="AM45" i="9"/>
  <c r="AM61" i="9"/>
  <c r="AM34" i="9"/>
  <c r="AM50" i="9"/>
  <c r="AM10" i="9"/>
  <c r="AM20" i="9"/>
  <c r="AM9" i="9"/>
  <c r="AM13" i="9"/>
  <c r="AM32" i="9"/>
  <c r="AM49" i="9"/>
  <c r="AM64" i="9"/>
  <c r="AM80" i="9"/>
  <c r="AM96" i="9"/>
  <c r="AM112" i="9"/>
  <c r="AM128" i="9"/>
  <c r="AM44" i="9"/>
  <c r="AM69" i="9"/>
  <c r="AM85" i="9"/>
  <c r="AM101" i="9"/>
  <c r="AM117" i="9"/>
  <c r="AM133" i="9"/>
  <c r="AM90" i="9"/>
  <c r="AM106" i="9"/>
  <c r="AM39" i="9"/>
  <c r="AM74" i="9"/>
  <c r="AM42" i="9"/>
  <c r="AM63" i="9"/>
  <c r="AM65" i="9"/>
  <c r="AM100" i="9"/>
  <c r="AM120" i="9"/>
  <c r="AM132" i="9"/>
  <c r="AM98" i="9"/>
  <c r="AM110" i="9"/>
  <c r="AM46" i="9"/>
  <c r="AM53" i="9"/>
  <c r="AM60" i="9"/>
  <c r="AM102" i="9"/>
  <c r="AM104" i="9"/>
  <c r="AM115" i="9"/>
  <c r="AM127" i="9"/>
  <c r="AM108" i="9"/>
  <c r="AM25" i="9"/>
  <c r="AM84" i="9"/>
  <c r="AM122" i="9"/>
  <c r="AK133" i="9"/>
  <c r="BC131" i="9"/>
  <c r="BE128" i="9"/>
  <c r="BE125" i="9"/>
  <c r="AK125" i="9"/>
  <c r="AO121" i="9"/>
  <c r="BE119" i="9"/>
  <c r="AK116" i="9"/>
  <c r="BC113" i="9"/>
  <c r="BB110" i="9"/>
  <c r="AM109" i="9"/>
  <c r="BD103" i="9"/>
  <c r="BD100" i="9"/>
  <c r="AL99" i="9"/>
  <c r="BA96" i="9"/>
  <c r="BD92" i="9"/>
  <c r="AK91" i="9"/>
  <c r="BB88" i="9"/>
  <c r="AK87" i="9"/>
  <c r="BC84" i="9"/>
  <c r="AK83" i="9"/>
  <c r="AO82" i="9"/>
  <c r="BD79" i="9"/>
  <c r="AO78" i="9"/>
  <c r="BB76" i="9"/>
  <c r="AL75" i="9"/>
  <c r="AK72" i="9"/>
  <c r="BA69" i="9"/>
  <c r="AO68" i="9"/>
  <c r="BB66" i="9"/>
  <c r="BC65" i="9"/>
  <c r="AK64" i="9"/>
  <c r="BE60" i="9"/>
  <c r="BE59" i="9"/>
  <c r="AM56" i="9"/>
  <c r="AO55" i="9"/>
  <c r="BD50" i="9"/>
  <c r="BD49" i="9"/>
  <c r="AL48" i="9"/>
  <c r="AL47" i="9"/>
  <c r="AO46" i="9"/>
  <c r="BE41" i="9"/>
  <c r="AL38" i="9"/>
  <c r="AM37" i="9"/>
  <c r="AK36" i="9"/>
  <c r="AL35" i="9"/>
  <c r="AM33" i="9"/>
  <c r="BC27" i="9"/>
  <c r="BD26" i="9"/>
  <c r="BC25" i="9"/>
  <c r="AK19" i="9"/>
  <c r="BE16" i="9"/>
  <c r="AM6" i="9"/>
  <c r="BC3" i="9"/>
  <c r="BA50" i="9"/>
  <c r="BC49" i="9"/>
  <c r="AK48" i="9"/>
  <c r="AK47" i="9"/>
  <c r="AK46" i="9"/>
  <c r="AO45" i="9"/>
  <c r="BD41" i="9"/>
  <c r="AL33" i="9"/>
  <c r="BB27" i="9"/>
  <c r="BC26" i="9"/>
  <c r="AN21" i="9"/>
  <c r="BD16" i="9"/>
  <c r="BE131" i="9"/>
  <c r="AO109" i="9"/>
  <c r="BE25" i="9"/>
  <c r="BB3" i="9"/>
  <c r="BB4" i="9"/>
  <c r="BB13" i="9"/>
  <c r="BB29" i="9"/>
  <c r="BB10" i="9"/>
  <c r="BB20" i="9"/>
  <c r="BB34" i="9"/>
  <c r="BB50" i="9"/>
  <c r="BB23" i="9"/>
  <c r="BB39" i="9"/>
  <c r="BB55" i="9"/>
  <c r="BB28" i="9"/>
  <c r="BB21" i="9"/>
  <c r="BB33" i="9"/>
  <c r="BB56" i="9"/>
  <c r="BB69" i="9"/>
  <c r="BB85" i="9"/>
  <c r="BB101" i="9"/>
  <c r="BB117" i="9"/>
  <c r="BB133" i="9"/>
  <c r="BB95" i="9"/>
  <c r="BB30" i="9"/>
  <c r="BB35" i="9"/>
  <c r="BB51" i="9"/>
  <c r="BB74" i="9"/>
  <c r="BB90" i="9"/>
  <c r="BB106" i="9"/>
  <c r="BB122" i="9"/>
  <c r="BB79" i="9"/>
  <c r="BB14" i="9"/>
  <c r="BB18" i="9"/>
  <c r="BB46" i="9"/>
  <c r="BB58" i="9"/>
  <c r="BB63" i="9"/>
  <c r="BB2" i="9"/>
  <c r="BB5" i="9"/>
  <c r="BB11" i="9"/>
  <c r="BB12" i="9"/>
  <c r="BB82" i="9"/>
  <c r="BB86" i="9"/>
  <c r="BB96" i="9"/>
  <c r="BB68" i="9"/>
  <c r="BB78" i="9"/>
  <c r="BB92" i="9"/>
  <c r="BB80" i="9"/>
  <c r="BB36" i="9"/>
  <c r="BB40" i="9"/>
  <c r="BB47" i="9"/>
  <c r="BB54" i="9"/>
  <c r="BB134" i="9"/>
  <c r="BB129" i="9"/>
  <c r="BB15" i="9"/>
  <c r="BB16" i="9"/>
  <c r="BB72" i="9"/>
  <c r="AL3" i="9"/>
  <c r="AL13" i="9"/>
  <c r="AL7" i="9"/>
  <c r="AL17" i="9"/>
  <c r="AL29" i="9"/>
  <c r="AL34" i="9"/>
  <c r="AL50" i="9"/>
  <c r="AL10" i="9"/>
  <c r="AL20" i="9"/>
  <c r="AL39" i="9"/>
  <c r="AL55" i="9"/>
  <c r="AL2" i="9"/>
  <c r="AL23" i="9"/>
  <c r="AL28" i="9"/>
  <c r="AL44" i="9"/>
  <c r="AL69" i="9"/>
  <c r="AL85" i="9"/>
  <c r="AL101" i="9"/>
  <c r="AL117" i="9"/>
  <c r="AL133" i="9"/>
  <c r="AL61" i="9"/>
  <c r="AL74" i="9"/>
  <c r="AL90" i="9"/>
  <c r="AL106" i="9"/>
  <c r="AL122" i="9"/>
  <c r="AL95" i="9"/>
  <c r="AL5" i="9"/>
  <c r="AL27" i="9"/>
  <c r="AL37" i="9"/>
  <c r="AL56" i="9"/>
  <c r="AL79" i="9"/>
  <c r="AL46" i="9"/>
  <c r="AL53" i="9"/>
  <c r="AL60" i="9"/>
  <c r="AL102" i="9"/>
  <c r="AL104" i="9"/>
  <c r="AL115" i="9"/>
  <c r="AL127" i="9"/>
  <c r="AL84" i="9"/>
  <c r="AL98" i="9"/>
  <c r="AL110" i="9"/>
  <c r="AL25" i="9"/>
  <c r="AL108" i="9"/>
  <c r="AL88" i="9"/>
  <c r="AL43" i="9"/>
  <c r="AL86" i="9"/>
  <c r="AL94" i="9"/>
  <c r="BB131" i="9"/>
  <c r="BB128" i="9"/>
  <c r="BE116" i="9"/>
  <c r="BB113" i="9"/>
  <c r="AL109" i="9"/>
  <c r="AO94" i="9"/>
  <c r="BE87" i="9"/>
  <c r="BB84" i="9"/>
  <c r="AN82" i="9"/>
  <c r="AO81" i="9"/>
  <c r="AN78" i="9"/>
  <c r="AN68" i="9"/>
  <c r="BB65" i="9"/>
  <c r="BD60" i="9"/>
  <c r="BD59" i="9"/>
  <c r="BA18" i="9"/>
  <c r="BA10" i="9"/>
  <c r="BA20" i="9"/>
  <c r="BA34" i="9"/>
  <c r="BA23" i="9"/>
  <c r="BA39" i="9"/>
  <c r="BA55" i="9"/>
  <c r="BA4" i="9"/>
  <c r="BA13" i="9"/>
  <c r="BA28" i="9"/>
  <c r="BA44" i="9"/>
  <c r="BA60" i="9"/>
  <c r="BA16" i="9"/>
  <c r="BA33" i="9"/>
  <c r="BA30" i="9"/>
  <c r="BA35" i="9"/>
  <c r="BA51" i="9"/>
  <c r="BA74" i="9"/>
  <c r="BA90" i="9"/>
  <c r="BA106" i="9"/>
  <c r="BA122" i="9"/>
  <c r="BA100" i="9"/>
  <c r="BA14" i="9"/>
  <c r="BA46" i="9"/>
  <c r="BA58" i="9"/>
  <c r="BA63" i="9"/>
  <c r="BA79" i="9"/>
  <c r="BA95" i="9"/>
  <c r="BA111" i="9"/>
  <c r="BA127" i="9"/>
  <c r="BA68" i="9"/>
  <c r="BA2" i="9"/>
  <c r="BA7" i="9"/>
  <c r="BA22" i="9"/>
  <c r="BA41" i="9"/>
  <c r="BA53" i="9"/>
  <c r="BA84" i="9"/>
  <c r="BA36" i="9"/>
  <c r="BA40" i="9"/>
  <c r="BA47" i="9"/>
  <c r="BA54" i="9"/>
  <c r="BA78" i="9"/>
  <c r="BA92" i="9"/>
  <c r="BA134" i="9"/>
  <c r="BA72" i="9"/>
  <c r="BA80" i="9"/>
  <c r="BA61" i="9"/>
  <c r="BA112" i="9"/>
  <c r="BA15" i="9"/>
  <c r="BA117" i="9"/>
  <c r="BA129" i="9"/>
  <c r="BA76" i="9"/>
  <c r="BA124" i="9"/>
  <c r="BA29" i="9"/>
  <c r="BA66" i="9"/>
  <c r="BA70" i="9"/>
  <c r="AK4" i="9"/>
  <c r="AK18" i="9"/>
  <c r="AK34" i="9"/>
  <c r="AK10" i="9"/>
  <c r="AK20" i="9"/>
  <c r="AK39" i="9"/>
  <c r="AK55" i="9"/>
  <c r="AK2" i="9"/>
  <c r="AK23" i="9"/>
  <c r="AK28" i="9"/>
  <c r="AK44" i="9"/>
  <c r="AK60" i="9"/>
  <c r="AK13" i="9"/>
  <c r="AK33" i="9"/>
  <c r="AK61" i="9"/>
  <c r="AK74" i="9"/>
  <c r="AK90" i="9"/>
  <c r="AK106" i="9"/>
  <c r="AK122" i="9"/>
  <c r="AK5" i="9"/>
  <c r="AK27" i="9"/>
  <c r="AK37" i="9"/>
  <c r="AK56" i="9"/>
  <c r="AK79" i="9"/>
  <c r="AK95" i="9"/>
  <c r="AK111" i="9"/>
  <c r="AK127" i="9"/>
  <c r="AK84" i="9"/>
  <c r="AK100" i="9"/>
  <c r="AK6" i="9"/>
  <c r="AK24" i="9"/>
  <c r="AK51" i="9"/>
  <c r="AK63" i="9"/>
  <c r="AK68" i="9"/>
  <c r="AK25" i="9"/>
  <c r="AK98" i="9"/>
  <c r="AK108" i="9"/>
  <c r="AK110" i="9"/>
  <c r="AK86" i="9"/>
  <c r="AK88" i="9"/>
  <c r="AK94" i="9"/>
  <c r="AK35" i="9"/>
  <c r="AK96" i="9"/>
  <c r="AK43" i="9"/>
  <c r="AK82" i="9"/>
  <c r="AK134" i="9"/>
  <c r="AK26" i="9"/>
  <c r="BA131" i="9"/>
  <c r="BA128" i="9"/>
  <c r="AO127" i="9"/>
  <c r="BC125" i="9"/>
  <c r="AO124" i="9"/>
  <c r="AM121" i="9"/>
  <c r="BC119" i="9"/>
  <c r="AN118" i="9"/>
  <c r="BD116" i="9"/>
  <c r="BA113" i="9"/>
  <c r="AO112" i="9"/>
  <c r="AK109" i="9"/>
  <c r="AO105" i="9"/>
  <c r="BB103" i="9"/>
  <c r="AK102" i="9"/>
  <c r="BB100" i="9"/>
  <c r="AO98" i="9"/>
  <c r="AN94" i="9"/>
  <c r="BD87" i="9"/>
  <c r="BE83" i="9"/>
  <c r="AM82" i="9"/>
  <c r="AN81" i="9"/>
  <c r="AM78" i="9"/>
  <c r="BB75" i="9"/>
  <c r="BE72" i="9"/>
  <c r="AL71" i="9"/>
  <c r="AM68" i="9"/>
  <c r="BA65" i="9"/>
  <c r="AO62" i="9"/>
  <c r="BC60" i="9"/>
  <c r="BC59" i="9"/>
  <c r="AM55" i="9"/>
  <c r="AM54" i="9"/>
  <c r="BB49" i="9"/>
  <c r="AL45" i="9"/>
  <c r="BC41" i="9"/>
  <c r="BD28" i="9"/>
  <c r="BA27" i="9"/>
  <c r="BB26" i="9"/>
  <c r="BA25" i="9"/>
  <c r="AM21" i="9"/>
  <c r="BB17" i="9"/>
  <c r="BC16" i="9"/>
  <c r="AO15" i="9"/>
  <c r="AL14" i="9"/>
  <c r="AO8" i="9"/>
  <c r="BE5" i="9"/>
  <c r="BD4" i="9"/>
  <c r="AT135" i="9"/>
  <c r="BJ113" i="9"/>
  <c r="AT111" i="9"/>
  <c r="AT59" i="9"/>
  <c r="AT32" i="9"/>
  <c r="BI27" i="9"/>
  <c r="BH26" i="9"/>
  <c r="AS24" i="9"/>
  <c r="BH10" i="9"/>
  <c r="BJ7" i="9"/>
  <c r="BI6" i="9"/>
  <c r="BH4" i="9"/>
  <c r="BH2" i="9"/>
  <c r="AT21" i="9"/>
  <c r="AT12" i="9"/>
  <c r="AT22" i="9"/>
  <c r="AT37" i="9"/>
  <c r="AT15" i="9"/>
  <c r="AT26" i="9"/>
  <c r="AT42" i="9"/>
  <c r="AT58" i="9"/>
  <c r="AT3" i="9"/>
  <c r="AT31" i="9"/>
  <c r="AT47" i="9"/>
  <c r="AT8" i="9"/>
  <c r="AT18" i="9"/>
  <c r="AT36" i="9"/>
  <c r="AT50" i="9"/>
  <c r="AT62" i="9"/>
  <c r="AT77" i="9"/>
  <c r="AT93" i="9"/>
  <c r="AT109" i="9"/>
  <c r="AT125" i="9"/>
  <c r="AT71" i="9"/>
  <c r="AT87" i="9"/>
  <c r="AT38" i="9"/>
  <c r="AT45" i="9"/>
  <c r="AT57" i="9"/>
  <c r="AT66" i="9"/>
  <c r="AT82" i="9"/>
  <c r="AT98" i="9"/>
  <c r="AT114" i="9"/>
  <c r="AT130" i="9"/>
  <c r="AT103" i="9"/>
  <c r="AT19" i="9"/>
  <c r="AT34" i="9"/>
  <c r="AT40" i="9"/>
  <c r="AT52" i="9"/>
  <c r="AT83" i="9"/>
  <c r="BJ67" i="9"/>
  <c r="BJ35" i="9"/>
  <c r="AT128" i="9"/>
  <c r="BJ118" i="9"/>
  <c r="AT116" i="9"/>
  <c r="BI77" i="9"/>
  <c r="BJ75" i="9"/>
  <c r="BJ46" i="9"/>
  <c r="BJ39" i="9"/>
  <c r="BI35" i="9"/>
  <c r="BH27" i="9"/>
  <c r="BJ21" i="9"/>
  <c r="BJ3" i="9"/>
  <c r="BJ15" i="9"/>
  <c r="BJ37" i="9"/>
  <c r="BJ26" i="9"/>
  <c r="BJ42" i="9"/>
  <c r="BJ58" i="9"/>
  <c r="BJ5" i="9"/>
  <c r="BJ8" i="9"/>
  <c r="BJ18" i="9"/>
  <c r="BJ31" i="9"/>
  <c r="BJ47" i="9"/>
  <c r="BJ16" i="9"/>
  <c r="BJ20" i="9"/>
  <c r="BJ29" i="9"/>
  <c r="BJ40" i="9"/>
  <c r="BJ52" i="9"/>
  <c r="BJ77" i="9"/>
  <c r="BJ93" i="9"/>
  <c r="BJ109" i="9"/>
  <c r="BJ125" i="9"/>
  <c r="BJ87" i="9"/>
  <c r="BJ9" i="9"/>
  <c r="BJ66" i="9"/>
  <c r="BJ82" i="9"/>
  <c r="BJ98" i="9"/>
  <c r="BJ114" i="9"/>
  <c r="BJ130" i="9"/>
  <c r="BJ103" i="9"/>
  <c r="BJ13" i="9"/>
  <c r="BJ71" i="9"/>
  <c r="AT123" i="9"/>
  <c r="BI2" i="9"/>
  <c r="BI10" i="9"/>
  <c r="BI26" i="9"/>
  <c r="BI5" i="9"/>
  <c r="BI8" i="9"/>
  <c r="BI18" i="9"/>
  <c r="BI31" i="9"/>
  <c r="BI47" i="9"/>
  <c r="BI36" i="9"/>
  <c r="BI52" i="9"/>
  <c r="BI11" i="9"/>
  <c r="BI21" i="9"/>
  <c r="BI25" i="9"/>
  <c r="BI9" i="9"/>
  <c r="BI66" i="9"/>
  <c r="BI82" i="9"/>
  <c r="BI98" i="9"/>
  <c r="BI114" i="9"/>
  <c r="BI130" i="9"/>
  <c r="BI108" i="9"/>
  <c r="BI13" i="9"/>
  <c r="BI71" i="9"/>
  <c r="BI87" i="9"/>
  <c r="BI103" i="9"/>
  <c r="BI119" i="9"/>
  <c r="BI135" i="9"/>
  <c r="BI76" i="9"/>
  <c r="BI92" i="9"/>
  <c r="BI17" i="9"/>
  <c r="BI24" i="9"/>
  <c r="BI32" i="9"/>
  <c r="BI59" i="9"/>
  <c r="AS10" i="9"/>
  <c r="AS15" i="9"/>
  <c r="AS26" i="9"/>
  <c r="AS3" i="9"/>
  <c r="AS31" i="9"/>
  <c r="AS47" i="9"/>
  <c r="AS63" i="9"/>
  <c r="AS8" i="9"/>
  <c r="AS18" i="9"/>
  <c r="AS36" i="9"/>
  <c r="AS52" i="9"/>
  <c r="AS5" i="9"/>
  <c r="AS25" i="9"/>
  <c r="AS38" i="9"/>
  <c r="AS45" i="9"/>
  <c r="AS57" i="9"/>
  <c r="AS66" i="9"/>
  <c r="AS82" i="9"/>
  <c r="AS98" i="9"/>
  <c r="AS114" i="9"/>
  <c r="AS130" i="9"/>
  <c r="AS19" i="9"/>
  <c r="AS34" i="9"/>
  <c r="AS40" i="9"/>
  <c r="AS71" i="9"/>
  <c r="AS87" i="9"/>
  <c r="AS103" i="9"/>
  <c r="AS119" i="9"/>
  <c r="AS135" i="9"/>
  <c r="AS76" i="9"/>
  <c r="AS92" i="9"/>
  <c r="AS108" i="9"/>
  <c r="AS4" i="9"/>
  <c r="AS23" i="9"/>
  <c r="AS123" i="9"/>
  <c r="BI113" i="9"/>
  <c r="AS111" i="9"/>
  <c r="AT95" i="9"/>
  <c r="AT91" i="9"/>
  <c r="AT89" i="9"/>
  <c r="AS83" i="9"/>
  <c r="AT81" i="9"/>
  <c r="BJ73" i="9"/>
  <c r="BI67" i="9"/>
  <c r="BJ65" i="9"/>
  <c r="AS62" i="9"/>
  <c r="AS59" i="9"/>
  <c r="AT55" i="9"/>
  <c r="AT48" i="9"/>
  <c r="BH5" i="9"/>
  <c r="BH15" i="9"/>
  <c r="BH8" i="9"/>
  <c r="BH18" i="9"/>
  <c r="BH31" i="9"/>
  <c r="BH36" i="9"/>
  <c r="BH52" i="9"/>
  <c r="BH11" i="9"/>
  <c r="BH21" i="9"/>
  <c r="BH25" i="9"/>
  <c r="BH41" i="9"/>
  <c r="BH57" i="9"/>
  <c r="BH14" i="9"/>
  <c r="BH30" i="9"/>
  <c r="BH13" i="9"/>
  <c r="BH71" i="9"/>
  <c r="BH87" i="9"/>
  <c r="BH103" i="9"/>
  <c r="BH119" i="9"/>
  <c r="BH135" i="9"/>
  <c r="BH81" i="9"/>
  <c r="BH17" i="9"/>
  <c r="BH24" i="9"/>
  <c r="BH32" i="9"/>
  <c r="BH47" i="9"/>
  <c r="BH59" i="9"/>
  <c r="BH76" i="9"/>
  <c r="BH92" i="9"/>
  <c r="BH108" i="9"/>
  <c r="BH124" i="9"/>
  <c r="BH65" i="9"/>
  <c r="BH97" i="9"/>
  <c r="BH42" i="9"/>
  <c r="BH54" i="9"/>
  <c r="AR5" i="9"/>
  <c r="AR2" i="9"/>
  <c r="AR15" i="9"/>
  <c r="AR3" i="9"/>
  <c r="AR31" i="9"/>
  <c r="AR8" i="9"/>
  <c r="AR18" i="9"/>
  <c r="AR36" i="9"/>
  <c r="AR52" i="9"/>
  <c r="AR25" i="9"/>
  <c r="AR41" i="9"/>
  <c r="AR57" i="9"/>
  <c r="AR11" i="9"/>
  <c r="AR21" i="9"/>
  <c r="AR30" i="9"/>
  <c r="AR19" i="9"/>
  <c r="AR34" i="9"/>
  <c r="AR40" i="9"/>
  <c r="AR71" i="9"/>
  <c r="AR87" i="9"/>
  <c r="AR103" i="9"/>
  <c r="AR119" i="9"/>
  <c r="AR135" i="9"/>
  <c r="AR4" i="9"/>
  <c r="AR23" i="9"/>
  <c r="AR76" i="9"/>
  <c r="AR92" i="9"/>
  <c r="AR108" i="9"/>
  <c r="AR124" i="9"/>
  <c r="AR81" i="9"/>
  <c r="AR97" i="9"/>
  <c r="AR12" i="9"/>
  <c r="AR29" i="9"/>
  <c r="AR65" i="9"/>
  <c r="BJ135" i="9"/>
  <c r="AT133" i="9"/>
  <c r="AS128" i="9"/>
  <c r="BJ123" i="9"/>
  <c r="AR123" i="9"/>
  <c r="AT121" i="9"/>
  <c r="BI118" i="9"/>
  <c r="AS116" i="9"/>
  <c r="BH113" i="9"/>
  <c r="BJ111" i="9"/>
  <c r="AR111" i="9"/>
  <c r="AT99" i="9"/>
  <c r="AS95" i="9"/>
  <c r="AS91" i="9"/>
  <c r="AS89" i="9"/>
  <c r="AT85" i="9"/>
  <c r="AR83" i="9"/>
  <c r="AS81" i="9"/>
  <c r="BJ79" i="9"/>
  <c r="BH77" i="9"/>
  <c r="BI75" i="9"/>
  <c r="BI73" i="9"/>
  <c r="BJ69" i="9"/>
  <c r="BH67" i="9"/>
  <c r="BI65" i="9"/>
  <c r="AR62" i="9"/>
  <c r="AR59" i="9"/>
  <c r="AS55" i="9"/>
  <c r="AS48" i="9"/>
  <c r="BI46" i="9"/>
  <c r="BI39" i="9"/>
  <c r="BH35" i="9"/>
  <c r="BI34" i="9"/>
  <c r="AR32" i="9"/>
  <c r="AS21" i="9"/>
  <c r="AT20" i="9"/>
  <c r="BH7" i="9"/>
  <c r="AQ59" i="9"/>
  <c r="BF56" i="9"/>
  <c r="AP54" i="9"/>
  <c r="BG49" i="9"/>
  <c r="AQ47" i="9"/>
  <c r="BF44" i="9"/>
  <c r="AP42" i="9"/>
  <c r="BF27" i="9"/>
  <c r="AQ26" i="9"/>
  <c r="AP20" i="9"/>
  <c r="BG10" i="9"/>
  <c r="BG5" i="9"/>
  <c r="BG20" i="9"/>
  <c r="BG36" i="9"/>
  <c r="BG11" i="9"/>
  <c r="BG21" i="9"/>
  <c r="BG25" i="9"/>
  <c r="BG41" i="9"/>
  <c r="BG57" i="9"/>
  <c r="BG14" i="9"/>
  <c r="BG30" i="9"/>
  <c r="BG46" i="9"/>
  <c r="BG62" i="9"/>
  <c r="AQ2" i="9"/>
  <c r="AQ20" i="9"/>
  <c r="AQ8" i="9"/>
  <c r="AQ18" i="9"/>
  <c r="AQ36" i="9"/>
  <c r="AQ25" i="9"/>
  <c r="AQ41" i="9"/>
  <c r="AQ57" i="9"/>
  <c r="AQ5" i="9"/>
  <c r="AQ11" i="9"/>
  <c r="AQ21" i="9"/>
  <c r="AQ30" i="9"/>
  <c r="AQ46" i="9"/>
  <c r="AQ62" i="9"/>
  <c r="AQ14" i="9"/>
  <c r="BF134" i="9"/>
  <c r="AP134" i="9"/>
  <c r="BG129" i="9"/>
  <c r="AQ129" i="9"/>
  <c r="BF118" i="9"/>
  <c r="AP118" i="9"/>
  <c r="BG113" i="9"/>
  <c r="AQ113" i="9"/>
  <c r="BF102" i="9"/>
  <c r="AP102" i="9"/>
  <c r="BG97" i="9"/>
  <c r="AQ97" i="9"/>
  <c r="BF86" i="9"/>
  <c r="AP86" i="9"/>
  <c r="BG81" i="9"/>
  <c r="AQ81" i="9"/>
  <c r="BF70" i="9"/>
  <c r="AP70" i="9"/>
  <c r="BG65" i="9"/>
  <c r="AQ65" i="9"/>
  <c r="BF61" i="9"/>
  <c r="AP59" i="9"/>
  <c r="BG54" i="9"/>
  <c r="AQ52" i="9"/>
  <c r="BF49" i="9"/>
  <c r="AP47" i="9"/>
  <c r="BG42" i="9"/>
  <c r="AQ29" i="9"/>
  <c r="AP26" i="9"/>
  <c r="AQ12" i="9"/>
  <c r="BF10" i="9"/>
  <c r="BF9" i="9"/>
  <c r="BF5" i="9"/>
  <c r="BF11" i="9"/>
  <c r="BF21" i="9"/>
  <c r="BF25" i="9"/>
  <c r="BF14" i="9"/>
  <c r="BF30" i="9"/>
  <c r="BF46" i="9"/>
  <c r="BF62" i="9"/>
  <c r="BF35" i="9"/>
  <c r="BF51" i="9"/>
  <c r="BF2" i="9"/>
  <c r="BF7" i="9"/>
  <c r="BF17" i="9"/>
  <c r="BF24" i="9"/>
  <c r="AP2" i="9"/>
  <c r="AP5" i="9"/>
  <c r="AP9" i="9"/>
  <c r="AP25" i="9"/>
  <c r="AP11" i="9"/>
  <c r="AP21" i="9"/>
  <c r="AP30" i="9"/>
  <c r="AP46" i="9"/>
  <c r="AP62" i="9"/>
  <c r="AP14" i="9"/>
  <c r="AP35" i="9"/>
  <c r="AP51" i="9"/>
  <c r="AP24" i="9"/>
  <c r="BF129" i="9"/>
  <c r="AP129" i="9"/>
  <c r="BG124" i="9"/>
  <c r="AQ124" i="9"/>
  <c r="BF113" i="9"/>
  <c r="AP113" i="9"/>
  <c r="BG108" i="9"/>
  <c r="AQ108" i="9"/>
  <c r="BF97" i="9"/>
  <c r="AP97" i="9"/>
  <c r="BG92" i="9"/>
  <c r="AQ92" i="9"/>
  <c r="BF81" i="9"/>
  <c r="AP81" i="9"/>
  <c r="BG76" i="9"/>
  <c r="AQ76" i="9"/>
  <c r="BF65" i="9"/>
  <c r="AP65" i="9"/>
  <c r="BG59" i="9"/>
  <c r="BF54" i="9"/>
  <c r="AP52" i="9"/>
  <c r="BG47" i="9"/>
  <c r="BF42" i="9"/>
  <c r="BG32" i="9"/>
  <c r="AP29" i="9"/>
  <c r="BG24" i="9"/>
  <c r="AQ23" i="9"/>
  <c r="BG17" i="9"/>
  <c r="AP12" i="9"/>
  <c r="AQ4" i="9"/>
  <c r="AV52" i="6"/>
  <c r="AV103" i="6"/>
  <c r="AV48" i="6"/>
  <c r="AV88" i="6"/>
  <c r="AV119" i="6"/>
  <c r="AV111" i="6"/>
  <c r="AV91" i="6"/>
  <c r="AV68" i="6"/>
  <c r="AV109" i="6"/>
  <c r="AV133" i="6"/>
  <c r="AV134" i="6"/>
  <c r="AV98" i="6"/>
  <c r="CN79" i="6"/>
  <c r="CN75" i="6"/>
  <c r="CN103" i="6"/>
  <c r="CN101" i="6"/>
  <c r="CN16" i="6"/>
  <c r="CN26" i="6"/>
  <c r="CN38" i="6"/>
  <c r="CN107" i="6"/>
  <c r="CN130" i="6"/>
  <c r="CN86" i="6"/>
  <c r="CN89" i="6"/>
  <c r="CN123" i="6"/>
  <c r="BX80" i="6"/>
  <c r="BX86" i="6"/>
  <c r="BX99" i="6"/>
  <c r="BX113" i="6"/>
  <c r="BX120" i="6"/>
  <c r="BX39" i="6"/>
  <c r="BX109" i="6"/>
  <c r="BX79" i="6"/>
  <c r="BX81" i="6"/>
  <c r="BX103" i="6"/>
  <c r="AV128" i="6"/>
  <c r="BX124" i="6"/>
  <c r="AU106" i="6"/>
  <c r="AU48" i="6"/>
  <c r="AU88" i="6"/>
  <c r="AU119" i="6"/>
  <c r="AU130" i="6"/>
  <c r="AU7" i="6"/>
  <c r="AU68" i="6"/>
  <c r="AU109" i="6"/>
  <c r="AU133" i="6"/>
  <c r="AU134" i="6"/>
  <c r="AU91" i="6"/>
  <c r="AU74" i="6"/>
  <c r="AU98" i="6"/>
  <c r="AU3" i="6"/>
  <c r="AU76" i="6"/>
  <c r="AU102" i="6"/>
  <c r="AU124" i="6"/>
  <c r="AH122" i="6"/>
  <c r="BW106" i="6"/>
  <c r="BE121" i="6"/>
  <c r="CN118" i="6"/>
  <c r="CL116" i="6"/>
  <c r="BE114" i="6"/>
  <c r="CN111" i="6"/>
  <c r="CE105" i="6"/>
  <c r="AH104" i="6"/>
  <c r="CL100" i="6"/>
  <c r="AH98" i="6"/>
  <c r="BF95" i="6"/>
  <c r="BE90" i="6"/>
  <c r="AP88" i="6"/>
  <c r="BV82" i="6"/>
  <c r="CL79" i="6"/>
  <c r="CH76" i="6"/>
  <c r="BF74" i="6"/>
  <c r="CH69" i="6"/>
  <c r="AT57" i="6"/>
  <c r="BW50" i="6"/>
  <c r="CL45" i="6"/>
  <c r="AH130" i="6"/>
  <c r="CN80" i="6"/>
  <c r="CN63" i="6"/>
  <c r="AV113" i="6"/>
  <c r="AV89" i="6"/>
  <c r="BW83" i="6"/>
  <c r="CM63" i="6"/>
  <c r="BJ127" i="6"/>
  <c r="BJ96" i="6"/>
  <c r="BJ81" i="6"/>
  <c r="BJ2" i="6"/>
  <c r="BJ112" i="6"/>
  <c r="BJ63" i="6"/>
  <c r="BJ116" i="6"/>
  <c r="BJ49" i="6"/>
  <c r="BJ56" i="6"/>
  <c r="BJ77" i="6"/>
  <c r="BJ85" i="6"/>
  <c r="BJ105" i="6"/>
  <c r="BJ125" i="6"/>
  <c r="BJ115" i="6"/>
  <c r="AH128" i="6"/>
  <c r="CN121" i="6"/>
  <c r="BJ117" i="6"/>
  <c r="AU113" i="6"/>
  <c r="BV106" i="6"/>
  <c r="AV102" i="6"/>
  <c r="BW95" i="6"/>
  <c r="BX93" i="6"/>
  <c r="BV83" i="6"/>
  <c r="CL80" i="6"/>
  <c r="BX57" i="6"/>
  <c r="BW53" i="6"/>
  <c r="AH41" i="6"/>
  <c r="BI63" i="6"/>
  <c r="BI93" i="6"/>
  <c r="BW129" i="6"/>
  <c r="AV126" i="6"/>
  <c r="CM121" i="6"/>
  <c r="BK115" i="6"/>
  <c r="CL104" i="6"/>
  <c r="AR99" i="6"/>
  <c r="AR105" i="6"/>
  <c r="AR127" i="6"/>
  <c r="AR102" i="6"/>
  <c r="AR132" i="6"/>
  <c r="CN135" i="6"/>
  <c r="BX121" i="6"/>
  <c r="BX114" i="6"/>
  <c r="BK83" i="6"/>
  <c r="BX66" i="6"/>
  <c r="AU129" i="6"/>
  <c r="BV114" i="6"/>
  <c r="CH105" i="6"/>
  <c r="BV98" i="6"/>
  <c r="BV90" i="6"/>
  <c r="BX82" i="6"/>
  <c r="AU77" i="6"/>
  <c r="BX70" i="6"/>
  <c r="BR66" i="6"/>
  <c r="AV51" i="6"/>
  <c r="AO98" i="6"/>
  <c r="AO132" i="6"/>
  <c r="AO123" i="6"/>
  <c r="AO91" i="6"/>
  <c r="AO102" i="6"/>
  <c r="AO90" i="6"/>
  <c r="AO76" i="6"/>
  <c r="BQ121" i="6"/>
  <c r="BQ113" i="6"/>
  <c r="BQ79" i="6"/>
  <c r="BQ33" i="6"/>
  <c r="BQ81" i="6"/>
  <c r="BQ94" i="6"/>
  <c r="BQ106" i="6"/>
  <c r="BQ126" i="6"/>
  <c r="BJ132" i="6"/>
  <c r="AT129" i="6"/>
  <c r="AO127" i="6"/>
  <c r="BQ123" i="6"/>
  <c r="BF114" i="6"/>
  <c r="AP110" i="6"/>
  <c r="CM79" i="6"/>
  <c r="CM45" i="6"/>
  <c r="AO14" i="6"/>
  <c r="CF90" i="6"/>
  <c r="CF84" i="6"/>
  <c r="BF132" i="6"/>
  <c r="BC123" i="6"/>
  <c r="BC65" i="6"/>
  <c r="BC77" i="6"/>
  <c r="BC126" i="6"/>
  <c r="BC135" i="6"/>
  <c r="BC112" i="6"/>
  <c r="BC9" i="6"/>
  <c r="BC83" i="6"/>
  <c r="BC132" i="6"/>
  <c r="AM13" i="6"/>
  <c r="AM90" i="6"/>
  <c r="AM25" i="6"/>
  <c r="AM55" i="6"/>
  <c r="AM93" i="6"/>
  <c r="AM116" i="6"/>
  <c r="AM114" i="6"/>
  <c r="AM56" i="6"/>
  <c r="AM82" i="6"/>
  <c r="AM71" i="6"/>
  <c r="AM108" i="6"/>
  <c r="CE58" i="6"/>
  <c r="CE70" i="6"/>
  <c r="CE84" i="6"/>
  <c r="CE48" i="6"/>
  <c r="CE89" i="6"/>
  <c r="CE99" i="6"/>
  <c r="CE65" i="6"/>
  <c r="BO87" i="6"/>
  <c r="BO79" i="6"/>
  <c r="BO94" i="6"/>
  <c r="BO120" i="6"/>
  <c r="BO119" i="6"/>
  <c r="BO44" i="6"/>
  <c r="BO126" i="6"/>
  <c r="BO127" i="6"/>
  <c r="BO106" i="6"/>
  <c r="BP133" i="6"/>
  <c r="AM132" i="6"/>
  <c r="BE130" i="6"/>
  <c r="BN125" i="6"/>
  <c r="BO123" i="6"/>
  <c r="BC121" i="6"/>
  <c r="CE118" i="6"/>
  <c r="BD114" i="6"/>
  <c r="CG111" i="6"/>
  <c r="CH109" i="6"/>
  <c r="CD105" i="6"/>
  <c r="AU103" i="6"/>
  <c r="CD100" i="6"/>
  <c r="CN97" i="6"/>
  <c r="BK92" i="6"/>
  <c r="AV90" i="6"/>
  <c r="AO88" i="6"/>
  <c r="BN85" i="6"/>
  <c r="BN82" i="6"/>
  <c r="BC74" i="6"/>
  <c r="AM61" i="6"/>
  <c r="BK50" i="6"/>
  <c r="AO12" i="6"/>
  <c r="AH27" i="6"/>
  <c r="AH125" i="6"/>
  <c r="AH19" i="6"/>
  <c r="AH71" i="6"/>
  <c r="AH76" i="6"/>
  <c r="AH97" i="6"/>
  <c r="AH89" i="6"/>
  <c r="AH2" i="6"/>
  <c r="BX83" i="6"/>
  <c r="CN2" i="6"/>
  <c r="BK117" i="6"/>
  <c r="CN104" i="6"/>
  <c r="CM80" i="6"/>
  <c r="BX53" i="6"/>
  <c r="CM133" i="6"/>
  <c r="CM104" i="6"/>
  <c r="AT113" i="6"/>
  <c r="BV110" i="6"/>
  <c r="BW93" i="6"/>
  <c r="BW57" i="6"/>
  <c r="CM52" i="6"/>
  <c r="BX132" i="6"/>
  <c r="AU126" i="6"/>
  <c r="BW119" i="6"/>
  <c r="BX74" i="6"/>
  <c r="BX127" i="6"/>
  <c r="BW121" i="6"/>
  <c r="AH117" i="6"/>
  <c r="BX112" i="6"/>
  <c r="CN105" i="6"/>
  <c r="BJ104" i="6"/>
  <c r="AU101" i="6"/>
  <c r="BK93" i="6"/>
  <c r="BW90" i="6"/>
  <c r="CM85" i="6"/>
  <c r="BJ15" i="6"/>
  <c r="AP62" i="6"/>
  <c r="AP71" i="6"/>
  <c r="AP76" i="6"/>
  <c r="AP98" i="6"/>
  <c r="AP132" i="6"/>
  <c r="AP59" i="6"/>
  <c r="AP102" i="6"/>
  <c r="CH34" i="6"/>
  <c r="CH110" i="6"/>
  <c r="CH135" i="6"/>
  <c r="CH58" i="6"/>
  <c r="CH117" i="6"/>
  <c r="CH99" i="6"/>
  <c r="BK132" i="6"/>
  <c r="AP127" i="6"/>
  <c r="BJ80" i="6"/>
  <c r="BE53" i="6"/>
  <c r="BE83" i="6"/>
  <c r="BE77" i="6"/>
  <c r="BE112" i="6"/>
  <c r="BE132" i="6"/>
  <c r="BE19" i="6"/>
  <c r="BE40" i="6"/>
  <c r="BE71" i="6"/>
  <c r="BE115" i="6"/>
  <c r="BE119" i="6"/>
  <c r="CG58" i="6"/>
  <c r="CG79" i="6"/>
  <c r="CG99" i="6"/>
  <c r="BK130" i="6"/>
  <c r="CM116" i="6"/>
  <c r="BK108" i="6"/>
  <c r="CG105" i="6"/>
  <c r="CM100" i="6"/>
  <c r="AT88" i="6"/>
  <c r="BW82" i="6"/>
  <c r="AH77" i="6"/>
  <c r="AU57" i="6"/>
  <c r="AU51" i="6"/>
  <c r="CG36" i="6"/>
  <c r="BQ133" i="6"/>
  <c r="BB110" i="6"/>
  <c r="BB74" i="6"/>
  <c r="BB118" i="6"/>
  <c r="BB9" i="6"/>
  <c r="BB103" i="6"/>
  <c r="BB115" i="6"/>
  <c r="BB59" i="6"/>
  <c r="BB68" i="6"/>
  <c r="AL93" i="6"/>
  <c r="AL87" i="6"/>
  <c r="AL91" i="6"/>
  <c r="AL129" i="6"/>
  <c r="AL125" i="6"/>
  <c r="AL114" i="6"/>
  <c r="AL39" i="6"/>
  <c r="AL56" i="6"/>
  <c r="AL130" i="6"/>
  <c r="AL131" i="6"/>
  <c r="CD66" i="6"/>
  <c r="CD84" i="6"/>
  <c r="CD96" i="6"/>
  <c r="CD86" i="6"/>
  <c r="CD89" i="6"/>
  <c r="CD122" i="6"/>
  <c r="CD51" i="6"/>
  <c r="CD65" i="6"/>
  <c r="CD82" i="6"/>
  <c r="BN94" i="6"/>
  <c r="BN120" i="6"/>
  <c r="BN44" i="6"/>
  <c r="BN62" i="6"/>
  <c r="BN96" i="6"/>
  <c r="BN126" i="6"/>
  <c r="BN112" i="6"/>
  <c r="BN106" i="6"/>
  <c r="BN116" i="6"/>
  <c r="AH135" i="6"/>
  <c r="AL132" i="6"/>
  <c r="BD130" i="6"/>
  <c r="AM129" i="6"/>
  <c r="CN120" i="6"/>
  <c r="CD118" i="6"/>
  <c r="AH116" i="6"/>
  <c r="BC114" i="6"/>
  <c r="CE111" i="6"/>
  <c r="CG109" i="6"/>
  <c r="CE107" i="6"/>
  <c r="AT103" i="6"/>
  <c r="CH97" i="6"/>
  <c r="BJ92" i="6"/>
  <c r="AP90" i="6"/>
  <c r="CE76" i="6"/>
  <c r="BE73" i="6"/>
  <c r="CD60" i="6"/>
  <c r="CD54" i="6"/>
  <c r="AH12" i="6"/>
  <c r="BK15" i="6"/>
  <c r="BK125" i="6"/>
  <c r="BK106" i="6"/>
  <c r="BK85" i="6"/>
  <c r="BK98" i="6"/>
  <c r="BK105" i="6"/>
  <c r="BK2" i="6"/>
  <c r="BK77" i="6"/>
  <c r="BK52" i="6"/>
  <c r="BK63" i="6"/>
  <c r="BK133" i="6"/>
  <c r="CM25" i="6"/>
  <c r="CM94" i="6"/>
  <c r="CM38" i="6"/>
  <c r="CM107" i="6"/>
  <c r="CM103" i="6"/>
  <c r="CM123" i="6"/>
  <c r="CM128" i="6"/>
  <c r="CM18" i="6"/>
  <c r="CM86" i="6"/>
  <c r="CM117" i="6"/>
  <c r="CM120" i="6"/>
  <c r="BW69" i="6"/>
  <c r="BW101" i="6"/>
  <c r="BW16" i="6"/>
  <c r="BW88" i="6"/>
  <c r="BW135" i="6"/>
  <c r="BW127" i="6"/>
  <c r="CN129" i="6"/>
  <c r="BK124" i="6"/>
  <c r="AT17" i="6"/>
  <c r="AT7" i="6"/>
  <c r="AT109" i="6"/>
  <c r="AT115" i="6"/>
  <c r="AT133" i="6"/>
  <c r="AT134" i="6"/>
  <c r="AT69" i="6"/>
  <c r="AT93" i="6"/>
  <c r="AT3" i="6"/>
  <c r="AT124" i="6"/>
  <c r="AT91" i="6"/>
  <c r="CL23" i="6"/>
  <c r="CL38" i="6"/>
  <c r="CL107" i="6"/>
  <c r="CL52" i="6"/>
  <c r="CL123" i="6"/>
  <c r="CL128" i="6"/>
  <c r="CL94" i="6"/>
  <c r="CL86" i="6"/>
  <c r="CL110" i="6"/>
  <c r="CL120" i="6"/>
  <c r="BV86" i="6"/>
  <c r="BV16" i="6"/>
  <c r="BV51" i="6"/>
  <c r="BV96" i="6"/>
  <c r="BV122" i="6"/>
  <c r="BV135" i="6"/>
  <c r="BV34" i="6"/>
  <c r="BV94" i="6"/>
  <c r="BV127" i="6"/>
  <c r="BV119" i="6"/>
  <c r="BX129" i="6"/>
  <c r="AH120" i="6"/>
  <c r="CK111" i="6"/>
  <c r="CK54" i="6"/>
  <c r="CK110" i="6"/>
  <c r="BX119" i="6"/>
  <c r="BH45" i="6"/>
  <c r="BH127" i="6"/>
  <c r="CJ22" i="6"/>
  <c r="CJ52" i="6"/>
  <c r="CJ110" i="6"/>
  <c r="CJ99" i="6"/>
  <c r="BV108" i="6"/>
  <c r="AV106" i="6"/>
  <c r="AV101" i="6"/>
  <c r="BX90" i="6"/>
  <c r="CN85" i="6"/>
  <c r="CM135" i="6"/>
  <c r="BW132" i="6"/>
  <c r="AV129" i="6"/>
  <c r="AH126" i="6"/>
  <c r="AV124" i="6"/>
  <c r="AT119" i="6"/>
  <c r="BW114" i="6"/>
  <c r="BK110" i="6"/>
  <c r="BF100" i="6"/>
  <c r="BF73" i="6"/>
  <c r="BF83" i="6"/>
  <c r="BF115" i="6"/>
  <c r="BF77" i="6"/>
  <c r="BF34" i="6"/>
  <c r="BF49" i="6"/>
  <c r="BF112" i="6"/>
  <c r="BF134" i="6"/>
  <c r="BR113" i="6"/>
  <c r="BR126" i="6"/>
  <c r="BR79" i="6"/>
  <c r="BR44" i="6"/>
  <c r="CL135" i="6"/>
  <c r="BR123" i="6"/>
  <c r="CN116" i="6"/>
  <c r="BQ66" i="6"/>
  <c r="AO129" i="6"/>
  <c r="CN134" i="6"/>
  <c r="BN133" i="6"/>
  <c r="BC130" i="6"/>
  <c r="BK128" i="6"/>
  <c r="CN126" i="6"/>
  <c r="AV123" i="6"/>
  <c r="BW118" i="6"/>
  <c r="CN115" i="6"/>
  <c r="BB114" i="6"/>
  <c r="CE109" i="6"/>
  <c r="BK107" i="6"/>
  <c r="CH102" i="6"/>
  <c r="BV100" i="6"/>
  <c r="CG97" i="6"/>
  <c r="CN94" i="6"/>
  <c r="BH92" i="6"/>
  <c r="CL87" i="6"/>
  <c r="BF82" i="6"/>
  <c r="BV78" i="6"/>
  <c r="CD76" i="6"/>
  <c r="BJ69" i="6"/>
  <c r="CE49" i="6"/>
  <c r="BV24" i="6"/>
  <c r="BI10" i="6"/>
  <c r="AX134" i="6"/>
  <c r="AK131" i="6"/>
  <c r="AK129" i="6"/>
  <c r="CC122" i="6"/>
  <c r="BM116" i="6"/>
  <c r="CC113" i="6"/>
  <c r="BM109" i="6"/>
  <c r="CC96" i="6"/>
  <c r="AX93" i="6"/>
  <c r="CB27" i="6"/>
  <c r="CC81" i="6"/>
  <c r="BM63" i="6"/>
  <c r="CC27" i="6"/>
  <c r="AK130" i="6"/>
  <c r="BA119" i="6"/>
  <c r="BM106" i="6"/>
  <c r="BA105" i="6"/>
  <c r="AK76" i="6"/>
  <c r="AK71" i="6"/>
  <c r="AK56" i="6"/>
  <c r="BA74" i="6"/>
  <c r="BM135" i="6"/>
  <c r="CC130" i="6"/>
  <c r="AJ130" i="6"/>
  <c r="AK125" i="6"/>
  <c r="BA122" i="6"/>
  <c r="CC117" i="6"/>
  <c r="BA115" i="6"/>
  <c r="AZ105" i="6"/>
  <c r="BA103" i="6"/>
  <c r="BZ99" i="6"/>
  <c r="CC82" i="6"/>
  <c r="CC73" i="6"/>
  <c r="CC65" i="6"/>
  <c r="CC51" i="6"/>
  <c r="BM33" i="6"/>
  <c r="AK118" i="6"/>
  <c r="BA59" i="6"/>
  <c r="CC44" i="6"/>
  <c r="BM34" i="6"/>
  <c r="BM9" i="6"/>
  <c r="BA2" i="6"/>
  <c r="BM128" i="6"/>
  <c r="CC123" i="6"/>
  <c r="CB117" i="6"/>
  <c r="AK116" i="6"/>
  <c r="AZ112" i="6"/>
  <c r="CC89" i="6"/>
  <c r="CA82" i="6"/>
  <c r="BZ67" i="6"/>
  <c r="BA33" i="6"/>
  <c r="AH88" i="1"/>
  <c r="AV101" i="1"/>
  <c r="BH109" i="1"/>
  <c r="AQ27" i="1"/>
  <c r="BF51" i="1"/>
  <c r="AH108" i="1"/>
  <c r="AR74" i="1"/>
  <c r="AH103" i="1"/>
  <c r="BH59" i="1"/>
  <c r="BG126" i="1"/>
  <c r="AH80" i="1"/>
  <c r="BH133" i="1"/>
  <c r="BG133" i="1"/>
  <c r="BF133" i="1"/>
  <c r="BH79" i="1"/>
  <c r="BG79" i="1"/>
  <c r="BE118" i="1"/>
  <c r="AP118" i="1"/>
  <c r="AH106" i="1"/>
  <c r="AH101" i="1"/>
  <c r="BG59" i="1"/>
  <c r="AR126" i="1"/>
  <c r="BF71" i="1"/>
  <c r="BF135" i="1"/>
  <c r="AR107" i="1"/>
  <c r="BH111" i="1"/>
  <c r="AR121" i="1"/>
  <c r="BH35" i="1"/>
  <c r="BG99" i="1"/>
  <c r="AQ111" i="1"/>
  <c r="AQ35" i="1"/>
  <c r="BF99" i="1"/>
  <c r="AR127" i="1"/>
  <c r="AR87" i="1"/>
  <c r="AP35" i="1"/>
  <c r="BH106" i="1"/>
  <c r="AQ57" i="1"/>
  <c r="AS80" i="1"/>
  <c r="AR38" i="1"/>
  <c r="AQ133" i="1"/>
  <c r="BG25" i="1"/>
  <c r="BH49" i="1"/>
  <c r="AP96" i="1"/>
  <c r="BG131" i="1"/>
  <c r="AR49" i="1"/>
  <c r="AQ114" i="1"/>
  <c r="AP6" i="1"/>
  <c r="AQ112" i="1"/>
  <c r="BF130" i="1"/>
  <c r="BG93" i="1"/>
  <c r="BG129" i="1"/>
  <c r="BF127" i="1"/>
  <c r="AQ33" i="1"/>
  <c r="BG87" i="1"/>
  <c r="AQ129" i="1"/>
  <c r="BH99" i="1"/>
  <c r="BF111" i="1"/>
  <c r="AQ121" i="1"/>
  <c r="AR35" i="1"/>
  <c r="AQ108" i="1"/>
  <c r="AS57" i="1"/>
  <c r="AR92" i="1"/>
  <c r="AP129" i="1"/>
  <c r="AZ127" i="1"/>
  <c r="AR128" i="1"/>
  <c r="AP121" i="1"/>
  <c r="AR57" i="1"/>
  <c r="AQ127" i="1"/>
  <c r="BH95" i="1"/>
  <c r="AX113" i="1"/>
  <c r="BF106" i="1"/>
  <c r="AR80" i="1"/>
  <c r="AQ51" i="1"/>
  <c r="BH114" i="1"/>
  <c r="BG67" i="1"/>
  <c r="BH32" i="1"/>
  <c r="BH119" i="1"/>
  <c r="BH105" i="1"/>
  <c r="BG49" i="1"/>
  <c r="BG114" i="1"/>
  <c r="BH53" i="1"/>
  <c r="AQ6" i="1"/>
  <c r="AR119" i="1"/>
  <c r="AP105" i="1"/>
  <c r="BG53" i="1"/>
  <c r="BH135" i="1"/>
  <c r="AP49" i="1"/>
  <c r="BH89" i="1"/>
  <c r="AR2" i="1"/>
  <c r="BG135" i="1"/>
  <c r="BH107" i="1"/>
  <c r="BH121" i="1"/>
  <c r="BG110" i="1"/>
  <c r="BG100" i="1"/>
  <c r="AQ2" i="1"/>
  <c r="AH35" i="1"/>
  <c r="AW113" i="1"/>
  <c r="AQ80" i="1"/>
  <c r="AI126" i="1"/>
  <c r="AW89" i="1"/>
  <c r="AH29" i="1"/>
  <c r="AR123" i="1"/>
  <c r="AR59" i="1"/>
  <c r="AW130" i="1"/>
  <c r="BF95" i="1"/>
  <c r="BI33" i="1"/>
  <c r="BH112" i="1"/>
  <c r="BF53" i="1"/>
  <c r="AH125" i="1"/>
  <c r="AH66" i="1"/>
  <c r="AR131" i="1"/>
  <c r="AQ123" i="1"/>
  <c r="AQ59" i="1"/>
  <c r="AQ130" i="1"/>
  <c r="BH117" i="1"/>
  <c r="AQ95" i="1"/>
  <c r="AR33" i="1"/>
  <c r="AR112" i="1"/>
  <c r="AP81" i="1"/>
  <c r="BE53" i="1"/>
  <c r="AH78" i="1"/>
  <c r="AH65" i="1"/>
  <c r="AH47" i="1"/>
  <c r="AX130" i="1"/>
  <c r="BF69" i="1"/>
  <c r="AX9" i="1"/>
  <c r="AQ82" i="1"/>
  <c r="AW66" i="1"/>
  <c r="AY122" i="1"/>
  <c r="AX119" i="1"/>
  <c r="AW35" i="1"/>
  <c r="AX106" i="1"/>
  <c r="AZ114" i="1"/>
  <c r="AV106" i="1"/>
  <c r="AY114" i="1"/>
  <c r="AX89" i="1"/>
  <c r="AH58" i="1"/>
  <c r="AH87" i="1"/>
  <c r="BH101" i="1"/>
  <c r="AH73" i="1"/>
  <c r="AH12" i="1"/>
  <c r="AR134" i="1"/>
  <c r="BI127" i="1"/>
  <c r="AR117" i="1"/>
  <c r="AP33" i="1"/>
  <c r="AR124" i="1"/>
  <c r="BG115" i="1"/>
  <c r="BF93" i="1"/>
  <c r="AQ120" i="1"/>
  <c r="AX101" i="1"/>
  <c r="BG80" i="1"/>
  <c r="AH64" i="1"/>
  <c r="AP123" i="1"/>
  <c r="AP59" i="1"/>
  <c r="BF117" i="1"/>
  <c r="AP95" i="1"/>
  <c r="BF124" i="1"/>
  <c r="BH115" i="1"/>
  <c r="AH49" i="1"/>
  <c r="AQ134" i="1"/>
  <c r="BH127" i="1"/>
  <c r="AQ117" i="1"/>
  <c r="BH128" i="1"/>
  <c r="AQ124" i="1"/>
  <c r="AQ115" i="1"/>
  <c r="BH87" i="1"/>
  <c r="AW101" i="1"/>
  <c r="BF102" i="1"/>
  <c r="AT80" i="1"/>
  <c r="BH62" i="1"/>
  <c r="BD28" i="1"/>
  <c r="BD118" i="1"/>
  <c r="BD95" i="1"/>
  <c r="BD126" i="1"/>
  <c r="BD83" i="1"/>
  <c r="BD119" i="1"/>
  <c r="BD105" i="1"/>
  <c r="BD123" i="1"/>
  <c r="BD129" i="1"/>
  <c r="BD33" i="1"/>
  <c r="BD71" i="1"/>
  <c r="AM2" i="1"/>
  <c r="AM98" i="1"/>
  <c r="AM17" i="1"/>
  <c r="AM112" i="1"/>
  <c r="AM26" i="1"/>
  <c r="AM91" i="1"/>
  <c r="AM96" i="1"/>
  <c r="AM99" i="1"/>
  <c r="AM100" i="1"/>
  <c r="AM24" i="1"/>
  <c r="AM116" i="1"/>
  <c r="AM131" i="1"/>
  <c r="AM134" i="1"/>
  <c r="AM133" i="1"/>
  <c r="AL2" i="1"/>
  <c r="AL21" i="1"/>
  <c r="AL73" i="1"/>
  <c r="AL17" i="1"/>
  <c r="AL112" i="1"/>
  <c r="AL26" i="1"/>
  <c r="AL99" i="1"/>
  <c r="AL133" i="1"/>
  <c r="AL63" i="1"/>
  <c r="AL100" i="1"/>
  <c r="AL108" i="1"/>
  <c r="AL131" i="1"/>
  <c r="AL115" i="1"/>
  <c r="AL122" i="1"/>
  <c r="AL96" i="1"/>
  <c r="AY89" i="1"/>
  <c r="AY96" i="1"/>
  <c r="AY101" i="1"/>
  <c r="AY115" i="1"/>
  <c r="AY60" i="1"/>
  <c r="AY63" i="1"/>
  <c r="AY120" i="1"/>
  <c r="AY18" i="1"/>
  <c r="AY103" i="1"/>
  <c r="AY9" i="1"/>
  <c r="AY77" i="1"/>
  <c r="AY128" i="1"/>
  <c r="AY123" i="1"/>
  <c r="AY70" i="1"/>
  <c r="AY19" i="1"/>
  <c r="AY84" i="1"/>
  <c r="AY91" i="1"/>
  <c r="AY109" i="1"/>
  <c r="AY85" i="1"/>
  <c r="AY33" i="1"/>
  <c r="AY41" i="1"/>
  <c r="AY27" i="1"/>
  <c r="AY21" i="1"/>
  <c r="AY95" i="1"/>
  <c r="AY59" i="1"/>
  <c r="AY116" i="1"/>
  <c r="AY73" i="1"/>
  <c r="AY75" i="1"/>
  <c r="AY135" i="1"/>
  <c r="AY93" i="1"/>
  <c r="AY81" i="1"/>
  <c r="AY113" i="1"/>
  <c r="AY121" i="1"/>
  <c r="AY125" i="1"/>
  <c r="AY11" i="1"/>
  <c r="AY133" i="1"/>
  <c r="AY107" i="1"/>
  <c r="AY99" i="1"/>
  <c r="AY117" i="1"/>
  <c r="AY124" i="1"/>
  <c r="AY126" i="1"/>
  <c r="AY132" i="1"/>
  <c r="AY31" i="1"/>
  <c r="AI128" i="1"/>
  <c r="AJ118" i="1"/>
  <c r="AJ123" i="1"/>
  <c r="AJ11" i="1"/>
  <c r="AI118" i="1"/>
  <c r="BB51" i="1"/>
  <c r="BB87" i="1"/>
  <c r="BB128" i="1"/>
  <c r="BB101" i="1"/>
  <c r="BB21" i="1"/>
  <c r="BB119" i="1"/>
  <c r="BB19" i="1"/>
  <c r="BB123" i="1"/>
  <c r="BB129" i="1"/>
  <c r="BB132" i="1"/>
  <c r="BB35" i="1"/>
  <c r="BB117" i="1"/>
  <c r="BB135" i="1"/>
  <c r="BB134" i="1"/>
  <c r="BB122" i="1"/>
  <c r="BA75" i="1"/>
  <c r="BA124" i="1"/>
  <c r="BA101" i="1"/>
  <c r="BA35" i="1"/>
  <c r="BA117" i="1"/>
  <c r="BA19" i="1"/>
  <c r="BA122" i="1"/>
  <c r="BA128" i="1"/>
  <c r="BA109" i="1"/>
  <c r="BA21" i="1"/>
  <c r="BA95" i="1"/>
  <c r="BA123" i="1"/>
  <c r="BA11" i="1"/>
  <c r="BA132" i="1"/>
  <c r="BA134" i="1"/>
  <c r="BA93" i="1"/>
  <c r="BA135" i="1"/>
  <c r="AL113" i="1"/>
  <c r="AZ130" i="1"/>
  <c r="AJ113" i="1"/>
  <c r="AY131" i="1"/>
  <c r="AJ119" i="1"/>
  <c r="AJ125" i="1"/>
  <c r="BC128" i="1"/>
  <c r="BB124" i="1"/>
  <c r="AY87" i="1"/>
  <c r="AI53" i="1"/>
  <c r="AZ101" i="1"/>
  <c r="AI43" i="1"/>
  <c r="AI123" i="1"/>
  <c r="AN126" i="1"/>
  <c r="AN24" i="1"/>
  <c r="AN26" i="1"/>
  <c r="AN91" i="1"/>
  <c r="AN84" i="1"/>
  <c r="AN116" i="1"/>
  <c r="AN133" i="1"/>
  <c r="AN98" i="1"/>
  <c r="AN99" i="1"/>
  <c r="AN121" i="1"/>
  <c r="AN134" i="1"/>
  <c r="AN89" i="1"/>
  <c r="AN112" i="1"/>
  <c r="AN2" i="1"/>
  <c r="BC122" i="1"/>
  <c r="BB105" i="1"/>
  <c r="AK63" i="1"/>
  <c r="AK17" i="1"/>
  <c r="AK41" i="1"/>
  <c r="AK100" i="1"/>
  <c r="AK119" i="1"/>
  <c r="AK131" i="1"/>
  <c r="AK122" i="1"/>
  <c r="AK21" i="1"/>
  <c r="AK9" i="1"/>
  <c r="AK99" i="1"/>
  <c r="AK115" i="1"/>
  <c r="AK2" i="1"/>
  <c r="AK133" i="1"/>
  <c r="AK33" i="1"/>
  <c r="BA119" i="1"/>
  <c r="AZ46" i="1"/>
  <c r="AZ116" i="1"/>
  <c r="AZ87" i="1"/>
  <c r="AZ128" i="1"/>
  <c r="AZ81" i="1"/>
  <c r="AZ91" i="1"/>
  <c r="AZ49" i="1"/>
  <c r="AZ122" i="1"/>
  <c r="AZ63" i="1"/>
  <c r="AZ120" i="1"/>
  <c r="AZ70" i="1"/>
  <c r="AZ21" i="1"/>
  <c r="AZ3" i="1"/>
  <c r="AZ96" i="1"/>
  <c r="AZ14" i="1"/>
  <c r="AZ113" i="1"/>
  <c r="AZ18" i="1"/>
  <c r="AZ75" i="1"/>
  <c r="AZ119" i="1"/>
  <c r="AZ121" i="1"/>
  <c r="AZ11" i="1"/>
  <c r="AZ84" i="1"/>
  <c r="AZ105" i="1"/>
  <c r="AZ85" i="1"/>
  <c r="AZ65" i="1"/>
  <c r="AZ108" i="1"/>
  <c r="AZ109" i="1"/>
  <c r="AZ100" i="1"/>
  <c r="AZ112" i="1"/>
  <c r="AZ33" i="1"/>
  <c r="AZ27" i="1"/>
  <c r="AZ95" i="1"/>
  <c r="AZ59" i="1"/>
  <c r="AZ77" i="1"/>
  <c r="AZ47" i="1"/>
  <c r="AZ73" i="1"/>
  <c r="AZ99" i="1"/>
  <c r="AZ41" i="1"/>
  <c r="AZ93" i="1"/>
  <c r="AZ125" i="1"/>
  <c r="AZ135" i="1"/>
  <c r="AZ115" i="1"/>
  <c r="AZ117" i="1"/>
  <c r="AZ132" i="1"/>
  <c r="AZ133" i="1"/>
  <c r="AJ78" i="1"/>
  <c r="AJ109" i="1"/>
  <c r="AJ95" i="1"/>
  <c r="AJ39" i="1"/>
  <c r="AJ61" i="1"/>
  <c r="AJ37" i="1"/>
  <c r="AJ63" i="1"/>
  <c r="AJ121" i="1"/>
  <c r="AJ124" i="1"/>
  <c r="AJ59" i="1"/>
  <c r="AJ116" i="1"/>
  <c r="AJ105" i="1"/>
  <c r="AJ128" i="1"/>
  <c r="AJ41" i="1"/>
  <c r="AJ87" i="1"/>
  <c r="AJ101" i="1"/>
  <c r="AJ93" i="1"/>
  <c r="AJ135" i="1"/>
  <c r="AJ99" i="1"/>
  <c r="AJ83" i="1"/>
  <c r="AJ73" i="1"/>
  <c r="AJ131" i="1"/>
  <c r="AJ120" i="1"/>
  <c r="AJ127" i="1"/>
  <c r="AJ115" i="1"/>
  <c r="AJ117" i="1"/>
  <c r="AJ15" i="1"/>
  <c r="AJ132" i="1"/>
  <c r="AJ130" i="1"/>
  <c r="AJ75" i="1"/>
  <c r="AJ133" i="1"/>
  <c r="AJ25" i="1"/>
  <c r="AJ96" i="1"/>
  <c r="AJ33" i="1"/>
  <c r="AJ2" i="1"/>
  <c r="AJ89" i="1"/>
  <c r="AJ122" i="1"/>
  <c r="AJ110" i="1"/>
  <c r="AK85" i="1"/>
  <c r="AK113" i="1"/>
  <c r="AI41" i="1"/>
  <c r="AI73" i="1"/>
  <c r="AI93" i="1"/>
  <c r="AI121" i="1"/>
  <c r="AI61" i="1"/>
  <c r="AI87" i="1"/>
  <c r="AI37" i="1"/>
  <c r="AI63" i="1"/>
  <c r="AI89" i="1"/>
  <c r="AI125" i="1"/>
  <c r="AI78" i="1"/>
  <c r="AI117" i="1"/>
  <c r="AI59" i="1"/>
  <c r="AI101" i="1"/>
  <c r="AI24" i="1"/>
  <c r="AI113" i="1"/>
  <c r="AI95" i="1"/>
  <c r="AI130" i="1"/>
  <c r="AI39" i="1"/>
  <c r="AI65" i="1"/>
  <c r="AI83" i="1"/>
  <c r="AI131" i="1"/>
  <c r="AI116" i="1"/>
  <c r="AI107" i="1"/>
  <c r="AI115" i="1"/>
  <c r="AI120" i="1"/>
  <c r="AI119" i="1"/>
  <c r="AI133" i="1"/>
  <c r="AI122" i="1"/>
  <c r="AI15" i="1"/>
  <c r="AI132" i="1"/>
  <c r="AI2" i="1"/>
  <c r="AI97" i="1"/>
  <c r="AI31" i="1"/>
  <c r="AI135" i="1"/>
  <c r="AI110" i="1"/>
  <c r="AI124" i="1"/>
  <c r="AI33" i="1"/>
  <c r="AI84" i="1"/>
  <c r="AI75" i="1"/>
  <c r="AI109" i="1"/>
  <c r="AI99" i="1"/>
  <c r="AJ85" i="1"/>
  <c r="AZ89" i="1"/>
  <c r="AJ102" i="1"/>
  <c r="AZ131" i="1"/>
  <c r="AN59" i="1"/>
  <c r="AY130" i="1"/>
  <c r="AI85" i="1"/>
  <c r="BD128" i="1"/>
  <c r="BA87" i="1"/>
  <c r="AI102" i="1"/>
  <c r="AJ53" i="1"/>
  <c r="AZ123" i="1"/>
  <c r="BB118" i="1"/>
  <c r="AL134" i="1"/>
  <c r="BD127" i="1"/>
  <c r="BB95" i="1"/>
  <c r="BD122" i="1"/>
  <c r="BC28" i="1"/>
  <c r="BC66" i="1"/>
  <c r="BC83" i="1"/>
  <c r="BC124" i="1"/>
  <c r="BC91" i="1"/>
  <c r="BC35" i="1"/>
  <c r="BC118" i="1"/>
  <c r="BC127" i="1"/>
  <c r="BC129" i="1"/>
  <c r="BC105" i="1"/>
  <c r="BC134" i="1"/>
  <c r="BC85" i="1"/>
  <c r="BC123" i="1"/>
  <c r="BC119" i="1"/>
  <c r="BC132" i="1"/>
  <c r="BC71" i="1"/>
  <c r="BE3" i="1"/>
  <c r="BE33" i="1"/>
  <c r="BE83" i="1"/>
  <c r="BE109" i="1"/>
  <c r="BE122" i="1"/>
  <c r="BE127" i="1"/>
  <c r="BE55" i="1"/>
  <c r="BE54" i="1"/>
  <c r="BE105" i="1"/>
  <c r="BE129" i="1"/>
  <c r="BE71" i="1"/>
  <c r="BE126" i="1"/>
  <c r="AO109" i="1"/>
  <c r="AO2" i="1"/>
  <c r="AO98" i="1"/>
  <c r="AO116" i="1"/>
  <c r="AO99" i="1"/>
  <c r="AO59" i="1"/>
  <c r="AO75" i="1"/>
  <c r="AO24" i="1"/>
  <c r="AO26" i="1"/>
  <c r="AO121" i="1"/>
  <c r="AO107" i="1"/>
  <c r="AO91" i="1"/>
  <c r="AO11" i="1"/>
  <c r="AO133" i="1"/>
  <c r="AN75" i="1"/>
  <c r="BB127" i="1"/>
  <c r="AM97" i="1"/>
  <c r="AJ69" i="1"/>
  <c r="AZ50" i="1"/>
  <c r="AH4" i="1"/>
  <c r="AH16" i="1"/>
  <c r="AH26" i="1"/>
  <c r="AH104" i="1"/>
  <c r="AH79" i="1"/>
  <c r="AH129" i="1"/>
  <c r="AH20" i="1"/>
  <c r="AH45" i="1"/>
  <c r="AH15" i="1"/>
  <c r="AH105" i="1"/>
  <c r="AH40" i="1"/>
  <c r="AH53" i="1"/>
  <c r="AH81" i="1"/>
  <c r="AH124" i="1"/>
  <c r="AH68" i="1"/>
  <c r="AH100" i="1"/>
  <c r="AH113" i="1"/>
  <c r="AH72" i="1"/>
  <c r="AH102" i="1"/>
  <c r="AH126" i="1"/>
  <c r="AH17" i="1"/>
  <c r="AH9" i="1"/>
  <c r="AH128" i="1"/>
  <c r="AH19" i="1"/>
  <c r="AH69" i="1"/>
  <c r="AH111" i="1"/>
  <c r="AH8" i="1"/>
  <c r="AH23" i="1"/>
  <c r="AH89" i="1"/>
  <c r="AH117" i="1"/>
  <c r="AH46" i="1"/>
  <c r="AW134" i="1"/>
  <c r="AH107" i="1"/>
  <c r="AH91" i="1"/>
  <c r="AH44" i="1"/>
  <c r="BF107" i="1"/>
  <c r="BF125" i="1"/>
  <c r="AW117" i="1"/>
  <c r="AP124" i="1"/>
  <c r="AP115" i="1"/>
  <c r="BF79" i="1"/>
  <c r="BF25" i="1"/>
  <c r="AX99" i="1"/>
  <c r="AX81" i="1"/>
  <c r="AX91" i="1"/>
  <c r="AX122" i="1"/>
  <c r="AX103" i="1"/>
  <c r="AX51" i="1"/>
  <c r="AX120" i="1"/>
  <c r="AX77" i="1"/>
  <c r="AX114" i="1"/>
  <c r="AX70" i="1"/>
  <c r="AX98" i="1"/>
  <c r="AX121" i="1"/>
  <c r="AX19" i="1"/>
  <c r="AX85" i="1"/>
  <c r="AX129" i="1"/>
  <c r="AX90" i="1"/>
  <c r="AX71" i="1"/>
  <c r="AX41" i="1"/>
  <c r="AX33" i="1"/>
  <c r="AX27" i="1"/>
  <c r="AX112" i="1"/>
  <c r="AX21" i="1"/>
  <c r="AX95" i="1"/>
  <c r="AX59" i="1"/>
  <c r="AX116" i="1"/>
  <c r="AX73" i="1"/>
  <c r="AX75" i="1"/>
  <c r="AX135" i="1"/>
  <c r="AX93" i="1"/>
  <c r="AW123" i="1"/>
  <c r="AW14" i="1"/>
  <c r="AW120" i="1"/>
  <c r="AW111" i="1"/>
  <c r="AW104" i="1"/>
  <c r="AW41" i="1"/>
  <c r="AW77" i="1"/>
  <c r="AW21" i="1"/>
  <c r="AW106" i="1"/>
  <c r="AW79" i="1"/>
  <c r="AW42" i="1"/>
  <c r="AW90" i="1"/>
  <c r="AW122" i="1"/>
  <c r="AW128" i="1"/>
  <c r="AW71" i="1"/>
  <c r="AW103" i="1"/>
  <c r="AW116" i="1"/>
  <c r="AW27" i="1"/>
  <c r="AW112" i="1"/>
  <c r="AW59" i="1"/>
  <c r="AW129" i="1"/>
  <c r="AW86" i="1"/>
  <c r="AW73" i="1"/>
  <c r="AW98" i="1"/>
  <c r="AW93" i="1"/>
  <c r="AW9" i="1"/>
  <c r="AX124" i="1"/>
  <c r="AX109" i="1"/>
  <c r="AH97" i="1"/>
  <c r="AH119" i="1"/>
  <c r="AX117" i="1"/>
  <c r="AH99" i="1"/>
  <c r="AH98" i="1"/>
  <c r="AH42" i="1"/>
  <c r="AX132" i="1"/>
  <c r="AX126" i="1"/>
  <c r="AV79" i="1"/>
  <c r="BF120" i="1"/>
  <c r="AW31" i="1"/>
  <c r="BF68" i="1"/>
  <c r="AX131" i="1"/>
  <c r="AH132" i="1"/>
  <c r="AH94" i="1"/>
  <c r="AH30" i="1"/>
  <c r="AP134" i="1"/>
  <c r="AX107" i="1"/>
  <c r="AP132" i="1"/>
  <c r="AP51" i="1"/>
  <c r="AW126" i="1"/>
  <c r="BF121" i="1"/>
  <c r="AP57" i="1"/>
  <c r="AH48" i="1"/>
  <c r="AW109" i="1"/>
  <c r="AH96" i="1"/>
  <c r="AH130" i="1"/>
  <c r="AH92" i="1"/>
  <c r="AH18" i="1"/>
  <c r="AW107" i="1"/>
  <c r="AX125" i="1"/>
  <c r="AV92" i="1"/>
  <c r="AV18" i="1"/>
  <c r="AV73" i="1"/>
  <c r="AV90" i="1"/>
  <c r="AV71" i="1"/>
  <c r="AV9" i="1"/>
  <c r="BF44" i="1"/>
  <c r="BF89" i="1"/>
  <c r="BF115" i="1"/>
  <c r="BF39" i="1"/>
  <c r="BF81" i="1"/>
  <c r="BF83" i="1"/>
  <c r="BF49" i="1"/>
  <c r="BF87" i="1"/>
  <c r="BF50" i="1"/>
  <c r="BF86" i="1"/>
  <c r="BF92" i="1"/>
  <c r="BF41" i="1"/>
  <c r="BF55" i="1"/>
  <c r="BF5" i="1"/>
  <c r="BF88" i="1"/>
  <c r="BF118" i="1"/>
  <c r="BF11" i="1"/>
  <c r="BF15" i="1"/>
  <c r="BF110" i="1"/>
  <c r="BF123" i="1"/>
  <c r="BF134" i="1"/>
  <c r="BF18" i="1"/>
  <c r="BF63" i="1"/>
  <c r="BF126" i="1"/>
  <c r="BF62" i="1"/>
  <c r="BF132" i="1"/>
  <c r="BF23" i="1"/>
  <c r="BF67" i="1"/>
  <c r="BF77" i="1"/>
  <c r="BF97" i="1"/>
  <c r="BF32" i="1"/>
  <c r="BF112" i="1"/>
  <c r="BF105" i="1"/>
  <c r="BF109" i="1"/>
  <c r="BF27" i="1"/>
  <c r="BF21" i="1"/>
  <c r="BF33" i="1"/>
  <c r="BF59" i="1"/>
  <c r="BF129" i="1"/>
  <c r="BF116" i="1"/>
  <c r="AP69" i="1"/>
  <c r="AP82" i="1"/>
  <c r="AP77" i="1"/>
  <c r="AP125" i="1"/>
  <c r="AP130" i="1"/>
  <c r="AP74" i="1"/>
  <c r="AP104" i="1"/>
  <c r="AP93" i="1"/>
  <c r="AP126" i="1"/>
  <c r="AP2" i="1"/>
  <c r="AP98" i="1"/>
  <c r="AP79" i="1"/>
  <c r="AP106" i="1"/>
  <c r="AP114" i="1"/>
  <c r="AP14" i="1"/>
  <c r="AP27" i="1"/>
  <c r="AP112" i="1"/>
  <c r="AP87" i="1"/>
  <c r="AP55" i="1"/>
  <c r="AP83" i="1"/>
  <c r="AP103" i="1"/>
  <c r="AP29" i="1"/>
  <c r="AP116" i="1"/>
  <c r="AP117" i="1"/>
  <c r="AP133" i="1"/>
  <c r="AP135" i="1"/>
  <c r="AP24" i="1"/>
  <c r="AP9" i="1"/>
  <c r="AP56" i="1"/>
  <c r="AP99" i="1"/>
  <c r="AP107" i="1"/>
  <c r="AP111" i="1"/>
  <c r="AP127" i="1"/>
  <c r="AH127" i="1"/>
  <c r="AH90" i="1"/>
  <c r="AH14" i="1"/>
  <c r="AW85" i="1"/>
  <c r="AW121" i="1"/>
  <c r="AX35" i="1"/>
  <c r="AP120" i="1"/>
  <c r="BF114" i="1"/>
  <c r="BF66" i="1"/>
  <c r="AQ131" i="1"/>
  <c r="AQ107" i="1"/>
  <c r="AR99" i="1"/>
  <c r="BG109" i="1"/>
  <c r="BG105" i="1"/>
  <c r="BG112" i="1"/>
  <c r="AQ100" i="1"/>
  <c r="AQ56" i="1"/>
  <c r="BG32" i="1"/>
  <c r="BJ130" i="1"/>
  <c r="BJ41" i="1"/>
  <c r="BG123" i="1"/>
  <c r="BH97" i="1"/>
  <c r="AQ9" i="1"/>
  <c r="BI129" i="1"/>
  <c r="BI86" i="1"/>
  <c r="BI126" i="1"/>
  <c r="BI55" i="1"/>
  <c r="AR135" i="1"/>
  <c r="AT75" i="1"/>
  <c r="BG85" i="1"/>
  <c r="AQ103" i="1"/>
  <c r="AQ83" i="1"/>
  <c r="BG88" i="1"/>
  <c r="BG54" i="1"/>
  <c r="BH67" i="1"/>
  <c r="BH90" i="1"/>
  <c r="BH100" i="1"/>
  <c r="BH9" i="1"/>
  <c r="BH25" i="1"/>
  <c r="BH85" i="1"/>
  <c r="BH82" i="1"/>
  <c r="BH5" i="1"/>
  <c r="BH96" i="1"/>
  <c r="BH116" i="1"/>
  <c r="BH80" i="1"/>
  <c r="BH36" i="1"/>
  <c r="BH86" i="1"/>
  <c r="BH102" i="1"/>
  <c r="BH55" i="1"/>
  <c r="BH129" i="1"/>
  <c r="BH72" i="1"/>
  <c r="BH39" i="1"/>
  <c r="BH120" i="1"/>
  <c r="BH124" i="1"/>
  <c r="BH33" i="1"/>
  <c r="BH131" i="1"/>
  <c r="BH118" i="1"/>
  <c r="BH123" i="1"/>
  <c r="BH134" i="1"/>
  <c r="BH83" i="1"/>
  <c r="BH103" i="1"/>
  <c r="BH126" i="1"/>
  <c r="AR6" i="1"/>
  <c r="AR29" i="1"/>
  <c r="AR47" i="1"/>
  <c r="AR51" i="1"/>
  <c r="AR77" i="1"/>
  <c r="AR70" i="1"/>
  <c r="AR88" i="1"/>
  <c r="AR73" i="1"/>
  <c r="AR109" i="1"/>
  <c r="AR79" i="1"/>
  <c r="AR66" i="1"/>
  <c r="AR115" i="1"/>
  <c r="AR130" i="1"/>
  <c r="AR133" i="1"/>
  <c r="AR90" i="1"/>
  <c r="AR85" i="1"/>
  <c r="AR111" i="1"/>
  <c r="AR11" i="1"/>
  <c r="AR129" i="1"/>
  <c r="AR84" i="1"/>
  <c r="AR55" i="1"/>
  <c r="AR103" i="1"/>
  <c r="AR105" i="1"/>
  <c r="BG134" i="1"/>
  <c r="AS75" i="1"/>
  <c r="BH130" i="1"/>
  <c r="BH51" i="1"/>
  <c r="AR97" i="1"/>
  <c r="BH69" i="1"/>
  <c r="BG44" i="1"/>
  <c r="BG86" i="1"/>
  <c r="BG97" i="1"/>
  <c r="BG106" i="1"/>
  <c r="BG118" i="1"/>
  <c r="BG117" i="1"/>
  <c r="BG66" i="1"/>
  <c r="BG5" i="1"/>
  <c r="BG23" i="1"/>
  <c r="BG96" i="1"/>
  <c r="BG116" i="1"/>
  <c r="BG33" i="1"/>
  <c r="BG89" i="1"/>
  <c r="BG36" i="1"/>
  <c r="BG102" i="1"/>
  <c r="BG92" i="1"/>
  <c r="BG9" i="1"/>
  <c r="BG55" i="1"/>
  <c r="BG120" i="1"/>
  <c r="BG107" i="1"/>
  <c r="BG77" i="1"/>
  <c r="BG95" i="1"/>
  <c r="BG125" i="1"/>
  <c r="BG15" i="1"/>
  <c r="BG111" i="1"/>
  <c r="BG83" i="1"/>
  <c r="BG62" i="1"/>
  <c r="BG121" i="1"/>
  <c r="BG127" i="1"/>
  <c r="BG11" i="1"/>
  <c r="AQ69" i="1"/>
  <c r="AQ49" i="1"/>
  <c r="AQ11" i="1"/>
  <c r="AQ70" i="1"/>
  <c r="AQ109" i="1"/>
  <c r="AQ74" i="1"/>
  <c r="AQ93" i="1"/>
  <c r="AQ77" i="1"/>
  <c r="AQ96" i="1"/>
  <c r="AQ116" i="1"/>
  <c r="AQ85" i="1"/>
  <c r="AQ55" i="1"/>
  <c r="AQ105" i="1"/>
  <c r="AQ29" i="1"/>
  <c r="AQ45" i="1"/>
  <c r="AQ79" i="1"/>
  <c r="AQ87" i="1"/>
  <c r="AQ99" i="1"/>
  <c r="BH11" i="1"/>
  <c r="BG130" i="1"/>
  <c r="AR95" i="1"/>
  <c r="BG51" i="1"/>
  <c r="BG124" i="1"/>
  <c r="AR108" i="1"/>
  <c r="AQ97" i="1"/>
  <c r="BG69" i="1"/>
  <c r="BJ55" i="1"/>
  <c r="AR86" i="1"/>
  <c r="BG72" i="1"/>
  <c r="CO135" i="6"/>
  <c r="BY74" i="6"/>
  <c r="AW52" i="6"/>
  <c r="AW4" i="6"/>
  <c r="AW129" i="6"/>
  <c r="AW130" i="6"/>
  <c r="AW54" i="6"/>
  <c r="AW109" i="6"/>
  <c r="AW3" i="6"/>
  <c r="AW48" i="6"/>
  <c r="AW114" i="6"/>
  <c r="AW133" i="6"/>
  <c r="AW66" i="6"/>
  <c r="AW74" i="6"/>
  <c r="AW102" i="6"/>
  <c r="AW7" i="6"/>
  <c r="AW124" i="6"/>
  <c r="AW93" i="6"/>
  <c r="AW119" i="6"/>
  <c r="AW78" i="6"/>
  <c r="AW68" i="6"/>
  <c r="AW37" i="6"/>
  <c r="AW135" i="6"/>
  <c r="AW123" i="6"/>
  <c r="AW23" i="6"/>
  <c r="AW9" i="6"/>
  <c r="AW94" i="6"/>
  <c r="AW113" i="6"/>
  <c r="AW121" i="6"/>
  <c r="AW128" i="6"/>
  <c r="AW21" i="6"/>
  <c r="AW118" i="6"/>
  <c r="AW51" i="6"/>
  <c r="AW111" i="6"/>
  <c r="AW134" i="6"/>
  <c r="CO61" i="6"/>
  <c r="CO81" i="6"/>
  <c r="CO87" i="6"/>
  <c r="CO66" i="6"/>
  <c r="CO96" i="6"/>
  <c r="CO85" i="6"/>
  <c r="CO97" i="6"/>
  <c r="CO111" i="6"/>
  <c r="CO109" i="6"/>
  <c r="CO18" i="6"/>
  <c r="CO118" i="6"/>
  <c r="CO40" i="6"/>
  <c r="CO125" i="6"/>
  <c r="CO75" i="6"/>
  <c r="CO104" i="6"/>
  <c r="CO80" i="6"/>
  <c r="CO103" i="6"/>
  <c r="CO121" i="6"/>
  <c r="CO16" i="6"/>
  <c r="CO134" i="6"/>
  <c r="CO89" i="6"/>
  <c r="CO115" i="6"/>
  <c r="CO129" i="6"/>
  <c r="CO38" i="6"/>
  <c r="CO126" i="6"/>
  <c r="CO130" i="6"/>
  <c r="BY97" i="6"/>
  <c r="BY57" i="6"/>
  <c r="BY5" i="6"/>
  <c r="BY53" i="6"/>
  <c r="BY121" i="6"/>
  <c r="BY132" i="6"/>
  <c r="BY88" i="6"/>
  <c r="BY114" i="6"/>
  <c r="BY68" i="6"/>
  <c r="BY103" i="6"/>
  <c r="BY112" i="6"/>
  <c r="BY66" i="6"/>
  <c r="BY119" i="6"/>
  <c r="BY39" i="6"/>
  <c r="BY99" i="6"/>
  <c r="BY116" i="6"/>
  <c r="BY129" i="6"/>
  <c r="BY30" i="6"/>
  <c r="BY124" i="6"/>
  <c r="BY81" i="6"/>
  <c r="BY120" i="6"/>
  <c r="BY89" i="6"/>
  <c r="BY72" i="6"/>
  <c r="BY24" i="6"/>
  <c r="BY127" i="6"/>
  <c r="BY70" i="6"/>
  <c r="BY76" i="6"/>
  <c r="BY131" i="6"/>
  <c r="BY91" i="6"/>
  <c r="BY109" i="6"/>
  <c r="AW88" i="6"/>
  <c r="AW101" i="6"/>
  <c r="BK22" i="1"/>
  <c r="BK30" i="1"/>
  <c r="BK2" i="1"/>
  <c r="BK36" i="1"/>
  <c r="BK56" i="1"/>
  <c r="BK44" i="1"/>
  <c r="BK60" i="1"/>
  <c r="BK38" i="1"/>
  <c r="BK4" i="1"/>
  <c r="BK18" i="1"/>
  <c r="BK34" i="1"/>
  <c r="BK46" i="1"/>
  <c r="BK3" i="1"/>
  <c r="BK14" i="1"/>
  <c r="BK50" i="1"/>
  <c r="BK5" i="1"/>
  <c r="BK17" i="1"/>
  <c r="BK40" i="1"/>
  <c r="BK42" i="1"/>
  <c r="BK62" i="1"/>
  <c r="BK72" i="1"/>
  <c r="BK16" i="1"/>
  <c r="BK68" i="1"/>
  <c r="BK29" i="1"/>
  <c r="BK80" i="1"/>
  <c r="BK32" i="1"/>
  <c r="BK39" i="1"/>
  <c r="BK10" i="1"/>
  <c r="BK66" i="1"/>
  <c r="BK53" i="1"/>
  <c r="BK92" i="1"/>
  <c r="BK6" i="1"/>
  <c r="BK65" i="1"/>
  <c r="BK20" i="1"/>
  <c r="BK67" i="1"/>
  <c r="BK76" i="1"/>
  <c r="BK90" i="1"/>
  <c r="BK94" i="1"/>
  <c r="BK24" i="1"/>
  <c r="BK13" i="1"/>
  <c r="BK31" i="1"/>
  <c r="BK47" i="1"/>
  <c r="BK102" i="1"/>
  <c r="BK19" i="1"/>
  <c r="BK71" i="1"/>
  <c r="BK86" i="1"/>
  <c r="BK100" i="1"/>
  <c r="BK9" i="1"/>
  <c r="BK27" i="1"/>
  <c r="BK26" i="1"/>
  <c r="BK70" i="1"/>
  <c r="BK98" i="1"/>
  <c r="BK104" i="1"/>
  <c r="BK25" i="1"/>
  <c r="BK96" i="1"/>
  <c r="BK12" i="1"/>
  <c r="BK103" i="1"/>
  <c r="BK23" i="1"/>
  <c r="BK74" i="1"/>
  <c r="BK63" i="1"/>
  <c r="BK69" i="1"/>
  <c r="BK83" i="1"/>
  <c r="BK118" i="1"/>
  <c r="BK58" i="1"/>
  <c r="BK84" i="1"/>
  <c r="BK114" i="1"/>
  <c r="BK21" i="1"/>
  <c r="BK52" i="1"/>
  <c r="BK37" i="1"/>
  <c r="BK101" i="1"/>
  <c r="BK120" i="1"/>
  <c r="BK124" i="1"/>
  <c r="BK99" i="1"/>
  <c r="BK91" i="1"/>
  <c r="BK33" i="1"/>
  <c r="BK123" i="1"/>
  <c r="BK8" i="1"/>
  <c r="BK77" i="1"/>
  <c r="BK95" i="1"/>
  <c r="BK133" i="1"/>
  <c r="BK7" i="1"/>
  <c r="BK61" i="1"/>
  <c r="BK73" i="1"/>
  <c r="BK79" i="1"/>
  <c r="BK105" i="1"/>
  <c r="BK115" i="1"/>
  <c r="BK78" i="1"/>
  <c r="BK88" i="1"/>
  <c r="BK15" i="1"/>
  <c r="BK28" i="1"/>
  <c r="BK87" i="1"/>
  <c r="BK49" i="1"/>
  <c r="BK127" i="1"/>
  <c r="BK109" i="1"/>
  <c r="BK81" i="1"/>
  <c r="BK89" i="1"/>
  <c r="BK108" i="1"/>
  <c r="BK128" i="1"/>
  <c r="BK51" i="1"/>
  <c r="BK117" i="1"/>
  <c r="BK64" i="1"/>
  <c r="BK75" i="1"/>
  <c r="BK45" i="1"/>
  <c r="BK41" i="1"/>
  <c r="BK55" i="1"/>
  <c r="BK57" i="1"/>
  <c r="BK126" i="1"/>
  <c r="BK131" i="1"/>
  <c r="BK97" i="1"/>
  <c r="BK59" i="1"/>
  <c r="BK54" i="1"/>
  <c r="BK35" i="1"/>
  <c r="BK129" i="1"/>
  <c r="BK11" i="1"/>
  <c r="BK82" i="1"/>
  <c r="BK113" i="1"/>
  <c r="BK43" i="1"/>
  <c r="BK110" i="1"/>
  <c r="BK121" i="1"/>
  <c r="BK107" i="1"/>
  <c r="BK122" i="1"/>
  <c r="BK93" i="1"/>
  <c r="BK85" i="1"/>
  <c r="BK119" i="1"/>
  <c r="BK134" i="1"/>
  <c r="BK48" i="1"/>
  <c r="BK130" i="1"/>
  <c r="BK132" i="1"/>
  <c r="BK135" i="1"/>
  <c r="BK116" i="1"/>
  <c r="BK106" i="1"/>
  <c r="BK112" i="1"/>
  <c r="BK125" i="1"/>
  <c r="AU22" i="1"/>
  <c r="AU30" i="1"/>
  <c r="AU2" i="1"/>
  <c r="AU36" i="1"/>
  <c r="AU6" i="1"/>
  <c r="AU12" i="1"/>
  <c r="AU18" i="1"/>
  <c r="AU24" i="1"/>
  <c r="AU32" i="1"/>
  <c r="AU38" i="1"/>
  <c r="AU56" i="1"/>
  <c r="AU60" i="1"/>
  <c r="AU16" i="1"/>
  <c r="AU48" i="1"/>
  <c r="AU3" i="1"/>
  <c r="AU28" i="1"/>
  <c r="AU17" i="1"/>
  <c r="AU5" i="1"/>
  <c r="AU8" i="1"/>
  <c r="AU10" i="1"/>
  <c r="AU34" i="1"/>
  <c r="AU29" i="1"/>
  <c r="AU80" i="1"/>
  <c r="AU46" i="1"/>
  <c r="AU54" i="1"/>
  <c r="AU62" i="1"/>
  <c r="AU39" i="1"/>
  <c r="AU20" i="1"/>
  <c r="AU72" i="1"/>
  <c r="AU53" i="1"/>
  <c r="AU92" i="1"/>
  <c r="AU65" i="1"/>
  <c r="AU52" i="1"/>
  <c r="AU68" i="1"/>
  <c r="AU44" i="1"/>
  <c r="AU58" i="1"/>
  <c r="AU70" i="1"/>
  <c r="AU78" i="1"/>
  <c r="AU7" i="1"/>
  <c r="AU37" i="1"/>
  <c r="AU94" i="1"/>
  <c r="AU90" i="1"/>
  <c r="AU102" i="1"/>
  <c r="AU64" i="1"/>
  <c r="AU45" i="1"/>
  <c r="AU84" i="1"/>
  <c r="AU96" i="1"/>
  <c r="AU15" i="1"/>
  <c r="AU41" i="1"/>
  <c r="AU103" i="1"/>
  <c r="AU50" i="1"/>
  <c r="AU100" i="1"/>
  <c r="AU9" i="1"/>
  <c r="AU27" i="1"/>
  <c r="AU61" i="1"/>
  <c r="AU40" i="1"/>
  <c r="AU19" i="1"/>
  <c r="AU26" i="1"/>
  <c r="AU81" i="1"/>
  <c r="AU91" i="1"/>
  <c r="AU118" i="1"/>
  <c r="AU21" i="1"/>
  <c r="AU67" i="1"/>
  <c r="AU43" i="1"/>
  <c r="AU77" i="1"/>
  <c r="AU89" i="1"/>
  <c r="AU97" i="1"/>
  <c r="AU31" i="1"/>
  <c r="AU82" i="1"/>
  <c r="AU69" i="1"/>
  <c r="AU83" i="1"/>
  <c r="AU110" i="1"/>
  <c r="AU4" i="1"/>
  <c r="AU63" i="1"/>
  <c r="AU13" i="1"/>
  <c r="AU57" i="1"/>
  <c r="AU114" i="1"/>
  <c r="AU124" i="1"/>
  <c r="AU99" i="1"/>
  <c r="AU55" i="1"/>
  <c r="AU112" i="1"/>
  <c r="AU116" i="1"/>
  <c r="AU33" i="1"/>
  <c r="AU123" i="1"/>
  <c r="AU120" i="1"/>
  <c r="AU95" i="1"/>
  <c r="AU133" i="1"/>
  <c r="AU23" i="1"/>
  <c r="AU25" i="1"/>
  <c r="AU125" i="1"/>
  <c r="AU132" i="1"/>
  <c r="AU75" i="1"/>
  <c r="AU119" i="1"/>
  <c r="AU131" i="1"/>
  <c r="AU135" i="1"/>
  <c r="AU35" i="1"/>
  <c r="AU93" i="1"/>
  <c r="AU113" i="1"/>
  <c r="AU122" i="1"/>
  <c r="AU128" i="1"/>
  <c r="AU85" i="1"/>
  <c r="AU117" i="1"/>
  <c r="AU130" i="1"/>
  <c r="AU59" i="1"/>
  <c r="AU107" i="1"/>
  <c r="AU129" i="1"/>
  <c r="AU134" i="1"/>
  <c r="AU76" i="1"/>
  <c r="AU87" i="1"/>
  <c r="AU109" i="1"/>
  <c r="AU121" i="1"/>
  <c r="AU126" i="1"/>
  <c r="AU51" i="1"/>
  <c r="AU111" i="1"/>
  <c r="AU127" i="1"/>
  <c r="AU11" i="1"/>
  <c r="AU79" i="1"/>
  <c r="AU105" i="1"/>
  <c r="AU47" i="1"/>
  <c r="AU108" i="1"/>
  <c r="AU115" i="1"/>
  <c r="AU98" i="1"/>
  <c r="AU14" i="1"/>
  <c r="AU106" i="1"/>
  <c r="AU73" i="1"/>
  <c r="AU88" i="1"/>
  <c r="AU74" i="1"/>
  <c r="AU66" i="1"/>
  <c r="AU71" i="1"/>
  <c r="AU42" i="1"/>
  <c r="AU86" i="1"/>
  <c r="AU49" i="1"/>
  <c r="AU104" i="1"/>
  <c r="AU101" i="1"/>
  <c r="BI59" i="1"/>
  <c r="BJ124" i="1"/>
  <c r="AS2" i="1"/>
  <c r="AS36" i="1"/>
  <c r="AS8" i="1"/>
  <c r="AS42" i="1"/>
  <c r="AS14" i="1"/>
  <c r="AS48" i="1"/>
  <c r="AS44" i="1"/>
  <c r="AS54" i="1"/>
  <c r="AS16" i="1"/>
  <c r="AS32" i="1"/>
  <c r="AS12" i="1"/>
  <c r="AS28" i="1"/>
  <c r="AS34" i="1"/>
  <c r="AS72" i="1"/>
  <c r="AS10" i="1"/>
  <c r="AS56" i="1"/>
  <c r="AS20" i="1"/>
  <c r="AS53" i="1"/>
  <c r="AS30" i="1"/>
  <c r="AS65" i="1"/>
  <c r="AS24" i="1"/>
  <c r="AS52" i="1"/>
  <c r="AS68" i="1"/>
  <c r="AS3" i="1"/>
  <c r="AS71" i="1"/>
  <c r="AS4" i="1"/>
  <c r="AS5" i="1"/>
  <c r="AS19" i="1"/>
  <c r="AS26" i="1"/>
  <c r="AS78" i="1"/>
  <c r="AS7" i="1"/>
  <c r="AS17" i="1"/>
  <c r="AS37" i="1"/>
  <c r="AS90" i="1"/>
  <c r="AS102" i="1"/>
  <c r="AS23" i="1"/>
  <c r="AS15" i="1"/>
  <c r="AS46" i="1"/>
  <c r="AS41" i="1"/>
  <c r="AS50" i="1"/>
  <c r="AS100" i="1"/>
  <c r="AS9" i="1"/>
  <c r="AS27" i="1"/>
  <c r="AS22" i="1"/>
  <c r="AS61" i="1"/>
  <c r="AS98" i="1"/>
  <c r="AS104" i="1"/>
  <c r="AS25" i="1"/>
  <c r="AS63" i="1"/>
  <c r="AS116" i="1"/>
  <c r="AS58" i="1"/>
  <c r="AS94" i="1"/>
  <c r="AS81" i="1"/>
  <c r="AS67" i="1"/>
  <c r="AS43" i="1"/>
  <c r="AS77" i="1"/>
  <c r="AS89" i="1"/>
  <c r="AS97" i="1"/>
  <c r="AS114" i="1"/>
  <c r="AS31" i="1"/>
  <c r="AS82" i="1"/>
  <c r="AS69" i="1"/>
  <c r="AS83" i="1"/>
  <c r="AS96" i="1"/>
  <c r="AS101" i="1"/>
  <c r="AS13" i="1"/>
  <c r="AS55" i="1"/>
  <c r="AS112" i="1"/>
  <c r="AS120" i="1"/>
  <c r="AS95" i="1"/>
  <c r="AS133" i="1"/>
  <c r="AS106" i="1"/>
  <c r="AS110" i="1"/>
  <c r="AS118" i="1"/>
  <c r="AS93" i="1"/>
  <c r="AS125" i="1"/>
  <c r="AS40" i="1"/>
  <c r="AS39" i="1"/>
  <c r="AS113" i="1"/>
  <c r="AS132" i="1"/>
  <c r="AS76" i="1"/>
  <c r="AS87" i="1"/>
  <c r="AS109" i="1"/>
  <c r="AS121" i="1"/>
  <c r="AS126" i="1"/>
  <c r="AS51" i="1"/>
  <c r="AS111" i="1"/>
  <c r="AS127" i="1"/>
  <c r="AS11" i="1"/>
  <c r="AS99" i="1"/>
  <c r="AS123" i="1"/>
  <c r="AS47" i="1"/>
  <c r="AS108" i="1"/>
  <c r="AS79" i="1"/>
  <c r="AS105" i="1"/>
  <c r="AS115" i="1"/>
  <c r="AS124" i="1"/>
  <c r="AS33" i="1"/>
  <c r="AS62" i="1"/>
  <c r="AS73" i="1"/>
  <c r="AS91" i="1"/>
  <c r="AS92" i="1"/>
  <c r="AS122" i="1"/>
  <c r="AS119" i="1"/>
  <c r="AS64" i="1"/>
  <c r="AS21" i="1"/>
  <c r="AS6" i="1"/>
  <c r="AS45" i="1"/>
  <c r="AS35" i="1"/>
  <c r="AS59" i="1"/>
  <c r="AS129" i="1"/>
  <c r="AS88" i="1"/>
  <c r="AS135" i="1"/>
  <c r="AS38" i="1"/>
  <c r="AS60" i="1"/>
  <c r="AS49" i="1"/>
  <c r="BE110" i="1"/>
  <c r="AP63" i="6"/>
  <c r="AP32" i="6"/>
  <c r="AP60" i="6"/>
  <c r="AP67" i="6"/>
  <c r="AP37" i="6"/>
  <c r="AP55" i="6"/>
  <c r="AP91" i="6"/>
  <c r="AP100" i="6"/>
  <c r="AP104" i="6"/>
  <c r="AP106" i="6"/>
  <c r="AP116" i="6"/>
  <c r="AP3" i="6"/>
  <c r="AP77" i="6"/>
  <c r="AP103" i="6"/>
  <c r="AP108" i="6"/>
  <c r="AP131" i="6"/>
  <c r="AP15" i="6"/>
  <c r="AP73" i="6"/>
  <c r="AP49" i="6"/>
  <c r="AP74" i="6"/>
  <c r="AP115" i="6"/>
  <c r="AP66" i="6"/>
  <c r="AP57" i="6"/>
  <c r="AP14" i="6"/>
  <c r="AP35" i="6"/>
  <c r="AP70" i="6"/>
  <c r="AP82" i="6"/>
  <c r="AP114" i="6"/>
  <c r="AP30" i="6"/>
  <c r="AP75" i="6"/>
  <c r="AP92" i="6"/>
  <c r="AP86" i="6"/>
  <c r="AP96" i="6"/>
  <c r="AP128" i="6"/>
  <c r="AP130" i="6"/>
  <c r="AP78" i="6"/>
  <c r="AP95" i="6"/>
  <c r="BR38" i="6"/>
  <c r="BR55" i="6"/>
  <c r="BR8" i="6"/>
  <c r="BR30" i="6"/>
  <c r="BR54" i="6"/>
  <c r="BR65" i="6"/>
  <c r="BR33" i="6"/>
  <c r="BR82" i="6"/>
  <c r="BR86" i="6"/>
  <c r="BR94" i="6"/>
  <c r="BR105" i="6"/>
  <c r="BR111" i="6"/>
  <c r="BR14" i="6"/>
  <c r="BR26" i="6"/>
  <c r="BR76" i="6"/>
  <c r="BR90" i="6"/>
  <c r="BR115" i="6"/>
  <c r="BR31" i="6"/>
  <c r="BR97" i="6"/>
  <c r="BR29" i="6"/>
  <c r="BR52" i="6"/>
  <c r="BR68" i="6"/>
  <c r="BR135" i="6"/>
  <c r="BR89" i="6"/>
  <c r="BR93" i="6"/>
  <c r="BR119" i="6"/>
  <c r="BR107" i="6"/>
  <c r="BR117" i="6"/>
  <c r="BR129" i="6"/>
  <c r="BR130" i="6"/>
  <c r="BR132" i="6"/>
  <c r="AP2" i="6"/>
  <c r="CJ132" i="6"/>
  <c r="BR99" i="6"/>
  <c r="CK86" i="6"/>
  <c r="AP83" i="6"/>
  <c r="BF79" i="6"/>
  <c r="AP46" i="6"/>
  <c r="AP19" i="6"/>
  <c r="BE107" i="1"/>
  <c r="BE113" i="1"/>
  <c r="BD110" i="1"/>
  <c r="AO49" i="6"/>
  <c r="AO32" i="6"/>
  <c r="AO67" i="6"/>
  <c r="AO4" i="6"/>
  <c r="AO37" i="6"/>
  <c r="AO48" i="6"/>
  <c r="AO59" i="6"/>
  <c r="AO73" i="6"/>
  <c r="AO3" i="6"/>
  <c r="AO17" i="6"/>
  <c r="AO77" i="6"/>
  <c r="AO103" i="6"/>
  <c r="AO108" i="6"/>
  <c r="AO117" i="6"/>
  <c r="AO125" i="6"/>
  <c r="AO131" i="6"/>
  <c r="AO74" i="6"/>
  <c r="AO115" i="6"/>
  <c r="AO9" i="6"/>
  <c r="AO44" i="6"/>
  <c r="AO57" i="6"/>
  <c r="AO63" i="6"/>
  <c r="AO66" i="6"/>
  <c r="AO84" i="6"/>
  <c r="AO92" i="6"/>
  <c r="AO128" i="6"/>
  <c r="AO22" i="6"/>
  <c r="AO25" i="6"/>
  <c r="AO30" i="6"/>
  <c r="AO38" i="6"/>
  <c r="AO75" i="6"/>
  <c r="AO116" i="6"/>
  <c r="AO106" i="6"/>
  <c r="AO110" i="6"/>
  <c r="AO86" i="6"/>
  <c r="AO96" i="6"/>
  <c r="AO130" i="6"/>
  <c r="AO112" i="6"/>
  <c r="AO121" i="6"/>
  <c r="AO135" i="6"/>
  <c r="AO78" i="6"/>
  <c r="AO95" i="6"/>
  <c r="AO126" i="6"/>
  <c r="CG66" i="6"/>
  <c r="CG47" i="6"/>
  <c r="CG56" i="6"/>
  <c r="CG61" i="6"/>
  <c r="CG20" i="6"/>
  <c r="CG43" i="6"/>
  <c r="CG50" i="6"/>
  <c r="CG35" i="6"/>
  <c r="CG69" i="6"/>
  <c r="CG65" i="6"/>
  <c r="CG70" i="6"/>
  <c r="CG125" i="6"/>
  <c r="CG37" i="6"/>
  <c r="CG85" i="6"/>
  <c r="CG122" i="6"/>
  <c r="CG98" i="6"/>
  <c r="CG117" i="6"/>
  <c r="CG132" i="6"/>
  <c r="CG134" i="6"/>
  <c r="CG135" i="6"/>
  <c r="CG2" i="6"/>
  <c r="CG77" i="6"/>
  <c r="CG78" i="6"/>
  <c r="CG90" i="6"/>
  <c r="CG40" i="6"/>
  <c r="CG91" i="6"/>
  <c r="CG123" i="6"/>
  <c r="CG59" i="6"/>
  <c r="CG72" i="6"/>
  <c r="CG83" i="6"/>
  <c r="CG103" i="6"/>
  <c r="CG110" i="6"/>
  <c r="CG32" i="6"/>
  <c r="CG52" i="6"/>
  <c r="CG116" i="6"/>
  <c r="CG131" i="6"/>
  <c r="CH132" i="6"/>
  <c r="CG128" i="6"/>
  <c r="BI125" i="6"/>
  <c r="BT122" i="6"/>
  <c r="CJ101" i="6"/>
  <c r="BT97" i="6"/>
  <c r="AQ92" i="6"/>
  <c r="CH81" i="6"/>
  <c r="BE67" i="6"/>
  <c r="BR48" i="6"/>
  <c r="BR36" i="6"/>
  <c r="BR24" i="6"/>
  <c r="AM6" i="1"/>
  <c r="AM40" i="1"/>
  <c r="AM12" i="1"/>
  <c r="AM46" i="1"/>
  <c r="AM18" i="1"/>
  <c r="AM52" i="1"/>
  <c r="AM4" i="1"/>
  <c r="AM34" i="1"/>
  <c r="AM62" i="1"/>
  <c r="AM32" i="1"/>
  <c r="AM8" i="1"/>
  <c r="AM48" i="1"/>
  <c r="AM66" i="1"/>
  <c r="AM30" i="1"/>
  <c r="AM44" i="1"/>
  <c r="AM60" i="1"/>
  <c r="AM20" i="1"/>
  <c r="AM61" i="1"/>
  <c r="AM70" i="1"/>
  <c r="AM50" i="1"/>
  <c r="AM76" i="1"/>
  <c r="AM13" i="1"/>
  <c r="AM31" i="1"/>
  <c r="AM82" i="1"/>
  <c r="AM72" i="1"/>
  <c r="AM9" i="1"/>
  <c r="AM14" i="1"/>
  <c r="AM27" i="1"/>
  <c r="AM47" i="1"/>
  <c r="AM65" i="1"/>
  <c r="AM74" i="1"/>
  <c r="AM84" i="1"/>
  <c r="AM86" i="1"/>
  <c r="AM92" i="1"/>
  <c r="AM22" i="1"/>
  <c r="AM54" i="1"/>
  <c r="AM68" i="1"/>
  <c r="AM56" i="1"/>
  <c r="AM5" i="1"/>
  <c r="AM57" i="1"/>
  <c r="AM67" i="1"/>
  <c r="AM77" i="1"/>
  <c r="AM120" i="1"/>
  <c r="AM89" i="1"/>
  <c r="AM3" i="1"/>
  <c r="AM71" i="1"/>
  <c r="AM90" i="1"/>
  <c r="AM25" i="1"/>
  <c r="AM63" i="1"/>
  <c r="AM39" i="1"/>
  <c r="AM102" i="1"/>
  <c r="AM103" i="1"/>
  <c r="AM10" i="1"/>
  <c r="AM28" i="1"/>
  <c r="AM45" i="1"/>
  <c r="AM80" i="1"/>
  <c r="AM36" i="1"/>
  <c r="AM19" i="1"/>
  <c r="AM23" i="1"/>
  <c r="AM78" i="1"/>
  <c r="AM15" i="1"/>
  <c r="AM41" i="1"/>
  <c r="AM35" i="1"/>
  <c r="AM87" i="1"/>
  <c r="AM117" i="1"/>
  <c r="AM135" i="1"/>
  <c r="AM7" i="1"/>
  <c r="AM101" i="1"/>
  <c r="AM109" i="1"/>
  <c r="AM130" i="1"/>
  <c r="AM88" i="1"/>
  <c r="AM121" i="1"/>
  <c r="AM59" i="1"/>
  <c r="AM104" i="1"/>
  <c r="AM106" i="1"/>
  <c r="AM73" i="1"/>
  <c r="AM94" i="1"/>
  <c r="AM16" i="1"/>
  <c r="AM53" i="1"/>
  <c r="AM55" i="1"/>
  <c r="AM64" i="1"/>
  <c r="AM21" i="1"/>
  <c r="AM49" i="1"/>
  <c r="AM115" i="1"/>
  <c r="AM29" i="1"/>
  <c r="AM75" i="1"/>
  <c r="AM69" i="1"/>
  <c r="AM51" i="1"/>
  <c r="AM95" i="1"/>
  <c r="AM11" i="1"/>
  <c r="AM38" i="1"/>
  <c r="AM58" i="1"/>
  <c r="AM83" i="1"/>
  <c r="AM43" i="1"/>
  <c r="AM124" i="1"/>
  <c r="AM128" i="1"/>
  <c r="AM107" i="1"/>
  <c r="AM110" i="1"/>
  <c r="AM123" i="1"/>
  <c r="BD107" i="1"/>
  <c r="BD115" i="1"/>
  <c r="CF98" i="6"/>
  <c r="CF2" i="6"/>
  <c r="BQ135" i="6"/>
  <c r="BQ128" i="6"/>
  <c r="BH123" i="6"/>
  <c r="CF114" i="6"/>
  <c r="BT109" i="6"/>
  <c r="CG86" i="6"/>
  <c r="AR84" i="6"/>
  <c r="AP79" i="6"/>
  <c r="BI75" i="6"/>
  <c r="BQ48" i="6"/>
  <c r="BE32" i="6"/>
  <c r="BQ24" i="6"/>
  <c r="AL12" i="1"/>
  <c r="AL18" i="1"/>
  <c r="AL24" i="1"/>
  <c r="AL46" i="1"/>
  <c r="AL60" i="1"/>
  <c r="AL48" i="1"/>
  <c r="AL34" i="1"/>
  <c r="AL62" i="1"/>
  <c r="AL14" i="1"/>
  <c r="AL30" i="1"/>
  <c r="AL8" i="1"/>
  <c r="AL66" i="1"/>
  <c r="AL44" i="1"/>
  <c r="AL3" i="1"/>
  <c r="AL7" i="1"/>
  <c r="AL6" i="1"/>
  <c r="AL4" i="1"/>
  <c r="AL70" i="1"/>
  <c r="AL50" i="1"/>
  <c r="AL76" i="1"/>
  <c r="AL13" i="1"/>
  <c r="AL31" i="1"/>
  <c r="AL82" i="1"/>
  <c r="AL40" i="1"/>
  <c r="AL64" i="1"/>
  <c r="AL45" i="1"/>
  <c r="AL72" i="1"/>
  <c r="AL32" i="1"/>
  <c r="AL27" i="1"/>
  <c r="AL47" i="1"/>
  <c r="AL65" i="1"/>
  <c r="AL74" i="1"/>
  <c r="AL84" i="1"/>
  <c r="AL86" i="1"/>
  <c r="AL92" i="1"/>
  <c r="AL54" i="1"/>
  <c r="AL29" i="1"/>
  <c r="AL56" i="1"/>
  <c r="AL5" i="1"/>
  <c r="AL57" i="1"/>
  <c r="AL52" i="1"/>
  <c r="AL67" i="1"/>
  <c r="AL77" i="1"/>
  <c r="AL89" i="1"/>
  <c r="AL20" i="1"/>
  <c r="AL71" i="1"/>
  <c r="AL90" i="1"/>
  <c r="AL97" i="1"/>
  <c r="AL39" i="1"/>
  <c r="AL102" i="1"/>
  <c r="AL103" i="1"/>
  <c r="AL120" i="1"/>
  <c r="AL116" i="1"/>
  <c r="AL10" i="1"/>
  <c r="AL28" i="1"/>
  <c r="AL80" i="1"/>
  <c r="AL104" i="1"/>
  <c r="AL106" i="1"/>
  <c r="AL36" i="1"/>
  <c r="AL19" i="1"/>
  <c r="AL23" i="1"/>
  <c r="AL78" i="1"/>
  <c r="AL15" i="1"/>
  <c r="AL41" i="1"/>
  <c r="AL35" i="1"/>
  <c r="AL101" i="1"/>
  <c r="AL109" i="1"/>
  <c r="AL130" i="1"/>
  <c r="AL88" i="1"/>
  <c r="AL121" i="1"/>
  <c r="AL59" i="1"/>
  <c r="AL68" i="1"/>
  <c r="AL91" i="1"/>
  <c r="AL126" i="1"/>
  <c r="AL107" i="1"/>
  <c r="AL94" i="1"/>
  <c r="AL16" i="1"/>
  <c r="AL53" i="1"/>
  <c r="AL55" i="1"/>
  <c r="AL49" i="1"/>
  <c r="AL22" i="1"/>
  <c r="AL42" i="1"/>
  <c r="AL98" i="1"/>
  <c r="AL81" i="1"/>
  <c r="AL114" i="1"/>
  <c r="AL61" i="1"/>
  <c r="AL25" i="1"/>
  <c r="AL69" i="1"/>
  <c r="AL87" i="1"/>
  <c r="AL51" i="1"/>
  <c r="AL95" i="1"/>
  <c r="AL38" i="1"/>
  <c r="AL58" i="1"/>
  <c r="AL83" i="1"/>
  <c r="AL43" i="1"/>
  <c r="AL124" i="1"/>
  <c r="AL128" i="1"/>
  <c r="AL117" i="1"/>
  <c r="AL110" i="1"/>
  <c r="AL11" i="1"/>
  <c r="AL75" i="1"/>
  <c r="AL123" i="1"/>
  <c r="AL93" i="1"/>
  <c r="AN79" i="1"/>
  <c r="BI112" i="1"/>
  <c r="BB110" i="1"/>
  <c r="CE20" i="6"/>
  <c r="CE50" i="6"/>
  <c r="CE33" i="6"/>
  <c r="CE38" i="6"/>
  <c r="CE68" i="6"/>
  <c r="CE62" i="6"/>
  <c r="CE66" i="6"/>
  <c r="CE85" i="6"/>
  <c r="CE122" i="6"/>
  <c r="CE2" i="6"/>
  <c r="CE53" i="6"/>
  <c r="CE56" i="6"/>
  <c r="CE98" i="6"/>
  <c r="CE117" i="6"/>
  <c r="CE134" i="6"/>
  <c r="CE135" i="6"/>
  <c r="CE45" i="6"/>
  <c r="CE77" i="6"/>
  <c r="CE101" i="6"/>
  <c r="CE128" i="6"/>
  <c r="CE82" i="6"/>
  <c r="CE91" i="6"/>
  <c r="CE123" i="6"/>
  <c r="CE131" i="6"/>
  <c r="CE121" i="6"/>
  <c r="CE52" i="6"/>
  <c r="CE116" i="6"/>
  <c r="CE106" i="6"/>
  <c r="CE72" i="6"/>
  <c r="CE83" i="6"/>
  <c r="CE92" i="6"/>
  <c r="CE112" i="6"/>
  <c r="CE114" i="6"/>
  <c r="BP128" i="6"/>
  <c r="CG126" i="6"/>
  <c r="BF123" i="6"/>
  <c r="AR113" i="6"/>
  <c r="BR109" i="6"/>
  <c r="BE107" i="6"/>
  <c r="BQ105" i="6"/>
  <c r="CG101" i="6"/>
  <c r="BF96" i="6"/>
  <c r="CH93" i="6"/>
  <c r="BH75" i="6"/>
  <c r="BO58" i="6"/>
  <c r="BR42" i="6"/>
  <c r="AS32" i="6"/>
  <c r="AP13" i="6"/>
  <c r="BE4" i="6"/>
  <c r="AK18" i="1"/>
  <c r="AK24" i="1"/>
  <c r="AK32" i="1"/>
  <c r="AK52" i="1"/>
  <c r="AK48" i="1"/>
  <c r="AK34" i="1"/>
  <c r="AK62" i="1"/>
  <c r="AK14" i="1"/>
  <c r="AK30" i="1"/>
  <c r="AK46" i="1"/>
  <c r="AK68" i="1"/>
  <c r="AK10" i="1"/>
  <c r="AK50" i="1"/>
  <c r="AK56" i="1"/>
  <c r="AK44" i="1"/>
  <c r="AK3" i="1"/>
  <c r="AK7" i="1"/>
  <c r="AK6" i="1"/>
  <c r="AK60" i="1"/>
  <c r="AK16" i="1"/>
  <c r="AK42" i="1"/>
  <c r="AK12" i="1"/>
  <c r="AK76" i="1"/>
  <c r="AK8" i="1"/>
  <c r="AK13" i="1"/>
  <c r="AK31" i="1"/>
  <c r="AK82" i="1"/>
  <c r="AK40" i="1"/>
  <c r="AK64" i="1"/>
  <c r="AK45" i="1"/>
  <c r="AK88" i="1"/>
  <c r="AK36" i="1"/>
  <c r="AK23" i="1"/>
  <c r="AK58" i="1"/>
  <c r="AK47" i="1"/>
  <c r="AK65" i="1"/>
  <c r="AK74" i="1"/>
  <c r="AK84" i="1"/>
  <c r="AK86" i="1"/>
  <c r="AK92" i="1"/>
  <c r="AK54" i="1"/>
  <c r="AK29" i="1"/>
  <c r="AK19" i="1"/>
  <c r="AK98" i="1"/>
  <c r="AK67" i="1"/>
  <c r="AK89" i="1"/>
  <c r="AK20" i="1"/>
  <c r="AK71" i="1"/>
  <c r="AK90" i="1"/>
  <c r="AK97" i="1"/>
  <c r="AK26" i="1"/>
  <c r="AK70" i="1"/>
  <c r="AK106" i="1"/>
  <c r="AK116" i="1"/>
  <c r="AK28" i="1"/>
  <c r="AK112" i="1"/>
  <c r="AK80" i="1"/>
  <c r="AK104" i="1"/>
  <c r="AK4" i="1"/>
  <c r="AK38" i="1"/>
  <c r="AK94" i="1"/>
  <c r="AK57" i="1"/>
  <c r="AK101" i="1"/>
  <c r="AK121" i="1"/>
  <c r="AK59" i="1"/>
  <c r="AK91" i="1"/>
  <c r="AK126" i="1"/>
  <c r="AK107" i="1"/>
  <c r="AK66" i="1"/>
  <c r="AK72" i="1"/>
  <c r="AK77" i="1"/>
  <c r="AK108" i="1"/>
  <c r="AK51" i="1"/>
  <c r="AK129" i="1"/>
  <c r="AK53" i="1"/>
  <c r="AK27" i="1"/>
  <c r="AK55" i="1"/>
  <c r="AK120" i="1"/>
  <c r="AK22" i="1"/>
  <c r="AK81" i="1"/>
  <c r="AK114" i="1"/>
  <c r="AK49" i="1"/>
  <c r="AK5" i="1"/>
  <c r="AK103" i="1"/>
  <c r="AK61" i="1"/>
  <c r="AK25" i="1"/>
  <c r="AK69" i="1"/>
  <c r="AK87" i="1"/>
  <c r="AK95" i="1"/>
  <c r="AK102" i="1"/>
  <c r="AK83" i="1"/>
  <c r="AK43" i="1"/>
  <c r="AK124" i="1"/>
  <c r="AK128" i="1"/>
  <c r="AK117" i="1"/>
  <c r="AK118" i="1"/>
  <c r="AK73" i="1"/>
  <c r="AK110" i="1"/>
  <c r="AK11" i="1"/>
  <c r="AK75" i="1"/>
  <c r="AK123" i="1"/>
  <c r="AK93" i="1"/>
  <c r="AK134" i="1"/>
  <c r="AK39" i="1"/>
  <c r="AK96" i="1"/>
  <c r="AK109" i="1"/>
  <c r="AK135" i="1"/>
  <c r="BC133" i="1"/>
  <c r="BI131" i="1"/>
  <c r="AN129" i="1"/>
  <c r="BD99" i="1"/>
  <c r="AO125" i="1"/>
  <c r="AO111" i="1"/>
  <c r="BA49" i="1"/>
  <c r="AO114" i="1"/>
  <c r="AL71" i="6"/>
  <c r="AL18" i="6"/>
  <c r="AL28" i="6"/>
  <c r="AL73" i="6"/>
  <c r="AL26" i="6"/>
  <c r="AL42" i="6"/>
  <c r="AL81" i="6"/>
  <c r="AL51" i="6"/>
  <c r="AL69" i="6"/>
  <c r="AL70" i="6"/>
  <c r="AL82" i="6"/>
  <c r="AL85" i="6"/>
  <c r="AL90" i="6"/>
  <c r="AL72" i="6"/>
  <c r="AL7" i="6"/>
  <c r="AL126" i="6"/>
  <c r="AL134" i="6"/>
  <c r="AL77" i="6"/>
  <c r="AL103" i="6"/>
  <c r="AL106" i="6"/>
  <c r="AL121" i="6"/>
  <c r="AL135" i="6"/>
  <c r="AL98" i="6"/>
  <c r="AL83" i="6"/>
  <c r="AL97" i="6"/>
  <c r="BN32" i="6"/>
  <c r="BN23" i="6"/>
  <c r="BN25" i="6"/>
  <c r="BN70" i="6"/>
  <c r="BN66" i="6"/>
  <c r="BN15" i="6"/>
  <c r="BN40" i="6"/>
  <c r="BN14" i="6"/>
  <c r="BN97" i="6"/>
  <c r="BN109" i="6"/>
  <c r="BN52" i="6"/>
  <c r="BN114" i="6"/>
  <c r="BN8" i="6"/>
  <c r="BN78" i="6"/>
  <c r="BN129" i="6"/>
  <c r="BN101" i="6"/>
  <c r="BN113" i="6"/>
  <c r="BN124" i="6"/>
  <c r="BN58" i="6"/>
  <c r="BN108" i="6"/>
  <c r="BT134" i="6"/>
  <c r="AS134" i="6"/>
  <c r="CJ130" i="6"/>
  <c r="BI129" i="6"/>
  <c r="BO122" i="6"/>
  <c r="CJ120" i="6"/>
  <c r="CH119" i="6"/>
  <c r="AO113" i="6"/>
  <c r="BQ109" i="6"/>
  <c r="AR107" i="6"/>
  <c r="BN105" i="6"/>
  <c r="BR102" i="6"/>
  <c r="BN98" i="6"/>
  <c r="BI97" i="6"/>
  <c r="BE96" i="6"/>
  <c r="CG93" i="6"/>
  <c r="BN88" i="6"/>
  <c r="BO80" i="6"/>
  <c r="CJ73" i="6"/>
  <c r="BC72" i="6"/>
  <c r="AO65" i="6"/>
  <c r="BI45" i="6"/>
  <c r="BR17" i="6"/>
  <c r="BH3" i="6"/>
  <c r="BJ129" i="1"/>
  <c r="AM129" i="1"/>
  <c r="AO123" i="1"/>
  <c r="BC99" i="1"/>
  <c r="BD59" i="1"/>
  <c r="AN125" i="1"/>
  <c r="AS85" i="1"/>
  <c r="AO93" i="1"/>
  <c r="AL79" i="1"/>
  <c r="BA120" i="1"/>
  <c r="AN118" i="1"/>
  <c r="AM114" i="1"/>
  <c r="AN81" i="1"/>
  <c r="AT74" i="1"/>
  <c r="BA47" i="1"/>
  <c r="AL37" i="1"/>
  <c r="BI135" i="6"/>
  <c r="BR134" i="6"/>
  <c r="AR134" i="6"/>
  <c r="BR131" i="6"/>
  <c r="CH130" i="6"/>
  <c r="BE129" i="6"/>
  <c r="CD126" i="6"/>
  <c r="AP126" i="6"/>
  <c r="BN122" i="6"/>
  <c r="BR121" i="6"/>
  <c r="CG120" i="6"/>
  <c r="CG119" i="6"/>
  <c r="AP118" i="6"/>
  <c r="AM117" i="6"/>
  <c r="BH116" i="6"/>
  <c r="CE113" i="6"/>
  <c r="AR111" i="6"/>
  <c r="BH108" i="6"/>
  <c r="AP107" i="6"/>
  <c r="BF106" i="6"/>
  <c r="BH104" i="6"/>
  <c r="BH103" i="6"/>
  <c r="BQ102" i="6"/>
  <c r="BH97" i="6"/>
  <c r="CJ95" i="6"/>
  <c r="CK94" i="6"/>
  <c r="CD93" i="6"/>
  <c r="CJ92" i="6"/>
  <c r="BQ91" i="6"/>
  <c r="BO90" i="6"/>
  <c r="BI88" i="6"/>
  <c r="BQ86" i="6"/>
  <c r="CE78" i="6"/>
  <c r="BN77" i="6"/>
  <c r="BE75" i="6"/>
  <c r="CG73" i="6"/>
  <c r="BQ68" i="6"/>
  <c r="AM65" i="6"/>
  <c r="CH59" i="6"/>
  <c r="CH55" i="6"/>
  <c r="AO35" i="6"/>
  <c r="BQ17" i="6"/>
  <c r="BQ7" i="6"/>
  <c r="BI135" i="1"/>
  <c r="BA133" i="1"/>
  <c r="AL129" i="1"/>
  <c r="AN123" i="1"/>
  <c r="BJ132" i="1"/>
  <c r="AM125" i="1"/>
  <c r="AM111" i="1"/>
  <c r="AO33" i="1"/>
  <c r="AS128" i="1"/>
  <c r="AO126" i="1"/>
  <c r="AN105" i="1"/>
  <c r="AN93" i="1"/>
  <c r="BJ87" i="1"/>
  <c r="AK79" i="1"/>
  <c r="AM118" i="1"/>
  <c r="AM81" i="1"/>
  <c r="BE88" i="1"/>
  <c r="AS74" i="1"/>
  <c r="BC65" i="1"/>
  <c r="AK37" i="1"/>
  <c r="BD17" i="1"/>
  <c r="AT30" i="1"/>
  <c r="AT2" i="1"/>
  <c r="AT36" i="1"/>
  <c r="AT8" i="1"/>
  <c r="AT42" i="1"/>
  <c r="AT4" i="1"/>
  <c r="AT10" i="1"/>
  <c r="AT16" i="1"/>
  <c r="AT22" i="1"/>
  <c r="AT44" i="1"/>
  <c r="AT48" i="1"/>
  <c r="AT66" i="1"/>
  <c r="AT32" i="1"/>
  <c r="AT12" i="1"/>
  <c r="AT28" i="1"/>
  <c r="AT5" i="1"/>
  <c r="AT34" i="1"/>
  <c r="AT72" i="1"/>
  <c r="AT56" i="1"/>
  <c r="AT38" i="1"/>
  <c r="AT46" i="1"/>
  <c r="AT54" i="1"/>
  <c r="AT62" i="1"/>
  <c r="AT39" i="1"/>
  <c r="AT86" i="1"/>
  <c r="AT20" i="1"/>
  <c r="AT53" i="1"/>
  <c r="AT65" i="1"/>
  <c r="AT24" i="1"/>
  <c r="AT52" i="1"/>
  <c r="AT68" i="1"/>
  <c r="AT3" i="1"/>
  <c r="AT71" i="1"/>
  <c r="AT6" i="1"/>
  <c r="AT58" i="1"/>
  <c r="AT70" i="1"/>
  <c r="AT78" i="1"/>
  <c r="AT7" i="1"/>
  <c r="AT17" i="1"/>
  <c r="AT37" i="1"/>
  <c r="AT94" i="1"/>
  <c r="AT90" i="1"/>
  <c r="AT102" i="1"/>
  <c r="AT23" i="1"/>
  <c r="AT15" i="1"/>
  <c r="AT41" i="1"/>
  <c r="AT50" i="1"/>
  <c r="AT100" i="1"/>
  <c r="AT9" i="1"/>
  <c r="AT27" i="1"/>
  <c r="AT110" i="1"/>
  <c r="AT61" i="1"/>
  <c r="AT98" i="1"/>
  <c r="AT104" i="1"/>
  <c r="AT25" i="1"/>
  <c r="AT63" i="1"/>
  <c r="AT40" i="1"/>
  <c r="AT19" i="1"/>
  <c r="AT26" i="1"/>
  <c r="AT81" i="1"/>
  <c r="AT91" i="1"/>
  <c r="AT118" i="1"/>
  <c r="AT21" i="1"/>
  <c r="AT67" i="1"/>
  <c r="AT43" i="1"/>
  <c r="AT77" i="1"/>
  <c r="AT89" i="1"/>
  <c r="AT97" i="1"/>
  <c r="AT114" i="1"/>
  <c r="AT73" i="1"/>
  <c r="AT31" i="1"/>
  <c r="AT82" i="1"/>
  <c r="AT69" i="1"/>
  <c r="AT83" i="1"/>
  <c r="AT96" i="1"/>
  <c r="AT101" i="1"/>
  <c r="AT13" i="1"/>
  <c r="AT57" i="1"/>
  <c r="AT55" i="1"/>
  <c r="AT112" i="1"/>
  <c r="AT116" i="1"/>
  <c r="AT33" i="1"/>
  <c r="AT123" i="1"/>
  <c r="AT120" i="1"/>
  <c r="AT95" i="1"/>
  <c r="AT133" i="1"/>
  <c r="AT106" i="1"/>
  <c r="AT93" i="1"/>
  <c r="AT125" i="1"/>
  <c r="AT35" i="1"/>
  <c r="AT113" i="1"/>
  <c r="AT122" i="1"/>
  <c r="AT128" i="1"/>
  <c r="AT85" i="1"/>
  <c r="AT117" i="1"/>
  <c r="AT130" i="1"/>
  <c r="AT59" i="1"/>
  <c r="AT107" i="1"/>
  <c r="AT129" i="1"/>
  <c r="AT134" i="1"/>
  <c r="AT76" i="1"/>
  <c r="AT87" i="1"/>
  <c r="AT109" i="1"/>
  <c r="AT121" i="1"/>
  <c r="AT126" i="1"/>
  <c r="AT51" i="1"/>
  <c r="AT111" i="1"/>
  <c r="AT127" i="1"/>
  <c r="AT11" i="1"/>
  <c r="AT99" i="1"/>
  <c r="AT47" i="1"/>
  <c r="AT108" i="1"/>
  <c r="AT79" i="1"/>
  <c r="AT105" i="1"/>
  <c r="AT115" i="1"/>
  <c r="AT124" i="1"/>
  <c r="AT88" i="1"/>
  <c r="AT92" i="1"/>
  <c r="AT132" i="1"/>
  <c r="AT119" i="1"/>
  <c r="AT14" i="1"/>
  <c r="AT64" i="1"/>
  <c r="AT45" i="1"/>
  <c r="AT131" i="1"/>
  <c r="BJ111" i="1"/>
  <c r="AT103" i="1"/>
  <c r="BI2" i="1"/>
  <c r="BI36" i="1"/>
  <c r="BI8" i="1"/>
  <c r="BI42" i="1"/>
  <c r="BI14" i="1"/>
  <c r="BI48" i="1"/>
  <c r="BI44" i="1"/>
  <c r="BI46" i="1"/>
  <c r="BI54" i="1"/>
  <c r="BI4" i="1"/>
  <c r="BI18" i="1"/>
  <c r="BI34" i="1"/>
  <c r="BI16" i="1"/>
  <c r="BI64" i="1"/>
  <c r="BI28" i="1"/>
  <c r="BI52" i="1"/>
  <c r="BI10" i="1"/>
  <c r="BI5" i="1"/>
  <c r="BI53" i="1"/>
  <c r="BI6" i="1"/>
  <c r="BI22" i="1"/>
  <c r="BI66" i="1"/>
  <c r="BI65" i="1"/>
  <c r="BI7" i="1"/>
  <c r="BI19" i="1"/>
  <c r="BI71" i="1"/>
  <c r="BI26" i="1"/>
  <c r="BI78" i="1"/>
  <c r="BI67" i="1"/>
  <c r="BI76" i="1"/>
  <c r="BI24" i="1"/>
  <c r="BI40" i="1"/>
  <c r="BI13" i="1"/>
  <c r="BI31" i="1"/>
  <c r="BI47" i="1"/>
  <c r="BI102" i="1"/>
  <c r="BI50" i="1"/>
  <c r="BI56" i="1"/>
  <c r="BI15" i="1"/>
  <c r="BI3" i="1"/>
  <c r="BI84" i="1"/>
  <c r="BI41" i="1"/>
  <c r="BI12" i="1"/>
  <c r="BI94" i="1"/>
  <c r="BI23" i="1"/>
  <c r="BI74" i="1"/>
  <c r="BI92" i="1"/>
  <c r="BI38" i="1"/>
  <c r="BI29" i="1"/>
  <c r="BI63" i="1"/>
  <c r="BI116" i="1"/>
  <c r="BI17" i="1"/>
  <c r="BI43" i="1"/>
  <c r="BI81" i="1"/>
  <c r="BI37" i="1"/>
  <c r="BI101" i="1"/>
  <c r="BI110" i="1"/>
  <c r="BI68" i="1"/>
  <c r="BI45" i="1"/>
  <c r="BI27" i="1"/>
  <c r="BI70" i="1"/>
  <c r="BI104" i="1"/>
  <c r="BI57" i="1"/>
  <c r="BI91" i="1"/>
  <c r="BI77" i="1"/>
  <c r="BI95" i="1"/>
  <c r="BI133" i="1"/>
  <c r="BI60" i="1"/>
  <c r="BI61" i="1"/>
  <c r="BI21" i="1"/>
  <c r="BI93" i="1"/>
  <c r="BI125" i="1"/>
  <c r="BI58" i="1"/>
  <c r="BI98" i="1"/>
  <c r="BI108" i="1"/>
  <c r="BI113" i="1"/>
  <c r="BI132" i="1"/>
  <c r="BI88" i="1"/>
  <c r="BI90" i="1"/>
  <c r="BI80" i="1"/>
  <c r="BI100" i="1"/>
  <c r="BI114" i="1"/>
  <c r="BI96" i="1"/>
  <c r="BI115" i="1"/>
  <c r="BI72" i="1"/>
  <c r="BI89" i="1"/>
  <c r="BI128" i="1"/>
  <c r="BI51" i="1"/>
  <c r="BI117" i="1"/>
  <c r="BI124" i="1"/>
  <c r="BI11" i="1"/>
  <c r="BI118" i="1"/>
  <c r="BI75" i="1"/>
  <c r="BI9" i="1"/>
  <c r="BI20" i="1"/>
  <c r="BI73" i="1"/>
  <c r="BI109" i="1"/>
  <c r="BI30" i="1"/>
  <c r="BI82" i="1"/>
  <c r="BI103" i="1"/>
  <c r="BI107" i="1"/>
  <c r="BI25" i="1"/>
  <c r="BI123" i="1"/>
  <c r="AS131" i="1"/>
  <c r="BJ119" i="1"/>
  <c r="BI111" i="1"/>
  <c r="BJ85" i="1"/>
  <c r="BI134" i="1"/>
  <c r="BI119" i="1"/>
  <c r="BJ122" i="1"/>
  <c r="BI77" i="6"/>
  <c r="BI40" i="6"/>
  <c r="BI55" i="6"/>
  <c r="BI30" i="6"/>
  <c r="BI35" i="6"/>
  <c r="BI127" i="6"/>
  <c r="BI89" i="6"/>
  <c r="BI113" i="6"/>
  <c r="BI99" i="6"/>
  <c r="BI107" i="6"/>
  <c r="BI2" i="6"/>
  <c r="BI104" i="6"/>
  <c r="BI134" i="6"/>
  <c r="BI105" i="6"/>
  <c r="BI100" i="6"/>
  <c r="BI56" i="6"/>
  <c r="BI67" i="6"/>
  <c r="BI81" i="6"/>
  <c r="BI111" i="6"/>
  <c r="AS18" i="6"/>
  <c r="AS49" i="6"/>
  <c r="AS53" i="6"/>
  <c r="AS64" i="6"/>
  <c r="AS71" i="6"/>
  <c r="AS68" i="6"/>
  <c r="AS72" i="6"/>
  <c r="AS48" i="6"/>
  <c r="AS111" i="6"/>
  <c r="AS132" i="6"/>
  <c r="AS101" i="6"/>
  <c r="AS77" i="6"/>
  <c r="AS58" i="6"/>
  <c r="AS91" i="6"/>
  <c r="AS116" i="6"/>
  <c r="AS125" i="6"/>
  <c r="AS131" i="6"/>
  <c r="AS3" i="6"/>
  <c r="AS44" i="6"/>
  <c r="AS123" i="6"/>
  <c r="AS103" i="6"/>
  <c r="AS66" i="6"/>
  <c r="AS114" i="6"/>
  <c r="AS130" i="6"/>
  <c r="BU37" i="6"/>
  <c r="BU33" i="6"/>
  <c r="BU10" i="6"/>
  <c r="BU103" i="6"/>
  <c r="BU131" i="6"/>
  <c r="BU86" i="6"/>
  <c r="BU120" i="6"/>
  <c r="BU130" i="6"/>
  <c r="BU59" i="6"/>
  <c r="BU82" i="6"/>
  <c r="BU92" i="6"/>
  <c r="BU94" i="6"/>
  <c r="BU64" i="6"/>
  <c r="BU98" i="6"/>
  <c r="BU110" i="6"/>
  <c r="BU121" i="6"/>
  <c r="BU126" i="6"/>
  <c r="BU117" i="6"/>
  <c r="BU119" i="6"/>
  <c r="BU135" i="6"/>
  <c r="BU54" i="6"/>
  <c r="BI15" i="6"/>
  <c r="BJ99" i="1"/>
  <c r="BI122" i="1"/>
  <c r="BJ121" i="1"/>
  <c r="BI49" i="1"/>
  <c r="BJ35" i="1"/>
  <c r="BJ69" i="1"/>
  <c r="BJ43" i="1"/>
  <c r="BH93" i="6"/>
  <c r="BH30" i="6"/>
  <c r="BH35" i="6"/>
  <c r="BH66" i="6"/>
  <c r="BH8" i="6"/>
  <c r="BH29" i="6"/>
  <c r="BH59" i="6"/>
  <c r="BH113" i="6"/>
  <c r="BH114" i="6"/>
  <c r="BH99" i="6"/>
  <c r="BH107" i="6"/>
  <c r="BH119" i="6"/>
  <c r="BH63" i="6"/>
  <c r="BH47" i="6"/>
  <c r="BH100" i="6"/>
  <c r="BH122" i="6"/>
  <c r="BH67" i="6"/>
  <c r="BH81" i="6"/>
  <c r="BH101" i="6"/>
  <c r="BH125" i="6"/>
  <c r="AR130" i="6"/>
  <c r="AR68" i="6"/>
  <c r="AR72" i="6"/>
  <c r="AR46" i="6"/>
  <c r="AR32" i="6"/>
  <c r="AR91" i="6"/>
  <c r="AR106" i="6"/>
  <c r="AR116" i="6"/>
  <c r="AR125" i="6"/>
  <c r="AR49" i="6"/>
  <c r="AR3" i="6"/>
  <c r="AR81" i="6"/>
  <c r="AR103" i="6"/>
  <c r="AR43" i="6"/>
  <c r="AR66" i="6"/>
  <c r="AR71" i="6"/>
  <c r="AR82" i="6"/>
  <c r="AR114" i="6"/>
  <c r="CJ67" i="6"/>
  <c r="CJ61" i="6"/>
  <c r="CJ129" i="6"/>
  <c r="CJ133" i="6"/>
  <c r="CJ41" i="6"/>
  <c r="CJ66" i="6"/>
  <c r="CJ75" i="6"/>
  <c r="CJ83" i="6"/>
  <c r="CJ113" i="6"/>
  <c r="CJ70" i="6"/>
  <c r="CJ125" i="6"/>
  <c r="CJ77" i="6"/>
  <c r="CJ79" i="6"/>
  <c r="CJ128" i="6"/>
  <c r="CJ118" i="6"/>
  <c r="CJ45" i="6"/>
  <c r="CJ87" i="6"/>
  <c r="CJ88" i="6"/>
  <c r="CJ2" i="6"/>
  <c r="CJ90" i="6"/>
  <c r="BT85" i="6"/>
  <c r="BT10" i="6"/>
  <c r="BT130" i="6"/>
  <c r="BT11" i="6"/>
  <c r="BT33" i="6"/>
  <c r="BT82" i="6"/>
  <c r="BT94" i="6"/>
  <c r="BT105" i="6"/>
  <c r="BT111" i="6"/>
  <c r="BT14" i="6"/>
  <c r="BT90" i="6"/>
  <c r="BT61" i="6"/>
  <c r="BT40" i="6"/>
  <c r="BT112" i="6"/>
  <c r="BT104" i="6"/>
  <c r="BT107" i="6"/>
  <c r="BT135" i="6"/>
  <c r="BT100" i="6"/>
  <c r="BT54" i="6"/>
  <c r="BT89" i="6"/>
  <c r="BT93" i="6"/>
  <c r="AS2" i="6"/>
  <c r="CJ135" i="6"/>
  <c r="AS121" i="6"/>
  <c r="AR120" i="6"/>
  <c r="BT118" i="6"/>
  <c r="AS115" i="6"/>
  <c r="BH112" i="6"/>
  <c r="CJ102" i="6"/>
  <c r="BH95" i="6"/>
  <c r="BI61" i="6"/>
  <c r="AS57" i="6"/>
  <c r="BU9" i="6"/>
  <c r="AT135" i="1"/>
  <c r="BI99" i="1"/>
  <c r="BJ59" i="1"/>
  <c r="BI121" i="1"/>
  <c r="BJ113" i="1"/>
  <c r="BI35" i="1"/>
  <c r="BG84" i="6"/>
  <c r="BG70" i="6"/>
  <c r="CI41" i="6"/>
  <c r="CI58" i="6"/>
  <c r="CI113" i="6"/>
  <c r="BS26" i="6"/>
  <c r="BS129" i="6"/>
  <c r="AR2" i="6"/>
  <c r="CK121" i="6"/>
  <c r="BU116" i="6"/>
  <c r="AR115" i="6"/>
  <c r="CJ107" i="6"/>
  <c r="BT96" i="6"/>
  <c r="AS92" i="6"/>
  <c r="AS83" i="6"/>
  <c r="AS61" i="6"/>
  <c r="AR57" i="6"/>
  <c r="BU51" i="6"/>
  <c r="CJ48" i="6"/>
  <c r="AO28" i="1"/>
  <c r="AO34" i="1"/>
  <c r="AO6" i="1"/>
  <c r="AO40" i="1"/>
  <c r="AO42" i="1"/>
  <c r="AO64" i="1"/>
  <c r="AO8" i="1"/>
  <c r="AO22" i="1"/>
  <c r="AO38" i="1"/>
  <c r="AO4" i="1"/>
  <c r="AO18" i="1"/>
  <c r="AO46" i="1"/>
  <c r="AO23" i="1"/>
  <c r="AO20" i="1"/>
  <c r="AO50" i="1"/>
  <c r="AO32" i="1"/>
  <c r="AO16" i="1"/>
  <c r="AO7" i="1"/>
  <c r="AO37" i="1"/>
  <c r="AO84" i="1"/>
  <c r="AO12" i="1"/>
  <c r="AO66" i="1"/>
  <c r="AO47" i="1"/>
  <c r="AO61" i="1"/>
  <c r="AO70" i="1"/>
  <c r="AO53" i="1"/>
  <c r="AO67" i="1"/>
  <c r="AO76" i="1"/>
  <c r="AO10" i="1"/>
  <c r="AO30" i="1"/>
  <c r="AO60" i="1"/>
  <c r="AO31" i="1"/>
  <c r="AO100" i="1"/>
  <c r="AO72" i="1"/>
  <c r="AO9" i="1"/>
  <c r="AO43" i="1"/>
  <c r="AO48" i="1"/>
  <c r="AO65" i="1"/>
  <c r="AO86" i="1"/>
  <c r="AO92" i="1"/>
  <c r="AO52" i="1"/>
  <c r="AO54" i="1"/>
  <c r="AO68" i="1"/>
  <c r="AO108" i="1"/>
  <c r="AO56" i="1"/>
  <c r="AO5" i="1"/>
  <c r="AO57" i="1"/>
  <c r="AO101" i="1"/>
  <c r="AO13" i="1"/>
  <c r="AO88" i="1"/>
  <c r="AO49" i="1"/>
  <c r="AO44" i="1"/>
  <c r="AO3" i="1"/>
  <c r="AO71" i="1"/>
  <c r="AO90" i="1"/>
  <c r="AO25" i="1"/>
  <c r="AO63" i="1"/>
  <c r="AO39" i="1"/>
  <c r="AO102" i="1"/>
  <c r="AO103" i="1"/>
  <c r="AO17" i="1"/>
  <c r="AO89" i="1"/>
  <c r="AO110" i="1"/>
  <c r="AO21" i="1"/>
  <c r="AO69" i="1"/>
  <c r="AO73" i="1"/>
  <c r="AO128" i="1"/>
  <c r="AO119" i="1"/>
  <c r="AO45" i="1"/>
  <c r="AO80" i="1"/>
  <c r="AO85" i="1"/>
  <c r="AO131" i="1"/>
  <c r="AO36" i="1"/>
  <c r="AO19" i="1"/>
  <c r="AO78" i="1"/>
  <c r="AO15" i="1"/>
  <c r="AO41" i="1"/>
  <c r="AO35" i="1"/>
  <c r="AO87" i="1"/>
  <c r="AO117" i="1"/>
  <c r="AO135" i="1"/>
  <c r="AO112" i="1"/>
  <c r="AO74" i="1"/>
  <c r="AO27" i="1"/>
  <c r="AO83" i="1"/>
  <c r="AO96" i="1"/>
  <c r="AO120" i="1"/>
  <c r="AO62" i="1"/>
  <c r="AO104" i="1"/>
  <c r="AO106" i="1"/>
  <c r="AO94" i="1"/>
  <c r="AO82" i="1"/>
  <c r="AO122" i="1"/>
  <c r="AO14" i="1"/>
  <c r="AO55" i="1"/>
  <c r="AO115" i="1"/>
  <c r="AO127" i="1"/>
  <c r="AO29" i="1"/>
  <c r="AO77" i="1"/>
  <c r="AO51" i="1"/>
  <c r="AO95" i="1"/>
  <c r="AO58" i="1"/>
  <c r="BI120" i="1"/>
  <c r="BJ97" i="1"/>
  <c r="BJ9" i="1"/>
  <c r="AS86" i="1"/>
  <c r="BE67" i="1"/>
  <c r="BF63" i="6"/>
  <c r="BF64" i="6"/>
  <c r="BF78" i="6"/>
  <c r="BF99" i="6"/>
  <c r="BF107" i="6"/>
  <c r="BF119" i="6"/>
  <c r="BF31" i="6"/>
  <c r="BF102" i="6"/>
  <c r="BF126" i="6"/>
  <c r="BF2" i="6"/>
  <c r="BF55" i="6"/>
  <c r="BF20" i="6"/>
  <c r="BF118" i="6"/>
  <c r="BF133" i="6"/>
  <c r="BF17" i="6"/>
  <c r="BF67" i="6"/>
  <c r="BF122" i="6"/>
  <c r="BF50" i="6"/>
  <c r="BF10" i="6"/>
  <c r="BF127" i="6"/>
  <c r="BF35" i="6"/>
  <c r="BF43" i="6"/>
  <c r="BF62" i="6"/>
  <c r="BF94" i="6"/>
  <c r="BF111" i="6"/>
  <c r="CH121" i="6"/>
  <c r="BT116" i="6"/>
  <c r="CH114" i="6"/>
  <c r="BI84" i="6"/>
  <c r="CK80" i="6"/>
  <c r="AS78" i="6"/>
  <c r="BR67" i="6"/>
  <c r="BD34" i="1"/>
  <c r="BD6" i="1"/>
  <c r="BD40" i="1"/>
  <c r="BD12" i="1"/>
  <c r="BD46" i="1"/>
  <c r="BD48" i="1"/>
  <c r="BD52" i="1"/>
  <c r="BD10" i="1"/>
  <c r="BD24" i="1"/>
  <c r="BD50" i="1"/>
  <c r="BD38" i="1"/>
  <c r="BD66" i="1"/>
  <c r="BD14" i="1"/>
  <c r="BD36" i="1"/>
  <c r="BD54" i="1"/>
  <c r="BD2" i="1"/>
  <c r="BD47" i="1"/>
  <c r="BD56" i="1"/>
  <c r="BD64" i="1"/>
  <c r="BD61" i="1"/>
  <c r="BD13" i="1"/>
  <c r="BD70" i="1"/>
  <c r="BD76" i="1"/>
  <c r="BD4" i="1"/>
  <c r="BD22" i="1"/>
  <c r="BD42" i="1"/>
  <c r="BD65" i="1"/>
  <c r="BD74" i="1"/>
  <c r="BD82" i="1"/>
  <c r="BD19" i="1"/>
  <c r="BD29" i="1"/>
  <c r="BD45" i="1"/>
  <c r="BD84" i="1"/>
  <c r="BD100" i="1"/>
  <c r="BD62" i="1"/>
  <c r="BD86" i="1"/>
  <c r="BD9" i="1"/>
  <c r="BD8" i="1"/>
  <c r="BD5" i="1"/>
  <c r="BD92" i="1"/>
  <c r="BD27" i="1"/>
  <c r="BD31" i="1"/>
  <c r="BD80" i="1"/>
  <c r="BD90" i="1"/>
  <c r="BD39" i="1"/>
  <c r="BD78" i="1"/>
  <c r="BD57" i="1"/>
  <c r="BD114" i="1"/>
  <c r="BD72" i="1"/>
  <c r="BD37" i="1"/>
  <c r="BD88" i="1"/>
  <c r="BD77" i="1"/>
  <c r="BD103" i="1"/>
  <c r="BD120" i="1"/>
  <c r="BD16" i="1"/>
  <c r="BD7" i="1"/>
  <c r="BD98" i="1"/>
  <c r="BD53" i="1"/>
  <c r="BD41" i="1"/>
  <c r="BD55" i="1"/>
  <c r="BD106" i="1"/>
  <c r="BD44" i="1"/>
  <c r="BD60" i="1"/>
  <c r="BD108" i="1"/>
  <c r="BD35" i="1"/>
  <c r="BD96" i="1"/>
  <c r="BD85" i="1"/>
  <c r="BD131" i="1"/>
  <c r="BD32" i="1"/>
  <c r="BD104" i="1"/>
  <c r="BD25" i="1"/>
  <c r="BD81" i="1"/>
  <c r="BD87" i="1"/>
  <c r="BD117" i="1"/>
  <c r="BD135" i="1"/>
  <c r="BD109" i="1"/>
  <c r="BD130" i="1"/>
  <c r="BD89" i="1"/>
  <c r="BD97" i="1"/>
  <c r="BD49" i="1"/>
  <c r="BD68" i="1"/>
  <c r="BD101" i="1"/>
  <c r="BD116" i="1"/>
  <c r="BD21" i="1"/>
  <c r="BD26" i="1"/>
  <c r="BD58" i="1"/>
  <c r="BD43" i="1"/>
  <c r="BD102" i="1"/>
  <c r="BD124" i="1"/>
  <c r="BD20" i="1"/>
  <c r="BD73" i="1"/>
  <c r="BD121" i="1"/>
  <c r="BD134" i="1"/>
  <c r="BD23" i="1"/>
  <c r="BD93" i="1"/>
  <c r="BD113" i="1"/>
  <c r="BD30" i="1"/>
  <c r="BD94" i="1"/>
  <c r="BD15" i="1"/>
  <c r="BD63" i="1"/>
  <c r="BD79" i="1"/>
  <c r="BD69" i="1"/>
  <c r="BD111" i="1"/>
  <c r="BD125" i="1"/>
  <c r="AN11" i="1"/>
  <c r="BE115" i="1"/>
  <c r="BD67" i="1"/>
  <c r="BE72" i="1"/>
  <c r="BE18" i="1"/>
  <c r="BE23" i="6"/>
  <c r="BE65" i="6"/>
  <c r="BE28" i="6"/>
  <c r="BE49" i="6"/>
  <c r="BE31" i="6"/>
  <c r="BE102" i="6"/>
  <c r="BE126" i="6"/>
  <c r="BE2" i="6"/>
  <c r="BE20" i="6"/>
  <c r="BE39" i="6"/>
  <c r="BE118" i="6"/>
  <c r="BE133" i="6"/>
  <c r="BE34" i="6"/>
  <c r="BE17" i="6"/>
  <c r="BE55" i="6"/>
  <c r="BE100" i="6"/>
  <c r="BE122" i="6"/>
  <c r="BE134" i="6"/>
  <c r="BE80" i="6"/>
  <c r="BE79" i="6"/>
  <c r="BE50" i="6"/>
  <c r="BE30" i="6"/>
  <c r="BE14" i="6"/>
  <c r="BE35" i="6"/>
  <c r="BE43" i="6"/>
  <c r="BE94" i="6"/>
  <c r="BE99" i="6"/>
  <c r="BE76" i="6"/>
  <c r="BE10" i="6"/>
  <c r="BE125" i="6"/>
  <c r="BE127" i="6"/>
  <c r="BE120" i="6"/>
  <c r="AO2" i="6"/>
  <c r="CG127" i="6"/>
  <c r="CG121" i="6"/>
  <c r="BI118" i="6"/>
  <c r="BQ116" i="6"/>
  <c r="CG114" i="6"/>
  <c r="BT108" i="6"/>
  <c r="CJ100" i="6"/>
  <c r="AR93" i="6"/>
  <c r="CH86" i="6"/>
  <c r="AO83" i="6"/>
  <c r="BU72" i="6"/>
  <c r="BQ63" i="6"/>
  <c r="BR58" i="6"/>
  <c r="BF51" i="6"/>
  <c r="BU42" i="6"/>
  <c r="BF32" i="6"/>
  <c r="AO19" i="6"/>
  <c r="BE133" i="1"/>
  <c r="AN132" i="1"/>
  <c r="AS117" i="1"/>
  <c r="BJ112" i="1"/>
  <c r="BE5" i="1"/>
  <c r="BI32" i="1"/>
  <c r="BD18" i="1"/>
  <c r="BD127" i="6"/>
  <c r="BD117" i="6"/>
  <c r="BD90" i="6"/>
  <c r="BD131" i="6"/>
  <c r="AN95" i="6"/>
  <c r="AN57" i="6"/>
  <c r="AN94" i="6"/>
  <c r="AN110" i="6"/>
  <c r="AN77" i="6"/>
  <c r="BP62" i="6"/>
  <c r="BP124" i="6"/>
  <c r="BP92" i="6"/>
  <c r="BP109" i="6"/>
  <c r="BP104" i="6"/>
  <c r="CH134" i="6"/>
  <c r="BH118" i="6"/>
  <c r="AS113" i="6"/>
  <c r="BF110" i="6"/>
  <c r="AR94" i="6"/>
  <c r="CK88" i="6"/>
  <c r="CG81" i="6"/>
  <c r="BQ36" i="6"/>
  <c r="BB12" i="1"/>
  <c r="BB18" i="1"/>
  <c r="BB24" i="1"/>
  <c r="BB40" i="1"/>
  <c r="BB50" i="1"/>
  <c r="BB6" i="1"/>
  <c r="BB20" i="1"/>
  <c r="BB36" i="1"/>
  <c r="BB44" i="1"/>
  <c r="BB52" i="1"/>
  <c r="BB54" i="1"/>
  <c r="BB56" i="1"/>
  <c r="BB62" i="1"/>
  <c r="BB2" i="1"/>
  <c r="BB16" i="1"/>
  <c r="BB32" i="1"/>
  <c r="BB3" i="1"/>
  <c r="BB68" i="1"/>
  <c r="BB7" i="1"/>
  <c r="BB22" i="1"/>
  <c r="BB13" i="1"/>
  <c r="BB70" i="1"/>
  <c r="BB76" i="1"/>
  <c r="BB38" i="1"/>
  <c r="BB42" i="1"/>
  <c r="BB60" i="1"/>
  <c r="BB31" i="1"/>
  <c r="BB82" i="1"/>
  <c r="BB34" i="1"/>
  <c r="BB23" i="1"/>
  <c r="BB45" i="1"/>
  <c r="BB86" i="1"/>
  <c r="BB8" i="1"/>
  <c r="BB5" i="1"/>
  <c r="BB92" i="1"/>
  <c r="BB27" i="1"/>
  <c r="BB64" i="1"/>
  <c r="BB61" i="1"/>
  <c r="BB71" i="1"/>
  <c r="BB80" i="1"/>
  <c r="BB88" i="1"/>
  <c r="BB39" i="1"/>
  <c r="BB78" i="1"/>
  <c r="BB57" i="1"/>
  <c r="BB10" i="1"/>
  <c r="BB72" i="1"/>
  <c r="BB37" i="1"/>
  <c r="BB77" i="1"/>
  <c r="BB89" i="1"/>
  <c r="BB97" i="1"/>
  <c r="BB46" i="1"/>
  <c r="BB98" i="1"/>
  <c r="BB116" i="1"/>
  <c r="BB53" i="1"/>
  <c r="BB41" i="1"/>
  <c r="BB55" i="1"/>
  <c r="BB106" i="1"/>
  <c r="BB112" i="1"/>
  <c r="BB74" i="1"/>
  <c r="BB9" i="1"/>
  <c r="BB104" i="1"/>
  <c r="BB25" i="1"/>
  <c r="BB81" i="1"/>
  <c r="BB109" i="1"/>
  <c r="BB130" i="1"/>
  <c r="BB4" i="1"/>
  <c r="BB103" i="1"/>
  <c r="BB121" i="1"/>
  <c r="BB59" i="1"/>
  <c r="BB48" i="1"/>
  <c r="BB90" i="1"/>
  <c r="BB83" i="1"/>
  <c r="BB126" i="1"/>
  <c r="BB107" i="1"/>
  <c r="BB26" i="1"/>
  <c r="BB58" i="1"/>
  <c r="BB43" i="1"/>
  <c r="BB102" i="1"/>
  <c r="BB29" i="1"/>
  <c r="BB69" i="1"/>
  <c r="BB47" i="1"/>
  <c r="BB108" i="1"/>
  <c r="BB93" i="1"/>
  <c r="BB30" i="1"/>
  <c r="BB94" i="1"/>
  <c r="BB15" i="1"/>
  <c r="BB63" i="1"/>
  <c r="BB79" i="1"/>
  <c r="BB131" i="1"/>
  <c r="BB99" i="1"/>
  <c r="BB84" i="1"/>
  <c r="BB100" i="1"/>
  <c r="BB111" i="1"/>
  <c r="BB125" i="1"/>
  <c r="BB91" i="1"/>
  <c r="BB114" i="1"/>
  <c r="BB113" i="1"/>
  <c r="BB67" i="1"/>
  <c r="BB33" i="1"/>
  <c r="BB85" i="1"/>
  <c r="BJ131" i="1"/>
  <c r="AO129" i="1"/>
  <c r="BC107" i="1"/>
  <c r="BE99" i="1"/>
  <c r="BD75" i="1"/>
  <c r="BJ11" i="1"/>
  <c r="AM132" i="1"/>
  <c r="BB49" i="1"/>
  <c r="BJ106" i="1"/>
  <c r="AN82" i="1"/>
  <c r="AN37" i="1"/>
  <c r="AT60" i="1"/>
  <c r="AN42" i="1"/>
  <c r="BC49" i="6"/>
  <c r="BC54" i="6"/>
  <c r="BC45" i="6"/>
  <c r="BC53" i="6"/>
  <c r="BC11" i="6"/>
  <c r="BC89" i="6"/>
  <c r="BC118" i="6"/>
  <c r="BC55" i="6"/>
  <c r="BC122" i="6"/>
  <c r="BC134" i="6"/>
  <c r="BC79" i="6"/>
  <c r="BC80" i="6"/>
  <c r="BC87" i="6"/>
  <c r="BC98" i="6"/>
  <c r="BC104" i="6"/>
  <c r="BC81" i="6"/>
  <c r="BC94" i="6"/>
  <c r="BC105" i="6"/>
  <c r="BC127" i="6"/>
  <c r="BC18" i="6"/>
  <c r="BC111" i="6"/>
  <c r="BC125" i="6"/>
  <c r="BC38" i="6"/>
  <c r="BC56" i="6"/>
  <c r="BC90" i="6"/>
  <c r="BC120" i="6"/>
  <c r="BC131" i="6"/>
  <c r="BC71" i="6"/>
  <c r="BC75" i="6"/>
  <c r="BC96" i="6"/>
  <c r="AM18" i="6"/>
  <c r="AM28" i="6"/>
  <c r="AM59" i="6"/>
  <c r="AM101" i="6"/>
  <c r="AM49" i="6"/>
  <c r="AM58" i="6"/>
  <c r="AM63" i="6"/>
  <c r="AM80" i="6"/>
  <c r="AM81" i="6"/>
  <c r="AM92" i="6"/>
  <c r="AM128" i="6"/>
  <c r="AM70" i="6"/>
  <c r="AM54" i="6"/>
  <c r="AM73" i="6"/>
  <c r="AM88" i="6"/>
  <c r="AM96" i="6"/>
  <c r="AM120" i="6"/>
  <c r="AM124" i="6"/>
  <c r="AM38" i="6"/>
  <c r="AM42" i="6"/>
  <c r="AM51" i="6"/>
  <c r="AM69" i="6"/>
  <c r="AM125" i="6"/>
  <c r="AM130" i="6"/>
  <c r="AM97" i="6"/>
  <c r="AM7" i="6"/>
  <c r="AM26" i="6"/>
  <c r="AM78" i="6"/>
  <c r="AM85" i="6"/>
  <c r="AM95" i="6"/>
  <c r="AM33" i="6"/>
  <c r="AM77" i="6"/>
  <c r="AM103" i="6"/>
  <c r="AM106" i="6"/>
  <c r="AM112" i="6"/>
  <c r="AM121" i="6"/>
  <c r="AM126" i="6"/>
  <c r="AM135" i="6"/>
  <c r="AM83" i="6"/>
  <c r="BO8" i="6"/>
  <c r="BO23" i="6"/>
  <c r="BO70" i="6"/>
  <c r="BO60" i="6"/>
  <c r="BO66" i="6"/>
  <c r="BO45" i="6"/>
  <c r="BO92" i="6"/>
  <c r="BO61" i="6"/>
  <c r="BO109" i="6"/>
  <c r="BO110" i="6"/>
  <c r="BO78" i="6"/>
  <c r="BO114" i="6"/>
  <c r="BO32" i="6"/>
  <c r="BO88" i="6"/>
  <c r="BO130" i="6"/>
  <c r="BO129" i="6"/>
  <c r="BO113" i="6"/>
  <c r="BO115" i="6"/>
  <c r="BO26" i="6"/>
  <c r="BO99" i="6"/>
  <c r="BO100" i="6"/>
  <c r="BO124" i="6"/>
  <c r="BO135" i="6"/>
  <c r="CK130" i="6"/>
  <c r="BQ122" i="6"/>
  <c r="CK120" i="6"/>
  <c r="AO119" i="6"/>
  <c r="BH117" i="6"/>
  <c r="CG113" i="6"/>
  <c r="AR112" i="6"/>
  <c r="BE110" i="6"/>
  <c r="BU104" i="6"/>
  <c r="BT102" i="6"/>
  <c r="BO98" i="6"/>
  <c r="BR87" i="6"/>
  <c r="AP84" i="6"/>
  <c r="CE81" i="6"/>
  <c r="AO79" i="6"/>
  <c r="AO69" i="6"/>
  <c r="BE48" i="6"/>
  <c r="BC36" i="6"/>
  <c r="AS8" i="6"/>
  <c r="BA18" i="1"/>
  <c r="BA24" i="1"/>
  <c r="BA32" i="1"/>
  <c r="BA48" i="1"/>
  <c r="BA52" i="1"/>
  <c r="BA38" i="1"/>
  <c r="BA40" i="1"/>
  <c r="BA50" i="1"/>
  <c r="BA6" i="1"/>
  <c r="BA20" i="1"/>
  <c r="BA36" i="1"/>
  <c r="BA44" i="1"/>
  <c r="BA54" i="1"/>
  <c r="BA56" i="1"/>
  <c r="BA62" i="1"/>
  <c r="BA2" i="1"/>
  <c r="BA16" i="1"/>
  <c r="BA68" i="1"/>
  <c r="BA12" i="1"/>
  <c r="BA7" i="1"/>
  <c r="BA22" i="1"/>
  <c r="BA76" i="1"/>
  <c r="BA42" i="1"/>
  <c r="BA60" i="1"/>
  <c r="BA31" i="1"/>
  <c r="BA82" i="1"/>
  <c r="BA34" i="1"/>
  <c r="BA23" i="1"/>
  <c r="BA45" i="1"/>
  <c r="BA88" i="1"/>
  <c r="BA30" i="1"/>
  <c r="BA17" i="1"/>
  <c r="BA58" i="1"/>
  <c r="BA8" i="1"/>
  <c r="BA5" i="1"/>
  <c r="BA64" i="1"/>
  <c r="BA61" i="1"/>
  <c r="BA71" i="1"/>
  <c r="BA80" i="1"/>
  <c r="BA28" i="1"/>
  <c r="BA66" i="1"/>
  <c r="BA26" i="1"/>
  <c r="BA39" i="1"/>
  <c r="BA98" i="1"/>
  <c r="BA10" i="1"/>
  <c r="BA72" i="1"/>
  <c r="BA37" i="1"/>
  <c r="BA89" i="1"/>
  <c r="BA97" i="1"/>
  <c r="BA13" i="1"/>
  <c r="BA106" i="1"/>
  <c r="BA53" i="1"/>
  <c r="BA41" i="1"/>
  <c r="BA55" i="1"/>
  <c r="BA112" i="1"/>
  <c r="BA74" i="1"/>
  <c r="BA9" i="1"/>
  <c r="BA78" i="1"/>
  <c r="BA4" i="1"/>
  <c r="BA103" i="1"/>
  <c r="BA121" i="1"/>
  <c r="BA59" i="1"/>
  <c r="BA90" i="1"/>
  <c r="BA83" i="1"/>
  <c r="BA126" i="1"/>
  <c r="BA107" i="1"/>
  <c r="BA86" i="1"/>
  <c r="BA43" i="1"/>
  <c r="BA51" i="1"/>
  <c r="BA129" i="1"/>
  <c r="BA102" i="1"/>
  <c r="BA77" i="1"/>
  <c r="BA116" i="1"/>
  <c r="BA29" i="1"/>
  <c r="BA69" i="1"/>
  <c r="BA118" i="1"/>
  <c r="BA46" i="1"/>
  <c r="BA25" i="1"/>
  <c r="BA57" i="1"/>
  <c r="BA94" i="1"/>
  <c r="BA15" i="1"/>
  <c r="BA63" i="1"/>
  <c r="BA81" i="1"/>
  <c r="BA79" i="1"/>
  <c r="BA84" i="1"/>
  <c r="BA100" i="1"/>
  <c r="BA111" i="1"/>
  <c r="BA125" i="1"/>
  <c r="BA27" i="1"/>
  <c r="BA70" i="1"/>
  <c r="BA104" i="1"/>
  <c r="BA114" i="1"/>
  <c r="BA113" i="1"/>
  <c r="BA130" i="1"/>
  <c r="BA67" i="1"/>
  <c r="BA33" i="1"/>
  <c r="BA92" i="1"/>
  <c r="BA91" i="1"/>
  <c r="BA85" i="1"/>
  <c r="BA99" i="1"/>
  <c r="BA105" i="1"/>
  <c r="BC75" i="1"/>
  <c r="BE59" i="1"/>
  <c r="AL132" i="1"/>
  <c r="AO130" i="1"/>
  <c r="BB115" i="1"/>
  <c r="AM79" i="1"/>
  <c r="BB73" i="1"/>
  <c r="BB120" i="1"/>
  <c r="AO118" i="1"/>
  <c r="BA110" i="1"/>
  <c r="BA108" i="1"/>
  <c r="BI106" i="1"/>
  <c r="AO81" i="1"/>
  <c r="AK78" i="1"/>
  <c r="AM37" i="1"/>
  <c r="AS66" i="1"/>
  <c r="AM42" i="1"/>
  <c r="BB11" i="6"/>
  <c r="BB52" i="6"/>
  <c r="BB122" i="6"/>
  <c r="BB134" i="6"/>
  <c r="BB79" i="6"/>
  <c r="BB87" i="6"/>
  <c r="BB98" i="6"/>
  <c r="BB83" i="6"/>
  <c r="BB93" i="6"/>
  <c r="BB95" i="6"/>
  <c r="BB129" i="6"/>
  <c r="BB132" i="6"/>
  <c r="BB135" i="6"/>
  <c r="BB101" i="6"/>
  <c r="BB127" i="6"/>
  <c r="BB15" i="6"/>
  <c r="BB85" i="6"/>
  <c r="BB38" i="6"/>
  <c r="BB56" i="6"/>
  <c r="BB62" i="6"/>
  <c r="BB90" i="6"/>
  <c r="BB82" i="6"/>
  <c r="BB109" i="6"/>
  <c r="BB22" i="6"/>
  <c r="BB70" i="6"/>
  <c r="BB71" i="6"/>
  <c r="BB76" i="6"/>
  <c r="CD52" i="6"/>
  <c r="CD43" i="6"/>
  <c r="CD68" i="6"/>
  <c r="CD6" i="6"/>
  <c r="CD98" i="6"/>
  <c r="CD117" i="6"/>
  <c r="CD134" i="6"/>
  <c r="CD67" i="6"/>
  <c r="CD77" i="6"/>
  <c r="CD101" i="6"/>
  <c r="CD128" i="6"/>
  <c r="CD11" i="6"/>
  <c r="CD108" i="6"/>
  <c r="CD121" i="6"/>
  <c r="CD116" i="6"/>
  <c r="CD131" i="6"/>
  <c r="CD72" i="6"/>
  <c r="CD57" i="6"/>
  <c r="CD88" i="6"/>
  <c r="CD92" i="6"/>
  <c r="CD106" i="6"/>
  <c r="BU132" i="6"/>
  <c r="BO128" i="6"/>
  <c r="CE126" i="6"/>
  <c r="BE123" i="6"/>
  <c r="BT121" i="6"/>
  <c r="AM119" i="6"/>
  <c r="BE117" i="6"/>
  <c r="CF113" i="6"/>
  <c r="AP112" i="6"/>
  <c r="BC110" i="6"/>
  <c r="BO103" i="6"/>
  <c r="AS99" i="6"/>
  <c r="BR91" i="6"/>
  <c r="BQ87" i="6"/>
  <c r="CD81" i="6"/>
  <c r="AL79" i="6"/>
  <c r="BO77" i="6"/>
  <c r="BF75" i="6"/>
  <c r="BQ60" i="6"/>
  <c r="BF53" i="6"/>
  <c r="BQ42" i="6"/>
  <c r="CG31" i="6"/>
  <c r="AO13" i="6"/>
  <c r="BR7" i="6"/>
  <c r="BJ135" i="1"/>
  <c r="AS134" i="1"/>
  <c r="BB133" i="1"/>
  <c r="BB75" i="1"/>
  <c r="AK132" i="1"/>
  <c r="AK130" i="1"/>
  <c r="AN111" i="1"/>
  <c r="BA115" i="1"/>
  <c r="AO105" i="1"/>
  <c r="BA73" i="1"/>
  <c r="AN110" i="1"/>
  <c r="BR2" i="6"/>
  <c r="BH135" i="6"/>
  <c r="BQ134" i="6"/>
  <c r="AP134" i="6"/>
  <c r="BQ131" i="6"/>
  <c r="CG130" i="6"/>
  <c r="BC129" i="6"/>
  <c r="CK124" i="6"/>
  <c r="AP124" i="6"/>
  <c r="CE119" i="6"/>
  <c r="AO118" i="6"/>
  <c r="BF116" i="6"/>
  <c r="BU114" i="6"/>
  <c r="CD113" i="6"/>
  <c r="CG112" i="6"/>
  <c r="AP111" i="6"/>
  <c r="BF108" i="6"/>
  <c r="AO107" i="6"/>
  <c r="BE106" i="6"/>
  <c r="BF104" i="6"/>
  <c r="BF103" i="6"/>
  <c r="BO102" i="6"/>
  <c r="BR101" i="6"/>
  <c r="AO100" i="6"/>
  <c r="AP99" i="6"/>
  <c r="BC97" i="6"/>
  <c r="CH95" i="6"/>
  <c r="CJ94" i="6"/>
  <c r="BN92" i="6"/>
  <c r="BO91" i="6"/>
  <c r="BN90" i="6"/>
  <c r="BH88" i="6"/>
  <c r="BO86" i="6"/>
  <c r="BI85" i="6"/>
  <c r="BF80" i="6"/>
  <c r="AM75" i="6"/>
  <c r="AP72" i="6"/>
  <c r="BI70" i="6"/>
  <c r="BO68" i="6"/>
  <c r="CE64" i="6"/>
  <c r="BR62" i="6"/>
  <c r="CD55" i="6"/>
  <c r="BD53" i="6"/>
  <c r="AR45" i="6"/>
  <c r="AS31" i="6"/>
  <c r="BR27" i="6"/>
  <c r="BF12" i="6"/>
  <c r="BN7" i="6"/>
  <c r="BA131" i="1"/>
  <c r="AN119" i="1"/>
  <c r="AS107" i="1"/>
  <c r="BD11" i="1"/>
  <c r="AM127" i="1"/>
  <c r="AL125" i="1"/>
  <c r="AL111" i="1"/>
  <c r="AN33" i="1"/>
  <c r="AO113" i="1"/>
  <c r="AM105" i="1"/>
  <c r="AM93" i="1"/>
  <c r="BI87" i="1"/>
  <c r="AT49" i="1"/>
  <c r="AL118" i="1"/>
  <c r="BE112" i="1"/>
  <c r="BB96" i="1"/>
  <c r="AK15" i="1"/>
  <c r="AT84" i="1"/>
  <c r="BB65" i="1"/>
  <c r="AT29" i="1"/>
  <c r="BC17" i="1"/>
  <c r="AS18" i="1"/>
  <c r="BI112" i="6"/>
  <c r="BI69" i="6"/>
  <c r="BU61" i="6"/>
  <c r="BD3" i="1"/>
  <c r="BB28" i="1"/>
  <c r="BB14" i="1"/>
  <c r="BJ30" i="1"/>
  <c r="BJ2" i="1"/>
  <c r="BJ36" i="1"/>
  <c r="BJ8" i="1"/>
  <c r="BJ42" i="1"/>
  <c r="BJ22" i="1"/>
  <c r="BJ38" i="1"/>
  <c r="BJ66" i="1"/>
  <c r="BJ4" i="1"/>
  <c r="BJ18" i="1"/>
  <c r="BJ34" i="1"/>
  <c r="BJ46" i="1"/>
  <c r="BJ14" i="1"/>
  <c r="BJ40" i="1"/>
  <c r="BJ62" i="1"/>
  <c r="BJ72" i="1"/>
  <c r="BJ16" i="1"/>
  <c r="BJ64" i="1"/>
  <c r="BJ28" i="1"/>
  <c r="BJ52" i="1"/>
  <c r="BJ32" i="1"/>
  <c r="BJ3" i="1"/>
  <c r="BJ39" i="1"/>
  <c r="BJ86" i="1"/>
  <c r="BJ10" i="1"/>
  <c r="BJ44" i="1"/>
  <c r="BJ5" i="1"/>
  <c r="BJ53" i="1"/>
  <c r="BJ6" i="1"/>
  <c r="BJ65" i="1"/>
  <c r="BJ48" i="1"/>
  <c r="BJ7" i="1"/>
  <c r="BJ19" i="1"/>
  <c r="BJ71" i="1"/>
  <c r="BJ67" i="1"/>
  <c r="BJ76" i="1"/>
  <c r="BJ90" i="1"/>
  <c r="BJ94" i="1"/>
  <c r="BJ24" i="1"/>
  <c r="BJ13" i="1"/>
  <c r="BJ31" i="1"/>
  <c r="BJ47" i="1"/>
  <c r="BJ102" i="1"/>
  <c r="BJ50" i="1"/>
  <c r="BJ56" i="1"/>
  <c r="BJ15" i="1"/>
  <c r="BJ26" i="1"/>
  <c r="BJ70" i="1"/>
  <c r="BJ98" i="1"/>
  <c r="BJ104" i="1"/>
  <c r="BJ25" i="1"/>
  <c r="BJ12" i="1"/>
  <c r="BJ23" i="1"/>
  <c r="BJ74" i="1"/>
  <c r="BJ92" i="1"/>
  <c r="BJ110" i="1"/>
  <c r="BJ29" i="1"/>
  <c r="BJ63" i="1"/>
  <c r="BJ17" i="1"/>
  <c r="BJ58" i="1"/>
  <c r="BJ84" i="1"/>
  <c r="BJ114" i="1"/>
  <c r="BJ21" i="1"/>
  <c r="BJ37" i="1"/>
  <c r="BJ101" i="1"/>
  <c r="BJ73" i="1"/>
  <c r="BJ68" i="1"/>
  <c r="BJ45" i="1"/>
  <c r="BJ27" i="1"/>
  <c r="BJ118" i="1"/>
  <c r="BJ91" i="1"/>
  <c r="BJ33" i="1"/>
  <c r="BJ123" i="1"/>
  <c r="BJ77" i="1"/>
  <c r="BJ95" i="1"/>
  <c r="BJ133" i="1"/>
  <c r="BJ60" i="1"/>
  <c r="BJ61" i="1"/>
  <c r="BJ93" i="1"/>
  <c r="BJ125" i="1"/>
  <c r="BJ78" i="1"/>
  <c r="BJ88" i="1"/>
  <c r="BJ80" i="1"/>
  <c r="BJ100" i="1"/>
  <c r="BJ120" i="1"/>
  <c r="BJ49" i="1"/>
  <c r="BJ96" i="1"/>
  <c r="BJ115" i="1"/>
  <c r="BJ82" i="1"/>
  <c r="BJ81" i="1"/>
  <c r="BJ89" i="1"/>
  <c r="BJ108" i="1"/>
  <c r="BJ128" i="1"/>
  <c r="BJ51" i="1"/>
  <c r="BJ117" i="1"/>
  <c r="BJ75" i="1"/>
  <c r="BJ20" i="1"/>
  <c r="BJ109" i="1"/>
  <c r="BJ103" i="1"/>
  <c r="BJ116" i="1"/>
  <c r="BJ107" i="1"/>
  <c r="BJ134" i="1"/>
  <c r="BI85" i="1"/>
  <c r="CK39" i="6"/>
  <c r="CK23" i="6"/>
  <c r="CK43" i="6"/>
  <c r="CK91" i="6"/>
  <c r="CK118" i="6"/>
  <c r="CK50" i="6"/>
  <c r="CK129" i="6"/>
  <c r="CK133" i="6"/>
  <c r="CK41" i="6"/>
  <c r="CK66" i="6"/>
  <c r="CK67" i="6"/>
  <c r="CK75" i="6"/>
  <c r="CK73" i="6"/>
  <c r="CK84" i="6"/>
  <c r="CK95" i="6"/>
  <c r="CK109" i="6"/>
  <c r="CK123" i="6"/>
  <c r="CK79" i="6"/>
  <c r="CK128" i="6"/>
  <c r="CK45" i="6"/>
  <c r="CK78" i="6"/>
  <c r="CK87" i="6"/>
  <c r="CK135" i="6"/>
  <c r="BU118" i="6"/>
  <c r="CK107" i="6"/>
  <c r="BU96" i="6"/>
  <c r="BH15" i="6"/>
  <c r="BI69" i="1"/>
  <c r="AQ57" i="6"/>
  <c r="AQ46" i="6"/>
  <c r="AQ77" i="6"/>
  <c r="CK132" i="6"/>
  <c r="AR121" i="6"/>
  <c r="CK103" i="6"/>
  <c r="CK72" i="6"/>
  <c r="BE28" i="1"/>
  <c r="BE34" i="1"/>
  <c r="BE6" i="1"/>
  <c r="BE40" i="1"/>
  <c r="BE14" i="1"/>
  <c r="BE30" i="1"/>
  <c r="BE64" i="1"/>
  <c r="BE10" i="1"/>
  <c r="BE24" i="1"/>
  <c r="BE52" i="1"/>
  <c r="BE2" i="1"/>
  <c r="BE60" i="1"/>
  <c r="BE23" i="1"/>
  <c r="BE12" i="1"/>
  <c r="BE38" i="1"/>
  <c r="BE66" i="1"/>
  <c r="BE48" i="1"/>
  <c r="BE37" i="1"/>
  <c r="BE84" i="1"/>
  <c r="BE47" i="1"/>
  <c r="BE56" i="1"/>
  <c r="BE61" i="1"/>
  <c r="BE13" i="1"/>
  <c r="BE70" i="1"/>
  <c r="BE4" i="1"/>
  <c r="BE22" i="1"/>
  <c r="BE42" i="1"/>
  <c r="BE65" i="1"/>
  <c r="BE74" i="1"/>
  <c r="BE82" i="1"/>
  <c r="BE19" i="1"/>
  <c r="BE29" i="1"/>
  <c r="BE45" i="1"/>
  <c r="BE100" i="1"/>
  <c r="BE62" i="1"/>
  <c r="BE86" i="1"/>
  <c r="BE9" i="1"/>
  <c r="BE76" i="1"/>
  <c r="BE31" i="1"/>
  <c r="BE36" i="1"/>
  <c r="BE80" i="1"/>
  <c r="BE90" i="1"/>
  <c r="BE108" i="1"/>
  <c r="BE39" i="1"/>
  <c r="BE78" i="1"/>
  <c r="BE57" i="1"/>
  <c r="BE94" i="1"/>
  <c r="BE46" i="1"/>
  <c r="BE103" i="1"/>
  <c r="BE120" i="1"/>
  <c r="BE49" i="1"/>
  <c r="BE16" i="1"/>
  <c r="BE7" i="1"/>
  <c r="BE98" i="1"/>
  <c r="BE8" i="1"/>
  <c r="BE44" i="1"/>
  <c r="BE35" i="1"/>
  <c r="BE128" i="1"/>
  <c r="BE119" i="1"/>
  <c r="BE96" i="1"/>
  <c r="BE85" i="1"/>
  <c r="BE131" i="1"/>
  <c r="BE32" i="1"/>
  <c r="BE104" i="1"/>
  <c r="BE25" i="1"/>
  <c r="BE81" i="1"/>
  <c r="BE87" i="1"/>
  <c r="BE117" i="1"/>
  <c r="BE135" i="1"/>
  <c r="BE15" i="1"/>
  <c r="BE77" i="1"/>
  <c r="BE89" i="1"/>
  <c r="BE97" i="1"/>
  <c r="BE68" i="1"/>
  <c r="BE101" i="1"/>
  <c r="BE116" i="1"/>
  <c r="BE21" i="1"/>
  <c r="BE26" i="1"/>
  <c r="BE58" i="1"/>
  <c r="BE43" i="1"/>
  <c r="BE50" i="1"/>
  <c r="BE17" i="1"/>
  <c r="BE124" i="1"/>
  <c r="BE11" i="1"/>
  <c r="BE75" i="1"/>
  <c r="BE123" i="1"/>
  <c r="BE69" i="1"/>
  <c r="BE20" i="1"/>
  <c r="BE102" i="1"/>
  <c r="BE73" i="1"/>
  <c r="BE121" i="1"/>
  <c r="BE134" i="1"/>
  <c r="BE114" i="1"/>
  <c r="BE111" i="1"/>
  <c r="BE125" i="1"/>
  <c r="BE93" i="1"/>
  <c r="BE130" i="1"/>
  <c r="BE41" i="1"/>
  <c r="BE63" i="1"/>
  <c r="BE79" i="1"/>
  <c r="BE92" i="1"/>
  <c r="AS130" i="1"/>
  <c r="CH36" i="6"/>
  <c r="CH56" i="6"/>
  <c r="CH61" i="6"/>
  <c r="CH20" i="6"/>
  <c r="CH50" i="6"/>
  <c r="CH57" i="6"/>
  <c r="CH75" i="6"/>
  <c r="CH83" i="6"/>
  <c r="CH126" i="6"/>
  <c r="CH65" i="6"/>
  <c r="CH70" i="6"/>
  <c r="CH74" i="6"/>
  <c r="CH125" i="6"/>
  <c r="CH85" i="6"/>
  <c r="CH122" i="6"/>
  <c r="CH45" i="6"/>
  <c r="CH87" i="6"/>
  <c r="CH118" i="6"/>
  <c r="CH133" i="6"/>
  <c r="CH78" i="6"/>
  <c r="CH90" i="6"/>
  <c r="CH52" i="6"/>
  <c r="CH91" i="6"/>
  <c r="CH123" i="6"/>
  <c r="CH2" i="6"/>
  <c r="CH22" i="6"/>
  <c r="CH35" i="6"/>
  <c r="CH131" i="6"/>
  <c r="CH127" i="6"/>
  <c r="BU122" i="6"/>
  <c r="BI110" i="6"/>
  <c r="CH103" i="6"/>
  <c r="CK100" i="6"/>
  <c r="BT98" i="6"/>
  <c r="AR92" i="6"/>
  <c r="BU24" i="6"/>
  <c r="AN34" i="1"/>
  <c r="AN6" i="1"/>
  <c r="AN40" i="1"/>
  <c r="AN12" i="1"/>
  <c r="AN46" i="1"/>
  <c r="AN52" i="1"/>
  <c r="AN8" i="1"/>
  <c r="AN22" i="1"/>
  <c r="AN38" i="1"/>
  <c r="AN4" i="1"/>
  <c r="AN18" i="1"/>
  <c r="AN20" i="1"/>
  <c r="AN50" i="1"/>
  <c r="AN32" i="1"/>
  <c r="AN48" i="1"/>
  <c r="AN66" i="1"/>
  <c r="AN47" i="1"/>
  <c r="AN61" i="1"/>
  <c r="AN70" i="1"/>
  <c r="AN76" i="1"/>
  <c r="AN10" i="1"/>
  <c r="AN28" i="1"/>
  <c r="AN30" i="1"/>
  <c r="AN60" i="1"/>
  <c r="AN31" i="1"/>
  <c r="AN100" i="1"/>
  <c r="AN72" i="1"/>
  <c r="AN9" i="1"/>
  <c r="AN14" i="1"/>
  <c r="AN27" i="1"/>
  <c r="AN65" i="1"/>
  <c r="AN86" i="1"/>
  <c r="AN92" i="1"/>
  <c r="AN54" i="1"/>
  <c r="AN68" i="1"/>
  <c r="AN56" i="1"/>
  <c r="AN5" i="1"/>
  <c r="AN57" i="1"/>
  <c r="AN114" i="1"/>
  <c r="AN67" i="1"/>
  <c r="AN77" i="1"/>
  <c r="AN13" i="1"/>
  <c r="AN88" i="1"/>
  <c r="AN44" i="1"/>
  <c r="AN3" i="1"/>
  <c r="AN71" i="1"/>
  <c r="AN90" i="1"/>
  <c r="AN25" i="1"/>
  <c r="AN63" i="1"/>
  <c r="AN120" i="1"/>
  <c r="AN39" i="1"/>
  <c r="AN102" i="1"/>
  <c r="AN103" i="1"/>
  <c r="AN69" i="1"/>
  <c r="AN45" i="1"/>
  <c r="AN80" i="1"/>
  <c r="AN85" i="1"/>
  <c r="AN131" i="1"/>
  <c r="AN36" i="1"/>
  <c r="AN19" i="1"/>
  <c r="AN23" i="1"/>
  <c r="AN78" i="1"/>
  <c r="AN15" i="1"/>
  <c r="AN41" i="1"/>
  <c r="AN35" i="1"/>
  <c r="AN87" i="1"/>
  <c r="AN117" i="1"/>
  <c r="AN135" i="1"/>
  <c r="AN7" i="1"/>
  <c r="AN101" i="1"/>
  <c r="AN109" i="1"/>
  <c r="AN130" i="1"/>
  <c r="AN74" i="1"/>
  <c r="AN83" i="1"/>
  <c r="AN96" i="1"/>
  <c r="AN62" i="1"/>
  <c r="AN104" i="1"/>
  <c r="AN106" i="1"/>
  <c r="AN73" i="1"/>
  <c r="AN94" i="1"/>
  <c r="AN16" i="1"/>
  <c r="AN53" i="1"/>
  <c r="AN55" i="1"/>
  <c r="AN64" i="1"/>
  <c r="AN21" i="1"/>
  <c r="AN49" i="1"/>
  <c r="AN115" i="1"/>
  <c r="AN127" i="1"/>
  <c r="AN43" i="1"/>
  <c r="AN107" i="1"/>
  <c r="AN29" i="1"/>
  <c r="AN128" i="1"/>
  <c r="AN51" i="1"/>
  <c r="AN95" i="1"/>
  <c r="AN58" i="1"/>
  <c r="AN124" i="1"/>
  <c r="AO132" i="1"/>
  <c r="BE51" i="1"/>
  <c r="BI97" i="1"/>
  <c r="BQ27" i="6"/>
  <c r="BQ38" i="6"/>
  <c r="BQ69" i="6"/>
  <c r="BQ8" i="6"/>
  <c r="BQ65" i="6"/>
  <c r="BQ70" i="6"/>
  <c r="BQ26" i="6"/>
  <c r="BQ76" i="6"/>
  <c r="BQ90" i="6"/>
  <c r="BQ115" i="6"/>
  <c r="BQ120" i="6"/>
  <c r="BQ45" i="6"/>
  <c r="BQ59" i="6"/>
  <c r="BQ97" i="6"/>
  <c r="BQ124" i="6"/>
  <c r="BQ29" i="6"/>
  <c r="BQ52" i="6"/>
  <c r="BQ61" i="6"/>
  <c r="BQ64" i="6"/>
  <c r="BQ110" i="6"/>
  <c r="BQ89" i="6"/>
  <c r="BQ93" i="6"/>
  <c r="BQ119" i="6"/>
  <c r="BQ107" i="6"/>
  <c r="BQ117" i="6"/>
  <c r="BQ130" i="6"/>
  <c r="BQ99" i="6"/>
  <c r="BQ132" i="6"/>
  <c r="CK134" i="6"/>
  <c r="BU129" i="6"/>
  <c r="BI123" i="6"/>
  <c r="BH110" i="6"/>
  <c r="BR98" i="6"/>
  <c r="CG87" i="6"/>
  <c r="BH84" i="6"/>
  <c r="AS69" i="6"/>
  <c r="AO46" i="6"/>
  <c r="AS39" i="6"/>
  <c r="BF28" i="6"/>
  <c r="AS13" i="6"/>
  <c r="BC6" i="1"/>
  <c r="BC40" i="1"/>
  <c r="BC12" i="1"/>
  <c r="BC46" i="1"/>
  <c r="BC18" i="1"/>
  <c r="BC48" i="1"/>
  <c r="BC52" i="1"/>
  <c r="BC50" i="1"/>
  <c r="BC20" i="1"/>
  <c r="BC36" i="1"/>
  <c r="BC44" i="1"/>
  <c r="BC54" i="1"/>
  <c r="BC56" i="1"/>
  <c r="BC62" i="1"/>
  <c r="BC2" i="1"/>
  <c r="BC14" i="1"/>
  <c r="BC24" i="1"/>
  <c r="BC3" i="1"/>
  <c r="BC64" i="1"/>
  <c r="BC61" i="1"/>
  <c r="BC13" i="1"/>
  <c r="BC70" i="1"/>
  <c r="BC76" i="1"/>
  <c r="BC38" i="1"/>
  <c r="BC42" i="1"/>
  <c r="BC60" i="1"/>
  <c r="BC31" i="1"/>
  <c r="BC82" i="1"/>
  <c r="BC19" i="1"/>
  <c r="BC29" i="1"/>
  <c r="BC45" i="1"/>
  <c r="BC84" i="1"/>
  <c r="BC86" i="1"/>
  <c r="BC9" i="1"/>
  <c r="BC8" i="1"/>
  <c r="BC5" i="1"/>
  <c r="BC92" i="1"/>
  <c r="BC27" i="1"/>
  <c r="BC80" i="1"/>
  <c r="BC90" i="1"/>
  <c r="BC39" i="1"/>
  <c r="BC78" i="1"/>
  <c r="BC57" i="1"/>
  <c r="BC10" i="1"/>
  <c r="BC72" i="1"/>
  <c r="BC37" i="1"/>
  <c r="BC88" i="1"/>
  <c r="BC77" i="1"/>
  <c r="BC120" i="1"/>
  <c r="BC22" i="1"/>
  <c r="BC89" i="1"/>
  <c r="BC16" i="1"/>
  <c r="BC34" i="1"/>
  <c r="BC7" i="1"/>
  <c r="BC98" i="1"/>
  <c r="BC116" i="1"/>
  <c r="BC53" i="1"/>
  <c r="BC41" i="1"/>
  <c r="BC55" i="1"/>
  <c r="BC106" i="1"/>
  <c r="BC74" i="1"/>
  <c r="BC96" i="1"/>
  <c r="BC32" i="1"/>
  <c r="BC104" i="1"/>
  <c r="BC25" i="1"/>
  <c r="BC81" i="1"/>
  <c r="BC87" i="1"/>
  <c r="BC117" i="1"/>
  <c r="BC135" i="1"/>
  <c r="BC109" i="1"/>
  <c r="BC130" i="1"/>
  <c r="BC4" i="1"/>
  <c r="BC97" i="1"/>
  <c r="BC103" i="1"/>
  <c r="BC121" i="1"/>
  <c r="BC59" i="1"/>
  <c r="BC68" i="1"/>
  <c r="BC101" i="1"/>
  <c r="BC21" i="1"/>
  <c r="BC26" i="1"/>
  <c r="BC58" i="1"/>
  <c r="BC43" i="1"/>
  <c r="BC102" i="1"/>
  <c r="BC73" i="1"/>
  <c r="BC23" i="1"/>
  <c r="BC47" i="1"/>
  <c r="BC108" i="1"/>
  <c r="BC93" i="1"/>
  <c r="BC113" i="1"/>
  <c r="BC30" i="1"/>
  <c r="BC94" i="1"/>
  <c r="BC15" i="1"/>
  <c r="BC63" i="1"/>
  <c r="BC79" i="1"/>
  <c r="BC131" i="1"/>
  <c r="BC112" i="1"/>
  <c r="BC100" i="1"/>
  <c r="BC69" i="1"/>
  <c r="BC111" i="1"/>
  <c r="BC125" i="1"/>
  <c r="BC114" i="1"/>
  <c r="BC67" i="1"/>
  <c r="BC126" i="1"/>
  <c r="BC33" i="1"/>
  <c r="BD51" i="1"/>
  <c r="AO79" i="1"/>
  <c r="BC49" i="1"/>
  <c r="BC110" i="1"/>
  <c r="BT129" i="6"/>
  <c r="BR122" i="6"/>
  <c r="AP119" i="6"/>
  <c r="BI117" i="6"/>
  <c r="CH113" i="6"/>
  <c r="BT103" i="6"/>
  <c r="CH101" i="6"/>
  <c r="BQ98" i="6"/>
  <c r="BH96" i="6"/>
  <c r="AP69" i="6"/>
  <c r="BQ58" i="6"/>
  <c r="BT42" i="6"/>
  <c r="AR13" i="6"/>
  <c r="AL135" i="1"/>
  <c r="BD133" i="1"/>
  <c r="BC51" i="1"/>
  <c r="BC115" i="1"/>
  <c r="BQ2" i="6"/>
  <c r="BF135" i="6"/>
  <c r="BO134" i="6"/>
  <c r="AO134" i="6"/>
  <c r="BI132" i="6"/>
  <c r="BO131" i="6"/>
  <c r="CE130" i="6"/>
  <c r="CJ124" i="6"/>
  <c r="AO124" i="6"/>
  <c r="AP122" i="6"/>
  <c r="BP121" i="6"/>
  <c r="AM118" i="6"/>
  <c r="BE116" i="6"/>
  <c r="BI115" i="6"/>
  <c r="BR114" i="6"/>
  <c r="CF112" i="6"/>
  <c r="CJ111" i="6"/>
  <c r="AO111" i="6"/>
  <c r="AS110" i="6"/>
  <c r="BE108" i="6"/>
  <c r="AM107" i="6"/>
  <c r="BC106" i="6"/>
  <c r="BE104" i="6"/>
  <c r="BE103" i="6"/>
  <c r="BQ101" i="6"/>
  <c r="AM100" i="6"/>
  <c r="AO99" i="6"/>
  <c r="BH98" i="6"/>
  <c r="CG95" i="6"/>
  <c r="CH94" i="6"/>
  <c r="BC91" i="6"/>
  <c r="BF88" i="6"/>
  <c r="BF87" i="6"/>
  <c r="BF86" i="6"/>
  <c r="BH85" i="6"/>
  <c r="BR83" i="6"/>
  <c r="BU78" i="6"/>
  <c r="BH76" i="6"/>
  <c r="BR73" i="6"/>
  <c r="BT71" i="6"/>
  <c r="BH70" i="6"/>
  <c r="BE68" i="6"/>
  <c r="BQ62" i="6"/>
  <c r="BR57" i="6"/>
  <c r="BH55" i="6"/>
  <c r="AP53" i="6"/>
  <c r="BO47" i="6"/>
  <c r="AN45" i="6"/>
  <c r="BF41" i="6"/>
  <c r="CK38" i="6"/>
  <c r="CG34" i="6"/>
  <c r="AR31" i="6"/>
  <c r="AP27" i="6"/>
  <c r="BU21" i="6"/>
  <c r="AM119" i="1"/>
  <c r="BC11" i="1"/>
  <c r="BE132" i="1"/>
  <c r="BI130" i="1"/>
  <c r="AL127" i="1"/>
  <c r="AK125" i="1"/>
  <c r="AK111" i="1"/>
  <c r="AM85" i="1"/>
  <c r="AM33" i="1"/>
  <c r="AM126" i="1"/>
  <c r="AO124" i="1"/>
  <c r="AN122" i="1"/>
  <c r="AN113" i="1"/>
  <c r="BJ105" i="1"/>
  <c r="AL105" i="1"/>
  <c r="BJ79" i="1"/>
  <c r="BD112" i="1"/>
  <c r="AN108" i="1"/>
  <c r="BE106" i="1"/>
  <c r="AO97" i="1"/>
  <c r="BA96" i="1"/>
  <c r="BE91" i="1"/>
  <c r="BJ83" i="1"/>
  <c r="AS84" i="1"/>
  <c r="BA65" i="1"/>
  <c r="BI39" i="1"/>
  <c r="AS29" i="1"/>
  <c r="BB17" i="1"/>
  <c r="BO2" i="6"/>
  <c r="BE135" i="6"/>
  <c r="BN134" i="6"/>
  <c r="AM134" i="6"/>
  <c r="BH132" i="6"/>
  <c r="BN131" i="6"/>
  <c r="CD130" i="6"/>
  <c r="BF128" i="6"/>
  <c r="BU127" i="6"/>
  <c r="CE125" i="6"/>
  <c r="CG124" i="6"/>
  <c r="AO122" i="6"/>
  <c r="BO121" i="6"/>
  <c r="BP120" i="6"/>
  <c r="CG118" i="6"/>
  <c r="AL118" i="6"/>
  <c r="BC116" i="6"/>
  <c r="BH115" i="6"/>
  <c r="BQ114" i="6"/>
  <c r="CH111" i="6"/>
  <c r="AL111" i="6"/>
  <c r="AR110" i="6"/>
  <c r="AL107" i="6"/>
  <c r="BB105" i="6"/>
  <c r="AO104" i="6"/>
  <c r="BC103" i="6"/>
  <c r="BB102" i="6"/>
  <c r="BO101" i="6"/>
  <c r="AM99" i="6"/>
  <c r="CG94" i="6"/>
  <c r="BB91" i="6"/>
  <c r="BF90" i="6"/>
  <c r="BB89" i="6"/>
  <c r="BE88" i="6"/>
  <c r="BE87" i="6"/>
  <c r="BE86" i="6"/>
  <c r="CJ84" i="6"/>
  <c r="BQ83" i="6"/>
  <c r="BQ82" i="6"/>
  <c r="BR81" i="6"/>
  <c r="BT78" i="6"/>
  <c r="BF76" i="6"/>
  <c r="BQ73" i="6"/>
  <c r="BQ71" i="6"/>
  <c r="CK69" i="6"/>
  <c r="BC68" i="6"/>
  <c r="BO62" i="6"/>
  <c r="BQ57" i="6"/>
  <c r="AO55" i="6"/>
  <c r="BN47" i="6"/>
  <c r="BE41" i="6"/>
  <c r="BO38" i="6"/>
  <c r="CJ30" i="6"/>
  <c r="AO27" i="6"/>
  <c r="BO21" i="6"/>
  <c r="AP12" i="6"/>
  <c r="AO134" i="1"/>
  <c r="AL119" i="1"/>
  <c r="BB11" i="1"/>
  <c r="BD132" i="1"/>
  <c r="BJ127" i="1"/>
  <c r="AK127" i="1"/>
  <c r="AL85" i="1"/>
  <c r="AL33" i="1"/>
  <c r="BJ126" i="1"/>
  <c r="AM122" i="1"/>
  <c r="AM113" i="1"/>
  <c r="BI105" i="1"/>
  <c r="AK105" i="1"/>
  <c r="BI79" i="1"/>
  <c r="AK35" i="1"/>
  <c r="AM108" i="1"/>
  <c r="AN97" i="1"/>
  <c r="BD91" i="1"/>
  <c r="BI83" i="1"/>
  <c r="BE27" i="1"/>
  <c r="AL9" i="1"/>
  <c r="AS70" i="1"/>
  <c r="AN17" i="1"/>
  <c r="BA3" i="1"/>
  <c r="BJ54" i="1"/>
  <c r="BA14" i="1"/>
  <c r="AK9" i="6"/>
  <c r="AK42" i="6"/>
  <c r="AK34" i="6"/>
  <c r="AK49" i="6"/>
  <c r="AK115" i="6"/>
  <c r="AK128" i="6"/>
  <c r="AK69" i="6"/>
  <c r="AK70" i="6"/>
  <c r="AK73" i="6"/>
  <c r="AK82" i="6"/>
  <c r="AK90" i="6"/>
  <c r="AK120" i="6"/>
  <c r="AK124" i="6"/>
  <c r="AK72" i="6"/>
  <c r="AK114" i="6"/>
  <c r="AK75" i="6"/>
  <c r="AK68" i="6"/>
  <c r="BM5" i="6"/>
  <c r="BM3" i="6"/>
  <c r="BM15" i="6"/>
  <c r="BM40" i="6"/>
  <c r="BM13" i="6"/>
  <c r="BM46" i="6"/>
  <c r="BM23" i="6"/>
  <c r="BM52" i="6"/>
  <c r="BM61" i="6"/>
  <c r="BM8" i="6"/>
  <c r="BM64" i="6"/>
  <c r="BM78" i="6"/>
  <c r="BM102" i="6"/>
  <c r="BM119" i="6"/>
  <c r="BM126" i="6"/>
  <c r="BM20" i="6"/>
  <c r="BM122" i="6"/>
  <c r="BA86" i="6"/>
  <c r="BM67" i="6"/>
  <c r="BM62" i="6"/>
  <c r="AZ101" i="6"/>
  <c r="AZ45" i="6"/>
  <c r="AZ93" i="6"/>
  <c r="AZ135" i="6"/>
  <c r="AJ72" i="6"/>
  <c r="AJ120" i="6"/>
  <c r="AJ124" i="6"/>
  <c r="AJ105" i="6"/>
  <c r="AJ110" i="6"/>
  <c r="AJ36" i="6"/>
  <c r="CB100" i="6"/>
  <c r="CB68" i="6"/>
  <c r="CB106" i="6"/>
  <c r="CB112" i="6"/>
  <c r="CB5" i="6"/>
  <c r="BL2" i="6"/>
  <c r="AK134" i="6"/>
  <c r="AZ118" i="6"/>
  <c r="AZ116" i="6"/>
  <c r="BM115" i="6"/>
  <c r="CB114" i="6"/>
  <c r="CC110" i="6"/>
  <c r="BA109" i="6"/>
  <c r="BM108" i="6"/>
  <c r="BZ103" i="6"/>
  <c r="BM101" i="6"/>
  <c r="AK98" i="6"/>
  <c r="BA85" i="6"/>
  <c r="BA82" i="6"/>
  <c r="BA75" i="6"/>
  <c r="BA30" i="6"/>
  <c r="BA15" i="6"/>
  <c r="AH131" i="1"/>
  <c r="AH109" i="1"/>
  <c r="AH83" i="1"/>
  <c r="AH67" i="1"/>
  <c r="AH54" i="1"/>
  <c r="AH6" i="1"/>
  <c r="AV105" i="1"/>
  <c r="AV21" i="1"/>
  <c r="CC47" i="6"/>
  <c r="CC68" i="6"/>
  <c r="CC6" i="6"/>
  <c r="CC55" i="6"/>
  <c r="CC57" i="6"/>
  <c r="CC37" i="6"/>
  <c r="CC50" i="6"/>
  <c r="CC56" i="6"/>
  <c r="CC67" i="6"/>
  <c r="CC74" i="6"/>
  <c r="CC77" i="6"/>
  <c r="CC128" i="6"/>
  <c r="CC135" i="6"/>
  <c r="CC71" i="6"/>
  <c r="CC108" i="6"/>
  <c r="CC121" i="6"/>
  <c r="CC132" i="6"/>
  <c r="CC88" i="6"/>
  <c r="CC31" i="6"/>
  <c r="BA116" i="6"/>
  <c r="AK87" i="6"/>
  <c r="AK79" i="6"/>
  <c r="BM50" i="6"/>
  <c r="AY101" i="6"/>
  <c r="AY45" i="6"/>
  <c r="AY72" i="6"/>
  <c r="AY112" i="6"/>
  <c r="AY130" i="6"/>
  <c r="BM132" i="6"/>
  <c r="BA131" i="6"/>
  <c r="AY118" i="6"/>
  <c r="AY116" i="6"/>
  <c r="AK97" i="6"/>
  <c r="CC92" i="6"/>
  <c r="AK83" i="6"/>
  <c r="BA76" i="6"/>
  <c r="BA71" i="6"/>
  <c r="CC32" i="6"/>
  <c r="CC9" i="6"/>
  <c r="AH52" i="1"/>
  <c r="BA44" i="6"/>
  <c r="BA6" i="6"/>
  <c r="BA52" i="6"/>
  <c r="BA54" i="6"/>
  <c r="BA53" i="6"/>
  <c r="BA63" i="6"/>
  <c r="BA11" i="6"/>
  <c r="BA18" i="6"/>
  <c r="BA79" i="6"/>
  <c r="BA87" i="6"/>
  <c r="BA98" i="6"/>
  <c r="BA133" i="6"/>
  <c r="BA93" i="6"/>
  <c r="BA95" i="6"/>
  <c r="BA117" i="6"/>
  <c r="BA129" i="6"/>
  <c r="BA132" i="6"/>
  <c r="BA135" i="6"/>
  <c r="BA34" i="6"/>
  <c r="BA118" i="6"/>
  <c r="BM94" i="6"/>
  <c r="AK91" i="6"/>
  <c r="BM43" i="6"/>
  <c r="BM38" i="6"/>
  <c r="AI115" i="6"/>
  <c r="AI60" i="6"/>
  <c r="AI96" i="6"/>
  <c r="AI105" i="6"/>
  <c r="AI110" i="6"/>
  <c r="AI36" i="6"/>
  <c r="CA63" i="6"/>
  <c r="CA106" i="6"/>
  <c r="CA112" i="6"/>
  <c r="CA5" i="6"/>
  <c r="CA130" i="6"/>
  <c r="BM124" i="6"/>
  <c r="BA120" i="6"/>
  <c r="CA114" i="6"/>
  <c r="BM113" i="6"/>
  <c r="AK112" i="6"/>
  <c r="CC106" i="6"/>
  <c r="AX92" i="6"/>
  <c r="AX47" i="6"/>
  <c r="AX112" i="6"/>
  <c r="AX130" i="6"/>
  <c r="AX108" i="6"/>
  <c r="BL13" i="6"/>
  <c r="BL110" i="6"/>
  <c r="BL29" i="6"/>
  <c r="BL123" i="6"/>
  <c r="BL47" i="6"/>
  <c r="BZ57" i="6"/>
  <c r="BZ108" i="6"/>
  <c r="BZ112" i="6"/>
  <c r="BZ5" i="6"/>
  <c r="BZ111" i="6"/>
  <c r="CA2" i="6"/>
  <c r="AK135" i="6"/>
  <c r="AY131" i="6"/>
  <c r="AI128" i="6"/>
  <c r="AK126" i="6"/>
  <c r="AX118" i="6"/>
  <c r="BL117" i="6"/>
  <c r="BA111" i="6"/>
  <c r="BL107" i="6"/>
  <c r="AK106" i="6"/>
  <c r="AK103" i="6"/>
  <c r="AJ97" i="6"/>
  <c r="AJ95" i="6"/>
  <c r="CA92" i="6"/>
  <c r="BA90" i="6"/>
  <c r="AK77" i="6"/>
  <c r="CC72" i="6"/>
  <c r="BA62" i="6"/>
  <c r="BA56" i="6"/>
  <c r="BL52" i="6"/>
  <c r="BM45" i="6"/>
  <c r="AK18" i="6"/>
  <c r="CB9" i="6"/>
  <c r="AH2" i="1"/>
  <c r="AH22" i="1"/>
  <c r="AH56" i="1"/>
  <c r="AH31" i="1"/>
  <c r="AH82" i="1"/>
  <c r="AH43" i="1"/>
  <c r="AH110" i="1"/>
  <c r="AH115" i="1"/>
  <c r="AH11" i="1"/>
  <c r="AH24" i="1"/>
  <c r="AH60" i="1"/>
  <c r="AH37" i="1"/>
  <c r="AH84" i="1"/>
  <c r="AH55" i="1"/>
  <c r="AH112" i="1"/>
  <c r="AH121" i="1"/>
  <c r="AH59" i="1"/>
  <c r="AH28" i="1"/>
  <c r="AH62" i="1"/>
  <c r="AH39" i="1"/>
  <c r="AH86" i="1"/>
  <c r="AH57" i="1"/>
  <c r="AH114" i="1"/>
  <c r="AH122" i="1"/>
  <c r="AH75" i="1"/>
  <c r="AH32" i="1"/>
  <c r="AH3" i="1"/>
  <c r="AH70" i="1"/>
  <c r="AH25" i="1"/>
  <c r="AH116" i="1"/>
  <c r="AH33" i="1"/>
  <c r="AH133" i="1"/>
  <c r="AH34" i="1"/>
  <c r="AH5" i="1"/>
  <c r="AH71" i="1"/>
  <c r="AH27" i="1"/>
  <c r="AH118" i="1"/>
  <c r="AH51" i="1"/>
  <c r="AH134" i="1"/>
  <c r="AH36" i="1"/>
  <c r="AH7" i="1"/>
  <c r="AH74" i="1"/>
  <c r="AH41" i="1"/>
  <c r="AH120" i="1"/>
  <c r="AH85" i="1"/>
  <c r="AH135" i="1"/>
  <c r="AH38" i="1"/>
  <c r="AH76" i="1"/>
  <c r="AH21" i="1"/>
  <c r="AH95" i="1"/>
  <c r="AH13" i="1"/>
  <c r="AH63" i="1"/>
  <c r="AV16" i="1"/>
  <c r="AV22" i="1"/>
  <c r="AV30" i="1"/>
  <c r="AV2" i="1"/>
  <c r="AV8" i="1"/>
  <c r="AV14" i="1"/>
  <c r="AV20" i="1"/>
  <c r="AV28" i="1"/>
  <c r="AV34" i="1"/>
  <c r="AV40" i="1"/>
  <c r="AV42" i="1"/>
  <c r="AV50" i="1"/>
  <c r="AV4" i="1"/>
  <c r="AV10" i="1"/>
  <c r="AV60" i="1"/>
  <c r="AV32" i="1"/>
  <c r="AV48" i="1"/>
  <c r="AV66" i="1"/>
  <c r="AV12" i="1"/>
  <c r="AV36" i="1"/>
  <c r="AV74" i="1"/>
  <c r="AV38" i="1"/>
  <c r="AV29" i="1"/>
  <c r="AV80" i="1"/>
  <c r="AV46" i="1"/>
  <c r="AV54" i="1"/>
  <c r="AV62" i="1"/>
  <c r="AV39" i="1"/>
  <c r="AV86" i="1"/>
  <c r="AV72" i="1"/>
  <c r="AV53" i="1"/>
  <c r="AV24" i="1"/>
  <c r="AV6" i="1"/>
  <c r="AV52" i="1"/>
  <c r="AV68" i="1"/>
  <c r="AV44" i="1"/>
  <c r="AV17" i="1"/>
  <c r="AV58" i="1"/>
  <c r="AV70" i="1"/>
  <c r="AV78" i="1"/>
  <c r="AV7" i="1"/>
  <c r="AV37" i="1"/>
  <c r="AV94" i="1"/>
  <c r="AV47" i="1"/>
  <c r="AV82" i="1"/>
  <c r="AV88" i="1"/>
  <c r="AV64" i="1"/>
  <c r="AV45" i="1"/>
  <c r="AV84" i="1"/>
  <c r="AV83" i="1"/>
  <c r="AV96" i="1"/>
  <c r="AV102" i="1"/>
  <c r="AV15" i="1"/>
  <c r="AV41" i="1"/>
  <c r="AV103" i="1"/>
  <c r="AV100" i="1"/>
  <c r="AV108" i="1"/>
  <c r="AV61" i="1"/>
  <c r="AV19" i="1"/>
  <c r="AV26" i="1"/>
  <c r="AV81" i="1"/>
  <c r="AV91" i="1"/>
  <c r="AV67" i="1"/>
  <c r="AV43" i="1"/>
  <c r="AV77" i="1"/>
  <c r="AV89" i="1"/>
  <c r="AV97" i="1"/>
  <c r="AV3" i="1"/>
  <c r="AV5" i="1"/>
  <c r="AV65" i="1"/>
  <c r="AV49" i="1"/>
  <c r="AV63" i="1"/>
  <c r="AV115" i="1"/>
  <c r="AV11" i="1"/>
  <c r="AV13" i="1"/>
  <c r="AV57" i="1"/>
  <c r="AV114" i="1"/>
  <c r="AV124" i="1"/>
  <c r="AV99" i="1"/>
  <c r="AV55" i="1"/>
  <c r="AV110" i="1"/>
  <c r="AV112" i="1"/>
  <c r="AV116" i="1"/>
  <c r="AV118" i="1"/>
  <c r="AV33" i="1"/>
  <c r="AV123" i="1"/>
  <c r="AV69" i="1"/>
  <c r="AV133" i="1"/>
  <c r="AV23" i="1"/>
  <c r="AV25" i="1"/>
  <c r="AV95" i="1"/>
  <c r="AV125" i="1"/>
  <c r="AV132" i="1"/>
  <c r="AV75" i="1"/>
  <c r="AV119" i="1"/>
  <c r="AV131" i="1"/>
  <c r="AV135" i="1"/>
  <c r="AV56" i="1"/>
  <c r="AV35" i="1"/>
  <c r="AV93" i="1"/>
  <c r="AV113" i="1"/>
  <c r="AV122" i="1"/>
  <c r="AV128" i="1"/>
  <c r="AV85" i="1"/>
  <c r="AV117" i="1"/>
  <c r="AV130" i="1"/>
  <c r="AV59" i="1"/>
  <c r="AV107" i="1"/>
  <c r="AV129" i="1"/>
  <c r="AV134" i="1"/>
  <c r="AV87" i="1"/>
  <c r="AV109" i="1"/>
  <c r="AV121" i="1"/>
  <c r="AV111" i="1"/>
  <c r="AV76" i="1"/>
  <c r="AV126" i="1"/>
  <c r="AV51" i="1"/>
  <c r="AV127" i="1"/>
  <c r="AH123" i="1"/>
  <c r="AH93" i="1"/>
  <c r="AH77" i="1"/>
  <c r="AH61" i="1"/>
  <c r="AH50" i="1"/>
  <c r="AV98" i="1"/>
  <c r="AV31" i="1"/>
  <c r="AV27" i="1"/>
  <c r="AV104" i="1"/>
  <c r="AZ110" i="1"/>
  <c r="AZ92" i="1"/>
  <c r="AX23" i="1"/>
  <c r="AX56" i="1"/>
  <c r="AJ24" i="1"/>
  <c r="AJ32" i="1"/>
  <c r="AJ4" i="1"/>
  <c r="AJ38" i="1"/>
  <c r="AJ60" i="1"/>
  <c r="AJ18" i="1"/>
  <c r="AJ34" i="1"/>
  <c r="AJ62" i="1"/>
  <c r="AJ14" i="1"/>
  <c r="AJ30" i="1"/>
  <c r="AJ46" i="1"/>
  <c r="AJ10" i="1"/>
  <c r="AJ50" i="1"/>
  <c r="AJ56" i="1"/>
  <c r="AJ5" i="1"/>
  <c r="AJ54" i="1"/>
  <c r="AJ6" i="1"/>
  <c r="AJ48" i="1"/>
  <c r="AJ19" i="1"/>
  <c r="AJ16" i="1"/>
  <c r="AJ42" i="1"/>
  <c r="AJ52" i="1"/>
  <c r="AJ8" i="1"/>
  <c r="AJ13" i="1"/>
  <c r="AJ31" i="1"/>
  <c r="AJ82" i="1"/>
  <c r="AJ40" i="1"/>
  <c r="AJ64" i="1"/>
  <c r="AJ45" i="1"/>
  <c r="AJ36" i="1"/>
  <c r="AJ23" i="1"/>
  <c r="AJ58" i="1"/>
  <c r="AJ94" i="1"/>
  <c r="AJ17" i="1"/>
  <c r="AJ67" i="1"/>
  <c r="AJ47" i="1"/>
  <c r="AJ65" i="1"/>
  <c r="AJ74" i="1"/>
  <c r="AJ84" i="1"/>
  <c r="AJ86" i="1"/>
  <c r="AJ29" i="1"/>
  <c r="AJ98" i="1"/>
  <c r="AJ12" i="1"/>
  <c r="AJ3" i="1"/>
  <c r="AJ104" i="1"/>
  <c r="AJ20" i="1"/>
  <c r="AJ71" i="1"/>
  <c r="AJ90" i="1"/>
  <c r="AJ97" i="1"/>
  <c r="AJ26" i="1"/>
  <c r="AJ70" i="1"/>
  <c r="AJ106" i="1"/>
  <c r="AJ55" i="1"/>
  <c r="AJ28" i="1"/>
  <c r="AJ44" i="1"/>
  <c r="AJ112" i="1"/>
  <c r="AJ80" i="1"/>
  <c r="AJ35" i="1"/>
  <c r="AJ57" i="1"/>
  <c r="AJ76" i="1"/>
  <c r="AJ92" i="1"/>
  <c r="AJ27" i="1"/>
  <c r="AJ7" i="1"/>
  <c r="AJ88" i="1"/>
  <c r="AJ91" i="1"/>
  <c r="AJ126" i="1"/>
  <c r="AJ107" i="1"/>
  <c r="AJ66" i="1"/>
  <c r="AJ68" i="1"/>
  <c r="AJ72" i="1"/>
  <c r="AJ77" i="1"/>
  <c r="AJ108" i="1"/>
  <c r="AJ51" i="1"/>
  <c r="AJ129" i="1"/>
  <c r="AJ100" i="1"/>
  <c r="AJ9" i="1"/>
  <c r="AJ79" i="1"/>
  <c r="AJ111" i="1"/>
  <c r="AJ134" i="1"/>
  <c r="AJ21" i="1"/>
  <c r="CL133" i="6"/>
  <c r="BW131" i="6"/>
  <c r="CM129" i="6"/>
  <c r="BK127" i="6"/>
  <c r="CM126" i="6"/>
  <c r="BW124" i="6"/>
  <c r="AV121" i="6"/>
  <c r="BW120" i="6"/>
  <c r="CM118" i="6"/>
  <c r="BX116" i="6"/>
  <c r="BW115" i="6"/>
  <c r="BJ113" i="6"/>
  <c r="AU111" i="6"/>
  <c r="BW105" i="6"/>
  <c r="BW103" i="6"/>
  <c r="AT101" i="6"/>
  <c r="BJ89" i="6"/>
  <c r="BW86" i="6"/>
  <c r="BV76" i="6"/>
  <c r="CN74" i="6"/>
  <c r="BW39" i="6"/>
  <c r="AH38" i="6"/>
  <c r="CM26" i="6"/>
  <c r="CM23" i="6"/>
  <c r="AY32" i="1"/>
  <c r="AY4" i="1"/>
  <c r="AY38" i="1"/>
  <c r="AY10" i="1"/>
  <c r="AY44" i="1"/>
  <c r="AY16" i="1"/>
  <c r="AY22" i="1"/>
  <c r="AY30" i="1"/>
  <c r="AY36" i="1"/>
  <c r="AY2" i="1"/>
  <c r="AY8" i="1"/>
  <c r="AY14" i="1"/>
  <c r="AY20" i="1"/>
  <c r="AY28" i="1"/>
  <c r="AY34" i="1"/>
  <c r="AY40" i="1"/>
  <c r="AY42" i="1"/>
  <c r="AY50" i="1"/>
  <c r="AY52" i="1"/>
  <c r="AY68" i="1"/>
  <c r="AY24" i="1"/>
  <c r="AY54" i="1"/>
  <c r="AY56" i="1"/>
  <c r="AY23" i="1"/>
  <c r="AY45" i="1"/>
  <c r="AY88" i="1"/>
  <c r="AY17" i="1"/>
  <c r="AY58" i="1"/>
  <c r="AY67" i="1"/>
  <c r="AY74" i="1"/>
  <c r="AY64" i="1"/>
  <c r="AY61" i="1"/>
  <c r="AY71" i="1"/>
  <c r="AY80" i="1"/>
  <c r="AY62" i="1"/>
  <c r="AY66" i="1"/>
  <c r="AY26" i="1"/>
  <c r="AY39" i="1"/>
  <c r="AY98" i="1"/>
  <c r="AY6" i="1"/>
  <c r="AY104" i="1"/>
  <c r="AY25" i="1"/>
  <c r="AY13" i="1"/>
  <c r="AY7" i="1"/>
  <c r="AY53" i="1"/>
  <c r="AY55" i="1"/>
  <c r="AY112" i="1"/>
  <c r="AY47" i="1"/>
  <c r="AY82" i="1"/>
  <c r="AY69" i="1"/>
  <c r="AY106" i="1"/>
  <c r="AY35" i="1"/>
  <c r="AY78" i="1"/>
  <c r="AY72" i="1"/>
  <c r="AY15" i="1"/>
  <c r="AY100" i="1"/>
  <c r="AY108" i="1"/>
  <c r="AY12" i="1"/>
  <c r="AY90" i="1"/>
  <c r="AY83" i="1"/>
  <c r="AY48" i="1"/>
  <c r="AY86" i="1"/>
  <c r="AY43" i="1"/>
  <c r="AY51" i="1"/>
  <c r="AY129" i="1"/>
  <c r="AY37" i="1"/>
  <c r="AY76" i="1"/>
  <c r="AY94" i="1"/>
  <c r="AY102" i="1"/>
  <c r="AY97" i="1"/>
  <c r="AY79" i="1"/>
  <c r="AY111" i="1"/>
  <c r="AY134" i="1"/>
  <c r="AY3" i="1"/>
  <c r="AY5" i="1"/>
  <c r="AY65" i="1"/>
  <c r="AY49" i="1"/>
  <c r="AY105" i="1"/>
  <c r="AY127" i="1"/>
  <c r="AI32" i="1"/>
  <c r="AI4" i="1"/>
  <c r="AI38" i="1"/>
  <c r="AI10" i="1"/>
  <c r="AI44" i="1"/>
  <c r="AI48" i="1"/>
  <c r="AI50" i="1"/>
  <c r="AI14" i="1"/>
  <c r="AI30" i="1"/>
  <c r="AI46" i="1"/>
  <c r="AI68" i="1"/>
  <c r="AI56" i="1"/>
  <c r="AI54" i="1"/>
  <c r="AI52" i="1"/>
  <c r="AI16" i="1"/>
  <c r="AI42" i="1"/>
  <c r="AI60" i="1"/>
  <c r="AI18" i="1"/>
  <c r="AI40" i="1"/>
  <c r="AI64" i="1"/>
  <c r="AI45" i="1"/>
  <c r="AI88" i="1"/>
  <c r="AI36" i="1"/>
  <c r="AI23" i="1"/>
  <c r="AI58" i="1"/>
  <c r="AI17" i="1"/>
  <c r="AI67" i="1"/>
  <c r="AI28" i="1"/>
  <c r="AI74" i="1"/>
  <c r="AI29" i="1"/>
  <c r="AI98" i="1"/>
  <c r="AI12" i="1"/>
  <c r="AI3" i="1"/>
  <c r="AI19" i="1"/>
  <c r="AI104" i="1"/>
  <c r="AI13" i="1"/>
  <c r="AI82" i="1"/>
  <c r="AI25" i="1"/>
  <c r="AI20" i="1"/>
  <c r="AI71" i="1"/>
  <c r="AI90" i="1"/>
  <c r="AI34" i="1"/>
  <c r="AI26" i="1"/>
  <c r="AI70" i="1"/>
  <c r="AI55" i="1"/>
  <c r="AI112" i="1"/>
  <c r="AI6" i="1"/>
  <c r="AI8" i="1"/>
  <c r="AI69" i="1"/>
  <c r="AI80" i="1"/>
  <c r="AI35" i="1"/>
  <c r="AI57" i="1"/>
  <c r="AI79" i="1"/>
  <c r="AI76" i="1"/>
  <c r="AI92" i="1"/>
  <c r="AI94" i="1"/>
  <c r="AI27" i="1"/>
  <c r="AI106" i="1"/>
  <c r="AI47" i="1"/>
  <c r="AI86" i="1"/>
  <c r="AI7" i="1"/>
  <c r="AI91" i="1"/>
  <c r="AI66" i="1"/>
  <c r="AI72" i="1"/>
  <c r="AI77" i="1"/>
  <c r="AI108" i="1"/>
  <c r="AI51" i="1"/>
  <c r="AI129" i="1"/>
  <c r="AI100" i="1"/>
  <c r="AI9" i="1"/>
  <c r="AI111" i="1"/>
  <c r="AI134" i="1"/>
  <c r="AI96" i="1"/>
  <c r="AI105" i="1"/>
  <c r="AI127" i="1"/>
  <c r="AW135" i="1"/>
  <c r="AX133" i="1"/>
  <c r="AW131" i="1"/>
  <c r="AX123" i="1"/>
  <c r="AW119" i="1"/>
  <c r="AW75" i="1"/>
  <c r="AW132" i="1"/>
  <c r="AW125" i="1"/>
  <c r="AW95" i="1"/>
  <c r="AW33" i="1"/>
  <c r="AI21" i="1"/>
  <c r="AZ118" i="1"/>
  <c r="AY110" i="1"/>
  <c r="AJ103" i="1"/>
  <c r="AZ57" i="1"/>
  <c r="AZ25" i="1"/>
  <c r="AY92" i="1"/>
  <c r="AW23" i="1"/>
  <c r="AI5" i="1"/>
  <c r="AZ24" i="1"/>
  <c r="AZ32" i="1"/>
  <c r="AZ4" i="1"/>
  <c r="AZ38" i="1"/>
  <c r="AZ10" i="1"/>
  <c r="AZ16" i="1"/>
  <c r="AZ22" i="1"/>
  <c r="AZ30" i="1"/>
  <c r="AZ36" i="1"/>
  <c r="AZ6" i="1"/>
  <c r="AZ20" i="1"/>
  <c r="AZ44" i="1"/>
  <c r="AZ54" i="1"/>
  <c r="AZ56" i="1"/>
  <c r="AZ62" i="1"/>
  <c r="AZ2" i="1"/>
  <c r="AZ52" i="1"/>
  <c r="AZ5" i="1"/>
  <c r="AZ68" i="1"/>
  <c r="AZ19" i="1"/>
  <c r="AZ42" i="1"/>
  <c r="AZ60" i="1"/>
  <c r="AZ31" i="1"/>
  <c r="AZ82" i="1"/>
  <c r="AZ34" i="1"/>
  <c r="AZ23" i="1"/>
  <c r="AZ45" i="1"/>
  <c r="AZ17" i="1"/>
  <c r="AZ58" i="1"/>
  <c r="AZ8" i="1"/>
  <c r="AZ67" i="1"/>
  <c r="AZ64" i="1"/>
  <c r="AZ61" i="1"/>
  <c r="AZ71" i="1"/>
  <c r="AZ80" i="1"/>
  <c r="AZ28" i="1"/>
  <c r="AZ66" i="1"/>
  <c r="AZ26" i="1"/>
  <c r="AZ39" i="1"/>
  <c r="AZ88" i="1"/>
  <c r="AZ98" i="1"/>
  <c r="AZ104" i="1"/>
  <c r="AZ97" i="1"/>
  <c r="AZ13" i="1"/>
  <c r="AZ106" i="1"/>
  <c r="AZ7" i="1"/>
  <c r="AZ53" i="1"/>
  <c r="AZ55" i="1"/>
  <c r="AZ74" i="1"/>
  <c r="AZ9" i="1"/>
  <c r="AZ35" i="1"/>
  <c r="AZ78" i="1"/>
  <c r="AZ40" i="1"/>
  <c r="AZ72" i="1"/>
  <c r="AZ15" i="1"/>
  <c r="AZ103" i="1"/>
  <c r="AZ12" i="1"/>
  <c r="AZ90" i="1"/>
  <c r="AZ83" i="1"/>
  <c r="AZ126" i="1"/>
  <c r="AZ107" i="1"/>
  <c r="AZ48" i="1"/>
  <c r="AZ86" i="1"/>
  <c r="AZ43" i="1"/>
  <c r="AZ51" i="1"/>
  <c r="AZ129" i="1"/>
  <c r="AZ37" i="1"/>
  <c r="AZ76" i="1"/>
  <c r="AZ94" i="1"/>
  <c r="AZ102" i="1"/>
  <c r="AZ79" i="1"/>
  <c r="AZ111" i="1"/>
  <c r="AZ134" i="1"/>
  <c r="AU13" i="6"/>
  <c r="AU64" i="6"/>
  <c r="AU67" i="6"/>
  <c r="AU71" i="6"/>
  <c r="BV131" i="6"/>
  <c r="CL126" i="6"/>
  <c r="BK123" i="6"/>
  <c r="AU121" i="6"/>
  <c r="CL118" i="6"/>
  <c r="BW116" i="6"/>
  <c r="AT111" i="6"/>
  <c r="AV104" i="6"/>
  <c r="BV103" i="6"/>
  <c r="AT100" i="6"/>
  <c r="CN96" i="6"/>
  <c r="AH94" i="6"/>
  <c r="CN84" i="6"/>
  <c r="AV83" i="6"/>
  <c r="CM43" i="6"/>
  <c r="AH36" i="6"/>
  <c r="AX4" i="1"/>
  <c r="AX38" i="1"/>
  <c r="AX10" i="1"/>
  <c r="AX44" i="1"/>
  <c r="AX16" i="1"/>
  <c r="AX2" i="1"/>
  <c r="AX8" i="1"/>
  <c r="AX14" i="1"/>
  <c r="AX20" i="1"/>
  <c r="AX28" i="1"/>
  <c r="AX34" i="1"/>
  <c r="AX40" i="1"/>
  <c r="AX42" i="1"/>
  <c r="AX50" i="1"/>
  <c r="AX6" i="1"/>
  <c r="AX12" i="1"/>
  <c r="AX18" i="1"/>
  <c r="AX24" i="1"/>
  <c r="AX32" i="1"/>
  <c r="AX36" i="1"/>
  <c r="AX60" i="1"/>
  <c r="AX22" i="1"/>
  <c r="AX54" i="1"/>
  <c r="AX17" i="1"/>
  <c r="AX58" i="1"/>
  <c r="AX67" i="1"/>
  <c r="AX30" i="1"/>
  <c r="AX74" i="1"/>
  <c r="AX29" i="1"/>
  <c r="AX80" i="1"/>
  <c r="AX62" i="1"/>
  <c r="AX66" i="1"/>
  <c r="AX26" i="1"/>
  <c r="AX39" i="1"/>
  <c r="AX88" i="1"/>
  <c r="AX104" i="1"/>
  <c r="AX25" i="1"/>
  <c r="AX52" i="1"/>
  <c r="AX68" i="1"/>
  <c r="AX43" i="1"/>
  <c r="AX13" i="1"/>
  <c r="AX7" i="1"/>
  <c r="AX53" i="1"/>
  <c r="AX55" i="1"/>
  <c r="AX47" i="1"/>
  <c r="AX82" i="1"/>
  <c r="AX69" i="1"/>
  <c r="AX118" i="1"/>
  <c r="AX64" i="1"/>
  <c r="AX45" i="1"/>
  <c r="AX84" i="1"/>
  <c r="AX83" i="1"/>
  <c r="AX78" i="1"/>
  <c r="AX72" i="1"/>
  <c r="AX15" i="1"/>
  <c r="AX100" i="1"/>
  <c r="AX108" i="1"/>
  <c r="AX61" i="1"/>
  <c r="AX96" i="1"/>
  <c r="AX48" i="1"/>
  <c r="AX86" i="1"/>
  <c r="AX37" i="1"/>
  <c r="AX76" i="1"/>
  <c r="AX94" i="1"/>
  <c r="AX102" i="1"/>
  <c r="AX97" i="1"/>
  <c r="AX79" i="1"/>
  <c r="AX111" i="1"/>
  <c r="AX134" i="1"/>
  <c r="AX3" i="1"/>
  <c r="AX5" i="1"/>
  <c r="AX65" i="1"/>
  <c r="AX49" i="1"/>
  <c r="AX105" i="1"/>
  <c r="AX127" i="1"/>
  <c r="AX63" i="1"/>
  <c r="AX115" i="1"/>
  <c r="AX11" i="1"/>
  <c r="AW133" i="1"/>
  <c r="AJ49" i="1"/>
  <c r="AY118" i="1"/>
  <c r="AJ114" i="1"/>
  <c r="AX110" i="1"/>
  <c r="AI103" i="1"/>
  <c r="AJ81" i="1"/>
  <c r="AZ69" i="1"/>
  <c r="AY57" i="1"/>
  <c r="AX92" i="1"/>
  <c r="AZ29" i="1"/>
  <c r="AY46" i="1"/>
  <c r="AJ22" i="1"/>
  <c r="BJ25" i="6"/>
  <c r="BJ52" i="6"/>
  <c r="AT60" i="6"/>
  <c r="AT13" i="6"/>
  <c r="AT64" i="6"/>
  <c r="AT71" i="6"/>
  <c r="AT68" i="6"/>
  <c r="CL47" i="6"/>
  <c r="CL41" i="6"/>
  <c r="BJ123" i="6"/>
  <c r="AT121" i="6"/>
  <c r="BV116" i="6"/>
  <c r="AT112" i="6"/>
  <c r="AH110" i="6"/>
  <c r="BX106" i="6"/>
  <c r="AH105" i="6"/>
  <c r="BX101" i="6"/>
  <c r="CL96" i="6"/>
  <c r="CL95" i="6"/>
  <c r="AT95" i="6"/>
  <c r="CM93" i="6"/>
  <c r="AH90" i="6"/>
  <c r="BX88" i="6"/>
  <c r="CN87" i="6"/>
  <c r="CL84" i="6"/>
  <c r="AT83" i="6"/>
  <c r="CM73" i="6"/>
  <c r="CL72" i="6"/>
  <c r="BW71" i="6"/>
  <c r="CL69" i="6"/>
  <c r="AT47" i="6"/>
  <c r="CL43" i="6"/>
  <c r="BV41" i="6"/>
  <c r="AT39" i="6"/>
  <c r="CL35" i="6"/>
  <c r="AU20" i="6"/>
  <c r="AW10" i="1"/>
  <c r="AW16" i="1"/>
  <c r="AW22" i="1"/>
  <c r="AW30" i="1"/>
  <c r="AW36" i="1"/>
  <c r="AW6" i="1"/>
  <c r="AW12" i="1"/>
  <c r="AW18" i="1"/>
  <c r="AW24" i="1"/>
  <c r="AW32" i="1"/>
  <c r="AW38" i="1"/>
  <c r="AW56" i="1"/>
  <c r="AW4" i="1"/>
  <c r="AW2" i="1"/>
  <c r="AW60" i="1"/>
  <c r="AW48" i="1"/>
  <c r="AW34" i="1"/>
  <c r="AW67" i="1"/>
  <c r="AW74" i="1"/>
  <c r="AW8" i="1"/>
  <c r="AW29" i="1"/>
  <c r="AW80" i="1"/>
  <c r="AW20" i="1"/>
  <c r="AW46" i="1"/>
  <c r="AW54" i="1"/>
  <c r="AW62" i="1"/>
  <c r="AW39" i="1"/>
  <c r="AW28" i="1"/>
  <c r="AW25" i="1"/>
  <c r="AW52" i="1"/>
  <c r="AW68" i="1"/>
  <c r="AW44" i="1"/>
  <c r="AW17" i="1"/>
  <c r="AW58" i="1"/>
  <c r="AW70" i="1"/>
  <c r="AW78" i="1"/>
  <c r="AW7" i="1"/>
  <c r="AW53" i="1"/>
  <c r="AW55" i="1"/>
  <c r="AW47" i="1"/>
  <c r="AW82" i="1"/>
  <c r="AW88" i="1"/>
  <c r="AW69" i="1"/>
  <c r="AW64" i="1"/>
  <c r="AW45" i="1"/>
  <c r="AW84" i="1"/>
  <c r="AW83" i="1"/>
  <c r="AW96" i="1"/>
  <c r="AW72" i="1"/>
  <c r="AW15" i="1"/>
  <c r="AW100" i="1"/>
  <c r="AW108" i="1"/>
  <c r="AW40" i="1"/>
  <c r="AW61" i="1"/>
  <c r="AW19" i="1"/>
  <c r="AW26" i="1"/>
  <c r="AW81" i="1"/>
  <c r="AW91" i="1"/>
  <c r="AW37" i="1"/>
  <c r="AW76" i="1"/>
  <c r="AW94" i="1"/>
  <c r="AW102" i="1"/>
  <c r="AW43" i="1"/>
  <c r="AW97" i="1"/>
  <c r="AW3" i="1"/>
  <c r="AW5" i="1"/>
  <c r="AW65" i="1"/>
  <c r="AW49" i="1"/>
  <c r="AW105" i="1"/>
  <c r="AW127" i="1"/>
  <c r="AW63" i="1"/>
  <c r="AW115" i="1"/>
  <c r="AW11" i="1"/>
  <c r="AW13" i="1"/>
  <c r="AW57" i="1"/>
  <c r="AW114" i="1"/>
  <c r="AW124" i="1"/>
  <c r="AW99" i="1"/>
  <c r="AI49" i="1"/>
  <c r="AW118" i="1"/>
  <c r="AI114" i="1"/>
  <c r="AW110" i="1"/>
  <c r="AI81" i="1"/>
  <c r="AX57" i="1"/>
  <c r="AW92" i="1"/>
  <c r="AY29" i="1"/>
  <c r="AI62" i="1"/>
  <c r="AX46" i="1"/>
  <c r="AI22" i="1"/>
  <c r="BH8" i="1"/>
  <c r="BH14" i="1"/>
  <c r="BH48" i="1"/>
  <c r="BH20" i="1"/>
  <c r="BH46" i="1"/>
  <c r="BH54" i="1"/>
  <c r="BH30" i="1"/>
  <c r="BH28" i="1"/>
  <c r="BH42" i="1"/>
  <c r="BH52" i="1"/>
  <c r="BH4" i="1"/>
  <c r="BH24" i="1"/>
  <c r="BH6" i="1"/>
  <c r="BH22" i="1"/>
  <c r="BH44" i="1"/>
  <c r="BH66" i="1"/>
  <c r="BH65" i="1"/>
  <c r="BH2" i="1"/>
  <c r="BH18" i="1"/>
  <c r="BH7" i="1"/>
  <c r="BH19" i="1"/>
  <c r="BH71" i="1"/>
  <c r="BH26" i="1"/>
  <c r="BH78" i="1"/>
  <c r="BH64" i="1"/>
  <c r="BH37" i="1"/>
  <c r="BH40" i="1"/>
  <c r="BH13" i="1"/>
  <c r="BH31" i="1"/>
  <c r="BH47" i="1"/>
  <c r="BH50" i="1"/>
  <c r="BH56" i="1"/>
  <c r="BH15" i="1"/>
  <c r="BH3" i="1"/>
  <c r="BH84" i="1"/>
  <c r="BH41" i="1"/>
  <c r="BH23" i="1"/>
  <c r="BH74" i="1"/>
  <c r="BH92" i="1"/>
  <c r="BH38" i="1"/>
  <c r="BH29" i="1"/>
  <c r="BH63" i="1"/>
  <c r="BH17" i="1"/>
  <c r="BH43" i="1"/>
  <c r="BH81" i="1"/>
  <c r="BH10" i="1"/>
  <c r="BH76" i="1"/>
  <c r="BH91" i="1"/>
  <c r="BH110" i="1"/>
  <c r="BH68" i="1"/>
  <c r="BH45" i="1"/>
  <c r="BH27" i="1"/>
  <c r="BH34" i="1"/>
  <c r="BH70" i="1"/>
  <c r="BH104" i="1"/>
  <c r="BH57" i="1"/>
  <c r="BH94" i="1"/>
  <c r="AR8" i="1"/>
  <c r="AR14" i="1"/>
  <c r="AR48" i="1"/>
  <c r="AR20" i="1"/>
  <c r="AR54" i="1"/>
  <c r="AR12" i="1"/>
  <c r="AR28" i="1"/>
  <c r="AR42" i="1"/>
  <c r="AR10" i="1"/>
  <c r="AR36" i="1"/>
  <c r="AR56" i="1"/>
  <c r="AR64" i="1"/>
  <c r="AR46" i="1"/>
  <c r="AR62" i="1"/>
  <c r="AR30" i="1"/>
  <c r="AR65" i="1"/>
  <c r="AR24" i="1"/>
  <c r="AR52" i="1"/>
  <c r="AR68" i="1"/>
  <c r="AR72" i="1"/>
  <c r="AR3" i="1"/>
  <c r="AR71" i="1"/>
  <c r="AR4" i="1"/>
  <c r="AR5" i="1"/>
  <c r="AR19" i="1"/>
  <c r="AR26" i="1"/>
  <c r="AR78" i="1"/>
  <c r="AR16" i="1"/>
  <c r="AR7" i="1"/>
  <c r="AR37" i="1"/>
  <c r="AR44" i="1"/>
  <c r="AR23" i="1"/>
  <c r="AR15" i="1"/>
  <c r="AR41" i="1"/>
  <c r="AR53" i="1"/>
  <c r="AR67" i="1"/>
  <c r="AR76" i="1"/>
  <c r="AR50" i="1"/>
  <c r="AR100" i="1"/>
  <c r="AR9" i="1"/>
  <c r="AR27" i="1"/>
  <c r="AR22" i="1"/>
  <c r="AR61" i="1"/>
  <c r="AR98" i="1"/>
  <c r="AR104" i="1"/>
  <c r="AR25" i="1"/>
  <c r="AR63" i="1"/>
  <c r="AR58" i="1"/>
  <c r="AR94" i="1"/>
  <c r="AR102" i="1"/>
  <c r="AR81" i="1"/>
  <c r="AR18" i="1"/>
  <c r="AR34" i="1"/>
  <c r="AR43" i="1"/>
  <c r="AR91" i="1"/>
  <c r="AR31" i="1"/>
  <c r="AR82" i="1"/>
  <c r="AR69" i="1"/>
  <c r="AR83" i="1"/>
  <c r="AR96" i="1"/>
  <c r="AR101" i="1"/>
  <c r="AR110" i="1"/>
  <c r="AR13" i="1"/>
  <c r="BF131" i="1"/>
  <c r="AP131" i="1"/>
  <c r="BG119" i="1"/>
  <c r="AQ119" i="1"/>
  <c r="BH75" i="1"/>
  <c r="AR75" i="1"/>
  <c r="BF85" i="1"/>
  <c r="AP85" i="1"/>
  <c r="BG128" i="1"/>
  <c r="AQ128" i="1"/>
  <c r="BH122" i="1"/>
  <c r="AR122" i="1"/>
  <c r="BH73" i="1"/>
  <c r="AQ73" i="1"/>
  <c r="BG35" i="1"/>
  <c r="AR21" i="1"/>
  <c r="BF96" i="1"/>
  <c r="AR89" i="1"/>
  <c r="AP80" i="1"/>
  <c r="AP45" i="1"/>
  <c r="AP23" i="1"/>
  <c r="AR17" i="1"/>
  <c r="BH12" i="1"/>
  <c r="BG14" i="1"/>
  <c r="BG20" i="1"/>
  <c r="BG28" i="1"/>
  <c r="BG46" i="1"/>
  <c r="BG30" i="1"/>
  <c r="BG64" i="1"/>
  <c r="BG10" i="1"/>
  <c r="BG24" i="1"/>
  <c r="BG40" i="1"/>
  <c r="BG4" i="1"/>
  <c r="BG13" i="1"/>
  <c r="BG2" i="1"/>
  <c r="BG60" i="1"/>
  <c r="BG18" i="1"/>
  <c r="BG7" i="1"/>
  <c r="BG19" i="1"/>
  <c r="BG71" i="1"/>
  <c r="BG26" i="1"/>
  <c r="BG78" i="1"/>
  <c r="BG48" i="1"/>
  <c r="BG37" i="1"/>
  <c r="BG84" i="1"/>
  <c r="BG47" i="1"/>
  <c r="BG50" i="1"/>
  <c r="BG56" i="1"/>
  <c r="BG3" i="1"/>
  <c r="BG41" i="1"/>
  <c r="BG6" i="1"/>
  <c r="BG22" i="1"/>
  <c r="BG42" i="1"/>
  <c r="BG65" i="1"/>
  <c r="BG74" i="1"/>
  <c r="BG82" i="1"/>
  <c r="BG38" i="1"/>
  <c r="BG29" i="1"/>
  <c r="BG63" i="1"/>
  <c r="BG17" i="1"/>
  <c r="BG43" i="1"/>
  <c r="BG81" i="1"/>
  <c r="BG76" i="1"/>
  <c r="BG91" i="1"/>
  <c r="BG31" i="1"/>
  <c r="BG90" i="1"/>
  <c r="BG101" i="1"/>
  <c r="BG68" i="1"/>
  <c r="BG45" i="1"/>
  <c r="BG27" i="1"/>
  <c r="BG34" i="1"/>
  <c r="BG52" i="1"/>
  <c r="BG70" i="1"/>
  <c r="BG104" i="1"/>
  <c r="BG57" i="1"/>
  <c r="BG94" i="1"/>
  <c r="BG103" i="1"/>
  <c r="AQ14" i="1"/>
  <c r="AQ20" i="1"/>
  <c r="AQ28" i="1"/>
  <c r="AQ44" i="1"/>
  <c r="AQ46" i="1"/>
  <c r="AQ42" i="1"/>
  <c r="AQ64" i="1"/>
  <c r="AQ8" i="1"/>
  <c r="AQ22" i="1"/>
  <c r="AQ38" i="1"/>
  <c r="AQ62" i="1"/>
  <c r="AQ13" i="1"/>
  <c r="AQ18" i="1"/>
  <c r="AQ24" i="1"/>
  <c r="AQ52" i="1"/>
  <c r="AQ68" i="1"/>
  <c r="AQ72" i="1"/>
  <c r="AQ3" i="1"/>
  <c r="AQ71" i="1"/>
  <c r="AQ4" i="1"/>
  <c r="AQ5" i="1"/>
  <c r="AQ19" i="1"/>
  <c r="AQ26" i="1"/>
  <c r="AQ78" i="1"/>
  <c r="AQ16" i="1"/>
  <c r="AQ7" i="1"/>
  <c r="AQ37" i="1"/>
  <c r="AQ84" i="1"/>
  <c r="AQ12" i="1"/>
  <c r="AQ50" i="1"/>
  <c r="AQ66" i="1"/>
  <c r="AQ47" i="1"/>
  <c r="AQ23" i="1"/>
  <c r="AQ41" i="1"/>
  <c r="AQ53" i="1"/>
  <c r="AQ67" i="1"/>
  <c r="AQ76" i="1"/>
  <c r="AQ10" i="1"/>
  <c r="AQ30" i="1"/>
  <c r="AQ32" i="1"/>
  <c r="AQ60" i="1"/>
  <c r="AQ31" i="1"/>
  <c r="AQ61" i="1"/>
  <c r="AQ98" i="1"/>
  <c r="AQ104" i="1"/>
  <c r="AQ25" i="1"/>
  <c r="AQ63" i="1"/>
  <c r="AQ36" i="1"/>
  <c r="AQ58" i="1"/>
  <c r="AQ94" i="1"/>
  <c r="AQ102" i="1"/>
  <c r="AQ15" i="1"/>
  <c r="AQ81" i="1"/>
  <c r="AQ34" i="1"/>
  <c r="AQ43" i="1"/>
  <c r="AQ91" i="1"/>
  <c r="AQ48" i="1"/>
  <c r="AQ54" i="1"/>
  <c r="AQ65" i="1"/>
  <c r="AQ86" i="1"/>
  <c r="AQ92" i="1"/>
  <c r="AQ101" i="1"/>
  <c r="AQ110" i="1"/>
  <c r="AQ88" i="1"/>
  <c r="AQ90" i="1"/>
  <c r="BF119" i="1"/>
  <c r="AP119" i="1"/>
  <c r="BG75" i="1"/>
  <c r="AQ75" i="1"/>
  <c r="BH132" i="1"/>
  <c r="AR132" i="1"/>
  <c r="BF128" i="1"/>
  <c r="AP128" i="1"/>
  <c r="BG122" i="1"/>
  <c r="AQ122" i="1"/>
  <c r="BH113" i="1"/>
  <c r="AR113" i="1"/>
  <c r="BG73" i="1"/>
  <c r="AP73" i="1"/>
  <c r="BF35" i="1"/>
  <c r="AQ21" i="1"/>
  <c r="BH108" i="1"/>
  <c r="AQ89" i="1"/>
  <c r="BH98" i="1"/>
  <c r="BH58" i="1"/>
  <c r="AR39" i="1"/>
  <c r="AQ17" i="1"/>
  <c r="AR40" i="1"/>
  <c r="BG12" i="1"/>
  <c r="BG8" i="1"/>
  <c r="BF20" i="1"/>
  <c r="BF28" i="1"/>
  <c r="BF34" i="1"/>
  <c r="BF46" i="1"/>
  <c r="BF54" i="1"/>
  <c r="BF14" i="1"/>
  <c r="BF30" i="1"/>
  <c r="BF10" i="1"/>
  <c r="BF24" i="1"/>
  <c r="BF40" i="1"/>
  <c r="BF72" i="1"/>
  <c r="BF6" i="1"/>
  <c r="BF13" i="1"/>
  <c r="BF2" i="1"/>
  <c r="BF60" i="1"/>
  <c r="BF12" i="1"/>
  <c r="BF38" i="1"/>
  <c r="BF26" i="1"/>
  <c r="BF78" i="1"/>
  <c r="BF48" i="1"/>
  <c r="BF37" i="1"/>
  <c r="BF84" i="1"/>
  <c r="BF64" i="1"/>
  <c r="BF47" i="1"/>
  <c r="BF90" i="1"/>
  <c r="BF56" i="1"/>
  <c r="BF61" i="1"/>
  <c r="BF3" i="1"/>
  <c r="BF4" i="1"/>
  <c r="BF22" i="1"/>
  <c r="BF42" i="1"/>
  <c r="BF65" i="1"/>
  <c r="BF74" i="1"/>
  <c r="BF82" i="1"/>
  <c r="BF19" i="1"/>
  <c r="BF29" i="1"/>
  <c r="BF45" i="1"/>
  <c r="BF100" i="1"/>
  <c r="BF17" i="1"/>
  <c r="BF43" i="1"/>
  <c r="BF76" i="1"/>
  <c r="BF91" i="1"/>
  <c r="BF31" i="1"/>
  <c r="BF101" i="1"/>
  <c r="BF36" i="1"/>
  <c r="BF80" i="1"/>
  <c r="BF108" i="1"/>
  <c r="BF52" i="1"/>
  <c r="BF70" i="1"/>
  <c r="BF104" i="1"/>
  <c r="BF57" i="1"/>
  <c r="BF94" i="1"/>
  <c r="BF103" i="1"/>
  <c r="BF16" i="1"/>
  <c r="BF7" i="1"/>
  <c r="BF9" i="1"/>
  <c r="AP20" i="1"/>
  <c r="AP28" i="1"/>
  <c r="AP34" i="1"/>
  <c r="AP54" i="1"/>
  <c r="AP46" i="1"/>
  <c r="AP42" i="1"/>
  <c r="AP8" i="1"/>
  <c r="AP22" i="1"/>
  <c r="AP38" i="1"/>
  <c r="AP72" i="1"/>
  <c r="AP4" i="1"/>
  <c r="AP18" i="1"/>
  <c r="AP62" i="1"/>
  <c r="AP64" i="1"/>
  <c r="AP13" i="1"/>
  <c r="AP50" i="1"/>
  <c r="AP5" i="1"/>
  <c r="AP19" i="1"/>
  <c r="AP26" i="1"/>
  <c r="AP78" i="1"/>
  <c r="AP16" i="1"/>
  <c r="AP7" i="1"/>
  <c r="AP37" i="1"/>
  <c r="AP84" i="1"/>
  <c r="AP12" i="1"/>
  <c r="AP66" i="1"/>
  <c r="AP47" i="1"/>
  <c r="AP90" i="1"/>
  <c r="AP61" i="1"/>
  <c r="AP53" i="1"/>
  <c r="AP67" i="1"/>
  <c r="AP76" i="1"/>
  <c r="AP10" i="1"/>
  <c r="AP30" i="1"/>
  <c r="AP32" i="1"/>
  <c r="AP60" i="1"/>
  <c r="AP31" i="1"/>
  <c r="AP100" i="1"/>
  <c r="AP36" i="1"/>
  <c r="AP58" i="1"/>
  <c r="AP94" i="1"/>
  <c r="AP102" i="1"/>
  <c r="AP15" i="1"/>
  <c r="AP41" i="1"/>
  <c r="AP43" i="1"/>
  <c r="AP91" i="1"/>
  <c r="AP48" i="1"/>
  <c r="AP65" i="1"/>
  <c r="AP86" i="1"/>
  <c r="AP92" i="1"/>
  <c r="AP101" i="1"/>
  <c r="AP52" i="1"/>
  <c r="AP68" i="1"/>
  <c r="AP108" i="1"/>
  <c r="AP88" i="1"/>
  <c r="AP44" i="1"/>
  <c r="AP3" i="1"/>
  <c r="AP71" i="1"/>
  <c r="AP25" i="1"/>
  <c r="AP63" i="1"/>
  <c r="BF75" i="1"/>
  <c r="AP75" i="1"/>
  <c r="BG132" i="1"/>
  <c r="AQ132" i="1"/>
  <c r="BH125" i="1"/>
  <c r="AR125" i="1"/>
  <c r="BF122" i="1"/>
  <c r="AP122" i="1"/>
  <c r="BG113" i="1"/>
  <c r="AQ113" i="1"/>
  <c r="BH93" i="1"/>
  <c r="AR93" i="1"/>
  <c r="BF73" i="1"/>
  <c r="BH21" i="1"/>
  <c r="AP21" i="1"/>
  <c r="AR118" i="1"/>
  <c r="AP110" i="1"/>
  <c r="BG108" i="1"/>
  <c r="AR106" i="1"/>
  <c r="AP89" i="1"/>
  <c r="BG98" i="1"/>
  <c r="BH61" i="1"/>
  <c r="BG58" i="1"/>
  <c r="AQ39" i="1"/>
  <c r="AP17" i="1"/>
  <c r="BH60" i="1"/>
  <c r="AQ40" i="1"/>
  <c r="BH16" i="1"/>
  <c r="BF8" i="1"/>
  <c r="BG21" i="1"/>
  <c r="AR120" i="1"/>
  <c r="AQ118" i="1"/>
  <c r="AR116" i="1"/>
  <c r="AR114" i="1"/>
  <c r="AQ106" i="1"/>
  <c r="BH77" i="1"/>
  <c r="BF98" i="1"/>
  <c r="BG61" i="1"/>
  <c r="BF58" i="1"/>
  <c r="AP39" i="1"/>
  <c r="AP40" i="1"/>
  <c r="AR32" i="1"/>
  <c r="BG16" i="1"/>
  <c r="CI102" i="6"/>
  <c r="BS54" i="6"/>
  <c r="AN123" i="6"/>
  <c r="CI110" i="6"/>
  <c r="BD65" i="6"/>
  <c r="BG63" i="6"/>
  <c r="CI18" i="6"/>
  <c r="BG110" i="6"/>
  <c r="CF108" i="6"/>
  <c r="AN96" i="6"/>
  <c r="AQ86" i="6"/>
  <c r="BP77" i="6"/>
  <c r="BG55" i="6"/>
  <c r="BD8" i="6"/>
  <c r="BD3" i="6"/>
  <c r="CF102" i="6"/>
  <c r="BG34" i="6"/>
  <c r="AQ115" i="6"/>
  <c r="BP106" i="6"/>
  <c r="BD80" i="6"/>
  <c r="AQ43" i="6"/>
  <c r="AJ132" i="6"/>
  <c r="AZ109" i="6"/>
  <c r="AJ98" i="6"/>
  <c r="AZ94" i="6"/>
  <c r="AQ91" i="6"/>
  <c r="BD56" i="6"/>
  <c r="BD29" i="6"/>
  <c r="AJ14" i="6"/>
  <c r="BG132" i="6"/>
  <c r="BP118" i="6"/>
  <c r="AY100" i="6"/>
  <c r="BG97" i="6"/>
  <c r="AY94" i="6"/>
  <c r="CB91" i="6"/>
  <c r="AZ88" i="6"/>
  <c r="BG75" i="6"/>
  <c r="AQ66" i="6"/>
  <c r="CB51" i="6"/>
  <c r="AI43" i="6"/>
  <c r="BP5" i="6"/>
  <c r="BS134" i="6"/>
  <c r="AX129" i="6"/>
  <c r="CI4" i="6"/>
  <c r="CI8" i="6"/>
  <c r="CI12" i="6"/>
  <c r="CI16" i="6"/>
  <c r="CI9" i="6"/>
  <c r="CI19" i="6"/>
  <c r="CI6" i="6"/>
  <c r="CI13" i="6"/>
  <c r="CI21" i="6"/>
  <c r="CI23" i="6"/>
  <c r="CI24" i="6"/>
  <c r="CI5" i="6"/>
  <c r="CI27" i="6"/>
  <c r="CI35" i="6"/>
  <c r="CI37" i="6"/>
  <c r="CI39" i="6"/>
  <c r="CI43" i="6"/>
  <c r="CI47" i="6"/>
  <c r="CI34" i="6"/>
  <c r="CI25" i="6"/>
  <c r="CI31" i="6"/>
  <c r="CI60" i="6"/>
  <c r="CI64" i="6"/>
  <c r="CI49" i="6"/>
  <c r="CI55" i="6"/>
  <c r="CI10" i="6"/>
  <c r="CI46" i="6"/>
  <c r="CI42" i="6"/>
  <c r="CI54" i="6"/>
  <c r="CI57" i="6"/>
  <c r="CI40" i="6"/>
  <c r="CI51" i="6"/>
  <c r="CI66" i="6"/>
  <c r="CI72" i="6"/>
  <c r="CI73" i="6"/>
  <c r="CI77" i="6"/>
  <c r="CI3" i="6"/>
  <c r="CI33" i="6"/>
  <c r="CI65" i="6"/>
  <c r="CI78" i="6"/>
  <c r="CI85" i="6"/>
  <c r="CI96" i="6"/>
  <c r="CI103" i="6"/>
  <c r="CI121" i="6"/>
  <c r="CI123" i="6"/>
  <c r="CI14" i="6"/>
  <c r="CI17" i="6"/>
  <c r="CI26" i="6"/>
  <c r="CI29" i="6"/>
  <c r="CI38" i="6"/>
  <c r="CI125" i="6"/>
  <c r="CI127" i="6"/>
  <c r="CI133" i="6"/>
  <c r="CI15" i="6"/>
  <c r="CI53" i="6"/>
  <c r="CI68" i="6"/>
  <c r="CI71" i="6"/>
  <c r="CI89" i="6"/>
  <c r="CI97" i="6"/>
  <c r="CI104" i="6"/>
  <c r="CI105" i="6"/>
  <c r="CI115" i="6"/>
  <c r="CI116" i="6"/>
  <c r="CI126" i="6"/>
  <c r="CI74" i="6"/>
  <c r="CI76" i="6"/>
  <c r="CI134" i="6"/>
  <c r="CI20" i="6"/>
  <c r="CI50" i="6"/>
  <c r="CI59" i="6"/>
  <c r="CI63" i="6"/>
  <c r="CI80" i="6"/>
  <c r="CI81" i="6"/>
  <c r="CI88" i="6"/>
  <c r="CI7" i="6"/>
  <c r="CI36" i="6"/>
  <c r="CI44" i="6"/>
  <c r="CI82" i="6"/>
  <c r="CI28" i="6"/>
  <c r="CI98" i="6"/>
  <c r="CI101" i="6"/>
  <c r="CI30" i="6"/>
  <c r="CI62" i="6"/>
  <c r="CI69" i="6"/>
  <c r="CI75" i="6"/>
  <c r="CI130" i="6"/>
  <c r="CI52" i="6"/>
  <c r="CI83" i="6"/>
  <c r="CI90" i="6"/>
  <c r="CI91" i="6"/>
  <c r="CI92" i="6"/>
  <c r="CI119" i="6"/>
  <c r="CI67" i="6"/>
  <c r="CI93" i="6"/>
  <c r="CI131" i="6"/>
  <c r="CI106" i="6"/>
  <c r="CI114" i="6"/>
  <c r="CI32" i="6"/>
  <c r="CI45" i="6"/>
  <c r="CI56" i="6"/>
  <c r="CI94" i="6"/>
  <c r="CI109" i="6"/>
  <c r="CI124" i="6"/>
  <c r="CI129" i="6"/>
  <c r="BS126" i="6"/>
  <c r="AQ123" i="6"/>
  <c r="CI99" i="6"/>
  <c r="CI86" i="6"/>
  <c r="BD5" i="6"/>
  <c r="BD9" i="6"/>
  <c r="BD13" i="6"/>
  <c r="BD17" i="6"/>
  <c r="BD21" i="6"/>
  <c r="BD25" i="6"/>
  <c r="BD26" i="6"/>
  <c r="BD12" i="6"/>
  <c r="BD16" i="6"/>
  <c r="BD27" i="6"/>
  <c r="BD32" i="6"/>
  <c r="BD36" i="6"/>
  <c r="BD18" i="6"/>
  <c r="BD7" i="6"/>
  <c r="BD19" i="6"/>
  <c r="BD30" i="6"/>
  <c r="BD31" i="6"/>
  <c r="BD43" i="6"/>
  <c r="BD47" i="6"/>
  <c r="BD51" i="6"/>
  <c r="BD55" i="6"/>
  <c r="BD59" i="6"/>
  <c r="BD38" i="6"/>
  <c r="BD44" i="6"/>
  <c r="BD45" i="6"/>
  <c r="BD46" i="6"/>
  <c r="BD37" i="6"/>
  <c r="BD60" i="6"/>
  <c r="BD64" i="6"/>
  <c r="BD68" i="6"/>
  <c r="BD72" i="6"/>
  <c r="BD76" i="6"/>
  <c r="BD24" i="6"/>
  <c r="BD33" i="6"/>
  <c r="BD42" i="6"/>
  <c r="BD74" i="6"/>
  <c r="BD52" i="6"/>
  <c r="BD61" i="6"/>
  <c r="BD62" i="6"/>
  <c r="BD63" i="6"/>
  <c r="BD34" i="6"/>
  <c r="BD40" i="6"/>
  <c r="BD23" i="6"/>
  <c r="BD111" i="6"/>
  <c r="BD22" i="6"/>
  <c r="BD28" i="6"/>
  <c r="BD70" i="6"/>
  <c r="BD88" i="6"/>
  <c r="BD95" i="6"/>
  <c r="BD102" i="6"/>
  <c r="BD109" i="6"/>
  <c r="BD113" i="6"/>
  <c r="BD115" i="6"/>
  <c r="BD54" i="6"/>
  <c r="BD78" i="6"/>
  <c r="BD110" i="6"/>
  <c r="BD122" i="6"/>
  <c r="BD123" i="6"/>
  <c r="BD6" i="6"/>
  <c r="BD39" i="6"/>
  <c r="BD69" i="6"/>
  <c r="BD85" i="6"/>
  <c r="BD92" i="6"/>
  <c r="BD93" i="6"/>
  <c r="BD100" i="6"/>
  <c r="BD101" i="6"/>
  <c r="BD108" i="6"/>
  <c r="BD112" i="6"/>
  <c r="BD10" i="6"/>
  <c r="BD50" i="6"/>
  <c r="BD48" i="6"/>
  <c r="BD57" i="6"/>
  <c r="BD4" i="6"/>
  <c r="BD35" i="6"/>
  <c r="BD99" i="6"/>
  <c r="BD77" i="6"/>
  <c r="BD89" i="6"/>
  <c r="BD94" i="6"/>
  <c r="BD83" i="6"/>
  <c r="BD58" i="6"/>
  <c r="BD71" i="6"/>
  <c r="BD66" i="6"/>
  <c r="BD91" i="6"/>
  <c r="BD121" i="6"/>
  <c r="BD129" i="6"/>
  <c r="BD135" i="6"/>
  <c r="BD82" i="6"/>
  <c r="BD104" i="6"/>
  <c r="BD132" i="6"/>
  <c r="BD103" i="6"/>
  <c r="BD134" i="6"/>
  <c r="BD118" i="6"/>
  <c r="BD81" i="6"/>
  <c r="BD125" i="6"/>
  <c r="BD96" i="6"/>
  <c r="BD14" i="6"/>
  <c r="BD133" i="6"/>
  <c r="BD67" i="6"/>
  <c r="BD128" i="6"/>
  <c r="BD107" i="6"/>
  <c r="AN132" i="6"/>
  <c r="BD87" i="6"/>
  <c r="CF49" i="6"/>
  <c r="CI48" i="6"/>
  <c r="CF27" i="6"/>
  <c r="BG128" i="6"/>
  <c r="AN107" i="6"/>
  <c r="BG100" i="6"/>
  <c r="BG47" i="6"/>
  <c r="BG104" i="6"/>
  <c r="BG95" i="6"/>
  <c r="AN61" i="6"/>
  <c r="AQ31" i="6"/>
  <c r="BP2" i="6"/>
  <c r="BG133" i="6"/>
  <c r="CF110" i="6"/>
  <c r="CF91" i="6"/>
  <c r="AN81" i="6"/>
  <c r="AN14" i="6"/>
  <c r="CI11" i="6"/>
  <c r="AZ100" i="6"/>
  <c r="AN83" i="6"/>
  <c r="AJ43" i="6"/>
  <c r="CF41" i="6"/>
  <c r="CI22" i="6"/>
  <c r="AY109" i="6"/>
  <c r="CI87" i="6"/>
  <c r="AZ80" i="6"/>
  <c r="AN65" i="6"/>
  <c r="CI61" i="6"/>
  <c r="AZ55" i="6"/>
  <c r="CB35" i="6"/>
  <c r="AY29" i="6"/>
  <c r="BZ18" i="6"/>
  <c r="BZ11" i="6"/>
  <c r="BZ20" i="6"/>
  <c r="BZ22" i="6"/>
  <c r="BZ24" i="6"/>
  <c r="BZ27" i="6"/>
  <c r="BZ26" i="6"/>
  <c r="BZ30" i="6"/>
  <c r="BZ21" i="6"/>
  <c r="BZ13" i="6"/>
  <c r="BZ16" i="6"/>
  <c r="BZ34" i="6"/>
  <c r="BZ36" i="6"/>
  <c r="BZ41" i="6"/>
  <c r="BZ45" i="6"/>
  <c r="BZ8" i="6"/>
  <c r="BZ19" i="6"/>
  <c r="BZ38" i="6"/>
  <c r="BZ29" i="6"/>
  <c r="BZ42" i="6"/>
  <c r="BZ43" i="6"/>
  <c r="BZ44" i="6"/>
  <c r="BZ62" i="6"/>
  <c r="BZ66" i="6"/>
  <c r="BZ15" i="6"/>
  <c r="BZ37" i="6"/>
  <c r="BZ50" i="6"/>
  <c r="BZ52" i="6"/>
  <c r="BZ17" i="6"/>
  <c r="BZ59" i="6"/>
  <c r="BZ60" i="6"/>
  <c r="BZ61" i="6"/>
  <c r="BZ23" i="6"/>
  <c r="BZ58" i="6"/>
  <c r="BZ25" i="6"/>
  <c r="BZ76" i="6"/>
  <c r="BZ4" i="6"/>
  <c r="BZ55" i="6"/>
  <c r="BZ65" i="6"/>
  <c r="BZ78" i="6"/>
  <c r="BZ82" i="6"/>
  <c r="BZ86" i="6"/>
  <c r="BZ90" i="6"/>
  <c r="BZ94" i="6"/>
  <c r="BZ98" i="6"/>
  <c r="BZ102" i="6"/>
  <c r="BZ106" i="6"/>
  <c r="BZ110" i="6"/>
  <c r="BZ114" i="6"/>
  <c r="BZ118" i="6"/>
  <c r="BZ122" i="6"/>
  <c r="BZ126" i="6"/>
  <c r="BZ70" i="6"/>
  <c r="BZ124" i="6"/>
  <c r="BZ131" i="6"/>
  <c r="BZ135" i="6"/>
  <c r="BZ80" i="6"/>
  <c r="BZ87" i="6"/>
  <c r="BZ105" i="6"/>
  <c r="BZ128" i="6"/>
  <c r="BZ32" i="6"/>
  <c r="BZ40" i="6"/>
  <c r="BZ72" i="6"/>
  <c r="BZ109" i="6"/>
  <c r="BZ121" i="6"/>
  <c r="BZ49" i="6"/>
  <c r="BZ85" i="6"/>
  <c r="BZ93" i="6"/>
  <c r="BZ101" i="6"/>
  <c r="BZ133" i="6"/>
  <c r="BZ7" i="6"/>
  <c r="BZ31" i="6"/>
  <c r="BZ35" i="6"/>
  <c r="BZ130" i="6"/>
  <c r="BZ6" i="6"/>
  <c r="BZ75" i="6"/>
  <c r="BZ53" i="6"/>
  <c r="BZ3" i="6"/>
  <c r="BZ14" i="6"/>
  <c r="BZ47" i="6"/>
  <c r="BZ69" i="6"/>
  <c r="BZ56" i="6"/>
  <c r="BZ104" i="6"/>
  <c r="BZ12" i="6"/>
  <c r="BZ48" i="6"/>
  <c r="BZ83" i="6"/>
  <c r="BZ84" i="6"/>
  <c r="BZ92" i="6"/>
  <c r="BZ63" i="6"/>
  <c r="BZ97" i="6"/>
  <c r="BZ28" i="6"/>
  <c r="BZ39" i="6"/>
  <c r="BZ54" i="6"/>
  <c r="BZ64" i="6"/>
  <c r="BZ73" i="6"/>
  <c r="BZ46" i="6"/>
  <c r="BZ107" i="6"/>
  <c r="BZ113" i="6"/>
  <c r="BZ95" i="6"/>
  <c r="BZ125" i="6"/>
  <c r="BZ71" i="6"/>
  <c r="BZ33" i="6"/>
  <c r="BZ115" i="6"/>
  <c r="BZ96" i="6"/>
  <c r="BZ123" i="6"/>
  <c r="BZ134" i="6"/>
  <c r="BZ100" i="6"/>
  <c r="BZ129" i="6"/>
  <c r="CI120" i="6"/>
  <c r="AN112" i="6"/>
  <c r="BD97" i="6"/>
  <c r="AX94" i="6"/>
  <c r="CB60" i="6"/>
  <c r="CA51" i="6"/>
  <c r="BD20" i="6"/>
  <c r="BS11" i="6"/>
  <c r="BZ127" i="6"/>
  <c r="CB124" i="6"/>
  <c r="CI95" i="6"/>
  <c r="BS93" i="6"/>
  <c r="BG89" i="6"/>
  <c r="AX68" i="6"/>
  <c r="CB50" i="6"/>
  <c r="CF36" i="6"/>
  <c r="AX22" i="6"/>
  <c r="BD11" i="6"/>
  <c r="CA132" i="6"/>
  <c r="AZ122" i="6"/>
  <c r="CF120" i="6"/>
  <c r="BZ119" i="6"/>
  <c r="AZ119" i="6"/>
  <c r="CI117" i="6"/>
  <c r="AJ115" i="6"/>
  <c r="BS96" i="6"/>
  <c r="BS94" i="6"/>
  <c r="CB88" i="6"/>
  <c r="BP86" i="6"/>
  <c r="BD84" i="6"/>
  <c r="CA81" i="6"/>
  <c r="BS78" i="6"/>
  <c r="BD75" i="6"/>
  <c r="BP74" i="6"/>
  <c r="AJ69" i="6"/>
  <c r="BP60" i="6"/>
  <c r="CA50" i="6"/>
  <c r="BD49" i="6"/>
  <c r="BD41" i="6"/>
  <c r="BD15" i="6"/>
  <c r="AX9" i="6"/>
  <c r="BG5" i="6"/>
  <c r="BG9" i="6"/>
  <c r="BG13" i="6"/>
  <c r="BG17" i="6"/>
  <c r="BG11" i="6"/>
  <c r="BG18" i="6"/>
  <c r="BG22" i="6"/>
  <c r="BG24" i="6"/>
  <c r="BG8" i="6"/>
  <c r="BG15" i="6"/>
  <c r="BG14" i="6"/>
  <c r="BG3" i="6"/>
  <c r="BG21" i="6"/>
  <c r="BG29" i="6"/>
  <c r="BG12" i="6"/>
  <c r="BG26" i="6"/>
  <c r="BG40" i="6"/>
  <c r="BG44" i="6"/>
  <c r="BG48" i="6"/>
  <c r="BG6" i="6"/>
  <c r="BG41" i="6"/>
  <c r="BG42" i="6"/>
  <c r="BG43" i="6"/>
  <c r="BG50" i="6"/>
  <c r="BG33" i="6"/>
  <c r="BG52" i="6"/>
  <c r="BG54" i="6"/>
  <c r="BG61" i="6"/>
  <c r="BG65" i="6"/>
  <c r="BG56" i="6"/>
  <c r="BG58" i="6"/>
  <c r="BG20" i="6"/>
  <c r="BG28" i="6"/>
  <c r="BG53" i="6"/>
  <c r="BG4" i="6"/>
  <c r="BG37" i="6"/>
  <c r="BG60" i="6"/>
  <c r="BG68" i="6"/>
  <c r="BG7" i="6"/>
  <c r="BG59" i="6"/>
  <c r="BG19" i="6"/>
  <c r="BG23" i="6"/>
  <c r="BG30" i="6"/>
  <c r="BG80" i="6"/>
  <c r="BG87" i="6"/>
  <c r="BG94" i="6"/>
  <c r="BG105" i="6"/>
  <c r="BG39" i="6"/>
  <c r="BG130" i="6"/>
  <c r="BG134" i="6"/>
  <c r="BG36" i="6"/>
  <c r="BG71" i="6"/>
  <c r="BG79" i="6"/>
  <c r="BG102" i="6"/>
  <c r="BG109" i="6"/>
  <c r="BG25" i="6"/>
  <c r="BG46" i="6"/>
  <c r="BG64" i="6"/>
  <c r="BG74" i="6"/>
  <c r="BG27" i="6"/>
  <c r="BG57" i="6"/>
  <c r="BG85" i="6"/>
  <c r="BG86" i="6"/>
  <c r="BG93" i="6"/>
  <c r="BG101" i="6"/>
  <c r="BG78" i="6"/>
  <c r="BG32" i="6"/>
  <c r="BG51" i="6"/>
  <c r="BG38" i="6"/>
  <c r="BG82" i="6"/>
  <c r="BG49" i="6"/>
  <c r="BG96" i="6"/>
  <c r="BG16" i="6"/>
  <c r="BG35" i="6"/>
  <c r="BG99" i="6"/>
  <c r="BG124" i="6"/>
  <c r="BG2" i="6"/>
  <c r="BG118" i="6"/>
  <c r="BG81" i="6"/>
  <c r="BG66" i="6"/>
  <c r="BG91" i="6"/>
  <c r="BG92" i="6"/>
  <c r="BG106" i="6"/>
  <c r="BG116" i="6"/>
  <c r="BG72" i="6"/>
  <c r="BG77" i="6"/>
  <c r="BG111" i="6"/>
  <c r="BG121" i="6"/>
  <c r="BG129" i="6"/>
  <c r="BG103" i="6"/>
  <c r="BG76" i="6"/>
  <c r="BG123" i="6"/>
  <c r="BG126" i="6"/>
  <c r="BG10" i="6"/>
  <c r="BG83" i="6"/>
  <c r="BG113" i="6"/>
  <c r="BG135" i="6"/>
  <c r="BG31" i="6"/>
  <c r="BS4" i="6"/>
  <c r="BS8" i="6"/>
  <c r="BS12" i="6"/>
  <c r="BS16" i="6"/>
  <c r="BS5" i="6"/>
  <c r="BS9" i="6"/>
  <c r="BS19" i="6"/>
  <c r="BS6" i="6"/>
  <c r="BS23" i="6"/>
  <c r="BS32" i="6"/>
  <c r="BS35" i="6"/>
  <c r="BS43" i="6"/>
  <c r="BS47" i="6"/>
  <c r="BS37" i="6"/>
  <c r="BS39" i="6"/>
  <c r="BS15" i="6"/>
  <c r="BS20" i="6"/>
  <c r="BS30" i="6"/>
  <c r="BS36" i="6"/>
  <c r="BS60" i="6"/>
  <c r="BS64" i="6"/>
  <c r="BS10" i="6"/>
  <c r="BS50" i="6"/>
  <c r="BS65" i="6"/>
  <c r="BS66" i="6"/>
  <c r="BS13" i="6"/>
  <c r="BS18" i="6"/>
  <c r="BS25" i="6"/>
  <c r="BS45" i="6"/>
  <c r="BS49" i="6"/>
  <c r="BS41" i="6"/>
  <c r="BS53" i="6"/>
  <c r="BS56" i="6"/>
  <c r="BS59" i="6"/>
  <c r="BS61" i="6"/>
  <c r="BS70" i="6"/>
  <c r="BS71" i="6"/>
  <c r="BS34" i="6"/>
  <c r="BS76" i="6"/>
  <c r="BS77" i="6"/>
  <c r="BS81" i="6"/>
  <c r="BS92" i="6"/>
  <c r="BS99" i="6"/>
  <c r="BS106" i="6"/>
  <c r="BS117" i="6"/>
  <c r="BS119" i="6"/>
  <c r="BS63" i="6"/>
  <c r="BS69" i="6"/>
  <c r="BS121" i="6"/>
  <c r="BS123" i="6"/>
  <c r="BS133" i="6"/>
  <c r="BS40" i="6"/>
  <c r="BS51" i="6"/>
  <c r="BS31" i="6"/>
  <c r="BS52" i="6"/>
  <c r="BS62" i="6"/>
  <c r="BS83" i="6"/>
  <c r="BS91" i="6"/>
  <c r="BS125" i="6"/>
  <c r="BS2" i="6"/>
  <c r="BS7" i="6"/>
  <c r="BS58" i="6"/>
  <c r="BS113" i="6"/>
  <c r="BS114" i="6"/>
  <c r="BS131" i="6"/>
  <c r="BS73" i="6"/>
  <c r="BS82" i="6"/>
  <c r="BS90" i="6"/>
  <c r="BS98" i="6"/>
  <c r="BS38" i="6"/>
  <c r="BS67" i="6"/>
  <c r="BS3" i="6"/>
  <c r="BS84" i="6"/>
  <c r="BS55" i="6"/>
  <c r="BS17" i="6"/>
  <c r="BS28" i="6"/>
  <c r="BS46" i="6"/>
  <c r="BS48" i="6"/>
  <c r="BS22" i="6"/>
  <c r="BS29" i="6"/>
  <c r="BS44" i="6"/>
  <c r="BS74" i="6"/>
  <c r="BS80" i="6"/>
  <c r="BS100" i="6"/>
  <c r="BS24" i="6"/>
  <c r="BS14" i="6"/>
  <c r="BS42" i="6"/>
  <c r="BS85" i="6"/>
  <c r="BS86" i="6"/>
  <c r="BS115" i="6"/>
  <c r="BS120" i="6"/>
  <c r="BS132" i="6"/>
  <c r="BS75" i="6"/>
  <c r="BS101" i="6"/>
  <c r="BS97" i="6"/>
  <c r="BS87" i="6"/>
  <c r="BS88" i="6"/>
  <c r="BS110" i="6"/>
  <c r="BS68" i="6"/>
  <c r="BS122" i="6"/>
  <c r="BS72" i="6"/>
  <c r="BS127" i="6"/>
  <c r="BS21" i="6"/>
  <c r="BS79" i="6"/>
  <c r="BS112" i="6"/>
  <c r="BS27" i="6"/>
  <c r="BS89" i="6"/>
  <c r="BS105" i="6"/>
  <c r="BS108" i="6"/>
  <c r="BS57" i="6"/>
  <c r="AQ132" i="6"/>
  <c r="BS104" i="6"/>
  <c r="BG69" i="6"/>
  <c r="CI107" i="6"/>
  <c r="CF4" i="6"/>
  <c r="CF8" i="6"/>
  <c r="CF12" i="6"/>
  <c r="CF16" i="6"/>
  <c r="CF20" i="6"/>
  <c r="CF24" i="6"/>
  <c r="CF25" i="6"/>
  <c r="CF10" i="6"/>
  <c r="CF17" i="6"/>
  <c r="CF11" i="6"/>
  <c r="CF14" i="6"/>
  <c r="CF28" i="6"/>
  <c r="CF3" i="6"/>
  <c r="CF23" i="6"/>
  <c r="CF31" i="6"/>
  <c r="CF35" i="6"/>
  <c r="CF39" i="6"/>
  <c r="CF7" i="6"/>
  <c r="CF18" i="6"/>
  <c r="CF21" i="6"/>
  <c r="CF33" i="6"/>
  <c r="CF6" i="6"/>
  <c r="CF26" i="6"/>
  <c r="CF42" i="6"/>
  <c r="CF46" i="6"/>
  <c r="CF50" i="6"/>
  <c r="CF54" i="6"/>
  <c r="CF58" i="6"/>
  <c r="CF29" i="6"/>
  <c r="CF51" i="6"/>
  <c r="CF53" i="6"/>
  <c r="CF22" i="6"/>
  <c r="CF55" i="6"/>
  <c r="CF57" i="6"/>
  <c r="CF59" i="6"/>
  <c r="CF63" i="6"/>
  <c r="CF67" i="6"/>
  <c r="CF71" i="6"/>
  <c r="CF75" i="6"/>
  <c r="CF5" i="6"/>
  <c r="CF48" i="6"/>
  <c r="CF19" i="6"/>
  <c r="CF44" i="6"/>
  <c r="CF69" i="6"/>
  <c r="CF15" i="6"/>
  <c r="CF34" i="6"/>
  <c r="CF37" i="6"/>
  <c r="CF40" i="6"/>
  <c r="CF9" i="6"/>
  <c r="CF38" i="6"/>
  <c r="CF45" i="6"/>
  <c r="CF64" i="6"/>
  <c r="CF74" i="6"/>
  <c r="CF43" i="6"/>
  <c r="CF60" i="6"/>
  <c r="CF13" i="6"/>
  <c r="CF66" i="6"/>
  <c r="CF79" i="6"/>
  <c r="CF86" i="6"/>
  <c r="CF93" i="6"/>
  <c r="CF100" i="6"/>
  <c r="CF61" i="6"/>
  <c r="CF117" i="6"/>
  <c r="CF118" i="6"/>
  <c r="CF132" i="6"/>
  <c r="CF30" i="6"/>
  <c r="CF80" i="6"/>
  <c r="CF87" i="6"/>
  <c r="CF88" i="6"/>
  <c r="CF95" i="6"/>
  <c r="CF96" i="6"/>
  <c r="CF103" i="6"/>
  <c r="CF128" i="6"/>
  <c r="CF56" i="6"/>
  <c r="CF119" i="6"/>
  <c r="CF135" i="6"/>
  <c r="CF47" i="6"/>
  <c r="CF76" i="6"/>
  <c r="CF68" i="6"/>
  <c r="CF65" i="6"/>
  <c r="CF52" i="6"/>
  <c r="CF94" i="6"/>
  <c r="CF70" i="6"/>
  <c r="CF78" i="6"/>
  <c r="CF82" i="6"/>
  <c r="CF77" i="6"/>
  <c r="CF83" i="6"/>
  <c r="CF99" i="6"/>
  <c r="CF92" i="6"/>
  <c r="CF109" i="6"/>
  <c r="CF106" i="6"/>
  <c r="CF129" i="6"/>
  <c r="CF130" i="6"/>
  <c r="CF81" i="6"/>
  <c r="CF124" i="6"/>
  <c r="CF126" i="6"/>
  <c r="CF73" i="6"/>
  <c r="CF107" i="6"/>
  <c r="CF32" i="6"/>
  <c r="CF116" i="6"/>
  <c r="CF121" i="6"/>
  <c r="CF111" i="6"/>
  <c r="AQ106" i="6"/>
  <c r="CI122" i="6"/>
  <c r="CF127" i="6"/>
  <c r="BS107" i="6"/>
  <c r="BG88" i="6"/>
  <c r="AQ2" i="6"/>
  <c r="BG119" i="6"/>
  <c r="AN118" i="6"/>
  <c r="BS130" i="6"/>
  <c r="BD124" i="6"/>
  <c r="BP117" i="6"/>
  <c r="BS111" i="6"/>
  <c r="AJ107" i="6"/>
  <c r="AI98" i="6"/>
  <c r="BL3" i="6"/>
  <c r="BL7" i="6"/>
  <c r="BL11" i="6"/>
  <c r="BL15" i="6"/>
  <c r="BL19" i="6"/>
  <c r="BL23" i="6"/>
  <c r="BL28" i="6"/>
  <c r="BL14" i="6"/>
  <c r="BL25" i="6"/>
  <c r="BL30" i="6"/>
  <c r="BL34" i="6"/>
  <c r="BL38" i="6"/>
  <c r="BL17" i="6"/>
  <c r="BL5" i="6"/>
  <c r="BL41" i="6"/>
  <c r="BL45" i="6"/>
  <c r="BL49" i="6"/>
  <c r="BL53" i="6"/>
  <c r="BL57" i="6"/>
  <c r="BL10" i="6"/>
  <c r="BL40" i="6"/>
  <c r="BL62" i="6"/>
  <c r="BL66" i="6"/>
  <c r="BL70" i="6"/>
  <c r="BL74" i="6"/>
  <c r="BL78" i="6"/>
  <c r="BL18" i="6"/>
  <c r="BL22" i="6"/>
  <c r="BL31" i="6"/>
  <c r="BL55" i="6"/>
  <c r="BL75" i="6"/>
  <c r="BL32" i="6"/>
  <c r="BL54" i="6"/>
  <c r="BL20" i="6"/>
  <c r="BL24" i="6"/>
  <c r="BL48" i="6"/>
  <c r="BL26" i="6"/>
  <c r="BL21" i="6"/>
  <c r="BL68" i="6"/>
  <c r="BL112" i="6"/>
  <c r="BL114" i="6"/>
  <c r="BL43" i="6"/>
  <c r="BL56" i="6"/>
  <c r="BL58" i="6"/>
  <c r="BL65" i="6"/>
  <c r="BL79" i="6"/>
  <c r="BL90" i="6"/>
  <c r="BL97" i="6"/>
  <c r="BL104" i="6"/>
  <c r="BL116" i="6"/>
  <c r="BL118" i="6"/>
  <c r="BL35" i="6"/>
  <c r="BL67" i="6"/>
  <c r="BL128" i="6"/>
  <c r="BL132" i="6"/>
  <c r="BL135" i="6"/>
  <c r="BL12" i="6"/>
  <c r="BL60" i="6"/>
  <c r="BL80" i="6"/>
  <c r="BL88" i="6"/>
  <c r="BL96" i="6"/>
  <c r="BL6" i="6"/>
  <c r="BL33" i="6"/>
  <c r="BL51" i="6"/>
  <c r="BL119" i="6"/>
  <c r="BL120" i="6"/>
  <c r="BL129" i="6"/>
  <c r="BL36" i="6"/>
  <c r="BL39" i="6"/>
  <c r="BL46" i="6"/>
  <c r="BL71" i="6"/>
  <c r="BL61" i="6"/>
  <c r="BL63" i="6"/>
  <c r="BL81" i="6"/>
  <c r="BL103" i="6"/>
  <c r="BL101" i="6"/>
  <c r="BL4" i="6"/>
  <c r="BL9" i="6"/>
  <c r="BL37" i="6"/>
  <c r="BL73" i="6"/>
  <c r="BL64" i="6"/>
  <c r="BL72" i="6"/>
  <c r="BL82" i="6"/>
  <c r="BL8" i="6"/>
  <c r="BL44" i="6"/>
  <c r="BL89" i="6"/>
  <c r="BL102" i="6"/>
  <c r="BL127" i="6"/>
  <c r="BL99" i="6"/>
  <c r="BL100" i="6"/>
  <c r="BL109" i="6"/>
  <c r="BL77" i="6"/>
  <c r="BL92" i="6"/>
  <c r="BL84" i="6"/>
  <c r="BL93" i="6"/>
  <c r="BL94" i="6"/>
  <c r="BL83" i="6"/>
  <c r="BL42" i="6"/>
  <c r="BL16" i="6"/>
  <c r="BL59" i="6"/>
  <c r="BL91" i="6"/>
  <c r="BL106" i="6"/>
  <c r="BL124" i="6"/>
  <c r="BL130" i="6"/>
  <c r="BL27" i="6"/>
  <c r="BL121" i="6"/>
  <c r="BL126" i="6"/>
  <c r="CA127" i="6"/>
  <c r="AY124" i="6"/>
  <c r="AY121" i="6"/>
  <c r="CB119" i="6"/>
  <c r="CA110" i="6"/>
  <c r="BS102" i="6"/>
  <c r="AX100" i="6"/>
  <c r="BL98" i="6"/>
  <c r="CA91" i="6"/>
  <c r="AY88" i="6"/>
  <c r="AQ72" i="6"/>
  <c r="AY68" i="6"/>
  <c r="CF62" i="6"/>
  <c r="BP135" i="6"/>
  <c r="CF133" i="6"/>
  <c r="CA119" i="6"/>
  <c r="BP111" i="6"/>
  <c r="AX88" i="6"/>
  <c r="BP83" i="6"/>
  <c r="BZ51" i="6"/>
  <c r="CI2" i="6"/>
  <c r="BZ132" i="6"/>
  <c r="BG131" i="6"/>
  <c r="CB128" i="6"/>
  <c r="AZ126" i="6"/>
  <c r="AQ125" i="6"/>
  <c r="BZ120" i="6"/>
  <c r="AY119" i="6"/>
  <c r="CI118" i="6"/>
  <c r="AJ114" i="6"/>
  <c r="AN113" i="6"/>
  <c r="AQ111" i="6"/>
  <c r="AQ110" i="6"/>
  <c r="AJ108" i="6"/>
  <c r="CF105" i="6"/>
  <c r="CF104" i="6"/>
  <c r="AN104" i="6"/>
  <c r="BG98" i="6"/>
  <c r="BG90" i="6"/>
  <c r="CF89" i="6"/>
  <c r="CA88" i="6"/>
  <c r="AJ87" i="6"/>
  <c r="CF85" i="6"/>
  <c r="AX84" i="6"/>
  <c r="BZ81" i="6"/>
  <c r="BP78" i="6"/>
  <c r="CB76" i="6"/>
  <c r="CF72" i="6"/>
  <c r="BG67" i="6"/>
  <c r="CB61" i="6"/>
  <c r="AN38" i="6"/>
  <c r="AQ5" i="6"/>
  <c r="AQ9" i="6"/>
  <c r="AQ13" i="6"/>
  <c r="AQ17" i="6"/>
  <c r="AQ7" i="6"/>
  <c r="AQ14" i="6"/>
  <c r="AQ20" i="6"/>
  <c r="AQ22" i="6"/>
  <c r="AQ24" i="6"/>
  <c r="AQ11" i="6"/>
  <c r="AQ18" i="6"/>
  <c r="AQ6" i="6"/>
  <c r="AQ26" i="6"/>
  <c r="AQ23" i="6"/>
  <c r="AQ15" i="6"/>
  <c r="AQ27" i="6"/>
  <c r="AQ38" i="6"/>
  <c r="AQ34" i="6"/>
  <c r="AQ40" i="6"/>
  <c r="AQ44" i="6"/>
  <c r="AQ48" i="6"/>
  <c r="AQ16" i="6"/>
  <c r="AQ4" i="6"/>
  <c r="AQ50" i="6"/>
  <c r="AQ61" i="6"/>
  <c r="AQ65" i="6"/>
  <c r="AQ28" i="6"/>
  <c r="AQ52" i="6"/>
  <c r="AQ54" i="6"/>
  <c r="AQ12" i="6"/>
  <c r="AQ19" i="6"/>
  <c r="AQ10" i="6"/>
  <c r="AQ21" i="6"/>
  <c r="AQ39" i="6"/>
  <c r="AQ68" i="6"/>
  <c r="AQ53" i="6"/>
  <c r="AQ56" i="6"/>
  <c r="AQ75" i="6"/>
  <c r="AQ76" i="6"/>
  <c r="AQ78" i="6"/>
  <c r="AQ36" i="6"/>
  <c r="AQ29" i="6"/>
  <c r="AQ35" i="6"/>
  <c r="AQ63" i="6"/>
  <c r="AQ83" i="6"/>
  <c r="AQ90" i="6"/>
  <c r="AQ101" i="6"/>
  <c r="AQ108" i="6"/>
  <c r="AQ126" i="6"/>
  <c r="AQ128" i="6"/>
  <c r="AQ45" i="6"/>
  <c r="AQ51" i="6"/>
  <c r="AQ25" i="6"/>
  <c r="AQ41" i="6"/>
  <c r="AQ64" i="6"/>
  <c r="AQ130" i="6"/>
  <c r="AQ134" i="6"/>
  <c r="AQ80" i="6"/>
  <c r="AQ88" i="6"/>
  <c r="AQ96" i="6"/>
  <c r="AQ104" i="6"/>
  <c r="AQ118" i="6"/>
  <c r="AQ119" i="6"/>
  <c r="AQ129" i="6"/>
  <c r="AQ37" i="6"/>
  <c r="AQ133" i="6"/>
  <c r="AQ58" i="6"/>
  <c r="AQ62" i="6"/>
  <c r="AQ73" i="6"/>
  <c r="AQ87" i="6"/>
  <c r="AQ95" i="6"/>
  <c r="AQ103" i="6"/>
  <c r="AQ120" i="6"/>
  <c r="AQ121" i="6"/>
  <c r="AQ47" i="6"/>
  <c r="AQ49" i="6"/>
  <c r="AQ67" i="6"/>
  <c r="AQ33" i="6"/>
  <c r="AQ59" i="6"/>
  <c r="AQ81" i="6"/>
  <c r="AQ82" i="6"/>
  <c r="AQ42" i="6"/>
  <c r="AQ70" i="6"/>
  <c r="AQ85" i="6"/>
  <c r="AQ55" i="6"/>
  <c r="AQ93" i="6"/>
  <c r="AQ8" i="6"/>
  <c r="AQ74" i="6"/>
  <c r="AQ32" i="6"/>
  <c r="AQ98" i="6"/>
  <c r="AQ122" i="6"/>
  <c r="AQ131" i="6"/>
  <c r="AQ97" i="6"/>
  <c r="AQ99" i="6"/>
  <c r="AQ105" i="6"/>
  <c r="AQ112" i="6"/>
  <c r="AQ127" i="6"/>
  <c r="AQ109" i="6"/>
  <c r="AQ102" i="6"/>
  <c r="AQ124" i="6"/>
  <c r="AQ100" i="6"/>
  <c r="AQ69" i="6"/>
  <c r="AQ71" i="6"/>
  <c r="AQ3" i="6"/>
  <c r="AQ89" i="6"/>
  <c r="AQ114" i="6"/>
  <c r="CI111" i="6"/>
  <c r="CI84" i="6"/>
  <c r="CI79" i="6"/>
  <c r="AQ30" i="6"/>
  <c r="AQ117" i="6"/>
  <c r="AQ107" i="6"/>
  <c r="CI70" i="6"/>
  <c r="BG62" i="6"/>
  <c r="BG108" i="6"/>
  <c r="CF134" i="6"/>
  <c r="BG127" i="6"/>
  <c r="BS118" i="6"/>
  <c r="AQ116" i="6"/>
  <c r="CI132" i="6"/>
  <c r="AN131" i="6"/>
  <c r="BG120" i="6"/>
  <c r="BS116" i="6"/>
  <c r="CF122" i="6"/>
  <c r="AI3" i="6"/>
  <c r="AI7" i="6"/>
  <c r="AI11" i="6"/>
  <c r="AI15" i="6"/>
  <c r="AI12" i="6"/>
  <c r="AI19" i="6"/>
  <c r="AI21" i="6"/>
  <c r="AI23" i="6"/>
  <c r="AI9" i="6"/>
  <c r="AI16" i="6"/>
  <c r="AI25" i="6"/>
  <c r="AI8" i="6"/>
  <c r="AI5" i="6"/>
  <c r="AI31" i="6"/>
  <c r="AI26" i="6"/>
  <c r="AI30" i="6"/>
  <c r="AI35" i="6"/>
  <c r="AI37" i="6"/>
  <c r="AI17" i="6"/>
  <c r="AI24" i="6"/>
  <c r="AI39" i="6"/>
  <c r="AI42" i="6"/>
  <c r="AI46" i="6"/>
  <c r="AI6" i="6"/>
  <c r="AI10" i="6"/>
  <c r="AI29" i="6"/>
  <c r="AI47" i="6"/>
  <c r="AI48" i="6"/>
  <c r="AI49" i="6"/>
  <c r="AI63" i="6"/>
  <c r="AI67" i="6"/>
  <c r="AI18" i="6"/>
  <c r="AI51" i="6"/>
  <c r="AI53" i="6"/>
  <c r="AI13" i="6"/>
  <c r="AI32" i="6"/>
  <c r="AI52" i="6"/>
  <c r="AI28" i="6"/>
  <c r="AI44" i="6"/>
  <c r="AI64" i="6"/>
  <c r="AI65" i="6"/>
  <c r="AI66" i="6"/>
  <c r="AI62" i="6"/>
  <c r="AI77" i="6"/>
  <c r="AI34" i="6"/>
  <c r="AI69" i="6"/>
  <c r="AI54" i="6"/>
  <c r="AI57" i="6"/>
  <c r="AI81" i="6"/>
  <c r="AI88" i="6"/>
  <c r="AI99" i="6"/>
  <c r="AI106" i="6"/>
  <c r="AI125" i="6"/>
  <c r="AI127" i="6"/>
  <c r="AI56" i="6"/>
  <c r="AI58" i="6"/>
  <c r="AI70" i="6"/>
  <c r="AI129" i="6"/>
  <c r="AI132" i="6"/>
  <c r="AI4" i="6"/>
  <c r="AI55" i="6"/>
  <c r="AI71" i="6"/>
  <c r="AI78" i="6"/>
  <c r="AI85" i="6"/>
  <c r="AI93" i="6"/>
  <c r="AI101" i="6"/>
  <c r="AI109" i="6"/>
  <c r="AI111" i="6"/>
  <c r="AI123" i="6"/>
  <c r="AI22" i="6"/>
  <c r="AI68" i="6"/>
  <c r="AI112" i="6"/>
  <c r="AI131" i="6"/>
  <c r="AI134" i="6"/>
  <c r="AI61" i="6"/>
  <c r="AI74" i="6"/>
  <c r="AI92" i="6"/>
  <c r="AI100" i="6"/>
  <c r="AI107" i="6"/>
  <c r="AI108" i="6"/>
  <c r="AI124" i="6"/>
  <c r="AI14" i="6"/>
  <c r="AI45" i="6"/>
  <c r="AI40" i="6"/>
  <c r="AI27" i="6"/>
  <c r="AI73" i="6"/>
  <c r="AI80" i="6"/>
  <c r="AI91" i="6"/>
  <c r="AI59" i="6"/>
  <c r="AI82" i="6"/>
  <c r="AI86" i="6"/>
  <c r="AI72" i="6"/>
  <c r="AI89" i="6"/>
  <c r="AI94" i="6"/>
  <c r="AI41" i="6"/>
  <c r="AI90" i="6"/>
  <c r="AI116" i="6"/>
  <c r="AI126" i="6"/>
  <c r="AI135" i="6"/>
  <c r="AI75" i="6"/>
  <c r="AI103" i="6"/>
  <c r="AI2" i="6"/>
  <c r="AI133" i="6"/>
  <c r="AI20" i="6"/>
  <c r="AI102" i="6"/>
  <c r="AI121" i="6"/>
  <c r="AI84" i="6"/>
  <c r="AI33" i="6"/>
  <c r="AI79" i="6"/>
  <c r="AI118" i="6"/>
  <c r="AI50" i="6"/>
  <c r="AI83" i="6"/>
  <c r="AI113" i="6"/>
  <c r="BD126" i="6"/>
  <c r="BL131" i="6"/>
  <c r="AN115" i="6"/>
  <c r="AY80" i="6"/>
  <c r="CF123" i="6"/>
  <c r="BD79" i="6"/>
  <c r="BS128" i="6"/>
  <c r="AN128" i="6"/>
  <c r="BG117" i="6"/>
  <c r="BG114" i="6"/>
  <c r="AI114" i="6"/>
  <c r="BL113" i="6"/>
  <c r="BL111" i="6"/>
  <c r="BG107" i="6"/>
  <c r="BD106" i="6"/>
  <c r="BD105" i="6"/>
  <c r="BD98" i="6"/>
  <c r="BZ88" i="6"/>
  <c r="AI87" i="6"/>
  <c r="BL86" i="6"/>
  <c r="AI76" i="6"/>
  <c r="BG73" i="6"/>
  <c r="BL69" i="6"/>
  <c r="AQ60" i="6"/>
  <c r="BG45" i="6"/>
  <c r="BS33" i="6"/>
  <c r="BZ10" i="6"/>
  <c r="AN5" i="6"/>
  <c r="AN9" i="6"/>
  <c r="AN13" i="6"/>
  <c r="AN17" i="6"/>
  <c r="AN21" i="6"/>
  <c r="AN25" i="6"/>
  <c r="AN26" i="6"/>
  <c r="AN8" i="6"/>
  <c r="AN15" i="6"/>
  <c r="AN29" i="6"/>
  <c r="AN32" i="6"/>
  <c r="AN36" i="6"/>
  <c r="AN10" i="6"/>
  <c r="AN43" i="6"/>
  <c r="AN47" i="6"/>
  <c r="AN51" i="6"/>
  <c r="AN55" i="6"/>
  <c r="AN59" i="6"/>
  <c r="AN7" i="6"/>
  <c r="AN39" i="6"/>
  <c r="AN40" i="6"/>
  <c r="AN41" i="6"/>
  <c r="AN42" i="6"/>
  <c r="AN56" i="6"/>
  <c r="AN58" i="6"/>
  <c r="AN31" i="6"/>
  <c r="AN19" i="6"/>
  <c r="AN20" i="6"/>
  <c r="AN60" i="6"/>
  <c r="AN64" i="6"/>
  <c r="AN68" i="6"/>
  <c r="AN72" i="6"/>
  <c r="AN76" i="6"/>
  <c r="AN54" i="6"/>
  <c r="AN70" i="6"/>
  <c r="AN53" i="6"/>
  <c r="AN74" i="6"/>
  <c r="AN3" i="6"/>
  <c r="AN46" i="6"/>
  <c r="AN50" i="6"/>
  <c r="AN27" i="6"/>
  <c r="AN35" i="6"/>
  <c r="AN66" i="6"/>
  <c r="AN49" i="6"/>
  <c r="AN71" i="6"/>
  <c r="AN37" i="6"/>
  <c r="AN52" i="6"/>
  <c r="AN6" i="6"/>
  <c r="AN84" i="6"/>
  <c r="AN91" i="6"/>
  <c r="AN98" i="6"/>
  <c r="AN105" i="6"/>
  <c r="AN111" i="6"/>
  <c r="AN44" i="6"/>
  <c r="AN67" i="6"/>
  <c r="AN121" i="6"/>
  <c r="AN130" i="6"/>
  <c r="AN4" i="6"/>
  <c r="AN24" i="6"/>
  <c r="AN30" i="6"/>
  <c r="AN34" i="6"/>
  <c r="AN79" i="6"/>
  <c r="AN87" i="6"/>
  <c r="AN102" i="6"/>
  <c r="AN23" i="6"/>
  <c r="AN22" i="6"/>
  <c r="AN16" i="6"/>
  <c r="AN28" i="6"/>
  <c r="AN62" i="6"/>
  <c r="AN75" i="6"/>
  <c r="AN93" i="6"/>
  <c r="AN103" i="6"/>
  <c r="AN11" i="6"/>
  <c r="AN33" i="6"/>
  <c r="AN88" i="6"/>
  <c r="AN69" i="6"/>
  <c r="AN80" i="6"/>
  <c r="AN86" i="6"/>
  <c r="AN12" i="6"/>
  <c r="AN85" i="6"/>
  <c r="AN126" i="6"/>
  <c r="AN97" i="6"/>
  <c r="AN114" i="6"/>
  <c r="AN119" i="6"/>
  <c r="AN2" i="6"/>
  <c r="AN134" i="6"/>
  <c r="AN135" i="6"/>
  <c r="AN78" i="6"/>
  <c r="AN18" i="6"/>
  <c r="AN124" i="6"/>
  <c r="AN90" i="6"/>
  <c r="AN106" i="6"/>
  <c r="AN92" i="6"/>
  <c r="AN48" i="6"/>
  <c r="AN63" i="6"/>
  <c r="AN73" i="6"/>
  <c r="AN89" i="6"/>
  <c r="AN99" i="6"/>
  <c r="AN100" i="6"/>
  <c r="AN101" i="6"/>
  <c r="AN109" i="6"/>
  <c r="AN116" i="6"/>
  <c r="BP4" i="6"/>
  <c r="BP8" i="6"/>
  <c r="BP12" i="6"/>
  <c r="BP16" i="6"/>
  <c r="BP20" i="6"/>
  <c r="BP24" i="6"/>
  <c r="BP21" i="6"/>
  <c r="BP23" i="6"/>
  <c r="BP29" i="6"/>
  <c r="BP6" i="6"/>
  <c r="BP13" i="6"/>
  <c r="BP15" i="6"/>
  <c r="BP18" i="6"/>
  <c r="BP9" i="6"/>
  <c r="BP28" i="6"/>
  <c r="BP31" i="6"/>
  <c r="BP35" i="6"/>
  <c r="BP39" i="6"/>
  <c r="BP10" i="6"/>
  <c r="BP11" i="6"/>
  <c r="BP17" i="6"/>
  <c r="BP27" i="6"/>
  <c r="BP33" i="6"/>
  <c r="BP42" i="6"/>
  <c r="BP46" i="6"/>
  <c r="BP50" i="6"/>
  <c r="BP54" i="6"/>
  <c r="BP58" i="6"/>
  <c r="BP3" i="6"/>
  <c r="BP49" i="6"/>
  <c r="BP14" i="6"/>
  <c r="BP34" i="6"/>
  <c r="BP51" i="6"/>
  <c r="BP53" i="6"/>
  <c r="BP55" i="6"/>
  <c r="BP57" i="6"/>
  <c r="BP63" i="6"/>
  <c r="BP67" i="6"/>
  <c r="BP71" i="6"/>
  <c r="BP75" i="6"/>
  <c r="BP43" i="6"/>
  <c r="BP56" i="6"/>
  <c r="BP72" i="6"/>
  <c r="BP73" i="6"/>
  <c r="BP30" i="6"/>
  <c r="BP32" i="6"/>
  <c r="BP44" i="6"/>
  <c r="BP129" i="6"/>
  <c r="BP64" i="6"/>
  <c r="BP37" i="6"/>
  <c r="BP48" i="6"/>
  <c r="BP52" i="6"/>
  <c r="BP82" i="6"/>
  <c r="BP89" i="6"/>
  <c r="BP96" i="6"/>
  <c r="BP107" i="6"/>
  <c r="BP19" i="6"/>
  <c r="BP38" i="6"/>
  <c r="BP45" i="6"/>
  <c r="BP66" i="6"/>
  <c r="BP70" i="6"/>
  <c r="BP115" i="6"/>
  <c r="BP126" i="6"/>
  <c r="BP134" i="6"/>
  <c r="BP97" i="6"/>
  <c r="BP105" i="6"/>
  <c r="BP116" i="6"/>
  <c r="BP61" i="6"/>
  <c r="BP127" i="6"/>
  <c r="BP132" i="6"/>
  <c r="BP41" i="6"/>
  <c r="BP65" i="6"/>
  <c r="BP76" i="6"/>
  <c r="BP81" i="6"/>
  <c r="BP7" i="6"/>
  <c r="BP47" i="6"/>
  <c r="BP22" i="6"/>
  <c r="BP80" i="6"/>
  <c r="BP100" i="6"/>
  <c r="BP36" i="6"/>
  <c r="BP69" i="6"/>
  <c r="BP93" i="6"/>
  <c r="BP85" i="6"/>
  <c r="BP40" i="6"/>
  <c r="BP88" i="6"/>
  <c r="BP98" i="6"/>
  <c r="BP125" i="6"/>
  <c r="BP79" i="6"/>
  <c r="BP108" i="6"/>
  <c r="BP102" i="6"/>
  <c r="BP84" i="6"/>
  <c r="BP68" i="6"/>
  <c r="BP101" i="6"/>
  <c r="BP114" i="6"/>
  <c r="BP91" i="6"/>
  <c r="BP122" i="6"/>
  <c r="BP99" i="6"/>
  <c r="BP25" i="6"/>
  <c r="BP112" i="6"/>
  <c r="BP119" i="6"/>
  <c r="BP131" i="6"/>
  <c r="BP59" i="6"/>
  <c r="BP90" i="6"/>
  <c r="AN117" i="6"/>
  <c r="CI108" i="6"/>
  <c r="BG122" i="6"/>
  <c r="AZ4" i="6"/>
  <c r="AZ8" i="6"/>
  <c r="AZ12" i="6"/>
  <c r="AZ16" i="6"/>
  <c r="AZ20" i="6"/>
  <c r="AZ24" i="6"/>
  <c r="AZ19" i="6"/>
  <c r="AZ29" i="6"/>
  <c r="AZ9" i="6"/>
  <c r="AZ21" i="6"/>
  <c r="AZ23" i="6"/>
  <c r="AZ5" i="6"/>
  <c r="AZ25" i="6"/>
  <c r="AZ31" i="6"/>
  <c r="AZ35" i="6"/>
  <c r="AZ39" i="6"/>
  <c r="AZ7" i="6"/>
  <c r="AZ13" i="6"/>
  <c r="AZ28" i="6"/>
  <c r="AZ37" i="6"/>
  <c r="AZ22" i="6"/>
  <c r="AZ32" i="6"/>
  <c r="AZ14" i="6"/>
  <c r="AZ42" i="6"/>
  <c r="AZ46" i="6"/>
  <c r="AZ50" i="6"/>
  <c r="AZ54" i="6"/>
  <c r="AZ58" i="6"/>
  <c r="AZ36" i="6"/>
  <c r="AZ49" i="6"/>
  <c r="AZ26" i="6"/>
  <c r="AZ51" i="6"/>
  <c r="AZ53" i="6"/>
  <c r="AZ63" i="6"/>
  <c r="AZ67" i="6"/>
  <c r="AZ71" i="6"/>
  <c r="AZ75" i="6"/>
  <c r="AZ57" i="6"/>
  <c r="AZ64" i="6"/>
  <c r="AZ65" i="6"/>
  <c r="AZ66" i="6"/>
  <c r="AZ40" i="6"/>
  <c r="AZ43" i="6"/>
  <c r="AZ68" i="6"/>
  <c r="AZ77" i="6"/>
  <c r="AZ15" i="6"/>
  <c r="AZ38" i="6"/>
  <c r="AZ44" i="6"/>
  <c r="AZ47" i="6"/>
  <c r="AZ70" i="6"/>
  <c r="AZ61" i="6"/>
  <c r="AZ125" i="6"/>
  <c r="AZ127" i="6"/>
  <c r="AZ76" i="6"/>
  <c r="AZ85" i="6"/>
  <c r="AZ92" i="6"/>
  <c r="AZ103" i="6"/>
  <c r="AZ129" i="6"/>
  <c r="AZ33" i="6"/>
  <c r="AZ11" i="6"/>
  <c r="AZ17" i="6"/>
  <c r="AZ60" i="6"/>
  <c r="AZ72" i="6"/>
  <c r="AZ124" i="6"/>
  <c r="AZ131" i="6"/>
  <c r="AZ27" i="6"/>
  <c r="AZ83" i="6"/>
  <c r="AZ84" i="6"/>
  <c r="AZ91" i="6"/>
  <c r="AZ99" i="6"/>
  <c r="AZ113" i="6"/>
  <c r="AZ114" i="6"/>
  <c r="AZ134" i="6"/>
  <c r="AZ10" i="6"/>
  <c r="AZ56" i="6"/>
  <c r="AZ59" i="6"/>
  <c r="AZ82" i="6"/>
  <c r="AZ18" i="6"/>
  <c r="AZ48" i="6"/>
  <c r="AZ69" i="6"/>
  <c r="AZ78" i="6"/>
  <c r="AZ34" i="6"/>
  <c r="AZ97" i="6"/>
  <c r="AZ62" i="6"/>
  <c r="AZ6" i="6"/>
  <c r="AZ90" i="6"/>
  <c r="AZ95" i="6"/>
  <c r="AZ133" i="6"/>
  <c r="AZ74" i="6"/>
  <c r="AZ115" i="6"/>
  <c r="AZ123" i="6"/>
  <c r="AZ132" i="6"/>
  <c r="AZ107" i="6"/>
  <c r="AZ128" i="6"/>
  <c r="AZ87" i="6"/>
  <c r="AZ98" i="6"/>
  <c r="AZ30" i="6"/>
  <c r="AZ41" i="6"/>
  <c r="AZ117" i="6"/>
  <c r="AZ81" i="6"/>
  <c r="AZ104" i="6"/>
  <c r="AZ110" i="6"/>
  <c r="AZ52" i="6"/>
  <c r="AZ86" i="6"/>
  <c r="AZ96" i="6"/>
  <c r="AZ120" i="6"/>
  <c r="AJ4" i="6"/>
  <c r="AJ8" i="6"/>
  <c r="AJ12" i="6"/>
  <c r="AJ16" i="6"/>
  <c r="AJ20" i="6"/>
  <c r="AJ24" i="6"/>
  <c r="AJ29" i="6"/>
  <c r="AJ19" i="6"/>
  <c r="AJ3" i="6"/>
  <c r="AJ21" i="6"/>
  <c r="AJ23" i="6"/>
  <c r="AJ27" i="6"/>
  <c r="AJ5" i="6"/>
  <c r="AJ31" i="6"/>
  <c r="AJ35" i="6"/>
  <c r="AJ39" i="6"/>
  <c r="AJ26" i="6"/>
  <c r="AJ30" i="6"/>
  <c r="AJ37" i="6"/>
  <c r="AJ11" i="6"/>
  <c r="AJ17" i="6"/>
  <c r="AJ42" i="6"/>
  <c r="AJ46" i="6"/>
  <c r="AJ50" i="6"/>
  <c r="AJ54" i="6"/>
  <c r="AJ58" i="6"/>
  <c r="AJ6" i="6"/>
  <c r="AJ15" i="6"/>
  <c r="AJ33" i="6"/>
  <c r="AJ38" i="6"/>
  <c r="AJ10" i="6"/>
  <c r="AJ47" i="6"/>
  <c r="AJ48" i="6"/>
  <c r="AJ49" i="6"/>
  <c r="AJ63" i="6"/>
  <c r="AJ67" i="6"/>
  <c r="AJ71" i="6"/>
  <c r="AJ75" i="6"/>
  <c r="AJ25" i="6"/>
  <c r="AJ59" i="6"/>
  <c r="AJ60" i="6"/>
  <c r="AJ61" i="6"/>
  <c r="AJ62" i="6"/>
  <c r="AJ13" i="6"/>
  <c r="AJ32" i="6"/>
  <c r="AJ52" i="6"/>
  <c r="AJ51" i="6"/>
  <c r="AJ77" i="6"/>
  <c r="AJ40" i="6"/>
  <c r="AJ53" i="6"/>
  <c r="AJ55" i="6"/>
  <c r="AJ65" i="6"/>
  <c r="AJ121" i="6"/>
  <c r="AJ123" i="6"/>
  <c r="AJ56" i="6"/>
  <c r="AJ7" i="6"/>
  <c r="AJ44" i="6"/>
  <c r="AJ57" i="6"/>
  <c r="AJ81" i="6"/>
  <c r="AJ88" i="6"/>
  <c r="AJ99" i="6"/>
  <c r="AJ106" i="6"/>
  <c r="AJ125" i="6"/>
  <c r="AJ127" i="6"/>
  <c r="AJ9" i="6"/>
  <c r="AJ18" i="6"/>
  <c r="AJ34" i="6"/>
  <c r="AJ78" i="6"/>
  <c r="AJ85" i="6"/>
  <c r="AJ93" i="6"/>
  <c r="AJ101" i="6"/>
  <c r="AJ109" i="6"/>
  <c r="AJ111" i="6"/>
  <c r="AJ22" i="6"/>
  <c r="AJ68" i="6"/>
  <c r="AJ112" i="6"/>
  <c r="AJ131" i="6"/>
  <c r="AJ134" i="6"/>
  <c r="AJ74" i="6"/>
  <c r="AJ76" i="6"/>
  <c r="AJ66" i="6"/>
  <c r="AJ73" i="6"/>
  <c r="AJ80" i="6"/>
  <c r="AJ91" i="6"/>
  <c r="AJ82" i="6"/>
  <c r="AJ86" i="6"/>
  <c r="AJ96" i="6"/>
  <c r="AJ129" i="6"/>
  <c r="AJ113" i="6"/>
  <c r="AJ70" i="6"/>
  <c r="AJ94" i="6"/>
  <c r="AJ41" i="6"/>
  <c r="AJ90" i="6"/>
  <c r="AJ100" i="6"/>
  <c r="AJ116" i="6"/>
  <c r="AJ126" i="6"/>
  <c r="AJ135" i="6"/>
  <c r="AJ2" i="6"/>
  <c r="AJ83" i="6"/>
  <c r="AJ84" i="6"/>
  <c r="AJ102" i="6"/>
  <c r="AJ103" i="6"/>
  <c r="AJ79" i="6"/>
  <c r="AJ92" i="6"/>
  <c r="AJ118" i="6"/>
  <c r="CB3" i="6"/>
  <c r="CB7" i="6"/>
  <c r="CB11" i="6"/>
  <c r="CB15" i="6"/>
  <c r="CB19" i="6"/>
  <c r="CB23" i="6"/>
  <c r="CB28" i="6"/>
  <c r="CB18" i="6"/>
  <c r="CB26" i="6"/>
  <c r="CB30" i="6"/>
  <c r="CB34" i="6"/>
  <c r="CB38" i="6"/>
  <c r="CB22" i="6"/>
  <c r="CB36" i="6"/>
  <c r="CB41" i="6"/>
  <c r="CB45" i="6"/>
  <c r="CB49" i="6"/>
  <c r="CB53" i="6"/>
  <c r="CB57" i="6"/>
  <c r="CB12" i="6"/>
  <c r="CB33" i="6"/>
  <c r="CB39" i="6"/>
  <c r="CB4" i="6"/>
  <c r="CB42" i="6"/>
  <c r="CB43" i="6"/>
  <c r="CB44" i="6"/>
  <c r="CB62" i="6"/>
  <c r="CB66" i="6"/>
  <c r="CB70" i="6"/>
  <c r="CB74" i="6"/>
  <c r="CB40" i="6"/>
  <c r="CB52" i="6"/>
  <c r="CB8" i="6"/>
  <c r="CB17" i="6"/>
  <c r="CB21" i="6"/>
  <c r="CB46" i="6"/>
  <c r="CB58" i="6"/>
  <c r="CB14" i="6"/>
  <c r="CB116" i="6"/>
  <c r="CB118" i="6"/>
  <c r="CB16" i="6"/>
  <c r="CB20" i="6"/>
  <c r="CB83" i="6"/>
  <c r="CB94" i="6"/>
  <c r="CB101" i="6"/>
  <c r="CB108" i="6"/>
  <c r="CB120" i="6"/>
  <c r="CB122" i="6"/>
  <c r="CB47" i="6"/>
  <c r="CB69" i="6"/>
  <c r="CB78" i="6"/>
  <c r="CB79" i="6"/>
  <c r="CB86" i="6"/>
  <c r="CB13" i="6"/>
  <c r="CB72" i="6"/>
  <c r="CB109" i="6"/>
  <c r="CB121" i="6"/>
  <c r="CB29" i="6"/>
  <c r="CB56" i="6"/>
  <c r="CB59" i="6"/>
  <c r="CB63" i="6"/>
  <c r="CB71" i="6"/>
  <c r="CB10" i="6"/>
  <c r="CB25" i="6"/>
  <c r="CB67" i="6"/>
  <c r="CB89" i="6"/>
  <c r="CB99" i="6"/>
  <c r="CB75" i="6"/>
  <c r="CB48" i="6"/>
  <c r="CB84" i="6"/>
  <c r="CB92" i="6"/>
  <c r="CB81" i="6"/>
  <c r="CB126" i="6"/>
  <c r="CB54" i="6"/>
  <c r="CB96" i="6"/>
  <c r="CB97" i="6"/>
  <c r="CB123" i="6"/>
  <c r="CB6" i="6"/>
  <c r="CB32" i="6"/>
  <c r="CB65" i="6"/>
  <c r="CB103" i="6"/>
  <c r="CB111" i="6"/>
  <c r="CB129" i="6"/>
  <c r="CB64" i="6"/>
  <c r="CB95" i="6"/>
  <c r="CB104" i="6"/>
  <c r="CB133" i="6"/>
  <c r="CB55" i="6"/>
  <c r="CB135" i="6"/>
  <c r="CB134" i="6"/>
  <c r="CB31" i="6"/>
  <c r="CB80" i="6"/>
  <c r="CB85" i="6"/>
  <c r="CB107" i="6"/>
  <c r="CB113" i="6"/>
  <c r="CB37" i="6"/>
  <c r="CB73" i="6"/>
  <c r="CB87" i="6"/>
  <c r="BS135" i="6"/>
  <c r="CI128" i="6"/>
  <c r="BG125" i="6"/>
  <c r="AY3" i="6"/>
  <c r="AY7" i="6"/>
  <c r="AY11" i="6"/>
  <c r="AY15" i="6"/>
  <c r="AY9" i="6"/>
  <c r="AY16" i="6"/>
  <c r="AY21" i="6"/>
  <c r="AY23" i="6"/>
  <c r="AY4" i="6"/>
  <c r="AY5" i="6"/>
  <c r="AY6" i="6"/>
  <c r="AY13" i="6"/>
  <c r="AY31" i="6"/>
  <c r="AY19" i="6"/>
  <c r="AY28" i="6"/>
  <c r="AY22" i="6"/>
  <c r="AY32" i="6"/>
  <c r="AY39" i="6"/>
  <c r="AY14" i="6"/>
  <c r="AY25" i="6"/>
  <c r="AY42" i="6"/>
  <c r="AY46" i="6"/>
  <c r="AY36" i="6"/>
  <c r="AY49" i="6"/>
  <c r="AY8" i="6"/>
  <c r="AY26" i="6"/>
  <c r="AY51" i="6"/>
  <c r="AY53" i="6"/>
  <c r="AY63" i="6"/>
  <c r="AY30" i="6"/>
  <c r="AY55" i="6"/>
  <c r="AY57" i="6"/>
  <c r="AY50" i="6"/>
  <c r="AY12" i="6"/>
  <c r="AY38" i="6"/>
  <c r="AY67" i="6"/>
  <c r="AY44" i="6"/>
  <c r="AY47" i="6"/>
  <c r="AY70" i="6"/>
  <c r="AY48" i="6"/>
  <c r="AY52" i="6"/>
  <c r="AY58" i="6"/>
  <c r="AY71" i="6"/>
  <c r="AY76" i="6"/>
  <c r="AY85" i="6"/>
  <c r="AY92" i="6"/>
  <c r="AY103" i="6"/>
  <c r="AY129" i="6"/>
  <c r="AY62" i="6"/>
  <c r="AY33" i="6"/>
  <c r="AY77" i="6"/>
  <c r="AY78" i="6"/>
  <c r="AY132" i="6"/>
  <c r="AY24" i="6"/>
  <c r="AY35" i="6"/>
  <c r="AY27" i="6"/>
  <c r="AY75" i="6"/>
  <c r="AY83" i="6"/>
  <c r="AY84" i="6"/>
  <c r="AY91" i="6"/>
  <c r="AY99" i="6"/>
  <c r="AY113" i="6"/>
  <c r="AY114" i="6"/>
  <c r="AY134" i="6"/>
  <c r="AY10" i="6"/>
  <c r="AY56" i="6"/>
  <c r="AY59" i="6"/>
  <c r="AY125" i="6"/>
  <c r="AY82" i="6"/>
  <c r="AY90" i="6"/>
  <c r="AY98" i="6"/>
  <c r="AY106" i="6"/>
  <c r="AY115" i="6"/>
  <c r="AY126" i="6"/>
  <c r="AY69" i="6"/>
  <c r="AY17" i="6"/>
  <c r="AY60" i="6"/>
  <c r="AY64" i="6"/>
  <c r="AY34" i="6"/>
  <c r="AY54" i="6"/>
  <c r="AY97" i="6"/>
  <c r="AY87" i="6"/>
  <c r="AY102" i="6"/>
  <c r="AY79" i="6"/>
  <c r="AY37" i="6"/>
  <c r="AY74" i="6"/>
  <c r="AY123" i="6"/>
  <c r="AY81" i="6"/>
  <c r="AY110" i="6"/>
  <c r="AY18" i="6"/>
  <c r="AY105" i="6"/>
  <c r="AY122" i="6"/>
  <c r="AY95" i="6"/>
  <c r="AY107" i="6"/>
  <c r="AY128" i="6"/>
  <c r="AY133" i="6"/>
  <c r="AY104" i="6"/>
  <c r="AY117" i="6"/>
  <c r="AY127" i="6"/>
  <c r="AY20" i="6"/>
  <c r="AY40" i="6"/>
  <c r="AY43" i="6"/>
  <c r="AY61" i="6"/>
  <c r="AY86" i="6"/>
  <c r="AY96" i="6"/>
  <c r="AY120" i="6"/>
  <c r="AY41" i="6"/>
  <c r="CA6" i="6"/>
  <c r="CA10" i="6"/>
  <c r="CA14" i="6"/>
  <c r="CA7" i="6"/>
  <c r="CA18" i="6"/>
  <c r="CA11" i="6"/>
  <c r="CA20" i="6"/>
  <c r="CA22" i="6"/>
  <c r="CA3" i="6"/>
  <c r="CA26" i="6"/>
  <c r="CA30" i="6"/>
  <c r="CA21" i="6"/>
  <c r="CA34" i="6"/>
  <c r="CA36" i="6"/>
  <c r="CA41" i="6"/>
  <c r="CA45" i="6"/>
  <c r="CA8" i="6"/>
  <c r="CA19" i="6"/>
  <c r="CA38" i="6"/>
  <c r="CA4" i="6"/>
  <c r="CA23" i="6"/>
  <c r="CA42" i="6"/>
  <c r="CA43" i="6"/>
  <c r="CA44" i="6"/>
  <c r="CA62" i="6"/>
  <c r="CA66" i="6"/>
  <c r="CA15" i="6"/>
  <c r="CA27" i="6"/>
  <c r="CA40" i="6"/>
  <c r="CA52" i="6"/>
  <c r="CA53" i="6"/>
  <c r="CA17" i="6"/>
  <c r="CA59" i="6"/>
  <c r="CA60" i="6"/>
  <c r="CA61" i="6"/>
  <c r="CA25" i="6"/>
  <c r="CA37" i="6"/>
  <c r="CA76" i="6"/>
  <c r="CA12" i="6"/>
  <c r="CA16" i="6"/>
  <c r="CA83" i="6"/>
  <c r="CA94" i="6"/>
  <c r="CA101" i="6"/>
  <c r="CA108" i="6"/>
  <c r="CA120" i="6"/>
  <c r="CA122" i="6"/>
  <c r="CA70" i="6"/>
  <c r="CA124" i="6"/>
  <c r="CA126" i="6"/>
  <c r="CA131" i="6"/>
  <c r="CA135" i="6"/>
  <c r="CA47" i="6"/>
  <c r="CA69" i="6"/>
  <c r="CA78" i="6"/>
  <c r="CA79" i="6"/>
  <c r="CA86" i="6"/>
  <c r="CA13" i="6"/>
  <c r="CA72" i="6"/>
  <c r="CA109" i="6"/>
  <c r="CA121" i="6"/>
  <c r="CA49" i="6"/>
  <c r="CA85" i="6"/>
  <c r="CA93" i="6"/>
  <c r="CA133" i="6"/>
  <c r="CA31" i="6"/>
  <c r="CA35" i="6"/>
  <c r="CA58" i="6"/>
  <c r="CA74" i="6"/>
  <c r="CA67" i="6"/>
  <c r="CA89" i="6"/>
  <c r="CA99" i="6"/>
  <c r="CA56" i="6"/>
  <c r="CA75" i="6"/>
  <c r="CA48" i="6"/>
  <c r="CA84" i="6"/>
  <c r="CA29" i="6"/>
  <c r="CA32" i="6"/>
  <c r="CA65" i="6"/>
  <c r="CA103" i="6"/>
  <c r="CA111" i="6"/>
  <c r="CA116" i="6"/>
  <c r="CA129" i="6"/>
  <c r="CA107" i="6"/>
  <c r="CA113" i="6"/>
  <c r="CA118" i="6"/>
  <c r="CA96" i="6"/>
  <c r="CA87" i="6"/>
  <c r="CA28" i="6"/>
  <c r="CA39" i="6"/>
  <c r="CA54" i="6"/>
  <c r="CA55" i="6"/>
  <c r="CA64" i="6"/>
  <c r="CA80" i="6"/>
  <c r="CA104" i="6"/>
  <c r="CA128" i="6"/>
  <c r="CA46" i="6"/>
  <c r="CA134" i="6"/>
  <c r="CA125" i="6"/>
  <c r="CA71" i="6"/>
  <c r="CA33" i="6"/>
  <c r="CA73" i="6"/>
  <c r="CA95" i="6"/>
  <c r="CA97" i="6"/>
  <c r="CA123" i="6"/>
  <c r="AQ135" i="6"/>
  <c r="CB127" i="6"/>
  <c r="AZ121" i="6"/>
  <c r="CB110" i="6"/>
  <c r="AX3" i="6"/>
  <c r="AX4" i="6"/>
  <c r="AX5" i="6"/>
  <c r="AX25" i="6"/>
  <c r="AX6" i="6"/>
  <c r="AX13" i="6"/>
  <c r="AX16" i="6"/>
  <c r="AX31" i="6"/>
  <c r="AX19" i="6"/>
  <c r="AX28" i="6"/>
  <c r="AX14" i="6"/>
  <c r="AX42" i="6"/>
  <c r="AX46" i="6"/>
  <c r="AX8" i="6"/>
  <c r="AX33" i="6"/>
  <c r="AX23" i="6"/>
  <c r="AX26" i="6"/>
  <c r="AX51" i="6"/>
  <c r="AX53" i="6"/>
  <c r="AX63" i="6"/>
  <c r="AX30" i="6"/>
  <c r="AX55" i="6"/>
  <c r="AX57" i="6"/>
  <c r="AX12" i="6"/>
  <c r="AX27" i="6"/>
  <c r="AX32" i="6"/>
  <c r="AX59" i="6"/>
  <c r="AX7" i="6"/>
  <c r="AX50" i="6"/>
  <c r="AX38" i="6"/>
  <c r="AX67" i="6"/>
  <c r="AX69" i="6"/>
  <c r="AX35" i="6"/>
  <c r="AX45" i="6"/>
  <c r="AX56" i="6"/>
  <c r="AX15" i="6"/>
  <c r="AX39" i="6"/>
  <c r="AX48" i="6"/>
  <c r="AX49" i="6"/>
  <c r="AX52" i="6"/>
  <c r="AX58" i="6"/>
  <c r="AX71" i="6"/>
  <c r="AX65" i="6"/>
  <c r="AX79" i="6"/>
  <c r="AX83" i="6"/>
  <c r="AX87" i="6"/>
  <c r="AX91" i="6"/>
  <c r="AX95" i="6"/>
  <c r="AX99" i="6"/>
  <c r="AX103" i="6"/>
  <c r="AX107" i="6"/>
  <c r="AX111" i="6"/>
  <c r="AX115" i="6"/>
  <c r="AX119" i="6"/>
  <c r="AX123" i="6"/>
  <c r="AX127" i="6"/>
  <c r="AX77" i="6"/>
  <c r="AX78" i="6"/>
  <c r="AX132" i="6"/>
  <c r="AX24" i="6"/>
  <c r="AX62" i="6"/>
  <c r="AX82" i="6"/>
  <c r="AX89" i="6"/>
  <c r="AX96" i="6"/>
  <c r="AX41" i="6"/>
  <c r="AX10" i="6"/>
  <c r="AX125" i="6"/>
  <c r="AX44" i="6"/>
  <c r="AX90" i="6"/>
  <c r="AX98" i="6"/>
  <c r="AX106" i="6"/>
  <c r="AX126" i="6"/>
  <c r="AX116" i="6"/>
  <c r="AX2" i="6"/>
  <c r="AX34" i="6"/>
  <c r="AX17" i="6"/>
  <c r="AX60" i="6"/>
  <c r="AX64" i="6"/>
  <c r="AX72" i="6"/>
  <c r="AX11" i="6"/>
  <c r="AX36" i="6"/>
  <c r="AX102" i="6"/>
  <c r="AX70" i="6"/>
  <c r="AX76" i="6"/>
  <c r="AX75" i="6"/>
  <c r="AX21" i="6"/>
  <c r="AX113" i="6"/>
  <c r="AX128" i="6"/>
  <c r="AX133" i="6"/>
  <c r="AX86" i="6"/>
  <c r="AX81" i="6"/>
  <c r="AX104" i="6"/>
  <c r="AX110" i="6"/>
  <c r="AX61" i="6"/>
  <c r="AX120" i="6"/>
  <c r="AX97" i="6"/>
  <c r="AX80" i="6"/>
  <c r="AX43" i="6"/>
  <c r="AX105" i="6"/>
  <c r="AX122" i="6"/>
  <c r="AX20" i="6"/>
  <c r="AX40" i="6"/>
  <c r="AX131" i="6"/>
  <c r="AX29" i="6"/>
  <c r="AX73" i="6"/>
  <c r="AX117" i="6"/>
  <c r="AX18" i="6"/>
  <c r="AX85" i="6"/>
  <c r="BD120" i="6"/>
  <c r="BD119" i="6"/>
  <c r="BL115" i="6"/>
  <c r="BP113" i="6"/>
  <c r="AX109" i="6"/>
  <c r="BL105" i="6"/>
  <c r="CB132" i="6"/>
  <c r="CF131" i="6"/>
  <c r="BP130" i="6"/>
  <c r="CF125" i="6"/>
  <c r="AX124" i="6"/>
  <c r="AX121" i="6"/>
  <c r="AQ113" i="6"/>
  <c r="AN108" i="6"/>
  <c r="CI100" i="6"/>
  <c r="BZ91" i="6"/>
  <c r="BD2" i="6"/>
  <c r="CI135" i="6"/>
  <c r="CB131" i="6"/>
  <c r="AN127" i="6"/>
  <c r="CB125" i="6"/>
  <c r="AN125" i="6"/>
  <c r="BS124" i="6"/>
  <c r="AN122" i="6"/>
  <c r="BD116" i="6"/>
  <c r="BG115" i="6"/>
  <c r="CI112" i="6"/>
  <c r="BG112" i="6"/>
  <c r="BP110" i="6"/>
  <c r="BS109" i="6"/>
  <c r="AJ104" i="6"/>
  <c r="BS103" i="6"/>
  <c r="CF101" i="6"/>
  <c r="AX101" i="6"/>
  <c r="CA100" i="6"/>
  <c r="CF97" i="6"/>
  <c r="BS95" i="6"/>
  <c r="BP94" i="6"/>
  <c r="AQ94" i="6"/>
  <c r="AZ89" i="6"/>
  <c r="BP87" i="6"/>
  <c r="AQ84" i="6"/>
  <c r="CB82" i="6"/>
  <c r="AZ79" i="6"/>
  <c r="CA57" i="6"/>
  <c r="BL50" i="6"/>
  <c r="AI38" i="6"/>
  <c r="BP26" i="6"/>
  <c r="CN6" i="6"/>
  <c r="CN10" i="6"/>
  <c r="CN14" i="6"/>
  <c r="CN18" i="6"/>
  <c r="CN22" i="6"/>
  <c r="CN27" i="6"/>
  <c r="CN3" i="6"/>
  <c r="CN4" i="6"/>
  <c r="CN5" i="6"/>
  <c r="CN12" i="6"/>
  <c r="CN9" i="6"/>
  <c r="CN19" i="6"/>
  <c r="CN29" i="6"/>
  <c r="CN33" i="6"/>
  <c r="CN37" i="6"/>
  <c r="CN17" i="6"/>
  <c r="CN28" i="6"/>
  <c r="CN30" i="6"/>
  <c r="CN31" i="6"/>
  <c r="CN20" i="6"/>
  <c r="CN11" i="6"/>
  <c r="CN32" i="6"/>
  <c r="CN40" i="6"/>
  <c r="CN44" i="6"/>
  <c r="CN48" i="6"/>
  <c r="CN52" i="6"/>
  <c r="CN56" i="6"/>
  <c r="CN13" i="6"/>
  <c r="CN36" i="6"/>
  <c r="CN54" i="6"/>
  <c r="CN35" i="6"/>
  <c r="CN58" i="6"/>
  <c r="CN61" i="6"/>
  <c r="CN65" i="6"/>
  <c r="CN69" i="6"/>
  <c r="CN73" i="6"/>
  <c r="CN77" i="6"/>
  <c r="CN7" i="6"/>
  <c r="CN39" i="6"/>
  <c r="CN45" i="6"/>
  <c r="CN57" i="6"/>
  <c r="CN68" i="6"/>
  <c r="CN41" i="6"/>
  <c r="CN50" i="6"/>
  <c r="CN70" i="6"/>
  <c r="CN72" i="6"/>
  <c r="CN49" i="6"/>
  <c r="CN66" i="6"/>
  <c r="CN15" i="6"/>
  <c r="CN24" i="6"/>
  <c r="CN67" i="6"/>
  <c r="CN25" i="6"/>
  <c r="CN43" i="6"/>
  <c r="CN8" i="6"/>
  <c r="CN47" i="6"/>
  <c r="CN76" i="6"/>
  <c r="CN81" i="6"/>
  <c r="CN88" i="6"/>
  <c r="CN95" i="6"/>
  <c r="CN102" i="6"/>
  <c r="CN109" i="6"/>
  <c r="CN112" i="6"/>
  <c r="CN113" i="6"/>
  <c r="CN42" i="6"/>
  <c r="CN83" i="6"/>
  <c r="CN91" i="6"/>
  <c r="CN106" i="6"/>
  <c r="CN124" i="6"/>
  <c r="CN64" i="6"/>
  <c r="CN125" i="6"/>
  <c r="CN34" i="6"/>
  <c r="CN71" i="6"/>
  <c r="CN21" i="6"/>
  <c r="CN46" i="6"/>
  <c r="CN51" i="6"/>
  <c r="CN60" i="6"/>
  <c r="CN93" i="6"/>
  <c r="CN55" i="6"/>
  <c r="CN59" i="6"/>
  <c r="CN98" i="6"/>
  <c r="AW131" i="6"/>
  <c r="BX128" i="6"/>
  <c r="CN127" i="6"/>
  <c r="CN122" i="6"/>
  <c r="BX117" i="6"/>
  <c r="CN114" i="6"/>
  <c r="CN92" i="6"/>
  <c r="AV80" i="6"/>
  <c r="BY71" i="6"/>
  <c r="AW40" i="6"/>
  <c r="BK6" i="6"/>
  <c r="BK10" i="6"/>
  <c r="BK14" i="6"/>
  <c r="BK18" i="6"/>
  <c r="BK7" i="6"/>
  <c r="BK25" i="6"/>
  <c r="BK30" i="6"/>
  <c r="BK8" i="6"/>
  <c r="BK11" i="6"/>
  <c r="BK22" i="6"/>
  <c r="BK23" i="6"/>
  <c r="BK17" i="6"/>
  <c r="BK5" i="6"/>
  <c r="BK41" i="6"/>
  <c r="BK45" i="6"/>
  <c r="BK3" i="6"/>
  <c r="BK21" i="6"/>
  <c r="BK24" i="6"/>
  <c r="BK26" i="6"/>
  <c r="BK34" i="6"/>
  <c r="BK36" i="6"/>
  <c r="BK40" i="6"/>
  <c r="BK62" i="6"/>
  <c r="BK66" i="6"/>
  <c r="BK29" i="6"/>
  <c r="BK31" i="6"/>
  <c r="BK32" i="6"/>
  <c r="BK54" i="6"/>
  <c r="BK20" i="6"/>
  <c r="BK48" i="6"/>
  <c r="BK4" i="6"/>
  <c r="BK9" i="6"/>
  <c r="BK33" i="6"/>
  <c r="BK44" i="6"/>
  <c r="BK13" i="6"/>
  <c r="BK28" i="6"/>
  <c r="BK64" i="6"/>
  <c r="BK75" i="6"/>
  <c r="BK56" i="6"/>
  <c r="BK58" i="6"/>
  <c r="BK65" i="6"/>
  <c r="BK79" i="6"/>
  <c r="BK90" i="6"/>
  <c r="BK97" i="6"/>
  <c r="BK104" i="6"/>
  <c r="BK116" i="6"/>
  <c r="BK118" i="6"/>
  <c r="BK59" i="6"/>
  <c r="BK60" i="6"/>
  <c r="BK43" i="6"/>
  <c r="BK55" i="6"/>
  <c r="BK57" i="6"/>
  <c r="BK120" i="6"/>
  <c r="BK122" i="6"/>
  <c r="BK131" i="6"/>
  <c r="BK135" i="6"/>
  <c r="BK39" i="6"/>
  <c r="BK47" i="6"/>
  <c r="BK12" i="6"/>
  <c r="BK80" i="6"/>
  <c r="BK88" i="6"/>
  <c r="BK96" i="6"/>
  <c r="BK51" i="6"/>
  <c r="BK68" i="6"/>
  <c r="BK119" i="6"/>
  <c r="BK129" i="6"/>
  <c r="BK46" i="6"/>
  <c r="BK71" i="6"/>
  <c r="BK87" i="6"/>
  <c r="BK94" i="6"/>
  <c r="BK95" i="6"/>
  <c r="BK102" i="6"/>
  <c r="BK103" i="6"/>
  <c r="BK74" i="6"/>
  <c r="BK49" i="6"/>
  <c r="BK73" i="6"/>
  <c r="BK76" i="6"/>
  <c r="BK81" i="6"/>
  <c r="BK19" i="6"/>
  <c r="BK35" i="6"/>
  <c r="BK67" i="6"/>
  <c r="BK101" i="6"/>
  <c r="BK37" i="6"/>
  <c r="BK38" i="6"/>
  <c r="BK53" i="6"/>
  <c r="BK61" i="6"/>
  <c r="BK72" i="6"/>
  <c r="BK82" i="6"/>
  <c r="BK16" i="6"/>
  <c r="BK27" i="6"/>
  <c r="BK86" i="6"/>
  <c r="BK91" i="6"/>
  <c r="AU6" i="6"/>
  <c r="AU10" i="6"/>
  <c r="AU14" i="6"/>
  <c r="AU18" i="6"/>
  <c r="AU17" i="6"/>
  <c r="AU30" i="6"/>
  <c r="AU9" i="6"/>
  <c r="AU12" i="6"/>
  <c r="AU15" i="6"/>
  <c r="AU24" i="6"/>
  <c r="AU19" i="6"/>
  <c r="AU41" i="6"/>
  <c r="AU45" i="6"/>
  <c r="AU27" i="6"/>
  <c r="AU8" i="6"/>
  <c r="AU22" i="6"/>
  <c r="AU35" i="6"/>
  <c r="AU16" i="6"/>
  <c r="AU62" i="6"/>
  <c r="AU66" i="6"/>
  <c r="AU4" i="6"/>
  <c r="AU34" i="6"/>
  <c r="AU47" i="6"/>
  <c r="AU75" i="6"/>
  <c r="AU26" i="6"/>
  <c r="AU43" i="6"/>
  <c r="AU49" i="6"/>
  <c r="AU21" i="6"/>
  <c r="AU38" i="6"/>
  <c r="AU63" i="6"/>
  <c r="AU32" i="6"/>
  <c r="AU73" i="6"/>
  <c r="AU31" i="6"/>
  <c r="AU33" i="6"/>
  <c r="AU46" i="6"/>
  <c r="AU69" i="6"/>
  <c r="AU86" i="6"/>
  <c r="AU93" i="6"/>
  <c r="AU100" i="6"/>
  <c r="AU107" i="6"/>
  <c r="AU112" i="6"/>
  <c r="AU114" i="6"/>
  <c r="AU72" i="6"/>
  <c r="AU116" i="6"/>
  <c r="AU118" i="6"/>
  <c r="AU131" i="6"/>
  <c r="AU135" i="6"/>
  <c r="AU25" i="6"/>
  <c r="AU29" i="6"/>
  <c r="AU56" i="6"/>
  <c r="AU59" i="6"/>
  <c r="AU82" i="6"/>
  <c r="AU97" i="6"/>
  <c r="AU105" i="6"/>
  <c r="AU117" i="6"/>
  <c r="AU127" i="6"/>
  <c r="AU132" i="6"/>
  <c r="AU37" i="6"/>
  <c r="AU40" i="6"/>
  <c r="AU81" i="6"/>
  <c r="AU89" i="6"/>
  <c r="AU104" i="6"/>
  <c r="AU128" i="6"/>
  <c r="AU23" i="6"/>
  <c r="AU28" i="6"/>
  <c r="AU42" i="6"/>
  <c r="AU52" i="6"/>
  <c r="AU70" i="6"/>
  <c r="AU39" i="6"/>
  <c r="AU44" i="6"/>
  <c r="AU50" i="6"/>
  <c r="AU83" i="6"/>
  <c r="AU5" i="6"/>
  <c r="AU53" i="6"/>
  <c r="AU58" i="6"/>
  <c r="AU79" i="6"/>
  <c r="AU90" i="6"/>
  <c r="AU11" i="6"/>
  <c r="AU55" i="6"/>
  <c r="AU84" i="6"/>
  <c r="AU65" i="6"/>
  <c r="AU95" i="6"/>
  <c r="CM5" i="6"/>
  <c r="CM9" i="6"/>
  <c r="CM13" i="6"/>
  <c r="CM17" i="6"/>
  <c r="CM3" i="6"/>
  <c r="CM4" i="6"/>
  <c r="CM12" i="6"/>
  <c r="CM16" i="6"/>
  <c r="CM6" i="6"/>
  <c r="CM27" i="6"/>
  <c r="CM29" i="6"/>
  <c r="CM15" i="6"/>
  <c r="CM20" i="6"/>
  <c r="CM11" i="6"/>
  <c r="CM32" i="6"/>
  <c r="CM40" i="6"/>
  <c r="CM44" i="6"/>
  <c r="CM48" i="6"/>
  <c r="CM28" i="6"/>
  <c r="CM35" i="6"/>
  <c r="CM56" i="6"/>
  <c r="CM58" i="6"/>
  <c r="CM61" i="6"/>
  <c r="CM65" i="6"/>
  <c r="CM14" i="6"/>
  <c r="CM41" i="6"/>
  <c r="CM50" i="6"/>
  <c r="CM70" i="6"/>
  <c r="CM72" i="6"/>
  <c r="CM30" i="6"/>
  <c r="CM49" i="6"/>
  <c r="CM66" i="6"/>
  <c r="CM74" i="6"/>
  <c r="CM33" i="6"/>
  <c r="CM36" i="6"/>
  <c r="CM69" i="6"/>
  <c r="CM21" i="6"/>
  <c r="CM8" i="6"/>
  <c r="CM47" i="6"/>
  <c r="CM57" i="6"/>
  <c r="CM76" i="6"/>
  <c r="CM81" i="6"/>
  <c r="CM88" i="6"/>
  <c r="CM95" i="6"/>
  <c r="CM102" i="6"/>
  <c r="CM109" i="6"/>
  <c r="CM75" i="6"/>
  <c r="CM77" i="6"/>
  <c r="CM111" i="6"/>
  <c r="CM113" i="6"/>
  <c r="CM130" i="6"/>
  <c r="CM134" i="6"/>
  <c r="CM7" i="6"/>
  <c r="CM10" i="6"/>
  <c r="CM31" i="6"/>
  <c r="CM42" i="6"/>
  <c r="CM59" i="6"/>
  <c r="CM22" i="6"/>
  <c r="CM83" i="6"/>
  <c r="CM91" i="6"/>
  <c r="CM106" i="6"/>
  <c r="CM124" i="6"/>
  <c r="CM64" i="6"/>
  <c r="CM125" i="6"/>
  <c r="CM34" i="6"/>
  <c r="CM37" i="6"/>
  <c r="CM71" i="6"/>
  <c r="CM82" i="6"/>
  <c r="CM89" i="6"/>
  <c r="CM90" i="6"/>
  <c r="CM97" i="6"/>
  <c r="CM98" i="6"/>
  <c r="CM105" i="6"/>
  <c r="CM114" i="6"/>
  <c r="CM115" i="6"/>
  <c r="CM2" i="6"/>
  <c r="CM68" i="6"/>
  <c r="CM39" i="6"/>
  <c r="CM60" i="6"/>
  <c r="CM84" i="6"/>
  <c r="CM54" i="6"/>
  <c r="CM67" i="6"/>
  <c r="CM55" i="6"/>
  <c r="CM51" i="6"/>
  <c r="CM62" i="6"/>
  <c r="CM96" i="6"/>
  <c r="CM101" i="6"/>
  <c r="BW5" i="6"/>
  <c r="BW9" i="6"/>
  <c r="BW13" i="6"/>
  <c r="BW17" i="6"/>
  <c r="BW8" i="6"/>
  <c r="BW15" i="6"/>
  <c r="BW12" i="6"/>
  <c r="BW7" i="6"/>
  <c r="BW10" i="6"/>
  <c r="BW29" i="6"/>
  <c r="BW20" i="6"/>
  <c r="BW14" i="6"/>
  <c r="BW22" i="6"/>
  <c r="BW25" i="6"/>
  <c r="BW40" i="6"/>
  <c r="BW44" i="6"/>
  <c r="BW48" i="6"/>
  <c r="BW30" i="6"/>
  <c r="BW31" i="6"/>
  <c r="BW27" i="6"/>
  <c r="BW32" i="6"/>
  <c r="BW37" i="6"/>
  <c r="BW45" i="6"/>
  <c r="BW46" i="6"/>
  <c r="BW47" i="6"/>
  <c r="BW52" i="6"/>
  <c r="BW54" i="6"/>
  <c r="BW21" i="6"/>
  <c r="BW56" i="6"/>
  <c r="BW58" i="6"/>
  <c r="BW61" i="6"/>
  <c r="BW65" i="6"/>
  <c r="BW11" i="6"/>
  <c r="BW3" i="6"/>
  <c r="BW26" i="6"/>
  <c r="BW35" i="6"/>
  <c r="BW51" i="6"/>
  <c r="BW68" i="6"/>
  <c r="BW6" i="6"/>
  <c r="BW62" i="6"/>
  <c r="BW63" i="6"/>
  <c r="BW64" i="6"/>
  <c r="BW70" i="6"/>
  <c r="BW72" i="6"/>
  <c r="BW36" i="6"/>
  <c r="BW19" i="6"/>
  <c r="BW41" i="6"/>
  <c r="BW73" i="6"/>
  <c r="BW84" i="6"/>
  <c r="BW91" i="6"/>
  <c r="BW98" i="6"/>
  <c r="BW109" i="6"/>
  <c r="BW130" i="6"/>
  <c r="BW134" i="6"/>
  <c r="BW49" i="6"/>
  <c r="BW75" i="6"/>
  <c r="BW92" i="6"/>
  <c r="BW100" i="6"/>
  <c r="BW108" i="6"/>
  <c r="BW110" i="6"/>
  <c r="BW111" i="6"/>
  <c r="BW122" i="6"/>
  <c r="BW123" i="6"/>
  <c r="BW18" i="6"/>
  <c r="BW43" i="6"/>
  <c r="BW55" i="6"/>
  <c r="BW77" i="6"/>
  <c r="BW99" i="6"/>
  <c r="BW107" i="6"/>
  <c r="BW112" i="6"/>
  <c r="BW113" i="6"/>
  <c r="BW42" i="6"/>
  <c r="BW78" i="6"/>
  <c r="BW85" i="6"/>
  <c r="BW97" i="6"/>
  <c r="BW102" i="6"/>
  <c r="BW28" i="6"/>
  <c r="BW60" i="6"/>
  <c r="BW66" i="6"/>
  <c r="BW74" i="6"/>
  <c r="BW79" i="6"/>
  <c r="BW81" i="6"/>
  <c r="BH2" i="6"/>
  <c r="BW2" i="6"/>
  <c r="BW133" i="6"/>
  <c r="CO132" i="6"/>
  <c r="BV132" i="6"/>
  <c r="CM131" i="6"/>
  <c r="AV131" i="6"/>
  <c r="AT130" i="6"/>
  <c r="BH129" i="6"/>
  <c r="BW128" i="6"/>
  <c r="CM127" i="6"/>
  <c r="BT127" i="6"/>
  <c r="AS127" i="6"/>
  <c r="BK126" i="6"/>
  <c r="BY125" i="6"/>
  <c r="AW125" i="6"/>
  <c r="CM122" i="6"/>
  <c r="AW122" i="6"/>
  <c r="BK121" i="6"/>
  <c r="BV120" i="6"/>
  <c r="CM119" i="6"/>
  <c r="BW117" i="6"/>
  <c r="BI116" i="6"/>
  <c r="BX115" i="6"/>
  <c r="CJ114" i="6"/>
  <c r="CM112" i="6"/>
  <c r="AS112" i="6"/>
  <c r="BH111" i="6"/>
  <c r="BT110" i="6"/>
  <c r="AU108" i="6"/>
  <c r="AT105" i="6"/>
  <c r="BY104" i="6"/>
  <c r="AR98" i="6"/>
  <c r="AR97" i="6"/>
  <c r="CJ93" i="6"/>
  <c r="BJ93" i="6"/>
  <c r="CM92" i="6"/>
  <c r="BI92" i="6"/>
  <c r="CL91" i="6"/>
  <c r="CN90" i="6"/>
  <c r="BT88" i="6"/>
  <c r="BT87" i="6"/>
  <c r="AS87" i="6"/>
  <c r="AU85" i="6"/>
  <c r="CL83" i="6"/>
  <c r="CN82" i="6"/>
  <c r="AU80" i="6"/>
  <c r="BK78" i="6"/>
  <c r="CK77" i="6"/>
  <c r="BT75" i="6"/>
  <c r="BH72" i="6"/>
  <c r="BX71" i="6"/>
  <c r="CJ69" i="6"/>
  <c r="CK63" i="6"/>
  <c r="AU60" i="6"/>
  <c r="CK52" i="6"/>
  <c r="AH50" i="6"/>
  <c r="CM46" i="6"/>
  <c r="BJ42" i="6"/>
  <c r="CL39" i="6"/>
  <c r="BW23" i="6"/>
  <c r="BH21" i="6"/>
  <c r="BX4" i="6"/>
  <c r="AW6" i="6"/>
  <c r="AW13" i="6"/>
  <c r="AW10" i="6"/>
  <c r="AW17" i="6"/>
  <c r="AW19" i="6"/>
  <c r="AW28" i="6"/>
  <c r="AW18" i="6"/>
  <c r="AW25" i="6"/>
  <c r="AW8" i="6"/>
  <c r="AW33" i="6"/>
  <c r="AW15" i="6"/>
  <c r="AW30" i="6"/>
  <c r="AW55" i="6"/>
  <c r="AW57" i="6"/>
  <c r="AW12" i="6"/>
  <c r="AW27" i="6"/>
  <c r="AW32" i="6"/>
  <c r="AW59" i="6"/>
  <c r="AW22" i="6"/>
  <c r="AW35" i="6"/>
  <c r="AW38" i="6"/>
  <c r="AW67" i="6"/>
  <c r="AW69" i="6"/>
  <c r="AW45" i="6"/>
  <c r="AW56" i="6"/>
  <c r="AW71" i="6"/>
  <c r="AW73" i="6"/>
  <c r="AW41" i="6"/>
  <c r="AW47" i="6"/>
  <c r="AW49" i="6"/>
  <c r="AW46" i="6"/>
  <c r="AW65" i="6"/>
  <c r="AW79" i="6"/>
  <c r="AW83" i="6"/>
  <c r="AW87" i="6"/>
  <c r="AW91" i="6"/>
  <c r="AW95" i="6"/>
  <c r="AW99" i="6"/>
  <c r="AW103" i="6"/>
  <c r="AW107" i="6"/>
  <c r="AW14" i="6"/>
  <c r="AW20" i="6"/>
  <c r="AW61" i="6"/>
  <c r="AW72" i="6"/>
  <c r="AW24" i="6"/>
  <c r="AW62" i="6"/>
  <c r="AW82" i="6"/>
  <c r="AW89" i="6"/>
  <c r="AW96" i="6"/>
  <c r="AW42" i="6"/>
  <c r="AW110" i="6"/>
  <c r="AW31" i="6"/>
  <c r="AW39" i="6"/>
  <c r="AW44" i="6"/>
  <c r="AW50" i="6"/>
  <c r="AW53" i="6"/>
  <c r="AW63" i="6"/>
  <c r="AW90" i="6"/>
  <c r="AW98" i="6"/>
  <c r="AW106" i="6"/>
  <c r="AW126" i="6"/>
  <c r="AW5" i="6"/>
  <c r="AW77" i="6"/>
  <c r="AW115" i="6"/>
  <c r="AW116" i="6"/>
  <c r="AW2" i="6"/>
  <c r="AW16" i="6"/>
  <c r="AW34" i="6"/>
  <c r="AW97" i="6"/>
  <c r="AW105" i="6"/>
  <c r="AW29" i="6"/>
  <c r="AW11" i="6"/>
  <c r="AW36" i="6"/>
  <c r="AW75" i="6"/>
  <c r="AW84" i="6"/>
  <c r="AW26" i="6"/>
  <c r="AW70" i="6"/>
  <c r="AW76" i="6"/>
  <c r="AW64" i="6"/>
  <c r="AW92" i="6"/>
  <c r="AW58" i="6"/>
  <c r="AW100" i="6"/>
  <c r="BY11" i="6"/>
  <c r="BY20" i="6"/>
  <c r="BY22" i="6"/>
  <c r="BY8" i="6"/>
  <c r="BY15" i="6"/>
  <c r="BY21" i="6"/>
  <c r="BY13" i="6"/>
  <c r="BY16" i="6"/>
  <c r="BY10" i="6"/>
  <c r="BY19" i="6"/>
  <c r="BY38" i="6"/>
  <c r="BY29" i="6"/>
  <c r="BY9" i="6"/>
  <c r="BY14" i="6"/>
  <c r="BY26" i="6"/>
  <c r="BY27" i="6"/>
  <c r="BY37" i="6"/>
  <c r="BY50" i="6"/>
  <c r="BY52" i="6"/>
  <c r="BY7" i="6"/>
  <c r="BY32" i="6"/>
  <c r="BY45" i="6"/>
  <c r="BY46" i="6"/>
  <c r="BY47" i="6"/>
  <c r="BY48" i="6"/>
  <c r="BY54" i="6"/>
  <c r="BY56" i="6"/>
  <c r="BY59" i="6"/>
  <c r="BY60" i="6"/>
  <c r="BY61" i="6"/>
  <c r="BY23" i="6"/>
  <c r="BY58" i="6"/>
  <c r="BY3" i="6"/>
  <c r="BY6" i="6"/>
  <c r="BY35" i="6"/>
  <c r="BY51" i="6"/>
  <c r="BY4" i="6"/>
  <c r="BY55" i="6"/>
  <c r="BY65" i="6"/>
  <c r="BY78" i="6"/>
  <c r="BY82" i="6"/>
  <c r="BY86" i="6"/>
  <c r="BY90" i="6"/>
  <c r="BY94" i="6"/>
  <c r="BY98" i="6"/>
  <c r="BY102" i="6"/>
  <c r="BY106" i="6"/>
  <c r="BY49" i="6"/>
  <c r="BY17" i="6"/>
  <c r="BY80" i="6"/>
  <c r="BY87" i="6"/>
  <c r="BY105" i="6"/>
  <c r="BY126" i="6"/>
  <c r="BY128" i="6"/>
  <c r="BY63" i="6"/>
  <c r="BY62" i="6"/>
  <c r="BY67" i="6"/>
  <c r="BY73" i="6"/>
  <c r="BY41" i="6"/>
  <c r="BY42" i="6"/>
  <c r="BY85" i="6"/>
  <c r="BY93" i="6"/>
  <c r="BY101" i="6"/>
  <c r="BY133" i="6"/>
  <c r="BY31" i="6"/>
  <c r="BY130" i="6"/>
  <c r="BY75" i="6"/>
  <c r="BY84" i="6"/>
  <c r="BY92" i="6"/>
  <c r="BY100" i="6"/>
  <c r="BY108" i="6"/>
  <c r="BY110" i="6"/>
  <c r="BY111" i="6"/>
  <c r="BY122" i="6"/>
  <c r="BY18" i="6"/>
  <c r="BY77" i="6"/>
  <c r="BY34" i="6"/>
  <c r="BY69" i="6"/>
  <c r="BY79" i="6"/>
  <c r="BY40" i="6"/>
  <c r="BY12" i="6"/>
  <c r="BY25" i="6"/>
  <c r="BY83" i="6"/>
  <c r="BY43" i="6"/>
  <c r="BY28" i="6"/>
  <c r="BY2" i="6"/>
  <c r="AW60" i="6"/>
  <c r="BY44" i="6"/>
  <c r="BY36" i="6"/>
  <c r="CN131" i="6"/>
  <c r="AW127" i="6"/>
  <c r="AV60" i="6"/>
  <c r="BV5" i="6"/>
  <c r="BV12" i="6"/>
  <c r="BV3" i="6"/>
  <c r="BV4" i="6"/>
  <c r="BV26" i="6"/>
  <c r="BV7" i="6"/>
  <c r="BV10" i="6"/>
  <c r="BV29" i="6"/>
  <c r="BV33" i="6"/>
  <c r="BV20" i="6"/>
  <c r="BV19" i="6"/>
  <c r="BV27" i="6"/>
  <c r="BV8" i="6"/>
  <c r="BV9" i="6"/>
  <c r="BV14" i="6"/>
  <c r="BV22" i="6"/>
  <c r="BV25" i="6"/>
  <c r="BV40" i="6"/>
  <c r="BV44" i="6"/>
  <c r="BV48" i="6"/>
  <c r="BV30" i="6"/>
  <c r="BV31" i="6"/>
  <c r="BV15" i="6"/>
  <c r="BV28" i="6"/>
  <c r="BV32" i="6"/>
  <c r="BV21" i="6"/>
  <c r="BV56" i="6"/>
  <c r="BV58" i="6"/>
  <c r="BV61" i="6"/>
  <c r="BV65" i="6"/>
  <c r="BV11" i="6"/>
  <c r="BV36" i="6"/>
  <c r="BV6" i="6"/>
  <c r="BV62" i="6"/>
  <c r="BV63" i="6"/>
  <c r="BV64" i="6"/>
  <c r="BV70" i="6"/>
  <c r="BV72" i="6"/>
  <c r="BV74" i="6"/>
  <c r="BV38" i="6"/>
  <c r="BV47" i="6"/>
  <c r="BV57" i="6"/>
  <c r="BV17" i="6"/>
  <c r="BV37" i="6"/>
  <c r="BV18" i="6"/>
  <c r="BV52" i="6"/>
  <c r="BV68" i="6"/>
  <c r="BV81" i="6"/>
  <c r="BV85" i="6"/>
  <c r="BV89" i="6"/>
  <c r="BV93" i="6"/>
  <c r="BV97" i="6"/>
  <c r="BV101" i="6"/>
  <c r="BV105" i="6"/>
  <c r="BV109" i="6"/>
  <c r="BV113" i="6"/>
  <c r="BV117" i="6"/>
  <c r="BV121" i="6"/>
  <c r="BV125" i="6"/>
  <c r="BV129" i="6"/>
  <c r="BV45" i="6"/>
  <c r="BV130" i="6"/>
  <c r="BV134" i="6"/>
  <c r="BV88" i="6"/>
  <c r="BV95" i="6"/>
  <c r="BV102" i="6"/>
  <c r="BV111" i="6"/>
  <c r="BV49" i="6"/>
  <c r="BV50" i="6"/>
  <c r="BV13" i="6"/>
  <c r="BV123" i="6"/>
  <c r="BV35" i="6"/>
  <c r="BV43" i="6"/>
  <c r="BV55" i="6"/>
  <c r="BV77" i="6"/>
  <c r="BV84" i="6"/>
  <c r="BV99" i="6"/>
  <c r="BV107" i="6"/>
  <c r="BV112" i="6"/>
  <c r="BV124" i="6"/>
  <c r="BV66" i="6"/>
  <c r="BV75" i="6"/>
  <c r="BV92" i="6"/>
  <c r="BV60" i="6"/>
  <c r="BV87" i="6"/>
  <c r="BV79" i="6"/>
  <c r="BV39" i="6"/>
  <c r="BV46" i="6"/>
  <c r="BV53" i="6"/>
  <c r="BV69" i="6"/>
  <c r="BY134" i="6"/>
  <c r="BV128" i="6"/>
  <c r="AV125" i="6"/>
  <c r="CO49" i="6"/>
  <c r="BW38" i="6"/>
  <c r="BV23" i="6"/>
  <c r="BW4" i="6"/>
  <c r="CO131" i="6"/>
  <c r="CO119" i="6"/>
  <c r="AW108" i="6"/>
  <c r="CO92" i="6"/>
  <c r="AW85" i="6"/>
  <c r="AW80" i="6"/>
  <c r="AV3" i="6"/>
  <c r="AV7" i="6"/>
  <c r="AV11" i="6"/>
  <c r="AV15" i="6"/>
  <c r="AV19" i="6"/>
  <c r="AV23" i="6"/>
  <c r="AV28" i="6"/>
  <c r="AV10" i="6"/>
  <c r="AV17" i="6"/>
  <c r="AV18" i="6"/>
  <c r="AV30" i="6"/>
  <c r="AV34" i="6"/>
  <c r="AV38" i="6"/>
  <c r="AV8" i="6"/>
  <c r="AV33" i="6"/>
  <c r="AV9" i="6"/>
  <c r="AV41" i="6"/>
  <c r="AV45" i="6"/>
  <c r="AV49" i="6"/>
  <c r="AV53" i="6"/>
  <c r="AV57" i="6"/>
  <c r="AV12" i="6"/>
  <c r="AV27" i="6"/>
  <c r="AV32" i="6"/>
  <c r="AV59" i="6"/>
  <c r="AV22" i="6"/>
  <c r="AV35" i="6"/>
  <c r="AV16" i="6"/>
  <c r="AV62" i="6"/>
  <c r="AV66" i="6"/>
  <c r="AV70" i="6"/>
  <c r="AV74" i="6"/>
  <c r="AV78" i="6"/>
  <c r="AV56" i="6"/>
  <c r="AV71" i="6"/>
  <c r="AV73" i="6"/>
  <c r="AV47" i="6"/>
  <c r="AV75" i="6"/>
  <c r="AV26" i="6"/>
  <c r="AV43" i="6"/>
  <c r="AV13" i="6"/>
  <c r="AV14" i="6"/>
  <c r="AV20" i="6"/>
  <c r="AV61" i="6"/>
  <c r="AV67" i="6"/>
  <c r="AV72" i="6"/>
  <c r="AV24" i="6"/>
  <c r="AV63" i="6"/>
  <c r="AV42" i="6"/>
  <c r="AV110" i="6"/>
  <c r="AV31" i="6"/>
  <c r="AV46" i="6"/>
  <c r="AV69" i="6"/>
  <c r="AV86" i="6"/>
  <c r="AV93" i="6"/>
  <c r="AV100" i="6"/>
  <c r="AV107" i="6"/>
  <c r="AV112" i="6"/>
  <c r="AV114" i="6"/>
  <c r="AV5" i="6"/>
  <c r="AV77" i="6"/>
  <c r="AV115" i="6"/>
  <c r="AV116" i="6"/>
  <c r="AV2" i="6"/>
  <c r="AV82" i="6"/>
  <c r="AV97" i="6"/>
  <c r="AV105" i="6"/>
  <c r="AV29" i="6"/>
  <c r="AV117" i="6"/>
  <c r="AV118" i="6"/>
  <c r="AV127" i="6"/>
  <c r="AV132" i="6"/>
  <c r="AV135" i="6"/>
  <c r="AV4" i="6"/>
  <c r="AV37" i="6"/>
  <c r="AV40" i="6"/>
  <c r="AV81" i="6"/>
  <c r="AV25" i="6"/>
  <c r="AV39" i="6"/>
  <c r="AV44" i="6"/>
  <c r="AV50" i="6"/>
  <c r="AV64" i="6"/>
  <c r="AV87" i="6"/>
  <c r="AV92" i="6"/>
  <c r="AV58" i="6"/>
  <c r="AV6" i="6"/>
  <c r="AV79" i="6"/>
  <c r="AV21" i="6"/>
  <c r="AV55" i="6"/>
  <c r="AV84" i="6"/>
  <c r="BX133" i="6"/>
  <c r="CN119" i="6"/>
  <c r="AV85" i="6"/>
  <c r="AH84" i="6"/>
  <c r="AH78" i="6"/>
  <c r="BJ14" i="6"/>
  <c r="BJ7" i="6"/>
  <c r="BJ18" i="6"/>
  <c r="BJ20" i="6"/>
  <c r="BJ22" i="6"/>
  <c r="BJ27" i="6"/>
  <c r="BJ30" i="6"/>
  <c r="BJ34" i="6"/>
  <c r="BJ8" i="6"/>
  <c r="BJ11" i="6"/>
  <c r="BJ23" i="6"/>
  <c r="BJ17" i="6"/>
  <c r="BJ26" i="6"/>
  <c r="BJ5" i="6"/>
  <c r="BJ41" i="6"/>
  <c r="BJ45" i="6"/>
  <c r="BJ3" i="6"/>
  <c r="BJ21" i="6"/>
  <c r="BJ24" i="6"/>
  <c r="BJ36" i="6"/>
  <c r="BJ4" i="6"/>
  <c r="BJ38" i="6"/>
  <c r="BJ10" i="6"/>
  <c r="BJ40" i="6"/>
  <c r="BJ62" i="6"/>
  <c r="BJ66" i="6"/>
  <c r="BJ29" i="6"/>
  <c r="BJ31" i="6"/>
  <c r="BJ13" i="6"/>
  <c r="BJ39" i="6"/>
  <c r="BJ48" i="6"/>
  <c r="BJ9" i="6"/>
  <c r="BJ33" i="6"/>
  <c r="BJ44" i="6"/>
  <c r="BJ16" i="6"/>
  <c r="BJ46" i="6"/>
  <c r="BJ28" i="6"/>
  <c r="BJ64" i="6"/>
  <c r="BJ75" i="6"/>
  <c r="BJ6" i="6"/>
  <c r="BJ60" i="6"/>
  <c r="BJ76" i="6"/>
  <c r="BJ82" i="6"/>
  <c r="BJ86" i="6"/>
  <c r="BJ90" i="6"/>
  <c r="BJ94" i="6"/>
  <c r="BJ98" i="6"/>
  <c r="BJ102" i="6"/>
  <c r="BJ106" i="6"/>
  <c r="BJ110" i="6"/>
  <c r="BJ114" i="6"/>
  <c r="BJ118" i="6"/>
  <c r="BJ122" i="6"/>
  <c r="BJ126" i="6"/>
  <c r="BJ43" i="6"/>
  <c r="BJ55" i="6"/>
  <c r="BJ57" i="6"/>
  <c r="BJ120" i="6"/>
  <c r="BJ131" i="6"/>
  <c r="BJ135" i="6"/>
  <c r="BJ47" i="6"/>
  <c r="BJ59" i="6"/>
  <c r="BJ71" i="6"/>
  <c r="BJ83" i="6"/>
  <c r="BJ101" i="6"/>
  <c r="BJ108" i="6"/>
  <c r="BJ124" i="6"/>
  <c r="BJ51" i="6"/>
  <c r="BJ68" i="6"/>
  <c r="BJ119" i="6"/>
  <c r="BJ129" i="6"/>
  <c r="BJ32" i="6"/>
  <c r="BJ54" i="6"/>
  <c r="BJ87" i="6"/>
  <c r="BJ95" i="6"/>
  <c r="BJ103" i="6"/>
  <c r="BJ74" i="6"/>
  <c r="BJ121" i="6"/>
  <c r="BJ133" i="6"/>
  <c r="BJ79" i="6"/>
  <c r="BJ19" i="6"/>
  <c r="BJ35" i="6"/>
  <c r="BJ67" i="6"/>
  <c r="BJ12" i="6"/>
  <c r="BJ65" i="6"/>
  <c r="BJ37" i="6"/>
  <c r="BJ53" i="6"/>
  <c r="BJ61" i="6"/>
  <c r="BJ88" i="6"/>
  <c r="BJ72" i="6"/>
  <c r="BJ73" i="6"/>
  <c r="BJ50" i="6"/>
  <c r="CL5" i="6"/>
  <c r="CL16" i="6"/>
  <c r="CL9" i="6"/>
  <c r="CL26" i="6"/>
  <c r="CL6" i="6"/>
  <c r="CL27" i="6"/>
  <c r="CL29" i="6"/>
  <c r="CL33" i="6"/>
  <c r="CL12" i="6"/>
  <c r="CL15" i="6"/>
  <c r="CL18" i="6"/>
  <c r="CL11" i="6"/>
  <c r="CL32" i="6"/>
  <c r="CL40" i="6"/>
  <c r="CL44" i="6"/>
  <c r="CL48" i="6"/>
  <c r="CL3" i="6"/>
  <c r="CL4" i="6"/>
  <c r="CL21" i="6"/>
  <c r="CL61" i="6"/>
  <c r="CL65" i="6"/>
  <c r="CL17" i="6"/>
  <c r="CL24" i="6"/>
  <c r="CL30" i="6"/>
  <c r="CL49" i="6"/>
  <c r="CL66" i="6"/>
  <c r="CL74" i="6"/>
  <c r="CL28" i="6"/>
  <c r="CL36" i="6"/>
  <c r="CL55" i="6"/>
  <c r="CL56" i="6"/>
  <c r="CL50" i="6"/>
  <c r="CL70" i="6"/>
  <c r="CL71" i="6"/>
  <c r="CL81" i="6"/>
  <c r="CL85" i="6"/>
  <c r="CL89" i="6"/>
  <c r="CL93" i="6"/>
  <c r="CL97" i="6"/>
  <c r="CL101" i="6"/>
  <c r="CL105" i="6"/>
  <c r="CL109" i="6"/>
  <c r="CL113" i="6"/>
  <c r="CL117" i="6"/>
  <c r="CL121" i="6"/>
  <c r="CL125" i="6"/>
  <c r="CL129" i="6"/>
  <c r="CL75" i="6"/>
  <c r="CL77" i="6"/>
  <c r="CL111" i="6"/>
  <c r="CL130" i="6"/>
  <c r="CL134" i="6"/>
  <c r="CL46" i="6"/>
  <c r="CL7" i="6"/>
  <c r="CL10" i="6"/>
  <c r="CL31" i="6"/>
  <c r="CL42" i="6"/>
  <c r="CL58" i="6"/>
  <c r="CL59" i="6"/>
  <c r="CL92" i="6"/>
  <c r="CL99" i="6"/>
  <c r="CL106" i="6"/>
  <c r="CL115" i="6"/>
  <c r="CL13" i="6"/>
  <c r="CL60" i="6"/>
  <c r="CL64" i="6"/>
  <c r="CL8" i="6"/>
  <c r="CL14" i="6"/>
  <c r="CL34" i="6"/>
  <c r="CL37" i="6"/>
  <c r="CL82" i="6"/>
  <c r="CL90" i="6"/>
  <c r="CL98" i="6"/>
  <c r="CL114" i="6"/>
  <c r="CL2" i="6"/>
  <c r="CL68" i="6"/>
  <c r="CL131" i="6"/>
  <c r="CL19" i="6"/>
  <c r="CL20" i="6"/>
  <c r="CL53" i="6"/>
  <c r="CL76" i="6"/>
  <c r="CL54" i="6"/>
  <c r="CL67" i="6"/>
  <c r="CL73" i="6"/>
  <c r="CL22" i="6"/>
  <c r="CL57" i="6"/>
  <c r="CL88" i="6"/>
  <c r="CL103" i="6"/>
  <c r="CL108" i="6"/>
  <c r="CL51" i="6"/>
  <c r="CL62" i="6"/>
  <c r="CL25" i="6"/>
  <c r="BV133" i="6"/>
  <c r="CN132" i="6"/>
  <c r="BY123" i="6"/>
  <c r="CL122" i="6"/>
  <c r="AV122" i="6"/>
  <c r="AH118" i="6"/>
  <c r="AW117" i="6"/>
  <c r="CL112" i="6"/>
  <c r="AH109" i="6"/>
  <c r="AT108" i="6"/>
  <c r="BX104" i="6"/>
  <c r="BY96" i="6"/>
  <c r="BX85" i="6"/>
  <c r="CN78" i="6"/>
  <c r="BJ78" i="6"/>
  <c r="BJ58" i="6"/>
  <c r="CN53" i="6"/>
  <c r="BI7" i="6"/>
  <c r="BI18" i="6"/>
  <c r="BI20" i="6"/>
  <c r="BI22" i="6"/>
  <c r="BI11" i="6"/>
  <c r="BI24" i="6"/>
  <c r="BI8" i="6"/>
  <c r="BI23" i="6"/>
  <c r="BI17" i="6"/>
  <c r="BI26" i="6"/>
  <c r="BI5" i="6"/>
  <c r="BI14" i="6"/>
  <c r="BI3" i="6"/>
  <c r="BI21" i="6"/>
  <c r="BI36" i="6"/>
  <c r="BI4" i="6"/>
  <c r="BI34" i="6"/>
  <c r="BI38" i="6"/>
  <c r="BI12" i="6"/>
  <c r="BI29" i="6"/>
  <c r="BI31" i="6"/>
  <c r="BI13" i="6"/>
  <c r="BI39" i="6"/>
  <c r="BI9" i="6"/>
  <c r="BI33" i="6"/>
  <c r="BI41" i="6"/>
  <c r="BI42" i="6"/>
  <c r="BI43" i="6"/>
  <c r="BI44" i="6"/>
  <c r="BI50" i="6"/>
  <c r="BI52" i="6"/>
  <c r="BI16" i="6"/>
  <c r="BI46" i="6"/>
  <c r="BI28" i="6"/>
  <c r="BI37" i="6"/>
  <c r="BI53" i="6"/>
  <c r="BI6" i="6"/>
  <c r="BI60" i="6"/>
  <c r="BI66" i="6"/>
  <c r="BI76" i="6"/>
  <c r="BI82" i="6"/>
  <c r="BI86" i="6"/>
  <c r="BI90" i="6"/>
  <c r="BI94" i="6"/>
  <c r="BI98" i="6"/>
  <c r="BI102" i="6"/>
  <c r="BI106" i="6"/>
  <c r="BI51" i="6"/>
  <c r="BI54" i="6"/>
  <c r="BI57" i="6"/>
  <c r="BI62" i="6"/>
  <c r="BI78" i="6"/>
  <c r="BI47" i="6"/>
  <c r="BI59" i="6"/>
  <c r="BI71" i="6"/>
  <c r="BI83" i="6"/>
  <c r="BI101" i="6"/>
  <c r="BI108" i="6"/>
  <c r="BI122" i="6"/>
  <c r="BI124" i="6"/>
  <c r="BI74" i="6"/>
  <c r="BI126" i="6"/>
  <c r="BI128" i="6"/>
  <c r="BI32" i="6"/>
  <c r="BI87" i="6"/>
  <c r="BI95" i="6"/>
  <c r="BI103" i="6"/>
  <c r="BI48" i="6"/>
  <c r="BI120" i="6"/>
  <c r="BI121" i="6"/>
  <c r="BI133" i="6"/>
  <c r="BI79" i="6"/>
  <c r="BI109" i="6"/>
  <c r="BI25" i="6"/>
  <c r="BI27" i="6"/>
  <c r="BI64" i="6"/>
  <c r="BI65" i="6"/>
  <c r="BI80" i="6"/>
  <c r="BI68" i="6"/>
  <c r="BI72" i="6"/>
  <c r="BI73" i="6"/>
  <c r="BI91" i="6"/>
  <c r="BI49" i="6"/>
  <c r="BI96" i="6"/>
  <c r="AS14" i="6"/>
  <c r="AS7" i="6"/>
  <c r="AS20" i="6"/>
  <c r="AS22" i="6"/>
  <c r="AS9" i="6"/>
  <c r="AS12" i="6"/>
  <c r="AS15" i="6"/>
  <c r="AS24" i="6"/>
  <c r="AS4" i="6"/>
  <c r="AS6" i="6"/>
  <c r="AS25" i="6"/>
  <c r="AS23" i="6"/>
  <c r="AS27" i="6"/>
  <c r="AS36" i="6"/>
  <c r="AS38" i="6"/>
  <c r="AS11" i="6"/>
  <c r="AS21" i="6"/>
  <c r="AS34" i="6"/>
  <c r="AS40" i="6"/>
  <c r="AS35" i="6"/>
  <c r="AS45" i="6"/>
  <c r="AS5" i="6"/>
  <c r="AS41" i="6"/>
  <c r="AS55" i="6"/>
  <c r="AS10" i="6"/>
  <c r="AS17" i="6"/>
  <c r="AS19" i="6"/>
  <c r="AS54" i="6"/>
  <c r="AS29" i="6"/>
  <c r="AS37" i="6"/>
  <c r="AS74" i="6"/>
  <c r="AS82" i="6"/>
  <c r="AS86" i="6"/>
  <c r="AS90" i="6"/>
  <c r="AS94" i="6"/>
  <c r="AS98" i="6"/>
  <c r="AS102" i="6"/>
  <c r="AS106" i="6"/>
  <c r="AS56" i="6"/>
  <c r="AS59" i="6"/>
  <c r="AS75" i="6"/>
  <c r="AS79" i="6"/>
  <c r="AS97" i="6"/>
  <c r="AS104" i="6"/>
  <c r="AS118" i="6"/>
  <c r="AS120" i="6"/>
  <c r="AS50" i="6"/>
  <c r="AS122" i="6"/>
  <c r="AS124" i="6"/>
  <c r="AS63" i="6"/>
  <c r="AS81" i="6"/>
  <c r="AS89" i="6"/>
  <c r="AS128" i="6"/>
  <c r="AS16" i="6"/>
  <c r="AS28" i="6"/>
  <c r="AS42" i="6"/>
  <c r="AS52" i="6"/>
  <c r="AS70" i="6"/>
  <c r="AS135" i="6"/>
  <c r="AS76" i="6"/>
  <c r="AS80" i="6"/>
  <c r="AS88" i="6"/>
  <c r="AS96" i="6"/>
  <c r="AS119" i="6"/>
  <c r="AS129" i="6"/>
  <c r="AS73" i="6"/>
  <c r="AS26" i="6"/>
  <c r="AS46" i="6"/>
  <c r="AS33" i="6"/>
  <c r="AS84" i="6"/>
  <c r="AS105" i="6"/>
  <c r="AS62" i="6"/>
  <c r="AS65" i="6"/>
  <c r="AS95" i="6"/>
  <c r="AS100" i="6"/>
  <c r="AS51" i="6"/>
  <c r="AS67" i="6"/>
  <c r="AS85" i="6"/>
  <c r="AS93" i="6"/>
  <c r="CK5" i="6"/>
  <c r="CK16" i="6"/>
  <c r="CK9" i="6"/>
  <c r="CK12" i="6"/>
  <c r="CK15" i="6"/>
  <c r="CK18" i="6"/>
  <c r="CK3" i="6"/>
  <c r="CK4" i="6"/>
  <c r="CK21" i="6"/>
  <c r="CK24" i="6"/>
  <c r="CK27" i="6"/>
  <c r="CK35" i="6"/>
  <c r="CK17" i="6"/>
  <c r="CK8" i="6"/>
  <c r="CK34" i="6"/>
  <c r="CK28" i="6"/>
  <c r="CK32" i="6"/>
  <c r="CK36" i="6"/>
  <c r="CK33" i="6"/>
  <c r="CK55" i="6"/>
  <c r="CK56" i="6"/>
  <c r="CK30" i="6"/>
  <c r="CK70" i="6"/>
  <c r="CK71" i="6"/>
  <c r="CK81" i="6"/>
  <c r="CK85" i="6"/>
  <c r="CK89" i="6"/>
  <c r="CK93" i="6"/>
  <c r="CK97" i="6"/>
  <c r="CK101" i="6"/>
  <c r="CK105" i="6"/>
  <c r="CK20" i="6"/>
  <c r="CK7" i="6"/>
  <c r="CK10" i="6"/>
  <c r="CK31" i="6"/>
  <c r="CK42" i="6"/>
  <c r="CK58" i="6"/>
  <c r="CK59" i="6"/>
  <c r="CK92" i="6"/>
  <c r="CK99" i="6"/>
  <c r="CK106" i="6"/>
  <c r="CK113" i="6"/>
  <c r="CK115" i="6"/>
  <c r="CK11" i="6"/>
  <c r="CK13" i="6"/>
  <c r="CK46" i="6"/>
  <c r="CK60" i="6"/>
  <c r="CK117" i="6"/>
  <c r="CK119" i="6"/>
  <c r="CK26" i="6"/>
  <c r="CK14" i="6"/>
  <c r="CK37" i="6"/>
  <c r="CK44" i="6"/>
  <c r="CK82" i="6"/>
  <c r="CK90" i="6"/>
  <c r="CK98" i="6"/>
  <c r="CK114" i="6"/>
  <c r="CK125" i="6"/>
  <c r="CK2" i="6"/>
  <c r="CK68" i="6"/>
  <c r="CK131" i="6"/>
  <c r="CK19" i="6"/>
  <c r="CK53" i="6"/>
  <c r="CK76" i="6"/>
  <c r="CK96" i="6"/>
  <c r="CK104" i="6"/>
  <c r="CK116" i="6"/>
  <c r="CK126" i="6"/>
  <c r="CK40" i="6"/>
  <c r="CK74" i="6"/>
  <c r="CK22" i="6"/>
  <c r="CK57" i="6"/>
  <c r="CK65" i="6"/>
  <c r="CK83" i="6"/>
  <c r="CK29" i="6"/>
  <c r="CK64" i="6"/>
  <c r="CK51" i="6"/>
  <c r="CK62" i="6"/>
  <c r="CK25" i="6"/>
  <c r="BU12" i="6"/>
  <c r="BU3" i="6"/>
  <c r="BU4" i="6"/>
  <c r="BU16" i="6"/>
  <c r="BU20" i="6"/>
  <c r="BU19" i="6"/>
  <c r="BU27" i="6"/>
  <c r="BU29" i="6"/>
  <c r="BU30" i="6"/>
  <c r="BU31" i="6"/>
  <c r="BU15" i="6"/>
  <c r="BU28" i="6"/>
  <c r="BU32" i="6"/>
  <c r="BU23" i="6"/>
  <c r="BU11" i="6"/>
  <c r="BU22" i="6"/>
  <c r="BU7" i="6"/>
  <c r="BU36" i="6"/>
  <c r="BU48" i="6"/>
  <c r="BU6" i="6"/>
  <c r="BU35" i="6"/>
  <c r="BU58" i="6"/>
  <c r="BU74" i="6"/>
  <c r="BU8" i="6"/>
  <c r="BU38" i="6"/>
  <c r="BU47" i="6"/>
  <c r="BU57" i="6"/>
  <c r="BU13" i="6"/>
  <c r="BU25" i="6"/>
  <c r="BU43" i="6"/>
  <c r="BU50" i="6"/>
  <c r="BU65" i="6"/>
  <c r="BU66" i="6"/>
  <c r="BU5" i="6"/>
  <c r="BU18" i="6"/>
  <c r="BU52" i="6"/>
  <c r="BU68" i="6"/>
  <c r="BU81" i="6"/>
  <c r="BU85" i="6"/>
  <c r="BU89" i="6"/>
  <c r="BU93" i="6"/>
  <c r="BU97" i="6"/>
  <c r="BU101" i="6"/>
  <c r="BU105" i="6"/>
  <c r="BU63" i="6"/>
  <c r="BU67" i="6"/>
  <c r="BU69" i="6"/>
  <c r="BU26" i="6"/>
  <c r="BU62" i="6"/>
  <c r="BU88" i="6"/>
  <c r="BU95" i="6"/>
  <c r="BU102" i="6"/>
  <c r="BU109" i="6"/>
  <c r="BU111" i="6"/>
  <c r="BU49" i="6"/>
  <c r="BU76" i="6"/>
  <c r="BU113" i="6"/>
  <c r="BU115" i="6"/>
  <c r="BU34" i="6"/>
  <c r="BU55" i="6"/>
  <c r="BU77" i="6"/>
  <c r="BU84" i="6"/>
  <c r="BU99" i="6"/>
  <c r="BU107" i="6"/>
  <c r="BU112" i="6"/>
  <c r="BU124" i="6"/>
  <c r="BU45" i="6"/>
  <c r="BU83" i="6"/>
  <c r="BU91" i="6"/>
  <c r="BU106" i="6"/>
  <c r="BU125" i="6"/>
  <c r="BU2" i="6"/>
  <c r="BU70" i="6"/>
  <c r="BU14" i="6"/>
  <c r="BU40" i="6"/>
  <c r="BU75" i="6"/>
  <c r="BU60" i="6"/>
  <c r="BU87" i="6"/>
  <c r="BU17" i="6"/>
  <c r="BU79" i="6"/>
  <c r="BU39" i="6"/>
  <c r="BU46" i="6"/>
  <c r="BU53" i="6"/>
  <c r="BU41" i="6"/>
  <c r="BU44" i="6"/>
  <c r="BU80" i="6"/>
  <c r="BU90" i="6"/>
  <c r="BU100" i="6"/>
  <c r="BY135" i="6"/>
  <c r="BX134" i="6"/>
  <c r="CO133" i="6"/>
  <c r="BU133" i="6"/>
  <c r="CM132" i="6"/>
  <c r="BT132" i="6"/>
  <c r="AR131" i="6"/>
  <c r="BJ130" i="6"/>
  <c r="CO128" i="6"/>
  <c r="BU128" i="6"/>
  <c r="CK127" i="6"/>
  <c r="BW125" i="6"/>
  <c r="AU125" i="6"/>
  <c r="BH124" i="6"/>
  <c r="BU123" i="6"/>
  <c r="CK122" i="6"/>
  <c r="AU122" i="6"/>
  <c r="AH121" i="6"/>
  <c r="BT120" i="6"/>
  <c r="AW120" i="6"/>
  <c r="BY118" i="6"/>
  <c r="CO117" i="6"/>
  <c r="AS117" i="6"/>
  <c r="BV115" i="6"/>
  <c r="BK114" i="6"/>
  <c r="CK112" i="6"/>
  <c r="CN110" i="6"/>
  <c r="BK109" i="6"/>
  <c r="CO108" i="6"/>
  <c r="AS108" i="6"/>
  <c r="AH106" i="6"/>
  <c r="BW104" i="6"/>
  <c r="CL102" i="6"/>
  <c r="AH102" i="6"/>
  <c r="BK100" i="6"/>
  <c r="BK99" i="6"/>
  <c r="BX96" i="6"/>
  <c r="AU96" i="6"/>
  <c r="BY95" i="6"/>
  <c r="BT86" i="6"/>
  <c r="AW86" i="6"/>
  <c r="BK84" i="6"/>
  <c r="AH80" i="6"/>
  <c r="CM78" i="6"/>
  <c r="AH75" i="6"/>
  <c r="BV73" i="6"/>
  <c r="BV71" i="6"/>
  <c r="BK70" i="6"/>
  <c r="CN62" i="6"/>
  <c r="AU61" i="6"/>
  <c r="AS60" i="6"/>
  <c r="BI58" i="6"/>
  <c r="BU56" i="6"/>
  <c r="CM53" i="6"/>
  <c r="CK49" i="6"/>
  <c r="CK47" i="6"/>
  <c r="AW43" i="6"/>
  <c r="AV36" i="6"/>
  <c r="AH35" i="6"/>
  <c r="BY33" i="6"/>
  <c r="AS30" i="6"/>
  <c r="CM19" i="6"/>
  <c r="CO8" i="6"/>
  <c r="CO15" i="6"/>
  <c r="CO24" i="6"/>
  <c r="CO3" i="6"/>
  <c r="CO4" i="6"/>
  <c r="CO5" i="6"/>
  <c r="CO12" i="6"/>
  <c r="CO20" i="6"/>
  <c r="CO9" i="6"/>
  <c r="CO19" i="6"/>
  <c r="CO6" i="6"/>
  <c r="CO27" i="6"/>
  <c r="CO10" i="6"/>
  <c r="CO17" i="6"/>
  <c r="CO28" i="6"/>
  <c r="CO30" i="6"/>
  <c r="CO31" i="6"/>
  <c r="CO50" i="6"/>
  <c r="CO52" i="6"/>
  <c r="CO13" i="6"/>
  <c r="CO36" i="6"/>
  <c r="CO54" i="6"/>
  <c r="CO56" i="6"/>
  <c r="CO35" i="6"/>
  <c r="CO58" i="6"/>
  <c r="CO43" i="6"/>
  <c r="CO62" i="6"/>
  <c r="CO63" i="6"/>
  <c r="CO64" i="6"/>
  <c r="CO65" i="6"/>
  <c r="CO7" i="6"/>
  <c r="CO14" i="6"/>
  <c r="CO32" i="6"/>
  <c r="CO39" i="6"/>
  <c r="CO45" i="6"/>
  <c r="CO57" i="6"/>
  <c r="CO68" i="6"/>
  <c r="CO41" i="6"/>
  <c r="CO53" i="6"/>
  <c r="CO59" i="6"/>
  <c r="CO78" i="6"/>
  <c r="CO82" i="6"/>
  <c r="CO86" i="6"/>
  <c r="CO90" i="6"/>
  <c r="CO94" i="6"/>
  <c r="CO98" i="6"/>
  <c r="CO102" i="6"/>
  <c r="CO106" i="6"/>
  <c r="CO67" i="6"/>
  <c r="CO69" i="6"/>
  <c r="CO72" i="6"/>
  <c r="CO84" i="6"/>
  <c r="CO91" i="6"/>
  <c r="CO47" i="6"/>
  <c r="CO25" i="6"/>
  <c r="CO33" i="6"/>
  <c r="CO11" i="6"/>
  <c r="CO29" i="6"/>
  <c r="CO60" i="6"/>
  <c r="CO73" i="6"/>
  <c r="CO99" i="6"/>
  <c r="CO107" i="6"/>
  <c r="CO123" i="6"/>
  <c r="CO22" i="6"/>
  <c r="CO44" i="6"/>
  <c r="CO112" i="6"/>
  <c r="CO113" i="6"/>
  <c r="CO42" i="6"/>
  <c r="CO83" i="6"/>
  <c r="CO124" i="6"/>
  <c r="CO37" i="6"/>
  <c r="CO23" i="6"/>
  <c r="CO48" i="6"/>
  <c r="CO70" i="6"/>
  <c r="CO77" i="6"/>
  <c r="CO21" i="6"/>
  <c r="CO46" i="6"/>
  <c r="CO51" i="6"/>
  <c r="CO95" i="6"/>
  <c r="CO100" i="6"/>
  <c r="CO71" i="6"/>
  <c r="CO88" i="6"/>
  <c r="CO93" i="6"/>
  <c r="CO55" i="6"/>
  <c r="CO127" i="6"/>
  <c r="CO122" i="6"/>
  <c r="BY117" i="6"/>
  <c r="CO114" i="6"/>
  <c r="AW112" i="6"/>
  <c r="AH3" i="6"/>
  <c r="AH21" i="6"/>
  <c r="AH23" i="6"/>
  <c r="AH9" i="6"/>
  <c r="AH16" i="6"/>
  <c r="AH28" i="6"/>
  <c r="AH5" i="6"/>
  <c r="AH31" i="6"/>
  <c r="AH10" i="6"/>
  <c r="AH13" i="6"/>
  <c r="AH20" i="6"/>
  <c r="AH17" i="6"/>
  <c r="AH24" i="6"/>
  <c r="AH39" i="6"/>
  <c r="AH42" i="6"/>
  <c r="AH46" i="6"/>
  <c r="AH6" i="6"/>
  <c r="AH11" i="6"/>
  <c r="AH4" i="6"/>
  <c r="AH18" i="6"/>
  <c r="AH29" i="6"/>
  <c r="AH32" i="6"/>
  <c r="AH47" i="6"/>
  <c r="AH48" i="6"/>
  <c r="AH49" i="6"/>
  <c r="AH63" i="6"/>
  <c r="AH67" i="6"/>
  <c r="AH51" i="6"/>
  <c r="AH53" i="6"/>
  <c r="AH14" i="6"/>
  <c r="AH37" i="6"/>
  <c r="AH55" i="6"/>
  <c r="AH57" i="6"/>
  <c r="AH30" i="6"/>
  <c r="AH44" i="6"/>
  <c r="AH64" i="6"/>
  <c r="AH65" i="6"/>
  <c r="AH66" i="6"/>
  <c r="AH8" i="6"/>
  <c r="AH15" i="6"/>
  <c r="AH33" i="6"/>
  <c r="AH40" i="6"/>
  <c r="AH58" i="6"/>
  <c r="AH34" i="6"/>
  <c r="AH69" i="6"/>
  <c r="AH25" i="6"/>
  <c r="AH54" i="6"/>
  <c r="AH60" i="6"/>
  <c r="AH79" i="6"/>
  <c r="AH83" i="6"/>
  <c r="AH87" i="6"/>
  <c r="AH91" i="6"/>
  <c r="AH95" i="6"/>
  <c r="AH99" i="6"/>
  <c r="AH103" i="6"/>
  <c r="AH107" i="6"/>
  <c r="AH111" i="6"/>
  <c r="AH115" i="6"/>
  <c r="AH119" i="6"/>
  <c r="AH123" i="6"/>
  <c r="AH127" i="6"/>
  <c r="AH7" i="6"/>
  <c r="AH56" i="6"/>
  <c r="AH70" i="6"/>
  <c r="AH129" i="6"/>
  <c r="AH132" i="6"/>
  <c r="AH73" i="6"/>
  <c r="AH85" i="6"/>
  <c r="AH92" i="6"/>
  <c r="AH26" i="6"/>
  <c r="AH59" i="6"/>
  <c r="AH22" i="6"/>
  <c r="AH52" i="6"/>
  <c r="AH68" i="6"/>
  <c r="AH112" i="6"/>
  <c r="AH131" i="6"/>
  <c r="AH134" i="6"/>
  <c r="AH61" i="6"/>
  <c r="AH74" i="6"/>
  <c r="AH100" i="6"/>
  <c r="AH108" i="6"/>
  <c r="AH124" i="6"/>
  <c r="AH45" i="6"/>
  <c r="AH113" i="6"/>
  <c r="AH114" i="6"/>
  <c r="AH43" i="6"/>
  <c r="AH62" i="6"/>
  <c r="AH81" i="6"/>
  <c r="AH82" i="6"/>
  <c r="AH86" i="6"/>
  <c r="AH96" i="6"/>
  <c r="AH101" i="6"/>
  <c r="AH72" i="6"/>
  <c r="BX6" i="6"/>
  <c r="BX10" i="6"/>
  <c r="BX14" i="6"/>
  <c r="BX18" i="6"/>
  <c r="BX22" i="6"/>
  <c r="BX24" i="6"/>
  <c r="BX27" i="6"/>
  <c r="BX8" i="6"/>
  <c r="BX15" i="6"/>
  <c r="BX13" i="6"/>
  <c r="BX16" i="6"/>
  <c r="BX7" i="6"/>
  <c r="BX29" i="6"/>
  <c r="BX33" i="6"/>
  <c r="BX37" i="6"/>
  <c r="BX9" i="6"/>
  <c r="BX25" i="6"/>
  <c r="BX40" i="6"/>
  <c r="BX44" i="6"/>
  <c r="BX48" i="6"/>
  <c r="BX52" i="6"/>
  <c r="BX56" i="6"/>
  <c r="BX26" i="6"/>
  <c r="BX38" i="6"/>
  <c r="BX50" i="6"/>
  <c r="BX32" i="6"/>
  <c r="BX45" i="6"/>
  <c r="BX46" i="6"/>
  <c r="BX47" i="6"/>
  <c r="BX54" i="6"/>
  <c r="BX20" i="6"/>
  <c r="BX21" i="6"/>
  <c r="BX30" i="6"/>
  <c r="BX58" i="6"/>
  <c r="BX61" i="6"/>
  <c r="BX65" i="6"/>
  <c r="BX69" i="6"/>
  <c r="BX73" i="6"/>
  <c r="BX77" i="6"/>
  <c r="BX23" i="6"/>
  <c r="BX3" i="6"/>
  <c r="BX35" i="6"/>
  <c r="BX51" i="6"/>
  <c r="BX68" i="6"/>
  <c r="BX62" i="6"/>
  <c r="BX63" i="6"/>
  <c r="BX64" i="6"/>
  <c r="BX11" i="6"/>
  <c r="BX49" i="6"/>
  <c r="BX5" i="6"/>
  <c r="BX17" i="6"/>
  <c r="BX31" i="6"/>
  <c r="BX36" i="6"/>
  <c r="BX67" i="6"/>
  <c r="BX19" i="6"/>
  <c r="BX41" i="6"/>
  <c r="BX84" i="6"/>
  <c r="BX91" i="6"/>
  <c r="BX98" i="6"/>
  <c r="BX130" i="6"/>
  <c r="BX75" i="6"/>
  <c r="BX92" i="6"/>
  <c r="BX100" i="6"/>
  <c r="BX108" i="6"/>
  <c r="BX110" i="6"/>
  <c r="BX111" i="6"/>
  <c r="BX122" i="6"/>
  <c r="BX123" i="6"/>
  <c r="BX12" i="6"/>
  <c r="BX43" i="6"/>
  <c r="BX55" i="6"/>
  <c r="BX72" i="6"/>
  <c r="BX42" i="6"/>
  <c r="BX78" i="6"/>
  <c r="BX94" i="6"/>
  <c r="BX107" i="6"/>
  <c r="BX97" i="6"/>
  <c r="BX102" i="6"/>
  <c r="BX28" i="6"/>
  <c r="BX60" i="6"/>
  <c r="BX87" i="6"/>
  <c r="BX2" i="6"/>
  <c r="AH133" i="6"/>
  <c r="BY115" i="6"/>
  <c r="AV108" i="6"/>
  <c r="CO76" i="6"/>
  <c r="AT10" i="6"/>
  <c r="AT14" i="6"/>
  <c r="AT27" i="6"/>
  <c r="AT18" i="6"/>
  <c r="AT30" i="6"/>
  <c r="AT34" i="6"/>
  <c r="AT9" i="6"/>
  <c r="AT12" i="6"/>
  <c r="AT15" i="6"/>
  <c r="AT24" i="6"/>
  <c r="AT4" i="6"/>
  <c r="AT6" i="6"/>
  <c r="AT25" i="6"/>
  <c r="AT41" i="6"/>
  <c r="AT45" i="6"/>
  <c r="AT20" i="6"/>
  <c r="AT23" i="6"/>
  <c r="AT36" i="6"/>
  <c r="AT16" i="6"/>
  <c r="AT62" i="6"/>
  <c r="AT66" i="6"/>
  <c r="AT11" i="6"/>
  <c r="AT21" i="6"/>
  <c r="AT26" i="6"/>
  <c r="AT43" i="6"/>
  <c r="AT49" i="6"/>
  <c r="AT35" i="6"/>
  <c r="AT5" i="6"/>
  <c r="AT55" i="6"/>
  <c r="AT8" i="6"/>
  <c r="AT32" i="6"/>
  <c r="AT73" i="6"/>
  <c r="AT29" i="6"/>
  <c r="AT37" i="6"/>
  <c r="AT74" i="6"/>
  <c r="AT82" i="6"/>
  <c r="AT86" i="6"/>
  <c r="AT90" i="6"/>
  <c r="AT94" i="6"/>
  <c r="AT98" i="6"/>
  <c r="AT102" i="6"/>
  <c r="AT106" i="6"/>
  <c r="AT110" i="6"/>
  <c r="AT114" i="6"/>
  <c r="AT118" i="6"/>
  <c r="AT122" i="6"/>
  <c r="AT126" i="6"/>
  <c r="AT72" i="6"/>
  <c r="AT116" i="6"/>
  <c r="AT131" i="6"/>
  <c r="AT135" i="6"/>
  <c r="AT38" i="6"/>
  <c r="AT75" i="6"/>
  <c r="AT79" i="6"/>
  <c r="AT97" i="6"/>
  <c r="AT104" i="6"/>
  <c r="AT120" i="6"/>
  <c r="AT33" i="6"/>
  <c r="AT117" i="6"/>
  <c r="AT127" i="6"/>
  <c r="AT132" i="6"/>
  <c r="AT40" i="6"/>
  <c r="AT81" i="6"/>
  <c r="AT89" i="6"/>
  <c r="AT128" i="6"/>
  <c r="AT28" i="6"/>
  <c r="AT42" i="6"/>
  <c r="AT52" i="6"/>
  <c r="AT70" i="6"/>
  <c r="AT76" i="6"/>
  <c r="AT80" i="6"/>
  <c r="AT53" i="6"/>
  <c r="AT77" i="6"/>
  <c r="AT46" i="6"/>
  <c r="AT56" i="6"/>
  <c r="AT59" i="6"/>
  <c r="AT63" i="6"/>
  <c r="AT50" i="6"/>
  <c r="AT107" i="6"/>
  <c r="AT19" i="6"/>
  <c r="AT84" i="6"/>
  <c r="AT65" i="6"/>
  <c r="AT51" i="6"/>
  <c r="AT67" i="6"/>
  <c r="AT85" i="6"/>
  <c r="BV2" i="6"/>
  <c r="CL127" i="6"/>
  <c r="BX125" i="6"/>
  <c r="CL119" i="6"/>
  <c r="CO110" i="6"/>
  <c r="AV96" i="6"/>
  <c r="BJ91" i="6"/>
  <c r="BH6" i="6"/>
  <c r="BH10" i="6"/>
  <c r="BH14" i="6"/>
  <c r="BH18" i="6"/>
  <c r="BH22" i="6"/>
  <c r="BH20" i="6"/>
  <c r="BH27" i="6"/>
  <c r="BH11" i="6"/>
  <c r="BH24" i="6"/>
  <c r="BH17" i="6"/>
  <c r="BH26" i="6"/>
  <c r="BH5" i="6"/>
  <c r="BH33" i="6"/>
  <c r="BH37" i="6"/>
  <c r="BH4" i="6"/>
  <c r="BH34" i="6"/>
  <c r="BH38" i="6"/>
  <c r="BH12" i="6"/>
  <c r="BH40" i="6"/>
  <c r="BH44" i="6"/>
  <c r="BH48" i="6"/>
  <c r="BH52" i="6"/>
  <c r="BH56" i="6"/>
  <c r="BH13" i="6"/>
  <c r="BH39" i="6"/>
  <c r="BH9" i="6"/>
  <c r="BH41" i="6"/>
  <c r="BH42" i="6"/>
  <c r="BH43" i="6"/>
  <c r="BH50" i="6"/>
  <c r="BH54" i="6"/>
  <c r="BH61" i="6"/>
  <c r="BH65" i="6"/>
  <c r="BH69" i="6"/>
  <c r="BH73" i="6"/>
  <c r="BH77" i="6"/>
  <c r="BH16" i="6"/>
  <c r="BH46" i="6"/>
  <c r="BH28" i="6"/>
  <c r="BH53" i="6"/>
  <c r="BH60" i="6"/>
  <c r="BH68" i="6"/>
  <c r="BH7" i="6"/>
  <c r="BH51" i="6"/>
  <c r="BH57" i="6"/>
  <c r="BH62" i="6"/>
  <c r="BH78" i="6"/>
  <c r="BH19" i="6"/>
  <c r="BH74" i="6"/>
  <c r="BH126" i="6"/>
  <c r="BH128" i="6"/>
  <c r="BH80" i="6"/>
  <c r="BH87" i="6"/>
  <c r="BH94" i="6"/>
  <c r="BH105" i="6"/>
  <c r="BH23" i="6"/>
  <c r="BH120" i="6"/>
  <c r="BH121" i="6"/>
  <c r="BH133" i="6"/>
  <c r="BH71" i="6"/>
  <c r="BH79" i="6"/>
  <c r="BH102" i="6"/>
  <c r="BH109" i="6"/>
  <c r="BH25" i="6"/>
  <c r="BH36" i="6"/>
  <c r="BH64" i="6"/>
  <c r="BH130" i="6"/>
  <c r="BH31" i="6"/>
  <c r="BH32" i="6"/>
  <c r="BH91" i="6"/>
  <c r="BH106" i="6"/>
  <c r="BH82" i="6"/>
  <c r="BH49" i="6"/>
  <c r="BH86" i="6"/>
  <c r="BH89" i="6"/>
  <c r="AR6" i="6"/>
  <c r="AR10" i="6"/>
  <c r="AR14" i="6"/>
  <c r="AR18" i="6"/>
  <c r="AR22" i="6"/>
  <c r="AR27" i="6"/>
  <c r="AR7" i="6"/>
  <c r="AR20" i="6"/>
  <c r="AR24" i="6"/>
  <c r="AR4" i="6"/>
  <c r="AR25" i="6"/>
  <c r="AR26" i="6"/>
  <c r="AR33" i="6"/>
  <c r="AR37" i="6"/>
  <c r="AR23" i="6"/>
  <c r="AR36" i="6"/>
  <c r="AR9" i="6"/>
  <c r="AR15" i="6"/>
  <c r="AR38" i="6"/>
  <c r="AR34" i="6"/>
  <c r="AR40" i="6"/>
  <c r="AR44" i="6"/>
  <c r="AR48" i="6"/>
  <c r="AR52" i="6"/>
  <c r="AR56" i="6"/>
  <c r="AR11" i="6"/>
  <c r="AR21" i="6"/>
  <c r="AR50" i="6"/>
  <c r="AR61" i="6"/>
  <c r="AR65" i="6"/>
  <c r="AR69" i="6"/>
  <c r="AR73" i="6"/>
  <c r="AR77" i="6"/>
  <c r="AR5" i="6"/>
  <c r="AR41" i="6"/>
  <c r="AR55" i="6"/>
  <c r="AR12" i="6"/>
  <c r="AR17" i="6"/>
  <c r="AR19" i="6"/>
  <c r="AR54" i="6"/>
  <c r="AR39" i="6"/>
  <c r="AR59" i="6"/>
  <c r="AR53" i="6"/>
  <c r="AR75" i="6"/>
  <c r="AR76" i="6"/>
  <c r="AR78" i="6"/>
  <c r="AR122" i="6"/>
  <c r="AR124" i="6"/>
  <c r="AR29" i="6"/>
  <c r="AR35" i="6"/>
  <c r="AR63" i="6"/>
  <c r="AR83" i="6"/>
  <c r="AR90" i="6"/>
  <c r="AR101" i="6"/>
  <c r="AR108" i="6"/>
  <c r="AR126" i="6"/>
  <c r="AR128" i="6"/>
  <c r="AR64" i="6"/>
  <c r="AR16" i="6"/>
  <c r="AR28" i="6"/>
  <c r="AR42" i="6"/>
  <c r="AR70" i="6"/>
  <c r="AR135" i="6"/>
  <c r="AR80" i="6"/>
  <c r="AR88" i="6"/>
  <c r="AR96" i="6"/>
  <c r="AR104" i="6"/>
  <c r="AR118" i="6"/>
  <c r="AR119" i="6"/>
  <c r="AR129" i="6"/>
  <c r="AR133" i="6"/>
  <c r="AR58" i="6"/>
  <c r="AR62" i="6"/>
  <c r="AR79" i="6"/>
  <c r="AR95" i="6"/>
  <c r="AR100" i="6"/>
  <c r="AR51" i="6"/>
  <c r="AR67" i="6"/>
  <c r="AR85" i="6"/>
  <c r="AR8" i="6"/>
  <c r="AR74" i="6"/>
  <c r="CJ5" i="6"/>
  <c r="CJ9" i="6"/>
  <c r="CJ13" i="6"/>
  <c r="CJ17" i="6"/>
  <c r="CJ21" i="6"/>
  <c r="CJ26" i="6"/>
  <c r="CJ19" i="6"/>
  <c r="CJ18" i="6"/>
  <c r="CJ32" i="6"/>
  <c r="CJ36" i="6"/>
  <c r="CJ4" i="6"/>
  <c r="CJ24" i="6"/>
  <c r="CJ27" i="6"/>
  <c r="CJ35" i="6"/>
  <c r="CJ6" i="6"/>
  <c r="CJ37" i="6"/>
  <c r="CJ39" i="6"/>
  <c r="CJ43" i="6"/>
  <c r="CJ47" i="6"/>
  <c r="CJ51" i="6"/>
  <c r="CJ55" i="6"/>
  <c r="CJ8" i="6"/>
  <c r="CJ34" i="6"/>
  <c r="CJ23" i="6"/>
  <c r="CJ25" i="6"/>
  <c r="CJ31" i="6"/>
  <c r="CJ60" i="6"/>
  <c r="CJ64" i="6"/>
  <c r="CJ68" i="6"/>
  <c r="CJ72" i="6"/>
  <c r="CJ76" i="6"/>
  <c r="CJ33" i="6"/>
  <c r="CJ56" i="6"/>
  <c r="CJ20" i="6"/>
  <c r="CJ10" i="6"/>
  <c r="CJ42" i="6"/>
  <c r="CJ54" i="6"/>
  <c r="CJ57" i="6"/>
  <c r="CJ11" i="6"/>
  <c r="CJ46" i="6"/>
  <c r="CJ117" i="6"/>
  <c r="CJ119" i="6"/>
  <c r="CJ3" i="6"/>
  <c r="CJ12" i="6"/>
  <c r="CJ65" i="6"/>
  <c r="CJ78" i="6"/>
  <c r="CJ85" i="6"/>
  <c r="CJ96" i="6"/>
  <c r="CJ103" i="6"/>
  <c r="CJ121" i="6"/>
  <c r="CJ123" i="6"/>
  <c r="CJ14" i="6"/>
  <c r="CJ16" i="6"/>
  <c r="CJ29" i="6"/>
  <c r="CJ38" i="6"/>
  <c r="CJ28" i="6"/>
  <c r="CJ131" i="6"/>
  <c r="CJ53" i="6"/>
  <c r="CJ71" i="6"/>
  <c r="CJ89" i="6"/>
  <c r="CJ97" i="6"/>
  <c r="CJ104" i="6"/>
  <c r="CJ105" i="6"/>
  <c r="CJ115" i="6"/>
  <c r="CJ116" i="6"/>
  <c r="CJ126" i="6"/>
  <c r="CJ40" i="6"/>
  <c r="CJ74" i="6"/>
  <c r="CJ127" i="6"/>
  <c r="CJ134" i="6"/>
  <c r="CJ50" i="6"/>
  <c r="CJ59" i="6"/>
  <c r="CJ63" i="6"/>
  <c r="CJ80" i="6"/>
  <c r="CJ81" i="6"/>
  <c r="CJ44" i="6"/>
  <c r="CJ15" i="6"/>
  <c r="CJ58" i="6"/>
  <c r="CJ62" i="6"/>
  <c r="CJ7" i="6"/>
  <c r="CJ82" i="6"/>
  <c r="CJ86" i="6"/>
  <c r="CJ91" i="6"/>
  <c r="BT5" i="6"/>
  <c r="BT9" i="6"/>
  <c r="BT13" i="6"/>
  <c r="BT17" i="6"/>
  <c r="BT21" i="6"/>
  <c r="BT25" i="6"/>
  <c r="BT3" i="6"/>
  <c r="BT4" i="6"/>
  <c r="BT26" i="6"/>
  <c r="BT16" i="6"/>
  <c r="BT19" i="6"/>
  <c r="BT27" i="6"/>
  <c r="BT32" i="6"/>
  <c r="BT36" i="6"/>
  <c r="BT15" i="6"/>
  <c r="BT28" i="6"/>
  <c r="BT23" i="6"/>
  <c r="BT35" i="6"/>
  <c r="BT43" i="6"/>
  <c r="BT47" i="6"/>
  <c r="BT51" i="6"/>
  <c r="BT55" i="6"/>
  <c r="BT59" i="6"/>
  <c r="BT7" i="6"/>
  <c r="BT48" i="6"/>
  <c r="BT6" i="6"/>
  <c r="BT20" i="6"/>
  <c r="BT30" i="6"/>
  <c r="BT60" i="6"/>
  <c r="BT64" i="6"/>
  <c r="BT68" i="6"/>
  <c r="BT72" i="6"/>
  <c r="BT76" i="6"/>
  <c r="BT8" i="6"/>
  <c r="BT38" i="6"/>
  <c r="BT57" i="6"/>
  <c r="BT50" i="6"/>
  <c r="BT65" i="6"/>
  <c r="BT66" i="6"/>
  <c r="BT18" i="6"/>
  <c r="BT45" i="6"/>
  <c r="BT49" i="6"/>
  <c r="BT31" i="6"/>
  <c r="BT63" i="6"/>
  <c r="BT67" i="6"/>
  <c r="BT69" i="6"/>
  <c r="BT113" i="6"/>
  <c r="BT115" i="6"/>
  <c r="BT53" i="6"/>
  <c r="BT34" i="6"/>
  <c r="BT77" i="6"/>
  <c r="BT81" i="6"/>
  <c r="BT92" i="6"/>
  <c r="BT99" i="6"/>
  <c r="BT106" i="6"/>
  <c r="BT117" i="6"/>
  <c r="BT119" i="6"/>
  <c r="BT37" i="6"/>
  <c r="BT124" i="6"/>
  <c r="BT52" i="6"/>
  <c r="BT62" i="6"/>
  <c r="BT83" i="6"/>
  <c r="BT91" i="6"/>
  <c r="BT125" i="6"/>
  <c r="BT2" i="6"/>
  <c r="BT12" i="6"/>
  <c r="BT58" i="6"/>
  <c r="BT70" i="6"/>
  <c r="BT114" i="6"/>
  <c r="BT131" i="6"/>
  <c r="BT73" i="6"/>
  <c r="BT79" i="6"/>
  <c r="BT84" i="6"/>
  <c r="BT39" i="6"/>
  <c r="BT46" i="6"/>
  <c r="BT22" i="6"/>
  <c r="BT29" i="6"/>
  <c r="BT41" i="6"/>
  <c r="BT44" i="6"/>
  <c r="BT74" i="6"/>
  <c r="BT80" i="6"/>
  <c r="BT24" i="6"/>
  <c r="BT95" i="6"/>
  <c r="CO2" i="6"/>
  <c r="BX135" i="6"/>
  <c r="BU134" i="6"/>
  <c r="CN133" i="6"/>
  <c r="BT133" i="6"/>
  <c r="CL132" i="6"/>
  <c r="AW132" i="6"/>
  <c r="BI130" i="6"/>
  <c r="CN128" i="6"/>
  <c r="BT128" i="6"/>
  <c r="AT125" i="6"/>
  <c r="BT123" i="6"/>
  <c r="CJ122" i="6"/>
  <c r="CO120" i="6"/>
  <c r="AV120" i="6"/>
  <c r="BI119" i="6"/>
  <c r="BX118" i="6"/>
  <c r="CN117" i="6"/>
  <c r="AR117" i="6"/>
  <c r="AU115" i="6"/>
  <c r="BI114" i="6"/>
  <c r="BY113" i="6"/>
  <c r="CJ112" i="6"/>
  <c r="BK112" i="6"/>
  <c r="CM110" i="6"/>
  <c r="AU110" i="6"/>
  <c r="BJ109" i="6"/>
  <c r="CN108" i="6"/>
  <c r="BY107" i="6"/>
  <c r="AS107" i="6"/>
  <c r="CO105" i="6"/>
  <c r="BV104" i="6"/>
  <c r="AW104" i="6"/>
  <c r="CK102" i="6"/>
  <c r="CO101" i="6"/>
  <c r="CN100" i="6"/>
  <c r="BJ100" i="6"/>
  <c r="CN99" i="6"/>
  <c r="BJ99" i="6"/>
  <c r="BW96" i="6"/>
  <c r="AT96" i="6"/>
  <c r="BX95" i="6"/>
  <c r="AV95" i="6"/>
  <c r="BW94" i="6"/>
  <c r="BH90" i="6"/>
  <c r="AH88" i="6"/>
  <c r="AR86" i="6"/>
  <c r="BJ84" i="6"/>
  <c r="AW81" i="6"/>
  <c r="BW80" i="6"/>
  <c r="CO79" i="6"/>
  <c r="CL78" i="6"/>
  <c r="AV76" i="6"/>
  <c r="CO74" i="6"/>
  <c r="BU73" i="6"/>
  <c r="BU71" i="6"/>
  <c r="BJ70" i="6"/>
  <c r="CK61" i="6"/>
  <c r="AT61" i="6"/>
  <c r="AR60" i="6"/>
  <c r="BH58" i="6"/>
  <c r="BT56" i="6"/>
  <c r="CJ49" i="6"/>
  <c r="CK48" i="6"/>
  <c r="AS43" i="6"/>
  <c r="AU36" i="6"/>
  <c r="CO34" i="6"/>
  <c r="BW33" i="6"/>
  <c r="AT31" i="6"/>
  <c r="AR30" i="6"/>
  <c r="CO26" i="6"/>
  <c r="CM24" i="6"/>
  <c r="BI19" i="6"/>
  <c r="BN43" i="6"/>
  <c r="AL34" i="6"/>
  <c r="CD30" i="6"/>
  <c r="AL24" i="6"/>
  <c r="BN13" i="6"/>
  <c r="AL10" i="6"/>
  <c r="BB6" i="6"/>
  <c r="BB54" i="6"/>
  <c r="CD50" i="6"/>
  <c r="BN45" i="6"/>
  <c r="BN38" i="6"/>
  <c r="CD20" i="6"/>
  <c r="AL16" i="6"/>
  <c r="BN80" i="6"/>
  <c r="CD78" i="6"/>
  <c r="AL78" i="6"/>
  <c r="CD69" i="6"/>
  <c r="BN60" i="6"/>
  <c r="BN48" i="6"/>
  <c r="BB44" i="6"/>
  <c r="BN26" i="6"/>
  <c r="BN5" i="6"/>
  <c r="BC4" i="6"/>
  <c r="BC8" i="6"/>
  <c r="BC12" i="6"/>
  <c r="BC16" i="6"/>
  <c r="BC3" i="6"/>
  <c r="BC27" i="6"/>
  <c r="BC32" i="6"/>
  <c r="BC7" i="6"/>
  <c r="BC10" i="6"/>
  <c r="BC13" i="6"/>
  <c r="BC20" i="6"/>
  <c r="BC19" i="6"/>
  <c r="BC30" i="6"/>
  <c r="BC31" i="6"/>
  <c r="BC43" i="6"/>
  <c r="BC47" i="6"/>
  <c r="BC29" i="6"/>
  <c r="BC35" i="6"/>
  <c r="BC25" i="6"/>
  <c r="BC37" i="6"/>
  <c r="BC60" i="6"/>
  <c r="BC64" i="6"/>
  <c r="BC5" i="6"/>
  <c r="BC17" i="6"/>
  <c r="BC23" i="6"/>
  <c r="BC24" i="6"/>
  <c r="BC48" i="6"/>
  <c r="BC44" i="6"/>
  <c r="BC52" i="6"/>
  <c r="BC61" i="6"/>
  <c r="BC62" i="6"/>
  <c r="BC63" i="6"/>
  <c r="BC76" i="6"/>
  <c r="BC34" i="6"/>
  <c r="BC40" i="6"/>
  <c r="BC51" i="6"/>
  <c r="BC14" i="6"/>
  <c r="BC58" i="6"/>
  <c r="BC33" i="6"/>
  <c r="BC39" i="6"/>
  <c r="BC41" i="6"/>
  <c r="BC22" i="6"/>
  <c r="BC28" i="6"/>
  <c r="BC70" i="6"/>
  <c r="BC88" i="6"/>
  <c r="BC95" i="6"/>
  <c r="BC102" i="6"/>
  <c r="BC109" i="6"/>
  <c r="BC113" i="6"/>
  <c r="BC115" i="6"/>
  <c r="BC67" i="6"/>
  <c r="BC73" i="6"/>
  <c r="BC117" i="6"/>
  <c r="BC119" i="6"/>
  <c r="BC133" i="6"/>
  <c r="BC2" i="6"/>
  <c r="BC42" i="6"/>
  <c r="AM4" i="6"/>
  <c r="AM8" i="6"/>
  <c r="AM12" i="6"/>
  <c r="AM16" i="6"/>
  <c r="AM15" i="6"/>
  <c r="AM32" i="6"/>
  <c r="AM11" i="6"/>
  <c r="AM14" i="6"/>
  <c r="AM17" i="6"/>
  <c r="AM22" i="6"/>
  <c r="AM10" i="6"/>
  <c r="AM43" i="6"/>
  <c r="AM47" i="6"/>
  <c r="AM21" i="6"/>
  <c r="AM31" i="6"/>
  <c r="AM19" i="6"/>
  <c r="AM20" i="6"/>
  <c r="AM60" i="6"/>
  <c r="AM64" i="6"/>
  <c r="AM3" i="6"/>
  <c r="AM44" i="6"/>
  <c r="AM45" i="6"/>
  <c r="AM46" i="6"/>
  <c r="AM39" i="6"/>
  <c r="AM53" i="6"/>
  <c r="AM72" i="6"/>
  <c r="AM74" i="6"/>
  <c r="AM36" i="6"/>
  <c r="AM76" i="6"/>
  <c r="AM23" i="6"/>
  <c r="AM30" i="6"/>
  <c r="AM48" i="6"/>
  <c r="AM27" i="6"/>
  <c r="AM35" i="6"/>
  <c r="AM66" i="6"/>
  <c r="AM9" i="6"/>
  <c r="AM62" i="6"/>
  <c r="AM6" i="6"/>
  <c r="AM41" i="6"/>
  <c r="AM84" i="6"/>
  <c r="AM91" i="6"/>
  <c r="AM98" i="6"/>
  <c r="AM105" i="6"/>
  <c r="AM111" i="6"/>
  <c r="AM57" i="6"/>
  <c r="AM37" i="6"/>
  <c r="AM50" i="6"/>
  <c r="AM52" i="6"/>
  <c r="AM68" i="6"/>
  <c r="AM113" i="6"/>
  <c r="AM115" i="6"/>
  <c r="AM133" i="6"/>
  <c r="AM2" i="6"/>
  <c r="CE3" i="6"/>
  <c r="CE7" i="6"/>
  <c r="CE11" i="6"/>
  <c r="CE15" i="6"/>
  <c r="CE10" i="6"/>
  <c r="CE17" i="6"/>
  <c r="CE14" i="6"/>
  <c r="CE28" i="6"/>
  <c r="CE8" i="6"/>
  <c r="CE23" i="6"/>
  <c r="CE25" i="6"/>
  <c r="CE31" i="6"/>
  <c r="CE5" i="6"/>
  <c r="CE22" i="6"/>
  <c r="CE6" i="6"/>
  <c r="CE12" i="6"/>
  <c r="CE24" i="6"/>
  <c r="CE26" i="6"/>
  <c r="CE42" i="6"/>
  <c r="CE46" i="6"/>
  <c r="CE13" i="6"/>
  <c r="CE55" i="6"/>
  <c r="CE57" i="6"/>
  <c r="CE59" i="6"/>
  <c r="CE63" i="6"/>
  <c r="CE16" i="6"/>
  <c r="CE40" i="6"/>
  <c r="CE41" i="6"/>
  <c r="CE19" i="6"/>
  <c r="CE44" i="6"/>
  <c r="CE54" i="6"/>
  <c r="CE67" i="6"/>
  <c r="CE69" i="6"/>
  <c r="CE34" i="6"/>
  <c r="CE37" i="6"/>
  <c r="CE71" i="6"/>
  <c r="CE73" i="6"/>
  <c r="CE21" i="6"/>
  <c r="CE39" i="6"/>
  <c r="CE43" i="6"/>
  <c r="CE51" i="6"/>
  <c r="CE60" i="6"/>
  <c r="CE75" i="6"/>
  <c r="CE27" i="6"/>
  <c r="CE32" i="6"/>
  <c r="CE47" i="6"/>
  <c r="CE29" i="6"/>
  <c r="CE79" i="6"/>
  <c r="CE86" i="6"/>
  <c r="CE93" i="6"/>
  <c r="CE100" i="6"/>
  <c r="CE9" i="6"/>
  <c r="CE61" i="6"/>
  <c r="CE74" i="6"/>
  <c r="CE110" i="6"/>
  <c r="CE132" i="6"/>
  <c r="CE18" i="6"/>
  <c r="CE35" i="6"/>
  <c r="BO3" i="6"/>
  <c r="BO7" i="6"/>
  <c r="BO11" i="6"/>
  <c r="BO15" i="6"/>
  <c r="BO6" i="6"/>
  <c r="BO13" i="6"/>
  <c r="BO25" i="6"/>
  <c r="BO10" i="6"/>
  <c r="BO17" i="6"/>
  <c r="BO4" i="6"/>
  <c r="BO9" i="6"/>
  <c r="BO12" i="6"/>
  <c r="BO28" i="6"/>
  <c r="BO31" i="6"/>
  <c r="BO24" i="6"/>
  <c r="BO20" i="6"/>
  <c r="BO27" i="6"/>
  <c r="BO33" i="6"/>
  <c r="BO42" i="6"/>
  <c r="BO46" i="6"/>
  <c r="BO16" i="6"/>
  <c r="BO14" i="6"/>
  <c r="BO34" i="6"/>
  <c r="BO35" i="6"/>
  <c r="BO51" i="6"/>
  <c r="BO53" i="6"/>
  <c r="BO55" i="6"/>
  <c r="BO57" i="6"/>
  <c r="BO63" i="6"/>
  <c r="BO18" i="6"/>
  <c r="BO19" i="6"/>
  <c r="BO59" i="6"/>
  <c r="BO49" i="6"/>
  <c r="BO67" i="6"/>
  <c r="BO69" i="6"/>
  <c r="BO29" i="6"/>
  <c r="BO30" i="6"/>
  <c r="BO36" i="6"/>
  <c r="BO39" i="6"/>
  <c r="BO56" i="6"/>
  <c r="BO72" i="6"/>
  <c r="BO73" i="6"/>
  <c r="BO50" i="6"/>
  <c r="BO37" i="6"/>
  <c r="BO48" i="6"/>
  <c r="BO52" i="6"/>
  <c r="BO54" i="6"/>
  <c r="BO82" i="6"/>
  <c r="BO89" i="6"/>
  <c r="BO96" i="6"/>
  <c r="BO107" i="6"/>
  <c r="BO64" i="6"/>
  <c r="BO132" i="6"/>
  <c r="BO22" i="6"/>
  <c r="BN135" i="6"/>
  <c r="BA134" i="6"/>
  <c r="BB131" i="6"/>
  <c r="CE129" i="6"/>
  <c r="BN128" i="6"/>
  <c r="BB125" i="6"/>
  <c r="BC124" i="6"/>
  <c r="AM123" i="6"/>
  <c r="AM122" i="6"/>
  <c r="CE120" i="6"/>
  <c r="BO118" i="6"/>
  <c r="BO117" i="6"/>
  <c r="BA114" i="6"/>
  <c r="BA113" i="6"/>
  <c r="AK111" i="6"/>
  <c r="AM110" i="6"/>
  <c r="AM109" i="6"/>
  <c r="BC107" i="6"/>
  <c r="BO104" i="6"/>
  <c r="CE102" i="6"/>
  <c r="CC101" i="6"/>
  <c r="AK101" i="6"/>
  <c r="BC99" i="6"/>
  <c r="BM96" i="6"/>
  <c r="CE94" i="6"/>
  <c r="AM94" i="6"/>
  <c r="AK93" i="6"/>
  <c r="BA91" i="6"/>
  <c r="BM88" i="6"/>
  <c r="CC86" i="6"/>
  <c r="AM86" i="6"/>
  <c r="AK85" i="6"/>
  <c r="BC84" i="6"/>
  <c r="BA83" i="6"/>
  <c r="BO81" i="6"/>
  <c r="BM80" i="6"/>
  <c r="CC78" i="6"/>
  <c r="AK78" i="6"/>
  <c r="BB77" i="6"/>
  <c r="BO76" i="6"/>
  <c r="BB75" i="6"/>
  <c r="BB72" i="6"/>
  <c r="CC69" i="6"/>
  <c r="BN68" i="6"/>
  <c r="BO65" i="6"/>
  <c r="BB63" i="6"/>
  <c r="CD62" i="6"/>
  <c r="BM60" i="6"/>
  <c r="BN54" i="6"/>
  <c r="BB53" i="6"/>
  <c r="BC50" i="6"/>
  <c r="BM48" i="6"/>
  <c r="BO41" i="6"/>
  <c r="BC26" i="6"/>
  <c r="BB4" i="6"/>
  <c r="BB12" i="6"/>
  <c r="BB3" i="6"/>
  <c r="BB16" i="6"/>
  <c r="BB19" i="6"/>
  <c r="BB27" i="6"/>
  <c r="BB32" i="6"/>
  <c r="BB7" i="6"/>
  <c r="BB10" i="6"/>
  <c r="BB13" i="6"/>
  <c r="BB20" i="6"/>
  <c r="BB30" i="6"/>
  <c r="BB31" i="6"/>
  <c r="BB43" i="6"/>
  <c r="BB47" i="6"/>
  <c r="BB29" i="6"/>
  <c r="BB35" i="6"/>
  <c r="BB28" i="6"/>
  <c r="BB37" i="6"/>
  <c r="BB39" i="6"/>
  <c r="BB60" i="6"/>
  <c r="BB64" i="6"/>
  <c r="BB5" i="6"/>
  <c r="BB17" i="6"/>
  <c r="BB23" i="6"/>
  <c r="BB24" i="6"/>
  <c r="BB48" i="6"/>
  <c r="BB34" i="6"/>
  <c r="BB40" i="6"/>
  <c r="BB51" i="6"/>
  <c r="BB14" i="6"/>
  <c r="BB58" i="6"/>
  <c r="BB57" i="6"/>
  <c r="BB65" i="6"/>
  <c r="BB66" i="6"/>
  <c r="BB33" i="6"/>
  <c r="BB41" i="6"/>
  <c r="BB8" i="6"/>
  <c r="BB42" i="6"/>
  <c r="BB45" i="6"/>
  <c r="BB49" i="6"/>
  <c r="BB55" i="6"/>
  <c r="BB69" i="6"/>
  <c r="BB80" i="6"/>
  <c r="BB84" i="6"/>
  <c r="BB88" i="6"/>
  <c r="BB92" i="6"/>
  <c r="BB96" i="6"/>
  <c r="BB100" i="6"/>
  <c r="BB104" i="6"/>
  <c r="BB108" i="6"/>
  <c r="BB112" i="6"/>
  <c r="BB116" i="6"/>
  <c r="BB120" i="6"/>
  <c r="BB124" i="6"/>
  <c r="BB128" i="6"/>
  <c r="BB67" i="6"/>
  <c r="BB73" i="6"/>
  <c r="BB117" i="6"/>
  <c r="BB119" i="6"/>
  <c r="BB133" i="6"/>
  <c r="BB2" i="6"/>
  <c r="BB46" i="6"/>
  <c r="BB61" i="6"/>
  <c r="BB81" i="6"/>
  <c r="BB99" i="6"/>
  <c r="BB106" i="6"/>
  <c r="BB121" i="6"/>
  <c r="BB123" i="6"/>
  <c r="AL4" i="6"/>
  <c r="AL8" i="6"/>
  <c r="AL12" i="6"/>
  <c r="AL32" i="6"/>
  <c r="AL11" i="6"/>
  <c r="AL14" i="6"/>
  <c r="AL17" i="6"/>
  <c r="AL22" i="6"/>
  <c r="AL21" i="6"/>
  <c r="AL27" i="6"/>
  <c r="AL43" i="6"/>
  <c r="AL47" i="6"/>
  <c r="AL3" i="6"/>
  <c r="AL35" i="6"/>
  <c r="AL19" i="6"/>
  <c r="AL20" i="6"/>
  <c r="AL60" i="6"/>
  <c r="AL64" i="6"/>
  <c r="AL44" i="6"/>
  <c r="AL45" i="6"/>
  <c r="AL46" i="6"/>
  <c r="AL6" i="6"/>
  <c r="AL15" i="6"/>
  <c r="AL33" i="6"/>
  <c r="AL38" i="6"/>
  <c r="AL36" i="6"/>
  <c r="AL76" i="6"/>
  <c r="AL23" i="6"/>
  <c r="AL30" i="6"/>
  <c r="AL48" i="6"/>
  <c r="AL25" i="6"/>
  <c r="AL29" i="6"/>
  <c r="AL31" i="6"/>
  <c r="AL59" i="6"/>
  <c r="AL61" i="6"/>
  <c r="AL62" i="6"/>
  <c r="AL63" i="6"/>
  <c r="AL9" i="6"/>
  <c r="AL57" i="6"/>
  <c r="AL80" i="6"/>
  <c r="AL84" i="6"/>
  <c r="AL88" i="6"/>
  <c r="AL92" i="6"/>
  <c r="AL96" i="6"/>
  <c r="AL100" i="6"/>
  <c r="AL104" i="6"/>
  <c r="AL108" i="6"/>
  <c r="AL112" i="6"/>
  <c r="AL116" i="6"/>
  <c r="AL120" i="6"/>
  <c r="AL124" i="6"/>
  <c r="AL128" i="6"/>
  <c r="AL37" i="6"/>
  <c r="AL50" i="6"/>
  <c r="AL52" i="6"/>
  <c r="AL68" i="6"/>
  <c r="AL113" i="6"/>
  <c r="AL115" i="6"/>
  <c r="AL133" i="6"/>
  <c r="AL2" i="6"/>
  <c r="AL53" i="6"/>
  <c r="AL74" i="6"/>
  <c r="AL95" i="6"/>
  <c r="AL102" i="6"/>
  <c r="AL109" i="6"/>
  <c r="AL117" i="6"/>
  <c r="AL119" i="6"/>
  <c r="AL5" i="6"/>
  <c r="AL13" i="6"/>
  <c r="AL40" i="6"/>
  <c r="AL54" i="6"/>
  <c r="AL55" i="6"/>
  <c r="AL65" i="6"/>
  <c r="CD3" i="6"/>
  <c r="CD14" i="6"/>
  <c r="CD7" i="6"/>
  <c r="CD8" i="6"/>
  <c r="CD23" i="6"/>
  <c r="CD25" i="6"/>
  <c r="CD31" i="6"/>
  <c r="CD5" i="6"/>
  <c r="CD17" i="6"/>
  <c r="CD22" i="6"/>
  <c r="CD26" i="6"/>
  <c r="CD42" i="6"/>
  <c r="CD46" i="6"/>
  <c r="CD13" i="6"/>
  <c r="CD59" i="6"/>
  <c r="CD63" i="6"/>
  <c r="CD16" i="6"/>
  <c r="CD24" i="6"/>
  <c r="CD40" i="6"/>
  <c r="CD41" i="6"/>
  <c r="CD12" i="6"/>
  <c r="CD33" i="6"/>
  <c r="CD38" i="6"/>
  <c r="CD39" i="6"/>
  <c r="CD10" i="6"/>
  <c r="CD34" i="6"/>
  <c r="CD37" i="6"/>
  <c r="CD71" i="6"/>
  <c r="CD73" i="6"/>
  <c r="CD15" i="6"/>
  <c r="CD21" i="6"/>
  <c r="CD75" i="6"/>
  <c r="CD53" i="6"/>
  <c r="CD27" i="6"/>
  <c r="CD32" i="6"/>
  <c r="CD44" i="6"/>
  <c r="CD47" i="6"/>
  <c r="CD29" i="6"/>
  <c r="CD48" i="6"/>
  <c r="CD79" i="6"/>
  <c r="CD83" i="6"/>
  <c r="CD87" i="6"/>
  <c r="CD91" i="6"/>
  <c r="CD95" i="6"/>
  <c r="CD99" i="6"/>
  <c r="CD103" i="6"/>
  <c r="CD107" i="6"/>
  <c r="CD111" i="6"/>
  <c r="CD115" i="6"/>
  <c r="CD119" i="6"/>
  <c r="CD123" i="6"/>
  <c r="CD127" i="6"/>
  <c r="CD9" i="6"/>
  <c r="CD61" i="6"/>
  <c r="CD74" i="6"/>
  <c r="CD110" i="6"/>
  <c r="CD132" i="6"/>
  <c r="CD18" i="6"/>
  <c r="CD35" i="6"/>
  <c r="CD90" i="6"/>
  <c r="CD97" i="6"/>
  <c r="CD104" i="6"/>
  <c r="CD112" i="6"/>
  <c r="CD114" i="6"/>
  <c r="CD2" i="6"/>
  <c r="CD45" i="6"/>
  <c r="BN3" i="6"/>
  <c r="BN10" i="6"/>
  <c r="BN17" i="6"/>
  <c r="BN4" i="6"/>
  <c r="BN6" i="6"/>
  <c r="BN9" i="6"/>
  <c r="BN12" i="6"/>
  <c r="BN28" i="6"/>
  <c r="BN31" i="6"/>
  <c r="BN24" i="6"/>
  <c r="BN27" i="6"/>
  <c r="BN33" i="6"/>
  <c r="BN42" i="6"/>
  <c r="BN46" i="6"/>
  <c r="BN11" i="6"/>
  <c r="BN16" i="6"/>
  <c r="BN55" i="6"/>
  <c r="BN57" i="6"/>
  <c r="BN63" i="6"/>
  <c r="BN18" i="6"/>
  <c r="BN19" i="6"/>
  <c r="BN59" i="6"/>
  <c r="BN67" i="6"/>
  <c r="BN69" i="6"/>
  <c r="BN29" i="6"/>
  <c r="BN30" i="6"/>
  <c r="BN36" i="6"/>
  <c r="BN39" i="6"/>
  <c r="BN71" i="6"/>
  <c r="BN73" i="6"/>
  <c r="BN22" i="6"/>
  <c r="BN34" i="6"/>
  <c r="BN50" i="6"/>
  <c r="BN35" i="6"/>
  <c r="BN74" i="6"/>
  <c r="BN79" i="6"/>
  <c r="BN83" i="6"/>
  <c r="BN87" i="6"/>
  <c r="BN91" i="6"/>
  <c r="BN95" i="6"/>
  <c r="BN99" i="6"/>
  <c r="BN103" i="6"/>
  <c r="BN107" i="6"/>
  <c r="BN111" i="6"/>
  <c r="BN115" i="6"/>
  <c r="BN119" i="6"/>
  <c r="BN123" i="6"/>
  <c r="BN127" i="6"/>
  <c r="BN20" i="6"/>
  <c r="BN49" i="6"/>
  <c r="BN51" i="6"/>
  <c r="BN64" i="6"/>
  <c r="BN132" i="6"/>
  <c r="BN53" i="6"/>
  <c r="BN86" i="6"/>
  <c r="BN93" i="6"/>
  <c r="BN100" i="6"/>
  <c r="BN110" i="6"/>
  <c r="BN2" i="6"/>
  <c r="BN21" i="6"/>
  <c r="CD129" i="6"/>
  <c r="AL123" i="6"/>
  <c r="AL122" i="6"/>
  <c r="CD120" i="6"/>
  <c r="BN118" i="6"/>
  <c r="BN117" i="6"/>
  <c r="AL110" i="6"/>
  <c r="BB107" i="6"/>
  <c r="BN104" i="6"/>
  <c r="CD102" i="6"/>
  <c r="CD94" i="6"/>
  <c r="AL94" i="6"/>
  <c r="BN89" i="6"/>
  <c r="AL86" i="6"/>
  <c r="BN81" i="6"/>
  <c r="BN76" i="6"/>
  <c r="AL66" i="6"/>
  <c r="BN65" i="6"/>
  <c r="BB50" i="6"/>
  <c r="BN41" i="6"/>
  <c r="BB26" i="6"/>
  <c r="CD19" i="6"/>
  <c r="BA3" i="6"/>
  <c r="BA16" i="6"/>
  <c r="BA19" i="6"/>
  <c r="BA4" i="6"/>
  <c r="BA9" i="6"/>
  <c r="BA21" i="6"/>
  <c r="BA23" i="6"/>
  <c r="BA7" i="6"/>
  <c r="BA10" i="6"/>
  <c r="BA13" i="6"/>
  <c r="BA20" i="6"/>
  <c r="BA29" i="6"/>
  <c r="BA35" i="6"/>
  <c r="BA28" i="6"/>
  <c r="BA37" i="6"/>
  <c r="BA39" i="6"/>
  <c r="BA22" i="6"/>
  <c r="BA25" i="6"/>
  <c r="BA32" i="6"/>
  <c r="BA5" i="6"/>
  <c r="BA17" i="6"/>
  <c r="BA24" i="6"/>
  <c r="BA47" i="6"/>
  <c r="BA48" i="6"/>
  <c r="BA8" i="6"/>
  <c r="BA36" i="6"/>
  <c r="BA49" i="6"/>
  <c r="BA14" i="6"/>
  <c r="BA27" i="6"/>
  <c r="BA58" i="6"/>
  <c r="BA57" i="6"/>
  <c r="BA64" i="6"/>
  <c r="BA65" i="6"/>
  <c r="BA66" i="6"/>
  <c r="BA50" i="6"/>
  <c r="BA42" i="6"/>
  <c r="BA45" i="6"/>
  <c r="BA55" i="6"/>
  <c r="BA69" i="6"/>
  <c r="BA80" i="6"/>
  <c r="BA84" i="6"/>
  <c r="BA88" i="6"/>
  <c r="BA92" i="6"/>
  <c r="BA96" i="6"/>
  <c r="BA100" i="6"/>
  <c r="BA104" i="6"/>
  <c r="BA108" i="6"/>
  <c r="BA40" i="6"/>
  <c r="BA43" i="6"/>
  <c r="BA46" i="6"/>
  <c r="BA67" i="6"/>
  <c r="BA68" i="6"/>
  <c r="BA77" i="6"/>
  <c r="BA60" i="6"/>
  <c r="BA81" i="6"/>
  <c r="BA99" i="6"/>
  <c r="BA106" i="6"/>
  <c r="BA121" i="6"/>
  <c r="BA123" i="6"/>
  <c r="BA61" i="6"/>
  <c r="BA125" i="6"/>
  <c r="BA127" i="6"/>
  <c r="BA38" i="6"/>
  <c r="AK12" i="6"/>
  <c r="AK19" i="6"/>
  <c r="AK11" i="6"/>
  <c r="AK14" i="6"/>
  <c r="AK17" i="6"/>
  <c r="AK22" i="6"/>
  <c r="AK8" i="6"/>
  <c r="AK21" i="6"/>
  <c r="AK27" i="6"/>
  <c r="AK3" i="6"/>
  <c r="AK35" i="6"/>
  <c r="AK24" i="6"/>
  <c r="AK26" i="6"/>
  <c r="AK30" i="6"/>
  <c r="AK31" i="6"/>
  <c r="AK37" i="6"/>
  <c r="AK39" i="6"/>
  <c r="AK43" i="6"/>
  <c r="AK44" i="6"/>
  <c r="AK45" i="6"/>
  <c r="AK46" i="6"/>
  <c r="AK6" i="6"/>
  <c r="AK15" i="6"/>
  <c r="AK33" i="6"/>
  <c r="AK38" i="6"/>
  <c r="AK29" i="6"/>
  <c r="AK23" i="6"/>
  <c r="AK48" i="6"/>
  <c r="AK25" i="6"/>
  <c r="AK59" i="6"/>
  <c r="AK60" i="6"/>
  <c r="AK61" i="6"/>
  <c r="AK62" i="6"/>
  <c r="AK63" i="6"/>
  <c r="AK13" i="6"/>
  <c r="AK32" i="6"/>
  <c r="AK52" i="6"/>
  <c r="AK57" i="6"/>
  <c r="AK64" i="6"/>
  <c r="AK80" i="6"/>
  <c r="AK84" i="6"/>
  <c r="AK88" i="6"/>
  <c r="AK92" i="6"/>
  <c r="AK96" i="6"/>
  <c r="AK100" i="6"/>
  <c r="AK104" i="6"/>
  <c r="AK108" i="6"/>
  <c r="AK16" i="6"/>
  <c r="AK51" i="6"/>
  <c r="AK74" i="6"/>
  <c r="AK95" i="6"/>
  <c r="AK102" i="6"/>
  <c r="AK109" i="6"/>
  <c r="AK117" i="6"/>
  <c r="AK119" i="6"/>
  <c r="AK5" i="6"/>
  <c r="AK40" i="6"/>
  <c r="AK53" i="6"/>
  <c r="AK54" i="6"/>
  <c r="AK55" i="6"/>
  <c r="AK65" i="6"/>
  <c r="AK121" i="6"/>
  <c r="AK123" i="6"/>
  <c r="AK7" i="6"/>
  <c r="AK10" i="6"/>
  <c r="AK58" i="6"/>
  <c r="CC14" i="6"/>
  <c r="CC7" i="6"/>
  <c r="CC5" i="6"/>
  <c r="CC17" i="6"/>
  <c r="CC22" i="6"/>
  <c r="CC3" i="6"/>
  <c r="CC13" i="6"/>
  <c r="CC34" i="6"/>
  <c r="CC16" i="6"/>
  <c r="CC24" i="6"/>
  <c r="CC25" i="6"/>
  <c r="CC40" i="6"/>
  <c r="CC41" i="6"/>
  <c r="CC12" i="6"/>
  <c r="CC23" i="6"/>
  <c r="CC33" i="6"/>
  <c r="CC38" i="6"/>
  <c r="CC39" i="6"/>
  <c r="CC4" i="6"/>
  <c r="CC26" i="6"/>
  <c r="CC15" i="6"/>
  <c r="CC21" i="6"/>
  <c r="CC42" i="6"/>
  <c r="CC75" i="6"/>
  <c r="CC53" i="6"/>
  <c r="CC52" i="6"/>
  <c r="CC10" i="6"/>
  <c r="CC29" i="6"/>
  <c r="CC48" i="6"/>
  <c r="CC79" i="6"/>
  <c r="CC83" i="6"/>
  <c r="CC87" i="6"/>
  <c r="CC91" i="6"/>
  <c r="CC95" i="6"/>
  <c r="CC99" i="6"/>
  <c r="CC103" i="6"/>
  <c r="CC107" i="6"/>
  <c r="CC11" i="6"/>
  <c r="CC46" i="6"/>
  <c r="CC58" i="6"/>
  <c r="CC18" i="6"/>
  <c r="CC35" i="6"/>
  <c r="CC90" i="6"/>
  <c r="CC97" i="6"/>
  <c r="CC104" i="6"/>
  <c r="CC112" i="6"/>
  <c r="CC114" i="6"/>
  <c r="CC2" i="6"/>
  <c r="CC45" i="6"/>
  <c r="CC116" i="6"/>
  <c r="CC118" i="6"/>
  <c r="CC19" i="6"/>
  <c r="CC20" i="6"/>
  <c r="CC62" i="6"/>
  <c r="BM10" i="6"/>
  <c r="BM17" i="6"/>
  <c r="BM14" i="6"/>
  <c r="BM24" i="6"/>
  <c r="BM25" i="6"/>
  <c r="BM11" i="6"/>
  <c r="BM16" i="6"/>
  <c r="BM6" i="6"/>
  <c r="BM18" i="6"/>
  <c r="BM19" i="6"/>
  <c r="BM28" i="6"/>
  <c r="BM59" i="6"/>
  <c r="BM29" i="6"/>
  <c r="BM30" i="6"/>
  <c r="BM36" i="6"/>
  <c r="BM39" i="6"/>
  <c r="BM71" i="6"/>
  <c r="BM73" i="6"/>
  <c r="BM22" i="6"/>
  <c r="BM31" i="6"/>
  <c r="BM55" i="6"/>
  <c r="BM75" i="6"/>
  <c r="BM32" i="6"/>
  <c r="BM54" i="6"/>
  <c r="BM12" i="6"/>
  <c r="BM35" i="6"/>
  <c r="BM74" i="6"/>
  <c r="BM79" i="6"/>
  <c r="BM83" i="6"/>
  <c r="BM87" i="6"/>
  <c r="BM91" i="6"/>
  <c r="BM95" i="6"/>
  <c r="BM99" i="6"/>
  <c r="BM103" i="6"/>
  <c r="BM107" i="6"/>
  <c r="BM7" i="6"/>
  <c r="BM26" i="6"/>
  <c r="BM66" i="6"/>
  <c r="BM27" i="6"/>
  <c r="BM53" i="6"/>
  <c r="BM86" i="6"/>
  <c r="BM93" i="6"/>
  <c r="BM100" i="6"/>
  <c r="BM110" i="6"/>
  <c r="BM2" i="6"/>
  <c r="BM57" i="6"/>
  <c r="BM58" i="6"/>
  <c r="BM21" i="6"/>
  <c r="BM68" i="6"/>
  <c r="BM112" i="6"/>
  <c r="BM114" i="6"/>
  <c r="BM56" i="6"/>
  <c r="CD135" i="6"/>
  <c r="CC129" i="6"/>
  <c r="BM127" i="6"/>
  <c r="AK122" i="6"/>
  <c r="CC120" i="6"/>
  <c r="CC119" i="6"/>
  <c r="BM118" i="6"/>
  <c r="BM117" i="6"/>
  <c r="BO116" i="6"/>
  <c r="BA112" i="6"/>
  <c r="BB111" i="6"/>
  <c r="AK110" i="6"/>
  <c r="BC108" i="6"/>
  <c r="BA107" i="6"/>
  <c r="BO105" i="6"/>
  <c r="BM104" i="6"/>
  <c r="CE103" i="6"/>
  <c r="CC102" i="6"/>
  <c r="AM102" i="6"/>
  <c r="BC101" i="6"/>
  <c r="BC100" i="6"/>
  <c r="BO97" i="6"/>
  <c r="CE96" i="6"/>
  <c r="CE95" i="6"/>
  <c r="CC94" i="6"/>
  <c r="AK94" i="6"/>
  <c r="BC93" i="6"/>
  <c r="BC92" i="6"/>
  <c r="BM89" i="6"/>
  <c r="CE88" i="6"/>
  <c r="CE87" i="6"/>
  <c r="AM87" i="6"/>
  <c r="AK86" i="6"/>
  <c r="BC85" i="6"/>
  <c r="BM81" i="6"/>
  <c r="CE80" i="6"/>
  <c r="AM79" i="6"/>
  <c r="BM76" i="6"/>
  <c r="BC69" i="6"/>
  <c r="AK66" i="6"/>
  <c r="BM65" i="6"/>
  <c r="BN61" i="6"/>
  <c r="AL58" i="6"/>
  <c r="CD56" i="6"/>
  <c r="AL49" i="6"/>
  <c r="AK47" i="6"/>
  <c r="BC46" i="6"/>
  <c r="BO43" i="6"/>
  <c r="BM41" i="6"/>
  <c r="AM40" i="6"/>
  <c r="BB36" i="6"/>
  <c r="AM34" i="6"/>
  <c r="CE30" i="6"/>
  <c r="BA26" i="6"/>
  <c r="BB25" i="6"/>
  <c r="AM24" i="6"/>
  <c r="BB18" i="6"/>
  <c r="CC8" i="6"/>
  <c r="BC6" i="6"/>
  <c r="AK4" i="6"/>
  <c r="BF5" i="6"/>
  <c r="BF8" i="6"/>
  <c r="BF15" i="6"/>
  <c r="BF26" i="6"/>
  <c r="BF11" i="6"/>
  <c r="BF14" i="6"/>
  <c r="BF33" i="6"/>
  <c r="BF3" i="6"/>
  <c r="BF21" i="6"/>
  <c r="BF22" i="6"/>
  <c r="BF29" i="6"/>
  <c r="BF24" i="6"/>
  <c r="BF40" i="6"/>
  <c r="BF44" i="6"/>
  <c r="BF48" i="6"/>
  <c r="BF6" i="6"/>
  <c r="BF13" i="6"/>
  <c r="BF18" i="6"/>
  <c r="BF9" i="6"/>
  <c r="BF52" i="6"/>
  <c r="BF54" i="6"/>
  <c r="BF61" i="6"/>
  <c r="BF65" i="6"/>
  <c r="BF56" i="6"/>
  <c r="BF58" i="6"/>
  <c r="BF25" i="6"/>
  <c r="BF38" i="6"/>
  <c r="BF45" i="6"/>
  <c r="BF46" i="6"/>
  <c r="BF47" i="6"/>
  <c r="BF4" i="6"/>
  <c r="BF37" i="6"/>
  <c r="BF60" i="6"/>
  <c r="BF68" i="6"/>
  <c r="BF7" i="6"/>
  <c r="BF59" i="6"/>
  <c r="BF70" i="6"/>
  <c r="BF72" i="6"/>
  <c r="BF27" i="6"/>
  <c r="BF42" i="6"/>
  <c r="BF23" i="6"/>
  <c r="BF30" i="6"/>
  <c r="BF81" i="6"/>
  <c r="BF85" i="6"/>
  <c r="BF89" i="6"/>
  <c r="BF93" i="6"/>
  <c r="BF97" i="6"/>
  <c r="BF101" i="6"/>
  <c r="BF105" i="6"/>
  <c r="BF109" i="6"/>
  <c r="BF113" i="6"/>
  <c r="BF117" i="6"/>
  <c r="BF121" i="6"/>
  <c r="BF125" i="6"/>
  <c r="BF129" i="6"/>
  <c r="AP5" i="6"/>
  <c r="AP22" i="6"/>
  <c r="AP24" i="6"/>
  <c r="AP11" i="6"/>
  <c r="AP18" i="6"/>
  <c r="AP26" i="6"/>
  <c r="AP33" i="6"/>
  <c r="AP23" i="6"/>
  <c r="AP8" i="6"/>
  <c r="AP29" i="6"/>
  <c r="AP9" i="6"/>
  <c r="AP34" i="6"/>
  <c r="AP40" i="6"/>
  <c r="AP44" i="6"/>
  <c r="AP48" i="6"/>
  <c r="AP16" i="6"/>
  <c r="AP20" i="6"/>
  <c r="AP4" i="6"/>
  <c r="AP50" i="6"/>
  <c r="AP61" i="6"/>
  <c r="AP65" i="6"/>
  <c r="AP28" i="6"/>
  <c r="AP52" i="6"/>
  <c r="AP54" i="6"/>
  <c r="AP7" i="6"/>
  <c r="AP39" i="6"/>
  <c r="AP41" i="6"/>
  <c r="AP42" i="6"/>
  <c r="AP43" i="6"/>
  <c r="AP56" i="6"/>
  <c r="AP58" i="6"/>
  <c r="AP10" i="6"/>
  <c r="AP17" i="6"/>
  <c r="AP21" i="6"/>
  <c r="AP68" i="6"/>
  <c r="AP36" i="6"/>
  <c r="AP31" i="6"/>
  <c r="AP81" i="6"/>
  <c r="AP85" i="6"/>
  <c r="AP89" i="6"/>
  <c r="AP93" i="6"/>
  <c r="AP97" i="6"/>
  <c r="AP101" i="6"/>
  <c r="AP105" i="6"/>
  <c r="AP109" i="6"/>
  <c r="AP113" i="6"/>
  <c r="AP117" i="6"/>
  <c r="AP121" i="6"/>
  <c r="AP125" i="6"/>
  <c r="AP129" i="6"/>
  <c r="CH4" i="6"/>
  <c r="CH19" i="6"/>
  <c r="CH6" i="6"/>
  <c r="CH13" i="6"/>
  <c r="CH21" i="6"/>
  <c r="CH23" i="6"/>
  <c r="CH25" i="6"/>
  <c r="CH32" i="6"/>
  <c r="CH24" i="6"/>
  <c r="CH11" i="6"/>
  <c r="CH14" i="6"/>
  <c r="CH17" i="6"/>
  <c r="CH37" i="6"/>
  <c r="CH39" i="6"/>
  <c r="CH43" i="6"/>
  <c r="CH47" i="6"/>
  <c r="CH7" i="6"/>
  <c r="CH12" i="6"/>
  <c r="CH18" i="6"/>
  <c r="CH33" i="6"/>
  <c r="CH8" i="6"/>
  <c r="CH9" i="6"/>
  <c r="CH31" i="6"/>
  <c r="CH60" i="6"/>
  <c r="CH64" i="6"/>
  <c r="CH49" i="6"/>
  <c r="CH29" i="6"/>
  <c r="CH51" i="6"/>
  <c r="CH53" i="6"/>
  <c r="CH10" i="6"/>
  <c r="CH27" i="6"/>
  <c r="CH46" i="6"/>
  <c r="CH5" i="6"/>
  <c r="CH26" i="6"/>
  <c r="CH42" i="6"/>
  <c r="CH48" i="6"/>
  <c r="CH54" i="6"/>
  <c r="CH67" i="6"/>
  <c r="CH40" i="6"/>
  <c r="CH66" i="6"/>
  <c r="CH72" i="6"/>
  <c r="CH73" i="6"/>
  <c r="CH77" i="6"/>
  <c r="CH3" i="6"/>
  <c r="CH16" i="6"/>
  <c r="CH41" i="6"/>
  <c r="CH44" i="6"/>
  <c r="CH62" i="6"/>
  <c r="CH80" i="6"/>
  <c r="CH84" i="6"/>
  <c r="CH88" i="6"/>
  <c r="CH92" i="6"/>
  <c r="CH96" i="6"/>
  <c r="CH100" i="6"/>
  <c r="CH104" i="6"/>
  <c r="CH108" i="6"/>
  <c r="CH112" i="6"/>
  <c r="CH116" i="6"/>
  <c r="CH120" i="6"/>
  <c r="CH124" i="6"/>
  <c r="CH128" i="6"/>
  <c r="BR4" i="6"/>
  <c r="BR16" i="6"/>
  <c r="BR5" i="6"/>
  <c r="BR9" i="6"/>
  <c r="BR19" i="6"/>
  <c r="BR21" i="6"/>
  <c r="BR23" i="6"/>
  <c r="BR32" i="6"/>
  <c r="BR6" i="6"/>
  <c r="BR15" i="6"/>
  <c r="BR18" i="6"/>
  <c r="BR35" i="6"/>
  <c r="BR43" i="6"/>
  <c r="BR47" i="6"/>
  <c r="BR37" i="6"/>
  <c r="BR39" i="6"/>
  <c r="BR10" i="6"/>
  <c r="BR20" i="6"/>
  <c r="BR60" i="6"/>
  <c r="BR64" i="6"/>
  <c r="BR3" i="6"/>
  <c r="BR28" i="6"/>
  <c r="BR49" i="6"/>
  <c r="BR13" i="6"/>
  <c r="BR25" i="6"/>
  <c r="BR45" i="6"/>
  <c r="BR41" i="6"/>
  <c r="BR11" i="6"/>
  <c r="BR56" i="6"/>
  <c r="BR53" i="6"/>
  <c r="BR59" i="6"/>
  <c r="BR61" i="6"/>
  <c r="BR70" i="6"/>
  <c r="BR71" i="6"/>
  <c r="BR12" i="6"/>
  <c r="BR22" i="6"/>
  <c r="BR34" i="6"/>
  <c r="BR77" i="6"/>
  <c r="BR80" i="6"/>
  <c r="BR84" i="6"/>
  <c r="BR88" i="6"/>
  <c r="BR92" i="6"/>
  <c r="BR96" i="6"/>
  <c r="BR100" i="6"/>
  <c r="BR104" i="6"/>
  <c r="BR108" i="6"/>
  <c r="BR112" i="6"/>
  <c r="BR116" i="6"/>
  <c r="BR120" i="6"/>
  <c r="BR124" i="6"/>
  <c r="BR128" i="6"/>
  <c r="CH129" i="6"/>
  <c r="BQ129" i="6"/>
  <c r="BR127" i="6"/>
  <c r="BR125" i="6"/>
  <c r="BE111" i="6"/>
  <c r="CH107" i="6"/>
  <c r="BR103" i="6"/>
  <c r="BF98" i="6"/>
  <c r="AP94" i="6"/>
  <c r="BF91" i="6"/>
  <c r="CH89" i="6"/>
  <c r="AP87" i="6"/>
  <c r="BR85" i="6"/>
  <c r="BF84" i="6"/>
  <c r="CH82" i="6"/>
  <c r="AP80" i="6"/>
  <c r="BR78" i="6"/>
  <c r="BR75" i="6"/>
  <c r="BR72" i="6"/>
  <c r="CH71" i="6"/>
  <c r="AO71" i="6"/>
  <c r="CH68" i="6"/>
  <c r="BF66" i="6"/>
  <c r="BE60" i="6"/>
  <c r="BQ54" i="6"/>
  <c r="BR51" i="6"/>
  <c r="AP51" i="6"/>
  <c r="BR50" i="6"/>
  <c r="AP45" i="6"/>
  <c r="BQ44" i="6"/>
  <c r="BR40" i="6"/>
  <c r="BF36" i="6"/>
  <c r="BQ32" i="6"/>
  <c r="BQ30" i="6"/>
  <c r="CH15" i="6"/>
  <c r="BE8" i="6"/>
  <c r="BE15" i="6"/>
  <c r="BE12" i="6"/>
  <c r="BE3" i="6"/>
  <c r="BE5" i="6"/>
  <c r="BE21" i="6"/>
  <c r="BE22" i="6"/>
  <c r="BE29" i="6"/>
  <c r="BE16" i="6"/>
  <c r="BE6" i="6"/>
  <c r="BE26" i="6"/>
  <c r="BE13" i="6"/>
  <c r="BE18" i="6"/>
  <c r="BE7" i="6"/>
  <c r="BE33" i="6"/>
  <c r="BE56" i="6"/>
  <c r="BE58" i="6"/>
  <c r="BE25" i="6"/>
  <c r="BE38" i="6"/>
  <c r="BE44" i="6"/>
  <c r="BE45" i="6"/>
  <c r="BE46" i="6"/>
  <c r="BE47" i="6"/>
  <c r="BE37" i="6"/>
  <c r="BE9" i="6"/>
  <c r="BE11" i="6"/>
  <c r="BE59" i="6"/>
  <c r="BE70" i="6"/>
  <c r="BE72" i="6"/>
  <c r="BE24" i="6"/>
  <c r="BE27" i="6"/>
  <c r="BE42" i="6"/>
  <c r="BE74" i="6"/>
  <c r="BE51" i="6"/>
  <c r="BE52" i="6"/>
  <c r="BE61" i="6"/>
  <c r="BE62" i="6"/>
  <c r="BE63" i="6"/>
  <c r="BE64" i="6"/>
  <c r="BE54" i="6"/>
  <c r="BE81" i="6"/>
  <c r="BE85" i="6"/>
  <c r="BE89" i="6"/>
  <c r="BE93" i="6"/>
  <c r="BE97" i="6"/>
  <c r="BE101" i="6"/>
  <c r="BE105" i="6"/>
  <c r="BE109" i="6"/>
  <c r="AO11" i="6"/>
  <c r="AO18" i="6"/>
  <c r="AO8" i="6"/>
  <c r="AO15" i="6"/>
  <c r="AO23" i="6"/>
  <c r="AO26" i="6"/>
  <c r="AO29" i="6"/>
  <c r="AO16" i="6"/>
  <c r="AO20" i="6"/>
  <c r="AO10" i="6"/>
  <c r="AO28" i="6"/>
  <c r="AO34" i="6"/>
  <c r="AO52" i="6"/>
  <c r="AO54" i="6"/>
  <c r="AO7" i="6"/>
  <c r="AO39" i="6"/>
  <c r="AO40" i="6"/>
  <c r="AO41" i="6"/>
  <c r="AO42" i="6"/>
  <c r="AO43" i="6"/>
  <c r="AO56" i="6"/>
  <c r="AO58" i="6"/>
  <c r="AO31" i="6"/>
  <c r="AO68" i="6"/>
  <c r="AO70" i="6"/>
  <c r="AO72" i="6"/>
  <c r="AO36" i="6"/>
  <c r="AO53" i="6"/>
  <c r="AO60" i="6"/>
  <c r="AO24" i="6"/>
  <c r="AO81" i="6"/>
  <c r="AO85" i="6"/>
  <c r="AO89" i="6"/>
  <c r="AO93" i="6"/>
  <c r="AO97" i="6"/>
  <c r="AO101" i="6"/>
  <c r="AO105" i="6"/>
  <c r="AO109" i="6"/>
  <c r="AO50" i="6"/>
  <c r="AO64" i="6"/>
  <c r="CG6" i="6"/>
  <c r="CG13" i="6"/>
  <c r="CG21" i="6"/>
  <c r="CG23" i="6"/>
  <c r="CG10" i="6"/>
  <c r="CG17" i="6"/>
  <c r="CG24" i="6"/>
  <c r="CG11" i="6"/>
  <c r="CG14" i="6"/>
  <c r="CG8" i="6"/>
  <c r="CG25" i="6"/>
  <c r="CG28" i="6"/>
  <c r="CG7" i="6"/>
  <c r="CG12" i="6"/>
  <c r="CG18" i="6"/>
  <c r="CG33" i="6"/>
  <c r="CG49" i="6"/>
  <c r="CG29" i="6"/>
  <c r="CG51" i="6"/>
  <c r="CG53" i="6"/>
  <c r="CG22" i="6"/>
  <c r="CG55" i="6"/>
  <c r="CG57" i="6"/>
  <c r="CG27" i="6"/>
  <c r="CG46" i="6"/>
  <c r="CG5" i="6"/>
  <c r="CG26" i="6"/>
  <c r="CG42" i="6"/>
  <c r="CG48" i="6"/>
  <c r="CG54" i="6"/>
  <c r="CG67" i="6"/>
  <c r="CG19" i="6"/>
  <c r="CG44" i="6"/>
  <c r="CG3" i="6"/>
  <c r="CG16" i="6"/>
  <c r="CG41" i="6"/>
  <c r="CG62" i="6"/>
  <c r="CG80" i="6"/>
  <c r="CG84" i="6"/>
  <c r="CG88" i="6"/>
  <c r="CG92" i="6"/>
  <c r="CG96" i="6"/>
  <c r="CG100" i="6"/>
  <c r="CG104" i="6"/>
  <c r="CG108" i="6"/>
  <c r="CG9" i="6"/>
  <c r="CG38" i="6"/>
  <c r="CG39" i="6"/>
  <c r="CG45" i="6"/>
  <c r="CG64" i="6"/>
  <c r="CG74" i="6"/>
  <c r="CG75" i="6"/>
  <c r="BQ5" i="6"/>
  <c r="BQ9" i="6"/>
  <c r="BQ19" i="6"/>
  <c r="BQ21" i="6"/>
  <c r="BQ23" i="6"/>
  <c r="BQ6" i="6"/>
  <c r="BQ13" i="6"/>
  <c r="BQ25" i="6"/>
  <c r="BQ15" i="6"/>
  <c r="BQ18" i="6"/>
  <c r="BQ4" i="6"/>
  <c r="BQ12" i="6"/>
  <c r="BQ37" i="6"/>
  <c r="BQ39" i="6"/>
  <c r="BQ10" i="6"/>
  <c r="BQ20" i="6"/>
  <c r="BQ3" i="6"/>
  <c r="BQ28" i="6"/>
  <c r="BQ35" i="6"/>
  <c r="BQ49" i="6"/>
  <c r="BQ14" i="6"/>
  <c r="BQ34" i="6"/>
  <c r="BQ51" i="6"/>
  <c r="BQ53" i="6"/>
  <c r="BQ41" i="6"/>
  <c r="BQ47" i="6"/>
  <c r="BQ11" i="6"/>
  <c r="BQ43" i="6"/>
  <c r="BQ56" i="6"/>
  <c r="BQ31" i="6"/>
  <c r="BQ55" i="6"/>
  <c r="BQ67" i="6"/>
  <c r="BQ22" i="6"/>
  <c r="BQ77" i="6"/>
  <c r="BQ80" i="6"/>
  <c r="BQ84" i="6"/>
  <c r="BQ88" i="6"/>
  <c r="BQ92" i="6"/>
  <c r="BQ96" i="6"/>
  <c r="BQ100" i="6"/>
  <c r="BQ104" i="6"/>
  <c r="BQ108" i="6"/>
  <c r="CG129" i="6"/>
  <c r="BQ127" i="6"/>
  <c r="BQ125" i="6"/>
  <c r="CG107" i="6"/>
  <c r="BQ103" i="6"/>
  <c r="BE98" i="6"/>
  <c r="AO94" i="6"/>
  <c r="BE91" i="6"/>
  <c r="CG89" i="6"/>
  <c r="AO87" i="6"/>
  <c r="BQ85" i="6"/>
  <c r="BE84" i="6"/>
  <c r="CG82" i="6"/>
  <c r="AO80" i="6"/>
  <c r="BQ78" i="6"/>
  <c r="BQ75" i="6"/>
  <c r="BQ72" i="6"/>
  <c r="CG71" i="6"/>
  <c r="BR69" i="6"/>
  <c r="CG68" i="6"/>
  <c r="BE66" i="6"/>
  <c r="AP64" i="6"/>
  <c r="BR63" i="6"/>
  <c r="CG60" i="6"/>
  <c r="AO51" i="6"/>
  <c r="BQ50" i="6"/>
  <c r="AO45" i="6"/>
  <c r="BQ40" i="6"/>
  <c r="BF39" i="6"/>
  <c r="CH38" i="6"/>
  <c r="AP38" i="6"/>
  <c r="BE36" i="6"/>
  <c r="AP25" i="6"/>
  <c r="CG15" i="6"/>
  <c r="CG4" i="6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E48" i="8"/>
  <c r="AF3" i="9"/>
  <c r="AG3" i="9" s="1"/>
  <c r="AF4" i="9"/>
  <c r="AG4" i="9" s="1"/>
  <c r="AF5" i="9"/>
  <c r="AG5" i="9" s="1"/>
  <c r="AF6" i="9"/>
  <c r="AG6" i="9" s="1"/>
  <c r="AF7" i="9"/>
  <c r="AG7" i="9" s="1"/>
  <c r="AF8" i="9"/>
  <c r="AG8" i="9" s="1"/>
  <c r="AF9" i="9"/>
  <c r="AG9" i="9" s="1"/>
  <c r="AF10" i="9"/>
  <c r="AG10" i="9" s="1"/>
  <c r="AF11" i="9"/>
  <c r="AG11" i="9" s="1"/>
  <c r="AF12" i="9"/>
  <c r="AG12" i="9" s="1"/>
  <c r="AF13" i="9"/>
  <c r="AG13" i="9" s="1"/>
  <c r="AF14" i="9"/>
  <c r="AG14" i="9" s="1"/>
  <c r="AF15" i="9"/>
  <c r="AG15" i="9" s="1"/>
  <c r="AF16" i="9"/>
  <c r="AG16" i="9" s="1"/>
  <c r="AF17" i="9"/>
  <c r="AG17" i="9" s="1"/>
  <c r="AF18" i="9"/>
  <c r="AG18" i="9" s="1"/>
  <c r="AF19" i="9"/>
  <c r="AG19" i="9" s="1"/>
  <c r="AF20" i="9"/>
  <c r="AG20" i="9" s="1"/>
  <c r="AF21" i="9"/>
  <c r="AG21" i="9" s="1"/>
  <c r="AF22" i="9"/>
  <c r="AG22" i="9" s="1"/>
  <c r="AF23" i="9"/>
  <c r="AG23" i="9" s="1"/>
  <c r="AF24" i="9"/>
  <c r="AG24" i="9" s="1"/>
  <c r="AF25" i="9"/>
  <c r="AG25" i="9" s="1"/>
  <c r="AF26" i="9"/>
  <c r="AG26" i="9" s="1"/>
  <c r="AF27" i="9"/>
  <c r="AG27" i="9" s="1"/>
  <c r="AF28" i="9"/>
  <c r="AG28" i="9" s="1"/>
  <c r="AF29" i="9"/>
  <c r="AG29" i="9" s="1"/>
  <c r="AF30" i="9"/>
  <c r="AG30" i="9" s="1"/>
  <c r="AF31" i="9"/>
  <c r="AG31" i="9" s="1"/>
  <c r="AF32" i="9"/>
  <c r="AG32" i="9" s="1"/>
  <c r="AF33" i="9"/>
  <c r="AG33" i="9" s="1"/>
  <c r="AF34" i="9"/>
  <c r="AG34" i="9" s="1"/>
  <c r="AF35" i="9"/>
  <c r="AG35" i="9" s="1"/>
  <c r="AF36" i="9"/>
  <c r="AG36" i="9" s="1"/>
  <c r="AF37" i="9"/>
  <c r="AG37" i="9" s="1"/>
  <c r="AF38" i="9"/>
  <c r="AG38" i="9" s="1"/>
  <c r="AF39" i="9"/>
  <c r="AG39" i="9" s="1"/>
  <c r="AF40" i="9"/>
  <c r="AG40" i="9" s="1"/>
  <c r="AF41" i="9"/>
  <c r="AG41" i="9" s="1"/>
  <c r="AF42" i="9"/>
  <c r="AG42" i="9" s="1"/>
  <c r="AF43" i="9"/>
  <c r="AG43" i="9" s="1"/>
  <c r="AF44" i="9"/>
  <c r="AG44" i="9" s="1"/>
  <c r="AF45" i="9"/>
  <c r="AG45" i="9" s="1"/>
  <c r="AF46" i="9"/>
  <c r="AG46" i="9" s="1"/>
  <c r="AF47" i="9"/>
  <c r="AG47" i="9" s="1"/>
  <c r="AF48" i="9"/>
  <c r="AG48" i="9" s="1"/>
  <c r="AF49" i="9"/>
  <c r="AG49" i="9" s="1"/>
  <c r="AF50" i="9"/>
  <c r="AG50" i="9" s="1"/>
  <c r="AF51" i="9"/>
  <c r="AG51" i="9" s="1"/>
  <c r="AF52" i="9"/>
  <c r="AG52" i="9" s="1"/>
  <c r="AF53" i="9"/>
  <c r="AG53" i="9" s="1"/>
  <c r="AF54" i="9"/>
  <c r="AG54" i="9" s="1"/>
  <c r="AF55" i="9"/>
  <c r="AG55" i="9" s="1"/>
  <c r="AF56" i="9"/>
  <c r="AG56" i="9" s="1"/>
  <c r="AF57" i="9"/>
  <c r="AG57" i="9" s="1"/>
  <c r="AF58" i="9"/>
  <c r="AG58" i="9" s="1"/>
  <c r="AF59" i="9"/>
  <c r="AG59" i="9" s="1"/>
  <c r="AF60" i="9"/>
  <c r="AG60" i="9" s="1"/>
  <c r="AF61" i="9"/>
  <c r="AG61" i="9" s="1"/>
  <c r="AF62" i="9"/>
  <c r="AG62" i="9" s="1"/>
  <c r="AF63" i="9"/>
  <c r="AG63" i="9" s="1"/>
  <c r="AF64" i="9"/>
  <c r="AG64" i="9" s="1"/>
  <c r="AF65" i="9"/>
  <c r="AG65" i="9" s="1"/>
  <c r="AF66" i="9"/>
  <c r="AG66" i="9" s="1"/>
  <c r="AF67" i="9"/>
  <c r="AG67" i="9" s="1"/>
  <c r="AF68" i="9"/>
  <c r="AG68" i="9" s="1"/>
  <c r="AF69" i="9"/>
  <c r="AG69" i="9" s="1"/>
  <c r="AF70" i="9"/>
  <c r="AG70" i="9" s="1"/>
  <c r="AF71" i="9"/>
  <c r="AG71" i="9" s="1"/>
  <c r="AF72" i="9"/>
  <c r="AG72" i="9" s="1"/>
  <c r="AF73" i="9"/>
  <c r="AG73" i="9" s="1"/>
  <c r="AF74" i="9"/>
  <c r="AG74" i="9" s="1"/>
  <c r="AF75" i="9"/>
  <c r="AG75" i="9" s="1"/>
  <c r="AF76" i="9"/>
  <c r="AG76" i="9" s="1"/>
  <c r="AF77" i="9"/>
  <c r="AG77" i="9" s="1"/>
  <c r="AF78" i="9"/>
  <c r="AG78" i="9" s="1"/>
  <c r="AF79" i="9"/>
  <c r="AG79" i="9" s="1"/>
  <c r="AF80" i="9"/>
  <c r="AG80" i="9" s="1"/>
  <c r="AF81" i="9"/>
  <c r="AG81" i="9" s="1"/>
  <c r="AF82" i="9"/>
  <c r="AG82" i="9" s="1"/>
  <c r="AF83" i="9"/>
  <c r="AG83" i="9" s="1"/>
  <c r="AF84" i="9"/>
  <c r="AG84" i="9" s="1"/>
  <c r="AF85" i="9"/>
  <c r="AG85" i="9" s="1"/>
  <c r="AF86" i="9"/>
  <c r="AG86" i="9" s="1"/>
  <c r="AF87" i="9"/>
  <c r="AG87" i="9" s="1"/>
  <c r="AF88" i="9"/>
  <c r="AG88" i="9" s="1"/>
  <c r="AF89" i="9"/>
  <c r="AG89" i="9" s="1"/>
  <c r="AF90" i="9"/>
  <c r="AG90" i="9" s="1"/>
  <c r="AF91" i="9"/>
  <c r="AG91" i="9" s="1"/>
  <c r="AF92" i="9"/>
  <c r="AG92" i="9" s="1"/>
  <c r="AF93" i="9"/>
  <c r="AG93" i="9" s="1"/>
  <c r="AF94" i="9"/>
  <c r="AG94" i="9" s="1"/>
  <c r="AF95" i="9"/>
  <c r="AG95" i="9" s="1"/>
  <c r="AF96" i="9"/>
  <c r="AG96" i="9" s="1"/>
  <c r="AF97" i="9"/>
  <c r="AG97" i="9" s="1"/>
  <c r="AF98" i="9"/>
  <c r="AG98" i="9" s="1"/>
  <c r="AF99" i="9"/>
  <c r="AG99" i="9" s="1"/>
  <c r="AF100" i="9"/>
  <c r="AG100" i="9" s="1"/>
  <c r="AF101" i="9"/>
  <c r="AG101" i="9" s="1"/>
  <c r="AF102" i="9"/>
  <c r="AG102" i="9" s="1"/>
  <c r="AF103" i="9"/>
  <c r="AG103" i="9" s="1"/>
  <c r="AF104" i="9"/>
  <c r="AG104" i="9" s="1"/>
  <c r="AF105" i="9"/>
  <c r="AG105" i="9" s="1"/>
  <c r="AF106" i="9"/>
  <c r="AG106" i="9" s="1"/>
  <c r="AF107" i="9"/>
  <c r="AG107" i="9" s="1"/>
  <c r="AF108" i="9"/>
  <c r="AG108" i="9" s="1"/>
  <c r="AF109" i="9"/>
  <c r="AG109" i="9" s="1"/>
  <c r="AF110" i="9"/>
  <c r="AG110" i="9" s="1"/>
  <c r="AF111" i="9"/>
  <c r="AG111" i="9" s="1"/>
  <c r="AF112" i="9"/>
  <c r="AG112" i="9" s="1"/>
  <c r="AF113" i="9"/>
  <c r="AG113" i="9" s="1"/>
  <c r="AF114" i="9"/>
  <c r="AG114" i="9" s="1"/>
  <c r="AF115" i="9"/>
  <c r="AG115" i="9" s="1"/>
  <c r="AF116" i="9"/>
  <c r="AG116" i="9" s="1"/>
  <c r="AF117" i="9"/>
  <c r="AG117" i="9" s="1"/>
  <c r="AF118" i="9"/>
  <c r="AG118" i="9" s="1"/>
  <c r="AF119" i="9"/>
  <c r="AG119" i="9" s="1"/>
  <c r="AF120" i="9"/>
  <c r="AG120" i="9" s="1"/>
  <c r="AF121" i="9"/>
  <c r="AG121" i="9" s="1"/>
  <c r="AF122" i="9"/>
  <c r="AG122" i="9" s="1"/>
  <c r="AF123" i="9"/>
  <c r="AG123" i="9" s="1"/>
  <c r="AF124" i="9"/>
  <c r="AG124" i="9" s="1"/>
  <c r="AF125" i="9"/>
  <c r="AG125" i="9" s="1"/>
  <c r="AF126" i="9"/>
  <c r="AG126" i="9" s="1"/>
  <c r="AF127" i="9"/>
  <c r="AG127" i="9" s="1"/>
  <c r="AF128" i="9"/>
  <c r="AG128" i="9" s="1"/>
  <c r="AF129" i="9"/>
  <c r="AG129" i="9" s="1"/>
  <c r="AF130" i="9"/>
  <c r="AG130" i="9" s="1"/>
  <c r="AF131" i="9"/>
  <c r="AG131" i="9" s="1"/>
  <c r="AF132" i="9"/>
  <c r="AG132" i="9" s="1"/>
  <c r="AF133" i="9"/>
  <c r="AG133" i="9" s="1"/>
  <c r="AF134" i="9"/>
  <c r="AG134" i="9" s="1"/>
  <c r="AF135" i="9"/>
  <c r="AG135" i="9" s="1"/>
  <c r="A1935" i="10"/>
  <c r="A1936" i="10" s="1"/>
  <c r="B1936" i="10" s="1"/>
  <c r="A1937" i="10"/>
  <c r="B1937" i="10" s="1"/>
  <c r="A1938" i="10"/>
  <c r="B1938" i="10" s="1"/>
  <c r="A1939" i="10"/>
  <c r="A1940" i="10" s="1"/>
  <c r="B1940" i="10" s="1"/>
  <c r="A1941" i="10"/>
  <c r="B1941" i="10"/>
  <c r="A1942" i="10"/>
  <c r="B1942" i="10"/>
  <c r="A1943" i="10"/>
  <c r="A1944" i="10" s="1"/>
  <c r="B1944" i="10" s="1"/>
  <c r="A1945" i="10"/>
  <c r="A1946" i="10" s="1"/>
  <c r="B1946" i="10" s="1"/>
  <c r="B1945" i="10"/>
  <c r="A1947" i="10"/>
  <c r="A1948" i="10" s="1"/>
  <c r="B1948" i="10" s="1"/>
  <c r="B1947" i="10"/>
  <c r="A1949" i="10"/>
  <c r="A1950" i="10" s="1"/>
  <c r="B1950" i="10" s="1"/>
  <c r="A1951" i="10"/>
  <c r="A1953" i="10"/>
  <c r="B1953" i="10" s="1"/>
  <c r="A1955" i="10"/>
  <c r="A1956" i="10" s="1"/>
  <c r="B1956" i="10" s="1"/>
  <c r="A1957" i="10"/>
  <c r="B1957" i="10" s="1"/>
  <c r="A1958" i="10"/>
  <c r="B1958" i="10" s="1"/>
  <c r="A1959" i="10"/>
  <c r="A1960" i="10" s="1"/>
  <c r="B1960" i="10" s="1"/>
  <c r="B1959" i="10"/>
  <c r="A1961" i="10"/>
  <c r="A1962" i="10" s="1"/>
  <c r="B1962" i="10" s="1"/>
  <c r="B1961" i="10"/>
  <c r="A1963" i="10"/>
  <c r="A1964" i="10" s="1"/>
  <c r="B1964" i="10" s="1"/>
  <c r="A1965" i="10"/>
  <c r="A1967" i="10"/>
  <c r="B1967" i="10" s="1"/>
  <c r="A1969" i="10"/>
  <c r="A1970" i="10" s="1"/>
  <c r="B1970" i="10" s="1"/>
  <c r="B1969" i="10"/>
  <c r="A1971" i="10"/>
  <c r="A1972" i="10" s="1"/>
  <c r="B1972" i="10" s="1"/>
  <c r="B1971" i="10"/>
  <c r="A1973" i="10"/>
  <c r="B1973" i="10" s="1"/>
  <c r="A1975" i="10"/>
  <c r="A1976" i="10" s="1"/>
  <c r="B1976" i="10" s="1"/>
  <c r="A1977" i="10"/>
  <c r="A1978" i="10" s="1"/>
  <c r="B1978" i="10" s="1"/>
  <c r="A1979" i="10"/>
  <c r="A1980" i="10" s="1"/>
  <c r="B1980" i="10" s="1"/>
  <c r="B1979" i="10"/>
  <c r="A1981" i="10"/>
  <c r="A1983" i="10"/>
  <c r="A1984" i="10" s="1"/>
  <c r="B1984" i="10" s="1"/>
  <c r="A1985" i="10"/>
  <c r="B1985" i="10"/>
  <c r="A1986" i="10"/>
  <c r="B1986" i="10"/>
  <c r="A1987" i="10"/>
  <c r="A1989" i="10"/>
  <c r="A1990" i="10" s="1"/>
  <c r="B1990" i="10" s="1"/>
  <c r="B1989" i="10"/>
  <c r="A1991" i="10"/>
  <c r="B1991" i="10" s="1"/>
  <c r="C2" i="9"/>
  <c r="AF2" i="9"/>
  <c r="AG2" i="9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D26" i="9"/>
  <c r="D28" i="9" s="1"/>
  <c r="D30" i="9" s="1"/>
  <c r="D32" i="9" s="1"/>
  <c r="D34" i="9" s="1"/>
  <c r="D36" i="9" s="1"/>
  <c r="D38" i="9" s="1"/>
  <c r="D40" i="9" s="1"/>
  <c r="D42" i="9" s="1"/>
  <c r="D44" i="9" s="1"/>
  <c r="D46" i="9" s="1"/>
  <c r="D48" i="9" s="1"/>
  <c r="D50" i="9" s="1"/>
  <c r="D52" i="9" s="1"/>
  <c r="D54" i="9" s="1"/>
  <c r="D56" i="9" s="1"/>
  <c r="D58" i="9" s="1"/>
  <c r="D60" i="9" s="1"/>
  <c r="D62" i="9" s="1"/>
  <c r="D64" i="9" s="1"/>
  <c r="D66" i="9" s="1"/>
  <c r="D68" i="9" s="1"/>
  <c r="D70" i="9" s="1"/>
  <c r="D72" i="9" s="1"/>
  <c r="D74" i="9" s="1"/>
  <c r="D76" i="9" s="1"/>
  <c r="D78" i="9" s="1"/>
  <c r="D80" i="9" s="1"/>
  <c r="D82" i="9" s="1"/>
  <c r="D84" i="9" s="1"/>
  <c r="D86" i="9" s="1"/>
  <c r="D88" i="9" s="1"/>
  <c r="D90" i="9" s="1"/>
  <c r="D92" i="9" s="1"/>
  <c r="D94" i="9" s="1"/>
  <c r="D96" i="9" s="1"/>
  <c r="D98" i="9" s="1"/>
  <c r="D100" i="9" s="1"/>
  <c r="D102" i="9" s="1"/>
  <c r="D104" i="9" s="1"/>
  <c r="D106" i="9" s="1"/>
  <c r="D108" i="9" s="1"/>
  <c r="D110" i="9" s="1"/>
  <c r="D112" i="9" s="1"/>
  <c r="D114" i="9" s="1"/>
  <c r="D116" i="9" s="1"/>
  <c r="D118" i="9" s="1"/>
  <c r="D120" i="9" s="1"/>
  <c r="D122" i="9" s="1"/>
  <c r="D124" i="9" s="1"/>
  <c r="D126" i="9" s="1"/>
  <c r="D128" i="9" s="1"/>
  <c r="D130" i="9" s="1"/>
  <c r="D132" i="9" s="1"/>
  <c r="D134" i="9" s="1"/>
  <c r="C27" i="9"/>
  <c r="D27" i="9"/>
  <c r="D29" i="9" s="1"/>
  <c r="D31" i="9" s="1"/>
  <c r="D33" i="9" s="1"/>
  <c r="D35" i="9" s="1"/>
  <c r="D37" i="9" s="1"/>
  <c r="D39" i="9" s="1"/>
  <c r="D41" i="9" s="1"/>
  <c r="D43" i="9" s="1"/>
  <c r="D45" i="9" s="1"/>
  <c r="D47" i="9" s="1"/>
  <c r="D49" i="9" s="1"/>
  <c r="D51" i="9" s="1"/>
  <c r="D53" i="9" s="1"/>
  <c r="D55" i="9" s="1"/>
  <c r="D57" i="9" s="1"/>
  <c r="D59" i="9" s="1"/>
  <c r="D61" i="9" s="1"/>
  <c r="D63" i="9" s="1"/>
  <c r="D65" i="9" s="1"/>
  <c r="D67" i="9" s="1"/>
  <c r="D69" i="9" s="1"/>
  <c r="D71" i="9" s="1"/>
  <c r="D73" i="9" s="1"/>
  <c r="D75" i="9" s="1"/>
  <c r="D77" i="9" s="1"/>
  <c r="D79" i="9" s="1"/>
  <c r="D81" i="9" s="1"/>
  <c r="D83" i="9" s="1"/>
  <c r="D85" i="9" s="1"/>
  <c r="D87" i="9" s="1"/>
  <c r="D89" i="9" s="1"/>
  <c r="D91" i="9" s="1"/>
  <c r="D93" i="9" s="1"/>
  <c r="D95" i="9" s="1"/>
  <c r="D97" i="9" s="1"/>
  <c r="D99" i="9" s="1"/>
  <c r="D101" i="9" s="1"/>
  <c r="D103" i="9" s="1"/>
  <c r="D105" i="9" s="1"/>
  <c r="D107" i="9" s="1"/>
  <c r="D109" i="9" s="1"/>
  <c r="D111" i="9" s="1"/>
  <c r="D113" i="9" s="1"/>
  <c r="D115" i="9" s="1"/>
  <c r="D117" i="9" s="1"/>
  <c r="D119" i="9" s="1"/>
  <c r="D121" i="9" s="1"/>
  <c r="D123" i="9" s="1"/>
  <c r="D125" i="9" s="1"/>
  <c r="D127" i="9" s="1"/>
  <c r="D129" i="9" s="1"/>
  <c r="D131" i="9" s="1"/>
  <c r="D133" i="9" s="1"/>
  <c r="D135" i="9" s="1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D192" i="3"/>
  <c r="C192" i="3"/>
  <c r="D191" i="3"/>
  <c r="C191" i="3"/>
  <c r="D190" i="3"/>
  <c r="C190" i="3"/>
  <c r="C189" i="3"/>
  <c r="D189" i="3"/>
  <c r="D188" i="3"/>
  <c r="C188" i="3"/>
  <c r="D186" i="3"/>
  <c r="D187" i="3"/>
  <c r="C186" i="3"/>
  <c r="C187" i="3"/>
  <c r="C185" i="3"/>
  <c r="D185" i="3"/>
  <c r="A2" i="10"/>
  <c r="B2" i="10" s="1"/>
  <c r="C184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D111" i="3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C2" i="3"/>
  <c r="BX135" i="9" l="1"/>
  <c r="CN135" i="9"/>
  <c r="CB135" i="9"/>
  <c r="CC135" i="9"/>
  <c r="CD135" i="9"/>
  <c r="CE135" i="9"/>
  <c r="CF135" i="9"/>
  <c r="CG135" i="9"/>
  <c r="BN135" i="9"/>
  <c r="CH135" i="9"/>
  <c r="CI135" i="9"/>
  <c r="CJ135" i="9"/>
  <c r="CK135" i="9"/>
  <c r="BU135" i="9"/>
  <c r="BV135" i="9"/>
  <c r="BW135" i="9"/>
  <c r="CO135" i="9"/>
  <c r="BO135" i="9"/>
  <c r="CP135" i="9"/>
  <c r="CQ135" i="9"/>
  <c r="CA135" i="9"/>
  <c r="BS135" i="9"/>
  <c r="BT135" i="9"/>
  <c r="BY135" i="9"/>
  <c r="BZ135" i="9"/>
  <c r="CL135" i="9"/>
  <c r="BR135" i="9"/>
  <c r="CM135" i="9"/>
  <c r="BP135" i="9"/>
  <c r="BQ135" i="9"/>
  <c r="BP127" i="9"/>
  <c r="BX127" i="9"/>
  <c r="CN127" i="9"/>
  <c r="CC127" i="9"/>
  <c r="CD127" i="9"/>
  <c r="CE127" i="9"/>
  <c r="BR127" i="9"/>
  <c r="CL127" i="9"/>
  <c r="BS127" i="9"/>
  <c r="CM127" i="9"/>
  <c r="BT127" i="9"/>
  <c r="CO127" i="9"/>
  <c r="BU127" i="9"/>
  <c r="CP127" i="9"/>
  <c r="BV127" i="9"/>
  <c r="BW127" i="9"/>
  <c r="BY127" i="9"/>
  <c r="BQ127" i="9"/>
  <c r="BZ127" i="9"/>
  <c r="CA127" i="9"/>
  <c r="CB127" i="9"/>
  <c r="CF127" i="9"/>
  <c r="CG127" i="9"/>
  <c r="CI127" i="9"/>
  <c r="CH127" i="9"/>
  <c r="CJ127" i="9"/>
  <c r="BN127" i="9"/>
  <c r="CK127" i="9"/>
  <c r="BO127" i="9"/>
  <c r="CQ127" i="9"/>
  <c r="BP119" i="9"/>
  <c r="CF119" i="9"/>
  <c r="BV119" i="9"/>
  <c r="CM119" i="9"/>
  <c r="BY119" i="9"/>
  <c r="CP119" i="9"/>
  <c r="BQ119" i="9"/>
  <c r="CJ119" i="9"/>
  <c r="BR119" i="9"/>
  <c r="CK119" i="9"/>
  <c r="BS119" i="9"/>
  <c r="CL119" i="9"/>
  <c r="BO119" i="9"/>
  <c r="CQ119" i="9"/>
  <c r="BT119" i="9"/>
  <c r="BU119" i="9"/>
  <c r="BW119" i="9"/>
  <c r="CH119" i="9"/>
  <c r="CI119" i="9"/>
  <c r="CN119" i="9"/>
  <c r="CA119" i="9"/>
  <c r="CB119" i="9"/>
  <c r="CC119" i="9"/>
  <c r="BX119" i="9"/>
  <c r="BZ119" i="9"/>
  <c r="CD119" i="9"/>
  <c r="CG119" i="9"/>
  <c r="CO119" i="9"/>
  <c r="CE119" i="9"/>
  <c r="BN119" i="9"/>
  <c r="BP111" i="9"/>
  <c r="CF111" i="9"/>
  <c r="BW111" i="9"/>
  <c r="CN111" i="9"/>
  <c r="BZ111" i="9"/>
  <c r="CQ111" i="9"/>
  <c r="BV111" i="9"/>
  <c r="CP111" i="9"/>
  <c r="BX111" i="9"/>
  <c r="BY111" i="9"/>
  <c r="BQ111" i="9"/>
  <c r="CM111" i="9"/>
  <c r="BR111" i="9"/>
  <c r="CO111" i="9"/>
  <c r="BS111" i="9"/>
  <c r="BT111" i="9"/>
  <c r="BU111" i="9"/>
  <c r="CA111" i="9"/>
  <c r="CB111" i="9"/>
  <c r="CE111" i="9"/>
  <c r="CG111" i="9"/>
  <c r="CH111" i="9"/>
  <c r="BN111" i="9"/>
  <c r="CJ111" i="9"/>
  <c r="BO111" i="9"/>
  <c r="CC111" i="9"/>
  <c r="CI111" i="9"/>
  <c r="CD111" i="9"/>
  <c r="CL111" i="9"/>
  <c r="CK111" i="9"/>
  <c r="BN103" i="9"/>
  <c r="CD103" i="9"/>
  <c r="BS103" i="9"/>
  <c r="CJ103" i="9"/>
  <c r="BT103" i="9"/>
  <c r="CK103" i="9"/>
  <c r="CB103" i="9"/>
  <c r="CF103" i="9"/>
  <c r="BO103" i="9"/>
  <c r="CL103" i="9"/>
  <c r="BP103" i="9"/>
  <c r="CM103" i="9"/>
  <c r="BQ103" i="9"/>
  <c r="CN103" i="9"/>
  <c r="CA103" i="9"/>
  <c r="CC103" i="9"/>
  <c r="CE103" i="9"/>
  <c r="CG103" i="9"/>
  <c r="BW103" i="9"/>
  <c r="BX103" i="9"/>
  <c r="BY103" i="9"/>
  <c r="BR103" i="9"/>
  <c r="BU103" i="9"/>
  <c r="BV103" i="9"/>
  <c r="CO103" i="9"/>
  <c r="CP103" i="9"/>
  <c r="BZ103" i="9"/>
  <c r="CH103" i="9"/>
  <c r="CQ103" i="9"/>
  <c r="CI103" i="9"/>
  <c r="BN95" i="9"/>
  <c r="CD95" i="9"/>
  <c r="BT95" i="9"/>
  <c r="CK95" i="9"/>
  <c r="BU95" i="9"/>
  <c r="CL95" i="9"/>
  <c r="BO95" i="9"/>
  <c r="CH95" i="9"/>
  <c r="BR95" i="9"/>
  <c r="CM95" i="9"/>
  <c r="CE95" i="9"/>
  <c r="CF95" i="9"/>
  <c r="CG95" i="9"/>
  <c r="BW95" i="9"/>
  <c r="BX95" i="9"/>
  <c r="BY95" i="9"/>
  <c r="BZ95" i="9"/>
  <c r="CQ95" i="9"/>
  <c r="CI95" i="9"/>
  <c r="CJ95" i="9"/>
  <c r="CN95" i="9"/>
  <c r="BS95" i="9"/>
  <c r="BV95" i="9"/>
  <c r="CA95" i="9"/>
  <c r="CO95" i="9"/>
  <c r="CB95" i="9"/>
  <c r="CC95" i="9"/>
  <c r="BP95" i="9"/>
  <c r="BQ95" i="9"/>
  <c r="CP95" i="9"/>
  <c r="BN87" i="9"/>
  <c r="CD87" i="9"/>
  <c r="BU87" i="9"/>
  <c r="CL87" i="9"/>
  <c r="BV87" i="9"/>
  <c r="CM87" i="9"/>
  <c r="BT87" i="9"/>
  <c r="CO87" i="9"/>
  <c r="BW87" i="9"/>
  <c r="CP87" i="9"/>
  <c r="BX87" i="9"/>
  <c r="CQ87" i="9"/>
  <c r="BY87" i="9"/>
  <c r="BZ87" i="9"/>
  <c r="CA87" i="9"/>
  <c r="CB87" i="9"/>
  <c r="BO87" i="9"/>
  <c r="BP87" i="9"/>
  <c r="BQ87" i="9"/>
  <c r="BR87" i="9"/>
  <c r="CK87" i="9"/>
  <c r="CN87" i="9"/>
  <c r="CC87" i="9"/>
  <c r="CE87" i="9"/>
  <c r="CF87" i="9"/>
  <c r="CH87" i="9"/>
  <c r="CG87" i="9"/>
  <c r="BS87" i="9"/>
  <c r="CI87" i="9"/>
  <c r="CJ87" i="9"/>
  <c r="CA79" i="9"/>
  <c r="CQ79" i="9"/>
  <c r="BN79" i="9"/>
  <c r="CD79" i="9"/>
  <c r="BT79" i="9"/>
  <c r="CL79" i="9"/>
  <c r="BU79" i="9"/>
  <c r="CM79" i="9"/>
  <c r="BY79" i="9"/>
  <c r="BZ79" i="9"/>
  <c r="CB79" i="9"/>
  <c r="CC79" i="9"/>
  <c r="CE79" i="9"/>
  <c r="CF79" i="9"/>
  <c r="CG79" i="9"/>
  <c r="CH79" i="9"/>
  <c r="CI79" i="9"/>
  <c r="CJ79" i="9"/>
  <c r="CK79" i="9"/>
  <c r="BS79" i="9"/>
  <c r="BV79" i="9"/>
  <c r="BW79" i="9"/>
  <c r="BO79" i="9"/>
  <c r="BQ79" i="9"/>
  <c r="BP79" i="9"/>
  <c r="CP79" i="9"/>
  <c r="BR79" i="9"/>
  <c r="BX79" i="9"/>
  <c r="CN79" i="9"/>
  <c r="CO79" i="9"/>
  <c r="CA71" i="9"/>
  <c r="CQ71" i="9"/>
  <c r="BN71" i="9"/>
  <c r="CD71" i="9"/>
  <c r="BV71" i="9"/>
  <c r="CN71" i="9"/>
  <c r="BW71" i="9"/>
  <c r="CO71" i="9"/>
  <c r="BX71" i="9"/>
  <c r="CI71" i="9"/>
  <c r="BO71" i="9"/>
  <c r="CJ71" i="9"/>
  <c r="BP71" i="9"/>
  <c r="CK71" i="9"/>
  <c r="BQ71" i="9"/>
  <c r="CL71" i="9"/>
  <c r="BR71" i="9"/>
  <c r="BS71" i="9"/>
  <c r="BT71" i="9"/>
  <c r="CE71" i="9"/>
  <c r="CF71" i="9"/>
  <c r="CG71" i="9"/>
  <c r="CH71" i="9"/>
  <c r="CM71" i="9"/>
  <c r="CP71" i="9"/>
  <c r="BU71" i="9"/>
  <c r="BY71" i="9"/>
  <c r="BZ71" i="9"/>
  <c r="CC71" i="9"/>
  <c r="CB71" i="9"/>
  <c r="CA63" i="9"/>
  <c r="CQ63" i="9"/>
  <c r="CB63" i="9"/>
  <c r="BN63" i="9"/>
  <c r="CD63" i="9"/>
  <c r="BO63" i="9"/>
  <c r="CH63" i="9"/>
  <c r="BP63" i="9"/>
  <c r="CI63" i="9"/>
  <c r="BQ63" i="9"/>
  <c r="CJ63" i="9"/>
  <c r="BR63" i="9"/>
  <c r="CK63" i="9"/>
  <c r="BW63" i="9"/>
  <c r="BX63" i="9"/>
  <c r="BY63" i="9"/>
  <c r="BZ63" i="9"/>
  <c r="BS63" i="9"/>
  <c r="BT63" i="9"/>
  <c r="BU63" i="9"/>
  <c r="BV63" i="9"/>
  <c r="CC63" i="9"/>
  <c r="CE63" i="9"/>
  <c r="CF63" i="9"/>
  <c r="CO63" i="9"/>
  <c r="CP63" i="9"/>
  <c r="CL63" i="9"/>
  <c r="CM63" i="9"/>
  <c r="CN63" i="9"/>
  <c r="CG63" i="9"/>
  <c r="BP55" i="9"/>
  <c r="CF55" i="9"/>
  <c r="BT55" i="9"/>
  <c r="CK55" i="9"/>
  <c r="BU55" i="9"/>
  <c r="CL55" i="9"/>
  <c r="BV55" i="9"/>
  <c r="CM55" i="9"/>
  <c r="BW55" i="9"/>
  <c r="CN55" i="9"/>
  <c r="CB55" i="9"/>
  <c r="CC55" i="9"/>
  <c r="CD55" i="9"/>
  <c r="CE55" i="9"/>
  <c r="BO55" i="9"/>
  <c r="BQ55" i="9"/>
  <c r="BR55" i="9"/>
  <c r="BS55" i="9"/>
  <c r="CO55" i="9"/>
  <c r="CP55" i="9"/>
  <c r="CQ55" i="9"/>
  <c r="CI55" i="9"/>
  <c r="CJ55" i="9"/>
  <c r="BN55" i="9"/>
  <c r="BX55" i="9"/>
  <c r="BY55" i="9"/>
  <c r="BZ55" i="9"/>
  <c r="CA55" i="9"/>
  <c r="CG55" i="9"/>
  <c r="CH55" i="9"/>
  <c r="BQ47" i="9"/>
  <c r="CG47" i="9"/>
  <c r="BR47" i="9"/>
  <c r="CH47" i="9"/>
  <c r="BT47" i="9"/>
  <c r="CJ47" i="9"/>
  <c r="BY47" i="9"/>
  <c r="BZ47" i="9"/>
  <c r="CA47" i="9"/>
  <c r="BV47" i="9"/>
  <c r="BW47" i="9"/>
  <c r="BX47" i="9"/>
  <c r="CB47" i="9"/>
  <c r="CI47" i="9"/>
  <c r="CK47" i="9"/>
  <c r="CL47" i="9"/>
  <c r="CM47" i="9"/>
  <c r="BN47" i="9"/>
  <c r="CQ47" i="9"/>
  <c r="BO47" i="9"/>
  <c r="BP47" i="9"/>
  <c r="CE47" i="9"/>
  <c r="CF47" i="9"/>
  <c r="CN47" i="9"/>
  <c r="CO47" i="9"/>
  <c r="BS47" i="9"/>
  <c r="BU47" i="9"/>
  <c r="CC47" i="9"/>
  <c r="CD47" i="9"/>
  <c r="CP47" i="9"/>
  <c r="BQ39" i="9"/>
  <c r="CG39" i="9"/>
  <c r="BR39" i="9"/>
  <c r="CH39" i="9"/>
  <c r="BT39" i="9"/>
  <c r="CJ39" i="9"/>
  <c r="CB39" i="9"/>
  <c r="CC39" i="9"/>
  <c r="CD39" i="9"/>
  <c r="BU39" i="9"/>
  <c r="CQ39" i="9"/>
  <c r="BV39" i="9"/>
  <c r="BW39" i="9"/>
  <c r="BX39" i="9"/>
  <c r="BN39" i="9"/>
  <c r="BO39" i="9"/>
  <c r="BP39" i="9"/>
  <c r="BS39" i="9"/>
  <c r="CF39" i="9"/>
  <c r="CI39" i="9"/>
  <c r="CK39" i="9"/>
  <c r="CL39" i="9"/>
  <c r="BY39" i="9"/>
  <c r="BZ39" i="9"/>
  <c r="CA39" i="9"/>
  <c r="CP39" i="9"/>
  <c r="CN39" i="9"/>
  <c r="CO39" i="9"/>
  <c r="CM39" i="9"/>
  <c r="CE39" i="9"/>
  <c r="BQ31" i="9"/>
  <c r="CG31" i="9"/>
  <c r="BR31" i="9"/>
  <c r="CH31" i="9"/>
  <c r="BS31" i="9"/>
  <c r="CI31" i="9"/>
  <c r="BT31" i="9"/>
  <c r="CJ31" i="9"/>
  <c r="BV31" i="9"/>
  <c r="CP31" i="9"/>
  <c r="BW31" i="9"/>
  <c r="CQ31" i="9"/>
  <c r="BX31" i="9"/>
  <c r="CD31" i="9"/>
  <c r="CE31" i="9"/>
  <c r="CF31" i="9"/>
  <c r="CK31" i="9"/>
  <c r="BO31" i="9"/>
  <c r="BP31" i="9"/>
  <c r="BU31" i="9"/>
  <c r="BY31" i="9"/>
  <c r="CC31" i="9"/>
  <c r="CL31" i="9"/>
  <c r="CM31" i="9"/>
  <c r="CN31" i="9"/>
  <c r="CO31" i="9"/>
  <c r="BN31" i="9"/>
  <c r="BZ31" i="9"/>
  <c r="CB31" i="9"/>
  <c r="CA31" i="9"/>
  <c r="BS24" i="9"/>
  <c r="CI24" i="9"/>
  <c r="BT24" i="9"/>
  <c r="CJ24" i="9"/>
  <c r="BU24" i="9"/>
  <c r="CK24" i="9"/>
  <c r="BV24" i="9"/>
  <c r="CL24" i="9"/>
  <c r="BO24" i="9"/>
  <c r="CM24" i="9"/>
  <c r="BP24" i="9"/>
  <c r="CN24" i="9"/>
  <c r="BQ24" i="9"/>
  <c r="CO24" i="9"/>
  <c r="BR24" i="9"/>
  <c r="CP24" i="9"/>
  <c r="CA24" i="9"/>
  <c r="CB24" i="9"/>
  <c r="CC24" i="9"/>
  <c r="CD24" i="9"/>
  <c r="BN24" i="9"/>
  <c r="BW24" i="9"/>
  <c r="BX24" i="9"/>
  <c r="BY24" i="9"/>
  <c r="BZ24" i="9"/>
  <c r="CE24" i="9"/>
  <c r="CF24" i="9"/>
  <c r="CG24" i="9"/>
  <c r="CH24" i="9"/>
  <c r="CQ24" i="9"/>
  <c r="BS16" i="9"/>
  <c r="CI16" i="9"/>
  <c r="BT16" i="9"/>
  <c r="CJ16" i="9"/>
  <c r="BU16" i="9"/>
  <c r="CK16" i="9"/>
  <c r="BV16" i="9"/>
  <c r="CL16" i="9"/>
  <c r="BW16" i="9"/>
  <c r="CQ16" i="9"/>
  <c r="BX16" i="9"/>
  <c r="BY16" i="9"/>
  <c r="BZ16" i="9"/>
  <c r="CM16" i="9"/>
  <c r="CN16" i="9"/>
  <c r="CO16" i="9"/>
  <c r="BN16" i="9"/>
  <c r="CP16" i="9"/>
  <c r="CA16" i="9"/>
  <c r="CB16" i="9"/>
  <c r="CC16" i="9"/>
  <c r="CD16" i="9"/>
  <c r="BO16" i="9"/>
  <c r="BP16" i="9"/>
  <c r="BQ16" i="9"/>
  <c r="BR16" i="9"/>
  <c r="CE16" i="9"/>
  <c r="CH16" i="9"/>
  <c r="CF16" i="9"/>
  <c r="CG16" i="9"/>
  <c r="BS8" i="9"/>
  <c r="CI8" i="9"/>
  <c r="BT8" i="9"/>
  <c r="CJ8" i="9"/>
  <c r="BU8" i="9"/>
  <c r="CK8" i="9"/>
  <c r="BV8" i="9"/>
  <c r="CL8" i="9"/>
  <c r="CA8" i="9"/>
  <c r="CB8" i="9"/>
  <c r="CC8" i="9"/>
  <c r="CD8" i="9"/>
  <c r="BW8" i="9"/>
  <c r="BX8" i="9"/>
  <c r="BY8" i="9"/>
  <c r="BZ8" i="9"/>
  <c r="CM8" i="9"/>
  <c r="CN8" i="9"/>
  <c r="CO8" i="9"/>
  <c r="CP8" i="9"/>
  <c r="CQ8" i="9"/>
  <c r="CE8" i="9"/>
  <c r="CF8" i="9"/>
  <c r="CG8" i="9"/>
  <c r="BQ8" i="9"/>
  <c r="BR8" i="9"/>
  <c r="CH8" i="9"/>
  <c r="BO8" i="9"/>
  <c r="BP8" i="9"/>
  <c r="BN8" i="9"/>
  <c r="BV134" i="9"/>
  <c r="CL134" i="9"/>
  <c r="BX134" i="9"/>
  <c r="CO134" i="9"/>
  <c r="BY134" i="9"/>
  <c r="CP134" i="9"/>
  <c r="BZ134" i="9"/>
  <c r="CQ134" i="9"/>
  <c r="BQ134" i="9"/>
  <c r="CK134" i="9"/>
  <c r="BR134" i="9"/>
  <c r="CM134" i="9"/>
  <c r="BS134" i="9"/>
  <c r="CN134" i="9"/>
  <c r="BT134" i="9"/>
  <c r="CG134" i="9"/>
  <c r="CH134" i="9"/>
  <c r="CI134" i="9"/>
  <c r="BP134" i="9"/>
  <c r="BU134" i="9"/>
  <c r="BW134" i="9"/>
  <c r="CC134" i="9"/>
  <c r="CD134" i="9"/>
  <c r="CE134" i="9"/>
  <c r="CF134" i="9"/>
  <c r="CJ134" i="9"/>
  <c r="BN134" i="9"/>
  <c r="CA134" i="9"/>
  <c r="BO134" i="9"/>
  <c r="CB134" i="9"/>
  <c r="BN126" i="9"/>
  <c r="CD126" i="9"/>
  <c r="BQ126" i="9"/>
  <c r="CH126" i="9"/>
  <c r="BT126" i="9"/>
  <c r="CK126" i="9"/>
  <c r="BV126" i="9"/>
  <c r="CO126" i="9"/>
  <c r="BW126" i="9"/>
  <c r="CP126" i="9"/>
  <c r="BX126" i="9"/>
  <c r="CQ126" i="9"/>
  <c r="BY126" i="9"/>
  <c r="BZ126" i="9"/>
  <c r="CA126" i="9"/>
  <c r="CB126" i="9"/>
  <c r="BP126" i="9"/>
  <c r="BR126" i="9"/>
  <c r="BS126" i="9"/>
  <c r="CC126" i="9"/>
  <c r="BO126" i="9"/>
  <c r="BU126" i="9"/>
  <c r="CI126" i="9"/>
  <c r="CJ126" i="9"/>
  <c r="CN126" i="9"/>
  <c r="CF126" i="9"/>
  <c r="CG126" i="9"/>
  <c r="CL126" i="9"/>
  <c r="CE126" i="9"/>
  <c r="CM126" i="9"/>
  <c r="BN118" i="9"/>
  <c r="CD118" i="9"/>
  <c r="BR118" i="9"/>
  <c r="CI118" i="9"/>
  <c r="BU118" i="9"/>
  <c r="CL118" i="9"/>
  <c r="CA118" i="9"/>
  <c r="CB118" i="9"/>
  <c r="CC118" i="9"/>
  <c r="BW118" i="9"/>
  <c r="BX118" i="9"/>
  <c r="BY118" i="9"/>
  <c r="BZ118" i="9"/>
  <c r="CJ118" i="9"/>
  <c r="CK118" i="9"/>
  <c r="CM118" i="9"/>
  <c r="BP118" i="9"/>
  <c r="BQ118" i="9"/>
  <c r="BS118" i="9"/>
  <c r="BO118" i="9"/>
  <c r="BT118" i="9"/>
  <c r="CN118" i="9"/>
  <c r="BV118" i="9"/>
  <c r="CF118" i="9"/>
  <c r="CH118" i="9"/>
  <c r="CO118" i="9"/>
  <c r="CG118" i="9"/>
  <c r="CP118" i="9"/>
  <c r="CE118" i="9"/>
  <c r="CQ118" i="9"/>
  <c r="BN110" i="9"/>
  <c r="CD110" i="9"/>
  <c r="BS110" i="9"/>
  <c r="CJ110" i="9"/>
  <c r="BV110" i="9"/>
  <c r="CM110" i="9"/>
  <c r="CG110" i="9"/>
  <c r="BO110" i="9"/>
  <c r="CH110" i="9"/>
  <c r="BP110" i="9"/>
  <c r="CI110" i="9"/>
  <c r="BX110" i="9"/>
  <c r="BY110" i="9"/>
  <c r="BZ110" i="9"/>
  <c r="CA110" i="9"/>
  <c r="BR110" i="9"/>
  <c r="BT110" i="9"/>
  <c r="BU110" i="9"/>
  <c r="BQ110" i="9"/>
  <c r="BW110" i="9"/>
  <c r="CB110" i="9"/>
  <c r="CO110" i="9"/>
  <c r="CC110" i="9"/>
  <c r="CE110" i="9"/>
  <c r="CK110" i="9"/>
  <c r="CN110" i="9"/>
  <c r="CP110" i="9"/>
  <c r="CL110" i="9"/>
  <c r="CQ110" i="9"/>
  <c r="CF110" i="9"/>
  <c r="CB102" i="9"/>
  <c r="BO102" i="9"/>
  <c r="CF102" i="9"/>
  <c r="BP102" i="9"/>
  <c r="CG102" i="9"/>
  <c r="BT102" i="9"/>
  <c r="CM102" i="9"/>
  <c r="BW102" i="9"/>
  <c r="CP102" i="9"/>
  <c r="BV102" i="9"/>
  <c r="BX102" i="9"/>
  <c r="BY102" i="9"/>
  <c r="CE102" i="9"/>
  <c r="CH102" i="9"/>
  <c r="CI102" i="9"/>
  <c r="CJ102" i="9"/>
  <c r="BQ102" i="9"/>
  <c r="BR102" i="9"/>
  <c r="BS102" i="9"/>
  <c r="CD102" i="9"/>
  <c r="CK102" i="9"/>
  <c r="CL102" i="9"/>
  <c r="CO102" i="9"/>
  <c r="CN102" i="9"/>
  <c r="CQ102" i="9"/>
  <c r="CC102" i="9"/>
  <c r="BU102" i="9"/>
  <c r="CA102" i="9"/>
  <c r="BZ102" i="9"/>
  <c r="BN102" i="9"/>
  <c r="CB94" i="9"/>
  <c r="BP94" i="9"/>
  <c r="CG94" i="9"/>
  <c r="BQ94" i="9"/>
  <c r="CH94" i="9"/>
  <c r="BY94" i="9"/>
  <c r="CC94" i="9"/>
  <c r="BR94" i="9"/>
  <c r="CM94" i="9"/>
  <c r="BS94" i="9"/>
  <c r="CN94" i="9"/>
  <c r="BT94" i="9"/>
  <c r="CO94" i="9"/>
  <c r="BX94" i="9"/>
  <c r="BZ94" i="9"/>
  <c r="CA94" i="9"/>
  <c r="CD94" i="9"/>
  <c r="CK94" i="9"/>
  <c r="CL94" i="9"/>
  <c r="CP94" i="9"/>
  <c r="BO94" i="9"/>
  <c r="BU94" i="9"/>
  <c r="BV94" i="9"/>
  <c r="BN94" i="9"/>
  <c r="CI94" i="9"/>
  <c r="CJ94" i="9"/>
  <c r="BW94" i="9"/>
  <c r="CQ94" i="9"/>
  <c r="CE94" i="9"/>
  <c r="CF94" i="9"/>
  <c r="CB86" i="9"/>
  <c r="BQ86" i="9"/>
  <c r="CH86" i="9"/>
  <c r="BR86" i="9"/>
  <c r="CI86" i="9"/>
  <c r="CE86" i="9"/>
  <c r="CF86" i="9"/>
  <c r="BN86" i="9"/>
  <c r="CG86" i="9"/>
  <c r="BO86" i="9"/>
  <c r="CJ86" i="9"/>
  <c r="BZ86" i="9"/>
  <c r="CA86" i="9"/>
  <c r="CC86" i="9"/>
  <c r="BP86" i="9"/>
  <c r="BS86" i="9"/>
  <c r="BT86" i="9"/>
  <c r="BU86" i="9"/>
  <c r="CD86" i="9"/>
  <c r="CK86" i="9"/>
  <c r="CL86" i="9"/>
  <c r="CO86" i="9"/>
  <c r="CP86" i="9"/>
  <c r="CQ86" i="9"/>
  <c r="CN86" i="9"/>
  <c r="BV86" i="9"/>
  <c r="BW86" i="9"/>
  <c r="BY86" i="9"/>
  <c r="BX86" i="9"/>
  <c r="CM86" i="9"/>
  <c r="BY78" i="9"/>
  <c r="CO78" i="9"/>
  <c r="CB78" i="9"/>
  <c r="BN78" i="9"/>
  <c r="CF78" i="9"/>
  <c r="BO78" i="9"/>
  <c r="CG78" i="9"/>
  <c r="CI78" i="9"/>
  <c r="BP78" i="9"/>
  <c r="CJ78" i="9"/>
  <c r="BQ78" i="9"/>
  <c r="CK78" i="9"/>
  <c r="BR78" i="9"/>
  <c r="CL78" i="9"/>
  <c r="CC78" i="9"/>
  <c r="CD78" i="9"/>
  <c r="CE78" i="9"/>
  <c r="BX78" i="9"/>
  <c r="BZ78" i="9"/>
  <c r="CA78" i="9"/>
  <c r="CH78" i="9"/>
  <c r="BW78" i="9"/>
  <c r="CP78" i="9"/>
  <c r="CM78" i="9"/>
  <c r="CN78" i="9"/>
  <c r="BS78" i="9"/>
  <c r="BT78" i="9"/>
  <c r="BU78" i="9"/>
  <c r="BV78" i="9"/>
  <c r="CQ78" i="9"/>
  <c r="BY70" i="9"/>
  <c r="CO70" i="9"/>
  <c r="CB70" i="9"/>
  <c r="BP70" i="9"/>
  <c r="CH70" i="9"/>
  <c r="BQ70" i="9"/>
  <c r="CI70" i="9"/>
  <c r="BR70" i="9"/>
  <c r="CJ70" i="9"/>
  <c r="BS70" i="9"/>
  <c r="CK70" i="9"/>
  <c r="BT70" i="9"/>
  <c r="CQ70" i="9"/>
  <c r="BU70" i="9"/>
  <c r="BV70" i="9"/>
  <c r="BW70" i="9"/>
  <c r="BN70" i="9"/>
  <c r="BZ70" i="9"/>
  <c r="CA70" i="9"/>
  <c r="CC70" i="9"/>
  <c r="CD70" i="9"/>
  <c r="BO70" i="9"/>
  <c r="CM70" i="9"/>
  <c r="CN70" i="9"/>
  <c r="CP70" i="9"/>
  <c r="CE70" i="9"/>
  <c r="CF70" i="9"/>
  <c r="CG70" i="9"/>
  <c r="CL70" i="9"/>
  <c r="BX70" i="9"/>
  <c r="BY62" i="9"/>
  <c r="CO62" i="9"/>
  <c r="BZ62" i="9"/>
  <c r="CP62" i="9"/>
  <c r="CB62" i="9"/>
  <c r="BW62" i="9"/>
  <c r="BX62" i="9"/>
  <c r="CA62" i="9"/>
  <c r="CC62" i="9"/>
  <c r="CD62" i="9"/>
  <c r="CE62" i="9"/>
  <c r="CF62" i="9"/>
  <c r="CG62" i="9"/>
  <c r="BO62" i="9"/>
  <c r="BP62" i="9"/>
  <c r="BQ62" i="9"/>
  <c r="BN62" i="9"/>
  <c r="BR62" i="9"/>
  <c r="CH62" i="9"/>
  <c r="CI62" i="9"/>
  <c r="CJ62" i="9"/>
  <c r="BS62" i="9"/>
  <c r="BT62" i="9"/>
  <c r="BU62" i="9"/>
  <c r="CM62" i="9"/>
  <c r="CN62" i="9"/>
  <c r="BV62" i="9"/>
  <c r="CK62" i="9"/>
  <c r="CL62" i="9"/>
  <c r="CQ62" i="9"/>
  <c r="BN54" i="9"/>
  <c r="CD54" i="9"/>
  <c r="BP54" i="9"/>
  <c r="CG54" i="9"/>
  <c r="BQ54" i="9"/>
  <c r="CH54" i="9"/>
  <c r="BR54" i="9"/>
  <c r="CI54" i="9"/>
  <c r="BS54" i="9"/>
  <c r="CJ54" i="9"/>
  <c r="CK54" i="9"/>
  <c r="CL54" i="9"/>
  <c r="CM54" i="9"/>
  <c r="BO54" i="9"/>
  <c r="CN54" i="9"/>
  <c r="BT54" i="9"/>
  <c r="BU54" i="9"/>
  <c r="BV54" i="9"/>
  <c r="BW54" i="9"/>
  <c r="CB54" i="9"/>
  <c r="CC54" i="9"/>
  <c r="CE54" i="9"/>
  <c r="BX54" i="9"/>
  <c r="BY54" i="9"/>
  <c r="BZ54" i="9"/>
  <c r="CA54" i="9"/>
  <c r="CF54" i="9"/>
  <c r="CO54" i="9"/>
  <c r="CP54" i="9"/>
  <c r="CQ54" i="9"/>
  <c r="BO46" i="9"/>
  <c r="CE46" i="9"/>
  <c r="BP46" i="9"/>
  <c r="CF46" i="9"/>
  <c r="BR46" i="9"/>
  <c r="CH46" i="9"/>
  <c r="BN46" i="9"/>
  <c r="CJ46" i="9"/>
  <c r="BQ46" i="9"/>
  <c r="CK46" i="9"/>
  <c r="BS46" i="9"/>
  <c r="CL46" i="9"/>
  <c r="CA46" i="9"/>
  <c r="CB46" i="9"/>
  <c r="CC46" i="9"/>
  <c r="CD46" i="9"/>
  <c r="CG46" i="9"/>
  <c r="CI46" i="9"/>
  <c r="CM46" i="9"/>
  <c r="CN46" i="9"/>
  <c r="CO46" i="9"/>
  <c r="CP46" i="9"/>
  <c r="CQ46" i="9"/>
  <c r="BW46" i="9"/>
  <c r="BX46" i="9"/>
  <c r="BY46" i="9"/>
  <c r="BT46" i="9"/>
  <c r="BU46" i="9"/>
  <c r="BV46" i="9"/>
  <c r="BZ46" i="9"/>
  <c r="BO38" i="9"/>
  <c r="CE38" i="9"/>
  <c r="BP38" i="9"/>
  <c r="CF38" i="9"/>
  <c r="BR38" i="9"/>
  <c r="CH38" i="9"/>
  <c r="BT38" i="9"/>
  <c r="CM38" i="9"/>
  <c r="BU38" i="9"/>
  <c r="CN38" i="9"/>
  <c r="BV38" i="9"/>
  <c r="CO38" i="9"/>
  <c r="BZ38" i="9"/>
  <c r="CA38" i="9"/>
  <c r="CB38" i="9"/>
  <c r="CC38" i="9"/>
  <c r="BN38" i="9"/>
  <c r="BQ38" i="9"/>
  <c r="BS38" i="9"/>
  <c r="BW38" i="9"/>
  <c r="BX38" i="9"/>
  <c r="BY38" i="9"/>
  <c r="CK38" i="9"/>
  <c r="CL38" i="9"/>
  <c r="CP38" i="9"/>
  <c r="CQ38" i="9"/>
  <c r="CI38" i="9"/>
  <c r="CJ38" i="9"/>
  <c r="CD38" i="9"/>
  <c r="CG38" i="9"/>
  <c r="BO30" i="9"/>
  <c r="CE30" i="9"/>
  <c r="BP30" i="9"/>
  <c r="CF30" i="9"/>
  <c r="BQ30" i="9"/>
  <c r="CG30" i="9"/>
  <c r="BR30" i="9"/>
  <c r="CH30" i="9"/>
  <c r="CB30" i="9"/>
  <c r="CC30" i="9"/>
  <c r="CD30" i="9"/>
  <c r="CK30" i="9"/>
  <c r="CL30" i="9"/>
  <c r="CM30" i="9"/>
  <c r="CN30" i="9"/>
  <c r="BN30" i="9"/>
  <c r="BS30" i="9"/>
  <c r="BT30" i="9"/>
  <c r="BU30" i="9"/>
  <c r="BZ30" i="9"/>
  <c r="CA30" i="9"/>
  <c r="CI30" i="9"/>
  <c r="CJ30" i="9"/>
  <c r="CO30" i="9"/>
  <c r="CP30" i="9"/>
  <c r="CQ30" i="9"/>
  <c r="BV30" i="9"/>
  <c r="BW30" i="9"/>
  <c r="BX30" i="9"/>
  <c r="BY30" i="9"/>
  <c r="BQ23" i="9"/>
  <c r="CG23" i="9"/>
  <c r="BR23" i="9"/>
  <c r="CH23" i="9"/>
  <c r="BS23" i="9"/>
  <c r="CI23" i="9"/>
  <c r="BT23" i="9"/>
  <c r="CJ23" i="9"/>
  <c r="BY23" i="9"/>
  <c r="BZ23" i="9"/>
  <c r="CA23" i="9"/>
  <c r="CB23" i="9"/>
  <c r="CC23" i="9"/>
  <c r="CD23" i="9"/>
  <c r="CE23" i="9"/>
  <c r="CF23" i="9"/>
  <c r="CO23" i="9"/>
  <c r="CP23" i="9"/>
  <c r="CQ23" i="9"/>
  <c r="BX23" i="9"/>
  <c r="CK23" i="9"/>
  <c r="CL23" i="9"/>
  <c r="CM23" i="9"/>
  <c r="BP23" i="9"/>
  <c r="BU23" i="9"/>
  <c r="BV23" i="9"/>
  <c r="BO23" i="9"/>
  <c r="BW23" i="9"/>
  <c r="CN23" i="9"/>
  <c r="BN23" i="9"/>
  <c r="BQ15" i="9"/>
  <c r="CG15" i="9"/>
  <c r="BR15" i="9"/>
  <c r="CH15" i="9"/>
  <c r="BS15" i="9"/>
  <c r="CI15" i="9"/>
  <c r="BT15" i="9"/>
  <c r="CJ15" i="9"/>
  <c r="CC15" i="9"/>
  <c r="CD15" i="9"/>
  <c r="CE15" i="9"/>
  <c r="CF15" i="9"/>
  <c r="CO15" i="9"/>
  <c r="BN15" i="9"/>
  <c r="CP15" i="9"/>
  <c r="BO15" i="9"/>
  <c r="CQ15" i="9"/>
  <c r="BP15" i="9"/>
  <c r="BU15" i="9"/>
  <c r="BV15" i="9"/>
  <c r="BW15" i="9"/>
  <c r="BX15" i="9"/>
  <c r="CK15" i="9"/>
  <c r="CL15" i="9"/>
  <c r="CM15" i="9"/>
  <c r="CN15" i="9"/>
  <c r="BY15" i="9"/>
  <c r="BZ15" i="9"/>
  <c r="CA15" i="9"/>
  <c r="CB15" i="9"/>
  <c r="BQ7" i="9"/>
  <c r="CG7" i="9"/>
  <c r="BR7" i="9"/>
  <c r="CH7" i="9"/>
  <c r="BS7" i="9"/>
  <c r="CI7" i="9"/>
  <c r="BT7" i="9"/>
  <c r="CJ7" i="9"/>
  <c r="CK7" i="9"/>
  <c r="BN7" i="9"/>
  <c r="CL7" i="9"/>
  <c r="BO7" i="9"/>
  <c r="CM7" i="9"/>
  <c r="BP7" i="9"/>
  <c r="CN7" i="9"/>
  <c r="BY7" i="9"/>
  <c r="BZ7" i="9"/>
  <c r="CA7" i="9"/>
  <c r="CB7" i="9"/>
  <c r="CC7" i="9"/>
  <c r="CD7" i="9"/>
  <c r="CE7" i="9"/>
  <c r="CF7" i="9"/>
  <c r="BU7" i="9"/>
  <c r="BV7" i="9"/>
  <c r="BW7" i="9"/>
  <c r="BX7" i="9"/>
  <c r="CO7" i="9"/>
  <c r="CP7" i="9"/>
  <c r="CQ7" i="9"/>
  <c r="BT133" i="9"/>
  <c r="CJ133" i="9"/>
  <c r="BS133" i="9"/>
  <c r="CK133" i="9"/>
  <c r="BU133" i="9"/>
  <c r="CL133" i="9"/>
  <c r="BV133" i="9"/>
  <c r="CM133" i="9"/>
  <c r="CA133" i="9"/>
  <c r="CB133" i="9"/>
  <c r="CC133" i="9"/>
  <c r="CD133" i="9"/>
  <c r="CI133" i="9"/>
  <c r="CN133" i="9"/>
  <c r="CO133" i="9"/>
  <c r="BO133" i="9"/>
  <c r="BP133" i="9"/>
  <c r="BQ133" i="9"/>
  <c r="BN133" i="9"/>
  <c r="BR133" i="9"/>
  <c r="BW133" i="9"/>
  <c r="BY133" i="9"/>
  <c r="BZ133" i="9"/>
  <c r="BX133" i="9"/>
  <c r="CF133" i="9"/>
  <c r="CG133" i="9"/>
  <c r="CQ133" i="9"/>
  <c r="CE133" i="9"/>
  <c r="CH133" i="9"/>
  <c r="CP133" i="9"/>
  <c r="CB125" i="9"/>
  <c r="CD125" i="9"/>
  <c r="BP125" i="9"/>
  <c r="CG125" i="9"/>
  <c r="CF125" i="9"/>
  <c r="BN125" i="9"/>
  <c r="CH125" i="9"/>
  <c r="BO125" i="9"/>
  <c r="CI125" i="9"/>
  <c r="CA125" i="9"/>
  <c r="CC125" i="9"/>
  <c r="CE125" i="9"/>
  <c r="CJ125" i="9"/>
  <c r="BS125" i="9"/>
  <c r="BT125" i="9"/>
  <c r="BU125" i="9"/>
  <c r="CO125" i="9"/>
  <c r="CP125" i="9"/>
  <c r="CQ125" i="9"/>
  <c r="CL125" i="9"/>
  <c r="CM125" i="9"/>
  <c r="CN125" i="9"/>
  <c r="BR125" i="9"/>
  <c r="BX125" i="9"/>
  <c r="BY125" i="9"/>
  <c r="BZ125" i="9"/>
  <c r="BW125" i="9"/>
  <c r="BQ125" i="9"/>
  <c r="BV125" i="9"/>
  <c r="CK125" i="9"/>
  <c r="CB117" i="9"/>
  <c r="BN117" i="9"/>
  <c r="CE117" i="9"/>
  <c r="BQ117" i="9"/>
  <c r="CH117" i="9"/>
  <c r="BS117" i="9"/>
  <c r="CL117" i="9"/>
  <c r="BT117" i="9"/>
  <c r="CM117" i="9"/>
  <c r="BU117" i="9"/>
  <c r="CN117" i="9"/>
  <c r="CC117" i="9"/>
  <c r="CD117" i="9"/>
  <c r="CF117" i="9"/>
  <c r="CG117" i="9"/>
  <c r="CI117" i="9"/>
  <c r="CJ117" i="9"/>
  <c r="CK117" i="9"/>
  <c r="CA117" i="9"/>
  <c r="CO117" i="9"/>
  <c r="CP117" i="9"/>
  <c r="CQ117" i="9"/>
  <c r="BP117" i="9"/>
  <c r="BY117" i="9"/>
  <c r="BZ117" i="9"/>
  <c r="BV117" i="9"/>
  <c r="BX117" i="9"/>
  <c r="BR117" i="9"/>
  <c r="BW117" i="9"/>
  <c r="BO117" i="9"/>
  <c r="BZ109" i="9"/>
  <c r="CB109" i="9"/>
  <c r="BN109" i="9"/>
  <c r="CF109" i="9"/>
  <c r="BQ109" i="9"/>
  <c r="CI109" i="9"/>
  <c r="BW109" i="9"/>
  <c r="CQ109" i="9"/>
  <c r="BX109" i="9"/>
  <c r="BY109" i="9"/>
  <c r="CD109" i="9"/>
  <c r="CE109" i="9"/>
  <c r="CG109" i="9"/>
  <c r="CH109" i="9"/>
  <c r="BP109" i="9"/>
  <c r="BR109" i="9"/>
  <c r="BS109" i="9"/>
  <c r="CJ109" i="9"/>
  <c r="CK109" i="9"/>
  <c r="CL109" i="9"/>
  <c r="CO109" i="9"/>
  <c r="CM109" i="9"/>
  <c r="CN109" i="9"/>
  <c r="BV109" i="9"/>
  <c r="CP109" i="9"/>
  <c r="CC109" i="9"/>
  <c r="BT109" i="9"/>
  <c r="BU109" i="9"/>
  <c r="CA109" i="9"/>
  <c r="BO109" i="9"/>
  <c r="BZ101" i="9"/>
  <c r="CP101" i="9"/>
  <c r="CB101" i="9"/>
  <c r="CC101" i="9"/>
  <c r="CE101" i="9"/>
  <c r="BO101" i="9"/>
  <c r="CH101" i="9"/>
  <c r="CD101" i="9"/>
  <c r="CF101" i="9"/>
  <c r="CG101" i="9"/>
  <c r="CJ101" i="9"/>
  <c r="CK101" i="9"/>
  <c r="CL101" i="9"/>
  <c r="BN101" i="9"/>
  <c r="CM101" i="9"/>
  <c r="BP101" i="9"/>
  <c r="BQ101" i="9"/>
  <c r="BR101" i="9"/>
  <c r="CA101" i="9"/>
  <c r="CI101" i="9"/>
  <c r="CN101" i="9"/>
  <c r="BS101" i="9"/>
  <c r="BV101" i="9"/>
  <c r="BT101" i="9"/>
  <c r="BU101" i="9"/>
  <c r="BW101" i="9"/>
  <c r="BY101" i="9"/>
  <c r="CO101" i="9"/>
  <c r="CQ101" i="9"/>
  <c r="BX101" i="9"/>
  <c r="BZ93" i="9"/>
  <c r="CP93" i="9"/>
  <c r="CC93" i="9"/>
  <c r="CD93" i="9"/>
  <c r="BQ93" i="9"/>
  <c r="CJ93" i="9"/>
  <c r="BR93" i="9"/>
  <c r="BT93" i="9"/>
  <c r="CM93" i="9"/>
  <c r="BX93" i="9"/>
  <c r="BY93" i="9"/>
  <c r="CA93" i="9"/>
  <c r="CB93" i="9"/>
  <c r="CE93" i="9"/>
  <c r="CF93" i="9"/>
  <c r="CG93" i="9"/>
  <c r="CH93" i="9"/>
  <c r="CI93" i="9"/>
  <c r="CK93" i="9"/>
  <c r="BU93" i="9"/>
  <c r="CO93" i="9"/>
  <c r="BV93" i="9"/>
  <c r="BW93" i="9"/>
  <c r="CN93" i="9"/>
  <c r="CL93" i="9"/>
  <c r="BP93" i="9"/>
  <c r="CQ93" i="9"/>
  <c r="BN93" i="9"/>
  <c r="BS93" i="9"/>
  <c r="BO93" i="9"/>
  <c r="BZ85" i="9"/>
  <c r="CP85" i="9"/>
  <c r="CD85" i="9"/>
  <c r="BN85" i="9"/>
  <c r="CE85" i="9"/>
  <c r="BV85" i="9"/>
  <c r="CO85" i="9"/>
  <c r="BW85" i="9"/>
  <c r="CQ85" i="9"/>
  <c r="BX85" i="9"/>
  <c r="BY85" i="9"/>
  <c r="CG85" i="9"/>
  <c r="CH85" i="9"/>
  <c r="CI85" i="9"/>
  <c r="BO85" i="9"/>
  <c r="BP85" i="9"/>
  <c r="BQ85" i="9"/>
  <c r="BR85" i="9"/>
  <c r="BS85" i="9"/>
  <c r="BT85" i="9"/>
  <c r="BU85" i="9"/>
  <c r="CF85" i="9"/>
  <c r="CJ85" i="9"/>
  <c r="CK85" i="9"/>
  <c r="CA85" i="9"/>
  <c r="CB85" i="9"/>
  <c r="CC85" i="9"/>
  <c r="CL85" i="9"/>
  <c r="CM85" i="9"/>
  <c r="CN85" i="9"/>
  <c r="BW77" i="9"/>
  <c r="CM77" i="9"/>
  <c r="BZ77" i="9"/>
  <c r="CP77" i="9"/>
  <c r="BY77" i="9"/>
  <c r="CA77" i="9"/>
  <c r="BU77" i="9"/>
  <c r="CQ77" i="9"/>
  <c r="BV77" i="9"/>
  <c r="BX77" i="9"/>
  <c r="CB77" i="9"/>
  <c r="CG77" i="9"/>
  <c r="CH77" i="9"/>
  <c r="CI77" i="9"/>
  <c r="BS77" i="9"/>
  <c r="BT77" i="9"/>
  <c r="CC77" i="9"/>
  <c r="CD77" i="9"/>
  <c r="CL77" i="9"/>
  <c r="CN77" i="9"/>
  <c r="CO77" i="9"/>
  <c r="BN77" i="9"/>
  <c r="BR77" i="9"/>
  <c r="BO77" i="9"/>
  <c r="CE77" i="9"/>
  <c r="CK77" i="9"/>
  <c r="BP77" i="9"/>
  <c r="CF77" i="9"/>
  <c r="CJ77" i="9"/>
  <c r="BQ77" i="9"/>
  <c r="BW69" i="9"/>
  <c r="CM69" i="9"/>
  <c r="BZ69" i="9"/>
  <c r="CP69" i="9"/>
  <c r="CB69" i="9"/>
  <c r="CC69" i="9"/>
  <c r="CD69" i="9"/>
  <c r="CE69" i="9"/>
  <c r="BV69" i="9"/>
  <c r="BX69" i="9"/>
  <c r="BY69" i="9"/>
  <c r="CA69" i="9"/>
  <c r="BN69" i="9"/>
  <c r="CO69" i="9"/>
  <c r="BO69" i="9"/>
  <c r="CQ69" i="9"/>
  <c r="BP69" i="9"/>
  <c r="BQ69" i="9"/>
  <c r="BR69" i="9"/>
  <c r="BS69" i="9"/>
  <c r="CL69" i="9"/>
  <c r="CN69" i="9"/>
  <c r="BT69" i="9"/>
  <c r="CG69" i="9"/>
  <c r="CK69" i="9"/>
  <c r="CF69" i="9"/>
  <c r="CH69" i="9"/>
  <c r="CI69" i="9"/>
  <c r="CJ69" i="9"/>
  <c r="BU69" i="9"/>
  <c r="BW61" i="9"/>
  <c r="CM61" i="9"/>
  <c r="BX61" i="9"/>
  <c r="CN61" i="9"/>
  <c r="BZ61" i="9"/>
  <c r="CP61" i="9"/>
  <c r="BO61" i="9"/>
  <c r="CH61" i="9"/>
  <c r="BP61" i="9"/>
  <c r="CI61" i="9"/>
  <c r="BQ61" i="9"/>
  <c r="CJ61" i="9"/>
  <c r="BR61" i="9"/>
  <c r="CK61" i="9"/>
  <c r="CD61" i="9"/>
  <c r="CE61" i="9"/>
  <c r="CF61" i="9"/>
  <c r="CG61" i="9"/>
  <c r="CO61" i="9"/>
  <c r="CQ61" i="9"/>
  <c r="BN61" i="9"/>
  <c r="CB61" i="9"/>
  <c r="CC61" i="9"/>
  <c r="CL61" i="9"/>
  <c r="BU61" i="9"/>
  <c r="BV61" i="9"/>
  <c r="BY61" i="9"/>
  <c r="CA61" i="9"/>
  <c r="BT61" i="9"/>
  <c r="BS61" i="9"/>
  <c r="BZ53" i="9"/>
  <c r="CP53" i="9"/>
  <c r="CA53" i="9"/>
  <c r="CQ53" i="9"/>
  <c r="CB53" i="9"/>
  <c r="BX53" i="9"/>
  <c r="BY53" i="9"/>
  <c r="CC53" i="9"/>
  <c r="CD53" i="9"/>
  <c r="BP53" i="9"/>
  <c r="CM53" i="9"/>
  <c r="BQ53" i="9"/>
  <c r="CN53" i="9"/>
  <c r="BR53" i="9"/>
  <c r="CO53" i="9"/>
  <c r="BS53" i="9"/>
  <c r="BN53" i="9"/>
  <c r="BO53" i="9"/>
  <c r="BT53" i="9"/>
  <c r="BU53" i="9"/>
  <c r="BV53" i="9"/>
  <c r="CL53" i="9"/>
  <c r="CI53" i="9"/>
  <c r="CJ53" i="9"/>
  <c r="CK53" i="9"/>
  <c r="CE53" i="9"/>
  <c r="CH53" i="9"/>
  <c r="BW53" i="9"/>
  <c r="CG53" i="9"/>
  <c r="CF53" i="9"/>
  <c r="CC45" i="9"/>
  <c r="BN45" i="9"/>
  <c r="CD45" i="9"/>
  <c r="BP45" i="9"/>
  <c r="CF45" i="9"/>
  <c r="BY45" i="9"/>
  <c r="BZ45" i="9"/>
  <c r="CA45" i="9"/>
  <c r="CI45" i="9"/>
  <c r="CJ45" i="9"/>
  <c r="CK45" i="9"/>
  <c r="BO45" i="9"/>
  <c r="CL45" i="9"/>
  <c r="CB45" i="9"/>
  <c r="CE45" i="9"/>
  <c r="CG45" i="9"/>
  <c r="CH45" i="9"/>
  <c r="BU45" i="9"/>
  <c r="BV45" i="9"/>
  <c r="BW45" i="9"/>
  <c r="BX45" i="9"/>
  <c r="CQ45" i="9"/>
  <c r="CM45" i="9"/>
  <c r="CN45" i="9"/>
  <c r="CO45" i="9"/>
  <c r="CP45" i="9"/>
  <c r="BT45" i="9"/>
  <c r="BQ45" i="9"/>
  <c r="BR45" i="9"/>
  <c r="BS45" i="9"/>
  <c r="CC37" i="9"/>
  <c r="BN37" i="9"/>
  <c r="CD37" i="9"/>
  <c r="BP37" i="9"/>
  <c r="CF37" i="9"/>
  <c r="CB37" i="9"/>
  <c r="CE37" i="9"/>
  <c r="CG37" i="9"/>
  <c r="CH37" i="9"/>
  <c r="CI37" i="9"/>
  <c r="CJ37" i="9"/>
  <c r="CK37" i="9"/>
  <c r="BO37" i="9"/>
  <c r="CP37" i="9"/>
  <c r="BQ37" i="9"/>
  <c r="CQ37" i="9"/>
  <c r="BR37" i="9"/>
  <c r="BS37" i="9"/>
  <c r="BT37" i="9"/>
  <c r="BU37" i="9"/>
  <c r="BV37" i="9"/>
  <c r="BW37" i="9"/>
  <c r="BX37" i="9"/>
  <c r="BY37" i="9"/>
  <c r="BZ37" i="9"/>
  <c r="CA37" i="9"/>
  <c r="CO37" i="9"/>
  <c r="CL37" i="9"/>
  <c r="CM37" i="9"/>
  <c r="CN37" i="9"/>
  <c r="CC29" i="9"/>
  <c r="BN29" i="9"/>
  <c r="CD29" i="9"/>
  <c r="BO29" i="9"/>
  <c r="CE29" i="9"/>
  <c r="BP29" i="9"/>
  <c r="CF29" i="9"/>
  <c r="BR29" i="9"/>
  <c r="CL29" i="9"/>
  <c r="BS29" i="9"/>
  <c r="CM29" i="9"/>
  <c r="BT29" i="9"/>
  <c r="CN29" i="9"/>
  <c r="CK29" i="9"/>
  <c r="CO29" i="9"/>
  <c r="CP29" i="9"/>
  <c r="BQ29" i="9"/>
  <c r="CQ29" i="9"/>
  <c r="BU29" i="9"/>
  <c r="BV29" i="9"/>
  <c r="BW29" i="9"/>
  <c r="BX29" i="9"/>
  <c r="BY29" i="9"/>
  <c r="BZ29" i="9"/>
  <c r="CA29" i="9"/>
  <c r="CB29" i="9"/>
  <c r="CH29" i="9"/>
  <c r="CI29" i="9"/>
  <c r="CJ29" i="9"/>
  <c r="CG29" i="9"/>
  <c r="BO22" i="9"/>
  <c r="CE22" i="9"/>
  <c r="BP22" i="9"/>
  <c r="CF22" i="9"/>
  <c r="BQ22" i="9"/>
  <c r="CG22" i="9"/>
  <c r="BR22" i="9"/>
  <c r="CH22" i="9"/>
  <c r="CI22" i="9"/>
  <c r="CJ22" i="9"/>
  <c r="CK22" i="9"/>
  <c r="BN22" i="9"/>
  <c r="CL22" i="9"/>
  <c r="CA22" i="9"/>
  <c r="CB22" i="9"/>
  <c r="CC22" i="9"/>
  <c r="CD22" i="9"/>
  <c r="CM22" i="9"/>
  <c r="CN22" i="9"/>
  <c r="CO22" i="9"/>
  <c r="CP22" i="9"/>
  <c r="BW22" i="9"/>
  <c r="BX22" i="9"/>
  <c r="BY22" i="9"/>
  <c r="BZ22" i="9"/>
  <c r="BS22" i="9"/>
  <c r="BT22" i="9"/>
  <c r="BU22" i="9"/>
  <c r="BV22" i="9"/>
  <c r="CQ22" i="9"/>
  <c r="BO14" i="9"/>
  <c r="CE14" i="9"/>
  <c r="BP14" i="9"/>
  <c r="CF14" i="9"/>
  <c r="BQ14" i="9"/>
  <c r="CG14" i="9"/>
  <c r="BR14" i="9"/>
  <c r="CH14" i="9"/>
  <c r="BS14" i="9"/>
  <c r="CM14" i="9"/>
  <c r="BT14" i="9"/>
  <c r="CN14" i="9"/>
  <c r="BU14" i="9"/>
  <c r="CO14" i="9"/>
  <c r="BV14" i="9"/>
  <c r="CP14" i="9"/>
  <c r="CQ14" i="9"/>
  <c r="BN14" i="9"/>
  <c r="BW14" i="9"/>
  <c r="BX14" i="9"/>
  <c r="BY14" i="9"/>
  <c r="BZ14" i="9"/>
  <c r="CL14" i="9"/>
  <c r="CA14" i="9"/>
  <c r="CD14" i="9"/>
  <c r="CB14" i="9"/>
  <c r="CC14" i="9"/>
  <c r="CI14" i="9"/>
  <c r="CJ14" i="9"/>
  <c r="CK14" i="9"/>
  <c r="BO6" i="9"/>
  <c r="CE6" i="9"/>
  <c r="BP6" i="9"/>
  <c r="CF6" i="9"/>
  <c r="BQ6" i="9"/>
  <c r="CG6" i="9"/>
  <c r="BR6" i="9"/>
  <c r="CH6" i="9"/>
  <c r="BW6" i="9"/>
  <c r="CQ6" i="9"/>
  <c r="BX6" i="9"/>
  <c r="BY6" i="9"/>
  <c r="BZ6" i="9"/>
  <c r="CA6" i="9"/>
  <c r="CB6" i="9"/>
  <c r="CC6" i="9"/>
  <c r="CD6" i="9"/>
  <c r="BS6" i="9"/>
  <c r="BT6" i="9"/>
  <c r="BU6" i="9"/>
  <c r="BV6" i="9"/>
  <c r="CI6" i="9"/>
  <c r="CJ6" i="9"/>
  <c r="CK6" i="9"/>
  <c r="CO6" i="9"/>
  <c r="CP6" i="9"/>
  <c r="BN6" i="9"/>
  <c r="CL6" i="9"/>
  <c r="CN6" i="9"/>
  <c r="CM6" i="9"/>
  <c r="BR132" i="9"/>
  <c r="CH132" i="9"/>
  <c r="BO132" i="9"/>
  <c r="CF132" i="9"/>
  <c r="BP132" i="9"/>
  <c r="CG132" i="9"/>
  <c r="BQ132" i="9"/>
  <c r="CI132" i="9"/>
  <c r="CK132" i="9"/>
  <c r="BN132" i="9"/>
  <c r="CL132" i="9"/>
  <c r="BS132" i="9"/>
  <c r="CM132" i="9"/>
  <c r="BT132" i="9"/>
  <c r="CN132" i="9"/>
  <c r="CO132" i="9"/>
  <c r="CP132" i="9"/>
  <c r="CQ132" i="9"/>
  <c r="BU132" i="9"/>
  <c r="BV132" i="9"/>
  <c r="BZ132" i="9"/>
  <c r="CB132" i="9"/>
  <c r="CC132" i="9"/>
  <c r="BW132" i="9"/>
  <c r="CA132" i="9"/>
  <c r="CJ132" i="9"/>
  <c r="BX132" i="9"/>
  <c r="BY132" i="9"/>
  <c r="CD132" i="9"/>
  <c r="CE132" i="9"/>
  <c r="BZ124" i="9"/>
  <c r="CP124" i="9"/>
  <c r="BY124" i="9"/>
  <c r="CQ124" i="9"/>
  <c r="CC124" i="9"/>
  <c r="BV124" i="9"/>
  <c r="CO124" i="9"/>
  <c r="BW124" i="9"/>
  <c r="BX124" i="9"/>
  <c r="CI124" i="9"/>
  <c r="BN124" i="9"/>
  <c r="CJ124" i="9"/>
  <c r="BO124" i="9"/>
  <c r="CK124" i="9"/>
  <c r="BP124" i="9"/>
  <c r="CL124" i="9"/>
  <c r="BQ124" i="9"/>
  <c r="BR124" i="9"/>
  <c r="BS124" i="9"/>
  <c r="CF124" i="9"/>
  <c r="CG124" i="9"/>
  <c r="CH124" i="9"/>
  <c r="BT124" i="9"/>
  <c r="BU124" i="9"/>
  <c r="CA124" i="9"/>
  <c r="CD124" i="9"/>
  <c r="CE124" i="9"/>
  <c r="CB124" i="9"/>
  <c r="CN124" i="9"/>
  <c r="CM124" i="9"/>
  <c r="BZ116" i="9"/>
  <c r="CP116" i="9"/>
  <c r="CA116" i="9"/>
  <c r="CD116" i="9"/>
  <c r="CC116" i="9"/>
  <c r="CE116" i="9"/>
  <c r="CF116" i="9"/>
  <c r="BN116" i="9"/>
  <c r="CJ116" i="9"/>
  <c r="BO116" i="9"/>
  <c r="CK116" i="9"/>
  <c r="BP116" i="9"/>
  <c r="CL116" i="9"/>
  <c r="BQ116" i="9"/>
  <c r="CM116" i="9"/>
  <c r="CB116" i="9"/>
  <c r="CG116" i="9"/>
  <c r="CH116" i="9"/>
  <c r="CN116" i="9"/>
  <c r="CO116" i="9"/>
  <c r="CQ116" i="9"/>
  <c r="BS116" i="9"/>
  <c r="BX116" i="9"/>
  <c r="BT116" i="9"/>
  <c r="BU116" i="9"/>
  <c r="BW116" i="9"/>
  <c r="BV116" i="9"/>
  <c r="BR116" i="9"/>
  <c r="BY116" i="9"/>
  <c r="CI116" i="9"/>
  <c r="BX108" i="9"/>
  <c r="CN108" i="9"/>
  <c r="BW108" i="9"/>
  <c r="CO108" i="9"/>
  <c r="BZ108" i="9"/>
  <c r="CC108" i="9"/>
  <c r="CG108" i="9"/>
  <c r="BN108" i="9"/>
  <c r="CH108" i="9"/>
  <c r="BO108" i="9"/>
  <c r="CI108" i="9"/>
  <c r="CF108" i="9"/>
  <c r="CJ108" i="9"/>
  <c r="CK108" i="9"/>
  <c r="CL108" i="9"/>
  <c r="BP108" i="9"/>
  <c r="BQ108" i="9"/>
  <c r="BR108" i="9"/>
  <c r="CM108" i="9"/>
  <c r="CP108" i="9"/>
  <c r="CQ108" i="9"/>
  <c r="BS108" i="9"/>
  <c r="BT108" i="9"/>
  <c r="BV108" i="9"/>
  <c r="BU108" i="9"/>
  <c r="BY108" i="9"/>
  <c r="CB108" i="9"/>
  <c r="CD108" i="9"/>
  <c r="CA108" i="9"/>
  <c r="CE108" i="9"/>
  <c r="BX100" i="9"/>
  <c r="CN100" i="9"/>
  <c r="BW100" i="9"/>
  <c r="CO100" i="9"/>
  <c r="BY100" i="9"/>
  <c r="CP100" i="9"/>
  <c r="BT100" i="9"/>
  <c r="CM100" i="9"/>
  <c r="BZ100" i="9"/>
  <c r="BO100" i="9"/>
  <c r="CJ100" i="9"/>
  <c r="BP100" i="9"/>
  <c r="CK100" i="9"/>
  <c r="BQ100" i="9"/>
  <c r="CL100" i="9"/>
  <c r="CH100" i="9"/>
  <c r="CI100" i="9"/>
  <c r="CQ100" i="9"/>
  <c r="BU100" i="9"/>
  <c r="BV100" i="9"/>
  <c r="CA100" i="9"/>
  <c r="CF100" i="9"/>
  <c r="CG100" i="9"/>
  <c r="BN100" i="9"/>
  <c r="CC100" i="9"/>
  <c r="CE100" i="9"/>
  <c r="BR100" i="9"/>
  <c r="BS100" i="9"/>
  <c r="CD100" i="9"/>
  <c r="CB100" i="9"/>
  <c r="BX92" i="9"/>
  <c r="CN92" i="9"/>
  <c r="BY92" i="9"/>
  <c r="CP92" i="9"/>
  <c r="BZ92" i="9"/>
  <c r="CQ92" i="9"/>
  <c r="CB92" i="9"/>
  <c r="CC92" i="9"/>
  <c r="CD92" i="9"/>
  <c r="CE92" i="9"/>
  <c r="CF92" i="9"/>
  <c r="CG92" i="9"/>
  <c r="CH92" i="9"/>
  <c r="BV92" i="9"/>
  <c r="BW92" i="9"/>
  <c r="CA92" i="9"/>
  <c r="CI92" i="9"/>
  <c r="BR92" i="9"/>
  <c r="BS92" i="9"/>
  <c r="BT92" i="9"/>
  <c r="CK92" i="9"/>
  <c r="CL92" i="9"/>
  <c r="CM92" i="9"/>
  <c r="BN92" i="9"/>
  <c r="BP92" i="9"/>
  <c r="BQ92" i="9"/>
  <c r="CJ92" i="9"/>
  <c r="CO92" i="9"/>
  <c r="BU92" i="9"/>
  <c r="BO92" i="9"/>
  <c r="BX84" i="9"/>
  <c r="CN84" i="9"/>
  <c r="BZ84" i="9"/>
  <c r="CQ84" i="9"/>
  <c r="CA84" i="9"/>
  <c r="BN84" i="9"/>
  <c r="CG84" i="9"/>
  <c r="BO84" i="9"/>
  <c r="CH84" i="9"/>
  <c r="BP84" i="9"/>
  <c r="CI84" i="9"/>
  <c r="BQ84" i="9"/>
  <c r="CJ84" i="9"/>
  <c r="CK84" i="9"/>
  <c r="CL84" i="9"/>
  <c r="CM84" i="9"/>
  <c r="BR84" i="9"/>
  <c r="BS84" i="9"/>
  <c r="BT84" i="9"/>
  <c r="BU84" i="9"/>
  <c r="CE84" i="9"/>
  <c r="CF84" i="9"/>
  <c r="CO84" i="9"/>
  <c r="CP84" i="9"/>
  <c r="CB84" i="9"/>
  <c r="CC84" i="9"/>
  <c r="BV84" i="9"/>
  <c r="CD84" i="9"/>
  <c r="BW84" i="9"/>
  <c r="BY84" i="9"/>
  <c r="BU76" i="9"/>
  <c r="CK76" i="9"/>
  <c r="BX76" i="9"/>
  <c r="CN76" i="9"/>
  <c r="BR76" i="9"/>
  <c r="CJ76" i="9"/>
  <c r="BS76" i="9"/>
  <c r="CL76" i="9"/>
  <c r="CE76" i="9"/>
  <c r="CF76" i="9"/>
  <c r="CG76" i="9"/>
  <c r="BN76" i="9"/>
  <c r="CH76" i="9"/>
  <c r="CI76" i="9"/>
  <c r="CM76" i="9"/>
  <c r="CO76" i="9"/>
  <c r="BT76" i="9"/>
  <c r="BV76" i="9"/>
  <c r="BW76" i="9"/>
  <c r="BY76" i="9"/>
  <c r="BZ76" i="9"/>
  <c r="CA76" i="9"/>
  <c r="CB76" i="9"/>
  <c r="CD76" i="9"/>
  <c r="CP76" i="9"/>
  <c r="CQ76" i="9"/>
  <c r="BP76" i="9"/>
  <c r="BO76" i="9"/>
  <c r="CC76" i="9"/>
  <c r="BQ76" i="9"/>
  <c r="BU68" i="9"/>
  <c r="CK68" i="9"/>
  <c r="BX68" i="9"/>
  <c r="CN68" i="9"/>
  <c r="BT68" i="9"/>
  <c r="CM68" i="9"/>
  <c r="BV68" i="9"/>
  <c r="CO68" i="9"/>
  <c r="BW68" i="9"/>
  <c r="CP68" i="9"/>
  <c r="BY68" i="9"/>
  <c r="CQ68" i="9"/>
  <c r="CD68" i="9"/>
  <c r="CE68" i="9"/>
  <c r="CF68" i="9"/>
  <c r="CG68" i="9"/>
  <c r="BN68" i="9"/>
  <c r="CL68" i="9"/>
  <c r="BS68" i="9"/>
  <c r="BZ68" i="9"/>
  <c r="CA68" i="9"/>
  <c r="CH68" i="9"/>
  <c r="CI68" i="9"/>
  <c r="CJ68" i="9"/>
  <c r="BO68" i="9"/>
  <c r="BP68" i="9"/>
  <c r="BQ68" i="9"/>
  <c r="BR68" i="9"/>
  <c r="CB68" i="9"/>
  <c r="CC68" i="9"/>
  <c r="BU60" i="9"/>
  <c r="CK60" i="9"/>
  <c r="BV60" i="9"/>
  <c r="CL60" i="9"/>
  <c r="BX60" i="9"/>
  <c r="CN60" i="9"/>
  <c r="BZ60" i="9"/>
  <c r="CA60" i="9"/>
  <c r="CB60" i="9"/>
  <c r="CC60" i="9"/>
  <c r="CH60" i="9"/>
  <c r="CI60" i="9"/>
  <c r="CJ60" i="9"/>
  <c r="BN60" i="9"/>
  <c r="CM60" i="9"/>
  <c r="CO60" i="9"/>
  <c r="CP60" i="9"/>
  <c r="CQ60" i="9"/>
  <c r="BW60" i="9"/>
  <c r="BY60" i="9"/>
  <c r="CD60" i="9"/>
  <c r="CE60" i="9"/>
  <c r="CF60" i="9"/>
  <c r="CG60" i="9"/>
  <c r="BP60" i="9"/>
  <c r="BQ60" i="9"/>
  <c r="BS60" i="9"/>
  <c r="BT60" i="9"/>
  <c r="BO60" i="9"/>
  <c r="BR60" i="9"/>
  <c r="BX52" i="9"/>
  <c r="CN52" i="9"/>
  <c r="BY52" i="9"/>
  <c r="CO52" i="9"/>
  <c r="BZ52" i="9"/>
  <c r="CP52" i="9"/>
  <c r="BP52" i="9"/>
  <c r="CI52" i="9"/>
  <c r="BQ52" i="9"/>
  <c r="CJ52" i="9"/>
  <c r="BR52" i="9"/>
  <c r="CK52" i="9"/>
  <c r="BS52" i="9"/>
  <c r="CL52" i="9"/>
  <c r="BT52" i="9"/>
  <c r="BU52" i="9"/>
  <c r="BV52" i="9"/>
  <c r="BW52" i="9"/>
  <c r="CM52" i="9"/>
  <c r="CQ52" i="9"/>
  <c r="CA52" i="9"/>
  <c r="CB52" i="9"/>
  <c r="CC52" i="9"/>
  <c r="CD52" i="9"/>
  <c r="BN52" i="9"/>
  <c r="CE52" i="9"/>
  <c r="CF52" i="9"/>
  <c r="BO52" i="9"/>
  <c r="CG52" i="9"/>
  <c r="CH52" i="9"/>
  <c r="CA44" i="9"/>
  <c r="CQ44" i="9"/>
  <c r="CB44" i="9"/>
  <c r="BN44" i="9"/>
  <c r="CD44" i="9"/>
  <c r="BQ44" i="9"/>
  <c r="CJ44" i="9"/>
  <c r="BR44" i="9"/>
  <c r="CK44" i="9"/>
  <c r="BS44" i="9"/>
  <c r="CL44" i="9"/>
  <c r="BO44" i="9"/>
  <c r="CN44" i="9"/>
  <c r="BP44" i="9"/>
  <c r="CO44" i="9"/>
  <c r="BT44" i="9"/>
  <c r="CP44" i="9"/>
  <c r="BU44" i="9"/>
  <c r="BZ44" i="9"/>
  <c r="CC44" i="9"/>
  <c r="CE44" i="9"/>
  <c r="CF44" i="9"/>
  <c r="CG44" i="9"/>
  <c r="CH44" i="9"/>
  <c r="CI44" i="9"/>
  <c r="BV44" i="9"/>
  <c r="BW44" i="9"/>
  <c r="CM44" i="9"/>
  <c r="BX44" i="9"/>
  <c r="BY44" i="9"/>
  <c r="CA36" i="9"/>
  <c r="CQ36" i="9"/>
  <c r="CB36" i="9"/>
  <c r="BN36" i="9"/>
  <c r="CD36" i="9"/>
  <c r="BT36" i="9"/>
  <c r="CM36" i="9"/>
  <c r="BU36" i="9"/>
  <c r="CN36" i="9"/>
  <c r="BV36" i="9"/>
  <c r="CO36" i="9"/>
  <c r="CJ36" i="9"/>
  <c r="BO36" i="9"/>
  <c r="CK36" i="9"/>
  <c r="BP36" i="9"/>
  <c r="CL36" i="9"/>
  <c r="BQ36" i="9"/>
  <c r="CP36" i="9"/>
  <c r="CF36" i="9"/>
  <c r="CG36" i="9"/>
  <c r="CH36" i="9"/>
  <c r="CI36" i="9"/>
  <c r="BZ36" i="9"/>
  <c r="CC36" i="9"/>
  <c r="CE36" i="9"/>
  <c r="BR36" i="9"/>
  <c r="BS36" i="9"/>
  <c r="BW36" i="9"/>
  <c r="BX36" i="9"/>
  <c r="BY36" i="9"/>
  <c r="CA28" i="9"/>
  <c r="CQ28" i="9"/>
  <c r="CB28" i="9"/>
  <c r="CC28" i="9"/>
  <c r="BN28" i="9"/>
  <c r="CD28" i="9"/>
  <c r="BX28" i="9"/>
  <c r="BY28" i="9"/>
  <c r="BZ28" i="9"/>
  <c r="BQ28" i="9"/>
  <c r="CN28" i="9"/>
  <c r="BR28" i="9"/>
  <c r="CO28" i="9"/>
  <c r="BS28" i="9"/>
  <c r="CP28" i="9"/>
  <c r="BT28" i="9"/>
  <c r="CJ28" i="9"/>
  <c r="CK28" i="9"/>
  <c r="CL28" i="9"/>
  <c r="CM28" i="9"/>
  <c r="CF28" i="9"/>
  <c r="CG28" i="9"/>
  <c r="CH28" i="9"/>
  <c r="BO28" i="9"/>
  <c r="BP28" i="9"/>
  <c r="BU28" i="9"/>
  <c r="BV28" i="9"/>
  <c r="CI28" i="9"/>
  <c r="CE28" i="9"/>
  <c r="BW28" i="9"/>
  <c r="CC21" i="9"/>
  <c r="BN21" i="9"/>
  <c r="CD21" i="9"/>
  <c r="BO21" i="9"/>
  <c r="CE21" i="9"/>
  <c r="BP21" i="9"/>
  <c r="CF21" i="9"/>
  <c r="BU21" i="9"/>
  <c r="CO21" i="9"/>
  <c r="BV21" i="9"/>
  <c r="CP21" i="9"/>
  <c r="BW21" i="9"/>
  <c r="CQ21" i="9"/>
  <c r="BX21" i="9"/>
  <c r="CG21" i="9"/>
  <c r="CH21" i="9"/>
  <c r="CI21" i="9"/>
  <c r="CJ21" i="9"/>
  <c r="BY21" i="9"/>
  <c r="BZ21" i="9"/>
  <c r="CA21" i="9"/>
  <c r="CB21" i="9"/>
  <c r="BQ21" i="9"/>
  <c r="BR21" i="9"/>
  <c r="BS21" i="9"/>
  <c r="BT21" i="9"/>
  <c r="CK21" i="9"/>
  <c r="CL21" i="9"/>
  <c r="CM21" i="9"/>
  <c r="CN21" i="9"/>
  <c r="CC13" i="9"/>
  <c r="BN13" i="9"/>
  <c r="CD13" i="9"/>
  <c r="BO13" i="9"/>
  <c r="CE13" i="9"/>
  <c r="BP13" i="9"/>
  <c r="CF13" i="9"/>
  <c r="BY13" i="9"/>
  <c r="BZ13" i="9"/>
  <c r="CA13" i="9"/>
  <c r="CB13" i="9"/>
  <c r="BQ13" i="9"/>
  <c r="CO13" i="9"/>
  <c r="BR13" i="9"/>
  <c r="CP13" i="9"/>
  <c r="BS13" i="9"/>
  <c r="CQ13" i="9"/>
  <c r="BT13" i="9"/>
  <c r="CK13" i="9"/>
  <c r="CL13" i="9"/>
  <c r="CM13" i="9"/>
  <c r="CN13" i="9"/>
  <c r="BU13" i="9"/>
  <c r="BV13" i="9"/>
  <c r="BW13" i="9"/>
  <c r="BX13" i="9"/>
  <c r="CG13" i="9"/>
  <c r="CH13" i="9"/>
  <c r="CI13" i="9"/>
  <c r="CJ13" i="9"/>
  <c r="CC5" i="9"/>
  <c r="BN5" i="9"/>
  <c r="CD5" i="9"/>
  <c r="BO5" i="9"/>
  <c r="CE5" i="9"/>
  <c r="BP5" i="9"/>
  <c r="CF5" i="9"/>
  <c r="CG5" i="9"/>
  <c r="CH5" i="9"/>
  <c r="CI5" i="9"/>
  <c r="CJ5" i="9"/>
  <c r="BY5" i="9"/>
  <c r="BZ5" i="9"/>
  <c r="CA5" i="9"/>
  <c r="CB5" i="9"/>
  <c r="BQ5" i="9"/>
  <c r="BR5" i="9"/>
  <c r="BS5" i="9"/>
  <c r="BT5" i="9"/>
  <c r="CK5" i="9"/>
  <c r="CL5" i="9"/>
  <c r="CM5" i="9"/>
  <c r="CN5" i="9"/>
  <c r="BU5" i="9"/>
  <c r="BV5" i="9"/>
  <c r="BW5" i="9"/>
  <c r="BX5" i="9"/>
  <c r="CO5" i="9"/>
  <c r="CP5" i="9"/>
  <c r="CQ5" i="9"/>
  <c r="BY27" i="9"/>
  <c r="CO27" i="9"/>
  <c r="BZ27" i="9"/>
  <c r="CP27" i="9"/>
  <c r="CA27" i="9"/>
  <c r="CQ27" i="9"/>
  <c r="CB27" i="9"/>
  <c r="BN27" i="9"/>
  <c r="CH27" i="9"/>
  <c r="BO27" i="9"/>
  <c r="CI27" i="9"/>
  <c r="BP27" i="9"/>
  <c r="CJ27" i="9"/>
  <c r="BT27" i="9"/>
  <c r="BU27" i="9"/>
  <c r="BV27" i="9"/>
  <c r="BW27" i="9"/>
  <c r="CF27" i="9"/>
  <c r="CG27" i="9"/>
  <c r="CK27" i="9"/>
  <c r="CL27" i="9"/>
  <c r="BX27" i="9"/>
  <c r="CC27" i="9"/>
  <c r="CD27" i="9"/>
  <c r="CE27" i="9"/>
  <c r="BQ27" i="9"/>
  <c r="BR27" i="9"/>
  <c r="BS27" i="9"/>
  <c r="CM27" i="9"/>
  <c r="CN27" i="9"/>
  <c r="BN130" i="9"/>
  <c r="CD130" i="9"/>
  <c r="BX130" i="9"/>
  <c r="CO130" i="9"/>
  <c r="BY130" i="9"/>
  <c r="CP130" i="9"/>
  <c r="BZ130" i="9"/>
  <c r="CQ130" i="9"/>
  <c r="CG130" i="9"/>
  <c r="CH130" i="9"/>
  <c r="BO130" i="9"/>
  <c r="CI130" i="9"/>
  <c r="BP130" i="9"/>
  <c r="CJ130" i="9"/>
  <c r="BQ130" i="9"/>
  <c r="BR130" i="9"/>
  <c r="BS130" i="9"/>
  <c r="CF130" i="9"/>
  <c r="CK130" i="9"/>
  <c r="CL130" i="9"/>
  <c r="BU130" i="9"/>
  <c r="CC130" i="9"/>
  <c r="BV130" i="9"/>
  <c r="BW130" i="9"/>
  <c r="CA130" i="9"/>
  <c r="CB130" i="9"/>
  <c r="BT130" i="9"/>
  <c r="CM130" i="9"/>
  <c r="CN130" i="9"/>
  <c r="CE130" i="9"/>
  <c r="BV122" i="9"/>
  <c r="CL122" i="9"/>
  <c r="BQ122" i="9"/>
  <c r="CH122" i="9"/>
  <c r="BT122" i="9"/>
  <c r="CK122" i="9"/>
  <c r="BY122" i="9"/>
  <c r="BZ122" i="9"/>
  <c r="CA122" i="9"/>
  <c r="BW122" i="9"/>
  <c r="BX122" i="9"/>
  <c r="CB122" i="9"/>
  <c r="CC122" i="9"/>
  <c r="CO122" i="9"/>
  <c r="CP122" i="9"/>
  <c r="BN122" i="9"/>
  <c r="CQ122" i="9"/>
  <c r="BO122" i="9"/>
  <c r="BP122" i="9"/>
  <c r="BR122" i="9"/>
  <c r="CF122" i="9"/>
  <c r="CG122" i="9"/>
  <c r="CI122" i="9"/>
  <c r="CM122" i="9"/>
  <c r="CJ122" i="9"/>
  <c r="CN122" i="9"/>
  <c r="CD122" i="9"/>
  <c r="CE122" i="9"/>
  <c r="BS122" i="9"/>
  <c r="BU122" i="9"/>
  <c r="BV114" i="9"/>
  <c r="CL114" i="9"/>
  <c r="BR114" i="9"/>
  <c r="CI114" i="9"/>
  <c r="BU114" i="9"/>
  <c r="CM114" i="9"/>
  <c r="CD114" i="9"/>
  <c r="CE114" i="9"/>
  <c r="CF114" i="9"/>
  <c r="BX114" i="9"/>
  <c r="BY114" i="9"/>
  <c r="BZ114" i="9"/>
  <c r="CA114" i="9"/>
  <c r="CB114" i="9"/>
  <c r="CC114" i="9"/>
  <c r="CG114" i="9"/>
  <c r="BP114" i="9"/>
  <c r="BQ114" i="9"/>
  <c r="BS114" i="9"/>
  <c r="CH114" i="9"/>
  <c r="CJ114" i="9"/>
  <c r="CK114" i="9"/>
  <c r="CP114" i="9"/>
  <c r="CN114" i="9"/>
  <c r="CO114" i="9"/>
  <c r="BW114" i="9"/>
  <c r="CQ114" i="9"/>
  <c r="BO114" i="9"/>
  <c r="BT114" i="9"/>
  <c r="BN114" i="9"/>
  <c r="BT106" i="9"/>
  <c r="CJ106" i="9"/>
  <c r="BO106" i="9"/>
  <c r="CF106" i="9"/>
  <c r="CD106" i="9"/>
  <c r="BP106" i="9"/>
  <c r="CH106" i="9"/>
  <c r="CC106" i="9"/>
  <c r="CE106" i="9"/>
  <c r="CG106" i="9"/>
  <c r="BR106" i="9"/>
  <c r="CP106" i="9"/>
  <c r="BS106" i="9"/>
  <c r="CQ106" i="9"/>
  <c r="BU106" i="9"/>
  <c r="BV106" i="9"/>
  <c r="CL106" i="9"/>
  <c r="CM106" i="9"/>
  <c r="CN106" i="9"/>
  <c r="BN106" i="9"/>
  <c r="BQ106" i="9"/>
  <c r="BW106" i="9"/>
  <c r="BX106" i="9"/>
  <c r="BY106" i="9"/>
  <c r="BZ106" i="9"/>
  <c r="CB106" i="9"/>
  <c r="CI106" i="9"/>
  <c r="CA106" i="9"/>
  <c r="CK106" i="9"/>
  <c r="CO106" i="9"/>
  <c r="BT98" i="9"/>
  <c r="CJ98" i="9"/>
  <c r="BO98" i="9"/>
  <c r="CF98" i="9"/>
  <c r="BP98" i="9"/>
  <c r="CG98" i="9"/>
  <c r="BW98" i="9"/>
  <c r="CP98" i="9"/>
  <c r="BZ98" i="9"/>
  <c r="CD98" i="9"/>
  <c r="CE98" i="9"/>
  <c r="CH98" i="9"/>
  <c r="BN98" i="9"/>
  <c r="CO98" i="9"/>
  <c r="BQ98" i="9"/>
  <c r="CQ98" i="9"/>
  <c r="BR98" i="9"/>
  <c r="BS98" i="9"/>
  <c r="CA98" i="9"/>
  <c r="CB98" i="9"/>
  <c r="CC98" i="9"/>
  <c r="CK98" i="9"/>
  <c r="CL98" i="9"/>
  <c r="CM98" i="9"/>
  <c r="BV98" i="9"/>
  <c r="BY98" i="9"/>
  <c r="CN98" i="9"/>
  <c r="BU98" i="9"/>
  <c r="BX98" i="9"/>
  <c r="CI98" i="9"/>
  <c r="BT90" i="9"/>
  <c r="CJ90" i="9"/>
  <c r="BP90" i="9"/>
  <c r="CG90" i="9"/>
  <c r="BQ90" i="9"/>
  <c r="CH90" i="9"/>
  <c r="CB90" i="9"/>
  <c r="CC90" i="9"/>
  <c r="CD90" i="9"/>
  <c r="CE90" i="9"/>
  <c r="CM90" i="9"/>
  <c r="BN90" i="9"/>
  <c r="CN90" i="9"/>
  <c r="BO90" i="9"/>
  <c r="CO90" i="9"/>
  <c r="BW90" i="9"/>
  <c r="BX90" i="9"/>
  <c r="BY90" i="9"/>
  <c r="BZ90" i="9"/>
  <c r="CL90" i="9"/>
  <c r="CP90" i="9"/>
  <c r="CQ90" i="9"/>
  <c r="CK90" i="9"/>
  <c r="CA90" i="9"/>
  <c r="CF90" i="9"/>
  <c r="BR90" i="9"/>
  <c r="BV90" i="9"/>
  <c r="CI90" i="9"/>
  <c r="BS90" i="9"/>
  <c r="BU90" i="9"/>
  <c r="BT82" i="9"/>
  <c r="CJ82" i="9"/>
  <c r="BQ82" i="9"/>
  <c r="CH82" i="9"/>
  <c r="BR82" i="9"/>
  <c r="CI82" i="9"/>
  <c r="BN82" i="9"/>
  <c r="CG82" i="9"/>
  <c r="BO82" i="9"/>
  <c r="CK82" i="9"/>
  <c r="BP82" i="9"/>
  <c r="CL82" i="9"/>
  <c r="BS82" i="9"/>
  <c r="CM82" i="9"/>
  <c r="BU82" i="9"/>
  <c r="BV82" i="9"/>
  <c r="BW82" i="9"/>
  <c r="CN82" i="9"/>
  <c r="CO82" i="9"/>
  <c r="CP82" i="9"/>
  <c r="CQ82" i="9"/>
  <c r="BY82" i="9"/>
  <c r="BZ82" i="9"/>
  <c r="CA82" i="9"/>
  <c r="BX82" i="9"/>
  <c r="CE82" i="9"/>
  <c r="CF82" i="9"/>
  <c r="CB82" i="9"/>
  <c r="CC82" i="9"/>
  <c r="CD82" i="9"/>
  <c r="BQ74" i="9"/>
  <c r="CG74" i="9"/>
  <c r="BT74" i="9"/>
  <c r="CJ74" i="9"/>
  <c r="BX74" i="9"/>
  <c r="CP74" i="9"/>
  <c r="BY74" i="9"/>
  <c r="CQ74" i="9"/>
  <c r="CC74" i="9"/>
  <c r="CD74" i="9"/>
  <c r="CE74" i="9"/>
  <c r="CF74" i="9"/>
  <c r="CM74" i="9"/>
  <c r="BN74" i="9"/>
  <c r="CN74" i="9"/>
  <c r="BO74" i="9"/>
  <c r="CO74" i="9"/>
  <c r="BP74" i="9"/>
  <c r="BR74" i="9"/>
  <c r="CI74" i="9"/>
  <c r="CK74" i="9"/>
  <c r="CL74" i="9"/>
  <c r="CB74" i="9"/>
  <c r="CH74" i="9"/>
  <c r="BU74" i="9"/>
  <c r="BV74" i="9"/>
  <c r="BW74" i="9"/>
  <c r="CA74" i="9"/>
  <c r="BS74" i="9"/>
  <c r="BZ74" i="9"/>
  <c r="BQ66" i="9"/>
  <c r="CG66" i="9"/>
  <c r="BR66" i="9"/>
  <c r="CH66" i="9"/>
  <c r="BT66" i="9"/>
  <c r="CJ66" i="9"/>
  <c r="BW66" i="9"/>
  <c r="CP66" i="9"/>
  <c r="BX66" i="9"/>
  <c r="CQ66" i="9"/>
  <c r="BY66" i="9"/>
  <c r="BZ66" i="9"/>
  <c r="CL66" i="9"/>
  <c r="CM66" i="9"/>
  <c r="BN66" i="9"/>
  <c r="CN66" i="9"/>
  <c r="BO66" i="9"/>
  <c r="CO66" i="9"/>
  <c r="CE66" i="9"/>
  <c r="CF66" i="9"/>
  <c r="CI66" i="9"/>
  <c r="BS66" i="9"/>
  <c r="BU66" i="9"/>
  <c r="BV66" i="9"/>
  <c r="CA66" i="9"/>
  <c r="CB66" i="9"/>
  <c r="CC66" i="9"/>
  <c r="CD66" i="9"/>
  <c r="BP66" i="9"/>
  <c r="CK66" i="9"/>
  <c r="BV58" i="9"/>
  <c r="CL58" i="9"/>
  <c r="BO58" i="9"/>
  <c r="CF58" i="9"/>
  <c r="BP58" i="9"/>
  <c r="CG58" i="9"/>
  <c r="BR58" i="9"/>
  <c r="CI58" i="9"/>
  <c r="BY58" i="9"/>
  <c r="BZ58" i="9"/>
  <c r="CA58" i="9"/>
  <c r="CB58" i="9"/>
  <c r="CO58" i="9"/>
  <c r="BN58" i="9"/>
  <c r="CP58" i="9"/>
  <c r="BQ58" i="9"/>
  <c r="CQ58" i="9"/>
  <c r="BS58" i="9"/>
  <c r="CC58" i="9"/>
  <c r="CD58" i="9"/>
  <c r="CE58" i="9"/>
  <c r="CN58" i="9"/>
  <c r="CH58" i="9"/>
  <c r="CJ58" i="9"/>
  <c r="CK58" i="9"/>
  <c r="BT58" i="9"/>
  <c r="BU58" i="9"/>
  <c r="BX58" i="9"/>
  <c r="BW58" i="9"/>
  <c r="CM58" i="9"/>
  <c r="BT50" i="9"/>
  <c r="CJ50" i="9"/>
  <c r="BU50" i="9"/>
  <c r="CK50" i="9"/>
  <c r="BV50" i="9"/>
  <c r="CL50" i="9"/>
  <c r="BP50" i="9"/>
  <c r="CI50" i="9"/>
  <c r="BQ50" i="9"/>
  <c r="CM50" i="9"/>
  <c r="BR50" i="9"/>
  <c r="CN50" i="9"/>
  <c r="BS50" i="9"/>
  <c r="CO50" i="9"/>
  <c r="CA50" i="9"/>
  <c r="CB50" i="9"/>
  <c r="CC50" i="9"/>
  <c r="CD50" i="9"/>
  <c r="CE50" i="9"/>
  <c r="CF50" i="9"/>
  <c r="CG50" i="9"/>
  <c r="CH50" i="9"/>
  <c r="BN50" i="9"/>
  <c r="BX50" i="9"/>
  <c r="BY50" i="9"/>
  <c r="BZ50" i="9"/>
  <c r="CP50" i="9"/>
  <c r="BO50" i="9"/>
  <c r="BW50" i="9"/>
  <c r="CQ50" i="9"/>
  <c r="BW42" i="9"/>
  <c r="CM42" i="9"/>
  <c r="BX42" i="9"/>
  <c r="CN42" i="9"/>
  <c r="BZ42" i="9"/>
  <c r="CP42" i="9"/>
  <c r="BQ42" i="9"/>
  <c r="CJ42" i="9"/>
  <c r="BR42" i="9"/>
  <c r="CK42" i="9"/>
  <c r="BS42" i="9"/>
  <c r="CL42" i="9"/>
  <c r="CB42" i="9"/>
  <c r="CC42" i="9"/>
  <c r="CD42" i="9"/>
  <c r="CE42" i="9"/>
  <c r="BU42" i="9"/>
  <c r="BV42" i="9"/>
  <c r="BY42" i="9"/>
  <c r="CA42" i="9"/>
  <c r="CF42" i="9"/>
  <c r="CG42" i="9"/>
  <c r="CH42" i="9"/>
  <c r="CI42" i="9"/>
  <c r="CO42" i="9"/>
  <c r="CQ42" i="9"/>
  <c r="BN42" i="9"/>
  <c r="BP42" i="9"/>
  <c r="BO42" i="9"/>
  <c r="BT42" i="9"/>
  <c r="BW34" i="9"/>
  <c r="CM34" i="9"/>
  <c r="BX34" i="9"/>
  <c r="CN34" i="9"/>
  <c r="BY34" i="9"/>
  <c r="CO34" i="9"/>
  <c r="BZ34" i="9"/>
  <c r="CP34" i="9"/>
  <c r="BP34" i="9"/>
  <c r="CJ34" i="9"/>
  <c r="BQ34" i="9"/>
  <c r="CK34" i="9"/>
  <c r="BR34" i="9"/>
  <c r="CL34" i="9"/>
  <c r="BT34" i="9"/>
  <c r="BU34" i="9"/>
  <c r="BV34" i="9"/>
  <c r="CA34" i="9"/>
  <c r="CF34" i="9"/>
  <c r="CG34" i="9"/>
  <c r="CH34" i="9"/>
  <c r="CI34" i="9"/>
  <c r="CQ34" i="9"/>
  <c r="BO34" i="9"/>
  <c r="BS34" i="9"/>
  <c r="CB34" i="9"/>
  <c r="CC34" i="9"/>
  <c r="BN34" i="9"/>
  <c r="CD34" i="9"/>
  <c r="CE34" i="9"/>
  <c r="BZ128" i="9"/>
  <c r="CP128" i="9"/>
  <c r="BP128" i="9"/>
  <c r="CG128" i="9"/>
  <c r="BQ128" i="9"/>
  <c r="CH128" i="9"/>
  <c r="BR128" i="9"/>
  <c r="CI128" i="9"/>
  <c r="CC128" i="9"/>
  <c r="CD128" i="9"/>
  <c r="CE128" i="9"/>
  <c r="CF128" i="9"/>
  <c r="BT128" i="9"/>
  <c r="BU128" i="9"/>
  <c r="BV128" i="9"/>
  <c r="BY128" i="9"/>
  <c r="CA128" i="9"/>
  <c r="CB128" i="9"/>
  <c r="CM128" i="9"/>
  <c r="CN128" i="9"/>
  <c r="CO128" i="9"/>
  <c r="CQ128" i="9"/>
  <c r="CL128" i="9"/>
  <c r="BW128" i="9"/>
  <c r="BX128" i="9"/>
  <c r="CJ128" i="9"/>
  <c r="CK128" i="9"/>
  <c r="BN128" i="9"/>
  <c r="BO128" i="9"/>
  <c r="BS128" i="9"/>
  <c r="BR120" i="9"/>
  <c r="CH120" i="9"/>
  <c r="BZ120" i="9"/>
  <c r="CQ120" i="9"/>
  <c r="CC120" i="9"/>
  <c r="BY120" i="9"/>
  <c r="CA120" i="9"/>
  <c r="CB120" i="9"/>
  <c r="CJ120" i="9"/>
  <c r="BN120" i="9"/>
  <c r="CK120" i="9"/>
  <c r="BO120" i="9"/>
  <c r="CL120" i="9"/>
  <c r="BP120" i="9"/>
  <c r="CM120" i="9"/>
  <c r="CN120" i="9"/>
  <c r="CO120" i="9"/>
  <c r="CP120" i="9"/>
  <c r="CF120" i="9"/>
  <c r="CG120" i="9"/>
  <c r="CI120" i="9"/>
  <c r="BQ120" i="9"/>
  <c r="BS120" i="9"/>
  <c r="CD120" i="9"/>
  <c r="BT120" i="9"/>
  <c r="CE120" i="9"/>
  <c r="BU120" i="9"/>
  <c r="BV120" i="9"/>
  <c r="BW120" i="9"/>
  <c r="BX120" i="9"/>
  <c r="BR112" i="9"/>
  <c r="CH112" i="9"/>
  <c r="CA112" i="9"/>
  <c r="CD112" i="9"/>
  <c r="CF112" i="9"/>
  <c r="BN112" i="9"/>
  <c r="CG112" i="9"/>
  <c r="BO112" i="9"/>
  <c r="CI112" i="9"/>
  <c r="CK112" i="9"/>
  <c r="CL112" i="9"/>
  <c r="BP112" i="9"/>
  <c r="CM112" i="9"/>
  <c r="BQ112" i="9"/>
  <c r="CN112" i="9"/>
  <c r="BW112" i="9"/>
  <c r="BX112" i="9"/>
  <c r="BY112" i="9"/>
  <c r="CO112" i="9"/>
  <c r="CP112" i="9"/>
  <c r="CQ112" i="9"/>
  <c r="CJ112" i="9"/>
  <c r="BS112" i="9"/>
  <c r="CE112" i="9"/>
  <c r="BU112" i="9"/>
  <c r="BZ112" i="9"/>
  <c r="CC112" i="9"/>
  <c r="BT112" i="9"/>
  <c r="BV112" i="9"/>
  <c r="CB112" i="9"/>
  <c r="BP104" i="9"/>
  <c r="CF104" i="9"/>
  <c r="BX104" i="9"/>
  <c r="CO104" i="9"/>
  <c r="BR104" i="9"/>
  <c r="CJ104" i="9"/>
  <c r="BU104" i="9"/>
  <c r="CM104" i="9"/>
  <c r="CB104" i="9"/>
  <c r="CC104" i="9"/>
  <c r="CD104" i="9"/>
  <c r="BY104" i="9"/>
  <c r="BZ104" i="9"/>
  <c r="CA104" i="9"/>
  <c r="CE104" i="9"/>
  <c r="CG104" i="9"/>
  <c r="CH104" i="9"/>
  <c r="CI104" i="9"/>
  <c r="CK104" i="9"/>
  <c r="CL104" i="9"/>
  <c r="CN104" i="9"/>
  <c r="BT104" i="9"/>
  <c r="BV104" i="9"/>
  <c r="BW104" i="9"/>
  <c r="CP104" i="9"/>
  <c r="CQ104" i="9"/>
  <c r="BN104" i="9"/>
  <c r="BO104" i="9"/>
  <c r="BQ104" i="9"/>
  <c r="BS104" i="9"/>
  <c r="BP96" i="9"/>
  <c r="CF96" i="9"/>
  <c r="BX96" i="9"/>
  <c r="CO96" i="9"/>
  <c r="BY96" i="9"/>
  <c r="CP96" i="9"/>
  <c r="BW96" i="9"/>
  <c r="CB96" i="9"/>
  <c r="BV96" i="9"/>
  <c r="BZ96" i="9"/>
  <c r="CA96" i="9"/>
  <c r="BR96" i="9"/>
  <c r="BS96" i="9"/>
  <c r="BT96" i="9"/>
  <c r="BU96" i="9"/>
  <c r="BN96" i="9"/>
  <c r="BO96" i="9"/>
  <c r="CN96" i="9"/>
  <c r="CQ96" i="9"/>
  <c r="CL96" i="9"/>
  <c r="CM96" i="9"/>
  <c r="CI96" i="9"/>
  <c r="CC96" i="9"/>
  <c r="CD96" i="9"/>
  <c r="CG96" i="9"/>
  <c r="CJ96" i="9"/>
  <c r="CE96" i="9"/>
  <c r="CK96" i="9"/>
  <c r="BQ96" i="9"/>
  <c r="CH96" i="9"/>
  <c r="BP88" i="9"/>
  <c r="CF88" i="9"/>
  <c r="BY88" i="9"/>
  <c r="CP88" i="9"/>
  <c r="BZ88" i="9"/>
  <c r="CQ88" i="9"/>
  <c r="CD88" i="9"/>
  <c r="CE88" i="9"/>
  <c r="CG88" i="9"/>
  <c r="BN88" i="9"/>
  <c r="CH88" i="9"/>
  <c r="BT88" i="9"/>
  <c r="BU88" i="9"/>
  <c r="BV88" i="9"/>
  <c r="BR88" i="9"/>
  <c r="BS88" i="9"/>
  <c r="BW88" i="9"/>
  <c r="BX88" i="9"/>
  <c r="BO88" i="9"/>
  <c r="CN88" i="9"/>
  <c r="CO88" i="9"/>
  <c r="CM88" i="9"/>
  <c r="CA88" i="9"/>
  <c r="CB88" i="9"/>
  <c r="CL88" i="9"/>
  <c r="CC88" i="9"/>
  <c r="CI88" i="9"/>
  <c r="CJ88" i="9"/>
  <c r="CK88" i="9"/>
  <c r="BQ88" i="9"/>
  <c r="BP80" i="9"/>
  <c r="CF80" i="9"/>
  <c r="BZ80" i="9"/>
  <c r="CQ80" i="9"/>
  <c r="CA80" i="9"/>
  <c r="BQ80" i="9"/>
  <c r="CJ80" i="9"/>
  <c r="BR80" i="9"/>
  <c r="CK80" i="9"/>
  <c r="BS80" i="9"/>
  <c r="CL80" i="9"/>
  <c r="BT80" i="9"/>
  <c r="CM80" i="9"/>
  <c r="BY80" i="9"/>
  <c r="CB80" i="9"/>
  <c r="CC80" i="9"/>
  <c r="CH80" i="9"/>
  <c r="CI80" i="9"/>
  <c r="CN80" i="9"/>
  <c r="CO80" i="9"/>
  <c r="CP80" i="9"/>
  <c r="BV80" i="9"/>
  <c r="BW80" i="9"/>
  <c r="BX80" i="9"/>
  <c r="CD80" i="9"/>
  <c r="CE80" i="9"/>
  <c r="CG80" i="9"/>
  <c r="BN80" i="9"/>
  <c r="BO80" i="9"/>
  <c r="BU80" i="9"/>
  <c r="CC72" i="9"/>
  <c r="BP72" i="9"/>
  <c r="CF72" i="9"/>
  <c r="CB72" i="9"/>
  <c r="CD72" i="9"/>
  <c r="BY72" i="9"/>
  <c r="BZ72" i="9"/>
  <c r="CA72" i="9"/>
  <c r="CE72" i="9"/>
  <c r="BQ72" i="9"/>
  <c r="CO72" i="9"/>
  <c r="BR72" i="9"/>
  <c r="CP72" i="9"/>
  <c r="BS72" i="9"/>
  <c r="CQ72" i="9"/>
  <c r="CJ72" i="9"/>
  <c r="CK72" i="9"/>
  <c r="CL72" i="9"/>
  <c r="CM72" i="9"/>
  <c r="BN72" i="9"/>
  <c r="CI72" i="9"/>
  <c r="CN72" i="9"/>
  <c r="BV72" i="9"/>
  <c r="CH72" i="9"/>
  <c r="BO72" i="9"/>
  <c r="BT72" i="9"/>
  <c r="BW72" i="9"/>
  <c r="BU72" i="9"/>
  <c r="BX72" i="9"/>
  <c r="CG72" i="9"/>
  <c r="CC64" i="9"/>
  <c r="BN64" i="9"/>
  <c r="CD64" i="9"/>
  <c r="BP64" i="9"/>
  <c r="CF64" i="9"/>
  <c r="BW64" i="9"/>
  <c r="CP64" i="9"/>
  <c r="BX64" i="9"/>
  <c r="CQ64" i="9"/>
  <c r="BY64" i="9"/>
  <c r="BZ64" i="9"/>
  <c r="BS64" i="9"/>
  <c r="BT64" i="9"/>
  <c r="BU64" i="9"/>
  <c r="BV64" i="9"/>
  <c r="CA64" i="9"/>
  <c r="CB64" i="9"/>
  <c r="CE64" i="9"/>
  <c r="CJ64" i="9"/>
  <c r="CK64" i="9"/>
  <c r="CL64" i="9"/>
  <c r="CM64" i="9"/>
  <c r="BR64" i="9"/>
  <c r="CG64" i="9"/>
  <c r="CH64" i="9"/>
  <c r="BQ64" i="9"/>
  <c r="BO64" i="9"/>
  <c r="CI64" i="9"/>
  <c r="CN64" i="9"/>
  <c r="CO64" i="9"/>
  <c r="BR56" i="9"/>
  <c r="CH56" i="9"/>
  <c r="BX56" i="9"/>
  <c r="CO56" i="9"/>
  <c r="BY56" i="9"/>
  <c r="CP56" i="9"/>
  <c r="BZ56" i="9"/>
  <c r="CA56" i="9"/>
  <c r="BT56" i="9"/>
  <c r="CQ56" i="9"/>
  <c r="BU56" i="9"/>
  <c r="BV56" i="9"/>
  <c r="BW56" i="9"/>
  <c r="BO56" i="9"/>
  <c r="BP56" i="9"/>
  <c r="BQ56" i="9"/>
  <c r="BS56" i="9"/>
  <c r="BN56" i="9"/>
  <c r="CB56" i="9"/>
  <c r="CG56" i="9"/>
  <c r="CI56" i="9"/>
  <c r="CJ56" i="9"/>
  <c r="CK56" i="9"/>
  <c r="CL56" i="9"/>
  <c r="CM56" i="9"/>
  <c r="CN56" i="9"/>
  <c r="CC56" i="9"/>
  <c r="CE56" i="9"/>
  <c r="CD56" i="9"/>
  <c r="CF56" i="9"/>
  <c r="BS48" i="9"/>
  <c r="BT48" i="9"/>
  <c r="BN48" i="9"/>
  <c r="CF48" i="9"/>
  <c r="BO48" i="9"/>
  <c r="CG48" i="9"/>
  <c r="BP48" i="9"/>
  <c r="CH48" i="9"/>
  <c r="BQ48" i="9"/>
  <c r="CL48" i="9"/>
  <c r="BR48" i="9"/>
  <c r="CM48" i="9"/>
  <c r="BU48" i="9"/>
  <c r="CN48" i="9"/>
  <c r="BV48" i="9"/>
  <c r="CO48" i="9"/>
  <c r="CE48" i="9"/>
  <c r="CI48" i="9"/>
  <c r="CJ48" i="9"/>
  <c r="CK48" i="9"/>
  <c r="BW48" i="9"/>
  <c r="BX48" i="9"/>
  <c r="BY48" i="9"/>
  <c r="BZ48" i="9"/>
  <c r="CA48" i="9"/>
  <c r="CB48" i="9"/>
  <c r="CC48" i="9"/>
  <c r="CD48" i="9"/>
  <c r="CP48" i="9"/>
  <c r="CQ48" i="9"/>
  <c r="BS40" i="9"/>
  <c r="CI40" i="9"/>
  <c r="BT40" i="9"/>
  <c r="CJ40" i="9"/>
  <c r="BV40" i="9"/>
  <c r="CL40" i="9"/>
  <c r="BQ40" i="9"/>
  <c r="CM40" i="9"/>
  <c r="BR40" i="9"/>
  <c r="CN40" i="9"/>
  <c r="BU40" i="9"/>
  <c r="CO40" i="9"/>
  <c r="CK40" i="9"/>
  <c r="BN40" i="9"/>
  <c r="CP40" i="9"/>
  <c r="BO40" i="9"/>
  <c r="CQ40" i="9"/>
  <c r="BP40" i="9"/>
  <c r="BW40" i="9"/>
  <c r="BX40" i="9"/>
  <c r="BY40" i="9"/>
  <c r="BZ40" i="9"/>
  <c r="CE40" i="9"/>
  <c r="CF40" i="9"/>
  <c r="CG40" i="9"/>
  <c r="CA40" i="9"/>
  <c r="CB40" i="9"/>
  <c r="CC40" i="9"/>
  <c r="CD40" i="9"/>
  <c r="CH40" i="9"/>
  <c r="BS32" i="9"/>
  <c r="CI32" i="9"/>
  <c r="BT32" i="9"/>
  <c r="CJ32" i="9"/>
  <c r="BU32" i="9"/>
  <c r="CK32" i="9"/>
  <c r="BV32" i="9"/>
  <c r="CL32" i="9"/>
  <c r="CF32" i="9"/>
  <c r="CG32" i="9"/>
  <c r="BN32" i="9"/>
  <c r="CH32" i="9"/>
  <c r="CA32" i="9"/>
  <c r="CB32" i="9"/>
  <c r="CC32" i="9"/>
  <c r="CD32" i="9"/>
  <c r="BW32" i="9"/>
  <c r="BX32" i="9"/>
  <c r="BY32" i="9"/>
  <c r="BZ32" i="9"/>
  <c r="BO32" i="9"/>
  <c r="BP32" i="9"/>
  <c r="BQ32" i="9"/>
  <c r="BR32" i="9"/>
  <c r="CP32" i="9"/>
  <c r="CQ32" i="9"/>
  <c r="CN32" i="9"/>
  <c r="CE32" i="9"/>
  <c r="CM32" i="9"/>
  <c r="CO32" i="9"/>
  <c r="BU25" i="9"/>
  <c r="CK25" i="9"/>
  <c r="BV25" i="9"/>
  <c r="CL25" i="9"/>
  <c r="BW25" i="9"/>
  <c r="CM25" i="9"/>
  <c r="BX25" i="9"/>
  <c r="CN25" i="9"/>
  <c r="CC25" i="9"/>
  <c r="CD25" i="9"/>
  <c r="CE25" i="9"/>
  <c r="CF25" i="9"/>
  <c r="BY25" i="9"/>
  <c r="BZ25" i="9"/>
  <c r="CA25" i="9"/>
  <c r="CB25" i="9"/>
  <c r="BQ25" i="9"/>
  <c r="BR25" i="9"/>
  <c r="BS25" i="9"/>
  <c r="BT25" i="9"/>
  <c r="CO25" i="9"/>
  <c r="CP25" i="9"/>
  <c r="CQ25" i="9"/>
  <c r="BN25" i="9"/>
  <c r="BO25" i="9"/>
  <c r="CG25" i="9"/>
  <c r="BP25" i="9"/>
  <c r="CH25" i="9"/>
  <c r="CJ25" i="9"/>
  <c r="CI25" i="9"/>
  <c r="BU17" i="9"/>
  <c r="CK17" i="9"/>
  <c r="BV17" i="9"/>
  <c r="CL17" i="9"/>
  <c r="BW17" i="9"/>
  <c r="CM17" i="9"/>
  <c r="BX17" i="9"/>
  <c r="CN17" i="9"/>
  <c r="CG17" i="9"/>
  <c r="BN17" i="9"/>
  <c r="CH17" i="9"/>
  <c r="BO17" i="9"/>
  <c r="CI17" i="9"/>
  <c r="BP17" i="9"/>
  <c r="CJ17" i="9"/>
  <c r="CO17" i="9"/>
  <c r="CP17" i="9"/>
  <c r="CQ17" i="9"/>
  <c r="CC17" i="9"/>
  <c r="CD17" i="9"/>
  <c r="CE17" i="9"/>
  <c r="CF17" i="9"/>
  <c r="BY17" i="9"/>
  <c r="BZ17" i="9"/>
  <c r="CA17" i="9"/>
  <c r="CB17" i="9"/>
  <c r="BS17" i="9"/>
  <c r="BT17" i="9"/>
  <c r="BQ17" i="9"/>
  <c r="BR17" i="9"/>
  <c r="BU9" i="9"/>
  <c r="CK9" i="9"/>
  <c r="BV9" i="9"/>
  <c r="CL9" i="9"/>
  <c r="BW9" i="9"/>
  <c r="CM9" i="9"/>
  <c r="BX9" i="9"/>
  <c r="CN9" i="9"/>
  <c r="BQ9" i="9"/>
  <c r="CO9" i="9"/>
  <c r="BR9" i="9"/>
  <c r="CP9" i="9"/>
  <c r="BS9" i="9"/>
  <c r="CQ9" i="9"/>
  <c r="BT9" i="9"/>
  <c r="BY9" i="9"/>
  <c r="BZ9" i="9"/>
  <c r="CA9" i="9"/>
  <c r="CB9" i="9"/>
  <c r="BN9" i="9"/>
  <c r="BO9" i="9"/>
  <c r="BP9" i="9"/>
  <c r="CH9" i="9"/>
  <c r="CI9" i="9"/>
  <c r="CJ9" i="9"/>
  <c r="CF9" i="9"/>
  <c r="CG9" i="9"/>
  <c r="CC9" i="9"/>
  <c r="CE9" i="9"/>
  <c r="CD9" i="9"/>
  <c r="BP131" i="9"/>
  <c r="CF131" i="9"/>
  <c r="CB131" i="9"/>
  <c r="CC131" i="9"/>
  <c r="CD131" i="9"/>
  <c r="BW131" i="9"/>
  <c r="CQ131" i="9"/>
  <c r="BX131" i="9"/>
  <c r="BY131" i="9"/>
  <c r="BZ131" i="9"/>
  <c r="BN131" i="9"/>
  <c r="CM131" i="9"/>
  <c r="BO131" i="9"/>
  <c r="CN131" i="9"/>
  <c r="BQ131" i="9"/>
  <c r="CO131" i="9"/>
  <c r="CK131" i="9"/>
  <c r="CL131" i="9"/>
  <c r="CP131" i="9"/>
  <c r="CG131" i="9"/>
  <c r="CH131" i="9"/>
  <c r="CI131" i="9"/>
  <c r="CJ131" i="9"/>
  <c r="BT131" i="9"/>
  <c r="CE131" i="9"/>
  <c r="BU131" i="9"/>
  <c r="BV131" i="9"/>
  <c r="BR131" i="9"/>
  <c r="BS131" i="9"/>
  <c r="CA131" i="9"/>
  <c r="BX123" i="9"/>
  <c r="CN123" i="9"/>
  <c r="BU123" i="9"/>
  <c r="CL123" i="9"/>
  <c r="BY123" i="9"/>
  <c r="CP123" i="9"/>
  <c r="BN123" i="9"/>
  <c r="CG123" i="9"/>
  <c r="BO123" i="9"/>
  <c r="CH123" i="9"/>
  <c r="BP123" i="9"/>
  <c r="CI123" i="9"/>
  <c r="BR123" i="9"/>
  <c r="CQ123" i="9"/>
  <c r="BS123" i="9"/>
  <c r="BT123" i="9"/>
  <c r="BV123" i="9"/>
  <c r="CA123" i="9"/>
  <c r="CB123" i="9"/>
  <c r="CC123" i="9"/>
  <c r="CK123" i="9"/>
  <c r="CE123" i="9"/>
  <c r="CJ123" i="9"/>
  <c r="CM123" i="9"/>
  <c r="BQ123" i="9"/>
  <c r="BW123" i="9"/>
  <c r="BZ123" i="9"/>
  <c r="CD123" i="9"/>
  <c r="CO123" i="9"/>
  <c r="CF123" i="9"/>
  <c r="BX115" i="9"/>
  <c r="CN115" i="9"/>
  <c r="BV115" i="9"/>
  <c r="CM115" i="9"/>
  <c r="BZ115" i="9"/>
  <c r="CQ115" i="9"/>
  <c r="BS115" i="9"/>
  <c r="CL115" i="9"/>
  <c r="BT115" i="9"/>
  <c r="CO115" i="9"/>
  <c r="BU115" i="9"/>
  <c r="CP115" i="9"/>
  <c r="BP115" i="9"/>
  <c r="BQ115" i="9"/>
  <c r="BR115" i="9"/>
  <c r="BW115" i="9"/>
  <c r="CD115" i="9"/>
  <c r="CE115" i="9"/>
  <c r="CF115" i="9"/>
  <c r="CB115" i="9"/>
  <c r="CC115" i="9"/>
  <c r="CG115" i="9"/>
  <c r="BN115" i="9"/>
  <c r="BY115" i="9"/>
  <c r="CH115" i="9"/>
  <c r="CK115" i="9"/>
  <c r="BO115" i="9"/>
  <c r="CA115" i="9"/>
  <c r="CI115" i="9"/>
  <c r="CJ115" i="9"/>
  <c r="BV107" i="9"/>
  <c r="CL107" i="9"/>
  <c r="BS107" i="9"/>
  <c r="CJ107" i="9"/>
  <c r="BR107" i="9"/>
  <c r="CK107" i="9"/>
  <c r="BW107" i="9"/>
  <c r="CO107" i="9"/>
  <c r="BU107" i="9"/>
  <c r="CQ107" i="9"/>
  <c r="BX107" i="9"/>
  <c r="BY107" i="9"/>
  <c r="CI107" i="9"/>
  <c r="CM107" i="9"/>
  <c r="BN107" i="9"/>
  <c r="CN107" i="9"/>
  <c r="BO107" i="9"/>
  <c r="CP107" i="9"/>
  <c r="CB107" i="9"/>
  <c r="CC107" i="9"/>
  <c r="CD107" i="9"/>
  <c r="CH107" i="9"/>
  <c r="BP107" i="9"/>
  <c r="BQ107" i="9"/>
  <c r="BZ107" i="9"/>
  <c r="CE107" i="9"/>
  <c r="BT107" i="9"/>
  <c r="CA107" i="9"/>
  <c r="CF107" i="9"/>
  <c r="CG107" i="9"/>
  <c r="BV99" i="9"/>
  <c r="CL99" i="9"/>
  <c r="BS99" i="9"/>
  <c r="CJ99" i="9"/>
  <c r="BT99" i="9"/>
  <c r="CK99" i="9"/>
  <c r="CE99" i="9"/>
  <c r="BO99" i="9"/>
  <c r="CH99" i="9"/>
  <c r="BX99" i="9"/>
  <c r="BY99" i="9"/>
  <c r="BZ99" i="9"/>
  <c r="CN99" i="9"/>
  <c r="CO99" i="9"/>
  <c r="BN99" i="9"/>
  <c r="CP99" i="9"/>
  <c r="BP99" i="9"/>
  <c r="CQ99" i="9"/>
  <c r="CF99" i="9"/>
  <c r="CG99" i="9"/>
  <c r="CI99" i="9"/>
  <c r="BQ99" i="9"/>
  <c r="CB99" i="9"/>
  <c r="BR99" i="9"/>
  <c r="BU99" i="9"/>
  <c r="CA99" i="9"/>
  <c r="BW99" i="9"/>
  <c r="CM99" i="9"/>
  <c r="CC99" i="9"/>
  <c r="CD99" i="9"/>
  <c r="BV91" i="9"/>
  <c r="CL91" i="9"/>
  <c r="BT91" i="9"/>
  <c r="CK91" i="9"/>
  <c r="BU91" i="9"/>
  <c r="CM91" i="9"/>
  <c r="BQ91" i="9"/>
  <c r="CJ91" i="9"/>
  <c r="BR91" i="9"/>
  <c r="CN91" i="9"/>
  <c r="BS91" i="9"/>
  <c r="CO91" i="9"/>
  <c r="BW91" i="9"/>
  <c r="CP91" i="9"/>
  <c r="CF91" i="9"/>
  <c r="CG91" i="9"/>
  <c r="CH91" i="9"/>
  <c r="BZ91" i="9"/>
  <c r="CA91" i="9"/>
  <c r="CB91" i="9"/>
  <c r="CC91" i="9"/>
  <c r="BN91" i="9"/>
  <c r="BO91" i="9"/>
  <c r="BY91" i="9"/>
  <c r="CD91" i="9"/>
  <c r="CE91" i="9"/>
  <c r="CQ91" i="9"/>
  <c r="CI91" i="9"/>
  <c r="BX91" i="9"/>
  <c r="BP91" i="9"/>
  <c r="BV83" i="9"/>
  <c r="CL83" i="9"/>
  <c r="BU83" i="9"/>
  <c r="CM83" i="9"/>
  <c r="BW83" i="9"/>
  <c r="CN83" i="9"/>
  <c r="BY83" i="9"/>
  <c r="BZ83" i="9"/>
  <c r="CA83" i="9"/>
  <c r="CB83" i="9"/>
  <c r="BN83" i="9"/>
  <c r="CK83" i="9"/>
  <c r="BO83" i="9"/>
  <c r="CO83" i="9"/>
  <c r="BP83" i="9"/>
  <c r="CP83" i="9"/>
  <c r="CJ83" i="9"/>
  <c r="CQ83" i="9"/>
  <c r="CF83" i="9"/>
  <c r="CG83" i="9"/>
  <c r="CH83" i="9"/>
  <c r="CI83" i="9"/>
  <c r="BQ83" i="9"/>
  <c r="BS83" i="9"/>
  <c r="BT83" i="9"/>
  <c r="BR83" i="9"/>
  <c r="CE83" i="9"/>
  <c r="BX83" i="9"/>
  <c r="CD83" i="9"/>
  <c r="CC83" i="9"/>
  <c r="BS75" i="9"/>
  <c r="CI75" i="9"/>
  <c r="BV75" i="9"/>
  <c r="CL75" i="9"/>
  <c r="CD75" i="9"/>
  <c r="CE75" i="9"/>
  <c r="BT75" i="9"/>
  <c r="CO75" i="9"/>
  <c r="BU75" i="9"/>
  <c r="CP75" i="9"/>
  <c r="BW75" i="9"/>
  <c r="CQ75" i="9"/>
  <c r="BX75" i="9"/>
  <c r="CJ75" i="9"/>
  <c r="CK75" i="9"/>
  <c r="CM75" i="9"/>
  <c r="BO75" i="9"/>
  <c r="BP75" i="9"/>
  <c r="BQ75" i="9"/>
  <c r="BR75" i="9"/>
  <c r="BY75" i="9"/>
  <c r="BN75" i="9"/>
  <c r="CF75" i="9"/>
  <c r="CG75" i="9"/>
  <c r="CH75" i="9"/>
  <c r="CN75" i="9"/>
  <c r="BZ75" i="9"/>
  <c r="CA75" i="9"/>
  <c r="CB75" i="9"/>
  <c r="CC75" i="9"/>
  <c r="BS67" i="9"/>
  <c r="CI67" i="9"/>
  <c r="BT67" i="9"/>
  <c r="CJ67" i="9"/>
  <c r="BV67" i="9"/>
  <c r="CL67" i="9"/>
  <c r="CE67" i="9"/>
  <c r="CF67" i="9"/>
  <c r="BN67" i="9"/>
  <c r="CG67" i="9"/>
  <c r="BO67" i="9"/>
  <c r="CH67" i="9"/>
  <c r="CK67" i="9"/>
  <c r="CM67" i="9"/>
  <c r="CN67" i="9"/>
  <c r="CO67" i="9"/>
  <c r="CP67" i="9"/>
  <c r="CQ67" i="9"/>
  <c r="CA67" i="9"/>
  <c r="CB67" i="9"/>
  <c r="CC67" i="9"/>
  <c r="CD67" i="9"/>
  <c r="BQ67" i="9"/>
  <c r="BP67" i="9"/>
  <c r="BY67" i="9"/>
  <c r="BZ67" i="9"/>
  <c r="BX67" i="9"/>
  <c r="BW67" i="9"/>
  <c r="BU67" i="9"/>
  <c r="BR67" i="9"/>
  <c r="BS59" i="9"/>
  <c r="CI59" i="9"/>
  <c r="BT59" i="9"/>
  <c r="CJ59" i="9"/>
  <c r="BV59" i="9"/>
  <c r="CL59" i="9"/>
  <c r="BO59" i="9"/>
  <c r="CH59" i="9"/>
  <c r="BP59" i="9"/>
  <c r="CK59" i="9"/>
  <c r="BQ59" i="9"/>
  <c r="CM59" i="9"/>
  <c r="BR59" i="9"/>
  <c r="CN59" i="9"/>
  <c r="CO59" i="9"/>
  <c r="CP59" i="9"/>
  <c r="CQ59" i="9"/>
  <c r="BN59" i="9"/>
  <c r="CD59" i="9"/>
  <c r="CE59" i="9"/>
  <c r="CF59" i="9"/>
  <c r="BU59" i="9"/>
  <c r="BW59" i="9"/>
  <c r="BX59" i="9"/>
  <c r="CA59" i="9"/>
  <c r="CG59" i="9"/>
  <c r="CB59" i="9"/>
  <c r="CC59" i="9"/>
  <c r="BZ59" i="9"/>
  <c r="BY59" i="9"/>
  <c r="BV51" i="9"/>
  <c r="CL51" i="9"/>
  <c r="BW51" i="9"/>
  <c r="CM51" i="9"/>
  <c r="BX51" i="9"/>
  <c r="CN51" i="9"/>
  <c r="CA51" i="9"/>
  <c r="CB51" i="9"/>
  <c r="CC51" i="9"/>
  <c r="CD51" i="9"/>
  <c r="BT51" i="9"/>
  <c r="BU51" i="9"/>
  <c r="BY51" i="9"/>
  <c r="BZ51" i="9"/>
  <c r="CI51" i="9"/>
  <c r="CJ51" i="9"/>
  <c r="CK51" i="9"/>
  <c r="CO51" i="9"/>
  <c r="CE51" i="9"/>
  <c r="CF51" i="9"/>
  <c r="CG51" i="9"/>
  <c r="CP51" i="9"/>
  <c r="CQ51" i="9"/>
  <c r="BO51" i="9"/>
  <c r="BR51" i="9"/>
  <c r="BP51" i="9"/>
  <c r="BQ51" i="9"/>
  <c r="CH51" i="9"/>
  <c r="BS51" i="9"/>
  <c r="BN51" i="9"/>
  <c r="BY43" i="9"/>
  <c r="CO43" i="9"/>
  <c r="BZ43" i="9"/>
  <c r="CP43" i="9"/>
  <c r="CB43" i="9"/>
  <c r="CA43" i="9"/>
  <c r="CC43" i="9"/>
  <c r="CD43" i="9"/>
  <c r="BT43" i="9"/>
  <c r="BU43" i="9"/>
  <c r="BV43" i="9"/>
  <c r="BW43" i="9"/>
  <c r="BX43" i="9"/>
  <c r="CE43" i="9"/>
  <c r="CF43" i="9"/>
  <c r="CG43" i="9"/>
  <c r="CL43" i="9"/>
  <c r="CM43" i="9"/>
  <c r="CN43" i="9"/>
  <c r="CQ43" i="9"/>
  <c r="BN43" i="9"/>
  <c r="CI43" i="9"/>
  <c r="CJ43" i="9"/>
  <c r="CK43" i="9"/>
  <c r="BQ43" i="9"/>
  <c r="BR43" i="9"/>
  <c r="BS43" i="9"/>
  <c r="CH43" i="9"/>
  <c r="BP43" i="9"/>
  <c r="BO43" i="9"/>
  <c r="BY35" i="9"/>
  <c r="CO35" i="9"/>
  <c r="BZ35" i="9"/>
  <c r="CP35" i="9"/>
  <c r="CA35" i="9"/>
  <c r="CQ35" i="9"/>
  <c r="CB35" i="9"/>
  <c r="CD35" i="9"/>
  <c r="CE35" i="9"/>
  <c r="CF35" i="9"/>
  <c r="BQ35" i="9"/>
  <c r="CN35" i="9"/>
  <c r="BR35" i="9"/>
  <c r="BS35" i="9"/>
  <c r="BT35" i="9"/>
  <c r="CJ35" i="9"/>
  <c r="CK35" i="9"/>
  <c r="CL35" i="9"/>
  <c r="CM35" i="9"/>
  <c r="BU35" i="9"/>
  <c r="BV35" i="9"/>
  <c r="BW35" i="9"/>
  <c r="BX35" i="9"/>
  <c r="BN35" i="9"/>
  <c r="BO35" i="9"/>
  <c r="CC35" i="9"/>
  <c r="CG35" i="9"/>
  <c r="CH35" i="9"/>
  <c r="CI35" i="9"/>
  <c r="BP35" i="9"/>
  <c r="CA20" i="9"/>
  <c r="CQ20" i="9"/>
  <c r="CB20" i="9"/>
  <c r="CC20" i="9"/>
  <c r="BN20" i="9"/>
  <c r="CD20" i="9"/>
  <c r="CE20" i="9"/>
  <c r="CF20" i="9"/>
  <c r="CG20" i="9"/>
  <c r="CH20" i="9"/>
  <c r="CI20" i="9"/>
  <c r="CJ20" i="9"/>
  <c r="CK20" i="9"/>
  <c r="CL20" i="9"/>
  <c r="BS20" i="9"/>
  <c r="BT20" i="9"/>
  <c r="BU20" i="9"/>
  <c r="BV20" i="9"/>
  <c r="CM20" i="9"/>
  <c r="CN20" i="9"/>
  <c r="CO20" i="9"/>
  <c r="CP20" i="9"/>
  <c r="BO20" i="9"/>
  <c r="BP20" i="9"/>
  <c r="BQ20" i="9"/>
  <c r="BR20" i="9"/>
  <c r="BW20" i="9"/>
  <c r="BY20" i="9"/>
  <c r="BZ20" i="9"/>
  <c r="BX20" i="9"/>
  <c r="CA12" i="9"/>
  <c r="CQ12" i="9"/>
  <c r="CB12" i="9"/>
  <c r="CC12" i="9"/>
  <c r="BN12" i="9"/>
  <c r="CD12" i="9"/>
  <c r="BO12" i="9"/>
  <c r="CI12" i="9"/>
  <c r="BP12" i="9"/>
  <c r="CJ12" i="9"/>
  <c r="BQ12" i="9"/>
  <c r="CK12" i="9"/>
  <c r="BR12" i="9"/>
  <c r="CL12" i="9"/>
  <c r="BS12" i="9"/>
  <c r="BT12" i="9"/>
  <c r="BU12" i="9"/>
  <c r="BV12" i="9"/>
  <c r="CE12" i="9"/>
  <c r="CF12" i="9"/>
  <c r="CG12" i="9"/>
  <c r="CH12" i="9"/>
  <c r="BW12" i="9"/>
  <c r="BX12" i="9"/>
  <c r="BY12" i="9"/>
  <c r="BZ12" i="9"/>
  <c r="CM12" i="9"/>
  <c r="CN12" i="9"/>
  <c r="CO12" i="9"/>
  <c r="CP12" i="9"/>
  <c r="CA4" i="9"/>
  <c r="CQ4" i="9"/>
  <c r="CB4" i="9"/>
  <c r="CC4" i="9"/>
  <c r="BN4" i="9"/>
  <c r="CD4" i="9"/>
  <c r="BS4" i="9"/>
  <c r="CM4" i="9"/>
  <c r="BT4" i="9"/>
  <c r="CN4" i="9"/>
  <c r="BU4" i="9"/>
  <c r="CO4" i="9"/>
  <c r="BV4" i="9"/>
  <c r="CP4" i="9"/>
  <c r="CE4" i="9"/>
  <c r="CF4" i="9"/>
  <c r="CG4" i="9"/>
  <c r="CH4" i="9"/>
  <c r="BO4" i="9"/>
  <c r="BP4" i="9"/>
  <c r="BQ4" i="9"/>
  <c r="BR4" i="9"/>
  <c r="BW4" i="9"/>
  <c r="BX4" i="9"/>
  <c r="BY4" i="9"/>
  <c r="BZ4" i="9"/>
  <c r="CI4" i="9"/>
  <c r="CJ4" i="9"/>
  <c r="CK4" i="9"/>
  <c r="CL4" i="9"/>
  <c r="BY19" i="9"/>
  <c r="CO19" i="9"/>
  <c r="BZ19" i="9"/>
  <c r="CP19" i="9"/>
  <c r="CA19" i="9"/>
  <c r="CQ19" i="9"/>
  <c r="CB19" i="9"/>
  <c r="BQ19" i="9"/>
  <c r="CK19" i="9"/>
  <c r="BR19" i="9"/>
  <c r="CL19" i="9"/>
  <c r="BS19" i="9"/>
  <c r="CM19" i="9"/>
  <c r="BT19" i="9"/>
  <c r="CN19" i="9"/>
  <c r="CG19" i="9"/>
  <c r="CH19" i="9"/>
  <c r="CI19" i="9"/>
  <c r="CJ19" i="9"/>
  <c r="BN19" i="9"/>
  <c r="BO19" i="9"/>
  <c r="BP19" i="9"/>
  <c r="BU19" i="9"/>
  <c r="BV19" i="9"/>
  <c r="BW19" i="9"/>
  <c r="BX19" i="9"/>
  <c r="CD19" i="9"/>
  <c r="CE19" i="9"/>
  <c r="CF19" i="9"/>
  <c r="CC19" i="9"/>
  <c r="BY11" i="9"/>
  <c r="CO11" i="9"/>
  <c r="BZ11" i="9"/>
  <c r="CP11" i="9"/>
  <c r="CA11" i="9"/>
  <c r="CQ11" i="9"/>
  <c r="CB11" i="9"/>
  <c r="BU11" i="9"/>
  <c r="BV11" i="9"/>
  <c r="BW11" i="9"/>
  <c r="BX11" i="9"/>
  <c r="BQ11" i="9"/>
  <c r="BR11" i="9"/>
  <c r="BS11" i="9"/>
  <c r="BT11" i="9"/>
  <c r="CC11" i="9"/>
  <c r="CD11" i="9"/>
  <c r="CE11" i="9"/>
  <c r="CF11" i="9"/>
  <c r="BN11" i="9"/>
  <c r="BO11" i="9"/>
  <c r="CK11" i="9"/>
  <c r="CL11" i="9"/>
  <c r="CM11" i="9"/>
  <c r="CI11" i="9"/>
  <c r="CJ11" i="9"/>
  <c r="CN11" i="9"/>
  <c r="CG11" i="9"/>
  <c r="CH11" i="9"/>
  <c r="BP11" i="9"/>
  <c r="BY3" i="9"/>
  <c r="CO3" i="9"/>
  <c r="BZ3" i="9"/>
  <c r="CP3" i="9"/>
  <c r="CA3" i="9"/>
  <c r="CQ3" i="9"/>
  <c r="CB3" i="9"/>
  <c r="CC3" i="9"/>
  <c r="CD3" i="9"/>
  <c r="CE3" i="9"/>
  <c r="CF3" i="9"/>
  <c r="CG3" i="9"/>
  <c r="CH3" i="9"/>
  <c r="CI3" i="9"/>
  <c r="CJ3" i="9"/>
  <c r="CK3" i="9"/>
  <c r="CL3" i="9"/>
  <c r="CM3" i="9"/>
  <c r="CN3" i="9"/>
  <c r="BN3" i="9"/>
  <c r="BP3" i="9"/>
  <c r="BO3" i="9"/>
  <c r="BR3" i="9"/>
  <c r="BS3" i="9"/>
  <c r="BT3" i="9"/>
  <c r="BU3" i="9"/>
  <c r="BV3" i="9"/>
  <c r="BW3" i="9"/>
  <c r="BX3" i="9"/>
  <c r="BQ3" i="9"/>
  <c r="CB129" i="9"/>
  <c r="BT129" i="9"/>
  <c r="CK129" i="9"/>
  <c r="BU129" i="9"/>
  <c r="CL129" i="9"/>
  <c r="BV129" i="9"/>
  <c r="CM129" i="9"/>
  <c r="BS129" i="9"/>
  <c r="CP129" i="9"/>
  <c r="BW129" i="9"/>
  <c r="CQ129" i="9"/>
  <c r="BX129" i="9"/>
  <c r="BY129" i="9"/>
  <c r="BO129" i="9"/>
  <c r="BP129" i="9"/>
  <c r="BQ129" i="9"/>
  <c r="CE129" i="9"/>
  <c r="CF129" i="9"/>
  <c r="CG129" i="9"/>
  <c r="BN129" i="9"/>
  <c r="BR129" i="9"/>
  <c r="CD129" i="9"/>
  <c r="CI129" i="9"/>
  <c r="CO129" i="9"/>
  <c r="BZ129" i="9"/>
  <c r="CJ129" i="9"/>
  <c r="CA129" i="9"/>
  <c r="CH129" i="9"/>
  <c r="CN129" i="9"/>
  <c r="CC129" i="9"/>
  <c r="BT121" i="9"/>
  <c r="CJ121" i="9"/>
  <c r="CD121" i="9"/>
  <c r="BP121" i="9"/>
  <c r="CG121" i="9"/>
  <c r="BO121" i="9"/>
  <c r="CI121" i="9"/>
  <c r="BQ121" i="9"/>
  <c r="CK121" i="9"/>
  <c r="BR121" i="9"/>
  <c r="CL121" i="9"/>
  <c r="CB121" i="9"/>
  <c r="CC121" i="9"/>
  <c r="CE121" i="9"/>
  <c r="CF121" i="9"/>
  <c r="CP121" i="9"/>
  <c r="CQ121" i="9"/>
  <c r="BS121" i="9"/>
  <c r="BY121" i="9"/>
  <c r="BU121" i="9"/>
  <c r="BV121" i="9"/>
  <c r="BW121" i="9"/>
  <c r="BX121" i="9"/>
  <c r="CA121" i="9"/>
  <c r="CO121" i="9"/>
  <c r="BN121" i="9"/>
  <c r="CH121" i="9"/>
  <c r="CM121" i="9"/>
  <c r="BZ121" i="9"/>
  <c r="CN121" i="9"/>
  <c r="BT113" i="9"/>
  <c r="CJ113" i="9"/>
  <c r="BN113" i="9"/>
  <c r="CE113" i="9"/>
  <c r="BQ113" i="9"/>
  <c r="CH113" i="9"/>
  <c r="BV113" i="9"/>
  <c r="CO113" i="9"/>
  <c r="BW113" i="9"/>
  <c r="CP113" i="9"/>
  <c r="BX113" i="9"/>
  <c r="CQ113" i="9"/>
  <c r="CC113" i="9"/>
  <c r="CD113" i="9"/>
  <c r="CF113" i="9"/>
  <c r="CG113" i="9"/>
  <c r="BY113" i="9"/>
  <c r="BZ113" i="9"/>
  <c r="CA113" i="9"/>
  <c r="BO113" i="9"/>
  <c r="BP113" i="9"/>
  <c r="BS113" i="9"/>
  <c r="BR113" i="9"/>
  <c r="BU113" i="9"/>
  <c r="CL113" i="9"/>
  <c r="CI113" i="9"/>
  <c r="CM113" i="9"/>
  <c r="CB113" i="9"/>
  <c r="CN113" i="9"/>
  <c r="CK113" i="9"/>
  <c r="BR105" i="9"/>
  <c r="CH105" i="9"/>
  <c r="CB105" i="9"/>
  <c r="BX105" i="9"/>
  <c r="CP105" i="9"/>
  <c r="CA105" i="9"/>
  <c r="BS105" i="9"/>
  <c r="CM105" i="9"/>
  <c r="BT105" i="9"/>
  <c r="CN105" i="9"/>
  <c r="BU105" i="9"/>
  <c r="CO105" i="9"/>
  <c r="BV105" i="9"/>
  <c r="BW105" i="9"/>
  <c r="BY105" i="9"/>
  <c r="BZ105" i="9"/>
  <c r="CG105" i="9"/>
  <c r="CI105" i="9"/>
  <c r="CJ105" i="9"/>
  <c r="BN105" i="9"/>
  <c r="CE105" i="9"/>
  <c r="BO105" i="9"/>
  <c r="BP105" i="9"/>
  <c r="CC105" i="9"/>
  <c r="CF105" i="9"/>
  <c r="CQ105" i="9"/>
  <c r="BQ105" i="9"/>
  <c r="CK105" i="9"/>
  <c r="CD105" i="9"/>
  <c r="CL105" i="9"/>
  <c r="BR97" i="9"/>
  <c r="CH97" i="9"/>
  <c r="CB97" i="9"/>
  <c r="CC97" i="9"/>
  <c r="BN97" i="9"/>
  <c r="CG97" i="9"/>
  <c r="BQ97" i="9"/>
  <c r="CK97" i="9"/>
  <c r="BP97" i="9"/>
  <c r="CM97" i="9"/>
  <c r="BS97" i="9"/>
  <c r="CN97" i="9"/>
  <c r="BT97" i="9"/>
  <c r="CO97" i="9"/>
  <c r="BO97" i="9"/>
  <c r="BU97" i="9"/>
  <c r="BV97" i="9"/>
  <c r="BW97" i="9"/>
  <c r="BX97" i="9"/>
  <c r="BY97" i="9"/>
  <c r="BZ97" i="9"/>
  <c r="CA97" i="9"/>
  <c r="CD97" i="9"/>
  <c r="CF97" i="9"/>
  <c r="CE97" i="9"/>
  <c r="CI97" i="9"/>
  <c r="CL97" i="9"/>
  <c r="CP97" i="9"/>
  <c r="CQ97" i="9"/>
  <c r="CJ97" i="9"/>
  <c r="BR89" i="9"/>
  <c r="CH89" i="9"/>
  <c r="CC89" i="9"/>
  <c r="CD89" i="9"/>
  <c r="BT89" i="9"/>
  <c r="CM89" i="9"/>
  <c r="BU89" i="9"/>
  <c r="CN89" i="9"/>
  <c r="BV89" i="9"/>
  <c r="CO89" i="9"/>
  <c r="BW89" i="9"/>
  <c r="CP89" i="9"/>
  <c r="BO89" i="9"/>
  <c r="CQ89" i="9"/>
  <c r="BP89" i="9"/>
  <c r="BQ89" i="9"/>
  <c r="BX89" i="9"/>
  <c r="BY89" i="9"/>
  <c r="BZ89" i="9"/>
  <c r="CA89" i="9"/>
  <c r="CB89" i="9"/>
  <c r="CE89" i="9"/>
  <c r="CF89" i="9"/>
  <c r="BN89" i="9"/>
  <c r="BS89" i="9"/>
  <c r="CG89" i="9"/>
  <c r="CK89" i="9"/>
  <c r="CI89" i="9"/>
  <c r="CJ89" i="9"/>
  <c r="CL89" i="9"/>
  <c r="BR81" i="9"/>
  <c r="CH81" i="9"/>
  <c r="CD81" i="9"/>
  <c r="BN81" i="9"/>
  <c r="CE81" i="9"/>
  <c r="BY81" i="9"/>
  <c r="BZ81" i="9"/>
  <c r="CA81" i="9"/>
  <c r="CB81" i="9"/>
  <c r="BU81" i="9"/>
  <c r="BV81" i="9"/>
  <c r="BW81" i="9"/>
  <c r="CK81" i="9"/>
  <c r="CL81" i="9"/>
  <c r="CM81" i="9"/>
  <c r="CN81" i="9"/>
  <c r="BO81" i="9"/>
  <c r="BP81" i="9"/>
  <c r="CP81" i="9"/>
  <c r="CQ81" i="9"/>
  <c r="BS81" i="9"/>
  <c r="BQ81" i="9"/>
  <c r="BT81" i="9"/>
  <c r="CG81" i="9"/>
  <c r="CO81" i="9"/>
  <c r="CC81" i="9"/>
  <c r="CI81" i="9"/>
  <c r="CJ81" i="9"/>
  <c r="CF81" i="9"/>
  <c r="BX81" i="9"/>
  <c r="BO73" i="9"/>
  <c r="CE73" i="9"/>
  <c r="BR73" i="9"/>
  <c r="CH73" i="9"/>
  <c r="BQ73" i="9"/>
  <c r="CJ73" i="9"/>
  <c r="BS73" i="9"/>
  <c r="CK73" i="9"/>
  <c r="BP73" i="9"/>
  <c r="CM73" i="9"/>
  <c r="BT73" i="9"/>
  <c r="CN73" i="9"/>
  <c r="BU73" i="9"/>
  <c r="CO73" i="9"/>
  <c r="BV73" i="9"/>
  <c r="CP73" i="9"/>
  <c r="CQ73" i="9"/>
  <c r="CI73" i="9"/>
  <c r="CL73" i="9"/>
  <c r="BY73" i="9"/>
  <c r="BZ73" i="9"/>
  <c r="CA73" i="9"/>
  <c r="BW73" i="9"/>
  <c r="BN73" i="9"/>
  <c r="BX73" i="9"/>
  <c r="CB73" i="9"/>
  <c r="CC73" i="9"/>
  <c r="CF73" i="9"/>
  <c r="CG73" i="9"/>
  <c r="CD73" i="9"/>
  <c r="BO65" i="9"/>
  <c r="CE65" i="9"/>
  <c r="BP65" i="9"/>
  <c r="CF65" i="9"/>
  <c r="BR65" i="9"/>
  <c r="CH65" i="9"/>
  <c r="CG65" i="9"/>
  <c r="CI65" i="9"/>
  <c r="BN65" i="9"/>
  <c r="CJ65" i="9"/>
  <c r="BQ65" i="9"/>
  <c r="CK65" i="9"/>
  <c r="BS65" i="9"/>
  <c r="CP65" i="9"/>
  <c r="BT65" i="9"/>
  <c r="CQ65" i="9"/>
  <c r="BU65" i="9"/>
  <c r="BV65" i="9"/>
  <c r="CA65" i="9"/>
  <c r="CB65" i="9"/>
  <c r="CC65" i="9"/>
  <c r="BX65" i="9"/>
  <c r="BY65" i="9"/>
  <c r="BW65" i="9"/>
  <c r="CD65" i="9"/>
  <c r="CL65" i="9"/>
  <c r="CM65" i="9"/>
  <c r="CN65" i="9"/>
  <c r="CO65" i="9"/>
  <c r="BZ65" i="9"/>
  <c r="BT57" i="9"/>
  <c r="CJ57" i="9"/>
  <c r="CB57" i="9"/>
  <c r="CC57" i="9"/>
  <c r="BN57" i="9"/>
  <c r="CE57" i="9"/>
  <c r="CH57" i="9"/>
  <c r="BO57" i="9"/>
  <c r="CI57" i="9"/>
  <c r="BP57" i="9"/>
  <c r="CK57" i="9"/>
  <c r="BQ57" i="9"/>
  <c r="CL57" i="9"/>
  <c r="BR57" i="9"/>
  <c r="CQ57" i="9"/>
  <c r="BS57" i="9"/>
  <c r="BU57" i="9"/>
  <c r="BV57" i="9"/>
  <c r="BW57" i="9"/>
  <c r="BX57" i="9"/>
  <c r="BY57" i="9"/>
  <c r="CA57" i="9"/>
  <c r="CD57" i="9"/>
  <c r="CF57" i="9"/>
  <c r="CG57" i="9"/>
  <c r="CP57" i="9"/>
  <c r="CM57" i="9"/>
  <c r="CN57" i="9"/>
  <c r="BZ57" i="9"/>
  <c r="CO57" i="9"/>
  <c r="BR49" i="9"/>
  <c r="CH49" i="9"/>
  <c r="BS49" i="9"/>
  <c r="CI49" i="9"/>
  <c r="BT49" i="9"/>
  <c r="CJ49" i="9"/>
  <c r="CA49" i="9"/>
  <c r="CB49" i="9"/>
  <c r="CC49" i="9"/>
  <c r="CD49" i="9"/>
  <c r="CE49" i="9"/>
  <c r="CF49" i="9"/>
  <c r="CG49" i="9"/>
  <c r="CK49" i="9"/>
  <c r="BW49" i="9"/>
  <c r="BX49" i="9"/>
  <c r="BY49" i="9"/>
  <c r="BZ49" i="9"/>
  <c r="CP49" i="9"/>
  <c r="CQ49" i="9"/>
  <c r="BU49" i="9"/>
  <c r="BV49" i="9"/>
  <c r="CL49" i="9"/>
  <c r="BP49" i="9"/>
  <c r="BN49" i="9"/>
  <c r="BO49" i="9"/>
  <c r="CO49" i="9"/>
  <c r="BQ49" i="9"/>
  <c r="CM49" i="9"/>
  <c r="CN49" i="9"/>
  <c r="BU41" i="9"/>
  <c r="CK41" i="9"/>
  <c r="BV41" i="9"/>
  <c r="CL41" i="9"/>
  <c r="BX41" i="9"/>
  <c r="CN41" i="9"/>
  <c r="CB41" i="9"/>
  <c r="CC41" i="9"/>
  <c r="CD41" i="9"/>
  <c r="CG41" i="9"/>
  <c r="CH41" i="9"/>
  <c r="CI41" i="9"/>
  <c r="BN41" i="9"/>
  <c r="CJ41" i="9"/>
  <c r="BS41" i="9"/>
  <c r="BT41" i="9"/>
  <c r="BW41" i="9"/>
  <c r="BY41" i="9"/>
  <c r="BO41" i="9"/>
  <c r="BP41" i="9"/>
  <c r="BQ41" i="9"/>
  <c r="BR41" i="9"/>
  <c r="CE41" i="9"/>
  <c r="CF41" i="9"/>
  <c r="CM41" i="9"/>
  <c r="CO41" i="9"/>
  <c r="BZ41" i="9"/>
  <c r="CA41" i="9"/>
  <c r="CP41" i="9"/>
  <c r="CQ41" i="9"/>
  <c r="BU33" i="9"/>
  <c r="CK33" i="9"/>
  <c r="BV33" i="9"/>
  <c r="CL33" i="9"/>
  <c r="BW33" i="9"/>
  <c r="CM33" i="9"/>
  <c r="BX33" i="9"/>
  <c r="CN33" i="9"/>
  <c r="BZ33" i="9"/>
  <c r="CA33" i="9"/>
  <c r="CB33" i="9"/>
  <c r="BT33" i="9"/>
  <c r="BY33" i="9"/>
  <c r="CC33" i="9"/>
  <c r="CD33" i="9"/>
  <c r="CE33" i="9"/>
  <c r="CF33" i="9"/>
  <c r="CG33" i="9"/>
  <c r="CH33" i="9"/>
  <c r="CI33" i="9"/>
  <c r="CJ33" i="9"/>
  <c r="CO33" i="9"/>
  <c r="CP33" i="9"/>
  <c r="BN33" i="9"/>
  <c r="BR33" i="9"/>
  <c r="BS33" i="9"/>
  <c r="CQ33" i="9"/>
  <c r="BP33" i="9"/>
  <c r="BO33" i="9"/>
  <c r="BQ33" i="9"/>
  <c r="BW26" i="9"/>
  <c r="CM26" i="9"/>
  <c r="BX26" i="9"/>
  <c r="CN26" i="9"/>
  <c r="BY26" i="9"/>
  <c r="CO26" i="9"/>
  <c r="BZ26" i="9"/>
  <c r="CP26" i="9"/>
  <c r="BS26" i="9"/>
  <c r="BT26" i="9"/>
  <c r="BU26" i="9"/>
  <c r="BV26" i="9"/>
  <c r="CA26" i="9"/>
  <c r="CB26" i="9"/>
  <c r="CC26" i="9"/>
  <c r="CD26" i="9"/>
  <c r="CE26" i="9"/>
  <c r="CF26" i="9"/>
  <c r="CG26" i="9"/>
  <c r="CH26" i="9"/>
  <c r="BN26" i="9"/>
  <c r="CI26" i="9"/>
  <c r="CJ26" i="9"/>
  <c r="CK26" i="9"/>
  <c r="BQ26" i="9"/>
  <c r="BR26" i="9"/>
  <c r="CL26" i="9"/>
  <c r="CQ26" i="9"/>
  <c r="BP26" i="9"/>
  <c r="BO26" i="9"/>
  <c r="BW18" i="9"/>
  <c r="CM18" i="9"/>
  <c r="BX18" i="9"/>
  <c r="CN18" i="9"/>
  <c r="BY18" i="9"/>
  <c r="CO18" i="9"/>
  <c r="BZ18" i="9"/>
  <c r="CP18" i="9"/>
  <c r="CA18" i="9"/>
  <c r="CB18" i="9"/>
  <c r="CC18" i="9"/>
  <c r="CD18" i="9"/>
  <c r="CI18" i="9"/>
  <c r="CJ18" i="9"/>
  <c r="CK18" i="9"/>
  <c r="BN18" i="9"/>
  <c r="CL18" i="9"/>
  <c r="CQ18" i="9"/>
  <c r="BO18" i="9"/>
  <c r="BP18" i="9"/>
  <c r="BQ18" i="9"/>
  <c r="BT18" i="9"/>
  <c r="BU18" i="9"/>
  <c r="BV18" i="9"/>
  <c r="CE18" i="9"/>
  <c r="CF18" i="9"/>
  <c r="CG18" i="9"/>
  <c r="CH18" i="9"/>
  <c r="BR18" i="9"/>
  <c r="BS18" i="9"/>
  <c r="BW10" i="9"/>
  <c r="CM10" i="9"/>
  <c r="BX10" i="9"/>
  <c r="CN10" i="9"/>
  <c r="BY10" i="9"/>
  <c r="CO10" i="9"/>
  <c r="BZ10" i="9"/>
  <c r="CP10" i="9"/>
  <c r="CE10" i="9"/>
  <c r="CF10" i="9"/>
  <c r="CG10" i="9"/>
  <c r="BN10" i="9"/>
  <c r="CH10" i="9"/>
  <c r="BS10" i="9"/>
  <c r="BT10" i="9"/>
  <c r="BU10" i="9"/>
  <c r="BV10" i="9"/>
  <c r="BO10" i="9"/>
  <c r="BP10" i="9"/>
  <c r="BQ10" i="9"/>
  <c r="BR10" i="9"/>
  <c r="CI10" i="9"/>
  <c r="CJ10" i="9"/>
  <c r="CK10" i="9"/>
  <c r="CL10" i="9"/>
  <c r="CQ10" i="9"/>
  <c r="CA10" i="9"/>
  <c r="CB10" i="9"/>
  <c r="CC10" i="9"/>
  <c r="CD10" i="9"/>
  <c r="CA2" i="9"/>
  <c r="CQ2" i="9"/>
  <c r="BP2" i="9"/>
  <c r="CG2" i="9"/>
  <c r="BQ2" i="9"/>
  <c r="CH2" i="9"/>
  <c r="BR2" i="9"/>
  <c r="CI2" i="9"/>
  <c r="BV2" i="9"/>
  <c r="CP2" i="9"/>
  <c r="BW2" i="9"/>
  <c r="BN2" i="9"/>
  <c r="BX2" i="9"/>
  <c r="BY2" i="9"/>
  <c r="CE2" i="9"/>
  <c r="CF2" i="9"/>
  <c r="CJ2" i="9"/>
  <c r="CB2" i="9"/>
  <c r="CC2" i="9"/>
  <c r="CD2" i="9"/>
  <c r="BS2" i="9"/>
  <c r="BO2" i="9"/>
  <c r="BT2" i="9"/>
  <c r="CL2" i="9"/>
  <c r="CO2" i="9"/>
  <c r="BZ2" i="9"/>
  <c r="CK2" i="9"/>
  <c r="CM2" i="9"/>
  <c r="CN2" i="9"/>
  <c r="BU2" i="9"/>
  <c r="B1975" i="10"/>
  <c r="B1977" i="10"/>
  <c r="B1955" i="10"/>
  <c r="B1939" i="10"/>
  <c r="A1968" i="10"/>
  <c r="B1968" i="10" s="1"/>
  <c r="B1935" i="10"/>
  <c r="B1983" i="10"/>
  <c r="B1949" i="10"/>
  <c r="A1988" i="10"/>
  <c r="B1988" i="10" s="1"/>
  <c r="B1987" i="10"/>
  <c r="B1951" i="10"/>
  <c r="A1952" i="10"/>
  <c r="B1952" i="10" s="1"/>
  <c r="B1981" i="10"/>
  <c r="A1982" i="10"/>
  <c r="B1982" i="10" s="1"/>
  <c r="A1966" i="10"/>
  <c r="B1966" i="10" s="1"/>
  <c r="B1965" i="10"/>
  <c r="A1992" i="10"/>
  <c r="B1992" i="10" s="1"/>
  <c r="A1974" i="10"/>
  <c r="B1974" i="10" s="1"/>
  <c r="A1954" i="10"/>
  <c r="B1954" i="10" s="1"/>
  <c r="B1963" i="10"/>
  <c r="B1943" i="10"/>
  <c r="A3" i="10"/>
  <c r="AD4" i="6"/>
  <c r="AC4" i="6" s="1"/>
  <c r="AD5" i="6"/>
  <c r="AC5" i="6" s="1"/>
  <c r="AD6" i="6"/>
  <c r="AC6" i="6" s="1"/>
  <c r="AD7" i="6"/>
  <c r="AC7" i="6" s="1"/>
  <c r="AD8" i="6"/>
  <c r="AC8" i="6" s="1"/>
  <c r="AD9" i="6"/>
  <c r="AC9" i="6" s="1"/>
  <c r="AD10" i="6"/>
  <c r="AC10" i="6" s="1"/>
  <c r="AD11" i="6"/>
  <c r="AC11" i="6" s="1"/>
  <c r="AD12" i="6"/>
  <c r="AC12" i="6" s="1"/>
  <c r="AD13" i="6"/>
  <c r="AC13" i="6" s="1"/>
  <c r="AD14" i="6"/>
  <c r="AC14" i="6" s="1"/>
  <c r="AD15" i="6"/>
  <c r="AC15" i="6" s="1"/>
  <c r="AD16" i="6"/>
  <c r="AC16" i="6" s="1"/>
  <c r="AD17" i="6"/>
  <c r="AC17" i="6" s="1"/>
  <c r="AD18" i="6"/>
  <c r="AC18" i="6" s="1"/>
  <c r="AD19" i="6"/>
  <c r="AC19" i="6" s="1"/>
  <c r="AD20" i="6"/>
  <c r="AC20" i="6" s="1"/>
  <c r="AD21" i="6"/>
  <c r="AC21" i="6" s="1"/>
  <c r="AD22" i="6"/>
  <c r="AC22" i="6" s="1"/>
  <c r="AD23" i="6"/>
  <c r="AC23" i="6" s="1"/>
  <c r="AD24" i="6"/>
  <c r="AC24" i="6" s="1"/>
  <c r="AD25" i="6"/>
  <c r="AC25" i="6" s="1"/>
  <c r="AD26" i="6"/>
  <c r="AC26" i="6" s="1"/>
  <c r="AD27" i="6"/>
  <c r="AC27" i="6" s="1"/>
  <c r="AD28" i="6"/>
  <c r="AC28" i="6" s="1"/>
  <c r="AD29" i="6"/>
  <c r="AC29" i="6" s="1"/>
  <c r="AD30" i="6"/>
  <c r="AC30" i="6" s="1"/>
  <c r="AD31" i="6"/>
  <c r="AC31" i="6" s="1"/>
  <c r="AD32" i="6"/>
  <c r="AC32" i="6" s="1"/>
  <c r="AD33" i="6"/>
  <c r="AC33" i="6" s="1"/>
  <c r="AD34" i="6"/>
  <c r="AC34" i="6" s="1"/>
  <c r="AD35" i="6"/>
  <c r="AC35" i="6" s="1"/>
  <c r="AD36" i="6"/>
  <c r="AC36" i="6" s="1"/>
  <c r="AD37" i="6"/>
  <c r="AC37" i="6" s="1"/>
  <c r="AD38" i="6"/>
  <c r="AC38" i="6" s="1"/>
  <c r="AD39" i="6"/>
  <c r="AC39" i="6" s="1"/>
  <c r="AD40" i="6"/>
  <c r="AC40" i="6" s="1"/>
  <c r="AD41" i="6"/>
  <c r="AC41" i="6" s="1"/>
  <c r="AD42" i="6"/>
  <c r="AC42" i="6" s="1"/>
  <c r="AD43" i="6"/>
  <c r="AC43" i="6" s="1"/>
  <c r="AD44" i="6"/>
  <c r="AC44" i="6" s="1"/>
  <c r="AD45" i="6"/>
  <c r="AC45" i="6" s="1"/>
  <c r="AD46" i="6"/>
  <c r="AC46" i="6" s="1"/>
  <c r="AD47" i="6"/>
  <c r="AC47" i="6" s="1"/>
  <c r="AD48" i="6"/>
  <c r="AC48" i="6" s="1"/>
  <c r="AD49" i="6"/>
  <c r="AC49" i="6" s="1"/>
  <c r="AD50" i="6"/>
  <c r="AC50" i="6" s="1"/>
  <c r="AD51" i="6"/>
  <c r="AC51" i="6" s="1"/>
  <c r="AD52" i="6"/>
  <c r="AC52" i="6" s="1"/>
  <c r="AD53" i="6"/>
  <c r="AC53" i="6" s="1"/>
  <c r="AD54" i="6"/>
  <c r="AC54" i="6" s="1"/>
  <c r="AD55" i="6"/>
  <c r="AC55" i="6" s="1"/>
  <c r="AD56" i="6"/>
  <c r="AC56" i="6" s="1"/>
  <c r="AD57" i="6"/>
  <c r="AC57" i="6" s="1"/>
  <c r="AD58" i="6"/>
  <c r="AC58" i="6" s="1"/>
  <c r="AD59" i="6"/>
  <c r="AC59" i="6" s="1"/>
  <c r="AD60" i="6"/>
  <c r="AC60" i="6" s="1"/>
  <c r="AD61" i="6"/>
  <c r="AC61" i="6" s="1"/>
  <c r="AD62" i="6"/>
  <c r="AC62" i="6" s="1"/>
  <c r="AD63" i="6"/>
  <c r="AC63" i="6" s="1"/>
  <c r="AD64" i="6"/>
  <c r="AC64" i="6" s="1"/>
  <c r="AD65" i="6"/>
  <c r="AC65" i="6" s="1"/>
  <c r="AD66" i="6"/>
  <c r="AC66" i="6" s="1"/>
  <c r="AD67" i="6"/>
  <c r="AC67" i="6" s="1"/>
  <c r="AD68" i="6"/>
  <c r="AC68" i="6" s="1"/>
  <c r="AD69" i="6"/>
  <c r="AC69" i="6" s="1"/>
  <c r="AD70" i="6"/>
  <c r="AC70" i="6" s="1"/>
  <c r="AD71" i="6"/>
  <c r="AC71" i="6" s="1"/>
  <c r="AD72" i="6"/>
  <c r="AC72" i="6" s="1"/>
  <c r="AD73" i="6"/>
  <c r="AC73" i="6" s="1"/>
  <c r="AD74" i="6"/>
  <c r="AC74" i="6" s="1"/>
  <c r="AD75" i="6"/>
  <c r="AC75" i="6" s="1"/>
  <c r="AD76" i="6"/>
  <c r="AC76" i="6" s="1"/>
  <c r="AD77" i="6"/>
  <c r="AC77" i="6" s="1"/>
  <c r="AD78" i="6"/>
  <c r="AC78" i="6" s="1"/>
  <c r="AD79" i="6"/>
  <c r="AC79" i="6" s="1"/>
  <c r="AD80" i="6"/>
  <c r="AC80" i="6" s="1"/>
  <c r="AD81" i="6"/>
  <c r="AC81" i="6" s="1"/>
  <c r="AD82" i="6"/>
  <c r="AC82" i="6" s="1"/>
  <c r="AD83" i="6"/>
  <c r="AC83" i="6" s="1"/>
  <c r="AD84" i="6"/>
  <c r="AC84" i="6" s="1"/>
  <c r="AD85" i="6"/>
  <c r="AC85" i="6" s="1"/>
  <c r="AD86" i="6"/>
  <c r="AC86" i="6" s="1"/>
  <c r="AD87" i="6"/>
  <c r="AC87" i="6" s="1"/>
  <c r="AD88" i="6"/>
  <c r="AC88" i="6" s="1"/>
  <c r="AD89" i="6"/>
  <c r="AC89" i="6" s="1"/>
  <c r="AD90" i="6"/>
  <c r="AC90" i="6" s="1"/>
  <c r="AD91" i="6"/>
  <c r="AC91" i="6" s="1"/>
  <c r="AD92" i="6"/>
  <c r="AC92" i="6" s="1"/>
  <c r="AD93" i="6"/>
  <c r="AC93" i="6" s="1"/>
  <c r="AD94" i="6"/>
  <c r="AC94" i="6" s="1"/>
  <c r="AD95" i="6"/>
  <c r="AC95" i="6" s="1"/>
  <c r="AD96" i="6"/>
  <c r="AC96" i="6" s="1"/>
  <c r="AD97" i="6"/>
  <c r="AC97" i="6" s="1"/>
  <c r="AD98" i="6"/>
  <c r="AC98" i="6" s="1"/>
  <c r="AD99" i="6"/>
  <c r="AC99" i="6" s="1"/>
  <c r="AD100" i="6"/>
  <c r="AC100" i="6" s="1"/>
  <c r="AD101" i="6"/>
  <c r="AC101" i="6" s="1"/>
  <c r="AD102" i="6"/>
  <c r="AC102" i="6" s="1"/>
  <c r="AD103" i="6"/>
  <c r="AC103" i="6" s="1"/>
  <c r="AD104" i="6"/>
  <c r="AC104" i="6" s="1"/>
  <c r="AD105" i="6"/>
  <c r="AC105" i="6" s="1"/>
  <c r="AD106" i="6"/>
  <c r="AC106" i="6" s="1"/>
  <c r="AD107" i="6"/>
  <c r="AC107" i="6" s="1"/>
  <c r="AD108" i="6"/>
  <c r="AC108" i="6" s="1"/>
  <c r="AD109" i="6"/>
  <c r="AC109" i="6" s="1"/>
  <c r="AD110" i="6"/>
  <c r="AC110" i="6" s="1"/>
  <c r="AD111" i="6"/>
  <c r="AC111" i="6" s="1"/>
  <c r="AD112" i="6"/>
  <c r="AC112" i="6" s="1"/>
  <c r="AD113" i="6"/>
  <c r="AC113" i="6" s="1"/>
  <c r="AD114" i="6"/>
  <c r="AC114" i="6" s="1"/>
  <c r="AD115" i="6"/>
  <c r="AC115" i="6" s="1"/>
  <c r="AD116" i="6"/>
  <c r="AC116" i="6" s="1"/>
  <c r="AD117" i="6"/>
  <c r="AC117" i="6" s="1"/>
  <c r="AD118" i="6"/>
  <c r="AC118" i="6" s="1"/>
  <c r="AD119" i="6"/>
  <c r="AC119" i="6" s="1"/>
  <c r="AD120" i="6"/>
  <c r="AC120" i="6" s="1"/>
  <c r="AD121" i="6"/>
  <c r="AC121" i="6" s="1"/>
  <c r="AD122" i="6"/>
  <c r="AC122" i="6" s="1"/>
  <c r="AD123" i="6"/>
  <c r="AC123" i="6" s="1"/>
  <c r="AD124" i="6"/>
  <c r="AC124" i="6" s="1"/>
  <c r="AD125" i="6"/>
  <c r="AC125" i="6" s="1"/>
  <c r="AD126" i="6"/>
  <c r="AC126" i="6" s="1"/>
  <c r="AD127" i="6"/>
  <c r="AC127" i="6" s="1"/>
  <c r="AD128" i="6"/>
  <c r="AC128" i="6" s="1"/>
  <c r="AD129" i="6"/>
  <c r="AC129" i="6" s="1"/>
  <c r="AD130" i="6"/>
  <c r="AC130" i="6" s="1"/>
  <c r="AD131" i="6"/>
  <c r="AC131" i="6" s="1"/>
  <c r="AD132" i="6"/>
  <c r="AC132" i="6" s="1"/>
  <c r="AD133" i="6"/>
  <c r="AC133" i="6" s="1"/>
  <c r="AD134" i="6"/>
  <c r="AC134" i="6" s="1"/>
  <c r="AD135" i="6"/>
  <c r="AC135" i="6" s="1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Y23" i="6" s="1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Y67" i="6" s="1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G4" i="6"/>
  <c r="E5" i="6" s="1"/>
  <c r="G5" i="6"/>
  <c r="E4" i="6" s="1"/>
  <c r="G6" i="6"/>
  <c r="E7" i="6" s="1"/>
  <c r="G7" i="6"/>
  <c r="E6" i="6" s="1"/>
  <c r="G8" i="6"/>
  <c r="E9" i="6" s="1"/>
  <c r="G9" i="6"/>
  <c r="E8" i="6" s="1"/>
  <c r="G10" i="6"/>
  <c r="G11" i="6"/>
  <c r="G12" i="6"/>
  <c r="G13" i="6"/>
  <c r="G14" i="6"/>
  <c r="G15" i="6"/>
  <c r="G16" i="6"/>
  <c r="G17" i="6"/>
  <c r="G18" i="6"/>
  <c r="E19" i="6" s="1"/>
  <c r="G19" i="6"/>
  <c r="G20" i="6"/>
  <c r="O20" i="6" s="1"/>
  <c r="G21" i="6"/>
  <c r="G22" i="6"/>
  <c r="E23" i="6" s="1"/>
  <c r="G23" i="6"/>
  <c r="E22" i="6" s="1"/>
  <c r="G24" i="6"/>
  <c r="E25" i="6" s="1"/>
  <c r="G25" i="6"/>
  <c r="O25" i="6" s="1"/>
  <c r="G26" i="6"/>
  <c r="G27" i="6"/>
  <c r="O27" i="6" s="1"/>
  <c r="G28" i="6"/>
  <c r="G29" i="6"/>
  <c r="G30" i="6"/>
  <c r="G31" i="6"/>
  <c r="O31" i="6" s="1"/>
  <c r="G32" i="6"/>
  <c r="G33" i="6"/>
  <c r="E32" i="6" s="1"/>
  <c r="G34" i="6"/>
  <c r="G35" i="6"/>
  <c r="E34" i="6" s="1"/>
  <c r="G36" i="6"/>
  <c r="O36" i="6" s="1"/>
  <c r="G37" i="6"/>
  <c r="O37" i="6" s="1"/>
  <c r="G38" i="6"/>
  <c r="E39" i="6" s="1"/>
  <c r="G39" i="6"/>
  <c r="E38" i="6" s="1"/>
  <c r="G40" i="6"/>
  <c r="G41" i="6"/>
  <c r="E40" i="6" s="1"/>
  <c r="G42" i="6"/>
  <c r="E43" i="6" s="1"/>
  <c r="G43" i="6"/>
  <c r="E42" i="6" s="1"/>
  <c r="G44" i="6"/>
  <c r="E45" i="6" s="1"/>
  <c r="G45" i="6"/>
  <c r="G46" i="6"/>
  <c r="E47" i="6" s="1"/>
  <c r="G47" i="6"/>
  <c r="G48" i="6"/>
  <c r="E49" i="6" s="1"/>
  <c r="G49" i="6"/>
  <c r="G50" i="6"/>
  <c r="E51" i="6" s="1"/>
  <c r="G51" i="6"/>
  <c r="O51" i="6" s="1"/>
  <c r="G52" i="6"/>
  <c r="G53" i="6"/>
  <c r="E52" i="6" s="1"/>
  <c r="G54" i="6"/>
  <c r="E55" i="6" s="1"/>
  <c r="G55" i="6"/>
  <c r="E54" i="6" s="1"/>
  <c r="G56" i="6"/>
  <c r="G57" i="6"/>
  <c r="E56" i="6" s="1"/>
  <c r="G58" i="6"/>
  <c r="E59" i="6" s="1"/>
  <c r="G59" i="6"/>
  <c r="O59" i="6" s="1"/>
  <c r="G60" i="6"/>
  <c r="G61" i="6"/>
  <c r="G62" i="6"/>
  <c r="O62" i="6" s="1"/>
  <c r="G63" i="6"/>
  <c r="G64" i="6"/>
  <c r="G65" i="6"/>
  <c r="G66" i="6"/>
  <c r="G67" i="6"/>
  <c r="G68" i="6"/>
  <c r="E69" i="6" s="1"/>
  <c r="G69" i="6"/>
  <c r="O69" i="6" s="1"/>
  <c r="G70" i="6"/>
  <c r="E71" i="6" s="1"/>
  <c r="G71" i="6"/>
  <c r="E70" i="6" s="1"/>
  <c r="G72" i="6"/>
  <c r="G73" i="6"/>
  <c r="E72" i="6" s="1"/>
  <c r="G74" i="6"/>
  <c r="G75" i="6"/>
  <c r="E74" i="6" s="1"/>
  <c r="G76" i="6"/>
  <c r="G77" i="6"/>
  <c r="O77" i="6" s="1"/>
  <c r="G78" i="6"/>
  <c r="G79" i="6"/>
  <c r="G80" i="6"/>
  <c r="E81" i="6" s="1"/>
  <c r="G81" i="6"/>
  <c r="G82" i="6"/>
  <c r="E83" i="6" s="1"/>
  <c r="G83" i="6"/>
  <c r="G84" i="6"/>
  <c r="G85" i="6"/>
  <c r="O85" i="6" s="1"/>
  <c r="G86" i="6"/>
  <c r="E87" i="6" s="1"/>
  <c r="G87" i="6"/>
  <c r="E86" i="6" s="1"/>
  <c r="G88" i="6"/>
  <c r="E89" i="6" s="1"/>
  <c r="G89" i="6"/>
  <c r="E88" i="6" s="1"/>
  <c r="G90" i="6"/>
  <c r="G91" i="6"/>
  <c r="G92" i="6"/>
  <c r="G93" i="6"/>
  <c r="G94" i="6"/>
  <c r="O94" i="6" s="1"/>
  <c r="G95" i="6"/>
  <c r="G96" i="6"/>
  <c r="O96" i="6" s="1"/>
  <c r="G97" i="6"/>
  <c r="O97" i="6" s="1"/>
  <c r="G98" i="6"/>
  <c r="E99" i="6" s="1"/>
  <c r="G99" i="6"/>
  <c r="G100" i="6"/>
  <c r="E101" i="6" s="1"/>
  <c r="G101" i="6"/>
  <c r="O101" i="6" s="1"/>
  <c r="G102" i="6"/>
  <c r="E103" i="6" s="1"/>
  <c r="G103" i="6"/>
  <c r="E102" i="6" s="1"/>
  <c r="G104" i="6"/>
  <c r="E105" i="6" s="1"/>
  <c r="G105" i="6"/>
  <c r="E104" i="6" s="1"/>
  <c r="G106" i="6"/>
  <c r="G107" i="6"/>
  <c r="G108" i="6"/>
  <c r="E109" i="6" s="1"/>
  <c r="G109" i="6"/>
  <c r="G110" i="6"/>
  <c r="E111" i="6" s="1"/>
  <c r="G111" i="6"/>
  <c r="E110" i="6" s="1"/>
  <c r="G112" i="6"/>
  <c r="E113" i="6" s="1"/>
  <c r="G113" i="6"/>
  <c r="G114" i="6"/>
  <c r="E115" i="6" s="1"/>
  <c r="G115" i="6"/>
  <c r="G116" i="6"/>
  <c r="O116" i="6" s="1"/>
  <c r="G117" i="6"/>
  <c r="O117" i="6" s="1"/>
  <c r="G118" i="6"/>
  <c r="E119" i="6" s="1"/>
  <c r="G119" i="6"/>
  <c r="E118" i="6" s="1"/>
  <c r="G120" i="6"/>
  <c r="O120" i="6" s="1"/>
  <c r="G121" i="6"/>
  <c r="E120" i="6" s="1"/>
  <c r="G122" i="6"/>
  <c r="G123" i="6"/>
  <c r="E122" i="6" s="1"/>
  <c r="G124" i="6"/>
  <c r="G125" i="6"/>
  <c r="G126" i="6"/>
  <c r="O126" i="6" s="1"/>
  <c r="G127" i="6"/>
  <c r="O127" i="6" s="1"/>
  <c r="G128" i="6"/>
  <c r="E129" i="6" s="1"/>
  <c r="G129" i="6"/>
  <c r="G130" i="6"/>
  <c r="E131" i="6" s="1"/>
  <c r="G131" i="6"/>
  <c r="G132" i="6"/>
  <c r="O132" i="6" s="1"/>
  <c r="G133" i="6"/>
  <c r="G134" i="6"/>
  <c r="E135" i="6" s="1"/>
  <c r="G135" i="6"/>
  <c r="E134" i="6" s="1"/>
  <c r="I3" i="6"/>
  <c r="I2" i="6"/>
  <c r="G3" i="6"/>
  <c r="G2" i="6"/>
  <c r="E3" i="6" s="1"/>
  <c r="AD3" i="6"/>
  <c r="AC3" i="6" s="1"/>
  <c r="AD2" i="6"/>
  <c r="AC2" i="6" s="1"/>
  <c r="Z2" i="6"/>
  <c r="Z3" i="6"/>
  <c r="Y3" i="6" s="1"/>
  <c r="V3" i="6"/>
  <c r="V2" i="6"/>
  <c r="S3" i="6"/>
  <c r="S2" i="6"/>
  <c r="M3" i="6"/>
  <c r="M2" i="6"/>
  <c r="A1840" i="7"/>
  <c r="A1841" i="7" s="1"/>
  <c r="A1772" i="7"/>
  <c r="B1772" i="7" s="1"/>
  <c r="A1704" i="7"/>
  <c r="B1704" i="7" s="1"/>
  <c r="A1636" i="7"/>
  <c r="B1636" i="7" s="1"/>
  <c r="A1568" i="7"/>
  <c r="A1569" i="7" s="1"/>
  <c r="A1500" i="7"/>
  <c r="A1432" i="7"/>
  <c r="A1433" i="7" s="1"/>
  <c r="A1364" i="7"/>
  <c r="B1364" i="7" s="1"/>
  <c r="A1296" i="7"/>
  <c r="B1296" i="7" s="1"/>
  <c r="A1228" i="7"/>
  <c r="B1228" i="7" s="1"/>
  <c r="A1160" i="7"/>
  <c r="B1160" i="7" s="1"/>
  <c r="A1092" i="7"/>
  <c r="B1092" i="7" s="1"/>
  <c r="A1024" i="7"/>
  <c r="A1025" i="7" s="1"/>
  <c r="A956" i="7"/>
  <c r="A957" i="7" s="1"/>
  <c r="A888" i="7"/>
  <c r="B888" i="7" s="1"/>
  <c r="A820" i="7"/>
  <c r="A821" i="7" s="1"/>
  <c r="B821" i="7" s="1"/>
  <c r="A752" i="7"/>
  <c r="B752" i="7" s="1"/>
  <c r="A684" i="7"/>
  <c r="A616" i="7"/>
  <c r="A548" i="7"/>
  <c r="A549" i="7" s="1"/>
  <c r="A550" i="7" s="1"/>
  <c r="A480" i="7"/>
  <c r="B480" i="7" s="1"/>
  <c r="A412" i="7"/>
  <c r="A413" i="7" s="1"/>
  <c r="A344" i="7"/>
  <c r="B344" i="7" s="1"/>
  <c r="A276" i="7"/>
  <c r="A277" i="7" s="1"/>
  <c r="A278" i="7" s="1"/>
  <c r="A208" i="7"/>
  <c r="B208" i="7" s="1"/>
  <c r="A140" i="7"/>
  <c r="B140" i="7" s="1"/>
  <c r="A72" i="7"/>
  <c r="A73" i="7" s="1"/>
  <c r="A4" i="7"/>
  <c r="A5" i="7" s="1"/>
  <c r="A6" i="7" s="1"/>
  <c r="A2" i="7"/>
  <c r="A3" i="7" s="1"/>
  <c r="B3" i="7" s="1"/>
  <c r="A2" i="2"/>
  <c r="B2" i="2" s="1"/>
  <c r="A140" i="2"/>
  <c r="B140" i="2" s="1"/>
  <c r="A208" i="2"/>
  <c r="B208" i="2" s="1"/>
  <c r="A276" i="2"/>
  <c r="A344" i="2"/>
  <c r="A412" i="2"/>
  <c r="A480" i="2"/>
  <c r="A548" i="2"/>
  <c r="B548" i="2" s="1"/>
  <c r="A616" i="2"/>
  <c r="B616" i="2" s="1"/>
  <c r="A684" i="2"/>
  <c r="A685" i="2" s="1"/>
  <c r="A752" i="2"/>
  <c r="B752" i="2" s="1"/>
  <c r="A820" i="2"/>
  <c r="A888" i="2"/>
  <c r="B888" i="2" s="1"/>
  <c r="A956" i="2"/>
  <c r="A957" i="2" s="1"/>
  <c r="A958" i="2" s="1"/>
  <c r="A1024" i="2"/>
  <c r="B1024" i="2" s="1"/>
  <c r="A1092" i="2"/>
  <c r="A1093" i="2" s="1"/>
  <c r="B1093" i="2" s="1"/>
  <c r="A1160" i="2"/>
  <c r="A1228" i="2"/>
  <c r="A1296" i="2"/>
  <c r="B1296" i="2" s="1"/>
  <c r="A1364" i="2"/>
  <c r="A1432" i="2"/>
  <c r="B1432" i="2" s="1"/>
  <c r="A1500" i="2"/>
  <c r="B1500" i="2" s="1"/>
  <c r="A1568" i="2"/>
  <c r="A1636" i="2"/>
  <c r="A1704" i="2"/>
  <c r="B1704" i="2" s="1"/>
  <c r="A1772" i="2"/>
  <c r="B1772" i="2" s="1"/>
  <c r="A1840" i="2"/>
  <c r="B1840" i="2" s="1"/>
  <c r="A72" i="2"/>
  <c r="A73" i="2" s="1"/>
  <c r="A4" i="2"/>
  <c r="A5" i="2" s="1"/>
  <c r="B5" i="2" s="1"/>
  <c r="AA30" i="6" l="1"/>
  <c r="AA124" i="6"/>
  <c r="AA123" i="6"/>
  <c r="AA107" i="6"/>
  <c r="AA91" i="6"/>
  <c r="AA75" i="6"/>
  <c r="AA59" i="6"/>
  <c r="AA43" i="6"/>
  <c r="AA27" i="6"/>
  <c r="AA11" i="6"/>
  <c r="AA44" i="6"/>
  <c r="AA122" i="6"/>
  <c r="AA106" i="6"/>
  <c r="AA90" i="6"/>
  <c r="AA74" i="6"/>
  <c r="AA58" i="6"/>
  <c r="AA42" i="6"/>
  <c r="AA26" i="6"/>
  <c r="AA10" i="6"/>
  <c r="AA49" i="6"/>
  <c r="AA79" i="6"/>
  <c r="AA121" i="6"/>
  <c r="AA105" i="6"/>
  <c r="AA89" i="6"/>
  <c r="AA73" i="6"/>
  <c r="AA57" i="6"/>
  <c r="AA41" i="6"/>
  <c r="AA25" i="6"/>
  <c r="AA9" i="6"/>
  <c r="AA118" i="6"/>
  <c r="AA86" i="6"/>
  <c r="AA38" i="6"/>
  <c r="AA6" i="6"/>
  <c r="AA117" i="6"/>
  <c r="AA85" i="6"/>
  <c r="AA53" i="6"/>
  <c r="AA21" i="6"/>
  <c r="AA116" i="6"/>
  <c r="AA84" i="6"/>
  <c r="AA52" i="6"/>
  <c r="AA20" i="6"/>
  <c r="AA115" i="6"/>
  <c r="AA67" i="6"/>
  <c r="AA35" i="6"/>
  <c r="AA114" i="6"/>
  <c r="AA82" i="6"/>
  <c r="AA34" i="6"/>
  <c r="AA2" i="6"/>
  <c r="AA129" i="6"/>
  <c r="AA97" i="6"/>
  <c r="AA65" i="6"/>
  <c r="AA17" i="6"/>
  <c r="AA3" i="6"/>
  <c r="AA112" i="6"/>
  <c r="AA80" i="6"/>
  <c r="AA48" i="6"/>
  <c r="AA16" i="6"/>
  <c r="AA127" i="6"/>
  <c r="AA95" i="6"/>
  <c r="AA47" i="6"/>
  <c r="AA15" i="6"/>
  <c r="AA110" i="6"/>
  <c r="AA78" i="6"/>
  <c r="AA46" i="6"/>
  <c r="AA125" i="6"/>
  <c r="AA93" i="6"/>
  <c r="AA61" i="6"/>
  <c r="AA29" i="6"/>
  <c r="AA108" i="6"/>
  <c r="AA76" i="6"/>
  <c r="AA28" i="6"/>
  <c r="AA120" i="6"/>
  <c r="AA104" i="6"/>
  <c r="AA88" i="6"/>
  <c r="AA72" i="6"/>
  <c r="AA56" i="6"/>
  <c r="AA40" i="6"/>
  <c r="AA24" i="6"/>
  <c r="AA8" i="6"/>
  <c r="AA134" i="6"/>
  <c r="AA102" i="6"/>
  <c r="AA70" i="6"/>
  <c r="AA54" i="6"/>
  <c r="AA22" i="6"/>
  <c r="AA133" i="6"/>
  <c r="AA101" i="6"/>
  <c r="AA69" i="6"/>
  <c r="AA37" i="6"/>
  <c r="AA5" i="6"/>
  <c r="AA132" i="6"/>
  <c r="AA100" i="6"/>
  <c r="AA68" i="6"/>
  <c r="AA36" i="6"/>
  <c r="AA4" i="6"/>
  <c r="AA131" i="6"/>
  <c r="AA99" i="6"/>
  <c r="AA83" i="6"/>
  <c r="AA51" i="6"/>
  <c r="AA19" i="6"/>
  <c r="AA130" i="6"/>
  <c r="AA98" i="6"/>
  <c r="AA66" i="6"/>
  <c r="AA50" i="6"/>
  <c r="AA18" i="6"/>
  <c r="AA113" i="6"/>
  <c r="AA81" i="6"/>
  <c r="AA33" i="6"/>
  <c r="AA128" i="6"/>
  <c r="AA96" i="6"/>
  <c r="AA64" i="6"/>
  <c r="AA32" i="6"/>
  <c r="AA111" i="6"/>
  <c r="AA63" i="6"/>
  <c r="AA31" i="6"/>
  <c r="AA126" i="6"/>
  <c r="AA94" i="6"/>
  <c r="AA62" i="6"/>
  <c r="AA14" i="6"/>
  <c r="AA109" i="6"/>
  <c r="AA77" i="6"/>
  <c r="AA45" i="6"/>
  <c r="AA13" i="6"/>
  <c r="AA92" i="6"/>
  <c r="AA60" i="6"/>
  <c r="AA12" i="6"/>
  <c r="AA135" i="6"/>
  <c r="AA119" i="6"/>
  <c r="AA103" i="6"/>
  <c r="AA87" i="6"/>
  <c r="AA71" i="6"/>
  <c r="AA55" i="6"/>
  <c r="AA39" i="6"/>
  <c r="AA23" i="6"/>
  <c r="AA7" i="6"/>
  <c r="E127" i="6"/>
  <c r="Y124" i="6"/>
  <c r="E100" i="6"/>
  <c r="E35" i="6"/>
  <c r="Y102" i="6"/>
  <c r="Y29" i="6"/>
  <c r="O2" i="6"/>
  <c r="E21" i="6"/>
  <c r="Y2" i="6"/>
  <c r="E20" i="6"/>
  <c r="O105" i="6"/>
  <c r="O104" i="6"/>
  <c r="Y75" i="6"/>
  <c r="O100" i="6"/>
  <c r="O21" i="6"/>
  <c r="E117" i="6"/>
  <c r="Y43" i="6"/>
  <c r="E116" i="6"/>
  <c r="O109" i="6"/>
  <c r="E108" i="6"/>
  <c r="E44" i="6"/>
  <c r="O124" i="6"/>
  <c r="E93" i="6"/>
  <c r="O28" i="6"/>
  <c r="E28" i="6"/>
  <c r="O91" i="6"/>
  <c r="E90" i="6"/>
  <c r="E91" i="6"/>
  <c r="O26" i="6"/>
  <c r="Y44" i="6"/>
  <c r="O60" i="6"/>
  <c r="E130" i="6"/>
  <c r="O131" i="6"/>
  <c r="E98" i="6"/>
  <c r="E66" i="6"/>
  <c r="E50" i="6"/>
  <c r="E18" i="6"/>
  <c r="E76" i="6"/>
  <c r="E128" i="6"/>
  <c r="E112" i="6"/>
  <c r="E80" i="6"/>
  <c r="E64" i="6"/>
  <c r="E48" i="6"/>
  <c r="E16" i="6"/>
  <c r="O17" i="6"/>
  <c r="E17" i="6"/>
  <c r="O16" i="6"/>
  <c r="E58" i="6"/>
  <c r="O111" i="6"/>
  <c r="O95" i="6"/>
  <c r="O79" i="6"/>
  <c r="E62" i="6"/>
  <c r="E46" i="6"/>
  <c r="E14" i="6"/>
  <c r="O15" i="6"/>
  <c r="E124" i="6"/>
  <c r="O125" i="6"/>
  <c r="O3" i="6"/>
  <c r="O108" i="6"/>
  <c r="O76" i="6"/>
  <c r="E77" i="6"/>
  <c r="O12" i="6"/>
  <c r="E13" i="6"/>
  <c r="E2" i="6"/>
  <c r="O43" i="6"/>
  <c r="E10" i="6"/>
  <c r="E26" i="6"/>
  <c r="O122" i="6"/>
  <c r="O74" i="6"/>
  <c r="O58" i="6"/>
  <c r="O10" i="6"/>
  <c r="E11" i="6"/>
  <c r="Y42" i="6"/>
  <c r="O29" i="6"/>
  <c r="E114" i="6"/>
  <c r="E96" i="6"/>
  <c r="E33" i="6"/>
  <c r="O78" i="6"/>
  <c r="E79" i="6"/>
  <c r="E15" i="6"/>
  <c r="O14" i="6"/>
  <c r="E84" i="6"/>
  <c r="Y116" i="6"/>
  <c r="Y40" i="6"/>
  <c r="Y115" i="6"/>
  <c r="Y63" i="6"/>
  <c r="Y82" i="6"/>
  <c r="Y71" i="6"/>
  <c r="B3" i="10"/>
  <c r="A4" i="10"/>
  <c r="Y135" i="6"/>
  <c r="Y134" i="6"/>
  <c r="O135" i="6"/>
  <c r="O134" i="6"/>
  <c r="Y132" i="6"/>
  <c r="O133" i="6"/>
  <c r="E132" i="6"/>
  <c r="E133" i="6"/>
  <c r="Y131" i="6"/>
  <c r="Y130" i="6"/>
  <c r="O130" i="6"/>
  <c r="Y128" i="6"/>
  <c r="O129" i="6"/>
  <c r="O128" i="6"/>
  <c r="Y127" i="6"/>
  <c r="E126" i="6"/>
  <c r="Y125" i="6"/>
  <c r="E125" i="6"/>
  <c r="Y122" i="6"/>
  <c r="Y123" i="6"/>
  <c r="O123" i="6"/>
  <c r="E123" i="6"/>
  <c r="Y114" i="6"/>
  <c r="O115" i="6"/>
  <c r="O114" i="6"/>
  <c r="Y112" i="6"/>
  <c r="O113" i="6"/>
  <c r="O112" i="6"/>
  <c r="Y111" i="6"/>
  <c r="O110" i="6"/>
  <c r="Y120" i="6"/>
  <c r="O121" i="6"/>
  <c r="Y118" i="6"/>
  <c r="Y119" i="6"/>
  <c r="O119" i="6"/>
  <c r="O118" i="6"/>
  <c r="Y108" i="6"/>
  <c r="Y109" i="6"/>
  <c r="Y106" i="6"/>
  <c r="Y107" i="6"/>
  <c r="E106" i="6"/>
  <c r="O107" i="6"/>
  <c r="E107" i="6"/>
  <c r="O106" i="6"/>
  <c r="Y96" i="6"/>
  <c r="Y95" i="6"/>
  <c r="E94" i="6"/>
  <c r="E95" i="6"/>
  <c r="Y92" i="6"/>
  <c r="Y93" i="6"/>
  <c r="O93" i="6"/>
  <c r="E92" i="6"/>
  <c r="O92" i="6"/>
  <c r="Y90" i="6"/>
  <c r="Y91" i="6"/>
  <c r="O90" i="6"/>
  <c r="Y88" i="6"/>
  <c r="O89" i="6"/>
  <c r="O88" i="6"/>
  <c r="Y86" i="6"/>
  <c r="Y87" i="6"/>
  <c r="O87" i="6"/>
  <c r="O86" i="6"/>
  <c r="Y84" i="6"/>
  <c r="E85" i="6"/>
  <c r="O84" i="6"/>
  <c r="Y83" i="6"/>
  <c r="O83" i="6"/>
  <c r="O82" i="6"/>
  <c r="Y104" i="6"/>
  <c r="Y103" i="6"/>
  <c r="O103" i="6"/>
  <c r="O102" i="6"/>
  <c r="Y100" i="6"/>
  <c r="Y98" i="6"/>
  <c r="Y99" i="6"/>
  <c r="O99" i="6"/>
  <c r="O98" i="6"/>
  <c r="Y80" i="6"/>
  <c r="O81" i="6"/>
  <c r="O80" i="6"/>
  <c r="Y79" i="6"/>
  <c r="E78" i="6"/>
  <c r="Y76" i="6"/>
  <c r="Y77" i="6"/>
  <c r="Y74" i="6"/>
  <c r="O75" i="6"/>
  <c r="E75" i="6"/>
  <c r="Y56" i="6"/>
  <c r="O57" i="6"/>
  <c r="O56" i="6"/>
  <c r="Y55" i="6"/>
  <c r="Y54" i="6"/>
  <c r="O55" i="6"/>
  <c r="O54" i="6"/>
  <c r="Y52" i="6"/>
  <c r="O53" i="6"/>
  <c r="O52" i="6"/>
  <c r="E53" i="6"/>
  <c r="Y50" i="6"/>
  <c r="Y51" i="6"/>
  <c r="O50" i="6"/>
  <c r="Y48" i="6"/>
  <c r="O49" i="6"/>
  <c r="O48" i="6"/>
  <c r="Y47" i="6"/>
  <c r="O47" i="6"/>
  <c r="O46" i="6"/>
  <c r="Y45" i="6"/>
  <c r="O44" i="6"/>
  <c r="O45" i="6"/>
  <c r="O42" i="6"/>
  <c r="O41" i="6"/>
  <c r="O40" i="6"/>
  <c r="Y38" i="6"/>
  <c r="Y39" i="6"/>
  <c r="O39" i="6"/>
  <c r="O38" i="6"/>
  <c r="Y36" i="6"/>
  <c r="E36" i="6"/>
  <c r="E37" i="6"/>
  <c r="Y35" i="6"/>
  <c r="Y34" i="6"/>
  <c r="O34" i="6"/>
  <c r="O35" i="6"/>
  <c r="Y32" i="6"/>
  <c r="O33" i="6"/>
  <c r="O32" i="6"/>
  <c r="Y31" i="6"/>
  <c r="E30" i="6"/>
  <c r="O30" i="6"/>
  <c r="E31" i="6"/>
  <c r="Y28" i="6"/>
  <c r="E29" i="6"/>
  <c r="Y26" i="6"/>
  <c r="Y27" i="6"/>
  <c r="E27" i="6"/>
  <c r="Y72" i="6"/>
  <c r="O73" i="6"/>
  <c r="O72" i="6"/>
  <c r="Y70" i="6"/>
  <c r="O71" i="6"/>
  <c r="O70" i="6"/>
  <c r="Y68" i="6"/>
  <c r="E68" i="6"/>
  <c r="O68" i="6"/>
  <c r="Y66" i="6"/>
  <c r="O67" i="6"/>
  <c r="O66" i="6"/>
  <c r="E67" i="6"/>
  <c r="Y64" i="6"/>
  <c r="O64" i="6"/>
  <c r="O65" i="6"/>
  <c r="O63" i="6"/>
  <c r="E63" i="6"/>
  <c r="Y60" i="6"/>
  <c r="Y61" i="6"/>
  <c r="E60" i="6"/>
  <c r="E61" i="6"/>
  <c r="O61" i="6"/>
  <c r="Y58" i="6"/>
  <c r="Y59" i="6"/>
  <c r="Y24" i="6"/>
  <c r="O24" i="6"/>
  <c r="Y22" i="6"/>
  <c r="O23" i="6"/>
  <c r="O22" i="6"/>
  <c r="Y20" i="6"/>
  <c r="Y19" i="6"/>
  <c r="Y18" i="6"/>
  <c r="O18" i="6"/>
  <c r="O19" i="6"/>
  <c r="Y16" i="6"/>
  <c r="Y15" i="6"/>
  <c r="Y12" i="6"/>
  <c r="Y13" i="6"/>
  <c r="E12" i="6"/>
  <c r="O13" i="6"/>
  <c r="Y10" i="6"/>
  <c r="Y11" i="6"/>
  <c r="O11" i="6"/>
  <c r="Y8" i="6"/>
  <c r="O9" i="6"/>
  <c r="O8" i="6"/>
  <c r="Y6" i="6"/>
  <c r="Y7" i="6"/>
  <c r="O7" i="6"/>
  <c r="O6" i="6"/>
  <c r="Y4" i="6"/>
  <c r="O5" i="6"/>
  <c r="O4" i="6"/>
  <c r="Y121" i="6"/>
  <c r="Y105" i="6"/>
  <c r="Y89" i="6"/>
  <c r="Y73" i="6"/>
  <c r="Y57" i="6"/>
  <c r="Y41" i="6"/>
  <c r="Y25" i="6"/>
  <c r="Y9" i="6"/>
  <c r="Y126" i="6"/>
  <c r="Y110" i="6"/>
  <c r="Y94" i="6"/>
  <c r="Y78" i="6"/>
  <c r="Y62" i="6"/>
  <c r="Y46" i="6"/>
  <c r="Y30" i="6"/>
  <c r="Y14" i="6"/>
  <c r="Y129" i="6"/>
  <c r="Y113" i="6"/>
  <c r="Y97" i="6"/>
  <c r="Y81" i="6"/>
  <c r="Y65" i="6"/>
  <c r="Y49" i="6"/>
  <c r="Y33" i="6"/>
  <c r="Y17" i="6"/>
  <c r="Y133" i="6"/>
  <c r="Y117" i="6"/>
  <c r="Y101" i="6"/>
  <c r="Y85" i="6"/>
  <c r="Y69" i="6"/>
  <c r="Y53" i="6"/>
  <c r="Y37" i="6"/>
  <c r="Y21" i="6"/>
  <c r="Y5" i="6"/>
  <c r="E121" i="6"/>
  <c r="E73" i="6"/>
  <c r="E57" i="6"/>
  <c r="E41" i="6"/>
  <c r="E24" i="6"/>
  <c r="E82" i="6"/>
  <c r="E97" i="6"/>
  <c r="E65" i="6"/>
  <c r="B4" i="7"/>
  <c r="A1093" i="7"/>
  <c r="B1093" i="7" s="1"/>
  <c r="A345" i="7"/>
  <c r="B345" i="7" s="1"/>
  <c r="A1297" i="7"/>
  <c r="A1365" i="7"/>
  <c r="B1365" i="7" s="1"/>
  <c r="A209" i="7"/>
  <c r="A1026" i="7"/>
  <c r="A1027" i="7" s="1"/>
  <c r="B1025" i="7"/>
  <c r="A1705" i="7"/>
  <c r="A1706" i="7" s="1"/>
  <c r="A1161" i="7"/>
  <c r="A1162" i="7" s="1"/>
  <c r="A1229" i="7"/>
  <c r="B1229" i="7" s="1"/>
  <c r="A889" i="7"/>
  <c r="B276" i="7"/>
  <c r="B1024" i="7"/>
  <c r="B957" i="7"/>
  <c r="A958" i="7"/>
  <c r="A959" i="7" s="1"/>
  <c r="A960" i="7" s="1"/>
  <c r="A279" i="7"/>
  <c r="A280" i="7" s="1"/>
  <c r="A281" i="7" s="1"/>
  <c r="A282" i="7" s="1"/>
  <c r="B278" i="7"/>
  <c r="B548" i="7"/>
  <c r="A753" i="7"/>
  <c r="A754" i="7" s="1"/>
  <c r="A755" i="7" s="1"/>
  <c r="A822" i="7"/>
  <c r="A823" i="7" s="1"/>
  <c r="B277" i="7"/>
  <c r="A141" i="7"/>
  <c r="B956" i="7"/>
  <c r="A551" i="7"/>
  <c r="B550" i="7"/>
  <c r="A74" i="7"/>
  <c r="B73" i="7"/>
  <c r="A414" i="7"/>
  <c r="B413" i="7"/>
  <c r="B2" i="7"/>
  <c r="B412" i="7"/>
  <c r="B4" i="2"/>
  <c r="A7" i="7"/>
  <c r="B6" i="7"/>
  <c r="B5" i="7"/>
  <c r="A481" i="7"/>
  <c r="B616" i="7"/>
  <c r="A617" i="7"/>
  <c r="A685" i="7"/>
  <c r="B684" i="7"/>
  <c r="B549" i="7"/>
  <c r="A3" i="2"/>
  <c r="B3" i="2" s="1"/>
  <c r="B72" i="7"/>
  <c r="A1570" i="7"/>
  <c r="B1569" i="7"/>
  <c r="B820" i="7"/>
  <c r="A1434" i="7"/>
  <c r="B1433" i="7"/>
  <c r="B1432" i="7"/>
  <c r="B1568" i="7"/>
  <c r="B1500" i="7"/>
  <c r="A1501" i="7"/>
  <c r="B1841" i="7"/>
  <c r="A1842" i="7"/>
  <c r="A1637" i="7"/>
  <c r="B1840" i="7"/>
  <c r="A1773" i="7"/>
  <c r="A549" i="2"/>
  <c r="A550" i="2" s="1"/>
  <c r="A551" i="2" s="1"/>
  <c r="A552" i="2" s="1"/>
  <c r="B552" i="2" s="1"/>
  <c r="A1705" i="2"/>
  <c r="A1637" i="2"/>
  <c r="B1637" i="2" s="1"/>
  <c r="B1636" i="2"/>
  <c r="B956" i="2"/>
  <c r="A1297" i="2"/>
  <c r="A1298" i="2" s="1"/>
  <c r="B957" i="2"/>
  <c r="B1092" i="2"/>
  <c r="A1433" i="2"/>
  <c r="A1841" i="2"/>
  <c r="A889" i="2"/>
  <c r="B889" i="2" s="1"/>
  <c r="A209" i="2"/>
  <c r="A1773" i="2"/>
  <c r="A1774" i="2" s="1"/>
  <c r="B684" i="2"/>
  <c r="A1094" i="2"/>
  <c r="B1568" i="2"/>
  <c r="A1569" i="2"/>
  <c r="B958" i="2"/>
  <c r="A959" i="2"/>
  <c r="A686" i="2"/>
  <c r="B685" i="2"/>
  <c r="A1365" i="2"/>
  <c r="B1364" i="2"/>
  <c r="A1025" i="2"/>
  <c r="B820" i="2"/>
  <c r="A821" i="2"/>
  <c r="A1161" i="2"/>
  <c r="B1160" i="2"/>
  <c r="B480" i="2"/>
  <c r="A481" i="2"/>
  <c r="A1229" i="2"/>
  <c r="B1228" i="2"/>
  <c r="A1501" i="2"/>
  <c r="B344" i="2"/>
  <c r="A345" i="2"/>
  <c r="B276" i="2"/>
  <c r="A277" i="2"/>
  <c r="A753" i="2"/>
  <c r="B412" i="2"/>
  <c r="A413" i="2"/>
  <c r="A617" i="2"/>
  <c r="A141" i="2"/>
  <c r="A74" i="2"/>
  <c r="B73" i="2"/>
  <c r="B72" i="2"/>
  <c r="A6" i="2"/>
  <c r="B6" i="2" s="1"/>
  <c r="B4" i="10" l="1"/>
  <c r="A5" i="10"/>
  <c r="K15" i="5"/>
  <c r="K2" i="5"/>
  <c r="K33" i="5"/>
  <c r="B1705" i="7"/>
  <c r="B279" i="7"/>
  <c r="B1161" i="7"/>
  <c r="A346" i="7"/>
  <c r="B346" i="7" s="1"/>
  <c r="B959" i="7"/>
  <c r="B1026" i="7"/>
  <c r="B822" i="7"/>
  <c r="B958" i="7"/>
  <c r="B1297" i="2"/>
  <c r="A1094" i="7"/>
  <c r="A1095" i="7" s="1"/>
  <c r="B209" i="7"/>
  <c r="A210" i="7"/>
  <c r="B1297" i="7"/>
  <c r="A1298" i="7"/>
  <c r="A1366" i="7"/>
  <c r="B1366" i="7" s="1"/>
  <c r="I66" i="4"/>
  <c r="B549" i="2"/>
  <c r="B551" i="2"/>
  <c r="A1230" i="7"/>
  <c r="B1230" i="7" s="1"/>
  <c r="B889" i="7"/>
  <c r="A890" i="7"/>
  <c r="A142" i="7"/>
  <c r="B141" i="7"/>
  <c r="B280" i="7"/>
  <c r="B281" i="7"/>
  <c r="B754" i="7"/>
  <c r="B753" i="7"/>
  <c r="B960" i="7"/>
  <c r="A961" i="7"/>
  <c r="I2" i="4"/>
  <c r="A686" i="7"/>
  <c r="B685" i="7"/>
  <c r="A756" i="7"/>
  <c r="B755" i="7"/>
  <c r="A553" i="2"/>
  <c r="B553" i="2" s="1"/>
  <c r="B617" i="7"/>
  <c r="A618" i="7"/>
  <c r="A1163" i="7"/>
  <c r="B1162" i="7"/>
  <c r="A482" i="7"/>
  <c r="B481" i="7"/>
  <c r="A1774" i="7"/>
  <c r="B1773" i="7"/>
  <c r="A1638" i="7"/>
  <c r="B1637" i="7"/>
  <c r="A1571" i="7"/>
  <c r="B1570" i="7"/>
  <c r="A415" i="7"/>
  <c r="B414" i="7"/>
  <c r="B550" i="2"/>
  <c r="A1843" i="7"/>
  <c r="B1842" i="7"/>
  <c r="A1435" i="7"/>
  <c r="B1434" i="7"/>
  <c r="A8" i="7"/>
  <c r="B7" i="7"/>
  <c r="A75" i="7"/>
  <c r="B74" i="7"/>
  <c r="A1028" i="7"/>
  <c r="B1027" i="7"/>
  <c r="A283" i="7"/>
  <c r="B282" i="7"/>
  <c r="A1707" i="7"/>
  <c r="B1706" i="7"/>
  <c r="B1501" i="7"/>
  <c r="A1502" i="7"/>
  <c r="A824" i="7"/>
  <c r="B823" i="7"/>
  <c r="B551" i="7"/>
  <c r="A552" i="7"/>
  <c r="B1705" i="2"/>
  <c r="A1706" i="2"/>
  <c r="I28" i="4"/>
  <c r="A1638" i="2"/>
  <c r="B1773" i="2"/>
  <c r="A210" i="2"/>
  <c r="B209" i="2"/>
  <c r="A1842" i="2"/>
  <c r="B1841" i="2"/>
  <c r="A890" i="2"/>
  <c r="B890" i="2" s="1"/>
  <c r="A1095" i="2"/>
  <c r="B1094" i="2"/>
  <c r="B1433" i="2"/>
  <c r="A1434" i="2"/>
  <c r="B141" i="2"/>
  <c r="A142" i="2"/>
  <c r="B1501" i="2"/>
  <c r="A1502" i="2"/>
  <c r="B686" i="2"/>
  <c r="A687" i="2"/>
  <c r="A618" i="2"/>
  <c r="B617" i="2"/>
  <c r="B413" i="2"/>
  <c r="A414" i="2"/>
  <c r="B959" i="2"/>
  <c r="A960" i="2"/>
  <c r="B1365" i="2"/>
  <c r="A1366" i="2"/>
  <c r="B753" i="2"/>
  <c r="A754" i="2"/>
  <c r="A1230" i="2"/>
  <c r="B1229" i="2"/>
  <c r="B1569" i="2"/>
  <c r="A1570" i="2"/>
  <c r="A346" i="2"/>
  <c r="B345" i="2"/>
  <c r="A1162" i="2"/>
  <c r="B1161" i="2"/>
  <c r="B1025" i="2"/>
  <c r="A1026" i="2"/>
  <c r="B277" i="2"/>
  <c r="A278" i="2"/>
  <c r="B481" i="2"/>
  <c r="A482" i="2"/>
  <c r="B1774" i="2"/>
  <c r="A1775" i="2"/>
  <c r="A822" i="2"/>
  <c r="B821" i="2"/>
  <c r="B1298" i="2"/>
  <c r="A1299" i="2"/>
  <c r="B74" i="2"/>
  <c r="A75" i="2"/>
  <c r="A7" i="2"/>
  <c r="B7" i="2" s="1"/>
  <c r="I3" i="8" l="1"/>
  <c r="B5" i="10"/>
  <c r="A6" i="10"/>
  <c r="K35" i="5"/>
  <c r="A347" i="7"/>
  <c r="A348" i="7" s="1"/>
  <c r="A1367" i="7"/>
  <c r="B1367" i="7" s="1"/>
  <c r="A554" i="2"/>
  <c r="A555" i="2" s="1"/>
  <c r="A1231" i="7"/>
  <c r="A1232" i="7" s="1"/>
  <c r="B1094" i="7"/>
  <c r="A1299" i="7"/>
  <c r="B1298" i="7"/>
  <c r="B210" i="7"/>
  <c r="A211" i="7"/>
  <c r="B1095" i="7"/>
  <c r="A1096" i="7"/>
  <c r="A891" i="7"/>
  <c r="B890" i="7"/>
  <c r="A962" i="7"/>
  <c r="B961" i="7"/>
  <c r="B142" i="7"/>
  <c r="A143" i="7"/>
  <c r="B75" i="7"/>
  <c r="A76" i="7"/>
  <c r="B1638" i="7"/>
  <c r="A1639" i="7"/>
  <c r="B1502" i="7"/>
  <c r="A1503" i="7"/>
  <c r="A9" i="7"/>
  <c r="B8" i="7"/>
  <c r="B824" i="7"/>
  <c r="A825" i="7"/>
  <c r="B552" i="7"/>
  <c r="A553" i="7"/>
  <c r="A757" i="7"/>
  <c r="B756" i="7"/>
  <c r="A483" i="7"/>
  <c r="B482" i="7"/>
  <c r="B1843" i="7"/>
  <c r="A1844" i="7"/>
  <c r="A1436" i="7"/>
  <c r="B1435" i="7"/>
  <c r="B1774" i="7"/>
  <c r="A1775" i="7"/>
  <c r="A284" i="7"/>
  <c r="B283" i="7"/>
  <c r="A416" i="7"/>
  <c r="B415" i="7"/>
  <c r="A1164" i="7"/>
  <c r="B1163" i="7"/>
  <c r="B686" i="7"/>
  <c r="A687" i="7"/>
  <c r="B1707" i="7"/>
  <c r="A1708" i="7"/>
  <c r="A1029" i="7"/>
  <c r="B1028" i="7"/>
  <c r="A619" i="7"/>
  <c r="B618" i="7"/>
  <c r="B1571" i="7"/>
  <c r="A1572" i="7"/>
  <c r="B1706" i="2"/>
  <c r="A1707" i="2"/>
  <c r="I40" i="4"/>
  <c r="B1638" i="2"/>
  <c r="A1639" i="2"/>
  <c r="A891" i="2"/>
  <c r="B891" i="2" s="1"/>
  <c r="A1435" i="2"/>
  <c r="B1434" i="2"/>
  <c r="A1096" i="2"/>
  <c r="B1095" i="2"/>
  <c r="A1843" i="2"/>
  <c r="B1842" i="2"/>
  <c r="A211" i="2"/>
  <c r="B210" i="2"/>
  <c r="B482" i="2"/>
  <c r="A483" i="2"/>
  <c r="A347" i="2"/>
  <c r="B346" i="2"/>
  <c r="B278" i="2"/>
  <c r="A279" i="2"/>
  <c r="B1570" i="2"/>
  <c r="A1571" i="2"/>
  <c r="B1026" i="2"/>
  <c r="A1027" i="2"/>
  <c r="B618" i="2"/>
  <c r="A619" i="2"/>
  <c r="B687" i="2"/>
  <c r="A688" i="2"/>
  <c r="A1300" i="2"/>
  <c r="B1299" i="2"/>
  <c r="B1502" i="2"/>
  <c r="A1503" i="2"/>
  <c r="A1231" i="2"/>
  <c r="B1230" i="2"/>
  <c r="A1367" i="2"/>
  <c r="B1366" i="2"/>
  <c r="B960" i="2"/>
  <c r="A961" i="2"/>
  <c r="B1775" i="2"/>
  <c r="A1776" i="2"/>
  <c r="B414" i="2"/>
  <c r="A415" i="2"/>
  <c r="B142" i="2"/>
  <c r="A143" i="2"/>
  <c r="A755" i="2"/>
  <c r="B754" i="2"/>
  <c r="A823" i="2"/>
  <c r="B822" i="2"/>
  <c r="B1162" i="2"/>
  <c r="A1163" i="2"/>
  <c r="B75" i="2"/>
  <c r="A76" i="2"/>
  <c r="A8" i="2"/>
  <c r="B8" i="2" s="1"/>
  <c r="A7" i="10" l="1"/>
  <c r="B6" i="10"/>
  <c r="I2" i="8" s="1"/>
  <c r="B347" i="7"/>
  <c r="B1231" i="7"/>
  <c r="A1368" i="7"/>
  <c r="A1369" i="7" s="1"/>
  <c r="B554" i="2"/>
  <c r="A1097" i="7"/>
  <c r="B1096" i="7"/>
  <c r="B211" i="7"/>
  <c r="A212" i="7"/>
  <c r="A1300" i="7"/>
  <c r="B1299" i="7"/>
  <c r="B891" i="7"/>
  <c r="A892" i="7"/>
  <c r="B143" i="7"/>
  <c r="A144" i="7"/>
  <c r="A963" i="7"/>
  <c r="B962" i="7"/>
  <c r="B1436" i="7"/>
  <c r="A1437" i="7"/>
  <c r="B1232" i="7"/>
  <c r="A1233" i="7"/>
  <c r="A484" i="7"/>
  <c r="B483" i="7"/>
  <c r="B416" i="7"/>
  <c r="A417" i="7"/>
  <c r="B825" i="7"/>
  <c r="A826" i="7"/>
  <c r="B1708" i="7"/>
  <c r="A1709" i="7"/>
  <c r="A285" i="7"/>
  <c r="B284" i="7"/>
  <c r="A1776" i="7"/>
  <c r="B1775" i="7"/>
  <c r="A1030" i="7"/>
  <c r="B1029" i="7"/>
  <c r="A349" i="7"/>
  <c r="B348" i="7"/>
  <c r="A688" i="7"/>
  <c r="B687" i="7"/>
  <c r="A620" i="7"/>
  <c r="B619" i="7"/>
  <c r="A10" i="7"/>
  <c r="B9" i="7"/>
  <c r="A1845" i="7"/>
  <c r="B1844" i="7"/>
  <c r="B1503" i="7"/>
  <c r="A1504" i="7"/>
  <c r="B757" i="7"/>
  <c r="A758" i="7"/>
  <c r="B1639" i="7"/>
  <c r="A1640" i="7"/>
  <c r="A1165" i="7"/>
  <c r="B1164" i="7"/>
  <c r="A554" i="7"/>
  <c r="B553" i="7"/>
  <c r="A77" i="7"/>
  <c r="B76" i="7"/>
  <c r="B1572" i="7"/>
  <c r="A1573" i="7"/>
  <c r="A892" i="2"/>
  <c r="A893" i="2" s="1"/>
  <c r="B1707" i="2"/>
  <c r="A1708" i="2"/>
  <c r="I20" i="4"/>
  <c r="A1640" i="2"/>
  <c r="B1639" i="2"/>
  <c r="B1435" i="2"/>
  <c r="A1436" i="2"/>
  <c r="A212" i="2"/>
  <c r="B211" i="2"/>
  <c r="A1844" i="2"/>
  <c r="B1843" i="2"/>
  <c r="B1096" i="2"/>
  <c r="A1097" i="2"/>
  <c r="A1572" i="2"/>
  <c r="B1571" i="2"/>
  <c r="A556" i="2"/>
  <c r="B555" i="2"/>
  <c r="A280" i="2"/>
  <c r="B279" i="2"/>
  <c r="B347" i="2"/>
  <c r="A348" i="2"/>
  <c r="A144" i="2"/>
  <c r="B143" i="2"/>
  <c r="B415" i="2"/>
  <c r="A416" i="2"/>
  <c r="B1503" i="2"/>
  <c r="A1504" i="2"/>
  <c r="A962" i="2"/>
  <c r="B961" i="2"/>
  <c r="B1300" i="2"/>
  <c r="A1301" i="2"/>
  <c r="B1163" i="2"/>
  <c r="A1164" i="2"/>
  <c r="B1776" i="2"/>
  <c r="A1777" i="2"/>
  <c r="B1367" i="2"/>
  <c r="A1368" i="2"/>
  <c r="A484" i="2"/>
  <c r="B483" i="2"/>
  <c r="B688" i="2"/>
  <c r="A689" i="2"/>
  <c r="B619" i="2"/>
  <c r="A620" i="2"/>
  <c r="B1027" i="2"/>
  <c r="A1028" i="2"/>
  <c r="A824" i="2"/>
  <c r="B823" i="2"/>
  <c r="A756" i="2"/>
  <c r="B755" i="2"/>
  <c r="A1232" i="2"/>
  <c r="B1231" i="2"/>
  <c r="A77" i="2"/>
  <c r="B76" i="2"/>
  <c r="A9" i="2"/>
  <c r="B9" i="2" s="1"/>
  <c r="A8" i="10" l="1"/>
  <c r="B7" i="10"/>
  <c r="K48" i="5"/>
  <c r="B1368" i="7"/>
  <c r="B1300" i="7"/>
  <c r="A1301" i="7"/>
  <c r="B212" i="7"/>
  <c r="A213" i="7"/>
  <c r="A1098" i="7"/>
  <c r="B1097" i="7"/>
  <c r="A893" i="7"/>
  <c r="B892" i="7"/>
  <c r="B963" i="7"/>
  <c r="A964" i="7"/>
  <c r="A145" i="7"/>
  <c r="B144" i="7"/>
  <c r="A759" i="7"/>
  <c r="B758" i="7"/>
  <c r="A78" i="7"/>
  <c r="B77" i="7"/>
  <c r="A485" i="7"/>
  <c r="B484" i="7"/>
  <c r="A1505" i="7"/>
  <c r="B1504" i="7"/>
  <c r="B892" i="2"/>
  <c r="B417" i="7"/>
  <c r="A418" i="7"/>
  <c r="A350" i="7"/>
  <c r="B349" i="7"/>
  <c r="A1846" i="7"/>
  <c r="B1845" i="7"/>
  <c r="A286" i="7"/>
  <c r="B285" i="7"/>
  <c r="A1710" i="7"/>
  <c r="B1709" i="7"/>
  <c r="A11" i="7"/>
  <c r="B10" i="7"/>
  <c r="B688" i="7"/>
  <c r="A689" i="7"/>
  <c r="A555" i="7"/>
  <c r="B554" i="7"/>
  <c r="B1030" i="7"/>
  <c r="A1031" i="7"/>
  <c r="A827" i="7"/>
  <c r="B826" i="7"/>
  <c r="A621" i="7"/>
  <c r="B620" i="7"/>
  <c r="B1573" i="7"/>
  <c r="A1574" i="7"/>
  <c r="A1641" i="7"/>
  <c r="B1640" i="7"/>
  <c r="A1234" i="7"/>
  <c r="B1233" i="7"/>
  <c r="A1370" i="7"/>
  <c r="B1369" i="7"/>
  <c r="B1437" i="7"/>
  <c r="A1438" i="7"/>
  <c r="B1165" i="7"/>
  <c r="A1166" i="7"/>
  <c r="B1776" i="7"/>
  <c r="A1777" i="7"/>
  <c r="A1709" i="2"/>
  <c r="B1708" i="2"/>
  <c r="B1640" i="2"/>
  <c r="A1641" i="2"/>
  <c r="I13" i="4"/>
  <c r="A1098" i="2"/>
  <c r="B1097" i="2"/>
  <c r="A1845" i="2"/>
  <c r="B1844" i="2"/>
  <c r="A213" i="2"/>
  <c r="B212" i="2"/>
  <c r="A1437" i="2"/>
  <c r="B1436" i="2"/>
  <c r="A1029" i="2"/>
  <c r="B1028" i="2"/>
  <c r="B1504" i="2"/>
  <c r="A1505" i="2"/>
  <c r="B1777" i="2"/>
  <c r="A1778" i="2"/>
  <c r="B416" i="2"/>
  <c r="A417" i="2"/>
  <c r="A963" i="2"/>
  <c r="B962" i="2"/>
  <c r="B144" i="2"/>
  <c r="A145" i="2"/>
  <c r="B348" i="2"/>
  <c r="A349" i="2"/>
  <c r="B556" i="2"/>
  <c r="A557" i="2"/>
  <c r="B689" i="2"/>
  <c r="A690" i="2"/>
  <c r="A1165" i="2"/>
  <c r="B1164" i="2"/>
  <c r="B280" i="2"/>
  <c r="A281" i="2"/>
  <c r="A894" i="2"/>
  <c r="B893" i="2"/>
  <c r="A1302" i="2"/>
  <c r="B1301" i="2"/>
  <c r="A621" i="2"/>
  <c r="B620" i="2"/>
  <c r="B1368" i="2"/>
  <c r="A1369" i="2"/>
  <c r="A1233" i="2"/>
  <c r="B1232" i="2"/>
  <c r="B484" i="2"/>
  <c r="A485" i="2"/>
  <c r="A757" i="2"/>
  <c r="B756" i="2"/>
  <c r="B824" i="2"/>
  <c r="A825" i="2"/>
  <c r="B1572" i="2"/>
  <c r="A1573" i="2"/>
  <c r="B77" i="2"/>
  <c r="A78" i="2"/>
  <c r="A10" i="2"/>
  <c r="B10" i="2" s="1"/>
  <c r="A9" i="10" l="1"/>
  <c r="B8" i="10"/>
  <c r="K7" i="5"/>
  <c r="B1098" i="7"/>
  <c r="A1099" i="7"/>
  <c r="A214" i="7"/>
  <c r="B213" i="7"/>
  <c r="B1301" i="7"/>
  <c r="A1302" i="7"/>
  <c r="A894" i="7"/>
  <c r="B893" i="7"/>
  <c r="B145" i="7"/>
  <c r="A146" i="7"/>
  <c r="A965" i="7"/>
  <c r="B964" i="7"/>
  <c r="B11" i="7"/>
  <c r="A12" i="7"/>
  <c r="A1235" i="7"/>
  <c r="B1234" i="7"/>
  <c r="B1846" i="7"/>
  <c r="A1847" i="7"/>
  <c r="B1777" i="7"/>
  <c r="A1778" i="7"/>
  <c r="A1642" i="7"/>
  <c r="B1641" i="7"/>
  <c r="A556" i="7"/>
  <c r="B555" i="7"/>
  <c r="A690" i="7"/>
  <c r="B689" i="7"/>
  <c r="A351" i="7"/>
  <c r="B350" i="7"/>
  <c r="A419" i="7"/>
  <c r="B418" i="7"/>
  <c r="A1167" i="7"/>
  <c r="B1166" i="7"/>
  <c r="B1574" i="7"/>
  <c r="A1575" i="7"/>
  <c r="B1505" i="7"/>
  <c r="A1506" i="7"/>
  <c r="A622" i="7"/>
  <c r="B621" i="7"/>
  <c r="B1710" i="7"/>
  <c r="A1711" i="7"/>
  <c r="B1438" i="7"/>
  <c r="A1439" i="7"/>
  <c r="B485" i="7"/>
  <c r="A486" i="7"/>
  <c r="A79" i="7"/>
  <c r="B78" i="7"/>
  <c r="A1371" i="7"/>
  <c r="B1370" i="7"/>
  <c r="A828" i="7"/>
  <c r="B827" i="7"/>
  <c r="A287" i="7"/>
  <c r="B286" i="7"/>
  <c r="A1032" i="7"/>
  <c r="B1031" i="7"/>
  <c r="A760" i="7"/>
  <c r="B759" i="7"/>
  <c r="B1709" i="2"/>
  <c r="A1710" i="2"/>
  <c r="I38" i="4"/>
  <c r="B1641" i="2"/>
  <c r="A1642" i="2"/>
  <c r="A1099" i="2"/>
  <c r="B1098" i="2"/>
  <c r="A1438" i="2"/>
  <c r="B1437" i="2"/>
  <c r="B213" i="2"/>
  <c r="A214" i="2"/>
  <c r="B1845" i="2"/>
  <c r="A1846" i="2"/>
  <c r="B349" i="2"/>
  <c r="A350" i="2"/>
  <c r="A486" i="2"/>
  <c r="B485" i="2"/>
  <c r="A1166" i="2"/>
  <c r="B1165" i="2"/>
  <c r="A964" i="2"/>
  <c r="B963" i="2"/>
  <c r="A1779" i="2"/>
  <c r="B1778" i="2"/>
  <c r="B690" i="2"/>
  <c r="A691" i="2"/>
  <c r="B557" i="2"/>
  <c r="A558" i="2"/>
  <c r="B1573" i="2"/>
  <c r="A1574" i="2"/>
  <c r="B1505" i="2"/>
  <c r="A1506" i="2"/>
  <c r="A146" i="2"/>
  <c r="B145" i="2"/>
  <c r="B1233" i="2"/>
  <c r="A1234" i="2"/>
  <c r="B825" i="2"/>
  <c r="A826" i="2"/>
  <c r="A622" i="2"/>
  <c r="B621" i="2"/>
  <c r="A895" i="2"/>
  <c r="B894" i="2"/>
  <c r="A282" i="2"/>
  <c r="B281" i="2"/>
  <c r="A418" i="2"/>
  <c r="B417" i="2"/>
  <c r="B1369" i="2"/>
  <c r="A1370" i="2"/>
  <c r="B757" i="2"/>
  <c r="A758" i="2"/>
  <c r="A1303" i="2"/>
  <c r="B1302" i="2"/>
  <c r="B1029" i="2"/>
  <c r="A1030" i="2"/>
  <c r="B78" i="2"/>
  <c r="A79" i="2"/>
  <c r="A11" i="2"/>
  <c r="B11" i="2" s="1"/>
  <c r="A10" i="10" l="1"/>
  <c r="B9" i="10"/>
  <c r="K44" i="5"/>
  <c r="B1302" i="7"/>
  <c r="A1303" i="7"/>
  <c r="A215" i="7"/>
  <c r="B214" i="7"/>
  <c r="A1100" i="7"/>
  <c r="B1099" i="7"/>
  <c r="B894" i="7"/>
  <c r="A895" i="7"/>
  <c r="A147" i="7"/>
  <c r="B146" i="7"/>
  <c r="A966" i="7"/>
  <c r="B965" i="7"/>
  <c r="A1643" i="7"/>
  <c r="B1642" i="7"/>
  <c r="A487" i="7"/>
  <c r="B486" i="7"/>
  <c r="B622" i="7"/>
  <c r="A623" i="7"/>
  <c r="A1507" i="7"/>
  <c r="B1506" i="7"/>
  <c r="A829" i="7"/>
  <c r="B828" i="7"/>
  <c r="A691" i="7"/>
  <c r="B690" i="7"/>
  <c r="A1372" i="7"/>
  <c r="B1371" i="7"/>
  <c r="B556" i="7"/>
  <c r="A557" i="7"/>
  <c r="A352" i="7"/>
  <c r="B351" i="7"/>
  <c r="A1576" i="7"/>
  <c r="B1575" i="7"/>
  <c r="A80" i="7"/>
  <c r="B79" i="7"/>
  <c r="B419" i="7"/>
  <c r="A420" i="7"/>
  <c r="A1779" i="7"/>
  <c r="B1778" i="7"/>
  <c r="B760" i="7"/>
  <c r="A761" i="7"/>
  <c r="A1033" i="7"/>
  <c r="B1032" i="7"/>
  <c r="A288" i="7"/>
  <c r="B287" i="7"/>
  <c r="A1236" i="7"/>
  <c r="B1235" i="7"/>
  <c r="A1168" i="7"/>
  <c r="B1167" i="7"/>
  <c r="A1440" i="7"/>
  <c r="B1439" i="7"/>
  <c r="A1848" i="7"/>
  <c r="B1847" i="7"/>
  <c r="A1712" i="7"/>
  <c r="B1711" i="7"/>
  <c r="A13" i="7"/>
  <c r="B12" i="7"/>
  <c r="A1711" i="2"/>
  <c r="B1710" i="2"/>
  <c r="B1642" i="2"/>
  <c r="A1643" i="2"/>
  <c r="B1099" i="2"/>
  <c r="A1100" i="2"/>
  <c r="A1847" i="2"/>
  <c r="B1846" i="2"/>
  <c r="A215" i="2"/>
  <c r="B214" i="2"/>
  <c r="B1438" i="2"/>
  <c r="A1439" i="2"/>
  <c r="A1371" i="2"/>
  <c r="B1370" i="2"/>
  <c r="B826" i="2"/>
  <c r="A827" i="2"/>
  <c r="B1779" i="2"/>
  <c r="A1780" i="2"/>
  <c r="B282" i="2"/>
  <c r="A283" i="2"/>
  <c r="B964" i="2"/>
  <c r="A965" i="2"/>
  <c r="A419" i="2"/>
  <c r="B418" i="2"/>
  <c r="A1167" i="2"/>
  <c r="B1166" i="2"/>
  <c r="B558" i="2"/>
  <c r="A559" i="2"/>
  <c r="A896" i="2"/>
  <c r="B895" i="2"/>
  <c r="A147" i="2"/>
  <c r="B146" i="2"/>
  <c r="A1031" i="2"/>
  <c r="B1030" i="2"/>
  <c r="B486" i="2"/>
  <c r="A487" i="2"/>
  <c r="A1235" i="2"/>
  <c r="B1234" i="2"/>
  <c r="B1506" i="2"/>
  <c r="A1507" i="2"/>
  <c r="B1574" i="2"/>
  <c r="A1575" i="2"/>
  <c r="A1304" i="2"/>
  <c r="B1303" i="2"/>
  <c r="A759" i="2"/>
  <c r="B758" i="2"/>
  <c r="B350" i="2"/>
  <c r="A351" i="2"/>
  <c r="A692" i="2"/>
  <c r="B691" i="2"/>
  <c r="B622" i="2"/>
  <c r="A623" i="2"/>
  <c r="B79" i="2"/>
  <c r="A80" i="2"/>
  <c r="A12" i="2"/>
  <c r="B12" i="2" s="1"/>
  <c r="B10" i="10" l="1"/>
  <c r="A11" i="10"/>
  <c r="A1101" i="7"/>
  <c r="B1100" i="7"/>
  <c r="A216" i="7"/>
  <c r="B215" i="7"/>
  <c r="B1303" i="7"/>
  <c r="A1304" i="7"/>
  <c r="A896" i="7"/>
  <c r="B895" i="7"/>
  <c r="B147" i="7"/>
  <c r="A148" i="7"/>
  <c r="A967" i="7"/>
  <c r="B966" i="7"/>
  <c r="A762" i="7"/>
  <c r="B761" i="7"/>
  <c r="B557" i="7"/>
  <c r="A558" i="7"/>
  <c r="A1441" i="7"/>
  <c r="B1440" i="7"/>
  <c r="A81" i="7"/>
  <c r="B80" i="7"/>
  <c r="B1168" i="7"/>
  <c r="A1169" i="7"/>
  <c r="B1779" i="7"/>
  <c r="A1780" i="7"/>
  <c r="B1372" i="7"/>
  <c r="A1373" i="7"/>
  <c r="A830" i="7"/>
  <c r="B829" i="7"/>
  <c r="A421" i="7"/>
  <c r="B420" i="7"/>
  <c r="B1236" i="7"/>
  <c r="A1237" i="7"/>
  <c r="B691" i="7"/>
  <c r="A692" i="7"/>
  <c r="A14" i="7"/>
  <c r="B13" i="7"/>
  <c r="A289" i="7"/>
  <c r="B288" i="7"/>
  <c r="A1508" i="7"/>
  <c r="B1507" i="7"/>
  <c r="B1848" i="7"/>
  <c r="A1849" i="7"/>
  <c r="B352" i="7"/>
  <c r="A353" i="7"/>
  <c r="B487" i="7"/>
  <c r="A488" i="7"/>
  <c r="A624" i="7"/>
  <c r="B623" i="7"/>
  <c r="B1712" i="7"/>
  <c r="A1713" i="7"/>
  <c r="B1033" i="7"/>
  <c r="A1034" i="7"/>
  <c r="B1576" i="7"/>
  <c r="A1577" i="7"/>
  <c r="B1643" i="7"/>
  <c r="A1644" i="7"/>
  <c r="B1711" i="2"/>
  <c r="A1712" i="2"/>
  <c r="B1643" i="2"/>
  <c r="A1644" i="2"/>
  <c r="B1439" i="2"/>
  <c r="A1440" i="2"/>
  <c r="B215" i="2"/>
  <c r="A216" i="2"/>
  <c r="B1847" i="2"/>
  <c r="A1848" i="2"/>
  <c r="A1101" i="2"/>
  <c r="B1100" i="2"/>
  <c r="A1781" i="2"/>
  <c r="B1780" i="2"/>
  <c r="B283" i="2"/>
  <c r="A284" i="2"/>
  <c r="A1032" i="2"/>
  <c r="B1031" i="2"/>
  <c r="B147" i="2"/>
  <c r="A148" i="2"/>
  <c r="B1575" i="2"/>
  <c r="A1576" i="2"/>
  <c r="B965" i="2"/>
  <c r="A966" i="2"/>
  <c r="A760" i="2"/>
  <c r="B759" i="2"/>
  <c r="B559" i="2"/>
  <c r="A560" i="2"/>
  <c r="B1507" i="2"/>
  <c r="A1508" i="2"/>
  <c r="B1235" i="2"/>
  <c r="A1236" i="2"/>
  <c r="A488" i="2"/>
  <c r="B487" i="2"/>
  <c r="B1304" i="2"/>
  <c r="A1305" i="2"/>
  <c r="B896" i="2"/>
  <c r="A897" i="2"/>
  <c r="B623" i="2"/>
  <c r="A624" i="2"/>
  <c r="A828" i="2"/>
  <c r="B827" i="2"/>
  <c r="A693" i="2"/>
  <c r="B692" i="2"/>
  <c r="A1168" i="2"/>
  <c r="B1167" i="2"/>
  <c r="A352" i="2"/>
  <c r="B351" i="2"/>
  <c r="B419" i="2"/>
  <c r="A420" i="2"/>
  <c r="A1372" i="2"/>
  <c r="B1371" i="2"/>
  <c r="A81" i="2"/>
  <c r="B80" i="2"/>
  <c r="A13" i="2"/>
  <c r="B13" i="2" s="1"/>
  <c r="A12" i="10" l="1"/>
  <c r="B11" i="10"/>
  <c r="B1304" i="7"/>
  <c r="A1305" i="7"/>
  <c r="A217" i="7"/>
  <c r="B216" i="7"/>
  <c r="A1102" i="7"/>
  <c r="B1101" i="7"/>
  <c r="B896" i="7"/>
  <c r="A897" i="7"/>
  <c r="A149" i="7"/>
  <c r="B148" i="7"/>
  <c r="B967" i="7"/>
  <c r="A968" i="7"/>
  <c r="B1713" i="7"/>
  <c r="A1714" i="7"/>
  <c r="B1780" i="7"/>
  <c r="A1781" i="7"/>
  <c r="A82" i="7"/>
  <c r="B81" i="7"/>
  <c r="B1644" i="7"/>
  <c r="A1645" i="7"/>
  <c r="B1373" i="7"/>
  <c r="A1374" i="7"/>
  <c r="A290" i="7"/>
  <c r="B289" i="7"/>
  <c r="B624" i="7"/>
  <c r="A625" i="7"/>
  <c r="A15" i="7"/>
  <c r="B14" i="7"/>
  <c r="B488" i="7"/>
  <c r="A489" i="7"/>
  <c r="A693" i="7"/>
  <c r="B692" i="7"/>
  <c r="A1170" i="7"/>
  <c r="B1169" i="7"/>
  <c r="A1850" i="7"/>
  <c r="B1849" i="7"/>
  <c r="A354" i="7"/>
  <c r="B353" i="7"/>
  <c r="A1238" i="7"/>
  <c r="B1237" i="7"/>
  <c r="A422" i="7"/>
  <c r="B421" i="7"/>
  <c r="A1442" i="7"/>
  <c r="B1441" i="7"/>
  <c r="A1578" i="7"/>
  <c r="B1577" i="7"/>
  <c r="A559" i="7"/>
  <c r="B558" i="7"/>
  <c r="B1508" i="7"/>
  <c r="A1509" i="7"/>
  <c r="B830" i="7"/>
  <c r="A831" i="7"/>
  <c r="A1035" i="7"/>
  <c r="B1034" i="7"/>
  <c r="A763" i="7"/>
  <c r="B762" i="7"/>
  <c r="B1712" i="2"/>
  <c r="A1713" i="2"/>
  <c r="B1644" i="2"/>
  <c r="A1645" i="2"/>
  <c r="B1101" i="2"/>
  <c r="A1102" i="2"/>
  <c r="A1849" i="2"/>
  <c r="B1848" i="2"/>
  <c r="B216" i="2"/>
  <c r="A217" i="2"/>
  <c r="A1441" i="2"/>
  <c r="B1440" i="2"/>
  <c r="B1508" i="2"/>
  <c r="A1509" i="2"/>
  <c r="A1169" i="2"/>
  <c r="B1168" i="2"/>
  <c r="B560" i="2"/>
  <c r="A561" i="2"/>
  <c r="B624" i="2"/>
  <c r="A625" i="2"/>
  <c r="B1576" i="2"/>
  <c r="A1577" i="2"/>
  <c r="B148" i="2"/>
  <c r="A149" i="2"/>
  <c r="B1305" i="2"/>
  <c r="A1306" i="2"/>
  <c r="B284" i="2"/>
  <c r="A285" i="2"/>
  <c r="B488" i="2"/>
  <c r="A489" i="2"/>
  <c r="A694" i="2"/>
  <c r="B693" i="2"/>
  <c r="A829" i="2"/>
  <c r="B828" i="2"/>
  <c r="A1033" i="2"/>
  <c r="B1032" i="2"/>
  <c r="B1236" i="2"/>
  <c r="A1237" i="2"/>
  <c r="A967" i="2"/>
  <c r="B966" i="2"/>
  <c r="B897" i="2"/>
  <c r="A898" i="2"/>
  <c r="B1372" i="2"/>
  <c r="A1373" i="2"/>
  <c r="B760" i="2"/>
  <c r="A761" i="2"/>
  <c r="B420" i="2"/>
  <c r="A421" i="2"/>
  <c r="B352" i="2"/>
  <c r="A353" i="2"/>
  <c r="B1781" i="2"/>
  <c r="A1782" i="2"/>
  <c r="A82" i="2"/>
  <c r="B81" i="2"/>
  <c r="A14" i="2"/>
  <c r="B14" i="2" s="1"/>
  <c r="B12" i="10" l="1"/>
  <c r="A13" i="10"/>
  <c r="A1103" i="7"/>
  <c r="B1102" i="7"/>
  <c r="A218" i="7"/>
  <c r="B217" i="7"/>
  <c r="B1305" i="7"/>
  <c r="A1306" i="7"/>
  <c r="A898" i="7"/>
  <c r="B897" i="7"/>
  <c r="A150" i="7"/>
  <c r="B149" i="7"/>
  <c r="A969" i="7"/>
  <c r="B968" i="7"/>
  <c r="A355" i="7"/>
  <c r="B354" i="7"/>
  <c r="A832" i="7"/>
  <c r="B831" i="7"/>
  <c r="A423" i="7"/>
  <c r="B422" i="7"/>
  <c r="B15" i="7"/>
  <c r="A16" i="7"/>
  <c r="A1579" i="7"/>
  <c r="B1578" i="7"/>
  <c r="B1509" i="7"/>
  <c r="A1510" i="7"/>
  <c r="A626" i="7"/>
  <c r="B625" i="7"/>
  <c r="B1374" i="7"/>
  <c r="A1375" i="7"/>
  <c r="A764" i="7"/>
  <c r="B763" i="7"/>
  <c r="A1851" i="7"/>
  <c r="B1850" i="7"/>
  <c r="B1238" i="7"/>
  <c r="A1239" i="7"/>
  <c r="A1646" i="7"/>
  <c r="B1645" i="7"/>
  <c r="A83" i="7"/>
  <c r="B82" i="7"/>
  <c r="A1782" i="7"/>
  <c r="B1781" i="7"/>
  <c r="A694" i="7"/>
  <c r="B693" i="7"/>
  <c r="A291" i="7"/>
  <c r="B290" i="7"/>
  <c r="A490" i="7"/>
  <c r="B489" i="7"/>
  <c r="A1715" i="7"/>
  <c r="B1714" i="7"/>
  <c r="A560" i="7"/>
  <c r="B559" i="7"/>
  <c r="A1171" i="7"/>
  <c r="B1170" i="7"/>
  <c r="A1036" i="7"/>
  <c r="B1035" i="7"/>
  <c r="A1443" i="7"/>
  <c r="B1442" i="7"/>
  <c r="B1713" i="2"/>
  <c r="A1714" i="2"/>
  <c r="B1645" i="2"/>
  <c r="A1646" i="2"/>
  <c r="A1442" i="2"/>
  <c r="B1441" i="2"/>
  <c r="B217" i="2"/>
  <c r="A218" i="2"/>
  <c r="A1850" i="2"/>
  <c r="B1849" i="2"/>
  <c r="A1103" i="2"/>
  <c r="B1102" i="2"/>
  <c r="B1577" i="2"/>
  <c r="A1578" i="2"/>
  <c r="A626" i="2"/>
  <c r="B625" i="2"/>
  <c r="A695" i="2"/>
  <c r="B694" i="2"/>
  <c r="B561" i="2"/>
  <c r="A562" i="2"/>
  <c r="A830" i="2"/>
  <c r="B829" i="2"/>
  <c r="B1169" i="2"/>
  <c r="A1170" i="2"/>
  <c r="A899" i="2"/>
  <c r="B898" i="2"/>
  <c r="B761" i="2"/>
  <c r="A762" i="2"/>
  <c r="A1374" i="2"/>
  <c r="B1373" i="2"/>
  <c r="B489" i="2"/>
  <c r="A490" i="2"/>
  <c r="A1510" i="2"/>
  <c r="B1509" i="2"/>
  <c r="A354" i="2"/>
  <c r="B353" i="2"/>
  <c r="B421" i="2"/>
  <c r="A422" i="2"/>
  <c r="B1782" i="2"/>
  <c r="A1783" i="2"/>
  <c r="B149" i="2"/>
  <c r="A150" i="2"/>
  <c r="B285" i="2"/>
  <c r="A286" i="2"/>
  <c r="A968" i="2"/>
  <c r="B967" i="2"/>
  <c r="B1237" i="2"/>
  <c r="A1238" i="2"/>
  <c r="A1307" i="2"/>
  <c r="B1306" i="2"/>
  <c r="A1034" i="2"/>
  <c r="B1033" i="2"/>
  <c r="B82" i="2"/>
  <c r="A83" i="2"/>
  <c r="A15" i="2"/>
  <c r="B15" i="2" s="1"/>
  <c r="A14" i="10" l="1"/>
  <c r="B13" i="10"/>
  <c r="B1306" i="7"/>
  <c r="A1307" i="7"/>
  <c r="A219" i="7"/>
  <c r="B218" i="7"/>
  <c r="A1104" i="7"/>
  <c r="B1103" i="7"/>
  <c r="A899" i="7"/>
  <c r="B898" i="7"/>
  <c r="A970" i="7"/>
  <c r="B969" i="7"/>
  <c r="B150" i="7"/>
  <c r="A151" i="7"/>
  <c r="B1715" i="7"/>
  <c r="A1716" i="7"/>
  <c r="A627" i="7"/>
  <c r="B626" i="7"/>
  <c r="B1510" i="7"/>
  <c r="A1511" i="7"/>
  <c r="A292" i="7"/>
  <c r="B291" i="7"/>
  <c r="A491" i="7"/>
  <c r="B490" i="7"/>
  <c r="B1646" i="7"/>
  <c r="A1647" i="7"/>
  <c r="A17" i="7"/>
  <c r="B16" i="7"/>
  <c r="B1239" i="7"/>
  <c r="A1240" i="7"/>
  <c r="B1443" i="7"/>
  <c r="A1444" i="7"/>
  <c r="A695" i="7"/>
  <c r="B694" i="7"/>
  <c r="B1851" i="7"/>
  <c r="A1852" i="7"/>
  <c r="A765" i="7"/>
  <c r="B764" i="7"/>
  <c r="A424" i="7"/>
  <c r="B423" i="7"/>
  <c r="A1172" i="7"/>
  <c r="B1171" i="7"/>
  <c r="A1376" i="7"/>
  <c r="B1375" i="7"/>
  <c r="B1579" i="7"/>
  <c r="A1580" i="7"/>
  <c r="A1037" i="7"/>
  <c r="B1036" i="7"/>
  <c r="B1782" i="7"/>
  <c r="A1783" i="7"/>
  <c r="B832" i="7"/>
  <c r="A833" i="7"/>
  <c r="B560" i="7"/>
  <c r="A561" i="7"/>
  <c r="B83" i="7"/>
  <c r="A84" i="7"/>
  <c r="A356" i="7"/>
  <c r="B355" i="7"/>
  <c r="B1714" i="2"/>
  <c r="A1715" i="2"/>
  <c r="A1647" i="2"/>
  <c r="B1646" i="2"/>
  <c r="B1103" i="2"/>
  <c r="A1104" i="2"/>
  <c r="A1851" i="2"/>
  <c r="B1850" i="2"/>
  <c r="B218" i="2"/>
  <c r="A219" i="2"/>
  <c r="B1442" i="2"/>
  <c r="A1443" i="2"/>
  <c r="B422" i="2"/>
  <c r="A423" i="2"/>
  <c r="B354" i="2"/>
  <c r="A355" i="2"/>
  <c r="A831" i="2"/>
  <c r="B830" i="2"/>
  <c r="B1170" i="2"/>
  <c r="A1171" i="2"/>
  <c r="B562" i="2"/>
  <c r="A563" i="2"/>
  <c r="B1510" i="2"/>
  <c r="A1511" i="2"/>
  <c r="A1239" i="2"/>
  <c r="B1238" i="2"/>
  <c r="B899" i="2"/>
  <c r="A900" i="2"/>
  <c r="B150" i="2"/>
  <c r="A151" i="2"/>
  <c r="A696" i="2"/>
  <c r="B695" i="2"/>
  <c r="A627" i="2"/>
  <c r="B626" i="2"/>
  <c r="B1783" i="2"/>
  <c r="A1784" i="2"/>
  <c r="B1578" i="2"/>
  <c r="A1579" i="2"/>
  <c r="B968" i="2"/>
  <c r="A969" i="2"/>
  <c r="B286" i="2"/>
  <c r="A287" i="2"/>
  <c r="B490" i="2"/>
  <c r="A491" i="2"/>
  <c r="B1034" i="2"/>
  <c r="A1035" i="2"/>
  <c r="A1375" i="2"/>
  <c r="B1374" i="2"/>
  <c r="B762" i="2"/>
  <c r="A763" i="2"/>
  <c r="A1308" i="2"/>
  <c r="B1307" i="2"/>
  <c r="A84" i="2"/>
  <c r="B83" i="2"/>
  <c r="A16" i="2"/>
  <c r="B16" i="2" s="1"/>
  <c r="A15" i="10" l="1"/>
  <c r="B14" i="10"/>
  <c r="B1104" i="7"/>
  <c r="A1105" i="7"/>
  <c r="A220" i="7"/>
  <c r="B219" i="7"/>
  <c r="A1308" i="7"/>
  <c r="B1307" i="7"/>
  <c r="B899" i="7"/>
  <c r="A900" i="7"/>
  <c r="B151" i="7"/>
  <c r="A152" i="7"/>
  <c r="A971" i="7"/>
  <c r="B970" i="7"/>
  <c r="A18" i="7"/>
  <c r="B17" i="7"/>
  <c r="A1853" i="7"/>
  <c r="B1852" i="7"/>
  <c r="B1647" i="7"/>
  <c r="A1648" i="7"/>
  <c r="A85" i="7"/>
  <c r="B84" i="7"/>
  <c r="B1037" i="7"/>
  <c r="A1038" i="7"/>
  <c r="B1376" i="7"/>
  <c r="A1377" i="7"/>
  <c r="A293" i="7"/>
  <c r="B292" i="7"/>
  <c r="A1512" i="7"/>
  <c r="B1511" i="7"/>
  <c r="B1580" i="7"/>
  <c r="A1581" i="7"/>
  <c r="A1784" i="7"/>
  <c r="B1783" i="7"/>
  <c r="A696" i="7"/>
  <c r="B695" i="7"/>
  <c r="A492" i="7"/>
  <c r="B491" i="7"/>
  <c r="B1444" i="7"/>
  <c r="A1445" i="7"/>
  <c r="A357" i="7"/>
  <c r="B356" i="7"/>
  <c r="A628" i="7"/>
  <c r="B627" i="7"/>
  <c r="B1240" i="7"/>
  <c r="A1241" i="7"/>
  <c r="A834" i="7"/>
  <c r="B833" i="7"/>
  <c r="B1716" i="7"/>
  <c r="A1717" i="7"/>
  <c r="A1173" i="7"/>
  <c r="B1172" i="7"/>
  <c r="A562" i="7"/>
  <c r="B561" i="7"/>
  <c r="B424" i="7"/>
  <c r="A425" i="7"/>
  <c r="A766" i="7"/>
  <c r="B765" i="7"/>
  <c r="A1716" i="2"/>
  <c r="B1715" i="2"/>
  <c r="B1647" i="2"/>
  <c r="A1648" i="2"/>
  <c r="B1443" i="2"/>
  <c r="A1444" i="2"/>
  <c r="A220" i="2"/>
  <c r="B219" i="2"/>
  <c r="A1852" i="2"/>
  <c r="B1851" i="2"/>
  <c r="A1105" i="2"/>
  <c r="B1104" i="2"/>
  <c r="B1035" i="2"/>
  <c r="A1036" i="2"/>
  <c r="A1512" i="2"/>
  <c r="B1511" i="2"/>
  <c r="B1375" i="2"/>
  <c r="A1376" i="2"/>
  <c r="B563" i="2"/>
  <c r="A564" i="2"/>
  <c r="B491" i="2"/>
  <c r="A492" i="2"/>
  <c r="B763" i="2"/>
  <c r="A764" i="2"/>
  <c r="A1240" i="2"/>
  <c r="B1239" i="2"/>
  <c r="B355" i="2"/>
  <c r="A356" i="2"/>
  <c r="A152" i="2"/>
  <c r="B151" i="2"/>
  <c r="A1785" i="2"/>
  <c r="B1784" i="2"/>
  <c r="B696" i="2"/>
  <c r="A697" i="2"/>
  <c r="A288" i="2"/>
  <c r="B287" i="2"/>
  <c r="B1579" i="2"/>
  <c r="A1580" i="2"/>
  <c r="A424" i="2"/>
  <c r="B423" i="2"/>
  <c r="A901" i="2"/>
  <c r="B900" i="2"/>
  <c r="A628" i="2"/>
  <c r="B627" i="2"/>
  <c r="A1172" i="2"/>
  <c r="B1171" i="2"/>
  <c r="A832" i="2"/>
  <c r="B831" i="2"/>
  <c r="A970" i="2"/>
  <c r="B969" i="2"/>
  <c r="B1308" i="2"/>
  <c r="A1309" i="2"/>
  <c r="A85" i="2"/>
  <c r="B84" i="2"/>
  <c r="A17" i="2"/>
  <c r="B17" i="2" s="1"/>
  <c r="A16" i="10" l="1"/>
  <c r="B15" i="10"/>
  <c r="A1309" i="7"/>
  <c r="B1308" i="7"/>
  <c r="A221" i="7"/>
  <c r="B220" i="7"/>
  <c r="B1105" i="7"/>
  <c r="A1106" i="7"/>
  <c r="A901" i="7"/>
  <c r="B900" i="7"/>
  <c r="B152" i="7"/>
  <c r="A153" i="7"/>
  <c r="B971" i="7"/>
  <c r="A972" i="7"/>
  <c r="A1039" i="7"/>
  <c r="B1038" i="7"/>
  <c r="B1445" i="7"/>
  <c r="A1446" i="7"/>
  <c r="B1173" i="7"/>
  <c r="A1174" i="7"/>
  <c r="A493" i="7"/>
  <c r="B492" i="7"/>
  <c r="A86" i="7"/>
  <c r="B85" i="7"/>
  <c r="A1718" i="7"/>
  <c r="B1717" i="7"/>
  <c r="B696" i="7"/>
  <c r="A697" i="7"/>
  <c r="B1648" i="7"/>
  <c r="A1649" i="7"/>
  <c r="A1854" i="7"/>
  <c r="B1853" i="7"/>
  <c r="B1581" i="7"/>
  <c r="A1582" i="7"/>
  <c r="B766" i="7"/>
  <c r="A767" i="7"/>
  <c r="A294" i="7"/>
  <c r="B293" i="7"/>
  <c r="A1378" i="7"/>
  <c r="B1377" i="7"/>
  <c r="B834" i="7"/>
  <c r="A835" i="7"/>
  <c r="A1785" i="7"/>
  <c r="B1784" i="7"/>
  <c r="A1242" i="7"/>
  <c r="B1241" i="7"/>
  <c r="B1512" i="7"/>
  <c r="A1513" i="7"/>
  <c r="A426" i="7"/>
  <c r="B425" i="7"/>
  <c r="A629" i="7"/>
  <c r="B628" i="7"/>
  <c r="A19" i="7"/>
  <c r="B18" i="7"/>
  <c r="A563" i="7"/>
  <c r="B562" i="7"/>
  <c r="A358" i="7"/>
  <c r="B357" i="7"/>
  <c r="B1716" i="2"/>
  <c r="A1717" i="2"/>
  <c r="A1649" i="2"/>
  <c r="B1648" i="2"/>
  <c r="B1852" i="2"/>
  <c r="A1853" i="2"/>
  <c r="B1105" i="2"/>
  <c r="A1106" i="2"/>
  <c r="B220" i="2"/>
  <c r="A221" i="2"/>
  <c r="A1445" i="2"/>
  <c r="B1444" i="2"/>
  <c r="B764" i="2"/>
  <c r="A765" i="2"/>
  <c r="B288" i="2"/>
  <c r="A289" i="2"/>
  <c r="A493" i="2"/>
  <c r="B492" i="2"/>
  <c r="B564" i="2"/>
  <c r="A565" i="2"/>
  <c r="A1377" i="2"/>
  <c r="B1376" i="2"/>
  <c r="B832" i="2"/>
  <c r="A833" i="2"/>
  <c r="A698" i="2"/>
  <c r="B697" i="2"/>
  <c r="A1173" i="2"/>
  <c r="B1172" i="2"/>
  <c r="A902" i="2"/>
  <c r="B901" i="2"/>
  <c r="A629" i="2"/>
  <c r="B628" i="2"/>
  <c r="A1786" i="2"/>
  <c r="B1785" i="2"/>
  <c r="B152" i="2"/>
  <c r="A153" i="2"/>
  <c r="B1309" i="2"/>
  <c r="A1310" i="2"/>
  <c r="B1580" i="2"/>
  <c r="A1581" i="2"/>
  <c r="B1036" i="2"/>
  <c r="A1037" i="2"/>
  <c r="B424" i="2"/>
  <c r="A425" i="2"/>
  <c r="B1512" i="2"/>
  <c r="A1513" i="2"/>
  <c r="B356" i="2"/>
  <c r="A357" i="2"/>
  <c r="B970" i="2"/>
  <c r="A971" i="2"/>
  <c r="B1240" i="2"/>
  <c r="A1241" i="2"/>
  <c r="B85" i="2"/>
  <c r="A86" i="2"/>
  <c r="A18" i="2"/>
  <c r="B18" i="2" s="1"/>
  <c r="A17" i="10" l="1"/>
  <c r="B16" i="10"/>
  <c r="A1107" i="7"/>
  <c r="B1106" i="7"/>
  <c r="A222" i="7"/>
  <c r="B221" i="7"/>
  <c r="A1310" i="7"/>
  <c r="B1309" i="7"/>
  <c r="B901" i="7"/>
  <c r="A902" i="7"/>
  <c r="B153" i="7"/>
  <c r="A154" i="7"/>
  <c r="A973" i="7"/>
  <c r="B972" i="7"/>
  <c r="B1174" i="7"/>
  <c r="A1175" i="7"/>
  <c r="A630" i="7"/>
  <c r="B629" i="7"/>
  <c r="A295" i="7"/>
  <c r="B294" i="7"/>
  <c r="B1718" i="7"/>
  <c r="A1719" i="7"/>
  <c r="A768" i="7"/>
  <c r="B767" i="7"/>
  <c r="A427" i="7"/>
  <c r="B426" i="7"/>
  <c r="B1854" i="7"/>
  <c r="A1855" i="7"/>
  <c r="B1582" i="7"/>
  <c r="A1583" i="7"/>
  <c r="A87" i="7"/>
  <c r="B86" i="7"/>
  <c r="B1446" i="7"/>
  <c r="A1447" i="7"/>
  <c r="A1786" i="7"/>
  <c r="B1785" i="7"/>
  <c r="A836" i="7"/>
  <c r="B835" i="7"/>
  <c r="B1039" i="7"/>
  <c r="A1040" i="7"/>
  <c r="A698" i="7"/>
  <c r="B697" i="7"/>
  <c r="A1514" i="7"/>
  <c r="B1513" i="7"/>
  <c r="A494" i="7"/>
  <c r="B493" i="7"/>
  <c r="A1243" i="7"/>
  <c r="B1242" i="7"/>
  <c r="A1650" i="7"/>
  <c r="B1649" i="7"/>
  <c r="A359" i="7"/>
  <c r="B358" i="7"/>
  <c r="A564" i="7"/>
  <c r="B563" i="7"/>
  <c r="B19" i="7"/>
  <c r="A20" i="7"/>
  <c r="A1379" i="7"/>
  <c r="B1378" i="7"/>
  <c r="B1717" i="2"/>
  <c r="A1718" i="2"/>
  <c r="B1649" i="2"/>
  <c r="A1650" i="2"/>
  <c r="A1446" i="2"/>
  <c r="B1445" i="2"/>
  <c r="B221" i="2"/>
  <c r="A222" i="2"/>
  <c r="A1107" i="2"/>
  <c r="B1106" i="2"/>
  <c r="B1853" i="2"/>
  <c r="A1854" i="2"/>
  <c r="B357" i="2"/>
  <c r="A358" i="2"/>
  <c r="B833" i="2"/>
  <c r="A834" i="2"/>
  <c r="B1513" i="2"/>
  <c r="A1514" i="2"/>
  <c r="B1377" i="2"/>
  <c r="A1378" i="2"/>
  <c r="B1037" i="2"/>
  <c r="A1038" i="2"/>
  <c r="A566" i="2"/>
  <c r="B565" i="2"/>
  <c r="A903" i="2"/>
  <c r="B902" i="2"/>
  <c r="A494" i="2"/>
  <c r="B493" i="2"/>
  <c r="B1581" i="2"/>
  <c r="A1582" i="2"/>
  <c r="B289" i="2"/>
  <c r="A290" i="2"/>
  <c r="B698" i="2"/>
  <c r="A699" i="2"/>
  <c r="B1786" i="2"/>
  <c r="A1787" i="2"/>
  <c r="A426" i="2"/>
  <c r="B425" i="2"/>
  <c r="A1311" i="2"/>
  <c r="B1310" i="2"/>
  <c r="B971" i="2"/>
  <c r="A972" i="2"/>
  <c r="A154" i="2"/>
  <c r="B153" i="2"/>
  <c r="A766" i="2"/>
  <c r="B765" i="2"/>
  <c r="B629" i="2"/>
  <c r="A630" i="2"/>
  <c r="B1241" i="2"/>
  <c r="A1242" i="2"/>
  <c r="A1174" i="2"/>
  <c r="B1173" i="2"/>
  <c r="B86" i="2"/>
  <c r="A87" i="2"/>
  <c r="A19" i="2"/>
  <c r="B19" i="2" s="1"/>
  <c r="A18" i="10" l="1"/>
  <c r="B17" i="10"/>
  <c r="B1107" i="7"/>
  <c r="A1108" i="7"/>
  <c r="B222" i="7"/>
  <c r="A223" i="7"/>
  <c r="B1310" i="7"/>
  <c r="A1311" i="7"/>
  <c r="A903" i="7"/>
  <c r="B902" i="7"/>
  <c r="A974" i="7"/>
  <c r="B973" i="7"/>
  <c r="B154" i="7"/>
  <c r="A155" i="7"/>
  <c r="B564" i="7"/>
  <c r="A565" i="7"/>
  <c r="A837" i="7"/>
  <c r="B836" i="7"/>
  <c r="B359" i="7"/>
  <c r="A360" i="7"/>
  <c r="A1787" i="7"/>
  <c r="B1786" i="7"/>
  <c r="A1448" i="7"/>
  <c r="B1447" i="7"/>
  <c r="A1651" i="7"/>
  <c r="B1650" i="7"/>
  <c r="A428" i="7"/>
  <c r="B427" i="7"/>
  <c r="B1855" i="7"/>
  <c r="A1856" i="7"/>
  <c r="B768" i="7"/>
  <c r="A769" i="7"/>
  <c r="A88" i="7"/>
  <c r="B87" i="7"/>
  <c r="A1380" i="7"/>
  <c r="B1379" i="7"/>
  <c r="A1515" i="7"/>
  <c r="B1514" i="7"/>
  <c r="A296" i="7"/>
  <c r="B295" i="7"/>
  <c r="A1720" i="7"/>
  <c r="B1719" i="7"/>
  <c r="A631" i="7"/>
  <c r="B630" i="7"/>
  <c r="A1244" i="7"/>
  <c r="B1243" i="7"/>
  <c r="A21" i="7"/>
  <c r="B20" i="7"/>
  <c r="B1583" i="7"/>
  <c r="A1584" i="7"/>
  <c r="A699" i="7"/>
  <c r="B698" i="7"/>
  <c r="A1041" i="7"/>
  <c r="B1040" i="7"/>
  <c r="A1176" i="7"/>
  <c r="B1175" i="7"/>
  <c r="A495" i="7"/>
  <c r="B494" i="7"/>
  <c r="B1718" i="2"/>
  <c r="A1719" i="2"/>
  <c r="A1651" i="2"/>
  <c r="B1650" i="2"/>
  <c r="A1447" i="2"/>
  <c r="B1446" i="2"/>
  <c r="B1854" i="2"/>
  <c r="A1855" i="2"/>
  <c r="B1107" i="2"/>
  <c r="A1108" i="2"/>
  <c r="B222" i="2"/>
  <c r="A223" i="2"/>
  <c r="A1039" i="2"/>
  <c r="B1038" i="2"/>
  <c r="A631" i="2"/>
  <c r="B630" i="2"/>
  <c r="B1514" i="2"/>
  <c r="A1515" i="2"/>
  <c r="A835" i="2"/>
  <c r="B834" i="2"/>
  <c r="B1378" i="2"/>
  <c r="A1379" i="2"/>
  <c r="B699" i="2"/>
  <c r="A700" i="2"/>
  <c r="B154" i="2"/>
  <c r="A155" i="2"/>
  <c r="A1583" i="2"/>
  <c r="B1582" i="2"/>
  <c r="A1175" i="2"/>
  <c r="B1174" i="2"/>
  <c r="B903" i="2"/>
  <c r="A904" i="2"/>
  <c r="A291" i="2"/>
  <c r="B290" i="2"/>
  <c r="A767" i="2"/>
  <c r="B766" i="2"/>
  <c r="B426" i="2"/>
  <c r="A427" i="2"/>
  <c r="B1242" i="2"/>
  <c r="A1243" i="2"/>
  <c r="B1787" i="2"/>
  <c r="A1788" i="2"/>
  <c r="B358" i="2"/>
  <c r="A359" i="2"/>
  <c r="B972" i="2"/>
  <c r="A973" i="2"/>
  <c r="A1312" i="2"/>
  <c r="B1311" i="2"/>
  <c r="B494" i="2"/>
  <c r="A495" i="2"/>
  <c r="A567" i="2"/>
  <c r="B566" i="2"/>
  <c r="B87" i="2"/>
  <c r="A88" i="2"/>
  <c r="A20" i="2"/>
  <c r="B20" i="2" s="1"/>
  <c r="A19" i="10" l="1"/>
  <c r="B18" i="10"/>
  <c r="A224" i="7"/>
  <c r="B223" i="7"/>
  <c r="A1109" i="7"/>
  <c r="B1108" i="7"/>
  <c r="A1312" i="7"/>
  <c r="B1311" i="7"/>
  <c r="A904" i="7"/>
  <c r="B903" i="7"/>
  <c r="A156" i="7"/>
  <c r="B155" i="7"/>
  <c r="B974" i="7"/>
  <c r="A975" i="7"/>
  <c r="A1042" i="7"/>
  <c r="B1041" i="7"/>
  <c r="A297" i="7"/>
  <c r="B296" i="7"/>
  <c r="A429" i="7"/>
  <c r="B428" i="7"/>
  <c r="B1651" i="7"/>
  <c r="A1652" i="7"/>
  <c r="A700" i="7"/>
  <c r="B699" i="7"/>
  <c r="B1515" i="7"/>
  <c r="A1516" i="7"/>
  <c r="B1448" i="7"/>
  <c r="A1449" i="7"/>
  <c r="A1585" i="7"/>
  <c r="B1584" i="7"/>
  <c r="B1380" i="7"/>
  <c r="A1381" i="7"/>
  <c r="A496" i="7"/>
  <c r="B495" i="7"/>
  <c r="A22" i="7"/>
  <c r="B21" i="7"/>
  <c r="A89" i="7"/>
  <c r="B88" i="7"/>
  <c r="B1787" i="7"/>
  <c r="A1788" i="7"/>
  <c r="A770" i="7"/>
  <c r="B769" i="7"/>
  <c r="B360" i="7"/>
  <c r="A361" i="7"/>
  <c r="A632" i="7"/>
  <c r="B631" i="7"/>
  <c r="B837" i="7"/>
  <c r="A838" i="7"/>
  <c r="A1177" i="7"/>
  <c r="B1176" i="7"/>
  <c r="A1857" i="7"/>
  <c r="B1856" i="7"/>
  <c r="A566" i="7"/>
  <c r="B565" i="7"/>
  <c r="A1245" i="7"/>
  <c r="B1244" i="7"/>
  <c r="A1721" i="7"/>
  <c r="B1720" i="7"/>
  <c r="A1720" i="2"/>
  <c r="B1719" i="2"/>
  <c r="B1651" i="2"/>
  <c r="A1652" i="2"/>
  <c r="B1447" i="2"/>
  <c r="A1448" i="2"/>
  <c r="A1109" i="2"/>
  <c r="B1108" i="2"/>
  <c r="A224" i="2"/>
  <c r="B223" i="2"/>
  <c r="B1855" i="2"/>
  <c r="A1856" i="2"/>
  <c r="B1175" i="2"/>
  <c r="A1176" i="2"/>
  <c r="B835" i="2"/>
  <c r="A836" i="2"/>
  <c r="B973" i="2"/>
  <c r="A974" i="2"/>
  <c r="A360" i="2"/>
  <c r="B359" i="2"/>
  <c r="A1584" i="2"/>
  <c r="B1583" i="2"/>
  <c r="B155" i="2"/>
  <c r="A156" i="2"/>
  <c r="A1516" i="2"/>
  <c r="B1515" i="2"/>
  <c r="A1313" i="2"/>
  <c r="B1312" i="2"/>
  <c r="B1788" i="2"/>
  <c r="A1789" i="2"/>
  <c r="A1244" i="2"/>
  <c r="B1243" i="2"/>
  <c r="A568" i="2"/>
  <c r="B567" i="2"/>
  <c r="B767" i="2"/>
  <c r="A768" i="2"/>
  <c r="B631" i="2"/>
  <c r="A632" i="2"/>
  <c r="B904" i="2"/>
  <c r="A905" i="2"/>
  <c r="B1379" i="2"/>
  <c r="A1380" i="2"/>
  <c r="A428" i="2"/>
  <c r="B427" i="2"/>
  <c r="B700" i="2"/>
  <c r="A701" i="2"/>
  <c r="B495" i="2"/>
  <c r="A496" i="2"/>
  <c r="B291" i="2"/>
  <c r="A292" i="2"/>
  <c r="A1040" i="2"/>
  <c r="B1039" i="2"/>
  <c r="A89" i="2"/>
  <c r="B88" i="2"/>
  <c r="A21" i="2"/>
  <c r="B21" i="2" s="1"/>
  <c r="A20" i="10" l="1"/>
  <c r="B19" i="10"/>
  <c r="B224" i="7"/>
  <c r="A225" i="7"/>
  <c r="A1313" i="7"/>
  <c r="B1312" i="7"/>
  <c r="B1109" i="7"/>
  <c r="A1110" i="7"/>
  <c r="B904" i="7"/>
  <c r="A905" i="7"/>
  <c r="B156" i="7"/>
  <c r="A157" i="7"/>
  <c r="A976" i="7"/>
  <c r="B975" i="7"/>
  <c r="B1516" i="7"/>
  <c r="A1517" i="7"/>
  <c r="B1177" i="7"/>
  <c r="A1178" i="7"/>
  <c r="A90" i="7"/>
  <c r="B89" i="7"/>
  <c r="A701" i="7"/>
  <c r="B700" i="7"/>
  <c r="A839" i="7"/>
  <c r="B838" i="7"/>
  <c r="B1652" i="7"/>
  <c r="A1653" i="7"/>
  <c r="B1788" i="7"/>
  <c r="A1789" i="7"/>
  <c r="A23" i="7"/>
  <c r="B22" i="7"/>
  <c r="B496" i="7"/>
  <c r="A497" i="7"/>
  <c r="B632" i="7"/>
  <c r="A633" i="7"/>
  <c r="A1246" i="7"/>
  <c r="B1245" i="7"/>
  <c r="A430" i="7"/>
  <c r="B429" i="7"/>
  <c r="A1722" i="7"/>
  <c r="B1721" i="7"/>
  <c r="A1586" i="7"/>
  <c r="B1585" i="7"/>
  <c r="A298" i="7"/>
  <c r="B297" i="7"/>
  <c r="A362" i="7"/>
  <c r="B361" i="7"/>
  <c r="B1449" i="7"/>
  <c r="A1450" i="7"/>
  <c r="B1381" i="7"/>
  <c r="A1382" i="7"/>
  <c r="B566" i="7"/>
  <c r="A567" i="7"/>
  <c r="B1857" i="7"/>
  <c r="A1858" i="7"/>
  <c r="A771" i="7"/>
  <c r="B770" i="7"/>
  <c r="A1043" i="7"/>
  <c r="B1042" i="7"/>
  <c r="B1720" i="2"/>
  <c r="A1721" i="2"/>
  <c r="A1653" i="2"/>
  <c r="B1652" i="2"/>
  <c r="B224" i="2"/>
  <c r="A225" i="2"/>
  <c r="A1857" i="2"/>
  <c r="B1856" i="2"/>
  <c r="A1110" i="2"/>
  <c r="B1109" i="2"/>
  <c r="B1448" i="2"/>
  <c r="A1449" i="2"/>
  <c r="B568" i="2"/>
  <c r="A569" i="2"/>
  <c r="B768" i="2"/>
  <c r="A769" i="2"/>
  <c r="B156" i="2"/>
  <c r="A157" i="2"/>
  <c r="B428" i="2"/>
  <c r="A429" i="2"/>
  <c r="B1584" i="2"/>
  <c r="A1585" i="2"/>
  <c r="B496" i="2"/>
  <c r="A497" i="2"/>
  <c r="B360" i="2"/>
  <c r="A361" i="2"/>
  <c r="B1789" i="2"/>
  <c r="A1790" i="2"/>
  <c r="B905" i="2"/>
  <c r="A906" i="2"/>
  <c r="A975" i="2"/>
  <c r="B974" i="2"/>
  <c r="B836" i="2"/>
  <c r="A837" i="2"/>
  <c r="B1516" i="2"/>
  <c r="A1517" i="2"/>
  <c r="B701" i="2"/>
  <c r="A702" i="2"/>
  <c r="B632" i="2"/>
  <c r="A633" i="2"/>
  <c r="A1314" i="2"/>
  <c r="B1313" i="2"/>
  <c r="B292" i="2"/>
  <c r="A293" i="2"/>
  <c r="B1176" i="2"/>
  <c r="A1177" i="2"/>
  <c r="A1381" i="2"/>
  <c r="B1380" i="2"/>
  <c r="B1244" i="2"/>
  <c r="A1245" i="2"/>
  <c r="B1040" i="2"/>
  <c r="A1041" i="2"/>
  <c r="A90" i="2"/>
  <c r="B89" i="2"/>
  <c r="A22" i="2"/>
  <c r="B22" i="2" s="1"/>
  <c r="B20" i="10" l="1"/>
  <c r="A21" i="10"/>
  <c r="B1110" i="7"/>
  <c r="A1111" i="7"/>
  <c r="A1314" i="7"/>
  <c r="B1313" i="7"/>
  <c r="B225" i="7"/>
  <c r="A226" i="7"/>
  <c r="A906" i="7"/>
  <c r="B905" i="7"/>
  <c r="A977" i="7"/>
  <c r="B976" i="7"/>
  <c r="A158" i="7"/>
  <c r="B157" i="7"/>
  <c r="B1382" i="7"/>
  <c r="A1383" i="7"/>
  <c r="B362" i="7"/>
  <c r="A363" i="7"/>
  <c r="A1044" i="7"/>
  <c r="B1043" i="7"/>
  <c r="A299" i="7"/>
  <c r="B298" i="7"/>
  <c r="A91" i="7"/>
  <c r="B90" i="7"/>
  <c r="A498" i="7"/>
  <c r="B497" i="7"/>
  <c r="A1179" i="7"/>
  <c r="B1178" i="7"/>
  <c r="A634" i="7"/>
  <c r="B633" i="7"/>
  <c r="A1451" i="7"/>
  <c r="B1450" i="7"/>
  <c r="A840" i="7"/>
  <c r="B839" i="7"/>
  <c r="A702" i="7"/>
  <c r="B701" i="7"/>
  <c r="A772" i="7"/>
  <c r="B771" i="7"/>
  <c r="A1859" i="7"/>
  <c r="B1858" i="7"/>
  <c r="A1723" i="7"/>
  <c r="B1722" i="7"/>
  <c r="A1654" i="7"/>
  <c r="B1653" i="7"/>
  <c r="B1246" i="7"/>
  <c r="A1247" i="7"/>
  <c r="A1587" i="7"/>
  <c r="B1586" i="7"/>
  <c r="B1517" i="7"/>
  <c r="A1518" i="7"/>
  <c r="A568" i="7"/>
  <c r="B567" i="7"/>
  <c r="A1790" i="7"/>
  <c r="B1789" i="7"/>
  <c r="A431" i="7"/>
  <c r="B430" i="7"/>
  <c r="A24" i="7"/>
  <c r="B23" i="7"/>
  <c r="B1721" i="2"/>
  <c r="A1722" i="2"/>
  <c r="A1654" i="2"/>
  <c r="B1653" i="2"/>
  <c r="B1449" i="2"/>
  <c r="A1450" i="2"/>
  <c r="A1111" i="2"/>
  <c r="B1110" i="2"/>
  <c r="B1857" i="2"/>
  <c r="A1858" i="2"/>
  <c r="A226" i="2"/>
  <c r="B225" i="2"/>
  <c r="B975" i="2"/>
  <c r="A976" i="2"/>
  <c r="A838" i="2"/>
  <c r="B837" i="2"/>
  <c r="B429" i="2"/>
  <c r="A430" i="2"/>
  <c r="A1246" i="2"/>
  <c r="B1245" i="2"/>
  <c r="B157" i="2"/>
  <c r="A158" i="2"/>
  <c r="B1790" i="2"/>
  <c r="A1791" i="2"/>
  <c r="B769" i="2"/>
  <c r="A770" i="2"/>
  <c r="B497" i="2"/>
  <c r="A498" i="2"/>
  <c r="B1381" i="2"/>
  <c r="A1382" i="2"/>
  <c r="B1517" i="2"/>
  <c r="A1518" i="2"/>
  <c r="A907" i="2"/>
  <c r="B906" i="2"/>
  <c r="B293" i="2"/>
  <c r="A294" i="2"/>
  <c r="A634" i="2"/>
  <c r="B633" i="2"/>
  <c r="A1042" i="2"/>
  <c r="B1041" i="2"/>
  <c r="B702" i="2"/>
  <c r="A703" i="2"/>
  <c r="B361" i="2"/>
  <c r="A362" i="2"/>
  <c r="A570" i="2"/>
  <c r="B569" i="2"/>
  <c r="B1585" i="2"/>
  <c r="A1586" i="2"/>
  <c r="A1178" i="2"/>
  <c r="B1177" i="2"/>
  <c r="A1315" i="2"/>
  <c r="B1314" i="2"/>
  <c r="B90" i="2"/>
  <c r="A91" i="2"/>
  <c r="A23" i="2"/>
  <c r="B23" i="2" s="1"/>
  <c r="B21" i="10" l="1"/>
  <c r="A22" i="10"/>
  <c r="A227" i="7"/>
  <c r="B226" i="7"/>
  <c r="B1314" i="7"/>
  <c r="A1315" i="7"/>
  <c r="B1111" i="7"/>
  <c r="A1112" i="7"/>
  <c r="B906" i="7"/>
  <c r="A907" i="7"/>
  <c r="B977" i="7"/>
  <c r="A978" i="7"/>
  <c r="A159" i="7"/>
  <c r="B158" i="7"/>
  <c r="A499" i="7"/>
  <c r="B498" i="7"/>
  <c r="B1859" i="7"/>
  <c r="A1860" i="7"/>
  <c r="B772" i="7"/>
  <c r="A773" i="7"/>
  <c r="A703" i="7"/>
  <c r="B702" i="7"/>
  <c r="B840" i="7"/>
  <c r="A841" i="7"/>
  <c r="A300" i="7"/>
  <c r="B299" i="7"/>
  <c r="B1790" i="7"/>
  <c r="A1791" i="7"/>
  <c r="B1723" i="7"/>
  <c r="A1724" i="7"/>
  <c r="A1588" i="7"/>
  <c r="B1587" i="7"/>
  <c r="B634" i="7"/>
  <c r="A635" i="7"/>
  <c r="B568" i="7"/>
  <c r="A569" i="7"/>
  <c r="B1518" i="7"/>
  <c r="A1519" i="7"/>
  <c r="B91" i="7"/>
  <c r="A92" i="7"/>
  <c r="A1248" i="7"/>
  <c r="B1247" i="7"/>
  <c r="B1044" i="7"/>
  <c r="A1045" i="7"/>
  <c r="A432" i="7"/>
  <c r="B431" i="7"/>
  <c r="B1654" i="7"/>
  <c r="A1655" i="7"/>
  <c r="A1384" i="7"/>
  <c r="B1383" i="7"/>
  <c r="A25" i="7"/>
  <c r="B24" i="7"/>
  <c r="A1452" i="7"/>
  <c r="B1451" i="7"/>
  <c r="A364" i="7"/>
  <c r="B363" i="7"/>
  <c r="B1179" i="7"/>
  <c r="A1180" i="7"/>
  <c r="B1722" i="2"/>
  <c r="A1723" i="2"/>
  <c r="B1654" i="2"/>
  <c r="A1655" i="2"/>
  <c r="A227" i="2"/>
  <c r="B226" i="2"/>
  <c r="B1858" i="2"/>
  <c r="A1859" i="2"/>
  <c r="A1112" i="2"/>
  <c r="B1111" i="2"/>
  <c r="B1450" i="2"/>
  <c r="A1451" i="2"/>
  <c r="B294" i="2"/>
  <c r="A295" i="2"/>
  <c r="B158" i="2"/>
  <c r="A159" i="2"/>
  <c r="B770" i="2"/>
  <c r="A771" i="2"/>
  <c r="A1792" i="2"/>
  <c r="B1791" i="2"/>
  <c r="B570" i="2"/>
  <c r="A571" i="2"/>
  <c r="B362" i="2"/>
  <c r="A363" i="2"/>
  <c r="A1247" i="2"/>
  <c r="B1246" i="2"/>
  <c r="B430" i="2"/>
  <c r="A431" i="2"/>
  <c r="A635" i="2"/>
  <c r="B634" i="2"/>
  <c r="B703" i="2"/>
  <c r="A704" i="2"/>
  <c r="B907" i="2"/>
  <c r="A908" i="2"/>
  <c r="B1042" i="2"/>
  <c r="A1043" i="2"/>
  <c r="A839" i="2"/>
  <c r="B838" i="2"/>
  <c r="A1383" i="2"/>
  <c r="B1382" i="2"/>
  <c r="A1519" i="2"/>
  <c r="B1518" i="2"/>
  <c r="A499" i="2"/>
  <c r="B498" i="2"/>
  <c r="B976" i="2"/>
  <c r="A977" i="2"/>
  <c r="A1179" i="2"/>
  <c r="B1178" i="2"/>
  <c r="B1586" i="2"/>
  <c r="A1587" i="2"/>
  <c r="B1315" i="2"/>
  <c r="A1316" i="2"/>
  <c r="B91" i="2"/>
  <c r="A92" i="2"/>
  <c r="A24" i="2"/>
  <c r="B22" i="10" l="1"/>
  <c r="A23" i="10"/>
  <c r="A228" i="7"/>
  <c r="B227" i="7"/>
  <c r="A1113" i="7"/>
  <c r="B1112" i="7"/>
  <c r="A1316" i="7"/>
  <c r="B1315" i="7"/>
  <c r="B907" i="7"/>
  <c r="A908" i="7"/>
  <c r="A160" i="7"/>
  <c r="B159" i="7"/>
  <c r="A979" i="7"/>
  <c r="B978" i="7"/>
  <c r="A1249" i="7"/>
  <c r="B1248" i="7"/>
  <c r="A842" i="7"/>
  <c r="B841" i="7"/>
  <c r="A570" i="7"/>
  <c r="B569" i="7"/>
  <c r="A704" i="7"/>
  <c r="B703" i="7"/>
  <c r="A26" i="7"/>
  <c r="B25" i="7"/>
  <c r="A301" i="7"/>
  <c r="B300" i="7"/>
  <c r="B1588" i="7"/>
  <c r="A1589" i="7"/>
  <c r="B1724" i="7"/>
  <c r="A1725" i="7"/>
  <c r="A365" i="7"/>
  <c r="B364" i="7"/>
  <c r="B432" i="7"/>
  <c r="A433" i="7"/>
  <c r="B92" i="7"/>
  <c r="A93" i="7"/>
  <c r="B1655" i="7"/>
  <c r="A1656" i="7"/>
  <c r="A774" i="7"/>
  <c r="B773" i="7"/>
  <c r="A1861" i="7"/>
  <c r="B1860" i="7"/>
  <c r="B1045" i="7"/>
  <c r="A1046" i="7"/>
  <c r="B1791" i="7"/>
  <c r="A1792" i="7"/>
  <c r="B1519" i="7"/>
  <c r="A1520" i="7"/>
  <c r="B1384" i="7"/>
  <c r="A1385" i="7"/>
  <c r="A1181" i="7"/>
  <c r="B1180" i="7"/>
  <c r="A636" i="7"/>
  <c r="B635" i="7"/>
  <c r="B1452" i="7"/>
  <c r="A1453" i="7"/>
  <c r="A500" i="7"/>
  <c r="B499" i="7"/>
  <c r="B1723" i="2"/>
  <c r="A1724" i="2"/>
  <c r="B1655" i="2"/>
  <c r="A1656" i="2"/>
  <c r="A1452" i="2"/>
  <c r="B1451" i="2"/>
  <c r="B1112" i="2"/>
  <c r="A1113" i="2"/>
  <c r="A1860" i="2"/>
  <c r="B1859" i="2"/>
  <c r="A25" i="2"/>
  <c r="B24" i="2"/>
  <c r="A228" i="2"/>
  <c r="B227" i="2"/>
  <c r="A1588" i="2"/>
  <c r="B1587" i="2"/>
  <c r="A364" i="2"/>
  <c r="B363" i="2"/>
  <c r="A840" i="2"/>
  <c r="B839" i="2"/>
  <c r="A572" i="2"/>
  <c r="B571" i="2"/>
  <c r="A500" i="2"/>
  <c r="B499" i="2"/>
  <c r="B1247" i="2"/>
  <c r="A1248" i="2"/>
  <c r="B704" i="2"/>
  <c r="A705" i="2"/>
  <c r="A772" i="2"/>
  <c r="B771" i="2"/>
  <c r="A160" i="2"/>
  <c r="B159" i="2"/>
  <c r="B1179" i="2"/>
  <c r="A1180" i="2"/>
  <c r="B977" i="2"/>
  <c r="A978" i="2"/>
  <c r="B908" i="2"/>
  <c r="A909" i="2"/>
  <c r="B1792" i="2"/>
  <c r="A1793" i="2"/>
  <c r="B1519" i="2"/>
  <c r="A1520" i="2"/>
  <c r="B1043" i="2"/>
  <c r="A1044" i="2"/>
  <c r="B635" i="2"/>
  <c r="A636" i="2"/>
  <c r="A1317" i="2"/>
  <c r="B1316" i="2"/>
  <c r="B431" i="2"/>
  <c r="A432" i="2"/>
  <c r="B295" i="2"/>
  <c r="A296" i="2"/>
  <c r="B1383" i="2"/>
  <c r="A1384" i="2"/>
  <c r="A93" i="2"/>
  <c r="B92" i="2"/>
  <c r="A24" i="10" l="1"/>
  <c r="B23" i="10"/>
  <c r="A1317" i="7"/>
  <c r="B1316" i="7"/>
  <c r="A1114" i="7"/>
  <c r="B1113" i="7"/>
  <c r="A229" i="7"/>
  <c r="B228" i="7"/>
  <c r="B908" i="7"/>
  <c r="A909" i="7"/>
  <c r="B979" i="7"/>
  <c r="A980" i="7"/>
  <c r="B160" i="7"/>
  <c r="A161" i="7"/>
  <c r="A1657" i="7"/>
  <c r="B1656" i="7"/>
  <c r="B1385" i="7"/>
  <c r="A1386" i="7"/>
  <c r="A302" i="7"/>
  <c r="B301" i="7"/>
  <c r="A27" i="7"/>
  <c r="B26" i="7"/>
  <c r="A1521" i="7"/>
  <c r="B1520" i="7"/>
  <c r="A94" i="7"/>
  <c r="B93" i="7"/>
  <c r="B704" i="7"/>
  <c r="A705" i="7"/>
  <c r="A1793" i="7"/>
  <c r="B1792" i="7"/>
  <c r="B1589" i="7"/>
  <c r="A1590" i="7"/>
  <c r="A637" i="7"/>
  <c r="B636" i="7"/>
  <c r="A1862" i="7"/>
  <c r="B1861" i="7"/>
  <c r="A843" i="7"/>
  <c r="B842" i="7"/>
  <c r="A571" i="7"/>
  <c r="B570" i="7"/>
  <c r="B433" i="7"/>
  <c r="A434" i="7"/>
  <c r="A501" i="7"/>
  <c r="B500" i="7"/>
  <c r="A366" i="7"/>
  <c r="B365" i="7"/>
  <c r="B1453" i="7"/>
  <c r="A1454" i="7"/>
  <c r="A1047" i="7"/>
  <c r="B1046" i="7"/>
  <c r="A1726" i="7"/>
  <c r="B1725" i="7"/>
  <c r="B1181" i="7"/>
  <c r="A1182" i="7"/>
  <c r="A775" i="7"/>
  <c r="B774" i="7"/>
  <c r="A1250" i="7"/>
  <c r="B1249" i="7"/>
  <c r="B1724" i="2"/>
  <c r="A1725" i="2"/>
  <c r="B1656" i="2"/>
  <c r="A1657" i="2"/>
  <c r="A1453" i="2"/>
  <c r="B1452" i="2"/>
  <c r="B228" i="2"/>
  <c r="A229" i="2"/>
  <c r="B25" i="2"/>
  <c r="A26" i="2"/>
  <c r="B1860" i="2"/>
  <c r="A1861" i="2"/>
  <c r="B1113" i="2"/>
  <c r="A1114" i="2"/>
  <c r="B572" i="2"/>
  <c r="A573" i="2"/>
  <c r="A1249" i="2"/>
  <c r="B1248" i="2"/>
  <c r="A1318" i="2"/>
  <c r="B1317" i="2"/>
  <c r="B636" i="2"/>
  <c r="A637" i="2"/>
  <c r="B1180" i="2"/>
  <c r="A1181" i="2"/>
  <c r="B840" i="2"/>
  <c r="A841" i="2"/>
  <c r="A501" i="2"/>
  <c r="B500" i="2"/>
  <c r="A910" i="2"/>
  <c r="B909" i="2"/>
  <c r="B364" i="2"/>
  <c r="A365" i="2"/>
  <c r="A773" i="2"/>
  <c r="B772" i="2"/>
  <c r="B432" i="2"/>
  <c r="A433" i="2"/>
  <c r="B978" i="2"/>
  <c r="A979" i="2"/>
  <c r="B1384" i="2"/>
  <c r="A1385" i="2"/>
  <c r="B1520" i="2"/>
  <c r="A1521" i="2"/>
  <c r="B296" i="2"/>
  <c r="A297" i="2"/>
  <c r="B1793" i="2"/>
  <c r="A1794" i="2"/>
  <c r="A706" i="2"/>
  <c r="B705" i="2"/>
  <c r="B160" i="2"/>
  <c r="A161" i="2"/>
  <c r="B1044" i="2"/>
  <c r="A1045" i="2"/>
  <c r="B1588" i="2"/>
  <c r="A1589" i="2"/>
  <c r="B93" i="2"/>
  <c r="A94" i="2"/>
  <c r="A25" i="10" l="1"/>
  <c r="B24" i="10"/>
  <c r="B229" i="7"/>
  <c r="A230" i="7"/>
  <c r="A1115" i="7"/>
  <c r="B1114" i="7"/>
  <c r="B1317" i="7"/>
  <c r="A1318" i="7"/>
  <c r="A910" i="7"/>
  <c r="B909" i="7"/>
  <c r="A162" i="7"/>
  <c r="B161" i="7"/>
  <c r="B980" i="7"/>
  <c r="A981" i="7"/>
  <c r="B302" i="7"/>
  <c r="A303" i="7"/>
  <c r="B1726" i="7"/>
  <c r="A1727" i="7"/>
  <c r="B1862" i="7"/>
  <c r="A1863" i="7"/>
  <c r="A1048" i="7"/>
  <c r="B1047" i="7"/>
  <c r="A638" i="7"/>
  <c r="B637" i="7"/>
  <c r="B27" i="7"/>
  <c r="A28" i="7"/>
  <c r="B1454" i="7"/>
  <c r="A1455" i="7"/>
  <c r="B1590" i="7"/>
  <c r="A1591" i="7"/>
  <c r="A1387" i="7"/>
  <c r="B1386" i="7"/>
  <c r="A435" i="7"/>
  <c r="B434" i="7"/>
  <c r="B705" i="7"/>
  <c r="A706" i="7"/>
  <c r="A776" i="7"/>
  <c r="B775" i="7"/>
  <c r="A572" i="7"/>
  <c r="B571" i="7"/>
  <c r="A95" i="7"/>
  <c r="B94" i="7"/>
  <c r="A367" i="7"/>
  <c r="B366" i="7"/>
  <c r="A502" i="7"/>
  <c r="B501" i="7"/>
  <c r="A1794" i="7"/>
  <c r="B1793" i="7"/>
  <c r="B1182" i="7"/>
  <c r="A1183" i="7"/>
  <c r="A1251" i="7"/>
  <c r="B1250" i="7"/>
  <c r="A844" i="7"/>
  <c r="B843" i="7"/>
  <c r="A1522" i="7"/>
  <c r="B1521" i="7"/>
  <c r="A1658" i="7"/>
  <c r="B1657" i="7"/>
  <c r="B1725" i="2"/>
  <c r="A1726" i="2"/>
  <c r="B1657" i="2"/>
  <c r="A1658" i="2"/>
  <c r="A1115" i="2"/>
  <c r="B1114" i="2"/>
  <c r="B26" i="2"/>
  <c r="A27" i="2"/>
  <c r="B229" i="2"/>
  <c r="A230" i="2"/>
  <c r="A1862" i="2"/>
  <c r="B1861" i="2"/>
  <c r="A1454" i="2"/>
  <c r="B1453" i="2"/>
  <c r="B501" i="2"/>
  <c r="A502" i="2"/>
  <c r="A162" i="2"/>
  <c r="B161" i="2"/>
  <c r="B433" i="2"/>
  <c r="A434" i="2"/>
  <c r="B841" i="2"/>
  <c r="A842" i="2"/>
  <c r="A1795" i="2"/>
  <c r="B1794" i="2"/>
  <c r="B1181" i="2"/>
  <c r="A1182" i="2"/>
  <c r="B979" i="2"/>
  <c r="A980" i="2"/>
  <c r="B706" i="2"/>
  <c r="A707" i="2"/>
  <c r="B1045" i="2"/>
  <c r="A1046" i="2"/>
  <c r="A638" i="2"/>
  <c r="B637" i="2"/>
  <c r="A774" i="2"/>
  <c r="B773" i="2"/>
  <c r="A1319" i="2"/>
  <c r="B1318" i="2"/>
  <c r="B297" i="2"/>
  <c r="A298" i="2"/>
  <c r="A1590" i="2"/>
  <c r="B1589" i="2"/>
  <c r="B1521" i="2"/>
  <c r="A1522" i="2"/>
  <c r="A911" i="2"/>
  <c r="B910" i="2"/>
  <c r="B1249" i="2"/>
  <c r="A1250" i="2"/>
  <c r="B1385" i="2"/>
  <c r="A1386" i="2"/>
  <c r="A574" i="2"/>
  <c r="B573" i="2"/>
  <c r="B365" i="2"/>
  <c r="A366" i="2"/>
  <c r="B94" i="2"/>
  <c r="A95" i="2"/>
  <c r="A26" i="10" l="1"/>
  <c r="B25" i="10"/>
  <c r="B1318" i="7"/>
  <c r="A1319" i="7"/>
  <c r="A1116" i="7"/>
  <c r="B1115" i="7"/>
  <c r="A231" i="7"/>
  <c r="B230" i="7"/>
  <c r="A911" i="7"/>
  <c r="B910" i="7"/>
  <c r="B981" i="7"/>
  <c r="A982" i="7"/>
  <c r="A163" i="7"/>
  <c r="B162" i="7"/>
  <c r="B1183" i="7"/>
  <c r="A1184" i="7"/>
  <c r="A1456" i="7"/>
  <c r="B1455" i="7"/>
  <c r="A639" i="7"/>
  <c r="B638" i="7"/>
  <c r="A573" i="7"/>
  <c r="B572" i="7"/>
  <c r="A503" i="7"/>
  <c r="B502" i="7"/>
  <c r="A29" i="7"/>
  <c r="B28" i="7"/>
  <c r="A436" i="7"/>
  <c r="B435" i="7"/>
  <c r="B776" i="7"/>
  <c r="A777" i="7"/>
  <c r="A707" i="7"/>
  <c r="B706" i="7"/>
  <c r="A1523" i="7"/>
  <c r="B1522" i="7"/>
  <c r="A368" i="7"/>
  <c r="B367" i="7"/>
  <c r="A1388" i="7"/>
  <c r="B1387" i="7"/>
  <c r="A845" i="7"/>
  <c r="B844" i="7"/>
  <c r="A1659" i="7"/>
  <c r="B1658" i="7"/>
  <c r="A1592" i="7"/>
  <c r="B1591" i="7"/>
  <c r="A304" i="7"/>
  <c r="B303" i="7"/>
  <c r="A1795" i="7"/>
  <c r="B1794" i="7"/>
  <c r="B1048" i="7"/>
  <c r="A1049" i="7"/>
  <c r="A1864" i="7"/>
  <c r="B1863" i="7"/>
  <c r="A1728" i="7"/>
  <c r="B1727" i="7"/>
  <c r="A1252" i="7"/>
  <c r="B1251" i="7"/>
  <c r="A96" i="7"/>
  <c r="B95" i="7"/>
  <c r="B1726" i="2"/>
  <c r="A1727" i="2"/>
  <c r="B1658" i="2"/>
  <c r="A1659" i="2"/>
  <c r="B1454" i="2"/>
  <c r="A1455" i="2"/>
  <c r="B230" i="2"/>
  <c r="A231" i="2"/>
  <c r="B27" i="2"/>
  <c r="A28" i="2"/>
  <c r="B1862" i="2"/>
  <c r="A1863" i="2"/>
  <c r="B1115" i="2"/>
  <c r="A1116" i="2"/>
  <c r="B298" i="2"/>
  <c r="A299" i="2"/>
  <c r="A1183" i="2"/>
  <c r="B1182" i="2"/>
  <c r="B1319" i="2"/>
  <c r="A1320" i="2"/>
  <c r="B1795" i="2"/>
  <c r="A1796" i="2"/>
  <c r="B842" i="2"/>
  <c r="A843" i="2"/>
  <c r="B574" i="2"/>
  <c r="A575" i="2"/>
  <c r="B774" i="2"/>
  <c r="A775" i="2"/>
  <c r="B434" i="2"/>
  <c r="A435" i="2"/>
  <c r="A163" i="2"/>
  <c r="B162" i="2"/>
  <c r="B1250" i="2"/>
  <c r="A1251" i="2"/>
  <c r="B1522" i="2"/>
  <c r="A1523" i="2"/>
  <c r="B707" i="2"/>
  <c r="A708" i="2"/>
  <c r="A1387" i="2"/>
  <c r="B1386" i="2"/>
  <c r="B980" i="2"/>
  <c r="A981" i="2"/>
  <c r="B502" i="2"/>
  <c r="A503" i="2"/>
  <c r="B638" i="2"/>
  <c r="A639" i="2"/>
  <c r="A1047" i="2"/>
  <c r="B1046" i="2"/>
  <c r="A912" i="2"/>
  <c r="B911" i="2"/>
  <c r="B366" i="2"/>
  <c r="A367" i="2"/>
  <c r="B1590" i="2"/>
  <c r="A1591" i="2"/>
  <c r="B95" i="2"/>
  <c r="A96" i="2"/>
  <c r="A27" i="10" l="1"/>
  <c r="B26" i="10"/>
  <c r="A232" i="7"/>
  <c r="B231" i="7"/>
  <c r="A1117" i="7"/>
  <c r="B1116" i="7"/>
  <c r="A1320" i="7"/>
  <c r="B1319" i="7"/>
  <c r="A912" i="7"/>
  <c r="B911" i="7"/>
  <c r="B163" i="7"/>
  <c r="A164" i="7"/>
  <c r="B982" i="7"/>
  <c r="A983" i="7"/>
  <c r="A846" i="7"/>
  <c r="B845" i="7"/>
  <c r="A30" i="7"/>
  <c r="B29" i="7"/>
  <c r="A1865" i="7"/>
  <c r="B1864" i="7"/>
  <c r="B1659" i="7"/>
  <c r="A1660" i="7"/>
  <c r="B436" i="7"/>
  <c r="A437" i="7"/>
  <c r="A1050" i="7"/>
  <c r="B1049" i="7"/>
  <c r="B1388" i="7"/>
  <c r="A1389" i="7"/>
  <c r="B304" i="7"/>
  <c r="A305" i="7"/>
  <c r="A1253" i="7"/>
  <c r="B1252" i="7"/>
  <c r="A1524" i="7"/>
  <c r="B1523" i="7"/>
  <c r="A1729" i="7"/>
  <c r="B1728" i="7"/>
  <c r="A708" i="7"/>
  <c r="B707" i="7"/>
  <c r="B1456" i="7"/>
  <c r="A1457" i="7"/>
  <c r="A97" i="7"/>
  <c r="B96" i="7"/>
  <c r="A574" i="7"/>
  <c r="B573" i="7"/>
  <c r="A640" i="7"/>
  <c r="B639" i="7"/>
  <c r="A778" i="7"/>
  <c r="B777" i="7"/>
  <c r="A1185" i="7"/>
  <c r="B1184" i="7"/>
  <c r="B1795" i="7"/>
  <c r="A1796" i="7"/>
  <c r="A504" i="7"/>
  <c r="B503" i="7"/>
  <c r="B368" i="7"/>
  <c r="A369" i="7"/>
  <c r="A1593" i="7"/>
  <c r="B1592" i="7"/>
  <c r="B1727" i="2"/>
  <c r="A1728" i="2"/>
  <c r="B1659" i="2"/>
  <c r="A1660" i="2"/>
  <c r="A29" i="2"/>
  <c r="B28" i="2"/>
  <c r="B1116" i="2"/>
  <c r="A1117" i="2"/>
  <c r="B1863" i="2"/>
  <c r="A1864" i="2"/>
  <c r="A232" i="2"/>
  <c r="B231" i="2"/>
  <c r="B1455" i="2"/>
  <c r="A1456" i="2"/>
  <c r="B575" i="2"/>
  <c r="A576" i="2"/>
  <c r="B1796" i="2"/>
  <c r="A1797" i="2"/>
  <c r="B1251" i="2"/>
  <c r="A1252" i="2"/>
  <c r="A1048" i="2"/>
  <c r="B1047" i="2"/>
  <c r="A1321" i="2"/>
  <c r="B1320" i="2"/>
  <c r="B1183" i="2"/>
  <c r="A1184" i="2"/>
  <c r="A300" i="2"/>
  <c r="B299" i="2"/>
  <c r="A640" i="2"/>
  <c r="B639" i="2"/>
  <c r="A844" i="2"/>
  <c r="B843" i="2"/>
  <c r="B912" i="2"/>
  <c r="A913" i="2"/>
  <c r="A1524" i="2"/>
  <c r="B1523" i="2"/>
  <c r="A164" i="2"/>
  <c r="B163" i="2"/>
  <c r="A368" i="2"/>
  <c r="B367" i="2"/>
  <c r="B775" i="2"/>
  <c r="A776" i="2"/>
  <c r="B708" i="2"/>
  <c r="A709" i="2"/>
  <c r="B503" i="2"/>
  <c r="A504" i="2"/>
  <c r="B981" i="2"/>
  <c r="A982" i="2"/>
  <c r="A1592" i="2"/>
  <c r="B1591" i="2"/>
  <c r="A436" i="2"/>
  <c r="B435" i="2"/>
  <c r="B1387" i="2"/>
  <c r="A1388" i="2"/>
  <c r="A97" i="2"/>
  <c r="B96" i="2"/>
  <c r="B27" i="10" l="1"/>
  <c r="A28" i="10"/>
  <c r="A1118" i="7"/>
  <c r="B1117" i="7"/>
  <c r="B1320" i="7"/>
  <c r="A1321" i="7"/>
  <c r="A233" i="7"/>
  <c r="B232" i="7"/>
  <c r="B912" i="7"/>
  <c r="A913" i="7"/>
  <c r="A984" i="7"/>
  <c r="B983" i="7"/>
  <c r="B164" i="7"/>
  <c r="A165" i="7"/>
  <c r="B437" i="7"/>
  <c r="A438" i="7"/>
  <c r="B504" i="7"/>
  <c r="A505" i="7"/>
  <c r="A709" i="7"/>
  <c r="B708" i="7"/>
  <c r="B1796" i="7"/>
  <c r="A1797" i="7"/>
  <c r="B1660" i="7"/>
  <c r="A1661" i="7"/>
  <c r="A1186" i="7"/>
  <c r="B1185" i="7"/>
  <c r="A779" i="7"/>
  <c r="B778" i="7"/>
  <c r="B1729" i="7"/>
  <c r="A1730" i="7"/>
  <c r="A306" i="7"/>
  <c r="B305" i="7"/>
  <c r="A1254" i="7"/>
  <c r="B1253" i="7"/>
  <c r="B1389" i="7"/>
  <c r="A1390" i="7"/>
  <c r="A1594" i="7"/>
  <c r="B1593" i="7"/>
  <c r="A98" i="7"/>
  <c r="B97" i="7"/>
  <c r="A31" i="7"/>
  <c r="B30" i="7"/>
  <c r="B574" i="7"/>
  <c r="A575" i="7"/>
  <c r="B1865" i="7"/>
  <c r="A1866" i="7"/>
  <c r="B369" i="7"/>
  <c r="A370" i="7"/>
  <c r="A1458" i="7"/>
  <c r="B1457" i="7"/>
  <c r="B1524" i="7"/>
  <c r="A1525" i="7"/>
  <c r="B640" i="7"/>
  <c r="A641" i="7"/>
  <c r="A1051" i="7"/>
  <c r="B1050" i="7"/>
  <c r="A847" i="7"/>
  <c r="B846" i="7"/>
  <c r="A1729" i="2"/>
  <c r="B1728" i="2"/>
  <c r="B1660" i="2"/>
  <c r="A1661" i="2"/>
  <c r="B232" i="2"/>
  <c r="A233" i="2"/>
  <c r="A1118" i="2"/>
  <c r="B1117" i="2"/>
  <c r="A1865" i="2"/>
  <c r="B1864" i="2"/>
  <c r="B1456" i="2"/>
  <c r="A1457" i="2"/>
  <c r="A30" i="2"/>
  <c r="B29" i="2"/>
  <c r="B164" i="2"/>
  <c r="A165" i="2"/>
  <c r="B1321" i="2"/>
  <c r="A1322" i="2"/>
  <c r="B1184" i="2"/>
  <c r="A1185" i="2"/>
  <c r="A983" i="2"/>
  <c r="B982" i="2"/>
  <c r="B504" i="2"/>
  <c r="A505" i="2"/>
  <c r="B1252" i="2"/>
  <c r="A1253" i="2"/>
  <c r="B300" i="2"/>
  <c r="A301" i="2"/>
  <c r="A710" i="2"/>
  <c r="B709" i="2"/>
  <c r="B1797" i="2"/>
  <c r="A1798" i="2"/>
  <c r="B1592" i="2"/>
  <c r="A1593" i="2"/>
  <c r="A914" i="2"/>
  <c r="B913" i="2"/>
  <c r="B1388" i="2"/>
  <c r="A1389" i="2"/>
  <c r="A845" i="2"/>
  <c r="B844" i="2"/>
  <c r="B776" i="2"/>
  <c r="A777" i="2"/>
  <c r="B576" i="2"/>
  <c r="A577" i="2"/>
  <c r="B1048" i="2"/>
  <c r="A1049" i="2"/>
  <c r="B1524" i="2"/>
  <c r="A1525" i="2"/>
  <c r="B436" i="2"/>
  <c r="A437" i="2"/>
  <c r="B368" i="2"/>
  <c r="A369" i="2"/>
  <c r="B640" i="2"/>
  <c r="A641" i="2"/>
  <c r="A98" i="2"/>
  <c r="B97" i="2"/>
  <c r="A29" i="10" l="1"/>
  <c r="B28" i="10"/>
  <c r="A234" i="7"/>
  <c r="B233" i="7"/>
  <c r="A1322" i="7"/>
  <c r="B1321" i="7"/>
  <c r="A1119" i="7"/>
  <c r="B1118" i="7"/>
  <c r="B913" i="7"/>
  <c r="A914" i="7"/>
  <c r="A166" i="7"/>
  <c r="B165" i="7"/>
  <c r="A985" i="7"/>
  <c r="B984" i="7"/>
  <c r="A307" i="7"/>
  <c r="B306" i="7"/>
  <c r="B1525" i="7"/>
  <c r="A1526" i="7"/>
  <c r="B1390" i="7"/>
  <c r="A1391" i="7"/>
  <c r="B1186" i="7"/>
  <c r="A1187" i="7"/>
  <c r="A1662" i="7"/>
  <c r="B1661" i="7"/>
  <c r="A1459" i="7"/>
  <c r="B1458" i="7"/>
  <c r="B1254" i="7"/>
  <c r="A1255" i="7"/>
  <c r="A371" i="7"/>
  <c r="B370" i="7"/>
  <c r="A1867" i="7"/>
  <c r="B1866" i="7"/>
  <c r="A1798" i="7"/>
  <c r="B1797" i="7"/>
  <c r="A576" i="7"/>
  <c r="B575" i="7"/>
  <c r="B1051" i="7"/>
  <c r="A1052" i="7"/>
  <c r="A32" i="7"/>
  <c r="B31" i="7"/>
  <c r="A99" i="7"/>
  <c r="B98" i="7"/>
  <c r="A848" i="7"/>
  <c r="B847" i="7"/>
  <c r="A710" i="7"/>
  <c r="B709" i="7"/>
  <c r="A1731" i="7"/>
  <c r="B1730" i="7"/>
  <c r="B641" i="7"/>
  <c r="A642" i="7"/>
  <c r="A439" i="7"/>
  <c r="B438" i="7"/>
  <c r="A506" i="7"/>
  <c r="B505" i="7"/>
  <c r="A1595" i="7"/>
  <c r="B1594" i="7"/>
  <c r="A780" i="7"/>
  <c r="B779" i="7"/>
  <c r="B1729" i="2"/>
  <c r="A1730" i="2"/>
  <c r="B1661" i="2"/>
  <c r="A1662" i="2"/>
  <c r="A31" i="2"/>
  <c r="B30" i="2"/>
  <c r="B1457" i="2"/>
  <c r="A1458" i="2"/>
  <c r="A1866" i="2"/>
  <c r="B1865" i="2"/>
  <c r="A1119" i="2"/>
  <c r="B1118" i="2"/>
  <c r="B233" i="2"/>
  <c r="A234" i="2"/>
  <c r="A984" i="2"/>
  <c r="B983" i="2"/>
  <c r="B1185" i="2"/>
  <c r="A1186" i="2"/>
  <c r="B437" i="2"/>
  <c r="A438" i="2"/>
  <c r="B1798" i="2"/>
  <c r="A1799" i="2"/>
  <c r="A578" i="2"/>
  <c r="B577" i="2"/>
  <c r="B1322" i="2"/>
  <c r="A1323" i="2"/>
  <c r="B777" i="2"/>
  <c r="A778" i="2"/>
  <c r="A846" i="2"/>
  <c r="B845" i="2"/>
  <c r="A506" i="2"/>
  <c r="B505" i="2"/>
  <c r="B1049" i="2"/>
  <c r="A1050" i="2"/>
  <c r="B710" i="2"/>
  <c r="A711" i="2"/>
  <c r="B301" i="2"/>
  <c r="A302" i="2"/>
  <c r="B369" i="2"/>
  <c r="A370" i="2"/>
  <c r="A1390" i="2"/>
  <c r="B1389" i="2"/>
  <c r="B1253" i="2"/>
  <c r="A1254" i="2"/>
  <c r="B165" i="2"/>
  <c r="A166" i="2"/>
  <c r="A1526" i="2"/>
  <c r="B1525" i="2"/>
  <c r="B914" i="2"/>
  <c r="A915" i="2"/>
  <c r="B1593" i="2"/>
  <c r="A1594" i="2"/>
  <c r="B641" i="2"/>
  <c r="A642" i="2"/>
  <c r="B98" i="2"/>
  <c r="A99" i="2"/>
  <c r="A30" i="10" l="1"/>
  <c r="B29" i="10"/>
  <c r="B1119" i="7"/>
  <c r="A1120" i="7"/>
  <c r="A1323" i="7"/>
  <c r="B1322" i="7"/>
  <c r="A235" i="7"/>
  <c r="B234" i="7"/>
  <c r="B914" i="7"/>
  <c r="A915" i="7"/>
  <c r="A986" i="7"/>
  <c r="B985" i="7"/>
  <c r="B166" i="7"/>
  <c r="A167" i="7"/>
  <c r="B1255" i="7"/>
  <c r="A1256" i="7"/>
  <c r="A507" i="7"/>
  <c r="B506" i="7"/>
  <c r="B32" i="7"/>
  <c r="A33" i="7"/>
  <c r="B1052" i="7"/>
  <c r="A1053" i="7"/>
  <c r="A440" i="7"/>
  <c r="B439" i="7"/>
  <c r="A1460" i="7"/>
  <c r="B1459" i="7"/>
  <c r="B1731" i="7"/>
  <c r="A1732" i="7"/>
  <c r="A643" i="7"/>
  <c r="B642" i="7"/>
  <c r="A1188" i="7"/>
  <c r="B1187" i="7"/>
  <c r="B576" i="7"/>
  <c r="A577" i="7"/>
  <c r="B1526" i="7"/>
  <c r="A1527" i="7"/>
  <c r="B780" i="7"/>
  <c r="A781" i="7"/>
  <c r="A711" i="7"/>
  <c r="B710" i="7"/>
  <c r="B1798" i="7"/>
  <c r="A1799" i="7"/>
  <c r="B1391" i="7"/>
  <c r="A1392" i="7"/>
  <c r="B1662" i="7"/>
  <c r="A1663" i="7"/>
  <c r="A1596" i="7"/>
  <c r="B1595" i="7"/>
  <c r="B848" i="7"/>
  <c r="A849" i="7"/>
  <c r="B1867" i="7"/>
  <c r="A1868" i="7"/>
  <c r="B99" i="7"/>
  <c r="A100" i="7"/>
  <c r="B371" i="7"/>
  <c r="A372" i="7"/>
  <c r="A308" i="7"/>
  <c r="B307" i="7"/>
  <c r="A1731" i="2"/>
  <c r="B1730" i="2"/>
  <c r="B1662" i="2"/>
  <c r="A1663" i="2"/>
  <c r="A235" i="2"/>
  <c r="B234" i="2"/>
  <c r="B1119" i="2"/>
  <c r="A1120" i="2"/>
  <c r="A1867" i="2"/>
  <c r="B1866" i="2"/>
  <c r="A1459" i="2"/>
  <c r="B1458" i="2"/>
  <c r="A32" i="2"/>
  <c r="B31" i="2"/>
  <c r="B1799" i="2"/>
  <c r="A1800" i="2"/>
  <c r="B1050" i="2"/>
  <c r="A1051" i="2"/>
  <c r="B438" i="2"/>
  <c r="A439" i="2"/>
  <c r="B166" i="2"/>
  <c r="A167" i="2"/>
  <c r="A1255" i="2"/>
  <c r="B1254" i="2"/>
  <c r="B1186" i="2"/>
  <c r="A1187" i="2"/>
  <c r="A916" i="2"/>
  <c r="B915" i="2"/>
  <c r="B578" i="2"/>
  <c r="A579" i="2"/>
  <c r="A712" i="2"/>
  <c r="B711" i="2"/>
  <c r="B1526" i="2"/>
  <c r="A1527" i="2"/>
  <c r="B506" i="2"/>
  <c r="A507" i="2"/>
  <c r="A1391" i="2"/>
  <c r="B1390" i="2"/>
  <c r="A371" i="2"/>
  <c r="B370" i="2"/>
  <c r="B778" i="2"/>
  <c r="A779" i="2"/>
  <c r="B984" i="2"/>
  <c r="A985" i="2"/>
  <c r="A847" i="2"/>
  <c r="B846" i="2"/>
  <c r="B642" i="2"/>
  <c r="A643" i="2"/>
  <c r="B302" i="2"/>
  <c r="A303" i="2"/>
  <c r="A1324" i="2"/>
  <c r="B1323" i="2"/>
  <c r="A1595" i="2"/>
  <c r="B1594" i="2"/>
  <c r="B99" i="2"/>
  <c r="A100" i="2"/>
  <c r="B30" i="10" l="1"/>
  <c r="A31" i="10"/>
  <c r="A236" i="7"/>
  <c r="B235" i="7"/>
  <c r="A1324" i="7"/>
  <c r="B1323" i="7"/>
  <c r="A1121" i="7"/>
  <c r="B1120" i="7"/>
  <c r="B915" i="7"/>
  <c r="A916" i="7"/>
  <c r="A168" i="7"/>
  <c r="B167" i="7"/>
  <c r="B986" i="7"/>
  <c r="A987" i="7"/>
  <c r="B440" i="7"/>
  <c r="A441" i="7"/>
  <c r="B849" i="7"/>
  <c r="A850" i="7"/>
  <c r="A782" i="7"/>
  <c r="B781" i="7"/>
  <c r="B1732" i="7"/>
  <c r="A1733" i="7"/>
  <c r="B1596" i="7"/>
  <c r="A1597" i="7"/>
  <c r="B1460" i="7"/>
  <c r="A1461" i="7"/>
  <c r="B1663" i="7"/>
  <c r="A1664" i="7"/>
  <c r="B1053" i="7"/>
  <c r="A1054" i="7"/>
  <c r="A1528" i="7"/>
  <c r="B1527" i="7"/>
  <c r="B33" i="7"/>
  <c r="A34" i="7"/>
  <c r="A1393" i="7"/>
  <c r="B1392" i="7"/>
  <c r="A578" i="7"/>
  <c r="B577" i="7"/>
  <c r="B1188" i="7"/>
  <c r="A1189" i="7"/>
  <c r="B308" i="7"/>
  <c r="A309" i="7"/>
  <c r="A508" i="7"/>
  <c r="B507" i="7"/>
  <c r="A1869" i="7"/>
  <c r="B1868" i="7"/>
  <c r="A1257" i="7"/>
  <c r="B1256" i="7"/>
  <c r="A373" i="7"/>
  <c r="B372" i="7"/>
  <c r="A101" i="7"/>
  <c r="B100" i="7"/>
  <c r="A1800" i="7"/>
  <c r="B1799" i="7"/>
  <c r="A712" i="7"/>
  <c r="B711" i="7"/>
  <c r="A644" i="7"/>
  <c r="B643" i="7"/>
  <c r="A1732" i="2"/>
  <c r="B1731" i="2"/>
  <c r="B1663" i="2"/>
  <c r="A1664" i="2"/>
  <c r="B1459" i="2"/>
  <c r="A1460" i="2"/>
  <c r="B1867" i="2"/>
  <c r="A1868" i="2"/>
  <c r="B32" i="2"/>
  <c r="A33" i="2"/>
  <c r="A1121" i="2"/>
  <c r="B1120" i="2"/>
  <c r="B235" i="2"/>
  <c r="A236" i="2"/>
  <c r="B1187" i="2"/>
  <c r="A1188" i="2"/>
  <c r="B371" i="2"/>
  <c r="A372" i="2"/>
  <c r="A168" i="2"/>
  <c r="B167" i="2"/>
  <c r="B1595" i="2"/>
  <c r="A1596" i="2"/>
  <c r="B1324" i="2"/>
  <c r="A1325" i="2"/>
  <c r="A1052" i="2"/>
  <c r="B1051" i="2"/>
  <c r="B507" i="2"/>
  <c r="A508" i="2"/>
  <c r="A440" i="2"/>
  <c r="B439" i="2"/>
  <c r="A1392" i="2"/>
  <c r="B1391" i="2"/>
  <c r="B1527" i="2"/>
  <c r="A1528" i="2"/>
  <c r="A644" i="2"/>
  <c r="B643" i="2"/>
  <c r="A848" i="2"/>
  <c r="B847" i="2"/>
  <c r="A1256" i="2"/>
  <c r="B1255" i="2"/>
  <c r="A304" i="2"/>
  <c r="B303" i="2"/>
  <c r="B1800" i="2"/>
  <c r="A1801" i="2"/>
  <c r="A780" i="2"/>
  <c r="B779" i="2"/>
  <c r="B712" i="2"/>
  <c r="A713" i="2"/>
  <c r="B985" i="2"/>
  <c r="A986" i="2"/>
  <c r="A580" i="2"/>
  <c r="B579" i="2"/>
  <c r="A917" i="2"/>
  <c r="B916" i="2"/>
  <c r="A101" i="2"/>
  <c r="B100" i="2"/>
  <c r="A32" i="10" l="1"/>
  <c r="B31" i="10"/>
  <c r="A1122" i="7"/>
  <c r="B1121" i="7"/>
  <c r="A1325" i="7"/>
  <c r="B1324" i="7"/>
  <c r="B236" i="7"/>
  <c r="A237" i="7"/>
  <c r="A917" i="7"/>
  <c r="B916" i="7"/>
  <c r="B987" i="7"/>
  <c r="A988" i="7"/>
  <c r="A169" i="7"/>
  <c r="B168" i="7"/>
  <c r="B1461" i="7"/>
  <c r="A1462" i="7"/>
  <c r="B373" i="7"/>
  <c r="A374" i="7"/>
  <c r="A1258" i="7"/>
  <c r="B1257" i="7"/>
  <c r="B578" i="7"/>
  <c r="A579" i="7"/>
  <c r="B1597" i="7"/>
  <c r="A1598" i="7"/>
  <c r="A35" i="7"/>
  <c r="B34" i="7"/>
  <c r="A1734" i="7"/>
  <c r="B1733" i="7"/>
  <c r="B644" i="7"/>
  <c r="A645" i="7"/>
  <c r="A1529" i="7"/>
  <c r="B1528" i="7"/>
  <c r="A783" i="7"/>
  <c r="B782" i="7"/>
  <c r="A1870" i="7"/>
  <c r="B1869" i="7"/>
  <c r="A1801" i="7"/>
  <c r="B1800" i="7"/>
  <c r="A1394" i="7"/>
  <c r="B1393" i="7"/>
  <c r="A509" i="7"/>
  <c r="B508" i="7"/>
  <c r="B1054" i="7"/>
  <c r="A1055" i="7"/>
  <c r="B712" i="7"/>
  <c r="A713" i="7"/>
  <c r="B1189" i="7"/>
  <c r="A1190" i="7"/>
  <c r="A1665" i="7"/>
  <c r="B1664" i="7"/>
  <c r="A442" i="7"/>
  <c r="B441" i="7"/>
  <c r="A310" i="7"/>
  <c r="B309" i="7"/>
  <c r="A851" i="7"/>
  <c r="B850" i="7"/>
  <c r="A102" i="7"/>
  <c r="B101" i="7"/>
  <c r="B1732" i="2"/>
  <c r="A1733" i="2"/>
  <c r="A1665" i="2"/>
  <c r="B1664" i="2"/>
  <c r="B236" i="2"/>
  <c r="A237" i="2"/>
  <c r="A1122" i="2"/>
  <c r="B1121" i="2"/>
  <c r="A34" i="2"/>
  <c r="B33" i="2"/>
  <c r="A1869" i="2"/>
  <c r="B1868" i="2"/>
  <c r="B1460" i="2"/>
  <c r="A1461" i="2"/>
  <c r="A1053" i="2"/>
  <c r="B1052" i="2"/>
  <c r="B304" i="2"/>
  <c r="A305" i="2"/>
  <c r="B986" i="2"/>
  <c r="A987" i="2"/>
  <c r="A1597" i="2"/>
  <c r="B1596" i="2"/>
  <c r="B848" i="2"/>
  <c r="A849" i="2"/>
  <c r="B168" i="2"/>
  <c r="A169" i="2"/>
  <c r="B1325" i="2"/>
  <c r="A1326" i="2"/>
  <c r="B372" i="2"/>
  <c r="A373" i="2"/>
  <c r="A645" i="2"/>
  <c r="B644" i="2"/>
  <c r="A918" i="2"/>
  <c r="B917" i="2"/>
  <c r="A1257" i="2"/>
  <c r="B1256" i="2"/>
  <c r="B780" i="2"/>
  <c r="A781" i="2"/>
  <c r="A1529" i="2"/>
  <c r="B1528" i="2"/>
  <c r="B1801" i="2"/>
  <c r="A1802" i="2"/>
  <c r="A1189" i="2"/>
  <c r="B1188" i="2"/>
  <c r="B440" i="2"/>
  <c r="A441" i="2"/>
  <c r="B508" i="2"/>
  <c r="A509" i="2"/>
  <c r="B713" i="2"/>
  <c r="A714" i="2"/>
  <c r="A581" i="2"/>
  <c r="B580" i="2"/>
  <c r="B1392" i="2"/>
  <c r="A1393" i="2"/>
  <c r="B101" i="2"/>
  <c r="A102" i="2"/>
  <c r="A33" i="10" l="1"/>
  <c r="B32" i="10"/>
  <c r="A238" i="7"/>
  <c r="B237" i="7"/>
  <c r="B1325" i="7"/>
  <c r="A1326" i="7"/>
  <c r="A1123" i="7"/>
  <c r="B1122" i="7"/>
  <c r="A918" i="7"/>
  <c r="B917" i="7"/>
  <c r="A170" i="7"/>
  <c r="B169" i="7"/>
  <c r="B988" i="7"/>
  <c r="A989" i="7"/>
  <c r="A714" i="7"/>
  <c r="B713" i="7"/>
  <c r="B1665" i="7"/>
  <c r="A1666" i="7"/>
  <c r="B35" i="7"/>
  <c r="A36" i="7"/>
  <c r="A1191" i="7"/>
  <c r="B1190" i="7"/>
  <c r="B1598" i="7"/>
  <c r="A1599" i="7"/>
  <c r="B1801" i="7"/>
  <c r="A1802" i="7"/>
  <c r="A580" i="7"/>
  <c r="B579" i="7"/>
  <c r="A103" i="7"/>
  <c r="B102" i="7"/>
  <c r="B1529" i="7"/>
  <c r="A1530" i="7"/>
  <c r="B1258" i="7"/>
  <c r="A1259" i="7"/>
  <c r="A852" i="7"/>
  <c r="B851" i="7"/>
  <c r="A784" i="7"/>
  <c r="B783" i="7"/>
  <c r="A646" i="7"/>
  <c r="B645" i="7"/>
  <c r="B310" i="7"/>
  <c r="A311" i="7"/>
  <c r="A1395" i="7"/>
  <c r="B1394" i="7"/>
  <c r="B1870" i="7"/>
  <c r="A1871" i="7"/>
  <c r="A1056" i="7"/>
  <c r="B1055" i="7"/>
  <c r="A375" i="7"/>
  <c r="B374" i="7"/>
  <c r="A510" i="7"/>
  <c r="B509" i="7"/>
  <c r="B1462" i="7"/>
  <c r="A1463" i="7"/>
  <c r="B442" i="7"/>
  <c r="A443" i="7"/>
  <c r="B1734" i="7"/>
  <c r="A1735" i="7"/>
  <c r="B1733" i="2"/>
  <c r="A1734" i="2"/>
  <c r="B1665" i="2"/>
  <c r="A1666" i="2"/>
  <c r="A1462" i="2"/>
  <c r="B1461" i="2"/>
  <c r="A1123" i="2"/>
  <c r="B1122" i="2"/>
  <c r="A1870" i="2"/>
  <c r="B1869" i="2"/>
  <c r="B34" i="2"/>
  <c r="A35" i="2"/>
  <c r="B237" i="2"/>
  <c r="A238" i="2"/>
  <c r="A170" i="2"/>
  <c r="B169" i="2"/>
  <c r="A919" i="2"/>
  <c r="B918" i="2"/>
  <c r="A442" i="2"/>
  <c r="B441" i="2"/>
  <c r="A850" i="2"/>
  <c r="B849" i="2"/>
  <c r="A715" i="2"/>
  <c r="B714" i="2"/>
  <c r="A510" i="2"/>
  <c r="B509" i="2"/>
  <c r="B1189" i="2"/>
  <c r="A1190" i="2"/>
  <c r="B1802" i="2"/>
  <c r="A1803" i="2"/>
  <c r="B987" i="2"/>
  <c r="A988" i="2"/>
  <c r="B1529" i="2"/>
  <c r="A1530" i="2"/>
  <c r="B781" i="2"/>
  <c r="A782" i="2"/>
  <c r="B305" i="2"/>
  <c r="A306" i="2"/>
  <c r="B1597" i="2"/>
  <c r="A1598" i="2"/>
  <c r="B373" i="2"/>
  <c r="A374" i="2"/>
  <c r="A646" i="2"/>
  <c r="B645" i="2"/>
  <c r="B1393" i="2"/>
  <c r="A1394" i="2"/>
  <c r="A1327" i="2"/>
  <c r="B1326" i="2"/>
  <c r="B581" i="2"/>
  <c r="A582" i="2"/>
  <c r="B1257" i="2"/>
  <c r="A1258" i="2"/>
  <c r="B1053" i="2"/>
  <c r="A1054" i="2"/>
  <c r="B102" i="2"/>
  <c r="A103" i="2"/>
  <c r="A34" i="10" l="1"/>
  <c r="B33" i="10"/>
  <c r="B1123" i="7"/>
  <c r="A1124" i="7"/>
  <c r="B1326" i="7"/>
  <c r="A1327" i="7"/>
  <c r="A239" i="7"/>
  <c r="B238" i="7"/>
  <c r="B918" i="7"/>
  <c r="A919" i="7"/>
  <c r="B989" i="7"/>
  <c r="A990" i="7"/>
  <c r="B170" i="7"/>
  <c r="A171" i="7"/>
  <c r="A1464" i="7"/>
  <c r="B1463" i="7"/>
  <c r="A581" i="7"/>
  <c r="B580" i="7"/>
  <c r="B784" i="7"/>
  <c r="A785" i="7"/>
  <c r="A1803" i="7"/>
  <c r="B1802" i="7"/>
  <c r="A511" i="7"/>
  <c r="B510" i="7"/>
  <c r="A647" i="7"/>
  <c r="B646" i="7"/>
  <c r="A1600" i="7"/>
  <c r="B1599" i="7"/>
  <c r="A853" i="7"/>
  <c r="B852" i="7"/>
  <c r="A376" i="7"/>
  <c r="B375" i="7"/>
  <c r="A1057" i="7"/>
  <c r="B1056" i="7"/>
  <c r="A1192" i="7"/>
  <c r="B1191" i="7"/>
  <c r="A1872" i="7"/>
  <c r="B1871" i="7"/>
  <c r="B1735" i="7"/>
  <c r="A1736" i="7"/>
  <c r="A1667" i="7"/>
  <c r="B1666" i="7"/>
  <c r="A1396" i="7"/>
  <c r="B1395" i="7"/>
  <c r="A37" i="7"/>
  <c r="B36" i="7"/>
  <c r="B1259" i="7"/>
  <c r="A1260" i="7"/>
  <c r="A1531" i="7"/>
  <c r="B1530" i="7"/>
  <c r="A444" i="7"/>
  <c r="B443" i="7"/>
  <c r="B311" i="7"/>
  <c r="A312" i="7"/>
  <c r="A104" i="7"/>
  <c r="B103" i="7"/>
  <c r="B714" i="7"/>
  <c r="A715" i="7"/>
  <c r="B1734" i="2"/>
  <c r="A1735" i="2"/>
  <c r="B1666" i="2"/>
  <c r="A1667" i="2"/>
  <c r="B238" i="2"/>
  <c r="A239" i="2"/>
  <c r="A1871" i="2"/>
  <c r="B1870" i="2"/>
  <c r="A1124" i="2"/>
  <c r="B1123" i="2"/>
  <c r="A36" i="2"/>
  <c r="B35" i="2"/>
  <c r="B1462" i="2"/>
  <c r="A1463" i="2"/>
  <c r="B1258" i="2"/>
  <c r="A1259" i="2"/>
  <c r="A851" i="2"/>
  <c r="B850" i="2"/>
  <c r="B1530" i="2"/>
  <c r="A1531" i="2"/>
  <c r="B1327" i="2"/>
  <c r="A1328" i="2"/>
  <c r="A989" i="2"/>
  <c r="B988" i="2"/>
  <c r="A443" i="2"/>
  <c r="B442" i="2"/>
  <c r="A920" i="2"/>
  <c r="B919" i="2"/>
  <c r="A511" i="2"/>
  <c r="B510" i="2"/>
  <c r="B1394" i="2"/>
  <c r="A1395" i="2"/>
  <c r="A783" i="2"/>
  <c r="B782" i="2"/>
  <c r="A716" i="2"/>
  <c r="B715" i="2"/>
  <c r="A307" i="2"/>
  <c r="B306" i="2"/>
  <c r="A1055" i="2"/>
  <c r="B1054" i="2"/>
  <c r="B374" i="2"/>
  <c r="A375" i="2"/>
  <c r="A1804" i="2"/>
  <c r="B1803" i="2"/>
  <c r="B1598" i="2"/>
  <c r="A1599" i="2"/>
  <c r="A1191" i="2"/>
  <c r="B1190" i="2"/>
  <c r="B582" i="2"/>
  <c r="A583" i="2"/>
  <c r="B646" i="2"/>
  <c r="A647" i="2"/>
  <c r="B170" i="2"/>
  <c r="A171" i="2"/>
  <c r="A104" i="2"/>
  <c r="B103" i="2"/>
  <c r="B34" i="10" l="1"/>
  <c r="A35" i="10"/>
  <c r="A240" i="7"/>
  <c r="B239" i="7"/>
  <c r="A1125" i="7"/>
  <c r="B1124" i="7"/>
  <c r="A1328" i="7"/>
  <c r="B1327" i="7"/>
  <c r="B919" i="7"/>
  <c r="A920" i="7"/>
  <c r="B171" i="7"/>
  <c r="A172" i="7"/>
  <c r="A991" i="7"/>
  <c r="B990" i="7"/>
  <c r="B1667" i="7"/>
  <c r="A1668" i="7"/>
  <c r="A1601" i="7"/>
  <c r="B1600" i="7"/>
  <c r="A1737" i="7"/>
  <c r="B1736" i="7"/>
  <c r="A445" i="7"/>
  <c r="B444" i="7"/>
  <c r="A648" i="7"/>
  <c r="B647" i="7"/>
  <c r="B312" i="7"/>
  <c r="A313" i="7"/>
  <c r="A1532" i="7"/>
  <c r="B1531" i="7"/>
  <c r="A1873" i="7"/>
  <c r="B1872" i="7"/>
  <c r="A512" i="7"/>
  <c r="B511" i="7"/>
  <c r="A1261" i="7"/>
  <c r="B1260" i="7"/>
  <c r="B785" i="7"/>
  <c r="A786" i="7"/>
  <c r="B1192" i="7"/>
  <c r="A1193" i="7"/>
  <c r="A105" i="7"/>
  <c r="B104" i="7"/>
  <c r="A38" i="7"/>
  <c r="B37" i="7"/>
  <c r="B1057" i="7"/>
  <c r="A1058" i="7"/>
  <c r="B581" i="7"/>
  <c r="A582" i="7"/>
  <c r="B1803" i="7"/>
  <c r="A1804" i="7"/>
  <c r="A716" i="7"/>
  <c r="B715" i="7"/>
  <c r="B376" i="7"/>
  <c r="A377" i="7"/>
  <c r="B1396" i="7"/>
  <c r="A1397" i="7"/>
  <c r="A854" i="7"/>
  <c r="B853" i="7"/>
  <c r="B1464" i="7"/>
  <c r="A1465" i="7"/>
  <c r="A1736" i="2"/>
  <c r="B1735" i="2"/>
  <c r="A1668" i="2"/>
  <c r="B1667" i="2"/>
  <c r="B1124" i="2"/>
  <c r="A1125" i="2"/>
  <c r="A1464" i="2"/>
  <c r="B1463" i="2"/>
  <c r="A37" i="2"/>
  <c r="B36" i="2"/>
  <c r="A1872" i="2"/>
  <c r="B1871" i="2"/>
  <c r="A240" i="2"/>
  <c r="B239" i="2"/>
  <c r="A308" i="2"/>
  <c r="B307" i="2"/>
  <c r="A584" i="2"/>
  <c r="B583" i="2"/>
  <c r="B443" i="2"/>
  <c r="A444" i="2"/>
  <c r="B989" i="2"/>
  <c r="A990" i="2"/>
  <c r="B920" i="2"/>
  <c r="A921" i="2"/>
  <c r="B1191" i="2"/>
  <c r="A1192" i="2"/>
  <c r="A1600" i="2"/>
  <c r="B1599" i="2"/>
  <c r="A1329" i="2"/>
  <c r="B1328" i="2"/>
  <c r="B1531" i="2"/>
  <c r="A1532" i="2"/>
  <c r="A1805" i="2"/>
  <c r="B1804" i="2"/>
  <c r="B783" i="2"/>
  <c r="A784" i="2"/>
  <c r="A852" i="2"/>
  <c r="B851" i="2"/>
  <c r="A376" i="2"/>
  <c r="B375" i="2"/>
  <c r="A648" i="2"/>
  <c r="B647" i="2"/>
  <c r="B1259" i="2"/>
  <c r="A1260" i="2"/>
  <c r="B716" i="2"/>
  <c r="A717" i="2"/>
  <c r="B171" i="2"/>
  <c r="A172" i="2"/>
  <c r="A1396" i="2"/>
  <c r="B1395" i="2"/>
  <c r="B1055" i="2"/>
  <c r="A1056" i="2"/>
  <c r="B511" i="2"/>
  <c r="A512" i="2"/>
  <c r="A105" i="2"/>
  <c r="B104" i="2"/>
  <c r="A36" i="10" l="1"/>
  <c r="B35" i="10"/>
  <c r="B1328" i="7"/>
  <c r="A1329" i="7"/>
  <c r="A1126" i="7"/>
  <c r="B1125" i="7"/>
  <c r="A241" i="7"/>
  <c r="B240" i="7"/>
  <c r="B920" i="7"/>
  <c r="A921" i="7"/>
  <c r="A992" i="7"/>
  <c r="B991" i="7"/>
  <c r="A173" i="7"/>
  <c r="B172" i="7"/>
  <c r="A39" i="7"/>
  <c r="B38" i="7"/>
  <c r="B1873" i="7"/>
  <c r="A1874" i="7"/>
  <c r="A106" i="7"/>
  <c r="B105" i="7"/>
  <c r="B1532" i="7"/>
  <c r="A1533" i="7"/>
  <c r="A378" i="7"/>
  <c r="B377" i="7"/>
  <c r="A314" i="7"/>
  <c r="B313" i="7"/>
  <c r="A1194" i="7"/>
  <c r="B1193" i="7"/>
  <c r="B648" i="7"/>
  <c r="A649" i="7"/>
  <c r="A787" i="7"/>
  <c r="B786" i="7"/>
  <c r="A1466" i="7"/>
  <c r="B1465" i="7"/>
  <c r="A717" i="7"/>
  <c r="B716" i="7"/>
  <c r="A446" i="7"/>
  <c r="B445" i="7"/>
  <c r="B1261" i="7"/>
  <c r="A1262" i="7"/>
  <c r="A1738" i="7"/>
  <c r="B1737" i="7"/>
  <c r="B1397" i="7"/>
  <c r="A1398" i="7"/>
  <c r="A583" i="7"/>
  <c r="B582" i="7"/>
  <c r="A1602" i="7"/>
  <c r="B1601" i="7"/>
  <c r="B1804" i="7"/>
  <c r="A1805" i="7"/>
  <c r="A1059" i="7"/>
  <c r="B1058" i="7"/>
  <c r="B1668" i="7"/>
  <c r="A1669" i="7"/>
  <c r="A855" i="7"/>
  <c r="B854" i="7"/>
  <c r="B512" i="7"/>
  <c r="A513" i="7"/>
  <c r="B1736" i="2"/>
  <c r="A1737" i="2"/>
  <c r="B1668" i="2"/>
  <c r="A1669" i="2"/>
  <c r="A241" i="2"/>
  <c r="B240" i="2"/>
  <c r="A1873" i="2"/>
  <c r="B1872" i="2"/>
  <c r="B37" i="2"/>
  <c r="A38" i="2"/>
  <c r="A1465" i="2"/>
  <c r="B1464" i="2"/>
  <c r="B1125" i="2"/>
  <c r="A1126" i="2"/>
  <c r="B717" i="2"/>
  <c r="A718" i="2"/>
  <c r="A991" i="2"/>
  <c r="B990" i="2"/>
  <c r="B1805" i="2"/>
  <c r="A1806" i="2"/>
  <c r="B1260" i="2"/>
  <c r="A1261" i="2"/>
  <c r="A1533" i="2"/>
  <c r="B1532" i="2"/>
  <c r="B172" i="2"/>
  <c r="A173" i="2"/>
  <c r="B444" i="2"/>
  <c r="A445" i="2"/>
  <c r="A1330" i="2"/>
  <c r="B1329" i="2"/>
  <c r="B648" i="2"/>
  <c r="A649" i="2"/>
  <c r="B512" i="2"/>
  <c r="A513" i="2"/>
  <c r="B584" i="2"/>
  <c r="A585" i="2"/>
  <c r="B921" i="2"/>
  <c r="A922" i="2"/>
  <c r="B376" i="2"/>
  <c r="A377" i="2"/>
  <c r="B1396" i="2"/>
  <c r="A1397" i="2"/>
  <c r="B784" i="2"/>
  <c r="A785" i="2"/>
  <c r="B852" i="2"/>
  <c r="A853" i="2"/>
  <c r="B1600" i="2"/>
  <c r="A1601" i="2"/>
  <c r="A1057" i="2"/>
  <c r="B1056" i="2"/>
  <c r="A1193" i="2"/>
  <c r="B1192" i="2"/>
  <c r="B308" i="2"/>
  <c r="A309" i="2"/>
  <c r="B105" i="2"/>
  <c r="A106" i="2"/>
  <c r="A37" i="10" l="1"/>
  <c r="B36" i="10"/>
  <c r="A242" i="7"/>
  <c r="B241" i="7"/>
  <c r="A1127" i="7"/>
  <c r="B1126" i="7"/>
  <c r="A1330" i="7"/>
  <c r="B1329" i="7"/>
  <c r="B921" i="7"/>
  <c r="A922" i="7"/>
  <c r="A174" i="7"/>
  <c r="B173" i="7"/>
  <c r="A993" i="7"/>
  <c r="B992" i="7"/>
  <c r="A1060" i="7"/>
  <c r="B1059" i="7"/>
  <c r="A447" i="7"/>
  <c r="B446" i="7"/>
  <c r="A315" i="7"/>
  <c r="B314" i="7"/>
  <c r="A1806" i="7"/>
  <c r="B1805" i="7"/>
  <c r="A718" i="7"/>
  <c r="B717" i="7"/>
  <c r="A379" i="7"/>
  <c r="B378" i="7"/>
  <c r="B1533" i="7"/>
  <c r="A1534" i="7"/>
  <c r="A1603" i="7"/>
  <c r="B1602" i="7"/>
  <c r="A1467" i="7"/>
  <c r="B1466" i="7"/>
  <c r="A788" i="7"/>
  <c r="B787" i="7"/>
  <c r="B106" i="7"/>
  <c r="A107" i="7"/>
  <c r="A650" i="7"/>
  <c r="B649" i="7"/>
  <c r="A584" i="7"/>
  <c r="B583" i="7"/>
  <c r="B1398" i="7"/>
  <c r="A1399" i="7"/>
  <c r="A1875" i="7"/>
  <c r="B1874" i="7"/>
  <c r="B513" i="7"/>
  <c r="A514" i="7"/>
  <c r="A1195" i="7"/>
  <c r="B1194" i="7"/>
  <c r="A856" i="7"/>
  <c r="B855" i="7"/>
  <c r="A1739" i="7"/>
  <c r="B1738" i="7"/>
  <c r="A40" i="7"/>
  <c r="B39" i="7"/>
  <c r="A1670" i="7"/>
  <c r="B1669" i="7"/>
  <c r="B1262" i="7"/>
  <c r="A1263" i="7"/>
  <c r="B1737" i="2"/>
  <c r="A1738" i="2"/>
  <c r="A1670" i="2"/>
  <c r="B1669" i="2"/>
  <c r="B1126" i="2"/>
  <c r="A1127" i="2"/>
  <c r="B1465" i="2"/>
  <c r="A1466" i="2"/>
  <c r="A39" i="2"/>
  <c r="B38" i="2"/>
  <c r="B1873" i="2"/>
  <c r="A1874" i="2"/>
  <c r="A242" i="2"/>
  <c r="B241" i="2"/>
  <c r="B1533" i="2"/>
  <c r="A1534" i="2"/>
  <c r="B1193" i="2"/>
  <c r="A1194" i="2"/>
  <c r="B173" i="2"/>
  <c r="A174" i="2"/>
  <c r="B513" i="2"/>
  <c r="A514" i="2"/>
  <c r="A1807" i="2"/>
  <c r="B1806" i="2"/>
  <c r="A378" i="2"/>
  <c r="B377" i="2"/>
  <c r="A923" i="2"/>
  <c r="B922" i="2"/>
  <c r="B991" i="2"/>
  <c r="A992" i="2"/>
  <c r="A719" i="2"/>
  <c r="B718" i="2"/>
  <c r="B585" i="2"/>
  <c r="A586" i="2"/>
  <c r="B649" i="2"/>
  <c r="A650" i="2"/>
  <c r="A1331" i="2"/>
  <c r="B1330" i="2"/>
  <c r="A786" i="2"/>
  <c r="B785" i="2"/>
  <c r="B1397" i="2"/>
  <c r="A1398" i="2"/>
  <c r="B445" i="2"/>
  <c r="A446" i="2"/>
  <c r="B1057" i="2"/>
  <c r="A1058" i="2"/>
  <c r="B1601" i="2"/>
  <c r="A1602" i="2"/>
  <c r="A854" i="2"/>
  <c r="B853" i="2"/>
  <c r="B1261" i="2"/>
  <c r="A1262" i="2"/>
  <c r="B309" i="2"/>
  <c r="A310" i="2"/>
  <c r="B106" i="2"/>
  <c r="A107" i="2"/>
  <c r="A38" i="10" l="1"/>
  <c r="B37" i="10"/>
  <c r="A1331" i="7"/>
  <c r="B1330" i="7"/>
  <c r="A1128" i="7"/>
  <c r="B1127" i="7"/>
  <c r="A243" i="7"/>
  <c r="B242" i="7"/>
  <c r="A923" i="7"/>
  <c r="B922" i="7"/>
  <c r="A994" i="7"/>
  <c r="B993" i="7"/>
  <c r="A175" i="7"/>
  <c r="B174" i="7"/>
  <c r="A1264" i="7"/>
  <c r="B1263" i="7"/>
  <c r="B1875" i="7"/>
  <c r="A1876" i="7"/>
  <c r="A1604" i="7"/>
  <c r="B1603" i="7"/>
  <c r="A1400" i="7"/>
  <c r="B1399" i="7"/>
  <c r="B1534" i="7"/>
  <c r="A1535" i="7"/>
  <c r="B1670" i="7"/>
  <c r="A1671" i="7"/>
  <c r="A41" i="7"/>
  <c r="B40" i="7"/>
  <c r="B584" i="7"/>
  <c r="A585" i="7"/>
  <c r="A380" i="7"/>
  <c r="B379" i="7"/>
  <c r="A719" i="7"/>
  <c r="B718" i="7"/>
  <c r="B1739" i="7"/>
  <c r="A1740" i="7"/>
  <c r="A651" i="7"/>
  <c r="B650" i="7"/>
  <c r="B1806" i="7"/>
  <c r="A1807" i="7"/>
  <c r="A316" i="7"/>
  <c r="B315" i="7"/>
  <c r="B856" i="7"/>
  <c r="A857" i="7"/>
  <c r="B1195" i="7"/>
  <c r="A1196" i="7"/>
  <c r="A789" i="7"/>
  <c r="B788" i="7"/>
  <c r="A448" i="7"/>
  <c r="B447" i="7"/>
  <c r="A515" i="7"/>
  <c r="B514" i="7"/>
  <c r="B107" i="7"/>
  <c r="A108" i="7"/>
  <c r="B1467" i="7"/>
  <c r="A1468" i="7"/>
  <c r="A1061" i="7"/>
  <c r="B1060" i="7"/>
  <c r="B1738" i="2"/>
  <c r="A1739" i="2"/>
  <c r="B1670" i="2"/>
  <c r="A1671" i="2"/>
  <c r="A243" i="2"/>
  <c r="B242" i="2"/>
  <c r="B1874" i="2"/>
  <c r="A1875" i="2"/>
  <c r="B39" i="2"/>
  <c r="A40" i="2"/>
  <c r="A1128" i="2"/>
  <c r="B1127" i="2"/>
  <c r="A1467" i="2"/>
  <c r="B1466" i="2"/>
  <c r="B786" i="2"/>
  <c r="A787" i="2"/>
  <c r="A379" i="2"/>
  <c r="B378" i="2"/>
  <c r="B923" i="2"/>
  <c r="A924" i="2"/>
  <c r="B514" i="2"/>
  <c r="A515" i="2"/>
  <c r="A855" i="2"/>
  <c r="B854" i="2"/>
  <c r="B1602" i="2"/>
  <c r="A1603" i="2"/>
  <c r="B174" i="2"/>
  <c r="A175" i="2"/>
  <c r="A1332" i="2"/>
  <c r="B1331" i="2"/>
  <c r="B310" i="2"/>
  <c r="A311" i="2"/>
  <c r="A1195" i="2"/>
  <c r="B1194" i="2"/>
  <c r="B1807" i="2"/>
  <c r="A1808" i="2"/>
  <c r="A651" i="2"/>
  <c r="B650" i="2"/>
  <c r="B446" i="2"/>
  <c r="A447" i="2"/>
  <c r="A587" i="2"/>
  <c r="B586" i="2"/>
  <c r="A720" i="2"/>
  <c r="B719" i="2"/>
  <c r="B1058" i="2"/>
  <c r="A1059" i="2"/>
  <c r="B1398" i="2"/>
  <c r="A1399" i="2"/>
  <c r="A1535" i="2"/>
  <c r="B1534" i="2"/>
  <c r="A993" i="2"/>
  <c r="B992" i="2"/>
  <c r="A1263" i="2"/>
  <c r="B1262" i="2"/>
  <c r="A108" i="2"/>
  <c r="B107" i="2"/>
  <c r="A39" i="10" l="1"/>
  <c r="B38" i="10"/>
  <c r="B243" i="7"/>
  <c r="A244" i="7"/>
  <c r="A1129" i="7"/>
  <c r="B1128" i="7"/>
  <c r="B1331" i="7"/>
  <c r="A1332" i="7"/>
  <c r="B923" i="7"/>
  <c r="A924" i="7"/>
  <c r="B175" i="7"/>
  <c r="A176" i="7"/>
  <c r="B994" i="7"/>
  <c r="A995" i="7"/>
  <c r="A109" i="7"/>
  <c r="B108" i="7"/>
  <c r="A1808" i="7"/>
  <c r="B1807" i="7"/>
  <c r="A586" i="7"/>
  <c r="B585" i="7"/>
  <c r="B515" i="7"/>
  <c r="A516" i="7"/>
  <c r="B651" i="7"/>
  <c r="A652" i="7"/>
  <c r="A42" i="7"/>
  <c r="B41" i="7"/>
  <c r="B1740" i="7"/>
  <c r="A1741" i="7"/>
  <c r="A1672" i="7"/>
  <c r="B1671" i="7"/>
  <c r="B1535" i="7"/>
  <c r="A1536" i="7"/>
  <c r="A790" i="7"/>
  <c r="B789" i="7"/>
  <c r="A720" i="7"/>
  <c r="B719" i="7"/>
  <c r="B1400" i="7"/>
  <c r="A1401" i="7"/>
  <c r="A858" i="7"/>
  <c r="B857" i="7"/>
  <c r="B1061" i="7"/>
  <c r="A1062" i="7"/>
  <c r="B1604" i="7"/>
  <c r="A1605" i="7"/>
  <c r="B1468" i="7"/>
  <c r="A1469" i="7"/>
  <c r="A1877" i="7"/>
  <c r="B1876" i="7"/>
  <c r="A1197" i="7"/>
  <c r="B1196" i="7"/>
  <c r="B448" i="7"/>
  <c r="A449" i="7"/>
  <c r="A317" i="7"/>
  <c r="B316" i="7"/>
  <c r="A381" i="7"/>
  <c r="B380" i="7"/>
  <c r="B1264" i="7"/>
  <c r="A1265" i="7"/>
  <c r="B1739" i="2"/>
  <c r="A1740" i="2"/>
  <c r="B1671" i="2"/>
  <c r="A1672" i="2"/>
  <c r="A1468" i="2"/>
  <c r="B1467" i="2"/>
  <c r="A1129" i="2"/>
  <c r="B1128" i="2"/>
  <c r="A41" i="2"/>
  <c r="B40" i="2"/>
  <c r="A1876" i="2"/>
  <c r="B1875" i="2"/>
  <c r="A244" i="2"/>
  <c r="B243" i="2"/>
  <c r="A588" i="2"/>
  <c r="B587" i="2"/>
  <c r="A1604" i="2"/>
  <c r="B1603" i="2"/>
  <c r="A652" i="2"/>
  <c r="B651" i="2"/>
  <c r="A856" i="2"/>
  <c r="B855" i="2"/>
  <c r="A516" i="2"/>
  <c r="B515" i="2"/>
  <c r="B1535" i="2"/>
  <c r="A1536" i="2"/>
  <c r="B924" i="2"/>
  <c r="A925" i="2"/>
  <c r="B993" i="2"/>
  <c r="A994" i="2"/>
  <c r="B447" i="2"/>
  <c r="A448" i="2"/>
  <c r="A1060" i="2"/>
  <c r="B1059" i="2"/>
  <c r="B311" i="2"/>
  <c r="A312" i="2"/>
  <c r="B720" i="2"/>
  <c r="A721" i="2"/>
  <c r="B1332" i="2"/>
  <c r="A1333" i="2"/>
  <c r="A380" i="2"/>
  <c r="B379" i="2"/>
  <c r="A176" i="2"/>
  <c r="B175" i="2"/>
  <c r="B1808" i="2"/>
  <c r="A1809" i="2"/>
  <c r="B787" i="2"/>
  <c r="A788" i="2"/>
  <c r="A1400" i="2"/>
  <c r="B1399" i="2"/>
  <c r="A1196" i="2"/>
  <c r="B1195" i="2"/>
  <c r="B1263" i="2"/>
  <c r="A1264" i="2"/>
  <c r="A109" i="2"/>
  <c r="B108" i="2"/>
  <c r="A40" i="10" l="1"/>
  <c r="B39" i="10"/>
  <c r="B1332" i="7"/>
  <c r="A1333" i="7"/>
  <c r="B1129" i="7"/>
  <c r="A1130" i="7"/>
  <c r="A245" i="7"/>
  <c r="B244" i="7"/>
  <c r="B924" i="7"/>
  <c r="A925" i="7"/>
  <c r="B176" i="7"/>
  <c r="A177" i="7"/>
  <c r="A996" i="7"/>
  <c r="B995" i="7"/>
  <c r="A450" i="7"/>
  <c r="B449" i="7"/>
  <c r="A1673" i="7"/>
  <c r="B1672" i="7"/>
  <c r="A1063" i="7"/>
  <c r="B1062" i="7"/>
  <c r="A1742" i="7"/>
  <c r="B1741" i="7"/>
  <c r="B858" i="7"/>
  <c r="A859" i="7"/>
  <c r="A43" i="7"/>
  <c r="B42" i="7"/>
  <c r="A1402" i="7"/>
  <c r="B1401" i="7"/>
  <c r="A653" i="7"/>
  <c r="B652" i="7"/>
  <c r="A517" i="7"/>
  <c r="B516" i="7"/>
  <c r="B720" i="7"/>
  <c r="A721" i="7"/>
  <c r="A382" i="7"/>
  <c r="B381" i="7"/>
  <c r="A1878" i="7"/>
  <c r="B1877" i="7"/>
  <c r="A791" i="7"/>
  <c r="B790" i="7"/>
  <c r="A587" i="7"/>
  <c r="B586" i="7"/>
  <c r="A1266" i="7"/>
  <c r="B1265" i="7"/>
  <c r="B1469" i="7"/>
  <c r="A1470" i="7"/>
  <c r="A318" i="7"/>
  <c r="B317" i="7"/>
  <c r="A1809" i="7"/>
  <c r="B1808" i="7"/>
  <c r="B1605" i="7"/>
  <c r="A1606" i="7"/>
  <c r="A1537" i="7"/>
  <c r="B1536" i="7"/>
  <c r="B1197" i="7"/>
  <c r="A1198" i="7"/>
  <c r="B109" i="7"/>
  <c r="A110" i="7"/>
  <c r="B1740" i="2"/>
  <c r="A1741" i="2"/>
  <c r="A1673" i="2"/>
  <c r="B1672" i="2"/>
  <c r="B244" i="2"/>
  <c r="A245" i="2"/>
  <c r="A1877" i="2"/>
  <c r="B1876" i="2"/>
  <c r="A42" i="2"/>
  <c r="B41" i="2"/>
  <c r="B1129" i="2"/>
  <c r="A1130" i="2"/>
  <c r="A1469" i="2"/>
  <c r="B1468" i="2"/>
  <c r="A1334" i="2"/>
  <c r="B1333" i="2"/>
  <c r="B1536" i="2"/>
  <c r="A1537" i="2"/>
  <c r="B1196" i="2"/>
  <c r="A1197" i="2"/>
  <c r="B856" i="2"/>
  <c r="A857" i="2"/>
  <c r="B652" i="2"/>
  <c r="A653" i="2"/>
  <c r="B380" i="2"/>
  <c r="A381" i="2"/>
  <c r="B1400" i="2"/>
  <c r="A1401" i="2"/>
  <c r="A722" i="2"/>
  <c r="B721" i="2"/>
  <c r="A517" i="2"/>
  <c r="B516" i="2"/>
  <c r="A1605" i="2"/>
  <c r="B1604" i="2"/>
  <c r="A789" i="2"/>
  <c r="B788" i="2"/>
  <c r="B1060" i="2"/>
  <c r="A1061" i="2"/>
  <c r="B1809" i="2"/>
  <c r="A1810" i="2"/>
  <c r="B448" i="2"/>
  <c r="A449" i="2"/>
  <c r="B994" i="2"/>
  <c r="A995" i="2"/>
  <c r="B925" i="2"/>
  <c r="A926" i="2"/>
  <c r="B312" i="2"/>
  <c r="A313" i="2"/>
  <c r="B1264" i="2"/>
  <c r="A1265" i="2"/>
  <c r="B176" i="2"/>
  <c r="A177" i="2"/>
  <c r="A589" i="2"/>
  <c r="B588" i="2"/>
  <c r="B109" i="2"/>
  <c r="A110" i="2"/>
  <c r="A41" i="10" l="1"/>
  <c r="B40" i="10"/>
  <c r="B245" i="7"/>
  <c r="A246" i="7"/>
  <c r="B1130" i="7"/>
  <c r="A1131" i="7"/>
  <c r="B1333" i="7"/>
  <c r="A1334" i="7"/>
  <c r="B925" i="7"/>
  <c r="A926" i="7"/>
  <c r="A997" i="7"/>
  <c r="B996" i="7"/>
  <c r="A178" i="7"/>
  <c r="B177" i="7"/>
  <c r="A860" i="7"/>
  <c r="B859" i="7"/>
  <c r="A1538" i="7"/>
  <c r="B1537" i="7"/>
  <c r="A792" i="7"/>
  <c r="B791" i="7"/>
  <c r="B1606" i="7"/>
  <c r="A1607" i="7"/>
  <c r="B1878" i="7"/>
  <c r="A1879" i="7"/>
  <c r="B382" i="7"/>
  <c r="A383" i="7"/>
  <c r="B1742" i="7"/>
  <c r="A1743" i="7"/>
  <c r="A722" i="7"/>
  <c r="B721" i="7"/>
  <c r="A1064" i="7"/>
  <c r="B1063" i="7"/>
  <c r="A319" i="7"/>
  <c r="B318" i="7"/>
  <c r="A518" i="7"/>
  <c r="B517" i="7"/>
  <c r="A654" i="7"/>
  <c r="B653" i="7"/>
  <c r="A1674" i="7"/>
  <c r="B1673" i="7"/>
  <c r="B1266" i="7"/>
  <c r="A1267" i="7"/>
  <c r="A1403" i="7"/>
  <c r="B1402" i="7"/>
  <c r="A1810" i="7"/>
  <c r="B1809" i="7"/>
  <c r="A111" i="7"/>
  <c r="B110" i="7"/>
  <c r="B1470" i="7"/>
  <c r="A1471" i="7"/>
  <c r="A1199" i="7"/>
  <c r="B1198" i="7"/>
  <c r="A588" i="7"/>
  <c r="B587" i="7"/>
  <c r="B43" i="7"/>
  <c r="A44" i="7"/>
  <c r="A451" i="7"/>
  <c r="B450" i="7"/>
  <c r="A1742" i="2"/>
  <c r="B1741" i="2"/>
  <c r="B1673" i="2"/>
  <c r="A1674" i="2"/>
  <c r="B1469" i="2"/>
  <c r="A1470" i="2"/>
  <c r="A1131" i="2"/>
  <c r="B1130" i="2"/>
  <c r="A1878" i="2"/>
  <c r="B1877" i="2"/>
  <c r="B245" i="2"/>
  <c r="A246" i="2"/>
  <c r="A43" i="2"/>
  <c r="B42" i="2"/>
  <c r="B1401" i="2"/>
  <c r="A1402" i="2"/>
  <c r="A927" i="2"/>
  <c r="B926" i="2"/>
  <c r="B653" i="2"/>
  <c r="A654" i="2"/>
  <c r="B1197" i="2"/>
  <c r="A1198" i="2"/>
  <c r="A1266" i="2"/>
  <c r="B1265" i="2"/>
  <c r="B1537" i="2"/>
  <c r="A1538" i="2"/>
  <c r="B589" i="2"/>
  <c r="A590" i="2"/>
  <c r="A518" i="2"/>
  <c r="B517" i="2"/>
  <c r="B177" i="2"/>
  <c r="A178" i="2"/>
  <c r="A723" i="2"/>
  <c r="B722" i="2"/>
  <c r="B1061" i="2"/>
  <c r="A1062" i="2"/>
  <c r="B313" i="2"/>
  <c r="A314" i="2"/>
  <c r="B381" i="2"/>
  <c r="A382" i="2"/>
  <c r="A790" i="2"/>
  <c r="B789" i="2"/>
  <c r="B857" i="2"/>
  <c r="A858" i="2"/>
  <c r="B1605" i="2"/>
  <c r="A1606" i="2"/>
  <c r="A996" i="2"/>
  <c r="B995" i="2"/>
  <c r="B449" i="2"/>
  <c r="A450" i="2"/>
  <c r="B1810" i="2"/>
  <c r="A1811" i="2"/>
  <c r="A1335" i="2"/>
  <c r="B1334" i="2"/>
  <c r="A111" i="2"/>
  <c r="B110" i="2"/>
  <c r="B41" i="10" l="1"/>
  <c r="A42" i="10"/>
  <c r="B1334" i="7"/>
  <c r="A1335" i="7"/>
  <c r="A1132" i="7"/>
  <c r="B1131" i="7"/>
  <c r="A247" i="7"/>
  <c r="B246" i="7"/>
  <c r="B926" i="7"/>
  <c r="A927" i="7"/>
  <c r="A179" i="7"/>
  <c r="B178" i="7"/>
  <c r="A998" i="7"/>
  <c r="B997" i="7"/>
  <c r="A384" i="7"/>
  <c r="B383" i="7"/>
  <c r="B1199" i="7"/>
  <c r="A1200" i="7"/>
  <c r="A1675" i="7"/>
  <c r="B1674" i="7"/>
  <c r="A1472" i="7"/>
  <c r="B1471" i="7"/>
  <c r="A655" i="7"/>
  <c r="B654" i="7"/>
  <c r="B111" i="7"/>
  <c r="A112" i="7"/>
  <c r="A1880" i="7"/>
  <c r="B1879" i="7"/>
  <c r="A1811" i="7"/>
  <c r="B1810" i="7"/>
  <c r="A519" i="7"/>
  <c r="B518" i="7"/>
  <c r="A1608" i="7"/>
  <c r="B1607" i="7"/>
  <c r="A452" i="7"/>
  <c r="B451" i="7"/>
  <c r="A320" i="7"/>
  <c r="B319" i="7"/>
  <c r="A1065" i="7"/>
  <c r="B1064" i="7"/>
  <c r="B792" i="7"/>
  <c r="A793" i="7"/>
  <c r="A45" i="7"/>
  <c r="B44" i="7"/>
  <c r="A589" i="7"/>
  <c r="B588" i="7"/>
  <c r="A723" i="7"/>
  <c r="B722" i="7"/>
  <c r="A1539" i="7"/>
  <c r="B1538" i="7"/>
  <c r="A1268" i="7"/>
  <c r="B1267" i="7"/>
  <c r="A1744" i="7"/>
  <c r="B1743" i="7"/>
  <c r="A1404" i="7"/>
  <c r="B1403" i="7"/>
  <c r="A861" i="7"/>
  <c r="B860" i="7"/>
  <c r="B1742" i="2"/>
  <c r="A1743" i="2"/>
  <c r="A1675" i="2"/>
  <c r="B1674" i="2"/>
  <c r="B43" i="2"/>
  <c r="A44" i="2"/>
  <c r="B246" i="2"/>
  <c r="A247" i="2"/>
  <c r="A1879" i="2"/>
  <c r="B1878" i="2"/>
  <c r="A1132" i="2"/>
  <c r="B1131" i="2"/>
  <c r="B1470" i="2"/>
  <c r="A1471" i="2"/>
  <c r="A1539" i="2"/>
  <c r="B1538" i="2"/>
  <c r="B1266" i="2"/>
  <c r="A1267" i="2"/>
  <c r="B1811" i="2"/>
  <c r="A1812" i="2"/>
  <c r="A1063" i="2"/>
  <c r="B1062" i="2"/>
  <c r="A1199" i="2"/>
  <c r="B1198" i="2"/>
  <c r="B178" i="2"/>
  <c r="A179" i="2"/>
  <c r="A655" i="2"/>
  <c r="B654" i="2"/>
  <c r="B1606" i="2"/>
  <c r="A1607" i="2"/>
  <c r="A928" i="2"/>
  <c r="B927" i="2"/>
  <c r="B1402" i="2"/>
  <c r="A1403" i="2"/>
  <c r="B858" i="2"/>
  <c r="A859" i="2"/>
  <c r="B590" i="2"/>
  <c r="A591" i="2"/>
  <c r="B723" i="2"/>
  <c r="A724" i="2"/>
  <c r="A791" i="2"/>
  <c r="B790" i="2"/>
  <c r="B518" i="2"/>
  <c r="A519" i="2"/>
  <c r="B1335" i="2"/>
  <c r="A1336" i="2"/>
  <c r="B450" i="2"/>
  <c r="A451" i="2"/>
  <c r="B382" i="2"/>
  <c r="A383" i="2"/>
  <c r="B314" i="2"/>
  <c r="A315" i="2"/>
  <c r="B996" i="2"/>
  <c r="A997" i="2"/>
  <c r="B111" i="2"/>
  <c r="A112" i="2"/>
  <c r="B42" i="10" l="1"/>
  <c r="A43" i="10"/>
  <c r="A248" i="7"/>
  <c r="B247" i="7"/>
  <c r="A1133" i="7"/>
  <c r="B1132" i="7"/>
  <c r="A1336" i="7"/>
  <c r="B1335" i="7"/>
  <c r="A928" i="7"/>
  <c r="B927" i="7"/>
  <c r="A999" i="7"/>
  <c r="B998" i="7"/>
  <c r="A180" i="7"/>
  <c r="B179" i="7"/>
  <c r="A1745" i="7"/>
  <c r="B1744" i="7"/>
  <c r="B1065" i="7"/>
  <c r="A1066" i="7"/>
  <c r="A113" i="7"/>
  <c r="B112" i="7"/>
  <c r="B320" i="7"/>
  <c r="A321" i="7"/>
  <c r="A1269" i="7"/>
  <c r="B1268" i="7"/>
  <c r="A453" i="7"/>
  <c r="B452" i="7"/>
  <c r="A656" i="7"/>
  <c r="B655" i="7"/>
  <c r="A1540" i="7"/>
  <c r="B1539" i="7"/>
  <c r="B1608" i="7"/>
  <c r="A1609" i="7"/>
  <c r="A862" i="7"/>
  <c r="B861" i="7"/>
  <c r="B723" i="7"/>
  <c r="A724" i="7"/>
  <c r="A520" i="7"/>
  <c r="B519" i="7"/>
  <c r="A1473" i="7"/>
  <c r="B1472" i="7"/>
  <c r="A590" i="7"/>
  <c r="B589" i="7"/>
  <c r="B1811" i="7"/>
  <c r="A1812" i="7"/>
  <c r="A1676" i="7"/>
  <c r="B1675" i="7"/>
  <c r="A1201" i="7"/>
  <c r="B1200" i="7"/>
  <c r="A46" i="7"/>
  <c r="B45" i="7"/>
  <c r="A1881" i="7"/>
  <c r="B1880" i="7"/>
  <c r="A794" i="7"/>
  <c r="B793" i="7"/>
  <c r="B1404" i="7"/>
  <c r="A1405" i="7"/>
  <c r="B384" i="7"/>
  <c r="A385" i="7"/>
  <c r="B1743" i="2"/>
  <c r="A1744" i="2"/>
  <c r="B1675" i="2"/>
  <c r="A1676" i="2"/>
  <c r="B1471" i="2"/>
  <c r="A1472" i="2"/>
  <c r="A1133" i="2"/>
  <c r="B1132" i="2"/>
  <c r="A1880" i="2"/>
  <c r="B1879" i="2"/>
  <c r="A248" i="2"/>
  <c r="B247" i="2"/>
  <c r="A45" i="2"/>
  <c r="B44" i="2"/>
  <c r="B791" i="2"/>
  <c r="A792" i="2"/>
  <c r="B315" i="2"/>
  <c r="A316" i="2"/>
  <c r="B179" i="2"/>
  <c r="A180" i="2"/>
  <c r="B1063" i="2"/>
  <c r="A1064" i="2"/>
  <c r="A1813" i="2"/>
  <c r="B1812" i="2"/>
  <c r="A725" i="2"/>
  <c r="B724" i="2"/>
  <c r="B591" i="2"/>
  <c r="A592" i="2"/>
  <c r="B1199" i="2"/>
  <c r="A1200" i="2"/>
  <c r="B1267" i="2"/>
  <c r="A1268" i="2"/>
  <c r="B1607" i="2"/>
  <c r="A1608" i="2"/>
  <c r="B655" i="2"/>
  <c r="A656" i="2"/>
  <c r="B383" i="2"/>
  <c r="A384" i="2"/>
  <c r="A860" i="2"/>
  <c r="B859" i="2"/>
  <c r="A1337" i="2"/>
  <c r="B1336" i="2"/>
  <c r="B1403" i="2"/>
  <c r="A1404" i="2"/>
  <c r="A520" i="2"/>
  <c r="B519" i="2"/>
  <c r="B997" i="2"/>
  <c r="A998" i="2"/>
  <c r="B451" i="2"/>
  <c r="A452" i="2"/>
  <c r="B928" i="2"/>
  <c r="A929" i="2"/>
  <c r="B1539" i="2"/>
  <c r="A1540" i="2"/>
  <c r="A113" i="2"/>
  <c r="B112" i="2"/>
  <c r="B43" i="10" l="1"/>
  <c r="A44" i="10"/>
  <c r="B1336" i="7"/>
  <c r="A1337" i="7"/>
  <c r="B1133" i="7"/>
  <c r="A1134" i="7"/>
  <c r="A249" i="7"/>
  <c r="B248" i="7"/>
  <c r="A929" i="7"/>
  <c r="B928" i="7"/>
  <c r="B180" i="7"/>
  <c r="A181" i="7"/>
  <c r="B999" i="7"/>
  <c r="A1000" i="7"/>
  <c r="A1882" i="7"/>
  <c r="B1881" i="7"/>
  <c r="B1473" i="7"/>
  <c r="A1474" i="7"/>
  <c r="B453" i="7"/>
  <c r="A454" i="7"/>
  <c r="A47" i="7"/>
  <c r="B46" i="7"/>
  <c r="B520" i="7"/>
  <c r="A521" i="7"/>
  <c r="B1269" i="7"/>
  <c r="A1270" i="7"/>
  <c r="B724" i="7"/>
  <c r="A725" i="7"/>
  <c r="A322" i="7"/>
  <c r="B321" i="7"/>
  <c r="A863" i="7"/>
  <c r="B862" i="7"/>
  <c r="A114" i="7"/>
  <c r="B113" i="7"/>
  <c r="B385" i="7"/>
  <c r="A386" i="7"/>
  <c r="B1812" i="7"/>
  <c r="A1813" i="7"/>
  <c r="A1610" i="7"/>
  <c r="B1609" i="7"/>
  <c r="B1066" i="7"/>
  <c r="A1067" i="7"/>
  <c r="B1676" i="7"/>
  <c r="A1677" i="7"/>
  <c r="B1405" i="7"/>
  <c r="A1406" i="7"/>
  <c r="A591" i="7"/>
  <c r="B590" i="7"/>
  <c r="B1540" i="7"/>
  <c r="A1541" i="7"/>
  <c r="B1745" i="7"/>
  <c r="A1746" i="7"/>
  <c r="B1201" i="7"/>
  <c r="A1202" i="7"/>
  <c r="B794" i="7"/>
  <c r="A795" i="7"/>
  <c r="B656" i="7"/>
  <c r="A657" i="7"/>
  <c r="A1745" i="2"/>
  <c r="B1744" i="2"/>
  <c r="B1676" i="2"/>
  <c r="A1677" i="2"/>
  <c r="B1880" i="2"/>
  <c r="A1881" i="2"/>
  <c r="B45" i="2"/>
  <c r="A46" i="2"/>
  <c r="B248" i="2"/>
  <c r="A249" i="2"/>
  <c r="A1134" i="2"/>
  <c r="B1133" i="2"/>
  <c r="B1472" i="2"/>
  <c r="A1473" i="2"/>
  <c r="A726" i="2"/>
  <c r="B725" i="2"/>
  <c r="B452" i="2"/>
  <c r="A453" i="2"/>
  <c r="B1813" i="2"/>
  <c r="A1814" i="2"/>
  <c r="A999" i="2"/>
  <c r="B998" i="2"/>
  <c r="B656" i="2"/>
  <c r="A657" i="2"/>
  <c r="B1064" i="2"/>
  <c r="A1065" i="2"/>
  <c r="A1609" i="2"/>
  <c r="B1608" i="2"/>
  <c r="B384" i="2"/>
  <c r="A385" i="2"/>
  <c r="B1268" i="2"/>
  <c r="A1269" i="2"/>
  <c r="B180" i="2"/>
  <c r="A181" i="2"/>
  <c r="A861" i="2"/>
  <c r="B860" i="2"/>
  <c r="B316" i="2"/>
  <c r="A317" i="2"/>
  <c r="B592" i="2"/>
  <c r="A593" i="2"/>
  <c r="B929" i="2"/>
  <c r="A930" i="2"/>
  <c r="B1200" i="2"/>
  <c r="A1201" i="2"/>
  <c r="B792" i="2"/>
  <c r="A793" i="2"/>
  <c r="B520" i="2"/>
  <c r="A521" i="2"/>
  <c r="B1540" i="2"/>
  <c r="A1541" i="2"/>
  <c r="A1405" i="2"/>
  <c r="B1404" i="2"/>
  <c r="A1338" i="2"/>
  <c r="B1337" i="2"/>
  <c r="A114" i="2"/>
  <c r="B113" i="2"/>
  <c r="B44" i="10" l="1"/>
  <c r="A45" i="10"/>
  <c r="B249" i="7"/>
  <c r="A250" i="7"/>
  <c r="A1135" i="7"/>
  <c r="B1134" i="7"/>
  <c r="A1338" i="7"/>
  <c r="B1337" i="7"/>
  <c r="A930" i="7"/>
  <c r="B929" i="7"/>
  <c r="B181" i="7"/>
  <c r="A182" i="7"/>
  <c r="A1001" i="7"/>
  <c r="B1000" i="7"/>
  <c r="A1611" i="7"/>
  <c r="B1610" i="7"/>
  <c r="A323" i="7"/>
  <c r="B322" i="7"/>
  <c r="A1203" i="7"/>
  <c r="B1202" i="7"/>
  <c r="A1814" i="7"/>
  <c r="B1813" i="7"/>
  <c r="A726" i="7"/>
  <c r="B725" i="7"/>
  <c r="A1747" i="7"/>
  <c r="B1746" i="7"/>
  <c r="A387" i="7"/>
  <c r="B386" i="7"/>
  <c r="B1270" i="7"/>
  <c r="A1271" i="7"/>
  <c r="B1541" i="7"/>
  <c r="A1542" i="7"/>
  <c r="A522" i="7"/>
  <c r="B521" i="7"/>
  <c r="A115" i="7"/>
  <c r="B114" i="7"/>
  <c r="B591" i="7"/>
  <c r="A592" i="7"/>
  <c r="A48" i="7"/>
  <c r="B47" i="7"/>
  <c r="B454" i="7"/>
  <c r="A455" i="7"/>
  <c r="A658" i="7"/>
  <c r="B657" i="7"/>
  <c r="A1678" i="7"/>
  <c r="B1677" i="7"/>
  <c r="A1475" i="7"/>
  <c r="B1474" i="7"/>
  <c r="A864" i="7"/>
  <c r="B863" i="7"/>
  <c r="A796" i="7"/>
  <c r="B795" i="7"/>
  <c r="A1068" i="7"/>
  <c r="B1067" i="7"/>
  <c r="B1406" i="7"/>
  <c r="A1407" i="7"/>
  <c r="A1883" i="7"/>
  <c r="B1882" i="7"/>
  <c r="A1746" i="2"/>
  <c r="B1745" i="2"/>
  <c r="B1677" i="2"/>
  <c r="A1678" i="2"/>
  <c r="A1474" i="2"/>
  <c r="B1473" i="2"/>
  <c r="A1135" i="2"/>
  <c r="B1134" i="2"/>
  <c r="A250" i="2"/>
  <c r="B249" i="2"/>
  <c r="A47" i="2"/>
  <c r="B46" i="2"/>
  <c r="B1881" i="2"/>
  <c r="A1882" i="2"/>
  <c r="B317" i="2"/>
  <c r="A318" i="2"/>
  <c r="B521" i="2"/>
  <c r="A522" i="2"/>
  <c r="B999" i="2"/>
  <c r="A1000" i="2"/>
  <c r="B1201" i="2"/>
  <c r="A1202" i="2"/>
  <c r="B1269" i="2"/>
  <c r="A1270" i="2"/>
  <c r="B1541" i="2"/>
  <c r="A1542" i="2"/>
  <c r="A862" i="2"/>
  <c r="B861" i="2"/>
  <c r="A794" i="2"/>
  <c r="B793" i="2"/>
  <c r="B181" i="2"/>
  <c r="A182" i="2"/>
  <c r="B930" i="2"/>
  <c r="A931" i="2"/>
  <c r="A386" i="2"/>
  <c r="B385" i="2"/>
  <c r="B657" i="2"/>
  <c r="A658" i="2"/>
  <c r="A1815" i="2"/>
  <c r="B1814" i="2"/>
  <c r="A454" i="2"/>
  <c r="B453" i="2"/>
  <c r="A1066" i="2"/>
  <c r="B1065" i="2"/>
  <c r="B1338" i="2"/>
  <c r="A1339" i="2"/>
  <c r="A594" i="2"/>
  <c r="B593" i="2"/>
  <c r="A1406" i="2"/>
  <c r="B1405" i="2"/>
  <c r="B1609" i="2"/>
  <c r="A1610" i="2"/>
  <c r="A727" i="2"/>
  <c r="B726" i="2"/>
  <c r="B114" i="2"/>
  <c r="A115" i="2"/>
  <c r="A46" i="10" l="1"/>
  <c r="B45" i="10"/>
  <c r="A1339" i="7"/>
  <c r="B1338" i="7"/>
  <c r="B1135" i="7"/>
  <c r="A1136" i="7"/>
  <c r="A251" i="7"/>
  <c r="B250" i="7"/>
  <c r="B930" i="7"/>
  <c r="A931" i="7"/>
  <c r="A1002" i="7"/>
  <c r="B1001" i="7"/>
  <c r="B182" i="7"/>
  <c r="A183" i="7"/>
  <c r="A456" i="7"/>
  <c r="B455" i="7"/>
  <c r="A797" i="7"/>
  <c r="B796" i="7"/>
  <c r="A388" i="7"/>
  <c r="B387" i="7"/>
  <c r="A49" i="7"/>
  <c r="B48" i="7"/>
  <c r="B1747" i="7"/>
  <c r="A1748" i="7"/>
  <c r="A727" i="7"/>
  <c r="B726" i="7"/>
  <c r="B592" i="7"/>
  <c r="A593" i="7"/>
  <c r="B864" i="7"/>
  <c r="A865" i="7"/>
  <c r="B1814" i="7"/>
  <c r="A1815" i="7"/>
  <c r="B1883" i="7"/>
  <c r="A1884" i="7"/>
  <c r="B115" i="7"/>
  <c r="A116" i="7"/>
  <c r="A1204" i="7"/>
  <c r="B1203" i="7"/>
  <c r="A1476" i="7"/>
  <c r="B1475" i="7"/>
  <c r="A523" i="7"/>
  <c r="B522" i="7"/>
  <c r="A324" i="7"/>
  <c r="B323" i="7"/>
  <c r="B1678" i="7"/>
  <c r="A1679" i="7"/>
  <c r="A1612" i="7"/>
  <c r="B1611" i="7"/>
  <c r="A1408" i="7"/>
  <c r="B1407" i="7"/>
  <c r="B1542" i="7"/>
  <c r="A1543" i="7"/>
  <c r="A1272" i="7"/>
  <c r="B1271" i="7"/>
  <c r="A1069" i="7"/>
  <c r="B1068" i="7"/>
  <c r="B658" i="7"/>
  <c r="A659" i="7"/>
  <c r="B1746" i="2"/>
  <c r="A1747" i="2"/>
  <c r="A1679" i="2"/>
  <c r="B1678" i="2"/>
  <c r="A48" i="2"/>
  <c r="B47" i="2"/>
  <c r="B250" i="2"/>
  <c r="A251" i="2"/>
  <c r="A1136" i="2"/>
  <c r="B1135" i="2"/>
  <c r="A1883" i="2"/>
  <c r="B1882" i="2"/>
  <c r="B1474" i="2"/>
  <c r="A1475" i="2"/>
  <c r="B1815" i="2"/>
  <c r="A1816" i="2"/>
  <c r="A1271" i="2"/>
  <c r="B1270" i="2"/>
  <c r="A659" i="2"/>
  <c r="B658" i="2"/>
  <c r="B1202" i="2"/>
  <c r="A1203" i="2"/>
  <c r="A595" i="2"/>
  <c r="B594" i="2"/>
  <c r="A387" i="2"/>
  <c r="B386" i="2"/>
  <c r="A932" i="2"/>
  <c r="B931" i="2"/>
  <c r="B1000" i="2"/>
  <c r="A1001" i="2"/>
  <c r="A863" i="2"/>
  <c r="B862" i="2"/>
  <c r="A1067" i="2"/>
  <c r="B1066" i="2"/>
  <c r="A1340" i="2"/>
  <c r="B1339" i="2"/>
  <c r="B182" i="2"/>
  <c r="A183" i="2"/>
  <c r="B522" i="2"/>
  <c r="A523" i="2"/>
  <c r="A1543" i="2"/>
  <c r="B1542" i="2"/>
  <c r="A455" i="2"/>
  <c r="B454" i="2"/>
  <c r="B318" i="2"/>
  <c r="A319" i="2"/>
  <c r="B1406" i="2"/>
  <c r="A1407" i="2"/>
  <c r="A728" i="2"/>
  <c r="B727" i="2"/>
  <c r="B1610" i="2"/>
  <c r="A1611" i="2"/>
  <c r="B794" i="2"/>
  <c r="A795" i="2"/>
  <c r="A116" i="2"/>
  <c r="B115" i="2"/>
  <c r="A47" i="10" l="1"/>
  <c r="B46" i="10"/>
  <c r="A252" i="7"/>
  <c r="B251" i="7"/>
  <c r="B1136" i="7"/>
  <c r="A1137" i="7"/>
  <c r="B1339" i="7"/>
  <c r="A1340" i="7"/>
  <c r="B931" i="7"/>
  <c r="A932" i="7"/>
  <c r="A1003" i="7"/>
  <c r="B1002" i="7"/>
  <c r="A184" i="7"/>
  <c r="B183" i="7"/>
  <c r="A1544" i="7"/>
  <c r="B1543" i="7"/>
  <c r="B1204" i="7"/>
  <c r="A1205" i="7"/>
  <c r="A117" i="7"/>
  <c r="B116" i="7"/>
  <c r="B1408" i="7"/>
  <c r="A1409" i="7"/>
  <c r="B1748" i="7"/>
  <c r="A1749" i="7"/>
  <c r="B1679" i="7"/>
  <c r="A1680" i="7"/>
  <c r="A1885" i="7"/>
  <c r="B1884" i="7"/>
  <c r="B49" i="7"/>
  <c r="A50" i="7"/>
  <c r="A1816" i="7"/>
  <c r="B1815" i="7"/>
  <c r="B1612" i="7"/>
  <c r="A1613" i="7"/>
  <c r="B865" i="7"/>
  <c r="A866" i="7"/>
  <c r="B388" i="7"/>
  <c r="A389" i="7"/>
  <c r="A660" i="7"/>
  <c r="B659" i="7"/>
  <c r="A594" i="7"/>
  <c r="B593" i="7"/>
  <c r="B1069" i="7"/>
  <c r="A1070" i="7"/>
  <c r="A524" i="7"/>
  <c r="B523" i="7"/>
  <c r="A798" i="7"/>
  <c r="B797" i="7"/>
  <c r="A325" i="7"/>
  <c r="B324" i="7"/>
  <c r="A1273" i="7"/>
  <c r="B1272" i="7"/>
  <c r="B1476" i="7"/>
  <c r="A1477" i="7"/>
  <c r="A728" i="7"/>
  <c r="B727" i="7"/>
  <c r="B456" i="7"/>
  <c r="A457" i="7"/>
  <c r="A1748" i="2"/>
  <c r="B1747" i="2"/>
  <c r="B1679" i="2"/>
  <c r="A1680" i="2"/>
  <c r="A1476" i="2"/>
  <c r="B1475" i="2"/>
  <c r="A252" i="2"/>
  <c r="B251" i="2"/>
  <c r="B1883" i="2"/>
  <c r="A1884" i="2"/>
  <c r="B1136" i="2"/>
  <c r="A1137" i="2"/>
  <c r="B48" i="2"/>
  <c r="A49" i="2"/>
  <c r="B387" i="2"/>
  <c r="A388" i="2"/>
  <c r="B1203" i="2"/>
  <c r="A1204" i="2"/>
  <c r="A320" i="2"/>
  <c r="B319" i="2"/>
  <c r="B728" i="2"/>
  <c r="A729" i="2"/>
  <c r="A184" i="2"/>
  <c r="B183" i="2"/>
  <c r="B1340" i="2"/>
  <c r="A1341" i="2"/>
  <c r="A660" i="2"/>
  <c r="B659" i="2"/>
  <c r="A1544" i="2"/>
  <c r="B1543" i="2"/>
  <c r="A1068" i="2"/>
  <c r="B1067" i="2"/>
  <c r="A1272" i="2"/>
  <c r="B1271" i="2"/>
  <c r="A864" i="2"/>
  <c r="B863" i="2"/>
  <c r="A456" i="2"/>
  <c r="B455" i="2"/>
  <c r="B795" i="2"/>
  <c r="A796" i="2"/>
  <c r="A1002" i="2"/>
  <c r="B1001" i="2"/>
  <c r="B1611" i="2"/>
  <c r="A1612" i="2"/>
  <c r="B595" i="2"/>
  <c r="A596" i="2"/>
  <c r="B1816" i="2"/>
  <c r="A1817" i="2"/>
  <c r="B523" i="2"/>
  <c r="A524" i="2"/>
  <c r="A1408" i="2"/>
  <c r="B1407" i="2"/>
  <c r="A933" i="2"/>
  <c r="B932" i="2"/>
  <c r="B116" i="2"/>
  <c r="A117" i="2"/>
  <c r="A48" i="10" l="1"/>
  <c r="B47" i="10"/>
  <c r="A1341" i="7"/>
  <c r="B1340" i="7"/>
  <c r="B1137" i="7"/>
  <c r="A1138" i="7"/>
  <c r="A253" i="7"/>
  <c r="B252" i="7"/>
  <c r="B932" i="7"/>
  <c r="A933" i="7"/>
  <c r="A1004" i="7"/>
  <c r="B1003" i="7"/>
  <c r="A185" i="7"/>
  <c r="B184" i="7"/>
  <c r="A1750" i="7"/>
  <c r="B1749" i="7"/>
  <c r="B325" i="7"/>
  <c r="A326" i="7"/>
  <c r="A799" i="7"/>
  <c r="B798" i="7"/>
  <c r="A525" i="7"/>
  <c r="B524" i="7"/>
  <c r="A1071" i="7"/>
  <c r="B1070" i="7"/>
  <c r="B1613" i="7"/>
  <c r="A1614" i="7"/>
  <c r="A1410" i="7"/>
  <c r="B1409" i="7"/>
  <c r="B594" i="7"/>
  <c r="A595" i="7"/>
  <c r="A1817" i="7"/>
  <c r="B1816" i="7"/>
  <c r="A118" i="7"/>
  <c r="B117" i="7"/>
  <c r="A51" i="7"/>
  <c r="B50" i="7"/>
  <c r="B1205" i="7"/>
  <c r="A1206" i="7"/>
  <c r="A458" i="7"/>
  <c r="B457" i="7"/>
  <c r="B1477" i="7"/>
  <c r="A1478" i="7"/>
  <c r="A390" i="7"/>
  <c r="B389" i="7"/>
  <c r="A1886" i="7"/>
  <c r="B1885" i="7"/>
  <c r="B728" i="7"/>
  <c r="A729" i="7"/>
  <c r="A867" i="7"/>
  <c r="B866" i="7"/>
  <c r="A1681" i="7"/>
  <c r="B1680" i="7"/>
  <c r="A661" i="7"/>
  <c r="B660" i="7"/>
  <c r="B1273" i="7"/>
  <c r="A1274" i="7"/>
  <c r="B1544" i="7"/>
  <c r="A1545" i="7"/>
  <c r="B1748" i="2"/>
  <c r="A1749" i="2"/>
  <c r="A1681" i="2"/>
  <c r="B1680" i="2"/>
  <c r="A50" i="2"/>
  <c r="B49" i="2"/>
  <c r="A1138" i="2"/>
  <c r="B1137" i="2"/>
  <c r="A1885" i="2"/>
  <c r="B1884" i="2"/>
  <c r="B252" i="2"/>
  <c r="A253" i="2"/>
  <c r="B1476" i="2"/>
  <c r="A1477" i="2"/>
  <c r="A1545" i="2"/>
  <c r="B1544" i="2"/>
  <c r="B796" i="2"/>
  <c r="A797" i="2"/>
  <c r="A661" i="2"/>
  <c r="B660" i="2"/>
  <c r="B524" i="2"/>
  <c r="A525" i="2"/>
  <c r="B1817" i="2"/>
  <c r="A1818" i="2"/>
  <c r="B864" i="2"/>
  <c r="A865" i="2"/>
  <c r="B184" i="2"/>
  <c r="A185" i="2"/>
  <c r="B456" i="2"/>
  <c r="A457" i="2"/>
  <c r="A597" i="2"/>
  <c r="B596" i="2"/>
  <c r="B729" i="2"/>
  <c r="A730" i="2"/>
  <c r="A1273" i="2"/>
  <c r="B1272" i="2"/>
  <c r="B320" i="2"/>
  <c r="A321" i="2"/>
  <c r="B1204" i="2"/>
  <c r="A1205" i="2"/>
  <c r="B1612" i="2"/>
  <c r="A1613" i="2"/>
  <c r="A1409" i="2"/>
  <c r="B1408" i="2"/>
  <c r="B388" i="2"/>
  <c r="A389" i="2"/>
  <c r="A1342" i="2"/>
  <c r="B1341" i="2"/>
  <c r="B933" i="2"/>
  <c r="A934" i="2"/>
  <c r="B1068" i="2"/>
  <c r="A1069" i="2"/>
  <c r="B1002" i="2"/>
  <c r="A1003" i="2"/>
  <c r="B117" i="2"/>
  <c r="A118" i="2"/>
  <c r="A49" i="10" l="1"/>
  <c r="B48" i="10"/>
  <c r="A254" i="7"/>
  <c r="B253" i="7"/>
  <c r="A1139" i="7"/>
  <c r="B1138" i="7"/>
  <c r="B1341" i="7"/>
  <c r="A1342" i="7"/>
  <c r="A934" i="7"/>
  <c r="B933" i="7"/>
  <c r="A1005" i="7"/>
  <c r="B1004" i="7"/>
  <c r="A186" i="7"/>
  <c r="B185" i="7"/>
  <c r="B867" i="7"/>
  <c r="A868" i="7"/>
  <c r="B51" i="7"/>
  <c r="A52" i="7"/>
  <c r="A119" i="7"/>
  <c r="B118" i="7"/>
  <c r="A526" i="7"/>
  <c r="B525" i="7"/>
  <c r="B1886" i="7"/>
  <c r="A1887" i="7"/>
  <c r="A1818" i="7"/>
  <c r="B1817" i="7"/>
  <c r="A596" i="7"/>
  <c r="B595" i="7"/>
  <c r="A800" i="7"/>
  <c r="B799" i="7"/>
  <c r="A1411" i="7"/>
  <c r="B1410" i="7"/>
  <c r="B1614" i="7"/>
  <c r="A1615" i="7"/>
  <c r="A327" i="7"/>
  <c r="B326" i="7"/>
  <c r="A1546" i="7"/>
  <c r="B1545" i="7"/>
  <c r="A730" i="7"/>
  <c r="B729" i="7"/>
  <c r="A391" i="7"/>
  <c r="B390" i="7"/>
  <c r="A1275" i="7"/>
  <c r="B1274" i="7"/>
  <c r="B1206" i="7"/>
  <c r="A1207" i="7"/>
  <c r="B661" i="7"/>
  <c r="A662" i="7"/>
  <c r="B1071" i="7"/>
  <c r="A1072" i="7"/>
  <c r="B1750" i="7"/>
  <c r="A1751" i="7"/>
  <c r="B458" i="7"/>
  <c r="A459" i="7"/>
  <c r="B1478" i="7"/>
  <c r="A1479" i="7"/>
  <c r="A1682" i="7"/>
  <c r="B1681" i="7"/>
  <c r="B1749" i="2"/>
  <c r="A1750" i="2"/>
  <c r="B1681" i="2"/>
  <c r="A1682" i="2"/>
  <c r="A1478" i="2"/>
  <c r="B1477" i="2"/>
  <c r="A1139" i="2"/>
  <c r="B1138" i="2"/>
  <c r="A254" i="2"/>
  <c r="B253" i="2"/>
  <c r="B1885" i="2"/>
  <c r="A1886" i="2"/>
  <c r="B50" i="2"/>
  <c r="A51" i="2"/>
  <c r="B1273" i="2"/>
  <c r="A1274" i="2"/>
  <c r="A935" i="2"/>
  <c r="B934" i="2"/>
  <c r="B730" i="2"/>
  <c r="A731" i="2"/>
  <c r="B525" i="2"/>
  <c r="A526" i="2"/>
  <c r="B321" i="2"/>
  <c r="A322" i="2"/>
  <c r="A1343" i="2"/>
  <c r="B1342" i="2"/>
  <c r="A662" i="2"/>
  <c r="B661" i="2"/>
  <c r="B797" i="2"/>
  <c r="A798" i="2"/>
  <c r="B457" i="2"/>
  <c r="A458" i="2"/>
  <c r="A1206" i="2"/>
  <c r="B1205" i="2"/>
  <c r="B1069" i="2"/>
  <c r="A1070" i="2"/>
  <c r="B1409" i="2"/>
  <c r="A1410" i="2"/>
  <c r="B185" i="2"/>
  <c r="A186" i="2"/>
  <c r="B865" i="2"/>
  <c r="A866" i="2"/>
  <c r="A1819" i="2"/>
  <c r="B1818" i="2"/>
  <c r="B389" i="2"/>
  <c r="A390" i="2"/>
  <c r="A598" i="2"/>
  <c r="B597" i="2"/>
  <c r="A1004" i="2"/>
  <c r="B1003" i="2"/>
  <c r="B1613" i="2"/>
  <c r="A1614" i="2"/>
  <c r="B1545" i="2"/>
  <c r="A1546" i="2"/>
  <c r="B118" i="2"/>
  <c r="A119" i="2"/>
  <c r="B49" i="10" l="1"/>
  <c r="A50" i="10"/>
  <c r="A1343" i="7"/>
  <c r="B1342" i="7"/>
  <c r="B1139" i="7"/>
  <c r="A1140" i="7"/>
  <c r="A255" i="7"/>
  <c r="B254" i="7"/>
  <c r="A935" i="7"/>
  <c r="B934" i="7"/>
  <c r="B1005" i="7"/>
  <c r="A1006" i="7"/>
  <c r="A187" i="7"/>
  <c r="B186" i="7"/>
  <c r="A731" i="7"/>
  <c r="B730" i="7"/>
  <c r="A460" i="7"/>
  <c r="B459" i="7"/>
  <c r="A1547" i="7"/>
  <c r="B1546" i="7"/>
  <c r="A1819" i="7"/>
  <c r="B1818" i="7"/>
  <c r="A1752" i="7"/>
  <c r="B1751" i="7"/>
  <c r="A1888" i="7"/>
  <c r="B1887" i="7"/>
  <c r="A328" i="7"/>
  <c r="B327" i="7"/>
  <c r="B1072" i="7"/>
  <c r="A1073" i="7"/>
  <c r="A1616" i="7"/>
  <c r="B1615" i="7"/>
  <c r="A527" i="7"/>
  <c r="B526" i="7"/>
  <c r="A663" i="7"/>
  <c r="B662" i="7"/>
  <c r="A120" i="7"/>
  <c r="B119" i="7"/>
  <c r="A1412" i="7"/>
  <c r="B1411" i="7"/>
  <c r="A1208" i="7"/>
  <c r="B1207" i="7"/>
  <c r="A53" i="7"/>
  <c r="B52" i="7"/>
  <c r="A1683" i="7"/>
  <c r="B1682" i="7"/>
  <c r="A1276" i="7"/>
  <c r="B1275" i="7"/>
  <c r="B800" i="7"/>
  <c r="A801" i="7"/>
  <c r="A1480" i="7"/>
  <c r="B1479" i="7"/>
  <c r="A869" i="7"/>
  <c r="B868" i="7"/>
  <c r="B391" i="7"/>
  <c r="A392" i="7"/>
  <c r="A597" i="7"/>
  <c r="B596" i="7"/>
  <c r="B1750" i="2"/>
  <c r="A1751" i="2"/>
  <c r="B1682" i="2"/>
  <c r="A1683" i="2"/>
  <c r="A52" i="2"/>
  <c r="B51" i="2"/>
  <c r="A1887" i="2"/>
  <c r="B1886" i="2"/>
  <c r="B254" i="2"/>
  <c r="A255" i="2"/>
  <c r="A1140" i="2"/>
  <c r="B1139" i="2"/>
  <c r="A1479" i="2"/>
  <c r="B1478" i="2"/>
  <c r="A1207" i="2"/>
  <c r="B1206" i="2"/>
  <c r="B1819" i="2"/>
  <c r="A1820" i="2"/>
  <c r="B390" i="2"/>
  <c r="A391" i="2"/>
  <c r="A867" i="2"/>
  <c r="B866" i="2"/>
  <c r="B458" i="2"/>
  <c r="A459" i="2"/>
  <c r="A527" i="2"/>
  <c r="B526" i="2"/>
  <c r="B1004" i="2"/>
  <c r="A1005" i="2"/>
  <c r="B186" i="2"/>
  <c r="A187" i="2"/>
  <c r="B798" i="2"/>
  <c r="A799" i="2"/>
  <c r="A732" i="2"/>
  <c r="B731" i="2"/>
  <c r="B1410" i="2"/>
  <c r="A1411" i="2"/>
  <c r="B1546" i="2"/>
  <c r="A1547" i="2"/>
  <c r="A663" i="2"/>
  <c r="B662" i="2"/>
  <c r="B935" i="2"/>
  <c r="A936" i="2"/>
  <c r="A1071" i="2"/>
  <c r="B1070" i="2"/>
  <c r="B598" i="2"/>
  <c r="A599" i="2"/>
  <c r="A1615" i="2"/>
  <c r="B1614" i="2"/>
  <c r="B1274" i="2"/>
  <c r="A1275" i="2"/>
  <c r="B322" i="2"/>
  <c r="A323" i="2"/>
  <c r="B1343" i="2"/>
  <c r="A1344" i="2"/>
  <c r="B119" i="2"/>
  <c r="A120" i="2"/>
  <c r="A51" i="10" l="1"/>
  <c r="B50" i="10"/>
  <c r="A256" i="7"/>
  <c r="B255" i="7"/>
  <c r="A1141" i="7"/>
  <c r="B1140" i="7"/>
  <c r="A1344" i="7"/>
  <c r="B1343" i="7"/>
  <c r="A936" i="7"/>
  <c r="B935" i="7"/>
  <c r="B187" i="7"/>
  <c r="A188" i="7"/>
  <c r="A1007" i="7"/>
  <c r="B1006" i="7"/>
  <c r="B1480" i="7"/>
  <c r="A1481" i="7"/>
  <c r="B1412" i="7"/>
  <c r="A1413" i="7"/>
  <c r="A1889" i="7"/>
  <c r="B1888" i="7"/>
  <c r="A802" i="7"/>
  <c r="B801" i="7"/>
  <c r="A121" i="7"/>
  <c r="B120" i="7"/>
  <c r="B1752" i="7"/>
  <c r="A1753" i="7"/>
  <c r="A1277" i="7"/>
  <c r="B1276" i="7"/>
  <c r="B1819" i="7"/>
  <c r="A1820" i="7"/>
  <c r="B1683" i="7"/>
  <c r="A1684" i="7"/>
  <c r="B663" i="7"/>
  <c r="A664" i="7"/>
  <c r="A1548" i="7"/>
  <c r="B1547" i="7"/>
  <c r="A598" i="7"/>
  <c r="B597" i="7"/>
  <c r="A528" i="7"/>
  <c r="B527" i="7"/>
  <c r="A461" i="7"/>
  <c r="B460" i="7"/>
  <c r="B392" i="7"/>
  <c r="A393" i="7"/>
  <c r="A54" i="7"/>
  <c r="B53" i="7"/>
  <c r="B1616" i="7"/>
  <c r="A1617" i="7"/>
  <c r="A732" i="7"/>
  <c r="B731" i="7"/>
  <c r="A1074" i="7"/>
  <c r="B1073" i="7"/>
  <c r="B1208" i="7"/>
  <c r="A1209" i="7"/>
  <c r="A870" i="7"/>
  <c r="B869" i="7"/>
  <c r="B328" i="7"/>
  <c r="A329" i="7"/>
  <c r="A1752" i="2"/>
  <c r="B1751" i="2"/>
  <c r="A1684" i="2"/>
  <c r="B1683" i="2"/>
  <c r="A1480" i="2"/>
  <c r="B1479" i="2"/>
  <c r="A1141" i="2"/>
  <c r="B1140" i="2"/>
  <c r="A256" i="2"/>
  <c r="B255" i="2"/>
  <c r="B1887" i="2"/>
  <c r="A1888" i="2"/>
  <c r="A53" i="2"/>
  <c r="B52" i="2"/>
  <c r="B1547" i="2"/>
  <c r="A1548" i="2"/>
  <c r="B459" i="2"/>
  <c r="A460" i="2"/>
  <c r="A733" i="2"/>
  <c r="B732" i="2"/>
  <c r="A600" i="2"/>
  <c r="B599" i="2"/>
  <c r="A800" i="2"/>
  <c r="B799" i="2"/>
  <c r="B1820" i="2"/>
  <c r="A1821" i="2"/>
  <c r="B187" i="2"/>
  <c r="A188" i="2"/>
  <c r="B1275" i="2"/>
  <c r="A1276" i="2"/>
  <c r="A392" i="2"/>
  <c r="B391" i="2"/>
  <c r="B1615" i="2"/>
  <c r="A1616" i="2"/>
  <c r="A1072" i="2"/>
  <c r="B1071" i="2"/>
  <c r="A868" i="2"/>
  <c r="B867" i="2"/>
  <c r="B936" i="2"/>
  <c r="A937" i="2"/>
  <c r="B1005" i="2"/>
  <c r="A1006" i="2"/>
  <c r="B1411" i="2"/>
  <c r="A1412" i="2"/>
  <c r="A1345" i="2"/>
  <c r="B1344" i="2"/>
  <c r="B663" i="2"/>
  <c r="A664" i="2"/>
  <c r="B1207" i="2"/>
  <c r="A1208" i="2"/>
  <c r="A324" i="2"/>
  <c r="B323" i="2"/>
  <c r="B527" i="2"/>
  <c r="A528" i="2"/>
  <c r="A121" i="2"/>
  <c r="B120" i="2"/>
  <c r="A52" i="10" l="1"/>
  <c r="B51" i="10"/>
  <c r="A1345" i="7"/>
  <c r="B1344" i="7"/>
  <c r="B1141" i="7"/>
  <c r="A1142" i="7"/>
  <c r="A257" i="7"/>
  <c r="B256" i="7"/>
  <c r="B936" i="7"/>
  <c r="A937" i="7"/>
  <c r="B188" i="7"/>
  <c r="A189" i="7"/>
  <c r="A1008" i="7"/>
  <c r="B1007" i="7"/>
  <c r="A462" i="7"/>
  <c r="B461" i="7"/>
  <c r="B528" i="7"/>
  <c r="A529" i="7"/>
  <c r="B1277" i="7"/>
  <c r="A1278" i="7"/>
  <c r="A1754" i="7"/>
  <c r="B1753" i="7"/>
  <c r="A1210" i="7"/>
  <c r="B1209" i="7"/>
  <c r="A1075" i="7"/>
  <c r="B1074" i="7"/>
  <c r="B598" i="7"/>
  <c r="A599" i="7"/>
  <c r="A122" i="7"/>
  <c r="B121" i="7"/>
  <c r="B732" i="7"/>
  <c r="A733" i="7"/>
  <c r="B1548" i="7"/>
  <c r="A1549" i="7"/>
  <c r="A803" i="7"/>
  <c r="B802" i="7"/>
  <c r="A1618" i="7"/>
  <c r="B1617" i="7"/>
  <c r="B664" i="7"/>
  <c r="A665" i="7"/>
  <c r="B1889" i="7"/>
  <c r="A1890" i="7"/>
  <c r="B1684" i="7"/>
  <c r="A1685" i="7"/>
  <c r="B1413" i="7"/>
  <c r="A1414" i="7"/>
  <c r="A330" i="7"/>
  <c r="B329" i="7"/>
  <c r="A55" i="7"/>
  <c r="B54" i="7"/>
  <c r="A394" i="7"/>
  <c r="B393" i="7"/>
  <c r="B1820" i="7"/>
  <c r="A1821" i="7"/>
  <c r="A1482" i="7"/>
  <c r="B1481" i="7"/>
  <c r="B870" i="7"/>
  <c r="A871" i="7"/>
  <c r="B1752" i="2"/>
  <c r="A1753" i="2"/>
  <c r="A1685" i="2"/>
  <c r="B1684" i="2"/>
  <c r="B1888" i="2"/>
  <c r="A1889" i="2"/>
  <c r="B53" i="2"/>
  <c r="A54" i="2"/>
  <c r="B256" i="2"/>
  <c r="A257" i="2"/>
  <c r="A1142" i="2"/>
  <c r="B1141" i="2"/>
  <c r="A1481" i="2"/>
  <c r="B1480" i="2"/>
  <c r="B1208" i="2"/>
  <c r="A1209" i="2"/>
  <c r="B1821" i="2"/>
  <c r="A1822" i="2"/>
  <c r="A1007" i="2"/>
  <c r="B1006" i="2"/>
  <c r="B937" i="2"/>
  <c r="A938" i="2"/>
  <c r="B664" i="2"/>
  <c r="A665" i="2"/>
  <c r="A869" i="2"/>
  <c r="B868" i="2"/>
  <c r="B800" i="2"/>
  <c r="A801" i="2"/>
  <c r="B188" i="2"/>
  <c r="A189" i="2"/>
  <c r="B1345" i="2"/>
  <c r="A1346" i="2"/>
  <c r="B1072" i="2"/>
  <c r="A1073" i="2"/>
  <c r="B600" i="2"/>
  <c r="A601" i="2"/>
  <c r="A1413" i="2"/>
  <c r="B1412" i="2"/>
  <c r="A1617" i="2"/>
  <c r="B1616" i="2"/>
  <c r="B733" i="2"/>
  <c r="A734" i="2"/>
  <c r="B324" i="2"/>
  <c r="A325" i="2"/>
  <c r="B460" i="2"/>
  <c r="A461" i="2"/>
  <c r="B528" i="2"/>
  <c r="A529" i="2"/>
  <c r="B392" i="2"/>
  <c r="A393" i="2"/>
  <c r="B1276" i="2"/>
  <c r="A1277" i="2"/>
  <c r="B1548" i="2"/>
  <c r="A1549" i="2"/>
  <c r="A122" i="2"/>
  <c r="B121" i="2"/>
  <c r="A53" i="10" l="1"/>
  <c r="B52" i="10"/>
  <c r="B257" i="7"/>
  <c r="A258" i="7"/>
  <c r="A1143" i="7"/>
  <c r="B1142" i="7"/>
  <c r="A1346" i="7"/>
  <c r="B1345" i="7"/>
  <c r="A938" i="7"/>
  <c r="B937" i="7"/>
  <c r="B1008" i="7"/>
  <c r="A1009" i="7"/>
  <c r="A190" i="7"/>
  <c r="B189" i="7"/>
  <c r="A56" i="7"/>
  <c r="B55" i="7"/>
  <c r="B803" i="7"/>
  <c r="A804" i="7"/>
  <c r="B1075" i="7"/>
  <c r="A1076" i="7"/>
  <c r="B1549" i="7"/>
  <c r="A1550" i="7"/>
  <c r="B1210" i="7"/>
  <c r="A1211" i="7"/>
  <c r="B733" i="7"/>
  <c r="A734" i="7"/>
  <c r="A1755" i="7"/>
  <c r="B1754" i="7"/>
  <c r="A331" i="7"/>
  <c r="B330" i="7"/>
  <c r="B1414" i="7"/>
  <c r="A1415" i="7"/>
  <c r="B1278" i="7"/>
  <c r="A1279" i="7"/>
  <c r="A1686" i="7"/>
  <c r="B1685" i="7"/>
  <c r="A530" i="7"/>
  <c r="B529" i="7"/>
  <c r="A123" i="7"/>
  <c r="B122" i="7"/>
  <c r="A872" i="7"/>
  <c r="B871" i="7"/>
  <c r="A1891" i="7"/>
  <c r="B1890" i="7"/>
  <c r="A600" i="7"/>
  <c r="B599" i="7"/>
  <c r="A1822" i="7"/>
  <c r="B1821" i="7"/>
  <c r="A463" i="7"/>
  <c r="B462" i="7"/>
  <c r="A1483" i="7"/>
  <c r="B1482" i="7"/>
  <c r="A666" i="7"/>
  <c r="B665" i="7"/>
  <c r="A395" i="7"/>
  <c r="B394" i="7"/>
  <c r="A1619" i="7"/>
  <c r="B1618" i="7"/>
  <c r="B1753" i="2"/>
  <c r="A1754" i="2"/>
  <c r="B1685" i="2"/>
  <c r="A1686" i="2"/>
  <c r="A55" i="2"/>
  <c r="B54" i="2"/>
  <c r="A1143" i="2"/>
  <c r="B1142" i="2"/>
  <c r="B1481" i="2"/>
  <c r="A1482" i="2"/>
  <c r="B1889" i="2"/>
  <c r="A1890" i="2"/>
  <c r="A258" i="2"/>
  <c r="B257" i="2"/>
  <c r="A666" i="2"/>
  <c r="B665" i="2"/>
  <c r="A1414" i="2"/>
  <c r="B1413" i="2"/>
  <c r="A870" i="2"/>
  <c r="B869" i="2"/>
  <c r="A394" i="2"/>
  <c r="B393" i="2"/>
  <c r="B601" i="2"/>
  <c r="A602" i="2"/>
  <c r="B938" i="2"/>
  <c r="A939" i="2"/>
  <c r="B529" i="2"/>
  <c r="A530" i="2"/>
  <c r="B1073" i="2"/>
  <c r="A1074" i="2"/>
  <c r="B1277" i="2"/>
  <c r="A1278" i="2"/>
  <c r="B1007" i="2"/>
  <c r="A1008" i="2"/>
  <c r="B1617" i="2"/>
  <c r="A1618" i="2"/>
  <c r="B461" i="2"/>
  <c r="A462" i="2"/>
  <c r="B325" i="2"/>
  <c r="A326" i="2"/>
  <c r="B189" i="2"/>
  <c r="A190" i="2"/>
  <c r="A1823" i="2"/>
  <c r="B1822" i="2"/>
  <c r="A1347" i="2"/>
  <c r="B1346" i="2"/>
  <c r="A1550" i="2"/>
  <c r="B1549" i="2"/>
  <c r="B734" i="2"/>
  <c r="A735" i="2"/>
  <c r="A802" i="2"/>
  <c r="B801" i="2"/>
  <c r="B1209" i="2"/>
  <c r="A1210" i="2"/>
  <c r="B122" i="2"/>
  <c r="A123" i="2"/>
  <c r="A54" i="10" l="1"/>
  <c r="B53" i="10"/>
  <c r="B1346" i="7"/>
  <c r="A1347" i="7"/>
  <c r="B1143" i="7"/>
  <c r="A1144" i="7"/>
  <c r="B258" i="7"/>
  <c r="A259" i="7"/>
  <c r="B938" i="7"/>
  <c r="A939" i="7"/>
  <c r="A191" i="7"/>
  <c r="B190" i="7"/>
  <c r="A1010" i="7"/>
  <c r="B1009" i="7"/>
  <c r="A667" i="7"/>
  <c r="B666" i="7"/>
  <c r="B872" i="7"/>
  <c r="A873" i="7"/>
  <c r="B1755" i="7"/>
  <c r="A1756" i="7"/>
  <c r="A735" i="7"/>
  <c r="B734" i="7"/>
  <c r="A1484" i="7"/>
  <c r="B1483" i="7"/>
  <c r="B123" i="7"/>
  <c r="A124" i="7"/>
  <c r="A1212" i="7"/>
  <c r="B1211" i="7"/>
  <c r="A464" i="7"/>
  <c r="B463" i="7"/>
  <c r="B530" i="7"/>
  <c r="A531" i="7"/>
  <c r="B1550" i="7"/>
  <c r="A1551" i="7"/>
  <c r="B1686" i="7"/>
  <c r="A1687" i="7"/>
  <c r="A1280" i="7"/>
  <c r="B1279" i="7"/>
  <c r="A1620" i="7"/>
  <c r="B1619" i="7"/>
  <c r="B1822" i="7"/>
  <c r="A1823" i="7"/>
  <c r="A1077" i="7"/>
  <c r="B1076" i="7"/>
  <c r="A396" i="7"/>
  <c r="B395" i="7"/>
  <c r="A1416" i="7"/>
  <c r="B1415" i="7"/>
  <c r="A805" i="7"/>
  <c r="B804" i="7"/>
  <c r="B600" i="7"/>
  <c r="A601" i="7"/>
  <c r="B1891" i="7"/>
  <c r="A1892" i="7"/>
  <c r="A332" i="7"/>
  <c r="B331" i="7"/>
  <c r="A57" i="7"/>
  <c r="B56" i="7"/>
  <c r="A1755" i="2"/>
  <c r="B1754" i="2"/>
  <c r="B1686" i="2"/>
  <c r="A1687" i="2"/>
  <c r="B1890" i="2"/>
  <c r="A1891" i="2"/>
  <c r="B1482" i="2"/>
  <c r="A1483" i="2"/>
  <c r="A1144" i="2"/>
  <c r="B1143" i="2"/>
  <c r="B258" i="2"/>
  <c r="A259" i="2"/>
  <c r="A56" i="2"/>
  <c r="B55" i="2"/>
  <c r="B602" i="2"/>
  <c r="A603" i="2"/>
  <c r="B1008" i="2"/>
  <c r="A1009" i="2"/>
  <c r="A531" i="2"/>
  <c r="B530" i="2"/>
  <c r="B939" i="2"/>
  <c r="A940" i="2"/>
  <c r="B1550" i="2"/>
  <c r="A1551" i="2"/>
  <c r="B394" i="2"/>
  <c r="A395" i="2"/>
  <c r="A871" i="2"/>
  <c r="B870" i="2"/>
  <c r="B1414" i="2"/>
  <c r="A1415" i="2"/>
  <c r="B735" i="2"/>
  <c r="A736" i="2"/>
  <c r="B326" i="2"/>
  <c r="A327" i="2"/>
  <c r="B1618" i="2"/>
  <c r="A1619" i="2"/>
  <c r="B1347" i="2"/>
  <c r="A1348" i="2"/>
  <c r="A1824" i="2"/>
  <c r="B1823" i="2"/>
  <c r="B190" i="2"/>
  <c r="A191" i="2"/>
  <c r="A1279" i="2"/>
  <c r="B1278" i="2"/>
  <c r="B1210" i="2"/>
  <c r="A1211" i="2"/>
  <c r="A463" i="2"/>
  <c r="B462" i="2"/>
  <c r="A1075" i="2"/>
  <c r="B1074" i="2"/>
  <c r="B802" i="2"/>
  <c r="A803" i="2"/>
  <c r="A667" i="2"/>
  <c r="B666" i="2"/>
  <c r="B123" i="2"/>
  <c r="A124" i="2"/>
  <c r="B54" i="10" l="1"/>
  <c r="A55" i="10"/>
  <c r="A260" i="7"/>
  <c r="B259" i="7"/>
  <c r="B1144" i="7"/>
  <c r="A1145" i="7"/>
  <c r="A1348" i="7"/>
  <c r="B1347" i="7"/>
  <c r="B939" i="7"/>
  <c r="A940" i="7"/>
  <c r="A192" i="7"/>
  <c r="B191" i="7"/>
  <c r="B1010" i="7"/>
  <c r="A1011" i="7"/>
  <c r="A602" i="7"/>
  <c r="B601" i="7"/>
  <c r="B464" i="7"/>
  <c r="A465" i="7"/>
  <c r="A1824" i="7"/>
  <c r="B1823" i="7"/>
  <c r="A1213" i="7"/>
  <c r="B1212" i="7"/>
  <c r="A125" i="7"/>
  <c r="B124" i="7"/>
  <c r="A806" i="7"/>
  <c r="B805" i="7"/>
  <c r="B1620" i="7"/>
  <c r="A1621" i="7"/>
  <c r="B1416" i="7"/>
  <c r="A1417" i="7"/>
  <c r="A1281" i="7"/>
  <c r="B1280" i="7"/>
  <c r="B1484" i="7"/>
  <c r="A1485" i="7"/>
  <c r="B1687" i="7"/>
  <c r="A1688" i="7"/>
  <c r="A58" i="7"/>
  <c r="B57" i="7"/>
  <c r="A736" i="7"/>
  <c r="B735" i="7"/>
  <c r="B1756" i="7"/>
  <c r="A1757" i="7"/>
  <c r="A333" i="7"/>
  <c r="B332" i="7"/>
  <c r="A1893" i="7"/>
  <c r="B1892" i="7"/>
  <c r="A1552" i="7"/>
  <c r="B1551" i="7"/>
  <c r="B873" i="7"/>
  <c r="A874" i="7"/>
  <c r="A397" i="7"/>
  <c r="B396" i="7"/>
  <c r="A532" i="7"/>
  <c r="B531" i="7"/>
  <c r="B1077" i="7"/>
  <c r="A1078" i="7"/>
  <c r="A668" i="7"/>
  <c r="B667" i="7"/>
  <c r="A1756" i="2"/>
  <c r="B1755" i="2"/>
  <c r="B1687" i="2"/>
  <c r="A1688" i="2"/>
  <c r="A57" i="2"/>
  <c r="B56" i="2"/>
  <c r="B259" i="2"/>
  <c r="A260" i="2"/>
  <c r="A1145" i="2"/>
  <c r="B1144" i="2"/>
  <c r="B1483" i="2"/>
  <c r="A1484" i="2"/>
  <c r="B1891" i="2"/>
  <c r="A1892" i="2"/>
  <c r="A1620" i="2"/>
  <c r="B1619" i="2"/>
  <c r="A1552" i="2"/>
  <c r="B1551" i="2"/>
  <c r="B395" i="2"/>
  <c r="A396" i="2"/>
  <c r="A1212" i="2"/>
  <c r="B1211" i="2"/>
  <c r="A328" i="2"/>
  <c r="B327" i="2"/>
  <c r="A941" i="2"/>
  <c r="B940" i="2"/>
  <c r="A464" i="2"/>
  <c r="B463" i="2"/>
  <c r="B736" i="2"/>
  <c r="A737" i="2"/>
  <c r="B531" i="2"/>
  <c r="A532" i="2"/>
  <c r="B1279" i="2"/>
  <c r="A1280" i="2"/>
  <c r="A192" i="2"/>
  <c r="B191" i="2"/>
  <c r="B1009" i="2"/>
  <c r="A1010" i="2"/>
  <c r="A1416" i="2"/>
  <c r="B1415" i="2"/>
  <c r="A604" i="2"/>
  <c r="B603" i="2"/>
  <c r="A1825" i="2"/>
  <c r="B1824" i="2"/>
  <c r="B667" i="2"/>
  <c r="A668" i="2"/>
  <c r="A804" i="2"/>
  <c r="B803" i="2"/>
  <c r="A1349" i="2"/>
  <c r="B1348" i="2"/>
  <c r="B1075" i="2"/>
  <c r="A1076" i="2"/>
  <c r="A872" i="2"/>
  <c r="B871" i="2"/>
  <c r="A125" i="2"/>
  <c r="B124" i="2"/>
  <c r="A56" i="10" l="1"/>
  <c r="B55" i="10"/>
  <c r="B1145" i="7"/>
  <c r="A1146" i="7"/>
  <c r="B1348" i="7"/>
  <c r="A1349" i="7"/>
  <c r="A261" i="7"/>
  <c r="B260" i="7"/>
  <c r="A941" i="7"/>
  <c r="B940" i="7"/>
  <c r="B1011" i="7"/>
  <c r="A1012" i="7"/>
  <c r="A193" i="7"/>
  <c r="B192" i="7"/>
  <c r="B736" i="7"/>
  <c r="A737" i="7"/>
  <c r="A807" i="7"/>
  <c r="B806" i="7"/>
  <c r="A398" i="7"/>
  <c r="B397" i="7"/>
  <c r="A126" i="7"/>
  <c r="B125" i="7"/>
  <c r="A59" i="7"/>
  <c r="B58" i="7"/>
  <c r="B1213" i="7"/>
  <c r="A1214" i="7"/>
  <c r="A1689" i="7"/>
  <c r="B1688" i="7"/>
  <c r="A1553" i="7"/>
  <c r="B1552" i="7"/>
  <c r="A1825" i="7"/>
  <c r="B1824" i="7"/>
  <c r="B1485" i="7"/>
  <c r="A1486" i="7"/>
  <c r="B668" i="7"/>
  <c r="A669" i="7"/>
  <c r="A1894" i="7"/>
  <c r="B1893" i="7"/>
  <c r="A1079" i="7"/>
  <c r="B1078" i="7"/>
  <c r="A466" i="7"/>
  <c r="B465" i="7"/>
  <c r="A1282" i="7"/>
  <c r="B1281" i="7"/>
  <c r="A1418" i="7"/>
  <c r="B1417" i="7"/>
  <c r="A533" i="7"/>
  <c r="B532" i="7"/>
  <c r="A334" i="7"/>
  <c r="B333" i="7"/>
  <c r="A1758" i="7"/>
  <c r="B1757" i="7"/>
  <c r="A1622" i="7"/>
  <c r="B1621" i="7"/>
  <c r="A875" i="7"/>
  <c r="B874" i="7"/>
  <c r="A603" i="7"/>
  <c r="B602" i="7"/>
  <c r="B1756" i="2"/>
  <c r="A1757" i="2"/>
  <c r="B1688" i="2"/>
  <c r="A1689" i="2"/>
  <c r="B1484" i="2"/>
  <c r="A1485" i="2"/>
  <c r="B1145" i="2"/>
  <c r="A1146" i="2"/>
  <c r="B260" i="2"/>
  <c r="A261" i="2"/>
  <c r="B1892" i="2"/>
  <c r="A1893" i="2"/>
  <c r="A58" i="2"/>
  <c r="B57" i="2"/>
  <c r="B941" i="2"/>
  <c r="A942" i="2"/>
  <c r="A805" i="2"/>
  <c r="B804" i="2"/>
  <c r="B192" i="2"/>
  <c r="A193" i="2"/>
  <c r="B328" i="2"/>
  <c r="A329" i="2"/>
  <c r="A1011" i="2"/>
  <c r="B1010" i="2"/>
  <c r="B668" i="2"/>
  <c r="A669" i="2"/>
  <c r="B1280" i="2"/>
  <c r="A1281" i="2"/>
  <c r="B1349" i="2"/>
  <c r="A1350" i="2"/>
  <c r="A1213" i="2"/>
  <c r="B1212" i="2"/>
  <c r="A533" i="2"/>
  <c r="B532" i="2"/>
  <c r="A738" i="2"/>
  <c r="B737" i="2"/>
  <c r="B396" i="2"/>
  <c r="A397" i="2"/>
  <c r="B872" i="2"/>
  <c r="A873" i="2"/>
  <c r="B1416" i="2"/>
  <c r="A1417" i="2"/>
  <c r="B464" i="2"/>
  <c r="A465" i="2"/>
  <c r="B1552" i="2"/>
  <c r="A1553" i="2"/>
  <c r="B604" i="2"/>
  <c r="A605" i="2"/>
  <c r="B1076" i="2"/>
  <c r="A1077" i="2"/>
  <c r="B1825" i="2"/>
  <c r="A1826" i="2"/>
  <c r="A1621" i="2"/>
  <c r="B1620" i="2"/>
  <c r="B125" i="2"/>
  <c r="A126" i="2"/>
  <c r="A57" i="10" l="1"/>
  <c r="B56" i="10"/>
  <c r="A262" i="7"/>
  <c r="B261" i="7"/>
  <c r="B1349" i="7"/>
  <c r="A1350" i="7"/>
  <c r="B1146" i="7"/>
  <c r="A1147" i="7"/>
  <c r="A942" i="7"/>
  <c r="B941" i="7"/>
  <c r="A194" i="7"/>
  <c r="B193" i="7"/>
  <c r="A1013" i="7"/>
  <c r="B1012" i="7"/>
  <c r="A1215" i="7"/>
  <c r="B1214" i="7"/>
  <c r="B1758" i="7"/>
  <c r="A1759" i="7"/>
  <c r="A1080" i="7"/>
  <c r="B1079" i="7"/>
  <c r="B59" i="7"/>
  <c r="A60" i="7"/>
  <c r="A335" i="7"/>
  <c r="B334" i="7"/>
  <c r="B1894" i="7"/>
  <c r="A1895" i="7"/>
  <c r="B126" i="7"/>
  <c r="A127" i="7"/>
  <c r="A670" i="7"/>
  <c r="B669" i="7"/>
  <c r="A534" i="7"/>
  <c r="B533" i="7"/>
  <c r="B398" i="7"/>
  <c r="A399" i="7"/>
  <c r="B1486" i="7"/>
  <c r="A1487" i="7"/>
  <c r="A604" i="7"/>
  <c r="B603" i="7"/>
  <c r="A1419" i="7"/>
  <c r="B1418" i="7"/>
  <c r="A1283" i="7"/>
  <c r="B1282" i="7"/>
  <c r="A1826" i="7"/>
  <c r="B1825" i="7"/>
  <c r="A808" i="7"/>
  <c r="B807" i="7"/>
  <c r="A738" i="7"/>
  <c r="B737" i="7"/>
  <c r="A876" i="7"/>
  <c r="B875" i="7"/>
  <c r="A1554" i="7"/>
  <c r="B1553" i="7"/>
  <c r="B1622" i="7"/>
  <c r="A1623" i="7"/>
  <c r="B466" i="7"/>
  <c r="A467" i="7"/>
  <c r="A1690" i="7"/>
  <c r="B1689" i="7"/>
  <c r="B1757" i="2"/>
  <c r="A1758" i="2"/>
  <c r="A1690" i="2"/>
  <c r="B1689" i="2"/>
  <c r="B126" i="2"/>
  <c r="A127" i="2"/>
  <c r="B58" i="2"/>
  <c r="A59" i="2"/>
  <c r="A1894" i="2"/>
  <c r="B1893" i="2"/>
  <c r="A1147" i="2"/>
  <c r="B1146" i="2"/>
  <c r="A1486" i="2"/>
  <c r="B1485" i="2"/>
  <c r="B261" i="2"/>
  <c r="A262" i="2"/>
  <c r="B397" i="2"/>
  <c r="A398" i="2"/>
  <c r="B1281" i="2"/>
  <c r="A1282" i="2"/>
  <c r="A1012" i="2"/>
  <c r="B1011" i="2"/>
  <c r="A739" i="2"/>
  <c r="B738" i="2"/>
  <c r="A606" i="2"/>
  <c r="B605" i="2"/>
  <c r="A330" i="2"/>
  <c r="B329" i="2"/>
  <c r="A194" i="2"/>
  <c r="B193" i="2"/>
  <c r="B669" i="2"/>
  <c r="A670" i="2"/>
  <c r="B1077" i="2"/>
  <c r="A1078" i="2"/>
  <c r="A534" i="2"/>
  <c r="B533" i="2"/>
  <c r="A806" i="2"/>
  <c r="B805" i="2"/>
  <c r="B1553" i="2"/>
  <c r="A1554" i="2"/>
  <c r="B1826" i="2"/>
  <c r="A1827" i="2"/>
  <c r="A874" i="2"/>
  <c r="B873" i="2"/>
  <c r="A1351" i="2"/>
  <c r="B1350" i="2"/>
  <c r="A943" i="2"/>
  <c r="B942" i="2"/>
  <c r="A466" i="2"/>
  <c r="B465" i="2"/>
  <c r="B1417" i="2"/>
  <c r="A1418" i="2"/>
  <c r="B1621" i="2"/>
  <c r="A1622" i="2"/>
  <c r="B1213" i="2"/>
  <c r="A1214" i="2"/>
  <c r="A58" i="10" l="1"/>
  <c r="B57" i="10"/>
  <c r="B1147" i="7"/>
  <c r="A1148" i="7"/>
  <c r="B1350" i="7"/>
  <c r="A1351" i="7"/>
  <c r="A263" i="7"/>
  <c r="B262" i="7"/>
  <c r="A943" i="7"/>
  <c r="B942" i="7"/>
  <c r="A195" i="7"/>
  <c r="B194" i="7"/>
  <c r="A1014" i="7"/>
  <c r="B1013" i="7"/>
  <c r="A1896" i="7"/>
  <c r="B1895" i="7"/>
  <c r="A1555" i="7"/>
  <c r="B1554" i="7"/>
  <c r="A1420" i="7"/>
  <c r="B1419" i="7"/>
  <c r="A336" i="7"/>
  <c r="B335" i="7"/>
  <c r="A61" i="7"/>
  <c r="B60" i="7"/>
  <c r="B876" i="7"/>
  <c r="A877" i="7"/>
  <c r="B604" i="7"/>
  <c r="A605" i="7"/>
  <c r="A1488" i="7"/>
  <c r="B1487" i="7"/>
  <c r="A739" i="7"/>
  <c r="B738" i="7"/>
  <c r="A400" i="7"/>
  <c r="B399" i="7"/>
  <c r="A1691" i="7"/>
  <c r="B1690" i="7"/>
  <c r="B808" i="7"/>
  <c r="A809" i="7"/>
  <c r="B534" i="7"/>
  <c r="A535" i="7"/>
  <c r="A1081" i="7"/>
  <c r="B1080" i="7"/>
  <c r="B1759" i="7"/>
  <c r="A1760" i="7"/>
  <c r="B467" i="7"/>
  <c r="A468" i="7"/>
  <c r="A1827" i="7"/>
  <c r="B1826" i="7"/>
  <c r="A671" i="7"/>
  <c r="B670" i="7"/>
  <c r="B1623" i="7"/>
  <c r="A1624" i="7"/>
  <c r="A128" i="7"/>
  <c r="B127" i="7"/>
  <c r="B1283" i="7"/>
  <c r="A1284" i="7"/>
  <c r="B1215" i="7"/>
  <c r="A1216" i="7"/>
  <c r="B1758" i="2"/>
  <c r="A1759" i="2"/>
  <c r="A1691" i="2"/>
  <c r="B1690" i="2"/>
  <c r="A263" i="2"/>
  <c r="B262" i="2"/>
  <c r="B1486" i="2"/>
  <c r="A1487" i="2"/>
  <c r="B1147" i="2"/>
  <c r="A1148" i="2"/>
  <c r="B1894" i="2"/>
  <c r="A1895" i="2"/>
  <c r="B127" i="2"/>
  <c r="A128" i="2"/>
  <c r="A60" i="2"/>
  <c r="B59" i="2"/>
  <c r="A607" i="2"/>
  <c r="B606" i="2"/>
  <c r="B330" i="2"/>
  <c r="A331" i="2"/>
  <c r="A1419" i="2"/>
  <c r="B1418" i="2"/>
  <c r="A807" i="2"/>
  <c r="B806" i="2"/>
  <c r="A740" i="2"/>
  <c r="B739" i="2"/>
  <c r="A944" i="2"/>
  <c r="B943" i="2"/>
  <c r="A535" i="2"/>
  <c r="B534" i="2"/>
  <c r="B1012" i="2"/>
  <c r="A1013" i="2"/>
  <c r="A1079" i="2"/>
  <c r="B1078" i="2"/>
  <c r="A1283" i="2"/>
  <c r="B1282" i="2"/>
  <c r="A1215" i="2"/>
  <c r="B1214" i="2"/>
  <c r="B670" i="2"/>
  <c r="A671" i="2"/>
  <c r="B398" i="2"/>
  <c r="A399" i="2"/>
  <c r="A1555" i="2"/>
  <c r="B1554" i="2"/>
  <c r="B466" i="2"/>
  <c r="A467" i="2"/>
  <c r="B874" i="2"/>
  <c r="A875" i="2"/>
  <c r="B1351" i="2"/>
  <c r="A1352" i="2"/>
  <c r="A1623" i="2"/>
  <c r="B1622" i="2"/>
  <c r="B1827" i="2"/>
  <c r="A1828" i="2"/>
  <c r="B194" i="2"/>
  <c r="A195" i="2"/>
  <c r="B58" i="10" l="1"/>
  <c r="A59" i="10"/>
  <c r="A264" i="7"/>
  <c r="B263" i="7"/>
  <c r="A1352" i="7"/>
  <c r="B1351" i="7"/>
  <c r="B1148" i="7"/>
  <c r="A1149" i="7"/>
  <c r="A944" i="7"/>
  <c r="B943" i="7"/>
  <c r="B195" i="7"/>
  <c r="A196" i="7"/>
  <c r="A1015" i="7"/>
  <c r="B1014" i="7"/>
  <c r="A878" i="7"/>
  <c r="B877" i="7"/>
  <c r="B1827" i="7"/>
  <c r="A1828" i="7"/>
  <c r="B400" i="7"/>
  <c r="A401" i="7"/>
  <c r="A62" i="7"/>
  <c r="B61" i="7"/>
  <c r="A672" i="7"/>
  <c r="B671" i="7"/>
  <c r="A469" i="7"/>
  <c r="B468" i="7"/>
  <c r="B336" i="7"/>
  <c r="A337" i="7"/>
  <c r="B1420" i="7"/>
  <c r="A1421" i="7"/>
  <c r="B1081" i="7"/>
  <c r="A1082" i="7"/>
  <c r="A1556" i="7"/>
  <c r="B1555" i="7"/>
  <c r="A1285" i="7"/>
  <c r="B1284" i="7"/>
  <c r="A740" i="7"/>
  <c r="B739" i="7"/>
  <c r="B1216" i="7"/>
  <c r="A1217" i="7"/>
  <c r="B128" i="7"/>
  <c r="A129" i="7"/>
  <c r="A1489" i="7"/>
  <c r="B1488" i="7"/>
  <c r="A1897" i="7"/>
  <c r="B1896" i="7"/>
  <c r="A810" i="7"/>
  <c r="B809" i="7"/>
  <c r="A1625" i="7"/>
  <c r="B1624" i="7"/>
  <c r="A606" i="7"/>
  <c r="B605" i="7"/>
  <c r="B1760" i="7"/>
  <c r="A1761" i="7"/>
  <c r="A536" i="7"/>
  <c r="B535" i="7"/>
  <c r="A1692" i="7"/>
  <c r="B1691" i="7"/>
  <c r="B1759" i="2"/>
  <c r="A1760" i="2"/>
  <c r="A1692" i="2"/>
  <c r="B1691" i="2"/>
  <c r="A61" i="2"/>
  <c r="B60" i="2"/>
  <c r="B128" i="2"/>
  <c r="A129" i="2"/>
  <c r="A1488" i="2"/>
  <c r="B1487" i="2"/>
  <c r="A1149" i="2"/>
  <c r="B1148" i="2"/>
  <c r="B1895" i="2"/>
  <c r="A1896" i="2"/>
  <c r="A264" i="2"/>
  <c r="B263" i="2"/>
  <c r="B740" i="2"/>
  <c r="A741" i="2"/>
  <c r="B944" i="2"/>
  <c r="A945" i="2"/>
  <c r="A808" i="2"/>
  <c r="B807" i="2"/>
  <c r="A1353" i="2"/>
  <c r="B1352" i="2"/>
  <c r="A672" i="2"/>
  <c r="B671" i="2"/>
  <c r="B1079" i="2"/>
  <c r="A1080" i="2"/>
  <c r="B1419" i="2"/>
  <c r="A1420" i="2"/>
  <c r="A332" i="2"/>
  <c r="B331" i="2"/>
  <c r="A1216" i="2"/>
  <c r="B1215" i="2"/>
  <c r="A876" i="2"/>
  <c r="B875" i="2"/>
  <c r="B195" i="2"/>
  <c r="A196" i="2"/>
  <c r="A468" i="2"/>
  <c r="B467" i="2"/>
  <c r="B1013" i="2"/>
  <c r="A1014" i="2"/>
  <c r="B1828" i="2"/>
  <c r="A1829" i="2"/>
  <c r="B1623" i="2"/>
  <c r="A1624" i="2"/>
  <c r="B399" i="2"/>
  <c r="A400" i="2"/>
  <c r="A1284" i="2"/>
  <c r="B1283" i="2"/>
  <c r="B1555" i="2"/>
  <c r="A1556" i="2"/>
  <c r="B535" i="2"/>
  <c r="A536" i="2"/>
  <c r="B607" i="2"/>
  <c r="A608" i="2"/>
  <c r="A60" i="10" l="1"/>
  <c r="B59" i="10"/>
  <c r="A1150" i="7"/>
  <c r="B1149" i="7"/>
  <c r="B1352" i="7"/>
  <c r="A1353" i="7"/>
  <c r="B264" i="7"/>
  <c r="A265" i="7"/>
  <c r="B944" i="7"/>
  <c r="A945" i="7"/>
  <c r="A1016" i="7"/>
  <c r="B1015" i="7"/>
  <c r="A197" i="7"/>
  <c r="B196" i="7"/>
  <c r="A607" i="7"/>
  <c r="B606" i="7"/>
  <c r="A741" i="7"/>
  <c r="B740" i="7"/>
  <c r="A1626" i="7"/>
  <c r="B1625" i="7"/>
  <c r="B1285" i="7"/>
  <c r="A1286" i="7"/>
  <c r="A470" i="7"/>
  <c r="B469" i="7"/>
  <c r="A811" i="7"/>
  <c r="B810" i="7"/>
  <c r="B1556" i="7"/>
  <c r="A1557" i="7"/>
  <c r="B672" i="7"/>
  <c r="A673" i="7"/>
  <c r="A1083" i="7"/>
  <c r="B1082" i="7"/>
  <c r="A1898" i="7"/>
  <c r="B1897" i="7"/>
  <c r="A63" i="7"/>
  <c r="B62" i="7"/>
  <c r="A402" i="7"/>
  <c r="B401" i="7"/>
  <c r="B1692" i="7"/>
  <c r="A1693" i="7"/>
  <c r="A1490" i="7"/>
  <c r="B1489" i="7"/>
  <c r="A130" i="7"/>
  <c r="B129" i="7"/>
  <c r="B1421" i="7"/>
  <c r="A1422" i="7"/>
  <c r="B1828" i="7"/>
  <c r="A1829" i="7"/>
  <c r="B536" i="7"/>
  <c r="A537" i="7"/>
  <c r="B1217" i="7"/>
  <c r="A1218" i="7"/>
  <c r="A1762" i="7"/>
  <c r="B1761" i="7"/>
  <c r="B337" i="7"/>
  <c r="A338" i="7"/>
  <c r="A879" i="7"/>
  <c r="B878" i="7"/>
  <c r="B1760" i="2"/>
  <c r="A1761" i="2"/>
  <c r="B1692" i="2"/>
  <c r="A1693" i="2"/>
  <c r="A265" i="2"/>
  <c r="B264" i="2"/>
  <c r="A1897" i="2"/>
  <c r="B1896" i="2"/>
  <c r="B1149" i="2"/>
  <c r="A1150" i="2"/>
  <c r="A1489" i="2"/>
  <c r="B1488" i="2"/>
  <c r="B129" i="2"/>
  <c r="A130" i="2"/>
  <c r="B61" i="2"/>
  <c r="A62" i="2"/>
  <c r="B196" i="2"/>
  <c r="A197" i="2"/>
  <c r="B876" i="2"/>
  <c r="A877" i="2"/>
  <c r="A1285" i="2"/>
  <c r="B1284" i="2"/>
  <c r="B1216" i="2"/>
  <c r="A1217" i="2"/>
  <c r="B400" i="2"/>
  <c r="A401" i="2"/>
  <c r="B332" i="2"/>
  <c r="A333" i="2"/>
  <c r="B1624" i="2"/>
  <c r="A1625" i="2"/>
  <c r="B1420" i="2"/>
  <c r="A1421" i="2"/>
  <c r="B1556" i="2"/>
  <c r="A1557" i="2"/>
  <c r="A1081" i="2"/>
  <c r="B1080" i="2"/>
  <c r="B808" i="2"/>
  <c r="A809" i="2"/>
  <c r="A1015" i="2"/>
  <c r="B1014" i="2"/>
  <c r="B945" i="2"/>
  <c r="A946" i="2"/>
  <c r="B672" i="2"/>
  <c r="A673" i="2"/>
  <c r="B536" i="2"/>
  <c r="A537" i="2"/>
  <c r="A742" i="2"/>
  <c r="B741" i="2"/>
  <c r="B1829" i="2"/>
  <c r="A1830" i="2"/>
  <c r="B608" i="2"/>
  <c r="A609" i="2"/>
  <c r="B468" i="2"/>
  <c r="A469" i="2"/>
  <c r="B1353" i="2"/>
  <c r="A1354" i="2"/>
  <c r="A61" i="10" l="1"/>
  <c r="B60" i="10"/>
  <c r="A266" i="7"/>
  <c r="B265" i="7"/>
  <c r="A1354" i="7"/>
  <c r="B1353" i="7"/>
  <c r="B1150" i="7"/>
  <c r="A1151" i="7"/>
  <c r="B945" i="7"/>
  <c r="A946" i="7"/>
  <c r="A198" i="7"/>
  <c r="B197" i="7"/>
  <c r="B1016" i="7"/>
  <c r="A1017" i="7"/>
  <c r="B1557" i="7"/>
  <c r="A1558" i="7"/>
  <c r="A1491" i="7"/>
  <c r="B1490" i="7"/>
  <c r="A812" i="7"/>
  <c r="B811" i="7"/>
  <c r="A1694" i="7"/>
  <c r="B1693" i="7"/>
  <c r="B470" i="7"/>
  <c r="A471" i="7"/>
  <c r="A1219" i="7"/>
  <c r="B1218" i="7"/>
  <c r="B1286" i="7"/>
  <c r="A1287" i="7"/>
  <c r="B402" i="7"/>
  <c r="A403" i="7"/>
  <c r="A1763" i="7"/>
  <c r="B1762" i="7"/>
  <c r="A538" i="7"/>
  <c r="B537" i="7"/>
  <c r="A880" i="7"/>
  <c r="B879" i="7"/>
  <c r="A64" i="7"/>
  <c r="B63" i="7"/>
  <c r="A1627" i="7"/>
  <c r="B1626" i="7"/>
  <c r="A339" i="7"/>
  <c r="B338" i="7"/>
  <c r="A1830" i="7"/>
  <c r="B1829" i="7"/>
  <c r="A1899" i="7"/>
  <c r="B1898" i="7"/>
  <c r="B1422" i="7"/>
  <c r="A1423" i="7"/>
  <c r="A1084" i="7"/>
  <c r="B1083" i="7"/>
  <c r="B741" i="7"/>
  <c r="A742" i="7"/>
  <c r="A674" i="7"/>
  <c r="B673" i="7"/>
  <c r="A131" i="7"/>
  <c r="B130" i="7"/>
  <c r="A608" i="7"/>
  <c r="B607" i="7"/>
  <c r="A1762" i="2"/>
  <c r="B1761" i="2"/>
  <c r="B1693" i="2"/>
  <c r="A1694" i="2"/>
  <c r="B62" i="2"/>
  <c r="A63" i="2"/>
  <c r="A131" i="2"/>
  <c r="B130" i="2"/>
  <c r="A1490" i="2"/>
  <c r="B1489" i="2"/>
  <c r="B1897" i="2"/>
  <c r="A1898" i="2"/>
  <c r="A1151" i="2"/>
  <c r="B1150" i="2"/>
  <c r="B265" i="2"/>
  <c r="A266" i="2"/>
  <c r="B1217" i="2"/>
  <c r="A1218" i="2"/>
  <c r="A610" i="2"/>
  <c r="B609" i="2"/>
  <c r="A1558" i="2"/>
  <c r="B1557" i="2"/>
  <c r="B809" i="2"/>
  <c r="A810" i="2"/>
  <c r="B1830" i="2"/>
  <c r="A1831" i="2"/>
  <c r="B742" i="2"/>
  <c r="A743" i="2"/>
  <c r="B1285" i="2"/>
  <c r="A1286" i="2"/>
  <c r="B673" i="2"/>
  <c r="A674" i="2"/>
  <c r="B1625" i="2"/>
  <c r="A1626" i="2"/>
  <c r="A878" i="2"/>
  <c r="B877" i="2"/>
  <c r="B1421" i="2"/>
  <c r="A1422" i="2"/>
  <c r="B946" i="2"/>
  <c r="A947" i="2"/>
  <c r="A470" i="2"/>
  <c r="B469" i="2"/>
  <c r="B1081" i="2"/>
  <c r="A1082" i="2"/>
  <c r="A538" i="2"/>
  <c r="B537" i="2"/>
  <c r="A1355" i="2"/>
  <c r="B1354" i="2"/>
  <c r="B401" i="2"/>
  <c r="A402" i="2"/>
  <c r="B333" i="2"/>
  <c r="A334" i="2"/>
  <c r="B1015" i="2"/>
  <c r="A1016" i="2"/>
  <c r="B197" i="2"/>
  <c r="A198" i="2"/>
  <c r="A62" i="10" l="1"/>
  <c r="B61" i="10"/>
  <c r="A1152" i="7"/>
  <c r="B1151" i="7"/>
  <c r="A1355" i="7"/>
  <c r="B1354" i="7"/>
  <c r="A267" i="7"/>
  <c r="B266" i="7"/>
  <c r="A947" i="7"/>
  <c r="B946" i="7"/>
  <c r="A1018" i="7"/>
  <c r="B1017" i="7"/>
  <c r="A199" i="7"/>
  <c r="B198" i="7"/>
  <c r="B742" i="7"/>
  <c r="A743" i="7"/>
  <c r="A472" i="7"/>
  <c r="B471" i="7"/>
  <c r="A1628" i="7"/>
  <c r="B1627" i="7"/>
  <c r="B1084" i="7"/>
  <c r="A1085" i="7"/>
  <c r="A65" i="7"/>
  <c r="B64" i="7"/>
  <c r="B1694" i="7"/>
  <c r="A1695" i="7"/>
  <c r="B880" i="7"/>
  <c r="A881" i="7"/>
  <c r="A539" i="7"/>
  <c r="B538" i="7"/>
  <c r="B812" i="7"/>
  <c r="A813" i="7"/>
  <c r="B608" i="7"/>
  <c r="A609" i="7"/>
  <c r="B1899" i="7"/>
  <c r="A1900" i="7"/>
  <c r="B1763" i="7"/>
  <c r="A1764" i="7"/>
  <c r="A1492" i="7"/>
  <c r="B1491" i="7"/>
  <c r="A404" i="7"/>
  <c r="B403" i="7"/>
  <c r="A1424" i="7"/>
  <c r="B1423" i="7"/>
  <c r="B131" i="7"/>
  <c r="A132" i="7"/>
  <c r="B1830" i="7"/>
  <c r="A1831" i="7"/>
  <c r="A1288" i="7"/>
  <c r="B1287" i="7"/>
  <c r="B1558" i="7"/>
  <c r="A1559" i="7"/>
  <c r="B674" i="7"/>
  <c r="A675" i="7"/>
  <c r="B339" i="7"/>
  <c r="A340" i="7"/>
  <c r="B1219" i="7"/>
  <c r="A1220" i="7"/>
  <c r="B1762" i="2"/>
  <c r="A1763" i="2"/>
  <c r="A1695" i="2"/>
  <c r="B1694" i="2"/>
  <c r="B266" i="2"/>
  <c r="A267" i="2"/>
  <c r="A1152" i="2"/>
  <c r="B1151" i="2"/>
  <c r="B1898" i="2"/>
  <c r="A1899" i="2"/>
  <c r="A1491" i="2"/>
  <c r="B1490" i="2"/>
  <c r="A132" i="2"/>
  <c r="B131" i="2"/>
  <c r="B63" i="2"/>
  <c r="A64" i="2"/>
  <c r="B947" i="2"/>
  <c r="A948" i="2"/>
  <c r="A744" i="2"/>
  <c r="B743" i="2"/>
  <c r="B334" i="2"/>
  <c r="A335" i="2"/>
  <c r="A1423" i="2"/>
  <c r="B1422" i="2"/>
  <c r="A1832" i="2"/>
  <c r="B1831" i="2"/>
  <c r="B810" i="2"/>
  <c r="A811" i="2"/>
  <c r="A1017" i="2"/>
  <c r="B1016" i="2"/>
  <c r="A1356" i="2"/>
  <c r="B1355" i="2"/>
  <c r="A879" i="2"/>
  <c r="B878" i="2"/>
  <c r="B402" i="2"/>
  <c r="A403" i="2"/>
  <c r="B1082" i="2"/>
  <c r="A1083" i="2"/>
  <c r="A611" i="2"/>
  <c r="B610" i="2"/>
  <c r="B1558" i="2"/>
  <c r="A1559" i="2"/>
  <c r="B198" i="2"/>
  <c r="A199" i="2"/>
  <c r="A1287" i="2"/>
  <c r="B1286" i="2"/>
  <c r="B1218" i="2"/>
  <c r="A1219" i="2"/>
  <c r="A1627" i="2"/>
  <c r="B1626" i="2"/>
  <c r="B674" i="2"/>
  <c r="A675" i="2"/>
  <c r="B538" i="2"/>
  <c r="A539" i="2"/>
  <c r="A471" i="2"/>
  <c r="B470" i="2"/>
  <c r="A63" i="10" l="1"/>
  <c r="B62" i="10"/>
  <c r="A268" i="7"/>
  <c r="B267" i="7"/>
  <c r="A1356" i="7"/>
  <c r="B1355" i="7"/>
  <c r="B1152" i="7"/>
  <c r="A1153" i="7"/>
  <c r="B947" i="7"/>
  <c r="A948" i="7"/>
  <c r="A200" i="7"/>
  <c r="B199" i="7"/>
  <c r="A1019" i="7"/>
  <c r="B1018" i="7"/>
  <c r="A882" i="7"/>
  <c r="B881" i="7"/>
  <c r="B1288" i="7"/>
  <c r="A1289" i="7"/>
  <c r="B1492" i="7"/>
  <c r="A1493" i="7"/>
  <c r="A1832" i="7"/>
  <c r="B1831" i="7"/>
  <c r="B1764" i="7"/>
  <c r="A1765" i="7"/>
  <c r="A1696" i="7"/>
  <c r="B1695" i="7"/>
  <c r="A1901" i="7"/>
  <c r="B1900" i="7"/>
  <c r="A66" i="7"/>
  <c r="B65" i="7"/>
  <c r="A1221" i="7"/>
  <c r="B1220" i="7"/>
  <c r="A610" i="7"/>
  <c r="B609" i="7"/>
  <c r="B1085" i="7"/>
  <c r="A1086" i="7"/>
  <c r="A133" i="7"/>
  <c r="B132" i="7"/>
  <c r="A814" i="7"/>
  <c r="B813" i="7"/>
  <c r="B1628" i="7"/>
  <c r="A1629" i="7"/>
  <c r="A341" i="7"/>
  <c r="B340" i="7"/>
  <c r="B1424" i="7"/>
  <c r="A1425" i="7"/>
  <c r="B539" i="7"/>
  <c r="A540" i="7"/>
  <c r="B472" i="7"/>
  <c r="A473" i="7"/>
  <c r="B1559" i="7"/>
  <c r="A1560" i="7"/>
  <c r="A744" i="7"/>
  <c r="B743" i="7"/>
  <c r="A676" i="7"/>
  <c r="B675" i="7"/>
  <c r="A405" i="7"/>
  <c r="B404" i="7"/>
  <c r="B1763" i="2"/>
  <c r="A1764" i="2"/>
  <c r="B1695" i="2"/>
  <c r="A1696" i="2"/>
  <c r="A65" i="2"/>
  <c r="B64" i="2"/>
  <c r="B132" i="2"/>
  <c r="A133" i="2"/>
  <c r="B1491" i="2"/>
  <c r="A1492" i="2"/>
  <c r="B1899" i="2"/>
  <c r="A1900" i="2"/>
  <c r="B1152" i="2"/>
  <c r="A1153" i="2"/>
  <c r="B267" i="2"/>
  <c r="A268" i="2"/>
  <c r="B1017" i="2"/>
  <c r="A1018" i="2"/>
  <c r="A1833" i="2"/>
  <c r="B1832" i="2"/>
  <c r="A612" i="2"/>
  <c r="B611" i="2"/>
  <c r="A336" i="2"/>
  <c r="B335" i="2"/>
  <c r="B675" i="2"/>
  <c r="A676" i="2"/>
  <c r="B539" i="2"/>
  <c r="A540" i="2"/>
  <c r="B811" i="2"/>
  <c r="A812" i="2"/>
  <c r="A1628" i="2"/>
  <c r="B1627" i="2"/>
  <c r="B1219" i="2"/>
  <c r="A1220" i="2"/>
  <c r="B1356" i="2"/>
  <c r="A1357" i="2"/>
  <c r="B744" i="2"/>
  <c r="A745" i="2"/>
  <c r="A1424" i="2"/>
  <c r="B1423" i="2"/>
  <c r="B1287" i="2"/>
  <c r="A1288" i="2"/>
  <c r="A880" i="2"/>
  <c r="B879" i="2"/>
  <c r="A472" i="2"/>
  <c r="B471" i="2"/>
  <c r="B1559" i="2"/>
  <c r="A1560" i="2"/>
  <c r="B948" i="2"/>
  <c r="A949" i="2"/>
  <c r="A1084" i="2"/>
  <c r="B1083" i="2"/>
  <c r="A404" i="2"/>
  <c r="B403" i="2"/>
  <c r="A200" i="2"/>
  <c r="B199" i="2"/>
  <c r="B63" i="10" l="1"/>
  <c r="A64" i="10"/>
  <c r="A1154" i="7"/>
  <c r="B1153" i="7"/>
  <c r="B1356" i="7"/>
  <c r="A1357" i="7"/>
  <c r="B268" i="7"/>
  <c r="A269" i="7"/>
  <c r="B948" i="7"/>
  <c r="A949" i="7"/>
  <c r="A1020" i="7"/>
  <c r="B1019" i="7"/>
  <c r="A201" i="7"/>
  <c r="B200" i="7"/>
  <c r="A1561" i="7"/>
  <c r="B1560" i="7"/>
  <c r="A1766" i="7"/>
  <c r="B1765" i="7"/>
  <c r="A134" i="7"/>
  <c r="B133" i="7"/>
  <c r="A474" i="7"/>
  <c r="B473" i="7"/>
  <c r="B1086" i="7"/>
  <c r="A1087" i="7"/>
  <c r="A1833" i="7"/>
  <c r="B1832" i="7"/>
  <c r="B540" i="7"/>
  <c r="A541" i="7"/>
  <c r="B610" i="7"/>
  <c r="A611" i="7"/>
  <c r="A1426" i="7"/>
  <c r="B1425" i="7"/>
  <c r="B1493" i="7"/>
  <c r="A1494" i="7"/>
  <c r="B1221" i="7"/>
  <c r="A1222" i="7"/>
  <c r="B66" i="7"/>
  <c r="A67" i="7"/>
  <c r="A1290" i="7"/>
  <c r="B1289" i="7"/>
  <c r="A677" i="7"/>
  <c r="B676" i="7"/>
  <c r="A1902" i="7"/>
  <c r="B1901" i="7"/>
  <c r="A1630" i="7"/>
  <c r="B1629" i="7"/>
  <c r="A406" i="7"/>
  <c r="B405" i="7"/>
  <c r="A342" i="7"/>
  <c r="B341" i="7"/>
  <c r="B744" i="7"/>
  <c r="A745" i="7"/>
  <c r="A815" i="7"/>
  <c r="B814" i="7"/>
  <c r="A1697" i="7"/>
  <c r="B1696" i="7"/>
  <c r="B882" i="7"/>
  <c r="A883" i="7"/>
  <c r="B1764" i="2"/>
  <c r="A1765" i="2"/>
  <c r="B1696" i="2"/>
  <c r="A1697" i="2"/>
  <c r="A269" i="2"/>
  <c r="B268" i="2"/>
  <c r="B1153" i="2"/>
  <c r="A1154" i="2"/>
  <c r="A1901" i="2"/>
  <c r="B1900" i="2"/>
  <c r="B1492" i="2"/>
  <c r="A1493" i="2"/>
  <c r="B133" i="2"/>
  <c r="A134" i="2"/>
  <c r="B65" i="2"/>
  <c r="A66" i="2"/>
  <c r="A1289" i="2"/>
  <c r="B1288" i="2"/>
  <c r="B745" i="2"/>
  <c r="A746" i="2"/>
  <c r="B676" i="2"/>
  <c r="A677" i="2"/>
  <c r="B1424" i="2"/>
  <c r="A1425" i="2"/>
  <c r="A541" i="2"/>
  <c r="B540" i="2"/>
  <c r="B1357" i="2"/>
  <c r="A1358" i="2"/>
  <c r="B612" i="2"/>
  <c r="A613" i="2"/>
  <c r="B1560" i="2"/>
  <c r="A1561" i="2"/>
  <c r="B472" i="2"/>
  <c r="A473" i="2"/>
  <c r="B200" i="2"/>
  <c r="A201" i="2"/>
  <c r="B1628" i="2"/>
  <c r="A1629" i="2"/>
  <c r="A1834" i="2"/>
  <c r="B1833" i="2"/>
  <c r="B1084" i="2"/>
  <c r="A1085" i="2"/>
  <c r="A950" i="2"/>
  <c r="B949" i="2"/>
  <c r="B1220" i="2"/>
  <c r="A1221" i="2"/>
  <c r="B812" i="2"/>
  <c r="A813" i="2"/>
  <c r="B1018" i="2"/>
  <c r="A1019" i="2"/>
  <c r="B336" i="2"/>
  <c r="A337" i="2"/>
  <c r="B404" i="2"/>
  <c r="A405" i="2"/>
  <c r="B880" i="2"/>
  <c r="A881" i="2"/>
  <c r="A65" i="10" l="1"/>
  <c r="B64" i="10"/>
  <c r="A270" i="7"/>
  <c r="B269" i="7"/>
  <c r="B1357" i="7"/>
  <c r="A1358" i="7"/>
  <c r="B1154" i="7"/>
  <c r="A1155" i="7"/>
  <c r="A950" i="7"/>
  <c r="B949" i="7"/>
  <c r="A202" i="7"/>
  <c r="B201" i="7"/>
  <c r="A1021" i="7"/>
  <c r="B1020" i="7"/>
  <c r="A542" i="7"/>
  <c r="B541" i="7"/>
  <c r="B342" i="7"/>
  <c r="A343" i="7"/>
  <c r="B343" i="7" s="1"/>
  <c r="A407" i="7"/>
  <c r="B406" i="7"/>
  <c r="A1834" i="7"/>
  <c r="B1833" i="7"/>
  <c r="A1088" i="7"/>
  <c r="B1087" i="7"/>
  <c r="B1630" i="7"/>
  <c r="A1631" i="7"/>
  <c r="A746" i="7"/>
  <c r="B745" i="7"/>
  <c r="A1223" i="7"/>
  <c r="B1222" i="7"/>
  <c r="A475" i="7"/>
  <c r="B474" i="7"/>
  <c r="A884" i="7"/>
  <c r="B883" i="7"/>
  <c r="B1494" i="7"/>
  <c r="A1495" i="7"/>
  <c r="A1291" i="7"/>
  <c r="B1290" i="7"/>
  <c r="B1902" i="7"/>
  <c r="A1903" i="7"/>
  <c r="A135" i="7"/>
  <c r="B134" i="7"/>
  <c r="B67" i="7"/>
  <c r="A68" i="7"/>
  <c r="B677" i="7"/>
  <c r="A678" i="7"/>
  <c r="A1427" i="7"/>
  <c r="B1426" i="7"/>
  <c r="B1766" i="7"/>
  <c r="A1767" i="7"/>
  <c r="A612" i="7"/>
  <c r="B611" i="7"/>
  <c r="A1698" i="7"/>
  <c r="B1697" i="7"/>
  <c r="A816" i="7"/>
  <c r="B815" i="7"/>
  <c r="B1561" i="7"/>
  <c r="A1562" i="7"/>
  <c r="B1765" i="2"/>
  <c r="A1766" i="2"/>
  <c r="B1697" i="2"/>
  <c r="A1698" i="2"/>
  <c r="B66" i="2"/>
  <c r="A67" i="2"/>
  <c r="B134" i="2"/>
  <c r="A135" i="2"/>
  <c r="B1493" i="2"/>
  <c r="A1494" i="2"/>
  <c r="B1154" i="2"/>
  <c r="A1155" i="2"/>
  <c r="A1902" i="2"/>
  <c r="B1901" i="2"/>
  <c r="B269" i="2"/>
  <c r="A270" i="2"/>
  <c r="B1629" i="2"/>
  <c r="A1630" i="2"/>
  <c r="A1359" i="2"/>
  <c r="B1358" i="2"/>
  <c r="B541" i="2"/>
  <c r="A542" i="2"/>
  <c r="B1425" i="2"/>
  <c r="A1426" i="2"/>
  <c r="A678" i="2"/>
  <c r="B677" i="2"/>
  <c r="B473" i="2"/>
  <c r="A474" i="2"/>
  <c r="A1020" i="2"/>
  <c r="B1019" i="2"/>
  <c r="B746" i="2"/>
  <c r="A747" i="2"/>
  <c r="A814" i="2"/>
  <c r="B813" i="2"/>
  <c r="B201" i="2"/>
  <c r="A202" i="2"/>
  <c r="B1221" i="2"/>
  <c r="A1222" i="2"/>
  <c r="A614" i="2"/>
  <c r="B613" i="2"/>
  <c r="B337" i="2"/>
  <c r="A338" i="2"/>
  <c r="A951" i="2"/>
  <c r="B950" i="2"/>
  <c r="A882" i="2"/>
  <c r="B881" i="2"/>
  <c r="B1085" i="2"/>
  <c r="A1086" i="2"/>
  <c r="B1561" i="2"/>
  <c r="A1562" i="2"/>
  <c r="B405" i="2"/>
  <c r="A406" i="2"/>
  <c r="B1834" i="2"/>
  <c r="A1835" i="2"/>
  <c r="A1290" i="2"/>
  <c r="B1289" i="2"/>
  <c r="B65" i="10" l="1"/>
  <c r="A66" i="10"/>
  <c r="B1155" i="7"/>
  <c r="A1156" i="7"/>
  <c r="B1358" i="7"/>
  <c r="A1359" i="7"/>
  <c r="B270" i="7"/>
  <c r="A271" i="7"/>
  <c r="B950" i="7"/>
  <c r="A951" i="7"/>
  <c r="A1022" i="7"/>
  <c r="B1021" i="7"/>
  <c r="A203" i="7"/>
  <c r="B202" i="7"/>
  <c r="A1904" i="7"/>
  <c r="B1903" i="7"/>
  <c r="A1699" i="7"/>
  <c r="B1698" i="7"/>
  <c r="B1631" i="7"/>
  <c r="A1632" i="7"/>
  <c r="A613" i="7"/>
  <c r="B612" i="7"/>
  <c r="A1292" i="7"/>
  <c r="B1291" i="7"/>
  <c r="A1496" i="7"/>
  <c r="B1495" i="7"/>
  <c r="B1088" i="7"/>
  <c r="A1089" i="7"/>
  <c r="A885" i="7"/>
  <c r="B884" i="7"/>
  <c r="A1835" i="7"/>
  <c r="B1834" i="7"/>
  <c r="B1427" i="7"/>
  <c r="A1428" i="7"/>
  <c r="A476" i="7"/>
  <c r="B475" i="7"/>
  <c r="B407" i="7"/>
  <c r="A408" i="7"/>
  <c r="A1563" i="7"/>
  <c r="B1562" i="7"/>
  <c r="A679" i="7"/>
  <c r="B678" i="7"/>
  <c r="A1768" i="7"/>
  <c r="B1767" i="7"/>
  <c r="A69" i="7"/>
  <c r="B68" i="7"/>
  <c r="B816" i="7"/>
  <c r="A817" i="7"/>
  <c r="A1224" i="7"/>
  <c r="B1223" i="7"/>
  <c r="A543" i="7"/>
  <c r="B542" i="7"/>
  <c r="A136" i="7"/>
  <c r="B135" i="7"/>
  <c r="A747" i="7"/>
  <c r="B746" i="7"/>
  <c r="B1766" i="2"/>
  <c r="A1767" i="2"/>
  <c r="A1699" i="2"/>
  <c r="B1698" i="2"/>
  <c r="B270" i="2"/>
  <c r="A271" i="2"/>
  <c r="B1902" i="2"/>
  <c r="A1903" i="2"/>
  <c r="B1155" i="2"/>
  <c r="A1156" i="2"/>
  <c r="B1494" i="2"/>
  <c r="A1495" i="2"/>
  <c r="B135" i="2"/>
  <c r="A136" i="2"/>
  <c r="B67" i="2"/>
  <c r="A68" i="2"/>
  <c r="A475" i="2"/>
  <c r="B474" i="2"/>
  <c r="B1562" i="2"/>
  <c r="A1563" i="2"/>
  <c r="A679" i="2"/>
  <c r="B678" i="2"/>
  <c r="B542" i="2"/>
  <c r="A543" i="2"/>
  <c r="A952" i="2"/>
  <c r="B951" i="2"/>
  <c r="A1223" i="2"/>
  <c r="B1222" i="2"/>
  <c r="A883" i="2"/>
  <c r="B882" i="2"/>
  <c r="A815" i="2"/>
  <c r="B814" i="2"/>
  <c r="A1360" i="2"/>
  <c r="B1359" i="2"/>
  <c r="B202" i="2"/>
  <c r="A203" i="2"/>
  <c r="B747" i="2"/>
  <c r="A748" i="2"/>
  <c r="B1290" i="2"/>
  <c r="A1291" i="2"/>
  <c r="B1835" i="2"/>
  <c r="A1836" i="2"/>
  <c r="A339" i="2"/>
  <c r="B338" i="2"/>
  <c r="B1630" i="2"/>
  <c r="A1631" i="2"/>
  <c r="B406" i="2"/>
  <c r="A407" i="2"/>
  <c r="A615" i="2"/>
  <c r="B615" i="2" s="1"/>
  <c r="B614" i="2"/>
  <c r="A1087" i="2"/>
  <c r="B1086" i="2"/>
  <c r="B1426" i="2"/>
  <c r="A1427" i="2"/>
  <c r="B1020" i="2"/>
  <c r="A1021" i="2"/>
  <c r="B66" i="10" l="1"/>
  <c r="A67" i="10"/>
  <c r="A272" i="7"/>
  <c r="B271" i="7"/>
  <c r="A1360" i="7"/>
  <c r="B1359" i="7"/>
  <c r="B1156" i="7"/>
  <c r="A1157" i="7"/>
  <c r="B951" i="7"/>
  <c r="A952" i="7"/>
  <c r="B1022" i="7"/>
  <c r="A1023" i="7"/>
  <c r="B1023" i="7" s="1"/>
  <c r="A204" i="7"/>
  <c r="B203" i="7"/>
  <c r="B1089" i="7"/>
  <c r="A1090" i="7"/>
  <c r="A748" i="7"/>
  <c r="B747" i="7"/>
  <c r="A137" i="7"/>
  <c r="B136" i="7"/>
  <c r="A680" i="7"/>
  <c r="B679" i="7"/>
  <c r="A1497" i="7"/>
  <c r="B1496" i="7"/>
  <c r="A1564" i="7"/>
  <c r="B1563" i="7"/>
  <c r="A1293" i="7"/>
  <c r="B1292" i="7"/>
  <c r="B408" i="7"/>
  <c r="A409" i="7"/>
  <c r="A544" i="7"/>
  <c r="B543" i="7"/>
  <c r="A614" i="7"/>
  <c r="B613" i="7"/>
  <c r="A1633" i="7"/>
  <c r="B1632" i="7"/>
  <c r="A477" i="7"/>
  <c r="B476" i="7"/>
  <c r="B1428" i="7"/>
  <c r="A1429" i="7"/>
  <c r="A1700" i="7"/>
  <c r="B1699" i="7"/>
  <c r="A1225" i="7"/>
  <c r="B1224" i="7"/>
  <c r="A70" i="7"/>
  <c r="B69" i="7"/>
  <c r="B1835" i="7"/>
  <c r="A1836" i="7"/>
  <c r="A818" i="7"/>
  <c r="B817" i="7"/>
  <c r="A1769" i="7"/>
  <c r="B1768" i="7"/>
  <c r="B885" i="7"/>
  <c r="A886" i="7"/>
  <c r="A1905" i="7"/>
  <c r="B1904" i="7"/>
  <c r="A1768" i="2"/>
  <c r="B1767" i="2"/>
  <c r="A1700" i="2"/>
  <c r="B1699" i="2"/>
  <c r="B68" i="2"/>
  <c r="A69" i="2"/>
  <c r="B136" i="2"/>
  <c r="A137" i="2"/>
  <c r="B1156" i="2"/>
  <c r="A1157" i="2"/>
  <c r="B1903" i="2"/>
  <c r="A1904" i="2"/>
  <c r="B271" i="2"/>
  <c r="A272" i="2"/>
  <c r="A1496" i="2"/>
  <c r="B1495" i="2"/>
  <c r="B1836" i="2"/>
  <c r="A1837" i="2"/>
  <c r="A544" i="2"/>
  <c r="B543" i="2"/>
  <c r="A749" i="2"/>
  <c r="B748" i="2"/>
  <c r="A680" i="2"/>
  <c r="B679" i="2"/>
  <c r="B952" i="2"/>
  <c r="A953" i="2"/>
  <c r="A1428" i="2"/>
  <c r="B1427" i="2"/>
  <c r="A1088" i="2"/>
  <c r="B1087" i="2"/>
  <c r="A816" i="2"/>
  <c r="B815" i="2"/>
  <c r="B475" i="2"/>
  <c r="A476" i="2"/>
  <c r="B407" i="2"/>
  <c r="A408" i="2"/>
  <c r="B1021" i="2"/>
  <c r="A1022" i="2"/>
  <c r="A1632" i="2"/>
  <c r="B1631" i="2"/>
  <c r="B1223" i="2"/>
  <c r="A1224" i="2"/>
  <c r="B1291" i="2"/>
  <c r="A1292" i="2"/>
  <c r="B203" i="2"/>
  <c r="A204" i="2"/>
  <c r="B1563" i="2"/>
  <c r="A1564" i="2"/>
  <c r="B1360" i="2"/>
  <c r="A1361" i="2"/>
  <c r="B339" i="2"/>
  <c r="A340" i="2"/>
  <c r="B883" i="2"/>
  <c r="A884" i="2"/>
  <c r="B67" i="10" l="1"/>
  <c r="A68" i="10"/>
  <c r="A1158" i="7"/>
  <c r="B1157" i="7"/>
  <c r="B1360" i="7"/>
  <c r="A1361" i="7"/>
  <c r="B272" i="7"/>
  <c r="A273" i="7"/>
  <c r="A953" i="7"/>
  <c r="B952" i="7"/>
  <c r="B204" i="7"/>
  <c r="A205" i="7"/>
  <c r="A410" i="7"/>
  <c r="B409" i="7"/>
  <c r="B1700" i="7"/>
  <c r="A1701" i="7"/>
  <c r="B1293" i="7"/>
  <c r="A1294" i="7"/>
  <c r="B1429" i="7"/>
  <c r="A1430" i="7"/>
  <c r="A1770" i="7"/>
  <c r="B1769" i="7"/>
  <c r="B1564" i="7"/>
  <c r="A1565" i="7"/>
  <c r="A887" i="7"/>
  <c r="B887" i="7" s="1"/>
  <c r="B886" i="7"/>
  <c r="B1497" i="7"/>
  <c r="A1498" i="7"/>
  <c r="B1905" i="7"/>
  <c r="A1906" i="7"/>
  <c r="A819" i="7"/>
  <c r="B819" i="7" s="1"/>
  <c r="B818" i="7"/>
  <c r="A478" i="7"/>
  <c r="B477" i="7"/>
  <c r="B680" i="7"/>
  <c r="A681" i="7"/>
  <c r="B1633" i="7"/>
  <c r="A1634" i="7"/>
  <c r="A138" i="7"/>
  <c r="B137" i="7"/>
  <c r="B1836" i="7"/>
  <c r="A1837" i="7"/>
  <c r="A615" i="7"/>
  <c r="B615" i="7" s="1"/>
  <c r="B614" i="7"/>
  <c r="A749" i="7"/>
  <c r="B748" i="7"/>
  <c r="A1091" i="7"/>
  <c r="B1091" i="7" s="1"/>
  <c r="B1090" i="7"/>
  <c r="A1226" i="7"/>
  <c r="B1225" i="7"/>
  <c r="A71" i="7"/>
  <c r="B71" i="7" s="1"/>
  <c r="B70" i="7"/>
  <c r="B544" i="7"/>
  <c r="A545" i="7"/>
  <c r="B1768" i="2"/>
  <c r="A1769" i="2"/>
  <c r="B1700" i="2"/>
  <c r="A1701" i="2"/>
  <c r="B1496" i="2"/>
  <c r="A1497" i="2"/>
  <c r="B272" i="2"/>
  <c r="A273" i="2"/>
  <c r="A1158" i="2"/>
  <c r="B1157" i="2"/>
  <c r="A138" i="2"/>
  <c r="B137" i="2"/>
  <c r="B69" i="2"/>
  <c r="A70" i="2"/>
  <c r="B1904" i="2"/>
  <c r="A1905" i="2"/>
  <c r="B680" i="2"/>
  <c r="A681" i="2"/>
  <c r="A1023" i="2"/>
  <c r="B1023" i="2" s="1"/>
  <c r="B1022" i="2"/>
  <c r="B1632" i="2"/>
  <c r="A1633" i="2"/>
  <c r="B476" i="2"/>
  <c r="A477" i="2"/>
  <c r="B544" i="2"/>
  <c r="A545" i="2"/>
  <c r="B1292" i="2"/>
  <c r="A1293" i="2"/>
  <c r="B1837" i="2"/>
  <c r="A1838" i="2"/>
  <c r="B340" i="2"/>
  <c r="A341" i="2"/>
  <c r="B1361" i="2"/>
  <c r="A1362" i="2"/>
  <c r="B408" i="2"/>
  <c r="A409" i="2"/>
  <c r="A1565" i="2"/>
  <c r="B1564" i="2"/>
  <c r="B953" i="2"/>
  <c r="A954" i="2"/>
  <c r="B204" i="2"/>
  <c r="A205" i="2"/>
  <c r="B816" i="2"/>
  <c r="A817" i="2"/>
  <c r="B1224" i="2"/>
  <c r="A1225" i="2"/>
  <c r="B884" i="2"/>
  <c r="A885" i="2"/>
  <c r="B1428" i="2"/>
  <c r="A1429" i="2"/>
  <c r="A750" i="2"/>
  <c r="B749" i="2"/>
  <c r="A1089" i="2"/>
  <c r="B1088" i="2"/>
  <c r="A69" i="10" l="1"/>
  <c r="B68" i="10"/>
  <c r="B273" i="7"/>
  <c r="A274" i="7"/>
  <c r="A1362" i="7"/>
  <c r="B1361" i="7"/>
  <c r="B1158" i="7"/>
  <c r="A1159" i="7"/>
  <c r="B1159" i="7" s="1"/>
  <c r="A954" i="7"/>
  <c r="B953" i="7"/>
  <c r="A206" i="7"/>
  <c r="B205" i="7"/>
  <c r="A546" i="7"/>
  <c r="B545" i="7"/>
  <c r="A1635" i="7"/>
  <c r="B1635" i="7" s="1"/>
  <c r="B1634" i="7"/>
  <c r="B1565" i="7"/>
  <c r="A1566" i="7"/>
  <c r="A682" i="7"/>
  <c r="B681" i="7"/>
  <c r="A1227" i="7"/>
  <c r="B1227" i="7" s="1"/>
  <c r="B1226" i="7"/>
  <c r="A1771" i="7"/>
  <c r="B1771" i="7" s="1"/>
  <c r="B1770" i="7"/>
  <c r="A139" i="7"/>
  <c r="B139" i="7" s="1"/>
  <c r="B138" i="7"/>
  <c r="B1430" i="7"/>
  <c r="A1431" i="7"/>
  <c r="B1431" i="7" s="1"/>
  <c r="A479" i="7"/>
  <c r="B479" i="7" s="1"/>
  <c r="B478" i="7"/>
  <c r="B1294" i="7"/>
  <c r="A1295" i="7"/>
  <c r="B1295" i="7" s="1"/>
  <c r="A1907" i="7"/>
  <c r="B1907" i="7" s="1"/>
  <c r="B1906" i="7"/>
  <c r="A1702" i="7"/>
  <c r="B1701" i="7"/>
  <c r="A750" i="7"/>
  <c r="B749" i="7"/>
  <c r="A1838" i="7"/>
  <c r="B1837" i="7"/>
  <c r="A1499" i="7"/>
  <c r="B1499" i="7" s="1"/>
  <c r="B1498" i="7"/>
  <c r="A411" i="7"/>
  <c r="B411" i="7" s="1"/>
  <c r="B410" i="7"/>
  <c r="B1769" i="2"/>
  <c r="A1770" i="2"/>
  <c r="B1701" i="2"/>
  <c r="A1702" i="2"/>
  <c r="B1905" i="2"/>
  <c r="A1906" i="2"/>
  <c r="A71" i="2"/>
  <c r="B71" i="2" s="1"/>
  <c r="B70" i="2"/>
  <c r="B138" i="2"/>
  <c r="A139" i="2"/>
  <c r="B139" i="2" s="1"/>
  <c r="A1159" i="2"/>
  <c r="B1159" i="2" s="1"/>
  <c r="B1158" i="2"/>
  <c r="B273" i="2"/>
  <c r="A274" i="2"/>
  <c r="B1497" i="2"/>
  <c r="A1498" i="2"/>
  <c r="B205" i="2"/>
  <c r="A206" i="2"/>
  <c r="A546" i="2"/>
  <c r="B545" i="2"/>
  <c r="B1838" i="2"/>
  <c r="A1839" i="2"/>
  <c r="B1839" i="2" s="1"/>
  <c r="B1225" i="2"/>
  <c r="A1226" i="2"/>
  <c r="A478" i="2"/>
  <c r="B477" i="2"/>
  <c r="B750" i="2"/>
  <c r="A751" i="2"/>
  <c r="B751" i="2" s="1"/>
  <c r="A818" i="2"/>
  <c r="B817" i="2"/>
  <c r="A955" i="2"/>
  <c r="B955" i="2" s="1"/>
  <c r="B954" i="2"/>
  <c r="B1293" i="2"/>
  <c r="A1294" i="2"/>
  <c r="B409" i="2"/>
  <c r="A410" i="2"/>
  <c r="B1429" i="2"/>
  <c r="A1430" i="2"/>
  <c r="B1633" i="2"/>
  <c r="A1634" i="2"/>
  <c r="B1565" i="2"/>
  <c r="A1566" i="2"/>
  <c r="A886" i="2"/>
  <c r="B885" i="2"/>
  <c r="B341" i="2"/>
  <c r="A342" i="2"/>
  <c r="A682" i="2"/>
  <c r="B681" i="2"/>
  <c r="A1090" i="2"/>
  <c r="B1089" i="2"/>
  <c r="B1362" i="2"/>
  <c r="A1363" i="2"/>
  <c r="B1363" i="2" s="1"/>
  <c r="A70" i="10" l="1"/>
  <c r="B69" i="10"/>
  <c r="K47" i="5"/>
  <c r="L47" i="5"/>
  <c r="L16" i="5"/>
  <c r="K53" i="5"/>
  <c r="K11" i="5"/>
  <c r="K14" i="5"/>
  <c r="K62" i="5"/>
  <c r="L60" i="5"/>
  <c r="L67" i="5"/>
  <c r="L62" i="5"/>
  <c r="K16" i="5"/>
  <c r="K63" i="5"/>
  <c r="L23" i="5"/>
  <c r="K54" i="5"/>
  <c r="K24" i="5"/>
  <c r="L43" i="5"/>
  <c r="L27" i="5"/>
  <c r="L48" i="5"/>
  <c r="L50" i="5"/>
  <c r="L68" i="5"/>
  <c r="K21" i="5"/>
  <c r="K66" i="5"/>
  <c r="L14" i="5"/>
  <c r="K12" i="5"/>
  <c r="K56" i="5"/>
  <c r="L46" i="5"/>
  <c r="L15" i="5"/>
  <c r="L9" i="5"/>
  <c r="K49" i="5"/>
  <c r="K32" i="5"/>
  <c r="L6" i="5"/>
  <c r="K25" i="5"/>
  <c r="L12" i="5"/>
  <c r="L51" i="5"/>
  <c r="L35" i="5"/>
  <c r="L33" i="5"/>
  <c r="L11" i="5"/>
  <c r="K46" i="5"/>
  <c r="L59" i="5"/>
  <c r="L44" i="5"/>
  <c r="K26" i="5"/>
  <c r="L3" i="5"/>
  <c r="L49" i="5"/>
  <c r="K22" i="5"/>
  <c r="K67" i="5"/>
  <c r="K13" i="5"/>
  <c r="L31" i="5"/>
  <c r="L2" i="5"/>
  <c r="L22" i="5"/>
  <c r="K5" i="5"/>
  <c r="L41" i="5"/>
  <c r="L32" i="5"/>
  <c r="K68" i="5"/>
  <c r="K69" i="5"/>
  <c r="K6" i="5"/>
  <c r="L8" i="5"/>
  <c r="K30" i="5"/>
  <c r="K31" i="5"/>
  <c r="K10" i="5"/>
  <c r="L7" i="5"/>
  <c r="L30" i="5"/>
  <c r="L56" i="5"/>
  <c r="K34" i="5"/>
  <c r="K45" i="5"/>
  <c r="K64" i="5"/>
  <c r="L61" i="5"/>
  <c r="L24" i="5"/>
  <c r="L19" i="5"/>
  <c r="L40" i="5"/>
  <c r="L66" i="5"/>
  <c r="K3" i="5"/>
  <c r="K43" i="5"/>
  <c r="K60" i="5"/>
  <c r="L55" i="5"/>
  <c r="L53" i="5"/>
  <c r="L26" i="5"/>
  <c r="L54" i="5"/>
  <c r="L69" i="5"/>
  <c r="K27" i="5"/>
  <c r="K65" i="5"/>
  <c r="L18" i="5"/>
  <c r="L45" i="5"/>
  <c r="K18" i="5"/>
  <c r="K50" i="5"/>
  <c r="L21" i="5"/>
  <c r="K55" i="5"/>
  <c r="L38" i="5"/>
  <c r="L13" i="5"/>
  <c r="L34" i="5"/>
  <c r="L58" i="5"/>
  <c r="K23" i="5"/>
  <c r="L63" i="5"/>
  <c r="K38" i="5"/>
  <c r="L10" i="5"/>
  <c r="K8" i="5"/>
  <c r="K61" i="5"/>
  <c r="K9" i="5"/>
  <c r="K59" i="5"/>
  <c r="K19" i="5"/>
  <c r="K58" i="5"/>
  <c r="L17" i="5"/>
  <c r="K39" i="5"/>
  <c r="K51" i="5"/>
  <c r="L65" i="5"/>
  <c r="L39" i="5"/>
  <c r="L25" i="5"/>
  <c r="L64" i="5"/>
  <c r="K40" i="5"/>
  <c r="K17" i="5"/>
  <c r="L5" i="5"/>
  <c r="K41" i="5"/>
  <c r="B1362" i="7"/>
  <c r="A1363" i="7"/>
  <c r="B1363" i="7" s="1"/>
  <c r="A275" i="7"/>
  <c r="B275" i="7" s="1"/>
  <c r="B274" i="7"/>
  <c r="A955" i="7"/>
  <c r="B955" i="7" s="1"/>
  <c r="B954" i="7"/>
  <c r="A207" i="7"/>
  <c r="B207" i="7" s="1"/>
  <c r="B206" i="7"/>
  <c r="B1838" i="7"/>
  <c r="A1839" i="7"/>
  <c r="B1839" i="7" s="1"/>
  <c r="B750" i="7"/>
  <c r="A751" i="7"/>
  <c r="B751" i="7" s="1"/>
  <c r="B1702" i="7"/>
  <c r="A1703" i="7"/>
  <c r="B1703" i="7" s="1"/>
  <c r="A683" i="7"/>
  <c r="B683" i="7" s="1"/>
  <c r="B682" i="7"/>
  <c r="B1566" i="7"/>
  <c r="A1567" i="7"/>
  <c r="B1567" i="7" s="1"/>
  <c r="A547" i="7"/>
  <c r="B547" i="7" s="1"/>
  <c r="B546" i="7"/>
  <c r="A1771" i="2"/>
  <c r="B1771" i="2" s="1"/>
  <c r="B1770" i="2"/>
  <c r="B1702" i="2"/>
  <c r="A1703" i="2"/>
  <c r="B1703" i="2" s="1"/>
  <c r="A1499" i="2"/>
  <c r="B1499" i="2" s="1"/>
  <c r="B1498" i="2"/>
  <c r="B274" i="2"/>
  <c r="A275" i="2"/>
  <c r="B275" i="2" s="1"/>
  <c r="B1906" i="2"/>
  <c r="A1907" i="2"/>
  <c r="B1907" i="2" s="1"/>
  <c r="E62" i="4" s="1"/>
  <c r="A819" i="2"/>
  <c r="B819" i="2" s="1"/>
  <c r="B818" i="2"/>
  <c r="A1567" i="2"/>
  <c r="B1567" i="2" s="1"/>
  <c r="B1566" i="2"/>
  <c r="A887" i="2"/>
  <c r="B887" i="2" s="1"/>
  <c r="B886" i="2"/>
  <c r="B478" i="2"/>
  <c r="A479" i="2"/>
  <c r="B479" i="2" s="1"/>
  <c r="B1226" i="2"/>
  <c r="A1227" i="2"/>
  <c r="B1227" i="2" s="1"/>
  <c r="B682" i="2"/>
  <c r="A683" i="2"/>
  <c r="B683" i="2" s="1"/>
  <c r="B410" i="2"/>
  <c r="A411" i="2"/>
  <c r="B411" i="2" s="1"/>
  <c r="B342" i="2"/>
  <c r="A343" i="2"/>
  <c r="B343" i="2" s="1"/>
  <c r="A1635" i="2"/>
  <c r="B1635" i="2" s="1"/>
  <c r="B1634" i="2"/>
  <c r="A547" i="2"/>
  <c r="B547" i="2" s="1"/>
  <c r="B546" i="2"/>
  <c r="A1295" i="2"/>
  <c r="B1295" i="2" s="1"/>
  <c r="B1294" i="2"/>
  <c r="B206" i="2"/>
  <c r="A207" i="2"/>
  <c r="B207" i="2" s="1"/>
  <c r="A1431" i="2"/>
  <c r="B1431" i="2" s="1"/>
  <c r="B1430" i="2"/>
  <c r="B1090" i="2"/>
  <c r="A1091" i="2"/>
  <c r="B1091" i="2" s="1"/>
  <c r="B70" i="10" l="1"/>
  <c r="A71" i="10"/>
  <c r="K37" i="5"/>
  <c r="L37" i="5"/>
  <c r="K29" i="5"/>
  <c r="L52" i="5"/>
  <c r="K20" i="5"/>
  <c r="L36" i="5"/>
  <c r="L20" i="5"/>
  <c r="L4" i="5"/>
  <c r="K28" i="5"/>
  <c r="K52" i="5"/>
  <c r="L29" i="5"/>
  <c r="L28" i="5"/>
  <c r="K36" i="5"/>
  <c r="K4" i="5"/>
  <c r="V47" i="5"/>
  <c r="T47" i="5"/>
  <c r="W47" i="5"/>
  <c r="Q36" i="5"/>
  <c r="Z47" i="5"/>
  <c r="U47" i="5"/>
  <c r="AC47" i="5"/>
  <c r="R47" i="5"/>
  <c r="M47" i="5"/>
  <c r="N47" i="5"/>
  <c r="Y47" i="5"/>
  <c r="AG47" i="5"/>
  <c r="X47" i="5"/>
  <c r="S47" i="5"/>
  <c r="AF47" i="5"/>
  <c r="P47" i="5"/>
  <c r="AB47" i="5"/>
  <c r="AA47" i="5"/>
  <c r="AE47" i="5"/>
  <c r="I47" i="5"/>
  <c r="J47" i="5"/>
  <c r="AD47" i="5"/>
  <c r="Q47" i="5"/>
  <c r="G47" i="5"/>
  <c r="H47" i="5"/>
  <c r="O47" i="5"/>
  <c r="P20" i="5"/>
  <c r="T28" i="5"/>
  <c r="I20" i="5"/>
  <c r="O28" i="5"/>
  <c r="AD20" i="5"/>
  <c r="Y28" i="5"/>
  <c r="R28" i="5"/>
  <c r="Z28" i="5"/>
  <c r="AF28" i="5"/>
  <c r="N28" i="5"/>
  <c r="M28" i="5"/>
  <c r="AA28" i="5"/>
  <c r="AB28" i="5"/>
  <c r="H28" i="5"/>
  <c r="AE28" i="5"/>
  <c r="X28" i="5"/>
  <c r="AD28" i="5"/>
  <c r="V28" i="5"/>
  <c r="AC28" i="5"/>
  <c r="W28" i="5"/>
  <c r="Q28" i="5"/>
  <c r="I28" i="5"/>
  <c r="S28" i="5"/>
  <c r="J28" i="5"/>
  <c r="U28" i="5"/>
  <c r="AG28" i="5"/>
  <c r="M20" i="5"/>
  <c r="P28" i="5"/>
  <c r="G28" i="5"/>
  <c r="U20" i="5"/>
  <c r="J20" i="5"/>
  <c r="Z20" i="5"/>
  <c r="AF20" i="5"/>
  <c r="T20" i="5"/>
  <c r="Q20" i="5"/>
  <c r="N20" i="5"/>
  <c r="O20" i="5"/>
  <c r="R20" i="5"/>
  <c r="S20" i="5"/>
  <c r="AB20" i="5"/>
  <c r="AG20" i="5"/>
  <c r="W20" i="5"/>
  <c r="AE20" i="5"/>
  <c r="AA20" i="5"/>
  <c r="X20" i="5"/>
  <c r="V20" i="5"/>
  <c r="Y20" i="5"/>
  <c r="AC20" i="5"/>
  <c r="H20" i="5"/>
  <c r="G20" i="5"/>
  <c r="P4" i="5"/>
  <c r="H4" i="5"/>
  <c r="Z4" i="5"/>
  <c r="W4" i="5"/>
  <c r="N4" i="5"/>
  <c r="X4" i="5"/>
  <c r="AD4" i="5"/>
  <c r="AE4" i="5"/>
  <c r="AA4" i="5"/>
  <c r="AF4" i="5"/>
  <c r="M4" i="5"/>
  <c r="AB4" i="5"/>
  <c r="AC4" i="5"/>
  <c r="V4" i="5"/>
  <c r="G4" i="5"/>
  <c r="Q4" i="5"/>
  <c r="I4" i="5"/>
  <c r="S4" i="5"/>
  <c r="R4" i="5"/>
  <c r="T4" i="5"/>
  <c r="O4" i="5"/>
  <c r="AG4" i="5"/>
  <c r="U4" i="5"/>
  <c r="Y4" i="5"/>
  <c r="J4" i="5"/>
  <c r="AE36" i="5"/>
  <c r="V36" i="5"/>
  <c r="O36" i="5"/>
  <c r="Z36" i="5"/>
  <c r="AA36" i="5"/>
  <c r="AC36" i="5"/>
  <c r="R36" i="5"/>
  <c r="AD36" i="5"/>
  <c r="W36" i="5"/>
  <c r="P36" i="5"/>
  <c r="U36" i="5"/>
  <c r="AF36" i="5"/>
  <c r="M36" i="5"/>
  <c r="S36" i="5"/>
  <c r="J36" i="5"/>
  <c r="Y36" i="5"/>
  <c r="AG36" i="5"/>
  <c r="H36" i="5"/>
  <c r="AB36" i="5"/>
  <c r="X36" i="5"/>
  <c r="G36" i="5"/>
  <c r="I36" i="5"/>
  <c r="N36" i="5"/>
  <c r="T36" i="5"/>
  <c r="M29" i="5"/>
  <c r="V29" i="5"/>
  <c r="T29" i="5"/>
  <c r="N29" i="5"/>
  <c r="AC29" i="5"/>
  <c r="O29" i="5"/>
  <c r="Z29" i="5"/>
  <c r="Y29" i="5"/>
  <c r="S29" i="5"/>
  <c r="Q29" i="5"/>
  <c r="I29" i="5"/>
  <c r="H29" i="5"/>
  <c r="W29" i="5"/>
  <c r="AF29" i="5"/>
  <c r="AB29" i="5"/>
  <c r="AA29" i="5"/>
  <c r="P29" i="5"/>
  <c r="AG29" i="5"/>
  <c r="U29" i="5"/>
  <c r="AE29" i="5"/>
  <c r="G29" i="5"/>
  <c r="AD29" i="5"/>
  <c r="R29" i="5"/>
  <c r="J29" i="5"/>
  <c r="X29" i="5"/>
  <c r="O48" i="5"/>
  <c r="S44" i="5"/>
  <c r="V19" i="5"/>
  <c r="O10" i="5"/>
  <c r="O63" i="5"/>
  <c r="Q46" i="5"/>
  <c r="N61" i="5"/>
  <c r="Q65" i="5"/>
  <c r="R3" i="5"/>
  <c r="R39" i="5"/>
  <c r="O13" i="5"/>
  <c r="N54" i="5"/>
  <c r="O52" i="5"/>
  <c r="N39" i="5"/>
  <c r="V35" i="5"/>
  <c r="V31" i="5"/>
  <c r="S12" i="5"/>
  <c r="S66" i="5"/>
  <c r="N65" i="5"/>
  <c r="V53" i="5"/>
  <c r="AC58" i="5"/>
  <c r="Q67" i="5"/>
  <c r="R23" i="5"/>
  <c r="H66" i="5"/>
  <c r="O15" i="5"/>
  <c r="Q41" i="5"/>
  <c r="S45" i="5"/>
  <c r="S19" i="5"/>
  <c r="S51" i="5"/>
  <c r="R2" i="5"/>
  <c r="S43" i="5"/>
  <c r="S33" i="5"/>
  <c r="N5" i="5"/>
  <c r="O3" i="5"/>
  <c r="R21" i="5"/>
  <c r="O65" i="5"/>
  <c r="O34" i="5"/>
  <c r="V54" i="5"/>
  <c r="T17" i="5"/>
  <c r="V66" i="5"/>
  <c r="AA64" i="5"/>
  <c r="T44" i="5"/>
  <c r="G50" i="5"/>
  <c r="AC38" i="5"/>
  <c r="R37" i="5"/>
  <c r="O55" i="5"/>
  <c r="S6" i="5"/>
  <c r="AD2" i="5"/>
  <c r="R30" i="5"/>
  <c r="R27" i="5"/>
  <c r="O30" i="5"/>
  <c r="Q13" i="5"/>
  <c r="V37" i="5"/>
  <c r="V16" i="5"/>
  <c r="N56" i="5"/>
  <c r="I7" i="5"/>
  <c r="R63" i="5"/>
  <c r="V68" i="5"/>
  <c r="T5" i="5"/>
  <c r="R50" i="5"/>
  <c r="T48" i="5"/>
  <c r="O26" i="5"/>
  <c r="T6" i="5"/>
  <c r="N32" i="5"/>
  <c r="Y3" i="5"/>
  <c r="T32" i="5"/>
  <c r="J35" i="5"/>
  <c r="N9" i="5"/>
  <c r="S17" i="5"/>
  <c r="Q14" i="5"/>
  <c r="V33" i="5"/>
  <c r="R32" i="5"/>
  <c r="Q12" i="5"/>
  <c r="V44" i="5"/>
  <c r="O61" i="5"/>
  <c r="N10" i="5"/>
  <c r="R38" i="5"/>
  <c r="I12" i="5"/>
  <c r="V10" i="5"/>
  <c r="N62" i="5"/>
  <c r="AD59" i="5"/>
  <c r="X35" i="5"/>
  <c r="N34" i="5"/>
  <c r="V48" i="5"/>
  <c r="U5" i="5"/>
  <c r="T37" i="5"/>
  <c r="N17" i="5"/>
  <c r="Q66" i="5"/>
  <c r="T3" i="5"/>
  <c r="X61" i="5"/>
  <c r="V27" i="5"/>
  <c r="Y52" i="5"/>
  <c r="R64" i="5"/>
  <c r="N68" i="5"/>
  <c r="T2" i="5"/>
  <c r="S30" i="5"/>
  <c r="Q17" i="5"/>
  <c r="V51" i="5"/>
  <c r="Q19" i="5"/>
  <c r="T33" i="5"/>
  <c r="O9" i="5"/>
  <c r="O11" i="5"/>
  <c r="T68" i="5"/>
  <c r="AG11" i="5"/>
  <c r="P51" i="5"/>
  <c r="I49" i="5"/>
  <c r="U35" i="5"/>
  <c r="J19" i="5"/>
  <c r="AD12" i="5"/>
  <c r="AE32" i="5"/>
  <c r="AF33" i="5"/>
  <c r="AG14" i="5"/>
  <c r="X16" i="5"/>
  <c r="X46" i="5"/>
  <c r="AA55" i="5"/>
  <c r="AB65" i="5"/>
  <c r="M32" i="5"/>
  <c r="H22" i="5"/>
  <c r="H40" i="5"/>
  <c r="AD17" i="5"/>
  <c r="U64" i="5"/>
  <c r="X33" i="5"/>
  <c r="AA60" i="5"/>
  <c r="G54" i="5"/>
  <c r="H62" i="5"/>
  <c r="W67" i="5"/>
  <c r="Y45" i="5"/>
  <c r="J25" i="5"/>
  <c r="U43" i="5"/>
  <c r="U65" i="5"/>
  <c r="J32" i="5"/>
  <c r="W65" i="5"/>
  <c r="AG67" i="5"/>
  <c r="W54" i="5"/>
  <c r="AE48" i="5"/>
  <c r="AE22" i="5"/>
  <c r="AC26" i="5"/>
  <c r="I54" i="5"/>
  <c r="H10" i="5"/>
  <c r="H16" i="5"/>
  <c r="M2" i="5"/>
  <c r="AD25" i="5"/>
  <c r="J10" i="5"/>
  <c r="AB6" i="5"/>
  <c r="AF50" i="5"/>
  <c r="P55" i="5"/>
  <c r="M13" i="5"/>
  <c r="AD30" i="5"/>
  <c r="J8" i="5"/>
  <c r="AD66" i="5"/>
  <c r="Z49" i="5"/>
  <c r="V7" i="5"/>
  <c r="AC22" i="5"/>
  <c r="H3" i="5"/>
  <c r="AE51" i="5"/>
  <c r="AB14" i="5"/>
  <c r="M35" i="5"/>
  <c r="G23" i="5"/>
  <c r="AD56" i="5"/>
  <c r="AE42" i="5"/>
  <c r="M58" i="5"/>
  <c r="X37" i="5"/>
  <c r="K57" i="5"/>
  <c r="AE24" i="5"/>
  <c r="AG12" i="5"/>
  <c r="P64" i="5"/>
  <c r="AE30" i="5"/>
  <c r="I3" i="5"/>
  <c r="Y66" i="5"/>
  <c r="J57" i="5"/>
  <c r="U44" i="5"/>
  <c r="G32" i="5"/>
  <c r="AG27" i="5"/>
  <c r="AD55" i="5"/>
  <c r="AB57" i="5"/>
  <c r="I68" i="5"/>
  <c r="Z39" i="5"/>
  <c r="Q57" i="5"/>
  <c r="AC68" i="5"/>
  <c r="H69" i="5"/>
  <c r="P22" i="5"/>
  <c r="H61" i="5"/>
  <c r="I31" i="5"/>
  <c r="AG58" i="5"/>
  <c r="M60" i="5"/>
  <c r="P31" i="5"/>
  <c r="L57" i="5"/>
  <c r="AC67" i="5"/>
  <c r="H39" i="5"/>
  <c r="I34" i="5"/>
  <c r="V42" i="5"/>
  <c r="J22" i="5"/>
  <c r="J21" i="5"/>
  <c r="J68" i="5"/>
  <c r="J12" i="5"/>
  <c r="AB60" i="5"/>
  <c r="I42" i="5"/>
  <c r="Y15" i="5"/>
  <c r="AC3" i="5"/>
  <c r="I37" i="5"/>
  <c r="H60" i="5"/>
  <c r="AG22" i="5"/>
  <c r="G31" i="5"/>
  <c r="G60" i="5"/>
  <c r="AE65" i="5"/>
  <c r="Y34" i="5"/>
  <c r="I39" i="5"/>
  <c r="P69" i="5"/>
  <c r="P9" i="5"/>
  <c r="Z33" i="5"/>
  <c r="W7" i="5"/>
  <c r="P16" i="5"/>
  <c r="AA13" i="5"/>
  <c r="U3" i="5"/>
  <c r="P17" i="5"/>
  <c r="M55" i="5"/>
  <c r="U16" i="5"/>
  <c r="L42" i="5"/>
  <c r="W24" i="5"/>
  <c r="X68" i="5"/>
  <c r="U8" i="5"/>
  <c r="U62" i="5"/>
  <c r="Z45" i="5"/>
  <c r="P32" i="5"/>
  <c r="J42" i="5"/>
  <c r="H15" i="5"/>
  <c r="AF69" i="5"/>
  <c r="G41" i="5"/>
  <c r="AC34" i="5"/>
  <c r="AF37" i="5"/>
  <c r="G27" i="5"/>
  <c r="AF48" i="5"/>
  <c r="Y62" i="5"/>
  <c r="U39" i="5"/>
  <c r="AC66" i="5"/>
  <c r="J40" i="5"/>
  <c r="X21" i="5"/>
  <c r="I50" i="5"/>
  <c r="AG2" i="5"/>
  <c r="W16" i="5"/>
  <c r="AE41" i="5"/>
  <c r="P66" i="5"/>
  <c r="AF39" i="5"/>
  <c r="AB37" i="5"/>
  <c r="W33" i="5"/>
  <c r="Y41" i="5"/>
  <c r="I44" i="5"/>
  <c r="U50" i="5"/>
  <c r="AE54" i="5"/>
  <c r="G48" i="5"/>
  <c r="M31" i="5"/>
  <c r="AA69" i="5"/>
  <c r="I22" i="5"/>
  <c r="U59" i="5"/>
  <c r="AC14" i="5"/>
  <c r="U13" i="5"/>
  <c r="AC59" i="5"/>
  <c r="AA50" i="5"/>
  <c r="Z68" i="5"/>
  <c r="I65" i="5"/>
  <c r="Z35" i="5"/>
  <c r="I48" i="5"/>
  <c r="H68" i="5"/>
  <c r="Z46" i="5"/>
  <c r="AD42" i="5"/>
  <c r="Z40" i="5"/>
  <c r="H37" i="5"/>
  <c r="AB40" i="5"/>
  <c r="AE43" i="5"/>
  <c r="M27" i="5"/>
  <c r="AA65" i="5"/>
  <c r="W66" i="5"/>
  <c r="AB59" i="5"/>
  <c r="AB64" i="5"/>
  <c r="J66" i="5"/>
  <c r="AG19" i="5"/>
  <c r="AD48" i="5"/>
  <c r="AA11" i="5"/>
  <c r="J50" i="5"/>
  <c r="Y44" i="5"/>
  <c r="P10" i="5"/>
  <c r="P26" i="5"/>
  <c r="J13" i="5"/>
  <c r="Y5" i="5"/>
  <c r="AD27" i="5"/>
  <c r="Z32" i="5"/>
  <c r="AF23" i="5"/>
  <c r="H34" i="5"/>
  <c r="AC19" i="5"/>
  <c r="AF57" i="5"/>
  <c r="AG44" i="5"/>
  <c r="AD35" i="5"/>
  <c r="J31" i="5"/>
  <c r="AG54" i="5"/>
  <c r="AF59" i="5"/>
  <c r="P3" i="5"/>
  <c r="X49" i="5"/>
  <c r="AA57" i="5"/>
  <c r="X42" i="5"/>
  <c r="AE60" i="5"/>
  <c r="U22" i="5"/>
  <c r="H44" i="5"/>
  <c r="G2" i="5"/>
  <c r="U61" i="5"/>
  <c r="W59" i="5"/>
  <c r="AG34" i="5"/>
  <c r="M26" i="5"/>
  <c r="AG30" i="5"/>
  <c r="X52" i="5"/>
  <c r="AA32" i="5"/>
  <c r="AD24" i="5"/>
  <c r="G38" i="5"/>
  <c r="G6" i="5"/>
  <c r="AG17" i="5"/>
  <c r="AE26" i="5"/>
  <c r="M39" i="5"/>
  <c r="AF32" i="5"/>
  <c r="I35" i="5"/>
  <c r="G56" i="5"/>
  <c r="X10" i="5"/>
  <c r="P57" i="5"/>
  <c r="G11" i="5"/>
  <c r="P56" i="5"/>
  <c r="I26" i="5"/>
  <c r="J62" i="5"/>
  <c r="H54" i="5"/>
  <c r="AD6" i="5"/>
  <c r="M44" i="5"/>
  <c r="R57" i="5"/>
  <c r="T42" i="5"/>
  <c r="W63" i="5"/>
  <c r="AG43" i="5"/>
  <c r="U67" i="5"/>
  <c r="U31" i="5"/>
  <c r="AB42" i="5"/>
  <c r="AA68" i="5"/>
  <c r="AD5" i="5"/>
  <c r="J43" i="5"/>
  <c r="V67" i="5"/>
  <c r="H25" i="5"/>
  <c r="S26" i="5"/>
  <c r="N13" i="5"/>
  <c r="AB11" i="5"/>
  <c r="Q26" i="5"/>
  <c r="Y56" i="5"/>
  <c r="AB61" i="5"/>
  <c r="I10" i="5"/>
  <c r="U45" i="5"/>
  <c r="AC69" i="5"/>
  <c r="Y48" i="5"/>
  <c r="T54" i="5"/>
  <c r="H9" i="5"/>
  <c r="G55" i="5"/>
  <c r="X48" i="5"/>
  <c r="AG52" i="5"/>
  <c r="AA37" i="5"/>
  <c r="R33" i="5"/>
  <c r="I15" i="5"/>
  <c r="N8" i="5"/>
  <c r="AB62" i="5"/>
  <c r="AF49" i="5"/>
  <c r="V58" i="5"/>
  <c r="N50" i="5"/>
  <c r="AC62" i="5"/>
  <c r="N15" i="5"/>
  <c r="N44" i="5"/>
  <c r="S38" i="5"/>
  <c r="Y2" i="5"/>
  <c r="H65" i="5"/>
  <c r="X50" i="5"/>
  <c r="P27" i="5"/>
  <c r="H53" i="5"/>
  <c r="S52" i="5"/>
  <c r="Q55" i="5"/>
  <c r="AC15" i="5"/>
  <c r="X2" i="5"/>
  <c r="AF51" i="5"/>
  <c r="U19" i="5"/>
  <c r="U11" i="5"/>
  <c r="J34" i="5"/>
  <c r="G69" i="5"/>
  <c r="Z50" i="5"/>
  <c r="W23" i="5"/>
  <c r="AB8" i="5"/>
  <c r="P53" i="5"/>
  <c r="AF58" i="5"/>
  <c r="G58" i="5"/>
  <c r="AB13" i="5"/>
  <c r="R7" i="5"/>
  <c r="R67" i="5"/>
  <c r="R58" i="5"/>
  <c r="Q9" i="5"/>
  <c r="AF19" i="5"/>
  <c r="R42" i="5"/>
  <c r="Z12" i="5"/>
  <c r="AC63" i="5"/>
  <c r="AB43" i="5"/>
  <c r="I59" i="5"/>
  <c r="P23" i="5"/>
  <c r="AA54" i="5"/>
  <c r="AF38" i="5"/>
  <c r="I38" i="5"/>
  <c r="T63" i="5"/>
  <c r="U21" i="5"/>
  <c r="R31" i="5"/>
  <c r="AF11" i="5"/>
  <c r="S42" i="5"/>
  <c r="AD21" i="5"/>
  <c r="U53" i="5"/>
  <c r="J53" i="5"/>
  <c r="AA30" i="5"/>
  <c r="H33" i="5"/>
  <c r="AC64" i="5"/>
  <c r="S58" i="5"/>
  <c r="H24" i="5"/>
  <c r="X14" i="5"/>
  <c r="M40" i="5"/>
  <c r="Z27" i="5"/>
  <c r="AD23" i="5"/>
  <c r="Q53" i="5"/>
  <c r="U37" i="5"/>
  <c r="AF55" i="5"/>
  <c r="T64" i="5"/>
  <c r="M54" i="5"/>
  <c r="AB15" i="5"/>
  <c r="AF16" i="5"/>
  <c r="S60" i="5"/>
  <c r="I23" i="5"/>
  <c r="AG50" i="5"/>
  <c r="W22" i="5"/>
  <c r="Y7" i="5"/>
  <c r="R61" i="5"/>
  <c r="AD7" i="5"/>
  <c r="U27" i="5"/>
  <c r="H2" i="5"/>
  <c r="O69" i="5"/>
  <c r="T45" i="5"/>
  <c r="W10" i="5"/>
  <c r="Q56" i="5"/>
  <c r="U54" i="5"/>
  <c r="S7" i="5"/>
  <c r="X31" i="5"/>
  <c r="O45" i="5"/>
  <c r="H43" i="5"/>
  <c r="I60" i="5"/>
  <c r="AB41" i="5"/>
  <c r="S24" i="5"/>
  <c r="O41" i="5"/>
  <c r="J45" i="5"/>
  <c r="R55" i="5"/>
  <c r="G42" i="5"/>
  <c r="AD32" i="5"/>
  <c r="G18" i="5"/>
  <c r="H23" i="5"/>
  <c r="J49" i="5"/>
  <c r="W44" i="5"/>
  <c r="T57" i="5"/>
  <c r="AE11" i="5"/>
  <c r="S63" i="5"/>
  <c r="J14" i="5"/>
  <c r="P34" i="5"/>
  <c r="U51" i="5"/>
  <c r="O37" i="5"/>
  <c r="AA58" i="5"/>
  <c r="P15" i="5"/>
  <c r="AG64" i="5"/>
  <c r="Z38" i="5"/>
  <c r="AE68" i="5"/>
  <c r="W27" i="5"/>
  <c r="U38" i="5"/>
  <c r="R53" i="5"/>
  <c r="AB31" i="5"/>
  <c r="R10" i="5"/>
  <c r="J61" i="5"/>
  <c r="Y50" i="5"/>
  <c r="J64" i="5"/>
  <c r="X30" i="5"/>
  <c r="H14" i="5"/>
  <c r="M18" i="5"/>
  <c r="Y31" i="5"/>
  <c r="Y64" i="5"/>
  <c r="G13" i="5"/>
  <c r="I33" i="5"/>
  <c r="AD50" i="5"/>
  <c r="AD16" i="5"/>
  <c r="G25" i="5"/>
  <c r="AD61" i="5"/>
  <c r="R48" i="5"/>
  <c r="AG24" i="5"/>
  <c r="N53" i="5"/>
  <c r="R19" i="5"/>
  <c r="Q21" i="5"/>
  <c r="Q62" i="5"/>
  <c r="AB10" i="5"/>
  <c r="AF40" i="5"/>
  <c r="O50" i="5"/>
  <c r="P8" i="5"/>
  <c r="R26" i="5"/>
  <c r="AB55" i="5"/>
  <c r="I46" i="5"/>
  <c r="T59" i="5"/>
  <c r="O43" i="5"/>
  <c r="AB9" i="5"/>
  <c r="U10" i="5"/>
  <c r="Z63" i="5"/>
  <c r="AF22" i="5"/>
  <c r="AF44" i="5"/>
  <c r="Z15" i="5"/>
  <c r="AB54" i="5"/>
  <c r="S35" i="5"/>
  <c r="AD9" i="5"/>
  <c r="T46" i="5"/>
  <c r="Z65" i="5"/>
  <c r="Z64" i="5"/>
  <c r="AB22" i="5"/>
  <c r="G33" i="5"/>
  <c r="P7" i="5"/>
  <c r="P41" i="5"/>
  <c r="AE35" i="5"/>
  <c r="AF45" i="5"/>
  <c r="Q16" i="5"/>
  <c r="AE23" i="5"/>
  <c r="V40" i="5"/>
  <c r="AA8" i="5"/>
  <c r="AG48" i="5"/>
  <c r="AA41" i="5"/>
  <c r="S54" i="5"/>
  <c r="X60" i="5"/>
  <c r="Z3" i="5"/>
  <c r="W62" i="5"/>
  <c r="Y49" i="5"/>
  <c r="N66" i="5"/>
  <c r="O27" i="5"/>
  <c r="AA56" i="5"/>
  <c r="N63" i="5"/>
  <c r="O2" i="5"/>
  <c r="V11" i="5"/>
  <c r="I69" i="5"/>
  <c r="AG13" i="5"/>
  <c r="M67" i="5"/>
  <c r="AF31" i="5"/>
  <c r="W17" i="5"/>
  <c r="AC53" i="5"/>
  <c r="AC2" i="5"/>
  <c r="V8" i="5"/>
  <c r="AF25" i="5"/>
  <c r="J15" i="5"/>
  <c r="J30" i="5"/>
  <c r="M64" i="5"/>
  <c r="H6" i="5"/>
  <c r="R6" i="5"/>
  <c r="R44" i="5"/>
  <c r="Q59" i="5"/>
  <c r="AB23" i="5"/>
  <c r="V2" i="5"/>
  <c r="AC56" i="5"/>
  <c r="M3" i="5"/>
  <c r="P37" i="5"/>
  <c r="M12" i="5"/>
  <c r="U24" i="5"/>
  <c r="J63" i="5"/>
  <c r="AG26" i="5"/>
  <c r="N69" i="5"/>
  <c r="M41" i="5"/>
  <c r="AF61" i="5"/>
  <c r="AF17" i="5"/>
  <c r="G65" i="5"/>
  <c r="W13" i="5"/>
  <c r="AG55" i="5"/>
  <c r="P39" i="5"/>
  <c r="V21" i="5"/>
  <c r="AA17" i="5"/>
  <c r="AC45" i="5"/>
  <c r="N42" i="5"/>
  <c r="I16" i="5"/>
  <c r="S61" i="5"/>
  <c r="X59" i="5"/>
  <c r="J60" i="5"/>
  <c r="I9" i="5"/>
  <c r="AC24" i="5"/>
  <c r="V50" i="5"/>
  <c r="Y19" i="5"/>
  <c r="AB39" i="5"/>
  <c r="AB5" i="5"/>
  <c r="G52" i="5"/>
  <c r="U68" i="5"/>
  <c r="J18" i="5"/>
  <c r="AE69" i="5"/>
  <c r="S67" i="5"/>
  <c r="X8" i="5"/>
  <c r="W25" i="5"/>
  <c r="T26" i="5"/>
  <c r="AG18" i="5"/>
  <c r="AC42" i="5"/>
  <c r="W34" i="5"/>
  <c r="P43" i="5"/>
  <c r="X55" i="5"/>
  <c r="AA3" i="5"/>
  <c r="W53" i="5"/>
  <c r="AF7" i="5"/>
  <c r="Z44" i="5"/>
  <c r="G22" i="5"/>
  <c r="AF5" i="5"/>
  <c r="AE50" i="5"/>
  <c r="O16" i="5"/>
  <c r="N22" i="5"/>
  <c r="AB32" i="5"/>
  <c r="Z8" i="5"/>
  <c r="T58" i="5"/>
  <c r="R43" i="5"/>
  <c r="AF13" i="5"/>
  <c r="AE12" i="5"/>
  <c r="AC6" i="5"/>
  <c r="AB34" i="5"/>
  <c r="AD38" i="5"/>
  <c r="AG23" i="5"/>
  <c r="R54" i="5"/>
  <c r="U34" i="5"/>
  <c r="N48" i="5"/>
  <c r="Q49" i="5"/>
  <c r="AD3" i="5"/>
  <c r="W38" i="5"/>
  <c r="AD64" i="5"/>
  <c r="X25" i="5"/>
  <c r="T10" i="5"/>
  <c r="J17" i="5"/>
  <c r="G10" i="5"/>
  <c r="AG16" i="5"/>
  <c r="AD63" i="5"/>
  <c r="T61" i="5"/>
  <c r="O62" i="5"/>
  <c r="Y8" i="5"/>
  <c r="W40" i="5"/>
  <c r="R9" i="5"/>
  <c r="AE49" i="5"/>
  <c r="M62" i="5"/>
  <c r="W14" i="5"/>
  <c r="AF26" i="5"/>
  <c r="Q11" i="5"/>
  <c r="X23" i="5"/>
  <c r="AB51" i="5"/>
  <c r="T53" i="5"/>
  <c r="V61" i="5"/>
  <c r="P21" i="5"/>
  <c r="W11" i="5"/>
  <c r="X51" i="5"/>
  <c r="AA21" i="5"/>
  <c r="S5" i="5"/>
  <c r="U55" i="5"/>
  <c r="Z21" i="5"/>
  <c r="U9" i="5"/>
  <c r="AC37" i="5"/>
  <c r="V14" i="5"/>
  <c r="AG51" i="5"/>
  <c r="V64" i="5"/>
  <c r="AC65" i="5"/>
  <c r="G35" i="5"/>
  <c r="Z37" i="5"/>
  <c r="R25" i="5"/>
  <c r="AE5" i="5"/>
  <c r="G17" i="5"/>
  <c r="AC35" i="5"/>
  <c r="G24" i="5"/>
  <c r="Q44" i="5"/>
  <c r="M15" i="5"/>
  <c r="Y63" i="5"/>
  <c r="P35" i="5"/>
  <c r="Q18" i="5"/>
  <c r="W31" i="5"/>
  <c r="N19" i="5"/>
  <c r="T38" i="5"/>
  <c r="O31" i="5"/>
  <c r="T50" i="5"/>
  <c r="Y68" i="5"/>
  <c r="P52" i="5"/>
  <c r="P13" i="5"/>
  <c r="S21" i="5"/>
  <c r="AG32" i="5"/>
  <c r="Q10" i="5"/>
  <c r="AD19" i="5"/>
  <c r="AF14" i="5"/>
  <c r="O12" i="5"/>
  <c r="I40" i="5"/>
  <c r="AF64" i="5"/>
  <c r="AC51" i="5"/>
  <c r="P58" i="5"/>
  <c r="M48" i="5"/>
  <c r="S56" i="5"/>
  <c r="AC61" i="5"/>
  <c r="W2" i="5"/>
  <c r="AA39" i="5"/>
  <c r="U56" i="5"/>
  <c r="O60" i="5"/>
  <c r="AE37" i="5"/>
  <c r="N24" i="5"/>
  <c r="AG35" i="5"/>
  <c r="O53" i="5"/>
  <c r="M68" i="5"/>
  <c r="Z24" i="5"/>
  <c r="Q48" i="5"/>
  <c r="P18" i="5"/>
  <c r="R18" i="5"/>
  <c r="N67" i="5"/>
  <c r="AG53" i="5"/>
  <c r="Q69" i="5"/>
  <c r="O5" i="5"/>
  <c r="AG41" i="5"/>
  <c r="T52" i="5"/>
  <c r="Q45" i="5"/>
  <c r="Y30" i="5"/>
  <c r="AF21" i="5"/>
  <c r="G30" i="5"/>
  <c r="AC16" i="5"/>
  <c r="AA23" i="5"/>
  <c r="AE16" i="5"/>
  <c r="Q60" i="5"/>
  <c r="S39" i="5"/>
  <c r="AD26" i="5"/>
  <c r="AC13" i="5"/>
  <c r="AA53" i="5"/>
  <c r="H41" i="5"/>
  <c r="N46" i="5"/>
  <c r="AB38" i="5"/>
  <c r="H26" i="5"/>
  <c r="AC30" i="5"/>
  <c r="Y13" i="5"/>
  <c r="R8" i="5"/>
  <c r="V18" i="5"/>
  <c r="AF15" i="5"/>
  <c r="X63" i="5"/>
  <c r="AE27" i="5"/>
  <c r="Z62" i="5"/>
  <c r="Y69" i="5"/>
  <c r="U15" i="5"/>
  <c r="H49" i="5"/>
  <c r="AA6" i="5"/>
  <c r="AF34" i="5"/>
  <c r="J23" i="5"/>
  <c r="X41" i="5"/>
  <c r="AD37" i="5"/>
  <c r="AE64" i="5"/>
  <c r="O64" i="5"/>
  <c r="N3" i="5"/>
  <c r="O68" i="5"/>
  <c r="R59" i="5"/>
  <c r="I27" i="5"/>
  <c r="T40" i="5"/>
  <c r="S32" i="5"/>
  <c r="AF3" i="5"/>
  <c r="S48" i="5"/>
  <c r="Y27" i="5"/>
  <c r="AE17" i="5"/>
  <c r="Y22" i="5"/>
  <c r="AA2" i="5"/>
  <c r="AG10" i="5"/>
  <c r="J59" i="5"/>
  <c r="AG3" i="5"/>
  <c r="X40" i="5"/>
  <c r="Z52" i="5"/>
  <c r="T43" i="5"/>
  <c r="AD34" i="5"/>
  <c r="Q15" i="5"/>
  <c r="G39" i="5"/>
  <c r="J9" i="5"/>
  <c r="G7" i="5"/>
  <c r="R14" i="5"/>
  <c r="Y60" i="5"/>
  <c r="Z26" i="5"/>
  <c r="N14" i="5"/>
  <c r="P5" i="5"/>
  <c r="X11" i="5"/>
  <c r="H50" i="5"/>
  <c r="X58" i="5"/>
  <c r="O6" i="5"/>
  <c r="AA12" i="5"/>
  <c r="Z54" i="5"/>
  <c r="Q34" i="5"/>
  <c r="Q30" i="5"/>
  <c r="AD58" i="5"/>
  <c r="S16" i="5"/>
  <c r="I61" i="5"/>
  <c r="T55" i="5"/>
  <c r="R13" i="5"/>
  <c r="M9" i="5"/>
  <c r="AF10" i="5"/>
  <c r="N35" i="5"/>
  <c r="S13" i="5"/>
  <c r="AF56" i="5"/>
  <c r="AD44" i="5"/>
  <c r="Y24" i="5"/>
  <c r="AF9" i="5"/>
  <c r="P46" i="5"/>
  <c r="V69" i="5"/>
  <c r="AE56" i="5"/>
  <c r="AG5" i="5"/>
  <c r="T66" i="5"/>
  <c r="AA62" i="5"/>
  <c r="W48" i="5"/>
  <c r="Q22" i="5"/>
  <c r="X44" i="5"/>
  <c r="J51" i="5"/>
  <c r="U7" i="5"/>
  <c r="W6" i="5"/>
  <c r="J24" i="5"/>
  <c r="Q40" i="5"/>
  <c r="R24" i="5"/>
  <c r="AG69" i="5"/>
  <c r="X64" i="5"/>
  <c r="O39" i="5"/>
  <c r="AC21" i="5"/>
  <c r="I51" i="5"/>
  <c r="AC9" i="5"/>
  <c r="AA31" i="5"/>
  <c r="AG49" i="5"/>
  <c r="Y21" i="5"/>
  <c r="K42" i="5"/>
  <c r="AA18" i="5"/>
  <c r="J46" i="5"/>
  <c r="U41" i="5"/>
  <c r="Z30" i="5"/>
  <c r="P65" i="5"/>
  <c r="AA49" i="5"/>
  <c r="V63" i="5"/>
  <c r="S65" i="5"/>
  <c r="Q31" i="5"/>
  <c r="S31" i="5"/>
  <c r="AC55" i="5"/>
  <c r="G15" i="5"/>
  <c r="G8" i="5"/>
  <c r="Q25" i="5"/>
  <c r="AA61" i="5"/>
  <c r="Q35" i="5"/>
  <c r="X24" i="5"/>
  <c r="J44" i="5"/>
  <c r="R66" i="5"/>
  <c r="AF63" i="5"/>
  <c r="AD67" i="5"/>
  <c r="AF52" i="5"/>
  <c r="S68" i="5"/>
  <c r="AD11" i="5"/>
  <c r="AE31" i="5"/>
  <c r="Z51" i="5"/>
  <c r="U14" i="5"/>
  <c r="J5" i="5"/>
  <c r="AF68" i="5"/>
  <c r="AG21" i="5"/>
  <c r="T23" i="5"/>
  <c r="AE58" i="5"/>
  <c r="AA67" i="5"/>
  <c r="AE59" i="5"/>
  <c r="AB12" i="5"/>
  <c r="V34" i="5"/>
  <c r="M14" i="5"/>
  <c r="G26" i="5"/>
  <c r="AA63" i="5"/>
  <c r="M25" i="5"/>
  <c r="X13" i="5"/>
  <c r="H58" i="5"/>
  <c r="T69" i="5"/>
  <c r="J38" i="5"/>
  <c r="R17" i="5"/>
  <c r="I64" i="5"/>
  <c r="S49" i="5"/>
  <c r="H64" i="5"/>
  <c r="O19" i="5"/>
  <c r="U49" i="5"/>
  <c r="AF67" i="5"/>
  <c r="J52" i="5"/>
  <c r="J37" i="5"/>
  <c r="J11" i="5"/>
  <c r="O24" i="5"/>
  <c r="P49" i="5"/>
  <c r="H27" i="5"/>
  <c r="AC50" i="5"/>
  <c r="AB50" i="5"/>
  <c r="Y58" i="5"/>
  <c r="V52" i="5"/>
  <c r="AF27" i="5"/>
  <c r="AA5" i="5"/>
  <c r="V32" i="5"/>
  <c r="I67" i="5"/>
  <c r="V30" i="5"/>
  <c r="G51" i="5"/>
  <c r="Y55" i="5"/>
  <c r="Z56" i="5"/>
  <c r="AE38" i="5"/>
  <c r="Y11" i="5"/>
  <c r="O7" i="5"/>
  <c r="Q24" i="5"/>
  <c r="AB7" i="5"/>
  <c r="AA51" i="5"/>
  <c r="H21" i="5"/>
  <c r="O49" i="5"/>
  <c r="P44" i="5"/>
  <c r="S50" i="5"/>
  <c r="Y61" i="5"/>
  <c r="R60" i="5"/>
  <c r="G12" i="5"/>
  <c r="Y37" i="5"/>
  <c r="N33" i="5"/>
  <c r="Q2" i="5"/>
  <c r="Y33" i="5"/>
  <c r="M43" i="5"/>
  <c r="V26" i="5"/>
  <c r="G66" i="5"/>
  <c r="V55" i="5"/>
  <c r="S14" i="5"/>
  <c r="M8" i="5"/>
  <c r="AE62" i="5"/>
  <c r="V57" i="5"/>
  <c r="X62" i="5"/>
  <c r="AA7" i="5"/>
  <c r="T15" i="5"/>
  <c r="N11" i="5"/>
  <c r="Z7" i="5"/>
  <c r="M5" i="5"/>
  <c r="V45" i="5"/>
  <c r="AD15" i="5"/>
  <c r="O18" i="5"/>
  <c r="V17" i="5"/>
  <c r="O25" i="5"/>
  <c r="AD69" i="5"/>
  <c r="AB45" i="5"/>
  <c r="X9" i="5"/>
  <c r="N31" i="5"/>
  <c r="AG42" i="5"/>
  <c r="AA52" i="5"/>
  <c r="Y10" i="5"/>
  <c r="W41" i="5"/>
  <c r="AC44" i="5"/>
  <c r="W57" i="5"/>
  <c r="AD31" i="5"/>
  <c r="P33" i="5"/>
  <c r="S8" i="5"/>
  <c r="P62" i="5"/>
  <c r="Q3" i="5"/>
  <c r="AA9" i="5"/>
  <c r="T30" i="5"/>
  <c r="AG61" i="5"/>
  <c r="M61" i="5"/>
  <c r="Y35" i="5"/>
  <c r="U42" i="5"/>
  <c r="W35" i="5"/>
  <c r="U33" i="5"/>
  <c r="Q6" i="5"/>
  <c r="S2" i="5"/>
  <c r="U32" i="5"/>
  <c r="I55" i="5"/>
  <c r="AB66" i="5"/>
  <c r="I41" i="5"/>
  <c r="AG25" i="5"/>
  <c r="AF8" i="5"/>
  <c r="O66" i="5"/>
  <c r="H35" i="5"/>
  <c r="AG15" i="5"/>
  <c r="AF54" i="5"/>
  <c r="AC48" i="5"/>
  <c r="N38" i="5"/>
  <c r="Q54" i="5"/>
  <c r="H7" i="5"/>
  <c r="I58" i="5"/>
  <c r="I17" i="5"/>
  <c r="W50" i="5"/>
  <c r="I53" i="5"/>
  <c r="H51" i="5"/>
  <c r="T67" i="5"/>
  <c r="AA25" i="5"/>
  <c r="W58" i="5"/>
  <c r="AD14" i="5"/>
  <c r="AG66" i="5"/>
  <c r="M49" i="5"/>
  <c r="Z2" i="5"/>
  <c r="Q43" i="5"/>
  <c r="S18" i="5"/>
  <c r="P48" i="5"/>
  <c r="G68" i="5"/>
  <c r="AA34" i="5"/>
  <c r="AC10" i="5"/>
  <c r="H52" i="5"/>
  <c r="V59" i="5"/>
  <c r="I11" i="5"/>
  <c r="U66" i="5"/>
  <c r="P50" i="5"/>
  <c r="Y40" i="5"/>
  <c r="AF12" i="5"/>
  <c r="O33" i="5"/>
  <c r="W55" i="5"/>
  <c r="H42" i="5"/>
  <c r="AB53" i="5"/>
  <c r="T65" i="5"/>
  <c r="U46" i="5"/>
  <c r="AC7" i="5"/>
  <c r="R69" i="5"/>
  <c r="Q50" i="5"/>
  <c r="V62" i="5"/>
  <c r="V5" i="5"/>
  <c r="X32" i="5"/>
  <c r="N16" i="5"/>
  <c r="R16" i="5"/>
  <c r="Z25" i="5"/>
  <c r="AB18" i="5"/>
  <c r="Q58" i="5"/>
  <c r="R15" i="5"/>
  <c r="O38" i="5"/>
  <c r="W15" i="5"/>
  <c r="X3" i="5"/>
  <c r="Z48" i="5"/>
  <c r="Y51" i="5"/>
  <c r="J16" i="5"/>
  <c r="U52" i="5"/>
  <c r="V13" i="5"/>
  <c r="G3" i="5"/>
  <c r="AE7" i="5"/>
  <c r="M66" i="5"/>
  <c r="AB68" i="5"/>
  <c r="AD51" i="5"/>
  <c r="S53" i="5"/>
  <c r="S69" i="5"/>
  <c r="AC52" i="5"/>
  <c r="G64" i="5"/>
  <c r="Z13" i="5"/>
  <c r="AD39" i="5"/>
  <c r="AF41" i="5"/>
  <c r="N52" i="5"/>
  <c r="J26" i="5"/>
  <c r="I66" i="5"/>
  <c r="T41" i="5"/>
  <c r="I21" i="5"/>
  <c r="Q5" i="5"/>
  <c r="J6" i="5"/>
  <c r="AA43" i="5"/>
  <c r="AC33" i="5"/>
  <c r="Y25" i="5"/>
  <c r="I6" i="5"/>
  <c r="I19" i="5"/>
  <c r="X43" i="5"/>
  <c r="I8" i="5"/>
  <c r="O59" i="5"/>
  <c r="V23" i="5"/>
  <c r="I24" i="5"/>
  <c r="X27" i="5"/>
  <c r="Q52" i="5"/>
  <c r="I52" i="5"/>
  <c r="P61" i="5"/>
  <c r="X57" i="5"/>
  <c r="AG31" i="5"/>
  <c r="J39" i="5"/>
  <c r="S11" i="5"/>
  <c r="P25" i="5"/>
  <c r="P40" i="5"/>
  <c r="P30" i="5"/>
  <c r="G44" i="5"/>
  <c r="W8" i="5"/>
  <c r="Y57" i="5"/>
  <c r="X34" i="5"/>
  <c r="AG45" i="5"/>
  <c r="M34" i="5"/>
  <c r="M33" i="5"/>
  <c r="AF43" i="5"/>
  <c r="R40" i="5"/>
  <c r="AB49" i="5"/>
  <c r="Q64" i="5"/>
  <c r="M6" i="5"/>
  <c r="X22" i="5"/>
  <c r="Y6" i="5"/>
  <c r="AG46" i="5"/>
  <c r="H38" i="5"/>
  <c r="G34" i="5"/>
  <c r="N37" i="5"/>
  <c r="AB26" i="5"/>
  <c r="AF6" i="5"/>
  <c r="J56" i="5"/>
  <c r="I56" i="5"/>
  <c r="P38" i="5"/>
  <c r="AE21" i="5"/>
  <c r="W46" i="5"/>
  <c r="AG65" i="5"/>
  <c r="G21" i="5"/>
  <c r="N30" i="5"/>
  <c r="Y32" i="5"/>
  <c r="Z5" i="5"/>
  <c r="V46" i="5"/>
  <c r="AE33" i="5"/>
  <c r="N7" i="5"/>
  <c r="R45" i="5"/>
  <c r="O57" i="5"/>
  <c r="S3" i="5"/>
  <c r="X7" i="5"/>
  <c r="AD18" i="5"/>
  <c r="G5" i="5"/>
  <c r="Y18" i="5"/>
  <c r="AA48" i="5"/>
  <c r="M51" i="5"/>
  <c r="O46" i="5"/>
  <c r="AB35" i="5"/>
  <c r="Z16" i="5"/>
  <c r="AD22" i="5"/>
  <c r="U6" i="5"/>
  <c r="W60" i="5"/>
  <c r="X53" i="5"/>
  <c r="X19" i="5"/>
  <c r="W19" i="5"/>
  <c r="AA46" i="5"/>
  <c r="AB48" i="5"/>
  <c r="T19" i="5"/>
  <c r="AA22" i="5"/>
  <c r="H32" i="5"/>
  <c r="AE6" i="5"/>
  <c r="T12" i="5"/>
  <c r="Q8" i="5"/>
  <c r="T22" i="5"/>
  <c r="AD60" i="5"/>
  <c r="O14" i="5"/>
  <c r="O42" i="5"/>
  <c r="N6" i="5"/>
  <c r="Y16" i="5"/>
  <c r="Y46" i="5"/>
  <c r="T60" i="5"/>
  <c r="AE10" i="5"/>
  <c r="Z14" i="5"/>
  <c r="R62" i="5"/>
  <c r="S37" i="5"/>
  <c r="N12" i="5"/>
  <c r="M19" i="5"/>
  <c r="AA15" i="5"/>
  <c r="V22" i="5"/>
  <c r="AF62" i="5"/>
  <c r="Y12" i="5"/>
  <c r="AE46" i="5"/>
  <c r="G37" i="5"/>
  <c r="M38" i="5"/>
  <c r="S9" i="5"/>
  <c r="AB25" i="5"/>
  <c r="M59" i="5"/>
  <c r="AA19" i="5"/>
  <c r="Y53" i="5"/>
  <c r="AE67" i="5"/>
  <c r="M22" i="5"/>
  <c r="AE66" i="5"/>
  <c r="W64" i="5"/>
  <c r="Z31" i="5"/>
  <c r="AG6" i="5"/>
  <c r="AF18" i="5"/>
  <c r="AB33" i="5"/>
  <c r="U25" i="5"/>
  <c r="M21" i="5"/>
  <c r="AB67" i="5"/>
  <c r="AA40" i="5"/>
  <c r="T9" i="5"/>
  <c r="AD41" i="5"/>
  <c r="X18" i="5"/>
  <c r="Y14" i="5"/>
  <c r="W43" i="5"/>
  <c r="AG60" i="5"/>
  <c r="AD40" i="5"/>
  <c r="Q51" i="5"/>
  <c r="T16" i="5"/>
  <c r="J41" i="5"/>
  <c r="AF42" i="5"/>
  <c r="P6" i="5"/>
  <c r="J55" i="5"/>
  <c r="I13" i="5"/>
  <c r="W21" i="5"/>
  <c r="V24" i="5"/>
  <c r="Q7" i="5"/>
  <c r="V65" i="5"/>
  <c r="O22" i="5"/>
  <c r="Z58" i="5"/>
  <c r="X67" i="5"/>
  <c r="W26" i="5"/>
  <c r="Y23" i="5"/>
  <c r="S25" i="5"/>
  <c r="T56" i="5"/>
  <c r="V6" i="5"/>
  <c r="Z10" i="5"/>
  <c r="AD52" i="5"/>
  <c r="AG40" i="5"/>
  <c r="Z17" i="5"/>
  <c r="X12" i="5"/>
  <c r="Y26" i="5"/>
  <c r="AC5" i="5"/>
  <c r="S23" i="5"/>
  <c r="M57" i="5"/>
  <c r="AE55" i="5"/>
  <c r="G16" i="5"/>
  <c r="AF35" i="5"/>
  <c r="X6" i="5"/>
  <c r="G53" i="5"/>
  <c r="AD53" i="5"/>
  <c r="Z69" i="5"/>
  <c r="AE3" i="5"/>
  <c r="Z19" i="5"/>
  <c r="S46" i="5"/>
  <c r="AG33" i="5"/>
  <c r="M46" i="5"/>
  <c r="AG63" i="5"/>
  <c r="T25" i="5"/>
  <c r="I25" i="5"/>
  <c r="R5" i="5"/>
  <c r="N25" i="5"/>
  <c r="X56" i="5"/>
  <c r="Q37" i="5"/>
  <c r="G9" i="5"/>
  <c r="AA42" i="5"/>
  <c r="M56" i="5"/>
  <c r="I2" i="5"/>
  <c r="M63" i="5"/>
  <c r="J48" i="5"/>
  <c r="AB44" i="5"/>
  <c r="T18" i="5"/>
  <c r="AG38" i="5"/>
  <c r="Q23" i="5"/>
  <c r="W30" i="5"/>
  <c r="W56" i="5"/>
  <c r="R12" i="5"/>
  <c r="AB69" i="5"/>
  <c r="AD8" i="5"/>
  <c r="H19" i="5"/>
  <c r="P2" i="5"/>
  <c r="Q61" i="5"/>
  <c r="U58" i="5"/>
  <c r="Y59" i="5"/>
  <c r="AC40" i="5"/>
  <c r="M53" i="5"/>
  <c r="AC41" i="5"/>
  <c r="N41" i="5"/>
  <c r="N2" i="5"/>
  <c r="G62" i="5"/>
  <c r="AE25" i="5"/>
  <c r="U17" i="5"/>
  <c r="AG59" i="5"/>
  <c r="AF66" i="5"/>
  <c r="N26" i="5"/>
  <c r="W49" i="5"/>
  <c r="V60" i="5"/>
  <c r="H8" i="5"/>
  <c r="T39" i="5"/>
  <c r="Q32" i="5"/>
  <c r="AA10" i="5"/>
  <c r="AC12" i="5"/>
  <c r="AF24" i="5"/>
  <c r="W52" i="5"/>
  <c r="W32" i="5"/>
  <c r="AD57" i="5"/>
  <c r="U60" i="5"/>
  <c r="U48" i="5"/>
  <c r="J58" i="5"/>
  <c r="O17" i="5"/>
  <c r="Y9" i="5"/>
  <c r="Y65" i="5"/>
  <c r="T51" i="5"/>
  <c r="AF65" i="5"/>
  <c r="O23" i="5"/>
  <c r="J69" i="5"/>
  <c r="H30" i="5"/>
  <c r="AE63" i="5"/>
  <c r="AA44" i="5"/>
  <c r="R51" i="5"/>
  <c r="P54" i="5"/>
  <c r="G46" i="5"/>
  <c r="W5" i="5"/>
  <c r="I32" i="5"/>
  <c r="AD10" i="5"/>
  <c r="H57" i="5"/>
  <c r="AA24" i="5"/>
  <c r="AB30" i="5"/>
  <c r="AG9" i="5"/>
  <c r="T14" i="5"/>
  <c r="AA66" i="5"/>
  <c r="AE61" i="5"/>
  <c r="S41" i="5"/>
  <c r="H59" i="5"/>
  <c r="AB17" i="5"/>
  <c r="Y42" i="5"/>
  <c r="O8" i="5"/>
  <c r="Q27" i="5"/>
  <c r="H46" i="5"/>
  <c r="V41" i="5"/>
  <c r="AC46" i="5"/>
  <c r="N57" i="5"/>
  <c r="V25" i="5"/>
  <c r="O40" i="5"/>
  <c r="I45" i="5"/>
  <c r="AE2" i="5"/>
  <c r="AC31" i="5"/>
  <c r="AE44" i="5"/>
  <c r="H67" i="5"/>
  <c r="Z23" i="5"/>
  <c r="T8" i="5"/>
  <c r="AE19" i="5"/>
  <c r="Y54" i="5"/>
  <c r="N55" i="5"/>
  <c r="N51" i="5"/>
  <c r="AD45" i="5"/>
  <c r="H31" i="5"/>
  <c r="X69" i="5"/>
  <c r="I18" i="5"/>
  <c r="AB52" i="5"/>
  <c r="M10" i="5"/>
  <c r="N43" i="5"/>
  <c r="U57" i="5"/>
  <c r="AB24" i="5"/>
  <c r="AB46" i="5"/>
  <c r="X26" i="5"/>
  <c r="Z41" i="5"/>
  <c r="AA16" i="5"/>
  <c r="AC17" i="5"/>
  <c r="AD54" i="5"/>
  <c r="AE8" i="5"/>
  <c r="AA38" i="5"/>
  <c r="R11" i="5"/>
  <c r="T7" i="5"/>
  <c r="M17" i="5"/>
  <c r="Y43" i="5"/>
  <c r="Y67" i="5"/>
  <c r="AE14" i="5"/>
  <c r="Z9" i="5"/>
  <c r="AE15" i="5"/>
  <c r="AB21" i="5"/>
  <c r="S22" i="5"/>
  <c r="V38" i="5"/>
  <c r="P68" i="5"/>
  <c r="W37" i="5"/>
  <c r="H48" i="5"/>
  <c r="Z6" i="5"/>
  <c r="N49" i="5"/>
  <c r="G14" i="5"/>
  <c r="S10" i="5"/>
  <c r="X17" i="5"/>
  <c r="H11" i="5"/>
  <c r="AA35" i="5"/>
  <c r="X54" i="5"/>
  <c r="AA26" i="5"/>
  <c r="AG8" i="5"/>
  <c r="X65" i="5"/>
  <c r="I63" i="5"/>
  <c r="R41" i="5"/>
  <c r="T24" i="5"/>
  <c r="AG37" i="5"/>
  <c r="N59" i="5"/>
  <c r="H63" i="5"/>
  <c r="AC39" i="5"/>
  <c r="Z22" i="5"/>
  <c r="S57" i="5"/>
  <c r="R52" i="5"/>
  <c r="X38" i="5"/>
  <c r="AA59" i="5"/>
  <c r="AB19" i="5"/>
  <c r="O58" i="5"/>
  <c r="G19" i="5"/>
  <c r="I5" i="5"/>
  <c r="V3" i="5"/>
  <c r="V15" i="5"/>
  <c r="O21" i="5"/>
  <c r="T27" i="5"/>
  <c r="R68" i="5"/>
  <c r="I43" i="5"/>
  <c r="V9" i="5"/>
  <c r="AB63" i="5"/>
  <c r="J65" i="5"/>
  <c r="O51" i="5"/>
  <c r="R49" i="5"/>
  <c r="AB58" i="5"/>
  <c r="T62" i="5"/>
  <c r="R35" i="5"/>
  <c r="Q63" i="5"/>
  <c r="AC54" i="5"/>
  <c r="S59" i="5"/>
  <c r="AD62" i="5"/>
  <c r="J67" i="5"/>
  <c r="AD43" i="5"/>
  <c r="Y39" i="5"/>
  <c r="AG56" i="5"/>
  <c r="S27" i="5"/>
  <c r="AD49" i="5"/>
  <c r="P63" i="5"/>
  <c r="U69" i="5"/>
  <c r="V12" i="5"/>
  <c r="P60" i="5"/>
  <c r="AA14" i="5"/>
  <c r="AC11" i="5"/>
  <c r="I14" i="5"/>
  <c r="G45" i="5"/>
  <c r="Z18" i="5"/>
  <c r="U23" i="5"/>
  <c r="AF60" i="5"/>
  <c r="H56" i="5"/>
  <c r="AA27" i="5"/>
  <c r="S15" i="5"/>
  <c r="T34" i="5"/>
  <c r="AE34" i="5"/>
  <c r="J3" i="5"/>
  <c r="W68" i="5"/>
  <c r="N18" i="5"/>
  <c r="X5" i="5"/>
  <c r="AE53" i="5"/>
  <c r="M30" i="5"/>
  <c r="R46" i="5"/>
  <c r="I62" i="5"/>
  <c r="AB3" i="5"/>
  <c r="S34" i="5"/>
  <c r="J7" i="5"/>
  <c r="P19" i="5"/>
  <c r="S55" i="5"/>
  <c r="AD46" i="5"/>
  <c r="O44" i="5"/>
  <c r="W9" i="5"/>
  <c r="T31" i="5"/>
  <c r="Q39" i="5"/>
  <c r="P24" i="5"/>
  <c r="R56" i="5"/>
  <c r="AE39" i="5"/>
  <c r="M69" i="5"/>
  <c r="O35" i="5"/>
  <c r="U40" i="5"/>
  <c r="Z43" i="5"/>
  <c r="G61" i="5"/>
  <c r="N21" i="5"/>
  <c r="AE13" i="5"/>
  <c r="X66" i="5"/>
  <c r="N45" i="5"/>
  <c r="J54" i="5"/>
  <c r="AE9" i="5"/>
  <c r="H45" i="5"/>
  <c r="U12" i="5"/>
  <c r="Z59" i="5"/>
  <c r="U26" i="5"/>
  <c r="AC18" i="5"/>
  <c r="G43" i="5"/>
  <c r="S62" i="5"/>
  <c r="X39" i="5"/>
  <c r="AC43" i="5"/>
  <c r="U2" i="5"/>
  <c r="AC25" i="5"/>
  <c r="AG62" i="5"/>
  <c r="Q38" i="5"/>
  <c r="W51" i="5"/>
  <c r="R65" i="5"/>
  <c r="T11" i="5"/>
  <c r="V39" i="5"/>
  <c r="AE45" i="5"/>
  <c r="AD33" i="5"/>
  <c r="P12" i="5"/>
  <c r="M65" i="5"/>
  <c r="Z60" i="5"/>
  <c r="Y17" i="5"/>
  <c r="AC23" i="5"/>
  <c r="Q68" i="5"/>
  <c r="S40" i="5"/>
  <c r="P45" i="5"/>
  <c r="M50" i="5"/>
  <c r="AB56" i="5"/>
  <c r="U18" i="5"/>
  <c r="U30" i="5"/>
  <c r="M7" i="5"/>
  <c r="G59" i="5"/>
  <c r="Z42" i="5"/>
  <c r="AC32" i="5"/>
  <c r="J33" i="5"/>
  <c r="AA33" i="5"/>
  <c r="AF46" i="5"/>
  <c r="W39" i="5"/>
  <c r="Q33" i="5"/>
  <c r="AF53" i="5"/>
  <c r="N40" i="5"/>
  <c r="H12" i="5"/>
  <c r="Z67" i="5"/>
  <c r="AB27" i="5"/>
  <c r="H18" i="5"/>
  <c r="T35" i="5"/>
  <c r="W18" i="5"/>
  <c r="Z55" i="5"/>
  <c r="Z53" i="5"/>
  <c r="AE18" i="5"/>
  <c r="N58" i="5"/>
  <c r="AC8" i="5"/>
  <c r="J2" i="5"/>
  <c r="AC49" i="5"/>
  <c r="I57" i="5"/>
  <c r="G63" i="5"/>
  <c r="AC60" i="5"/>
  <c r="O32" i="5"/>
  <c r="G67" i="5"/>
  <c r="Z61" i="5"/>
  <c r="V49" i="5"/>
  <c r="M23" i="5"/>
  <c r="G57" i="5"/>
  <c r="AC57" i="5"/>
  <c r="N64" i="5"/>
  <c r="M42" i="5"/>
  <c r="AE52" i="5"/>
  <c r="AG68" i="5"/>
  <c r="AE57" i="5"/>
  <c r="Q42" i="5"/>
  <c r="I30" i="5"/>
  <c r="AE40" i="5"/>
  <c r="P14" i="5"/>
  <c r="T13" i="5"/>
  <c r="V43" i="5"/>
  <c r="S64" i="5"/>
  <c r="M45" i="5"/>
  <c r="Z57" i="5"/>
  <c r="G40" i="5"/>
  <c r="X15" i="5"/>
  <c r="H17" i="5"/>
  <c r="AB16" i="5"/>
  <c r="M24" i="5"/>
  <c r="AF2" i="5"/>
  <c r="W42" i="5"/>
  <c r="P67" i="5"/>
  <c r="AG39" i="5"/>
  <c r="H13" i="5"/>
  <c r="O54" i="5"/>
  <c r="O56" i="5"/>
  <c r="P59" i="5"/>
  <c r="M16" i="5"/>
  <c r="V56" i="5"/>
  <c r="W3" i="5"/>
  <c r="W61" i="5"/>
  <c r="Y38" i="5"/>
  <c r="AD65" i="5"/>
  <c r="O67" i="5"/>
  <c r="AG7" i="5"/>
  <c r="M37" i="5"/>
  <c r="R34" i="5"/>
  <c r="AC27" i="5"/>
  <c r="W69" i="5"/>
  <c r="Z11" i="5"/>
  <c r="N60" i="5"/>
  <c r="H55" i="5"/>
  <c r="AG57" i="5"/>
  <c r="R22" i="5"/>
  <c r="P11" i="5"/>
  <c r="T21" i="5"/>
  <c r="AF30" i="5"/>
  <c r="M52" i="5"/>
  <c r="G49" i="5"/>
  <c r="U63" i="5"/>
  <c r="AA45" i="5"/>
  <c r="AD13" i="5"/>
  <c r="M11" i="5"/>
  <c r="T49" i="5"/>
  <c r="X45" i="5"/>
  <c r="P42" i="5"/>
  <c r="J27" i="5"/>
  <c r="N23" i="5"/>
  <c r="W45" i="5"/>
  <c r="AD68" i="5"/>
  <c r="Z66" i="5"/>
  <c r="N27" i="5"/>
  <c r="W12" i="5"/>
  <c r="H5" i="5"/>
  <c r="AB2" i="5"/>
  <c r="Z34" i="5"/>
  <c r="H10" i="4"/>
  <c r="V65" i="4"/>
  <c r="M24" i="4"/>
  <c r="R64" i="4"/>
  <c r="V11" i="4"/>
  <c r="M65" i="4"/>
  <c r="M19" i="4"/>
  <c r="U8" i="4"/>
  <c r="S16" i="4"/>
  <c r="Y29" i="4"/>
  <c r="T64" i="4"/>
  <c r="M12" i="4"/>
  <c r="Q30" i="4"/>
  <c r="Z38" i="4"/>
  <c r="O50" i="4"/>
  <c r="J47" i="4"/>
  <c r="M34" i="4"/>
  <c r="T13" i="4"/>
  <c r="I52" i="4"/>
  <c r="G5" i="4"/>
  <c r="E57" i="4"/>
  <c r="AC53" i="4"/>
  <c r="U66" i="4"/>
  <c r="I25" i="4"/>
  <c r="F61" i="4"/>
  <c r="AB48" i="4"/>
  <c r="AC6" i="4"/>
  <c r="AC10" i="4"/>
  <c r="E27" i="4"/>
  <c r="H30" i="4"/>
  <c r="H15" i="4"/>
  <c r="S28" i="4"/>
  <c r="Z63" i="4"/>
  <c r="N18" i="4"/>
  <c r="X60" i="4"/>
  <c r="Y34" i="4"/>
  <c r="K5" i="4"/>
  <c r="H33" i="4"/>
  <c r="R66" i="4"/>
  <c r="M46" i="4"/>
  <c r="O30" i="4"/>
  <c r="AD20" i="4"/>
  <c r="E45" i="4"/>
  <c r="Z3" i="4"/>
  <c r="K40" i="4"/>
  <c r="AB50" i="4"/>
  <c r="AE26" i="4"/>
  <c r="AE4" i="4"/>
  <c r="Y24" i="4"/>
  <c r="AC28" i="4"/>
  <c r="S46" i="4"/>
  <c r="I21" i="4"/>
  <c r="Y64" i="4"/>
  <c r="AC2" i="4"/>
  <c r="Q69" i="4"/>
  <c r="AA18" i="4"/>
  <c r="F18" i="4"/>
  <c r="X21" i="4"/>
  <c r="G63" i="4"/>
  <c r="AE13" i="4"/>
  <c r="P27" i="4"/>
  <c r="H56" i="4"/>
  <c r="N28" i="4"/>
  <c r="AA36" i="4"/>
  <c r="Y61" i="4"/>
  <c r="X31" i="4"/>
  <c r="X9" i="4"/>
  <c r="Z58" i="4"/>
  <c r="I34" i="4"/>
  <c r="G30" i="4"/>
  <c r="S27" i="4"/>
  <c r="W14" i="4"/>
  <c r="Q9" i="4"/>
  <c r="I36" i="4"/>
  <c r="AA66" i="4"/>
  <c r="Y17" i="4"/>
  <c r="E23" i="4"/>
  <c r="L61" i="4"/>
  <c r="I32" i="4"/>
  <c r="AD43" i="4"/>
  <c r="R15" i="4"/>
  <c r="R5" i="4"/>
  <c r="S47" i="4"/>
  <c r="AE66" i="4"/>
  <c r="I49" i="4"/>
  <c r="N5" i="4"/>
  <c r="R62" i="4"/>
  <c r="X24" i="4"/>
  <c r="AC31" i="4"/>
  <c r="W4" i="4"/>
  <c r="AE14" i="4"/>
  <c r="R56" i="4"/>
  <c r="U28" i="4"/>
  <c r="F23" i="4"/>
  <c r="P15" i="4"/>
  <c r="P17" i="4"/>
  <c r="O69" i="4"/>
  <c r="X33" i="4"/>
  <c r="M62" i="4"/>
  <c r="J33" i="4"/>
  <c r="X65" i="4"/>
  <c r="K15" i="4"/>
  <c r="AC40" i="4"/>
  <c r="Z30" i="4"/>
  <c r="AA30" i="4"/>
  <c r="I16" i="4"/>
  <c r="T32" i="4"/>
  <c r="J21" i="4"/>
  <c r="P37" i="4"/>
  <c r="E40" i="4"/>
  <c r="AB46" i="4"/>
  <c r="Y15" i="4"/>
  <c r="O26" i="4"/>
  <c r="Q32" i="4"/>
  <c r="U61" i="4"/>
  <c r="M29" i="4"/>
  <c r="O10" i="4"/>
  <c r="W49" i="4"/>
  <c r="T46" i="4"/>
  <c r="O16" i="4"/>
  <c r="Y27" i="4"/>
  <c r="Q27" i="4"/>
  <c r="L13" i="4"/>
  <c r="AA32" i="4"/>
  <c r="E34" i="4"/>
  <c r="L45" i="4"/>
  <c r="M36" i="4"/>
  <c r="Y38" i="4"/>
  <c r="O52" i="4"/>
  <c r="S56" i="4"/>
  <c r="AE64" i="4"/>
  <c r="Y31" i="4"/>
  <c r="E20" i="4"/>
  <c r="Z7" i="4"/>
  <c r="K17" i="4"/>
  <c r="S37" i="4"/>
  <c r="N27" i="4"/>
  <c r="H5" i="4"/>
  <c r="R12" i="4"/>
  <c r="G67" i="4"/>
  <c r="AC16" i="4"/>
  <c r="U21" i="4"/>
  <c r="T26" i="4"/>
  <c r="Q56" i="4"/>
  <c r="P64" i="4"/>
  <c r="AB17" i="4"/>
  <c r="P38" i="4"/>
  <c r="S19" i="4"/>
  <c r="AD18" i="4"/>
  <c r="N22" i="4"/>
  <c r="F4" i="4"/>
  <c r="Z21" i="4"/>
  <c r="H51" i="4"/>
  <c r="Y21" i="4"/>
  <c r="Q43" i="4"/>
  <c r="J4" i="4"/>
  <c r="AB61" i="4"/>
  <c r="Q41" i="4"/>
  <c r="Q11" i="4"/>
  <c r="O37" i="4"/>
  <c r="M14" i="4"/>
  <c r="L22" i="4"/>
  <c r="X61" i="4"/>
  <c r="S17" i="4"/>
  <c r="W34" i="4"/>
  <c r="E46" i="4"/>
  <c r="F59" i="4"/>
  <c r="T69" i="4"/>
  <c r="W54" i="4"/>
  <c r="U33" i="4"/>
  <c r="W68" i="4"/>
  <c r="T59" i="4"/>
  <c r="Q21" i="4"/>
  <c r="AC38" i="4"/>
  <c r="R69" i="4"/>
  <c r="AA3" i="4"/>
  <c r="W27" i="4"/>
  <c r="AD27" i="4"/>
  <c r="K21" i="4"/>
  <c r="X59" i="4"/>
  <c r="W47" i="4"/>
  <c r="U31" i="4"/>
  <c r="V5" i="4"/>
  <c r="L42" i="4"/>
  <c r="R44" i="4"/>
  <c r="F44" i="4"/>
  <c r="J19" i="4"/>
  <c r="T5" i="4"/>
  <c r="R4" i="4"/>
  <c r="Y66" i="4"/>
  <c r="V57" i="4"/>
  <c r="X11" i="4"/>
  <c r="AC64" i="4"/>
  <c r="AE12" i="4"/>
  <c r="W18" i="4"/>
  <c r="N51" i="4"/>
  <c r="S34" i="4"/>
  <c r="R17" i="4"/>
  <c r="H49" i="4"/>
  <c r="L38" i="4"/>
  <c r="O38" i="4"/>
  <c r="S23" i="4"/>
  <c r="P63" i="4"/>
  <c r="G60" i="4"/>
  <c r="AE68" i="4"/>
  <c r="F58" i="4"/>
  <c r="AB20" i="4"/>
  <c r="I50" i="4"/>
  <c r="R21" i="4"/>
  <c r="G66" i="4"/>
  <c r="N59" i="4"/>
  <c r="Z32" i="4"/>
  <c r="E47" i="4"/>
  <c r="H19" i="4"/>
  <c r="AC47" i="4"/>
  <c r="P32" i="4"/>
  <c r="H68" i="4"/>
  <c r="AD65" i="4"/>
  <c r="Y23" i="4"/>
  <c r="AC54" i="4"/>
  <c r="L54" i="4"/>
  <c r="O58" i="4"/>
  <c r="I55" i="4"/>
  <c r="G28" i="4"/>
  <c r="V67" i="4"/>
  <c r="F15" i="4"/>
  <c r="Q17" i="4"/>
  <c r="T25" i="4"/>
  <c r="R67" i="4"/>
  <c r="AB5" i="4"/>
  <c r="Z25" i="4"/>
  <c r="G65" i="4"/>
  <c r="I41" i="4"/>
  <c r="P47" i="4"/>
  <c r="AA34" i="4"/>
  <c r="V16" i="4"/>
  <c r="AC18" i="4"/>
  <c r="Q58" i="4"/>
  <c r="J37" i="4"/>
  <c r="I58" i="4"/>
  <c r="F49" i="4"/>
  <c r="AA8" i="4"/>
  <c r="O59" i="4"/>
  <c r="Q35" i="4"/>
  <c r="AA45" i="4"/>
  <c r="AE52" i="4"/>
  <c r="AE39" i="4"/>
  <c r="K57" i="4"/>
  <c r="M69" i="4"/>
  <c r="J61" i="4"/>
  <c r="I11" i="4"/>
  <c r="F37" i="4"/>
  <c r="Y12" i="4"/>
  <c r="L12" i="4"/>
  <c r="V56" i="4"/>
  <c r="H60" i="4"/>
  <c r="S9" i="4"/>
  <c r="L41" i="4"/>
  <c r="J57" i="4"/>
  <c r="Y18" i="4"/>
  <c r="AC65" i="4"/>
  <c r="U23" i="4"/>
  <c r="AB43" i="4"/>
  <c r="T12" i="4"/>
  <c r="O3" i="4"/>
  <c r="Y10" i="4"/>
  <c r="T7" i="4"/>
  <c r="AD46" i="4"/>
  <c r="AE29" i="4"/>
  <c r="Q26" i="4"/>
  <c r="L8" i="4"/>
  <c r="J69" i="4"/>
  <c r="V42" i="4"/>
  <c r="N31" i="4"/>
  <c r="K11" i="4"/>
  <c r="W67" i="4"/>
  <c r="O27" i="4"/>
  <c r="AA11" i="4"/>
  <c r="L40" i="4"/>
  <c r="K2" i="4"/>
  <c r="K66" i="4"/>
  <c r="O45" i="4"/>
  <c r="U57" i="4"/>
  <c r="F52" i="4"/>
  <c r="Q62" i="4"/>
  <c r="Q23" i="4"/>
  <c r="P48" i="4"/>
  <c r="AE42" i="4"/>
  <c r="Y50" i="4"/>
  <c r="N58" i="4"/>
  <c r="L25" i="4"/>
  <c r="R14" i="4"/>
  <c r="AE58" i="4"/>
  <c r="W55" i="4"/>
  <c r="AD5" i="4"/>
  <c r="J31" i="4"/>
  <c r="H45" i="4"/>
  <c r="E12" i="4"/>
  <c r="X3" i="4"/>
  <c r="E3" i="4"/>
  <c r="F16" i="4"/>
  <c r="AA2" i="4"/>
  <c r="W7" i="4"/>
  <c r="AE57" i="4"/>
  <c r="AD3" i="4"/>
  <c r="W45" i="4"/>
  <c r="AE9" i="4"/>
  <c r="AC46" i="4"/>
  <c r="R25" i="4"/>
  <c r="AA31" i="4"/>
  <c r="AB47" i="4"/>
  <c r="M7" i="4"/>
  <c r="AD8" i="4"/>
  <c r="O60" i="4"/>
  <c r="J3" i="4"/>
  <c r="U51" i="4"/>
  <c r="AD28" i="4"/>
  <c r="O5" i="4"/>
  <c r="R20" i="4"/>
  <c r="T40" i="4"/>
  <c r="E56" i="4"/>
  <c r="T19" i="4"/>
  <c r="E19" i="4"/>
  <c r="AA13" i="4"/>
  <c r="P29" i="4"/>
  <c r="F35" i="4"/>
  <c r="G45" i="4"/>
  <c r="H22" i="4"/>
  <c r="Y8" i="4"/>
  <c r="M51" i="4"/>
  <c r="Y48" i="4"/>
  <c r="G26" i="4"/>
  <c r="I39" i="4"/>
  <c r="V9" i="4"/>
  <c r="W22" i="4"/>
  <c r="R22" i="4"/>
  <c r="V20" i="4"/>
  <c r="Z59" i="4"/>
  <c r="AB31" i="4"/>
  <c r="P69" i="4"/>
  <c r="AD13" i="4"/>
  <c r="H42" i="4"/>
  <c r="AB68" i="4"/>
  <c r="U67" i="4"/>
  <c r="R29" i="4"/>
  <c r="J38" i="4"/>
  <c r="G4" i="4"/>
  <c r="P9" i="4"/>
  <c r="K28" i="4"/>
  <c r="R24" i="4"/>
  <c r="K12" i="4"/>
  <c r="V14" i="4"/>
  <c r="S55" i="4"/>
  <c r="Y51" i="4"/>
  <c r="Y22" i="4"/>
  <c r="K4" i="4"/>
  <c r="AD61" i="4"/>
  <c r="Y52" i="4"/>
  <c r="Y32" i="4"/>
  <c r="L58" i="4"/>
  <c r="AC15" i="4"/>
  <c r="X43" i="4"/>
  <c r="AE15" i="4"/>
  <c r="E10" i="4"/>
  <c r="S22" i="4"/>
  <c r="X41" i="4"/>
  <c r="AE18" i="4"/>
  <c r="J26" i="4"/>
  <c r="Z66" i="4"/>
  <c r="F39" i="4"/>
  <c r="J41" i="4"/>
  <c r="N12" i="4"/>
  <c r="AE11" i="4"/>
  <c r="X53" i="4"/>
  <c r="W43" i="4"/>
  <c r="G32" i="4"/>
  <c r="I64" i="4"/>
  <c r="J29" i="4"/>
  <c r="W20" i="4"/>
  <c r="H69" i="4"/>
  <c r="AE6" i="4"/>
  <c r="K67" i="4"/>
  <c r="U6" i="4"/>
  <c r="E25" i="4"/>
  <c r="L68" i="4"/>
  <c r="E16" i="4"/>
  <c r="V47" i="4"/>
  <c r="AA56" i="4"/>
  <c r="AD10" i="4"/>
  <c r="R30" i="4"/>
  <c r="I51" i="4"/>
  <c r="O24" i="4"/>
  <c r="AA52" i="4"/>
  <c r="AC3" i="4"/>
  <c r="Z11" i="4"/>
  <c r="N24" i="4"/>
  <c r="S67" i="4"/>
  <c r="V3" i="4"/>
  <c r="T11" i="4"/>
  <c r="K7" i="4"/>
  <c r="L10" i="4"/>
  <c r="AA4" i="4"/>
  <c r="W64" i="4"/>
  <c r="F42" i="4"/>
  <c r="H26" i="4"/>
  <c r="E68" i="4"/>
  <c r="Y54" i="4"/>
  <c r="J40" i="4"/>
  <c r="AA50" i="4"/>
  <c r="AB35" i="4"/>
  <c r="AD25" i="4"/>
  <c r="L69" i="4"/>
  <c r="U13" i="4"/>
  <c r="W60" i="4"/>
  <c r="AA55" i="4"/>
  <c r="Y5" i="4"/>
  <c r="N65" i="4"/>
  <c r="W10" i="4"/>
  <c r="U49" i="4"/>
  <c r="I6" i="4"/>
  <c r="R65" i="4"/>
  <c r="T56" i="4"/>
  <c r="L39" i="4"/>
  <c r="I7" i="4"/>
  <c r="P10" i="4"/>
  <c r="E67" i="4"/>
  <c r="V58" i="4"/>
  <c r="AD21" i="4"/>
  <c r="W25" i="4"/>
  <c r="X17" i="4"/>
  <c r="N53" i="4"/>
  <c r="U38" i="4"/>
  <c r="W66" i="4"/>
  <c r="AB40" i="4"/>
  <c r="P14" i="4"/>
  <c r="K29" i="4"/>
  <c r="T45" i="4"/>
  <c r="W6" i="4"/>
  <c r="Y43" i="4"/>
  <c r="AC48" i="4"/>
  <c r="H20" i="4"/>
  <c r="Y37" i="4"/>
  <c r="T39" i="4"/>
  <c r="Y33" i="4"/>
  <c r="Q33" i="4"/>
  <c r="Z68" i="4"/>
  <c r="G14" i="4"/>
  <c r="AE48" i="4"/>
  <c r="AB8" i="4"/>
  <c r="O12" i="4"/>
  <c r="L14" i="4"/>
  <c r="J68" i="4"/>
  <c r="V41" i="4"/>
  <c r="W17" i="4"/>
  <c r="U12" i="4"/>
  <c r="R43" i="4"/>
  <c r="J46" i="4"/>
  <c r="R31" i="4"/>
  <c r="AA63" i="4"/>
  <c r="X68" i="4"/>
  <c r="F33" i="4"/>
  <c r="Y26" i="4"/>
  <c r="I14" i="4"/>
  <c r="G15" i="4"/>
  <c r="AC7" i="4"/>
  <c r="AD2" i="4"/>
  <c r="AB54" i="4"/>
  <c r="Z18" i="4"/>
  <c r="M17" i="4"/>
  <c r="Z33" i="4"/>
  <c r="P24" i="4"/>
  <c r="G39" i="4"/>
  <c r="Z51" i="4"/>
  <c r="H61" i="4"/>
  <c r="AD50" i="4"/>
  <c r="V34" i="4"/>
  <c r="V60" i="4"/>
  <c r="I54" i="4"/>
  <c r="X30" i="4"/>
  <c r="P18" i="4"/>
  <c r="F26" i="4"/>
  <c r="U54" i="4"/>
  <c r="L26" i="4"/>
  <c r="R52" i="4"/>
  <c r="AD52" i="4"/>
  <c r="F27" i="4"/>
  <c r="Z43" i="4"/>
  <c r="E29" i="4"/>
  <c r="T54" i="4"/>
  <c r="S60" i="4"/>
  <c r="V66" i="4"/>
  <c r="N49" i="4"/>
  <c r="W24" i="4"/>
  <c r="K59" i="4"/>
  <c r="F20" i="4"/>
  <c r="G36" i="4"/>
  <c r="I17" i="4"/>
  <c r="F43" i="4"/>
  <c r="H43" i="4"/>
  <c r="Y13" i="4"/>
  <c r="U4" i="4"/>
  <c r="J28" i="4"/>
  <c r="Y41" i="4"/>
  <c r="Q20" i="4"/>
  <c r="X13" i="4"/>
  <c r="I8" i="4"/>
  <c r="V46" i="4"/>
  <c r="N66" i="4"/>
  <c r="S61" i="4"/>
  <c r="U46" i="4"/>
  <c r="G23" i="4"/>
  <c r="P11" i="4"/>
  <c r="AD23" i="4"/>
  <c r="U60" i="4"/>
  <c r="L56" i="4"/>
  <c r="E17" i="4"/>
  <c r="Y35" i="4"/>
  <c r="Y42" i="4"/>
  <c r="AA29" i="4"/>
  <c r="T49" i="4"/>
  <c r="Q38" i="4"/>
  <c r="I31" i="4"/>
  <c r="P12" i="4"/>
  <c r="Q36" i="4"/>
  <c r="U3" i="4"/>
  <c r="I22" i="4"/>
  <c r="Y9" i="4"/>
  <c r="R37" i="4"/>
  <c r="E15" i="4"/>
  <c r="AD39" i="4"/>
  <c r="V4" i="4"/>
  <c r="AB44" i="4"/>
  <c r="J11" i="4"/>
  <c r="G22" i="4"/>
  <c r="H64" i="4"/>
  <c r="AA43" i="4"/>
  <c r="O46" i="4"/>
  <c r="AC5" i="4"/>
  <c r="K35" i="4"/>
  <c r="K42" i="4"/>
  <c r="R32" i="4"/>
  <c r="L31" i="4"/>
  <c r="W15" i="4"/>
  <c r="L15" i="4"/>
  <c r="R55" i="4"/>
  <c r="W23" i="4"/>
  <c r="S13" i="4"/>
  <c r="AB38" i="4"/>
  <c r="N36" i="4"/>
  <c r="P56" i="4"/>
  <c r="U17" i="4"/>
  <c r="X52" i="4"/>
  <c r="O7" i="4"/>
  <c r="Z17" i="4"/>
  <c r="AA33" i="4"/>
  <c r="G24" i="4"/>
  <c r="L66" i="4"/>
  <c r="M58" i="4"/>
  <c r="P33" i="4"/>
  <c r="S21" i="4"/>
  <c r="R19" i="4"/>
  <c r="V27" i="4"/>
  <c r="O6" i="4"/>
  <c r="Z54" i="4"/>
  <c r="Z14" i="4"/>
  <c r="AB57" i="4"/>
  <c r="S12" i="4"/>
  <c r="G44" i="4"/>
  <c r="W53" i="4"/>
  <c r="U65" i="4"/>
  <c r="J5" i="4"/>
  <c r="G2" i="4"/>
  <c r="E49" i="4"/>
  <c r="AA37" i="4"/>
  <c r="Q65" i="4"/>
  <c r="M66" i="4"/>
  <c r="AB49" i="4"/>
  <c r="P8" i="4"/>
  <c r="F10" i="4"/>
  <c r="AB22" i="4"/>
  <c r="E22" i="4"/>
  <c r="X15" i="4"/>
  <c r="G55" i="4"/>
  <c r="O8" i="4"/>
  <c r="G6" i="4"/>
  <c r="F47" i="4"/>
  <c r="R27" i="4"/>
  <c r="O18" i="4"/>
  <c r="I69" i="4"/>
  <c r="X20" i="4"/>
  <c r="M59" i="4"/>
  <c r="H44" i="4"/>
  <c r="K31" i="4"/>
  <c r="Z2" i="4"/>
  <c r="AC20" i="4"/>
  <c r="F17" i="4"/>
  <c r="H8" i="4"/>
  <c r="AA17" i="4"/>
  <c r="J56" i="4"/>
  <c r="E38" i="4"/>
  <c r="Z19" i="4"/>
  <c r="N9" i="4"/>
  <c r="F32" i="4"/>
  <c r="V15" i="4"/>
  <c r="W59" i="4"/>
  <c r="H62" i="4"/>
  <c r="G10" i="4"/>
  <c r="AC21" i="4"/>
  <c r="R7" i="4"/>
  <c r="I26" i="4"/>
  <c r="H21" i="4"/>
  <c r="R48" i="4"/>
  <c r="J42" i="4"/>
  <c r="J20" i="4"/>
  <c r="P55" i="4"/>
  <c r="V29" i="4"/>
  <c r="N52" i="4"/>
  <c r="AB15" i="4"/>
  <c r="Q22" i="4"/>
  <c r="J52" i="4"/>
  <c r="Q67" i="4"/>
  <c r="U45" i="4"/>
  <c r="AD14" i="4"/>
  <c r="P3" i="4"/>
  <c r="AA57" i="4"/>
  <c r="Q28" i="4"/>
  <c r="Y7" i="4"/>
  <c r="U5" i="4"/>
  <c r="AC19" i="4"/>
  <c r="R39" i="4"/>
  <c r="AA40" i="4"/>
  <c r="I10" i="4"/>
  <c r="S49" i="4"/>
  <c r="V68" i="4"/>
  <c r="U62" i="4"/>
  <c r="J63" i="4"/>
  <c r="V8" i="4"/>
  <c r="Z29" i="4"/>
  <c r="X40" i="4"/>
  <c r="Y49" i="4"/>
  <c r="V69" i="4"/>
  <c r="P39" i="4"/>
  <c r="F11" i="4"/>
  <c r="V38" i="4"/>
  <c r="E4" i="4"/>
  <c r="N20" i="4"/>
  <c r="F13" i="4"/>
  <c r="AA54" i="4"/>
  <c r="AC61" i="4"/>
  <c r="AB45" i="4"/>
  <c r="S2" i="4"/>
  <c r="Z65" i="4"/>
  <c r="M23" i="4"/>
  <c r="L11" i="4"/>
  <c r="V13" i="4"/>
  <c r="I56" i="4"/>
  <c r="R8" i="4"/>
  <c r="F6" i="4"/>
  <c r="F55" i="4"/>
  <c r="R61" i="4"/>
  <c r="Y6" i="4"/>
  <c r="R13" i="4"/>
  <c r="AB10" i="4"/>
  <c r="P4" i="4"/>
  <c r="V53" i="4"/>
  <c r="AB28" i="4"/>
  <c r="AE3" i="4"/>
  <c r="O57" i="4"/>
  <c r="Q40" i="4"/>
  <c r="T6" i="4"/>
  <c r="I62" i="4"/>
  <c r="U53" i="4"/>
  <c r="S11" i="4"/>
  <c r="O22" i="4"/>
  <c r="N21" i="4"/>
  <c r="F7" i="4"/>
  <c r="Y16" i="4"/>
  <c r="P59" i="4"/>
  <c r="R42" i="4"/>
  <c r="H63" i="4"/>
  <c r="X23" i="4"/>
  <c r="Q19" i="4"/>
  <c r="V54" i="4"/>
  <c r="L23" i="4"/>
  <c r="W58" i="4"/>
  <c r="J36" i="4"/>
  <c r="AA14" i="4"/>
  <c r="P5" i="4"/>
  <c r="Q37" i="4"/>
  <c r="H66" i="4"/>
  <c r="AA26" i="4"/>
  <c r="S6" i="4"/>
  <c r="K26" i="4"/>
  <c r="E35" i="4"/>
  <c r="O31" i="4"/>
  <c r="N7" i="4"/>
  <c r="AC14" i="4"/>
  <c r="L21" i="4"/>
  <c r="AA35" i="4"/>
  <c r="G68" i="4"/>
  <c r="N15" i="4"/>
  <c r="AE55" i="4"/>
  <c r="T17" i="4"/>
  <c r="E14" i="4"/>
  <c r="V21" i="4"/>
  <c r="O53" i="4"/>
  <c r="H16" i="4"/>
  <c r="L57" i="4"/>
  <c r="V30" i="4"/>
  <c r="AE37" i="4"/>
  <c r="G21" i="4"/>
  <c r="K3" i="4"/>
  <c r="P7" i="4"/>
  <c r="T62" i="4"/>
  <c r="E64" i="4"/>
  <c r="AB23" i="4"/>
  <c r="T33" i="4"/>
  <c r="H41" i="4"/>
  <c r="M43" i="4"/>
  <c r="P61" i="4"/>
  <c r="E53" i="4"/>
  <c r="X47" i="4"/>
  <c r="AA41" i="4"/>
  <c r="X42" i="4"/>
  <c r="P53" i="4"/>
  <c r="K32" i="4"/>
  <c r="P34" i="4"/>
  <c r="G20" i="4"/>
  <c r="T4" i="4"/>
  <c r="AD4" i="4"/>
  <c r="Z5" i="4"/>
  <c r="J60" i="4"/>
  <c r="M16" i="4"/>
  <c r="AD67" i="4"/>
  <c r="AE20" i="4"/>
  <c r="Q44" i="4"/>
  <c r="Z20" i="4"/>
  <c r="AC42" i="4"/>
  <c r="AD40" i="4"/>
  <c r="AA7" i="4"/>
  <c r="AA39" i="4"/>
  <c r="AB41" i="4"/>
  <c r="M32" i="4"/>
  <c r="S5" i="4"/>
  <c r="Z55" i="4"/>
  <c r="Y47" i="4"/>
  <c r="Y11" i="4"/>
  <c r="E21" i="4"/>
  <c r="AD26" i="4"/>
  <c r="E41" i="4"/>
  <c r="T50" i="4"/>
  <c r="E36" i="4"/>
  <c r="M15" i="4"/>
  <c r="L65" i="4"/>
  <c r="Z26" i="4"/>
  <c r="V22" i="4"/>
  <c r="R16" i="4"/>
  <c r="O20" i="4"/>
  <c r="Z8" i="4"/>
  <c r="V10" i="4"/>
  <c r="Z40" i="4"/>
  <c r="Q64" i="4"/>
  <c r="R9" i="4"/>
  <c r="Q7" i="4"/>
  <c r="K45" i="4"/>
  <c r="O49" i="4"/>
  <c r="Y45" i="4"/>
  <c r="Z42" i="4"/>
  <c r="P67" i="4"/>
  <c r="AE16" i="4"/>
  <c r="I43" i="4"/>
  <c r="R38" i="4"/>
  <c r="Z22" i="4"/>
  <c r="O14" i="4"/>
  <c r="AE32" i="4"/>
  <c r="L50" i="4"/>
  <c r="AD51" i="4"/>
  <c r="N50" i="4"/>
  <c r="N3" i="4"/>
  <c r="H17" i="4"/>
  <c r="V44" i="4"/>
  <c r="R41" i="4"/>
  <c r="L5" i="4"/>
  <c r="H46" i="4"/>
  <c r="J34" i="4"/>
  <c r="R36" i="4"/>
  <c r="N57" i="4"/>
  <c r="Y3" i="4"/>
  <c r="H67" i="4"/>
  <c r="K62" i="4"/>
  <c r="AC12" i="4"/>
  <c r="AB11" i="4"/>
  <c r="P30" i="4"/>
  <c r="X35" i="4"/>
  <c r="G46" i="4"/>
  <c r="I47" i="4"/>
  <c r="W13" i="4"/>
  <c r="I67" i="4"/>
  <c r="G13" i="4"/>
  <c r="AB7" i="4"/>
  <c r="AA27" i="4"/>
  <c r="U35" i="4"/>
  <c r="M20" i="4"/>
  <c r="P25" i="4"/>
  <c r="I4" i="4"/>
  <c r="AB26" i="4"/>
  <c r="H59" i="4"/>
  <c r="S62" i="4"/>
  <c r="R60" i="4"/>
  <c r="G41" i="4"/>
  <c r="P50" i="4"/>
  <c r="AA12" i="4"/>
  <c r="J18" i="4"/>
  <c r="Z39" i="4"/>
  <c r="J59" i="4"/>
  <c r="F36" i="4"/>
  <c r="M54" i="4"/>
  <c r="AC39" i="4"/>
  <c r="Q18" i="4"/>
  <c r="AD36" i="4"/>
  <c r="AD29" i="4"/>
  <c r="S7" i="4"/>
  <c r="W8" i="4"/>
  <c r="T23" i="4"/>
  <c r="H25" i="4"/>
  <c r="H28" i="4"/>
  <c r="AB21" i="4"/>
  <c r="L29" i="4"/>
  <c r="O4" i="4"/>
  <c r="I33" i="4"/>
  <c r="AC56" i="4"/>
  <c r="AE67" i="4"/>
  <c r="Q59" i="4"/>
  <c r="AD45" i="4"/>
  <c r="Z10" i="4"/>
  <c r="L19" i="4"/>
  <c r="T27" i="4"/>
  <c r="U47" i="4"/>
  <c r="AC13" i="4"/>
  <c r="T53" i="4"/>
  <c r="V26" i="4"/>
  <c r="T10" i="4"/>
  <c r="AD53" i="4"/>
  <c r="P28" i="4"/>
  <c r="Z6" i="4"/>
  <c r="F64" i="4"/>
  <c r="AA22" i="4"/>
  <c r="K33" i="4"/>
  <c r="M28" i="4"/>
  <c r="AE30" i="4"/>
  <c r="AA24" i="4"/>
  <c r="Z9" i="4"/>
  <c r="F30" i="4"/>
  <c r="AB18" i="4"/>
  <c r="U24" i="4"/>
  <c r="V6" i="4"/>
  <c r="X39" i="4"/>
  <c r="V19" i="4"/>
  <c r="M56" i="4"/>
  <c r="N10" i="4"/>
  <c r="K23" i="4"/>
  <c r="I5" i="4"/>
  <c r="J58" i="4"/>
  <c r="T43" i="4"/>
  <c r="N56" i="4"/>
  <c r="N34" i="4"/>
  <c r="N29" i="4"/>
  <c r="J32" i="4"/>
  <c r="AB34" i="4"/>
  <c r="R3" i="4"/>
  <c r="Z47" i="4"/>
  <c r="M63" i="4"/>
  <c r="S4" i="4"/>
  <c r="M4" i="4"/>
  <c r="I46" i="4"/>
  <c r="AB69" i="4"/>
  <c r="P43" i="4"/>
  <c r="K24" i="4"/>
  <c r="M6" i="4"/>
  <c r="AA61" i="4"/>
  <c r="K64" i="4"/>
  <c r="T2" i="4"/>
  <c r="Y2" i="4"/>
  <c r="AE22" i="4"/>
  <c r="N4" i="4"/>
  <c r="M68" i="4"/>
  <c r="L60" i="4"/>
  <c r="X64" i="4"/>
  <c r="S25" i="4"/>
  <c r="N26" i="4"/>
  <c r="V43" i="4"/>
  <c r="E55" i="4"/>
  <c r="F38" i="4"/>
  <c r="H14" i="4"/>
  <c r="AC45" i="4"/>
  <c r="AE43" i="4"/>
  <c r="Q49" i="4"/>
  <c r="X12" i="4"/>
  <c r="V12" i="4"/>
  <c r="Z24" i="4"/>
  <c r="AA23" i="4"/>
  <c r="L52" i="4"/>
  <c r="W46" i="4"/>
  <c r="I61" i="4"/>
  <c r="T14" i="4"/>
  <c r="P60" i="4"/>
  <c r="S42" i="4"/>
  <c r="AA28" i="4"/>
  <c r="G16" i="4"/>
  <c r="S26" i="4"/>
  <c r="AD48" i="4"/>
  <c r="K47" i="4"/>
  <c r="AD68" i="4"/>
  <c r="U29" i="4"/>
  <c r="AC58" i="4"/>
  <c r="G56" i="4"/>
  <c r="P49" i="4"/>
  <c r="X18" i="4"/>
  <c r="G48" i="4"/>
  <c r="L24" i="4"/>
  <c r="J67" i="4"/>
  <c r="AA42" i="4"/>
  <c r="E28" i="4"/>
  <c r="N37" i="4"/>
  <c r="AE65" i="4"/>
  <c r="L6" i="4"/>
  <c r="S35" i="4"/>
  <c r="K16" i="4"/>
  <c r="Q16" i="4"/>
  <c r="T52" i="4"/>
  <c r="G3" i="4"/>
  <c r="L67" i="4"/>
  <c r="AD9" i="4"/>
  <c r="M49" i="4"/>
  <c r="E60" i="4"/>
  <c r="G12" i="4"/>
  <c r="V50" i="4"/>
  <c r="W9" i="4"/>
  <c r="H57" i="4"/>
  <c r="AC17" i="4"/>
  <c r="I3" i="4"/>
  <c r="Z41" i="4"/>
  <c r="AD56" i="4"/>
  <c r="H36" i="4"/>
  <c r="J65" i="4"/>
  <c r="AC8" i="4"/>
  <c r="AD30" i="4"/>
  <c r="P20" i="4"/>
  <c r="N46" i="4"/>
  <c r="AC55" i="4"/>
  <c r="H40" i="4"/>
  <c r="Y20" i="4"/>
  <c r="AB51" i="4"/>
  <c r="AB63" i="4"/>
  <c r="S44" i="4"/>
  <c r="Q68" i="4"/>
  <c r="AD55" i="4"/>
  <c r="AC49" i="4"/>
  <c r="G8" i="4"/>
  <c r="AB19" i="4"/>
  <c r="J15" i="4"/>
  <c r="F3" i="4"/>
  <c r="Z61" i="4"/>
  <c r="Z60" i="4"/>
  <c r="AC4" i="4"/>
  <c r="AA10" i="4"/>
  <c r="U26" i="4"/>
  <c r="U15" i="4"/>
  <c r="U55" i="4"/>
  <c r="V55" i="4"/>
  <c r="Z16" i="4"/>
  <c r="N69" i="4"/>
  <c r="AE54" i="4"/>
  <c r="E7" i="4"/>
  <c r="AA64" i="4"/>
  <c r="J24" i="4"/>
  <c r="R35" i="4"/>
  <c r="L28" i="4"/>
  <c r="F22" i="4"/>
  <c r="AC24" i="4"/>
  <c r="AC51" i="4"/>
  <c r="AD35" i="4"/>
  <c r="Z28" i="4"/>
  <c r="J7" i="4"/>
  <c r="J39" i="4"/>
  <c r="AA46" i="4"/>
  <c r="H34" i="4"/>
  <c r="N8" i="4"/>
  <c r="Q14" i="4"/>
  <c r="W62" i="4"/>
  <c r="AA59" i="4"/>
  <c r="V49" i="4"/>
  <c r="X32" i="4"/>
  <c r="O15" i="4"/>
  <c r="Y44" i="4"/>
  <c r="F2" i="4"/>
  <c r="W69" i="4"/>
  <c r="W57" i="4"/>
  <c r="E31" i="4"/>
  <c r="W19" i="4"/>
  <c r="X62" i="4"/>
  <c r="Y67" i="4"/>
  <c r="I42" i="4"/>
  <c r="X37" i="4"/>
  <c r="AD6" i="4"/>
  <c r="T16" i="4"/>
  <c r="AC63" i="4"/>
  <c r="E61" i="4"/>
  <c r="J25" i="4"/>
  <c r="G53" i="4"/>
  <c r="J27" i="4"/>
  <c r="AC67" i="4"/>
  <c r="U43" i="4"/>
  <c r="F40" i="4"/>
  <c r="G69" i="4"/>
  <c r="L4" i="4"/>
  <c r="AC66" i="4"/>
  <c r="P45" i="4"/>
  <c r="I63" i="4"/>
  <c r="G11" i="4"/>
  <c r="S53" i="4"/>
  <c r="H38" i="4"/>
  <c r="N6" i="4"/>
  <c r="AC36" i="4"/>
  <c r="V18" i="4"/>
  <c r="Q47" i="4"/>
  <c r="AC69" i="4"/>
  <c r="Z12" i="4"/>
  <c r="L59" i="4"/>
  <c r="X44" i="4"/>
  <c r="K50" i="4"/>
  <c r="U68" i="4"/>
  <c r="Z13" i="4"/>
  <c r="X51" i="4"/>
  <c r="AD19" i="4"/>
  <c r="AC44" i="4"/>
  <c r="U48" i="4"/>
  <c r="AA25" i="4"/>
  <c r="V48" i="4"/>
  <c r="X55" i="4"/>
  <c r="K44" i="4"/>
  <c r="V23" i="4"/>
  <c r="S31" i="4"/>
  <c r="P23" i="4"/>
  <c r="AA47" i="4"/>
  <c r="F62" i="4"/>
  <c r="Q57" i="4"/>
  <c r="P58" i="4"/>
  <c r="K14" i="4"/>
  <c r="O29" i="4"/>
  <c r="S36" i="4"/>
  <c r="AA16" i="4"/>
  <c r="J30" i="4"/>
  <c r="N14" i="4"/>
  <c r="AE56" i="4"/>
  <c r="K48" i="4"/>
  <c r="AB3" i="4"/>
  <c r="AC25" i="4"/>
  <c r="X56" i="4"/>
  <c r="M21" i="4"/>
  <c r="R59" i="4"/>
  <c r="I9" i="4"/>
  <c r="O56" i="4"/>
  <c r="P42" i="4"/>
  <c r="AC37" i="4"/>
  <c r="X7" i="4"/>
  <c r="Y4" i="4"/>
  <c r="U41" i="4"/>
  <c r="Q50" i="4"/>
  <c r="G17" i="4"/>
  <c r="L17" i="4"/>
  <c r="L18" i="4"/>
  <c r="AA58" i="4"/>
  <c r="M50" i="4"/>
  <c r="H32" i="4"/>
  <c r="F48" i="4"/>
  <c r="AA48" i="4"/>
  <c r="N68" i="4"/>
  <c r="M55" i="4"/>
  <c r="E33" i="4"/>
  <c r="I60" i="4"/>
  <c r="O47" i="4"/>
  <c r="H24" i="4"/>
  <c r="AB36" i="4"/>
  <c r="L63" i="4"/>
  <c r="H27" i="4"/>
  <c r="F5" i="4"/>
  <c r="W21" i="4"/>
  <c r="W44" i="4"/>
  <c r="V7" i="4"/>
  <c r="F46" i="4"/>
  <c r="Y39" i="4"/>
  <c r="X57" i="4"/>
  <c r="L33" i="4"/>
  <c r="X50" i="4"/>
  <c r="V63" i="4"/>
  <c r="U59" i="4"/>
  <c r="U56" i="4"/>
  <c r="O21" i="4"/>
  <c r="Z48" i="4"/>
  <c r="G19" i="4"/>
  <c r="W32" i="4"/>
  <c r="Q42" i="4"/>
  <c r="W65" i="4"/>
  <c r="W11" i="4"/>
  <c r="I37" i="4"/>
  <c r="O51" i="4"/>
  <c r="L27" i="4"/>
  <c r="AE53" i="4"/>
  <c r="N55" i="4"/>
  <c r="R63" i="4"/>
  <c r="X4" i="4"/>
  <c r="AD64" i="4"/>
  <c r="G58" i="4"/>
  <c r="X27" i="4"/>
  <c r="U10" i="4"/>
  <c r="S57" i="4"/>
  <c r="F54" i="4"/>
  <c r="AC43" i="4"/>
  <c r="T35" i="4"/>
  <c r="H48" i="4"/>
  <c r="R46" i="4"/>
  <c r="Y30" i="4"/>
  <c r="W51" i="4"/>
  <c r="AE45" i="4"/>
  <c r="F51" i="4"/>
  <c r="T63" i="4"/>
  <c r="X19" i="4"/>
  <c r="E50" i="4"/>
  <c r="W12" i="4"/>
  <c r="AC35" i="4"/>
  <c r="O39" i="4"/>
  <c r="J16" i="4"/>
  <c r="S52" i="4"/>
  <c r="T15" i="4"/>
  <c r="H35" i="4"/>
  <c r="L35" i="4"/>
  <c r="T20" i="4"/>
  <c r="X16" i="4"/>
  <c r="U18" i="4"/>
  <c r="J43" i="4"/>
  <c r="M60" i="4"/>
  <c r="Z52" i="4"/>
  <c r="K25" i="4"/>
  <c r="Y57" i="4"/>
  <c r="W52" i="4"/>
  <c r="P40" i="4"/>
  <c r="V37" i="4"/>
  <c r="F63" i="4"/>
  <c r="J64" i="4"/>
  <c r="AB13" i="4"/>
  <c r="Z67" i="4"/>
  <c r="H54" i="4"/>
  <c r="Q54" i="4"/>
  <c r="AD62" i="4"/>
  <c r="M42" i="4"/>
  <c r="X69" i="4"/>
  <c r="K63" i="4"/>
  <c r="H47" i="4"/>
  <c r="Y40" i="4"/>
  <c r="N23" i="4"/>
  <c r="W38" i="4"/>
  <c r="AE27" i="4"/>
  <c r="W61" i="4"/>
  <c r="O17" i="4"/>
  <c r="K39" i="4"/>
  <c r="U36" i="4"/>
  <c r="K9" i="4"/>
  <c r="E52" i="4"/>
  <c r="H3" i="4"/>
  <c r="K38" i="4"/>
  <c r="N67" i="4"/>
  <c r="M57" i="4"/>
  <c r="E6" i="4"/>
  <c r="G27" i="4"/>
  <c r="S63" i="4"/>
  <c r="AB66" i="4"/>
  <c r="W37" i="4"/>
  <c r="S15" i="4"/>
  <c r="E5" i="4"/>
  <c r="Z64" i="4"/>
  <c r="F45" i="4"/>
  <c r="L48" i="4"/>
  <c r="S8" i="4"/>
  <c r="AB29" i="4"/>
  <c r="R34" i="4"/>
  <c r="E44" i="4"/>
  <c r="Y63" i="4"/>
  <c r="J10" i="4"/>
  <c r="K22" i="4"/>
  <c r="K18" i="4"/>
  <c r="F50" i="4"/>
  <c r="S51" i="4"/>
  <c r="F60" i="4"/>
  <c r="S24" i="4"/>
  <c r="T3" i="4"/>
  <c r="I15" i="4"/>
  <c r="U50" i="4"/>
  <c r="Y28" i="4"/>
  <c r="AA60" i="4"/>
  <c r="J12" i="4"/>
  <c r="AA9" i="4"/>
  <c r="I19" i="4"/>
  <c r="AE23" i="4"/>
  <c r="L3" i="4"/>
  <c r="R33" i="4"/>
  <c r="P54" i="4"/>
  <c r="O67" i="4"/>
  <c r="R23" i="4"/>
  <c r="G61" i="4"/>
  <c r="G9" i="4"/>
  <c r="S38" i="4"/>
  <c r="G37" i="4"/>
  <c r="S32" i="4"/>
  <c r="L55" i="4"/>
  <c r="T51" i="4"/>
  <c r="W5" i="4"/>
  <c r="H7" i="4"/>
  <c r="V2" i="4"/>
  <c r="O11" i="4"/>
  <c r="X46" i="4"/>
  <c r="AB65" i="4"/>
  <c r="T31" i="4"/>
  <c r="S66" i="4"/>
  <c r="N32" i="4"/>
  <c r="V59" i="4"/>
  <c r="J49" i="4"/>
  <c r="V52" i="4"/>
  <c r="AD16" i="4"/>
  <c r="AB6" i="4"/>
  <c r="W48" i="4"/>
  <c r="J48" i="4"/>
  <c r="Z45" i="4"/>
  <c r="E58" i="4"/>
  <c r="L9" i="4"/>
  <c r="Q55" i="4"/>
  <c r="H52" i="4"/>
  <c r="N25" i="4"/>
  <c r="J2" i="4"/>
  <c r="AB9" i="4"/>
  <c r="W56" i="4"/>
  <c r="J44" i="4"/>
  <c r="Y25" i="4"/>
  <c r="X10" i="4"/>
  <c r="I68" i="4"/>
  <c r="Q3" i="4"/>
  <c r="AB16" i="4"/>
  <c r="Z4" i="4"/>
  <c r="O68" i="4"/>
  <c r="AA49" i="4"/>
  <c r="P16" i="4"/>
  <c r="V40" i="4"/>
  <c r="M3" i="4"/>
  <c r="U44" i="4"/>
  <c r="E59" i="4"/>
  <c r="Y60" i="4"/>
  <c r="Q31" i="4"/>
  <c r="AD42" i="4"/>
  <c r="N45" i="4"/>
  <c r="Z27" i="4"/>
  <c r="Q46" i="4"/>
  <c r="AB27" i="4"/>
  <c r="AD37" i="4"/>
  <c r="AA19" i="4"/>
  <c r="O36" i="4"/>
  <c r="L20" i="4"/>
  <c r="J8" i="4"/>
  <c r="X66" i="4"/>
  <c r="V62" i="4"/>
  <c r="Z50" i="4"/>
  <c r="W30" i="4"/>
  <c r="H9" i="4"/>
  <c r="M8" i="4"/>
  <c r="O61" i="4"/>
  <c r="U16" i="4"/>
  <c r="F19" i="4"/>
  <c r="M45" i="4"/>
  <c r="AA44" i="4"/>
  <c r="R57" i="4"/>
  <c r="T47" i="4"/>
  <c r="V25" i="4"/>
  <c r="H4" i="4"/>
  <c r="S40" i="4"/>
  <c r="I65" i="4"/>
  <c r="J35" i="4"/>
  <c r="Q61" i="4"/>
  <c r="O62" i="4"/>
  <c r="H23" i="4"/>
  <c r="AB42" i="4"/>
  <c r="N2" i="4"/>
  <c r="L16" i="4"/>
  <c r="E51" i="4"/>
  <c r="O54" i="4"/>
  <c r="S43" i="4"/>
  <c r="F12" i="4"/>
  <c r="T34" i="4"/>
  <c r="T41" i="4"/>
  <c r="S58" i="4"/>
  <c r="G49" i="4"/>
  <c r="T24" i="4"/>
  <c r="J14" i="4"/>
  <c r="W29" i="4"/>
  <c r="AE21" i="4"/>
  <c r="T67" i="4"/>
  <c r="H37" i="4"/>
  <c r="L30" i="4"/>
  <c r="E63" i="4"/>
  <c r="U32" i="4"/>
  <c r="AA38" i="4"/>
  <c r="H50" i="4"/>
  <c r="G25" i="4"/>
  <c r="T60" i="4"/>
  <c r="M5" i="4"/>
  <c r="AB12" i="4"/>
  <c r="P57" i="4"/>
  <c r="R18" i="4"/>
  <c r="X49" i="4"/>
  <c r="L2" i="4"/>
  <c r="O23" i="4"/>
  <c r="F8" i="4"/>
  <c r="M18" i="4"/>
  <c r="S29" i="4"/>
  <c r="E54" i="4"/>
  <c r="T68" i="4"/>
  <c r="E39" i="4"/>
  <c r="AD31" i="4"/>
  <c r="J22" i="4"/>
  <c r="W28" i="4"/>
  <c r="L32" i="4"/>
  <c r="P46" i="4"/>
  <c r="H39" i="4"/>
  <c r="Y53" i="4"/>
  <c r="M10" i="4"/>
  <c r="AB2" i="4"/>
  <c r="R53" i="4"/>
  <c r="K61" i="4"/>
  <c r="K36" i="4"/>
  <c r="AB60" i="4"/>
  <c r="AB30" i="4"/>
  <c r="K55" i="4"/>
  <c r="N17" i="4"/>
  <c r="P36" i="4"/>
  <c r="M48" i="4"/>
  <c r="V17" i="4"/>
  <c r="E66" i="4"/>
  <c r="AD57" i="4"/>
  <c r="S10" i="4"/>
  <c r="Z15" i="4"/>
  <c r="P65" i="4"/>
  <c r="K60" i="4"/>
  <c r="AD69" i="4"/>
  <c r="L64" i="4"/>
  <c r="AC26" i="4"/>
  <c r="H12" i="4"/>
  <c r="V24" i="4"/>
  <c r="S41" i="4"/>
  <c r="O64" i="4"/>
  <c r="K13" i="4"/>
  <c r="AC33" i="4"/>
  <c r="AE61" i="4"/>
  <c r="Q53" i="4"/>
  <c r="AE63" i="4"/>
  <c r="E43" i="4"/>
  <c r="X38" i="4"/>
  <c r="AC52" i="4"/>
  <c r="AA21" i="4"/>
  <c r="Z53" i="4"/>
  <c r="S39" i="4"/>
  <c r="L51" i="4"/>
  <c r="J50" i="4"/>
  <c r="Q12" i="4"/>
  <c r="AA62" i="4"/>
  <c r="M67" i="4"/>
  <c r="R11" i="4"/>
  <c r="N47" i="4"/>
  <c r="AE10" i="4"/>
  <c r="Z31" i="4"/>
  <c r="U20" i="4"/>
  <c r="N48" i="4"/>
  <c r="P22" i="4"/>
  <c r="P52" i="4"/>
  <c r="W40" i="4"/>
  <c r="Q29" i="4"/>
  <c r="W35" i="4"/>
  <c r="T8" i="4"/>
  <c r="N33" i="4"/>
  <c r="J66" i="4"/>
  <c r="O2" i="4"/>
  <c r="R40" i="4"/>
  <c r="N19" i="4"/>
  <c r="X67" i="4"/>
  <c r="U64" i="4"/>
  <c r="P6" i="4"/>
  <c r="J23" i="4"/>
  <c r="K51" i="4"/>
  <c r="G34" i="4"/>
  <c r="X8" i="4"/>
  <c r="I35" i="4"/>
  <c r="U69" i="4"/>
  <c r="I18" i="4"/>
  <c r="L34" i="4"/>
  <c r="W42" i="4"/>
  <c r="W63" i="4"/>
  <c r="G35" i="4"/>
  <c r="I23" i="4"/>
  <c r="G7" i="4"/>
  <c r="T48" i="4"/>
  <c r="O55" i="4"/>
  <c r="AD7" i="4"/>
  <c r="O63" i="4"/>
  <c r="U27" i="4"/>
  <c r="Z23" i="4"/>
  <c r="L7" i="4"/>
  <c r="AB37" i="4"/>
  <c r="E24" i="4"/>
  <c r="I48" i="4"/>
  <c r="F9" i="4"/>
  <c r="AD58" i="4"/>
  <c r="M52" i="4"/>
  <c r="S20" i="4"/>
  <c r="K19" i="4"/>
  <c r="U34" i="4"/>
  <c r="Z35" i="4"/>
  <c r="Z46" i="4"/>
  <c r="L44" i="4"/>
  <c r="G50" i="4"/>
  <c r="Q15" i="4"/>
  <c r="AB14" i="4"/>
  <c r="AB64" i="4"/>
  <c r="G43" i="4"/>
  <c r="K37" i="4"/>
  <c r="AC50" i="4"/>
  <c r="G57" i="4"/>
  <c r="L46" i="4"/>
  <c r="I24" i="4"/>
  <c r="AE49" i="4"/>
  <c r="AE69" i="4"/>
  <c r="X6" i="4"/>
  <c r="T42" i="4"/>
  <c r="E13" i="4"/>
  <c r="S33" i="4"/>
  <c r="R68" i="4"/>
  <c r="AC29" i="4"/>
  <c r="G42" i="4"/>
  <c r="W33" i="4"/>
  <c r="V35" i="4"/>
  <c r="U19" i="4"/>
  <c r="T38" i="4"/>
  <c r="AA6" i="4"/>
  <c r="P62" i="4"/>
  <c r="N35" i="4"/>
  <c r="AD32" i="4"/>
  <c r="S3" i="4"/>
  <c r="AA51" i="4"/>
  <c r="AD66" i="4"/>
  <c r="G31" i="4"/>
  <c r="R47" i="4"/>
  <c r="O66" i="4"/>
  <c r="L49" i="4"/>
  <c r="AA20" i="4"/>
  <c r="P31" i="4"/>
  <c r="U14" i="4"/>
  <c r="W41" i="4"/>
  <c r="AB52" i="4"/>
  <c r="AD33" i="4"/>
  <c r="X14" i="4"/>
  <c r="N43" i="4"/>
  <c r="Y14" i="4"/>
  <c r="M35" i="4"/>
  <c r="Y58" i="4"/>
  <c r="R50" i="4"/>
  <c r="Y56" i="4"/>
  <c r="M25" i="4"/>
  <c r="M33" i="4"/>
  <c r="O9" i="4"/>
  <c r="J54" i="4"/>
  <c r="S18" i="4"/>
  <c r="AE25" i="4"/>
  <c r="U2" i="4"/>
  <c r="K65" i="4"/>
  <c r="AE59" i="4"/>
  <c r="O42" i="4"/>
  <c r="K27" i="4"/>
  <c r="K20" i="4"/>
  <c r="V51" i="4"/>
  <c r="AD12" i="4"/>
  <c r="Q52" i="4"/>
  <c r="AE34" i="4"/>
  <c r="K8" i="4"/>
  <c r="F34" i="4"/>
  <c r="F41" i="4"/>
  <c r="T57" i="4"/>
  <c r="W39" i="4"/>
  <c r="V28" i="4"/>
  <c r="O13" i="4"/>
  <c r="AE36" i="4"/>
  <c r="V45" i="4"/>
  <c r="M22" i="4"/>
  <c r="W26" i="4"/>
  <c r="K53" i="4"/>
  <c r="P41" i="4"/>
  <c r="F57" i="4"/>
  <c r="M47" i="4"/>
  <c r="O43" i="4"/>
  <c r="E9" i="4"/>
  <c r="P13" i="4"/>
  <c r="T65" i="4"/>
  <c r="I27" i="4"/>
  <c r="E37" i="4"/>
  <c r="E8" i="4"/>
  <c r="F14" i="4"/>
  <c r="F28" i="4"/>
  <c r="X45" i="4"/>
  <c r="X26" i="4"/>
  <c r="AC22" i="4"/>
  <c r="M13" i="4"/>
  <c r="M38" i="4"/>
  <c r="G40" i="4"/>
  <c r="K54" i="4"/>
  <c r="M31" i="4"/>
  <c r="F69" i="4"/>
  <c r="E26" i="4"/>
  <c r="O34" i="4"/>
  <c r="F66" i="4"/>
  <c r="N39" i="4"/>
  <c r="Y36" i="4"/>
  <c r="U7" i="4"/>
  <c r="U37" i="4"/>
  <c r="R6" i="4"/>
  <c r="E69" i="4"/>
  <c r="G38" i="4"/>
  <c r="S48" i="4"/>
  <c r="N41" i="4"/>
  <c r="AC30" i="4"/>
  <c r="V64" i="4"/>
  <c r="AD59" i="4"/>
  <c r="Q45" i="4"/>
  <c r="Q4" i="4"/>
  <c r="R10" i="4"/>
  <c r="M26" i="4"/>
  <c r="F53" i="4"/>
  <c r="AD44" i="4"/>
  <c r="K58" i="4"/>
  <c r="AB59" i="4"/>
  <c r="J13" i="4"/>
  <c r="J17" i="4"/>
  <c r="O33" i="4"/>
  <c r="M41" i="4"/>
  <c r="AC68" i="4"/>
  <c r="AC59" i="4"/>
  <c r="T18" i="4"/>
  <c r="AE62" i="4"/>
  <c r="W2" i="4"/>
  <c r="T9" i="4"/>
  <c r="R54" i="4"/>
  <c r="AD15" i="4"/>
  <c r="J62" i="4"/>
  <c r="H13" i="4"/>
  <c r="AE7" i="4"/>
  <c r="AC32" i="4"/>
  <c r="AE40" i="4"/>
  <c r="U11" i="4"/>
  <c r="AD11" i="4"/>
  <c r="O65" i="4"/>
  <c r="Q25" i="4"/>
  <c r="F21" i="4"/>
  <c r="H6" i="4"/>
  <c r="AE46" i="4"/>
  <c r="K56" i="4"/>
  <c r="AA5" i="4"/>
  <c r="AB67" i="4"/>
  <c r="P66" i="4"/>
  <c r="K10" i="4"/>
  <c r="Q48" i="4"/>
  <c r="N30" i="4"/>
  <c r="N42" i="4"/>
  <c r="O28" i="4"/>
  <c r="J6" i="4"/>
  <c r="L36" i="4"/>
  <c r="U22" i="4"/>
  <c r="T44" i="4"/>
  <c r="T22" i="4"/>
  <c r="M61" i="4"/>
  <c r="K49" i="4"/>
  <c r="W16" i="4"/>
  <c r="S14" i="4"/>
  <c r="I45" i="4"/>
  <c r="V33" i="4"/>
  <c r="Y19" i="4"/>
  <c r="AA65" i="4"/>
  <c r="M9" i="4"/>
  <c r="AC9" i="4"/>
  <c r="AC60" i="4"/>
  <c r="R49" i="4"/>
  <c r="AE38" i="4"/>
  <c r="T61" i="4"/>
  <c r="AD54" i="4"/>
  <c r="X36" i="4"/>
  <c r="G64" i="4"/>
  <c r="K34" i="4"/>
  <c r="H53" i="4"/>
  <c r="V31" i="4"/>
  <c r="F67" i="4"/>
  <c r="F68" i="4"/>
  <c r="E18" i="4"/>
  <c r="G62" i="4"/>
  <c r="O19" i="4"/>
  <c r="F31" i="4"/>
  <c r="U58" i="4"/>
  <c r="F56" i="4"/>
  <c r="O41" i="4"/>
  <c r="AB4" i="4"/>
  <c r="X29" i="4"/>
  <c r="K30" i="4"/>
  <c r="G29" i="4"/>
  <c r="M64" i="4"/>
  <c r="S50" i="4"/>
  <c r="AB58" i="4"/>
  <c r="X34" i="4"/>
  <c r="X63" i="4"/>
  <c r="W36" i="4"/>
  <c r="K69" i="4"/>
  <c r="AE41" i="4"/>
  <c r="I59" i="4"/>
  <c r="AE60" i="4"/>
  <c r="I57" i="4"/>
  <c r="X25" i="4"/>
  <c r="U25" i="4"/>
  <c r="P44" i="4"/>
  <c r="H18" i="4"/>
  <c r="I53" i="4"/>
  <c r="J55" i="4"/>
  <c r="V39" i="4"/>
  <c r="N63" i="4"/>
  <c r="G52" i="4"/>
  <c r="AE50" i="4"/>
  <c r="AC62" i="4"/>
  <c r="U42" i="4"/>
  <c r="H58" i="4"/>
  <c r="AE33" i="4"/>
  <c r="U9" i="4"/>
  <c r="E11" i="4"/>
  <c r="AA67" i="4"/>
  <c r="AE8" i="4"/>
  <c r="N64" i="4"/>
  <c r="M27" i="4"/>
  <c r="S54" i="4"/>
  <c r="AD60" i="4"/>
  <c r="S69" i="4"/>
  <c r="K43" i="4"/>
  <c r="N11" i="4"/>
  <c r="I30" i="4"/>
  <c r="Z62" i="4"/>
  <c r="N62" i="4"/>
  <c r="V61" i="4"/>
  <c r="AA68" i="4"/>
  <c r="AA53" i="4"/>
  <c r="AD41" i="4"/>
  <c r="N38" i="4"/>
  <c r="U30" i="4"/>
  <c r="S68" i="4"/>
  <c r="S30" i="4"/>
  <c r="W50" i="4"/>
  <c r="R28" i="4"/>
  <c r="X58" i="4"/>
  <c r="AD24" i="4"/>
  <c r="Q5" i="4"/>
  <c r="AE31" i="4"/>
  <c r="Y59" i="4"/>
  <c r="O32" i="4"/>
  <c r="N44" i="4"/>
  <c r="V32" i="4"/>
  <c r="H11" i="4"/>
  <c r="N13" i="4"/>
  <c r="G51" i="4"/>
  <c r="L53" i="4"/>
  <c r="G59" i="4"/>
  <c r="Y68" i="4"/>
  <c r="AD47" i="4"/>
  <c r="N16" i="4"/>
  <c r="W3" i="4"/>
  <c r="AB33" i="4"/>
  <c r="Q63" i="4"/>
  <c r="P35" i="4"/>
  <c r="J53" i="4"/>
  <c r="Q13" i="4"/>
  <c r="I12" i="4"/>
  <c r="AB55" i="4"/>
  <c r="R58" i="4"/>
  <c r="AB32" i="4"/>
  <c r="AE19" i="4"/>
  <c r="J51" i="4"/>
  <c r="F25" i="4"/>
  <c r="T30" i="4"/>
  <c r="R26" i="4"/>
  <c r="N61" i="4"/>
  <c r="AA69" i="4"/>
  <c r="S59" i="4"/>
  <c r="AA15" i="4"/>
  <c r="Y55" i="4"/>
  <c r="AB25" i="4"/>
  <c r="M44" i="4"/>
  <c r="H55" i="4"/>
  <c r="J9" i="4"/>
  <c r="AC27" i="4"/>
  <c r="Q66" i="4"/>
  <c r="AB39" i="4"/>
  <c r="Z37" i="4"/>
  <c r="Q51" i="4"/>
  <c r="L43" i="4"/>
  <c r="AC41" i="4"/>
  <c r="K68" i="4"/>
  <c r="K46" i="4"/>
  <c r="X28" i="4"/>
  <c r="Z49" i="4"/>
  <c r="H29" i="4"/>
  <c r="AB53" i="4"/>
  <c r="AE2" i="4"/>
  <c r="Y65" i="4"/>
  <c r="Q2" i="4"/>
  <c r="O40" i="4"/>
  <c r="X2" i="4"/>
  <c r="U52" i="4"/>
  <c r="M39" i="4"/>
  <c r="H2" i="4"/>
  <c r="P19" i="4"/>
  <c r="O35" i="4"/>
  <c r="L37" i="4"/>
  <c r="O44" i="4"/>
  <c r="E48" i="4"/>
  <c r="T55" i="4"/>
  <c r="R51" i="4"/>
  <c r="AD49" i="4"/>
  <c r="I44" i="4"/>
  <c r="M53" i="4"/>
  <c r="K52" i="4"/>
  <c r="M11" i="4"/>
  <c r="J45" i="4"/>
  <c r="P68" i="4"/>
  <c r="X5" i="4"/>
  <c r="AC57" i="4"/>
  <c r="Z57" i="4"/>
  <c r="AD38" i="4"/>
  <c r="AD63" i="4"/>
  <c r="U39" i="4"/>
  <c r="S64" i="4"/>
  <c r="T58" i="4"/>
  <c r="U63" i="4"/>
  <c r="Q8" i="4"/>
  <c r="G47" i="4"/>
  <c r="Z36" i="4"/>
  <c r="AE28" i="4"/>
  <c r="S65" i="4"/>
  <c r="Q39" i="4"/>
  <c r="I29" i="4"/>
  <c r="AD17" i="4"/>
  <c r="N54" i="4"/>
  <c r="O25" i="4"/>
  <c r="E42" i="4"/>
  <c r="R2" i="4"/>
  <c r="H31" i="4"/>
  <c r="AC34" i="4"/>
  <c r="AB24" i="4"/>
  <c r="L62" i="4"/>
  <c r="V36" i="4"/>
  <c r="F24" i="4"/>
  <c r="X22" i="4"/>
  <c r="M37" i="4"/>
  <c r="E2" i="4"/>
  <c r="S45" i="4"/>
  <c r="AE35" i="4"/>
  <c r="X48" i="4"/>
  <c r="AE44" i="4"/>
  <c r="Z34" i="4"/>
  <c r="P26" i="4"/>
  <c r="P21" i="4"/>
  <c r="N40" i="4"/>
  <c r="P2" i="4"/>
  <c r="AE51" i="4"/>
  <c r="F29" i="4"/>
  <c r="W31" i="4"/>
  <c r="AC23" i="4"/>
  <c r="F65" i="4"/>
  <c r="T37" i="4"/>
  <c r="E30" i="4"/>
  <c r="R45" i="4"/>
  <c r="E65" i="4"/>
  <c r="M30" i="4"/>
  <c r="Z69" i="4"/>
  <c r="X54" i="4"/>
  <c r="AB56" i="4"/>
  <c r="E32" i="4"/>
  <c r="AD22" i="4"/>
  <c r="K6" i="4"/>
  <c r="G18" i="4"/>
  <c r="Q60" i="4"/>
  <c r="T29" i="4"/>
  <c r="Q10" i="4"/>
  <c r="Y62" i="4"/>
  <c r="T21" i="4"/>
  <c r="Y46" i="4"/>
  <c r="Z56" i="4"/>
  <c r="T66" i="4"/>
  <c r="M2" i="4"/>
  <c r="AE24" i="4"/>
  <c r="G54" i="4"/>
  <c r="M40" i="4"/>
  <c r="AC11" i="4"/>
  <c r="Z44" i="4"/>
  <c r="Q24" i="4"/>
  <c r="G33" i="4"/>
  <c r="N60" i="4"/>
  <c r="T28" i="4"/>
  <c r="AE5" i="4"/>
  <c r="P51" i="4"/>
  <c r="AE17" i="4"/>
  <c r="U40" i="4"/>
  <c r="Y69" i="4"/>
  <c r="AB62" i="4"/>
  <c r="K41" i="4"/>
  <c r="AD34" i="4"/>
  <c r="O48" i="4"/>
  <c r="T36" i="4"/>
  <c r="AE47" i="4"/>
  <c r="Q6" i="4"/>
  <c r="L47" i="4"/>
  <c r="Q34" i="4"/>
  <c r="H65" i="4"/>
  <c r="B71" i="10" l="1"/>
  <c r="A72" i="10"/>
  <c r="AI47" i="5"/>
  <c r="AJ47" i="5" s="1"/>
  <c r="AI29" i="5"/>
  <c r="AJ29" i="5" s="1"/>
  <c r="AI52" i="5"/>
  <c r="AJ52" i="5" s="1"/>
  <c r="AI14" i="5"/>
  <c r="AJ14" i="5" s="1"/>
  <c r="AG6" i="4"/>
  <c r="AH6" i="4" s="1"/>
  <c r="AG49" i="4"/>
  <c r="AH49" i="4" s="1"/>
  <c r="AG23" i="4"/>
  <c r="AH23" i="4" s="1"/>
  <c r="AG28" i="4"/>
  <c r="AH28" i="4" s="1"/>
  <c r="AG38" i="4"/>
  <c r="AH38" i="4" s="1"/>
  <c r="AI68" i="5"/>
  <c r="AJ68" i="5" s="1"/>
  <c r="AI53" i="5"/>
  <c r="AJ53" i="5" s="1"/>
  <c r="AI21" i="5"/>
  <c r="AJ21" i="5" s="1"/>
  <c r="AI48" i="5"/>
  <c r="AJ48" i="5" s="1"/>
  <c r="AI9" i="5"/>
  <c r="AJ9" i="5" s="1"/>
  <c r="AI58" i="5"/>
  <c r="AJ58" i="5" s="1"/>
  <c r="AI18" i="5"/>
  <c r="AJ18" i="5" s="1"/>
  <c r="AI40" i="5"/>
  <c r="AJ40" i="5" s="1"/>
  <c r="AG36" i="4"/>
  <c r="AH36" i="4" s="1"/>
  <c r="AI69" i="5"/>
  <c r="AJ69" i="5" s="1"/>
  <c r="AG14" i="4"/>
  <c r="AH14" i="4" s="1"/>
  <c r="AI61" i="5"/>
  <c r="AJ61" i="5" s="1"/>
  <c r="AG2" i="4"/>
  <c r="AH2" i="4" s="1"/>
  <c r="AG26" i="4"/>
  <c r="AH26" i="4" s="1"/>
  <c r="AI28" i="5"/>
  <c r="AJ28" i="5" s="1"/>
  <c r="AG4" i="4"/>
  <c r="AH4" i="4" s="1"/>
  <c r="AG45" i="4"/>
  <c r="AH45" i="4" s="1"/>
  <c r="AG46" i="4"/>
  <c r="AH46" i="4" s="1"/>
  <c r="AG54" i="4"/>
  <c r="AH54" i="4" s="1"/>
  <c r="AI19" i="5"/>
  <c r="AJ19" i="5" s="1"/>
  <c r="AI43" i="5"/>
  <c r="AJ43" i="5" s="1"/>
  <c r="AI6" i="5"/>
  <c r="AJ6" i="5" s="1"/>
  <c r="AG41" i="4"/>
  <c r="AH41" i="4" s="1"/>
  <c r="AI38" i="5"/>
  <c r="AJ38" i="5" s="1"/>
  <c r="AI25" i="5"/>
  <c r="AJ25" i="5" s="1"/>
  <c r="AG22" i="4"/>
  <c r="AH22" i="4" s="1"/>
  <c r="AI36" i="5"/>
  <c r="AJ36" i="5" s="1"/>
  <c r="AI12" i="5"/>
  <c r="AJ12" i="5" s="1"/>
  <c r="AI60" i="5"/>
  <c r="AJ60" i="5" s="1"/>
  <c r="AI2" i="5"/>
  <c r="AJ2" i="5" s="1"/>
  <c r="AG69" i="4"/>
  <c r="AH69" i="4" s="1"/>
  <c r="AG62" i="4"/>
  <c r="AH62" i="4" s="1"/>
  <c r="AI55" i="5"/>
  <c r="AJ55" i="5" s="1"/>
  <c r="AG31" i="4"/>
  <c r="AH31" i="4" s="1"/>
  <c r="AG29" i="4"/>
  <c r="AH29" i="4" s="1"/>
  <c r="AG66" i="4"/>
  <c r="AH66" i="4" s="1"/>
  <c r="AG44" i="4"/>
  <c r="AH44" i="4" s="1"/>
  <c r="AG64" i="4"/>
  <c r="AH64" i="4" s="1"/>
  <c r="AG68" i="4"/>
  <c r="AH68" i="4" s="1"/>
  <c r="AG11" i="4"/>
  <c r="AH11" i="4" s="1"/>
  <c r="AI26" i="5"/>
  <c r="AJ26" i="5" s="1"/>
  <c r="AG57" i="4"/>
  <c r="AH57" i="4" s="1"/>
  <c r="AG42" i="4"/>
  <c r="AH42" i="4" s="1"/>
  <c r="AG52" i="4"/>
  <c r="AH52" i="4" s="1"/>
  <c r="AI34" i="5"/>
  <c r="AJ34" i="5" s="1"/>
  <c r="AI57" i="5"/>
  <c r="AJ57" i="5" s="1"/>
  <c r="AI54" i="5"/>
  <c r="AJ54" i="5" s="1"/>
  <c r="AG43" i="4"/>
  <c r="AH43" i="4" s="1"/>
  <c r="AI46" i="5"/>
  <c r="AJ46" i="5" s="1"/>
  <c r="AI24" i="5"/>
  <c r="AJ24" i="5" s="1"/>
  <c r="AG65" i="4"/>
  <c r="AH65" i="4" s="1"/>
  <c r="AG39" i="4"/>
  <c r="AH39" i="4" s="1"/>
  <c r="AG17" i="4"/>
  <c r="AH17" i="4" s="1"/>
  <c r="AI31" i="5"/>
  <c r="AJ31" i="5" s="1"/>
  <c r="AG24" i="4"/>
  <c r="AH24" i="4" s="1"/>
  <c r="AG21" i="4"/>
  <c r="AH21" i="4" s="1"/>
  <c r="AI62" i="5"/>
  <c r="AJ62" i="5" s="1"/>
  <c r="AG7" i="4"/>
  <c r="AH7" i="4" s="1"/>
  <c r="AI39" i="5"/>
  <c r="AJ39" i="5" s="1"/>
  <c r="AI35" i="5"/>
  <c r="AJ35" i="5" s="1"/>
  <c r="AI3" i="5"/>
  <c r="AJ3" i="5" s="1"/>
  <c r="AG48" i="4"/>
  <c r="AH48" i="4" s="1"/>
  <c r="AI56" i="5"/>
  <c r="AJ56" i="5" s="1"/>
  <c r="AI7" i="5"/>
  <c r="AJ7" i="5" s="1"/>
  <c r="AG67" i="4"/>
  <c r="AH67" i="4" s="1"/>
  <c r="AG18" i="4"/>
  <c r="AH18" i="4" s="1"/>
  <c r="AI8" i="5"/>
  <c r="AJ8" i="5" s="1"/>
  <c r="AG35" i="4"/>
  <c r="AH35" i="4" s="1"/>
  <c r="AG15" i="4"/>
  <c r="AH15" i="4" s="1"/>
  <c r="AI41" i="5"/>
  <c r="AJ41" i="5" s="1"/>
  <c r="AG13" i="4"/>
  <c r="AH13" i="4" s="1"/>
  <c r="AG30" i="4"/>
  <c r="AH30" i="4" s="1"/>
  <c r="AI33" i="5"/>
  <c r="AJ33" i="5" s="1"/>
  <c r="AG3" i="4"/>
  <c r="AH3" i="4" s="1"/>
  <c r="AI5" i="5"/>
  <c r="AJ5" i="5" s="1"/>
  <c r="AG63" i="4"/>
  <c r="AH63" i="4" s="1"/>
  <c r="AG34" i="4"/>
  <c r="AH34" i="4" s="1"/>
  <c r="AG12" i="4"/>
  <c r="AH12" i="4" s="1"/>
  <c r="AI51" i="5"/>
  <c r="AJ51" i="5" s="1"/>
  <c r="AI66" i="5"/>
  <c r="AJ66" i="5" s="1"/>
  <c r="AI10" i="5"/>
  <c r="AJ10" i="5" s="1"/>
  <c r="AG58" i="4"/>
  <c r="AH58" i="4" s="1"/>
  <c r="AG51" i="4"/>
  <c r="AH51" i="4" s="1"/>
  <c r="AI44" i="5"/>
  <c r="AJ44" i="5" s="1"/>
  <c r="AI59" i="5"/>
  <c r="AJ59" i="5" s="1"/>
  <c r="AG33" i="4"/>
  <c r="AH33" i="4" s="1"/>
  <c r="AI63" i="5"/>
  <c r="AJ63" i="5" s="1"/>
  <c r="AI37" i="5"/>
  <c r="AJ37" i="5" s="1"/>
  <c r="AG47" i="4"/>
  <c r="AH47" i="4" s="1"/>
  <c r="AG40" i="4"/>
  <c r="AH40" i="4" s="1"/>
  <c r="AI27" i="5"/>
  <c r="AJ27" i="5" s="1"/>
  <c r="AG53" i="4"/>
  <c r="AH53" i="4" s="1"/>
  <c r="AI23" i="5"/>
  <c r="AJ23" i="5" s="1"/>
  <c r="AG10" i="4"/>
  <c r="AH10" i="4" s="1"/>
  <c r="AG27" i="4"/>
  <c r="AH27" i="4" s="1"/>
  <c r="AI32" i="5"/>
  <c r="AJ32" i="5" s="1"/>
  <c r="AG32" i="4"/>
  <c r="AH32" i="4" s="1"/>
  <c r="AI13" i="5"/>
  <c r="AJ13" i="5" s="1"/>
  <c r="AI16" i="5"/>
  <c r="AJ16" i="5" s="1"/>
  <c r="AI42" i="5"/>
  <c r="AJ42" i="5" s="1"/>
  <c r="AG60" i="4"/>
  <c r="AH60" i="4" s="1"/>
  <c r="AG5" i="4"/>
  <c r="AH5" i="4" s="1"/>
  <c r="AG16" i="4"/>
  <c r="AH16" i="4" s="1"/>
  <c r="AG56" i="4"/>
  <c r="AH56" i="4" s="1"/>
  <c r="AG55" i="4"/>
  <c r="AH55" i="4" s="1"/>
  <c r="AI4" i="5"/>
  <c r="AJ4" i="5" s="1"/>
  <c r="AG37" i="4"/>
  <c r="AH37" i="4" s="1"/>
  <c r="AI20" i="5"/>
  <c r="AJ20" i="5" s="1"/>
  <c r="AI22" i="5"/>
  <c r="AJ22" i="5" s="1"/>
  <c r="AI64" i="5"/>
  <c r="AJ64" i="5" s="1"/>
  <c r="AG59" i="4"/>
  <c r="AH59" i="4" s="1"/>
  <c r="AG19" i="4"/>
  <c r="AH19" i="4" s="1"/>
  <c r="AG50" i="4"/>
  <c r="AH50" i="4" s="1"/>
  <c r="AI30" i="5"/>
  <c r="AJ30" i="5" s="1"/>
  <c r="AI49" i="5"/>
  <c r="AJ49" i="5" s="1"/>
  <c r="AI45" i="5"/>
  <c r="AJ45" i="5" s="1"/>
  <c r="AI50" i="5"/>
  <c r="AJ50" i="5" s="1"/>
  <c r="AI65" i="5"/>
  <c r="AJ65" i="5" s="1"/>
  <c r="AI67" i="5"/>
  <c r="AJ67" i="5" s="1"/>
  <c r="AG25" i="4"/>
  <c r="AH25" i="4" s="1"/>
  <c r="AG8" i="4"/>
  <c r="AH8" i="4" s="1"/>
  <c r="AG20" i="4"/>
  <c r="AH20" i="4" s="1"/>
  <c r="AG9" i="4"/>
  <c r="AH9" i="4" s="1"/>
  <c r="AI15" i="5"/>
  <c r="AJ15" i="5" s="1"/>
  <c r="AI17" i="5"/>
  <c r="AJ17" i="5" s="1"/>
  <c r="AI11" i="5"/>
  <c r="AJ11" i="5" s="1"/>
  <c r="AG61" i="4"/>
  <c r="AH61" i="4" s="1"/>
  <c r="B72" i="10" l="1"/>
  <c r="A73" i="10"/>
  <c r="B73" i="10" l="1"/>
  <c r="A74" i="10"/>
  <c r="A75" i="10" l="1"/>
  <c r="B74" i="10"/>
  <c r="A76" i="10" l="1"/>
  <c r="B75" i="10"/>
  <c r="B76" i="10" l="1"/>
  <c r="A77" i="10"/>
  <c r="A78" i="10" l="1"/>
  <c r="B77" i="10"/>
  <c r="B78" i="10" l="1"/>
  <c r="A79" i="10"/>
  <c r="A80" i="10" l="1"/>
  <c r="B79" i="10"/>
  <c r="A81" i="10" l="1"/>
  <c r="B80" i="10"/>
  <c r="A82" i="10" l="1"/>
  <c r="B81" i="10"/>
  <c r="A83" i="10" l="1"/>
  <c r="B82" i="10"/>
  <c r="A84" i="10" l="1"/>
  <c r="B83" i="10"/>
  <c r="A85" i="10" l="1"/>
  <c r="B84" i="10"/>
  <c r="B85" i="10" l="1"/>
  <c r="A86" i="10"/>
  <c r="B86" i="10" l="1"/>
  <c r="A87" i="10"/>
  <c r="B87" i="10" l="1"/>
  <c r="A88" i="10"/>
  <c r="B88" i="10" l="1"/>
  <c r="A89" i="10"/>
  <c r="A90" i="10" l="1"/>
  <c r="B89" i="10"/>
  <c r="B90" i="10" l="1"/>
  <c r="A91" i="10"/>
  <c r="B91" i="10" l="1"/>
  <c r="A92" i="10"/>
  <c r="A93" i="10" l="1"/>
  <c r="B92" i="10"/>
  <c r="B93" i="10" l="1"/>
  <c r="A94" i="10"/>
  <c r="B94" i="10" l="1"/>
  <c r="A95" i="10"/>
  <c r="A96" i="10" l="1"/>
  <c r="B95" i="10"/>
  <c r="B96" i="10" l="1"/>
  <c r="A97" i="10"/>
  <c r="B97" i="10" l="1"/>
  <c r="A98" i="10"/>
  <c r="B98" i="10" l="1"/>
  <c r="A99" i="10"/>
  <c r="B99" i="10" l="1"/>
  <c r="A100" i="10"/>
  <c r="A101" i="10" l="1"/>
  <c r="B100" i="10"/>
  <c r="A102" i="10" l="1"/>
  <c r="B101" i="10"/>
  <c r="A103" i="10" l="1"/>
  <c r="B102" i="10"/>
  <c r="B103" i="10" l="1"/>
  <c r="A104" i="10"/>
  <c r="A105" i="10" l="1"/>
  <c r="B104" i="10"/>
  <c r="A106" i="10" l="1"/>
  <c r="B105" i="10"/>
  <c r="A107" i="10" l="1"/>
  <c r="B106" i="10"/>
  <c r="A108" i="10" l="1"/>
  <c r="B107" i="10"/>
  <c r="A109" i="10" l="1"/>
  <c r="B108" i="10"/>
  <c r="A110" i="10" l="1"/>
  <c r="B109" i="10"/>
  <c r="A111" i="10" l="1"/>
  <c r="B110" i="10"/>
  <c r="A112" i="10" l="1"/>
  <c r="B111" i="10"/>
  <c r="A113" i="10" l="1"/>
  <c r="B112" i="10"/>
  <c r="B113" i="10" l="1"/>
  <c r="A114" i="10"/>
  <c r="B114" i="10" l="1"/>
  <c r="A115" i="10"/>
  <c r="B115" i="10" l="1"/>
  <c r="A116" i="10"/>
  <c r="B116" i="10" l="1"/>
  <c r="A117" i="10"/>
  <c r="B117" i="10" l="1"/>
  <c r="A118" i="10"/>
  <c r="B118" i="10" l="1"/>
  <c r="A119" i="10"/>
  <c r="B119" i="10" l="1"/>
  <c r="A120" i="10"/>
  <c r="B120" i="10" l="1"/>
  <c r="A121" i="10"/>
  <c r="A122" i="10" l="1"/>
  <c r="B121" i="10"/>
  <c r="A123" i="10" l="1"/>
  <c r="B122" i="10"/>
  <c r="A124" i="10" l="1"/>
  <c r="B123" i="10"/>
  <c r="A125" i="10" l="1"/>
  <c r="B124" i="10"/>
  <c r="B125" i="10" l="1"/>
  <c r="A126" i="10"/>
  <c r="B126" i="10" l="1"/>
  <c r="A127" i="10"/>
  <c r="A128" i="10" l="1"/>
  <c r="B127" i="10"/>
  <c r="B128" i="10" l="1"/>
  <c r="A129" i="10"/>
  <c r="B129" i="10" l="1"/>
  <c r="A130" i="10"/>
  <c r="B130" i="10" l="1"/>
  <c r="A131" i="10"/>
  <c r="B131" i="10" l="1"/>
  <c r="A132" i="10"/>
  <c r="B132" i="10" l="1"/>
  <c r="A133" i="10"/>
  <c r="B133" i="10" l="1"/>
  <c r="A134" i="10"/>
  <c r="A135" i="10" l="1"/>
  <c r="B134" i="10"/>
  <c r="B135" i="10" l="1"/>
  <c r="A136" i="10"/>
  <c r="A137" i="10" l="1"/>
  <c r="B136" i="10"/>
  <c r="B137" i="10" l="1"/>
  <c r="A138" i="10"/>
  <c r="B138" i="10" l="1"/>
  <c r="A139" i="10"/>
  <c r="B139" i="10" l="1"/>
  <c r="A140" i="10"/>
  <c r="A141" i="10" l="1"/>
  <c r="B140" i="10"/>
  <c r="A142" i="10" l="1"/>
  <c r="B141" i="10"/>
  <c r="B142" i="10" l="1"/>
  <c r="A143" i="10"/>
  <c r="A144" i="10" l="1"/>
  <c r="B143" i="10"/>
  <c r="A145" i="10" l="1"/>
  <c r="B144" i="10"/>
  <c r="A146" i="10" l="1"/>
  <c r="B145" i="10"/>
  <c r="A147" i="10" l="1"/>
  <c r="B146" i="10"/>
  <c r="A148" i="10" l="1"/>
  <c r="B147" i="10"/>
  <c r="A149" i="10" l="1"/>
  <c r="B148" i="10"/>
  <c r="B149" i="10" l="1"/>
  <c r="A150" i="10"/>
  <c r="B150" i="10" l="1"/>
  <c r="A151" i="10"/>
  <c r="A152" i="10" l="1"/>
  <c r="B151" i="10"/>
  <c r="A153" i="10" l="1"/>
  <c r="B152" i="10"/>
  <c r="A154" i="10" l="1"/>
  <c r="B153" i="10"/>
  <c r="B154" i="10" l="1"/>
  <c r="A155" i="10"/>
  <c r="A156" i="10" l="1"/>
  <c r="B155" i="10"/>
  <c r="A157" i="10" l="1"/>
  <c r="B156" i="10"/>
  <c r="A158" i="10" l="1"/>
  <c r="B157" i="10"/>
  <c r="B158" i="10" l="1"/>
  <c r="A159" i="10"/>
  <c r="A160" i="10" l="1"/>
  <c r="B159" i="10"/>
  <c r="B160" i="10" l="1"/>
  <c r="A161" i="10"/>
  <c r="A162" i="10" l="1"/>
  <c r="B161" i="10"/>
  <c r="A163" i="10" l="1"/>
  <c r="B162" i="10"/>
  <c r="A164" i="10" l="1"/>
  <c r="B163" i="10"/>
  <c r="A165" i="10" l="1"/>
  <c r="B164" i="10"/>
  <c r="B165" i="10" l="1"/>
  <c r="A166" i="10"/>
  <c r="A167" i="10" l="1"/>
  <c r="B166" i="10"/>
  <c r="A168" i="10" l="1"/>
  <c r="B167" i="10"/>
  <c r="A169" i="10" l="1"/>
  <c r="B168" i="10"/>
  <c r="B169" i="10" l="1"/>
  <c r="A170" i="10"/>
  <c r="A171" i="10" l="1"/>
  <c r="B170" i="10"/>
  <c r="A172" i="10" l="1"/>
  <c r="B171" i="10"/>
  <c r="A173" i="10" l="1"/>
  <c r="B172" i="10"/>
  <c r="A174" i="10" l="1"/>
  <c r="B173" i="10"/>
  <c r="B174" i="10" l="1"/>
  <c r="A175" i="10"/>
  <c r="B175" i="10" l="1"/>
  <c r="A176" i="10"/>
  <c r="B176" i="10" l="1"/>
  <c r="A177" i="10"/>
  <c r="A178" i="10" l="1"/>
  <c r="B177" i="10"/>
  <c r="A179" i="10" l="1"/>
  <c r="B178" i="10"/>
  <c r="A180" i="10" l="1"/>
  <c r="B179" i="10"/>
  <c r="A181" i="10" l="1"/>
  <c r="B180" i="10"/>
  <c r="A182" i="10" l="1"/>
  <c r="B181" i="10"/>
  <c r="A183" i="10" l="1"/>
  <c r="B182" i="10"/>
  <c r="A184" i="10" l="1"/>
  <c r="B183" i="10"/>
  <c r="A185" i="10" l="1"/>
  <c r="B184" i="10"/>
  <c r="B185" i="10" l="1"/>
  <c r="A186" i="10"/>
  <c r="A187" i="10" l="1"/>
  <c r="B186" i="10"/>
  <c r="B187" i="10" l="1"/>
  <c r="A188" i="10"/>
  <c r="B188" i="10" l="1"/>
  <c r="A189" i="10"/>
  <c r="B189" i="10" l="1"/>
  <c r="A190" i="10"/>
  <c r="B190" i="10" l="1"/>
  <c r="A191" i="10"/>
  <c r="A192" i="10" l="1"/>
  <c r="B191" i="10"/>
  <c r="A193" i="10" l="1"/>
  <c r="B192" i="10"/>
  <c r="B193" i="10" l="1"/>
  <c r="A194" i="10"/>
  <c r="B194" i="10" l="1"/>
  <c r="A195" i="10"/>
  <c r="B195" i="10" l="1"/>
  <c r="A196" i="10"/>
  <c r="A197" i="10" l="1"/>
  <c r="B196" i="10"/>
  <c r="B197" i="10" l="1"/>
  <c r="A198" i="10"/>
  <c r="B198" i="10" l="1"/>
  <c r="A199" i="10"/>
  <c r="B199" i="10" l="1"/>
  <c r="A200" i="10"/>
  <c r="B200" i="10" l="1"/>
  <c r="A201" i="10"/>
  <c r="A202" i="10" l="1"/>
  <c r="B201" i="10"/>
  <c r="B202" i="10" l="1"/>
  <c r="A203" i="10"/>
  <c r="A204" i="10" l="1"/>
  <c r="B203" i="10"/>
  <c r="B204" i="10" l="1"/>
  <c r="A205" i="10"/>
  <c r="B205" i="10" l="1"/>
  <c r="A206" i="10"/>
  <c r="A207" i="10" l="1"/>
  <c r="B206" i="10"/>
  <c r="B207" i="10" l="1"/>
  <c r="A208" i="10"/>
  <c r="A209" i="10" l="1"/>
  <c r="B208" i="10"/>
  <c r="A210" i="10" l="1"/>
  <c r="B209" i="10"/>
  <c r="B210" i="10" l="1"/>
  <c r="A211" i="10"/>
  <c r="B211" i="10" l="1"/>
  <c r="A212" i="10"/>
  <c r="B212" i="10" l="1"/>
  <c r="A213" i="10"/>
  <c r="A214" i="10" l="1"/>
  <c r="B213" i="10"/>
  <c r="A215" i="10" l="1"/>
  <c r="B214" i="10"/>
  <c r="B215" i="10" l="1"/>
  <c r="A216" i="10"/>
  <c r="A217" i="10" l="1"/>
  <c r="B216" i="10"/>
  <c r="A218" i="10" l="1"/>
  <c r="B217" i="10"/>
  <c r="A219" i="10" l="1"/>
  <c r="B218" i="10"/>
  <c r="B219" i="10" l="1"/>
  <c r="A220" i="10"/>
  <c r="A221" i="10" l="1"/>
  <c r="B220" i="10"/>
  <c r="B221" i="10" l="1"/>
  <c r="A222" i="10"/>
  <c r="A223" i="10" l="1"/>
  <c r="B222" i="10"/>
  <c r="A224" i="10" l="1"/>
  <c r="B223" i="10"/>
  <c r="B224" i="10" l="1"/>
  <c r="A225" i="10"/>
  <c r="A226" i="10" l="1"/>
  <c r="B225" i="10"/>
  <c r="B226" i="10" l="1"/>
  <c r="A227" i="10"/>
  <c r="B227" i="10" l="1"/>
  <c r="A228" i="10"/>
  <c r="A229" i="10" l="1"/>
  <c r="B228" i="10"/>
  <c r="B229" i="10" l="1"/>
  <c r="A230" i="10"/>
  <c r="A231" i="10" l="1"/>
  <c r="B230" i="10"/>
  <c r="B231" i="10" l="1"/>
  <c r="A232" i="10"/>
  <c r="B232" i="10" l="1"/>
  <c r="A233" i="10"/>
  <c r="B233" i="10" l="1"/>
  <c r="A234" i="10"/>
  <c r="A235" i="10" l="1"/>
  <c r="B234" i="10"/>
  <c r="A236" i="10" l="1"/>
  <c r="B235" i="10"/>
  <c r="A237" i="10" l="1"/>
  <c r="B236" i="10"/>
  <c r="B237" i="10" l="1"/>
  <c r="A238" i="10"/>
  <c r="B238" i="10" l="1"/>
  <c r="A239" i="10"/>
  <c r="B239" i="10" l="1"/>
  <c r="A240" i="10"/>
  <c r="B240" i="10" l="1"/>
  <c r="A241" i="10"/>
  <c r="B241" i="10" l="1"/>
  <c r="A242" i="10"/>
  <c r="B242" i="10" l="1"/>
  <c r="A243" i="10"/>
  <c r="A244" i="10" l="1"/>
  <c r="B243" i="10"/>
  <c r="B244" i="10" l="1"/>
  <c r="A245" i="10"/>
  <c r="B245" i="10" l="1"/>
  <c r="A246" i="10"/>
  <c r="B246" i="10" l="1"/>
  <c r="A247" i="10"/>
  <c r="A248" i="10" l="1"/>
  <c r="B247" i="10"/>
  <c r="B248" i="10" l="1"/>
  <c r="A249" i="10"/>
  <c r="A250" i="10" l="1"/>
  <c r="B249" i="10"/>
  <c r="B250" i="10" l="1"/>
  <c r="A251" i="10"/>
  <c r="B251" i="10" l="1"/>
  <c r="A252" i="10"/>
  <c r="A253" i="10" l="1"/>
  <c r="B252" i="10"/>
  <c r="B253" i="10" l="1"/>
  <c r="A254" i="10"/>
  <c r="B254" i="10" l="1"/>
  <c r="A255" i="10"/>
  <c r="B255" i="10" l="1"/>
  <c r="A256" i="10"/>
  <c r="B256" i="10" l="1"/>
  <c r="A257" i="10"/>
  <c r="B257" i="10" l="1"/>
  <c r="A258" i="10"/>
  <c r="A259" i="10" l="1"/>
  <c r="B258" i="10"/>
  <c r="A260" i="10" l="1"/>
  <c r="B259" i="10"/>
  <c r="A261" i="10" l="1"/>
  <c r="B260" i="10"/>
  <c r="A262" i="10" l="1"/>
  <c r="B261" i="10"/>
  <c r="B262" i="10" l="1"/>
  <c r="A263" i="10"/>
  <c r="A264" i="10" l="1"/>
  <c r="B263" i="10"/>
  <c r="A265" i="10" l="1"/>
  <c r="B264" i="10"/>
  <c r="A266" i="10" l="1"/>
  <c r="B265" i="10"/>
  <c r="A267" i="10" l="1"/>
  <c r="B266" i="10"/>
  <c r="A268" i="10" l="1"/>
  <c r="B267" i="10"/>
  <c r="B268" i="10" l="1"/>
  <c r="A269" i="10"/>
  <c r="A270" i="10" l="1"/>
  <c r="B269" i="10"/>
  <c r="B270" i="10" l="1"/>
  <c r="A271" i="10"/>
  <c r="A272" i="10" l="1"/>
  <c r="B271" i="10"/>
  <c r="B272" i="10" l="1"/>
  <c r="A273" i="10"/>
  <c r="B273" i="10" l="1"/>
  <c r="A274" i="10"/>
  <c r="A275" i="10" l="1"/>
  <c r="B274" i="10"/>
  <c r="B275" i="10" l="1"/>
  <c r="A276" i="10"/>
  <c r="B276" i="10" l="1"/>
  <c r="A277" i="10"/>
  <c r="A278" i="10" l="1"/>
  <c r="B277" i="10"/>
  <c r="A279" i="10" l="1"/>
  <c r="B278" i="10"/>
  <c r="B279" i="10" l="1"/>
  <c r="A280" i="10"/>
  <c r="B280" i="10" l="1"/>
  <c r="A281" i="10"/>
  <c r="B281" i="10" l="1"/>
  <c r="A282" i="10"/>
  <c r="A283" i="10" l="1"/>
  <c r="B282" i="10"/>
  <c r="A284" i="10" l="1"/>
  <c r="B283" i="10"/>
  <c r="A285" i="10" l="1"/>
  <c r="B284" i="10"/>
  <c r="B285" i="10" l="1"/>
  <c r="A286" i="10"/>
  <c r="A287" i="10" l="1"/>
  <c r="B286" i="10"/>
  <c r="B287" i="10" l="1"/>
  <c r="A288" i="10"/>
  <c r="B288" i="10" l="1"/>
  <c r="A289" i="10"/>
  <c r="A290" i="10" l="1"/>
  <c r="B289" i="10"/>
  <c r="A291" i="10" l="1"/>
  <c r="B290" i="10"/>
  <c r="B291" i="10" l="1"/>
  <c r="A292" i="10"/>
  <c r="B292" i="10" l="1"/>
  <c r="A293" i="10"/>
  <c r="A294" i="10" l="1"/>
  <c r="B293" i="10"/>
  <c r="A295" i="10" l="1"/>
  <c r="B294" i="10"/>
  <c r="A296" i="10" l="1"/>
  <c r="B295" i="10"/>
  <c r="B296" i="10" l="1"/>
  <c r="A297" i="10"/>
  <c r="A298" i="10" l="1"/>
  <c r="B297" i="10"/>
  <c r="B298" i="10" l="1"/>
  <c r="A299" i="10"/>
  <c r="B299" i="10" l="1"/>
  <c r="A300" i="10"/>
  <c r="B300" i="10" l="1"/>
  <c r="A301" i="10"/>
  <c r="B301" i="10" l="1"/>
  <c r="A302" i="10"/>
  <c r="A303" i="10" l="1"/>
  <c r="B302" i="10"/>
  <c r="A304" i="10" l="1"/>
  <c r="B303" i="10"/>
  <c r="B304" i="10" l="1"/>
  <c r="A305" i="10"/>
  <c r="A306" i="10" l="1"/>
  <c r="B305" i="10"/>
  <c r="B306" i="10" l="1"/>
  <c r="A307" i="10"/>
  <c r="B307" i="10" l="1"/>
  <c r="A308" i="10"/>
  <c r="B308" i="10" l="1"/>
  <c r="A309" i="10"/>
  <c r="B309" i="10" l="1"/>
  <c r="A310" i="10"/>
  <c r="B310" i="10" l="1"/>
  <c r="A311" i="10"/>
  <c r="B311" i="10" l="1"/>
  <c r="A312" i="10"/>
  <c r="A313" i="10" l="1"/>
  <c r="B312" i="10"/>
  <c r="B313" i="10" l="1"/>
  <c r="A314" i="10"/>
  <c r="A315" i="10" l="1"/>
  <c r="B314" i="10"/>
  <c r="A316" i="10" l="1"/>
  <c r="B315" i="10"/>
  <c r="A317" i="10" l="1"/>
  <c r="B316" i="10"/>
  <c r="A318" i="10" l="1"/>
  <c r="B317" i="10"/>
  <c r="A319" i="10" l="1"/>
  <c r="B318" i="10"/>
  <c r="A320" i="10" l="1"/>
  <c r="B319" i="10"/>
  <c r="B320" i="10" l="1"/>
  <c r="A321" i="10"/>
  <c r="B321" i="10" l="1"/>
  <c r="A322" i="10"/>
  <c r="A323" i="10" l="1"/>
  <c r="B322" i="10"/>
  <c r="B323" i="10" l="1"/>
  <c r="A324" i="10"/>
  <c r="B324" i="10" l="1"/>
  <c r="A325" i="10"/>
  <c r="B325" i="10" l="1"/>
  <c r="A326" i="10"/>
  <c r="A327" i="10" l="1"/>
  <c r="B326" i="10"/>
  <c r="B327" i="10" l="1"/>
  <c r="A328" i="10"/>
  <c r="B328" i="10" l="1"/>
  <c r="A329" i="10"/>
  <c r="A330" i="10" l="1"/>
  <c r="B329" i="10"/>
  <c r="B330" i="10" l="1"/>
  <c r="A331" i="10"/>
  <c r="B331" i="10" l="1"/>
  <c r="A332" i="10"/>
  <c r="A333" i="10" l="1"/>
  <c r="B332" i="10"/>
  <c r="A334" i="10" l="1"/>
  <c r="B333" i="10"/>
  <c r="A335" i="10" l="1"/>
  <c r="B334" i="10"/>
  <c r="B335" i="10" l="1"/>
  <c r="A336" i="10"/>
  <c r="A337" i="10" l="1"/>
  <c r="B336" i="10"/>
  <c r="B337" i="10" l="1"/>
  <c r="A338" i="10"/>
  <c r="A339" i="10" l="1"/>
  <c r="B338" i="10"/>
  <c r="B339" i="10" l="1"/>
  <c r="A340" i="10"/>
  <c r="A341" i="10" l="1"/>
  <c r="B340" i="10"/>
  <c r="B341" i="10" l="1"/>
  <c r="A342" i="10"/>
  <c r="B342" i="10" l="1"/>
  <c r="A343" i="10"/>
  <c r="B343" i="10" l="1"/>
  <c r="A344" i="10"/>
  <c r="A345" i="10" l="1"/>
  <c r="B344" i="10"/>
  <c r="B345" i="10" l="1"/>
  <c r="A346" i="10"/>
  <c r="B346" i="10" l="1"/>
  <c r="A347" i="10"/>
  <c r="B347" i="10" l="1"/>
  <c r="A348" i="10"/>
  <c r="B348" i="10" l="1"/>
  <c r="A349" i="10"/>
  <c r="B349" i="10" l="1"/>
  <c r="A350" i="10"/>
  <c r="A351" i="10" l="1"/>
  <c r="B350" i="10"/>
  <c r="A352" i="10" l="1"/>
  <c r="B351" i="10"/>
  <c r="A353" i="10" l="1"/>
  <c r="B352" i="10"/>
  <c r="A354" i="10" l="1"/>
  <c r="B353" i="10"/>
  <c r="B354" i="10" l="1"/>
  <c r="A355" i="10"/>
  <c r="B355" i="10" l="1"/>
  <c r="A356" i="10"/>
  <c r="B356" i="10" l="1"/>
  <c r="A357" i="10"/>
  <c r="B357" i="10" l="1"/>
  <c r="A358" i="10"/>
  <c r="A359" i="10" l="1"/>
  <c r="B358" i="10"/>
  <c r="B359" i="10" l="1"/>
  <c r="A360" i="10"/>
  <c r="B360" i="10" l="1"/>
  <c r="A361" i="10"/>
  <c r="B361" i="10" l="1"/>
  <c r="A362" i="10"/>
  <c r="B362" i="10" l="1"/>
  <c r="A363" i="10"/>
  <c r="B363" i="10" l="1"/>
  <c r="A364" i="10"/>
  <c r="A365" i="10" l="1"/>
  <c r="B364" i="10"/>
  <c r="A366" i="10" l="1"/>
  <c r="B365" i="10"/>
  <c r="A367" i="10" l="1"/>
  <c r="B366" i="10"/>
  <c r="A368" i="10" l="1"/>
  <c r="B367" i="10"/>
  <c r="B368" i="10" l="1"/>
  <c r="A369" i="10"/>
  <c r="B369" i="10" l="1"/>
  <c r="A370" i="10"/>
  <c r="A371" i="10" l="1"/>
  <c r="B370" i="10"/>
  <c r="B371" i="10" l="1"/>
  <c r="A372" i="10"/>
  <c r="A373" i="10" l="1"/>
  <c r="B372" i="10"/>
  <c r="B373" i="10" l="1"/>
  <c r="A374" i="10"/>
  <c r="B374" i="10" l="1"/>
  <c r="A375" i="10"/>
  <c r="B375" i="10" l="1"/>
  <c r="A376" i="10"/>
  <c r="A377" i="10" l="1"/>
  <c r="B376" i="10"/>
  <c r="B377" i="10" l="1"/>
  <c r="A378" i="10"/>
  <c r="B378" i="10" l="1"/>
  <c r="A379" i="10"/>
  <c r="B379" i="10" l="1"/>
  <c r="A380" i="10"/>
  <c r="B380" i="10" l="1"/>
  <c r="A381" i="10"/>
  <c r="A382" i="10" l="1"/>
  <c r="B381" i="10"/>
  <c r="A383" i="10" l="1"/>
  <c r="B382" i="10"/>
  <c r="A384" i="10" l="1"/>
  <c r="B383" i="10"/>
  <c r="B384" i="10" l="1"/>
  <c r="A385" i="10"/>
  <c r="B385" i="10" l="1"/>
  <c r="A386" i="10"/>
  <c r="A387" i="10" l="1"/>
  <c r="B386" i="10"/>
  <c r="B387" i="10" l="1"/>
  <c r="A388" i="10"/>
  <c r="B388" i="10" l="1"/>
  <c r="A389" i="10"/>
  <c r="B389" i="10" l="1"/>
  <c r="A390" i="10"/>
  <c r="A391" i="10" l="1"/>
  <c r="B390" i="10"/>
  <c r="B391" i="10" l="1"/>
  <c r="A392" i="10"/>
  <c r="A393" i="10" l="1"/>
  <c r="B392" i="10"/>
  <c r="B393" i="10" l="1"/>
  <c r="A394" i="10"/>
  <c r="A395" i="10" l="1"/>
  <c r="B394" i="10"/>
  <c r="B395" i="10" l="1"/>
  <c r="A396" i="10"/>
  <c r="A397" i="10" l="1"/>
  <c r="B396" i="10"/>
  <c r="A398" i="10" l="1"/>
  <c r="B397" i="10"/>
  <c r="A399" i="10" l="1"/>
  <c r="B398" i="10"/>
  <c r="A400" i="10" l="1"/>
  <c r="B399" i="10"/>
  <c r="A401" i="10" l="1"/>
  <c r="B400" i="10"/>
  <c r="A402" i="10" l="1"/>
  <c r="B401" i="10"/>
  <c r="B402" i="10" l="1"/>
  <c r="A403" i="10"/>
  <c r="A404" i="10" l="1"/>
  <c r="B403" i="10"/>
  <c r="B404" i="10" l="1"/>
  <c r="A405" i="10"/>
  <c r="B405" i="10" l="1"/>
  <c r="A406" i="10"/>
  <c r="A407" i="10" l="1"/>
  <c r="B406" i="10"/>
  <c r="A408" i="10" l="1"/>
  <c r="B407" i="10"/>
  <c r="B408" i="10" l="1"/>
  <c r="A409" i="10"/>
  <c r="B409" i="10" l="1"/>
  <c r="A410" i="10"/>
  <c r="A411" i="10" l="1"/>
  <c r="B410" i="10"/>
  <c r="A412" i="10" l="1"/>
  <c r="B411" i="10"/>
  <c r="A413" i="10" l="1"/>
  <c r="B412" i="10"/>
  <c r="B413" i="10" l="1"/>
  <c r="A414" i="10"/>
  <c r="A415" i="10" l="1"/>
  <c r="B414" i="10"/>
  <c r="A416" i="10" l="1"/>
  <c r="B415" i="10"/>
  <c r="A417" i="10" l="1"/>
  <c r="B416" i="10"/>
  <c r="B417" i="10" l="1"/>
  <c r="A418" i="10"/>
  <c r="B418" i="10" l="1"/>
  <c r="A419" i="10"/>
  <c r="A420" i="10" l="1"/>
  <c r="B419" i="10"/>
  <c r="A421" i="10" l="1"/>
  <c r="B420" i="10"/>
  <c r="B421" i="10" l="1"/>
  <c r="A422" i="10"/>
  <c r="A423" i="10" l="1"/>
  <c r="B422" i="10"/>
  <c r="A424" i="10" l="1"/>
  <c r="B423" i="10"/>
  <c r="B424" i="10" l="1"/>
  <c r="A425" i="10"/>
  <c r="B425" i="10" l="1"/>
  <c r="A426" i="10"/>
  <c r="B426" i="10" l="1"/>
  <c r="A427" i="10"/>
  <c r="A428" i="10" l="1"/>
  <c r="B427" i="10"/>
  <c r="B428" i="10" l="1"/>
  <c r="A429" i="10"/>
  <c r="B429" i="10" l="1"/>
  <c r="A430" i="10"/>
  <c r="A431" i="10" l="1"/>
  <c r="B430" i="10"/>
  <c r="B431" i="10" l="1"/>
  <c r="A432" i="10"/>
  <c r="B432" i="10" l="1"/>
  <c r="A433" i="10"/>
  <c r="B433" i="10" l="1"/>
  <c r="A434" i="10"/>
  <c r="B434" i="10" l="1"/>
  <c r="A435" i="10"/>
  <c r="B435" i="10" l="1"/>
  <c r="A436" i="10"/>
  <c r="B436" i="10" l="1"/>
  <c r="A437" i="10"/>
  <c r="A438" i="10" l="1"/>
  <c r="B437" i="10"/>
  <c r="A439" i="10" l="1"/>
  <c r="B438" i="10"/>
  <c r="B439" i="10" l="1"/>
  <c r="A440" i="10"/>
  <c r="B440" i="10" l="1"/>
  <c r="A441" i="10"/>
  <c r="B441" i="10" l="1"/>
  <c r="A442" i="10"/>
  <c r="A443" i="10" l="1"/>
  <c r="B442" i="10"/>
  <c r="B443" i="10" l="1"/>
  <c r="A444" i="10"/>
  <c r="B444" i="10" l="1"/>
  <c r="A445" i="10"/>
  <c r="A446" i="10" l="1"/>
  <c r="B445" i="10"/>
  <c r="A447" i="10" l="1"/>
  <c r="B446" i="10"/>
  <c r="A448" i="10" l="1"/>
  <c r="B447" i="10"/>
  <c r="A449" i="10" l="1"/>
  <c r="B448" i="10"/>
  <c r="B449" i="10" l="1"/>
  <c r="A450" i="10"/>
  <c r="B450" i="10" l="1"/>
  <c r="A451" i="10"/>
  <c r="A452" i="10" l="1"/>
  <c r="B451" i="10"/>
  <c r="B452" i="10" l="1"/>
  <c r="A453" i="10"/>
  <c r="B453" i="10" l="1"/>
  <c r="A454" i="10"/>
  <c r="A455" i="10" l="1"/>
  <c r="B454" i="10"/>
  <c r="A456" i="10" l="1"/>
  <c r="B455" i="10"/>
  <c r="A457" i="10" l="1"/>
  <c r="B456" i="10"/>
  <c r="B457" i="10" l="1"/>
  <c r="A458" i="10"/>
  <c r="A459" i="10" l="1"/>
  <c r="B458" i="10"/>
  <c r="A460" i="10" l="1"/>
  <c r="B459" i="10"/>
  <c r="A461" i="10" l="1"/>
  <c r="B460" i="10"/>
  <c r="A462" i="10" l="1"/>
  <c r="B461" i="10"/>
  <c r="A463" i="10" l="1"/>
  <c r="B462" i="10"/>
  <c r="A464" i="10" l="1"/>
  <c r="B463" i="10"/>
  <c r="B464" i="10" l="1"/>
  <c r="A465" i="10"/>
  <c r="B465" i="10" l="1"/>
  <c r="A466" i="10"/>
  <c r="B466" i="10" l="1"/>
  <c r="A467" i="10"/>
  <c r="A468" i="10" l="1"/>
  <c r="B467" i="10"/>
  <c r="A469" i="10" l="1"/>
  <c r="B468" i="10"/>
  <c r="A470" i="10" l="1"/>
  <c r="B469" i="10"/>
  <c r="A471" i="10" l="1"/>
  <c r="B470" i="10"/>
  <c r="B471" i="10" l="1"/>
  <c r="A472" i="10"/>
  <c r="A473" i="10" l="1"/>
  <c r="B472" i="10"/>
  <c r="B473" i="10" l="1"/>
  <c r="A474" i="10"/>
  <c r="B474" i="10" l="1"/>
  <c r="A475" i="10"/>
  <c r="B475" i="10" l="1"/>
  <c r="A476" i="10"/>
  <c r="A477" i="10" l="1"/>
  <c r="B476" i="10"/>
  <c r="A478" i="10" l="1"/>
  <c r="B477" i="10"/>
  <c r="A479" i="10" l="1"/>
  <c r="B478" i="10"/>
  <c r="B479" i="10" l="1"/>
  <c r="A480" i="10"/>
  <c r="B480" i="10" l="1"/>
  <c r="A481" i="10"/>
  <c r="B481" i="10" l="1"/>
  <c r="A482" i="10"/>
  <c r="B482" i="10" l="1"/>
  <c r="A483" i="10"/>
  <c r="A484" i="10" l="1"/>
  <c r="B483" i="10"/>
  <c r="B484" i="10" l="1"/>
  <c r="A485" i="10"/>
  <c r="A486" i="10" l="1"/>
  <c r="B485" i="10"/>
  <c r="B486" i="10" l="1"/>
  <c r="A487" i="10"/>
  <c r="B487" i="10" l="1"/>
  <c r="A488" i="10"/>
  <c r="A489" i="10" l="1"/>
  <c r="B488" i="10"/>
  <c r="B489" i="10" l="1"/>
  <c r="A490" i="10"/>
  <c r="B490" i="10" l="1"/>
  <c r="A491" i="10"/>
  <c r="B491" i="10" l="1"/>
  <c r="A492" i="10"/>
  <c r="B492" i="10" l="1"/>
  <c r="A493" i="10"/>
  <c r="A494" i="10" l="1"/>
  <c r="B493" i="10"/>
  <c r="A495" i="10" l="1"/>
  <c r="B494" i="10"/>
  <c r="B495" i="10" l="1"/>
  <c r="A496" i="10"/>
  <c r="A497" i="10" l="1"/>
  <c r="B496" i="10"/>
  <c r="B497" i="10" l="1"/>
  <c r="A498" i="10"/>
  <c r="B498" i="10" l="1"/>
  <c r="A499" i="10"/>
  <c r="A500" i="10" l="1"/>
  <c r="B499" i="10"/>
  <c r="A501" i="10" l="1"/>
  <c r="B500" i="10"/>
  <c r="A502" i="10" l="1"/>
  <c r="B501" i="10"/>
  <c r="B502" i="10" l="1"/>
  <c r="A503" i="10"/>
  <c r="B503" i="10" l="1"/>
  <c r="A504" i="10"/>
  <c r="A505" i="10" l="1"/>
  <c r="B504" i="10"/>
  <c r="A506" i="10" l="1"/>
  <c r="B505" i="10"/>
  <c r="A507" i="10" l="1"/>
  <c r="B506" i="10"/>
  <c r="B507" i="10" l="1"/>
  <c r="A508" i="10"/>
  <c r="A509" i="10" l="1"/>
  <c r="B508" i="10"/>
  <c r="A510" i="10" l="1"/>
  <c r="B509" i="10"/>
  <c r="B510" i="10" l="1"/>
  <c r="A511" i="10"/>
  <c r="A512" i="10" l="1"/>
  <c r="B511" i="10"/>
  <c r="B512" i="10" l="1"/>
  <c r="A513" i="10"/>
  <c r="A514" i="10" l="1"/>
  <c r="B513" i="10"/>
  <c r="B514" i="10" l="1"/>
  <c r="A515" i="10"/>
  <c r="A516" i="10" l="1"/>
  <c r="B515" i="10"/>
  <c r="B516" i="10" l="1"/>
  <c r="A517" i="10"/>
  <c r="B517" i="10" l="1"/>
  <c r="A518" i="10"/>
  <c r="B518" i="10" l="1"/>
  <c r="A519" i="10"/>
  <c r="A520" i="10" l="1"/>
  <c r="B519" i="10"/>
  <c r="A521" i="10" l="1"/>
  <c r="B520" i="10"/>
  <c r="B521" i="10" l="1"/>
  <c r="A522" i="10"/>
  <c r="B522" i="10" l="1"/>
  <c r="A523" i="10"/>
  <c r="B523" i="10" l="1"/>
  <c r="A524" i="10"/>
  <c r="B524" i="10" l="1"/>
  <c r="A525" i="10"/>
  <c r="A526" i="10" l="1"/>
  <c r="B525" i="10"/>
  <c r="B526" i="10" l="1"/>
  <c r="A527" i="10"/>
  <c r="B527" i="10" l="1"/>
  <c r="A528" i="10"/>
  <c r="B528" i="10" l="1"/>
  <c r="A529" i="10"/>
  <c r="B529" i="10" l="1"/>
  <c r="A530" i="10"/>
  <c r="B530" i="10" l="1"/>
  <c r="A531" i="10"/>
  <c r="B531" i="10" l="1"/>
  <c r="A532" i="10"/>
  <c r="B532" i="10" l="1"/>
  <c r="A533" i="10"/>
  <c r="B533" i="10" l="1"/>
  <c r="A534" i="10"/>
  <c r="B534" i="10" l="1"/>
  <c r="A535" i="10"/>
  <c r="B535" i="10" l="1"/>
  <c r="A536" i="10"/>
  <c r="B536" i="10" l="1"/>
  <c r="A537" i="10"/>
  <c r="A538" i="10" l="1"/>
  <c r="B537" i="10"/>
  <c r="A539" i="10" l="1"/>
  <c r="B538" i="10"/>
  <c r="B539" i="10" l="1"/>
  <c r="A540" i="10"/>
  <c r="B540" i="10" l="1"/>
  <c r="A541" i="10"/>
  <c r="A542" i="10" l="1"/>
  <c r="B541" i="10"/>
  <c r="B542" i="10" l="1"/>
  <c r="A543" i="10"/>
  <c r="A544" i="10" l="1"/>
  <c r="B543" i="10"/>
  <c r="A545" i="10" l="1"/>
  <c r="B544" i="10"/>
  <c r="A546" i="10" l="1"/>
  <c r="B545" i="10"/>
  <c r="A547" i="10" l="1"/>
  <c r="B546" i="10"/>
  <c r="B547" i="10" l="1"/>
  <c r="A548" i="10"/>
  <c r="A549" i="10" l="1"/>
  <c r="B548" i="10"/>
  <c r="A550" i="10" l="1"/>
  <c r="B549" i="10"/>
  <c r="B550" i="10" l="1"/>
  <c r="A551" i="10"/>
  <c r="B551" i="10" l="1"/>
  <c r="A552" i="10"/>
  <c r="A553" i="10" l="1"/>
  <c r="B552" i="10"/>
  <c r="A554" i="10" l="1"/>
  <c r="B553" i="10"/>
  <c r="B554" i="10" l="1"/>
  <c r="A555" i="10"/>
  <c r="A556" i="10" l="1"/>
  <c r="B555" i="10"/>
  <c r="B556" i="10" l="1"/>
  <c r="A557" i="10"/>
  <c r="B557" i="10" l="1"/>
  <c r="A558" i="10"/>
  <c r="A559" i="10" l="1"/>
  <c r="B558" i="10"/>
  <c r="B559" i="10" l="1"/>
  <c r="A560" i="10"/>
  <c r="B560" i="10" l="1"/>
  <c r="A561" i="10"/>
  <c r="A562" i="10" l="1"/>
  <c r="B561" i="10"/>
  <c r="B562" i="10" l="1"/>
  <c r="A563" i="10"/>
  <c r="A564" i="10" l="1"/>
  <c r="B563" i="10"/>
  <c r="A565" i="10" l="1"/>
  <c r="B564" i="10"/>
  <c r="B565" i="10" l="1"/>
  <c r="A566" i="10"/>
  <c r="B566" i="10" l="1"/>
  <c r="A567" i="10"/>
  <c r="B567" i="10" l="1"/>
  <c r="A568" i="10"/>
  <c r="A569" i="10" l="1"/>
  <c r="B568" i="10"/>
  <c r="A570" i="10" l="1"/>
  <c r="B569" i="10"/>
  <c r="A571" i="10" l="1"/>
  <c r="B570" i="10"/>
  <c r="A572" i="10" l="1"/>
  <c r="B571" i="10"/>
  <c r="A573" i="10" l="1"/>
  <c r="B572" i="10"/>
  <c r="B573" i="10" l="1"/>
  <c r="A574" i="10"/>
  <c r="B574" i="10" l="1"/>
  <c r="A575" i="10"/>
  <c r="A576" i="10" l="1"/>
  <c r="B575" i="10"/>
  <c r="A577" i="10" l="1"/>
  <c r="B576" i="10"/>
  <c r="A578" i="10" l="1"/>
  <c r="B577" i="10"/>
  <c r="A579" i="10" l="1"/>
  <c r="B578" i="10"/>
  <c r="A580" i="10" l="1"/>
  <c r="B579" i="10"/>
  <c r="A581" i="10" l="1"/>
  <c r="B580" i="10"/>
  <c r="A582" i="10" l="1"/>
  <c r="B581" i="10"/>
  <c r="B582" i="10" l="1"/>
  <c r="A583" i="10"/>
  <c r="A584" i="10" l="1"/>
  <c r="B583" i="10"/>
  <c r="A585" i="10" l="1"/>
  <c r="B584" i="10"/>
  <c r="A586" i="10" l="1"/>
  <c r="B585" i="10"/>
  <c r="A587" i="10" l="1"/>
  <c r="B586" i="10"/>
  <c r="B587" i="10" l="1"/>
  <c r="A588" i="10"/>
  <c r="B588" i="10" l="1"/>
  <c r="A589" i="10"/>
  <c r="B589" i="10" l="1"/>
  <c r="A590" i="10"/>
  <c r="B590" i="10" l="1"/>
  <c r="A591" i="10"/>
  <c r="A592" i="10" l="1"/>
  <c r="B591" i="10"/>
  <c r="A593" i="10" l="1"/>
  <c r="B592" i="10"/>
  <c r="B593" i="10" l="1"/>
  <c r="A594" i="10"/>
  <c r="A595" i="10" l="1"/>
  <c r="B594" i="10"/>
  <c r="A596" i="10" l="1"/>
  <c r="B595" i="10"/>
  <c r="B596" i="10" l="1"/>
  <c r="A597" i="10"/>
  <c r="B597" i="10" l="1"/>
  <c r="A598" i="10"/>
  <c r="B598" i="10" l="1"/>
  <c r="A599" i="10"/>
  <c r="B599" i="10" l="1"/>
  <c r="A600" i="10"/>
  <c r="A601" i="10" l="1"/>
  <c r="B600" i="10"/>
  <c r="A602" i="10" l="1"/>
  <c r="B601" i="10"/>
  <c r="A603" i="10" l="1"/>
  <c r="B602" i="10"/>
  <c r="A604" i="10" l="1"/>
  <c r="B603" i="10"/>
  <c r="A605" i="10" l="1"/>
  <c r="B604" i="10"/>
  <c r="B605" i="10" l="1"/>
  <c r="A606" i="10"/>
  <c r="A607" i="10" l="1"/>
  <c r="B606" i="10"/>
  <c r="B607" i="10" l="1"/>
  <c r="A608" i="10"/>
  <c r="B608" i="10" l="1"/>
  <c r="A609" i="10"/>
  <c r="B609" i="10" l="1"/>
  <c r="A610" i="10"/>
  <c r="B610" i="10" l="1"/>
  <c r="A611" i="10"/>
  <c r="A612" i="10" l="1"/>
  <c r="B611" i="10"/>
  <c r="A613" i="10" l="1"/>
  <c r="B612" i="10"/>
  <c r="A614" i="10" l="1"/>
  <c r="B613" i="10"/>
  <c r="A615" i="10" l="1"/>
  <c r="B614" i="10"/>
  <c r="B615" i="10" l="1"/>
  <c r="A616" i="10"/>
  <c r="B616" i="10" l="1"/>
  <c r="A617" i="10"/>
  <c r="B617" i="10" l="1"/>
  <c r="A618" i="10"/>
  <c r="B618" i="10" l="1"/>
  <c r="A619" i="10"/>
  <c r="A620" i="10" l="1"/>
  <c r="B619" i="10"/>
  <c r="B620" i="10" l="1"/>
  <c r="A621" i="10"/>
  <c r="A622" i="10" l="1"/>
  <c r="B621" i="10"/>
  <c r="A623" i="10" l="1"/>
  <c r="B622" i="10"/>
  <c r="B623" i="10" l="1"/>
  <c r="A624" i="10"/>
  <c r="A625" i="10" l="1"/>
  <c r="B624" i="10"/>
  <c r="A626" i="10" l="1"/>
  <c r="B625" i="10"/>
  <c r="A627" i="10" l="1"/>
  <c r="B626" i="10"/>
  <c r="A628" i="10" l="1"/>
  <c r="B627" i="10"/>
  <c r="A629" i="10" l="1"/>
  <c r="B628" i="10"/>
  <c r="B629" i="10" l="1"/>
  <c r="A630" i="10"/>
  <c r="B630" i="10" l="1"/>
  <c r="A631" i="10"/>
  <c r="A632" i="10" l="1"/>
  <c r="B631" i="10"/>
  <c r="B632" i="10" l="1"/>
  <c r="A633" i="10"/>
  <c r="A634" i="10" l="1"/>
  <c r="B633" i="10"/>
  <c r="A635" i="10" l="1"/>
  <c r="B634" i="10"/>
  <c r="A636" i="10" l="1"/>
  <c r="B635" i="10"/>
  <c r="B636" i="10" l="1"/>
  <c r="A637" i="10"/>
  <c r="A638" i="10" l="1"/>
  <c r="B637" i="10"/>
  <c r="B638" i="10" l="1"/>
  <c r="A639" i="10"/>
  <c r="A640" i="10" l="1"/>
  <c r="B639" i="10"/>
  <c r="B640" i="10" l="1"/>
  <c r="A641" i="10"/>
  <c r="A642" i="10" l="1"/>
  <c r="B641" i="10"/>
  <c r="A643" i="10" l="1"/>
  <c r="B642" i="10"/>
  <c r="B643" i="10" l="1"/>
  <c r="A644" i="10"/>
  <c r="B644" i="10" l="1"/>
  <c r="A645" i="10"/>
  <c r="B645" i="10" l="1"/>
  <c r="A646" i="10"/>
  <c r="B646" i="10" l="1"/>
  <c r="A647" i="10"/>
  <c r="B647" i="10" l="1"/>
  <c r="A648" i="10"/>
  <c r="A649" i="10" l="1"/>
  <c r="B648" i="10"/>
  <c r="A650" i="10" l="1"/>
  <c r="B649" i="10"/>
  <c r="B650" i="10" l="1"/>
  <c r="A651" i="10"/>
  <c r="A652" i="10" l="1"/>
  <c r="B651" i="10"/>
  <c r="A653" i="10" l="1"/>
  <c r="B652" i="10"/>
  <c r="B653" i="10" l="1"/>
  <c r="A654" i="10"/>
  <c r="B654" i="10" l="1"/>
  <c r="A655" i="10"/>
  <c r="B655" i="10" l="1"/>
  <c r="A656" i="10"/>
  <c r="A657" i="10" l="1"/>
  <c r="B656" i="10"/>
  <c r="A658" i="10" l="1"/>
  <c r="B657" i="10"/>
  <c r="A659" i="10" l="1"/>
  <c r="B658" i="10"/>
  <c r="A660" i="10" l="1"/>
  <c r="B659" i="10"/>
  <c r="A661" i="10" l="1"/>
  <c r="B660" i="10"/>
  <c r="B661" i="10" l="1"/>
  <c r="A662" i="10"/>
  <c r="A663" i="10" l="1"/>
  <c r="B662" i="10"/>
  <c r="A664" i="10" l="1"/>
  <c r="B663" i="10"/>
  <c r="B664" i="10" l="1"/>
  <c r="A665" i="10"/>
  <c r="A666" i="10" l="1"/>
  <c r="B665" i="10"/>
  <c r="B666" i="10" l="1"/>
  <c r="A667" i="10"/>
  <c r="B667" i="10" l="1"/>
  <c r="A668" i="10"/>
  <c r="B668" i="10" l="1"/>
  <c r="A669" i="10"/>
  <c r="B669" i="10" l="1"/>
  <c r="A670" i="10"/>
  <c r="B670" i="10" l="1"/>
  <c r="A671" i="10"/>
  <c r="B671" i="10" l="1"/>
  <c r="A672" i="10"/>
  <c r="A673" i="10" l="1"/>
  <c r="B672" i="10"/>
  <c r="A674" i="10" l="1"/>
  <c r="B673" i="10"/>
  <c r="B674" i="10" l="1"/>
  <c r="A675" i="10"/>
  <c r="A676" i="10" l="1"/>
  <c r="B675" i="10"/>
  <c r="B676" i="10" l="1"/>
  <c r="A677" i="10"/>
  <c r="B677" i="10" l="1"/>
  <c r="A678" i="10"/>
  <c r="B678" i="10" l="1"/>
  <c r="A679" i="10"/>
  <c r="A680" i="10" l="1"/>
  <c r="B679" i="10"/>
  <c r="A681" i="10" l="1"/>
  <c r="B680" i="10"/>
  <c r="B681" i="10" l="1"/>
  <c r="A682" i="10"/>
  <c r="A683" i="10" l="1"/>
  <c r="B682" i="10"/>
  <c r="B683" i="10" l="1"/>
  <c r="A684" i="10"/>
  <c r="B684" i="10" l="1"/>
  <c r="A685" i="10"/>
  <c r="A686" i="10" l="1"/>
  <c r="B685" i="10"/>
  <c r="B686" i="10" l="1"/>
  <c r="A687" i="10"/>
  <c r="A688" i="10" l="1"/>
  <c r="B687" i="10"/>
  <c r="A689" i="10" l="1"/>
  <c r="B688" i="10"/>
  <c r="B689" i="10" l="1"/>
  <c r="A690" i="10"/>
  <c r="A691" i="10" l="1"/>
  <c r="B690" i="10"/>
  <c r="B691" i="10" l="1"/>
  <c r="A692" i="10"/>
  <c r="A693" i="10" l="1"/>
  <c r="B692" i="10"/>
  <c r="A694" i="10" l="1"/>
  <c r="B693" i="10"/>
  <c r="A695" i="10" l="1"/>
  <c r="B694" i="10"/>
  <c r="B695" i="10" l="1"/>
  <c r="A696" i="10"/>
  <c r="A697" i="10" l="1"/>
  <c r="B696" i="10"/>
  <c r="B697" i="10" l="1"/>
  <c r="A698" i="10"/>
  <c r="A699" i="10" l="1"/>
  <c r="B698" i="10"/>
  <c r="B699" i="10" l="1"/>
  <c r="A700" i="10"/>
  <c r="A701" i="10" l="1"/>
  <c r="B700" i="10"/>
  <c r="B701" i="10" l="1"/>
  <c r="A702" i="10"/>
  <c r="B702" i="10" l="1"/>
  <c r="A703" i="10"/>
  <c r="B703" i="10" l="1"/>
  <c r="A704" i="10"/>
  <c r="B704" i="10" l="1"/>
  <c r="A705" i="10"/>
  <c r="A706" i="10" l="1"/>
  <c r="B705" i="10"/>
  <c r="A707" i="10" l="1"/>
  <c r="B706" i="10"/>
  <c r="A708" i="10" l="1"/>
  <c r="B707" i="10"/>
  <c r="A709" i="10" l="1"/>
  <c r="B708" i="10"/>
  <c r="A710" i="10" l="1"/>
  <c r="B709" i="10"/>
  <c r="B710" i="10" l="1"/>
  <c r="A711" i="10"/>
  <c r="A712" i="10" l="1"/>
  <c r="B711" i="10"/>
  <c r="A713" i="10" l="1"/>
  <c r="B712" i="10"/>
  <c r="A714" i="10" l="1"/>
  <c r="B713" i="10"/>
  <c r="B714" i="10" l="1"/>
  <c r="A715" i="10"/>
  <c r="A716" i="10" l="1"/>
  <c r="B715" i="10"/>
  <c r="A717" i="10" l="1"/>
  <c r="B716" i="10"/>
  <c r="A718" i="10" l="1"/>
  <c r="B717" i="10"/>
  <c r="B718" i="10" l="1"/>
  <c r="A719" i="10"/>
  <c r="A720" i="10" l="1"/>
  <c r="B719" i="10"/>
  <c r="B720" i="10" l="1"/>
  <c r="A721" i="10"/>
  <c r="B721" i="10" l="1"/>
  <c r="A722" i="10"/>
  <c r="A723" i="10" l="1"/>
  <c r="B722" i="10"/>
  <c r="B723" i="10" l="1"/>
  <c r="A724" i="10"/>
  <c r="A725" i="10" l="1"/>
  <c r="B724" i="10"/>
  <c r="A726" i="10" l="1"/>
  <c r="B725" i="10"/>
  <c r="A727" i="10" l="1"/>
  <c r="B726" i="10"/>
  <c r="A728" i="10" l="1"/>
  <c r="B727" i="10"/>
  <c r="B728" i="10" l="1"/>
  <c r="A729" i="10"/>
  <c r="A730" i="10" l="1"/>
  <c r="B729" i="10"/>
  <c r="B730" i="10" l="1"/>
  <c r="A731" i="10"/>
  <c r="B731" i="10" l="1"/>
  <c r="A732" i="10"/>
  <c r="A733" i="10" l="1"/>
  <c r="B732" i="10"/>
  <c r="B733" i="10" l="1"/>
  <c r="A734" i="10"/>
  <c r="A735" i="10" l="1"/>
  <c r="B734" i="10"/>
  <c r="B735" i="10" l="1"/>
  <c r="A736" i="10"/>
  <c r="B736" i="10" l="1"/>
  <c r="A737" i="10"/>
  <c r="B737" i="10" l="1"/>
  <c r="A738" i="10"/>
  <c r="B738" i="10" l="1"/>
  <c r="A739" i="10"/>
  <c r="A740" i="10" l="1"/>
  <c r="B739" i="10"/>
  <c r="A741" i="10" l="1"/>
  <c r="B740" i="10"/>
  <c r="A742" i="10" l="1"/>
  <c r="B741" i="10"/>
  <c r="A743" i="10" l="1"/>
  <c r="B742" i="10"/>
  <c r="A744" i="10" l="1"/>
  <c r="B743" i="10"/>
  <c r="B744" i="10" l="1"/>
  <c r="A745" i="10"/>
  <c r="A746" i="10" l="1"/>
  <c r="B745" i="10"/>
  <c r="B746" i="10" l="1"/>
  <c r="A747" i="10"/>
  <c r="B747" i="10" l="1"/>
  <c r="A748" i="10"/>
  <c r="B748" i="10" l="1"/>
  <c r="A749" i="10"/>
  <c r="A750" i="10" l="1"/>
  <c r="B749" i="10"/>
  <c r="B750" i="10" l="1"/>
  <c r="A751" i="10"/>
  <c r="B751" i="10" l="1"/>
  <c r="A752" i="10"/>
  <c r="B752" i="10" l="1"/>
  <c r="A753" i="10"/>
  <c r="A754" i="10" l="1"/>
  <c r="B753" i="10"/>
  <c r="A755" i="10" l="1"/>
  <c r="B754" i="10"/>
  <c r="A756" i="10" l="1"/>
  <c r="B755" i="10"/>
  <c r="A757" i="10" l="1"/>
  <c r="B756" i="10"/>
  <c r="B757" i="10" l="1"/>
  <c r="A758" i="10"/>
  <c r="B758" i="10" l="1"/>
  <c r="A759" i="10"/>
  <c r="B759" i="10" l="1"/>
  <c r="A760" i="10"/>
  <c r="B760" i="10" l="1"/>
  <c r="A761" i="10"/>
  <c r="A762" i="10" l="1"/>
  <c r="B761" i="10"/>
  <c r="B762" i="10" l="1"/>
  <c r="A763" i="10"/>
  <c r="A764" i="10" l="1"/>
  <c r="B763" i="10"/>
  <c r="B764" i="10" l="1"/>
  <c r="A765" i="10"/>
  <c r="A766" i="10" l="1"/>
  <c r="B765" i="10"/>
  <c r="B766" i="10" l="1"/>
  <c r="A767" i="10"/>
  <c r="B767" i="10" l="1"/>
  <c r="A768" i="10"/>
  <c r="B768" i="10" l="1"/>
  <c r="A769" i="10"/>
  <c r="B769" i="10" l="1"/>
  <c r="A770" i="10"/>
  <c r="B770" i="10" l="1"/>
  <c r="A771" i="10"/>
  <c r="B771" i="10" l="1"/>
  <c r="A772" i="10"/>
  <c r="A773" i="10" l="1"/>
  <c r="B772" i="10"/>
  <c r="B773" i="10" l="1"/>
  <c r="A774" i="10"/>
  <c r="A775" i="10" l="1"/>
  <c r="B774" i="10"/>
  <c r="B775" i="10" l="1"/>
  <c r="A776" i="10"/>
  <c r="A777" i="10" l="1"/>
  <c r="B776" i="10"/>
  <c r="A778" i="10" l="1"/>
  <c r="B777" i="10"/>
  <c r="A779" i="10" l="1"/>
  <c r="B778" i="10"/>
  <c r="B779" i="10" l="1"/>
  <c r="A780" i="10"/>
  <c r="B780" i="10" l="1"/>
  <c r="A781" i="10"/>
  <c r="B781" i="10" l="1"/>
  <c r="A782" i="10"/>
  <c r="B782" i="10" l="1"/>
  <c r="A783" i="10"/>
  <c r="B783" i="10" l="1"/>
  <c r="A784" i="10"/>
  <c r="A785" i="10" l="1"/>
  <c r="B784" i="10"/>
  <c r="A786" i="10" l="1"/>
  <c r="B785" i="10"/>
  <c r="B786" i="10" l="1"/>
  <c r="A787" i="10"/>
  <c r="A788" i="10" l="1"/>
  <c r="B787" i="10"/>
  <c r="A789" i="10" l="1"/>
  <c r="B788" i="10"/>
  <c r="A790" i="10" l="1"/>
  <c r="B789" i="10"/>
  <c r="B790" i="10" l="1"/>
  <c r="A791" i="10"/>
  <c r="A792" i="10" l="1"/>
  <c r="B791" i="10"/>
  <c r="A793" i="10" l="1"/>
  <c r="B792" i="10"/>
  <c r="B793" i="10" l="1"/>
  <c r="A794" i="10"/>
  <c r="A795" i="10" l="1"/>
  <c r="B794" i="10"/>
  <c r="A796" i="10" l="1"/>
  <c r="B795" i="10"/>
  <c r="A797" i="10" l="1"/>
  <c r="B796" i="10"/>
  <c r="B797" i="10" l="1"/>
  <c r="A798" i="10"/>
  <c r="B798" i="10" l="1"/>
  <c r="A799" i="10"/>
  <c r="A800" i="10" l="1"/>
  <c r="B799" i="10"/>
  <c r="B800" i="10" l="1"/>
  <c r="A801" i="10"/>
  <c r="A802" i="10" l="1"/>
  <c r="B801" i="10"/>
  <c r="A803" i="10" l="1"/>
  <c r="B802" i="10"/>
  <c r="A804" i="10" l="1"/>
  <c r="B803" i="10"/>
  <c r="A805" i="10" l="1"/>
  <c r="B804" i="10"/>
  <c r="B805" i="10" l="1"/>
  <c r="A806" i="10"/>
  <c r="A807" i="10" l="1"/>
  <c r="B806" i="10"/>
  <c r="A808" i="10" l="1"/>
  <c r="B807" i="10"/>
  <c r="B808" i="10" l="1"/>
  <c r="A809" i="10"/>
  <c r="B809" i="10" l="1"/>
  <c r="A810" i="10"/>
  <c r="A811" i="10" l="1"/>
  <c r="B810" i="10"/>
  <c r="B811" i="10" l="1"/>
  <c r="A812" i="10"/>
  <c r="B812" i="10" l="1"/>
  <c r="A813" i="10"/>
  <c r="B813" i="10" l="1"/>
  <c r="A814" i="10"/>
  <c r="B814" i="10" l="1"/>
  <c r="A815" i="10"/>
  <c r="A816" i="10" l="1"/>
  <c r="B815" i="10"/>
  <c r="B816" i="10" l="1"/>
  <c r="A817" i="10"/>
  <c r="A818" i="10" l="1"/>
  <c r="B817" i="10"/>
  <c r="A819" i="10" l="1"/>
  <c r="B818" i="10"/>
  <c r="B819" i="10" l="1"/>
  <c r="A820" i="10"/>
  <c r="A821" i="10" l="1"/>
  <c r="B820" i="10"/>
  <c r="B821" i="10" l="1"/>
  <c r="A822" i="10"/>
  <c r="A823" i="10" l="1"/>
  <c r="B822" i="10"/>
  <c r="B823" i="10" l="1"/>
  <c r="A824" i="10"/>
  <c r="B824" i="10" l="1"/>
  <c r="A825" i="10"/>
  <c r="B825" i="10" l="1"/>
  <c r="A826" i="10"/>
  <c r="B826" i="10" l="1"/>
  <c r="A827" i="10"/>
  <c r="A828" i="10" l="1"/>
  <c r="B827" i="10"/>
  <c r="B828" i="10" l="1"/>
  <c r="A829" i="10"/>
  <c r="B829" i="10" l="1"/>
  <c r="A830" i="10"/>
  <c r="A831" i="10" l="1"/>
  <c r="B830" i="10"/>
  <c r="B831" i="10" l="1"/>
  <c r="A832" i="10"/>
  <c r="B832" i="10" l="1"/>
  <c r="A833" i="10"/>
  <c r="A834" i="10" l="1"/>
  <c r="B833" i="10"/>
  <c r="A835" i="10" l="1"/>
  <c r="B834" i="10"/>
  <c r="A836" i="10" l="1"/>
  <c r="B835" i="10"/>
  <c r="A837" i="10" l="1"/>
  <c r="B836" i="10"/>
  <c r="B837" i="10" l="1"/>
  <c r="A838" i="10"/>
  <c r="B838" i="10" l="1"/>
  <c r="A839" i="10"/>
  <c r="B839" i="10" l="1"/>
  <c r="A840" i="10"/>
  <c r="A841" i="10" l="1"/>
  <c r="B840" i="10"/>
  <c r="A842" i="10" l="1"/>
  <c r="B841" i="10"/>
  <c r="A843" i="10" l="1"/>
  <c r="B842" i="10"/>
  <c r="B843" i="10" l="1"/>
  <c r="A844" i="10"/>
  <c r="B844" i="10" l="1"/>
  <c r="A845" i="10"/>
  <c r="A846" i="10" l="1"/>
  <c r="B845" i="10"/>
  <c r="B846" i="10" l="1"/>
  <c r="A847" i="10"/>
  <c r="A848" i="10" l="1"/>
  <c r="B847" i="10"/>
  <c r="A849" i="10" l="1"/>
  <c r="B848" i="10"/>
  <c r="A850" i="10" l="1"/>
  <c r="B849" i="10"/>
  <c r="B850" i="10" l="1"/>
  <c r="A851" i="10"/>
  <c r="A852" i="10" l="1"/>
  <c r="B851" i="10"/>
  <c r="A853" i="10" l="1"/>
  <c r="B852" i="10"/>
  <c r="A854" i="10" l="1"/>
  <c r="B853" i="10"/>
  <c r="A855" i="10" l="1"/>
  <c r="B854" i="10"/>
  <c r="B855" i="10" l="1"/>
  <c r="A856" i="10"/>
  <c r="A857" i="10" l="1"/>
  <c r="B856" i="10"/>
  <c r="B857" i="10" l="1"/>
  <c r="A858" i="10"/>
  <c r="A859" i="10" l="1"/>
  <c r="B858" i="10"/>
  <c r="A860" i="10" l="1"/>
  <c r="B859" i="10"/>
  <c r="A861" i="10" l="1"/>
  <c r="B860" i="10"/>
  <c r="B861" i="10" l="1"/>
  <c r="A862" i="10"/>
  <c r="A863" i="10" l="1"/>
  <c r="B862" i="10"/>
  <c r="B863" i="10" l="1"/>
  <c r="A864" i="10"/>
  <c r="B864" i="10" l="1"/>
  <c r="A865" i="10"/>
  <c r="A866" i="10" l="1"/>
  <c r="B865" i="10"/>
  <c r="B866" i="10" l="1"/>
  <c r="A867" i="10"/>
  <c r="A868" i="10" l="1"/>
  <c r="B867" i="10"/>
  <c r="B868" i="10" l="1"/>
  <c r="A869" i="10"/>
  <c r="B869" i="10" l="1"/>
  <c r="A870" i="10"/>
  <c r="A871" i="10" l="1"/>
  <c r="B870" i="10"/>
  <c r="B871" i="10" l="1"/>
  <c r="A872" i="10"/>
  <c r="A873" i="10" l="1"/>
  <c r="B872" i="10"/>
  <c r="B873" i="10" l="1"/>
  <c r="A874" i="10"/>
  <c r="A875" i="10" l="1"/>
  <c r="B874" i="10"/>
  <c r="A876" i="10" l="1"/>
  <c r="B875" i="10"/>
  <c r="B876" i="10" l="1"/>
  <c r="A877" i="10"/>
  <c r="A878" i="10" l="1"/>
  <c r="B877" i="10"/>
  <c r="B878" i="10" l="1"/>
  <c r="A879" i="10"/>
  <c r="A880" i="10" l="1"/>
  <c r="B879" i="10"/>
  <c r="A881" i="10" l="1"/>
  <c r="B880" i="10"/>
  <c r="A882" i="10" l="1"/>
  <c r="B881" i="10"/>
  <c r="B882" i="10" l="1"/>
  <c r="A883" i="10"/>
  <c r="B883" i="10" l="1"/>
  <c r="A884" i="10"/>
  <c r="B884" i="10" l="1"/>
  <c r="A885" i="10"/>
  <c r="A886" i="10" l="1"/>
  <c r="B885" i="10"/>
  <c r="A887" i="10" l="1"/>
  <c r="B886" i="10"/>
  <c r="B887" i="10" l="1"/>
  <c r="A888" i="10"/>
  <c r="B888" i="10" l="1"/>
  <c r="A889" i="10"/>
  <c r="B889" i="10" l="1"/>
  <c r="A890" i="10"/>
  <c r="B890" i="10" l="1"/>
  <c r="A891" i="10"/>
  <c r="A892" i="10" l="1"/>
  <c r="B891" i="10"/>
  <c r="A893" i="10" l="1"/>
  <c r="B892" i="10"/>
  <c r="A894" i="10" l="1"/>
  <c r="B893" i="10"/>
  <c r="B894" i="10" l="1"/>
  <c r="A895" i="10"/>
  <c r="B895" i="10" l="1"/>
  <c r="A896" i="10"/>
  <c r="B896" i="10" l="1"/>
  <c r="A897" i="10"/>
  <c r="A898" i="10" l="1"/>
  <c r="B897" i="10"/>
  <c r="B898" i="10" l="1"/>
  <c r="A899" i="10"/>
  <c r="B899" i="10" l="1"/>
  <c r="A900" i="10"/>
  <c r="A901" i="10" l="1"/>
  <c r="B900" i="10"/>
  <c r="B901" i="10" l="1"/>
  <c r="A902" i="10"/>
  <c r="B902" i="10" l="1"/>
  <c r="A903" i="10"/>
  <c r="A904" i="10" l="1"/>
  <c r="B903" i="10"/>
  <c r="A905" i="10" l="1"/>
  <c r="B904" i="10"/>
  <c r="B905" i="10" l="1"/>
  <c r="A906" i="10"/>
  <c r="A907" i="10" l="1"/>
  <c r="B906" i="10"/>
  <c r="A908" i="10" l="1"/>
  <c r="B907" i="10"/>
  <c r="A909" i="10" l="1"/>
  <c r="B908" i="10"/>
  <c r="A910" i="10" l="1"/>
  <c r="B909" i="10"/>
  <c r="B910" i="10" l="1"/>
  <c r="A911" i="10"/>
  <c r="A912" i="10" l="1"/>
  <c r="B911" i="10"/>
  <c r="B912" i="10" l="1"/>
  <c r="A913" i="10"/>
  <c r="A914" i="10" l="1"/>
  <c r="B913" i="10"/>
  <c r="B914" i="10" l="1"/>
  <c r="A915" i="10"/>
  <c r="B915" i="10" l="1"/>
  <c r="A916" i="10"/>
  <c r="A917" i="10" l="1"/>
  <c r="B916" i="10"/>
  <c r="B917" i="10" l="1"/>
  <c r="A918" i="10"/>
  <c r="A919" i="10" l="1"/>
  <c r="B918" i="10"/>
  <c r="B919" i="10" l="1"/>
  <c r="A920" i="10"/>
  <c r="A921" i="10" l="1"/>
  <c r="B920" i="10"/>
  <c r="A922" i="10" l="1"/>
  <c r="B921" i="10"/>
  <c r="A923" i="10" l="1"/>
  <c r="B922" i="10"/>
  <c r="A924" i="10" l="1"/>
  <c r="B923" i="10"/>
  <c r="B924" i="10" l="1"/>
  <c r="A925" i="10"/>
  <c r="B925" i="10" l="1"/>
  <c r="A926" i="10"/>
  <c r="B926" i="10" l="1"/>
  <c r="A927" i="10"/>
  <c r="B927" i="10" l="1"/>
  <c r="A928" i="10"/>
  <c r="B928" i="10" l="1"/>
  <c r="A929" i="10"/>
  <c r="B929" i="10" l="1"/>
  <c r="A930" i="10"/>
  <c r="A931" i="10" l="1"/>
  <c r="B930" i="10"/>
  <c r="A932" i="10" l="1"/>
  <c r="B931" i="10"/>
  <c r="A933" i="10" l="1"/>
  <c r="B932" i="10"/>
  <c r="A934" i="10" l="1"/>
  <c r="B933" i="10"/>
  <c r="B934" i="10" l="1"/>
  <c r="A935" i="10"/>
  <c r="A936" i="10" l="1"/>
  <c r="B935" i="10"/>
  <c r="A937" i="10" l="1"/>
  <c r="B936" i="10"/>
  <c r="B937" i="10" l="1"/>
  <c r="A938" i="10"/>
  <c r="B938" i="10" l="1"/>
  <c r="A939" i="10"/>
  <c r="A940" i="10" l="1"/>
  <c r="B939" i="10"/>
  <c r="A941" i="10" l="1"/>
  <c r="B940" i="10"/>
  <c r="B941" i="10" l="1"/>
  <c r="A942" i="10"/>
  <c r="A943" i="10" l="1"/>
  <c r="B942" i="10"/>
  <c r="A944" i="10" l="1"/>
  <c r="B943" i="10"/>
  <c r="B944" i="10" l="1"/>
  <c r="A945" i="10"/>
  <c r="A946" i="10" l="1"/>
  <c r="B945" i="10"/>
  <c r="B946" i="10" l="1"/>
  <c r="A947" i="10"/>
  <c r="B947" i="10" l="1"/>
  <c r="A948" i="10"/>
  <c r="B948" i="10" l="1"/>
  <c r="A949" i="10"/>
  <c r="A950" i="10" l="1"/>
  <c r="B949" i="10"/>
  <c r="A951" i="10" l="1"/>
  <c r="B950" i="10"/>
  <c r="B951" i="10" l="1"/>
  <c r="A952" i="10"/>
  <c r="B952" i="10" l="1"/>
  <c r="A953" i="10"/>
  <c r="A954" i="10" l="1"/>
  <c r="B953" i="10"/>
  <c r="A955" i="10" l="1"/>
  <c r="B954" i="10"/>
  <c r="A956" i="10" l="1"/>
  <c r="B955" i="10"/>
  <c r="A957" i="10" l="1"/>
  <c r="B956" i="10"/>
  <c r="A958" i="10" l="1"/>
  <c r="B957" i="10"/>
  <c r="A959" i="10" l="1"/>
  <c r="B958" i="10"/>
  <c r="A960" i="10" l="1"/>
  <c r="B959" i="10"/>
  <c r="B960" i="10" l="1"/>
  <c r="A961" i="10"/>
  <c r="B961" i="10" l="1"/>
  <c r="A962" i="10"/>
  <c r="B962" i="10" l="1"/>
  <c r="A963" i="10"/>
  <c r="B963" i="10" l="1"/>
  <c r="A964" i="10"/>
  <c r="B964" i="10" l="1"/>
  <c r="A965" i="10"/>
  <c r="B965" i="10" l="1"/>
  <c r="A966" i="10"/>
  <c r="B966" i="10" l="1"/>
  <c r="A967" i="10"/>
  <c r="B967" i="10" l="1"/>
  <c r="A968" i="10"/>
  <c r="B968" i="10" l="1"/>
  <c r="A969" i="10"/>
  <c r="B969" i="10" l="1"/>
  <c r="A970" i="10"/>
  <c r="B970" i="10" l="1"/>
  <c r="A971" i="10"/>
  <c r="B971" i="10" l="1"/>
  <c r="A972" i="10"/>
  <c r="A973" i="10" l="1"/>
  <c r="B972" i="10"/>
  <c r="A974" i="10" l="1"/>
  <c r="B973" i="10"/>
  <c r="A975" i="10" l="1"/>
  <c r="B974" i="10"/>
  <c r="B975" i="10" l="1"/>
  <c r="A976" i="10"/>
  <c r="A977" i="10" l="1"/>
  <c r="B976" i="10"/>
  <c r="A978" i="10" l="1"/>
  <c r="B977" i="10"/>
  <c r="B978" i="10" l="1"/>
  <c r="A979" i="10"/>
  <c r="A980" i="10" l="1"/>
  <c r="B979" i="10"/>
  <c r="A981" i="10" l="1"/>
  <c r="B980" i="10"/>
  <c r="A982" i="10" l="1"/>
  <c r="B981" i="10"/>
  <c r="B982" i="10" l="1"/>
  <c r="A983" i="10"/>
  <c r="B983" i="10" l="1"/>
  <c r="A984" i="10"/>
  <c r="B984" i="10" l="1"/>
  <c r="A985" i="10"/>
  <c r="B985" i="10" l="1"/>
  <c r="A986" i="10"/>
  <c r="A987" i="10" l="1"/>
  <c r="B986" i="10"/>
  <c r="B987" i="10" l="1"/>
  <c r="A988" i="10"/>
  <c r="B988" i="10" l="1"/>
  <c r="A989" i="10"/>
  <c r="A990" i="10" l="1"/>
  <c r="B989" i="10"/>
  <c r="A991" i="10" l="1"/>
  <c r="B990" i="10"/>
  <c r="A992" i="10" l="1"/>
  <c r="B991" i="10"/>
  <c r="A993" i="10" l="1"/>
  <c r="B992" i="10"/>
  <c r="B993" i="10" l="1"/>
  <c r="A994" i="10"/>
  <c r="A995" i="10" l="1"/>
  <c r="B994" i="10"/>
  <c r="B995" i="10" l="1"/>
  <c r="A996" i="10"/>
  <c r="A997" i="10" l="1"/>
  <c r="B996" i="10"/>
  <c r="A998" i="10" l="1"/>
  <c r="B997" i="10"/>
  <c r="A999" i="10" l="1"/>
  <c r="B998" i="10"/>
  <c r="B999" i="10" l="1"/>
  <c r="A1000" i="10"/>
  <c r="B1000" i="10" l="1"/>
  <c r="A1001" i="10"/>
  <c r="B1001" i="10" l="1"/>
  <c r="A1002" i="10"/>
  <c r="B1002" i="10" l="1"/>
  <c r="A1003" i="10"/>
  <c r="A1004" i="10" l="1"/>
  <c r="B1003" i="10"/>
  <c r="B1004" i="10" l="1"/>
  <c r="A1005" i="10"/>
  <c r="A1006" i="10" l="1"/>
  <c r="B1005" i="10"/>
  <c r="B1006" i="10" l="1"/>
  <c r="A1007" i="10"/>
  <c r="B1007" i="10" l="1"/>
  <c r="A1008" i="10"/>
  <c r="A1009" i="10" l="1"/>
  <c r="B1008" i="10"/>
  <c r="A1010" i="10" l="1"/>
  <c r="B1009" i="10"/>
  <c r="B1010" i="10" l="1"/>
  <c r="A1011" i="10"/>
  <c r="A1012" i="10" l="1"/>
  <c r="B1011" i="10"/>
  <c r="A1013" i="10" l="1"/>
  <c r="B1012" i="10"/>
  <c r="B1013" i="10" l="1"/>
  <c r="A1014" i="10"/>
  <c r="A1015" i="10" l="1"/>
  <c r="B1014" i="10"/>
  <c r="A1016" i="10" l="1"/>
  <c r="B1015" i="10"/>
  <c r="A1017" i="10" l="1"/>
  <c r="B1016" i="10"/>
  <c r="B1017" i="10" l="1"/>
  <c r="A1018" i="10"/>
  <c r="A1019" i="10" l="1"/>
  <c r="B1018" i="10"/>
  <c r="A1020" i="10" l="1"/>
  <c r="B1019" i="10"/>
  <c r="A1021" i="10" l="1"/>
  <c r="B1020" i="10"/>
  <c r="B1021" i="10" l="1"/>
  <c r="A1022" i="10"/>
  <c r="B1022" i="10" l="1"/>
  <c r="A1023" i="10"/>
  <c r="B1023" i="10" l="1"/>
  <c r="A1024" i="10"/>
  <c r="A1025" i="10" l="1"/>
  <c r="B1024" i="10"/>
  <c r="A1026" i="10" l="1"/>
  <c r="B1025" i="10"/>
  <c r="A1027" i="10" l="1"/>
  <c r="B1026" i="10"/>
  <c r="A1028" i="10" l="1"/>
  <c r="B1027" i="10"/>
  <c r="A1029" i="10" l="1"/>
  <c r="B1028" i="10"/>
  <c r="A1030" i="10" l="1"/>
  <c r="B1029" i="10"/>
  <c r="B1030" i="10" l="1"/>
  <c r="A1031" i="10"/>
  <c r="A1032" i="10" l="1"/>
  <c r="B1031" i="10"/>
  <c r="B1032" i="10" l="1"/>
  <c r="A1033" i="10"/>
  <c r="A1034" i="10" l="1"/>
  <c r="B1033" i="10"/>
  <c r="B1034" i="10" l="1"/>
  <c r="A1035" i="10"/>
  <c r="B1035" i="10" l="1"/>
  <c r="A1036" i="10"/>
  <c r="B1036" i="10" l="1"/>
  <c r="A1037" i="10"/>
  <c r="A1038" i="10" l="1"/>
  <c r="B1037" i="10"/>
  <c r="B1038" i="10" l="1"/>
  <c r="A1039" i="10"/>
  <c r="B1039" i="10" l="1"/>
  <c r="A1040" i="10"/>
  <c r="B1040" i="10" l="1"/>
  <c r="A1041" i="10"/>
  <c r="B1041" i="10" l="1"/>
  <c r="A1042" i="10"/>
  <c r="A1043" i="10" l="1"/>
  <c r="B1042" i="10"/>
  <c r="A1044" i="10" l="1"/>
  <c r="B1043" i="10"/>
  <c r="B1044" i="10" l="1"/>
  <c r="A1045" i="10"/>
  <c r="B1045" i="10" l="1"/>
  <c r="A1046" i="10"/>
  <c r="A1047" i="10" l="1"/>
  <c r="B1046" i="10"/>
  <c r="A1048" i="10" l="1"/>
  <c r="B1047" i="10"/>
  <c r="A1049" i="10" l="1"/>
  <c r="B1048" i="10"/>
  <c r="B1049" i="10" l="1"/>
  <c r="A1050" i="10"/>
  <c r="B1050" i="10" l="1"/>
  <c r="A1051" i="10"/>
  <c r="A1052" i="10" l="1"/>
  <c r="B1051" i="10"/>
  <c r="B1052" i="10" l="1"/>
  <c r="A1053" i="10"/>
  <c r="B1053" i="10" l="1"/>
  <c r="A1054" i="10"/>
  <c r="B1054" i="10" l="1"/>
  <c r="A1055" i="10"/>
  <c r="B1055" i="10" l="1"/>
  <c r="A1056" i="10"/>
  <c r="A1057" i="10" l="1"/>
  <c r="B1056" i="10"/>
  <c r="B1057" i="10" l="1"/>
  <c r="A1058" i="10"/>
  <c r="A1059" i="10" l="1"/>
  <c r="B1058" i="10"/>
  <c r="B1059" i="10" l="1"/>
  <c r="A1060" i="10"/>
  <c r="A1061" i="10" l="1"/>
  <c r="B1060" i="10"/>
  <c r="B1061" i="10" l="1"/>
  <c r="A1062" i="10"/>
  <c r="A1063" i="10" l="1"/>
  <c r="B1062" i="10"/>
  <c r="A1064" i="10" l="1"/>
  <c r="B1063" i="10"/>
  <c r="B1064" i="10" l="1"/>
  <c r="A1065" i="10"/>
  <c r="B1065" i="10" l="1"/>
  <c r="A1066" i="10"/>
  <c r="A1067" i="10" l="1"/>
  <c r="B1066" i="10"/>
  <c r="A1068" i="10" l="1"/>
  <c r="B1067" i="10"/>
  <c r="A1069" i="10" l="1"/>
  <c r="B1068" i="10"/>
  <c r="A1070" i="10" l="1"/>
  <c r="B1069" i="10"/>
  <c r="B1070" i="10" l="1"/>
  <c r="A1071" i="10"/>
  <c r="A1072" i="10" l="1"/>
  <c r="B1071" i="10"/>
  <c r="A1073" i="10" l="1"/>
  <c r="B1072" i="10"/>
  <c r="A1074" i="10" l="1"/>
  <c r="B1073" i="10"/>
  <c r="B1074" i="10" l="1"/>
  <c r="A1075" i="10"/>
  <c r="A1076" i="10" l="1"/>
  <c r="B1075" i="10"/>
  <c r="B1076" i="10" l="1"/>
  <c r="A1077" i="10"/>
  <c r="A1078" i="10" l="1"/>
  <c r="B1077" i="10"/>
  <c r="B1078" i="10" l="1"/>
  <c r="A1079" i="10"/>
  <c r="B1079" i="10" l="1"/>
  <c r="A1080" i="10"/>
  <c r="B1080" i="10" l="1"/>
  <c r="A1081" i="10"/>
  <c r="A1082" i="10" l="1"/>
  <c r="B1081" i="10"/>
  <c r="B1082" i="10" l="1"/>
  <c r="A1083" i="10"/>
  <c r="A1084" i="10" l="1"/>
  <c r="B1083" i="10"/>
  <c r="B1084" i="10" l="1"/>
  <c r="A1085" i="10"/>
  <c r="A1086" i="10" l="1"/>
  <c r="B1085" i="10"/>
  <c r="A1087" i="10" l="1"/>
  <c r="B1086" i="10"/>
  <c r="A1088" i="10" l="1"/>
  <c r="B1087" i="10"/>
  <c r="B1088" i="10" l="1"/>
  <c r="A1089" i="10"/>
  <c r="A1090" i="10" l="1"/>
  <c r="B1089" i="10"/>
  <c r="B1090" i="10" l="1"/>
  <c r="A1091" i="10"/>
  <c r="A1092" i="10" l="1"/>
  <c r="B1091" i="10"/>
  <c r="B1092" i="10" l="1"/>
  <c r="A1093" i="10"/>
  <c r="B1093" i="10" l="1"/>
  <c r="A1094" i="10"/>
  <c r="B1094" i="10" l="1"/>
  <c r="A1095" i="10"/>
  <c r="B1095" i="10" l="1"/>
  <c r="A1096" i="10"/>
  <c r="A1097" i="10" l="1"/>
  <c r="B1096" i="10"/>
  <c r="B1097" i="10" l="1"/>
  <c r="A1098" i="10"/>
  <c r="B1098" i="10" l="1"/>
  <c r="A1099" i="10"/>
  <c r="A1100" i="10" l="1"/>
  <c r="B1099" i="10"/>
  <c r="B1100" i="10" l="1"/>
  <c r="A1101" i="10"/>
  <c r="A1102" i="10" l="1"/>
  <c r="B1101" i="10"/>
  <c r="B1102" i="10" l="1"/>
  <c r="A1103" i="10"/>
  <c r="B1103" i="10" l="1"/>
  <c r="A1104" i="10"/>
  <c r="B1104" i="10" l="1"/>
  <c r="A1105" i="10"/>
  <c r="A1106" i="10" l="1"/>
  <c r="B1105" i="10"/>
  <c r="A1107" i="10" l="1"/>
  <c r="B1106" i="10"/>
  <c r="A1108" i="10" l="1"/>
  <c r="B1107" i="10"/>
  <c r="A1109" i="10" l="1"/>
  <c r="B1108" i="10"/>
  <c r="B1109" i="10" l="1"/>
  <c r="A1110" i="10"/>
  <c r="B1110" i="10" l="1"/>
  <c r="A1111" i="10"/>
  <c r="B1111" i="10" l="1"/>
  <c r="A1112" i="10"/>
  <c r="A1113" i="10" l="1"/>
  <c r="B1112" i="10"/>
  <c r="A1114" i="10" l="1"/>
  <c r="B1113" i="10"/>
  <c r="A1115" i="10" l="1"/>
  <c r="B1114" i="10"/>
  <c r="B1115" i="10" l="1"/>
  <c r="A1116" i="10"/>
  <c r="B1116" i="10" l="1"/>
  <c r="A1117" i="10"/>
  <c r="B1117" i="10" l="1"/>
  <c r="A1118" i="10"/>
  <c r="A1119" i="10" l="1"/>
  <c r="B1118" i="10"/>
  <c r="A1120" i="10" l="1"/>
  <c r="B1119" i="10"/>
  <c r="A1121" i="10" l="1"/>
  <c r="B1120" i="10"/>
  <c r="A1122" i="10" l="1"/>
  <c r="B1121" i="10"/>
  <c r="B1122" i="10" l="1"/>
  <c r="A1123" i="10"/>
  <c r="B1123" i="10" l="1"/>
  <c r="A1124" i="10"/>
  <c r="B1124" i="10" l="1"/>
  <c r="A1125" i="10"/>
  <c r="A1126" i="10" l="1"/>
  <c r="B1125" i="10"/>
  <c r="B1126" i="10" l="1"/>
  <c r="A1127" i="10"/>
  <c r="B1127" i="10" l="1"/>
  <c r="A1128" i="10"/>
  <c r="B1128" i="10" l="1"/>
  <c r="A1129" i="10"/>
  <c r="B1129" i="10" l="1"/>
  <c r="A1130" i="10"/>
  <c r="B1130" i="10" l="1"/>
  <c r="A1131" i="10"/>
  <c r="B1131" i="10" l="1"/>
  <c r="A1132" i="10"/>
  <c r="B1132" i="10" l="1"/>
  <c r="A1133" i="10"/>
  <c r="B1133" i="10" l="1"/>
  <c r="A1134" i="10"/>
  <c r="B1134" i="10" l="1"/>
  <c r="A1135" i="10"/>
  <c r="A1136" i="10" l="1"/>
  <c r="B1135" i="10"/>
  <c r="A1137" i="10" l="1"/>
  <c r="B1136" i="10"/>
  <c r="A1138" i="10" l="1"/>
  <c r="B1137" i="10"/>
  <c r="A1139" i="10" l="1"/>
  <c r="B1138" i="10"/>
  <c r="A1140" i="10" l="1"/>
  <c r="B1139" i="10"/>
  <c r="A1141" i="10" l="1"/>
  <c r="B1140" i="10"/>
  <c r="B1141" i="10" l="1"/>
  <c r="A1142" i="10"/>
  <c r="B1142" i="10" l="1"/>
  <c r="A1143" i="10"/>
  <c r="B1143" i="10" l="1"/>
  <c r="A1144" i="10"/>
  <c r="A1145" i="10" l="1"/>
  <c r="B1144" i="10"/>
  <c r="A1146" i="10" l="1"/>
  <c r="B1145" i="10"/>
  <c r="A1147" i="10" l="1"/>
  <c r="B1146" i="10"/>
  <c r="B1147" i="10" l="1"/>
  <c r="A1148" i="10"/>
  <c r="A1149" i="10" l="1"/>
  <c r="B1148" i="10"/>
  <c r="B1149" i="10" l="1"/>
  <c r="A1150" i="10"/>
  <c r="A1151" i="10" l="1"/>
  <c r="B1150" i="10"/>
  <c r="A1152" i="10" l="1"/>
  <c r="B1151" i="10"/>
  <c r="B1152" i="10" l="1"/>
  <c r="A1153" i="10"/>
  <c r="A1154" i="10" l="1"/>
  <c r="B1153" i="10"/>
  <c r="B1154" i="10" l="1"/>
  <c r="A1155" i="10"/>
  <c r="B1155" i="10" l="1"/>
  <c r="A1156" i="10"/>
  <c r="A1157" i="10" l="1"/>
  <c r="B1156" i="10"/>
  <c r="B1157" i="10" l="1"/>
  <c r="A1158" i="10"/>
  <c r="A1159" i="10" l="1"/>
  <c r="B1158" i="10"/>
  <c r="B1159" i="10" l="1"/>
  <c r="A1160" i="10"/>
  <c r="A1161" i="10" l="1"/>
  <c r="B1160" i="10"/>
  <c r="B1161" i="10" l="1"/>
  <c r="A1162" i="10"/>
  <c r="B1162" i="10" l="1"/>
  <c r="A1163" i="10"/>
  <c r="B1163" i="10" l="1"/>
  <c r="A1164" i="10"/>
  <c r="B1164" i="10" l="1"/>
  <c r="A1165" i="10"/>
  <c r="B1165" i="10" l="1"/>
  <c r="A1166" i="10"/>
  <c r="A1167" i="10" l="1"/>
  <c r="B1166" i="10"/>
  <c r="B1167" i="10" l="1"/>
  <c r="A1168" i="10"/>
  <c r="A1169" i="10" l="1"/>
  <c r="B1168" i="10"/>
  <c r="A1170" i="10" l="1"/>
  <c r="B1169" i="10"/>
  <c r="B1170" i="10" l="1"/>
  <c r="A1171" i="10"/>
  <c r="A1172" i="10" l="1"/>
  <c r="B1171" i="10"/>
  <c r="A1173" i="10" l="1"/>
  <c r="B1172" i="10"/>
  <c r="A1174" i="10" l="1"/>
  <c r="B1173" i="10"/>
  <c r="B1174" i="10" l="1"/>
  <c r="A1175" i="10"/>
  <c r="A1176" i="10" l="1"/>
  <c r="B1175" i="10"/>
  <c r="A1177" i="10" l="1"/>
  <c r="B1176" i="10"/>
  <c r="A1178" i="10" l="1"/>
  <c r="B1177" i="10"/>
  <c r="A1179" i="10" l="1"/>
  <c r="B1178" i="10"/>
  <c r="B1179" i="10" l="1"/>
  <c r="A1180" i="10"/>
  <c r="B1180" i="10" l="1"/>
  <c r="A1181" i="10"/>
  <c r="A1182" i="10" l="1"/>
  <c r="B1181" i="10"/>
  <c r="A1183" i="10" l="1"/>
  <c r="B1182" i="10"/>
  <c r="B1183" i="10" l="1"/>
  <c r="A1184" i="10"/>
  <c r="A1185" i="10" l="1"/>
  <c r="B1184" i="10"/>
  <c r="B1185" i="10" l="1"/>
  <c r="A1186" i="10"/>
  <c r="A1187" i="10" l="1"/>
  <c r="B1186" i="10"/>
  <c r="A1188" i="10" l="1"/>
  <c r="B1187" i="10"/>
  <c r="A1189" i="10" l="1"/>
  <c r="B1188" i="10"/>
  <c r="A1190" i="10" l="1"/>
  <c r="B1189" i="10"/>
  <c r="B1190" i="10" l="1"/>
  <c r="A1191" i="10"/>
  <c r="B1191" i="10" l="1"/>
  <c r="A1192" i="10"/>
  <c r="A1193" i="10" l="1"/>
  <c r="B1192" i="10"/>
  <c r="A1194" i="10" l="1"/>
  <c r="B1193" i="10"/>
  <c r="B1194" i="10" l="1"/>
  <c r="A1195" i="10"/>
  <c r="A1196" i="10" l="1"/>
  <c r="B1195" i="10"/>
  <c r="B1196" i="10" l="1"/>
  <c r="A1197" i="10"/>
  <c r="B1197" i="10" l="1"/>
  <c r="A1198" i="10"/>
  <c r="B1198" i="10" l="1"/>
  <c r="A1199" i="10"/>
  <c r="B1199" i="10" l="1"/>
  <c r="A1200" i="10"/>
  <c r="A1201" i="10" l="1"/>
  <c r="B1200" i="10"/>
  <c r="A1202" i="10" l="1"/>
  <c r="B1201" i="10"/>
  <c r="A1203" i="10" l="1"/>
  <c r="B1202" i="10"/>
  <c r="A1204" i="10" l="1"/>
  <c r="B1203" i="10"/>
  <c r="A1205" i="10" l="1"/>
  <c r="B1204" i="10"/>
  <c r="A1206" i="10" l="1"/>
  <c r="B1205" i="10"/>
  <c r="A1207" i="10" l="1"/>
  <c r="B1206" i="10"/>
  <c r="A1208" i="10" l="1"/>
  <c r="B1207" i="10"/>
  <c r="A1209" i="10" l="1"/>
  <c r="B1208" i="10"/>
  <c r="B1209" i="10" l="1"/>
  <c r="A1210" i="10"/>
  <c r="B1210" i="10" l="1"/>
  <c r="A1211" i="10"/>
  <c r="A1212" i="10" l="1"/>
  <c r="B1211" i="10"/>
  <c r="A1213" i="10" l="1"/>
  <c r="B1212" i="10"/>
  <c r="A1214" i="10" l="1"/>
  <c r="B1213" i="10"/>
  <c r="A1215" i="10" l="1"/>
  <c r="B1214" i="10"/>
  <c r="A1216" i="10" l="1"/>
  <c r="B1215" i="10"/>
  <c r="B1216" i="10" l="1"/>
  <c r="A1217" i="10"/>
  <c r="A1218" i="10" l="1"/>
  <c r="B1217" i="10"/>
  <c r="B1218" i="10" l="1"/>
  <c r="A1219" i="10"/>
  <c r="A1220" i="10" l="1"/>
  <c r="B1219" i="10"/>
  <c r="A1221" i="10" l="1"/>
  <c r="B1220" i="10"/>
  <c r="B1221" i="10" l="1"/>
  <c r="A1222" i="10"/>
  <c r="B1222" i="10" l="1"/>
  <c r="A1223" i="10"/>
  <c r="B1223" i="10" l="1"/>
  <c r="A1224" i="10"/>
  <c r="B1224" i="10" l="1"/>
  <c r="A1225" i="10"/>
  <c r="B1225" i="10" l="1"/>
  <c r="A1226" i="10"/>
  <c r="B1226" i="10" l="1"/>
  <c r="A1227" i="10"/>
  <c r="B1227" i="10" l="1"/>
  <c r="A1228" i="10"/>
  <c r="A1229" i="10" l="1"/>
  <c r="B1228" i="10"/>
  <c r="B1229" i="10" l="1"/>
  <c r="A1230" i="10"/>
  <c r="B1230" i="10" l="1"/>
  <c r="A1231" i="10"/>
  <c r="B1231" i="10" l="1"/>
  <c r="A1232" i="10"/>
  <c r="A1233" i="10" l="1"/>
  <c r="B1232" i="10"/>
  <c r="A1234" i="10" l="1"/>
  <c r="B1233" i="10"/>
  <c r="A1235" i="10" l="1"/>
  <c r="B1234" i="10"/>
  <c r="B1235" i="10" l="1"/>
  <c r="A1236" i="10"/>
  <c r="B1236" i="10" l="1"/>
  <c r="A1237" i="10"/>
  <c r="A1238" i="10" l="1"/>
  <c r="B1237" i="10"/>
  <c r="A1239" i="10" l="1"/>
  <c r="B1238" i="10"/>
  <c r="B1239" i="10" l="1"/>
  <c r="A1240" i="10"/>
  <c r="B1240" i="10" l="1"/>
  <c r="A1241" i="10"/>
  <c r="B1241" i="10" l="1"/>
  <c r="A1242" i="10"/>
  <c r="A1243" i="10" l="1"/>
  <c r="B1242" i="10"/>
  <c r="A1244" i="10" l="1"/>
  <c r="B1243" i="10"/>
  <c r="B1244" i="10" l="1"/>
  <c r="A1245" i="10"/>
  <c r="B1245" i="10" l="1"/>
  <c r="A1246" i="10"/>
  <c r="A1247" i="10" l="1"/>
  <c r="B1246" i="10"/>
  <c r="A1248" i="10" l="1"/>
  <c r="B1247" i="10"/>
  <c r="A1249" i="10" l="1"/>
  <c r="B1248" i="10"/>
  <c r="A1250" i="10" l="1"/>
  <c r="B1249" i="10"/>
  <c r="B1250" i="10" l="1"/>
  <c r="A1251" i="10"/>
  <c r="B1251" i="10" l="1"/>
  <c r="A1252" i="10"/>
  <c r="A1253" i="10" l="1"/>
  <c r="B1252" i="10"/>
  <c r="A1254" i="10" l="1"/>
  <c r="B1253" i="10"/>
  <c r="B1254" i="10" l="1"/>
  <c r="A1255" i="10"/>
  <c r="A1256" i="10" l="1"/>
  <c r="B1255" i="10"/>
  <c r="A1257" i="10" l="1"/>
  <c r="B1256" i="10"/>
  <c r="B1257" i="10" l="1"/>
  <c r="A1258" i="10"/>
  <c r="A1259" i="10" l="1"/>
  <c r="B1258" i="10"/>
  <c r="B1259" i="10" l="1"/>
  <c r="A1260" i="10"/>
  <c r="A1261" i="10" l="1"/>
  <c r="B1260" i="10"/>
  <c r="B1261" i="10" l="1"/>
  <c r="A1262" i="10"/>
  <c r="B1262" i="10" l="1"/>
  <c r="A1263" i="10"/>
  <c r="A1264" i="10" l="1"/>
  <c r="B1263" i="10"/>
  <c r="B1264" i="10" l="1"/>
  <c r="A1265" i="10"/>
  <c r="A1266" i="10" l="1"/>
  <c r="B1265" i="10"/>
  <c r="B1266" i="10" l="1"/>
  <c r="A1267" i="10"/>
  <c r="A1268" i="10" l="1"/>
  <c r="B1267" i="10"/>
  <c r="B1268" i="10" l="1"/>
  <c r="A1269" i="10"/>
  <c r="A1270" i="10" l="1"/>
  <c r="B1269" i="10"/>
  <c r="A1271" i="10" l="1"/>
  <c r="B1270" i="10"/>
  <c r="A1272" i="10" l="1"/>
  <c r="B1271" i="10"/>
  <c r="B1272" i="10" l="1"/>
  <c r="A1273" i="10"/>
  <c r="A1274" i="10" l="1"/>
  <c r="B1273" i="10"/>
  <c r="A1275" i="10" l="1"/>
  <c r="B1274" i="10"/>
  <c r="A1276" i="10" l="1"/>
  <c r="B1275" i="10"/>
  <c r="B1276" i="10" l="1"/>
  <c r="A1277" i="10"/>
  <c r="A1278" i="10" l="1"/>
  <c r="B1277" i="10"/>
  <c r="B1278" i="10" l="1"/>
  <c r="A1279" i="10"/>
  <c r="A1280" i="10" l="1"/>
  <c r="B1279" i="10"/>
  <c r="A1281" i="10" l="1"/>
  <c r="B1280" i="10"/>
  <c r="A1282" i="10" l="1"/>
  <c r="B1281" i="10"/>
  <c r="A1283" i="10" l="1"/>
  <c r="B1282" i="10"/>
  <c r="B1283" i="10" l="1"/>
  <c r="A1284" i="10"/>
  <c r="B1284" i="10" l="1"/>
  <c r="A1285" i="10"/>
  <c r="B1285" i="10" l="1"/>
  <c r="A1286" i="10"/>
  <c r="B1286" i="10" l="1"/>
  <c r="A1287" i="10"/>
  <c r="B1287" i="10" l="1"/>
  <c r="A1288" i="10"/>
  <c r="A1289" i="10" l="1"/>
  <c r="B1288" i="10"/>
  <c r="A1290" i="10" l="1"/>
  <c r="B1289" i="10"/>
  <c r="B1290" i="10" l="1"/>
  <c r="A1291" i="10"/>
  <c r="B1291" i="10" l="1"/>
  <c r="A1292" i="10"/>
  <c r="B1292" i="10" l="1"/>
  <c r="A1293" i="10"/>
  <c r="A1294" i="10" l="1"/>
  <c r="B1293" i="10"/>
  <c r="B1294" i="10" l="1"/>
  <c r="A1295" i="10"/>
  <c r="A1296" i="10" l="1"/>
  <c r="B1295" i="10"/>
  <c r="B1296" i="10" l="1"/>
  <c r="A1297" i="10"/>
  <c r="B1297" i="10" l="1"/>
  <c r="A1298" i="10"/>
  <c r="B1298" i="10" l="1"/>
  <c r="A1299" i="10"/>
  <c r="B1299" i="10" l="1"/>
  <c r="A1300" i="10"/>
  <c r="B1300" i="10" l="1"/>
  <c r="A1301" i="10"/>
  <c r="A1302" i="10" l="1"/>
  <c r="B1301" i="10"/>
  <c r="B1302" i="10" l="1"/>
  <c r="A1303" i="10"/>
  <c r="A1304" i="10" l="1"/>
  <c r="B1303" i="10"/>
  <c r="B1304" i="10" l="1"/>
  <c r="A1305" i="10"/>
  <c r="B1305" i="10" l="1"/>
  <c r="A1306" i="10"/>
  <c r="A1307" i="10" l="1"/>
  <c r="B1306" i="10"/>
  <c r="A1308" i="10" l="1"/>
  <c r="B1307" i="10"/>
  <c r="B1308" i="10" l="1"/>
  <c r="A1309" i="10"/>
  <c r="B1309" i="10" l="1"/>
  <c r="A1310" i="10"/>
  <c r="A1311" i="10" l="1"/>
  <c r="B1310" i="10"/>
  <c r="A1312" i="10" l="1"/>
  <c r="B1311" i="10"/>
  <c r="B1312" i="10" l="1"/>
  <c r="A1313" i="10"/>
  <c r="B1313" i="10" l="1"/>
  <c r="A1314" i="10"/>
  <c r="A1315" i="10" l="1"/>
  <c r="B1314" i="10"/>
  <c r="B1315" i="10" l="1"/>
  <c r="A1316" i="10"/>
  <c r="A1317" i="10" l="1"/>
  <c r="B1316" i="10"/>
  <c r="A1318" i="10" l="1"/>
  <c r="B1317" i="10"/>
  <c r="B1318" i="10" l="1"/>
  <c r="A1319" i="10"/>
  <c r="B1319" i="10" l="1"/>
  <c r="A1320" i="10"/>
  <c r="A1321" i="10" l="1"/>
  <c r="B1320" i="10"/>
  <c r="A1322" i="10" l="1"/>
  <c r="B1321" i="10"/>
  <c r="B1322" i="10" l="1"/>
  <c r="A1323" i="10"/>
  <c r="A1324" i="10" l="1"/>
  <c r="B1323" i="10"/>
  <c r="B1324" i="10" l="1"/>
  <c r="A1325" i="10"/>
  <c r="A1326" i="10" l="1"/>
  <c r="B1325" i="10"/>
  <c r="B1326" i="10" l="1"/>
  <c r="A1327" i="10"/>
  <c r="B1327" i="10" l="1"/>
  <c r="A1328" i="10"/>
  <c r="B1328" i="10" l="1"/>
  <c r="A1329" i="10"/>
  <c r="B1329" i="10" l="1"/>
  <c r="A1330" i="10"/>
  <c r="B1330" i="10" l="1"/>
  <c r="A1331" i="10"/>
  <c r="A1332" i="10" l="1"/>
  <c r="B1331" i="10"/>
  <c r="A1333" i="10" l="1"/>
  <c r="B1332" i="10"/>
  <c r="B1333" i="10" l="1"/>
  <c r="A1334" i="10"/>
  <c r="A1335" i="10" l="1"/>
  <c r="B1334" i="10"/>
  <c r="B1335" i="10" l="1"/>
  <c r="A1336" i="10"/>
  <c r="A1337" i="10" l="1"/>
  <c r="B1336" i="10"/>
  <c r="A1338" i="10" l="1"/>
  <c r="B1337" i="10"/>
  <c r="B1338" i="10" l="1"/>
  <c r="A1339" i="10"/>
  <c r="B1339" i="10" l="1"/>
  <c r="A1340" i="10"/>
  <c r="A1341" i="10" l="1"/>
  <c r="B1340" i="10"/>
  <c r="B1341" i="10" l="1"/>
  <c r="A1342" i="10"/>
  <c r="A1343" i="10" l="1"/>
  <c r="B1342" i="10"/>
  <c r="A1344" i="10" l="1"/>
  <c r="B1343" i="10"/>
  <c r="A1345" i="10" l="1"/>
  <c r="B1344" i="10"/>
  <c r="A1346" i="10" l="1"/>
  <c r="B1345" i="10"/>
  <c r="A1347" i="10" l="1"/>
  <c r="B1346" i="10"/>
  <c r="B1347" i="10" l="1"/>
  <c r="A1348" i="10"/>
  <c r="A1349" i="10" l="1"/>
  <c r="B1348" i="10"/>
  <c r="A1350" i="10" l="1"/>
  <c r="B1349" i="10"/>
  <c r="A1351" i="10" l="1"/>
  <c r="B1350" i="10"/>
  <c r="A1352" i="10" l="1"/>
  <c r="B1351" i="10"/>
  <c r="A1353" i="10" l="1"/>
  <c r="B1352" i="10"/>
  <c r="A1354" i="10" l="1"/>
  <c r="B1353" i="10"/>
  <c r="A1355" i="10" l="1"/>
  <c r="B1354" i="10"/>
  <c r="B1355" i="10" l="1"/>
  <c r="A1356" i="10"/>
  <c r="A1357" i="10" l="1"/>
  <c r="B1356" i="10"/>
  <c r="A1358" i="10" l="1"/>
  <c r="B1357" i="10"/>
  <c r="A1359" i="10" l="1"/>
  <c r="B1358" i="10"/>
  <c r="B1359" i="10" l="1"/>
  <c r="A1360" i="10"/>
  <c r="A1361" i="10" l="1"/>
  <c r="B1360" i="10"/>
  <c r="A1362" i="10" l="1"/>
  <c r="B1361" i="10"/>
  <c r="A1363" i="10" l="1"/>
  <c r="B1362" i="10"/>
  <c r="B1363" i="10" l="1"/>
  <c r="A1364" i="10"/>
  <c r="A1365" i="10" l="1"/>
  <c r="B1364" i="10"/>
  <c r="A1366" i="10" l="1"/>
  <c r="B1365" i="10"/>
  <c r="B1366" i="10" l="1"/>
  <c r="A1367" i="10"/>
  <c r="A1368" i="10" l="1"/>
  <c r="B1367" i="10"/>
  <c r="A1369" i="10" l="1"/>
  <c r="B1368" i="10"/>
  <c r="A1370" i="10" l="1"/>
  <c r="B1369" i="10"/>
  <c r="B1370" i="10" l="1"/>
  <c r="A1371" i="10"/>
  <c r="B1371" i="10" l="1"/>
  <c r="A1372" i="10"/>
  <c r="A1373" i="10" l="1"/>
  <c r="B1372" i="10"/>
  <c r="A1374" i="10" l="1"/>
  <c r="B1373" i="10"/>
  <c r="B1374" i="10" l="1"/>
  <c r="A1375" i="10"/>
  <c r="A1376" i="10" l="1"/>
  <c r="B1375" i="10"/>
  <c r="B1376" i="10" l="1"/>
  <c r="A1377" i="10"/>
  <c r="B1377" i="10" l="1"/>
  <c r="A1378" i="10"/>
  <c r="A1379" i="10" l="1"/>
  <c r="B1378" i="10"/>
  <c r="A1380" i="10" l="1"/>
  <c r="B1379" i="10"/>
  <c r="A1381" i="10" l="1"/>
  <c r="B1380" i="10"/>
  <c r="B1381" i="10" l="1"/>
  <c r="A1382" i="10"/>
  <c r="A1383" i="10" l="1"/>
  <c r="B1382" i="10"/>
  <c r="B1383" i="10" l="1"/>
  <c r="A1384" i="10"/>
  <c r="A1385" i="10" l="1"/>
  <c r="B1384" i="10"/>
  <c r="B1385" i="10" l="1"/>
  <c r="A1386" i="10"/>
  <c r="B1386" i="10" l="1"/>
  <c r="A1387" i="10"/>
  <c r="A1388" i="10" l="1"/>
  <c r="B1387" i="10"/>
  <c r="B1388" i="10" l="1"/>
  <c r="A1389" i="10"/>
  <c r="A1390" i="10" l="1"/>
  <c r="B1389" i="10"/>
  <c r="A1391" i="10" l="1"/>
  <c r="B1390" i="10"/>
  <c r="A1392" i="10" l="1"/>
  <c r="B1391" i="10"/>
  <c r="B1392" i="10" l="1"/>
  <c r="A1393" i="10"/>
  <c r="B1393" i="10" l="1"/>
  <c r="A1394" i="10"/>
  <c r="B1394" i="10" l="1"/>
  <c r="A1395" i="10"/>
  <c r="A1396" i="10" l="1"/>
  <c r="B1395" i="10"/>
  <c r="A1397" i="10" l="1"/>
  <c r="B1396" i="10"/>
  <c r="B1397" i="10" l="1"/>
  <c r="A1398" i="10"/>
  <c r="B1398" i="10" l="1"/>
  <c r="A1399" i="10"/>
  <c r="A1400" i="10" l="1"/>
  <c r="B1399" i="10"/>
  <c r="B1400" i="10" l="1"/>
  <c r="A1401" i="10"/>
  <c r="B1401" i="10" l="1"/>
  <c r="A1402" i="10"/>
  <c r="A1403" i="10" l="1"/>
  <c r="B1402" i="10"/>
  <c r="B1403" i="10" l="1"/>
  <c r="A1404" i="10"/>
  <c r="A1405" i="10" l="1"/>
  <c r="B1404" i="10"/>
  <c r="B1405" i="10" l="1"/>
  <c r="A1406" i="10"/>
  <c r="B1406" i="10" l="1"/>
  <c r="A1407" i="10"/>
  <c r="B1407" i="10" l="1"/>
  <c r="A1408" i="10"/>
  <c r="A1409" i="10" l="1"/>
  <c r="B1408" i="10"/>
  <c r="A1410" i="10" l="1"/>
  <c r="B1409" i="10"/>
  <c r="B1410" i="10" l="1"/>
  <c r="A1411" i="10"/>
  <c r="B1411" i="10" l="1"/>
  <c r="A1412" i="10"/>
  <c r="B1412" i="10" l="1"/>
  <c r="A1413" i="10"/>
  <c r="B1413" i="10" l="1"/>
  <c r="A1414" i="10"/>
  <c r="B1414" i="10" l="1"/>
  <c r="A1415" i="10"/>
  <c r="B1415" i="10" l="1"/>
  <c r="A1416" i="10"/>
  <c r="A1417" i="10" l="1"/>
  <c r="B1416" i="10"/>
  <c r="A1418" i="10" l="1"/>
  <c r="B1417" i="10"/>
  <c r="B1418" i="10" l="1"/>
  <c r="A1419" i="10"/>
  <c r="B1419" i="10" l="1"/>
  <c r="A1420" i="10"/>
  <c r="A1421" i="10" l="1"/>
  <c r="B1420" i="10"/>
  <c r="A1422" i="10" l="1"/>
  <c r="B1421" i="10"/>
  <c r="B1422" i="10" l="1"/>
  <c r="A1423" i="10"/>
  <c r="B1423" i="10" l="1"/>
  <c r="A1424" i="10"/>
  <c r="B1424" i="10" l="1"/>
  <c r="A1425" i="10"/>
  <c r="B1425" i="10" l="1"/>
  <c r="A1426" i="10"/>
  <c r="A1427" i="10" l="1"/>
  <c r="B1426" i="10"/>
  <c r="A1428" i="10" l="1"/>
  <c r="B1427" i="10"/>
  <c r="B1428" i="10" l="1"/>
  <c r="A1429" i="10"/>
  <c r="A1430" i="10" l="1"/>
  <c r="B1429" i="10"/>
  <c r="A1431" i="10" l="1"/>
  <c r="B1430" i="10"/>
  <c r="A1432" i="10" l="1"/>
  <c r="B1431" i="10"/>
  <c r="A1433" i="10" l="1"/>
  <c r="B1432" i="10"/>
  <c r="A1434" i="10" l="1"/>
  <c r="B1433" i="10"/>
  <c r="A1435" i="10" l="1"/>
  <c r="B1434" i="10"/>
  <c r="B1435" i="10" l="1"/>
  <c r="A1436" i="10"/>
  <c r="A1437" i="10" l="1"/>
  <c r="B1436" i="10"/>
  <c r="A1438" i="10" l="1"/>
  <c r="B1437" i="10"/>
  <c r="B1438" i="10" l="1"/>
  <c r="A1439" i="10"/>
  <c r="A1440" i="10" l="1"/>
  <c r="B1439" i="10"/>
  <c r="B1440" i="10" l="1"/>
  <c r="A1441" i="10"/>
  <c r="A1442" i="10" l="1"/>
  <c r="B1441" i="10"/>
  <c r="B1442" i="10" l="1"/>
  <c r="A1443" i="10"/>
  <c r="A1444" i="10" l="1"/>
  <c r="B1443" i="10"/>
  <c r="B1444" i="10" l="1"/>
  <c r="A1445" i="10"/>
  <c r="B1445" i="10" l="1"/>
  <c r="A1446" i="10"/>
  <c r="A1447" i="10" l="1"/>
  <c r="B1446" i="10"/>
  <c r="B1447" i="10" l="1"/>
  <c r="A1448" i="10"/>
  <c r="B1448" i="10" l="1"/>
  <c r="A1449" i="10"/>
  <c r="A1450" i="10" l="1"/>
  <c r="B1449" i="10"/>
  <c r="B1450" i="10" l="1"/>
  <c r="A1451" i="10"/>
  <c r="A1452" i="10" l="1"/>
  <c r="B1451" i="10"/>
  <c r="B1452" i="10" l="1"/>
  <c r="A1453" i="10"/>
  <c r="A1454" i="10" l="1"/>
  <c r="B1453" i="10"/>
  <c r="A1455" i="10" l="1"/>
  <c r="B1454" i="10"/>
  <c r="A1456" i="10" l="1"/>
  <c r="B1455" i="10"/>
  <c r="A1457" i="10" l="1"/>
  <c r="B1456" i="10"/>
  <c r="A1458" i="10" l="1"/>
  <c r="B1457" i="10"/>
  <c r="B1458" i="10" l="1"/>
  <c r="A1459" i="10"/>
  <c r="B1459" i="10" l="1"/>
  <c r="A1460" i="10"/>
  <c r="A1461" i="10" l="1"/>
  <c r="B1460" i="10"/>
  <c r="A1462" i="10" l="1"/>
  <c r="B1461" i="10"/>
  <c r="A1463" i="10" l="1"/>
  <c r="B1462" i="10"/>
  <c r="A1464" i="10" l="1"/>
  <c r="B1463" i="10"/>
  <c r="B1464" i="10" l="1"/>
  <c r="A1465" i="10"/>
  <c r="B1465" i="10" l="1"/>
  <c r="A1466" i="10"/>
  <c r="A1467" i="10" l="1"/>
  <c r="B1466" i="10"/>
  <c r="A1468" i="10" l="1"/>
  <c r="B1467" i="10"/>
  <c r="A1469" i="10" l="1"/>
  <c r="B1468" i="10"/>
  <c r="B1469" i="10" l="1"/>
  <c r="A1470" i="10"/>
  <c r="B1470" i="10" l="1"/>
  <c r="A1471" i="10"/>
  <c r="B1471" i="10" l="1"/>
  <c r="A1472" i="10"/>
  <c r="A1473" i="10" l="1"/>
  <c r="B1472" i="10"/>
  <c r="B1473" i="10" l="1"/>
  <c r="A1474" i="10"/>
  <c r="A1475" i="10" l="1"/>
  <c r="B1474" i="10"/>
  <c r="B1475" i="10" l="1"/>
  <c r="A1476" i="10"/>
  <c r="B1476" i="10" l="1"/>
  <c r="A1477" i="10"/>
  <c r="A1478" i="10" l="1"/>
  <c r="B1477" i="10"/>
  <c r="A1479" i="10" l="1"/>
  <c r="B1478" i="10"/>
  <c r="A1480" i="10" l="1"/>
  <c r="B1479" i="10"/>
  <c r="A1481" i="10" l="1"/>
  <c r="B1480" i="10"/>
  <c r="B1481" i="10" l="1"/>
  <c r="A1482" i="10"/>
  <c r="A1483" i="10" l="1"/>
  <c r="B1482" i="10"/>
  <c r="A1484" i="10" l="1"/>
  <c r="B1483" i="10"/>
  <c r="B1484" i="10" l="1"/>
  <c r="A1485" i="10"/>
  <c r="B1485" i="10" l="1"/>
  <c r="A1486" i="10"/>
  <c r="B1486" i="10" l="1"/>
  <c r="A1487" i="10"/>
  <c r="A1488" i="10" l="1"/>
  <c r="B1487" i="10"/>
  <c r="A1489" i="10" l="1"/>
  <c r="B1488" i="10"/>
  <c r="B1489" i="10" l="1"/>
  <c r="A1490" i="10"/>
  <c r="A1491" i="10" l="1"/>
  <c r="B1490" i="10"/>
  <c r="A1492" i="10" l="1"/>
  <c r="B1491" i="10"/>
  <c r="A1493" i="10" l="1"/>
  <c r="B1492" i="10"/>
  <c r="B1493" i="10" l="1"/>
  <c r="A1494" i="10"/>
  <c r="B1494" i="10" l="1"/>
  <c r="A1495" i="10"/>
  <c r="B1495" i="10" l="1"/>
  <c r="A1496" i="10"/>
  <c r="B1496" i="10" l="1"/>
  <c r="A1497" i="10"/>
  <c r="B1497" i="10" l="1"/>
  <c r="A1498" i="10"/>
  <c r="B1498" i="10" l="1"/>
  <c r="A1499" i="10"/>
  <c r="B1499" i="10" l="1"/>
  <c r="A1500" i="10"/>
  <c r="A1501" i="10" l="1"/>
  <c r="B1500" i="10"/>
  <c r="B1501" i="10" l="1"/>
  <c r="A1502" i="10"/>
  <c r="A1503" i="10" l="1"/>
  <c r="B1502" i="10"/>
  <c r="B1503" i="10" l="1"/>
  <c r="A1504" i="10"/>
  <c r="B1504" i="10" l="1"/>
  <c r="A1505" i="10"/>
  <c r="B1505" i="10" l="1"/>
  <c r="A1506" i="10"/>
  <c r="B1506" i="10" l="1"/>
  <c r="A1507" i="10"/>
  <c r="A1508" i="10" l="1"/>
  <c r="B1507" i="10"/>
  <c r="B1508" i="10" l="1"/>
  <c r="A1509" i="10"/>
  <c r="A1510" i="10" l="1"/>
  <c r="B1509" i="10"/>
  <c r="B1510" i="10" l="1"/>
  <c r="A1511" i="10"/>
  <c r="B1511" i="10" l="1"/>
  <c r="A1512" i="10"/>
  <c r="A1513" i="10" l="1"/>
  <c r="B1512" i="10"/>
  <c r="B1513" i="10" l="1"/>
  <c r="A1514" i="10"/>
  <c r="B1514" i="10" l="1"/>
  <c r="A1515" i="10"/>
  <c r="B1515" i="10" l="1"/>
  <c r="A1516" i="10"/>
  <c r="B1516" i="10" l="1"/>
  <c r="A1517" i="10"/>
  <c r="B1517" i="10" l="1"/>
  <c r="A1518" i="10"/>
  <c r="A1519" i="10" l="1"/>
  <c r="B1518" i="10"/>
  <c r="B1519" i="10" l="1"/>
  <c r="A1520" i="10"/>
  <c r="A1521" i="10" l="1"/>
  <c r="B1520" i="10"/>
  <c r="A1522" i="10" l="1"/>
  <c r="B1521" i="10"/>
  <c r="B1522" i="10" l="1"/>
  <c r="A1523" i="10"/>
  <c r="A1524" i="10" l="1"/>
  <c r="B1523" i="10"/>
  <c r="B1524" i="10" l="1"/>
  <c r="A1525" i="10"/>
  <c r="B1525" i="10" l="1"/>
  <c r="A1526" i="10"/>
  <c r="A1527" i="10" l="1"/>
  <c r="B1526" i="10"/>
  <c r="B1527" i="10" l="1"/>
  <c r="A1528" i="10"/>
  <c r="B1528" i="10" l="1"/>
  <c r="A1529" i="10"/>
  <c r="A1530" i="10" l="1"/>
  <c r="B1529" i="10"/>
  <c r="A1531" i="10" l="1"/>
  <c r="B1530" i="10"/>
  <c r="B1531" i="10" l="1"/>
  <c r="A1532" i="10"/>
  <c r="A1533" i="10" l="1"/>
  <c r="B1532" i="10"/>
  <c r="B1533" i="10" l="1"/>
  <c r="A1534" i="10"/>
  <c r="A1535" i="10" l="1"/>
  <c r="B1534" i="10"/>
  <c r="A1536" i="10" l="1"/>
  <c r="B1535" i="10"/>
  <c r="A1537" i="10" l="1"/>
  <c r="B1536" i="10"/>
  <c r="B1537" i="10" l="1"/>
  <c r="A1538" i="10"/>
  <c r="A1539" i="10" l="1"/>
  <c r="B1538" i="10"/>
  <c r="B1539" i="10" l="1"/>
  <c r="A1540" i="10"/>
  <c r="B1540" i="10" l="1"/>
  <c r="A1541" i="10"/>
  <c r="A1542" i="10" l="1"/>
  <c r="B1541" i="10"/>
  <c r="B1542" i="10" l="1"/>
  <c r="A1543" i="10"/>
  <c r="A1544" i="10" l="1"/>
  <c r="B1543" i="10"/>
  <c r="A1545" i="10" l="1"/>
  <c r="B1544" i="10"/>
  <c r="A1546" i="10" l="1"/>
  <c r="B1545" i="10"/>
  <c r="B1546" i="10" l="1"/>
  <c r="A1547" i="10"/>
  <c r="B1547" i="10" l="1"/>
  <c r="A1548" i="10"/>
  <c r="A1549" i="10" l="1"/>
  <c r="B1548" i="10"/>
  <c r="B1549" i="10" l="1"/>
  <c r="A1550" i="10"/>
  <c r="A1551" i="10" l="1"/>
  <c r="B1550" i="10"/>
  <c r="A1552" i="10" l="1"/>
  <c r="B1551" i="10"/>
  <c r="A1553" i="10" l="1"/>
  <c r="B1552" i="10"/>
  <c r="A1554" i="10" l="1"/>
  <c r="B1553" i="10"/>
  <c r="B1554" i="10" l="1"/>
  <c r="A1555" i="10"/>
  <c r="A1556" i="10" l="1"/>
  <c r="B1555" i="10"/>
  <c r="A1557" i="10" l="1"/>
  <c r="B1556" i="10"/>
  <c r="B1557" i="10" l="1"/>
  <c r="A1558" i="10"/>
  <c r="B1558" i="10" l="1"/>
  <c r="A1559" i="10"/>
  <c r="A1560" i="10" l="1"/>
  <c r="B1559" i="10"/>
  <c r="B1560" i="10" l="1"/>
  <c r="A1561" i="10"/>
  <c r="B1561" i="10" l="1"/>
  <c r="A1562" i="10"/>
  <c r="B1562" i="10" l="1"/>
  <c r="A1563" i="10"/>
  <c r="A1564" i="10" l="1"/>
  <c r="B1563" i="10"/>
  <c r="B1564" i="10" l="1"/>
  <c r="A1565" i="10"/>
  <c r="B1565" i="10" l="1"/>
  <c r="A1566" i="10"/>
  <c r="A1567" i="10" l="1"/>
  <c r="B1566" i="10"/>
  <c r="A1568" i="10" l="1"/>
  <c r="B1567" i="10"/>
  <c r="B1568" i="10" l="1"/>
  <c r="A1569" i="10"/>
  <c r="A1570" i="10" l="1"/>
  <c r="B1569" i="10"/>
  <c r="A1571" i="10" l="1"/>
  <c r="B1570" i="10"/>
  <c r="A1572" i="10" l="1"/>
  <c r="B1571" i="10"/>
  <c r="B1572" i="10" l="1"/>
  <c r="A1573" i="10"/>
  <c r="B1573" i="10" l="1"/>
  <c r="A1574" i="10"/>
  <c r="B1574" i="10" l="1"/>
  <c r="A1575" i="10"/>
  <c r="B1575" i="10" l="1"/>
  <c r="A1576" i="10"/>
  <c r="A1577" i="10" l="1"/>
  <c r="B1576" i="10"/>
  <c r="A1578" i="10" l="1"/>
  <c r="B1577" i="10"/>
  <c r="A1579" i="10" l="1"/>
  <c r="B1578" i="10"/>
  <c r="A1580" i="10" l="1"/>
  <c r="B1579" i="10"/>
  <c r="B1580" i="10" l="1"/>
  <c r="A1581" i="10"/>
  <c r="B1581" i="10" l="1"/>
  <c r="A1582" i="10"/>
  <c r="A1583" i="10" l="1"/>
  <c r="B1582" i="10"/>
  <c r="A1584" i="10" l="1"/>
  <c r="B1583" i="10"/>
  <c r="B1584" i="10" l="1"/>
  <c r="A1585" i="10"/>
  <c r="B1585" i="10" l="1"/>
  <c r="A1586" i="10"/>
  <c r="A1587" i="10" l="1"/>
  <c r="B1586" i="10"/>
  <c r="B1587" i="10" l="1"/>
  <c r="A1588" i="10"/>
  <c r="A1589" i="10" l="1"/>
  <c r="B1588" i="10"/>
  <c r="A1590" i="10" l="1"/>
  <c r="B1589" i="10"/>
  <c r="B1590" i="10" l="1"/>
  <c r="A1591" i="10"/>
  <c r="B1591" i="10" l="1"/>
  <c r="A1592" i="10"/>
  <c r="A1593" i="10" l="1"/>
  <c r="B1592" i="10"/>
  <c r="A1594" i="10" l="1"/>
  <c r="B1593" i="10"/>
  <c r="A1595" i="10" l="1"/>
  <c r="B1594" i="10"/>
  <c r="A1596" i="10" l="1"/>
  <c r="B1595" i="10"/>
  <c r="A1597" i="10" l="1"/>
  <c r="B1596" i="10"/>
  <c r="B1597" i="10" l="1"/>
  <c r="A1598" i="10"/>
  <c r="A1599" i="10" l="1"/>
  <c r="B1598" i="10"/>
  <c r="B1599" i="10" l="1"/>
  <c r="A1600" i="10"/>
  <c r="A1601" i="10" l="1"/>
  <c r="B1600" i="10"/>
  <c r="A1602" i="10" l="1"/>
  <c r="B1601" i="10"/>
  <c r="B1602" i="10" l="1"/>
  <c r="A1603" i="10"/>
  <c r="A1604" i="10" l="1"/>
  <c r="B1603" i="10"/>
  <c r="B1604" i="10" l="1"/>
  <c r="A1605" i="10"/>
  <c r="B1605" i="10" l="1"/>
  <c r="A1606" i="10"/>
  <c r="A1607" i="10" l="1"/>
  <c r="B1606" i="10"/>
  <c r="B1607" i="10" l="1"/>
  <c r="A1608" i="10"/>
  <c r="B1608" i="10" l="1"/>
  <c r="A1609" i="10"/>
  <c r="B1609" i="10" l="1"/>
  <c r="A1610" i="10"/>
  <c r="B1610" i="10" l="1"/>
  <c r="A1611" i="10"/>
  <c r="A1612" i="10" l="1"/>
  <c r="B1611" i="10"/>
  <c r="A1613" i="10" l="1"/>
  <c r="B1612" i="10"/>
  <c r="A1614" i="10" l="1"/>
  <c r="B1613" i="10"/>
  <c r="B1614" i="10" l="1"/>
  <c r="A1615" i="10"/>
  <c r="B1615" i="10" l="1"/>
  <c r="A1616" i="10"/>
  <c r="B1616" i="10" l="1"/>
  <c r="A1617" i="10"/>
  <c r="A1618" i="10" l="1"/>
  <c r="B1617" i="10"/>
  <c r="A1619" i="10" l="1"/>
  <c r="B1618" i="10"/>
  <c r="A1620" i="10" l="1"/>
  <c r="B1619" i="10"/>
  <c r="B1620" i="10" l="1"/>
  <c r="A1621" i="10"/>
  <c r="B1621" i="10" l="1"/>
  <c r="A1622" i="10"/>
  <c r="B1622" i="10" l="1"/>
  <c r="A1623" i="10"/>
  <c r="A1624" i="10" l="1"/>
  <c r="B1623" i="10"/>
  <c r="A1625" i="10" l="1"/>
  <c r="B1624" i="10"/>
  <c r="B1625" i="10" l="1"/>
  <c r="A1626" i="10"/>
  <c r="B1626" i="10" l="1"/>
  <c r="A1627" i="10"/>
  <c r="B1627" i="10" l="1"/>
  <c r="A1628" i="10"/>
  <c r="B1628" i="10" l="1"/>
  <c r="A1629" i="10"/>
  <c r="B1629" i="10" l="1"/>
  <c r="A1630" i="10"/>
  <c r="A1631" i="10" l="1"/>
  <c r="B1630" i="10"/>
  <c r="A1632" i="10" l="1"/>
  <c r="B1631" i="10"/>
  <c r="B1632" i="10" l="1"/>
  <c r="A1633" i="10"/>
  <c r="B1633" i="10" l="1"/>
  <c r="A1634" i="10"/>
  <c r="A1635" i="10" l="1"/>
  <c r="B1634" i="10"/>
  <c r="A1636" i="10" l="1"/>
  <c r="B1635" i="10"/>
  <c r="B1636" i="10" l="1"/>
  <c r="A1637" i="10"/>
  <c r="A1638" i="10" l="1"/>
  <c r="B1637" i="10"/>
  <c r="A1639" i="10" l="1"/>
  <c r="B1638" i="10"/>
  <c r="A1640" i="10" l="1"/>
  <c r="B1639" i="10"/>
  <c r="B1640" i="10" l="1"/>
  <c r="A1641" i="10"/>
  <c r="B1641" i="10" l="1"/>
  <c r="A1642" i="10"/>
  <c r="A1643" i="10" l="1"/>
  <c r="B1642" i="10"/>
  <c r="A1644" i="10" l="1"/>
  <c r="B1643" i="10"/>
  <c r="A1645" i="10" l="1"/>
  <c r="B1644" i="10"/>
  <c r="B1645" i="10" l="1"/>
  <c r="A1646" i="10"/>
  <c r="B1646" i="10" l="1"/>
  <c r="A1647" i="10"/>
  <c r="B1647" i="10" l="1"/>
  <c r="A1648" i="10"/>
  <c r="B1648" i="10" l="1"/>
  <c r="A1649" i="10"/>
  <c r="B1649" i="10" l="1"/>
  <c r="A1650" i="10"/>
  <c r="A1651" i="10" l="1"/>
  <c r="B1650" i="10"/>
  <c r="A1652" i="10" l="1"/>
  <c r="B1651" i="10"/>
  <c r="B1652" i="10" l="1"/>
  <c r="A1653" i="10"/>
  <c r="B1653" i="10" l="1"/>
  <c r="A1654" i="10"/>
  <c r="B1654" i="10" l="1"/>
  <c r="A1655" i="10"/>
  <c r="A1656" i="10" l="1"/>
  <c r="B1655" i="10"/>
  <c r="A1657" i="10" l="1"/>
  <c r="B1656" i="10"/>
  <c r="A1658" i="10" l="1"/>
  <c r="B1657" i="10"/>
  <c r="A1659" i="10" l="1"/>
  <c r="B1658" i="10"/>
  <c r="B1659" i="10" l="1"/>
  <c r="A1660" i="10"/>
  <c r="B1660" i="10" l="1"/>
  <c r="A1661" i="10"/>
  <c r="A1662" i="10" l="1"/>
  <c r="B1661" i="10"/>
  <c r="B1662" i="10" l="1"/>
  <c r="A1663" i="10"/>
  <c r="A1664" i="10" l="1"/>
  <c r="B1663" i="10"/>
  <c r="A1665" i="10" l="1"/>
  <c r="B1664" i="10"/>
  <c r="A1666" i="10" l="1"/>
  <c r="B1665" i="10"/>
  <c r="A1667" i="10" l="1"/>
  <c r="B1666" i="10"/>
  <c r="B1667" i="10" l="1"/>
  <c r="A1668" i="10"/>
  <c r="B1668" i="10" l="1"/>
  <c r="A1669" i="10"/>
  <c r="B1669" i="10" l="1"/>
  <c r="A1670" i="10"/>
  <c r="B1670" i="10" l="1"/>
  <c r="A1671" i="10"/>
  <c r="A1672" i="10" l="1"/>
  <c r="B1671" i="10"/>
  <c r="A1673" i="10" l="1"/>
  <c r="B1672" i="10"/>
  <c r="A1674" i="10" l="1"/>
  <c r="B1673" i="10"/>
  <c r="B1674" i="10" l="1"/>
  <c r="A1675" i="10"/>
  <c r="B1675" i="10" l="1"/>
  <c r="A1676" i="10"/>
  <c r="A1677" i="10" l="1"/>
  <c r="B1676" i="10"/>
  <c r="A1678" i="10" l="1"/>
  <c r="B1677" i="10"/>
  <c r="A1679" i="10" l="1"/>
  <c r="B1678" i="10"/>
  <c r="A1680" i="10" l="1"/>
  <c r="B1679" i="10"/>
  <c r="B1680" i="10" l="1"/>
  <c r="A1681" i="10"/>
  <c r="A1682" i="10" l="1"/>
  <c r="B1681" i="10"/>
  <c r="B1682" i="10" l="1"/>
  <c r="A1683" i="10"/>
  <c r="A1684" i="10" l="1"/>
  <c r="B1683" i="10"/>
  <c r="A1685" i="10" l="1"/>
  <c r="B1684" i="10"/>
  <c r="A1686" i="10" l="1"/>
  <c r="B1685" i="10"/>
  <c r="A1687" i="10" l="1"/>
  <c r="B1686" i="10"/>
  <c r="B1687" i="10" l="1"/>
  <c r="A1688" i="10"/>
  <c r="A1689" i="10" l="1"/>
  <c r="B1688" i="10"/>
  <c r="B1689" i="10" l="1"/>
  <c r="A1690" i="10"/>
  <c r="B1690" i="10" l="1"/>
  <c r="A1691" i="10"/>
  <c r="B1691" i="10" l="1"/>
  <c r="A1692" i="10"/>
  <c r="B1692" i="10" l="1"/>
  <c r="A1693" i="10"/>
  <c r="B1693" i="10" l="1"/>
  <c r="A1694" i="10"/>
  <c r="B1694" i="10" l="1"/>
  <c r="A1695" i="10"/>
  <c r="A1696" i="10" l="1"/>
  <c r="B1695" i="10"/>
  <c r="B1696" i="10" l="1"/>
  <c r="A1697" i="10"/>
  <c r="A1698" i="10" l="1"/>
  <c r="B1697" i="10"/>
  <c r="A1699" i="10" l="1"/>
  <c r="B1698" i="10"/>
  <c r="A1700" i="10" l="1"/>
  <c r="B1699" i="10"/>
  <c r="A1701" i="10" l="1"/>
  <c r="B1700" i="10"/>
  <c r="A1702" i="10" l="1"/>
  <c r="B1701" i="10"/>
  <c r="A1703" i="10" l="1"/>
  <c r="B1702" i="10"/>
  <c r="B1703" i="10" l="1"/>
  <c r="A1704" i="10"/>
  <c r="A1705" i="10" l="1"/>
  <c r="B1704" i="10"/>
  <c r="A1706" i="10" l="1"/>
  <c r="B1705" i="10"/>
  <c r="B1706" i="10" l="1"/>
  <c r="A1707" i="10"/>
  <c r="A1708" i="10" l="1"/>
  <c r="B1707" i="10"/>
  <c r="B1708" i="10" l="1"/>
  <c r="A1709" i="10"/>
  <c r="A1710" i="10" l="1"/>
  <c r="B1709" i="10"/>
  <c r="B1710" i="10" l="1"/>
  <c r="A1711" i="10"/>
  <c r="B1711" i="10" l="1"/>
  <c r="A1712" i="10"/>
  <c r="B1712" i="10" l="1"/>
  <c r="A1713" i="10"/>
  <c r="A1714" i="10" l="1"/>
  <c r="B1713" i="10"/>
  <c r="A1715" i="10" l="1"/>
  <c r="B1714" i="10"/>
  <c r="A1716" i="10" l="1"/>
  <c r="B1715" i="10"/>
  <c r="A1717" i="10" l="1"/>
  <c r="B1716" i="10"/>
  <c r="A1718" i="10" l="1"/>
  <c r="B1717" i="10"/>
  <c r="B1718" i="10" l="1"/>
  <c r="A1719" i="10"/>
  <c r="A1720" i="10" l="1"/>
  <c r="B1719" i="10"/>
  <c r="A1721" i="10" l="1"/>
  <c r="B1720" i="10"/>
  <c r="A1722" i="10" l="1"/>
  <c r="B1721" i="10"/>
  <c r="A1723" i="10" l="1"/>
  <c r="B1722" i="10"/>
  <c r="B1723" i="10" l="1"/>
  <c r="A1724" i="10"/>
  <c r="A1725" i="10" l="1"/>
  <c r="B1724" i="10"/>
  <c r="A1726" i="10" l="1"/>
  <c r="B1725" i="10"/>
  <c r="B1726" i="10" l="1"/>
  <c r="A1727" i="10"/>
  <c r="B1727" i="10" l="1"/>
  <c r="A1728" i="10"/>
  <c r="B1728" i="10" l="1"/>
  <c r="A1729" i="10"/>
  <c r="A1730" i="10" l="1"/>
  <c r="B1729" i="10"/>
  <c r="A1731" i="10" l="1"/>
  <c r="B1730" i="10"/>
  <c r="B1731" i="10" l="1"/>
  <c r="A1732" i="10"/>
  <c r="A1733" i="10" l="1"/>
  <c r="B1732" i="10"/>
  <c r="A1734" i="10" l="1"/>
  <c r="B1733" i="10"/>
  <c r="A1735" i="10" l="1"/>
  <c r="B1734" i="10"/>
  <c r="B1735" i="10" l="1"/>
  <c r="A1736" i="10"/>
  <c r="A1737" i="10" l="1"/>
  <c r="B1736" i="10"/>
  <c r="B1737" i="10" l="1"/>
  <c r="A1738" i="10"/>
  <c r="A1739" i="10" l="1"/>
  <c r="B1738" i="10"/>
  <c r="B1739" i="10" l="1"/>
  <c r="A1740" i="10"/>
  <c r="B1740" i="10" l="1"/>
  <c r="A1741" i="10"/>
  <c r="A1742" i="10" l="1"/>
  <c r="B1741" i="10"/>
  <c r="B1742" i="10" l="1"/>
  <c r="A1743" i="10"/>
  <c r="A1744" i="10" l="1"/>
  <c r="B1743" i="10"/>
  <c r="B1744" i="10" l="1"/>
  <c r="A1745" i="10"/>
  <c r="B1745" i="10" l="1"/>
  <c r="A1746" i="10"/>
  <c r="A1747" i="10" l="1"/>
  <c r="B1746" i="10"/>
  <c r="B1747" i="10" l="1"/>
  <c r="A1748" i="10"/>
  <c r="A1749" i="10" l="1"/>
  <c r="B1748" i="10"/>
  <c r="A1750" i="10" l="1"/>
  <c r="B1749" i="10"/>
  <c r="B1750" i="10" l="1"/>
  <c r="A1751" i="10"/>
  <c r="B1751" i="10" l="1"/>
  <c r="A1752" i="10"/>
  <c r="A1753" i="10" l="1"/>
  <c r="B1752" i="10"/>
  <c r="A1754" i="10" l="1"/>
  <c r="B1753" i="10"/>
  <c r="A1755" i="10" l="1"/>
  <c r="B1754" i="10"/>
  <c r="B1755" i="10" l="1"/>
  <c r="A1756" i="10"/>
  <c r="A1757" i="10" l="1"/>
  <c r="B1756" i="10"/>
  <c r="B1757" i="10" l="1"/>
  <c r="A1758" i="10"/>
  <c r="A1759" i="10" l="1"/>
  <c r="B1758" i="10"/>
  <c r="B1759" i="10" l="1"/>
  <c r="A1760" i="10"/>
  <c r="B1760" i="10" l="1"/>
  <c r="A1761" i="10"/>
  <c r="A1762" i="10" l="1"/>
  <c r="B1761" i="10"/>
  <c r="B1762" i="10" l="1"/>
  <c r="A1763" i="10"/>
  <c r="A1764" i="10" l="1"/>
  <c r="B1763" i="10"/>
  <c r="B1764" i="10" l="1"/>
  <c r="A1765" i="10"/>
  <c r="B1765" i="10" l="1"/>
  <c r="A1766" i="10"/>
  <c r="A1767" i="10" l="1"/>
  <c r="B1766" i="10"/>
  <c r="B1767" i="10" l="1"/>
  <c r="A1768" i="10"/>
  <c r="A1769" i="10" l="1"/>
  <c r="B1768" i="10"/>
  <c r="B1769" i="10" l="1"/>
  <c r="A1770" i="10"/>
  <c r="A1771" i="10" l="1"/>
  <c r="B1770" i="10"/>
  <c r="B1771" i="10" l="1"/>
  <c r="A1772" i="10"/>
  <c r="B1772" i="10" l="1"/>
  <c r="A1773" i="10"/>
  <c r="A1774" i="10" l="1"/>
  <c r="B1773" i="10"/>
  <c r="B1774" i="10" l="1"/>
  <c r="A1775" i="10"/>
  <c r="A1776" i="10" l="1"/>
  <c r="B1775" i="10"/>
  <c r="B1776" i="10" l="1"/>
  <c r="A1777" i="10"/>
  <c r="B1777" i="10" l="1"/>
  <c r="A1778" i="10"/>
  <c r="B1778" i="10" l="1"/>
  <c r="A1779" i="10"/>
  <c r="B1779" i="10" l="1"/>
  <c r="A1780" i="10"/>
  <c r="A1781" i="10" l="1"/>
  <c r="B1780" i="10"/>
  <c r="A1782" i="10" l="1"/>
  <c r="B1781" i="10"/>
  <c r="A1783" i="10" l="1"/>
  <c r="B1782" i="10"/>
  <c r="A1784" i="10" l="1"/>
  <c r="B1783" i="10"/>
  <c r="B1784" i="10" l="1"/>
  <c r="A1785" i="10"/>
  <c r="A1786" i="10" l="1"/>
  <c r="B1785" i="10"/>
  <c r="A1787" i="10" l="1"/>
  <c r="B1786" i="10"/>
  <c r="A1788" i="10" l="1"/>
  <c r="B1787" i="10"/>
  <c r="A1789" i="10" l="1"/>
  <c r="B1788" i="10"/>
  <c r="B1789" i="10" l="1"/>
  <c r="A1790" i="10"/>
  <c r="A1791" i="10" l="1"/>
  <c r="B1790" i="10"/>
  <c r="B1791" i="10" l="1"/>
  <c r="A1792" i="10"/>
  <c r="B1792" i="10" l="1"/>
  <c r="A1793" i="10"/>
  <c r="A1794" i="10" l="1"/>
  <c r="B1793" i="10"/>
  <c r="B1794" i="10" l="1"/>
  <c r="A1795" i="10"/>
  <c r="A1796" i="10" l="1"/>
  <c r="B1795" i="10"/>
  <c r="A1797" i="10" l="1"/>
  <c r="B1796" i="10"/>
  <c r="B1797" i="10" l="1"/>
  <c r="A1798" i="10"/>
  <c r="A1799" i="10" l="1"/>
  <c r="B1798" i="10"/>
  <c r="B1799" i="10" l="1"/>
  <c r="A1800" i="10"/>
  <c r="B1800" i="10" l="1"/>
  <c r="A1801" i="10"/>
  <c r="A1802" i="10" l="1"/>
  <c r="B1801" i="10"/>
  <c r="B1802" i="10" l="1"/>
  <c r="A1803" i="10"/>
  <c r="B1803" i="10" l="1"/>
  <c r="A1804" i="10"/>
  <c r="A1805" i="10" l="1"/>
  <c r="B1804" i="10"/>
  <c r="A1806" i="10" l="1"/>
  <c r="B1805" i="10"/>
  <c r="A1807" i="10" l="1"/>
  <c r="B1806" i="10"/>
  <c r="B1807" i="10" l="1"/>
  <c r="A1808" i="10"/>
  <c r="B1808" i="10" l="1"/>
  <c r="A1809" i="10"/>
  <c r="A1810" i="10" l="1"/>
  <c r="B1809" i="10"/>
  <c r="A1811" i="10" l="1"/>
  <c r="B1810" i="10"/>
  <c r="A1812" i="10" l="1"/>
  <c r="B1811" i="10"/>
  <c r="B1812" i="10" l="1"/>
  <c r="A1813" i="10"/>
  <c r="B1813" i="10" l="1"/>
  <c r="A1814" i="10"/>
  <c r="B1814" i="10" l="1"/>
  <c r="A1815" i="10"/>
  <c r="B1815" i="10" l="1"/>
  <c r="A1816" i="10"/>
  <c r="A1817" i="10" l="1"/>
  <c r="B1816" i="10"/>
  <c r="A1818" i="10" l="1"/>
  <c r="B1817" i="10"/>
  <c r="B1818" i="10" l="1"/>
  <c r="A1819" i="10"/>
  <c r="B1819" i="10" l="1"/>
  <c r="A1820" i="10"/>
  <c r="A1821" i="10" l="1"/>
  <c r="B1820" i="10"/>
  <c r="B1821" i="10" l="1"/>
  <c r="A1822" i="10"/>
  <c r="A1823" i="10" l="1"/>
  <c r="B1822" i="10"/>
  <c r="A1824" i="10" l="1"/>
  <c r="B1823" i="10"/>
  <c r="A1825" i="10" l="1"/>
  <c r="A1826" i="10" s="1"/>
  <c r="B1824" i="10"/>
  <c r="B1825" i="10" l="1"/>
  <c r="B1826" i="10" l="1"/>
  <c r="A1827" i="10"/>
  <c r="A1828" i="10" l="1"/>
  <c r="B1827" i="10"/>
  <c r="A1829" i="10" l="1"/>
  <c r="B1828" i="10"/>
  <c r="A1830" i="10" l="1"/>
  <c r="B1829" i="10"/>
  <c r="A1831" i="10" l="1"/>
  <c r="B1830" i="10"/>
  <c r="B1831" i="10" l="1"/>
  <c r="A1832" i="10"/>
  <c r="B1832" i="10" l="1"/>
  <c r="A1833" i="10"/>
  <c r="A1834" i="10" l="1"/>
  <c r="B1833" i="10"/>
  <c r="A1835" i="10" l="1"/>
  <c r="B1834" i="10"/>
  <c r="B1835" i="10" l="1"/>
  <c r="A1836" i="10"/>
  <c r="B1836" i="10" l="1"/>
  <c r="A1837" i="10"/>
  <c r="B1837" i="10" l="1"/>
  <c r="A1838" i="10"/>
  <c r="B1838" i="10" l="1"/>
  <c r="A1839" i="10"/>
  <c r="B1839" i="10" l="1"/>
  <c r="A1840" i="10"/>
  <c r="B1840" i="10" l="1"/>
  <c r="A1841" i="10"/>
  <c r="A1842" i="10" l="1"/>
  <c r="B1841" i="10"/>
  <c r="A1843" i="10" l="1"/>
  <c r="B1842" i="10"/>
  <c r="A1844" i="10" l="1"/>
  <c r="B1843" i="10"/>
  <c r="B1844" i="10" l="1"/>
  <c r="A1845" i="10"/>
  <c r="A1846" i="10" l="1"/>
  <c r="B1845" i="10"/>
  <c r="B1846" i="10" l="1"/>
  <c r="A1847" i="10"/>
  <c r="A1848" i="10" l="1"/>
  <c r="B1847" i="10"/>
  <c r="B1848" i="10" l="1"/>
  <c r="A1849" i="10"/>
  <c r="B1849" i="10" l="1"/>
  <c r="A1850" i="10"/>
  <c r="B1850" i="10" l="1"/>
  <c r="A1851" i="10"/>
  <c r="B1851" i="10" l="1"/>
  <c r="A1852" i="10"/>
  <c r="A1853" i="10" l="1"/>
  <c r="B1852" i="10"/>
  <c r="A1854" i="10" l="1"/>
  <c r="B1853" i="10"/>
  <c r="B1854" i="10" l="1"/>
  <c r="A1855" i="10"/>
  <c r="B1855" i="10" l="1"/>
  <c r="A1856" i="10"/>
  <c r="A1857" i="10" l="1"/>
  <c r="B1856" i="10"/>
  <c r="B1857" i="10" l="1"/>
  <c r="A1858" i="10"/>
  <c r="A1859" i="10" l="1"/>
  <c r="B1858" i="10"/>
  <c r="A1860" i="10" l="1"/>
  <c r="B1859" i="10"/>
  <c r="B1860" i="10" l="1"/>
  <c r="A1861" i="10"/>
  <c r="B1861" i="10" l="1"/>
  <c r="A1862" i="10"/>
  <c r="B1862" i="10" l="1"/>
  <c r="A1863" i="10"/>
  <c r="A1864" i="10" l="1"/>
  <c r="B1863" i="10"/>
  <c r="B1864" i="10" l="1"/>
  <c r="A1865" i="10"/>
  <c r="A1866" i="10" l="1"/>
  <c r="B1865" i="10"/>
  <c r="B1866" i="10" l="1"/>
  <c r="A1867" i="10"/>
  <c r="A1868" i="10" l="1"/>
  <c r="B1867" i="10"/>
  <c r="B1868" i="10" l="1"/>
  <c r="A1869" i="10"/>
  <c r="A1870" i="10" l="1"/>
  <c r="B1869" i="10"/>
  <c r="B1870" i="10" l="1"/>
  <c r="A1871" i="10"/>
  <c r="B1871" i="10" l="1"/>
  <c r="A1872" i="10"/>
  <c r="A1873" i="10" l="1"/>
  <c r="B1872" i="10"/>
  <c r="B1873" i="10" l="1"/>
  <c r="A1874" i="10"/>
  <c r="B1874" i="10" l="1"/>
  <c r="A1875" i="10"/>
  <c r="A1876" i="10" l="1"/>
  <c r="B1875" i="10"/>
  <c r="B1876" i="10" l="1"/>
  <c r="A1877" i="10"/>
  <c r="A1878" i="10" l="1"/>
  <c r="B1877" i="10"/>
  <c r="B1878" i="10" l="1"/>
  <c r="A1879" i="10"/>
  <c r="A1880" i="10" l="1"/>
  <c r="B1879" i="10"/>
  <c r="A1881" i="10" l="1"/>
  <c r="B1880" i="10"/>
  <c r="A1882" i="10" l="1"/>
  <c r="B1881" i="10"/>
  <c r="B1882" i="10" l="1"/>
  <c r="A1883" i="10"/>
  <c r="B1883" i="10" l="1"/>
  <c r="A1884" i="10"/>
  <c r="B1884" i="10" l="1"/>
  <c r="A1885" i="10"/>
  <c r="A1886" i="10" l="1"/>
  <c r="B1885" i="10"/>
  <c r="A1887" i="10" l="1"/>
  <c r="B1886" i="10"/>
  <c r="B1887" i="10" l="1"/>
  <c r="A1888" i="10"/>
  <c r="B1888" i="10" l="1"/>
  <c r="A1889" i="10"/>
  <c r="B1889" i="10" l="1"/>
  <c r="A1890" i="10"/>
  <c r="B1890" i="10" l="1"/>
  <c r="A1891" i="10"/>
  <c r="B1891" i="10" l="1"/>
  <c r="A1892" i="10"/>
  <c r="B1892" i="10" l="1"/>
  <c r="A1893" i="10"/>
  <c r="A1894" i="10" l="1"/>
  <c r="B1893" i="10"/>
  <c r="B1894" i="10" l="1"/>
  <c r="A1895" i="10"/>
  <c r="A1896" i="10" l="1"/>
  <c r="B1895" i="10"/>
  <c r="B1896" i="10" l="1"/>
  <c r="A1897" i="10"/>
  <c r="B1897" i="10" l="1"/>
  <c r="A1898" i="10"/>
  <c r="A1899" i="10" l="1"/>
  <c r="B1898" i="10"/>
  <c r="A1900" i="10" l="1"/>
  <c r="B1899" i="10"/>
  <c r="B1900" i="10" l="1"/>
  <c r="A1901" i="10"/>
  <c r="B1901" i="10" l="1"/>
  <c r="A1902" i="10"/>
  <c r="B1902" i="10" l="1"/>
  <c r="A1903" i="10"/>
  <c r="A1904" i="10" l="1"/>
  <c r="B1903" i="10"/>
  <c r="B1904" i="10" l="1"/>
  <c r="A1905" i="10"/>
  <c r="A1906" i="10" l="1"/>
  <c r="B1905" i="10"/>
  <c r="A1907" i="10" l="1"/>
  <c r="B1906" i="10"/>
  <c r="B1907" i="10" l="1"/>
  <c r="A1908" i="10"/>
  <c r="B1908" i="10" l="1"/>
  <c r="A1909" i="10"/>
  <c r="B1909" i="10" l="1"/>
  <c r="A1910" i="10"/>
  <c r="B1910" i="10" l="1"/>
  <c r="A1911" i="10"/>
  <c r="B1911" i="10" l="1"/>
  <c r="A1912" i="10"/>
  <c r="A1913" i="10" l="1"/>
  <c r="B1912" i="10"/>
  <c r="B1913" i="10" l="1"/>
  <c r="A1914" i="10"/>
  <c r="B1914" i="10" l="1"/>
  <c r="A1915" i="10"/>
  <c r="A1916" i="10" l="1"/>
  <c r="B1915" i="10"/>
  <c r="B1916" i="10" l="1"/>
  <c r="A1917" i="10"/>
  <c r="A1918" i="10" l="1"/>
  <c r="B1917" i="10"/>
  <c r="B1918" i="10" l="1"/>
  <c r="A1919" i="10"/>
  <c r="B1919" i="10" l="1"/>
  <c r="A1920" i="10"/>
  <c r="B1920" i="10" l="1"/>
  <c r="A1921" i="10"/>
  <c r="B1921" i="10" l="1"/>
  <c r="A1922" i="10"/>
  <c r="A1923" i="10" l="1"/>
  <c r="B1922" i="10"/>
  <c r="B1923" i="10" l="1"/>
  <c r="A1924" i="10"/>
  <c r="B1924" i="10" l="1"/>
  <c r="A1925" i="10"/>
  <c r="B1925" i="10" l="1"/>
  <c r="A1926" i="10"/>
  <c r="B1926" i="10" l="1"/>
  <c r="A1927" i="10"/>
  <c r="A1928" i="10" l="1"/>
  <c r="B1927" i="10"/>
  <c r="B1928" i="10" l="1"/>
  <c r="A1929" i="10"/>
  <c r="B1929" i="10" l="1"/>
  <c r="A1930" i="10"/>
  <c r="B1930" i="10" l="1"/>
  <c r="A1931" i="10"/>
  <c r="A1932" i="10" l="1"/>
  <c r="B1931" i="10"/>
  <c r="B1932" i="10" l="1"/>
  <c r="A1933" i="10"/>
  <c r="A1934" i="10" l="1"/>
  <c r="B1934" i="10" s="1"/>
  <c r="B1933" i="10"/>
  <c r="P3" i="8" l="1"/>
  <c r="AA3" i="8"/>
  <c r="T3" i="8"/>
  <c r="L3" i="8"/>
  <c r="N3" i="8"/>
  <c r="F2" i="8"/>
  <c r="S3" i="8"/>
  <c r="O3" i="8"/>
  <c r="J3" i="8"/>
  <c r="W2" i="8"/>
  <c r="Y3" i="8"/>
  <c r="V2" i="8"/>
  <c r="M3" i="8"/>
  <c r="G3" i="8"/>
  <c r="AD3" i="8"/>
  <c r="Z3" i="8"/>
  <c r="AD2" i="8"/>
  <c r="F3" i="8"/>
  <c r="AB2" i="8"/>
  <c r="J2" i="8"/>
  <c r="U2" i="8"/>
  <c r="X3" i="8"/>
  <c r="W3" i="8"/>
  <c r="AE3" i="8"/>
  <c r="AG34" i="8"/>
  <c r="Y2" i="8"/>
  <c r="X2" i="8"/>
  <c r="R2" i="8"/>
  <c r="Q2" i="8"/>
  <c r="AG15" i="8"/>
  <c r="AC3" i="8"/>
  <c r="H3" i="8"/>
  <c r="AC2" i="8"/>
  <c r="AB3" i="8"/>
  <c r="N2" i="8"/>
  <c r="AE2" i="8"/>
  <c r="L2" i="8"/>
  <c r="E2" i="8"/>
  <c r="S2" i="8"/>
  <c r="O2" i="8"/>
  <c r="AG28" i="8"/>
  <c r="AH28" i="8" s="1"/>
  <c r="V3" i="8"/>
  <c r="M2" i="8"/>
  <c r="Z2" i="8"/>
  <c r="AG27" i="8"/>
  <c r="R3" i="8"/>
  <c r="AA2" i="8"/>
  <c r="E3" i="8"/>
  <c r="Q3" i="8"/>
  <c r="U3" i="8"/>
  <c r="G2" i="8"/>
  <c r="P2" i="8"/>
  <c r="H2" i="8"/>
  <c r="T2" i="8"/>
  <c r="K3" i="8"/>
  <c r="K2" i="8"/>
  <c r="AG59" i="8" l="1"/>
  <c r="AG55" i="8"/>
  <c r="AH55" i="8" s="1"/>
  <c r="AG47" i="8"/>
  <c r="AG67" i="8"/>
  <c r="AH67" i="8" s="1"/>
  <c r="AH34" i="8"/>
  <c r="AG13" i="8"/>
  <c r="AG57" i="8"/>
  <c r="AG29" i="8"/>
  <c r="AH29" i="8" s="1"/>
  <c r="AG22" i="8"/>
  <c r="AH22" i="8" s="1"/>
  <c r="AG69" i="8"/>
  <c r="AH69" i="8" s="1"/>
  <c r="AG42" i="8"/>
  <c r="AH42" i="8" s="1"/>
  <c r="AG32" i="8"/>
  <c r="AH32" i="8" s="1"/>
  <c r="AG40" i="8"/>
  <c r="AH40" i="8" s="1"/>
  <c r="AG60" i="8"/>
  <c r="AH60" i="8" s="1"/>
  <c r="AG19" i="8"/>
  <c r="AH19" i="8" s="1"/>
  <c r="AG53" i="8"/>
  <c r="AH53" i="8" s="1"/>
  <c r="AH15" i="8"/>
  <c r="AG58" i="8"/>
  <c r="AG3" i="8"/>
  <c r="AH3" i="8" s="1"/>
  <c r="AG52" i="8"/>
  <c r="AH52" i="8" s="1"/>
  <c r="AG44" i="8"/>
  <c r="AH44" i="8" s="1"/>
  <c r="AG24" i="8"/>
  <c r="AH24" i="8" s="1"/>
  <c r="AG2" i="8"/>
  <c r="AH2" i="8" s="1"/>
  <c r="AG39" i="8"/>
  <c r="AH39" i="8" s="1"/>
  <c r="AG38" i="8"/>
  <c r="AH38" i="8" s="1"/>
  <c r="AG8" i="8"/>
  <c r="AH8" i="8" s="1"/>
  <c r="AG25" i="8"/>
  <c r="AH25" i="8" s="1"/>
  <c r="AG7" i="8"/>
  <c r="AH7" i="8" s="1"/>
  <c r="AG10" i="8"/>
  <c r="AH10" i="8" s="1"/>
  <c r="AG37" i="8"/>
  <c r="AH37" i="8" s="1"/>
  <c r="AG41" i="8"/>
  <c r="AH41" i="8" s="1"/>
  <c r="AG36" i="8"/>
  <c r="AH36" i="8" s="1"/>
  <c r="AG66" i="8"/>
  <c r="AH66" i="8" s="1"/>
  <c r="AH58" i="8"/>
  <c r="AG17" i="8"/>
  <c r="AH17" i="8" s="1"/>
  <c r="AG35" i="8"/>
  <c r="AH35" i="8" s="1"/>
  <c r="AG11" i="8"/>
  <c r="AH11" i="8" s="1"/>
  <c r="AG12" i="8"/>
  <c r="AH12" i="8" s="1"/>
  <c r="AG20" i="8"/>
  <c r="AH20" i="8" s="1"/>
  <c r="AG9" i="8"/>
  <c r="AH9" i="8" s="1"/>
  <c r="AG68" i="8"/>
  <c r="AH68" i="8" s="1"/>
  <c r="AG6" i="8"/>
  <c r="AH6" i="8" s="1"/>
  <c r="AG61" i="8"/>
  <c r="AH61" i="8" s="1"/>
  <c r="AH13" i="8"/>
  <c r="AH57" i="8"/>
  <c r="AG64" i="8"/>
  <c r="AH64" i="8" s="1"/>
  <c r="AG14" i="8"/>
  <c r="AH14" i="8" s="1"/>
  <c r="AG45" i="8"/>
  <c r="AH45" i="8" s="1"/>
  <c r="AG33" i="8"/>
  <c r="AH33" i="8" s="1"/>
  <c r="AG18" i="8"/>
  <c r="AH18" i="8" s="1"/>
  <c r="AG30" i="8"/>
  <c r="AH30" i="8" s="1"/>
  <c r="AG65" i="8"/>
  <c r="AH65" i="8" s="1"/>
  <c r="AG50" i="8"/>
  <c r="AH50" i="8" s="1"/>
  <c r="AG54" i="8"/>
  <c r="AH54" i="8" s="1"/>
  <c r="AG51" i="8"/>
  <c r="AH51" i="8" s="1"/>
  <c r="AH47" i="8"/>
  <c r="AH27" i="8"/>
  <c r="AG46" i="8"/>
  <c r="AH46" i="8" s="1"/>
  <c r="AG5" i="8"/>
  <c r="AH5" i="8" s="1"/>
  <c r="AG48" i="8"/>
  <c r="AH48" i="8" s="1"/>
  <c r="AG49" i="8"/>
  <c r="AH49" i="8" s="1"/>
  <c r="AG4" i="8"/>
  <c r="AH4" i="8" s="1"/>
  <c r="AG26" i="8"/>
  <c r="AH26" i="8" s="1"/>
  <c r="AG63" i="8"/>
  <c r="AH63" i="8" s="1"/>
  <c r="AG56" i="8"/>
  <c r="AH56" i="8" s="1"/>
  <c r="AG43" i="8"/>
  <c r="AH43" i="8" s="1"/>
  <c r="AG31" i="8"/>
  <c r="AH31" i="8" s="1"/>
  <c r="AG23" i="8"/>
  <c r="AH23" i="8" s="1"/>
  <c r="AG21" i="8"/>
  <c r="AH21" i="8" s="1"/>
  <c r="AG16" i="8"/>
  <c r="AH16" i="8" s="1"/>
  <c r="AG62" i="8"/>
  <c r="AH62" i="8" s="1"/>
  <c r="AH59" i="8"/>
</calcChain>
</file>

<file path=xl/sharedStrings.xml><?xml version="1.0" encoding="utf-8"?>
<sst xmlns="http://schemas.openxmlformats.org/spreadsheetml/2006/main" count="8116" uniqueCount="593">
  <si>
    <t>Team</t>
  </si>
  <si>
    <t>Seed</t>
  </si>
  <si>
    <t>CONN</t>
  </si>
  <si>
    <t>ISU</t>
  </si>
  <si>
    <t>ILL</t>
  </si>
  <si>
    <t>AUB</t>
  </si>
  <si>
    <t>SDSU</t>
  </si>
  <si>
    <t>BYU</t>
  </si>
  <si>
    <t>WSU</t>
  </si>
  <si>
    <t>FAU</t>
  </si>
  <si>
    <t>NU</t>
  </si>
  <si>
    <t>DRKE</t>
  </si>
  <si>
    <t>DUQ</t>
  </si>
  <si>
    <t>UAB</t>
  </si>
  <si>
    <t>YALE</t>
  </si>
  <si>
    <t>MORE</t>
  </si>
  <si>
    <t>SDST</t>
  </si>
  <si>
    <t>STET</t>
  </si>
  <si>
    <t>UNC</t>
  </si>
  <si>
    <t>ARIZ</t>
  </si>
  <si>
    <t>BAY</t>
  </si>
  <si>
    <t>ALA</t>
  </si>
  <si>
    <t>SMC</t>
  </si>
  <si>
    <t>CLEM</t>
  </si>
  <si>
    <t>DAY</t>
  </si>
  <si>
    <t>MSST</t>
  </si>
  <si>
    <t>NEV</t>
  </si>
  <si>
    <t>UNM</t>
  </si>
  <si>
    <t>GCU</t>
  </si>
  <si>
    <t>COFC</t>
  </si>
  <si>
    <t>COLG</t>
  </si>
  <si>
    <t>LBSU</t>
  </si>
  <si>
    <t>HOW</t>
  </si>
  <si>
    <t>WAG</t>
  </si>
  <si>
    <t>MSU</t>
  </si>
  <si>
    <t>LONG</t>
  </si>
  <si>
    <t>WKU</t>
  </si>
  <si>
    <t>OAK</t>
  </si>
  <si>
    <t>UVM</t>
  </si>
  <si>
    <t>NCSU</t>
  </si>
  <si>
    <t>COLO</t>
  </si>
  <si>
    <t>JMU</t>
  </si>
  <si>
    <t>BOIS</t>
  </si>
  <si>
    <t>TA&amp;M</t>
  </si>
  <si>
    <t>NEB</t>
  </si>
  <si>
    <t>FLA</t>
  </si>
  <si>
    <t>TTU</t>
  </si>
  <si>
    <t>WIS</t>
  </si>
  <si>
    <t>DUKE</t>
  </si>
  <si>
    <t>UK</t>
  </si>
  <si>
    <t>MARQ</t>
  </si>
  <si>
    <t>HOU</t>
  </si>
  <si>
    <t>GRAM</t>
  </si>
  <si>
    <t>MTST</t>
  </si>
  <si>
    <t>PUR</t>
  </si>
  <si>
    <t>TENN</t>
  </si>
  <si>
    <t>CREI</t>
  </si>
  <si>
    <t>KU</t>
  </si>
  <si>
    <t>GONZ</t>
  </si>
  <si>
    <t>SC</t>
  </si>
  <si>
    <t>TEX</t>
  </si>
  <si>
    <t>USU</t>
  </si>
  <si>
    <t>TCU</t>
  </si>
  <si>
    <t>UVA</t>
  </si>
  <si>
    <t>CSU</t>
  </si>
  <si>
    <t>ORE</t>
  </si>
  <si>
    <t>MCN</t>
  </si>
  <si>
    <t>SAM</t>
  </si>
  <si>
    <t>AKR</t>
  </si>
  <si>
    <t>SPU</t>
  </si>
  <si>
    <t>QUAD</t>
  </si>
  <si>
    <t>Games</t>
  </si>
  <si>
    <t>Statistic</t>
  </si>
  <si>
    <t>National</t>
  </si>
  <si>
    <t>Rank</t>
  </si>
  <si>
    <t>Conference</t>
  </si>
  <si>
    <t>Value</t>
  </si>
  <si>
    <t>National Leader</t>
  </si>
  <si>
    <t>Assist/Turnover Ratio (351 ranked)</t>
  </si>
  <si>
    <t>UConn</t>
  </si>
  <si>
    <t>Virginia</t>
  </si>
  <si>
    <t>Northwestern</t>
  </si>
  <si>
    <t>Colorado St.</t>
  </si>
  <si>
    <t>Gonzaga</t>
  </si>
  <si>
    <t>Auburn</t>
  </si>
  <si>
    <t>Drake</t>
  </si>
  <si>
    <t>Kentucky</t>
  </si>
  <si>
    <t>Tennessee</t>
  </si>
  <si>
    <t>Kansas</t>
  </si>
  <si>
    <t>Purdue</t>
  </si>
  <si>
    <t>Michigan St.</t>
  </si>
  <si>
    <t>Marquette</t>
  </si>
  <si>
    <t>Saint Mary's (CA)</t>
  </si>
  <si>
    <t>Creighton</t>
  </si>
  <si>
    <t>Duke</t>
  </si>
  <si>
    <t>Yale</t>
  </si>
  <si>
    <t>Arizona</t>
  </si>
  <si>
    <t>Col. of Charleston</t>
  </si>
  <si>
    <t>McNeese</t>
  </si>
  <si>
    <t>South Carolina</t>
  </si>
  <si>
    <t>Iowa St.</t>
  </si>
  <si>
    <t>Nevada</t>
  </si>
  <si>
    <t>Utah St.</t>
  </si>
  <si>
    <t>Vermont</t>
  </si>
  <si>
    <t>James Madison</t>
  </si>
  <si>
    <t>Clemson</t>
  </si>
  <si>
    <t>Houston</t>
  </si>
  <si>
    <t>New Mexico</t>
  </si>
  <si>
    <t>North Carolina</t>
  </si>
  <si>
    <t>Colgate</t>
  </si>
  <si>
    <t>Dayton</t>
  </si>
  <si>
    <t>Nebraska</t>
  </si>
  <si>
    <t>NC State</t>
  </si>
  <si>
    <t>Samford</t>
  </si>
  <si>
    <t>Oregon</t>
  </si>
  <si>
    <t>Alabama</t>
  </si>
  <si>
    <t>Texas Tech</t>
  </si>
  <si>
    <t>Oakland</t>
  </si>
  <si>
    <t>Texas</t>
  </si>
  <si>
    <t>Fla. Atlantic</t>
  </si>
  <si>
    <t>Florida</t>
  </si>
  <si>
    <t>Wagner</t>
  </si>
  <si>
    <t>Colorado</t>
  </si>
  <si>
    <t>Wisconsin</t>
  </si>
  <si>
    <t>Morehead St.</t>
  </si>
  <si>
    <t>Illinois</t>
  </si>
  <si>
    <t>Stetson</t>
  </si>
  <si>
    <t>Baylor</t>
  </si>
  <si>
    <t>Long Beach St.</t>
  </si>
  <si>
    <t>Texas A&amp;M</t>
  </si>
  <si>
    <t>San Diego St.</t>
  </si>
  <si>
    <t>Akron</t>
  </si>
  <si>
    <t>Duquesne</t>
  </si>
  <si>
    <t>South Dakota St.</t>
  </si>
  <si>
    <t>Washington St.</t>
  </si>
  <si>
    <t>Montana St.</t>
  </si>
  <si>
    <t>Boise St.</t>
  </si>
  <si>
    <t>Mississippi St.</t>
  </si>
  <si>
    <t>Longwood</t>
  </si>
  <si>
    <t>Grand Canyon</t>
  </si>
  <si>
    <t>Western Ky.</t>
  </si>
  <si>
    <t>Howard</t>
  </si>
  <si>
    <t>Saint Peter's</t>
  </si>
  <si>
    <t>Grambling</t>
  </si>
  <si>
    <t>Assists Per Game (351 ranked)</t>
  </si>
  <si>
    <t>Bench Points per game (351 ranked)</t>
  </si>
  <si>
    <t>Cornell</t>
  </si>
  <si>
    <t>Blocks Per Game (351 ranked)</t>
  </si>
  <si>
    <t>App State</t>
  </si>
  <si>
    <t>Effective FG pct (351 ranked)</t>
  </si>
  <si>
    <t>Indiana St.</t>
  </si>
  <si>
    <t>Fastbreak Points (351 ranked)</t>
  </si>
  <si>
    <t>Field Goal Percentage (351 ranked)</t>
  </si>
  <si>
    <t>Wright St.</t>
  </si>
  <si>
    <t>Field Goal Percentage Defense (351 ranked)</t>
  </si>
  <si>
    <t>Fouls Per Game (351 ranked)</t>
  </si>
  <si>
    <t>Free Throw Attempts Per Game (351 ranked)</t>
  </si>
  <si>
    <t>Winthrop</t>
  </si>
  <si>
    <t>Free Throw Percentage (351 ranked)</t>
  </si>
  <si>
    <t>Villanova</t>
  </si>
  <si>
    <t>Free Throws Made Per Game (351 ranked)</t>
  </si>
  <si>
    <t>High Point</t>
  </si>
  <si>
    <t>Rebound Margin (351 ranked)</t>
  </si>
  <si>
    <t>Rebounds (Defensive) Per Game (351 ranked)</t>
  </si>
  <si>
    <t>UT Martin</t>
  </si>
  <si>
    <t>Rebounds (Offensive) Per Game (351 ranked)</t>
  </si>
  <si>
    <t>Rebounds Per Game (351 ranked)</t>
  </si>
  <si>
    <t>Scoring Defense (351 ranked)</t>
  </si>
  <si>
    <t>Scoring Margin (351 ranked)</t>
  </si>
  <si>
    <t>Scoring Offense (351 ranked)</t>
  </si>
  <si>
    <t>Steals Per Game (351 ranked)</t>
  </si>
  <si>
    <t>UTEP</t>
  </si>
  <si>
    <t>Three Point Attempts Per Game (351 ranked)</t>
  </si>
  <si>
    <t>North Florida</t>
  </si>
  <si>
    <t>Three Point Percentage (351 ranked)</t>
  </si>
  <si>
    <t>Three Point Percentage Defense (351 ranked)</t>
  </si>
  <si>
    <t>Louisiana</t>
  </si>
  <si>
    <t>Three Pointers Per Game (351 ranked)</t>
  </si>
  <si>
    <t>Turnover Margin (351 ranked)</t>
  </si>
  <si>
    <t>Turnovers Forced Per Game (351 ranked)</t>
  </si>
  <si>
    <t>Turnovers Per Game (351 ranked)</t>
  </si>
  <si>
    <t>Winning Percentage (351 ranked)</t>
  </si>
  <si>
    <t>BPI+ Name</t>
  </si>
  <si>
    <t>Stats Category</t>
  </si>
  <si>
    <t>Stat ID</t>
  </si>
  <si>
    <t>3PD%</t>
  </si>
  <si>
    <t>3PPG</t>
  </si>
  <si>
    <t>3PT%</t>
  </si>
  <si>
    <t>3PTA</t>
  </si>
  <si>
    <t>A:T</t>
  </si>
  <si>
    <t>APG</t>
  </si>
  <si>
    <t>Bench</t>
  </si>
  <si>
    <t>Bench Points per game (350 ranked)</t>
  </si>
  <si>
    <t>BPG</t>
  </si>
  <si>
    <t>DFG%</t>
  </si>
  <si>
    <t>DRPG</t>
  </si>
  <si>
    <t>EFG%</t>
  </si>
  <si>
    <t>FB</t>
  </si>
  <si>
    <t>FG%</t>
  </si>
  <si>
    <t>FPG</t>
  </si>
  <si>
    <t>FT%</t>
  </si>
  <si>
    <t>FTA</t>
  </si>
  <si>
    <t>FTPG</t>
  </si>
  <si>
    <t>OPPG</t>
  </si>
  <si>
    <t>ORPG</t>
  </si>
  <si>
    <t>PPG</t>
  </si>
  <si>
    <t>RM</t>
  </si>
  <si>
    <t>RPG</t>
  </si>
  <si>
    <t>SM</t>
  </si>
  <si>
    <t>SPG</t>
  </si>
  <si>
    <t>TM</t>
  </si>
  <si>
    <t>TOF</t>
  </si>
  <si>
    <t>TPG</t>
  </si>
  <si>
    <t>BPI+ Value</t>
  </si>
  <si>
    <t>Miami</t>
  </si>
  <si>
    <t>Ole Miss</t>
  </si>
  <si>
    <t>Fort Wayne</t>
  </si>
  <si>
    <t>Florida State</t>
  </si>
  <si>
    <t>Iowa State</t>
  </si>
  <si>
    <t>Kansas State</t>
  </si>
  <si>
    <t>Weber State</t>
  </si>
  <si>
    <t>Michigan State</t>
  </si>
  <si>
    <t>Ohio State</t>
  </si>
  <si>
    <t>Indiana State</t>
  </si>
  <si>
    <t>San Diego State</t>
  </si>
  <si>
    <t>Colorado State</t>
  </si>
  <si>
    <t>Utah State</t>
  </si>
  <si>
    <t>Morehead State</t>
  </si>
  <si>
    <t>Mississippi State</t>
  </si>
  <si>
    <t>South Dakota State</t>
  </si>
  <si>
    <t>Jacksonville State</t>
  </si>
  <si>
    <t>Norfolk State</t>
  </si>
  <si>
    <t>Boise State</t>
  </si>
  <si>
    <t>Florida Atlantic</t>
  </si>
  <si>
    <t>Connecticut</t>
  </si>
  <si>
    <t>USC</t>
  </si>
  <si>
    <t>Saint Mary's</t>
  </si>
  <si>
    <t>Princeton</t>
  </si>
  <si>
    <t>Oklahoma</t>
  </si>
  <si>
    <t>Cincinnati</t>
  </si>
  <si>
    <t>Liberty</t>
  </si>
  <si>
    <t>Iowa</t>
  </si>
  <si>
    <t>Pittsburgh</t>
  </si>
  <si>
    <t>Utah</t>
  </si>
  <si>
    <t>Hofstra</t>
  </si>
  <si>
    <t>Butler</t>
  </si>
  <si>
    <t>Washington</t>
  </si>
  <si>
    <t>Memphis</t>
  </si>
  <si>
    <t>Providence</t>
  </si>
  <si>
    <t>UC Irvine</t>
  </si>
  <si>
    <t>Virginia Tech</t>
  </si>
  <si>
    <t>Xavier</t>
  </si>
  <si>
    <t>UNC Greensboro</t>
  </si>
  <si>
    <t>Michigan</t>
  </si>
  <si>
    <t>Rutgers</t>
  </si>
  <si>
    <t>Wake Forest</t>
  </si>
  <si>
    <t>Arkansas</t>
  </si>
  <si>
    <t>Lipscomb</t>
  </si>
  <si>
    <t>Merrimack</t>
  </si>
  <si>
    <t>Iona</t>
  </si>
  <si>
    <t>Stanford</t>
  </si>
  <si>
    <t>UCLA</t>
  </si>
  <si>
    <t>UCF</t>
  </si>
  <si>
    <t>St. John's</t>
  </si>
  <si>
    <t>Indiana</t>
  </si>
  <si>
    <t>San Francisco</t>
  </si>
  <si>
    <t>Drexel</t>
  </si>
  <si>
    <t>Southern</t>
  </si>
  <si>
    <t>SMU</t>
  </si>
  <si>
    <t>Seton Hall</t>
  </si>
  <si>
    <t>UNLV</t>
  </si>
  <si>
    <t>Washington State</t>
  </si>
  <si>
    <t>Syracuse</t>
  </si>
  <si>
    <t>Eastern Washington</t>
  </si>
  <si>
    <t>UNC Wilmington</t>
  </si>
  <si>
    <t>Louisiana Tech</t>
  </si>
  <si>
    <t>Quinnipiac</t>
  </si>
  <si>
    <t>Maryland</t>
  </si>
  <si>
    <t>USF</t>
  </si>
  <si>
    <t>Charleston</t>
  </si>
  <si>
    <t>Montana</t>
  </si>
  <si>
    <t>Texas Southern</t>
  </si>
  <si>
    <t>Montana State</t>
  </si>
  <si>
    <t>Western Kentucky</t>
  </si>
  <si>
    <t>VCU</t>
  </si>
  <si>
    <t>Fairfield</t>
  </si>
  <si>
    <t>Long Beach State</t>
  </si>
  <si>
    <t>Brown</t>
  </si>
  <si>
    <t>George Mason</t>
  </si>
  <si>
    <t>Louisville</t>
  </si>
  <si>
    <t>UMass Lowell</t>
  </si>
  <si>
    <t>West Virginia</t>
  </si>
  <si>
    <t>Kent State</t>
  </si>
  <si>
    <t>Bradley</t>
  </si>
  <si>
    <t>Murray State</t>
  </si>
  <si>
    <t>Central Connecticut</t>
  </si>
  <si>
    <t>Little Rock</t>
  </si>
  <si>
    <t>Georgia</t>
  </si>
  <si>
    <t>LSU</t>
  </si>
  <si>
    <t>Missouri</t>
  </si>
  <si>
    <t>Arkansas State</t>
  </si>
  <si>
    <t>Penn State</t>
  </si>
  <si>
    <t>Vanderbilt</t>
  </si>
  <si>
    <t>Arizona State</t>
  </si>
  <si>
    <t>North Texas</t>
  </si>
  <si>
    <t>Milwaukee</t>
  </si>
  <si>
    <t>Northern Colorado</t>
  </si>
  <si>
    <t>Bryant</t>
  </si>
  <si>
    <t>Stats Map</t>
  </si>
  <si>
    <t>Count Check</t>
  </si>
  <si>
    <t>ID</t>
  </si>
  <si>
    <t>INI</t>
  </si>
  <si>
    <t>Miami (FL)</t>
  </si>
  <si>
    <t>MIA</t>
  </si>
  <si>
    <t>MISS</t>
  </si>
  <si>
    <t>Purdue Fort Wayne</t>
  </si>
  <si>
    <t>PFW</t>
  </si>
  <si>
    <t>Florida St.</t>
  </si>
  <si>
    <t>FSU</t>
  </si>
  <si>
    <t>Kansas St.</t>
  </si>
  <si>
    <t>KSU</t>
  </si>
  <si>
    <t>Weber St.</t>
  </si>
  <si>
    <t>WEB</t>
  </si>
  <si>
    <t>Ohio St.</t>
  </si>
  <si>
    <t>OSU</t>
  </si>
  <si>
    <t>INST</t>
  </si>
  <si>
    <t>Jacksonville St.</t>
  </si>
  <si>
    <t>JVST</t>
  </si>
  <si>
    <t>Norfolk St.</t>
  </si>
  <si>
    <t>NORF</t>
  </si>
  <si>
    <t>Southern California</t>
  </si>
  <si>
    <t>PRIN</t>
  </si>
  <si>
    <t>OU</t>
  </si>
  <si>
    <t>CIN</t>
  </si>
  <si>
    <t>LIB</t>
  </si>
  <si>
    <t>IOWA</t>
  </si>
  <si>
    <t>PITT</t>
  </si>
  <si>
    <t>UTAH</t>
  </si>
  <si>
    <t>HOF</t>
  </si>
  <si>
    <t>VILL</t>
  </si>
  <si>
    <t>BUT</t>
  </si>
  <si>
    <t>WASH</t>
  </si>
  <si>
    <t>MEM</t>
  </si>
  <si>
    <t>PROV</t>
  </si>
  <si>
    <t>UCI</t>
  </si>
  <si>
    <t>VT</t>
  </si>
  <si>
    <t>XAV</t>
  </si>
  <si>
    <t>UNCG</t>
  </si>
  <si>
    <t>MICH</t>
  </si>
  <si>
    <t>RUTG</t>
  </si>
  <si>
    <t>WAKE</t>
  </si>
  <si>
    <t>ARK</t>
  </si>
  <si>
    <t>LIP</t>
  </si>
  <si>
    <t>MRMK</t>
  </si>
  <si>
    <t>IONA</t>
  </si>
  <si>
    <t>STAN</t>
  </si>
  <si>
    <t>WIN</t>
  </si>
  <si>
    <t>St. John's (NY)</t>
  </si>
  <si>
    <t>SJU</t>
  </si>
  <si>
    <t>IU</t>
  </si>
  <si>
    <t>SF</t>
  </si>
  <si>
    <t>DREX</t>
  </si>
  <si>
    <t>Southern U.</t>
  </si>
  <si>
    <t>SOU</t>
  </si>
  <si>
    <t>HALL</t>
  </si>
  <si>
    <t>SYR</t>
  </si>
  <si>
    <t>Eastern Wash.</t>
  </si>
  <si>
    <t>EWU</t>
  </si>
  <si>
    <t>HPU</t>
  </si>
  <si>
    <t>UNCW</t>
  </si>
  <si>
    <t>LT</t>
  </si>
  <si>
    <t>QUIN</t>
  </si>
  <si>
    <t>MD</t>
  </si>
  <si>
    <t>South Fla.</t>
  </si>
  <si>
    <t>MONT</t>
  </si>
  <si>
    <t>FAIR</t>
  </si>
  <si>
    <t>BRWN</t>
  </si>
  <si>
    <t>GMU</t>
  </si>
  <si>
    <t>LOU</t>
  </si>
  <si>
    <t>UML</t>
  </si>
  <si>
    <t>WVU</t>
  </si>
  <si>
    <t>KENT</t>
  </si>
  <si>
    <t>BRAD</t>
  </si>
  <si>
    <t>MUR</t>
  </si>
  <si>
    <t>Central Conn. St.</t>
  </si>
  <si>
    <t>CCSU</t>
  </si>
  <si>
    <t>LR</t>
  </si>
  <si>
    <t>UGA</t>
  </si>
  <si>
    <t>MIZ</t>
  </si>
  <si>
    <t>Arkansas St.</t>
  </si>
  <si>
    <t>ARST</t>
  </si>
  <si>
    <t>Penn St.</t>
  </si>
  <si>
    <t>PSU</t>
  </si>
  <si>
    <t>VAN</t>
  </si>
  <si>
    <t>ASU</t>
  </si>
  <si>
    <t>UNT</t>
  </si>
  <si>
    <t>MILW</t>
  </si>
  <si>
    <t>Northern Colo.</t>
  </si>
  <si>
    <t>UNCO</t>
  </si>
  <si>
    <t>BRY</t>
  </si>
  <si>
    <t>Kent St.</t>
  </si>
  <si>
    <t>Murray St.</t>
  </si>
  <si>
    <t>Arizona St.</t>
  </si>
  <si>
    <t>OPP</t>
  </si>
  <si>
    <t>SEASON</t>
  </si>
  <si>
    <t>GAME ID</t>
  </si>
  <si>
    <t>TEMPO</t>
  </si>
  <si>
    <t>FGA</t>
  </si>
  <si>
    <t>2PT FGM</t>
  </si>
  <si>
    <t>FUR</t>
  </si>
  <si>
    <t>UCSB</t>
  </si>
  <si>
    <t>AMCC</t>
  </si>
  <si>
    <t>KENN</t>
  </si>
  <si>
    <t>NKU</t>
  </si>
  <si>
    <t>UNCA</t>
  </si>
  <si>
    <t>ORU</t>
  </si>
  <si>
    <t>ULM</t>
  </si>
  <si>
    <t>FDU</t>
  </si>
  <si>
    <t>SEMO</t>
  </si>
  <si>
    <t>Assist/Turnover Ratio (352 ranked)</t>
  </si>
  <si>
    <t>Oral Roberts</t>
  </si>
  <si>
    <t>Furman</t>
  </si>
  <si>
    <t>UC Santa Barbara</t>
  </si>
  <si>
    <t>A&amp;M-Corpus Christi</t>
  </si>
  <si>
    <t>Northern Ky.</t>
  </si>
  <si>
    <t>Kennesaw St.</t>
  </si>
  <si>
    <t>Southeast Mo. St.</t>
  </si>
  <si>
    <t>UNC Asheville</t>
  </si>
  <si>
    <t>Assists Per Game (352 ranked)</t>
  </si>
  <si>
    <t>Bench Points per game (352 ranked)</t>
  </si>
  <si>
    <t>South Carolina St.</t>
  </si>
  <si>
    <t>Blocks Per Game (352 ranked)</t>
  </si>
  <si>
    <t>Utah Valley</t>
  </si>
  <si>
    <t>Effective FG pct (352 ranked)</t>
  </si>
  <si>
    <t>Fastbreak Points (352 ranked)</t>
  </si>
  <si>
    <t>Field Goal Percentage (352 ranked)</t>
  </si>
  <si>
    <t>Field Goal Percentage Defense (352 ranked)</t>
  </si>
  <si>
    <t>Fouls Per Game (352 ranked)</t>
  </si>
  <si>
    <t>Free Throw Attempts Per Game (352 ranked)</t>
  </si>
  <si>
    <t>UTRGV</t>
  </si>
  <si>
    <t>Free Throw Percentage (352 ranked)</t>
  </si>
  <si>
    <t>Free Throws Made Per Game (352 ranked)</t>
  </si>
  <si>
    <t>Rebound Margin (352 ranked)</t>
  </si>
  <si>
    <t>Rebounds (Defensive) Per Game (352 ranked)</t>
  </si>
  <si>
    <t>Rebounds (Offensive) Per Game (352 ranked)</t>
  </si>
  <si>
    <t>Rebounds Per Game (352 ranked)</t>
  </si>
  <si>
    <t>Scoring Defense (352 ranked)</t>
  </si>
  <si>
    <t>Scoring Margin (352 ranked)</t>
  </si>
  <si>
    <t>Scoring Offense (352 ranked)</t>
  </si>
  <si>
    <t>Steals Per Game (352 ranked)</t>
  </si>
  <si>
    <t>UMES</t>
  </si>
  <si>
    <t>Three Point Attempts Per Game (352 ranked)</t>
  </si>
  <si>
    <t>Three Point Percentage (352 ranked)</t>
  </si>
  <si>
    <t>Three Point Percentage Defense (352 ranked)</t>
  </si>
  <si>
    <t>Three Pointers Per Game (352 ranked)</t>
  </si>
  <si>
    <t>Chattanooga</t>
  </si>
  <si>
    <t>Turnover Margin (352 ranked)</t>
  </si>
  <si>
    <t>Turnovers Forced Per Game (352 ranked)</t>
  </si>
  <si>
    <t>Turnovers Per Game (352 ranked)</t>
  </si>
  <si>
    <t>Fairleigh Dickinson</t>
  </si>
  <si>
    <t>Texas A&amp;M-CC</t>
  </si>
  <si>
    <t>Kennesaw State</t>
  </si>
  <si>
    <t>Northern Kentucky</t>
  </si>
  <si>
    <t>UC San Diego</t>
  </si>
  <si>
    <t>Robert Morris</t>
  </si>
  <si>
    <t>Southeast Missouri</t>
  </si>
  <si>
    <t>Omaha</t>
  </si>
  <si>
    <t>SIU Edwardsville</t>
  </si>
  <si>
    <t>American</t>
  </si>
  <si>
    <t>Troy</t>
  </si>
  <si>
    <t>Wofford</t>
  </si>
  <si>
    <t>St. Francis (PA)</t>
  </si>
  <si>
    <t>Jackson State</t>
  </si>
  <si>
    <t>Mount St. Mary's</t>
  </si>
  <si>
    <t>Alabama State</t>
  </si>
  <si>
    <t>Saint Louis</t>
  </si>
  <si>
    <t>Notre Dame</t>
  </si>
  <si>
    <t>Wright State</t>
  </si>
  <si>
    <t>Northern Iowa</t>
  </si>
  <si>
    <t>Lindenwood</t>
  </si>
  <si>
    <t>ETSU</t>
  </si>
  <si>
    <t>North Dakota State</t>
  </si>
  <si>
    <t>Oklahoma State</t>
  </si>
  <si>
    <t>California</t>
  </si>
  <si>
    <t>Hawaii</t>
  </si>
  <si>
    <t>Miami-OH</t>
  </si>
  <si>
    <t>Long Island</t>
  </si>
  <si>
    <t>UT-Martin</t>
  </si>
  <si>
    <t>Navy</t>
  </si>
  <si>
    <t>Santa Clara</t>
  </si>
  <si>
    <t>Portland State</t>
  </si>
  <si>
    <t>Tulsa</t>
  </si>
  <si>
    <t>Belmont</t>
  </si>
  <si>
    <t>Bethune-Cookman</t>
  </si>
  <si>
    <t>SIUE</t>
  </si>
  <si>
    <t>Saint Francis</t>
  </si>
  <si>
    <t>Jackson St.</t>
  </si>
  <si>
    <t>Alabama St.</t>
  </si>
  <si>
    <t>North Dakota St.</t>
  </si>
  <si>
    <t>Oklahoma St.</t>
  </si>
  <si>
    <t>Miami (OH)</t>
  </si>
  <si>
    <t>LIU</t>
  </si>
  <si>
    <t>Portland St.</t>
  </si>
  <si>
    <t>TXSO</t>
  </si>
  <si>
    <t>UCSD</t>
  </si>
  <si>
    <t>RMU</t>
  </si>
  <si>
    <t>OMA</t>
  </si>
  <si>
    <t>UTC</t>
  </si>
  <si>
    <t>AMER</t>
  </si>
  <si>
    <t>TROY</t>
  </si>
  <si>
    <t>WOF</t>
  </si>
  <si>
    <t>SFPA</t>
  </si>
  <si>
    <t>JKST</t>
  </si>
  <si>
    <t>MSM</t>
  </si>
  <si>
    <t>ALST</t>
  </si>
  <si>
    <t>SLU</t>
  </si>
  <si>
    <t>ND</t>
  </si>
  <si>
    <t>WRST</t>
  </si>
  <si>
    <t>NIU</t>
  </si>
  <si>
    <t>LIN</t>
  </si>
  <si>
    <t>NDSU</t>
  </si>
  <si>
    <t>UVU</t>
  </si>
  <si>
    <t>OKST</t>
  </si>
  <si>
    <t>CAL</t>
  </si>
  <si>
    <t>HAW</t>
  </si>
  <si>
    <t>M-OH</t>
  </si>
  <si>
    <t>UTM</t>
  </si>
  <si>
    <t>NAVY</t>
  </si>
  <si>
    <t>SCU</t>
  </si>
  <si>
    <t>PRST</t>
  </si>
  <si>
    <t>TLSA</t>
  </si>
  <si>
    <t>BEL</t>
  </si>
  <si>
    <t>BCU</t>
  </si>
  <si>
    <t>Three Point Percentage Defense (355 ranked)</t>
  </si>
  <si>
    <t>Three Pointers Per Game (355 ranked)</t>
  </si>
  <si>
    <t>Three Point Percentage (355 ranked)</t>
  </si>
  <si>
    <t>Three Point Attempts Per Game (355 ranked)</t>
  </si>
  <si>
    <t>Assist/Turnover Ratio (355 ranked)</t>
  </si>
  <si>
    <t>Assists Per Game (355 ranked)</t>
  </si>
  <si>
    <t>Blocks Per Game (355 ranked)</t>
  </si>
  <si>
    <t>Field Goal Percentage Defense (355 ranked)</t>
  </si>
  <si>
    <t>Rebounds (Defensive) Per Game (355 ranked)</t>
  </si>
  <si>
    <t>Effective FG pct (355 ranked)</t>
  </si>
  <si>
    <t>Fastbreak Points (355 ranked)</t>
  </si>
  <si>
    <t>Field Goal Percentage (355 ranked)</t>
  </si>
  <si>
    <t>Fouls Per Game (355 ranked)</t>
  </si>
  <si>
    <t>Free Throw Percentage (355 ranked)</t>
  </si>
  <si>
    <t>Free Throw Attempts Per Game (355 ranked)</t>
  </si>
  <si>
    <t>Free Throws Made Per Game (355 ranked)</t>
  </si>
  <si>
    <t>Scoring Defense (355 ranked)</t>
  </si>
  <si>
    <t>Rebounds (Offensive) Per Game (355 ranked)</t>
  </si>
  <si>
    <t>Scoring Offense (355 ranked)</t>
  </si>
  <si>
    <t>Rebound Margin (355 ranked)</t>
  </si>
  <si>
    <t>Rebounds Per Game (355 ranked)</t>
  </si>
  <si>
    <t>Scoring Margin (355 ranked)</t>
  </si>
  <si>
    <t>Steals Per Game (355 ranked)</t>
  </si>
  <si>
    <t>Turnover Margin (355 ranked)</t>
  </si>
  <si>
    <t>Turnovers Forced Per Game (355 ranked)</t>
  </si>
  <si>
    <t>Turnovers Per Game (355 ranked)</t>
  </si>
  <si>
    <t>2PT MADE</t>
  </si>
  <si>
    <t>2PT ATT</t>
  </si>
  <si>
    <t>Bench Points per game (355 ranked)</t>
  </si>
  <si>
    <t>South Dakota</t>
  </si>
  <si>
    <t>Abilene Christian</t>
  </si>
  <si>
    <t>Winning Percentage (354 ranked)</t>
  </si>
  <si>
    <t>Ways a possession for Team1 ends:</t>
  </si>
  <si>
    <t>2PT made, no foul</t>
  </si>
  <si>
    <t>3PT made, no foul</t>
  </si>
  <si>
    <t>3PT made, foul adding 1 FTA</t>
  </si>
  <si>
    <t>2PT made, foul adding 1 FTA</t>
  </si>
  <si>
    <t>Foul by Team2, resulting in 1+1 FT for Team1</t>
  </si>
  <si>
    <t>Foul by Team2, resulting in 2 FT for Team1</t>
  </si>
  <si>
    <t>Foul by Team2, resulting in 3 FT for Team1</t>
  </si>
  <si>
    <t>Turnover by Team1 (this includes Offensive Fouls which can result in FTs for Team2)</t>
  </si>
  <si>
    <t>Jump ball with loss of possession</t>
  </si>
  <si>
    <t>Offensive rebound as a result of a missed FT or FG resets possession</t>
  </si>
  <si>
    <t>Missed FG, defensive rebound</t>
  </si>
  <si>
    <t>How do we classify fouls by Team2 on Team1?</t>
  </si>
  <si>
    <t>Foul results in 1+1 for Team1</t>
  </si>
  <si>
    <t>Foul results in reset possession for Team1</t>
  </si>
  <si>
    <t>Foul results in 2 FTA for Team1</t>
  </si>
  <si>
    <t>Foul results in 3 FTA for Team1</t>
  </si>
  <si>
    <t>More fouls by Team2 decreases likelihood, more FTA by Team1 decreases likelihood</t>
  </si>
  <si>
    <t>Causes this</t>
  </si>
  <si>
    <t>Non-shooting, Team2 &lt; 7 fouls in half</t>
  </si>
  <si>
    <t>Non-shooting, Team2 7th, 8th, 9th foul in half</t>
  </si>
  <si>
    <t>Shooting 2pt or Team2 10th+ foul in half</t>
  </si>
  <si>
    <t>Shooting 3pt</t>
  </si>
  <si>
    <t>Depends on</t>
  </si>
  <si>
    <t>Possessions = FGA - ORB + TO + 0.475 * FTA</t>
  </si>
  <si>
    <t>Simplify the complexity with Dean Oliver Possession Logic:</t>
  </si>
  <si>
    <t>POSS</t>
  </si>
  <si>
    <t>TARGET POSS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</si>
</sst>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8" tint="0.3999755851924192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8" tint="0.39997558519241921"/>
      </right>
      <top/>
      <bottom style="medium">
        <color indexed="64"/>
      </bottom>
      <diagonal/>
    </border>
    <border>
      <left style="thin">
        <color theme="8" tint="0.39997558519241921"/>
      </left>
      <right style="medium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 style="thin">
        <color theme="8" tint="0.39997558519241921"/>
      </left>
      <right style="medium">
        <color theme="8"/>
      </right>
      <top style="thin">
        <color theme="4"/>
      </top>
      <bottom style="medium">
        <color indexed="64"/>
      </bottom>
      <diagonal/>
    </border>
  </borders>
  <cellStyleXfs count="2">
    <xf numFmtId="0" fontId="0" fillId="0" borderId="0"/>
    <xf numFmtId="0" fontId="4" fillId="0" borderId="5" applyNumberFormat="0" applyFill="0" applyAlignment="0" applyProtection="0"/>
  </cellStyleXfs>
  <cellXfs count="54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1" fillId="5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3" borderId="5" xfId="1" applyFill="1" applyAlignment="1">
      <alignment horizontal="center"/>
    </xf>
    <xf numFmtId="0" fontId="3" fillId="7" borderId="6" xfId="0" applyFont="1" applyFill="1" applyBorder="1" applyAlignment="1">
      <alignment horizontal="left"/>
    </xf>
    <xf numFmtId="165" fontId="1" fillId="7" borderId="0" xfId="0" applyNumberFormat="1" applyFont="1" applyFill="1" applyAlignment="1">
      <alignment horizontal="right"/>
    </xf>
    <xf numFmtId="0" fontId="1" fillId="7" borderId="0" xfId="0" applyFont="1" applyFill="1" applyAlignment="1">
      <alignment horizontal="right"/>
    </xf>
    <xf numFmtId="2" fontId="1" fillId="7" borderId="0" xfId="0" applyNumberFormat="1" applyFont="1" applyFill="1" applyAlignment="1">
      <alignment horizontal="right"/>
    </xf>
    <xf numFmtId="164" fontId="1" fillId="7" borderId="0" xfId="0" applyNumberFormat="1" applyFont="1" applyFill="1" applyAlignment="1">
      <alignment horizontal="right"/>
    </xf>
    <xf numFmtId="0" fontId="4" fillId="7" borderId="5" xfId="1" applyFill="1" applyAlignment="1">
      <alignment horizontal="left"/>
    </xf>
    <xf numFmtId="0" fontId="1" fillId="7" borderId="0" xfId="0" applyFont="1" applyFill="1" applyAlignment="1">
      <alignment horizontal="left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3" fillId="7" borderId="2" xfId="0" applyFont="1" applyFill="1" applyBorder="1"/>
    <xf numFmtId="0" fontId="0" fillId="7" borderId="0" xfId="0" applyFill="1"/>
    <xf numFmtId="0" fontId="4" fillId="7" borderId="5" xfId="1" applyFill="1" applyAlignment="1"/>
    <xf numFmtId="0" fontId="1" fillId="3" borderId="2" xfId="0" applyFont="1" applyFill="1" applyBorder="1" applyAlignment="1">
      <alignment horizontal="left"/>
    </xf>
    <xf numFmtId="0" fontId="3" fillId="7" borderId="6" xfId="0" applyFont="1" applyFill="1" applyBorder="1"/>
    <xf numFmtId="165" fontId="1" fillId="7" borderId="0" xfId="0" applyNumberFormat="1" applyFont="1" applyFill="1"/>
    <xf numFmtId="0" fontId="1" fillId="7" borderId="0" xfId="0" applyFont="1" applyFill="1"/>
    <xf numFmtId="2" fontId="1" fillId="7" borderId="0" xfId="0" applyNumberFormat="1" applyFont="1" applyFill="1"/>
    <xf numFmtId="164" fontId="1" fillId="7" borderId="0" xfId="0" applyNumberFormat="1" applyFont="1" applyFill="1"/>
    <xf numFmtId="0" fontId="6" fillId="7" borderId="5" xfId="1" applyFont="1" applyFill="1" applyAlignment="1"/>
    <xf numFmtId="0" fontId="3" fillId="6" borderId="2" xfId="0" applyFont="1" applyFill="1" applyBorder="1"/>
    <xf numFmtId="0" fontId="4" fillId="3" borderId="5" xfId="1" applyFill="1" applyAlignment="1"/>
    <xf numFmtId="0" fontId="3" fillId="8" borderId="2" xfId="0" applyFont="1" applyFill="1" applyBorder="1"/>
    <xf numFmtId="1" fontId="0" fillId="8" borderId="0" xfId="0" applyNumberFormat="1" applyFill="1"/>
    <xf numFmtId="0" fontId="4" fillId="8" borderId="5" xfId="1" applyFill="1" applyAlignment="1"/>
    <xf numFmtId="0" fontId="0" fillId="8" borderId="0" xfId="0" applyFill="1"/>
    <xf numFmtId="0" fontId="0" fillId="3" borderId="2" xfId="0" applyFill="1" applyBorder="1"/>
    <xf numFmtId="0" fontId="1" fillId="3" borderId="2" xfId="0" applyFont="1" applyFill="1" applyBorder="1"/>
    <xf numFmtId="1" fontId="0" fillId="6" borderId="0" xfId="0" applyNumberFormat="1" applyFill="1"/>
    <xf numFmtId="0" fontId="4" fillId="6" borderId="5" xfId="1" applyFill="1" applyAlignment="1"/>
    <xf numFmtId="0" fontId="0" fillId="6" borderId="0" xfId="0" applyFill="1"/>
  </cellXfs>
  <cellStyles count="2">
    <cellStyle name="Normal" xfId="0" builtinId="0"/>
    <cellStyle name="Total" xfId="1" builtinId="25"/>
  </cellStyles>
  <dxfs count="1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483ebec2dab5e3/Desktop/NCAA%202024-25.xlsx" TargetMode="External"/><Relationship Id="rId1" Type="http://schemas.openxmlformats.org/officeDocument/2006/relationships/externalLinkPath" Target="NCAA%20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s import"/>
      <sheetName val="SODiv Index"/>
      <sheetName val="Conf Tourn Schedule"/>
      <sheetName val="mapping"/>
      <sheetName val="BPI+"/>
      <sheetName val="Seeding"/>
      <sheetName val="Analysis"/>
      <sheetName val="Bracket"/>
      <sheetName val="1v1 (Prediction Tool)"/>
      <sheetName val="Equity (Prediction Tool)"/>
      <sheetName val="KenPom import"/>
      <sheetName val="Net Import"/>
      <sheetName val="Selection Sunday"/>
      <sheetName val="Schedules"/>
      <sheetName val="Map of Bracket (for Pred Tools)"/>
    </sheetNames>
    <sheetDataSet>
      <sheetData sheetId="0" refreshError="1"/>
      <sheetData sheetId="1" refreshError="1"/>
      <sheetData sheetId="2" refreshError="1"/>
      <sheetData sheetId="3" refreshError="1">
        <row r="1">
          <cell r="F1" t="str">
            <v>Stats Map</v>
          </cell>
          <cell r="K1" t="str">
            <v>BPI+ Name</v>
          </cell>
          <cell r="L1" t="str">
            <v>Stats Category</v>
          </cell>
        </row>
        <row r="2">
          <cell r="K2" t="str">
            <v>3PD%</v>
          </cell>
          <cell r="L2" t="str">
            <v>Three Point Percentage Defense (355 ranked)</v>
          </cell>
        </row>
        <row r="3">
          <cell r="K3" t="str">
            <v>3PPG</v>
          </cell>
          <cell r="L3" t="str">
            <v>Three Pointers Per Game (355 ranked)</v>
          </cell>
        </row>
        <row r="4">
          <cell r="K4" t="str">
            <v>3PT%</v>
          </cell>
          <cell r="L4" t="str">
            <v>Three Point Percentage (355 ranked)</v>
          </cell>
        </row>
        <row r="5">
          <cell r="K5" t="str">
            <v>3PTA</v>
          </cell>
          <cell r="L5" t="str">
            <v>Three Point Attempts Per Game (355 ranked)</v>
          </cell>
        </row>
        <row r="6">
          <cell r="K6" t="str">
            <v>A:T</v>
          </cell>
          <cell r="L6" t="str">
            <v>Assist/Turnover Ratio (355 ranked)</v>
          </cell>
        </row>
        <row r="7">
          <cell r="K7" t="str">
            <v>APG</v>
          </cell>
          <cell r="L7" t="str">
            <v>Assists Per Game (355 ranked)</v>
          </cell>
        </row>
        <row r="8">
          <cell r="K8" t="str">
            <v>Bench</v>
          </cell>
          <cell r="L8" t="str">
            <v>Bench Points per game (350 ranked)</v>
          </cell>
        </row>
        <row r="9">
          <cell r="K9" t="str">
            <v>BPG</v>
          </cell>
          <cell r="L9" t="str">
            <v>Blocks Per Game (355 ranked)</v>
          </cell>
        </row>
        <row r="10">
          <cell r="K10" t="str">
            <v>DFG%</v>
          </cell>
          <cell r="L10" t="str">
            <v>Field Goal Percentage Defense (355 ranked)</v>
          </cell>
        </row>
        <row r="11">
          <cell r="K11" t="str">
            <v>DRPG</v>
          </cell>
          <cell r="L11" t="str">
            <v>Rebounds (Defensive) Per Game (355 ranked)</v>
          </cell>
        </row>
        <row r="12">
          <cell r="K12" t="str">
            <v>EFG%</v>
          </cell>
          <cell r="L12" t="str">
            <v>Effective FG pct (355 ranked)</v>
          </cell>
        </row>
        <row r="13">
          <cell r="K13" t="str">
            <v>FB</v>
          </cell>
          <cell r="L13" t="str">
            <v>Fastbreak Points (355 ranked)</v>
          </cell>
        </row>
        <row r="14">
          <cell r="K14" t="str">
            <v>FG%</v>
          </cell>
          <cell r="L14" t="str">
            <v>Field Goal Percentage (355 ranked)</v>
          </cell>
        </row>
        <row r="15">
          <cell r="K15" t="str">
            <v>FPG</v>
          </cell>
          <cell r="L15" t="str">
            <v>Fouls Per Game (355 ranked)</v>
          </cell>
        </row>
        <row r="16">
          <cell r="K16" t="str">
            <v>FT%</v>
          </cell>
          <cell r="L16" t="str">
            <v>Free Throw Percentage (355 ranked)</v>
          </cell>
        </row>
        <row r="17">
          <cell r="K17" t="str">
            <v>FTA</v>
          </cell>
          <cell r="L17" t="str">
            <v>Free Throw Attempts Per Game (355 ranked)</v>
          </cell>
        </row>
        <row r="18">
          <cell r="K18" t="str">
            <v>FTPG</v>
          </cell>
          <cell r="L18" t="str">
            <v>Free Throws Made Per Game (354 ranked)</v>
          </cell>
        </row>
        <row r="19">
          <cell r="K19" t="str">
            <v>OPPG</v>
          </cell>
          <cell r="L19" t="str">
            <v>Scoring Defense (355 ranked)</v>
          </cell>
        </row>
        <row r="20">
          <cell r="K20" t="str">
            <v>ORPG</v>
          </cell>
          <cell r="L20" t="str">
            <v>Rebounds (Offensive) Per Game (355 ranked)</v>
          </cell>
        </row>
        <row r="21">
          <cell r="K21" t="str">
            <v>PPG</v>
          </cell>
          <cell r="L21" t="str">
            <v>Scoring Offense (355 ranked)</v>
          </cell>
        </row>
        <row r="22">
          <cell r="K22" t="str">
            <v>RM</v>
          </cell>
          <cell r="L22" t="str">
            <v>Rebound Margin (355 ranked)</v>
          </cell>
        </row>
        <row r="23">
          <cell r="K23" t="str">
            <v>RPG</v>
          </cell>
          <cell r="L23" t="str">
            <v>Rebounds Per Game (355 ranked)</v>
          </cell>
        </row>
        <row r="24">
          <cell r="K24" t="str">
            <v>SM</v>
          </cell>
          <cell r="L24" t="str">
            <v>Scoring Margin (355 ranked)</v>
          </cell>
        </row>
        <row r="25">
          <cell r="K25" t="str">
            <v>SPG</v>
          </cell>
          <cell r="L25" t="str">
            <v>Steals Per Game (355 ranked)</v>
          </cell>
        </row>
        <row r="26">
          <cell r="K26" t="str">
            <v>TM</v>
          </cell>
          <cell r="L26" t="str">
            <v>Turnover Margin (355 ranked)</v>
          </cell>
        </row>
        <row r="27">
          <cell r="K27" t="str">
            <v>TOF</v>
          </cell>
          <cell r="L27" t="str">
            <v>Turnovers Forced Per Game (355 ranked)</v>
          </cell>
        </row>
        <row r="28">
          <cell r="K28" t="str">
            <v>TPG</v>
          </cell>
          <cell r="L28" t="str">
            <v>Turnovers Per Game (355 ranked)</v>
          </cell>
        </row>
        <row r="29">
          <cell r="K29" t="str">
            <v>Bench</v>
          </cell>
          <cell r="L29" t="str">
            <v>Bench Points per game (355 ranked)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AC03-5686-4BC7-A3F5-BF3F0EE3289E}">
  <sheetPr>
    <tabColor theme="9" tint="0.79998168889431442"/>
  </sheetPr>
  <dimension ref="A1:AH69"/>
  <sheetViews>
    <sheetView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E59" sqref="E59"/>
    </sheetView>
  </sheetViews>
  <sheetFormatPr defaultRowHeight="14.4" x14ac:dyDescent="0.3"/>
  <cols>
    <col min="5" max="31" width="8.77734375" style="12"/>
  </cols>
  <sheetData>
    <row r="1" spans="1:34" s="8" customFormat="1" ht="16.2" thickBot="1" x14ac:dyDescent="0.35">
      <c r="A1" s="7" t="s">
        <v>0</v>
      </c>
      <c r="B1" s="8" t="s">
        <v>1</v>
      </c>
      <c r="C1" s="8" t="s">
        <v>71</v>
      </c>
      <c r="D1" s="9" t="s">
        <v>403</v>
      </c>
      <c r="E1" s="8" t="s">
        <v>185</v>
      </c>
      <c r="F1" s="8" t="s">
        <v>186</v>
      </c>
      <c r="G1" s="8" t="s">
        <v>187</v>
      </c>
      <c r="H1" s="8" t="s">
        <v>188</v>
      </c>
      <c r="I1" s="8" t="s">
        <v>189</v>
      </c>
      <c r="J1" s="8" t="s">
        <v>190</v>
      </c>
      <c r="K1" s="8" t="s">
        <v>191</v>
      </c>
      <c r="L1" s="8" t="s">
        <v>193</v>
      </c>
      <c r="M1" s="8" t="s">
        <v>194</v>
      </c>
      <c r="N1" s="8" t="s">
        <v>195</v>
      </c>
      <c r="O1" s="8" t="s">
        <v>196</v>
      </c>
      <c r="P1" s="8" t="s">
        <v>197</v>
      </c>
      <c r="Q1" s="8" t="s">
        <v>198</v>
      </c>
      <c r="R1" s="8" t="s">
        <v>199</v>
      </c>
      <c r="S1" s="8" t="s">
        <v>200</v>
      </c>
      <c r="T1" s="8" t="s">
        <v>201</v>
      </c>
      <c r="U1" s="8" t="s">
        <v>202</v>
      </c>
      <c r="V1" s="8" t="s">
        <v>203</v>
      </c>
      <c r="W1" s="8" t="s">
        <v>204</v>
      </c>
      <c r="X1" s="8" t="s">
        <v>205</v>
      </c>
      <c r="Y1" s="8" t="s">
        <v>206</v>
      </c>
      <c r="Z1" s="8" t="s">
        <v>207</v>
      </c>
      <c r="AA1" s="8" t="s">
        <v>208</v>
      </c>
      <c r="AB1" s="8" t="s">
        <v>209</v>
      </c>
      <c r="AC1" s="8" t="s">
        <v>210</v>
      </c>
      <c r="AD1" s="8" t="s">
        <v>211</v>
      </c>
      <c r="AE1" s="8" t="s">
        <v>212</v>
      </c>
      <c r="AF1" s="8" t="s">
        <v>406</v>
      </c>
      <c r="AG1" s="8" t="s">
        <v>408</v>
      </c>
      <c r="AH1" s="8" t="s">
        <v>407</v>
      </c>
    </row>
    <row r="2" spans="1:34" s="2" customFormat="1" ht="15.6" x14ac:dyDescent="0.3">
      <c r="A2" s="6" t="s">
        <v>2</v>
      </c>
      <c r="B2" s="2">
        <v>1</v>
      </c>
      <c r="C2" s="3">
        <v>6</v>
      </c>
      <c r="D2" s="5" t="s">
        <v>404</v>
      </c>
      <c r="E2" s="32">
        <f t="shared" ref="E2:N11" si="0">INDEX(rawValue,MATCH(INDEX(teamID,MATCH(INDEX(ovrTeamCol,ROW(),1),teamINI,0))+INDEX(statID,MATCH(INDEX(ovrHeaderRow,1,COLUMN()),statAbbr,0),1),rawLookup,0))</f>
        <v>31.2</v>
      </c>
      <c r="F2" s="32">
        <f t="shared" si="0"/>
        <v>8.5</v>
      </c>
      <c r="G2" s="32">
        <f t="shared" si="0"/>
        <v>35.799999999999997</v>
      </c>
      <c r="H2" s="32">
        <f t="shared" si="0"/>
        <v>23.8</v>
      </c>
      <c r="I2" s="32">
        <f t="shared" si="0"/>
        <v>1.95</v>
      </c>
      <c r="J2" s="32">
        <f t="shared" si="0"/>
        <v>18.7</v>
      </c>
      <c r="K2" s="32">
        <f t="shared" si="0"/>
        <v>16.149999999999999</v>
      </c>
      <c r="L2" s="32">
        <f t="shared" si="0"/>
        <v>5.4</v>
      </c>
      <c r="M2" s="32">
        <f t="shared" si="0"/>
        <v>39.200000000000003</v>
      </c>
      <c r="N2" s="32">
        <f t="shared" si="0"/>
        <v>27.1</v>
      </c>
      <c r="O2" s="32">
        <f t="shared" ref="O2:X11" si="1">INDEX(rawValue,MATCH(INDEX(teamID,MATCH(INDEX(ovrTeamCol,ROW(),1),teamINI,0))+INDEX(statID,MATCH(INDEX(ovrHeaderRow,1,COLUMN()),statAbbr,0),1),rawLookup,0))</f>
        <v>0.56899999999999995</v>
      </c>
      <c r="P2" s="32">
        <f t="shared" si="1"/>
        <v>11.95</v>
      </c>
      <c r="Q2" s="32">
        <f t="shared" si="1"/>
        <v>49.7</v>
      </c>
      <c r="R2" s="32">
        <f t="shared" si="1"/>
        <v>16.3</v>
      </c>
      <c r="S2" s="32">
        <f t="shared" si="1"/>
        <v>74.3</v>
      </c>
      <c r="T2" s="32">
        <f t="shared" si="1"/>
        <v>18.899999999999999</v>
      </c>
      <c r="U2" s="32">
        <f t="shared" si="1"/>
        <v>14.1</v>
      </c>
      <c r="V2" s="32">
        <f t="shared" si="1"/>
        <v>63.4</v>
      </c>
      <c r="W2" s="32">
        <f t="shared" si="1"/>
        <v>11.73</v>
      </c>
      <c r="X2" s="32">
        <f t="shared" si="1"/>
        <v>81.400000000000006</v>
      </c>
      <c r="Y2" s="32">
        <f t="shared" ref="Y2:AE11" si="2">INDEX(rawValue,MATCH(INDEX(teamID,MATCH(INDEX(ovrTeamCol,ROW(),1),teamINI,0))+INDEX(statID,MATCH(INDEX(ovrHeaderRow,1,COLUMN()),statAbbr,0),1),rawLookup,0))</f>
        <v>8.6999999999999993</v>
      </c>
      <c r="Z2" s="32">
        <f t="shared" si="2"/>
        <v>38.83</v>
      </c>
      <c r="AA2" s="32">
        <f t="shared" si="2"/>
        <v>18</v>
      </c>
      <c r="AB2" s="32">
        <f t="shared" si="2"/>
        <v>6.2</v>
      </c>
      <c r="AC2" s="32">
        <f t="shared" si="2"/>
        <v>1</v>
      </c>
      <c r="AD2" s="32">
        <f t="shared" si="2"/>
        <v>10.55</v>
      </c>
      <c r="AE2" s="32">
        <f t="shared" si="2"/>
        <v>9.6</v>
      </c>
      <c r="AF2" s="29">
        <v>67.900000000000006</v>
      </c>
      <c r="AG2" s="30">
        <f>(X2-U2-F2*3)/2</f>
        <v>20.900000000000006</v>
      </c>
      <c r="AH2" s="31">
        <f>(AG2+F2)*100/Q2</f>
        <v>59.154929577464792</v>
      </c>
    </row>
    <row r="3" spans="1:34" s="2" customFormat="1" ht="15.6" x14ac:dyDescent="0.3">
      <c r="A3" s="6" t="s">
        <v>54</v>
      </c>
      <c r="B3" s="2">
        <v>1</v>
      </c>
      <c r="C3" s="3">
        <v>6</v>
      </c>
      <c r="D3" s="5" t="s">
        <v>404</v>
      </c>
      <c r="E3" s="32">
        <f t="shared" si="0"/>
        <v>31.5</v>
      </c>
      <c r="F3" s="32">
        <f t="shared" si="0"/>
        <v>8.1999999999999993</v>
      </c>
      <c r="G3" s="32">
        <f t="shared" si="0"/>
        <v>40.4</v>
      </c>
      <c r="H3" s="32">
        <f t="shared" si="0"/>
        <v>20.2</v>
      </c>
      <c r="I3" s="32">
        <f t="shared" si="0"/>
        <v>1.63</v>
      </c>
      <c r="J3" s="32">
        <f t="shared" si="0"/>
        <v>18.5</v>
      </c>
      <c r="K3" s="32">
        <f t="shared" si="0"/>
        <v>16.72</v>
      </c>
      <c r="L3" s="32">
        <f t="shared" si="0"/>
        <v>3.6</v>
      </c>
      <c r="M3" s="32">
        <f t="shared" si="0"/>
        <v>41.7</v>
      </c>
      <c r="N3" s="32">
        <f t="shared" si="0"/>
        <v>28.23</v>
      </c>
      <c r="O3" s="32">
        <f t="shared" si="1"/>
        <v>0.55800000000000005</v>
      </c>
      <c r="P3" s="32">
        <f t="shared" si="1"/>
        <v>7</v>
      </c>
      <c r="Q3" s="32">
        <f t="shared" si="1"/>
        <v>48.8</v>
      </c>
      <c r="R3" s="32">
        <f t="shared" si="1"/>
        <v>13.7</v>
      </c>
      <c r="S3" s="32">
        <f t="shared" si="1"/>
        <v>72</v>
      </c>
      <c r="T3" s="32">
        <f t="shared" si="1"/>
        <v>24.1</v>
      </c>
      <c r="U3" s="32">
        <f t="shared" si="1"/>
        <v>17.3</v>
      </c>
      <c r="V3" s="32">
        <f t="shared" si="1"/>
        <v>68.900000000000006</v>
      </c>
      <c r="W3" s="32">
        <f t="shared" si="1"/>
        <v>12.21</v>
      </c>
      <c r="X3" s="32">
        <f t="shared" si="1"/>
        <v>82.3</v>
      </c>
      <c r="Y3" s="32">
        <f t="shared" si="2"/>
        <v>11.2</v>
      </c>
      <c r="Z3" s="32">
        <f t="shared" si="2"/>
        <v>40.44</v>
      </c>
      <c r="AA3" s="32">
        <f t="shared" si="2"/>
        <v>13.4</v>
      </c>
      <c r="AB3" s="32">
        <f t="shared" si="2"/>
        <v>5.4</v>
      </c>
      <c r="AC3" s="32">
        <f t="shared" si="2"/>
        <v>-1.9</v>
      </c>
      <c r="AD3" s="32">
        <f t="shared" si="2"/>
        <v>9.44</v>
      </c>
      <c r="AE3" s="32">
        <f t="shared" si="2"/>
        <v>11.3</v>
      </c>
      <c r="AF3" s="29">
        <v>70.099999999999994</v>
      </c>
      <c r="AG3" s="30">
        <f t="shared" ref="AG3:AG66" si="3">(X3-U3-F3*3)/2</f>
        <v>20.200000000000003</v>
      </c>
      <c r="AH3" s="31">
        <f t="shared" ref="AH3:AH66" si="4">(AG3+F3)*100/Q3</f>
        <v>58.196721311475414</v>
      </c>
    </row>
    <row r="4" spans="1:34" s="2" customFormat="1" ht="15.6" x14ac:dyDescent="0.3">
      <c r="A4" s="6" t="s">
        <v>21</v>
      </c>
      <c r="B4" s="2">
        <v>4</v>
      </c>
      <c r="C4" s="3">
        <v>5</v>
      </c>
      <c r="D4" s="5" t="s">
        <v>404</v>
      </c>
      <c r="E4" s="32">
        <f t="shared" si="0"/>
        <v>31.7</v>
      </c>
      <c r="F4" s="32">
        <f t="shared" si="0"/>
        <v>11.2</v>
      </c>
      <c r="G4" s="32">
        <f t="shared" si="0"/>
        <v>37.299999999999997</v>
      </c>
      <c r="H4" s="32">
        <f t="shared" si="0"/>
        <v>29.9</v>
      </c>
      <c r="I4" s="32">
        <f t="shared" si="0"/>
        <v>1.34</v>
      </c>
      <c r="J4" s="32">
        <f t="shared" si="0"/>
        <v>15.9</v>
      </c>
      <c r="K4" s="32">
        <f t="shared" si="0"/>
        <v>25.11</v>
      </c>
      <c r="L4" s="32">
        <f t="shared" si="0"/>
        <v>4.4000000000000004</v>
      </c>
      <c r="M4" s="32">
        <f t="shared" si="0"/>
        <v>43.7</v>
      </c>
      <c r="N4" s="32">
        <f t="shared" si="0"/>
        <v>26.89</v>
      </c>
      <c r="O4" s="32">
        <f t="shared" si="1"/>
        <v>0.56299999999999994</v>
      </c>
      <c r="P4" s="32">
        <f t="shared" si="1"/>
        <v>13.7</v>
      </c>
      <c r="Q4" s="32">
        <f t="shared" si="1"/>
        <v>47.6</v>
      </c>
      <c r="R4" s="32">
        <f t="shared" si="1"/>
        <v>19.8</v>
      </c>
      <c r="S4" s="32">
        <f t="shared" si="1"/>
        <v>77.2</v>
      </c>
      <c r="T4" s="32">
        <f t="shared" si="1"/>
        <v>22.8</v>
      </c>
      <c r="U4" s="32">
        <f t="shared" si="1"/>
        <v>17.600000000000001</v>
      </c>
      <c r="V4" s="32">
        <f t="shared" si="1"/>
        <v>81.2</v>
      </c>
      <c r="W4" s="32">
        <f t="shared" si="1"/>
        <v>12.76</v>
      </c>
      <c r="X4" s="32">
        <f t="shared" si="1"/>
        <v>90.1</v>
      </c>
      <c r="Y4" s="32">
        <f t="shared" si="2"/>
        <v>3.9</v>
      </c>
      <c r="Z4" s="32">
        <f t="shared" si="2"/>
        <v>39.65</v>
      </c>
      <c r="AA4" s="32">
        <f t="shared" si="2"/>
        <v>8.9</v>
      </c>
      <c r="AB4" s="32">
        <f t="shared" si="2"/>
        <v>6.9</v>
      </c>
      <c r="AC4" s="32">
        <f t="shared" si="2"/>
        <v>-0.5</v>
      </c>
      <c r="AD4" s="32">
        <f t="shared" si="2"/>
        <v>11.3</v>
      </c>
      <c r="AE4" s="32">
        <f t="shared" si="2"/>
        <v>11.8</v>
      </c>
      <c r="AF4" s="29">
        <v>76.3</v>
      </c>
      <c r="AG4" s="30">
        <f t="shared" si="3"/>
        <v>19.450000000000003</v>
      </c>
      <c r="AH4" s="31">
        <f t="shared" si="4"/>
        <v>64.390756302521012</v>
      </c>
    </row>
    <row r="5" spans="1:34" s="2" customFormat="1" ht="15.6" x14ac:dyDescent="0.3">
      <c r="A5" s="6" t="s">
        <v>39</v>
      </c>
      <c r="B5" s="2">
        <v>11</v>
      </c>
      <c r="C5" s="3">
        <v>5</v>
      </c>
      <c r="D5" s="5" t="s">
        <v>404</v>
      </c>
      <c r="E5" s="32">
        <f t="shared" si="0"/>
        <v>33.5</v>
      </c>
      <c r="F5" s="32">
        <f t="shared" si="0"/>
        <v>7</v>
      </c>
      <c r="G5" s="32">
        <f t="shared" si="0"/>
        <v>34.5</v>
      </c>
      <c r="H5" s="32">
        <f t="shared" si="0"/>
        <v>20.2</v>
      </c>
      <c r="I5" s="32">
        <f t="shared" si="0"/>
        <v>1.37</v>
      </c>
      <c r="J5" s="32">
        <f t="shared" si="0"/>
        <v>13.1</v>
      </c>
      <c r="K5" s="32">
        <f t="shared" si="0"/>
        <v>18.8</v>
      </c>
      <c r="L5" s="32">
        <f t="shared" si="0"/>
        <v>3.6</v>
      </c>
      <c r="M5" s="32">
        <f t="shared" si="0"/>
        <v>43.3</v>
      </c>
      <c r="N5" s="32">
        <f t="shared" si="0"/>
        <v>25.17</v>
      </c>
      <c r="O5" s="32">
        <f t="shared" si="1"/>
        <v>0.50700000000000001</v>
      </c>
      <c r="P5" s="32">
        <f t="shared" si="1"/>
        <v>11.98</v>
      </c>
      <c r="Q5" s="32">
        <f t="shared" si="1"/>
        <v>45</v>
      </c>
      <c r="R5" s="32">
        <f t="shared" si="1"/>
        <v>16.2</v>
      </c>
      <c r="S5" s="32">
        <f t="shared" si="1"/>
        <v>73.3</v>
      </c>
      <c r="T5" s="32">
        <f t="shared" si="1"/>
        <v>19.399999999999999</v>
      </c>
      <c r="U5" s="32">
        <f t="shared" si="1"/>
        <v>14.2</v>
      </c>
      <c r="V5" s="32">
        <f t="shared" si="1"/>
        <v>71.8</v>
      </c>
      <c r="W5" s="32">
        <f t="shared" si="1"/>
        <v>10.119999999999999</v>
      </c>
      <c r="X5" s="32">
        <f t="shared" si="1"/>
        <v>75.599999999999994</v>
      </c>
      <c r="Y5" s="32">
        <f t="shared" si="2"/>
        <v>-0.9</v>
      </c>
      <c r="Z5" s="32">
        <f t="shared" si="2"/>
        <v>35.29</v>
      </c>
      <c r="AA5" s="32">
        <f t="shared" si="2"/>
        <v>3.9</v>
      </c>
      <c r="AB5" s="32">
        <f t="shared" si="2"/>
        <v>7.2</v>
      </c>
      <c r="AC5" s="32">
        <f t="shared" si="2"/>
        <v>2.7</v>
      </c>
      <c r="AD5" s="32">
        <f t="shared" si="2"/>
        <v>12.22</v>
      </c>
      <c r="AE5" s="32">
        <f t="shared" si="2"/>
        <v>9.6</v>
      </c>
      <c r="AF5" s="29">
        <v>70.8</v>
      </c>
      <c r="AG5" s="30">
        <f t="shared" si="3"/>
        <v>20.199999999999996</v>
      </c>
      <c r="AH5" s="31">
        <f t="shared" si="4"/>
        <v>60.444444444444436</v>
      </c>
    </row>
    <row r="6" spans="1:34" s="2" customFormat="1" ht="15.6" x14ac:dyDescent="0.3">
      <c r="A6" s="6" t="s">
        <v>23</v>
      </c>
      <c r="B6" s="2">
        <v>6</v>
      </c>
      <c r="C6" s="3">
        <v>4</v>
      </c>
      <c r="D6" s="5" t="s">
        <v>404</v>
      </c>
      <c r="E6" s="32">
        <f t="shared" si="0"/>
        <v>33.1</v>
      </c>
      <c r="F6" s="32">
        <f t="shared" si="0"/>
        <v>8.1999999999999993</v>
      </c>
      <c r="G6" s="32">
        <f t="shared" si="0"/>
        <v>35.1</v>
      </c>
      <c r="H6" s="32">
        <f t="shared" si="0"/>
        <v>23.4</v>
      </c>
      <c r="I6" s="32">
        <f t="shared" si="0"/>
        <v>1.47</v>
      </c>
      <c r="J6" s="32">
        <f t="shared" si="0"/>
        <v>14.8</v>
      </c>
      <c r="K6" s="32">
        <f t="shared" si="0"/>
        <v>14.19</v>
      </c>
      <c r="L6" s="32">
        <f t="shared" si="0"/>
        <v>3.8</v>
      </c>
      <c r="M6" s="32">
        <f t="shared" si="0"/>
        <v>41.4</v>
      </c>
      <c r="N6" s="32">
        <f t="shared" si="0"/>
        <v>27.28</v>
      </c>
      <c r="O6" s="32">
        <f t="shared" si="1"/>
        <v>0.53900000000000003</v>
      </c>
      <c r="P6" s="32">
        <f t="shared" si="1"/>
        <v>6.39</v>
      </c>
      <c r="Q6" s="32">
        <f t="shared" si="1"/>
        <v>46.9</v>
      </c>
      <c r="R6" s="32">
        <f t="shared" si="1"/>
        <v>16.3</v>
      </c>
      <c r="S6" s="32">
        <f t="shared" si="1"/>
        <v>78</v>
      </c>
      <c r="T6" s="32">
        <f t="shared" si="1"/>
        <v>18.100000000000001</v>
      </c>
      <c r="U6" s="32">
        <f t="shared" si="1"/>
        <v>14.1</v>
      </c>
      <c r="V6" s="32">
        <f t="shared" si="1"/>
        <v>71.2</v>
      </c>
      <c r="W6" s="32">
        <f t="shared" si="1"/>
        <v>9.06</v>
      </c>
      <c r="X6" s="32">
        <f t="shared" si="1"/>
        <v>77.400000000000006</v>
      </c>
      <c r="Y6" s="32">
        <f t="shared" si="2"/>
        <v>2.2999999999999998</v>
      </c>
      <c r="Z6" s="32">
        <f t="shared" si="2"/>
        <v>36.33</v>
      </c>
      <c r="AA6" s="32">
        <f t="shared" si="2"/>
        <v>6.2</v>
      </c>
      <c r="AB6" s="32">
        <f t="shared" si="2"/>
        <v>4.5999999999999996</v>
      </c>
      <c r="AC6" s="32">
        <f t="shared" si="2"/>
        <v>-0.6</v>
      </c>
      <c r="AD6" s="32">
        <f t="shared" si="2"/>
        <v>9.4700000000000006</v>
      </c>
      <c r="AE6" s="32">
        <f t="shared" si="2"/>
        <v>10.1</v>
      </c>
      <c r="AF6" s="29">
        <v>69.7</v>
      </c>
      <c r="AG6" s="30">
        <f t="shared" si="3"/>
        <v>19.350000000000001</v>
      </c>
      <c r="AH6" s="31">
        <f t="shared" si="4"/>
        <v>58.742004264392328</v>
      </c>
    </row>
    <row r="7" spans="1:34" s="2" customFormat="1" ht="15.6" x14ac:dyDescent="0.3">
      <c r="A7" s="6" t="s">
        <v>48</v>
      </c>
      <c r="B7" s="2">
        <v>4</v>
      </c>
      <c r="C7" s="3">
        <v>4</v>
      </c>
      <c r="D7" s="5" t="s">
        <v>404</v>
      </c>
      <c r="E7" s="32">
        <f t="shared" si="0"/>
        <v>31.8</v>
      </c>
      <c r="F7" s="32">
        <f t="shared" si="0"/>
        <v>8.3000000000000007</v>
      </c>
      <c r="G7" s="32">
        <f t="shared" si="0"/>
        <v>37.700000000000003</v>
      </c>
      <c r="H7" s="32">
        <f t="shared" si="0"/>
        <v>22</v>
      </c>
      <c r="I7" s="32">
        <f t="shared" si="0"/>
        <v>1.58</v>
      </c>
      <c r="J7" s="32">
        <f t="shared" si="0"/>
        <v>15.3</v>
      </c>
      <c r="K7" s="32">
        <f t="shared" si="0"/>
        <v>14.22</v>
      </c>
      <c r="L7" s="32">
        <f t="shared" si="0"/>
        <v>3.7</v>
      </c>
      <c r="M7" s="32">
        <f t="shared" si="0"/>
        <v>43</v>
      </c>
      <c r="N7" s="32">
        <f t="shared" si="0"/>
        <v>26</v>
      </c>
      <c r="O7" s="32">
        <f t="shared" si="1"/>
        <v>0.54600000000000004</v>
      </c>
      <c r="P7" s="32">
        <f t="shared" si="1"/>
        <v>10.72</v>
      </c>
      <c r="Q7" s="32">
        <f t="shared" si="1"/>
        <v>47.5</v>
      </c>
      <c r="R7" s="32">
        <f t="shared" si="1"/>
        <v>15.9</v>
      </c>
      <c r="S7" s="32">
        <f t="shared" si="1"/>
        <v>72.3</v>
      </c>
      <c r="T7" s="32">
        <f t="shared" si="1"/>
        <v>20.100000000000001</v>
      </c>
      <c r="U7" s="32">
        <f t="shared" si="1"/>
        <v>14.6</v>
      </c>
      <c r="V7" s="32">
        <f t="shared" si="1"/>
        <v>66.3</v>
      </c>
      <c r="W7" s="32">
        <f t="shared" si="1"/>
        <v>10.64</v>
      </c>
      <c r="X7" s="32">
        <f t="shared" si="1"/>
        <v>78.599999999999994</v>
      </c>
      <c r="Y7" s="32">
        <f t="shared" si="2"/>
        <v>5.0999999999999996</v>
      </c>
      <c r="Z7" s="32">
        <f t="shared" si="2"/>
        <v>36.64</v>
      </c>
      <c r="AA7" s="32">
        <f t="shared" si="2"/>
        <v>12.3</v>
      </c>
      <c r="AB7" s="32">
        <f t="shared" si="2"/>
        <v>6.5</v>
      </c>
      <c r="AC7" s="32">
        <f t="shared" si="2"/>
        <v>1.6</v>
      </c>
      <c r="AD7" s="32">
        <f t="shared" si="2"/>
        <v>11.31</v>
      </c>
      <c r="AE7" s="32">
        <f t="shared" si="2"/>
        <v>9.6999999999999993</v>
      </c>
      <c r="AF7" s="29">
        <v>68.599999999999994</v>
      </c>
      <c r="AG7" s="30">
        <f t="shared" si="3"/>
        <v>19.549999999999997</v>
      </c>
      <c r="AH7" s="31">
        <f t="shared" si="4"/>
        <v>58.631578947368418</v>
      </c>
    </row>
    <row r="8" spans="1:34" s="2" customFormat="1" ht="15.6" x14ac:dyDescent="0.3">
      <c r="A8" s="6" t="s">
        <v>4</v>
      </c>
      <c r="B8" s="2">
        <v>3</v>
      </c>
      <c r="C8" s="3">
        <v>4</v>
      </c>
      <c r="D8" s="5" t="s">
        <v>404</v>
      </c>
      <c r="E8" s="32">
        <f t="shared" si="0"/>
        <v>34.1</v>
      </c>
      <c r="F8" s="32">
        <f t="shared" si="0"/>
        <v>8.3000000000000007</v>
      </c>
      <c r="G8" s="32">
        <f t="shared" si="0"/>
        <v>34.9</v>
      </c>
      <c r="H8" s="32">
        <f t="shared" si="0"/>
        <v>23.9</v>
      </c>
      <c r="I8" s="32">
        <f t="shared" si="0"/>
        <v>1.26</v>
      </c>
      <c r="J8" s="32">
        <f t="shared" si="0"/>
        <v>13.3</v>
      </c>
      <c r="K8" s="32">
        <f t="shared" si="0"/>
        <v>19.18</v>
      </c>
      <c r="L8" s="32">
        <f t="shared" si="0"/>
        <v>3.8</v>
      </c>
      <c r="M8" s="32">
        <f t="shared" si="0"/>
        <v>43.2</v>
      </c>
      <c r="N8" s="32">
        <f t="shared" si="0"/>
        <v>28.11</v>
      </c>
      <c r="O8" s="32">
        <f t="shared" si="1"/>
        <v>0.53600000000000003</v>
      </c>
      <c r="P8" s="32">
        <f t="shared" si="1"/>
        <v>11.47</v>
      </c>
      <c r="Q8" s="32">
        <f t="shared" si="1"/>
        <v>46.9</v>
      </c>
      <c r="R8" s="32">
        <f t="shared" si="1"/>
        <v>15.2</v>
      </c>
      <c r="S8" s="32">
        <f t="shared" si="1"/>
        <v>73.599999999999994</v>
      </c>
      <c r="T8" s="32">
        <f t="shared" si="1"/>
        <v>23</v>
      </c>
      <c r="U8" s="32">
        <f t="shared" si="1"/>
        <v>16.899999999999999</v>
      </c>
      <c r="V8" s="32">
        <f t="shared" si="1"/>
        <v>73.3</v>
      </c>
      <c r="W8" s="32">
        <f t="shared" si="1"/>
        <v>12.79</v>
      </c>
      <c r="X8" s="32">
        <f t="shared" si="1"/>
        <v>83.4</v>
      </c>
      <c r="Y8" s="32">
        <f t="shared" si="2"/>
        <v>7.8</v>
      </c>
      <c r="Z8" s="32">
        <f t="shared" si="2"/>
        <v>40.89</v>
      </c>
      <c r="AA8" s="32">
        <f t="shared" si="2"/>
        <v>10</v>
      </c>
      <c r="AB8" s="32">
        <f t="shared" si="2"/>
        <v>4.4000000000000004</v>
      </c>
      <c r="AC8" s="32">
        <f t="shared" si="2"/>
        <v>-1.8</v>
      </c>
      <c r="AD8" s="32">
        <f t="shared" si="2"/>
        <v>8.7100000000000009</v>
      </c>
      <c r="AE8" s="32">
        <f t="shared" si="2"/>
        <v>10.6</v>
      </c>
      <c r="AF8" s="29">
        <v>72.3</v>
      </c>
      <c r="AG8" s="30">
        <f t="shared" si="3"/>
        <v>20.799999999999997</v>
      </c>
      <c r="AH8" s="31">
        <f t="shared" si="4"/>
        <v>62.046908315565034</v>
      </c>
    </row>
    <row r="9" spans="1:34" s="2" customFormat="1" ht="15.6" x14ac:dyDescent="0.3">
      <c r="A9" s="6" t="s">
        <v>55</v>
      </c>
      <c r="B9" s="2">
        <v>2</v>
      </c>
      <c r="C9" s="3">
        <v>4</v>
      </c>
      <c r="D9" s="5" t="s">
        <v>404</v>
      </c>
      <c r="E9" s="32">
        <f t="shared" si="0"/>
        <v>31.2</v>
      </c>
      <c r="F9" s="32">
        <f t="shared" si="0"/>
        <v>8.8000000000000007</v>
      </c>
      <c r="G9" s="32">
        <f t="shared" si="0"/>
        <v>34.4</v>
      </c>
      <c r="H9" s="32">
        <f t="shared" si="0"/>
        <v>25.4</v>
      </c>
      <c r="I9" s="32">
        <f t="shared" si="0"/>
        <v>1.63</v>
      </c>
      <c r="J9" s="32">
        <f t="shared" si="0"/>
        <v>16.7</v>
      </c>
      <c r="K9" s="32">
        <f t="shared" si="0"/>
        <v>18.86</v>
      </c>
      <c r="L9" s="32">
        <f t="shared" si="0"/>
        <v>4.5999999999999996</v>
      </c>
      <c r="M9" s="32">
        <f t="shared" si="0"/>
        <v>38.9</v>
      </c>
      <c r="N9" s="32">
        <f t="shared" si="0"/>
        <v>27.06</v>
      </c>
      <c r="O9" s="32">
        <f t="shared" si="1"/>
        <v>0.51100000000000001</v>
      </c>
      <c r="P9" s="32">
        <f t="shared" si="1"/>
        <v>12.19</v>
      </c>
      <c r="Q9" s="32">
        <f t="shared" si="1"/>
        <v>44</v>
      </c>
      <c r="R9" s="32">
        <f t="shared" si="1"/>
        <v>17.5</v>
      </c>
      <c r="S9" s="32">
        <f t="shared" si="1"/>
        <v>75.099999999999994</v>
      </c>
      <c r="T9" s="32">
        <f t="shared" si="1"/>
        <v>20.8</v>
      </c>
      <c r="U9" s="32">
        <f t="shared" si="1"/>
        <v>15.6</v>
      </c>
      <c r="V9" s="32">
        <f t="shared" si="1"/>
        <v>67.400000000000006</v>
      </c>
      <c r="W9" s="32">
        <f t="shared" si="1"/>
        <v>11.64</v>
      </c>
      <c r="X9" s="32">
        <f t="shared" si="1"/>
        <v>78.8</v>
      </c>
      <c r="Y9" s="32">
        <f t="shared" si="2"/>
        <v>3.6</v>
      </c>
      <c r="Z9" s="32">
        <f t="shared" si="2"/>
        <v>38.69</v>
      </c>
      <c r="AA9" s="32">
        <f t="shared" si="2"/>
        <v>11.4</v>
      </c>
      <c r="AB9" s="32">
        <f t="shared" si="2"/>
        <v>7.8</v>
      </c>
      <c r="AC9" s="32">
        <f t="shared" si="2"/>
        <v>2.8</v>
      </c>
      <c r="AD9" s="32">
        <f t="shared" si="2"/>
        <v>13.03</v>
      </c>
      <c r="AE9" s="32">
        <f t="shared" si="2"/>
        <v>10.199999999999999</v>
      </c>
      <c r="AF9" s="29">
        <v>71.599999999999994</v>
      </c>
      <c r="AG9" s="30">
        <f t="shared" si="3"/>
        <v>18.399999999999999</v>
      </c>
      <c r="AH9" s="31">
        <f t="shared" si="4"/>
        <v>61.81818181818182</v>
      </c>
    </row>
    <row r="10" spans="1:34" s="2" customFormat="1" ht="15.6" x14ac:dyDescent="0.3">
      <c r="A10" s="6" t="s">
        <v>19</v>
      </c>
      <c r="B10" s="2">
        <v>2</v>
      </c>
      <c r="C10" s="3">
        <v>3</v>
      </c>
      <c r="D10" s="5" t="s">
        <v>404</v>
      </c>
      <c r="E10" s="32">
        <f t="shared" si="0"/>
        <v>32.9</v>
      </c>
      <c r="F10" s="32">
        <f t="shared" si="0"/>
        <v>7.9</v>
      </c>
      <c r="G10" s="32">
        <f t="shared" si="0"/>
        <v>36.6</v>
      </c>
      <c r="H10" s="32">
        <f t="shared" si="0"/>
        <v>21.6</v>
      </c>
      <c r="I10" s="32">
        <f t="shared" si="0"/>
        <v>1.55</v>
      </c>
      <c r="J10" s="32">
        <f t="shared" si="0"/>
        <v>18.5</v>
      </c>
      <c r="K10" s="32">
        <f t="shared" si="0"/>
        <v>22.86</v>
      </c>
      <c r="L10" s="32">
        <f t="shared" si="0"/>
        <v>3.7</v>
      </c>
      <c r="M10" s="32">
        <f t="shared" si="0"/>
        <v>42.1</v>
      </c>
      <c r="N10" s="32">
        <f t="shared" si="0"/>
        <v>29.5</v>
      </c>
      <c r="O10" s="32">
        <f t="shared" si="1"/>
        <v>0.54500000000000004</v>
      </c>
      <c r="P10" s="32">
        <f t="shared" si="1"/>
        <v>16.440000000000001</v>
      </c>
      <c r="Q10" s="32">
        <f t="shared" si="1"/>
        <v>48.4</v>
      </c>
      <c r="R10" s="32">
        <f t="shared" si="1"/>
        <v>16.399999999999999</v>
      </c>
      <c r="S10" s="32">
        <f t="shared" si="1"/>
        <v>71.7</v>
      </c>
      <c r="T10" s="32">
        <f t="shared" si="1"/>
        <v>23.4</v>
      </c>
      <c r="U10" s="32">
        <f t="shared" si="1"/>
        <v>16.8</v>
      </c>
      <c r="V10" s="32">
        <f t="shared" si="1"/>
        <v>72.099999999999994</v>
      </c>
      <c r="W10" s="32">
        <f t="shared" si="1"/>
        <v>13.08</v>
      </c>
      <c r="X10" s="32">
        <f t="shared" si="1"/>
        <v>87.1</v>
      </c>
      <c r="Y10" s="32">
        <f t="shared" si="2"/>
        <v>9.9</v>
      </c>
      <c r="Z10" s="32">
        <f t="shared" si="2"/>
        <v>42.58</v>
      </c>
      <c r="AA10" s="32">
        <f t="shared" si="2"/>
        <v>15.1</v>
      </c>
      <c r="AB10" s="32">
        <f t="shared" si="2"/>
        <v>8.3000000000000007</v>
      </c>
      <c r="AC10" s="32">
        <f t="shared" si="2"/>
        <v>1.5</v>
      </c>
      <c r="AD10" s="32">
        <f t="shared" si="2"/>
        <v>13.42</v>
      </c>
      <c r="AE10" s="32">
        <f t="shared" si="2"/>
        <v>11.9</v>
      </c>
      <c r="AF10" s="29">
        <v>76.3</v>
      </c>
      <c r="AG10" s="30">
        <f t="shared" si="3"/>
        <v>23.299999999999997</v>
      </c>
      <c r="AH10" s="31">
        <f t="shared" si="4"/>
        <v>64.462809917355358</v>
      </c>
    </row>
    <row r="11" spans="1:34" s="2" customFormat="1" ht="15.6" x14ac:dyDescent="0.3">
      <c r="A11" s="6" t="s">
        <v>40</v>
      </c>
      <c r="B11" s="2">
        <v>10</v>
      </c>
      <c r="C11" s="3">
        <v>3</v>
      </c>
      <c r="D11" s="5" t="s">
        <v>404</v>
      </c>
      <c r="E11" s="32">
        <f t="shared" si="0"/>
        <v>32</v>
      </c>
      <c r="F11" s="32">
        <f t="shared" si="0"/>
        <v>6.9</v>
      </c>
      <c r="G11" s="32">
        <f t="shared" si="0"/>
        <v>39.1</v>
      </c>
      <c r="H11" s="32">
        <f t="shared" si="0"/>
        <v>17.5</v>
      </c>
      <c r="I11" s="32">
        <f t="shared" si="0"/>
        <v>1.28</v>
      </c>
      <c r="J11" s="32">
        <f t="shared" si="0"/>
        <v>16.2</v>
      </c>
      <c r="K11" s="32">
        <f t="shared" si="0"/>
        <v>11.27</v>
      </c>
      <c r="L11" s="32">
        <f t="shared" si="0"/>
        <v>2.2000000000000002</v>
      </c>
      <c r="M11" s="32">
        <f t="shared" si="0"/>
        <v>44</v>
      </c>
      <c r="N11" s="32">
        <f t="shared" si="0"/>
        <v>27</v>
      </c>
      <c r="O11" s="32">
        <f t="shared" si="1"/>
        <v>0.55400000000000005</v>
      </c>
      <c r="P11" s="32">
        <f t="shared" si="1"/>
        <v>11.97</v>
      </c>
      <c r="Q11" s="32">
        <f t="shared" si="1"/>
        <v>49.5</v>
      </c>
      <c r="R11" s="32">
        <f t="shared" si="1"/>
        <v>14.8</v>
      </c>
      <c r="S11" s="32">
        <f t="shared" si="1"/>
        <v>78.400000000000006</v>
      </c>
      <c r="T11" s="32">
        <f t="shared" si="1"/>
        <v>20.100000000000001</v>
      </c>
      <c r="U11" s="32">
        <f t="shared" si="1"/>
        <v>15.8</v>
      </c>
      <c r="V11" s="32">
        <f t="shared" si="1"/>
        <v>71.7</v>
      </c>
      <c r="W11" s="32">
        <f t="shared" si="1"/>
        <v>9.9499999999999993</v>
      </c>
      <c r="X11" s="32">
        <f t="shared" si="1"/>
        <v>79.3</v>
      </c>
      <c r="Y11" s="32">
        <f t="shared" si="2"/>
        <v>6.8</v>
      </c>
      <c r="Z11" s="32">
        <f t="shared" si="2"/>
        <v>36.950000000000003</v>
      </c>
      <c r="AA11" s="32">
        <f t="shared" si="2"/>
        <v>7.6</v>
      </c>
      <c r="AB11" s="32">
        <f t="shared" si="2"/>
        <v>6</v>
      </c>
      <c r="AC11" s="32">
        <f t="shared" si="2"/>
        <v>-2</v>
      </c>
      <c r="AD11" s="32">
        <f t="shared" si="2"/>
        <v>10.59</v>
      </c>
      <c r="AE11" s="32">
        <f t="shared" si="2"/>
        <v>12.6</v>
      </c>
      <c r="AF11" s="29">
        <v>71.3</v>
      </c>
      <c r="AG11" s="30">
        <f t="shared" si="3"/>
        <v>21.4</v>
      </c>
      <c r="AH11" s="31">
        <f t="shared" si="4"/>
        <v>57.171717171717162</v>
      </c>
    </row>
    <row r="12" spans="1:34" s="2" customFormat="1" ht="15.6" x14ac:dyDescent="0.3">
      <c r="A12" s="6" t="s">
        <v>56</v>
      </c>
      <c r="B12" s="2">
        <v>3</v>
      </c>
      <c r="C12" s="3">
        <v>3</v>
      </c>
      <c r="D12" s="5" t="s">
        <v>404</v>
      </c>
      <c r="E12" s="32">
        <f t="shared" ref="E12:N21" si="5">INDEX(rawValue,MATCH(INDEX(teamID,MATCH(INDEX(ovrTeamCol,ROW(),1),teamINI,0))+INDEX(statID,MATCH(INDEX(ovrHeaderRow,1,COLUMN()),statAbbr,0),1),rawLookup,0))</f>
        <v>32.299999999999997</v>
      </c>
      <c r="F12" s="32">
        <f t="shared" si="5"/>
        <v>10.7</v>
      </c>
      <c r="G12" s="32">
        <f t="shared" si="5"/>
        <v>36.799999999999997</v>
      </c>
      <c r="H12" s="32">
        <f t="shared" si="5"/>
        <v>29.1</v>
      </c>
      <c r="I12" s="32">
        <f t="shared" si="5"/>
        <v>1.58</v>
      </c>
      <c r="J12" s="32">
        <f t="shared" si="5"/>
        <v>16.8</v>
      </c>
      <c r="K12" s="32">
        <f t="shared" si="5"/>
        <v>10.49</v>
      </c>
      <c r="L12" s="32">
        <f t="shared" si="5"/>
        <v>4.0999999999999996</v>
      </c>
      <c r="M12" s="32">
        <f t="shared" si="5"/>
        <v>41.8</v>
      </c>
      <c r="N12" s="32">
        <f t="shared" si="5"/>
        <v>29.71</v>
      </c>
      <c r="O12" s="32">
        <f t="shared" ref="O12:X21" si="6">INDEX(rawValue,MATCH(INDEX(teamID,MATCH(INDEX(ovrTeamCol,ROW(),1),teamINI,0))+INDEX(statID,MATCH(INDEX(ovrHeaderRow,1,COLUMN()),statAbbr,0),1),rawLookup,0))</f>
        <v>0.57299999999999995</v>
      </c>
      <c r="P12" s="32">
        <f t="shared" si="6"/>
        <v>9.69</v>
      </c>
      <c r="Q12" s="32">
        <f t="shared" si="6"/>
        <v>48.4</v>
      </c>
      <c r="R12" s="32">
        <f t="shared" si="6"/>
        <v>11.5</v>
      </c>
      <c r="S12" s="32">
        <f t="shared" si="6"/>
        <v>78.8</v>
      </c>
      <c r="T12" s="32">
        <f t="shared" si="6"/>
        <v>14.8</v>
      </c>
      <c r="U12" s="32">
        <f t="shared" si="6"/>
        <v>11.7</v>
      </c>
      <c r="V12" s="32">
        <f t="shared" si="6"/>
        <v>69.900000000000006</v>
      </c>
      <c r="W12" s="32">
        <f t="shared" si="6"/>
        <v>8.4</v>
      </c>
      <c r="X12" s="32">
        <f t="shared" si="6"/>
        <v>80.400000000000006</v>
      </c>
      <c r="Y12" s="32">
        <f t="shared" ref="Y12:AE21" si="7">INDEX(rawValue,MATCH(INDEX(teamID,MATCH(INDEX(ovrTeamCol,ROW(),1),teamINI,0))+INDEX(statID,MATCH(INDEX(ovrHeaderRow,1,COLUMN()),statAbbr,0),1),rawLookup,0))</f>
        <v>4.5</v>
      </c>
      <c r="Z12" s="32">
        <f t="shared" si="7"/>
        <v>38.11</v>
      </c>
      <c r="AA12" s="32">
        <f t="shared" si="7"/>
        <v>10.5</v>
      </c>
      <c r="AB12" s="32">
        <f t="shared" si="7"/>
        <v>3.8</v>
      </c>
      <c r="AC12" s="32">
        <f t="shared" si="7"/>
        <v>-3</v>
      </c>
      <c r="AD12" s="32">
        <f t="shared" si="7"/>
        <v>7.6</v>
      </c>
      <c r="AE12" s="32">
        <f t="shared" si="7"/>
        <v>10.6</v>
      </c>
      <c r="AF12" s="29">
        <v>70.5</v>
      </c>
      <c r="AG12" s="30">
        <f t="shared" si="3"/>
        <v>18.300000000000004</v>
      </c>
      <c r="AH12" s="31">
        <f t="shared" si="4"/>
        <v>59.91735537190084</v>
      </c>
    </row>
    <row r="13" spans="1:34" s="2" customFormat="1" ht="15.6" x14ac:dyDescent="0.3">
      <c r="A13" s="6" t="s">
        <v>58</v>
      </c>
      <c r="B13" s="2">
        <v>5</v>
      </c>
      <c r="C13" s="3">
        <v>3</v>
      </c>
      <c r="D13" s="5" t="s">
        <v>404</v>
      </c>
      <c r="E13" s="32">
        <f t="shared" si="5"/>
        <v>33.6</v>
      </c>
      <c r="F13" s="32">
        <f t="shared" si="5"/>
        <v>6.9</v>
      </c>
      <c r="G13" s="32">
        <f t="shared" si="5"/>
        <v>36.1</v>
      </c>
      <c r="H13" s="32">
        <f t="shared" si="5"/>
        <v>19.3</v>
      </c>
      <c r="I13" s="32">
        <f t="shared" si="5"/>
        <v>1.71</v>
      </c>
      <c r="J13" s="32">
        <f t="shared" si="5"/>
        <v>16.7</v>
      </c>
      <c r="K13" s="32">
        <f t="shared" si="5"/>
        <v>18.71</v>
      </c>
      <c r="L13" s="32">
        <f t="shared" si="5"/>
        <v>3.9</v>
      </c>
      <c r="M13" s="32">
        <f t="shared" si="5"/>
        <v>40.700000000000003</v>
      </c>
      <c r="N13" s="32">
        <f t="shared" si="5"/>
        <v>27.89</v>
      </c>
      <c r="O13" s="32">
        <f t="shared" si="6"/>
        <v>0.57399999999999995</v>
      </c>
      <c r="P13" s="32">
        <f t="shared" si="6"/>
        <v>13.91</v>
      </c>
      <c r="Q13" s="32">
        <f t="shared" si="6"/>
        <v>51.8</v>
      </c>
      <c r="R13" s="32">
        <f t="shared" si="6"/>
        <v>15.6</v>
      </c>
      <c r="S13" s="32">
        <f t="shared" si="6"/>
        <v>72.099999999999994</v>
      </c>
      <c r="T13" s="32">
        <f t="shared" si="6"/>
        <v>18.899999999999999</v>
      </c>
      <c r="U13" s="32">
        <f t="shared" si="6"/>
        <v>13.6</v>
      </c>
      <c r="V13" s="32">
        <f t="shared" si="6"/>
        <v>69.099999999999994</v>
      </c>
      <c r="W13" s="32">
        <f t="shared" si="6"/>
        <v>10.83</v>
      </c>
      <c r="X13" s="32">
        <f t="shared" si="6"/>
        <v>84.5</v>
      </c>
      <c r="Y13" s="32">
        <f t="shared" si="7"/>
        <v>7</v>
      </c>
      <c r="Z13" s="32">
        <f t="shared" si="7"/>
        <v>38.71</v>
      </c>
      <c r="AA13" s="32">
        <f t="shared" si="7"/>
        <v>15.4</v>
      </c>
      <c r="AB13" s="32">
        <f t="shared" si="7"/>
        <v>6.7</v>
      </c>
      <c r="AC13" s="32">
        <f t="shared" si="7"/>
        <v>1.4</v>
      </c>
      <c r="AD13" s="32">
        <f t="shared" si="7"/>
        <v>11.2</v>
      </c>
      <c r="AE13" s="32">
        <f t="shared" si="7"/>
        <v>9.8000000000000007</v>
      </c>
      <c r="AF13" s="29">
        <v>70.7</v>
      </c>
      <c r="AG13" s="30">
        <f t="shared" si="3"/>
        <v>25.1</v>
      </c>
      <c r="AH13" s="31">
        <f t="shared" si="4"/>
        <v>61.776061776061781</v>
      </c>
    </row>
    <row r="14" spans="1:34" s="2" customFormat="1" ht="15.6" x14ac:dyDescent="0.3">
      <c r="A14" s="6" t="s">
        <v>51</v>
      </c>
      <c r="B14" s="2">
        <v>1</v>
      </c>
      <c r="C14" s="3">
        <v>3</v>
      </c>
      <c r="D14" s="5" t="s">
        <v>404</v>
      </c>
      <c r="E14" s="32">
        <f t="shared" si="5"/>
        <v>30.1</v>
      </c>
      <c r="F14" s="32">
        <f t="shared" si="5"/>
        <v>7.7</v>
      </c>
      <c r="G14" s="32">
        <f t="shared" si="5"/>
        <v>34.799999999999997</v>
      </c>
      <c r="H14" s="32">
        <f t="shared" si="5"/>
        <v>22.2</v>
      </c>
      <c r="I14" s="32">
        <f t="shared" si="5"/>
        <v>1.47</v>
      </c>
      <c r="J14" s="32">
        <f t="shared" si="5"/>
        <v>13.1</v>
      </c>
      <c r="K14" s="32">
        <f t="shared" si="5"/>
        <v>17.46</v>
      </c>
      <c r="L14" s="32">
        <f t="shared" si="5"/>
        <v>4.8</v>
      </c>
      <c r="M14" s="32">
        <f t="shared" si="5"/>
        <v>37.9</v>
      </c>
      <c r="N14" s="32">
        <f t="shared" si="5"/>
        <v>23.7</v>
      </c>
      <c r="O14" s="32">
        <f t="shared" si="6"/>
        <v>0.503</v>
      </c>
      <c r="P14" s="32">
        <f t="shared" si="6"/>
        <v>9.16</v>
      </c>
      <c r="Q14" s="32">
        <f t="shared" si="6"/>
        <v>43.9</v>
      </c>
      <c r="R14" s="32">
        <f t="shared" si="6"/>
        <v>17.8</v>
      </c>
      <c r="S14" s="32">
        <f t="shared" si="6"/>
        <v>68.7</v>
      </c>
      <c r="T14" s="32">
        <f t="shared" si="6"/>
        <v>18.600000000000001</v>
      </c>
      <c r="U14" s="32">
        <f t="shared" si="6"/>
        <v>12.8</v>
      </c>
      <c r="V14" s="32">
        <f t="shared" si="6"/>
        <v>57.6</v>
      </c>
      <c r="W14" s="32">
        <f t="shared" si="6"/>
        <v>13.43</v>
      </c>
      <c r="X14" s="32">
        <f t="shared" si="6"/>
        <v>73.5</v>
      </c>
      <c r="Y14" s="32">
        <f t="shared" si="7"/>
        <v>3.3</v>
      </c>
      <c r="Z14" s="32">
        <f t="shared" si="7"/>
        <v>37.14</v>
      </c>
      <c r="AA14" s="32">
        <f t="shared" si="7"/>
        <v>15.9</v>
      </c>
      <c r="AB14" s="32">
        <f t="shared" si="7"/>
        <v>9.8000000000000007</v>
      </c>
      <c r="AC14" s="32">
        <f t="shared" si="7"/>
        <v>6.9</v>
      </c>
      <c r="AD14" s="32">
        <f t="shared" si="7"/>
        <v>15.81</v>
      </c>
      <c r="AE14" s="32">
        <f t="shared" si="7"/>
        <v>8.9</v>
      </c>
      <c r="AF14" s="29">
        <v>66.400000000000006</v>
      </c>
      <c r="AG14" s="30">
        <f t="shared" si="3"/>
        <v>18.8</v>
      </c>
      <c r="AH14" s="31">
        <f t="shared" si="4"/>
        <v>60.364464692482919</v>
      </c>
    </row>
    <row r="15" spans="1:34" s="2" customFormat="1" ht="15.6" x14ac:dyDescent="0.3">
      <c r="A15" s="6" t="s">
        <v>3</v>
      </c>
      <c r="B15" s="2">
        <v>2</v>
      </c>
      <c r="C15" s="3">
        <v>3</v>
      </c>
      <c r="D15" s="5" t="s">
        <v>404</v>
      </c>
      <c r="E15" s="32">
        <f t="shared" si="5"/>
        <v>31.5</v>
      </c>
      <c r="F15" s="32">
        <f t="shared" si="5"/>
        <v>6.6</v>
      </c>
      <c r="G15" s="32">
        <f t="shared" si="5"/>
        <v>35.799999999999997</v>
      </c>
      <c r="H15" s="32">
        <f t="shared" si="5"/>
        <v>18.600000000000001</v>
      </c>
      <c r="I15" s="32">
        <f t="shared" si="5"/>
        <v>1.5</v>
      </c>
      <c r="J15" s="32">
        <f t="shared" si="5"/>
        <v>15.7</v>
      </c>
      <c r="K15" s="32">
        <f t="shared" si="5"/>
        <v>21.86</v>
      </c>
      <c r="L15" s="32">
        <f t="shared" si="5"/>
        <v>3.1</v>
      </c>
      <c r="M15" s="32">
        <f t="shared" si="5"/>
        <v>40.200000000000003</v>
      </c>
      <c r="N15" s="32">
        <f t="shared" si="5"/>
        <v>23.27</v>
      </c>
      <c r="O15" s="32">
        <f t="shared" si="6"/>
        <v>0.52</v>
      </c>
      <c r="P15" s="32">
        <f t="shared" si="6"/>
        <v>10.62</v>
      </c>
      <c r="Q15" s="32">
        <f t="shared" si="6"/>
        <v>46.3</v>
      </c>
      <c r="R15" s="32">
        <f t="shared" si="6"/>
        <v>16.5</v>
      </c>
      <c r="S15" s="32">
        <f t="shared" si="6"/>
        <v>70.2</v>
      </c>
      <c r="T15" s="32">
        <f t="shared" si="6"/>
        <v>20.7</v>
      </c>
      <c r="U15" s="32">
        <f t="shared" si="6"/>
        <v>14.5</v>
      </c>
      <c r="V15" s="32">
        <f t="shared" si="6"/>
        <v>61.5</v>
      </c>
      <c r="W15" s="32">
        <f t="shared" si="6"/>
        <v>10.62</v>
      </c>
      <c r="X15" s="32">
        <f t="shared" si="6"/>
        <v>75.3</v>
      </c>
      <c r="Y15" s="32">
        <f t="shared" si="7"/>
        <v>0.7</v>
      </c>
      <c r="Z15" s="32">
        <f t="shared" si="7"/>
        <v>33.89</v>
      </c>
      <c r="AA15" s="32">
        <f t="shared" si="7"/>
        <v>13.8</v>
      </c>
      <c r="AB15" s="32">
        <f t="shared" si="7"/>
        <v>10.3</v>
      </c>
      <c r="AC15" s="32">
        <f t="shared" si="7"/>
        <v>6.7</v>
      </c>
      <c r="AD15" s="32">
        <f t="shared" si="7"/>
        <v>17.190000000000001</v>
      </c>
      <c r="AE15" s="32">
        <f t="shared" si="7"/>
        <v>10.5</v>
      </c>
      <c r="AF15" s="29">
        <v>69</v>
      </c>
      <c r="AG15" s="30">
        <f t="shared" si="3"/>
        <v>20.5</v>
      </c>
      <c r="AH15" s="31">
        <f t="shared" si="4"/>
        <v>58.531317494600437</v>
      </c>
    </row>
    <row r="16" spans="1:34" s="2" customFormat="1" ht="15.6" x14ac:dyDescent="0.3">
      <c r="A16" s="6" t="s">
        <v>50</v>
      </c>
      <c r="B16" s="2">
        <v>2</v>
      </c>
      <c r="C16" s="3">
        <v>3</v>
      </c>
      <c r="D16" s="5" t="s">
        <v>404</v>
      </c>
      <c r="E16" s="32">
        <f t="shared" si="5"/>
        <v>33.700000000000003</v>
      </c>
      <c r="F16" s="32">
        <f t="shared" si="5"/>
        <v>8.8000000000000007</v>
      </c>
      <c r="G16" s="32">
        <f t="shared" si="5"/>
        <v>35.200000000000003</v>
      </c>
      <c r="H16" s="32">
        <f t="shared" si="5"/>
        <v>25.1</v>
      </c>
      <c r="I16" s="32">
        <f t="shared" si="5"/>
        <v>1.59</v>
      </c>
      <c r="J16" s="32">
        <f t="shared" si="5"/>
        <v>15.9</v>
      </c>
      <c r="K16" s="32">
        <f t="shared" si="5"/>
        <v>14.89</v>
      </c>
      <c r="L16" s="32">
        <f t="shared" si="5"/>
        <v>3.5</v>
      </c>
      <c r="M16" s="32">
        <f t="shared" si="5"/>
        <v>42.6</v>
      </c>
      <c r="N16" s="32">
        <f t="shared" si="5"/>
        <v>24.05</v>
      </c>
      <c r="O16" s="32">
        <f t="shared" si="6"/>
        <v>0.55000000000000004</v>
      </c>
      <c r="P16" s="32">
        <f t="shared" si="6"/>
        <v>12.86</v>
      </c>
      <c r="Q16" s="32">
        <f t="shared" si="6"/>
        <v>47.8</v>
      </c>
      <c r="R16" s="32">
        <f t="shared" si="6"/>
        <v>15</v>
      </c>
      <c r="S16" s="32">
        <f t="shared" si="6"/>
        <v>70.3</v>
      </c>
      <c r="T16" s="32">
        <f t="shared" si="6"/>
        <v>15.6</v>
      </c>
      <c r="U16" s="32">
        <f t="shared" si="6"/>
        <v>10.9</v>
      </c>
      <c r="V16" s="32">
        <f t="shared" si="6"/>
        <v>69.8</v>
      </c>
      <c r="W16" s="32">
        <f t="shared" si="6"/>
        <v>8.6999999999999993</v>
      </c>
      <c r="X16" s="32">
        <f t="shared" si="6"/>
        <v>78.099999999999994</v>
      </c>
      <c r="Y16" s="32">
        <f t="shared" si="7"/>
        <v>-3.1</v>
      </c>
      <c r="Z16" s="32">
        <f t="shared" si="7"/>
        <v>32.76</v>
      </c>
      <c r="AA16" s="32">
        <f t="shared" si="7"/>
        <v>8.1999999999999993</v>
      </c>
      <c r="AB16" s="32">
        <f t="shared" si="7"/>
        <v>8.6</v>
      </c>
      <c r="AC16" s="32">
        <f t="shared" si="7"/>
        <v>4.7</v>
      </c>
      <c r="AD16" s="32">
        <f t="shared" si="7"/>
        <v>14.7</v>
      </c>
      <c r="AE16" s="32">
        <f t="shared" si="7"/>
        <v>10</v>
      </c>
      <c r="AF16" s="29">
        <v>71</v>
      </c>
      <c r="AG16" s="30">
        <f t="shared" si="3"/>
        <v>20.399999999999991</v>
      </c>
      <c r="AH16" s="31">
        <f t="shared" si="4"/>
        <v>61.087866108786592</v>
      </c>
    </row>
    <row r="17" spans="1:34" s="2" customFormat="1" ht="15.6" x14ac:dyDescent="0.3">
      <c r="A17" s="6" t="s">
        <v>6</v>
      </c>
      <c r="B17" s="2">
        <v>5</v>
      </c>
      <c r="C17" s="3">
        <v>3</v>
      </c>
      <c r="D17" s="5" t="s">
        <v>404</v>
      </c>
      <c r="E17" s="32">
        <f t="shared" si="5"/>
        <v>31</v>
      </c>
      <c r="F17" s="32">
        <f t="shared" si="5"/>
        <v>7</v>
      </c>
      <c r="G17" s="32">
        <f t="shared" si="5"/>
        <v>31.5</v>
      </c>
      <c r="H17" s="32">
        <f t="shared" si="5"/>
        <v>22.2</v>
      </c>
      <c r="I17" s="32">
        <f t="shared" si="5"/>
        <v>1.1599999999999999</v>
      </c>
      <c r="J17" s="32">
        <f t="shared" si="5"/>
        <v>13</v>
      </c>
      <c r="K17" s="32">
        <f t="shared" si="5"/>
        <v>18.239999999999998</v>
      </c>
      <c r="L17" s="32">
        <f t="shared" si="5"/>
        <v>4</v>
      </c>
      <c r="M17" s="32">
        <f t="shared" si="5"/>
        <v>40.5</v>
      </c>
      <c r="N17" s="32">
        <f t="shared" si="5"/>
        <v>26.11</v>
      </c>
      <c r="O17" s="32">
        <f t="shared" si="6"/>
        <v>0.5</v>
      </c>
      <c r="P17" s="32">
        <f t="shared" si="6"/>
        <v>8.76</v>
      </c>
      <c r="Q17" s="32">
        <f t="shared" si="6"/>
        <v>44</v>
      </c>
      <c r="R17" s="32">
        <f t="shared" si="6"/>
        <v>17.5</v>
      </c>
      <c r="S17" s="32">
        <f t="shared" si="6"/>
        <v>73.3</v>
      </c>
      <c r="T17" s="32">
        <f t="shared" si="6"/>
        <v>21.2</v>
      </c>
      <c r="U17" s="32">
        <f t="shared" si="6"/>
        <v>15.5</v>
      </c>
      <c r="V17" s="32">
        <f t="shared" si="6"/>
        <v>66.7</v>
      </c>
      <c r="W17" s="32">
        <f t="shared" si="6"/>
        <v>11.68</v>
      </c>
      <c r="X17" s="32">
        <f t="shared" si="6"/>
        <v>74.099999999999994</v>
      </c>
      <c r="Y17" s="32">
        <f t="shared" si="7"/>
        <v>4.0999999999999996</v>
      </c>
      <c r="Z17" s="32">
        <f t="shared" si="7"/>
        <v>37.78</v>
      </c>
      <c r="AA17" s="32">
        <f t="shared" si="7"/>
        <v>7.4</v>
      </c>
      <c r="AB17" s="32">
        <f t="shared" si="7"/>
        <v>7.4</v>
      </c>
      <c r="AC17" s="32">
        <f t="shared" si="7"/>
        <v>1.3</v>
      </c>
      <c r="AD17" s="32">
        <f t="shared" si="7"/>
        <v>12.43</v>
      </c>
      <c r="AE17" s="32">
        <f t="shared" si="7"/>
        <v>11.2</v>
      </c>
      <c r="AF17" s="29">
        <v>69.599999999999994</v>
      </c>
      <c r="AG17" s="30">
        <f t="shared" si="3"/>
        <v>18.799999999999997</v>
      </c>
      <c r="AH17" s="31">
        <f t="shared" si="4"/>
        <v>58.636363636363626</v>
      </c>
    </row>
    <row r="18" spans="1:34" s="2" customFormat="1" ht="15.6" x14ac:dyDescent="0.3">
      <c r="A18" s="6" t="s">
        <v>18</v>
      </c>
      <c r="B18" s="2">
        <v>1</v>
      </c>
      <c r="C18" s="3">
        <v>3</v>
      </c>
      <c r="D18" s="5" t="s">
        <v>404</v>
      </c>
      <c r="E18" s="32">
        <f t="shared" si="5"/>
        <v>32.1</v>
      </c>
      <c r="F18" s="32">
        <f t="shared" si="5"/>
        <v>8.1</v>
      </c>
      <c r="G18" s="32">
        <f t="shared" si="5"/>
        <v>35.9</v>
      </c>
      <c r="H18" s="32">
        <f t="shared" si="5"/>
        <v>22.7</v>
      </c>
      <c r="I18" s="32">
        <f t="shared" si="5"/>
        <v>1.44</v>
      </c>
      <c r="J18" s="32">
        <f t="shared" si="5"/>
        <v>14.5</v>
      </c>
      <c r="K18" s="32">
        <f t="shared" si="5"/>
        <v>17.3</v>
      </c>
      <c r="L18" s="32">
        <f t="shared" si="5"/>
        <v>4.0999999999999996</v>
      </c>
      <c r="M18" s="32">
        <f t="shared" si="5"/>
        <v>41</v>
      </c>
      <c r="N18" s="32">
        <f t="shared" si="5"/>
        <v>28.86</v>
      </c>
      <c r="O18" s="32">
        <f t="shared" si="6"/>
        <v>0.51500000000000001</v>
      </c>
      <c r="P18" s="32">
        <f t="shared" si="6"/>
        <v>12.41</v>
      </c>
      <c r="Q18" s="32">
        <f t="shared" si="6"/>
        <v>45</v>
      </c>
      <c r="R18" s="32">
        <f t="shared" si="6"/>
        <v>16.5</v>
      </c>
      <c r="S18" s="32">
        <f t="shared" si="6"/>
        <v>75.900000000000006</v>
      </c>
      <c r="T18" s="32">
        <f t="shared" si="6"/>
        <v>22.8</v>
      </c>
      <c r="U18" s="32">
        <f t="shared" si="6"/>
        <v>17.3</v>
      </c>
      <c r="V18" s="32">
        <f t="shared" si="6"/>
        <v>70.5</v>
      </c>
      <c r="W18" s="32">
        <f t="shared" si="6"/>
        <v>12.22</v>
      </c>
      <c r="X18" s="32">
        <f t="shared" si="6"/>
        <v>81.900000000000006</v>
      </c>
      <c r="Y18" s="32">
        <f t="shared" si="7"/>
        <v>7.3</v>
      </c>
      <c r="Z18" s="32">
        <f t="shared" si="7"/>
        <v>41.08</v>
      </c>
      <c r="AA18" s="32">
        <f t="shared" si="7"/>
        <v>11.5</v>
      </c>
      <c r="AB18" s="32">
        <f t="shared" si="7"/>
        <v>5.8</v>
      </c>
      <c r="AC18" s="32">
        <f t="shared" si="7"/>
        <v>0.5</v>
      </c>
      <c r="AD18" s="32">
        <f t="shared" si="7"/>
        <v>10.59</v>
      </c>
      <c r="AE18" s="32">
        <f t="shared" si="7"/>
        <v>10.1</v>
      </c>
      <c r="AF18" s="29">
        <v>73.3</v>
      </c>
      <c r="AG18" s="30">
        <f t="shared" si="3"/>
        <v>20.150000000000006</v>
      </c>
      <c r="AH18" s="31">
        <f t="shared" si="4"/>
        <v>62.7777777777778</v>
      </c>
    </row>
    <row r="19" spans="1:34" s="2" customFormat="1" ht="15.6" x14ac:dyDescent="0.3">
      <c r="A19" s="6" t="s">
        <v>20</v>
      </c>
      <c r="B19" s="2">
        <v>3</v>
      </c>
      <c r="C19" s="3">
        <v>2</v>
      </c>
      <c r="D19" s="5" t="s">
        <v>404</v>
      </c>
      <c r="E19" s="32">
        <f t="shared" si="5"/>
        <v>33.6</v>
      </c>
      <c r="F19" s="32">
        <f t="shared" si="5"/>
        <v>8.6</v>
      </c>
      <c r="G19" s="32">
        <f t="shared" si="5"/>
        <v>38.9</v>
      </c>
      <c r="H19" s="32">
        <f t="shared" si="5"/>
        <v>22.1</v>
      </c>
      <c r="I19" s="32">
        <f t="shared" si="5"/>
        <v>1.22</v>
      </c>
      <c r="J19" s="32">
        <f t="shared" si="5"/>
        <v>14.7</v>
      </c>
      <c r="K19" s="32">
        <f t="shared" si="5"/>
        <v>19.54</v>
      </c>
      <c r="L19" s="32">
        <f t="shared" si="5"/>
        <v>3.1</v>
      </c>
      <c r="M19" s="32">
        <f t="shared" si="5"/>
        <v>45.5</v>
      </c>
      <c r="N19" s="32">
        <f t="shared" si="5"/>
        <v>23.71</v>
      </c>
      <c r="O19" s="32">
        <f t="shared" si="6"/>
        <v>0.55800000000000005</v>
      </c>
      <c r="P19" s="32">
        <f t="shared" si="6"/>
        <v>8.7100000000000009</v>
      </c>
      <c r="Q19" s="32">
        <f t="shared" si="6"/>
        <v>48.3</v>
      </c>
      <c r="R19" s="32">
        <f t="shared" si="6"/>
        <v>16.5</v>
      </c>
      <c r="S19" s="32">
        <f t="shared" si="6"/>
        <v>73.2</v>
      </c>
      <c r="T19" s="32">
        <f t="shared" si="6"/>
        <v>22.6</v>
      </c>
      <c r="U19" s="32">
        <f t="shared" si="6"/>
        <v>16.5</v>
      </c>
      <c r="V19" s="32">
        <f t="shared" si="6"/>
        <v>71.099999999999994</v>
      </c>
      <c r="W19" s="32">
        <f t="shared" si="6"/>
        <v>11.4</v>
      </c>
      <c r="X19" s="32">
        <f t="shared" si="6"/>
        <v>80.400000000000006</v>
      </c>
      <c r="Y19" s="32">
        <f t="shared" si="7"/>
        <v>5.9</v>
      </c>
      <c r="Z19" s="32">
        <f t="shared" si="7"/>
        <v>35.11</v>
      </c>
      <c r="AA19" s="32">
        <f t="shared" si="7"/>
        <v>9.3000000000000007</v>
      </c>
      <c r="AB19" s="32">
        <f t="shared" si="7"/>
        <v>6.7</v>
      </c>
      <c r="AC19" s="32">
        <f t="shared" si="7"/>
        <v>-0.2</v>
      </c>
      <c r="AD19" s="32">
        <f t="shared" si="7"/>
        <v>11.83</v>
      </c>
      <c r="AE19" s="32">
        <f t="shared" si="7"/>
        <v>12</v>
      </c>
      <c r="AF19" s="29">
        <v>69.5</v>
      </c>
      <c r="AG19" s="30">
        <f t="shared" si="3"/>
        <v>19.050000000000004</v>
      </c>
      <c r="AH19" s="31">
        <f t="shared" si="4"/>
        <v>57.246376811594217</v>
      </c>
    </row>
    <row r="20" spans="1:34" s="2" customFormat="1" ht="15.6" x14ac:dyDescent="0.3">
      <c r="A20" s="6" t="s">
        <v>64</v>
      </c>
      <c r="B20" s="2">
        <v>10</v>
      </c>
      <c r="C20" s="3">
        <v>2</v>
      </c>
      <c r="D20" s="5" t="s">
        <v>404</v>
      </c>
      <c r="E20" s="32">
        <f t="shared" si="5"/>
        <v>32.200000000000003</v>
      </c>
      <c r="F20" s="32">
        <f t="shared" si="5"/>
        <v>7.3</v>
      </c>
      <c r="G20" s="32">
        <f t="shared" si="5"/>
        <v>33.799999999999997</v>
      </c>
      <c r="H20" s="32">
        <f t="shared" si="5"/>
        <v>21.7</v>
      </c>
      <c r="I20" s="32">
        <f t="shared" si="5"/>
        <v>1.72</v>
      </c>
      <c r="J20" s="32">
        <f t="shared" si="5"/>
        <v>18</v>
      </c>
      <c r="K20" s="32">
        <f t="shared" si="5"/>
        <v>17.420000000000002</v>
      </c>
      <c r="L20" s="32">
        <f t="shared" si="5"/>
        <v>3.1</v>
      </c>
      <c r="M20" s="32">
        <f t="shared" si="5"/>
        <v>42.6</v>
      </c>
      <c r="N20" s="32">
        <f t="shared" si="5"/>
        <v>25.56</v>
      </c>
      <c r="O20" s="32">
        <f t="shared" si="6"/>
        <v>0.54900000000000004</v>
      </c>
      <c r="P20" s="32">
        <f t="shared" si="6"/>
        <v>11.78</v>
      </c>
      <c r="Q20" s="32">
        <f t="shared" si="6"/>
        <v>48.4</v>
      </c>
      <c r="R20" s="32">
        <f t="shared" si="6"/>
        <v>17</v>
      </c>
      <c r="S20" s="32">
        <f t="shared" si="6"/>
        <v>75.2</v>
      </c>
      <c r="T20" s="32">
        <f t="shared" si="6"/>
        <v>17.8</v>
      </c>
      <c r="U20" s="32">
        <f t="shared" si="6"/>
        <v>13.4</v>
      </c>
      <c r="V20" s="32">
        <f t="shared" si="6"/>
        <v>67.3</v>
      </c>
      <c r="W20" s="32">
        <f t="shared" si="6"/>
        <v>7.86</v>
      </c>
      <c r="X20" s="32">
        <f t="shared" si="6"/>
        <v>75.2</v>
      </c>
      <c r="Y20" s="32">
        <f t="shared" si="7"/>
        <v>0.6</v>
      </c>
      <c r="Z20" s="32">
        <f t="shared" si="7"/>
        <v>33.42</v>
      </c>
      <c r="AA20" s="32">
        <f t="shared" si="7"/>
        <v>7.9</v>
      </c>
      <c r="AB20" s="32">
        <f t="shared" si="7"/>
        <v>6.3</v>
      </c>
      <c r="AC20" s="32">
        <f t="shared" si="7"/>
        <v>1.1000000000000001</v>
      </c>
      <c r="AD20" s="32">
        <f t="shared" si="7"/>
        <v>11.53</v>
      </c>
      <c r="AE20" s="32">
        <f t="shared" si="7"/>
        <v>10.4</v>
      </c>
      <c r="AF20" s="29">
        <v>67.900000000000006</v>
      </c>
      <c r="AG20" s="30">
        <f t="shared" si="3"/>
        <v>19.950000000000003</v>
      </c>
      <c r="AH20" s="31">
        <f t="shared" si="4"/>
        <v>56.301652892561997</v>
      </c>
    </row>
    <row r="21" spans="1:34" s="2" customFormat="1" ht="15.6" x14ac:dyDescent="0.3">
      <c r="A21" s="6" t="s">
        <v>24</v>
      </c>
      <c r="B21" s="2">
        <v>7</v>
      </c>
      <c r="C21" s="3">
        <v>2</v>
      </c>
      <c r="D21" s="5" t="s">
        <v>404</v>
      </c>
      <c r="E21" s="32">
        <f t="shared" si="5"/>
        <v>32</v>
      </c>
      <c r="F21" s="32">
        <f t="shared" si="5"/>
        <v>9.4</v>
      </c>
      <c r="G21" s="32">
        <f t="shared" si="5"/>
        <v>39.9</v>
      </c>
      <c r="H21" s="32">
        <f t="shared" si="5"/>
        <v>23.5</v>
      </c>
      <c r="I21" s="32">
        <f t="shared" si="5"/>
        <v>1.41</v>
      </c>
      <c r="J21" s="32">
        <f t="shared" si="5"/>
        <v>14.6</v>
      </c>
      <c r="K21" s="32">
        <f t="shared" si="5"/>
        <v>15.09</v>
      </c>
      <c r="L21" s="32">
        <f t="shared" si="5"/>
        <v>3.9</v>
      </c>
      <c r="M21" s="32">
        <f t="shared" si="5"/>
        <v>41.9</v>
      </c>
      <c r="N21" s="32">
        <f t="shared" si="5"/>
        <v>25.52</v>
      </c>
      <c r="O21" s="32">
        <f t="shared" si="6"/>
        <v>0.56299999999999994</v>
      </c>
      <c r="P21" s="32">
        <f t="shared" si="6"/>
        <v>7.24</v>
      </c>
      <c r="Q21" s="32">
        <f t="shared" si="6"/>
        <v>47.4</v>
      </c>
      <c r="R21" s="32">
        <f t="shared" si="6"/>
        <v>13.5</v>
      </c>
      <c r="S21" s="32">
        <f t="shared" si="6"/>
        <v>74</v>
      </c>
      <c r="T21" s="32">
        <f t="shared" si="6"/>
        <v>19.5</v>
      </c>
      <c r="U21" s="32">
        <f t="shared" si="6"/>
        <v>14.4</v>
      </c>
      <c r="V21" s="32">
        <f t="shared" si="6"/>
        <v>66.5</v>
      </c>
      <c r="W21" s="32">
        <f t="shared" si="6"/>
        <v>8.0299999999999994</v>
      </c>
      <c r="X21" s="32">
        <f t="shared" si="6"/>
        <v>74.2</v>
      </c>
      <c r="Y21" s="32">
        <f t="shared" si="7"/>
        <v>0.8</v>
      </c>
      <c r="Z21" s="32">
        <f t="shared" si="7"/>
        <v>33.549999999999997</v>
      </c>
      <c r="AA21" s="32">
        <f t="shared" si="7"/>
        <v>7.7</v>
      </c>
      <c r="AB21" s="32">
        <f t="shared" si="7"/>
        <v>5.5</v>
      </c>
      <c r="AC21" s="32">
        <f t="shared" si="7"/>
        <v>0</v>
      </c>
      <c r="AD21" s="32">
        <f t="shared" si="7"/>
        <v>10.36</v>
      </c>
      <c r="AE21" s="32">
        <f t="shared" si="7"/>
        <v>10.4</v>
      </c>
      <c r="AF21" s="29">
        <v>66.5</v>
      </c>
      <c r="AG21" s="30">
        <f t="shared" si="3"/>
        <v>15.8</v>
      </c>
      <c r="AH21" s="31">
        <f t="shared" si="4"/>
        <v>53.16455696202533</v>
      </c>
    </row>
    <row r="22" spans="1:34" s="2" customFormat="1" ht="15.6" x14ac:dyDescent="0.3">
      <c r="A22" s="6" t="s">
        <v>12</v>
      </c>
      <c r="B22" s="2">
        <v>11</v>
      </c>
      <c r="C22" s="3">
        <v>2</v>
      </c>
      <c r="D22" s="5" t="s">
        <v>404</v>
      </c>
      <c r="E22" s="32">
        <f t="shared" ref="E22:N31" si="8">INDEX(rawValue,MATCH(INDEX(teamID,MATCH(INDEX(ovrTeamCol,ROW(),1),teamINI,0))+INDEX(statID,MATCH(INDEX(ovrHeaderRow,1,COLUMN()),statAbbr,0),1),rawLookup,0))</f>
        <v>31.8</v>
      </c>
      <c r="F22" s="32">
        <f t="shared" si="8"/>
        <v>7.5</v>
      </c>
      <c r="G22" s="32">
        <f t="shared" si="8"/>
        <v>34</v>
      </c>
      <c r="H22" s="32">
        <f t="shared" si="8"/>
        <v>22.2</v>
      </c>
      <c r="I22" s="32">
        <f t="shared" si="8"/>
        <v>1.1499999999999999</v>
      </c>
      <c r="J22" s="32">
        <f t="shared" si="8"/>
        <v>13.4</v>
      </c>
      <c r="K22" s="32">
        <f t="shared" si="8"/>
        <v>23.24</v>
      </c>
      <c r="L22" s="32">
        <f t="shared" si="8"/>
        <v>4.3</v>
      </c>
      <c r="M22" s="32">
        <f t="shared" si="8"/>
        <v>42.3</v>
      </c>
      <c r="N22" s="32">
        <f t="shared" si="8"/>
        <v>24.3</v>
      </c>
      <c r="O22" s="32">
        <f t="shared" ref="O22:X31" si="9">INDEX(rawValue,MATCH(INDEX(teamID,MATCH(INDEX(ovrTeamCol,ROW(),1),teamINI,0))+INDEX(statID,MATCH(INDEX(ovrHeaderRow,1,COLUMN()),statAbbr,0),1),rawLookup,0))</f>
        <v>0.503</v>
      </c>
      <c r="P22" s="32">
        <f t="shared" si="9"/>
        <v>11.86</v>
      </c>
      <c r="Q22" s="32">
        <f t="shared" si="9"/>
        <v>43.6</v>
      </c>
      <c r="R22" s="32">
        <f t="shared" si="9"/>
        <v>17.100000000000001</v>
      </c>
      <c r="S22" s="32">
        <f t="shared" si="9"/>
        <v>72</v>
      </c>
      <c r="T22" s="32">
        <f t="shared" si="9"/>
        <v>18.399999999999999</v>
      </c>
      <c r="U22" s="32">
        <f t="shared" si="9"/>
        <v>13.2</v>
      </c>
      <c r="V22" s="32">
        <f t="shared" si="9"/>
        <v>66.7</v>
      </c>
      <c r="W22" s="32">
        <f t="shared" si="9"/>
        <v>10.51</v>
      </c>
      <c r="X22" s="32">
        <f t="shared" si="9"/>
        <v>70.599999999999994</v>
      </c>
      <c r="Y22" s="32">
        <f t="shared" ref="Y22:AE31" si="10">INDEX(rawValue,MATCH(INDEX(teamID,MATCH(INDEX(ovrTeamCol,ROW(),1),teamINI,0))+INDEX(statID,MATCH(INDEX(ovrHeaderRow,1,COLUMN()),statAbbr,0),1),rawLookup,0))</f>
        <v>0.5</v>
      </c>
      <c r="Z22" s="32">
        <f t="shared" si="10"/>
        <v>34.81</v>
      </c>
      <c r="AA22" s="32">
        <f t="shared" si="10"/>
        <v>3.9</v>
      </c>
      <c r="AB22" s="32">
        <f t="shared" si="10"/>
        <v>7.5</v>
      </c>
      <c r="AC22" s="32">
        <f t="shared" si="10"/>
        <v>1.4</v>
      </c>
      <c r="AD22" s="32">
        <f t="shared" si="10"/>
        <v>13.11</v>
      </c>
      <c r="AE22" s="32">
        <f t="shared" si="10"/>
        <v>11.7</v>
      </c>
      <c r="AF22" s="29">
        <v>68.400000000000006</v>
      </c>
      <c r="AG22" s="30">
        <f t="shared" si="3"/>
        <v>17.449999999999996</v>
      </c>
      <c r="AH22" s="31">
        <f t="shared" si="4"/>
        <v>57.224770642201825</v>
      </c>
    </row>
    <row r="23" spans="1:34" s="2" customFormat="1" ht="15.6" x14ac:dyDescent="0.3">
      <c r="A23" s="6" t="s">
        <v>28</v>
      </c>
      <c r="B23" s="2">
        <v>12</v>
      </c>
      <c r="C23" s="3">
        <v>2</v>
      </c>
      <c r="D23" s="5" t="s">
        <v>404</v>
      </c>
      <c r="E23" s="32">
        <f t="shared" si="8"/>
        <v>32</v>
      </c>
      <c r="F23" s="32">
        <f t="shared" si="8"/>
        <v>7</v>
      </c>
      <c r="G23" s="32">
        <f t="shared" si="8"/>
        <v>33.6</v>
      </c>
      <c r="H23" s="32">
        <f t="shared" si="8"/>
        <v>20.8</v>
      </c>
      <c r="I23" s="32">
        <f t="shared" si="8"/>
        <v>0.99</v>
      </c>
      <c r="J23" s="32">
        <f t="shared" si="8"/>
        <v>12.1</v>
      </c>
      <c r="K23" s="32">
        <f t="shared" si="8"/>
        <v>17.46</v>
      </c>
      <c r="L23" s="32">
        <f t="shared" si="8"/>
        <v>5.5</v>
      </c>
      <c r="M23" s="32">
        <f t="shared" si="8"/>
        <v>40.299999999999997</v>
      </c>
      <c r="N23" s="32">
        <f t="shared" si="8"/>
        <v>26.37</v>
      </c>
      <c r="O23" s="32">
        <f t="shared" si="9"/>
        <v>0.52100000000000002</v>
      </c>
      <c r="P23" s="32">
        <f t="shared" si="9"/>
        <v>11</v>
      </c>
      <c r="Q23" s="32">
        <f t="shared" si="9"/>
        <v>46</v>
      </c>
      <c r="R23" s="32">
        <f t="shared" si="9"/>
        <v>17.899999999999999</v>
      </c>
      <c r="S23" s="32">
        <f t="shared" si="9"/>
        <v>74.900000000000006</v>
      </c>
      <c r="T23" s="32">
        <f t="shared" si="9"/>
        <v>25.8</v>
      </c>
      <c r="U23" s="32">
        <f t="shared" si="9"/>
        <v>19.3</v>
      </c>
      <c r="V23" s="32">
        <f t="shared" si="9"/>
        <v>67</v>
      </c>
      <c r="W23" s="32">
        <f t="shared" si="9"/>
        <v>11.77</v>
      </c>
      <c r="X23" s="32">
        <f t="shared" si="9"/>
        <v>79.099999999999994</v>
      </c>
      <c r="Y23" s="32">
        <f t="shared" si="10"/>
        <v>4.4000000000000004</v>
      </c>
      <c r="Z23" s="32">
        <f t="shared" si="10"/>
        <v>38.14</v>
      </c>
      <c r="AA23" s="32">
        <f t="shared" si="10"/>
        <v>12.1</v>
      </c>
      <c r="AB23" s="32">
        <f t="shared" si="10"/>
        <v>8.3000000000000007</v>
      </c>
      <c r="AC23" s="32">
        <f t="shared" si="10"/>
        <v>1.6</v>
      </c>
      <c r="AD23" s="32">
        <f t="shared" si="10"/>
        <v>13.91</v>
      </c>
      <c r="AE23" s="32">
        <f t="shared" si="10"/>
        <v>12.3</v>
      </c>
      <c r="AF23" s="29">
        <v>71.8</v>
      </c>
      <c r="AG23" s="30">
        <f t="shared" si="3"/>
        <v>19.399999999999999</v>
      </c>
      <c r="AH23" s="31">
        <f t="shared" si="4"/>
        <v>57.391304347826086</v>
      </c>
    </row>
    <row r="24" spans="1:34" s="2" customFormat="1" ht="15.6" x14ac:dyDescent="0.3">
      <c r="A24" s="6" t="s">
        <v>52</v>
      </c>
      <c r="B24" s="2">
        <v>16</v>
      </c>
      <c r="C24" s="3">
        <v>2</v>
      </c>
      <c r="D24" s="5" t="s">
        <v>404</v>
      </c>
      <c r="E24" s="32">
        <f t="shared" si="8"/>
        <v>34.4</v>
      </c>
      <c r="F24" s="32">
        <f t="shared" si="8"/>
        <v>5.0999999999999996</v>
      </c>
      <c r="G24" s="32">
        <f t="shared" si="8"/>
        <v>33.799999999999997</v>
      </c>
      <c r="H24" s="32">
        <f t="shared" si="8"/>
        <v>15.2</v>
      </c>
      <c r="I24" s="32">
        <f t="shared" si="8"/>
        <v>0.75</v>
      </c>
      <c r="J24" s="32">
        <f t="shared" si="8"/>
        <v>9.8000000000000007</v>
      </c>
      <c r="K24" s="32">
        <f t="shared" si="8"/>
        <v>21.67</v>
      </c>
      <c r="L24" s="32">
        <f t="shared" si="8"/>
        <v>3.2</v>
      </c>
      <c r="M24" s="32">
        <f t="shared" si="8"/>
        <v>43.6</v>
      </c>
      <c r="N24" s="32">
        <f t="shared" si="8"/>
        <v>22.56</v>
      </c>
      <c r="O24" s="32">
        <f t="shared" si="9"/>
        <v>0.48699999999999999</v>
      </c>
      <c r="P24" s="32">
        <f t="shared" si="9"/>
        <v>10.42</v>
      </c>
      <c r="Q24" s="32">
        <f t="shared" si="9"/>
        <v>44</v>
      </c>
      <c r="R24" s="32">
        <f t="shared" si="9"/>
        <v>16</v>
      </c>
      <c r="S24" s="32">
        <f t="shared" si="9"/>
        <v>70.8</v>
      </c>
      <c r="T24" s="32">
        <f t="shared" si="9"/>
        <v>20.8</v>
      </c>
      <c r="U24" s="32">
        <f t="shared" si="9"/>
        <v>14.8</v>
      </c>
      <c r="V24" s="32">
        <f t="shared" si="9"/>
        <v>69.599999999999994</v>
      </c>
      <c r="W24" s="32">
        <f t="shared" si="9"/>
        <v>9.61</v>
      </c>
      <c r="X24" s="32">
        <f t="shared" si="9"/>
        <v>67.7</v>
      </c>
      <c r="Y24" s="32">
        <f t="shared" si="10"/>
        <v>-1.3</v>
      </c>
      <c r="Z24" s="32">
        <f t="shared" si="10"/>
        <v>32.17</v>
      </c>
      <c r="AA24" s="32">
        <f t="shared" si="10"/>
        <v>-1.9</v>
      </c>
      <c r="AB24" s="32">
        <f t="shared" si="10"/>
        <v>7.4</v>
      </c>
      <c r="AC24" s="32">
        <f t="shared" si="10"/>
        <v>-0.3</v>
      </c>
      <c r="AD24" s="32">
        <f t="shared" si="10"/>
        <v>12.81</v>
      </c>
      <c r="AE24" s="32">
        <f t="shared" si="10"/>
        <v>13.1</v>
      </c>
      <c r="AF24" s="29">
        <v>68.2</v>
      </c>
      <c r="AG24" s="30">
        <f t="shared" si="3"/>
        <v>18.800000000000004</v>
      </c>
      <c r="AH24" s="31">
        <f t="shared" si="4"/>
        <v>54.318181818181827</v>
      </c>
    </row>
    <row r="25" spans="1:34" s="2" customFormat="1" ht="15.6" x14ac:dyDescent="0.3">
      <c r="A25" s="6" t="s">
        <v>41</v>
      </c>
      <c r="B25" s="2">
        <v>12</v>
      </c>
      <c r="C25" s="3">
        <v>2</v>
      </c>
      <c r="D25" s="5" t="s">
        <v>404</v>
      </c>
      <c r="E25" s="32">
        <f t="shared" si="8"/>
        <v>29.9</v>
      </c>
      <c r="F25" s="32">
        <f t="shared" si="8"/>
        <v>8.5</v>
      </c>
      <c r="G25" s="32">
        <f t="shared" si="8"/>
        <v>36</v>
      </c>
      <c r="H25" s="32">
        <f t="shared" si="8"/>
        <v>23.7</v>
      </c>
      <c r="I25" s="32">
        <f t="shared" si="8"/>
        <v>1.47</v>
      </c>
      <c r="J25" s="32">
        <f t="shared" si="8"/>
        <v>16</v>
      </c>
      <c r="K25" s="32">
        <f t="shared" si="8"/>
        <v>23.75</v>
      </c>
      <c r="L25" s="32">
        <f t="shared" si="8"/>
        <v>3.1</v>
      </c>
      <c r="M25" s="32">
        <f t="shared" si="8"/>
        <v>41.6</v>
      </c>
      <c r="N25" s="32">
        <f t="shared" si="8"/>
        <v>27.08</v>
      </c>
      <c r="O25" s="32">
        <f t="shared" si="9"/>
        <v>0.54400000000000004</v>
      </c>
      <c r="P25" s="32">
        <f t="shared" si="9"/>
        <v>11.03</v>
      </c>
      <c r="Q25" s="32">
        <f t="shared" si="9"/>
        <v>47.6</v>
      </c>
      <c r="R25" s="32">
        <f t="shared" si="9"/>
        <v>17.3</v>
      </c>
      <c r="S25" s="32">
        <f t="shared" si="9"/>
        <v>70.3</v>
      </c>
      <c r="T25" s="32">
        <f t="shared" si="9"/>
        <v>21.4</v>
      </c>
      <c r="U25" s="32">
        <f t="shared" si="9"/>
        <v>15.1</v>
      </c>
      <c r="V25" s="32">
        <f t="shared" si="9"/>
        <v>69.599999999999994</v>
      </c>
      <c r="W25" s="32">
        <f t="shared" si="9"/>
        <v>11.53</v>
      </c>
      <c r="X25" s="32">
        <f t="shared" si="9"/>
        <v>83.2</v>
      </c>
      <c r="Y25" s="32">
        <f t="shared" si="10"/>
        <v>4.7</v>
      </c>
      <c r="Z25" s="32">
        <f t="shared" si="10"/>
        <v>38.61</v>
      </c>
      <c r="AA25" s="32">
        <f t="shared" si="10"/>
        <v>13.6</v>
      </c>
      <c r="AB25" s="32">
        <f t="shared" si="10"/>
        <v>9</v>
      </c>
      <c r="AC25" s="32">
        <f t="shared" si="10"/>
        <v>3.4</v>
      </c>
      <c r="AD25" s="32">
        <f t="shared" si="10"/>
        <v>14.33</v>
      </c>
      <c r="AE25" s="32">
        <f t="shared" si="10"/>
        <v>10.9</v>
      </c>
      <c r="AF25" s="29">
        <v>73.599999999999994</v>
      </c>
      <c r="AG25" s="30">
        <f t="shared" si="3"/>
        <v>21.300000000000004</v>
      </c>
      <c r="AH25" s="31">
        <f t="shared" si="4"/>
        <v>62.605042016806728</v>
      </c>
    </row>
    <row r="26" spans="1:34" s="2" customFormat="1" ht="15.6" x14ac:dyDescent="0.3">
      <c r="A26" s="6" t="s">
        <v>57</v>
      </c>
      <c r="B26" s="2">
        <v>4</v>
      </c>
      <c r="C26" s="3">
        <v>2</v>
      </c>
      <c r="D26" s="5" t="s">
        <v>404</v>
      </c>
      <c r="E26" s="32">
        <f t="shared" si="8"/>
        <v>34</v>
      </c>
      <c r="F26" s="32">
        <f t="shared" si="8"/>
        <v>5.7</v>
      </c>
      <c r="G26" s="32">
        <f t="shared" si="8"/>
        <v>33.200000000000003</v>
      </c>
      <c r="H26" s="32">
        <f t="shared" si="8"/>
        <v>17.3</v>
      </c>
      <c r="I26" s="32">
        <f t="shared" si="8"/>
        <v>1.63</v>
      </c>
      <c r="J26" s="32">
        <f t="shared" si="8"/>
        <v>19</v>
      </c>
      <c r="K26" s="32">
        <f t="shared" si="8"/>
        <v>11.79</v>
      </c>
      <c r="L26" s="32">
        <f t="shared" si="8"/>
        <v>3.9</v>
      </c>
      <c r="M26" s="32">
        <f t="shared" si="8"/>
        <v>41</v>
      </c>
      <c r="N26" s="32">
        <f t="shared" si="8"/>
        <v>27.88</v>
      </c>
      <c r="O26" s="32">
        <f t="shared" si="9"/>
        <v>0.53800000000000003</v>
      </c>
      <c r="P26" s="32">
        <f t="shared" si="9"/>
        <v>12.82</v>
      </c>
      <c r="Q26" s="32">
        <f t="shared" si="9"/>
        <v>48.8</v>
      </c>
      <c r="R26" s="32">
        <f t="shared" si="9"/>
        <v>14.8</v>
      </c>
      <c r="S26" s="32">
        <f t="shared" si="9"/>
        <v>72.099999999999994</v>
      </c>
      <c r="T26" s="32">
        <f t="shared" si="9"/>
        <v>18.5</v>
      </c>
      <c r="U26" s="32">
        <f t="shared" si="9"/>
        <v>13.4</v>
      </c>
      <c r="V26" s="32">
        <f t="shared" si="9"/>
        <v>69.900000000000006</v>
      </c>
      <c r="W26" s="32">
        <f t="shared" si="9"/>
        <v>8.24</v>
      </c>
      <c r="X26" s="32">
        <f t="shared" si="9"/>
        <v>75.599999999999994</v>
      </c>
      <c r="Y26" s="32">
        <f t="shared" si="10"/>
        <v>2.4</v>
      </c>
      <c r="Z26" s="32">
        <f t="shared" si="10"/>
        <v>36.119999999999997</v>
      </c>
      <c r="AA26" s="32">
        <f t="shared" si="10"/>
        <v>5.7</v>
      </c>
      <c r="AB26" s="32">
        <f t="shared" si="10"/>
        <v>7.1</v>
      </c>
      <c r="AC26" s="32">
        <f t="shared" si="10"/>
        <v>-0.1</v>
      </c>
      <c r="AD26" s="32">
        <f t="shared" si="10"/>
        <v>11.62</v>
      </c>
      <c r="AE26" s="32">
        <f t="shared" si="10"/>
        <v>11.7</v>
      </c>
      <c r="AF26" s="29">
        <v>71.400000000000006</v>
      </c>
      <c r="AG26" s="30">
        <f t="shared" si="3"/>
        <v>22.549999999999997</v>
      </c>
      <c r="AH26" s="31">
        <f t="shared" si="4"/>
        <v>57.889344262295076</v>
      </c>
    </row>
    <row r="27" spans="1:34" s="2" customFormat="1" ht="15.6" x14ac:dyDescent="0.3">
      <c r="A27" s="6" t="s">
        <v>34</v>
      </c>
      <c r="B27" s="2">
        <v>9</v>
      </c>
      <c r="C27" s="3">
        <v>2</v>
      </c>
      <c r="D27" s="5" t="s">
        <v>404</v>
      </c>
      <c r="E27" s="32">
        <f t="shared" si="8"/>
        <v>32.6</v>
      </c>
      <c r="F27" s="32">
        <f t="shared" si="8"/>
        <v>6.5</v>
      </c>
      <c r="G27" s="32">
        <f t="shared" si="8"/>
        <v>36.299999999999997</v>
      </c>
      <c r="H27" s="32">
        <f t="shared" si="8"/>
        <v>17.899999999999999</v>
      </c>
      <c r="I27" s="32">
        <f t="shared" si="8"/>
        <v>1.59</v>
      </c>
      <c r="J27" s="32">
        <f t="shared" si="8"/>
        <v>15.9</v>
      </c>
      <c r="K27" s="32">
        <f t="shared" si="8"/>
        <v>17.71</v>
      </c>
      <c r="L27" s="32">
        <f t="shared" si="8"/>
        <v>3.8</v>
      </c>
      <c r="M27" s="32">
        <f t="shared" si="8"/>
        <v>41.3</v>
      </c>
      <c r="N27" s="32">
        <f t="shared" si="8"/>
        <v>24.63</v>
      </c>
      <c r="O27" s="32">
        <f t="shared" si="9"/>
        <v>0.51600000000000001</v>
      </c>
      <c r="P27" s="32">
        <f t="shared" si="9"/>
        <v>14.09</v>
      </c>
      <c r="Q27" s="32">
        <f t="shared" si="9"/>
        <v>46.1</v>
      </c>
      <c r="R27" s="32">
        <f t="shared" si="9"/>
        <v>16.600000000000001</v>
      </c>
      <c r="S27" s="32">
        <f t="shared" si="9"/>
        <v>70.8</v>
      </c>
      <c r="T27" s="32">
        <f t="shared" si="9"/>
        <v>17.2</v>
      </c>
      <c r="U27" s="32">
        <f t="shared" si="9"/>
        <v>12.2</v>
      </c>
      <c r="V27" s="32">
        <f t="shared" si="9"/>
        <v>66.099999999999994</v>
      </c>
      <c r="W27" s="32">
        <f t="shared" si="9"/>
        <v>10.09</v>
      </c>
      <c r="X27" s="32">
        <f t="shared" si="9"/>
        <v>72.900000000000006</v>
      </c>
      <c r="Y27" s="32">
        <f t="shared" si="10"/>
        <v>1.1000000000000001</v>
      </c>
      <c r="Z27" s="32">
        <f t="shared" si="10"/>
        <v>34.71</v>
      </c>
      <c r="AA27" s="32">
        <f t="shared" si="10"/>
        <v>6.8</v>
      </c>
      <c r="AB27" s="32">
        <f t="shared" si="10"/>
        <v>7.1</v>
      </c>
      <c r="AC27" s="32">
        <f t="shared" si="10"/>
        <v>2.2999999999999998</v>
      </c>
      <c r="AD27" s="32">
        <f t="shared" si="10"/>
        <v>12.34</v>
      </c>
      <c r="AE27" s="32">
        <f t="shared" si="10"/>
        <v>10</v>
      </c>
      <c r="AF27" s="29">
        <v>68.3</v>
      </c>
      <c r="AG27" s="30">
        <f t="shared" si="3"/>
        <v>20.6</v>
      </c>
      <c r="AH27" s="31">
        <f t="shared" si="4"/>
        <v>58.785249457700651</v>
      </c>
    </row>
    <row r="28" spans="1:34" s="2" customFormat="1" ht="15.6" x14ac:dyDescent="0.3">
      <c r="A28" s="6" t="s">
        <v>10</v>
      </c>
      <c r="B28" s="2">
        <v>9</v>
      </c>
      <c r="C28" s="3">
        <v>2</v>
      </c>
      <c r="D28" s="5" t="s">
        <v>404</v>
      </c>
      <c r="E28" s="32">
        <f t="shared" si="8"/>
        <v>34.4</v>
      </c>
      <c r="F28" s="32">
        <f t="shared" si="8"/>
        <v>8.1999999999999993</v>
      </c>
      <c r="G28" s="32">
        <f t="shared" si="8"/>
        <v>39</v>
      </c>
      <c r="H28" s="32">
        <f t="shared" si="8"/>
        <v>21</v>
      </c>
      <c r="I28" s="32">
        <f t="shared" si="8"/>
        <v>1.77</v>
      </c>
      <c r="J28" s="32">
        <f t="shared" si="8"/>
        <v>15.6</v>
      </c>
      <c r="K28" s="32">
        <f t="shared" si="8"/>
        <v>10.76</v>
      </c>
      <c r="L28" s="32">
        <f t="shared" si="8"/>
        <v>3.1</v>
      </c>
      <c r="M28" s="32">
        <f t="shared" si="8"/>
        <v>45.1</v>
      </c>
      <c r="N28" s="32">
        <f t="shared" si="8"/>
        <v>22.88</v>
      </c>
      <c r="O28" s="32">
        <f t="shared" si="9"/>
        <v>0.52600000000000002</v>
      </c>
      <c r="P28" s="32">
        <f t="shared" si="9"/>
        <v>6</v>
      </c>
      <c r="Q28" s="32">
        <f t="shared" si="9"/>
        <v>45.5</v>
      </c>
      <c r="R28" s="32">
        <f t="shared" si="9"/>
        <v>17.600000000000001</v>
      </c>
      <c r="S28" s="32">
        <f t="shared" si="9"/>
        <v>75.2</v>
      </c>
      <c r="T28" s="32">
        <f t="shared" si="9"/>
        <v>16.899999999999999</v>
      </c>
      <c r="U28" s="32">
        <f t="shared" si="9"/>
        <v>12.7</v>
      </c>
      <c r="V28" s="32">
        <f t="shared" si="9"/>
        <v>69.099999999999994</v>
      </c>
      <c r="W28" s="32">
        <f t="shared" si="9"/>
        <v>8.5299999999999994</v>
      </c>
      <c r="X28" s="32">
        <f t="shared" si="9"/>
        <v>73.3</v>
      </c>
      <c r="Y28" s="32">
        <f t="shared" si="10"/>
        <v>-2</v>
      </c>
      <c r="Z28" s="32">
        <f t="shared" si="10"/>
        <v>31.41</v>
      </c>
      <c r="AA28" s="32">
        <f t="shared" si="10"/>
        <v>4.3</v>
      </c>
      <c r="AB28" s="32">
        <f t="shared" si="10"/>
        <v>7</v>
      </c>
      <c r="AC28" s="32">
        <f t="shared" si="10"/>
        <v>3.6</v>
      </c>
      <c r="AD28" s="32">
        <f t="shared" si="10"/>
        <v>12.41</v>
      </c>
      <c r="AE28" s="32">
        <f t="shared" si="10"/>
        <v>8.8000000000000007</v>
      </c>
      <c r="AF28" s="29">
        <v>67.3</v>
      </c>
      <c r="AG28" s="30">
        <f t="shared" si="3"/>
        <v>18</v>
      </c>
      <c r="AH28" s="31">
        <f t="shared" si="4"/>
        <v>57.582417582417584</v>
      </c>
    </row>
    <row r="29" spans="1:34" s="2" customFormat="1" ht="15.6" x14ac:dyDescent="0.3">
      <c r="A29" s="6" t="s">
        <v>37</v>
      </c>
      <c r="B29" s="2">
        <v>14</v>
      </c>
      <c r="C29" s="3">
        <v>2</v>
      </c>
      <c r="D29" s="5" t="s">
        <v>404</v>
      </c>
      <c r="E29" s="32">
        <f t="shared" si="8"/>
        <v>33.9</v>
      </c>
      <c r="F29" s="32">
        <f t="shared" si="8"/>
        <v>8.8000000000000007</v>
      </c>
      <c r="G29" s="32">
        <f t="shared" si="8"/>
        <v>35.5</v>
      </c>
      <c r="H29" s="32">
        <f t="shared" si="8"/>
        <v>24.9</v>
      </c>
      <c r="I29" s="32">
        <f t="shared" si="8"/>
        <v>1.32</v>
      </c>
      <c r="J29" s="32">
        <f t="shared" si="8"/>
        <v>14.5</v>
      </c>
      <c r="K29" s="32">
        <f t="shared" si="8"/>
        <v>21.08</v>
      </c>
      <c r="L29" s="32">
        <f t="shared" si="8"/>
        <v>2.8</v>
      </c>
      <c r="M29" s="32">
        <f t="shared" si="8"/>
        <v>43.7</v>
      </c>
      <c r="N29" s="32">
        <f t="shared" si="8"/>
        <v>25.25</v>
      </c>
      <c r="O29" s="32">
        <f t="shared" si="9"/>
        <v>0.51900000000000002</v>
      </c>
      <c r="P29" s="32">
        <f t="shared" si="9"/>
        <v>7.47</v>
      </c>
      <c r="Q29" s="32">
        <f t="shared" si="9"/>
        <v>44.6</v>
      </c>
      <c r="R29" s="32">
        <f t="shared" si="9"/>
        <v>15.1</v>
      </c>
      <c r="S29" s="32">
        <f t="shared" si="9"/>
        <v>75.099999999999994</v>
      </c>
      <c r="T29" s="32">
        <f t="shared" si="9"/>
        <v>18.5</v>
      </c>
      <c r="U29" s="32">
        <f t="shared" si="9"/>
        <v>13.9</v>
      </c>
      <c r="V29" s="32">
        <f t="shared" si="9"/>
        <v>73.2</v>
      </c>
      <c r="W29" s="32">
        <f t="shared" si="9"/>
        <v>10.64</v>
      </c>
      <c r="X29" s="32">
        <f t="shared" si="9"/>
        <v>76.400000000000006</v>
      </c>
      <c r="Y29" s="32">
        <f t="shared" si="10"/>
        <v>1.2</v>
      </c>
      <c r="Z29" s="32">
        <f t="shared" si="10"/>
        <v>35.89</v>
      </c>
      <c r="AA29" s="32">
        <f t="shared" si="10"/>
        <v>3.3</v>
      </c>
      <c r="AB29" s="32">
        <f t="shared" si="10"/>
        <v>6.6</v>
      </c>
      <c r="AC29" s="32">
        <f t="shared" si="10"/>
        <v>0.2</v>
      </c>
      <c r="AD29" s="32">
        <f t="shared" si="10"/>
        <v>11.19</v>
      </c>
      <c r="AE29" s="32">
        <f t="shared" si="10"/>
        <v>11</v>
      </c>
      <c r="AF29" s="29">
        <v>68.599999999999994</v>
      </c>
      <c r="AG29" s="30">
        <f t="shared" si="3"/>
        <v>18.050000000000004</v>
      </c>
      <c r="AH29" s="31">
        <f t="shared" si="4"/>
        <v>60.201793721973104</v>
      </c>
    </row>
    <row r="30" spans="1:34" s="2" customFormat="1" ht="15.6" x14ac:dyDescent="0.3">
      <c r="A30" s="6" t="s">
        <v>65</v>
      </c>
      <c r="B30" s="2">
        <v>11</v>
      </c>
      <c r="C30" s="3">
        <v>2</v>
      </c>
      <c r="D30" s="5" t="s">
        <v>404</v>
      </c>
      <c r="E30" s="32">
        <f t="shared" si="8"/>
        <v>35</v>
      </c>
      <c r="F30" s="32">
        <f t="shared" si="8"/>
        <v>7.3</v>
      </c>
      <c r="G30" s="32">
        <f t="shared" si="8"/>
        <v>33.799999999999997</v>
      </c>
      <c r="H30" s="32">
        <f t="shared" si="8"/>
        <v>21.6</v>
      </c>
      <c r="I30" s="32">
        <f t="shared" si="8"/>
        <v>1.36</v>
      </c>
      <c r="J30" s="32">
        <f t="shared" si="8"/>
        <v>13.8</v>
      </c>
      <c r="K30" s="32">
        <f t="shared" si="8"/>
        <v>18.25</v>
      </c>
      <c r="L30" s="32">
        <f t="shared" si="8"/>
        <v>3.6</v>
      </c>
      <c r="M30" s="32">
        <f t="shared" si="8"/>
        <v>45.1</v>
      </c>
      <c r="N30" s="32">
        <f t="shared" si="8"/>
        <v>24.47</v>
      </c>
      <c r="O30" s="32">
        <f t="shared" si="9"/>
        <v>0.51900000000000002</v>
      </c>
      <c r="P30" s="32">
        <f t="shared" si="9"/>
        <v>9.7200000000000006</v>
      </c>
      <c r="Q30" s="32">
        <f t="shared" si="9"/>
        <v>45.8</v>
      </c>
      <c r="R30" s="32">
        <f t="shared" si="9"/>
        <v>16.399999999999999</v>
      </c>
      <c r="S30" s="32">
        <f t="shared" si="9"/>
        <v>71.900000000000006</v>
      </c>
      <c r="T30" s="32">
        <f t="shared" si="9"/>
        <v>19.100000000000001</v>
      </c>
      <c r="U30" s="32">
        <f t="shared" si="9"/>
        <v>13.7</v>
      </c>
      <c r="V30" s="32">
        <f t="shared" si="9"/>
        <v>72.3</v>
      </c>
      <c r="W30" s="32">
        <f t="shared" si="9"/>
        <v>9.92</v>
      </c>
      <c r="X30" s="32">
        <f t="shared" si="9"/>
        <v>75.599999999999994</v>
      </c>
      <c r="Y30" s="32">
        <f t="shared" si="10"/>
        <v>0.5</v>
      </c>
      <c r="Z30" s="32">
        <f t="shared" si="10"/>
        <v>34.39</v>
      </c>
      <c r="AA30" s="32">
        <f t="shared" si="10"/>
        <v>3.3</v>
      </c>
      <c r="AB30" s="32">
        <f t="shared" si="10"/>
        <v>7.2</v>
      </c>
      <c r="AC30" s="32">
        <f t="shared" si="10"/>
        <v>2.1</v>
      </c>
      <c r="AD30" s="32">
        <f t="shared" si="10"/>
        <v>12.28</v>
      </c>
      <c r="AE30" s="32">
        <f t="shared" si="10"/>
        <v>10.199999999999999</v>
      </c>
      <c r="AF30" s="29">
        <v>70.599999999999994</v>
      </c>
      <c r="AG30" s="30">
        <f t="shared" si="3"/>
        <v>19.999999999999996</v>
      </c>
      <c r="AH30" s="31">
        <f t="shared" si="4"/>
        <v>59.60698689956331</v>
      </c>
    </row>
    <row r="31" spans="1:34" s="2" customFormat="1" ht="15.6" x14ac:dyDescent="0.3">
      <c r="A31" s="6" t="s">
        <v>43</v>
      </c>
      <c r="B31" s="2">
        <v>9</v>
      </c>
      <c r="C31" s="3">
        <v>2</v>
      </c>
      <c r="D31" s="5" t="s">
        <v>404</v>
      </c>
      <c r="E31" s="32">
        <f t="shared" si="8"/>
        <v>33.799999999999997</v>
      </c>
      <c r="F31" s="32">
        <f t="shared" si="8"/>
        <v>7.1</v>
      </c>
      <c r="G31" s="32">
        <f t="shared" si="8"/>
        <v>29.3</v>
      </c>
      <c r="H31" s="32">
        <f t="shared" si="8"/>
        <v>24.1</v>
      </c>
      <c r="I31" s="32">
        <f t="shared" si="8"/>
        <v>1.19</v>
      </c>
      <c r="J31" s="32">
        <f t="shared" si="8"/>
        <v>11.4</v>
      </c>
      <c r="K31" s="32">
        <f t="shared" si="8"/>
        <v>19.059999999999999</v>
      </c>
      <c r="L31" s="32">
        <f t="shared" si="8"/>
        <v>3</v>
      </c>
      <c r="M31" s="32">
        <f t="shared" si="8"/>
        <v>42.9</v>
      </c>
      <c r="N31" s="32">
        <f t="shared" si="8"/>
        <v>25.39</v>
      </c>
      <c r="O31" s="32">
        <f t="shared" si="9"/>
        <v>0.45700000000000002</v>
      </c>
      <c r="P31" s="32">
        <f t="shared" si="9"/>
        <v>7.25</v>
      </c>
      <c r="Q31" s="32">
        <f t="shared" si="9"/>
        <v>40.200000000000003</v>
      </c>
      <c r="R31" s="32">
        <f t="shared" si="9"/>
        <v>17</v>
      </c>
      <c r="S31" s="32">
        <f t="shared" si="9"/>
        <v>70.7</v>
      </c>
      <c r="T31" s="32">
        <f t="shared" si="9"/>
        <v>24.7</v>
      </c>
      <c r="U31" s="32">
        <f t="shared" si="9"/>
        <v>17.5</v>
      </c>
      <c r="V31" s="32">
        <f t="shared" si="9"/>
        <v>72</v>
      </c>
      <c r="W31" s="32">
        <f t="shared" si="9"/>
        <v>17.420000000000002</v>
      </c>
      <c r="X31" s="32">
        <f t="shared" si="9"/>
        <v>76</v>
      </c>
      <c r="Y31" s="32">
        <f t="shared" si="10"/>
        <v>9.1</v>
      </c>
      <c r="Z31" s="32">
        <f t="shared" si="10"/>
        <v>42.81</v>
      </c>
      <c r="AA31" s="32">
        <f t="shared" si="10"/>
        <v>4</v>
      </c>
      <c r="AB31" s="32">
        <f t="shared" si="10"/>
        <v>6.9</v>
      </c>
      <c r="AC31" s="32">
        <f t="shared" si="10"/>
        <v>1.8</v>
      </c>
      <c r="AD31" s="32">
        <f t="shared" si="10"/>
        <v>11.36</v>
      </c>
      <c r="AE31" s="32">
        <f t="shared" si="10"/>
        <v>9.6</v>
      </c>
      <c r="AF31" s="29">
        <v>70</v>
      </c>
      <c r="AG31" s="30">
        <f t="shared" si="3"/>
        <v>18.600000000000001</v>
      </c>
      <c r="AH31" s="31">
        <f t="shared" si="4"/>
        <v>63.930348258706474</v>
      </c>
    </row>
    <row r="32" spans="1:34" s="2" customFormat="1" ht="15.6" x14ac:dyDescent="0.3">
      <c r="A32" s="6" t="s">
        <v>60</v>
      </c>
      <c r="B32" s="2">
        <v>7</v>
      </c>
      <c r="C32" s="3">
        <v>2</v>
      </c>
      <c r="D32" s="5" t="s">
        <v>404</v>
      </c>
      <c r="E32" s="32">
        <f t="shared" ref="E32:N41" si="11">INDEX(rawValue,MATCH(INDEX(teamID,MATCH(INDEX(ovrTeamCol,ROW(),1),teamINI,0))+INDEX(statID,MATCH(INDEX(ovrHeaderRow,1,COLUMN()),statAbbr,0),1),rawLookup,0))</f>
        <v>33.6</v>
      </c>
      <c r="F32" s="32">
        <f t="shared" si="11"/>
        <v>7.2</v>
      </c>
      <c r="G32" s="32">
        <f t="shared" si="11"/>
        <v>35.5</v>
      </c>
      <c r="H32" s="32">
        <f t="shared" si="11"/>
        <v>20.3</v>
      </c>
      <c r="I32" s="32">
        <f t="shared" si="11"/>
        <v>1.3</v>
      </c>
      <c r="J32" s="32">
        <f t="shared" si="11"/>
        <v>15.1</v>
      </c>
      <c r="K32" s="32">
        <f t="shared" si="11"/>
        <v>17.59</v>
      </c>
      <c r="L32" s="32">
        <f t="shared" si="11"/>
        <v>4.4000000000000004</v>
      </c>
      <c r="M32" s="32">
        <f t="shared" si="11"/>
        <v>42.6</v>
      </c>
      <c r="N32" s="32">
        <f t="shared" si="11"/>
        <v>24.71</v>
      </c>
      <c r="O32" s="32">
        <f t="shared" ref="O32:X41" si="12">INDEX(rawValue,MATCH(INDEX(teamID,MATCH(INDEX(ovrTeamCol,ROW(),1),teamINI,0))+INDEX(statID,MATCH(INDEX(ovrHeaderRow,1,COLUMN()),statAbbr,0),1),rawLookup,0))</f>
        <v>0.53</v>
      </c>
      <c r="P32" s="32">
        <f t="shared" si="12"/>
        <v>12.18</v>
      </c>
      <c r="Q32" s="32">
        <f t="shared" si="12"/>
        <v>46.9</v>
      </c>
      <c r="R32" s="32">
        <f t="shared" si="12"/>
        <v>17.3</v>
      </c>
      <c r="S32" s="32">
        <f t="shared" si="12"/>
        <v>75.7</v>
      </c>
      <c r="T32" s="32">
        <f t="shared" si="12"/>
        <v>17.600000000000001</v>
      </c>
      <c r="U32" s="32">
        <f t="shared" si="12"/>
        <v>13.4</v>
      </c>
      <c r="V32" s="32">
        <f t="shared" si="12"/>
        <v>68.900000000000006</v>
      </c>
      <c r="W32" s="32">
        <f t="shared" si="12"/>
        <v>9.9700000000000006</v>
      </c>
      <c r="X32" s="32">
        <f t="shared" si="12"/>
        <v>75.400000000000006</v>
      </c>
      <c r="Y32" s="32">
        <f t="shared" ref="Y32:AE41" si="13">INDEX(rawValue,MATCH(INDEX(teamID,MATCH(INDEX(ovrTeamCol,ROW(),1),teamINI,0))+INDEX(statID,MATCH(INDEX(ovrHeaderRow,1,COLUMN()),statAbbr,0),1),rawLookup,0))</f>
        <v>0.6</v>
      </c>
      <c r="Z32" s="32">
        <f t="shared" si="13"/>
        <v>34.68</v>
      </c>
      <c r="AA32" s="32">
        <f t="shared" si="13"/>
        <v>6.5</v>
      </c>
      <c r="AB32" s="32">
        <f t="shared" si="13"/>
        <v>7.2</v>
      </c>
      <c r="AC32" s="32">
        <f t="shared" si="13"/>
        <v>1.3</v>
      </c>
      <c r="AD32" s="32">
        <f t="shared" si="13"/>
        <v>12.88</v>
      </c>
      <c r="AE32" s="32">
        <f t="shared" si="13"/>
        <v>11.6</v>
      </c>
      <c r="AF32" s="29">
        <v>70.3</v>
      </c>
      <c r="AG32" s="30">
        <f t="shared" si="3"/>
        <v>20.200000000000003</v>
      </c>
      <c r="AH32" s="31">
        <f t="shared" si="4"/>
        <v>58.42217484008529</v>
      </c>
    </row>
    <row r="33" spans="1:34" s="2" customFormat="1" ht="15.6" x14ac:dyDescent="0.3">
      <c r="A33" s="6" t="s">
        <v>61</v>
      </c>
      <c r="B33" s="2">
        <v>8</v>
      </c>
      <c r="C33" s="3">
        <v>2</v>
      </c>
      <c r="D33" s="5" t="s">
        <v>404</v>
      </c>
      <c r="E33" s="32">
        <f t="shared" si="11"/>
        <v>29.3</v>
      </c>
      <c r="F33" s="32">
        <f t="shared" si="11"/>
        <v>6.5</v>
      </c>
      <c r="G33" s="32">
        <f t="shared" si="11"/>
        <v>33.299999999999997</v>
      </c>
      <c r="H33" s="32">
        <f t="shared" si="11"/>
        <v>19.399999999999999</v>
      </c>
      <c r="I33" s="32">
        <f t="shared" si="11"/>
        <v>1.49</v>
      </c>
      <c r="J33" s="32">
        <f t="shared" si="11"/>
        <v>16.3</v>
      </c>
      <c r="K33" s="32">
        <f t="shared" si="11"/>
        <v>18.11</v>
      </c>
      <c r="L33" s="32">
        <f t="shared" si="11"/>
        <v>4.2</v>
      </c>
      <c r="M33" s="32">
        <f t="shared" si="11"/>
        <v>43.8</v>
      </c>
      <c r="N33" s="32">
        <f t="shared" si="11"/>
        <v>26.34</v>
      </c>
      <c r="O33" s="32">
        <f t="shared" si="12"/>
        <v>0.54600000000000004</v>
      </c>
      <c r="P33" s="32">
        <f t="shared" si="12"/>
        <v>10.91</v>
      </c>
      <c r="Q33" s="32">
        <f t="shared" si="12"/>
        <v>49.1</v>
      </c>
      <c r="R33" s="32">
        <f t="shared" si="12"/>
        <v>17</v>
      </c>
      <c r="S33" s="32">
        <f t="shared" si="12"/>
        <v>72</v>
      </c>
      <c r="T33" s="32">
        <f t="shared" si="12"/>
        <v>22.4</v>
      </c>
      <c r="U33" s="32">
        <f t="shared" si="12"/>
        <v>16.100000000000001</v>
      </c>
      <c r="V33" s="32">
        <f t="shared" si="12"/>
        <v>71.3</v>
      </c>
      <c r="W33" s="32">
        <f t="shared" si="12"/>
        <v>9.49</v>
      </c>
      <c r="X33" s="32">
        <f t="shared" si="12"/>
        <v>79.7</v>
      </c>
      <c r="Y33" s="32">
        <f t="shared" si="13"/>
        <v>2.8</v>
      </c>
      <c r="Z33" s="32">
        <f t="shared" si="13"/>
        <v>35.83</v>
      </c>
      <c r="AA33" s="32">
        <f t="shared" si="13"/>
        <v>8.3000000000000007</v>
      </c>
      <c r="AB33" s="32">
        <f t="shared" si="13"/>
        <v>6.8</v>
      </c>
      <c r="AC33" s="32">
        <f t="shared" si="13"/>
        <v>0.9</v>
      </c>
      <c r="AD33" s="32">
        <f t="shared" si="13"/>
        <v>11.91</v>
      </c>
      <c r="AE33" s="32">
        <f t="shared" si="13"/>
        <v>11</v>
      </c>
      <c r="AF33" s="29">
        <v>71.900000000000006</v>
      </c>
      <c r="AG33" s="30">
        <f t="shared" si="3"/>
        <v>22.05</v>
      </c>
      <c r="AH33" s="31">
        <f t="shared" si="4"/>
        <v>58.146639511201627</v>
      </c>
    </row>
    <row r="34" spans="1:34" s="2" customFormat="1" ht="15.6" x14ac:dyDescent="0.3">
      <c r="A34" s="6" t="s">
        <v>33</v>
      </c>
      <c r="B34" s="2">
        <v>16</v>
      </c>
      <c r="C34" s="3">
        <v>2</v>
      </c>
      <c r="D34" s="5" t="s">
        <v>404</v>
      </c>
      <c r="E34" s="32">
        <f t="shared" si="11"/>
        <v>30</v>
      </c>
      <c r="F34" s="32">
        <f t="shared" si="11"/>
        <v>7.2</v>
      </c>
      <c r="G34" s="32">
        <f t="shared" si="11"/>
        <v>32.700000000000003</v>
      </c>
      <c r="H34" s="32">
        <f t="shared" si="11"/>
        <v>22</v>
      </c>
      <c r="I34" s="32">
        <f t="shared" si="11"/>
        <v>1.29</v>
      </c>
      <c r="J34" s="32">
        <f t="shared" si="11"/>
        <v>12.8</v>
      </c>
      <c r="K34" s="32">
        <f t="shared" si="11"/>
        <v>15.36</v>
      </c>
      <c r="L34" s="32">
        <f t="shared" si="11"/>
        <v>2.2999999999999998</v>
      </c>
      <c r="M34" s="32">
        <f t="shared" si="11"/>
        <v>42.2</v>
      </c>
      <c r="N34" s="32">
        <f t="shared" si="11"/>
        <v>24.67</v>
      </c>
      <c r="O34" s="32">
        <f t="shared" si="12"/>
        <v>0.45800000000000002</v>
      </c>
      <c r="P34" s="32">
        <f t="shared" si="12"/>
        <v>10.7</v>
      </c>
      <c r="Q34" s="32">
        <f t="shared" si="12"/>
        <v>39.6</v>
      </c>
      <c r="R34" s="32">
        <f t="shared" si="12"/>
        <v>15.4</v>
      </c>
      <c r="S34" s="32">
        <f t="shared" si="12"/>
        <v>70.400000000000006</v>
      </c>
      <c r="T34" s="32">
        <f t="shared" si="12"/>
        <v>15</v>
      </c>
      <c r="U34" s="32">
        <f t="shared" si="12"/>
        <v>10.6</v>
      </c>
      <c r="V34" s="32">
        <f t="shared" si="12"/>
        <v>63.1</v>
      </c>
      <c r="W34" s="32">
        <f t="shared" si="12"/>
        <v>11.18</v>
      </c>
      <c r="X34" s="32">
        <f t="shared" si="12"/>
        <v>63.7</v>
      </c>
      <c r="Y34" s="32">
        <f t="shared" si="13"/>
        <v>0.6</v>
      </c>
      <c r="Z34" s="32">
        <f t="shared" si="13"/>
        <v>35.85</v>
      </c>
      <c r="AA34" s="32">
        <f t="shared" si="13"/>
        <v>0.6</v>
      </c>
      <c r="AB34" s="32">
        <f t="shared" si="13"/>
        <v>5.9</v>
      </c>
      <c r="AC34" s="32">
        <f t="shared" si="13"/>
        <v>1.2</v>
      </c>
      <c r="AD34" s="32">
        <f t="shared" si="13"/>
        <v>11.12</v>
      </c>
      <c r="AE34" s="32">
        <f t="shared" si="13"/>
        <v>9.9</v>
      </c>
      <c r="AF34" s="29">
        <v>65</v>
      </c>
      <c r="AG34" s="30">
        <f t="shared" si="3"/>
        <v>15.75</v>
      </c>
      <c r="AH34" s="31">
        <f t="shared" si="4"/>
        <v>57.954545454545453</v>
      </c>
    </row>
    <row r="35" spans="1:34" s="2" customFormat="1" ht="15.6" x14ac:dyDescent="0.3">
      <c r="A35" s="6" t="s">
        <v>8</v>
      </c>
      <c r="B35" s="2">
        <v>7</v>
      </c>
      <c r="C35" s="3">
        <v>2</v>
      </c>
      <c r="D35" s="5" t="s">
        <v>404</v>
      </c>
      <c r="E35" s="32">
        <f t="shared" si="11"/>
        <v>32.5</v>
      </c>
      <c r="F35" s="32">
        <f t="shared" si="11"/>
        <v>6.4</v>
      </c>
      <c r="G35" s="32">
        <f t="shared" si="11"/>
        <v>33.9</v>
      </c>
      <c r="H35" s="32">
        <f t="shared" si="11"/>
        <v>18.8</v>
      </c>
      <c r="I35" s="32">
        <f t="shared" si="11"/>
        <v>1.1399999999999999</v>
      </c>
      <c r="J35" s="32">
        <f t="shared" si="11"/>
        <v>12.4</v>
      </c>
      <c r="K35" s="32">
        <f t="shared" si="11"/>
        <v>17.97</v>
      </c>
      <c r="L35" s="32">
        <f t="shared" si="11"/>
        <v>4.9000000000000004</v>
      </c>
      <c r="M35" s="32">
        <f t="shared" si="11"/>
        <v>42.1</v>
      </c>
      <c r="N35" s="32">
        <f t="shared" si="11"/>
        <v>26.46</v>
      </c>
      <c r="O35" s="32">
        <f t="shared" si="12"/>
        <v>0.51800000000000002</v>
      </c>
      <c r="P35" s="32">
        <f t="shared" si="12"/>
        <v>8.11</v>
      </c>
      <c r="Q35" s="32">
        <f t="shared" si="12"/>
        <v>46.3</v>
      </c>
      <c r="R35" s="32">
        <f t="shared" si="12"/>
        <v>16.600000000000001</v>
      </c>
      <c r="S35" s="32">
        <f t="shared" si="12"/>
        <v>70.400000000000006</v>
      </c>
      <c r="T35" s="32">
        <f t="shared" si="12"/>
        <v>18.5</v>
      </c>
      <c r="U35" s="32">
        <f t="shared" si="12"/>
        <v>13</v>
      </c>
      <c r="V35" s="32">
        <f t="shared" si="12"/>
        <v>66.7</v>
      </c>
      <c r="W35" s="32">
        <f t="shared" si="12"/>
        <v>11.17</v>
      </c>
      <c r="X35" s="32">
        <f t="shared" si="12"/>
        <v>73.5</v>
      </c>
      <c r="Y35" s="32">
        <f t="shared" si="13"/>
        <v>6</v>
      </c>
      <c r="Z35" s="32">
        <f t="shared" si="13"/>
        <v>37.630000000000003</v>
      </c>
      <c r="AA35" s="32">
        <f t="shared" si="13"/>
        <v>6.8</v>
      </c>
      <c r="AB35" s="32">
        <f t="shared" si="13"/>
        <v>5.2</v>
      </c>
      <c r="AC35" s="32">
        <f t="shared" si="13"/>
        <v>-0.5</v>
      </c>
      <c r="AD35" s="32">
        <f t="shared" si="13"/>
        <v>10.43</v>
      </c>
      <c r="AE35" s="32">
        <f t="shared" si="13"/>
        <v>10.9</v>
      </c>
      <c r="AF35" s="29">
        <v>68.5</v>
      </c>
      <c r="AG35" s="30">
        <f t="shared" si="3"/>
        <v>20.65</v>
      </c>
      <c r="AH35" s="31">
        <f t="shared" si="4"/>
        <v>58.423326133909278</v>
      </c>
    </row>
    <row r="36" spans="1:34" s="2" customFormat="1" ht="15.6" x14ac:dyDescent="0.3">
      <c r="A36" s="6" t="s">
        <v>14</v>
      </c>
      <c r="B36" s="2">
        <v>13</v>
      </c>
      <c r="C36" s="3">
        <v>2</v>
      </c>
      <c r="D36" s="5" t="s">
        <v>404</v>
      </c>
      <c r="E36" s="32">
        <f t="shared" si="11"/>
        <v>33.799999999999997</v>
      </c>
      <c r="F36" s="32">
        <f t="shared" si="11"/>
        <v>7.3</v>
      </c>
      <c r="G36" s="32">
        <f t="shared" si="11"/>
        <v>35.1</v>
      </c>
      <c r="H36" s="32">
        <f t="shared" si="11"/>
        <v>20.8</v>
      </c>
      <c r="I36" s="32">
        <f t="shared" si="11"/>
        <v>1.57</v>
      </c>
      <c r="J36" s="32">
        <f t="shared" si="11"/>
        <v>15</v>
      </c>
      <c r="K36" s="32">
        <f t="shared" si="11"/>
        <v>15.03</v>
      </c>
      <c r="L36" s="32">
        <f t="shared" si="11"/>
        <v>3.2</v>
      </c>
      <c r="M36" s="32">
        <f t="shared" si="11"/>
        <v>42.1</v>
      </c>
      <c r="N36" s="32">
        <f t="shared" si="11"/>
        <v>26.64</v>
      </c>
      <c r="O36" s="32">
        <f t="shared" si="12"/>
        <v>0.52800000000000002</v>
      </c>
      <c r="P36" s="32">
        <f t="shared" si="12"/>
        <v>9.39</v>
      </c>
      <c r="Q36" s="32">
        <f t="shared" si="12"/>
        <v>46.7</v>
      </c>
      <c r="R36" s="32">
        <f t="shared" si="12"/>
        <v>15.1</v>
      </c>
      <c r="S36" s="32">
        <f t="shared" si="12"/>
        <v>70.7</v>
      </c>
      <c r="T36" s="32">
        <f t="shared" si="12"/>
        <v>16.5</v>
      </c>
      <c r="U36" s="32">
        <f t="shared" si="12"/>
        <v>11.7</v>
      </c>
      <c r="V36" s="32">
        <f t="shared" si="12"/>
        <v>67.5</v>
      </c>
      <c r="W36" s="32">
        <f t="shared" si="12"/>
        <v>9.8800000000000008</v>
      </c>
      <c r="X36" s="32">
        <f t="shared" si="12"/>
        <v>74.7</v>
      </c>
      <c r="Y36" s="32">
        <f t="shared" si="13"/>
        <v>3.9</v>
      </c>
      <c r="Z36" s="32">
        <f t="shared" si="13"/>
        <v>36.520000000000003</v>
      </c>
      <c r="AA36" s="32">
        <f t="shared" si="13"/>
        <v>7.2</v>
      </c>
      <c r="AB36" s="32">
        <f t="shared" si="13"/>
        <v>6.2</v>
      </c>
      <c r="AC36" s="32">
        <f t="shared" si="13"/>
        <v>1.5</v>
      </c>
      <c r="AD36" s="32">
        <f t="shared" si="13"/>
        <v>11.06</v>
      </c>
      <c r="AE36" s="32">
        <f t="shared" si="13"/>
        <v>9.6</v>
      </c>
      <c r="AF36" s="29">
        <v>68.3</v>
      </c>
      <c r="AG36" s="30">
        <f t="shared" si="3"/>
        <v>20.55</v>
      </c>
      <c r="AH36" s="31">
        <f t="shared" si="4"/>
        <v>59.635974304068519</v>
      </c>
    </row>
    <row r="37" spans="1:34" s="2" customFormat="1" ht="15.6" x14ac:dyDescent="0.3">
      <c r="A37" s="6" t="s">
        <v>68</v>
      </c>
      <c r="B37" s="2">
        <v>14</v>
      </c>
      <c r="C37" s="3">
        <v>1</v>
      </c>
      <c r="D37" s="5" t="s">
        <v>404</v>
      </c>
      <c r="E37" s="32">
        <f t="shared" si="11"/>
        <v>30.4</v>
      </c>
      <c r="F37" s="32">
        <f t="shared" si="11"/>
        <v>8</v>
      </c>
      <c r="G37" s="32">
        <f t="shared" si="11"/>
        <v>32.4</v>
      </c>
      <c r="H37" s="32">
        <f t="shared" si="11"/>
        <v>24.7</v>
      </c>
      <c r="I37" s="32">
        <f t="shared" si="11"/>
        <v>1.1499999999999999</v>
      </c>
      <c r="J37" s="32">
        <f t="shared" si="11"/>
        <v>13</v>
      </c>
      <c r="K37" s="32">
        <f t="shared" si="11"/>
        <v>16.66</v>
      </c>
      <c r="L37" s="32">
        <f t="shared" si="11"/>
        <v>2.9</v>
      </c>
      <c r="M37" s="32">
        <f t="shared" si="11"/>
        <v>43</v>
      </c>
      <c r="N37" s="32">
        <f t="shared" si="11"/>
        <v>26.14</v>
      </c>
      <c r="O37" s="32">
        <f t="shared" si="12"/>
        <v>0.52300000000000002</v>
      </c>
      <c r="P37" s="32">
        <f t="shared" si="12"/>
        <v>8</v>
      </c>
      <c r="Q37" s="32">
        <f t="shared" si="12"/>
        <v>45.3</v>
      </c>
      <c r="R37" s="32">
        <f t="shared" si="12"/>
        <v>16.7</v>
      </c>
      <c r="S37" s="32">
        <f t="shared" si="12"/>
        <v>72.7</v>
      </c>
      <c r="T37" s="32">
        <f t="shared" si="12"/>
        <v>18.3</v>
      </c>
      <c r="U37" s="32">
        <f t="shared" si="12"/>
        <v>13.3</v>
      </c>
      <c r="V37" s="32">
        <f t="shared" si="12"/>
        <v>66.2</v>
      </c>
      <c r="W37" s="32">
        <f t="shared" si="12"/>
        <v>10.37</v>
      </c>
      <c r="X37" s="32">
        <f t="shared" si="12"/>
        <v>73.599999999999994</v>
      </c>
      <c r="Y37" s="32">
        <f t="shared" si="13"/>
        <v>4.0999999999999996</v>
      </c>
      <c r="Z37" s="32">
        <f t="shared" si="13"/>
        <v>36.51</v>
      </c>
      <c r="AA37" s="32">
        <f t="shared" si="13"/>
        <v>7.5</v>
      </c>
      <c r="AB37" s="32">
        <f t="shared" si="13"/>
        <v>5.6</v>
      </c>
      <c r="AC37" s="32">
        <f t="shared" si="13"/>
        <v>0.3</v>
      </c>
      <c r="AD37" s="32">
        <f t="shared" si="13"/>
        <v>11.54</v>
      </c>
      <c r="AE37" s="32">
        <f t="shared" si="13"/>
        <v>11.3</v>
      </c>
      <c r="AF37" s="29">
        <v>68.400000000000006</v>
      </c>
      <c r="AG37" s="30">
        <f t="shared" si="3"/>
        <v>18.149999999999999</v>
      </c>
      <c r="AH37" s="31">
        <f t="shared" si="4"/>
        <v>57.726269315673292</v>
      </c>
    </row>
    <row r="38" spans="1:34" s="2" customFormat="1" ht="15.6" x14ac:dyDescent="0.3">
      <c r="A38" s="6" t="s">
        <v>5</v>
      </c>
      <c r="B38" s="2">
        <v>4</v>
      </c>
      <c r="C38" s="3">
        <v>1</v>
      </c>
      <c r="D38" s="5" t="s">
        <v>404</v>
      </c>
      <c r="E38" s="32">
        <f t="shared" si="11"/>
        <v>30.2</v>
      </c>
      <c r="F38" s="32">
        <f t="shared" si="11"/>
        <v>8</v>
      </c>
      <c r="G38" s="32">
        <f t="shared" si="11"/>
        <v>35.200000000000003</v>
      </c>
      <c r="H38" s="32">
        <f t="shared" si="11"/>
        <v>22.7</v>
      </c>
      <c r="I38" s="32">
        <f t="shared" si="11"/>
        <v>1.66</v>
      </c>
      <c r="J38" s="32">
        <f t="shared" si="11"/>
        <v>17.8</v>
      </c>
      <c r="K38" s="32">
        <f t="shared" si="11"/>
        <v>33.71</v>
      </c>
      <c r="L38" s="32">
        <f t="shared" si="11"/>
        <v>6.1</v>
      </c>
      <c r="M38" s="32">
        <f t="shared" si="11"/>
        <v>38.6</v>
      </c>
      <c r="N38" s="32">
        <f t="shared" si="11"/>
        <v>26.57</v>
      </c>
      <c r="O38" s="32">
        <f t="shared" si="12"/>
        <v>0.54200000000000004</v>
      </c>
      <c r="P38" s="32">
        <f t="shared" si="12"/>
        <v>13.57</v>
      </c>
      <c r="Q38" s="32">
        <f t="shared" si="12"/>
        <v>47.6</v>
      </c>
      <c r="R38" s="32">
        <f t="shared" si="12"/>
        <v>19.399999999999999</v>
      </c>
      <c r="S38" s="32">
        <f t="shared" si="12"/>
        <v>75</v>
      </c>
      <c r="T38" s="32">
        <f t="shared" si="12"/>
        <v>23.2</v>
      </c>
      <c r="U38" s="32">
        <f t="shared" si="12"/>
        <v>17.399999999999999</v>
      </c>
      <c r="V38" s="32">
        <f t="shared" si="12"/>
        <v>68.3</v>
      </c>
      <c r="W38" s="32">
        <f t="shared" si="12"/>
        <v>11.23</v>
      </c>
      <c r="X38" s="32">
        <f t="shared" si="12"/>
        <v>83.1</v>
      </c>
      <c r="Y38" s="32">
        <f t="shared" si="13"/>
        <v>3.3</v>
      </c>
      <c r="Z38" s="32">
        <f t="shared" si="13"/>
        <v>37.799999999999997</v>
      </c>
      <c r="AA38" s="32">
        <f t="shared" si="13"/>
        <v>14.8</v>
      </c>
      <c r="AB38" s="32">
        <f t="shared" si="13"/>
        <v>7.4</v>
      </c>
      <c r="AC38" s="32">
        <f t="shared" si="13"/>
        <v>2.1</v>
      </c>
      <c r="AD38" s="32">
        <f t="shared" si="13"/>
        <v>12.83</v>
      </c>
      <c r="AE38" s="32">
        <f t="shared" si="13"/>
        <v>10.7</v>
      </c>
      <c r="AF38" s="29">
        <v>72.5</v>
      </c>
      <c r="AG38" s="30">
        <f t="shared" si="3"/>
        <v>20.849999999999994</v>
      </c>
      <c r="AH38" s="31">
        <f t="shared" si="4"/>
        <v>60.609243697478981</v>
      </c>
    </row>
    <row r="39" spans="1:34" s="2" customFormat="1" ht="15.6" x14ac:dyDescent="0.3">
      <c r="A39" s="6" t="s">
        <v>42</v>
      </c>
      <c r="B39" s="2">
        <v>10</v>
      </c>
      <c r="C39" s="3">
        <v>1</v>
      </c>
      <c r="D39" s="5" t="s">
        <v>404</v>
      </c>
      <c r="E39" s="32">
        <f t="shared" si="11"/>
        <v>31</v>
      </c>
      <c r="F39" s="32">
        <f t="shared" si="11"/>
        <v>7.8</v>
      </c>
      <c r="G39" s="32">
        <f t="shared" si="11"/>
        <v>34</v>
      </c>
      <c r="H39" s="32">
        <f t="shared" si="11"/>
        <v>23</v>
      </c>
      <c r="I39" s="32">
        <f t="shared" si="11"/>
        <v>1.1000000000000001</v>
      </c>
      <c r="J39" s="32">
        <f t="shared" si="11"/>
        <v>12.2</v>
      </c>
      <c r="K39" s="32">
        <f t="shared" si="11"/>
        <v>13.97</v>
      </c>
      <c r="L39" s="32">
        <f t="shared" si="11"/>
        <v>2.4</v>
      </c>
      <c r="M39" s="32">
        <f t="shared" si="11"/>
        <v>43.8</v>
      </c>
      <c r="N39" s="32">
        <f t="shared" si="11"/>
        <v>25.67</v>
      </c>
      <c r="O39" s="32">
        <f t="shared" si="12"/>
        <v>0.51600000000000001</v>
      </c>
      <c r="P39" s="32">
        <f t="shared" si="12"/>
        <v>6.61</v>
      </c>
      <c r="Q39" s="32">
        <f t="shared" si="12"/>
        <v>44.9</v>
      </c>
      <c r="R39" s="32">
        <f t="shared" si="12"/>
        <v>16.7</v>
      </c>
      <c r="S39" s="32">
        <f t="shared" si="12"/>
        <v>73.599999999999994</v>
      </c>
      <c r="T39" s="32">
        <f t="shared" si="12"/>
        <v>20.8</v>
      </c>
      <c r="U39" s="32">
        <f t="shared" si="12"/>
        <v>15.3</v>
      </c>
      <c r="V39" s="32">
        <f t="shared" si="12"/>
        <v>67.3</v>
      </c>
      <c r="W39" s="32">
        <f t="shared" si="12"/>
        <v>11.64</v>
      </c>
      <c r="X39" s="32">
        <f t="shared" si="12"/>
        <v>75.099999999999994</v>
      </c>
      <c r="Y39" s="32">
        <f t="shared" si="13"/>
        <v>7.5</v>
      </c>
      <c r="Z39" s="32">
        <f t="shared" si="13"/>
        <v>37.299999999999997</v>
      </c>
      <c r="AA39" s="32">
        <f t="shared" si="13"/>
        <v>7.8</v>
      </c>
      <c r="AB39" s="32">
        <f t="shared" si="13"/>
        <v>5.7</v>
      </c>
      <c r="AC39" s="32">
        <f t="shared" si="13"/>
        <v>0.3</v>
      </c>
      <c r="AD39" s="32">
        <f t="shared" si="13"/>
        <v>11.42</v>
      </c>
      <c r="AE39" s="32">
        <f t="shared" si="13"/>
        <v>11.1</v>
      </c>
      <c r="AF39" s="29">
        <v>68.3</v>
      </c>
      <c r="AG39" s="30">
        <f t="shared" si="3"/>
        <v>18.2</v>
      </c>
      <c r="AH39" s="31">
        <f t="shared" si="4"/>
        <v>57.906458797327396</v>
      </c>
    </row>
    <row r="40" spans="1:34" s="2" customFormat="1" ht="15.6" x14ac:dyDescent="0.3">
      <c r="A40" s="6" t="s">
        <v>7</v>
      </c>
      <c r="B40" s="2">
        <v>6</v>
      </c>
      <c r="C40" s="3">
        <v>1</v>
      </c>
      <c r="D40" s="5" t="s">
        <v>404</v>
      </c>
      <c r="E40" s="32">
        <f t="shared" si="11"/>
        <v>32</v>
      </c>
      <c r="F40" s="32">
        <f t="shared" si="11"/>
        <v>11.1</v>
      </c>
      <c r="G40" s="32">
        <f t="shared" si="11"/>
        <v>34.799999999999997</v>
      </c>
      <c r="H40" s="32">
        <f t="shared" si="11"/>
        <v>32</v>
      </c>
      <c r="I40" s="32">
        <f t="shared" si="11"/>
        <v>1.73</v>
      </c>
      <c r="J40" s="32">
        <f t="shared" si="11"/>
        <v>18.5</v>
      </c>
      <c r="K40" s="32">
        <f t="shared" si="11"/>
        <v>33.5</v>
      </c>
      <c r="L40" s="32">
        <f t="shared" si="11"/>
        <v>3</v>
      </c>
      <c r="M40" s="32">
        <f t="shared" si="11"/>
        <v>42.7</v>
      </c>
      <c r="N40" s="32">
        <f t="shared" si="11"/>
        <v>27.59</v>
      </c>
      <c r="O40" s="32">
        <f t="shared" si="12"/>
        <v>0.54800000000000004</v>
      </c>
      <c r="P40" s="32">
        <f t="shared" si="12"/>
        <v>12.21</v>
      </c>
      <c r="Q40" s="32">
        <f t="shared" si="12"/>
        <v>46</v>
      </c>
      <c r="R40" s="32">
        <f t="shared" si="12"/>
        <v>17.7</v>
      </c>
      <c r="S40" s="32">
        <f t="shared" si="12"/>
        <v>74.2</v>
      </c>
      <c r="T40" s="32">
        <f t="shared" si="12"/>
        <v>16.100000000000001</v>
      </c>
      <c r="U40" s="32">
        <f t="shared" si="12"/>
        <v>11.9</v>
      </c>
      <c r="V40" s="32">
        <f t="shared" si="12"/>
        <v>69.900000000000006</v>
      </c>
      <c r="W40" s="32">
        <f t="shared" si="12"/>
        <v>11.91</v>
      </c>
      <c r="X40" s="32">
        <f t="shared" si="12"/>
        <v>81.400000000000006</v>
      </c>
      <c r="Y40" s="32">
        <f t="shared" si="13"/>
        <v>6.1</v>
      </c>
      <c r="Z40" s="32">
        <f t="shared" si="13"/>
        <v>39.5</v>
      </c>
      <c r="AA40" s="32">
        <f t="shared" si="13"/>
        <v>11.5</v>
      </c>
      <c r="AB40" s="32">
        <f t="shared" si="13"/>
        <v>5.9</v>
      </c>
      <c r="AC40" s="32">
        <f t="shared" si="13"/>
        <v>0.5</v>
      </c>
      <c r="AD40" s="32">
        <f t="shared" si="13"/>
        <v>11.21</v>
      </c>
      <c r="AE40" s="32">
        <f t="shared" si="13"/>
        <v>10.7</v>
      </c>
      <c r="AF40" s="29">
        <v>71.900000000000006</v>
      </c>
      <c r="AG40" s="30">
        <f t="shared" si="3"/>
        <v>18.100000000000001</v>
      </c>
      <c r="AH40" s="31">
        <f t="shared" si="4"/>
        <v>63.478260869565226</v>
      </c>
    </row>
    <row r="41" spans="1:34" s="2" customFormat="1" ht="15.6" x14ac:dyDescent="0.3">
      <c r="A41" s="6" t="s">
        <v>29</v>
      </c>
      <c r="B41" s="2">
        <v>13</v>
      </c>
      <c r="C41" s="3">
        <v>1</v>
      </c>
      <c r="D41" s="5" t="s">
        <v>404</v>
      </c>
      <c r="E41" s="32">
        <f t="shared" si="11"/>
        <v>34.299999999999997</v>
      </c>
      <c r="F41" s="32">
        <f t="shared" si="11"/>
        <v>10.5</v>
      </c>
      <c r="G41" s="32">
        <f t="shared" si="11"/>
        <v>34.299999999999997</v>
      </c>
      <c r="H41" s="32">
        <f t="shared" si="11"/>
        <v>30.6</v>
      </c>
      <c r="I41" s="32">
        <f t="shared" si="11"/>
        <v>1.54</v>
      </c>
      <c r="J41" s="32">
        <f t="shared" si="11"/>
        <v>15.3</v>
      </c>
      <c r="K41" s="32">
        <f t="shared" si="11"/>
        <v>30.06</v>
      </c>
      <c r="L41" s="32">
        <f t="shared" si="11"/>
        <v>3.1</v>
      </c>
      <c r="M41" s="32">
        <f t="shared" si="11"/>
        <v>44.5</v>
      </c>
      <c r="N41" s="32">
        <f t="shared" si="11"/>
        <v>26.71</v>
      </c>
      <c r="O41" s="32">
        <f t="shared" si="12"/>
        <v>0.52200000000000002</v>
      </c>
      <c r="P41" s="32">
        <f t="shared" si="12"/>
        <v>9.1999999999999993</v>
      </c>
      <c r="Q41" s="32">
        <f t="shared" si="12"/>
        <v>44.2</v>
      </c>
      <c r="R41" s="32">
        <f t="shared" si="12"/>
        <v>15.9</v>
      </c>
      <c r="S41" s="32">
        <f t="shared" si="12"/>
        <v>72.2</v>
      </c>
      <c r="T41" s="32">
        <f t="shared" si="12"/>
        <v>17.899999999999999</v>
      </c>
      <c r="U41" s="32">
        <f t="shared" si="12"/>
        <v>12.9</v>
      </c>
      <c r="V41" s="32">
        <f t="shared" si="12"/>
        <v>73.599999999999994</v>
      </c>
      <c r="W41" s="32">
        <f t="shared" si="12"/>
        <v>13.06</v>
      </c>
      <c r="X41" s="32">
        <f t="shared" si="12"/>
        <v>80.900000000000006</v>
      </c>
      <c r="Y41" s="32">
        <f t="shared" si="13"/>
        <v>4.5999999999999996</v>
      </c>
      <c r="Z41" s="32">
        <f t="shared" si="13"/>
        <v>39.770000000000003</v>
      </c>
      <c r="AA41" s="32">
        <f t="shared" si="13"/>
        <v>7.3</v>
      </c>
      <c r="AB41" s="32">
        <f t="shared" si="13"/>
        <v>6.3</v>
      </c>
      <c r="AC41" s="32">
        <f t="shared" si="13"/>
        <v>1.6</v>
      </c>
      <c r="AD41" s="32">
        <f t="shared" si="13"/>
        <v>11.51</v>
      </c>
      <c r="AE41" s="32">
        <f t="shared" si="13"/>
        <v>9.9</v>
      </c>
      <c r="AF41" s="29">
        <v>72.099999999999994</v>
      </c>
      <c r="AG41" s="30">
        <f t="shared" si="3"/>
        <v>18.25</v>
      </c>
      <c r="AH41" s="31">
        <f t="shared" si="4"/>
        <v>65.045248868778273</v>
      </c>
    </row>
    <row r="42" spans="1:34" s="2" customFormat="1" ht="15.6" x14ac:dyDescent="0.3">
      <c r="A42" s="6" t="s">
        <v>30</v>
      </c>
      <c r="B42" s="2">
        <v>14</v>
      </c>
      <c r="C42" s="3">
        <v>1</v>
      </c>
      <c r="D42" s="5" t="s">
        <v>404</v>
      </c>
      <c r="E42" s="32">
        <f t="shared" ref="E42:N51" si="14">INDEX(rawValue,MATCH(INDEX(teamID,MATCH(INDEX(ovrTeamCol,ROW(),1),teamINI,0))+INDEX(statID,MATCH(INDEX(ovrHeaderRow,1,COLUMN()),statAbbr,0),1),rawLookup,0))</f>
        <v>30.7</v>
      </c>
      <c r="F42" s="32">
        <f t="shared" si="14"/>
        <v>7.8</v>
      </c>
      <c r="G42" s="32">
        <f t="shared" si="14"/>
        <v>35.9</v>
      </c>
      <c r="H42" s="32">
        <f t="shared" si="14"/>
        <v>21.6</v>
      </c>
      <c r="I42" s="32">
        <f t="shared" si="14"/>
        <v>1.43</v>
      </c>
      <c r="J42" s="32">
        <f t="shared" si="14"/>
        <v>15</v>
      </c>
      <c r="K42" s="32">
        <f t="shared" si="14"/>
        <v>24.49</v>
      </c>
      <c r="L42" s="32">
        <f t="shared" si="14"/>
        <v>3.5</v>
      </c>
      <c r="M42" s="32">
        <f t="shared" si="14"/>
        <v>41.3</v>
      </c>
      <c r="N42" s="32">
        <f t="shared" si="14"/>
        <v>27.4</v>
      </c>
      <c r="O42" s="32">
        <f t="shared" ref="O42:X51" si="15">INDEX(rawValue,MATCH(INDEX(teamID,MATCH(INDEX(ovrTeamCol,ROW(),1),teamINI,0))+INDEX(statID,MATCH(INDEX(ovrHeaderRow,1,COLUMN()),statAbbr,0),1),rawLookup,0))</f>
        <v>0.53800000000000003</v>
      </c>
      <c r="P42" s="32">
        <f t="shared" si="15"/>
        <v>8.91</v>
      </c>
      <c r="Q42" s="32">
        <f t="shared" si="15"/>
        <v>46.9</v>
      </c>
      <c r="R42" s="32">
        <f t="shared" si="15"/>
        <v>13.4</v>
      </c>
      <c r="S42" s="32">
        <f t="shared" si="15"/>
        <v>68.099999999999994</v>
      </c>
      <c r="T42" s="32">
        <f t="shared" si="15"/>
        <v>15.4</v>
      </c>
      <c r="U42" s="32">
        <f t="shared" si="15"/>
        <v>10.5</v>
      </c>
      <c r="V42" s="32">
        <f t="shared" si="15"/>
        <v>64.099999999999994</v>
      </c>
      <c r="W42" s="32">
        <f t="shared" si="15"/>
        <v>8.17</v>
      </c>
      <c r="X42" s="32">
        <f t="shared" si="15"/>
        <v>71.400000000000006</v>
      </c>
      <c r="Y42" s="32">
        <f t="shared" ref="Y42:AE51" si="16">INDEX(rawValue,MATCH(INDEX(teamID,MATCH(INDEX(ovrTeamCol,ROW(),1),teamINI,0))+INDEX(statID,MATCH(INDEX(ovrHeaderRow,1,COLUMN()),statAbbr,0),1),rawLookup,0))</f>
        <v>2.5</v>
      </c>
      <c r="Z42" s="32">
        <f t="shared" si="16"/>
        <v>35.57</v>
      </c>
      <c r="AA42" s="32">
        <f t="shared" si="16"/>
        <v>7.3</v>
      </c>
      <c r="AB42" s="32">
        <f t="shared" si="16"/>
        <v>6.5</v>
      </c>
      <c r="AC42" s="32">
        <f t="shared" si="16"/>
        <v>0.7</v>
      </c>
      <c r="AD42" s="32">
        <f t="shared" si="16"/>
        <v>11.23</v>
      </c>
      <c r="AE42" s="32">
        <f t="shared" si="16"/>
        <v>10.5</v>
      </c>
      <c r="AF42" s="29">
        <v>67.3</v>
      </c>
      <c r="AG42" s="30">
        <f t="shared" si="3"/>
        <v>18.750000000000004</v>
      </c>
      <c r="AH42" s="31">
        <f t="shared" si="4"/>
        <v>56.609808102345426</v>
      </c>
    </row>
    <row r="43" spans="1:34" s="2" customFormat="1" ht="15.6" x14ac:dyDescent="0.3">
      <c r="A43" s="6" t="s">
        <v>11</v>
      </c>
      <c r="B43" s="2">
        <v>10</v>
      </c>
      <c r="C43" s="3">
        <v>1</v>
      </c>
      <c r="D43" s="5" t="s">
        <v>404</v>
      </c>
      <c r="E43" s="32">
        <f t="shared" si="14"/>
        <v>33.200000000000003</v>
      </c>
      <c r="F43" s="32">
        <f t="shared" si="14"/>
        <v>8.6</v>
      </c>
      <c r="G43" s="32">
        <f t="shared" si="14"/>
        <v>36.6</v>
      </c>
      <c r="H43" s="32">
        <f t="shared" si="14"/>
        <v>23.4</v>
      </c>
      <c r="I43" s="32">
        <f t="shared" si="14"/>
        <v>1.66</v>
      </c>
      <c r="J43" s="32">
        <f t="shared" si="14"/>
        <v>16</v>
      </c>
      <c r="K43" s="32">
        <f t="shared" si="14"/>
        <v>15.14</v>
      </c>
      <c r="L43" s="32">
        <f t="shared" si="14"/>
        <v>1.6</v>
      </c>
      <c r="M43" s="32">
        <f t="shared" si="14"/>
        <v>44.3</v>
      </c>
      <c r="N43" s="32">
        <f t="shared" si="14"/>
        <v>26.4</v>
      </c>
      <c r="O43" s="32">
        <f t="shared" si="15"/>
        <v>0.54900000000000004</v>
      </c>
      <c r="P43" s="32">
        <f t="shared" si="15"/>
        <v>10.029999999999999</v>
      </c>
      <c r="Q43" s="32">
        <f t="shared" si="15"/>
        <v>47.7</v>
      </c>
      <c r="R43" s="32">
        <f t="shared" si="15"/>
        <v>16.3</v>
      </c>
      <c r="S43" s="32">
        <f t="shared" si="15"/>
        <v>75.3</v>
      </c>
      <c r="T43" s="32">
        <f t="shared" si="15"/>
        <v>19.5</v>
      </c>
      <c r="U43" s="32">
        <f t="shared" si="15"/>
        <v>14.7</v>
      </c>
      <c r="V43" s="32">
        <f t="shared" si="15"/>
        <v>70.400000000000006</v>
      </c>
      <c r="W43" s="32">
        <f t="shared" si="15"/>
        <v>7.94</v>
      </c>
      <c r="X43" s="32">
        <f t="shared" si="15"/>
        <v>79.900000000000006</v>
      </c>
      <c r="Y43" s="32">
        <f t="shared" si="16"/>
        <v>1.6</v>
      </c>
      <c r="Z43" s="32">
        <f t="shared" si="16"/>
        <v>34.340000000000003</v>
      </c>
      <c r="AA43" s="32">
        <f t="shared" si="16"/>
        <v>9.5</v>
      </c>
      <c r="AB43" s="32">
        <f t="shared" si="16"/>
        <v>6.5</v>
      </c>
      <c r="AC43" s="32">
        <f t="shared" si="16"/>
        <v>2.7</v>
      </c>
      <c r="AD43" s="32">
        <f t="shared" si="16"/>
        <v>12.31</v>
      </c>
      <c r="AE43" s="32">
        <f t="shared" si="16"/>
        <v>9.6</v>
      </c>
      <c r="AF43" s="29">
        <v>71.3</v>
      </c>
      <c r="AG43" s="30">
        <f t="shared" si="3"/>
        <v>19.700000000000003</v>
      </c>
      <c r="AH43" s="31">
        <f t="shared" si="4"/>
        <v>59.329140461215935</v>
      </c>
    </row>
    <row r="44" spans="1:34" s="2" customFormat="1" ht="15.6" x14ac:dyDescent="0.3">
      <c r="A44" s="6" t="s">
        <v>9</v>
      </c>
      <c r="B44" s="2">
        <v>8</v>
      </c>
      <c r="C44" s="3">
        <v>1</v>
      </c>
      <c r="D44" s="5" t="s">
        <v>404</v>
      </c>
      <c r="E44" s="32">
        <f t="shared" si="14"/>
        <v>33.700000000000003</v>
      </c>
      <c r="F44" s="32">
        <f t="shared" si="14"/>
        <v>8.4</v>
      </c>
      <c r="G44" s="32">
        <f t="shared" si="14"/>
        <v>35.1</v>
      </c>
      <c r="H44" s="32">
        <f t="shared" si="14"/>
        <v>23.8</v>
      </c>
      <c r="I44" s="32">
        <f t="shared" si="14"/>
        <v>1.3</v>
      </c>
      <c r="J44" s="32">
        <f t="shared" si="14"/>
        <v>14.9</v>
      </c>
      <c r="K44" s="32">
        <f t="shared" si="14"/>
        <v>20.18</v>
      </c>
      <c r="L44" s="32">
        <f t="shared" si="14"/>
        <v>3.1</v>
      </c>
      <c r="M44" s="32">
        <f t="shared" si="14"/>
        <v>43.5</v>
      </c>
      <c r="N44" s="32">
        <f t="shared" si="14"/>
        <v>26.41</v>
      </c>
      <c r="O44" s="32">
        <f t="shared" si="15"/>
        <v>0.54700000000000004</v>
      </c>
      <c r="P44" s="32">
        <f t="shared" si="15"/>
        <v>13.03</v>
      </c>
      <c r="Q44" s="32">
        <f t="shared" si="15"/>
        <v>47.8</v>
      </c>
      <c r="R44" s="32">
        <f t="shared" si="15"/>
        <v>16.100000000000001</v>
      </c>
      <c r="S44" s="32">
        <f t="shared" si="15"/>
        <v>72</v>
      </c>
      <c r="T44" s="32">
        <f t="shared" si="15"/>
        <v>21.3</v>
      </c>
      <c r="U44" s="32">
        <f t="shared" si="15"/>
        <v>15.3</v>
      </c>
      <c r="V44" s="32">
        <f t="shared" si="15"/>
        <v>73.400000000000006</v>
      </c>
      <c r="W44" s="32">
        <f t="shared" si="15"/>
        <v>11.65</v>
      </c>
      <c r="X44" s="32">
        <f t="shared" si="15"/>
        <v>82</v>
      </c>
      <c r="Y44" s="32">
        <f t="shared" si="16"/>
        <v>4</v>
      </c>
      <c r="Z44" s="32">
        <f t="shared" si="16"/>
        <v>38.06</v>
      </c>
      <c r="AA44" s="32">
        <f t="shared" si="16"/>
        <v>8.6</v>
      </c>
      <c r="AB44" s="32">
        <f t="shared" si="16"/>
        <v>7.2</v>
      </c>
      <c r="AC44" s="32">
        <f t="shared" si="16"/>
        <v>0.2</v>
      </c>
      <c r="AD44" s="32">
        <f t="shared" si="16"/>
        <v>11.59</v>
      </c>
      <c r="AE44" s="32">
        <f t="shared" si="16"/>
        <v>11.4</v>
      </c>
      <c r="AF44" s="29">
        <v>72.3</v>
      </c>
      <c r="AG44" s="30">
        <f t="shared" si="3"/>
        <v>20.75</v>
      </c>
      <c r="AH44" s="31">
        <f t="shared" si="4"/>
        <v>60.98326359832636</v>
      </c>
    </row>
    <row r="45" spans="1:34" s="2" customFormat="1" ht="15.6" x14ac:dyDescent="0.3">
      <c r="A45" s="6" t="s">
        <v>45</v>
      </c>
      <c r="B45" s="2">
        <v>7</v>
      </c>
      <c r="C45" s="3">
        <v>1</v>
      </c>
      <c r="D45" s="5" t="s">
        <v>404</v>
      </c>
      <c r="E45" s="32">
        <f t="shared" si="14"/>
        <v>32.6</v>
      </c>
      <c r="F45" s="32">
        <f t="shared" si="14"/>
        <v>7.8</v>
      </c>
      <c r="G45" s="32">
        <f t="shared" si="14"/>
        <v>34.5</v>
      </c>
      <c r="H45" s="32">
        <f t="shared" si="14"/>
        <v>22.6</v>
      </c>
      <c r="I45" s="32">
        <f t="shared" si="14"/>
        <v>1.3</v>
      </c>
      <c r="J45" s="32">
        <f t="shared" si="14"/>
        <v>15.2</v>
      </c>
      <c r="K45" s="32">
        <f t="shared" si="14"/>
        <v>21.92</v>
      </c>
      <c r="L45" s="32">
        <f t="shared" si="14"/>
        <v>5.3</v>
      </c>
      <c r="M45" s="32">
        <f t="shared" si="14"/>
        <v>44</v>
      </c>
      <c r="N45" s="32">
        <f t="shared" si="14"/>
        <v>27.64</v>
      </c>
      <c r="O45" s="32">
        <f t="shared" si="15"/>
        <v>0.51800000000000002</v>
      </c>
      <c r="P45" s="32">
        <f t="shared" si="15"/>
        <v>14.28</v>
      </c>
      <c r="Q45" s="32">
        <f t="shared" si="15"/>
        <v>45.8</v>
      </c>
      <c r="R45" s="32">
        <f t="shared" si="15"/>
        <v>18.399999999999999</v>
      </c>
      <c r="S45" s="32">
        <f t="shared" si="15"/>
        <v>71.5</v>
      </c>
      <c r="T45" s="32">
        <f t="shared" si="15"/>
        <v>25.1</v>
      </c>
      <c r="U45" s="32">
        <f t="shared" si="15"/>
        <v>17.899999999999999</v>
      </c>
      <c r="V45" s="32">
        <f t="shared" si="15"/>
        <v>79.2</v>
      </c>
      <c r="W45" s="32">
        <f t="shared" si="15"/>
        <v>14.64</v>
      </c>
      <c r="X45" s="32">
        <f t="shared" si="15"/>
        <v>85.6</v>
      </c>
      <c r="Y45" s="32">
        <f t="shared" si="16"/>
        <v>6.5</v>
      </c>
      <c r="Z45" s="32">
        <f t="shared" si="16"/>
        <v>42.28</v>
      </c>
      <c r="AA45" s="32">
        <f t="shared" si="16"/>
        <v>6.4</v>
      </c>
      <c r="AB45" s="32">
        <f t="shared" si="16"/>
        <v>6.7</v>
      </c>
      <c r="AC45" s="32">
        <f t="shared" si="16"/>
        <v>-0.9</v>
      </c>
      <c r="AD45" s="32">
        <f t="shared" si="16"/>
        <v>10.81</v>
      </c>
      <c r="AE45" s="32">
        <f t="shared" si="16"/>
        <v>11.7</v>
      </c>
      <c r="AF45" s="29">
        <v>76</v>
      </c>
      <c r="AG45" s="30">
        <f t="shared" si="3"/>
        <v>22.149999999999995</v>
      </c>
      <c r="AH45" s="31">
        <f t="shared" si="4"/>
        <v>65.393013100436676</v>
      </c>
    </row>
    <row r="46" spans="1:34" s="2" customFormat="1" ht="15.6" x14ac:dyDescent="0.3">
      <c r="A46" s="6" t="s">
        <v>32</v>
      </c>
      <c r="B46" s="2">
        <v>16</v>
      </c>
      <c r="C46" s="3">
        <v>1</v>
      </c>
      <c r="D46" s="5" t="s">
        <v>404</v>
      </c>
      <c r="E46" s="32">
        <f t="shared" si="14"/>
        <v>34</v>
      </c>
      <c r="F46" s="32">
        <f t="shared" si="14"/>
        <v>8</v>
      </c>
      <c r="G46" s="32">
        <f t="shared" si="14"/>
        <v>37.1</v>
      </c>
      <c r="H46" s="32">
        <f t="shared" si="14"/>
        <v>21.6</v>
      </c>
      <c r="I46" s="32">
        <f t="shared" si="14"/>
        <v>0.9</v>
      </c>
      <c r="J46" s="32">
        <f t="shared" si="14"/>
        <v>13.9</v>
      </c>
      <c r="K46" s="32">
        <f t="shared" si="14"/>
        <v>15.8</v>
      </c>
      <c r="L46" s="32">
        <f t="shared" si="14"/>
        <v>2.8</v>
      </c>
      <c r="M46" s="32">
        <f t="shared" si="14"/>
        <v>44.9</v>
      </c>
      <c r="N46" s="32">
        <f t="shared" si="14"/>
        <v>24.63</v>
      </c>
      <c r="O46" s="32">
        <f t="shared" si="15"/>
        <v>0.52200000000000002</v>
      </c>
      <c r="P46" s="32">
        <f t="shared" si="15"/>
        <v>9.0299999999999994</v>
      </c>
      <c r="Q46" s="32">
        <f t="shared" si="15"/>
        <v>44.9</v>
      </c>
      <c r="R46" s="32">
        <f t="shared" si="15"/>
        <v>18.899999999999999</v>
      </c>
      <c r="S46" s="32">
        <f t="shared" si="15"/>
        <v>75.099999999999994</v>
      </c>
      <c r="T46" s="32">
        <f t="shared" si="15"/>
        <v>23.1</v>
      </c>
      <c r="U46" s="32">
        <f t="shared" si="15"/>
        <v>17.3</v>
      </c>
      <c r="V46" s="32">
        <f t="shared" si="15"/>
        <v>74.3</v>
      </c>
      <c r="W46" s="32">
        <f t="shared" si="15"/>
        <v>11.29</v>
      </c>
      <c r="X46" s="32">
        <f t="shared" si="15"/>
        <v>74.900000000000006</v>
      </c>
      <c r="Y46" s="32">
        <f t="shared" si="16"/>
        <v>3.8</v>
      </c>
      <c r="Z46" s="32">
        <f t="shared" si="16"/>
        <v>35.909999999999997</v>
      </c>
      <c r="AA46" s="32">
        <f t="shared" si="16"/>
        <v>0.7</v>
      </c>
      <c r="AB46" s="32">
        <f t="shared" si="16"/>
        <v>6.1</v>
      </c>
      <c r="AC46" s="32">
        <f t="shared" si="16"/>
        <v>-3.2</v>
      </c>
      <c r="AD46" s="32">
        <f t="shared" si="16"/>
        <v>12.23</v>
      </c>
      <c r="AE46" s="32">
        <f t="shared" si="16"/>
        <v>15.5</v>
      </c>
      <c r="AF46" s="29">
        <v>71.7</v>
      </c>
      <c r="AG46" s="30">
        <f t="shared" si="3"/>
        <v>16.800000000000004</v>
      </c>
      <c r="AH46" s="31">
        <f t="shared" si="4"/>
        <v>55.233853006681528</v>
      </c>
    </row>
    <row r="47" spans="1:34" s="2" customFormat="1" ht="15.6" x14ac:dyDescent="0.3">
      <c r="A47" s="6" t="s">
        <v>31</v>
      </c>
      <c r="B47" s="2">
        <v>15</v>
      </c>
      <c r="C47" s="3">
        <v>1</v>
      </c>
      <c r="D47" s="5" t="s">
        <v>404</v>
      </c>
      <c r="E47" s="32">
        <f t="shared" si="14"/>
        <v>34.6</v>
      </c>
      <c r="F47" s="32">
        <f t="shared" si="14"/>
        <v>5.4</v>
      </c>
      <c r="G47" s="32">
        <f t="shared" si="14"/>
        <v>30.5</v>
      </c>
      <c r="H47" s="32">
        <f t="shared" si="14"/>
        <v>17.7</v>
      </c>
      <c r="I47" s="32">
        <f t="shared" si="14"/>
        <v>1.21</v>
      </c>
      <c r="J47" s="32">
        <f t="shared" si="14"/>
        <v>15.3</v>
      </c>
      <c r="K47" s="32">
        <f t="shared" si="14"/>
        <v>21.31</v>
      </c>
      <c r="L47" s="32">
        <f t="shared" si="14"/>
        <v>4.2</v>
      </c>
      <c r="M47" s="32">
        <f t="shared" si="14"/>
        <v>43.1</v>
      </c>
      <c r="N47" s="32">
        <f t="shared" si="14"/>
        <v>26.36</v>
      </c>
      <c r="O47" s="32">
        <f t="shared" si="15"/>
        <v>0.48699999999999999</v>
      </c>
      <c r="P47" s="32">
        <f t="shared" si="15"/>
        <v>13.03</v>
      </c>
      <c r="Q47" s="32">
        <f t="shared" si="15"/>
        <v>44.4</v>
      </c>
      <c r="R47" s="32">
        <f t="shared" si="15"/>
        <v>17.2</v>
      </c>
      <c r="S47" s="32">
        <f t="shared" si="15"/>
        <v>70.900000000000006</v>
      </c>
      <c r="T47" s="32">
        <f t="shared" si="15"/>
        <v>23.8</v>
      </c>
      <c r="U47" s="32">
        <f t="shared" si="15"/>
        <v>16.8</v>
      </c>
      <c r="V47" s="32">
        <f t="shared" si="15"/>
        <v>76</v>
      </c>
      <c r="W47" s="32">
        <f t="shared" si="15"/>
        <v>12.5</v>
      </c>
      <c r="X47" s="32">
        <f t="shared" si="15"/>
        <v>77.400000000000006</v>
      </c>
      <c r="Y47" s="32">
        <f t="shared" si="16"/>
        <v>3.1</v>
      </c>
      <c r="Z47" s="32">
        <f t="shared" si="16"/>
        <v>38.86</v>
      </c>
      <c r="AA47" s="32">
        <f t="shared" si="16"/>
        <v>1.4</v>
      </c>
      <c r="AB47" s="32">
        <f t="shared" si="16"/>
        <v>7.9</v>
      </c>
      <c r="AC47" s="32">
        <f t="shared" si="16"/>
        <v>1</v>
      </c>
      <c r="AD47" s="32">
        <f t="shared" si="16"/>
        <v>13.64</v>
      </c>
      <c r="AE47" s="32">
        <f t="shared" si="16"/>
        <v>12.6</v>
      </c>
      <c r="AF47" s="29">
        <v>74.599999999999994</v>
      </c>
      <c r="AG47" s="30">
        <f t="shared" si="3"/>
        <v>22.200000000000003</v>
      </c>
      <c r="AH47" s="31">
        <f t="shared" si="4"/>
        <v>62.162162162162161</v>
      </c>
    </row>
    <row r="48" spans="1:34" s="2" customFormat="1" ht="15.6" x14ac:dyDescent="0.3">
      <c r="A48" s="6" t="s">
        <v>35</v>
      </c>
      <c r="B48" s="2">
        <v>16</v>
      </c>
      <c r="C48" s="3">
        <v>1</v>
      </c>
      <c r="D48" s="5" t="s">
        <v>404</v>
      </c>
      <c r="E48" s="32">
        <f t="shared" si="14"/>
        <v>34.700000000000003</v>
      </c>
      <c r="F48" s="32">
        <f t="shared" si="14"/>
        <v>5.7</v>
      </c>
      <c r="G48" s="32">
        <f t="shared" si="14"/>
        <v>34.1</v>
      </c>
      <c r="H48" s="32">
        <f t="shared" si="14"/>
        <v>16.899999999999999</v>
      </c>
      <c r="I48" s="32">
        <f t="shared" si="14"/>
        <v>1</v>
      </c>
      <c r="J48" s="32">
        <f t="shared" si="14"/>
        <v>12.7</v>
      </c>
      <c r="K48" s="32">
        <f t="shared" si="14"/>
        <v>26.91</v>
      </c>
      <c r="L48" s="32">
        <f t="shared" si="14"/>
        <v>2.5</v>
      </c>
      <c r="M48" s="32">
        <f t="shared" si="14"/>
        <v>44</v>
      </c>
      <c r="N48" s="32">
        <f t="shared" si="14"/>
        <v>24.94</v>
      </c>
      <c r="O48" s="32">
        <f t="shared" si="15"/>
        <v>0.502</v>
      </c>
      <c r="P48" s="32">
        <f t="shared" si="15"/>
        <v>9.26</v>
      </c>
      <c r="Q48" s="32">
        <f t="shared" si="15"/>
        <v>45.3</v>
      </c>
      <c r="R48" s="32">
        <f t="shared" si="15"/>
        <v>18.3</v>
      </c>
      <c r="S48" s="32">
        <f t="shared" si="15"/>
        <v>68.7</v>
      </c>
      <c r="T48" s="32">
        <f t="shared" si="15"/>
        <v>23</v>
      </c>
      <c r="U48" s="32">
        <f t="shared" si="15"/>
        <v>15.8</v>
      </c>
      <c r="V48" s="32">
        <f t="shared" si="15"/>
        <v>68.5</v>
      </c>
      <c r="W48" s="32">
        <f t="shared" si="15"/>
        <v>13.43</v>
      </c>
      <c r="X48" s="32">
        <f t="shared" si="15"/>
        <v>74.7</v>
      </c>
      <c r="Y48" s="32">
        <f t="shared" si="16"/>
        <v>8.6</v>
      </c>
      <c r="Z48" s="32">
        <f t="shared" si="16"/>
        <v>38.369999999999997</v>
      </c>
      <c r="AA48" s="32">
        <f t="shared" si="16"/>
        <v>6.3</v>
      </c>
      <c r="AB48" s="32">
        <f t="shared" si="16"/>
        <v>7</v>
      </c>
      <c r="AC48" s="32">
        <f t="shared" si="16"/>
        <v>0.9</v>
      </c>
      <c r="AD48" s="32">
        <f t="shared" si="16"/>
        <v>13.63</v>
      </c>
      <c r="AE48" s="32">
        <f t="shared" si="16"/>
        <v>12.7</v>
      </c>
      <c r="AF48" s="29">
        <v>68.599999999999994</v>
      </c>
      <c r="AG48" s="30">
        <f t="shared" si="3"/>
        <v>20.900000000000002</v>
      </c>
      <c r="AH48" s="31">
        <f t="shared" si="4"/>
        <v>58.719646799117001</v>
      </c>
    </row>
    <row r="49" spans="1:34" s="2" customFormat="1" ht="15.6" x14ac:dyDescent="0.3">
      <c r="A49" s="6" t="s">
        <v>66</v>
      </c>
      <c r="B49" s="2">
        <v>12</v>
      </c>
      <c r="C49" s="3">
        <v>1</v>
      </c>
      <c r="D49" s="5" t="s">
        <v>404</v>
      </c>
      <c r="E49" s="32">
        <f t="shared" si="14"/>
        <v>31.7</v>
      </c>
      <c r="F49" s="32">
        <f t="shared" si="14"/>
        <v>7.6</v>
      </c>
      <c r="G49" s="32">
        <f t="shared" si="14"/>
        <v>38.299999999999997</v>
      </c>
      <c r="H49" s="32">
        <f t="shared" si="14"/>
        <v>19.7</v>
      </c>
      <c r="I49" s="32">
        <f t="shared" si="14"/>
        <v>1.54</v>
      </c>
      <c r="J49" s="32">
        <f t="shared" si="14"/>
        <v>14.9</v>
      </c>
      <c r="K49" s="32">
        <f t="shared" si="14"/>
        <v>25.65</v>
      </c>
      <c r="L49" s="32">
        <f t="shared" si="14"/>
        <v>3.4</v>
      </c>
      <c r="M49" s="32">
        <f t="shared" si="14"/>
        <v>38.9</v>
      </c>
      <c r="N49" s="32">
        <f t="shared" si="14"/>
        <v>24.82</v>
      </c>
      <c r="O49" s="32">
        <f t="shared" si="15"/>
        <v>0.55200000000000005</v>
      </c>
      <c r="P49" s="32">
        <f t="shared" si="15"/>
        <v>13.44</v>
      </c>
      <c r="Q49" s="32">
        <f t="shared" si="15"/>
        <v>48.7</v>
      </c>
      <c r="R49" s="32">
        <f t="shared" si="15"/>
        <v>17.3</v>
      </c>
      <c r="S49" s="32">
        <f t="shared" si="15"/>
        <v>69.3</v>
      </c>
      <c r="T49" s="32">
        <f t="shared" si="15"/>
        <v>21.9</v>
      </c>
      <c r="U49" s="32">
        <f t="shared" si="15"/>
        <v>15.2</v>
      </c>
      <c r="V49" s="32">
        <f t="shared" si="15"/>
        <v>62.2</v>
      </c>
      <c r="W49" s="32">
        <f t="shared" si="15"/>
        <v>11.24</v>
      </c>
      <c r="X49" s="32">
        <f t="shared" si="15"/>
        <v>80</v>
      </c>
      <c r="Y49" s="32">
        <f t="shared" si="16"/>
        <v>3.1</v>
      </c>
      <c r="Z49" s="32">
        <f t="shared" si="16"/>
        <v>36.06</v>
      </c>
      <c r="AA49" s="32">
        <f t="shared" si="16"/>
        <v>17.7</v>
      </c>
      <c r="AB49" s="32">
        <f t="shared" si="16"/>
        <v>10.3</v>
      </c>
      <c r="AC49" s="32">
        <f t="shared" si="16"/>
        <v>6.7</v>
      </c>
      <c r="AD49" s="32">
        <f t="shared" si="16"/>
        <v>16.350000000000001</v>
      </c>
      <c r="AE49" s="32">
        <f t="shared" si="16"/>
        <v>9.6999999999999993</v>
      </c>
      <c r="AF49" s="29">
        <v>68.099999999999994</v>
      </c>
      <c r="AG49" s="30">
        <f t="shared" si="3"/>
        <v>21</v>
      </c>
      <c r="AH49" s="31">
        <f t="shared" si="4"/>
        <v>58.726899383983572</v>
      </c>
    </row>
    <row r="50" spans="1:34" s="2" customFormat="1" ht="15.6" x14ac:dyDescent="0.3">
      <c r="A50" s="6" t="s">
        <v>15</v>
      </c>
      <c r="B50" s="2">
        <v>14</v>
      </c>
      <c r="C50" s="3">
        <v>1</v>
      </c>
      <c r="D50" s="5" t="s">
        <v>404</v>
      </c>
      <c r="E50" s="32">
        <f t="shared" si="14"/>
        <v>30.2</v>
      </c>
      <c r="F50" s="32">
        <f t="shared" si="14"/>
        <v>9.4</v>
      </c>
      <c r="G50" s="32">
        <f t="shared" si="14"/>
        <v>36.1</v>
      </c>
      <c r="H50" s="32">
        <f t="shared" si="14"/>
        <v>26.1</v>
      </c>
      <c r="I50" s="32">
        <f t="shared" si="14"/>
        <v>1.27</v>
      </c>
      <c r="J50" s="32">
        <f t="shared" si="14"/>
        <v>15</v>
      </c>
      <c r="K50" s="32">
        <f t="shared" si="14"/>
        <v>12.71</v>
      </c>
      <c r="L50" s="32">
        <f t="shared" si="14"/>
        <v>4.5999999999999996</v>
      </c>
      <c r="M50" s="32">
        <f t="shared" si="14"/>
        <v>39.299999999999997</v>
      </c>
      <c r="N50" s="32">
        <f t="shared" si="14"/>
        <v>27.57</v>
      </c>
      <c r="O50" s="32">
        <f t="shared" si="15"/>
        <v>0.54800000000000004</v>
      </c>
      <c r="P50" s="32">
        <f t="shared" si="15"/>
        <v>7.09</v>
      </c>
      <c r="Q50" s="32">
        <f t="shared" si="15"/>
        <v>46.7</v>
      </c>
      <c r="R50" s="32">
        <f t="shared" si="15"/>
        <v>15.8</v>
      </c>
      <c r="S50" s="32">
        <f t="shared" si="15"/>
        <v>70.599999999999994</v>
      </c>
      <c r="T50" s="32">
        <f t="shared" si="15"/>
        <v>16.899999999999999</v>
      </c>
      <c r="U50" s="32">
        <f t="shared" si="15"/>
        <v>11.9</v>
      </c>
      <c r="V50" s="32">
        <f t="shared" si="15"/>
        <v>63.4</v>
      </c>
      <c r="W50" s="32">
        <f t="shared" si="15"/>
        <v>11.63</v>
      </c>
      <c r="X50" s="32">
        <f t="shared" si="15"/>
        <v>75.3</v>
      </c>
      <c r="Y50" s="32">
        <f t="shared" si="16"/>
        <v>8.5</v>
      </c>
      <c r="Z50" s="32">
        <f t="shared" si="16"/>
        <v>39.200000000000003</v>
      </c>
      <c r="AA50" s="32">
        <f t="shared" si="16"/>
        <v>11.9</v>
      </c>
      <c r="AB50" s="32">
        <f t="shared" si="16"/>
        <v>5.9</v>
      </c>
      <c r="AC50" s="32">
        <f t="shared" si="16"/>
        <v>-1.3</v>
      </c>
      <c r="AD50" s="32">
        <f t="shared" si="16"/>
        <v>10.49</v>
      </c>
      <c r="AE50" s="32">
        <f t="shared" si="16"/>
        <v>11.8</v>
      </c>
      <c r="AF50" s="29">
        <v>67.3</v>
      </c>
      <c r="AG50" s="30">
        <f t="shared" si="3"/>
        <v>17.599999999999998</v>
      </c>
      <c r="AH50" s="31">
        <f t="shared" si="4"/>
        <v>57.815845824411134</v>
      </c>
    </row>
    <row r="51" spans="1:34" s="2" customFormat="1" ht="15.6" x14ac:dyDescent="0.3">
      <c r="A51" s="6" t="s">
        <v>25</v>
      </c>
      <c r="B51" s="2">
        <v>8</v>
      </c>
      <c r="C51" s="3">
        <v>1</v>
      </c>
      <c r="D51" s="5" t="s">
        <v>404</v>
      </c>
      <c r="E51" s="32">
        <f t="shared" si="14"/>
        <v>29.8</v>
      </c>
      <c r="F51" s="32">
        <f t="shared" si="14"/>
        <v>7.2</v>
      </c>
      <c r="G51" s="32">
        <f t="shared" si="14"/>
        <v>32.1</v>
      </c>
      <c r="H51" s="32">
        <f t="shared" si="14"/>
        <v>22.3</v>
      </c>
      <c r="I51" s="32">
        <f t="shared" si="14"/>
        <v>1.08</v>
      </c>
      <c r="J51" s="32">
        <f t="shared" si="14"/>
        <v>14</v>
      </c>
      <c r="K51" s="32">
        <f t="shared" si="14"/>
        <v>25.57</v>
      </c>
      <c r="L51" s="32">
        <f t="shared" si="14"/>
        <v>3.1</v>
      </c>
      <c r="M51" s="32">
        <f t="shared" si="14"/>
        <v>41.9</v>
      </c>
      <c r="N51" s="32">
        <f t="shared" si="14"/>
        <v>25.63</v>
      </c>
      <c r="O51" s="32">
        <f t="shared" si="15"/>
        <v>0.51400000000000001</v>
      </c>
      <c r="P51" s="32">
        <f t="shared" si="15"/>
        <v>9.74</v>
      </c>
      <c r="Q51" s="32">
        <f t="shared" si="15"/>
        <v>45.2</v>
      </c>
      <c r="R51" s="32">
        <f t="shared" si="15"/>
        <v>16.600000000000001</v>
      </c>
      <c r="S51" s="32">
        <f t="shared" si="15"/>
        <v>67</v>
      </c>
      <c r="T51" s="32">
        <f t="shared" si="15"/>
        <v>21.7</v>
      </c>
      <c r="U51" s="32">
        <f t="shared" si="15"/>
        <v>14.5</v>
      </c>
      <c r="V51" s="32">
        <f t="shared" si="15"/>
        <v>69.099999999999994</v>
      </c>
      <c r="W51" s="32">
        <f t="shared" si="15"/>
        <v>12.46</v>
      </c>
      <c r="X51" s="32">
        <f t="shared" si="15"/>
        <v>74.099999999999994</v>
      </c>
      <c r="Y51" s="32">
        <f t="shared" si="16"/>
        <v>5.5</v>
      </c>
      <c r="Z51" s="32">
        <f t="shared" si="16"/>
        <v>38.090000000000003</v>
      </c>
      <c r="AA51" s="32">
        <f t="shared" si="16"/>
        <v>5</v>
      </c>
      <c r="AB51" s="32">
        <f t="shared" si="16"/>
        <v>8.1</v>
      </c>
      <c r="AC51" s="32">
        <f t="shared" si="16"/>
        <v>-0.3</v>
      </c>
      <c r="AD51" s="32">
        <f t="shared" si="16"/>
        <v>12.66</v>
      </c>
      <c r="AE51" s="32">
        <f t="shared" si="16"/>
        <v>13</v>
      </c>
      <c r="AF51" s="29">
        <v>70.599999999999994</v>
      </c>
      <c r="AG51" s="30">
        <f t="shared" si="3"/>
        <v>18.999999999999996</v>
      </c>
      <c r="AH51" s="31">
        <f t="shared" si="4"/>
        <v>57.964601769911489</v>
      </c>
    </row>
    <row r="52" spans="1:34" s="2" customFormat="1" ht="15.6" x14ac:dyDescent="0.3">
      <c r="A52" s="6" t="s">
        <v>53</v>
      </c>
      <c r="B52" s="2">
        <v>16</v>
      </c>
      <c r="C52" s="3">
        <v>1</v>
      </c>
      <c r="D52" s="5" t="s">
        <v>404</v>
      </c>
      <c r="E52" s="32">
        <f t="shared" ref="E52:N61" si="17">INDEX(rawValue,MATCH(INDEX(teamID,MATCH(INDEX(ovrTeamCol,ROW(),1),teamINI,0))+INDEX(statID,MATCH(INDEX(ovrHeaderRow,1,COLUMN()),statAbbr,0),1),rawLookup,0))</f>
        <v>33.5</v>
      </c>
      <c r="F52" s="32">
        <f t="shared" si="17"/>
        <v>9.1</v>
      </c>
      <c r="G52" s="32">
        <f t="shared" si="17"/>
        <v>37</v>
      </c>
      <c r="H52" s="32">
        <f t="shared" si="17"/>
        <v>24.7</v>
      </c>
      <c r="I52" s="32">
        <f t="shared" si="17"/>
        <v>1.1299999999999999</v>
      </c>
      <c r="J52" s="32">
        <f t="shared" si="17"/>
        <v>13.2</v>
      </c>
      <c r="K52" s="32">
        <f t="shared" si="17"/>
        <v>15.86</v>
      </c>
      <c r="L52" s="32">
        <f t="shared" si="17"/>
        <v>2.4</v>
      </c>
      <c r="M52" s="32">
        <f t="shared" si="17"/>
        <v>46.7</v>
      </c>
      <c r="N52" s="32">
        <f t="shared" si="17"/>
        <v>23.74</v>
      </c>
      <c r="O52" s="32">
        <f t="shared" ref="O52:X61" si="18">INDEX(rawValue,MATCH(INDEX(teamID,MATCH(INDEX(ovrTeamCol,ROW(),1),teamINI,0))+INDEX(statID,MATCH(INDEX(ovrHeaderRow,1,COLUMN()),statAbbr,0),1),rawLookup,0))</f>
        <v>0.54700000000000004</v>
      </c>
      <c r="P52" s="32">
        <f t="shared" si="18"/>
        <v>9.0299999999999994</v>
      </c>
      <c r="Q52" s="32">
        <f t="shared" si="18"/>
        <v>46.8</v>
      </c>
      <c r="R52" s="32">
        <f t="shared" si="18"/>
        <v>18.5</v>
      </c>
      <c r="S52" s="32">
        <f t="shared" si="18"/>
        <v>72.8</v>
      </c>
      <c r="T52" s="32">
        <f t="shared" si="18"/>
        <v>17</v>
      </c>
      <c r="U52" s="32">
        <f t="shared" si="18"/>
        <v>12.4</v>
      </c>
      <c r="V52" s="32">
        <f t="shared" si="18"/>
        <v>74.5</v>
      </c>
      <c r="W52" s="32">
        <f t="shared" si="18"/>
        <v>6.77</v>
      </c>
      <c r="X52" s="32">
        <f t="shared" si="18"/>
        <v>75.3</v>
      </c>
      <c r="Y52" s="32">
        <f t="shared" ref="Y52:AE61" si="19">INDEX(rawValue,MATCH(INDEX(teamID,MATCH(INDEX(ovrTeamCol,ROW(),1),teamINI,0))+INDEX(statID,MATCH(INDEX(ovrHeaderRow,1,COLUMN()),statAbbr,0),1),rawLookup,0))</f>
        <v>-4.7</v>
      </c>
      <c r="Z52" s="32">
        <f t="shared" si="19"/>
        <v>30.51</v>
      </c>
      <c r="AA52" s="32">
        <f t="shared" si="19"/>
        <v>0.8</v>
      </c>
      <c r="AB52" s="32">
        <f t="shared" si="19"/>
        <v>8.3000000000000007</v>
      </c>
      <c r="AC52" s="32">
        <f t="shared" si="19"/>
        <v>1.9</v>
      </c>
      <c r="AD52" s="32">
        <f t="shared" si="19"/>
        <v>13.54</v>
      </c>
      <c r="AE52" s="32">
        <f t="shared" si="19"/>
        <v>11.7</v>
      </c>
      <c r="AF52" s="29">
        <v>69.599999999999994</v>
      </c>
      <c r="AG52" s="30">
        <f t="shared" si="3"/>
        <v>17.8</v>
      </c>
      <c r="AH52" s="31">
        <f t="shared" si="4"/>
        <v>57.478632478632484</v>
      </c>
    </row>
    <row r="53" spans="1:34" s="2" customFormat="1" ht="15.6" x14ac:dyDescent="0.3">
      <c r="A53" s="6" t="s">
        <v>44</v>
      </c>
      <c r="B53" s="2">
        <v>8</v>
      </c>
      <c r="C53" s="3">
        <v>1</v>
      </c>
      <c r="D53" s="5" t="s">
        <v>404</v>
      </c>
      <c r="E53" s="32">
        <f t="shared" si="17"/>
        <v>32.5</v>
      </c>
      <c r="F53" s="32">
        <f t="shared" si="17"/>
        <v>9.4</v>
      </c>
      <c r="G53" s="32">
        <f t="shared" si="17"/>
        <v>35.700000000000003</v>
      </c>
      <c r="H53" s="32">
        <f t="shared" si="17"/>
        <v>26.3</v>
      </c>
      <c r="I53" s="32">
        <f t="shared" si="17"/>
        <v>1.38</v>
      </c>
      <c r="J53" s="32">
        <f t="shared" si="17"/>
        <v>15.3</v>
      </c>
      <c r="K53" s="32">
        <f t="shared" si="17"/>
        <v>21.47</v>
      </c>
      <c r="L53" s="32">
        <f t="shared" si="17"/>
        <v>2.6</v>
      </c>
      <c r="M53" s="32">
        <f t="shared" si="17"/>
        <v>40</v>
      </c>
      <c r="N53" s="32">
        <f t="shared" si="17"/>
        <v>28.06</v>
      </c>
      <c r="O53" s="32">
        <f t="shared" si="18"/>
        <v>0.53100000000000003</v>
      </c>
      <c r="P53" s="32">
        <f t="shared" si="18"/>
        <v>9.94</v>
      </c>
      <c r="Q53" s="32">
        <f t="shared" si="18"/>
        <v>45.2</v>
      </c>
      <c r="R53" s="32">
        <f t="shared" si="18"/>
        <v>15.9</v>
      </c>
      <c r="S53" s="32">
        <f t="shared" si="18"/>
        <v>76</v>
      </c>
      <c r="T53" s="32">
        <f t="shared" si="18"/>
        <v>19.399999999999999</v>
      </c>
      <c r="U53" s="32">
        <f t="shared" si="18"/>
        <v>14.7</v>
      </c>
      <c r="V53" s="32">
        <f t="shared" si="18"/>
        <v>70.900000000000006</v>
      </c>
      <c r="W53" s="32">
        <f t="shared" si="18"/>
        <v>9.59</v>
      </c>
      <c r="X53" s="32">
        <f t="shared" si="18"/>
        <v>77.7</v>
      </c>
      <c r="Y53" s="32">
        <f t="shared" si="19"/>
        <v>0.4</v>
      </c>
      <c r="Z53" s="32">
        <f t="shared" si="19"/>
        <v>37.65</v>
      </c>
      <c r="AA53" s="32">
        <f t="shared" si="19"/>
        <v>6.8</v>
      </c>
      <c r="AB53" s="32">
        <f t="shared" si="19"/>
        <v>6.3</v>
      </c>
      <c r="AC53" s="32">
        <f t="shared" si="19"/>
        <v>0.3</v>
      </c>
      <c r="AD53" s="32">
        <f t="shared" si="19"/>
        <v>11.38</v>
      </c>
      <c r="AE53" s="32">
        <f t="shared" si="19"/>
        <v>11.1</v>
      </c>
      <c r="AF53" s="29">
        <v>71.599999999999994</v>
      </c>
      <c r="AG53" s="30">
        <f t="shared" si="3"/>
        <v>17.399999999999999</v>
      </c>
      <c r="AH53" s="31">
        <f t="shared" si="4"/>
        <v>59.292035398230077</v>
      </c>
    </row>
    <row r="54" spans="1:34" s="2" customFormat="1" ht="15.6" x14ac:dyDescent="0.3">
      <c r="A54" s="6" t="s">
        <v>26</v>
      </c>
      <c r="B54" s="2">
        <v>10</v>
      </c>
      <c r="C54" s="3">
        <v>1</v>
      </c>
      <c r="D54" s="5" t="s">
        <v>404</v>
      </c>
      <c r="E54" s="32">
        <f t="shared" si="17"/>
        <v>32.1</v>
      </c>
      <c r="F54" s="32">
        <f t="shared" si="17"/>
        <v>6.7</v>
      </c>
      <c r="G54" s="32">
        <f t="shared" si="17"/>
        <v>36.299999999999997</v>
      </c>
      <c r="H54" s="32">
        <f t="shared" si="17"/>
        <v>18.399999999999999</v>
      </c>
      <c r="I54" s="32">
        <f t="shared" si="17"/>
        <v>1.49</v>
      </c>
      <c r="J54" s="32">
        <f t="shared" si="17"/>
        <v>15</v>
      </c>
      <c r="K54" s="32">
        <f t="shared" si="17"/>
        <v>16.59</v>
      </c>
      <c r="L54" s="32">
        <f t="shared" si="17"/>
        <v>3.6</v>
      </c>
      <c r="M54" s="32">
        <f t="shared" si="17"/>
        <v>41.8</v>
      </c>
      <c r="N54" s="32">
        <f t="shared" si="17"/>
        <v>25.44</v>
      </c>
      <c r="O54" s="32">
        <f t="shared" si="18"/>
        <v>0.53500000000000003</v>
      </c>
      <c r="P54" s="32">
        <f t="shared" si="18"/>
        <v>7.74</v>
      </c>
      <c r="Q54" s="32">
        <f t="shared" si="18"/>
        <v>47.4</v>
      </c>
      <c r="R54" s="32">
        <f t="shared" si="18"/>
        <v>17.600000000000001</v>
      </c>
      <c r="S54" s="32">
        <f t="shared" si="18"/>
        <v>72</v>
      </c>
      <c r="T54" s="32">
        <f t="shared" si="18"/>
        <v>24.2</v>
      </c>
      <c r="U54" s="32">
        <f t="shared" si="18"/>
        <v>17.399999999999999</v>
      </c>
      <c r="V54" s="32">
        <f t="shared" si="18"/>
        <v>66.900000000000006</v>
      </c>
      <c r="W54" s="32">
        <f t="shared" si="18"/>
        <v>8.8800000000000008</v>
      </c>
      <c r="X54" s="32">
        <f t="shared" si="18"/>
        <v>75.900000000000006</v>
      </c>
      <c r="Y54" s="32">
        <f t="shared" si="19"/>
        <v>1.7</v>
      </c>
      <c r="Z54" s="32">
        <f t="shared" si="19"/>
        <v>34.32</v>
      </c>
      <c r="AA54" s="32">
        <f t="shared" si="19"/>
        <v>9</v>
      </c>
      <c r="AB54" s="32">
        <f t="shared" si="19"/>
        <v>6.3</v>
      </c>
      <c r="AC54" s="32">
        <f t="shared" si="19"/>
        <v>1.9</v>
      </c>
      <c r="AD54" s="32">
        <f t="shared" si="19"/>
        <v>11.91</v>
      </c>
      <c r="AE54" s="32">
        <f t="shared" si="19"/>
        <v>10.1</v>
      </c>
      <c r="AF54" s="29">
        <v>68.5</v>
      </c>
      <c r="AG54" s="30">
        <f t="shared" si="3"/>
        <v>19.200000000000003</v>
      </c>
      <c r="AH54" s="31">
        <f t="shared" si="4"/>
        <v>54.641350210970465</v>
      </c>
    </row>
    <row r="55" spans="1:34" s="2" customFormat="1" ht="15.6" x14ac:dyDescent="0.3">
      <c r="A55" s="6" t="s">
        <v>67</v>
      </c>
      <c r="B55" s="2">
        <v>13</v>
      </c>
      <c r="C55" s="3">
        <v>1</v>
      </c>
      <c r="D55" s="5" t="s">
        <v>404</v>
      </c>
      <c r="E55" s="32">
        <f t="shared" si="17"/>
        <v>33.799999999999997</v>
      </c>
      <c r="F55" s="32">
        <f t="shared" si="17"/>
        <v>10</v>
      </c>
      <c r="G55" s="32">
        <f t="shared" si="17"/>
        <v>39.5</v>
      </c>
      <c r="H55" s="32">
        <f t="shared" si="17"/>
        <v>25.4</v>
      </c>
      <c r="I55" s="32">
        <f t="shared" si="17"/>
        <v>1.36</v>
      </c>
      <c r="J55" s="32">
        <f t="shared" si="17"/>
        <v>17.7</v>
      </c>
      <c r="K55" s="32">
        <f t="shared" si="17"/>
        <v>33.29</v>
      </c>
      <c r="L55" s="32">
        <f t="shared" si="17"/>
        <v>3.7</v>
      </c>
      <c r="M55" s="32">
        <f t="shared" si="17"/>
        <v>43.4</v>
      </c>
      <c r="N55" s="32">
        <f t="shared" si="17"/>
        <v>25.17</v>
      </c>
      <c r="O55" s="32">
        <f t="shared" si="18"/>
        <v>0.57099999999999995</v>
      </c>
      <c r="P55" s="32">
        <f t="shared" si="18"/>
        <v>15.2</v>
      </c>
      <c r="Q55" s="32">
        <f t="shared" si="18"/>
        <v>49</v>
      </c>
      <c r="R55" s="32">
        <f t="shared" si="18"/>
        <v>19.100000000000001</v>
      </c>
      <c r="S55" s="32">
        <f t="shared" si="18"/>
        <v>72.3</v>
      </c>
      <c r="T55" s="32">
        <f t="shared" si="18"/>
        <v>21.9</v>
      </c>
      <c r="U55" s="32">
        <f t="shared" si="18"/>
        <v>15.8</v>
      </c>
      <c r="V55" s="32">
        <f t="shared" si="18"/>
        <v>74.5</v>
      </c>
      <c r="W55" s="32">
        <f t="shared" si="18"/>
        <v>10.6</v>
      </c>
      <c r="X55" s="32">
        <f t="shared" si="18"/>
        <v>86.1</v>
      </c>
      <c r="Y55" s="32">
        <f t="shared" si="19"/>
        <v>-0.1</v>
      </c>
      <c r="Z55" s="32">
        <f t="shared" si="19"/>
        <v>35.770000000000003</v>
      </c>
      <c r="AA55" s="32">
        <f t="shared" si="19"/>
        <v>11.6</v>
      </c>
      <c r="AB55" s="32">
        <f t="shared" si="19"/>
        <v>9.9</v>
      </c>
      <c r="AC55" s="32">
        <f t="shared" si="19"/>
        <v>3.7</v>
      </c>
      <c r="AD55" s="32">
        <f t="shared" si="19"/>
        <v>16.66</v>
      </c>
      <c r="AE55" s="32">
        <f t="shared" si="19"/>
        <v>13</v>
      </c>
      <c r="AF55" s="29">
        <v>75.7</v>
      </c>
      <c r="AG55" s="30">
        <f t="shared" si="3"/>
        <v>20.149999999999999</v>
      </c>
      <c r="AH55" s="31">
        <f t="shared" si="4"/>
        <v>61.530612244897959</v>
      </c>
    </row>
    <row r="56" spans="1:34" s="2" customFormat="1" ht="15.6" x14ac:dyDescent="0.3">
      <c r="A56" s="6" t="s">
        <v>59</v>
      </c>
      <c r="B56" s="2">
        <v>6</v>
      </c>
      <c r="C56" s="3">
        <v>1</v>
      </c>
      <c r="D56" s="5" t="s">
        <v>404</v>
      </c>
      <c r="E56" s="32">
        <f t="shared" si="17"/>
        <v>33.9</v>
      </c>
      <c r="F56" s="32">
        <f t="shared" si="17"/>
        <v>8.1</v>
      </c>
      <c r="G56" s="32">
        <f t="shared" si="17"/>
        <v>33.9</v>
      </c>
      <c r="H56" s="32">
        <f t="shared" si="17"/>
        <v>23.8</v>
      </c>
      <c r="I56" s="32">
        <f t="shared" si="17"/>
        <v>1.52</v>
      </c>
      <c r="J56" s="32">
        <f t="shared" si="17"/>
        <v>15.4</v>
      </c>
      <c r="K56" s="32">
        <f t="shared" si="17"/>
        <v>17.760000000000002</v>
      </c>
      <c r="L56" s="32">
        <f t="shared" si="17"/>
        <v>3.2</v>
      </c>
      <c r="M56" s="32">
        <f t="shared" si="17"/>
        <v>43.1</v>
      </c>
      <c r="N56" s="32">
        <f t="shared" si="17"/>
        <v>24.21</v>
      </c>
      <c r="O56" s="32">
        <f t="shared" si="18"/>
        <v>0.50900000000000001</v>
      </c>
      <c r="P56" s="32">
        <f t="shared" si="18"/>
        <v>5.0599999999999996</v>
      </c>
      <c r="Q56" s="32">
        <f t="shared" si="18"/>
        <v>43.9</v>
      </c>
      <c r="R56" s="32">
        <f t="shared" si="18"/>
        <v>16.2</v>
      </c>
      <c r="S56" s="32">
        <f t="shared" si="18"/>
        <v>71.099999999999994</v>
      </c>
      <c r="T56" s="32">
        <f t="shared" si="18"/>
        <v>18.399999999999999</v>
      </c>
      <c r="U56" s="32">
        <f t="shared" si="18"/>
        <v>13.1</v>
      </c>
      <c r="V56" s="32">
        <f t="shared" si="18"/>
        <v>67.599999999999994</v>
      </c>
      <c r="W56" s="32">
        <f t="shared" si="18"/>
        <v>11.38</v>
      </c>
      <c r="X56" s="32">
        <f t="shared" si="18"/>
        <v>72.099999999999994</v>
      </c>
      <c r="Y56" s="32">
        <f t="shared" si="19"/>
        <v>2.9</v>
      </c>
      <c r="Z56" s="32">
        <f t="shared" si="19"/>
        <v>35.590000000000003</v>
      </c>
      <c r="AA56" s="32">
        <f t="shared" si="19"/>
        <v>4.5</v>
      </c>
      <c r="AB56" s="32">
        <f t="shared" si="19"/>
        <v>4.8</v>
      </c>
      <c r="AC56" s="32">
        <f t="shared" si="19"/>
        <v>-0.4</v>
      </c>
      <c r="AD56" s="32">
        <f t="shared" si="19"/>
        <v>9.76</v>
      </c>
      <c r="AE56" s="32">
        <f t="shared" si="19"/>
        <v>10.1</v>
      </c>
      <c r="AF56" s="29">
        <v>67.2</v>
      </c>
      <c r="AG56" s="30">
        <f t="shared" si="3"/>
        <v>17.349999999999998</v>
      </c>
      <c r="AH56" s="31">
        <f t="shared" si="4"/>
        <v>57.972665148063776</v>
      </c>
    </row>
    <row r="57" spans="1:34" s="2" customFormat="1" ht="15.6" x14ac:dyDescent="0.3">
      <c r="A57" s="6" t="s">
        <v>16</v>
      </c>
      <c r="B57" s="2">
        <v>15</v>
      </c>
      <c r="C57" s="3">
        <v>1</v>
      </c>
      <c r="D57" s="5" t="s">
        <v>404</v>
      </c>
      <c r="E57" s="32">
        <f t="shared" si="17"/>
        <v>34.9</v>
      </c>
      <c r="F57" s="32">
        <f t="shared" si="17"/>
        <v>8.6</v>
      </c>
      <c r="G57" s="32">
        <f t="shared" si="17"/>
        <v>36.5</v>
      </c>
      <c r="H57" s="32">
        <f t="shared" si="17"/>
        <v>23.5</v>
      </c>
      <c r="I57" s="32">
        <f t="shared" si="17"/>
        <v>1.1399999999999999</v>
      </c>
      <c r="J57" s="32">
        <f t="shared" si="17"/>
        <v>12.9</v>
      </c>
      <c r="K57" s="32">
        <f t="shared" si="17"/>
        <v>15.43</v>
      </c>
      <c r="L57" s="32">
        <f t="shared" si="17"/>
        <v>3.2</v>
      </c>
      <c r="M57" s="32">
        <f t="shared" si="17"/>
        <v>42.1</v>
      </c>
      <c r="N57" s="32">
        <f t="shared" si="17"/>
        <v>27.17</v>
      </c>
      <c r="O57" s="32">
        <f t="shared" si="18"/>
        <v>0.55500000000000005</v>
      </c>
      <c r="P57" s="32">
        <f t="shared" si="18"/>
        <v>7.46</v>
      </c>
      <c r="Q57" s="32">
        <f t="shared" si="18"/>
        <v>48.2</v>
      </c>
      <c r="R57" s="32">
        <f t="shared" si="18"/>
        <v>14.3</v>
      </c>
      <c r="S57" s="32">
        <f t="shared" si="18"/>
        <v>71</v>
      </c>
      <c r="T57" s="32">
        <f t="shared" si="18"/>
        <v>16.899999999999999</v>
      </c>
      <c r="U57" s="32">
        <f t="shared" si="18"/>
        <v>12</v>
      </c>
      <c r="V57" s="32">
        <f t="shared" si="18"/>
        <v>71.099999999999994</v>
      </c>
      <c r="W57" s="32">
        <f t="shared" si="18"/>
        <v>8.26</v>
      </c>
      <c r="X57" s="32">
        <f t="shared" si="18"/>
        <v>76.400000000000006</v>
      </c>
      <c r="Y57" s="32">
        <f t="shared" si="19"/>
        <v>1.9</v>
      </c>
      <c r="Z57" s="32">
        <f t="shared" si="19"/>
        <v>35.43</v>
      </c>
      <c r="AA57" s="32">
        <f t="shared" si="19"/>
        <v>5.3</v>
      </c>
      <c r="AB57" s="32">
        <f t="shared" si="19"/>
        <v>6.1</v>
      </c>
      <c r="AC57" s="32">
        <f t="shared" si="19"/>
        <v>0</v>
      </c>
      <c r="AD57" s="32">
        <f t="shared" si="19"/>
        <v>11.29</v>
      </c>
      <c r="AE57" s="32">
        <f t="shared" si="19"/>
        <v>11.3</v>
      </c>
      <c r="AF57" s="29">
        <v>69.8</v>
      </c>
      <c r="AG57" s="30">
        <f t="shared" si="3"/>
        <v>19.300000000000004</v>
      </c>
      <c r="AH57" s="31">
        <f t="shared" si="4"/>
        <v>57.8838174273859</v>
      </c>
    </row>
    <row r="58" spans="1:34" s="2" customFormat="1" ht="15.6" x14ac:dyDescent="0.3">
      <c r="A58" s="6" t="s">
        <v>22</v>
      </c>
      <c r="B58" s="2">
        <v>5</v>
      </c>
      <c r="C58" s="3">
        <v>1</v>
      </c>
      <c r="D58" s="5" t="s">
        <v>404</v>
      </c>
      <c r="E58" s="32">
        <f t="shared" si="17"/>
        <v>31.4</v>
      </c>
      <c r="F58" s="32">
        <f t="shared" si="17"/>
        <v>7.6</v>
      </c>
      <c r="G58" s="32">
        <f t="shared" si="17"/>
        <v>35.200000000000003</v>
      </c>
      <c r="H58" s="32">
        <f t="shared" si="17"/>
        <v>21.6</v>
      </c>
      <c r="I58" s="32">
        <f t="shared" si="17"/>
        <v>1.59</v>
      </c>
      <c r="J58" s="32">
        <f t="shared" si="17"/>
        <v>16.2</v>
      </c>
      <c r="K58" s="32">
        <f t="shared" si="17"/>
        <v>16.440000000000001</v>
      </c>
      <c r="L58" s="32">
        <f t="shared" si="17"/>
        <v>3.8</v>
      </c>
      <c r="M58" s="32">
        <f t="shared" si="17"/>
        <v>39.6</v>
      </c>
      <c r="N58" s="32">
        <f t="shared" si="17"/>
        <v>26.38</v>
      </c>
      <c r="O58" s="32">
        <f t="shared" si="18"/>
        <v>0.53100000000000003</v>
      </c>
      <c r="P58" s="32">
        <f t="shared" si="18"/>
        <v>6.24</v>
      </c>
      <c r="Q58" s="32">
        <f t="shared" si="18"/>
        <v>46.6</v>
      </c>
      <c r="R58" s="32">
        <f t="shared" si="18"/>
        <v>16.399999999999999</v>
      </c>
      <c r="S58" s="32">
        <f t="shared" si="18"/>
        <v>67.599999999999994</v>
      </c>
      <c r="T58" s="32">
        <f t="shared" si="18"/>
        <v>16.8</v>
      </c>
      <c r="U58" s="32">
        <f t="shared" si="18"/>
        <v>11.4</v>
      </c>
      <c r="V58" s="32">
        <f t="shared" si="18"/>
        <v>59.2</v>
      </c>
      <c r="W58" s="32">
        <f t="shared" si="18"/>
        <v>13.18</v>
      </c>
      <c r="X58" s="32">
        <f t="shared" si="18"/>
        <v>74</v>
      </c>
      <c r="Y58" s="32">
        <f t="shared" si="19"/>
        <v>11.9</v>
      </c>
      <c r="Z58" s="32">
        <f t="shared" si="19"/>
        <v>39.56</v>
      </c>
      <c r="AA58" s="32">
        <f t="shared" si="19"/>
        <v>14.8</v>
      </c>
      <c r="AB58" s="32">
        <f t="shared" si="19"/>
        <v>6.6</v>
      </c>
      <c r="AC58" s="32">
        <f t="shared" si="19"/>
        <v>0.6</v>
      </c>
      <c r="AD58" s="32">
        <f t="shared" si="19"/>
        <v>10.85</v>
      </c>
      <c r="AE58" s="32">
        <f t="shared" si="19"/>
        <v>10.199999999999999</v>
      </c>
      <c r="AF58" s="29">
        <v>66</v>
      </c>
      <c r="AG58" s="30">
        <f t="shared" si="3"/>
        <v>19.900000000000002</v>
      </c>
      <c r="AH58" s="31">
        <f t="shared" si="4"/>
        <v>59.012875536480685</v>
      </c>
    </row>
    <row r="59" spans="1:34" s="2" customFormat="1" ht="15.6" x14ac:dyDescent="0.3">
      <c r="A59" s="6" t="s">
        <v>69</v>
      </c>
      <c r="B59" s="2">
        <v>15</v>
      </c>
      <c r="C59" s="3">
        <v>1</v>
      </c>
      <c r="D59" s="5" t="s">
        <v>404</v>
      </c>
      <c r="E59" s="32">
        <f t="shared" si="17"/>
        <v>32.700000000000003</v>
      </c>
      <c r="F59" s="32">
        <f t="shared" si="17"/>
        <v>5.8</v>
      </c>
      <c r="G59" s="32">
        <f t="shared" si="17"/>
        <v>32.5</v>
      </c>
      <c r="H59" s="32">
        <f t="shared" si="17"/>
        <v>17.899999999999999</v>
      </c>
      <c r="I59" s="32">
        <f t="shared" si="17"/>
        <v>0.85</v>
      </c>
      <c r="J59" s="32">
        <f t="shared" si="17"/>
        <v>10.6</v>
      </c>
      <c r="K59" s="32">
        <f t="shared" si="17"/>
        <v>19.18</v>
      </c>
      <c r="L59" s="32">
        <f t="shared" si="17"/>
        <v>4.2</v>
      </c>
      <c r="M59" s="32">
        <f t="shared" si="17"/>
        <v>41.7</v>
      </c>
      <c r="N59" s="32">
        <f t="shared" si="17"/>
        <v>22.73</v>
      </c>
      <c r="O59" s="32">
        <f t="shared" si="18"/>
        <v>0.44600000000000001</v>
      </c>
      <c r="P59" s="32">
        <f t="shared" si="18"/>
        <v>9.33</v>
      </c>
      <c r="Q59" s="32">
        <f t="shared" si="18"/>
        <v>39.299999999999997</v>
      </c>
      <c r="R59" s="32">
        <f t="shared" si="18"/>
        <v>19.399999999999999</v>
      </c>
      <c r="S59" s="32">
        <f t="shared" si="18"/>
        <v>71.2</v>
      </c>
      <c r="T59" s="32">
        <f t="shared" si="18"/>
        <v>21.6</v>
      </c>
      <c r="U59" s="32">
        <f t="shared" si="18"/>
        <v>15.4</v>
      </c>
      <c r="V59" s="32">
        <f t="shared" si="18"/>
        <v>64</v>
      </c>
      <c r="W59" s="32">
        <f t="shared" si="18"/>
        <v>12.45</v>
      </c>
      <c r="X59" s="32">
        <f t="shared" si="18"/>
        <v>64.8</v>
      </c>
      <c r="Y59" s="32">
        <f t="shared" si="19"/>
        <v>1.7</v>
      </c>
      <c r="Z59" s="32">
        <f t="shared" si="19"/>
        <v>35.18</v>
      </c>
      <c r="AA59" s="32">
        <f t="shared" si="19"/>
        <v>0.8</v>
      </c>
      <c r="AB59" s="32">
        <f t="shared" si="19"/>
        <v>7.1</v>
      </c>
      <c r="AC59" s="32">
        <f t="shared" si="19"/>
        <v>1.1000000000000001</v>
      </c>
      <c r="AD59" s="32">
        <f t="shared" si="19"/>
        <v>13.61</v>
      </c>
      <c r="AE59" s="32">
        <f t="shared" si="19"/>
        <v>12.5</v>
      </c>
      <c r="AF59" s="29">
        <v>67.400000000000006</v>
      </c>
      <c r="AG59" s="30">
        <f t="shared" si="3"/>
        <v>16</v>
      </c>
      <c r="AH59" s="31">
        <f t="shared" si="4"/>
        <v>55.470737913486012</v>
      </c>
    </row>
    <row r="60" spans="1:34" s="2" customFormat="1" ht="15.6" x14ac:dyDescent="0.3">
      <c r="A60" s="6" t="s">
        <v>17</v>
      </c>
      <c r="B60" s="2">
        <v>16</v>
      </c>
      <c r="C60" s="3">
        <v>1</v>
      </c>
      <c r="D60" s="5" t="s">
        <v>404</v>
      </c>
      <c r="E60" s="32">
        <f t="shared" si="17"/>
        <v>33.5</v>
      </c>
      <c r="F60" s="32">
        <f t="shared" si="17"/>
        <v>8.9</v>
      </c>
      <c r="G60" s="32">
        <f t="shared" si="17"/>
        <v>36.5</v>
      </c>
      <c r="H60" s="32">
        <f t="shared" si="17"/>
        <v>24.5</v>
      </c>
      <c r="I60" s="32">
        <f t="shared" si="17"/>
        <v>1.26</v>
      </c>
      <c r="J60" s="32">
        <f t="shared" si="17"/>
        <v>13.3</v>
      </c>
      <c r="K60" s="32">
        <f t="shared" si="17"/>
        <v>12.97</v>
      </c>
      <c r="L60" s="32">
        <f t="shared" si="17"/>
        <v>3.1</v>
      </c>
      <c r="M60" s="32">
        <f t="shared" si="17"/>
        <v>44.1</v>
      </c>
      <c r="N60" s="32">
        <f t="shared" si="17"/>
        <v>25.06</v>
      </c>
      <c r="O60" s="32">
        <f t="shared" si="18"/>
        <v>0.53900000000000003</v>
      </c>
      <c r="P60" s="32">
        <f t="shared" si="18"/>
        <v>9.74</v>
      </c>
      <c r="Q60" s="32">
        <f t="shared" si="18"/>
        <v>46.3</v>
      </c>
      <c r="R60" s="32">
        <f t="shared" si="18"/>
        <v>14.7</v>
      </c>
      <c r="S60" s="32">
        <f t="shared" si="18"/>
        <v>76.599999999999994</v>
      </c>
      <c r="T60" s="32">
        <f t="shared" si="18"/>
        <v>17.7</v>
      </c>
      <c r="U60" s="32">
        <f t="shared" si="18"/>
        <v>13.5</v>
      </c>
      <c r="V60" s="32">
        <f t="shared" si="18"/>
        <v>73.3</v>
      </c>
      <c r="W60" s="32">
        <f t="shared" si="18"/>
        <v>9.69</v>
      </c>
      <c r="X60" s="32">
        <f t="shared" si="18"/>
        <v>76.8</v>
      </c>
      <c r="Y60" s="32">
        <f t="shared" si="19"/>
        <v>0.1</v>
      </c>
      <c r="Z60" s="32">
        <f t="shared" si="19"/>
        <v>34.74</v>
      </c>
      <c r="AA60" s="32">
        <f t="shared" si="19"/>
        <v>3.5</v>
      </c>
      <c r="AB60" s="32">
        <f t="shared" si="19"/>
        <v>5.3</v>
      </c>
      <c r="AC60" s="32">
        <f t="shared" si="19"/>
        <v>-1</v>
      </c>
      <c r="AD60" s="32">
        <f t="shared" si="19"/>
        <v>9.57</v>
      </c>
      <c r="AE60" s="32">
        <f t="shared" si="19"/>
        <v>10.5</v>
      </c>
      <c r="AF60" s="29">
        <v>68.3</v>
      </c>
      <c r="AG60" s="30">
        <f t="shared" si="3"/>
        <v>18.299999999999997</v>
      </c>
      <c r="AH60" s="31">
        <f t="shared" si="4"/>
        <v>58.747300215982712</v>
      </c>
    </row>
    <row r="61" spans="1:34" s="2" customFormat="1" ht="15.6" x14ac:dyDescent="0.3">
      <c r="A61" s="6" t="s">
        <v>62</v>
      </c>
      <c r="B61" s="2">
        <v>9</v>
      </c>
      <c r="C61" s="3">
        <v>1</v>
      </c>
      <c r="D61" s="5" t="s">
        <v>404</v>
      </c>
      <c r="E61" s="32">
        <f t="shared" si="17"/>
        <v>33</v>
      </c>
      <c r="F61" s="32">
        <f t="shared" si="17"/>
        <v>6.6</v>
      </c>
      <c r="G61" s="32">
        <f t="shared" si="17"/>
        <v>35.4</v>
      </c>
      <c r="H61" s="32">
        <f t="shared" si="17"/>
        <v>18.600000000000001</v>
      </c>
      <c r="I61" s="32">
        <f t="shared" si="17"/>
        <v>1.31</v>
      </c>
      <c r="J61" s="32">
        <f t="shared" si="17"/>
        <v>16.899999999999999</v>
      </c>
      <c r="K61" s="32">
        <f t="shared" si="17"/>
        <v>26.94</v>
      </c>
      <c r="L61" s="32">
        <f t="shared" si="17"/>
        <v>3.8</v>
      </c>
      <c r="M61" s="32">
        <f t="shared" si="17"/>
        <v>44.9</v>
      </c>
      <c r="N61" s="32">
        <f t="shared" si="17"/>
        <v>24.41</v>
      </c>
      <c r="O61" s="32">
        <f t="shared" si="18"/>
        <v>0.51500000000000001</v>
      </c>
      <c r="P61" s="32">
        <f t="shared" si="18"/>
        <v>17.79</v>
      </c>
      <c r="Q61" s="32">
        <f t="shared" si="18"/>
        <v>46.1</v>
      </c>
      <c r="R61" s="32">
        <f t="shared" si="18"/>
        <v>17.399999999999999</v>
      </c>
      <c r="S61" s="32">
        <f t="shared" si="18"/>
        <v>73.099999999999994</v>
      </c>
      <c r="T61" s="32">
        <f t="shared" si="18"/>
        <v>21.5</v>
      </c>
      <c r="U61" s="32">
        <f t="shared" si="18"/>
        <v>15.7</v>
      </c>
      <c r="V61" s="32">
        <f t="shared" si="18"/>
        <v>71.7</v>
      </c>
      <c r="W61" s="32">
        <f t="shared" si="18"/>
        <v>12.74</v>
      </c>
      <c r="X61" s="32">
        <f t="shared" si="18"/>
        <v>79</v>
      </c>
      <c r="Y61" s="32">
        <f t="shared" si="19"/>
        <v>4.7</v>
      </c>
      <c r="Z61" s="32">
        <f t="shared" si="19"/>
        <v>37.15</v>
      </c>
      <c r="AA61" s="32">
        <f t="shared" si="19"/>
        <v>7.3</v>
      </c>
      <c r="AB61" s="32">
        <f t="shared" si="19"/>
        <v>9</v>
      </c>
      <c r="AC61" s="32">
        <f t="shared" si="19"/>
        <v>1.9</v>
      </c>
      <c r="AD61" s="32">
        <f t="shared" si="19"/>
        <v>14.74</v>
      </c>
      <c r="AE61" s="32">
        <f t="shared" si="19"/>
        <v>12.9</v>
      </c>
      <c r="AF61" s="29">
        <v>73.400000000000006</v>
      </c>
      <c r="AG61" s="30">
        <f t="shared" si="3"/>
        <v>21.75</v>
      </c>
      <c r="AH61" s="31">
        <f t="shared" si="4"/>
        <v>61.49674620390455</v>
      </c>
    </row>
    <row r="62" spans="1:34" s="2" customFormat="1" ht="15.6" x14ac:dyDescent="0.3">
      <c r="A62" s="6" t="s">
        <v>46</v>
      </c>
      <c r="B62" s="2">
        <v>6</v>
      </c>
      <c r="C62" s="3">
        <v>1</v>
      </c>
      <c r="D62" s="5" t="s">
        <v>404</v>
      </c>
      <c r="E62" s="32">
        <f>INDEX(rawValue,MATCH(INDEX(teamID,MATCH(INDEX(ovrTeamCol,ROW(),1),teamINI,0))+INDEX(statID,MATCH(INDEX(ovrHeaderRow,1,COLUMN()),statAbbr,0),1),rawLookup,0))</f>
        <v>32.200000000000003</v>
      </c>
      <c r="F62" s="32">
        <f t="shared" ref="E62:N69" si="20">INDEX(rawValue,MATCH(INDEX(teamID,MATCH(INDEX(ovrTeamCol,ROW(),1),teamINI,0))+INDEX(statID,MATCH(INDEX(ovrHeaderRow,1,COLUMN()),statAbbr,0),1),rawLookup,0))</f>
        <v>8.5</v>
      </c>
      <c r="G62" s="32">
        <f t="shared" si="20"/>
        <v>35.9</v>
      </c>
      <c r="H62" s="32">
        <f t="shared" si="20"/>
        <v>23.6</v>
      </c>
      <c r="I62" s="32">
        <f t="shared" si="20"/>
        <v>1.33</v>
      </c>
      <c r="J62" s="32">
        <f t="shared" si="20"/>
        <v>14.7</v>
      </c>
      <c r="K62" s="32">
        <f t="shared" si="20"/>
        <v>17.260000000000002</v>
      </c>
      <c r="L62" s="32">
        <f t="shared" si="20"/>
        <v>2.5</v>
      </c>
      <c r="M62" s="32">
        <f t="shared" si="20"/>
        <v>43</v>
      </c>
      <c r="N62" s="32">
        <f t="shared" si="20"/>
        <v>25</v>
      </c>
      <c r="O62" s="32">
        <f t="shared" ref="O62:X69" si="21">INDEX(rawValue,MATCH(INDEX(teamID,MATCH(INDEX(ovrTeamCol,ROW(),1),teamINI,0))+INDEX(statID,MATCH(INDEX(ovrHeaderRow,1,COLUMN()),statAbbr,0),1),rawLookup,0))</f>
        <v>0.52600000000000002</v>
      </c>
      <c r="P62" s="32">
        <f t="shared" si="21"/>
        <v>7.82</v>
      </c>
      <c r="Q62" s="32">
        <f t="shared" si="21"/>
        <v>45.1</v>
      </c>
      <c r="R62" s="32">
        <f t="shared" si="21"/>
        <v>14.9</v>
      </c>
      <c r="S62" s="32">
        <f t="shared" si="21"/>
        <v>78</v>
      </c>
      <c r="T62" s="32">
        <f t="shared" si="21"/>
        <v>19.5</v>
      </c>
      <c r="U62" s="32">
        <f t="shared" si="21"/>
        <v>15.2</v>
      </c>
      <c r="V62" s="32">
        <f t="shared" si="21"/>
        <v>69.599999999999994</v>
      </c>
      <c r="W62" s="32">
        <f t="shared" si="21"/>
        <v>9.94</v>
      </c>
      <c r="X62" s="32">
        <f t="shared" si="21"/>
        <v>75.3</v>
      </c>
      <c r="Y62" s="32">
        <f t="shared" ref="Y62:AE69" si="22">INDEX(rawValue,MATCH(INDEX(teamID,MATCH(INDEX(ovrTeamCol,ROW(),1),teamINI,0))+INDEX(statID,MATCH(INDEX(ovrHeaderRow,1,COLUMN()),statAbbr,0),1),rawLookup,0))</f>
        <v>1.2</v>
      </c>
      <c r="Z62" s="32">
        <f t="shared" si="22"/>
        <v>34.94</v>
      </c>
      <c r="AA62" s="32">
        <f t="shared" si="22"/>
        <v>5.7</v>
      </c>
      <c r="AB62" s="32">
        <f t="shared" si="22"/>
        <v>6</v>
      </c>
      <c r="AC62" s="32">
        <f t="shared" si="22"/>
        <v>0.3</v>
      </c>
      <c r="AD62" s="32">
        <f t="shared" si="22"/>
        <v>11.44</v>
      </c>
      <c r="AE62" s="32">
        <f t="shared" si="22"/>
        <v>11.1</v>
      </c>
      <c r="AF62" s="29">
        <v>68.8</v>
      </c>
      <c r="AG62" s="30">
        <f t="shared" si="3"/>
        <v>17.299999999999997</v>
      </c>
      <c r="AH62" s="31">
        <f t="shared" si="4"/>
        <v>57.206208425720611</v>
      </c>
    </row>
    <row r="63" spans="1:34" s="2" customFormat="1" ht="15.6" x14ac:dyDescent="0.3">
      <c r="A63" s="6" t="s">
        <v>13</v>
      </c>
      <c r="B63" s="2">
        <v>12</v>
      </c>
      <c r="C63" s="3">
        <v>1</v>
      </c>
      <c r="D63" s="5" t="s">
        <v>404</v>
      </c>
      <c r="E63" s="32">
        <f t="shared" si="20"/>
        <v>34.4</v>
      </c>
      <c r="F63" s="32">
        <f t="shared" si="20"/>
        <v>6.1</v>
      </c>
      <c r="G63" s="32">
        <f t="shared" si="20"/>
        <v>32.700000000000003</v>
      </c>
      <c r="H63" s="32">
        <f t="shared" si="20"/>
        <v>18.8</v>
      </c>
      <c r="I63" s="32">
        <f t="shared" si="20"/>
        <v>1.17</v>
      </c>
      <c r="J63" s="32">
        <f t="shared" si="20"/>
        <v>13.5</v>
      </c>
      <c r="K63" s="32">
        <f t="shared" si="20"/>
        <v>22.46</v>
      </c>
      <c r="L63" s="32">
        <f t="shared" si="20"/>
        <v>4.5</v>
      </c>
      <c r="M63" s="32">
        <f t="shared" si="20"/>
        <v>44.4</v>
      </c>
      <c r="N63" s="32">
        <f t="shared" si="20"/>
        <v>25.09</v>
      </c>
      <c r="O63" s="32">
        <f t="shared" si="21"/>
        <v>0.501</v>
      </c>
      <c r="P63" s="32">
        <f t="shared" si="21"/>
        <v>12.74</v>
      </c>
      <c r="Q63" s="32">
        <f t="shared" si="21"/>
        <v>44.9</v>
      </c>
      <c r="R63" s="32">
        <f t="shared" si="21"/>
        <v>15.9</v>
      </c>
      <c r="S63" s="32">
        <f t="shared" si="21"/>
        <v>74.599999999999994</v>
      </c>
      <c r="T63" s="32">
        <f t="shared" si="21"/>
        <v>23.8</v>
      </c>
      <c r="U63" s="32">
        <f t="shared" si="21"/>
        <v>17.8</v>
      </c>
      <c r="V63" s="32">
        <f t="shared" si="21"/>
        <v>75.099999999999994</v>
      </c>
      <c r="W63" s="32">
        <f t="shared" si="21"/>
        <v>12.89</v>
      </c>
      <c r="X63" s="32">
        <f t="shared" si="21"/>
        <v>77.5</v>
      </c>
      <c r="Y63" s="32">
        <f t="shared" si="22"/>
        <v>3.3</v>
      </c>
      <c r="Z63" s="32">
        <f t="shared" si="22"/>
        <v>37.97</v>
      </c>
      <c r="AA63" s="32">
        <f t="shared" si="22"/>
        <v>2.4</v>
      </c>
      <c r="AB63" s="32">
        <f t="shared" si="22"/>
        <v>6.7</v>
      </c>
      <c r="AC63" s="32">
        <f t="shared" si="22"/>
        <v>-0.1</v>
      </c>
      <c r="AD63" s="32">
        <f t="shared" si="22"/>
        <v>11.51</v>
      </c>
      <c r="AE63" s="32">
        <f t="shared" si="22"/>
        <v>11.6</v>
      </c>
      <c r="AF63" s="29">
        <v>71.7</v>
      </c>
      <c r="AG63" s="30">
        <f t="shared" si="3"/>
        <v>20.700000000000003</v>
      </c>
      <c r="AH63" s="31">
        <f t="shared" si="4"/>
        <v>59.688195991091327</v>
      </c>
    </row>
    <row r="64" spans="1:34" s="2" customFormat="1" ht="15.6" x14ac:dyDescent="0.3">
      <c r="A64" s="6" t="s">
        <v>49</v>
      </c>
      <c r="B64" s="2">
        <v>3</v>
      </c>
      <c r="C64" s="3">
        <v>1</v>
      </c>
      <c r="D64" s="5" t="s">
        <v>404</v>
      </c>
      <c r="E64" s="32">
        <f t="shared" si="20"/>
        <v>33.200000000000003</v>
      </c>
      <c r="F64" s="32">
        <f t="shared" si="20"/>
        <v>9.9</v>
      </c>
      <c r="G64" s="32">
        <f t="shared" si="20"/>
        <v>40.9</v>
      </c>
      <c r="H64" s="32">
        <f t="shared" si="20"/>
        <v>24.2</v>
      </c>
      <c r="I64" s="32">
        <f t="shared" si="20"/>
        <v>1.64</v>
      </c>
      <c r="J64" s="32">
        <f t="shared" si="20"/>
        <v>17.5</v>
      </c>
      <c r="K64" s="32">
        <f t="shared" si="20"/>
        <v>32.61</v>
      </c>
      <c r="L64" s="32">
        <f t="shared" si="20"/>
        <v>6.3</v>
      </c>
      <c r="M64" s="32">
        <f t="shared" si="20"/>
        <v>42.9</v>
      </c>
      <c r="N64" s="32">
        <f t="shared" si="20"/>
        <v>27.55</v>
      </c>
      <c r="O64" s="32">
        <f t="shared" si="21"/>
        <v>0.57199999999999995</v>
      </c>
      <c r="P64" s="32">
        <f t="shared" si="21"/>
        <v>15.42</v>
      </c>
      <c r="Q64" s="32">
        <f t="shared" si="21"/>
        <v>49.5</v>
      </c>
      <c r="R64" s="32">
        <f t="shared" si="21"/>
        <v>17.5</v>
      </c>
      <c r="S64" s="32">
        <f t="shared" si="21"/>
        <v>77.2</v>
      </c>
      <c r="T64" s="32">
        <f t="shared" si="21"/>
        <v>19.7</v>
      </c>
      <c r="U64" s="32">
        <f t="shared" si="21"/>
        <v>15.2</v>
      </c>
      <c r="V64" s="32">
        <f t="shared" si="21"/>
        <v>79.7</v>
      </c>
      <c r="W64" s="32">
        <f t="shared" si="21"/>
        <v>10.06</v>
      </c>
      <c r="X64" s="32">
        <f t="shared" si="21"/>
        <v>89</v>
      </c>
      <c r="Y64" s="32">
        <f t="shared" si="22"/>
        <v>0.8</v>
      </c>
      <c r="Z64" s="32">
        <f t="shared" si="22"/>
        <v>37.61</v>
      </c>
      <c r="AA64" s="32">
        <f t="shared" si="22"/>
        <v>9.3000000000000007</v>
      </c>
      <c r="AB64" s="32">
        <f t="shared" si="22"/>
        <v>7.5</v>
      </c>
      <c r="AC64" s="32">
        <f t="shared" si="22"/>
        <v>1.2</v>
      </c>
      <c r="AD64" s="32">
        <f t="shared" si="22"/>
        <v>11.85</v>
      </c>
      <c r="AE64" s="32">
        <f t="shared" si="22"/>
        <v>10.7</v>
      </c>
      <c r="AF64" s="29">
        <v>76.7</v>
      </c>
      <c r="AG64" s="30">
        <f t="shared" si="3"/>
        <v>22.049999999999997</v>
      </c>
      <c r="AH64" s="31">
        <f t="shared" si="4"/>
        <v>64.545454545454533</v>
      </c>
    </row>
    <row r="65" spans="1:34" s="2" customFormat="1" ht="15.6" x14ac:dyDescent="0.3">
      <c r="A65" s="6" t="s">
        <v>27</v>
      </c>
      <c r="B65" s="2">
        <v>11</v>
      </c>
      <c r="C65" s="3">
        <v>1</v>
      </c>
      <c r="D65" s="5" t="s">
        <v>404</v>
      </c>
      <c r="E65" s="32">
        <f t="shared" si="20"/>
        <v>30.4</v>
      </c>
      <c r="F65" s="32">
        <f t="shared" si="20"/>
        <v>6.5</v>
      </c>
      <c r="G65" s="32">
        <f t="shared" si="20"/>
        <v>32.799999999999997</v>
      </c>
      <c r="H65" s="32">
        <f t="shared" si="20"/>
        <v>19.8</v>
      </c>
      <c r="I65" s="32">
        <f t="shared" si="20"/>
        <v>1.45</v>
      </c>
      <c r="J65" s="32">
        <f t="shared" si="20"/>
        <v>14.6</v>
      </c>
      <c r="K65" s="32">
        <f t="shared" si="20"/>
        <v>18.36</v>
      </c>
      <c r="L65" s="32">
        <f t="shared" si="20"/>
        <v>4.9000000000000004</v>
      </c>
      <c r="M65" s="32">
        <f t="shared" si="20"/>
        <v>42.2</v>
      </c>
      <c r="N65" s="32">
        <f t="shared" si="20"/>
        <v>26.86</v>
      </c>
      <c r="O65" s="32">
        <f t="shared" si="21"/>
        <v>0.505</v>
      </c>
      <c r="P65" s="32">
        <f t="shared" si="21"/>
        <v>14.64</v>
      </c>
      <c r="Q65" s="32">
        <f t="shared" si="21"/>
        <v>45.5</v>
      </c>
      <c r="R65" s="32">
        <f t="shared" si="21"/>
        <v>17.600000000000001</v>
      </c>
      <c r="S65" s="32">
        <f t="shared" si="21"/>
        <v>70.7</v>
      </c>
      <c r="T65" s="32">
        <f t="shared" si="21"/>
        <v>21.6</v>
      </c>
      <c r="U65" s="32">
        <f t="shared" si="21"/>
        <v>15.3</v>
      </c>
      <c r="V65" s="32">
        <f t="shared" si="21"/>
        <v>70.7</v>
      </c>
      <c r="W65" s="32">
        <f t="shared" si="21"/>
        <v>12.83</v>
      </c>
      <c r="X65" s="32">
        <f t="shared" si="21"/>
        <v>81</v>
      </c>
      <c r="Y65" s="32">
        <f t="shared" si="22"/>
        <v>4.3</v>
      </c>
      <c r="Z65" s="32">
        <f t="shared" si="22"/>
        <v>39.69</v>
      </c>
      <c r="AA65" s="32">
        <f t="shared" si="22"/>
        <v>10.3</v>
      </c>
      <c r="AB65" s="32">
        <f t="shared" si="22"/>
        <v>8.6999999999999993</v>
      </c>
      <c r="AC65" s="32">
        <f t="shared" si="22"/>
        <v>4</v>
      </c>
      <c r="AD65" s="32">
        <f t="shared" si="22"/>
        <v>14</v>
      </c>
      <c r="AE65" s="32">
        <f t="shared" si="22"/>
        <v>10</v>
      </c>
      <c r="AF65" s="29">
        <v>74.2</v>
      </c>
      <c r="AG65" s="30">
        <f t="shared" si="3"/>
        <v>23.1</v>
      </c>
      <c r="AH65" s="31">
        <f t="shared" si="4"/>
        <v>65.054945054945051</v>
      </c>
    </row>
    <row r="66" spans="1:34" s="2" customFormat="1" ht="15.6" x14ac:dyDescent="0.3">
      <c r="A66" s="6" t="s">
        <v>63</v>
      </c>
      <c r="B66" s="2">
        <v>10</v>
      </c>
      <c r="C66" s="3">
        <v>1</v>
      </c>
      <c r="D66" s="5" t="s">
        <v>404</v>
      </c>
      <c r="E66" s="32">
        <f t="shared" si="20"/>
        <v>30.5</v>
      </c>
      <c r="F66" s="32">
        <f t="shared" si="20"/>
        <v>6.5</v>
      </c>
      <c r="G66" s="32">
        <f t="shared" si="20"/>
        <v>35.799999999999997</v>
      </c>
      <c r="H66" s="32">
        <f t="shared" si="20"/>
        <v>18.100000000000001</v>
      </c>
      <c r="I66" s="32">
        <f t="shared" si="20"/>
        <v>1.86</v>
      </c>
      <c r="J66" s="32">
        <f t="shared" si="20"/>
        <v>15</v>
      </c>
      <c r="K66" s="32">
        <f t="shared" si="20"/>
        <v>17.12</v>
      </c>
      <c r="L66" s="32">
        <f t="shared" si="20"/>
        <v>5</v>
      </c>
      <c r="M66" s="32">
        <f t="shared" si="20"/>
        <v>40.6</v>
      </c>
      <c r="N66" s="32">
        <f t="shared" si="20"/>
        <v>23.79</v>
      </c>
      <c r="O66" s="32">
        <f t="shared" si="21"/>
        <v>0.48599999999999999</v>
      </c>
      <c r="P66" s="32">
        <f t="shared" si="21"/>
        <v>5.29</v>
      </c>
      <c r="Q66" s="32">
        <f t="shared" si="21"/>
        <v>42.8</v>
      </c>
      <c r="R66" s="32">
        <f t="shared" si="21"/>
        <v>13.5</v>
      </c>
      <c r="S66" s="32">
        <f t="shared" si="21"/>
        <v>63.7</v>
      </c>
      <c r="T66" s="32">
        <f t="shared" si="21"/>
        <v>14</v>
      </c>
      <c r="U66" s="32">
        <f t="shared" si="21"/>
        <v>8.9</v>
      </c>
      <c r="V66" s="32">
        <f t="shared" si="21"/>
        <v>59.7</v>
      </c>
      <c r="W66" s="32">
        <f t="shared" si="21"/>
        <v>8.76</v>
      </c>
      <c r="X66" s="32">
        <f t="shared" si="21"/>
        <v>62.9</v>
      </c>
      <c r="Y66" s="32">
        <f t="shared" si="22"/>
        <v>-2.2000000000000002</v>
      </c>
      <c r="Z66" s="32">
        <f t="shared" si="22"/>
        <v>32.56</v>
      </c>
      <c r="AA66" s="32">
        <f t="shared" si="22"/>
        <v>3.2</v>
      </c>
      <c r="AB66" s="32">
        <f t="shared" si="22"/>
        <v>7</v>
      </c>
      <c r="AC66" s="32">
        <f t="shared" si="22"/>
        <v>3.9</v>
      </c>
      <c r="AD66" s="32">
        <f t="shared" si="22"/>
        <v>12</v>
      </c>
      <c r="AE66" s="32">
        <f t="shared" si="22"/>
        <v>8.1</v>
      </c>
      <c r="AF66" s="29">
        <v>63.3</v>
      </c>
      <c r="AG66" s="30">
        <f t="shared" si="3"/>
        <v>17.25</v>
      </c>
      <c r="AH66" s="31">
        <f t="shared" si="4"/>
        <v>55.490654205607477</v>
      </c>
    </row>
    <row r="67" spans="1:34" s="2" customFormat="1" ht="15.6" x14ac:dyDescent="0.3">
      <c r="A67" s="6" t="s">
        <v>38</v>
      </c>
      <c r="B67" s="2">
        <v>13</v>
      </c>
      <c r="C67" s="3">
        <v>1</v>
      </c>
      <c r="D67" s="5" t="s">
        <v>404</v>
      </c>
      <c r="E67" s="32">
        <f t="shared" si="20"/>
        <v>31.4</v>
      </c>
      <c r="F67" s="32">
        <f t="shared" si="20"/>
        <v>8.6</v>
      </c>
      <c r="G67" s="32">
        <f t="shared" si="20"/>
        <v>34.200000000000003</v>
      </c>
      <c r="H67" s="32">
        <f t="shared" si="20"/>
        <v>25.1</v>
      </c>
      <c r="I67" s="32">
        <f t="shared" si="20"/>
        <v>1.48</v>
      </c>
      <c r="J67" s="32">
        <f t="shared" si="20"/>
        <v>13.7</v>
      </c>
      <c r="K67" s="32">
        <f t="shared" si="20"/>
        <v>22.71</v>
      </c>
      <c r="L67" s="32">
        <f t="shared" si="20"/>
        <v>3.9</v>
      </c>
      <c r="M67" s="32">
        <f t="shared" si="20"/>
        <v>40.6</v>
      </c>
      <c r="N67" s="32">
        <f t="shared" si="20"/>
        <v>26.97</v>
      </c>
      <c r="O67" s="32">
        <f t="shared" si="21"/>
        <v>0.53</v>
      </c>
      <c r="P67" s="32">
        <f t="shared" si="21"/>
        <v>5.89</v>
      </c>
      <c r="Q67" s="32">
        <f t="shared" si="21"/>
        <v>45.5</v>
      </c>
      <c r="R67" s="32">
        <f t="shared" si="21"/>
        <v>13.9</v>
      </c>
      <c r="S67" s="32">
        <f t="shared" si="21"/>
        <v>71.599999999999994</v>
      </c>
      <c r="T67" s="32">
        <f t="shared" si="21"/>
        <v>16.2</v>
      </c>
      <c r="U67" s="32">
        <f t="shared" si="21"/>
        <v>11.6</v>
      </c>
      <c r="V67" s="32">
        <f t="shared" si="21"/>
        <v>63</v>
      </c>
      <c r="W67" s="32">
        <f t="shared" si="21"/>
        <v>7.66</v>
      </c>
      <c r="X67" s="32">
        <f t="shared" si="21"/>
        <v>71.599999999999994</v>
      </c>
      <c r="Y67" s="32">
        <f t="shared" si="22"/>
        <v>0.8</v>
      </c>
      <c r="Z67" s="32">
        <f t="shared" si="22"/>
        <v>34.630000000000003</v>
      </c>
      <c r="AA67" s="32">
        <f t="shared" si="22"/>
        <v>8.6</v>
      </c>
      <c r="AB67" s="32">
        <f t="shared" si="22"/>
        <v>5.9</v>
      </c>
      <c r="AC67" s="32">
        <f t="shared" si="22"/>
        <v>0.8</v>
      </c>
      <c r="AD67" s="32">
        <f t="shared" si="22"/>
        <v>10.029999999999999</v>
      </c>
      <c r="AE67" s="32">
        <f t="shared" si="22"/>
        <v>9.1999999999999993</v>
      </c>
      <c r="AF67" s="29">
        <v>66.7</v>
      </c>
      <c r="AG67" s="30">
        <f t="shared" ref="AG67:AG69" si="23">(X67-U67-F67*3)/2</f>
        <v>17.099999999999998</v>
      </c>
      <c r="AH67" s="31">
        <f t="shared" ref="AH67:AH69" si="24">(AG67+F67)*100/Q67</f>
        <v>56.483516483516475</v>
      </c>
    </row>
    <row r="68" spans="1:34" s="2" customFormat="1" ht="15.6" x14ac:dyDescent="0.3">
      <c r="A68" s="6" t="s">
        <v>47</v>
      </c>
      <c r="B68" s="2">
        <v>5</v>
      </c>
      <c r="C68" s="3">
        <v>1</v>
      </c>
      <c r="D68" s="5" t="s">
        <v>404</v>
      </c>
      <c r="E68" s="32">
        <f t="shared" si="20"/>
        <v>36.9</v>
      </c>
      <c r="F68" s="32">
        <f t="shared" si="20"/>
        <v>7.1</v>
      </c>
      <c r="G68" s="32">
        <f t="shared" si="20"/>
        <v>34.9</v>
      </c>
      <c r="H68" s="32">
        <f t="shared" si="20"/>
        <v>20.399999999999999</v>
      </c>
      <c r="I68" s="32">
        <f t="shared" si="20"/>
        <v>1.28</v>
      </c>
      <c r="J68" s="32">
        <f t="shared" si="20"/>
        <v>12.7</v>
      </c>
      <c r="K68" s="32">
        <f t="shared" si="20"/>
        <v>17.079999999999998</v>
      </c>
      <c r="L68" s="32">
        <f t="shared" si="20"/>
        <v>1.6</v>
      </c>
      <c r="M68" s="32">
        <f t="shared" si="20"/>
        <v>45.7</v>
      </c>
      <c r="N68" s="32">
        <f t="shared" si="20"/>
        <v>23.94</v>
      </c>
      <c r="O68" s="32">
        <f t="shared" si="21"/>
        <v>0.52200000000000002</v>
      </c>
      <c r="P68" s="32">
        <f t="shared" si="21"/>
        <v>5.64</v>
      </c>
      <c r="Q68" s="32">
        <f t="shared" si="21"/>
        <v>46.1</v>
      </c>
      <c r="R68" s="32">
        <f t="shared" si="21"/>
        <v>16.5</v>
      </c>
      <c r="S68" s="32">
        <f t="shared" si="21"/>
        <v>75.5</v>
      </c>
      <c r="T68" s="32">
        <f t="shared" si="21"/>
        <v>19.399999999999999</v>
      </c>
      <c r="U68" s="32">
        <f t="shared" si="21"/>
        <v>14.7</v>
      </c>
      <c r="V68" s="32">
        <f t="shared" si="21"/>
        <v>70</v>
      </c>
      <c r="W68" s="32">
        <f t="shared" si="21"/>
        <v>10.06</v>
      </c>
      <c r="X68" s="32">
        <f t="shared" si="21"/>
        <v>74.7</v>
      </c>
      <c r="Y68" s="32">
        <f t="shared" si="22"/>
        <v>3.1</v>
      </c>
      <c r="Z68" s="32">
        <f t="shared" si="22"/>
        <v>34</v>
      </c>
      <c r="AA68" s="32">
        <f t="shared" si="22"/>
        <v>4.7</v>
      </c>
      <c r="AB68" s="32">
        <f t="shared" si="22"/>
        <v>6.2</v>
      </c>
      <c r="AC68" s="32">
        <f t="shared" si="22"/>
        <v>1.3</v>
      </c>
      <c r="AD68" s="32">
        <f t="shared" si="22"/>
        <v>11.28</v>
      </c>
      <c r="AE68" s="32">
        <f t="shared" si="22"/>
        <v>9.9</v>
      </c>
      <c r="AF68" s="29">
        <v>68</v>
      </c>
      <c r="AG68" s="30">
        <f t="shared" si="23"/>
        <v>19.350000000000001</v>
      </c>
      <c r="AH68" s="31">
        <f t="shared" si="24"/>
        <v>57.375271149674631</v>
      </c>
    </row>
    <row r="69" spans="1:34" s="2" customFormat="1" ht="15.6" x14ac:dyDescent="0.3">
      <c r="A69" s="6" t="s">
        <v>36</v>
      </c>
      <c r="B69" s="2">
        <v>15</v>
      </c>
      <c r="C69" s="3">
        <v>1</v>
      </c>
      <c r="D69" s="5" t="s">
        <v>404</v>
      </c>
      <c r="E69" s="32">
        <f t="shared" si="20"/>
        <v>31.8</v>
      </c>
      <c r="F69" s="32">
        <f t="shared" si="20"/>
        <v>6.9</v>
      </c>
      <c r="G69" s="32">
        <f t="shared" si="20"/>
        <v>34</v>
      </c>
      <c r="H69" s="32">
        <f t="shared" si="20"/>
        <v>20.2</v>
      </c>
      <c r="I69" s="32">
        <f t="shared" si="20"/>
        <v>0.97</v>
      </c>
      <c r="J69" s="32">
        <f t="shared" si="20"/>
        <v>13.4</v>
      </c>
      <c r="K69" s="32">
        <f t="shared" si="20"/>
        <v>28.79</v>
      </c>
      <c r="L69" s="32">
        <f t="shared" si="20"/>
        <v>3.2</v>
      </c>
      <c r="M69" s="32">
        <f t="shared" si="20"/>
        <v>41.5</v>
      </c>
      <c r="N69" s="32">
        <f t="shared" si="20"/>
        <v>29.32</v>
      </c>
      <c r="O69" s="32">
        <f t="shared" si="21"/>
        <v>0.52</v>
      </c>
      <c r="P69" s="32">
        <f t="shared" si="21"/>
        <v>13.41</v>
      </c>
      <c r="Q69" s="32">
        <f t="shared" si="21"/>
        <v>46.6</v>
      </c>
      <c r="R69" s="32">
        <f t="shared" si="21"/>
        <v>18.399999999999999</v>
      </c>
      <c r="S69" s="32">
        <f t="shared" si="21"/>
        <v>72</v>
      </c>
      <c r="T69" s="32">
        <f t="shared" si="21"/>
        <v>20.6</v>
      </c>
      <c r="U69" s="32">
        <f t="shared" si="21"/>
        <v>14.8</v>
      </c>
      <c r="V69" s="32">
        <f t="shared" si="21"/>
        <v>74.400000000000006</v>
      </c>
      <c r="W69" s="32">
        <f t="shared" si="21"/>
        <v>10.62</v>
      </c>
      <c r="X69" s="32">
        <f t="shared" si="21"/>
        <v>80.2</v>
      </c>
      <c r="Y69" s="32">
        <f t="shared" si="22"/>
        <v>3.4</v>
      </c>
      <c r="Z69" s="32">
        <f t="shared" si="22"/>
        <v>39.94</v>
      </c>
      <c r="AA69" s="32">
        <f t="shared" si="22"/>
        <v>5.8</v>
      </c>
      <c r="AB69" s="32">
        <f t="shared" si="22"/>
        <v>7.6</v>
      </c>
      <c r="AC69" s="32">
        <f t="shared" si="22"/>
        <v>0.3</v>
      </c>
      <c r="AD69" s="32">
        <f t="shared" si="22"/>
        <v>14.12</v>
      </c>
      <c r="AE69" s="32">
        <f t="shared" si="22"/>
        <v>13.8</v>
      </c>
      <c r="AF69" s="29">
        <v>77.2</v>
      </c>
      <c r="AG69" s="30">
        <f t="shared" si="23"/>
        <v>22.35</v>
      </c>
      <c r="AH69" s="31">
        <f t="shared" si="24"/>
        <v>62.768240343347635</v>
      </c>
    </row>
  </sheetData>
  <sortState xmlns:xlrd2="http://schemas.microsoft.com/office/spreadsheetml/2017/richdata2" ref="A2:AF69">
    <sortCondition descending="1" ref="C8:C69"/>
  </sortState>
  <conditionalFormatting sqref="C2:C69">
    <cfRule type="colorScale" priority="4">
      <colorScale>
        <cfvo type="min"/>
        <cfvo type="max"/>
        <color rgb="FFFCFCFF"/>
        <color rgb="FF63BE7B"/>
      </colorScale>
    </cfRule>
  </conditionalFormatting>
  <conditionalFormatting sqref="C1:D1">
    <cfRule type="colorScale" priority="64">
      <colorScale>
        <cfvo type="min"/>
        <cfvo type="max"/>
        <color rgb="FFFCFCFF"/>
        <color rgb="FF63BE7B"/>
      </colorScale>
    </cfRule>
  </conditionalFormatting>
  <conditionalFormatting sqref="D1:D69">
    <cfRule type="cellIs" dxfId="9" priority="1" operator="equal">
      <formula>"SEASON"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1ABB-382D-4344-BB32-D7065F5305A7}">
  <sheetPr>
    <tabColor theme="7" tint="0.79998168889431442"/>
  </sheetPr>
  <dimension ref="A1:J1907"/>
  <sheetViews>
    <sheetView topLeftCell="A411" workbookViewId="0">
      <selection activeCell="H435" sqref="H435"/>
    </sheetView>
  </sheetViews>
  <sheetFormatPr defaultRowHeight="14.4" x14ac:dyDescent="0.3"/>
  <sheetData>
    <row r="1" spans="1:10" x14ac:dyDescent="0.3">
      <c r="D1" s="1"/>
      <c r="E1" s="1"/>
      <c r="F1" s="1"/>
      <c r="G1" s="1"/>
      <c r="H1" s="1"/>
      <c r="I1" s="1"/>
      <c r="J1" s="1"/>
    </row>
    <row r="2" spans="1:10" x14ac:dyDescent="0.3">
      <c r="A2" t="e">
        <f t="shared" ref="A2:A65" si="0">IF(NOT(D2=""),INDEX(statAbbr,MATCH(D2,statOfficial,0),1),A1)</f>
        <v>#N/A</v>
      </c>
      <c r="B2" t="e">
        <f t="shared" ref="B2:B65" si="1">INDEX(statID,MATCH(A2,statAbbr,0),1)+INDEX(teamID,MATCH(E2,teamRawName,0))</f>
        <v>#N/A</v>
      </c>
      <c r="D2" s="1" t="s">
        <v>72</v>
      </c>
      <c r="E2" s="1" t="s">
        <v>0</v>
      </c>
      <c r="F2" s="1" t="s">
        <v>73</v>
      </c>
      <c r="G2" s="1" t="s">
        <v>75</v>
      </c>
      <c r="H2" s="1" t="s">
        <v>76</v>
      </c>
      <c r="I2" s="1" t="s">
        <v>77</v>
      </c>
      <c r="J2" s="1" t="s">
        <v>76</v>
      </c>
    </row>
    <row r="3" spans="1:10" x14ac:dyDescent="0.3">
      <c r="A3" t="e">
        <f t="shared" si="0"/>
        <v>#N/A</v>
      </c>
      <c r="B3" t="e">
        <f t="shared" si="1"/>
        <v>#N/A</v>
      </c>
      <c r="D3" s="1"/>
      <c r="E3" s="1"/>
      <c r="F3" s="1" t="s">
        <v>74</v>
      </c>
      <c r="G3" s="1" t="s">
        <v>74</v>
      </c>
      <c r="H3" s="1"/>
      <c r="I3" s="1"/>
      <c r="J3" s="1"/>
    </row>
    <row r="4" spans="1:10" x14ac:dyDescent="0.3">
      <c r="A4" t="str">
        <f t="shared" si="0"/>
        <v>A:T</v>
      </c>
      <c r="B4">
        <f t="shared" si="1"/>
        <v>2305</v>
      </c>
      <c r="D4" s="1" t="s">
        <v>78</v>
      </c>
      <c r="E4" s="1" t="s">
        <v>79</v>
      </c>
      <c r="F4" s="1">
        <v>1</v>
      </c>
      <c r="G4" s="1">
        <v>1</v>
      </c>
      <c r="H4" s="1">
        <v>1.95</v>
      </c>
      <c r="I4" s="1" t="s">
        <v>79</v>
      </c>
      <c r="J4" s="1">
        <v>1.95</v>
      </c>
    </row>
    <row r="5" spans="1:10" x14ac:dyDescent="0.3">
      <c r="A5" t="str">
        <f t="shared" si="0"/>
        <v>A:T</v>
      </c>
      <c r="B5">
        <f t="shared" si="1"/>
        <v>2605</v>
      </c>
      <c r="D5" s="1"/>
      <c r="E5" s="1" t="s">
        <v>80</v>
      </c>
      <c r="F5" s="1">
        <v>2</v>
      </c>
      <c r="G5" s="1">
        <v>1</v>
      </c>
      <c r="H5" s="1">
        <v>1.86</v>
      </c>
      <c r="I5" s="1"/>
      <c r="J5" s="1"/>
    </row>
    <row r="6" spans="1:10" x14ac:dyDescent="0.3">
      <c r="A6" t="str">
        <f t="shared" si="0"/>
        <v>A:T</v>
      </c>
      <c r="B6">
        <f t="shared" si="1"/>
        <v>6205</v>
      </c>
      <c r="D6" s="1"/>
      <c r="E6" s="1" t="s">
        <v>81</v>
      </c>
      <c r="F6" s="1">
        <v>5</v>
      </c>
      <c r="G6" s="1">
        <v>2</v>
      </c>
      <c r="H6" s="1">
        <v>1.77</v>
      </c>
      <c r="I6" s="1"/>
      <c r="J6" s="1"/>
    </row>
    <row r="7" spans="1:10" x14ac:dyDescent="0.3">
      <c r="A7" t="str">
        <f t="shared" si="0"/>
        <v>A:T</v>
      </c>
      <c r="B7">
        <f t="shared" si="1"/>
        <v>2705</v>
      </c>
      <c r="D7" s="1"/>
      <c r="E7" s="1" t="s">
        <v>7</v>
      </c>
      <c r="F7" s="1">
        <v>6</v>
      </c>
      <c r="G7" s="1">
        <v>1</v>
      </c>
      <c r="H7" s="1">
        <v>1.73</v>
      </c>
      <c r="I7" s="1"/>
      <c r="J7" s="1"/>
    </row>
    <row r="8" spans="1:10" x14ac:dyDescent="0.3">
      <c r="A8" t="str">
        <f t="shared" si="0"/>
        <v>A:T</v>
      </c>
      <c r="B8">
        <f t="shared" si="1"/>
        <v>1305</v>
      </c>
      <c r="D8" s="1"/>
      <c r="E8" s="1" t="s">
        <v>82</v>
      </c>
      <c r="F8" s="1">
        <v>7</v>
      </c>
      <c r="G8" s="1">
        <v>1</v>
      </c>
      <c r="H8" s="1">
        <v>1.72</v>
      </c>
      <c r="I8" s="1"/>
      <c r="J8" s="1"/>
    </row>
    <row r="9" spans="1:10" x14ac:dyDescent="0.3">
      <c r="A9" t="str">
        <f t="shared" si="0"/>
        <v>A:T</v>
      </c>
      <c r="B9">
        <f t="shared" si="1"/>
        <v>4405</v>
      </c>
      <c r="D9" s="1"/>
      <c r="E9" s="1" t="s">
        <v>83</v>
      </c>
      <c r="F9" s="1">
        <v>8</v>
      </c>
      <c r="G9" s="1">
        <v>1</v>
      </c>
      <c r="H9" s="1">
        <v>1.71</v>
      </c>
      <c r="I9" s="1"/>
      <c r="J9" s="1"/>
    </row>
    <row r="10" spans="1:10" x14ac:dyDescent="0.3">
      <c r="A10" t="str">
        <f t="shared" si="0"/>
        <v>A:T</v>
      </c>
      <c r="B10">
        <f t="shared" si="1"/>
        <v>4505</v>
      </c>
      <c r="D10" s="1"/>
      <c r="E10" s="1" t="s">
        <v>84</v>
      </c>
      <c r="F10" s="1">
        <v>9</v>
      </c>
      <c r="G10" s="1">
        <v>1</v>
      </c>
      <c r="H10" s="1">
        <v>1.66</v>
      </c>
      <c r="I10" s="1"/>
      <c r="J10" s="1"/>
    </row>
    <row r="11" spans="1:10" x14ac:dyDescent="0.3">
      <c r="A11" t="str">
        <f t="shared" si="0"/>
        <v>A:T</v>
      </c>
      <c r="B11">
        <f t="shared" si="1"/>
        <v>9505</v>
      </c>
      <c r="D11" s="1"/>
      <c r="E11" s="1" t="s">
        <v>85</v>
      </c>
      <c r="F11" s="1">
        <v>10</v>
      </c>
      <c r="G11" s="1">
        <v>1</v>
      </c>
      <c r="H11" s="1">
        <v>1.66</v>
      </c>
      <c r="I11" s="1"/>
      <c r="J11" s="1"/>
    </row>
    <row r="12" spans="1:10" x14ac:dyDescent="0.3">
      <c r="A12" t="str">
        <f t="shared" si="0"/>
        <v>A:T</v>
      </c>
      <c r="B12">
        <f t="shared" si="1"/>
        <v>5505</v>
      </c>
      <c r="D12" s="1"/>
      <c r="E12" s="1" t="s">
        <v>86</v>
      </c>
      <c r="F12" s="1">
        <v>11</v>
      </c>
      <c r="G12" s="1">
        <v>2</v>
      </c>
      <c r="H12" s="1">
        <v>1.64</v>
      </c>
      <c r="I12" s="1"/>
      <c r="J12" s="1"/>
    </row>
    <row r="13" spans="1:10" x14ac:dyDescent="0.3">
      <c r="A13" t="str">
        <f t="shared" si="0"/>
        <v>A:T</v>
      </c>
      <c r="B13">
        <f t="shared" si="1"/>
        <v>3505</v>
      </c>
      <c r="D13" s="1"/>
      <c r="E13" s="1" t="s">
        <v>87</v>
      </c>
      <c r="F13" s="1">
        <v>12</v>
      </c>
      <c r="G13" s="1">
        <v>3</v>
      </c>
      <c r="H13" s="1">
        <v>1.63</v>
      </c>
      <c r="I13" s="1"/>
      <c r="J13" s="1"/>
    </row>
    <row r="14" spans="1:10" x14ac:dyDescent="0.3">
      <c r="A14" t="str">
        <f t="shared" si="0"/>
        <v>A:T</v>
      </c>
      <c r="B14">
        <f t="shared" si="1"/>
        <v>3905</v>
      </c>
      <c r="D14" s="1"/>
      <c r="E14" s="1" t="s">
        <v>88</v>
      </c>
      <c r="F14" s="1">
        <v>13</v>
      </c>
      <c r="G14" s="1">
        <v>2</v>
      </c>
      <c r="H14" s="1">
        <v>1.63</v>
      </c>
      <c r="I14" s="1"/>
      <c r="J14" s="1"/>
    </row>
    <row r="15" spans="1:10" x14ac:dyDescent="0.3">
      <c r="A15" t="str">
        <f t="shared" si="0"/>
        <v>A:T</v>
      </c>
      <c r="B15">
        <f t="shared" si="1"/>
        <v>3005</v>
      </c>
      <c r="D15" s="1"/>
      <c r="E15" s="1" t="s">
        <v>89</v>
      </c>
      <c r="F15" s="1">
        <v>14</v>
      </c>
      <c r="G15" s="1">
        <v>3</v>
      </c>
      <c r="H15" s="1">
        <v>1.63</v>
      </c>
      <c r="I15" s="1"/>
      <c r="J15" s="1"/>
    </row>
    <row r="16" spans="1:10" x14ac:dyDescent="0.3">
      <c r="A16" t="str">
        <f t="shared" si="0"/>
        <v>A:T</v>
      </c>
      <c r="B16">
        <f t="shared" si="1"/>
        <v>905</v>
      </c>
      <c r="D16" s="1"/>
      <c r="E16" s="1" t="s">
        <v>90</v>
      </c>
      <c r="F16" s="1">
        <v>15</v>
      </c>
      <c r="G16" s="1">
        <v>4</v>
      </c>
      <c r="H16" s="1">
        <v>1.59</v>
      </c>
      <c r="I16" s="1"/>
      <c r="J16" s="1"/>
    </row>
    <row r="17" spans="1:10" x14ac:dyDescent="0.3">
      <c r="A17" t="str">
        <f t="shared" si="0"/>
        <v>A:T</v>
      </c>
      <c r="B17">
        <f t="shared" si="1"/>
        <v>3305</v>
      </c>
      <c r="D17" s="1"/>
      <c r="E17" s="1" t="s">
        <v>91</v>
      </c>
      <c r="F17" s="1">
        <v>16</v>
      </c>
      <c r="G17" s="1">
        <v>2</v>
      </c>
      <c r="H17" s="1">
        <v>1.59</v>
      </c>
      <c r="I17" s="1"/>
      <c r="J17" s="1"/>
    </row>
    <row r="18" spans="1:10" x14ac:dyDescent="0.3">
      <c r="A18" t="str">
        <f t="shared" si="0"/>
        <v>A:T</v>
      </c>
      <c r="B18">
        <f t="shared" si="1"/>
        <v>2505</v>
      </c>
      <c r="D18" s="1"/>
      <c r="E18" s="1" t="s">
        <v>92</v>
      </c>
      <c r="F18" s="1">
        <v>17</v>
      </c>
      <c r="G18" s="1">
        <v>2</v>
      </c>
      <c r="H18" s="1">
        <v>1.59</v>
      </c>
      <c r="I18" s="1"/>
      <c r="J18" s="1"/>
    </row>
    <row r="19" spans="1:10" x14ac:dyDescent="0.3">
      <c r="A19" t="str">
        <f t="shared" si="0"/>
        <v>A:T</v>
      </c>
      <c r="B19">
        <f t="shared" si="1"/>
        <v>3105</v>
      </c>
      <c r="D19" s="1"/>
      <c r="E19" s="1" t="s">
        <v>93</v>
      </c>
      <c r="F19" s="1">
        <v>18</v>
      </c>
      <c r="G19" s="1">
        <v>3</v>
      </c>
      <c r="H19" s="1">
        <v>1.58</v>
      </c>
      <c r="I19" s="1"/>
      <c r="J19" s="1"/>
    </row>
    <row r="20" spans="1:10" x14ac:dyDescent="0.3">
      <c r="A20" t="str">
        <f t="shared" si="0"/>
        <v>A:T</v>
      </c>
      <c r="B20">
        <f t="shared" si="1"/>
        <v>5405</v>
      </c>
      <c r="D20" s="1"/>
      <c r="E20" s="1" t="s">
        <v>94</v>
      </c>
      <c r="F20" s="1">
        <v>19</v>
      </c>
      <c r="G20" s="1">
        <v>2</v>
      </c>
      <c r="H20" s="1">
        <v>1.58</v>
      </c>
      <c r="I20" s="1"/>
      <c r="J20" s="1"/>
    </row>
    <row r="21" spans="1:10" x14ac:dyDescent="0.3">
      <c r="A21" t="str">
        <f t="shared" si="0"/>
        <v>A:T</v>
      </c>
      <c r="B21">
        <f t="shared" si="1"/>
        <v>12505</v>
      </c>
      <c r="D21" s="1"/>
      <c r="E21" s="1" t="s">
        <v>95</v>
      </c>
      <c r="F21" s="1">
        <v>20</v>
      </c>
      <c r="G21" s="1">
        <v>2</v>
      </c>
      <c r="H21" s="1">
        <v>1.57</v>
      </c>
      <c r="I21" s="1"/>
      <c r="J21" s="1"/>
    </row>
    <row r="22" spans="1:10" x14ac:dyDescent="0.3">
      <c r="A22" t="str">
        <f t="shared" si="0"/>
        <v>A:T</v>
      </c>
      <c r="B22">
        <f t="shared" si="1"/>
        <v>2905</v>
      </c>
      <c r="D22" s="1"/>
      <c r="E22" s="1" t="s">
        <v>96</v>
      </c>
      <c r="F22" s="1">
        <v>21</v>
      </c>
      <c r="G22" s="1">
        <v>1</v>
      </c>
      <c r="H22" s="1">
        <v>1.55</v>
      </c>
      <c r="I22" s="1"/>
      <c r="J22" s="1"/>
    </row>
    <row r="23" spans="1:10" x14ac:dyDescent="0.3">
      <c r="A23" t="str">
        <f t="shared" si="0"/>
        <v>A:T</v>
      </c>
      <c r="B23">
        <f t="shared" si="1"/>
        <v>11505</v>
      </c>
      <c r="D23" s="1"/>
      <c r="E23" s="1" t="s">
        <v>97</v>
      </c>
      <c r="F23" s="1">
        <v>23</v>
      </c>
      <c r="G23" s="1">
        <v>1</v>
      </c>
      <c r="H23" s="1">
        <v>1.54</v>
      </c>
      <c r="I23" s="1"/>
      <c r="J23" s="1"/>
    </row>
    <row r="24" spans="1:10" x14ac:dyDescent="0.3">
      <c r="A24" t="str">
        <f t="shared" si="0"/>
        <v>A:T</v>
      </c>
      <c r="B24">
        <f t="shared" si="1"/>
        <v>205</v>
      </c>
      <c r="D24" s="1"/>
      <c r="E24" s="1" t="s">
        <v>98</v>
      </c>
      <c r="F24" s="1">
        <v>24</v>
      </c>
      <c r="G24" s="1">
        <v>1</v>
      </c>
      <c r="H24" s="1">
        <v>1.54</v>
      </c>
      <c r="I24" s="1"/>
      <c r="J24" s="1"/>
    </row>
    <row r="25" spans="1:10" x14ac:dyDescent="0.3">
      <c r="A25" t="str">
        <f t="shared" si="0"/>
        <v>A:T</v>
      </c>
      <c r="B25">
        <f t="shared" si="1"/>
        <v>9105</v>
      </c>
      <c r="D25" s="1"/>
      <c r="E25" s="1" t="s">
        <v>99</v>
      </c>
      <c r="F25" s="1">
        <v>28</v>
      </c>
      <c r="G25" s="1">
        <v>4</v>
      </c>
      <c r="H25" s="1">
        <v>1.52</v>
      </c>
      <c r="I25" s="1"/>
      <c r="J25" s="1"/>
    </row>
    <row r="26" spans="1:10" x14ac:dyDescent="0.3">
      <c r="A26" t="str">
        <f t="shared" si="0"/>
        <v>A:T</v>
      </c>
      <c r="B26">
        <f t="shared" si="1"/>
        <v>605</v>
      </c>
      <c r="D26" s="1"/>
      <c r="E26" s="1" t="s">
        <v>100</v>
      </c>
      <c r="F26" s="1">
        <v>31</v>
      </c>
      <c r="G26" s="1">
        <v>3</v>
      </c>
      <c r="H26" s="1">
        <v>1.5</v>
      </c>
      <c r="I26" s="1"/>
      <c r="J26" s="1"/>
    </row>
    <row r="27" spans="1:10" x14ac:dyDescent="0.3">
      <c r="A27" t="str">
        <f t="shared" si="0"/>
        <v>A:T</v>
      </c>
      <c r="B27">
        <f t="shared" si="1"/>
        <v>4605</v>
      </c>
      <c r="D27" s="1"/>
      <c r="E27" s="1" t="s">
        <v>101</v>
      </c>
      <c r="F27" s="1">
        <v>32</v>
      </c>
      <c r="G27" s="1">
        <v>2</v>
      </c>
      <c r="H27" s="1">
        <v>1.49</v>
      </c>
      <c r="I27" s="1"/>
      <c r="J27" s="1"/>
    </row>
    <row r="28" spans="1:10" x14ac:dyDescent="0.3">
      <c r="A28" t="str">
        <f t="shared" si="0"/>
        <v>A:T</v>
      </c>
      <c r="B28">
        <f t="shared" si="1"/>
        <v>1405</v>
      </c>
      <c r="D28" s="1"/>
      <c r="E28" s="1" t="s">
        <v>102</v>
      </c>
      <c r="F28" s="1">
        <v>34</v>
      </c>
      <c r="G28" s="1">
        <v>3</v>
      </c>
      <c r="H28" s="1">
        <v>1.49</v>
      </c>
      <c r="I28" s="1"/>
      <c r="J28" s="1"/>
    </row>
    <row r="29" spans="1:10" x14ac:dyDescent="0.3">
      <c r="A29" t="str">
        <f t="shared" si="0"/>
        <v>A:T</v>
      </c>
      <c r="B29">
        <f t="shared" si="1"/>
        <v>7905</v>
      </c>
      <c r="D29" s="1"/>
      <c r="E29" s="1" t="s">
        <v>103</v>
      </c>
      <c r="F29" s="1">
        <v>35</v>
      </c>
      <c r="G29" s="1">
        <v>1</v>
      </c>
      <c r="H29" s="1">
        <v>1.48</v>
      </c>
      <c r="I29" s="1"/>
      <c r="J29" s="1"/>
    </row>
    <row r="30" spans="1:10" x14ac:dyDescent="0.3">
      <c r="A30" t="str">
        <f t="shared" si="0"/>
        <v>A:T</v>
      </c>
      <c r="B30">
        <f t="shared" si="1"/>
        <v>4805</v>
      </c>
      <c r="D30" s="1"/>
      <c r="E30" s="1" t="s">
        <v>104</v>
      </c>
      <c r="F30" s="1">
        <v>37</v>
      </c>
      <c r="G30" s="1">
        <v>1</v>
      </c>
      <c r="H30" s="1">
        <v>1.47</v>
      </c>
      <c r="I30" s="1"/>
      <c r="J30" s="1"/>
    </row>
    <row r="31" spans="1:10" x14ac:dyDescent="0.3">
      <c r="A31" t="str">
        <f t="shared" si="0"/>
        <v>A:T</v>
      </c>
      <c r="B31">
        <f t="shared" si="1"/>
        <v>4005</v>
      </c>
      <c r="D31" s="1"/>
      <c r="E31" s="1" t="s">
        <v>105</v>
      </c>
      <c r="F31" s="1">
        <v>38</v>
      </c>
      <c r="G31" s="1">
        <v>4</v>
      </c>
      <c r="H31" s="1">
        <v>1.47</v>
      </c>
      <c r="I31" s="1"/>
      <c r="J31" s="1"/>
    </row>
    <row r="32" spans="1:10" x14ac:dyDescent="0.3">
      <c r="A32" t="str">
        <f t="shared" si="0"/>
        <v>A:T</v>
      </c>
      <c r="B32">
        <f t="shared" si="1"/>
        <v>2805</v>
      </c>
      <c r="D32" s="1"/>
      <c r="E32" s="1" t="s">
        <v>106</v>
      </c>
      <c r="F32" s="1">
        <v>39</v>
      </c>
      <c r="G32" s="1">
        <v>4</v>
      </c>
      <c r="H32" s="1">
        <v>1.47</v>
      </c>
      <c r="I32" s="1"/>
      <c r="J32" s="1"/>
    </row>
    <row r="33" spans="1:10" x14ac:dyDescent="0.3">
      <c r="A33" t="str">
        <f t="shared" si="0"/>
        <v>A:T</v>
      </c>
      <c r="B33">
        <f t="shared" si="1"/>
        <v>4705</v>
      </c>
      <c r="D33" s="1"/>
      <c r="E33" s="1" t="s">
        <v>107</v>
      </c>
      <c r="F33" s="1">
        <v>40</v>
      </c>
      <c r="G33" s="1">
        <v>4</v>
      </c>
      <c r="H33" s="1">
        <v>1.45</v>
      </c>
      <c r="I33" s="1"/>
      <c r="J33" s="1"/>
    </row>
    <row r="34" spans="1:10" x14ac:dyDescent="0.3">
      <c r="A34" t="str">
        <f t="shared" si="0"/>
        <v>A:T</v>
      </c>
      <c r="B34">
        <f t="shared" si="1"/>
        <v>4905</v>
      </c>
      <c r="D34" s="1"/>
      <c r="E34" s="1" t="s">
        <v>108</v>
      </c>
      <c r="F34" s="1">
        <v>46</v>
      </c>
      <c r="G34" s="1">
        <v>5</v>
      </c>
      <c r="H34" s="1">
        <v>1.44</v>
      </c>
      <c r="I34" s="1"/>
      <c r="J34" s="1"/>
    </row>
    <row r="35" spans="1:10" x14ac:dyDescent="0.3">
      <c r="A35" t="str">
        <f t="shared" si="0"/>
        <v>A:T</v>
      </c>
      <c r="B35">
        <f t="shared" si="1"/>
        <v>8405</v>
      </c>
      <c r="D35" s="1"/>
      <c r="E35" s="1" t="s">
        <v>109</v>
      </c>
      <c r="F35" s="1">
        <v>47</v>
      </c>
      <c r="G35" s="1">
        <v>1</v>
      </c>
      <c r="H35" s="1">
        <v>1.43</v>
      </c>
      <c r="I35" s="1"/>
      <c r="J35" s="1"/>
    </row>
    <row r="36" spans="1:10" x14ac:dyDescent="0.3">
      <c r="A36" t="str">
        <f t="shared" si="0"/>
        <v>A:T</v>
      </c>
      <c r="B36">
        <f t="shared" si="1"/>
        <v>5005</v>
      </c>
      <c r="D36" s="1"/>
      <c r="E36" s="1" t="s">
        <v>110</v>
      </c>
      <c r="F36" s="1">
        <v>51</v>
      </c>
      <c r="G36" s="1">
        <v>3</v>
      </c>
      <c r="H36" s="1">
        <v>1.41</v>
      </c>
      <c r="I36" s="1"/>
      <c r="J36" s="1"/>
    </row>
    <row r="37" spans="1:10" x14ac:dyDescent="0.3">
      <c r="A37" t="str">
        <f t="shared" si="0"/>
        <v>A:T</v>
      </c>
      <c r="B37">
        <f t="shared" si="1"/>
        <v>7305</v>
      </c>
      <c r="D37" s="1"/>
      <c r="E37" s="1" t="s">
        <v>111</v>
      </c>
      <c r="F37" s="1">
        <v>60</v>
      </c>
      <c r="G37" s="1">
        <v>6</v>
      </c>
      <c r="H37" s="1">
        <v>1.38</v>
      </c>
      <c r="I37" s="1"/>
      <c r="J37" s="1"/>
    </row>
    <row r="38" spans="1:10" x14ac:dyDescent="0.3">
      <c r="A38" t="str">
        <f t="shared" si="0"/>
        <v>A:T</v>
      </c>
      <c r="B38">
        <f t="shared" si="1"/>
        <v>1905</v>
      </c>
      <c r="D38" s="1"/>
      <c r="E38" s="1" t="s">
        <v>112</v>
      </c>
      <c r="F38" s="1">
        <v>64</v>
      </c>
      <c r="G38" s="1">
        <v>6</v>
      </c>
      <c r="H38" s="1">
        <v>1.37</v>
      </c>
      <c r="I38" s="1"/>
      <c r="J38" s="1"/>
    </row>
    <row r="39" spans="1:10" x14ac:dyDescent="0.3">
      <c r="A39" t="str">
        <f t="shared" si="0"/>
        <v>A:T</v>
      </c>
      <c r="B39">
        <f t="shared" si="1"/>
        <v>9905</v>
      </c>
      <c r="D39" s="1"/>
      <c r="E39" s="1" t="s">
        <v>113</v>
      </c>
      <c r="F39" s="1">
        <v>67</v>
      </c>
      <c r="G39" s="1">
        <v>2</v>
      </c>
      <c r="H39" s="1">
        <v>1.36</v>
      </c>
      <c r="I39" s="1"/>
      <c r="J39" s="1"/>
    </row>
    <row r="40" spans="1:10" x14ac:dyDescent="0.3">
      <c r="A40" t="str">
        <f t="shared" si="0"/>
        <v>A:T</v>
      </c>
      <c r="B40">
        <f t="shared" si="1"/>
        <v>6905</v>
      </c>
      <c r="D40" s="1"/>
      <c r="E40" s="1" t="s">
        <v>114</v>
      </c>
      <c r="F40" s="1">
        <v>68</v>
      </c>
      <c r="G40" s="1">
        <v>3</v>
      </c>
      <c r="H40" s="1">
        <v>1.36</v>
      </c>
      <c r="I40" s="1"/>
      <c r="J40" s="1"/>
    </row>
    <row r="41" spans="1:10" x14ac:dyDescent="0.3">
      <c r="A41" t="str">
        <f t="shared" si="0"/>
        <v>A:T</v>
      </c>
      <c r="B41">
        <f t="shared" si="1"/>
        <v>3705</v>
      </c>
      <c r="D41" s="1"/>
      <c r="E41" s="1" t="s">
        <v>115</v>
      </c>
      <c r="F41" s="1">
        <v>73</v>
      </c>
      <c r="G41" s="1">
        <v>6</v>
      </c>
      <c r="H41" s="1">
        <v>1.34</v>
      </c>
      <c r="I41" s="1"/>
      <c r="J41" s="1"/>
    </row>
    <row r="42" spans="1:10" x14ac:dyDescent="0.3">
      <c r="A42" t="str">
        <f t="shared" si="0"/>
        <v>A:T</v>
      </c>
      <c r="B42">
        <f t="shared" si="1"/>
        <v>7205</v>
      </c>
      <c r="D42" s="1"/>
      <c r="E42" s="1" t="s">
        <v>116</v>
      </c>
      <c r="F42" s="1">
        <v>77</v>
      </c>
      <c r="G42" s="1">
        <v>5</v>
      </c>
      <c r="H42" s="1">
        <v>1.33</v>
      </c>
      <c r="I42" s="1"/>
      <c r="J42" s="1"/>
    </row>
    <row r="43" spans="1:10" x14ac:dyDescent="0.3">
      <c r="A43" t="str">
        <f t="shared" si="0"/>
        <v>A:T</v>
      </c>
      <c r="B43">
        <f t="shared" si="1"/>
        <v>8005</v>
      </c>
      <c r="D43" s="1"/>
      <c r="E43" s="1" t="s">
        <v>117</v>
      </c>
      <c r="F43" s="1">
        <v>81</v>
      </c>
      <c r="G43" s="1">
        <v>3</v>
      </c>
      <c r="H43" s="1">
        <v>1.32</v>
      </c>
      <c r="I43" s="1"/>
      <c r="J43" s="1"/>
    </row>
    <row r="44" spans="1:10" x14ac:dyDescent="0.3">
      <c r="A44" t="str">
        <f t="shared" si="0"/>
        <v>A:T</v>
      </c>
      <c r="B44">
        <f t="shared" si="1"/>
        <v>5605</v>
      </c>
      <c r="D44" s="1"/>
      <c r="E44" s="1" t="s">
        <v>62</v>
      </c>
      <c r="F44" s="1">
        <v>82</v>
      </c>
      <c r="G44" s="1">
        <v>6</v>
      </c>
      <c r="H44" s="1">
        <v>1.31</v>
      </c>
      <c r="I44" s="1"/>
      <c r="J44" s="1"/>
    </row>
    <row r="45" spans="1:10" x14ac:dyDescent="0.3">
      <c r="A45" t="str">
        <f t="shared" si="0"/>
        <v>A:T</v>
      </c>
      <c r="B45">
        <f t="shared" si="1"/>
        <v>6705</v>
      </c>
      <c r="D45" s="1"/>
      <c r="E45" s="1" t="s">
        <v>118</v>
      </c>
      <c r="F45" s="1">
        <v>86</v>
      </c>
      <c r="G45" s="1">
        <v>7</v>
      </c>
      <c r="H45" s="1">
        <v>1.3</v>
      </c>
      <c r="I45" s="1"/>
      <c r="J45" s="1"/>
    </row>
    <row r="46" spans="1:10" x14ac:dyDescent="0.3">
      <c r="A46" t="str">
        <f t="shared" si="0"/>
        <v>A:T</v>
      </c>
      <c r="B46">
        <f t="shared" si="1"/>
        <v>2205</v>
      </c>
      <c r="D46" s="1"/>
      <c r="E46" s="1" t="s">
        <v>119</v>
      </c>
      <c r="F46" s="1">
        <v>87</v>
      </c>
      <c r="G46" s="1">
        <v>4</v>
      </c>
      <c r="H46" s="1">
        <v>1.3</v>
      </c>
      <c r="I46" s="1"/>
      <c r="J46" s="1"/>
    </row>
    <row r="47" spans="1:10" x14ac:dyDescent="0.3">
      <c r="A47" t="str">
        <f t="shared" si="0"/>
        <v>A:T</v>
      </c>
      <c r="B47">
        <f t="shared" si="1"/>
        <v>5705</v>
      </c>
      <c r="D47" s="1"/>
      <c r="E47" s="1" t="s">
        <v>120</v>
      </c>
      <c r="F47" s="1">
        <v>88</v>
      </c>
      <c r="G47" s="1">
        <v>7</v>
      </c>
      <c r="H47" s="1">
        <v>1.3</v>
      </c>
      <c r="I47" s="1"/>
      <c r="J47" s="1"/>
    </row>
    <row r="48" spans="1:10" x14ac:dyDescent="0.3">
      <c r="A48" t="str">
        <f t="shared" si="0"/>
        <v>A:T</v>
      </c>
      <c r="B48">
        <f t="shared" si="1"/>
        <v>11605</v>
      </c>
      <c r="D48" s="1"/>
      <c r="E48" s="1" t="s">
        <v>121</v>
      </c>
      <c r="F48" s="1">
        <v>92</v>
      </c>
      <c r="G48" s="1">
        <v>1</v>
      </c>
      <c r="H48" s="1">
        <v>1.29</v>
      </c>
      <c r="I48" s="1"/>
      <c r="J48" s="1"/>
    </row>
    <row r="49" spans="1:10" x14ac:dyDescent="0.3">
      <c r="A49" t="str">
        <f t="shared" si="0"/>
        <v>A:T</v>
      </c>
      <c r="B49">
        <f t="shared" si="1"/>
        <v>6305</v>
      </c>
      <c r="D49" s="1"/>
      <c r="E49" s="1" t="s">
        <v>122</v>
      </c>
      <c r="F49" s="1">
        <v>96</v>
      </c>
      <c r="G49" s="1">
        <v>5</v>
      </c>
      <c r="H49" s="1">
        <v>1.28</v>
      </c>
      <c r="I49" s="1"/>
      <c r="J49" s="1"/>
    </row>
    <row r="50" spans="1:10" x14ac:dyDescent="0.3">
      <c r="A50" t="str">
        <f t="shared" si="0"/>
        <v>A:T</v>
      </c>
      <c r="B50">
        <f t="shared" si="1"/>
        <v>4205</v>
      </c>
      <c r="D50" s="1"/>
      <c r="E50" s="1" t="s">
        <v>123</v>
      </c>
      <c r="F50" s="1">
        <v>98</v>
      </c>
      <c r="G50" s="1">
        <v>8</v>
      </c>
      <c r="H50" s="1">
        <v>1.28</v>
      </c>
      <c r="I50" s="1"/>
      <c r="J50" s="1"/>
    </row>
    <row r="51" spans="1:10" x14ac:dyDescent="0.3">
      <c r="A51" t="str">
        <f t="shared" si="0"/>
        <v>A:T</v>
      </c>
      <c r="B51">
        <f t="shared" si="1"/>
        <v>1505</v>
      </c>
      <c r="D51" s="1"/>
      <c r="E51" s="1" t="s">
        <v>124</v>
      </c>
      <c r="F51" s="1">
        <v>102</v>
      </c>
      <c r="G51" s="1">
        <v>1</v>
      </c>
      <c r="H51" s="1">
        <v>1.27</v>
      </c>
      <c r="I51" s="1"/>
      <c r="J51" s="1"/>
    </row>
    <row r="52" spans="1:10" x14ac:dyDescent="0.3">
      <c r="A52" t="str">
        <f t="shared" si="0"/>
        <v>A:T</v>
      </c>
      <c r="B52">
        <f t="shared" si="1"/>
        <v>4305</v>
      </c>
      <c r="D52" s="1"/>
      <c r="E52" s="1" t="s">
        <v>125</v>
      </c>
      <c r="F52" s="1">
        <v>106</v>
      </c>
      <c r="G52" s="1">
        <v>9</v>
      </c>
      <c r="H52" s="1">
        <v>1.26</v>
      </c>
      <c r="I52" s="1"/>
      <c r="J52" s="1"/>
    </row>
    <row r="53" spans="1:10" x14ac:dyDescent="0.3">
      <c r="A53" t="str">
        <f t="shared" si="0"/>
        <v>A:T</v>
      </c>
      <c r="B53">
        <f t="shared" si="1"/>
        <v>11305</v>
      </c>
      <c r="D53" s="1"/>
      <c r="E53" s="1" t="s">
        <v>126</v>
      </c>
      <c r="F53" s="1">
        <v>108</v>
      </c>
      <c r="G53" s="1">
        <v>3</v>
      </c>
      <c r="H53" s="1">
        <v>1.26</v>
      </c>
      <c r="I53" s="1"/>
      <c r="J53" s="1"/>
    </row>
    <row r="54" spans="1:10" x14ac:dyDescent="0.3">
      <c r="A54" t="str">
        <f t="shared" si="0"/>
        <v>A:T</v>
      </c>
      <c r="B54">
        <f t="shared" si="1"/>
        <v>3205</v>
      </c>
      <c r="D54" s="1"/>
      <c r="E54" s="1" t="s">
        <v>127</v>
      </c>
      <c r="F54" s="1">
        <v>124</v>
      </c>
      <c r="G54" s="1">
        <v>8</v>
      </c>
      <c r="H54" s="1">
        <v>1.22</v>
      </c>
      <c r="I54" s="1"/>
      <c r="J54" s="1"/>
    </row>
    <row r="55" spans="1:10" x14ac:dyDescent="0.3">
      <c r="A55" t="str">
        <f t="shared" si="0"/>
        <v>A:T</v>
      </c>
      <c r="B55">
        <f t="shared" si="1"/>
        <v>12405</v>
      </c>
      <c r="D55" s="1"/>
      <c r="E55" s="1" t="s">
        <v>128</v>
      </c>
      <c r="F55" s="1">
        <v>132</v>
      </c>
      <c r="G55" s="1">
        <v>3</v>
      </c>
      <c r="H55" s="1">
        <v>1.21</v>
      </c>
      <c r="I55" s="1"/>
      <c r="J55" s="1"/>
    </row>
    <row r="56" spans="1:10" x14ac:dyDescent="0.3">
      <c r="A56" t="str">
        <f t="shared" si="0"/>
        <v>A:T</v>
      </c>
      <c r="B56">
        <f t="shared" si="1"/>
        <v>3605</v>
      </c>
      <c r="D56" s="1"/>
      <c r="E56" s="1" t="s">
        <v>129</v>
      </c>
      <c r="F56" s="1">
        <v>137</v>
      </c>
      <c r="G56" s="1">
        <v>8</v>
      </c>
      <c r="H56" s="1">
        <v>1.19</v>
      </c>
      <c r="I56" s="1"/>
      <c r="J56" s="1"/>
    </row>
    <row r="57" spans="1:10" x14ac:dyDescent="0.3">
      <c r="A57" t="str">
        <f t="shared" si="0"/>
        <v>A:T</v>
      </c>
      <c r="B57">
        <f t="shared" si="1"/>
        <v>12705</v>
      </c>
      <c r="D57" s="1"/>
      <c r="E57" s="1" t="s">
        <v>13</v>
      </c>
      <c r="F57" s="1">
        <v>148</v>
      </c>
      <c r="G57" s="1">
        <v>8</v>
      </c>
      <c r="H57" s="1">
        <v>1.17</v>
      </c>
      <c r="I57" s="1"/>
      <c r="J57" s="1"/>
    </row>
    <row r="58" spans="1:10" x14ac:dyDescent="0.3">
      <c r="A58" t="str">
        <f t="shared" si="0"/>
        <v>A:T</v>
      </c>
      <c r="B58">
        <f t="shared" si="1"/>
        <v>1205</v>
      </c>
      <c r="D58" s="1"/>
      <c r="E58" s="1" t="s">
        <v>130</v>
      </c>
      <c r="F58" s="1">
        <v>149</v>
      </c>
      <c r="G58" s="1">
        <v>8</v>
      </c>
      <c r="H58" s="1">
        <v>1.1599999999999999</v>
      </c>
      <c r="I58" s="1"/>
      <c r="J58" s="1"/>
    </row>
    <row r="59" spans="1:10" x14ac:dyDescent="0.3">
      <c r="A59" t="str">
        <f t="shared" si="0"/>
        <v>A:T</v>
      </c>
      <c r="B59">
        <f t="shared" si="1"/>
        <v>8205</v>
      </c>
      <c r="D59" s="1"/>
      <c r="E59" s="1" t="s">
        <v>131</v>
      </c>
      <c r="F59" s="1">
        <v>150</v>
      </c>
      <c r="G59" s="1">
        <v>4</v>
      </c>
      <c r="H59" s="1">
        <v>1.1499999999999999</v>
      </c>
      <c r="I59" s="1"/>
      <c r="J59" s="1"/>
    </row>
    <row r="60" spans="1:10" x14ac:dyDescent="0.3">
      <c r="A60" t="str">
        <f t="shared" si="0"/>
        <v>A:T</v>
      </c>
      <c r="B60">
        <f t="shared" si="1"/>
        <v>12905</v>
      </c>
      <c r="D60" s="1"/>
      <c r="E60" s="1" t="s">
        <v>132</v>
      </c>
      <c r="F60" s="1">
        <v>153</v>
      </c>
      <c r="G60" s="1">
        <v>9</v>
      </c>
      <c r="H60" s="1">
        <v>1.1499999999999999</v>
      </c>
      <c r="I60" s="1"/>
      <c r="J60" s="1"/>
    </row>
    <row r="61" spans="1:10" x14ac:dyDescent="0.3">
      <c r="A61" t="str">
        <f t="shared" si="0"/>
        <v>A:T</v>
      </c>
      <c r="B61">
        <f t="shared" si="1"/>
        <v>1705</v>
      </c>
      <c r="D61" s="1"/>
      <c r="E61" s="1" t="s">
        <v>133</v>
      </c>
      <c r="F61" s="1">
        <v>158</v>
      </c>
      <c r="G61" s="1">
        <v>3</v>
      </c>
      <c r="H61" s="1">
        <v>1.1399999999999999</v>
      </c>
      <c r="I61" s="1"/>
      <c r="J61" s="1"/>
    </row>
    <row r="62" spans="1:10" x14ac:dyDescent="0.3">
      <c r="A62" t="str">
        <f t="shared" si="0"/>
        <v>A:T</v>
      </c>
      <c r="B62">
        <f t="shared" si="1"/>
        <v>10305</v>
      </c>
      <c r="D62" s="1"/>
      <c r="E62" s="1" t="s">
        <v>134</v>
      </c>
      <c r="F62" s="1">
        <v>161</v>
      </c>
      <c r="G62" s="1">
        <v>9</v>
      </c>
      <c r="H62" s="1">
        <v>1.1399999999999999</v>
      </c>
      <c r="I62" s="1"/>
      <c r="J62" s="1"/>
    </row>
    <row r="63" spans="1:10" x14ac:dyDescent="0.3">
      <c r="A63" t="str">
        <f t="shared" si="0"/>
        <v>A:T</v>
      </c>
      <c r="B63">
        <f t="shared" si="1"/>
        <v>12005</v>
      </c>
      <c r="D63" s="1"/>
      <c r="E63" s="1" t="s">
        <v>135</v>
      </c>
      <c r="F63" s="1">
        <v>162</v>
      </c>
      <c r="G63" s="1">
        <v>5</v>
      </c>
      <c r="H63" s="1">
        <v>1.1299999999999999</v>
      </c>
      <c r="I63" s="1"/>
      <c r="J63" s="1"/>
    </row>
    <row r="64" spans="1:10" x14ac:dyDescent="0.3">
      <c r="A64" t="str">
        <f t="shared" si="0"/>
        <v>A:T</v>
      </c>
      <c r="B64">
        <f t="shared" si="1"/>
        <v>2105</v>
      </c>
      <c r="D64" s="1"/>
      <c r="E64" s="1" t="s">
        <v>136</v>
      </c>
      <c r="F64" s="1">
        <v>184</v>
      </c>
      <c r="G64" s="1">
        <v>9</v>
      </c>
      <c r="H64" s="1">
        <v>1.1000000000000001</v>
      </c>
      <c r="I64" s="1"/>
      <c r="J64" s="1"/>
    </row>
    <row r="65" spans="1:10" x14ac:dyDescent="0.3">
      <c r="A65" t="str">
        <f t="shared" si="0"/>
        <v>A:T</v>
      </c>
      <c r="B65">
        <f t="shared" si="1"/>
        <v>1605</v>
      </c>
      <c r="D65" s="1"/>
      <c r="E65" s="1" t="s">
        <v>137</v>
      </c>
      <c r="F65" s="1">
        <v>201</v>
      </c>
      <c r="G65" s="1">
        <v>9</v>
      </c>
      <c r="H65" s="1">
        <v>1.08</v>
      </c>
      <c r="I65" s="1"/>
      <c r="J65" s="1"/>
    </row>
    <row r="66" spans="1:10" x14ac:dyDescent="0.3">
      <c r="A66" t="str">
        <f t="shared" ref="A66:A129" si="2">IF(NOT(D66=""),INDEX(statAbbr,MATCH(D66,statOfficial,0),1),A65)</f>
        <v>A:T</v>
      </c>
      <c r="B66">
        <f t="shared" ref="B66:B129" si="3">INDEX(statID,MATCH(A66,statAbbr,0),1)+INDEX(teamID,MATCH(E66,teamRawName,0))</f>
        <v>11405</v>
      </c>
      <c r="D66" s="1"/>
      <c r="E66" s="1" t="s">
        <v>138</v>
      </c>
      <c r="F66" s="1">
        <v>247</v>
      </c>
      <c r="G66" s="1">
        <v>7</v>
      </c>
      <c r="H66" s="1">
        <v>1</v>
      </c>
      <c r="I66" s="1"/>
      <c r="J66" s="1"/>
    </row>
    <row r="67" spans="1:10" x14ac:dyDescent="0.3">
      <c r="A67" t="str">
        <f t="shared" si="2"/>
        <v>A:T</v>
      </c>
      <c r="B67">
        <f t="shared" si="3"/>
        <v>5805</v>
      </c>
      <c r="D67" s="1"/>
      <c r="E67" s="1" t="s">
        <v>139</v>
      </c>
      <c r="F67" s="1">
        <v>258</v>
      </c>
      <c r="G67" s="1">
        <v>6</v>
      </c>
      <c r="H67" s="1">
        <v>0.99</v>
      </c>
      <c r="I67" s="1"/>
      <c r="J67" s="1"/>
    </row>
    <row r="68" spans="1:10" x14ac:dyDescent="0.3">
      <c r="A68" t="str">
        <f t="shared" si="2"/>
        <v>A:T</v>
      </c>
      <c r="B68">
        <f t="shared" si="3"/>
        <v>12105</v>
      </c>
      <c r="D68" s="1"/>
      <c r="E68" s="1" t="s">
        <v>140</v>
      </c>
      <c r="F68" s="1">
        <v>273</v>
      </c>
      <c r="G68" s="1">
        <v>5</v>
      </c>
      <c r="H68" s="1">
        <v>0.97</v>
      </c>
      <c r="I68" s="1"/>
      <c r="J68" s="1"/>
    </row>
    <row r="69" spans="1:10" x14ac:dyDescent="0.3">
      <c r="A69" t="str">
        <f t="shared" si="2"/>
        <v>A:T</v>
      </c>
      <c r="B69">
        <f t="shared" si="3"/>
        <v>8805</v>
      </c>
      <c r="D69" s="1"/>
      <c r="E69" s="1" t="s">
        <v>141</v>
      </c>
      <c r="F69" s="1">
        <v>314</v>
      </c>
      <c r="G69" s="1">
        <v>3</v>
      </c>
      <c r="H69" s="1">
        <v>0.9</v>
      </c>
      <c r="I69" s="1"/>
      <c r="J69" s="1"/>
    </row>
    <row r="70" spans="1:10" x14ac:dyDescent="0.3">
      <c r="A70" t="str">
        <f t="shared" si="2"/>
        <v>A:T</v>
      </c>
      <c r="B70">
        <f t="shared" si="3"/>
        <v>12805</v>
      </c>
      <c r="D70" s="1"/>
      <c r="E70" s="1" t="s">
        <v>142</v>
      </c>
      <c r="F70" s="1">
        <v>328</v>
      </c>
      <c r="G70" s="1">
        <v>10</v>
      </c>
      <c r="H70" s="1">
        <v>0.85</v>
      </c>
      <c r="I70" s="1"/>
      <c r="J70" s="1"/>
    </row>
    <row r="71" spans="1:10" x14ac:dyDescent="0.3">
      <c r="A71" t="str">
        <f t="shared" si="2"/>
        <v>A:T</v>
      </c>
      <c r="B71">
        <f t="shared" si="3"/>
        <v>11905</v>
      </c>
      <c r="D71" s="1"/>
      <c r="E71" s="1" t="s">
        <v>143</v>
      </c>
      <c r="F71" s="1">
        <v>342</v>
      </c>
      <c r="G71" s="1">
        <v>10</v>
      </c>
      <c r="H71" s="1">
        <v>0.75</v>
      </c>
      <c r="I71" s="1"/>
      <c r="J71" s="1"/>
    </row>
    <row r="72" spans="1:10" x14ac:dyDescent="0.3">
      <c r="A72" t="str">
        <f t="shared" si="2"/>
        <v>APG</v>
      </c>
      <c r="B72">
        <f t="shared" si="3"/>
        <v>3906</v>
      </c>
      <c r="D72" s="1" t="s">
        <v>144</v>
      </c>
      <c r="E72" s="1" t="s">
        <v>88</v>
      </c>
      <c r="F72" s="1">
        <v>1</v>
      </c>
      <c r="G72" s="1">
        <v>1</v>
      </c>
      <c r="H72" s="1">
        <v>19</v>
      </c>
      <c r="I72" s="1" t="s">
        <v>88</v>
      </c>
      <c r="J72" s="1">
        <v>19</v>
      </c>
    </row>
    <row r="73" spans="1:10" x14ac:dyDescent="0.3">
      <c r="A73" t="str">
        <f t="shared" si="2"/>
        <v>APG</v>
      </c>
      <c r="B73">
        <f t="shared" si="3"/>
        <v>2306</v>
      </c>
      <c r="D73" s="1"/>
      <c r="E73" s="1" t="s">
        <v>79</v>
      </c>
      <c r="F73" s="1">
        <v>2</v>
      </c>
      <c r="G73" s="1">
        <v>1</v>
      </c>
      <c r="H73" s="1">
        <v>18.7</v>
      </c>
      <c r="I73" s="1"/>
      <c r="J73" s="1"/>
    </row>
    <row r="74" spans="1:10" x14ac:dyDescent="0.3">
      <c r="A74" t="str">
        <f t="shared" si="2"/>
        <v>APG</v>
      </c>
      <c r="B74">
        <f t="shared" si="3"/>
        <v>2706</v>
      </c>
      <c r="D74" s="1"/>
      <c r="E74" s="1" t="s">
        <v>7</v>
      </c>
      <c r="F74" s="1">
        <v>3</v>
      </c>
      <c r="G74" s="1">
        <v>2</v>
      </c>
      <c r="H74" s="1">
        <v>18.5</v>
      </c>
      <c r="I74" s="1"/>
      <c r="J74" s="1"/>
    </row>
    <row r="75" spans="1:10" x14ac:dyDescent="0.3">
      <c r="A75" t="str">
        <f t="shared" si="2"/>
        <v>APG</v>
      </c>
      <c r="B75">
        <f t="shared" si="3"/>
        <v>2906</v>
      </c>
      <c r="D75" s="1"/>
      <c r="E75" s="1" t="s">
        <v>96</v>
      </c>
      <c r="F75" s="1">
        <v>4</v>
      </c>
      <c r="G75" s="1">
        <v>1</v>
      </c>
      <c r="H75" s="1">
        <v>18.5</v>
      </c>
      <c r="I75" s="1"/>
      <c r="J75" s="1"/>
    </row>
    <row r="76" spans="1:10" x14ac:dyDescent="0.3">
      <c r="A76" t="str">
        <f t="shared" si="2"/>
        <v>APG</v>
      </c>
      <c r="B76">
        <f t="shared" si="3"/>
        <v>3006</v>
      </c>
      <c r="D76" s="1"/>
      <c r="E76" s="1" t="s">
        <v>89</v>
      </c>
      <c r="F76" s="1">
        <v>5</v>
      </c>
      <c r="G76" s="1">
        <v>1</v>
      </c>
      <c r="H76" s="1">
        <v>18.5</v>
      </c>
      <c r="I76" s="1"/>
      <c r="J76" s="1"/>
    </row>
    <row r="77" spans="1:10" x14ac:dyDescent="0.3">
      <c r="A77" t="str">
        <f t="shared" si="2"/>
        <v>APG</v>
      </c>
      <c r="B77">
        <f t="shared" si="3"/>
        <v>1306</v>
      </c>
      <c r="D77" s="1"/>
      <c r="E77" s="1" t="s">
        <v>82</v>
      </c>
      <c r="F77" s="1">
        <v>7</v>
      </c>
      <c r="G77" s="1">
        <v>1</v>
      </c>
      <c r="H77" s="1">
        <v>18</v>
      </c>
      <c r="I77" s="1"/>
      <c r="J77" s="1"/>
    </row>
    <row r="78" spans="1:10" x14ac:dyDescent="0.3">
      <c r="A78" t="str">
        <f t="shared" si="2"/>
        <v>APG</v>
      </c>
      <c r="B78">
        <f t="shared" si="3"/>
        <v>4506</v>
      </c>
      <c r="D78" s="1"/>
      <c r="E78" s="1" t="s">
        <v>84</v>
      </c>
      <c r="F78" s="1">
        <v>10</v>
      </c>
      <c r="G78" s="1">
        <v>1</v>
      </c>
      <c r="H78" s="1">
        <v>17.8</v>
      </c>
      <c r="I78" s="1"/>
      <c r="J78" s="1"/>
    </row>
    <row r="79" spans="1:10" x14ac:dyDescent="0.3">
      <c r="A79" t="str">
        <f t="shared" si="2"/>
        <v>APG</v>
      </c>
      <c r="B79">
        <f t="shared" si="3"/>
        <v>9906</v>
      </c>
      <c r="D79" s="1"/>
      <c r="E79" s="1" t="s">
        <v>113</v>
      </c>
      <c r="F79" s="1">
        <v>11</v>
      </c>
      <c r="G79" s="1">
        <v>1</v>
      </c>
      <c r="H79" s="1">
        <v>17.7</v>
      </c>
      <c r="I79" s="1"/>
      <c r="J79" s="1"/>
    </row>
    <row r="80" spans="1:10" x14ac:dyDescent="0.3">
      <c r="A80" t="str">
        <f t="shared" si="2"/>
        <v>APG</v>
      </c>
      <c r="B80">
        <f t="shared" si="3"/>
        <v>5506</v>
      </c>
      <c r="D80" s="1"/>
      <c r="E80" s="1" t="s">
        <v>86</v>
      </c>
      <c r="F80" s="1">
        <v>14</v>
      </c>
      <c r="G80" s="1">
        <v>2</v>
      </c>
      <c r="H80" s="1">
        <v>17.5</v>
      </c>
      <c r="I80" s="1"/>
      <c r="J80" s="1"/>
    </row>
    <row r="81" spans="1:10" x14ac:dyDescent="0.3">
      <c r="A81" t="str">
        <f t="shared" si="2"/>
        <v>APG</v>
      </c>
      <c r="B81">
        <f t="shared" si="3"/>
        <v>5606</v>
      </c>
      <c r="D81" s="1"/>
      <c r="E81" s="1" t="s">
        <v>62</v>
      </c>
      <c r="F81" s="1">
        <v>17</v>
      </c>
      <c r="G81" s="1">
        <v>3</v>
      </c>
      <c r="H81" s="1">
        <v>16.899999999999999</v>
      </c>
      <c r="I81" s="1"/>
      <c r="J81" s="1"/>
    </row>
    <row r="82" spans="1:10" x14ac:dyDescent="0.3">
      <c r="A82" t="str">
        <f t="shared" si="2"/>
        <v>APG</v>
      </c>
      <c r="B82">
        <f t="shared" si="3"/>
        <v>3106</v>
      </c>
      <c r="D82" s="1"/>
      <c r="E82" s="1" t="s">
        <v>93</v>
      </c>
      <c r="F82" s="1">
        <v>18</v>
      </c>
      <c r="G82" s="1">
        <v>2</v>
      </c>
      <c r="H82" s="1">
        <v>16.8</v>
      </c>
      <c r="I82" s="1"/>
      <c r="J82" s="1"/>
    </row>
    <row r="83" spans="1:10" x14ac:dyDescent="0.3">
      <c r="A83" t="str">
        <f t="shared" si="2"/>
        <v>APG</v>
      </c>
      <c r="B83">
        <f t="shared" si="3"/>
        <v>4406</v>
      </c>
      <c r="D83" s="1"/>
      <c r="E83" s="1" t="s">
        <v>83</v>
      </c>
      <c r="F83" s="1">
        <v>19</v>
      </c>
      <c r="G83" s="1">
        <v>1</v>
      </c>
      <c r="H83" s="1">
        <v>16.7</v>
      </c>
      <c r="I83" s="1"/>
      <c r="J83" s="1"/>
    </row>
    <row r="84" spans="1:10" x14ac:dyDescent="0.3">
      <c r="A84" t="str">
        <f t="shared" si="2"/>
        <v>APG</v>
      </c>
      <c r="B84">
        <f t="shared" si="3"/>
        <v>3506</v>
      </c>
      <c r="D84" s="1"/>
      <c r="E84" s="1" t="s">
        <v>87</v>
      </c>
      <c r="F84" s="1">
        <v>20</v>
      </c>
      <c r="G84" s="1">
        <v>3</v>
      </c>
      <c r="H84" s="1">
        <v>16.7</v>
      </c>
      <c r="I84" s="1"/>
      <c r="J84" s="1"/>
    </row>
    <row r="85" spans="1:10" x14ac:dyDescent="0.3">
      <c r="A85" t="str">
        <f t="shared" si="2"/>
        <v>APG</v>
      </c>
      <c r="B85">
        <f t="shared" si="3"/>
        <v>1406</v>
      </c>
      <c r="D85" s="1"/>
      <c r="E85" s="1" t="s">
        <v>102</v>
      </c>
      <c r="F85" s="1">
        <v>24</v>
      </c>
      <c r="G85" s="1">
        <v>2</v>
      </c>
      <c r="H85" s="1">
        <v>16.3</v>
      </c>
      <c r="I85" s="1"/>
      <c r="J85" s="1"/>
    </row>
    <row r="86" spans="1:10" x14ac:dyDescent="0.3">
      <c r="A86" t="str">
        <f t="shared" si="2"/>
        <v>APG</v>
      </c>
      <c r="B86">
        <f t="shared" si="3"/>
        <v>6306</v>
      </c>
      <c r="D86" s="1"/>
      <c r="E86" s="1" t="s">
        <v>122</v>
      </c>
      <c r="F86" s="1">
        <v>26</v>
      </c>
      <c r="G86" s="1">
        <v>3</v>
      </c>
      <c r="H86" s="1">
        <v>16.2</v>
      </c>
      <c r="I86" s="1"/>
      <c r="J86" s="1"/>
    </row>
    <row r="87" spans="1:10" x14ac:dyDescent="0.3">
      <c r="A87" t="str">
        <f t="shared" si="2"/>
        <v>APG</v>
      </c>
      <c r="B87">
        <f t="shared" si="3"/>
        <v>2506</v>
      </c>
      <c r="D87" s="1"/>
      <c r="E87" s="1" t="s">
        <v>92</v>
      </c>
      <c r="F87" s="1">
        <v>29</v>
      </c>
      <c r="G87" s="1">
        <v>3</v>
      </c>
      <c r="H87" s="1">
        <v>16.2</v>
      </c>
      <c r="I87" s="1"/>
      <c r="J87" s="1"/>
    </row>
    <row r="88" spans="1:10" x14ac:dyDescent="0.3">
      <c r="A88" t="str">
        <f t="shared" si="2"/>
        <v>APG</v>
      </c>
      <c r="B88">
        <f t="shared" si="3"/>
        <v>4806</v>
      </c>
      <c r="D88" s="1"/>
      <c r="E88" s="1" t="s">
        <v>104</v>
      </c>
      <c r="F88" s="1">
        <v>31</v>
      </c>
      <c r="G88" s="1">
        <v>1</v>
      </c>
      <c r="H88" s="1">
        <v>16</v>
      </c>
      <c r="I88" s="1"/>
      <c r="J88" s="1"/>
    </row>
    <row r="89" spans="1:10" x14ac:dyDescent="0.3">
      <c r="A89" t="str">
        <f t="shared" si="2"/>
        <v>APG</v>
      </c>
      <c r="B89">
        <f t="shared" si="3"/>
        <v>9506</v>
      </c>
      <c r="D89" s="1"/>
      <c r="E89" s="1" t="s">
        <v>85</v>
      </c>
      <c r="F89" s="1">
        <v>32</v>
      </c>
      <c r="G89" s="1">
        <v>2</v>
      </c>
      <c r="H89" s="1">
        <v>16</v>
      </c>
      <c r="I89" s="1"/>
      <c r="J89" s="1"/>
    </row>
    <row r="90" spans="1:10" x14ac:dyDescent="0.3">
      <c r="A90" t="str">
        <f t="shared" si="2"/>
        <v>APG</v>
      </c>
      <c r="B90">
        <f t="shared" si="3"/>
        <v>906</v>
      </c>
      <c r="D90" s="1"/>
      <c r="E90" s="1" t="s">
        <v>90</v>
      </c>
      <c r="F90" s="1">
        <v>33</v>
      </c>
      <c r="G90" s="1">
        <v>4</v>
      </c>
      <c r="H90" s="1">
        <v>15.9</v>
      </c>
      <c r="I90" s="1"/>
      <c r="J90" s="1"/>
    </row>
    <row r="91" spans="1:10" x14ac:dyDescent="0.3">
      <c r="A91" t="str">
        <f t="shared" si="2"/>
        <v>APG</v>
      </c>
      <c r="B91">
        <f t="shared" si="3"/>
        <v>3706</v>
      </c>
      <c r="D91" s="1"/>
      <c r="E91" s="1" t="s">
        <v>115</v>
      </c>
      <c r="F91" s="1">
        <v>35</v>
      </c>
      <c r="G91" s="1">
        <v>4</v>
      </c>
      <c r="H91" s="1">
        <v>15.9</v>
      </c>
      <c r="I91" s="1"/>
      <c r="J91" s="1"/>
    </row>
    <row r="92" spans="1:10" x14ac:dyDescent="0.3">
      <c r="A92" t="str">
        <f t="shared" si="2"/>
        <v>APG</v>
      </c>
      <c r="B92">
        <f t="shared" si="3"/>
        <v>3306</v>
      </c>
      <c r="D92" s="1"/>
      <c r="E92" s="1" t="s">
        <v>91</v>
      </c>
      <c r="F92" s="1">
        <v>35</v>
      </c>
      <c r="G92" s="1">
        <v>4</v>
      </c>
      <c r="H92" s="1">
        <v>15.9</v>
      </c>
      <c r="I92" s="1"/>
      <c r="J92" s="1"/>
    </row>
    <row r="93" spans="1:10" x14ac:dyDescent="0.3">
      <c r="A93" t="str">
        <f t="shared" si="2"/>
        <v>APG</v>
      </c>
      <c r="B93">
        <f t="shared" si="3"/>
        <v>606</v>
      </c>
      <c r="D93" s="1"/>
      <c r="E93" s="1" t="s">
        <v>100</v>
      </c>
      <c r="F93" s="1">
        <v>38</v>
      </c>
      <c r="G93" s="1">
        <v>4</v>
      </c>
      <c r="H93" s="1">
        <v>15.7</v>
      </c>
      <c r="I93" s="1"/>
      <c r="J93" s="1"/>
    </row>
    <row r="94" spans="1:10" x14ac:dyDescent="0.3">
      <c r="A94" t="str">
        <f t="shared" si="2"/>
        <v>APG</v>
      </c>
      <c r="B94">
        <f t="shared" si="3"/>
        <v>6206</v>
      </c>
      <c r="D94" s="1"/>
      <c r="E94" s="1" t="s">
        <v>81</v>
      </c>
      <c r="F94" s="1">
        <v>43</v>
      </c>
      <c r="G94" s="1">
        <v>5</v>
      </c>
      <c r="H94" s="1">
        <v>15.6</v>
      </c>
      <c r="I94" s="1"/>
      <c r="J94" s="1"/>
    </row>
    <row r="95" spans="1:10" x14ac:dyDescent="0.3">
      <c r="A95" t="str">
        <f t="shared" si="2"/>
        <v>APG</v>
      </c>
      <c r="B95">
        <f t="shared" si="3"/>
        <v>9106</v>
      </c>
      <c r="D95" s="1"/>
      <c r="E95" s="1" t="s">
        <v>99</v>
      </c>
      <c r="F95" s="1">
        <v>47</v>
      </c>
      <c r="G95" s="1">
        <v>5</v>
      </c>
      <c r="H95" s="1">
        <v>15.4</v>
      </c>
      <c r="I95" s="1"/>
      <c r="J95" s="1"/>
    </row>
    <row r="96" spans="1:10" x14ac:dyDescent="0.3">
      <c r="A96" t="str">
        <f t="shared" si="2"/>
        <v>APG</v>
      </c>
      <c r="B96">
        <f t="shared" si="3"/>
        <v>7306</v>
      </c>
      <c r="D96" s="1"/>
      <c r="E96" s="1" t="s">
        <v>111</v>
      </c>
      <c r="F96" s="1">
        <v>49</v>
      </c>
      <c r="G96" s="1">
        <v>6</v>
      </c>
      <c r="H96" s="1">
        <v>15.3</v>
      </c>
      <c r="I96" s="1"/>
      <c r="J96" s="1"/>
    </row>
    <row r="97" spans="1:10" x14ac:dyDescent="0.3">
      <c r="A97" t="str">
        <f t="shared" si="2"/>
        <v>APG</v>
      </c>
      <c r="B97">
        <f t="shared" si="3"/>
        <v>11506</v>
      </c>
      <c r="D97" s="1"/>
      <c r="E97" s="1" t="s">
        <v>97</v>
      </c>
      <c r="F97" s="1">
        <v>50</v>
      </c>
      <c r="G97" s="1">
        <v>2</v>
      </c>
      <c r="H97" s="1">
        <v>15.3</v>
      </c>
      <c r="I97" s="1"/>
      <c r="J97" s="1"/>
    </row>
    <row r="98" spans="1:10" x14ac:dyDescent="0.3">
      <c r="A98" t="str">
        <f t="shared" si="2"/>
        <v>APG</v>
      </c>
      <c r="B98">
        <f t="shared" si="3"/>
        <v>5406</v>
      </c>
      <c r="D98" s="1"/>
      <c r="E98" s="1" t="s">
        <v>94</v>
      </c>
      <c r="F98" s="1">
        <v>52</v>
      </c>
      <c r="G98" s="1">
        <v>1</v>
      </c>
      <c r="H98" s="1">
        <v>15.3</v>
      </c>
      <c r="I98" s="1"/>
      <c r="J98" s="1"/>
    </row>
    <row r="99" spans="1:10" x14ac:dyDescent="0.3">
      <c r="A99" t="str">
        <f t="shared" si="2"/>
        <v>APG</v>
      </c>
      <c r="B99">
        <f t="shared" si="3"/>
        <v>12406</v>
      </c>
      <c r="D99" s="1"/>
      <c r="E99" s="1" t="s">
        <v>128</v>
      </c>
      <c r="F99" s="1">
        <v>53</v>
      </c>
      <c r="G99" s="1">
        <v>2</v>
      </c>
      <c r="H99" s="1">
        <v>15.3</v>
      </c>
      <c r="I99" s="1"/>
      <c r="J99" s="1"/>
    </row>
    <row r="100" spans="1:10" x14ac:dyDescent="0.3">
      <c r="A100" t="str">
        <f t="shared" si="2"/>
        <v>APG</v>
      </c>
      <c r="B100">
        <f t="shared" si="3"/>
        <v>5706</v>
      </c>
      <c r="D100" s="1"/>
      <c r="E100" s="1" t="s">
        <v>120</v>
      </c>
      <c r="F100" s="1">
        <v>56</v>
      </c>
      <c r="G100" s="1">
        <v>6</v>
      </c>
      <c r="H100" s="1">
        <v>15.2</v>
      </c>
      <c r="I100" s="1"/>
      <c r="J100" s="1"/>
    </row>
    <row r="101" spans="1:10" x14ac:dyDescent="0.3">
      <c r="A101" t="str">
        <f t="shared" si="2"/>
        <v>APG</v>
      </c>
      <c r="B101">
        <f t="shared" si="3"/>
        <v>6706</v>
      </c>
      <c r="D101" s="1"/>
      <c r="E101" s="1" t="s">
        <v>118</v>
      </c>
      <c r="F101" s="1">
        <v>64</v>
      </c>
      <c r="G101" s="1">
        <v>5</v>
      </c>
      <c r="H101" s="1">
        <v>15.1</v>
      </c>
      <c r="I101" s="1"/>
      <c r="J101" s="1"/>
    </row>
    <row r="102" spans="1:10" x14ac:dyDescent="0.3">
      <c r="A102" t="str">
        <f t="shared" si="2"/>
        <v>APG</v>
      </c>
      <c r="B102">
        <f t="shared" si="3"/>
        <v>4606</v>
      </c>
      <c r="D102" s="1"/>
      <c r="E102" s="1" t="s">
        <v>101</v>
      </c>
      <c r="F102" s="1">
        <v>65</v>
      </c>
      <c r="G102" s="1">
        <v>3</v>
      </c>
      <c r="H102" s="1">
        <v>15</v>
      </c>
      <c r="I102" s="1"/>
      <c r="J102" s="1"/>
    </row>
    <row r="103" spans="1:10" x14ac:dyDescent="0.3">
      <c r="A103" t="str">
        <f t="shared" si="2"/>
        <v>APG</v>
      </c>
      <c r="B103">
        <f t="shared" si="3"/>
        <v>8406</v>
      </c>
      <c r="D103" s="1"/>
      <c r="E103" s="1" t="s">
        <v>109</v>
      </c>
      <c r="F103" s="1">
        <v>66</v>
      </c>
      <c r="G103" s="1">
        <v>1</v>
      </c>
      <c r="H103" s="1">
        <v>15</v>
      </c>
      <c r="I103" s="1"/>
      <c r="J103" s="1"/>
    </row>
    <row r="104" spans="1:10" x14ac:dyDescent="0.3">
      <c r="A104" t="str">
        <f t="shared" si="2"/>
        <v>APG</v>
      </c>
      <c r="B104">
        <f t="shared" si="3"/>
        <v>1506</v>
      </c>
      <c r="D104" s="1"/>
      <c r="E104" s="1" t="s">
        <v>124</v>
      </c>
      <c r="F104" s="1">
        <v>66</v>
      </c>
      <c r="G104" s="1">
        <v>1</v>
      </c>
      <c r="H104" s="1">
        <v>15</v>
      </c>
      <c r="I104" s="1"/>
      <c r="J104" s="1"/>
    </row>
    <row r="105" spans="1:10" x14ac:dyDescent="0.3">
      <c r="A105" t="str">
        <f t="shared" si="2"/>
        <v>APG</v>
      </c>
      <c r="B105">
        <f t="shared" si="3"/>
        <v>12506</v>
      </c>
      <c r="D105" s="1"/>
      <c r="E105" s="1" t="s">
        <v>95</v>
      </c>
      <c r="F105" s="1">
        <v>68</v>
      </c>
      <c r="G105" s="1">
        <v>3</v>
      </c>
      <c r="H105" s="1">
        <v>15</v>
      </c>
      <c r="I105" s="1"/>
      <c r="J105" s="1"/>
    </row>
    <row r="106" spans="1:10" x14ac:dyDescent="0.3">
      <c r="A106" t="str">
        <f t="shared" si="2"/>
        <v>APG</v>
      </c>
      <c r="B106">
        <f t="shared" si="3"/>
        <v>2606</v>
      </c>
      <c r="D106" s="1"/>
      <c r="E106" s="1" t="s">
        <v>80</v>
      </c>
      <c r="F106" s="1">
        <v>69</v>
      </c>
      <c r="G106" s="1">
        <v>3</v>
      </c>
      <c r="H106" s="1">
        <v>15</v>
      </c>
      <c r="I106" s="1"/>
      <c r="J106" s="1"/>
    </row>
    <row r="107" spans="1:10" x14ac:dyDescent="0.3">
      <c r="A107" t="str">
        <f t="shared" si="2"/>
        <v>APG</v>
      </c>
      <c r="B107">
        <f t="shared" si="3"/>
        <v>206</v>
      </c>
      <c r="D107" s="1"/>
      <c r="E107" s="1" t="s">
        <v>98</v>
      </c>
      <c r="F107" s="1">
        <v>73</v>
      </c>
      <c r="G107" s="1">
        <v>2</v>
      </c>
      <c r="H107" s="1">
        <v>14.9</v>
      </c>
      <c r="I107" s="1"/>
      <c r="J107" s="1"/>
    </row>
    <row r="108" spans="1:10" x14ac:dyDescent="0.3">
      <c r="A108" t="str">
        <f t="shared" si="2"/>
        <v>APG</v>
      </c>
      <c r="B108">
        <f t="shared" si="3"/>
        <v>2206</v>
      </c>
      <c r="D108" s="1"/>
      <c r="E108" s="1" t="s">
        <v>119</v>
      </c>
      <c r="F108" s="1">
        <v>75</v>
      </c>
      <c r="G108" s="1">
        <v>3</v>
      </c>
      <c r="H108" s="1">
        <v>14.9</v>
      </c>
      <c r="I108" s="1"/>
      <c r="J108" s="1"/>
    </row>
    <row r="109" spans="1:10" x14ac:dyDescent="0.3">
      <c r="A109" t="str">
        <f t="shared" si="2"/>
        <v>APG</v>
      </c>
      <c r="B109">
        <f t="shared" si="3"/>
        <v>4006</v>
      </c>
      <c r="D109" s="1"/>
      <c r="E109" s="1" t="s">
        <v>105</v>
      </c>
      <c r="F109" s="1">
        <v>77</v>
      </c>
      <c r="G109" s="1">
        <v>4</v>
      </c>
      <c r="H109" s="1">
        <v>14.8</v>
      </c>
      <c r="I109" s="1"/>
      <c r="J109" s="1"/>
    </row>
    <row r="110" spans="1:10" x14ac:dyDescent="0.3">
      <c r="A110" t="str">
        <f t="shared" si="2"/>
        <v>APG</v>
      </c>
      <c r="B110">
        <f t="shared" si="3"/>
        <v>7206</v>
      </c>
      <c r="D110" s="1"/>
      <c r="E110" s="1" t="s">
        <v>116</v>
      </c>
      <c r="F110" s="1">
        <v>82</v>
      </c>
      <c r="G110" s="1">
        <v>6</v>
      </c>
      <c r="H110" s="1">
        <v>14.7</v>
      </c>
      <c r="I110" s="1"/>
      <c r="J110" s="1"/>
    </row>
    <row r="111" spans="1:10" x14ac:dyDescent="0.3">
      <c r="A111" t="str">
        <f t="shared" si="2"/>
        <v>APG</v>
      </c>
      <c r="B111">
        <f t="shared" si="3"/>
        <v>3206</v>
      </c>
      <c r="D111" s="1"/>
      <c r="E111" s="1" t="s">
        <v>127</v>
      </c>
      <c r="F111" s="1">
        <v>84</v>
      </c>
      <c r="G111" s="1">
        <v>7</v>
      </c>
      <c r="H111" s="1">
        <v>14.7</v>
      </c>
      <c r="I111" s="1"/>
      <c r="J111" s="1"/>
    </row>
    <row r="112" spans="1:10" x14ac:dyDescent="0.3">
      <c r="A112" t="str">
        <f t="shared" si="2"/>
        <v>APG</v>
      </c>
      <c r="B112">
        <f t="shared" si="3"/>
        <v>5006</v>
      </c>
      <c r="D112" s="1"/>
      <c r="E112" s="1" t="s">
        <v>110</v>
      </c>
      <c r="F112" s="1">
        <v>88</v>
      </c>
      <c r="G112" s="1">
        <v>5</v>
      </c>
      <c r="H112" s="1">
        <v>14.6</v>
      </c>
      <c r="I112" s="1"/>
      <c r="J112" s="1"/>
    </row>
    <row r="113" spans="1:10" x14ac:dyDescent="0.3">
      <c r="A113" t="str">
        <f t="shared" si="2"/>
        <v>APG</v>
      </c>
      <c r="B113">
        <f t="shared" si="3"/>
        <v>4706</v>
      </c>
      <c r="D113" s="1"/>
      <c r="E113" s="1" t="s">
        <v>107</v>
      </c>
      <c r="F113" s="1">
        <v>92</v>
      </c>
      <c r="G113" s="1">
        <v>4</v>
      </c>
      <c r="H113" s="1">
        <v>14.6</v>
      </c>
      <c r="I113" s="1"/>
      <c r="J113" s="1"/>
    </row>
    <row r="114" spans="1:10" x14ac:dyDescent="0.3">
      <c r="A114" t="str">
        <f t="shared" si="2"/>
        <v>APG</v>
      </c>
      <c r="B114">
        <f t="shared" si="3"/>
        <v>8006</v>
      </c>
      <c r="D114" s="1"/>
      <c r="E114" s="1" t="s">
        <v>117</v>
      </c>
      <c r="F114" s="1">
        <v>96</v>
      </c>
      <c r="G114" s="1">
        <v>3</v>
      </c>
      <c r="H114" s="1">
        <v>14.5</v>
      </c>
      <c r="I114" s="1"/>
      <c r="J114" s="1"/>
    </row>
    <row r="115" spans="1:10" x14ac:dyDescent="0.3">
      <c r="A115" t="str">
        <f t="shared" si="2"/>
        <v>APG</v>
      </c>
      <c r="B115">
        <f t="shared" si="3"/>
        <v>4906</v>
      </c>
      <c r="D115" s="1"/>
      <c r="E115" s="1" t="s">
        <v>108</v>
      </c>
      <c r="F115" s="1">
        <v>98</v>
      </c>
      <c r="G115" s="1">
        <v>5</v>
      </c>
      <c r="H115" s="1">
        <v>14.5</v>
      </c>
      <c r="I115" s="1"/>
      <c r="J115" s="1"/>
    </row>
    <row r="116" spans="1:10" x14ac:dyDescent="0.3">
      <c r="A116" t="str">
        <f t="shared" si="2"/>
        <v>APG</v>
      </c>
      <c r="B116">
        <f t="shared" si="3"/>
        <v>1606</v>
      </c>
      <c r="D116" s="1"/>
      <c r="E116" s="1" t="s">
        <v>137</v>
      </c>
      <c r="F116" s="1">
        <v>117</v>
      </c>
      <c r="G116" s="1">
        <v>8</v>
      </c>
      <c r="H116" s="1">
        <v>14</v>
      </c>
      <c r="I116" s="1"/>
      <c r="J116" s="1"/>
    </row>
    <row r="117" spans="1:10" x14ac:dyDescent="0.3">
      <c r="A117" t="str">
        <f t="shared" si="2"/>
        <v>APG</v>
      </c>
      <c r="B117">
        <f t="shared" si="3"/>
        <v>8806</v>
      </c>
      <c r="D117" s="1"/>
      <c r="E117" s="1" t="s">
        <v>141</v>
      </c>
      <c r="F117" s="1">
        <v>122</v>
      </c>
      <c r="G117" s="1">
        <v>1</v>
      </c>
      <c r="H117" s="1">
        <v>13.9</v>
      </c>
      <c r="I117" s="1"/>
      <c r="J117" s="1"/>
    </row>
    <row r="118" spans="1:10" x14ac:dyDescent="0.3">
      <c r="A118" t="str">
        <f t="shared" si="2"/>
        <v>APG</v>
      </c>
      <c r="B118">
        <f t="shared" si="3"/>
        <v>6906</v>
      </c>
      <c r="D118" s="1"/>
      <c r="E118" s="1" t="s">
        <v>114</v>
      </c>
      <c r="F118" s="1">
        <v>125</v>
      </c>
      <c r="G118" s="1">
        <v>7</v>
      </c>
      <c r="H118" s="1">
        <v>13.8</v>
      </c>
      <c r="I118" s="1"/>
      <c r="J118" s="1"/>
    </row>
    <row r="119" spans="1:10" x14ac:dyDescent="0.3">
      <c r="A119" t="str">
        <f t="shared" si="2"/>
        <v>APG</v>
      </c>
      <c r="B119">
        <f t="shared" si="3"/>
        <v>7906</v>
      </c>
      <c r="D119" s="1"/>
      <c r="E119" s="1" t="s">
        <v>103</v>
      </c>
      <c r="F119" s="1">
        <v>132</v>
      </c>
      <c r="G119" s="1">
        <v>3</v>
      </c>
      <c r="H119" s="1">
        <v>13.7</v>
      </c>
      <c r="I119" s="1"/>
      <c r="J119" s="1"/>
    </row>
    <row r="120" spans="1:10" x14ac:dyDescent="0.3">
      <c r="A120" t="str">
        <f t="shared" si="2"/>
        <v>APG</v>
      </c>
      <c r="B120">
        <f t="shared" si="3"/>
        <v>12706</v>
      </c>
      <c r="D120" s="1"/>
      <c r="E120" s="1" t="s">
        <v>13</v>
      </c>
      <c r="F120" s="1">
        <v>142</v>
      </c>
      <c r="G120" s="1">
        <v>8</v>
      </c>
      <c r="H120" s="1">
        <v>13.5</v>
      </c>
      <c r="I120" s="1"/>
      <c r="J120" s="1"/>
    </row>
    <row r="121" spans="1:10" x14ac:dyDescent="0.3">
      <c r="A121" t="str">
        <f t="shared" si="2"/>
        <v>APG</v>
      </c>
      <c r="B121">
        <f t="shared" si="3"/>
        <v>12906</v>
      </c>
      <c r="D121" s="1"/>
      <c r="E121" s="1" t="s">
        <v>132</v>
      </c>
      <c r="F121" s="1">
        <v>148</v>
      </c>
      <c r="G121" s="1">
        <v>7</v>
      </c>
      <c r="H121" s="1">
        <v>13.4</v>
      </c>
      <c r="I121" s="1"/>
      <c r="J121" s="1"/>
    </row>
    <row r="122" spans="1:10" x14ac:dyDescent="0.3">
      <c r="A122" t="str">
        <f t="shared" si="2"/>
        <v>APG</v>
      </c>
      <c r="B122">
        <f t="shared" si="3"/>
        <v>12106</v>
      </c>
      <c r="D122" s="1"/>
      <c r="E122" s="1" t="s">
        <v>140</v>
      </c>
      <c r="F122" s="1">
        <v>152</v>
      </c>
      <c r="G122" s="1">
        <v>3</v>
      </c>
      <c r="H122" s="1">
        <v>13.4</v>
      </c>
      <c r="I122" s="1"/>
      <c r="J122" s="1"/>
    </row>
    <row r="123" spans="1:10" x14ac:dyDescent="0.3">
      <c r="A123" t="str">
        <f t="shared" si="2"/>
        <v>APG</v>
      </c>
      <c r="B123">
        <f t="shared" si="3"/>
        <v>4306</v>
      </c>
      <c r="D123" s="1"/>
      <c r="E123" s="1" t="s">
        <v>125</v>
      </c>
      <c r="F123" s="1">
        <v>155</v>
      </c>
      <c r="G123" s="1">
        <v>9</v>
      </c>
      <c r="H123" s="1">
        <v>13.3</v>
      </c>
      <c r="I123" s="1"/>
      <c r="J123" s="1"/>
    </row>
    <row r="124" spans="1:10" x14ac:dyDescent="0.3">
      <c r="A124" t="str">
        <f t="shared" si="2"/>
        <v>APG</v>
      </c>
      <c r="B124">
        <f t="shared" si="3"/>
        <v>11306</v>
      </c>
      <c r="D124" s="1"/>
      <c r="E124" s="1" t="s">
        <v>126</v>
      </c>
      <c r="F124" s="1">
        <v>156</v>
      </c>
      <c r="G124" s="1">
        <v>5</v>
      </c>
      <c r="H124" s="1">
        <v>13.3</v>
      </c>
      <c r="I124" s="1"/>
      <c r="J124" s="1"/>
    </row>
    <row r="125" spans="1:10" x14ac:dyDescent="0.3">
      <c r="A125" t="str">
        <f t="shared" si="2"/>
        <v>APG</v>
      </c>
      <c r="B125">
        <f t="shared" si="3"/>
        <v>12006</v>
      </c>
      <c r="D125" s="1"/>
      <c r="E125" s="1" t="s">
        <v>135</v>
      </c>
      <c r="F125" s="1">
        <v>162</v>
      </c>
      <c r="G125" s="1">
        <v>5</v>
      </c>
      <c r="H125" s="1">
        <v>13.2</v>
      </c>
      <c r="I125" s="1"/>
      <c r="J125" s="1"/>
    </row>
    <row r="126" spans="1:10" x14ac:dyDescent="0.3">
      <c r="A126" t="str">
        <f t="shared" si="2"/>
        <v>APG</v>
      </c>
      <c r="B126">
        <f t="shared" si="3"/>
        <v>2806</v>
      </c>
      <c r="D126" s="1"/>
      <c r="E126" s="1" t="s">
        <v>106</v>
      </c>
      <c r="F126" s="1">
        <v>174</v>
      </c>
      <c r="G126" s="1">
        <v>12</v>
      </c>
      <c r="H126" s="1">
        <v>13.1</v>
      </c>
      <c r="I126" s="1"/>
      <c r="J126" s="1"/>
    </row>
    <row r="127" spans="1:10" x14ac:dyDescent="0.3">
      <c r="A127" t="str">
        <f t="shared" si="2"/>
        <v>APG</v>
      </c>
      <c r="B127">
        <f t="shared" si="3"/>
        <v>1906</v>
      </c>
      <c r="D127" s="1"/>
      <c r="E127" s="1" t="s">
        <v>112</v>
      </c>
      <c r="F127" s="1">
        <v>175</v>
      </c>
      <c r="G127" s="1">
        <v>11</v>
      </c>
      <c r="H127" s="1">
        <v>13.1</v>
      </c>
      <c r="I127" s="1"/>
      <c r="J127" s="1"/>
    </row>
    <row r="128" spans="1:10" x14ac:dyDescent="0.3">
      <c r="A128" t="str">
        <f t="shared" si="2"/>
        <v>APG</v>
      </c>
      <c r="B128">
        <f t="shared" si="3"/>
        <v>1206</v>
      </c>
      <c r="D128" s="1"/>
      <c r="E128" s="1" t="s">
        <v>130</v>
      </c>
      <c r="F128" s="1">
        <v>182</v>
      </c>
      <c r="G128" s="1">
        <v>8</v>
      </c>
      <c r="H128" s="1">
        <v>13</v>
      </c>
      <c r="I128" s="1"/>
      <c r="J128" s="1"/>
    </row>
    <row r="129" spans="1:10" x14ac:dyDescent="0.3">
      <c r="A129" t="str">
        <f t="shared" si="2"/>
        <v>APG</v>
      </c>
      <c r="B129">
        <f t="shared" si="3"/>
        <v>8206</v>
      </c>
      <c r="D129" s="1"/>
      <c r="E129" s="1" t="s">
        <v>131</v>
      </c>
      <c r="F129" s="1">
        <v>182</v>
      </c>
      <c r="G129" s="1">
        <v>6</v>
      </c>
      <c r="H129" s="1">
        <v>13</v>
      </c>
      <c r="I129" s="1"/>
      <c r="J129" s="1"/>
    </row>
    <row r="130" spans="1:10" x14ac:dyDescent="0.3">
      <c r="A130" t="str">
        <f t="shared" ref="A130:A193" si="4">IF(NOT(D130=""),INDEX(statAbbr,MATCH(D130,statOfficial,0),1),A129)</f>
        <v>APG</v>
      </c>
      <c r="B130">
        <f t="shared" ref="B130:B193" si="5">INDEX(statID,MATCH(A130,statAbbr,0),1)+INDEX(teamID,MATCH(E130,teamRawName,0))</f>
        <v>1706</v>
      </c>
      <c r="D130" s="1"/>
      <c r="E130" s="1" t="s">
        <v>133</v>
      </c>
      <c r="F130" s="1">
        <v>197</v>
      </c>
      <c r="G130" s="1">
        <v>2</v>
      </c>
      <c r="H130" s="1">
        <v>12.9</v>
      </c>
      <c r="I130" s="1"/>
      <c r="J130" s="1"/>
    </row>
    <row r="131" spans="1:10" x14ac:dyDescent="0.3">
      <c r="A131" t="str">
        <f t="shared" si="4"/>
        <v>APG</v>
      </c>
      <c r="B131">
        <f t="shared" si="5"/>
        <v>11606</v>
      </c>
      <c r="D131" s="1"/>
      <c r="E131" s="1" t="s">
        <v>121</v>
      </c>
      <c r="F131" s="1">
        <v>206</v>
      </c>
      <c r="G131" s="1">
        <v>4</v>
      </c>
      <c r="H131" s="1">
        <v>12.8</v>
      </c>
      <c r="I131" s="1"/>
      <c r="J131" s="1"/>
    </row>
    <row r="132" spans="1:10" x14ac:dyDescent="0.3">
      <c r="A132" t="str">
        <f t="shared" si="4"/>
        <v>APG</v>
      </c>
      <c r="B132">
        <f t="shared" si="5"/>
        <v>11406</v>
      </c>
      <c r="D132" s="1"/>
      <c r="E132" s="1" t="s">
        <v>138</v>
      </c>
      <c r="F132" s="1">
        <v>210</v>
      </c>
      <c r="G132" s="1">
        <v>3</v>
      </c>
      <c r="H132" s="1">
        <v>12.7</v>
      </c>
      <c r="I132" s="1"/>
      <c r="J132" s="1"/>
    </row>
    <row r="133" spans="1:10" x14ac:dyDescent="0.3">
      <c r="A133" t="str">
        <f t="shared" si="4"/>
        <v>APG</v>
      </c>
      <c r="B133">
        <f t="shared" si="5"/>
        <v>4206</v>
      </c>
      <c r="D133" s="1"/>
      <c r="E133" s="1" t="s">
        <v>123</v>
      </c>
      <c r="F133" s="1">
        <v>212</v>
      </c>
      <c r="G133" s="1">
        <v>10</v>
      </c>
      <c r="H133" s="1">
        <v>12.7</v>
      </c>
      <c r="I133" s="1"/>
      <c r="J133" s="1"/>
    </row>
    <row r="134" spans="1:10" x14ac:dyDescent="0.3">
      <c r="A134" t="str">
        <f t="shared" si="4"/>
        <v>APG</v>
      </c>
      <c r="B134">
        <f t="shared" si="5"/>
        <v>10306</v>
      </c>
      <c r="D134" s="1"/>
      <c r="E134" s="1" t="s">
        <v>134</v>
      </c>
      <c r="F134" s="1">
        <v>236</v>
      </c>
      <c r="G134" s="1">
        <v>8</v>
      </c>
      <c r="H134" s="1">
        <v>12.4</v>
      </c>
      <c r="I134" s="1"/>
      <c r="J134" s="1"/>
    </row>
    <row r="135" spans="1:10" x14ac:dyDescent="0.3">
      <c r="A135" t="str">
        <f t="shared" si="4"/>
        <v>APG</v>
      </c>
      <c r="B135">
        <f t="shared" si="5"/>
        <v>2106</v>
      </c>
      <c r="D135" s="1"/>
      <c r="E135" s="1" t="s">
        <v>136</v>
      </c>
      <c r="F135" s="1">
        <v>251</v>
      </c>
      <c r="G135" s="1">
        <v>10</v>
      </c>
      <c r="H135" s="1">
        <v>12.2</v>
      </c>
      <c r="I135" s="1"/>
      <c r="J135" s="1"/>
    </row>
    <row r="136" spans="1:10" x14ac:dyDescent="0.3">
      <c r="A136" t="str">
        <f t="shared" si="4"/>
        <v>APG</v>
      </c>
      <c r="B136">
        <f t="shared" si="5"/>
        <v>5806</v>
      </c>
      <c r="D136" s="1"/>
      <c r="E136" s="1" t="s">
        <v>139</v>
      </c>
      <c r="F136" s="1">
        <v>265</v>
      </c>
      <c r="G136" s="1">
        <v>7</v>
      </c>
      <c r="H136" s="1">
        <v>12.1</v>
      </c>
      <c r="I136" s="1"/>
      <c r="J136" s="1"/>
    </row>
    <row r="137" spans="1:10" x14ac:dyDescent="0.3">
      <c r="A137" t="str">
        <f t="shared" si="4"/>
        <v>APG</v>
      </c>
      <c r="B137">
        <f t="shared" si="5"/>
        <v>3606</v>
      </c>
      <c r="D137" s="1"/>
      <c r="E137" s="1" t="s">
        <v>129</v>
      </c>
      <c r="F137" s="1">
        <v>299</v>
      </c>
      <c r="G137" s="1">
        <v>13</v>
      </c>
      <c r="H137" s="1">
        <v>11.4</v>
      </c>
      <c r="I137" s="1"/>
      <c r="J137" s="1"/>
    </row>
    <row r="138" spans="1:10" x14ac:dyDescent="0.3">
      <c r="A138" t="str">
        <f t="shared" si="4"/>
        <v>APG</v>
      </c>
      <c r="B138">
        <f t="shared" si="5"/>
        <v>12806</v>
      </c>
      <c r="D138" s="1"/>
      <c r="E138" s="1" t="s">
        <v>142</v>
      </c>
      <c r="F138" s="1">
        <v>332</v>
      </c>
      <c r="G138" s="1">
        <v>11</v>
      </c>
      <c r="H138" s="1">
        <v>10.6</v>
      </c>
      <c r="I138" s="1"/>
      <c r="J138" s="1"/>
    </row>
    <row r="139" spans="1:10" x14ac:dyDescent="0.3">
      <c r="A139" t="str">
        <f t="shared" si="4"/>
        <v>APG</v>
      </c>
      <c r="B139">
        <f t="shared" si="5"/>
        <v>11906</v>
      </c>
      <c r="D139" s="1"/>
      <c r="E139" s="1" t="s">
        <v>143</v>
      </c>
      <c r="F139" s="1">
        <v>346</v>
      </c>
      <c r="G139" s="1">
        <v>11</v>
      </c>
      <c r="H139" s="1">
        <v>9.8000000000000007</v>
      </c>
      <c r="I139" s="1"/>
      <c r="J139" s="1"/>
    </row>
    <row r="140" spans="1:10" x14ac:dyDescent="0.3">
      <c r="A140" t="str">
        <f t="shared" si="4"/>
        <v>Bench</v>
      </c>
      <c r="B140">
        <f t="shared" si="5"/>
        <v>4507</v>
      </c>
      <c r="D140" s="1" t="s">
        <v>145</v>
      </c>
      <c r="E140" s="1" t="s">
        <v>84</v>
      </c>
      <c r="F140" s="1">
        <v>4</v>
      </c>
      <c r="G140" s="1">
        <v>1</v>
      </c>
      <c r="H140" s="1">
        <v>33.71</v>
      </c>
      <c r="I140" s="1" t="s">
        <v>146</v>
      </c>
      <c r="J140" s="1">
        <v>36.03</v>
      </c>
    </row>
    <row r="141" spans="1:10" x14ac:dyDescent="0.3">
      <c r="A141" t="str">
        <f t="shared" si="4"/>
        <v>Bench</v>
      </c>
      <c r="B141">
        <f t="shared" si="5"/>
        <v>2707</v>
      </c>
      <c r="D141" s="1"/>
      <c r="E141" s="1" t="s">
        <v>7</v>
      </c>
      <c r="F141" s="1">
        <v>5</v>
      </c>
      <c r="G141" s="1">
        <v>1</v>
      </c>
      <c r="H141" s="1">
        <v>33.5</v>
      </c>
      <c r="I141" s="1"/>
      <c r="J141" s="1"/>
    </row>
    <row r="142" spans="1:10" x14ac:dyDescent="0.3">
      <c r="A142" t="str">
        <f t="shared" si="4"/>
        <v>Bench</v>
      </c>
      <c r="B142">
        <f t="shared" si="5"/>
        <v>9907</v>
      </c>
      <c r="D142" s="1"/>
      <c r="E142" s="1" t="s">
        <v>113</v>
      </c>
      <c r="F142" s="1">
        <v>6</v>
      </c>
      <c r="G142" s="1">
        <v>1</v>
      </c>
      <c r="H142" s="1">
        <v>33.29</v>
      </c>
      <c r="I142" s="1"/>
      <c r="J142" s="1"/>
    </row>
    <row r="143" spans="1:10" x14ac:dyDescent="0.3">
      <c r="A143" t="str">
        <f t="shared" si="4"/>
        <v>Bench</v>
      </c>
      <c r="B143">
        <f t="shared" si="5"/>
        <v>5507</v>
      </c>
      <c r="D143" s="1"/>
      <c r="E143" s="1" t="s">
        <v>86</v>
      </c>
      <c r="F143" s="1">
        <v>7</v>
      </c>
      <c r="G143" s="1">
        <v>2</v>
      </c>
      <c r="H143" s="1">
        <v>32.61</v>
      </c>
      <c r="I143" s="1"/>
      <c r="J143" s="1"/>
    </row>
    <row r="144" spans="1:10" x14ac:dyDescent="0.3">
      <c r="A144" t="str">
        <f t="shared" si="4"/>
        <v>Bench</v>
      </c>
      <c r="B144">
        <f t="shared" si="5"/>
        <v>11507</v>
      </c>
      <c r="D144" s="1"/>
      <c r="E144" s="1" t="s">
        <v>97</v>
      </c>
      <c r="F144" s="1">
        <v>11</v>
      </c>
      <c r="G144" s="1">
        <v>1</v>
      </c>
      <c r="H144" s="1">
        <v>30.06</v>
      </c>
      <c r="I144" s="1"/>
      <c r="J144" s="1"/>
    </row>
    <row r="145" spans="1:10" x14ac:dyDescent="0.3">
      <c r="A145" t="str">
        <f t="shared" si="4"/>
        <v>Bench</v>
      </c>
      <c r="B145">
        <f t="shared" si="5"/>
        <v>12107</v>
      </c>
      <c r="D145" s="1"/>
      <c r="E145" s="1" t="s">
        <v>140</v>
      </c>
      <c r="F145" s="1">
        <v>18</v>
      </c>
      <c r="G145" s="1">
        <v>2</v>
      </c>
      <c r="H145" s="1">
        <v>28.79</v>
      </c>
      <c r="I145" s="1"/>
      <c r="J145" s="1"/>
    </row>
    <row r="146" spans="1:10" x14ac:dyDescent="0.3">
      <c r="A146" t="str">
        <f t="shared" si="4"/>
        <v>Bench</v>
      </c>
      <c r="B146">
        <f t="shared" si="5"/>
        <v>5607</v>
      </c>
      <c r="D146" s="1"/>
      <c r="E146" s="1" t="s">
        <v>62</v>
      </c>
      <c r="F146" s="1">
        <v>28</v>
      </c>
      <c r="G146" s="1">
        <v>2</v>
      </c>
      <c r="H146" s="1">
        <v>26.94</v>
      </c>
      <c r="I146" s="1"/>
      <c r="J146" s="1"/>
    </row>
    <row r="147" spans="1:10" x14ac:dyDescent="0.3">
      <c r="A147" t="str">
        <f t="shared" si="4"/>
        <v>Bench</v>
      </c>
      <c r="B147">
        <f t="shared" si="5"/>
        <v>11407</v>
      </c>
      <c r="D147" s="1"/>
      <c r="E147" s="1" t="s">
        <v>138</v>
      </c>
      <c r="F147" s="1">
        <v>29</v>
      </c>
      <c r="G147" s="1">
        <v>1</v>
      </c>
      <c r="H147" s="1">
        <v>26.91</v>
      </c>
      <c r="I147" s="1"/>
      <c r="J147" s="1"/>
    </row>
    <row r="148" spans="1:10" x14ac:dyDescent="0.3">
      <c r="A148" t="str">
        <f t="shared" si="4"/>
        <v>Bench</v>
      </c>
      <c r="B148">
        <f t="shared" si="5"/>
        <v>207</v>
      </c>
      <c r="D148" s="1"/>
      <c r="E148" s="1" t="s">
        <v>98</v>
      </c>
      <c r="F148" s="1">
        <v>38</v>
      </c>
      <c r="G148" s="1">
        <v>3</v>
      </c>
      <c r="H148" s="1">
        <v>25.65</v>
      </c>
      <c r="I148" s="1"/>
      <c r="J148" s="1"/>
    </row>
    <row r="149" spans="1:10" x14ac:dyDescent="0.3">
      <c r="A149" t="str">
        <f t="shared" si="4"/>
        <v>Bench</v>
      </c>
      <c r="B149">
        <f t="shared" si="5"/>
        <v>1607</v>
      </c>
      <c r="D149" s="1"/>
      <c r="E149" s="1" t="s">
        <v>137</v>
      </c>
      <c r="F149" s="1">
        <v>40</v>
      </c>
      <c r="G149" s="1">
        <v>6</v>
      </c>
      <c r="H149" s="1">
        <v>25.57</v>
      </c>
      <c r="I149" s="1"/>
      <c r="J149" s="1"/>
    </row>
    <row r="150" spans="1:10" x14ac:dyDescent="0.3">
      <c r="A150" t="str">
        <f t="shared" si="4"/>
        <v>Bench</v>
      </c>
      <c r="B150">
        <f t="shared" si="5"/>
        <v>3707</v>
      </c>
      <c r="D150" s="1"/>
      <c r="E150" s="1" t="s">
        <v>115</v>
      </c>
      <c r="F150" s="1">
        <v>47</v>
      </c>
      <c r="G150" s="1">
        <v>7</v>
      </c>
      <c r="H150" s="1">
        <v>25.11</v>
      </c>
      <c r="I150" s="1"/>
      <c r="J150" s="1"/>
    </row>
    <row r="151" spans="1:10" x14ac:dyDescent="0.3">
      <c r="A151" t="str">
        <f t="shared" si="4"/>
        <v>Bench</v>
      </c>
      <c r="B151">
        <f t="shared" si="5"/>
        <v>8407</v>
      </c>
      <c r="D151" s="1"/>
      <c r="E151" s="1" t="s">
        <v>109</v>
      </c>
      <c r="F151" s="1">
        <v>54</v>
      </c>
      <c r="G151" s="1">
        <v>1</v>
      </c>
      <c r="H151" s="1">
        <v>24.49</v>
      </c>
      <c r="I151" s="1"/>
      <c r="J151" s="1"/>
    </row>
    <row r="152" spans="1:10" x14ac:dyDescent="0.3">
      <c r="A152" t="str">
        <f t="shared" si="4"/>
        <v>Bench</v>
      </c>
      <c r="B152">
        <f t="shared" si="5"/>
        <v>4807</v>
      </c>
      <c r="D152" s="1"/>
      <c r="E152" s="1" t="s">
        <v>104</v>
      </c>
      <c r="F152" s="1">
        <v>69</v>
      </c>
      <c r="G152" s="1">
        <v>5</v>
      </c>
      <c r="H152" s="1">
        <v>23.75</v>
      </c>
      <c r="I152" s="1"/>
      <c r="J152" s="1"/>
    </row>
    <row r="153" spans="1:10" x14ac:dyDescent="0.3">
      <c r="A153" t="str">
        <f t="shared" si="4"/>
        <v>Bench</v>
      </c>
      <c r="B153">
        <f t="shared" si="5"/>
        <v>12907</v>
      </c>
      <c r="D153" s="1"/>
      <c r="E153" s="1" t="s">
        <v>132</v>
      </c>
      <c r="F153" s="1">
        <v>78</v>
      </c>
      <c r="G153" s="1">
        <v>4</v>
      </c>
      <c r="H153" s="1">
        <v>23.24</v>
      </c>
      <c r="I153" s="1"/>
      <c r="J153" s="1"/>
    </row>
    <row r="154" spans="1:10" x14ac:dyDescent="0.3">
      <c r="A154" t="str">
        <f t="shared" si="4"/>
        <v>Bench</v>
      </c>
      <c r="B154">
        <f t="shared" si="5"/>
        <v>2907</v>
      </c>
      <c r="D154" s="1"/>
      <c r="E154" s="1" t="s">
        <v>96</v>
      </c>
      <c r="F154" s="1">
        <v>84</v>
      </c>
      <c r="G154" s="1">
        <v>1</v>
      </c>
      <c r="H154" s="1">
        <v>22.86</v>
      </c>
      <c r="I154" s="1"/>
      <c r="J154" s="1"/>
    </row>
    <row r="155" spans="1:10" x14ac:dyDescent="0.3">
      <c r="A155" t="str">
        <f t="shared" si="4"/>
        <v>Bench</v>
      </c>
      <c r="B155">
        <f t="shared" si="5"/>
        <v>7907</v>
      </c>
      <c r="D155" s="1"/>
      <c r="E155" s="1" t="s">
        <v>103</v>
      </c>
      <c r="F155" s="1">
        <v>89</v>
      </c>
      <c r="G155" s="1">
        <v>2</v>
      </c>
      <c r="H155" s="1">
        <v>22.71</v>
      </c>
      <c r="I155" s="1"/>
      <c r="J155" s="1"/>
    </row>
    <row r="156" spans="1:10" x14ac:dyDescent="0.3">
      <c r="A156" t="str">
        <f t="shared" si="4"/>
        <v>Bench</v>
      </c>
      <c r="B156">
        <f t="shared" si="5"/>
        <v>12707</v>
      </c>
      <c r="D156" s="1"/>
      <c r="E156" s="1" t="s">
        <v>13</v>
      </c>
      <c r="F156" s="1">
        <v>93</v>
      </c>
      <c r="G156" s="1">
        <v>4</v>
      </c>
      <c r="H156" s="1">
        <v>22.46</v>
      </c>
      <c r="I156" s="1"/>
      <c r="J156" s="1"/>
    </row>
    <row r="157" spans="1:10" x14ac:dyDescent="0.3">
      <c r="A157" t="str">
        <f t="shared" si="4"/>
        <v>Bench</v>
      </c>
      <c r="B157">
        <f t="shared" si="5"/>
        <v>5707</v>
      </c>
      <c r="D157" s="1"/>
      <c r="E157" s="1" t="s">
        <v>120</v>
      </c>
      <c r="F157" s="1">
        <v>101</v>
      </c>
      <c r="G157" s="1">
        <v>8</v>
      </c>
      <c r="H157" s="1">
        <v>21.92</v>
      </c>
      <c r="I157" s="1"/>
      <c r="J157" s="1"/>
    </row>
    <row r="158" spans="1:10" x14ac:dyDescent="0.3">
      <c r="A158" t="str">
        <f t="shared" si="4"/>
        <v>Bench</v>
      </c>
      <c r="B158">
        <f t="shared" si="5"/>
        <v>607</v>
      </c>
      <c r="D158" s="1"/>
      <c r="E158" s="1" t="s">
        <v>100</v>
      </c>
      <c r="F158" s="1">
        <v>103</v>
      </c>
      <c r="G158" s="1">
        <v>6</v>
      </c>
      <c r="H158" s="1">
        <v>21.86</v>
      </c>
      <c r="I158" s="1"/>
      <c r="J158" s="1"/>
    </row>
    <row r="159" spans="1:10" x14ac:dyDescent="0.3">
      <c r="A159" t="str">
        <f t="shared" si="4"/>
        <v>Bench</v>
      </c>
      <c r="B159">
        <f t="shared" si="5"/>
        <v>11907</v>
      </c>
      <c r="D159" s="1"/>
      <c r="E159" s="1" t="s">
        <v>143</v>
      </c>
      <c r="F159" s="1">
        <v>107</v>
      </c>
      <c r="G159" s="1">
        <v>5</v>
      </c>
      <c r="H159" s="1">
        <v>21.67</v>
      </c>
      <c r="I159" s="1"/>
      <c r="J159" s="1"/>
    </row>
    <row r="160" spans="1:10" x14ac:dyDescent="0.3">
      <c r="A160" t="str">
        <f t="shared" si="4"/>
        <v>Bench</v>
      </c>
      <c r="B160">
        <f t="shared" si="5"/>
        <v>7307</v>
      </c>
      <c r="D160" s="1"/>
      <c r="E160" s="1" t="s">
        <v>111</v>
      </c>
      <c r="F160" s="1">
        <v>110</v>
      </c>
      <c r="G160" s="1">
        <v>1</v>
      </c>
      <c r="H160" s="1">
        <v>21.47</v>
      </c>
      <c r="I160" s="1"/>
      <c r="J160" s="1"/>
    </row>
    <row r="161" spans="1:10" x14ac:dyDescent="0.3">
      <c r="A161" t="str">
        <f t="shared" si="4"/>
        <v>Bench</v>
      </c>
      <c r="B161">
        <f t="shared" si="5"/>
        <v>12407</v>
      </c>
      <c r="D161" s="1"/>
      <c r="E161" s="1" t="s">
        <v>128</v>
      </c>
      <c r="F161" s="1">
        <v>112</v>
      </c>
      <c r="G161" s="1">
        <v>4</v>
      </c>
      <c r="H161" s="1">
        <v>21.31</v>
      </c>
      <c r="I161" s="1"/>
      <c r="J161" s="1"/>
    </row>
    <row r="162" spans="1:10" x14ac:dyDescent="0.3">
      <c r="A162" t="str">
        <f t="shared" si="4"/>
        <v>Bench</v>
      </c>
      <c r="B162">
        <f t="shared" si="5"/>
        <v>8007</v>
      </c>
      <c r="D162" s="1"/>
      <c r="E162" s="1" t="s">
        <v>117</v>
      </c>
      <c r="F162" s="1">
        <v>119</v>
      </c>
      <c r="G162" s="1">
        <v>5</v>
      </c>
      <c r="H162" s="1">
        <v>21.08</v>
      </c>
      <c r="I162" s="1"/>
      <c r="J162" s="1"/>
    </row>
    <row r="163" spans="1:10" x14ac:dyDescent="0.3">
      <c r="A163" t="str">
        <f t="shared" si="4"/>
        <v>Bench</v>
      </c>
      <c r="B163">
        <f t="shared" si="5"/>
        <v>2207</v>
      </c>
      <c r="D163" s="1"/>
      <c r="E163" s="1" t="s">
        <v>119</v>
      </c>
      <c r="F163" s="1">
        <v>147</v>
      </c>
      <c r="G163" s="1">
        <v>7</v>
      </c>
      <c r="H163" s="1">
        <v>20.18</v>
      </c>
      <c r="I163" s="1"/>
      <c r="J163" s="1"/>
    </row>
    <row r="164" spans="1:10" x14ac:dyDescent="0.3">
      <c r="A164" t="str">
        <f t="shared" si="4"/>
        <v>Bench</v>
      </c>
      <c r="B164">
        <f t="shared" si="5"/>
        <v>3207</v>
      </c>
      <c r="D164" s="1"/>
      <c r="E164" s="1" t="s">
        <v>127</v>
      </c>
      <c r="F164" s="1">
        <v>159</v>
      </c>
      <c r="G164" s="1">
        <v>8</v>
      </c>
      <c r="H164" s="1">
        <v>19.54</v>
      </c>
      <c r="I164" s="1"/>
      <c r="J164" s="1"/>
    </row>
    <row r="165" spans="1:10" x14ac:dyDescent="0.3">
      <c r="A165" t="str">
        <f t="shared" si="4"/>
        <v>Bench</v>
      </c>
      <c r="B165">
        <f t="shared" si="5"/>
        <v>4307</v>
      </c>
      <c r="D165" s="1"/>
      <c r="E165" s="1" t="s">
        <v>125</v>
      </c>
      <c r="F165" s="1">
        <v>169</v>
      </c>
      <c r="G165" s="1">
        <v>5</v>
      </c>
      <c r="H165" s="1">
        <v>19.18</v>
      </c>
      <c r="I165" s="1"/>
      <c r="J165" s="1"/>
    </row>
    <row r="166" spans="1:10" x14ac:dyDescent="0.3">
      <c r="A166" t="str">
        <f t="shared" si="4"/>
        <v>Bench</v>
      </c>
      <c r="B166">
        <f t="shared" si="5"/>
        <v>12807</v>
      </c>
      <c r="D166" s="1"/>
      <c r="E166" s="1" t="s">
        <v>142</v>
      </c>
      <c r="F166" s="1">
        <v>170</v>
      </c>
      <c r="G166" s="1">
        <v>6</v>
      </c>
      <c r="H166" s="1">
        <v>19.18</v>
      </c>
      <c r="I166" s="1"/>
      <c r="J166" s="1"/>
    </row>
    <row r="167" spans="1:10" x14ac:dyDescent="0.3">
      <c r="A167" t="str">
        <f t="shared" si="4"/>
        <v>Bench</v>
      </c>
      <c r="B167">
        <f t="shared" si="5"/>
        <v>3607</v>
      </c>
      <c r="D167" s="1"/>
      <c r="E167" s="1" t="s">
        <v>129</v>
      </c>
      <c r="F167" s="1">
        <v>173</v>
      </c>
      <c r="G167" s="1">
        <v>9</v>
      </c>
      <c r="H167" s="1">
        <v>19.059999999999999</v>
      </c>
      <c r="I167" s="1"/>
      <c r="J167" s="1"/>
    </row>
    <row r="168" spans="1:10" x14ac:dyDescent="0.3">
      <c r="A168" t="str">
        <f t="shared" si="4"/>
        <v>Bench</v>
      </c>
      <c r="B168">
        <f t="shared" si="5"/>
        <v>3507</v>
      </c>
      <c r="D168" s="1"/>
      <c r="E168" s="1" t="s">
        <v>87</v>
      </c>
      <c r="F168" s="1">
        <v>178</v>
      </c>
      <c r="G168" s="1">
        <v>10</v>
      </c>
      <c r="H168" s="1">
        <v>18.86</v>
      </c>
      <c r="I168" s="1"/>
      <c r="J168" s="1"/>
    </row>
    <row r="169" spans="1:10" x14ac:dyDescent="0.3">
      <c r="A169" t="str">
        <f t="shared" si="4"/>
        <v>Bench</v>
      </c>
      <c r="B169">
        <f t="shared" si="5"/>
        <v>1907</v>
      </c>
      <c r="D169" s="1"/>
      <c r="E169" s="1" t="s">
        <v>112</v>
      </c>
      <c r="F169" s="1">
        <v>180</v>
      </c>
      <c r="G169" s="1">
        <v>6</v>
      </c>
      <c r="H169" s="1">
        <v>18.8</v>
      </c>
      <c r="I169" s="1"/>
      <c r="J169" s="1"/>
    </row>
    <row r="170" spans="1:10" x14ac:dyDescent="0.3">
      <c r="A170" t="str">
        <f t="shared" si="4"/>
        <v>Bench</v>
      </c>
      <c r="B170">
        <f t="shared" si="5"/>
        <v>4407</v>
      </c>
      <c r="D170" s="1"/>
      <c r="E170" s="1" t="s">
        <v>83</v>
      </c>
      <c r="F170" s="1">
        <v>183</v>
      </c>
      <c r="G170" s="1">
        <v>6</v>
      </c>
      <c r="H170" s="1">
        <v>18.71</v>
      </c>
      <c r="I170" s="1"/>
      <c r="J170" s="1"/>
    </row>
    <row r="171" spans="1:10" x14ac:dyDescent="0.3">
      <c r="A171" t="str">
        <f t="shared" si="4"/>
        <v>Bench</v>
      </c>
      <c r="B171">
        <f t="shared" si="5"/>
        <v>4707</v>
      </c>
      <c r="D171" s="1"/>
      <c r="E171" s="1" t="s">
        <v>107</v>
      </c>
      <c r="F171" s="1">
        <v>194</v>
      </c>
      <c r="G171" s="1">
        <v>3</v>
      </c>
      <c r="H171" s="1">
        <v>18.36</v>
      </c>
      <c r="I171" s="1"/>
      <c r="J171" s="1"/>
    </row>
    <row r="172" spans="1:10" x14ac:dyDescent="0.3">
      <c r="A172" t="str">
        <f t="shared" si="4"/>
        <v>Bench</v>
      </c>
      <c r="B172">
        <f t="shared" si="5"/>
        <v>6907</v>
      </c>
      <c r="D172" s="1"/>
      <c r="E172" s="1" t="s">
        <v>114</v>
      </c>
      <c r="F172" s="1">
        <v>196</v>
      </c>
      <c r="G172" s="1">
        <v>5</v>
      </c>
      <c r="H172" s="1">
        <v>18.25</v>
      </c>
      <c r="I172" s="1"/>
      <c r="J172" s="1"/>
    </row>
    <row r="173" spans="1:10" x14ac:dyDescent="0.3">
      <c r="A173" t="str">
        <f t="shared" si="4"/>
        <v>Bench</v>
      </c>
      <c r="B173">
        <f t="shared" si="5"/>
        <v>1207</v>
      </c>
      <c r="D173" s="1"/>
      <c r="E173" s="1" t="s">
        <v>130</v>
      </c>
      <c r="F173" s="1">
        <v>198</v>
      </c>
      <c r="G173" s="1">
        <v>4</v>
      </c>
      <c r="H173" s="1">
        <v>18.239999999999998</v>
      </c>
      <c r="I173" s="1"/>
      <c r="J173" s="1"/>
    </row>
    <row r="174" spans="1:10" x14ac:dyDescent="0.3">
      <c r="A174" t="str">
        <f t="shared" si="4"/>
        <v>Bench</v>
      </c>
      <c r="B174">
        <f t="shared" si="5"/>
        <v>1407</v>
      </c>
      <c r="D174" s="1"/>
      <c r="E174" s="1" t="s">
        <v>102</v>
      </c>
      <c r="F174" s="1">
        <v>204</v>
      </c>
      <c r="G174" s="1">
        <v>5</v>
      </c>
      <c r="H174" s="1">
        <v>18.11</v>
      </c>
      <c r="I174" s="1"/>
      <c r="J174" s="1"/>
    </row>
    <row r="175" spans="1:10" x14ac:dyDescent="0.3">
      <c r="A175" t="str">
        <f t="shared" si="4"/>
        <v>Bench</v>
      </c>
      <c r="B175">
        <f t="shared" si="5"/>
        <v>10307</v>
      </c>
      <c r="D175" s="1"/>
      <c r="E175" s="1" t="s">
        <v>134</v>
      </c>
      <c r="F175" s="1">
        <v>205</v>
      </c>
      <c r="G175" s="1">
        <v>6</v>
      </c>
      <c r="H175" s="1">
        <v>17.97</v>
      </c>
      <c r="I175" s="1"/>
      <c r="J175" s="1"/>
    </row>
    <row r="176" spans="1:10" x14ac:dyDescent="0.3">
      <c r="A176" t="str">
        <f t="shared" si="4"/>
        <v>Bench</v>
      </c>
      <c r="B176">
        <f t="shared" si="5"/>
        <v>9107</v>
      </c>
      <c r="D176" s="1"/>
      <c r="E176" s="1" t="s">
        <v>99</v>
      </c>
      <c r="F176" s="1">
        <v>207</v>
      </c>
      <c r="G176" s="1">
        <v>12</v>
      </c>
      <c r="H176" s="1">
        <v>17.760000000000002</v>
      </c>
      <c r="I176" s="1"/>
      <c r="J176" s="1"/>
    </row>
    <row r="177" spans="1:10" x14ac:dyDescent="0.3">
      <c r="A177" t="str">
        <f t="shared" si="4"/>
        <v>Bench</v>
      </c>
      <c r="B177">
        <f t="shared" si="5"/>
        <v>907</v>
      </c>
      <c r="D177" s="1"/>
      <c r="E177" s="1" t="s">
        <v>90</v>
      </c>
      <c r="F177" s="1">
        <v>210</v>
      </c>
      <c r="G177" s="1">
        <v>8</v>
      </c>
      <c r="H177" s="1">
        <v>17.71</v>
      </c>
      <c r="I177" s="1"/>
      <c r="J177" s="1"/>
    </row>
    <row r="178" spans="1:10" x14ac:dyDescent="0.3">
      <c r="A178" t="str">
        <f t="shared" si="4"/>
        <v>Bench</v>
      </c>
      <c r="B178">
        <f t="shared" si="5"/>
        <v>6707</v>
      </c>
      <c r="D178" s="1"/>
      <c r="E178" s="1" t="s">
        <v>118</v>
      </c>
      <c r="F178" s="1">
        <v>212</v>
      </c>
      <c r="G178" s="1">
        <v>9</v>
      </c>
      <c r="H178" s="1">
        <v>17.59</v>
      </c>
      <c r="I178" s="1"/>
      <c r="J178" s="1"/>
    </row>
    <row r="179" spans="1:10" x14ac:dyDescent="0.3">
      <c r="A179" t="str">
        <f t="shared" si="4"/>
        <v>Bench</v>
      </c>
      <c r="B179">
        <f t="shared" si="5"/>
        <v>2807</v>
      </c>
      <c r="D179" s="1"/>
      <c r="E179" s="1" t="s">
        <v>106</v>
      </c>
      <c r="F179" s="1">
        <v>217</v>
      </c>
      <c r="G179" s="1">
        <v>10</v>
      </c>
      <c r="H179" s="1">
        <v>17.46</v>
      </c>
      <c r="I179" s="1"/>
      <c r="J179" s="1"/>
    </row>
    <row r="180" spans="1:10" x14ac:dyDescent="0.3">
      <c r="A180" t="str">
        <f t="shared" si="4"/>
        <v>Bench</v>
      </c>
      <c r="B180">
        <f t="shared" si="5"/>
        <v>5807</v>
      </c>
      <c r="D180" s="1"/>
      <c r="E180" s="1" t="s">
        <v>139</v>
      </c>
      <c r="F180" s="1">
        <v>218</v>
      </c>
      <c r="G180" s="1">
        <v>6</v>
      </c>
      <c r="H180" s="1">
        <v>17.46</v>
      </c>
      <c r="I180" s="1"/>
      <c r="J180" s="1"/>
    </row>
    <row r="181" spans="1:10" x14ac:dyDescent="0.3">
      <c r="A181" t="str">
        <f t="shared" si="4"/>
        <v>Bench</v>
      </c>
      <c r="B181">
        <f t="shared" si="5"/>
        <v>1307</v>
      </c>
      <c r="D181" s="1"/>
      <c r="E181" s="1" t="s">
        <v>82</v>
      </c>
      <c r="F181" s="1">
        <v>219</v>
      </c>
      <c r="G181" s="1">
        <v>6</v>
      </c>
      <c r="H181" s="1">
        <v>17.420000000000002</v>
      </c>
      <c r="I181" s="1"/>
      <c r="J181" s="1"/>
    </row>
    <row r="182" spans="1:10" x14ac:dyDescent="0.3">
      <c r="A182" t="str">
        <f t="shared" si="4"/>
        <v>Bench</v>
      </c>
      <c r="B182">
        <f t="shared" si="5"/>
        <v>4907</v>
      </c>
      <c r="D182" s="1"/>
      <c r="E182" s="1" t="s">
        <v>108</v>
      </c>
      <c r="F182" s="1">
        <v>222</v>
      </c>
      <c r="G182" s="1">
        <v>8</v>
      </c>
      <c r="H182" s="1">
        <v>17.3</v>
      </c>
      <c r="I182" s="1"/>
      <c r="J182" s="1"/>
    </row>
    <row r="183" spans="1:10" x14ac:dyDescent="0.3">
      <c r="A183" t="str">
        <f t="shared" si="4"/>
        <v>Bench</v>
      </c>
      <c r="B183">
        <f t="shared" si="5"/>
        <v>7207</v>
      </c>
      <c r="D183" s="1"/>
      <c r="E183" s="1" t="s">
        <v>116</v>
      </c>
      <c r="F183" s="1">
        <v>225</v>
      </c>
      <c r="G183" s="1">
        <v>11</v>
      </c>
      <c r="H183" s="1">
        <v>17.260000000000002</v>
      </c>
      <c r="I183" s="1"/>
      <c r="J183" s="1"/>
    </row>
    <row r="184" spans="1:10" x14ac:dyDescent="0.3">
      <c r="A184" t="str">
        <f t="shared" si="4"/>
        <v>Bench</v>
      </c>
      <c r="B184">
        <f t="shared" si="5"/>
        <v>2607</v>
      </c>
      <c r="D184" s="1"/>
      <c r="E184" s="1" t="s">
        <v>80</v>
      </c>
      <c r="F184" s="1">
        <v>232</v>
      </c>
      <c r="G184" s="1">
        <v>9</v>
      </c>
      <c r="H184" s="1">
        <v>17.12</v>
      </c>
      <c r="I184" s="1"/>
      <c r="J184" s="1"/>
    </row>
    <row r="185" spans="1:10" x14ac:dyDescent="0.3">
      <c r="A185" t="str">
        <f t="shared" si="4"/>
        <v>Bench</v>
      </c>
      <c r="B185">
        <f t="shared" si="5"/>
        <v>4207</v>
      </c>
      <c r="D185" s="1"/>
      <c r="E185" s="1" t="s">
        <v>123</v>
      </c>
      <c r="F185" s="1">
        <v>233</v>
      </c>
      <c r="G185" s="1">
        <v>9</v>
      </c>
      <c r="H185" s="1">
        <v>17.079999999999998</v>
      </c>
      <c r="I185" s="1"/>
      <c r="J185" s="1"/>
    </row>
    <row r="186" spans="1:10" x14ac:dyDescent="0.3">
      <c r="A186" t="str">
        <f t="shared" si="4"/>
        <v>Bench</v>
      </c>
      <c r="B186">
        <f t="shared" si="5"/>
        <v>3007</v>
      </c>
      <c r="D186" s="1"/>
      <c r="E186" s="1" t="s">
        <v>89</v>
      </c>
      <c r="F186" s="1">
        <v>237</v>
      </c>
      <c r="G186" s="1">
        <v>10</v>
      </c>
      <c r="H186" s="1">
        <v>16.72</v>
      </c>
      <c r="I186" s="1"/>
      <c r="J186" s="1"/>
    </row>
    <row r="187" spans="1:10" x14ac:dyDescent="0.3">
      <c r="A187" t="str">
        <f t="shared" si="4"/>
        <v>Bench</v>
      </c>
      <c r="B187">
        <f t="shared" si="5"/>
        <v>8207</v>
      </c>
      <c r="D187" s="1"/>
      <c r="E187" s="1" t="s">
        <v>131</v>
      </c>
      <c r="F187" s="1">
        <v>239</v>
      </c>
      <c r="G187" s="1">
        <v>6</v>
      </c>
      <c r="H187" s="1">
        <v>16.66</v>
      </c>
      <c r="I187" s="1"/>
      <c r="J187" s="1"/>
    </row>
    <row r="188" spans="1:10" x14ac:dyDescent="0.3">
      <c r="A188" t="str">
        <f t="shared" si="4"/>
        <v>Bench</v>
      </c>
      <c r="B188">
        <f t="shared" si="5"/>
        <v>4607</v>
      </c>
      <c r="D188" s="1"/>
      <c r="E188" s="1" t="s">
        <v>101</v>
      </c>
      <c r="F188" s="1">
        <v>243</v>
      </c>
      <c r="G188" s="1">
        <v>7</v>
      </c>
      <c r="H188" s="1">
        <v>16.59</v>
      </c>
      <c r="I188" s="1"/>
      <c r="J188" s="1"/>
    </row>
    <row r="189" spans="1:10" x14ac:dyDescent="0.3">
      <c r="A189" t="str">
        <f t="shared" si="4"/>
        <v>Bench</v>
      </c>
      <c r="B189">
        <f t="shared" si="5"/>
        <v>2507</v>
      </c>
      <c r="D189" s="1"/>
      <c r="E189" s="1" t="s">
        <v>92</v>
      </c>
      <c r="F189" s="1">
        <v>248</v>
      </c>
      <c r="G189" s="1">
        <v>7</v>
      </c>
      <c r="H189" s="1">
        <v>16.440000000000001</v>
      </c>
      <c r="I189" s="1"/>
      <c r="J189" s="1"/>
    </row>
    <row r="190" spans="1:10" x14ac:dyDescent="0.3">
      <c r="A190" t="str">
        <f t="shared" si="4"/>
        <v>Bench</v>
      </c>
      <c r="B190">
        <f t="shared" si="5"/>
        <v>2307</v>
      </c>
      <c r="D190" s="1"/>
      <c r="E190" s="1" t="s">
        <v>79</v>
      </c>
      <c r="F190" s="1">
        <v>255</v>
      </c>
      <c r="G190" s="1">
        <v>4</v>
      </c>
      <c r="H190" s="1">
        <v>16.149999999999999</v>
      </c>
      <c r="I190" s="1"/>
      <c r="J190" s="1"/>
    </row>
    <row r="191" spans="1:10" x14ac:dyDescent="0.3">
      <c r="A191" t="str">
        <f t="shared" si="4"/>
        <v>Bench</v>
      </c>
      <c r="B191">
        <f t="shared" si="5"/>
        <v>12007</v>
      </c>
      <c r="D191" s="1"/>
      <c r="E191" s="1" t="s">
        <v>135</v>
      </c>
      <c r="F191" s="1">
        <v>266</v>
      </c>
      <c r="G191" s="1">
        <v>7</v>
      </c>
      <c r="H191" s="1">
        <v>15.86</v>
      </c>
      <c r="I191" s="1"/>
      <c r="J191" s="1"/>
    </row>
    <row r="192" spans="1:10" x14ac:dyDescent="0.3">
      <c r="A192" t="str">
        <f t="shared" si="4"/>
        <v>Bench</v>
      </c>
      <c r="B192">
        <f t="shared" si="5"/>
        <v>8807</v>
      </c>
      <c r="D192" s="1"/>
      <c r="E192" s="1" t="s">
        <v>141</v>
      </c>
      <c r="F192" s="1">
        <v>267</v>
      </c>
      <c r="G192" s="1">
        <v>8</v>
      </c>
      <c r="H192" s="1">
        <v>15.8</v>
      </c>
      <c r="I192" s="1"/>
      <c r="J192" s="1"/>
    </row>
    <row r="193" spans="1:10" x14ac:dyDescent="0.3">
      <c r="A193" t="str">
        <f t="shared" si="4"/>
        <v>Bench</v>
      </c>
      <c r="B193">
        <f t="shared" si="5"/>
        <v>1707</v>
      </c>
      <c r="D193" s="1"/>
      <c r="E193" s="1" t="s">
        <v>133</v>
      </c>
      <c r="F193" s="1">
        <v>273</v>
      </c>
      <c r="G193" s="1">
        <v>7</v>
      </c>
      <c r="H193" s="1">
        <v>15.43</v>
      </c>
      <c r="I193" s="1"/>
      <c r="J193" s="1"/>
    </row>
    <row r="194" spans="1:10" x14ac:dyDescent="0.3">
      <c r="A194" t="str">
        <f t="shared" ref="A194:A257" si="6">IF(NOT(D194=""),INDEX(statAbbr,MATCH(D194,statOfficial,0),1),A193)</f>
        <v>Bench</v>
      </c>
      <c r="B194">
        <f t="shared" ref="B194:B257" si="7">INDEX(statID,MATCH(A194,statAbbr,0),1)+INDEX(teamID,MATCH(E194,teamRawName,0))</f>
        <v>11607</v>
      </c>
      <c r="D194" s="1"/>
      <c r="E194" s="1" t="s">
        <v>121</v>
      </c>
      <c r="F194" s="1">
        <v>274</v>
      </c>
      <c r="G194" s="1">
        <v>6</v>
      </c>
      <c r="H194" s="1">
        <v>15.36</v>
      </c>
      <c r="I194" s="1"/>
      <c r="J194" s="1"/>
    </row>
    <row r="195" spans="1:10" x14ac:dyDescent="0.3">
      <c r="A195" t="str">
        <f t="shared" si="6"/>
        <v>Bench</v>
      </c>
      <c r="B195">
        <f t="shared" si="7"/>
        <v>9507</v>
      </c>
      <c r="D195" s="1"/>
      <c r="E195" s="1" t="s">
        <v>85</v>
      </c>
      <c r="F195" s="1">
        <v>279</v>
      </c>
      <c r="G195" s="1">
        <v>11</v>
      </c>
      <c r="H195" s="1">
        <v>15.14</v>
      </c>
      <c r="I195" s="1"/>
      <c r="J195" s="1"/>
    </row>
    <row r="196" spans="1:10" x14ac:dyDescent="0.3">
      <c r="A196" t="str">
        <f t="shared" si="6"/>
        <v>Bench</v>
      </c>
      <c r="B196">
        <f t="shared" si="7"/>
        <v>5007</v>
      </c>
      <c r="D196" s="1"/>
      <c r="E196" s="1" t="s">
        <v>110</v>
      </c>
      <c r="F196" s="1">
        <v>280</v>
      </c>
      <c r="G196" s="1">
        <v>14</v>
      </c>
      <c r="H196" s="1">
        <v>15.09</v>
      </c>
      <c r="I196" s="1"/>
      <c r="J196" s="1"/>
    </row>
    <row r="197" spans="1:10" x14ac:dyDescent="0.3">
      <c r="A197" t="str">
        <f t="shared" si="6"/>
        <v>Bench</v>
      </c>
      <c r="B197">
        <f t="shared" si="7"/>
        <v>12507</v>
      </c>
      <c r="D197" s="1"/>
      <c r="E197" s="1" t="s">
        <v>95</v>
      </c>
      <c r="F197" s="1">
        <v>283</v>
      </c>
      <c r="G197" s="1">
        <v>5</v>
      </c>
      <c r="H197" s="1">
        <v>15.03</v>
      </c>
      <c r="I197" s="1"/>
      <c r="J197" s="1"/>
    </row>
    <row r="198" spans="1:10" x14ac:dyDescent="0.3">
      <c r="A198" t="str">
        <f t="shared" si="6"/>
        <v>Bench</v>
      </c>
      <c r="B198">
        <f t="shared" si="7"/>
        <v>3307</v>
      </c>
      <c r="D198" s="1"/>
      <c r="E198" s="1" t="s">
        <v>91</v>
      </c>
      <c r="F198" s="1">
        <v>288</v>
      </c>
      <c r="G198" s="1">
        <v>8</v>
      </c>
      <c r="H198" s="1">
        <v>14.89</v>
      </c>
      <c r="I198" s="1"/>
      <c r="J198" s="1"/>
    </row>
    <row r="199" spans="1:10" x14ac:dyDescent="0.3">
      <c r="A199" t="str">
        <f t="shared" si="6"/>
        <v>Bench</v>
      </c>
      <c r="B199">
        <f t="shared" si="7"/>
        <v>5407</v>
      </c>
      <c r="D199" s="1"/>
      <c r="E199" s="1" t="s">
        <v>94</v>
      </c>
      <c r="F199" s="1">
        <v>301</v>
      </c>
      <c r="G199" s="1">
        <v>12</v>
      </c>
      <c r="H199" s="1">
        <v>14.22</v>
      </c>
      <c r="I199" s="1"/>
      <c r="J199" s="1"/>
    </row>
    <row r="200" spans="1:10" x14ac:dyDescent="0.3">
      <c r="A200" t="str">
        <f t="shared" si="6"/>
        <v>Bench</v>
      </c>
      <c r="B200">
        <f t="shared" si="7"/>
        <v>4007</v>
      </c>
      <c r="D200" s="1"/>
      <c r="E200" s="1" t="s">
        <v>105</v>
      </c>
      <c r="F200" s="1">
        <v>302</v>
      </c>
      <c r="G200" s="1">
        <v>13</v>
      </c>
      <c r="H200" s="1">
        <v>14.19</v>
      </c>
      <c r="I200" s="1"/>
      <c r="J200" s="1"/>
    </row>
    <row r="201" spans="1:10" x14ac:dyDescent="0.3">
      <c r="A201" t="str">
        <f t="shared" si="6"/>
        <v>Bench</v>
      </c>
      <c r="B201">
        <f t="shared" si="7"/>
        <v>2107</v>
      </c>
      <c r="D201" s="1"/>
      <c r="E201" s="1" t="s">
        <v>136</v>
      </c>
      <c r="F201" s="1">
        <v>306</v>
      </c>
      <c r="G201" s="1">
        <v>9</v>
      </c>
      <c r="H201" s="1">
        <v>13.97</v>
      </c>
      <c r="I201" s="1"/>
      <c r="J201" s="1"/>
    </row>
    <row r="202" spans="1:10" x14ac:dyDescent="0.3">
      <c r="A202" t="str">
        <f t="shared" si="6"/>
        <v>Bench</v>
      </c>
      <c r="B202">
        <f t="shared" si="7"/>
        <v>11307</v>
      </c>
      <c r="D202" s="1"/>
      <c r="E202" s="1" t="s">
        <v>126</v>
      </c>
      <c r="F202" s="1">
        <v>324</v>
      </c>
      <c r="G202" s="1">
        <v>10</v>
      </c>
      <c r="H202" s="1">
        <v>12.97</v>
      </c>
      <c r="I202" s="1"/>
      <c r="J202" s="1"/>
    </row>
    <row r="203" spans="1:10" x14ac:dyDescent="0.3">
      <c r="A203" t="str">
        <f t="shared" si="6"/>
        <v>Bench</v>
      </c>
      <c r="B203">
        <f t="shared" si="7"/>
        <v>1507</v>
      </c>
      <c r="D203" s="1"/>
      <c r="E203" s="1" t="s">
        <v>124</v>
      </c>
      <c r="F203" s="1">
        <v>327</v>
      </c>
      <c r="G203" s="1">
        <v>9</v>
      </c>
      <c r="H203" s="1">
        <v>12.71</v>
      </c>
      <c r="I203" s="1"/>
      <c r="J203" s="1"/>
    </row>
    <row r="204" spans="1:10" x14ac:dyDescent="0.3">
      <c r="A204" t="str">
        <f t="shared" si="6"/>
        <v>Bench</v>
      </c>
      <c r="B204">
        <f t="shared" si="7"/>
        <v>3907</v>
      </c>
      <c r="D204" s="1"/>
      <c r="E204" s="1" t="s">
        <v>88</v>
      </c>
      <c r="F204" s="1">
        <v>337</v>
      </c>
      <c r="G204" s="1">
        <v>14</v>
      </c>
      <c r="H204" s="1">
        <v>11.79</v>
      </c>
      <c r="I204" s="1"/>
      <c r="J204" s="1"/>
    </row>
    <row r="205" spans="1:10" x14ac:dyDescent="0.3">
      <c r="A205" t="str">
        <f t="shared" si="6"/>
        <v>Bench</v>
      </c>
      <c r="B205">
        <f t="shared" si="7"/>
        <v>6307</v>
      </c>
      <c r="D205" s="1"/>
      <c r="E205" s="1" t="s">
        <v>122</v>
      </c>
      <c r="F205" s="1">
        <v>343</v>
      </c>
      <c r="G205" s="1">
        <v>11</v>
      </c>
      <c r="H205" s="1">
        <v>11.27</v>
      </c>
      <c r="I205" s="1"/>
      <c r="J205" s="1"/>
    </row>
    <row r="206" spans="1:10" x14ac:dyDescent="0.3">
      <c r="A206" t="str">
        <f t="shared" si="6"/>
        <v>Bench</v>
      </c>
      <c r="B206">
        <f t="shared" si="7"/>
        <v>6207</v>
      </c>
      <c r="D206" s="1"/>
      <c r="E206" s="1" t="s">
        <v>81</v>
      </c>
      <c r="F206" s="1">
        <v>345</v>
      </c>
      <c r="G206" s="1">
        <v>14</v>
      </c>
      <c r="H206" s="1">
        <v>10.76</v>
      </c>
      <c r="I206" s="1"/>
      <c r="J206" s="1"/>
    </row>
    <row r="207" spans="1:10" x14ac:dyDescent="0.3">
      <c r="A207" t="str">
        <f t="shared" si="6"/>
        <v>Bench</v>
      </c>
      <c r="B207">
        <f t="shared" si="7"/>
        <v>3107</v>
      </c>
      <c r="D207" s="1"/>
      <c r="E207" s="1" t="s">
        <v>93</v>
      </c>
      <c r="F207" s="1">
        <v>347</v>
      </c>
      <c r="G207" s="1">
        <v>11</v>
      </c>
      <c r="H207" s="1">
        <v>10.49</v>
      </c>
      <c r="I207" s="1"/>
      <c r="J207" s="1"/>
    </row>
    <row r="208" spans="1:10" x14ac:dyDescent="0.3">
      <c r="A208" t="str">
        <f t="shared" si="6"/>
        <v>BPG</v>
      </c>
      <c r="B208">
        <f t="shared" si="7"/>
        <v>5508</v>
      </c>
      <c r="D208" s="1" t="s">
        <v>147</v>
      </c>
      <c r="E208" s="1" t="s">
        <v>86</v>
      </c>
      <c r="F208" s="1">
        <v>3</v>
      </c>
      <c r="G208" s="1">
        <v>1</v>
      </c>
      <c r="H208" s="1">
        <v>6.3</v>
      </c>
      <c r="I208" s="1" t="s">
        <v>148</v>
      </c>
      <c r="J208" s="1">
        <v>6.8</v>
      </c>
    </row>
    <row r="209" spans="1:10" x14ac:dyDescent="0.3">
      <c r="A209" t="str">
        <f t="shared" si="6"/>
        <v>BPG</v>
      </c>
      <c r="B209">
        <f t="shared" si="7"/>
        <v>4508</v>
      </c>
      <c r="D209" s="1"/>
      <c r="E209" s="1" t="s">
        <v>84</v>
      </c>
      <c r="F209" s="1">
        <v>4</v>
      </c>
      <c r="G209" s="1">
        <v>2</v>
      </c>
      <c r="H209" s="1">
        <v>6.1</v>
      </c>
      <c r="I209" s="1"/>
      <c r="J209" s="1"/>
    </row>
    <row r="210" spans="1:10" x14ac:dyDescent="0.3">
      <c r="A210" t="str">
        <f t="shared" si="6"/>
        <v>BPG</v>
      </c>
      <c r="B210">
        <f t="shared" si="7"/>
        <v>5808</v>
      </c>
      <c r="D210" s="1"/>
      <c r="E210" s="1" t="s">
        <v>139</v>
      </c>
      <c r="F210" s="1">
        <v>9</v>
      </c>
      <c r="G210" s="1">
        <v>1</v>
      </c>
      <c r="H210" s="1">
        <v>5.5</v>
      </c>
      <c r="I210" s="1"/>
      <c r="J210" s="1"/>
    </row>
    <row r="211" spans="1:10" x14ac:dyDescent="0.3">
      <c r="A211" t="str">
        <f t="shared" si="6"/>
        <v>BPG</v>
      </c>
      <c r="B211">
        <f t="shared" si="7"/>
        <v>2308</v>
      </c>
      <c r="D211" s="1"/>
      <c r="E211" s="1" t="s">
        <v>79</v>
      </c>
      <c r="F211" s="1">
        <v>11</v>
      </c>
      <c r="G211" s="1">
        <v>2</v>
      </c>
      <c r="H211" s="1">
        <v>5.4</v>
      </c>
      <c r="I211" s="1"/>
      <c r="J211" s="1"/>
    </row>
    <row r="212" spans="1:10" x14ac:dyDescent="0.3">
      <c r="A212" t="str">
        <f t="shared" si="6"/>
        <v>BPG</v>
      </c>
      <c r="B212">
        <f t="shared" si="7"/>
        <v>5708</v>
      </c>
      <c r="D212" s="1"/>
      <c r="E212" s="1" t="s">
        <v>120</v>
      </c>
      <c r="F212" s="1">
        <v>13</v>
      </c>
      <c r="G212" s="1">
        <v>5</v>
      </c>
      <c r="H212" s="1">
        <v>5.3</v>
      </c>
      <c r="I212" s="1"/>
      <c r="J212" s="1"/>
    </row>
    <row r="213" spans="1:10" x14ac:dyDescent="0.3">
      <c r="A213" t="str">
        <f t="shared" si="6"/>
        <v>BPG</v>
      </c>
      <c r="B213">
        <f t="shared" si="7"/>
        <v>2608</v>
      </c>
      <c r="D213" s="1"/>
      <c r="E213" s="1" t="s">
        <v>80</v>
      </c>
      <c r="F213" s="1">
        <v>20</v>
      </c>
      <c r="G213" s="1">
        <v>1</v>
      </c>
      <c r="H213" s="1">
        <v>5</v>
      </c>
      <c r="I213" s="1"/>
      <c r="J213" s="1"/>
    </row>
    <row r="214" spans="1:10" x14ac:dyDescent="0.3">
      <c r="A214" t="str">
        <f t="shared" si="6"/>
        <v>BPG</v>
      </c>
      <c r="B214">
        <f t="shared" si="7"/>
        <v>4708</v>
      </c>
      <c r="D214" s="1"/>
      <c r="E214" s="1" t="s">
        <v>107</v>
      </c>
      <c r="F214" s="1">
        <v>21</v>
      </c>
      <c r="G214" s="1">
        <v>1</v>
      </c>
      <c r="H214" s="1">
        <v>4.9000000000000004</v>
      </c>
      <c r="I214" s="1"/>
      <c r="J214" s="1"/>
    </row>
    <row r="215" spans="1:10" x14ac:dyDescent="0.3">
      <c r="A215" t="str">
        <f t="shared" si="6"/>
        <v>BPG</v>
      </c>
      <c r="B215">
        <f t="shared" si="7"/>
        <v>10308</v>
      </c>
      <c r="D215" s="1"/>
      <c r="E215" s="1" t="s">
        <v>134</v>
      </c>
      <c r="F215" s="1">
        <v>23</v>
      </c>
      <c r="G215" s="1">
        <v>2</v>
      </c>
      <c r="H215" s="1">
        <v>4.9000000000000004</v>
      </c>
      <c r="I215" s="1"/>
      <c r="J215" s="1"/>
    </row>
    <row r="216" spans="1:10" x14ac:dyDescent="0.3">
      <c r="A216" t="str">
        <f t="shared" si="6"/>
        <v>BPG</v>
      </c>
      <c r="B216">
        <f t="shared" si="7"/>
        <v>2808</v>
      </c>
      <c r="D216" s="1"/>
      <c r="E216" s="1" t="s">
        <v>106</v>
      </c>
      <c r="F216" s="1">
        <v>31</v>
      </c>
      <c r="G216" s="1">
        <v>2</v>
      </c>
      <c r="H216" s="1">
        <v>4.8</v>
      </c>
      <c r="I216" s="1"/>
      <c r="J216" s="1"/>
    </row>
    <row r="217" spans="1:10" x14ac:dyDescent="0.3">
      <c r="A217" t="str">
        <f t="shared" si="6"/>
        <v>BPG</v>
      </c>
      <c r="B217">
        <f t="shared" si="7"/>
        <v>3508</v>
      </c>
      <c r="D217" s="1"/>
      <c r="E217" s="1" t="s">
        <v>87</v>
      </c>
      <c r="F217" s="1">
        <v>36</v>
      </c>
      <c r="G217" s="1">
        <v>7</v>
      </c>
      <c r="H217" s="1">
        <v>4.5999999999999996</v>
      </c>
      <c r="I217" s="1"/>
      <c r="J217" s="1"/>
    </row>
    <row r="218" spans="1:10" x14ac:dyDescent="0.3">
      <c r="A218" t="str">
        <f t="shared" si="6"/>
        <v>BPG</v>
      </c>
      <c r="B218">
        <f t="shared" si="7"/>
        <v>1508</v>
      </c>
      <c r="D218" s="1"/>
      <c r="E218" s="1" t="s">
        <v>124</v>
      </c>
      <c r="F218" s="1">
        <v>39</v>
      </c>
      <c r="G218" s="1">
        <v>3</v>
      </c>
      <c r="H218" s="1">
        <v>4.5999999999999996</v>
      </c>
      <c r="I218" s="1"/>
      <c r="J218" s="1"/>
    </row>
    <row r="219" spans="1:10" x14ac:dyDescent="0.3">
      <c r="A219" t="str">
        <f t="shared" si="6"/>
        <v>BPG</v>
      </c>
      <c r="B219">
        <f t="shared" si="7"/>
        <v>12708</v>
      </c>
      <c r="D219" s="1"/>
      <c r="E219" s="1" t="s">
        <v>13</v>
      </c>
      <c r="F219" s="1">
        <v>41</v>
      </c>
      <c r="G219" s="1">
        <v>2</v>
      </c>
      <c r="H219" s="1">
        <v>4.5</v>
      </c>
      <c r="I219" s="1"/>
      <c r="J219" s="1"/>
    </row>
    <row r="220" spans="1:10" x14ac:dyDescent="0.3">
      <c r="A220" t="str">
        <f t="shared" si="6"/>
        <v>BPG</v>
      </c>
      <c r="B220">
        <f t="shared" si="7"/>
        <v>6708</v>
      </c>
      <c r="D220" s="1"/>
      <c r="E220" s="1" t="s">
        <v>118</v>
      </c>
      <c r="F220" s="1">
        <v>54</v>
      </c>
      <c r="G220" s="1">
        <v>4</v>
      </c>
      <c r="H220" s="1">
        <v>4.4000000000000004</v>
      </c>
      <c r="I220" s="1"/>
      <c r="J220" s="1"/>
    </row>
    <row r="221" spans="1:10" x14ac:dyDescent="0.3">
      <c r="A221" t="str">
        <f t="shared" si="6"/>
        <v>BPG</v>
      </c>
      <c r="B221">
        <f t="shared" si="7"/>
        <v>3708</v>
      </c>
      <c r="D221" s="1"/>
      <c r="E221" s="1" t="s">
        <v>115</v>
      </c>
      <c r="F221" s="1">
        <v>55</v>
      </c>
      <c r="G221" s="1">
        <v>8</v>
      </c>
      <c r="H221" s="1">
        <v>4.4000000000000004</v>
      </c>
      <c r="I221" s="1"/>
      <c r="J221" s="1"/>
    </row>
    <row r="222" spans="1:10" x14ac:dyDescent="0.3">
      <c r="A222" t="str">
        <f t="shared" si="6"/>
        <v>BPG</v>
      </c>
      <c r="B222">
        <f t="shared" si="7"/>
        <v>12908</v>
      </c>
      <c r="D222" s="1"/>
      <c r="E222" s="1" t="s">
        <v>132</v>
      </c>
      <c r="F222" s="1">
        <v>59</v>
      </c>
      <c r="G222" s="1">
        <v>5</v>
      </c>
      <c r="H222" s="1">
        <v>4.3</v>
      </c>
      <c r="I222" s="1"/>
      <c r="J222" s="1"/>
    </row>
    <row r="223" spans="1:10" x14ac:dyDescent="0.3">
      <c r="A223" t="str">
        <f t="shared" si="6"/>
        <v>BPG</v>
      </c>
      <c r="B223">
        <f t="shared" si="7"/>
        <v>1408</v>
      </c>
      <c r="D223" s="1"/>
      <c r="E223" s="1" t="s">
        <v>102</v>
      </c>
      <c r="F223" s="1">
        <v>62</v>
      </c>
      <c r="G223" s="1">
        <v>3</v>
      </c>
      <c r="H223" s="1">
        <v>4.2</v>
      </c>
      <c r="I223" s="1"/>
      <c r="J223" s="1"/>
    </row>
    <row r="224" spans="1:10" x14ac:dyDescent="0.3">
      <c r="A224" t="str">
        <f t="shared" si="6"/>
        <v>BPG</v>
      </c>
      <c r="B224">
        <f t="shared" si="7"/>
        <v>12408</v>
      </c>
      <c r="D224" s="1"/>
      <c r="E224" s="1" t="s">
        <v>128</v>
      </c>
      <c r="F224" s="1">
        <v>64</v>
      </c>
      <c r="G224" s="1">
        <v>1</v>
      </c>
      <c r="H224" s="1">
        <v>4.2</v>
      </c>
      <c r="I224" s="1"/>
      <c r="J224" s="1"/>
    </row>
    <row r="225" spans="1:10" x14ac:dyDescent="0.3">
      <c r="A225" t="str">
        <f t="shared" si="6"/>
        <v>BPG</v>
      </c>
      <c r="B225">
        <f t="shared" si="7"/>
        <v>12808</v>
      </c>
      <c r="D225" s="1"/>
      <c r="E225" s="1" t="s">
        <v>142</v>
      </c>
      <c r="F225" s="1">
        <v>70</v>
      </c>
      <c r="G225" s="1">
        <v>1</v>
      </c>
      <c r="H225" s="1">
        <v>4.2</v>
      </c>
      <c r="I225" s="1"/>
      <c r="J225" s="1"/>
    </row>
    <row r="226" spans="1:10" x14ac:dyDescent="0.3">
      <c r="A226" t="str">
        <f t="shared" si="6"/>
        <v>BPG</v>
      </c>
      <c r="B226">
        <f t="shared" si="7"/>
        <v>3108</v>
      </c>
      <c r="D226" s="1"/>
      <c r="E226" s="1" t="s">
        <v>93</v>
      </c>
      <c r="F226" s="1">
        <v>78</v>
      </c>
      <c r="G226" s="1">
        <v>5</v>
      </c>
      <c r="H226" s="1">
        <v>4.0999999999999996</v>
      </c>
      <c r="I226" s="1"/>
      <c r="J226" s="1"/>
    </row>
    <row r="227" spans="1:10" x14ac:dyDescent="0.3">
      <c r="A227" t="str">
        <f t="shared" si="6"/>
        <v>BPG</v>
      </c>
      <c r="B227">
        <f t="shared" si="7"/>
        <v>4908</v>
      </c>
      <c r="D227" s="1"/>
      <c r="E227" s="1" t="s">
        <v>108</v>
      </c>
      <c r="F227" s="1">
        <v>79</v>
      </c>
      <c r="G227" s="1">
        <v>5</v>
      </c>
      <c r="H227" s="1">
        <v>4.0999999999999996</v>
      </c>
      <c r="I227" s="1"/>
      <c r="J227" s="1"/>
    </row>
    <row r="228" spans="1:10" x14ac:dyDescent="0.3">
      <c r="A228" t="str">
        <f t="shared" si="6"/>
        <v>BPG</v>
      </c>
      <c r="B228">
        <f t="shared" si="7"/>
        <v>1208</v>
      </c>
      <c r="D228" s="1"/>
      <c r="E228" s="1" t="s">
        <v>130</v>
      </c>
      <c r="F228" s="1">
        <v>84</v>
      </c>
      <c r="G228" s="1">
        <v>4</v>
      </c>
      <c r="H228" s="1">
        <v>4</v>
      </c>
      <c r="I228" s="1"/>
      <c r="J228" s="1"/>
    </row>
    <row r="229" spans="1:10" x14ac:dyDescent="0.3">
      <c r="A229" t="str">
        <f t="shared" si="6"/>
        <v>BPG</v>
      </c>
      <c r="B229">
        <f t="shared" si="7"/>
        <v>3908</v>
      </c>
      <c r="D229" s="1"/>
      <c r="E229" s="1" t="s">
        <v>88</v>
      </c>
      <c r="F229" s="1">
        <v>93</v>
      </c>
      <c r="G229" s="1">
        <v>6</v>
      </c>
      <c r="H229" s="1">
        <v>3.9</v>
      </c>
      <c r="I229" s="1"/>
      <c r="J229" s="1"/>
    </row>
    <row r="230" spans="1:10" x14ac:dyDescent="0.3">
      <c r="A230" t="str">
        <f t="shared" si="6"/>
        <v>BPG</v>
      </c>
      <c r="B230">
        <f t="shared" si="7"/>
        <v>5008</v>
      </c>
      <c r="D230" s="1"/>
      <c r="E230" s="1" t="s">
        <v>110</v>
      </c>
      <c r="F230" s="1">
        <v>94</v>
      </c>
      <c r="G230" s="1">
        <v>6</v>
      </c>
      <c r="H230" s="1">
        <v>3.9</v>
      </c>
      <c r="I230" s="1"/>
      <c r="J230" s="1"/>
    </row>
    <row r="231" spans="1:10" x14ac:dyDescent="0.3">
      <c r="A231" t="str">
        <f t="shared" si="6"/>
        <v>BPG</v>
      </c>
      <c r="B231">
        <f t="shared" si="7"/>
        <v>7908</v>
      </c>
      <c r="D231" s="1"/>
      <c r="E231" s="1" t="s">
        <v>103</v>
      </c>
      <c r="F231" s="1">
        <v>97</v>
      </c>
      <c r="G231" s="1">
        <v>4</v>
      </c>
      <c r="H231" s="1">
        <v>3.9</v>
      </c>
      <c r="I231" s="1"/>
      <c r="J231" s="1"/>
    </row>
    <row r="232" spans="1:10" x14ac:dyDescent="0.3">
      <c r="A232" t="str">
        <f t="shared" si="6"/>
        <v>BPG</v>
      </c>
      <c r="B232">
        <f t="shared" si="7"/>
        <v>4408</v>
      </c>
      <c r="D232" s="1"/>
      <c r="E232" s="1" t="s">
        <v>83</v>
      </c>
      <c r="F232" s="1">
        <v>102</v>
      </c>
      <c r="G232" s="1">
        <v>1</v>
      </c>
      <c r="H232" s="1">
        <v>3.9</v>
      </c>
      <c r="I232" s="1"/>
      <c r="J232" s="1"/>
    </row>
    <row r="233" spans="1:10" x14ac:dyDescent="0.3">
      <c r="A233" t="str">
        <f t="shared" si="6"/>
        <v>BPG</v>
      </c>
      <c r="B233">
        <f t="shared" si="7"/>
        <v>4008</v>
      </c>
      <c r="D233" s="1"/>
      <c r="E233" s="1" t="s">
        <v>105</v>
      </c>
      <c r="F233" s="1">
        <v>105</v>
      </c>
      <c r="G233" s="1">
        <v>8</v>
      </c>
      <c r="H233" s="1">
        <v>3.8</v>
      </c>
      <c r="I233" s="1"/>
      <c r="J233" s="1"/>
    </row>
    <row r="234" spans="1:10" x14ac:dyDescent="0.3">
      <c r="A234" t="str">
        <f t="shared" si="6"/>
        <v>BPG</v>
      </c>
      <c r="B234">
        <f t="shared" si="7"/>
        <v>2508</v>
      </c>
      <c r="D234" s="1"/>
      <c r="E234" s="1" t="s">
        <v>92</v>
      </c>
      <c r="F234" s="1">
        <v>106</v>
      </c>
      <c r="G234" s="1">
        <v>2</v>
      </c>
      <c r="H234" s="1">
        <v>3.8</v>
      </c>
      <c r="I234" s="1"/>
      <c r="J234" s="1"/>
    </row>
    <row r="235" spans="1:10" x14ac:dyDescent="0.3">
      <c r="A235" t="str">
        <f t="shared" si="6"/>
        <v>BPG</v>
      </c>
      <c r="B235">
        <f t="shared" si="7"/>
        <v>908</v>
      </c>
      <c r="D235" s="1"/>
      <c r="E235" s="1" t="s">
        <v>90</v>
      </c>
      <c r="F235" s="1">
        <v>111</v>
      </c>
      <c r="G235" s="1">
        <v>7</v>
      </c>
      <c r="H235" s="1">
        <v>3.8</v>
      </c>
      <c r="I235" s="1"/>
      <c r="J235" s="1"/>
    </row>
    <row r="236" spans="1:10" x14ac:dyDescent="0.3">
      <c r="A236" t="str">
        <f t="shared" si="6"/>
        <v>BPG</v>
      </c>
      <c r="B236">
        <f t="shared" si="7"/>
        <v>5608</v>
      </c>
      <c r="D236" s="1"/>
      <c r="E236" s="1" t="s">
        <v>62</v>
      </c>
      <c r="F236" s="1">
        <v>113</v>
      </c>
      <c r="G236" s="1">
        <v>7</v>
      </c>
      <c r="H236" s="1">
        <v>3.8</v>
      </c>
      <c r="I236" s="1"/>
      <c r="J236" s="1"/>
    </row>
    <row r="237" spans="1:10" x14ac:dyDescent="0.3">
      <c r="A237" t="str">
        <f t="shared" si="6"/>
        <v>BPG</v>
      </c>
      <c r="B237">
        <f t="shared" si="7"/>
        <v>4308</v>
      </c>
      <c r="D237" s="1"/>
      <c r="E237" s="1" t="s">
        <v>125</v>
      </c>
      <c r="F237" s="1">
        <v>114</v>
      </c>
      <c r="G237" s="1">
        <v>8</v>
      </c>
      <c r="H237" s="1">
        <v>3.8</v>
      </c>
      <c r="I237" s="1"/>
      <c r="J237" s="1"/>
    </row>
    <row r="238" spans="1:10" x14ac:dyDescent="0.3">
      <c r="A238" t="str">
        <f t="shared" si="6"/>
        <v>BPG</v>
      </c>
      <c r="B238">
        <f t="shared" si="7"/>
        <v>9908</v>
      </c>
      <c r="D238" s="1"/>
      <c r="E238" s="1" t="s">
        <v>113</v>
      </c>
      <c r="F238" s="1">
        <v>118</v>
      </c>
      <c r="G238" s="1">
        <v>2</v>
      </c>
      <c r="H238" s="1">
        <v>3.7</v>
      </c>
      <c r="I238" s="1"/>
      <c r="J238" s="1"/>
    </row>
    <row r="239" spans="1:10" x14ac:dyDescent="0.3">
      <c r="A239" t="str">
        <f t="shared" si="6"/>
        <v>BPG</v>
      </c>
      <c r="B239">
        <f t="shared" si="7"/>
        <v>2908</v>
      </c>
      <c r="D239" s="1"/>
      <c r="E239" s="1" t="s">
        <v>96</v>
      </c>
      <c r="F239" s="1">
        <v>123</v>
      </c>
      <c r="G239" s="1">
        <v>5</v>
      </c>
      <c r="H239" s="1">
        <v>3.7</v>
      </c>
      <c r="I239" s="1"/>
      <c r="J239" s="1"/>
    </row>
    <row r="240" spans="1:10" x14ac:dyDescent="0.3">
      <c r="A240" t="str">
        <f t="shared" si="6"/>
        <v>BPG</v>
      </c>
      <c r="B240">
        <f t="shared" si="7"/>
        <v>5408</v>
      </c>
      <c r="D240" s="1"/>
      <c r="E240" s="1" t="s">
        <v>94</v>
      </c>
      <c r="F240" s="1">
        <v>126</v>
      </c>
      <c r="G240" s="1">
        <v>9</v>
      </c>
      <c r="H240" s="1">
        <v>3.7</v>
      </c>
      <c r="I240" s="1"/>
      <c r="J240" s="1"/>
    </row>
    <row r="241" spans="1:10" x14ac:dyDescent="0.3">
      <c r="A241" t="str">
        <f t="shared" si="6"/>
        <v>BPG</v>
      </c>
      <c r="B241">
        <f t="shared" si="7"/>
        <v>3008</v>
      </c>
      <c r="D241" s="1"/>
      <c r="E241" s="1" t="s">
        <v>89</v>
      </c>
      <c r="F241" s="1">
        <v>132</v>
      </c>
      <c r="G241" s="1">
        <v>9</v>
      </c>
      <c r="H241" s="1">
        <v>3.6</v>
      </c>
      <c r="I241" s="1"/>
      <c r="J241" s="1"/>
    </row>
    <row r="242" spans="1:10" x14ac:dyDescent="0.3">
      <c r="A242" t="str">
        <f t="shared" si="6"/>
        <v>BPG</v>
      </c>
      <c r="B242">
        <f t="shared" si="7"/>
        <v>6908</v>
      </c>
      <c r="D242" s="1"/>
      <c r="E242" s="1" t="s">
        <v>114</v>
      </c>
      <c r="F242" s="1">
        <v>133</v>
      </c>
      <c r="G242" s="1">
        <v>8</v>
      </c>
      <c r="H242" s="1">
        <v>3.6</v>
      </c>
      <c r="I242" s="1"/>
      <c r="J242" s="1"/>
    </row>
    <row r="243" spans="1:10" x14ac:dyDescent="0.3">
      <c r="A243" t="str">
        <f t="shared" si="6"/>
        <v>BPG</v>
      </c>
      <c r="B243">
        <f t="shared" si="7"/>
        <v>1908</v>
      </c>
      <c r="D243" s="1"/>
      <c r="E243" s="1" t="s">
        <v>112</v>
      </c>
      <c r="F243" s="1">
        <v>135</v>
      </c>
      <c r="G243" s="1">
        <v>10</v>
      </c>
      <c r="H243" s="1">
        <v>3.6</v>
      </c>
      <c r="I243" s="1"/>
      <c r="J243" s="1"/>
    </row>
    <row r="244" spans="1:10" x14ac:dyDescent="0.3">
      <c r="A244" t="str">
        <f t="shared" si="6"/>
        <v>BPG</v>
      </c>
      <c r="B244">
        <f t="shared" si="7"/>
        <v>4608</v>
      </c>
      <c r="D244" s="1"/>
      <c r="E244" s="1" t="s">
        <v>101</v>
      </c>
      <c r="F244" s="1">
        <v>144</v>
      </c>
      <c r="G244" s="1">
        <v>6</v>
      </c>
      <c r="H244" s="1">
        <v>3.6</v>
      </c>
      <c r="I244" s="1"/>
      <c r="J244" s="1"/>
    </row>
    <row r="245" spans="1:10" x14ac:dyDescent="0.3">
      <c r="A245" t="str">
        <f t="shared" si="6"/>
        <v>BPG</v>
      </c>
      <c r="B245">
        <f t="shared" si="7"/>
        <v>3308</v>
      </c>
      <c r="D245" s="1"/>
      <c r="E245" s="1" t="s">
        <v>91</v>
      </c>
      <c r="F245" s="1">
        <v>146</v>
      </c>
      <c r="G245" s="1">
        <v>6</v>
      </c>
      <c r="H245" s="1">
        <v>3.5</v>
      </c>
      <c r="I245" s="1"/>
      <c r="J245" s="1"/>
    </row>
    <row r="246" spans="1:10" x14ac:dyDescent="0.3">
      <c r="A246" t="str">
        <f t="shared" si="6"/>
        <v>BPG</v>
      </c>
      <c r="B246">
        <f t="shared" si="7"/>
        <v>8408</v>
      </c>
      <c r="D246" s="1"/>
      <c r="E246" s="1" t="s">
        <v>109</v>
      </c>
      <c r="F246" s="1">
        <v>153</v>
      </c>
      <c r="G246" s="1">
        <v>3</v>
      </c>
      <c r="H246" s="1">
        <v>3.5</v>
      </c>
      <c r="I246" s="1"/>
      <c r="J246" s="1"/>
    </row>
    <row r="247" spans="1:10" x14ac:dyDescent="0.3">
      <c r="A247" t="str">
        <f t="shared" si="6"/>
        <v>BPG</v>
      </c>
      <c r="B247">
        <f t="shared" si="7"/>
        <v>208</v>
      </c>
      <c r="D247" s="1"/>
      <c r="E247" s="1" t="s">
        <v>98</v>
      </c>
      <c r="F247" s="1">
        <v>171</v>
      </c>
      <c r="G247" s="1">
        <v>5</v>
      </c>
      <c r="H247" s="1">
        <v>3.4</v>
      </c>
      <c r="I247" s="1"/>
      <c r="J247" s="1"/>
    </row>
    <row r="248" spans="1:10" x14ac:dyDescent="0.3">
      <c r="A248" t="str">
        <f t="shared" si="6"/>
        <v>BPG</v>
      </c>
      <c r="B248">
        <f t="shared" si="7"/>
        <v>12108</v>
      </c>
      <c r="D248" s="1"/>
      <c r="E248" s="1" t="s">
        <v>140</v>
      </c>
      <c r="F248" s="1">
        <v>194</v>
      </c>
      <c r="G248" s="1">
        <v>5</v>
      </c>
      <c r="H248" s="1">
        <v>3.2</v>
      </c>
      <c r="I248" s="1"/>
      <c r="J248" s="1"/>
    </row>
    <row r="249" spans="1:10" x14ac:dyDescent="0.3">
      <c r="A249" t="str">
        <f t="shared" si="6"/>
        <v>BPG</v>
      </c>
      <c r="B249">
        <f t="shared" si="7"/>
        <v>1708</v>
      </c>
      <c r="D249" s="1"/>
      <c r="E249" s="1" t="s">
        <v>133</v>
      </c>
      <c r="F249" s="1">
        <v>199</v>
      </c>
      <c r="G249" s="1">
        <v>4</v>
      </c>
      <c r="H249" s="1">
        <v>3.2</v>
      </c>
      <c r="I249" s="1"/>
      <c r="J249" s="1"/>
    </row>
    <row r="250" spans="1:10" x14ac:dyDescent="0.3">
      <c r="A250" t="str">
        <f t="shared" si="6"/>
        <v>BPG</v>
      </c>
      <c r="B250">
        <f t="shared" si="7"/>
        <v>11908</v>
      </c>
      <c r="D250" s="1"/>
      <c r="E250" s="1" t="s">
        <v>143</v>
      </c>
      <c r="F250" s="1">
        <v>201</v>
      </c>
      <c r="G250" s="1">
        <v>7</v>
      </c>
      <c r="H250" s="1">
        <v>3.2</v>
      </c>
      <c r="I250" s="1"/>
      <c r="J250" s="1"/>
    </row>
    <row r="251" spans="1:10" x14ac:dyDescent="0.3">
      <c r="A251" t="str">
        <f t="shared" si="6"/>
        <v>BPG</v>
      </c>
      <c r="B251">
        <f t="shared" si="7"/>
        <v>12508</v>
      </c>
      <c r="D251" s="1"/>
      <c r="E251" s="1" t="s">
        <v>95</v>
      </c>
      <c r="F251" s="1">
        <v>204</v>
      </c>
      <c r="G251" s="1">
        <v>4</v>
      </c>
      <c r="H251" s="1">
        <v>3.2</v>
      </c>
      <c r="I251" s="1"/>
      <c r="J251" s="1"/>
    </row>
    <row r="252" spans="1:10" x14ac:dyDescent="0.3">
      <c r="A252" t="str">
        <f t="shared" si="6"/>
        <v>BPG</v>
      </c>
      <c r="B252">
        <f t="shared" si="7"/>
        <v>9108</v>
      </c>
      <c r="D252" s="1"/>
      <c r="E252" s="1" t="s">
        <v>99</v>
      </c>
      <c r="F252" s="1">
        <v>205</v>
      </c>
      <c r="G252" s="1">
        <v>11</v>
      </c>
      <c r="H252" s="1">
        <v>3.2</v>
      </c>
      <c r="I252" s="1"/>
      <c r="J252" s="1"/>
    </row>
    <row r="253" spans="1:10" x14ac:dyDescent="0.3">
      <c r="A253" t="str">
        <f t="shared" si="6"/>
        <v>BPG</v>
      </c>
      <c r="B253">
        <f t="shared" si="7"/>
        <v>3208</v>
      </c>
      <c r="D253" s="1"/>
      <c r="E253" s="1" t="s">
        <v>127</v>
      </c>
      <c r="F253" s="1">
        <v>208</v>
      </c>
      <c r="G253" s="1">
        <v>10</v>
      </c>
      <c r="H253" s="1">
        <v>3.1</v>
      </c>
      <c r="I253" s="1"/>
      <c r="J253" s="1"/>
    </row>
    <row r="254" spans="1:10" x14ac:dyDescent="0.3">
      <c r="A254" t="str">
        <f t="shared" si="6"/>
        <v>BPG</v>
      </c>
      <c r="B254">
        <f t="shared" si="7"/>
        <v>1308</v>
      </c>
      <c r="D254" s="1"/>
      <c r="E254" s="1" t="s">
        <v>82</v>
      </c>
      <c r="F254" s="1">
        <v>209</v>
      </c>
      <c r="G254" s="1">
        <v>8</v>
      </c>
      <c r="H254" s="1">
        <v>3.1</v>
      </c>
      <c r="I254" s="1"/>
      <c r="J254" s="1"/>
    </row>
    <row r="255" spans="1:10" x14ac:dyDescent="0.3">
      <c r="A255" t="str">
        <f t="shared" si="6"/>
        <v>BPG</v>
      </c>
      <c r="B255">
        <f t="shared" si="7"/>
        <v>4808</v>
      </c>
      <c r="D255" s="1"/>
      <c r="E255" s="1" t="s">
        <v>104</v>
      </c>
      <c r="F255" s="1">
        <v>209</v>
      </c>
      <c r="G255" s="1">
        <v>10</v>
      </c>
      <c r="H255" s="1">
        <v>3.1</v>
      </c>
      <c r="I255" s="1"/>
      <c r="J255" s="1"/>
    </row>
    <row r="256" spans="1:10" x14ac:dyDescent="0.3">
      <c r="A256" t="str">
        <f t="shared" si="6"/>
        <v>BPG</v>
      </c>
      <c r="B256">
        <f t="shared" si="7"/>
        <v>6208</v>
      </c>
      <c r="D256" s="1"/>
      <c r="E256" s="1" t="s">
        <v>81</v>
      </c>
      <c r="F256" s="1">
        <v>213</v>
      </c>
      <c r="G256" s="1">
        <v>12</v>
      </c>
      <c r="H256" s="1">
        <v>3.1</v>
      </c>
      <c r="I256" s="1"/>
      <c r="J256" s="1"/>
    </row>
    <row r="257" spans="1:10" x14ac:dyDescent="0.3">
      <c r="A257" t="str">
        <f t="shared" si="6"/>
        <v>BPG</v>
      </c>
      <c r="B257">
        <f t="shared" si="7"/>
        <v>2208</v>
      </c>
      <c r="D257" s="1"/>
      <c r="E257" s="1" t="s">
        <v>119</v>
      </c>
      <c r="F257" s="1">
        <v>221</v>
      </c>
      <c r="G257" s="1">
        <v>11</v>
      </c>
      <c r="H257" s="1">
        <v>3.1</v>
      </c>
      <c r="I257" s="1"/>
      <c r="J257" s="1"/>
    </row>
    <row r="258" spans="1:10" x14ac:dyDescent="0.3">
      <c r="A258" t="str">
        <f t="shared" ref="A258:A321" si="8">IF(NOT(D258=""),INDEX(statAbbr,MATCH(D258,statOfficial,0),1),A257)</f>
        <v>BPG</v>
      </c>
      <c r="B258">
        <f t="shared" ref="B258:B321" si="9">INDEX(statID,MATCH(A258,statAbbr,0),1)+INDEX(teamID,MATCH(E258,teamRawName,0))</f>
        <v>11508</v>
      </c>
      <c r="D258" s="1"/>
      <c r="E258" s="1" t="s">
        <v>97</v>
      </c>
      <c r="F258" s="1">
        <v>222</v>
      </c>
      <c r="G258" s="1">
        <v>9</v>
      </c>
      <c r="H258" s="1">
        <v>3.1</v>
      </c>
      <c r="I258" s="1"/>
      <c r="J258" s="1"/>
    </row>
    <row r="259" spans="1:10" x14ac:dyDescent="0.3">
      <c r="A259" t="str">
        <f t="shared" si="8"/>
        <v>BPG</v>
      </c>
      <c r="B259">
        <f t="shared" si="9"/>
        <v>11308</v>
      </c>
      <c r="D259" s="1"/>
      <c r="E259" s="1" t="s">
        <v>126</v>
      </c>
      <c r="F259" s="1">
        <v>222</v>
      </c>
      <c r="G259" s="1">
        <v>8</v>
      </c>
      <c r="H259" s="1">
        <v>3.1</v>
      </c>
      <c r="I259" s="1"/>
      <c r="J259" s="1"/>
    </row>
    <row r="260" spans="1:10" x14ac:dyDescent="0.3">
      <c r="A260" t="str">
        <f t="shared" si="8"/>
        <v>BPG</v>
      </c>
      <c r="B260">
        <f t="shared" si="9"/>
        <v>1608</v>
      </c>
      <c r="D260" s="1"/>
      <c r="E260" s="1" t="s">
        <v>137</v>
      </c>
      <c r="F260" s="1">
        <v>233</v>
      </c>
      <c r="G260" s="1">
        <v>12</v>
      </c>
      <c r="H260" s="1">
        <v>3.1</v>
      </c>
      <c r="I260" s="1"/>
      <c r="J260" s="1"/>
    </row>
    <row r="261" spans="1:10" x14ac:dyDescent="0.3">
      <c r="A261" t="str">
        <f t="shared" si="8"/>
        <v>BPG</v>
      </c>
      <c r="B261">
        <f t="shared" si="9"/>
        <v>608</v>
      </c>
      <c r="D261" s="1"/>
      <c r="E261" s="1" t="s">
        <v>100</v>
      </c>
      <c r="F261" s="1">
        <v>234</v>
      </c>
      <c r="G261" s="1">
        <v>11</v>
      </c>
      <c r="H261" s="1">
        <v>3.1</v>
      </c>
      <c r="I261" s="1"/>
      <c r="J261" s="1"/>
    </row>
    <row r="262" spans="1:10" x14ac:dyDescent="0.3">
      <c r="A262" t="str">
        <f t="shared" si="8"/>
        <v>BPG</v>
      </c>
      <c r="B262">
        <f t="shared" si="9"/>
        <v>3608</v>
      </c>
      <c r="D262" s="1"/>
      <c r="E262" s="1" t="s">
        <v>129</v>
      </c>
      <c r="F262" s="1">
        <v>238</v>
      </c>
      <c r="G262" s="1">
        <v>13</v>
      </c>
      <c r="H262" s="1">
        <v>3</v>
      </c>
      <c r="I262" s="1"/>
      <c r="J262" s="1"/>
    </row>
    <row r="263" spans="1:10" x14ac:dyDescent="0.3">
      <c r="A263" t="str">
        <f t="shared" si="8"/>
        <v>BPG</v>
      </c>
      <c r="B263">
        <f t="shared" si="9"/>
        <v>2708</v>
      </c>
      <c r="D263" s="1"/>
      <c r="E263" s="1" t="s">
        <v>7</v>
      </c>
      <c r="F263" s="1">
        <v>243</v>
      </c>
      <c r="G263" s="1">
        <v>12</v>
      </c>
      <c r="H263" s="1">
        <v>3</v>
      </c>
      <c r="I263" s="1"/>
      <c r="J263" s="1"/>
    </row>
    <row r="264" spans="1:10" x14ac:dyDescent="0.3">
      <c r="A264" t="str">
        <f t="shared" si="8"/>
        <v>BPG</v>
      </c>
      <c r="B264">
        <f t="shared" si="9"/>
        <v>8208</v>
      </c>
      <c r="D264" s="1"/>
      <c r="E264" s="1" t="s">
        <v>131</v>
      </c>
      <c r="F264" s="1">
        <v>260</v>
      </c>
      <c r="G264" s="1">
        <v>7</v>
      </c>
      <c r="H264" s="1">
        <v>2.9</v>
      </c>
      <c r="I264" s="1"/>
      <c r="J264" s="1"/>
    </row>
    <row r="265" spans="1:10" x14ac:dyDescent="0.3">
      <c r="A265" t="str">
        <f t="shared" si="8"/>
        <v>BPG</v>
      </c>
      <c r="B265">
        <f t="shared" si="9"/>
        <v>8808</v>
      </c>
      <c r="D265" s="1"/>
      <c r="E265" s="1" t="s">
        <v>141</v>
      </c>
      <c r="F265" s="1">
        <v>269</v>
      </c>
      <c r="G265" s="1">
        <v>4</v>
      </c>
      <c r="H265" s="1">
        <v>2.8</v>
      </c>
      <c r="I265" s="1"/>
      <c r="J265" s="1"/>
    </row>
    <row r="266" spans="1:10" x14ac:dyDescent="0.3">
      <c r="A266" t="str">
        <f t="shared" si="8"/>
        <v>BPG</v>
      </c>
      <c r="B266">
        <f t="shared" si="9"/>
        <v>8008</v>
      </c>
      <c r="D266" s="1"/>
      <c r="E266" s="1" t="s">
        <v>117</v>
      </c>
      <c r="F266" s="1">
        <v>275</v>
      </c>
      <c r="G266" s="1">
        <v>7</v>
      </c>
      <c r="H266" s="1">
        <v>2.8</v>
      </c>
      <c r="I266" s="1"/>
      <c r="J266" s="1"/>
    </row>
    <row r="267" spans="1:10" x14ac:dyDescent="0.3">
      <c r="A267" t="str">
        <f t="shared" si="8"/>
        <v>BPG</v>
      </c>
      <c r="B267">
        <f t="shared" si="9"/>
        <v>7308</v>
      </c>
      <c r="D267" s="1"/>
      <c r="E267" s="1" t="s">
        <v>111</v>
      </c>
      <c r="F267" s="1">
        <v>289</v>
      </c>
      <c r="G267" s="1">
        <v>13</v>
      </c>
      <c r="H267" s="1">
        <v>2.6</v>
      </c>
      <c r="I267" s="1"/>
      <c r="J267" s="1"/>
    </row>
    <row r="268" spans="1:10" x14ac:dyDescent="0.3">
      <c r="A268" t="str">
        <f t="shared" si="8"/>
        <v>BPG</v>
      </c>
      <c r="B268">
        <f t="shared" si="9"/>
        <v>7208</v>
      </c>
      <c r="D268" s="1"/>
      <c r="E268" s="1" t="s">
        <v>116</v>
      </c>
      <c r="F268" s="1">
        <v>300</v>
      </c>
      <c r="G268" s="1">
        <v>14</v>
      </c>
      <c r="H268" s="1">
        <v>2.5</v>
      </c>
      <c r="I268" s="1"/>
      <c r="J268" s="1"/>
    </row>
    <row r="269" spans="1:10" x14ac:dyDescent="0.3">
      <c r="A269" t="str">
        <f t="shared" si="8"/>
        <v>BPG</v>
      </c>
      <c r="B269">
        <f t="shared" si="9"/>
        <v>11408</v>
      </c>
      <c r="D269" s="1"/>
      <c r="E269" s="1" t="s">
        <v>138</v>
      </c>
      <c r="F269" s="1">
        <v>302</v>
      </c>
      <c r="G269" s="1">
        <v>8</v>
      </c>
      <c r="H269" s="1">
        <v>2.5</v>
      </c>
      <c r="I269" s="1"/>
      <c r="J269" s="1"/>
    </row>
    <row r="270" spans="1:10" x14ac:dyDescent="0.3">
      <c r="A270" t="str">
        <f t="shared" si="8"/>
        <v>BPG</v>
      </c>
      <c r="B270">
        <f t="shared" si="9"/>
        <v>12008</v>
      </c>
      <c r="D270" s="1"/>
      <c r="E270" s="1" t="s">
        <v>135</v>
      </c>
      <c r="F270" s="1">
        <v>311</v>
      </c>
      <c r="G270" s="1">
        <v>8</v>
      </c>
      <c r="H270" s="1">
        <v>2.4</v>
      </c>
      <c r="I270" s="1"/>
      <c r="J270" s="1"/>
    </row>
    <row r="271" spans="1:10" x14ac:dyDescent="0.3">
      <c r="A271" t="str">
        <f t="shared" si="8"/>
        <v>BPG</v>
      </c>
      <c r="B271">
        <f t="shared" si="9"/>
        <v>2108</v>
      </c>
      <c r="D271" s="1"/>
      <c r="E271" s="1" t="s">
        <v>136</v>
      </c>
      <c r="F271" s="1">
        <v>314</v>
      </c>
      <c r="G271" s="1">
        <v>11</v>
      </c>
      <c r="H271" s="1">
        <v>2.4</v>
      </c>
      <c r="I271" s="1"/>
      <c r="J271" s="1"/>
    </row>
    <row r="272" spans="1:10" x14ac:dyDescent="0.3">
      <c r="A272" t="str">
        <f t="shared" si="8"/>
        <v>BPG</v>
      </c>
      <c r="B272">
        <f t="shared" si="9"/>
        <v>11608</v>
      </c>
      <c r="D272" s="1"/>
      <c r="E272" s="1" t="s">
        <v>121</v>
      </c>
      <c r="F272" s="1">
        <v>318</v>
      </c>
      <c r="G272" s="1">
        <v>7</v>
      </c>
      <c r="H272" s="1">
        <v>2.2999999999999998</v>
      </c>
      <c r="I272" s="1"/>
      <c r="J272" s="1"/>
    </row>
    <row r="273" spans="1:10" x14ac:dyDescent="0.3">
      <c r="A273" t="str">
        <f t="shared" si="8"/>
        <v>BPG</v>
      </c>
      <c r="B273">
        <f t="shared" si="9"/>
        <v>6308</v>
      </c>
      <c r="D273" s="1"/>
      <c r="E273" s="1" t="s">
        <v>122</v>
      </c>
      <c r="F273" s="1">
        <v>330</v>
      </c>
      <c r="G273" s="1">
        <v>12</v>
      </c>
      <c r="H273" s="1">
        <v>2.2000000000000002</v>
      </c>
      <c r="I273" s="1"/>
      <c r="J273" s="1"/>
    </row>
    <row r="274" spans="1:10" x14ac:dyDescent="0.3">
      <c r="A274" t="str">
        <f t="shared" si="8"/>
        <v>BPG</v>
      </c>
      <c r="B274">
        <f t="shared" si="9"/>
        <v>4208</v>
      </c>
      <c r="D274" s="1"/>
      <c r="E274" s="1" t="s">
        <v>123</v>
      </c>
      <c r="F274" s="1">
        <v>348</v>
      </c>
      <c r="G274" s="1">
        <v>14</v>
      </c>
      <c r="H274" s="1">
        <v>1.6</v>
      </c>
      <c r="I274" s="1"/>
      <c r="J274" s="1"/>
    </row>
    <row r="275" spans="1:10" x14ac:dyDescent="0.3">
      <c r="A275" t="str">
        <f t="shared" si="8"/>
        <v>BPG</v>
      </c>
      <c r="B275">
        <f t="shared" si="9"/>
        <v>9508</v>
      </c>
      <c r="D275" s="1"/>
      <c r="E275" s="1" t="s">
        <v>85</v>
      </c>
      <c r="F275" s="1">
        <v>349</v>
      </c>
      <c r="G275" s="1">
        <v>12</v>
      </c>
      <c r="H275" s="1">
        <v>1.6</v>
      </c>
      <c r="I275" s="1"/>
      <c r="J275" s="1"/>
    </row>
    <row r="276" spans="1:10" x14ac:dyDescent="0.3">
      <c r="A276" t="str">
        <f t="shared" si="8"/>
        <v>EFG%</v>
      </c>
      <c r="B276">
        <f t="shared" si="9"/>
        <v>4411</v>
      </c>
      <c r="D276" s="1" t="s">
        <v>149</v>
      </c>
      <c r="E276" s="1" t="s">
        <v>83</v>
      </c>
      <c r="F276" s="1">
        <v>4</v>
      </c>
      <c r="G276" s="1">
        <v>1</v>
      </c>
      <c r="H276" s="1">
        <v>0.57399999999999995</v>
      </c>
      <c r="I276" s="1" t="s">
        <v>150</v>
      </c>
      <c r="J276" s="1">
        <v>0.6</v>
      </c>
    </row>
    <row r="277" spans="1:10" x14ac:dyDescent="0.3">
      <c r="A277" t="str">
        <f t="shared" si="8"/>
        <v>EFG%</v>
      </c>
      <c r="B277">
        <f t="shared" si="9"/>
        <v>3111</v>
      </c>
      <c r="D277" s="1"/>
      <c r="E277" s="1" t="s">
        <v>93</v>
      </c>
      <c r="F277" s="1">
        <v>5</v>
      </c>
      <c r="G277" s="1">
        <v>1</v>
      </c>
      <c r="H277" s="1">
        <v>0.57299999999999995</v>
      </c>
      <c r="I277" s="1"/>
      <c r="J277" s="1"/>
    </row>
    <row r="278" spans="1:10" x14ac:dyDescent="0.3">
      <c r="A278" t="str">
        <f t="shared" si="8"/>
        <v>EFG%</v>
      </c>
      <c r="B278">
        <f t="shared" si="9"/>
        <v>5511</v>
      </c>
      <c r="D278" s="1"/>
      <c r="E278" s="1" t="s">
        <v>86</v>
      </c>
      <c r="F278" s="1">
        <v>7</v>
      </c>
      <c r="G278" s="1">
        <v>1</v>
      </c>
      <c r="H278" s="1">
        <v>0.57199999999999995</v>
      </c>
      <c r="I278" s="1"/>
      <c r="J278" s="1"/>
    </row>
    <row r="279" spans="1:10" x14ac:dyDescent="0.3">
      <c r="A279" t="str">
        <f t="shared" si="8"/>
        <v>EFG%</v>
      </c>
      <c r="B279">
        <f t="shared" si="9"/>
        <v>9911</v>
      </c>
      <c r="D279" s="1"/>
      <c r="E279" s="1" t="s">
        <v>113</v>
      </c>
      <c r="F279" s="1">
        <v>8</v>
      </c>
      <c r="G279" s="1">
        <v>1</v>
      </c>
      <c r="H279" s="1">
        <v>0.57099999999999995</v>
      </c>
      <c r="I279" s="1"/>
      <c r="J279" s="1"/>
    </row>
    <row r="280" spans="1:10" x14ac:dyDescent="0.3">
      <c r="A280" t="str">
        <f t="shared" si="8"/>
        <v>EFG%</v>
      </c>
      <c r="B280">
        <f t="shared" si="9"/>
        <v>2311</v>
      </c>
      <c r="D280" s="1"/>
      <c r="E280" s="1" t="s">
        <v>79</v>
      </c>
      <c r="F280" s="1">
        <v>10</v>
      </c>
      <c r="G280" s="1">
        <v>2</v>
      </c>
      <c r="H280" s="1">
        <v>0.56899999999999995</v>
      </c>
      <c r="I280" s="1"/>
      <c r="J280" s="1"/>
    </row>
    <row r="281" spans="1:10" x14ac:dyDescent="0.3">
      <c r="A281" t="str">
        <f t="shared" si="8"/>
        <v>EFG%</v>
      </c>
      <c r="B281">
        <f t="shared" si="9"/>
        <v>3711</v>
      </c>
      <c r="D281" s="1"/>
      <c r="E281" s="1" t="s">
        <v>115</v>
      </c>
      <c r="F281" s="1">
        <v>11</v>
      </c>
      <c r="G281" s="1">
        <v>2</v>
      </c>
      <c r="H281" s="1">
        <v>0.56299999999999994</v>
      </c>
      <c r="I281" s="1"/>
      <c r="J281" s="1"/>
    </row>
    <row r="282" spans="1:10" x14ac:dyDescent="0.3">
      <c r="A282" t="str">
        <f t="shared" si="8"/>
        <v>EFG%</v>
      </c>
      <c r="B282">
        <f t="shared" si="9"/>
        <v>5011</v>
      </c>
      <c r="D282" s="1"/>
      <c r="E282" s="1" t="s">
        <v>110</v>
      </c>
      <c r="F282" s="1">
        <v>12</v>
      </c>
      <c r="G282" s="1">
        <v>1</v>
      </c>
      <c r="H282" s="1">
        <v>0.56299999999999994</v>
      </c>
      <c r="I282" s="1"/>
      <c r="J282" s="1"/>
    </row>
    <row r="283" spans="1:10" x14ac:dyDescent="0.3">
      <c r="A283" t="str">
        <f t="shared" si="8"/>
        <v>EFG%</v>
      </c>
      <c r="B283">
        <f t="shared" si="9"/>
        <v>3211</v>
      </c>
      <c r="D283" s="1"/>
      <c r="E283" s="1" t="s">
        <v>127</v>
      </c>
      <c r="F283" s="1">
        <v>13</v>
      </c>
      <c r="G283" s="1">
        <v>1</v>
      </c>
      <c r="H283" s="1">
        <v>0.55800000000000005</v>
      </c>
      <c r="I283" s="1"/>
      <c r="J283" s="1"/>
    </row>
    <row r="284" spans="1:10" x14ac:dyDescent="0.3">
      <c r="A284" t="str">
        <f t="shared" si="8"/>
        <v>EFG%</v>
      </c>
      <c r="B284">
        <f t="shared" si="9"/>
        <v>3011</v>
      </c>
      <c r="D284" s="1"/>
      <c r="E284" s="1" t="s">
        <v>89</v>
      </c>
      <c r="F284" s="1">
        <v>15</v>
      </c>
      <c r="G284" s="1">
        <v>1</v>
      </c>
      <c r="H284" s="1">
        <v>0.55800000000000005</v>
      </c>
      <c r="I284" s="1"/>
      <c r="J284" s="1"/>
    </row>
    <row r="285" spans="1:10" x14ac:dyDescent="0.3">
      <c r="A285" t="str">
        <f t="shared" si="8"/>
        <v>EFG%</v>
      </c>
      <c r="B285">
        <f t="shared" si="9"/>
        <v>1711</v>
      </c>
      <c r="D285" s="1"/>
      <c r="E285" s="1" t="s">
        <v>133</v>
      </c>
      <c r="F285" s="1">
        <v>18</v>
      </c>
      <c r="G285" s="1">
        <v>1</v>
      </c>
      <c r="H285" s="1">
        <v>0.55500000000000005</v>
      </c>
      <c r="I285" s="1"/>
      <c r="J285" s="1"/>
    </row>
    <row r="286" spans="1:10" x14ac:dyDescent="0.3">
      <c r="A286" t="str">
        <f t="shared" si="8"/>
        <v>EFG%</v>
      </c>
      <c r="B286">
        <f t="shared" si="9"/>
        <v>6311</v>
      </c>
      <c r="D286" s="1"/>
      <c r="E286" s="1" t="s">
        <v>122</v>
      </c>
      <c r="F286" s="1">
        <v>20</v>
      </c>
      <c r="G286" s="1">
        <v>1</v>
      </c>
      <c r="H286" s="1">
        <v>0.55400000000000005</v>
      </c>
      <c r="I286" s="1"/>
      <c r="J286" s="1"/>
    </row>
    <row r="287" spans="1:10" x14ac:dyDescent="0.3">
      <c r="A287" t="str">
        <f t="shared" si="8"/>
        <v>EFG%</v>
      </c>
      <c r="B287">
        <f t="shared" si="9"/>
        <v>211</v>
      </c>
      <c r="D287" s="1"/>
      <c r="E287" s="1" t="s">
        <v>98</v>
      </c>
      <c r="F287" s="1">
        <v>23</v>
      </c>
      <c r="G287" s="1">
        <v>1</v>
      </c>
      <c r="H287" s="1">
        <v>0.55200000000000005</v>
      </c>
      <c r="I287" s="1"/>
      <c r="J287" s="1"/>
    </row>
    <row r="288" spans="1:10" x14ac:dyDescent="0.3">
      <c r="A288" t="str">
        <f t="shared" si="8"/>
        <v>EFG%</v>
      </c>
      <c r="B288">
        <f t="shared" si="9"/>
        <v>3311</v>
      </c>
      <c r="D288" s="1"/>
      <c r="E288" s="1" t="s">
        <v>91</v>
      </c>
      <c r="F288" s="1">
        <v>24</v>
      </c>
      <c r="G288" s="1">
        <v>3</v>
      </c>
      <c r="H288" s="1">
        <v>0.55000000000000004</v>
      </c>
      <c r="I288" s="1"/>
      <c r="J288" s="1"/>
    </row>
    <row r="289" spans="1:10" x14ac:dyDescent="0.3">
      <c r="A289" t="str">
        <f t="shared" si="8"/>
        <v>EFG%</v>
      </c>
      <c r="B289">
        <f t="shared" si="9"/>
        <v>1311</v>
      </c>
      <c r="D289" s="1"/>
      <c r="E289" s="1" t="s">
        <v>82</v>
      </c>
      <c r="F289" s="1">
        <v>25</v>
      </c>
      <c r="G289" s="1">
        <v>1</v>
      </c>
      <c r="H289" s="1">
        <v>0.54900000000000004</v>
      </c>
      <c r="I289" s="1"/>
      <c r="J289" s="1"/>
    </row>
    <row r="290" spans="1:10" x14ac:dyDescent="0.3">
      <c r="A290" t="str">
        <f t="shared" si="8"/>
        <v>EFG%</v>
      </c>
      <c r="B290">
        <f t="shared" si="9"/>
        <v>9511</v>
      </c>
      <c r="D290" s="1"/>
      <c r="E290" s="1" t="s">
        <v>85</v>
      </c>
      <c r="F290" s="1">
        <v>26</v>
      </c>
      <c r="G290" s="1">
        <v>3</v>
      </c>
      <c r="H290" s="1">
        <v>0.54900000000000004</v>
      </c>
      <c r="I290" s="1"/>
      <c r="J290" s="1"/>
    </row>
    <row r="291" spans="1:10" x14ac:dyDescent="0.3">
      <c r="A291" t="str">
        <f t="shared" si="8"/>
        <v>EFG%</v>
      </c>
      <c r="B291">
        <f t="shared" si="9"/>
        <v>1511</v>
      </c>
      <c r="D291" s="1"/>
      <c r="E291" s="1" t="s">
        <v>124</v>
      </c>
      <c r="F291" s="1">
        <v>28</v>
      </c>
      <c r="G291" s="1">
        <v>1</v>
      </c>
      <c r="H291" s="1">
        <v>0.54800000000000004</v>
      </c>
      <c r="I291" s="1"/>
      <c r="J291" s="1"/>
    </row>
    <row r="292" spans="1:10" x14ac:dyDescent="0.3">
      <c r="A292" t="str">
        <f t="shared" si="8"/>
        <v>EFG%</v>
      </c>
      <c r="B292">
        <f t="shared" si="9"/>
        <v>2711</v>
      </c>
      <c r="D292" s="1"/>
      <c r="E292" s="1" t="s">
        <v>7</v>
      </c>
      <c r="F292" s="1">
        <v>31</v>
      </c>
      <c r="G292" s="1">
        <v>2</v>
      </c>
      <c r="H292" s="1">
        <v>0.54800000000000004</v>
      </c>
      <c r="I292" s="1"/>
      <c r="J292" s="1"/>
    </row>
    <row r="293" spans="1:10" x14ac:dyDescent="0.3">
      <c r="A293" t="str">
        <f t="shared" si="8"/>
        <v>EFG%</v>
      </c>
      <c r="B293">
        <f t="shared" si="9"/>
        <v>12011</v>
      </c>
      <c r="D293" s="1"/>
      <c r="E293" s="1" t="s">
        <v>135</v>
      </c>
      <c r="F293" s="1">
        <v>32</v>
      </c>
      <c r="G293" s="1">
        <v>4</v>
      </c>
      <c r="H293" s="1">
        <v>0.54700000000000004</v>
      </c>
      <c r="I293" s="1"/>
      <c r="J293" s="1"/>
    </row>
    <row r="294" spans="1:10" x14ac:dyDescent="0.3">
      <c r="A294" t="str">
        <f t="shared" si="8"/>
        <v>EFG%</v>
      </c>
      <c r="B294">
        <f t="shared" si="9"/>
        <v>2211</v>
      </c>
      <c r="D294" s="1"/>
      <c r="E294" s="1" t="s">
        <v>119</v>
      </c>
      <c r="F294" s="1">
        <v>33</v>
      </c>
      <c r="G294" s="1">
        <v>1</v>
      </c>
      <c r="H294" s="1">
        <v>0.54700000000000004</v>
      </c>
      <c r="I294" s="1"/>
      <c r="J294" s="1"/>
    </row>
    <row r="295" spans="1:10" x14ac:dyDescent="0.3">
      <c r="A295" t="str">
        <f t="shared" si="8"/>
        <v>EFG%</v>
      </c>
      <c r="B295">
        <f t="shared" si="9"/>
        <v>1411</v>
      </c>
      <c r="D295" s="1"/>
      <c r="E295" s="1" t="s">
        <v>102</v>
      </c>
      <c r="F295" s="1">
        <v>35</v>
      </c>
      <c r="G295" s="1">
        <v>2</v>
      </c>
      <c r="H295" s="1">
        <v>0.54600000000000004</v>
      </c>
      <c r="I295" s="1"/>
      <c r="J295" s="1"/>
    </row>
    <row r="296" spans="1:10" x14ac:dyDescent="0.3">
      <c r="A296" t="str">
        <f t="shared" si="8"/>
        <v>EFG%</v>
      </c>
      <c r="B296">
        <f t="shared" si="9"/>
        <v>5411</v>
      </c>
      <c r="D296" s="1"/>
      <c r="E296" s="1" t="s">
        <v>94</v>
      </c>
      <c r="F296" s="1">
        <v>37</v>
      </c>
      <c r="G296" s="1">
        <v>1</v>
      </c>
      <c r="H296" s="1">
        <v>0.54600000000000004</v>
      </c>
      <c r="I296" s="1"/>
      <c r="J296" s="1"/>
    </row>
    <row r="297" spans="1:10" x14ac:dyDescent="0.3">
      <c r="A297" t="str">
        <f t="shared" si="8"/>
        <v>EFG%</v>
      </c>
      <c r="B297">
        <f t="shared" si="9"/>
        <v>2911</v>
      </c>
      <c r="D297" s="1"/>
      <c r="E297" s="1" t="s">
        <v>96</v>
      </c>
      <c r="F297" s="1">
        <v>38</v>
      </c>
      <c r="G297" s="1">
        <v>2</v>
      </c>
      <c r="H297" s="1">
        <v>0.54500000000000004</v>
      </c>
      <c r="I297" s="1"/>
      <c r="J297" s="1"/>
    </row>
    <row r="298" spans="1:10" x14ac:dyDescent="0.3">
      <c r="A298" t="str">
        <f t="shared" si="8"/>
        <v>EFG%</v>
      </c>
      <c r="B298">
        <f t="shared" si="9"/>
        <v>4811</v>
      </c>
      <c r="D298" s="1"/>
      <c r="E298" s="1" t="s">
        <v>104</v>
      </c>
      <c r="F298" s="1">
        <v>40</v>
      </c>
      <c r="G298" s="1">
        <v>1</v>
      </c>
      <c r="H298" s="1">
        <v>0.54400000000000004</v>
      </c>
      <c r="I298" s="1"/>
      <c r="J298" s="1"/>
    </row>
    <row r="299" spans="1:10" x14ac:dyDescent="0.3">
      <c r="A299" t="str">
        <f t="shared" si="8"/>
        <v>EFG%</v>
      </c>
      <c r="B299">
        <f t="shared" si="9"/>
        <v>4511</v>
      </c>
      <c r="D299" s="1"/>
      <c r="E299" s="1" t="s">
        <v>84</v>
      </c>
      <c r="F299" s="1">
        <v>45</v>
      </c>
      <c r="G299" s="1">
        <v>3</v>
      </c>
      <c r="H299" s="1">
        <v>0.54200000000000004</v>
      </c>
      <c r="I299" s="1"/>
      <c r="J299" s="1"/>
    </row>
    <row r="300" spans="1:10" x14ac:dyDescent="0.3">
      <c r="A300" t="str">
        <f t="shared" si="8"/>
        <v>EFG%</v>
      </c>
      <c r="B300">
        <f t="shared" si="9"/>
        <v>11311</v>
      </c>
      <c r="D300" s="1"/>
      <c r="E300" s="1" t="s">
        <v>126</v>
      </c>
      <c r="F300" s="1">
        <v>52</v>
      </c>
      <c r="G300" s="1">
        <v>3</v>
      </c>
      <c r="H300" s="1">
        <v>0.53900000000000003</v>
      </c>
      <c r="I300" s="1"/>
      <c r="J300" s="1"/>
    </row>
    <row r="301" spans="1:10" x14ac:dyDescent="0.3">
      <c r="A301" t="str">
        <f t="shared" si="8"/>
        <v>EFG%</v>
      </c>
      <c r="B301">
        <f t="shared" si="9"/>
        <v>4011</v>
      </c>
      <c r="D301" s="1"/>
      <c r="E301" s="1" t="s">
        <v>105</v>
      </c>
      <c r="F301" s="1">
        <v>54</v>
      </c>
      <c r="G301" s="1">
        <v>3</v>
      </c>
      <c r="H301" s="1">
        <v>0.53900000000000003</v>
      </c>
      <c r="I301" s="1"/>
      <c r="J301" s="1"/>
    </row>
    <row r="302" spans="1:10" x14ac:dyDescent="0.3">
      <c r="A302" t="str">
        <f t="shared" si="8"/>
        <v>EFG%</v>
      </c>
      <c r="B302">
        <f t="shared" si="9"/>
        <v>8411</v>
      </c>
      <c r="D302" s="1"/>
      <c r="E302" s="1" t="s">
        <v>109</v>
      </c>
      <c r="F302" s="1">
        <v>56</v>
      </c>
      <c r="G302" s="1">
        <v>1</v>
      </c>
      <c r="H302" s="1">
        <v>0.53800000000000003</v>
      </c>
      <c r="I302" s="1"/>
      <c r="J302" s="1"/>
    </row>
    <row r="303" spans="1:10" x14ac:dyDescent="0.3">
      <c r="A303" t="str">
        <f t="shared" si="8"/>
        <v>EFG%</v>
      </c>
      <c r="B303">
        <f t="shared" si="9"/>
        <v>3911</v>
      </c>
      <c r="D303" s="1"/>
      <c r="E303" s="1" t="s">
        <v>88</v>
      </c>
      <c r="F303" s="1">
        <v>57</v>
      </c>
      <c r="G303" s="1">
        <v>3</v>
      </c>
      <c r="H303" s="1">
        <v>0.53800000000000003</v>
      </c>
      <c r="I303" s="1"/>
      <c r="J303" s="1"/>
    </row>
    <row r="304" spans="1:10" x14ac:dyDescent="0.3">
      <c r="A304" t="str">
        <f t="shared" si="8"/>
        <v>EFG%</v>
      </c>
      <c r="B304">
        <f t="shared" si="9"/>
        <v>4311</v>
      </c>
      <c r="D304" s="1"/>
      <c r="E304" s="1" t="s">
        <v>125</v>
      </c>
      <c r="F304" s="1">
        <v>59</v>
      </c>
      <c r="G304" s="1">
        <v>3</v>
      </c>
      <c r="H304" s="1">
        <v>0.53600000000000003</v>
      </c>
      <c r="I304" s="1"/>
      <c r="J304" s="1"/>
    </row>
    <row r="305" spans="1:10" x14ac:dyDescent="0.3">
      <c r="A305" t="str">
        <f t="shared" si="8"/>
        <v>EFG%</v>
      </c>
      <c r="B305">
        <f t="shared" si="9"/>
        <v>4611</v>
      </c>
      <c r="D305" s="1"/>
      <c r="E305" s="1" t="s">
        <v>101</v>
      </c>
      <c r="F305" s="1">
        <v>62</v>
      </c>
      <c r="G305" s="1">
        <v>4</v>
      </c>
      <c r="H305" s="1">
        <v>0.53500000000000003</v>
      </c>
      <c r="I305" s="1"/>
      <c r="J305" s="1"/>
    </row>
    <row r="306" spans="1:10" x14ac:dyDescent="0.3">
      <c r="A306" t="str">
        <f t="shared" si="8"/>
        <v>EFG%</v>
      </c>
      <c r="B306">
        <f t="shared" si="9"/>
        <v>7311</v>
      </c>
      <c r="D306" s="1"/>
      <c r="E306" s="1" t="s">
        <v>111</v>
      </c>
      <c r="F306" s="1">
        <v>67</v>
      </c>
      <c r="G306" s="1">
        <v>4</v>
      </c>
      <c r="H306" s="1">
        <v>0.53100000000000003</v>
      </c>
      <c r="I306" s="1"/>
      <c r="J306" s="1"/>
    </row>
    <row r="307" spans="1:10" x14ac:dyDescent="0.3">
      <c r="A307" t="str">
        <f t="shared" si="8"/>
        <v>EFG%</v>
      </c>
      <c r="B307">
        <f t="shared" si="9"/>
        <v>2511</v>
      </c>
      <c r="D307" s="1"/>
      <c r="E307" s="1" t="s">
        <v>92</v>
      </c>
      <c r="F307" s="1">
        <v>70</v>
      </c>
      <c r="G307" s="1">
        <v>3</v>
      </c>
      <c r="H307" s="1">
        <v>0.53100000000000003</v>
      </c>
      <c r="I307" s="1"/>
      <c r="J307" s="1"/>
    </row>
    <row r="308" spans="1:10" x14ac:dyDescent="0.3">
      <c r="A308" t="str">
        <f t="shared" si="8"/>
        <v>EFG%</v>
      </c>
      <c r="B308">
        <f t="shared" si="9"/>
        <v>6711</v>
      </c>
      <c r="D308" s="1"/>
      <c r="E308" s="1" t="s">
        <v>118</v>
      </c>
      <c r="F308" s="1">
        <v>71</v>
      </c>
      <c r="G308" s="1">
        <v>5</v>
      </c>
      <c r="H308" s="1">
        <v>0.53</v>
      </c>
      <c r="I308" s="1"/>
      <c r="J308" s="1"/>
    </row>
    <row r="309" spans="1:10" x14ac:dyDescent="0.3">
      <c r="A309" t="str">
        <f t="shared" si="8"/>
        <v>EFG%</v>
      </c>
      <c r="B309">
        <f t="shared" si="9"/>
        <v>7911</v>
      </c>
      <c r="D309" s="1"/>
      <c r="E309" s="1" t="s">
        <v>103</v>
      </c>
      <c r="F309" s="1">
        <v>72</v>
      </c>
      <c r="G309" s="1">
        <v>1</v>
      </c>
      <c r="H309" s="1">
        <v>0.53</v>
      </c>
      <c r="I309" s="1"/>
      <c r="J309" s="1"/>
    </row>
    <row r="310" spans="1:10" x14ac:dyDescent="0.3">
      <c r="A310" t="str">
        <f t="shared" si="8"/>
        <v>EFG%</v>
      </c>
      <c r="B310">
        <f t="shared" si="9"/>
        <v>12511</v>
      </c>
      <c r="D310" s="1"/>
      <c r="E310" s="1" t="s">
        <v>95</v>
      </c>
      <c r="F310" s="1">
        <v>84</v>
      </c>
      <c r="G310" s="1">
        <v>5</v>
      </c>
      <c r="H310" s="1">
        <v>0.52800000000000002</v>
      </c>
      <c r="I310" s="1"/>
      <c r="J310" s="1"/>
    </row>
    <row r="311" spans="1:10" x14ac:dyDescent="0.3">
      <c r="A311" t="str">
        <f t="shared" si="8"/>
        <v>EFG%</v>
      </c>
      <c r="B311">
        <f t="shared" si="9"/>
        <v>6211</v>
      </c>
      <c r="D311" s="1"/>
      <c r="E311" s="1" t="s">
        <v>81</v>
      </c>
      <c r="F311" s="1">
        <v>92</v>
      </c>
      <c r="G311" s="1">
        <v>6</v>
      </c>
      <c r="H311" s="1">
        <v>0.52600000000000002</v>
      </c>
      <c r="I311" s="1"/>
      <c r="J311" s="1"/>
    </row>
    <row r="312" spans="1:10" x14ac:dyDescent="0.3">
      <c r="A312" t="str">
        <f t="shared" si="8"/>
        <v>EFG%</v>
      </c>
      <c r="B312">
        <f t="shared" si="9"/>
        <v>7211</v>
      </c>
      <c r="D312" s="1"/>
      <c r="E312" s="1" t="s">
        <v>116</v>
      </c>
      <c r="F312" s="1">
        <v>94</v>
      </c>
      <c r="G312" s="1">
        <v>6</v>
      </c>
      <c r="H312" s="1">
        <v>0.52600000000000002</v>
      </c>
      <c r="I312" s="1"/>
      <c r="J312" s="1"/>
    </row>
    <row r="313" spans="1:10" x14ac:dyDescent="0.3">
      <c r="A313" t="str">
        <f t="shared" si="8"/>
        <v>EFG%</v>
      </c>
      <c r="B313">
        <f t="shared" si="9"/>
        <v>8211</v>
      </c>
      <c r="D313" s="1"/>
      <c r="E313" s="1" t="s">
        <v>131</v>
      </c>
      <c r="F313" s="1">
        <v>102</v>
      </c>
      <c r="G313" s="1">
        <v>3</v>
      </c>
      <c r="H313" s="1">
        <v>0.52300000000000002</v>
      </c>
      <c r="I313" s="1"/>
      <c r="J313" s="1"/>
    </row>
    <row r="314" spans="1:10" x14ac:dyDescent="0.3">
      <c r="A314" t="str">
        <f t="shared" si="8"/>
        <v>EFG%</v>
      </c>
      <c r="B314">
        <f t="shared" si="9"/>
        <v>4211</v>
      </c>
      <c r="D314" s="1"/>
      <c r="E314" s="1" t="s">
        <v>123</v>
      </c>
      <c r="F314" s="1">
        <v>105</v>
      </c>
      <c r="G314" s="1">
        <v>7</v>
      </c>
      <c r="H314" s="1">
        <v>0.52200000000000002</v>
      </c>
      <c r="I314" s="1"/>
      <c r="J314" s="1"/>
    </row>
    <row r="315" spans="1:10" x14ac:dyDescent="0.3">
      <c r="A315" t="str">
        <f t="shared" si="8"/>
        <v>EFG%</v>
      </c>
      <c r="B315">
        <f t="shared" si="9"/>
        <v>11511</v>
      </c>
      <c r="D315" s="1"/>
      <c r="E315" s="1" t="s">
        <v>97</v>
      </c>
      <c r="F315" s="1">
        <v>106</v>
      </c>
      <c r="G315" s="1">
        <v>5</v>
      </c>
      <c r="H315" s="1">
        <v>0.52200000000000002</v>
      </c>
      <c r="I315" s="1"/>
      <c r="J315" s="1"/>
    </row>
    <row r="316" spans="1:10" x14ac:dyDescent="0.3">
      <c r="A316" t="str">
        <f t="shared" si="8"/>
        <v>EFG%</v>
      </c>
      <c r="B316">
        <f t="shared" si="9"/>
        <v>8811</v>
      </c>
      <c r="D316" s="1"/>
      <c r="E316" s="1" t="s">
        <v>141</v>
      </c>
      <c r="F316" s="1">
        <v>110</v>
      </c>
      <c r="G316" s="1">
        <v>1</v>
      </c>
      <c r="H316" s="1">
        <v>0.52200000000000002</v>
      </c>
      <c r="I316" s="1"/>
      <c r="J316" s="1"/>
    </row>
    <row r="317" spans="1:10" x14ac:dyDescent="0.3">
      <c r="A317" t="str">
        <f t="shared" si="8"/>
        <v>EFG%</v>
      </c>
      <c r="B317">
        <f t="shared" si="9"/>
        <v>5811</v>
      </c>
      <c r="D317" s="1"/>
      <c r="E317" s="1" t="s">
        <v>139</v>
      </c>
      <c r="F317" s="1">
        <v>114</v>
      </c>
      <c r="G317" s="1">
        <v>2</v>
      </c>
      <c r="H317" s="1">
        <v>0.52100000000000002</v>
      </c>
      <c r="I317" s="1"/>
      <c r="J317" s="1"/>
    </row>
    <row r="318" spans="1:10" x14ac:dyDescent="0.3">
      <c r="A318" t="str">
        <f t="shared" si="8"/>
        <v>EFG%</v>
      </c>
      <c r="B318">
        <f t="shared" si="9"/>
        <v>12111</v>
      </c>
      <c r="D318" s="1"/>
      <c r="E318" s="1" t="s">
        <v>140</v>
      </c>
      <c r="F318" s="1">
        <v>119</v>
      </c>
      <c r="G318" s="1">
        <v>2</v>
      </c>
      <c r="H318" s="1">
        <v>0.52</v>
      </c>
      <c r="I318" s="1"/>
      <c r="J318" s="1"/>
    </row>
    <row r="319" spans="1:10" x14ac:dyDescent="0.3">
      <c r="A319" t="str">
        <f t="shared" si="8"/>
        <v>EFG%</v>
      </c>
      <c r="B319">
        <f t="shared" si="9"/>
        <v>611</v>
      </c>
      <c r="D319" s="1"/>
      <c r="E319" s="1" t="s">
        <v>100</v>
      </c>
      <c r="F319" s="1">
        <v>125</v>
      </c>
      <c r="G319" s="1">
        <v>7</v>
      </c>
      <c r="H319" s="1">
        <v>0.52</v>
      </c>
      <c r="I319" s="1"/>
      <c r="J319" s="1"/>
    </row>
    <row r="320" spans="1:10" x14ac:dyDescent="0.3">
      <c r="A320" t="str">
        <f t="shared" si="8"/>
        <v>EFG%</v>
      </c>
      <c r="B320">
        <f t="shared" si="9"/>
        <v>8011</v>
      </c>
      <c r="D320" s="1"/>
      <c r="E320" s="1" t="s">
        <v>117</v>
      </c>
      <c r="F320" s="1">
        <v>127</v>
      </c>
      <c r="G320" s="1">
        <v>4</v>
      </c>
      <c r="H320" s="1">
        <v>0.51900000000000002</v>
      </c>
      <c r="I320" s="1"/>
      <c r="J320" s="1"/>
    </row>
    <row r="321" spans="1:10" x14ac:dyDescent="0.3">
      <c r="A321" t="str">
        <f t="shared" si="8"/>
        <v>EFG%</v>
      </c>
      <c r="B321">
        <f t="shared" si="9"/>
        <v>6911</v>
      </c>
      <c r="D321" s="1"/>
      <c r="E321" s="1" t="s">
        <v>114</v>
      </c>
      <c r="F321" s="1">
        <v>132</v>
      </c>
      <c r="G321" s="1">
        <v>6</v>
      </c>
      <c r="H321" s="1">
        <v>0.51900000000000002</v>
      </c>
      <c r="I321" s="1"/>
      <c r="J321" s="1"/>
    </row>
    <row r="322" spans="1:10" x14ac:dyDescent="0.3">
      <c r="A322" t="str">
        <f t="shared" ref="A322:A385" si="10">IF(NOT(D322=""),INDEX(statAbbr,MATCH(D322,statOfficial,0),1),A321)</f>
        <v>EFG%</v>
      </c>
      <c r="B322">
        <f t="shared" ref="B322:B385" si="11">INDEX(statID,MATCH(A322,statAbbr,0),1)+INDEX(teamID,MATCH(E322,teamRawName,0))</f>
        <v>10311</v>
      </c>
      <c r="D322" s="1"/>
      <c r="E322" s="1" t="s">
        <v>134</v>
      </c>
      <c r="F322" s="1">
        <v>139</v>
      </c>
      <c r="G322" s="1">
        <v>7</v>
      </c>
      <c r="H322" s="1">
        <v>0.51800000000000002</v>
      </c>
      <c r="I322" s="1"/>
      <c r="J322" s="1"/>
    </row>
    <row r="323" spans="1:10" x14ac:dyDescent="0.3">
      <c r="A323" t="str">
        <f t="shared" si="10"/>
        <v>EFG%</v>
      </c>
      <c r="B323">
        <f t="shared" si="11"/>
        <v>5711</v>
      </c>
      <c r="D323" s="1"/>
      <c r="E323" s="1" t="s">
        <v>120</v>
      </c>
      <c r="F323" s="1">
        <v>140</v>
      </c>
      <c r="G323" s="1">
        <v>5</v>
      </c>
      <c r="H323" s="1">
        <v>0.51800000000000002</v>
      </c>
      <c r="I323" s="1"/>
      <c r="J323" s="1"/>
    </row>
    <row r="324" spans="1:10" x14ac:dyDescent="0.3">
      <c r="A324" t="str">
        <f t="shared" si="10"/>
        <v>EFG%</v>
      </c>
      <c r="B324">
        <f t="shared" si="11"/>
        <v>911</v>
      </c>
      <c r="D324" s="1"/>
      <c r="E324" s="1" t="s">
        <v>90</v>
      </c>
      <c r="F324" s="1">
        <v>147</v>
      </c>
      <c r="G324" s="1">
        <v>9</v>
      </c>
      <c r="H324" s="1">
        <v>0.51600000000000001</v>
      </c>
      <c r="I324" s="1"/>
      <c r="J324" s="1"/>
    </row>
    <row r="325" spans="1:10" x14ac:dyDescent="0.3">
      <c r="A325" t="str">
        <f t="shared" si="10"/>
        <v>EFG%</v>
      </c>
      <c r="B325">
        <f t="shared" si="11"/>
        <v>2111</v>
      </c>
      <c r="D325" s="1"/>
      <c r="E325" s="1" t="s">
        <v>136</v>
      </c>
      <c r="F325" s="1">
        <v>149</v>
      </c>
      <c r="G325" s="1">
        <v>9</v>
      </c>
      <c r="H325" s="1">
        <v>0.51600000000000001</v>
      </c>
      <c r="I325" s="1"/>
      <c r="J325" s="1"/>
    </row>
    <row r="326" spans="1:10" x14ac:dyDescent="0.3">
      <c r="A326" t="str">
        <f t="shared" si="10"/>
        <v>EFG%</v>
      </c>
      <c r="B326">
        <f t="shared" si="11"/>
        <v>5611</v>
      </c>
      <c r="D326" s="1"/>
      <c r="E326" s="1" t="s">
        <v>62</v>
      </c>
      <c r="F326" s="1">
        <v>154</v>
      </c>
      <c r="G326" s="1">
        <v>8</v>
      </c>
      <c r="H326" s="1">
        <v>0.51500000000000001</v>
      </c>
      <c r="I326" s="1"/>
      <c r="J326" s="1"/>
    </row>
    <row r="327" spans="1:10" x14ac:dyDescent="0.3">
      <c r="A327" t="str">
        <f t="shared" si="10"/>
        <v>EFG%</v>
      </c>
      <c r="B327">
        <f t="shared" si="11"/>
        <v>4911</v>
      </c>
      <c r="D327" s="1"/>
      <c r="E327" s="1" t="s">
        <v>108</v>
      </c>
      <c r="F327" s="1">
        <v>155</v>
      </c>
      <c r="G327" s="1">
        <v>9</v>
      </c>
      <c r="H327" s="1">
        <v>0.51500000000000001</v>
      </c>
      <c r="I327" s="1"/>
      <c r="J327" s="1"/>
    </row>
    <row r="328" spans="1:10" x14ac:dyDescent="0.3">
      <c r="A328" t="str">
        <f t="shared" si="10"/>
        <v>EFG%</v>
      </c>
      <c r="B328">
        <f t="shared" si="11"/>
        <v>1611</v>
      </c>
      <c r="D328" s="1"/>
      <c r="E328" s="1" t="s">
        <v>137</v>
      </c>
      <c r="F328" s="1">
        <v>158</v>
      </c>
      <c r="G328" s="1">
        <v>6</v>
      </c>
      <c r="H328" s="1">
        <v>0.51400000000000001</v>
      </c>
      <c r="I328" s="1"/>
      <c r="J328" s="1"/>
    </row>
    <row r="329" spans="1:10" x14ac:dyDescent="0.3">
      <c r="A329" t="str">
        <f t="shared" si="10"/>
        <v>EFG%</v>
      </c>
      <c r="B329">
        <f t="shared" si="11"/>
        <v>3511</v>
      </c>
      <c r="D329" s="1"/>
      <c r="E329" s="1" t="s">
        <v>87</v>
      </c>
      <c r="F329" s="1">
        <v>175</v>
      </c>
      <c r="G329" s="1">
        <v>8</v>
      </c>
      <c r="H329" s="1">
        <v>0.51100000000000001</v>
      </c>
      <c r="I329" s="1"/>
      <c r="J329" s="1"/>
    </row>
    <row r="330" spans="1:10" x14ac:dyDescent="0.3">
      <c r="A330" t="str">
        <f t="shared" si="10"/>
        <v>EFG%</v>
      </c>
      <c r="B330">
        <f t="shared" si="11"/>
        <v>9111</v>
      </c>
      <c r="D330" s="1"/>
      <c r="E330" s="1" t="s">
        <v>99</v>
      </c>
      <c r="F330" s="1">
        <v>185</v>
      </c>
      <c r="G330" s="1">
        <v>9</v>
      </c>
      <c r="H330" s="1">
        <v>0.50900000000000001</v>
      </c>
      <c r="I330" s="1"/>
      <c r="J330" s="1"/>
    </row>
    <row r="331" spans="1:10" x14ac:dyDescent="0.3">
      <c r="A331" t="str">
        <f t="shared" si="10"/>
        <v>EFG%</v>
      </c>
      <c r="B331">
        <f t="shared" si="11"/>
        <v>1911</v>
      </c>
      <c r="D331" s="1"/>
      <c r="E331" s="1" t="s">
        <v>112</v>
      </c>
      <c r="F331" s="1">
        <v>193</v>
      </c>
      <c r="G331" s="1">
        <v>10</v>
      </c>
      <c r="H331" s="1">
        <v>0.50700000000000001</v>
      </c>
      <c r="I331" s="1"/>
      <c r="J331" s="1"/>
    </row>
    <row r="332" spans="1:10" x14ac:dyDescent="0.3">
      <c r="A332" t="str">
        <f t="shared" si="10"/>
        <v>EFG%</v>
      </c>
      <c r="B332">
        <f t="shared" si="11"/>
        <v>4711</v>
      </c>
      <c r="D332" s="1"/>
      <c r="E332" s="1" t="s">
        <v>107</v>
      </c>
      <c r="F332" s="1">
        <v>206</v>
      </c>
      <c r="G332" s="1">
        <v>10</v>
      </c>
      <c r="H332" s="1">
        <v>0.505</v>
      </c>
      <c r="I332" s="1"/>
      <c r="J332" s="1"/>
    </row>
    <row r="333" spans="1:10" x14ac:dyDescent="0.3">
      <c r="A333" t="str">
        <f t="shared" si="10"/>
        <v>EFG%</v>
      </c>
      <c r="B333">
        <f t="shared" si="11"/>
        <v>2811</v>
      </c>
      <c r="D333" s="1"/>
      <c r="E333" s="1" t="s">
        <v>106</v>
      </c>
      <c r="F333" s="1">
        <v>214</v>
      </c>
      <c r="G333" s="1">
        <v>11</v>
      </c>
      <c r="H333" s="1">
        <v>0.503</v>
      </c>
      <c r="I333" s="1"/>
      <c r="J333" s="1"/>
    </row>
    <row r="334" spans="1:10" x14ac:dyDescent="0.3">
      <c r="A334" t="str">
        <f t="shared" si="10"/>
        <v>EFG%</v>
      </c>
      <c r="B334">
        <f t="shared" si="11"/>
        <v>12911</v>
      </c>
      <c r="D334" s="1"/>
      <c r="E334" s="1" t="s">
        <v>132</v>
      </c>
      <c r="F334" s="1">
        <v>220</v>
      </c>
      <c r="G334" s="1">
        <v>12</v>
      </c>
      <c r="H334" s="1">
        <v>0.503</v>
      </c>
      <c r="I334" s="1"/>
      <c r="J334" s="1"/>
    </row>
    <row r="335" spans="1:10" x14ac:dyDescent="0.3">
      <c r="A335" t="str">
        <f t="shared" si="10"/>
        <v>EFG%</v>
      </c>
      <c r="B335">
        <f t="shared" si="11"/>
        <v>11411</v>
      </c>
      <c r="D335" s="1"/>
      <c r="E335" s="1" t="s">
        <v>138</v>
      </c>
      <c r="F335" s="1">
        <v>222</v>
      </c>
      <c r="G335" s="1">
        <v>7</v>
      </c>
      <c r="H335" s="1">
        <v>0.502</v>
      </c>
      <c r="I335" s="1"/>
      <c r="J335" s="1"/>
    </row>
    <row r="336" spans="1:10" x14ac:dyDescent="0.3">
      <c r="A336" t="str">
        <f t="shared" si="10"/>
        <v>EFG%</v>
      </c>
      <c r="B336">
        <f t="shared" si="11"/>
        <v>12711</v>
      </c>
      <c r="D336" s="1"/>
      <c r="E336" s="1" t="s">
        <v>13</v>
      </c>
      <c r="F336" s="1">
        <v>227</v>
      </c>
      <c r="G336" s="1">
        <v>10</v>
      </c>
      <c r="H336" s="1">
        <v>0.501</v>
      </c>
      <c r="I336" s="1"/>
      <c r="J336" s="1"/>
    </row>
    <row r="337" spans="1:10" x14ac:dyDescent="0.3">
      <c r="A337" t="str">
        <f t="shared" si="10"/>
        <v>EFG%</v>
      </c>
      <c r="B337">
        <f t="shared" si="11"/>
        <v>1211</v>
      </c>
      <c r="D337" s="1"/>
      <c r="E337" s="1" t="s">
        <v>130</v>
      </c>
      <c r="F337" s="1">
        <v>230</v>
      </c>
      <c r="G337" s="1">
        <v>11</v>
      </c>
      <c r="H337" s="1">
        <v>0.5</v>
      </c>
      <c r="I337" s="1"/>
      <c r="J337" s="1"/>
    </row>
    <row r="338" spans="1:10" x14ac:dyDescent="0.3">
      <c r="A338" t="str">
        <f t="shared" si="10"/>
        <v>EFG%</v>
      </c>
      <c r="B338">
        <f t="shared" si="11"/>
        <v>11911</v>
      </c>
      <c r="D338" s="1"/>
      <c r="E338" s="1" t="s">
        <v>143</v>
      </c>
      <c r="F338" s="1">
        <v>263</v>
      </c>
      <c r="G338" s="1">
        <v>3</v>
      </c>
      <c r="H338" s="1">
        <v>0.48699999999999999</v>
      </c>
      <c r="I338" s="1"/>
      <c r="J338" s="1"/>
    </row>
    <row r="339" spans="1:10" x14ac:dyDescent="0.3">
      <c r="A339" t="str">
        <f t="shared" si="10"/>
        <v>EFG%</v>
      </c>
      <c r="B339">
        <f t="shared" si="11"/>
        <v>12411</v>
      </c>
      <c r="D339" s="1"/>
      <c r="E339" s="1" t="s">
        <v>128</v>
      </c>
      <c r="F339" s="1">
        <v>265</v>
      </c>
      <c r="G339" s="1">
        <v>7</v>
      </c>
      <c r="H339" s="1">
        <v>0.48699999999999999</v>
      </c>
      <c r="I339" s="1"/>
      <c r="J339" s="1"/>
    </row>
    <row r="340" spans="1:10" x14ac:dyDescent="0.3">
      <c r="A340" t="str">
        <f t="shared" si="10"/>
        <v>EFG%</v>
      </c>
      <c r="B340">
        <f t="shared" si="11"/>
        <v>2611</v>
      </c>
      <c r="D340" s="1"/>
      <c r="E340" s="1" t="s">
        <v>80</v>
      </c>
      <c r="F340" s="1">
        <v>268</v>
      </c>
      <c r="G340" s="1">
        <v>13</v>
      </c>
      <c r="H340" s="1">
        <v>0.48599999999999999</v>
      </c>
      <c r="I340" s="1"/>
      <c r="J340" s="1"/>
    </row>
    <row r="341" spans="1:10" x14ac:dyDescent="0.3">
      <c r="A341" t="str">
        <f t="shared" si="10"/>
        <v>EFG%</v>
      </c>
      <c r="B341">
        <f t="shared" si="11"/>
        <v>11611</v>
      </c>
      <c r="D341" s="1"/>
      <c r="E341" s="1" t="s">
        <v>121</v>
      </c>
      <c r="F341" s="1">
        <v>339</v>
      </c>
      <c r="G341" s="1">
        <v>7</v>
      </c>
      <c r="H341" s="1">
        <v>0.45800000000000002</v>
      </c>
      <c r="I341" s="1"/>
      <c r="J341" s="1"/>
    </row>
    <row r="342" spans="1:10" x14ac:dyDescent="0.3">
      <c r="A342" t="str">
        <f t="shared" si="10"/>
        <v>EFG%</v>
      </c>
      <c r="B342">
        <f t="shared" si="11"/>
        <v>3611</v>
      </c>
      <c r="D342" s="1"/>
      <c r="E342" s="1" t="s">
        <v>129</v>
      </c>
      <c r="F342" s="1">
        <v>340</v>
      </c>
      <c r="G342" s="1">
        <v>13</v>
      </c>
      <c r="H342" s="1">
        <v>0.45700000000000002</v>
      </c>
      <c r="I342" s="1"/>
      <c r="J342" s="1"/>
    </row>
    <row r="343" spans="1:10" x14ac:dyDescent="0.3">
      <c r="A343" t="str">
        <f t="shared" si="10"/>
        <v>EFG%</v>
      </c>
      <c r="B343">
        <f t="shared" si="11"/>
        <v>12811</v>
      </c>
      <c r="D343" s="1"/>
      <c r="E343" s="1" t="s">
        <v>142</v>
      </c>
      <c r="F343" s="1">
        <v>345</v>
      </c>
      <c r="G343" s="1">
        <v>11</v>
      </c>
      <c r="H343" s="1">
        <v>0.44600000000000001</v>
      </c>
      <c r="I343" s="1"/>
      <c r="J343" s="1"/>
    </row>
    <row r="344" spans="1:10" x14ac:dyDescent="0.3">
      <c r="A344" t="str">
        <f t="shared" si="10"/>
        <v>FB</v>
      </c>
      <c r="B344">
        <f t="shared" si="11"/>
        <v>5612</v>
      </c>
      <c r="D344" s="1" t="s">
        <v>151</v>
      </c>
      <c r="E344" s="1" t="s">
        <v>62</v>
      </c>
      <c r="F344" s="1">
        <v>1</v>
      </c>
      <c r="G344" s="1">
        <v>1</v>
      </c>
      <c r="H344" s="1">
        <v>17.79</v>
      </c>
      <c r="I344" s="1" t="s">
        <v>62</v>
      </c>
      <c r="J344" s="1">
        <v>17.79</v>
      </c>
    </row>
    <row r="345" spans="1:10" x14ac:dyDescent="0.3">
      <c r="A345" t="str">
        <f t="shared" si="10"/>
        <v>FB</v>
      </c>
      <c r="B345">
        <f t="shared" si="11"/>
        <v>2912</v>
      </c>
      <c r="D345" s="1"/>
      <c r="E345" s="1" t="s">
        <v>96</v>
      </c>
      <c r="F345" s="1">
        <v>2</v>
      </c>
      <c r="G345" s="1">
        <v>1</v>
      </c>
      <c r="H345" s="1">
        <v>16.440000000000001</v>
      </c>
      <c r="I345" s="1"/>
      <c r="J345" s="1"/>
    </row>
    <row r="346" spans="1:10" x14ac:dyDescent="0.3">
      <c r="A346" t="str">
        <f t="shared" si="10"/>
        <v>FB</v>
      </c>
      <c r="B346">
        <f t="shared" si="11"/>
        <v>5512</v>
      </c>
      <c r="D346" s="1"/>
      <c r="E346" s="1" t="s">
        <v>86</v>
      </c>
      <c r="F346" s="1">
        <v>4</v>
      </c>
      <c r="G346" s="1">
        <v>1</v>
      </c>
      <c r="H346" s="1">
        <v>15.42</v>
      </c>
      <c r="I346" s="1"/>
      <c r="J346" s="1"/>
    </row>
    <row r="347" spans="1:10" x14ac:dyDescent="0.3">
      <c r="A347" t="str">
        <f t="shared" si="10"/>
        <v>FB</v>
      </c>
      <c r="B347">
        <f t="shared" si="11"/>
        <v>9912</v>
      </c>
      <c r="D347" s="1"/>
      <c r="E347" s="1" t="s">
        <v>113</v>
      </c>
      <c r="F347" s="1">
        <v>7</v>
      </c>
      <c r="G347" s="1">
        <v>1</v>
      </c>
      <c r="H347" s="1">
        <v>15.2</v>
      </c>
      <c r="I347" s="1"/>
      <c r="J347" s="1"/>
    </row>
    <row r="348" spans="1:10" x14ac:dyDescent="0.3">
      <c r="A348" t="str">
        <f t="shared" si="10"/>
        <v>FB</v>
      </c>
      <c r="B348">
        <f t="shared" si="11"/>
        <v>4712</v>
      </c>
      <c r="D348" s="1"/>
      <c r="E348" s="1" t="s">
        <v>107</v>
      </c>
      <c r="F348" s="1">
        <v>16</v>
      </c>
      <c r="G348" s="1">
        <v>1</v>
      </c>
      <c r="H348" s="1">
        <v>14.64</v>
      </c>
      <c r="I348" s="1"/>
      <c r="J348" s="1"/>
    </row>
    <row r="349" spans="1:10" x14ac:dyDescent="0.3">
      <c r="A349" t="str">
        <f t="shared" si="10"/>
        <v>FB</v>
      </c>
      <c r="B349">
        <f t="shared" si="11"/>
        <v>5712</v>
      </c>
      <c r="D349" s="1"/>
      <c r="E349" s="1" t="s">
        <v>120</v>
      </c>
      <c r="F349" s="1">
        <v>21</v>
      </c>
      <c r="G349" s="1">
        <v>2</v>
      </c>
      <c r="H349" s="1">
        <v>14.28</v>
      </c>
      <c r="I349" s="1"/>
      <c r="J349" s="1"/>
    </row>
    <row r="350" spans="1:10" x14ac:dyDescent="0.3">
      <c r="A350" t="str">
        <f t="shared" si="10"/>
        <v>FB</v>
      </c>
      <c r="B350">
        <f t="shared" si="11"/>
        <v>912</v>
      </c>
      <c r="D350" s="1"/>
      <c r="E350" s="1" t="s">
        <v>90</v>
      </c>
      <c r="F350" s="1">
        <v>22</v>
      </c>
      <c r="G350" s="1">
        <v>2</v>
      </c>
      <c r="H350" s="1">
        <v>14.09</v>
      </c>
      <c r="I350" s="1"/>
      <c r="J350" s="1"/>
    </row>
    <row r="351" spans="1:10" x14ac:dyDescent="0.3">
      <c r="A351" t="str">
        <f t="shared" si="10"/>
        <v>FB</v>
      </c>
      <c r="B351">
        <f t="shared" si="11"/>
        <v>4412</v>
      </c>
      <c r="D351" s="1"/>
      <c r="E351" s="1" t="s">
        <v>83</v>
      </c>
      <c r="F351" s="1">
        <v>25</v>
      </c>
      <c r="G351" s="1">
        <v>2</v>
      </c>
      <c r="H351" s="1">
        <v>13.91</v>
      </c>
      <c r="I351" s="1"/>
      <c r="J351" s="1"/>
    </row>
    <row r="352" spans="1:10" x14ac:dyDescent="0.3">
      <c r="A352" t="str">
        <f t="shared" si="10"/>
        <v>FB</v>
      </c>
      <c r="B352">
        <f t="shared" si="11"/>
        <v>3712</v>
      </c>
      <c r="D352" s="1"/>
      <c r="E352" s="1" t="s">
        <v>115</v>
      </c>
      <c r="F352" s="1">
        <v>26</v>
      </c>
      <c r="G352" s="1">
        <v>3</v>
      </c>
      <c r="H352" s="1">
        <v>13.7</v>
      </c>
      <c r="I352" s="1"/>
      <c r="J352" s="1"/>
    </row>
    <row r="353" spans="1:10" x14ac:dyDescent="0.3">
      <c r="A353" t="str">
        <f t="shared" si="10"/>
        <v>FB</v>
      </c>
      <c r="B353">
        <f t="shared" si="11"/>
        <v>4512</v>
      </c>
      <c r="D353" s="1"/>
      <c r="E353" s="1" t="s">
        <v>84</v>
      </c>
      <c r="F353" s="1">
        <v>30</v>
      </c>
      <c r="G353" s="1">
        <v>4</v>
      </c>
      <c r="H353" s="1">
        <v>13.57</v>
      </c>
      <c r="I353" s="1"/>
      <c r="J353" s="1"/>
    </row>
    <row r="354" spans="1:10" x14ac:dyDescent="0.3">
      <c r="A354" t="str">
        <f t="shared" si="10"/>
        <v>FB</v>
      </c>
      <c r="B354">
        <f t="shared" si="11"/>
        <v>212</v>
      </c>
      <c r="D354" s="1"/>
      <c r="E354" s="1" t="s">
        <v>98</v>
      </c>
      <c r="F354" s="1">
        <v>33</v>
      </c>
      <c r="G354" s="1">
        <v>3</v>
      </c>
      <c r="H354" s="1">
        <v>13.44</v>
      </c>
      <c r="I354" s="1"/>
      <c r="J354" s="1"/>
    </row>
    <row r="355" spans="1:10" x14ac:dyDescent="0.3">
      <c r="A355" t="str">
        <f t="shared" si="10"/>
        <v>FB</v>
      </c>
      <c r="B355">
        <f t="shared" si="11"/>
        <v>12112</v>
      </c>
      <c r="D355" s="1"/>
      <c r="E355" s="1" t="s">
        <v>140</v>
      </c>
      <c r="F355" s="1">
        <v>34</v>
      </c>
      <c r="G355" s="1">
        <v>2</v>
      </c>
      <c r="H355" s="1">
        <v>13.41</v>
      </c>
      <c r="I355" s="1"/>
      <c r="J355" s="1"/>
    </row>
    <row r="356" spans="1:10" x14ac:dyDescent="0.3">
      <c r="A356" t="str">
        <f t="shared" si="10"/>
        <v>FB</v>
      </c>
      <c r="B356">
        <f t="shared" si="11"/>
        <v>2212</v>
      </c>
      <c r="D356" s="1"/>
      <c r="E356" s="1" t="s">
        <v>119</v>
      </c>
      <c r="F356" s="1">
        <v>39</v>
      </c>
      <c r="G356" s="1">
        <v>2</v>
      </c>
      <c r="H356" s="1">
        <v>13.03</v>
      </c>
      <c r="I356" s="1"/>
      <c r="J356" s="1"/>
    </row>
    <row r="357" spans="1:10" x14ac:dyDescent="0.3">
      <c r="A357" t="str">
        <f t="shared" si="10"/>
        <v>FB</v>
      </c>
      <c r="B357">
        <f t="shared" si="11"/>
        <v>12412</v>
      </c>
      <c r="D357" s="1"/>
      <c r="E357" s="1" t="s">
        <v>128</v>
      </c>
      <c r="F357" s="1">
        <v>40</v>
      </c>
      <c r="G357" s="1">
        <v>2</v>
      </c>
      <c r="H357" s="1">
        <v>13.03</v>
      </c>
      <c r="I357" s="1"/>
      <c r="J357" s="1"/>
    </row>
    <row r="358" spans="1:10" x14ac:dyDescent="0.3">
      <c r="A358" t="str">
        <f t="shared" si="10"/>
        <v>FB</v>
      </c>
      <c r="B358">
        <f t="shared" si="11"/>
        <v>3312</v>
      </c>
      <c r="D358" s="1"/>
      <c r="E358" s="1" t="s">
        <v>91</v>
      </c>
      <c r="F358" s="1">
        <v>45</v>
      </c>
      <c r="G358" s="1">
        <v>2</v>
      </c>
      <c r="H358" s="1">
        <v>12.86</v>
      </c>
      <c r="I358" s="1"/>
      <c r="J358" s="1"/>
    </row>
    <row r="359" spans="1:10" x14ac:dyDescent="0.3">
      <c r="A359" t="str">
        <f t="shared" si="10"/>
        <v>FB</v>
      </c>
      <c r="B359">
        <f t="shared" si="11"/>
        <v>3912</v>
      </c>
      <c r="D359" s="1"/>
      <c r="E359" s="1" t="s">
        <v>88</v>
      </c>
      <c r="F359" s="1">
        <v>46</v>
      </c>
      <c r="G359" s="1">
        <v>2</v>
      </c>
      <c r="H359" s="1">
        <v>12.82</v>
      </c>
      <c r="I359" s="1"/>
      <c r="J359" s="1"/>
    </row>
    <row r="360" spans="1:10" x14ac:dyDescent="0.3">
      <c r="A360" t="str">
        <f t="shared" si="10"/>
        <v>FB</v>
      </c>
      <c r="B360">
        <f t="shared" si="11"/>
        <v>12712</v>
      </c>
      <c r="D360" s="1"/>
      <c r="E360" s="1" t="s">
        <v>13</v>
      </c>
      <c r="F360" s="1">
        <v>48</v>
      </c>
      <c r="G360" s="1">
        <v>3</v>
      </c>
      <c r="H360" s="1">
        <v>12.74</v>
      </c>
      <c r="I360" s="1"/>
      <c r="J360" s="1"/>
    </row>
    <row r="361" spans="1:10" x14ac:dyDescent="0.3">
      <c r="A361" t="str">
        <f t="shared" si="10"/>
        <v>FB</v>
      </c>
      <c r="B361">
        <f t="shared" si="11"/>
        <v>4912</v>
      </c>
      <c r="D361" s="1"/>
      <c r="E361" s="1" t="s">
        <v>108</v>
      </c>
      <c r="F361" s="1">
        <v>55</v>
      </c>
      <c r="G361" s="1">
        <v>2</v>
      </c>
      <c r="H361" s="1">
        <v>12.41</v>
      </c>
      <c r="I361" s="1"/>
      <c r="J361" s="1"/>
    </row>
    <row r="362" spans="1:10" x14ac:dyDescent="0.3">
      <c r="A362" t="str">
        <f t="shared" si="10"/>
        <v>FB</v>
      </c>
      <c r="B362">
        <f t="shared" si="11"/>
        <v>2712</v>
      </c>
      <c r="D362" s="1"/>
      <c r="E362" s="1" t="s">
        <v>7</v>
      </c>
      <c r="F362" s="1">
        <v>62</v>
      </c>
      <c r="G362" s="1">
        <v>4</v>
      </c>
      <c r="H362" s="1">
        <v>12.21</v>
      </c>
      <c r="I362" s="1"/>
      <c r="J362" s="1"/>
    </row>
    <row r="363" spans="1:10" x14ac:dyDescent="0.3">
      <c r="A363" t="str">
        <f t="shared" si="10"/>
        <v>FB</v>
      </c>
      <c r="B363">
        <f t="shared" si="11"/>
        <v>3512</v>
      </c>
      <c r="D363" s="1"/>
      <c r="E363" s="1" t="s">
        <v>87</v>
      </c>
      <c r="F363" s="1">
        <v>63</v>
      </c>
      <c r="G363" s="1">
        <v>6</v>
      </c>
      <c r="H363" s="1">
        <v>12.19</v>
      </c>
      <c r="I363" s="1"/>
      <c r="J363" s="1"/>
    </row>
    <row r="364" spans="1:10" x14ac:dyDescent="0.3">
      <c r="A364" t="str">
        <f t="shared" si="10"/>
        <v>FB</v>
      </c>
      <c r="B364">
        <f t="shared" si="11"/>
        <v>6712</v>
      </c>
      <c r="D364" s="1"/>
      <c r="E364" s="1" t="s">
        <v>118</v>
      </c>
      <c r="F364" s="1">
        <v>65</v>
      </c>
      <c r="G364" s="1">
        <v>5</v>
      </c>
      <c r="H364" s="1">
        <v>12.18</v>
      </c>
      <c r="I364" s="1"/>
      <c r="J364" s="1"/>
    </row>
    <row r="365" spans="1:10" x14ac:dyDescent="0.3">
      <c r="A365" t="str">
        <f t="shared" si="10"/>
        <v>FB</v>
      </c>
      <c r="B365">
        <f t="shared" si="11"/>
        <v>1912</v>
      </c>
      <c r="D365" s="1"/>
      <c r="E365" s="1" t="s">
        <v>112</v>
      </c>
      <c r="F365" s="1">
        <v>76</v>
      </c>
      <c r="G365" s="1">
        <v>3</v>
      </c>
      <c r="H365" s="1">
        <v>11.98</v>
      </c>
      <c r="I365" s="1"/>
      <c r="J365" s="1"/>
    </row>
    <row r="366" spans="1:10" x14ac:dyDescent="0.3">
      <c r="A366" t="str">
        <f t="shared" si="10"/>
        <v>FB</v>
      </c>
      <c r="B366">
        <f t="shared" si="11"/>
        <v>6312</v>
      </c>
      <c r="D366" s="1"/>
      <c r="E366" s="1" t="s">
        <v>122</v>
      </c>
      <c r="F366" s="1">
        <v>77</v>
      </c>
      <c r="G366" s="1">
        <v>4</v>
      </c>
      <c r="H366" s="1">
        <v>11.97</v>
      </c>
      <c r="I366" s="1"/>
      <c r="J366" s="1"/>
    </row>
    <row r="367" spans="1:10" x14ac:dyDescent="0.3">
      <c r="A367" t="str">
        <f t="shared" si="10"/>
        <v>FB</v>
      </c>
      <c r="B367">
        <f t="shared" si="11"/>
        <v>2312</v>
      </c>
      <c r="D367" s="1"/>
      <c r="E367" s="1" t="s">
        <v>79</v>
      </c>
      <c r="F367" s="1">
        <v>78</v>
      </c>
      <c r="G367" s="1">
        <v>3</v>
      </c>
      <c r="H367" s="1">
        <v>11.95</v>
      </c>
      <c r="I367" s="1"/>
      <c r="J367" s="1"/>
    </row>
    <row r="368" spans="1:10" x14ac:dyDescent="0.3">
      <c r="A368" t="str">
        <f t="shared" si="10"/>
        <v>FB</v>
      </c>
      <c r="B368">
        <f t="shared" si="11"/>
        <v>12912</v>
      </c>
      <c r="D368" s="1"/>
      <c r="E368" s="1" t="s">
        <v>132</v>
      </c>
      <c r="F368" s="1">
        <v>83</v>
      </c>
      <c r="G368" s="1">
        <v>2</v>
      </c>
      <c r="H368" s="1">
        <v>11.86</v>
      </c>
      <c r="I368" s="1"/>
      <c r="J368" s="1"/>
    </row>
    <row r="369" spans="1:10" x14ac:dyDescent="0.3">
      <c r="A369" t="str">
        <f t="shared" si="10"/>
        <v>FB</v>
      </c>
      <c r="B369">
        <f t="shared" si="11"/>
        <v>1312</v>
      </c>
      <c r="D369" s="1"/>
      <c r="E369" s="1" t="s">
        <v>82</v>
      </c>
      <c r="F369" s="1">
        <v>87</v>
      </c>
      <c r="G369" s="1">
        <v>2</v>
      </c>
      <c r="H369" s="1">
        <v>11.78</v>
      </c>
      <c r="I369" s="1"/>
      <c r="J369" s="1"/>
    </row>
    <row r="370" spans="1:10" x14ac:dyDescent="0.3">
      <c r="A370" t="str">
        <f t="shared" si="10"/>
        <v>FB</v>
      </c>
      <c r="B370">
        <f t="shared" si="11"/>
        <v>4312</v>
      </c>
      <c r="D370" s="1"/>
      <c r="E370" s="1" t="s">
        <v>125</v>
      </c>
      <c r="F370" s="1">
        <v>94</v>
      </c>
      <c r="G370" s="1">
        <v>4</v>
      </c>
      <c r="H370" s="1">
        <v>11.47</v>
      </c>
      <c r="I370" s="1"/>
      <c r="J370" s="1"/>
    </row>
    <row r="371" spans="1:10" x14ac:dyDescent="0.3">
      <c r="A371" t="str">
        <f t="shared" si="10"/>
        <v>FB</v>
      </c>
      <c r="B371">
        <f t="shared" si="11"/>
        <v>4812</v>
      </c>
      <c r="D371" s="1"/>
      <c r="E371" s="1" t="s">
        <v>104</v>
      </c>
      <c r="F371" s="1">
        <v>107</v>
      </c>
      <c r="G371" s="1">
        <v>6</v>
      </c>
      <c r="H371" s="1">
        <v>11.03</v>
      </c>
      <c r="I371" s="1"/>
      <c r="J371" s="1"/>
    </row>
    <row r="372" spans="1:10" x14ac:dyDescent="0.3">
      <c r="A372" t="str">
        <f t="shared" si="10"/>
        <v>FB</v>
      </c>
      <c r="B372">
        <f t="shared" si="11"/>
        <v>5812</v>
      </c>
      <c r="D372" s="1"/>
      <c r="E372" s="1" t="s">
        <v>139</v>
      </c>
      <c r="F372" s="1">
        <v>108</v>
      </c>
      <c r="G372" s="1">
        <v>5</v>
      </c>
      <c r="H372" s="1">
        <v>11</v>
      </c>
      <c r="I372" s="1"/>
      <c r="J372" s="1"/>
    </row>
    <row r="373" spans="1:10" x14ac:dyDescent="0.3">
      <c r="A373" t="str">
        <f t="shared" si="10"/>
        <v>FB</v>
      </c>
      <c r="B373">
        <f t="shared" si="11"/>
        <v>1412</v>
      </c>
      <c r="D373" s="1"/>
      <c r="E373" s="1" t="s">
        <v>102</v>
      </c>
      <c r="F373" s="1">
        <v>114</v>
      </c>
      <c r="G373" s="1">
        <v>3</v>
      </c>
      <c r="H373" s="1">
        <v>10.91</v>
      </c>
      <c r="I373" s="1"/>
      <c r="J373" s="1"/>
    </row>
    <row r="374" spans="1:10" x14ac:dyDescent="0.3">
      <c r="A374" t="str">
        <f t="shared" si="10"/>
        <v>FB</v>
      </c>
      <c r="B374">
        <f t="shared" si="11"/>
        <v>5412</v>
      </c>
      <c r="D374" s="1"/>
      <c r="E374" s="1" t="s">
        <v>94</v>
      </c>
      <c r="F374" s="1">
        <v>122</v>
      </c>
      <c r="G374" s="1">
        <v>5</v>
      </c>
      <c r="H374" s="1">
        <v>10.72</v>
      </c>
      <c r="I374" s="1"/>
      <c r="J374" s="1"/>
    </row>
    <row r="375" spans="1:10" x14ac:dyDescent="0.3">
      <c r="A375" t="str">
        <f t="shared" si="10"/>
        <v>FB</v>
      </c>
      <c r="B375">
        <f t="shared" si="11"/>
        <v>11612</v>
      </c>
      <c r="D375" s="1"/>
      <c r="E375" s="1" t="s">
        <v>121</v>
      </c>
      <c r="F375" s="1">
        <v>124</v>
      </c>
      <c r="G375" s="1">
        <v>4</v>
      </c>
      <c r="H375" s="1">
        <v>10.7</v>
      </c>
      <c r="I375" s="1"/>
      <c r="J375" s="1"/>
    </row>
    <row r="376" spans="1:10" x14ac:dyDescent="0.3">
      <c r="A376" t="str">
        <f t="shared" si="10"/>
        <v>FB</v>
      </c>
      <c r="B376">
        <f t="shared" si="11"/>
        <v>612</v>
      </c>
      <c r="D376" s="1"/>
      <c r="E376" s="1" t="s">
        <v>100</v>
      </c>
      <c r="F376" s="1">
        <v>127</v>
      </c>
      <c r="G376" s="1">
        <v>6</v>
      </c>
      <c r="H376" s="1">
        <v>10.62</v>
      </c>
      <c r="I376" s="1"/>
      <c r="J376" s="1"/>
    </row>
    <row r="377" spans="1:10" x14ac:dyDescent="0.3">
      <c r="A377" t="str">
        <f t="shared" si="10"/>
        <v>FB</v>
      </c>
      <c r="B377">
        <f t="shared" si="11"/>
        <v>11912</v>
      </c>
      <c r="D377" s="1"/>
      <c r="E377" s="1" t="s">
        <v>143</v>
      </c>
      <c r="F377" s="1">
        <v>135</v>
      </c>
      <c r="G377" s="1">
        <v>9</v>
      </c>
      <c r="H377" s="1">
        <v>10.42</v>
      </c>
      <c r="I377" s="1"/>
      <c r="J377" s="1"/>
    </row>
    <row r="378" spans="1:10" x14ac:dyDescent="0.3">
      <c r="A378" t="str">
        <f t="shared" si="10"/>
        <v>FB</v>
      </c>
      <c r="B378">
        <f t="shared" si="11"/>
        <v>9512</v>
      </c>
      <c r="D378" s="1"/>
      <c r="E378" s="1" t="s">
        <v>85</v>
      </c>
      <c r="F378" s="1">
        <v>151</v>
      </c>
      <c r="G378" s="1">
        <v>4</v>
      </c>
      <c r="H378" s="1">
        <v>10.029999999999999</v>
      </c>
      <c r="I378" s="1"/>
      <c r="J378" s="1"/>
    </row>
    <row r="379" spans="1:10" x14ac:dyDescent="0.3">
      <c r="A379" t="str">
        <f t="shared" si="10"/>
        <v>FB</v>
      </c>
      <c r="B379">
        <f t="shared" si="11"/>
        <v>7312</v>
      </c>
      <c r="D379" s="1"/>
      <c r="E379" s="1" t="s">
        <v>111</v>
      </c>
      <c r="F379" s="1">
        <v>154</v>
      </c>
      <c r="G379" s="1">
        <v>6</v>
      </c>
      <c r="H379" s="1">
        <v>9.94</v>
      </c>
      <c r="I379" s="1"/>
      <c r="J379" s="1"/>
    </row>
    <row r="380" spans="1:10" x14ac:dyDescent="0.3">
      <c r="A380" t="str">
        <f t="shared" si="10"/>
        <v>FB</v>
      </c>
      <c r="B380">
        <f t="shared" si="11"/>
        <v>1612</v>
      </c>
      <c r="D380" s="1"/>
      <c r="E380" s="1" t="s">
        <v>137</v>
      </c>
      <c r="F380" s="1">
        <v>168</v>
      </c>
      <c r="G380" s="1">
        <v>9</v>
      </c>
      <c r="H380" s="1">
        <v>9.74</v>
      </c>
      <c r="I380" s="1"/>
      <c r="J380" s="1"/>
    </row>
    <row r="381" spans="1:10" x14ac:dyDescent="0.3">
      <c r="A381" t="str">
        <f t="shared" si="10"/>
        <v>FB</v>
      </c>
      <c r="B381">
        <f t="shared" si="11"/>
        <v>11312</v>
      </c>
      <c r="D381" s="1"/>
      <c r="E381" s="1" t="s">
        <v>126</v>
      </c>
      <c r="F381" s="1">
        <v>168</v>
      </c>
      <c r="G381" s="1">
        <v>6</v>
      </c>
      <c r="H381" s="1">
        <v>9.74</v>
      </c>
      <c r="I381" s="1"/>
      <c r="J381" s="1"/>
    </row>
    <row r="382" spans="1:10" x14ac:dyDescent="0.3">
      <c r="A382" t="str">
        <f t="shared" si="10"/>
        <v>FB</v>
      </c>
      <c r="B382">
        <f t="shared" si="11"/>
        <v>6912</v>
      </c>
      <c r="D382" s="1"/>
      <c r="E382" s="1" t="s">
        <v>114</v>
      </c>
      <c r="F382" s="1">
        <v>170</v>
      </c>
      <c r="G382" s="1">
        <v>6</v>
      </c>
      <c r="H382" s="1">
        <v>9.7200000000000006</v>
      </c>
      <c r="I382" s="1"/>
      <c r="J382" s="1"/>
    </row>
    <row r="383" spans="1:10" x14ac:dyDescent="0.3">
      <c r="A383" t="str">
        <f t="shared" si="10"/>
        <v>FB</v>
      </c>
      <c r="B383">
        <f t="shared" si="11"/>
        <v>3112</v>
      </c>
      <c r="D383" s="1"/>
      <c r="E383" s="1" t="s">
        <v>93</v>
      </c>
      <c r="F383" s="1">
        <v>176</v>
      </c>
      <c r="G383" s="1">
        <v>5</v>
      </c>
      <c r="H383" s="1">
        <v>9.69</v>
      </c>
      <c r="I383" s="1"/>
      <c r="J383" s="1"/>
    </row>
    <row r="384" spans="1:10" x14ac:dyDescent="0.3">
      <c r="A384" t="str">
        <f t="shared" si="10"/>
        <v>FB</v>
      </c>
      <c r="B384">
        <f t="shared" si="11"/>
        <v>12512</v>
      </c>
      <c r="D384" s="1"/>
      <c r="E384" s="1" t="s">
        <v>95</v>
      </c>
      <c r="F384" s="1">
        <v>188</v>
      </c>
      <c r="G384" s="1">
        <v>4</v>
      </c>
      <c r="H384" s="1">
        <v>9.39</v>
      </c>
      <c r="I384" s="1"/>
      <c r="J384" s="1"/>
    </row>
    <row r="385" spans="1:10" x14ac:dyDescent="0.3">
      <c r="A385" t="str">
        <f t="shared" si="10"/>
        <v>FB</v>
      </c>
      <c r="B385">
        <f t="shared" si="11"/>
        <v>12812</v>
      </c>
      <c r="D385" s="1"/>
      <c r="E385" s="1" t="s">
        <v>142</v>
      </c>
      <c r="F385" s="1">
        <v>193</v>
      </c>
      <c r="G385" s="1">
        <v>5</v>
      </c>
      <c r="H385" s="1">
        <v>9.33</v>
      </c>
      <c r="I385" s="1"/>
      <c r="J385" s="1"/>
    </row>
    <row r="386" spans="1:10" x14ac:dyDescent="0.3">
      <c r="A386" t="str">
        <f t="shared" ref="A386:A449" si="12">IF(NOT(D386=""),INDEX(statAbbr,MATCH(D386,statOfficial,0),1),A385)</f>
        <v>FB</v>
      </c>
      <c r="B386">
        <f t="shared" ref="B386:B449" si="13">INDEX(statID,MATCH(A386,statAbbr,0),1)+INDEX(teamID,MATCH(E386,teamRawName,0))</f>
        <v>11412</v>
      </c>
      <c r="D386" s="1"/>
      <c r="E386" s="1" t="s">
        <v>138</v>
      </c>
      <c r="F386" s="1">
        <v>200</v>
      </c>
      <c r="G386" s="1">
        <v>6</v>
      </c>
      <c r="H386" s="1">
        <v>9.26</v>
      </c>
      <c r="I386" s="1"/>
      <c r="J386" s="1"/>
    </row>
    <row r="387" spans="1:10" x14ac:dyDescent="0.3">
      <c r="A387" t="str">
        <f t="shared" si="12"/>
        <v>FB</v>
      </c>
      <c r="B387">
        <f t="shared" si="13"/>
        <v>11512</v>
      </c>
      <c r="D387" s="1"/>
      <c r="E387" s="1" t="s">
        <v>97</v>
      </c>
      <c r="F387" s="1">
        <v>203</v>
      </c>
      <c r="G387" s="1">
        <v>6</v>
      </c>
      <c r="H387" s="1">
        <v>9.1999999999999993</v>
      </c>
      <c r="I387" s="1"/>
      <c r="J387" s="1"/>
    </row>
    <row r="388" spans="1:10" x14ac:dyDescent="0.3">
      <c r="A388" t="str">
        <f t="shared" si="12"/>
        <v>FB</v>
      </c>
      <c r="B388">
        <f t="shared" si="13"/>
        <v>2812</v>
      </c>
      <c r="D388" s="1"/>
      <c r="E388" s="1" t="s">
        <v>106</v>
      </c>
      <c r="F388" s="1">
        <v>208</v>
      </c>
      <c r="G388" s="1">
        <v>11</v>
      </c>
      <c r="H388" s="1">
        <v>9.16</v>
      </c>
      <c r="I388" s="1"/>
      <c r="J388" s="1"/>
    </row>
    <row r="389" spans="1:10" x14ac:dyDescent="0.3">
      <c r="A389" t="str">
        <f t="shared" si="12"/>
        <v>FB</v>
      </c>
      <c r="B389">
        <f t="shared" si="13"/>
        <v>8812</v>
      </c>
      <c r="D389" s="1"/>
      <c r="E389" s="1" t="s">
        <v>141</v>
      </c>
      <c r="F389" s="1">
        <v>217</v>
      </c>
      <c r="G389" s="1">
        <v>5</v>
      </c>
      <c r="H389" s="1">
        <v>9.0299999999999994</v>
      </c>
      <c r="I389" s="1"/>
      <c r="J389" s="1"/>
    </row>
    <row r="390" spans="1:10" x14ac:dyDescent="0.3">
      <c r="A390" t="str">
        <f t="shared" si="12"/>
        <v>FB</v>
      </c>
      <c r="B390">
        <f t="shared" si="13"/>
        <v>12012</v>
      </c>
      <c r="D390" s="1"/>
      <c r="E390" s="1" t="s">
        <v>135</v>
      </c>
      <c r="F390" s="1">
        <v>217</v>
      </c>
      <c r="G390" s="1">
        <v>6</v>
      </c>
      <c r="H390" s="1">
        <v>9.0299999999999994</v>
      </c>
      <c r="I390" s="1"/>
      <c r="J390" s="1"/>
    </row>
    <row r="391" spans="1:10" x14ac:dyDescent="0.3">
      <c r="A391" t="str">
        <f t="shared" si="12"/>
        <v>FB</v>
      </c>
      <c r="B391">
        <f t="shared" si="13"/>
        <v>8412</v>
      </c>
      <c r="D391" s="1"/>
      <c r="E391" s="1" t="s">
        <v>109</v>
      </c>
      <c r="F391" s="1">
        <v>224</v>
      </c>
      <c r="G391" s="1">
        <v>2</v>
      </c>
      <c r="H391" s="1">
        <v>8.91</v>
      </c>
      <c r="I391" s="1"/>
      <c r="J391" s="1"/>
    </row>
    <row r="392" spans="1:10" x14ac:dyDescent="0.3">
      <c r="A392" t="str">
        <f t="shared" si="12"/>
        <v>FB</v>
      </c>
      <c r="B392">
        <f t="shared" si="13"/>
        <v>1212</v>
      </c>
      <c r="D392" s="1"/>
      <c r="E392" s="1" t="s">
        <v>130</v>
      </c>
      <c r="F392" s="1">
        <v>231</v>
      </c>
      <c r="G392" s="1">
        <v>5</v>
      </c>
      <c r="H392" s="1">
        <v>8.76</v>
      </c>
      <c r="I392" s="1"/>
      <c r="J392" s="1"/>
    </row>
    <row r="393" spans="1:10" x14ac:dyDescent="0.3">
      <c r="A393" t="str">
        <f t="shared" si="12"/>
        <v>FB</v>
      </c>
      <c r="B393">
        <f t="shared" si="13"/>
        <v>3212</v>
      </c>
      <c r="D393" s="1"/>
      <c r="E393" s="1" t="s">
        <v>127</v>
      </c>
      <c r="F393" s="1">
        <v>232</v>
      </c>
      <c r="G393" s="1">
        <v>12</v>
      </c>
      <c r="H393" s="1">
        <v>8.7100000000000009</v>
      </c>
      <c r="I393" s="1"/>
      <c r="J393" s="1"/>
    </row>
    <row r="394" spans="1:10" x14ac:dyDescent="0.3">
      <c r="A394" t="str">
        <f t="shared" si="12"/>
        <v>FB</v>
      </c>
      <c r="B394">
        <f t="shared" si="13"/>
        <v>10312</v>
      </c>
      <c r="D394" s="1"/>
      <c r="E394" s="1" t="s">
        <v>134</v>
      </c>
      <c r="F394" s="1">
        <v>246</v>
      </c>
      <c r="G394" s="1">
        <v>9</v>
      </c>
      <c r="H394" s="1">
        <v>8.11</v>
      </c>
      <c r="I394" s="1"/>
      <c r="J394" s="1"/>
    </row>
    <row r="395" spans="1:10" x14ac:dyDescent="0.3">
      <c r="A395" t="str">
        <f t="shared" si="12"/>
        <v>FB</v>
      </c>
      <c r="B395">
        <f t="shared" si="13"/>
        <v>8212</v>
      </c>
      <c r="D395" s="1"/>
      <c r="E395" s="1" t="s">
        <v>131</v>
      </c>
      <c r="F395" s="1">
        <v>250</v>
      </c>
      <c r="G395" s="1">
        <v>11</v>
      </c>
      <c r="H395" s="1">
        <v>8</v>
      </c>
      <c r="I395" s="1"/>
      <c r="J395" s="1"/>
    </row>
    <row r="396" spans="1:10" x14ac:dyDescent="0.3">
      <c r="A396" t="str">
        <f t="shared" si="12"/>
        <v>FB</v>
      </c>
      <c r="B396">
        <f t="shared" si="13"/>
        <v>7212</v>
      </c>
      <c r="D396" s="1"/>
      <c r="E396" s="1" t="s">
        <v>116</v>
      </c>
      <c r="F396" s="1">
        <v>259</v>
      </c>
      <c r="G396" s="1">
        <v>14</v>
      </c>
      <c r="H396" s="1">
        <v>7.82</v>
      </c>
      <c r="I396" s="1"/>
      <c r="J396" s="1"/>
    </row>
    <row r="397" spans="1:10" x14ac:dyDescent="0.3">
      <c r="A397" t="str">
        <f t="shared" si="12"/>
        <v>FB</v>
      </c>
      <c r="B397">
        <f t="shared" si="13"/>
        <v>4612</v>
      </c>
      <c r="D397" s="1"/>
      <c r="E397" s="1" t="s">
        <v>101</v>
      </c>
      <c r="F397" s="1">
        <v>261</v>
      </c>
      <c r="G397" s="1">
        <v>7</v>
      </c>
      <c r="H397" s="1">
        <v>7.74</v>
      </c>
      <c r="I397" s="1"/>
      <c r="J397" s="1"/>
    </row>
    <row r="398" spans="1:10" x14ac:dyDescent="0.3">
      <c r="A398" t="str">
        <f t="shared" si="12"/>
        <v>FB</v>
      </c>
      <c r="B398">
        <f t="shared" si="13"/>
        <v>8012</v>
      </c>
      <c r="D398" s="1"/>
      <c r="E398" s="1" t="s">
        <v>117</v>
      </c>
      <c r="F398" s="1">
        <v>276</v>
      </c>
      <c r="G398" s="1">
        <v>10</v>
      </c>
      <c r="H398" s="1">
        <v>7.47</v>
      </c>
      <c r="I398" s="1"/>
      <c r="J398" s="1"/>
    </row>
    <row r="399" spans="1:10" x14ac:dyDescent="0.3">
      <c r="A399" t="str">
        <f t="shared" si="12"/>
        <v>FB</v>
      </c>
      <c r="B399">
        <f t="shared" si="13"/>
        <v>1712</v>
      </c>
      <c r="D399" s="1"/>
      <c r="E399" s="1" t="s">
        <v>133</v>
      </c>
      <c r="F399" s="1">
        <v>278</v>
      </c>
      <c r="G399" s="1">
        <v>6</v>
      </c>
      <c r="H399" s="1">
        <v>7.46</v>
      </c>
      <c r="I399" s="1"/>
      <c r="J399" s="1"/>
    </row>
    <row r="400" spans="1:10" x14ac:dyDescent="0.3">
      <c r="A400" t="str">
        <f t="shared" si="12"/>
        <v>FB</v>
      </c>
      <c r="B400">
        <f t="shared" si="13"/>
        <v>3612</v>
      </c>
      <c r="D400" s="1"/>
      <c r="E400" s="1" t="s">
        <v>129</v>
      </c>
      <c r="F400" s="1">
        <v>283</v>
      </c>
      <c r="G400" s="1">
        <v>12</v>
      </c>
      <c r="H400" s="1">
        <v>7.25</v>
      </c>
      <c r="I400" s="1"/>
      <c r="J400" s="1"/>
    </row>
    <row r="401" spans="1:10" x14ac:dyDescent="0.3">
      <c r="A401" t="str">
        <f t="shared" si="12"/>
        <v>FB</v>
      </c>
      <c r="B401">
        <f t="shared" si="13"/>
        <v>5012</v>
      </c>
      <c r="D401" s="1"/>
      <c r="E401" s="1" t="s">
        <v>110</v>
      </c>
      <c r="F401" s="1">
        <v>285</v>
      </c>
      <c r="G401" s="1">
        <v>15</v>
      </c>
      <c r="H401" s="1">
        <v>7.24</v>
      </c>
      <c r="I401" s="1"/>
      <c r="J401" s="1"/>
    </row>
    <row r="402" spans="1:10" x14ac:dyDescent="0.3">
      <c r="A402" t="str">
        <f t="shared" si="12"/>
        <v>FB</v>
      </c>
      <c r="B402">
        <f t="shared" si="13"/>
        <v>1512</v>
      </c>
      <c r="D402" s="1"/>
      <c r="E402" s="1" t="s">
        <v>124</v>
      </c>
      <c r="F402" s="1">
        <v>293</v>
      </c>
      <c r="G402" s="1">
        <v>9</v>
      </c>
      <c r="H402" s="1">
        <v>7.09</v>
      </c>
      <c r="I402" s="1"/>
      <c r="J402" s="1"/>
    </row>
    <row r="403" spans="1:10" x14ac:dyDescent="0.3">
      <c r="A403" t="str">
        <f t="shared" si="12"/>
        <v>FB</v>
      </c>
      <c r="B403">
        <f t="shared" si="13"/>
        <v>3012</v>
      </c>
      <c r="D403" s="1"/>
      <c r="E403" s="1" t="s">
        <v>89</v>
      </c>
      <c r="F403" s="1">
        <v>298</v>
      </c>
      <c r="G403" s="1">
        <v>11</v>
      </c>
      <c r="H403" s="1">
        <v>7</v>
      </c>
      <c r="I403" s="1"/>
      <c r="J403" s="1"/>
    </row>
    <row r="404" spans="1:10" x14ac:dyDescent="0.3">
      <c r="A404" t="str">
        <f t="shared" si="12"/>
        <v>FB</v>
      </c>
      <c r="B404">
        <f t="shared" si="13"/>
        <v>2112</v>
      </c>
      <c r="D404" s="1"/>
      <c r="E404" s="1" t="s">
        <v>136</v>
      </c>
      <c r="F404" s="1">
        <v>310</v>
      </c>
      <c r="G404" s="1">
        <v>9</v>
      </c>
      <c r="H404" s="1">
        <v>6.61</v>
      </c>
      <c r="I404" s="1"/>
      <c r="J404" s="1"/>
    </row>
    <row r="405" spans="1:10" x14ac:dyDescent="0.3">
      <c r="A405" t="str">
        <f t="shared" si="12"/>
        <v>FB</v>
      </c>
      <c r="B405">
        <f t="shared" si="13"/>
        <v>4012</v>
      </c>
      <c r="D405" s="1"/>
      <c r="E405" s="1" t="s">
        <v>105</v>
      </c>
      <c r="F405" s="1">
        <v>315</v>
      </c>
      <c r="G405" s="1">
        <v>12</v>
      </c>
      <c r="H405" s="1">
        <v>6.39</v>
      </c>
      <c r="I405" s="1"/>
      <c r="J405" s="1"/>
    </row>
    <row r="406" spans="1:10" x14ac:dyDescent="0.3">
      <c r="A406" t="str">
        <f t="shared" si="12"/>
        <v>FB</v>
      </c>
      <c r="B406">
        <f t="shared" si="13"/>
        <v>2512</v>
      </c>
      <c r="D406" s="1"/>
      <c r="E406" s="1" t="s">
        <v>92</v>
      </c>
      <c r="F406" s="1">
        <v>318</v>
      </c>
      <c r="G406" s="1">
        <v>9</v>
      </c>
      <c r="H406" s="1">
        <v>6.24</v>
      </c>
      <c r="I406" s="1"/>
      <c r="J406" s="1"/>
    </row>
    <row r="407" spans="1:10" x14ac:dyDescent="0.3">
      <c r="A407" t="str">
        <f t="shared" si="12"/>
        <v>FB</v>
      </c>
      <c r="B407">
        <f t="shared" si="13"/>
        <v>6212</v>
      </c>
      <c r="D407" s="1"/>
      <c r="E407" s="1" t="s">
        <v>81</v>
      </c>
      <c r="F407" s="1">
        <v>323</v>
      </c>
      <c r="G407" s="1">
        <v>12</v>
      </c>
      <c r="H407" s="1">
        <v>6</v>
      </c>
      <c r="I407" s="1"/>
      <c r="J407" s="1"/>
    </row>
    <row r="408" spans="1:10" x14ac:dyDescent="0.3">
      <c r="A408" t="str">
        <f t="shared" si="12"/>
        <v>FB</v>
      </c>
      <c r="B408">
        <f t="shared" si="13"/>
        <v>7912</v>
      </c>
      <c r="D408" s="1"/>
      <c r="E408" s="1" t="s">
        <v>103</v>
      </c>
      <c r="F408" s="1">
        <v>328</v>
      </c>
      <c r="G408" s="1">
        <v>9</v>
      </c>
      <c r="H408" s="1">
        <v>5.89</v>
      </c>
      <c r="I408" s="1"/>
      <c r="J408" s="1"/>
    </row>
    <row r="409" spans="1:10" x14ac:dyDescent="0.3">
      <c r="A409" t="str">
        <f t="shared" si="12"/>
        <v>FB</v>
      </c>
      <c r="B409">
        <f t="shared" si="13"/>
        <v>4212</v>
      </c>
      <c r="D409" s="1"/>
      <c r="E409" s="1" t="s">
        <v>123</v>
      </c>
      <c r="F409" s="1">
        <v>333</v>
      </c>
      <c r="G409" s="1">
        <v>13</v>
      </c>
      <c r="H409" s="1">
        <v>5.64</v>
      </c>
      <c r="I409" s="1"/>
      <c r="J409" s="1"/>
    </row>
    <row r="410" spans="1:10" x14ac:dyDescent="0.3">
      <c r="A410" t="str">
        <f t="shared" si="12"/>
        <v>FB</v>
      </c>
      <c r="B410">
        <f t="shared" si="13"/>
        <v>2612</v>
      </c>
      <c r="D410" s="1"/>
      <c r="E410" s="1" t="s">
        <v>80</v>
      </c>
      <c r="F410" s="1">
        <v>340</v>
      </c>
      <c r="G410" s="1">
        <v>14</v>
      </c>
      <c r="H410" s="1">
        <v>5.29</v>
      </c>
      <c r="I410" s="1"/>
      <c r="J410" s="1"/>
    </row>
    <row r="411" spans="1:10" x14ac:dyDescent="0.3">
      <c r="A411" t="str">
        <f t="shared" si="12"/>
        <v>FB</v>
      </c>
      <c r="B411">
        <f t="shared" si="13"/>
        <v>9112</v>
      </c>
      <c r="D411" s="1"/>
      <c r="E411" s="1" t="s">
        <v>99</v>
      </c>
      <c r="F411" s="1">
        <v>343</v>
      </c>
      <c r="G411" s="1">
        <v>14</v>
      </c>
      <c r="H411" s="1">
        <v>5.0599999999999996</v>
      </c>
      <c r="I411" s="1"/>
      <c r="J411" s="1"/>
    </row>
    <row r="412" spans="1:10" x14ac:dyDescent="0.3">
      <c r="A412" t="str">
        <f t="shared" si="12"/>
        <v>FG%</v>
      </c>
      <c r="B412">
        <f t="shared" si="13"/>
        <v>4413</v>
      </c>
      <c r="D412" s="1" t="s">
        <v>152</v>
      </c>
      <c r="E412" s="1" t="s">
        <v>83</v>
      </c>
      <c r="F412" s="1">
        <v>2</v>
      </c>
      <c r="G412" s="1">
        <v>1</v>
      </c>
      <c r="H412" s="1">
        <v>51.8</v>
      </c>
      <c r="I412" s="1" t="s">
        <v>153</v>
      </c>
      <c r="J412" s="1">
        <v>53</v>
      </c>
    </row>
    <row r="413" spans="1:10" x14ac:dyDescent="0.3">
      <c r="A413" t="str">
        <f t="shared" si="12"/>
        <v>FG%</v>
      </c>
      <c r="B413">
        <f t="shared" si="13"/>
        <v>2313</v>
      </c>
      <c r="D413" s="1"/>
      <c r="E413" s="1" t="s">
        <v>79</v>
      </c>
      <c r="F413" s="1">
        <v>5</v>
      </c>
      <c r="G413" s="1">
        <v>1</v>
      </c>
      <c r="H413" s="1">
        <v>49.7</v>
      </c>
      <c r="I413" s="1"/>
      <c r="J413" s="1"/>
    </row>
    <row r="414" spans="1:10" x14ac:dyDescent="0.3">
      <c r="A414" t="str">
        <f t="shared" si="12"/>
        <v>FG%</v>
      </c>
      <c r="B414">
        <f t="shared" si="13"/>
        <v>5513</v>
      </c>
      <c r="D414" s="1"/>
      <c r="E414" s="1" t="s">
        <v>86</v>
      </c>
      <c r="F414" s="1">
        <v>6</v>
      </c>
      <c r="G414" s="1">
        <v>1</v>
      </c>
      <c r="H414" s="1">
        <v>49.5</v>
      </c>
      <c r="I414" s="1"/>
      <c r="J414" s="1"/>
    </row>
    <row r="415" spans="1:10" x14ac:dyDescent="0.3">
      <c r="A415" t="str">
        <f t="shared" si="12"/>
        <v>FG%</v>
      </c>
      <c r="B415">
        <f t="shared" si="13"/>
        <v>6313</v>
      </c>
      <c r="D415" s="1"/>
      <c r="E415" s="1" t="s">
        <v>122</v>
      </c>
      <c r="F415" s="1">
        <v>7</v>
      </c>
      <c r="G415" s="1">
        <v>1</v>
      </c>
      <c r="H415" s="1">
        <v>49.5</v>
      </c>
      <c r="I415" s="1"/>
      <c r="J415" s="1"/>
    </row>
    <row r="416" spans="1:10" x14ac:dyDescent="0.3">
      <c r="A416" t="str">
        <f t="shared" si="12"/>
        <v>FG%</v>
      </c>
      <c r="B416">
        <f t="shared" si="13"/>
        <v>1413</v>
      </c>
      <c r="D416" s="1"/>
      <c r="E416" s="1" t="s">
        <v>102</v>
      </c>
      <c r="F416" s="1">
        <v>9</v>
      </c>
      <c r="G416" s="1">
        <v>1</v>
      </c>
      <c r="H416" s="1">
        <v>49.1</v>
      </c>
      <c r="I416" s="1"/>
      <c r="J416" s="1"/>
    </row>
    <row r="417" spans="1:10" x14ac:dyDescent="0.3">
      <c r="A417" t="str">
        <f t="shared" si="12"/>
        <v>FG%</v>
      </c>
      <c r="B417">
        <f t="shared" si="13"/>
        <v>9913</v>
      </c>
      <c r="D417" s="1"/>
      <c r="E417" s="1" t="s">
        <v>113</v>
      </c>
      <c r="F417" s="1">
        <v>11</v>
      </c>
      <c r="G417" s="1">
        <v>1</v>
      </c>
      <c r="H417" s="1">
        <v>49</v>
      </c>
      <c r="I417" s="1"/>
      <c r="J417" s="1"/>
    </row>
    <row r="418" spans="1:10" x14ac:dyDescent="0.3">
      <c r="A418" t="str">
        <f t="shared" si="12"/>
        <v>FG%</v>
      </c>
      <c r="B418">
        <f t="shared" si="13"/>
        <v>3013</v>
      </c>
      <c r="D418" s="1"/>
      <c r="E418" s="1" t="s">
        <v>89</v>
      </c>
      <c r="F418" s="1">
        <v>12</v>
      </c>
      <c r="G418" s="1">
        <v>1</v>
      </c>
      <c r="H418" s="1">
        <v>48.8</v>
      </c>
      <c r="I418" s="1"/>
      <c r="J418" s="1"/>
    </row>
    <row r="419" spans="1:10" x14ac:dyDescent="0.3">
      <c r="A419" t="str">
        <f t="shared" si="12"/>
        <v>FG%</v>
      </c>
      <c r="B419">
        <f t="shared" si="13"/>
        <v>3913</v>
      </c>
      <c r="D419" s="1"/>
      <c r="E419" s="1" t="s">
        <v>88</v>
      </c>
      <c r="F419" s="1">
        <v>13</v>
      </c>
      <c r="G419" s="1">
        <v>1</v>
      </c>
      <c r="H419" s="1">
        <v>48.8</v>
      </c>
      <c r="I419" s="1"/>
      <c r="J419" s="1"/>
    </row>
    <row r="420" spans="1:10" x14ac:dyDescent="0.3">
      <c r="A420" t="str">
        <f t="shared" si="12"/>
        <v>FG%</v>
      </c>
      <c r="B420">
        <f t="shared" si="13"/>
        <v>213</v>
      </c>
      <c r="D420" s="1"/>
      <c r="E420" s="1" t="s">
        <v>98</v>
      </c>
      <c r="F420" s="1">
        <v>15</v>
      </c>
      <c r="G420" s="1">
        <v>1</v>
      </c>
      <c r="H420" s="1">
        <v>48.7</v>
      </c>
      <c r="I420" s="1"/>
      <c r="J420" s="1"/>
    </row>
    <row r="421" spans="1:10" x14ac:dyDescent="0.3">
      <c r="A421" t="str">
        <f t="shared" si="12"/>
        <v>FG%</v>
      </c>
      <c r="B421">
        <f t="shared" si="13"/>
        <v>2913</v>
      </c>
      <c r="D421" s="1"/>
      <c r="E421" s="1" t="s">
        <v>96</v>
      </c>
      <c r="F421" s="1">
        <v>19</v>
      </c>
      <c r="G421" s="1">
        <v>2</v>
      </c>
      <c r="H421" s="1">
        <v>48.4</v>
      </c>
      <c r="I421" s="1"/>
      <c r="J421" s="1"/>
    </row>
    <row r="422" spans="1:10" x14ac:dyDescent="0.3">
      <c r="A422" t="str">
        <f t="shared" si="12"/>
        <v>FG%</v>
      </c>
      <c r="B422">
        <f t="shared" si="13"/>
        <v>1313</v>
      </c>
      <c r="D422" s="1"/>
      <c r="E422" s="1" t="s">
        <v>82</v>
      </c>
      <c r="F422" s="1">
        <v>20</v>
      </c>
      <c r="G422" s="1">
        <v>2</v>
      </c>
      <c r="H422" s="1">
        <v>48.4</v>
      </c>
      <c r="I422" s="1"/>
      <c r="J422" s="1"/>
    </row>
    <row r="423" spans="1:10" x14ac:dyDescent="0.3">
      <c r="A423" t="str">
        <f t="shared" si="12"/>
        <v>FG%</v>
      </c>
      <c r="B423">
        <f t="shared" si="13"/>
        <v>3113</v>
      </c>
      <c r="D423" s="1"/>
      <c r="E423" s="1" t="s">
        <v>93</v>
      </c>
      <c r="F423" s="1">
        <v>21</v>
      </c>
      <c r="G423" s="1">
        <v>2</v>
      </c>
      <c r="H423" s="1">
        <v>48.4</v>
      </c>
      <c r="I423" s="1"/>
      <c r="J423" s="1"/>
    </row>
    <row r="424" spans="1:10" x14ac:dyDescent="0.3">
      <c r="A424" t="str">
        <f t="shared" si="12"/>
        <v>FG%</v>
      </c>
      <c r="B424">
        <f t="shared" si="13"/>
        <v>3213</v>
      </c>
      <c r="D424" s="1"/>
      <c r="E424" s="1" t="s">
        <v>127</v>
      </c>
      <c r="F424" s="1">
        <v>22</v>
      </c>
      <c r="G424" s="1">
        <v>2</v>
      </c>
      <c r="H424" s="1">
        <v>48.3</v>
      </c>
      <c r="I424" s="1"/>
      <c r="J424" s="1"/>
    </row>
    <row r="425" spans="1:10" x14ac:dyDescent="0.3">
      <c r="A425" t="str">
        <f t="shared" si="12"/>
        <v>FG%</v>
      </c>
      <c r="B425">
        <f t="shared" si="13"/>
        <v>1713</v>
      </c>
      <c r="D425" s="1"/>
      <c r="E425" s="1" t="s">
        <v>133</v>
      </c>
      <c r="F425" s="1">
        <v>23</v>
      </c>
      <c r="G425" s="1">
        <v>1</v>
      </c>
      <c r="H425" s="1">
        <v>48.2</v>
      </c>
      <c r="I425" s="1"/>
      <c r="J425" s="1"/>
    </row>
    <row r="426" spans="1:10" x14ac:dyDescent="0.3">
      <c r="A426" t="str">
        <f t="shared" si="12"/>
        <v>FG%</v>
      </c>
      <c r="B426">
        <f t="shared" si="13"/>
        <v>2213</v>
      </c>
      <c r="D426" s="1"/>
      <c r="E426" s="1" t="s">
        <v>119</v>
      </c>
      <c r="F426" s="1">
        <v>24</v>
      </c>
      <c r="G426" s="1">
        <v>1</v>
      </c>
      <c r="H426" s="1">
        <v>47.8</v>
      </c>
      <c r="I426" s="1"/>
      <c r="J426" s="1"/>
    </row>
    <row r="427" spans="1:10" x14ac:dyDescent="0.3">
      <c r="A427" t="str">
        <f t="shared" si="12"/>
        <v>FG%</v>
      </c>
      <c r="B427">
        <f t="shared" si="13"/>
        <v>3313</v>
      </c>
      <c r="D427" s="1"/>
      <c r="E427" s="1" t="s">
        <v>91</v>
      </c>
      <c r="F427" s="1">
        <v>25</v>
      </c>
      <c r="G427" s="1">
        <v>3</v>
      </c>
      <c r="H427" s="1">
        <v>47.8</v>
      </c>
      <c r="I427" s="1"/>
      <c r="J427" s="1"/>
    </row>
    <row r="428" spans="1:10" x14ac:dyDescent="0.3">
      <c r="A428" t="str">
        <f t="shared" si="12"/>
        <v>FG%</v>
      </c>
      <c r="B428">
        <f t="shared" si="13"/>
        <v>9513</v>
      </c>
      <c r="D428" s="1"/>
      <c r="E428" s="1" t="s">
        <v>85</v>
      </c>
      <c r="F428" s="1">
        <v>27</v>
      </c>
      <c r="G428" s="1">
        <v>2</v>
      </c>
      <c r="H428" s="1">
        <v>47.7</v>
      </c>
      <c r="I428" s="1"/>
      <c r="J428" s="1"/>
    </row>
    <row r="429" spans="1:10" x14ac:dyDescent="0.3">
      <c r="A429" t="str">
        <f t="shared" si="12"/>
        <v>FG%</v>
      </c>
      <c r="B429">
        <f t="shared" si="13"/>
        <v>3713</v>
      </c>
      <c r="D429" s="1"/>
      <c r="E429" s="1" t="s">
        <v>115</v>
      </c>
      <c r="F429" s="1">
        <v>28</v>
      </c>
      <c r="G429" s="1">
        <v>2</v>
      </c>
      <c r="H429" s="1">
        <v>47.6</v>
      </c>
      <c r="I429" s="1"/>
      <c r="J429" s="1"/>
    </row>
    <row r="430" spans="1:10" x14ac:dyDescent="0.3">
      <c r="A430" t="str">
        <f t="shared" si="12"/>
        <v>FG%</v>
      </c>
      <c r="B430">
        <f t="shared" si="13"/>
        <v>4513</v>
      </c>
      <c r="D430" s="1"/>
      <c r="E430" s="1" t="s">
        <v>84</v>
      </c>
      <c r="F430" s="1">
        <v>29</v>
      </c>
      <c r="G430" s="1">
        <v>3</v>
      </c>
      <c r="H430" s="1">
        <v>47.6</v>
      </c>
      <c r="I430" s="1"/>
      <c r="J430" s="1"/>
    </row>
    <row r="431" spans="1:10" x14ac:dyDescent="0.3">
      <c r="A431" t="str">
        <f t="shared" si="12"/>
        <v>FG%</v>
      </c>
      <c r="B431">
        <f t="shared" si="13"/>
        <v>4813</v>
      </c>
      <c r="D431" s="1"/>
      <c r="E431" s="1" t="s">
        <v>104</v>
      </c>
      <c r="F431" s="1">
        <v>31</v>
      </c>
      <c r="G431" s="1">
        <v>1</v>
      </c>
      <c r="H431" s="1">
        <v>47.6</v>
      </c>
      <c r="I431" s="1"/>
      <c r="J431" s="1"/>
    </row>
    <row r="432" spans="1:10" x14ac:dyDescent="0.3">
      <c r="A432" t="str">
        <f t="shared" si="12"/>
        <v>FG%</v>
      </c>
      <c r="B432">
        <f t="shared" si="13"/>
        <v>5413</v>
      </c>
      <c r="D432" s="1"/>
      <c r="E432" s="1" t="s">
        <v>94</v>
      </c>
      <c r="F432" s="1">
        <v>36</v>
      </c>
      <c r="G432" s="1">
        <v>1</v>
      </c>
      <c r="H432" s="1">
        <v>47.5</v>
      </c>
      <c r="I432" s="1"/>
      <c r="J432" s="1"/>
    </row>
    <row r="433" spans="1:10" x14ac:dyDescent="0.3">
      <c r="A433" t="str">
        <f t="shared" si="12"/>
        <v>FG%</v>
      </c>
      <c r="B433">
        <f t="shared" si="13"/>
        <v>5013</v>
      </c>
      <c r="D433" s="1"/>
      <c r="E433" s="1" t="s">
        <v>110</v>
      </c>
      <c r="F433" s="1">
        <v>40</v>
      </c>
      <c r="G433" s="1">
        <v>1</v>
      </c>
      <c r="H433" s="1">
        <v>47.4</v>
      </c>
      <c r="I433" s="1"/>
      <c r="J433" s="1"/>
    </row>
    <row r="434" spans="1:10" x14ac:dyDescent="0.3">
      <c r="A434" t="str">
        <f t="shared" si="12"/>
        <v>FG%</v>
      </c>
      <c r="B434">
        <f t="shared" si="13"/>
        <v>4613</v>
      </c>
      <c r="D434" s="1"/>
      <c r="E434" s="1" t="s">
        <v>101</v>
      </c>
      <c r="F434" s="1">
        <v>42</v>
      </c>
      <c r="G434" s="1">
        <v>3</v>
      </c>
      <c r="H434" s="1">
        <v>47.4</v>
      </c>
      <c r="I434" s="1"/>
      <c r="J434" s="1"/>
    </row>
    <row r="435" spans="1:10" x14ac:dyDescent="0.3">
      <c r="A435" t="str">
        <f t="shared" si="12"/>
        <v>FG%</v>
      </c>
      <c r="B435">
        <f t="shared" si="13"/>
        <v>8413</v>
      </c>
      <c r="D435" s="1"/>
      <c r="E435" s="1" t="s">
        <v>109</v>
      </c>
      <c r="F435" s="1">
        <v>51</v>
      </c>
      <c r="G435" s="1">
        <v>1</v>
      </c>
      <c r="H435" s="1">
        <v>46.9</v>
      </c>
      <c r="I435" s="1"/>
      <c r="J435" s="1"/>
    </row>
    <row r="436" spans="1:10" x14ac:dyDescent="0.3">
      <c r="A436" t="str">
        <f t="shared" si="12"/>
        <v>FG%</v>
      </c>
      <c r="B436">
        <f t="shared" si="13"/>
        <v>6713</v>
      </c>
      <c r="D436" s="1"/>
      <c r="E436" s="1" t="s">
        <v>118</v>
      </c>
      <c r="F436" s="1">
        <v>54</v>
      </c>
      <c r="G436" s="1">
        <v>3</v>
      </c>
      <c r="H436" s="1">
        <v>46.9</v>
      </c>
      <c r="I436" s="1"/>
      <c r="J436" s="1"/>
    </row>
    <row r="437" spans="1:10" x14ac:dyDescent="0.3">
      <c r="A437" t="str">
        <f t="shared" si="12"/>
        <v>FG%</v>
      </c>
      <c r="B437">
        <f t="shared" si="13"/>
        <v>4313</v>
      </c>
      <c r="D437" s="1"/>
      <c r="E437" s="1" t="s">
        <v>125</v>
      </c>
      <c r="F437" s="1">
        <v>56</v>
      </c>
      <c r="G437" s="1">
        <v>5</v>
      </c>
      <c r="H437" s="1">
        <v>46.9</v>
      </c>
      <c r="I437" s="1"/>
      <c r="J437" s="1"/>
    </row>
    <row r="438" spans="1:10" x14ac:dyDescent="0.3">
      <c r="A438" t="str">
        <f t="shared" si="12"/>
        <v>FG%</v>
      </c>
      <c r="B438">
        <f t="shared" si="13"/>
        <v>4013</v>
      </c>
      <c r="D438" s="1"/>
      <c r="E438" s="1" t="s">
        <v>105</v>
      </c>
      <c r="F438" s="1">
        <v>57</v>
      </c>
      <c r="G438" s="1">
        <v>3</v>
      </c>
      <c r="H438" s="1">
        <v>46.9</v>
      </c>
      <c r="I438" s="1"/>
      <c r="J438" s="1"/>
    </row>
    <row r="439" spans="1:10" x14ac:dyDescent="0.3">
      <c r="A439" t="str">
        <f t="shared" si="12"/>
        <v>FG%</v>
      </c>
      <c r="B439">
        <f t="shared" si="13"/>
        <v>12013</v>
      </c>
      <c r="D439" s="1"/>
      <c r="E439" s="1" t="s">
        <v>135</v>
      </c>
      <c r="F439" s="1">
        <v>58</v>
      </c>
      <c r="G439" s="1">
        <v>5</v>
      </c>
      <c r="H439" s="1">
        <v>46.8</v>
      </c>
      <c r="I439" s="1"/>
      <c r="J439" s="1"/>
    </row>
    <row r="440" spans="1:10" x14ac:dyDescent="0.3">
      <c r="A440" t="str">
        <f t="shared" si="12"/>
        <v>FG%</v>
      </c>
      <c r="B440">
        <f t="shared" si="13"/>
        <v>1513</v>
      </c>
      <c r="D440" s="1"/>
      <c r="E440" s="1" t="s">
        <v>124</v>
      </c>
      <c r="F440" s="1">
        <v>61</v>
      </c>
      <c r="G440" s="1">
        <v>2</v>
      </c>
      <c r="H440" s="1">
        <v>46.7</v>
      </c>
      <c r="I440" s="1"/>
      <c r="J440" s="1"/>
    </row>
    <row r="441" spans="1:10" x14ac:dyDescent="0.3">
      <c r="A441" t="str">
        <f t="shared" si="12"/>
        <v>FG%</v>
      </c>
      <c r="B441">
        <f t="shared" si="13"/>
        <v>12513</v>
      </c>
      <c r="D441" s="1"/>
      <c r="E441" s="1" t="s">
        <v>95</v>
      </c>
      <c r="F441" s="1">
        <v>63</v>
      </c>
      <c r="G441" s="1">
        <v>3</v>
      </c>
      <c r="H441" s="1">
        <v>46.7</v>
      </c>
      <c r="I441" s="1"/>
      <c r="J441" s="1"/>
    </row>
    <row r="442" spans="1:10" x14ac:dyDescent="0.3">
      <c r="A442" t="str">
        <f t="shared" si="12"/>
        <v>FG%</v>
      </c>
      <c r="B442">
        <f t="shared" si="13"/>
        <v>2513</v>
      </c>
      <c r="D442" s="1"/>
      <c r="E442" s="1" t="s">
        <v>92</v>
      </c>
      <c r="F442" s="1">
        <v>64</v>
      </c>
      <c r="G442" s="1">
        <v>3</v>
      </c>
      <c r="H442" s="1">
        <v>46.6</v>
      </c>
      <c r="I442" s="1"/>
      <c r="J442" s="1"/>
    </row>
    <row r="443" spans="1:10" x14ac:dyDescent="0.3">
      <c r="A443" t="str">
        <f t="shared" si="12"/>
        <v>FG%</v>
      </c>
      <c r="B443">
        <f t="shared" si="13"/>
        <v>12113</v>
      </c>
      <c r="D443" s="1"/>
      <c r="E443" s="1" t="s">
        <v>140</v>
      </c>
      <c r="F443" s="1">
        <v>66</v>
      </c>
      <c r="G443" s="1">
        <v>2</v>
      </c>
      <c r="H443" s="1">
        <v>46.6</v>
      </c>
      <c r="I443" s="1"/>
      <c r="J443" s="1"/>
    </row>
    <row r="444" spans="1:10" x14ac:dyDescent="0.3">
      <c r="A444" t="str">
        <f t="shared" si="12"/>
        <v>FG%</v>
      </c>
      <c r="B444">
        <f t="shared" si="13"/>
        <v>10313</v>
      </c>
      <c r="D444" s="1"/>
      <c r="E444" s="1" t="s">
        <v>134</v>
      </c>
      <c r="F444" s="1">
        <v>73</v>
      </c>
      <c r="G444" s="1">
        <v>6</v>
      </c>
      <c r="H444" s="1">
        <v>46.3</v>
      </c>
      <c r="I444" s="1"/>
      <c r="J444" s="1"/>
    </row>
    <row r="445" spans="1:10" x14ac:dyDescent="0.3">
      <c r="A445" t="str">
        <f t="shared" si="12"/>
        <v>FG%</v>
      </c>
      <c r="B445">
        <f t="shared" si="13"/>
        <v>613</v>
      </c>
      <c r="D445" s="1"/>
      <c r="E445" s="1" t="s">
        <v>100</v>
      </c>
      <c r="F445" s="1">
        <v>75</v>
      </c>
      <c r="G445" s="1">
        <v>5</v>
      </c>
      <c r="H445" s="1">
        <v>46.3</v>
      </c>
      <c r="I445" s="1"/>
      <c r="J445" s="1"/>
    </row>
    <row r="446" spans="1:10" x14ac:dyDescent="0.3">
      <c r="A446" t="str">
        <f t="shared" si="12"/>
        <v>FG%</v>
      </c>
      <c r="B446">
        <f t="shared" si="13"/>
        <v>11313</v>
      </c>
      <c r="D446" s="1"/>
      <c r="E446" s="1" t="s">
        <v>126</v>
      </c>
      <c r="F446" s="1">
        <v>76</v>
      </c>
      <c r="G446" s="1">
        <v>2</v>
      </c>
      <c r="H446" s="1">
        <v>46.3</v>
      </c>
      <c r="I446" s="1"/>
      <c r="J446" s="1"/>
    </row>
    <row r="447" spans="1:10" x14ac:dyDescent="0.3">
      <c r="A447" t="str">
        <f t="shared" si="12"/>
        <v>FG%</v>
      </c>
      <c r="B447">
        <f t="shared" si="13"/>
        <v>5613</v>
      </c>
      <c r="D447" s="1"/>
      <c r="E447" s="1" t="s">
        <v>62</v>
      </c>
      <c r="F447" s="1">
        <v>80</v>
      </c>
      <c r="G447" s="1">
        <v>6</v>
      </c>
      <c r="H447" s="1">
        <v>46.1</v>
      </c>
      <c r="I447" s="1"/>
      <c r="J447" s="1"/>
    </row>
    <row r="448" spans="1:10" x14ac:dyDescent="0.3">
      <c r="A448" t="str">
        <f t="shared" si="12"/>
        <v>FG%</v>
      </c>
      <c r="B448">
        <f t="shared" si="13"/>
        <v>913</v>
      </c>
      <c r="D448" s="1"/>
      <c r="E448" s="1" t="s">
        <v>90</v>
      </c>
      <c r="F448" s="1">
        <v>82</v>
      </c>
      <c r="G448" s="1">
        <v>6</v>
      </c>
      <c r="H448" s="1">
        <v>46.1</v>
      </c>
      <c r="I448" s="1"/>
      <c r="J448" s="1"/>
    </row>
    <row r="449" spans="1:10" x14ac:dyDescent="0.3">
      <c r="A449" t="str">
        <f t="shared" si="12"/>
        <v>FG%</v>
      </c>
      <c r="B449">
        <f t="shared" si="13"/>
        <v>4213</v>
      </c>
      <c r="D449" s="1"/>
      <c r="E449" s="1" t="s">
        <v>123</v>
      </c>
      <c r="F449" s="1">
        <v>86</v>
      </c>
      <c r="G449" s="1">
        <v>7</v>
      </c>
      <c r="H449" s="1">
        <v>46.1</v>
      </c>
      <c r="I449" s="1"/>
      <c r="J449" s="1"/>
    </row>
    <row r="450" spans="1:10" x14ac:dyDescent="0.3">
      <c r="A450" t="str">
        <f t="shared" ref="A450:A513" si="14">IF(NOT(D450=""),INDEX(statAbbr,MATCH(D450,statOfficial,0),1),A449)</f>
        <v>FG%</v>
      </c>
      <c r="B450">
        <f t="shared" ref="B450:B513" si="15">INDEX(statID,MATCH(A450,statAbbr,0),1)+INDEX(teamID,MATCH(E450,teamRawName,0))</f>
        <v>2713</v>
      </c>
      <c r="D450" s="1"/>
      <c r="E450" s="1" t="s">
        <v>7</v>
      </c>
      <c r="F450" s="1">
        <v>87</v>
      </c>
      <c r="G450" s="1">
        <v>7</v>
      </c>
      <c r="H450" s="1">
        <v>46</v>
      </c>
      <c r="I450" s="1"/>
      <c r="J450" s="1"/>
    </row>
    <row r="451" spans="1:10" x14ac:dyDescent="0.3">
      <c r="A451" t="str">
        <f t="shared" si="14"/>
        <v>FG%</v>
      </c>
      <c r="B451">
        <f t="shared" si="15"/>
        <v>5813</v>
      </c>
      <c r="D451" s="1"/>
      <c r="E451" s="1" t="s">
        <v>139</v>
      </c>
      <c r="F451" s="1">
        <v>88</v>
      </c>
      <c r="G451" s="1">
        <v>1</v>
      </c>
      <c r="H451" s="1">
        <v>46</v>
      </c>
      <c r="I451" s="1"/>
      <c r="J451" s="1"/>
    </row>
    <row r="452" spans="1:10" x14ac:dyDescent="0.3">
      <c r="A452" t="str">
        <f t="shared" si="14"/>
        <v>FG%</v>
      </c>
      <c r="B452">
        <f t="shared" si="15"/>
        <v>5713</v>
      </c>
      <c r="D452" s="1"/>
      <c r="E452" s="1" t="s">
        <v>120</v>
      </c>
      <c r="F452" s="1">
        <v>100</v>
      </c>
      <c r="G452" s="1">
        <v>4</v>
      </c>
      <c r="H452" s="1">
        <v>45.8</v>
      </c>
      <c r="I452" s="1"/>
      <c r="J452" s="1"/>
    </row>
    <row r="453" spans="1:10" x14ac:dyDescent="0.3">
      <c r="A453" t="str">
        <f t="shared" si="14"/>
        <v>FG%</v>
      </c>
      <c r="B453">
        <f t="shared" si="15"/>
        <v>6913</v>
      </c>
      <c r="D453" s="1"/>
      <c r="E453" s="1" t="s">
        <v>114</v>
      </c>
      <c r="F453" s="1">
        <v>102</v>
      </c>
      <c r="G453" s="1">
        <v>7</v>
      </c>
      <c r="H453" s="1">
        <v>45.8</v>
      </c>
      <c r="I453" s="1"/>
      <c r="J453" s="1"/>
    </row>
    <row r="454" spans="1:10" x14ac:dyDescent="0.3">
      <c r="A454" t="str">
        <f t="shared" si="14"/>
        <v>FG%</v>
      </c>
      <c r="B454">
        <f t="shared" si="15"/>
        <v>4713</v>
      </c>
      <c r="D454" s="1"/>
      <c r="E454" s="1" t="s">
        <v>107</v>
      </c>
      <c r="F454" s="1">
        <v>112</v>
      </c>
      <c r="G454" s="1">
        <v>5</v>
      </c>
      <c r="H454" s="1">
        <v>45.5</v>
      </c>
      <c r="I454" s="1"/>
      <c r="J454" s="1"/>
    </row>
    <row r="455" spans="1:10" x14ac:dyDescent="0.3">
      <c r="A455" t="str">
        <f t="shared" si="14"/>
        <v>FG%</v>
      </c>
      <c r="B455">
        <f t="shared" si="15"/>
        <v>6213</v>
      </c>
      <c r="D455" s="1"/>
      <c r="E455" s="1" t="s">
        <v>81</v>
      </c>
      <c r="F455" s="1">
        <v>117</v>
      </c>
      <c r="G455" s="1">
        <v>8</v>
      </c>
      <c r="H455" s="1">
        <v>45.5</v>
      </c>
      <c r="I455" s="1"/>
      <c r="J455" s="1"/>
    </row>
    <row r="456" spans="1:10" x14ac:dyDescent="0.3">
      <c r="A456" t="str">
        <f t="shared" si="14"/>
        <v>FG%</v>
      </c>
      <c r="B456">
        <f t="shared" si="15"/>
        <v>7913</v>
      </c>
      <c r="D456" s="1"/>
      <c r="E456" s="1" t="s">
        <v>103</v>
      </c>
      <c r="F456" s="1">
        <v>119</v>
      </c>
      <c r="G456" s="1">
        <v>5</v>
      </c>
      <c r="H456" s="1">
        <v>45.5</v>
      </c>
      <c r="I456" s="1"/>
      <c r="J456" s="1"/>
    </row>
    <row r="457" spans="1:10" x14ac:dyDescent="0.3">
      <c r="A457" t="str">
        <f t="shared" si="14"/>
        <v>FG%</v>
      </c>
      <c r="B457">
        <f t="shared" si="15"/>
        <v>11413</v>
      </c>
      <c r="D457" s="1"/>
      <c r="E457" s="1" t="s">
        <v>138</v>
      </c>
      <c r="F457" s="1">
        <v>125</v>
      </c>
      <c r="G457" s="1">
        <v>6</v>
      </c>
      <c r="H457" s="1">
        <v>45.3</v>
      </c>
      <c r="I457" s="1"/>
      <c r="J457" s="1"/>
    </row>
    <row r="458" spans="1:10" x14ac:dyDescent="0.3">
      <c r="A458" t="str">
        <f t="shared" si="14"/>
        <v>FG%</v>
      </c>
      <c r="B458">
        <f t="shared" si="15"/>
        <v>8213</v>
      </c>
      <c r="D458" s="1"/>
      <c r="E458" s="1" t="s">
        <v>131</v>
      </c>
      <c r="F458" s="1">
        <v>127</v>
      </c>
      <c r="G458" s="1">
        <v>3</v>
      </c>
      <c r="H458" s="1">
        <v>45.3</v>
      </c>
      <c r="I458" s="1"/>
      <c r="J458" s="1"/>
    </row>
    <row r="459" spans="1:10" x14ac:dyDescent="0.3">
      <c r="A459" t="str">
        <f t="shared" si="14"/>
        <v>FG%</v>
      </c>
      <c r="B459">
        <f t="shared" si="15"/>
        <v>1613</v>
      </c>
      <c r="D459" s="1"/>
      <c r="E459" s="1" t="s">
        <v>137</v>
      </c>
      <c r="F459" s="1">
        <v>134</v>
      </c>
      <c r="G459" s="1">
        <v>7</v>
      </c>
      <c r="H459" s="1">
        <v>45.2</v>
      </c>
      <c r="I459" s="1"/>
      <c r="J459" s="1"/>
    </row>
    <row r="460" spans="1:10" x14ac:dyDescent="0.3">
      <c r="A460" t="str">
        <f t="shared" si="14"/>
        <v>FG%</v>
      </c>
      <c r="B460">
        <f t="shared" si="15"/>
        <v>7313</v>
      </c>
      <c r="D460" s="1"/>
      <c r="E460" s="1" t="s">
        <v>111</v>
      </c>
      <c r="F460" s="1">
        <v>135</v>
      </c>
      <c r="G460" s="1">
        <v>9</v>
      </c>
      <c r="H460" s="1">
        <v>45.2</v>
      </c>
      <c r="I460" s="1"/>
      <c r="J460" s="1"/>
    </row>
    <row r="461" spans="1:10" x14ac:dyDescent="0.3">
      <c r="A461" t="str">
        <f t="shared" si="14"/>
        <v>FG%</v>
      </c>
      <c r="B461">
        <f t="shared" si="15"/>
        <v>7213</v>
      </c>
      <c r="D461" s="1"/>
      <c r="E461" s="1" t="s">
        <v>116</v>
      </c>
      <c r="F461" s="1">
        <v>139</v>
      </c>
      <c r="G461" s="1">
        <v>8</v>
      </c>
      <c r="H461" s="1">
        <v>45.1</v>
      </c>
      <c r="I461" s="1"/>
      <c r="J461" s="1"/>
    </row>
    <row r="462" spans="1:10" x14ac:dyDescent="0.3">
      <c r="A462" t="str">
        <f t="shared" si="14"/>
        <v>FG%</v>
      </c>
      <c r="B462">
        <f t="shared" si="15"/>
        <v>4913</v>
      </c>
      <c r="D462" s="1"/>
      <c r="E462" s="1" t="s">
        <v>108</v>
      </c>
      <c r="F462" s="1">
        <v>150</v>
      </c>
      <c r="G462" s="1">
        <v>9</v>
      </c>
      <c r="H462" s="1">
        <v>45</v>
      </c>
      <c r="I462" s="1"/>
      <c r="J462" s="1"/>
    </row>
    <row r="463" spans="1:10" x14ac:dyDescent="0.3">
      <c r="A463" t="str">
        <f t="shared" si="14"/>
        <v>FG%</v>
      </c>
      <c r="B463">
        <f t="shared" si="15"/>
        <v>1913</v>
      </c>
      <c r="D463" s="1"/>
      <c r="E463" s="1" t="s">
        <v>112</v>
      </c>
      <c r="F463" s="1">
        <v>153</v>
      </c>
      <c r="G463" s="1">
        <v>10</v>
      </c>
      <c r="H463" s="1">
        <v>45</v>
      </c>
      <c r="I463" s="1"/>
      <c r="J463" s="1"/>
    </row>
    <row r="464" spans="1:10" x14ac:dyDescent="0.3">
      <c r="A464" t="str">
        <f t="shared" si="14"/>
        <v>FG%</v>
      </c>
      <c r="B464">
        <f t="shared" si="15"/>
        <v>12713</v>
      </c>
      <c r="D464" s="1"/>
      <c r="E464" s="1" t="s">
        <v>13</v>
      </c>
      <c r="F464" s="1">
        <v>156</v>
      </c>
      <c r="G464" s="1">
        <v>5</v>
      </c>
      <c r="H464" s="1">
        <v>44.9</v>
      </c>
      <c r="I464" s="1"/>
      <c r="J464" s="1"/>
    </row>
    <row r="465" spans="1:10" x14ac:dyDescent="0.3">
      <c r="A465" t="str">
        <f t="shared" si="14"/>
        <v>FG%</v>
      </c>
      <c r="B465">
        <f t="shared" si="15"/>
        <v>8813</v>
      </c>
      <c r="D465" s="1"/>
      <c r="E465" s="1" t="s">
        <v>141</v>
      </c>
      <c r="F465" s="1">
        <v>157</v>
      </c>
      <c r="G465" s="1">
        <v>4</v>
      </c>
      <c r="H465" s="1">
        <v>44.9</v>
      </c>
      <c r="I465" s="1"/>
      <c r="J465" s="1"/>
    </row>
    <row r="466" spans="1:10" x14ac:dyDescent="0.3">
      <c r="A466" t="str">
        <f t="shared" si="14"/>
        <v>FG%</v>
      </c>
      <c r="B466">
        <f t="shared" si="15"/>
        <v>2113</v>
      </c>
      <c r="D466" s="1"/>
      <c r="E466" s="1" t="s">
        <v>136</v>
      </c>
      <c r="F466" s="1">
        <v>161</v>
      </c>
      <c r="G466" s="1">
        <v>9</v>
      </c>
      <c r="H466" s="1">
        <v>44.9</v>
      </c>
      <c r="I466" s="1"/>
      <c r="J466" s="1"/>
    </row>
    <row r="467" spans="1:10" x14ac:dyDescent="0.3">
      <c r="A467" t="str">
        <f t="shared" si="14"/>
        <v>FG%</v>
      </c>
      <c r="B467">
        <f t="shared" si="15"/>
        <v>8013</v>
      </c>
      <c r="D467" s="1"/>
      <c r="E467" s="1" t="s">
        <v>117</v>
      </c>
      <c r="F467" s="1">
        <v>177</v>
      </c>
      <c r="G467" s="1">
        <v>7</v>
      </c>
      <c r="H467" s="1">
        <v>44.6</v>
      </c>
      <c r="I467" s="1"/>
      <c r="J467" s="1"/>
    </row>
    <row r="468" spans="1:10" x14ac:dyDescent="0.3">
      <c r="A468" t="str">
        <f t="shared" si="14"/>
        <v>FG%</v>
      </c>
      <c r="B468">
        <f t="shared" si="15"/>
        <v>12413</v>
      </c>
      <c r="D468" s="1"/>
      <c r="E468" s="1" t="s">
        <v>128</v>
      </c>
      <c r="F468" s="1">
        <v>195</v>
      </c>
      <c r="G468" s="1">
        <v>5</v>
      </c>
      <c r="H468" s="1">
        <v>44.4</v>
      </c>
      <c r="I468" s="1"/>
      <c r="J468" s="1"/>
    </row>
    <row r="469" spans="1:10" x14ac:dyDescent="0.3">
      <c r="A469" t="str">
        <f t="shared" si="14"/>
        <v>FG%</v>
      </c>
      <c r="B469">
        <f t="shared" si="15"/>
        <v>11513</v>
      </c>
      <c r="D469" s="1"/>
      <c r="E469" s="1" t="s">
        <v>97</v>
      </c>
      <c r="F469" s="1">
        <v>208</v>
      </c>
      <c r="G469" s="1">
        <v>8</v>
      </c>
      <c r="H469" s="1">
        <v>44.2</v>
      </c>
      <c r="I469" s="1"/>
      <c r="J469" s="1"/>
    </row>
    <row r="470" spans="1:10" x14ac:dyDescent="0.3">
      <c r="A470" t="str">
        <f t="shared" si="14"/>
        <v>FG%</v>
      </c>
      <c r="B470">
        <f t="shared" si="15"/>
        <v>3513</v>
      </c>
      <c r="D470" s="1"/>
      <c r="E470" s="1" t="s">
        <v>87</v>
      </c>
      <c r="F470" s="1">
        <v>217</v>
      </c>
      <c r="G470" s="1">
        <v>9</v>
      </c>
      <c r="H470" s="1">
        <v>44</v>
      </c>
      <c r="I470" s="1"/>
      <c r="J470" s="1"/>
    </row>
    <row r="471" spans="1:10" x14ac:dyDescent="0.3">
      <c r="A471" t="str">
        <f t="shared" si="14"/>
        <v>FG%</v>
      </c>
      <c r="B471">
        <f t="shared" si="15"/>
        <v>1213</v>
      </c>
      <c r="D471" s="1"/>
      <c r="E471" s="1" t="s">
        <v>130</v>
      </c>
      <c r="F471" s="1">
        <v>219</v>
      </c>
      <c r="G471" s="1">
        <v>11</v>
      </c>
      <c r="H471" s="1">
        <v>44</v>
      </c>
      <c r="I471" s="1"/>
      <c r="J471" s="1"/>
    </row>
    <row r="472" spans="1:10" x14ac:dyDescent="0.3">
      <c r="A472" t="str">
        <f t="shared" si="14"/>
        <v>FG%</v>
      </c>
      <c r="B472">
        <f t="shared" si="15"/>
        <v>11913</v>
      </c>
      <c r="D472" s="1"/>
      <c r="E472" s="1" t="s">
        <v>143</v>
      </c>
      <c r="F472" s="1">
        <v>221</v>
      </c>
      <c r="G472" s="1">
        <v>4</v>
      </c>
      <c r="H472" s="1">
        <v>44</v>
      </c>
      <c r="I472" s="1"/>
      <c r="J472" s="1"/>
    </row>
    <row r="473" spans="1:10" x14ac:dyDescent="0.3">
      <c r="A473" t="str">
        <f t="shared" si="14"/>
        <v>FG%</v>
      </c>
      <c r="B473">
        <f t="shared" si="15"/>
        <v>2813</v>
      </c>
      <c r="D473" s="1"/>
      <c r="E473" s="1" t="s">
        <v>106</v>
      </c>
      <c r="F473" s="1">
        <v>224</v>
      </c>
      <c r="G473" s="1">
        <v>11</v>
      </c>
      <c r="H473" s="1">
        <v>43.9</v>
      </c>
      <c r="I473" s="1"/>
      <c r="J473" s="1"/>
    </row>
    <row r="474" spans="1:10" x14ac:dyDescent="0.3">
      <c r="A474" t="str">
        <f t="shared" si="14"/>
        <v>FG%</v>
      </c>
      <c r="B474">
        <f t="shared" si="15"/>
        <v>9113</v>
      </c>
      <c r="D474" s="1"/>
      <c r="E474" s="1" t="s">
        <v>99</v>
      </c>
      <c r="F474" s="1">
        <v>226</v>
      </c>
      <c r="G474" s="1">
        <v>10</v>
      </c>
      <c r="H474" s="1">
        <v>43.9</v>
      </c>
      <c r="I474" s="1"/>
      <c r="J474" s="1"/>
    </row>
    <row r="475" spans="1:10" x14ac:dyDescent="0.3">
      <c r="A475" t="str">
        <f t="shared" si="14"/>
        <v>FG%</v>
      </c>
      <c r="B475">
        <f t="shared" si="15"/>
        <v>12913</v>
      </c>
      <c r="D475" s="1"/>
      <c r="E475" s="1" t="s">
        <v>132</v>
      </c>
      <c r="F475" s="1">
        <v>241</v>
      </c>
      <c r="G475" s="1">
        <v>12</v>
      </c>
      <c r="H475" s="1">
        <v>43.6</v>
      </c>
      <c r="I475" s="1"/>
      <c r="J475" s="1"/>
    </row>
    <row r="476" spans="1:10" x14ac:dyDescent="0.3">
      <c r="A476" t="str">
        <f t="shared" si="14"/>
        <v>FG%</v>
      </c>
      <c r="B476">
        <f t="shared" si="15"/>
        <v>2613</v>
      </c>
      <c r="D476" s="1"/>
      <c r="E476" s="1" t="s">
        <v>80</v>
      </c>
      <c r="F476" s="1">
        <v>276</v>
      </c>
      <c r="G476" s="1">
        <v>13</v>
      </c>
      <c r="H476" s="1">
        <v>42.8</v>
      </c>
      <c r="I476" s="1"/>
      <c r="J476" s="1"/>
    </row>
    <row r="477" spans="1:10" x14ac:dyDescent="0.3">
      <c r="A477" t="str">
        <f t="shared" si="14"/>
        <v>FG%</v>
      </c>
      <c r="B477">
        <f t="shared" si="15"/>
        <v>3613</v>
      </c>
      <c r="D477" s="1"/>
      <c r="E477" s="1" t="s">
        <v>129</v>
      </c>
      <c r="F477" s="1">
        <v>336</v>
      </c>
      <c r="G477" s="1">
        <v>13</v>
      </c>
      <c r="H477" s="1">
        <v>40.200000000000003</v>
      </c>
      <c r="I477" s="1"/>
      <c r="J477" s="1"/>
    </row>
    <row r="478" spans="1:10" x14ac:dyDescent="0.3">
      <c r="A478" t="str">
        <f t="shared" si="14"/>
        <v>FG%</v>
      </c>
      <c r="B478">
        <f t="shared" si="15"/>
        <v>11613</v>
      </c>
      <c r="D478" s="1"/>
      <c r="E478" s="1" t="s">
        <v>121</v>
      </c>
      <c r="F478" s="1">
        <v>342</v>
      </c>
      <c r="G478" s="1">
        <v>7</v>
      </c>
      <c r="H478" s="1">
        <v>39.6</v>
      </c>
      <c r="I478" s="1"/>
      <c r="J478" s="1"/>
    </row>
    <row r="479" spans="1:10" x14ac:dyDescent="0.3">
      <c r="A479" t="str">
        <f t="shared" si="14"/>
        <v>FG%</v>
      </c>
      <c r="B479">
        <f t="shared" si="15"/>
        <v>12813</v>
      </c>
      <c r="D479" s="1"/>
      <c r="E479" s="1" t="s">
        <v>142</v>
      </c>
      <c r="F479" s="1">
        <v>346</v>
      </c>
      <c r="G479" s="1">
        <v>11</v>
      </c>
      <c r="H479" s="1">
        <v>39.299999999999997</v>
      </c>
      <c r="I479" s="1"/>
      <c r="J479" s="1"/>
    </row>
    <row r="480" spans="1:10" x14ac:dyDescent="0.3">
      <c r="A480" t="str">
        <f t="shared" si="14"/>
        <v>DFG%</v>
      </c>
      <c r="B480">
        <f t="shared" si="15"/>
        <v>2809</v>
      </c>
      <c r="D480" s="1" t="s">
        <v>154</v>
      </c>
      <c r="E480" s="1" t="s">
        <v>106</v>
      </c>
      <c r="F480" s="1">
        <v>1</v>
      </c>
      <c r="G480" s="1">
        <v>1</v>
      </c>
      <c r="H480" s="1">
        <v>37.9</v>
      </c>
      <c r="I480" s="1" t="s">
        <v>106</v>
      </c>
      <c r="J480" s="1">
        <v>37.9</v>
      </c>
    </row>
    <row r="481" spans="1:10" x14ac:dyDescent="0.3">
      <c r="A481" t="str">
        <f t="shared" si="14"/>
        <v>DFG%</v>
      </c>
      <c r="B481">
        <f t="shared" si="15"/>
        <v>4509</v>
      </c>
      <c r="D481" s="1"/>
      <c r="E481" s="1" t="s">
        <v>84</v>
      </c>
      <c r="F481" s="1">
        <v>2</v>
      </c>
      <c r="G481" s="1">
        <v>1</v>
      </c>
      <c r="H481" s="1">
        <v>38.6</v>
      </c>
      <c r="I481" s="1"/>
      <c r="J481" s="1"/>
    </row>
    <row r="482" spans="1:10" x14ac:dyDescent="0.3">
      <c r="A482" t="str">
        <f t="shared" si="14"/>
        <v>DFG%</v>
      </c>
      <c r="B482">
        <f t="shared" si="15"/>
        <v>209</v>
      </c>
      <c r="D482" s="1"/>
      <c r="E482" s="1" t="s">
        <v>98</v>
      </c>
      <c r="F482" s="1">
        <v>4</v>
      </c>
      <c r="G482" s="1">
        <v>1</v>
      </c>
      <c r="H482" s="1">
        <v>38.9</v>
      </c>
      <c r="I482" s="1"/>
      <c r="J482" s="1"/>
    </row>
    <row r="483" spans="1:10" x14ac:dyDescent="0.3">
      <c r="A483" t="str">
        <f t="shared" si="14"/>
        <v>DFG%</v>
      </c>
      <c r="B483">
        <f t="shared" si="15"/>
        <v>3509</v>
      </c>
      <c r="D483" s="1"/>
      <c r="E483" s="1" t="s">
        <v>87</v>
      </c>
      <c r="F483" s="1">
        <v>5</v>
      </c>
      <c r="G483" s="1">
        <v>2</v>
      </c>
      <c r="H483" s="1">
        <v>38.9</v>
      </c>
      <c r="I483" s="1"/>
      <c r="J483" s="1"/>
    </row>
    <row r="484" spans="1:10" x14ac:dyDescent="0.3">
      <c r="A484" t="str">
        <f t="shared" si="14"/>
        <v>DFG%</v>
      </c>
      <c r="B484">
        <f t="shared" si="15"/>
        <v>2309</v>
      </c>
      <c r="D484" s="1"/>
      <c r="E484" s="1" t="s">
        <v>79</v>
      </c>
      <c r="F484" s="1">
        <v>7</v>
      </c>
      <c r="G484" s="1">
        <v>1</v>
      </c>
      <c r="H484" s="1">
        <v>39.200000000000003</v>
      </c>
      <c r="I484" s="1"/>
      <c r="J484" s="1"/>
    </row>
    <row r="485" spans="1:10" x14ac:dyDescent="0.3">
      <c r="A485" t="str">
        <f t="shared" si="14"/>
        <v>DFG%</v>
      </c>
      <c r="B485">
        <f t="shared" si="15"/>
        <v>1509</v>
      </c>
      <c r="D485" s="1"/>
      <c r="E485" s="1" t="s">
        <v>124</v>
      </c>
      <c r="F485" s="1">
        <v>8</v>
      </c>
      <c r="G485" s="1">
        <v>1</v>
      </c>
      <c r="H485" s="1">
        <v>39.299999999999997</v>
      </c>
      <c r="I485" s="1"/>
      <c r="J485" s="1"/>
    </row>
    <row r="486" spans="1:10" x14ac:dyDescent="0.3">
      <c r="A486" t="str">
        <f t="shared" si="14"/>
        <v>DFG%</v>
      </c>
      <c r="B486">
        <f t="shared" si="15"/>
        <v>2509</v>
      </c>
      <c r="D486" s="1"/>
      <c r="E486" s="1" t="s">
        <v>92</v>
      </c>
      <c r="F486" s="1">
        <v>9</v>
      </c>
      <c r="G486" s="1">
        <v>1</v>
      </c>
      <c r="H486" s="1">
        <v>39.6</v>
      </c>
      <c r="I486" s="1"/>
      <c r="J486" s="1"/>
    </row>
    <row r="487" spans="1:10" x14ac:dyDescent="0.3">
      <c r="A487" t="str">
        <f t="shared" si="14"/>
        <v>DFG%</v>
      </c>
      <c r="B487">
        <f t="shared" si="15"/>
        <v>7309</v>
      </c>
      <c r="D487" s="1"/>
      <c r="E487" s="1" t="s">
        <v>111</v>
      </c>
      <c r="F487" s="1">
        <v>11</v>
      </c>
      <c r="G487" s="1">
        <v>1</v>
      </c>
      <c r="H487" s="1">
        <v>40</v>
      </c>
      <c r="I487" s="1"/>
      <c r="J487" s="1"/>
    </row>
    <row r="488" spans="1:10" x14ac:dyDescent="0.3">
      <c r="A488" t="str">
        <f t="shared" si="14"/>
        <v>DFG%</v>
      </c>
      <c r="B488">
        <f t="shared" si="15"/>
        <v>609</v>
      </c>
      <c r="D488" s="1"/>
      <c r="E488" s="1" t="s">
        <v>100</v>
      </c>
      <c r="F488" s="1">
        <v>13</v>
      </c>
      <c r="G488" s="1">
        <v>2</v>
      </c>
      <c r="H488" s="1">
        <v>40.200000000000003</v>
      </c>
      <c r="I488" s="1"/>
      <c r="J488" s="1"/>
    </row>
    <row r="489" spans="1:10" x14ac:dyDescent="0.3">
      <c r="A489" t="str">
        <f t="shared" si="14"/>
        <v>DFG%</v>
      </c>
      <c r="B489">
        <f t="shared" si="15"/>
        <v>5809</v>
      </c>
      <c r="D489" s="1"/>
      <c r="E489" s="1" t="s">
        <v>139</v>
      </c>
      <c r="F489" s="1">
        <v>14</v>
      </c>
      <c r="G489" s="1">
        <v>1</v>
      </c>
      <c r="H489" s="1">
        <v>40.299999999999997</v>
      </c>
      <c r="I489" s="1"/>
      <c r="J489" s="1"/>
    </row>
    <row r="490" spans="1:10" x14ac:dyDescent="0.3">
      <c r="A490" t="str">
        <f t="shared" si="14"/>
        <v>DFG%</v>
      </c>
      <c r="B490">
        <f t="shared" si="15"/>
        <v>1209</v>
      </c>
      <c r="D490" s="1"/>
      <c r="E490" s="1" t="s">
        <v>130</v>
      </c>
      <c r="F490" s="1">
        <v>16</v>
      </c>
      <c r="G490" s="1">
        <v>1</v>
      </c>
      <c r="H490" s="1">
        <v>40.5</v>
      </c>
      <c r="I490" s="1"/>
      <c r="J490" s="1"/>
    </row>
    <row r="491" spans="1:10" x14ac:dyDescent="0.3">
      <c r="A491" t="str">
        <f t="shared" si="14"/>
        <v>DFG%</v>
      </c>
      <c r="B491">
        <f t="shared" si="15"/>
        <v>2609</v>
      </c>
      <c r="D491" s="1"/>
      <c r="E491" s="1" t="s">
        <v>80</v>
      </c>
      <c r="F491" s="1">
        <v>19</v>
      </c>
      <c r="G491" s="1">
        <v>1</v>
      </c>
      <c r="H491" s="1">
        <v>40.6</v>
      </c>
      <c r="I491" s="1"/>
      <c r="J491" s="1"/>
    </row>
    <row r="492" spans="1:10" x14ac:dyDescent="0.3">
      <c r="A492" t="str">
        <f t="shared" si="14"/>
        <v>DFG%</v>
      </c>
      <c r="B492">
        <f t="shared" si="15"/>
        <v>7909</v>
      </c>
      <c r="D492" s="1"/>
      <c r="E492" s="1" t="s">
        <v>103</v>
      </c>
      <c r="F492" s="1">
        <v>21</v>
      </c>
      <c r="G492" s="1">
        <v>2</v>
      </c>
      <c r="H492" s="1">
        <v>40.6</v>
      </c>
      <c r="I492" s="1"/>
      <c r="J492" s="1"/>
    </row>
    <row r="493" spans="1:10" x14ac:dyDescent="0.3">
      <c r="A493" t="str">
        <f t="shared" si="14"/>
        <v>DFG%</v>
      </c>
      <c r="B493">
        <f t="shared" si="15"/>
        <v>4409</v>
      </c>
      <c r="D493" s="1"/>
      <c r="E493" s="1" t="s">
        <v>83</v>
      </c>
      <c r="F493" s="1">
        <v>22</v>
      </c>
      <c r="G493" s="1">
        <v>2</v>
      </c>
      <c r="H493" s="1">
        <v>40.700000000000003</v>
      </c>
      <c r="I493" s="1"/>
      <c r="J493" s="1"/>
    </row>
    <row r="494" spans="1:10" x14ac:dyDescent="0.3">
      <c r="A494" t="str">
        <f t="shared" si="14"/>
        <v>DFG%</v>
      </c>
      <c r="B494">
        <f t="shared" si="15"/>
        <v>3909</v>
      </c>
      <c r="D494" s="1"/>
      <c r="E494" s="1" t="s">
        <v>88</v>
      </c>
      <c r="F494" s="1">
        <v>30</v>
      </c>
      <c r="G494" s="1">
        <v>3</v>
      </c>
      <c r="H494" s="1">
        <v>41</v>
      </c>
      <c r="I494" s="1"/>
      <c r="J494" s="1"/>
    </row>
    <row r="495" spans="1:10" x14ac:dyDescent="0.3">
      <c r="A495" t="str">
        <f t="shared" si="14"/>
        <v>DFG%</v>
      </c>
      <c r="B495">
        <f t="shared" si="15"/>
        <v>4909</v>
      </c>
      <c r="D495" s="1"/>
      <c r="E495" s="1" t="s">
        <v>108</v>
      </c>
      <c r="F495" s="1">
        <v>31</v>
      </c>
      <c r="G495" s="1">
        <v>2</v>
      </c>
      <c r="H495" s="1">
        <v>41</v>
      </c>
      <c r="I495" s="1"/>
      <c r="J495" s="1"/>
    </row>
    <row r="496" spans="1:10" x14ac:dyDescent="0.3">
      <c r="A496" t="str">
        <f t="shared" si="14"/>
        <v>DFG%</v>
      </c>
      <c r="B496">
        <f t="shared" si="15"/>
        <v>909</v>
      </c>
      <c r="D496" s="1"/>
      <c r="E496" s="1" t="s">
        <v>90</v>
      </c>
      <c r="F496" s="1">
        <v>40</v>
      </c>
      <c r="G496" s="1">
        <v>3</v>
      </c>
      <c r="H496" s="1">
        <v>41.3</v>
      </c>
      <c r="I496" s="1"/>
      <c r="J496" s="1"/>
    </row>
    <row r="497" spans="1:10" x14ac:dyDescent="0.3">
      <c r="A497" t="str">
        <f t="shared" si="14"/>
        <v>DFG%</v>
      </c>
      <c r="B497">
        <f t="shared" si="15"/>
        <v>8409</v>
      </c>
      <c r="D497" s="1"/>
      <c r="E497" s="1" t="s">
        <v>109</v>
      </c>
      <c r="F497" s="1">
        <v>42</v>
      </c>
      <c r="G497" s="1">
        <v>1</v>
      </c>
      <c r="H497" s="1">
        <v>41.3</v>
      </c>
      <c r="I497" s="1"/>
      <c r="J497" s="1"/>
    </row>
    <row r="498" spans="1:10" x14ac:dyDescent="0.3">
      <c r="A498" t="str">
        <f t="shared" si="14"/>
        <v>DFG%</v>
      </c>
      <c r="B498">
        <f t="shared" si="15"/>
        <v>4009</v>
      </c>
      <c r="D498" s="1"/>
      <c r="E498" s="1" t="s">
        <v>105</v>
      </c>
      <c r="F498" s="1">
        <v>43</v>
      </c>
      <c r="G498" s="1">
        <v>3</v>
      </c>
      <c r="H498" s="1">
        <v>41.4</v>
      </c>
      <c r="I498" s="1"/>
      <c r="J498" s="1"/>
    </row>
    <row r="499" spans="1:10" x14ac:dyDescent="0.3">
      <c r="A499" t="str">
        <f t="shared" si="14"/>
        <v>DFG%</v>
      </c>
      <c r="B499">
        <f t="shared" si="15"/>
        <v>12109</v>
      </c>
      <c r="D499" s="1"/>
      <c r="E499" s="1" t="s">
        <v>140</v>
      </c>
      <c r="F499" s="1">
        <v>47</v>
      </c>
      <c r="G499" s="1">
        <v>2</v>
      </c>
      <c r="H499" s="1">
        <v>41.5</v>
      </c>
      <c r="I499" s="1"/>
      <c r="J499" s="1"/>
    </row>
    <row r="500" spans="1:10" x14ac:dyDescent="0.3">
      <c r="A500" t="str">
        <f t="shared" si="14"/>
        <v>DFG%</v>
      </c>
      <c r="B500">
        <f t="shared" si="15"/>
        <v>4809</v>
      </c>
      <c r="D500" s="1"/>
      <c r="E500" s="1" t="s">
        <v>104</v>
      </c>
      <c r="F500" s="1">
        <v>49</v>
      </c>
      <c r="G500" s="1">
        <v>2</v>
      </c>
      <c r="H500" s="1">
        <v>41.6</v>
      </c>
      <c r="I500" s="1"/>
      <c r="J500" s="1"/>
    </row>
    <row r="501" spans="1:10" x14ac:dyDescent="0.3">
      <c r="A501" t="str">
        <f t="shared" si="14"/>
        <v>DFG%</v>
      </c>
      <c r="B501">
        <f t="shared" si="15"/>
        <v>12809</v>
      </c>
      <c r="D501" s="1"/>
      <c r="E501" s="1" t="s">
        <v>142</v>
      </c>
      <c r="F501" s="1">
        <v>52</v>
      </c>
      <c r="G501" s="1">
        <v>2</v>
      </c>
      <c r="H501" s="1">
        <v>41.7</v>
      </c>
      <c r="I501" s="1"/>
      <c r="J501" s="1"/>
    </row>
    <row r="502" spans="1:10" x14ac:dyDescent="0.3">
      <c r="A502" t="str">
        <f t="shared" si="14"/>
        <v>DFG%</v>
      </c>
      <c r="B502">
        <f t="shared" si="15"/>
        <v>3009</v>
      </c>
      <c r="D502" s="1"/>
      <c r="E502" s="1" t="s">
        <v>89</v>
      </c>
      <c r="F502" s="1">
        <v>53</v>
      </c>
      <c r="G502" s="1">
        <v>4</v>
      </c>
      <c r="H502" s="1">
        <v>41.7</v>
      </c>
      <c r="I502" s="1"/>
      <c r="J502" s="1"/>
    </row>
    <row r="503" spans="1:10" x14ac:dyDescent="0.3">
      <c r="A503" t="str">
        <f t="shared" si="14"/>
        <v>DFG%</v>
      </c>
      <c r="B503">
        <f t="shared" si="15"/>
        <v>3109</v>
      </c>
      <c r="D503" s="1"/>
      <c r="E503" s="1" t="s">
        <v>93</v>
      </c>
      <c r="F503" s="1">
        <v>59</v>
      </c>
      <c r="G503" s="1">
        <v>4</v>
      </c>
      <c r="H503" s="1">
        <v>41.8</v>
      </c>
      <c r="I503" s="1"/>
      <c r="J503" s="1"/>
    </row>
    <row r="504" spans="1:10" x14ac:dyDescent="0.3">
      <c r="A504" t="str">
        <f t="shared" si="14"/>
        <v>DFG%</v>
      </c>
      <c r="B504">
        <f t="shared" si="15"/>
        <v>4609</v>
      </c>
      <c r="D504" s="1"/>
      <c r="E504" s="1" t="s">
        <v>101</v>
      </c>
      <c r="F504" s="1">
        <v>60</v>
      </c>
      <c r="G504" s="1">
        <v>2</v>
      </c>
      <c r="H504" s="1">
        <v>41.8</v>
      </c>
      <c r="I504" s="1"/>
      <c r="J504" s="1"/>
    </row>
    <row r="505" spans="1:10" x14ac:dyDescent="0.3">
      <c r="A505" t="str">
        <f t="shared" si="14"/>
        <v>DFG%</v>
      </c>
      <c r="B505">
        <f t="shared" si="15"/>
        <v>1609</v>
      </c>
      <c r="D505" s="1"/>
      <c r="E505" s="1" t="s">
        <v>137</v>
      </c>
      <c r="F505" s="1">
        <v>62</v>
      </c>
      <c r="G505" s="1">
        <v>3</v>
      </c>
      <c r="H505" s="1">
        <v>41.9</v>
      </c>
      <c r="I505" s="1"/>
      <c r="J505" s="1"/>
    </row>
    <row r="506" spans="1:10" x14ac:dyDescent="0.3">
      <c r="A506" t="str">
        <f t="shared" si="14"/>
        <v>DFG%</v>
      </c>
      <c r="B506">
        <f t="shared" si="15"/>
        <v>5009</v>
      </c>
      <c r="D506" s="1"/>
      <c r="E506" s="1" t="s">
        <v>110</v>
      </c>
      <c r="F506" s="1">
        <v>63</v>
      </c>
      <c r="G506" s="1">
        <v>5</v>
      </c>
      <c r="H506" s="1">
        <v>41.9</v>
      </c>
      <c r="I506" s="1"/>
      <c r="J506" s="1"/>
    </row>
    <row r="507" spans="1:10" x14ac:dyDescent="0.3">
      <c r="A507" t="str">
        <f t="shared" si="14"/>
        <v>DFG%</v>
      </c>
      <c r="B507">
        <f t="shared" si="15"/>
        <v>12509</v>
      </c>
      <c r="D507" s="1"/>
      <c r="E507" s="1" t="s">
        <v>95</v>
      </c>
      <c r="F507" s="1">
        <v>72</v>
      </c>
      <c r="G507" s="1">
        <v>1</v>
      </c>
      <c r="H507" s="1">
        <v>42.1</v>
      </c>
      <c r="I507" s="1"/>
      <c r="J507" s="1"/>
    </row>
    <row r="508" spans="1:10" x14ac:dyDescent="0.3">
      <c r="A508" t="str">
        <f t="shared" si="14"/>
        <v>DFG%</v>
      </c>
      <c r="B508">
        <f t="shared" si="15"/>
        <v>1709</v>
      </c>
      <c r="D508" s="1"/>
      <c r="E508" s="1" t="s">
        <v>133</v>
      </c>
      <c r="F508" s="1">
        <v>79</v>
      </c>
      <c r="G508" s="1">
        <v>1</v>
      </c>
      <c r="H508" s="1">
        <v>42.1</v>
      </c>
      <c r="I508" s="1"/>
      <c r="J508" s="1"/>
    </row>
    <row r="509" spans="1:10" x14ac:dyDescent="0.3">
      <c r="A509" t="str">
        <f t="shared" si="14"/>
        <v>DFG%</v>
      </c>
      <c r="B509">
        <f t="shared" si="15"/>
        <v>2909</v>
      </c>
      <c r="D509" s="1"/>
      <c r="E509" s="1" t="s">
        <v>96</v>
      </c>
      <c r="F509" s="1">
        <v>80</v>
      </c>
      <c r="G509" s="1">
        <v>1</v>
      </c>
      <c r="H509" s="1">
        <v>42.1</v>
      </c>
      <c r="I509" s="1"/>
      <c r="J509" s="1"/>
    </row>
    <row r="510" spans="1:10" x14ac:dyDescent="0.3">
      <c r="A510" t="str">
        <f t="shared" si="14"/>
        <v>DFG%</v>
      </c>
      <c r="B510">
        <f t="shared" si="15"/>
        <v>10309</v>
      </c>
      <c r="D510" s="1"/>
      <c r="E510" s="1" t="s">
        <v>134</v>
      </c>
      <c r="F510" s="1">
        <v>82</v>
      </c>
      <c r="G510" s="1">
        <v>2</v>
      </c>
      <c r="H510" s="1">
        <v>42.1</v>
      </c>
      <c r="I510" s="1"/>
      <c r="J510" s="1"/>
    </row>
    <row r="511" spans="1:10" x14ac:dyDescent="0.3">
      <c r="A511" t="str">
        <f t="shared" si="14"/>
        <v>DFG%</v>
      </c>
      <c r="B511">
        <f t="shared" si="15"/>
        <v>11609</v>
      </c>
      <c r="D511" s="1"/>
      <c r="E511" s="1" t="s">
        <v>121</v>
      </c>
      <c r="F511" s="1">
        <v>84</v>
      </c>
      <c r="G511" s="1">
        <v>2</v>
      </c>
      <c r="H511" s="1">
        <v>42.2</v>
      </c>
      <c r="I511" s="1"/>
      <c r="J511" s="1"/>
    </row>
    <row r="512" spans="1:10" x14ac:dyDescent="0.3">
      <c r="A512" t="str">
        <f t="shared" si="14"/>
        <v>DFG%</v>
      </c>
      <c r="B512">
        <f t="shared" si="15"/>
        <v>4709</v>
      </c>
      <c r="D512" s="1"/>
      <c r="E512" s="1" t="s">
        <v>107</v>
      </c>
      <c r="F512" s="1">
        <v>89</v>
      </c>
      <c r="G512" s="1">
        <v>3</v>
      </c>
      <c r="H512" s="1">
        <v>42.2</v>
      </c>
      <c r="I512" s="1"/>
      <c r="J512" s="1"/>
    </row>
    <row r="513" spans="1:10" x14ac:dyDescent="0.3">
      <c r="A513" t="str">
        <f t="shared" si="14"/>
        <v>DFG%</v>
      </c>
      <c r="B513">
        <f t="shared" si="15"/>
        <v>12909</v>
      </c>
      <c r="D513" s="1"/>
      <c r="E513" s="1" t="s">
        <v>132</v>
      </c>
      <c r="F513" s="1">
        <v>94</v>
      </c>
      <c r="G513" s="1">
        <v>8</v>
      </c>
      <c r="H513" s="1">
        <v>42.3</v>
      </c>
      <c r="I513" s="1"/>
      <c r="J513" s="1"/>
    </row>
    <row r="514" spans="1:10" x14ac:dyDescent="0.3">
      <c r="A514" t="str">
        <f t="shared" ref="A514:A577" si="16">IF(NOT(D514=""),INDEX(statAbbr,MATCH(D514,statOfficial,0),1),A513)</f>
        <v>DFG%</v>
      </c>
      <c r="B514">
        <f t="shared" ref="B514:B577" si="17">INDEX(statID,MATCH(A514,statAbbr,0),1)+INDEX(teamID,MATCH(E514,teamRawName,0))</f>
        <v>6709</v>
      </c>
      <c r="D514" s="1"/>
      <c r="E514" s="1" t="s">
        <v>118</v>
      </c>
      <c r="F514" s="1">
        <v>101</v>
      </c>
      <c r="G514" s="1">
        <v>8</v>
      </c>
      <c r="H514" s="1">
        <v>42.6</v>
      </c>
      <c r="I514" s="1"/>
      <c r="J514" s="1"/>
    </row>
    <row r="515" spans="1:10" x14ac:dyDescent="0.3">
      <c r="A515" t="str">
        <f t="shared" si="16"/>
        <v>DFG%</v>
      </c>
      <c r="B515">
        <f t="shared" si="17"/>
        <v>1309</v>
      </c>
      <c r="D515" s="1"/>
      <c r="E515" s="1" t="s">
        <v>82</v>
      </c>
      <c r="F515" s="1">
        <v>106</v>
      </c>
      <c r="G515" s="1">
        <v>4</v>
      </c>
      <c r="H515" s="1">
        <v>42.6</v>
      </c>
      <c r="I515" s="1"/>
      <c r="J515" s="1"/>
    </row>
    <row r="516" spans="1:10" x14ac:dyDescent="0.3">
      <c r="A516" t="str">
        <f t="shared" si="16"/>
        <v>DFG%</v>
      </c>
      <c r="B516">
        <f t="shared" si="17"/>
        <v>3309</v>
      </c>
      <c r="D516" s="1"/>
      <c r="E516" s="1" t="s">
        <v>91</v>
      </c>
      <c r="F516" s="1">
        <v>107</v>
      </c>
      <c r="G516" s="1">
        <v>6</v>
      </c>
      <c r="H516" s="1">
        <v>42.6</v>
      </c>
      <c r="I516" s="1"/>
      <c r="J516" s="1"/>
    </row>
    <row r="517" spans="1:10" x14ac:dyDescent="0.3">
      <c r="A517" t="str">
        <f t="shared" si="16"/>
        <v>DFG%</v>
      </c>
      <c r="B517">
        <f t="shared" si="17"/>
        <v>2709</v>
      </c>
      <c r="D517" s="1"/>
      <c r="E517" s="1" t="s">
        <v>7</v>
      </c>
      <c r="F517" s="1">
        <v>119</v>
      </c>
      <c r="G517" s="1">
        <v>9</v>
      </c>
      <c r="H517" s="1">
        <v>42.7</v>
      </c>
      <c r="I517" s="1"/>
      <c r="J517" s="1"/>
    </row>
    <row r="518" spans="1:10" x14ac:dyDescent="0.3">
      <c r="A518" t="str">
        <f t="shared" si="16"/>
        <v>DFG%</v>
      </c>
      <c r="B518">
        <f t="shared" si="17"/>
        <v>3609</v>
      </c>
      <c r="D518" s="1"/>
      <c r="E518" s="1" t="s">
        <v>129</v>
      </c>
      <c r="F518" s="1">
        <v>126</v>
      </c>
      <c r="G518" s="1">
        <v>5</v>
      </c>
      <c r="H518" s="1">
        <v>42.9</v>
      </c>
      <c r="I518" s="1"/>
      <c r="J518" s="1"/>
    </row>
    <row r="519" spans="1:10" x14ac:dyDescent="0.3">
      <c r="A519" t="str">
        <f t="shared" si="16"/>
        <v>DFG%</v>
      </c>
      <c r="B519">
        <f t="shared" si="17"/>
        <v>5509</v>
      </c>
      <c r="D519" s="1"/>
      <c r="E519" s="1" t="s">
        <v>86</v>
      </c>
      <c r="F519" s="1">
        <v>128</v>
      </c>
      <c r="G519" s="1">
        <v>6</v>
      </c>
      <c r="H519" s="1">
        <v>42.9</v>
      </c>
      <c r="I519" s="1"/>
      <c r="J519" s="1"/>
    </row>
    <row r="520" spans="1:10" x14ac:dyDescent="0.3">
      <c r="A520" t="str">
        <f t="shared" si="16"/>
        <v>DFG%</v>
      </c>
      <c r="B520">
        <f t="shared" si="17"/>
        <v>8209</v>
      </c>
      <c r="D520" s="1"/>
      <c r="E520" s="1" t="s">
        <v>131</v>
      </c>
      <c r="F520" s="1">
        <v>129</v>
      </c>
      <c r="G520" s="1">
        <v>4</v>
      </c>
      <c r="H520" s="1">
        <v>43</v>
      </c>
      <c r="I520" s="1"/>
      <c r="J520" s="1"/>
    </row>
    <row r="521" spans="1:10" x14ac:dyDescent="0.3">
      <c r="A521" t="str">
        <f t="shared" si="16"/>
        <v>DFG%</v>
      </c>
      <c r="B521">
        <f t="shared" si="17"/>
        <v>7209</v>
      </c>
      <c r="D521" s="1"/>
      <c r="E521" s="1" t="s">
        <v>116</v>
      </c>
      <c r="F521" s="1">
        <v>130</v>
      </c>
      <c r="G521" s="1">
        <v>10</v>
      </c>
      <c r="H521" s="1">
        <v>43</v>
      </c>
      <c r="I521" s="1"/>
      <c r="J521" s="1"/>
    </row>
    <row r="522" spans="1:10" x14ac:dyDescent="0.3">
      <c r="A522" t="str">
        <f t="shared" si="16"/>
        <v>DFG%</v>
      </c>
      <c r="B522">
        <f t="shared" si="17"/>
        <v>5409</v>
      </c>
      <c r="D522" s="1"/>
      <c r="E522" s="1" t="s">
        <v>94</v>
      </c>
      <c r="F522" s="1">
        <v>131</v>
      </c>
      <c r="G522" s="1">
        <v>6</v>
      </c>
      <c r="H522" s="1">
        <v>43</v>
      </c>
      <c r="I522" s="1"/>
      <c r="J522" s="1"/>
    </row>
    <row r="523" spans="1:10" x14ac:dyDescent="0.3">
      <c r="A523" t="str">
        <f t="shared" si="16"/>
        <v>DFG%</v>
      </c>
      <c r="B523">
        <f t="shared" si="17"/>
        <v>9109</v>
      </c>
      <c r="D523" s="1"/>
      <c r="E523" s="1" t="s">
        <v>99</v>
      </c>
      <c r="F523" s="1">
        <v>140</v>
      </c>
      <c r="G523" s="1">
        <v>7</v>
      </c>
      <c r="H523" s="1">
        <v>43.1</v>
      </c>
      <c r="I523" s="1"/>
      <c r="J523" s="1"/>
    </row>
    <row r="524" spans="1:10" x14ac:dyDescent="0.3">
      <c r="A524" t="str">
        <f t="shared" si="16"/>
        <v>DFG%</v>
      </c>
      <c r="B524">
        <f t="shared" si="17"/>
        <v>12409</v>
      </c>
      <c r="D524" s="1"/>
      <c r="E524" s="1" t="s">
        <v>128</v>
      </c>
      <c r="F524" s="1">
        <v>141</v>
      </c>
      <c r="G524" s="1">
        <v>5</v>
      </c>
      <c r="H524" s="1">
        <v>43.1</v>
      </c>
      <c r="I524" s="1"/>
      <c r="J524" s="1"/>
    </row>
    <row r="525" spans="1:10" x14ac:dyDescent="0.3">
      <c r="A525" t="str">
        <f t="shared" si="16"/>
        <v>DFG%</v>
      </c>
      <c r="B525">
        <f t="shared" si="17"/>
        <v>4309</v>
      </c>
      <c r="D525" s="1"/>
      <c r="E525" s="1" t="s">
        <v>125</v>
      </c>
      <c r="F525" s="1">
        <v>143</v>
      </c>
      <c r="G525" s="1">
        <v>8</v>
      </c>
      <c r="H525" s="1">
        <v>43.2</v>
      </c>
      <c r="I525" s="1"/>
      <c r="J525" s="1"/>
    </row>
    <row r="526" spans="1:10" x14ac:dyDescent="0.3">
      <c r="A526" t="str">
        <f t="shared" si="16"/>
        <v>DFG%</v>
      </c>
      <c r="B526">
        <f t="shared" si="17"/>
        <v>1909</v>
      </c>
      <c r="D526" s="1"/>
      <c r="E526" s="1" t="s">
        <v>112</v>
      </c>
      <c r="F526" s="1">
        <v>150</v>
      </c>
      <c r="G526" s="1">
        <v>9</v>
      </c>
      <c r="H526" s="1">
        <v>43.3</v>
      </c>
      <c r="I526" s="1"/>
      <c r="J526" s="1"/>
    </row>
    <row r="527" spans="1:10" x14ac:dyDescent="0.3">
      <c r="A527" t="str">
        <f t="shared" si="16"/>
        <v>DFG%</v>
      </c>
      <c r="B527">
        <f t="shared" si="17"/>
        <v>9909</v>
      </c>
      <c r="D527" s="1"/>
      <c r="E527" s="1" t="s">
        <v>113</v>
      </c>
      <c r="F527" s="1">
        <v>154</v>
      </c>
      <c r="G527" s="1">
        <v>6</v>
      </c>
      <c r="H527" s="1">
        <v>43.4</v>
      </c>
      <c r="I527" s="1"/>
      <c r="J527" s="1"/>
    </row>
    <row r="528" spans="1:10" x14ac:dyDescent="0.3">
      <c r="A528" t="str">
        <f t="shared" si="16"/>
        <v>DFG%</v>
      </c>
      <c r="B528">
        <f t="shared" si="17"/>
        <v>2209</v>
      </c>
      <c r="D528" s="1"/>
      <c r="E528" s="1" t="s">
        <v>119</v>
      </c>
      <c r="F528" s="1">
        <v>164</v>
      </c>
      <c r="G528" s="1">
        <v>9</v>
      </c>
      <c r="H528" s="1">
        <v>43.5</v>
      </c>
      <c r="I528" s="1"/>
      <c r="J528" s="1"/>
    </row>
    <row r="529" spans="1:10" x14ac:dyDescent="0.3">
      <c r="A529" t="str">
        <f t="shared" si="16"/>
        <v>DFG%</v>
      </c>
      <c r="B529">
        <f t="shared" si="17"/>
        <v>11909</v>
      </c>
      <c r="D529" s="1"/>
      <c r="E529" s="1" t="s">
        <v>143</v>
      </c>
      <c r="F529" s="1">
        <v>169</v>
      </c>
      <c r="G529" s="1">
        <v>6</v>
      </c>
      <c r="H529" s="1">
        <v>43.6</v>
      </c>
      <c r="I529" s="1"/>
      <c r="J529" s="1"/>
    </row>
    <row r="530" spans="1:10" x14ac:dyDescent="0.3">
      <c r="A530" t="str">
        <f t="shared" si="16"/>
        <v>DFG%</v>
      </c>
      <c r="B530">
        <f t="shared" si="17"/>
        <v>8009</v>
      </c>
      <c r="D530" s="1"/>
      <c r="E530" s="1" t="s">
        <v>117</v>
      </c>
      <c r="F530" s="1">
        <v>174</v>
      </c>
      <c r="G530" s="1">
        <v>3</v>
      </c>
      <c r="H530" s="1">
        <v>43.7</v>
      </c>
      <c r="I530" s="1"/>
      <c r="J530" s="1"/>
    </row>
    <row r="531" spans="1:10" x14ac:dyDescent="0.3">
      <c r="A531" t="str">
        <f t="shared" si="16"/>
        <v>DFG%</v>
      </c>
      <c r="B531">
        <f t="shared" si="17"/>
        <v>3709</v>
      </c>
      <c r="D531" s="1"/>
      <c r="E531" s="1" t="s">
        <v>115</v>
      </c>
      <c r="F531" s="1">
        <v>175</v>
      </c>
      <c r="G531" s="1">
        <v>9</v>
      </c>
      <c r="H531" s="1">
        <v>43.7</v>
      </c>
      <c r="I531" s="1"/>
      <c r="J531" s="1"/>
    </row>
    <row r="532" spans="1:10" x14ac:dyDescent="0.3">
      <c r="A532" t="str">
        <f t="shared" si="16"/>
        <v>DFG%</v>
      </c>
      <c r="B532">
        <f t="shared" si="17"/>
        <v>1409</v>
      </c>
      <c r="D532" s="1"/>
      <c r="E532" s="1" t="s">
        <v>102</v>
      </c>
      <c r="F532" s="1">
        <v>180</v>
      </c>
      <c r="G532" s="1">
        <v>6</v>
      </c>
      <c r="H532" s="1">
        <v>43.8</v>
      </c>
      <c r="I532" s="1"/>
      <c r="J532" s="1"/>
    </row>
    <row r="533" spans="1:10" x14ac:dyDescent="0.3">
      <c r="A533" t="str">
        <f t="shared" si="16"/>
        <v>DFG%</v>
      </c>
      <c r="B533">
        <f t="shared" si="17"/>
        <v>2109</v>
      </c>
      <c r="D533" s="1"/>
      <c r="E533" s="1" t="s">
        <v>136</v>
      </c>
      <c r="F533" s="1">
        <v>181</v>
      </c>
      <c r="G533" s="1">
        <v>7</v>
      </c>
      <c r="H533" s="1">
        <v>43.8</v>
      </c>
      <c r="I533" s="1"/>
      <c r="J533" s="1"/>
    </row>
    <row r="534" spans="1:10" x14ac:dyDescent="0.3">
      <c r="A534" t="str">
        <f t="shared" si="16"/>
        <v>DFG%</v>
      </c>
      <c r="B534">
        <f t="shared" si="17"/>
        <v>11409</v>
      </c>
      <c r="D534" s="1"/>
      <c r="E534" s="1" t="s">
        <v>138</v>
      </c>
      <c r="F534" s="1">
        <v>195</v>
      </c>
      <c r="G534" s="1">
        <v>5</v>
      </c>
      <c r="H534" s="1">
        <v>44</v>
      </c>
      <c r="I534" s="1"/>
      <c r="J534" s="1"/>
    </row>
    <row r="535" spans="1:10" x14ac:dyDescent="0.3">
      <c r="A535" t="str">
        <f t="shared" si="16"/>
        <v>DFG%</v>
      </c>
      <c r="B535">
        <f t="shared" si="17"/>
        <v>5709</v>
      </c>
      <c r="D535" s="1"/>
      <c r="E535" s="1" t="s">
        <v>120</v>
      </c>
      <c r="F535" s="1">
        <v>196</v>
      </c>
      <c r="G535" s="1">
        <v>11</v>
      </c>
      <c r="H535" s="1">
        <v>44</v>
      </c>
      <c r="I535" s="1"/>
      <c r="J535" s="1"/>
    </row>
    <row r="536" spans="1:10" x14ac:dyDescent="0.3">
      <c r="A536" t="str">
        <f t="shared" si="16"/>
        <v>DFG%</v>
      </c>
      <c r="B536">
        <f t="shared" si="17"/>
        <v>6309</v>
      </c>
      <c r="D536" s="1"/>
      <c r="E536" s="1" t="s">
        <v>122</v>
      </c>
      <c r="F536" s="1">
        <v>199</v>
      </c>
      <c r="G536" s="1">
        <v>6</v>
      </c>
      <c r="H536" s="1">
        <v>44</v>
      </c>
      <c r="I536" s="1"/>
      <c r="J536" s="1"/>
    </row>
    <row r="537" spans="1:10" x14ac:dyDescent="0.3">
      <c r="A537" t="str">
        <f t="shared" si="16"/>
        <v>DFG%</v>
      </c>
      <c r="B537">
        <f t="shared" si="17"/>
        <v>11309</v>
      </c>
      <c r="D537" s="1"/>
      <c r="E537" s="1" t="s">
        <v>126</v>
      </c>
      <c r="F537" s="1">
        <v>203</v>
      </c>
      <c r="G537" s="1">
        <v>4</v>
      </c>
      <c r="H537" s="1">
        <v>44.1</v>
      </c>
      <c r="I537" s="1"/>
      <c r="J537" s="1"/>
    </row>
    <row r="538" spans="1:10" x14ac:dyDescent="0.3">
      <c r="A538" t="str">
        <f t="shared" si="16"/>
        <v>DFG%</v>
      </c>
      <c r="B538">
        <f t="shared" si="17"/>
        <v>9509</v>
      </c>
      <c r="D538" s="1"/>
      <c r="E538" s="1" t="s">
        <v>85</v>
      </c>
      <c r="F538" s="1">
        <v>208</v>
      </c>
      <c r="G538" s="1">
        <v>8</v>
      </c>
      <c r="H538" s="1">
        <v>44.3</v>
      </c>
      <c r="I538" s="1"/>
      <c r="J538" s="1"/>
    </row>
    <row r="539" spans="1:10" x14ac:dyDescent="0.3">
      <c r="A539" t="str">
        <f t="shared" si="16"/>
        <v>DFG%</v>
      </c>
      <c r="B539">
        <f t="shared" si="17"/>
        <v>12709</v>
      </c>
      <c r="D539" s="1"/>
      <c r="E539" s="1" t="s">
        <v>13</v>
      </c>
      <c r="F539" s="1">
        <v>216</v>
      </c>
      <c r="G539" s="1">
        <v>12</v>
      </c>
      <c r="H539" s="1">
        <v>44.4</v>
      </c>
      <c r="I539" s="1"/>
      <c r="J539" s="1"/>
    </row>
    <row r="540" spans="1:10" x14ac:dyDescent="0.3">
      <c r="A540" t="str">
        <f t="shared" si="16"/>
        <v>DFG%</v>
      </c>
      <c r="B540">
        <f t="shared" si="17"/>
        <v>11509</v>
      </c>
      <c r="D540" s="1"/>
      <c r="E540" s="1" t="s">
        <v>97</v>
      </c>
      <c r="F540" s="1">
        <v>219</v>
      </c>
      <c r="G540" s="1">
        <v>10</v>
      </c>
      <c r="H540" s="1">
        <v>44.5</v>
      </c>
      <c r="I540" s="1"/>
      <c r="J540" s="1"/>
    </row>
    <row r="541" spans="1:10" x14ac:dyDescent="0.3">
      <c r="A541" t="str">
        <f t="shared" si="16"/>
        <v>DFG%</v>
      </c>
      <c r="B541">
        <f t="shared" si="17"/>
        <v>8809</v>
      </c>
      <c r="D541" s="1"/>
      <c r="E541" s="1" t="s">
        <v>141</v>
      </c>
      <c r="F541" s="1">
        <v>244</v>
      </c>
      <c r="G541" s="1">
        <v>7</v>
      </c>
      <c r="H541" s="1">
        <v>44.9</v>
      </c>
      <c r="I541" s="1"/>
      <c r="J541" s="1"/>
    </row>
    <row r="542" spans="1:10" x14ac:dyDescent="0.3">
      <c r="A542" t="str">
        <f t="shared" si="16"/>
        <v>DFG%</v>
      </c>
      <c r="B542">
        <f t="shared" si="17"/>
        <v>5609</v>
      </c>
      <c r="D542" s="1"/>
      <c r="E542" s="1" t="s">
        <v>62</v>
      </c>
      <c r="F542" s="1">
        <v>246</v>
      </c>
      <c r="G542" s="1">
        <v>12</v>
      </c>
      <c r="H542" s="1">
        <v>44.9</v>
      </c>
      <c r="I542" s="1"/>
      <c r="J542" s="1"/>
    </row>
    <row r="543" spans="1:10" x14ac:dyDescent="0.3">
      <c r="A543" t="str">
        <f t="shared" si="16"/>
        <v>DFG%</v>
      </c>
      <c r="B543">
        <f t="shared" si="17"/>
        <v>6909</v>
      </c>
      <c r="D543" s="1"/>
      <c r="E543" s="1" t="s">
        <v>114</v>
      </c>
      <c r="F543" s="1">
        <v>257</v>
      </c>
      <c r="G543" s="1">
        <v>11</v>
      </c>
      <c r="H543" s="1">
        <v>45.1</v>
      </c>
      <c r="I543" s="1"/>
      <c r="J543" s="1"/>
    </row>
    <row r="544" spans="1:10" x14ac:dyDescent="0.3">
      <c r="A544" t="str">
        <f t="shared" si="16"/>
        <v>DFG%</v>
      </c>
      <c r="B544">
        <f t="shared" si="17"/>
        <v>6209</v>
      </c>
      <c r="D544" s="1"/>
      <c r="E544" s="1" t="s">
        <v>81</v>
      </c>
      <c r="F544" s="1">
        <v>258</v>
      </c>
      <c r="G544" s="1">
        <v>10</v>
      </c>
      <c r="H544" s="1">
        <v>45.1</v>
      </c>
      <c r="I544" s="1"/>
      <c r="J544" s="1"/>
    </row>
    <row r="545" spans="1:10" x14ac:dyDescent="0.3">
      <c r="A545" t="str">
        <f t="shared" si="16"/>
        <v>DFG%</v>
      </c>
      <c r="B545">
        <f t="shared" si="17"/>
        <v>3209</v>
      </c>
      <c r="D545" s="1"/>
      <c r="E545" s="1" t="s">
        <v>127</v>
      </c>
      <c r="F545" s="1">
        <v>281</v>
      </c>
      <c r="G545" s="1">
        <v>13</v>
      </c>
      <c r="H545" s="1">
        <v>45.5</v>
      </c>
      <c r="I545" s="1"/>
      <c r="J545" s="1"/>
    </row>
    <row r="546" spans="1:10" x14ac:dyDescent="0.3">
      <c r="A546" t="str">
        <f t="shared" si="16"/>
        <v>DFG%</v>
      </c>
      <c r="B546">
        <f t="shared" si="17"/>
        <v>4209</v>
      </c>
      <c r="D546" s="1"/>
      <c r="E546" s="1" t="s">
        <v>123</v>
      </c>
      <c r="F546" s="1">
        <v>289</v>
      </c>
      <c r="G546" s="1">
        <v>12</v>
      </c>
      <c r="H546" s="1">
        <v>45.7</v>
      </c>
      <c r="I546" s="1"/>
      <c r="J546" s="1"/>
    </row>
    <row r="547" spans="1:10" x14ac:dyDescent="0.3">
      <c r="A547" t="str">
        <f t="shared" si="16"/>
        <v>DFG%</v>
      </c>
      <c r="B547">
        <f t="shared" si="17"/>
        <v>12009</v>
      </c>
      <c r="D547" s="1"/>
      <c r="E547" s="1" t="s">
        <v>135</v>
      </c>
      <c r="F547" s="1">
        <v>326</v>
      </c>
      <c r="G547" s="1">
        <v>8</v>
      </c>
      <c r="H547" s="1">
        <v>46.7</v>
      </c>
      <c r="I547" s="1"/>
      <c r="J547" s="1"/>
    </row>
    <row r="548" spans="1:10" x14ac:dyDescent="0.3">
      <c r="A548" t="str">
        <f t="shared" si="16"/>
        <v>FPG</v>
      </c>
      <c r="B548">
        <f t="shared" si="17"/>
        <v>3114</v>
      </c>
      <c r="D548" s="1" t="s">
        <v>155</v>
      </c>
      <c r="E548" s="1" t="s">
        <v>93</v>
      </c>
      <c r="F548" s="1">
        <v>1</v>
      </c>
      <c r="G548" s="1">
        <v>1</v>
      </c>
      <c r="H548" s="1">
        <v>11.5</v>
      </c>
      <c r="I548" s="1" t="s">
        <v>93</v>
      </c>
      <c r="J548" s="1">
        <v>11.5</v>
      </c>
    </row>
    <row r="549" spans="1:10" x14ac:dyDescent="0.3">
      <c r="A549" t="str">
        <f t="shared" si="16"/>
        <v>FPG</v>
      </c>
      <c r="B549">
        <f t="shared" si="17"/>
        <v>8414</v>
      </c>
      <c r="D549" s="1"/>
      <c r="E549" s="1" t="s">
        <v>109</v>
      </c>
      <c r="F549" s="1">
        <v>5</v>
      </c>
      <c r="G549" s="1">
        <v>1</v>
      </c>
      <c r="H549" s="1">
        <v>13.4</v>
      </c>
      <c r="I549" s="1"/>
      <c r="J549" s="1"/>
    </row>
    <row r="550" spans="1:10" x14ac:dyDescent="0.3">
      <c r="A550" t="str">
        <f t="shared" si="16"/>
        <v>FPG</v>
      </c>
      <c r="B550">
        <f t="shared" si="17"/>
        <v>2614</v>
      </c>
      <c r="D550" s="1"/>
      <c r="E550" s="1" t="s">
        <v>80</v>
      </c>
      <c r="F550" s="1">
        <v>7</v>
      </c>
      <c r="G550" s="1">
        <v>2</v>
      </c>
      <c r="H550" s="1">
        <v>13.5</v>
      </c>
      <c r="I550" s="1"/>
      <c r="J550" s="1"/>
    </row>
    <row r="551" spans="1:10" x14ac:dyDescent="0.3">
      <c r="A551" t="str">
        <f t="shared" si="16"/>
        <v>FPG</v>
      </c>
      <c r="B551">
        <f t="shared" si="17"/>
        <v>5014</v>
      </c>
      <c r="D551" s="1"/>
      <c r="E551" s="1" t="s">
        <v>110</v>
      </c>
      <c r="F551" s="1">
        <v>8</v>
      </c>
      <c r="G551" s="1">
        <v>1</v>
      </c>
      <c r="H551" s="1">
        <v>13.5</v>
      </c>
      <c r="I551" s="1"/>
      <c r="J551" s="1"/>
    </row>
    <row r="552" spans="1:10" x14ac:dyDescent="0.3">
      <c r="A552" t="str">
        <f t="shared" si="16"/>
        <v>FPG</v>
      </c>
      <c r="B552">
        <f t="shared" si="17"/>
        <v>3014</v>
      </c>
      <c r="D552" s="1"/>
      <c r="E552" s="1" t="s">
        <v>89</v>
      </c>
      <c r="F552" s="1">
        <v>11</v>
      </c>
      <c r="G552" s="1">
        <v>1</v>
      </c>
      <c r="H552" s="1">
        <v>13.7</v>
      </c>
      <c r="I552" s="1"/>
      <c r="J552" s="1"/>
    </row>
    <row r="553" spans="1:10" x14ac:dyDescent="0.3">
      <c r="A553" t="str">
        <f t="shared" si="16"/>
        <v>FPG</v>
      </c>
      <c r="B553">
        <f t="shared" si="17"/>
        <v>7914</v>
      </c>
      <c r="D553" s="1"/>
      <c r="E553" s="1" t="s">
        <v>103</v>
      </c>
      <c r="F553" s="1">
        <v>15</v>
      </c>
      <c r="G553" s="1">
        <v>1</v>
      </c>
      <c r="H553" s="1">
        <v>13.9</v>
      </c>
      <c r="I553" s="1"/>
      <c r="J553" s="1"/>
    </row>
    <row r="554" spans="1:10" x14ac:dyDescent="0.3">
      <c r="A554" t="str">
        <f t="shared" si="16"/>
        <v>FPG</v>
      </c>
      <c r="B554">
        <f t="shared" si="17"/>
        <v>1714</v>
      </c>
      <c r="D554" s="1"/>
      <c r="E554" s="1" t="s">
        <v>133</v>
      </c>
      <c r="F554" s="1">
        <v>20</v>
      </c>
      <c r="G554" s="1">
        <v>1</v>
      </c>
      <c r="H554" s="1">
        <v>14.3</v>
      </c>
      <c r="I554" s="1"/>
      <c r="J554" s="1"/>
    </row>
    <row r="555" spans="1:10" x14ac:dyDescent="0.3">
      <c r="A555" t="str">
        <f t="shared" si="16"/>
        <v>FPG</v>
      </c>
      <c r="B555">
        <f t="shared" si="17"/>
        <v>11314</v>
      </c>
      <c r="D555" s="1"/>
      <c r="E555" s="1" t="s">
        <v>126</v>
      </c>
      <c r="F555" s="1">
        <v>28</v>
      </c>
      <c r="G555" s="1">
        <v>3</v>
      </c>
      <c r="H555" s="1">
        <v>14.7</v>
      </c>
      <c r="I555" s="1"/>
      <c r="J555" s="1"/>
    </row>
    <row r="556" spans="1:10" x14ac:dyDescent="0.3">
      <c r="A556" t="str">
        <f t="shared" si="16"/>
        <v>FPG</v>
      </c>
      <c r="B556">
        <f t="shared" si="17"/>
        <v>3914</v>
      </c>
      <c r="D556" s="1"/>
      <c r="E556" s="1" t="s">
        <v>88</v>
      </c>
      <c r="F556" s="1">
        <v>29</v>
      </c>
      <c r="G556" s="1">
        <v>1</v>
      </c>
      <c r="H556" s="1">
        <v>14.8</v>
      </c>
      <c r="I556" s="1"/>
      <c r="J556" s="1"/>
    </row>
    <row r="557" spans="1:10" x14ac:dyDescent="0.3">
      <c r="A557" t="str">
        <f t="shared" si="16"/>
        <v>FPG</v>
      </c>
      <c r="B557">
        <f t="shared" si="17"/>
        <v>6314</v>
      </c>
      <c r="D557" s="1"/>
      <c r="E557" s="1" t="s">
        <v>122</v>
      </c>
      <c r="F557" s="1">
        <v>30</v>
      </c>
      <c r="G557" s="1">
        <v>1</v>
      </c>
      <c r="H557" s="1">
        <v>14.8</v>
      </c>
      <c r="I557" s="1"/>
      <c r="J557" s="1"/>
    </row>
    <row r="558" spans="1:10" x14ac:dyDescent="0.3">
      <c r="A558" t="str">
        <f t="shared" si="16"/>
        <v>FPG</v>
      </c>
      <c r="B558">
        <f t="shared" si="17"/>
        <v>7214</v>
      </c>
      <c r="D558" s="1"/>
      <c r="E558" s="1" t="s">
        <v>116</v>
      </c>
      <c r="F558" s="1">
        <v>34</v>
      </c>
      <c r="G558" s="1">
        <v>2</v>
      </c>
      <c r="H558" s="1">
        <v>14.9</v>
      </c>
      <c r="I558" s="1"/>
      <c r="J558" s="1"/>
    </row>
    <row r="559" spans="1:10" x14ac:dyDescent="0.3">
      <c r="A559" t="str">
        <f t="shared" si="16"/>
        <v>FPG</v>
      </c>
      <c r="B559">
        <f t="shared" si="17"/>
        <v>3314</v>
      </c>
      <c r="D559" s="1"/>
      <c r="E559" s="1" t="s">
        <v>91</v>
      </c>
      <c r="F559" s="1">
        <v>39</v>
      </c>
      <c r="G559" s="1">
        <v>3</v>
      </c>
      <c r="H559" s="1">
        <v>15</v>
      </c>
      <c r="I559" s="1"/>
      <c r="J559" s="1"/>
    </row>
    <row r="560" spans="1:10" x14ac:dyDescent="0.3">
      <c r="A560" t="str">
        <f t="shared" si="16"/>
        <v>FPG</v>
      </c>
      <c r="B560">
        <f t="shared" si="17"/>
        <v>8014</v>
      </c>
      <c r="D560" s="1"/>
      <c r="E560" s="1" t="s">
        <v>117</v>
      </c>
      <c r="F560" s="1">
        <v>43</v>
      </c>
      <c r="G560" s="1">
        <v>1</v>
      </c>
      <c r="H560" s="1">
        <v>15.1</v>
      </c>
      <c r="I560" s="1"/>
      <c r="J560" s="1"/>
    </row>
    <row r="561" spans="1:10" x14ac:dyDescent="0.3">
      <c r="A561" t="str">
        <f t="shared" si="16"/>
        <v>FPG</v>
      </c>
      <c r="B561">
        <f t="shared" si="17"/>
        <v>12514</v>
      </c>
      <c r="D561" s="1"/>
      <c r="E561" s="1" t="s">
        <v>95</v>
      </c>
      <c r="F561" s="1">
        <v>44</v>
      </c>
      <c r="G561" s="1">
        <v>5</v>
      </c>
      <c r="H561" s="1">
        <v>15.1</v>
      </c>
      <c r="I561" s="1"/>
      <c r="J561" s="1"/>
    </row>
    <row r="562" spans="1:10" x14ac:dyDescent="0.3">
      <c r="A562" t="str">
        <f t="shared" si="16"/>
        <v>FPG</v>
      </c>
      <c r="B562">
        <f t="shared" si="17"/>
        <v>4314</v>
      </c>
      <c r="D562" s="1"/>
      <c r="E562" s="1" t="s">
        <v>125</v>
      </c>
      <c r="F562" s="1">
        <v>49</v>
      </c>
      <c r="G562" s="1">
        <v>2</v>
      </c>
      <c r="H562" s="1">
        <v>15.2</v>
      </c>
      <c r="I562" s="1"/>
      <c r="J562" s="1"/>
    </row>
    <row r="563" spans="1:10" x14ac:dyDescent="0.3">
      <c r="A563" t="str">
        <f t="shared" si="16"/>
        <v>FPG</v>
      </c>
      <c r="B563">
        <f t="shared" si="17"/>
        <v>11614</v>
      </c>
      <c r="D563" s="1"/>
      <c r="E563" s="1" t="s">
        <v>121</v>
      </c>
      <c r="F563" s="1">
        <v>65</v>
      </c>
      <c r="G563" s="1">
        <v>2</v>
      </c>
      <c r="H563" s="1">
        <v>15.4</v>
      </c>
      <c r="I563" s="1"/>
      <c r="J563" s="1"/>
    </row>
    <row r="564" spans="1:10" x14ac:dyDescent="0.3">
      <c r="A564" t="str">
        <f t="shared" si="16"/>
        <v>FPG</v>
      </c>
      <c r="B564">
        <f t="shared" si="17"/>
        <v>4414</v>
      </c>
      <c r="D564" s="1"/>
      <c r="E564" s="1" t="s">
        <v>83</v>
      </c>
      <c r="F564" s="1">
        <v>75</v>
      </c>
      <c r="G564" s="1">
        <v>2</v>
      </c>
      <c r="H564" s="1">
        <v>15.6</v>
      </c>
      <c r="I564" s="1"/>
      <c r="J564" s="1"/>
    </row>
    <row r="565" spans="1:10" x14ac:dyDescent="0.3">
      <c r="A565" t="str">
        <f t="shared" si="16"/>
        <v>FPG</v>
      </c>
      <c r="B565">
        <f t="shared" si="17"/>
        <v>1514</v>
      </c>
      <c r="D565" s="1"/>
      <c r="E565" s="1" t="s">
        <v>124</v>
      </c>
      <c r="F565" s="1">
        <v>88</v>
      </c>
      <c r="G565" s="1">
        <v>4</v>
      </c>
      <c r="H565" s="1">
        <v>15.8</v>
      </c>
      <c r="I565" s="1"/>
      <c r="J565" s="1"/>
    </row>
    <row r="566" spans="1:10" x14ac:dyDescent="0.3">
      <c r="A566" t="str">
        <f t="shared" si="16"/>
        <v>FPG</v>
      </c>
      <c r="B566">
        <f t="shared" si="17"/>
        <v>7314</v>
      </c>
      <c r="D566" s="1"/>
      <c r="E566" s="1" t="s">
        <v>111</v>
      </c>
      <c r="F566" s="1">
        <v>90</v>
      </c>
      <c r="G566" s="1">
        <v>3</v>
      </c>
      <c r="H566" s="1">
        <v>15.9</v>
      </c>
      <c r="I566" s="1"/>
      <c r="J566" s="1"/>
    </row>
    <row r="567" spans="1:10" x14ac:dyDescent="0.3">
      <c r="A567" t="str">
        <f t="shared" si="16"/>
        <v>FPG</v>
      </c>
      <c r="B567">
        <f t="shared" si="17"/>
        <v>12714</v>
      </c>
      <c r="D567" s="1"/>
      <c r="E567" s="1" t="s">
        <v>13</v>
      </c>
      <c r="F567" s="1">
        <v>91</v>
      </c>
      <c r="G567" s="1">
        <v>5</v>
      </c>
      <c r="H567" s="1">
        <v>15.9</v>
      </c>
      <c r="I567" s="1"/>
      <c r="J567" s="1"/>
    </row>
    <row r="568" spans="1:10" x14ac:dyDescent="0.3">
      <c r="A568" t="str">
        <f t="shared" si="16"/>
        <v>FPG</v>
      </c>
      <c r="B568">
        <f t="shared" si="17"/>
        <v>5414</v>
      </c>
      <c r="D568" s="1"/>
      <c r="E568" s="1" t="s">
        <v>94</v>
      </c>
      <c r="F568" s="1">
        <v>92</v>
      </c>
      <c r="G568" s="1">
        <v>8</v>
      </c>
      <c r="H568" s="1">
        <v>15.9</v>
      </c>
      <c r="I568" s="1"/>
      <c r="J568" s="1"/>
    </row>
    <row r="569" spans="1:10" x14ac:dyDescent="0.3">
      <c r="A569" t="str">
        <f t="shared" si="16"/>
        <v>FPG</v>
      </c>
      <c r="B569">
        <f t="shared" si="17"/>
        <v>11514</v>
      </c>
      <c r="D569" s="1"/>
      <c r="E569" s="1" t="s">
        <v>97</v>
      </c>
      <c r="F569" s="1">
        <v>98</v>
      </c>
      <c r="G569" s="1">
        <v>9</v>
      </c>
      <c r="H569" s="1">
        <v>15.9</v>
      </c>
      <c r="I569" s="1"/>
      <c r="J569" s="1"/>
    </row>
    <row r="570" spans="1:10" x14ac:dyDescent="0.3">
      <c r="A570" t="str">
        <f t="shared" si="16"/>
        <v>FPG</v>
      </c>
      <c r="B570">
        <f t="shared" si="17"/>
        <v>11914</v>
      </c>
      <c r="D570" s="1"/>
      <c r="E570" s="1" t="s">
        <v>143</v>
      </c>
      <c r="F570" s="1">
        <v>104</v>
      </c>
      <c r="G570" s="1">
        <v>1</v>
      </c>
      <c r="H570" s="1">
        <v>16</v>
      </c>
      <c r="I570" s="1"/>
      <c r="J570" s="1"/>
    </row>
    <row r="571" spans="1:10" x14ac:dyDescent="0.3">
      <c r="A571" t="str">
        <f t="shared" si="16"/>
        <v>FPG</v>
      </c>
      <c r="B571">
        <f t="shared" si="17"/>
        <v>2214</v>
      </c>
      <c r="D571" s="1"/>
      <c r="E571" s="1" t="s">
        <v>119</v>
      </c>
      <c r="F571" s="1">
        <v>105</v>
      </c>
      <c r="G571" s="1">
        <v>6</v>
      </c>
      <c r="H571" s="1">
        <v>16.100000000000001</v>
      </c>
      <c r="I571" s="1"/>
      <c r="J571" s="1"/>
    </row>
    <row r="572" spans="1:10" x14ac:dyDescent="0.3">
      <c r="A572" t="str">
        <f t="shared" si="16"/>
        <v>FPG</v>
      </c>
      <c r="B572">
        <f t="shared" si="17"/>
        <v>9114</v>
      </c>
      <c r="D572" s="1"/>
      <c r="E572" s="1" t="s">
        <v>99</v>
      </c>
      <c r="F572" s="1">
        <v>114</v>
      </c>
      <c r="G572" s="1">
        <v>3</v>
      </c>
      <c r="H572" s="1">
        <v>16.2</v>
      </c>
      <c r="I572" s="1"/>
      <c r="J572" s="1"/>
    </row>
    <row r="573" spans="1:10" x14ac:dyDescent="0.3">
      <c r="A573" t="str">
        <f t="shared" si="16"/>
        <v>FPG</v>
      </c>
      <c r="B573">
        <f t="shared" si="17"/>
        <v>1914</v>
      </c>
      <c r="D573" s="1"/>
      <c r="E573" s="1" t="s">
        <v>112</v>
      </c>
      <c r="F573" s="1">
        <v>119</v>
      </c>
      <c r="G573" s="1">
        <v>10</v>
      </c>
      <c r="H573" s="1">
        <v>16.2</v>
      </c>
      <c r="I573" s="1"/>
      <c r="J573" s="1"/>
    </row>
    <row r="574" spans="1:10" x14ac:dyDescent="0.3">
      <c r="A574" t="str">
        <f t="shared" si="16"/>
        <v>FPG</v>
      </c>
      <c r="B574">
        <f t="shared" si="17"/>
        <v>4014</v>
      </c>
      <c r="D574" s="1"/>
      <c r="E574" s="1" t="s">
        <v>105</v>
      </c>
      <c r="F574" s="1">
        <v>122</v>
      </c>
      <c r="G574" s="1">
        <v>11</v>
      </c>
      <c r="H574" s="1">
        <v>16.3</v>
      </c>
      <c r="I574" s="1"/>
      <c r="J574" s="1"/>
    </row>
    <row r="575" spans="1:10" x14ac:dyDescent="0.3">
      <c r="A575" t="str">
        <f t="shared" si="16"/>
        <v>FPG</v>
      </c>
      <c r="B575">
        <f t="shared" si="17"/>
        <v>2314</v>
      </c>
      <c r="D575" s="1"/>
      <c r="E575" s="1" t="s">
        <v>79</v>
      </c>
      <c r="F575" s="1">
        <v>122</v>
      </c>
      <c r="G575" s="1">
        <v>8</v>
      </c>
      <c r="H575" s="1">
        <v>16.3</v>
      </c>
      <c r="I575" s="1"/>
      <c r="J575" s="1"/>
    </row>
    <row r="576" spans="1:10" x14ac:dyDescent="0.3">
      <c r="A576" t="str">
        <f t="shared" si="16"/>
        <v>FPG</v>
      </c>
      <c r="B576">
        <f t="shared" si="17"/>
        <v>9514</v>
      </c>
      <c r="D576" s="1"/>
      <c r="E576" s="1" t="s">
        <v>85</v>
      </c>
      <c r="F576" s="1">
        <v>130</v>
      </c>
      <c r="G576" s="1">
        <v>7</v>
      </c>
      <c r="H576" s="1">
        <v>16.3</v>
      </c>
      <c r="I576" s="1"/>
      <c r="J576" s="1"/>
    </row>
    <row r="577" spans="1:10" x14ac:dyDescent="0.3">
      <c r="A577" t="str">
        <f t="shared" si="16"/>
        <v>FPG</v>
      </c>
      <c r="B577">
        <f t="shared" si="17"/>
        <v>2514</v>
      </c>
      <c r="D577" s="1"/>
      <c r="E577" s="1" t="s">
        <v>92</v>
      </c>
      <c r="F577" s="1">
        <v>135</v>
      </c>
      <c r="G577" s="1">
        <v>5</v>
      </c>
      <c r="H577" s="1">
        <v>16.399999999999999</v>
      </c>
      <c r="I577" s="1"/>
      <c r="J577" s="1"/>
    </row>
    <row r="578" spans="1:10" x14ac:dyDescent="0.3">
      <c r="A578" t="str">
        <f t="shared" ref="A578:A641" si="18">IF(NOT(D578=""),INDEX(statAbbr,MATCH(D578,statOfficial,0),1),A577)</f>
        <v>FPG</v>
      </c>
      <c r="B578">
        <f t="shared" ref="B578:B641" si="19">INDEX(statID,MATCH(A578,statAbbr,0),1)+INDEX(teamID,MATCH(E578,teamRawName,0))</f>
        <v>2914</v>
      </c>
      <c r="D578" s="1"/>
      <c r="E578" s="1" t="s">
        <v>96</v>
      </c>
      <c r="F578" s="1">
        <v>139</v>
      </c>
      <c r="G578" s="1">
        <v>4</v>
      </c>
      <c r="H578" s="1">
        <v>16.399999999999999</v>
      </c>
      <c r="I578" s="1"/>
      <c r="J578" s="1"/>
    </row>
    <row r="579" spans="1:10" x14ac:dyDescent="0.3">
      <c r="A579" t="str">
        <f t="shared" si="18"/>
        <v>FPG</v>
      </c>
      <c r="B579">
        <f t="shared" si="19"/>
        <v>6914</v>
      </c>
      <c r="D579" s="1"/>
      <c r="E579" s="1" t="s">
        <v>114</v>
      </c>
      <c r="F579" s="1">
        <v>140</v>
      </c>
      <c r="G579" s="1">
        <v>5</v>
      </c>
      <c r="H579" s="1">
        <v>16.399999999999999</v>
      </c>
      <c r="I579" s="1"/>
      <c r="J579" s="1"/>
    </row>
    <row r="580" spans="1:10" x14ac:dyDescent="0.3">
      <c r="A580" t="str">
        <f t="shared" si="18"/>
        <v>FPG</v>
      </c>
      <c r="B580">
        <f t="shared" si="19"/>
        <v>3214</v>
      </c>
      <c r="D580" s="1"/>
      <c r="E580" s="1" t="s">
        <v>127</v>
      </c>
      <c r="F580" s="1">
        <v>148</v>
      </c>
      <c r="G580" s="1">
        <v>7</v>
      </c>
      <c r="H580" s="1">
        <v>16.5</v>
      </c>
      <c r="I580" s="1"/>
      <c r="J580" s="1"/>
    </row>
    <row r="581" spans="1:10" x14ac:dyDescent="0.3">
      <c r="A581" t="str">
        <f t="shared" si="18"/>
        <v>FPG</v>
      </c>
      <c r="B581">
        <f t="shared" si="19"/>
        <v>614</v>
      </c>
      <c r="D581" s="1"/>
      <c r="E581" s="1" t="s">
        <v>100</v>
      </c>
      <c r="F581" s="1">
        <v>149</v>
      </c>
      <c r="G581" s="1">
        <v>8</v>
      </c>
      <c r="H581" s="1">
        <v>16.5</v>
      </c>
      <c r="I581" s="1"/>
      <c r="J581" s="1"/>
    </row>
    <row r="582" spans="1:10" x14ac:dyDescent="0.3">
      <c r="A582" t="str">
        <f t="shared" si="18"/>
        <v>FPG</v>
      </c>
      <c r="B582">
        <f t="shared" si="19"/>
        <v>4214</v>
      </c>
      <c r="D582" s="1"/>
      <c r="E582" s="1" t="s">
        <v>123</v>
      </c>
      <c r="F582" s="1">
        <v>150</v>
      </c>
      <c r="G582" s="1">
        <v>5</v>
      </c>
      <c r="H582" s="1">
        <v>16.5</v>
      </c>
      <c r="I582" s="1"/>
      <c r="J582" s="1"/>
    </row>
    <row r="583" spans="1:10" x14ac:dyDescent="0.3">
      <c r="A583" t="str">
        <f t="shared" si="18"/>
        <v>FPG</v>
      </c>
      <c r="B583">
        <f t="shared" si="19"/>
        <v>4914</v>
      </c>
      <c r="D583" s="1"/>
      <c r="E583" s="1" t="s">
        <v>108</v>
      </c>
      <c r="F583" s="1">
        <v>151</v>
      </c>
      <c r="G583" s="1">
        <v>13</v>
      </c>
      <c r="H583" s="1">
        <v>16.5</v>
      </c>
      <c r="I583" s="1"/>
      <c r="J583" s="1"/>
    </row>
    <row r="584" spans="1:10" x14ac:dyDescent="0.3">
      <c r="A584" t="str">
        <f t="shared" si="18"/>
        <v>FPG</v>
      </c>
      <c r="B584">
        <f t="shared" si="19"/>
        <v>1614</v>
      </c>
      <c r="D584" s="1"/>
      <c r="E584" s="1" t="s">
        <v>137</v>
      </c>
      <c r="F584" s="1">
        <v>153</v>
      </c>
      <c r="G584" s="1">
        <v>5</v>
      </c>
      <c r="H584" s="1">
        <v>16.600000000000001</v>
      </c>
      <c r="I584" s="1"/>
      <c r="J584" s="1"/>
    </row>
    <row r="585" spans="1:10" x14ac:dyDescent="0.3">
      <c r="A585" t="str">
        <f t="shared" si="18"/>
        <v>FPG</v>
      </c>
      <c r="B585">
        <f t="shared" si="19"/>
        <v>914</v>
      </c>
      <c r="D585" s="1"/>
      <c r="E585" s="1" t="s">
        <v>90</v>
      </c>
      <c r="F585" s="1">
        <v>156</v>
      </c>
      <c r="G585" s="1">
        <v>6</v>
      </c>
      <c r="H585" s="1">
        <v>16.600000000000001</v>
      </c>
      <c r="I585" s="1"/>
      <c r="J585" s="1"/>
    </row>
    <row r="586" spans="1:10" x14ac:dyDescent="0.3">
      <c r="A586" t="str">
        <f t="shared" si="18"/>
        <v>FPG</v>
      </c>
      <c r="B586">
        <f t="shared" si="19"/>
        <v>10314</v>
      </c>
      <c r="D586" s="1"/>
      <c r="E586" s="1" t="s">
        <v>134</v>
      </c>
      <c r="F586" s="1">
        <v>162</v>
      </c>
      <c r="G586" s="1">
        <v>7</v>
      </c>
      <c r="H586" s="1">
        <v>16.600000000000001</v>
      </c>
      <c r="I586" s="1"/>
      <c r="J586" s="1"/>
    </row>
    <row r="587" spans="1:10" x14ac:dyDescent="0.3">
      <c r="A587" t="str">
        <f t="shared" si="18"/>
        <v>FPG</v>
      </c>
      <c r="B587">
        <f t="shared" si="19"/>
        <v>8214</v>
      </c>
      <c r="D587" s="1"/>
      <c r="E587" s="1" t="s">
        <v>131</v>
      </c>
      <c r="F587" s="1">
        <v>164</v>
      </c>
      <c r="G587" s="1">
        <v>7</v>
      </c>
      <c r="H587" s="1">
        <v>16.7</v>
      </c>
      <c r="I587" s="1"/>
      <c r="J587" s="1"/>
    </row>
    <row r="588" spans="1:10" x14ac:dyDescent="0.3">
      <c r="A588" t="str">
        <f t="shared" si="18"/>
        <v>FPG</v>
      </c>
      <c r="B588">
        <f t="shared" si="19"/>
        <v>2114</v>
      </c>
      <c r="D588" s="1"/>
      <c r="E588" s="1" t="s">
        <v>136</v>
      </c>
      <c r="F588" s="1">
        <v>165</v>
      </c>
      <c r="G588" s="1">
        <v>4</v>
      </c>
      <c r="H588" s="1">
        <v>16.7</v>
      </c>
      <c r="I588" s="1"/>
      <c r="J588" s="1"/>
    </row>
    <row r="589" spans="1:10" x14ac:dyDescent="0.3">
      <c r="A589" t="str">
        <f t="shared" si="18"/>
        <v>FPG</v>
      </c>
      <c r="B589">
        <f t="shared" si="19"/>
        <v>1414</v>
      </c>
      <c r="D589" s="1"/>
      <c r="E589" s="1" t="s">
        <v>102</v>
      </c>
      <c r="F589" s="1">
        <v>190</v>
      </c>
      <c r="G589" s="1">
        <v>5</v>
      </c>
      <c r="H589" s="1">
        <v>17</v>
      </c>
      <c r="I589" s="1"/>
      <c r="J589" s="1"/>
    </row>
    <row r="590" spans="1:10" x14ac:dyDescent="0.3">
      <c r="A590" t="str">
        <f t="shared" si="18"/>
        <v>FPG</v>
      </c>
      <c r="B590">
        <f t="shared" si="19"/>
        <v>3614</v>
      </c>
      <c r="D590" s="1"/>
      <c r="E590" s="1" t="s">
        <v>129</v>
      </c>
      <c r="F590" s="1">
        <v>191</v>
      </c>
      <c r="G590" s="1">
        <v>6</v>
      </c>
      <c r="H590" s="1">
        <v>17</v>
      </c>
      <c r="I590" s="1"/>
      <c r="J590" s="1"/>
    </row>
    <row r="591" spans="1:10" x14ac:dyDescent="0.3">
      <c r="A591" t="str">
        <f t="shared" si="18"/>
        <v>FPG</v>
      </c>
      <c r="B591">
        <f t="shared" si="19"/>
        <v>1314</v>
      </c>
      <c r="D591" s="1"/>
      <c r="E591" s="1" t="s">
        <v>82</v>
      </c>
      <c r="F591" s="1">
        <v>198</v>
      </c>
      <c r="G591" s="1">
        <v>6</v>
      </c>
      <c r="H591" s="1">
        <v>17</v>
      </c>
      <c r="I591" s="1"/>
      <c r="J591" s="1"/>
    </row>
    <row r="592" spans="1:10" x14ac:dyDescent="0.3">
      <c r="A592" t="str">
        <f t="shared" si="18"/>
        <v>FPG</v>
      </c>
      <c r="B592">
        <f t="shared" si="19"/>
        <v>12914</v>
      </c>
      <c r="D592" s="1"/>
      <c r="E592" s="1" t="s">
        <v>132</v>
      </c>
      <c r="F592" s="1">
        <v>206</v>
      </c>
      <c r="G592" s="1">
        <v>11</v>
      </c>
      <c r="H592" s="1">
        <v>17.100000000000001</v>
      </c>
      <c r="I592" s="1"/>
      <c r="J592" s="1"/>
    </row>
    <row r="593" spans="1:10" x14ac:dyDescent="0.3">
      <c r="A593" t="str">
        <f t="shared" si="18"/>
        <v>FPG</v>
      </c>
      <c r="B593">
        <f t="shared" si="19"/>
        <v>12414</v>
      </c>
      <c r="D593" s="1"/>
      <c r="E593" s="1" t="s">
        <v>128</v>
      </c>
      <c r="F593" s="1">
        <v>214</v>
      </c>
      <c r="G593" s="1">
        <v>2</v>
      </c>
      <c r="H593" s="1">
        <v>17.2</v>
      </c>
      <c r="I593" s="1"/>
      <c r="J593" s="1"/>
    </row>
    <row r="594" spans="1:10" x14ac:dyDescent="0.3">
      <c r="A594" t="str">
        <f t="shared" si="18"/>
        <v>FPG</v>
      </c>
      <c r="B594">
        <f t="shared" si="19"/>
        <v>4814</v>
      </c>
      <c r="D594" s="1"/>
      <c r="E594" s="1" t="s">
        <v>104</v>
      </c>
      <c r="F594" s="1">
        <v>217</v>
      </c>
      <c r="G594" s="1">
        <v>6</v>
      </c>
      <c r="H594" s="1">
        <v>17.3</v>
      </c>
      <c r="I594" s="1"/>
      <c r="J594" s="1"/>
    </row>
    <row r="595" spans="1:10" x14ac:dyDescent="0.3">
      <c r="A595" t="str">
        <f t="shared" si="18"/>
        <v>FPG</v>
      </c>
      <c r="B595">
        <f t="shared" si="19"/>
        <v>6714</v>
      </c>
      <c r="D595" s="1"/>
      <c r="E595" s="1" t="s">
        <v>118</v>
      </c>
      <c r="F595" s="1">
        <v>221</v>
      </c>
      <c r="G595" s="1">
        <v>9</v>
      </c>
      <c r="H595" s="1">
        <v>17.3</v>
      </c>
      <c r="I595" s="1"/>
      <c r="J595" s="1"/>
    </row>
    <row r="596" spans="1:10" x14ac:dyDescent="0.3">
      <c r="A596" t="str">
        <f t="shared" si="18"/>
        <v>FPG</v>
      </c>
      <c r="B596">
        <f t="shared" si="19"/>
        <v>214</v>
      </c>
      <c r="D596" s="1"/>
      <c r="E596" s="1" t="s">
        <v>98</v>
      </c>
      <c r="F596" s="1">
        <v>223</v>
      </c>
      <c r="G596" s="1">
        <v>3</v>
      </c>
      <c r="H596" s="1">
        <v>17.3</v>
      </c>
      <c r="I596" s="1"/>
      <c r="J596" s="1"/>
    </row>
    <row r="597" spans="1:10" x14ac:dyDescent="0.3">
      <c r="A597" t="str">
        <f t="shared" si="18"/>
        <v>FPG</v>
      </c>
      <c r="B597">
        <f t="shared" si="19"/>
        <v>5614</v>
      </c>
      <c r="D597" s="1"/>
      <c r="E597" s="1" t="s">
        <v>62</v>
      </c>
      <c r="F597" s="1">
        <v>229</v>
      </c>
      <c r="G597" s="1">
        <v>10</v>
      </c>
      <c r="H597" s="1">
        <v>17.399999999999999</v>
      </c>
      <c r="I597" s="1"/>
      <c r="J597" s="1"/>
    </row>
    <row r="598" spans="1:10" x14ac:dyDescent="0.3">
      <c r="A598" t="str">
        <f t="shared" si="18"/>
        <v>FPG</v>
      </c>
      <c r="B598">
        <f t="shared" si="19"/>
        <v>3514</v>
      </c>
      <c r="D598" s="1"/>
      <c r="E598" s="1" t="s">
        <v>87</v>
      </c>
      <c r="F598" s="1">
        <v>234</v>
      </c>
      <c r="G598" s="1">
        <v>8</v>
      </c>
      <c r="H598" s="1">
        <v>17.5</v>
      </c>
      <c r="I598" s="1"/>
      <c r="J598" s="1"/>
    </row>
    <row r="599" spans="1:10" x14ac:dyDescent="0.3">
      <c r="A599" t="str">
        <f t="shared" si="18"/>
        <v>FPG</v>
      </c>
      <c r="B599">
        <f t="shared" si="19"/>
        <v>5514</v>
      </c>
      <c r="D599" s="1"/>
      <c r="E599" s="1" t="s">
        <v>86</v>
      </c>
      <c r="F599" s="1">
        <v>235</v>
      </c>
      <c r="G599" s="1">
        <v>9</v>
      </c>
      <c r="H599" s="1">
        <v>17.5</v>
      </c>
      <c r="I599" s="1"/>
      <c r="J599" s="1"/>
    </row>
    <row r="600" spans="1:10" x14ac:dyDescent="0.3">
      <c r="A600" t="str">
        <f t="shared" si="18"/>
        <v>FPG</v>
      </c>
      <c r="B600">
        <f t="shared" si="19"/>
        <v>1214</v>
      </c>
      <c r="D600" s="1"/>
      <c r="E600" s="1" t="s">
        <v>130</v>
      </c>
      <c r="F600" s="1">
        <v>236</v>
      </c>
      <c r="G600" s="1">
        <v>9</v>
      </c>
      <c r="H600" s="1">
        <v>17.5</v>
      </c>
      <c r="I600" s="1"/>
      <c r="J600" s="1"/>
    </row>
    <row r="601" spans="1:10" x14ac:dyDescent="0.3">
      <c r="A601" t="str">
        <f t="shared" si="18"/>
        <v>FPG</v>
      </c>
      <c r="B601">
        <f t="shared" si="19"/>
        <v>4714</v>
      </c>
      <c r="D601" s="1"/>
      <c r="E601" s="1" t="s">
        <v>107</v>
      </c>
      <c r="F601" s="1">
        <v>243</v>
      </c>
      <c r="G601" s="1">
        <v>10</v>
      </c>
      <c r="H601" s="1">
        <v>17.600000000000001</v>
      </c>
      <c r="I601" s="1"/>
      <c r="J601" s="1"/>
    </row>
    <row r="602" spans="1:10" x14ac:dyDescent="0.3">
      <c r="A602" t="str">
        <f t="shared" si="18"/>
        <v>FPG</v>
      </c>
      <c r="B602">
        <f t="shared" si="19"/>
        <v>6214</v>
      </c>
      <c r="D602" s="1"/>
      <c r="E602" s="1" t="s">
        <v>81</v>
      </c>
      <c r="F602" s="1">
        <v>245</v>
      </c>
      <c r="G602" s="1">
        <v>13</v>
      </c>
      <c r="H602" s="1">
        <v>17.600000000000001</v>
      </c>
      <c r="I602" s="1"/>
      <c r="J602" s="1"/>
    </row>
    <row r="603" spans="1:10" x14ac:dyDescent="0.3">
      <c r="A603" t="str">
        <f t="shared" si="18"/>
        <v>FPG</v>
      </c>
      <c r="B603">
        <f t="shared" si="19"/>
        <v>4614</v>
      </c>
      <c r="D603" s="1"/>
      <c r="E603" s="1" t="s">
        <v>101</v>
      </c>
      <c r="F603" s="1">
        <v>246</v>
      </c>
      <c r="G603" s="1">
        <v>11</v>
      </c>
      <c r="H603" s="1">
        <v>17.600000000000001</v>
      </c>
      <c r="I603" s="1"/>
      <c r="J603" s="1"/>
    </row>
    <row r="604" spans="1:10" x14ac:dyDescent="0.3">
      <c r="A604" t="str">
        <f t="shared" si="18"/>
        <v>FPG</v>
      </c>
      <c r="B604">
        <f t="shared" si="19"/>
        <v>2714</v>
      </c>
      <c r="D604" s="1"/>
      <c r="E604" s="1" t="s">
        <v>7</v>
      </c>
      <c r="F604" s="1">
        <v>253</v>
      </c>
      <c r="G604" s="1">
        <v>12</v>
      </c>
      <c r="H604" s="1">
        <v>17.7</v>
      </c>
      <c r="I604" s="1"/>
      <c r="J604" s="1"/>
    </row>
    <row r="605" spans="1:10" x14ac:dyDescent="0.3">
      <c r="A605" t="str">
        <f t="shared" si="18"/>
        <v>FPG</v>
      </c>
      <c r="B605">
        <f t="shared" si="19"/>
        <v>2814</v>
      </c>
      <c r="D605" s="1"/>
      <c r="E605" s="1" t="s">
        <v>106</v>
      </c>
      <c r="F605" s="1">
        <v>259</v>
      </c>
      <c r="G605" s="1">
        <v>13</v>
      </c>
      <c r="H605" s="1">
        <v>17.8</v>
      </c>
      <c r="I605" s="1"/>
      <c r="J605" s="1"/>
    </row>
    <row r="606" spans="1:10" x14ac:dyDescent="0.3">
      <c r="A606" t="str">
        <f t="shared" si="18"/>
        <v>FPG</v>
      </c>
      <c r="B606">
        <f t="shared" si="19"/>
        <v>5814</v>
      </c>
      <c r="D606" s="1"/>
      <c r="E606" s="1" t="s">
        <v>139</v>
      </c>
      <c r="F606" s="1">
        <v>265</v>
      </c>
      <c r="G606" s="1">
        <v>3</v>
      </c>
      <c r="H606" s="1">
        <v>17.899999999999999</v>
      </c>
      <c r="I606" s="1"/>
      <c r="J606" s="1"/>
    </row>
    <row r="607" spans="1:10" x14ac:dyDescent="0.3">
      <c r="A607" t="str">
        <f t="shared" si="18"/>
        <v>FPG</v>
      </c>
      <c r="B607">
        <f t="shared" si="19"/>
        <v>11414</v>
      </c>
      <c r="D607" s="1"/>
      <c r="E607" s="1" t="s">
        <v>138</v>
      </c>
      <c r="F607" s="1">
        <v>285</v>
      </c>
      <c r="G607" s="1">
        <v>6</v>
      </c>
      <c r="H607" s="1">
        <v>18.3</v>
      </c>
      <c r="I607" s="1"/>
      <c r="J607" s="1"/>
    </row>
    <row r="608" spans="1:10" x14ac:dyDescent="0.3">
      <c r="A608" t="str">
        <f t="shared" si="18"/>
        <v>FPG</v>
      </c>
      <c r="B608">
        <f t="shared" si="19"/>
        <v>12114</v>
      </c>
      <c r="D608" s="1"/>
      <c r="E608" s="1" t="s">
        <v>140</v>
      </c>
      <c r="F608" s="1">
        <v>294</v>
      </c>
      <c r="G608" s="1">
        <v>7</v>
      </c>
      <c r="H608" s="1">
        <v>18.399999999999999</v>
      </c>
      <c r="I608" s="1"/>
      <c r="J608" s="1"/>
    </row>
    <row r="609" spans="1:10" x14ac:dyDescent="0.3">
      <c r="A609" t="str">
        <f t="shared" si="18"/>
        <v>FPG</v>
      </c>
      <c r="B609">
        <f t="shared" si="19"/>
        <v>5714</v>
      </c>
      <c r="D609" s="1"/>
      <c r="E609" s="1" t="s">
        <v>120</v>
      </c>
      <c r="F609" s="1">
        <v>296</v>
      </c>
      <c r="G609" s="1">
        <v>10</v>
      </c>
      <c r="H609" s="1">
        <v>18.399999999999999</v>
      </c>
      <c r="I609" s="1"/>
      <c r="J609" s="1"/>
    </row>
    <row r="610" spans="1:10" x14ac:dyDescent="0.3">
      <c r="A610" t="str">
        <f t="shared" si="18"/>
        <v>FPG</v>
      </c>
      <c r="B610">
        <f t="shared" si="19"/>
        <v>12014</v>
      </c>
      <c r="D610" s="1"/>
      <c r="E610" s="1" t="s">
        <v>135</v>
      </c>
      <c r="F610" s="1">
        <v>300</v>
      </c>
      <c r="G610" s="1">
        <v>10</v>
      </c>
      <c r="H610" s="1">
        <v>18.5</v>
      </c>
      <c r="I610" s="1"/>
      <c r="J610" s="1"/>
    </row>
    <row r="611" spans="1:10" x14ac:dyDescent="0.3">
      <c r="A611" t="str">
        <f t="shared" si="18"/>
        <v>FPG</v>
      </c>
      <c r="B611">
        <f t="shared" si="19"/>
        <v>8814</v>
      </c>
      <c r="D611" s="1"/>
      <c r="E611" s="1" t="s">
        <v>141</v>
      </c>
      <c r="F611" s="1">
        <v>309</v>
      </c>
      <c r="G611" s="1">
        <v>6</v>
      </c>
      <c r="H611" s="1">
        <v>18.899999999999999</v>
      </c>
      <c r="I611" s="1"/>
      <c r="J611" s="1"/>
    </row>
    <row r="612" spans="1:10" x14ac:dyDescent="0.3">
      <c r="A612" t="str">
        <f t="shared" si="18"/>
        <v>FPG</v>
      </c>
      <c r="B612">
        <f t="shared" si="19"/>
        <v>9914</v>
      </c>
      <c r="D612" s="1"/>
      <c r="E612" s="1" t="s">
        <v>113</v>
      </c>
      <c r="F612" s="1">
        <v>313</v>
      </c>
      <c r="G612" s="1">
        <v>9</v>
      </c>
      <c r="H612" s="1">
        <v>19.100000000000001</v>
      </c>
      <c r="I612" s="1"/>
      <c r="J612" s="1"/>
    </row>
    <row r="613" spans="1:10" x14ac:dyDescent="0.3">
      <c r="A613" t="str">
        <f t="shared" si="18"/>
        <v>FPG</v>
      </c>
      <c r="B613">
        <f t="shared" si="19"/>
        <v>4514</v>
      </c>
      <c r="D613" s="1"/>
      <c r="E613" s="1" t="s">
        <v>84</v>
      </c>
      <c r="F613" s="1">
        <v>323</v>
      </c>
      <c r="G613" s="1">
        <v>11</v>
      </c>
      <c r="H613" s="1">
        <v>19.399999999999999</v>
      </c>
      <c r="I613" s="1"/>
      <c r="J613" s="1"/>
    </row>
    <row r="614" spans="1:10" x14ac:dyDescent="0.3">
      <c r="A614" t="str">
        <f t="shared" si="18"/>
        <v>FPG</v>
      </c>
      <c r="B614">
        <f t="shared" si="19"/>
        <v>12814</v>
      </c>
      <c r="D614" s="1"/>
      <c r="E614" s="1" t="s">
        <v>142</v>
      </c>
      <c r="F614" s="1">
        <v>324</v>
      </c>
      <c r="G614" s="1">
        <v>11</v>
      </c>
      <c r="H614" s="1">
        <v>19.399999999999999</v>
      </c>
      <c r="I614" s="1"/>
      <c r="J614" s="1"/>
    </row>
    <row r="615" spans="1:10" x14ac:dyDescent="0.3">
      <c r="A615" t="str">
        <f t="shared" si="18"/>
        <v>FPG</v>
      </c>
      <c r="B615">
        <f t="shared" si="19"/>
        <v>3714</v>
      </c>
      <c r="D615" s="1"/>
      <c r="E615" s="1" t="s">
        <v>115</v>
      </c>
      <c r="F615" s="1">
        <v>335</v>
      </c>
      <c r="G615" s="1">
        <v>12</v>
      </c>
      <c r="H615" s="1">
        <v>19.8</v>
      </c>
      <c r="I615" s="1"/>
      <c r="J615" s="1"/>
    </row>
    <row r="616" spans="1:10" x14ac:dyDescent="0.3">
      <c r="A616" t="str">
        <f t="shared" si="18"/>
        <v>FTA</v>
      </c>
      <c r="B616">
        <f t="shared" si="19"/>
        <v>5816</v>
      </c>
      <c r="D616" s="1" t="s">
        <v>156</v>
      </c>
      <c r="E616" s="1" t="s">
        <v>139</v>
      </c>
      <c r="F616" s="1">
        <v>5</v>
      </c>
      <c r="G616" s="1">
        <v>1</v>
      </c>
      <c r="H616" s="1">
        <v>25.8</v>
      </c>
      <c r="I616" s="1" t="s">
        <v>157</v>
      </c>
      <c r="J616" s="1">
        <v>26.8</v>
      </c>
    </row>
    <row r="617" spans="1:10" x14ac:dyDescent="0.3">
      <c r="A617" t="str">
        <f t="shared" si="18"/>
        <v>FTA</v>
      </c>
      <c r="B617">
        <f t="shared" si="19"/>
        <v>5716</v>
      </c>
      <c r="D617" s="1"/>
      <c r="E617" s="1" t="s">
        <v>120</v>
      </c>
      <c r="F617" s="1">
        <v>7</v>
      </c>
      <c r="G617" s="1">
        <v>2</v>
      </c>
      <c r="H617" s="1">
        <v>25.1</v>
      </c>
      <c r="I617" s="1"/>
      <c r="J617" s="1"/>
    </row>
    <row r="618" spans="1:10" x14ac:dyDescent="0.3">
      <c r="A618" t="str">
        <f t="shared" si="18"/>
        <v>FTA</v>
      </c>
      <c r="B618">
        <f t="shared" si="19"/>
        <v>3616</v>
      </c>
      <c r="D618" s="1"/>
      <c r="E618" s="1" t="s">
        <v>129</v>
      </c>
      <c r="F618" s="1">
        <v>8</v>
      </c>
      <c r="G618" s="1">
        <v>3</v>
      </c>
      <c r="H618" s="1">
        <v>24.7</v>
      </c>
      <c r="I618" s="1"/>
      <c r="J618" s="1"/>
    </row>
    <row r="619" spans="1:10" x14ac:dyDescent="0.3">
      <c r="A619" t="str">
        <f t="shared" si="18"/>
        <v>FTA</v>
      </c>
      <c r="B619">
        <f t="shared" si="19"/>
        <v>4616</v>
      </c>
      <c r="D619" s="1"/>
      <c r="E619" s="1" t="s">
        <v>101</v>
      </c>
      <c r="F619" s="1">
        <v>9</v>
      </c>
      <c r="G619" s="1">
        <v>1</v>
      </c>
      <c r="H619" s="1">
        <v>24.2</v>
      </c>
      <c r="I619" s="1"/>
      <c r="J619" s="1"/>
    </row>
    <row r="620" spans="1:10" x14ac:dyDescent="0.3">
      <c r="A620" t="str">
        <f t="shared" si="18"/>
        <v>FTA</v>
      </c>
      <c r="B620">
        <f t="shared" si="19"/>
        <v>3016</v>
      </c>
      <c r="D620" s="1"/>
      <c r="E620" s="1" t="s">
        <v>89</v>
      </c>
      <c r="F620" s="1">
        <v>11</v>
      </c>
      <c r="G620" s="1">
        <v>1</v>
      </c>
      <c r="H620" s="1">
        <v>24.1</v>
      </c>
      <c r="I620" s="1"/>
      <c r="J620" s="1"/>
    </row>
    <row r="621" spans="1:10" x14ac:dyDescent="0.3">
      <c r="A621" t="str">
        <f t="shared" si="18"/>
        <v>FTA</v>
      </c>
      <c r="B621">
        <f t="shared" si="19"/>
        <v>12716</v>
      </c>
      <c r="D621" s="1"/>
      <c r="E621" s="1" t="s">
        <v>13</v>
      </c>
      <c r="F621" s="1">
        <v>12</v>
      </c>
      <c r="G621" s="1">
        <v>2</v>
      </c>
      <c r="H621" s="1">
        <v>23.8</v>
      </c>
      <c r="I621" s="1"/>
      <c r="J621" s="1"/>
    </row>
    <row r="622" spans="1:10" x14ac:dyDescent="0.3">
      <c r="A622" t="str">
        <f t="shared" si="18"/>
        <v>FTA</v>
      </c>
      <c r="B622">
        <f t="shared" si="19"/>
        <v>12416</v>
      </c>
      <c r="D622" s="1"/>
      <c r="E622" s="1" t="s">
        <v>128</v>
      </c>
      <c r="F622" s="1">
        <v>14</v>
      </c>
      <c r="G622" s="1">
        <v>1</v>
      </c>
      <c r="H622" s="1">
        <v>23.8</v>
      </c>
      <c r="I622" s="1"/>
      <c r="J622" s="1"/>
    </row>
    <row r="623" spans="1:10" x14ac:dyDescent="0.3">
      <c r="A623" t="str">
        <f t="shared" si="18"/>
        <v>FTA</v>
      </c>
      <c r="B623">
        <f t="shared" si="19"/>
        <v>2916</v>
      </c>
      <c r="D623" s="1"/>
      <c r="E623" s="1" t="s">
        <v>96</v>
      </c>
      <c r="F623" s="1">
        <v>18</v>
      </c>
      <c r="G623" s="1">
        <v>1</v>
      </c>
      <c r="H623" s="1">
        <v>23.4</v>
      </c>
      <c r="I623" s="1"/>
      <c r="J623" s="1"/>
    </row>
    <row r="624" spans="1:10" x14ac:dyDescent="0.3">
      <c r="A624" t="str">
        <f t="shared" si="18"/>
        <v>FTA</v>
      </c>
      <c r="B624">
        <f t="shared" si="19"/>
        <v>4516</v>
      </c>
      <c r="D624" s="1"/>
      <c r="E624" s="1" t="s">
        <v>84</v>
      </c>
      <c r="F624" s="1">
        <v>21</v>
      </c>
      <c r="G624" s="1">
        <v>4</v>
      </c>
      <c r="H624" s="1">
        <v>23.2</v>
      </c>
      <c r="I624" s="1"/>
      <c r="J624" s="1"/>
    </row>
    <row r="625" spans="1:10" x14ac:dyDescent="0.3">
      <c r="A625" t="str">
        <f t="shared" si="18"/>
        <v>FTA</v>
      </c>
      <c r="B625">
        <f t="shared" si="19"/>
        <v>8816</v>
      </c>
      <c r="D625" s="1"/>
      <c r="E625" s="1" t="s">
        <v>141</v>
      </c>
      <c r="F625" s="1">
        <v>24</v>
      </c>
      <c r="G625" s="1">
        <v>1</v>
      </c>
      <c r="H625" s="1">
        <v>23.1</v>
      </c>
      <c r="I625" s="1"/>
      <c r="J625" s="1"/>
    </row>
    <row r="626" spans="1:10" x14ac:dyDescent="0.3">
      <c r="A626" t="str">
        <f t="shared" si="18"/>
        <v>FTA</v>
      </c>
      <c r="B626">
        <f t="shared" si="19"/>
        <v>4316</v>
      </c>
      <c r="D626" s="1"/>
      <c r="E626" s="1" t="s">
        <v>125</v>
      </c>
      <c r="F626" s="1">
        <v>26</v>
      </c>
      <c r="G626" s="1">
        <v>2</v>
      </c>
      <c r="H626" s="1">
        <v>23</v>
      </c>
      <c r="I626" s="1"/>
      <c r="J626" s="1"/>
    </row>
    <row r="627" spans="1:10" x14ac:dyDescent="0.3">
      <c r="A627" t="str">
        <f t="shared" si="18"/>
        <v>FTA</v>
      </c>
      <c r="B627">
        <f t="shared" si="19"/>
        <v>11416</v>
      </c>
      <c r="D627" s="1"/>
      <c r="E627" s="1" t="s">
        <v>138</v>
      </c>
      <c r="F627" s="1">
        <v>27</v>
      </c>
      <c r="G627" s="1">
        <v>4</v>
      </c>
      <c r="H627" s="1">
        <v>23</v>
      </c>
      <c r="I627" s="1"/>
      <c r="J627" s="1"/>
    </row>
    <row r="628" spans="1:10" x14ac:dyDescent="0.3">
      <c r="A628" t="str">
        <f t="shared" si="18"/>
        <v>FTA</v>
      </c>
      <c r="B628">
        <f t="shared" si="19"/>
        <v>3716</v>
      </c>
      <c r="D628" s="1"/>
      <c r="E628" s="1" t="s">
        <v>115</v>
      </c>
      <c r="F628" s="1">
        <v>30</v>
      </c>
      <c r="G628" s="1">
        <v>5</v>
      </c>
      <c r="H628" s="1">
        <v>22.8</v>
      </c>
      <c r="I628" s="1"/>
      <c r="J628" s="1"/>
    </row>
    <row r="629" spans="1:10" x14ac:dyDescent="0.3">
      <c r="A629" t="str">
        <f t="shared" si="18"/>
        <v>FTA</v>
      </c>
      <c r="B629">
        <f t="shared" si="19"/>
        <v>4916</v>
      </c>
      <c r="D629" s="1"/>
      <c r="E629" s="1" t="s">
        <v>108</v>
      </c>
      <c r="F629" s="1">
        <v>30</v>
      </c>
      <c r="G629" s="1">
        <v>1</v>
      </c>
      <c r="H629" s="1">
        <v>22.8</v>
      </c>
      <c r="I629" s="1"/>
      <c r="J629" s="1"/>
    </row>
    <row r="630" spans="1:10" x14ac:dyDescent="0.3">
      <c r="A630" t="str">
        <f t="shared" si="18"/>
        <v>FTA</v>
      </c>
      <c r="B630">
        <f t="shared" si="19"/>
        <v>3216</v>
      </c>
      <c r="D630" s="1"/>
      <c r="E630" s="1" t="s">
        <v>127</v>
      </c>
      <c r="F630" s="1">
        <v>32</v>
      </c>
      <c r="G630" s="1">
        <v>1</v>
      </c>
      <c r="H630" s="1">
        <v>22.6</v>
      </c>
      <c r="I630" s="1"/>
      <c r="J630" s="1"/>
    </row>
    <row r="631" spans="1:10" x14ac:dyDescent="0.3">
      <c r="A631" t="str">
        <f t="shared" si="18"/>
        <v>FTA</v>
      </c>
      <c r="B631">
        <f t="shared" si="19"/>
        <v>1416</v>
      </c>
      <c r="D631" s="1"/>
      <c r="E631" s="1" t="s">
        <v>102</v>
      </c>
      <c r="F631" s="1">
        <v>35</v>
      </c>
      <c r="G631" s="1">
        <v>2</v>
      </c>
      <c r="H631" s="1">
        <v>22.4</v>
      </c>
      <c r="I631" s="1"/>
      <c r="J631" s="1"/>
    </row>
    <row r="632" spans="1:10" x14ac:dyDescent="0.3">
      <c r="A632" t="str">
        <f t="shared" si="18"/>
        <v>FTA</v>
      </c>
      <c r="B632">
        <f t="shared" si="19"/>
        <v>216</v>
      </c>
      <c r="D632" s="1"/>
      <c r="E632" s="1" t="s">
        <v>98</v>
      </c>
      <c r="F632" s="1">
        <v>50</v>
      </c>
      <c r="G632" s="1">
        <v>3</v>
      </c>
      <c r="H632" s="1">
        <v>21.9</v>
      </c>
      <c r="I632" s="1"/>
      <c r="J632" s="1"/>
    </row>
    <row r="633" spans="1:10" x14ac:dyDescent="0.3">
      <c r="A633" t="str">
        <f t="shared" si="18"/>
        <v>FTA</v>
      </c>
      <c r="B633">
        <f t="shared" si="19"/>
        <v>9916</v>
      </c>
      <c r="D633" s="1"/>
      <c r="E633" s="1" t="s">
        <v>113</v>
      </c>
      <c r="F633" s="1">
        <v>54</v>
      </c>
      <c r="G633" s="1">
        <v>1</v>
      </c>
      <c r="H633" s="1">
        <v>21.9</v>
      </c>
      <c r="I633" s="1"/>
      <c r="J633" s="1"/>
    </row>
    <row r="634" spans="1:10" x14ac:dyDescent="0.3">
      <c r="A634" t="str">
        <f t="shared" si="18"/>
        <v>FTA</v>
      </c>
      <c r="B634">
        <f t="shared" si="19"/>
        <v>1616</v>
      </c>
      <c r="D634" s="1"/>
      <c r="E634" s="1" t="s">
        <v>137</v>
      </c>
      <c r="F634" s="1">
        <v>62</v>
      </c>
      <c r="G634" s="1">
        <v>8</v>
      </c>
      <c r="H634" s="1">
        <v>21.7</v>
      </c>
      <c r="I634" s="1"/>
      <c r="J634" s="1"/>
    </row>
    <row r="635" spans="1:10" x14ac:dyDescent="0.3">
      <c r="A635" t="str">
        <f t="shared" si="18"/>
        <v>FTA</v>
      </c>
      <c r="B635">
        <f t="shared" si="19"/>
        <v>12816</v>
      </c>
      <c r="D635" s="1"/>
      <c r="E635" s="1" t="s">
        <v>142</v>
      </c>
      <c r="F635" s="1">
        <v>66</v>
      </c>
      <c r="G635" s="1">
        <v>1</v>
      </c>
      <c r="H635" s="1">
        <v>21.6</v>
      </c>
      <c r="I635" s="1"/>
      <c r="J635" s="1"/>
    </row>
    <row r="636" spans="1:10" x14ac:dyDescent="0.3">
      <c r="A636" t="str">
        <f t="shared" si="18"/>
        <v>FTA</v>
      </c>
      <c r="B636">
        <f t="shared" si="19"/>
        <v>4716</v>
      </c>
      <c r="D636" s="1"/>
      <c r="E636" s="1" t="s">
        <v>107</v>
      </c>
      <c r="F636" s="1">
        <v>67</v>
      </c>
      <c r="G636" s="1">
        <v>3</v>
      </c>
      <c r="H636" s="1">
        <v>21.6</v>
      </c>
      <c r="I636" s="1"/>
      <c r="J636" s="1"/>
    </row>
    <row r="637" spans="1:10" x14ac:dyDescent="0.3">
      <c r="A637" t="str">
        <f t="shared" si="18"/>
        <v>FTA</v>
      </c>
      <c r="B637">
        <f t="shared" si="19"/>
        <v>5616</v>
      </c>
      <c r="D637" s="1"/>
      <c r="E637" s="1" t="s">
        <v>62</v>
      </c>
      <c r="F637" s="1">
        <v>68</v>
      </c>
      <c r="G637" s="1">
        <v>4</v>
      </c>
      <c r="H637" s="1">
        <v>21.5</v>
      </c>
      <c r="I637" s="1"/>
      <c r="J637" s="1"/>
    </row>
    <row r="638" spans="1:10" x14ac:dyDescent="0.3">
      <c r="A638" t="str">
        <f t="shared" si="18"/>
        <v>FTA</v>
      </c>
      <c r="B638">
        <f t="shared" si="19"/>
        <v>4816</v>
      </c>
      <c r="D638" s="1"/>
      <c r="E638" s="1" t="s">
        <v>104</v>
      </c>
      <c r="F638" s="1">
        <v>74</v>
      </c>
      <c r="G638" s="1">
        <v>4</v>
      </c>
      <c r="H638" s="1">
        <v>21.4</v>
      </c>
      <c r="I638" s="1"/>
      <c r="J638" s="1"/>
    </row>
    <row r="639" spans="1:10" x14ac:dyDescent="0.3">
      <c r="A639" t="str">
        <f t="shared" si="18"/>
        <v>FTA</v>
      </c>
      <c r="B639">
        <f t="shared" si="19"/>
        <v>2216</v>
      </c>
      <c r="D639" s="1"/>
      <c r="E639" s="1" t="s">
        <v>119</v>
      </c>
      <c r="F639" s="1">
        <v>77</v>
      </c>
      <c r="G639" s="1">
        <v>7</v>
      </c>
      <c r="H639" s="1">
        <v>21.3</v>
      </c>
      <c r="I639" s="1"/>
      <c r="J639" s="1"/>
    </row>
    <row r="640" spans="1:10" x14ac:dyDescent="0.3">
      <c r="A640" t="str">
        <f t="shared" si="18"/>
        <v>FTA</v>
      </c>
      <c r="B640">
        <f t="shared" si="19"/>
        <v>1216</v>
      </c>
      <c r="D640" s="1"/>
      <c r="E640" s="1" t="s">
        <v>130</v>
      </c>
      <c r="F640" s="1">
        <v>86</v>
      </c>
      <c r="G640" s="1">
        <v>5</v>
      </c>
      <c r="H640" s="1">
        <v>21.2</v>
      </c>
      <c r="I640" s="1"/>
      <c r="J640" s="1"/>
    </row>
    <row r="641" spans="1:10" x14ac:dyDescent="0.3">
      <c r="A641" t="str">
        <f t="shared" si="18"/>
        <v>FTA</v>
      </c>
      <c r="B641">
        <f t="shared" si="19"/>
        <v>11916</v>
      </c>
      <c r="D641" s="1"/>
      <c r="E641" s="1" t="s">
        <v>143</v>
      </c>
      <c r="F641" s="1">
        <v>101</v>
      </c>
      <c r="G641" s="1">
        <v>7</v>
      </c>
      <c r="H641" s="1">
        <v>20.8</v>
      </c>
      <c r="I641" s="1"/>
      <c r="J641" s="1"/>
    </row>
    <row r="642" spans="1:10" x14ac:dyDescent="0.3">
      <c r="A642" t="str">
        <f t="shared" ref="A642:A705" si="20">IF(NOT(D642=""),INDEX(statAbbr,MATCH(D642,statOfficial,0),1),A641)</f>
        <v>FTA</v>
      </c>
      <c r="B642">
        <f t="shared" ref="B642:B705" si="21">INDEX(statID,MATCH(A642,statAbbr,0),1)+INDEX(teamID,MATCH(E642,teamRawName,0))</f>
        <v>3516</v>
      </c>
      <c r="D642" s="1"/>
      <c r="E642" s="1" t="s">
        <v>87</v>
      </c>
      <c r="F642" s="1">
        <v>101</v>
      </c>
      <c r="G642" s="1">
        <v>9</v>
      </c>
      <c r="H642" s="1">
        <v>20.8</v>
      </c>
      <c r="I642" s="1"/>
      <c r="J642" s="1"/>
    </row>
    <row r="643" spans="1:10" x14ac:dyDescent="0.3">
      <c r="A643" t="str">
        <f t="shared" si="20"/>
        <v>FTA</v>
      </c>
      <c r="B643">
        <f t="shared" si="21"/>
        <v>2116</v>
      </c>
      <c r="D643" s="1"/>
      <c r="E643" s="1" t="s">
        <v>136</v>
      </c>
      <c r="F643" s="1">
        <v>104</v>
      </c>
      <c r="G643" s="1">
        <v>6</v>
      </c>
      <c r="H643" s="1">
        <v>20.8</v>
      </c>
      <c r="I643" s="1"/>
      <c r="J643" s="1"/>
    </row>
    <row r="644" spans="1:10" x14ac:dyDescent="0.3">
      <c r="A644" t="str">
        <f t="shared" si="20"/>
        <v>FTA</v>
      </c>
      <c r="B644">
        <f t="shared" si="21"/>
        <v>616</v>
      </c>
      <c r="D644" s="1"/>
      <c r="E644" s="1" t="s">
        <v>100</v>
      </c>
      <c r="F644" s="1">
        <v>109</v>
      </c>
      <c r="G644" s="1">
        <v>7</v>
      </c>
      <c r="H644" s="1">
        <v>20.7</v>
      </c>
      <c r="I644" s="1"/>
      <c r="J644" s="1"/>
    </row>
    <row r="645" spans="1:10" x14ac:dyDescent="0.3">
      <c r="A645" t="str">
        <f t="shared" si="20"/>
        <v>FTA</v>
      </c>
      <c r="B645">
        <f t="shared" si="21"/>
        <v>12116</v>
      </c>
      <c r="D645" s="1"/>
      <c r="E645" s="1" t="s">
        <v>140</v>
      </c>
      <c r="F645" s="1">
        <v>115</v>
      </c>
      <c r="G645" s="1">
        <v>4</v>
      </c>
      <c r="H645" s="1">
        <v>20.6</v>
      </c>
      <c r="I645" s="1"/>
      <c r="J645" s="1"/>
    </row>
    <row r="646" spans="1:10" x14ac:dyDescent="0.3">
      <c r="A646" t="str">
        <f t="shared" si="20"/>
        <v>FTA</v>
      </c>
      <c r="B646">
        <f t="shared" si="21"/>
        <v>5416</v>
      </c>
      <c r="D646" s="1"/>
      <c r="E646" s="1" t="s">
        <v>94</v>
      </c>
      <c r="F646" s="1">
        <v>125</v>
      </c>
      <c r="G646" s="1">
        <v>4</v>
      </c>
      <c r="H646" s="1">
        <v>20.100000000000001</v>
      </c>
      <c r="I646" s="1"/>
      <c r="J646" s="1"/>
    </row>
    <row r="647" spans="1:10" x14ac:dyDescent="0.3">
      <c r="A647" t="str">
        <f t="shared" si="20"/>
        <v>FTA</v>
      </c>
      <c r="B647">
        <f t="shared" si="21"/>
        <v>6316</v>
      </c>
      <c r="D647" s="1"/>
      <c r="E647" s="1" t="s">
        <v>122</v>
      </c>
      <c r="F647" s="1">
        <v>126</v>
      </c>
      <c r="G647" s="1">
        <v>2</v>
      </c>
      <c r="H647" s="1">
        <v>20.100000000000001</v>
      </c>
      <c r="I647" s="1"/>
      <c r="J647" s="1"/>
    </row>
    <row r="648" spans="1:10" x14ac:dyDescent="0.3">
      <c r="A648" t="str">
        <f t="shared" si="20"/>
        <v>FTA</v>
      </c>
      <c r="B648">
        <f t="shared" si="21"/>
        <v>5516</v>
      </c>
      <c r="D648" s="1"/>
      <c r="E648" s="1" t="s">
        <v>86</v>
      </c>
      <c r="F648" s="1">
        <v>151</v>
      </c>
      <c r="G648" s="1">
        <v>12</v>
      </c>
      <c r="H648" s="1">
        <v>19.7</v>
      </c>
      <c r="I648" s="1"/>
      <c r="J648" s="1"/>
    </row>
    <row r="649" spans="1:10" x14ac:dyDescent="0.3">
      <c r="A649" t="str">
        <f t="shared" si="20"/>
        <v>FTA</v>
      </c>
      <c r="B649">
        <f t="shared" si="21"/>
        <v>7216</v>
      </c>
      <c r="D649" s="1"/>
      <c r="E649" s="1" t="s">
        <v>116</v>
      </c>
      <c r="F649" s="1">
        <v>155</v>
      </c>
      <c r="G649" s="1">
        <v>8</v>
      </c>
      <c r="H649" s="1">
        <v>19.5</v>
      </c>
      <c r="I649" s="1"/>
      <c r="J649" s="1"/>
    </row>
    <row r="650" spans="1:10" x14ac:dyDescent="0.3">
      <c r="A650" t="str">
        <f t="shared" si="20"/>
        <v>FTA</v>
      </c>
      <c r="B650">
        <f t="shared" si="21"/>
        <v>5016</v>
      </c>
      <c r="D650" s="1"/>
      <c r="E650" s="1" t="s">
        <v>110</v>
      </c>
      <c r="F650" s="1">
        <v>159</v>
      </c>
      <c r="G650" s="1">
        <v>7</v>
      </c>
      <c r="H650" s="1">
        <v>19.5</v>
      </c>
      <c r="I650" s="1"/>
      <c r="J650" s="1"/>
    </row>
    <row r="651" spans="1:10" x14ac:dyDescent="0.3">
      <c r="A651" t="str">
        <f t="shared" si="20"/>
        <v>FTA</v>
      </c>
      <c r="B651">
        <f t="shared" si="21"/>
        <v>9516</v>
      </c>
      <c r="D651" s="1"/>
      <c r="E651" s="1" t="s">
        <v>85</v>
      </c>
      <c r="F651" s="1">
        <v>160</v>
      </c>
      <c r="G651" s="1">
        <v>4</v>
      </c>
      <c r="H651" s="1">
        <v>19.5</v>
      </c>
      <c r="I651" s="1"/>
      <c r="J651" s="1"/>
    </row>
    <row r="652" spans="1:10" x14ac:dyDescent="0.3">
      <c r="A652" t="str">
        <f t="shared" si="20"/>
        <v>FTA</v>
      </c>
      <c r="B652">
        <f t="shared" si="21"/>
        <v>4216</v>
      </c>
      <c r="D652" s="1"/>
      <c r="E652" s="1" t="s">
        <v>123</v>
      </c>
      <c r="F652" s="1">
        <v>162</v>
      </c>
      <c r="G652" s="1">
        <v>10</v>
      </c>
      <c r="H652" s="1">
        <v>19.399999999999999</v>
      </c>
      <c r="I652" s="1"/>
      <c r="J652" s="1"/>
    </row>
    <row r="653" spans="1:10" x14ac:dyDescent="0.3">
      <c r="A653" t="str">
        <f t="shared" si="20"/>
        <v>FTA</v>
      </c>
      <c r="B653">
        <f t="shared" si="21"/>
        <v>1916</v>
      </c>
      <c r="D653" s="1"/>
      <c r="E653" s="1" t="s">
        <v>112</v>
      </c>
      <c r="F653" s="1">
        <v>163</v>
      </c>
      <c r="G653" s="1">
        <v>6</v>
      </c>
      <c r="H653" s="1">
        <v>19.399999999999999</v>
      </c>
      <c r="I653" s="1"/>
      <c r="J653" s="1"/>
    </row>
    <row r="654" spans="1:10" x14ac:dyDescent="0.3">
      <c r="A654" t="str">
        <f t="shared" si="20"/>
        <v>FTA</v>
      </c>
      <c r="B654">
        <f t="shared" si="21"/>
        <v>7316</v>
      </c>
      <c r="D654" s="1"/>
      <c r="E654" s="1" t="s">
        <v>111</v>
      </c>
      <c r="F654" s="1">
        <v>164</v>
      </c>
      <c r="G654" s="1">
        <v>11</v>
      </c>
      <c r="H654" s="1">
        <v>19.399999999999999</v>
      </c>
      <c r="I654" s="1"/>
      <c r="J654" s="1"/>
    </row>
    <row r="655" spans="1:10" x14ac:dyDescent="0.3">
      <c r="A655" t="str">
        <f t="shared" si="20"/>
        <v>FTA</v>
      </c>
      <c r="B655">
        <f t="shared" si="21"/>
        <v>6916</v>
      </c>
      <c r="D655" s="1"/>
      <c r="E655" s="1" t="s">
        <v>114</v>
      </c>
      <c r="F655" s="1">
        <v>174</v>
      </c>
      <c r="G655" s="1">
        <v>8</v>
      </c>
      <c r="H655" s="1">
        <v>19.100000000000001</v>
      </c>
      <c r="I655" s="1"/>
      <c r="J655" s="1"/>
    </row>
    <row r="656" spans="1:10" x14ac:dyDescent="0.3">
      <c r="A656" t="str">
        <f t="shared" si="20"/>
        <v>FTA</v>
      </c>
      <c r="B656">
        <f t="shared" si="21"/>
        <v>2316</v>
      </c>
      <c r="D656" s="1"/>
      <c r="E656" s="1" t="s">
        <v>79</v>
      </c>
      <c r="F656" s="1">
        <v>182</v>
      </c>
      <c r="G656" s="1">
        <v>3</v>
      </c>
      <c r="H656" s="1">
        <v>18.899999999999999</v>
      </c>
      <c r="I656" s="1"/>
      <c r="J656" s="1"/>
    </row>
    <row r="657" spans="1:10" x14ac:dyDescent="0.3">
      <c r="A657" t="str">
        <f t="shared" si="20"/>
        <v>FTA</v>
      </c>
      <c r="B657">
        <f t="shared" si="21"/>
        <v>4416</v>
      </c>
      <c r="D657" s="1"/>
      <c r="E657" s="1" t="s">
        <v>83</v>
      </c>
      <c r="F657" s="1">
        <v>186</v>
      </c>
      <c r="G657" s="1">
        <v>4</v>
      </c>
      <c r="H657" s="1">
        <v>18.899999999999999</v>
      </c>
      <c r="I657" s="1"/>
      <c r="J657" s="1"/>
    </row>
    <row r="658" spans="1:10" x14ac:dyDescent="0.3">
      <c r="A658" t="str">
        <f t="shared" si="20"/>
        <v>FTA</v>
      </c>
      <c r="B658">
        <f t="shared" si="21"/>
        <v>2816</v>
      </c>
      <c r="D658" s="1"/>
      <c r="E658" s="1" t="s">
        <v>106</v>
      </c>
      <c r="F658" s="1">
        <v>204</v>
      </c>
      <c r="G658" s="1">
        <v>10</v>
      </c>
      <c r="H658" s="1">
        <v>18.600000000000001</v>
      </c>
      <c r="I658" s="1"/>
      <c r="J658" s="1"/>
    </row>
    <row r="659" spans="1:10" x14ac:dyDescent="0.3">
      <c r="A659" t="str">
        <f t="shared" si="20"/>
        <v>FTA</v>
      </c>
      <c r="B659">
        <f t="shared" si="21"/>
        <v>3916</v>
      </c>
      <c r="D659" s="1"/>
      <c r="E659" s="1" t="s">
        <v>88</v>
      </c>
      <c r="F659" s="1">
        <v>206</v>
      </c>
      <c r="G659" s="1">
        <v>11</v>
      </c>
      <c r="H659" s="1">
        <v>18.5</v>
      </c>
      <c r="I659" s="1"/>
      <c r="J659" s="1"/>
    </row>
    <row r="660" spans="1:10" x14ac:dyDescent="0.3">
      <c r="A660" t="str">
        <f t="shared" si="20"/>
        <v>FTA</v>
      </c>
      <c r="B660">
        <f t="shared" si="21"/>
        <v>8016</v>
      </c>
      <c r="D660" s="1"/>
      <c r="E660" s="1" t="s">
        <v>117</v>
      </c>
      <c r="F660" s="1">
        <v>207</v>
      </c>
      <c r="G660" s="1">
        <v>6</v>
      </c>
      <c r="H660" s="1">
        <v>18.5</v>
      </c>
      <c r="I660" s="1"/>
      <c r="J660" s="1"/>
    </row>
    <row r="661" spans="1:10" x14ac:dyDescent="0.3">
      <c r="A661" t="str">
        <f t="shared" si="20"/>
        <v>FTA</v>
      </c>
      <c r="B661">
        <f t="shared" si="21"/>
        <v>10316</v>
      </c>
      <c r="D661" s="1"/>
      <c r="E661" s="1" t="s">
        <v>134</v>
      </c>
      <c r="F661" s="1">
        <v>211</v>
      </c>
      <c r="G661" s="1">
        <v>9</v>
      </c>
      <c r="H661" s="1">
        <v>18.5</v>
      </c>
      <c r="I661" s="1"/>
      <c r="J661" s="1"/>
    </row>
    <row r="662" spans="1:10" x14ac:dyDescent="0.3">
      <c r="A662" t="str">
        <f t="shared" si="20"/>
        <v>FTA</v>
      </c>
      <c r="B662">
        <f t="shared" si="21"/>
        <v>9116</v>
      </c>
      <c r="D662" s="1"/>
      <c r="E662" s="1" t="s">
        <v>99</v>
      </c>
      <c r="F662" s="1">
        <v>212</v>
      </c>
      <c r="G662" s="1">
        <v>13</v>
      </c>
      <c r="H662" s="1">
        <v>18.399999999999999</v>
      </c>
      <c r="I662" s="1"/>
      <c r="J662" s="1"/>
    </row>
    <row r="663" spans="1:10" x14ac:dyDescent="0.3">
      <c r="A663" t="str">
        <f t="shared" si="20"/>
        <v>FTA</v>
      </c>
      <c r="B663">
        <f t="shared" si="21"/>
        <v>12916</v>
      </c>
      <c r="D663" s="1"/>
      <c r="E663" s="1" t="s">
        <v>132</v>
      </c>
      <c r="F663" s="1">
        <v>216</v>
      </c>
      <c r="G663" s="1">
        <v>11</v>
      </c>
      <c r="H663" s="1">
        <v>18.399999999999999</v>
      </c>
      <c r="I663" s="1"/>
      <c r="J663" s="1"/>
    </row>
    <row r="664" spans="1:10" x14ac:dyDescent="0.3">
      <c r="A664" t="str">
        <f t="shared" si="20"/>
        <v>FTA</v>
      </c>
      <c r="B664">
        <f t="shared" si="21"/>
        <v>8216</v>
      </c>
      <c r="D664" s="1"/>
      <c r="E664" s="1" t="s">
        <v>131</v>
      </c>
      <c r="F664" s="1">
        <v>222</v>
      </c>
      <c r="G664" s="1">
        <v>8</v>
      </c>
      <c r="H664" s="1">
        <v>18.3</v>
      </c>
      <c r="I664" s="1"/>
      <c r="J664" s="1"/>
    </row>
    <row r="665" spans="1:10" x14ac:dyDescent="0.3">
      <c r="A665" t="str">
        <f t="shared" si="20"/>
        <v>FTA</v>
      </c>
      <c r="B665">
        <f t="shared" si="21"/>
        <v>4016</v>
      </c>
      <c r="D665" s="1"/>
      <c r="E665" s="1" t="s">
        <v>105</v>
      </c>
      <c r="F665" s="1">
        <v>236</v>
      </c>
      <c r="G665" s="1">
        <v>10</v>
      </c>
      <c r="H665" s="1">
        <v>18.100000000000001</v>
      </c>
      <c r="I665" s="1"/>
      <c r="J665" s="1"/>
    </row>
    <row r="666" spans="1:10" x14ac:dyDescent="0.3">
      <c r="A666" t="str">
        <f t="shared" si="20"/>
        <v>FTA</v>
      </c>
      <c r="B666">
        <f t="shared" si="21"/>
        <v>11516</v>
      </c>
      <c r="D666" s="1"/>
      <c r="E666" s="1" t="s">
        <v>97</v>
      </c>
      <c r="F666" s="1">
        <v>239</v>
      </c>
      <c r="G666" s="1">
        <v>8</v>
      </c>
      <c r="H666" s="1">
        <v>17.899999999999999</v>
      </c>
      <c r="I666" s="1"/>
      <c r="J666" s="1"/>
    </row>
    <row r="667" spans="1:10" x14ac:dyDescent="0.3">
      <c r="A667" t="str">
        <f t="shared" si="20"/>
        <v>FTA</v>
      </c>
      <c r="B667">
        <f t="shared" si="21"/>
        <v>1316</v>
      </c>
      <c r="D667" s="1"/>
      <c r="E667" s="1" t="s">
        <v>82</v>
      </c>
      <c r="F667" s="1">
        <v>241</v>
      </c>
      <c r="G667" s="1">
        <v>8</v>
      </c>
      <c r="H667" s="1">
        <v>17.8</v>
      </c>
      <c r="I667" s="1"/>
      <c r="J667" s="1"/>
    </row>
    <row r="668" spans="1:10" x14ac:dyDescent="0.3">
      <c r="A668" t="str">
        <f t="shared" si="20"/>
        <v>FTA</v>
      </c>
      <c r="B668">
        <f t="shared" si="21"/>
        <v>11316</v>
      </c>
      <c r="D668" s="1"/>
      <c r="E668" s="1" t="s">
        <v>126</v>
      </c>
      <c r="F668" s="1">
        <v>250</v>
      </c>
      <c r="G668" s="1">
        <v>7</v>
      </c>
      <c r="H668" s="1">
        <v>17.7</v>
      </c>
      <c r="I668" s="1"/>
      <c r="J668" s="1"/>
    </row>
    <row r="669" spans="1:10" x14ac:dyDescent="0.3">
      <c r="A669" t="str">
        <f t="shared" si="20"/>
        <v>FTA</v>
      </c>
      <c r="B669">
        <f t="shared" si="21"/>
        <v>6716</v>
      </c>
      <c r="D669" s="1"/>
      <c r="E669" s="1" t="s">
        <v>118</v>
      </c>
      <c r="F669" s="1">
        <v>256</v>
      </c>
      <c r="G669" s="1">
        <v>12</v>
      </c>
      <c r="H669" s="1">
        <v>17.600000000000001</v>
      </c>
      <c r="I669" s="1"/>
      <c r="J669" s="1"/>
    </row>
    <row r="670" spans="1:10" x14ac:dyDescent="0.3">
      <c r="A670" t="str">
        <f t="shared" si="20"/>
        <v>FTA</v>
      </c>
      <c r="B670">
        <f t="shared" si="21"/>
        <v>916</v>
      </c>
      <c r="D670" s="1"/>
      <c r="E670" s="1" t="s">
        <v>90</v>
      </c>
      <c r="F670" s="1">
        <v>269</v>
      </c>
      <c r="G670" s="1">
        <v>13</v>
      </c>
      <c r="H670" s="1">
        <v>17.2</v>
      </c>
      <c r="I670" s="1"/>
      <c r="J670" s="1"/>
    </row>
    <row r="671" spans="1:10" x14ac:dyDescent="0.3">
      <c r="A671" t="str">
        <f t="shared" si="20"/>
        <v>FTA</v>
      </c>
      <c r="B671">
        <f t="shared" si="21"/>
        <v>12016</v>
      </c>
      <c r="D671" s="1"/>
      <c r="E671" s="1" t="s">
        <v>135</v>
      </c>
      <c r="F671" s="1">
        <v>277</v>
      </c>
      <c r="G671" s="1">
        <v>8</v>
      </c>
      <c r="H671" s="1">
        <v>17</v>
      </c>
      <c r="I671" s="1"/>
      <c r="J671" s="1"/>
    </row>
    <row r="672" spans="1:10" x14ac:dyDescent="0.3">
      <c r="A672" t="str">
        <f t="shared" si="20"/>
        <v>FTA</v>
      </c>
      <c r="B672">
        <f t="shared" si="21"/>
        <v>1716</v>
      </c>
      <c r="D672" s="1"/>
      <c r="E672" s="1" t="s">
        <v>133</v>
      </c>
      <c r="F672" s="1">
        <v>279</v>
      </c>
      <c r="G672" s="1">
        <v>7</v>
      </c>
      <c r="H672" s="1">
        <v>16.899999999999999</v>
      </c>
      <c r="I672" s="1"/>
      <c r="J672" s="1"/>
    </row>
    <row r="673" spans="1:10" x14ac:dyDescent="0.3">
      <c r="A673" t="str">
        <f t="shared" si="20"/>
        <v>FTA</v>
      </c>
      <c r="B673">
        <f t="shared" si="21"/>
        <v>1516</v>
      </c>
      <c r="D673" s="1"/>
      <c r="E673" s="1" t="s">
        <v>124</v>
      </c>
      <c r="F673" s="1">
        <v>281</v>
      </c>
      <c r="G673" s="1">
        <v>6</v>
      </c>
      <c r="H673" s="1">
        <v>16.899999999999999</v>
      </c>
      <c r="I673" s="1"/>
      <c r="J673" s="1"/>
    </row>
    <row r="674" spans="1:10" x14ac:dyDescent="0.3">
      <c r="A674" t="str">
        <f t="shared" si="20"/>
        <v>FTA</v>
      </c>
      <c r="B674">
        <f t="shared" si="21"/>
        <v>6216</v>
      </c>
      <c r="D674" s="1"/>
      <c r="E674" s="1" t="s">
        <v>81</v>
      </c>
      <c r="F674" s="1">
        <v>289</v>
      </c>
      <c r="G674" s="1">
        <v>14</v>
      </c>
      <c r="H674" s="1">
        <v>16.899999999999999</v>
      </c>
      <c r="I674" s="1"/>
      <c r="J674" s="1"/>
    </row>
    <row r="675" spans="1:10" x14ac:dyDescent="0.3">
      <c r="A675" t="str">
        <f t="shared" si="20"/>
        <v>FTA</v>
      </c>
      <c r="B675">
        <f t="shared" si="21"/>
        <v>2516</v>
      </c>
      <c r="D675" s="1"/>
      <c r="E675" s="1" t="s">
        <v>92</v>
      </c>
      <c r="F675" s="1">
        <v>292</v>
      </c>
      <c r="G675" s="1">
        <v>7</v>
      </c>
      <c r="H675" s="1">
        <v>16.8</v>
      </c>
      <c r="I675" s="1"/>
      <c r="J675" s="1"/>
    </row>
    <row r="676" spans="1:10" x14ac:dyDescent="0.3">
      <c r="A676" t="str">
        <f t="shared" si="20"/>
        <v>FTA</v>
      </c>
      <c r="B676">
        <f t="shared" si="21"/>
        <v>12516</v>
      </c>
      <c r="D676" s="1"/>
      <c r="E676" s="1" t="s">
        <v>95</v>
      </c>
      <c r="F676" s="1">
        <v>302</v>
      </c>
      <c r="G676" s="1">
        <v>5</v>
      </c>
      <c r="H676" s="1">
        <v>16.5</v>
      </c>
      <c r="I676" s="1"/>
      <c r="J676" s="1"/>
    </row>
    <row r="677" spans="1:10" x14ac:dyDescent="0.3">
      <c r="A677" t="str">
        <f t="shared" si="20"/>
        <v>FTA</v>
      </c>
      <c r="B677">
        <f t="shared" si="21"/>
        <v>7916</v>
      </c>
      <c r="D677" s="1"/>
      <c r="E677" s="1" t="s">
        <v>103</v>
      </c>
      <c r="F677" s="1">
        <v>311</v>
      </c>
      <c r="G677" s="1">
        <v>8</v>
      </c>
      <c r="H677" s="1">
        <v>16.2</v>
      </c>
      <c r="I677" s="1"/>
      <c r="J677" s="1"/>
    </row>
    <row r="678" spans="1:10" x14ac:dyDescent="0.3">
      <c r="A678" t="str">
        <f t="shared" si="20"/>
        <v>FTA</v>
      </c>
      <c r="B678">
        <f t="shared" si="21"/>
        <v>2716</v>
      </c>
      <c r="D678" s="1"/>
      <c r="E678" s="1" t="s">
        <v>7</v>
      </c>
      <c r="F678" s="1">
        <v>315</v>
      </c>
      <c r="G678" s="1">
        <v>14</v>
      </c>
      <c r="H678" s="1">
        <v>16.100000000000001</v>
      </c>
      <c r="I678" s="1"/>
      <c r="J678" s="1"/>
    </row>
    <row r="679" spans="1:10" x14ac:dyDescent="0.3">
      <c r="A679" t="str">
        <f t="shared" si="20"/>
        <v>FTA</v>
      </c>
      <c r="B679">
        <f t="shared" si="21"/>
        <v>3316</v>
      </c>
      <c r="D679" s="1"/>
      <c r="E679" s="1" t="s">
        <v>91</v>
      </c>
      <c r="F679" s="1">
        <v>327</v>
      </c>
      <c r="G679" s="1">
        <v>9</v>
      </c>
      <c r="H679" s="1">
        <v>15.6</v>
      </c>
      <c r="I679" s="1"/>
      <c r="J679" s="1"/>
    </row>
    <row r="680" spans="1:10" x14ac:dyDescent="0.3">
      <c r="A680" t="str">
        <f t="shared" si="20"/>
        <v>FTA</v>
      </c>
      <c r="B680">
        <f t="shared" si="21"/>
        <v>8416</v>
      </c>
      <c r="D680" s="1"/>
      <c r="E680" s="1" t="s">
        <v>109</v>
      </c>
      <c r="F680" s="1">
        <v>329</v>
      </c>
      <c r="G680" s="1">
        <v>6</v>
      </c>
      <c r="H680" s="1">
        <v>15.4</v>
      </c>
      <c r="I680" s="1"/>
      <c r="J680" s="1"/>
    </row>
    <row r="681" spans="1:10" x14ac:dyDescent="0.3">
      <c r="A681" t="str">
        <f t="shared" si="20"/>
        <v>FTA</v>
      </c>
      <c r="B681">
        <f t="shared" si="21"/>
        <v>11616</v>
      </c>
      <c r="D681" s="1"/>
      <c r="E681" s="1" t="s">
        <v>121</v>
      </c>
      <c r="F681" s="1">
        <v>338</v>
      </c>
      <c r="G681" s="1">
        <v>7</v>
      </c>
      <c r="H681" s="1">
        <v>15</v>
      </c>
      <c r="I681" s="1"/>
      <c r="J681" s="1"/>
    </row>
    <row r="682" spans="1:10" x14ac:dyDescent="0.3">
      <c r="A682" t="str">
        <f t="shared" si="20"/>
        <v>FTA</v>
      </c>
      <c r="B682">
        <f t="shared" si="21"/>
        <v>3116</v>
      </c>
      <c r="D682" s="1"/>
      <c r="E682" s="1" t="s">
        <v>93</v>
      </c>
      <c r="F682" s="1">
        <v>340</v>
      </c>
      <c r="G682" s="1">
        <v>11</v>
      </c>
      <c r="H682" s="1">
        <v>14.8</v>
      </c>
      <c r="I682" s="1"/>
      <c r="J682" s="1"/>
    </row>
    <row r="683" spans="1:10" x14ac:dyDescent="0.3">
      <c r="A683" t="str">
        <f t="shared" si="20"/>
        <v>FTA</v>
      </c>
      <c r="B683">
        <f t="shared" si="21"/>
        <v>2616</v>
      </c>
      <c r="D683" s="1"/>
      <c r="E683" s="1" t="s">
        <v>80</v>
      </c>
      <c r="F683" s="1">
        <v>346</v>
      </c>
      <c r="G683" s="1">
        <v>15</v>
      </c>
      <c r="H683" s="1">
        <v>14</v>
      </c>
      <c r="I683" s="1"/>
      <c r="J683" s="1"/>
    </row>
    <row r="684" spans="1:10" x14ac:dyDescent="0.3">
      <c r="A684" t="str">
        <f t="shared" si="20"/>
        <v>FT%</v>
      </c>
      <c r="B684">
        <f t="shared" si="21"/>
        <v>3115</v>
      </c>
      <c r="D684" s="1" t="s">
        <v>158</v>
      </c>
      <c r="E684" s="1" t="s">
        <v>93</v>
      </c>
      <c r="F684" s="1">
        <v>9</v>
      </c>
      <c r="G684" s="1">
        <v>3</v>
      </c>
      <c r="H684" s="1">
        <v>78.8</v>
      </c>
      <c r="I684" s="1" t="s">
        <v>159</v>
      </c>
      <c r="J684" s="1">
        <v>80.8</v>
      </c>
    </row>
    <row r="685" spans="1:10" x14ac:dyDescent="0.3">
      <c r="A685" t="str">
        <f t="shared" si="20"/>
        <v>FT%</v>
      </c>
      <c r="B685">
        <f t="shared" si="21"/>
        <v>6315</v>
      </c>
      <c r="D685" s="1"/>
      <c r="E685" s="1" t="s">
        <v>122</v>
      </c>
      <c r="F685" s="1">
        <v>10</v>
      </c>
      <c r="G685" s="1">
        <v>1</v>
      </c>
      <c r="H685" s="1">
        <v>78.400000000000006</v>
      </c>
      <c r="I685" s="1"/>
      <c r="J685" s="1"/>
    </row>
    <row r="686" spans="1:10" x14ac:dyDescent="0.3">
      <c r="A686" t="str">
        <f t="shared" si="20"/>
        <v>FT%</v>
      </c>
      <c r="B686">
        <f t="shared" si="21"/>
        <v>7215</v>
      </c>
      <c r="D686" s="1"/>
      <c r="E686" s="1" t="s">
        <v>116</v>
      </c>
      <c r="F686" s="1">
        <v>13</v>
      </c>
      <c r="G686" s="1">
        <v>1</v>
      </c>
      <c r="H686" s="1">
        <v>78</v>
      </c>
      <c r="I686" s="1"/>
      <c r="J686" s="1"/>
    </row>
    <row r="687" spans="1:10" x14ac:dyDescent="0.3">
      <c r="A687" t="str">
        <f t="shared" si="20"/>
        <v>FT%</v>
      </c>
      <c r="B687">
        <f t="shared" si="21"/>
        <v>4015</v>
      </c>
      <c r="D687" s="1"/>
      <c r="E687" s="1" t="s">
        <v>105</v>
      </c>
      <c r="F687" s="1">
        <v>14</v>
      </c>
      <c r="G687" s="1">
        <v>3</v>
      </c>
      <c r="H687" s="1">
        <v>78</v>
      </c>
      <c r="I687" s="1"/>
      <c r="J687" s="1"/>
    </row>
    <row r="688" spans="1:10" x14ac:dyDescent="0.3">
      <c r="A688" t="str">
        <f t="shared" si="20"/>
        <v>FT%</v>
      </c>
      <c r="B688">
        <f t="shared" si="21"/>
        <v>3715</v>
      </c>
      <c r="D688" s="1"/>
      <c r="E688" s="1" t="s">
        <v>115</v>
      </c>
      <c r="F688" s="1">
        <v>19</v>
      </c>
      <c r="G688" s="1">
        <v>2</v>
      </c>
      <c r="H688" s="1">
        <v>77.2</v>
      </c>
      <c r="I688" s="1"/>
      <c r="J688" s="1"/>
    </row>
    <row r="689" spans="1:10" x14ac:dyDescent="0.3">
      <c r="A689" t="str">
        <f t="shared" si="20"/>
        <v>FT%</v>
      </c>
      <c r="B689">
        <f t="shared" si="21"/>
        <v>5515</v>
      </c>
      <c r="D689" s="1"/>
      <c r="E689" s="1" t="s">
        <v>86</v>
      </c>
      <c r="F689" s="1">
        <v>20</v>
      </c>
      <c r="G689" s="1">
        <v>3</v>
      </c>
      <c r="H689" s="1">
        <v>77.2</v>
      </c>
      <c r="I689" s="1"/>
      <c r="J689" s="1"/>
    </row>
    <row r="690" spans="1:10" x14ac:dyDescent="0.3">
      <c r="A690" t="str">
        <f t="shared" si="20"/>
        <v>FT%</v>
      </c>
      <c r="B690">
        <f t="shared" si="21"/>
        <v>11315</v>
      </c>
      <c r="D690" s="1"/>
      <c r="E690" s="1" t="s">
        <v>126</v>
      </c>
      <c r="F690" s="1">
        <v>28</v>
      </c>
      <c r="G690" s="1">
        <v>3</v>
      </c>
      <c r="H690" s="1">
        <v>76.599999999999994</v>
      </c>
      <c r="I690" s="1"/>
      <c r="J690" s="1"/>
    </row>
    <row r="691" spans="1:10" x14ac:dyDescent="0.3">
      <c r="A691" t="str">
        <f t="shared" si="20"/>
        <v>FT%</v>
      </c>
      <c r="B691">
        <f t="shared" si="21"/>
        <v>7315</v>
      </c>
      <c r="D691" s="1"/>
      <c r="E691" s="1" t="s">
        <v>111</v>
      </c>
      <c r="F691" s="1">
        <v>32</v>
      </c>
      <c r="G691" s="1">
        <v>3</v>
      </c>
      <c r="H691" s="1">
        <v>76</v>
      </c>
      <c r="I691" s="1"/>
      <c r="J691" s="1"/>
    </row>
    <row r="692" spans="1:10" x14ac:dyDescent="0.3">
      <c r="A692" t="str">
        <f t="shared" si="20"/>
        <v>FT%</v>
      </c>
      <c r="B692">
        <f t="shared" si="21"/>
        <v>4915</v>
      </c>
      <c r="D692" s="1"/>
      <c r="E692" s="1" t="s">
        <v>108</v>
      </c>
      <c r="F692" s="1">
        <v>34</v>
      </c>
      <c r="G692" s="1">
        <v>4</v>
      </c>
      <c r="H692" s="1">
        <v>75.900000000000006</v>
      </c>
      <c r="I692" s="1"/>
      <c r="J692" s="1"/>
    </row>
    <row r="693" spans="1:10" x14ac:dyDescent="0.3">
      <c r="A693" t="str">
        <f t="shared" si="20"/>
        <v>FT%</v>
      </c>
      <c r="B693">
        <f t="shared" si="21"/>
        <v>6715</v>
      </c>
      <c r="D693" s="1"/>
      <c r="E693" s="1" t="s">
        <v>118</v>
      </c>
      <c r="F693" s="1">
        <v>39</v>
      </c>
      <c r="G693" s="1">
        <v>2</v>
      </c>
      <c r="H693" s="1">
        <v>75.7</v>
      </c>
      <c r="I693" s="1"/>
      <c r="J693" s="1"/>
    </row>
    <row r="694" spans="1:10" x14ac:dyDescent="0.3">
      <c r="A694" t="str">
        <f t="shared" si="20"/>
        <v>FT%</v>
      </c>
      <c r="B694">
        <f t="shared" si="21"/>
        <v>4215</v>
      </c>
      <c r="D694" s="1"/>
      <c r="E694" s="1" t="s">
        <v>123</v>
      </c>
      <c r="F694" s="1">
        <v>42</v>
      </c>
      <c r="G694" s="1">
        <v>4</v>
      </c>
      <c r="H694" s="1">
        <v>75.5</v>
      </c>
      <c r="I694" s="1"/>
      <c r="J694" s="1"/>
    </row>
    <row r="695" spans="1:10" x14ac:dyDescent="0.3">
      <c r="A695" t="str">
        <f t="shared" si="20"/>
        <v>FT%</v>
      </c>
      <c r="B695">
        <f t="shared" si="21"/>
        <v>9515</v>
      </c>
      <c r="D695" s="1"/>
      <c r="E695" s="1" t="s">
        <v>85</v>
      </c>
      <c r="F695" s="1">
        <v>47</v>
      </c>
      <c r="G695" s="1">
        <v>3</v>
      </c>
      <c r="H695" s="1">
        <v>75.3</v>
      </c>
      <c r="I695" s="1"/>
      <c r="J695" s="1"/>
    </row>
    <row r="696" spans="1:10" x14ac:dyDescent="0.3">
      <c r="A696" t="str">
        <f t="shared" si="20"/>
        <v>FT%</v>
      </c>
      <c r="B696">
        <f t="shared" si="21"/>
        <v>1315</v>
      </c>
      <c r="D696" s="1"/>
      <c r="E696" s="1" t="s">
        <v>82</v>
      </c>
      <c r="F696" s="1">
        <v>50</v>
      </c>
      <c r="G696" s="1">
        <v>1</v>
      </c>
      <c r="H696" s="1">
        <v>75.2</v>
      </c>
      <c r="I696" s="1"/>
      <c r="J696" s="1"/>
    </row>
    <row r="697" spans="1:10" x14ac:dyDescent="0.3">
      <c r="A697" t="str">
        <f t="shared" si="20"/>
        <v>FT%</v>
      </c>
      <c r="B697">
        <f t="shared" si="21"/>
        <v>6215</v>
      </c>
      <c r="D697" s="1"/>
      <c r="E697" s="1" t="s">
        <v>81</v>
      </c>
      <c r="F697" s="1">
        <v>51</v>
      </c>
      <c r="G697" s="1">
        <v>5</v>
      </c>
      <c r="H697" s="1">
        <v>75.2</v>
      </c>
      <c r="I697" s="1"/>
      <c r="J697" s="1"/>
    </row>
    <row r="698" spans="1:10" x14ac:dyDescent="0.3">
      <c r="A698" t="str">
        <f t="shared" si="20"/>
        <v>FT%</v>
      </c>
      <c r="B698">
        <f t="shared" si="21"/>
        <v>8015</v>
      </c>
      <c r="D698" s="1"/>
      <c r="E698" s="1" t="s">
        <v>117</v>
      </c>
      <c r="F698" s="1">
        <v>53</v>
      </c>
      <c r="G698" s="1">
        <v>3</v>
      </c>
      <c r="H698" s="1">
        <v>75.099999999999994</v>
      </c>
      <c r="I698" s="1"/>
      <c r="J698" s="1"/>
    </row>
    <row r="699" spans="1:10" x14ac:dyDescent="0.3">
      <c r="A699" t="str">
        <f t="shared" si="20"/>
        <v>FT%</v>
      </c>
      <c r="B699">
        <f t="shared" si="21"/>
        <v>8815</v>
      </c>
      <c r="D699" s="1"/>
      <c r="E699" s="1" t="s">
        <v>141</v>
      </c>
      <c r="F699" s="1">
        <v>54</v>
      </c>
      <c r="G699" s="1">
        <v>2</v>
      </c>
      <c r="H699" s="1">
        <v>75.099999999999994</v>
      </c>
      <c r="I699" s="1"/>
      <c r="J699" s="1"/>
    </row>
    <row r="700" spans="1:10" x14ac:dyDescent="0.3">
      <c r="A700" t="str">
        <f t="shared" si="20"/>
        <v>FT%</v>
      </c>
      <c r="B700">
        <f t="shared" si="21"/>
        <v>3515</v>
      </c>
      <c r="D700" s="1"/>
      <c r="E700" s="1" t="s">
        <v>87</v>
      </c>
      <c r="F700" s="1">
        <v>55</v>
      </c>
      <c r="G700" s="1">
        <v>5</v>
      </c>
      <c r="H700" s="1">
        <v>75.099999999999994</v>
      </c>
      <c r="I700" s="1"/>
      <c r="J700" s="1"/>
    </row>
    <row r="701" spans="1:10" x14ac:dyDescent="0.3">
      <c r="A701" t="str">
        <f t="shared" si="20"/>
        <v>FT%</v>
      </c>
      <c r="B701">
        <f t="shared" si="21"/>
        <v>4515</v>
      </c>
      <c r="D701" s="1"/>
      <c r="E701" s="1" t="s">
        <v>84</v>
      </c>
      <c r="F701" s="1">
        <v>56</v>
      </c>
      <c r="G701" s="1">
        <v>6</v>
      </c>
      <c r="H701" s="1">
        <v>75</v>
      </c>
      <c r="I701" s="1"/>
      <c r="J701" s="1"/>
    </row>
    <row r="702" spans="1:10" x14ac:dyDescent="0.3">
      <c r="A702" t="str">
        <f t="shared" si="20"/>
        <v>FT%</v>
      </c>
      <c r="B702">
        <f t="shared" si="21"/>
        <v>5815</v>
      </c>
      <c r="D702" s="1"/>
      <c r="E702" s="1" t="s">
        <v>139</v>
      </c>
      <c r="F702" s="1">
        <v>61</v>
      </c>
      <c r="G702" s="1">
        <v>1</v>
      </c>
      <c r="H702" s="1">
        <v>74.900000000000006</v>
      </c>
      <c r="I702" s="1"/>
      <c r="J702" s="1"/>
    </row>
    <row r="703" spans="1:10" x14ac:dyDescent="0.3">
      <c r="A703" t="str">
        <f t="shared" si="20"/>
        <v>FT%</v>
      </c>
      <c r="B703">
        <f t="shared" si="21"/>
        <v>12715</v>
      </c>
      <c r="D703" s="1"/>
      <c r="E703" s="1" t="s">
        <v>13</v>
      </c>
      <c r="F703" s="1">
        <v>69</v>
      </c>
      <c r="G703" s="1">
        <v>2</v>
      </c>
      <c r="H703" s="1">
        <v>74.599999999999994</v>
      </c>
      <c r="I703" s="1"/>
      <c r="J703" s="1"/>
    </row>
    <row r="704" spans="1:10" x14ac:dyDescent="0.3">
      <c r="A704" t="str">
        <f t="shared" si="20"/>
        <v>FT%</v>
      </c>
      <c r="B704">
        <f t="shared" si="21"/>
        <v>2315</v>
      </c>
      <c r="D704" s="1"/>
      <c r="E704" s="1" t="s">
        <v>79</v>
      </c>
      <c r="F704" s="1">
        <v>76</v>
      </c>
      <c r="G704" s="1">
        <v>6</v>
      </c>
      <c r="H704" s="1">
        <v>74.3</v>
      </c>
      <c r="I704" s="1"/>
      <c r="J704" s="1"/>
    </row>
    <row r="705" spans="1:10" x14ac:dyDescent="0.3">
      <c r="A705" t="str">
        <f t="shared" si="20"/>
        <v>FT%</v>
      </c>
      <c r="B705">
        <f t="shared" si="21"/>
        <v>2715</v>
      </c>
      <c r="D705" s="1"/>
      <c r="E705" s="1" t="s">
        <v>7</v>
      </c>
      <c r="F705" s="1">
        <v>82</v>
      </c>
      <c r="G705" s="1">
        <v>4</v>
      </c>
      <c r="H705" s="1">
        <v>74.2</v>
      </c>
      <c r="I705" s="1"/>
      <c r="J705" s="1"/>
    </row>
    <row r="706" spans="1:10" x14ac:dyDescent="0.3">
      <c r="A706" t="str">
        <f t="shared" ref="A706:A769" si="22">IF(NOT(D706=""),INDEX(statAbbr,MATCH(D706,statOfficial,0),1),A705)</f>
        <v>FT%</v>
      </c>
      <c r="B706">
        <f t="shared" ref="B706:B769" si="23">INDEX(statID,MATCH(A706,statAbbr,0),1)+INDEX(teamID,MATCH(E706,teamRawName,0))</f>
        <v>5015</v>
      </c>
      <c r="D706" s="1"/>
      <c r="E706" s="1" t="s">
        <v>110</v>
      </c>
      <c r="F706" s="1">
        <v>86</v>
      </c>
      <c r="G706" s="1">
        <v>6</v>
      </c>
      <c r="H706" s="1">
        <v>74</v>
      </c>
      <c r="I706" s="1"/>
      <c r="J706" s="1"/>
    </row>
    <row r="707" spans="1:10" x14ac:dyDescent="0.3">
      <c r="A707" t="str">
        <f t="shared" si="22"/>
        <v>FT%</v>
      </c>
      <c r="B707">
        <f t="shared" si="23"/>
        <v>2115</v>
      </c>
      <c r="D707" s="1"/>
      <c r="E707" s="1" t="s">
        <v>136</v>
      </c>
      <c r="F707" s="1">
        <v>93</v>
      </c>
      <c r="G707" s="1">
        <v>3</v>
      </c>
      <c r="H707" s="1">
        <v>73.599999999999994</v>
      </c>
      <c r="I707" s="1"/>
      <c r="J707" s="1"/>
    </row>
    <row r="708" spans="1:10" x14ac:dyDescent="0.3">
      <c r="A708" t="str">
        <f t="shared" si="22"/>
        <v>FT%</v>
      </c>
      <c r="B708">
        <f t="shared" si="23"/>
        <v>4315</v>
      </c>
      <c r="D708" s="1"/>
      <c r="E708" s="1" t="s">
        <v>125</v>
      </c>
      <c r="F708" s="1">
        <v>96</v>
      </c>
      <c r="G708" s="1">
        <v>7</v>
      </c>
      <c r="H708" s="1">
        <v>73.599999999999994</v>
      </c>
      <c r="I708" s="1"/>
      <c r="J708" s="1"/>
    </row>
    <row r="709" spans="1:10" x14ac:dyDescent="0.3">
      <c r="A709" t="str">
        <f t="shared" si="22"/>
        <v>FT%</v>
      </c>
      <c r="B709">
        <f t="shared" si="23"/>
        <v>1215</v>
      </c>
      <c r="D709" s="1"/>
      <c r="E709" s="1" t="s">
        <v>130</v>
      </c>
      <c r="F709" s="1">
        <v>104</v>
      </c>
      <c r="G709" s="1">
        <v>4</v>
      </c>
      <c r="H709" s="1">
        <v>73.3</v>
      </c>
      <c r="I709" s="1"/>
      <c r="J709" s="1"/>
    </row>
    <row r="710" spans="1:10" x14ac:dyDescent="0.3">
      <c r="A710" t="str">
        <f t="shared" si="22"/>
        <v>FT%</v>
      </c>
      <c r="B710">
        <f t="shared" si="23"/>
        <v>1915</v>
      </c>
      <c r="D710" s="1"/>
      <c r="E710" s="1" t="s">
        <v>112</v>
      </c>
      <c r="F710" s="1">
        <v>107</v>
      </c>
      <c r="G710" s="1">
        <v>9</v>
      </c>
      <c r="H710" s="1">
        <v>73.3</v>
      </c>
      <c r="I710" s="1"/>
      <c r="J710" s="1"/>
    </row>
    <row r="711" spans="1:10" x14ac:dyDescent="0.3">
      <c r="A711" t="str">
        <f t="shared" si="22"/>
        <v>FT%</v>
      </c>
      <c r="B711">
        <f t="shared" si="23"/>
        <v>3215</v>
      </c>
      <c r="D711" s="1"/>
      <c r="E711" s="1" t="s">
        <v>127</v>
      </c>
      <c r="F711" s="1">
        <v>109</v>
      </c>
      <c r="G711" s="1">
        <v>5</v>
      </c>
      <c r="H711" s="1">
        <v>73.2</v>
      </c>
      <c r="I711" s="1"/>
      <c r="J711" s="1"/>
    </row>
    <row r="712" spans="1:10" x14ac:dyDescent="0.3">
      <c r="A712" t="str">
        <f t="shared" si="22"/>
        <v>FT%</v>
      </c>
      <c r="B712">
        <f t="shared" si="23"/>
        <v>5615</v>
      </c>
      <c r="D712" s="1"/>
      <c r="E712" s="1" t="s">
        <v>62</v>
      </c>
      <c r="F712" s="1">
        <v>115</v>
      </c>
      <c r="G712" s="1">
        <v>6</v>
      </c>
      <c r="H712" s="1">
        <v>73.099999999999994</v>
      </c>
      <c r="I712" s="1"/>
      <c r="J712" s="1"/>
    </row>
    <row r="713" spans="1:10" x14ac:dyDescent="0.3">
      <c r="A713" t="str">
        <f t="shared" si="22"/>
        <v>FT%</v>
      </c>
      <c r="B713">
        <f t="shared" si="23"/>
        <v>12015</v>
      </c>
      <c r="D713" s="1"/>
      <c r="E713" s="1" t="s">
        <v>135</v>
      </c>
      <c r="F713" s="1">
        <v>127</v>
      </c>
      <c r="G713" s="1">
        <v>6</v>
      </c>
      <c r="H713" s="1">
        <v>72.8</v>
      </c>
      <c r="I713" s="1"/>
      <c r="J713" s="1"/>
    </row>
    <row r="714" spans="1:10" x14ac:dyDescent="0.3">
      <c r="A714" t="str">
        <f t="shared" si="22"/>
        <v>FT%</v>
      </c>
      <c r="B714">
        <f t="shared" si="23"/>
        <v>8215</v>
      </c>
      <c r="D714" s="1"/>
      <c r="E714" s="1" t="s">
        <v>131</v>
      </c>
      <c r="F714" s="1">
        <v>133</v>
      </c>
      <c r="G714" s="1">
        <v>5</v>
      </c>
      <c r="H714" s="1">
        <v>72.7</v>
      </c>
      <c r="I714" s="1"/>
      <c r="J714" s="1"/>
    </row>
    <row r="715" spans="1:10" x14ac:dyDescent="0.3">
      <c r="A715" t="str">
        <f t="shared" si="22"/>
        <v>FT%</v>
      </c>
      <c r="B715">
        <f t="shared" si="23"/>
        <v>9915</v>
      </c>
      <c r="D715" s="1"/>
      <c r="E715" s="1" t="s">
        <v>113</v>
      </c>
      <c r="F715" s="1">
        <v>154</v>
      </c>
      <c r="G715" s="1">
        <v>4</v>
      </c>
      <c r="H715" s="1">
        <v>72.3</v>
      </c>
      <c r="I715" s="1"/>
      <c r="J715" s="1"/>
    </row>
    <row r="716" spans="1:10" x14ac:dyDescent="0.3">
      <c r="A716" t="str">
        <f t="shared" si="22"/>
        <v>FT%</v>
      </c>
      <c r="B716">
        <f t="shared" si="23"/>
        <v>5415</v>
      </c>
      <c r="D716" s="1"/>
      <c r="E716" s="1" t="s">
        <v>94</v>
      </c>
      <c r="F716" s="1">
        <v>156</v>
      </c>
      <c r="G716" s="1">
        <v>10</v>
      </c>
      <c r="H716" s="1">
        <v>72.3</v>
      </c>
      <c r="I716" s="1"/>
      <c r="J716" s="1"/>
    </row>
    <row r="717" spans="1:10" x14ac:dyDescent="0.3">
      <c r="A717" t="str">
        <f t="shared" si="22"/>
        <v>FT%</v>
      </c>
      <c r="B717">
        <f t="shared" si="23"/>
        <v>11515</v>
      </c>
      <c r="D717" s="1"/>
      <c r="E717" s="1" t="s">
        <v>97</v>
      </c>
      <c r="F717" s="1">
        <v>162</v>
      </c>
      <c r="G717" s="1">
        <v>7</v>
      </c>
      <c r="H717" s="1">
        <v>72.2</v>
      </c>
      <c r="I717" s="1"/>
      <c r="J717" s="1"/>
    </row>
    <row r="718" spans="1:10" x14ac:dyDescent="0.3">
      <c r="A718" t="str">
        <f t="shared" si="22"/>
        <v>FT%</v>
      </c>
      <c r="B718">
        <f t="shared" si="23"/>
        <v>4415</v>
      </c>
      <c r="D718" s="1"/>
      <c r="E718" s="1" t="s">
        <v>83</v>
      </c>
      <c r="F718" s="1">
        <v>168</v>
      </c>
      <c r="G718" s="1">
        <v>4</v>
      </c>
      <c r="H718" s="1">
        <v>72.099999999999994</v>
      </c>
      <c r="I718" s="1"/>
      <c r="J718" s="1"/>
    </row>
    <row r="719" spans="1:10" x14ac:dyDescent="0.3">
      <c r="A719" t="str">
        <f t="shared" si="22"/>
        <v>FT%</v>
      </c>
      <c r="B719">
        <f t="shared" si="23"/>
        <v>3915</v>
      </c>
      <c r="D719" s="1"/>
      <c r="E719" s="1" t="s">
        <v>88</v>
      </c>
      <c r="F719" s="1">
        <v>170</v>
      </c>
      <c r="G719" s="1">
        <v>7</v>
      </c>
      <c r="H719" s="1">
        <v>72.099999999999994</v>
      </c>
      <c r="I719" s="1"/>
      <c r="J719" s="1"/>
    </row>
    <row r="720" spans="1:10" x14ac:dyDescent="0.3">
      <c r="A720" t="str">
        <f t="shared" si="22"/>
        <v>FT%</v>
      </c>
      <c r="B720">
        <f t="shared" si="23"/>
        <v>1415</v>
      </c>
      <c r="D720" s="1"/>
      <c r="E720" s="1" t="s">
        <v>102</v>
      </c>
      <c r="F720" s="1">
        <v>171</v>
      </c>
      <c r="G720" s="1">
        <v>6</v>
      </c>
      <c r="H720" s="1">
        <v>72</v>
      </c>
      <c r="I720" s="1"/>
      <c r="J720" s="1"/>
    </row>
    <row r="721" spans="1:10" x14ac:dyDescent="0.3">
      <c r="A721" t="str">
        <f t="shared" si="22"/>
        <v>FT%</v>
      </c>
      <c r="B721">
        <f t="shared" si="23"/>
        <v>4615</v>
      </c>
      <c r="D721" s="1"/>
      <c r="E721" s="1" t="s">
        <v>101</v>
      </c>
      <c r="F721" s="1">
        <v>176</v>
      </c>
      <c r="G721" s="1">
        <v>7</v>
      </c>
      <c r="H721" s="1">
        <v>72</v>
      </c>
      <c r="I721" s="1"/>
      <c r="J721" s="1"/>
    </row>
    <row r="722" spans="1:10" x14ac:dyDescent="0.3">
      <c r="A722" t="str">
        <f t="shared" si="22"/>
        <v>FT%</v>
      </c>
      <c r="B722">
        <f t="shared" si="23"/>
        <v>3015</v>
      </c>
      <c r="D722" s="1"/>
      <c r="E722" s="1" t="s">
        <v>89</v>
      </c>
      <c r="F722" s="1">
        <v>177</v>
      </c>
      <c r="G722" s="1">
        <v>9</v>
      </c>
      <c r="H722" s="1">
        <v>72</v>
      </c>
      <c r="I722" s="1"/>
      <c r="J722" s="1"/>
    </row>
    <row r="723" spans="1:10" x14ac:dyDescent="0.3">
      <c r="A723" t="str">
        <f t="shared" si="22"/>
        <v>FT%</v>
      </c>
      <c r="B723">
        <f t="shared" si="23"/>
        <v>2215</v>
      </c>
      <c r="D723" s="1"/>
      <c r="E723" s="1" t="s">
        <v>119</v>
      </c>
      <c r="F723" s="1">
        <v>178</v>
      </c>
      <c r="G723" s="1">
        <v>8</v>
      </c>
      <c r="H723" s="1">
        <v>72</v>
      </c>
      <c r="I723" s="1"/>
      <c r="J723" s="1"/>
    </row>
    <row r="724" spans="1:10" x14ac:dyDescent="0.3">
      <c r="A724" t="str">
        <f t="shared" si="22"/>
        <v>FT%</v>
      </c>
      <c r="B724">
        <f t="shared" si="23"/>
        <v>12115</v>
      </c>
      <c r="D724" s="1"/>
      <c r="E724" s="1" t="s">
        <v>140</v>
      </c>
      <c r="F724" s="1">
        <v>179</v>
      </c>
      <c r="G724" s="1">
        <v>2</v>
      </c>
      <c r="H724" s="1">
        <v>72</v>
      </c>
      <c r="I724" s="1"/>
      <c r="J724" s="1"/>
    </row>
    <row r="725" spans="1:10" x14ac:dyDescent="0.3">
      <c r="A725" t="str">
        <f t="shared" si="22"/>
        <v>FT%</v>
      </c>
      <c r="B725">
        <f t="shared" si="23"/>
        <v>12915</v>
      </c>
      <c r="D725" s="1"/>
      <c r="E725" s="1" t="s">
        <v>132</v>
      </c>
      <c r="F725" s="1">
        <v>180</v>
      </c>
      <c r="G725" s="1">
        <v>11</v>
      </c>
      <c r="H725" s="1">
        <v>72</v>
      </c>
      <c r="I725" s="1"/>
      <c r="J725" s="1"/>
    </row>
    <row r="726" spans="1:10" x14ac:dyDescent="0.3">
      <c r="A726" t="str">
        <f t="shared" si="22"/>
        <v>FT%</v>
      </c>
      <c r="B726">
        <f t="shared" si="23"/>
        <v>6915</v>
      </c>
      <c r="D726" s="1"/>
      <c r="E726" s="1" t="s">
        <v>114</v>
      </c>
      <c r="F726" s="1">
        <v>182</v>
      </c>
      <c r="G726" s="1">
        <v>7</v>
      </c>
      <c r="H726" s="1">
        <v>71.900000000000006</v>
      </c>
      <c r="I726" s="1"/>
      <c r="J726" s="1"/>
    </row>
    <row r="727" spans="1:10" x14ac:dyDescent="0.3">
      <c r="A727" t="str">
        <f t="shared" si="22"/>
        <v>FT%</v>
      </c>
      <c r="B727">
        <f t="shared" si="23"/>
        <v>2915</v>
      </c>
      <c r="D727" s="1"/>
      <c r="E727" s="1" t="s">
        <v>96</v>
      </c>
      <c r="F727" s="1">
        <v>189</v>
      </c>
      <c r="G727" s="1">
        <v>8</v>
      </c>
      <c r="H727" s="1">
        <v>71.7</v>
      </c>
      <c r="I727" s="1"/>
      <c r="J727" s="1"/>
    </row>
    <row r="728" spans="1:10" x14ac:dyDescent="0.3">
      <c r="A728" t="str">
        <f t="shared" si="22"/>
        <v>FT%</v>
      </c>
      <c r="B728">
        <f t="shared" si="23"/>
        <v>7915</v>
      </c>
      <c r="D728" s="1"/>
      <c r="E728" s="1" t="s">
        <v>103</v>
      </c>
      <c r="F728" s="1">
        <v>192</v>
      </c>
      <c r="G728" s="1">
        <v>5</v>
      </c>
      <c r="H728" s="1">
        <v>71.599999999999994</v>
      </c>
      <c r="I728" s="1"/>
      <c r="J728" s="1"/>
    </row>
    <row r="729" spans="1:10" x14ac:dyDescent="0.3">
      <c r="A729" t="str">
        <f t="shared" si="22"/>
        <v>FT%</v>
      </c>
      <c r="B729">
        <f t="shared" si="23"/>
        <v>5715</v>
      </c>
      <c r="D729" s="1"/>
      <c r="E729" s="1" t="s">
        <v>120</v>
      </c>
      <c r="F729" s="1">
        <v>197</v>
      </c>
      <c r="G729" s="1">
        <v>10</v>
      </c>
      <c r="H729" s="1">
        <v>71.5</v>
      </c>
      <c r="I729" s="1"/>
      <c r="J729" s="1"/>
    </row>
    <row r="730" spans="1:10" x14ac:dyDescent="0.3">
      <c r="A730" t="str">
        <f t="shared" si="22"/>
        <v>FT%</v>
      </c>
      <c r="B730">
        <f t="shared" si="23"/>
        <v>12815</v>
      </c>
      <c r="D730" s="1"/>
      <c r="E730" s="1" t="s">
        <v>142</v>
      </c>
      <c r="F730" s="1">
        <v>207</v>
      </c>
      <c r="G730" s="1">
        <v>7</v>
      </c>
      <c r="H730" s="1">
        <v>71.2</v>
      </c>
      <c r="I730" s="1"/>
      <c r="J730" s="1"/>
    </row>
    <row r="731" spans="1:10" x14ac:dyDescent="0.3">
      <c r="A731" t="str">
        <f t="shared" si="22"/>
        <v>FT%</v>
      </c>
      <c r="B731">
        <f t="shared" si="23"/>
        <v>9115</v>
      </c>
      <c r="D731" s="1"/>
      <c r="E731" s="1" t="s">
        <v>99</v>
      </c>
      <c r="F731" s="1">
        <v>211</v>
      </c>
      <c r="G731" s="1">
        <v>11</v>
      </c>
      <c r="H731" s="1">
        <v>71.099999999999994</v>
      </c>
      <c r="I731" s="1"/>
      <c r="J731" s="1"/>
    </row>
    <row r="732" spans="1:10" x14ac:dyDescent="0.3">
      <c r="A732" t="str">
        <f t="shared" si="22"/>
        <v>FT%</v>
      </c>
      <c r="B732">
        <f t="shared" si="23"/>
        <v>1715</v>
      </c>
      <c r="D732" s="1"/>
      <c r="E732" s="1" t="s">
        <v>133</v>
      </c>
      <c r="F732" s="1">
        <v>217</v>
      </c>
      <c r="G732" s="1">
        <v>8</v>
      </c>
      <c r="H732" s="1">
        <v>71</v>
      </c>
      <c r="I732" s="1"/>
      <c r="J732" s="1"/>
    </row>
    <row r="733" spans="1:10" x14ac:dyDescent="0.3">
      <c r="A733" t="str">
        <f t="shared" si="22"/>
        <v>FT%</v>
      </c>
      <c r="B733">
        <f t="shared" si="23"/>
        <v>12415</v>
      </c>
      <c r="D733" s="1"/>
      <c r="E733" s="1" t="s">
        <v>128</v>
      </c>
      <c r="F733" s="1">
        <v>223</v>
      </c>
      <c r="G733" s="1">
        <v>7</v>
      </c>
      <c r="H733" s="1">
        <v>70.900000000000006</v>
      </c>
      <c r="I733" s="1"/>
      <c r="J733" s="1"/>
    </row>
    <row r="734" spans="1:10" x14ac:dyDescent="0.3">
      <c r="A734" t="str">
        <f t="shared" si="22"/>
        <v>FT%</v>
      </c>
      <c r="B734">
        <f t="shared" si="23"/>
        <v>11915</v>
      </c>
      <c r="D734" s="1"/>
      <c r="E734" s="1" t="s">
        <v>143</v>
      </c>
      <c r="F734" s="1">
        <v>227</v>
      </c>
      <c r="G734" s="1">
        <v>8</v>
      </c>
      <c r="H734" s="1">
        <v>70.8</v>
      </c>
      <c r="I734" s="1"/>
      <c r="J734" s="1"/>
    </row>
    <row r="735" spans="1:10" x14ac:dyDescent="0.3">
      <c r="A735" t="str">
        <f t="shared" si="22"/>
        <v>FT%</v>
      </c>
      <c r="B735">
        <f t="shared" si="23"/>
        <v>915</v>
      </c>
      <c r="D735" s="1"/>
      <c r="E735" s="1" t="s">
        <v>90</v>
      </c>
      <c r="F735" s="1">
        <v>228</v>
      </c>
      <c r="G735" s="1">
        <v>10</v>
      </c>
      <c r="H735" s="1">
        <v>70.8</v>
      </c>
      <c r="I735" s="1"/>
      <c r="J735" s="1"/>
    </row>
    <row r="736" spans="1:10" x14ac:dyDescent="0.3">
      <c r="A736" t="str">
        <f t="shared" si="22"/>
        <v>FT%</v>
      </c>
      <c r="B736">
        <f t="shared" si="23"/>
        <v>4715</v>
      </c>
      <c r="D736" s="1"/>
      <c r="E736" s="1" t="s">
        <v>107</v>
      </c>
      <c r="F736" s="1">
        <v>231</v>
      </c>
      <c r="G736" s="1">
        <v>8</v>
      </c>
      <c r="H736" s="1">
        <v>70.7</v>
      </c>
      <c r="I736" s="1"/>
      <c r="J736" s="1"/>
    </row>
    <row r="737" spans="1:10" x14ac:dyDescent="0.3">
      <c r="A737" t="str">
        <f t="shared" si="22"/>
        <v>FT%</v>
      </c>
      <c r="B737">
        <f t="shared" si="23"/>
        <v>12515</v>
      </c>
      <c r="D737" s="1"/>
      <c r="E737" s="1" t="s">
        <v>95</v>
      </c>
      <c r="F737" s="1">
        <v>233</v>
      </c>
      <c r="G737" s="1">
        <v>4</v>
      </c>
      <c r="H737" s="1">
        <v>70.7</v>
      </c>
      <c r="I737" s="1"/>
      <c r="J737" s="1"/>
    </row>
    <row r="738" spans="1:10" x14ac:dyDescent="0.3">
      <c r="A738" t="str">
        <f t="shared" si="22"/>
        <v>FT%</v>
      </c>
      <c r="B738">
        <f t="shared" si="23"/>
        <v>3615</v>
      </c>
      <c r="D738" s="1"/>
      <c r="E738" s="1" t="s">
        <v>129</v>
      </c>
      <c r="F738" s="1">
        <v>234</v>
      </c>
      <c r="G738" s="1">
        <v>13</v>
      </c>
      <c r="H738" s="1">
        <v>70.7</v>
      </c>
      <c r="I738" s="1"/>
      <c r="J738" s="1"/>
    </row>
    <row r="739" spans="1:10" x14ac:dyDescent="0.3">
      <c r="A739" t="str">
        <f t="shared" si="22"/>
        <v>FT%</v>
      </c>
      <c r="B739">
        <f t="shared" si="23"/>
        <v>1515</v>
      </c>
      <c r="D739" s="1"/>
      <c r="E739" s="1" t="s">
        <v>124</v>
      </c>
      <c r="F739" s="1">
        <v>238</v>
      </c>
      <c r="G739" s="1">
        <v>7</v>
      </c>
      <c r="H739" s="1">
        <v>70.599999999999994</v>
      </c>
      <c r="I739" s="1"/>
      <c r="J739" s="1"/>
    </row>
    <row r="740" spans="1:10" x14ac:dyDescent="0.3">
      <c r="A740" t="str">
        <f t="shared" si="22"/>
        <v>FT%</v>
      </c>
      <c r="B740">
        <f t="shared" si="23"/>
        <v>10315</v>
      </c>
      <c r="D740" s="1"/>
      <c r="E740" s="1" t="s">
        <v>134</v>
      </c>
      <c r="F740" s="1">
        <v>246</v>
      </c>
      <c r="G740" s="1">
        <v>9</v>
      </c>
      <c r="H740" s="1">
        <v>70.400000000000006</v>
      </c>
      <c r="I740" s="1"/>
      <c r="J740" s="1"/>
    </row>
    <row r="741" spans="1:10" x14ac:dyDescent="0.3">
      <c r="A741" t="str">
        <f t="shared" si="22"/>
        <v>FT%</v>
      </c>
      <c r="B741">
        <f t="shared" si="23"/>
        <v>11615</v>
      </c>
      <c r="D741" s="1"/>
      <c r="E741" s="1" t="s">
        <v>121</v>
      </c>
      <c r="F741" s="1">
        <v>249</v>
      </c>
      <c r="G741" s="1">
        <v>3</v>
      </c>
      <c r="H741" s="1">
        <v>70.400000000000006</v>
      </c>
      <c r="I741" s="1"/>
      <c r="J741" s="1"/>
    </row>
    <row r="742" spans="1:10" x14ac:dyDescent="0.3">
      <c r="A742" t="str">
        <f t="shared" si="22"/>
        <v>FT%</v>
      </c>
      <c r="B742">
        <f t="shared" si="23"/>
        <v>3315</v>
      </c>
      <c r="D742" s="1"/>
      <c r="E742" s="1" t="s">
        <v>91</v>
      </c>
      <c r="F742" s="1">
        <v>253</v>
      </c>
      <c r="G742" s="1">
        <v>11</v>
      </c>
      <c r="H742" s="1">
        <v>70.3</v>
      </c>
      <c r="I742" s="1"/>
      <c r="J742" s="1"/>
    </row>
    <row r="743" spans="1:10" x14ac:dyDescent="0.3">
      <c r="A743" t="str">
        <f t="shared" si="22"/>
        <v>FT%</v>
      </c>
      <c r="B743">
        <f t="shared" si="23"/>
        <v>4815</v>
      </c>
      <c r="D743" s="1"/>
      <c r="E743" s="1" t="s">
        <v>104</v>
      </c>
      <c r="F743" s="1">
        <v>254</v>
      </c>
      <c r="G743" s="1">
        <v>7</v>
      </c>
      <c r="H743" s="1">
        <v>70.3</v>
      </c>
      <c r="I743" s="1"/>
      <c r="J743" s="1"/>
    </row>
    <row r="744" spans="1:10" x14ac:dyDescent="0.3">
      <c r="A744" t="str">
        <f t="shared" si="22"/>
        <v>FT%</v>
      </c>
      <c r="B744">
        <f t="shared" si="23"/>
        <v>615</v>
      </c>
      <c r="D744" s="1"/>
      <c r="E744" s="1" t="s">
        <v>100</v>
      </c>
      <c r="F744" s="1">
        <v>260</v>
      </c>
      <c r="G744" s="1">
        <v>10</v>
      </c>
      <c r="H744" s="1">
        <v>70.2</v>
      </c>
      <c r="I744" s="1"/>
      <c r="J744" s="1"/>
    </row>
    <row r="745" spans="1:10" x14ac:dyDescent="0.3">
      <c r="A745" t="str">
        <f t="shared" si="22"/>
        <v>FT%</v>
      </c>
      <c r="B745">
        <f t="shared" si="23"/>
        <v>215</v>
      </c>
      <c r="D745" s="1"/>
      <c r="E745" s="1" t="s">
        <v>98</v>
      </c>
      <c r="F745" s="1">
        <v>282</v>
      </c>
      <c r="G745" s="1">
        <v>7</v>
      </c>
      <c r="H745" s="1">
        <v>69.3</v>
      </c>
      <c r="I745" s="1"/>
      <c r="J745" s="1"/>
    </row>
    <row r="746" spans="1:10" x14ac:dyDescent="0.3">
      <c r="A746" t="str">
        <f t="shared" si="22"/>
        <v>FT%</v>
      </c>
      <c r="B746">
        <f t="shared" si="23"/>
        <v>2815</v>
      </c>
      <c r="D746" s="1"/>
      <c r="E746" s="1" t="s">
        <v>106</v>
      </c>
      <c r="F746" s="1">
        <v>292</v>
      </c>
      <c r="G746" s="1">
        <v>14</v>
      </c>
      <c r="H746" s="1">
        <v>68.7</v>
      </c>
      <c r="I746" s="1"/>
      <c r="J746" s="1"/>
    </row>
    <row r="747" spans="1:10" x14ac:dyDescent="0.3">
      <c r="A747" t="str">
        <f t="shared" si="22"/>
        <v>FT%</v>
      </c>
      <c r="B747">
        <f t="shared" si="23"/>
        <v>11415</v>
      </c>
      <c r="D747" s="1"/>
      <c r="E747" s="1" t="s">
        <v>138</v>
      </c>
      <c r="F747" s="1">
        <v>293</v>
      </c>
      <c r="G747" s="1">
        <v>6</v>
      </c>
      <c r="H747" s="1">
        <v>68.7</v>
      </c>
      <c r="I747" s="1"/>
      <c r="J747" s="1"/>
    </row>
    <row r="748" spans="1:10" x14ac:dyDescent="0.3">
      <c r="A748" t="str">
        <f t="shared" si="22"/>
        <v>FT%</v>
      </c>
      <c r="B748">
        <f t="shared" si="23"/>
        <v>8415</v>
      </c>
      <c r="D748" s="1"/>
      <c r="E748" s="1" t="s">
        <v>109</v>
      </c>
      <c r="F748" s="1">
        <v>301</v>
      </c>
      <c r="G748" s="1">
        <v>6</v>
      </c>
      <c r="H748" s="1">
        <v>68.099999999999994</v>
      </c>
      <c r="I748" s="1"/>
      <c r="J748" s="1"/>
    </row>
    <row r="749" spans="1:10" x14ac:dyDescent="0.3">
      <c r="A749" t="str">
        <f t="shared" si="22"/>
        <v>FT%</v>
      </c>
      <c r="B749">
        <f t="shared" si="23"/>
        <v>2515</v>
      </c>
      <c r="D749" s="1"/>
      <c r="E749" s="1" t="s">
        <v>92</v>
      </c>
      <c r="F749" s="1">
        <v>308</v>
      </c>
      <c r="G749" s="1">
        <v>8</v>
      </c>
      <c r="H749" s="1">
        <v>67.599999999999994</v>
      </c>
      <c r="I749" s="1"/>
      <c r="J749" s="1"/>
    </row>
    <row r="750" spans="1:10" x14ac:dyDescent="0.3">
      <c r="A750" t="str">
        <f t="shared" si="22"/>
        <v>FT%</v>
      </c>
      <c r="B750">
        <f t="shared" si="23"/>
        <v>1615</v>
      </c>
      <c r="D750" s="1"/>
      <c r="E750" s="1" t="s">
        <v>137</v>
      </c>
      <c r="F750" s="1">
        <v>313</v>
      </c>
      <c r="G750" s="1">
        <v>14</v>
      </c>
      <c r="H750" s="1">
        <v>67</v>
      </c>
      <c r="I750" s="1"/>
      <c r="J750" s="1"/>
    </row>
    <row r="751" spans="1:10" x14ac:dyDescent="0.3">
      <c r="A751" t="str">
        <f t="shared" si="22"/>
        <v>FT%</v>
      </c>
      <c r="B751">
        <f t="shared" si="23"/>
        <v>2615</v>
      </c>
      <c r="D751" s="1"/>
      <c r="E751" s="1" t="s">
        <v>80</v>
      </c>
      <c r="F751" s="1">
        <v>344</v>
      </c>
      <c r="G751" s="1">
        <v>15</v>
      </c>
      <c r="H751" s="1">
        <v>63.7</v>
      </c>
      <c r="I751" s="1"/>
      <c r="J751" s="1"/>
    </row>
    <row r="752" spans="1:10" x14ac:dyDescent="0.3">
      <c r="A752" t="str">
        <f t="shared" si="22"/>
        <v>FTPG</v>
      </c>
      <c r="B752">
        <f t="shared" si="23"/>
        <v>5817</v>
      </c>
      <c r="D752" s="1" t="s">
        <v>160</v>
      </c>
      <c r="E752" s="1" t="s">
        <v>139</v>
      </c>
      <c r="F752" s="1">
        <v>3</v>
      </c>
      <c r="G752" s="1">
        <v>1</v>
      </c>
      <c r="H752" s="1">
        <v>19.3</v>
      </c>
      <c r="I752" s="1" t="s">
        <v>161</v>
      </c>
      <c r="J752" s="1">
        <v>20.100000000000001</v>
      </c>
    </row>
    <row r="753" spans="1:10" x14ac:dyDescent="0.3">
      <c r="A753" t="str">
        <f t="shared" si="22"/>
        <v>FTPG</v>
      </c>
      <c r="B753">
        <f t="shared" si="23"/>
        <v>5717</v>
      </c>
      <c r="D753" s="1"/>
      <c r="E753" s="1" t="s">
        <v>120</v>
      </c>
      <c r="F753" s="1">
        <v>7</v>
      </c>
      <c r="G753" s="1">
        <v>2</v>
      </c>
      <c r="H753" s="1">
        <v>17.899999999999999</v>
      </c>
      <c r="I753" s="1"/>
      <c r="J753" s="1"/>
    </row>
    <row r="754" spans="1:10" x14ac:dyDescent="0.3">
      <c r="A754" t="str">
        <f t="shared" si="22"/>
        <v>FTPG</v>
      </c>
      <c r="B754">
        <f t="shared" si="23"/>
        <v>12717</v>
      </c>
      <c r="D754" s="1"/>
      <c r="E754" s="1" t="s">
        <v>13</v>
      </c>
      <c r="F754" s="1">
        <v>8</v>
      </c>
      <c r="G754" s="1">
        <v>2</v>
      </c>
      <c r="H754" s="1">
        <v>17.8</v>
      </c>
      <c r="I754" s="1"/>
      <c r="J754" s="1"/>
    </row>
    <row r="755" spans="1:10" x14ac:dyDescent="0.3">
      <c r="A755" t="str">
        <f t="shared" si="22"/>
        <v>FTPG</v>
      </c>
      <c r="B755">
        <f t="shared" si="23"/>
        <v>3717</v>
      </c>
      <c r="D755" s="1"/>
      <c r="E755" s="1" t="s">
        <v>115</v>
      </c>
      <c r="F755" s="1">
        <v>9</v>
      </c>
      <c r="G755" s="1">
        <v>3</v>
      </c>
      <c r="H755" s="1">
        <v>17.600000000000001</v>
      </c>
      <c r="I755" s="1"/>
      <c r="J755" s="1"/>
    </row>
    <row r="756" spans="1:10" x14ac:dyDescent="0.3">
      <c r="A756" t="str">
        <f t="shared" si="22"/>
        <v>FTPG</v>
      </c>
      <c r="B756">
        <f t="shared" si="23"/>
        <v>3617</v>
      </c>
      <c r="D756" s="1"/>
      <c r="E756" s="1" t="s">
        <v>129</v>
      </c>
      <c r="F756" s="1">
        <v>10</v>
      </c>
      <c r="G756" s="1">
        <v>4</v>
      </c>
      <c r="H756" s="1">
        <v>17.5</v>
      </c>
      <c r="I756" s="1"/>
      <c r="J756" s="1"/>
    </row>
    <row r="757" spans="1:10" x14ac:dyDescent="0.3">
      <c r="A757" t="str">
        <f t="shared" si="22"/>
        <v>FTPG</v>
      </c>
      <c r="B757">
        <f t="shared" si="23"/>
        <v>4617</v>
      </c>
      <c r="D757" s="1"/>
      <c r="E757" s="1" t="s">
        <v>101</v>
      </c>
      <c r="F757" s="1">
        <v>11</v>
      </c>
      <c r="G757" s="1">
        <v>1</v>
      </c>
      <c r="H757" s="1">
        <v>17.399999999999999</v>
      </c>
      <c r="I757" s="1"/>
      <c r="J757" s="1"/>
    </row>
    <row r="758" spans="1:10" x14ac:dyDescent="0.3">
      <c r="A758" t="str">
        <f t="shared" si="22"/>
        <v>FTPG</v>
      </c>
      <c r="B758">
        <f t="shared" si="23"/>
        <v>4517</v>
      </c>
      <c r="D758" s="1"/>
      <c r="E758" s="1" t="s">
        <v>84</v>
      </c>
      <c r="F758" s="1">
        <v>13</v>
      </c>
      <c r="G758" s="1">
        <v>5</v>
      </c>
      <c r="H758" s="1">
        <v>17.399999999999999</v>
      </c>
      <c r="I758" s="1"/>
      <c r="J758" s="1"/>
    </row>
    <row r="759" spans="1:10" x14ac:dyDescent="0.3">
      <c r="A759" t="str">
        <f t="shared" si="22"/>
        <v>FTPG</v>
      </c>
      <c r="B759">
        <f t="shared" si="23"/>
        <v>8817</v>
      </c>
      <c r="D759" s="1"/>
      <c r="E759" s="1" t="s">
        <v>141</v>
      </c>
      <c r="F759" s="1">
        <v>14</v>
      </c>
      <c r="G759" s="1">
        <v>1</v>
      </c>
      <c r="H759" s="1">
        <v>17.3</v>
      </c>
      <c r="I759" s="1"/>
      <c r="J759" s="1"/>
    </row>
    <row r="760" spans="1:10" x14ac:dyDescent="0.3">
      <c r="A760" t="str">
        <f t="shared" si="22"/>
        <v>FTPG</v>
      </c>
      <c r="B760">
        <f t="shared" si="23"/>
        <v>3017</v>
      </c>
      <c r="D760" s="1"/>
      <c r="E760" s="1" t="s">
        <v>89</v>
      </c>
      <c r="F760" s="1">
        <v>15</v>
      </c>
      <c r="G760" s="1">
        <v>1</v>
      </c>
      <c r="H760" s="1">
        <v>17.3</v>
      </c>
      <c r="I760" s="1"/>
      <c r="J760" s="1"/>
    </row>
    <row r="761" spans="1:10" x14ac:dyDescent="0.3">
      <c r="A761" t="str">
        <f t="shared" si="22"/>
        <v>FTPG</v>
      </c>
      <c r="B761">
        <f t="shared" si="23"/>
        <v>4917</v>
      </c>
      <c r="D761" s="1"/>
      <c r="E761" s="1" t="s">
        <v>108</v>
      </c>
      <c r="F761" s="1">
        <v>16</v>
      </c>
      <c r="G761" s="1">
        <v>1</v>
      </c>
      <c r="H761" s="1">
        <v>17.3</v>
      </c>
      <c r="I761" s="1"/>
      <c r="J761" s="1"/>
    </row>
    <row r="762" spans="1:10" x14ac:dyDescent="0.3">
      <c r="A762" t="str">
        <f t="shared" si="22"/>
        <v>FTPG</v>
      </c>
      <c r="B762">
        <f t="shared" si="23"/>
        <v>4317</v>
      </c>
      <c r="D762" s="1"/>
      <c r="E762" s="1" t="s">
        <v>125</v>
      </c>
      <c r="F762" s="1">
        <v>21</v>
      </c>
      <c r="G762" s="1">
        <v>2</v>
      </c>
      <c r="H762" s="1">
        <v>16.899999999999999</v>
      </c>
      <c r="I762" s="1"/>
      <c r="J762" s="1"/>
    </row>
    <row r="763" spans="1:10" x14ac:dyDescent="0.3">
      <c r="A763" t="str">
        <f t="shared" si="22"/>
        <v>FTPG</v>
      </c>
      <c r="B763">
        <f t="shared" si="23"/>
        <v>12417</v>
      </c>
      <c r="D763" s="1"/>
      <c r="E763" s="1" t="s">
        <v>128</v>
      </c>
      <c r="F763" s="1">
        <v>23</v>
      </c>
      <c r="G763" s="1">
        <v>1</v>
      </c>
      <c r="H763" s="1">
        <v>16.8</v>
      </c>
      <c r="I763" s="1"/>
      <c r="J763" s="1"/>
    </row>
    <row r="764" spans="1:10" x14ac:dyDescent="0.3">
      <c r="A764" t="str">
        <f t="shared" si="22"/>
        <v>FTPG</v>
      </c>
      <c r="B764">
        <f t="shared" si="23"/>
        <v>2917</v>
      </c>
      <c r="D764" s="1"/>
      <c r="E764" s="1" t="s">
        <v>96</v>
      </c>
      <c r="F764" s="1">
        <v>24</v>
      </c>
      <c r="G764" s="1">
        <v>1</v>
      </c>
      <c r="H764" s="1">
        <v>16.8</v>
      </c>
      <c r="I764" s="1"/>
      <c r="J764" s="1"/>
    </row>
    <row r="765" spans="1:10" x14ac:dyDescent="0.3">
      <c r="A765" t="str">
        <f t="shared" si="22"/>
        <v>FTPG</v>
      </c>
      <c r="B765">
        <f t="shared" si="23"/>
        <v>3217</v>
      </c>
      <c r="D765" s="1"/>
      <c r="E765" s="1" t="s">
        <v>127</v>
      </c>
      <c r="F765" s="1">
        <v>29</v>
      </c>
      <c r="G765" s="1">
        <v>1</v>
      </c>
      <c r="H765" s="1">
        <v>16.5</v>
      </c>
      <c r="I765" s="1"/>
      <c r="J765" s="1"/>
    </row>
    <row r="766" spans="1:10" x14ac:dyDescent="0.3">
      <c r="A766" t="str">
        <f t="shared" si="22"/>
        <v>FTPG</v>
      </c>
      <c r="B766">
        <f t="shared" si="23"/>
        <v>1417</v>
      </c>
      <c r="D766" s="1"/>
      <c r="E766" s="1" t="s">
        <v>102</v>
      </c>
      <c r="F766" s="1">
        <v>41</v>
      </c>
      <c r="G766" s="1">
        <v>2</v>
      </c>
      <c r="H766" s="1">
        <v>16.100000000000001</v>
      </c>
      <c r="I766" s="1"/>
      <c r="J766" s="1"/>
    </row>
    <row r="767" spans="1:10" x14ac:dyDescent="0.3">
      <c r="A767" t="str">
        <f t="shared" si="22"/>
        <v>FTPG</v>
      </c>
      <c r="B767">
        <f t="shared" si="23"/>
        <v>9917</v>
      </c>
      <c r="D767" s="1"/>
      <c r="E767" s="1" t="s">
        <v>113</v>
      </c>
      <c r="F767" s="1">
        <v>54</v>
      </c>
      <c r="G767" s="1">
        <v>1</v>
      </c>
      <c r="H767" s="1">
        <v>15.8</v>
      </c>
      <c r="I767" s="1"/>
      <c r="J767" s="1"/>
    </row>
    <row r="768" spans="1:10" x14ac:dyDescent="0.3">
      <c r="A768" t="str">
        <f t="shared" si="22"/>
        <v>FTPG</v>
      </c>
      <c r="B768">
        <f t="shared" si="23"/>
        <v>11417</v>
      </c>
      <c r="D768" s="1"/>
      <c r="E768" s="1" t="s">
        <v>138</v>
      </c>
      <c r="F768" s="1">
        <v>55</v>
      </c>
      <c r="G768" s="1">
        <v>4</v>
      </c>
      <c r="H768" s="1">
        <v>15.8</v>
      </c>
      <c r="I768" s="1"/>
      <c r="J768" s="1"/>
    </row>
    <row r="769" spans="1:10" x14ac:dyDescent="0.3">
      <c r="A769" t="str">
        <f t="shared" si="22"/>
        <v>FTPG</v>
      </c>
      <c r="B769">
        <f t="shared" si="23"/>
        <v>6317</v>
      </c>
      <c r="D769" s="1"/>
      <c r="E769" s="1" t="s">
        <v>122</v>
      </c>
      <c r="F769" s="1">
        <v>57</v>
      </c>
      <c r="G769" s="1">
        <v>2</v>
      </c>
      <c r="H769" s="1">
        <v>15.8</v>
      </c>
      <c r="I769" s="1"/>
      <c r="J769" s="1"/>
    </row>
    <row r="770" spans="1:10" x14ac:dyDescent="0.3">
      <c r="A770" t="str">
        <f t="shared" ref="A770:A833" si="24">IF(NOT(D770=""),INDEX(statAbbr,MATCH(D770,statOfficial,0),1),A769)</f>
        <v>FTPG</v>
      </c>
      <c r="B770">
        <f t="shared" ref="B770:B833" si="25">INDEX(statID,MATCH(A770,statAbbr,0),1)+INDEX(teamID,MATCH(E770,teamRawName,0))</f>
        <v>5617</v>
      </c>
      <c r="D770" s="1"/>
      <c r="E770" s="1" t="s">
        <v>62</v>
      </c>
      <c r="F770" s="1">
        <v>58</v>
      </c>
      <c r="G770" s="1">
        <v>2</v>
      </c>
      <c r="H770" s="1">
        <v>15.7</v>
      </c>
      <c r="I770" s="1"/>
      <c r="J770" s="1"/>
    </row>
    <row r="771" spans="1:10" x14ac:dyDescent="0.3">
      <c r="A771" t="str">
        <f t="shared" si="24"/>
        <v>FTPG</v>
      </c>
      <c r="B771">
        <f t="shared" si="25"/>
        <v>3517</v>
      </c>
      <c r="D771" s="1"/>
      <c r="E771" s="1" t="s">
        <v>87</v>
      </c>
      <c r="F771" s="1">
        <v>63</v>
      </c>
      <c r="G771" s="1">
        <v>7</v>
      </c>
      <c r="H771" s="1">
        <v>15.6</v>
      </c>
      <c r="I771" s="1"/>
      <c r="J771" s="1"/>
    </row>
    <row r="772" spans="1:10" x14ac:dyDescent="0.3">
      <c r="A772" t="str">
        <f t="shared" si="24"/>
        <v>FTPG</v>
      </c>
      <c r="B772">
        <f t="shared" si="25"/>
        <v>1217</v>
      </c>
      <c r="D772" s="1"/>
      <c r="E772" s="1" t="s">
        <v>130</v>
      </c>
      <c r="F772" s="1">
        <v>71</v>
      </c>
      <c r="G772" s="1">
        <v>4</v>
      </c>
      <c r="H772" s="1">
        <v>15.5</v>
      </c>
      <c r="I772" s="1"/>
      <c r="J772" s="1"/>
    </row>
    <row r="773" spans="1:10" x14ac:dyDescent="0.3">
      <c r="A773" t="str">
        <f t="shared" si="24"/>
        <v>FTPG</v>
      </c>
      <c r="B773">
        <f t="shared" si="25"/>
        <v>12817</v>
      </c>
      <c r="D773" s="1"/>
      <c r="E773" s="1" t="s">
        <v>142</v>
      </c>
      <c r="F773" s="1">
        <v>72</v>
      </c>
      <c r="G773" s="1">
        <v>1</v>
      </c>
      <c r="H773" s="1">
        <v>15.4</v>
      </c>
      <c r="I773" s="1"/>
      <c r="J773" s="1"/>
    </row>
    <row r="774" spans="1:10" x14ac:dyDescent="0.3">
      <c r="A774" t="str">
        <f t="shared" si="24"/>
        <v>FTPG</v>
      </c>
      <c r="B774">
        <f t="shared" si="25"/>
        <v>2217</v>
      </c>
      <c r="D774" s="1"/>
      <c r="E774" s="1" t="s">
        <v>119</v>
      </c>
      <c r="F774" s="1">
        <v>78</v>
      </c>
      <c r="G774" s="1">
        <v>7</v>
      </c>
      <c r="H774" s="1">
        <v>15.3</v>
      </c>
      <c r="I774" s="1"/>
      <c r="J774" s="1"/>
    </row>
    <row r="775" spans="1:10" x14ac:dyDescent="0.3">
      <c r="A775" t="str">
        <f t="shared" si="24"/>
        <v>FTPG</v>
      </c>
      <c r="B775">
        <f t="shared" si="25"/>
        <v>2117</v>
      </c>
      <c r="D775" s="1"/>
      <c r="E775" s="1" t="s">
        <v>136</v>
      </c>
      <c r="F775" s="1">
        <v>79</v>
      </c>
      <c r="G775" s="1">
        <v>5</v>
      </c>
      <c r="H775" s="1">
        <v>15.3</v>
      </c>
      <c r="I775" s="1"/>
      <c r="J775" s="1"/>
    </row>
    <row r="776" spans="1:10" x14ac:dyDescent="0.3">
      <c r="A776" t="str">
        <f t="shared" si="24"/>
        <v>FTPG</v>
      </c>
      <c r="B776">
        <f t="shared" si="25"/>
        <v>4717</v>
      </c>
      <c r="D776" s="1"/>
      <c r="E776" s="1" t="s">
        <v>107</v>
      </c>
      <c r="F776" s="1">
        <v>81</v>
      </c>
      <c r="G776" s="1">
        <v>6</v>
      </c>
      <c r="H776" s="1">
        <v>15.3</v>
      </c>
      <c r="I776" s="1"/>
      <c r="J776" s="1"/>
    </row>
    <row r="777" spans="1:10" x14ac:dyDescent="0.3">
      <c r="A777" t="str">
        <f t="shared" si="24"/>
        <v>FTPG</v>
      </c>
      <c r="B777">
        <f t="shared" si="25"/>
        <v>7217</v>
      </c>
      <c r="D777" s="1"/>
      <c r="E777" s="1" t="s">
        <v>116</v>
      </c>
      <c r="F777" s="1">
        <v>83</v>
      </c>
      <c r="G777" s="1">
        <v>6</v>
      </c>
      <c r="H777" s="1">
        <v>15.2</v>
      </c>
      <c r="I777" s="1"/>
      <c r="J777" s="1"/>
    </row>
    <row r="778" spans="1:10" x14ac:dyDescent="0.3">
      <c r="A778" t="str">
        <f t="shared" si="24"/>
        <v>FTPG</v>
      </c>
      <c r="B778">
        <f t="shared" si="25"/>
        <v>5517</v>
      </c>
      <c r="D778" s="1"/>
      <c r="E778" s="1" t="s">
        <v>86</v>
      </c>
      <c r="F778" s="1">
        <v>85</v>
      </c>
      <c r="G778" s="1">
        <v>9</v>
      </c>
      <c r="H778" s="1">
        <v>15.2</v>
      </c>
      <c r="I778" s="1"/>
      <c r="J778" s="1"/>
    </row>
    <row r="779" spans="1:10" x14ac:dyDescent="0.3">
      <c r="A779" t="str">
        <f t="shared" si="24"/>
        <v>FTPG</v>
      </c>
      <c r="B779">
        <f t="shared" si="25"/>
        <v>217</v>
      </c>
      <c r="D779" s="1"/>
      <c r="E779" s="1" t="s">
        <v>98</v>
      </c>
      <c r="F779" s="1">
        <v>86</v>
      </c>
      <c r="G779" s="1">
        <v>4</v>
      </c>
      <c r="H779" s="1">
        <v>15.2</v>
      </c>
      <c r="I779" s="1"/>
      <c r="J779" s="1"/>
    </row>
    <row r="780" spans="1:10" x14ac:dyDescent="0.3">
      <c r="A780" t="str">
        <f t="shared" si="24"/>
        <v>FTPG</v>
      </c>
      <c r="B780">
        <f t="shared" si="25"/>
        <v>4817</v>
      </c>
      <c r="D780" s="1"/>
      <c r="E780" s="1" t="s">
        <v>104</v>
      </c>
      <c r="F780" s="1">
        <v>92</v>
      </c>
      <c r="G780" s="1">
        <v>3</v>
      </c>
      <c r="H780" s="1">
        <v>15.1</v>
      </c>
      <c r="I780" s="1"/>
      <c r="J780" s="1"/>
    </row>
    <row r="781" spans="1:10" x14ac:dyDescent="0.3">
      <c r="A781" t="str">
        <f t="shared" si="24"/>
        <v>FTPG</v>
      </c>
      <c r="B781">
        <f t="shared" si="25"/>
        <v>12117</v>
      </c>
      <c r="D781" s="1"/>
      <c r="E781" s="1" t="s">
        <v>140</v>
      </c>
      <c r="F781" s="1">
        <v>109</v>
      </c>
      <c r="G781" s="1">
        <v>3</v>
      </c>
      <c r="H781" s="1">
        <v>14.8</v>
      </c>
      <c r="I781" s="1"/>
      <c r="J781" s="1"/>
    </row>
    <row r="782" spans="1:10" x14ac:dyDescent="0.3">
      <c r="A782" t="str">
        <f t="shared" si="24"/>
        <v>FTPG</v>
      </c>
      <c r="B782">
        <f t="shared" si="25"/>
        <v>11917</v>
      </c>
      <c r="D782" s="1"/>
      <c r="E782" s="1" t="s">
        <v>143</v>
      </c>
      <c r="F782" s="1">
        <v>111</v>
      </c>
      <c r="G782" s="1">
        <v>6</v>
      </c>
      <c r="H782" s="1">
        <v>14.8</v>
      </c>
      <c r="I782" s="1"/>
      <c r="J782" s="1"/>
    </row>
    <row r="783" spans="1:10" x14ac:dyDescent="0.3">
      <c r="A783" t="str">
        <f t="shared" si="24"/>
        <v>FTPG</v>
      </c>
      <c r="B783">
        <f t="shared" si="25"/>
        <v>7317</v>
      </c>
      <c r="D783" s="1"/>
      <c r="E783" s="1" t="s">
        <v>111</v>
      </c>
      <c r="F783" s="1">
        <v>114</v>
      </c>
      <c r="G783" s="1">
        <v>7</v>
      </c>
      <c r="H783" s="1">
        <v>14.7</v>
      </c>
      <c r="I783" s="1"/>
      <c r="J783" s="1"/>
    </row>
    <row r="784" spans="1:10" x14ac:dyDescent="0.3">
      <c r="A784" t="str">
        <f t="shared" si="24"/>
        <v>FTPG</v>
      </c>
      <c r="B784">
        <f t="shared" si="25"/>
        <v>4217</v>
      </c>
      <c r="D784" s="1"/>
      <c r="E784" s="1" t="s">
        <v>123</v>
      </c>
      <c r="F784" s="1">
        <v>119</v>
      </c>
      <c r="G784" s="1">
        <v>8</v>
      </c>
      <c r="H784" s="1">
        <v>14.7</v>
      </c>
      <c r="I784" s="1"/>
      <c r="J784" s="1"/>
    </row>
    <row r="785" spans="1:10" x14ac:dyDescent="0.3">
      <c r="A785" t="str">
        <f t="shared" si="24"/>
        <v>FTPG</v>
      </c>
      <c r="B785">
        <f t="shared" si="25"/>
        <v>9517</v>
      </c>
      <c r="D785" s="1"/>
      <c r="E785" s="1" t="s">
        <v>85</v>
      </c>
      <c r="F785" s="1">
        <v>120</v>
      </c>
      <c r="G785" s="1">
        <v>4</v>
      </c>
      <c r="H785" s="1">
        <v>14.7</v>
      </c>
      <c r="I785" s="1"/>
      <c r="J785" s="1"/>
    </row>
    <row r="786" spans="1:10" x14ac:dyDescent="0.3">
      <c r="A786" t="str">
        <f t="shared" si="24"/>
        <v>FTPG</v>
      </c>
      <c r="B786">
        <f t="shared" si="25"/>
        <v>5417</v>
      </c>
      <c r="D786" s="1"/>
      <c r="E786" s="1" t="s">
        <v>94</v>
      </c>
      <c r="F786" s="1">
        <v>125</v>
      </c>
      <c r="G786" s="1">
        <v>6</v>
      </c>
      <c r="H786" s="1">
        <v>14.6</v>
      </c>
      <c r="I786" s="1"/>
      <c r="J786" s="1"/>
    </row>
    <row r="787" spans="1:10" x14ac:dyDescent="0.3">
      <c r="A787" t="str">
        <f t="shared" si="24"/>
        <v>FTPG</v>
      </c>
      <c r="B787">
        <f t="shared" si="25"/>
        <v>1617</v>
      </c>
      <c r="D787" s="1"/>
      <c r="E787" s="1" t="s">
        <v>137</v>
      </c>
      <c r="F787" s="1">
        <v>127</v>
      </c>
      <c r="G787" s="1">
        <v>12</v>
      </c>
      <c r="H787" s="1">
        <v>14.5</v>
      </c>
      <c r="I787" s="1"/>
      <c r="J787" s="1"/>
    </row>
    <row r="788" spans="1:10" x14ac:dyDescent="0.3">
      <c r="A788" t="str">
        <f t="shared" si="24"/>
        <v>FTPG</v>
      </c>
      <c r="B788">
        <f t="shared" si="25"/>
        <v>617</v>
      </c>
      <c r="D788" s="1"/>
      <c r="E788" s="1" t="s">
        <v>100</v>
      </c>
      <c r="F788" s="1">
        <v>128</v>
      </c>
      <c r="G788" s="1">
        <v>8</v>
      </c>
      <c r="H788" s="1">
        <v>14.5</v>
      </c>
      <c r="I788" s="1"/>
      <c r="J788" s="1"/>
    </row>
    <row r="789" spans="1:10" x14ac:dyDescent="0.3">
      <c r="A789" t="str">
        <f t="shared" si="24"/>
        <v>FTPG</v>
      </c>
      <c r="B789">
        <f t="shared" si="25"/>
        <v>5017</v>
      </c>
      <c r="D789" s="1"/>
      <c r="E789" s="1" t="s">
        <v>110</v>
      </c>
      <c r="F789" s="1">
        <v>135</v>
      </c>
      <c r="G789" s="1">
        <v>6</v>
      </c>
      <c r="H789" s="1">
        <v>14.4</v>
      </c>
      <c r="I789" s="1"/>
      <c r="J789" s="1"/>
    </row>
    <row r="790" spans="1:10" x14ac:dyDescent="0.3">
      <c r="A790" t="str">
        <f t="shared" si="24"/>
        <v>FTPG</v>
      </c>
      <c r="B790">
        <f t="shared" si="25"/>
        <v>1917</v>
      </c>
      <c r="D790" s="1"/>
      <c r="E790" s="1" t="s">
        <v>112</v>
      </c>
      <c r="F790" s="1">
        <v>146</v>
      </c>
      <c r="G790" s="1">
        <v>8</v>
      </c>
      <c r="H790" s="1">
        <v>14.2</v>
      </c>
      <c r="I790" s="1"/>
      <c r="J790" s="1"/>
    </row>
    <row r="791" spans="1:10" x14ac:dyDescent="0.3">
      <c r="A791" t="str">
        <f t="shared" si="24"/>
        <v>FTPG</v>
      </c>
      <c r="B791">
        <f t="shared" si="25"/>
        <v>4017</v>
      </c>
      <c r="D791" s="1"/>
      <c r="E791" s="1" t="s">
        <v>105</v>
      </c>
      <c r="F791" s="1">
        <v>154</v>
      </c>
      <c r="G791" s="1">
        <v>9</v>
      </c>
      <c r="H791" s="1">
        <v>14.1</v>
      </c>
      <c r="I791" s="1"/>
      <c r="J791" s="1"/>
    </row>
    <row r="792" spans="1:10" x14ac:dyDescent="0.3">
      <c r="A792" t="str">
        <f t="shared" si="24"/>
        <v>FTPG</v>
      </c>
      <c r="B792">
        <f t="shared" si="25"/>
        <v>2317</v>
      </c>
      <c r="D792" s="1"/>
      <c r="E792" s="1" t="s">
        <v>79</v>
      </c>
      <c r="F792" s="1">
        <v>156</v>
      </c>
      <c r="G792" s="1">
        <v>4</v>
      </c>
      <c r="H792" s="1">
        <v>14.1</v>
      </c>
      <c r="I792" s="1"/>
      <c r="J792" s="1"/>
    </row>
    <row r="793" spans="1:10" x14ac:dyDescent="0.3">
      <c r="A793" t="str">
        <f t="shared" si="24"/>
        <v>FTPG</v>
      </c>
      <c r="B793">
        <f t="shared" si="25"/>
        <v>8017</v>
      </c>
      <c r="D793" s="1"/>
      <c r="E793" s="1" t="s">
        <v>117</v>
      </c>
      <c r="F793" s="1">
        <v>166</v>
      </c>
      <c r="G793" s="1">
        <v>6</v>
      </c>
      <c r="H793" s="1">
        <v>13.9</v>
      </c>
      <c r="I793" s="1"/>
      <c r="J793" s="1"/>
    </row>
    <row r="794" spans="1:10" x14ac:dyDescent="0.3">
      <c r="A794" t="str">
        <f t="shared" si="24"/>
        <v>FTPG</v>
      </c>
      <c r="B794">
        <f t="shared" si="25"/>
        <v>6917</v>
      </c>
      <c r="D794" s="1"/>
      <c r="E794" s="1" t="s">
        <v>114</v>
      </c>
      <c r="F794" s="1">
        <v>173</v>
      </c>
      <c r="G794" s="1">
        <v>6</v>
      </c>
      <c r="H794" s="1">
        <v>13.7</v>
      </c>
      <c r="I794" s="1"/>
      <c r="J794" s="1"/>
    </row>
    <row r="795" spans="1:10" x14ac:dyDescent="0.3">
      <c r="A795" t="str">
        <f t="shared" si="24"/>
        <v>FTPG</v>
      </c>
      <c r="B795">
        <f t="shared" si="25"/>
        <v>4417</v>
      </c>
      <c r="D795" s="1"/>
      <c r="E795" s="1" t="s">
        <v>83</v>
      </c>
      <c r="F795" s="1">
        <v>181</v>
      </c>
      <c r="G795" s="1">
        <v>2</v>
      </c>
      <c r="H795" s="1">
        <v>13.6</v>
      </c>
      <c r="I795" s="1"/>
      <c r="J795" s="1"/>
    </row>
    <row r="796" spans="1:10" x14ac:dyDescent="0.3">
      <c r="A796" t="str">
        <f t="shared" si="24"/>
        <v>FTPG</v>
      </c>
      <c r="B796">
        <f t="shared" si="25"/>
        <v>11317</v>
      </c>
      <c r="D796" s="1"/>
      <c r="E796" s="1" t="s">
        <v>126</v>
      </c>
      <c r="F796" s="1">
        <v>186</v>
      </c>
      <c r="G796" s="1">
        <v>5</v>
      </c>
      <c r="H796" s="1">
        <v>13.5</v>
      </c>
      <c r="I796" s="1"/>
      <c r="J796" s="1"/>
    </row>
    <row r="797" spans="1:10" x14ac:dyDescent="0.3">
      <c r="A797" t="str">
        <f t="shared" si="24"/>
        <v>FTPG</v>
      </c>
      <c r="B797">
        <f t="shared" si="25"/>
        <v>1317</v>
      </c>
      <c r="D797" s="1"/>
      <c r="E797" s="1" t="s">
        <v>82</v>
      </c>
      <c r="F797" s="1">
        <v>193</v>
      </c>
      <c r="G797" s="1">
        <v>8</v>
      </c>
      <c r="H797" s="1">
        <v>13.4</v>
      </c>
      <c r="I797" s="1"/>
      <c r="J797" s="1"/>
    </row>
    <row r="798" spans="1:10" x14ac:dyDescent="0.3">
      <c r="A798" t="str">
        <f t="shared" si="24"/>
        <v>FTPG</v>
      </c>
      <c r="B798">
        <f t="shared" si="25"/>
        <v>3917</v>
      </c>
      <c r="D798" s="1"/>
      <c r="E798" s="1" t="s">
        <v>88</v>
      </c>
      <c r="F798" s="1">
        <v>199</v>
      </c>
      <c r="G798" s="1">
        <v>9</v>
      </c>
      <c r="H798" s="1">
        <v>13.4</v>
      </c>
      <c r="I798" s="1"/>
      <c r="J798" s="1"/>
    </row>
    <row r="799" spans="1:10" x14ac:dyDescent="0.3">
      <c r="A799" t="str">
        <f t="shared" si="24"/>
        <v>FTPG</v>
      </c>
      <c r="B799">
        <f t="shared" si="25"/>
        <v>6717</v>
      </c>
      <c r="D799" s="1"/>
      <c r="E799" s="1" t="s">
        <v>118</v>
      </c>
      <c r="F799" s="1">
        <v>199</v>
      </c>
      <c r="G799" s="1">
        <v>9</v>
      </c>
      <c r="H799" s="1">
        <v>13.4</v>
      </c>
      <c r="I799" s="1"/>
      <c r="J799" s="1"/>
    </row>
    <row r="800" spans="1:10" x14ac:dyDescent="0.3">
      <c r="A800" t="str">
        <f t="shared" si="24"/>
        <v>FTPG</v>
      </c>
      <c r="B800">
        <f t="shared" si="25"/>
        <v>8217</v>
      </c>
      <c r="D800" s="1"/>
      <c r="E800" s="1" t="s">
        <v>131</v>
      </c>
      <c r="F800" s="1">
        <v>201</v>
      </c>
      <c r="G800" s="1">
        <v>7</v>
      </c>
      <c r="H800" s="1">
        <v>13.3</v>
      </c>
      <c r="I800" s="1"/>
      <c r="J800" s="1"/>
    </row>
    <row r="801" spans="1:10" x14ac:dyDescent="0.3">
      <c r="A801" t="str">
        <f t="shared" si="24"/>
        <v>FTPG</v>
      </c>
      <c r="B801">
        <f t="shared" si="25"/>
        <v>12917</v>
      </c>
      <c r="D801" s="1"/>
      <c r="E801" s="1" t="s">
        <v>132</v>
      </c>
      <c r="F801" s="1">
        <v>206</v>
      </c>
      <c r="G801" s="1">
        <v>11</v>
      </c>
      <c r="H801" s="1">
        <v>13.2</v>
      </c>
      <c r="I801" s="1"/>
      <c r="J801" s="1"/>
    </row>
    <row r="802" spans="1:10" x14ac:dyDescent="0.3">
      <c r="A802" t="str">
        <f t="shared" si="24"/>
        <v>FTPG</v>
      </c>
      <c r="B802">
        <f t="shared" si="25"/>
        <v>9117</v>
      </c>
      <c r="D802" s="1"/>
      <c r="E802" s="1" t="s">
        <v>99</v>
      </c>
      <c r="F802" s="1">
        <v>219</v>
      </c>
      <c r="G802" s="1">
        <v>14</v>
      </c>
      <c r="H802" s="1">
        <v>13.1</v>
      </c>
      <c r="I802" s="1"/>
      <c r="J802" s="1"/>
    </row>
    <row r="803" spans="1:10" x14ac:dyDescent="0.3">
      <c r="A803" t="str">
        <f t="shared" si="24"/>
        <v>FTPG</v>
      </c>
      <c r="B803">
        <f t="shared" si="25"/>
        <v>10317</v>
      </c>
      <c r="D803" s="1"/>
      <c r="E803" s="1" t="s">
        <v>134</v>
      </c>
      <c r="F803" s="1">
        <v>228</v>
      </c>
      <c r="G803" s="1">
        <v>9</v>
      </c>
      <c r="H803" s="1">
        <v>13</v>
      </c>
      <c r="I803" s="1"/>
      <c r="J803" s="1"/>
    </row>
    <row r="804" spans="1:10" x14ac:dyDescent="0.3">
      <c r="A804" t="str">
        <f t="shared" si="24"/>
        <v>FTPG</v>
      </c>
      <c r="B804">
        <f t="shared" si="25"/>
        <v>11517</v>
      </c>
      <c r="D804" s="1"/>
      <c r="E804" s="1" t="s">
        <v>97</v>
      </c>
      <c r="F804" s="1">
        <v>236</v>
      </c>
      <c r="G804" s="1">
        <v>8</v>
      </c>
      <c r="H804" s="1">
        <v>12.9</v>
      </c>
      <c r="I804" s="1"/>
      <c r="J804" s="1"/>
    </row>
    <row r="805" spans="1:10" x14ac:dyDescent="0.3">
      <c r="A805" t="str">
        <f t="shared" si="24"/>
        <v>FTPG</v>
      </c>
      <c r="B805">
        <f t="shared" si="25"/>
        <v>2817</v>
      </c>
      <c r="D805" s="1"/>
      <c r="E805" s="1" t="s">
        <v>106</v>
      </c>
      <c r="F805" s="1">
        <v>246</v>
      </c>
      <c r="G805" s="1">
        <v>12</v>
      </c>
      <c r="H805" s="1">
        <v>12.8</v>
      </c>
      <c r="I805" s="1"/>
      <c r="J805" s="1"/>
    </row>
    <row r="806" spans="1:10" x14ac:dyDescent="0.3">
      <c r="A806" t="str">
        <f t="shared" si="24"/>
        <v>FTPG</v>
      </c>
      <c r="B806">
        <f t="shared" si="25"/>
        <v>6217</v>
      </c>
      <c r="D806" s="1"/>
      <c r="E806" s="1" t="s">
        <v>81</v>
      </c>
      <c r="F806" s="1">
        <v>252</v>
      </c>
      <c r="G806" s="1">
        <v>13</v>
      </c>
      <c r="H806" s="1">
        <v>12.7</v>
      </c>
      <c r="I806" s="1"/>
      <c r="J806" s="1"/>
    </row>
    <row r="807" spans="1:10" x14ac:dyDescent="0.3">
      <c r="A807" t="str">
        <f t="shared" si="24"/>
        <v>FTPG</v>
      </c>
      <c r="B807">
        <f t="shared" si="25"/>
        <v>12017</v>
      </c>
      <c r="D807" s="1"/>
      <c r="E807" s="1" t="s">
        <v>135</v>
      </c>
      <c r="F807" s="1">
        <v>268</v>
      </c>
      <c r="G807" s="1">
        <v>8</v>
      </c>
      <c r="H807" s="1">
        <v>12.4</v>
      </c>
      <c r="I807" s="1"/>
      <c r="J807" s="1"/>
    </row>
    <row r="808" spans="1:10" x14ac:dyDescent="0.3">
      <c r="A808" t="str">
        <f t="shared" si="24"/>
        <v>FTPG</v>
      </c>
      <c r="B808">
        <f t="shared" si="25"/>
        <v>917</v>
      </c>
      <c r="D808" s="1"/>
      <c r="E808" s="1" t="s">
        <v>90</v>
      </c>
      <c r="F808" s="1">
        <v>280</v>
      </c>
      <c r="G808" s="1">
        <v>14</v>
      </c>
      <c r="H808" s="1">
        <v>12.2</v>
      </c>
      <c r="I808" s="1"/>
      <c r="J808" s="1"/>
    </row>
    <row r="809" spans="1:10" x14ac:dyDescent="0.3">
      <c r="A809" t="str">
        <f t="shared" si="24"/>
        <v>FTPG</v>
      </c>
      <c r="B809">
        <f t="shared" si="25"/>
        <v>1717</v>
      </c>
      <c r="D809" s="1"/>
      <c r="E809" s="1" t="s">
        <v>133</v>
      </c>
      <c r="F809" s="1">
        <v>286</v>
      </c>
      <c r="G809" s="1">
        <v>7</v>
      </c>
      <c r="H809" s="1">
        <v>12</v>
      </c>
      <c r="I809" s="1"/>
      <c r="J809" s="1"/>
    </row>
    <row r="810" spans="1:10" x14ac:dyDescent="0.3">
      <c r="A810" t="str">
        <f t="shared" si="24"/>
        <v>FTPG</v>
      </c>
      <c r="B810">
        <f t="shared" si="25"/>
        <v>1517</v>
      </c>
      <c r="D810" s="1"/>
      <c r="E810" s="1" t="s">
        <v>124</v>
      </c>
      <c r="F810" s="1">
        <v>288</v>
      </c>
      <c r="G810" s="1">
        <v>7</v>
      </c>
      <c r="H810" s="1">
        <v>11.9</v>
      </c>
      <c r="I810" s="1"/>
      <c r="J810" s="1"/>
    </row>
    <row r="811" spans="1:10" x14ac:dyDescent="0.3">
      <c r="A811" t="str">
        <f t="shared" si="24"/>
        <v>FTPG</v>
      </c>
      <c r="B811">
        <f t="shared" si="25"/>
        <v>2717</v>
      </c>
      <c r="D811" s="1"/>
      <c r="E811" s="1" t="s">
        <v>7</v>
      </c>
      <c r="F811" s="1">
        <v>289</v>
      </c>
      <c r="G811" s="1">
        <v>13</v>
      </c>
      <c r="H811" s="1">
        <v>11.9</v>
      </c>
      <c r="I811" s="1"/>
      <c r="J811" s="1"/>
    </row>
    <row r="812" spans="1:10" x14ac:dyDescent="0.3">
      <c r="A812" t="str">
        <f t="shared" si="24"/>
        <v>FTPG</v>
      </c>
      <c r="B812">
        <f t="shared" si="25"/>
        <v>12517</v>
      </c>
      <c r="D812" s="1"/>
      <c r="E812" s="1" t="s">
        <v>95</v>
      </c>
      <c r="F812" s="1">
        <v>295</v>
      </c>
      <c r="G812" s="1">
        <v>6</v>
      </c>
      <c r="H812" s="1">
        <v>11.7</v>
      </c>
      <c r="I812" s="1"/>
      <c r="J812" s="1"/>
    </row>
    <row r="813" spans="1:10" x14ac:dyDescent="0.3">
      <c r="A813" t="str">
        <f t="shared" si="24"/>
        <v>FTPG</v>
      </c>
      <c r="B813">
        <f t="shared" si="25"/>
        <v>3117</v>
      </c>
      <c r="D813" s="1"/>
      <c r="E813" s="1" t="s">
        <v>93</v>
      </c>
      <c r="F813" s="1">
        <v>296</v>
      </c>
      <c r="G813" s="1">
        <v>10</v>
      </c>
      <c r="H813" s="1">
        <v>11.7</v>
      </c>
      <c r="I813" s="1"/>
      <c r="J813" s="1"/>
    </row>
    <row r="814" spans="1:10" x14ac:dyDescent="0.3">
      <c r="A814" t="str">
        <f t="shared" si="24"/>
        <v>FTPG</v>
      </c>
      <c r="B814">
        <f t="shared" si="25"/>
        <v>7917</v>
      </c>
      <c r="D814" s="1"/>
      <c r="E814" s="1" t="s">
        <v>103</v>
      </c>
      <c r="F814" s="1">
        <v>299</v>
      </c>
      <c r="G814" s="1">
        <v>8</v>
      </c>
      <c r="H814" s="1">
        <v>11.6</v>
      </c>
      <c r="I814" s="1"/>
      <c r="J814" s="1"/>
    </row>
    <row r="815" spans="1:10" x14ac:dyDescent="0.3">
      <c r="A815" t="str">
        <f t="shared" si="24"/>
        <v>FTPG</v>
      </c>
      <c r="B815">
        <f t="shared" si="25"/>
        <v>2517</v>
      </c>
      <c r="D815" s="1"/>
      <c r="E815" s="1" t="s">
        <v>92</v>
      </c>
      <c r="F815" s="1">
        <v>310</v>
      </c>
      <c r="G815" s="1">
        <v>8</v>
      </c>
      <c r="H815" s="1">
        <v>11.4</v>
      </c>
      <c r="I815" s="1"/>
      <c r="J815" s="1"/>
    </row>
    <row r="816" spans="1:10" x14ac:dyDescent="0.3">
      <c r="A816" t="str">
        <f t="shared" si="24"/>
        <v>FTPG</v>
      </c>
      <c r="B816">
        <f t="shared" si="25"/>
        <v>3317</v>
      </c>
      <c r="D816" s="1"/>
      <c r="E816" s="1" t="s">
        <v>91</v>
      </c>
      <c r="F816" s="1">
        <v>330</v>
      </c>
      <c r="G816" s="1">
        <v>11</v>
      </c>
      <c r="H816" s="1">
        <v>10.9</v>
      </c>
      <c r="I816" s="1"/>
      <c r="J816" s="1"/>
    </row>
    <row r="817" spans="1:10" x14ac:dyDescent="0.3">
      <c r="A817" t="str">
        <f t="shared" si="24"/>
        <v>FTPG</v>
      </c>
      <c r="B817">
        <f t="shared" si="25"/>
        <v>11617</v>
      </c>
      <c r="D817" s="1"/>
      <c r="E817" s="1" t="s">
        <v>121</v>
      </c>
      <c r="F817" s="1">
        <v>336</v>
      </c>
      <c r="G817" s="1">
        <v>7</v>
      </c>
      <c r="H817" s="1">
        <v>10.6</v>
      </c>
      <c r="I817" s="1"/>
      <c r="J817" s="1"/>
    </row>
    <row r="818" spans="1:10" x14ac:dyDescent="0.3">
      <c r="A818" t="str">
        <f t="shared" si="24"/>
        <v>FTPG</v>
      </c>
      <c r="B818">
        <f t="shared" si="25"/>
        <v>8417</v>
      </c>
      <c r="D818" s="1"/>
      <c r="E818" s="1" t="s">
        <v>109</v>
      </c>
      <c r="F818" s="1">
        <v>339</v>
      </c>
      <c r="G818" s="1">
        <v>7</v>
      </c>
      <c r="H818" s="1">
        <v>10.5</v>
      </c>
      <c r="I818" s="1"/>
      <c r="J818" s="1"/>
    </row>
    <row r="819" spans="1:10" x14ac:dyDescent="0.3">
      <c r="A819" t="str">
        <f t="shared" si="24"/>
        <v>FTPG</v>
      </c>
      <c r="B819">
        <f t="shared" si="25"/>
        <v>2617</v>
      </c>
      <c r="D819" s="1"/>
      <c r="E819" s="1" t="s">
        <v>80</v>
      </c>
      <c r="F819" s="1">
        <v>350</v>
      </c>
      <c r="G819" s="1">
        <v>15</v>
      </c>
      <c r="H819" s="1">
        <v>8.9</v>
      </c>
      <c r="I819" s="1"/>
      <c r="J819" s="1"/>
    </row>
    <row r="820" spans="1:10" x14ac:dyDescent="0.3">
      <c r="A820" t="str">
        <f t="shared" si="24"/>
        <v>RM</v>
      </c>
      <c r="B820">
        <f t="shared" si="25"/>
        <v>2521</v>
      </c>
      <c r="D820" s="1" t="s">
        <v>162</v>
      </c>
      <c r="E820" s="1" t="s">
        <v>92</v>
      </c>
      <c r="F820" s="1">
        <v>1</v>
      </c>
      <c r="G820" s="1">
        <v>1</v>
      </c>
      <c r="H820" s="1">
        <v>11.9</v>
      </c>
      <c r="I820" s="1" t="s">
        <v>92</v>
      </c>
      <c r="J820" s="1">
        <v>11.9</v>
      </c>
    </row>
    <row r="821" spans="1:10" x14ac:dyDescent="0.3">
      <c r="A821" t="str">
        <f t="shared" si="24"/>
        <v>RM</v>
      </c>
      <c r="B821">
        <f t="shared" si="25"/>
        <v>3021</v>
      </c>
      <c r="D821" s="1"/>
      <c r="E821" s="1" t="s">
        <v>89</v>
      </c>
      <c r="F821" s="1">
        <v>2</v>
      </c>
      <c r="G821" s="1">
        <v>1</v>
      </c>
      <c r="H821" s="1">
        <v>11.2</v>
      </c>
      <c r="I821" s="1"/>
      <c r="J821" s="1"/>
    </row>
    <row r="822" spans="1:10" x14ac:dyDescent="0.3">
      <c r="A822" t="str">
        <f t="shared" si="24"/>
        <v>RM</v>
      </c>
      <c r="B822">
        <f t="shared" si="25"/>
        <v>2921</v>
      </c>
      <c r="D822" s="1"/>
      <c r="E822" s="1" t="s">
        <v>96</v>
      </c>
      <c r="F822" s="1">
        <v>3</v>
      </c>
      <c r="G822" s="1">
        <v>1</v>
      </c>
      <c r="H822" s="1">
        <v>9.9</v>
      </c>
      <c r="I822" s="1"/>
      <c r="J822" s="1"/>
    </row>
    <row r="823" spans="1:10" x14ac:dyDescent="0.3">
      <c r="A823" t="str">
        <f t="shared" si="24"/>
        <v>RM</v>
      </c>
      <c r="B823">
        <f t="shared" si="25"/>
        <v>3621</v>
      </c>
      <c r="D823" s="1"/>
      <c r="E823" s="1" t="s">
        <v>129</v>
      </c>
      <c r="F823" s="1">
        <v>4</v>
      </c>
      <c r="G823" s="1">
        <v>1</v>
      </c>
      <c r="H823" s="1">
        <v>9.1</v>
      </c>
      <c r="I823" s="1"/>
      <c r="J823" s="1"/>
    </row>
    <row r="824" spans="1:10" x14ac:dyDescent="0.3">
      <c r="A824" t="str">
        <f t="shared" si="24"/>
        <v>RM</v>
      </c>
      <c r="B824">
        <f t="shared" si="25"/>
        <v>2321</v>
      </c>
      <c r="D824" s="1"/>
      <c r="E824" s="1" t="s">
        <v>79</v>
      </c>
      <c r="F824" s="1">
        <v>5</v>
      </c>
      <c r="G824" s="1">
        <v>1</v>
      </c>
      <c r="H824" s="1">
        <v>8.6999999999999993</v>
      </c>
      <c r="I824" s="1"/>
      <c r="J824" s="1"/>
    </row>
    <row r="825" spans="1:10" x14ac:dyDescent="0.3">
      <c r="A825" t="str">
        <f t="shared" si="24"/>
        <v>RM</v>
      </c>
      <c r="B825">
        <f t="shared" si="25"/>
        <v>11421</v>
      </c>
      <c r="D825" s="1"/>
      <c r="E825" s="1" t="s">
        <v>138</v>
      </c>
      <c r="F825" s="1">
        <v>6</v>
      </c>
      <c r="G825" s="1">
        <v>1</v>
      </c>
      <c r="H825" s="1">
        <v>8.6</v>
      </c>
      <c r="I825" s="1"/>
      <c r="J825" s="1"/>
    </row>
    <row r="826" spans="1:10" x14ac:dyDescent="0.3">
      <c r="A826" t="str">
        <f t="shared" si="24"/>
        <v>RM</v>
      </c>
      <c r="B826">
        <f t="shared" si="25"/>
        <v>1521</v>
      </c>
      <c r="D826" s="1"/>
      <c r="E826" s="1" t="s">
        <v>124</v>
      </c>
      <c r="F826" s="1">
        <v>7</v>
      </c>
      <c r="G826" s="1">
        <v>1</v>
      </c>
      <c r="H826" s="1">
        <v>8.5</v>
      </c>
      <c r="I826" s="1"/>
      <c r="J826" s="1"/>
    </row>
    <row r="827" spans="1:10" x14ac:dyDescent="0.3">
      <c r="A827" t="str">
        <f t="shared" si="24"/>
        <v>RM</v>
      </c>
      <c r="B827">
        <f t="shared" si="25"/>
        <v>4321</v>
      </c>
      <c r="D827" s="1"/>
      <c r="E827" s="1" t="s">
        <v>125</v>
      </c>
      <c r="F827" s="1">
        <v>12</v>
      </c>
      <c r="G827" s="1">
        <v>2</v>
      </c>
      <c r="H827" s="1">
        <v>7.8</v>
      </c>
      <c r="I827" s="1"/>
      <c r="J827" s="1"/>
    </row>
    <row r="828" spans="1:10" x14ac:dyDescent="0.3">
      <c r="A828" t="str">
        <f t="shared" si="24"/>
        <v>RM</v>
      </c>
      <c r="B828">
        <f t="shared" si="25"/>
        <v>2121</v>
      </c>
      <c r="D828" s="1"/>
      <c r="E828" s="1" t="s">
        <v>136</v>
      </c>
      <c r="F828" s="1">
        <v>14</v>
      </c>
      <c r="G828" s="1">
        <v>1</v>
      </c>
      <c r="H828" s="1">
        <v>7.5</v>
      </c>
      <c r="I828" s="1"/>
      <c r="J828" s="1"/>
    </row>
    <row r="829" spans="1:10" x14ac:dyDescent="0.3">
      <c r="A829" t="str">
        <f t="shared" si="24"/>
        <v>RM</v>
      </c>
      <c r="B829">
        <f t="shared" si="25"/>
        <v>4921</v>
      </c>
      <c r="D829" s="1"/>
      <c r="E829" s="1" t="s">
        <v>108</v>
      </c>
      <c r="F829" s="1">
        <v>15</v>
      </c>
      <c r="G829" s="1">
        <v>1</v>
      </c>
      <c r="H829" s="1">
        <v>7.3</v>
      </c>
      <c r="I829" s="1"/>
      <c r="J829" s="1"/>
    </row>
    <row r="830" spans="1:10" x14ac:dyDescent="0.3">
      <c r="A830" t="str">
        <f t="shared" si="24"/>
        <v>RM</v>
      </c>
      <c r="B830">
        <f t="shared" si="25"/>
        <v>4421</v>
      </c>
      <c r="D830" s="1"/>
      <c r="E830" s="1" t="s">
        <v>83</v>
      </c>
      <c r="F830" s="1">
        <v>17</v>
      </c>
      <c r="G830" s="1">
        <v>2</v>
      </c>
      <c r="H830" s="1">
        <v>7</v>
      </c>
      <c r="I830" s="1"/>
      <c r="J830" s="1"/>
    </row>
    <row r="831" spans="1:10" x14ac:dyDescent="0.3">
      <c r="A831" t="str">
        <f t="shared" si="24"/>
        <v>RM</v>
      </c>
      <c r="B831">
        <f t="shared" si="25"/>
        <v>6321</v>
      </c>
      <c r="D831" s="1"/>
      <c r="E831" s="1" t="s">
        <v>122</v>
      </c>
      <c r="F831" s="1">
        <v>19</v>
      </c>
      <c r="G831" s="1">
        <v>2</v>
      </c>
      <c r="H831" s="1">
        <v>6.8</v>
      </c>
      <c r="I831" s="1"/>
      <c r="J831" s="1"/>
    </row>
    <row r="832" spans="1:10" x14ac:dyDescent="0.3">
      <c r="A832" t="str">
        <f t="shared" si="24"/>
        <v>RM</v>
      </c>
      <c r="B832">
        <f t="shared" si="25"/>
        <v>5721</v>
      </c>
      <c r="D832" s="1"/>
      <c r="E832" s="1" t="s">
        <v>120</v>
      </c>
      <c r="F832" s="1">
        <v>21</v>
      </c>
      <c r="G832" s="1">
        <v>2</v>
      </c>
      <c r="H832" s="1">
        <v>6.5</v>
      </c>
      <c r="I832" s="1"/>
      <c r="J832" s="1"/>
    </row>
    <row r="833" spans="1:10" x14ac:dyDescent="0.3">
      <c r="A833" t="str">
        <f t="shared" si="24"/>
        <v>RM</v>
      </c>
      <c r="B833">
        <f t="shared" si="25"/>
        <v>2721</v>
      </c>
      <c r="D833" s="1"/>
      <c r="E833" s="1" t="s">
        <v>7</v>
      </c>
      <c r="F833" s="1">
        <v>24</v>
      </c>
      <c r="G833" s="1">
        <v>2</v>
      </c>
      <c r="H833" s="1">
        <v>6.1</v>
      </c>
      <c r="I833" s="1"/>
      <c r="J833" s="1"/>
    </row>
    <row r="834" spans="1:10" x14ac:dyDescent="0.3">
      <c r="A834" t="str">
        <f t="shared" ref="A834:A897" si="26">IF(NOT(D834=""),INDEX(statAbbr,MATCH(D834,statOfficial,0),1),A833)</f>
        <v>RM</v>
      </c>
      <c r="B834">
        <f t="shared" ref="B834:B897" si="27">INDEX(statID,MATCH(A834,statAbbr,0),1)+INDEX(teamID,MATCH(E834,teamRawName,0))</f>
        <v>10321</v>
      </c>
      <c r="D834" s="1"/>
      <c r="E834" s="1" t="s">
        <v>134</v>
      </c>
      <c r="F834" s="1">
        <v>26</v>
      </c>
      <c r="G834" s="1">
        <v>3</v>
      </c>
      <c r="H834" s="1">
        <v>6</v>
      </c>
      <c r="I834" s="1"/>
      <c r="J834" s="1"/>
    </row>
    <row r="835" spans="1:10" x14ac:dyDescent="0.3">
      <c r="A835" t="str">
        <f t="shared" si="26"/>
        <v>RM</v>
      </c>
      <c r="B835">
        <f t="shared" si="27"/>
        <v>3221</v>
      </c>
      <c r="D835" s="1"/>
      <c r="E835" s="1" t="s">
        <v>127</v>
      </c>
      <c r="F835" s="1">
        <v>27</v>
      </c>
      <c r="G835" s="1">
        <v>3</v>
      </c>
      <c r="H835" s="1">
        <v>5.9</v>
      </c>
      <c r="I835" s="1"/>
      <c r="J835" s="1"/>
    </row>
    <row r="836" spans="1:10" x14ac:dyDescent="0.3">
      <c r="A836" t="str">
        <f t="shared" si="26"/>
        <v>RM</v>
      </c>
      <c r="B836">
        <f t="shared" si="27"/>
        <v>1621</v>
      </c>
      <c r="D836" s="1"/>
      <c r="E836" s="1" t="s">
        <v>137</v>
      </c>
      <c r="F836" s="1">
        <v>29</v>
      </c>
      <c r="G836" s="1">
        <v>3</v>
      </c>
      <c r="H836" s="1">
        <v>5.5</v>
      </c>
      <c r="I836" s="1"/>
      <c r="J836" s="1"/>
    </row>
    <row r="837" spans="1:10" x14ac:dyDescent="0.3">
      <c r="A837" t="str">
        <f t="shared" si="26"/>
        <v>RM</v>
      </c>
      <c r="B837">
        <f t="shared" si="27"/>
        <v>5421</v>
      </c>
      <c r="D837" s="1"/>
      <c r="E837" s="1" t="s">
        <v>94</v>
      </c>
      <c r="F837" s="1">
        <v>35</v>
      </c>
      <c r="G837" s="1">
        <v>2</v>
      </c>
      <c r="H837" s="1">
        <v>5.0999999999999996</v>
      </c>
      <c r="I837" s="1"/>
      <c r="J837" s="1"/>
    </row>
    <row r="838" spans="1:10" x14ac:dyDescent="0.3">
      <c r="A838" t="str">
        <f t="shared" si="26"/>
        <v>RM</v>
      </c>
      <c r="B838">
        <f t="shared" si="27"/>
        <v>5621</v>
      </c>
      <c r="D838" s="1"/>
      <c r="E838" s="1" t="s">
        <v>62</v>
      </c>
      <c r="F838" s="1">
        <v>41</v>
      </c>
      <c r="G838" s="1">
        <v>4</v>
      </c>
      <c r="H838" s="1">
        <v>4.7</v>
      </c>
      <c r="I838" s="1"/>
      <c r="J838" s="1"/>
    </row>
    <row r="839" spans="1:10" x14ac:dyDescent="0.3">
      <c r="A839" t="str">
        <f t="shared" si="26"/>
        <v>RM</v>
      </c>
      <c r="B839">
        <f t="shared" si="27"/>
        <v>4821</v>
      </c>
      <c r="D839" s="1"/>
      <c r="E839" s="1" t="s">
        <v>104</v>
      </c>
      <c r="F839" s="1">
        <v>42</v>
      </c>
      <c r="G839" s="1">
        <v>2</v>
      </c>
      <c r="H839" s="1">
        <v>4.7</v>
      </c>
      <c r="I839" s="1"/>
      <c r="J839" s="1"/>
    </row>
    <row r="840" spans="1:10" x14ac:dyDescent="0.3">
      <c r="A840" t="str">
        <f t="shared" si="26"/>
        <v>RM</v>
      </c>
      <c r="B840">
        <f t="shared" si="27"/>
        <v>11521</v>
      </c>
      <c r="D840" s="1"/>
      <c r="E840" s="1" t="s">
        <v>97</v>
      </c>
      <c r="F840" s="1">
        <v>43</v>
      </c>
      <c r="G840" s="1">
        <v>3</v>
      </c>
      <c r="H840" s="1">
        <v>4.5999999999999996</v>
      </c>
      <c r="I840" s="1"/>
      <c r="J840" s="1"/>
    </row>
    <row r="841" spans="1:10" x14ac:dyDescent="0.3">
      <c r="A841" t="str">
        <f t="shared" si="26"/>
        <v>RM</v>
      </c>
      <c r="B841">
        <f t="shared" si="27"/>
        <v>3121</v>
      </c>
      <c r="D841" s="1"/>
      <c r="E841" s="1" t="s">
        <v>93</v>
      </c>
      <c r="F841" s="1">
        <v>45</v>
      </c>
      <c r="G841" s="1">
        <v>4</v>
      </c>
      <c r="H841" s="1">
        <v>4.5</v>
      </c>
      <c r="I841" s="1"/>
      <c r="J841" s="1"/>
    </row>
    <row r="842" spans="1:10" x14ac:dyDescent="0.3">
      <c r="A842" t="str">
        <f t="shared" si="26"/>
        <v>RM</v>
      </c>
      <c r="B842">
        <f t="shared" si="27"/>
        <v>5821</v>
      </c>
      <c r="D842" s="1"/>
      <c r="E842" s="1" t="s">
        <v>139</v>
      </c>
      <c r="F842" s="1">
        <v>47</v>
      </c>
      <c r="G842" s="1">
        <v>2</v>
      </c>
      <c r="H842" s="1">
        <v>4.4000000000000004</v>
      </c>
      <c r="I842" s="1"/>
      <c r="J842" s="1"/>
    </row>
    <row r="843" spans="1:10" x14ac:dyDescent="0.3">
      <c r="A843" t="str">
        <f t="shared" si="26"/>
        <v>RM</v>
      </c>
      <c r="B843">
        <f t="shared" si="27"/>
        <v>4721</v>
      </c>
      <c r="D843" s="1"/>
      <c r="E843" s="1" t="s">
        <v>107</v>
      </c>
      <c r="F843" s="1">
        <v>50</v>
      </c>
      <c r="G843" s="1">
        <v>2</v>
      </c>
      <c r="H843" s="1">
        <v>4.3</v>
      </c>
      <c r="I843" s="1"/>
      <c r="J843" s="1"/>
    </row>
    <row r="844" spans="1:10" x14ac:dyDescent="0.3">
      <c r="A844" t="str">
        <f t="shared" si="26"/>
        <v>RM</v>
      </c>
      <c r="B844">
        <f t="shared" si="27"/>
        <v>1221</v>
      </c>
      <c r="D844" s="1"/>
      <c r="E844" s="1" t="s">
        <v>130</v>
      </c>
      <c r="F844" s="1">
        <v>53</v>
      </c>
      <c r="G844" s="1">
        <v>3</v>
      </c>
      <c r="H844" s="1">
        <v>4.0999999999999996</v>
      </c>
      <c r="I844" s="1"/>
      <c r="J844" s="1"/>
    </row>
    <row r="845" spans="1:10" x14ac:dyDescent="0.3">
      <c r="A845" t="str">
        <f t="shared" si="26"/>
        <v>RM</v>
      </c>
      <c r="B845">
        <f t="shared" si="27"/>
        <v>8221</v>
      </c>
      <c r="D845" s="1"/>
      <c r="E845" s="1" t="s">
        <v>131</v>
      </c>
      <c r="F845" s="1">
        <v>54</v>
      </c>
      <c r="G845" s="1">
        <v>1</v>
      </c>
      <c r="H845" s="1">
        <v>4.0999999999999996</v>
      </c>
      <c r="I845" s="1"/>
      <c r="J845" s="1"/>
    </row>
    <row r="846" spans="1:10" x14ac:dyDescent="0.3">
      <c r="A846" t="str">
        <f t="shared" si="26"/>
        <v>RM</v>
      </c>
      <c r="B846">
        <f t="shared" si="27"/>
        <v>2221</v>
      </c>
      <c r="D846" s="1"/>
      <c r="E846" s="1" t="s">
        <v>119</v>
      </c>
      <c r="F846" s="1">
        <v>57</v>
      </c>
      <c r="G846" s="1">
        <v>2</v>
      </c>
      <c r="H846" s="1">
        <v>4</v>
      </c>
      <c r="I846" s="1"/>
      <c r="J846" s="1"/>
    </row>
    <row r="847" spans="1:10" x14ac:dyDescent="0.3">
      <c r="A847" t="str">
        <f t="shared" si="26"/>
        <v>RM</v>
      </c>
      <c r="B847">
        <f t="shared" si="27"/>
        <v>12521</v>
      </c>
      <c r="D847" s="1"/>
      <c r="E847" s="1" t="s">
        <v>95</v>
      </c>
      <c r="F847" s="1">
        <v>58</v>
      </c>
      <c r="G847" s="1">
        <v>1</v>
      </c>
      <c r="H847" s="1">
        <v>3.9</v>
      </c>
      <c r="I847" s="1"/>
      <c r="J847" s="1"/>
    </row>
    <row r="848" spans="1:10" x14ac:dyDescent="0.3">
      <c r="A848" t="str">
        <f t="shared" si="26"/>
        <v>RM</v>
      </c>
      <c r="B848">
        <f t="shared" si="27"/>
        <v>3721</v>
      </c>
      <c r="D848" s="1"/>
      <c r="E848" s="1" t="s">
        <v>115</v>
      </c>
      <c r="F848" s="1">
        <v>61</v>
      </c>
      <c r="G848" s="1">
        <v>4</v>
      </c>
      <c r="H848" s="1">
        <v>3.9</v>
      </c>
      <c r="I848" s="1"/>
      <c r="J848" s="1"/>
    </row>
    <row r="849" spans="1:10" x14ac:dyDescent="0.3">
      <c r="A849" t="str">
        <f t="shared" si="26"/>
        <v>RM</v>
      </c>
      <c r="B849">
        <f t="shared" si="27"/>
        <v>8821</v>
      </c>
      <c r="D849" s="1"/>
      <c r="E849" s="1" t="s">
        <v>141</v>
      </c>
      <c r="F849" s="1">
        <v>63</v>
      </c>
      <c r="G849" s="1">
        <v>2</v>
      </c>
      <c r="H849" s="1">
        <v>3.8</v>
      </c>
      <c r="I849" s="1"/>
      <c r="J849" s="1"/>
    </row>
    <row r="850" spans="1:10" x14ac:dyDescent="0.3">
      <c r="A850" t="str">
        <f t="shared" si="26"/>
        <v>RM</v>
      </c>
      <c r="B850">
        <f t="shared" si="27"/>
        <v>3521</v>
      </c>
      <c r="D850" s="1"/>
      <c r="E850" s="1" t="s">
        <v>87</v>
      </c>
      <c r="F850" s="1">
        <v>67</v>
      </c>
      <c r="G850" s="1">
        <v>5</v>
      </c>
      <c r="H850" s="1">
        <v>3.6</v>
      </c>
      <c r="I850" s="1"/>
      <c r="J850" s="1"/>
    </row>
    <row r="851" spans="1:10" x14ac:dyDescent="0.3">
      <c r="A851" t="str">
        <f t="shared" si="26"/>
        <v>RM</v>
      </c>
      <c r="B851">
        <f t="shared" si="27"/>
        <v>12121</v>
      </c>
      <c r="D851" s="1"/>
      <c r="E851" s="1" t="s">
        <v>140</v>
      </c>
      <c r="F851" s="1">
        <v>71</v>
      </c>
      <c r="G851" s="1">
        <v>4</v>
      </c>
      <c r="H851" s="1">
        <v>3.4</v>
      </c>
      <c r="I851" s="1"/>
      <c r="J851" s="1"/>
    </row>
    <row r="852" spans="1:10" x14ac:dyDescent="0.3">
      <c r="A852" t="str">
        <f t="shared" si="26"/>
        <v>RM</v>
      </c>
      <c r="B852">
        <f t="shared" si="27"/>
        <v>4521</v>
      </c>
      <c r="D852" s="1"/>
      <c r="E852" s="1" t="s">
        <v>84</v>
      </c>
      <c r="F852" s="1">
        <v>72</v>
      </c>
      <c r="G852" s="1">
        <v>6</v>
      </c>
      <c r="H852" s="1">
        <v>3.3</v>
      </c>
      <c r="I852" s="1"/>
      <c r="J852" s="1"/>
    </row>
    <row r="853" spans="1:10" x14ac:dyDescent="0.3">
      <c r="A853" t="str">
        <f t="shared" si="26"/>
        <v>RM</v>
      </c>
      <c r="B853">
        <f t="shared" si="27"/>
        <v>2821</v>
      </c>
      <c r="D853" s="1"/>
      <c r="E853" s="1" t="s">
        <v>106</v>
      </c>
      <c r="F853" s="1">
        <v>73</v>
      </c>
      <c r="G853" s="1">
        <v>6</v>
      </c>
      <c r="H853" s="1">
        <v>3.3</v>
      </c>
      <c r="I853" s="1"/>
      <c r="J853" s="1"/>
    </row>
    <row r="854" spans="1:10" x14ac:dyDescent="0.3">
      <c r="A854" t="str">
        <f t="shared" si="26"/>
        <v>RM</v>
      </c>
      <c r="B854">
        <f t="shared" si="27"/>
        <v>12721</v>
      </c>
      <c r="D854" s="1"/>
      <c r="E854" s="1" t="s">
        <v>13</v>
      </c>
      <c r="F854" s="1">
        <v>74</v>
      </c>
      <c r="G854" s="1">
        <v>4</v>
      </c>
      <c r="H854" s="1">
        <v>3.3</v>
      </c>
      <c r="I854" s="1"/>
      <c r="J854" s="1"/>
    </row>
    <row r="855" spans="1:10" x14ac:dyDescent="0.3">
      <c r="A855" t="str">
        <f t="shared" si="26"/>
        <v>RM</v>
      </c>
      <c r="B855">
        <f t="shared" si="27"/>
        <v>221</v>
      </c>
      <c r="D855" s="1"/>
      <c r="E855" s="1" t="s">
        <v>98</v>
      </c>
      <c r="F855" s="1">
        <v>80</v>
      </c>
      <c r="G855" s="1">
        <v>2</v>
      </c>
      <c r="H855" s="1">
        <v>3.1</v>
      </c>
      <c r="I855" s="1"/>
      <c r="J855" s="1"/>
    </row>
    <row r="856" spans="1:10" x14ac:dyDescent="0.3">
      <c r="A856" t="str">
        <f t="shared" si="26"/>
        <v>RM</v>
      </c>
      <c r="B856">
        <f t="shared" si="27"/>
        <v>4221</v>
      </c>
      <c r="D856" s="1"/>
      <c r="E856" s="1" t="s">
        <v>123</v>
      </c>
      <c r="F856" s="1">
        <v>81</v>
      </c>
      <c r="G856" s="1">
        <v>3</v>
      </c>
      <c r="H856" s="1">
        <v>3.1</v>
      </c>
      <c r="I856" s="1"/>
      <c r="J856" s="1"/>
    </row>
    <row r="857" spans="1:10" x14ac:dyDescent="0.3">
      <c r="A857" t="str">
        <f t="shared" si="26"/>
        <v>RM</v>
      </c>
      <c r="B857">
        <f t="shared" si="27"/>
        <v>12421</v>
      </c>
      <c r="D857" s="1"/>
      <c r="E857" s="1" t="s">
        <v>128</v>
      </c>
      <c r="F857" s="1">
        <v>83</v>
      </c>
      <c r="G857" s="1">
        <v>3</v>
      </c>
      <c r="H857" s="1">
        <v>3.1</v>
      </c>
      <c r="I857" s="1"/>
      <c r="J857" s="1"/>
    </row>
    <row r="858" spans="1:10" x14ac:dyDescent="0.3">
      <c r="A858" t="str">
        <f t="shared" si="26"/>
        <v>RM</v>
      </c>
      <c r="B858">
        <f t="shared" si="27"/>
        <v>9121</v>
      </c>
      <c r="D858" s="1"/>
      <c r="E858" s="1" t="s">
        <v>99</v>
      </c>
      <c r="F858" s="1">
        <v>88</v>
      </c>
      <c r="G858" s="1">
        <v>7</v>
      </c>
      <c r="H858" s="1">
        <v>2.9</v>
      </c>
      <c r="I858" s="1"/>
      <c r="J858" s="1"/>
    </row>
    <row r="859" spans="1:10" x14ac:dyDescent="0.3">
      <c r="A859" t="str">
        <f t="shared" si="26"/>
        <v>RM</v>
      </c>
      <c r="B859">
        <f t="shared" si="27"/>
        <v>1421</v>
      </c>
      <c r="D859" s="1"/>
      <c r="E859" s="1" t="s">
        <v>102</v>
      </c>
      <c r="F859" s="1">
        <v>95</v>
      </c>
      <c r="G859" s="1">
        <v>4</v>
      </c>
      <c r="H859" s="1">
        <v>2.8</v>
      </c>
      <c r="I859" s="1"/>
      <c r="J859" s="1"/>
    </row>
    <row r="860" spans="1:10" x14ac:dyDescent="0.3">
      <c r="A860" t="str">
        <f t="shared" si="26"/>
        <v>RM</v>
      </c>
      <c r="B860">
        <f t="shared" si="27"/>
        <v>8421</v>
      </c>
      <c r="D860" s="1"/>
      <c r="E860" s="1" t="s">
        <v>109</v>
      </c>
      <c r="F860" s="1">
        <v>102</v>
      </c>
      <c r="G860" s="1">
        <v>1</v>
      </c>
      <c r="H860" s="1">
        <v>2.5</v>
      </c>
      <c r="I860" s="1"/>
      <c r="J860" s="1"/>
    </row>
    <row r="861" spans="1:10" x14ac:dyDescent="0.3">
      <c r="A861" t="str">
        <f t="shared" si="26"/>
        <v>RM</v>
      </c>
      <c r="B861">
        <f t="shared" si="27"/>
        <v>3921</v>
      </c>
      <c r="D861" s="1"/>
      <c r="E861" s="1" t="s">
        <v>88</v>
      </c>
      <c r="F861" s="1">
        <v>107</v>
      </c>
      <c r="G861" s="1">
        <v>9</v>
      </c>
      <c r="H861" s="1">
        <v>2.4</v>
      </c>
      <c r="I861" s="1"/>
      <c r="J861" s="1"/>
    </row>
    <row r="862" spans="1:10" x14ac:dyDescent="0.3">
      <c r="A862" t="str">
        <f t="shared" si="26"/>
        <v>RM</v>
      </c>
      <c r="B862">
        <f t="shared" si="27"/>
        <v>4021</v>
      </c>
      <c r="D862" s="1"/>
      <c r="E862" s="1" t="s">
        <v>105</v>
      </c>
      <c r="F862" s="1">
        <v>113</v>
      </c>
      <c r="G862" s="1">
        <v>5</v>
      </c>
      <c r="H862" s="1">
        <v>2.2999999999999998</v>
      </c>
      <c r="I862" s="1"/>
      <c r="J862" s="1"/>
    </row>
    <row r="863" spans="1:10" x14ac:dyDescent="0.3">
      <c r="A863" t="str">
        <f t="shared" si="26"/>
        <v>RM</v>
      </c>
      <c r="B863">
        <f t="shared" si="27"/>
        <v>1721</v>
      </c>
      <c r="D863" s="1"/>
      <c r="E863" s="1" t="s">
        <v>133</v>
      </c>
      <c r="F863" s="1">
        <v>128</v>
      </c>
      <c r="G863" s="1">
        <v>5</v>
      </c>
      <c r="H863" s="1">
        <v>1.9</v>
      </c>
      <c r="I863" s="1"/>
      <c r="J863" s="1"/>
    </row>
    <row r="864" spans="1:10" x14ac:dyDescent="0.3">
      <c r="A864" t="str">
        <f t="shared" si="26"/>
        <v>RM</v>
      </c>
      <c r="B864">
        <f t="shared" si="27"/>
        <v>4621</v>
      </c>
      <c r="D864" s="1"/>
      <c r="E864" s="1" t="s">
        <v>101</v>
      </c>
      <c r="F864" s="1">
        <v>136</v>
      </c>
      <c r="G864" s="1">
        <v>5</v>
      </c>
      <c r="H864" s="1">
        <v>1.7</v>
      </c>
      <c r="I864" s="1"/>
      <c r="J864" s="1"/>
    </row>
    <row r="865" spans="1:10" x14ac:dyDescent="0.3">
      <c r="A865" t="str">
        <f t="shared" si="26"/>
        <v>RM</v>
      </c>
      <c r="B865">
        <f t="shared" si="27"/>
        <v>12821</v>
      </c>
      <c r="D865" s="1"/>
      <c r="E865" s="1" t="s">
        <v>142</v>
      </c>
      <c r="F865" s="1">
        <v>137</v>
      </c>
      <c r="G865" s="1">
        <v>5</v>
      </c>
      <c r="H865" s="1">
        <v>1.7</v>
      </c>
      <c r="I865" s="1"/>
      <c r="J865" s="1"/>
    </row>
    <row r="866" spans="1:10" x14ac:dyDescent="0.3">
      <c r="A866" t="str">
        <f t="shared" si="26"/>
        <v>RM</v>
      </c>
      <c r="B866">
        <f t="shared" si="27"/>
        <v>9521</v>
      </c>
      <c r="D866" s="1"/>
      <c r="E866" s="1" t="s">
        <v>85</v>
      </c>
      <c r="F866" s="1">
        <v>140</v>
      </c>
      <c r="G866" s="1">
        <v>4</v>
      </c>
      <c r="H866" s="1">
        <v>1.6</v>
      </c>
      <c r="I866" s="1"/>
      <c r="J866" s="1"/>
    </row>
    <row r="867" spans="1:10" x14ac:dyDescent="0.3">
      <c r="A867" t="str">
        <f t="shared" si="26"/>
        <v>RM</v>
      </c>
      <c r="B867">
        <f t="shared" si="27"/>
        <v>8021</v>
      </c>
      <c r="D867" s="1"/>
      <c r="E867" s="1" t="s">
        <v>117</v>
      </c>
      <c r="F867" s="1">
        <v>155</v>
      </c>
      <c r="G867" s="1">
        <v>5</v>
      </c>
      <c r="H867" s="1">
        <v>1.2</v>
      </c>
      <c r="I867" s="1"/>
      <c r="J867" s="1"/>
    </row>
    <row r="868" spans="1:10" x14ac:dyDescent="0.3">
      <c r="A868" t="str">
        <f t="shared" si="26"/>
        <v>RM</v>
      </c>
      <c r="B868">
        <f t="shared" si="27"/>
        <v>7221</v>
      </c>
      <c r="D868" s="1"/>
      <c r="E868" s="1" t="s">
        <v>116</v>
      </c>
      <c r="F868" s="1">
        <v>157</v>
      </c>
      <c r="G868" s="1">
        <v>10</v>
      </c>
      <c r="H868" s="1">
        <v>1.2</v>
      </c>
      <c r="I868" s="1"/>
      <c r="J868" s="1"/>
    </row>
    <row r="869" spans="1:10" x14ac:dyDescent="0.3">
      <c r="A869" t="str">
        <f t="shared" si="26"/>
        <v>RM</v>
      </c>
      <c r="B869">
        <f t="shared" si="27"/>
        <v>921</v>
      </c>
      <c r="D869" s="1"/>
      <c r="E869" s="1" t="s">
        <v>90</v>
      </c>
      <c r="F869" s="1">
        <v>158</v>
      </c>
      <c r="G869" s="1">
        <v>6</v>
      </c>
      <c r="H869" s="1">
        <v>1.1000000000000001</v>
      </c>
      <c r="I869" s="1"/>
      <c r="J869" s="1"/>
    </row>
    <row r="870" spans="1:10" x14ac:dyDescent="0.3">
      <c r="A870" t="str">
        <f t="shared" si="26"/>
        <v>RM</v>
      </c>
      <c r="B870">
        <f t="shared" si="27"/>
        <v>7921</v>
      </c>
      <c r="D870" s="1"/>
      <c r="E870" s="1" t="s">
        <v>103</v>
      </c>
      <c r="F870" s="1">
        <v>170</v>
      </c>
      <c r="G870" s="1">
        <v>3</v>
      </c>
      <c r="H870" s="1">
        <v>0.8</v>
      </c>
      <c r="I870" s="1"/>
      <c r="J870" s="1"/>
    </row>
    <row r="871" spans="1:10" x14ac:dyDescent="0.3">
      <c r="A871" t="str">
        <f t="shared" si="26"/>
        <v>RM</v>
      </c>
      <c r="B871">
        <f t="shared" si="27"/>
        <v>5521</v>
      </c>
      <c r="D871" s="1"/>
      <c r="E871" s="1" t="s">
        <v>86</v>
      </c>
      <c r="F871" s="1">
        <v>173</v>
      </c>
      <c r="G871" s="1">
        <v>8</v>
      </c>
      <c r="H871" s="1">
        <v>0.8</v>
      </c>
      <c r="I871" s="1"/>
      <c r="J871" s="1"/>
    </row>
    <row r="872" spans="1:10" x14ac:dyDescent="0.3">
      <c r="A872" t="str">
        <f t="shared" si="26"/>
        <v>RM</v>
      </c>
      <c r="B872">
        <f t="shared" si="27"/>
        <v>5021</v>
      </c>
      <c r="D872" s="1"/>
      <c r="E872" s="1" t="s">
        <v>110</v>
      </c>
      <c r="F872" s="1">
        <v>173</v>
      </c>
      <c r="G872" s="1">
        <v>8</v>
      </c>
      <c r="H872" s="1">
        <v>0.8</v>
      </c>
      <c r="I872" s="1"/>
      <c r="J872" s="1"/>
    </row>
    <row r="873" spans="1:10" x14ac:dyDescent="0.3">
      <c r="A873" t="str">
        <f t="shared" si="26"/>
        <v>RM</v>
      </c>
      <c r="B873">
        <f t="shared" si="27"/>
        <v>621</v>
      </c>
      <c r="D873" s="1"/>
      <c r="E873" s="1" t="s">
        <v>100</v>
      </c>
      <c r="F873" s="1">
        <v>179</v>
      </c>
      <c r="G873" s="1">
        <v>11</v>
      </c>
      <c r="H873" s="1">
        <v>0.7</v>
      </c>
      <c r="I873" s="1"/>
      <c r="J873" s="1"/>
    </row>
    <row r="874" spans="1:10" x14ac:dyDescent="0.3">
      <c r="A874" t="str">
        <f t="shared" si="26"/>
        <v>RM</v>
      </c>
      <c r="B874">
        <f t="shared" si="27"/>
        <v>1321</v>
      </c>
      <c r="D874" s="1"/>
      <c r="E874" s="1" t="s">
        <v>82</v>
      </c>
      <c r="F874" s="1">
        <v>182</v>
      </c>
      <c r="G874" s="1">
        <v>7</v>
      </c>
      <c r="H874" s="1">
        <v>0.6</v>
      </c>
      <c r="I874" s="1"/>
      <c r="J874" s="1"/>
    </row>
    <row r="875" spans="1:10" x14ac:dyDescent="0.3">
      <c r="A875" t="str">
        <f t="shared" si="26"/>
        <v>RM</v>
      </c>
      <c r="B875">
        <f t="shared" si="27"/>
        <v>11621</v>
      </c>
      <c r="D875" s="1"/>
      <c r="E875" s="1" t="s">
        <v>121</v>
      </c>
      <c r="F875" s="1">
        <v>183</v>
      </c>
      <c r="G875" s="1">
        <v>2</v>
      </c>
      <c r="H875" s="1">
        <v>0.6</v>
      </c>
      <c r="I875" s="1"/>
      <c r="J875" s="1"/>
    </row>
    <row r="876" spans="1:10" x14ac:dyDescent="0.3">
      <c r="A876" t="str">
        <f t="shared" si="26"/>
        <v>RM</v>
      </c>
      <c r="B876">
        <f t="shared" si="27"/>
        <v>6721</v>
      </c>
      <c r="D876" s="1"/>
      <c r="E876" s="1" t="s">
        <v>118</v>
      </c>
      <c r="F876" s="1">
        <v>184</v>
      </c>
      <c r="G876" s="1">
        <v>12</v>
      </c>
      <c r="H876" s="1">
        <v>0.6</v>
      </c>
      <c r="I876" s="1"/>
      <c r="J876" s="1"/>
    </row>
    <row r="877" spans="1:10" x14ac:dyDescent="0.3">
      <c r="A877" t="str">
        <f t="shared" si="26"/>
        <v>RM</v>
      </c>
      <c r="B877">
        <f t="shared" si="27"/>
        <v>12921</v>
      </c>
      <c r="D877" s="1"/>
      <c r="E877" s="1" t="s">
        <v>132</v>
      </c>
      <c r="F877" s="1">
        <v>186</v>
      </c>
      <c r="G877" s="1">
        <v>10</v>
      </c>
      <c r="H877" s="1">
        <v>0.5</v>
      </c>
      <c r="I877" s="1"/>
      <c r="J877" s="1"/>
    </row>
    <row r="878" spans="1:10" x14ac:dyDescent="0.3">
      <c r="A878" t="str">
        <f t="shared" si="26"/>
        <v>RM</v>
      </c>
      <c r="B878">
        <f t="shared" si="27"/>
        <v>6921</v>
      </c>
      <c r="D878" s="1"/>
      <c r="E878" s="1" t="s">
        <v>114</v>
      </c>
      <c r="F878" s="1">
        <v>190</v>
      </c>
      <c r="G878" s="1">
        <v>7</v>
      </c>
      <c r="H878" s="1">
        <v>0.5</v>
      </c>
      <c r="I878" s="1"/>
      <c r="J878" s="1"/>
    </row>
    <row r="879" spans="1:10" x14ac:dyDescent="0.3">
      <c r="A879" t="str">
        <f t="shared" si="26"/>
        <v>RM</v>
      </c>
      <c r="B879">
        <f t="shared" si="27"/>
        <v>7321</v>
      </c>
      <c r="D879" s="1"/>
      <c r="E879" s="1" t="s">
        <v>111</v>
      </c>
      <c r="F879" s="1">
        <v>196</v>
      </c>
      <c r="G879" s="1">
        <v>9</v>
      </c>
      <c r="H879" s="1">
        <v>0.4</v>
      </c>
      <c r="I879" s="1"/>
      <c r="J879" s="1"/>
    </row>
    <row r="880" spans="1:10" x14ac:dyDescent="0.3">
      <c r="A880" t="str">
        <f t="shared" si="26"/>
        <v>RM</v>
      </c>
      <c r="B880">
        <f t="shared" si="27"/>
        <v>11321</v>
      </c>
      <c r="D880" s="1"/>
      <c r="E880" s="1" t="s">
        <v>126</v>
      </c>
      <c r="F880" s="1">
        <v>203</v>
      </c>
      <c r="G880" s="1">
        <v>5</v>
      </c>
      <c r="H880" s="1">
        <v>0.1</v>
      </c>
      <c r="I880" s="1"/>
      <c r="J880" s="1"/>
    </row>
    <row r="881" spans="1:10" x14ac:dyDescent="0.3">
      <c r="A881" t="str">
        <f t="shared" si="26"/>
        <v>RM</v>
      </c>
      <c r="B881">
        <f t="shared" si="27"/>
        <v>9921</v>
      </c>
      <c r="D881" s="1"/>
      <c r="E881" s="1" t="s">
        <v>113</v>
      </c>
      <c r="F881" s="1">
        <v>208</v>
      </c>
      <c r="G881" s="1">
        <v>8</v>
      </c>
      <c r="H881" s="1">
        <v>-0.1</v>
      </c>
      <c r="I881" s="1"/>
      <c r="J881" s="1"/>
    </row>
    <row r="882" spans="1:10" x14ac:dyDescent="0.3">
      <c r="A882" t="str">
        <f t="shared" si="26"/>
        <v>RM</v>
      </c>
      <c r="B882">
        <f t="shared" si="27"/>
        <v>1921</v>
      </c>
      <c r="D882" s="1"/>
      <c r="E882" s="1" t="s">
        <v>112</v>
      </c>
      <c r="F882" s="1">
        <v>238</v>
      </c>
      <c r="G882" s="1">
        <v>12</v>
      </c>
      <c r="H882" s="1">
        <v>-0.9</v>
      </c>
      <c r="I882" s="1"/>
      <c r="J882" s="1"/>
    </row>
    <row r="883" spans="1:10" x14ac:dyDescent="0.3">
      <c r="A883" t="str">
        <f t="shared" si="26"/>
        <v>RM</v>
      </c>
      <c r="B883">
        <f t="shared" si="27"/>
        <v>11921</v>
      </c>
      <c r="D883" s="1"/>
      <c r="E883" s="1" t="s">
        <v>143</v>
      </c>
      <c r="F883" s="1">
        <v>250</v>
      </c>
      <c r="G883" s="1">
        <v>6</v>
      </c>
      <c r="H883" s="1">
        <v>-1.3</v>
      </c>
      <c r="I883" s="1"/>
      <c r="J883" s="1"/>
    </row>
    <row r="884" spans="1:10" x14ac:dyDescent="0.3">
      <c r="A884" t="str">
        <f t="shared" si="26"/>
        <v>RM</v>
      </c>
      <c r="B884">
        <f t="shared" si="27"/>
        <v>6221</v>
      </c>
      <c r="D884" s="1"/>
      <c r="E884" s="1" t="s">
        <v>81</v>
      </c>
      <c r="F884" s="1">
        <v>279</v>
      </c>
      <c r="G884" s="1">
        <v>12</v>
      </c>
      <c r="H884" s="1">
        <v>-2</v>
      </c>
      <c r="I884" s="1"/>
      <c r="J884" s="1"/>
    </row>
    <row r="885" spans="1:10" x14ac:dyDescent="0.3">
      <c r="A885" t="str">
        <f t="shared" si="26"/>
        <v>RM</v>
      </c>
      <c r="B885">
        <f t="shared" si="27"/>
        <v>2621</v>
      </c>
      <c r="D885" s="1"/>
      <c r="E885" s="1" t="s">
        <v>80</v>
      </c>
      <c r="F885" s="1">
        <v>283</v>
      </c>
      <c r="G885" s="1">
        <v>13</v>
      </c>
      <c r="H885" s="1">
        <v>-2.2000000000000002</v>
      </c>
      <c r="I885" s="1"/>
      <c r="J885" s="1"/>
    </row>
    <row r="886" spans="1:10" x14ac:dyDescent="0.3">
      <c r="A886" t="str">
        <f t="shared" si="26"/>
        <v>RM</v>
      </c>
      <c r="B886">
        <f t="shared" si="27"/>
        <v>3321</v>
      </c>
      <c r="D886" s="1"/>
      <c r="E886" s="1" t="s">
        <v>91</v>
      </c>
      <c r="F886" s="1">
        <v>303</v>
      </c>
      <c r="G886" s="1">
        <v>10</v>
      </c>
      <c r="H886" s="1">
        <v>-3.1</v>
      </c>
      <c r="I886" s="1"/>
      <c r="J886" s="1"/>
    </row>
    <row r="887" spans="1:10" x14ac:dyDescent="0.3">
      <c r="A887" t="str">
        <f t="shared" si="26"/>
        <v>RM</v>
      </c>
      <c r="B887">
        <f t="shared" si="27"/>
        <v>12021</v>
      </c>
      <c r="D887" s="1"/>
      <c r="E887" s="1" t="s">
        <v>135</v>
      </c>
      <c r="F887" s="1">
        <v>327</v>
      </c>
      <c r="G887" s="1">
        <v>9</v>
      </c>
      <c r="H887" s="1">
        <v>-4.7</v>
      </c>
      <c r="I887" s="1"/>
      <c r="J887" s="1"/>
    </row>
    <row r="888" spans="1:10" x14ac:dyDescent="0.3">
      <c r="A888" t="str">
        <f t="shared" si="26"/>
        <v>DRPG</v>
      </c>
      <c r="B888">
        <f t="shared" si="27"/>
        <v>3110</v>
      </c>
      <c r="D888" s="1" t="s">
        <v>163</v>
      </c>
      <c r="E888" s="1" t="s">
        <v>93</v>
      </c>
      <c r="F888" s="1">
        <v>4</v>
      </c>
      <c r="G888" s="1">
        <v>1</v>
      </c>
      <c r="H888" s="1">
        <v>29.71</v>
      </c>
      <c r="I888" s="1" t="s">
        <v>164</v>
      </c>
      <c r="J888" s="1">
        <v>31.06</v>
      </c>
    </row>
    <row r="889" spans="1:10" x14ac:dyDescent="0.3">
      <c r="A889" t="str">
        <f t="shared" si="26"/>
        <v>DRPG</v>
      </c>
      <c r="B889">
        <f t="shared" si="27"/>
        <v>2910</v>
      </c>
      <c r="D889" s="1"/>
      <c r="E889" s="1" t="s">
        <v>96</v>
      </c>
      <c r="F889" s="1">
        <v>5</v>
      </c>
      <c r="G889" s="1">
        <v>1</v>
      </c>
      <c r="H889" s="1">
        <v>29.5</v>
      </c>
      <c r="I889" s="1"/>
      <c r="J889" s="1"/>
    </row>
    <row r="890" spans="1:10" x14ac:dyDescent="0.3">
      <c r="A890" t="str">
        <f t="shared" si="26"/>
        <v>DRPG</v>
      </c>
      <c r="B890">
        <f t="shared" si="27"/>
        <v>12110</v>
      </c>
      <c r="D890" s="1"/>
      <c r="E890" s="1" t="s">
        <v>140</v>
      </c>
      <c r="F890" s="1">
        <v>6</v>
      </c>
      <c r="G890" s="1">
        <v>1</v>
      </c>
      <c r="H890" s="1">
        <v>29.32</v>
      </c>
      <c r="I890" s="1"/>
      <c r="J890" s="1"/>
    </row>
    <row r="891" spans="1:10" x14ac:dyDescent="0.3">
      <c r="A891" t="str">
        <f t="shared" si="26"/>
        <v>DRPG</v>
      </c>
      <c r="B891">
        <f t="shared" si="27"/>
        <v>4910</v>
      </c>
      <c r="D891" s="1"/>
      <c r="E891" s="1" t="s">
        <v>108</v>
      </c>
      <c r="F891" s="1">
        <v>11</v>
      </c>
      <c r="G891" s="1">
        <v>1</v>
      </c>
      <c r="H891" s="1">
        <v>28.86</v>
      </c>
      <c r="I891" s="1"/>
      <c r="J891" s="1"/>
    </row>
    <row r="892" spans="1:10" x14ac:dyDescent="0.3">
      <c r="A892" t="str">
        <f t="shared" si="26"/>
        <v>DRPG</v>
      </c>
      <c r="B892">
        <f t="shared" si="27"/>
        <v>3010</v>
      </c>
      <c r="D892" s="1"/>
      <c r="E892" s="1" t="s">
        <v>89</v>
      </c>
      <c r="F892" s="1">
        <v>15</v>
      </c>
      <c r="G892" s="1">
        <v>1</v>
      </c>
      <c r="H892" s="1">
        <v>28.23</v>
      </c>
      <c r="I892" s="1"/>
      <c r="J892" s="1"/>
    </row>
    <row r="893" spans="1:10" x14ac:dyDescent="0.3">
      <c r="A893" t="str">
        <f t="shared" si="26"/>
        <v>DRPG</v>
      </c>
      <c r="B893">
        <f t="shared" si="27"/>
        <v>4310</v>
      </c>
      <c r="D893" s="1"/>
      <c r="E893" s="1" t="s">
        <v>125</v>
      </c>
      <c r="F893" s="1">
        <v>17</v>
      </c>
      <c r="G893" s="1">
        <v>2</v>
      </c>
      <c r="H893" s="1">
        <v>28.11</v>
      </c>
      <c r="I893" s="1"/>
      <c r="J893" s="1"/>
    </row>
    <row r="894" spans="1:10" x14ac:dyDescent="0.3">
      <c r="A894" t="str">
        <f t="shared" si="26"/>
        <v>DRPG</v>
      </c>
      <c r="B894">
        <f t="shared" si="27"/>
        <v>7310</v>
      </c>
      <c r="D894" s="1"/>
      <c r="E894" s="1" t="s">
        <v>111</v>
      </c>
      <c r="F894" s="1">
        <v>19</v>
      </c>
      <c r="G894" s="1">
        <v>3</v>
      </c>
      <c r="H894" s="1">
        <v>28.06</v>
      </c>
      <c r="I894" s="1"/>
      <c r="J894" s="1"/>
    </row>
    <row r="895" spans="1:10" x14ac:dyDescent="0.3">
      <c r="A895" t="str">
        <f t="shared" si="26"/>
        <v>DRPG</v>
      </c>
      <c r="B895">
        <f t="shared" si="27"/>
        <v>4410</v>
      </c>
      <c r="D895" s="1"/>
      <c r="E895" s="1" t="s">
        <v>83</v>
      </c>
      <c r="F895" s="1">
        <v>20</v>
      </c>
      <c r="G895" s="1">
        <v>1</v>
      </c>
      <c r="H895" s="1">
        <v>27.89</v>
      </c>
      <c r="I895" s="1"/>
      <c r="J895" s="1"/>
    </row>
    <row r="896" spans="1:10" x14ac:dyDescent="0.3">
      <c r="A896" t="str">
        <f t="shared" si="26"/>
        <v>DRPG</v>
      </c>
      <c r="B896">
        <f t="shared" si="27"/>
        <v>3910</v>
      </c>
      <c r="D896" s="1"/>
      <c r="E896" s="1" t="s">
        <v>88</v>
      </c>
      <c r="F896" s="1">
        <v>21</v>
      </c>
      <c r="G896" s="1">
        <v>1</v>
      </c>
      <c r="H896" s="1">
        <v>27.88</v>
      </c>
      <c r="I896" s="1"/>
      <c r="J896" s="1"/>
    </row>
    <row r="897" spans="1:10" x14ac:dyDescent="0.3">
      <c r="A897" t="str">
        <f t="shared" si="26"/>
        <v>DRPG</v>
      </c>
      <c r="B897">
        <f t="shared" si="27"/>
        <v>5710</v>
      </c>
      <c r="D897" s="1"/>
      <c r="E897" s="1" t="s">
        <v>120</v>
      </c>
      <c r="F897" s="1">
        <v>25</v>
      </c>
      <c r="G897" s="1">
        <v>1</v>
      </c>
      <c r="H897" s="1">
        <v>27.64</v>
      </c>
      <c r="I897" s="1"/>
      <c r="J897" s="1"/>
    </row>
    <row r="898" spans="1:10" x14ac:dyDescent="0.3">
      <c r="A898" t="str">
        <f t="shared" ref="A898:A961" si="28">IF(NOT(D898=""),INDEX(statAbbr,MATCH(D898,statOfficial,0),1),A897)</f>
        <v>DRPG</v>
      </c>
      <c r="B898">
        <f t="shared" ref="B898:B961" si="29">INDEX(statID,MATCH(A898,statAbbr,0),1)+INDEX(teamID,MATCH(E898,teamRawName,0))</f>
        <v>2710</v>
      </c>
      <c r="D898" s="1"/>
      <c r="E898" s="1" t="s">
        <v>7</v>
      </c>
      <c r="F898" s="1">
        <v>27</v>
      </c>
      <c r="G898" s="1">
        <v>2</v>
      </c>
      <c r="H898" s="1">
        <v>27.59</v>
      </c>
      <c r="I898" s="1"/>
      <c r="J898" s="1"/>
    </row>
    <row r="899" spans="1:10" x14ac:dyDescent="0.3">
      <c r="A899" t="str">
        <f t="shared" si="28"/>
        <v>DRPG</v>
      </c>
      <c r="B899">
        <f t="shared" si="29"/>
        <v>1510</v>
      </c>
      <c r="D899" s="1"/>
      <c r="E899" s="1" t="s">
        <v>124</v>
      </c>
      <c r="F899" s="1">
        <v>28</v>
      </c>
      <c r="G899" s="1">
        <v>3</v>
      </c>
      <c r="H899" s="1">
        <v>27.57</v>
      </c>
      <c r="I899" s="1"/>
      <c r="J899" s="1"/>
    </row>
    <row r="900" spans="1:10" x14ac:dyDescent="0.3">
      <c r="A900" t="str">
        <f t="shared" si="28"/>
        <v>DRPG</v>
      </c>
      <c r="B900">
        <f t="shared" si="29"/>
        <v>5510</v>
      </c>
      <c r="D900" s="1"/>
      <c r="E900" s="1" t="s">
        <v>86</v>
      </c>
      <c r="F900" s="1">
        <v>29</v>
      </c>
      <c r="G900" s="1">
        <v>2</v>
      </c>
      <c r="H900" s="1">
        <v>27.55</v>
      </c>
      <c r="I900" s="1"/>
      <c r="J900" s="1"/>
    </row>
    <row r="901" spans="1:10" x14ac:dyDescent="0.3">
      <c r="A901" t="str">
        <f t="shared" si="28"/>
        <v>DRPG</v>
      </c>
      <c r="B901">
        <f t="shared" si="29"/>
        <v>8410</v>
      </c>
      <c r="D901" s="1"/>
      <c r="E901" s="1" t="s">
        <v>109</v>
      </c>
      <c r="F901" s="1">
        <v>30</v>
      </c>
      <c r="G901" s="1">
        <v>1</v>
      </c>
      <c r="H901" s="1">
        <v>27.4</v>
      </c>
      <c r="I901" s="1"/>
      <c r="J901" s="1"/>
    </row>
    <row r="902" spans="1:10" x14ac:dyDescent="0.3">
      <c r="A902" t="str">
        <f t="shared" si="28"/>
        <v>DRPG</v>
      </c>
      <c r="B902">
        <f t="shared" si="29"/>
        <v>4010</v>
      </c>
      <c r="D902" s="1"/>
      <c r="E902" s="1" t="s">
        <v>105</v>
      </c>
      <c r="F902" s="1">
        <v>34</v>
      </c>
      <c r="G902" s="1">
        <v>2</v>
      </c>
      <c r="H902" s="1">
        <v>27.28</v>
      </c>
      <c r="I902" s="1"/>
      <c r="J902" s="1"/>
    </row>
    <row r="903" spans="1:10" x14ac:dyDescent="0.3">
      <c r="A903" t="str">
        <f t="shared" si="28"/>
        <v>DRPG</v>
      </c>
      <c r="B903">
        <f t="shared" si="29"/>
        <v>1710</v>
      </c>
      <c r="D903" s="1"/>
      <c r="E903" s="1" t="s">
        <v>133</v>
      </c>
      <c r="F903" s="1">
        <v>41</v>
      </c>
      <c r="G903" s="1">
        <v>1</v>
      </c>
      <c r="H903" s="1">
        <v>27.17</v>
      </c>
      <c r="I903" s="1"/>
      <c r="J903" s="1"/>
    </row>
    <row r="904" spans="1:10" x14ac:dyDescent="0.3">
      <c r="A904" t="str">
        <f t="shared" si="28"/>
        <v>DRPG</v>
      </c>
      <c r="B904">
        <f t="shared" si="29"/>
        <v>2310</v>
      </c>
      <c r="D904" s="1"/>
      <c r="E904" s="1" t="s">
        <v>79</v>
      </c>
      <c r="F904" s="1">
        <v>44</v>
      </c>
      <c r="G904" s="1">
        <v>2</v>
      </c>
      <c r="H904" s="1">
        <v>27.1</v>
      </c>
      <c r="I904" s="1"/>
      <c r="J904" s="1"/>
    </row>
    <row r="905" spans="1:10" x14ac:dyDescent="0.3">
      <c r="A905" t="str">
        <f t="shared" si="28"/>
        <v>DRPG</v>
      </c>
      <c r="B905">
        <f t="shared" si="29"/>
        <v>4810</v>
      </c>
      <c r="D905" s="1"/>
      <c r="E905" s="1" t="s">
        <v>104</v>
      </c>
      <c r="F905" s="1">
        <v>45</v>
      </c>
      <c r="G905" s="1">
        <v>4</v>
      </c>
      <c r="H905" s="1">
        <v>27.08</v>
      </c>
      <c r="I905" s="1"/>
      <c r="J905" s="1"/>
    </row>
    <row r="906" spans="1:10" x14ac:dyDescent="0.3">
      <c r="A906" t="str">
        <f t="shared" si="28"/>
        <v>DRPG</v>
      </c>
      <c r="B906">
        <f t="shared" si="29"/>
        <v>3510</v>
      </c>
      <c r="D906" s="1"/>
      <c r="E906" s="1" t="s">
        <v>87</v>
      </c>
      <c r="F906" s="1">
        <v>48</v>
      </c>
      <c r="G906" s="1">
        <v>3</v>
      </c>
      <c r="H906" s="1">
        <v>27.06</v>
      </c>
      <c r="I906" s="1"/>
      <c r="J906" s="1"/>
    </row>
    <row r="907" spans="1:10" x14ac:dyDescent="0.3">
      <c r="A907" t="str">
        <f t="shared" si="28"/>
        <v>DRPG</v>
      </c>
      <c r="B907">
        <f t="shared" si="29"/>
        <v>6310</v>
      </c>
      <c r="D907" s="1"/>
      <c r="E907" s="1" t="s">
        <v>122</v>
      </c>
      <c r="F907" s="1">
        <v>49</v>
      </c>
      <c r="G907" s="1">
        <v>3</v>
      </c>
      <c r="H907" s="1">
        <v>27</v>
      </c>
      <c r="I907" s="1"/>
      <c r="J907" s="1"/>
    </row>
    <row r="908" spans="1:10" x14ac:dyDescent="0.3">
      <c r="A908" t="str">
        <f t="shared" si="28"/>
        <v>DRPG</v>
      </c>
      <c r="B908">
        <f t="shared" si="29"/>
        <v>7910</v>
      </c>
      <c r="D908" s="1"/>
      <c r="E908" s="1" t="s">
        <v>103</v>
      </c>
      <c r="F908" s="1">
        <v>51</v>
      </c>
      <c r="G908" s="1">
        <v>6</v>
      </c>
      <c r="H908" s="1">
        <v>26.97</v>
      </c>
      <c r="I908" s="1"/>
      <c r="J908" s="1"/>
    </row>
    <row r="909" spans="1:10" x14ac:dyDescent="0.3">
      <c r="A909" t="str">
        <f t="shared" si="28"/>
        <v>DRPG</v>
      </c>
      <c r="B909">
        <f t="shared" si="29"/>
        <v>3710</v>
      </c>
      <c r="D909" s="1"/>
      <c r="E909" s="1" t="s">
        <v>115</v>
      </c>
      <c r="F909" s="1">
        <v>58</v>
      </c>
      <c r="G909" s="1">
        <v>4</v>
      </c>
      <c r="H909" s="1">
        <v>26.89</v>
      </c>
      <c r="I909" s="1"/>
      <c r="J909" s="1"/>
    </row>
    <row r="910" spans="1:10" x14ac:dyDescent="0.3">
      <c r="A910" t="str">
        <f t="shared" si="28"/>
        <v>DRPG</v>
      </c>
      <c r="B910">
        <f t="shared" si="29"/>
        <v>4710</v>
      </c>
      <c r="D910" s="1"/>
      <c r="E910" s="1" t="s">
        <v>107</v>
      </c>
      <c r="F910" s="1">
        <v>60</v>
      </c>
      <c r="G910" s="1">
        <v>1</v>
      </c>
      <c r="H910" s="1">
        <v>26.86</v>
      </c>
      <c r="I910" s="1"/>
      <c r="J910" s="1"/>
    </row>
    <row r="911" spans="1:10" x14ac:dyDescent="0.3">
      <c r="A911" t="str">
        <f t="shared" si="28"/>
        <v>DRPG</v>
      </c>
      <c r="B911">
        <f t="shared" si="29"/>
        <v>11510</v>
      </c>
      <c r="D911" s="1"/>
      <c r="E911" s="1" t="s">
        <v>97</v>
      </c>
      <c r="F911" s="1">
        <v>64</v>
      </c>
      <c r="G911" s="1">
        <v>3</v>
      </c>
      <c r="H911" s="1">
        <v>26.71</v>
      </c>
      <c r="I911" s="1"/>
      <c r="J911" s="1"/>
    </row>
    <row r="912" spans="1:10" x14ac:dyDescent="0.3">
      <c r="A912" t="str">
        <f t="shared" si="28"/>
        <v>DRPG</v>
      </c>
      <c r="B912">
        <f t="shared" si="29"/>
        <v>12510</v>
      </c>
      <c r="D912" s="1"/>
      <c r="E912" s="1" t="s">
        <v>95</v>
      </c>
      <c r="F912" s="1">
        <v>67</v>
      </c>
      <c r="G912" s="1">
        <v>1</v>
      </c>
      <c r="H912" s="1">
        <v>26.64</v>
      </c>
      <c r="I912" s="1"/>
      <c r="J912" s="1"/>
    </row>
    <row r="913" spans="1:10" x14ac:dyDescent="0.3">
      <c r="A913" t="str">
        <f t="shared" si="28"/>
        <v>DRPG</v>
      </c>
      <c r="B913">
        <f t="shared" si="29"/>
        <v>4510</v>
      </c>
      <c r="D913" s="1"/>
      <c r="E913" s="1" t="s">
        <v>84</v>
      </c>
      <c r="F913" s="1">
        <v>70</v>
      </c>
      <c r="G913" s="1">
        <v>5</v>
      </c>
      <c r="H913" s="1">
        <v>26.57</v>
      </c>
      <c r="I913" s="1"/>
      <c r="J913" s="1"/>
    </row>
    <row r="914" spans="1:10" x14ac:dyDescent="0.3">
      <c r="A914" t="str">
        <f t="shared" si="28"/>
        <v>DRPG</v>
      </c>
      <c r="B914">
        <f t="shared" si="29"/>
        <v>10310</v>
      </c>
      <c r="D914" s="1"/>
      <c r="E914" s="1" t="s">
        <v>134</v>
      </c>
      <c r="F914" s="1">
        <v>77</v>
      </c>
      <c r="G914" s="1">
        <v>6</v>
      </c>
      <c r="H914" s="1">
        <v>26.46</v>
      </c>
      <c r="I914" s="1"/>
      <c r="J914" s="1"/>
    </row>
    <row r="915" spans="1:10" x14ac:dyDescent="0.3">
      <c r="A915" t="str">
        <f t="shared" si="28"/>
        <v>DRPG</v>
      </c>
      <c r="B915">
        <f t="shared" si="29"/>
        <v>2210</v>
      </c>
      <c r="D915" s="1"/>
      <c r="E915" s="1" t="s">
        <v>119</v>
      </c>
      <c r="F915" s="1">
        <v>80</v>
      </c>
      <c r="G915" s="1">
        <v>4</v>
      </c>
      <c r="H915" s="1">
        <v>26.41</v>
      </c>
      <c r="I915" s="1"/>
      <c r="J915" s="1"/>
    </row>
    <row r="916" spans="1:10" x14ac:dyDescent="0.3">
      <c r="A916" t="str">
        <f t="shared" si="28"/>
        <v>DRPG</v>
      </c>
      <c r="B916">
        <f t="shared" si="29"/>
        <v>9510</v>
      </c>
      <c r="D916" s="1"/>
      <c r="E916" s="1" t="s">
        <v>85</v>
      </c>
      <c r="F916" s="1">
        <v>81</v>
      </c>
      <c r="G916" s="1">
        <v>4</v>
      </c>
      <c r="H916" s="1">
        <v>26.4</v>
      </c>
      <c r="I916" s="1"/>
      <c r="J916" s="1"/>
    </row>
    <row r="917" spans="1:10" x14ac:dyDescent="0.3">
      <c r="A917" t="str">
        <f t="shared" si="28"/>
        <v>DRPG</v>
      </c>
      <c r="B917">
        <f t="shared" si="29"/>
        <v>2510</v>
      </c>
      <c r="D917" s="1"/>
      <c r="E917" s="1" t="s">
        <v>92</v>
      </c>
      <c r="F917" s="1">
        <v>82</v>
      </c>
      <c r="G917" s="1">
        <v>3</v>
      </c>
      <c r="H917" s="1">
        <v>26.38</v>
      </c>
      <c r="I917" s="1"/>
      <c r="J917" s="1"/>
    </row>
    <row r="918" spans="1:10" x14ac:dyDescent="0.3">
      <c r="A918" t="str">
        <f t="shared" si="28"/>
        <v>DRPG</v>
      </c>
      <c r="B918">
        <f t="shared" si="29"/>
        <v>5810</v>
      </c>
      <c r="D918" s="1"/>
      <c r="E918" s="1" t="s">
        <v>139</v>
      </c>
      <c r="F918" s="1">
        <v>85</v>
      </c>
      <c r="G918" s="1">
        <v>3</v>
      </c>
      <c r="H918" s="1">
        <v>26.37</v>
      </c>
      <c r="I918" s="1"/>
      <c r="J918" s="1"/>
    </row>
    <row r="919" spans="1:10" x14ac:dyDescent="0.3">
      <c r="A919" t="str">
        <f t="shared" si="28"/>
        <v>DRPG</v>
      </c>
      <c r="B919">
        <f t="shared" si="29"/>
        <v>12410</v>
      </c>
      <c r="D919" s="1"/>
      <c r="E919" s="1" t="s">
        <v>128</v>
      </c>
      <c r="F919" s="1">
        <v>86</v>
      </c>
      <c r="G919" s="1">
        <v>4</v>
      </c>
      <c r="H919" s="1">
        <v>26.36</v>
      </c>
      <c r="I919" s="1"/>
      <c r="J919" s="1"/>
    </row>
    <row r="920" spans="1:10" x14ac:dyDescent="0.3">
      <c r="A920" t="str">
        <f t="shared" si="28"/>
        <v>DRPG</v>
      </c>
      <c r="B920">
        <f t="shared" si="29"/>
        <v>1410</v>
      </c>
      <c r="D920" s="1"/>
      <c r="E920" s="1" t="s">
        <v>102</v>
      </c>
      <c r="F920" s="1">
        <v>89</v>
      </c>
      <c r="G920" s="1">
        <v>2</v>
      </c>
      <c r="H920" s="1">
        <v>26.34</v>
      </c>
      <c r="I920" s="1"/>
      <c r="J920" s="1"/>
    </row>
    <row r="921" spans="1:10" x14ac:dyDescent="0.3">
      <c r="A921" t="str">
        <f t="shared" si="28"/>
        <v>DRPG</v>
      </c>
      <c r="B921">
        <f t="shared" si="29"/>
        <v>8210</v>
      </c>
      <c r="D921" s="1"/>
      <c r="E921" s="1" t="s">
        <v>131</v>
      </c>
      <c r="F921" s="1">
        <v>95</v>
      </c>
      <c r="G921" s="1">
        <v>2</v>
      </c>
      <c r="H921" s="1">
        <v>26.14</v>
      </c>
      <c r="I921" s="1"/>
      <c r="J921" s="1"/>
    </row>
    <row r="922" spans="1:10" x14ac:dyDescent="0.3">
      <c r="A922" t="str">
        <f t="shared" si="28"/>
        <v>DRPG</v>
      </c>
      <c r="B922">
        <f t="shared" si="29"/>
        <v>1210</v>
      </c>
      <c r="D922" s="1"/>
      <c r="E922" s="1" t="s">
        <v>130</v>
      </c>
      <c r="F922" s="1">
        <v>99</v>
      </c>
      <c r="G922" s="1">
        <v>3</v>
      </c>
      <c r="H922" s="1">
        <v>26.11</v>
      </c>
      <c r="I922" s="1"/>
      <c r="J922" s="1"/>
    </row>
    <row r="923" spans="1:10" x14ac:dyDescent="0.3">
      <c r="A923" t="str">
        <f t="shared" si="28"/>
        <v>DRPG</v>
      </c>
      <c r="B923">
        <f t="shared" si="29"/>
        <v>5410</v>
      </c>
      <c r="D923" s="1"/>
      <c r="E923" s="1" t="s">
        <v>94</v>
      </c>
      <c r="F923" s="1">
        <v>105</v>
      </c>
      <c r="G923" s="1">
        <v>6</v>
      </c>
      <c r="H923" s="1">
        <v>26</v>
      </c>
      <c r="I923" s="1"/>
      <c r="J923" s="1"/>
    </row>
    <row r="924" spans="1:10" x14ac:dyDescent="0.3">
      <c r="A924" t="str">
        <f t="shared" si="28"/>
        <v>DRPG</v>
      </c>
      <c r="B924">
        <f t="shared" si="29"/>
        <v>2110</v>
      </c>
      <c r="D924" s="1"/>
      <c r="E924" s="1" t="s">
        <v>136</v>
      </c>
      <c r="F924" s="1">
        <v>129</v>
      </c>
      <c r="G924" s="1">
        <v>4</v>
      </c>
      <c r="H924" s="1">
        <v>25.67</v>
      </c>
      <c r="I924" s="1"/>
      <c r="J924" s="1"/>
    </row>
    <row r="925" spans="1:10" x14ac:dyDescent="0.3">
      <c r="A925" t="str">
        <f t="shared" si="28"/>
        <v>DRPG</v>
      </c>
      <c r="B925">
        <f t="shared" si="29"/>
        <v>1610</v>
      </c>
      <c r="D925" s="1"/>
      <c r="E925" s="1" t="s">
        <v>137</v>
      </c>
      <c r="F925" s="1">
        <v>132</v>
      </c>
      <c r="G925" s="1">
        <v>8</v>
      </c>
      <c r="H925" s="1">
        <v>25.63</v>
      </c>
      <c r="I925" s="1"/>
      <c r="J925" s="1"/>
    </row>
    <row r="926" spans="1:10" x14ac:dyDescent="0.3">
      <c r="A926" t="str">
        <f t="shared" si="28"/>
        <v>DRPG</v>
      </c>
      <c r="B926">
        <f t="shared" si="29"/>
        <v>1310</v>
      </c>
      <c r="D926" s="1"/>
      <c r="E926" s="1" t="s">
        <v>82</v>
      </c>
      <c r="F926" s="1">
        <v>139</v>
      </c>
      <c r="G926" s="1">
        <v>5</v>
      </c>
      <c r="H926" s="1">
        <v>25.56</v>
      </c>
      <c r="I926" s="1"/>
      <c r="J926" s="1"/>
    </row>
    <row r="927" spans="1:10" x14ac:dyDescent="0.3">
      <c r="A927" t="str">
        <f t="shared" si="28"/>
        <v>DRPG</v>
      </c>
      <c r="B927">
        <f t="shared" si="29"/>
        <v>5010</v>
      </c>
      <c r="D927" s="1"/>
      <c r="E927" s="1" t="s">
        <v>110</v>
      </c>
      <c r="F927" s="1">
        <v>142</v>
      </c>
      <c r="G927" s="1">
        <v>8</v>
      </c>
      <c r="H927" s="1">
        <v>25.52</v>
      </c>
      <c r="I927" s="1"/>
      <c r="J927" s="1"/>
    </row>
    <row r="928" spans="1:10" x14ac:dyDescent="0.3">
      <c r="A928" t="str">
        <f t="shared" si="28"/>
        <v>DRPG</v>
      </c>
      <c r="B928">
        <f t="shared" si="29"/>
        <v>4610</v>
      </c>
      <c r="D928" s="1"/>
      <c r="E928" s="1" t="s">
        <v>101</v>
      </c>
      <c r="F928" s="1">
        <v>148</v>
      </c>
      <c r="G928" s="1">
        <v>6</v>
      </c>
      <c r="H928" s="1">
        <v>25.44</v>
      </c>
      <c r="I928" s="1"/>
      <c r="J928" s="1"/>
    </row>
    <row r="929" spans="1:10" x14ac:dyDescent="0.3">
      <c r="A929" t="str">
        <f t="shared" si="28"/>
        <v>DRPG</v>
      </c>
      <c r="B929">
        <f t="shared" si="29"/>
        <v>3610</v>
      </c>
      <c r="D929" s="1"/>
      <c r="E929" s="1" t="s">
        <v>129</v>
      </c>
      <c r="F929" s="1">
        <v>157</v>
      </c>
      <c r="G929" s="1">
        <v>9</v>
      </c>
      <c r="H929" s="1">
        <v>25.39</v>
      </c>
      <c r="I929" s="1"/>
      <c r="J929" s="1"/>
    </row>
    <row r="930" spans="1:10" x14ac:dyDescent="0.3">
      <c r="A930" t="str">
        <f t="shared" si="28"/>
        <v>DRPG</v>
      </c>
      <c r="B930">
        <f t="shared" si="29"/>
        <v>8010</v>
      </c>
      <c r="D930" s="1"/>
      <c r="E930" s="1" t="s">
        <v>117</v>
      </c>
      <c r="F930" s="1">
        <v>166</v>
      </c>
      <c r="G930" s="1">
        <v>4</v>
      </c>
      <c r="H930" s="1">
        <v>25.25</v>
      </c>
      <c r="I930" s="1"/>
      <c r="J930" s="1"/>
    </row>
    <row r="931" spans="1:10" x14ac:dyDescent="0.3">
      <c r="A931" t="str">
        <f t="shared" si="28"/>
        <v>DRPG</v>
      </c>
      <c r="B931">
        <f t="shared" si="29"/>
        <v>9910</v>
      </c>
      <c r="D931" s="1"/>
      <c r="E931" s="1" t="s">
        <v>113</v>
      </c>
      <c r="F931" s="1">
        <v>175</v>
      </c>
      <c r="G931" s="1">
        <v>7</v>
      </c>
      <c r="H931" s="1">
        <v>25.17</v>
      </c>
      <c r="I931" s="1"/>
      <c r="J931" s="1"/>
    </row>
    <row r="932" spans="1:10" x14ac:dyDescent="0.3">
      <c r="A932" t="str">
        <f t="shared" si="28"/>
        <v>DRPG</v>
      </c>
      <c r="B932">
        <f t="shared" si="29"/>
        <v>1910</v>
      </c>
      <c r="D932" s="1"/>
      <c r="E932" s="1" t="s">
        <v>112</v>
      </c>
      <c r="F932" s="1">
        <v>176</v>
      </c>
      <c r="G932" s="1">
        <v>10</v>
      </c>
      <c r="H932" s="1">
        <v>25.17</v>
      </c>
      <c r="I932" s="1"/>
      <c r="J932" s="1"/>
    </row>
    <row r="933" spans="1:10" x14ac:dyDescent="0.3">
      <c r="A933" t="str">
        <f t="shared" si="28"/>
        <v>DRPG</v>
      </c>
      <c r="B933">
        <f t="shared" si="29"/>
        <v>12710</v>
      </c>
      <c r="D933" s="1"/>
      <c r="E933" s="1" t="s">
        <v>13</v>
      </c>
      <c r="F933" s="1">
        <v>183</v>
      </c>
      <c r="G933" s="1">
        <v>9</v>
      </c>
      <c r="H933" s="1">
        <v>25.09</v>
      </c>
      <c r="I933" s="1"/>
      <c r="J933" s="1"/>
    </row>
    <row r="934" spans="1:10" x14ac:dyDescent="0.3">
      <c r="A934" t="str">
        <f t="shared" si="28"/>
        <v>DRPG</v>
      </c>
      <c r="B934">
        <f t="shared" si="29"/>
        <v>11310</v>
      </c>
      <c r="D934" s="1"/>
      <c r="E934" s="1" t="s">
        <v>126</v>
      </c>
      <c r="F934" s="1">
        <v>186</v>
      </c>
      <c r="G934" s="1">
        <v>6</v>
      </c>
      <c r="H934" s="1">
        <v>25.06</v>
      </c>
      <c r="I934" s="1"/>
      <c r="J934" s="1"/>
    </row>
    <row r="935" spans="1:10" x14ac:dyDescent="0.3">
      <c r="A935" t="str">
        <f t="shared" si="28"/>
        <v>DRPG</v>
      </c>
      <c r="B935">
        <f t="shared" si="29"/>
        <v>7210</v>
      </c>
      <c r="D935" s="1"/>
      <c r="E935" s="1" t="s">
        <v>116</v>
      </c>
      <c r="F935" s="1">
        <v>187</v>
      </c>
      <c r="G935" s="1">
        <v>7</v>
      </c>
      <c r="H935" s="1">
        <v>25</v>
      </c>
      <c r="I935" s="1"/>
      <c r="J935" s="1"/>
    </row>
    <row r="936" spans="1:10" x14ac:dyDescent="0.3">
      <c r="A936" t="str">
        <f t="shared" si="28"/>
        <v>DRPG</v>
      </c>
      <c r="B936">
        <f t="shared" si="29"/>
        <v>11410</v>
      </c>
      <c r="D936" s="1"/>
      <c r="E936" s="1" t="s">
        <v>138</v>
      </c>
      <c r="F936" s="1">
        <v>192</v>
      </c>
      <c r="G936" s="1">
        <v>5</v>
      </c>
      <c r="H936" s="1">
        <v>24.94</v>
      </c>
      <c r="I936" s="1"/>
      <c r="J936" s="1"/>
    </row>
    <row r="937" spans="1:10" x14ac:dyDescent="0.3">
      <c r="A937" t="str">
        <f t="shared" si="28"/>
        <v>DRPG</v>
      </c>
      <c r="B937">
        <f t="shared" si="29"/>
        <v>210</v>
      </c>
      <c r="D937" s="1"/>
      <c r="E937" s="1" t="s">
        <v>98</v>
      </c>
      <c r="F937" s="1">
        <v>204</v>
      </c>
      <c r="G937" s="1">
        <v>6</v>
      </c>
      <c r="H937" s="1">
        <v>24.82</v>
      </c>
      <c r="I937" s="1"/>
      <c r="J937" s="1"/>
    </row>
    <row r="938" spans="1:10" x14ac:dyDescent="0.3">
      <c r="A938" t="str">
        <f t="shared" si="28"/>
        <v>DRPG</v>
      </c>
      <c r="B938">
        <f t="shared" si="29"/>
        <v>6710</v>
      </c>
      <c r="D938" s="1"/>
      <c r="E938" s="1" t="s">
        <v>118</v>
      </c>
      <c r="F938" s="1">
        <v>215</v>
      </c>
      <c r="G938" s="1">
        <v>8</v>
      </c>
      <c r="H938" s="1">
        <v>24.71</v>
      </c>
      <c r="I938" s="1"/>
      <c r="J938" s="1"/>
    </row>
    <row r="939" spans="1:10" x14ac:dyDescent="0.3">
      <c r="A939" t="str">
        <f t="shared" si="28"/>
        <v>DRPG</v>
      </c>
      <c r="B939">
        <f t="shared" si="29"/>
        <v>11610</v>
      </c>
      <c r="D939" s="1"/>
      <c r="E939" s="1" t="s">
        <v>121</v>
      </c>
      <c r="F939" s="1">
        <v>218</v>
      </c>
      <c r="G939" s="1">
        <v>4</v>
      </c>
      <c r="H939" s="1">
        <v>24.67</v>
      </c>
      <c r="I939" s="1"/>
      <c r="J939" s="1"/>
    </row>
    <row r="940" spans="1:10" x14ac:dyDescent="0.3">
      <c r="A940" t="str">
        <f t="shared" si="28"/>
        <v>DRPG</v>
      </c>
      <c r="B940">
        <f t="shared" si="29"/>
        <v>8810</v>
      </c>
      <c r="D940" s="1"/>
      <c r="E940" s="1" t="s">
        <v>141</v>
      </c>
      <c r="F940" s="1">
        <v>222</v>
      </c>
      <c r="G940" s="1">
        <v>1</v>
      </c>
      <c r="H940" s="1">
        <v>24.63</v>
      </c>
      <c r="I940" s="1"/>
      <c r="J940" s="1"/>
    </row>
    <row r="941" spans="1:10" x14ac:dyDescent="0.3">
      <c r="A941" t="str">
        <f t="shared" si="28"/>
        <v>DRPG</v>
      </c>
      <c r="B941">
        <f t="shared" si="29"/>
        <v>910</v>
      </c>
      <c r="D941" s="1"/>
      <c r="E941" s="1" t="s">
        <v>90</v>
      </c>
      <c r="F941" s="1">
        <v>222</v>
      </c>
      <c r="G941" s="1">
        <v>10</v>
      </c>
      <c r="H941" s="1">
        <v>24.63</v>
      </c>
      <c r="I941" s="1"/>
      <c r="J941" s="1"/>
    </row>
    <row r="942" spans="1:10" x14ac:dyDescent="0.3">
      <c r="A942" t="str">
        <f t="shared" si="28"/>
        <v>DRPG</v>
      </c>
      <c r="B942">
        <f t="shared" si="29"/>
        <v>6910</v>
      </c>
      <c r="D942" s="1"/>
      <c r="E942" s="1" t="s">
        <v>114</v>
      </c>
      <c r="F942" s="1">
        <v>233</v>
      </c>
      <c r="G942" s="1">
        <v>9</v>
      </c>
      <c r="H942" s="1">
        <v>24.47</v>
      </c>
      <c r="I942" s="1"/>
      <c r="J942" s="1"/>
    </row>
    <row r="943" spans="1:10" x14ac:dyDescent="0.3">
      <c r="A943" t="str">
        <f t="shared" si="28"/>
        <v>DRPG</v>
      </c>
      <c r="B943">
        <f t="shared" si="29"/>
        <v>5610</v>
      </c>
      <c r="D943" s="1"/>
      <c r="E943" s="1" t="s">
        <v>62</v>
      </c>
      <c r="F943" s="1">
        <v>240</v>
      </c>
      <c r="G943" s="1">
        <v>11</v>
      </c>
      <c r="H943" s="1">
        <v>24.41</v>
      </c>
      <c r="I943" s="1"/>
      <c r="J943" s="1"/>
    </row>
    <row r="944" spans="1:10" x14ac:dyDescent="0.3">
      <c r="A944" t="str">
        <f t="shared" si="28"/>
        <v>DRPG</v>
      </c>
      <c r="B944">
        <f t="shared" si="29"/>
        <v>12910</v>
      </c>
      <c r="D944" s="1"/>
      <c r="E944" s="1" t="s">
        <v>132</v>
      </c>
      <c r="F944" s="1">
        <v>249</v>
      </c>
      <c r="G944" s="1">
        <v>13</v>
      </c>
      <c r="H944" s="1">
        <v>24.3</v>
      </c>
      <c r="I944" s="1"/>
      <c r="J944" s="1"/>
    </row>
    <row r="945" spans="1:10" x14ac:dyDescent="0.3">
      <c r="A945" t="str">
        <f t="shared" si="28"/>
        <v>DRPG</v>
      </c>
      <c r="B945">
        <f t="shared" si="29"/>
        <v>9110</v>
      </c>
      <c r="D945" s="1"/>
      <c r="E945" s="1" t="s">
        <v>99</v>
      </c>
      <c r="F945" s="1">
        <v>255</v>
      </c>
      <c r="G945" s="1">
        <v>11</v>
      </c>
      <c r="H945" s="1">
        <v>24.21</v>
      </c>
      <c r="I945" s="1"/>
      <c r="J945" s="1"/>
    </row>
    <row r="946" spans="1:10" x14ac:dyDescent="0.3">
      <c r="A946" t="str">
        <f t="shared" si="28"/>
        <v>DRPG</v>
      </c>
      <c r="B946">
        <f t="shared" si="29"/>
        <v>3310</v>
      </c>
      <c r="D946" s="1"/>
      <c r="E946" s="1" t="s">
        <v>91</v>
      </c>
      <c r="F946" s="1">
        <v>268</v>
      </c>
      <c r="G946" s="1">
        <v>9</v>
      </c>
      <c r="H946" s="1">
        <v>24.05</v>
      </c>
      <c r="I946" s="1"/>
      <c r="J946" s="1"/>
    </row>
    <row r="947" spans="1:10" x14ac:dyDescent="0.3">
      <c r="A947" t="str">
        <f t="shared" si="28"/>
        <v>DRPG</v>
      </c>
      <c r="B947">
        <f t="shared" si="29"/>
        <v>4210</v>
      </c>
      <c r="D947" s="1"/>
      <c r="E947" s="1" t="s">
        <v>123</v>
      </c>
      <c r="F947" s="1">
        <v>273</v>
      </c>
      <c r="G947" s="1">
        <v>12</v>
      </c>
      <c r="H947" s="1">
        <v>23.94</v>
      </c>
      <c r="I947" s="1"/>
      <c r="J947" s="1"/>
    </row>
    <row r="948" spans="1:10" x14ac:dyDescent="0.3">
      <c r="A948" t="str">
        <f t="shared" si="28"/>
        <v>DRPG</v>
      </c>
      <c r="B948">
        <f t="shared" si="29"/>
        <v>2610</v>
      </c>
      <c r="D948" s="1"/>
      <c r="E948" s="1" t="s">
        <v>80</v>
      </c>
      <c r="F948" s="1">
        <v>281</v>
      </c>
      <c r="G948" s="1">
        <v>14</v>
      </c>
      <c r="H948" s="1">
        <v>23.79</v>
      </c>
      <c r="I948" s="1"/>
      <c r="J948" s="1"/>
    </row>
    <row r="949" spans="1:10" x14ac:dyDescent="0.3">
      <c r="A949" t="str">
        <f t="shared" si="28"/>
        <v>DRPG</v>
      </c>
      <c r="B949">
        <f t="shared" si="29"/>
        <v>12010</v>
      </c>
      <c r="D949" s="1"/>
      <c r="E949" s="1" t="s">
        <v>135</v>
      </c>
      <c r="F949" s="1">
        <v>282</v>
      </c>
      <c r="G949" s="1">
        <v>7</v>
      </c>
      <c r="H949" s="1">
        <v>23.74</v>
      </c>
      <c r="I949" s="1"/>
      <c r="J949" s="1"/>
    </row>
    <row r="950" spans="1:10" x14ac:dyDescent="0.3">
      <c r="A950" t="str">
        <f t="shared" si="28"/>
        <v>DRPG</v>
      </c>
      <c r="B950">
        <f t="shared" si="29"/>
        <v>3210</v>
      </c>
      <c r="D950" s="1"/>
      <c r="E950" s="1" t="s">
        <v>127</v>
      </c>
      <c r="F950" s="1">
        <v>286</v>
      </c>
      <c r="G950" s="1">
        <v>12</v>
      </c>
      <c r="H950" s="1">
        <v>23.71</v>
      </c>
      <c r="I950" s="1"/>
      <c r="J950" s="1"/>
    </row>
    <row r="951" spans="1:10" x14ac:dyDescent="0.3">
      <c r="A951" t="str">
        <f t="shared" si="28"/>
        <v>DRPG</v>
      </c>
      <c r="B951">
        <f t="shared" si="29"/>
        <v>2810</v>
      </c>
      <c r="D951" s="1"/>
      <c r="E951" s="1" t="s">
        <v>106</v>
      </c>
      <c r="F951" s="1">
        <v>287</v>
      </c>
      <c r="G951" s="1">
        <v>13</v>
      </c>
      <c r="H951" s="1">
        <v>23.7</v>
      </c>
      <c r="I951" s="1"/>
      <c r="J951" s="1"/>
    </row>
    <row r="952" spans="1:10" x14ac:dyDescent="0.3">
      <c r="A952" t="str">
        <f t="shared" si="28"/>
        <v>DRPG</v>
      </c>
      <c r="B952">
        <f t="shared" si="29"/>
        <v>610</v>
      </c>
      <c r="D952" s="1"/>
      <c r="E952" s="1" t="s">
        <v>100</v>
      </c>
      <c r="F952" s="1">
        <v>302</v>
      </c>
      <c r="G952" s="1">
        <v>14</v>
      </c>
      <c r="H952" s="1">
        <v>23.27</v>
      </c>
      <c r="I952" s="1"/>
      <c r="J952" s="1"/>
    </row>
    <row r="953" spans="1:10" x14ac:dyDescent="0.3">
      <c r="A953" t="str">
        <f t="shared" si="28"/>
        <v>DRPG</v>
      </c>
      <c r="B953">
        <f t="shared" si="29"/>
        <v>6210</v>
      </c>
      <c r="D953" s="1"/>
      <c r="E953" s="1" t="s">
        <v>81</v>
      </c>
      <c r="F953" s="1">
        <v>324</v>
      </c>
      <c r="G953" s="1">
        <v>13</v>
      </c>
      <c r="H953" s="1">
        <v>22.88</v>
      </c>
      <c r="I953" s="1"/>
      <c r="J953" s="1"/>
    </row>
    <row r="954" spans="1:10" x14ac:dyDescent="0.3">
      <c r="A954" t="str">
        <f t="shared" si="28"/>
        <v>DRPG</v>
      </c>
      <c r="B954">
        <f t="shared" si="29"/>
        <v>12810</v>
      </c>
      <c r="D954" s="1"/>
      <c r="E954" s="1" t="s">
        <v>142</v>
      </c>
      <c r="F954" s="1">
        <v>326</v>
      </c>
      <c r="G954" s="1">
        <v>10</v>
      </c>
      <c r="H954" s="1">
        <v>22.73</v>
      </c>
      <c r="I954" s="1"/>
      <c r="J954" s="1"/>
    </row>
    <row r="955" spans="1:10" x14ac:dyDescent="0.3">
      <c r="A955" t="str">
        <f t="shared" si="28"/>
        <v>DRPG</v>
      </c>
      <c r="B955">
        <f t="shared" si="29"/>
        <v>11910</v>
      </c>
      <c r="D955" s="1"/>
      <c r="E955" s="1" t="s">
        <v>143</v>
      </c>
      <c r="F955" s="1">
        <v>332</v>
      </c>
      <c r="G955" s="1">
        <v>9</v>
      </c>
      <c r="H955" s="1">
        <v>22.56</v>
      </c>
      <c r="I955" s="1"/>
      <c r="J955" s="1"/>
    </row>
    <row r="956" spans="1:10" x14ac:dyDescent="0.3">
      <c r="A956" t="str">
        <f t="shared" si="28"/>
        <v>ORPG</v>
      </c>
      <c r="B956">
        <f t="shared" si="29"/>
        <v>3619</v>
      </c>
      <c r="D956" s="1" t="s">
        <v>165</v>
      </c>
      <c r="E956" s="1" t="s">
        <v>129</v>
      </c>
      <c r="F956" s="1">
        <v>1</v>
      </c>
      <c r="G956" s="1">
        <v>1</v>
      </c>
      <c r="H956" s="1">
        <v>17.420000000000002</v>
      </c>
      <c r="I956" s="1" t="s">
        <v>129</v>
      </c>
      <c r="J956" s="1">
        <v>17.420000000000002</v>
      </c>
    </row>
    <row r="957" spans="1:10" x14ac:dyDescent="0.3">
      <c r="A957" t="str">
        <f t="shared" si="28"/>
        <v>ORPG</v>
      </c>
      <c r="B957">
        <f t="shared" si="29"/>
        <v>5719</v>
      </c>
      <c r="D957" s="1"/>
      <c r="E957" s="1" t="s">
        <v>120</v>
      </c>
      <c r="F957" s="1">
        <v>3</v>
      </c>
      <c r="G957" s="1">
        <v>2</v>
      </c>
      <c r="H957" s="1">
        <v>14.64</v>
      </c>
      <c r="I957" s="1"/>
      <c r="J957" s="1"/>
    </row>
    <row r="958" spans="1:10" x14ac:dyDescent="0.3">
      <c r="A958" t="str">
        <f t="shared" si="28"/>
        <v>ORPG</v>
      </c>
      <c r="B958">
        <f t="shared" si="29"/>
        <v>2819</v>
      </c>
      <c r="D958" s="1"/>
      <c r="E958" s="1" t="s">
        <v>106</v>
      </c>
      <c r="F958" s="1">
        <v>11</v>
      </c>
      <c r="G958" s="1">
        <v>1</v>
      </c>
      <c r="H958" s="1">
        <v>13.43</v>
      </c>
      <c r="I958" s="1"/>
      <c r="J958" s="1"/>
    </row>
    <row r="959" spans="1:10" x14ac:dyDescent="0.3">
      <c r="A959" t="str">
        <f t="shared" si="28"/>
        <v>ORPG</v>
      </c>
      <c r="B959">
        <f t="shared" si="29"/>
        <v>11419</v>
      </c>
      <c r="D959" s="1"/>
      <c r="E959" s="1" t="s">
        <v>138</v>
      </c>
      <c r="F959" s="1">
        <v>12</v>
      </c>
      <c r="G959" s="1">
        <v>1</v>
      </c>
      <c r="H959" s="1">
        <v>13.43</v>
      </c>
      <c r="I959" s="1"/>
      <c r="J959" s="1"/>
    </row>
    <row r="960" spans="1:10" x14ac:dyDescent="0.3">
      <c r="A960" t="str">
        <f t="shared" si="28"/>
        <v>ORPG</v>
      </c>
      <c r="B960">
        <f t="shared" si="29"/>
        <v>2519</v>
      </c>
      <c r="D960" s="1"/>
      <c r="E960" s="1" t="s">
        <v>92</v>
      </c>
      <c r="F960" s="1">
        <v>21</v>
      </c>
      <c r="G960" s="1">
        <v>1</v>
      </c>
      <c r="H960" s="1">
        <v>13.18</v>
      </c>
      <c r="I960" s="1"/>
      <c r="J960" s="1"/>
    </row>
    <row r="961" spans="1:10" x14ac:dyDescent="0.3">
      <c r="A961" t="str">
        <f t="shared" si="28"/>
        <v>ORPG</v>
      </c>
      <c r="B961">
        <f t="shared" si="29"/>
        <v>2919</v>
      </c>
      <c r="D961" s="1"/>
      <c r="E961" s="1" t="s">
        <v>96</v>
      </c>
      <c r="F961" s="1">
        <v>23</v>
      </c>
      <c r="G961" s="1">
        <v>1</v>
      </c>
      <c r="H961" s="1">
        <v>13.08</v>
      </c>
      <c r="I961" s="1"/>
      <c r="J961" s="1"/>
    </row>
    <row r="962" spans="1:10" x14ac:dyDescent="0.3">
      <c r="A962" t="str">
        <f t="shared" ref="A962:A1025" si="30">IF(NOT(D962=""),INDEX(statAbbr,MATCH(D962,statOfficial,0),1),A961)</f>
        <v>ORPG</v>
      </c>
      <c r="B962">
        <f t="shared" ref="B962:B1025" si="31">INDEX(statID,MATCH(A962,statAbbr,0),1)+INDEX(teamID,MATCH(E962,teamRawName,0))</f>
        <v>11519</v>
      </c>
      <c r="D962" s="1"/>
      <c r="E962" s="1" t="s">
        <v>97</v>
      </c>
      <c r="F962" s="1">
        <v>24</v>
      </c>
      <c r="G962" s="1">
        <v>2</v>
      </c>
      <c r="H962" s="1">
        <v>13.06</v>
      </c>
      <c r="I962" s="1"/>
      <c r="J962" s="1"/>
    </row>
    <row r="963" spans="1:10" x14ac:dyDescent="0.3">
      <c r="A963" t="str">
        <f t="shared" si="30"/>
        <v>ORPG</v>
      </c>
      <c r="B963">
        <f t="shared" si="31"/>
        <v>12719</v>
      </c>
      <c r="D963" s="1"/>
      <c r="E963" s="1" t="s">
        <v>13</v>
      </c>
      <c r="F963" s="1">
        <v>27</v>
      </c>
      <c r="G963" s="1">
        <v>3</v>
      </c>
      <c r="H963" s="1">
        <v>12.89</v>
      </c>
      <c r="I963" s="1"/>
      <c r="J963" s="1"/>
    </row>
    <row r="964" spans="1:10" x14ac:dyDescent="0.3">
      <c r="A964" t="str">
        <f t="shared" si="30"/>
        <v>ORPG</v>
      </c>
      <c r="B964">
        <f t="shared" si="31"/>
        <v>4719</v>
      </c>
      <c r="D964" s="1"/>
      <c r="E964" s="1" t="s">
        <v>107</v>
      </c>
      <c r="F964" s="1">
        <v>28</v>
      </c>
      <c r="G964" s="1">
        <v>1</v>
      </c>
      <c r="H964" s="1">
        <v>12.83</v>
      </c>
      <c r="I964" s="1"/>
      <c r="J964" s="1"/>
    </row>
    <row r="965" spans="1:10" x14ac:dyDescent="0.3">
      <c r="A965" t="str">
        <f t="shared" si="30"/>
        <v>ORPG</v>
      </c>
      <c r="B965">
        <f t="shared" si="31"/>
        <v>4319</v>
      </c>
      <c r="D965" s="1"/>
      <c r="E965" s="1" t="s">
        <v>125</v>
      </c>
      <c r="F965" s="1">
        <v>29</v>
      </c>
      <c r="G965" s="1">
        <v>1</v>
      </c>
      <c r="H965" s="1">
        <v>12.79</v>
      </c>
      <c r="I965" s="1"/>
      <c r="J965" s="1"/>
    </row>
    <row r="966" spans="1:10" x14ac:dyDescent="0.3">
      <c r="A966" t="str">
        <f t="shared" si="30"/>
        <v>ORPG</v>
      </c>
      <c r="B966">
        <f t="shared" si="31"/>
        <v>3719</v>
      </c>
      <c r="D966" s="1"/>
      <c r="E966" s="1" t="s">
        <v>115</v>
      </c>
      <c r="F966" s="1">
        <v>31</v>
      </c>
      <c r="G966" s="1">
        <v>3</v>
      </c>
      <c r="H966" s="1">
        <v>12.76</v>
      </c>
      <c r="I966" s="1"/>
      <c r="J966" s="1"/>
    </row>
    <row r="967" spans="1:10" x14ac:dyDescent="0.3">
      <c r="A967" t="str">
        <f t="shared" si="30"/>
        <v>ORPG</v>
      </c>
      <c r="B967">
        <f t="shared" si="31"/>
        <v>5619</v>
      </c>
      <c r="D967" s="1"/>
      <c r="E967" s="1" t="s">
        <v>62</v>
      </c>
      <c r="F967" s="1">
        <v>32</v>
      </c>
      <c r="G967" s="1">
        <v>3</v>
      </c>
      <c r="H967" s="1">
        <v>12.74</v>
      </c>
      <c r="I967" s="1"/>
      <c r="J967" s="1"/>
    </row>
    <row r="968" spans="1:10" x14ac:dyDescent="0.3">
      <c r="A968" t="str">
        <f t="shared" si="30"/>
        <v>ORPG</v>
      </c>
      <c r="B968">
        <f t="shared" si="31"/>
        <v>12419</v>
      </c>
      <c r="D968" s="1"/>
      <c r="E968" s="1" t="s">
        <v>128</v>
      </c>
      <c r="F968" s="1">
        <v>35</v>
      </c>
      <c r="G968" s="1">
        <v>1</v>
      </c>
      <c r="H968" s="1">
        <v>12.5</v>
      </c>
      <c r="I968" s="1"/>
      <c r="J968" s="1"/>
    </row>
    <row r="969" spans="1:10" x14ac:dyDescent="0.3">
      <c r="A969" t="str">
        <f t="shared" si="30"/>
        <v>ORPG</v>
      </c>
      <c r="B969">
        <f t="shared" si="31"/>
        <v>1619</v>
      </c>
      <c r="D969" s="1"/>
      <c r="E969" s="1" t="s">
        <v>137</v>
      </c>
      <c r="F969" s="1">
        <v>38</v>
      </c>
      <c r="G969" s="1">
        <v>4</v>
      </c>
      <c r="H969" s="1">
        <v>12.46</v>
      </c>
      <c r="I969" s="1"/>
      <c r="J969" s="1"/>
    </row>
    <row r="970" spans="1:10" x14ac:dyDescent="0.3">
      <c r="A970" t="str">
        <f t="shared" si="30"/>
        <v>ORPG</v>
      </c>
      <c r="B970">
        <f t="shared" si="31"/>
        <v>12819</v>
      </c>
      <c r="D970" s="1"/>
      <c r="E970" s="1" t="s">
        <v>142</v>
      </c>
      <c r="F970" s="1">
        <v>39</v>
      </c>
      <c r="G970" s="1">
        <v>1</v>
      </c>
      <c r="H970" s="1">
        <v>12.45</v>
      </c>
      <c r="I970" s="1"/>
      <c r="J970" s="1"/>
    </row>
    <row r="971" spans="1:10" x14ac:dyDescent="0.3">
      <c r="A971" t="str">
        <f t="shared" si="30"/>
        <v>ORPG</v>
      </c>
      <c r="B971">
        <f t="shared" si="31"/>
        <v>4919</v>
      </c>
      <c r="D971" s="1"/>
      <c r="E971" s="1" t="s">
        <v>108</v>
      </c>
      <c r="F971" s="1">
        <v>47</v>
      </c>
      <c r="G971" s="1">
        <v>1</v>
      </c>
      <c r="H971" s="1">
        <v>12.22</v>
      </c>
      <c r="I971" s="1"/>
      <c r="J971" s="1"/>
    </row>
    <row r="972" spans="1:10" x14ac:dyDescent="0.3">
      <c r="A972" t="str">
        <f t="shared" si="30"/>
        <v>ORPG</v>
      </c>
      <c r="B972">
        <f t="shared" si="31"/>
        <v>3019</v>
      </c>
      <c r="D972" s="1"/>
      <c r="E972" s="1" t="s">
        <v>89</v>
      </c>
      <c r="F972" s="1">
        <v>48</v>
      </c>
      <c r="G972" s="1">
        <v>3</v>
      </c>
      <c r="H972" s="1">
        <v>12.21</v>
      </c>
      <c r="I972" s="1"/>
      <c r="J972" s="1"/>
    </row>
    <row r="973" spans="1:10" x14ac:dyDescent="0.3">
      <c r="A973" t="str">
        <f t="shared" si="30"/>
        <v>ORPG</v>
      </c>
      <c r="B973">
        <f t="shared" si="31"/>
        <v>2719</v>
      </c>
      <c r="D973" s="1"/>
      <c r="E973" s="1" t="s">
        <v>7</v>
      </c>
      <c r="F973" s="1">
        <v>58</v>
      </c>
      <c r="G973" s="1">
        <v>5</v>
      </c>
      <c r="H973" s="1">
        <v>11.91</v>
      </c>
      <c r="I973" s="1"/>
      <c r="J973" s="1"/>
    </row>
    <row r="974" spans="1:10" x14ac:dyDescent="0.3">
      <c r="A974" t="str">
        <f t="shared" si="30"/>
        <v>ORPG</v>
      </c>
      <c r="B974">
        <f t="shared" si="31"/>
        <v>5819</v>
      </c>
      <c r="D974" s="1"/>
      <c r="E974" s="1" t="s">
        <v>139</v>
      </c>
      <c r="F974" s="1">
        <v>67</v>
      </c>
      <c r="G974" s="1">
        <v>4</v>
      </c>
      <c r="H974" s="1">
        <v>11.77</v>
      </c>
      <c r="I974" s="1"/>
      <c r="J974" s="1"/>
    </row>
    <row r="975" spans="1:10" x14ac:dyDescent="0.3">
      <c r="A975" t="str">
        <f t="shared" si="30"/>
        <v>ORPG</v>
      </c>
      <c r="B975">
        <f t="shared" si="31"/>
        <v>2319</v>
      </c>
      <c r="D975" s="1"/>
      <c r="E975" s="1" t="s">
        <v>79</v>
      </c>
      <c r="F975" s="1">
        <v>70</v>
      </c>
      <c r="G975" s="1">
        <v>5</v>
      </c>
      <c r="H975" s="1">
        <v>11.73</v>
      </c>
      <c r="I975" s="1"/>
      <c r="J975" s="1"/>
    </row>
    <row r="976" spans="1:10" x14ac:dyDescent="0.3">
      <c r="A976" t="str">
        <f t="shared" si="30"/>
        <v>ORPG</v>
      </c>
      <c r="B976">
        <f t="shared" si="31"/>
        <v>1219</v>
      </c>
      <c r="D976" s="1"/>
      <c r="E976" s="1" t="s">
        <v>130</v>
      </c>
      <c r="F976" s="1">
        <v>73</v>
      </c>
      <c r="G976" s="1">
        <v>2</v>
      </c>
      <c r="H976" s="1">
        <v>11.68</v>
      </c>
      <c r="I976" s="1"/>
      <c r="J976" s="1"/>
    </row>
    <row r="977" spans="1:10" x14ac:dyDescent="0.3">
      <c r="A977" t="str">
        <f t="shared" si="30"/>
        <v>ORPG</v>
      </c>
      <c r="B977">
        <f t="shared" si="31"/>
        <v>2219</v>
      </c>
      <c r="D977" s="1"/>
      <c r="E977" s="1" t="s">
        <v>119</v>
      </c>
      <c r="F977" s="1">
        <v>74</v>
      </c>
      <c r="G977" s="1">
        <v>6</v>
      </c>
      <c r="H977" s="1">
        <v>11.65</v>
      </c>
      <c r="I977" s="1"/>
      <c r="J977" s="1"/>
    </row>
    <row r="978" spans="1:10" x14ac:dyDescent="0.3">
      <c r="A978" t="str">
        <f t="shared" si="30"/>
        <v>ORPG</v>
      </c>
      <c r="B978">
        <f t="shared" si="31"/>
        <v>3519</v>
      </c>
      <c r="D978" s="1"/>
      <c r="E978" s="1" t="s">
        <v>87</v>
      </c>
      <c r="F978" s="1">
        <v>76</v>
      </c>
      <c r="G978" s="1">
        <v>5</v>
      </c>
      <c r="H978" s="1">
        <v>11.64</v>
      </c>
      <c r="I978" s="1"/>
      <c r="J978" s="1"/>
    </row>
    <row r="979" spans="1:10" x14ac:dyDescent="0.3">
      <c r="A979" t="str">
        <f t="shared" si="30"/>
        <v>ORPG</v>
      </c>
      <c r="B979">
        <f t="shared" si="31"/>
        <v>2119</v>
      </c>
      <c r="D979" s="1"/>
      <c r="E979" s="1" t="s">
        <v>136</v>
      </c>
      <c r="F979" s="1">
        <v>77</v>
      </c>
      <c r="G979" s="1">
        <v>3</v>
      </c>
      <c r="H979" s="1">
        <v>11.64</v>
      </c>
      <c r="I979" s="1"/>
      <c r="J979" s="1"/>
    </row>
    <row r="980" spans="1:10" x14ac:dyDescent="0.3">
      <c r="A980" t="str">
        <f t="shared" si="30"/>
        <v>ORPG</v>
      </c>
      <c r="B980">
        <f t="shared" si="31"/>
        <v>1519</v>
      </c>
      <c r="D980" s="1"/>
      <c r="E980" s="1" t="s">
        <v>124</v>
      </c>
      <c r="F980" s="1">
        <v>78</v>
      </c>
      <c r="G980" s="1">
        <v>2</v>
      </c>
      <c r="H980" s="1">
        <v>11.63</v>
      </c>
      <c r="I980" s="1"/>
      <c r="J980" s="1"/>
    </row>
    <row r="981" spans="1:10" x14ac:dyDescent="0.3">
      <c r="A981" t="str">
        <f t="shared" si="30"/>
        <v>ORPG</v>
      </c>
      <c r="B981">
        <f t="shared" si="31"/>
        <v>4819</v>
      </c>
      <c r="D981" s="1"/>
      <c r="E981" s="1" t="s">
        <v>104</v>
      </c>
      <c r="F981" s="1">
        <v>81</v>
      </c>
      <c r="G981" s="1">
        <v>5</v>
      </c>
      <c r="H981" s="1">
        <v>11.53</v>
      </c>
      <c r="I981" s="1"/>
      <c r="J981" s="1"/>
    </row>
    <row r="982" spans="1:10" x14ac:dyDescent="0.3">
      <c r="A982" t="str">
        <f t="shared" si="30"/>
        <v>ORPG</v>
      </c>
      <c r="B982">
        <f t="shared" si="31"/>
        <v>3219</v>
      </c>
      <c r="D982" s="1"/>
      <c r="E982" s="1" t="s">
        <v>127</v>
      </c>
      <c r="F982" s="1">
        <v>91</v>
      </c>
      <c r="G982" s="1">
        <v>6</v>
      </c>
      <c r="H982" s="1">
        <v>11.4</v>
      </c>
      <c r="I982" s="1"/>
      <c r="J982" s="1"/>
    </row>
    <row r="983" spans="1:10" x14ac:dyDescent="0.3">
      <c r="A983" t="str">
        <f t="shared" si="30"/>
        <v>ORPG</v>
      </c>
      <c r="B983">
        <f t="shared" si="31"/>
        <v>9119</v>
      </c>
      <c r="D983" s="1"/>
      <c r="E983" s="1" t="s">
        <v>99</v>
      </c>
      <c r="F983" s="1">
        <v>94</v>
      </c>
      <c r="G983" s="1">
        <v>6</v>
      </c>
      <c r="H983" s="1">
        <v>11.38</v>
      </c>
      <c r="I983" s="1"/>
      <c r="J983" s="1"/>
    </row>
    <row r="984" spans="1:10" x14ac:dyDescent="0.3">
      <c r="A984" t="str">
        <f t="shared" si="30"/>
        <v>ORPG</v>
      </c>
      <c r="B984">
        <f t="shared" si="31"/>
        <v>8819</v>
      </c>
      <c r="D984" s="1"/>
      <c r="E984" s="1" t="s">
        <v>141</v>
      </c>
      <c r="F984" s="1">
        <v>101</v>
      </c>
      <c r="G984" s="1">
        <v>3</v>
      </c>
      <c r="H984" s="1">
        <v>11.29</v>
      </c>
      <c r="I984" s="1"/>
      <c r="J984" s="1"/>
    </row>
    <row r="985" spans="1:10" x14ac:dyDescent="0.3">
      <c r="A985" t="str">
        <f t="shared" si="30"/>
        <v>ORPG</v>
      </c>
      <c r="B985">
        <f t="shared" si="31"/>
        <v>219</v>
      </c>
      <c r="D985" s="1"/>
      <c r="E985" s="1" t="s">
        <v>98</v>
      </c>
      <c r="F985" s="1">
        <v>109</v>
      </c>
      <c r="G985" s="1">
        <v>6</v>
      </c>
      <c r="H985" s="1">
        <v>11.24</v>
      </c>
      <c r="I985" s="1"/>
      <c r="J985" s="1"/>
    </row>
    <row r="986" spans="1:10" x14ac:dyDescent="0.3">
      <c r="A986" t="str">
        <f t="shared" si="30"/>
        <v>ORPG</v>
      </c>
      <c r="B986">
        <f t="shared" si="31"/>
        <v>4519</v>
      </c>
      <c r="D986" s="1"/>
      <c r="E986" s="1" t="s">
        <v>84</v>
      </c>
      <c r="F986" s="1">
        <v>110</v>
      </c>
      <c r="G986" s="1">
        <v>7</v>
      </c>
      <c r="H986" s="1">
        <v>11.23</v>
      </c>
      <c r="I986" s="1"/>
      <c r="J986" s="1"/>
    </row>
    <row r="987" spans="1:10" x14ac:dyDescent="0.3">
      <c r="A987" t="str">
        <f t="shared" si="30"/>
        <v>ORPG</v>
      </c>
      <c r="B987">
        <f t="shared" si="31"/>
        <v>11619</v>
      </c>
      <c r="D987" s="1"/>
      <c r="E987" s="1" t="s">
        <v>121</v>
      </c>
      <c r="F987" s="1">
        <v>114</v>
      </c>
      <c r="G987" s="1">
        <v>3</v>
      </c>
      <c r="H987" s="1">
        <v>11.18</v>
      </c>
      <c r="I987" s="1"/>
      <c r="J987" s="1"/>
    </row>
    <row r="988" spans="1:10" x14ac:dyDescent="0.3">
      <c r="A988" t="str">
        <f t="shared" si="30"/>
        <v>ORPG</v>
      </c>
      <c r="B988">
        <f t="shared" si="31"/>
        <v>10319</v>
      </c>
      <c r="D988" s="1"/>
      <c r="E988" s="1" t="s">
        <v>134</v>
      </c>
      <c r="F988" s="1">
        <v>115</v>
      </c>
      <c r="G988" s="1">
        <v>2</v>
      </c>
      <c r="H988" s="1">
        <v>11.17</v>
      </c>
      <c r="I988" s="1"/>
      <c r="J988" s="1"/>
    </row>
    <row r="989" spans="1:10" x14ac:dyDescent="0.3">
      <c r="A989" t="str">
        <f t="shared" si="30"/>
        <v>ORPG</v>
      </c>
      <c r="B989">
        <f t="shared" si="31"/>
        <v>4419</v>
      </c>
      <c r="D989" s="1"/>
      <c r="E989" s="1" t="s">
        <v>83</v>
      </c>
      <c r="F989" s="1">
        <v>129</v>
      </c>
      <c r="G989" s="1">
        <v>3</v>
      </c>
      <c r="H989" s="1">
        <v>10.83</v>
      </c>
      <c r="I989" s="1"/>
      <c r="J989" s="1"/>
    </row>
    <row r="990" spans="1:10" x14ac:dyDescent="0.3">
      <c r="A990" t="str">
        <f t="shared" si="30"/>
        <v>ORPG</v>
      </c>
      <c r="B990">
        <f t="shared" si="31"/>
        <v>5419</v>
      </c>
      <c r="D990" s="1"/>
      <c r="E990" s="1" t="s">
        <v>94</v>
      </c>
      <c r="F990" s="1">
        <v>138</v>
      </c>
      <c r="G990" s="1">
        <v>4</v>
      </c>
      <c r="H990" s="1">
        <v>10.64</v>
      </c>
      <c r="I990" s="1"/>
      <c r="J990" s="1"/>
    </row>
    <row r="991" spans="1:10" x14ac:dyDescent="0.3">
      <c r="A991" t="str">
        <f t="shared" si="30"/>
        <v>ORPG</v>
      </c>
      <c r="B991">
        <f t="shared" si="31"/>
        <v>8019</v>
      </c>
      <c r="D991" s="1"/>
      <c r="E991" s="1" t="s">
        <v>117</v>
      </c>
      <c r="F991" s="1">
        <v>138</v>
      </c>
      <c r="G991" s="1">
        <v>5</v>
      </c>
      <c r="H991" s="1">
        <v>10.64</v>
      </c>
      <c r="I991" s="1"/>
      <c r="J991" s="1"/>
    </row>
    <row r="992" spans="1:10" x14ac:dyDescent="0.3">
      <c r="A992" t="str">
        <f t="shared" si="30"/>
        <v>ORPG</v>
      </c>
      <c r="B992">
        <f t="shared" si="31"/>
        <v>619</v>
      </c>
      <c r="D992" s="1"/>
      <c r="E992" s="1" t="s">
        <v>100</v>
      </c>
      <c r="F992" s="1">
        <v>141</v>
      </c>
      <c r="G992" s="1">
        <v>8</v>
      </c>
      <c r="H992" s="1">
        <v>10.62</v>
      </c>
      <c r="I992" s="1"/>
      <c r="J992" s="1"/>
    </row>
    <row r="993" spans="1:10" x14ac:dyDescent="0.3">
      <c r="A993" t="str">
        <f t="shared" si="30"/>
        <v>ORPG</v>
      </c>
      <c r="B993">
        <f t="shared" si="31"/>
        <v>12119</v>
      </c>
      <c r="D993" s="1"/>
      <c r="E993" s="1" t="s">
        <v>140</v>
      </c>
      <c r="F993" s="1">
        <v>142</v>
      </c>
      <c r="G993" s="1">
        <v>4</v>
      </c>
      <c r="H993" s="1">
        <v>10.62</v>
      </c>
      <c r="I993" s="1"/>
      <c r="J993" s="1"/>
    </row>
    <row r="994" spans="1:10" x14ac:dyDescent="0.3">
      <c r="A994" t="str">
        <f t="shared" si="30"/>
        <v>ORPG</v>
      </c>
      <c r="B994">
        <f t="shared" si="31"/>
        <v>9919</v>
      </c>
      <c r="D994" s="1"/>
      <c r="E994" s="1" t="s">
        <v>113</v>
      </c>
      <c r="F994" s="1">
        <v>144</v>
      </c>
      <c r="G994" s="1">
        <v>4</v>
      </c>
      <c r="H994" s="1">
        <v>10.6</v>
      </c>
      <c r="I994" s="1"/>
      <c r="J994" s="1"/>
    </row>
    <row r="995" spans="1:10" x14ac:dyDescent="0.3">
      <c r="A995" t="str">
        <f t="shared" si="30"/>
        <v>ORPG</v>
      </c>
      <c r="B995">
        <f t="shared" si="31"/>
        <v>12919</v>
      </c>
      <c r="D995" s="1"/>
      <c r="E995" s="1" t="s">
        <v>132</v>
      </c>
      <c r="F995" s="1">
        <v>150</v>
      </c>
      <c r="G995" s="1">
        <v>3</v>
      </c>
      <c r="H995" s="1">
        <v>10.51</v>
      </c>
      <c r="I995" s="1"/>
      <c r="J995" s="1"/>
    </row>
    <row r="996" spans="1:10" x14ac:dyDescent="0.3">
      <c r="A996" t="str">
        <f t="shared" si="30"/>
        <v>ORPG</v>
      </c>
      <c r="B996">
        <f t="shared" si="31"/>
        <v>8219</v>
      </c>
      <c r="D996" s="1"/>
      <c r="E996" s="1" t="s">
        <v>131</v>
      </c>
      <c r="F996" s="1">
        <v>166</v>
      </c>
      <c r="G996" s="1">
        <v>6</v>
      </c>
      <c r="H996" s="1">
        <v>10.37</v>
      </c>
      <c r="I996" s="1"/>
      <c r="J996" s="1"/>
    </row>
    <row r="997" spans="1:10" x14ac:dyDescent="0.3">
      <c r="A997" t="str">
        <f t="shared" si="30"/>
        <v>ORPG</v>
      </c>
      <c r="B997">
        <f t="shared" si="31"/>
        <v>1919</v>
      </c>
      <c r="D997" s="1"/>
      <c r="E997" s="1" t="s">
        <v>112</v>
      </c>
      <c r="F997" s="1">
        <v>183</v>
      </c>
      <c r="G997" s="1">
        <v>7</v>
      </c>
      <c r="H997" s="1">
        <v>10.119999999999999</v>
      </c>
      <c r="I997" s="1"/>
      <c r="J997" s="1"/>
    </row>
    <row r="998" spans="1:10" x14ac:dyDescent="0.3">
      <c r="A998" t="str">
        <f t="shared" si="30"/>
        <v>ORPG</v>
      </c>
      <c r="B998">
        <f t="shared" si="31"/>
        <v>919</v>
      </c>
      <c r="D998" s="1"/>
      <c r="E998" s="1" t="s">
        <v>90</v>
      </c>
      <c r="F998" s="1">
        <v>189</v>
      </c>
      <c r="G998" s="1">
        <v>8</v>
      </c>
      <c r="H998" s="1">
        <v>10.09</v>
      </c>
      <c r="I998" s="1"/>
      <c r="J998" s="1"/>
    </row>
    <row r="999" spans="1:10" x14ac:dyDescent="0.3">
      <c r="A999" t="str">
        <f t="shared" si="30"/>
        <v>ORPG</v>
      </c>
      <c r="B999">
        <f t="shared" si="31"/>
        <v>5519</v>
      </c>
      <c r="D999" s="1"/>
      <c r="E999" s="1" t="s">
        <v>86</v>
      </c>
      <c r="F999" s="1">
        <v>192</v>
      </c>
      <c r="G999" s="1">
        <v>11</v>
      </c>
      <c r="H999" s="1">
        <v>10.06</v>
      </c>
      <c r="I999" s="1"/>
      <c r="J999" s="1"/>
    </row>
    <row r="1000" spans="1:10" x14ac:dyDescent="0.3">
      <c r="A1000" t="str">
        <f t="shared" si="30"/>
        <v>ORPG</v>
      </c>
      <c r="B1000">
        <f t="shared" si="31"/>
        <v>4219</v>
      </c>
      <c r="D1000" s="1"/>
      <c r="E1000" s="1" t="s">
        <v>123</v>
      </c>
      <c r="F1000" s="1">
        <v>193</v>
      </c>
      <c r="G1000" s="1">
        <v>9</v>
      </c>
      <c r="H1000" s="1">
        <v>10.06</v>
      </c>
      <c r="I1000" s="1"/>
      <c r="J1000" s="1"/>
    </row>
    <row r="1001" spans="1:10" x14ac:dyDescent="0.3">
      <c r="A1001" t="str">
        <f t="shared" si="30"/>
        <v>ORPG</v>
      </c>
      <c r="B1001">
        <f t="shared" si="31"/>
        <v>6719</v>
      </c>
      <c r="D1001" s="1"/>
      <c r="E1001" s="1" t="s">
        <v>118</v>
      </c>
      <c r="F1001" s="1">
        <v>200</v>
      </c>
      <c r="G1001" s="1">
        <v>9</v>
      </c>
      <c r="H1001" s="1">
        <v>9.9700000000000006</v>
      </c>
      <c r="I1001" s="1"/>
      <c r="J1001" s="1"/>
    </row>
    <row r="1002" spans="1:10" x14ac:dyDescent="0.3">
      <c r="A1002" t="str">
        <f t="shared" si="30"/>
        <v>ORPG</v>
      </c>
      <c r="B1002">
        <f t="shared" si="31"/>
        <v>6319</v>
      </c>
      <c r="D1002" s="1"/>
      <c r="E1002" s="1" t="s">
        <v>122</v>
      </c>
      <c r="F1002" s="1">
        <v>202</v>
      </c>
      <c r="G1002" s="1">
        <v>7</v>
      </c>
      <c r="H1002" s="1">
        <v>9.9499999999999993</v>
      </c>
      <c r="I1002" s="1"/>
      <c r="J1002" s="1"/>
    </row>
    <row r="1003" spans="1:10" x14ac:dyDescent="0.3">
      <c r="A1003" t="str">
        <f t="shared" si="30"/>
        <v>ORPG</v>
      </c>
      <c r="B1003">
        <f t="shared" si="31"/>
        <v>7219</v>
      </c>
      <c r="D1003" s="1"/>
      <c r="E1003" s="1" t="s">
        <v>116</v>
      </c>
      <c r="F1003" s="1">
        <v>204</v>
      </c>
      <c r="G1003" s="1">
        <v>10</v>
      </c>
      <c r="H1003" s="1">
        <v>9.94</v>
      </c>
      <c r="I1003" s="1"/>
      <c r="J1003" s="1"/>
    </row>
    <row r="1004" spans="1:10" x14ac:dyDescent="0.3">
      <c r="A1004" t="str">
        <f t="shared" si="30"/>
        <v>ORPG</v>
      </c>
      <c r="B1004">
        <f t="shared" si="31"/>
        <v>6919</v>
      </c>
      <c r="D1004" s="1"/>
      <c r="E1004" s="1" t="s">
        <v>114</v>
      </c>
      <c r="F1004" s="1">
        <v>208</v>
      </c>
      <c r="G1004" s="1">
        <v>8</v>
      </c>
      <c r="H1004" s="1">
        <v>9.92</v>
      </c>
      <c r="I1004" s="1"/>
      <c r="J1004" s="1"/>
    </row>
    <row r="1005" spans="1:10" x14ac:dyDescent="0.3">
      <c r="A1005" t="str">
        <f t="shared" si="30"/>
        <v>ORPG</v>
      </c>
      <c r="B1005">
        <f t="shared" si="31"/>
        <v>12519</v>
      </c>
      <c r="D1005" s="1"/>
      <c r="E1005" s="1" t="s">
        <v>95</v>
      </c>
      <c r="F1005" s="1">
        <v>215</v>
      </c>
      <c r="G1005" s="1">
        <v>3</v>
      </c>
      <c r="H1005" s="1">
        <v>9.8800000000000008</v>
      </c>
      <c r="I1005" s="1"/>
      <c r="J1005" s="1"/>
    </row>
    <row r="1006" spans="1:10" x14ac:dyDescent="0.3">
      <c r="A1006" t="str">
        <f t="shared" si="30"/>
        <v>ORPG</v>
      </c>
      <c r="B1006">
        <f t="shared" si="31"/>
        <v>11319</v>
      </c>
      <c r="D1006" s="1"/>
      <c r="E1006" s="1" t="s">
        <v>126</v>
      </c>
      <c r="F1006" s="1">
        <v>227</v>
      </c>
      <c r="G1006" s="1">
        <v>8</v>
      </c>
      <c r="H1006" s="1">
        <v>9.69</v>
      </c>
      <c r="I1006" s="1"/>
      <c r="J1006" s="1"/>
    </row>
    <row r="1007" spans="1:10" x14ac:dyDescent="0.3">
      <c r="A1007" t="str">
        <f t="shared" si="30"/>
        <v>ORPG</v>
      </c>
      <c r="B1007">
        <f t="shared" si="31"/>
        <v>11919</v>
      </c>
      <c r="D1007" s="1"/>
      <c r="E1007" s="1" t="s">
        <v>143</v>
      </c>
      <c r="F1007" s="1">
        <v>232</v>
      </c>
      <c r="G1007" s="1">
        <v>10</v>
      </c>
      <c r="H1007" s="1">
        <v>9.61</v>
      </c>
      <c r="I1007" s="1"/>
      <c r="J1007" s="1"/>
    </row>
    <row r="1008" spans="1:10" x14ac:dyDescent="0.3">
      <c r="A1008" t="str">
        <f t="shared" si="30"/>
        <v>ORPG</v>
      </c>
      <c r="B1008">
        <f t="shared" si="31"/>
        <v>7319</v>
      </c>
      <c r="D1008" s="1"/>
      <c r="E1008" s="1" t="s">
        <v>111</v>
      </c>
      <c r="F1008" s="1">
        <v>236</v>
      </c>
      <c r="G1008" s="1">
        <v>11</v>
      </c>
      <c r="H1008" s="1">
        <v>9.59</v>
      </c>
      <c r="I1008" s="1"/>
      <c r="J1008" s="1"/>
    </row>
    <row r="1009" spans="1:10" x14ac:dyDescent="0.3">
      <c r="A1009" t="str">
        <f t="shared" si="30"/>
        <v>ORPG</v>
      </c>
      <c r="B1009">
        <f t="shared" si="31"/>
        <v>1419</v>
      </c>
      <c r="D1009" s="1"/>
      <c r="E1009" s="1" t="s">
        <v>102</v>
      </c>
      <c r="F1009" s="1">
        <v>242</v>
      </c>
      <c r="G1009" s="1">
        <v>6</v>
      </c>
      <c r="H1009" s="1">
        <v>9.49</v>
      </c>
      <c r="I1009" s="1"/>
      <c r="J1009" s="1"/>
    </row>
    <row r="1010" spans="1:10" x14ac:dyDescent="0.3">
      <c r="A1010" t="str">
        <f t="shared" si="30"/>
        <v>ORPG</v>
      </c>
      <c r="B1010">
        <f t="shared" si="31"/>
        <v>4019</v>
      </c>
      <c r="D1010" s="1"/>
      <c r="E1010" s="1" t="s">
        <v>105</v>
      </c>
      <c r="F1010" s="1">
        <v>271</v>
      </c>
      <c r="G1010" s="1">
        <v>11</v>
      </c>
      <c r="H1010" s="1">
        <v>9.06</v>
      </c>
      <c r="I1010" s="1"/>
      <c r="J1010" s="1"/>
    </row>
    <row r="1011" spans="1:10" x14ac:dyDescent="0.3">
      <c r="A1011" t="str">
        <f t="shared" si="30"/>
        <v>ORPG</v>
      </c>
      <c r="B1011">
        <f t="shared" si="31"/>
        <v>4619</v>
      </c>
      <c r="D1011" s="1"/>
      <c r="E1011" s="1" t="s">
        <v>101</v>
      </c>
      <c r="F1011" s="1">
        <v>277</v>
      </c>
      <c r="G1011" s="1">
        <v>7</v>
      </c>
      <c r="H1011" s="1">
        <v>8.8800000000000008</v>
      </c>
      <c r="I1011" s="1"/>
      <c r="J1011" s="1"/>
    </row>
    <row r="1012" spans="1:10" x14ac:dyDescent="0.3">
      <c r="A1012" t="str">
        <f t="shared" si="30"/>
        <v>ORPG</v>
      </c>
      <c r="B1012">
        <f t="shared" si="31"/>
        <v>2619</v>
      </c>
      <c r="D1012" s="1"/>
      <c r="E1012" s="1" t="s">
        <v>80</v>
      </c>
      <c r="F1012" s="1">
        <v>282</v>
      </c>
      <c r="G1012" s="1">
        <v>12</v>
      </c>
      <c r="H1012" s="1">
        <v>8.76</v>
      </c>
      <c r="I1012" s="1"/>
      <c r="J1012" s="1"/>
    </row>
    <row r="1013" spans="1:10" x14ac:dyDescent="0.3">
      <c r="A1013" t="str">
        <f t="shared" si="30"/>
        <v>ORPG</v>
      </c>
      <c r="B1013">
        <f t="shared" si="31"/>
        <v>3319</v>
      </c>
      <c r="D1013" s="1"/>
      <c r="E1013" s="1" t="s">
        <v>91</v>
      </c>
      <c r="F1013" s="1">
        <v>287</v>
      </c>
      <c r="G1013" s="1">
        <v>8</v>
      </c>
      <c r="H1013" s="1">
        <v>8.6999999999999993</v>
      </c>
      <c r="I1013" s="1"/>
      <c r="J1013" s="1"/>
    </row>
    <row r="1014" spans="1:10" x14ac:dyDescent="0.3">
      <c r="A1014" t="str">
        <f t="shared" si="30"/>
        <v>ORPG</v>
      </c>
      <c r="B1014">
        <f t="shared" si="31"/>
        <v>6219</v>
      </c>
      <c r="D1014" s="1"/>
      <c r="E1014" s="1" t="s">
        <v>81</v>
      </c>
      <c r="F1014" s="1">
        <v>292</v>
      </c>
      <c r="G1014" s="1">
        <v>14</v>
      </c>
      <c r="H1014" s="1">
        <v>8.5299999999999994</v>
      </c>
      <c r="I1014" s="1"/>
      <c r="J1014" s="1"/>
    </row>
    <row r="1015" spans="1:10" x14ac:dyDescent="0.3">
      <c r="A1015" t="str">
        <f t="shared" si="30"/>
        <v>ORPG</v>
      </c>
      <c r="B1015">
        <f t="shared" si="31"/>
        <v>3119</v>
      </c>
      <c r="D1015" s="1"/>
      <c r="E1015" s="1" t="s">
        <v>93</v>
      </c>
      <c r="F1015" s="1">
        <v>303</v>
      </c>
      <c r="G1015" s="1">
        <v>10</v>
      </c>
      <c r="H1015" s="1">
        <v>8.4</v>
      </c>
      <c r="I1015" s="1"/>
      <c r="J1015" s="1"/>
    </row>
    <row r="1016" spans="1:10" x14ac:dyDescent="0.3">
      <c r="A1016" t="str">
        <f t="shared" si="30"/>
        <v>ORPG</v>
      </c>
      <c r="B1016">
        <f t="shared" si="31"/>
        <v>1719</v>
      </c>
      <c r="D1016" s="1"/>
      <c r="E1016" s="1" t="s">
        <v>133</v>
      </c>
      <c r="F1016" s="1">
        <v>311</v>
      </c>
      <c r="G1016" s="1">
        <v>7</v>
      </c>
      <c r="H1016" s="1">
        <v>8.26</v>
      </c>
      <c r="I1016" s="1"/>
      <c r="J1016" s="1"/>
    </row>
    <row r="1017" spans="1:10" x14ac:dyDescent="0.3">
      <c r="A1017" t="str">
        <f t="shared" si="30"/>
        <v>ORPG</v>
      </c>
      <c r="B1017">
        <f t="shared" si="31"/>
        <v>3919</v>
      </c>
      <c r="D1017" s="1"/>
      <c r="E1017" s="1" t="s">
        <v>88</v>
      </c>
      <c r="F1017" s="1">
        <v>312</v>
      </c>
      <c r="G1017" s="1">
        <v>14</v>
      </c>
      <c r="H1017" s="1">
        <v>8.24</v>
      </c>
      <c r="I1017" s="1"/>
      <c r="J1017" s="1"/>
    </row>
    <row r="1018" spans="1:10" x14ac:dyDescent="0.3">
      <c r="A1018" t="str">
        <f t="shared" si="30"/>
        <v>ORPG</v>
      </c>
      <c r="B1018">
        <f t="shared" si="31"/>
        <v>8419</v>
      </c>
      <c r="D1018" s="1"/>
      <c r="E1018" s="1" t="s">
        <v>109</v>
      </c>
      <c r="F1018" s="1">
        <v>316</v>
      </c>
      <c r="G1018" s="1">
        <v>10</v>
      </c>
      <c r="H1018" s="1">
        <v>8.17</v>
      </c>
      <c r="I1018" s="1"/>
      <c r="J1018" s="1"/>
    </row>
    <row r="1019" spans="1:10" x14ac:dyDescent="0.3">
      <c r="A1019" t="str">
        <f t="shared" si="30"/>
        <v>ORPG</v>
      </c>
      <c r="B1019">
        <f t="shared" si="31"/>
        <v>5019</v>
      </c>
      <c r="D1019" s="1"/>
      <c r="E1019" s="1" t="s">
        <v>110</v>
      </c>
      <c r="F1019" s="1">
        <v>320</v>
      </c>
      <c r="G1019" s="1">
        <v>14</v>
      </c>
      <c r="H1019" s="1">
        <v>8.0299999999999994</v>
      </c>
      <c r="I1019" s="1"/>
      <c r="J1019" s="1"/>
    </row>
    <row r="1020" spans="1:10" x14ac:dyDescent="0.3">
      <c r="A1020" t="str">
        <f t="shared" si="30"/>
        <v>ORPG</v>
      </c>
      <c r="B1020">
        <f t="shared" si="31"/>
        <v>9519</v>
      </c>
      <c r="D1020" s="1"/>
      <c r="E1020" s="1" t="s">
        <v>85</v>
      </c>
      <c r="F1020" s="1">
        <v>323</v>
      </c>
      <c r="G1020" s="1">
        <v>9</v>
      </c>
      <c r="H1020" s="1">
        <v>7.94</v>
      </c>
      <c r="I1020" s="1"/>
      <c r="J1020" s="1"/>
    </row>
    <row r="1021" spans="1:10" x14ac:dyDescent="0.3">
      <c r="A1021" t="str">
        <f t="shared" si="30"/>
        <v>ORPG</v>
      </c>
      <c r="B1021">
        <f t="shared" si="31"/>
        <v>1319</v>
      </c>
      <c r="D1021" s="1"/>
      <c r="E1021" s="1" t="s">
        <v>82</v>
      </c>
      <c r="F1021" s="1">
        <v>329</v>
      </c>
      <c r="G1021" s="1">
        <v>10</v>
      </c>
      <c r="H1021" s="1">
        <v>7.86</v>
      </c>
      <c r="I1021" s="1"/>
      <c r="J1021" s="1"/>
    </row>
    <row r="1022" spans="1:10" x14ac:dyDescent="0.3">
      <c r="A1022" t="str">
        <f t="shared" si="30"/>
        <v>ORPG</v>
      </c>
      <c r="B1022">
        <f t="shared" si="31"/>
        <v>7919</v>
      </c>
      <c r="D1022" s="1"/>
      <c r="E1022" s="1" t="s">
        <v>103</v>
      </c>
      <c r="F1022" s="1">
        <v>337</v>
      </c>
      <c r="G1022" s="1">
        <v>9</v>
      </c>
      <c r="H1022" s="1">
        <v>7.66</v>
      </c>
      <c r="I1022" s="1"/>
      <c r="J1022" s="1"/>
    </row>
    <row r="1023" spans="1:10" x14ac:dyDescent="0.3">
      <c r="A1023" t="str">
        <f t="shared" si="30"/>
        <v>ORPG</v>
      </c>
      <c r="B1023">
        <f t="shared" si="31"/>
        <v>12019</v>
      </c>
      <c r="D1023" s="1"/>
      <c r="E1023" s="1" t="s">
        <v>135</v>
      </c>
      <c r="F1023" s="1">
        <v>348</v>
      </c>
      <c r="G1023" s="1">
        <v>10</v>
      </c>
      <c r="H1023" s="1">
        <v>6.77</v>
      </c>
      <c r="I1023" s="1"/>
      <c r="J1023" s="1"/>
    </row>
    <row r="1024" spans="1:10" x14ac:dyDescent="0.3">
      <c r="A1024" t="str">
        <f t="shared" si="30"/>
        <v>RPG</v>
      </c>
      <c r="B1024">
        <f t="shared" si="31"/>
        <v>3622</v>
      </c>
      <c r="D1024" s="1" t="s">
        <v>166</v>
      </c>
      <c r="E1024" s="1" t="s">
        <v>129</v>
      </c>
      <c r="F1024" s="1">
        <v>1</v>
      </c>
      <c r="G1024" s="1">
        <v>1</v>
      </c>
      <c r="H1024" s="1">
        <v>42.81</v>
      </c>
      <c r="I1024" s="1" t="s">
        <v>129</v>
      </c>
      <c r="J1024" s="1">
        <v>42.81</v>
      </c>
    </row>
    <row r="1025" spans="1:10" x14ac:dyDescent="0.3">
      <c r="A1025" t="str">
        <f t="shared" si="30"/>
        <v>RPG</v>
      </c>
      <c r="B1025">
        <f t="shared" si="31"/>
        <v>2922</v>
      </c>
      <c r="D1025" s="1"/>
      <c r="E1025" s="1" t="s">
        <v>96</v>
      </c>
      <c r="F1025" s="1">
        <v>2</v>
      </c>
      <c r="G1025" s="1">
        <v>1</v>
      </c>
      <c r="H1025" s="1">
        <v>42.58</v>
      </c>
      <c r="I1025" s="1"/>
      <c r="J1025" s="1"/>
    </row>
    <row r="1026" spans="1:10" x14ac:dyDescent="0.3">
      <c r="A1026" t="str">
        <f t="shared" ref="A1026:A1089" si="32">IF(NOT(D1026=""),INDEX(statAbbr,MATCH(D1026,statOfficial,0),1),A1025)</f>
        <v>RPG</v>
      </c>
      <c r="B1026">
        <f t="shared" ref="B1026:B1089" si="33">INDEX(statID,MATCH(A1026,statAbbr,0),1)+INDEX(teamID,MATCH(E1026,teamRawName,0))</f>
        <v>5722</v>
      </c>
      <c r="D1026" s="1"/>
      <c r="E1026" s="1" t="s">
        <v>120</v>
      </c>
      <c r="F1026" s="1">
        <v>4</v>
      </c>
      <c r="G1026" s="1">
        <v>2</v>
      </c>
      <c r="H1026" s="1">
        <v>42.28</v>
      </c>
      <c r="I1026" s="1"/>
      <c r="J1026" s="1"/>
    </row>
    <row r="1027" spans="1:10" x14ac:dyDescent="0.3">
      <c r="A1027" t="str">
        <f t="shared" si="32"/>
        <v>RPG</v>
      </c>
      <c r="B1027">
        <f t="shared" si="33"/>
        <v>4922</v>
      </c>
      <c r="D1027" s="1"/>
      <c r="E1027" s="1" t="s">
        <v>108</v>
      </c>
      <c r="F1027" s="1">
        <v>7</v>
      </c>
      <c r="G1027" s="1">
        <v>1</v>
      </c>
      <c r="H1027" s="1">
        <v>41.08</v>
      </c>
      <c r="I1027" s="1"/>
      <c r="J1027" s="1"/>
    </row>
    <row r="1028" spans="1:10" x14ac:dyDescent="0.3">
      <c r="A1028" t="str">
        <f t="shared" si="32"/>
        <v>RPG</v>
      </c>
      <c r="B1028">
        <f t="shared" si="33"/>
        <v>4322</v>
      </c>
      <c r="D1028" s="1"/>
      <c r="E1028" s="1" t="s">
        <v>125</v>
      </c>
      <c r="F1028" s="1">
        <v>8</v>
      </c>
      <c r="G1028" s="1">
        <v>1</v>
      </c>
      <c r="H1028" s="1">
        <v>40.89</v>
      </c>
      <c r="I1028" s="1"/>
      <c r="J1028" s="1"/>
    </row>
    <row r="1029" spans="1:10" x14ac:dyDescent="0.3">
      <c r="A1029" t="str">
        <f t="shared" si="32"/>
        <v>RPG</v>
      </c>
      <c r="B1029">
        <f t="shared" si="33"/>
        <v>3022</v>
      </c>
      <c r="D1029" s="1"/>
      <c r="E1029" s="1" t="s">
        <v>89</v>
      </c>
      <c r="F1029" s="1">
        <v>10</v>
      </c>
      <c r="G1029" s="1">
        <v>2</v>
      </c>
      <c r="H1029" s="1">
        <v>40.44</v>
      </c>
      <c r="I1029" s="1"/>
      <c r="J1029" s="1"/>
    </row>
    <row r="1030" spans="1:10" x14ac:dyDescent="0.3">
      <c r="A1030" t="str">
        <f t="shared" si="32"/>
        <v>RPG</v>
      </c>
      <c r="B1030">
        <f t="shared" si="33"/>
        <v>12122</v>
      </c>
      <c r="D1030" s="1"/>
      <c r="E1030" s="1" t="s">
        <v>140</v>
      </c>
      <c r="F1030" s="1">
        <v>18</v>
      </c>
      <c r="G1030" s="1">
        <v>1</v>
      </c>
      <c r="H1030" s="1">
        <v>39.94</v>
      </c>
      <c r="I1030" s="1"/>
      <c r="J1030" s="1"/>
    </row>
    <row r="1031" spans="1:10" x14ac:dyDescent="0.3">
      <c r="A1031" t="str">
        <f t="shared" si="32"/>
        <v>RPG</v>
      </c>
      <c r="B1031">
        <f t="shared" si="33"/>
        <v>11522</v>
      </c>
      <c r="D1031" s="1"/>
      <c r="E1031" s="1" t="s">
        <v>97</v>
      </c>
      <c r="F1031" s="1">
        <v>20</v>
      </c>
      <c r="G1031" s="1">
        <v>1</v>
      </c>
      <c r="H1031" s="1">
        <v>39.770000000000003</v>
      </c>
      <c r="I1031" s="1"/>
      <c r="J1031" s="1"/>
    </row>
    <row r="1032" spans="1:10" x14ac:dyDescent="0.3">
      <c r="A1032" t="str">
        <f t="shared" si="32"/>
        <v>RPG</v>
      </c>
      <c r="B1032">
        <f t="shared" si="33"/>
        <v>4722</v>
      </c>
      <c r="D1032" s="1"/>
      <c r="E1032" s="1" t="s">
        <v>107</v>
      </c>
      <c r="F1032" s="1">
        <v>21</v>
      </c>
      <c r="G1032" s="1">
        <v>1</v>
      </c>
      <c r="H1032" s="1">
        <v>39.69</v>
      </c>
      <c r="I1032" s="1"/>
      <c r="J1032" s="1"/>
    </row>
    <row r="1033" spans="1:10" x14ac:dyDescent="0.3">
      <c r="A1033" t="str">
        <f t="shared" si="32"/>
        <v>RPG</v>
      </c>
      <c r="B1033">
        <f t="shared" si="33"/>
        <v>3722</v>
      </c>
      <c r="D1033" s="1"/>
      <c r="E1033" s="1" t="s">
        <v>115</v>
      </c>
      <c r="F1033" s="1">
        <v>23</v>
      </c>
      <c r="G1033" s="1">
        <v>3</v>
      </c>
      <c r="H1033" s="1">
        <v>39.65</v>
      </c>
      <c r="I1033" s="1"/>
      <c r="J1033" s="1"/>
    </row>
    <row r="1034" spans="1:10" x14ac:dyDescent="0.3">
      <c r="A1034" t="str">
        <f t="shared" si="32"/>
        <v>RPG</v>
      </c>
      <c r="B1034">
        <f t="shared" si="33"/>
        <v>2522</v>
      </c>
      <c r="D1034" s="1"/>
      <c r="E1034" s="1" t="s">
        <v>92</v>
      </c>
      <c r="F1034" s="1">
        <v>24</v>
      </c>
      <c r="G1034" s="1">
        <v>1</v>
      </c>
      <c r="H1034" s="1">
        <v>39.56</v>
      </c>
      <c r="I1034" s="1"/>
      <c r="J1034" s="1"/>
    </row>
    <row r="1035" spans="1:10" x14ac:dyDescent="0.3">
      <c r="A1035" t="str">
        <f t="shared" si="32"/>
        <v>RPG</v>
      </c>
      <c r="B1035">
        <f t="shared" si="33"/>
        <v>2722</v>
      </c>
      <c r="D1035" s="1"/>
      <c r="E1035" s="1" t="s">
        <v>7</v>
      </c>
      <c r="F1035" s="1">
        <v>26</v>
      </c>
      <c r="G1035" s="1">
        <v>1</v>
      </c>
      <c r="H1035" s="1">
        <v>39.5</v>
      </c>
      <c r="I1035" s="1"/>
      <c r="J1035" s="1"/>
    </row>
    <row r="1036" spans="1:10" x14ac:dyDescent="0.3">
      <c r="A1036" t="str">
        <f t="shared" si="32"/>
        <v>RPG</v>
      </c>
      <c r="B1036">
        <f t="shared" si="33"/>
        <v>1522</v>
      </c>
      <c r="D1036" s="1"/>
      <c r="E1036" s="1" t="s">
        <v>124</v>
      </c>
      <c r="F1036" s="1">
        <v>32</v>
      </c>
      <c r="G1036" s="1">
        <v>3</v>
      </c>
      <c r="H1036" s="1">
        <v>39.200000000000003</v>
      </c>
      <c r="I1036" s="1"/>
      <c r="J1036" s="1"/>
    </row>
    <row r="1037" spans="1:10" x14ac:dyDescent="0.3">
      <c r="A1037" t="str">
        <f t="shared" si="32"/>
        <v>RPG</v>
      </c>
      <c r="B1037">
        <f t="shared" si="33"/>
        <v>12422</v>
      </c>
      <c r="D1037" s="1"/>
      <c r="E1037" s="1" t="s">
        <v>128</v>
      </c>
      <c r="F1037" s="1">
        <v>38</v>
      </c>
      <c r="G1037" s="1">
        <v>2</v>
      </c>
      <c r="H1037" s="1">
        <v>38.86</v>
      </c>
      <c r="I1037" s="1"/>
      <c r="J1037" s="1"/>
    </row>
    <row r="1038" spans="1:10" x14ac:dyDescent="0.3">
      <c r="A1038" t="str">
        <f t="shared" si="32"/>
        <v>RPG</v>
      </c>
      <c r="B1038">
        <f t="shared" si="33"/>
        <v>2322</v>
      </c>
      <c r="D1038" s="1"/>
      <c r="E1038" s="1" t="s">
        <v>79</v>
      </c>
      <c r="F1038" s="1">
        <v>40</v>
      </c>
      <c r="G1038" s="1">
        <v>1</v>
      </c>
      <c r="H1038" s="1">
        <v>38.83</v>
      </c>
      <c r="I1038" s="1"/>
      <c r="J1038" s="1"/>
    </row>
    <row r="1039" spans="1:10" x14ac:dyDescent="0.3">
      <c r="A1039" t="str">
        <f t="shared" si="32"/>
        <v>RPG</v>
      </c>
      <c r="B1039">
        <f t="shared" si="33"/>
        <v>4422</v>
      </c>
      <c r="D1039" s="1"/>
      <c r="E1039" s="1" t="s">
        <v>83</v>
      </c>
      <c r="F1039" s="1">
        <v>42</v>
      </c>
      <c r="G1039" s="1">
        <v>3</v>
      </c>
      <c r="H1039" s="1">
        <v>38.71</v>
      </c>
      <c r="I1039" s="1"/>
      <c r="J1039" s="1"/>
    </row>
    <row r="1040" spans="1:10" x14ac:dyDescent="0.3">
      <c r="A1040" t="str">
        <f t="shared" si="32"/>
        <v>RPG</v>
      </c>
      <c r="B1040">
        <f t="shared" si="33"/>
        <v>3522</v>
      </c>
      <c r="D1040" s="1"/>
      <c r="E1040" s="1" t="s">
        <v>87</v>
      </c>
      <c r="F1040" s="1">
        <v>43</v>
      </c>
      <c r="G1040" s="1">
        <v>4</v>
      </c>
      <c r="H1040" s="1">
        <v>38.69</v>
      </c>
      <c r="I1040" s="1"/>
      <c r="J1040" s="1"/>
    </row>
    <row r="1041" spans="1:10" x14ac:dyDescent="0.3">
      <c r="A1041" t="str">
        <f t="shared" si="32"/>
        <v>RPG</v>
      </c>
      <c r="B1041">
        <f t="shared" si="33"/>
        <v>4822</v>
      </c>
      <c r="D1041" s="1"/>
      <c r="E1041" s="1" t="s">
        <v>104</v>
      </c>
      <c r="F1041" s="1">
        <v>44</v>
      </c>
      <c r="G1041" s="1">
        <v>4</v>
      </c>
      <c r="H1041" s="1">
        <v>38.61</v>
      </c>
      <c r="I1041" s="1"/>
      <c r="J1041" s="1"/>
    </row>
    <row r="1042" spans="1:10" x14ac:dyDescent="0.3">
      <c r="A1042" t="str">
        <f t="shared" si="32"/>
        <v>RPG</v>
      </c>
      <c r="B1042">
        <f t="shared" si="33"/>
        <v>11422</v>
      </c>
      <c r="D1042" s="1"/>
      <c r="E1042" s="1" t="s">
        <v>138</v>
      </c>
      <c r="F1042" s="1">
        <v>48</v>
      </c>
      <c r="G1042" s="1">
        <v>2</v>
      </c>
      <c r="H1042" s="1">
        <v>38.369999999999997</v>
      </c>
      <c r="I1042" s="1"/>
      <c r="J1042" s="1"/>
    </row>
    <row r="1043" spans="1:10" x14ac:dyDescent="0.3">
      <c r="A1043" t="str">
        <f t="shared" si="32"/>
        <v>RPG</v>
      </c>
      <c r="B1043">
        <f t="shared" si="33"/>
        <v>5822</v>
      </c>
      <c r="D1043" s="1"/>
      <c r="E1043" s="1" t="s">
        <v>139</v>
      </c>
      <c r="F1043" s="1">
        <v>53</v>
      </c>
      <c r="G1043" s="1">
        <v>1</v>
      </c>
      <c r="H1043" s="1">
        <v>38.14</v>
      </c>
      <c r="I1043" s="1"/>
      <c r="J1043" s="1"/>
    </row>
    <row r="1044" spans="1:10" x14ac:dyDescent="0.3">
      <c r="A1044" t="str">
        <f t="shared" si="32"/>
        <v>RPG</v>
      </c>
      <c r="B1044">
        <f t="shared" si="33"/>
        <v>3122</v>
      </c>
      <c r="D1044" s="1"/>
      <c r="E1044" s="1" t="s">
        <v>93</v>
      </c>
      <c r="F1044" s="1">
        <v>54</v>
      </c>
      <c r="G1044" s="1">
        <v>4</v>
      </c>
      <c r="H1044" s="1">
        <v>38.11</v>
      </c>
      <c r="I1044" s="1"/>
      <c r="J1044" s="1"/>
    </row>
    <row r="1045" spans="1:10" x14ac:dyDescent="0.3">
      <c r="A1045" t="str">
        <f t="shared" si="32"/>
        <v>RPG</v>
      </c>
      <c r="B1045">
        <f t="shared" si="33"/>
        <v>1622</v>
      </c>
      <c r="D1045" s="1"/>
      <c r="E1045" s="1" t="s">
        <v>137</v>
      </c>
      <c r="F1045" s="1">
        <v>57</v>
      </c>
      <c r="G1045" s="1">
        <v>5</v>
      </c>
      <c r="H1045" s="1">
        <v>38.090000000000003</v>
      </c>
      <c r="I1045" s="1"/>
      <c r="J1045" s="1"/>
    </row>
    <row r="1046" spans="1:10" x14ac:dyDescent="0.3">
      <c r="A1046" t="str">
        <f t="shared" si="32"/>
        <v>RPG</v>
      </c>
      <c r="B1046">
        <f t="shared" si="33"/>
        <v>2222</v>
      </c>
      <c r="D1046" s="1"/>
      <c r="E1046" s="1" t="s">
        <v>119</v>
      </c>
      <c r="F1046" s="1">
        <v>58</v>
      </c>
      <c r="G1046" s="1">
        <v>4</v>
      </c>
      <c r="H1046" s="1">
        <v>38.06</v>
      </c>
      <c r="I1046" s="1"/>
      <c r="J1046" s="1"/>
    </row>
    <row r="1047" spans="1:10" x14ac:dyDescent="0.3">
      <c r="A1047" t="str">
        <f t="shared" si="32"/>
        <v>RPG</v>
      </c>
      <c r="B1047">
        <f t="shared" si="33"/>
        <v>12722</v>
      </c>
      <c r="D1047" s="1"/>
      <c r="E1047" s="1" t="s">
        <v>13</v>
      </c>
      <c r="F1047" s="1">
        <v>61</v>
      </c>
      <c r="G1047" s="1">
        <v>5</v>
      </c>
      <c r="H1047" s="1">
        <v>37.97</v>
      </c>
      <c r="I1047" s="1"/>
      <c r="J1047" s="1"/>
    </row>
    <row r="1048" spans="1:10" x14ac:dyDescent="0.3">
      <c r="A1048" t="str">
        <f t="shared" si="32"/>
        <v>RPG</v>
      </c>
      <c r="B1048">
        <f t="shared" si="33"/>
        <v>4522</v>
      </c>
      <c r="D1048" s="1"/>
      <c r="E1048" s="1" t="s">
        <v>84</v>
      </c>
      <c r="F1048" s="1">
        <v>64</v>
      </c>
      <c r="G1048" s="1">
        <v>6</v>
      </c>
      <c r="H1048" s="1">
        <v>37.799999999999997</v>
      </c>
      <c r="I1048" s="1"/>
      <c r="J1048" s="1"/>
    </row>
    <row r="1049" spans="1:10" x14ac:dyDescent="0.3">
      <c r="A1049" t="str">
        <f t="shared" si="32"/>
        <v>RPG</v>
      </c>
      <c r="B1049">
        <f t="shared" si="33"/>
        <v>1222</v>
      </c>
      <c r="D1049" s="1"/>
      <c r="E1049" s="1" t="s">
        <v>130</v>
      </c>
      <c r="F1049" s="1">
        <v>66</v>
      </c>
      <c r="G1049" s="1">
        <v>2</v>
      </c>
      <c r="H1049" s="1">
        <v>37.78</v>
      </c>
      <c r="I1049" s="1"/>
      <c r="J1049" s="1"/>
    </row>
    <row r="1050" spans="1:10" x14ac:dyDescent="0.3">
      <c r="A1050" t="str">
        <f t="shared" si="32"/>
        <v>RPG</v>
      </c>
      <c r="B1050">
        <f t="shared" si="33"/>
        <v>7322</v>
      </c>
      <c r="D1050" s="1"/>
      <c r="E1050" s="1" t="s">
        <v>111</v>
      </c>
      <c r="F1050" s="1">
        <v>70</v>
      </c>
      <c r="G1050" s="1">
        <v>3</v>
      </c>
      <c r="H1050" s="1">
        <v>37.65</v>
      </c>
      <c r="I1050" s="1"/>
      <c r="J1050" s="1"/>
    </row>
    <row r="1051" spans="1:10" x14ac:dyDescent="0.3">
      <c r="A1051" t="str">
        <f t="shared" si="32"/>
        <v>RPG</v>
      </c>
      <c r="B1051">
        <f t="shared" si="33"/>
        <v>10322</v>
      </c>
      <c r="D1051" s="1"/>
      <c r="E1051" s="1" t="s">
        <v>134</v>
      </c>
      <c r="F1051" s="1">
        <v>71</v>
      </c>
      <c r="G1051" s="1">
        <v>3</v>
      </c>
      <c r="H1051" s="1">
        <v>37.630000000000003</v>
      </c>
      <c r="I1051" s="1"/>
      <c r="J1051" s="1"/>
    </row>
    <row r="1052" spans="1:10" x14ac:dyDescent="0.3">
      <c r="A1052" t="str">
        <f t="shared" si="32"/>
        <v>RPG</v>
      </c>
      <c r="B1052">
        <f t="shared" si="33"/>
        <v>5522</v>
      </c>
      <c r="D1052" s="1"/>
      <c r="E1052" s="1" t="s">
        <v>86</v>
      </c>
      <c r="F1052" s="1">
        <v>72</v>
      </c>
      <c r="G1052" s="1">
        <v>7</v>
      </c>
      <c r="H1052" s="1">
        <v>37.61</v>
      </c>
      <c r="I1052" s="1"/>
      <c r="J1052" s="1"/>
    </row>
    <row r="1053" spans="1:10" x14ac:dyDescent="0.3">
      <c r="A1053" t="str">
        <f t="shared" si="32"/>
        <v>RPG</v>
      </c>
      <c r="B1053">
        <f t="shared" si="33"/>
        <v>2122</v>
      </c>
      <c r="D1053" s="1"/>
      <c r="E1053" s="1" t="s">
        <v>136</v>
      </c>
      <c r="F1053" s="1">
        <v>81</v>
      </c>
      <c r="G1053" s="1">
        <v>3</v>
      </c>
      <c r="H1053" s="1">
        <v>37.299999999999997</v>
      </c>
      <c r="I1053" s="1"/>
      <c r="J1053" s="1"/>
    </row>
    <row r="1054" spans="1:10" x14ac:dyDescent="0.3">
      <c r="A1054" t="str">
        <f t="shared" si="32"/>
        <v>RPG</v>
      </c>
      <c r="B1054">
        <f t="shared" si="33"/>
        <v>5622</v>
      </c>
      <c r="D1054" s="1"/>
      <c r="E1054" s="1" t="s">
        <v>62</v>
      </c>
      <c r="F1054" s="1">
        <v>87</v>
      </c>
      <c r="G1054" s="1">
        <v>5</v>
      </c>
      <c r="H1054" s="1">
        <v>37.15</v>
      </c>
      <c r="I1054" s="1"/>
      <c r="J1054" s="1"/>
    </row>
    <row r="1055" spans="1:10" x14ac:dyDescent="0.3">
      <c r="A1055" t="str">
        <f t="shared" si="32"/>
        <v>RPG</v>
      </c>
      <c r="B1055">
        <f t="shared" si="33"/>
        <v>2822</v>
      </c>
      <c r="D1055" s="1"/>
      <c r="E1055" s="1" t="s">
        <v>106</v>
      </c>
      <c r="F1055" s="1">
        <v>88</v>
      </c>
      <c r="G1055" s="1">
        <v>6</v>
      </c>
      <c r="H1055" s="1">
        <v>37.14</v>
      </c>
      <c r="I1055" s="1"/>
      <c r="J1055" s="1"/>
    </row>
    <row r="1056" spans="1:10" x14ac:dyDescent="0.3">
      <c r="A1056" t="str">
        <f t="shared" si="32"/>
        <v>RPG</v>
      </c>
      <c r="B1056">
        <f t="shared" si="33"/>
        <v>6322</v>
      </c>
      <c r="D1056" s="1"/>
      <c r="E1056" s="1" t="s">
        <v>122</v>
      </c>
      <c r="F1056" s="1">
        <v>97</v>
      </c>
      <c r="G1056" s="1">
        <v>5</v>
      </c>
      <c r="H1056" s="1">
        <v>36.950000000000003</v>
      </c>
      <c r="I1056" s="1"/>
      <c r="J1056" s="1"/>
    </row>
    <row r="1057" spans="1:10" x14ac:dyDescent="0.3">
      <c r="A1057" t="str">
        <f t="shared" si="32"/>
        <v>RPG</v>
      </c>
      <c r="B1057">
        <f t="shared" si="33"/>
        <v>5422</v>
      </c>
      <c r="D1057" s="1"/>
      <c r="E1057" s="1" t="s">
        <v>94</v>
      </c>
      <c r="F1057" s="1">
        <v>110</v>
      </c>
      <c r="G1057" s="1">
        <v>5</v>
      </c>
      <c r="H1057" s="1">
        <v>36.64</v>
      </c>
      <c r="I1057" s="1"/>
      <c r="J1057" s="1"/>
    </row>
    <row r="1058" spans="1:10" x14ac:dyDescent="0.3">
      <c r="A1058" t="str">
        <f t="shared" si="32"/>
        <v>RPG</v>
      </c>
      <c r="B1058">
        <f t="shared" si="33"/>
        <v>12522</v>
      </c>
      <c r="D1058" s="1"/>
      <c r="E1058" s="1" t="s">
        <v>95</v>
      </c>
      <c r="F1058" s="1">
        <v>118</v>
      </c>
      <c r="G1058" s="1">
        <v>2</v>
      </c>
      <c r="H1058" s="1">
        <v>36.520000000000003</v>
      </c>
      <c r="I1058" s="1"/>
      <c r="J1058" s="1"/>
    </row>
    <row r="1059" spans="1:10" x14ac:dyDescent="0.3">
      <c r="A1059" t="str">
        <f t="shared" si="32"/>
        <v>RPG</v>
      </c>
      <c r="B1059">
        <f t="shared" si="33"/>
        <v>8222</v>
      </c>
      <c r="D1059" s="1"/>
      <c r="E1059" s="1" t="s">
        <v>131</v>
      </c>
      <c r="F1059" s="1">
        <v>119</v>
      </c>
      <c r="G1059" s="1">
        <v>3</v>
      </c>
      <c r="H1059" s="1">
        <v>36.51</v>
      </c>
      <c r="I1059" s="1"/>
      <c r="J1059" s="1"/>
    </row>
    <row r="1060" spans="1:10" x14ac:dyDescent="0.3">
      <c r="A1060" t="str">
        <f t="shared" si="32"/>
        <v>RPG</v>
      </c>
      <c r="B1060">
        <f t="shared" si="33"/>
        <v>4022</v>
      </c>
      <c r="D1060" s="1"/>
      <c r="E1060" s="1" t="s">
        <v>105</v>
      </c>
      <c r="F1060" s="1">
        <v>121</v>
      </c>
      <c r="G1060" s="1">
        <v>6</v>
      </c>
      <c r="H1060" s="1">
        <v>36.33</v>
      </c>
      <c r="I1060" s="1"/>
      <c r="J1060" s="1"/>
    </row>
    <row r="1061" spans="1:10" x14ac:dyDescent="0.3">
      <c r="A1061" t="str">
        <f t="shared" si="32"/>
        <v>RPG</v>
      </c>
      <c r="B1061">
        <f t="shared" si="33"/>
        <v>3922</v>
      </c>
      <c r="D1061" s="1"/>
      <c r="E1061" s="1" t="s">
        <v>88</v>
      </c>
      <c r="F1061" s="1">
        <v>127</v>
      </c>
      <c r="G1061" s="1">
        <v>7</v>
      </c>
      <c r="H1061" s="1">
        <v>36.119999999999997</v>
      </c>
      <c r="I1061" s="1"/>
      <c r="J1061" s="1"/>
    </row>
    <row r="1062" spans="1:10" x14ac:dyDescent="0.3">
      <c r="A1062" t="str">
        <f t="shared" si="32"/>
        <v>RPG</v>
      </c>
      <c r="B1062">
        <f t="shared" si="33"/>
        <v>222</v>
      </c>
      <c r="D1062" s="1"/>
      <c r="E1062" s="1" t="s">
        <v>98</v>
      </c>
      <c r="F1062" s="1">
        <v>128</v>
      </c>
      <c r="G1062" s="1">
        <v>5</v>
      </c>
      <c r="H1062" s="1">
        <v>36.06</v>
      </c>
      <c r="I1062" s="1"/>
      <c r="J1062" s="1"/>
    </row>
    <row r="1063" spans="1:10" x14ac:dyDescent="0.3">
      <c r="A1063" t="str">
        <f t="shared" si="32"/>
        <v>RPG</v>
      </c>
      <c r="B1063">
        <f t="shared" si="33"/>
        <v>8822</v>
      </c>
      <c r="D1063" s="1"/>
      <c r="E1063" s="1" t="s">
        <v>141</v>
      </c>
      <c r="F1063" s="1">
        <v>134</v>
      </c>
      <c r="G1063" s="1">
        <v>2</v>
      </c>
      <c r="H1063" s="1">
        <v>35.909999999999997</v>
      </c>
      <c r="I1063" s="1"/>
      <c r="J1063" s="1"/>
    </row>
    <row r="1064" spans="1:10" x14ac:dyDescent="0.3">
      <c r="A1064" t="str">
        <f t="shared" si="32"/>
        <v>RPG</v>
      </c>
      <c r="B1064">
        <f t="shared" si="33"/>
        <v>8022</v>
      </c>
      <c r="D1064" s="1"/>
      <c r="E1064" s="1" t="s">
        <v>117</v>
      </c>
      <c r="F1064" s="1">
        <v>137</v>
      </c>
      <c r="G1064" s="1">
        <v>4</v>
      </c>
      <c r="H1064" s="1">
        <v>35.89</v>
      </c>
      <c r="I1064" s="1"/>
      <c r="J1064" s="1"/>
    </row>
    <row r="1065" spans="1:10" x14ac:dyDescent="0.3">
      <c r="A1065" t="str">
        <f t="shared" si="32"/>
        <v>RPG</v>
      </c>
      <c r="B1065">
        <f t="shared" si="33"/>
        <v>11622</v>
      </c>
      <c r="D1065" s="1"/>
      <c r="E1065" s="1" t="s">
        <v>121</v>
      </c>
      <c r="F1065" s="1">
        <v>139</v>
      </c>
      <c r="G1065" s="1">
        <v>2</v>
      </c>
      <c r="H1065" s="1">
        <v>35.85</v>
      </c>
      <c r="I1065" s="1"/>
      <c r="J1065" s="1"/>
    </row>
    <row r="1066" spans="1:10" x14ac:dyDescent="0.3">
      <c r="A1066" t="str">
        <f t="shared" si="32"/>
        <v>RPG</v>
      </c>
      <c r="B1066">
        <f t="shared" si="33"/>
        <v>1422</v>
      </c>
      <c r="D1066" s="1"/>
      <c r="E1066" s="1" t="s">
        <v>102</v>
      </c>
      <c r="F1066" s="1">
        <v>142</v>
      </c>
      <c r="G1066" s="1">
        <v>4</v>
      </c>
      <c r="H1066" s="1">
        <v>35.83</v>
      </c>
      <c r="I1066" s="1"/>
      <c r="J1066" s="1"/>
    </row>
    <row r="1067" spans="1:10" x14ac:dyDescent="0.3">
      <c r="A1067" t="str">
        <f t="shared" si="32"/>
        <v>RPG</v>
      </c>
      <c r="B1067">
        <f t="shared" si="33"/>
        <v>9922</v>
      </c>
      <c r="D1067" s="1"/>
      <c r="E1067" s="1" t="s">
        <v>113</v>
      </c>
      <c r="F1067" s="1">
        <v>144</v>
      </c>
      <c r="G1067" s="1">
        <v>7</v>
      </c>
      <c r="H1067" s="1">
        <v>35.770000000000003</v>
      </c>
      <c r="I1067" s="1"/>
      <c r="J1067" s="1"/>
    </row>
    <row r="1068" spans="1:10" x14ac:dyDescent="0.3">
      <c r="A1068" t="str">
        <f t="shared" si="32"/>
        <v>RPG</v>
      </c>
      <c r="B1068">
        <f t="shared" si="33"/>
        <v>9122</v>
      </c>
      <c r="D1068" s="1"/>
      <c r="E1068" s="1" t="s">
        <v>99</v>
      </c>
      <c r="F1068" s="1">
        <v>154</v>
      </c>
      <c r="G1068" s="1">
        <v>10</v>
      </c>
      <c r="H1068" s="1">
        <v>35.590000000000003</v>
      </c>
      <c r="I1068" s="1"/>
      <c r="J1068" s="1"/>
    </row>
    <row r="1069" spans="1:10" x14ac:dyDescent="0.3">
      <c r="A1069" t="str">
        <f t="shared" si="32"/>
        <v>RPG</v>
      </c>
      <c r="B1069">
        <f t="shared" si="33"/>
        <v>8422</v>
      </c>
      <c r="D1069" s="1"/>
      <c r="E1069" s="1" t="s">
        <v>109</v>
      </c>
      <c r="F1069" s="1">
        <v>156</v>
      </c>
      <c r="G1069" s="1">
        <v>2</v>
      </c>
      <c r="H1069" s="1">
        <v>35.57</v>
      </c>
      <c r="I1069" s="1"/>
      <c r="J1069" s="1"/>
    </row>
    <row r="1070" spans="1:10" x14ac:dyDescent="0.3">
      <c r="A1070" t="str">
        <f t="shared" si="32"/>
        <v>RPG</v>
      </c>
      <c r="B1070">
        <f t="shared" si="33"/>
        <v>1722</v>
      </c>
      <c r="D1070" s="1"/>
      <c r="E1070" s="1" t="s">
        <v>133</v>
      </c>
      <c r="F1070" s="1">
        <v>168</v>
      </c>
      <c r="G1070" s="1">
        <v>5</v>
      </c>
      <c r="H1070" s="1">
        <v>35.43</v>
      </c>
      <c r="I1070" s="1"/>
      <c r="J1070" s="1"/>
    </row>
    <row r="1071" spans="1:10" x14ac:dyDescent="0.3">
      <c r="A1071" t="str">
        <f t="shared" si="32"/>
        <v>RPG</v>
      </c>
      <c r="B1071">
        <f t="shared" si="33"/>
        <v>1922</v>
      </c>
      <c r="D1071" s="1"/>
      <c r="E1071" s="1" t="s">
        <v>112</v>
      </c>
      <c r="F1071" s="1">
        <v>178</v>
      </c>
      <c r="G1071" s="1">
        <v>9</v>
      </c>
      <c r="H1071" s="1">
        <v>35.29</v>
      </c>
      <c r="I1071" s="1"/>
      <c r="J1071" s="1"/>
    </row>
    <row r="1072" spans="1:10" x14ac:dyDescent="0.3">
      <c r="A1072" t="str">
        <f t="shared" si="32"/>
        <v>RPG</v>
      </c>
      <c r="B1072">
        <f t="shared" si="33"/>
        <v>12822</v>
      </c>
      <c r="D1072" s="1"/>
      <c r="E1072" s="1" t="s">
        <v>142</v>
      </c>
      <c r="F1072" s="1">
        <v>184</v>
      </c>
      <c r="G1072" s="1">
        <v>5</v>
      </c>
      <c r="H1072" s="1">
        <v>35.18</v>
      </c>
      <c r="I1072" s="1"/>
      <c r="J1072" s="1"/>
    </row>
    <row r="1073" spans="1:10" x14ac:dyDescent="0.3">
      <c r="A1073" t="str">
        <f t="shared" si="32"/>
        <v>RPG</v>
      </c>
      <c r="B1073">
        <f t="shared" si="33"/>
        <v>3222</v>
      </c>
      <c r="D1073" s="1"/>
      <c r="E1073" s="1" t="s">
        <v>127</v>
      </c>
      <c r="F1073" s="1">
        <v>188</v>
      </c>
      <c r="G1073" s="1">
        <v>9</v>
      </c>
      <c r="H1073" s="1">
        <v>35.11</v>
      </c>
      <c r="I1073" s="1"/>
      <c r="J1073" s="1"/>
    </row>
    <row r="1074" spans="1:10" x14ac:dyDescent="0.3">
      <c r="A1074" t="str">
        <f t="shared" si="32"/>
        <v>RPG</v>
      </c>
      <c r="B1074">
        <f t="shared" si="33"/>
        <v>7222</v>
      </c>
      <c r="D1074" s="1"/>
      <c r="E1074" s="1" t="s">
        <v>116</v>
      </c>
      <c r="F1074" s="1">
        <v>195</v>
      </c>
      <c r="G1074" s="1">
        <v>10</v>
      </c>
      <c r="H1074" s="1">
        <v>34.94</v>
      </c>
      <c r="I1074" s="1"/>
      <c r="J1074" s="1"/>
    </row>
    <row r="1075" spans="1:10" x14ac:dyDescent="0.3">
      <c r="A1075" t="str">
        <f t="shared" si="32"/>
        <v>RPG</v>
      </c>
      <c r="B1075">
        <f t="shared" si="33"/>
        <v>12922</v>
      </c>
      <c r="D1075" s="1"/>
      <c r="E1075" s="1" t="s">
        <v>132</v>
      </c>
      <c r="F1075" s="1">
        <v>205</v>
      </c>
      <c r="G1075" s="1">
        <v>9</v>
      </c>
      <c r="H1075" s="1">
        <v>34.81</v>
      </c>
      <c r="I1075" s="1"/>
      <c r="J1075" s="1"/>
    </row>
    <row r="1076" spans="1:10" x14ac:dyDescent="0.3">
      <c r="A1076" t="str">
        <f t="shared" si="32"/>
        <v>RPG</v>
      </c>
      <c r="B1076">
        <f t="shared" si="33"/>
        <v>11322</v>
      </c>
      <c r="D1076" s="1"/>
      <c r="E1076" s="1" t="s">
        <v>126</v>
      </c>
      <c r="F1076" s="1">
        <v>208</v>
      </c>
      <c r="G1076" s="1">
        <v>6</v>
      </c>
      <c r="H1076" s="1">
        <v>34.74</v>
      </c>
      <c r="I1076" s="1"/>
      <c r="J1076" s="1"/>
    </row>
    <row r="1077" spans="1:10" x14ac:dyDescent="0.3">
      <c r="A1077" t="str">
        <f t="shared" si="32"/>
        <v>RPG</v>
      </c>
      <c r="B1077">
        <f t="shared" si="33"/>
        <v>922</v>
      </c>
      <c r="D1077" s="1"/>
      <c r="E1077" s="1" t="s">
        <v>90</v>
      </c>
      <c r="F1077" s="1">
        <v>210</v>
      </c>
      <c r="G1077" s="1">
        <v>11</v>
      </c>
      <c r="H1077" s="1">
        <v>34.71</v>
      </c>
      <c r="I1077" s="1"/>
      <c r="J1077" s="1"/>
    </row>
    <row r="1078" spans="1:10" x14ac:dyDescent="0.3">
      <c r="A1078" t="str">
        <f t="shared" si="32"/>
        <v>RPG</v>
      </c>
      <c r="B1078">
        <f t="shared" si="33"/>
        <v>6722</v>
      </c>
      <c r="D1078" s="1"/>
      <c r="E1078" s="1" t="s">
        <v>118</v>
      </c>
      <c r="F1078" s="1">
        <v>213</v>
      </c>
      <c r="G1078" s="1">
        <v>11</v>
      </c>
      <c r="H1078" s="1">
        <v>34.68</v>
      </c>
      <c r="I1078" s="1"/>
      <c r="J1078" s="1"/>
    </row>
    <row r="1079" spans="1:10" x14ac:dyDescent="0.3">
      <c r="A1079" t="str">
        <f t="shared" si="32"/>
        <v>RPG</v>
      </c>
      <c r="B1079">
        <f t="shared" si="33"/>
        <v>7922</v>
      </c>
      <c r="D1079" s="1"/>
      <c r="E1079" s="1" t="s">
        <v>103</v>
      </c>
      <c r="F1079" s="1">
        <v>220</v>
      </c>
      <c r="G1079" s="1">
        <v>8</v>
      </c>
      <c r="H1079" s="1">
        <v>34.630000000000003</v>
      </c>
      <c r="I1079" s="1"/>
      <c r="J1079" s="1"/>
    </row>
    <row r="1080" spans="1:10" x14ac:dyDescent="0.3">
      <c r="A1080" t="str">
        <f t="shared" si="32"/>
        <v>RPG</v>
      </c>
      <c r="B1080">
        <f t="shared" si="33"/>
        <v>6922</v>
      </c>
      <c r="D1080" s="1"/>
      <c r="E1080" s="1" t="s">
        <v>114</v>
      </c>
      <c r="F1080" s="1">
        <v>234</v>
      </c>
      <c r="G1080" s="1">
        <v>7</v>
      </c>
      <c r="H1080" s="1">
        <v>34.39</v>
      </c>
      <c r="I1080" s="1"/>
      <c r="J1080" s="1"/>
    </row>
    <row r="1081" spans="1:10" x14ac:dyDescent="0.3">
      <c r="A1081" t="str">
        <f t="shared" si="32"/>
        <v>RPG</v>
      </c>
      <c r="B1081">
        <f t="shared" si="33"/>
        <v>9522</v>
      </c>
      <c r="D1081" s="1"/>
      <c r="E1081" s="1" t="s">
        <v>85</v>
      </c>
      <c r="F1081" s="1">
        <v>237</v>
      </c>
      <c r="G1081" s="1">
        <v>5</v>
      </c>
      <c r="H1081" s="1">
        <v>34.340000000000003</v>
      </c>
      <c r="I1081" s="1"/>
      <c r="J1081" s="1"/>
    </row>
    <row r="1082" spans="1:10" x14ac:dyDescent="0.3">
      <c r="A1082" t="str">
        <f t="shared" si="32"/>
        <v>RPG</v>
      </c>
      <c r="B1082">
        <f t="shared" si="33"/>
        <v>4622</v>
      </c>
      <c r="D1082" s="1"/>
      <c r="E1082" s="1" t="s">
        <v>101</v>
      </c>
      <c r="F1082" s="1">
        <v>239</v>
      </c>
      <c r="G1082" s="1">
        <v>6</v>
      </c>
      <c r="H1082" s="1">
        <v>34.32</v>
      </c>
      <c r="I1082" s="1"/>
      <c r="J1082" s="1"/>
    </row>
    <row r="1083" spans="1:10" x14ac:dyDescent="0.3">
      <c r="A1083" t="str">
        <f t="shared" si="32"/>
        <v>RPG</v>
      </c>
      <c r="B1083">
        <f t="shared" si="33"/>
        <v>4222</v>
      </c>
      <c r="D1083" s="1"/>
      <c r="E1083" s="1" t="s">
        <v>123</v>
      </c>
      <c r="F1083" s="1">
        <v>255</v>
      </c>
      <c r="G1083" s="1">
        <v>12</v>
      </c>
      <c r="H1083" s="1">
        <v>34</v>
      </c>
      <c r="I1083" s="1"/>
      <c r="J1083" s="1"/>
    </row>
    <row r="1084" spans="1:10" x14ac:dyDescent="0.3">
      <c r="A1084" t="str">
        <f t="shared" si="32"/>
        <v>RPG</v>
      </c>
      <c r="B1084">
        <f t="shared" si="33"/>
        <v>622</v>
      </c>
      <c r="D1084" s="1"/>
      <c r="E1084" s="1" t="s">
        <v>100</v>
      </c>
      <c r="F1084" s="1">
        <v>261</v>
      </c>
      <c r="G1084" s="1">
        <v>12</v>
      </c>
      <c r="H1084" s="1">
        <v>33.89</v>
      </c>
      <c r="I1084" s="1"/>
      <c r="J1084" s="1"/>
    </row>
    <row r="1085" spans="1:10" x14ac:dyDescent="0.3">
      <c r="A1085" t="str">
        <f t="shared" si="32"/>
        <v>RPG</v>
      </c>
      <c r="B1085">
        <f t="shared" si="33"/>
        <v>5022</v>
      </c>
      <c r="D1085" s="1"/>
      <c r="E1085" s="1" t="s">
        <v>110</v>
      </c>
      <c r="F1085" s="1">
        <v>279</v>
      </c>
      <c r="G1085" s="1">
        <v>12</v>
      </c>
      <c r="H1085" s="1">
        <v>33.549999999999997</v>
      </c>
      <c r="I1085" s="1"/>
      <c r="J1085" s="1"/>
    </row>
    <row r="1086" spans="1:10" x14ac:dyDescent="0.3">
      <c r="A1086" t="str">
        <f t="shared" si="32"/>
        <v>RPG</v>
      </c>
      <c r="B1086">
        <f t="shared" si="33"/>
        <v>1322</v>
      </c>
      <c r="D1086" s="1"/>
      <c r="E1086" s="1" t="s">
        <v>82</v>
      </c>
      <c r="F1086" s="1">
        <v>286</v>
      </c>
      <c r="G1086" s="1">
        <v>8</v>
      </c>
      <c r="H1086" s="1">
        <v>33.42</v>
      </c>
      <c r="I1086" s="1"/>
      <c r="J1086" s="1"/>
    </row>
    <row r="1087" spans="1:10" x14ac:dyDescent="0.3">
      <c r="A1087" t="str">
        <f t="shared" si="32"/>
        <v>RPG</v>
      </c>
      <c r="B1087">
        <f t="shared" si="33"/>
        <v>3322</v>
      </c>
      <c r="D1087" s="1"/>
      <c r="E1087" s="1" t="s">
        <v>91</v>
      </c>
      <c r="F1087" s="1">
        <v>309</v>
      </c>
      <c r="G1087" s="1">
        <v>10</v>
      </c>
      <c r="H1087" s="1">
        <v>32.76</v>
      </c>
      <c r="I1087" s="1"/>
      <c r="J1087" s="1"/>
    </row>
    <row r="1088" spans="1:10" x14ac:dyDescent="0.3">
      <c r="A1088" t="str">
        <f t="shared" si="32"/>
        <v>RPG</v>
      </c>
      <c r="B1088">
        <f t="shared" si="33"/>
        <v>2622</v>
      </c>
      <c r="D1088" s="1"/>
      <c r="E1088" s="1" t="s">
        <v>80</v>
      </c>
      <c r="F1088" s="1">
        <v>316</v>
      </c>
      <c r="G1088" s="1">
        <v>14</v>
      </c>
      <c r="H1088" s="1">
        <v>32.56</v>
      </c>
      <c r="I1088" s="1"/>
      <c r="J1088" s="1"/>
    </row>
    <row r="1089" spans="1:10" x14ac:dyDescent="0.3">
      <c r="A1089" t="str">
        <f t="shared" si="32"/>
        <v>RPG</v>
      </c>
      <c r="B1089">
        <f t="shared" si="33"/>
        <v>11922</v>
      </c>
      <c r="D1089" s="1"/>
      <c r="E1089" s="1" t="s">
        <v>143</v>
      </c>
      <c r="F1089" s="1">
        <v>323</v>
      </c>
      <c r="G1089" s="1">
        <v>9</v>
      </c>
      <c r="H1089" s="1">
        <v>32.17</v>
      </c>
      <c r="I1089" s="1"/>
      <c r="J1089" s="1"/>
    </row>
    <row r="1090" spans="1:10" x14ac:dyDescent="0.3">
      <c r="A1090" t="str">
        <f t="shared" ref="A1090:A1153" si="34">IF(NOT(D1090=""),INDEX(statAbbr,MATCH(D1090,statOfficial,0),1),A1089)</f>
        <v>RPG</v>
      </c>
      <c r="B1090">
        <f t="shared" ref="B1090:B1153" si="35">INDEX(statID,MATCH(A1090,statAbbr,0),1)+INDEX(teamID,MATCH(E1090,teamRawName,0))</f>
        <v>6222</v>
      </c>
      <c r="D1090" s="1"/>
      <c r="E1090" s="1" t="s">
        <v>81</v>
      </c>
      <c r="F1090" s="1">
        <v>335</v>
      </c>
      <c r="G1090" s="1">
        <v>14</v>
      </c>
      <c r="H1090" s="1">
        <v>31.41</v>
      </c>
      <c r="I1090" s="1"/>
      <c r="J1090" s="1"/>
    </row>
    <row r="1091" spans="1:10" x14ac:dyDescent="0.3">
      <c r="A1091" t="str">
        <f t="shared" si="34"/>
        <v>RPG</v>
      </c>
      <c r="B1091">
        <f t="shared" si="35"/>
        <v>12022</v>
      </c>
      <c r="D1091" s="1"/>
      <c r="E1091" s="1" t="s">
        <v>135</v>
      </c>
      <c r="F1091" s="1">
        <v>343</v>
      </c>
      <c r="G1091" s="1">
        <v>10</v>
      </c>
      <c r="H1091" s="1">
        <v>30.51</v>
      </c>
      <c r="I1091" s="1"/>
      <c r="J1091" s="1"/>
    </row>
    <row r="1092" spans="1:10" x14ac:dyDescent="0.3">
      <c r="A1092" t="str">
        <f t="shared" si="34"/>
        <v>OPPG</v>
      </c>
      <c r="B1092">
        <f t="shared" si="35"/>
        <v>2818</v>
      </c>
      <c r="D1092" s="1" t="s">
        <v>167</v>
      </c>
      <c r="E1092" s="1" t="s">
        <v>106</v>
      </c>
      <c r="F1092" s="1">
        <v>1</v>
      </c>
      <c r="G1092" s="1">
        <v>1</v>
      </c>
      <c r="H1092" s="1">
        <v>57.6</v>
      </c>
      <c r="I1092" s="1" t="s">
        <v>106</v>
      </c>
      <c r="J1092" s="1">
        <v>57.6</v>
      </c>
    </row>
    <row r="1093" spans="1:10" x14ac:dyDescent="0.3">
      <c r="A1093" t="str">
        <f t="shared" si="34"/>
        <v>OPPG</v>
      </c>
      <c r="B1093">
        <f t="shared" si="35"/>
        <v>2518</v>
      </c>
      <c r="D1093" s="1"/>
      <c r="E1093" s="1" t="s">
        <v>92</v>
      </c>
      <c r="F1093" s="1">
        <v>2</v>
      </c>
      <c r="G1093" s="1">
        <v>1</v>
      </c>
      <c r="H1093" s="1">
        <v>59.2</v>
      </c>
      <c r="I1093" s="1"/>
      <c r="J1093" s="1"/>
    </row>
    <row r="1094" spans="1:10" x14ac:dyDescent="0.3">
      <c r="A1094" t="str">
        <f t="shared" si="34"/>
        <v>OPPG</v>
      </c>
      <c r="B1094">
        <f t="shared" si="35"/>
        <v>2618</v>
      </c>
      <c r="D1094" s="1"/>
      <c r="E1094" s="1" t="s">
        <v>80</v>
      </c>
      <c r="F1094" s="1">
        <v>3</v>
      </c>
      <c r="G1094" s="1">
        <v>1</v>
      </c>
      <c r="H1094" s="1">
        <v>59.7</v>
      </c>
      <c r="I1094" s="1"/>
      <c r="J1094" s="1"/>
    </row>
    <row r="1095" spans="1:10" x14ac:dyDescent="0.3">
      <c r="A1095" t="str">
        <f t="shared" si="34"/>
        <v>OPPG</v>
      </c>
      <c r="B1095">
        <f t="shared" si="35"/>
        <v>618</v>
      </c>
      <c r="D1095" s="1"/>
      <c r="E1095" s="1" t="s">
        <v>100</v>
      </c>
      <c r="F1095" s="1">
        <v>4</v>
      </c>
      <c r="G1095" s="1">
        <v>2</v>
      </c>
      <c r="H1095" s="1">
        <v>61.5</v>
      </c>
      <c r="I1095" s="1"/>
      <c r="J1095" s="1"/>
    </row>
    <row r="1096" spans="1:10" x14ac:dyDescent="0.3">
      <c r="A1096" t="str">
        <f t="shared" si="34"/>
        <v>OPPG</v>
      </c>
      <c r="B1096">
        <f t="shared" si="35"/>
        <v>218</v>
      </c>
      <c r="D1096" s="1"/>
      <c r="E1096" s="1" t="s">
        <v>98</v>
      </c>
      <c r="F1096" s="1">
        <v>6</v>
      </c>
      <c r="G1096" s="1">
        <v>1</v>
      </c>
      <c r="H1096" s="1">
        <v>62.2</v>
      </c>
      <c r="I1096" s="1"/>
      <c r="J1096" s="1"/>
    </row>
    <row r="1097" spans="1:10" x14ac:dyDescent="0.3">
      <c r="A1097" t="str">
        <f t="shared" si="34"/>
        <v>OPPG</v>
      </c>
      <c r="B1097">
        <f t="shared" si="35"/>
        <v>7918</v>
      </c>
      <c r="D1097" s="1"/>
      <c r="E1097" s="1" t="s">
        <v>103</v>
      </c>
      <c r="F1097" s="1">
        <v>7</v>
      </c>
      <c r="G1097" s="1">
        <v>1</v>
      </c>
      <c r="H1097" s="1">
        <v>63</v>
      </c>
      <c r="I1097" s="1"/>
      <c r="J1097" s="1"/>
    </row>
    <row r="1098" spans="1:10" x14ac:dyDescent="0.3">
      <c r="A1098" t="str">
        <f t="shared" si="34"/>
        <v>OPPG</v>
      </c>
      <c r="B1098">
        <f t="shared" si="35"/>
        <v>11618</v>
      </c>
      <c r="D1098" s="1"/>
      <c r="E1098" s="1" t="s">
        <v>121</v>
      </c>
      <c r="F1098" s="1">
        <v>8</v>
      </c>
      <c r="G1098" s="1">
        <v>1</v>
      </c>
      <c r="H1098" s="1">
        <v>63.1</v>
      </c>
      <c r="I1098" s="1"/>
      <c r="J1098" s="1"/>
    </row>
    <row r="1099" spans="1:10" x14ac:dyDescent="0.3">
      <c r="A1099" t="str">
        <f t="shared" si="34"/>
        <v>OPPG</v>
      </c>
      <c r="B1099">
        <f t="shared" si="35"/>
        <v>2318</v>
      </c>
      <c r="D1099" s="1"/>
      <c r="E1099" s="1" t="s">
        <v>79</v>
      </c>
      <c r="F1099" s="1">
        <v>9</v>
      </c>
      <c r="G1099" s="1">
        <v>1</v>
      </c>
      <c r="H1099" s="1">
        <v>63.4</v>
      </c>
      <c r="I1099" s="1"/>
      <c r="J1099" s="1"/>
    </row>
    <row r="1100" spans="1:10" x14ac:dyDescent="0.3">
      <c r="A1100" t="str">
        <f t="shared" si="34"/>
        <v>OPPG</v>
      </c>
      <c r="B1100">
        <f t="shared" si="35"/>
        <v>1518</v>
      </c>
      <c r="D1100" s="1"/>
      <c r="E1100" s="1" t="s">
        <v>124</v>
      </c>
      <c r="F1100" s="1">
        <v>10</v>
      </c>
      <c r="G1100" s="1">
        <v>1</v>
      </c>
      <c r="H1100" s="1">
        <v>63.4</v>
      </c>
      <c r="I1100" s="1"/>
      <c r="J1100" s="1"/>
    </row>
    <row r="1101" spans="1:10" x14ac:dyDescent="0.3">
      <c r="A1101" t="str">
        <f t="shared" si="34"/>
        <v>OPPG</v>
      </c>
      <c r="B1101">
        <f t="shared" si="35"/>
        <v>12818</v>
      </c>
      <c r="D1101" s="1"/>
      <c r="E1101" s="1" t="s">
        <v>142</v>
      </c>
      <c r="F1101" s="1">
        <v>13</v>
      </c>
      <c r="G1101" s="1">
        <v>2</v>
      </c>
      <c r="H1101" s="1">
        <v>64</v>
      </c>
      <c r="I1101" s="1"/>
      <c r="J1101" s="1"/>
    </row>
    <row r="1102" spans="1:10" x14ac:dyDescent="0.3">
      <c r="A1102" t="str">
        <f t="shared" si="34"/>
        <v>OPPG</v>
      </c>
      <c r="B1102">
        <f t="shared" si="35"/>
        <v>8418</v>
      </c>
      <c r="D1102" s="1"/>
      <c r="E1102" s="1" t="s">
        <v>109</v>
      </c>
      <c r="F1102" s="1">
        <v>14</v>
      </c>
      <c r="G1102" s="1">
        <v>1</v>
      </c>
      <c r="H1102" s="1">
        <v>64.099999999999994</v>
      </c>
      <c r="I1102" s="1"/>
      <c r="J1102" s="1"/>
    </row>
    <row r="1103" spans="1:10" x14ac:dyDescent="0.3">
      <c r="A1103" t="str">
        <f t="shared" si="34"/>
        <v>OPPG</v>
      </c>
      <c r="B1103">
        <f t="shared" si="35"/>
        <v>918</v>
      </c>
      <c r="D1103" s="1"/>
      <c r="E1103" s="1" t="s">
        <v>90</v>
      </c>
      <c r="F1103" s="1">
        <v>25</v>
      </c>
      <c r="G1103" s="1">
        <v>2</v>
      </c>
      <c r="H1103" s="1">
        <v>66.099999999999994</v>
      </c>
      <c r="I1103" s="1"/>
      <c r="J1103" s="1"/>
    </row>
    <row r="1104" spans="1:10" x14ac:dyDescent="0.3">
      <c r="A1104" t="str">
        <f t="shared" si="34"/>
        <v>OPPG</v>
      </c>
      <c r="B1104">
        <f t="shared" si="35"/>
        <v>8218</v>
      </c>
      <c r="D1104" s="1"/>
      <c r="E1104" s="1" t="s">
        <v>131</v>
      </c>
      <c r="F1104" s="1">
        <v>26</v>
      </c>
      <c r="G1104" s="1">
        <v>1</v>
      </c>
      <c r="H1104" s="1">
        <v>66.2</v>
      </c>
      <c r="I1104" s="1"/>
      <c r="J1104" s="1"/>
    </row>
    <row r="1105" spans="1:10" x14ac:dyDescent="0.3">
      <c r="A1105" t="str">
        <f t="shared" si="34"/>
        <v>OPPG</v>
      </c>
      <c r="B1105">
        <f t="shared" si="35"/>
        <v>5418</v>
      </c>
      <c r="D1105" s="1"/>
      <c r="E1105" s="1" t="s">
        <v>94</v>
      </c>
      <c r="F1105" s="1">
        <v>28</v>
      </c>
      <c r="G1105" s="1">
        <v>2</v>
      </c>
      <c r="H1105" s="1">
        <v>66.3</v>
      </c>
      <c r="I1105" s="1"/>
      <c r="J1105" s="1"/>
    </row>
    <row r="1106" spans="1:10" x14ac:dyDescent="0.3">
      <c r="A1106" t="str">
        <f t="shared" si="34"/>
        <v>OPPG</v>
      </c>
      <c r="B1106">
        <f t="shared" si="35"/>
        <v>5018</v>
      </c>
      <c r="D1106" s="1"/>
      <c r="E1106" s="1" t="s">
        <v>110</v>
      </c>
      <c r="F1106" s="1">
        <v>30</v>
      </c>
      <c r="G1106" s="1">
        <v>3</v>
      </c>
      <c r="H1106" s="1">
        <v>66.5</v>
      </c>
      <c r="I1106" s="1"/>
      <c r="J1106" s="1"/>
    </row>
    <row r="1107" spans="1:10" x14ac:dyDescent="0.3">
      <c r="A1107" t="str">
        <f t="shared" si="34"/>
        <v>OPPG</v>
      </c>
      <c r="B1107">
        <f t="shared" si="35"/>
        <v>12918</v>
      </c>
      <c r="D1107" s="1"/>
      <c r="E1107" s="1" t="s">
        <v>132</v>
      </c>
      <c r="F1107" s="1">
        <v>39</v>
      </c>
      <c r="G1107" s="1">
        <v>4</v>
      </c>
      <c r="H1107" s="1">
        <v>66.7</v>
      </c>
      <c r="I1107" s="1"/>
      <c r="J1107" s="1"/>
    </row>
    <row r="1108" spans="1:10" x14ac:dyDescent="0.3">
      <c r="A1108" t="str">
        <f t="shared" si="34"/>
        <v>OPPG</v>
      </c>
      <c r="B1108">
        <f t="shared" si="35"/>
        <v>1218</v>
      </c>
      <c r="D1108" s="1"/>
      <c r="E1108" s="1" t="s">
        <v>130</v>
      </c>
      <c r="F1108" s="1">
        <v>39</v>
      </c>
      <c r="G1108" s="1">
        <v>1</v>
      </c>
      <c r="H1108" s="1">
        <v>66.7</v>
      </c>
      <c r="I1108" s="1"/>
      <c r="J1108" s="1"/>
    </row>
    <row r="1109" spans="1:10" x14ac:dyDescent="0.3">
      <c r="A1109" t="str">
        <f t="shared" si="34"/>
        <v>OPPG</v>
      </c>
      <c r="B1109">
        <f t="shared" si="35"/>
        <v>10318</v>
      </c>
      <c r="D1109" s="1"/>
      <c r="E1109" s="1" t="s">
        <v>134</v>
      </c>
      <c r="F1109" s="1">
        <v>43</v>
      </c>
      <c r="G1109" s="1">
        <v>2</v>
      </c>
      <c r="H1109" s="1">
        <v>66.7</v>
      </c>
      <c r="I1109" s="1"/>
      <c r="J1109" s="1"/>
    </row>
    <row r="1110" spans="1:10" x14ac:dyDescent="0.3">
      <c r="A1110" t="str">
        <f t="shared" si="34"/>
        <v>OPPG</v>
      </c>
      <c r="B1110">
        <f t="shared" si="35"/>
        <v>4618</v>
      </c>
      <c r="D1110" s="1"/>
      <c r="E1110" s="1" t="s">
        <v>101</v>
      </c>
      <c r="F1110" s="1">
        <v>45</v>
      </c>
      <c r="G1110" s="1">
        <v>2</v>
      </c>
      <c r="H1110" s="1">
        <v>66.900000000000006</v>
      </c>
      <c r="I1110" s="1"/>
      <c r="J1110" s="1"/>
    </row>
    <row r="1111" spans="1:10" x14ac:dyDescent="0.3">
      <c r="A1111" t="str">
        <f t="shared" si="34"/>
        <v>OPPG</v>
      </c>
      <c r="B1111">
        <f t="shared" si="35"/>
        <v>5818</v>
      </c>
      <c r="D1111" s="1"/>
      <c r="E1111" s="1" t="s">
        <v>139</v>
      </c>
      <c r="F1111" s="1">
        <v>46</v>
      </c>
      <c r="G1111" s="1">
        <v>3</v>
      </c>
      <c r="H1111" s="1">
        <v>67</v>
      </c>
      <c r="I1111" s="1"/>
      <c r="J1111" s="1"/>
    </row>
    <row r="1112" spans="1:10" x14ac:dyDescent="0.3">
      <c r="A1112" t="str">
        <f t="shared" si="34"/>
        <v>OPPG</v>
      </c>
      <c r="B1112">
        <f t="shared" si="35"/>
        <v>1318</v>
      </c>
      <c r="D1112" s="1"/>
      <c r="E1112" s="1" t="s">
        <v>82</v>
      </c>
      <c r="F1112" s="1">
        <v>51</v>
      </c>
      <c r="G1112" s="1">
        <v>3</v>
      </c>
      <c r="H1112" s="1">
        <v>67.3</v>
      </c>
      <c r="I1112" s="1"/>
      <c r="J1112" s="1"/>
    </row>
    <row r="1113" spans="1:10" x14ac:dyDescent="0.3">
      <c r="A1113" t="str">
        <f t="shared" si="34"/>
        <v>OPPG</v>
      </c>
      <c r="B1113">
        <f t="shared" si="35"/>
        <v>2118</v>
      </c>
      <c r="D1113" s="1"/>
      <c r="E1113" s="1" t="s">
        <v>136</v>
      </c>
      <c r="F1113" s="1">
        <v>52</v>
      </c>
      <c r="G1113" s="1">
        <v>4</v>
      </c>
      <c r="H1113" s="1">
        <v>67.3</v>
      </c>
      <c r="I1113" s="1"/>
      <c r="J1113" s="1"/>
    </row>
    <row r="1114" spans="1:10" x14ac:dyDescent="0.3">
      <c r="A1114" t="str">
        <f t="shared" si="34"/>
        <v>OPPG</v>
      </c>
      <c r="B1114">
        <f t="shared" si="35"/>
        <v>3518</v>
      </c>
      <c r="D1114" s="1"/>
      <c r="E1114" s="1" t="s">
        <v>87</v>
      </c>
      <c r="F1114" s="1">
        <v>54</v>
      </c>
      <c r="G1114" s="1">
        <v>1</v>
      </c>
      <c r="H1114" s="1">
        <v>67.400000000000006</v>
      </c>
      <c r="I1114" s="1"/>
      <c r="J1114" s="1"/>
    </row>
    <row r="1115" spans="1:10" x14ac:dyDescent="0.3">
      <c r="A1115" t="str">
        <f t="shared" si="34"/>
        <v>OPPG</v>
      </c>
      <c r="B1115">
        <f t="shared" si="35"/>
        <v>12518</v>
      </c>
      <c r="D1115" s="1"/>
      <c r="E1115" s="1" t="s">
        <v>95</v>
      </c>
      <c r="F1115" s="1">
        <v>55</v>
      </c>
      <c r="G1115" s="1">
        <v>2</v>
      </c>
      <c r="H1115" s="1">
        <v>67.5</v>
      </c>
      <c r="I1115" s="1"/>
      <c r="J1115" s="1"/>
    </row>
    <row r="1116" spans="1:10" x14ac:dyDescent="0.3">
      <c r="A1116" t="str">
        <f t="shared" si="34"/>
        <v>OPPG</v>
      </c>
      <c r="B1116">
        <f t="shared" si="35"/>
        <v>9118</v>
      </c>
      <c r="D1116" s="1"/>
      <c r="E1116" s="1" t="s">
        <v>99</v>
      </c>
      <c r="F1116" s="1">
        <v>60</v>
      </c>
      <c r="G1116" s="1">
        <v>2</v>
      </c>
      <c r="H1116" s="1">
        <v>67.599999999999994</v>
      </c>
      <c r="I1116" s="1"/>
      <c r="J1116" s="1"/>
    </row>
    <row r="1117" spans="1:10" x14ac:dyDescent="0.3">
      <c r="A1117" t="str">
        <f t="shared" si="34"/>
        <v>OPPG</v>
      </c>
      <c r="B1117">
        <f t="shared" si="35"/>
        <v>4518</v>
      </c>
      <c r="D1117" s="1"/>
      <c r="E1117" s="1" t="s">
        <v>84</v>
      </c>
      <c r="F1117" s="1">
        <v>71</v>
      </c>
      <c r="G1117" s="1">
        <v>3</v>
      </c>
      <c r="H1117" s="1">
        <v>68.3</v>
      </c>
      <c r="I1117" s="1"/>
      <c r="J1117" s="1"/>
    </row>
    <row r="1118" spans="1:10" x14ac:dyDescent="0.3">
      <c r="A1118" t="str">
        <f t="shared" si="34"/>
        <v>OPPG</v>
      </c>
      <c r="B1118">
        <f t="shared" si="35"/>
        <v>11418</v>
      </c>
      <c r="D1118" s="1"/>
      <c r="E1118" s="1" t="s">
        <v>138</v>
      </c>
      <c r="F1118" s="1">
        <v>73</v>
      </c>
      <c r="G1118" s="1">
        <v>1</v>
      </c>
      <c r="H1118" s="1">
        <v>68.5</v>
      </c>
      <c r="I1118" s="1"/>
      <c r="J1118" s="1"/>
    </row>
    <row r="1119" spans="1:10" x14ac:dyDescent="0.3">
      <c r="A1119" t="str">
        <f t="shared" si="34"/>
        <v>OPPG</v>
      </c>
      <c r="B1119">
        <f t="shared" si="35"/>
        <v>6718</v>
      </c>
      <c r="D1119" s="1"/>
      <c r="E1119" s="1" t="s">
        <v>118</v>
      </c>
      <c r="F1119" s="1">
        <v>83</v>
      </c>
      <c r="G1119" s="1">
        <v>6</v>
      </c>
      <c r="H1119" s="1">
        <v>68.900000000000006</v>
      </c>
      <c r="I1119" s="1"/>
      <c r="J1119" s="1"/>
    </row>
    <row r="1120" spans="1:10" x14ac:dyDescent="0.3">
      <c r="A1120" t="str">
        <f t="shared" si="34"/>
        <v>OPPG</v>
      </c>
      <c r="B1120">
        <f t="shared" si="35"/>
        <v>3018</v>
      </c>
      <c r="D1120" s="1"/>
      <c r="E1120" s="1" t="s">
        <v>89</v>
      </c>
      <c r="F1120" s="1">
        <v>84</v>
      </c>
      <c r="G1120" s="1">
        <v>4</v>
      </c>
      <c r="H1120" s="1">
        <v>68.900000000000006</v>
      </c>
      <c r="I1120" s="1"/>
      <c r="J1120" s="1"/>
    </row>
    <row r="1121" spans="1:10" x14ac:dyDescent="0.3">
      <c r="A1121" t="str">
        <f t="shared" si="34"/>
        <v>OPPG</v>
      </c>
      <c r="B1121">
        <f t="shared" si="35"/>
        <v>1618</v>
      </c>
      <c r="D1121" s="1"/>
      <c r="E1121" s="1" t="s">
        <v>137</v>
      </c>
      <c r="F1121" s="1">
        <v>87</v>
      </c>
      <c r="G1121" s="1">
        <v>4</v>
      </c>
      <c r="H1121" s="1">
        <v>69.099999999999994</v>
      </c>
      <c r="I1121" s="1"/>
      <c r="J1121" s="1"/>
    </row>
    <row r="1122" spans="1:10" x14ac:dyDescent="0.3">
      <c r="A1122" t="str">
        <f t="shared" si="34"/>
        <v>OPPG</v>
      </c>
      <c r="B1122">
        <f t="shared" si="35"/>
        <v>6218</v>
      </c>
      <c r="D1122" s="1"/>
      <c r="E1122" s="1" t="s">
        <v>81</v>
      </c>
      <c r="F1122" s="1">
        <v>88</v>
      </c>
      <c r="G1122" s="1">
        <v>5</v>
      </c>
      <c r="H1122" s="1">
        <v>69.099999999999994</v>
      </c>
      <c r="I1122" s="1"/>
      <c r="J1122" s="1"/>
    </row>
    <row r="1123" spans="1:10" x14ac:dyDescent="0.3">
      <c r="A1123" t="str">
        <f t="shared" si="34"/>
        <v>OPPG</v>
      </c>
      <c r="B1123">
        <f t="shared" si="35"/>
        <v>4418</v>
      </c>
      <c r="D1123" s="1"/>
      <c r="E1123" s="1" t="s">
        <v>83</v>
      </c>
      <c r="F1123" s="1">
        <v>91</v>
      </c>
      <c r="G1123" s="1">
        <v>3</v>
      </c>
      <c r="H1123" s="1">
        <v>69.099999999999994</v>
      </c>
      <c r="I1123" s="1"/>
      <c r="J1123" s="1"/>
    </row>
    <row r="1124" spans="1:10" x14ac:dyDescent="0.3">
      <c r="A1124" t="str">
        <f t="shared" si="34"/>
        <v>OPPG</v>
      </c>
      <c r="B1124">
        <f t="shared" si="35"/>
        <v>11918</v>
      </c>
      <c r="D1124" s="1"/>
      <c r="E1124" s="1" t="s">
        <v>143</v>
      </c>
      <c r="F1124" s="1">
        <v>98</v>
      </c>
      <c r="G1124" s="1">
        <v>3</v>
      </c>
      <c r="H1124" s="1">
        <v>69.599999999999994</v>
      </c>
      <c r="I1124" s="1"/>
      <c r="J1124" s="1"/>
    </row>
    <row r="1125" spans="1:10" x14ac:dyDescent="0.3">
      <c r="A1125" t="str">
        <f t="shared" si="34"/>
        <v>OPPG</v>
      </c>
      <c r="B1125">
        <f t="shared" si="35"/>
        <v>4818</v>
      </c>
      <c r="D1125" s="1"/>
      <c r="E1125" s="1" t="s">
        <v>104</v>
      </c>
      <c r="F1125" s="1">
        <v>98</v>
      </c>
      <c r="G1125" s="1">
        <v>2</v>
      </c>
      <c r="H1125" s="1">
        <v>69.599999999999994</v>
      </c>
      <c r="I1125" s="1"/>
      <c r="J1125" s="1"/>
    </row>
    <row r="1126" spans="1:10" x14ac:dyDescent="0.3">
      <c r="A1126" t="str">
        <f t="shared" si="34"/>
        <v>OPPG</v>
      </c>
      <c r="B1126">
        <f t="shared" si="35"/>
        <v>7218</v>
      </c>
      <c r="D1126" s="1"/>
      <c r="E1126" s="1" t="s">
        <v>116</v>
      </c>
      <c r="F1126" s="1">
        <v>100</v>
      </c>
      <c r="G1126" s="1">
        <v>7</v>
      </c>
      <c r="H1126" s="1">
        <v>69.599999999999994</v>
      </c>
      <c r="I1126" s="1"/>
      <c r="J1126" s="1"/>
    </row>
    <row r="1127" spans="1:10" x14ac:dyDescent="0.3">
      <c r="A1127" t="str">
        <f t="shared" si="34"/>
        <v>OPPG</v>
      </c>
      <c r="B1127">
        <f t="shared" si="35"/>
        <v>3318</v>
      </c>
      <c r="D1127" s="1"/>
      <c r="E1127" s="1" t="s">
        <v>91</v>
      </c>
      <c r="F1127" s="1">
        <v>103</v>
      </c>
      <c r="G1127" s="1">
        <v>4</v>
      </c>
      <c r="H1127" s="1">
        <v>69.8</v>
      </c>
      <c r="I1127" s="1"/>
      <c r="J1127" s="1"/>
    </row>
    <row r="1128" spans="1:10" x14ac:dyDescent="0.3">
      <c r="A1128" t="str">
        <f t="shared" si="34"/>
        <v>OPPG</v>
      </c>
      <c r="B1128">
        <f t="shared" si="35"/>
        <v>3918</v>
      </c>
      <c r="D1128" s="1"/>
      <c r="E1128" s="1" t="s">
        <v>88</v>
      </c>
      <c r="F1128" s="1">
        <v>104</v>
      </c>
      <c r="G1128" s="1">
        <v>8</v>
      </c>
      <c r="H1128" s="1">
        <v>69.900000000000006</v>
      </c>
      <c r="I1128" s="1"/>
      <c r="J1128" s="1"/>
    </row>
    <row r="1129" spans="1:10" x14ac:dyDescent="0.3">
      <c r="A1129" t="str">
        <f t="shared" si="34"/>
        <v>OPPG</v>
      </c>
      <c r="B1129">
        <f t="shared" si="35"/>
        <v>3118</v>
      </c>
      <c r="D1129" s="1"/>
      <c r="E1129" s="1" t="s">
        <v>93</v>
      </c>
      <c r="F1129" s="1">
        <v>105</v>
      </c>
      <c r="G1129" s="1">
        <v>5</v>
      </c>
      <c r="H1129" s="1">
        <v>69.900000000000006</v>
      </c>
      <c r="I1129" s="1"/>
      <c r="J1129" s="1"/>
    </row>
    <row r="1130" spans="1:10" x14ac:dyDescent="0.3">
      <c r="A1130" t="str">
        <f t="shared" si="34"/>
        <v>OPPG</v>
      </c>
      <c r="B1130">
        <f t="shared" si="35"/>
        <v>2718</v>
      </c>
      <c r="D1130" s="1"/>
      <c r="E1130" s="1" t="s">
        <v>7</v>
      </c>
      <c r="F1130" s="1">
        <v>108</v>
      </c>
      <c r="G1130" s="1">
        <v>9</v>
      </c>
      <c r="H1130" s="1">
        <v>69.900000000000006</v>
      </c>
      <c r="I1130" s="1"/>
      <c r="J1130" s="1"/>
    </row>
    <row r="1131" spans="1:10" x14ac:dyDescent="0.3">
      <c r="A1131" t="str">
        <f t="shared" si="34"/>
        <v>OPPG</v>
      </c>
      <c r="B1131">
        <f t="shared" si="35"/>
        <v>4218</v>
      </c>
      <c r="D1131" s="1"/>
      <c r="E1131" s="1" t="s">
        <v>123</v>
      </c>
      <c r="F1131" s="1">
        <v>110</v>
      </c>
      <c r="G1131" s="1">
        <v>6</v>
      </c>
      <c r="H1131" s="1">
        <v>70</v>
      </c>
      <c r="I1131" s="1"/>
      <c r="J1131" s="1"/>
    </row>
    <row r="1132" spans="1:10" x14ac:dyDescent="0.3">
      <c r="A1132" t="str">
        <f t="shared" si="34"/>
        <v>OPPG</v>
      </c>
      <c r="B1132">
        <f t="shared" si="35"/>
        <v>9518</v>
      </c>
      <c r="D1132" s="1"/>
      <c r="E1132" s="1" t="s">
        <v>85</v>
      </c>
      <c r="F1132" s="1">
        <v>119</v>
      </c>
      <c r="G1132" s="1">
        <v>5</v>
      </c>
      <c r="H1132" s="1">
        <v>70.400000000000006</v>
      </c>
      <c r="I1132" s="1"/>
      <c r="J1132" s="1"/>
    </row>
    <row r="1133" spans="1:10" x14ac:dyDescent="0.3">
      <c r="A1133" t="str">
        <f t="shared" si="34"/>
        <v>OPPG</v>
      </c>
      <c r="B1133">
        <f t="shared" si="35"/>
        <v>4918</v>
      </c>
      <c r="D1133" s="1"/>
      <c r="E1133" s="1" t="s">
        <v>108</v>
      </c>
      <c r="F1133" s="1">
        <v>121</v>
      </c>
      <c r="G1133" s="1">
        <v>5</v>
      </c>
      <c r="H1133" s="1">
        <v>70.5</v>
      </c>
      <c r="I1133" s="1"/>
      <c r="J1133" s="1"/>
    </row>
    <row r="1134" spans="1:10" x14ac:dyDescent="0.3">
      <c r="A1134" t="str">
        <f t="shared" si="34"/>
        <v>OPPG</v>
      </c>
      <c r="B1134">
        <f t="shared" si="35"/>
        <v>4718</v>
      </c>
      <c r="D1134" s="1"/>
      <c r="E1134" s="1" t="s">
        <v>107</v>
      </c>
      <c r="F1134" s="1">
        <v>129</v>
      </c>
      <c r="G1134" s="1">
        <v>6</v>
      </c>
      <c r="H1134" s="1">
        <v>70.7</v>
      </c>
      <c r="I1134" s="1"/>
      <c r="J1134" s="1"/>
    </row>
    <row r="1135" spans="1:10" x14ac:dyDescent="0.3">
      <c r="A1135" t="str">
        <f t="shared" si="34"/>
        <v>OPPG</v>
      </c>
      <c r="B1135">
        <f t="shared" si="35"/>
        <v>7318</v>
      </c>
      <c r="D1135" s="1"/>
      <c r="E1135" s="1" t="s">
        <v>111</v>
      </c>
      <c r="F1135" s="1">
        <v>132</v>
      </c>
      <c r="G1135" s="1">
        <v>8</v>
      </c>
      <c r="H1135" s="1">
        <v>70.900000000000006</v>
      </c>
      <c r="I1135" s="1"/>
      <c r="J1135" s="1"/>
    </row>
    <row r="1136" spans="1:10" x14ac:dyDescent="0.3">
      <c r="A1136" t="str">
        <f t="shared" si="34"/>
        <v>OPPG</v>
      </c>
      <c r="B1136">
        <f t="shared" si="35"/>
        <v>3218</v>
      </c>
      <c r="D1136" s="1"/>
      <c r="E1136" s="1" t="s">
        <v>127</v>
      </c>
      <c r="F1136" s="1">
        <v>146</v>
      </c>
      <c r="G1136" s="1">
        <v>11</v>
      </c>
      <c r="H1136" s="1">
        <v>71.099999999999994</v>
      </c>
      <c r="I1136" s="1"/>
      <c r="J1136" s="1"/>
    </row>
    <row r="1137" spans="1:10" x14ac:dyDescent="0.3">
      <c r="A1137" t="str">
        <f t="shared" si="34"/>
        <v>OPPG</v>
      </c>
      <c r="B1137">
        <f t="shared" si="35"/>
        <v>1718</v>
      </c>
      <c r="D1137" s="1"/>
      <c r="E1137" s="1" t="s">
        <v>133</v>
      </c>
      <c r="F1137" s="1">
        <v>148</v>
      </c>
      <c r="G1137" s="1">
        <v>2</v>
      </c>
      <c r="H1137" s="1">
        <v>71.099999999999994</v>
      </c>
      <c r="I1137" s="1"/>
      <c r="J1137" s="1"/>
    </row>
    <row r="1138" spans="1:10" x14ac:dyDescent="0.3">
      <c r="A1138" t="str">
        <f t="shared" si="34"/>
        <v>OPPG</v>
      </c>
      <c r="B1138">
        <f t="shared" si="35"/>
        <v>4018</v>
      </c>
      <c r="D1138" s="1"/>
      <c r="E1138" s="1" t="s">
        <v>105</v>
      </c>
      <c r="F1138" s="1">
        <v>150</v>
      </c>
      <c r="G1138" s="1">
        <v>8</v>
      </c>
      <c r="H1138" s="1">
        <v>71.2</v>
      </c>
      <c r="I1138" s="1"/>
      <c r="J1138" s="1"/>
    </row>
    <row r="1139" spans="1:10" x14ac:dyDescent="0.3">
      <c r="A1139" t="str">
        <f t="shared" si="34"/>
        <v>OPPG</v>
      </c>
      <c r="B1139">
        <f t="shared" si="35"/>
        <v>1418</v>
      </c>
      <c r="D1139" s="1"/>
      <c r="E1139" s="1" t="s">
        <v>102</v>
      </c>
      <c r="F1139" s="1">
        <v>155</v>
      </c>
      <c r="G1139" s="1">
        <v>7</v>
      </c>
      <c r="H1139" s="1">
        <v>71.3</v>
      </c>
      <c r="I1139" s="1"/>
      <c r="J1139" s="1"/>
    </row>
    <row r="1140" spans="1:10" x14ac:dyDescent="0.3">
      <c r="A1140" t="str">
        <f t="shared" si="34"/>
        <v>OPPG</v>
      </c>
      <c r="B1140">
        <f t="shared" si="35"/>
        <v>6318</v>
      </c>
      <c r="D1140" s="1"/>
      <c r="E1140" s="1" t="s">
        <v>122</v>
      </c>
      <c r="F1140" s="1">
        <v>164</v>
      </c>
      <c r="G1140" s="1">
        <v>3</v>
      </c>
      <c r="H1140" s="1">
        <v>71.7</v>
      </c>
      <c r="I1140" s="1"/>
      <c r="J1140" s="1"/>
    </row>
    <row r="1141" spans="1:10" x14ac:dyDescent="0.3">
      <c r="A1141" t="str">
        <f t="shared" si="34"/>
        <v>OPPG</v>
      </c>
      <c r="B1141">
        <f t="shared" si="35"/>
        <v>5618</v>
      </c>
      <c r="D1141" s="1"/>
      <c r="E1141" s="1" t="s">
        <v>62</v>
      </c>
      <c r="F1141" s="1">
        <v>165</v>
      </c>
      <c r="G1141" s="1">
        <v>12</v>
      </c>
      <c r="H1141" s="1">
        <v>71.7</v>
      </c>
      <c r="I1141" s="1"/>
      <c r="J1141" s="1"/>
    </row>
    <row r="1142" spans="1:10" x14ac:dyDescent="0.3">
      <c r="A1142" t="str">
        <f t="shared" si="34"/>
        <v>OPPG</v>
      </c>
      <c r="B1142">
        <f t="shared" si="35"/>
        <v>1918</v>
      </c>
      <c r="D1142" s="1"/>
      <c r="E1142" s="1" t="s">
        <v>112</v>
      </c>
      <c r="F1142" s="1">
        <v>167</v>
      </c>
      <c r="G1142" s="1">
        <v>9</v>
      </c>
      <c r="H1142" s="1">
        <v>71.8</v>
      </c>
      <c r="I1142" s="1"/>
      <c r="J1142" s="1"/>
    </row>
    <row r="1143" spans="1:10" x14ac:dyDescent="0.3">
      <c r="A1143" t="str">
        <f t="shared" si="34"/>
        <v>OPPG</v>
      </c>
      <c r="B1143">
        <f t="shared" si="35"/>
        <v>3618</v>
      </c>
      <c r="D1143" s="1"/>
      <c r="E1143" s="1" t="s">
        <v>129</v>
      </c>
      <c r="F1143" s="1">
        <v>179</v>
      </c>
      <c r="G1143" s="1">
        <v>5</v>
      </c>
      <c r="H1143" s="1">
        <v>72</v>
      </c>
      <c r="I1143" s="1"/>
      <c r="J1143" s="1"/>
    </row>
    <row r="1144" spans="1:10" x14ac:dyDescent="0.3">
      <c r="A1144" t="str">
        <f t="shared" si="34"/>
        <v>OPPG</v>
      </c>
      <c r="B1144">
        <f t="shared" si="35"/>
        <v>2918</v>
      </c>
      <c r="D1144" s="1"/>
      <c r="E1144" s="1" t="s">
        <v>96</v>
      </c>
      <c r="F1144" s="1">
        <v>181</v>
      </c>
      <c r="G1144" s="1">
        <v>4</v>
      </c>
      <c r="H1144" s="1">
        <v>72.099999999999994</v>
      </c>
      <c r="I1144" s="1"/>
      <c r="J1144" s="1"/>
    </row>
    <row r="1145" spans="1:10" x14ac:dyDescent="0.3">
      <c r="A1145" t="str">
        <f t="shared" si="34"/>
        <v>OPPG</v>
      </c>
      <c r="B1145">
        <f t="shared" si="35"/>
        <v>6918</v>
      </c>
      <c r="D1145" s="1"/>
      <c r="E1145" s="1" t="s">
        <v>114</v>
      </c>
      <c r="F1145" s="1">
        <v>189</v>
      </c>
      <c r="G1145" s="1">
        <v>5</v>
      </c>
      <c r="H1145" s="1">
        <v>72.3</v>
      </c>
      <c r="I1145" s="1"/>
      <c r="J1145" s="1"/>
    </row>
    <row r="1146" spans="1:10" x14ac:dyDescent="0.3">
      <c r="A1146" t="str">
        <f t="shared" si="34"/>
        <v>OPPG</v>
      </c>
      <c r="B1146">
        <f t="shared" si="35"/>
        <v>8018</v>
      </c>
      <c r="D1146" s="1"/>
      <c r="E1146" s="1" t="s">
        <v>117</v>
      </c>
      <c r="F1146" s="1">
        <v>216</v>
      </c>
      <c r="G1146" s="1">
        <v>5</v>
      </c>
      <c r="H1146" s="1">
        <v>73.2</v>
      </c>
      <c r="I1146" s="1"/>
      <c r="J1146" s="1"/>
    </row>
    <row r="1147" spans="1:10" x14ac:dyDescent="0.3">
      <c r="A1147" t="str">
        <f t="shared" si="34"/>
        <v>OPPG</v>
      </c>
      <c r="B1147">
        <f t="shared" si="35"/>
        <v>11318</v>
      </c>
      <c r="D1147" s="1"/>
      <c r="E1147" s="1" t="s">
        <v>126</v>
      </c>
      <c r="F1147" s="1">
        <v>223</v>
      </c>
      <c r="G1147" s="1">
        <v>4</v>
      </c>
      <c r="H1147" s="1">
        <v>73.3</v>
      </c>
      <c r="I1147" s="1"/>
      <c r="J1147" s="1"/>
    </row>
    <row r="1148" spans="1:10" x14ac:dyDescent="0.3">
      <c r="A1148" t="str">
        <f t="shared" si="34"/>
        <v>OPPG</v>
      </c>
      <c r="B1148">
        <f t="shared" si="35"/>
        <v>4318</v>
      </c>
      <c r="D1148" s="1"/>
      <c r="E1148" s="1" t="s">
        <v>125</v>
      </c>
      <c r="F1148" s="1">
        <v>224</v>
      </c>
      <c r="G1148" s="1">
        <v>10</v>
      </c>
      <c r="H1148" s="1">
        <v>73.3</v>
      </c>
      <c r="I1148" s="1"/>
      <c r="J1148" s="1"/>
    </row>
    <row r="1149" spans="1:10" x14ac:dyDescent="0.3">
      <c r="A1149" t="str">
        <f t="shared" si="34"/>
        <v>OPPG</v>
      </c>
      <c r="B1149">
        <f t="shared" si="35"/>
        <v>2218</v>
      </c>
      <c r="D1149" s="1"/>
      <c r="E1149" s="1" t="s">
        <v>119</v>
      </c>
      <c r="F1149" s="1">
        <v>225</v>
      </c>
      <c r="G1149" s="1">
        <v>8</v>
      </c>
      <c r="H1149" s="1">
        <v>73.400000000000006</v>
      </c>
      <c r="I1149" s="1"/>
      <c r="J1149" s="1"/>
    </row>
    <row r="1150" spans="1:10" x14ac:dyDescent="0.3">
      <c r="A1150" t="str">
        <f t="shared" si="34"/>
        <v>OPPG</v>
      </c>
      <c r="B1150">
        <f t="shared" si="35"/>
        <v>11518</v>
      </c>
      <c r="D1150" s="1"/>
      <c r="E1150" s="1" t="s">
        <v>97</v>
      </c>
      <c r="F1150" s="1">
        <v>230</v>
      </c>
      <c r="G1150" s="1">
        <v>11</v>
      </c>
      <c r="H1150" s="1">
        <v>73.599999999999994</v>
      </c>
      <c r="I1150" s="1"/>
      <c r="J1150" s="1"/>
    </row>
    <row r="1151" spans="1:10" x14ac:dyDescent="0.3">
      <c r="A1151" t="str">
        <f t="shared" si="34"/>
        <v>OPPG</v>
      </c>
      <c r="B1151">
        <f t="shared" si="35"/>
        <v>8818</v>
      </c>
      <c r="D1151" s="1"/>
      <c r="E1151" s="1" t="s">
        <v>141</v>
      </c>
      <c r="F1151" s="1">
        <v>246</v>
      </c>
      <c r="G1151" s="1">
        <v>6</v>
      </c>
      <c r="H1151" s="1">
        <v>74.3</v>
      </c>
      <c r="I1151" s="1"/>
      <c r="J1151" s="1"/>
    </row>
    <row r="1152" spans="1:10" x14ac:dyDescent="0.3">
      <c r="A1152" t="str">
        <f t="shared" si="34"/>
        <v>OPPG</v>
      </c>
      <c r="B1152">
        <f t="shared" si="35"/>
        <v>12118</v>
      </c>
      <c r="D1152" s="1"/>
      <c r="E1152" s="1" t="s">
        <v>140</v>
      </c>
      <c r="F1152" s="1">
        <v>252</v>
      </c>
      <c r="G1152" s="1">
        <v>8</v>
      </c>
      <c r="H1152" s="1">
        <v>74.400000000000006</v>
      </c>
      <c r="I1152" s="1"/>
      <c r="J1152" s="1"/>
    </row>
    <row r="1153" spans="1:10" x14ac:dyDescent="0.3">
      <c r="A1153" t="str">
        <f t="shared" si="34"/>
        <v>OPPG</v>
      </c>
      <c r="B1153">
        <f t="shared" si="35"/>
        <v>12018</v>
      </c>
      <c r="D1153" s="1"/>
      <c r="E1153" s="1" t="s">
        <v>135</v>
      </c>
      <c r="F1153" s="1">
        <v>254</v>
      </c>
      <c r="G1153" s="1">
        <v>7</v>
      </c>
      <c r="H1153" s="1">
        <v>74.5</v>
      </c>
      <c r="I1153" s="1"/>
      <c r="J1153" s="1"/>
    </row>
    <row r="1154" spans="1:10" x14ac:dyDescent="0.3">
      <c r="A1154" t="str">
        <f t="shared" ref="A1154:A1217" si="36">IF(NOT(D1154=""),INDEX(statAbbr,MATCH(D1154,statOfficial,0),1),A1153)</f>
        <v>OPPG</v>
      </c>
      <c r="B1154">
        <f t="shared" ref="B1154:B1217" si="37">INDEX(statID,MATCH(A1154,statAbbr,0),1)+INDEX(teamID,MATCH(E1154,teamRawName,0))</f>
        <v>9918</v>
      </c>
      <c r="D1154" s="1"/>
      <c r="E1154" s="1" t="s">
        <v>113</v>
      </c>
      <c r="F1154" s="1">
        <v>256</v>
      </c>
      <c r="G1154" s="1">
        <v>8</v>
      </c>
      <c r="H1154" s="1">
        <v>74.5</v>
      </c>
      <c r="I1154" s="1"/>
      <c r="J1154" s="1"/>
    </row>
    <row r="1155" spans="1:10" x14ac:dyDescent="0.3">
      <c r="A1155" t="str">
        <f t="shared" si="36"/>
        <v>OPPG</v>
      </c>
      <c r="B1155">
        <f t="shared" si="37"/>
        <v>12718</v>
      </c>
      <c r="D1155" s="1"/>
      <c r="E1155" s="1" t="s">
        <v>13</v>
      </c>
      <c r="F1155" s="1">
        <v>266</v>
      </c>
      <c r="G1155" s="1">
        <v>10</v>
      </c>
      <c r="H1155" s="1">
        <v>75.099999999999994</v>
      </c>
      <c r="I1155" s="1"/>
      <c r="J1155" s="1"/>
    </row>
    <row r="1156" spans="1:10" x14ac:dyDescent="0.3">
      <c r="A1156" t="str">
        <f t="shared" si="36"/>
        <v>OPPG</v>
      </c>
      <c r="B1156">
        <f t="shared" si="37"/>
        <v>12418</v>
      </c>
      <c r="D1156" s="1"/>
      <c r="E1156" s="1" t="s">
        <v>128</v>
      </c>
      <c r="F1156" s="1">
        <v>287</v>
      </c>
      <c r="G1156" s="1">
        <v>10</v>
      </c>
      <c r="H1156" s="1">
        <v>76</v>
      </c>
      <c r="I1156" s="1"/>
      <c r="J1156" s="1"/>
    </row>
    <row r="1157" spans="1:10" x14ac:dyDescent="0.3">
      <c r="A1157" t="str">
        <f t="shared" si="36"/>
        <v>OPPG</v>
      </c>
      <c r="B1157">
        <f t="shared" si="37"/>
        <v>5718</v>
      </c>
      <c r="D1157" s="1"/>
      <c r="E1157" s="1" t="s">
        <v>120</v>
      </c>
      <c r="F1157" s="1">
        <v>327</v>
      </c>
      <c r="G1157" s="1">
        <v>11</v>
      </c>
      <c r="H1157" s="1">
        <v>79.2</v>
      </c>
      <c r="I1157" s="1"/>
      <c r="J1157" s="1"/>
    </row>
    <row r="1158" spans="1:10" x14ac:dyDescent="0.3">
      <c r="A1158" t="str">
        <f t="shared" si="36"/>
        <v>OPPG</v>
      </c>
      <c r="B1158">
        <f t="shared" si="37"/>
        <v>5518</v>
      </c>
      <c r="D1158" s="1"/>
      <c r="E1158" s="1" t="s">
        <v>86</v>
      </c>
      <c r="F1158" s="1">
        <v>334</v>
      </c>
      <c r="G1158" s="1">
        <v>12</v>
      </c>
      <c r="H1158" s="1">
        <v>79.7</v>
      </c>
      <c r="I1158" s="1"/>
      <c r="J1158" s="1"/>
    </row>
    <row r="1159" spans="1:10" x14ac:dyDescent="0.3">
      <c r="A1159" t="str">
        <f t="shared" si="36"/>
        <v>OPPG</v>
      </c>
      <c r="B1159">
        <f t="shared" si="37"/>
        <v>3718</v>
      </c>
      <c r="D1159" s="1"/>
      <c r="E1159" s="1" t="s">
        <v>115</v>
      </c>
      <c r="F1159" s="1">
        <v>347</v>
      </c>
      <c r="G1159" s="1">
        <v>14</v>
      </c>
      <c r="H1159" s="1">
        <v>81.2</v>
      </c>
      <c r="I1159" s="1"/>
      <c r="J1159" s="1"/>
    </row>
    <row r="1160" spans="1:10" x14ac:dyDescent="0.3">
      <c r="A1160" t="str">
        <f t="shared" si="36"/>
        <v>SM</v>
      </c>
      <c r="B1160">
        <f t="shared" si="37"/>
        <v>2323</v>
      </c>
      <c r="D1160" s="1" t="s">
        <v>168</v>
      </c>
      <c r="E1160" s="1" t="s">
        <v>79</v>
      </c>
      <c r="F1160" s="1">
        <v>1</v>
      </c>
      <c r="G1160" s="1">
        <v>1</v>
      </c>
      <c r="H1160" s="1">
        <v>18</v>
      </c>
      <c r="I1160" s="1" t="s">
        <v>79</v>
      </c>
      <c r="J1160" s="1">
        <v>18</v>
      </c>
    </row>
    <row r="1161" spans="1:10" x14ac:dyDescent="0.3">
      <c r="A1161" t="str">
        <f t="shared" si="36"/>
        <v>SM</v>
      </c>
      <c r="B1161">
        <f t="shared" si="37"/>
        <v>223</v>
      </c>
      <c r="D1161" s="1"/>
      <c r="E1161" s="1" t="s">
        <v>98</v>
      </c>
      <c r="F1161" s="1">
        <v>2</v>
      </c>
      <c r="G1161" s="1">
        <v>1</v>
      </c>
      <c r="H1161" s="1">
        <v>17.7</v>
      </c>
      <c r="I1161" s="1"/>
      <c r="J1161" s="1"/>
    </row>
    <row r="1162" spans="1:10" x14ac:dyDescent="0.3">
      <c r="A1162" t="str">
        <f t="shared" si="36"/>
        <v>SM</v>
      </c>
      <c r="B1162">
        <f t="shared" si="37"/>
        <v>2823</v>
      </c>
      <c r="D1162" s="1"/>
      <c r="E1162" s="1" t="s">
        <v>106</v>
      </c>
      <c r="F1162" s="1">
        <v>3</v>
      </c>
      <c r="G1162" s="1">
        <v>1</v>
      </c>
      <c r="H1162" s="1">
        <v>15.9</v>
      </c>
      <c r="I1162" s="1"/>
      <c r="J1162" s="1"/>
    </row>
    <row r="1163" spans="1:10" x14ac:dyDescent="0.3">
      <c r="A1163" t="str">
        <f t="shared" si="36"/>
        <v>SM</v>
      </c>
      <c r="B1163">
        <f t="shared" si="37"/>
        <v>4423</v>
      </c>
      <c r="D1163" s="1"/>
      <c r="E1163" s="1" t="s">
        <v>83</v>
      </c>
      <c r="F1163" s="1">
        <v>4</v>
      </c>
      <c r="G1163" s="1">
        <v>1</v>
      </c>
      <c r="H1163" s="1">
        <v>15.4</v>
      </c>
      <c r="I1163" s="1"/>
      <c r="J1163" s="1"/>
    </row>
    <row r="1164" spans="1:10" x14ac:dyDescent="0.3">
      <c r="A1164" t="str">
        <f t="shared" si="36"/>
        <v>SM</v>
      </c>
      <c r="B1164">
        <f t="shared" si="37"/>
        <v>2923</v>
      </c>
      <c r="D1164" s="1"/>
      <c r="E1164" s="1" t="s">
        <v>96</v>
      </c>
      <c r="F1164" s="1">
        <v>5</v>
      </c>
      <c r="G1164" s="1">
        <v>1</v>
      </c>
      <c r="H1164" s="1">
        <v>15.1</v>
      </c>
      <c r="I1164" s="1"/>
      <c r="J1164" s="1"/>
    </row>
    <row r="1165" spans="1:10" x14ac:dyDescent="0.3">
      <c r="A1165" t="str">
        <f t="shared" si="36"/>
        <v>SM</v>
      </c>
      <c r="B1165">
        <f t="shared" si="37"/>
        <v>4523</v>
      </c>
      <c r="D1165" s="1"/>
      <c r="E1165" s="1" t="s">
        <v>84</v>
      </c>
      <c r="F1165" s="1">
        <v>6</v>
      </c>
      <c r="G1165" s="1">
        <v>1</v>
      </c>
      <c r="H1165" s="1">
        <v>14.8</v>
      </c>
      <c r="I1165" s="1"/>
      <c r="J1165" s="1"/>
    </row>
    <row r="1166" spans="1:10" x14ac:dyDescent="0.3">
      <c r="A1166" t="str">
        <f t="shared" si="36"/>
        <v>SM</v>
      </c>
      <c r="B1166">
        <f t="shared" si="37"/>
        <v>2523</v>
      </c>
      <c r="D1166" s="1"/>
      <c r="E1166" s="1" t="s">
        <v>92</v>
      </c>
      <c r="F1166" s="1">
        <v>7</v>
      </c>
      <c r="G1166" s="1">
        <v>2</v>
      </c>
      <c r="H1166" s="1">
        <v>14.8</v>
      </c>
      <c r="I1166" s="1"/>
      <c r="J1166" s="1"/>
    </row>
    <row r="1167" spans="1:10" x14ac:dyDescent="0.3">
      <c r="A1167" t="str">
        <f t="shared" si="36"/>
        <v>SM</v>
      </c>
      <c r="B1167">
        <f t="shared" si="37"/>
        <v>623</v>
      </c>
      <c r="D1167" s="1"/>
      <c r="E1167" s="1" t="s">
        <v>100</v>
      </c>
      <c r="F1167" s="1">
        <v>8</v>
      </c>
      <c r="G1167" s="1">
        <v>2</v>
      </c>
      <c r="H1167" s="1">
        <v>13.8</v>
      </c>
      <c r="I1167" s="1"/>
      <c r="J1167" s="1"/>
    </row>
    <row r="1168" spans="1:10" x14ac:dyDescent="0.3">
      <c r="A1168" t="str">
        <f t="shared" si="36"/>
        <v>SM</v>
      </c>
      <c r="B1168">
        <f t="shared" si="37"/>
        <v>4823</v>
      </c>
      <c r="D1168" s="1"/>
      <c r="E1168" s="1" t="s">
        <v>104</v>
      </c>
      <c r="F1168" s="1">
        <v>9</v>
      </c>
      <c r="G1168" s="1">
        <v>1</v>
      </c>
      <c r="H1168" s="1">
        <v>13.6</v>
      </c>
      <c r="I1168" s="1"/>
      <c r="J1168" s="1"/>
    </row>
    <row r="1169" spans="1:10" x14ac:dyDescent="0.3">
      <c r="A1169" t="str">
        <f t="shared" si="36"/>
        <v>SM</v>
      </c>
      <c r="B1169">
        <f t="shared" si="37"/>
        <v>3023</v>
      </c>
      <c r="D1169" s="1"/>
      <c r="E1169" s="1" t="s">
        <v>89</v>
      </c>
      <c r="F1169" s="1">
        <v>10</v>
      </c>
      <c r="G1169" s="1">
        <v>1</v>
      </c>
      <c r="H1169" s="1">
        <v>13.4</v>
      </c>
      <c r="I1169" s="1"/>
      <c r="J1169" s="1"/>
    </row>
    <row r="1170" spans="1:10" x14ac:dyDescent="0.3">
      <c r="A1170" t="str">
        <f t="shared" si="36"/>
        <v>SM</v>
      </c>
      <c r="B1170">
        <f t="shared" si="37"/>
        <v>5423</v>
      </c>
      <c r="D1170" s="1"/>
      <c r="E1170" s="1" t="s">
        <v>94</v>
      </c>
      <c r="F1170" s="1">
        <v>11</v>
      </c>
      <c r="G1170" s="1">
        <v>1</v>
      </c>
      <c r="H1170" s="1">
        <v>12.3</v>
      </c>
      <c r="I1170" s="1"/>
      <c r="J1170" s="1"/>
    </row>
    <row r="1171" spans="1:10" x14ac:dyDescent="0.3">
      <c r="A1171" t="str">
        <f t="shared" si="36"/>
        <v>SM</v>
      </c>
      <c r="B1171">
        <f t="shared" si="37"/>
        <v>5823</v>
      </c>
      <c r="D1171" s="1"/>
      <c r="E1171" s="1" t="s">
        <v>139</v>
      </c>
      <c r="F1171" s="1">
        <v>12</v>
      </c>
      <c r="G1171" s="1">
        <v>1</v>
      </c>
      <c r="H1171" s="1">
        <v>12.1</v>
      </c>
      <c r="I1171" s="1"/>
      <c r="J1171" s="1"/>
    </row>
    <row r="1172" spans="1:10" x14ac:dyDescent="0.3">
      <c r="A1172" t="str">
        <f t="shared" si="36"/>
        <v>SM</v>
      </c>
      <c r="B1172">
        <f t="shared" si="37"/>
        <v>1523</v>
      </c>
      <c r="D1172" s="1"/>
      <c r="E1172" s="1" t="s">
        <v>124</v>
      </c>
      <c r="F1172" s="1">
        <v>13</v>
      </c>
      <c r="G1172" s="1">
        <v>1</v>
      </c>
      <c r="H1172" s="1">
        <v>11.9</v>
      </c>
      <c r="I1172" s="1"/>
      <c r="J1172" s="1"/>
    </row>
    <row r="1173" spans="1:10" x14ac:dyDescent="0.3">
      <c r="A1173" t="str">
        <f t="shared" si="36"/>
        <v>SM</v>
      </c>
      <c r="B1173">
        <f t="shared" si="37"/>
        <v>9923</v>
      </c>
      <c r="D1173" s="1"/>
      <c r="E1173" s="1" t="s">
        <v>113</v>
      </c>
      <c r="F1173" s="1">
        <v>15</v>
      </c>
      <c r="G1173" s="1">
        <v>1</v>
      </c>
      <c r="H1173" s="1">
        <v>11.6</v>
      </c>
      <c r="I1173" s="1"/>
      <c r="J1173" s="1"/>
    </row>
    <row r="1174" spans="1:10" x14ac:dyDescent="0.3">
      <c r="A1174" t="str">
        <f t="shared" si="36"/>
        <v>SM</v>
      </c>
      <c r="B1174">
        <f t="shared" si="37"/>
        <v>2723</v>
      </c>
      <c r="D1174" s="1"/>
      <c r="E1174" s="1" t="s">
        <v>7</v>
      </c>
      <c r="F1174" s="1">
        <v>16</v>
      </c>
      <c r="G1174" s="1">
        <v>3</v>
      </c>
      <c r="H1174" s="1">
        <v>11.5</v>
      </c>
      <c r="I1174" s="1"/>
      <c r="J1174" s="1"/>
    </row>
    <row r="1175" spans="1:10" x14ac:dyDescent="0.3">
      <c r="A1175" t="str">
        <f t="shared" si="36"/>
        <v>SM</v>
      </c>
      <c r="B1175">
        <f t="shared" si="37"/>
        <v>4923</v>
      </c>
      <c r="D1175" s="1"/>
      <c r="E1175" s="1" t="s">
        <v>108</v>
      </c>
      <c r="F1175" s="1">
        <v>17</v>
      </c>
      <c r="G1175" s="1">
        <v>2</v>
      </c>
      <c r="H1175" s="1">
        <v>11.5</v>
      </c>
      <c r="I1175" s="1"/>
      <c r="J1175" s="1"/>
    </row>
    <row r="1176" spans="1:10" x14ac:dyDescent="0.3">
      <c r="A1176" t="str">
        <f t="shared" si="36"/>
        <v>SM</v>
      </c>
      <c r="B1176">
        <f t="shared" si="37"/>
        <v>3523</v>
      </c>
      <c r="D1176" s="1"/>
      <c r="E1176" s="1" t="s">
        <v>87</v>
      </c>
      <c r="F1176" s="1">
        <v>18</v>
      </c>
      <c r="G1176" s="1">
        <v>2</v>
      </c>
      <c r="H1176" s="1">
        <v>11.4</v>
      </c>
      <c r="I1176" s="1"/>
      <c r="J1176" s="1"/>
    </row>
    <row r="1177" spans="1:10" x14ac:dyDescent="0.3">
      <c r="A1177" t="str">
        <f t="shared" si="36"/>
        <v>SM</v>
      </c>
      <c r="B1177">
        <f t="shared" si="37"/>
        <v>3123</v>
      </c>
      <c r="D1177" s="1"/>
      <c r="E1177" s="1" t="s">
        <v>93</v>
      </c>
      <c r="F1177" s="1">
        <v>21</v>
      </c>
      <c r="G1177" s="1">
        <v>2</v>
      </c>
      <c r="H1177" s="1">
        <v>10.5</v>
      </c>
      <c r="I1177" s="1"/>
      <c r="J1177" s="1"/>
    </row>
    <row r="1178" spans="1:10" x14ac:dyDescent="0.3">
      <c r="A1178" t="str">
        <f t="shared" si="36"/>
        <v>SM</v>
      </c>
      <c r="B1178">
        <f t="shared" si="37"/>
        <v>4723</v>
      </c>
      <c r="D1178" s="1"/>
      <c r="E1178" s="1" t="s">
        <v>107</v>
      </c>
      <c r="F1178" s="1">
        <v>23</v>
      </c>
      <c r="G1178" s="1">
        <v>1</v>
      </c>
      <c r="H1178" s="1">
        <v>10.3</v>
      </c>
      <c r="I1178" s="1"/>
      <c r="J1178" s="1"/>
    </row>
    <row r="1179" spans="1:10" x14ac:dyDescent="0.3">
      <c r="A1179" t="str">
        <f t="shared" si="36"/>
        <v>SM</v>
      </c>
      <c r="B1179">
        <f t="shared" si="37"/>
        <v>4323</v>
      </c>
      <c r="D1179" s="1"/>
      <c r="E1179" s="1" t="s">
        <v>125</v>
      </c>
      <c r="F1179" s="1">
        <v>26</v>
      </c>
      <c r="G1179" s="1">
        <v>2</v>
      </c>
      <c r="H1179" s="1">
        <v>10</v>
      </c>
      <c r="I1179" s="1"/>
      <c r="J1179" s="1"/>
    </row>
    <row r="1180" spans="1:10" x14ac:dyDescent="0.3">
      <c r="A1180" t="str">
        <f t="shared" si="36"/>
        <v>SM</v>
      </c>
      <c r="B1180">
        <f t="shared" si="37"/>
        <v>9523</v>
      </c>
      <c r="D1180" s="1"/>
      <c r="E1180" s="1" t="s">
        <v>85</v>
      </c>
      <c r="F1180" s="1">
        <v>27</v>
      </c>
      <c r="G1180" s="1">
        <v>2</v>
      </c>
      <c r="H1180" s="1">
        <v>9.5</v>
      </c>
      <c r="I1180" s="1"/>
      <c r="J1180" s="1"/>
    </row>
    <row r="1181" spans="1:10" x14ac:dyDescent="0.3">
      <c r="A1181" t="str">
        <f t="shared" si="36"/>
        <v>SM</v>
      </c>
      <c r="B1181">
        <f t="shared" si="37"/>
        <v>5523</v>
      </c>
      <c r="D1181" s="1"/>
      <c r="E1181" s="1" t="s">
        <v>86</v>
      </c>
      <c r="F1181" s="1">
        <v>31</v>
      </c>
      <c r="G1181" s="1">
        <v>3</v>
      </c>
      <c r="H1181" s="1">
        <v>9.3000000000000007</v>
      </c>
      <c r="I1181" s="1"/>
      <c r="J1181" s="1"/>
    </row>
    <row r="1182" spans="1:10" x14ac:dyDescent="0.3">
      <c r="A1182" t="str">
        <f t="shared" si="36"/>
        <v>SM</v>
      </c>
      <c r="B1182">
        <f t="shared" si="37"/>
        <v>3223</v>
      </c>
      <c r="D1182" s="1"/>
      <c r="E1182" s="1" t="s">
        <v>127</v>
      </c>
      <c r="F1182" s="1">
        <v>32</v>
      </c>
      <c r="G1182" s="1">
        <v>4</v>
      </c>
      <c r="H1182" s="1">
        <v>9.3000000000000007</v>
      </c>
      <c r="I1182" s="1"/>
      <c r="J1182" s="1"/>
    </row>
    <row r="1183" spans="1:10" x14ac:dyDescent="0.3">
      <c r="A1183" t="str">
        <f t="shared" si="36"/>
        <v>SM</v>
      </c>
      <c r="B1183">
        <f t="shared" si="37"/>
        <v>4623</v>
      </c>
      <c r="D1183" s="1"/>
      <c r="E1183" s="1" t="s">
        <v>101</v>
      </c>
      <c r="F1183" s="1">
        <v>33</v>
      </c>
      <c r="G1183" s="1">
        <v>2</v>
      </c>
      <c r="H1183" s="1">
        <v>9</v>
      </c>
      <c r="I1183" s="1"/>
      <c r="J1183" s="1"/>
    </row>
    <row r="1184" spans="1:10" x14ac:dyDescent="0.3">
      <c r="A1184" t="str">
        <f t="shared" si="36"/>
        <v>SM</v>
      </c>
      <c r="B1184">
        <f t="shared" si="37"/>
        <v>3723</v>
      </c>
      <c r="D1184" s="1"/>
      <c r="E1184" s="1" t="s">
        <v>115</v>
      </c>
      <c r="F1184" s="1">
        <v>35</v>
      </c>
      <c r="G1184" s="1">
        <v>4</v>
      </c>
      <c r="H1184" s="1">
        <v>8.9</v>
      </c>
      <c r="I1184" s="1"/>
      <c r="J1184" s="1"/>
    </row>
    <row r="1185" spans="1:10" x14ac:dyDescent="0.3">
      <c r="A1185" t="str">
        <f t="shared" si="36"/>
        <v>SM</v>
      </c>
      <c r="B1185">
        <f t="shared" si="37"/>
        <v>2223</v>
      </c>
      <c r="D1185" s="1"/>
      <c r="E1185" s="1" t="s">
        <v>119</v>
      </c>
      <c r="F1185" s="1">
        <v>36</v>
      </c>
      <c r="G1185" s="1">
        <v>1</v>
      </c>
      <c r="H1185" s="1">
        <v>8.6</v>
      </c>
      <c r="I1185" s="1"/>
      <c r="J1185" s="1"/>
    </row>
    <row r="1186" spans="1:10" x14ac:dyDescent="0.3">
      <c r="A1186" t="str">
        <f t="shared" si="36"/>
        <v>SM</v>
      </c>
      <c r="B1186">
        <f t="shared" si="37"/>
        <v>7923</v>
      </c>
      <c r="D1186" s="1"/>
      <c r="E1186" s="1" t="s">
        <v>103</v>
      </c>
      <c r="F1186" s="1">
        <v>37</v>
      </c>
      <c r="G1186" s="1">
        <v>2</v>
      </c>
      <c r="H1186" s="1">
        <v>8.6</v>
      </c>
      <c r="I1186" s="1"/>
      <c r="J1186" s="1"/>
    </row>
    <row r="1187" spans="1:10" x14ac:dyDescent="0.3">
      <c r="A1187" t="str">
        <f t="shared" si="36"/>
        <v>SM</v>
      </c>
      <c r="B1187">
        <f t="shared" si="37"/>
        <v>1423</v>
      </c>
      <c r="D1187" s="1"/>
      <c r="E1187" s="1" t="s">
        <v>102</v>
      </c>
      <c r="F1187" s="1">
        <v>41</v>
      </c>
      <c r="G1187" s="1">
        <v>3</v>
      </c>
      <c r="H1187" s="1">
        <v>8.3000000000000007</v>
      </c>
      <c r="I1187" s="1"/>
      <c r="J1187" s="1"/>
    </row>
    <row r="1188" spans="1:10" x14ac:dyDescent="0.3">
      <c r="A1188" t="str">
        <f t="shared" si="36"/>
        <v>SM</v>
      </c>
      <c r="B1188">
        <f t="shared" si="37"/>
        <v>3323</v>
      </c>
      <c r="D1188" s="1"/>
      <c r="E1188" s="1" t="s">
        <v>91</v>
      </c>
      <c r="F1188" s="1">
        <v>43</v>
      </c>
      <c r="G1188" s="1">
        <v>3</v>
      </c>
      <c r="H1188" s="1">
        <v>8.1999999999999993</v>
      </c>
      <c r="I1188" s="1"/>
      <c r="J1188" s="1"/>
    </row>
    <row r="1189" spans="1:10" x14ac:dyDescent="0.3">
      <c r="A1189" t="str">
        <f t="shared" si="36"/>
        <v>SM</v>
      </c>
      <c r="B1189">
        <f t="shared" si="37"/>
        <v>1323</v>
      </c>
      <c r="D1189" s="1"/>
      <c r="E1189" s="1" t="s">
        <v>82</v>
      </c>
      <c r="F1189" s="1">
        <v>47</v>
      </c>
      <c r="G1189" s="1">
        <v>4</v>
      </c>
      <c r="H1189" s="1">
        <v>7.9</v>
      </c>
      <c r="I1189" s="1"/>
      <c r="J1189" s="1"/>
    </row>
    <row r="1190" spans="1:10" x14ac:dyDescent="0.3">
      <c r="A1190" t="str">
        <f t="shared" si="36"/>
        <v>SM</v>
      </c>
      <c r="B1190">
        <f t="shared" si="37"/>
        <v>2123</v>
      </c>
      <c r="D1190" s="1"/>
      <c r="E1190" s="1" t="s">
        <v>136</v>
      </c>
      <c r="F1190" s="1">
        <v>49</v>
      </c>
      <c r="G1190" s="1">
        <v>5</v>
      </c>
      <c r="H1190" s="1">
        <v>7.8</v>
      </c>
      <c r="I1190" s="1"/>
      <c r="J1190" s="1"/>
    </row>
    <row r="1191" spans="1:10" x14ac:dyDescent="0.3">
      <c r="A1191" t="str">
        <f t="shared" si="36"/>
        <v>SM</v>
      </c>
      <c r="B1191">
        <f t="shared" si="37"/>
        <v>5023</v>
      </c>
      <c r="D1191" s="1"/>
      <c r="E1191" s="1" t="s">
        <v>110</v>
      </c>
      <c r="F1191" s="1">
        <v>50</v>
      </c>
      <c r="G1191" s="1">
        <v>1</v>
      </c>
      <c r="H1191" s="1">
        <v>7.7</v>
      </c>
      <c r="I1191" s="1"/>
      <c r="J1191" s="1"/>
    </row>
    <row r="1192" spans="1:10" x14ac:dyDescent="0.3">
      <c r="A1192" t="str">
        <f t="shared" si="36"/>
        <v>SM</v>
      </c>
      <c r="B1192">
        <f t="shared" si="37"/>
        <v>6323</v>
      </c>
      <c r="D1192" s="1"/>
      <c r="E1192" s="1" t="s">
        <v>122</v>
      </c>
      <c r="F1192" s="1">
        <v>52</v>
      </c>
      <c r="G1192" s="1">
        <v>2</v>
      </c>
      <c r="H1192" s="1">
        <v>7.6</v>
      </c>
      <c r="I1192" s="1"/>
      <c r="J1192" s="1"/>
    </row>
    <row r="1193" spans="1:10" x14ac:dyDescent="0.3">
      <c r="A1193" t="str">
        <f t="shared" si="36"/>
        <v>SM</v>
      </c>
      <c r="B1193">
        <f t="shared" si="37"/>
        <v>8223</v>
      </c>
      <c r="D1193" s="1"/>
      <c r="E1193" s="1" t="s">
        <v>131</v>
      </c>
      <c r="F1193" s="1">
        <v>53</v>
      </c>
      <c r="G1193" s="1">
        <v>1</v>
      </c>
      <c r="H1193" s="1">
        <v>7.5</v>
      </c>
      <c r="I1193" s="1"/>
      <c r="J1193" s="1"/>
    </row>
    <row r="1194" spans="1:10" x14ac:dyDescent="0.3">
      <c r="A1194" t="str">
        <f t="shared" si="36"/>
        <v>SM</v>
      </c>
      <c r="B1194">
        <f t="shared" si="37"/>
        <v>1223</v>
      </c>
      <c r="D1194" s="1"/>
      <c r="E1194" s="1" t="s">
        <v>130</v>
      </c>
      <c r="F1194" s="1">
        <v>54</v>
      </c>
      <c r="G1194" s="1">
        <v>6</v>
      </c>
      <c r="H1194" s="1">
        <v>7.4</v>
      </c>
      <c r="I1194" s="1"/>
      <c r="J1194" s="1"/>
    </row>
    <row r="1195" spans="1:10" x14ac:dyDescent="0.3">
      <c r="A1195" t="str">
        <f t="shared" si="36"/>
        <v>SM</v>
      </c>
      <c r="B1195">
        <f t="shared" si="37"/>
        <v>11523</v>
      </c>
      <c r="D1195" s="1"/>
      <c r="E1195" s="1" t="s">
        <v>97</v>
      </c>
      <c r="F1195" s="1">
        <v>57</v>
      </c>
      <c r="G1195" s="1">
        <v>2</v>
      </c>
      <c r="H1195" s="1">
        <v>7.3</v>
      </c>
      <c r="I1195" s="1"/>
      <c r="J1195" s="1"/>
    </row>
    <row r="1196" spans="1:10" x14ac:dyDescent="0.3">
      <c r="A1196" t="str">
        <f t="shared" si="36"/>
        <v>SM</v>
      </c>
      <c r="B1196">
        <f t="shared" si="37"/>
        <v>8423</v>
      </c>
      <c r="D1196" s="1"/>
      <c r="E1196" s="1" t="s">
        <v>109</v>
      </c>
      <c r="F1196" s="1">
        <v>59</v>
      </c>
      <c r="G1196" s="1">
        <v>1</v>
      </c>
      <c r="H1196" s="1">
        <v>7.3</v>
      </c>
      <c r="I1196" s="1"/>
      <c r="J1196" s="1"/>
    </row>
    <row r="1197" spans="1:10" x14ac:dyDescent="0.3">
      <c r="A1197" t="str">
        <f t="shared" si="36"/>
        <v>SM</v>
      </c>
      <c r="B1197">
        <f t="shared" si="37"/>
        <v>5623</v>
      </c>
      <c r="D1197" s="1"/>
      <c r="E1197" s="1" t="s">
        <v>62</v>
      </c>
      <c r="F1197" s="1">
        <v>60</v>
      </c>
      <c r="G1197" s="1">
        <v>5</v>
      </c>
      <c r="H1197" s="1">
        <v>7.3</v>
      </c>
      <c r="I1197" s="1"/>
      <c r="J1197" s="1"/>
    </row>
    <row r="1198" spans="1:10" x14ac:dyDescent="0.3">
      <c r="A1198" t="str">
        <f t="shared" si="36"/>
        <v>SM</v>
      </c>
      <c r="B1198">
        <f t="shared" si="37"/>
        <v>12523</v>
      </c>
      <c r="D1198" s="1"/>
      <c r="E1198" s="1" t="s">
        <v>95</v>
      </c>
      <c r="F1198" s="1">
        <v>61</v>
      </c>
      <c r="G1198" s="1">
        <v>3</v>
      </c>
      <c r="H1198" s="1">
        <v>7.2</v>
      </c>
      <c r="I1198" s="1"/>
      <c r="J1198" s="1"/>
    </row>
    <row r="1199" spans="1:10" x14ac:dyDescent="0.3">
      <c r="A1199" t="str">
        <f t="shared" si="36"/>
        <v>SM</v>
      </c>
      <c r="B1199">
        <f t="shared" si="37"/>
        <v>10323</v>
      </c>
      <c r="D1199" s="1"/>
      <c r="E1199" s="1" t="s">
        <v>134</v>
      </c>
      <c r="F1199" s="1">
        <v>66</v>
      </c>
      <c r="G1199" s="1">
        <v>3</v>
      </c>
      <c r="H1199" s="1">
        <v>6.8</v>
      </c>
      <c r="I1199" s="1"/>
      <c r="J1199" s="1"/>
    </row>
    <row r="1200" spans="1:10" x14ac:dyDescent="0.3">
      <c r="A1200" t="str">
        <f t="shared" si="36"/>
        <v>SM</v>
      </c>
      <c r="B1200">
        <f t="shared" si="37"/>
        <v>923</v>
      </c>
      <c r="D1200" s="1"/>
      <c r="E1200" s="1" t="s">
        <v>90</v>
      </c>
      <c r="F1200" s="1">
        <v>66</v>
      </c>
      <c r="G1200" s="1">
        <v>3</v>
      </c>
      <c r="H1200" s="1">
        <v>6.8</v>
      </c>
      <c r="I1200" s="1"/>
      <c r="J1200" s="1"/>
    </row>
    <row r="1201" spans="1:10" x14ac:dyDescent="0.3">
      <c r="A1201" t="str">
        <f t="shared" si="36"/>
        <v>SM</v>
      </c>
      <c r="B1201">
        <f t="shared" si="37"/>
        <v>7323</v>
      </c>
      <c r="D1201" s="1"/>
      <c r="E1201" s="1" t="s">
        <v>111</v>
      </c>
      <c r="F1201" s="1">
        <v>68</v>
      </c>
      <c r="G1201" s="1">
        <v>4</v>
      </c>
      <c r="H1201" s="1">
        <v>6.8</v>
      </c>
      <c r="I1201" s="1"/>
      <c r="J1201" s="1"/>
    </row>
    <row r="1202" spans="1:10" x14ac:dyDescent="0.3">
      <c r="A1202" t="str">
        <f t="shared" si="36"/>
        <v>SM</v>
      </c>
      <c r="B1202">
        <f t="shared" si="37"/>
        <v>6723</v>
      </c>
      <c r="D1202" s="1"/>
      <c r="E1202" s="1" t="s">
        <v>118</v>
      </c>
      <c r="F1202" s="1">
        <v>74</v>
      </c>
      <c r="G1202" s="1">
        <v>8</v>
      </c>
      <c r="H1202" s="1">
        <v>6.5</v>
      </c>
      <c r="I1202" s="1"/>
      <c r="J1202" s="1"/>
    </row>
    <row r="1203" spans="1:10" x14ac:dyDescent="0.3">
      <c r="A1203" t="str">
        <f t="shared" si="36"/>
        <v>SM</v>
      </c>
      <c r="B1203">
        <f t="shared" si="37"/>
        <v>5723</v>
      </c>
      <c r="D1203" s="1"/>
      <c r="E1203" s="1" t="s">
        <v>120</v>
      </c>
      <c r="F1203" s="1">
        <v>76</v>
      </c>
      <c r="G1203" s="1">
        <v>5</v>
      </c>
      <c r="H1203" s="1">
        <v>6.4</v>
      </c>
      <c r="I1203" s="1"/>
      <c r="J1203" s="1"/>
    </row>
    <row r="1204" spans="1:10" x14ac:dyDescent="0.3">
      <c r="A1204" t="str">
        <f t="shared" si="36"/>
        <v>SM</v>
      </c>
      <c r="B1204">
        <f t="shared" si="37"/>
        <v>11423</v>
      </c>
      <c r="D1204" s="1"/>
      <c r="E1204" s="1" t="s">
        <v>138</v>
      </c>
      <c r="F1204" s="1">
        <v>77</v>
      </c>
      <c r="G1204" s="1">
        <v>2</v>
      </c>
      <c r="H1204" s="1">
        <v>6.3</v>
      </c>
      <c r="I1204" s="1"/>
      <c r="J1204" s="1"/>
    </row>
    <row r="1205" spans="1:10" x14ac:dyDescent="0.3">
      <c r="A1205" t="str">
        <f t="shared" si="36"/>
        <v>SM</v>
      </c>
      <c r="B1205">
        <f t="shared" si="37"/>
        <v>4023</v>
      </c>
      <c r="D1205" s="1"/>
      <c r="E1205" s="1" t="s">
        <v>105</v>
      </c>
      <c r="F1205" s="1">
        <v>78</v>
      </c>
      <c r="G1205" s="1">
        <v>5</v>
      </c>
      <c r="H1205" s="1">
        <v>6.2</v>
      </c>
      <c r="I1205" s="1"/>
      <c r="J1205" s="1"/>
    </row>
    <row r="1206" spans="1:10" x14ac:dyDescent="0.3">
      <c r="A1206" t="str">
        <f t="shared" si="36"/>
        <v>SM</v>
      </c>
      <c r="B1206">
        <f t="shared" si="37"/>
        <v>12123</v>
      </c>
      <c r="D1206" s="1"/>
      <c r="E1206" s="1" t="s">
        <v>140</v>
      </c>
      <c r="F1206" s="1">
        <v>82</v>
      </c>
      <c r="G1206" s="1">
        <v>3</v>
      </c>
      <c r="H1206" s="1">
        <v>5.8</v>
      </c>
      <c r="I1206" s="1"/>
      <c r="J1206" s="1"/>
    </row>
    <row r="1207" spans="1:10" x14ac:dyDescent="0.3">
      <c r="A1207" t="str">
        <f t="shared" si="36"/>
        <v>SM</v>
      </c>
      <c r="B1207">
        <f t="shared" si="37"/>
        <v>3923</v>
      </c>
      <c r="D1207" s="1"/>
      <c r="E1207" s="1" t="s">
        <v>88</v>
      </c>
      <c r="F1207" s="1">
        <v>86</v>
      </c>
      <c r="G1207" s="1">
        <v>9</v>
      </c>
      <c r="H1207" s="1">
        <v>5.7</v>
      </c>
      <c r="I1207" s="1"/>
      <c r="J1207" s="1"/>
    </row>
    <row r="1208" spans="1:10" x14ac:dyDescent="0.3">
      <c r="A1208" t="str">
        <f t="shared" si="36"/>
        <v>SM</v>
      </c>
      <c r="B1208">
        <f t="shared" si="37"/>
        <v>7223</v>
      </c>
      <c r="D1208" s="1"/>
      <c r="E1208" s="1" t="s">
        <v>116</v>
      </c>
      <c r="F1208" s="1">
        <v>86</v>
      </c>
      <c r="G1208" s="1">
        <v>9</v>
      </c>
      <c r="H1208" s="1">
        <v>5.7</v>
      </c>
      <c r="I1208" s="1"/>
      <c r="J1208" s="1"/>
    </row>
    <row r="1209" spans="1:10" x14ac:dyDescent="0.3">
      <c r="A1209" t="str">
        <f t="shared" si="36"/>
        <v>SM</v>
      </c>
      <c r="B1209">
        <f t="shared" si="37"/>
        <v>1723</v>
      </c>
      <c r="D1209" s="1"/>
      <c r="E1209" s="1" t="s">
        <v>133</v>
      </c>
      <c r="F1209" s="1">
        <v>94</v>
      </c>
      <c r="G1209" s="1">
        <v>1</v>
      </c>
      <c r="H1209" s="1">
        <v>5.3</v>
      </c>
      <c r="I1209" s="1"/>
      <c r="J1209" s="1"/>
    </row>
    <row r="1210" spans="1:10" x14ac:dyDescent="0.3">
      <c r="A1210" t="str">
        <f t="shared" si="36"/>
        <v>SM</v>
      </c>
      <c r="B1210">
        <f t="shared" si="37"/>
        <v>1623</v>
      </c>
      <c r="D1210" s="1"/>
      <c r="E1210" s="1" t="s">
        <v>137</v>
      </c>
      <c r="F1210" s="1">
        <v>99</v>
      </c>
      <c r="G1210" s="1">
        <v>6</v>
      </c>
      <c r="H1210" s="1">
        <v>5</v>
      </c>
      <c r="I1210" s="1"/>
      <c r="J1210" s="1"/>
    </row>
    <row r="1211" spans="1:10" x14ac:dyDescent="0.3">
      <c r="A1211" t="str">
        <f t="shared" si="36"/>
        <v>SM</v>
      </c>
      <c r="B1211">
        <f t="shared" si="37"/>
        <v>4223</v>
      </c>
      <c r="D1211" s="1"/>
      <c r="E1211" s="1" t="s">
        <v>123</v>
      </c>
      <c r="F1211" s="1">
        <v>107</v>
      </c>
      <c r="G1211" s="1">
        <v>6</v>
      </c>
      <c r="H1211" s="1">
        <v>4.7</v>
      </c>
      <c r="I1211" s="1"/>
      <c r="J1211" s="1"/>
    </row>
    <row r="1212" spans="1:10" x14ac:dyDescent="0.3">
      <c r="A1212" t="str">
        <f t="shared" si="36"/>
        <v>SM</v>
      </c>
      <c r="B1212">
        <f t="shared" si="37"/>
        <v>9123</v>
      </c>
      <c r="D1212" s="1"/>
      <c r="E1212" s="1" t="s">
        <v>99</v>
      </c>
      <c r="F1212" s="1">
        <v>112</v>
      </c>
      <c r="G1212" s="1">
        <v>7</v>
      </c>
      <c r="H1212" s="1">
        <v>4.5</v>
      </c>
      <c r="I1212" s="1"/>
      <c r="J1212" s="1"/>
    </row>
    <row r="1213" spans="1:10" x14ac:dyDescent="0.3">
      <c r="A1213" t="str">
        <f t="shared" si="36"/>
        <v>SM</v>
      </c>
      <c r="B1213">
        <f t="shared" si="37"/>
        <v>6223</v>
      </c>
      <c r="D1213" s="1"/>
      <c r="E1213" s="1" t="s">
        <v>81</v>
      </c>
      <c r="F1213" s="1">
        <v>116</v>
      </c>
      <c r="G1213" s="1">
        <v>7</v>
      </c>
      <c r="H1213" s="1">
        <v>4.3</v>
      </c>
      <c r="I1213" s="1"/>
      <c r="J1213" s="1"/>
    </row>
    <row r="1214" spans="1:10" x14ac:dyDescent="0.3">
      <c r="A1214" t="str">
        <f t="shared" si="36"/>
        <v>SM</v>
      </c>
      <c r="B1214">
        <f t="shared" si="37"/>
        <v>3623</v>
      </c>
      <c r="D1214" s="1"/>
      <c r="E1214" s="1" t="s">
        <v>129</v>
      </c>
      <c r="F1214" s="1">
        <v>118</v>
      </c>
      <c r="G1214" s="1">
        <v>8</v>
      </c>
      <c r="H1214" s="1">
        <v>4</v>
      </c>
      <c r="I1214" s="1"/>
      <c r="J1214" s="1"/>
    </row>
    <row r="1215" spans="1:10" x14ac:dyDescent="0.3">
      <c r="A1215" t="str">
        <f t="shared" si="36"/>
        <v>SM</v>
      </c>
      <c r="B1215">
        <f t="shared" si="37"/>
        <v>12923</v>
      </c>
      <c r="D1215" s="1"/>
      <c r="E1215" s="1" t="s">
        <v>132</v>
      </c>
      <c r="F1215" s="1">
        <v>120</v>
      </c>
      <c r="G1215" s="1">
        <v>9</v>
      </c>
      <c r="H1215" s="1">
        <v>3.9</v>
      </c>
      <c r="I1215" s="1"/>
      <c r="J1215" s="1"/>
    </row>
    <row r="1216" spans="1:10" x14ac:dyDescent="0.3">
      <c r="A1216" t="str">
        <f t="shared" si="36"/>
        <v>SM</v>
      </c>
      <c r="B1216">
        <f t="shared" si="37"/>
        <v>1923</v>
      </c>
      <c r="D1216" s="1"/>
      <c r="E1216" s="1" t="s">
        <v>112</v>
      </c>
      <c r="F1216" s="1">
        <v>122</v>
      </c>
      <c r="G1216" s="1">
        <v>7</v>
      </c>
      <c r="H1216" s="1">
        <v>3.9</v>
      </c>
      <c r="I1216" s="1"/>
      <c r="J1216" s="1"/>
    </row>
    <row r="1217" spans="1:10" x14ac:dyDescent="0.3">
      <c r="A1217" t="str">
        <f t="shared" si="36"/>
        <v>SM</v>
      </c>
      <c r="B1217">
        <f t="shared" si="37"/>
        <v>11323</v>
      </c>
      <c r="D1217" s="1"/>
      <c r="E1217" s="1" t="s">
        <v>126</v>
      </c>
      <c r="F1217" s="1">
        <v>137</v>
      </c>
      <c r="G1217" s="1">
        <v>3</v>
      </c>
      <c r="H1217" s="1">
        <v>3.5</v>
      </c>
      <c r="I1217" s="1"/>
      <c r="J1217" s="1"/>
    </row>
    <row r="1218" spans="1:10" x14ac:dyDescent="0.3">
      <c r="A1218" t="str">
        <f t="shared" ref="A1218:A1281" si="38">IF(NOT(D1218=""),INDEX(statAbbr,MATCH(D1218,statOfficial,0),1),A1217)</f>
        <v>SM</v>
      </c>
      <c r="B1218">
        <f t="shared" ref="B1218:B1281" si="39">INDEX(statID,MATCH(A1218,statAbbr,0),1)+INDEX(teamID,MATCH(E1218,teamRawName,0))</f>
        <v>6923</v>
      </c>
      <c r="D1218" s="1"/>
      <c r="E1218" s="1" t="s">
        <v>114</v>
      </c>
      <c r="F1218" s="1">
        <v>142</v>
      </c>
      <c r="G1218" s="1">
        <v>6</v>
      </c>
      <c r="H1218" s="1">
        <v>3.3</v>
      </c>
      <c r="I1218" s="1"/>
      <c r="J1218" s="1"/>
    </row>
    <row r="1219" spans="1:10" x14ac:dyDescent="0.3">
      <c r="A1219" t="str">
        <f t="shared" si="38"/>
        <v>SM</v>
      </c>
      <c r="B1219">
        <f t="shared" si="39"/>
        <v>8023</v>
      </c>
      <c r="D1219" s="1"/>
      <c r="E1219" s="1" t="s">
        <v>117</v>
      </c>
      <c r="F1219" s="1">
        <v>143</v>
      </c>
      <c r="G1219" s="1">
        <v>4</v>
      </c>
      <c r="H1219" s="1">
        <v>3.3</v>
      </c>
      <c r="I1219" s="1"/>
      <c r="J1219" s="1"/>
    </row>
    <row r="1220" spans="1:10" x14ac:dyDescent="0.3">
      <c r="A1220" t="str">
        <f t="shared" si="38"/>
        <v>SM</v>
      </c>
      <c r="B1220">
        <f t="shared" si="39"/>
        <v>2623</v>
      </c>
      <c r="D1220" s="1"/>
      <c r="E1220" s="1" t="s">
        <v>80</v>
      </c>
      <c r="F1220" s="1">
        <v>144</v>
      </c>
      <c r="G1220" s="1">
        <v>8</v>
      </c>
      <c r="H1220" s="1">
        <v>3.2</v>
      </c>
      <c r="I1220" s="1"/>
      <c r="J1220" s="1"/>
    </row>
    <row r="1221" spans="1:10" x14ac:dyDescent="0.3">
      <c r="A1221" t="str">
        <f t="shared" si="38"/>
        <v>SM</v>
      </c>
      <c r="B1221">
        <f t="shared" si="39"/>
        <v>12723</v>
      </c>
      <c r="D1221" s="1"/>
      <c r="E1221" s="1" t="s">
        <v>13</v>
      </c>
      <c r="F1221" s="1">
        <v>157</v>
      </c>
      <c r="G1221" s="1">
        <v>7</v>
      </c>
      <c r="H1221" s="1">
        <v>2.4</v>
      </c>
      <c r="I1221" s="1"/>
      <c r="J1221" s="1"/>
    </row>
    <row r="1222" spans="1:10" x14ac:dyDescent="0.3">
      <c r="A1222" t="str">
        <f t="shared" si="38"/>
        <v>SM</v>
      </c>
      <c r="B1222">
        <f t="shared" si="39"/>
        <v>12423</v>
      </c>
      <c r="D1222" s="1"/>
      <c r="E1222" s="1" t="s">
        <v>128</v>
      </c>
      <c r="F1222" s="1">
        <v>178</v>
      </c>
      <c r="G1222" s="1">
        <v>5</v>
      </c>
      <c r="H1222" s="1">
        <v>1.4</v>
      </c>
      <c r="I1222" s="1"/>
      <c r="J1222" s="1"/>
    </row>
    <row r="1223" spans="1:10" x14ac:dyDescent="0.3">
      <c r="A1223" t="str">
        <f t="shared" si="38"/>
        <v>SM</v>
      </c>
      <c r="B1223">
        <f t="shared" si="39"/>
        <v>12023</v>
      </c>
      <c r="D1223" s="1"/>
      <c r="E1223" s="1" t="s">
        <v>135</v>
      </c>
      <c r="F1223" s="1">
        <v>191</v>
      </c>
      <c r="G1223" s="1">
        <v>5</v>
      </c>
      <c r="H1223" s="1">
        <v>0.8</v>
      </c>
      <c r="I1223" s="1"/>
      <c r="J1223" s="1"/>
    </row>
    <row r="1224" spans="1:10" x14ac:dyDescent="0.3">
      <c r="A1224" t="str">
        <f t="shared" si="38"/>
        <v>SM</v>
      </c>
      <c r="B1224">
        <f t="shared" si="39"/>
        <v>12823</v>
      </c>
      <c r="D1224" s="1"/>
      <c r="E1224" s="1" t="s">
        <v>142</v>
      </c>
      <c r="F1224" s="1">
        <v>193</v>
      </c>
      <c r="G1224" s="1">
        <v>5</v>
      </c>
      <c r="H1224" s="1">
        <v>0.8</v>
      </c>
      <c r="I1224" s="1"/>
      <c r="J1224" s="1"/>
    </row>
    <row r="1225" spans="1:10" x14ac:dyDescent="0.3">
      <c r="A1225" t="str">
        <f t="shared" si="38"/>
        <v>SM</v>
      </c>
      <c r="B1225">
        <f t="shared" si="39"/>
        <v>8823</v>
      </c>
      <c r="D1225" s="1"/>
      <c r="E1225" s="1" t="s">
        <v>141</v>
      </c>
      <c r="F1225" s="1">
        <v>200</v>
      </c>
      <c r="G1225" s="1">
        <v>3</v>
      </c>
      <c r="H1225" s="1">
        <v>0.7</v>
      </c>
      <c r="I1225" s="1"/>
      <c r="J1225" s="1"/>
    </row>
    <row r="1226" spans="1:10" x14ac:dyDescent="0.3">
      <c r="A1226" t="str">
        <f t="shared" si="38"/>
        <v>SM</v>
      </c>
      <c r="B1226">
        <f t="shared" si="39"/>
        <v>11623</v>
      </c>
      <c r="D1226" s="1"/>
      <c r="E1226" s="1" t="s">
        <v>121</v>
      </c>
      <c r="F1226" s="1">
        <v>201</v>
      </c>
      <c r="G1226" s="1">
        <v>4</v>
      </c>
      <c r="H1226" s="1">
        <v>0.6</v>
      </c>
      <c r="I1226" s="1"/>
      <c r="J1226" s="1"/>
    </row>
    <row r="1227" spans="1:10" x14ac:dyDescent="0.3">
      <c r="A1227" t="str">
        <f t="shared" si="38"/>
        <v>SM</v>
      </c>
      <c r="B1227">
        <f t="shared" si="39"/>
        <v>11923</v>
      </c>
      <c r="D1227" s="1"/>
      <c r="E1227" s="1" t="s">
        <v>143</v>
      </c>
      <c r="F1227" s="1">
        <v>266</v>
      </c>
      <c r="G1227" s="1">
        <v>6</v>
      </c>
      <c r="H1227" s="1">
        <v>-1.9</v>
      </c>
      <c r="I1227" s="1"/>
      <c r="J1227" s="1"/>
    </row>
    <row r="1228" spans="1:10" x14ac:dyDescent="0.3">
      <c r="A1228" t="str">
        <f t="shared" si="38"/>
        <v>PPG</v>
      </c>
      <c r="B1228">
        <f t="shared" si="39"/>
        <v>3720</v>
      </c>
      <c r="D1228" s="1" t="s">
        <v>169</v>
      </c>
      <c r="E1228" s="1" t="s">
        <v>115</v>
      </c>
      <c r="F1228" s="1">
        <v>1</v>
      </c>
      <c r="G1228" s="1">
        <v>1</v>
      </c>
      <c r="H1228" s="1">
        <v>90.1</v>
      </c>
      <c r="I1228" s="1" t="s">
        <v>115</v>
      </c>
      <c r="J1228" s="1">
        <v>90.1</v>
      </c>
    </row>
    <row r="1229" spans="1:10" x14ac:dyDescent="0.3">
      <c r="A1229" t="str">
        <f t="shared" si="38"/>
        <v>PPG</v>
      </c>
      <c r="B1229">
        <f t="shared" si="39"/>
        <v>5520</v>
      </c>
      <c r="D1229" s="1"/>
      <c r="E1229" s="1" t="s">
        <v>86</v>
      </c>
      <c r="F1229" s="1">
        <v>2</v>
      </c>
      <c r="G1229" s="1">
        <v>2</v>
      </c>
      <c r="H1229" s="1">
        <v>89</v>
      </c>
      <c r="I1229" s="1"/>
      <c r="J1229" s="1"/>
    </row>
    <row r="1230" spans="1:10" x14ac:dyDescent="0.3">
      <c r="A1230" t="str">
        <f t="shared" si="38"/>
        <v>PPG</v>
      </c>
      <c r="B1230">
        <f t="shared" si="39"/>
        <v>2920</v>
      </c>
      <c r="D1230" s="1"/>
      <c r="E1230" s="1" t="s">
        <v>96</v>
      </c>
      <c r="F1230" s="1">
        <v>3</v>
      </c>
      <c r="G1230" s="1">
        <v>1</v>
      </c>
      <c r="H1230" s="1">
        <v>87.1</v>
      </c>
      <c r="I1230" s="1"/>
      <c r="J1230" s="1"/>
    </row>
    <row r="1231" spans="1:10" x14ac:dyDescent="0.3">
      <c r="A1231" t="str">
        <f t="shared" si="38"/>
        <v>PPG</v>
      </c>
      <c r="B1231">
        <f t="shared" si="39"/>
        <v>9920</v>
      </c>
      <c r="D1231" s="1"/>
      <c r="E1231" s="1" t="s">
        <v>113</v>
      </c>
      <c r="F1231" s="1">
        <v>5</v>
      </c>
      <c r="G1231" s="1">
        <v>1</v>
      </c>
      <c r="H1231" s="1">
        <v>86.1</v>
      </c>
      <c r="I1231" s="1"/>
      <c r="J1231" s="1"/>
    </row>
    <row r="1232" spans="1:10" x14ac:dyDescent="0.3">
      <c r="A1232" t="str">
        <f t="shared" si="38"/>
        <v>PPG</v>
      </c>
      <c r="B1232">
        <f t="shared" si="39"/>
        <v>5720</v>
      </c>
      <c r="D1232" s="1"/>
      <c r="E1232" s="1" t="s">
        <v>120</v>
      </c>
      <c r="F1232" s="1">
        <v>6</v>
      </c>
      <c r="G1232" s="1">
        <v>3</v>
      </c>
      <c r="H1232" s="1">
        <v>85.6</v>
      </c>
      <c r="I1232" s="1"/>
      <c r="J1232" s="1"/>
    </row>
    <row r="1233" spans="1:10" x14ac:dyDescent="0.3">
      <c r="A1233" t="str">
        <f t="shared" si="38"/>
        <v>PPG</v>
      </c>
      <c r="B1233">
        <f t="shared" si="39"/>
        <v>4420</v>
      </c>
      <c r="D1233" s="1"/>
      <c r="E1233" s="1" t="s">
        <v>83</v>
      </c>
      <c r="F1233" s="1">
        <v>8</v>
      </c>
      <c r="G1233" s="1">
        <v>1</v>
      </c>
      <c r="H1233" s="1">
        <v>84.5</v>
      </c>
      <c r="I1233" s="1"/>
      <c r="J1233" s="1"/>
    </row>
    <row r="1234" spans="1:10" x14ac:dyDescent="0.3">
      <c r="A1234" t="str">
        <f t="shared" si="38"/>
        <v>PPG</v>
      </c>
      <c r="B1234">
        <f t="shared" si="39"/>
        <v>4320</v>
      </c>
      <c r="D1234" s="1"/>
      <c r="E1234" s="1" t="s">
        <v>125</v>
      </c>
      <c r="F1234" s="1">
        <v>10</v>
      </c>
      <c r="G1234" s="1">
        <v>1</v>
      </c>
      <c r="H1234" s="1">
        <v>83.4</v>
      </c>
      <c r="I1234" s="1"/>
      <c r="J1234" s="1"/>
    </row>
    <row r="1235" spans="1:10" x14ac:dyDescent="0.3">
      <c r="A1235" t="str">
        <f t="shared" si="38"/>
        <v>PPG</v>
      </c>
      <c r="B1235">
        <f t="shared" si="39"/>
        <v>4820</v>
      </c>
      <c r="D1235" s="1"/>
      <c r="E1235" s="1" t="s">
        <v>104</v>
      </c>
      <c r="F1235" s="1">
        <v>11</v>
      </c>
      <c r="G1235" s="1">
        <v>1</v>
      </c>
      <c r="H1235" s="1">
        <v>83.2</v>
      </c>
      <c r="I1235" s="1"/>
      <c r="J1235" s="1"/>
    </row>
    <row r="1236" spans="1:10" x14ac:dyDescent="0.3">
      <c r="A1236" t="str">
        <f t="shared" si="38"/>
        <v>PPG</v>
      </c>
      <c r="B1236">
        <f t="shared" si="39"/>
        <v>4520</v>
      </c>
      <c r="D1236" s="1"/>
      <c r="E1236" s="1" t="s">
        <v>84</v>
      </c>
      <c r="F1236" s="1">
        <v>13</v>
      </c>
      <c r="G1236" s="1">
        <v>4</v>
      </c>
      <c r="H1236" s="1">
        <v>83.1</v>
      </c>
      <c r="I1236" s="1"/>
      <c r="J1236" s="1"/>
    </row>
    <row r="1237" spans="1:10" x14ac:dyDescent="0.3">
      <c r="A1237" t="str">
        <f t="shared" si="38"/>
        <v>PPG</v>
      </c>
      <c r="B1237">
        <f t="shared" si="39"/>
        <v>3020</v>
      </c>
      <c r="D1237" s="1"/>
      <c r="E1237" s="1" t="s">
        <v>89</v>
      </c>
      <c r="F1237" s="1">
        <v>15</v>
      </c>
      <c r="G1237" s="1">
        <v>3</v>
      </c>
      <c r="H1237" s="1">
        <v>82.3</v>
      </c>
      <c r="I1237" s="1"/>
      <c r="J1237" s="1"/>
    </row>
    <row r="1238" spans="1:10" x14ac:dyDescent="0.3">
      <c r="A1238" t="str">
        <f t="shared" si="38"/>
        <v>PPG</v>
      </c>
      <c r="B1238">
        <f t="shared" si="39"/>
        <v>2220</v>
      </c>
      <c r="D1238" s="1"/>
      <c r="E1238" s="1" t="s">
        <v>119</v>
      </c>
      <c r="F1238" s="1">
        <v>18</v>
      </c>
      <c r="G1238" s="1">
        <v>1</v>
      </c>
      <c r="H1238" s="1">
        <v>82</v>
      </c>
      <c r="I1238" s="1"/>
      <c r="J1238" s="1"/>
    </row>
    <row r="1239" spans="1:10" x14ac:dyDescent="0.3">
      <c r="A1239" t="str">
        <f t="shared" si="38"/>
        <v>PPG</v>
      </c>
      <c r="B1239">
        <f t="shared" si="39"/>
        <v>4920</v>
      </c>
      <c r="D1239" s="1"/>
      <c r="E1239" s="1" t="s">
        <v>108</v>
      </c>
      <c r="F1239" s="1">
        <v>19</v>
      </c>
      <c r="G1239" s="1">
        <v>1</v>
      </c>
      <c r="H1239" s="1">
        <v>81.900000000000006</v>
      </c>
      <c r="I1239" s="1"/>
      <c r="J1239" s="1"/>
    </row>
    <row r="1240" spans="1:10" x14ac:dyDescent="0.3">
      <c r="A1240" t="str">
        <f t="shared" si="38"/>
        <v>PPG</v>
      </c>
      <c r="B1240">
        <f t="shared" si="39"/>
        <v>2720</v>
      </c>
      <c r="D1240" s="1"/>
      <c r="E1240" s="1" t="s">
        <v>7</v>
      </c>
      <c r="F1240" s="1">
        <v>22</v>
      </c>
      <c r="G1240" s="1">
        <v>1</v>
      </c>
      <c r="H1240" s="1">
        <v>81.400000000000006</v>
      </c>
      <c r="I1240" s="1"/>
      <c r="J1240" s="1"/>
    </row>
    <row r="1241" spans="1:10" x14ac:dyDescent="0.3">
      <c r="A1241" t="str">
        <f t="shared" si="38"/>
        <v>PPG</v>
      </c>
      <c r="B1241">
        <f t="shared" si="39"/>
        <v>2320</v>
      </c>
      <c r="D1241" s="1"/>
      <c r="E1241" s="1" t="s">
        <v>79</v>
      </c>
      <c r="F1241" s="1">
        <v>23</v>
      </c>
      <c r="G1241" s="1">
        <v>1</v>
      </c>
      <c r="H1241" s="1">
        <v>81.400000000000006</v>
      </c>
      <c r="I1241" s="1"/>
      <c r="J1241" s="1"/>
    </row>
    <row r="1242" spans="1:10" x14ac:dyDescent="0.3">
      <c r="A1242" t="str">
        <f t="shared" si="38"/>
        <v>PPG</v>
      </c>
      <c r="B1242">
        <f t="shared" si="39"/>
        <v>4720</v>
      </c>
      <c r="D1242" s="1"/>
      <c r="E1242" s="1" t="s">
        <v>107</v>
      </c>
      <c r="F1242" s="1">
        <v>26</v>
      </c>
      <c r="G1242" s="1">
        <v>1</v>
      </c>
      <c r="H1242" s="1">
        <v>81</v>
      </c>
      <c r="I1242" s="1"/>
      <c r="J1242" s="1"/>
    </row>
    <row r="1243" spans="1:10" x14ac:dyDescent="0.3">
      <c r="A1243" t="str">
        <f t="shared" si="38"/>
        <v>PPG</v>
      </c>
      <c r="B1243">
        <f t="shared" si="39"/>
        <v>11520</v>
      </c>
      <c r="D1243" s="1"/>
      <c r="E1243" s="1" t="s">
        <v>97</v>
      </c>
      <c r="F1243" s="1">
        <v>27</v>
      </c>
      <c r="G1243" s="1">
        <v>1</v>
      </c>
      <c r="H1243" s="1">
        <v>80.900000000000006</v>
      </c>
      <c r="I1243" s="1"/>
      <c r="J1243" s="1"/>
    </row>
    <row r="1244" spans="1:10" x14ac:dyDescent="0.3">
      <c r="A1244" t="str">
        <f t="shared" si="38"/>
        <v>PPG</v>
      </c>
      <c r="B1244">
        <f t="shared" si="39"/>
        <v>3120</v>
      </c>
      <c r="D1244" s="1"/>
      <c r="E1244" s="1" t="s">
        <v>93</v>
      </c>
      <c r="F1244" s="1">
        <v>32</v>
      </c>
      <c r="G1244" s="1">
        <v>2</v>
      </c>
      <c r="H1244" s="1">
        <v>80.400000000000006</v>
      </c>
      <c r="I1244" s="1"/>
      <c r="J1244" s="1"/>
    </row>
    <row r="1245" spans="1:10" x14ac:dyDescent="0.3">
      <c r="A1245" t="str">
        <f t="shared" si="38"/>
        <v>PPG</v>
      </c>
      <c r="B1245">
        <f t="shared" si="39"/>
        <v>3220</v>
      </c>
      <c r="D1245" s="1"/>
      <c r="E1245" s="1" t="s">
        <v>127</v>
      </c>
      <c r="F1245" s="1">
        <v>33</v>
      </c>
      <c r="G1245" s="1">
        <v>2</v>
      </c>
      <c r="H1245" s="1">
        <v>80.400000000000006</v>
      </c>
      <c r="I1245" s="1"/>
      <c r="J1245" s="1"/>
    </row>
    <row r="1246" spans="1:10" x14ac:dyDescent="0.3">
      <c r="A1246" t="str">
        <f t="shared" si="38"/>
        <v>PPG</v>
      </c>
      <c r="B1246">
        <f t="shared" si="39"/>
        <v>12120</v>
      </c>
      <c r="D1246" s="1"/>
      <c r="E1246" s="1" t="s">
        <v>140</v>
      </c>
      <c r="F1246" s="1">
        <v>34</v>
      </c>
      <c r="G1246" s="1">
        <v>1</v>
      </c>
      <c r="H1246" s="1">
        <v>80.2</v>
      </c>
      <c r="I1246" s="1"/>
      <c r="J1246" s="1"/>
    </row>
    <row r="1247" spans="1:10" x14ac:dyDescent="0.3">
      <c r="A1247" t="str">
        <f t="shared" si="38"/>
        <v>PPG</v>
      </c>
      <c r="B1247">
        <f t="shared" si="39"/>
        <v>220</v>
      </c>
      <c r="D1247" s="1"/>
      <c r="E1247" s="1" t="s">
        <v>98</v>
      </c>
      <c r="F1247" s="1">
        <v>39</v>
      </c>
      <c r="G1247" s="1">
        <v>1</v>
      </c>
      <c r="H1247" s="1">
        <v>80</v>
      </c>
      <c r="I1247" s="1"/>
      <c r="J1247" s="1"/>
    </row>
    <row r="1248" spans="1:10" x14ac:dyDescent="0.3">
      <c r="A1248" t="str">
        <f t="shared" si="38"/>
        <v>PPG</v>
      </c>
      <c r="B1248">
        <f t="shared" si="39"/>
        <v>9520</v>
      </c>
      <c r="D1248" s="1"/>
      <c r="E1248" s="1" t="s">
        <v>85</v>
      </c>
      <c r="F1248" s="1">
        <v>40</v>
      </c>
      <c r="G1248" s="1">
        <v>2</v>
      </c>
      <c r="H1248" s="1">
        <v>79.900000000000006</v>
      </c>
      <c r="I1248" s="1"/>
      <c r="J1248" s="1"/>
    </row>
    <row r="1249" spans="1:10" x14ac:dyDescent="0.3">
      <c r="A1249" t="str">
        <f t="shared" si="38"/>
        <v>PPG</v>
      </c>
      <c r="B1249">
        <f t="shared" si="39"/>
        <v>1420</v>
      </c>
      <c r="D1249" s="1"/>
      <c r="E1249" s="1" t="s">
        <v>102</v>
      </c>
      <c r="F1249" s="1">
        <v>41</v>
      </c>
      <c r="G1249" s="1">
        <v>2</v>
      </c>
      <c r="H1249" s="1">
        <v>79.7</v>
      </c>
      <c r="I1249" s="1"/>
      <c r="J1249" s="1"/>
    </row>
    <row r="1250" spans="1:10" x14ac:dyDescent="0.3">
      <c r="A1250" t="str">
        <f t="shared" si="38"/>
        <v>PPG</v>
      </c>
      <c r="B1250">
        <f t="shared" si="39"/>
        <v>6320</v>
      </c>
      <c r="D1250" s="1"/>
      <c r="E1250" s="1" t="s">
        <v>122</v>
      </c>
      <c r="F1250" s="1">
        <v>46</v>
      </c>
      <c r="G1250" s="1">
        <v>3</v>
      </c>
      <c r="H1250" s="1">
        <v>79.3</v>
      </c>
      <c r="I1250" s="1"/>
      <c r="J1250" s="1"/>
    </row>
    <row r="1251" spans="1:10" x14ac:dyDescent="0.3">
      <c r="A1251" t="str">
        <f t="shared" si="38"/>
        <v>PPG</v>
      </c>
      <c r="B1251">
        <f t="shared" si="39"/>
        <v>5820</v>
      </c>
      <c r="D1251" s="1"/>
      <c r="E1251" s="1" t="s">
        <v>139</v>
      </c>
      <c r="F1251" s="1">
        <v>48</v>
      </c>
      <c r="G1251" s="1">
        <v>1</v>
      </c>
      <c r="H1251" s="1">
        <v>79.099999999999994</v>
      </c>
      <c r="I1251" s="1"/>
      <c r="J1251" s="1"/>
    </row>
    <row r="1252" spans="1:10" x14ac:dyDescent="0.3">
      <c r="A1252" t="str">
        <f t="shared" si="38"/>
        <v>PPG</v>
      </c>
      <c r="B1252">
        <f t="shared" si="39"/>
        <v>5620</v>
      </c>
      <c r="D1252" s="1"/>
      <c r="E1252" s="1" t="s">
        <v>62</v>
      </c>
      <c r="F1252" s="1">
        <v>49</v>
      </c>
      <c r="G1252" s="1">
        <v>3</v>
      </c>
      <c r="H1252" s="1">
        <v>79</v>
      </c>
      <c r="I1252" s="1"/>
      <c r="J1252" s="1"/>
    </row>
    <row r="1253" spans="1:10" x14ac:dyDescent="0.3">
      <c r="A1253" t="str">
        <f t="shared" si="38"/>
        <v>PPG</v>
      </c>
      <c r="B1253">
        <f t="shared" si="39"/>
        <v>3520</v>
      </c>
      <c r="D1253" s="1"/>
      <c r="E1253" s="1" t="s">
        <v>87</v>
      </c>
      <c r="F1253" s="1">
        <v>54</v>
      </c>
      <c r="G1253" s="1">
        <v>5</v>
      </c>
      <c r="H1253" s="1">
        <v>78.8</v>
      </c>
      <c r="I1253" s="1"/>
      <c r="J1253" s="1"/>
    </row>
    <row r="1254" spans="1:10" x14ac:dyDescent="0.3">
      <c r="A1254" t="str">
        <f t="shared" si="38"/>
        <v>PPG</v>
      </c>
      <c r="B1254">
        <f t="shared" si="39"/>
        <v>5420</v>
      </c>
      <c r="D1254" s="1"/>
      <c r="E1254" s="1" t="s">
        <v>94</v>
      </c>
      <c r="F1254" s="1">
        <v>58</v>
      </c>
      <c r="G1254" s="1">
        <v>2</v>
      </c>
      <c r="H1254" s="1">
        <v>78.599999999999994</v>
      </c>
      <c r="I1254" s="1"/>
      <c r="J1254" s="1"/>
    </row>
    <row r="1255" spans="1:10" x14ac:dyDescent="0.3">
      <c r="A1255" t="str">
        <f t="shared" si="38"/>
        <v>PPG</v>
      </c>
      <c r="B1255">
        <f t="shared" si="39"/>
        <v>3320</v>
      </c>
      <c r="D1255" s="1"/>
      <c r="E1255" s="1" t="s">
        <v>91</v>
      </c>
      <c r="F1255" s="1">
        <v>62</v>
      </c>
      <c r="G1255" s="1">
        <v>4</v>
      </c>
      <c r="H1255" s="1">
        <v>78.099999999999994</v>
      </c>
      <c r="I1255" s="1"/>
      <c r="J1255" s="1"/>
    </row>
    <row r="1256" spans="1:10" x14ac:dyDescent="0.3">
      <c r="A1256" t="str">
        <f t="shared" si="38"/>
        <v>PPG</v>
      </c>
      <c r="B1256">
        <f t="shared" si="39"/>
        <v>7320</v>
      </c>
      <c r="D1256" s="1"/>
      <c r="E1256" s="1" t="s">
        <v>111</v>
      </c>
      <c r="F1256" s="1">
        <v>67</v>
      </c>
      <c r="G1256" s="1">
        <v>4</v>
      </c>
      <c r="H1256" s="1">
        <v>77.7</v>
      </c>
      <c r="I1256" s="1"/>
      <c r="J1256" s="1"/>
    </row>
    <row r="1257" spans="1:10" x14ac:dyDescent="0.3">
      <c r="A1257" t="str">
        <f t="shared" si="38"/>
        <v>PPG</v>
      </c>
      <c r="B1257">
        <f t="shared" si="39"/>
        <v>12720</v>
      </c>
      <c r="D1257" s="1"/>
      <c r="E1257" s="1" t="s">
        <v>13</v>
      </c>
      <c r="F1257" s="1">
        <v>71</v>
      </c>
      <c r="G1257" s="1">
        <v>5</v>
      </c>
      <c r="H1257" s="1">
        <v>77.5</v>
      </c>
      <c r="I1257" s="1"/>
      <c r="J1257" s="1"/>
    </row>
    <row r="1258" spans="1:10" x14ac:dyDescent="0.3">
      <c r="A1258" t="str">
        <f t="shared" si="38"/>
        <v>PPG</v>
      </c>
      <c r="B1258">
        <f t="shared" si="39"/>
        <v>12420</v>
      </c>
      <c r="D1258" s="1"/>
      <c r="E1258" s="1" t="s">
        <v>128</v>
      </c>
      <c r="F1258" s="1">
        <v>73</v>
      </c>
      <c r="G1258" s="1">
        <v>2</v>
      </c>
      <c r="H1258" s="1">
        <v>77.400000000000006</v>
      </c>
      <c r="I1258" s="1"/>
      <c r="J1258" s="1"/>
    </row>
    <row r="1259" spans="1:10" x14ac:dyDescent="0.3">
      <c r="A1259" t="str">
        <f t="shared" si="38"/>
        <v>PPG</v>
      </c>
      <c r="B1259">
        <f t="shared" si="39"/>
        <v>4020</v>
      </c>
      <c r="D1259" s="1"/>
      <c r="E1259" s="1" t="s">
        <v>105</v>
      </c>
      <c r="F1259" s="1">
        <v>74</v>
      </c>
      <c r="G1259" s="1">
        <v>4</v>
      </c>
      <c r="H1259" s="1">
        <v>77.400000000000006</v>
      </c>
      <c r="I1259" s="1"/>
      <c r="J1259" s="1"/>
    </row>
    <row r="1260" spans="1:10" x14ac:dyDescent="0.3">
      <c r="A1260" t="str">
        <f t="shared" si="38"/>
        <v>PPG</v>
      </c>
      <c r="B1260">
        <f t="shared" si="39"/>
        <v>11320</v>
      </c>
      <c r="D1260" s="1"/>
      <c r="E1260" s="1" t="s">
        <v>126</v>
      </c>
      <c r="F1260" s="1">
        <v>88</v>
      </c>
      <c r="G1260" s="1">
        <v>5</v>
      </c>
      <c r="H1260" s="1">
        <v>76.8</v>
      </c>
      <c r="I1260" s="1"/>
      <c r="J1260" s="1"/>
    </row>
    <row r="1261" spans="1:10" x14ac:dyDescent="0.3">
      <c r="A1261" t="str">
        <f t="shared" si="38"/>
        <v>PPG</v>
      </c>
      <c r="B1261">
        <f t="shared" si="39"/>
        <v>1720</v>
      </c>
      <c r="D1261" s="1"/>
      <c r="E1261" s="1" t="s">
        <v>133</v>
      </c>
      <c r="F1261" s="1">
        <v>93</v>
      </c>
      <c r="G1261" s="1">
        <v>2</v>
      </c>
      <c r="H1261" s="1">
        <v>76.400000000000006</v>
      </c>
      <c r="I1261" s="1"/>
      <c r="J1261" s="1"/>
    </row>
    <row r="1262" spans="1:10" x14ac:dyDescent="0.3">
      <c r="A1262" t="str">
        <f t="shared" si="38"/>
        <v>PPG</v>
      </c>
      <c r="B1262">
        <f t="shared" si="39"/>
        <v>8020</v>
      </c>
      <c r="D1262" s="1"/>
      <c r="E1262" s="1" t="s">
        <v>117</v>
      </c>
      <c r="F1262" s="1">
        <v>94</v>
      </c>
      <c r="G1262" s="1">
        <v>5</v>
      </c>
      <c r="H1262" s="1">
        <v>76.400000000000006</v>
      </c>
      <c r="I1262" s="1"/>
      <c r="J1262" s="1"/>
    </row>
    <row r="1263" spans="1:10" x14ac:dyDescent="0.3">
      <c r="A1263" t="str">
        <f t="shared" si="38"/>
        <v>PPG</v>
      </c>
      <c r="B1263">
        <f t="shared" si="39"/>
        <v>3620</v>
      </c>
      <c r="D1263" s="1"/>
      <c r="E1263" s="1" t="s">
        <v>129</v>
      </c>
      <c r="F1263" s="1">
        <v>99</v>
      </c>
      <c r="G1263" s="1">
        <v>8</v>
      </c>
      <c r="H1263" s="1">
        <v>76</v>
      </c>
      <c r="I1263" s="1"/>
      <c r="J1263" s="1"/>
    </row>
    <row r="1264" spans="1:10" x14ac:dyDescent="0.3">
      <c r="A1264" t="str">
        <f t="shared" si="38"/>
        <v>PPG</v>
      </c>
      <c r="B1264">
        <f t="shared" si="39"/>
        <v>4620</v>
      </c>
      <c r="D1264" s="1"/>
      <c r="E1264" s="1" t="s">
        <v>101</v>
      </c>
      <c r="F1264" s="1">
        <v>100</v>
      </c>
      <c r="G1264" s="1">
        <v>3</v>
      </c>
      <c r="H1264" s="1">
        <v>75.900000000000006</v>
      </c>
      <c r="I1264" s="1"/>
      <c r="J1264" s="1"/>
    </row>
    <row r="1265" spans="1:10" x14ac:dyDescent="0.3">
      <c r="A1265" t="str">
        <f t="shared" si="38"/>
        <v>PPG</v>
      </c>
      <c r="B1265">
        <f t="shared" si="39"/>
        <v>1920</v>
      </c>
      <c r="D1265" s="1"/>
      <c r="E1265" s="1" t="s">
        <v>112</v>
      </c>
      <c r="F1265" s="1">
        <v>107</v>
      </c>
      <c r="G1265" s="1">
        <v>8</v>
      </c>
      <c r="H1265" s="1">
        <v>75.599999999999994</v>
      </c>
      <c r="I1265" s="1"/>
      <c r="J1265" s="1"/>
    </row>
    <row r="1266" spans="1:10" x14ac:dyDescent="0.3">
      <c r="A1266" t="str">
        <f t="shared" si="38"/>
        <v>PPG</v>
      </c>
      <c r="B1266">
        <f t="shared" si="39"/>
        <v>6920</v>
      </c>
      <c r="D1266" s="1"/>
      <c r="E1266" s="1" t="s">
        <v>114</v>
      </c>
      <c r="F1266" s="1">
        <v>109</v>
      </c>
      <c r="G1266" s="1">
        <v>6</v>
      </c>
      <c r="H1266" s="1">
        <v>75.599999999999994</v>
      </c>
      <c r="I1266" s="1"/>
      <c r="J1266" s="1"/>
    </row>
    <row r="1267" spans="1:10" x14ac:dyDescent="0.3">
      <c r="A1267" t="str">
        <f t="shared" si="38"/>
        <v>PPG</v>
      </c>
      <c r="B1267">
        <f t="shared" si="39"/>
        <v>3920</v>
      </c>
      <c r="D1267" s="1"/>
      <c r="E1267" s="1" t="s">
        <v>88</v>
      </c>
      <c r="F1267" s="1">
        <v>110</v>
      </c>
      <c r="G1267" s="1">
        <v>4</v>
      </c>
      <c r="H1267" s="1">
        <v>75.599999999999994</v>
      </c>
      <c r="I1267" s="1"/>
      <c r="J1267" s="1"/>
    </row>
    <row r="1268" spans="1:10" x14ac:dyDescent="0.3">
      <c r="A1268" t="str">
        <f t="shared" si="38"/>
        <v>PPG</v>
      </c>
      <c r="B1268">
        <f t="shared" si="39"/>
        <v>6720</v>
      </c>
      <c r="D1268" s="1"/>
      <c r="E1268" s="1" t="s">
        <v>118</v>
      </c>
      <c r="F1268" s="1">
        <v>117</v>
      </c>
      <c r="G1268" s="1">
        <v>5</v>
      </c>
      <c r="H1268" s="1">
        <v>75.400000000000006</v>
      </c>
      <c r="I1268" s="1"/>
      <c r="J1268" s="1"/>
    </row>
    <row r="1269" spans="1:10" x14ac:dyDescent="0.3">
      <c r="A1269" t="str">
        <f t="shared" si="38"/>
        <v>PPG</v>
      </c>
      <c r="B1269">
        <f t="shared" si="39"/>
        <v>620</v>
      </c>
      <c r="D1269" s="1"/>
      <c r="E1269" s="1" t="s">
        <v>100</v>
      </c>
      <c r="F1269" s="1">
        <v>119</v>
      </c>
      <c r="G1269" s="1">
        <v>7</v>
      </c>
      <c r="H1269" s="1">
        <v>75.3</v>
      </c>
      <c r="I1269" s="1"/>
      <c r="J1269" s="1"/>
    </row>
    <row r="1270" spans="1:10" x14ac:dyDescent="0.3">
      <c r="A1270" t="str">
        <f t="shared" si="38"/>
        <v>PPG</v>
      </c>
      <c r="B1270">
        <f t="shared" si="39"/>
        <v>7220</v>
      </c>
      <c r="D1270" s="1"/>
      <c r="E1270" s="1" t="s">
        <v>116</v>
      </c>
      <c r="F1270" s="1">
        <v>120</v>
      </c>
      <c r="G1270" s="1">
        <v>8</v>
      </c>
      <c r="H1270" s="1">
        <v>75.3</v>
      </c>
      <c r="I1270" s="1"/>
      <c r="J1270" s="1"/>
    </row>
    <row r="1271" spans="1:10" x14ac:dyDescent="0.3">
      <c r="A1271" t="str">
        <f t="shared" si="38"/>
        <v>PPG</v>
      </c>
      <c r="B1271">
        <f t="shared" si="39"/>
        <v>12020</v>
      </c>
      <c r="D1271" s="1"/>
      <c r="E1271" s="1" t="s">
        <v>135</v>
      </c>
      <c r="F1271" s="1">
        <v>121</v>
      </c>
      <c r="G1271" s="1">
        <v>5</v>
      </c>
      <c r="H1271" s="1">
        <v>75.3</v>
      </c>
      <c r="I1271" s="1"/>
      <c r="J1271" s="1"/>
    </row>
    <row r="1272" spans="1:10" x14ac:dyDescent="0.3">
      <c r="A1272" t="str">
        <f t="shared" si="38"/>
        <v>PPG</v>
      </c>
      <c r="B1272">
        <f t="shared" si="39"/>
        <v>1520</v>
      </c>
      <c r="D1272" s="1"/>
      <c r="E1272" s="1" t="s">
        <v>124</v>
      </c>
      <c r="F1272" s="1">
        <v>121</v>
      </c>
      <c r="G1272" s="1">
        <v>3</v>
      </c>
      <c r="H1272" s="1">
        <v>75.3</v>
      </c>
      <c r="I1272" s="1"/>
      <c r="J1272" s="1"/>
    </row>
    <row r="1273" spans="1:10" x14ac:dyDescent="0.3">
      <c r="A1273" t="str">
        <f t="shared" si="38"/>
        <v>PPG</v>
      </c>
      <c r="B1273">
        <f t="shared" si="39"/>
        <v>1320</v>
      </c>
      <c r="D1273" s="1"/>
      <c r="E1273" s="1" t="s">
        <v>82</v>
      </c>
      <c r="F1273" s="1">
        <v>124</v>
      </c>
      <c r="G1273" s="1">
        <v>4</v>
      </c>
      <c r="H1273" s="1">
        <v>75.2</v>
      </c>
      <c r="I1273" s="1"/>
      <c r="J1273" s="1"/>
    </row>
    <row r="1274" spans="1:10" x14ac:dyDescent="0.3">
      <c r="A1274" t="str">
        <f t="shared" si="38"/>
        <v>PPG</v>
      </c>
      <c r="B1274">
        <f t="shared" si="39"/>
        <v>2120</v>
      </c>
      <c r="D1274" s="1"/>
      <c r="E1274" s="1" t="s">
        <v>136</v>
      </c>
      <c r="F1274" s="1">
        <v>126</v>
      </c>
      <c r="G1274" s="1">
        <v>5</v>
      </c>
      <c r="H1274" s="1">
        <v>75.099999999999994</v>
      </c>
      <c r="I1274" s="1"/>
      <c r="J1274" s="1"/>
    </row>
    <row r="1275" spans="1:10" x14ac:dyDescent="0.3">
      <c r="A1275" t="str">
        <f t="shared" si="38"/>
        <v>PPG</v>
      </c>
      <c r="B1275">
        <f t="shared" si="39"/>
        <v>8820</v>
      </c>
      <c r="D1275" s="1"/>
      <c r="E1275" s="1" t="s">
        <v>141</v>
      </c>
      <c r="F1275" s="1">
        <v>132</v>
      </c>
      <c r="G1275" s="1">
        <v>2</v>
      </c>
      <c r="H1275" s="1">
        <v>74.900000000000006</v>
      </c>
      <c r="I1275" s="1"/>
      <c r="J1275" s="1"/>
    </row>
    <row r="1276" spans="1:10" x14ac:dyDescent="0.3">
      <c r="A1276" t="str">
        <f t="shared" si="38"/>
        <v>PPG</v>
      </c>
      <c r="B1276">
        <f t="shared" si="39"/>
        <v>11420</v>
      </c>
      <c r="D1276" s="1"/>
      <c r="E1276" s="1" t="s">
        <v>138</v>
      </c>
      <c r="F1276" s="1">
        <v>142</v>
      </c>
      <c r="G1276" s="1">
        <v>5</v>
      </c>
      <c r="H1276" s="1">
        <v>74.7</v>
      </c>
      <c r="I1276" s="1"/>
      <c r="J1276" s="1"/>
    </row>
    <row r="1277" spans="1:10" x14ac:dyDescent="0.3">
      <c r="A1277" t="str">
        <f t="shared" si="38"/>
        <v>PPG</v>
      </c>
      <c r="B1277">
        <f t="shared" si="39"/>
        <v>12520</v>
      </c>
      <c r="D1277" s="1"/>
      <c r="E1277" s="1" t="s">
        <v>95</v>
      </c>
      <c r="F1277" s="1">
        <v>144</v>
      </c>
      <c r="G1277" s="1">
        <v>4</v>
      </c>
      <c r="H1277" s="1">
        <v>74.7</v>
      </c>
      <c r="I1277" s="1"/>
      <c r="J1277" s="1"/>
    </row>
    <row r="1278" spans="1:10" x14ac:dyDescent="0.3">
      <c r="A1278" t="str">
        <f t="shared" si="38"/>
        <v>PPG</v>
      </c>
      <c r="B1278">
        <f t="shared" si="39"/>
        <v>4220</v>
      </c>
      <c r="D1278" s="1"/>
      <c r="E1278" s="1" t="s">
        <v>123</v>
      </c>
      <c r="F1278" s="1">
        <v>145</v>
      </c>
      <c r="G1278" s="1">
        <v>8</v>
      </c>
      <c r="H1278" s="1">
        <v>74.7</v>
      </c>
      <c r="I1278" s="1"/>
      <c r="J1278" s="1"/>
    </row>
    <row r="1279" spans="1:10" x14ac:dyDescent="0.3">
      <c r="A1279" t="str">
        <f t="shared" si="38"/>
        <v>PPG</v>
      </c>
      <c r="B1279">
        <f t="shared" si="39"/>
        <v>5020</v>
      </c>
      <c r="D1279" s="1"/>
      <c r="E1279" s="1" t="s">
        <v>110</v>
      </c>
      <c r="F1279" s="1">
        <v>152</v>
      </c>
      <c r="G1279" s="1">
        <v>5</v>
      </c>
      <c r="H1279" s="1">
        <v>74.2</v>
      </c>
      <c r="I1279" s="1"/>
      <c r="J1279" s="1"/>
    </row>
    <row r="1280" spans="1:10" x14ac:dyDescent="0.3">
      <c r="A1280" t="str">
        <f t="shared" si="38"/>
        <v>PPG</v>
      </c>
      <c r="B1280">
        <f t="shared" si="39"/>
        <v>1220</v>
      </c>
      <c r="D1280" s="1"/>
      <c r="E1280" s="1" t="s">
        <v>130</v>
      </c>
      <c r="F1280" s="1">
        <v>156</v>
      </c>
      <c r="G1280" s="1">
        <v>6</v>
      </c>
      <c r="H1280" s="1">
        <v>74.099999999999994</v>
      </c>
      <c r="I1280" s="1"/>
      <c r="J1280" s="1"/>
    </row>
    <row r="1281" spans="1:10" x14ac:dyDescent="0.3">
      <c r="A1281" t="str">
        <f t="shared" si="38"/>
        <v>PPG</v>
      </c>
      <c r="B1281">
        <f t="shared" si="39"/>
        <v>1620</v>
      </c>
      <c r="D1281" s="1"/>
      <c r="E1281" s="1" t="s">
        <v>137</v>
      </c>
      <c r="F1281" s="1">
        <v>157</v>
      </c>
      <c r="G1281" s="1">
        <v>11</v>
      </c>
      <c r="H1281" s="1">
        <v>74.099999999999994</v>
      </c>
      <c r="I1281" s="1"/>
      <c r="J1281" s="1"/>
    </row>
    <row r="1282" spans="1:10" x14ac:dyDescent="0.3">
      <c r="A1282" t="str">
        <f t="shared" ref="A1282:A1345" si="40">IF(NOT(D1282=""),INDEX(statAbbr,MATCH(D1282,statOfficial,0),1),A1281)</f>
        <v>PPG</v>
      </c>
      <c r="B1282">
        <f t="shared" ref="B1282:B1345" si="41">INDEX(statID,MATCH(A1282,statAbbr,0),1)+INDEX(teamID,MATCH(E1282,teamRawName,0))</f>
        <v>2520</v>
      </c>
      <c r="D1282" s="1"/>
      <c r="E1282" s="1" t="s">
        <v>92</v>
      </c>
      <c r="F1282" s="1">
        <v>160</v>
      </c>
      <c r="G1282" s="1">
        <v>4</v>
      </c>
      <c r="H1282" s="1">
        <v>74</v>
      </c>
      <c r="I1282" s="1"/>
      <c r="J1282" s="1"/>
    </row>
    <row r="1283" spans="1:10" x14ac:dyDescent="0.3">
      <c r="A1283" t="str">
        <f t="shared" si="40"/>
        <v>PPG</v>
      </c>
      <c r="B1283">
        <f t="shared" si="41"/>
        <v>8220</v>
      </c>
      <c r="D1283" s="1"/>
      <c r="E1283" s="1" t="s">
        <v>131</v>
      </c>
      <c r="F1283" s="1">
        <v>169</v>
      </c>
      <c r="G1283" s="1">
        <v>4</v>
      </c>
      <c r="H1283" s="1">
        <v>73.599999999999994</v>
      </c>
      <c r="I1283" s="1"/>
      <c r="J1283" s="1"/>
    </row>
    <row r="1284" spans="1:10" x14ac:dyDescent="0.3">
      <c r="A1284" t="str">
        <f t="shared" si="40"/>
        <v>PPG</v>
      </c>
      <c r="B1284">
        <f t="shared" si="41"/>
        <v>10320</v>
      </c>
      <c r="D1284" s="1"/>
      <c r="E1284" s="1" t="s">
        <v>134</v>
      </c>
      <c r="F1284" s="1">
        <v>176</v>
      </c>
      <c r="G1284" s="1">
        <v>9</v>
      </c>
      <c r="H1284" s="1">
        <v>73.5</v>
      </c>
      <c r="I1284" s="1"/>
      <c r="J1284" s="1"/>
    </row>
    <row r="1285" spans="1:10" x14ac:dyDescent="0.3">
      <c r="A1285" t="str">
        <f t="shared" si="40"/>
        <v>PPG</v>
      </c>
      <c r="B1285">
        <f t="shared" si="41"/>
        <v>2820</v>
      </c>
      <c r="D1285" s="1"/>
      <c r="E1285" s="1" t="s">
        <v>106</v>
      </c>
      <c r="F1285" s="1">
        <v>179</v>
      </c>
      <c r="G1285" s="1">
        <v>10</v>
      </c>
      <c r="H1285" s="1">
        <v>73.5</v>
      </c>
      <c r="I1285" s="1"/>
      <c r="J1285" s="1"/>
    </row>
    <row r="1286" spans="1:10" x14ac:dyDescent="0.3">
      <c r="A1286" t="str">
        <f t="shared" si="40"/>
        <v>PPG</v>
      </c>
      <c r="B1286">
        <f t="shared" si="41"/>
        <v>6220</v>
      </c>
      <c r="D1286" s="1"/>
      <c r="E1286" s="1" t="s">
        <v>81</v>
      </c>
      <c r="F1286" s="1">
        <v>183</v>
      </c>
      <c r="G1286" s="1">
        <v>9</v>
      </c>
      <c r="H1286" s="1">
        <v>73.3</v>
      </c>
      <c r="I1286" s="1"/>
      <c r="J1286" s="1"/>
    </row>
    <row r="1287" spans="1:10" x14ac:dyDescent="0.3">
      <c r="A1287" t="str">
        <f t="shared" si="40"/>
        <v>PPG</v>
      </c>
      <c r="B1287">
        <f t="shared" si="41"/>
        <v>920</v>
      </c>
      <c r="D1287" s="1"/>
      <c r="E1287" s="1" t="s">
        <v>90</v>
      </c>
      <c r="F1287" s="1">
        <v>192</v>
      </c>
      <c r="G1287" s="1">
        <v>11</v>
      </c>
      <c r="H1287" s="1">
        <v>72.900000000000006</v>
      </c>
      <c r="I1287" s="1"/>
      <c r="J1287" s="1"/>
    </row>
    <row r="1288" spans="1:10" x14ac:dyDescent="0.3">
      <c r="A1288" t="str">
        <f t="shared" si="40"/>
        <v>PPG</v>
      </c>
      <c r="B1288">
        <f t="shared" si="41"/>
        <v>9120</v>
      </c>
      <c r="D1288" s="1"/>
      <c r="E1288" s="1" t="s">
        <v>99</v>
      </c>
      <c r="F1288" s="1">
        <v>221</v>
      </c>
      <c r="G1288" s="1">
        <v>13</v>
      </c>
      <c r="H1288" s="1">
        <v>72.099999999999994</v>
      </c>
      <c r="I1288" s="1"/>
      <c r="J1288" s="1"/>
    </row>
    <row r="1289" spans="1:10" x14ac:dyDescent="0.3">
      <c r="A1289" t="str">
        <f t="shared" si="40"/>
        <v>PPG</v>
      </c>
      <c r="B1289">
        <f t="shared" si="41"/>
        <v>7920</v>
      </c>
      <c r="D1289" s="1"/>
      <c r="E1289" s="1" t="s">
        <v>103</v>
      </c>
      <c r="F1289" s="1">
        <v>232</v>
      </c>
      <c r="G1289" s="1">
        <v>7</v>
      </c>
      <c r="H1289" s="1">
        <v>71.599999999999994</v>
      </c>
      <c r="I1289" s="1"/>
      <c r="J1289" s="1"/>
    </row>
    <row r="1290" spans="1:10" x14ac:dyDescent="0.3">
      <c r="A1290" t="str">
        <f t="shared" si="40"/>
        <v>PPG</v>
      </c>
      <c r="B1290">
        <f t="shared" si="41"/>
        <v>8420</v>
      </c>
      <c r="D1290" s="1"/>
      <c r="E1290" s="1" t="s">
        <v>109</v>
      </c>
      <c r="F1290" s="1">
        <v>237</v>
      </c>
      <c r="G1290" s="1">
        <v>2</v>
      </c>
      <c r="H1290" s="1">
        <v>71.400000000000006</v>
      </c>
      <c r="I1290" s="1"/>
      <c r="J1290" s="1"/>
    </row>
    <row r="1291" spans="1:10" x14ac:dyDescent="0.3">
      <c r="A1291" t="str">
        <f t="shared" si="40"/>
        <v>PPG</v>
      </c>
      <c r="B1291">
        <f t="shared" si="41"/>
        <v>12920</v>
      </c>
      <c r="D1291" s="1"/>
      <c r="E1291" s="1" t="s">
        <v>132</v>
      </c>
      <c r="F1291" s="1">
        <v>260</v>
      </c>
      <c r="G1291" s="1">
        <v>13</v>
      </c>
      <c r="H1291" s="1">
        <v>70.599999999999994</v>
      </c>
      <c r="I1291" s="1"/>
      <c r="J1291" s="1"/>
    </row>
    <row r="1292" spans="1:10" x14ac:dyDescent="0.3">
      <c r="A1292" t="str">
        <f t="shared" si="40"/>
        <v>PPG</v>
      </c>
      <c r="B1292">
        <f t="shared" si="41"/>
        <v>11920</v>
      </c>
      <c r="D1292" s="1"/>
      <c r="E1292" s="1" t="s">
        <v>143</v>
      </c>
      <c r="F1292" s="1">
        <v>308</v>
      </c>
      <c r="G1292" s="1">
        <v>10</v>
      </c>
      <c r="H1292" s="1">
        <v>67.7</v>
      </c>
      <c r="I1292" s="1"/>
      <c r="J1292" s="1"/>
    </row>
    <row r="1293" spans="1:10" x14ac:dyDescent="0.3">
      <c r="A1293" t="str">
        <f t="shared" si="40"/>
        <v>PPG</v>
      </c>
      <c r="B1293">
        <f t="shared" si="41"/>
        <v>12820</v>
      </c>
      <c r="D1293" s="1"/>
      <c r="E1293" s="1" t="s">
        <v>142</v>
      </c>
      <c r="F1293" s="1">
        <v>337</v>
      </c>
      <c r="G1293" s="1">
        <v>9</v>
      </c>
      <c r="H1293" s="1">
        <v>64.8</v>
      </c>
      <c r="I1293" s="1"/>
      <c r="J1293" s="1"/>
    </row>
    <row r="1294" spans="1:10" x14ac:dyDescent="0.3">
      <c r="A1294" t="str">
        <f t="shared" si="40"/>
        <v>PPG</v>
      </c>
      <c r="B1294">
        <f t="shared" si="41"/>
        <v>11620</v>
      </c>
      <c r="D1294" s="1"/>
      <c r="E1294" s="1" t="s">
        <v>121</v>
      </c>
      <c r="F1294" s="1">
        <v>343</v>
      </c>
      <c r="G1294" s="1">
        <v>7</v>
      </c>
      <c r="H1294" s="1">
        <v>63.7</v>
      </c>
      <c r="I1294" s="1"/>
      <c r="J1294" s="1"/>
    </row>
    <row r="1295" spans="1:10" x14ac:dyDescent="0.3">
      <c r="A1295" t="str">
        <f t="shared" si="40"/>
        <v>PPG</v>
      </c>
      <c r="B1295">
        <f t="shared" si="41"/>
        <v>2620</v>
      </c>
      <c r="D1295" s="1"/>
      <c r="E1295" s="1" t="s">
        <v>80</v>
      </c>
      <c r="F1295" s="1">
        <v>345</v>
      </c>
      <c r="G1295" s="1">
        <v>15</v>
      </c>
      <c r="H1295" s="1">
        <v>62.9</v>
      </c>
      <c r="I1295" s="1"/>
      <c r="J1295" s="1"/>
    </row>
    <row r="1296" spans="1:10" x14ac:dyDescent="0.3">
      <c r="A1296" t="str">
        <f t="shared" si="40"/>
        <v>SPG</v>
      </c>
      <c r="B1296">
        <f t="shared" si="41"/>
        <v>624</v>
      </c>
      <c r="D1296" s="1" t="s">
        <v>170</v>
      </c>
      <c r="E1296" s="1" t="s">
        <v>100</v>
      </c>
      <c r="F1296" s="1">
        <v>3</v>
      </c>
      <c r="G1296" s="1">
        <v>1</v>
      </c>
      <c r="H1296" s="1">
        <v>10.3</v>
      </c>
      <c r="I1296" s="1" t="s">
        <v>171</v>
      </c>
      <c r="J1296" s="1">
        <v>11.4</v>
      </c>
    </row>
    <row r="1297" spans="1:10" x14ac:dyDescent="0.3">
      <c r="A1297" t="str">
        <f t="shared" si="40"/>
        <v>SPG</v>
      </c>
      <c r="B1297">
        <f t="shared" si="41"/>
        <v>224</v>
      </c>
      <c r="D1297" s="1"/>
      <c r="E1297" s="1" t="s">
        <v>98</v>
      </c>
      <c r="F1297" s="1">
        <v>5</v>
      </c>
      <c r="G1297" s="1">
        <v>1</v>
      </c>
      <c r="H1297" s="1">
        <v>10.3</v>
      </c>
      <c r="I1297" s="1"/>
      <c r="J1297" s="1"/>
    </row>
    <row r="1298" spans="1:10" x14ac:dyDescent="0.3">
      <c r="A1298" t="str">
        <f t="shared" si="40"/>
        <v>SPG</v>
      </c>
      <c r="B1298">
        <f t="shared" si="41"/>
        <v>9924</v>
      </c>
      <c r="D1298" s="1"/>
      <c r="E1298" s="1" t="s">
        <v>113</v>
      </c>
      <c r="F1298" s="1">
        <v>7</v>
      </c>
      <c r="G1298" s="1">
        <v>1</v>
      </c>
      <c r="H1298" s="1">
        <v>9.9</v>
      </c>
      <c r="I1298" s="1"/>
      <c r="J1298" s="1"/>
    </row>
    <row r="1299" spans="1:10" x14ac:dyDescent="0.3">
      <c r="A1299" t="str">
        <f t="shared" si="40"/>
        <v>SPG</v>
      </c>
      <c r="B1299">
        <f t="shared" si="41"/>
        <v>2824</v>
      </c>
      <c r="D1299" s="1"/>
      <c r="E1299" s="1" t="s">
        <v>106</v>
      </c>
      <c r="F1299" s="1">
        <v>9</v>
      </c>
      <c r="G1299" s="1">
        <v>2</v>
      </c>
      <c r="H1299" s="1">
        <v>9.8000000000000007</v>
      </c>
      <c r="I1299" s="1"/>
      <c r="J1299" s="1"/>
    </row>
    <row r="1300" spans="1:10" x14ac:dyDescent="0.3">
      <c r="A1300" t="str">
        <f t="shared" si="40"/>
        <v>SPG</v>
      </c>
      <c r="B1300">
        <f t="shared" si="41"/>
        <v>4824</v>
      </c>
      <c r="D1300" s="1"/>
      <c r="E1300" s="1" t="s">
        <v>104</v>
      </c>
      <c r="F1300" s="1">
        <v>15</v>
      </c>
      <c r="G1300" s="1">
        <v>2</v>
      </c>
      <c r="H1300" s="1">
        <v>9</v>
      </c>
      <c r="I1300" s="1"/>
      <c r="J1300" s="1"/>
    </row>
    <row r="1301" spans="1:10" x14ac:dyDescent="0.3">
      <c r="A1301" t="str">
        <f t="shared" si="40"/>
        <v>SPG</v>
      </c>
      <c r="B1301">
        <f t="shared" si="41"/>
        <v>5624</v>
      </c>
      <c r="D1301" s="1"/>
      <c r="E1301" s="1" t="s">
        <v>62</v>
      </c>
      <c r="F1301" s="1">
        <v>16</v>
      </c>
      <c r="G1301" s="1">
        <v>3</v>
      </c>
      <c r="H1301" s="1">
        <v>9</v>
      </c>
      <c r="I1301" s="1"/>
      <c r="J1301" s="1"/>
    </row>
    <row r="1302" spans="1:10" x14ac:dyDescent="0.3">
      <c r="A1302" t="str">
        <f t="shared" si="40"/>
        <v>SPG</v>
      </c>
      <c r="B1302">
        <f t="shared" si="41"/>
        <v>4724</v>
      </c>
      <c r="D1302" s="1"/>
      <c r="E1302" s="1" t="s">
        <v>107</v>
      </c>
      <c r="F1302" s="1">
        <v>23</v>
      </c>
      <c r="G1302" s="1">
        <v>1</v>
      </c>
      <c r="H1302" s="1">
        <v>8.6999999999999993</v>
      </c>
      <c r="I1302" s="1"/>
      <c r="J1302" s="1"/>
    </row>
    <row r="1303" spans="1:10" x14ac:dyDescent="0.3">
      <c r="A1303" t="str">
        <f t="shared" si="40"/>
        <v>SPG</v>
      </c>
      <c r="B1303">
        <f t="shared" si="41"/>
        <v>3324</v>
      </c>
      <c r="D1303" s="1"/>
      <c r="E1303" s="1" t="s">
        <v>91</v>
      </c>
      <c r="F1303" s="1">
        <v>28</v>
      </c>
      <c r="G1303" s="1">
        <v>1</v>
      </c>
      <c r="H1303" s="1">
        <v>8.6</v>
      </c>
      <c r="I1303" s="1"/>
      <c r="J1303" s="1"/>
    </row>
    <row r="1304" spans="1:10" x14ac:dyDescent="0.3">
      <c r="A1304" t="str">
        <f t="shared" si="40"/>
        <v>SPG</v>
      </c>
      <c r="B1304">
        <f t="shared" si="41"/>
        <v>2924</v>
      </c>
      <c r="D1304" s="1"/>
      <c r="E1304" s="1" t="s">
        <v>96</v>
      </c>
      <c r="F1304" s="1">
        <v>35</v>
      </c>
      <c r="G1304" s="1">
        <v>1</v>
      </c>
      <c r="H1304" s="1">
        <v>8.3000000000000007</v>
      </c>
      <c r="I1304" s="1"/>
      <c r="J1304" s="1"/>
    </row>
    <row r="1305" spans="1:10" x14ac:dyDescent="0.3">
      <c r="A1305" t="str">
        <f t="shared" si="40"/>
        <v>SPG</v>
      </c>
      <c r="B1305">
        <f t="shared" si="41"/>
        <v>5824</v>
      </c>
      <c r="D1305" s="1"/>
      <c r="E1305" s="1" t="s">
        <v>139</v>
      </c>
      <c r="F1305" s="1">
        <v>39</v>
      </c>
      <c r="G1305" s="1">
        <v>2</v>
      </c>
      <c r="H1305" s="1">
        <v>8.3000000000000007</v>
      </c>
      <c r="I1305" s="1"/>
      <c r="J1305" s="1"/>
    </row>
    <row r="1306" spans="1:10" x14ac:dyDescent="0.3">
      <c r="A1306" t="str">
        <f t="shared" si="40"/>
        <v>SPG</v>
      </c>
      <c r="B1306">
        <f t="shared" si="41"/>
        <v>12024</v>
      </c>
      <c r="D1306" s="1"/>
      <c r="E1306" s="1" t="s">
        <v>135</v>
      </c>
      <c r="F1306" s="1">
        <v>39</v>
      </c>
      <c r="G1306" s="1">
        <v>1</v>
      </c>
      <c r="H1306" s="1">
        <v>8.3000000000000007</v>
      </c>
      <c r="I1306" s="1"/>
      <c r="J1306" s="1"/>
    </row>
    <row r="1307" spans="1:10" x14ac:dyDescent="0.3">
      <c r="A1307" t="str">
        <f t="shared" si="40"/>
        <v>SPG</v>
      </c>
      <c r="B1307">
        <f t="shared" si="41"/>
        <v>1624</v>
      </c>
      <c r="D1307" s="1"/>
      <c r="E1307" s="1" t="s">
        <v>137</v>
      </c>
      <c r="F1307" s="1">
        <v>45</v>
      </c>
      <c r="G1307" s="1">
        <v>1</v>
      </c>
      <c r="H1307" s="1">
        <v>8.1</v>
      </c>
      <c r="I1307" s="1"/>
      <c r="J1307" s="1"/>
    </row>
    <row r="1308" spans="1:10" x14ac:dyDescent="0.3">
      <c r="A1308" t="str">
        <f t="shared" si="40"/>
        <v>SPG</v>
      </c>
      <c r="B1308">
        <f t="shared" si="41"/>
        <v>12424</v>
      </c>
      <c r="D1308" s="1"/>
      <c r="E1308" s="1" t="s">
        <v>128</v>
      </c>
      <c r="F1308" s="1">
        <v>50</v>
      </c>
      <c r="G1308" s="1">
        <v>1</v>
      </c>
      <c r="H1308" s="1">
        <v>7.9</v>
      </c>
      <c r="I1308" s="1"/>
      <c r="J1308" s="1"/>
    </row>
    <row r="1309" spans="1:10" x14ac:dyDescent="0.3">
      <c r="A1309" t="str">
        <f t="shared" si="40"/>
        <v>SPG</v>
      </c>
      <c r="B1309">
        <f t="shared" si="41"/>
        <v>3524</v>
      </c>
      <c r="D1309" s="1"/>
      <c r="E1309" s="1" t="s">
        <v>87</v>
      </c>
      <c r="F1309" s="1">
        <v>57</v>
      </c>
      <c r="G1309" s="1">
        <v>4</v>
      </c>
      <c r="H1309" s="1">
        <v>7.8</v>
      </c>
      <c r="I1309" s="1"/>
      <c r="J1309" s="1"/>
    </row>
    <row r="1310" spans="1:10" x14ac:dyDescent="0.3">
      <c r="A1310" t="str">
        <f t="shared" si="40"/>
        <v>SPG</v>
      </c>
      <c r="B1310">
        <f t="shared" si="41"/>
        <v>12124</v>
      </c>
      <c r="D1310" s="1"/>
      <c r="E1310" s="1" t="s">
        <v>140</v>
      </c>
      <c r="F1310" s="1">
        <v>66</v>
      </c>
      <c r="G1310" s="1">
        <v>3</v>
      </c>
      <c r="H1310" s="1">
        <v>7.6</v>
      </c>
      <c r="I1310" s="1"/>
      <c r="J1310" s="1"/>
    </row>
    <row r="1311" spans="1:10" x14ac:dyDescent="0.3">
      <c r="A1311" t="str">
        <f t="shared" si="40"/>
        <v>SPG</v>
      </c>
      <c r="B1311">
        <f t="shared" si="41"/>
        <v>5524</v>
      </c>
      <c r="D1311" s="1"/>
      <c r="E1311" s="1" t="s">
        <v>86</v>
      </c>
      <c r="F1311" s="1">
        <v>73</v>
      </c>
      <c r="G1311" s="1">
        <v>6</v>
      </c>
      <c r="H1311" s="1">
        <v>7.5</v>
      </c>
      <c r="I1311" s="1"/>
      <c r="J1311" s="1"/>
    </row>
    <row r="1312" spans="1:10" x14ac:dyDescent="0.3">
      <c r="A1312" t="str">
        <f t="shared" si="40"/>
        <v>SPG</v>
      </c>
      <c r="B1312">
        <f t="shared" si="41"/>
        <v>12924</v>
      </c>
      <c r="D1312" s="1"/>
      <c r="E1312" s="1" t="s">
        <v>132</v>
      </c>
      <c r="F1312" s="1">
        <v>76</v>
      </c>
      <c r="G1312" s="1">
        <v>3</v>
      </c>
      <c r="H1312" s="1">
        <v>7.5</v>
      </c>
      <c r="I1312" s="1"/>
      <c r="J1312" s="1"/>
    </row>
    <row r="1313" spans="1:10" x14ac:dyDescent="0.3">
      <c r="A1313" t="str">
        <f t="shared" si="40"/>
        <v>SPG</v>
      </c>
      <c r="B1313">
        <f t="shared" si="41"/>
        <v>1224</v>
      </c>
      <c r="D1313" s="1"/>
      <c r="E1313" s="1" t="s">
        <v>130</v>
      </c>
      <c r="F1313" s="1">
        <v>82</v>
      </c>
      <c r="G1313" s="1">
        <v>2</v>
      </c>
      <c r="H1313" s="1">
        <v>7.4</v>
      </c>
      <c r="I1313" s="1"/>
      <c r="J1313" s="1"/>
    </row>
    <row r="1314" spans="1:10" x14ac:dyDescent="0.3">
      <c r="A1314" t="str">
        <f t="shared" si="40"/>
        <v>SPG</v>
      </c>
      <c r="B1314">
        <f t="shared" si="41"/>
        <v>11924</v>
      </c>
      <c r="D1314" s="1"/>
      <c r="E1314" s="1" t="s">
        <v>143</v>
      </c>
      <c r="F1314" s="1">
        <v>83</v>
      </c>
      <c r="G1314" s="1">
        <v>7</v>
      </c>
      <c r="H1314" s="1">
        <v>7.4</v>
      </c>
      <c r="I1314" s="1"/>
      <c r="J1314" s="1"/>
    </row>
    <row r="1315" spans="1:10" x14ac:dyDescent="0.3">
      <c r="A1315" t="str">
        <f t="shared" si="40"/>
        <v>SPG</v>
      </c>
      <c r="B1315">
        <f t="shared" si="41"/>
        <v>4524</v>
      </c>
      <c r="D1315" s="1"/>
      <c r="E1315" s="1" t="s">
        <v>84</v>
      </c>
      <c r="F1315" s="1">
        <v>84</v>
      </c>
      <c r="G1315" s="1">
        <v>7</v>
      </c>
      <c r="H1315" s="1">
        <v>7.4</v>
      </c>
      <c r="I1315" s="1"/>
      <c r="J1315" s="1"/>
    </row>
    <row r="1316" spans="1:10" x14ac:dyDescent="0.3">
      <c r="A1316" t="str">
        <f t="shared" si="40"/>
        <v>SPG</v>
      </c>
      <c r="B1316">
        <f t="shared" si="41"/>
        <v>1924</v>
      </c>
      <c r="D1316" s="1"/>
      <c r="E1316" s="1" t="s">
        <v>112</v>
      </c>
      <c r="F1316" s="1">
        <v>91</v>
      </c>
      <c r="G1316" s="1">
        <v>3</v>
      </c>
      <c r="H1316" s="1">
        <v>7.2</v>
      </c>
      <c r="I1316" s="1"/>
      <c r="J1316" s="1"/>
    </row>
    <row r="1317" spans="1:10" x14ac:dyDescent="0.3">
      <c r="A1317" t="str">
        <f t="shared" si="40"/>
        <v>SPG</v>
      </c>
      <c r="B1317">
        <f t="shared" si="41"/>
        <v>2224</v>
      </c>
      <c r="D1317" s="1"/>
      <c r="E1317" s="1" t="s">
        <v>119</v>
      </c>
      <c r="F1317" s="1">
        <v>96</v>
      </c>
      <c r="G1317" s="1">
        <v>7</v>
      </c>
      <c r="H1317" s="1">
        <v>7.2</v>
      </c>
      <c r="I1317" s="1"/>
      <c r="J1317" s="1"/>
    </row>
    <row r="1318" spans="1:10" x14ac:dyDescent="0.3">
      <c r="A1318" t="str">
        <f t="shared" si="40"/>
        <v>SPG</v>
      </c>
      <c r="B1318">
        <f t="shared" si="41"/>
        <v>6724</v>
      </c>
      <c r="D1318" s="1"/>
      <c r="E1318" s="1" t="s">
        <v>118</v>
      </c>
      <c r="F1318" s="1">
        <v>96</v>
      </c>
      <c r="G1318" s="1">
        <v>5</v>
      </c>
      <c r="H1318" s="1">
        <v>7.2</v>
      </c>
      <c r="I1318" s="1"/>
      <c r="J1318" s="1"/>
    </row>
    <row r="1319" spans="1:10" x14ac:dyDescent="0.3">
      <c r="A1319" t="str">
        <f t="shared" si="40"/>
        <v>SPG</v>
      </c>
      <c r="B1319">
        <f t="shared" si="41"/>
        <v>6924</v>
      </c>
      <c r="D1319" s="1"/>
      <c r="E1319" s="1" t="s">
        <v>114</v>
      </c>
      <c r="F1319" s="1">
        <v>98</v>
      </c>
      <c r="G1319" s="1">
        <v>4</v>
      </c>
      <c r="H1319" s="1">
        <v>7.2</v>
      </c>
      <c r="I1319" s="1"/>
      <c r="J1319" s="1"/>
    </row>
    <row r="1320" spans="1:10" x14ac:dyDescent="0.3">
      <c r="A1320" t="str">
        <f t="shared" si="40"/>
        <v>SPG</v>
      </c>
      <c r="B1320">
        <f t="shared" si="41"/>
        <v>3924</v>
      </c>
      <c r="D1320" s="1"/>
      <c r="E1320" s="1" t="s">
        <v>88</v>
      </c>
      <c r="F1320" s="1">
        <v>102</v>
      </c>
      <c r="G1320" s="1">
        <v>6</v>
      </c>
      <c r="H1320" s="1">
        <v>7.1</v>
      </c>
      <c r="I1320" s="1"/>
      <c r="J1320" s="1"/>
    </row>
    <row r="1321" spans="1:10" x14ac:dyDescent="0.3">
      <c r="A1321" t="str">
        <f t="shared" si="40"/>
        <v>SPG</v>
      </c>
      <c r="B1321">
        <f t="shared" si="41"/>
        <v>12824</v>
      </c>
      <c r="D1321" s="1"/>
      <c r="E1321" s="1" t="s">
        <v>142</v>
      </c>
      <c r="F1321" s="1">
        <v>105</v>
      </c>
      <c r="G1321" s="1">
        <v>5</v>
      </c>
      <c r="H1321" s="1">
        <v>7.1</v>
      </c>
      <c r="I1321" s="1"/>
      <c r="J1321" s="1"/>
    </row>
    <row r="1322" spans="1:10" x14ac:dyDescent="0.3">
      <c r="A1322" t="str">
        <f t="shared" si="40"/>
        <v>SPG</v>
      </c>
      <c r="B1322">
        <f t="shared" si="41"/>
        <v>924</v>
      </c>
      <c r="D1322" s="1"/>
      <c r="E1322" s="1" t="s">
        <v>90</v>
      </c>
      <c r="F1322" s="1">
        <v>110</v>
      </c>
      <c r="G1322" s="1">
        <v>3</v>
      </c>
      <c r="H1322" s="1">
        <v>7.1</v>
      </c>
      <c r="I1322" s="1"/>
      <c r="J1322" s="1"/>
    </row>
    <row r="1323" spans="1:10" x14ac:dyDescent="0.3">
      <c r="A1323" t="str">
        <f t="shared" si="40"/>
        <v>SPG</v>
      </c>
      <c r="B1323">
        <f t="shared" si="41"/>
        <v>6224</v>
      </c>
      <c r="D1323" s="1"/>
      <c r="E1323" s="1" t="s">
        <v>81</v>
      </c>
      <c r="F1323" s="1">
        <v>118</v>
      </c>
      <c r="G1323" s="1">
        <v>4</v>
      </c>
      <c r="H1323" s="1">
        <v>7</v>
      </c>
      <c r="I1323" s="1"/>
      <c r="J1323" s="1"/>
    </row>
    <row r="1324" spans="1:10" x14ac:dyDescent="0.3">
      <c r="A1324" t="str">
        <f t="shared" si="40"/>
        <v>SPG</v>
      </c>
      <c r="B1324">
        <f t="shared" si="41"/>
        <v>2624</v>
      </c>
      <c r="D1324" s="1"/>
      <c r="E1324" s="1" t="s">
        <v>80</v>
      </c>
      <c r="F1324" s="1">
        <v>118</v>
      </c>
      <c r="G1324" s="1">
        <v>5</v>
      </c>
      <c r="H1324" s="1">
        <v>7</v>
      </c>
      <c r="I1324" s="1"/>
      <c r="J1324" s="1"/>
    </row>
    <row r="1325" spans="1:10" x14ac:dyDescent="0.3">
      <c r="A1325" t="str">
        <f t="shared" si="40"/>
        <v>SPG</v>
      </c>
      <c r="B1325">
        <f t="shared" si="41"/>
        <v>11424</v>
      </c>
      <c r="D1325" s="1"/>
      <c r="E1325" s="1" t="s">
        <v>138</v>
      </c>
      <c r="F1325" s="1">
        <v>122</v>
      </c>
      <c r="G1325" s="1">
        <v>3</v>
      </c>
      <c r="H1325" s="1">
        <v>7</v>
      </c>
      <c r="I1325" s="1"/>
      <c r="J1325" s="1"/>
    </row>
    <row r="1326" spans="1:10" x14ac:dyDescent="0.3">
      <c r="A1326" t="str">
        <f t="shared" si="40"/>
        <v>SPG</v>
      </c>
      <c r="B1326">
        <f t="shared" si="41"/>
        <v>3624</v>
      </c>
      <c r="D1326" s="1"/>
      <c r="E1326" s="1" t="s">
        <v>129</v>
      </c>
      <c r="F1326" s="1">
        <v>127</v>
      </c>
      <c r="G1326" s="1">
        <v>8</v>
      </c>
      <c r="H1326" s="1">
        <v>6.9</v>
      </c>
      <c r="I1326" s="1"/>
      <c r="J1326" s="1"/>
    </row>
    <row r="1327" spans="1:10" x14ac:dyDescent="0.3">
      <c r="A1327" t="str">
        <f t="shared" si="40"/>
        <v>SPG</v>
      </c>
      <c r="B1327">
        <f t="shared" si="41"/>
        <v>3724</v>
      </c>
      <c r="D1327" s="1"/>
      <c r="E1327" s="1" t="s">
        <v>115</v>
      </c>
      <c r="F1327" s="1">
        <v>135</v>
      </c>
      <c r="G1327" s="1">
        <v>9</v>
      </c>
      <c r="H1327" s="1">
        <v>6.9</v>
      </c>
      <c r="I1327" s="1"/>
      <c r="J1327" s="1"/>
    </row>
    <row r="1328" spans="1:10" x14ac:dyDescent="0.3">
      <c r="A1328" t="str">
        <f t="shared" si="40"/>
        <v>SPG</v>
      </c>
      <c r="B1328">
        <f t="shared" si="41"/>
        <v>1424</v>
      </c>
      <c r="D1328" s="1"/>
      <c r="E1328" s="1" t="s">
        <v>102</v>
      </c>
      <c r="F1328" s="1">
        <v>147</v>
      </c>
      <c r="G1328" s="1">
        <v>3</v>
      </c>
      <c r="H1328" s="1">
        <v>6.8</v>
      </c>
      <c r="I1328" s="1"/>
      <c r="J1328" s="1"/>
    </row>
    <row r="1329" spans="1:10" x14ac:dyDescent="0.3">
      <c r="A1329" t="str">
        <f t="shared" si="40"/>
        <v>SPG</v>
      </c>
      <c r="B1329">
        <f t="shared" si="41"/>
        <v>3224</v>
      </c>
      <c r="D1329" s="1"/>
      <c r="E1329" s="1" t="s">
        <v>127</v>
      </c>
      <c r="F1329" s="1">
        <v>150</v>
      </c>
      <c r="G1329" s="1">
        <v>7</v>
      </c>
      <c r="H1329" s="1">
        <v>6.7</v>
      </c>
      <c r="I1329" s="1"/>
      <c r="J1329" s="1"/>
    </row>
    <row r="1330" spans="1:10" x14ac:dyDescent="0.3">
      <c r="A1330" t="str">
        <f t="shared" si="40"/>
        <v>SPG</v>
      </c>
      <c r="B1330">
        <f t="shared" si="41"/>
        <v>12724</v>
      </c>
      <c r="D1330" s="1"/>
      <c r="E1330" s="1" t="s">
        <v>13</v>
      </c>
      <c r="F1330" s="1">
        <v>150</v>
      </c>
      <c r="G1330" s="1">
        <v>10</v>
      </c>
      <c r="H1330" s="1">
        <v>6.7</v>
      </c>
      <c r="I1330" s="1"/>
      <c r="J1330" s="1"/>
    </row>
    <row r="1331" spans="1:10" x14ac:dyDescent="0.3">
      <c r="A1331" t="str">
        <f t="shared" si="40"/>
        <v>SPG</v>
      </c>
      <c r="B1331">
        <f t="shared" si="41"/>
        <v>5724</v>
      </c>
      <c r="D1331" s="1"/>
      <c r="E1331" s="1" t="s">
        <v>120</v>
      </c>
      <c r="F1331" s="1">
        <v>153</v>
      </c>
      <c r="G1331" s="1">
        <v>10</v>
      </c>
      <c r="H1331" s="1">
        <v>6.7</v>
      </c>
      <c r="I1331" s="1"/>
      <c r="J1331" s="1"/>
    </row>
    <row r="1332" spans="1:10" x14ac:dyDescent="0.3">
      <c r="A1332" t="str">
        <f t="shared" si="40"/>
        <v>SPG</v>
      </c>
      <c r="B1332">
        <f t="shared" si="41"/>
        <v>4424</v>
      </c>
      <c r="D1332" s="1"/>
      <c r="E1332" s="1" t="s">
        <v>83</v>
      </c>
      <c r="F1332" s="1">
        <v>158</v>
      </c>
      <c r="G1332" s="1">
        <v>3</v>
      </c>
      <c r="H1332" s="1">
        <v>6.7</v>
      </c>
      <c r="I1332" s="1"/>
      <c r="J1332" s="1"/>
    </row>
    <row r="1333" spans="1:10" x14ac:dyDescent="0.3">
      <c r="A1333" t="str">
        <f t="shared" si="40"/>
        <v>SPG</v>
      </c>
      <c r="B1333">
        <f t="shared" si="41"/>
        <v>8024</v>
      </c>
      <c r="D1333" s="1"/>
      <c r="E1333" s="1" t="s">
        <v>117</v>
      </c>
      <c r="F1333" s="1">
        <v>161</v>
      </c>
      <c r="G1333" s="1">
        <v>6</v>
      </c>
      <c r="H1333" s="1">
        <v>6.6</v>
      </c>
      <c r="I1333" s="1"/>
      <c r="J1333" s="1"/>
    </row>
    <row r="1334" spans="1:10" x14ac:dyDescent="0.3">
      <c r="A1334" t="str">
        <f t="shared" si="40"/>
        <v>SPG</v>
      </c>
      <c r="B1334">
        <f t="shared" si="41"/>
        <v>2524</v>
      </c>
      <c r="D1334" s="1"/>
      <c r="E1334" s="1" t="s">
        <v>92</v>
      </c>
      <c r="F1334" s="1">
        <v>165</v>
      </c>
      <c r="G1334" s="1">
        <v>4</v>
      </c>
      <c r="H1334" s="1">
        <v>6.6</v>
      </c>
      <c r="I1334" s="1"/>
      <c r="J1334" s="1"/>
    </row>
    <row r="1335" spans="1:10" x14ac:dyDescent="0.3">
      <c r="A1335" t="str">
        <f t="shared" si="40"/>
        <v>SPG</v>
      </c>
      <c r="B1335">
        <f t="shared" si="41"/>
        <v>5424</v>
      </c>
      <c r="D1335" s="1"/>
      <c r="E1335" s="1" t="s">
        <v>94</v>
      </c>
      <c r="F1335" s="1">
        <v>167</v>
      </c>
      <c r="G1335" s="1">
        <v>6</v>
      </c>
      <c r="H1335" s="1">
        <v>6.5</v>
      </c>
      <c r="I1335" s="1"/>
      <c r="J1335" s="1"/>
    </row>
    <row r="1336" spans="1:10" x14ac:dyDescent="0.3">
      <c r="A1336" t="str">
        <f t="shared" si="40"/>
        <v>SPG</v>
      </c>
      <c r="B1336">
        <f t="shared" si="41"/>
        <v>8424</v>
      </c>
      <c r="D1336" s="1"/>
      <c r="E1336" s="1" t="s">
        <v>109</v>
      </c>
      <c r="F1336" s="1">
        <v>173</v>
      </c>
      <c r="G1336" s="1">
        <v>5</v>
      </c>
      <c r="H1336" s="1">
        <v>6.5</v>
      </c>
      <c r="I1336" s="1"/>
      <c r="J1336" s="1"/>
    </row>
    <row r="1337" spans="1:10" x14ac:dyDescent="0.3">
      <c r="A1337" t="str">
        <f t="shared" si="40"/>
        <v>SPG</v>
      </c>
      <c r="B1337">
        <f t="shared" si="41"/>
        <v>9524</v>
      </c>
      <c r="D1337" s="1"/>
      <c r="E1337" s="1" t="s">
        <v>85</v>
      </c>
      <c r="F1337" s="1">
        <v>177</v>
      </c>
      <c r="G1337" s="1">
        <v>4</v>
      </c>
      <c r="H1337" s="1">
        <v>6.5</v>
      </c>
      <c r="I1337" s="1"/>
      <c r="J1337" s="1"/>
    </row>
    <row r="1338" spans="1:10" x14ac:dyDescent="0.3">
      <c r="A1338" t="str">
        <f t="shared" si="40"/>
        <v>SPG</v>
      </c>
      <c r="B1338">
        <f t="shared" si="41"/>
        <v>7324</v>
      </c>
      <c r="D1338" s="1"/>
      <c r="E1338" s="1" t="s">
        <v>111</v>
      </c>
      <c r="F1338" s="1">
        <v>190</v>
      </c>
      <c r="G1338" s="1">
        <v>7</v>
      </c>
      <c r="H1338" s="1">
        <v>6.3</v>
      </c>
      <c r="I1338" s="1"/>
      <c r="J1338" s="1"/>
    </row>
    <row r="1339" spans="1:10" x14ac:dyDescent="0.3">
      <c r="A1339" t="str">
        <f t="shared" si="40"/>
        <v>SPG</v>
      </c>
      <c r="B1339">
        <f t="shared" si="41"/>
        <v>4624</v>
      </c>
      <c r="D1339" s="1"/>
      <c r="E1339" s="1" t="s">
        <v>101</v>
      </c>
      <c r="F1339" s="1">
        <v>190</v>
      </c>
      <c r="G1339" s="1">
        <v>5</v>
      </c>
      <c r="H1339" s="1">
        <v>6.3</v>
      </c>
      <c r="I1339" s="1"/>
      <c r="J1339" s="1"/>
    </row>
    <row r="1340" spans="1:10" x14ac:dyDescent="0.3">
      <c r="A1340" t="str">
        <f t="shared" si="40"/>
        <v>SPG</v>
      </c>
      <c r="B1340">
        <f t="shared" si="41"/>
        <v>1324</v>
      </c>
      <c r="D1340" s="1"/>
      <c r="E1340" s="1" t="s">
        <v>82</v>
      </c>
      <c r="F1340" s="1">
        <v>195</v>
      </c>
      <c r="G1340" s="1">
        <v>6</v>
      </c>
      <c r="H1340" s="1">
        <v>6.3</v>
      </c>
      <c r="I1340" s="1"/>
      <c r="J1340" s="1"/>
    </row>
    <row r="1341" spans="1:10" x14ac:dyDescent="0.3">
      <c r="A1341" t="str">
        <f t="shared" si="40"/>
        <v>SPG</v>
      </c>
      <c r="B1341">
        <f t="shared" si="41"/>
        <v>11524</v>
      </c>
      <c r="D1341" s="1"/>
      <c r="E1341" s="1" t="s">
        <v>97</v>
      </c>
      <c r="F1341" s="1">
        <v>198</v>
      </c>
      <c r="G1341" s="1">
        <v>5</v>
      </c>
      <c r="H1341" s="1">
        <v>6.3</v>
      </c>
      <c r="I1341" s="1"/>
      <c r="J1341" s="1"/>
    </row>
    <row r="1342" spans="1:10" x14ac:dyDescent="0.3">
      <c r="A1342" t="str">
        <f t="shared" si="40"/>
        <v>SPG</v>
      </c>
      <c r="B1342">
        <f t="shared" si="41"/>
        <v>4224</v>
      </c>
      <c r="D1342" s="1"/>
      <c r="E1342" s="1" t="s">
        <v>123</v>
      </c>
      <c r="F1342" s="1">
        <v>203</v>
      </c>
      <c r="G1342" s="1">
        <v>9</v>
      </c>
      <c r="H1342" s="1">
        <v>6.2</v>
      </c>
      <c r="I1342" s="1"/>
      <c r="J1342" s="1"/>
    </row>
    <row r="1343" spans="1:10" x14ac:dyDescent="0.3">
      <c r="A1343" t="str">
        <f t="shared" si="40"/>
        <v>SPG</v>
      </c>
      <c r="B1343">
        <f t="shared" si="41"/>
        <v>12524</v>
      </c>
      <c r="D1343" s="1"/>
      <c r="E1343" s="1" t="s">
        <v>95</v>
      </c>
      <c r="F1343" s="1">
        <v>209</v>
      </c>
      <c r="G1343" s="1">
        <v>5</v>
      </c>
      <c r="H1343" s="1">
        <v>6.2</v>
      </c>
      <c r="I1343" s="1"/>
      <c r="J1343" s="1"/>
    </row>
    <row r="1344" spans="1:10" x14ac:dyDescent="0.3">
      <c r="A1344" t="str">
        <f t="shared" si="40"/>
        <v>SPG</v>
      </c>
      <c r="B1344">
        <f t="shared" si="41"/>
        <v>2324</v>
      </c>
      <c r="D1344" s="1"/>
      <c r="E1344" s="1" t="s">
        <v>79</v>
      </c>
      <c r="F1344" s="1">
        <v>216</v>
      </c>
      <c r="G1344" s="1">
        <v>7</v>
      </c>
      <c r="H1344" s="1">
        <v>6.2</v>
      </c>
      <c r="I1344" s="1"/>
      <c r="J1344" s="1"/>
    </row>
    <row r="1345" spans="1:10" x14ac:dyDescent="0.3">
      <c r="A1345" t="str">
        <f t="shared" si="40"/>
        <v>SPG</v>
      </c>
      <c r="B1345">
        <f t="shared" si="41"/>
        <v>1724</v>
      </c>
      <c r="D1345" s="1"/>
      <c r="E1345" s="1" t="s">
        <v>133</v>
      </c>
      <c r="F1345" s="1">
        <v>225</v>
      </c>
      <c r="G1345" s="1">
        <v>3</v>
      </c>
      <c r="H1345" s="1">
        <v>6.1</v>
      </c>
      <c r="I1345" s="1"/>
      <c r="J1345" s="1"/>
    </row>
    <row r="1346" spans="1:10" x14ac:dyDescent="0.3">
      <c r="A1346" t="str">
        <f t="shared" ref="A1346:A1409" si="42">IF(NOT(D1346=""),INDEX(statAbbr,MATCH(D1346,statOfficial,0),1),A1345)</f>
        <v>SPG</v>
      </c>
      <c r="B1346">
        <f t="shared" ref="B1346:B1409" si="43">INDEX(statID,MATCH(A1346,statAbbr,0),1)+INDEX(teamID,MATCH(E1346,teamRawName,0))</f>
        <v>8824</v>
      </c>
      <c r="D1346" s="1"/>
      <c r="E1346" s="1" t="s">
        <v>141</v>
      </c>
      <c r="F1346" s="1">
        <v>229</v>
      </c>
      <c r="G1346" s="1">
        <v>8</v>
      </c>
      <c r="H1346" s="1">
        <v>6.1</v>
      </c>
      <c r="I1346" s="1"/>
      <c r="J1346" s="1"/>
    </row>
    <row r="1347" spans="1:10" x14ac:dyDescent="0.3">
      <c r="A1347" t="str">
        <f t="shared" si="42"/>
        <v>SPG</v>
      </c>
      <c r="B1347">
        <f t="shared" si="43"/>
        <v>7224</v>
      </c>
      <c r="D1347" s="1"/>
      <c r="E1347" s="1" t="s">
        <v>116</v>
      </c>
      <c r="F1347" s="1">
        <v>234</v>
      </c>
      <c r="G1347" s="1">
        <v>10</v>
      </c>
      <c r="H1347" s="1">
        <v>6</v>
      </c>
      <c r="I1347" s="1"/>
      <c r="J1347" s="1"/>
    </row>
    <row r="1348" spans="1:10" x14ac:dyDescent="0.3">
      <c r="A1348" t="str">
        <f t="shared" si="42"/>
        <v>SPG</v>
      </c>
      <c r="B1348">
        <f t="shared" si="43"/>
        <v>6324</v>
      </c>
      <c r="D1348" s="1"/>
      <c r="E1348" s="1" t="s">
        <v>122</v>
      </c>
      <c r="F1348" s="1">
        <v>240</v>
      </c>
      <c r="G1348" s="1">
        <v>7</v>
      </c>
      <c r="H1348" s="1">
        <v>6</v>
      </c>
      <c r="I1348" s="1"/>
      <c r="J1348" s="1"/>
    </row>
    <row r="1349" spans="1:10" x14ac:dyDescent="0.3">
      <c r="A1349" t="str">
        <f t="shared" si="42"/>
        <v>SPG</v>
      </c>
      <c r="B1349">
        <f t="shared" si="43"/>
        <v>2724</v>
      </c>
      <c r="D1349" s="1"/>
      <c r="E1349" s="1" t="s">
        <v>7</v>
      </c>
      <c r="F1349" s="1">
        <v>249</v>
      </c>
      <c r="G1349" s="1">
        <v>11</v>
      </c>
      <c r="H1349" s="1">
        <v>5.9</v>
      </c>
      <c r="I1349" s="1"/>
      <c r="J1349" s="1"/>
    </row>
    <row r="1350" spans="1:10" x14ac:dyDescent="0.3">
      <c r="A1350" t="str">
        <f t="shared" si="42"/>
        <v>SPG</v>
      </c>
      <c r="B1350">
        <f t="shared" si="43"/>
        <v>11624</v>
      </c>
      <c r="D1350" s="1"/>
      <c r="E1350" s="1" t="s">
        <v>121</v>
      </c>
      <c r="F1350" s="1">
        <v>253</v>
      </c>
      <c r="G1350" s="1">
        <v>7</v>
      </c>
      <c r="H1350" s="1">
        <v>5.9</v>
      </c>
      <c r="I1350" s="1"/>
      <c r="J1350" s="1"/>
    </row>
    <row r="1351" spans="1:10" x14ac:dyDescent="0.3">
      <c r="A1351" t="str">
        <f t="shared" si="42"/>
        <v>SPG</v>
      </c>
      <c r="B1351">
        <f t="shared" si="43"/>
        <v>1524</v>
      </c>
      <c r="D1351" s="1"/>
      <c r="E1351" s="1" t="s">
        <v>124</v>
      </c>
      <c r="F1351" s="1">
        <v>259</v>
      </c>
      <c r="G1351" s="1">
        <v>6</v>
      </c>
      <c r="H1351" s="1">
        <v>5.9</v>
      </c>
      <c r="I1351" s="1"/>
      <c r="J1351" s="1"/>
    </row>
    <row r="1352" spans="1:10" x14ac:dyDescent="0.3">
      <c r="A1352" t="str">
        <f t="shared" si="42"/>
        <v>SPG</v>
      </c>
      <c r="B1352">
        <f t="shared" si="43"/>
        <v>7924</v>
      </c>
      <c r="D1352" s="1"/>
      <c r="E1352" s="1" t="s">
        <v>103</v>
      </c>
      <c r="F1352" s="1">
        <v>259</v>
      </c>
      <c r="G1352" s="1">
        <v>7</v>
      </c>
      <c r="H1352" s="1">
        <v>5.9</v>
      </c>
      <c r="I1352" s="1"/>
      <c r="J1352" s="1"/>
    </row>
    <row r="1353" spans="1:10" x14ac:dyDescent="0.3">
      <c r="A1353" t="str">
        <f t="shared" si="42"/>
        <v>SPG</v>
      </c>
      <c r="B1353">
        <f t="shared" si="43"/>
        <v>4924</v>
      </c>
      <c r="D1353" s="1"/>
      <c r="E1353" s="1" t="s">
        <v>108</v>
      </c>
      <c r="F1353" s="1">
        <v>268</v>
      </c>
      <c r="G1353" s="1">
        <v>10</v>
      </c>
      <c r="H1353" s="1">
        <v>5.8</v>
      </c>
      <c r="I1353" s="1"/>
      <c r="J1353" s="1"/>
    </row>
    <row r="1354" spans="1:10" x14ac:dyDescent="0.3">
      <c r="A1354" t="str">
        <f t="shared" si="42"/>
        <v>SPG</v>
      </c>
      <c r="B1354">
        <f t="shared" si="43"/>
        <v>2124</v>
      </c>
      <c r="D1354" s="1"/>
      <c r="E1354" s="1" t="s">
        <v>136</v>
      </c>
      <c r="F1354" s="1">
        <v>275</v>
      </c>
      <c r="G1354" s="1">
        <v>9</v>
      </c>
      <c r="H1354" s="1">
        <v>5.7</v>
      </c>
      <c r="I1354" s="1"/>
      <c r="J1354" s="1"/>
    </row>
    <row r="1355" spans="1:10" x14ac:dyDescent="0.3">
      <c r="A1355" t="str">
        <f t="shared" si="42"/>
        <v>SPG</v>
      </c>
      <c r="B1355">
        <f t="shared" si="43"/>
        <v>8224</v>
      </c>
      <c r="D1355" s="1"/>
      <c r="E1355" s="1" t="s">
        <v>131</v>
      </c>
      <c r="F1355" s="1">
        <v>280</v>
      </c>
      <c r="G1355" s="1">
        <v>9</v>
      </c>
      <c r="H1355" s="1">
        <v>5.6</v>
      </c>
      <c r="I1355" s="1"/>
      <c r="J1355" s="1"/>
    </row>
    <row r="1356" spans="1:10" x14ac:dyDescent="0.3">
      <c r="A1356" t="str">
        <f t="shared" si="42"/>
        <v>SPG</v>
      </c>
      <c r="B1356">
        <f t="shared" si="43"/>
        <v>5024</v>
      </c>
      <c r="D1356" s="1"/>
      <c r="E1356" s="1" t="s">
        <v>110</v>
      </c>
      <c r="F1356" s="1">
        <v>294</v>
      </c>
      <c r="G1356" s="1">
        <v>13</v>
      </c>
      <c r="H1356" s="1">
        <v>5.5</v>
      </c>
      <c r="I1356" s="1"/>
      <c r="J1356" s="1"/>
    </row>
    <row r="1357" spans="1:10" x14ac:dyDescent="0.3">
      <c r="A1357" t="str">
        <f t="shared" si="42"/>
        <v>SPG</v>
      </c>
      <c r="B1357">
        <f t="shared" si="43"/>
        <v>3024</v>
      </c>
      <c r="D1357" s="1"/>
      <c r="E1357" s="1" t="s">
        <v>89</v>
      </c>
      <c r="F1357" s="1">
        <v>300</v>
      </c>
      <c r="G1357" s="1">
        <v>11</v>
      </c>
      <c r="H1357" s="1">
        <v>5.4</v>
      </c>
      <c r="I1357" s="1"/>
      <c r="J1357" s="1"/>
    </row>
    <row r="1358" spans="1:10" x14ac:dyDescent="0.3">
      <c r="A1358" t="str">
        <f t="shared" si="42"/>
        <v>SPG</v>
      </c>
      <c r="B1358">
        <f t="shared" si="43"/>
        <v>11324</v>
      </c>
      <c r="D1358" s="1"/>
      <c r="E1358" s="1" t="s">
        <v>126</v>
      </c>
      <c r="F1358" s="1">
        <v>305</v>
      </c>
      <c r="G1358" s="1">
        <v>10</v>
      </c>
      <c r="H1358" s="1">
        <v>5.3</v>
      </c>
      <c r="I1358" s="1"/>
      <c r="J1358" s="1"/>
    </row>
    <row r="1359" spans="1:10" x14ac:dyDescent="0.3">
      <c r="A1359" t="str">
        <f t="shared" si="42"/>
        <v>SPG</v>
      </c>
      <c r="B1359">
        <f t="shared" si="43"/>
        <v>10324</v>
      </c>
      <c r="D1359" s="1"/>
      <c r="E1359" s="1" t="s">
        <v>134</v>
      </c>
      <c r="F1359" s="1">
        <v>315</v>
      </c>
      <c r="G1359" s="1">
        <v>12</v>
      </c>
      <c r="H1359" s="1">
        <v>5.2</v>
      </c>
      <c r="I1359" s="1"/>
      <c r="J1359" s="1"/>
    </row>
    <row r="1360" spans="1:10" x14ac:dyDescent="0.3">
      <c r="A1360" t="str">
        <f t="shared" si="42"/>
        <v>SPG</v>
      </c>
      <c r="B1360">
        <f t="shared" si="43"/>
        <v>9124</v>
      </c>
      <c r="D1360" s="1"/>
      <c r="E1360" s="1" t="s">
        <v>99</v>
      </c>
      <c r="F1360" s="1">
        <v>330</v>
      </c>
      <c r="G1360" s="1">
        <v>14</v>
      </c>
      <c r="H1360" s="1">
        <v>4.8</v>
      </c>
      <c r="I1360" s="1"/>
      <c r="J1360" s="1"/>
    </row>
    <row r="1361" spans="1:10" x14ac:dyDescent="0.3">
      <c r="A1361" t="str">
        <f t="shared" si="42"/>
        <v>SPG</v>
      </c>
      <c r="B1361">
        <f t="shared" si="43"/>
        <v>4024</v>
      </c>
      <c r="D1361" s="1"/>
      <c r="E1361" s="1" t="s">
        <v>105</v>
      </c>
      <c r="F1361" s="1">
        <v>334</v>
      </c>
      <c r="G1361" s="1">
        <v>14</v>
      </c>
      <c r="H1361" s="1">
        <v>4.5999999999999996</v>
      </c>
      <c r="I1361" s="1"/>
      <c r="J1361" s="1"/>
    </row>
    <row r="1362" spans="1:10" x14ac:dyDescent="0.3">
      <c r="A1362" t="str">
        <f t="shared" si="42"/>
        <v>SPG</v>
      </c>
      <c r="B1362">
        <f t="shared" si="43"/>
        <v>4324</v>
      </c>
      <c r="D1362" s="1"/>
      <c r="E1362" s="1" t="s">
        <v>125</v>
      </c>
      <c r="F1362" s="1">
        <v>340</v>
      </c>
      <c r="G1362" s="1">
        <v>13</v>
      </c>
      <c r="H1362" s="1">
        <v>4.4000000000000004</v>
      </c>
      <c r="I1362" s="1"/>
      <c r="J1362" s="1"/>
    </row>
    <row r="1363" spans="1:10" x14ac:dyDescent="0.3">
      <c r="A1363" t="str">
        <f t="shared" si="42"/>
        <v>SPG</v>
      </c>
      <c r="B1363">
        <f t="shared" si="43"/>
        <v>3124</v>
      </c>
      <c r="D1363" s="1"/>
      <c r="E1363" s="1" t="s">
        <v>93</v>
      </c>
      <c r="F1363" s="1">
        <v>349</v>
      </c>
      <c r="G1363" s="1">
        <v>11</v>
      </c>
      <c r="H1363" s="1">
        <v>3.8</v>
      </c>
      <c r="I1363" s="1"/>
      <c r="J1363" s="1"/>
    </row>
    <row r="1364" spans="1:10" x14ac:dyDescent="0.3">
      <c r="A1364" t="str">
        <f t="shared" si="42"/>
        <v>3PTA</v>
      </c>
      <c r="B1364">
        <f t="shared" si="43"/>
        <v>2704</v>
      </c>
      <c r="D1364" s="1" t="s">
        <v>172</v>
      </c>
      <c r="E1364" s="1" t="s">
        <v>7</v>
      </c>
      <c r="F1364" s="1">
        <v>2</v>
      </c>
      <c r="G1364" s="1">
        <v>1</v>
      </c>
      <c r="H1364" s="1">
        <v>32</v>
      </c>
      <c r="I1364" s="1" t="s">
        <v>173</v>
      </c>
      <c r="J1364" s="1">
        <v>33.200000000000003</v>
      </c>
    </row>
    <row r="1365" spans="1:10" x14ac:dyDescent="0.3">
      <c r="A1365" t="str">
        <f t="shared" si="42"/>
        <v>3PTA</v>
      </c>
      <c r="B1365">
        <f t="shared" si="43"/>
        <v>11504</v>
      </c>
      <c r="D1365" s="1"/>
      <c r="E1365" s="1" t="s">
        <v>97</v>
      </c>
      <c r="F1365" s="1">
        <v>3</v>
      </c>
      <c r="G1365" s="1">
        <v>1</v>
      </c>
      <c r="H1365" s="1">
        <v>30.6</v>
      </c>
      <c r="I1365" s="1"/>
      <c r="J1365" s="1"/>
    </row>
    <row r="1366" spans="1:10" x14ac:dyDescent="0.3">
      <c r="A1366" t="str">
        <f t="shared" si="42"/>
        <v>3PTA</v>
      </c>
      <c r="B1366">
        <f t="shared" si="43"/>
        <v>3704</v>
      </c>
      <c r="D1366" s="1"/>
      <c r="E1366" s="1" t="s">
        <v>115</v>
      </c>
      <c r="F1366" s="1">
        <v>4</v>
      </c>
      <c r="G1366" s="1">
        <v>1</v>
      </c>
      <c r="H1366" s="1">
        <v>29.9</v>
      </c>
      <c r="I1366" s="1"/>
      <c r="J1366" s="1"/>
    </row>
    <row r="1367" spans="1:10" x14ac:dyDescent="0.3">
      <c r="A1367" t="str">
        <f t="shared" si="42"/>
        <v>3PTA</v>
      </c>
      <c r="B1367">
        <f t="shared" si="43"/>
        <v>3104</v>
      </c>
      <c r="D1367" s="1"/>
      <c r="E1367" s="1" t="s">
        <v>93</v>
      </c>
      <c r="F1367" s="1">
        <v>9</v>
      </c>
      <c r="G1367" s="1">
        <v>1</v>
      </c>
      <c r="H1367" s="1">
        <v>29.1</v>
      </c>
      <c r="I1367" s="1"/>
      <c r="J1367" s="1"/>
    </row>
    <row r="1368" spans="1:10" x14ac:dyDescent="0.3">
      <c r="A1368" t="str">
        <f t="shared" si="42"/>
        <v>3PTA</v>
      </c>
      <c r="B1368">
        <f t="shared" si="43"/>
        <v>7304</v>
      </c>
      <c r="D1368" s="1"/>
      <c r="E1368" s="1" t="s">
        <v>111</v>
      </c>
      <c r="F1368" s="1">
        <v>27</v>
      </c>
      <c r="G1368" s="1">
        <v>1</v>
      </c>
      <c r="H1368" s="1">
        <v>26.3</v>
      </c>
      <c r="I1368" s="1"/>
      <c r="J1368" s="1"/>
    </row>
    <row r="1369" spans="1:10" x14ac:dyDescent="0.3">
      <c r="A1369" t="str">
        <f t="shared" si="42"/>
        <v>3PTA</v>
      </c>
      <c r="B1369">
        <f t="shared" si="43"/>
        <v>1504</v>
      </c>
      <c r="D1369" s="1"/>
      <c r="E1369" s="1" t="s">
        <v>124</v>
      </c>
      <c r="F1369" s="1">
        <v>30</v>
      </c>
      <c r="G1369" s="1">
        <v>1</v>
      </c>
      <c r="H1369" s="1">
        <v>26.1</v>
      </c>
      <c r="I1369" s="1"/>
      <c r="J1369" s="1"/>
    </row>
    <row r="1370" spans="1:10" x14ac:dyDescent="0.3">
      <c r="A1370" t="str">
        <f t="shared" si="42"/>
        <v>3PTA</v>
      </c>
      <c r="B1370">
        <f t="shared" si="43"/>
        <v>3504</v>
      </c>
      <c r="D1370" s="1"/>
      <c r="E1370" s="1" t="s">
        <v>87</v>
      </c>
      <c r="F1370" s="1">
        <v>40</v>
      </c>
      <c r="G1370" s="1">
        <v>2</v>
      </c>
      <c r="H1370" s="1">
        <v>25.4</v>
      </c>
      <c r="I1370" s="1"/>
      <c r="J1370" s="1"/>
    </row>
    <row r="1371" spans="1:10" x14ac:dyDescent="0.3">
      <c r="A1371" t="str">
        <f t="shared" si="42"/>
        <v>3PTA</v>
      </c>
      <c r="B1371">
        <f t="shared" si="43"/>
        <v>9904</v>
      </c>
      <c r="D1371" s="1"/>
      <c r="E1371" s="1" t="s">
        <v>113</v>
      </c>
      <c r="F1371" s="1">
        <v>41</v>
      </c>
      <c r="G1371" s="1">
        <v>4</v>
      </c>
      <c r="H1371" s="1">
        <v>25.4</v>
      </c>
      <c r="I1371" s="1"/>
      <c r="J1371" s="1"/>
    </row>
    <row r="1372" spans="1:10" x14ac:dyDescent="0.3">
      <c r="A1372" t="str">
        <f t="shared" si="42"/>
        <v>3PTA</v>
      </c>
      <c r="B1372">
        <f t="shared" si="43"/>
        <v>7904</v>
      </c>
      <c r="D1372" s="1"/>
      <c r="E1372" s="1" t="s">
        <v>103</v>
      </c>
      <c r="F1372" s="1">
        <v>49</v>
      </c>
      <c r="G1372" s="1">
        <v>2</v>
      </c>
      <c r="H1372" s="1">
        <v>25.1</v>
      </c>
      <c r="I1372" s="1"/>
      <c r="J1372" s="1"/>
    </row>
    <row r="1373" spans="1:10" x14ac:dyDescent="0.3">
      <c r="A1373" t="str">
        <f t="shared" si="42"/>
        <v>3PTA</v>
      </c>
      <c r="B1373">
        <f t="shared" si="43"/>
        <v>3304</v>
      </c>
      <c r="D1373" s="1"/>
      <c r="E1373" s="1" t="s">
        <v>91</v>
      </c>
      <c r="F1373" s="1">
        <v>50</v>
      </c>
      <c r="G1373" s="1">
        <v>4</v>
      </c>
      <c r="H1373" s="1">
        <v>25.1</v>
      </c>
      <c r="I1373" s="1"/>
      <c r="J1373" s="1"/>
    </row>
    <row r="1374" spans="1:10" x14ac:dyDescent="0.3">
      <c r="A1374" t="str">
        <f t="shared" si="42"/>
        <v>3PTA</v>
      </c>
      <c r="B1374">
        <f t="shared" si="43"/>
        <v>8004</v>
      </c>
      <c r="D1374" s="1"/>
      <c r="E1374" s="1" t="s">
        <v>117</v>
      </c>
      <c r="F1374" s="1">
        <v>54</v>
      </c>
      <c r="G1374" s="1">
        <v>5</v>
      </c>
      <c r="H1374" s="1">
        <v>24.9</v>
      </c>
      <c r="I1374" s="1"/>
      <c r="J1374" s="1"/>
    </row>
    <row r="1375" spans="1:10" x14ac:dyDescent="0.3">
      <c r="A1375" t="str">
        <f t="shared" si="42"/>
        <v>3PTA</v>
      </c>
      <c r="B1375">
        <f t="shared" si="43"/>
        <v>8204</v>
      </c>
      <c r="D1375" s="1"/>
      <c r="E1375" s="1" t="s">
        <v>131</v>
      </c>
      <c r="F1375" s="1">
        <v>59</v>
      </c>
      <c r="G1375" s="1">
        <v>2</v>
      </c>
      <c r="H1375" s="1">
        <v>24.7</v>
      </c>
      <c r="I1375" s="1"/>
      <c r="J1375" s="1"/>
    </row>
    <row r="1376" spans="1:10" x14ac:dyDescent="0.3">
      <c r="A1376" t="str">
        <f t="shared" si="42"/>
        <v>3PTA</v>
      </c>
      <c r="B1376">
        <f t="shared" si="43"/>
        <v>12004</v>
      </c>
      <c r="D1376" s="1"/>
      <c r="E1376" s="1" t="s">
        <v>135</v>
      </c>
      <c r="F1376" s="1">
        <v>59</v>
      </c>
      <c r="G1376" s="1">
        <v>1</v>
      </c>
      <c r="H1376" s="1">
        <v>24.7</v>
      </c>
      <c r="I1376" s="1"/>
      <c r="J1376" s="1"/>
    </row>
    <row r="1377" spans="1:10" x14ac:dyDescent="0.3">
      <c r="A1377" t="str">
        <f t="shared" si="42"/>
        <v>3PTA</v>
      </c>
      <c r="B1377">
        <f t="shared" si="43"/>
        <v>11304</v>
      </c>
      <c r="D1377" s="1"/>
      <c r="E1377" s="1" t="s">
        <v>126</v>
      </c>
      <c r="F1377" s="1">
        <v>66</v>
      </c>
      <c r="G1377" s="1">
        <v>3</v>
      </c>
      <c r="H1377" s="1">
        <v>24.5</v>
      </c>
      <c r="I1377" s="1"/>
      <c r="J1377" s="1"/>
    </row>
    <row r="1378" spans="1:10" x14ac:dyDescent="0.3">
      <c r="A1378" t="str">
        <f t="shared" si="42"/>
        <v>3PTA</v>
      </c>
      <c r="B1378">
        <f t="shared" si="43"/>
        <v>5504</v>
      </c>
      <c r="D1378" s="1"/>
      <c r="E1378" s="1" t="s">
        <v>86</v>
      </c>
      <c r="F1378" s="1">
        <v>78</v>
      </c>
      <c r="G1378" s="1">
        <v>3</v>
      </c>
      <c r="H1378" s="1">
        <v>24.2</v>
      </c>
      <c r="I1378" s="1"/>
      <c r="J1378" s="1"/>
    </row>
    <row r="1379" spans="1:10" x14ac:dyDescent="0.3">
      <c r="A1379" t="str">
        <f t="shared" si="42"/>
        <v>3PTA</v>
      </c>
      <c r="B1379">
        <f t="shared" si="43"/>
        <v>3604</v>
      </c>
      <c r="D1379" s="1"/>
      <c r="E1379" s="1" t="s">
        <v>129</v>
      </c>
      <c r="F1379" s="1">
        <v>80</v>
      </c>
      <c r="G1379" s="1">
        <v>4</v>
      </c>
      <c r="H1379" s="1">
        <v>24.1</v>
      </c>
      <c r="I1379" s="1"/>
      <c r="J1379" s="1"/>
    </row>
    <row r="1380" spans="1:10" x14ac:dyDescent="0.3">
      <c r="A1380" t="str">
        <f t="shared" si="42"/>
        <v>3PTA</v>
      </c>
      <c r="B1380">
        <f t="shared" si="43"/>
        <v>4304</v>
      </c>
      <c r="D1380" s="1"/>
      <c r="E1380" s="1" t="s">
        <v>125</v>
      </c>
      <c r="F1380" s="1">
        <v>89</v>
      </c>
      <c r="G1380" s="1">
        <v>2</v>
      </c>
      <c r="H1380" s="1">
        <v>23.9</v>
      </c>
      <c r="I1380" s="1"/>
      <c r="J1380" s="1"/>
    </row>
    <row r="1381" spans="1:10" x14ac:dyDescent="0.3">
      <c r="A1381" t="str">
        <f t="shared" si="42"/>
        <v>3PTA</v>
      </c>
      <c r="B1381">
        <f t="shared" si="43"/>
        <v>2204</v>
      </c>
      <c r="D1381" s="1"/>
      <c r="E1381" s="1" t="s">
        <v>119</v>
      </c>
      <c r="F1381" s="1">
        <v>92</v>
      </c>
      <c r="G1381" s="1">
        <v>4</v>
      </c>
      <c r="H1381" s="1">
        <v>23.8</v>
      </c>
      <c r="I1381" s="1"/>
      <c r="J1381" s="1"/>
    </row>
    <row r="1382" spans="1:10" x14ac:dyDescent="0.3">
      <c r="A1382" t="str">
        <f t="shared" si="42"/>
        <v>3PTA</v>
      </c>
      <c r="B1382">
        <f t="shared" si="43"/>
        <v>9104</v>
      </c>
      <c r="D1382" s="1"/>
      <c r="E1382" s="1" t="s">
        <v>99</v>
      </c>
      <c r="F1382" s="1">
        <v>93</v>
      </c>
      <c r="G1382" s="1">
        <v>6</v>
      </c>
      <c r="H1382" s="1">
        <v>23.8</v>
      </c>
      <c r="I1382" s="1"/>
      <c r="J1382" s="1"/>
    </row>
    <row r="1383" spans="1:10" x14ac:dyDescent="0.3">
      <c r="A1383" t="str">
        <f t="shared" si="42"/>
        <v>3PTA</v>
      </c>
      <c r="B1383">
        <f t="shared" si="43"/>
        <v>2304</v>
      </c>
      <c r="D1383" s="1"/>
      <c r="E1383" s="1" t="s">
        <v>79</v>
      </c>
      <c r="F1383" s="1">
        <v>96</v>
      </c>
      <c r="G1383" s="1">
        <v>6</v>
      </c>
      <c r="H1383" s="1">
        <v>23.8</v>
      </c>
      <c r="I1383" s="1"/>
      <c r="J1383" s="1"/>
    </row>
    <row r="1384" spans="1:10" x14ac:dyDescent="0.3">
      <c r="A1384" t="str">
        <f t="shared" si="42"/>
        <v>3PTA</v>
      </c>
      <c r="B1384">
        <f t="shared" si="43"/>
        <v>4804</v>
      </c>
      <c r="D1384" s="1"/>
      <c r="E1384" s="1" t="s">
        <v>104</v>
      </c>
      <c r="F1384" s="1">
        <v>98</v>
      </c>
      <c r="G1384" s="1">
        <v>5</v>
      </c>
      <c r="H1384" s="1">
        <v>23.7</v>
      </c>
      <c r="I1384" s="1"/>
      <c r="J1384" s="1"/>
    </row>
    <row r="1385" spans="1:10" x14ac:dyDescent="0.3">
      <c r="A1385" t="str">
        <f t="shared" si="42"/>
        <v>3PTA</v>
      </c>
      <c r="B1385">
        <f t="shared" si="43"/>
        <v>7204</v>
      </c>
      <c r="D1385" s="1"/>
      <c r="E1385" s="1" t="s">
        <v>116</v>
      </c>
      <c r="F1385" s="1">
        <v>100</v>
      </c>
      <c r="G1385" s="1">
        <v>3</v>
      </c>
      <c r="H1385" s="1">
        <v>23.6</v>
      </c>
      <c r="I1385" s="1"/>
      <c r="J1385" s="1"/>
    </row>
    <row r="1386" spans="1:10" x14ac:dyDescent="0.3">
      <c r="A1386" t="str">
        <f t="shared" si="42"/>
        <v>3PTA</v>
      </c>
      <c r="B1386">
        <f t="shared" si="43"/>
        <v>5004</v>
      </c>
      <c r="D1386" s="1"/>
      <c r="E1386" s="1" t="s">
        <v>110</v>
      </c>
      <c r="F1386" s="1">
        <v>104</v>
      </c>
      <c r="G1386" s="1">
        <v>6</v>
      </c>
      <c r="H1386" s="1">
        <v>23.5</v>
      </c>
      <c r="I1386" s="1"/>
      <c r="J1386" s="1"/>
    </row>
    <row r="1387" spans="1:10" x14ac:dyDescent="0.3">
      <c r="A1387" t="str">
        <f t="shared" si="42"/>
        <v>3PTA</v>
      </c>
      <c r="B1387">
        <f t="shared" si="43"/>
        <v>1704</v>
      </c>
      <c r="D1387" s="1"/>
      <c r="E1387" s="1" t="s">
        <v>133</v>
      </c>
      <c r="F1387" s="1">
        <v>105</v>
      </c>
      <c r="G1387" s="1">
        <v>5</v>
      </c>
      <c r="H1387" s="1">
        <v>23.5</v>
      </c>
      <c r="I1387" s="1"/>
      <c r="J1387" s="1"/>
    </row>
    <row r="1388" spans="1:10" x14ac:dyDescent="0.3">
      <c r="A1388" t="str">
        <f t="shared" si="42"/>
        <v>3PTA</v>
      </c>
      <c r="B1388">
        <f t="shared" si="43"/>
        <v>4004</v>
      </c>
      <c r="D1388" s="1"/>
      <c r="E1388" s="1" t="s">
        <v>105</v>
      </c>
      <c r="F1388" s="1">
        <v>108</v>
      </c>
      <c r="G1388" s="1">
        <v>5</v>
      </c>
      <c r="H1388" s="1">
        <v>23.4</v>
      </c>
      <c r="I1388" s="1"/>
      <c r="J1388" s="1"/>
    </row>
    <row r="1389" spans="1:10" x14ac:dyDescent="0.3">
      <c r="A1389" t="str">
        <f t="shared" si="42"/>
        <v>3PTA</v>
      </c>
      <c r="B1389">
        <f t="shared" si="43"/>
        <v>9504</v>
      </c>
      <c r="D1389" s="1"/>
      <c r="E1389" s="1" t="s">
        <v>85</v>
      </c>
      <c r="F1389" s="1">
        <v>111</v>
      </c>
      <c r="G1389" s="1">
        <v>6</v>
      </c>
      <c r="H1389" s="1">
        <v>23.4</v>
      </c>
      <c r="I1389" s="1"/>
      <c r="J1389" s="1"/>
    </row>
    <row r="1390" spans="1:10" x14ac:dyDescent="0.3">
      <c r="A1390" t="str">
        <f t="shared" si="42"/>
        <v>3PTA</v>
      </c>
      <c r="B1390">
        <f t="shared" si="43"/>
        <v>2104</v>
      </c>
      <c r="D1390" s="1"/>
      <c r="E1390" s="1" t="s">
        <v>136</v>
      </c>
      <c r="F1390" s="1">
        <v>128</v>
      </c>
      <c r="G1390" s="1">
        <v>3</v>
      </c>
      <c r="H1390" s="1">
        <v>23</v>
      </c>
      <c r="I1390" s="1"/>
      <c r="J1390" s="1"/>
    </row>
    <row r="1391" spans="1:10" x14ac:dyDescent="0.3">
      <c r="A1391" t="str">
        <f t="shared" si="42"/>
        <v>3PTA</v>
      </c>
      <c r="B1391">
        <f t="shared" si="43"/>
        <v>4504</v>
      </c>
      <c r="D1391" s="1"/>
      <c r="E1391" s="1" t="s">
        <v>84</v>
      </c>
      <c r="F1391" s="1">
        <v>142</v>
      </c>
      <c r="G1391" s="1">
        <v>9</v>
      </c>
      <c r="H1391" s="1">
        <v>22.7</v>
      </c>
      <c r="I1391" s="1"/>
      <c r="J1391" s="1"/>
    </row>
    <row r="1392" spans="1:10" x14ac:dyDescent="0.3">
      <c r="A1392" t="str">
        <f t="shared" si="42"/>
        <v>3PTA</v>
      </c>
      <c r="B1392">
        <f t="shared" si="43"/>
        <v>4904</v>
      </c>
      <c r="D1392" s="1"/>
      <c r="E1392" s="1" t="s">
        <v>108</v>
      </c>
      <c r="F1392" s="1">
        <v>144</v>
      </c>
      <c r="G1392" s="1">
        <v>8</v>
      </c>
      <c r="H1392" s="1">
        <v>22.7</v>
      </c>
      <c r="I1392" s="1"/>
      <c r="J1392" s="1"/>
    </row>
    <row r="1393" spans="1:10" x14ac:dyDescent="0.3">
      <c r="A1393" t="str">
        <f t="shared" si="42"/>
        <v>3PTA</v>
      </c>
      <c r="B1393">
        <f t="shared" si="43"/>
        <v>5704</v>
      </c>
      <c r="D1393" s="1"/>
      <c r="E1393" s="1" t="s">
        <v>120</v>
      </c>
      <c r="F1393" s="1">
        <v>145</v>
      </c>
      <c r="G1393" s="1">
        <v>10</v>
      </c>
      <c r="H1393" s="1">
        <v>22.6</v>
      </c>
      <c r="I1393" s="1"/>
      <c r="J1393" s="1"/>
    </row>
    <row r="1394" spans="1:10" x14ac:dyDescent="0.3">
      <c r="A1394" t="str">
        <f t="shared" si="42"/>
        <v>3PTA</v>
      </c>
      <c r="B1394">
        <f t="shared" si="43"/>
        <v>1604</v>
      </c>
      <c r="D1394" s="1"/>
      <c r="E1394" s="1" t="s">
        <v>137</v>
      </c>
      <c r="F1394" s="1">
        <v>153</v>
      </c>
      <c r="G1394" s="1">
        <v>11</v>
      </c>
      <c r="H1394" s="1">
        <v>22.3</v>
      </c>
      <c r="I1394" s="1"/>
      <c r="J1394" s="1"/>
    </row>
    <row r="1395" spans="1:10" x14ac:dyDescent="0.3">
      <c r="A1395" t="str">
        <f t="shared" si="42"/>
        <v>3PTA</v>
      </c>
      <c r="B1395">
        <f t="shared" si="43"/>
        <v>1204</v>
      </c>
      <c r="D1395" s="1"/>
      <c r="E1395" s="1" t="s">
        <v>130</v>
      </c>
      <c r="F1395" s="1">
        <v>158</v>
      </c>
      <c r="G1395" s="1">
        <v>4</v>
      </c>
      <c r="H1395" s="1">
        <v>22.2</v>
      </c>
      <c r="I1395" s="1"/>
      <c r="J1395" s="1"/>
    </row>
    <row r="1396" spans="1:10" x14ac:dyDescent="0.3">
      <c r="A1396" t="str">
        <f t="shared" si="42"/>
        <v>3PTA</v>
      </c>
      <c r="B1396">
        <f t="shared" si="43"/>
        <v>12904</v>
      </c>
      <c r="D1396" s="1"/>
      <c r="E1396" s="1" t="s">
        <v>132</v>
      </c>
      <c r="F1396" s="1">
        <v>159</v>
      </c>
      <c r="G1396" s="1">
        <v>9</v>
      </c>
      <c r="H1396" s="1">
        <v>22.2</v>
      </c>
      <c r="I1396" s="1"/>
      <c r="J1396" s="1"/>
    </row>
    <row r="1397" spans="1:10" x14ac:dyDescent="0.3">
      <c r="A1397" t="str">
        <f t="shared" si="42"/>
        <v>3PTA</v>
      </c>
      <c r="B1397">
        <f t="shared" si="43"/>
        <v>2804</v>
      </c>
      <c r="D1397" s="1"/>
      <c r="E1397" s="1" t="s">
        <v>106</v>
      </c>
      <c r="F1397" s="1">
        <v>159</v>
      </c>
      <c r="G1397" s="1">
        <v>6</v>
      </c>
      <c r="H1397" s="1">
        <v>22.2</v>
      </c>
      <c r="I1397" s="1"/>
      <c r="J1397" s="1"/>
    </row>
    <row r="1398" spans="1:10" x14ac:dyDescent="0.3">
      <c r="A1398" t="str">
        <f t="shared" si="42"/>
        <v>3PTA</v>
      </c>
      <c r="B1398">
        <f t="shared" si="43"/>
        <v>3204</v>
      </c>
      <c r="D1398" s="1"/>
      <c r="E1398" s="1" t="s">
        <v>127</v>
      </c>
      <c r="F1398" s="1">
        <v>166</v>
      </c>
      <c r="G1398" s="1">
        <v>7</v>
      </c>
      <c r="H1398" s="1">
        <v>22.1</v>
      </c>
      <c r="I1398" s="1"/>
      <c r="J1398" s="1"/>
    </row>
    <row r="1399" spans="1:10" x14ac:dyDescent="0.3">
      <c r="A1399" t="str">
        <f t="shared" si="42"/>
        <v>3PTA</v>
      </c>
      <c r="B1399">
        <f t="shared" si="43"/>
        <v>11604</v>
      </c>
      <c r="D1399" s="1"/>
      <c r="E1399" s="1" t="s">
        <v>121</v>
      </c>
      <c r="F1399" s="1">
        <v>168</v>
      </c>
      <c r="G1399" s="1">
        <v>3</v>
      </c>
      <c r="H1399" s="1">
        <v>22</v>
      </c>
      <c r="I1399" s="1"/>
      <c r="J1399" s="1"/>
    </row>
    <row r="1400" spans="1:10" x14ac:dyDescent="0.3">
      <c r="A1400" t="str">
        <f t="shared" si="42"/>
        <v>3PTA</v>
      </c>
      <c r="B1400">
        <f t="shared" si="43"/>
        <v>5404</v>
      </c>
      <c r="D1400" s="1"/>
      <c r="E1400" s="1" t="s">
        <v>94</v>
      </c>
      <c r="F1400" s="1">
        <v>171</v>
      </c>
      <c r="G1400" s="1">
        <v>9</v>
      </c>
      <c r="H1400" s="1">
        <v>22</v>
      </c>
      <c r="I1400" s="1"/>
      <c r="J1400" s="1"/>
    </row>
    <row r="1401" spans="1:10" x14ac:dyDescent="0.3">
      <c r="A1401" t="str">
        <f t="shared" si="42"/>
        <v>3PTA</v>
      </c>
      <c r="B1401">
        <f t="shared" si="43"/>
        <v>1304</v>
      </c>
      <c r="D1401" s="1"/>
      <c r="E1401" s="1" t="s">
        <v>82</v>
      </c>
      <c r="F1401" s="1">
        <v>182</v>
      </c>
      <c r="G1401" s="1">
        <v>5</v>
      </c>
      <c r="H1401" s="1">
        <v>21.7</v>
      </c>
      <c r="I1401" s="1"/>
      <c r="J1401" s="1"/>
    </row>
    <row r="1402" spans="1:10" x14ac:dyDescent="0.3">
      <c r="A1402" t="str">
        <f t="shared" si="42"/>
        <v>3PTA</v>
      </c>
      <c r="B1402">
        <f t="shared" si="43"/>
        <v>8404</v>
      </c>
      <c r="D1402" s="1"/>
      <c r="E1402" s="1" t="s">
        <v>109</v>
      </c>
      <c r="F1402" s="1">
        <v>184</v>
      </c>
      <c r="G1402" s="1">
        <v>7</v>
      </c>
      <c r="H1402" s="1">
        <v>21.6</v>
      </c>
      <c r="I1402" s="1"/>
      <c r="J1402" s="1"/>
    </row>
    <row r="1403" spans="1:10" x14ac:dyDescent="0.3">
      <c r="A1403" t="str">
        <f t="shared" si="42"/>
        <v>3PTA</v>
      </c>
      <c r="B1403">
        <f t="shared" si="43"/>
        <v>8804</v>
      </c>
      <c r="D1403" s="1"/>
      <c r="E1403" s="1" t="s">
        <v>141</v>
      </c>
      <c r="F1403" s="1">
        <v>184</v>
      </c>
      <c r="G1403" s="1">
        <v>2</v>
      </c>
      <c r="H1403" s="1">
        <v>21.6</v>
      </c>
      <c r="I1403" s="1"/>
      <c r="J1403" s="1"/>
    </row>
    <row r="1404" spans="1:10" x14ac:dyDescent="0.3">
      <c r="A1404" t="str">
        <f t="shared" si="42"/>
        <v>3PTA</v>
      </c>
      <c r="B1404">
        <f t="shared" si="43"/>
        <v>6904</v>
      </c>
      <c r="D1404" s="1"/>
      <c r="E1404" s="1" t="s">
        <v>114</v>
      </c>
      <c r="F1404" s="1">
        <v>188</v>
      </c>
      <c r="G1404" s="1">
        <v>6</v>
      </c>
      <c r="H1404" s="1">
        <v>21.6</v>
      </c>
      <c r="I1404" s="1"/>
      <c r="J1404" s="1"/>
    </row>
    <row r="1405" spans="1:10" x14ac:dyDescent="0.3">
      <c r="A1405" t="str">
        <f t="shared" si="42"/>
        <v>3PTA</v>
      </c>
      <c r="B1405">
        <f t="shared" si="43"/>
        <v>2504</v>
      </c>
      <c r="D1405" s="1"/>
      <c r="E1405" s="1" t="s">
        <v>92</v>
      </c>
      <c r="F1405" s="1">
        <v>190</v>
      </c>
      <c r="G1405" s="1">
        <v>5</v>
      </c>
      <c r="H1405" s="1">
        <v>21.6</v>
      </c>
      <c r="I1405" s="1"/>
      <c r="J1405" s="1"/>
    </row>
    <row r="1406" spans="1:10" x14ac:dyDescent="0.3">
      <c r="A1406" t="str">
        <f t="shared" si="42"/>
        <v>3PTA</v>
      </c>
      <c r="B1406">
        <f t="shared" si="43"/>
        <v>2904</v>
      </c>
      <c r="D1406" s="1"/>
      <c r="E1406" s="1" t="s">
        <v>96</v>
      </c>
      <c r="F1406" s="1">
        <v>191</v>
      </c>
      <c r="G1406" s="1">
        <v>7</v>
      </c>
      <c r="H1406" s="1">
        <v>21.6</v>
      </c>
      <c r="I1406" s="1"/>
      <c r="J1406" s="1"/>
    </row>
    <row r="1407" spans="1:10" x14ac:dyDescent="0.3">
      <c r="A1407" t="str">
        <f t="shared" si="42"/>
        <v>3PTA</v>
      </c>
      <c r="B1407">
        <f t="shared" si="43"/>
        <v>6204</v>
      </c>
      <c r="D1407" s="1"/>
      <c r="E1407" s="1" t="s">
        <v>81</v>
      </c>
      <c r="F1407" s="1">
        <v>212</v>
      </c>
      <c r="G1407" s="1">
        <v>7</v>
      </c>
      <c r="H1407" s="1">
        <v>21</v>
      </c>
      <c r="I1407" s="1"/>
      <c r="J1407" s="1"/>
    </row>
    <row r="1408" spans="1:10" x14ac:dyDescent="0.3">
      <c r="A1408" t="str">
        <f t="shared" si="42"/>
        <v>3PTA</v>
      </c>
      <c r="B1408">
        <f t="shared" si="43"/>
        <v>5804</v>
      </c>
      <c r="D1408" s="1"/>
      <c r="E1408" s="1" t="s">
        <v>139</v>
      </c>
      <c r="F1408" s="1">
        <v>221</v>
      </c>
      <c r="G1408" s="1">
        <v>4</v>
      </c>
      <c r="H1408" s="1">
        <v>20.8</v>
      </c>
      <c r="I1408" s="1"/>
      <c r="J1408" s="1"/>
    </row>
    <row r="1409" spans="1:10" x14ac:dyDescent="0.3">
      <c r="A1409" t="str">
        <f t="shared" si="42"/>
        <v>3PTA</v>
      </c>
      <c r="B1409">
        <f t="shared" si="43"/>
        <v>12504</v>
      </c>
      <c r="D1409" s="1"/>
      <c r="E1409" s="1" t="s">
        <v>95</v>
      </c>
      <c r="F1409" s="1">
        <v>222</v>
      </c>
      <c r="G1409" s="1">
        <v>8</v>
      </c>
      <c r="H1409" s="1">
        <v>20.8</v>
      </c>
      <c r="I1409" s="1"/>
      <c r="J1409" s="1"/>
    </row>
    <row r="1410" spans="1:10" x14ac:dyDescent="0.3">
      <c r="A1410" t="str">
        <f t="shared" ref="A1410:A1473" si="44">IF(NOT(D1410=""),INDEX(statAbbr,MATCH(D1410,statOfficial,0),1),A1409)</f>
        <v>3PTA</v>
      </c>
      <c r="B1410">
        <f t="shared" ref="B1410:B1473" si="45">INDEX(statID,MATCH(A1410,statAbbr,0),1)+INDEX(teamID,MATCH(E1410,teamRawName,0))</f>
        <v>4204</v>
      </c>
      <c r="D1410" s="1"/>
      <c r="E1410" s="1" t="s">
        <v>123</v>
      </c>
      <c r="F1410" s="1">
        <v>236</v>
      </c>
      <c r="G1410" s="1">
        <v>9</v>
      </c>
      <c r="H1410" s="1">
        <v>20.399999999999999</v>
      </c>
      <c r="I1410" s="1"/>
      <c r="J1410" s="1"/>
    </row>
    <row r="1411" spans="1:10" x14ac:dyDescent="0.3">
      <c r="A1411" t="str">
        <f t="shared" si="44"/>
        <v>3PTA</v>
      </c>
      <c r="B1411">
        <f t="shared" si="45"/>
        <v>6704</v>
      </c>
      <c r="D1411" s="1"/>
      <c r="E1411" s="1" t="s">
        <v>118</v>
      </c>
      <c r="F1411" s="1">
        <v>240</v>
      </c>
      <c r="G1411" s="1">
        <v>11</v>
      </c>
      <c r="H1411" s="1">
        <v>20.3</v>
      </c>
      <c r="I1411" s="1"/>
      <c r="J1411" s="1"/>
    </row>
    <row r="1412" spans="1:10" x14ac:dyDescent="0.3">
      <c r="A1412" t="str">
        <f t="shared" si="44"/>
        <v>3PTA</v>
      </c>
      <c r="B1412">
        <f t="shared" si="45"/>
        <v>3004</v>
      </c>
      <c r="D1412" s="1"/>
      <c r="E1412" s="1" t="s">
        <v>89</v>
      </c>
      <c r="F1412" s="1">
        <v>246</v>
      </c>
      <c r="G1412" s="1">
        <v>10</v>
      </c>
      <c r="H1412" s="1">
        <v>20.2</v>
      </c>
      <c r="I1412" s="1"/>
      <c r="J1412" s="1"/>
    </row>
    <row r="1413" spans="1:10" x14ac:dyDescent="0.3">
      <c r="A1413" t="str">
        <f t="shared" si="44"/>
        <v>3PTA</v>
      </c>
      <c r="B1413">
        <f t="shared" si="45"/>
        <v>12104</v>
      </c>
      <c r="D1413" s="1"/>
      <c r="E1413" s="1" t="s">
        <v>140</v>
      </c>
      <c r="F1413" s="1">
        <v>248</v>
      </c>
      <c r="G1413" s="1">
        <v>5</v>
      </c>
      <c r="H1413" s="1">
        <v>20.2</v>
      </c>
      <c r="I1413" s="1"/>
      <c r="J1413" s="1"/>
    </row>
    <row r="1414" spans="1:10" x14ac:dyDescent="0.3">
      <c r="A1414" t="str">
        <f t="shared" si="44"/>
        <v>3PTA</v>
      </c>
      <c r="B1414">
        <f t="shared" si="45"/>
        <v>1904</v>
      </c>
      <c r="D1414" s="1"/>
      <c r="E1414" s="1" t="s">
        <v>112</v>
      </c>
      <c r="F1414" s="1">
        <v>249</v>
      </c>
      <c r="G1414" s="1">
        <v>12</v>
      </c>
      <c r="H1414" s="1">
        <v>20.2</v>
      </c>
      <c r="I1414" s="1"/>
      <c r="J1414" s="1"/>
    </row>
    <row r="1415" spans="1:10" x14ac:dyDescent="0.3">
      <c r="A1415" t="str">
        <f t="shared" si="44"/>
        <v>3PTA</v>
      </c>
      <c r="B1415">
        <f t="shared" si="45"/>
        <v>4704</v>
      </c>
      <c r="D1415" s="1"/>
      <c r="E1415" s="1" t="s">
        <v>107</v>
      </c>
      <c r="F1415" s="1">
        <v>263</v>
      </c>
      <c r="G1415" s="1">
        <v>9</v>
      </c>
      <c r="H1415" s="1">
        <v>19.8</v>
      </c>
      <c r="I1415" s="1"/>
      <c r="J1415" s="1"/>
    </row>
    <row r="1416" spans="1:10" x14ac:dyDescent="0.3">
      <c r="A1416" t="str">
        <f t="shared" si="44"/>
        <v>3PTA</v>
      </c>
      <c r="B1416">
        <f t="shared" si="45"/>
        <v>204</v>
      </c>
      <c r="D1416" s="1"/>
      <c r="E1416" s="1" t="s">
        <v>98</v>
      </c>
      <c r="F1416" s="1">
        <v>264</v>
      </c>
      <c r="G1416" s="1">
        <v>6</v>
      </c>
      <c r="H1416" s="1">
        <v>19.7</v>
      </c>
      <c r="I1416" s="1"/>
      <c r="J1416" s="1"/>
    </row>
    <row r="1417" spans="1:10" x14ac:dyDescent="0.3">
      <c r="A1417" t="str">
        <f t="shared" si="44"/>
        <v>3PTA</v>
      </c>
      <c r="B1417">
        <f t="shared" si="45"/>
        <v>1404</v>
      </c>
      <c r="D1417" s="1"/>
      <c r="E1417" s="1" t="s">
        <v>102</v>
      </c>
      <c r="F1417" s="1">
        <v>276</v>
      </c>
      <c r="G1417" s="1">
        <v>10</v>
      </c>
      <c r="H1417" s="1">
        <v>19.399999999999999</v>
      </c>
      <c r="I1417" s="1"/>
      <c r="J1417" s="1"/>
    </row>
    <row r="1418" spans="1:10" x14ac:dyDescent="0.3">
      <c r="A1418" t="str">
        <f t="shared" si="44"/>
        <v>3PTA</v>
      </c>
      <c r="B1418">
        <f t="shared" si="45"/>
        <v>4404</v>
      </c>
      <c r="D1418" s="1"/>
      <c r="E1418" s="1" t="s">
        <v>83</v>
      </c>
      <c r="F1418" s="1">
        <v>278</v>
      </c>
      <c r="G1418" s="1">
        <v>8</v>
      </c>
      <c r="H1418" s="1">
        <v>19.3</v>
      </c>
      <c r="I1418" s="1"/>
      <c r="J1418" s="1"/>
    </row>
    <row r="1419" spans="1:10" x14ac:dyDescent="0.3">
      <c r="A1419" t="str">
        <f t="shared" si="44"/>
        <v>3PTA</v>
      </c>
      <c r="B1419">
        <f t="shared" si="45"/>
        <v>12704</v>
      </c>
      <c r="D1419" s="1"/>
      <c r="E1419" s="1" t="s">
        <v>13</v>
      </c>
      <c r="F1419" s="1">
        <v>292</v>
      </c>
      <c r="G1419" s="1">
        <v>14</v>
      </c>
      <c r="H1419" s="1">
        <v>18.8</v>
      </c>
      <c r="I1419" s="1"/>
      <c r="J1419" s="1"/>
    </row>
    <row r="1420" spans="1:10" x14ac:dyDescent="0.3">
      <c r="A1420" t="str">
        <f t="shared" si="44"/>
        <v>3PTA</v>
      </c>
      <c r="B1420">
        <f t="shared" si="45"/>
        <v>10304</v>
      </c>
      <c r="D1420" s="1"/>
      <c r="E1420" s="1" t="s">
        <v>134</v>
      </c>
      <c r="F1420" s="1">
        <v>292</v>
      </c>
      <c r="G1420" s="1">
        <v>9</v>
      </c>
      <c r="H1420" s="1">
        <v>18.8</v>
      </c>
      <c r="I1420" s="1"/>
      <c r="J1420" s="1"/>
    </row>
    <row r="1421" spans="1:10" x14ac:dyDescent="0.3">
      <c r="A1421" t="str">
        <f t="shared" si="44"/>
        <v>3PTA</v>
      </c>
      <c r="B1421">
        <f t="shared" si="45"/>
        <v>5604</v>
      </c>
      <c r="D1421" s="1"/>
      <c r="E1421" s="1" t="s">
        <v>62</v>
      </c>
      <c r="F1421" s="1">
        <v>302</v>
      </c>
      <c r="G1421" s="1">
        <v>12</v>
      </c>
      <c r="H1421" s="1">
        <v>18.600000000000001</v>
      </c>
      <c r="I1421" s="1"/>
      <c r="J1421" s="1"/>
    </row>
    <row r="1422" spans="1:10" x14ac:dyDescent="0.3">
      <c r="A1422" t="str">
        <f t="shared" si="44"/>
        <v>3PTA</v>
      </c>
      <c r="B1422">
        <f t="shared" si="45"/>
        <v>604</v>
      </c>
      <c r="D1422" s="1"/>
      <c r="E1422" s="1" t="s">
        <v>100</v>
      </c>
      <c r="F1422" s="1">
        <v>303</v>
      </c>
      <c r="G1422" s="1">
        <v>13</v>
      </c>
      <c r="H1422" s="1">
        <v>18.600000000000001</v>
      </c>
      <c r="I1422" s="1"/>
      <c r="J1422" s="1"/>
    </row>
    <row r="1423" spans="1:10" x14ac:dyDescent="0.3">
      <c r="A1423" t="str">
        <f t="shared" si="44"/>
        <v>3PTA</v>
      </c>
      <c r="B1423">
        <f t="shared" si="45"/>
        <v>4604</v>
      </c>
      <c r="D1423" s="1"/>
      <c r="E1423" s="1" t="s">
        <v>101</v>
      </c>
      <c r="F1423" s="1">
        <v>309</v>
      </c>
      <c r="G1423" s="1">
        <v>11</v>
      </c>
      <c r="H1423" s="1">
        <v>18.399999999999999</v>
      </c>
      <c r="I1423" s="1"/>
      <c r="J1423" s="1"/>
    </row>
    <row r="1424" spans="1:10" x14ac:dyDescent="0.3">
      <c r="A1424" t="str">
        <f t="shared" si="44"/>
        <v>3PTA</v>
      </c>
      <c r="B1424">
        <f t="shared" si="45"/>
        <v>2604</v>
      </c>
      <c r="D1424" s="1"/>
      <c r="E1424" s="1" t="s">
        <v>80</v>
      </c>
      <c r="F1424" s="1">
        <v>312</v>
      </c>
      <c r="G1424" s="1">
        <v>14</v>
      </c>
      <c r="H1424" s="1">
        <v>18.100000000000001</v>
      </c>
      <c r="I1424" s="1"/>
      <c r="J1424" s="1"/>
    </row>
    <row r="1425" spans="1:10" x14ac:dyDescent="0.3">
      <c r="A1425" t="str">
        <f t="shared" si="44"/>
        <v>3PTA</v>
      </c>
      <c r="B1425">
        <f t="shared" si="45"/>
        <v>904</v>
      </c>
      <c r="D1425" s="1"/>
      <c r="E1425" s="1" t="s">
        <v>90</v>
      </c>
      <c r="F1425" s="1">
        <v>314</v>
      </c>
      <c r="G1425" s="1">
        <v>13</v>
      </c>
      <c r="H1425" s="1">
        <v>17.899999999999999</v>
      </c>
      <c r="I1425" s="1"/>
      <c r="J1425" s="1"/>
    </row>
    <row r="1426" spans="1:10" x14ac:dyDescent="0.3">
      <c r="A1426" t="str">
        <f t="shared" si="44"/>
        <v>3PTA</v>
      </c>
      <c r="B1426">
        <f t="shared" si="45"/>
        <v>12804</v>
      </c>
      <c r="D1426" s="1"/>
      <c r="E1426" s="1" t="s">
        <v>142</v>
      </c>
      <c r="F1426" s="1">
        <v>315</v>
      </c>
      <c r="G1426" s="1">
        <v>9</v>
      </c>
      <c r="H1426" s="1">
        <v>17.899999999999999</v>
      </c>
      <c r="I1426" s="1"/>
      <c r="J1426" s="1"/>
    </row>
    <row r="1427" spans="1:10" x14ac:dyDescent="0.3">
      <c r="A1427" t="str">
        <f t="shared" si="44"/>
        <v>3PTA</v>
      </c>
      <c r="B1427">
        <f t="shared" si="45"/>
        <v>12404</v>
      </c>
      <c r="D1427" s="1"/>
      <c r="E1427" s="1" t="s">
        <v>128</v>
      </c>
      <c r="F1427" s="1">
        <v>320</v>
      </c>
      <c r="G1427" s="1">
        <v>6</v>
      </c>
      <c r="H1427" s="1">
        <v>17.7</v>
      </c>
      <c r="I1427" s="1"/>
      <c r="J1427" s="1"/>
    </row>
    <row r="1428" spans="1:10" x14ac:dyDescent="0.3">
      <c r="A1428" t="str">
        <f t="shared" si="44"/>
        <v>3PTA</v>
      </c>
      <c r="B1428">
        <f t="shared" si="45"/>
        <v>6304</v>
      </c>
      <c r="D1428" s="1"/>
      <c r="E1428" s="1" t="s">
        <v>122</v>
      </c>
      <c r="F1428" s="1">
        <v>323</v>
      </c>
      <c r="G1428" s="1">
        <v>11</v>
      </c>
      <c r="H1428" s="1">
        <v>17.5</v>
      </c>
      <c r="I1428" s="1"/>
      <c r="J1428" s="1"/>
    </row>
    <row r="1429" spans="1:10" x14ac:dyDescent="0.3">
      <c r="A1429" t="str">
        <f t="shared" si="44"/>
        <v>3PTA</v>
      </c>
      <c r="B1429">
        <f t="shared" si="45"/>
        <v>3904</v>
      </c>
      <c r="D1429" s="1"/>
      <c r="E1429" s="1" t="s">
        <v>88</v>
      </c>
      <c r="F1429" s="1">
        <v>326</v>
      </c>
      <c r="G1429" s="1">
        <v>14</v>
      </c>
      <c r="H1429" s="1">
        <v>17.3</v>
      </c>
      <c r="I1429" s="1"/>
      <c r="J1429" s="1"/>
    </row>
    <row r="1430" spans="1:10" x14ac:dyDescent="0.3">
      <c r="A1430" t="str">
        <f t="shared" si="44"/>
        <v>3PTA</v>
      </c>
      <c r="B1430">
        <f t="shared" si="45"/>
        <v>11404</v>
      </c>
      <c r="D1430" s="1"/>
      <c r="E1430" s="1" t="s">
        <v>138</v>
      </c>
      <c r="F1430" s="1">
        <v>333</v>
      </c>
      <c r="G1430" s="1">
        <v>9</v>
      </c>
      <c r="H1430" s="1">
        <v>16.899999999999999</v>
      </c>
      <c r="I1430" s="1"/>
      <c r="J1430" s="1"/>
    </row>
    <row r="1431" spans="1:10" x14ac:dyDescent="0.3">
      <c r="A1431" t="str">
        <f t="shared" si="44"/>
        <v>3PTA</v>
      </c>
      <c r="B1431">
        <f t="shared" si="45"/>
        <v>11904</v>
      </c>
      <c r="D1431" s="1"/>
      <c r="E1431" s="1" t="s">
        <v>143</v>
      </c>
      <c r="F1431" s="1">
        <v>346</v>
      </c>
      <c r="G1431" s="1">
        <v>11</v>
      </c>
      <c r="H1431" s="1">
        <v>15.2</v>
      </c>
      <c r="I1431" s="1"/>
      <c r="J1431" s="1"/>
    </row>
    <row r="1432" spans="1:10" x14ac:dyDescent="0.3">
      <c r="A1432" t="str">
        <f t="shared" si="44"/>
        <v>3PT%</v>
      </c>
      <c r="B1432">
        <f t="shared" si="45"/>
        <v>5503</v>
      </c>
      <c r="D1432" s="1" t="s">
        <v>174</v>
      </c>
      <c r="E1432" s="1" t="s">
        <v>86</v>
      </c>
      <c r="F1432" s="1">
        <v>1</v>
      </c>
      <c r="G1432" s="1">
        <v>1</v>
      </c>
      <c r="H1432" s="1">
        <v>40.9</v>
      </c>
      <c r="I1432" s="1" t="s">
        <v>86</v>
      </c>
      <c r="J1432" s="1">
        <v>40.9</v>
      </c>
    </row>
    <row r="1433" spans="1:10" x14ac:dyDescent="0.3">
      <c r="A1433" t="str">
        <f t="shared" si="44"/>
        <v>3PT%</v>
      </c>
      <c r="B1433">
        <f t="shared" si="45"/>
        <v>3003</v>
      </c>
      <c r="D1433" s="1"/>
      <c r="E1433" s="1" t="s">
        <v>89</v>
      </c>
      <c r="F1433" s="1">
        <v>2</v>
      </c>
      <c r="G1433" s="1">
        <v>1</v>
      </c>
      <c r="H1433" s="1">
        <v>40.4</v>
      </c>
      <c r="I1433" s="1"/>
      <c r="J1433" s="1"/>
    </row>
    <row r="1434" spans="1:10" x14ac:dyDescent="0.3">
      <c r="A1434" t="str">
        <f t="shared" si="44"/>
        <v>3PT%</v>
      </c>
      <c r="B1434">
        <f t="shared" si="45"/>
        <v>5003</v>
      </c>
      <c r="D1434" s="1"/>
      <c r="E1434" s="1" t="s">
        <v>110</v>
      </c>
      <c r="F1434" s="1">
        <v>3</v>
      </c>
      <c r="G1434" s="1">
        <v>1</v>
      </c>
      <c r="H1434" s="1">
        <v>39.9</v>
      </c>
      <c r="I1434" s="1"/>
      <c r="J1434" s="1"/>
    </row>
    <row r="1435" spans="1:10" x14ac:dyDescent="0.3">
      <c r="A1435" t="str">
        <f t="shared" si="44"/>
        <v>3PT%</v>
      </c>
      <c r="B1435">
        <f t="shared" si="45"/>
        <v>9903</v>
      </c>
      <c r="D1435" s="1"/>
      <c r="E1435" s="1" t="s">
        <v>113</v>
      </c>
      <c r="F1435" s="1">
        <v>5</v>
      </c>
      <c r="G1435" s="1">
        <v>2</v>
      </c>
      <c r="H1435" s="1">
        <v>39.5</v>
      </c>
      <c r="I1435" s="1"/>
      <c r="J1435" s="1"/>
    </row>
    <row r="1436" spans="1:10" x14ac:dyDescent="0.3">
      <c r="A1436" t="str">
        <f t="shared" si="44"/>
        <v>3PT%</v>
      </c>
      <c r="B1436">
        <f t="shared" si="45"/>
        <v>6303</v>
      </c>
      <c r="D1436" s="1"/>
      <c r="E1436" s="1" t="s">
        <v>122</v>
      </c>
      <c r="F1436" s="1">
        <v>6</v>
      </c>
      <c r="G1436" s="1">
        <v>1</v>
      </c>
      <c r="H1436" s="1">
        <v>39.1</v>
      </c>
      <c r="I1436" s="1"/>
      <c r="J1436" s="1"/>
    </row>
    <row r="1437" spans="1:10" x14ac:dyDescent="0.3">
      <c r="A1437" t="str">
        <f t="shared" si="44"/>
        <v>3PT%</v>
      </c>
      <c r="B1437">
        <f t="shared" si="45"/>
        <v>6203</v>
      </c>
      <c r="D1437" s="1"/>
      <c r="E1437" s="1" t="s">
        <v>81</v>
      </c>
      <c r="F1437" s="1">
        <v>7</v>
      </c>
      <c r="G1437" s="1">
        <v>2</v>
      </c>
      <c r="H1437" s="1">
        <v>39</v>
      </c>
      <c r="I1437" s="1"/>
      <c r="J1437" s="1"/>
    </row>
    <row r="1438" spans="1:10" x14ac:dyDescent="0.3">
      <c r="A1438" t="str">
        <f t="shared" si="44"/>
        <v>3PT%</v>
      </c>
      <c r="B1438">
        <f t="shared" si="45"/>
        <v>3203</v>
      </c>
      <c r="D1438" s="1"/>
      <c r="E1438" s="1" t="s">
        <v>127</v>
      </c>
      <c r="F1438" s="1">
        <v>8</v>
      </c>
      <c r="G1438" s="1">
        <v>1</v>
      </c>
      <c r="H1438" s="1">
        <v>38.9</v>
      </c>
      <c r="I1438" s="1"/>
      <c r="J1438" s="1"/>
    </row>
    <row r="1439" spans="1:10" x14ac:dyDescent="0.3">
      <c r="A1439" t="str">
        <f t="shared" si="44"/>
        <v>3PT%</v>
      </c>
      <c r="B1439">
        <f t="shared" si="45"/>
        <v>203</v>
      </c>
      <c r="D1439" s="1"/>
      <c r="E1439" s="1" t="s">
        <v>98</v>
      </c>
      <c r="F1439" s="1">
        <v>10</v>
      </c>
      <c r="G1439" s="1">
        <v>1</v>
      </c>
      <c r="H1439" s="1">
        <v>38.299999999999997</v>
      </c>
      <c r="I1439" s="1"/>
      <c r="J1439" s="1"/>
    </row>
    <row r="1440" spans="1:10" x14ac:dyDescent="0.3">
      <c r="A1440" t="str">
        <f t="shared" si="44"/>
        <v>3PT%</v>
      </c>
      <c r="B1440">
        <f t="shared" si="45"/>
        <v>5403</v>
      </c>
      <c r="D1440" s="1"/>
      <c r="E1440" s="1" t="s">
        <v>94</v>
      </c>
      <c r="F1440" s="1">
        <v>15</v>
      </c>
      <c r="G1440" s="1">
        <v>1</v>
      </c>
      <c r="H1440" s="1">
        <v>37.700000000000003</v>
      </c>
      <c r="I1440" s="1"/>
      <c r="J1440" s="1"/>
    </row>
    <row r="1441" spans="1:10" x14ac:dyDescent="0.3">
      <c r="A1441" t="str">
        <f t="shared" si="44"/>
        <v>3PT%</v>
      </c>
      <c r="B1441">
        <f t="shared" si="45"/>
        <v>3703</v>
      </c>
      <c r="D1441" s="1"/>
      <c r="E1441" s="1" t="s">
        <v>115</v>
      </c>
      <c r="F1441" s="1">
        <v>20</v>
      </c>
      <c r="G1441" s="1">
        <v>2</v>
      </c>
      <c r="H1441" s="1">
        <v>37.299999999999997</v>
      </c>
      <c r="I1441" s="1"/>
      <c r="J1441" s="1"/>
    </row>
    <row r="1442" spans="1:10" x14ac:dyDescent="0.3">
      <c r="A1442" t="str">
        <f t="shared" si="44"/>
        <v>3PT%</v>
      </c>
      <c r="B1442">
        <f t="shared" si="45"/>
        <v>8803</v>
      </c>
      <c r="D1442" s="1"/>
      <c r="E1442" s="1" t="s">
        <v>141</v>
      </c>
      <c r="F1442" s="1">
        <v>22</v>
      </c>
      <c r="G1442" s="1">
        <v>1</v>
      </c>
      <c r="H1442" s="1">
        <v>37.1</v>
      </c>
      <c r="I1442" s="1"/>
      <c r="J1442" s="1"/>
    </row>
    <row r="1443" spans="1:10" x14ac:dyDescent="0.3">
      <c r="A1443" t="str">
        <f t="shared" si="44"/>
        <v>3PT%</v>
      </c>
      <c r="B1443">
        <f t="shared" si="45"/>
        <v>12003</v>
      </c>
      <c r="D1443" s="1"/>
      <c r="E1443" s="1" t="s">
        <v>135</v>
      </c>
      <c r="F1443" s="1">
        <v>26</v>
      </c>
      <c r="G1443" s="1">
        <v>1</v>
      </c>
      <c r="H1443" s="1">
        <v>37</v>
      </c>
      <c r="I1443" s="1"/>
      <c r="J1443" s="1"/>
    </row>
    <row r="1444" spans="1:10" x14ac:dyDescent="0.3">
      <c r="A1444" t="str">
        <f t="shared" si="44"/>
        <v>3PT%</v>
      </c>
      <c r="B1444">
        <f t="shared" si="45"/>
        <v>3103</v>
      </c>
      <c r="D1444" s="1"/>
      <c r="E1444" s="1" t="s">
        <v>93</v>
      </c>
      <c r="F1444" s="1">
        <v>28</v>
      </c>
      <c r="G1444" s="1">
        <v>1</v>
      </c>
      <c r="H1444" s="1">
        <v>36.799999999999997</v>
      </c>
      <c r="I1444" s="1"/>
      <c r="J1444" s="1"/>
    </row>
    <row r="1445" spans="1:10" x14ac:dyDescent="0.3">
      <c r="A1445" t="str">
        <f t="shared" si="44"/>
        <v>3PT%</v>
      </c>
      <c r="B1445">
        <f t="shared" si="45"/>
        <v>9503</v>
      </c>
      <c r="D1445" s="1"/>
      <c r="E1445" s="1" t="s">
        <v>85</v>
      </c>
      <c r="F1445" s="1">
        <v>35</v>
      </c>
      <c r="G1445" s="1">
        <v>4</v>
      </c>
      <c r="H1445" s="1">
        <v>36.6</v>
      </c>
      <c r="I1445" s="1"/>
      <c r="J1445" s="1"/>
    </row>
    <row r="1446" spans="1:10" x14ac:dyDescent="0.3">
      <c r="A1446" t="str">
        <f t="shared" si="44"/>
        <v>3PT%</v>
      </c>
      <c r="B1446">
        <f t="shared" si="45"/>
        <v>2903</v>
      </c>
      <c r="D1446" s="1"/>
      <c r="E1446" s="1" t="s">
        <v>96</v>
      </c>
      <c r="F1446" s="1">
        <v>37</v>
      </c>
      <c r="G1446" s="1">
        <v>4</v>
      </c>
      <c r="H1446" s="1">
        <v>36.6</v>
      </c>
      <c r="I1446" s="1"/>
      <c r="J1446" s="1"/>
    </row>
    <row r="1447" spans="1:10" x14ac:dyDescent="0.3">
      <c r="A1447" t="str">
        <f t="shared" si="44"/>
        <v>3PT%</v>
      </c>
      <c r="B1447">
        <f t="shared" si="45"/>
        <v>11303</v>
      </c>
      <c r="D1447" s="1"/>
      <c r="E1447" s="1" t="s">
        <v>126</v>
      </c>
      <c r="F1447" s="1">
        <v>39</v>
      </c>
      <c r="G1447" s="1">
        <v>2</v>
      </c>
      <c r="H1447" s="1">
        <v>36.5</v>
      </c>
      <c r="I1447" s="1"/>
      <c r="J1447" s="1"/>
    </row>
    <row r="1448" spans="1:10" x14ac:dyDescent="0.3">
      <c r="A1448" t="str">
        <f t="shared" si="44"/>
        <v>3PT%</v>
      </c>
      <c r="B1448">
        <f t="shared" si="45"/>
        <v>1703</v>
      </c>
      <c r="D1448" s="1"/>
      <c r="E1448" s="1" t="s">
        <v>133</v>
      </c>
      <c r="F1448" s="1">
        <v>44</v>
      </c>
      <c r="G1448" s="1">
        <v>3</v>
      </c>
      <c r="H1448" s="1">
        <v>36.5</v>
      </c>
      <c r="I1448" s="1"/>
      <c r="J1448" s="1"/>
    </row>
    <row r="1449" spans="1:10" x14ac:dyDescent="0.3">
      <c r="A1449" t="str">
        <f t="shared" si="44"/>
        <v>3PT%</v>
      </c>
      <c r="B1449">
        <f t="shared" si="45"/>
        <v>4603</v>
      </c>
      <c r="D1449" s="1"/>
      <c r="E1449" s="1" t="s">
        <v>101</v>
      </c>
      <c r="F1449" s="1">
        <v>49</v>
      </c>
      <c r="G1449" s="1">
        <v>2</v>
      </c>
      <c r="H1449" s="1">
        <v>36.299999999999997</v>
      </c>
      <c r="I1449" s="1"/>
      <c r="J1449" s="1"/>
    </row>
    <row r="1450" spans="1:10" x14ac:dyDescent="0.3">
      <c r="A1450" t="str">
        <f t="shared" si="44"/>
        <v>3PT%</v>
      </c>
      <c r="B1450">
        <f t="shared" si="45"/>
        <v>903</v>
      </c>
      <c r="D1450" s="1"/>
      <c r="E1450" s="1" t="s">
        <v>90</v>
      </c>
      <c r="F1450" s="1">
        <v>51</v>
      </c>
      <c r="G1450" s="1">
        <v>3</v>
      </c>
      <c r="H1450" s="1">
        <v>36.299999999999997</v>
      </c>
      <c r="I1450" s="1"/>
      <c r="J1450" s="1"/>
    </row>
    <row r="1451" spans="1:10" x14ac:dyDescent="0.3">
      <c r="A1451" t="str">
        <f t="shared" si="44"/>
        <v>3PT%</v>
      </c>
      <c r="B1451">
        <f t="shared" si="45"/>
        <v>1503</v>
      </c>
      <c r="D1451" s="1"/>
      <c r="E1451" s="1" t="s">
        <v>124</v>
      </c>
      <c r="F1451" s="1">
        <v>62</v>
      </c>
      <c r="G1451" s="1">
        <v>1</v>
      </c>
      <c r="H1451" s="1">
        <v>36.1</v>
      </c>
      <c r="I1451" s="1"/>
      <c r="J1451" s="1"/>
    </row>
    <row r="1452" spans="1:10" x14ac:dyDescent="0.3">
      <c r="A1452" t="str">
        <f t="shared" si="44"/>
        <v>3PT%</v>
      </c>
      <c r="B1452">
        <f t="shared" si="45"/>
        <v>4403</v>
      </c>
      <c r="D1452" s="1"/>
      <c r="E1452" s="1" t="s">
        <v>83</v>
      </c>
      <c r="F1452" s="1">
        <v>67</v>
      </c>
      <c r="G1452" s="1">
        <v>3</v>
      </c>
      <c r="H1452" s="1">
        <v>36.1</v>
      </c>
      <c r="I1452" s="1"/>
      <c r="J1452" s="1"/>
    </row>
    <row r="1453" spans="1:10" x14ac:dyDescent="0.3">
      <c r="A1453" t="str">
        <f t="shared" si="44"/>
        <v>3PT%</v>
      </c>
      <c r="B1453">
        <f t="shared" si="45"/>
        <v>4803</v>
      </c>
      <c r="D1453" s="1"/>
      <c r="E1453" s="1" t="s">
        <v>104</v>
      </c>
      <c r="F1453" s="1">
        <v>68</v>
      </c>
      <c r="G1453" s="1">
        <v>1</v>
      </c>
      <c r="H1453" s="1">
        <v>36</v>
      </c>
      <c r="I1453" s="1"/>
      <c r="J1453" s="1"/>
    </row>
    <row r="1454" spans="1:10" x14ac:dyDescent="0.3">
      <c r="A1454" t="str">
        <f t="shared" si="44"/>
        <v>3PT%</v>
      </c>
      <c r="B1454">
        <f t="shared" si="45"/>
        <v>7203</v>
      </c>
      <c r="D1454" s="1"/>
      <c r="E1454" s="1" t="s">
        <v>116</v>
      </c>
      <c r="F1454" s="1">
        <v>71</v>
      </c>
      <c r="G1454" s="1">
        <v>2</v>
      </c>
      <c r="H1454" s="1">
        <v>35.9</v>
      </c>
      <c r="I1454" s="1"/>
      <c r="J1454" s="1"/>
    </row>
    <row r="1455" spans="1:10" x14ac:dyDescent="0.3">
      <c r="A1455" t="str">
        <f t="shared" si="44"/>
        <v>3PT%</v>
      </c>
      <c r="B1455">
        <f t="shared" si="45"/>
        <v>8403</v>
      </c>
      <c r="D1455" s="1"/>
      <c r="E1455" s="1" t="s">
        <v>109</v>
      </c>
      <c r="F1455" s="1">
        <v>73</v>
      </c>
      <c r="G1455" s="1">
        <v>1</v>
      </c>
      <c r="H1455" s="1">
        <v>35.9</v>
      </c>
      <c r="I1455" s="1"/>
      <c r="J1455" s="1"/>
    </row>
    <row r="1456" spans="1:10" x14ac:dyDescent="0.3">
      <c r="A1456" t="str">
        <f t="shared" si="44"/>
        <v>3PT%</v>
      </c>
      <c r="B1456">
        <f t="shared" si="45"/>
        <v>4903</v>
      </c>
      <c r="D1456" s="1"/>
      <c r="E1456" s="1" t="s">
        <v>108</v>
      </c>
      <c r="F1456" s="1">
        <v>76</v>
      </c>
      <c r="G1456" s="1">
        <v>5</v>
      </c>
      <c r="H1456" s="1">
        <v>35.9</v>
      </c>
      <c r="I1456" s="1"/>
      <c r="J1456" s="1"/>
    </row>
    <row r="1457" spans="1:10" x14ac:dyDescent="0.3">
      <c r="A1457" t="str">
        <f t="shared" si="44"/>
        <v>3PT%</v>
      </c>
      <c r="B1457">
        <f t="shared" si="45"/>
        <v>603</v>
      </c>
      <c r="D1457" s="1"/>
      <c r="E1457" s="1" t="s">
        <v>100</v>
      </c>
      <c r="F1457" s="1">
        <v>79</v>
      </c>
      <c r="G1457" s="1">
        <v>3</v>
      </c>
      <c r="H1457" s="1">
        <v>35.799999999999997</v>
      </c>
      <c r="I1457" s="1"/>
      <c r="J1457" s="1"/>
    </row>
    <row r="1458" spans="1:10" x14ac:dyDescent="0.3">
      <c r="A1458" t="str">
        <f t="shared" si="44"/>
        <v>3PT%</v>
      </c>
      <c r="B1458">
        <f t="shared" si="45"/>
        <v>2603</v>
      </c>
      <c r="D1458" s="1"/>
      <c r="E1458" s="1" t="s">
        <v>80</v>
      </c>
      <c r="F1458" s="1">
        <v>82</v>
      </c>
      <c r="G1458" s="1">
        <v>6</v>
      </c>
      <c r="H1458" s="1">
        <v>35.799999999999997</v>
      </c>
      <c r="I1458" s="1"/>
      <c r="J1458" s="1"/>
    </row>
    <row r="1459" spans="1:10" x14ac:dyDescent="0.3">
      <c r="A1459" t="str">
        <f t="shared" si="44"/>
        <v>3PT%</v>
      </c>
      <c r="B1459">
        <f t="shared" si="45"/>
        <v>2303</v>
      </c>
      <c r="D1459" s="1"/>
      <c r="E1459" s="1" t="s">
        <v>79</v>
      </c>
      <c r="F1459" s="1">
        <v>83</v>
      </c>
      <c r="G1459" s="1">
        <v>2</v>
      </c>
      <c r="H1459" s="1">
        <v>35.799999999999997</v>
      </c>
      <c r="I1459" s="1"/>
      <c r="J1459" s="1"/>
    </row>
    <row r="1460" spans="1:10" x14ac:dyDescent="0.3">
      <c r="A1460" t="str">
        <f t="shared" si="44"/>
        <v>3PT%</v>
      </c>
      <c r="B1460">
        <f t="shared" si="45"/>
        <v>7303</v>
      </c>
      <c r="D1460" s="1"/>
      <c r="E1460" s="1" t="s">
        <v>111</v>
      </c>
      <c r="F1460" s="1">
        <v>86</v>
      </c>
      <c r="G1460" s="1">
        <v>5</v>
      </c>
      <c r="H1460" s="1">
        <v>35.700000000000003</v>
      </c>
      <c r="I1460" s="1"/>
      <c r="J1460" s="1"/>
    </row>
    <row r="1461" spans="1:10" x14ac:dyDescent="0.3">
      <c r="A1461" t="str">
        <f t="shared" si="44"/>
        <v>3PT%</v>
      </c>
      <c r="B1461">
        <f t="shared" si="45"/>
        <v>8003</v>
      </c>
      <c r="D1461" s="1"/>
      <c r="E1461" s="1" t="s">
        <v>117</v>
      </c>
      <c r="F1461" s="1">
        <v>95</v>
      </c>
      <c r="G1461" s="1">
        <v>3</v>
      </c>
      <c r="H1461" s="1">
        <v>35.5</v>
      </c>
      <c r="I1461" s="1"/>
      <c r="J1461" s="1"/>
    </row>
    <row r="1462" spans="1:10" x14ac:dyDescent="0.3">
      <c r="A1462" t="str">
        <f t="shared" si="44"/>
        <v>3PT%</v>
      </c>
      <c r="B1462">
        <f t="shared" si="45"/>
        <v>6703</v>
      </c>
      <c r="D1462" s="1"/>
      <c r="E1462" s="1" t="s">
        <v>118</v>
      </c>
      <c r="F1462" s="1">
        <v>99</v>
      </c>
      <c r="G1462" s="1">
        <v>4</v>
      </c>
      <c r="H1462" s="1">
        <v>35.5</v>
      </c>
      <c r="I1462" s="1"/>
      <c r="J1462" s="1"/>
    </row>
    <row r="1463" spans="1:10" x14ac:dyDescent="0.3">
      <c r="A1463" t="str">
        <f t="shared" si="44"/>
        <v>3PT%</v>
      </c>
      <c r="B1463">
        <f t="shared" si="45"/>
        <v>5603</v>
      </c>
      <c r="D1463" s="1"/>
      <c r="E1463" s="1" t="s">
        <v>62</v>
      </c>
      <c r="F1463" s="1">
        <v>100</v>
      </c>
      <c r="G1463" s="1">
        <v>5</v>
      </c>
      <c r="H1463" s="1">
        <v>35.4</v>
      </c>
      <c r="I1463" s="1"/>
      <c r="J1463" s="1"/>
    </row>
    <row r="1464" spans="1:10" x14ac:dyDescent="0.3">
      <c r="A1464" t="str">
        <f t="shared" si="44"/>
        <v>3PT%</v>
      </c>
      <c r="B1464">
        <f t="shared" si="45"/>
        <v>3303</v>
      </c>
      <c r="D1464" s="1"/>
      <c r="E1464" s="1" t="s">
        <v>91</v>
      </c>
      <c r="F1464" s="1">
        <v>110</v>
      </c>
      <c r="G1464" s="1">
        <v>4</v>
      </c>
      <c r="H1464" s="1">
        <v>35.200000000000003</v>
      </c>
      <c r="I1464" s="1"/>
      <c r="J1464" s="1"/>
    </row>
    <row r="1465" spans="1:10" x14ac:dyDescent="0.3">
      <c r="A1465" t="str">
        <f t="shared" si="44"/>
        <v>3PT%</v>
      </c>
      <c r="B1465">
        <f t="shared" si="45"/>
        <v>4503</v>
      </c>
      <c r="D1465" s="1"/>
      <c r="E1465" s="1" t="s">
        <v>84</v>
      </c>
      <c r="F1465" s="1">
        <v>111</v>
      </c>
      <c r="G1465" s="1">
        <v>5</v>
      </c>
      <c r="H1465" s="1">
        <v>35.200000000000003</v>
      </c>
      <c r="I1465" s="1"/>
      <c r="J1465" s="1"/>
    </row>
    <row r="1466" spans="1:10" x14ac:dyDescent="0.3">
      <c r="A1466" t="str">
        <f t="shared" si="44"/>
        <v>3PT%</v>
      </c>
      <c r="B1466">
        <f t="shared" si="45"/>
        <v>2503</v>
      </c>
      <c r="D1466" s="1"/>
      <c r="E1466" s="1" t="s">
        <v>92</v>
      </c>
      <c r="F1466" s="1">
        <v>113</v>
      </c>
      <c r="G1466" s="1">
        <v>6</v>
      </c>
      <c r="H1466" s="1">
        <v>35.200000000000003</v>
      </c>
      <c r="I1466" s="1"/>
      <c r="J1466" s="1"/>
    </row>
    <row r="1467" spans="1:10" x14ac:dyDescent="0.3">
      <c r="A1467" t="str">
        <f t="shared" si="44"/>
        <v>3PT%</v>
      </c>
      <c r="B1467">
        <f t="shared" si="45"/>
        <v>12503</v>
      </c>
      <c r="D1467" s="1"/>
      <c r="E1467" s="1" t="s">
        <v>95</v>
      </c>
      <c r="F1467" s="1">
        <v>119</v>
      </c>
      <c r="G1467" s="1">
        <v>4</v>
      </c>
      <c r="H1467" s="1">
        <v>35.1</v>
      </c>
      <c r="I1467" s="1"/>
      <c r="J1467" s="1"/>
    </row>
    <row r="1468" spans="1:10" x14ac:dyDescent="0.3">
      <c r="A1468" t="str">
        <f t="shared" si="44"/>
        <v>3PT%</v>
      </c>
      <c r="B1468">
        <f t="shared" si="45"/>
        <v>4003</v>
      </c>
      <c r="D1468" s="1"/>
      <c r="E1468" s="1" t="s">
        <v>105</v>
      </c>
      <c r="F1468" s="1">
        <v>120</v>
      </c>
      <c r="G1468" s="1">
        <v>8</v>
      </c>
      <c r="H1468" s="1">
        <v>35.1</v>
      </c>
      <c r="I1468" s="1"/>
      <c r="J1468" s="1"/>
    </row>
    <row r="1469" spans="1:10" x14ac:dyDescent="0.3">
      <c r="A1469" t="str">
        <f t="shared" si="44"/>
        <v>3PT%</v>
      </c>
      <c r="B1469">
        <f t="shared" si="45"/>
        <v>2203</v>
      </c>
      <c r="D1469" s="1"/>
      <c r="E1469" s="1" t="s">
        <v>119</v>
      </c>
      <c r="F1469" s="1">
        <v>122</v>
      </c>
      <c r="G1469" s="1">
        <v>4</v>
      </c>
      <c r="H1469" s="1">
        <v>35.1</v>
      </c>
      <c r="I1469" s="1"/>
      <c r="J1469" s="1"/>
    </row>
    <row r="1470" spans="1:10" x14ac:dyDescent="0.3">
      <c r="A1470" t="str">
        <f t="shared" si="44"/>
        <v>3PT%</v>
      </c>
      <c r="B1470">
        <f t="shared" si="45"/>
        <v>4303</v>
      </c>
      <c r="D1470" s="1"/>
      <c r="E1470" s="1" t="s">
        <v>125</v>
      </c>
      <c r="F1470" s="1">
        <v>125</v>
      </c>
      <c r="G1470" s="1">
        <v>8</v>
      </c>
      <c r="H1470" s="1">
        <v>34.9</v>
      </c>
      <c r="I1470" s="1"/>
      <c r="J1470" s="1"/>
    </row>
    <row r="1471" spans="1:10" x14ac:dyDescent="0.3">
      <c r="A1471" t="str">
        <f t="shared" si="44"/>
        <v>3PT%</v>
      </c>
      <c r="B1471">
        <f t="shared" si="45"/>
        <v>4203</v>
      </c>
      <c r="D1471" s="1"/>
      <c r="E1471" s="1" t="s">
        <v>123</v>
      </c>
      <c r="F1471" s="1">
        <v>127</v>
      </c>
      <c r="G1471" s="1">
        <v>9</v>
      </c>
      <c r="H1471" s="1">
        <v>34.9</v>
      </c>
      <c r="I1471" s="1"/>
      <c r="J1471" s="1"/>
    </row>
    <row r="1472" spans="1:10" x14ac:dyDescent="0.3">
      <c r="A1472" t="str">
        <f t="shared" si="44"/>
        <v>3PT%</v>
      </c>
      <c r="B1472">
        <f t="shared" si="45"/>
        <v>2803</v>
      </c>
      <c r="D1472" s="1"/>
      <c r="E1472" s="1" t="s">
        <v>106</v>
      </c>
      <c r="F1472" s="1">
        <v>130</v>
      </c>
      <c r="G1472" s="1">
        <v>7</v>
      </c>
      <c r="H1472" s="1">
        <v>34.799999999999997</v>
      </c>
      <c r="I1472" s="1"/>
      <c r="J1472" s="1"/>
    </row>
    <row r="1473" spans="1:10" x14ac:dyDescent="0.3">
      <c r="A1473" t="str">
        <f t="shared" si="44"/>
        <v>3PT%</v>
      </c>
      <c r="B1473">
        <f t="shared" si="45"/>
        <v>2703</v>
      </c>
      <c r="D1473" s="1"/>
      <c r="E1473" s="1" t="s">
        <v>7</v>
      </c>
      <c r="F1473" s="1">
        <v>135</v>
      </c>
      <c r="G1473" s="1">
        <v>8</v>
      </c>
      <c r="H1473" s="1">
        <v>34.799999999999997</v>
      </c>
      <c r="I1473" s="1"/>
      <c r="J1473" s="1"/>
    </row>
    <row r="1474" spans="1:10" x14ac:dyDescent="0.3">
      <c r="A1474" t="str">
        <f t="shared" ref="A1474:A1537" si="46">IF(NOT(D1474=""),INDEX(statAbbr,MATCH(D1474,statOfficial,0),1),A1473)</f>
        <v>3PT%</v>
      </c>
      <c r="B1474">
        <f t="shared" ref="B1474:B1537" si="47">INDEX(statID,MATCH(A1474,statAbbr,0),1)+INDEX(teamID,MATCH(E1474,teamRawName,0))</f>
        <v>5703</v>
      </c>
      <c r="D1474" s="1"/>
      <c r="E1474" s="1" t="s">
        <v>120</v>
      </c>
      <c r="F1474" s="1">
        <v>152</v>
      </c>
      <c r="G1474" s="1">
        <v>6</v>
      </c>
      <c r="H1474" s="1">
        <v>34.5</v>
      </c>
      <c r="I1474" s="1"/>
      <c r="J1474" s="1"/>
    </row>
    <row r="1475" spans="1:10" x14ac:dyDescent="0.3">
      <c r="A1475" t="str">
        <f t="shared" si="46"/>
        <v>3PT%</v>
      </c>
      <c r="B1475">
        <f t="shared" si="47"/>
        <v>1903</v>
      </c>
      <c r="D1475" s="1"/>
      <c r="E1475" s="1" t="s">
        <v>112</v>
      </c>
      <c r="F1475" s="1">
        <v>154</v>
      </c>
      <c r="G1475" s="1">
        <v>10</v>
      </c>
      <c r="H1475" s="1">
        <v>34.5</v>
      </c>
      <c r="I1475" s="1"/>
      <c r="J1475" s="1"/>
    </row>
    <row r="1476" spans="1:10" x14ac:dyDescent="0.3">
      <c r="A1476" t="str">
        <f t="shared" si="46"/>
        <v>3PT%</v>
      </c>
      <c r="B1476">
        <f t="shared" si="47"/>
        <v>3503</v>
      </c>
      <c r="D1476" s="1"/>
      <c r="E1476" s="1" t="s">
        <v>87</v>
      </c>
      <c r="F1476" s="1">
        <v>155</v>
      </c>
      <c r="G1476" s="1">
        <v>7</v>
      </c>
      <c r="H1476" s="1">
        <v>34.4</v>
      </c>
      <c r="I1476" s="1"/>
      <c r="J1476" s="1"/>
    </row>
    <row r="1477" spans="1:10" x14ac:dyDescent="0.3">
      <c r="A1477" t="str">
        <f t="shared" si="46"/>
        <v>3PT%</v>
      </c>
      <c r="B1477">
        <f t="shared" si="47"/>
        <v>11503</v>
      </c>
      <c r="D1477" s="1"/>
      <c r="E1477" s="1" t="s">
        <v>97</v>
      </c>
      <c r="F1477" s="1">
        <v>160</v>
      </c>
      <c r="G1477" s="1">
        <v>8</v>
      </c>
      <c r="H1477" s="1">
        <v>34.299999999999997</v>
      </c>
      <c r="I1477" s="1"/>
      <c r="J1477" s="1"/>
    </row>
    <row r="1478" spans="1:10" x14ac:dyDescent="0.3">
      <c r="A1478" t="str">
        <f t="shared" si="46"/>
        <v>3PT%</v>
      </c>
      <c r="B1478">
        <f t="shared" si="47"/>
        <v>7903</v>
      </c>
      <c r="D1478" s="1"/>
      <c r="E1478" s="1" t="s">
        <v>103</v>
      </c>
      <c r="F1478" s="1">
        <v>166</v>
      </c>
      <c r="G1478" s="1">
        <v>2</v>
      </c>
      <c r="H1478" s="1">
        <v>34.200000000000003</v>
      </c>
      <c r="I1478" s="1"/>
      <c r="J1478" s="1"/>
    </row>
    <row r="1479" spans="1:10" x14ac:dyDescent="0.3">
      <c r="A1479" t="str">
        <f t="shared" si="46"/>
        <v>3PT%</v>
      </c>
      <c r="B1479">
        <f t="shared" si="47"/>
        <v>11403</v>
      </c>
      <c r="D1479" s="1"/>
      <c r="E1479" s="1" t="s">
        <v>138</v>
      </c>
      <c r="F1479" s="1">
        <v>172</v>
      </c>
      <c r="G1479" s="1">
        <v>6</v>
      </c>
      <c r="H1479" s="1">
        <v>34.1</v>
      </c>
      <c r="I1479" s="1"/>
      <c r="J1479" s="1"/>
    </row>
    <row r="1480" spans="1:10" x14ac:dyDescent="0.3">
      <c r="A1480" t="str">
        <f t="shared" si="46"/>
        <v>3PT%</v>
      </c>
      <c r="B1480">
        <f t="shared" si="47"/>
        <v>2103</v>
      </c>
      <c r="D1480" s="1"/>
      <c r="E1480" s="1" t="s">
        <v>136</v>
      </c>
      <c r="F1480" s="1">
        <v>175</v>
      </c>
      <c r="G1480" s="1">
        <v>5</v>
      </c>
      <c r="H1480" s="1">
        <v>34</v>
      </c>
      <c r="I1480" s="1"/>
      <c r="J1480" s="1"/>
    </row>
    <row r="1481" spans="1:10" x14ac:dyDescent="0.3">
      <c r="A1481" t="str">
        <f t="shared" si="46"/>
        <v>3PT%</v>
      </c>
      <c r="B1481">
        <f t="shared" si="47"/>
        <v>12903</v>
      </c>
      <c r="D1481" s="1"/>
      <c r="E1481" s="1" t="s">
        <v>132</v>
      </c>
      <c r="F1481" s="1">
        <v>176</v>
      </c>
      <c r="G1481" s="1">
        <v>12</v>
      </c>
      <c r="H1481" s="1">
        <v>34</v>
      </c>
      <c r="I1481" s="1"/>
      <c r="J1481" s="1"/>
    </row>
    <row r="1482" spans="1:10" x14ac:dyDescent="0.3">
      <c r="A1482" t="str">
        <f t="shared" si="46"/>
        <v>3PT%</v>
      </c>
      <c r="B1482">
        <f t="shared" si="47"/>
        <v>12103</v>
      </c>
      <c r="D1482" s="1"/>
      <c r="E1482" s="1" t="s">
        <v>140</v>
      </c>
      <c r="F1482" s="1">
        <v>178</v>
      </c>
      <c r="G1482" s="1">
        <v>4</v>
      </c>
      <c r="H1482" s="1">
        <v>34</v>
      </c>
      <c r="I1482" s="1"/>
      <c r="J1482" s="1"/>
    </row>
    <row r="1483" spans="1:10" x14ac:dyDescent="0.3">
      <c r="A1483" t="str">
        <f t="shared" si="46"/>
        <v>3PT%</v>
      </c>
      <c r="B1483">
        <f t="shared" si="47"/>
        <v>10303</v>
      </c>
      <c r="D1483" s="1"/>
      <c r="E1483" s="1" t="s">
        <v>134</v>
      </c>
      <c r="F1483" s="1">
        <v>181</v>
      </c>
      <c r="G1483" s="1">
        <v>7</v>
      </c>
      <c r="H1483" s="1">
        <v>33.9</v>
      </c>
      <c r="I1483" s="1"/>
      <c r="J1483" s="1"/>
    </row>
    <row r="1484" spans="1:10" x14ac:dyDescent="0.3">
      <c r="A1484" t="str">
        <f t="shared" si="46"/>
        <v>3PT%</v>
      </c>
      <c r="B1484">
        <f t="shared" si="47"/>
        <v>9103</v>
      </c>
      <c r="D1484" s="1"/>
      <c r="E1484" s="1" t="s">
        <v>99</v>
      </c>
      <c r="F1484" s="1">
        <v>183</v>
      </c>
      <c r="G1484" s="1">
        <v>9</v>
      </c>
      <c r="H1484" s="1">
        <v>33.9</v>
      </c>
      <c r="I1484" s="1"/>
      <c r="J1484" s="1"/>
    </row>
    <row r="1485" spans="1:10" x14ac:dyDescent="0.3">
      <c r="A1485" t="str">
        <f t="shared" si="46"/>
        <v>3PT%</v>
      </c>
      <c r="B1485">
        <f t="shared" si="47"/>
        <v>11903</v>
      </c>
      <c r="D1485" s="1"/>
      <c r="E1485" s="1" t="s">
        <v>143</v>
      </c>
      <c r="F1485" s="1">
        <v>186</v>
      </c>
      <c r="G1485" s="1">
        <v>3</v>
      </c>
      <c r="H1485" s="1">
        <v>33.799999999999997</v>
      </c>
      <c r="I1485" s="1"/>
      <c r="J1485" s="1"/>
    </row>
    <row r="1486" spans="1:10" x14ac:dyDescent="0.3">
      <c r="A1486" t="str">
        <f t="shared" si="46"/>
        <v>3PT%</v>
      </c>
      <c r="B1486">
        <f t="shared" si="47"/>
        <v>6903</v>
      </c>
      <c r="D1486" s="1"/>
      <c r="E1486" s="1" t="s">
        <v>114</v>
      </c>
      <c r="F1486" s="1">
        <v>189</v>
      </c>
      <c r="G1486" s="1">
        <v>9</v>
      </c>
      <c r="H1486" s="1">
        <v>33.799999999999997</v>
      </c>
      <c r="I1486" s="1"/>
      <c r="J1486" s="1"/>
    </row>
    <row r="1487" spans="1:10" x14ac:dyDescent="0.3">
      <c r="A1487" t="str">
        <f t="shared" si="46"/>
        <v>3PT%</v>
      </c>
      <c r="B1487">
        <f t="shared" si="47"/>
        <v>1303</v>
      </c>
      <c r="D1487" s="1"/>
      <c r="E1487" s="1" t="s">
        <v>82</v>
      </c>
      <c r="F1487" s="1">
        <v>190</v>
      </c>
      <c r="G1487" s="1">
        <v>6</v>
      </c>
      <c r="H1487" s="1">
        <v>33.799999999999997</v>
      </c>
      <c r="I1487" s="1"/>
      <c r="J1487" s="1"/>
    </row>
    <row r="1488" spans="1:10" x14ac:dyDescent="0.3">
      <c r="A1488" t="str">
        <f t="shared" si="46"/>
        <v>3PT%</v>
      </c>
      <c r="B1488">
        <f t="shared" si="47"/>
        <v>5803</v>
      </c>
      <c r="D1488" s="1"/>
      <c r="E1488" s="1" t="s">
        <v>139</v>
      </c>
      <c r="F1488" s="1">
        <v>204</v>
      </c>
      <c r="G1488" s="1">
        <v>4</v>
      </c>
      <c r="H1488" s="1">
        <v>33.6</v>
      </c>
      <c r="I1488" s="1"/>
      <c r="J1488" s="1"/>
    </row>
    <row r="1489" spans="1:10" x14ac:dyDescent="0.3">
      <c r="A1489" t="str">
        <f t="shared" si="46"/>
        <v>3PT%</v>
      </c>
      <c r="B1489">
        <f t="shared" si="47"/>
        <v>1403</v>
      </c>
      <c r="D1489" s="1"/>
      <c r="E1489" s="1" t="s">
        <v>102</v>
      </c>
      <c r="F1489" s="1">
        <v>216</v>
      </c>
      <c r="G1489" s="1">
        <v>8</v>
      </c>
      <c r="H1489" s="1">
        <v>33.299999999999997</v>
      </c>
      <c r="I1489" s="1"/>
      <c r="J1489" s="1"/>
    </row>
    <row r="1490" spans="1:10" x14ac:dyDescent="0.3">
      <c r="A1490" t="str">
        <f t="shared" si="46"/>
        <v>3PT%</v>
      </c>
      <c r="B1490">
        <f t="shared" si="47"/>
        <v>3903</v>
      </c>
      <c r="D1490" s="1"/>
      <c r="E1490" s="1" t="s">
        <v>88</v>
      </c>
      <c r="F1490" s="1">
        <v>223</v>
      </c>
      <c r="G1490" s="1">
        <v>11</v>
      </c>
      <c r="H1490" s="1">
        <v>33.200000000000003</v>
      </c>
      <c r="I1490" s="1"/>
      <c r="J1490" s="1"/>
    </row>
    <row r="1491" spans="1:10" x14ac:dyDescent="0.3">
      <c r="A1491" t="str">
        <f t="shared" si="46"/>
        <v>3PT%</v>
      </c>
      <c r="B1491">
        <f t="shared" si="47"/>
        <v>4703</v>
      </c>
      <c r="D1491" s="1"/>
      <c r="E1491" s="1" t="s">
        <v>107</v>
      </c>
      <c r="F1491" s="1">
        <v>244</v>
      </c>
      <c r="G1491" s="1">
        <v>10</v>
      </c>
      <c r="H1491" s="1">
        <v>32.799999999999997</v>
      </c>
      <c r="I1491" s="1"/>
      <c r="J1491" s="1"/>
    </row>
    <row r="1492" spans="1:10" x14ac:dyDescent="0.3">
      <c r="A1492" t="str">
        <f t="shared" si="46"/>
        <v>3PT%</v>
      </c>
      <c r="B1492">
        <f t="shared" si="47"/>
        <v>11603</v>
      </c>
      <c r="D1492" s="1"/>
      <c r="E1492" s="1" t="s">
        <v>121</v>
      </c>
      <c r="F1492" s="1">
        <v>245</v>
      </c>
      <c r="G1492" s="1">
        <v>4</v>
      </c>
      <c r="H1492" s="1">
        <v>32.700000000000003</v>
      </c>
      <c r="I1492" s="1"/>
      <c r="J1492" s="1"/>
    </row>
    <row r="1493" spans="1:10" x14ac:dyDescent="0.3">
      <c r="A1493" t="str">
        <f t="shared" si="46"/>
        <v>3PT%</v>
      </c>
      <c r="B1493">
        <f t="shared" si="47"/>
        <v>12703</v>
      </c>
      <c r="D1493" s="1"/>
      <c r="E1493" s="1" t="s">
        <v>13</v>
      </c>
      <c r="F1493" s="1">
        <v>248</v>
      </c>
      <c r="G1493" s="1">
        <v>11</v>
      </c>
      <c r="H1493" s="1">
        <v>32.700000000000003</v>
      </c>
      <c r="I1493" s="1"/>
      <c r="J1493" s="1"/>
    </row>
    <row r="1494" spans="1:10" x14ac:dyDescent="0.3">
      <c r="A1494" t="str">
        <f t="shared" si="46"/>
        <v>3PT%</v>
      </c>
      <c r="B1494">
        <f t="shared" si="47"/>
        <v>12803</v>
      </c>
      <c r="D1494" s="1"/>
      <c r="E1494" s="1" t="s">
        <v>142</v>
      </c>
      <c r="F1494" s="1">
        <v>257</v>
      </c>
      <c r="G1494" s="1">
        <v>9</v>
      </c>
      <c r="H1494" s="1">
        <v>32.5</v>
      </c>
      <c r="I1494" s="1"/>
      <c r="J1494" s="1"/>
    </row>
    <row r="1495" spans="1:10" x14ac:dyDescent="0.3">
      <c r="A1495" t="str">
        <f t="shared" si="46"/>
        <v>3PT%</v>
      </c>
      <c r="B1495">
        <f t="shared" si="47"/>
        <v>8203</v>
      </c>
      <c r="D1495" s="1"/>
      <c r="E1495" s="1" t="s">
        <v>131</v>
      </c>
      <c r="F1495" s="1">
        <v>262</v>
      </c>
      <c r="G1495" s="1">
        <v>8</v>
      </c>
      <c r="H1495" s="1">
        <v>32.4</v>
      </c>
      <c r="I1495" s="1"/>
      <c r="J1495" s="1"/>
    </row>
    <row r="1496" spans="1:10" x14ac:dyDescent="0.3">
      <c r="A1496" t="str">
        <f t="shared" si="46"/>
        <v>3PT%</v>
      </c>
      <c r="B1496">
        <f t="shared" si="47"/>
        <v>1603</v>
      </c>
      <c r="D1496" s="1"/>
      <c r="E1496" s="1" t="s">
        <v>137</v>
      </c>
      <c r="F1496" s="1">
        <v>274</v>
      </c>
      <c r="G1496" s="1">
        <v>10</v>
      </c>
      <c r="H1496" s="1">
        <v>32.1</v>
      </c>
      <c r="I1496" s="1"/>
      <c r="J1496" s="1"/>
    </row>
    <row r="1497" spans="1:10" x14ac:dyDescent="0.3">
      <c r="A1497" t="str">
        <f t="shared" si="46"/>
        <v>3PT%</v>
      </c>
      <c r="B1497">
        <f t="shared" si="47"/>
        <v>1203</v>
      </c>
      <c r="D1497" s="1"/>
      <c r="E1497" s="1" t="s">
        <v>130</v>
      </c>
      <c r="F1497" s="1">
        <v>301</v>
      </c>
      <c r="G1497" s="1">
        <v>11</v>
      </c>
      <c r="H1497" s="1">
        <v>31.5</v>
      </c>
      <c r="I1497" s="1"/>
      <c r="J1497" s="1"/>
    </row>
    <row r="1498" spans="1:10" x14ac:dyDescent="0.3">
      <c r="A1498" t="str">
        <f t="shared" si="46"/>
        <v>3PT%</v>
      </c>
      <c r="B1498">
        <f t="shared" si="47"/>
        <v>12403</v>
      </c>
      <c r="D1498" s="1"/>
      <c r="E1498" s="1" t="s">
        <v>128</v>
      </c>
      <c r="F1498" s="1">
        <v>320</v>
      </c>
      <c r="G1498" s="1">
        <v>10</v>
      </c>
      <c r="H1498" s="1">
        <v>30.5</v>
      </c>
      <c r="I1498" s="1"/>
      <c r="J1498" s="1"/>
    </row>
    <row r="1499" spans="1:10" x14ac:dyDescent="0.3">
      <c r="A1499" t="str">
        <f t="shared" si="46"/>
        <v>3PT%</v>
      </c>
      <c r="B1499">
        <f t="shared" si="47"/>
        <v>3603</v>
      </c>
      <c r="D1499" s="1"/>
      <c r="E1499" s="1" t="s">
        <v>129</v>
      </c>
      <c r="F1499" s="1">
        <v>335</v>
      </c>
      <c r="G1499" s="1">
        <v>13</v>
      </c>
      <c r="H1499" s="1">
        <v>29.3</v>
      </c>
      <c r="I1499" s="1"/>
      <c r="J1499" s="1"/>
    </row>
    <row r="1500" spans="1:10" x14ac:dyDescent="0.3">
      <c r="A1500" t="str">
        <f t="shared" si="46"/>
        <v>3PD%</v>
      </c>
      <c r="B1500">
        <f t="shared" si="47"/>
        <v>1401</v>
      </c>
      <c r="D1500" s="1" t="s">
        <v>175</v>
      </c>
      <c r="E1500" s="1" t="s">
        <v>102</v>
      </c>
      <c r="F1500" s="1">
        <v>6</v>
      </c>
      <c r="G1500" s="1">
        <v>1</v>
      </c>
      <c r="H1500" s="1">
        <v>29.3</v>
      </c>
      <c r="I1500" s="1" t="s">
        <v>176</v>
      </c>
      <c r="J1500" s="1">
        <v>27.6</v>
      </c>
    </row>
    <row r="1501" spans="1:10" x14ac:dyDescent="0.3">
      <c r="A1501" t="str">
        <f t="shared" si="46"/>
        <v>3PD%</v>
      </c>
      <c r="B1501">
        <f t="shared" si="47"/>
        <v>1601</v>
      </c>
      <c r="D1501" s="1"/>
      <c r="E1501" s="1" t="s">
        <v>137</v>
      </c>
      <c r="F1501" s="1">
        <v>8</v>
      </c>
      <c r="G1501" s="1">
        <v>1</v>
      </c>
      <c r="H1501" s="1">
        <v>29.8</v>
      </c>
      <c r="I1501" s="1"/>
      <c r="J1501" s="1"/>
    </row>
    <row r="1502" spans="1:10" x14ac:dyDescent="0.3">
      <c r="A1502" t="str">
        <f t="shared" si="46"/>
        <v>3PD%</v>
      </c>
      <c r="B1502">
        <f t="shared" si="47"/>
        <v>4801</v>
      </c>
      <c r="D1502" s="1"/>
      <c r="E1502" s="1" t="s">
        <v>104</v>
      </c>
      <c r="F1502" s="1">
        <v>12</v>
      </c>
      <c r="G1502" s="1">
        <v>2</v>
      </c>
      <c r="H1502" s="1">
        <v>29.9</v>
      </c>
      <c r="I1502" s="1"/>
      <c r="J1502" s="1"/>
    </row>
    <row r="1503" spans="1:10" x14ac:dyDescent="0.3">
      <c r="A1503" t="str">
        <f t="shared" si="46"/>
        <v>3PD%</v>
      </c>
      <c r="B1503">
        <f t="shared" si="47"/>
        <v>11601</v>
      </c>
      <c r="D1503" s="1"/>
      <c r="E1503" s="1" t="s">
        <v>121</v>
      </c>
      <c r="F1503" s="1">
        <v>14</v>
      </c>
      <c r="G1503" s="1">
        <v>1</v>
      </c>
      <c r="H1503" s="1">
        <v>30</v>
      </c>
      <c r="I1503" s="1"/>
      <c r="J1503" s="1"/>
    </row>
    <row r="1504" spans="1:10" x14ac:dyDescent="0.3">
      <c r="A1504" t="str">
        <f t="shared" si="46"/>
        <v>3PD%</v>
      </c>
      <c r="B1504">
        <f t="shared" si="47"/>
        <v>2801</v>
      </c>
      <c r="D1504" s="1"/>
      <c r="E1504" s="1" t="s">
        <v>106</v>
      </c>
      <c r="F1504" s="1">
        <v>16</v>
      </c>
      <c r="G1504" s="1">
        <v>2</v>
      </c>
      <c r="H1504" s="1">
        <v>30.1</v>
      </c>
      <c r="I1504" s="1"/>
      <c r="J1504" s="1"/>
    </row>
    <row r="1505" spans="1:10" x14ac:dyDescent="0.3">
      <c r="A1505" t="str">
        <f t="shared" si="46"/>
        <v>3PD%</v>
      </c>
      <c r="B1505">
        <f t="shared" si="47"/>
        <v>1501</v>
      </c>
      <c r="D1505" s="1"/>
      <c r="E1505" s="1" t="s">
        <v>124</v>
      </c>
      <c r="F1505" s="1">
        <v>18</v>
      </c>
      <c r="G1505" s="1">
        <v>2</v>
      </c>
      <c r="H1505" s="1">
        <v>30.2</v>
      </c>
      <c r="I1505" s="1"/>
      <c r="J1505" s="1"/>
    </row>
    <row r="1506" spans="1:10" x14ac:dyDescent="0.3">
      <c r="A1506" t="str">
        <f t="shared" si="46"/>
        <v>3PD%</v>
      </c>
      <c r="B1506">
        <f t="shared" si="47"/>
        <v>4501</v>
      </c>
      <c r="D1506" s="1"/>
      <c r="E1506" s="1" t="s">
        <v>84</v>
      </c>
      <c r="F1506" s="1">
        <v>19</v>
      </c>
      <c r="G1506" s="1">
        <v>2</v>
      </c>
      <c r="H1506" s="1">
        <v>30.2</v>
      </c>
      <c r="I1506" s="1"/>
      <c r="J1506" s="1"/>
    </row>
    <row r="1507" spans="1:10" x14ac:dyDescent="0.3">
      <c r="A1507" t="str">
        <f t="shared" si="46"/>
        <v>3PD%</v>
      </c>
      <c r="B1507">
        <f t="shared" si="47"/>
        <v>4701</v>
      </c>
      <c r="D1507" s="1"/>
      <c r="E1507" s="1" t="s">
        <v>107</v>
      </c>
      <c r="F1507" s="1">
        <v>21</v>
      </c>
      <c r="G1507" s="1">
        <v>2</v>
      </c>
      <c r="H1507" s="1">
        <v>30.4</v>
      </c>
      <c r="I1507" s="1"/>
      <c r="J1507" s="1"/>
    </row>
    <row r="1508" spans="1:10" x14ac:dyDescent="0.3">
      <c r="A1508" t="str">
        <f t="shared" si="46"/>
        <v>3PD%</v>
      </c>
      <c r="B1508">
        <f t="shared" si="47"/>
        <v>8201</v>
      </c>
      <c r="D1508" s="1"/>
      <c r="E1508" s="1" t="s">
        <v>131</v>
      </c>
      <c r="F1508" s="1">
        <v>22</v>
      </c>
      <c r="G1508" s="1">
        <v>1</v>
      </c>
      <c r="H1508" s="1">
        <v>30.4</v>
      </c>
      <c r="I1508" s="1"/>
      <c r="J1508" s="1"/>
    </row>
    <row r="1509" spans="1:10" x14ac:dyDescent="0.3">
      <c r="A1509" t="str">
        <f t="shared" si="46"/>
        <v>3PD%</v>
      </c>
      <c r="B1509">
        <f t="shared" si="47"/>
        <v>2601</v>
      </c>
      <c r="D1509" s="1"/>
      <c r="E1509" s="1" t="s">
        <v>80</v>
      </c>
      <c r="F1509" s="1">
        <v>25</v>
      </c>
      <c r="G1509" s="1">
        <v>1</v>
      </c>
      <c r="H1509" s="1">
        <v>30.5</v>
      </c>
      <c r="I1509" s="1"/>
      <c r="J1509" s="1"/>
    </row>
    <row r="1510" spans="1:10" x14ac:dyDescent="0.3">
      <c r="A1510" t="str">
        <f t="shared" si="46"/>
        <v>3PD%</v>
      </c>
      <c r="B1510">
        <f t="shared" si="47"/>
        <v>8401</v>
      </c>
      <c r="D1510" s="1"/>
      <c r="E1510" s="1" t="s">
        <v>109</v>
      </c>
      <c r="F1510" s="1">
        <v>27</v>
      </c>
      <c r="G1510" s="1">
        <v>1</v>
      </c>
      <c r="H1510" s="1">
        <v>30.7</v>
      </c>
      <c r="I1510" s="1"/>
      <c r="J1510" s="1"/>
    </row>
    <row r="1511" spans="1:10" x14ac:dyDescent="0.3">
      <c r="A1511" t="str">
        <f t="shared" si="46"/>
        <v>3PD%</v>
      </c>
      <c r="B1511">
        <f t="shared" si="47"/>
        <v>2101</v>
      </c>
      <c r="D1511" s="1"/>
      <c r="E1511" s="1" t="s">
        <v>136</v>
      </c>
      <c r="F1511" s="1">
        <v>31</v>
      </c>
      <c r="G1511" s="1">
        <v>3</v>
      </c>
      <c r="H1511" s="1">
        <v>31</v>
      </c>
      <c r="I1511" s="1"/>
      <c r="J1511" s="1"/>
    </row>
    <row r="1512" spans="1:10" x14ac:dyDescent="0.3">
      <c r="A1512" t="str">
        <f t="shared" si="46"/>
        <v>3PD%</v>
      </c>
      <c r="B1512">
        <f t="shared" si="47"/>
        <v>1201</v>
      </c>
      <c r="D1512" s="1"/>
      <c r="E1512" s="1" t="s">
        <v>130</v>
      </c>
      <c r="F1512" s="1">
        <v>32</v>
      </c>
      <c r="G1512" s="1">
        <v>4</v>
      </c>
      <c r="H1512" s="1">
        <v>31</v>
      </c>
      <c r="I1512" s="1"/>
      <c r="J1512" s="1"/>
    </row>
    <row r="1513" spans="1:10" x14ac:dyDescent="0.3">
      <c r="A1513" t="str">
        <f t="shared" si="46"/>
        <v>3PD%</v>
      </c>
      <c r="B1513">
        <f t="shared" si="47"/>
        <v>3501</v>
      </c>
      <c r="D1513" s="1"/>
      <c r="E1513" s="1" t="s">
        <v>87</v>
      </c>
      <c r="F1513" s="1">
        <v>38</v>
      </c>
      <c r="G1513" s="1">
        <v>3</v>
      </c>
      <c r="H1513" s="1">
        <v>31.2</v>
      </c>
      <c r="I1513" s="1"/>
      <c r="J1513" s="1"/>
    </row>
    <row r="1514" spans="1:10" x14ac:dyDescent="0.3">
      <c r="A1514" t="str">
        <f t="shared" si="46"/>
        <v>3PD%</v>
      </c>
      <c r="B1514">
        <f t="shared" si="47"/>
        <v>2301</v>
      </c>
      <c r="D1514" s="1"/>
      <c r="E1514" s="1" t="s">
        <v>79</v>
      </c>
      <c r="F1514" s="1">
        <v>40</v>
      </c>
      <c r="G1514" s="1">
        <v>1</v>
      </c>
      <c r="H1514" s="1">
        <v>31.2</v>
      </c>
      <c r="I1514" s="1"/>
      <c r="J1514" s="1"/>
    </row>
    <row r="1515" spans="1:10" x14ac:dyDescent="0.3">
      <c r="A1515" t="str">
        <f t="shared" si="46"/>
        <v>3PD%</v>
      </c>
      <c r="B1515">
        <f t="shared" si="47"/>
        <v>2501</v>
      </c>
      <c r="D1515" s="1"/>
      <c r="E1515" s="1" t="s">
        <v>92</v>
      </c>
      <c r="F1515" s="1">
        <v>46</v>
      </c>
      <c r="G1515" s="1">
        <v>2</v>
      </c>
      <c r="H1515" s="1">
        <v>31.4</v>
      </c>
      <c r="I1515" s="1"/>
      <c r="J1515" s="1"/>
    </row>
    <row r="1516" spans="1:10" x14ac:dyDescent="0.3">
      <c r="A1516" t="str">
        <f t="shared" si="46"/>
        <v>3PD%</v>
      </c>
      <c r="B1516">
        <f t="shared" si="47"/>
        <v>7901</v>
      </c>
      <c r="D1516" s="1"/>
      <c r="E1516" s="1" t="s">
        <v>103</v>
      </c>
      <c r="F1516" s="1">
        <v>47</v>
      </c>
      <c r="G1516" s="1">
        <v>5</v>
      </c>
      <c r="H1516" s="1">
        <v>31.4</v>
      </c>
      <c r="I1516" s="1"/>
      <c r="J1516" s="1"/>
    </row>
    <row r="1517" spans="1:10" x14ac:dyDescent="0.3">
      <c r="A1517" t="str">
        <f t="shared" si="46"/>
        <v>3PD%</v>
      </c>
      <c r="B1517">
        <f t="shared" si="47"/>
        <v>3001</v>
      </c>
      <c r="D1517" s="1"/>
      <c r="E1517" s="1" t="s">
        <v>89</v>
      </c>
      <c r="F1517" s="1">
        <v>50</v>
      </c>
      <c r="G1517" s="1">
        <v>2</v>
      </c>
      <c r="H1517" s="1">
        <v>31.5</v>
      </c>
      <c r="I1517" s="1"/>
      <c r="J1517" s="1"/>
    </row>
    <row r="1518" spans="1:10" x14ac:dyDescent="0.3">
      <c r="A1518" t="str">
        <f t="shared" si="46"/>
        <v>3PD%</v>
      </c>
      <c r="B1518">
        <f t="shared" si="47"/>
        <v>601</v>
      </c>
      <c r="D1518" s="1"/>
      <c r="E1518" s="1" t="s">
        <v>100</v>
      </c>
      <c r="F1518" s="1">
        <v>54</v>
      </c>
      <c r="G1518" s="1">
        <v>4</v>
      </c>
      <c r="H1518" s="1">
        <v>31.5</v>
      </c>
      <c r="I1518" s="1"/>
      <c r="J1518" s="1"/>
    </row>
    <row r="1519" spans="1:10" x14ac:dyDescent="0.3">
      <c r="A1519" t="str">
        <f t="shared" si="46"/>
        <v>3PD%</v>
      </c>
      <c r="B1519">
        <f t="shared" si="47"/>
        <v>3701</v>
      </c>
      <c r="D1519" s="1"/>
      <c r="E1519" s="1" t="s">
        <v>115</v>
      </c>
      <c r="F1519" s="1">
        <v>64</v>
      </c>
      <c r="G1519" s="1">
        <v>4</v>
      </c>
      <c r="H1519" s="1">
        <v>31.7</v>
      </c>
      <c r="I1519" s="1"/>
      <c r="J1519" s="1"/>
    </row>
    <row r="1520" spans="1:10" x14ac:dyDescent="0.3">
      <c r="A1520" t="str">
        <f t="shared" si="46"/>
        <v>3PD%</v>
      </c>
      <c r="B1520">
        <f t="shared" si="47"/>
        <v>201</v>
      </c>
      <c r="D1520" s="1"/>
      <c r="E1520" s="1" t="s">
        <v>98</v>
      </c>
      <c r="F1520" s="1">
        <v>67</v>
      </c>
      <c r="G1520" s="1">
        <v>3</v>
      </c>
      <c r="H1520" s="1">
        <v>31.7</v>
      </c>
      <c r="I1520" s="1"/>
      <c r="J1520" s="1"/>
    </row>
    <row r="1521" spans="1:10" x14ac:dyDescent="0.3">
      <c r="A1521" t="str">
        <f t="shared" si="46"/>
        <v>3PD%</v>
      </c>
      <c r="B1521">
        <f t="shared" si="47"/>
        <v>12901</v>
      </c>
      <c r="D1521" s="1"/>
      <c r="E1521" s="1" t="s">
        <v>132</v>
      </c>
      <c r="F1521" s="1">
        <v>69</v>
      </c>
      <c r="G1521" s="1">
        <v>3</v>
      </c>
      <c r="H1521" s="1">
        <v>31.8</v>
      </c>
      <c r="I1521" s="1"/>
      <c r="J1521" s="1"/>
    </row>
    <row r="1522" spans="1:10" x14ac:dyDescent="0.3">
      <c r="A1522" t="str">
        <f t="shared" si="46"/>
        <v>3PD%</v>
      </c>
      <c r="B1522">
        <f t="shared" si="47"/>
        <v>12101</v>
      </c>
      <c r="D1522" s="1"/>
      <c r="E1522" s="1" t="s">
        <v>140</v>
      </c>
      <c r="F1522" s="1">
        <v>71</v>
      </c>
      <c r="G1522" s="1">
        <v>3</v>
      </c>
      <c r="H1522" s="1">
        <v>31.8</v>
      </c>
      <c r="I1522" s="1"/>
      <c r="J1522" s="1"/>
    </row>
    <row r="1523" spans="1:10" x14ac:dyDescent="0.3">
      <c r="A1523" t="str">
        <f t="shared" si="46"/>
        <v>3PD%</v>
      </c>
      <c r="B1523">
        <f t="shared" si="47"/>
        <v>5401</v>
      </c>
      <c r="D1523" s="1"/>
      <c r="E1523" s="1" t="s">
        <v>94</v>
      </c>
      <c r="F1523" s="1">
        <v>73</v>
      </c>
      <c r="G1523" s="1">
        <v>3</v>
      </c>
      <c r="H1523" s="1">
        <v>31.8</v>
      </c>
      <c r="I1523" s="1"/>
      <c r="J1523" s="1"/>
    </row>
    <row r="1524" spans="1:10" x14ac:dyDescent="0.3">
      <c r="A1524" t="str">
        <f t="shared" si="46"/>
        <v>3PD%</v>
      </c>
      <c r="B1524">
        <f t="shared" si="47"/>
        <v>5001</v>
      </c>
      <c r="D1524" s="1"/>
      <c r="E1524" s="1" t="s">
        <v>110</v>
      </c>
      <c r="F1524" s="1">
        <v>78</v>
      </c>
      <c r="G1524" s="1">
        <v>4</v>
      </c>
      <c r="H1524" s="1">
        <v>32</v>
      </c>
      <c r="I1524" s="1"/>
      <c r="J1524" s="1"/>
    </row>
    <row r="1525" spans="1:10" x14ac:dyDescent="0.3">
      <c r="A1525" t="str">
        <f t="shared" si="46"/>
        <v>3PD%</v>
      </c>
      <c r="B1525">
        <f t="shared" si="47"/>
        <v>5801</v>
      </c>
      <c r="D1525" s="1"/>
      <c r="E1525" s="1" t="s">
        <v>139</v>
      </c>
      <c r="F1525" s="1">
        <v>79</v>
      </c>
      <c r="G1525" s="1">
        <v>2</v>
      </c>
      <c r="H1525" s="1">
        <v>32</v>
      </c>
      <c r="I1525" s="1"/>
      <c r="J1525" s="1"/>
    </row>
    <row r="1526" spans="1:10" x14ac:dyDescent="0.3">
      <c r="A1526" t="str">
        <f t="shared" si="46"/>
        <v>3PD%</v>
      </c>
      <c r="B1526">
        <f t="shared" si="47"/>
        <v>2701</v>
      </c>
      <c r="D1526" s="1"/>
      <c r="E1526" s="1" t="s">
        <v>7</v>
      </c>
      <c r="F1526" s="1">
        <v>80</v>
      </c>
      <c r="G1526" s="1">
        <v>5</v>
      </c>
      <c r="H1526" s="1">
        <v>32</v>
      </c>
      <c r="I1526" s="1"/>
      <c r="J1526" s="1"/>
    </row>
    <row r="1527" spans="1:10" x14ac:dyDescent="0.3">
      <c r="A1527" t="str">
        <f t="shared" si="46"/>
        <v>3PD%</v>
      </c>
      <c r="B1527">
        <f t="shared" si="47"/>
        <v>6301</v>
      </c>
      <c r="D1527" s="1"/>
      <c r="E1527" s="1" t="s">
        <v>122</v>
      </c>
      <c r="F1527" s="1">
        <v>81</v>
      </c>
      <c r="G1527" s="1">
        <v>1</v>
      </c>
      <c r="H1527" s="1">
        <v>32</v>
      </c>
      <c r="I1527" s="1"/>
      <c r="J1527" s="1"/>
    </row>
    <row r="1528" spans="1:10" x14ac:dyDescent="0.3">
      <c r="A1528" t="str">
        <f t="shared" si="46"/>
        <v>3PD%</v>
      </c>
      <c r="B1528">
        <f t="shared" si="47"/>
        <v>4601</v>
      </c>
      <c r="D1528" s="1"/>
      <c r="E1528" s="1" t="s">
        <v>101</v>
      </c>
      <c r="F1528" s="1">
        <v>85</v>
      </c>
      <c r="G1528" s="1">
        <v>5</v>
      </c>
      <c r="H1528" s="1">
        <v>32.1</v>
      </c>
      <c r="I1528" s="1"/>
      <c r="J1528" s="1"/>
    </row>
    <row r="1529" spans="1:10" x14ac:dyDescent="0.3">
      <c r="A1529" t="str">
        <f t="shared" si="46"/>
        <v>3PD%</v>
      </c>
      <c r="B1529">
        <f t="shared" si="47"/>
        <v>4901</v>
      </c>
      <c r="D1529" s="1"/>
      <c r="E1529" s="1" t="s">
        <v>108</v>
      </c>
      <c r="F1529" s="1">
        <v>86</v>
      </c>
      <c r="G1529" s="1">
        <v>4</v>
      </c>
      <c r="H1529" s="1">
        <v>32.1</v>
      </c>
      <c r="I1529" s="1"/>
      <c r="J1529" s="1"/>
    </row>
    <row r="1530" spans="1:10" x14ac:dyDescent="0.3">
      <c r="A1530" t="str">
        <f t="shared" si="46"/>
        <v>3PD%</v>
      </c>
      <c r="B1530">
        <f t="shared" si="47"/>
        <v>1301</v>
      </c>
      <c r="D1530" s="1"/>
      <c r="E1530" s="1" t="s">
        <v>82</v>
      </c>
      <c r="F1530" s="1">
        <v>90</v>
      </c>
      <c r="G1530" s="1">
        <v>7</v>
      </c>
      <c r="H1530" s="1">
        <v>32.200000000000003</v>
      </c>
      <c r="I1530" s="1"/>
      <c r="J1530" s="1"/>
    </row>
    <row r="1531" spans="1:10" x14ac:dyDescent="0.3">
      <c r="A1531" t="str">
        <f t="shared" si="46"/>
        <v>3PD%</v>
      </c>
      <c r="B1531">
        <f t="shared" si="47"/>
        <v>7201</v>
      </c>
      <c r="D1531" s="1"/>
      <c r="E1531" s="1" t="s">
        <v>116</v>
      </c>
      <c r="F1531" s="1">
        <v>93</v>
      </c>
      <c r="G1531" s="1">
        <v>6</v>
      </c>
      <c r="H1531" s="1">
        <v>32.200000000000003</v>
      </c>
      <c r="I1531" s="1"/>
      <c r="J1531" s="1"/>
    </row>
    <row r="1532" spans="1:10" x14ac:dyDescent="0.3">
      <c r="A1532" t="str">
        <f t="shared" si="46"/>
        <v>3PD%</v>
      </c>
      <c r="B1532">
        <f t="shared" si="47"/>
        <v>3101</v>
      </c>
      <c r="D1532" s="1"/>
      <c r="E1532" s="1" t="s">
        <v>93</v>
      </c>
      <c r="F1532" s="1">
        <v>95</v>
      </c>
      <c r="G1532" s="1">
        <v>2</v>
      </c>
      <c r="H1532" s="1">
        <v>32.299999999999997</v>
      </c>
      <c r="I1532" s="1"/>
      <c r="J1532" s="1"/>
    </row>
    <row r="1533" spans="1:10" x14ac:dyDescent="0.3">
      <c r="A1533" t="str">
        <f t="shared" si="46"/>
        <v>3PD%</v>
      </c>
      <c r="B1533">
        <f t="shared" si="47"/>
        <v>10301</v>
      </c>
      <c r="D1533" s="1"/>
      <c r="E1533" s="1" t="s">
        <v>134</v>
      </c>
      <c r="F1533" s="1">
        <v>106</v>
      </c>
      <c r="G1533" s="1">
        <v>2</v>
      </c>
      <c r="H1533" s="1">
        <v>32.5</v>
      </c>
      <c r="I1533" s="1"/>
      <c r="J1533" s="1"/>
    </row>
    <row r="1534" spans="1:10" x14ac:dyDescent="0.3">
      <c r="A1534" t="str">
        <f t="shared" si="46"/>
        <v>3PD%</v>
      </c>
      <c r="B1534">
        <f t="shared" si="47"/>
        <v>7301</v>
      </c>
      <c r="D1534" s="1"/>
      <c r="E1534" s="1" t="s">
        <v>111</v>
      </c>
      <c r="F1534" s="1">
        <v>111</v>
      </c>
      <c r="G1534" s="1">
        <v>3</v>
      </c>
      <c r="H1534" s="1">
        <v>32.5</v>
      </c>
      <c r="I1534" s="1"/>
      <c r="J1534" s="1"/>
    </row>
    <row r="1535" spans="1:10" x14ac:dyDescent="0.3">
      <c r="A1535" t="str">
        <f t="shared" si="46"/>
        <v>3PD%</v>
      </c>
      <c r="B1535">
        <f t="shared" si="47"/>
        <v>5701</v>
      </c>
      <c r="D1535" s="1"/>
      <c r="E1535" s="1" t="s">
        <v>120</v>
      </c>
      <c r="F1535" s="1">
        <v>115</v>
      </c>
      <c r="G1535" s="1">
        <v>5</v>
      </c>
      <c r="H1535" s="1">
        <v>32.6</v>
      </c>
      <c r="I1535" s="1"/>
      <c r="J1535" s="1"/>
    </row>
    <row r="1536" spans="1:10" x14ac:dyDescent="0.3">
      <c r="A1536" t="str">
        <f t="shared" si="46"/>
        <v>3PD%</v>
      </c>
      <c r="B1536">
        <f t="shared" si="47"/>
        <v>901</v>
      </c>
      <c r="D1536" s="1"/>
      <c r="E1536" s="1" t="s">
        <v>90</v>
      </c>
      <c r="F1536" s="1">
        <v>118</v>
      </c>
      <c r="G1536" s="1">
        <v>4</v>
      </c>
      <c r="H1536" s="1">
        <v>32.6</v>
      </c>
      <c r="I1536" s="1"/>
      <c r="J1536" s="1"/>
    </row>
    <row r="1537" spans="1:10" x14ac:dyDescent="0.3">
      <c r="A1537" t="str">
        <f t="shared" si="46"/>
        <v>3PD%</v>
      </c>
      <c r="B1537">
        <f t="shared" si="47"/>
        <v>12801</v>
      </c>
      <c r="D1537" s="1"/>
      <c r="E1537" s="1" t="s">
        <v>142</v>
      </c>
      <c r="F1537" s="1">
        <v>123</v>
      </c>
      <c r="G1537" s="1">
        <v>2</v>
      </c>
      <c r="H1537" s="1">
        <v>32.700000000000003</v>
      </c>
      <c r="I1537" s="1"/>
      <c r="J1537" s="1"/>
    </row>
    <row r="1538" spans="1:10" x14ac:dyDescent="0.3">
      <c r="A1538" t="str">
        <f t="shared" ref="A1538:A1601" si="48">IF(NOT(D1538=""),INDEX(statAbbr,MATCH(D1538,statOfficial,0),1),A1537)</f>
        <v>3PD%</v>
      </c>
      <c r="B1538">
        <f t="shared" ref="B1538:B1601" si="49">INDEX(statID,MATCH(A1538,statAbbr,0),1)+INDEX(teamID,MATCH(E1538,teamRawName,0))</f>
        <v>2901</v>
      </c>
      <c r="D1538" s="1"/>
      <c r="E1538" s="1" t="s">
        <v>96</v>
      </c>
      <c r="F1538" s="1">
        <v>135</v>
      </c>
      <c r="G1538" s="1">
        <v>3</v>
      </c>
      <c r="H1538" s="1">
        <v>32.9</v>
      </c>
      <c r="I1538" s="1"/>
      <c r="J1538" s="1"/>
    </row>
    <row r="1539" spans="1:10" x14ac:dyDescent="0.3">
      <c r="A1539" t="str">
        <f t="shared" si="48"/>
        <v>3PD%</v>
      </c>
      <c r="B1539">
        <f t="shared" si="49"/>
        <v>5601</v>
      </c>
      <c r="D1539" s="1"/>
      <c r="E1539" s="1" t="s">
        <v>62</v>
      </c>
      <c r="F1539" s="1">
        <v>138</v>
      </c>
      <c r="G1539" s="1">
        <v>7</v>
      </c>
      <c r="H1539" s="1">
        <v>33</v>
      </c>
      <c r="I1539" s="1"/>
      <c r="J1539" s="1"/>
    </row>
    <row r="1540" spans="1:10" x14ac:dyDescent="0.3">
      <c r="A1540" t="str">
        <f t="shared" si="48"/>
        <v>3PD%</v>
      </c>
      <c r="B1540">
        <f t="shared" si="49"/>
        <v>4001</v>
      </c>
      <c r="D1540" s="1"/>
      <c r="E1540" s="1" t="s">
        <v>105</v>
      </c>
      <c r="F1540" s="1">
        <v>145</v>
      </c>
      <c r="G1540" s="1">
        <v>8</v>
      </c>
      <c r="H1540" s="1">
        <v>33.1</v>
      </c>
      <c r="I1540" s="1"/>
      <c r="J1540" s="1"/>
    </row>
    <row r="1541" spans="1:10" x14ac:dyDescent="0.3">
      <c r="A1541" t="str">
        <f t="shared" si="48"/>
        <v>3PD%</v>
      </c>
      <c r="B1541">
        <f t="shared" si="49"/>
        <v>9501</v>
      </c>
      <c r="D1541" s="1"/>
      <c r="E1541" s="1" t="s">
        <v>85</v>
      </c>
      <c r="F1541" s="1">
        <v>147</v>
      </c>
      <c r="G1541" s="1">
        <v>7</v>
      </c>
      <c r="H1541" s="1">
        <v>33.200000000000003</v>
      </c>
      <c r="I1541" s="1"/>
      <c r="J1541" s="1"/>
    </row>
    <row r="1542" spans="1:10" x14ac:dyDescent="0.3">
      <c r="A1542" t="str">
        <f t="shared" si="48"/>
        <v>3PD%</v>
      </c>
      <c r="B1542">
        <f t="shared" si="49"/>
        <v>5501</v>
      </c>
      <c r="D1542" s="1"/>
      <c r="E1542" s="1" t="s">
        <v>86</v>
      </c>
      <c r="F1542" s="1">
        <v>148</v>
      </c>
      <c r="G1542" s="1">
        <v>7</v>
      </c>
      <c r="H1542" s="1">
        <v>33.200000000000003</v>
      </c>
      <c r="I1542" s="1"/>
      <c r="J1542" s="1"/>
    </row>
    <row r="1543" spans="1:10" x14ac:dyDescent="0.3">
      <c r="A1543" t="str">
        <f t="shared" si="48"/>
        <v>3PD%</v>
      </c>
      <c r="B1543">
        <f t="shared" si="49"/>
        <v>12001</v>
      </c>
      <c r="D1543" s="1"/>
      <c r="E1543" s="1" t="s">
        <v>135</v>
      </c>
      <c r="F1543" s="1">
        <v>164</v>
      </c>
      <c r="G1543" s="1">
        <v>3</v>
      </c>
      <c r="H1543" s="1">
        <v>33.5</v>
      </c>
      <c r="I1543" s="1"/>
      <c r="J1543" s="1"/>
    </row>
    <row r="1544" spans="1:10" x14ac:dyDescent="0.3">
      <c r="A1544" t="str">
        <f t="shared" si="48"/>
        <v>3PD%</v>
      </c>
      <c r="B1544">
        <f t="shared" si="49"/>
        <v>1901</v>
      </c>
      <c r="D1544" s="1"/>
      <c r="E1544" s="1" t="s">
        <v>112</v>
      </c>
      <c r="F1544" s="1">
        <v>165</v>
      </c>
      <c r="G1544" s="1">
        <v>10</v>
      </c>
      <c r="H1544" s="1">
        <v>33.5</v>
      </c>
      <c r="I1544" s="1"/>
      <c r="J1544" s="1"/>
    </row>
    <row r="1545" spans="1:10" x14ac:dyDescent="0.3">
      <c r="A1545" t="str">
        <f t="shared" si="48"/>
        <v>3PD%</v>
      </c>
      <c r="B1545">
        <f t="shared" si="49"/>
        <v>11301</v>
      </c>
      <c r="D1545" s="1"/>
      <c r="E1545" s="1" t="s">
        <v>126</v>
      </c>
      <c r="F1545" s="1">
        <v>169</v>
      </c>
      <c r="G1545" s="1">
        <v>2</v>
      </c>
      <c r="H1545" s="1">
        <v>33.5</v>
      </c>
      <c r="I1545" s="1"/>
      <c r="J1545" s="1"/>
    </row>
    <row r="1546" spans="1:10" x14ac:dyDescent="0.3">
      <c r="A1546" t="str">
        <f t="shared" si="48"/>
        <v>3PD%</v>
      </c>
      <c r="B1546">
        <f t="shared" si="49"/>
        <v>4401</v>
      </c>
      <c r="D1546" s="1"/>
      <c r="E1546" s="1" t="s">
        <v>83</v>
      </c>
      <c r="F1546" s="1">
        <v>171</v>
      </c>
      <c r="G1546" s="1">
        <v>4</v>
      </c>
      <c r="H1546" s="1">
        <v>33.6</v>
      </c>
      <c r="I1546" s="1"/>
      <c r="J1546" s="1"/>
    </row>
    <row r="1547" spans="1:10" x14ac:dyDescent="0.3">
      <c r="A1547" t="str">
        <f t="shared" si="48"/>
        <v>3PD%</v>
      </c>
      <c r="B1547">
        <f t="shared" si="49"/>
        <v>6701</v>
      </c>
      <c r="D1547" s="1"/>
      <c r="E1547" s="1" t="s">
        <v>118</v>
      </c>
      <c r="F1547" s="1">
        <v>172</v>
      </c>
      <c r="G1547" s="1">
        <v>8</v>
      </c>
      <c r="H1547" s="1">
        <v>33.6</v>
      </c>
      <c r="I1547" s="1"/>
      <c r="J1547" s="1"/>
    </row>
    <row r="1548" spans="1:10" x14ac:dyDescent="0.3">
      <c r="A1548" t="str">
        <f t="shared" si="48"/>
        <v>3PD%</v>
      </c>
      <c r="B1548">
        <f t="shared" si="49"/>
        <v>3201</v>
      </c>
      <c r="D1548" s="1"/>
      <c r="E1548" s="1" t="s">
        <v>127</v>
      </c>
      <c r="F1548" s="1">
        <v>174</v>
      </c>
      <c r="G1548" s="1">
        <v>10</v>
      </c>
      <c r="H1548" s="1">
        <v>33.6</v>
      </c>
      <c r="I1548" s="1"/>
      <c r="J1548" s="1"/>
    </row>
    <row r="1549" spans="1:10" x14ac:dyDescent="0.3">
      <c r="A1549" t="str">
        <f t="shared" si="48"/>
        <v>3PD%</v>
      </c>
      <c r="B1549">
        <f t="shared" si="49"/>
        <v>3301</v>
      </c>
      <c r="D1549" s="1"/>
      <c r="E1549" s="1" t="s">
        <v>91</v>
      </c>
      <c r="F1549" s="1">
        <v>180</v>
      </c>
      <c r="G1549" s="1">
        <v>7</v>
      </c>
      <c r="H1549" s="1">
        <v>33.700000000000003</v>
      </c>
      <c r="I1549" s="1"/>
      <c r="J1549" s="1"/>
    </row>
    <row r="1550" spans="1:10" x14ac:dyDescent="0.3">
      <c r="A1550" t="str">
        <f t="shared" si="48"/>
        <v>3PD%</v>
      </c>
      <c r="B1550">
        <f t="shared" si="49"/>
        <v>2201</v>
      </c>
      <c r="D1550" s="1"/>
      <c r="E1550" s="1" t="s">
        <v>119</v>
      </c>
      <c r="F1550" s="1">
        <v>183</v>
      </c>
      <c r="G1550" s="1">
        <v>9</v>
      </c>
      <c r="H1550" s="1">
        <v>33.700000000000003</v>
      </c>
      <c r="I1550" s="1"/>
      <c r="J1550" s="1"/>
    </row>
    <row r="1551" spans="1:10" x14ac:dyDescent="0.3">
      <c r="A1551" t="str">
        <f t="shared" si="48"/>
        <v>3PD%</v>
      </c>
      <c r="B1551">
        <f t="shared" si="49"/>
        <v>12501</v>
      </c>
      <c r="D1551" s="1"/>
      <c r="E1551" s="1" t="s">
        <v>95</v>
      </c>
      <c r="F1551" s="1">
        <v>188</v>
      </c>
      <c r="G1551" s="1">
        <v>6</v>
      </c>
      <c r="H1551" s="1">
        <v>33.799999999999997</v>
      </c>
      <c r="I1551" s="1"/>
      <c r="J1551" s="1"/>
    </row>
    <row r="1552" spans="1:10" x14ac:dyDescent="0.3">
      <c r="A1552" t="str">
        <f t="shared" si="48"/>
        <v>3PD%</v>
      </c>
      <c r="B1552">
        <f t="shared" si="49"/>
        <v>9901</v>
      </c>
      <c r="D1552" s="1"/>
      <c r="E1552" s="1" t="s">
        <v>113</v>
      </c>
      <c r="F1552" s="1">
        <v>189</v>
      </c>
      <c r="G1552" s="1">
        <v>5</v>
      </c>
      <c r="H1552" s="1">
        <v>33.799999999999997</v>
      </c>
      <c r="I1552" s="1"/>
      <c r="J1552" s="1"/>
    </row>
    <row r="1553" spans="1:10" x14ac:dyDescent="0.3">
      <c r="A1553" t="str">
        <f t="shared" si="48"/>
        <v>3PD%</v>
      </c>
      <c r="B1553">
        <f t="shared" si="49"/>
        <v>3601</v>
      </c>
      <c r="D1553" s="1"/>
      <c r="E1553" s="1" t="s">
        <v>129</v>
      </c>
      <c r="F1553" s="1">
        <v>190</v>
      </c>
      <c r="G1553" s="1">
        <v>10</v>
      </c>
      <c r="H1553" s="1">
        <v>33.799999999999997</v>
      </c>
      <c r="I1553" s="1"/>
      <c r="J1553" s="1"/>
    </row>
    <row r="1554" spans="1:10" x14ac:dyDescent="0.3">
      <c r="A1554" t="str">
        <f t="shared" si="48"/>
        <v>3PD%</v>
      </c>
      <c r="B1554">
        <f t="shared" si="49"/>
        <v>8001</v>
      </c>
      <c r="D1554" s="1"/>
      <c r="E1554" s="1" t="s">
        <v>117</v>
      </c>
      <c r="F1554" s="1">
        <v>193</v>
      </c>
      <c r="G1554" s="1">
        <v>7</v>
      </c>
      <c r="H1554" s="1">
        <v>33.9</v>
      </c>
      <c r="I1554" s="1"/>
      <c r="J1554" s="1"/>
    </row>
    <row r="1555" spans="1:10" x14ac:dyDescent="0.3">
      <c r="A1555" t="str">
        <f t="shared" si="48"/>
        <v>3PD%</v>
      </c>
      <c r="B1555">
        <f t="shared" si="49"/>
        <v>9101</v>
      </c>
      <c r="D1555" s="1"/>
      <c r="E1555" s="1" t="s">
        <v>99</v>
      </c>
      <c r="F1555" s="1">
        <v>195</v>
      </c>
      <c r="G1555" s="1">
        <v>11</v>
      </c>
      <c r="H1555" s="1">
        <v>33.9</v>
      </c>
      <c r="I1555" s="1"/>
      <c r="J1555" s="1"/>
    </row>
    <row r="1556" spans="1:10" x14ac:dyDescent="0.3">
      <c r="A1556" t="str">
        <f t="shared" si="48"/>
        <v>3PD%</v>
      </c>
      <c r="B1556">
        <f t="shared" si="49"/>
        <v>8801</v>
      </c>
      <c r="D1556" s="1"/>
      <c r="E1556" s="1" t="s">
        <v>141</v>
      </c>
      <c r="F1556" s="1">
        <v>208</v>
      </c>
      <c r="G1556" s="1">
        <v>4</v>
      </c>
      <c r="H1556" s="1">
        <v>34</v>
      </c>
      <c r="I1556" s="1"/>
      <c r="J1556" s="1"/>
    </row>
    <row r="1557" spans="1:10" x14ac:dyDescent="0.3">
      <c r="A1557" t="str">
        <f t="shared" si="48"/>
        <v>3PD%</v>
      </c>
      <c r="B1557">
        <f t="shared" si="49"/>
        <v>3901</v>
      </c>
      <c r="D1557" s="1"/>
      <c r="E1557" s="1" t="s">
        <v>88</v>
      </c>
      <c r="F1557" s="1">
        <v>214</v>
      </c>
      <c r="G1557" s="1">
        <v>13</v>
      </c>
      <c r="H1557" s="1">
        <v>34</v>
      </c>
      <c r="I1557" s="1"/>
      <c r="J1557" s="1"/>
    </row>
    <row r="1558" spans="1:10" x14ac:dyDescent="0.3">
      <c r="A1558" t="str">
        <f t="shared" si="48"/>
        <v>3PD%</v>
      </c>
      <c r="B1558">
        <f t="shared" si="49"/>
        <v>4301</v>
      </c>
      <c r="D1558" s="1"/>
      <c r="E1558" s="1" t="s">
        <v>125</v>
      </c>
      <c r="F1558" s="1">
        <v>215</v>
      </c>
      <c r="G1558" s="1">
        <v>7</v>
      </c>
      <c r="H1558" s="1">
        <v>34.1</v>
      </c>
      <c r="I1558" s="1"/>
      <c r="J1558" s="1"/>
    </row>
    <row r="1559" spans="1:10" x14ac:dyDescent="0.3">
      <c r="A1559" t="str">
        <f t="shared" si="48"/>
        <v>3PD%</v>
      </c>
      <c r="B1559">
        <f t="shared" si="49"/>
        <v>11501</v>
      </c>
      <c r="D1559" s="1"/>
      <c r="E1559" s="1" t="s">
        <v>97</v>
      </c>
      <c r="F1559" s="1">
        <v>230</v>
      </c>
      <c r="G1559" s="1">
        <v>9</v>
      </c>
      <c r="H1559" s="1">
        <v>34.299999999999997</v>
      </c>
      <c r="I1559" s="1"/>
      <c r="J1559" s="1"/>
    </row>
    <row r="1560" spans="1:10" x14ac:dyDescent="0.3">
      <c r="A1560" t="str">
        <f t="shared" si="48"/>
        <v>3PD%</v>
      </c>
      <c r="B1560">
        <f t="shared" si="49"/>
        <v>12701</v>
      </c>
      <c r="D1560" s="1"/>
      <c r="E1560" s="1" t="s">
        <v>13</v>
      </c>
      <c r="F1560" s="1">
        <v>235</v>
      </c>
      <c r="G1560" s="1">
        <v>11</v>
      </c>
      <c r="H1560" s="1">
        <v>34.4</v>
      </c>
      <c r="I1560" s="1"/>
      <c r="J1560" s="1"/>
    </row>
    <row r="1561" spans="1:10" x14ac:dyDescent="0.3">
      <c r="A1561" t="str">
        <f t="shared" si="48"/>
        <v>3PD%</v>
      </c>
      <c r="B1561">
        <f t="shared" si="49"/>
        <v>11901</v>
      </c>
      <c r="D1561" s="1"/>
      <c r="E1561" s="1" t="s">
        <v>143</v>
      </c>
      <c r="F1561" s="1">
        <v>238</v>
      </c>
      <c r="G1561" s="1">
        <v>6</v>
      </c>
      <c r="H1561" s="1">
        <v>34.4</v>
      </c>
      <c r="I1561" s="1"/>
      <c r="J1561" s="1"/>
    </row>
    <row r="1562" spans="1:10" x14ac:dyDescent="0.3">
      <c r="A1562" t="str">
        <f t="shared" si="48"/>
        <v>3PD%</v>
      </c>
      <c r="B1562">
        <f t="shared" si="49"/>
        <v>6201</v>
      </c>
      <c r="D1562" s="1"/>
      <c r="E1562" s="1" t="s">
        <v>81</v>
      </c>
      <c r="F1562" s="1">
        <v>239</v>
      </c>
      <c r="G1562" s="1">
        <v>9</v>
      </c>
      <c r="H1562" s="1">
        <v>34.4</v>
      </c>
      <c r="I1562" s="1"/>
      <c r="J1562" s="1"/>
    </row>
    <row r="1563" spans="1:10" x14ac:dyDescent="0.3">
      <c r="A1563" t="str">
        <f t="shared" si="48"/>
        <v>3PD%</v>
      </c>
      <c r="B1563">
        <f t="shared" si="49"/>
        <v>12401</v>
      </c>
      <c r="D1563" s="1"/>
      <c r="E1563" s="1" t="s">
        <v>128</v>
      </c>
      <c r="F1563" s="1">
        <v>250</v>
      </c>
      <c r="G1563" s="1">
        <v>8</v>
      </c>
      <c r="H1563" s="1">
        <v>34.6</v>
      </c>
      <c r="I1563" s="1"/>
      <c r="J1563" s="1"/>
    </row>
    <row r="1564" spans="1:10" x14ac:dyDescent="0.3">
      <c r="A1564" t="str">
        <f t="shared" si="48"/>
        <v>3PD%</v>
      </c>
      <c r="B1564">
        <f t="shared" si="49"/>
        <v>11401</v>
      </c>
      <c r="D1564" s="1"/>
      <c r="E1564" s="1" t="s">
        <v>138</v>
      </c>
      <c r="F1564" s="1">
        <v>252</v>
      </c>
      <c r="G1564" s="1">
        <v>8</v>
      </c>
      <c r="H1564" s="1">
        <v>34.700000000000003</v>
      </c>
      <c r="I1564" s="1"/>
      <c r="J1564" s="1"/>
    </row>
    <row r="1565" spans="1:10" x14ac:dyDescent="0.3">
      <c r="A1565" t="str">
        <f t="shared" si="48"/>
        <v>3PD%</v>
      </c>
      <c r="B1565">
        <f t="shared" si="49"/>
        <v>1701</v>
      </c>
      <c r="D1565" s="1"/>
      <c r="E1565" s="1" t="s">
        <v>133</v>
      </c>
      <c r="F1565" s="1">
        <v>262</v>
      </c>
      <c r="G1565" s="1">
        <v>3</v>
      </c>
      <c r="H1565" s="1">
        <v>34.9</v>
      </c>
      <c r="I1565" s="1"/>
      <c r="J1565" s="1"/>
    </row>
    <row r="1566" spans="1:10" x14ac:dyDescent="0.3">
      <c r="A1566" t="str">
        <f t="shared" si="48"/>
        <v>3PD%</v>
      </c>
      <c r="B1566">
        <f t="shared" si="49"/>
        <v>6901</v>
      </c>
      <c r="D1566" s="1"/>
      <c r="E1566" s="1" t="s">
        <v>114</v>
      </c>
      <c r="F1566" s="1">
        <v>264</v>
      </c>
      <c r="G1566" s="1">
        <v>9</v>
      </c>
      <c r="H1566" s="1">
        <v>35</v>
      </c>
      <c r="I1566" s="1"/>
      <c r="J1566" s="1"/>
    </row>
    <row r="1567" spans="1:10" x14ac:dyDescent="0.3">
      <c r="A1567" t="str">
        <f t="shared" si="48"/>
        <v>3PD%</v>
      </c>
      <c r="B1567">
        <f t="shared" si="49"/>
        <v>4201</v>
      </c>
      <c r="D1567" s="1"/>
      <c r="E1567" s="1" t="s">
        <v>123</v>
      </c>
      <c r="F1567" s="1">
        <v>332</v>
      </c>
      <c r="G1567" s="1">
        <v>14</v>
      </c>
      <c r="H1567" s="1">
        <v>36.9</v>
      </c>
      <c r="I1567" s="1"/>
      <c r="J1567" s="1"/>
    </row>
    <row r="1568" spans="1:10" x14ac:dyDescent="0.3">
      <c r="A1568" t="str">
        <f t="shared" si="48"/>
        <v>3PPG</v>
      </c>
      <c r="B1568">
        <f t="shared" si="49"/>
        <v>3702</v>
      </c>
      <c r="D1568" s="1" t="s">
        <v>177</v>
      </c>
      <c r="E1568" s="1" t="s">
        <v>115</v>
      </c>
      <c r="F1568" s="1">
        <v>2</v>
      </c>
      <c r="G1568" s="1">
        <v>1</v>
      </c>
      <c r="H1568" s="1">
        <v>11.2</v>
      </c>
      <c r="I1568" s="1" t="s">
        <v>173</v>
      </c>
      <c r="J1568" s="1">
        <v>12</v>
      </c>
    </row>
    <row r="1569" spans="1:10" x14ac:dyDescent="0.3">
      <c r="A1569" t="str">
        <f t="shared" si="48"/>
        <v>3PPG</v>
      </c>
      <c r="B1569">
        <f t="shared" si="49"/>
        <v>2702</v>
      </c>
      <c r="D1569" s="1"/>
      <c r="E1569" s="1" t="s">
        <v>7</v>
      </c>
      <c r="F1569" s="1">
        <v>3</v>
      </c>
      <c r="G1569" s="1">
        <v>1</v>
      </c>
      <c r="H1569" s="1">
        <v>11.1</v>
      </c>
      <c r="I1569" s="1"/>
      <c r="J1569" s="1"/>
    </row>
    <row r="1570" spans="1:10" x14ac:dyDescent="0.3">
      <c r="A1570" t="str">
        <f t="shared" si="48"/>
        <v>3PPG</v>
      </c>
      <c r="B1570">
        <f t="shared" si="49"/>
        <v>3102</v>
      </c>
      <c r="D1570" s="1"/>
      <c r="E1570" s="1" t="s">
        <v>93</v>
      </c>
      <c r="F1570" s="1">
        <v>6</v>
      </c>
      <c r="G1570" s="1">
        <v>1</v>
      </c>
      <c r="H1570" s="1">
        <v>10.7</v>
      </c>
      <c r="I1570" s="1"/>
      <c r="J1570" s="1"/>
    </row>
    <row r="1571" spans="1:10" x14ac:dyDescent="0.3">
      <c r="A1571" t="str">
        <f t="shared" si="48"/>
        <v>3PPG</v>
      </c>
      <c r="B1571">
        <f t="shared" si="49"/>
        <v>11502</v>
      </c>
      <c r="D1571" s="1"/>
      <c r="E1571" s="1" t="s">
        <v>97</v>
      </c>
      <c r="F1571" s="1">
        <v>8</v>
      </c>
      <c r="G1571" s="1">
        <v>1</v>
      </c>
      <c r="H1571" s="1">
        <v>10.5</v>
      </c>
      <c r="I1571" s="1"/>
      <c r="J1571" s="1"/>
    </row>
    <row r="1572" spans="1:10" x14ac:dyDescent="0.3">
      <c r="A1572" t="str">
        <f t="shared" si="48"/>
        <v>3PPG</v>
      </c>
      <c r="B1572">
        <f t="shared" si="49"/>
        <v>9902</v>
      </c>
      <c r="D1572" s="1"/>
      <c r="E1572" s="1" t="s">
        <v>113</v>
      </c>
      <c r="F1572" s="1">
        <v>13</v>
      </c>
      <c r="G1572" s="1">
        <v>3</v>
      </c>
      <c r="H1572" s="1">
        <v>10</v>
      </c>
      <c r="I1572" s="1"/>
      <c r="J1572" s="1"/>
    </row>
    <row r="1573" spans="1:10" x14ac:dyDescent="0.3">
      <c r="A1573" t="str">
        <f t="shared" si="48"/>
        <v>3PPG</v>
      </c>
      <c r="B1573">
        <f t="shared" si="49"/>
        <v>5502</v>
      </c>
      <c r="D1573" s="1"/>
      <c r="E1573" s="1" t="s">
        <v>86</v>
      </c>
      <c r="F1573" s="1">
        <v>16</v>
      </c>
      <c r="G1573" s="1">
        <v>2</v>
      </c>
      <c r="H1573" s="1">
        <v>9.9</v>
      </c>
      <c r="I1573" s="1"/>
      <c r="J1573" s="1"/>
    </row>
    <row r="1574" spans="1:10" x14ac:dyDescent="0.3">
      <c r="A1574" t="str">
        <f t="shared" si="48"/>
        <v>3PPG</v>
      </c>
      <c r="B1574">
        <f t="shared" si="49"/>
        <v>1502</v>
      </c>
      <c r="D1574" s="1"/>
      <c r="E1574" s="1" t="s">
        <v>124</v>
      </c>
      <c r="F1574" s="1">
        <v>24</v>
      </c>
      <c r="G1574" s="1">
        <v>1</v>
      </c>
      <c r="H1574" s="1">
        <v>9.4</v>
      </c>
      <c r="I1574" s="1"/>
      <c r="J1574" s="1"/>
    </row>
    <row r="1575" spans="1:10" x14ac:dyDescent="0.3">
      <c r="A1575" t="str">
        <f t="shared" si="48"/>
        <v>3PPG</v>
      </c>
      <c r="B1575">
        <f t="shared" si="49"/>
        <v>5002</v>
      </c>
      <c r="D1575" s="1"/>
      <c r="E1575" s="1" t="s">
        <v>110</v>
      </c>
      <c r="F1575" s="1">
        <v>25</v>
      </c>
      <c r="G1575" s="1">
        <v>2</v>
      </c>
      <c r="H1575" s="1">
        <v>9.4</v>
      </c>
      <c r="I1575" s="1"/>
      <c r="J1575" s="1"/>
    </row>
    <row r="1576" spans="1:10" x14ac:dyDescent="0.3">
      <c r="A1576" t="str">
        <f t="shared" si="48"/>
        <v>3PPG</v>
      </c>
      <c r="B1576">
        <f t="shared" si="49"/>
        <v>7302</v>
      </c>
      <c r="D1576" s="1"/>
      <c r="E1576" s="1" t="s">
        <v>111</v>
      </c>
      <c r="F1576" s="1">
        <v>26</v>
      </c>
      <c r="G1576" s="1">
        <v>1</v>
      </c>
      <c r="H1576" s="1">
        <v>9.4</v>
      </c>
      <c r="I1576" s="1"/>
      <c r="J1576" s="1"/>
    </row>
    <row r="1577" spans="1:10" x14ac:dyDescent="0.3">
      <c r="A1577" t="str">
        <f t="shared" si="48"/>
        <v>3PPG</v>
      </c>
      <c r="B1577">
        <f t="shared" si="49"/>
        <v>12002</v>
      </c>
      <c r="D1577" s="1"/>
      <c r="E1577" s="1" t="s">
        <v>135</v>
      </c>
      <c r="F1577" s="1">
        <v>35</v>
      </c>
      <c r="G1577" s="1">
        <v>1</v>
      </c>
      <c r="H1577" s="1">
        <v>9.1</v>
      </c>
      <c r="I1577" s="1"/>
      <c r="J1577" s="1"/>
    </row>
    <row r="1578" spans="1:10" x14ac:dyDescent="0.3">
      <c r="A1578" t="str">
        <f t="shared" si="48"/>
        <v>3PPG</v>
      </c>
      <c r="B1578">
        <f t="shared" si="49"/>
        <v>11302</v>
      </c>
      <c r="D1578" s="1"/>
      <c r="E1578" s="1" t="s">
        <v>126</v>
      </c>
      <c r="F1578" s="1">
        <v>39</v>
      </c>
      <c r="G1578" s="1">
        <v>4</v>
      </c>
      <c r="H1578" s="1">
        <v>8.9</v>
      </c>
      <c r="I1578" s="1"/>
      <c r="J1578" s="1"/>
    </row>
    <row r="1579" spans="1:10" x14ac:dyDescent="0.3">
      <c r="A1579" t="str">
        <f t="shared" si="48"/>
        <v>3PPG</v>
      </c>
      <c r="B1579">
        <f t="shared" si="49"/>
        <v>3302</v>
      </c>
      <c r="D1579" s="1"/>
      <c r="E1579" s="1" t="s">
        <v>91</v>
      </c>
      <c r="F1579" s="1">
        <v>47</v>
      </c>
      <c r="G1579" s="1">
        <v>3</v>
      </c>
      <c r="H1579" s="1">
        <v>8.8000000000000007</v>
      </c>
      <c r="I1579" s="1"/>
      <c r="J1579" s="1"/>
    </row>
    <row r="1580" spans="1:10" x14ac:dyDescent="0.3">
      <c r="A1580" t="str">
        <f t="shared" si="48"/>
        <v>3PPG</v>
      </c>
      <c r="B1580">
        <f t="shared" si="49"/>
        <v>8002</v>
      </c>
      <c r="D1580" s="1"/>
      <c r="E1580" s="1" t="s">
        <v>117</v>
      </c>
      <c r="F1580" s="1">
        <v>48</v>
      </c>
      <c r="G1580" s="1">
        <v>3</v>
      </c>
      <c r="H1580" s="1">
        <v>8.8000000000000007</v>
      </c>
      <c r="I1580" s="1"/>
      <c r="J1580" s="1"/>
    </row>
    <row r="1581" spans="1:10" x14ac:dyDescent="0.3">
      <c r="A1581" t="str">
        <f t="shared" si="48"/>
        <v>3PPG</v>
      </c>
      <c r="B1581">
        <f t="shared" si="49"/>
        <v>3502</v>
      </c>
      <c r="D1581" s="1"/>
      <c r="E1581" s="1" t="s">
        <v>87</v>
      </c>
      <c r="F1581" s="1">
        <v>52</v>
      </c>
      <c r="G1581" s="1">
        <v>3</v>
      </c>
      <c r="H1581" s="1">
        <v>8.8000000000000007</v>
      </c>
      <c r="I1581" s="1"/>
      <c r="J1581" s="1"/>
    </row>
    <row r="1582" spans="1:10" x14ac:dyDescent="0.3">
      <c r="A1582" t="str">
        <f t="shared" si="48"/>
        <v>3PPG</v>
      </c>
      <c r="B1582">
        <f t="shared" si="49"/>
        <v>3202</v>
      </c>
      <c r="D1582" s="1"/>
      <c r="E1582" s="1" t="s">
        <v>127</v>
      </c>
      <c r="F1582" s="1">
        <v>61</v>
      </c>
      <c r="G1582" s="1">
        <v>2</v>
      </c>
      <c r="H1582" s="1">
        <v>8.6</v>
      </c>
      <c r="I1582" s="1"/>
      <c r="J1582" s="1"/>
    </row>
    <row r="1583" spans="1:10" x14ac:dyDescent="0.3">
      <c r="A1583" t="str">
        <f t="shared" si="48"/>
        <v>3PPG</v>
      </c>
      <c r="B1583">
        <f t="shared" si="49"/>
        <v>9502</v>
      </c>
      <c r="D1583" s="1"/>
      <c r="E1583" s="1" t="s">
        <v>85</v>
      </c>
      <c r="F1583" s="1">
        <v>63</v>
      </c>
      <c r="G1583" s="1">
        <v>5</v>
      </c>
      <c r="H1583" s="1">
        <v>8.6</v>
      </c>
      <c r="I1583" s="1"/>
      <c r="J1583" s="1"/>
    </row>
    <row r="1584" spans="1:10" x14ac:dyDescent="0.3">
      <c r="A1584" t="str">
        <f t="shared" si="48"/>
        <v>3PPG</v>
      </c>
      <c r="B1584">
        <f t="shared" si="49"/>
        <v>1702</v>
      </c>
      <c r="D1584" s="1"/>
      <c r="E1584" s="1" t="s">
        <v>133</v>
      </c>
      <c r="F1584" s="1">
        <v>63</v>
      </c>
      <c r="G1584" s="1">
        <v>3</v>
      </c>
      <c r="H1584" s="1">
        <v>8.6</v>
      </c>
      <c r="I1584" s="1"/>
      <c r="J1584" s="1"/>
    </row>
    <row r="1585" spans="1:10" x14ac:dyDescent="0.3">
      <c r="A1585" t="str">
        <f t="shared" si="48"/>
        <v>3PPG</v>
      </c>
      <c r="B1585">
        <f t="shared" si="49"/>
        <v>7902</v>
      </c>
      <c r="D1585" s="1"/>
      <c r="E1585" s="1" t="s">
        <v>103</v>
      </c>
      <c r="F1585" s="1">
        <v>63</v>
      </c>
      <c r="G1585" s="1">
        <v>2</v>
      </c>
      <c r="H1585" s="1">
        <v>8.6</v>
      </c>
      <c r="I1585" s="1"/>
      <c r="J1585" s="1"/>
    </row>
    <row r="1586" spans="1:10" x14ac:dyDescent="0.3">
      <c r="A1586" t="str">
        <f t="shared" si="48"/>
        <v>3PPG</v>
      </c>
      <c r="B1586">
        <f t="shared" si="49"/>
        <v>4802</v>
      </c>
      <c r="D1586" s="1"/>
      <c r="E1586" s="1" t="s">
        <v>104</v>
      </c>
      <c r="F1586" s="1">
        <v>69</v>
      </c>
      <c r="G1586" s="1">
        <v>4</v>
      </c>
      <c r="H1586" s="1">
        <v>8.5</v>
      </c>
      <c r="I1586" s="1"/>
      <c r="J1586" s="1"/>
    </row>
    <row r="1587" spans="1:10" x14ac:dyDescent="0.3">
      <c r="A1587" t="str">
        <f t="shared" si="48"/>
        <v>3PPG</v>
      </c>
      <c r="B1587">
        <f t="shared" si="49"/>
        <v>2302</v>
      </c>
      <c r="D1587" s="1"/>
      <c r="E1587" s="1" t="s">
        <v>79</v>
      </c>
      <c r="F1587" s="1">
        <v>71</v>
      </c>
      <c r="G1587" s="1">
        <v>4</v>
      </c>
      <c r="H1587" s="1">
        <v>8.5</v>
      </c>
      <c r="I1587" s="1"/>
      <c r="J1587" s="1"/>
    </row>
    <row r="1588" spans="1:10" x14ac:dyDescent="0.3">
      <c r="A1588" t="str">
        <f t="shared" si="48"/>
        <v>3PPG</v>
      </c>
      <c r="B1588">
        <f t="shared" si="49"/>
        <v>7202</v>
      </c>
      <c r="D1588" s="1"/>
      <c r="E1588" s="1" t="s">
        <v>116</v>
      </c>
      <c r="F1588" s="1">
        <v>71</v>
      </c>
      <c r="G1588" s="1">
        <v>3</v>
      </c>
      <c r="H1588" s="1">
        <v>8.5</v>
      </c>
      <c r="I1588" s="1"/>
      <c r="J1588" s="1"/>
    </row>
    <row r="1589" spans="1:10" x14ac:dyDescent="0.3">
      <c r="A1589" t="str">
        <f t="shared" si="48"/>
        <v>3PPG</v>
      </c>
      <c r="B1589">
        <f t="shared" si="49"/>
        <v>2202</v>
      </c>
      <c r="D1589" s="1"/>
      <c r="E1589" s="1" t="s">
        <v>119</v>
      </c>
      <c r="F1589" s="1">
        <v>79</v>
      </c>
      <c r="G1589" s="1">
        <v>3</v>
      </c>
      <c r="H1589" s="1">
        <v>8.4</v>
      </c>
      <c r="I1589" s="1"/>
      <c r="J1589" s="1"/>
    </row>
    <row r="1590" spans="1:10" x14ac:dyDescent="0.3">
      <c r="A1590" t="str">
        <f t="shared" si="48"/>
        <v>3PPG</v>
      </c>
      <c r="B1590">
        <f t="shared" si="49"/>
        <v>4302</v>
      </c>
      <c r="D1590" s="1"/>
      <c r="E1590" s="1" t="s">
        <v>125</v>
      </c>
      <c r="F1590" s="1">
        <v>83</v>
      </c>
      <c r="G1590" s="1">
        <v>2</v>
      </c>
      <c r="H1590" s="1">
        <v>8.3000000000000007</v>
      </c>
      <c r="I1590" s="1"/>
      <c r="J1590" s="1"/>
    </row>
    <row r="1591" spans="1:10" x14ac:dyDescent="0.3">
      <c r="A1591" t="str">
        <f t="shared" si="48"/>
        <v>3PPG</v>
      </c>
      <c r="B1591">
        <f t="shared" si="49"/>
        <v>5402</v>
      </c>
      <c r="D1591" s="1"/>
      <c r="E1591" s="1" t="s">
        <v>94</v>
      </c>
      <c r="F1591" s="1">
        <v>92</v>
      </c>
      <c r="G1591" s="1">
        <v>4</v>
      </c>
      <c r="H1591" s="1">
        <v>8.3000000000000007</v>
      </c>
      <c r="I1591" s="1"/>
      <c r="J1591" s="1"/>
    </row>
    <row r="1592" spans="1:10" x14ac:dyDescent="0.3">
      <c r="A1592" t="str">
        <f t="shared" si="48"/>
        <v>3PPG</v>
      </c>
      <c r="B1592">
        <f t="shared" si="49"/>
        <v>4002</v>
      </c>
      <c r="D1592" s="1"/>
      <c r="E1592" s="1" t="s">
        <v>105</v>
      </c>
      <c r="F1592" s="1">
        <v>96</v>
      </c>
      <c r="G1592" s="1">
        <v>5</v>
      </c>
      <c r="H1592" s="1">
        <v>8.1999999999999993</v>
      </c>
      <c r="I1592" s="1"/>
      <c r="J1592" s="1"/>
    </row>
    <row r="1593" spans="1:10" x14ac:dyDescent="0.3">
      <c r="A1593" t="str">
        <f t="shared" si="48"/>
        <v>3PPG</v>
      </c>
      <c r="B1593">
        <f t="shared" si="49"/>
        <v>6202</v>
      </c>
      <c r="D1593" s="1"/>
      <c r="E1593" s="1" t="s">
        <v>81</v>
      </c>
      <c r="F1593" s="1">
        <v>102</v>
      </c>
      <c r="G1593" s="1">
        <v>3</v>
      </c>
      <c r="H1593" s="1">
        <v>8.1999999999999993</v>
      </c>
      <c r="I1593" s="1"/>
      <c r="J1593" s="1"/>
    </row>
    <row r="1594" spans="1:10" x14ac:dyDescent="0.3">
      <c r="A1594" t="str">
        <f t="shared" si="48"/>
        <v>3PPG</v>
      </c>
      <c r="B1594">
        <f t="shared" si="49"/>
        <v>3002</v>
      </c>
      <c r="D1594" s="1"/>
      <c r="E1594" s="1" t="s">
        <v>89</v>
      </c>
      <c r="F1594" s="1">
        <v>104</v>
      </c>
      <c r="G1594" s="1">
        <v>4</v>
      </c>
      <c r="H1594" s="1">
        <v>8.1999999999999993</v>
      </c>
      <c r="I1594" s="1"/>
      <c r="J1594" s="1"/>
    </row>
    <row r="1595" spans="1:10" x14ac:dyDescent="0.3">
      <c r="A1595" t="str">
        <f t="shared" si="48"/>
        <v>3PPG</v>
      </c>
      <c r="B1595">
        <f t="shared" si="49"/>
        <v>4902</v>
      </c>
      <c r="D1595" s="1"/>
      <c r="E1595" s="1" t="s">
        <v>108</v>
      </c>
      <c r="F1595" s="1">
        <v>107</v>
      </c>
      <c r="G1595" s="1">
        <v>6</v>
      </c>
      <c r="H1595" s="1">
        <v>8.1</v>
      </c>
      <c r="I1595" s="1"/>
      <c r="J1595" s="1"/>
    </row>
    <row r="1596" spans="1:10" x14ac:dyDescent="0.3">
      <c r="A1596" t="str">
        <f t="shared" si="48"/>
        <v>3PPG</v>
      </c>
      <c r="B1596">
        <f t="shared" si="49"/>
        <v>9102</v>
      </c>
      <c r="D1596" s="1"/>
      <c r="E1596" s="1" t="s">
        <v>99</v>
      </c>
      <c r="F1596" s="1">
        <v>113</v>
      </c>
      <c r="G1596" s="1">
        <v>5</v>
      </c>
      <c r="H1596" s="1">
        <v>8.1</v>
      </c>
      <c r="I1596" s="1"/>
      <c r="J1596" s="1"/>
    </row>
    <row r="1597" spans="1:10" x14ac:dyDescent="0.3">
      <c r="A1597" t="str">
        <f t="shared" si="48"/>
        <v>3PPG</v>
      </c>
      <c r="B1597">
        <f t="shared" si="49"/>
        <v>8802</v>
      </c>
      <c r="D1597" s="1"/>
      <c r="E1597" s="1" t="s">
        <v>141</v>
      </c>
      <c r="F1597" s="1">
        <v>115</v>
      </c>
      <c r="G1597" s="1">
        <v>1</v>
      </c>
      <c r="H1597" s="1">
        <v>8</v>
      </c>
      <c r="I1597" s="1"/>
      <c r="J1597" s="1"/>
    </row>
    <row r="1598" spans="1:10" x14ac:dyDescent="0.3">
      <c r="A1598" t="str">
        <f t="shared" si="48"/>
        <v>3PPG</v>
      </c>
      <c r="B1598">
        <f t="shared" si="49"/>
        <v>8202</v>
      </c>
      <c r="D1598" s="1"/>
      <c r="E1598" s="1" t="s">
        <v>131</v>
      </c>
      <c r="F1598" s="1">
        <v>116</v>
      </c>
      <c r="G1598" s="1">
        <v>4</v>
      </c>
      <c r="H1598" s="1">
        <v>8</v>
      </c>
      <c r="I1598" s="1"/>
      <c r="J1598" s="1"/>
    </row>
    <row r="1599" spans="1:10" x14ac:dyDescent="0.3">
      <c r="A1599" t="str">
        <f t="shared" si="48"/>
        <v>3PPG</v>
      </c>
      <c r="B1599">
        <f t="shared" si="49"/>
        <v>4502</v>
      </c>
      <c r="D1599" s="1"/>
      <c r="E1599" s="1" t="s">
        <v>84</v>
      </c>
      <c r="F1599" s="1">
        <v>116</v>
      </c>
      <c r="G1599" s="1">
        <v>6</v>
      </c>
      <c r="H1599" s="1">
        <v>8</v>
      </c>
      <c r="I1599" s="1"/>
      <c r="J1599" s="1"/>
    </row>
    <row r="1600" spans="1:10" x14ac:dyDescent="0.3">
      <c r="A1600" t="str">
        <f t="shared" si="48"/>
        <v>3PPG</v>
      </c>
      <c r="B1600">
        <f t="shared" si="49"/>
        <v>2902</v>
      </c>
      <c r="D1600" s="1"/>
      <c r="E1600" s="1" t="s">
        <v>96</v>
      </c>
      <c r="F1600" s="1">
        <v>127</v>
      </c>
      <c r="G1600" s="1">
        <v>5</v>
      </c>
      <c r="H1600" s="1">
        <v>7.9</v>
      </c>
      <c r="I1600" s="1"/>
      <c r="J1600" s="1"/>
    </row>
    <row r="1601" spans="1:10" x14ac:dyDescent="0.3">
      <c r="A1601" t="str">
        <f t="shared" si="48"/>
        <v>3PPG</v>
      </c>
      <c r="B1601">
        <f t="shared" si="49"/>
        <v>2102</v>
      </c>
      <c r="D1601" s="1"/>
      <c r="E1601" s="1" t="s">
        <v>136</v>
      </c>
      <c r="F1601" s="1">
        <v>136</v>
      </c>
      <c r="G1601" s="1">
        <v>3</v>
      </c>
      <c r="H1601" s="1">
        <v>7.8</v>
      </c>
      <c r="I1601" s="1"/>
      <c r="J1601" s="1"/>
    </row>
    <row r="1602" spans="1:10" x14ac:dyDescent="0.3">
      <c r="A1602" t="str">
        <f t="shared" ref="A1602:A1665" si="50">IF(NOT(D1602=""),INDEX(statAbbr,MATCH(D1602,statOfficial,0),1),A1601)</f>
        <v>3PPG</v>
      </c>
      <c r="B1602">
        <f t="shared" ref="B1602:B1665" si="51">INDEX(statID,MATCH(A1602,statAbbr,0),1)+INDEX(teamID,MATCH(E1602,teamRawName,0))</f>
        <v>5702</v>
      </c>
      <c r="D1602" s="1"/>
      <c r="E1602" s="1" t="s">
        <v>120</v>
      </c>
      <c r="F1602" s="1">
        <v>140</v>
      </c>
      <c r="G1602" s="1">
        <v>7</v>
      </c>
      <c r="H1602" s="1">
        <v>7.8</v>
      </c>
      <c r="I1602" s="1"/>
      <c r="J1602" s="1"/>
    </row>
    <row r="1603" spans="1:10" x14ac:dyDescent="0.3">
      <c r="A1603" t="str">
        <f t="shared" si="50"/>
        <v>3PPG</v>
      </c>
      <c r="B1603">
        <f t="shared" si="51"/>
        <v>8402</v>
      </c>
      <c r="D1603" s="1"/>
      <c r="E1603" s="1" t="s">
        <v>109</v>
      </c>
      <c r="F1603" s="1">
        <v>141</v>
      </c>
      <c r="G1603" s="1">
        <v>4</v>
      </c>
      <c r="H1603" s="1">
        <v>7.8</v>
      </c>
      <c r="I1603" s="1"/>
      <c r="J1603" s="1"/>
    </row>
    <row r="1604" spans="1:10" x14ac:dyDescent="0.3">
      <c r="A1604" t="str">
        <f t="shared" si="50"/>
        <v>3PPG</v>
      </c>
      <c r="B1604">
        <f t="shared" si="51"/>
        <v>2802</v>
      </c>
      <c r="D1604" s="1"/>
      <c r="E1604" s="1" t="s">
        <v>106</v>
      </c>
      <c r="F1604" s="1">
        <v>144</v>
      </c>
      <c r="G1604" s="1">
        <v>5</v>
      </c>
      <c r="H1604" s="1">
        <v>7.7</v>
      </c>
      <c r="I1604" s="1"/>
      <c r="J1604" s="1"/>
    </row>
    <row r="1605" spans="1:10" x14ac:dyDescent="0.3">
      <c r="A1605" t="str">
        <f t="shared" si="50"/>
        <v>3PPG</v>
      </c>
      <c r="B1605">
        <f t="shared" si="51"/>
        <v>2502</v>
      </c>
      <c r="D1605" s="1"/>
      <c r="E1605" s="1" t="s">
        <v>92</v>
      </c>
      <c r="F1605" s="1">
        <v>161</v>
      </c>
      <c r="G1605" s="1">
        <v>5</v>
      </c>
      <c r="H1605" s="1">
        <v>7.6</v>
      </c>
      <c r="I1605" s="1"/>
      <c r="J1605" s="1"/>
    </row>
    <row r="1606" spans="1:10" x14ac:dyDescent="0.3">
      <c r="A1606" t="str">
        <f t="shared" si="50"/>
        <v>3PPG</v>
      </c>
      <c r="B1606">
        <f t="shared" si="51"/>
        <v>202</v>
      </c>
      <c r="D1606" s="1"/>
      <c r="E1606" s="1" t="s">
        <v>98</v>
      </c>
      <c r="F1606" s="1">
        <v>164</v>
      </c>
      <c r="G1606" s="1">
        <v>3</v>
      </c>
      <c r="H1606" s="1">
        <v>7.6</v>
      </c>
      <c r="I1606" s="1"/>
      <c r="J1606" s="1"/>
    </row>
    <row r="1607" spans="1:10" x14ac:dyDescent="0.3">
      <c r="A1607" t="str">
        <f t="shared" si="50"/>
        <v>3PPG</v>
      </c>
      <c r="B1607">
        <f t="shared" si="51"/>
        <v>12902</v>
      </c>
      <c r="D1607" s="1"/>
      <c r="E1607" s="1" t="s">
        <v>132</v>
      </c>
      <c r="F1607" s="1">
        <v>168</v>
      </c>
      <c r="G1607" s="1">
        <v>10</v>
      </c>
      <c r="H1607" s="1">
        <v>7.5</v>
      </c>
      <c r="I1607" s="1"/>
      <c r="J1607" s="1"/>
    </row>
    <row r="1608" spans="1:10" x14ac:dyDescent="0.3">
      <c r="A1608" t="str">
        <f t="shared" si="50"/>
        <v>3PPG</v>
      </c>
      <c r="B1608">
        <f t="shared" si="51"/>
        <v>1302</v>
      </c>
      <c r="D1608" s="1"/>
      <c r="E1608" s="1" t="s">
        <v>82</v>
      </c>
      <c r="F1608" s="1">
        <v>186</v>
      </c>
      <c r="G1608" s="1">
        <v>5</v>
      </c>
      <c r="H1608" s="1">
        <v>7.3</v>
      </c>
      <c r="I1608" s="1"/>
      <c r="J1608" s="1"/>
    </row>
    <row r="1609" spans="1:10" x14ac:dyDescent="0.3">
      <c r="A1609" t="str">
        <f t="shared" si="50"/>
        <v>3PPG</v>
      </c>
      <c r="B1609">
        <f t="shared" si="51"/>
        <v>6902</v>
      </c>
      <c r="D1609" s="1"/>
      <c r="E1609" s="1" t="s">
        <v>114</v>
      </c>
      <c r="F1609" s="1">
        <v>191</v>
      </c>
      <c r="G1609" s="1">
        <v>7</v>
      </c>
      <c r="H1609" s="1">
        <v>7.3</v>
      </c>
      <c r="I1609" s="1"/>
      <c r="J1609" s="1"/>
    </row>
    <row r="1610" spans="1:10" x14ac:dyDescent="0.3">
      <c r="A1610" t="str">
        <f t="shared" si="50"/>
        <v>3PPG</v>
      </c>
      <c r="B1610">
        <f t="shared" si="51"/>
        <v>12502</v>
      </c>
      <c r="D1610" s="1"/>
      <c r="E1610" s="1" t="s">
        <v>95</v>
      </c>
      <c r="F1610" s="1">
        <v>192</v>
      </c>
      <c r="G1610" s="1">
        <v>7</v>
      </c>
      <c r="H1610" s="1">
        <v>7.3</v>
      </c>
      <c r="I1610" s="1"/>
      <c r="J1610" s="1"/>
    </row>
    <row r="1611" spans="1:10" x14ac:dyDescent="0.3">
      <c r="A1611" t="str">
        <f t="shared" si="50"/>
        <v>3PPG</v>
      </c>
      <c r="B1611">
        <f t="shared" si="51"/>
        <v>11602</v>
      </c>
      <c r="D1611" s="1"/>
      <c r="E1611" s="1" t="s">
        <v>121</v>
      </c>
      <c r="F1611" s="1">
        <v>202</v>
      </c>
      <c r="G1611" s="1">
        <v>4</v>
      </c>
      <c r="H1611" s="1">
        <v>7.2</v>
      </c>
      <c r="I1611" s="1"/>
      <c r="J1611" s="1"/>
    </row>
    <row r="1612" spans="1:10" x14ac:dyDescent="0.3">
      <c r="A1612" t="str">
        <f t="shared" si="50"/>
        <v>3PPG</v>
      </c>
      <c r="B1612">
        <f t="shared" si="51"/>
        <v>6702</v>
      </c>
      <c r="D1612" s="1"/>
      <c r="E1612" s="1" t="s">
        <v>118</v>
      </c>
      <c r="F1612" s="1">
        <v>205</v>
      </c>
      <c r="G1612" s="1">
        <v>10</v>
      </c>
      <c r="H1612" s="1">
        <v>7.2</v>
      </c>
      <c r="I1612" s="1"/>
      <c r="J1612" s="1"/>
    </row>
    <row r="1613" spans="1:10" x14ac:dyDescent="0.3">
      <c r="A1613" t="str">
        <f t="shared" si="50"/>
        <v>3PPG</v>
      </c>
      <c r="B1613">
        <f t="shared" si="51"/>
        <v>1602</v>
      </c>
      <c r="D1613" s="1"/>
      <c r="E1613" s="1" t="s">
        <v>137</v>
      </c>
      <c r="F1613" s="1">
        <v>210</v>
      </c>
      <c r="G1613" s="1">
        <v>11</v>
      </c>
      <c r="H1613" s="1">
        <v>7.2</v>
      </c>
      <c r="I1613" s="1"/>
      <c r="J1613" s="1"/>
    </row>
    <row r="1614" spans="1:10" x14ac:dyDescent="0.3">
      <c r="A1614" t="str">
        <f t="shared" si="50"/>
        <v>3PPG</v>
      </c>
      <c r="B1614">
        <f t="shared" si="51"/>
        <v>4202</v>
      </c>
      <c r="D1614" s="1"/>
      <c r="E1614" s="1" t="s">
        <v>123</v>
      </c>
      <c r="F1614" s="1">
        <v>212</v>
      </c>
      <c r="G1614" s="1">
        <v>8</v>
      </c>
      <c r="H1614" s="1">
        <v>7.1</v>
      </c>
      <c r="I1614" s="1"/>
      <c r="J1614" s="1"/>
    </row>
    <row r="1615" spans="1:10" x14ac:dyDescent="0.3">
      <c r="A1615" t="str">
        <f t="shared" si="50"/>
        <v>3PPG</v>
      </c>
      <c r="B1615">
        <f t="shared" si="51"/>
        <v>3602</v>
      </c>
      <c r="D1615" s="1"/>
      <c r="E1615" s="1" t="s">
        <v>129</v>
      </c>
      <c r="F1615" s="1">
        <v>214</v>
      </c>
      <c r="G1615" s="1">
        <v>12</v>
      </c>
      <c r="H1615" s="1">
        <v>7.1</v>
      </c>
      <c r="I1615" s="1"/>
      <c r="J1615" s="1"/>
    </row>
    <row r="1616" spans="1:10" x14ac:dyDescent="0.3">
      <c r="A1616" t="str">
        <f t="shared" si="50"/>
        <v>3PPG</v>
      </c>
      <c r="B1616">
        <f t="shared" si="51"/>
        <v>1202</v>
      </c>
      <c r="D1616" s="1"/>
      <c r="E1616" s="1" t="s">
        <v>130</v>
      </c>
      <c r="F1616" s="1">
        <v>218</v>
      </c>
      <c r="G1616" s="1">
        <v>6</v>
      </c>
      <c r="H1616" s="1">
        <v>7</v>
      </c>
      <c r="I1616" s="1"/>
      <c r="J1616" s="1"/>
    </row>
    <row r="1617" spans="1:10" x14ac:dyDescent="0.3">
      <c r="A1617" t="str">
        <f t="shared" si="50"/>
        <v>3PPG</v>
      </c>
      <c r="B1617">
        <f t="shared" si="51"/>
        <v>5802</v>
      </c>
      <c r="D1617" s="1"/>
      <c r="E1617" s="1" t="s">
        <v>139</v>
      </c>
      <c r="F1617" s="1">
        <v>218</v>
      </c>
      <c r="G1617" s="1">
        <v>3</v>
      </c>
      <c r="H1617" s="1">
        <v>7</v>
      </c>
      <c r="I1617" s="1"/>
      <c r="J1617" s="1"/>
    </row>
    <row r="1618" spans="1:10" x14ac:dyDescent="0.3">
      <c r="A1618" t="str">
        <f t="shared" si="50"/>
        <v>3PPG</v>
      </c>
      <c r="B1618">
        <f t="shared" si="51"/>
        <v>1902</v>
      </c>
      <c r="D1618" s="1"/>
      <c r="E1618" s="1" t="s">
        <v>112</v>
      </c>
      <c r="F1618" s="1">
        <v>222</v>
      </c>
      <c r="G1618" s="1">
        <v>11</v>
      </c>
      <c r="H1618" s="1">
        <v>7</v>
      </c>
      <c r="I1618" s="1"/>
      <c r="J1618" s="1"/>
    </row>
    <row r="1619" spans="1:10" x14ac:dyDescent="0.3">
      <c r="A1619" t="str">
        <f t="shared" si="50"/>
        <v>3PPG</v>
      </c>
      <c r="B1619">
        <f t="shared" si="51"/>
        <v>4402</v>
      </c>
      <c r="D1619" s="1"/>
      <c r="E1619" s="1" t="s">
        <v>83</v>
      </c>
      <c r="F1619" s="1">
        <v>223</v>
      </c>
      <c r="G1619" s="1">
        <v>7</v>
      </c>
      <c r="H1619" s="1">
        <v>6.9</v>
      </c>
      <c r="I1619" s="1"/>
      <c r="J1619" s="1"/>
    </row>
    <row r="1620" spans="1:10" x14ac:dyDescent="0.3">
      <c r="A1620" t="str">
        <f t="shared" si="50"/>
        <v>3PPG</v>
      </c>
      <c r="B1620">
        <f t="shared" si="51"/>
        <v>6302</v>
      </c>
      <c r="D1620" s="1"/>
      <c r="E1620" s="1" t="s">
        <v>122</v>
      </c>
      <c r="F1620" s="1">
        <v>229</v>
      </c>
      <c r="G1620" s="1">
        <v>8</v>
      </c>
      <c r="H1620" s="1">
        <v>6.9</v>
      </c>
      <c r="I1620" s="1"/>
      <c r="J1620" s="1"/>
    </row>
    <row r="1621" spans="1:10" x14ac:dyDescent="0.3">
      <c r="A1621" t="str">
        <f t="shared" si="50"/>
        <v>3PPG</v>
      </c>
      <c r="B1621">
        <f t="shared" si="51"/>
        <v>12102</v>
      </c>
      <c r="D1621" s="1"/>
      <c r="E1621" s="1" t="s">
        <v>140</v>
      </c>
      <c r="F1621" s="1">
        <v>230</v>
      </c>
      <c r="G1621" s="1">
        <v>6</v>
      </c>
      <c r="H1621" s="1">
        <v>6.9</v>
      </c>
      <c r="I1621" s="1"/>
      <c r="J1621" s="1"/>
    </row>
    <row r="1622" spans="1:10" x14ac:dyDescent="0.3">
      <c r="A1622" t="str">
        <f t="shared" si="50"/>
        <v>3PPG</v>
      </c>
      <c r="B1622">
        <f t="shared" si="51"/>
        <v>4602</v>
      </c>
      <c r="D1622" s="1"/>
      <c r="E1622" s="1" t="s">
        <v>101</v>
      </c>
      <c r="F1622" s="1">
        <v>247</v>
      </c>
      <c r="G1622" s="1">
        <v>9</v>
      </c>
      <c r="H1622" s="1">
        <v>6.7</v>
      </c>
      <c r="I1622" s="1"/>
      <c r="J1622" s="1"/>
    </row>
    <row r="1623" spans="1:10" x14ac:dyDescent="0.3">
      <c r="A1623" t="str">
        <f t="shared" si="50"/>
        <v>3PPG</v>
      </c>
      <c r="B1623">
        <f t="shared" si="51"/>
        <v>602</v>
      </c>
      <c r="D1623" s="1"/>
      <c r="E1623" s="1" t="s">
        <v>100</v>
      </c>
      <c r="F1623" s="1">
        <v>249</v>
      </c>
      <c r="G1623" s="1">
        <v>12</v>
      </c>
      <c r="H1623" s="1">
        <v>6.6</v>
      </c>
      <c r="I1623" s="1"/>
      <c r="J1623" s="1"/>
    </row>
    <row r="1624" spans="1:10" x14ac:dyDescent="0.3">
      <c r="A1624" t="str">
        <f t="shared" si="50"/>
        <v>3PPG</v>
      </c>
      <c r="B1624">
        <f t="shared" si="51"/>
        <v>5602</v>
      </c>
      <c r="D1624" s="1"/>
      <c r="E1624" s="1" t="s">
        <v>62</v>
      </c>
      <c r="F1624" s="1">
        <v>253</v>
      </c>
      <c r="G1624" s="1">
        <v>13</v>
      </c>
      <c r="H1624" s="1">
        <v>6.6</v>
      </c>
      <c r="I1624" s="1"/>
      <c r="J1624" s="1"/>
    </row>
    <row r="1625" spans="1:10" x14ac:dyDescent="0.3">
      <c r="A1625" t="str">
        <f t="shared" si="50"/>
        <v>3PPG</v>
      </c>
      <c r="B1625">
        <f t="shared" si="51"/>
        <v>902</v>
      </c>
      <c r="D1625" s="1"/>
      <c r="E1625" s="1" t="s">
        <v>90</v>
      </c>
      <c r="F1625" s="1">
        <v>261</v>
      </c>
      <c r="G1625" s="1">
        <v>11</v>
      </c>
      <c r="H1625" s="1">
        <v>6.5</v>
      </c>
      <c r="I1625" s="1"/>
      <c r="J1625" s="1"/>
    </row>
    <row r="1626" spans="1:10" x14ac:dyDescent="0.3">
      <c r="A1626" t="str">
        <f t="shared" si="50"/>
        <v>3PPG</v>
      </c>
      <c r="B1626">
        <f t="shared" si="51"/>
        <v>4702</v>
      </c>
      <c r="D1626" s="1"/>
      <c r="E1626" s="1" t="s">
        <v>107</v>
      </c>
      <c r="F1626" s="1">
        <v>265</v>
      </c>
      <c r="G1626" s="1">
        <v>10</v>
      </c>
      <c r="H1626" s="1">
        <v>6.5</v>
      </c>
      <c r="I1626" s="1"/>
      <c r="J1626" s="1"/>
    </row>
    <row r="1627" spans="1:10" x14ac:dyDescent="0.3">
      <c r="A1627" t="str">
        <f t="shared" si="50"/>
        <v>3PPG</v>
      </c>
      <c r="B1627">
        <f t="shared" si="51"/>
        <v>2602</v>
      </c>
      <c r="D1627" s="1"/>
      <c r="E1627" s="1" t="s">
        <v>80</v>
      </c>
      <c r="F1627" s="1">
        <v>266</v>
      </c>
      <c r="G1627" s="1">
        <v>13</v>
      </c>
      <c r="H1627" s="1">
        <v>6.5</v>
      </c>
      <c r="I1627" s="1"/>
      <c r="J1627" s="1"/>
    </row>
    <row r="1628" spans="1:10" x14ac:dyDescent="0.3">
      <c r="A1628" t="str">
        <f t="shared" si="50"/>
        <v>3PPG</v>
      </c>
      <c r="B1628">
        <f t="shared" si="51"/>
        <v>1402</v>
      </c>
      <c r="D1628" s="1"/>
      <c r="E1628" s="1" t="s">
        <v>102</v>
      </c>
      <c r="F1628" s="1">
        <v>270</v>
      </c>
      <c r="G1628" s="1">
        <v>11</v>
      </c>
      <c r="H1628" s="1">
        <v>6.5</v>
      </c>
      <c r="I1628" s="1"/>
      <c r="J1628" s="1"/>
    </row>
    <row r="1629" spans="1:10" x14ac:dyDescent="0.3">
      <c r="A1629" t="str">
        <f t="shared" si="50"/>
        <v>3PPG</v>
      </c>
      <c r="B1629">
        <f t="shared" si="51"/>
        <v>10302</v>
      </c>
      <c r="D1629" s="1"/>
      <c r="E1629" s="1" t="s">
        <v>134</v>
      </c>
      <c r="F1629" s="1">
        <v>278</v>
      </c>
      <c r="G1629" s="1">
        <v>10</v>
      </c>
      <c r="H1629" s="1">
        <v>6.4</v>
      </c>
      <c r="I1629" s="1"/>
      <c r="J1629" s="1"/>
    </row>
    <row r="1630" spans="1:10" x14ac:dyDescent="0.3">
      <c r="A1630" t="str">
        <f t="shared" si="50"/>
        <v>3PPG</v>
      </c>
      <c r="B1630">
        <f t="shared" si="51"/>
        <v>12702</v>
      </c>
      <c r="D1630" s="1"/>
      <c r="E1630" s="1" t="s">
        <v>13</v>
      </c>
      <c r="F1630" s="1">
        <v>300</v>
      </c>
      <c r="G1630" s="1">
        <v>14</v>
      </c>
      <c r="H1630" s="1">
        <v>6.1</v>
      </c>
      <c r="I1630" s="1"/>
      <c r="J1630" s="1"/>
    </row>
    <row r="1631" spans="1:10" x14ac:dyDescent="0.3">
      <c r="A1631" t="str">
        <f t="shared" si="50"/>
        <v>3PPG</v>
      </c>
      <c r="B1631">
        <f t="shared" si="51"/>
        <v>12802</v>
      </c>
      <c r="D1631" s="1"/>
      <c r="E1631" s="1" t="s">
        <v>142</v>
      </c>
      <c r="F1631" s="1">
        <v>313</v>
      </c>
      <c r="G1631" s="1">
        <v>9</v>
      </c>
      <c r="H1631" s="1">
        <v>5.8</v>
      </c>
      <c r="I1631" s="1"/>
      <c r="J1631" s="1"/>
    </row>
    <row r="1632" spans="1:10" x14ac:dyDescent="0.3">
      <c r="A1632" t="str">
        <f t="shared" si="50"/>
        <v>3PPG</v>
      </c>
      <c r="B1632">
        <f t="shared" si="51"/>
        <v>11402</v>
      </c>
      <c r="D1632" s="1"/>
      <c r="E1632" s="1" t="s">
        <v>138</v>
      </c>
      <c r="F1632" s="1">
        <v>317</v>
      </c>
      <c r="G1632" s="1">
        <v>9</v>
      </c>
      <c r="H1632" s="1">
        <v>5.7</v>
      </c>
      <c r="I1632" s="1"/>
      <c r="J1632" s="1"/>
    </row>
    <row r="1633" spans="1:10" x14ac:dyDescent="0.3">
      <c r="A1633" t="str">
        <f t="shared" si="50"/>
        <v>3PPG</v>
      </c>
      <c r="B1633">
        <f t="shared" si="51"/>
        <v>3902</v>
      </c>
      <c r="D1633" s="1"/>
      <c r="E1633" s="1" t="s">
        <v>88</v>
      </c>
      <c r="F1633" s="1">
        <v>319</v>
      </c>
      <c r="G1633" s="1">
        <v>14</v>
      </c>
      <c r="H1633" s="1">
        <v>5.7</v>
      </c>
      <c r="I1633" s="1"/>
      <c r="J1633" s="1"/>
    </row>
    <row r="1634" spans="1:10" x14ac:dyDescent="0.3">
      <c r="A1634" t="str">
        <f t="shared" si="50"/>
        <v>3PPG</v>
      </c>
      <c r="B1634">
        <f t="shared" si="51"/>
        <v>12402</v>
      </c>
      <c r="D1634" s="1"/>
      <c r="E1634" s="1" t="s">
        <v>128</v>
      </c>
      <c r="F1634" s="1">
        <v>331</v>
      </c>
      <c r="G1634" s="1">
        <v>8</v>
      </c>
      <c r="H1634" s="1">
        <v>5.4</v>
      </c>
      <c r="I1634" s="1"/>
      <c r="J1634" s="1"/>
    </row>
    <row r="1635" spans="1:10" x14ac:dyDescent="0.3">
      <c r="A1635" t="str">
        <f t="shared" si="50"/>
        <v>3PPG</v>
      </c>
      <c r="B1635">
        <f t="shared" si="51"/>
        <v>11902</v>
      </c>
      <c r="D1635" s="1"/>
      <c r="E1635" s="1" t="s">
        <v>143</v>
      </c>
      <c r="F1635" s="1">
        <v>338</v>
      </c>
      <c r="G1635" s="1">
        <v>9</v>
      </c>
      <c r="H1635" s="1">
        <v>5.0999999999999996</v>
      </c>
      <c r="I1635" s="1"/>
      <c r="J1635" s="1"/>
    </row>
    <row r="1636" spans="1:10" x14ac:dyDescent="0.3">
      <c r="A1636" t="str">
        <f t="shared" si="50"/>
        <v>TM</v>
      </c>
      <c r="B1636">
        <f t="shared" si="51"/>
        <v>2825</v>
      </c>
      <c r="D1636" s="1" t="s">
        <v>178</v>
      </c>
      <c r="E1636" s="1" t="s">
        <v>106</v>
      </c>
      <c r="F1636" s="1">
        <v>1</v>
      </c>
      <c r="G1636" s="1">
        <v>1</v>
      </c>
      <c r="H1636" s="1">
        <v>6.9</v>
      </c>
      <c r="I1636" s="1" t="s">
        <v>106</v>
      </c>
      <c r="J1636" s="1">
        <v>6.9</v>
      </c>
    </row>
    <row r="1637" spans="1:10" x14ac:dyDescent="0.3">
      <c r="A1637" t="str">
        <f t="shared" si="50"/>
        <v>TM</v>
      </c>
      <c r="B1637">
        <f t="shared" si="51"/>
        <v>625</v>
      </c>
      <c r="D1637" s="1"/>
      <c r="E1637" s="1" t="s">
        <v>100</v>
      </c>
      <c r="F1637" s="1">
        <v>2</v>
      </c>
      <c r="G1637" s="1">
        <v>2</v>
      </c>
      <c r="H1637" s="1">
        <v>6.7</v>
      </c>
      <c r="I1637" s="1"/>
      <c r="J1637" s="1"/>
    </row>
    <row r="1638" spans="1:10" x14ac:dyDescent="0.3">
      <c r="A1638" t="str">
        <f t="shared" si="50"/>
        <v>TM</v>
      </c>
      <c r="B1638">
        <f t="shared" si="51"/>
        <v>225</v>
      </c>
      <c r="D1638" s="1"/>
      <c r="E1638" s="1" t="s">
        <v>98</v>
      </c>
      <c r="F1638" s="1">
        <v>3</v>
      </c>
      <c r="G1638" s="1">
        <v>1</v>
      </c>
      <c r="H1638" s="1">
        <v>6.7</v>
      </c>
      <c r="I1638" s="1"/>
      <c r="J1638" s="1"/>
    </row>
    <row r="1639" spans="1:10" x14ac:dyDescent="0.3">
      <c r="A1639" t="str">
        <f t="shared" si="50"/>
        <v>TM</v>
      </c>
      <c r="B1639">
        <f t="shared" si="51"/>
        <v>3325</v>
      </c>
      <c r="D1639" s="1"/>
      <c r="E1639" s="1" t="s">
        <v>91</v>
      </c>
      <c r="F1639" s="1">
        <v>6</v>
      </c>
      <c r="G1639" s="1">
        <v>1</v>
      </c>
      <c r="H1639" s="1">
        <v>4.7</v>
      </c>
      <c r="I1639" s="1"/>
      <c r="J1639" s="1"/>
    </row>
    <row r="1640" spans="1:10" x14ac:dyDescent="0.3">
      <c r="A1640" t="str">
        <f t="shared" si="50"/>
        <v>TM</v>
      </c>
      <c r="B1640">
        <f t="shared" si="51"/>
        <v>4725</v>
      </c>
      <c r="D1640" s="1"/>
      <c r="E1640" s="1" t="s">
        <v>107</v>
      </c>
      <c r="F1640" s="1">
        <v>8</v>
      </c>
      <c r="G1640" s="1">
        <v>1</v>
      </c>
      <c r="H1640" s="1">
        <v>4</v>
      </c>
      <c r="I1640" s="1"/>
      <c r="J1640" s="1"/>
    </row>
    <row r="1641" spans="1:10" x14ac:dyDescent="0.3">
      <c r="A1641" t="str">
        <f t="shared" si="50"/>
        <v>TM</v>
      </c>
      <c r="B1641">
        <f t="shared" si="51"/>
        <v>2625</v>
      </c>
      <c r="D1641" s="1"/>
      <c r="E1641" s="1" t="s">
        <v>80</v>
      </c>
      <c r="F1641" s="1">
        <v>10</v>
      </c>
      <c r="G1641" s="1">
        <v>1</v>
      </c>
      <c r="H1641" s="1">
        <v>3.9</v>
      </c>
      <c r="I1641" s="1"/>
      <c r="J1641" s="1"/>
    </row>
    <row r="1642" spans="1:10" x14ac:dyDescent="0.3">
      <c r="A1642" t="str">
        <f t="shared" si="50"/>
        <v>TM</v>
      </c>
      <c r="B1642">
        <f t="shared" si="51"/>
        <v>9925</v>
      </c>
      <c r="D1642" s="1"/>
      <c r="E1642" s="1" t="s">
        <v>113</v>
      </c>
      <c r="F1642" s="1">
        <v>14</v>
      </c>
      <c r="G1642" s="1">
        <v>1</v>
      </c>
      <c r="H1642" s="1">
        <v>3.7</v>
      </c>
      <c r="I1642" s="1"/>
      <c r="J1642" s="1"/>
    </row>
    <row r="1643" spans="1:10" x14ac:dyDescent="0.3">
      <c r="A1643" t="str">
        <f t="shared" si="50"/>
        <v>TM</v>
      </c>
      <c r="B1643">
        <f t="shared" si="51"/>
        <v>6225</v>
      </c>
      <c r="D1643" s="1"/>
      <c r="E1643" s="1" t="s">
        <v>81</v>
      </c>
      <c r="F1643" s="1">
        <v>16</v>
      </c>
      <c r="G1643" s="1">
        <v>1</v>
      </c>
      <c r="H1643" s="1">
        <v>3.6</v>
      </c>
      <c r="I1643" s="1"/>
      <c r="J1643" s="1"/>
    </row>
    <row r="1644" spans="1:10" x14ac:dyDescent="0.3">
      <c r="A1644" t="str">
        <f t="shared" si="50"/>
        <v>TM</v>
      </c>
      <c r="B1644">
        <f t="shared" si="51"/>
        <v>4825</v>
      </c>
      <c r="D1644" s="1"/>
      <c r="E1644" s="1" t="s">
        <v>104</v>
      </c>
      <c r="F1644" s="1">
        <v>20</v>
      </c>
      <c r="G1644" s="1">
        <v>1</v>
      </c>
      <c r="H1644" s="1">
        <v>3.4</v>
      </c>
      <c r="I1644" s="1"/>
      <c r="J1644" s="1"/>
    </row>
    <row r="1645" spans="1:10" x14ac:dyDescent="0.3">
      <c r="A1645" t="str">
        <f t="shared" si="50"/>
        <v>TM</v>
      </c>
      <c r="B1645">
        <f t="shared" si="51"/>
        <v>3525</v>
      </c>
      <c r="D1645" s="1"/>
      <c r="E1645" s="1" t="s">
        <v>87</v>
      </c>
      <c r="F1645" s="1">
        <v>34</v>
      </c>
      <c r="G1645" s="1">
        <v>1</v>
      </c>
      <c r="H1645" s="1">
        <v>2.8</v>
      </c>
      <c r="I1645" s="1"/>
      <c r="J1645" s="1"/>
    </row>
    <row r="1646" spans="1:10" x14ac:dyDescent="0.3">
      <c r="A1646" t="str">
        <f t="shared" si="50"/>
        <v>TM</v>
      </c>
      <c r="B1646">
        <f t="shared" si="51"/>
        <v>9525</v>
      </c>
      <c r="D1646" s="1"/>
      <c r="E1646" s="1" t="s">
        <v>85</v>
      </c>
      <c r="F1646" s="1">
        <v>36</v>
      </c>
      <c r="G1646" s="1">
        <v>1</v>
      </c>
      <c r="H1646" s="1">
        <v>2.7</v>
      </c>
      <c r="I1646" s="1"/>
      <c r="J1646" s="1"/>
    </row>
    <row r="1647" spans="1:10" x14ac:dyDescent="0.3">
      <c r="A1647" t="str">
        <f t="shared" si="50"/>
        <v>TM</v>
      </c>
      <c r="B1647">
        <f t="shared" si="51"/>
        <v>1925</v>
      </c>
      <c r="D1647" s="1"/>
      <c r="E1647" s="1" t="s">
        <v>112</v>
      </c>
      <c r="F1647" s="1">
        <v>38</v>
      </c>
      <c r="G1647" s="1">
        <v>4</v>
      </c>
      <c r="H1647" s="1">
        <v>2.7</v>
      </c>
      <c r="I1647" s="1"/>
      <c r="J1647" s="1"/>
    </row>
    <row r="1648" spans="1:10" x14ac:dyDescent="0.3">
      <c r="A1648" t="str">
        <f t="shared" si="50"/>
        <v>TM</v>
      </c>
      <c r="B1648">
        <f t="shared" si="51"/>
        <v>925</v>
      </c>
      <c r="D1648" s="1"/>
      <c r="E1648" s="1" t="s">
        <v>90</v>
      </c>
      <c r="F1648" s="1">
        <v>44</v>
      </c>
      <c r="G1648" s="1">
        <v>5</v>
      </c>
      <c r="H1648" s="1">
        <v>2.2999999999999998</v>
      </c>
      <c r="I1648" s="1"/>
      <c r="J1648" s="1"/>
    </row>
    <row r="1649" spans="1:10" x14ac:dyDescent="0.3">
      <c r="A1649" t="str">
        <f t="shared" si="50"/>
        <v>TM</v>
      </c>
      <c r="B1649">
        <f t="shared" si="51"/>
        <v>4525</v>
      </c>
      <c r="D1649" s="1"/>
      <c r="E1649" s="1" t="s">
        <v>84</v>
      </c>
      <c r="F1649" s="1">
        <v>48</v>
      </c>
      <c r="G1649" s="1">
        <v>2</v>
      </c>
      <c r="H1649" s="1">
        <v>2.1</v>
      </c>
      <c r="I1649" s="1"/>
      <c r="J1649" s="1"/>
    </row>
    <row r="1650" spans="1:10" x14ac:dyDescent="0.3">
      <c r="A1650" t="str">
        <f t="shared" si="50"/>
        <v>TM</v>
      </c>
      <c r="B1650">
        <f t="shared" si="51"/>
        <v>6925</v>
      </c>
      <c r="D1650" s="1"/>
      <c r="E1650" s="1" t="s">
        <v>114</v>
      </c>
      <c r="F1650" s="1">
        <v>49</v>
      </c>
      <c r="G1650" s="1">
        <v>2</v>
      </c>
      <c r="H1650" s="1">
        <v>2.1</v>
      </c>
      <c r="I1650" s="1"/>
      <c r="J1650" s="1"/>
    </row>
    <row r="1651" spans="1:10" x14ac:dyDescent="0.3">
      <c r="A1651" t="str">
        <f t="shared" si="50"/>
        <v>TM</v>
      </c>
      <c r="B1651">
        <f t="shared" si="51"/>
        <v>12025</v>
      </c>
      <c r="D1651" s="1"/>
      <c r="E1651" s="1" t="s">
        <v>135</v>
      </c>
      <c r="F1651" s="1">
        <v>59</v>
      </c>
      <c r="G1651" s="1">
        <v>2</v>
      </c>
      <c r="H1651" s="1">
        <v>1.9</v>
      </c>
      <c r="I1651" s="1"/>
      <c r="J1651" s="1"/>
    </row>
    <row r="1652" spans="1:10" x14ac:dyDescent="0.3">
      <c r="A1652" t="str">
        <f t="shared" si="50"/>
        <v>TM</v>
      </c>
      <c r="B1652">
        <f t="shared" si="51"/>
        <v>4625</v>
      </c>
      <c r="D1652" s="1"/>
      <c r="E1652" s="1" t="s">
        <v>101</v>
      </c>
      <c r="F1652" s="1">
        <v>60</v>
      </c>
      <c r="G1652" s="1">
        <v>2</v>
      </c>
      <c r="H1652" s="1">
        <v>1.9</v>
      </c>
      <c r="I1652" s="1"/>
      <c r="J1652" s="1"/>
    </row>
    <row r="1653" spans="1:10" x14ac:dyDescent="0.3">
      <c r="A1653" t="str">
        <f t="shared" si="50"/>
        <v>TM</v>
      </c>
      <c r="B1653">
        <f t="shared" si="51"/>
        <v>5625</v>
      </c>
      <c r="D1653" s="1"/>
      <c r="E1653" s="1" t="s">
        <v>62</v>
      </c>
      <c r="F1653" s="1">
        <v>60</v>
      </c>
      <c r="G1653" s="1">
        <v>3</v>
      </c>
      <c r="H1653" s="1">
        <v>1.9</v>
      </c>
      <c r="I1653" s="1"/>
      <c r="J1653" s="1"/>
    </row>
    <row r="1654" spans="1:10" x14ac:dyDescent="0.3">
      <c r="A1654" t="str">
        <f t="shared" si="50"/>
        <v>TM</v>
      </c>
      <c r="B1654">
        <f t="shared" si="51"/>
        <v>3625</v>
      </c>
      <c r="D1654" s="1"/>
      <c r="E1654" s="1" t="s">
        <v>129</v>
      </c>
      <c r="F1654" s="1">
        <v>65</v>
      </c>
      <c r="G1654" s="1">
        <v>3</v>
      </c>
      <c r="H1654" s="1">
        <v>1.8</v>
      </c>
      <c r="I1654" s="1"/>
      <c r="J1654" s="1"/>
    </row>
    <row r="1655" spans="1:10" x14ac:dyDescent="0.3">
      <c r="A1655" t="str">
        <f t="shared" si="50"/>
        <v>TM</v>
      </c>
      <c r="B1655">
        <f t="shared" si="51"/>
        <v>5825</v>
      </c>
      <c r="D1655" s="1"/>
      <c r="E1655" s="1" t="s">
        <v>139</v>
      </c>
      <c r="F1655" s="1">
        <v>75</v>
      </c>
      <c r="G1655" s="1">
        <v>2</v>
      </c>
      <c r="H1655" s="1">
        <v>1.6</v>
      </c>
      <c r="I1655" s="1"/>
      <c r="J1655" s="1"/>
    </row>
    <row r="1656" spans="1:10" x14ac:dyDescent="0.3">
      <c r="A1656" t="str">
        <f t="shared" si="50"/>
        <v>TM</v>
      </c>
      <c r="B1656">
        <f t="shared" si="51"/>
        <v>5425</v>
      </c>
      <c r="D1656" s="1"/>
      <c r="E1656" s="1" t="s">
        <v>94</v>
      </c>
      <c r="F1656" s="1">
        <v>76</v>
      </c>
      <c r="G1656" s="1">
        <v>6</v>
      </c>
      <c r="H1656" s="1">
        <v>1.6</v>
      </c>
      <c r="I1656" s="1"/>
      <c r="J1656" s="1"/>
    </row>
    <row r="1657" spans="1:10" x14ac:dyDescent="0.3">
      <c r="A1657" t="str">
        <f t="shared" si="50"/>
        <v>TM</v>
      </c>
      <c r="B1657">
        <f t="shared" si="51"/>
        <v>11525</v>
      </c>
      <c r="D1657" s="1"/>
      <c r="E1657" s="1" t="s">
        <v>97</v>
      </c>
      <c r="F1657" s="1">
        <v>77</v>
      </c>
      <c r="G1657" s="1">
        <v>3</v>
      </c>
      <c r="H1657" s="1">
        <v>1.6</v>
      </c>
      <c r="I1657" s="1"/>
      <c r="J1657" s="1"/>
    </row>
    <row r="1658" spans="1:10" x14ac:dyDescent="0.3">
      <c r="A1658" t="str">
        <f t="shared" si="50"/>
        <v>TM</v>
      </c>
      <c r="B1658">
        <f t="shared" si="51"/>
        <v>12525</v>
      </c>
      <c r="D1658" s="1"/>
      <c r="E1658" s="1" t="s">
        <v>95</v>
      </c>
      <c r="F1658" s="1">
        <v>82</v>
      </c>
      <c r="G1658" s="1">
        <v>2</v>
      </c>
      <c r="H1658" s="1">
        <v>1.5</v>
      </c>
      <c r="I1658" s="1"/>
      <c r="J1658" s="1"/>
    </row>
    <row r="1659" spans="1:10" x14ac:dyDescent="0.3">
      <c r="A1659" t="str">
        <f t="shared" si="50"/>
        <v>TM</v>
      </c>
      <c r="B1659">
        <f t="shared" si="51"/>
        <v>2925</v>
      </c>
      <c r="D1659" s="1"/>
      <c r="E1659" s="1" t="s">
        <v>96</v>
      </c>
      <c r="F1659" s="1">
        <v>84</v>
      </c>
      <c r="G1659" s="1">
        <v>3</v>
      </c>
      <c r="H1659" s="1">
        <v>1.5</v>
      </c>
      <c r="I1659" s="1"/>
      <c r="J1659" s="1"/>
    </row>
    <row r="1660" spans="1:10" x14ac:dyDescent="0.3">
      <c r="A1660" t="str">
        <f t="shared" si="50"/>
        <v>TM</v>
      </c>
      <c r="B1660">
        <f t="shared" si="51"/>
        <v>4425</v>
      </c>
      <c r="D1660" s="1"/>
      <c r="E1660" s="1" t="s">
        <v>83</v>
      </c>
      <c r="F1660" s="1">
        <v>86</v>
      </c>
      <c r="G1660" s="1">
        <v>2</v>
      </c>
      <c r="H1660" s="1">
        <v>1.4</v>
      </c>
      <c r="I1660" s="1"/>
      <c r="J1660" s="1"/>
    </row>
    <row r="1661" spans="1:10" x14ac:dyDescent="0.3">
      <c r="A1661" t="str">
        <f t="shared" si="50"/>
        <v>TM</v>
      </c>
      <c r="B1661">
        <f t="shared" si="51"/>
        <v>12925</v>
      </c>
      <c r="D1661" s="1"/>
      <c r="E1661" s="1" t="s">
        <v>132</v>
      </c>
      <c r="F1661" s="1">
        <v>89</v>
      </c>
      <c r="G1661" s="1">
        <v>4</v>
      </c>
      <c r="H1661" s="1">
        <v>1.4</v>
      </c>
      <c r="I1661" s="1"/>
      <c r="J1661" s="1"/>
    </row>
    <row r="1662" spans="1:10" x14ac:dyDescent="0.3">
      <c r="A1662" t="str">
        <f t="shared" si="50"/>
        <v>TM</v>
      </c>
      <c r="B1662">
        <f t="shared" si="51"/>
        <v>4225</v>
      </c>
      <c r="D1662" s="1"/>
      <c r="E1662" s="1" t="s">
        <v>123</v>
      </c>
      <c r="F1662" s="1">
        <v>92</v>
      </c>
      <c r="G1662" s="1">
        <v>6</v>
      </c>
      <c r="H1662" s="1">
        <v>1.3</v>
      </c>
      <c r="I1662" s="1"/>
      <c r="J1662" s="1"/>
    </row>
    <row r="1663" spans="1:10" x14ac:dyDescent="0.3">
      <c r="A1663" t="str">
        <f t="shared" si="50"/>
        <v>TM</v>
      </c>
      <c r="B1663">
        <f t="shared" si="51"/>
        <v>6725</v>
      </c>
      <c r="D1663" s="1"/>
      <c r="E1663" s="1" t="s">
        <v>118</v>
      </c>
      <c r="F1663" s="1">
        <v>93</v>
      </c>
      <c r="G1663" s="1">
        <v>5</v>
      </c>
      <c r="H1663" s="1">
        <v>1.3</v>
      </c>
      <c r="I1663" s="1"/>
      <c r="J1663" s="1"/>
    </row>
    <row r="1664" spans="1:10" x14ac:dyDescent="0.3">
      <c r="A1664" t="str">
        <f t="shared" si="50"/>
        <v>TM</v>
      </c>
      <c r="B1664">
        <f t="shared" si="51"/>
        <v>1225</v>
      </c>
      <c r="D1664" s="1"/>
      <c r="E1664" s="1" t="s">
        <v>130</v>
      </c>
      <c r="F1664" s="1">
        <v>95</v>
      </c>
      <c r="G1664" s="1">
        <v>4</v>
      </c>
      <c r="H1664" s="1">
        <v>1.3</v>
      </c>
      <c r="I1664" s="1"/>
      <c r="J1664" s="1"/>
    </row>
    <row r="1665" spans="1:10" x14ac:dyDescent="0.3">
      <c r="A1665" t="str">
        <f t="shared" si="50"/>
        <v>TM</v>
      </c>
      <c r="B1665">
        <f t="shared" si="51"/>
        <v>11625</v>
      </c>
      <c r="D1665" s="1"/>
      <c r="E1665" s="1" t="s">
        <v>121</v>
      </c>
      <c r="F1665" s="1">
        <v>99</v>
      </c>
      <c r="G1665" s="1">
        <v>5</v>
      </c>
      <c r="H1665" s="1">
        <v>1.2</v>
      </c>
      <c r="I1665" s="1"/>
      <c r="J1665" s="1"/>
    </row>
    <row r="1666" spans="1:10" x14ac:dyDescent="0.3">
      <c r="A1666" t="str">
        <f t="shared" ref="A1666:A1729" si="52">IF(NOT(D1666=""),INDEX(statAbbr,MATCH(D1666,statOfficial,0),1),A1665)</f>
        <v>TM</v>
      </c>
      <c r="B1666">
        <f t="shared" ref="B1666:B1729" si="53">INDEX(statID,MATCH(A1666,statAbbr,0),1)+INDEX(teamID,MATCH(E1666,teamRawName,0))</f>
        <v>5525</v>
      </c>
      <c r="D1666" s="1"/>
      <c r="E1666" s="1" t="s">
        <v>86</v>
      </c>
      <c r="F1666" s="1">
        <v>105</v>
      </c>
      <c r="G1666" s="1">
        <v>6</v>
      </c>
      <c r="H1666" s="1">
        <v>1.2</v>
      </c>
      <c r="I1666" s="1"/>
      <c r="J1666" s="1"/>
    </row>
    <row r="1667" spans="1:10" x14ac:dyDescent="0.3">
      <c r="A1667" t="str">
        <f t="shared" si="52"/>
        <v>TM</v>
      </c>
      <c r="B1667">
        <f t="shared" si="53"/>
        <v>1325</v>
      </c>
      <c r="D1667" s="1"/>
      <c r="E1667" s="1" t="s">
        <v>82</v>
      </c>
      <c r="F1667" s="1">
        <v>111</v>
      </c>
      <c r="G1667" s="1">
        <v>5</v>
      </c>
      <c r="H1667" s="1">
        <v>1.1000000000000001</v>
      </c>
      <c r="I1667" s="1"/>
      <c r="J1667" s="1"/>
    </row>
    <row r="1668" spans="1:10" x14ac:dyDescent="0.3">
      <c r="A1668" t="str">
        <f t="shared" si="52"/>
        <v>TM</v>
      </c>
      <c r="B1668">
        <f t="shared" si="53"/>
        <v>12825</v>
      </c>
      <c r="D1668" s="1"/>
      <c r="E1668" s="1" t="s">
        <v>142</v>
      </c>
      <c r="F1668" s="1">
        <v>112</v>
      </c>
      <c r="G1668" s="1">
        <v>4</v>
      </c>
      <c r="H1668" s="1">
        <v>1.1000000000000001</v>
      </c>
      <c r="I1668" s="1"/>
      <c r="J1668" s="1"/>
    </row>
    <row r="1669" spans="1:10" x14ac:dyDescent="0.3">
      <c r="A1669" t="str">
        <f t="shared" si="52"/>
        <v>TM</v>
      </c>
      <c r="B1669">
        <f t="shared" si="53"/>
        <v>12425</v>
      </c>
      <c r="D1669" s="1"/>
      <c r="E1669" s="1" t="s">
        <v>128</v>
      </c>
      <c r="F1669" s="1">
        <v>115</v>
      </c>
      <c r="G1669" s="1">
        <v>4</v>
      </c>
      <c r="H1669" s="1">
        <v>1</v>
      </c>
      <c r="I1669" s="1"/>
      <c r="J1669" s="1"/>
    </row>
    <row r="1670" spans="1:10" x14ac:dyDescent="0.3">
      <c r="A1670" t="str">
        <f t="shared" si="52"/>
        <v>TM</v>
      </c>
      <c r="B1670">
        <f t="shared" si="53"/>
        <v>2325</v>
      </c>
      <c r="D1670" s="1"/>
      <c r="E1670" s="1" t="s">
        <v>79</v>
      </c>
      <c r="F1670" s="1">
        <v>120</v>
      </c>
      <c r="G1670" s="1">
        <v>4</v>
      </c>
      <c r="H1670" s="1">
        <v>1</v>
      </c>
      <c r="I1670" s="1"/>
      <c r="J1670" s="1"/>
    </row>
    <row r="1671" spans="1:10" x14ac:dyDescent="0.3">
      <c r="A1671" t="str">
        <f t="shared" si="52"/>
        <v>TM</v>
      </c>
      <c r="B1671">
        <f t="shared" si="53"/>
        <v>11425</v>
      </c>
      <c r="D1671" s="1"/>
      <c r="E1671" s="1" t="s">
        <v>138</v>
      </c>
      <c r="F1671" s="1">
        <v>121</v>
      </c>
      <c r="G1671" s="1">
        <v>3</v>
      </c>
      <c r="H1671" s="1">
        <v>0.9</v>
      </c>
      <c r="I1671" s="1"/>
      <c r="J1671" s="1"/>
    </row>
    <row r="1672" spans="1:10" x14ac:dyDescent="0.3">
      <c r="A1672" t="str">
        <f t="shared" si="52"/>
        <v>TM</v>
      </c>
      <c r="B1672">
        <f t="shared" si="53"/>
        <v>1425</v>
      </c>
      <c r="D1672" s="1"/>
      <c r="E1672" s="1" t="s">
        <v>102</v>
      </c>
      <c r="F1672" s="1">
        <v>123</v>
      </c>
      <c r="G1672" s="1">
        <v>6</v>
      </c>
      <c r="H1672" s="1">
        <v>0.9</v>
      </c>
      <c r="I1672" s="1"/>
      <c r="J1672" s="1"/>
    </row>
    <row r="1673" spans="1:10" x14ac:dyDescent="0.3">
      <c r="A1673" t="str">
        <f t="shared" si="52"/>
        <v>TM</v>
      </c>
      <c r="B1673">
        <f t="shared" si="53"/>
        <v>7925</v>
      </c>
      <c r="D1673" s="1"/>
      <c r="E1673" s="1" t="s">
        <v>103</v>
      </c>
      <c r="F1673" s="1">
        <v>127</v>
      </c>
      <c r="G1673" s="1">
        <v>2</v>
      </c>
      <c r="H1673" s="1">
        <v>0.8</v>
      </c>
      <c r="I1673" s="1"/>
      <c r="J1673" s="1"/>
    </row>
    <row r="1674" spans="1:10" x14ac:dyDescent="0.3">
      <c r="A1674" t="str">
        <f t="shared" si="52"/>
        <v>TM</v>
      </c>
      <c r="B1674">
        <f t="shared" si="53"/>
        <v>8425</v>
      </c>
      <c r="D1674" s="1"/>
      <c r="E1674" s="1" t="s">
        <v>109</v>
      </c>
      <c r="F1674" s="1">
        <v>136</v>
      </c>
      <c r="G1674" s="1">
        <v>3</v>
      </c>
      <c r="H1674" s="1">
        <v>0.7</v>
      </c>
      <c r="I1674" s="1"/>
      <c r="J1674" s="1"/>
    </row>
    <row r="1675" spans="1:10" x14ac:dyDescent="0.3">
      <c r="A1675" t="str">
        <f t="shared" si="52"/>
        <v>TM</v>
      </c>
      <c r="B1675">
        <f t="shared" si="53"/>
        <v>2525</v>
      </c>
      <c r="D1675" s="1"/>
      <c r="E1675" s="1" t="s">
        <v>92</v>
      </c>
      <c r="F1675" s="1">
        <v>141</v>
      </c>
      <c r="G1675" s="1">
        <v>3</v>
      </c>
      <c r="H1675" s="1">
        <v>0.6</v>
      </c>
      <c r="I1675" s="1"/>
      <c r="J1675" s="1"/>
    </row>
    <row r="1676" spans="1:10" x14ac:dyDescent="0.3">
      <c r="A1676" t="str">
        <f t="shared" si="52"/>
        <v>TM</v>
      </c>
      <c r="B1676">
        <f t="shared" si="53"/>
        <v>4925</v>
      </c>
      <c r="D1676" s="1"/>
      <c r="E1676" s="1" t="s">
        <v>108</v>
      </c>
      <c r="F1676" s="1">
        <v>149</v>
      </c>
      <c r="G1676" s="1">
        <v>8</v>
      </c>
      <c r="H1676" s="1">
        <v>0.5</v>
      </c>
      <c r="I1676" s="1"/>
      <c r="J1676" s="1"/>
    </row>
    <row r="1677" spans="1:10" x14ac:dyDescent="0.3">
      <c r="A1677" t="str">
        <f t="shared" si="52"/>
        <v>TM</v>
      </c>
      <c r="B1677">
        <f t="shared" si="53"/>
        <v>2725</v>
      </c>
      <c r="D1677" s="1"/>
      <c r="E1677" s="1" t="s">
        <v>7</v>
      </c>
      <c r="F1677" s="1">
        <v>150</v>
      </c>
      <c r="G1677" s="1">
        <v>6</v>
      </c>
      <c r="H1677" s="1">
        <v>0.5</v>
      </c>
      <c r="I1677" s="1"/>
      <c r="J1677" s="1"/>
    </row>
    <row r="1678" spans="1:10" x14ac:dyDescent="0.3">
      <c r="A1678" t="str">
        <f t="shared" si="52"/>
        <v>TM</v>
      </c>
      <c r="B1678">
        <f t="shared" si="53"/>
        <v>2125</v>
      </c>
      <c r="D1678" s="1"/>
      <c r="E1678" s="1" t="s">
        <v>136</v>
      </c>
      <c r="F1678" s="1">
        <v>161</v>
      </c>
      <c r="G1678" s="1">
        <v>7</v>
      </c>
      <c r="H1678" s="1">
        <v>0.3</v>
      </c>
      <c r="I1678" s="1"/>
      <c r="J1678" s="1"/>
    </row>
    <row r="1679" spans="1:10" x14ac:dyDescent="0.3">
      <c r="A1679" t="str">
        <f t="shared" si="52"/>
        <v>TM</v>
      </c>
      <c r="B1679">
        <f t="shared" si="53"/>
        <v>7225</v>
      </c>
      <c r="D1679" s="1"/>
      <c r="E1679" s="1" t="s">
        <v>116</v>
      </c>
      <c r="F1679" s="1">
        <v>163</v>
      </c>
      <c r="G1679" s="1">
        <v>7</v>
      </c>
      <c r="H1679" s="1">
        <v>0.3</v>
      </c>
      <c r="I1679" s="1"/>
      <c r="J1679" s="1"/>
    </row>
    <row r="1680" spans="1:10" x14ac:dyDescent="0.3">
      <c r="A1680" t="str">
        <f t="shared" si="52"/>
        <v>TM</v>
      </c>
      <c r="B1680">
        <f t="shared" si="53"/>
        <v>7325</v>
      </c>
      <c r="D1680" s="1"/>
      <c r="E1680" s="1" t="s">
        <v>111</v>
      </c>
      <c r="F1680" s="1">
        <v>167</v>
      </c>
      <c r="G1680" s="1">
        <v>8</v>
      </c>
      <c r="H1680" s="1">
        <v>0.3</v>
      </c>
      <c r="I1680" s="1"/>
      <c r="J1680" s="1"/>
    </row>
    <row r="1681" spans="1:10" x14ac:dyDescent="0.3">
      <c r="A1681" t="str">
        <f t="shared" si="52"/>
        <v>TM</v>
      </c>
      <c r="B1681">
        <f t="shared" si="53"/>
        <v>12125</v>
      </c>
      <c r="D1681" s="1"/>
      <c r="E1681" s="1" t="s">
        <v>140</v>
      </c>
      <c r="F1681" s="1">
        <v>167</v>
      </c>
      <c r="G1681" s="1">
        <v>5</v>
      </c>
      <c r="H1681" s="1">
        <v>0.3</v>
      </c>
      <c r="I1681" s="1"/>
      <c r="J1681" s="1"/>
    </row>
    <row r="1682" spans="1:10" x14ac:dyDescent="0.3">
      <c r="A1682" t="str">
        <f t="shared" si="52"/>
        <v>TM</v>
      </c>
      <c r="B1682">
        <f t="shared" si="53"/>
        <v>8225</v>
      </c>
      <c r="D1682" s="1"/>
      <c r="E1682" s="1" t="s">
        <v>131</v>
      </c>
      <c r="F1682" s="1">
        <v>169</v>
      </c>
      <c r="G1682" s="1">
        <v>6</v>
      </c>
      <c r="H1682" s="1">
        <v>0.3</v>
      </c>
      <c r="I1682" s="1"/>
      <c r="J1682" s="1"/>
    </row>
    <row r="1683" spans="1:10" x14ac:dyDescent="0.3">
      <c r="A1683" t="str">
        <f t="shared" si="52"/>
        <v>TM</v>
      </c>
      <c r="B1683">
        <f t="shared" si="53"/>
        <v>8025</v>
      </c>
      <c r="D1683" s="1"/>
      <c r="E1683" s="1" t="s">
        <v>117</v>
      </c>
      <c r="F1683" s="1">
        <v>179</v>
      </c>
      <c r="G1683" s="1">
        <v>6</v>
      </c>
      <c r="H1683" s="1">
        <v>0.2</v>
      </c>
      <c r="I1683" s="1"/>
      <c r="J1683" s="1"/>
    </row>
    <row r="1684" spans="1:10" x14ac:dyDescent="0.3">
      <c r="A1684" t="str">
        <f t="shared" si="52"/>
        <v>TM</v>
      </c>
      <c r="B1684">
        <f t="shared" si="53"/>
        <v>2225</v>
      </c>
      <c r="D1684" s="1"/>
      <c r="E1684" s="1" t="s">
        <v>119</v>
      </c>
      <c r="F1684" s="1">
        <v>183</v>
      </c>
      <c r="G1684" s="1">
        <v>9</v>
      </c>
      <c r="H1684" s="1">
        <v>0.2</v>
      </c>
      <c r="I1684" s="1"/>
      <c r="J1684" s="1"/>
    </row>
    <row r="1685" spans="1:10" x14ac:dyDescent="0.3">
      <c r="A1685" t="str">
        <f t="shared" si="52"/>
        <v>TM</v>
      </c>
      <c r="B1685">
        <f t="shared" si="53"/>
        <v>1725</v>
      </c>
      <c r="D1685" s="1"/>
      <c r="E1685" s="1" t="s">
        <v>133</v>
      </c>
      <c r="F1685" s="1">
        <v>190</v>
      </c>
      <c r="G1685" s="1">
        <v>6</v>
      </c>
      <c r="H1685" s="1">
        <v>0</v>
      </c>
      <c r="I1685" s="1"/>
      <c r="J1685" s="1"/>
    </row>
    <row r="1686" spans="1:10" x14ac:dyDescent="0.3">
      <c r="A1686" t="str">
        <f t="shared" si="52"/>
        <v>TM</v>
      </c>
      <c r="B1686">
        <f t="shared" si="53"/>
        <v>5025</v>
      </c>
      <c r="D1686" s="1"/>
      <c r="E1686" s="1" t="s">
        <v>110</v>
      </c>
      <c r="F1686" s="1">
        <v>193</v>
      </c>
      <c r="G1686" s="1">
        <v>9</v>
      </c>
      <c r="H1686" s="1">
        <v>0</v>
      </c>
      <c r="I1686" s="1"/>
      <c r="J1686" s="1"/>
    </row>
    <row r="1687" spans="1:10" x14ac:dyDescent="0.3">
      <c r="A1687" t="str">
        <f t="shared" si="52"/>
        <v>TM</v>
      </c>
      <c r="B1687">
        <f t="shared" si="53"/>
        <v>3925</v>
      </c>
      <c r="D1687" s="1"/>
      <c r="E1687" s="1" t="s">
        <v>88</v>
      </c>
      <c r="F1687" s="1">
        <v>196</v>
      </c>
      <c r="G1687" s="1">
        <v>9</v>
      </c>
      <c r="H1687" s="1">
        <v>-0.1</v>
      </c>
      <c r="I1687" s="1"/>
      <c r="J1687" s="1"/>
    </row>
    <row r="1688" spans="1:10" x14ac:dyDescent="0.3">
      <c r="A1688" t="str">
        <f t="shared" si="52"/>
        <v>TM</v>
      </c>
      <c r="B1688">
        <f t="shared" si="53"/>
        <v>12725</v>
      </c>
      <c r="D1688" s="1"/>
      <c r="E1688" s="1" t="s">
        <v>13</v>
      </c>
      <c r="F1688" s="1">
        <v>199</v>
      </c>
      <c r="G1688" s="1">
        <v>11</v>
      </c>
      <c r="H1688" s="1">
        <v>-0.1</v>
      </c>
      <c r="I1688" s="1"/>
      <c r="J1688" s="1"/>
    </row>
    <row r="1689" spans="1:10" x14ac:dyDescent="0.3">
      <c r="A1689" t="str">
        <f t="shared" si="52"/>
        <v>TM</v>
      </c>
      <c r="B1689">
        <f t="shared" si="53"/>
        <v>3225</v>
      </c>
      <c r="D1689" s="1"/>
      <c r="E1689" s="1" t="s">
        <v>127</v>
      </c>
      <c r="F1689" s="1">
        <v>207</v>
      </c>
      <c r="G1689" s="1">
        <v>10</v>
      </c>
      <c r="H1689" s="1">
        <v>-0.2</v>
      </c>
      <c r="I1689" s="1"/>
      <c r="J1689" s="1"/>
    </row>
    <row r="1690" spans="1:10" x14ac:dyDescent="0.3">
      <c r="A1690" t="str">
        <f t="shared" si="52"/>
        <v>TM</v>
      </c>
      <c r="B1690">
        <f t="shared" si="53"/>
        <v>11925</v>
      </c>
      <c r="D1690" s="1"/>
      <c r="E1690" s="1" t="s">
        <v>143</v>
      </c>
      <c r="F1690" s="1">
        <v>219</v>
      </c>
      <c r="G1690" s="1">
        <v>8</v>
      </c>
      <c r="H1690" s="1">
        <v>-0.3</v>
      </c>
      <c r="I1690" s="1"/>
      <c r="J1690" s="1"/>
    </row>
    <row r="1691" spans="1:10" x14ac:dyDescent="0.3">
      <c r="A1691" t="str">
        <f t="shared" si="52"/>
        <v>TM</v>
      </c>
      <c r="B1691">
        <f t="shared" si="53"/>
        <v>1625</v>
      </c>
      <c r="D1691" s="1"/>
      <c r="E1691" s="1" t="s">
        <v>137</v>
      </c>
      <c r="F1691" s="1">
        <v>221</v>
      </c>
      <c r="G1691" s="1">
        <v>10</v>
      </c>
      <c r="H1691" s="1">
        <v>-0.3</v>
      </c>
      <c r="I1691" s="1"/>
      <c r="J1691" s="1"/>
    </row>
    <row r="1692" spans="1:10" x14ac:dyDescent="0.3">
      <c r="A1692" t="str">
        <f t="shared" si="52"/>
        <v>TM</v>
      </c>
      <c r="B1692">
        <f t="shared" si="53"/>
        <v>9125</v>
      </c>
      <c r="D1692" s="1"/>
      <c r="E1692" s="1" t="s">
        <v>99</v>
      </c>
      <c r="F1692" s="1">
        <v>223</v>
      </c>
      <c r="G1692" s="1">
        <v>11</v>
      </c>
      <c r="H1692" s="1">
        <v>-0.4</v>
      </c>
      <c r="I1692" s="1"/>
      <c r="J1692" s="1"/>
    </row>
    <row r="1693" spans="1:10" x14ac:dyDescent="0.3">
      <c r="A1693" t="str">
        <f t="shared" si="52"/>
        <v>TM</v>
      </c>
      <c r="B1693">
        <f t="shared" si="53"/>
        <v>10325</v>
      </c>
      <c r="D1693" s="1"/>
      <c r="E1693" s="1" t="s">
        <v>134</v>
      </c>
      <c r="F1693" s="1">
        <v>233</v>
      </c>
      <c r="G1693" s="1">
        <v>7</v>
      </c>
      <c r="H1693" s="1">
        <v>-0.5</v>
      </c>
      <c r="I1693" s="1"/>
      <c r="J1693" s="1"/>
    </row>
    <row r="1694" spans="1:10" x14ac:dyDescent="0.3">
      <c r="A1694" t="str">
        <f t="shared" si="52"/>
        <v>TM</v>
      </c>
      <c r="B1694">
        <f t="shared" si="53"/>
        <v>3725</v>
      </c>
      <c r="D1694" s="1"/>
      <c r="E1694" s="1" t="s">
        <v>115</v>
      </c>
      <c r="F1694" s="1">
        <v>235</v>
      </c>
      <c r="G1694" s="1">
        <v>12</v>
      </c>
      <c r="H1694" s="1">
        <v>-0.5</v>
      </c>
      <c r="I1694" s="1"/>
      <c r="J1694" s="1"/>
    </row>
    <row r="1695" spans="1:10" x14ac:dyDescent="0.3">
      <c r="A1695" t="str">
        <f t="shared" si="52"/>
        <v>TM</v>
      </c>
      <c r="B1695">
        <f t="shared" si="53"/>
        <v>4025</v>
      </c>
      <c r="D1695" s="1"/>
      <c r="E1695" s="1" t="s">
        <v>105</v>
      </c>
      <c r="F1695" s="1">
        <v>238</v>
      </c>
      <c r="G1695" s="1">
        <v>12</v>
      </c>
      <c r="H1695" s="1">
        <v>-0.6</v>
      </c>
      <c r="I1695" s="1"/>
      <c r="J1695" s="1"/>
    </row>
    <row r="1696" spans="1:10" x14ac:dyDescent="0.3">
      <c r="A1696" t="str">
        <f t="shared" si="52"/>
        <v>TM</v>
      </c>
      <c r="B1696">
        <f t="shared" si="53"/>
        <v>5725</v>
      </c>
      <c r="D1696" s="1"/>
      <c r="E1696" s="1" t="s">
        <v>120</v>
      </c>
      <c r="F1696" s="1">
        <v>250</v>
      </c>
      <c r="G1696" s="1">
        <v>13</v>
      </c>
      <c r="H1696" s="1">
        <v>-0.9</v>
      </c>
      <c r="I1696" s="1"/>
      <c r="J1696" s="1"/>
    </row>
    <row r="1697" spans="1:10" x14ac:dyDescent="0.3">
      <c r="A1697" t="str">
        <f t="shared" si="52"/>
        <v>TM</v>
      </c>
      <c r="B1697">
        <f t="shared" si="53"/>
        <v>11325</v>
      </c>
      <c r="D1697" s="1"/>
      <c r="E1697" s="1" t="s">
        <v>126</v>
      </c>
      <c r="F1697" s="1">
        <v>257</v>
      </c>
      <c r="G1697" s="1">
        <v>9</v>
      </c>
      <c r="H1697" s="1">
        <v>-1</v>
      </c>
      <c r="I1697" s="1"/>
      <c r="J1697" s="1"/>
    </row>
    <row r="1698" spans="1:10" x14ac:dyDescent="0.3">
      <c r="A1698" t="str">
        <f t="shared" si="52"/>
        <v>TM</v>
      </c>
      <c r="B1698">
        <f t="shared" si="53"/>
        <v>1525</v>
      </c>
      <c r="D1698" s="1"/>
      <c r="E1698" s="1" t="s">
        <v>124</v>
      </c>
      <c r="F1698" s="1">
        <v>278</v>
      </c>
      <c r="G1698" s="1">
        <v>7</v>
      </c>
      <c r="H1698" s="1">
        <v>-1.3</v>
      </c>
      <c r="I1698" s="1"/>
      <c r="J1698" s="1"/>
    </row>
    <row r="1699" spans="1:10" x14ac:dyDescent="0.3">
      <c r="A1699" t="str">
        <f t="shared" si="52"/>
        <v>TM</v>
      </c>
      <c r="B1699">
        <f t="shared" si="53"/>
        <v>4325</v>
      </c>
      <c r="D1699" s="1"/>
      <c r="E1699" s="1" t="s">
        <v>125</v>
      </c>
      <c r="F1699" s="1">
        <v>305</v>
      </c>
      <c r="G1699" s="1">
        <v>12</v>
      </c>
      <c r="H1699" s="1">
        <v>-1.8</v>
      </c>
      <c r="I1699" s="1"/>
      <c r="J1699" s="1"/>
    </row>
    <row r="1700" spans="1:10" x14ac:dyDescent="0.3">
      <c r="A1700" t="str">
        <f t="shared" si="52"/>
        <v>TM</v>
      </c>
      <c r="B1700">
        <f t="shared" si="53"/>
        <v>3025</v>
      </c>
      <c r="D1700" s="1"/>
      <c r="E1700" s="1" t="s">
        <v>89</v>
      </c>
      <c r="F1700" s="1">
        <v>308</v>
      </c>
      <c r="G1700" s="1">
        <v>13</v>
      </c>
      <c r="H1700" s="1">
        <v>-1.9</v>
      </c>
      <c r="I1700" s="1"/>
      <c r="J1700" s="1"/>
    </row>
    <row r="1701" spans="1:10" x14ac:dyDescent="0.3">
      <c r="A1701" t="str">
        <f t="shared" si="52"/>
        <v>TM</v>
      </c>
      <c r="B1701">
        <f t="shared" si="53"/>
        <v>6325</v>
      </c>
      <c r="D1701" s="1"/>
      <c r="E1701" s="1" t="s">
        <v>122</v>
      </c>
      <c r="F1701" s="1">
        <v>310</v>
      </c>
      <c r="G1701" s="1">
        <v>12</v>
      </c>
      <c r="H1701" s="1">
        <v>-2</v>
      </c>
      <c r="I1701" s="1"/>
      <c r="J1701" s="1"/>
    </row>
    <row r="1702" spans="1:10" x14ac:dyDescent="0.3">
      <c r="A1702" t="str">
        <f t="shared" si="52"/>
        <v>TM</v>
      </c>
      <c r="B1702">
        <f t="shared" si="53"/>
        <v>3125</v>
      </c>
      <c r="D1702" s="1"/>
      <c r="E1702" s="1" t="s">
        <v>93</v>
      </c>
      <c r="F1702" s="1">
        <v>330</v>
      </c>
      <c r="G1702" s="1">
        <v>10</v>
      </c>
      <c r="H1702" s="1">
        <v>-3</v>
      </c>
      <c r="I1702" s="1"/>
      <c r="J1702" s="1"/>
    </row>
    <row r="1703" spans="1:10" x14ac:dyDescent="0.3">
      <c r="A1703" t="str">
        <f t="shared" si="52"/>
        <v>TM</v>
      </c>
      <c r="B1703">
        <f t="shared" si="53"/>
        <v>8825</v>
      </c>
      <c r="D1703" s="1"/>
      <c r="E1703" s="1" t="s">
        <v>141</v>
      </c>
      <c r="F1703" s="1">
        <v>334</v>
      </c>
      <c r="G1703" s="1">
        <v>8</v>
      </c>
      <c r="H1703" s="1">
        <v>-3.2</v>
      </c>
      <c r="I1703" s="1"/>
      <c r="J1703" s="1"/>
    </row>
    <row r="1704" spans="1:10" x14ac:dyDescent="0.3">
      <c r="A1704" t="str">
        <f t="shared" si="52"/>
        <v>TOF</v>
      </c>
      <c r="B1704">
        <f t="shared" si="53"/>
        <v>626</v>
      </c>
      <c r="D1704" s="1" t="s">
        <v>179</v>
      </c>
      <c r="E1704" s="1" t="s">
        <v>100</v>
      </c>
      <c r="F1704" s="1">
        <v>3</v>
      </c>
      <c r="G1704" s="1">
        <v>1</v>
      </c>
      <c r="H1704" s="1">
        <v>17.190000000000001</v>
      </c>
      <c r="I1704" s="1" t="s">
        <v>171</v>
      </c>
      <c r="J1704" s="1">
        <v>18.71</v>
      </c>
    </row>
    <row r="1705" spans="1:10" x14ac:dyDescent="0.3">
      <c r="A1705" t="str">
        <f t="shared" si="52"/>
        <v>TOF</v>
      </c>
      <c r="B1705">
        <f t="shared" si="53"/>
        <v>9926</v>
      </c>
      <c r="D1705" s="1"/>
      <c r="E1705" s="1" t="s">
        <v>113</v>
      </c>
      <c r="F1705" s="1">
        <v>5</v>
      </c>
      <c r="G1705" s="1">
        <v>1</v>
      </c>
      <c r="H1705" s="1">
        <v>16.66</v>
      </c>
      <c r="I1705" s="1"/>
      <c r="J1705" s="1"/>
    </row>
    <row r="1706" spans="1:10" x14ac:dyDescent="0.3">
      <c r="A1706" t="str">
        <f t="shared" si="52"/>
        <v>TOF</v>
      </c>
      <c r="B1706">
        <f t="shared" si="53"/>
        <v>226</v>
      </c>
      <c r="D1706" s="1"/>
      <c r="E1706" s="1" t="s">
        <v>98</v>
      </c>
      <c r="F1706" s="1">
        <v>9</v>
      </c>
      <c r="G1706" s="1">
        <v>1</v>
      </c>
      <c r="H1706" s="1">
        <v>16.350000000000001</v>
      </c>
      <c r="I1706" s="1"/>
      <c r="J1706" s="1"/>
    </row>
    <row r="1707" spans="1:10" x14ac:dyDescent="0.3">
      <c r="A1707" t="str">
        <f t="shared" si="52"/>
        <v>TOF</v>
      </c>
      <c r="B1707">
        <f t="shared" si="53"/>
        <v>2826</v>
      </c>
      <c r="D1707" s="1"/>
      <c r="E1707" s="1" t="s">
        <v>106</v>
      </c>
      <c r="F1707" s="1">
        <v>12</v>
      </c>
      <c r="G1707" s="1">
        <v>2</v>
      </c>
      <c r="H1707" s="1">
        <v>15.81</v>
      </c>
      <c r="I1707" s="1"/>
      <c r="J1707" s="1"/>
    </row>
    <row r="1708" spans="1:10" x14ac:dyDescent="0.3">
      <c r="A1708" t="str">
        <f t="shared" si="52"/>
        <v>TOF</v>
      </c>
      <c r="B1708">
        <f t="shared" si="53"/>
        <v>5626</v>
      </c>
      <c r="D1708" s="1"/>
      <c r="E1708" s="1" t="s">
        <v>62</v>
      </c>
      <c r="F1708" s="1">
        <v>23</v>
      </c>
      <c r="G1708" s="1">
        <v>3</v>
      </c>
      <c r="H1708" s="1">
        <v>14.74</v>
      </c>
      <c r="I1708" s="1"/>
      <c r="J1708" s="1"/>
    </row>
    <row r="1709" spans="1:10" x14ac:dyDescent="0.3">
      <c r="A1709" t="str">
        <f t="shared" si="52"/>
        <v>TOF</v>
      </c>
      <c r="B1709">
        <f t="shared" si="53"/>
        <v>3326</v>
      </c>
      <c r="D1709" s="1"/>
      <c r="E1709" s="1" t="s">
        <v>91</v>
      </c>
      <c r="F1709" s="1">
        <v>24</v>
      </c>
      <c r="G1709" s="1">
        <v>1</v>
      </c>
      <c r="H1709" s="1">
        <v>14.7</v>
      </c>
      <c r="I1709" s="1"/>
      <c r="J1709" s="1"/>
    </row>
    <row r="1710" spans="1:10" x14ac:dyDescent="0.3">
      <c r="A1710" t="str">
        <f t="shared" si="52"/>
        <v>TOF</v>
      </c>
      <c r="B1710">
        <f t="shared" si="53"/>
        <v>4826</v>
      </c>
      <c r="D1710" s="1"/>
      <c r="E1710" s="1" t="s">
        <v>104</v>
      </c>
      <c r="F1710" s="1">
        <v>36</v>
      </c>
      <c r="G1710" s="1">
        <v>3</v>
      </c>
      <c r="H1710" s="1">
        <v>14.33</v>
      </c>
      <c r="I1710" s="1"/>
      <c r="J1710" s="1"/>
    </row>
    <row r="1711" spans="1:10" x14ac:dyDescent="0.3">
      <c r="A1711" t="str">
        <f t="shared" si="52"/>
        <v>TOF</v>
      </c>
      <c r="B1711">
        <f t="shared" si="53"/>
        <v>12126</v>
      </c>
      <c r="D1711" s="1"/>
      <c r="E1711" s="1" t="s">
        <v>140</v>
      </c>
      <c r="F1711" s="1">
        <v>39</v>
      </c>
      <c r="G1711" s="1">
        <v>3</v>
      </c>
      <c r="H1711" s="1">
        <v>14.12</v>
      </c>
      <c r="I1711" s="1"/>
      <c r="J1711" s="1"/>
    </row>
    <row r="1712" spans="1:10" x14ac:dyDescent="0.3">
      <c r="A1712" t="str">
        <f t="shared" si="52"/>
        <v>TOF</v>
      </c>
      <c r="B1712">
        <f t="shared" si="53"/>
        <v>4726</v>
      </c>
      <c r="D1712" s="1"/>
      <c r="E1712" s="1" t="s">
        <v>107</v>
      </c>
      <c r="F1712" s="1">
        <v>42</v>
      </c>
      <c r="G1712" s="1">
        <v>1</v>
      </c>
      <c r="H1712" s="1">
        <v>14</v>
      </c>
      <c r="I1712" s="1"/>
      <c r="J1712" s="1"/>
    </row>
    <row r="1713" spans="1:10" x14ac:dyDescent="0.3">
      <c r="A1713" t="str">
        <f t="shared" si="52"/>
        <v>TOF</v>
      </c>
      <c r="B1713">
        <f t="shared" si="53"/>
        <v>5826</v>
      </c>
      <c r="D1713" s="1"/>
      <c r="E1713" s="1" t="s">
        <v>139</v>
      </c>
      <c r="F1713" s="1">
        <v>45</v>
      </c>
      <c r="G1713" s="1">
        <v>4</v>
      </c>
      <c r="H1713" s="1">
        <v>13.91</v>
      </c>
      <c r="I1713" s="1"/>
      <c r="J1713" s="1"/>
    </row>
    <row r="1714" spans="1:10" x14ac:dyDescent="0.3">
      <c r="A1714" t="str">
        <f t="shared" si="52"/>
        <v>TOF</v>
      </c>
      <c r="B1714">
        <f t="shared" si="53"/>
        <v>12426</v>
      </c>
      <c r="D1714" s="1"/>
      <c r="E1714" s="1" t="s">
        <v>128</v>
      </c>
      <c r="F1714" s="1">
        <v>53</v>
      </c>
      <c r="G1714" s="1">
        <v>2</v>
      </c>
      <c r="H1714" s="1">
        <v>13.64</v>
      </c>
      <c r="I1714" s="1"/>
      <c r="J1714" s="1"/>
    </row>
    <row r="1715" spans="1:10" x14ac:dyDescent="0.3">
      <c r="A1715" t="str">
        <f t="shared" si="52"/>
        <v>TOF</v>
      </c>
      <c r="B1715">
        <f t="shared" si="53"/>
        <v>11426</v>
      </c>
      <c r="D1715" s="1"/>
      <c r="E1715" s="1" t="s">
        <v>138</v>
      </c>
      <c r="F1715" s="1">
        <v>54</v>
      </c>
      <c r="G1715" s="1">
        <v>1</v>
      </c>
      <c r="H1715" s="1">
        <v>13.63</v>
      </c>
      <c r="I1715" s="1"/>
      <c r="J1715" s="1"/>
    </row>
    <row r="1716" spans="1:10" x14ac:dyDescent="0.3">
      <c r="A1716" t="str">
        <f t="shared" si="52"/>
        <v>TOF</v>
      </c>
      <c r="B1716">
        <f t="shared" si="53"/>
        <v>12826</v>
      </c>
      <c r="D1716" s="1"/>
      <c r="E1716" s="1" t="s">
        <v>142</v>
      </c>
      <c r="F1716" s="1">
        <v>56</v>
      </c>
      <c r="G1716" s="1">
        <v>3</v>
      </c>
      <c r="H1716" s="1">
        <v>13.61</v>
      </c>
      <c r="I1716" s="1"/>
      <c r="J1716" s="1"/>
    </row>
    <row r="1717" spans="1:10" x14ac:dyDescent="0.3">
      <c r="A1717" t="str">
        <f t="shared" si="52"/>
        <v>TOF</v>
      </c>
      <c r="B1717">
        <f t="shared" si="53"/>
        <v>12026</v>
      </c>
      <c r="D1717" s="1"/>
      <c r="E1717" s="1" t="s">
        <v>135</v>
      </c>
      <c r="F1717" s="1">
        <v>58</v>
      </c>
      <c r="G1717" s="1">
        <v>1</v>
      </c>
      <c r="H1717" s="1">
        <v>13.54</v>
      </c>
      <c r="I1717" s="1"/>
      <c r="J1717" s="1"/>
    </row>
    <row r="1718" spans="1:10" x14ac:dyDescent="0.3">
      <c r="A1718" t="str">
        <f t="shared" si="52"/>
        <v>TOF</v>
      </c>
      <c r="B1718">
        <f t="shared" si="53"/>
        <v>2926</v>
      </c>
      <c r="D1718" s="1"/>
      <c r="E1718" s="1" t="s">
        <v>96</v>
      </c>
      <c r="F1718" s="1">
        <v>65</v>
      </c>
      <c r="G1718" s="1">
        <v>2</v>
      </c>
      <c r="H1718" s="1">
        <v>13.42</v>
      </c>
      <c r="I1718" s="1"/>
      <c r="J1718" s="1"/>
    </row>
    <row r="1719" spans="1:10" x14ac:dyDescent="0.3">
      <c r="A1719" t="str">
        <f t="shared" si="52"/>
        <v>TOF</v>
      </c>
      <c r="B1719">
        <f t="shared" si="53"/>
        <v>12926</v>
      </c>
      <c r="D1719" s="1"/>
      <c r="E1719" s="1" t="s">
        <v>132</v>
      </c>
      <c r="F1719" s="1">
        <v>78</v>
      </c>
      <c r="G1719" s="1">
        <v>3</v>
      </c>
      <c r="H1719" s="1">
        <v>13.11</v>
      </c>
      <c r="I1719" s="1"/>
      <c r="J1719" s="1"/>
    </row>
    <row r="1720" spans="1:10" x14ac:dyDescent="0.3">
      <c r="A1720" t="str">
        <f t="shared" si="52"/>
        <v>TOF</v>
      </c>
      <c r="B1720">
        <f t="shared" si="53"/>
        <v>3526</v>
      </c>
      <c r="D1720" s="1"/>
      <c r="E1720" s="1" t="s">
        <v>87</v>
      </c>
      <c r="F1720" s="1">
        <v>81</v>
      </c>
      <c r="G1720" s="1">
        <v>1</v>
      </c>
      <c r="H1720" s="1">
        <v>13.03</v>
      </c>
      <c r="I1720" s="1"/>
      <c r="J1720" s="1"/>
    </row>
    <row r="1721" spans="1:10" x14ac:dyDescent="0.3">
      <c r="A1721" t="str">
        <f t="shared" si="52"/>
        <v>TOF</v>
      </c>
      <c r="B1721">
        <f t="shared" si="53"/>
        <v>6726</v>
      </c>
      <c r="D1721" s="1"/>
      <c r="E1721" s="1" t="s">
        <v>118</v>
      </c>
      <c r="F1721" s="1">
        <v>94</v>
      </c>
      <c r="G1721" s="1">
        <v>5</v>
      </c>
      <c r="H1721" s="1">
        <v>12.88</v>
      </c>
      <c r="I1721" s="1"/>
      <c r="J1721" s="1"/>
    </row>
    <row r="1722" spans="1:10" x14ac:dyDescent="0.3">
      <c r="A1722" t="str">
        <f t="shared" si="52"/>
        <v>TOF</v>
      </c>
      <c r="B1722">
        <f t="shared" si="53"/>
        <v>4526</v>
      </c>
      <c r="D1722" s="1"/>
      <c r="E1722" s="1" t="s">
        <v>84</v>
      </c>
      <c r="F1722" s="1">
        <v>95</v>
      </c>
      <c r="G1722" s="1">
        <v>3</v>
      </c>
      <c r="H1722" s="1">
        <v>12.83</v>
      </c>
      <c r="I1722" s="1"/>
      <c r="J1722" s="1"/>
    </row>
    <row r="1723" spans="1:10" x14ac:dyDescent="0.3">
      <c r="A1723" t="str">
        <f t="shared" si="52"/>
        <v>TOF</v>
      </c>
      <c r="B1723">
        <f t="shared" si="53"/>
        <v>11926</v>
      </c>
      <c r="D1723" s="1"/>
      <c r="E1723" s="1" t="s">
        <v>143</v>
      </c>
      <c r="F1723" s="1">
        <v>97</v>
      </c>
      <c r="G1723" s="1">
        <v>7</v>
      </c>
      <c r="H1723" s="1">
        <v>12.81</v>
      </c>
      <c r="I1723" s="1"/>
      <c r="J1723" s="1"/>
    </row>
    <row r="1724" spans="1:10" x14ac:dyDescent="0.3">
      <c r="A1724" t="str">
        <f t="shared" si="52"/>
        <v>TOF</v>
      </c>
      <c r="B1724">
        <f t="shared" si="53"/>
        <v>1626</v>
      </c>
      <c r="D1724" s="1"/>
      <c r="E1724" s="1" t="s">
        <v>137</v>
      </c>
      <c r="F1724" s="1">
        <v>105</v>
      </c>
      <c r="G1724" s="1">
        <v>5</v>
      </c>
      <c r="H1724" s="1">
        <v>12.66</v>
      </c>
      <c r="I1724" s="1"/>
      <c r="J1724" s="1"/>
    </row>
    <row r="1725" spans="1:10" x14ac:dyDescent="0.3">
      <c r="A1725" t="str">
        <f t="shared" si="52"/>
        <v>TOF</v>
      </c>
      <c r="B1725">
        <f t="shared" si="53"/>
        <v>1226</v>
      </c>
      <c r="D1725" s="1"/>
      <c r="E1725" s="1" t="s">
        <v>130</v>
      </c>
      <c r="F1725" s="1">
        <v>123</v>
      </c>
      <c r="G1725" s="1">
        <v>2</v>
      </c>
      <c r="H1725" s="1">
        <v>12.43</v>
      </c>
      <c r="I1725" s="1"/>
      <c r="J1725" s="1"/>
    </row>
    <row r="1726" spans="1:10" x14ac:dyDescent="0.3">
      <c r="A1726" t="str">
        <f t="shared" si="52"/>
        <v>TOF</v>
      </c>
      <c r="B1726">
        <f t="shared" si="53"/>
        <v>6226</v>
      </c>
      <c r="D1726" s="1"/>
      <c r="E1726" s="1" t="s">
        <v>81</v>
      </c>
      <c r="F1726" s="1">
        <v>124</v>
      </c>
      <c r="G1726" s="1">
        <v>4</v>
      </c>
      <c r="H1726" s="1">
        <v>12.41</v>
      </c>
      <c r="I1726" s="1"/>
      <c r="J1726" s="1"/>
    </row>
    <row r="1727" spans="1:10" x14ac:dyDescent="0.3">
      <c r="A1727" t="str">
        <f t="shared" si="52"/>
        <v>TOF</v>
      </c>
      <c r="B1727">
        <f t="shared" si="53"/>
        <v>926</v>
      </c>
      <c r="D1727" s="1"/>
      <c r="E1727" s="1" t="s">
        <v>90</v>
      </c>
      <c r="F1727" s="1">
        <v>130</v>
      </c>
      <c r="G1727" s="1">
        <v>5</v>
      </c>
      <c r="H1727" s="1">
        <v>12.34</v>
      </c>
      <c r="I1727" s="1"/>
      <c r="J1727" s="1"/>
    </row>
    <row r="1728" spans="1:10" x14ac:dyDescent="0.3">
      <c r="A1728" t="str">
        <f t="shared" si="52"/>
        <v>TOF</v>
      </c>
      <c r="B1728">
        <f t="shared" si="53"/>
        <v>9526</v>
      </c>
      <c r="D1728" s="1"/>
      <c r="E1728" s="1" t="s">
        <v>85</v>
      </c>
      <c r="F1728" s="1">
        <v>133</v>
      </c>
      <c r="G1728" s="1">
        <v>3</v>
      </c>
      <c r="H1728" s="1">
        <v>12.31</v>
      </c>
      <c r="I1728" s="1"/>
      <c r="J1728" s="1"/>
    </row>
    <row r="1729" spans="1:10" x14ac:dyDescent="0.3">
      <c r="A1729" t="str">
        <f t="shared" si="52"/>
        <v>TOF</v>
      </c>
      <c r="B1729">
        <f t="shared" si="53"/>
        <v>6926</v>
      </c>
      <c r="D1729" s="1"/>
      <c r="E1729" s="1" t="s">
        <v>114</v>
      </c>
      <c r="F1729" s="1">
        <v>134</v>
      </c>
      <c r="G1729" s="1">
        <v>4</v>
      </c>
      <c r="H1729" s="1">
        <v>12.28</v>
      </c>
      <c r="I1729" s="1"/>
      <c r="J1729" s="1"/>
    </row>
    <row r="1730" spans="1:10" x14ac:dyDescent="0.3">
      <c r="A1730" t="str">
        <f t="shared" ref="A1730:A1793" si="54">IF(NOT(D1730=""),INDEX(statAbbr,MATCH(D1730,statOfficial,0),1),A1729)</f>
        <v>TOF</v>
      </c>
      <c r="B1730">
        <f t="shared" ref="B1730:B1793" si="55">INDEX(statID,MATCH(A1730,statAbbr,0),1)+INDEX(teamID,MATCH(E1730,teamRawName,0))</f>
        <v>8826</v>
      </c>
      <c r="D1730" s="1"/>
      <c r="E1730" s="1" t="s">
        <v>141</v>
      </c>
      <c r="F1730" s="1">
        <v>138</v>
      </c>
      <c r="G1730" s="1">
        <v>8</v>
      </c>
      <c r="H1730" s="1">
        <v>12.23</v>
      </c>
      <c r="I1730" s="1"/>
      <c r="J1730" s="1"/>
    </row>
    <row r="1731" spans="1:10" x14ac:dyDescent="0.3">
      <c r="A1731" t="str">
        <f t="shared" si="54"/>
        <v>TOF</v>
      </c>
      <c r="B1731">
        <f t="shared" si="55"/>
        <v>1926</v>
      </c>
      <c r="D1731" s="1"/>
      <c r="E1731" s="1" t="s">
        <v>112</v>
      </c>
      <c r="F1731" s="1">
        <v>139</v>
      </c>
      <c r="G1731" s="1">
        <v>3</v>
      </c>
      <c r="H1731" s="1">
        <v>12.22</v>
      </c>
      <c r="I1731" s="1"/>
      <c r="J1731" s="1"/>
    </row>
    <row r="1732" spans="1:10" x14ac:dyDescent="0.3">
      <c r="A1732" t="str">
        <f t="shared" si="54"/>
        <v>TOF</v>
      </c>
      <c r="B1732">
        <f t="shared" si="55"/>
        <v>2626</v>
      </c>
      <c r="D1732" s="1"/>
      <c r="E1732" s="1" t="s">
        <v>80</v>
      </c>
      <c r="F1732" s="1">
        <v>153</v>
      </c>
      <c r="G1732" s="1">
        <v>4</v>
      </c>
      <c r="H1732" s="1">
        <v>12</v>
      </c>
      <c r="I1732" s="1"/>
      <c r="J1732" s="1"/>
    </row>
    <row r="1733" spans="1:10" x14ac:dyDescent="0.3">
      <c r="A1733" t="str">
        <f t="shared" si="54"/>
        <v>TOF</v>
      </c>
      <c r="B1733">
        <f t="shared" si="55"/>
        <v>1426</v>
      </c>
      <c r="D1733" s="1"/>
      <c r="E1733" s="1" t="s">
        <v>102</v>
      </c>
      <c r="F1733" s="1">
        <v>160</v>
      </c>
      <c r="G1733" s="1">
        <v>4</v>
      </c>
      <c r="H1733" s="1">
        <v>11.91</v>
      </c>
      <c r="I1733" s="1"/>
      <c r="J1733" s="1"/>
    </row>
    <row r="1734" spans="1:10" x14ac:dyDescent="0.3">
      <c r="A1734" t="str">
        <f t="shared" si="54"/>
        <v>TOF</v>
      </c>
      <c r="B1734">
        <f t="shared" si="55"/>
        <v>4626</v>
      </c>
      <c r="D1734" s="1"/>
      <c r="E1734" s="1" t="s">
        <v>101</v>
      </c>
      <c r="F1734" s="1">
        <v>161</v>
      </c>
      <c r="G1734" s="1">
        <v>5</v>
      </c>
      <c r="H1734" s="1">
        <v>11.91</v>
      </c>
      <c r="I1734" s="1"/>
      <c r="J1734" s="1"/>
    </row>
    <row r="1735" spans="1:10" x14ac:dyDescent="0.3">
      <c r="A1735" t="str">
        <f t="shared" si="54"/>
        <v>TOF</v>
      </c>
      <c r="B1735">
        <f t="shared" si="55"/>
        <v>5526</v>
      </c>
      <c r="D1735" s="1"/>
      <c r="E1735" s="1" t="s">
        <v>86</v>
      </c>
      <c r="F1735" s="1">
        <v>169</v>
      </c>
      <c r="G1735" s="1">
        <v>7</v>
      </c>
      <c r="H1735" s="1">
        <v>11.85</v>
      </c>
      <c r="I1735" s="1"/>
      <c r="J1735" s="1"/>
    </row>
    <row r="1736" spans="1:10" x14ac:dyDescent="0.3">
      <c r="A1736" t="str">
        <f t="shared" si="54"/>
        <v>TOF</v>
      </c>
      <c r="B1736">
        <f t="shared" si="55"/>
        <v>3226</v>
      </c>
      <c r="D1736" s="1"/>
      <c r="E1736" s="1" t="s">
        <v>127</v>
      </c>
      <c r="F1736" s="1">
        <v>173</v>
      </c>
      <c r="G1736" s="1">
        <v>7</v>
      </c>
      <c r="H1736" s="1">
        <v>11.83</v>
      </c>
      <c r="I1736" s="1"/>
      <c r="J1736" s="1"/>
    </row>
    <row r="1737" spans="1:10" x14ac:dyDescent="0.3">
      <c r="A1737" t="str">
        <f t="shared" si="54"/>
        <v>TOF</v>
      </c>
      <c r="B1737">
        <f t="shared" si="55"/>
        <v>3926</v>
      </c>
      <c r="D1737" s="1"/>
      <c r="E1737" s="1" t="s">
        <v>88</v>
      </c>
      <c r="F1737" s="1">
        <v>187</v>
      </c>
      <c r="G1737" s="1">
        <v>8</v>
      </c>
      <c r="H1737" s="1">
        <v>11.62</v>
      </c>
      <c r="I1737" s="1"/>
      <c r="J1737" s="1"/>
    </row>
    <row r="1738" spans="1:10" x14ac:dyDescent="0.3">
      <c r="A1738" t="str">
        <f t="shared" si="54"/>
        <v>TOF</v>
      </c>
      <c r="B1738">
        <f t="shared" si="55"/>
        <v>2226</v>
      </c>
      <c r="D1738" s="1"/>
      <c r="E1738" s="1" t="s">
        <v>119</v>
      </c>
      <c r="F1738" s="1">
        <v>191</v>
      </c>
      <c r="G1738" s="1">
        <v>9</v>
      </c>
      <c r="H1738" s="1">
        <v>11.59</v>
      </c>
      <c r="I1738" s="1"/>
      <c r="J1738" s="1"/>
    </row>
    <row r="1739" spans="1:10" x14ac:dyDescent="0.3">
      <c r="A1739" t="str">
        <f t="shared" si="54"/>
        <v>TOF</v>
      </c>
      <c r="B1739">
        <f t="shared" si="55"/>
        <v>8226</v>
      </c>
      <c r="D1739" s="1"/>
      <c r="E1739" s="1" t="s">
        <v>131</v>
      </c>
      <c r="F1739" s="1">
        <v>194</v>
      </c>
      <c r="G1739" s="1">
        <v>7</v>
      </c>
      <c r="H1739" s="1">
        <v>11.54</v>
      </c>
      <c r="I1739" s="1"/>
      <c r="J1739" s="1"/>
    </row>
    <row r="1740" spans="1:10" x14ac:dyDescent="0.3">
      <c r="A1740" t="str">
        <f t="shared" si="54"/>
        <v>TOF</v>
      </c>
      <c r="B1740">
        <f t="shared" si="55"/>
        <v>1326</v>
      </c>
      <c r="D1740" s="1"/>
      <c r="E1740" s="1" t="s">
        <v>82</v>
      </c>
      <c r="F1740" s="1">
        <v>199</v>
      </c>
      <c r="G1740" s="1">
        <v>6</v>
      </c>
      <c r="H1740" s="1">
        <v>11.53</v>
      </c>
      <c r="I1740" s="1"/>
      <c r="J1740" s="1"/>
    </row>
    <row r="1741" spans="1:10" x14ac:dyDescent="0.3">
      <c r="A1741" t="str">
        <f t="shared" si="54"/>
        <v>TOF</v>
      </c>
      <c r="B1741">
        <f t="shared" si="55"/>
        <v>11526</v>
      </c>
      <c r="D1741" s="1"/>
      <c r="E1741" s="1" t="s">
        <v>97</v>
      </c>
      <c r="F1741" s="1">
        <v>202</v>
      </c>
      <c r="G1741" s="1">
        <v>5</v>
      </c>
      <c r="H1741" s="1">
        <v>11.51</v>
      </c>
      <c r="I1741" s="1"/>
      <c r="J1741" s="1"/>
    </row>
    <row r="1742" spans="1:10" x14ac:dyDescent="0.3">
      <c r="A1742" t="str">
        <f t="shared" si="54"/>
        <v>TOF</v>
      </c>
      <c r="B1742">
        <f t="shared" si="55"/>
        <v>12726</v>
      </c>
      <c r="D1742" s="1"/>
      <c r="E1742" s="1" t="s">
        <v>13</v>
      </c>
      <c r="F1742" s="1">
        <v>202</v>
      </c>
      <c r="G1742" s="1">
        <v>10</v>
      </c>
      <c r="H1742" s="1">
        <v>11.51</v>
      </c>
      <c r="I1742" s="1"/>
      <c r="J1742" s="1"/>
    </row>
    <row r="1743" spans="1:10" x14ac:dyDescent="0.3">
      <c r="A1743" t="str">
        <f t="shared" si="54"/>
        <v>TOF</v>
      </c>
      <c r="B1743">
        <f t="shared" si="55"/>
        <v>7226</v>
      </c>
      <c r="D1743" s="1"/>
      <c r="E1743" s="1" t="s">
        <v>116</v>
      </c>
      <c r="F1743" s="1">
        <v>208</v>
      </c>
      <c r="G1743" s="1">
        <v>10</v>
      </c>
      <c r="H1743" s="1">
        <v>11.44</v>
      </c>
      <c r="I1743" s="1"/>
      <c r="J1743" s="1"/>
    </row>
    <row r="1744" spans="1:10" x14ac:dyDescent="0.3">
      <c r="A1744" t="str">
        <f t="shared" si="54"/>
        <v>TOF</v>
      </c>
      <c r="B1744">
        <f t="shared" si="55"/>
        <v>2126</v>
      </c>
      <c r="D1744" s="1"/>
      <c r="E1744" s="1" t="s">
        <v>136</v>
      </c>
      <c r="F1744" s="1">
        <v>214</v>
      </c>
      <c r="G1744" s="1">
        <v>7</v>
      </c>
      <c r="H1744" s="1">
        <v>11.42</v>
      </c>
      <c r="I1744" s="1"/>
      <c r="J1744" s="1"/>
    </row>
    <row r="1745" spans="1:10" x14ac:dyDescent="0.3">
      <c r="A1745" t="str">
        <f t="shared" si="54"/>
        <v>TOF</v>
      </c>
      <c r="B1745">
        <f t="shared" si="55"/>
        <v>7326</v>
      </c>
      <c r="D1745" s="1"/>
      <c r="E1745" s="1" t="s">
        <v>111</v>
      </c>
      <c r="F1745" s="1">
        <v>217</v>
      </c>
      <c r="G1745" s="1">
        <v>7</v>
      </c>
      <c r="H1745" s="1">
        <v>11.38</v>
      </c>
      <c r="I1745" s="1"/>
      <c r="J1745" s="1"/>
    </row>
    <row r="1746" spans="1:10" x14ac:dyDescent="0.3">
      <c r="A1746" t="str">
        <f t="shared" si="54"/>
        <v>TOF</v>
      </c>
      <c r="B1746">
        <f t="shared" si="55"/>
        <v>3626</v>
      </c>
      <c r="D1746" s="1"/>
      <c r="E1746" s="1" t="s">
        <v>129</v>
      </c>
      <c r="F1746" s="1">
        <v>222</v>
      </c>
      <c r="G1746" s="1">
        <v>9</v>
      </c>
      <c r="H1746" s="1">
        <v>11.36</v>
      </c>
      <c r="I1746" s="1"/>
      <c r="J1746" s="1"/>
    </row>
    <row r="1747" spans="1:10" x14ac:dyDescent="0.3">
      <c r="A1747" t="str">
        <f t="shared" si="54"/>
        <v>TOF</v>
      </c>
      <c r="B1747">
        <f t="shared" si="55"/>
        <v>5426</v>
      </c>
      <c r="D1747" s="1"/>
      <c r="E1747" s="1" t="s">
        <v>94</v>
      </c>
      <c r="F1747" s="1">
        <v>226</v>
      </c>
      <c r="G1747" s="1">
        <v>9</v>
      </c>
      <c r="H1747" s="1">
        <v>11.31</v>
      </c>
      <c r="I1747" s="1"/>
      <c r="J1747" s="1"/>
    </row>
    <row r="1748" spans="1:10" x14ac:dyDescent="0.3">
      <c r="A1748" t="str">
        <f t="shared" si="54"/>
        <v>TOF</v>
      </c>
      <c r="B1748">
        <f t="shared" si="55"/>
        <v>3726</v>
      </c>
      <c r="D1748" s="1"/>
      <c r="E1748" s="1" t="s">
        <v>115</v>
      </c>
      <c r="F1748" s="1">
        <v>228</v>
      </c>
      <c r="G1748" s="1">
        <v>10</v>
      </c>
      <c r="H1748" s="1">
        <v>11.3</v>
      </c>
      <c r="I1748" s="1"/>
      <c r="J1748" s="1"/>
    </row>
    <row r="1749" spans="1:10" x14ac:dyDescent="0.3">
      <c r="A1749" t="str">
        <f t="shared" si="54"/>
        <v>TOF</v>
      </c>
      <c r="B1749">
        <f t="shared" si="55"/>
        <v>1726</v>
      </c>
      <c r="D1749" s="1"/>
      <c r="E1749" s="1" t="s">
        <v>133</v>
      </c>
      <c r="F1749" s="1">
        <v>230</v>
      </c>
      <c r="G1749" s="1">
        <v>3</v>
      </c>
      <c r="H1749" s="1">
        <v>11.29</v>
      </c>
      <c r="I1749" s="1"/>
      <c r="J1749" s="1"/>
    </row>
    <row r="1750" spans="1:10" x14ac:dyDescent="0.3">
      <c r="A1750" t="str">
        <f t="shared" si="54"/>
        <v>TOF</v>
      </c>
      <c r="B1750">
        <f t="shared" si="55"/>
        <v>4226</v>
      </c>
      <c r="D1750" s="1"/>
      <c r="E1750" s="1" t="s">
        <v>123</v>
      </c>
      <c r="F1750" s="1">
        <v>232</v>
      </c>
      <c r="G1750" s="1">
        <v>8</v>
      </c>
      <c r="H1750" s="1">
        <v>11.28</v>
      </c>
      <c r="I1750" s="1"/>
      <c r="J1750" s="1"/>
    </row>
    <row r="1751" spans="1:10" x14ac:dyDescent="0.3">
      <c r="A1751" t="str">
        <f t="shared" si="54"/>
        <v>TOF</v>
      </c>
      <c r="B1751">
        <f t="shared" si="55"/>
        <v>8426</v>
      </c>
      <c r="D1751" s="1"/>
      <c r="E1751" s="1" t="s">
        <v>109</v>
      </c>
      <c r="F1751" s="1">
        <v>235</v>
      </c>
      <c r="G1751" s="1">
        <v>5</v>
      </c>
      <c r="H1751" s="1">
        <v>11.23</v>
      </c>
      <c r="I1751" s="1"/>
      <c r="J1751" s="1"/>
    </row>
    <row r="1752" spans="1:10" x14ac:dyDescent="0.3">
      <c r="A1752" t="str">
        <f t="shared" si="54"/>
        <v>TOF</v>
      </c>
      <c r="B1752">
        <f t="shared" si="55"/>
        <v>2726</v>
      </c>
      <c r="D1752" s="1"/>
      <c r="E1752" s="1" t="s">
        <v>7</v>
      </c>
      <c r="F1752" s="1">
        <v>238</v>
      </c>
      <c r="G1752" s="1">
        <v>13</v>
      </c>
      <c r="H1752" s="1">
        <v>11.21</v>
      </c>
      <c r="I1752" s="1"/>
      <c r="J1752" s="1"/>
    </row>
    <row r="1753" spans="1:10" x14ac:dyDescent="0.3">
      <c r="A1753" t="str">
        <f t="shared" si="54"/>
        <v>TOF</v>
      </c>
      <c r="B1753">
        <f t="shared" si="55"/>
        <v>4426</v>
      </c>
      <c r="D1753" s="1"/>
      <c r="E1753" s="1" t="s">
        <v>83</v>
      </c>
      <c r="F1753" s="1">
        <v>240</v>
      </c>
      <c r="G1753" s="1">
        <v>5</v>
      </c>
      <c r="H1753" s="1">
        <v>11.2</v>
      </c>
      <c r="I1753" s="1"/>
      <c r="J1753" s="1"/>
    </row>
    <row r="1754" spans="1:10" x14ac:dyDescent="0.3">
      <c r="A1754" t="str">
        <f t="shared" si="54"/>
        <v>TOF</v>
      </c>
      <c r="B1754">
        <f t="shared" si="55"/>
        <v>8026</v>
      </c>
      <c r="D1754" s="1"/>
      <c r="E1754" s="1" t="s">
        <v>117</v>
      </c>
      <c r="F1754" s="1">
        <v>241</v>
      </c>
      <c r="G1754" s="1">
        <v>9</v>
      </c>
      <c r="H1754" s="1">
        <v>11.19</v>
      </c>
      <c r="I1754" s="1"/>
      <c r="J1754" s="1"/>
    </row>
    <row r="1755" spans="1:10" x14ac:dyDescent="0.3">
      <c r="A1755" t="str">
        <f t="shared" si="54"/>
        <v>TOF</v>
      </c>
      <c r="B1755">
        <f t="shared" si="55"/>
        <v>11626</v>
      </c>
      <c r="D1755" s="1"/>
      <c r="E1755" s="1" t="s">
        <v>121</v>
      </c>
      <c r="F1755" s="1">
        <v>247</v>
      </c>
      <c r="G1755" s="1">
        <v>7</v>
      </c>
      <c r="H1755" s="1">
        <v>11.12</v>
      </c>
      <c r="I1755" s="1"/>
      <c r="J1755" s="1"/>
    </row>
    <row r="1756" spans="1:10" x14ac:dyDescent="0.3">
      <c r="A1756" t="str">
        <f t="shared" si="54"/>
        <v>TOF</v>
      </c>
      <c r="B1756">
        <f t="shared" si="55"/>
        <v>12526</v>
      </c>
      <c r="D1756" s="1"/>
      <c r="E1756" s="1" t="s">
        <v>95</v>
      </c>
      <c r="F1756" s="1">
        <v>255</v>
      </c>
      <c r="G1756" s="1">
        <v>5</v>
      </c>
      <c r="H1756" s="1">
        <v>11.06</v>
      </c>
      <c r="I1756" s="1"/>
      <c r="J1756" s="1"/>
    </row>
    <row r="1757" spans="1:10" x14ac:dyDescent="0.3">
      <c r="A1757" t="str">
        <f t="shared" si="54"/>
        <v>TOF</v>
      </c>
      <c r="B1757">
        <f t="shared" si="55"/>
        <v>2526</v>
      </c>
      <c r="D1757" s="1"/>
      <c r="E1757" s="1" t="s">
        <v>92</v>
      </c>
      <c r="F1757" s="1">
        <v>266</v>
      </c>
      <c r="G1757" s="1">
        <v>6</v>
      </c>
      <c r="H1757" s="1">
        <v>10.85</v>
      </c>
      <c r="I1757" s="1"/>
      <c r="J1757" s="1"/>
    </row>
    <row r="1758" spans="1:10" x14ac:dyDescent="0.3">
      <c r="A1758" t="str">
        <f t="shared" si="54"/>
        <v>TOF</v>
      </c>
      <c r="B1758">
        <f t="shared" si="55"/>
        <v>5726</v>
      </c>
      <c r="D1758" s="1"/>
      <c r="E1758" s="1" t="s">
        <v>120</v>
      </c>
      <c r="F1758" s="1">
        <v>271</v>
      </c>
      <c r="G1758" s="1">
        <v>13</v>
      </c>
      <c r="H1758" s="1">
        <v>10.81</v>
      </c>
      <c r="I1758" s="1"/>
      <c r="J1758" s="1"/>
    </row>
    <row r="1759" spans="1:10" x14ac:dyDescent="0.3">
      <c r="A1759" t="str">
        <f t="shared" si="54"/>
        <v>TOF</v>
      </c>
      <c r="B1759">
        <f t="shared" si="55"/>
        <v>6326</v>
      </c>
      <c r="D1759" s="1"/>
      <c r="E1759" s="1" t="s">
        <v>122</v>
      </c>
      <c r="F1759" s="1">
        <v>286</v>
      </c>
      <c r="G1759" s="1">
        <v>9</v>
      </c>
      <c r="H1759" s="1">
        <v>10.59</v>
      </c>
      <c r="I1759" s="1"/>
      <c r="J1759" s="1"/>
    </row>
    <row r="1760" spans="1:10" x14ac:dyDescent="0.3">
      <c r="A1760" t="str">
        <f t="shared" si="54"/>
        <v>TOF</v>
      </c>
      <c r="B1760">
        <f t="shared" si="55"/>
        <v>4926</v>
      </c>
      <c r="D1760" s="1"/>
      <c r="E1760" s="1" t="s">
        <v>108</v>
      </c>
      <c r="F1760" s="1">
        <v>286</v>
      </c>
      <c r="G1760" s="1">
        <v>12</v>
      </c>
      <c r="H1760" s="1">
        <v>10.59</v>
      </c>
      <c r="I1760" s="1"/>
      <c r="J1760" s="1"/>
    </row>
    <row r="1761" spans="1:10" x14ac:dyDescent="0.3">
      <c r="A1761" t="str">
        <f t="shared" si="54"/>
        <v>TOF</v>
      </c>
      <c r="B1761">
        <f t="shared" si="55"/>
        <v>2326</v>
      </c>
      <c r="D1761" s="1"/>
      <c r="E1761" s="1" t="s">
        <v>79</v>
      </c>
      <c r="F1761" s="1">
        <v>289</v>
      </c>
      <c r="G1761" s="1">
        <v>9</v>
      </c>
      <c r="H1761" s="1">
        <v>10.55</v>
      </c>
      <c r="I1761" s="1"/>
      <c r="J1761" s="1"/>
    </row>
    <row r="1762" spans="1:10" x14ac:dyDescent="0.3">
      <c r="A1762" t="str">
        <f t="shared" si="54"/>
        <v>TOF</v>
      </c>
      <c r="B1762">
        <f t="shared" si="55"/>
        <v>1526</v>
      </c>
      <c r="D1762" s="1"/>
      <c r="E1762" s="1" t="s">
        <v>124</v>
      </c>
      <c r="F1762" s="1">
        <v>294</v>
      </c>
      <c r="G1762" s="1">
        <v>7</v>
      </c>
      <c r="H1762" s="1">
        <v>10.49</v>
      </c>
      <c r="I1762" s="1"/>
      <c r="J1762" s="1"/>
    </row>
    <row r="1763" spans="1:10" x14ac:dyDescent="0.3">
      <c r="A1763" t="str">
        <f t="shared" si="54"/>
        <v>TOF</v>
      </c>
      <c r="B1763">
        <f t="shared" si="55"/>
        <v>10326</v>
      </c>
      <c r="D1763" s="1"/>
      <c r="E1763" s="1" t="s">
        <v>134</v>
      </c>
      <c r="F1763" s="1">
        <v>297</v>
      </c>
      <c r="G1763" s="1">
        <v>11</v>
      </c>
      <c r="H1763" s="1">
        <v>10.43</v>
      </c>
      <c r="I1763" s="1"/>
      <c r="J1763" s="1"/>
    </row>
    <row r="1764" spans="1:10" x14ac:dyDescent="0.3">
      <c r="A1764" t="str">
        <f t="shared" si="54"/>
        <v>TOF</v>
      </c>
      <c r="B1764">
        <f t="shared" si="55"/>
        <v>5026</v>
      </c>
      <c r="D1764" s="1"/>
      <c r="E1764" s="1" t="s">
        <v>110</v>
      </c>
      <c r="F1764" s="1">
        <v>302</v>
      </c>
      <c r="G1764" s="1">
        <v>12</v>
      </c>
      <c r="H1764" s="1">
        <v>10.36</v>
      </c>
      <c r="I1764" s="1"/>
      <c r="J1764" s="1"/>
    </row>
    <row r="1765" spans="1:10" x14ac:dyDescent="0.3">
      <c r="A1765" t="str">
        <f t="shared" si="54"/>
        <v>TOF</v>
      </c>
      <c r="B1765">
        <f t="shared" si="55"/>
        <v>7926</v>
      </c>
      <c r="D1765" s="1"/>
      <c r="E1765" s="1" t="s">
        <v>103</v>
      </c>
      <c r="F1765" s="1">
        <v>318</v>
      </c>
      <c r="G1765" s="1">
        <v>8</v>
      </c>
      <c r="H1765" s="1">
        <v>10.029999999999999</v>
      </c>
      <c r="I1765" s="1"/>
      <c r="J1765" s="1"/>
    </row>
    <row r="1766" spans="1:10" x14ac:dyDescent="0.3">
      <c r="A1766" t="str">
        <f t="shared" si="54"/>
        <v>TOF</v>
      </c>
      <c r="B1766">
        <f t="shared" si="55"/>
        <v>9126</v>
      </c>
      <c r="D1766" s="1"/>
      <c r="E1766" s="1" t="s">
        <v>99</v>
      </c>
      <c r="F1766" s="1">
        <v>327</v>
      </c>
      <c r="G1766" s="1">
        <v>14</v>
      </c>
      <c r="H1766" s="1">
        <v>9.76</v>
      </c>
      <c r="I1766" s="1"/>
      <c r="J1766" s="1"/>
    </row>
    <row r="1767" spans="1:10" x14ac:dyDescent="0.3">
      <c r="A1767" t="str">
        <f t="shared" si="54"/>
        <v>TOF</v>
      </c>
      <c r="B1767">
        <f t="shared" si="55"/>
        <v>11326</v>
      </c>
      <c r="D1767" s="1"/>
      <c r="E1767" s="1" t="s">
        <v>126</v>
      </c>
      <c r="F1767" s="1">
        <v>330</v>
      </c>
      <c r="G1767" s="1">
        <v>10</v>
      </c>
      <c r="H1767" s="1">
        <v>9.57</v>
      </c>
      <c r="I1767" s="1"/>
      <c r="J1767" s="1"/>
    </row>
    <row r="1768" spans="1:10" x14ac:dyDescent="0.3">
      <c r="A1768" t="str">
        <f t="shared" si="54"/>
        <v>TOF</v>
      </c>
      <c r="B1768">
        <f t="shared" si="55"/>
        <v>4026</v>
      </c>
      <c r="D1768" s="1"/>
      <c r="E1768" s="1" t="s">
        <v>105</v>
      </c>
      <c r="F1768" s="1">
        <v>334</v>
      </c>
      <c r="G1768" s="1">
        <v>14</v>
      </c>
      <c r="H1768" s="1">
        <v>9.4700000000000006</v>
      </c>
      <c r="I1768" s="1"/>
      <c r="J1768" s="1"/>
    </row>
    <row r="1769" spans="1:10" x14ac:dyDescent="0.3">
      <c r="A1769" t="str">
        <f t="shared" si="54"/>
        <v>TOF</v>
      </c>
      <c r="B1769">
        <f t="shared" si="55"/>
        <v>3026</v>
      </c>
      <c r="D1769" s="1"/>
      <c r="E1769" s="1" t="s">
        <v>89</v>
      </c>
      <c r="F1769" s="1">
        <v>338</v>
      </c>
      <c r="G1769" s="1">
        <v>13</v>
      </c>
      <c r="H1769" s="1">
        <v>9.44</v>
      </c>
      <c r="I1769" s="1"/>
      <c r="J1769" s="1"/>
    </row>
    <row r="1770" spans="1:10" x14ac:dyDescent="0.3">
      <c r="A1770" t="str">
        <f t="shared" si="54"/>
        <v>TOF</v>
      </c>
      <c r="B1770">
        <f t="shared" si="55"/>
        <v>4326</v>
      </c>
      <c r="D1770" s="1"/>
      <c r="E1770" s="1" t="s">
        <v>125</v>
      </c>
      <c r="F1770" s="1">
        <v>348</v>
      </c>
      <c r="G1770" s="1">
        <v>14</v>
      </c>
      <c r="H1770" s="1">
        <v>8.7100000000000009</v>
      </c>
      <c r="I1770" s="1"/>
      <c r="J1770" s="1"/>
    </row>
    <row r="1771" spans="1:10" x14ac:dyDescent="0.3">
      <c r="A1771" t="str">
        <f t="shared" si="54"/>
        <v>TOF</v>
      </c>
      <c r="B1771">
        <f t="shared" si="55"/>
        <v>3126</v>
      </c>
      <c r="D1771" s="1"/>
      <c r="E1771" s="1" t="s">
        <v>93</v>
      </c>
      <c r="F1771" s="1">
        <v>351</v>
      </c>
      <c r="G1771" s="1">
        <v>11</v>
      </c>
      <c r="H1771" s="1">
        <v>7.6</v>
      </c>
      <c r="I1771" s="1"/>
      <c r="J1771" s="1"/>
    </row>
    <row r="1772" spans="1:10" x14ac:dyDescent="0.3">
      <c r="A1772" t="str">
        <f t="shared" si="54"/>
        <v>TPG</v>
      </c>
      <c r="B1772">
        <f t="shared" si="55"/>
        <v>2627</v>
      </c>
      <c r="D1772" s="1" t="s">
        <v>180</v>
      </c>
      <c r="E1772" s="1" t="s">
        <v>80</v>
      </c>
      <c r="F1772" s="1">
        <v>1</v>
      </c>
      <c r="G1772" s="1">
        <v>1</v>
      </c>
      <c r="H1772" s="1">
        <v>8.1</v>
      </c>
      <c r="I1772" s="1" t="s">
        <v>80</v>
      </c>
      <c r="J1772" s="1">
        <v>8.1</v>
      </c>
    </row>
    <row r="1773" spans="1:10" x14ac:dyDescent="0.3">
      <c r="A1773" t="str">
        <f t="shared" si="54"/>
        <v>TPG</v>
      </c>
      <c r="B1773">
        <f t="shared" si="55"/>
        <v>6227</v>
      </c>
      <c r="D1773" s="1"/>
      <c r="E1773" s="1" t="s">
        <v>81</v>
      </c>
      <c r="F1773" s="1">
        <v>6</v>
      </c>
      <c r="G1773" s="1">
        <v>1</v>
      </c>
      <c r="H1773" s="1">
        <v>8.8000000000000007</v>
      </c>
      <c r="I1773" s="1"/>
      <c r="J1773" s="1"/>
    </row>
    <row r="1774" spans="1:10" x14ac:dyDescent="0.3">
      <c r="A1774" t="str">
        <f t="shared" si="54"/>
        <v>TPG</v>
      </c>
      <c r="B1774">
        <f t="shared" si="55"/>
        <v>2827</v>
      </c>
      <c r="D1774" s="1"/>
      <c r="E1774" s="1" t="s">
        <v>106</v>
      </c>
      <c r="F1774" s="1">
        <v>7</v>
      </c>
      <c r="G1774" s="1">
        <v>1</v>
      </c>
      <c r="H1774" s="1">
        <v>8.9</v>
      </c>
      <c r="I1774" s="1"/>
      <c r="J1774" s="1"/>
    </row>
    <row r="1775" spans="1:10" x14ac:dyDescent="0.3">
      <c r="A1775" t="str">
        <f t="shared" si="54"/>
        <v>TPG</v>
      </c>
      <c r="B1775">
        <f t="shared" si="55"/>
        <v>7927</v>
      </c>
      <c r="D1775" s="1"/>
      <c r="E1775" s="1" t="s">
        <v>103</v>
      </c>
      <c r="F1775" s="1">
        <v>9</v>
      </c>
      <c r="G1775" s="1">
        <v>1</v>
      </c>
      <c r="H1775" s="1">
        <v>9.1999999999999993</v>
      </c>
      <c r="I1775" s="1"/>
      <c r="J1775" s="1"/>
    </row>
    <row r="1776" spans="1:10" x14ac:dyDescent="0.3">
      <c r="A1776" t="str">
        <f t="shared" si="54"/>
        <v>TPG</v>
      </c>
      <c r="B1776">
        <f t="shared" si="55"/>
        <v>1927</v>
      </c>
      <c r="D1776" s="1"/>
      <c r="E1776" s="1" t="s">
        <v>112</v>
      </c>
      <c r="F1776" s="1">
        <v>12</v>
      </c>
      <c r="G1776" s="1">
        <v>3</v>
      </c>
      <c r="H1776" s="1">
        <v>9.6</v>
      </c>
      <c r="I1776" s="1"/>
      <c r="J1776" s="1"/>
    </row>
    <row r="1777" spans="1:10" x14ac:dyDescent="0.3">
      <c r="A1777" t="str">
        <f t="shared" si="54"/>
        <v>TPG</v>
      </c>
      <c r="B1777">
        <f t="shared" si="55"/>
        <v>2327</v>
      </c>
      <c r="D1777" s="1"/>
      <c r="E1777" s="1" t="s">
        <v>79</v>
      </c>
      <c r="F1777" s="1">
        <v>13</v>
      </c>
      <c r="G1777" s="1">
        <v>1</v>
      </c>
      <c r="H1777" s="1">
        <v>9.6</v>
      </c>
      <c r="I1777" s="1"/>
      <c r="J1777" s="1"/>
    </row>
    <row r="1778" spans="1:10" x14ac:dyDescent="0.3">
      <c r="A1778" t="str">
        <f t="shared" si="54"/>
        <v>TPG</v>
      </c>
      <c r="B1778">
        <f t="shared" si="55"/>
        <v>12527</v>
      </c>
      <c r="D1778" s="1"/>
      <c r="E1778" s="1" t="s">
        <v>95</v>
      </c>
      <c r="F1778" s="1">
        <v>14</v>
      </c>
      <c r="G1778" s="1">
        <v>2</v>
      </c>
      <c r="H1778" s="1">
        <v>9.6</v>
      </c>
      <c r="I1778" s="1"/>
      <c r="J1778" s="1"/>
    </row>
    <row r="1779" spans="1:10" x14ac:dyDescent="0.3">
      <c r="A1779" t="str">
        <f t="shared" si="54"/>
        <v>TPG</v>
      </c>
      <c r="B1779">
        <f t="shared" si="55"/>
        <v>3627</v>
      </c>
      <c r="D1779" s="1"/>
      <c r="E1779" s="1" t="s">
        <v>129</v>
      </c>
      <c r="F1779" s="1">
        <v>17</v>
      </c>
      <c r="G1779" s="1">
        <v>1</v>
      </c>
      <c r="H1779" s="1">
        <v>9.6</v>
      </c>
      <c r="I1779" s="1"/>
      <c r="J1779" s="1"/>
    </row>
    <row r="1780" spans="1:10" x14ac:dyDescent="0.3">
      <c r="A1780" t="str">
        <f t="shared" si="54"/>
        <v>TPG</v>
      </c>
      <c r="B1780">
        <f t="shared" si="55"/>
        <v>9527</v>
      </c>
      <c r="D1780" s="1"/>
      <c r="E1780" s="1" t="s">
        <v>85</v>
      </c>
      <c r="F1780" s="1">
        <v>20</v>
      </c>
      <c r="G1780" s="1">
        <v>2</v>
      </c>
      <c r="H1780" s="1">
        <v>9.6</v>
      </c>
      <c r="I1780" s="1"/>
      <c r="J1780" s="1"/>
    </row>
    <row r="1781" spans="1:10" x14ac:dyDescent="0.3">
      <c r="A1781" t="str">
        <f t="shared" si="54"/>
        <v>TPG</v>
      </c>
      <c r="B1781">
        <f t="shared" si="55"/>
        <v>227</v>
      </c>
      <c r="D1781" s="1"/>
      <c r="E1781" s="1" t="s">
        <v>98</v>
      </c>
      <c r="F1781" s="1">
        <v>21</v>
      </c>
      <c r="G1781" s="1">
        <v>1</v>
      </c>
      <c r="H1781" s="1">
        <v>9.6999999999999993</v>
      </c>
      <c r="I1781" s="1"/>
      <c r="J1781" s="1"/>
    </row>
    <row r="1782" spans="1:10" x14ac:dyDescent="0.3">
      <c r="A1782" t="str">
        <f t="shared" si="54"/>
        <v>TPG</v>
      </c>
      <c r="B1782">
        <f t="shared" si="55"/>
        <v>5427</v>
      </c>
      <c r="D1782" s="1"/>
      <c r="E1782" s="1" t="s">
        <v>94</v>
      </c>
      <c r="F1782" s="1">
        <v>23</v>
      </c>
      <c r="G1782" s="1">
        <v>4</v>
      </c>
      <c r="H1782" s="1">
        <v>9.6999999999999993</v>
      </c>
      <c r="I1782" s="1"/>
      <c r="J1782" s="1"/>
    </row>
    <row r="1783" spans="1:10" x14ac:dyDescent="0.3">
      <c r="A1783" t="str">
        <f t="shared" si="54"/>
        <v>TPG</v>
      </c>
      <c r="B1783">
        <f t="shared" si="55"/>
        <v>4427</v>
      </c>
      <c r="D1783" s="1"/>
      <c r="E1783" s="1" t="s">
        <v>83</v>
      </c>
      <c r="F1783" s="1">
        <v>27</v>
      </c>
      <c r="G1783" s="1">
        <v>1</v>
      </c>
      <c r="H1783" s="1">
        <v>9.8000000000000007</v>
      </c>
      <c r="I1783" s="1"/>
      <c r="J1783" s="1"/>
    </row>
    <row r="1784" spans="1:10" x14ac:dyDescent="0.3">
      <c r="A1784" t="str">
        <f t="shared" si="54"/>
        <v>TPG</v>
      </c>
      <c r="B1784">
        <f t="shared" si="55"/>
        <v>11627</v>
      </c>
      <c r="D1784" s="1"/>
      <c r="E1784" s="1" t="s">
        <v>121</v>
      </c>
      <c r="F1784" s="1">
        <v>29</v>
      </c>
      <c r="G1784" s="1">
        <v>1</v>
      </c>
      <c r="H1784" s="1">
        <v>9.9</v>
      </c>
      <c r="I1784" s="1"/>
      <c r="J1784" s="1"/>
    </row>
    <row r="1785" spans="1:10" x14ac:dyDescent="0.3">
      <c r="A1785" t="str">
        <f t="shared" si="54"/>
        <v>TPG</v>
      </c>
      <c r="B1785">
        <f t="shared" si="55"/>
        <v>11527</v>
      </c>
      <c r="D1785" s="1"/>
      <c r="E1785" s="1" t="s">
        <v>97</v>
      </c>
      <c r="F1785" s="1">
        <v>32</v>
      </c>
      <c r="G1785" s="1">
        <v>3</v>
      </c>
      <c r="H1785" s="1">
        <v>9.9</v>
      </c>
      <c r="I1785" s="1"/>
      <c r="J1785" s="1"/>
    </row>
    <row r="1786" spans="1:10" x14ac:dyDescent="0.3">
      <c r="A1786" t="str">
        <f t="shared" si="54"/>
        <v>TPG</v>
      </c>
      <c r="B1786">
        <f t="shared" si="55"/>
        <v>4227</v>
      </c>
      <c r="D1786" s="1"/>
      <c r="E1786" s="1" t="s">
        <v>123</v>
      </c>
      <c r="F1786" s="1">
        <v>33</v>
      </c>
      <c r="G1786" s="1">
        <v>3</v>
      </c>
      <c r="H1786" s="1">
        <v>9.9</v>
      </c>
      <c r="I1786" s="1"/>
      <c r="J1786" s="1"/>
    </row>
    <row r="1787" spans="1:10" x14ac:dyDescent="0.3">
      <c r="A1787" t="str">
        <f t="shared" si="54"/>
        <v>TPG</v>
      </c>
      <c r="B1787">
        <f t="shared" si="55"/>
        <v>3327</v>
      </c>
      <c r="D1787" s="1"/>
      <c r="E1787" s="1" t="s">
        <v>91</v>
      </c>
      <c r="F1787" s="1">
        <v>34</v>
      </c>
      <c r="G1787" s="1">
        <v>3</v>
      </c>
      <c r="H1787" s="1">
        <v>10</v>
      </c>
      <c r="I1787" s="1"/>
      <c r="J1787" s="1"/>
    </row>
    <row r="1788" spans="1:10" x14ac:dyDescent="0.3">
      <c r="A1788" t="str">
        <f t="shared" si="54"/>
        <v>TPG</v>
      </c>
      <c r="B1788">
        <f t="shared" si="55"/>
        <v>927</v>
      </c>
      <c r="D1788" s="1"/>
      <c r="E1788" s="1" t="s">
        <v>90</v>
      </c>
      <c r="F1788" s="1">
        <v>35</v>
      </c>
      <c r="G1788" s="1">
        <v>4</v>
      </c>
      <c r="H1788" s="1">
        <v>10</v>
      </c>
      <c r="I1788" s="1"/>
      <c r="J1788" s="1"/>
    </row>
    <row r="1789" spans="1:10" x14ac:dyDescent="0.3">
      <c r="A1789" t="str">
        <f t="shared" si="54"/>
        <v>TPG</v>
      </c>
      <c r="B1789">
        <f t="shared" si="55"/>
        <v>4727</v>
      </c>
      <c r="D1789" s="1"/>
      <c r="E1789" s="1" t="s">
        <v>107</v>
      </c>
      <c r="F1789" s="1">
        <v>37</v>
      </c>
      <c r="G1789" s="1">
        <v>1</v>
      </c>
      <c r="H1789" s="1">
        <v>10</v>
      </c>
      <c r="I1789" s="1"/>
      <c r="J1789" s="1"/>
    </row>
    <row r="1790" spans="1:10" x14ac:dyDescent="0.3">
      <c r="A1790" t="str">
        <f t="shared" si="54"/>
        <v>TPG</v>
      </c>
      <c r="B1790">
        <f t="shared" si="55"/>
        <v>4627</v>
      </c>
      <c r="D1790" s="1"/>
      <c r="E1790" s="1" t="s">
        <v>101</v>
      </c>
      <c r="F1790" s="1">
        <v>39</v>
      </c>
      <c r="G1790" s="1">
        <v>2</v>
      </c>
      <c r="H1790" s="1">
        <v>10.1</v>
      </c>
      <c r="I1790" s="1"/>
      <c r="J1790" s="1"/>
    </row>
    <row r="1791" spans="1:10" x14ac:dyDescent="0.3">
      <c r="A1791" t="str">
        <f t="shared" si="54"/>
        <v>TPG</v>
      </c>
      <c r="B1791">
        <f t="shared" si="55"/>
        <v>4927</v>
      </c>
      <c r="D1791" s="1"/>
      <c r="E1791" s="1" t="s">
        <v>108</v>
      </c>
      <c r="F1791" s="1">
        <v>40</v>
      </c>
      <c r="G1791" s="1">
        <v>5</v>
      </c>
      <c r="H1791" s="1">
        <v>10.1</v>
      </c>
      <c r="I1791" s="1"/>
      <c r="J1791" s="1"/>
    </row>
    <row r="1792" spans="1:10" x14ac:dyDescent="0.3">
      <c r="A1792" t="str">
        <f t="shared" si="54"/>
        <v>TPG</v>
      </c>
      <c r="B1792">
        <f t="shared" si="55"/>
        <v>4027</v>
      </c>
      <c r="D1792" s="1"/>
      <c r="E1792" s="1" t="s">
        <v>105</v>
      </c>
      <c r="F1792" s="1">
        <v>41</v>
      </c>
      <c r="G1792" s="1">
        <v>6</v>
      </c>
      <c r="H1792" s="1">
        <v>10.1</v>
      </c>
      <c r="I1792" s="1"/>
      <c r="J1792" s="1"/>
    </row>
    <row r="1793" spans="1:10" x14ac:dyDescent="0.3">
      <c r="A1793" t="str">
        <f t="shared" si="54"/>
        <v>TPG</v>
      </c>
      <c r="B1793">
        <f t="shared" si="55"/>
        <v>9127</v>
      </c>
      <c r="D1793" s="1"/>
      <c r="E1793" s="1" t="s">
        <v>99</v>
      </c>
      <c r="F1793" s="1">
        <v>42</v>
      </c>
      <c r="G1793" s="1">
        <v>2</v>
      </c>
      <c r="H1793" s="1">
        <v>10.1</v>
      </c>
      <c r="I1793" s="1"/>
      <c r="J1793" s="1"/>
    </row>
    <row r="1794" spans="1:10" x14ac:dyDescent="0.3">
      <c r="A1794" t="str">
        <f t="shared" ref="A1794:A1857" si="56">IF(NOT(D1794=""),INDEX(statAbbr,MATCH(D1794,statOfficial,0),1),A1793)</f>
        <v>TPG</v>
      </c>
      <c r="B1794">
        <f t="shared" ref="B1794:B1857" si="57">INDEX(statID,MATCH(A1794,statAbbr,0),1)+INDEX(teamID,MATCH(E1794,teamRawName,0))</f>
        <v>6927</v>
      </c>
      <c r="D1794" s="1"/>
      <c r="E1794" s="1" t="s">
        <v>114</v>
      </c>
      <c r="F1794" s="1">
        <v>45</v>
      </c>
      <c r="G1794" s="1">
        <v>1</v>
      </c>
      <c r="H1794" s="1">
        <v>10.199999999999999</v>
      </c>
      <c r="I1794" s="1"/>
      <c r="J1794" s="1"/>
    </row>
    <row r="1795" spans="1:10" x14ac:dyDescent="0.3">
      <c r="A1795" t="str">
        <f t="shared" si="56"/>
        <v>TPG</v>
      </c>
      <c r="B1795">
        <f t="shared" si="57"/>
        <v>3527</v>
      </c>
      <c r="D1795" s="1"/>
      <c r="E1795" s="1" t="s">
        <v>87</v>
      </c>
      <c r="F1795" s="1">
        <v>47</v>
      </c>
      <c r="G1795" s="1">
        <v>3</v>
      </c>
      <c r="H1795" s="1">
        <v>10.199999999999999</v>
      </c>
      <c r="I1795" s="1"/>
      <c r="J1795" s="1"/>
    </row>
    <row r="1796" spans="1:10" x14ac:dyDescent="0.3">
      <c r="A1796" t="str">
        <f t="shared" si="56"/>
        <v>TPG</v>
      </c>
      <c r="B1796">
        <f t="shared" si="57"/>
        <v>2527</v>
      </c>
      <c r="D1796" s="1"/>
      <c r="E1796" s="1" t="s">
        <v>92</v>
      </c>
      <c r="F1796" s="1">
        <v>48</v>
      </c>
      <c r="G1796" s="1">
        <v>2</v>
      </c>
      <c r="H1796" s="1">
        <v>10.199999999999999</v>
      </c>
      <c r="I1796" s="1"/>
      <c r="J1796" s="1"/>
    </row>
    <row r="1797" spans="1:10" x14ac:dyDescent="0.3">
      <c r="A1797" t="str">
        <f t="shared" si="56"/>
        <v>TPG</v>
      </c>
      <c r="B1797">
        <f t="shared" si="57"/>
        <v>5027</v>
      </c>
      <c r="D1797" s="1"/>
      <c r="E1797" s="1" t="s">
        <v>110</v>
      </c>
      <c r="F1797" s="1">
        <v>56</v>
      </c>
      <c r="G1797" s="1">
        <v>3</v>
      </c>
      <c r="H1797" s="1">
        <v>10.4</v>
      </c>
      <c r="I1797" s="1"/>
      <c r="J1797" s="1"/>
    </row>
    <row r="1798" spans="1:10" x14ac:dyDescent="0.3">
      <c r="A1798" t="str">
        <f t="shared" si="56"/>
        <v>TPG</v>
      </c>
      <c r="B1798">
        <f t="shared" si="57"/>
        <v>1327</v>
      </c>
      <c r="D1798" s="1"/>
      <c r="E1798" s="1" t="s">
        <v>82</v>
      </c>
      <c r="F1798" s="1">
        <v>61</v>
      </c>
      <c r="G1798" s="1">
        <v>3</v>
      </c>
      <c r="H1798" s="1">
        <v>10.4</v>
      </c>
      <c r="I1798" s="1"/>
      <c r="J1798" s="1"/>
    </row>
    <row r="1799" spans="1:10" x14ac:dyDescent="0.3">
      <c r="A1799" t="str">
        <f t="shared" si="56"/>
        <v>TPG</v>
      </c>
      <c r="B1799">
        <f t="shared" si="57"/>
        <v>627</v>
      </c>
      <c r="D1799" s="1"/>
      <c r="E1799" s="1" t="s">
        <v>100</v>
      </c>
      <c r="F1799" s="1">
        <v>64</v>
      </c>
      <c r="G1799" s="1">
        <v>2</v>
      </c>
      <c r="H1799" s="1">
        <v>10.5</v>
      </c>
      <c r="I1799" s="1"/>
      <c r="J1799" s="1"/>
    </row>
    <row r="1800" spans="1:10" x14ac:dyDescent="0.3">
      <c r="A1800" t="str">
        <f t="shared" si="56"/>
        <v>TPG</v>
      </c>
      <c r="B1800">
        <f t="shared" si="57"/>
        <v>8427</v>
      </c>
      <c r="D1800" s="1"/>
      <c r="E1800" s="1" t="s">
        <v>109</v>
      </c>
      <c r="F1800" s="1">
        <v>67</v>
      </c>
      <c r="G1800" s="1">
        <v>2</v>
      </c>
      <c r="H1800" s="1">
        <v>10.5</v>
      </c>
      <c r="I1800" s="1"/>
      <c r="J1800" s="1"/>
    </row>
    <row r="1801" spans="1:10" x14ac:dyDescent="0.3">
      <c r="A1801" t="str">
        <f t="shared" si="56"/>
        <v>TPG</v>
      </c>
      <c r="B1801">
        <f t="shared" si="57"/>
        <v>11327</v>
      </c>
      <c r="D1801" s="1"/>
      <c r="E1801" s="1" t="s">
        <v>126</v>
      </c>
      <c r="F1801" s="1">
        <v>68</v>
      </c>
      <c r="G1801" s="1">
        <v>4</v>
      </c>
      <c r="H1801" s="1">
        <v>10.5</v>
      </c>
      <c r="I1801" s="1"/>
      <c r="J1801" s="1"/>
    </row>
    <row r="1802" spans="1:10" x14ac:dyDescent="0.3">
      <c r="A1802" t="str">
        <f t="shared" si="56"/>
        <v>TPG</v>
      </c>
      <c r="B1802">
        <f t="shared" si="57"/>
        <v>4327</v>
      </c>
      <c r="D1802" s="1"/>
      <c r="E1802" s="1" t="s">
        <v>125</v>
      </c>
      <c r="F1802" s="1">
        <v>69</v>
      </c>
      <c r="G1802" s="1">
        <v>5</v>
      </c>
      <c r="H1802" s="1">
        <v>10.6</v>
      </c>
      <c r="I1802" s="1"/>
      <c r="J1802" s="1"/>
    </row>
    <row r="1803" spans="1:10" x14ac:dyDescent="0.3">
      <c r="A1803" t="str">
        <f t="shared" si="56"/>
        <v>TPG</v>
      </c>
      <c r="B1803">
        <f t="shared" si="57"/>
        <v>3127</v>
      </c>
      <c r="D1803" s="1"/>
      <c r="E1803" s="1" t="s">
        <v>93</v>
      </c>
      <c r="F1803" s="1">
        <v>72</v>
      </c>
      <c r="G1803" s="1">
        <v>4</v>
      </c>
      <c r="H1803" s="1">
        <v>10.6</v>
      </c>
      <c r="I1803" s="1"/>
      <c r="J1803" s="1"/>
    </row>
    <row r="1804" spans="1:10" x14ac:dyDescent="0.3">
      <c r="A1804" t="str">
        <f t="shared" si="56"/>
        <v>TPG</v>
      </c>
      <c r="B1804">
        <f t="shared" si="57"/>
        <v>5527</v>
      </c>
      <c r="D1804" s="1"/>
      <c r="E1804" s="1" t="s">
        <v>86</v>
      </c>
      <c r="F1804" s="1">
        <v>74</v>
      </c>
      <c r="G1804" s="1">
        <v>5</v>
      </c>
      <c r="H1804" s="1">
        <v>10.7</v>
      </c>
      <c r="I1804" s="1"/>
      <c r="J1804" s="1"/>
    </row>
    <row r="1805" spans="1:10" x14ac:dyDescent="0.3">
      <c r="A1805" t="str">
        <f t="shared" si="56"/>
        <v>TPG</v>
      </c>
      <c r="B1805">
        <f t="shared" si="57"/>
        <v>4527</v>
      </c>
      <c r="D1805" s="1"/>
      <c r="E1805" s="1" t="s">
        <v>84</v>
      </c>
      <c r="F1805" s="1">
        <v>76</v>
      </c>
      <c r="G1805" s="1">
        <v>6</v>
      </c>
      <c r="H1805" s="1">
        <v>10.7</v>
      </c>
      <c r="I1805" s="1"/>
      <c r="J1805" s="1"/>
    </row>
    <row r="1806" spans="1:10" x14ac:dyDescent="0.3">
      <c r="A1806" t="str">
        <f t="shared" si="56"/>
        <v>TPG</v>
      </c>
      <c r="B1806">
        <f t="shared" si="57"/>
        <v>2727</v>
      </c>
      <c r="D1806" s="1"/>
      <c r="E1806" s="1" t="s">
        <v>7</v>
      </c>
      <c r="F1806" s="1">
        <v>78</v>
      </c>
      <c r="G1806" s="1">
        <v>3</v>
      </c>
      <c r="H1806" s="1">
        <v>10.7</v>
      </c>
      <c r="I1806" s="1"/>
      <c r="J1806" s="1"/>
    </row>
    <row r="1807" spans="1:10" x14ac:dyDescent="0.3">
      <c r="A1807" t="str">
        <f t="shared" si="56"/>
        <v>TPG</v>
      </c>
      <c r="B1807">
        <f t="shared" si="57"/>
        <v>4827</v>
      </c>
      <c r="D1807" s="1"/>
      <c r="E1807" s="1" t="s">
        <v>104</v>
      </c>
      <c r="F1807" s="1">
        <v>92</v>
      </c>
      <c r="G1807" s="1">
        <v>3</v>
      </c>
      <c r="H1807" s="1">
        <v>10.9</v>
      </c>
      <c r="I1807" s="1"/>
      <c r="J1807" s="1"/>
    </row>
    <row r="1808" spans="1:10" x14ac:dyDescent="0.3">
      <c r="A1808" t="str">
        <f t="shared" si="56"/>
        <v>TPG</v>
      </c>
      <c r="B1808">
        <f t="shared" si="57"/>
        <v>10327</v>
      </c>
      <c r="D1808" s="1"/>
      <c r="E1808" s="1" t="s">
        <v>134</v>
      </c>
      <c r="F1808" s="1">
        <v>98</v>
      </c>
      <c r="G1808" s="1">
        <v>4</v>
      </c>
      <c r="H1808" s="1">
        <v>10.9</v>
      </c>
      <c r="I1808" s="1"/>
      <c r="J1808" s="1"/>
    </row>
    <row r="1809" spans="1:10" x14ac:dyDescent="0.3">
      <c r="A1809" t="str">
        <f t="shared" si="56"/>
        <v>TPG</v>
      </c>
      <c r="B1809">
        <f t="shared" si="57"/>
        <v>1427</v>
      </c>
      <c r="D1809" s="1"/>
      <c r="E1809" s="1" t="s">
        <v>102</v>
      </c>
      <c r="F1809" s="1">
        <v>99</v>
      </c>
      <c r="G1809" s="1">
        <v>5</v>
      </c>
      <c r="H1809" s="1">
        <v>11</v>
      </c>
      <c r="I1809" s="1"/>
      <c r="J1809" s="1"/>
    </row>
    <row r="1810" spans="1:10" x14ac:dyDescent="0.3">
      <c r="A1810" t="str">
        <f t="shared" si="56"/>
        <v>TPG</v>
      </c>
      <c r="B1810">
        <f t="shared" si="57"/>
        <v>8027</v>
      </c>
      <c r="D1810" s="1"/>
      <c r="E1810" s="1" t="s">
        <v>117</v>
      </c>
      <c r="F1810" s="1">
        <v>99</v>
      </c>
      <c r="G1810" s="1">
        <v>3</v>
      </c>
      <c r="H1810" s="1">
        <v>11</v>
      </c>
      <c r="I1810" s="1"/>
      <c r="J1810" s="1"/>
    </row>
    <row r="1811" spans="1:10" x14ac:dyDescent="0.3">
      <c r="A1811" t="str">
        <f t="shared" si="56"/>
        <v>TPG</v>
      </c>
      <c r="B1811">
        <f t="shared" si="57"/>
        <v>7327</v>
      </c>
      <c r="D1811" s="1"/>
      <c r="E1811" s="1" t="s">
        <v>111</v>
      </c>
      <c r="F1811" s="1">
        <v>107</v>
      </c>
      <c r="G1811" s="1">
        <v>7</v>
      </c>
      <c r="H1811" s="1">
        <v>11.1</v>
      </c>
      <c r="I1811" s="1"/>
      <c r="J1811" s="1"/>
    </row>
    <row r="1812" spans="1:10" x14ac:dyDescent="0.3">
      <c r="A1812" t="str">
        <f t="shared" si="56"/>
        <v>TPG</v>
      </c>
      <c r="B1812">
        <f t="shared" si="57"/>
        <v>2127</v>
      </c>
      <c r="D1812" s="1"/>
      <c r="E1812" s="1" t="s">
        <v>136</v>
      </c>
      <c r="F1812" s="1">
        <v>108</v>
      </c>
      <c r="G1812" s="1">
        <v>7</v>
      </c>
      <c r="H1812" s="1">
        <v>11.1</v>
      </c>
      <c r="I1812" s="1"/>
      <c r="J1812" s="1"/>
    </row>
    <row r="1813" spans="1:10" x14ac:dyDescent="0.3">
      <c r="A1813" t="str">
        <f t="shared" si="56"/>
        <v>TPG</v>
      </c>
      <c r="B1813">
        <f t="shared" si="57"/>
        <v>7227</v>
      </c>
      <c r="D1813" s="1"/>
      <c r="E1813" s="1" t="s">
        <v>116</v>
      </c>
      <c r="F1813" s="1">
        <v>112</v>
      </c>
      <c r="G1813" s="1">
        <v>4</v>
      </c>
      <c r="H1813" s="1">
        <v>11.1</v>
      </c>
      <c r="I1813" s="1"/>
      <c r="J1813" s="1"/>
    </row>
    <row r="1814" spans="1:10" x14ac:dyDescent="0.3">
      <c r="A1814" t="str">
        <f t="shared" si="56"/>
        <v>TPG</v>
      </c>
      <c r="B1814">
        <f t="shared" si="57"/>
        <v>1227</v>
      </c>
      <c r="D1814" s="1"/>
      <c r="E1814" s="1" t="s">
        <v>130</v>
      </c>
      <c r="F1814" s="1">
        <v>119</v>
      </c>
      <c r="G1814" s="1">
        <v>8</v>
      </c>
      <c r="H1814" s="1">
        <v>11.2</v>
      </c>
      <c r="I1814" s="1"/>
      <c r="J1814" s="1"/>
    </row>
    <row r="1815" spans="1:10" x14ac:dyDescent="0.3">
      <c r="A1815" t="str">
        <f t="shared" si="56"/>
        <v>TPG</v>
      </c>
      <c r="B1815">
        <f t="shared" si="57"/>
        <v>8227</v>
      </c>
      <c r="D1815" s="1"/>
      <c r="E1815" s="1" t="s">
        <v>131</v>
      </c>
      <c r="F1815" s="1">
        <v>125</v>
      </c>
      <c r="G1815" s="1">
        <v>3</v>
      </c>
      <c r="H1815" s="1">
        <v>11.3</v>
      </c>
      <c r="I1815" s="1"/>
      <c r="J1815" s="1"/>
    </row>
    <row r="1816" spans="1:10" x14ac:dyDescent="0.3">
      <c r="A1816" t="str">
        <f t="shared" si="56"/>
        <v>TPG</v>
      </c>
      <c r="B1816">
        <f t="shared" si="57"/>
        <v>1727</v>
      </c>
      <c r="D1816" s="1"/>
      <c r="E1816" s="1" t="s">
        <v>133</v>
      </c>
      <c r="F1816" s="1">
        <v>130</v>
      </c>
      <c r="G1816" s="1">
        <v>6</v>
      </c>
      <c r="H1816" s="1">
        <v>11.3</v>
      </c>
      <c r="I1816" s="1"/>
      <c r="J1816" s="1"/>
    </row>
    <row r="1817" spans="1:10" x14ac:dyDescent="0.3">
      <c r="A1817" t="str">
        <f t="shared" si="56"/>
        <v>TPG</v>
      </c>
      <c r="B1817">
        <f t="shared" si="57"/>
        <v>3027</v>
      </c>
      <c r="D1817" s="1"/>
      <c r="E1817" s="1" t="s">
        <v>89</v>
      </c>
      <c r="F1817" s="1">
        <v>133</v>
      </c>
      <c r="G1817" s="1">
        <v>9</v>
      </c>
      <c r="H1817" s="1">
        <v>11.3</v>
      </c>
      <c r="I1817" s="1"/>
      <c r="J1817" s="1"/>
    </row>
    <row r="1818" spans="1:10" x14ac:dyDescent="0.3">
      <c r="A1818" t="str">
        <f t="shared" si="56"/>
        <v>TPG</v>
      </c>
      <c r="B1818">
        <f t="shared" si="57"/>
        <v>2227</v>
      </c>
      <c r="D1818" s="1"/>
      <c r="E1818" s="1" t="s">
        <v>119</v>
      </c>
      <c r="F1818" s="1">
        <v>139</v>
      </c>
      <c r="G1818" s="1">
        <v>9</v>
      </c>
      <c r="H1818" s="1">
        <v>11.4</v>
      </c>
      <c r="I1818" s="1"/>
      <c r="J1818" s="1"/>
    </row>
    <row r="1819" spans="1:10" x14ac:dyDescent="0.3">
      <c r="A1819" t="str">
        <f t="shared" si="56"/>
        <v>TPG</v>
      </c>
      <c r="B1819">
        <f t="shared" si="57"/>
        <v>6727</v>
      </c>
      <c r="D1819" s="1"/>
      <c r="E1819" s="1" t="s">
        <v>118</v>
      </c>
      <c r="F1819" s="1">
        <v>149</v>
      </c>
      <c r="G1819" s="1">
        <v>5</v>
      </c>
      <c r="H1819" s="1">
        <v>11.6</v>
      </c>
      <c r="I1819" s="1"/>
      <c r="J1819" s="1"/>
    </row>
    <row r="1820" spans="1:10" x14ac:dyDescent="0.3">
      <c r="A1820" t="str">
        <f t="shared" si="56"/>
        <v>TPG</v>
      </c>
      <c r="B1820">
        <f t="shared" si="57"/>
        <v>12727</v>
      </c>
      <c r="D1820" s="1"/>
      <c r="E1820" s="1" t="s">
        <v>13</v>
      </c>
      <c r="F1820" s="1">
        <v>155</v>
      </c>
      <c r="G1820" s="1">
        <v>10</v>
      </c>
      <c r="H1820" s="1">
        <v>11.6</v>
      </c>
      <c r="I1820" s="1"/>
      <c r="J1820" s="1"/>
    </row>
    <row r="1821" spans="1:10" x14ac:dyDescent="0.3">
      <c r="A1821" t="str">
        <f t="shared" si="56"/>
        <v>TPG</v>
      </c>
      <c r="B1821">
        <f t="shared" si="57"/>
        <v>12027</v>
      </c>
      <c r="D1821" s="1"/>
      <c r="E1821" s="1" t="s">
        <v>135</v>
      </c>
      <c r="F1821" s="1">
        <v>164</v>
      </c>
      <c r="G1821" s="1">
        <v>7</v>
      </c>
      <c r="H1821" s="1">
        <v>11.7</v>
      </c>
      <c r="I1821" s="1"/>
      <c r="J1821" s="1"/>
    </row>
    <row r="1822" spans="1:10" x14ac:dyDescent="0.3">
      <c r="A1822" t="str">
        <f t="shared" si="56"/>
        <v>TPG</v>
      </c>
      <c r="B1822">
        <f t="shared" si="57"/>
        <v>5727</v>
      </c>
      <c r="D1822" s="1"/>
      <c r="E1822" s="1" t="s">
        <v>120</v>
      </c>
      <c r="F1822" s="1">
        <v>165</v>
      </c>
      <c r="G1822" s="1">
        <v>10</v>
      </c>
      <c r="H1822" s="1">
        <v>11.7</v>
      </c>
      <c r="I1822" s="1"/>
      <c r="J1822" s="1"/>
    </row>
    <row r="1823" spans="1:10" x14ac:dyDescent="0.3">
      <c r="A1823" t="str">
        <f t="shared" si="56"/>
        <v>TPG</v>
      </c>
      <c r="B1823">
        <f t="shared" si="57"/>
        <v>3927</v>
      </c>
      <c r="D1823" s="1"/>
      <c r="E1823" s="1" t="s">
        <v>88</v>
      </c>
      <c r="F1823" s="1">
        <v>167</v>
      </c>
      <c r="G1823" s="1">
        <v>6</v>
      </c>
      <c r="H1823" s="1">
        <v>11.7</v>
      </c>
      <c r="I1823" s="1"/>
      <c r="J1823" s="1"/>
    </row>
    <row r="1824" spans="1:10" x14ac:dyDescent="0.3">
      <c r="A1824" t="str">
        <f t="shared" si="56"/>
        <v>TPG</v>
      </c>
      <c r="B1824">
        <f t="shared" si="57"/>
        <v>12927</v>
      </c>
      <c r="D1824" s="1"/>
      <c r="E1824" s="1" t="s">
        <v>132</v>
      </c>
      <c r="F1824" s="1">
        <v>169</v>
      </c>
      <c r="G1824" s="1">
        <v>8</v>
      </c>
      <c r="H1824" s="1">
        <v>11.7</v>
      </c>
      <c r="I1824" s="1"/>
      <c r="J1824" s="1"/>
    </row>
    <row r="1825" spans="1:10" x14ac:dyDescent="0.3">
      <c r="A1825" t="str">
        <f t="shared" si="56"/>
        <v>TPG</v>
      </c>
      <c r="B1825">
        <f t="shared" si="57"/>
        <v>1527</v>
      </c>
      <c r="D1825" s="1"/>
      <c r="E1825" s="1" t="s">
        <v>124</v>
      </c>
      <c r="F1825" s="1">
        <v>175</v>
      </c>
      <c r="G1825" s="1">
        <v>4</v>
      </c>
      <c r="H1825" s="1">
        <v>11.8</v>
      </c>
      <c r="I1825" s="1"/>
      <c r="J1825" s="1"/>
    </row>
    <row r="1826" spans="1:10" x14ac:dyDescent="0.3">
      <c r="A1826" t="str">
        <f t="shared" si="56"/>
        <v>TPG</v>
      </c>
      <c r="B1826">
        <f t="shared" si="57"/>
        <v>3727</v>
      </c>
      <c r="D1826" s="1"/>
      <c r="E1826" s="1" t="s">
        <v>115</v>
      </c>
      <c r="F1826" s="1">
        <v>178</v>
      </c>
      <c r="G1826" s="1">
        <v>11</v>
      </c>
      <c r="H1826" s="1">
        <v>11.8</v>
      </c>
      <c r="I1826" s="1"/>
      <c r="J1826" s="1"/>
    </row>
    <row r="1827" spans="1:10" x14ac:dyDescent="0.3">
      <c r="A1827" t="str">
        <f t="shared" si="56"/>
        <v>TPG</v>
      </c>
      <c r="B1827">
        <f t="shared" si="57"/>
        <v>2927</v>
      </c>
      <c r="D1827" s="1"/>
      <c r="E1827" s="1" t="s">
        <v>96</v>
      </c>
      <c r="F1827" s="1">
        <v>192</v>
      </c>
      <c r="G1827" s="1">
        <v>8</v>
      </c>
      <c r="H1827" s="1">
        <v>11.9</v>
      </c>
      <c r="I1827" s="1"/>
      <c r="J1827" s="1"/>
    </row>
    <row r="1828" spans="1:10" x14ac:dyDescent="0.3">
      <c r="A1828" t="str">
        <f t="shared" si="56"/>
        <v>TPG</v>
      </c>
      <c r="B1828">
        <f t="shared" si="57"/>
        <v>3227</v>
      </c>
      <c r="D1828" s="1"/>
      <c r="E1828" s="1" t="s">
        <v>127</v>
      </c>
      <c r="F1828" s="1">
        <v>203</v>
      </c>
      <c r="G1828" s="1">
        <v>8</v>
      </c>
      <c r="H1828" s="1">
        <v>12</v>
      </c>
      <c r="I1828" s="1"/>
      <c r="J1828" s="1"/>
    </row>
    <row r="1829" spans="1:10" x14ac:dyDescent="0.3">
      <c r="A1829" t="str">
        <f t="shared" si="56"/>
        <v>TPG</v>
      </c>
      <c r="B1829">
        <f t="shared" si="57"/>
        <v>5827</v>
      </c>
      <c r="D1829" s="1"/>
      <c r="E1829" s="1" t="s">
        <v>139</v>
      </c>
      <c r="F1829" s="1">
        <v>233</v>
      </c>
      <c r="G1829" s="1">
        <v>3</v>
      </c>
      <c r="H1829" s="1">
        <v>12.3</v>
      </c>
      <c r="I1829" s="1"/>
      <c r="J1829" s="1"/>
    </row>
    <row r="1830" spans="1:10" x14ac:dyDescent="0.3">
      <c r="A1830" t="str">
        <f t="shared" si="56"/>
        <v>TPG</v>
      </c>
      <c r="B1830">
        <f t="shared" si="57"/>
        <v>12827</v>
      </c>
      <c r="D1830" s="1"/>
      <c r="E1830" s="1" t="s">
        <v>142</v>
      </c>
      <c r="F1830" s="1">
        <v>254</v>
      </c>
      <c r="G1830" s="1">
        <v>7</v>
      </c>
      <c r="H1830" s="1">
        <v>12.5</v>
      </c>
      <c r="I1830" s="1"/>
      <c r="J1830" s="1"/>
    </row>
    <row r="1831" spans="1:10" x14ac:dyDescent="0.3">
      <c r="A1831" t="str">
        <f t="shared" si="56"/>
        <v>TPG</v>
      </c>
      <c r="B1831">
        <f t="shared" si="57"/>
        <v>6327</v>
      </c>
      <c r="D1831" s="1"/>
      <c r="E1831" s="1" t="s">
        <v>122</v>
      </c>
      <c r="F1831" s="1">
        <v>260</v>
      </c>
      <c r="G1831" s="1">
        <v>10</v>
      </c>
      <c r="H1831" s="1">
        <v>12.6</v>
      </c>
      <c r="I1831" s="1"/>
      <c r="J1831" s="1"/>
    </row>
    <row r="1832" spans="1:10" x14ac:dyDescent="0.3">
      <c r="A1832" t="str">
        <f t="shared" si="56"/>
        <v>TPG</v>
      </c>
      <c r="B1832">
        <f t="shared" si="57"/>
        <v>12427</v>
      </c>
      <c r="D1832" s="1"/>
      <c r="E1832" s="1" t="s">
        <v>128</v>
      </c>
      <c r="F1832" s="1">
        <v>261</v>
      </c>
      <c r="G1832" s="1">
        <v>6</v>
      </c>
      <c r="H1832" s="1">
        <v>12.6</v>
      </c>
      <c r="I1832" s="1"/>
      <c r="J1832" s="1"/>
    </row>
    <row r="1833" spans="1:10" x14ac:dyDescent="0.3">
      <c r="A1833" t="str">
        <f t="shared" si="56"/>
        <v>TPG</v>
      </c>
      <c r="B1833">
        <f t="shared" si="57"/>
        <v>11427</v>
      </c>
      <c r="D1833" s="1"/>
      <c r="E1833" s="1" t="s">
        <v>138</v>
      </c>
      <c r="F1833" s="1">
        <v>265</v>
      </c>
      <c r="G1833" s="1">
        <v>8</v>
      </c>
      <c r="H1833" s="1">
        <v>12.7</v>
      </c>
      <c r="I1833" s="1"/>
      <c r="J1833" s="1"/>
    </row>
    <row r="1834" spans="1:10" x14ac:dyDescent="0.3">
      <c r="A1834" t="str">
        <f t="shared" si="56"/>
        <v>TPG</v>
      </c>
      <c r="B1834">
        <f t="shared" si="57"/>
        <v>5627</v>
      </c>
      <c r="D1834" s="1"/>
      <c r="E1834" s="1" t="s">
        <v>62</v>
      </c>
      <c r="F1834" s="1">
        <v>280</v>
      </c>
      <c r="G1834" s="1">
        <v>12</v>
      </c>
      <c r="H1834" s="1">
        <v>12.9</v>
      </c>
      <c r="I1834" s="1"/>
      <c r="J1834" s="1"/>
    </row>
    <row r="1835" spans="1:10" x14ac:dyDescent="0.3">
      <c r="A1835" t="str">
        <f t="shared" si="56"/>
        <v>TPG</v>
      </c>
      <c r="B1835">
        <f t="shared" si="57"/>
        <v>1627</v>
      </c>
      <c r="D1835" s="1"/>
      <c r="E1835" s="1" t="s">
        <v>137</v>
      </c>
      <c r="F1835" s="1">
        <v>286</v>
      </c>
      <c r="G1835" s="1">
        <v>13</v>
      </c>
      <c r="H1835" s="1">
        <v>13</v>
      </c>
      <c r="I1835" s="1"/>
      <c r="J1835" s="1"/>
    </row>
    <row r="1836" spans="1:10" x14ac:dyDescent="0.3">
      <c r="A1836" t="str">
        <f t="shared" si="56"/>
        <v>TPG</v>
      </c>
      <c r="B1836">
        <f t="shared" si="57"/>
        <v>9927</v>
      </c>
      <c r="D1836" s="1"/>
      <c r="E1836" s="1" t="s">
        <v>113</v>
      </c>
      <c r="F1836" s="1">
        <v>286</v>
      </c>
      <c r="G1836" s="1">
        <v>9</v>
      </c>
      <c r="H1836" s="1">
        <v>13</v>
      </c>
      <c r="I1836" s="1"/>
      <c r="J1836" s="1"/>
    </row>
    <row r="1837" spans="1:10" x14ac:dyDescent="0.3">
      <c r="A1837" t="str">
        <f t="shared" si="56"/>
        <v>TPG</v>
      </c>
      <c r="B1837">
        <f t="shared" si="57"/>
        <v>11927</v>
      </c>
      <c r="D1837" s="1"/>
      <c r="E1837" s="1" t="s">
        <v>143</v>
      </c>
      <c r="F1837" s="1">
        <v>293</v>
      </c>
      <c r="G1837" s="1">
        <v>5</v>
      </c>
      <c r="H1837" s="1">
        <v>13.1</v>
      </c>
      <c r="I1837" s="1"/>
      <c r="J1837" s="1"/>
    </row>
    <row r="1838" spans="1:10" x14ac:dyDescent="0.3">
      <c r="A1838" t="str">
        <f t="shared" si="56"/>
        <v>TPG</v>
      </c>
      <c r="B1838">
        <f t="shared" si="57"/>
        <v>12127</v>
      </c>
      <c r="D1838" s="1"/>
      <c r="E1838" s="1" t="s">
        <v>140</v>
      </c>
      <c r="F1838" s="1">
        <v>324</v>
      </c>
      <c r="G1838" s="1">
        <v>7</v>
      </c>
      <c r="H1838" s="1">
        <v>13.8</v>
      </c>
      <c r="I1838" s="1"/>
      <c r="J1838" s="1"/>
    </row>
    <row r="1839" spans="1:10" x14ac:dyDescent="0.3">
      <c r="A1839" t="str">
        <f t="shared" si="56"/>
        <v>TPG</v>
      </c>
      <c r="B1839">
        <f t="shared" si="57"/>
        <v>8827</v>
      </c>
      <c r="D1839" s="1"/>
      <c r="E1839" s="1" t="s">
        <v>141</v>
      </c>
      <c r="F1839" s="1">
        <v>343</v>
      </c>
      <c r="G1839" s="1">
        <v>7</v>
      </c>
      <c r="H1839" s="1">
        <v>15.5</v>
      </c>
      <c r="I1839" s="1"/>
      <c r="J1839" s="1"/>
    </row>
    <row r="1840" spans="1:10" x14ac:dyDescent="0.3">
      <c r="A1840" t="e">
        <f t="shared" si="56"/>
        <v>#N/A</v>
      </c>
      <c r="B1840" t="e">
        <f t="shared" si="57"/>
        <v>#N/A</v>
      </c>
      <c r="D1840" s="1" t="s">
        <v>181</v>
      </c>
      <c r="E1840" s="1" t="s">
        <v>79</v>
      </c>
      <c r="F1840" s="1">
        <v>1</v>
      </c>
      <c r="G1840" s="1">
        <v>1</v>
      </c>
      <c r="H1840" s="1">
        <v>92.5</v>
      </c>
      <c r="I1840" s="1" t="s">
        <v>79</v>
      </c>
      <c r="J1840" s="1"/>
    </row>
    <row r="1841" spans="1:10" x14ac:dyDescent="0.3">
      <c r="A1841" t="e">
        <f t="shared" si="56"/>
        <v>#N/A</v>
      </c>
      <c r="B1841" t="e">
        <f t="shared" si="57"/>
        <v>#N/A</v>
      </c>
      <c r="D1841" s="1"/>
      <c r="E1841" s="1" t="s">
        <v>104</v>
      </c>
      <c r="F1841" s="1">
        <v>2</v>
      </c>
      <c r="G1841" s="1">
        <v>1</v>
      </c>
      <c r="H1841" s="1">
        <v>88.9</v>
      </c>
      <c r="I1841" s="1"/>
      <c r="J1841" s="1"/>
    </row>
    <row r="1842" spans="1:10" x14ac:dyDescent="0.3">
      <c r="A1842" t="e">
        <f t="shared" si="56"/>
        <v>#N/A</v>
      </c>
      <c r="B1842" t="e">
        <f t="shared" si="57"/>
        <v>#N/A</v>
      </c>
      <c r="D1842" s="1"/>
      <c r="E1842" s="1" t="s">
        <v>98</v>
      </c>
      <c r="F1842" s="1">
        <v>3</v>
      </c>
      <c r="G1842" s="1">
        <v>1</v>
      </c>
      <c r="H1842" s="1">
        <v>88.2</v>
      </c>
      <c r="I1842" s="1"/>
      <c r="J1842" s="1"/>
    </row>
    <row r="1843" spans="1:10" x14ac:dyDescent="0.3">
      <c r="A1843" t="e">
        <f t="shared" si="56"/>
        <v>#N/A</v>
      </c>
      <c r="B1843" t="e">
        <f t="shared" si="57"/>
        <v>#N/A</v>
      </c>
      <c r="D1843" s="1"/>
      <c r="E1843" s="1" t="s">
        <v>89</v>
      </c>
      <c r="F1843" s="1">
        <v>4</v>
      </c>
      <c r="G1843" s="1">
        <v>1</v>
      </c>
      <c r="H1843" s="1">
        <v>87.2</v>
      </c>
      <c r="I1843" s="1"/>
      <c r="J1843" s="1"/>
    </row>
    <row r="1844" spans="1:10" x14ac:dyDescent="0.3">
      <c r="A1844" t="e">
        <f t="shared" si="56"/>
        <v>#N/A</v>
      </c>
      <c r="B1844" t="e">
        <f t="shared" si="57"/>
        <v>#N/A</v>
      </c>
      <c r="D1844" s="1"/>
      <c r="E1844" s="1" t="s">
        <v>106</v>
      </c>
      <c r="F1844" s="1">
        <v>5</v>
      </c>
      <c r="G1844" s="1">
        <v>1</v>
      </c>
      <c r="H1844" s="1">
        <v>86.5</v>
      </c>
      <c r="I1844" s="1"/>
      <c r="J1844" s="1"/>
    </row>
    <row r="1845" spans="1:10" x14ac:dyDescent="0.3">
      <c r="A1845" t="e">
        <f t="shared" si="56"/>
        <v>#N/A</v>
      </c>
      <c r="B1845" t="e">
        <f t="shared" si="57"/>
        <v>#N/A</v>
      </c>
      <c r="D1845" s="1"/>
      <c r="E1845" s="1" t="s">
        <v>139</v>
      </c>
      <c r="F1845" s="1">
        <v>6</v>
      </c>
      <c r="G1845" s="1">
        <v>1</v>
      </c>
      <c r="H1845" s="1">
        <v>85.7</v>
      </c>
      <c r="I1845" s="1"/>
      <c r="J1845" s="1"/>
    </row>
    <row r="1846" spans="1:10" x14ac:dyDescent="0.3">
      <c r="A1846" t="e">
        <f t="shared" si="56"/>
        <v>#N/A</v>
      </c>
      <c r="B1846" t="e">
        <f t="shared" si="57"/>
        <v>#N/A</v>
      </c>
      <c r="D1846" s="1"/>
      <c r="E1846" s="1" t="s">
        <v>113</v>
      </c>
      <c r="F1846" s="1">
        <v>7</v>
      </c>
      <c r="G1846" s="1">
        <v>1</v>
      </c>
      <c r="H1846" s="1">
        <v>82.9</v>
      </c>
      <c r="I1846" s="1"/>
      <c r="J1846" s="1"/>
    </row>
    <row r="1847" spans="1:10" x14ac:dyDescent="0.3">
      <c r="A1847" t="e">
        <f t="shared" si="56"/>
        <v>#N/A</v>
      </c>
      <c r="B1847" t="e">
        <f t="shared" si="57"/>
        <v>#N/A</v>
      </c>
      <c r="D1847" s="1"/>
      <c r="E1847" s="1" t="s">
        <v>85</v>
      </c>
      <c r="F1847" s="1">
        <v>10</v>
      </c>
      <c r="G1847" s="1">
        <v>2</v>
      </c>
      <c r="H1847" s="1">
        <v>80</v>
      </c>
      <c r="I1847" s="1"/>
      <c r="J1847" s="1"/>
    </row>
    <row r="1848" spans="1:10" x14ac:dyDescent="0.3">
      <c r="A1848" t="e">
        <f t="shared" si="56"/>
        <v>#N/A</v>
      </c>
      <c r="B1848" t="e">
        <f t="shared" si="57"/>
        <v>#N/A</v>
      </c>
      <c r="D1848" s="1"/>
      <c r="E1848" s="1" t="s">
        <v>102</v>
      </c>
      <c r="F1848" s="1">
        <v>10</v>
      </c>
      <c r="G1848" s="1">
        <v>1</v>
      </c>
      <c r="H1848" s="1">
        <v>80</v>
      </c>
      <c r="I1848" s="1"/>
      <c r="J1848" s="1"/>
    </row>
    <row r="1849" spans="1:10" x14ac:dyDescent="0.3">
      <c r="A1849" t="e">
        <f t="shared" si="56"/>
        <v>#N/A</v>
      </c>
      <c r="B1849" t="e">
        <f t="shared" si="57"/>
        <v>#N/A</v>
      </c>
      <c r="D1849" s="1"/>
      <c r="E1849" s="1" t="s">
        <v>103</v>
      </c>
      <c r="F1849" s="1">
        <v>10</v>
      </c>
      <c r="G1849" s="1">
        <v>1</v>
      </c>
      <c r="H1849" s="1">
        <v>80</v>
      </c>
      <c r="I1849" s="1"/>
      <c r="J1849" s="1"/>
    </row>
    <row r="1850" spans="1:10" x14ac:dyDescent="0.3">
      <c r="A1850" t="e">
        <f t="shared" si="56"/>
        <v>#N/A</v>
      </c>
      <c r="B1850" t="e">
        <f t="shared" si="57"/>
        <v>#N/A</v>
      </c>
      <c r="D1850" s="1"/>
      <c r="E1850" s="1" t="s">
        <v>100</v>
      </c>
      <c r="F1850" s="1">
        <v>14</v>
      </c>
      <c r="G1850" s="1">
        <v>2</v>
      </c>
      <c r="H1850" s="1">
        <v>78.400000000000006</v>
      </c>
      <c r="I1850" s="1"/>
      <c r="J1850" s="1"/>
    </row>
    <row r="1851" spans="1:10" x14ac:dyDescent="0.3">
      <c r="A1851" t="e">
        <f t="shared" si="56"/>
        <v>#N/A</v>
      </c>
      <c r="B1851" t="e">
        <f t="shared" si="57"/>
        <v>#N/A</v>
      </c>
      <c r="D1851" s="1"/>
      <c r="E1851" s="1" t="s">
        <v>108</v>
      </c>
      <c r="F1851" s="1">
        <v>14</v>
      </c>
      <c r="G1851" s="1">
        <v>1</v>
      </c>
      <c r="H1851" s="1">
        <v>78.400000000000006</v>
      </c>
      <c r="I1851" s="1"/>
      <c r="J1851" s="1"/>
    </row>
    <row r="1852" spans="1:10" x14ac:dyDescent="0.3">
      <c r="A1852" t="e">
        <f t="shared" si="56"/>
        <v>#N/A</v>
      </c>
      <c r="B1852" t="e">
        <f t="shared" si="57"/>
        <v>#N/A</v>
      </c>
      <c r="D1852" s="1"/>
      <c r="E1852" s="1" t="s">
        <v>84</v>
      </c>
      <c r="F1852" s="1">
        <v>16</v>
      </c>
      <c r="G1852" s="1">
        <v>1</v>
      </c>
      <c r="H1852" s="1">
        <v>77.099999999999994</v>
      </c>
      <c r="I1852" s="1"/>
      <c r="J1852" s="1"/>
    </row>
    <row r="1853" spans="1:10" x14ac:dyDescent="0.3">
      <c r="A1853" t="e">
        <f t="shared" si="56"/>
        <v>#N/A</v>
      </c>
      <c r="B1853" t="e">
        <f t="shared" si="57"/>
        <v>#N/A</v>
      </c>
      <c r="D1853" s="1"/>
      <c r="E1853" s="1" t="s">
        <v>97</v>
      </c>
      <c r="F1853" s="1">
        <v>16</v>
      </c>
      <c r="G1853" s="1">
        <v>1</v>
      </c>
      <c r="H1853" s="1">
        <v>77.099999999999994</v>
      </c>
      <c r="I1853" s="1"/>
      <c r="J1853" s="1"/>
    </row>
    <row r="1854" spans="1:10" x14ac:dyDescent="0.3">
      <c r="A1854" t="e">
        <f t="shared" si="56"/>
        <v>#N/A</v>
      </c>
      <c r="B1854" t="e">
        <f t="shared" si="57"/>
        <v>#N/A</v>
      </c>
      <c r="D1854" s="1"/>
      <c r="E1854" s="1" t="s">
        <v>83</v>
      </c>
      <c r="F1854" s="1">
        <v>16</v>
      </c>
      <c r="G1854" s="1">
        <v>1</v>
      </c>
      <c r="H1854" s="1">
        <v>77.099999999999994</v>
      </c>
      <c r="I1854" s="1"/>
      <c r="J1854" s="1"/>
    </row>
    <row r="1855" spans="1:10" x14ac:dyDescent="0.3">
      <c r="A1855" t="e">
        <f t="shared" si="56"/>
        <v>#N/A</v>
      </c>
      <c r="B1855" t="e">
        <f t="shared" si="57"/>
        <v>#N/A</v>
      </c>
      <c r="D1855" s="1"/>
      <c r="E1855" s="1" t="s">
        <v>101</v>
      </c>
      <c r="F1855" s="1">
        <v>19</v>
      </c>
      <c r="G1855" s="1">
        <v>2</v>
      </c>
      <c r="H1855" s="1">
        <v>76.5</v>
      </c>
      <c r="I1855" s="1"/>
      <c r="J1855" s="1"/>
    </row>
    <row r="1856" spans="1:10" x14ac:dyDescent="0.3">
      <c r="A1856" t="e">
        <f t="shared" si="56"/>
        <v>#N/A</v>
      </c>
      <c r="B1856" t="e">
        <f t="shared" si="57"/>
        <v>#N/A</v>
      </c>
      <c r="D1856" s="1"/>
      <c r="E1856" s="1" t="s">
        <v>92</v>
      </c>
      <c r="F1856" s="1">
        <v>19</v>
      </c>
      <c r="G1856" s="1">
        <v>2</v>
      </c>
      <c r="H1856" s="1">
        <v>76.5</v>
      </c>
      <c r="I1856" s="1"/>
      <c r="J1856" s="1"/>
    </row>
    <row r="1857" spans="1:10" x14ac:dyDescent="0.3">
      <c r="A1857" t="e">
        <f t="shared" si="56"/>
        <v>#N/A</v>
      </c>
      <c r="B1857" t="e">
        <f t="shared" si="57"/>
        <v>#N/A</v>
      </c>
      <c r="D1857" s="1"/>
      <c r="E1857" s="1" t="s">
        <v>99</v>
      </c>
      <c r="F1857" s="1">
        <v>19</v>
      </c>
      <c r="G1857" s="1">
        <v>2</v>
      </c>
      <c r="H1857" s="1">
        <v>76.5</v>
      </c>
      <c r="I1857" s="1"/>
      <c r="J1857" s="1"/>
    </row>
    <row r="1858" spans="1:10" x14ac:dyDescent="0.3">
      <c r="A1858" t="e">
        <f t="shared" ref="A1858:A1907" si="58">IF(NOT(D1858=""),INDEX(statAbbr,MATCH(D1858,statOfficial,0),1),A1857)</f>
        <v>#N/A</v>
      </c>
      <c r="B1858" t="e">
        <f t="shared" ref="B1858:B1907" si="59">INDEX(statID,MATCH(A1858,statAbbr,0),1)+INDEX(teamID,MATCH(E1858,teamRawName,0))</f>
        <v>#N/A</v>
      </c>
      <c r="D1858" s="1"/>
      <c r="E1858" s="1" t="s">
        <v>125</v>
      </c>
      <c r="F1858" s="1">
        <v>22</v>
      </c>
      <c r="G1858" s="1">
        <v>2</v>
      </c>
      <c r="H1858" s="1">
        <v>76.3</v>
      </c>
      <c r="I1858" s="1"/>
      <c r="J1858" s="1"/>
    </row>
    <row r="1859" spans="1:10" x14ac:dyDescent="0.3">
      <c r="A1859" t="e">
        <f t="shared" si="58"/>
        <v>#N/A</v>
      </c>
      <c r="B1859" t="e">
        <f t="shared" si="59"/>
        <v>#N/A</v>
      </c>
      <c r="D1859" s="1"/>
      <c r="E1859" s="1" t="s">
        <v>110</v>
      </c>
      <c r="F1859" s="1">
        <v>23</v>
      </c>
      <c r="G1859" s="1">
        <v>1</v>
      </c>
      <c r="H1859" s="1">
        <v>75.8</v>
      </c>
      <c r="I1859" s="1"/>
      <c r="J1859" s="1"/>
    </row>
    <row r="1860" spans="1:10" x14ac:dyDescent="0.3">
      <c r="A1860" t="e">
        <f t="shared" si="58"/>
        <v>#N/A</v>
      </c>
      <c r="B1860" t="e">
        <f t="shared" si="59"/>
        <v>#N/A</v>
      </c>
      <c r="D1860" s="1"/>
      <c r="E1860" s="1" t="s">
        <v>96</v>
      </c>
      <c r="F1860" s="1">
        <v>25</v>
      </c>
      <c r="G1860" s="1">
        <v>1</v>
      </c>
      <c r="H1860" s="1">
        <v>75</v>
      </c>
      <c r="I1860" s="1"/>
      <c r="J1860" s="1"/>
    </row>
    <row r="1861" spans="1:10" x14ac:dyDescent="0.3">
      <c r="A1861" t="e">
        <f t="shared" si="58"/>
        <v>#N/A</v>
      </c>
      <c r="B1861" t="e">
        <f t="shared" si="59"/>
        <v>#N/A</v>
      </c>
      <c r="D1861" s="1"/>
      <c r="E1861" s="1" t="s">
        <v>94</v>
      </c>
      <c r="F1861" s="1">
        <v>25</v>
      </c>
      <c r="G1861" s="1">
        <v>2</v>
      </c>
      <c r="H1861" s="1">
        <v>75</v>
      </c>
      <c r="I1861" s="1"/>
      <c r="J1861" s="1"/>
    </row>
    <row r="1862" spans="1:10" x14ac:dyDescent="0.3">
      <c r="A1862" t="e">
        <f t="shared" si="58"/>
        <v>#N/A</v>
      </c>
      <c r="B1862" t="e">
        <f t="shared" si="59"/>
        <v>#N/A</v>
      </c>
      <c r="D1862" s="1"/>
      <c r="E1862" s="1" t="s">
        <v>87</v>
      </c>
      <c r="F1862" s="1">
        <v>25</v>
      </c>
      <c r="G1862" s="1">
        <v>3</v>
      </c>
      <c r="H1862" s="1">
        <v>75</v>
      </c>
      <c r="I1862" s="1"/>
      <c r="J1862" s="1"/>
    </row>
    <row r="1863" spans="1:10" x14ac:dyDescent="0.3">
      <c r="A1863" t="e">
        <f t="shared" si="58"/>
        <v>#N/A</v>
      </c>
      <c r="B1863" t="e">
        <f t="shared" si="59"/>
        <v>#N/A</v>
      </c>
      <c r="D1863" s="1"/>
      <c r="E1863" s="1" t="s">
        <v>124</v>
      </c>
      <c r="F1863" s="1">
        <v>29</v>
      </c>
      <c r="G1863" s="1">
        <v>1</v>
      </c>
      <c r="H1863" s="1">
        <v>74.3</v>
      </c>
      <c r="I1863" s="1"/>
      <c r="J1863" s="1"/>
    </row>
    <row r="1864" spans="1:10" x14ac:dyDescent="0.3">
      <c r="A1864" t="e">
        <f t="shared" si="58"/>
        <v>#N/A</v>
      </c>
      <c r="B1864" t="e">
        <f t="shared" si="59"/>
        <v>#N/A</v>
      </c>
      <c r="D1864" s="1"/>
      <c r="E1864" s="1" t="s">
        <v>119</v>
      </c>
      <c r="F1864" s="1">
        <v>30</v>
      </c>
      <c r="G1864" s="1">
        <v>2</v>
      </c>
      <c r="H1864" s="1">
        <v>73.5</v>
      </c>
      <c r="I1864" s="1"/>
      <c r="J1864" s="1"/>
    </row>
    <row r="1865" spans="1:10" x14ac:dyDescent="0.3">
      <c r="A1865" t="e">
        <f t="shared" si="58"/>
        <v>#N/A</v>
      </c>
      <c r="B1865" t="e">
        <f t="shared" si="59"/>
        <v>#N/A</v>
      </c>
      <c r="D1865" s="1"/>
      <c r="E1865" s="1" t="s">
        <v>91</v>
      </c>
      <c r="F1865" s="1">
        <v>32</v>
      </c>
      <c r="G1865" s="1">
        <v>2</v>
      </c>
      <c r="H1865" s="1">
        <v>73</v>
      </c>
      <c r="I1865" s="1"/>
      <c r="J1865" s="1"/>
    </row>
    <row r="1866" spans="1:10" x14ac:dyDescent="0.3">
      <c r="A1866" t="e">
        <f t="shared" si="58"/>
        <v>#N/A</v>
      </c>
      <c r="B1866" t="e">
        <f t="shared" si="59"/>
        <v>#N/A</v>
      </c>
      <c r="D1866" s="1"/>
      <c r="E1866" s="1" t="s">
        <v>107</v>
      </c>
      <c r="F1866" s="1">
        <v>33</v>
      </c>
      <c r="G1866" s="1">
        <v>3</v>
      </c>
      <c r="H1866" s="1">
        <v>72.2</v>
      </c>
      <c r="I1866" s="1"/>
      <c r="J1866" s="1"/>
    </row>
    <row r="1867" spans="1:10" x14ac:dyDescent="0.3">
      <c r="A1867" t="e">
        <f t="shared" si="58"/>
        <v>#N/A</v>
      </c>
      <c r="B1867" t="e">
        <f t="shared" si="59"/>
        <v>#N/A</v>
      </c>
      <c r="D1867" s="1"/>
      <c r="E1867" s="1" t="s">
        <v>109</v>
      </c>
      <c r="F1867" s="1">
        <v>34</v>
      </c>
      <c r="G1867" s="1">
        <v>1</v>
      </c>
      <c r="H1867" s="1">
        <v>71.400000000000006</v>
      </c>
      <c r="I1867" s="1"/>
      <c r="J1867" s="1"/>
    </row>
    <row r="1868" spans="1:10" x14ac:dyDescent="0.3">
      <c r="A1868" t="e">
        <f t="shared" si="58"/>
        <v>#N/A</v>
      </c>
      <c r="B1868" t="e">
        <f t="shared" si="59"/>
        <v>#N/A</v>
      </c>
      <c r="D1868" s="1"/>
      <c r="E1868" s="1" t="s">
        <v>93</v>
      </c>
      <c r="F1868" s="1">
        <v>34</v>
      </c>
      <c r="G1868" s="1">
        <v>3</v>
      </c>
      <c r="H1868" s="1">
        <v>71.400000000000006</v>
      </c>
      <c r="I1868" s="1"/>
      <c r="J1868" s="1"/>
    </row>
    <row r="1869" spans="1:10" x14ac:dyDescent="0.3">
      <c r="A1869" t="e">
        <f t="shared" si="58"/>
        <v>#N/A</v>
      </c>
      <c r="B1869" t="e">
        <f t="shared" si="59"/>
        <v>#N/A</v>
      </c>
      <c r="D1869" s="1"/>
      <c r="E1869" s="1" t="s">
        <v>134</v>
      </c>
      <c r="F1869" s="1">
        <v>34</v>
      </c>
      <c r="G1869" s="1">
        <v>2</v>
      </c>
      <c r="H1869" s="1">
        <v>71.400000000000006</v>
      </c>
      <c r="I1869" s="1"/>
      <c r="J1869" s="1"/>
    </row>
    <row r="1870" spans="1:10" x14ac:dyDescent="0.3">
      <c r="A1870" t="e">
        <f t="shared" si="58"/>
        <v>#N/A</v>
      </c>
      <c r="B1870" t="e">
        <f t="shared" si="59"/>
        <v>#N/A</v>
      </c>
      <c r="D1870" s="1"/>
      <c r="E1870" s="1" t="s">
        <v>122</v>
      </c>
      <c r="F1870" s="1">
        <v>39</v>
      </c>
      <c r="G1870" s="1">
        <v>3</v>
      </c>
      <c r="H1870" s="1">
        <v>70.3</v>
      </c>
      <c r="I1870" s="1"/>
      <c r="J1870" s="1"/>
    </row>
    <row r="1871" spans="1:10" x14ac:dyDescent="0.3">
      <c r="A1871" t="e">
        <f t="shared" si="58"/>
        <v>#N/A</v>
      </c>
      <c r="B1871" t="e">
        <f t="shared" si="59"/>
        <v>#N/A</v>
      </c>
      <c r="D1871" s="1"/>
      <c r="E1871" s="1" t="s">
        <v>130</v>
      </c>
      <c r="F1871" s="1">
        <v>39</v>
      </c>
      <c r="G1871" s="1">
        <v>4</v>
      </c>
      <c r="H1871" s="1">
        <v>70.3</v>
      </c>
      <c r="I1871" s="1"/>
      <c r="J1871" s="1"/>
    </row>
    <row r="1872" spans="1:10" x14ac:dyDescent="0.3">
      <c r="A1872" t="e">
        <f t="shared" si="58"/>
        <v>#N/A</v>
      </c>
      <c r="B1872" t="e">
        <f t="shared" si="59"/>
        <v>#N/A</v>
      </c>
      <c r="D1872" s="1"/>
      <c r="E1872" s="1" t="s">
        <v>86</v>
      </c>
      <c r="F1872" s="1">
        <v>41</v>
      </c>
      <c r="G1872" s="1">
        <v>4</v>
      </c>
      <c r="H1872" s="1">
        <v>69.7</v>
      </c>
      <c r="I1872" s="1"/>
      <c r="J1872" s="1"/>
    </row>
    <row r="1873" spans="1:10" x14ac:dyDescent="0.3">
      <c r="A1873" t="e">
        <f t="shared" si="58"/>
        <v>#N/A</v>
      </c>
      <c r="B1873" t="e">
        <f t="shared" si="59"/>
        <v>#N/A</v>
      </c>
      <c r="D1873" s="1"/>
      <c r="E1873" s="1" t="s">
        <v>95</v>
      </c>
      <c r="F1873" s="1">
        <v>41</v>
      </c>
      <c r="G1873" s="1">
        <v>3</v>
      </c>
      <c r="H1873" s="1">
        <v>69.7</v>
      </c>
      <c r="I1873" s="1"/>
      <c r="J1873" s="1"/>
    </row>
    <row r="1874" spans="1:10" x14ac:dyDescent="0.3">
      <c r="A1874" t="e">
        <f t="shared" si="58"/>
        <v>#N/A</v>
      </c>
      <c r="B1874" t="e">
        <f t="shared" si="59"/>
        <v>#N/A</v>
      </c>
      <c r="D1874" s="1"/>
      <c r="E1874" s="1" t="s">
        <v>82</v>
      </c>
      <c r="F1874" s="1">
        <v>45</v>
      </c>
      <c r="G1874" s="1">
        <v>5</v>
      </c>
      <c r="H1874" s="1">
        <v>69.400000000000006</v>
      </c>
      <c r="I1874" s="1"/>
      <c r="J1874" s="1"/>
    </row>
    <row r="1875" spans="1:10" x14ac:dyDescent="0.3">
      <c r="A1875" t="e">
        <f t="shared" si="58"/>
        <v>#N/A</v>
      </c>
      <c r="B1875" t="e">
        <f t="shared" si="59"/>
        <v>#N/A</v>
      </c>
      <c r="D1875" s="1"/>
      <c r="E1875" s="1" t="s">
        <v>131</v>
      </c>
      <c r="F1875" s="1">
        <v>51</v>
      </c>
      <c r="G1875" s="1">
        <v>1</v>
      </c>
      <c r="H1875" s="1">
        <v>68.599999999999994</v>
      </c>
      <c r="I1875" s="1"/>
      <c r="J1875" s="1"/>
    </row>
    <row r="1876" spans="1:10" x14ac:dyDescent="0.3">
      <c r="A1876" t="e">
        <f t="shared" si="58"/>
        <v>#N/A</v>
      </c>
      <c r="B1876" t="e">
        <f t="shared" si="59"/>
        <v>#N/A</v>
      </c>
      <c r="D1876" s="1"/>
      <c r="E1876" s="1" t="s">
        <v>127</v>
      </c>
      <c r="F1876" s="1">
        <v>51</v>
      </c>
      <c r="G1876" s="1">
        <v>3</v>
      </c>
      <c r="H1876" s="1">
        <v>68.599999999999994</v>
      </c>
      <c r="I1876" s="1"/>
      <c r="J1876" s="1"/>
    </row>
    <row r="1877" spans="1:10" x14ac:dyDescent="0.3">
      <c r="A1877" t="e">
        <f t="shared" si="58"/>
        <v>#N/A</v>
      </c>
      <c r="B1877" t="e">
        <f t="shared" si="59"/>
        <v>#N/A</v>
      </c>
      <c r="D1877" s="1"/>
      <c r="E1877" s="1" t="s">
        <v>7</v>
      </c>
      <c r="F1877" s="1">
        <v>55</v>
      </c>
      <c r="G1877" s="1">
        <v>4</v>
      </c>
      <c r="H1877" s="1">
        <v>67.599999999999994</v>
      </c>
      <c r="I1877" s="1"/>
      <c r="J1877" s="1"/>
    </row>
    <row r="1878" spans="1:10" x14ac:dyDescent="0.3">
      <c r="A1878" t="e">
        <f t="shared" si="58"/>
        <v>#N/A</v>
      </c>
      <c r="B1878" t="e">
        <f t="shared" si="59"/>
        <v>#N/A</v>
      </c>
      <c r="D1878" s="1"/>
      <c r="E1878" s="1" t="s">
        <v>88</v>
      </c>
      <c r="F1878" s="1">
        <v>55</v>
      </c>
      <c r="G1878" s="1">
        <v>4</v>
      </c>
      <c r="H1878" s="1">
        <v>67.599999999999994</v>
      </c>
      <c r="I1878" s="1"/>
      <c r="J1878" s="1"/>
    </row>
    <row r="1879" spans="1:10" x14ac:dyDescent="0.3">
      <c r="A1879" t="e">
        <f t="shared" si="58"/>
        <v>#N/A</v>
      </c>
      <c r="B1879" t="e">
        <f t="shared" si="59"/>
        <v>#N/A</v>
      </c>
      <c r="D1879" s="1"/>
      <c r="E1879" s="1" t="s">
        <v>111</v>
      </c>
      <c r="F1879" s="1">
        <v>55</v>
      </c>
      <c r="G1879" s="1">
        <v>3</v>
      </c>
      <c r="H1879" s="1">
        <v>67.599999999999994</v>
      </c>
      <c r="I1879" s="1"/>
      <c r="J1879" s="1"/>
    </row>
    <row r="1880" spans="1:10" x14ac:dyDescent="0.3">
      <c r="A1880" t="e">
        <f t="shared" si="58"/>
        <v>#N/A</v>
      </c>
      <c r="B1880" t="e">
        <f t="shared" si="59"/>
        <v>#N/A</v>
      </c>
      <c r="D1880" s="1"/>
      <c r="E1880" s="1" t="s">
        <v>116</v>
      </c>
      <c r="F1880" s="1">
        <v>55</v>
      </c>
      <c r="G1880" s="1">
        <v>4</v>
      </c>
      <c r="H1880" s="1">
        <v>67.599999999999994</v>
      </c>
      <c r="I1880" s="1"/>
      <c r="J1880" s="1"/>
    </row>
    <row r="1881" spans="1:10" x14ac:dyDescent="0.3">
      <c r="A1881" t="e">
        <f t="shared" si="58"/>
        <v>#N/A</v>
      </c>
      <c r="B1881" t="e">
        <f t="shared" si="59"/>
        <v>#N/A</v>
      </c>
      <c r="D1881" s="1"/>
      <c r="E1881" s="1" t="s">
        <v>80</v>
      </c>
      <c r="F1881" s="1">
        <v>55</v>
      </c>
      <c r="G1881" s="1">
        <v>3</v>
      </c>
      <c r="H1881" s="1">
        <v>67.599999999999994</v>
      </c>
      <c r="I1881" s="1"/>
      <c r="J1881" s="1"/>
    </row>
    <row r="1882" spans="1:10" x14ac:dyDescent="0.3">
      <c r="A1882" t="e">
        <f t="shared" si="58"/>
        <v>#N/A</v>
      </c>
      <c r="B1882" t="e">
        <f t="shared" si="59"/>
        <v>#N/A</v>
      </c>
      <c r="D1882" s="1"/>
      <c r="E1882" s="1" t="s">
        <v>115</v>
      </c>
      <c r="F1882" s="1">
        <v>61</v>
      </c>
      <c r="G1882" s="1">
        <v>5</v>
      </c>
      <c r="H1882" s="1">
        <v>67.599999999999994</v>
      </c>
      <c r="I1882" s="1"/>
      <c r="J1882" s="1"/>
    </row>
    <row r="1883" spans="1:10" x14ac:dyDescent="0.3">
      <c r="A1883" t="e">
        <f t="shared" si="58"/>
        <v>#N/A</v>
      </c>
      <c r="B1883" t="e">
        <f t="shared" si="59"/>
        <v>#N/A</v>
      </c>
      <c r="D1883" s="1"/>
      <c r="E1883" s="1" t="s">
        <v>132</v>
      </c>
      <c r="F1883" s="1">
        <v>61</v>
      </c>
      <c r="G1883" s="1">
        <v>4</v>
      </c>
      <c r="H1883" s="1">
        <v>67.599999999999994</v>
      </c>
      <c r="I1883" s="1"/>
      <c r="J1883" s="1"/>
    </row>
    <row r="1884" spans="1:10" x14ac:dyDescent="0.3">
      <c r="A1884" t="e">
        <f t="shared" si="58"/>
        <v>#N/A</v>
      </c>
      <c r="B1884" t="e">
        <f t="shared" si="59"/>
        <v>#N/A</v>
      </c>
      <c r="D1884" s="1"/>
      <c r="E1884" s="1" t="s">
        <v>105</v>
      </c>
      <c r="F1884" s="1">
        <v>64</v>
      </c>
      <c r="G1884" s="1">
        <v>4</v>
      </c>
      <c r="H1884" s="1">
        <v>66.7</v>
      </c>
      <c r="I1884" s="1"/>
      <c r="J1884" s="1"/>
    </row>
    <row r="1885" spans="1:10" x14ac:dyDescent="0.3">
      <c r="A1885" t="e">
        <f t="shared" si="58"/>
        <v>#N/A</v>
      </c>
      <c r="B1885" t="e">
        <f t="shared" si="59"/>
        <v>#N/A</v>
      </c>
      <c r="D1885" s="1"/>
      <c r="E1885" s="1" t="s">
        <v>120</v>
      </c>
      <c r="F1885" s="1">
        <v>64</v>
      </c>
      <c r="G1885" s="1">
        <v>6</v>
      </c>
      <c r="H1885" s="1">
        <v>66.7</v>
      </c>
      <c r="I1885" s="1"/>
      <c r="J1885" s="1"/>
    </row>
    <row r="1886" spans="1:10" x14ac:dyDescent="0.3">
      <c r="A1886" t="e">
        <f t="shared" si="58"/>
        <v>#N/A</v>
      </c>
      <c r="B1886" t="e">
        <f t="shared" si="59"/>
        <v>#N/A</v>
      </c>
      <c r="D1886" s="1"/>
      <c r="E1886" s="1" t="s">
        <v>117</v>
      </c>
      <c r="F1886" s="1">
        <v>64</v>
      </c>
      <c r="G1886" s="1">
        <v>2</v>
      </c>
      <c r="H1886" s="1">
        <v>66.7</v>
      </c>
      <c r="I1886" s="1"/>
      <c r="J1886" s="1"/>
    </row>
    <row r="1887" spans="1:10" x14ac:dyDescent="0.3">
      <c r="A1887" t="e">
        <f t="shared" si="58"/>
        <v>#N/A</v>
      </c>
      <c r="B1887" t="e">
        <f t="shared" si="59"/>
        <v>#N/A</v>
      </c>
      <c r="D1887" s="1"/>
      <c r="E1887" s="1" t="s">
        <v>114</v>
      </c>
      <c r="F1887" s="1">
        <v>64</v>
      </c>
      <c r="G1887" s="1">
        <v>4</v>
      </c>
      <c r="H1887" s="1">
        <v>66.7</v>
      </c>
      <c r="I1887" s="1"/>
      <c r="J1887" s="1"/>
    </row>
    <row r="1888" spans="1:10" x14ac:dyDescent="0.3">
      <c r="A1888" t="e">
        <f t="shared" si="58"/>
        <v>#N/A</v>
      </c>
      <c r="B1888" t="e">
        <f t="shared" si="59"/>
        <v>#N/A</v>
      </c>
      <c r="D1888" s="1"/>
      <c r="E1888" s="1" t="s">
        <v>136</v>
      </c>
      <c r="F1888" s="1">
        <v>64</v>
      </c>
      <c r="G1888" s="1">
        <v>6</v>
      </c>
      <c r="H1888" s="1">
        <v>66.7</v>
      </c>
      <c r="I1888" s="1"/>
      <c r="J1888" s="1"/>
    </row>
    <row r="1889" spans="1:10" x14ac:dyDescent="0.3">
      <c r="A1889" t="e">
        <f t="shared" si="58"/>
        <v>#N/A</v>
      </c>
      <c r="B1889" t="e">
        <f t="shared" si="59"/>
        <v>#N/A</v>
      </c>
      <c r="D1889" s="1"/>
      <c r="E1889" s="1" t="s">
        <v>13</v>
      </c>
      <c r="F1889" s="1">
        <v>71</v>
      </c>
      <c r="G1889" s="1">
        <v>4</v>
      </c>
      <c r="H1889" s="1">
        <v>65.7</v>
      </c>
      <c r="I1889" s="1"/>
      <c r="J1889" s="1"/>
    </row>
    <row r="1890" spans="1:10" x14ac:dyDescent="0.3">
      <c r="A1890" t="e">
        <f t="shared" si="58"/>
        <v>#N/A</v>
      </c>
      <c r="B1890" t="e">
        <f t="shared" si="59"/>
        <v>#N/A</v>
      </c>
      <c r="D1890" s="1"/>
      <c r="E1890" s="1" t="s">
        <v>81</v>
      </c>
      <c r="F1890" s="1">
        <v>77</v>
      </c>
      <c r="G1890" s="1">
        <v>4</v>
      </c>
      <c r="H1890" s="1">
        <v>64.7</v>
      </c>
      <c r="I1890" s="1"/>
      <c r="J1890" s="1"/>
    </row>
    <row r="1891" spans="1:10" x14ac:dyDescent="0.3">
      <c r="A1891" t="e">
        <f t="shared" si="58"/>
        <v>#N/A</v>
      </c>
      <c r="B1891" t="e">
        <f t="shared" si="59"/>
        <v>#N/A</v>
      </c>
      <c r="D1891" s="1"/>
      <c r="E1891" s="1" t="s">
        <v>140</v>
      </c>
      <c r="F1891" s="1">
        <v>77</v>
      </c>
      <c r="G1891" s="1">
        <v>2</v>
      </c>
      <c r="H1891" s="1">
        <v>64.7</v>
      </c>
      <c r="I1891" s="1"/>
      <c r="J1891" s="1"/>
    </row>
    <row r="1892" spans="1:10" x14ac:dyDescent="0.3">
      <c r="A1892" t="e">
        <f t="shared" si="58"/>
        <v>#N/A</v>
      </c>
      <c r="B1892" t="e">
        <f t="shared" si="59"/>
        <v>#N/A</v>
      </c>
      <c r="D1892" s="1"/>
      <c r="E1892" s="1" t="s">
        <v>112</v>
      </c>
      <c r="F1892" s="1">
        <v>88</v>
      </c>
      <c r="G1892" s="1">
        <v>6</v>
      </c>
      <c r="H1892" s="1">
        <v>63.4</v>
      </c>
      <c r="I1892" s="1"/>
      <c r="J1892" s="1"/>
    </row>
    <row r="1893" spans="1:10" x14ac:dyDescent="0.3">
      <c r="A1893" t="e">
        <f t="shared" si="58"/>
        <v>#N/A</v>
      </c>
      <c r="B1893" t="e">
        <f t="shared" si="59"/>
        <v>#N/A</v>
      </c>
      <c r="D1893" s="1"/>
      <c r="E1893" s="1" t="s">
        <v>133</v>
      </c>
      <c r="F1893" s="1">
        <v>90</v>
      </c>
      <c r="G1893" s="1">
        <v>1</v>
      </c>
      <c r="H1893" s="1">
        <v>62.9</v>
      </c>
      <c r="I1893" s="1"/>
      <c r="J1893" s="1"/>
    </row>
    <row r="1894" spans="1:10" x14ac:dyDescent="0.3">
      <c r="A1894" t="e">
        <f t="shared" si="58"/>
        <v>#N/A</v>
      </c>
      <c r="B1894" t="e">
        <f t="shared" si="59"/>
        <v>#N/A</v>
      </c>
      <c r="D1894" s="1"/>
      <c r="E1894" s="1" t="s">
        <v>126</v>
      </c>
      <c r="F1894" s="1">
        <v>90</v>
      </c>
      <c r="G1894" s="1">
        <v>1</v>
      </c>
      <c r="H1894" s="1">
        <v>62.9</v>
      </c>
      <c r="I1894" s="1"/>
      <c r="J1894" s="1"/>
    </row>
    <row r="1895" spans="1:10" x14ac:dyDescent="0.3">
      <c r="A1895" t="e">
        <f t="shared" si="58"/>
        <v>#N/A</v>
      </c>
      <c r="B1895" t="e">
        <f t="shared" si="59"/>
        <v>#N/A</v>
      </c>
      <c r="D1895" s="1"/>
      <c r="E1895" s="1" t="s">
        <v>62</v>
      </c>
      <c r="F1895" s="1">
        <v>102</v>
      </c>
      <c r="G1895" s="1">
        <v>8</v>
      </c>
      <c r="H1895" s="1">
        <v>61.8</v>
      </c>
      <c r="I1895" s="1"/>
      <c r="J1895" s="1"/>
    </row>
    <row r="1896" spans="1:10" x14ac:dyDescent="0.3">
      <c r="A1896" t="e">
        <f t="shared" si="58"/>
        <v>#N/A</v>
      </c>
      <c r="B1896" t="e">
        <f t="shared" si="59"/>
        <v>#N/A</v>
      </c>
      <c r="D1896" s="1"/>
      <c r="E1896" s="1" t="s">
        <v>118</v>
      </c>
      <c r="F1896" s="1">
        <v>102</v>
      </c>
      <c r="G1896" s="1">
        <v>8</v>
      </c>
      <c r="H1896" s="1">
        <v>61.8</v>
      </c>
      <c r="I1896" s="1"/>
      <c r="J1896" s="1"/>
    </row>
    <row r="1897" spans="1:10" x14ac:dyDescent="0.3">
      <c r="A1897" t="e">
        <f t="shared" si="58"/>
        <v>#N/A</v>
      </c>
      <c r="B1897" t="e">
        <f t="shared" si="59"/>
        <v>#N/A</v>
      </c>
      <c r="D1897" s="1"/>
      <c r="E1897" s="1" t="s">
        <v>123</v>
      </c>
      <c r="F1897" s="1">
        <v>107</v>
      </c>
      <c r="G1897" s="1">
        <v>5</v>
      </c>
      <c r="H1897" s="1">
        <v>61.1</v>
      </c>
      <c r="I1897" s="1"/>
      <c r="J1897" s="1"/>
    </row>
    <row r="1898" spans="1:10" x14ac:dyDescent="0.3">
      <c r="A1898" t="e">
        <f t="shared" si="58"/>
        <v>#N/A</v>
      </c>
      <c r="B1898" t="e">
        <f t="shared" si="59"/>
        <v>#N/A</v>
      </c>
      <c r="D1898" s="1"/>
      <c r="E1898" s="1" t="s">
        <v>138</v>
      </c>
      <c r="F1898" s="1">
        <v>118</v>
      </c>
      <c r="G1898" s="1">
        <v>3</v>
      </c>
      <c r="H1898" s="1">
        <v>60</v>
      </c>
      <c r="I1898" s="1"/>
      <c r="J1898" s="1"/>
    </row>
    <row r="1899" spans="1:10" x14ac:dyDescent="0.3">
      <c r="A1899" t="e">
        <f t="shared" si="58"/>
        <v>#N/A</v>
      </c>
      <c r="B1899" t="e">
        <f t="shared" si="59"/>
        <v>#N/A</v>
      </c>
      <c r="D1899" s="1"/>
      <c r="E1899" s="1" t="s">
        <v>137</v>
      </c>
      <c r="F1899" s="1">
        <v>118</v>
      </c>
      <c r="G1899" s="1">
        <v>8</v>
      </c>
      <c r="H1899" s="1">
        <v>60</v>
      </c>
      <c r="I1899" s="1"/>
      <c r="J1899" s="1"/>
    </row>
    <row r="1900" spans="1:10" x14ac:dyDescent="0.3">
      <c r="A1900" t="e">
        <f t="shared" si="58"/>
        <v>#N/A</v>
      </c>
      <c r="B1900" t="e">
        <f t="shared" si="59"/>
        <v>#N/A</v>
      </c>
      <c r="D1900" s="1"/>
      <c r="E1900" s="1" t="s">
        <v>143</v>
      </c>
      <c r="F1900" s="1">
        <v>131</v>
      </c>
      <c r="G1900" s="1">
        <v>1</v>
      </c>
      <c r="H1900" s="1">
        <v>58.3</v>
      </c>
      <c r="I1900" s="1"/>
      <c r="J1900" s="1"/>
    </row>
    <row r="1901" spans="1:10" x14ac:dyDescent="0.3">
      <c r="A1901" t="e">
        <f t="shared" si="58"/>
        <v>#N/A</v>
      </c>
      <c r="B1901" t="e">
        <f t="shared" si="59"/>
        <v>#N/A</v>
      </c>
      <c r="D1901" s="1"/>
      <c r="E1901" s="1" t="s">
        <v>128</v>
      </c>
      <c r="F1901" s="1">
        <v>131</v>
      </c>
      <c r="G1901" s="1">
        <v>4</v>
      </c>
      <c r="H1901" s="1">
        <v>58.3</v>
      </c>
      <c r="I1901" s="1"/>
      <c r="J1901" s="1"/>
    </row>
    <row r="1902" spans="1:10" x14ac:dyDescent="0.3">
      <c r="A1902" t="e">
        <f t="shared" si="58"/>
        <v>#N/A</v>
      </c>
      <c r="B1902" t="e">
        <f t="shared" si="59"/>
        <v>#N/A</v>
      </c>
      <c r="D1902" s="1"/>
      <c r="E1902" s="1" t="s">
        <v>129</v>
      </c>
      <c r="F1902" s="1">
        <v>131</v>
      </c>
      <c r="G1902" s="1">
        <v>9</v>
      </c>
      <c r="H1902" s="1">
        <v>58.3</v>
      </c>
      <c r="I1902" s="1"/>
      <c r="J1902" s="1"/>
    </row>
    <row r="1903" spans="1:10" x14ac:dyDescent="0.3">
      <c r="A1903" t="e">
        <f t="shared" si="58"/>
        <v>#N/A</v>
      </c>
      <c r="B1903" t="e">
        <f t="shared" si="59"/>
        <v>#N/A</v>
      </c>
      <c r="D1903" s="1"/>
      <c r="E1903" s="1" t="s">
        <v>142</v>
      </c>
      <c r="F1903" s="1">
        <v>137</v>
      </c>
      <c r="G1903" s="1">
        <v>4</v>
      </c>
      <c r="H1903" s="1">
        <v>57.6</v>
      </c>
      <c r="I1903" s="1"/>
      <c r="J1903" s="1"/>
    </row>
    <row r="1904" spans="1:10" x14ac:dyDescent="0.3">
      <c r="A1904" t="e">
        <f t="shared" si="58"/>
        <v>#N/A</v>
      </c>
      <c r="B1904" t="e">
        <f t="shared" si="59"/>
        <v>#N/A</v>
      </c>
      <c r="D1904" s="1"/>
      <c r="E1904" s="1" t="s">
        <v>90</v>
      </c>
      <c r="F1904" s="1">
        <v>144</v>
      </c>
      <c r="G1904" s="1">
        <v>8</v>
      </c>
      <c r="H1904" s="1">
        <v>57.1</v>
      </c>
      <c r="I1904" s="1"/>
      <c r="J1904" s="1"/>
    </row>
    <row r="1905" spans="1:10" x14ac:dyDescent="0.3">
      <c r="A1905" t="e">
        <f t="shared" si="58"/>
        <v>#N/A</v>
      </c>
      <c r="B1905" t="e">
        <f t="shared" si="59"/>
        <v>#N/A</v>
      </c>
      <c r="D1905" s="1"/>
      <c r="E1905" s="1" t="s">
        <v>121</v>
      </c>
      <c r="F1905" s="1">
        <v>181</v>
      </c>
      <c r="G1905" s="1">
        <v>3</v>
      </c>
      <c r="H1905" s="1">
        <v>51.5</v>
      </c>
      <c r="I1905" s="1"/>
      <c r="J1905" s="1"/>
    </row>
    <row r="1906" spans="1:10" x14ac:dyDescent="0.3">
      <c r="A1906" t="e">
        <f t="shared" si="58"/>
        <v>#N/A</v>
      </c>
      <c r="B1906" t="e">
        <f t="shared" si="59"/>
        <v>#N/A</v>
      </c>
      <c r="D1906" s="1"/>
      <c r="E1906" s="1" t="s">
        <v>141</v>
      </c>
      <c r="F1906" s="1">
        <v>189</v>
      </c>
      <c r="G1906" s="1">
        <v>3</v>
      </c>
      <c r="H1906" s="1">
        <v>51.4</v>
      </c>
      <c r="I1906" s="1"/>
      <c r="J1906" s="1"/>
    </row>
    <row r="1907" spans="1:10" x14ac:dyDescent="0.3">
      <c r="A1907" t="e">
        <f t="shared" si="58"/>
        <v>#N/A</v>
      </c>
      <c r="B1907" t="e">
        <f t="shared" si="59"/>
        <v>#N/A</v>
      </c>
      <c r="D1907" s="1"/>
      <c r="E1907" s="1" t="s">
        <v>135</v>
      </c>
      <c r="F1907" s="1">
        <v>202</v>
      </c>
      <c r="G1907" s="1">
        <v>6</v>
      </c>
      <c r="H1907" s="1">
        <v>48.6</v>
      </c>
      <c r="I1907" s="1"/>
      <c r="J190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8885-8846-44B8-9E80-0E4AF787E260}">
  <dimension ref="A1:J192"/>
  <sheetViews>
    <sheetView topLeftCell="F1" workbookViewId="0">
      <pane ySplit="1" topLeftCell="A65" activePane="bottomLeft" state="frozen"/>
      <selection activeCell="Z70" sqref="Z70:AB70"/>
      <selection pane="bottomLeft" activeCell="I87" sqref="I87"/>
    </sheetView>
  </sheetViews>
  <sheetFormatPr defaultRowHeight="14.4" x14ac:dyDescent="0.3"/>
  <sheetData>
    <row r="1" spans="1:10" x14ac:dyDescent="0.3">
      <c r="A1" t="s">
        <v>213</v>
      </c>
      <c r="B1" t="s">
        <v>308</v>
      </c>
      <c r="C1" t="s">
        <v>309</v>
      </c>
      <c r="D1" t="s">
        <v>310</v>
      </c>
      <c r="E1" t="s">
        <v>311</v>
      </c>
      <c r="H1" t="s">
        <v>182</v>
      </c>
      <c r="I1" t="s">
        <v>183</v>
      </c>
      <c r="J1" t="s">
        <v>184</v>
      </c>
    </row>
    <row r="2" spans="1:10" x14ac:dyDescent="0.3">
      <c r="A2" t="s">
        <v>214</v>
      </c>
      <c r="B2" t="s">
        <v>312</v>
      </c>
      <c r="C2">
        <f t="shared" ref="C2:C65" si="0">COUNTIF(rawTeamCol,B2)+COUNTIF(rawTeamCol2,B2)</f>
        <v>28</v>
      </c>
      <c r="D2">
        <v>100</v>
      </c>
      <c r="E2" t="s">
        <v>313</v>
      </c>
      <c r="H2" t="s">
        <v>185</v>
      </c>
      <c r="I2" t="s">
        <v>175</v>
      </c>
      <c r="J2">
        <v>1</v>
      </c>
    </row>
    <row r="3" spans="1:10" x14ac:dyDescent="0.3">
      <c r="A3" t="s">
        <v>98</v>
      </c>
      <c r="B3" t="s">
        <v>98</v>
      </c>
      <c r="C3">
        <f t="shared" si="0"/>
        <v>28</v>
      </c>
      <c r="D3">
        <v>200</v>
      </c>
      <c r="E3" t="s">
        <v>66</v>
      </c>
      <c r="H3" t="s">
        <v>186</v>
      </c>
      <c r="I3" t="s">
        <v>177</v>
      </c>
      <c r="J3">
        <v>2</v>
      </c>
    </row>
    <row r="4" spans="1:10" x14ac:dyDescent="0.3">
      <c r="A4" t="s">
        <v>215</v>
      </c>
      <c r="B4" t="s">
        <v>215</v>
      </c>
      <c r="C4">
        <f t="shared" si="0"/>
        <v>0</v>
      </c>
      <c r="D4">
        <v>300</v>
      </c>
      <c r="E4" t="s">
        <v>314</v>
      </c>
      <c r="H4" t="s">
        <v>187</v>
      </c>
      <c r="I4" t="s">
        <v>174</v>
      </c>
      <c r="J4">
        <v>3</v>
      </c>
    </row>
    <row r="5" spans="1:10" x14ac:dyDescent="0.3">
      <c r="A5" t="s">
        <v>216</v>
      </c>
      <c r="B5" t="s">
        <v>315</v>
      </c>
      <c r="C5">
        <f t="shared" si="0"/>
        <v>0</v>
      </c>
      <c r="D5">
        <v>400</v>
      </c>
      <c r="E5" t="s">
        <v>316</v>
      </c>
      <c r="H5" t="s">
        <v>188</v>
      </c>
      <c r="I5" t="s">
        <v>172</v>
      </c>
      <c r="J5">
        <v>4</v>
      </c>
    </row>
    <row r="6" spans="1:10" x14ac:dyDescent="0.3">
      <c r="A6" t="s">
        <v>217</v>
      </c>
      <c r="B6" t="s">
        <v>317</v>
      </c>
      <c r="C6">
        <f t="shared" si="0"/>
        <v>0</v>
      </c>
      <c r="D6">
        <v>500</v>
      </c>
      <c r="E6" t="s">
        <v>318</v>
      </c>
      <c r="H6" t="s">
        <v>189</v>
      </c>
      <c r="I6" t="s">
        <v>78</v>
      </c>
      <c r="J6">
        <v>5</v>
      </c>
    </row>
    <row r="7" spans="1:10" x14ac:dyDescent="0.3">
      <c r="A7" t="s">
        <v>218</v>
      </c>
      <c r="B7" t="s">
        <v>100</v>
      </c>
      <c r="C7">
        <f t="shared" si="0"/>
        <v>56</v>
      </c>
      <c r="D7">
        <v>600</v>
      </c>
      <c r="E7" t="s">
        <v>3</v>
      </c>
      <c r="H7" t="s">
        <v>190</v>
      </c>
      <c r="I7" t="s">
        <v>144</v>
      </c>
      <c r="J7">
        <v>6</v>
      </c>
    </row>
    <row r="8" spans="1:10" x14ac:dyDescent="0.3">
      <c r="A8" t="s">
        <v>219</v>
      </c>
      <c r="B8" t="s">
        <v>319</v>
      </c>
      <c r="C8">
        <f t="shared" si="0"/>
        <v>28</v>
      </c>
      <c r="D8">
        <v>700</v>
      </c>
      <c r="E8" t="s">
        <v>320</v>
      </c>
      <c r="H8" t="s">
        <v>191</v>
      </c>
      <c r="I8" t="s">
        <v>192</v>
      </c>
      <c r="J8">
        <v>7</v>
      </c>
    </row>
    <row r="9" spans="1:10" x14ac:dyDescent="0.3">
      <c r="A9" t="s">
        <v>220</v>
      </c>
      <c r="B9" t="s">
        <v>321</v>
      </c>
      <c r="C9">
        <f t="shared" si="0"/>
        <v>0</v>
      </c>
      <c r="D9">
        <v>800</v>
      </c>
      <c r="E9" t="s">
        <v>322</v>
      </c>
      <c r="H9" t="s">
        <v>193</v>
      </c>
      <c r="I9" t="s">
        <v>147</v>
      </c>
      <c r="J9">
        <v>8</v>
      </c>
    </row>
    <row r="10" spans="1:10" x14ac:dyDescent="0.3">
      <c r="A10" t="s">
        <v>221</v>
      </c>
      <c r="B10" t="s">
        <v>90</v>
      </c>
      <c r="C10">
        <f t="shared" si="0"/>
        <v>56</v>
      </c>
      <c r="D10">
        <v>900</v>
      </c>
      <c r="E10" t="s">
        <v>34</v>
      </c>
      <c r="H10" t="s">
        <v>194</v>
      </c>
      <c r="I10" t="s">
        <v>154</v>
      </c>
      <c r="J10">
        <v>9</v>
      </c>
    </row>
    <row r="11" spans="1:10" x14ac:dyDescent="0.3">
      <c r="A11" t="s">
        <v>222</v>
      </c>
      <c r="B11" t="s">
        <v>323</v>
      </c>
      <c r="C11">
        <f t="shared" si="0"/>
        <v>0</v>
      </c>
      <c r="D11">
        <v>1000</v>
      </c>
      <c r="E11" t="s">
        <v>324</v>
      </c>
      <c r="H11" t="s">
        <v>195</v>
      </c>
      <c r="I11" t="s">
        <v>163</v>
      </c>
      <c r="J11">
        <v>10</v>
      </c>
    </row>
    <row r="12" spans="1:10" x14ac:dyDescent="0.3">
      <c r="A12" t="s">
        <v>223</v>
      </c>
      <c r="B12" t="s">
        <v>150</v>
      </c>
      <c r="C12">
        <f t="shared" si="0"/>
        <v>0</v>
      </c>
      <c r="D12">
        <v>1100</v>
      </c>
      <c r="E12" t="s">
        <v>325</v>
      </c>
      <c r="H12" t="s">
        <v>196</v>
      </c>
      <c r="I12" t="s">
        <v>149</v>
      </c>
      <c r="J12">
        <v>11</v>
      </c>
    </row>
    <row r="13" spans="1:10" x14ac:dyDescent="0.3">
      <c r="A13" t="s">
        <v>224</v>
      </c>
      <c r="B13" t="s">
        <v>130</v>
      </c>
      <c r="C13">
        <f t="shared" si="0"/>
        <v>56</v>
      </c>
      <c r="D13">
        <v>1200</v>
      </c>
      <c r="E13" t="s">
        <v>6</v>
      </c>
      <c r="H13" t="s">
        <v>197</v>
      </c>
      <c r="I13" t="s">
        <v>151</v>
      </c>
      <c r="J13">
        <v>12</v>
      </c>
    </row>
    <row r="14" spans="1:10" x14ac:dyDescent="0.3">
      <c r="A14" t="s">
        <v>225</v>
      </c>
      <c r="B14" t="s">
        <v>82</v>
      </c>
      <c r="C14">
        <f t="shared" si="0"/>
        <v>28</v>
      </c>
      <c r="D14">
        <v>1300</v>
      </c>
      <c r="E14" t="s">
        <v>64</v>
      </c>
      <c r="H14" t="s">
        <v>198</v>
      </c>
      <c r="I14" t="s">
        <v>152</v>
      </c>
      <c r="J14">
        <v>13</v>
      </c>
    </row>
    <row r="15" spans="1:10" x14ac:dyDescent="0.3">
      <c r="A15" t="s">
        <v>226</v>
      </c>
      <c r="B15" t="s">
        <v>102</v>
      </c>
      <c r="C15">
        <f t="shared" si="0"/>
        <v>56</v>
      </c>
      <c r="D15">
        <v>1400</v>
      </c>
      <c r="E15" t="s">
        <v>61</v>
      </c>
      <c r="H15" t="s">
        <v>199</v>
      </c>
      <c r="I15" t="s">
        <v>155</v>
      </c>
      <c r="J15">
        <v>14</v>
      </c>
    </row>
    <row r="16" spans="1:10" x14ac:dyDescent="0.3">
      <c r="A16" t="s">
        <v>227</v>
      </c>
      <c r="B16" t="s">
        <v>124</v>
      </c>
      <c r="C16">
        <f t="shared" si="0"/>
        <v>28</v>
      </c>
      <c r="D16">
        <v>1500</v>
      </c>
      <c r="E16" t="s">
        <v>15</v>
      </c>
      <c r="H16" t="s">
        <v>200</v>
      </c>
      <c r="I16" t="s">
        <v>158</v>
      </c>
      <c r="J16">
        <v>15</v>
      </c>
    </row>
    <row r="17" spans="1:10" x14ac:dyDescent="0.3">
      <c r="A17" t="s">
        <v>228</v>
      </c>
      <c r="B17" t="s">
        <v>137</v>
      </c>
      <c r="C17">
        <f t="shared" si="0"/>
        <v>56</v>
      </c>
      <c r="D17">
        <v>1600</v>
      </c>
      <c r="E17" t="s">
        <v>25</v>
      </c>
      <c r="H17" t="s">
        <v>201</v>
      </c>
      <c r="I17" t="s">
        <v>156</v>
      </c>
      <c r="J17">
        <v>16</v>
      </c>
    </row>
    <row r="18" spans="1:10" x14ac:dyDescent="0.3">
      <c r="A18" t="s">
        <v>229</v>
      </c>
      <c r="B18" t="s">
        <v>133</v>
      </c>
      <c r="C18">
        <f t="shared" si="0"/>
        <v>28</v>
      </c>
      <c r="D18">
        <v>1700</v>
      </c>
      <c r="E18" t="s">
        <v>16</v>
      </c>
      <c r="H18" t="s">
        <v>202</v>
      </c>
      <c r="I18" t="s">
        <v>160</v>
      </c>
      <c r="J18">
        <v>17</v>
      </c>
    </row>
    <row r="19" spans="1:10" x14ac:dyDescent="0.3">
      <c r="A19" t="s">
        <v>230</v>
      </c>
      <c r="B19" t="s">
        <v>326</v>
      </c>
      <c r="C19">
        <f t="shared" si="0"/>
        <v>0</v>
      </c>
      <c r="D19">
        <v>1800</v>
      </c>
      <c r="E19" t="s">
        <v>327</v>
      </c>
      <c r="H19" t="s">
        <v>203</v>
      </c>
      <c r="I19" t="s">
        <v>167</v>
      </c>
      <c r="J19">
        <v>18</v>
      </c>
    </row>
    <row r="20" spans="1:10" x14ac:dyDescent="0.3">
      <c r="A20" t="s">
        <v>112</v>
      </c>
      <c r="B20" t="s">
        <v>112</v>
      </c>
      <c r="C20">
        <f t="shared" si="0"/>
        <v>56</v>
      </c>
      <c r="D20">
        <v>1900</v>
      </c>
      <c r="E20" t="s">
        <v>39</v>
      </c>
      <c r="H20" t="s">
        <v>204</v>
      </c>
      <c r="I20" t="s">
        <v>165</v>
      </c>
      <c r="J20">
        <v>19</v>
      </c>
    </row>
    <row r="21" spans="1:10" x14ac:dyDescent="0.3">
      <c r="A21" t="s">
        <v>231</v>
      </c>
      <c r="B21" t="s">
        <v>328</v>
      </c>
      <c r="C21">
        <f t="shared" si="0"/>
        <v>0</v>
      </c>
      <c r="D21">
        <v>2000</v>
      </c>
      <c r="E21" t="s">
        <v>329</v>
      </c>
      <c r="H21" t="s">
        <v>205</v>
      </c>
      <c r="I21" t="s">
        <v>169</v>
      </c>
      <c r="J21">
        <v>20</v>
      </c>
    </row>
    <row r="22" spans="1:10" x14ac:dyDescent="0.3">
      <c r="A22" t="s">
        <v>232</v>
      </c>
      <c r="B22" t="s">
        <v>136</v>
      </c>
      <c r="C22">
        <f t="shared" si="0"/>
        <v>56</v>
      </c>
      <c r="D22">
        <v>2100</v>
      </c>
      <c r="E22" t="s">
        <v>42</v>
      </c>
      <c r="H22" t="s">
        <v>206</v>
      </c>
      <c r="I22" t="s">
        <v>162</v>
      </c>
      <c r="J22">
        <v>21</v>
      </c>
    </row>
    <row r="23" spans="1:10" x14ac:dyDescent="0.3">
      <c r="A23" t="s">
        <v>233</v>
      </c>
      <c r="B23" t="s">
        <v>119</v>
      </c>
      <c r="C23">
        <f t="shared" si="0"/>
        <v>56</v>
      </c>
      <c r="D23">
        <v>2200</v>
      </c>
      <c r="E23" t="s">
        <v>9</v>
      </c>
      <c r="H23" t="s">
        <v>207</v>
      </c>
      <c r="I23" t="s">
        <v>166</v>
      </c>
      <c r="J23">
        <v>22</v>
      </c>
    </row>
    <row r="24" spans="1:10" x14ac:dyDescent="0.3">
      <c r="A24" t="s">
        <v>234</v>
      </c>
      <c r="B24" t="s">
        <v>79</v>
      </c>
      <c r="C24">
        <f t="shared" si="0"/>
        <v>56</v>
      </c>
      <c r="D24">
        <v>2300</v>
      </c>
      <c r="E24" t="s">
        <v>2</v>
      </c>
      <c r="H24" t="s">
        <v>208</v>
      </c>
      <c r="I24" t="s">
        <v>168</v>
      </c>
      <c r="J24">
        <v>23</v>
      </c>
    </row>
    <row r="25" spans="1:10" x14ac:dyDescent="0.3">
      <c r="A25" t="s">
        <v>235</v>
      </c>
      <c r="B25" t="s">
        <v>330</v>
      </c>
      <c r="C25">
        <f t="shared" si="0"/>
        <v>28</v>
      </c>
      <c r="D25">
        <v>2400</v>
      </c>
      <c r="E25" t="s">
        <v>235</v>
      </c>
      <c r="H25" t="s">
        <v>209</v>
      </c>
      <c r="I25" t="s">
        <v>170</v>
      </c>
      <c r="J25">
        <v>24</v>
      </c>
    </row>
    <row r="26" spans="1:10" x14ac:dyDescent="0.3">
      <c r="A26" t="s">
        <v>236</v>
      </c>
      <c r="B26" t="s">
        <v>92</v>
      </c>
      <c r="C26">
        <f t="shared" si="0"/>
        <v>56</v>
      </c>
      <c r="D26">
        <v>2500</v>
      </c>
      <c r="E26" t="s">
        <v>22</v>
      </c>
      <c r="H26" t="s">
        <v>210</v>
      </c>
      <c r="I26" t="s">
        <v>178</v>
      </c>
      <c r="J26">
        <v>25</v>
      </c>
    </row>
    <row r="27" spans="1:10" x14ac:dyDescent="0.3">
      <c r="A27" t="s">
        <v>80</v>
      </c>
      <c r="B27" t="s">
        <v>80</v>
      </c>
      <c r="C27">
        <f t="shared" si="0"/>
        <v>56</v>
      </c>
      <c r="D27">
        <v>2600</v>
      </c>
      <c r="E27" t="s">
        <v>63</v>
      </c>
      <c r="H27" t="s">
        <v>211</v>
      </c>
      <c r="I27" t="s">
        <v>179</v>
      </c>
      <c r="J27">
        <v>26</v>
      </c>
    </row>
    <row r="28" spans="1:10" x14ac:dyDescent="0.3">
      <c r="A28" t="s">
        <v>7</v>
      </c>
      <c r="B28" t="s">
        <v>7</v>
      </c>
      <c r="C28">
        <f t="shared" si="0"/>
        <v>28</v>
      </c>
      <c r="D28">
        <v>2700</v>
      </c>
      <c r="E28" t="s">
        <v>7</v>
      </c>
      <c r="H28" t="s">
        <v>212</v>
      </c>
      <c r="I28" t="s">
        <v>180</v>
      </c>
      <c r="J28">
        <v>27</v>
      </c>
    </row>
    <row r="29" spans="1:10" x14ac:dyDescent="0.3">
      <c r="A29" t="s">
        <v>106</v>
      </c>
      <c r="B29" t="s">
        <v>106</v>
      </c>
      <c r="C29">
        <f t="shared" si="0"/>
        <v>56</v>
      </c>
      <c r="D29">
        <v>2800</v>
      </c>
      <c r="E29" t="s">
        <v>51</v>
      </c>
      <c r="H29" t="s">
        <v>191</v>
      </c>
      <c r="I29" t="s">
        <v>145</v>
      </c>
      <c r="J29">
        <v>7</v>
      </c>
    </row>
    <row r="30" spans="1:10" x14ac:dyDescent="0.3">
      <c r="A30" t="s">
        <v>96</v>
      </c>
      <c r="B30" t="s">
        <v>96</v>
      </c>
      <c r="C30">
        <f t="shared" si="0"/>
        <v>56</v>
      </c>
      <c r="D30">
        <v>2900</v>
      </c>
      <c r="E30" t="s">
        <v>19</v>
      </c>
      <c r="H30" t="s">
        <v>185</v>
      </c>
      <c r="I30" t="s">
        <v>453</v>
      </c>
      <c r="J30">
        <v>1</v>
      </c>
    </row>
    <row r="31" spans="1:10" x14ac:dyDescent="0.3">
      <c r="A31" t="s">
        <v>89</v>
      </c>
      <c r="B31" t="s">
        <v>89</v>
      </c>
      <c r="C31">
        <f t="shared" si="0"/>
        <v>56</v>
      </c>
      <c r="D31">
        <v>3000</v>
      </c>
      <c r="E31" t="s">
        <v>54</v>
      </c>
      <c r="H31" t="s">
        <v>186</v>
      </c>
      <c r="I31" t="s">
        <v>454</v>
      </c>
      <c r="J31">
        <v>2</v>
      </c>
    </row>
    <row r="32" spans="1:10" x14ac:dyDescent="0.3">
      <c r="A32" t="s">
        <v>93</v>
      </c>
      <c r="B32" t="s">
        <v>93</v>
      </c>
      <c r="C32">
        <f t="shared" si="0"/>
        <v>56</v>
      </c>
      <c r="D32">
        <v>3100</v>
      </c>
      <c r="E32" t="s">
        <v>56</v>
      </c>
      <c r="H32" t="s">
        <v>187</v>
      </c>
      <c r="I32" t="s">
        <v>452</v>
      </c>
      <c r="J32">
        <v>3</v>
      </c>
    </row>
    <row r="33" spans="1:10" x14ac:dyDescent="0.3">
      <c r="A33" t="s">
        <v>127</v>
      </c>
      <c r="B33" t="s">
        <v>127</v>
      </c>
      <c r="C33">
        <f t="shared" si="0"/>
        <v>56</v>
      </c>
      <c r="D33">
        <v>3200</v>
      </c>
      <c r="E33" t="s">
        <v>20</v>
      </c>
      <c r="H33" t="s">
        <v>188</v>
      </c>
      <c r="I33" t="s">
        <v>451</v>
      </c>
      <c r="J33">
        <v>4</v>
      </c>
    </row>
    <row r="34" spans="1:10" x14ac:dyDescent="0.3">
      <c r="A34" t="s">
        <v>91</v>
      </c>
      <c r="B34" t="s">
        <v>91</v>
      </c>
      <c r="C34">
        <f t="shared" si="0"/>
        <v>56</v>
      </c>
      <c r="D34">
        <v>3300</v>
      </c>
      <c r="E34" t="s">
        <v>50</v>
      </c>
      <c r="H34" t="s">
        <v>189</v>
      </c>
      <c r="I34" t="s">
        <v>419</v>
      </c>
      <c r="J34">
        <v>5</v>
      </c>
    </row>
    <row r="35" spans="1:10" x14ac:dyDescent="0.3">
      <c r="A35" t="s">
        <v>237</v>
      </c>
      <c r="B35" t="s">
        <v>237</v>
      </c>
      <c r="C35">
        <f t="shared" si="0"/>
        <v>28</v>
      </c>
      <c r="D35">
        <v>3400</v>
      </c>
      <c r="E35" t="s">
        <v>331</v>
      </c>
      <c r="H35" t="s">
        <v>190</v>
      </c>
      <c r="I35" t="s">
        <v>428</v>
      </c>
      <c r="J35">
        <v>6</v>
      </c>
    </row>
    <row r="36" spans="1:10" x14ac:dyDescent="0.3">
      <c r="A36" t="s">
        <v>87</v>
      </c>
      <c r="B36" t="s">
        <v>87</v>
      </c>
      <c r="C36">
        <f t="shared" si="0"/>
        <v>56</v>
      </c>
      <c r="D36">
        <v>3500</v>
      </c>
      <c r="E36" t="s">
        <v>55</v>
      </c>
      <c r="H36" t="s">
        <v>191</v>
      </c>
      <c r="I36" t="s">
        <v>192</v>
      </c>
      <c r="J36">
        <v>7</v>
      </c>
    </row>
    <row r="37" spans="1:10" x14ac:dyDescent="0.3">
      <c r="A37" t="s">
        <v>129</v>
      </c>
      <c r="B37" t="s">
        <v>129</v>
      </c>
      <c r="C37">
        <f t="shared" si="0"/>
        <v>56</v>
      </c>
      <c r="D37">
        <v>3600</v>
      </c>
      <c r="E37" t="s">
        <v>43</v>
      </c>
      <c r="H37" t="s">
        <v>193</v>
      </c>
      <c r="I37" t="s">
        <v>431</v>
      </c>
      <c r="J37">
        <v>8</v>
      </c>
    </row>
    <row r="38" spans="1:10" x14ac:dyDescent="0.3">
      <c r="A38" t="s">
        <v>115</v>
      </c>
      <c r="B38" t="s">
        <v>115</v>
      </c>
      <c r="C38">
        <f t="shared" si="0"/>
        <v>56</v>
      </c>
      <c r="D38">
        <v>3700</v>
      </c>
      <c r="E38" t="s">
        <v>21</v>
      </c>
      <c r="H38" t="s">
        <v>194</v>
      </c>
      <c r="I38" t="s">
        <v>436</v>
      </c>
      <c r="J38">
        <v>9</v>
      </c>
    </row>
    <row r="39" spans="1:10" x14ac:dyDescent="0.3">
      <c r="A39" t="s">
        <v>238</v>
      </c>
      <c r="B39" t="s">
        <v>238</v>
      </c>
      <c r="C39">
        <f t="shared" si="0"/>
        <v>0</v>
      </c>
      <c r="D39">
        <v>3800</v>
      </c>
      <c r="E39" t="s">
        <v>332</v>
      </c>
      <c r="H39" t="s">
        <v>195</v>
      </c>
      <c r="I39" t="s">
        <v>443</v>
      </c>
      <c r="J39">
        <v>10</v>
      </c>
    </row>
    <row r="40" spans="1:10" x14ac:dyDescent="0.3">
      <c r="A40" t="s">
        <v>88</v>
      </c>
      <c r="B40" t="s">
        <v>88</v>
      </c>
      <c r="C40">
        <f t="shared" si="0"/>
        <v>56</v>
      </c>
      <c r="D40">
        <v>3900</v>
      </c>
      <c r="E40" t="s">
        <v>57</v>
      </c>
      <c r="H40" t="s">
        <v>196</v>
      </c>
      <c r="I40" t="s">
        <v>433</v>
      </c>
      <c r="J40">
        <v>11</v>
      </c>
    </row>
    <row r="41" spans="1:10" x14ac:dyDescent="0.3">
      <c r="A41" t="s">
        <v>105</v>
      </c>
      <c r="B41" t="s">
        <v>105</v>
      </c>
      <c r="C41">
        <f t="shared" si="0"/>
        <v>28</v>
      </c>
      <c r="D41">
        <v>4000</v>
      </c>
      <c r="E41" t="s">
        <v>23</v>
      </c>
      <c r="H41" t="s">
        <v>197</v>
      </c>
      <c r="I41" t="s">
        <v>434</v>
      </c>
      <c r="J41">
        <v>12</v>
      </c>
    </row>
    <row r="42" spans="1:10" x14ac:dyDescent="0.3">
      <c r="A42" t="s">
        <v>239</v>
      </c>
      <c r="B42" t="s">
        <v>239</v>
      </c>
      <c r="C42">
        <f t="shared" si="0"/>
        <v>0</v>
      </c>
      <c r="D42">
        <v>4100</v>
      </c>
      <c r="E42" t="s">
        <v>333</v>
      </c>
      <c r="H42" t="s">
        <v>198</v>
      </c>
      <c r="I42" t="s">
        <v>435</v>
      </c>
      <c r="J42">
        <v>13</v>
      </c>
    </row>
    <row r="43" spans="1:10" x14ac:dyDescent="0.3">
      <c r="A43" t="s">
        <v>123</v>
      </c>
      <c r="B43" t="s">
        <v>123</v>
      </c>
      <c r="C43">
        <f t="shared" si="0"/>
        <v>28</v>
      </c>
      <c r="D43">
        <v>4200</v>
      </c>
      <c r="E43" t="s">
        <v>47</v>
      </c>
      <c r="H43" t="s">
        <v>199</v>
      </c>
      <c r="I43" t="s">
        <v>437</v>
      </c>
      <c r="J43">
        <v>14</v>
      </c>
    </row>
    <row r="44" spans="1:10" x14ac:dyDescent="0.3">
      <c r="A44" t="s">
        <v>125</v>
      </c>
      <c r="B44" t="s">
        <v>125</v>
      </c>
      <c r="C44">
        <f t="shared" si="0"/>
        <v>56</v>
      </c>
      <c r="D44">
        <v>4300</v>
      </c>
      <c r="E44" t="s">
        <v>4</v>
      </c>
      <c r="H44" t="s">
        <v>200</v>
      </c>
      <c r="I44" t="s">
        <v>440</v>
      </c>
      <c r="J44">
        <v>15</v>
      </c>
    </row>
    <row r="45" spans="1:10" x14ac:dyDescent="0.3">
      <c r="A45" t="s">
        <v>83</v>
      </c>
      <c r="B45" t="s">
        <v>83</v>
      </c>
      <c r="C45">
        <f t="shared" si="0"/>
        <v>56</v>
      </c>
      <c r="D45">
        <v>4400</v>
      </c>
      <c r="E45" t="s">
        <v>58</v>
      </c>
      <c r="H45" t="s">
        <v>201</v>
      </c>
      <c r="I45" t="s">
        <v>438</v>
      </c>
      <c r="J45">
        <v>16</v>
      </c>
    </row>
    <row r="46" spans="1:10" x14ac:dyDescent="0.3">
      <c r="A46" t="s">
        <v>84</v>
      </c>
      <c r="B46" t="s">
        <v>84</v>
      </c>
      <c r="C46">
        <f t="shared" si="0"/>
        <v>56</v>
      </c>
      <c r="D46">
        <v>4500</v>
      </c>
      <c r="E46" t="s">
        <v>5</v>
      </c>
      <c r="H46" t="s">
        <v>202</v>
      </c>
      <c r="I46" t="s">
        <v>441</v>
      </c>
      <c r="J46">
        <v>17</v>
      </c>
    </row>
    <row r="47" spans="1:10" x14ac:dyDescent="0.3">
      <c r="A47" t="s">
        <v>101</v>
      </c>
      <c r="B47" t="s">
        <v>101</v>
      </c>
      <c r="C47">
        <f t="shared" si="0"/>
        <v>56</v>
      </c>
      <c r="D47">
        <v>4600</v>
      </c>
      <c r="E47" t="s">
        <v>26</v>
      </c>
      <c r="H47" t="s">
        <v>203</v>
      </c>
      <c r="I47" t="s">
        <v>446</v>
      </c>
      <c r="J47">
        <v>18</v>
      </c>
    </row>
    <row r="48" spans="1:10" x14ac:dyDescent="0.3">
      <c r="A48" t="s">
        <v>107</v>
      </c>
      <c r="B48" t="s">
        <v>107</v>
      </c>
      <c r="C48">
        <f t="shared" si="0"/>
        <v>28</v>
      </c>
      <c r="D48">
        <v>4700</v>
      </c>
      <c r="E48" t="s">
        <v>27</v>
      </c>
      <c r="H48" t="s">
        <v>204</v>
      </c>
      <c r="I48" t="s">
        <v>444</v>
      </c>
      <c r="J48">
        <v>19</v>
      </c>
    </row>
    <row r="49" spans="1:10" x14ac:dyDescent="0.3">
      <c r="A49" t="s">
        <v>104</v>
      </c>
      <c r="B49" t="s">
        <v>104</v>
      </c>
      <c r="C49">
        <f t="shared" si="0"/>
        <v>28</v>
      </c>
      <c r="D49">
        <v>4800</v>
      </c>
      <c r="E49" t="s">
        <v>41</v>
      </c>
      <c r="H49" t="s">
        <v>205</v>
      </c>
      <c r="I49" t="s">
        <v>448</v>
      </c>
      <c r="J49">
        <v>20</v>
      </c>
    </row>
    <row r="50" spans="1:10" x14ac:dyDescent="0.3">
      <c r="A50" t="s">
        <v>108</v>
      </c>
      <c r="B50" t="s">
        <v>108</v>
      </c>
      <c r="C50">
        <f t="shared" si="0"/>
        <v>28</v>
      </c>
      <c r="D50">
        <v>4900</v>
      </c>
      <c r="E50" t="s">
        <v>18</v>
      </c>
      <c r="H50" t="s">
        <v>206</v>
      </c>
      <c r="I50" t="s">
        <v>442</v>
      </c>
      <c r="J50">
        <v>21</v>
      </c>
    </row>
    <row r="51" spans="1:10" x14ac:dyDescent="0.3">
      <c r="A51" t="s">
        <v>110</v>
      </c>
      <c r="B51" t="s">
        <v>110</v>
      </c>
      <c r="C51">
        <f t="shared" si="0"/>
        <v>28</v>
      </c>
      <c r="D51">
        <v>5000</v>
      </c>
      <c r="E51" t="s">
        <v>24</v>
      </c>
      <c r="H51" t="s">
        <v>207</v>
      </c>
      <c r="I51" t="s">
        <v>445</v>
      </c>
      <c r="J51">
        <v>22</v>
      </c>
    </row>
    <row r="52" spans="1:10" x14ac:dyDescent="0.3">
      <c r="A52" t="s">
        <v>240</v>
      </c>
      <c r="B52" t="s">
        <v>240</v>
      </c>
      <c r="C52">
        <f t="shared" si="0"/>
        <v>0</v>
      </c>
      <c r="D52">
        <v>5100</v>
      </c>
      <c r="E52" t="s">
        <v>334</v>
      </c>
      <c r="H52" t="s">
        <v>208</v>
      </c>
      <c r="I52" t="s">
        <v>447</v>
      </c>
      <c r="J52">
        <v>23</v>
      </c>
    </row>
    <row r="53" spans="1:10" x14ac:dyDescent="0.3">
      <c r="A53" t="s">
        <v>241</v>
      </c>
      <c r="B53" t="s">
        <v>241</v>
      </c>
      <c r="C53">
        <f t="shared" si="0"/>
        <v>28</v>
      </c>
      <c r="D53">
        <v>5200</v>
      </c>
      <c r="E53" t="s">
        <v>335</v>
      </c>
      <c r="H53" t="s">
        <v>209</v>
      </c>
      <c r="I53" t="s">
        <v>449</v>
      </c>
      <c r="J53">
        <v>24</v>
      </c>
    </row>
    <row r="54" spans="1:10" x14ac:dyDescent="0.3">
      <c r="A54" t="s">
        <v>242</v>
      </c>
      <c r="B54" t="s">
        <v>242</v>
      </c>
      <c r="C54">
        <f t="shared" si="0"/>
        <v>28</v>
      </c>
      <c r="D54">
        <v>5300</v>
      </c>
      <c r="E54" t="s">
        <v>336</v>
      </c>
      <c r="H54" t="s">
        <v>210</v>
      </c>
      <c r="I54" t="s">
        <v>456</v>
      </c>
      <c r="J54">
        <v>25</v>
      </c>
    </row>
    <row r="55" spans="1:10" x14ac:dyDescent="0.3">
      <c r="A55" t="s">
        <v>94</v>
      </c>
      <c r="B55" t="s">
        <v>94</v>
      </c>
      <c r="C55">
        <f t="shared" si="0"/>
        <v>56</v>
      </c>
      <c r="D55">
        <v>5400</v>
      </c>
      <c r="E55" t="s">
        <v>48</v>
      </c>
      <c r="H55" t="s">
        <v>211</v>
      </c>
      <c r="I55" t="s">
        <v>457</v>
      </c>
      <c r="J55">
        <v>26</v>
      </c>
    </row>
    <row r="56" spans="1:10" x14ac:dyDescent="0.3">
      <c r="A56" t="s">
        <v>86</v>
      </c>
      <c r="B56" t="s">
        <v>86</v>
      </c>
      <c r="C56">
        <f t="shared" si="0"/>
        <v>56</v>
      </c>
      <c r="D56">
        <v>5500</v>
      </c>
      <c r="E56" t="s">
        <v>49</v>
      </c>
      <c r="H56" t="s">
        <v>212</v>
      </c>
      <c r="I56" t="s">
        <v>458</v>
      </c>
      <c r="J56">
        <v>27</v>
      </c>
    </row>
    <row r="57" spans="1:10" x14ac:dyDescent="0.3">
      <c r="A57" t="s">
        <v>62</v>
      </c>
      <c r="B57" t="s">
        <v>62</v>
      </c>
      <c r="C57">
        <f t="shared" si="0"/>
        <v>56</v>
      </c>
      <c r="D57">
        <v>5600</v>
      </c>
      <c r="E57" t="s">
        <v>62</v>
      </c>
      <c r="H57" t="s">
        <v>191</v>
      </c>
      <c r="I57" t="s">
        <v>429</v>
      </c>
      <c r="J57">
        <v>7</v>
      </c>
    </row>
    <row r="58" spans="1:10" x14ac:dyDescent="0.3">
      <c r="A58" t="s">
        <v>120</v>
      </c>
      <c r="B58" t="s">
        <v>120</v>
      </c>
      <c r="C58">
        <f t="shared" si="0"/>
        <v>28</v>
      </c>
      <c r="D58">
        <v>5700</v>
      </c>
      <c r="E58" t="s">
        <v>45</v>
      </c>
      <c r="H58" t="s">
        <v>191</v>
      </c>
      <c r="I58" t="s">
        <v>145</v>
      </c>
      <c r="J58">
        <v>7</v>
      </c>
    </row>
    <row r="59" spans="1:10" x14ac:dyDescent="0.3">
      <c r="A59" t="s">
        <v>139</v>
      </c>
      <c r="B59" t="s">
        <v>139</v>
      </c>
      <c r="C59">
        <f t="shared" si="0"/>
        <v>56</v>
      </c>
      <c r="D59">
        <v>5800</v>
      </c>
      <c r="E59" t="s">
        <v>28</v>
      </c>
      <c r="H59" t="s">
        <v>185</v>
      </c>
      <c r="I59" t="s">
        <v>533</v>
      </c>
      <c r="J59">
        <v>1</v>
      </c>
    </row>
    <row r="60" spans="1:10" x14ac:dyDescent="0.3">
      <c r="A60" t="s">
        <v>243</v>
      </c>
      <c r="B60" t="s">
        <v>243</v>
      </c>
      <c r="C60">
        <f t="shared" si="0"/>
        <v>0</v>
      </c>
      <c r="D60">
        <v>5900</v>
      </c>
      <c r="E60" t="s">
        <v>337</v>
      </c>
      <c r="H60" t="s">
        <v>186</v>
      </c>
      <c r="I60" t="s">
        <v>534</v>
      </c>
      <c r="J60">
        <v>2</v>
      </c>
    </row>
    <row r="61" spans="1:10" x14ac:dyDescent="0.3">
      <c r="A61" t="s">
        <v>244</v>
      </c>
      <c r="B61" t="s">
        <v>244</v>
      </c>
      <c r="C61">
        <f t="shared" si="0"/>
        <v>0</v>
      </c>
      <c r="D61">
        <v>6000</v>
      </c>
      <c r="E61" t="s">
        <v>338</v>
      </c>
      <c r="H61" t="s">
        <v>187</v>
      </c>
      <c r="I61" t="s">
        <v>535</v>
      </c>
      <c r="J61">
        <v>3</v>
      </c>
    </row>
    <row r="62" spans="1:10" x14ac:dyDescent="0.3">
      <c r="A62" t="s">
        <v>159</v>
      </c>
      <c r="B62" t="s">
        <v>159</v>
      </c>
      <c r="C62">
        <f t="shared" si="0"/>
        <v>0</v>
      </c>
      <c r="D62">
        <v>6100</v>
      </c>
      <c r="E62" t="s">
        <v>339</v>
      </c>
      <c r="H62" t="s">
        <v>188</v>
      </c>
      <c r="I62" t="s">
        <v>536</v>
      </c>
      <c r="J62">
        <v>4</v>
      </c>
    </row>
    <row r="63" spans="1:10" x14ac:dyDescent="0.3">
      <c r="A63" t="s">
        <v>81</v>
      </c>
      <c r="B63" t="s">
        <v>81</v>
      </c>
      <c r="C63">
        <f t="shared" si="0"/>
        <v>56</v>
      </c>
      <c r="D63">
        <v>6200</v>
      </c>
      <c r="E63" t="s">
        <v>10</v>
      </c>
      <c r="H63" t="s">
        <v>189</v>
      </c>
      <c r="I63" t="s">
        <v>537</v>
      </c>
      <c r="J63">
        <v>5</v>
      </c>
    </row>
    <row r="64" spans="1:10" x14ac:dyDescent="0.3">
      <c r="A64" t="s">
        <v>122</v>
      </c>
      <c r="B64" t="s">
        <v>122</v>
      </c>
      <c r="C64">
        <f t="shared" si="0"/>
        <v>28</v>
      </c>
      <c r="D64">
        <v>6300</v>
      </c>
      <c r="E64" t="s">
        <v>40</v>
      </c>
      <c r="H64" t="s">
        <v>190</v>
      </c>
      <c r="I64" t="s">
        <v>538</v>
      </c>
      <c r="J64">
        <v>6</v>
      </c>
    </row>
    <row r="65" spans="1:10" x14ac:dyDescent="0.3">
      <c r="A65" t="s">
        <v>245</v>
      </c>
      <c r="B65" t="s">
        <v>245</v>
      </c>
      <c r="C65">
        <f t="shared" si="0"/>
        <v>0</v>
      </c>
      <c r="D65">
        <v>6400</v>
      </c>
      <c r="E65" t="s">
        <v>340</v>
      </c>
      <c r="H65" t="s">
        <v>191</v>
      </c>
      <c r="I65" t="s">
        <v>192</v>
      </c>
      <c r="J65">
        <v>7</v>
      </c>
    </row>
    <row r="66" spans="1:10" x14ac:dyDescent="0.3">
      <c r="A66" t="s">
        <v>246</v>
      </c>
      <c r="B66" t="s">
        <v>246</v>
      </c>
      <c r="C66">
        <f t="shared" ref="C66:C129" si="1">COUNTIF(rawTeamCol,B66)+COUNTIF(rawTeamCol2,B66)</f>
        <v>0</v>
      </c>
      <c r="D66">
        <v>6500</v>
      </c>
      <c r="E66" t="s">
        <v>341</v>
      </c>
      <c r="H66" t="s">
        <v>193</v>
      </c>
      <c r="I66" t="s">
        <v>539</v>
      </c>
      <c r="J66">
        <v>8</v>
      </c>
    </row>
    <row r="67" spans="1:10" x14ac:dyDescent="0.3">
      <c r="A67" t="s">
        <v>247</v>
      </c>
      <c r="B67" t="s">
        <v>247</v>
      </c>
      <c r="C67">
        <f t="shared" si="1"/>
        <v>28</v>
      </c>
      <c r="D67">
        <v>6600</v>
      </c>
      <c r="E67" t="s">
        <v>342</v>
      </c>
      <c r="H67" t="s">
        <v>194</v>
      </c>
      <c r="I67" t="s">
        <v>540</v>
      </c>
      <c r="J67">
        <v>9</v>
      </c>
    </row>
    <row r="68" spans="1:10" x14ac:dyDescent="0.3">
      <c r="A68" t="s">
        <v>118</v>
      </c>
      <c r="B68" t="s">
        <v>118</v>
      </c>
      <c r="C68">
        <f t="shared" si="1"/>
        <v>56</v>
      </c>
      <c r="D68">
        <v>6700</v>
      </c>
      <c r="E68" t="s">
        <v>60</v>
      </c>
      <c r="H68" t="s">
        <v>195</v>
      </c>
      <c r="I68" t="s">
        <v>541</v>
      </c>
      <c r="J68">
        <v>10</v>
      </c>
    </row>
    <row r="69" spans="1:10" x14ac:dyDescent="0.3">
      <c r="A69" t="s">
        <v>248</v>
      </c>
      <c r="B69" t="s">
        <v>248</v>
      </c>
      <c r="C69">
        <f t="shared" si="1"/>
        <v>28</v>
      </c>
      <c r="D69">
        <v>6800</v>
      </c>
      <c r="E69" t="s">
        <v>343</v>
      </c>
      <c r="H69" t="s">
        <v>196</v>
      </c>
      <c r="I69" t="s">
        <v>542</v>
      </c>
      <c r="J69">
        <v>11</v>
      </c>
    </row>
    <row r="70" spans="1:10" x14ac:dyDescent="0.3">
      <c r="A70" t="s">
        <v>114</v>
      </c>
      <c r="B70" t="s">
        <v>114</v>
      </c>
      <c r="C70">
        <f t="shared" si="1"/>
        <v>28</v>
      </c>
      <c r="D70">
        <v>6900</v>
      </c>
      <c r="E70" t="s">
        <v>65</v>
      </c>
      <c r="H70" t="s">
        <v>197</v>
      </c>
      <c r="I70" t="s">
        <v>543</v>
      </c>
      <c r="J70">
        <v>12</v>
      </c>
    </row>
    <row r="71" spans="1:10" x14ac:dyDescent="0.3">
      <c r="A71" t="s">
        <v>249</v>
      </c>
      <c r="B71" t="s">
        <v>249</v>
      </c>
      <c r="C71">
        <f t="shared" si="1"/>
        <v>0</v>
      </c>
      <c r="D71">
        <v>7000</v>
      </c>
      <c r="E71" t="s">
        <v>344</v>
      </c>
      <c r="H71" t="s">
        <v>198</v>
      </c>
      <c r="I71" t="s">
        <v>544</v>
      </c>
      <c r="J71">
        <v>13</v>
      </c>
    </row>
    <row r="72" spans="1:10" x14ac:dyDescent="0.3">
      <c r="A72" t="s">
        <v>250</v>
      </c>
      <c r="B72" t="s">
        <v>250</v>
      </c>
      <c r="C72">
        <f t="shared" si="1"/>
        <v>0</v>
      </c>
      <c r="D72">
        <v>7100</v>
      </c>
      <c r="E72" t="s">
        <v>345</v>
      </c>
      <c r="H72" t="s">
        <v>199</v>
      </c>
      <c r="I72" t="s">
        <v>545</v>
      </c>
      <c r="J72">
        <v>14</v>
      </c>
    </row>
    <row r="73" spans="1:10" x14ac:dyDescent="0.3">
      <c r="A73" t="s">
        <v>116</v>
      </c>
      <c r="B73" t="s">
        <v>116</v>
      </c>
      <c r="C73">
        <f t="shared" si="1"/>
        <v>28</v>
      </c>
      <c r="D73">
        <v>7200</v>
      </c>
      <c r="E73" t="s">
        <v>46</v>
      </c>
      <c r="H73" t="s">
        <v>200</v>
      </c>
      <c r="I73" t="s">
        <v>546</v>
      </c>
      <c r="J73">
        <v>15</v>
      </c>
    </row>
    <row r="74" spans="1:10" x14ac:dyDescent="0.3">
      <c r="A74" t="s">
        <v>111</v>
      </c>
      <c r="B74" t="s">
        <v>111</v>
      </c>
      <c r="C74">
        <f t="shared" si="1"/>
        <v>28</v>
      </c>
      <c r="D74">
        <v>7300</v>
      </c>
      <c r="E74" t="s">
        <v>44</v>
      </c>
      <c r="H74" t="s">
        <v>201</v>
      </c>
      <c r="I74" t="s">
        <v>547</v>
      </c>
      <c r="J74">
        <v>16</v>
      </c>
    </row>
    <row r="75" spans="1:10" x14ac:dyDescent="0.3">
      <c r="A75" t="s">
        <v>251</v>
      </c>
      <c r="B75" t="s">
        <v>251</v>
      </c>
      <c r="C75">
        <f t="shared" si="1"/>
        <v>28</v>
      </c>
      <c r="D75">
        <v>7400</v>
      </c>
      <c r="E75" t="s">
        <v>346</v>
      </c>
      <c r="H75" t="s">
        <v>202</v>
      </c>
      <c r="I75" t="s">
        <v>548</v>
      </c>
      <c r="J75">
        <v>17</v>
      </c>
    </row>
    <row r="76" spans="1:10" x14ac:dyDescent="0.3">
      <c r="A76" t="s">
        <v>252</v>
      </c>
      <c r="B76" t="s">
        <v>252</v>
      </c>
      <c r="C76">
        <f t="shared" si="1"/>
        <v>0</v>
      </c>
      <c r="D76">
        <v>7500</v>
      </c>
      <c r="E76" t="s">
        <v>347</v>
      </c>
      <c r="H76" t="s">
        <v>203</v>
      </c>
      <c r="I76" t="s">
        <v>549</v>
      </c>
      <c r="J76">
        <v>18</v>
      </c>
    </row>
    <row r="77" spans="1:10" x14ac:dyDescent="0.3">
      <c r="A77" t="s">
        <v>253</v>
      </c>
      <c r="B77" t="s">
        <v>253</v>
      </c>
      <c r="C77">
        <f t="shared" si="1"/>
        <v>0</v>
      </c>
      <c r="D77">
        <v>7600</v>
      </c>
      <c r="E77" t="s">
        <v>348</v>
      </c>
      <c r="H77" t="s">
        <v>204</v>
      </c>
      <c r="I77" t="s">
        <v>550</v>
      </c>
      <c r="J77">
        <v>19</v>
      </c>
    </row>
    <row r="78" spans="1:10" x14ac:dyDescent="0.3">
      <c r="A78" t="s">
        <v>254</v>
      </c>
      <c r="B78" t="s">
        <v>254</v>
      </c>
      <c r="C78">
        <f t="shared" si="1"/>
        <v>0</v>
      </c>
      <c r="D78">
        <v>7700</v>
      </c>
      <c r="E78" t="s">
        <v>349</v>
      </c>
      <c r="H78" t="s">
        <v>205</v>
      </c>
      <c r="I78" t="s">
        <v>551</v>
      </c>
      <c r="J78">
        <v>20</v>
      </c>
    </row>
    <row r="79" spans="1:10" x14ac:dyDescent="0.3">
      <c r="A79" t="s">
        <v>255</v>
      </c>
      <c r="B79" t="s">
        <v>255</v>
      </c>
      <c r="C79">
        <f t="shared" si="1"/>
        <v>0</v>
      </c>
      <c r="D79">
        <v>7800</v>
      </c>
      <c r="E79" t="s">
        <v>350</v>
      </c>
      <c r="H79" t="s">
        <v>206</v>
      </c>
      <c r="I79" t="s">
        <v>552</v>
      </c>
      <c r="J79">
        <v>21</v>
      </c>
    </row>
    <row r="80" spans="1:10" x14ac:dyDescent="0.3">
      <c r="A80" t="s">
        <v>103</v>
      </c>
      <c r="B80" t="s">
        <v>103</v>
      </c>
      <c r="C80">
        <f t="shared" si="1"/>
        <v>56</v>
      </c>
      <c r="D80">
        <v>7900</v>
      </c>
      <c r="E80" t="s">
        <v>38</v>
      </c>
      <c r="H80" t="s">
        <v>207</v>
      </c>
      <c r="I80" t="s">
        <v>553</v>
      </c>
      <c r="J80">
        <v>22</v>
      </c>
    </row>
    <row r="81" spans="1:10" x14ac:dyDescent="0.3">
      <c r="A81" t="s">
        <v>117</v>
      </c>
      <c r="B81" t="s">
        <v>117</v>
      </c>
      <c r="C81">
        <f t="shared" si="1"/>
        <v>28</v>
      </c>
      <c r="D81">
        <v>8000</v>
      </c>
      <c r="E81" t="s">
        <v>37</v>
      </c>
      <c r="H81" t="s">
        <v>208</v>
      </c>
      <c r="I81" t="s">
        <v>554</v>
      </c>
      <c r="J81">
        <v>23</v>
      </c>
    </row>
    <row r="82" spans="1:10" x14ac:dyDescent="0.3">
      <c r="A82" t="s">
        <v>256</v>
      </c>
      <c r="B82" t="s">
        <v>256</v>
      </c>
      <c r="C82">
        <f t="shared" si="1"/>
        <v>28</v>
      </c>
      <c r="D82">
        <v>8100</v>
      </c>
      <c r="E82" t="s">
        <v>351</v>
      </c>
      <c r="H82" t="s">
        <v>209</v>
      </c>
      <c r="I82" t="s">
        <v>555</v>
      </c>
      <c r="J82">
        <v>24</v>
      </c>
    </row>
    <row r="83" spans="1:10" x14ac:dyDescent="0.3">
      <c r="A83" t="s">
        <v>131</v>
      </c>
      <c r="B83" t="s">
        <v>131</v>
      </c>
      <c r="C83">
        <f t="shared" si="1"/>
        <v>28</v>
      </c>
      <c r="D83">
        <v>8200</v>
      </c>
      <c r="E83" t="s">
        <v>68</v>
      </c>
      <c r="H83" t="s">
        <v>210</v>
      </c>
      <c r="I83" t="s">
        <v>556</v>
      </c>
      <c r="J83">
        <v>25</v>
      </c>
    </row>
    <row r="84" spans="1:10" x14ac:dyDescent="0.3">
      <c r="A84" t="s">
        <v>257</v>
      </c>
      <c r="B84" t="s">
        <v>257</v>
      </c>
      <c r="C84">
        <f t="shared" si="1"/>
        <v>0</v>
      </c>
      <c r="D84">
        <v>8300</v>
      </c>
      <c r="E84" t="s">
        <v>352</v>
      </c>
      <c r="H84" t="s">
        <v>211</v>
      </c>
      <c r="I84" t="s">
        <v>557</v>
      </c>
      <c r="J84">
        <v>26</v>
      </c>
    </row>
    <row r="85" spans="1:10" x14ac:dyDescent="0.3">
      <c r="A85" t="s">
        <v>109</v>
      </c>
      <c r="B85" t="s">
        <v>109</v>
      </c>
      <c r="C85">
        <f t="shared" si="1"/>
        <v>56</v>
      </c>
      <c r="D85">
        <v>8400</v>
      </c>
      <c r="E85" t="s">
        <v>30</v>
      </c>
      <c r="H85" t="s">
        <v>212</v>
      </c>
      <c r="I85" t="s">
        <v>558</v>
      </c>
      <c r="J85">
        <v>27</v>
      </c>
    </row>
    <row r="86" spans="1:10" x14ac:dyDescent="0.3">
      <c r="A86" t="s">
        <v>258</v>
      </c>
      <c r="B86" t="s">
        <v>258</v>
      </c>
      <c r="C86">
        <f t="shared" si="1"/>
        <v>0</v>
      </c>
      <c r="D86">
        <v>8500</v>
      </c>
      <c r="E86" t="s">
        <v>353</v>
      </c>
      <c r="H86" t="s">
        <v>191</v>
      </c>
      <c r="I86" t="s">
        <v>561</v>
      </c>
      <c r="J86">
        <v>7</v>
      </c>
    </row>
    <row r="87" spans="1:10" x14ac:dyDescent="0.3">
      <c r="A87" t="s">
        <v>259</v>
      </c>
      <c r="B87" t="s">
        <v>259</v>
      </c>
      <c r="C87">
        <f t="shared" si="1"/>
        <v>28</v>
      </c>
      <c r="D87">
        <v>8600</v>
      </c>
      <c r="E87" t="s">
        <v>354</v>
      </c>
    </row>
    <row r="88" spans="1:10" x14ac:dyDescent="0.3">
      <c r="A88" t="s">
        <v>260</v>
      </c>
      <c r="B88" t="s">
        <v>260</v>
      </c>
      <c r="C88">
        <f t="shared" si="1"/>
        <v>0</v>
      </c>
      <c r="D88">
        <v>8700</v>
      </c>
      <c r="E88" t="s">
        <v>355</v>
      </c>
    </row>
    <row r="89" spans="1:10" x14ac:dyDescent="0.3">
      <c r="A89" t="s">
        <v>141</v>
      </c>
      <c r="B89" t="s">
        <v>141</v>
      </c>
      <c r="C89">
        <f t="shared" si="1"/>
        <v>56</v>
      </c>
      <c r="D89">
        <v>8800</v>
      </c>
      <c r="E89" t="s">
        <v>32</v>
      </c>
    </row>
    <row r="90" spans="1:10" x14ac:dyDescent="0.3">
      <c r="A90" t="s">
        <v>157</v>
      </c>
      <c r="B90" t="s">
        <v>157</v>
      </c>
      <c r="C90">
        <f t="shared" si="1"/>
        <v>0</v>
      </c>
      <c r="D90">
        <v>8900</v>
      </c>
      <c r="E90" t="s">
        <v>356</v>
      </c>
    </row>
    <row r="91" spans="1:10" x14ac:dyDescent="0.3">
      <c r="A91" t="s">
        <v>261</v>
      </c>
      <c r="B91" t="s">
        <v>261</v>
      </c>
      <c r="C91">
        <f t="shared" si="1"/>
        <v>28</v>
      </c>
      <c r="D91">
        <v>9000</v>
      </c>
      <c r="E91" t="s">
        <v>261</v>
      </c>
    </row>
    <row r="92" spans="1:10" x14ac:dyDescent="0.3">
      <c r="A92" t="s">
        <v>99</v>
      </c>
      <c r="B92" t="s">
        <v>99</v>
      </c>
      <c r="C92">
        <f t="shared" si="1"/>
        <v>28</v>
      </c>
      <c r="D92">
        <v>9100</v>
      </c>
      <c r="E92" t="s">
        <v>59</v>
      </c>
    </row>
    <row r="93" spans="1:10" x14ac:dyDescent="0.3">
      <c r="A93" t="s">
        <v>262</v>
      </c>
      <c r="B93" t="s">
        <v>262</v>
      </c>
      <c r="C93">
        <f t="shared" si="1"/>
        <v>0</v>
      </c>
      <c r="D93">
        <v>9200</v>
      </c>
      <c r="E93" t="s">
        <v>262</v>
      </c>
    </row>
    <row r="94" spans="1:10" x14ac:dyDescent="0.3">
      <c r="A94" t="s">
        <v>263</v>
      </c>
      <c r="B94" t="s">
        <v>357</v>
      </c>
      <c r="C94">
        <f t="shared" si="1"/>
        <v>0</v>
      </c>
      <c r="D94">
        <v>9300</v>
      </c>
      <c r="E94" t="s">
        <v>358</v>
      </c>
    </row>
    <row r="95" spans="1:10" x14ac:dyDescent="0.3">
      <c r="A95" t="s">
        <v>264</v>
      </c>
      <c r="B95" t="s">
        <v>264</v>
      </c>
      <c r="C95">
        <f t="shared" si="1"/>
        <v>28</v>
      </c>
      <c r="D95">
        <v>9400</v>
      </c>
      <c r="E95" t="s">
        <v>359</v>
      </c>
    </row>
    <row r="96" spans="1:10" x14ac:dyDescent="0.3">
      <c r="A96" t="s">
        <v>85</v>
      </c>
      <c r="B96" t="s">
        <v>85</v>
      </c>
      <c r="C96">
        <f t="shared" si="1"/>
        <v>56</v>
      </c>
      <c r="D96">
        <v>9500</v>
      </c>
      <c r="E96" t="s">
        <v>11</v>
      </c>
    </row>
    <row r="97" spans="1:5" x14ac:dyDescent="0.3">
      <c r="A97" t="s">
        <v>265</v>
      </c>
      <c r="B97" t="s">
        <v>265</v>
      </c>
      <c r="C97">
        <f t="shared" si="1"/>
        <v>0</v>
      </c>
      <c r="D97">
        <v>9600</v>
      </c>
      <c r="E97" t="s">
        <v>360</v>
      </c>
    </row>
    <row r="98" spans="1:5" x14ac:dyDescent="0.3">
      <c r="A98" t="s">
        <v>266</v>
      </c>
      <c r="B98" t="s">
        <v>266</v>
      </c>
      <c r="C98">
        <f t="shared" si="1"/>
        <v>0</v>
      </c>
      <c r="D98">
        <v>9700</v>
      </c>
      <c r="E98" t="s">
        <v>361</v>
      </c>
    </row>
    <row r="99" spans="1:5" x14ac:dyDescent="0.3">
      <c r="A99" t="s">
        <v>267</v>
      </c>
      <c r="B99" t="s">
        <v>362</v>
      </c>
      <c r="C99">
        <f t="shared" si="1"/>
        <v>0</v>
      </c>
      <c r="D99">
        <v>9800</v>
      </c>
      <c r="E99" t="s">
        <v>363</v>
      </c>
    </row>
    <row r="100" spans="1:5" x14ac:dyDescent="0.3">
      <c r="A100" t="s">
        <v>113</v>
      </c>
      <c r="B100" t="s">
        <v>113</v>
      </c>
      <c r="C100">
        <f t="shared" si="1"/>
        <v>28</v>
      </c>
      <c r="D100">
        <v>9900</v>
      </c>
      <c r="E100" t="s">
        <v>67</v>
      </c>
    </row>
    <row r="101" spans="1:5" x14ac:dyDescent="0.3">
      <c r="A101" t="s">
        <v>268</v>
      </c>
      <c r="B101" t="s">
        <v>268</v>
      </c>
      <c r="C101">
        <f t="shared" si="1"/>
        <v>0</v>
      </c>
      <c r="D101">
        <v>10000</v>
      </c>
      <c r="E101" t="s">
        <v>268</v>
      </c>
    </row>
    <row r="102" spans="1:5" x14ac:dyDescent="0.3">
      <c r="A102" t="s">
        <v>269</v>
      </c>
      <c r="B102" t="s">
        <v>269</v>
      </c>
      <c r="C102">
        <f t="shared" si="1"/>
        <v>0</v>
      </c>
      <c r="D102">
        <v>10100</v>
      </c>
      <c r="E102" t="s">
        <v>364</v>
      </c>
    </row>
    <row r="103" spans="1:5" x14ac:dyDescent="0.3">
      <c r="A103" t="s">
        <v>270</v>
      </c>
      <c r="B103" t="s">
        <v>270</v>
      </c>
      <c r="C103">
        <f t="shared" si="1"/>
        <v>0</v>
      </c>
      <c r="D103">
        <v>10200</v>
      </c>
      <c r="E103" t="s">
        <v>270</v>
      </c>
    </row>
    <row r="104" spans="1:5" x14ac:dyDescent="0.3">
      <c r="A104" t="s">
        <v>271</v>
      </c>
      <c r="B104" t="s">
        <v>134</v>
      </c>
      <c r="C104">
        <f t="shared" si="1"/>
        <v>28</v>
      </c>
      <c r="D104">
        <v>10300</v>
      </c>
      <c r="E104" t="s">
        <v>8</v>
      </c>
    </row>
    <row r="105" spans="1:5" x14ac:dyDescent="0.3">
      <c r="A105" t="s">
        <v>272</v>
      </c>
      <c r="B105" t="s">
        <v>272</v>
      </c>
      <c r="C105">
        <f t="shared" si="1"/>
        <v>0</v>
      </c>
      <c r="D105">
        <v>10400</v>
      </c>
      <c r="E105" t="s">
        <v>365</v>
      </c>
    </row>
    <row r="106" spans="1:5" x14ac:dyDescent="0.3">
      <c r="A106" t="s">
        <v>273</v>
      </c>
      <c r="B106" t="s">
        <v>366</v>
      </c>
      <c r="C106">
        <f t="shared" si="1"/>
        <v>0</v>
      </c>
      <c r="D106">
        <v>10500</v>
      </c>
      <c r="E106" t="s">
        <v>367</v>
      </c>
    </row>
    <row r="107" spans="1:5" x14ac:dyDescent="0.3">
      <c r="A107" t="s">
        <v>161</v>
      </c>
      <c r="B107" t="s">
        <v>161</v>
      </c>
      <c r="C107">
        <f t="shared" si="1"/>
        <v>0</v>
      </c>
      <c r="D107">
        <v>10600</v>
      </c>
      <c r="E107" t="s">
        <v>368</v>
      </c>
    </row>
    <row r="108" spans="1:5" x14ac:dyDescent="0.3">
      <c r="A108" t="s">
        <v>274</v>
      </c>
      <c r="B108" t="s">
        <v>369</v>
      </c>
      <c r="C108">
        <f t="shared" si="1"/>
        <v>0</v>
      </c>
      <c r="D108">
        <v>10700</v>
      </c>
      <c r="E108" t="s">
        <v>369</v>
      </c>
    </row>
    <row r="109" spans="1:5" x14ac:dyDescent="0.3">
      <c r="A109" t="s">
        <v>275</v>
      </c>
      <c r="B109" t="s">
        <v>275</v>
      </c>
      <c r="C109">
        <f t="shared" si="1"/>
        <v>0</v>
      </c>
      <c r="D109">
        <v>10800</v>
      </c>
      <c r="E109" t="s">
        <v>370</v>
      </c>
    </row>
    <row r="110" spans="1:5" x14ac:dyDescent="0.3">
      <c r="A110" t="s">
        <v>117</v>
      </c>
      <c r="B110" t="s">
        <v>117</v>
      </c>
      <c r="C110">
        <f t="shared" si="1"/>
        <v>28</v>
      </c>
      <c r="D110">
        <v>10900</v>
      </c>
      <c r="E110" t="s">
        <v>37</v>
      </c>
    </row>
    <row r="111" spans="1:5" x14ac:dyDescent="0.3">
      <c r="A111" t="s">
        <v>276</v>
      </c>
      <c r="B111" t="s">
        <v>276</v>
      </c>
      <c r="C111">
        <f t="shared" si="1"/>
        <v>0</v>
      </c>
      <c r="D111">
        <f t="shared" ref="D111:D174" si="2">D110+100</f>
        <v>11000</v>
      </c>
      <c r="E111" t="s">
        <v>371</v>
      </c>
    </row>
    <row r="112" spans="1:5" x14ac:dyDescent="0.3">
      <c r="A112" t="s">
        <v>277</v>
      </c>
      <c r="B112" t="s">
        <v>277</v>
      </c>
      <c r="C112">
        <f t="shared" si="1"/>
        <v>28</v>
      </c>
      <c r="D112">
        <f t="shared" si="2"/>
        <v>11100</v>
      </c>
      <c r="E112" t="s">
        <v>372</v>
      </c>
    </row>
    <row r="113" spans="1:5" x14ac:dyDescent="0.3">
      <c r="A113" t="s">
        <v>278</v>
      </c>
      <c r="B113" t="s">
        <v>373</v>
      </c>
      <c r="C113">
        <f t="shared" si="1"/>
        <v>0</v>
      </c>
      <c r="D113">
        <f t="shared" si="2"/>
        <v>11200</v>
      </c>
      <c r="E113" t="s">
        <v>278</v>
      </c>
    </row>
    <row r="114" spans="1:5" x14ac:dyDescent="0.3">
      <c r="A114" t="s">
        <v>126</v>
      </c>
      <c r="B114" t="s">
        <v>126</v>
      </c>
      <c r="C114">
        <f t="shared" si="1"/>
        <v>28</v>
      </c>
      <c r="D114">
        <f t="shared" si="2"/>
        <v>11300</v>
      </c>
      <c r="E114" t="s">
        <v>17</v>
      </c>
    </row>
    <row r="115" spans="1:5" x14ac:dyDescent="0.3">
      <c r="A115" t="s">
        <v>138</v>
      </c>
      <c r="B115" t="s">
        <v>138</v>
      </c>
      <c r="C115">
        <f t="shared" si="1"/>
        <v>28</v>
      </c>
      <c r="D115">
        <f t="shared" si="2"/>
        <v>11400</v>
      </c>
      <c r="E115" t="s">
        <v>35</v>
      </c>
    </row>
    <row r="116" spans="1:5" x14ac:dyDescent="0.3">
      <c r="A116" t="s">
        <v>279</v>
      </c>
      <c r="B116" t="s">
        <v>97</v>
      </c>
      <c r="C116">
        <f t="shared" si="1"/>
        <v>56</v>
      </c>
      <c r="D116">
        <f t="shared" si="2"/>
        <v>11500</v>
      </c>
      <c r="E116" t="s">
        <v>29</v>
      </c>
    </row>
    <row r="117" spans="1:5" x14ac:dyDescent="0.3">
      <c r="A117" t="s">
        <v>121</v>
      </c>
      <c r="B117" t="s">
        <v>121</v>
      </c>
      <c r="C117">
        <f t="shared" si="1"/>
        <v>28</v>
      </c>
      <c r="D117">
        <f t="shared" si="2"/>
        <v>11600</v>
      </c>
      <c r="E117" t="s">
        <v>33</v>
      </c>
    </row>
    <row r="118" spans="1:5" x14ac:dyDescent="0.3">
      <c r="A118" t="s">
        <v>280</v>
      </c>
      <c r="B118" t="s">
        <v>280</v>
      </c>
      <c r="C118">
        <f t="shared" si="1"/>
        <v>0</v>
      </c>
      <c r="D118">
        <f t="shared" si="2"/>
        <v>11700</v>
      </c>
      <c r="E118" t="s">
        <v>374</v>
      </c>
    </row>
    <row r="119" spans="1:5" x14ac:dyDescent="0.3">
      <c r="A119" t="s">
        <v>281</v>
      </c>
      <c r="B119" t="s">
        <v>281</v>
      </c>
      <c r="C119">
        <f t="shared" si="1"/>
        <v>28</v>
      </c>
      <c r="D119">
        <f t="shared" si="2"/>
        <v>11800</v>
      </c>
      <c r="E119" t="s">
        <v>503</v>
      </c>
    </row>
    <row r="120" spans="1:5" x14ac:dyDescent="0.3">
      <c r="A120" t="s">
        <v>143</v>
      </c>
      <c r="B120" t="s">
        <v>143</v>
      </c>
      <c r="C120">
        <f t="shared" si="1"/>
        <v>28</v>
      </c>
      <c r="D120">
        <f t="shared" si="2"/>
        <v>11900</v>
      </c>
      <c r="E120" t="s">
        <v>52</v>
      </c>
    </row>
    <row r="121" spans="1:5" x14ac:dyDescent="0.3">
      <c r="A121" t="s">
        <v>282</v>
      </c>
      <c r="B121" t="s">
        <v>135</v>
      </c>
      <c r="C121">
        <f t="shared" si="1"/>
        <v>56</v>
      </c>
      <c r="D121">
        <f t="shared" si="2"/>
        <v>12000</v>
      </c>
      <c r="E121" t="s">
        <v>53</v>
      </c>
    </row>
    <row r="122" spans="1:5" x14ac:dyDescent="0.3">
      <c r="A122" t="s">
        <v>283</v>
      </c>
      <c r="B122" t="s">
        <v>140</v>
      </c>
      <c r="C122">
        <f t="shared" si="1"/>
        <v>28</v>
      </c>
      <c r="D122">
        <f t="shared" si="2"/>
        <v>12100</v>
      </c>
      <c r="E122" t="s">
        <v>36</v>
      </c>
    </row>
    <row r="123" spans="1:5" x14ac:dyDescent="0.3">
      <c r="A123" t="s">
        <v>284</v>
      </c>
      <c r="B123" t="s">
        <v>284</v>
      </c>
      <c r="C123">
        <f t="shared" si="1"/>
        <v>28</v>
      </c>
      <c r="D123">
        <f t="shared" si="2"/>
        <v>12200</v>
      </c>
      <c r="E123" t="s">
        <v>284</v>
      </c>
    </row>
    <row r="124" spans="1:5" x14ac:dyDescent="0.3">
      <c r="A124" t="s">
        <v>285</v>
      </c>
      <c r="B124" t="s">
        <v>285</v>
      </c>
      <c r="C124">
        <f t="shared" si="1"/>
        <v>0</v>
      </c>
      <c r="D124">
        <f t="shared" si="2"/>
        <v>12300</v>
      </c>
      <c r="E124" t="s">
        <v>375</v>
      </c>
    </row>
    <row r="125" spans="1:5" x14ac:dyDescent="0.3">
      <c r="A125" t="s">
        <v>286</v>
      </c>
      <c r="B125" t="s">
        <v>128</v>
      </c>
      <c r="C125">
        <f t="shared" si="1"/>
        <v>28</v>
      </c>
      <c r="D125">
        <f t="shared" si="2"/>
        <v>12400</v>
      </c>
      <c r="E125" t="s">
        <v>31</v>
      </c>
    </row>
    <row r="126" spans="1:5" x14ac:dyDescent="0.3">
      <c r="A126" t="s">
        <v>95</v>
      </c>
      <c r="B126" t="s">
        <v>95</v>
      </c>
      <c r="C126">
        <f t="shared" si="1"/>
        <v>28</v>
      </c>
      <c r="D126">
        <f t="shared" si="2"/>
        <v>12500</v>
      </c>
      <c r="E126" t="s">
        <v>14</v>
      </c>
    </row>
    <row r="127" spans="1:5" x14ac:dyDescent="0.3">
      <c r="A127" t="s">
        <v>287</v>
      </c>
      <c r="B127" t="s">
        <v>287</v>
      </c>
      <c r="C127">
        <f t="shared" si="1"/>
        <v>0</v>
      </c>
      <c r="D127">
        <f t="shared" si="2"/>
        <v>12600</v>
      </c>
      <c r="E127" t="s">
        <v>376</v>
      </c>
    </row>
    <row r="128" spans="1:5" x14ac:dyDescent="0.3">
      <c r="A128" t="s">
        <v>13</v>
      </c>
      <c r="B128" t="s">
        <v>13</v>
      </c>
      <c r="C128">
        <f t="shared" si="1"/>
        <v>28</v>
      </c>
      <c r="D128">
        <f t="shared" si="2"/>
        <v>12700</v>
      </c>
      <c r="E128" t="s">
        <v>13</v>
      </c>
    </row>
    <row r="129" spans="1:5" x14ac:dyDescent="0.3">
      <c r="A129" t="s">
        <v>142</v>
      </c>
      <c r="B129" t="s">
        <v>142</v>
      </c>
      <c r="C129">
        <f t="shared" si="1"/>
        <v>28</v>
      </c>
      <c r="D129">
        <f t="shared" si="2"/>
        <v>12800</v>
      </c>
      <c r="E129" t="s">
        <v>69</v>
      </c>
    </row>
    <row r="130" spans="1:5" x14ac:dyDescent="0.3">
      <c r="A130" t="s">
        <v>132</v>
      </c>
      <c r="B130" t="s">
        <v>132</v>
      </c>
      <c r="C130">
        <f t="shared" ref="C130:C183" si="3">COUNTIF(rawTeamCol,B130)+COUNTIF(rawTeamCol2,B130)</f>
        <v>28</v>
      </c>
      <c r="D130">
        <f t="shared" si="2"/>
        <v>12900</v>
      </c>
      <c r="E130" t="s">
        <v>12</v>
      </c>
    </row>
    <row r="131" spans="1:5" x14ac:dyDescent="0.3">
      <c r="A131" t="s">
        <v>288</v>
      </c>
      <c r="B131" t="s">
        <v>288</v>
      </c>
      <c r="C131">
        <f t="shared" si="3"/>
        <v>0</v>
      </c>
      <c r="D131">
        <f t="shared" si="2"/>
        <v>13000</v>
      </c>
      <c r="E131" t="s">
        <v>377</v>
      </c>
    </row>
    <row r="132" spans="1:5" x14ac:dyDescent="0.3">
      <c r="A132" t="s">
        <v>289</v>
      </c>
      <c r="B132" t="s">
        <v>289</v>
      </c>
      <c r="C132">
        <f t="shared" si="3"/>
        <v>0</v>
      </c>
      <c r="D132">
        <f t="shared" si="2"/>
        <v>13100</v>
      </c>
      <c r="E132" t="s">
        <v>378</v>
      </c>
    </row>
    <row r="133" spans="1:5" x14ac:dyDescent="0.3">
      <c r="A133" t="s">
        <v>290</v>
      </c>
      <c r="B133" t="s">
        <v>290</v>
      </c>
      <c r="C133">
        <f t="shared" si="3"/>
        <v>0</v>
      </c>
      <c r="D133">
        <f t="shared" si="2"/>
        <v>13200</v>
      </c>
      <c r="E133" t="s">
        <v>379</v>
      </c>
    </row>
    <row r="134" spans="1:5" x14ac:dyDescent="0.3">
      <c r="A134" t="s">
        <v>291</v>
      </c>
      <c r="B134" t="s">
        <v>291</v>
      </c>
      <c r="C134">
        <f t="shared" si="3"/>
        <v>28</v>
      </c>
      <c r="D134">
        <f t="shared" si="2"/>
        <v>13300</v>
      </c>
      <c r="E134" t="s">
        <v>380</v>
      </c>
    </row>
    <row r="135" spans="1:5" x14ac:dyDescent="0.3">
      <c r="A135" t="s">
        <v>292</v>
      </c>
      <c r="B135" t="s">
        <v>400</v>
      </c>
      <c r="C135">
        <f t="shared" si="3"/>
        <v>28</v>
      </c>
      <c r="D135">
        <f t="shared" si="2"/>
        <v>13400</v>
      </c>
      <c r="E135" t="s">
        <v>381</v>
      </c>
    </row>
    <row r="136" spans="1:5" x14ac:dyDescent="0.3">
      <c r="A136" t="s">
        <v>293</v>
      </c>
      <c r="B136" t="s">
        <v>293</v>
      </c>
      <c r="C136">
        <f t="shared" si="3"/>
        <v>0</v>
      </c>
      <c r="D136">
        <f t="shared" si="2"/>
        <v>13500</v>
      </c>
      <c r="E136" t="s">
        <v>382</v>
      </c>
    </row>
    <row r="137" spans="1:5" x14ac:dyDescent="0.3">
      <c r="A137" t="s">
        <v>294</v>
      </c>
      <c r="B137" t="s">
        <v>401</v>
      </c>
      <c r="C137">
        <f t="shared" si="3"/>
        <v>0</v>
      </c>
      <c r="D137">
        <f t="shared" si="2"/>
        <v>13600</v>
      </c>
      <c r="E137" t="s">
        <v>383</v>
      </c>
    </row>
    <row r="138" spans="1:5" x14ac:dyDescent="0.3">
      <c r="A138" t="s">
        <v>295</v>
      </c>
      <c r="B138" t="s">
        <v>384</v>
      </c>
      <c r="C138">
        <f t="shared" si="3"/>
        <v>0</v>
      </c>
      <c r="D138">
        <f t="shared" si="2"/>
        <v>13700</v>
      </c>
      <c r="E138" t="s">
        <v>385</v>
      </c>
    </row>
    <row r="139" spans="1:5" x14ac:dyDescent="0.3">
      <c r="A139" t="s">
        <v>296</v>
      </c>
      <c r="B139" t="s">
        <v>296</v>
      </c>
      <c r="C139">
        <f t="shared" si="3"/>
        <v>0</v>
      </c>
      <c r="D139">
        <f t="shared" si="2"/>
        <v>13800</v>
      </c>
      <c r="E139" t="s">
        <v>386</v>
      </c>
    </row>
    <row r="140" spans="1:5" x14ac:dyDescent="0.3">
      <c r="A140" t="s">
        <v>297</v>
      </c>
      <c r="B140" t="s">
        <v>297</v>
      </c>
      <c r="C140">
        <f t="shared" si="3"/>
        <v>0</v>
      </c>
      <c r="D140">
        <f t="shared" si="2"/>
        <v>13900</v>
      </c>
      <c r="E140" t="s">
        <v>387</v>
      </c>
    </row>
    <row r="141" spans="1:5" x14ac:dyDescent="0.3">
      <c r="A141" t="s">
        <v>298</v>
      </c>
      <c r="B141" t="s">
        <v>298</v>
      </c>
      <c r="C141">
        <f t="shared" si="3"/>
        <v>0</v>
      </c>
      <c r="D141">
        <f t="shared" si="2"/>
        <v>14000</v>
      </c>
      <c r="E141" t="s">
        <v>298</v>
      </c>
    </row>
    <row r="142" spans="1:5" x14ac:dyDescent="0.3">
      <c r="A142" t="s">
        <v>299</v>
      </c>
      <c r="B142" t="s">
        <v>299</v>
      </c>
      <c r="C142">
        <f t="shared" si="3"/>
        <v>28</v>
      </c>
      <c r="D142">
        <f t="shared" si="2"/>
        <v>14100</v>
      </c>
      <c r="E142" t="s">
        <v>388</v>
      </c>
    </row>
    <row r="143" spans="1:5" x14ac:dyDescent="0.3">
      <c r="A143" t="s">
        <v>300</v>
      </c>
      <c r="B143" t="s">
        <v>389</v>
      </c>
      <c r="C143">
        <f t="shared" si="3"/>
        <v>0</v>
      </c>
      <c r="D143">
        <f t="shared" si="2"/>
        <v>14200</v>
      </c>
      <c r="E143" t="s">
        <v>390</v>
      </c>
    </row>
    <row r="144" spans="1:5" x14ac:dyDescent="0.3">
      <c r="A144" t="s">
        <v>301</v>
      </c>
      <c r="B144" t="s">
        <v>391</v>
      </c>
      <c r="C144">
        <f t="shared" si="3"/>
        <v>28</v>
      </c>
      <c r="D144">
        <f t="shared" si="2"/>
        <v>14300</v>
      </c>
      <c r="E144" t="s">
        <v>392</v>
      </c>
    </row>
    <row r="145" spans="1:5" x14ac:dyDescent="0.3">
      <c r="A145" t="s">
        <v>302</v>
      </c>
      <c r="B145" t="s">
        <v>302</v>
      </c>
      <c r="C145">
        <f t="shared" si="3"/>
        <v>0</v>
      </c>
      <c r="D145">
        <f t="shared" si="2"/>
        <v>14400</v>
      </c>
      <c r="E145" t="s">
        <v>393</v>
      </c>
    </row>
    <row r="146" spans="1:5" x14ac:dyDescent="0.3">
      <c r="A146" t="s">
        <v>303</v>
      </c>
      <c r="B146" t="s">
        <v>402</v>
      </c>
      <c r="C146">
        <f t="shared" si="3"/>
        <v>28</v>
      </c>
      <c r="D146">
        <f t="shared" si="2"/>
        <v>14500</v>
      </c>
      <c r="E146" t="s">
        <v>394</v>
      </c>
    </row>
    <row r="147" spans="1:5" x14ac:dyDescent="0.3">
      <c r="A147" t="s">
        <v>304</v>
      </c>
      <c r="B147" t="s">
        <v>304</v>
      </c>
      <c r="C147">
        <f t="shared" si="3"/>
        <v>0</v>
      </c>
      <c r="D147">
        <f t="shared" si="2"/>
        <v>14600</v>
      </c>
      <c r="E147" t="s">
        <v>395</v>
      </c>
    </row>
    <row r="148" spans="1:5" x14ac:dyDescent="0.3">
      <c r="A148" t="s">
        <v>305</v>
      </c>
      <c r="B148" t="s">
        <v>305</v>
      </c>
      <c r="C148">
        <f t="shared" si="3"/>
        <v>0</v>
      </c>
      <c r="D148">
        <f t="shared" si="2"/>
        <v>14700</v>
      </c>
      <c r="E148" t="s">
        <v>396</v>
      </c>
    </row>
    <row r="149" spans="1:5" x14ac:dyDescent="0.3">
      <c r="A149" t="s">
        <v>306</v>
      </c>
      <c r="B149" t="s">
        <v>397</v>
      </c>
      <c r="C149">
        <f t="shared" si="3"/>
        <v>0</v>
      </c>
      <c r="D149">
        <f t="shared" si="2"/>
        <v>14800</v>
      </c>
      <c r="E149" t="s">
        <v>398</v>
      </c>
    </row>
    <row r="150" spans="1:5" x14ac:dyDescent="0.3">
      <c r="A150" t="s">
        <v>307</v>
      </c>
      <c r="B150" t="s">
        <v>307</v>
      </c>
      <c r="C150">
        <f t="shared" si="3"/>
        <v>0</v>
      </c>
      <c r="D150">
        <f t="shared" si="2"/>
        <v>14900</v>
      </c>
      <c r="E150" t="s">
        <v>399</v>
      </c>
    </row>
    <row r="151" spans="1:5" x14ac:dyDescent="0.3">
      <c r="A151" t="s">
        <v>463</v>
      </c>
      <c r="B151" t="s">
        <v>463</v>
      </c>
      <c r="C151">
        <f t="shared" si="3"/>
        <v>0</v>
      </c>
      <c r="D151">
        <f t="shared" si="2"/>
        <v>15000</v>
      </c>
      <c r="E151" t="s">
        <v>504</v>
      </c>
    </row>
    <row r="152" spans="1:5" x14ac:dyDescent="0.3">
      <c r="A152" t="s">
        <v>464</v>
      </c>
      <c r="B152" t="s">
        <v>464</v>
      </c>
      <c r="C152">
        <f t="shared" si="3"/>
        <v>0</v>
      </c>
      <c r="D152">
        <f t="shared" si="2"/>
        <v>15100</v>
      </c>
      <c r="E152" t="s">
        <v>505</v>
      </c>
    </row>
    <row r="153" spans="1:5" x14ac:dyDescent="0.3">
      <c r="A153" t="s">
        <v>465</v>
      </c>
      <c r="B153" t="s">
        <v>426</v>
      </c>
      <c r="C153">
        <f t="shared" si="3"/>
        <v>28</v>
      </c>
      <c r="D153">
        <f t="shared" si="2"/>
        <v>15200</v>
      </c>
      <c r="E153" t="s">
        <v>418</v>
      </c>
    </row>
    <row r="154" spans="1:5" x14ac:dyDescent="0.3">
      <c r="A154" t="s">
        <v>466</v>
      </c>
      <c r="B154" t="s">
        <v>466</v>
      </c>
      <c r="C154">
        <f t="shared" si="3"/>
        <v>0</v>
      </c>
      <c r="D154">
        <f t="shared" si="2"/>
        <v>15300</v>
      </c>
      <c r="E154" t="s">
        <v>506</v>
      </c>
    </row>
    <row r="155" spans="1:5" x14ac:dyDescent="0.3">
      <c r="A155" t="s">
        <v>467</v>
      </c>
      <c r="B155" t="s">
        <v>494</v>
      </c>
      <c r="C155">
        <f t="shared" si="3"/>
        <v>0</v>
      </c>
      <c r="D155">
        <f t="shared" si="2"/>
        <v>15400</v>
      </c>
      <c r="E155" t="s">
        <v>494</v>
      </c>
    </row>
    <row r="156" spans="1:5" x14ac:dyDescent="0.3">
      <c r="A156" t="s">
        <v>455</v>
      </c>
      <c r="B156" t="s">
        <v>455</v>
      </c>
      <c r="C156">
        <f t="shared" si="3"/>
        <v>0</v>
      </c>
      <c r="D156">
        <f t="shared" si="2"/>
        <v>15500</v>
      </c>
      <c r="E156" t="s">
        <v>507</v>
      </c>
    </row>
    <row r="157" spans="1:5" x14ac:dyDescent="0.3">
      <c r="A157" t="s">
        <v>468</v>
      </c>
      <c r="B157" t="s">
        <v>468</v>
      </c>
      <c r="C157">
        <f t="shared" si="3"/>
        <v>0</v>
      </c>
      <c r="D157">
        <f t="shared" si="2"/>
        <v>15600</v>
      </c>
      <c r="E157" t="s">
        <v>508</v>
      </c>
    </row>
    <row r="158" spans="1:5" x14ac:dyDescent="0.3">
      <c r="A158" t="s">
        <v>469</v>
      </c>
      <c r="B158" t="s">
        <v>469</v>
      </c>
      <c r="C158">
        <f t="shared" si="3"/>
        <v>0</v>
      </c>
      <c r="D158">
        <f t="shared" si="2"/>
        <v>15700</v>
      </c>
      <c r="E158" t="s">
        <v>509</v>
      </c>
    </row>
    <row r="159" spans="1:5" x14ac:dyDescent="0.3">
      <c r="A159" t="s">
        <v>470</v>
      </c>
      <c r="B159" t="s">
        <v>470</v>
      </c>
      <c r="C159">
        <f t="shared" si="3"/>
        <v>0</v>
      </c>
      <c r="D159">
        <f t="shared" si="2"/>
        <v>15800</v>
      </c>
      <c r="E159" t="s">
        <v>510</v>
      </c>
    </row>
    <row r="160" spans="1:5" x14ac:dyDescent="0.3">
      <c r="A160" t="s">
        <v>471</v>
      </c>
      <c r="B160" t="s">
        <v>495</v>
      </c>
      <c r="C160">
        <f t="shared" si="3"/>
        <v>0</v>
      </c>
      <c r="D160">
        <f t="shared" si="2"/>
        <v>15900</v>
      </c>
      <c r="E160" t="s">
        <v>511</v>
      </c>
    </row>
    <row r="161" spans="1:5" x14ac:dyDescent="0.3">
      <c r="A161" t="s">
        <v>472</v>
      </c>
      <c r="B161" t="s">
        <v>496</v>
      </c>
      <c r="C161">
        <f t="shared" si="3"/>
        <v>0</v>
      </c>
      <c r="D161">
        <f t="shared" si="2"/>
        <v>16000</v>
      </c>
      <c r="E161" t="s">
        <v>512</v>
      </c>
    </row>
    <row r="162" spans="1:5" x14ac:dyDescent="0.3">
      <c r="A162" t="s">
        <v>473</v>
      </c>
      <c r="B162" t="s">
        <v>473</v>
      </c>
      <c r="C162">
        <f t="shared" si="3"/>
        <v>0</v>
      </c>
      <c r="D162">
        <f t="shared" si="2"/>
        <v>16100</v>
      </c>
      <c r="E162" t="s">
        <v>513</v>
      </c>
    </row>
    <row r="163" spans="1:5" x14ac:dyDescent="0.3">
      <c r="A163" t="s">
        <v>474</v>
      </c>
      <c r="B163" t="s">
        <v>497</v>
      </c>
      <c r="C163">
        <f t="shared" si="3"/>
        <v>0</v>
      </c>
      <c r="D163">
        <f t="shared" si="2"/>
        <v>16200</v>
      </c>
      <c r="E163" t="s">
        <v>514</v>
      </c>
    </row>
    <row r="164" spans="1:5" x14ac:dyDescent="0.3">
      <c r="A164" t="s">
        <v>475</v>
      </c>
      <c r="B164" t="s">
        <v>475</v>
      </c>
      <c r="C164">
        <f t="shared" si="3"/>
        <v>0</v>
      </c>
      <c r="D164">
        <f t="shared" si="2"/>
        <v>16300</v>
      </c>
      <c r="E164" t="s">
        <v>515</v>
      </c>
    </row>
    <row r="165" spans="1:5" x14ac:dyDescent="0.3">
      <c r="A165" t="s">
        <v>476</v>
      </c>
      <c r="B165" t="s">
        <v>476</v>
      </c>
      <c r="C165">
        <f t="shared" si="3"/>
        <v>0</v>
      </c>
      <c r="D165">
        <f t="shared" si="2"/>
        <v>16400</v>
      </c>
      <c r="E165" t="s">
        <v>516</v>
      </c>
    </row>
    <row r="166" spans="1:5" x14ac:dyDescent="0.3">
      <c r="A166" t="s">
        <v>477</v>
      </c>
      <c r="B166" t="s">
        <v>153</v>
      </c>
      <c r="C166">
        <f t="shared" si="3"/>
        <v>0</v>
      </c>
      <c r="D166">
        <f t="shared" si="2"/>
        <v>16500</v>
      </c>
      <c r="E166" t="s">
        <v>517</v>
      </c>
    </row>
    <row r="167" spans="1:5" x14ac:dyDescent="0.3">
      <c r="A167" t="s">
        <v>478</v>
      </c>
      <c r="B167" t="s">
        <v>478</v>
      </c>
      <c r="C167">
        <f t="shared" si="3"/>
        <v>0</v>
      </c>
      <c r="D167">
        <f t="shared" si="2"/>
        <v>16600</v>
      </c>
      <c r="E167" t="s">
        <v>518</v>
      </c>
    </row>
    <row r="168" spans="1:5" x14ac:dyDescent="0.3">
      <c r="A168" t="s">
        <v>479</v>
      </c>
      <c r="B168" t="s">
        <v>479</v>
      </c>
      <c r="C168">
        <f t="shared" si="3"/>
        <v>0</v>
      </c>
      <c r="D168">
        <f t="shared" si="2"/>
        <v>16700</v>
      </c>
      <c r="E168" t="s">
        <v>519</v>
      </c>
    </row>
    <row r="169" spans="1:5" x14ac:dyDescent="0.3">
      <c r="A169" t="s">
        <v>480</v>
      </c>
      <c r="B169" t="s">
        <v>480</v>
      </c>
      <c r="C169">
        <f t="shared" si="3"/>
        <v>0</v>
      </c>
      <c r="D169">
        <f t="shared" si="2"/>
        <v>16800</v>
      </c>
      <c r="E169" t="s">
        <v>480</v>
      </c>
    </row>
    <row r="170" spans="1:5" x14ac:dyDescent="0.3">
      <c r="A170" t="s">
        <v>481</v>
      </c>
      <c r="B170" t="s">
        <v>498</v>
      </c>
      <c r="C170">
        <f t="shared" si="3"/>
        <v>0</v>
      </c>
      <c r="D170">
        <f t="shared" si="2"/>
        <v>16900</v>
      </c>
      <c r="E170" t="s">
        <v>520</v>
      </c>
    </row>
    <row r="171" spans="1:5" x14ac:dyDescent="0.3">
      <c r="A171" t="s">
        <v>432</v>
      </c>
      <c r="B171" t="s">
        <v>432</v>
      </c>
      <c r="C171">
        <f t="shared" si="3"/>
        <v>0</v>
      </c>
      <c r="D171">
        <f t="shared" si="2"/>
        <v>17000</v>
      </c>
      <c r="E171" t="s">
        <v>521</v>
      </c>
    </row>
    <row r="172" spans="1:5" x14ac:dyDescent="0.3">
      <c r="A172" t="s">
        <v>482</v>
      </c>
      <c r="B172" t="s">
        <v>499</v>
      </c>
      <c r="C172">
        <f t="shared" si="3"/>
        <v>0</v>
      </c>
      <c r="D172">
        <f t="shared" si="2"/>
        <v>17100</v>
      </c>
      <c r="E172" t="s">
        <v>522</v>
      </c>
    </row>
    <row r="173" spans="1:5" x14ac:dyDescent="0.3">
      <c r="A173" t="s">
        <v>483</v>
      </c>
      <c r="B173" t="s">
        <v>483</v>
      </c>
      <c r="C173">
        <f t="shared" si="3"/>
        <v>0</v>
      </c>
      <c r="D173">
        <f t="shared" si="2"/>
        <v>17200</v>
      </c>
      <c r="E173" t="s">
        <v>523</v>
      </c>
    </row>
    <row r="174" spans="1:5" x14ac:dyDescent="0.3">
      <c r="A174" t="s">
        <v>484</v>
      </c>
      <c r="B174" t="s">
        <v>484</v>
      </c>
      <c r="C174">
        <f t="shared" si="3"/>
        <v>0</v>
      </c>
      <c r="D174">
        <f t="shared" si="2"/>
        <v>17300</v>
      </c>
      <c r="E174" t="s">
        <v>524</v>
      </c>
    </row>
    <row r="175" spans="1:5" x14ac:dyDescent="0.3">
      <c r="A175" t="s">
        <v>485</v>
      </c>
      <c r="B175" t="s">
        <v>500</v>
      </c>
      <c r="C175">
        <f t="shared" si="3"/>
        <v>0</v>
      </c>
      <c r="D175">
        <f t="shared" ref="D175:D192" si="4">D174+100</f>
        <v>17400</v>
      </c>
      <c r="E175" t="s">
        <v>525</v>
      </c>
    </row>
    <row r="176" spans="1:5" x14ac:dyDescent="0.3">
      <c r="A176" t="s">
        <v>486</v>
      </c>
      <c r="B176" t="s">
        <v>501</v>
      </c>
      <c r="C176">
        <f t="shared" si="3"/>
        <v>0</v>
      </c>
      <c r="D176">
        <f t="shared" si="4"/>
        <v>17500</v>
      </c>
      <c r="E176" t="s">
        <v>501</v>
      </c>
    </row>
    <row r="177" spans="1:5" x14ac:dyDescent="0.3">
      <c r="A177" t="s">
        <v>487</v>
      </c>
      <c r="B177" t="s">
        <v>164</v>
      </c>
      <c r="C177">
        <f t="shared" si="3"/>
        <v>0</v>
      </c>
      <c r="D177">
        <f t="shared" si="4"/>
        <v>17600</v>
      </c>
      <c r="E177" t="s">
        <v>526</v>
      </c>
    </row>
    <row r="178" spans="1:5" x14ac:dyDescent="0.3">
      <c r="A178" t="s">
        <v>488</v>
      </c>
      <c r="B178" t="s">
        <v>488</v>
      </c>
      <c r="C178">
        <f t="shared" si="3"/>
        <v>0</v>
      </c>
      <c r="D178">
        <f t="shared" si="4"/>
        <v>17700</v>
      </c>
      <c r="E178" t="s">
        <v>527</v>
      </c>
    </row>
    <row r="179" spans="1:5" x14ac:dyDescent="0.3">
      <c r="A179" t="s">
        <v>489</v>
      </c>
      <c r="B179" t="s">
        <v>489</v>
      </c>
      <c r="C179">
        <f t="shared" si="3"/>
        <v>0</v>
      </c>
      <c r="D179">
        <f t="shared" si="4"/>
        <v>17800</v>
      </c>
      <c r="E179" t="s">
        <v>528</v>
      </c>
    </row>
    <row r="180" spans="1:5" x14ac:dyDescent="0.3">
      <c r="A180" t="s">
        <v>490</v>
      </c>
      <c r="B180" t="s">
        <v>502</v>
      </c>
      <c r="C180">
        <f t="shared" si="3"/>
        <v>0</v>
      </c>
      <c r="D180">
        <f t="shared" si="4"/>
        <v>17900</v>
      </c>
      <c r="E180" t="s">
        <v>529</v>
      </c>
    </row>
    <row r="181" spans="1:5" x14ac:dyDescent="0.3">
      <c r="A181" t="s">
        <v>491</v>
      </c>
      <c r="B181" t="s">
        <v>491</v>
      </c>
      <c r="C181">
        <f t="shared" si="3"/>
        <v>0</v>
      </c>
      <c r="D181">
        <f t="shared" si="4"/>
        <v>18000</v>
      </c>
      <c r="E181" t="s">
        <v>530</v>
      </c>
    </row>
    <row r="182" spans="1:5" x14ac:dyDescent="0.3">
      <c r="A182" t="s">
        <v>492</v>
      </c>
      <c r="B182" t="s">
        <v>492</v>
      </c>
      <c r="C182">
        <f t="shared" si="3"/>
        <v>0</v>
      </c>
      <c r="D182">
        <f t="shared" si="4"/>
        <v>18100</v>
      </c>
      <c r="E182" t="s">
        <v>531</v>
      </c>
    </row>
    <row r="183" spans="1:5" x14ac:dyDescent="0.3">
      <c r="A183" t="s">
        <v>493</v>
      </c>
      <c r="B183" t="s">
        <v>493</v>
      </c>
      <c r="C183">
        <f t="shared" si="3"/>
        <v>0</v>
      </c>
      <c r="D183">
        <f t="shared" si="4"/>
        <v>18200</v>
      </c>
      <c r="E183" t="s">
        <v>532</v>
      </c>
    </row>
    <row r="184" spans="1:5" x14ac:dyDescent="0.3">
      <c r="A184" t="s">
        <v>460</v>
      </c>
      <c r="B184" t="s">
        <v>423</v>
      </c>
      <c r="C184">
        <f t="shared" ref="C184:C187" si="5">COUNTIF(rawTeamCol,B184)+COUNTIF(rawTeamCol2,B184)</f>
        <v>28</v>
      </c>
      <c r="D184">
        <f t="shared" si="4"/>
        <v>18300</v>
      </c>
      <c r="E184" t="s">
        <v>411</v>
      </c>
    </row>
    <row r="185" spans="1:5" x14ac:dyDescent="0.3">
      <c r="A185" t="s">
        <v>459</v>
      </c>
      <c r="B185" t="s">
        <v>417</v>
      </c>
      <c r="C185">
        <f t="shared" si="5"/>
        <v>28</v>
      </c>
      <c r="D185">
        <f t="shared" si="4"/>
        <v>18400</v>
      </c>
      <c r="E185" t="s">
        <v>417</v>
      </c>
    </row>
    <row r="186" spans="1:5" x14ac:dyDescent="0.3">
      <c r="A186" t="s">
        <v>420</v>
      </c>
      <c r="B186" t="s">
        <v>420</v>
      </c>
      <c r="C186">
        <f t="shared" si="5"/>
        <v>28</v>
      </c>
      <c r="D186">
        <f t="shared" si="4"/>
        <v>18500</v>
      </c>
      <c r="E186" t="s">
        <v>415</v>
      </c>
    </row>
    <row r="187" spans="1:5" x14ac:dyDescent="0.3">
      <c r="A187" t="s">
        <v>461</v>
      </c>
      <c r="B187" t="s">
        <v>425</v>
      </c>
      <c r="C187">
        <f t="shared" si="5"/>
        <v>28</v>
      </c>
      <c r="D187">
        <f t="shared" si="4"/>
        <v>18600</v>
      </c>
      <c r="E187" t="s">
        <v>412</v>
      </c>
    </row>
    <row r="188" spans="1:5" x14ac:dyDescent="0.3">
      <c r="A188" t="s">
        <v>427</v>
      </c>
      <c r="B188" t="s">
        <v>427</v>
      </c>
      <c r="C188">
        <f t="shared" ref="C188:C189" si="6">COUNTIF(rawTeamCol,B188)+COUNTIF(rawTeamCol2,B188)</f>
        <v>28</v>
      </c>
      <c r="D188">
        <f t="shared" si="4"/>
        <v>18700</v>
      </c>
      <c r="E188" t="s">
        <v>414</v>
      </c>
    </row>
    <row r="189" spans="1:5" x14ac:dyDescent="0.3">
      <c r="A189" t="s">
        <v>462</v>
      </c>
      <c r="B189" t="s">
        <v>424</v>
      </c>
      <c r="C189">
        <f t="shared" si="6"/>
        <v>28</v>
      </c>
      <c r="D189">
        <f t="shared" si="4"/>
        <v>18800</v>
      </c>
      <c r="E189" t="s">
        <v>413</v>
      </c>
    </row>
    <row r="190" spans="1:5" x14ac:dyDescent="0.3">
      <c r="A190" t="s">
        <v>422</v>
      </c>
      <c r="B190" t="s">
        <v>422</v>
      </c>
      <c r="C190">
        <f t="shared" ref="C190" si="7">COUNTIF(rawTeamCol,B190)+COUNTIF(rawTeamCol2,B190)</f>
        <v>28</v>
      </c>
      <c r="D190">
        <f t="shared" si="4"/>
        <v>18900</v>
      </c>
      <c r="E190" t="s">
        <v>410</v>
      </c>
    </row>
    <row r="191" spans="1:5" x14ac:dyDescent="0.3">
      <c r="A191" t="s">
        <v>176</v>
      </c>
      <c r="B191" t="s">
        <v>176</v>
      </c>
      <c r="C191">
        <f t="shared" ref="C191:C192" si="8">COUNTIF(rawTeamCol,B191)+COUNTIF(rawTeamCol2,B191)</f>
        <v>28</v>
      </c>
      <c r="D191">
        <f t="shared" si="4"/>
        <v>19000</v>
      </c>
      <c r="E191" t="s">
        <v>416</v>
      </c>
    </row>
    <row r="192" spans="1:5" x14ac:dyDescent="0.3">
      <c r="A192" t="s">
        <v>421</v>
      </c>
      <c r="B192" t="s">
        <v>421</v>
      </c>
      <c r="C192">
        <f t="shared" si="8"/>
        <v>28</v>
      </c>
      <c r="D192">
        <f t="shared" si="4"/>
        <v>19100</v>
      </c>
      <c r="E192" t="s">
        <v>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DD8C-4E44-4468-AC42-805691D5637A}">
  <dimension ref="A1:CO153"/>
  <sheetViews>
    <sheetView zoomScale="80" zoomScaleNormal="80" workbookViewId="0">
      <pane xSplit="3" ySplit="1" topLeftCell="D42" activePane="bottomRight" state="frozen"/>
      <selection pane="topRight" activeCell="F1" sqref="F1"/>
      <selection pane="bottomLeft" activeCell="A2" sqref="A2"/>
      <selection pane="bottomRight" activeCell="A2" sqref="A2:A73"/>
    </sheetView>
  </sheetViews>
  <sheetFormatPr defaultColWidth="8.77734375" defaultRowHeight="15.6" x14ac:dyDescent="0.3"/>
  <cols>
    <col min="1" max="1" width="8.77734375" style="11"/>
    <col min="2" max="2" width="8.77734375" style="3" customWidth="1"/>
    <col min="3" max="3" width="8.77734375" style="15" customWidth="1"/>
    <col min="4" max="4" width="9.77734375" style="14" customWidth="1"/>
    <col min="5" max="31" width="5.5546875" style="39" customWidth="1"/>
    <col min="32" max="32" width="8.77734375" style="48" customWidth="1"/>
    <col min="33" max="33" width="8.77734375" style="53" customWidth="1"/>
    <col min="34" max="93" width="8.77734375" style="12"/>
    <col min="94" max="16384" width="8.77734375" style="2"/>
  </cols>
  <sheetData>
    <row r="1" spans="1:93" s="20" customFormat="1" ht="16.2" thickBot="1" x14ac:dyDescent="0.35">
      <c r="A1" s="16" t="s">
        <v>0</v>
      </c>
      <c r="B1" s="17" t="s">
        <v>1</v>
      </c>
      <c r="C1" s="18" t="s">
        <v>403</v>
      </c>
      <c r="D1" s="19" t="s">
        <v>405</v>
      </c>
      <c r="E1" s="37" t="s">
        <v>185</v>
      </c>
      <c r="F1" s="37" t="s">
        <v>186</v>
      </c>
      <c r="G1" s="37" t="s">
        <v>187</v>
      </c>
      <c r="H1" s="37" t="s">
        <v>188</v>
      </c>
      <c r="I1" s="37" t="s">
        <v>189</v>
      </c>
      <c r="J1" s="37" t="s">
        <v>190</v>
      </c>
      <c r="K1" s="37" t="s">
        <v>191</v>
      </c>
      <c r="L1" s="37" t="s">
        <v>193</v>
      </c>
      <c r="M1" s="37" t="s">
        <v>194</v>
      </c>
      <c r="N1" s="37" t="s">
        <v>195</v>
      </c>
      <c r="O1" s="37" t="s">
        <v>196</v>
      </c>
      <c r="P1" s="37" t="s">
        <v>197</v>
      </c>
      <c r="Q1" s="37" t="s">
        <v>198</v>
      </c>
      <c r="R1" s="37" t="s">
        <v>199</v>
      </c>
      <c r="S1" s="37" t="s">
        <v>200</v>
      </c>
      <c r="T1" s="37" t="s">
        <v>201</v>
      </c>
      <c r="U1" s="37" t="s">
        <v>202</v>
      </c>
      <c r="V1" s="37" t="s">
        <v>203</v>
      </c>
      <c r="W1" s="37" t="s">
        <v>204</v>
      </c>
      <c r="X1" s="37" t="s">
        <v>205</v>
      </c>
      <c r="Y1" s="37" t="s">
        <v>206</v>
      </c>
      <c r="Z1" s="37" t="s">
        <v>207</v>
      </c>
      <c r="AA1" s="37" t="s">
        <v>208</v>
      </c>
      <c r="AB1" s="37" t="s">
        <v>209</v>
      </c>
      <c r="AC1" s="37" t="s">
        <v>210</v>
      </c>
      <c r="AD1" s="37" t="s">
        <v>211</v>
      </c>
      <c r="AE1" s="37" t="s">
        <v>212</v>
      </c>
      <c r="AF1" s="45" t="s">
        <v>591</v>
      </c>
      <c r="AG1" s="43" t="s">
        <v>592</v>
      </c>
      <c r="AH1" s="49" t="str">
        <f>CONCATENATE("T1_",'Overall 2023 Reference'!G1)</f>
        <v>T1_3PD%</v>
      </c>
      <c r="AI1" s="49" t="str">
        <f>CONCATENATE("T1_",'Overall 2023 Reference'!H1)</f>
        <v>T1_3PPG</v>
      </c>
      <c r="AJ1" s="49" t="str">
        <f>CONCATENATE("T1_",'Overall 2023 Reference'!I1)</f>
        <v>T1_3PT%</v>
      </c>
      <c r="AK1" s="49" t="str">
        <f>CONCATENATE("T1_",'Overall 2023 Reference'!J1)</f>
        <v>T1_3PTA</v>
      </c>
      <c r="AL1" s="49" t="str">
        <f>CONCATENATE("T1_",'Overall 2023 Reference'!K1)</f>
        <v>T1_A:T</v>
      </c>
      <c r="AM1" s="49" t="str">
        <f>CONCATENATE("T1_",'Overall 2023 Reference'!L1)</f>
        <v>T1_APG</v>
      </c>
      <c r="AN1" s="49" t="str">
        <f>CONCATENATE("T1_",'Overall 2023 Reference'!M1)</f>
        <v>T1_Bench</v>
      </c>
      <c r="AO1" s="49" t="str">
        <f>CONCATENATE("T1_",'Overall 2023 Reference'!N1)</f>
        <v>T1_BPG</v>
      </c>
      <c r="AP1" s="49" t="str">
        <f>CONCATENATE("T1_",'Overall 2023 Reference'!O1)</f>
        <v>T1_DFG%</v>
      </c>
      <c r="AQ1" s="49" t="str">
        <f>CONCATENATE("T1_",'Overall 2023 Reference'!P1)</f>
        <v>T1_DRPG</v>
      </c>
      <c r="AR1" s="49" t="str">
        <f>CONCATENATE("T1_",'Overall 2023 Reference'!Q1)</f>
        <v>T1_EFG%</v>
      </c>
      <c r="AS1" s="49" t="str">
        <f>CONCATENATE("T1_",'Overall 2023 Reference'!R1)</f>
        <v>T1_FB</v>
      </c>
      <c r="AT1" s="49" t="str">
        <f>CONCATENATE("T1_",'Overall 2023 Reference'!S1)</f>
        <v>T1_FG%</v>
      </c>
      <c r="AU1" s="49" t="str">
        <f>CONCATENATE("T1_",'Overall 2023 Reference'!T1)</f>
        <v>T1_FPG</v>
      </c>
      <c r="AV1" s="49" t="str">
        <f>CONCATENATE("T1_",'Overall 2023 Reference'!U1)</f>
        <v>T1_FT%</v>
      </c>
      <c r="AW1" s="49" t="str">
        <f>CONCATENATE("T1_",'Overall 2023 Reference'!V1)</f>
        <v>T1_FTA</v>
      </c>
      <c r="AX1" s="49" t="str">
        <f>CONCATENATE("T1_",'Overall 2023 Reference'!W1)</f>
        <v>T1_FTPG</v>
      </c>
      <c r="AY1" s="49" t="str">
        <f>CONCATENATE("T1_",'Overall 2023 Reference'!X1)</f>
        <v>T1_OPPG</v>
      </c>
      <c r="AZ1" s="49" t="str">
        <f>CONCATENATE("T1_",'Overall 2023 Reference'!Y1)</f>
        <v>T1_ORPG</v>
      </c>
      <c r="BA1" s="49" t="str">
        <f>CONCATENATE("T1_",'Overall 2023 Reference'!Z1)</f>
        <v>T1_PPG</v>
      </c>
      <c r="BB1" s="49" t="str">
        <f>CONCATENATE("T1_",'Overall 2023 Reference'!AA1)</f>
        <v>T1_RM</v>
      </c>
      <c r="BC1" s="49" t="str">
        <f>CONCATENATE("T1_",'Overall 2023 Reference'!AB1)</f>
        <v>T1_RPG</v>
      </c>
      <c r="BD1" s="49" t="str">
        <f>CONCATENATE("T1_",'Overall 2023 Reference'!AC1)</f>
        <v>T1_SM</v>
      </c>
      <c r="BE1" s="49" t="str">
        <f>CONCATENATE("T1_",'Overall 2023 Reference'!AD1)</f>
        <v>T1_SPG</v>
      </c>
      <c r="BF1" s="49" t="str">
        <f>CONCATENATE("T1_",'Overall 2023 Reference'!AE1)</f>
        <v>T1_TM</v>
      </c>
      <c r="BG1" s="49" t="str">
        <f>CONCATENATE("T1_",'Overall 2023 Reference'!AF1)</f>
        <v>T1_TOF</v>
      </c>
      <c r="BH1" s="49" t="str">
        <f>CONCATENATE("T1_",'Overall 2023 Reference'!AG1)</f>
        <v>T1_TPG</v>
      </c>
      <c r="BI1" s="49" t="str">
        <f>CONCATENATE("T1_",'Overall 2023 Reference'!AH1)</f>
        <v>T1_TEMPO</v>
      </c>
      <c r="BJ1" s="49" t="str">
        <f>CONCATENATE("T1_",'Overall 2023 Reference'!AI1)</f>
        <v>T1_2PT FGM</v>
      </c>
      <c r="BK1" s="49" t="str">
        <f>CONCATENATE("T1_",'Overall 2023 Reference'!AJ1)</f>
        <v>T1_FGA</v>
      </c>
      <c r="BL1" s="49" t="str">
        <f>CONCATENATE("T2_",'Overall 2023 Reference'!G1)</f>
        <v>T2_3PD%</v>
      </c>
      <c r="BM1" s="49" t="str">
        <f>CONCATENATE("T2_",'Overall 2023 Reference'!H1)</f>
        <v>T2_3PPG</v>
      </c>
      <c r="BN1" s="49" t="str">
        <f>CONCATENATE("T2_",'Overall 2023 Reference'!I1)</f>
        <v>T2_3PT%</v>
      </c>
      <c r="BO1" s="49" t="str">
        <f>CONCATENATE("T2_",'Overall 2023 Reference'!J1)</f>
        <v>T2_3PTA</v>
      </c>
      <c r="BP1" s="49" t="str">
        <f>CONCATENATE("T2_",'Overall 2023 Reference'!K1)</f>
        <v>T2_A:T</v>
      </c>
      <c r="BQ1" s="49" t="str">
        <f>CONCATENATE("T2_",'Overall 2023 Reference'!L1)</f>
        <v>T2_APG</v>
      </c>
      <c r="BR1" s="49" t="str">
        <f>CONCATENATE("T2_",'Overall 2023 Reference'!M1)</f>
        <v>T2_Bench</v>
      </c>
      <c r="BS1" s="49" t="str">
        <f>CONCATENATE("T2_",'Overall 2023 Reference'!N1)</f>
        <v>T2_BPG</v>
      </c>
      <c r="BT1" s="49" t="str">
        <f>CONCATENATE("T2_",'Overall 2023 Reference'!O1)</f>
        <v>T2_DFG%</v>
      </c>
      <c r="BU1" s="49" t="str">
        <f>CONCATENATE("T2_",'Overall 2023 Reference'!P1)</f>
        <v>T2_DRPG</v>
      </c>
      <c r="BV1" s="49" t="str">
        <f>CONCATENATE("T2_",'Overall 2023 Reference'!Q1)</f>
        <v>T2_EFG%</v>
      </c>
      <c r="BW1" s="49" t="str">
        <f>CONCATENATE("T2_",'Overall 2023 Reference'!R1)</f>
        <v>T2_FB</v>
      </c>
      <c r="BX1" s="49" t="str">
        <f>CONCATENATE("T2_",'Overall 2023 Reference'!S1)</f>
        <v>T2_FG%</v>
      </c>
      <c r="BY1" s="49" t="str">
        <f>CONCATENATE("T2_",'Overall 2023 Reference'!T1)</f>
        <v>T2_FPG</v>
      </c>
      <c r="BZ1" s="49" t="str">
        <f>CONCATENATE("T2_",'Overall 2023 Reference'!U1)</f>
        <v>T2_FT%</v>
      </c>
      <c r="CA1" s="49" t="str">
        <f>CONCATENATE("T2_",'Overall 2023 Reference'!V1)</f>
        <v>T2_FTA</v>
      </c>
      <c r="CB1" s="49" t="str">
        <f>CONCATENATE("T2_",'Overall 2023 Reference'!W1)</f>
        <v>T2_FTPG</v>
      </c>
      <c r="CC1" s="49" t="str">
        <f>CONCATENATE("T2_",'Overall 2023 Reference'!X1)</f>
        <v>T2_OPPG</v>
      </c>
      <c r="CD1" s="49" t="str">
        <f>CONCATENATE("T2_",'Overall 2023 Reference'!Y1)</f>
        <v>T2_ORPG</v>
      </c>
      <c r="CE1" s="49" t="str">
        <f>CONCATENATE("T2_",'Overall 2023 Reference'!Z1)</f>
        <v>T2_PPG</v>
      </c>
      <c r="CF1" s="49" t="str">
        <f>CONCATENATE("T2_",'Overall 2023 Reference'!AA1)</f>
        <v>T2_RM</v>
      </c>
      <c r="CG1" s="49" t="str">
        <f>CONCATENATE("T2_",'Overall 2023 Reference'!AB1)</f>
        <v>T2_RPG</v>
      </c>
      <c r="CH1" s="49" t="str">
        <f>CONCATENATE("T2_",'Overall 2023 Reference'!AC1)</f>
        <v>T2_SM</v>
      </c>
      <c r="CI1" s="49" t="str">
        <f>CONCATENATE("T2_",'Overall 2023 Reference'!AD1)</f>
        <v>T2_SPG</v>
      </c>
      <c r="CJ1" s="49" t="str">
        <f>CONCATENATE("T2_",'Overall 2023 Reference'!AE1)</f>
        <v>T2_TM</v>
      </c>
      <c r="CK1" s="49" t="str">
        <f>CONCATENATE("T2_",'Overall 2023 Reference'!AF1)</f>
        <v>T2_TOF</v>
      </c>
      <c r="CL1" s="49" t="str">
        <f>CONCATENATE("T2_",'Overall 2023 Reference'!AG1)</f>
        <v>T2_TPG</v>
      </c>
      <c r="CM1" s="49" t="str">
        <f>CONCATENATE("T2_",'Overall 2023 Reference'!AH1)</f>
        <v>T2_TEMPO</v>
      </c>
      <c r="CN1" s="49" t="str">
        <f>CONCATENATE("T2_",'Overall 2023 Reference'!AI1)</f>
        <v>T2_2PT FGM</v>
      </c>
      <c r="CO1" s="49" t="str">
        <f>CONCATENATE("T2_",'Overall 2023 Reference'!AJ1)</f>
        <v>T2_FGA</v>
      </c>
    </row>
    <row r="2" spans="1:93" x14ac:dyDescent="0.3">
      <c r="A2" s="6" t="s">
        <v>418</v>
      </c>
      <c r="B2" s="3">
        <v>16</v>
      </c>
      <c r="C2" s="13" t="s">
        <v>411</v>
      </c>
      <c r="D2" s="14">
        <v>1</v>
      </c>
      <c r="E2" s="38">
        <f>G3</f>
        <v>22.222222222222221</v>
      </c>
      <c r="F2" s="39">
        <v>8</v>
      </c>
      <c r="G2" s="38">
        <f t="shared" ref="G2:G33" si="0">F2/H2*100</f>
        <v>30.76923076923077</v>
      </c>
      <c r="H2" s="39">
        <v>26</v>
      </c>
      <c r="I2" s="40">
        <f t="shared" ref="I2:I33" si="1">J2/AE2</f>
        <v>1.4166666666666667</v>
      </c>
      <c r="J2" s="39">
        <v>17</v>
      </c>
      <c r="K2" s="39">
        <v>16</v>
      </c>
      <c r="L2" s="39">
        <v>2</v>
      </c>
      <c r="M2" s="39">
        <f>Q3</f>
        <v>38.6</v>
      </c>
      <c r="N2" s="39">
        <v>24</v>
      </c>
      <c r="O2" s="41">
        <f t="shared" ref="O2:O33" si="2">((X2-F2*3-U2)/2+F2*1.5)/(((X2-F2*3-U2)/2+F2)/(G2/100))</f>
        <v>0.35327635327635326</v>
      </c>
      <c r="P2" s="39">
        <v>4</v>
      </c>
      <c r="Q2" s="39">
        <v>47.4</v>
      </c>
      <c r="R2" s="39">
        <v>31</v>
      </c>
      <c r="S2" s="38">
        <f t="shared" ref="S2:S33" si="3">U2/T2*100</f>
        <v>45</v>
      </c>
      <c r="T2" s="39">
        <v>20</v>
      </c>
      <c r="U2" s="39">
        <v>9</v>
      </c>
      <c r="V2" s="39">
        <f>X3</f>
        <v>75</v>
      </c>
      <c r="W2" s="39">
        <v>6</v>
      </c>
      <c r="X2" s="39">
        <v>71</v>
      </c>
      <c r="Y2" s="39">
        <f>Z2-Z3</f>
        <v>-15</v>
      </c>
      <c r="Z2" s="39">
        <f t="shared" ref="Z2:Z33" si="4">W2+N2</f>
        <v>30</v>
      </c>
      <c r="AA2" s="39">
        <f t="shared" ref="AA2:AA33" si="5">X2-V2</f>
        <v>-4</v>
      </c>
      <c r="AB2" s="39">
        <v>11</v>
      </c>
      <c r="AC2" s="39">
        <f t="shared" ref="AC2:AC33" si="6">AD2-AE2</f>
        <v>2</v>
      </c>
      <c r="AD2" s="39">
        <f>AE3</f>
        <v>14</v>
      </c>
      <c r="AE2" s="39">
        <v>12</v>
      </c>
      <c r="AF2" s="46">
        <f>(ROUND(((X2-U2-3*F2)/2),0)+F2)/Q2*100-W2+AE2+T2*0.475</f>
        <v>72.462025316455708</v>
      </c>
      <c r="AG2" s="51">
        <f>AVERAGE(AF2,AF3)</f>
        <v>72.540921984652726</v>
      </c>
      <c r="AH2" s="12">
        <f t="shared" ref="AH2:AQ11" si="7">INDEX(ovrTable2,MATCH(INDEX(teamCol2,ROW()),ovrTeamCol2,0),MATCH(MID(INDEX(headerRow2,1,COLUMN()),4,LEN(INDEX(headerRow2,1,COLUMN()))),ovrHeaderRow2,0))</f>
        <v>34</v>
      </c>
      <c r="AI2" s="12">
        <f t="shared" si="7"/>
        <v>8.1999999999999993</v>
      </c>
      <c r="AJ2" s="12">
        <f t="shared" si="7"/>
        <v>33.299999999999997</v>
      </c>
      <c r="AK2" s="12">
        <f t="shared" si="7"/>
        <v>24.2</v>
      </c>
      <c r="AL2" s="12">
        <f t="shared" si="7"/>
        <v>1.1399999999999999</v>
      </c>
      <c r="AM2" s="12">
        <f t="shared" si="7"/>
        <v>14</v>
      </c>
      <c r="AN2" s="12">
        <f t="shared" si="7"/>
        <v>22.46</v>
      </c>
      <c r="AO2" s="12">
        <f t="shared" si="7"/>
        <v>3.2</v>
      </c>
      <c r="AP2" s="12">
        <f t="shared" si="7"/>
        <v>44.1</v>
      </c>
      <c r="AQ2" s="12">
        <f t="shared" si="7"/>
        <v>26.11</v>
      </c>
      <c r="AR2" s="12">
        <f t="shared" ref="AR2:BA11" si="8">INDEX(ovrTable2,MATCH(INDEX(teamCol2,ROW()),ovrTeamCol2,0),MATCH(MID(INDEX(headerRow2,1,COLUMN()),4,LEN(INDEX(headerRow2,1,COLUMN()))),ovrHeaderRow2,0))</f>
        <v>0.505</v>
      </c>
      <c r="AS2" s="12">
        <f t="shared" si="8"/>
        <v>13.03</v>
      </c>
      <c r="AT2" s="12">
        <f t="shared" si="8"/>
        <v>44</v>
      </c>
      <c r="AU2" s="12">
        <f t="shared" si="8"/>
        <v>19.8</v>
      </c>
      <c r="AV2" s="12">
        <f t="shared" si="8"/>
        <v>71.2</v>
      </c>
      <c r="AW2" s="12">
        <f t="shared" si="8"/>
        <v>24.7</v>
      </c>
      <c r="AX2" s="12">
        <f t="shared" si="8"/>
        <v>17.399999999999999</v>
      </c>
      <c r="AY2" s="12">
        <f t="shared" si="8"/>
        <v>81.2</v>
      </c>
      <c r="AZ2" s="12">
        <f t="shared" si="8"/>
        <v>9.9499999999999993</v>
      </c>
      <c r="BA2" s="12">
        <f t="shared" si="8"/>
        <v>80</v>
      </c>
      <c r="BB2" s="12">
        <f t="shared" ref="BB2:BK11" si="9">INDEX(ovrTable2,MATCH(INDEX(teamCol2,ROW()),ovrTeamCol2,0),MATCH(MID(INDEX(headerRow2,1,COLUMN()),4,LEN(INDEX(headerRow2,1,COLUMN()))),ovrHeaderRow2,0))</f>
        <v>-0.9</v>
      </c>
      <c r="BC2" s="12">
        <f t="shared" si="9"/>
        <v>35.43</v>
      </c>
      <c r="BD2" s="12">
        <f t="shared" si="9"/>
        <v>0.6</v>
      </c>
      <c r="BE2" s="12">
        <f t="shared" si="9"/>
        <v>6.9</v>
      </c>
      <c r="BF2" s="12">
        <f t="shared" si="9"/>
        <v>1</v>
      </c>
      <c r="BG2" s="12">
        <f t="shared" si="9"/>
        <v>13.11</v>
      </c>
      <c r="BH2" s="12">
        <f t="shared" si="9"/>
        <v>12.6</v>
      </c>
      <c r="BI2" s="12">
        <f t="shared" si="9"/>
        <v>76.400000000000006</v>
      </c>
      <c r="BJ2" s="12">
        <f t="shared" si="9"/>
        <v>19</v>
      </c>
      <c r="BK2" s="12">
        <f t="shared" si="9"/>
        <v>61.81818181818182</v>
      </c>
      <c r="BL2" s="12">
        <f t="shared" ref="BL2:BU11" si="10">INDEX(ovrTable2,MATCH(INDEX(oppCol23,ROW()),ovrTeamCol2,0),MATCH(MID(INDEX(headerRow2,1,COLUMN()),4,LEN(INDEX(headerRow2,1,COLUMN()))),ovrHeaderRow2,0))</f>
        <v>33.5</v>
      </c>
      <c r="BM2" s="12">
        <f t="shared" si="10"/>
        <v>8</v>
      </c>
      <c r="BN2" s="12">
        <f t="shared" si="10"/>
        <v>36.1</v>
      </c>
      <c r="BO2" s="12">
        <f t="shared" si="10"/>
        <v>22.2</v>
      </c>
      <c r="BP2" s="12">
        <f t="shared" si="10"/>
        <v>1.32</v>
      </c>
      <c r="BQ2" s="12">
        <f t="shared" si="10"/>
        <v>15.9</v>
      </c>
      <c r="BR2" s="12">
        <f t="shared" si="10"/>
        <v>26.94</v>
      </c>
      <c r="BS2" s="12">
        <f t="shared" si="10"/>
        <v>1.6</v>
      </c>
      <c r="BT2" s="12">
        <f t="shared" si="10"/>
        <v>44.9</v>
      </c>
      <c r="BU2" s="12">
        <f t="shared" si="10"/>
        <v>25.52</v>
      </c>
      <c r="BV2" s="12">
        <f t="shared" ref="BV2:CE11" si="11">INDEX(ovrTable2,MATCH(INDEX(oppCol23,ROW()),ovrTeamCol2,0),MATCH(MID(INDEX(headerRow2,1,COLUMN()),4,LEN(INDEX(headerRow2,1,COLUMN()))),ovrHeaderRow2,0))</f>
        <v>0.51800000000000002</v>
      </c>
      <c r="BW2" s="12">
        <f t="shared" si="11"/>
        <v>13.41</v>
      </c>
      <c r="BX2" s="12">
        <f t="shared" si="11"/>
        <v>45.3</v>
      </c>
      <c r="BY2" s="12">
        <f t="shared" si="11"/>
        <v>18.899999999999999</v>
      </c>
      <c r="BZ2" s="12">
        <f t="shared" si="11"/>
        <v>78.400000000000006</v>
      </c>
      <c r="CA2" s="12">
        <f t="shared" si="11"/>
        <v>23</v>
      </c>
      <c r="CB2" s="12">
        <f t="shared" si="11"/>
        <v>17.600000000000001</v>
      </c>
      <c r="CC2" s="12">
        <f t="shared" si="11"/>
        <v>74.5</v>
      </c>
      <c r="CD2" s="12">
        <f t="shared" si="11"/>
        <v>12.79</v>
      </c>
      <c r="CE2" s="12">
        <f t="shared" si="11"/>
        <v>83.2</v>
      </c>
      <c r="CF2" s="12">
        <f t="shared" ref="CF2:CO11" si="12">INDEX(ovrTable2,MATCH(INDEX(oppCol23,ROW()),ovrTeamCol2,0),MATCH(MID(INDEX(headerRow2,1,COLUMN()),4,LEN(INDEX(headerRow2,1,COLUMN()))),ovrHeaderRow2,0))</f>
        <v>4.4000000000000004</v>
      </c>
      <c r="CG2" s="12">
        <f t="shared" si="12"/>
        <v>38.69</v>
      </c>
      <c r="CH2" s="12">
        <f t="shared" si="12"/>
        <v>7.4</v>
      </c>
      <c r="CI2" s="12">
        <f t="shared" si="12"/>
        <v>8.3000000000000007</v>
      </c>
      <c r="CJ2" s="12">
        <f t="shared" si="12"/>
        <v>1.6</v>
      </c>
      <c r="CK2" s="12">
        <f t="shared" si="12"/>
        <v>13.61</v>
      </c>
      <c r="CL2" s="12">
        <f t="shared" si="12"/>
        <v>11.8</v>
      </c>
      <c r="CM2" s="12">
        <f t="shared" si="12"/>
        <v>72.7</v>
      </c>
      <c r="CN2" s="12">
        <f t="shared" si="12"/>
        <v>20.799999999999997</v>
      </c>
      <c r="CO2" s="12">
        <f t="shared" si="12"/>
        <v>63.576158940397342</v>
      </c>
    </row>
    <row r="3" spans="1:93" x14ac:dyDescent="0.3">
      <c r="A3" s="6" t="s">
        <v>411</v>
      </c>
      <c r="B3" s="3">
        <v>16</v>
      </c>
      <c r="C3" s="13" t="s">
        <v>418</v>
      </c>
      <c r="D3" s="14">
        <v>1</v>
      </c>
      <c r="E3" s="38">
        <f>G2</f>
        <v>30.76923076923077</v>
      </c>
      <c r="F3" s="39">
        <v>4</v>
      </c>
      <c r="G3" s="38">
        <f t="shared" si="0"/>
        <v>22.222222222222221</v>
      </c>
      <c r="H3" s="39">
        <v>18</v>
      </c>
      <c r="I3" s="40">
        <f t="shared" si="1"/>
        <v>0.7142857142857143</v>
      </c>
      <c r="J3" s="39">
        <v>10</v>
      </c>
      <c r="K3" s="39">
        <v>13</v>
      </c>
      <c r="L3" s="39">
        <v>1</v>
      </c>
      <c r="M3" s="39">
        <f>Q2</f>
        <v>47.4</v>
      </c>
      <c r="N3" s="39">
        <v>30</v>
      </c>
      <c r="O3" s="41">
        <f t="shared" si="2"/>
        <v>0.24242424242424243</v>
      </c>
      <c r="P3" s="39">
        <v>14</v>
      </c>
      <c r="Q3" s="39">
        <v>38.6</v>
      </c>
      <c r="R3" s="39">
        <v>18</v>
      </c>
      <c r="S3" s="38">
        <f t="shared" si="3"/>
        <v>77.142857142857153</v>
      </c>
      <c r="T3" s="39">
        <v>35</v>
      </c>
      <c r="U3" s="39">
        <v>27</v>
      </c>
      <c r="V3" s="39">
        <f>X2</f>
        <v>71</v>
      </c>
      <c r="W3" s="39">
        <v>15</v>
      </c>
      <c r="X3" s="39">
        <v>75</v>
      </c>
      <c r="Y3" s="39">
        <f>Z3-Z2</f>
        <v>15</v>
      </c>
      <c r="Z3" s="39">
        <f t="shared" si="4"/>
        <v>45</v>
      </c>
      <c r="AA3" s="39">
        <f t="shared" si="5"/>
        <v>4</v>
      </c>
      <c r="AB3" s="39">
        <v>3</v>
      </c>
      <c r="AC3" s="39">
        <f t="shared" si="6"/>
        <v>-2</v>
      </c>
      <c r="AD3" s="39">
        <f>AE2</f>
        <v>12</v>
      </c>
      <c r="AE3" s="39">
        <v>14</v>
      </c>
      <c r="AF3" s="46">
        <f t="shared" ref="AF3:AF66" si="13">(ROUND(((X3-U3-3*F3)/2),0)+F3)/Q3*100-W3+AE3+T3*0.475</f>
        <v>72.619818652849744</v>
      </c>
      <c r="AG3" s="51">
        <f>AVERAGE(AF2,AF3)</f>
        <v>72.540921984652726</v>
      </c>
      <c r="AH3" s="12">
        <f t="shared" si="7"/>
        <v>33.5</v>
      </c>
      <c r="AI3" s="12">
        <f t="shared" si="7"/>
        <v>8</v>
      </c>
      <c r="AJ3" s="12">
        <f t="shared" si="7"/>
        <v>36.1</v>
      </c>
      <c r="AK3" s="12">
        <f t="shared" si="7"/>
        <v>22.2</v>
      </c>
      <c r="AL3" s="12">
        <f t="shared" si="7"/>
        <v>1.32</v>
      </c>
      <c r="AM3" s="12">
        <f t="shared" si="7"/>
        <v>15.9</v>
      </c>
      <c r="AN3" s="12">
        <f t="shared" si="7"/>
        <v>26.94</v>
      </c>
      <c r="AO3" s="12">
        <f t="shared" si="7"/>
        <v>1.6</v>
      </c>
      <c r="AP3" s="12">
        <f t="shared" si="7"/>
        <v>44.9</v>
      </c>
      <c r="AQ3" s="12">
        <f t="shared" si="7"/>
        <v>25.52</v>
      </c>
      <c r="AR3" s="12">
        <f t="shared" si="8"/>
        <v>0.51800000000000002</v>
      </c>
      <c r="AS3" s="12">
        <f t="shared" si="8"/>
        <v>13.41</v>
      </c>
      <c r="AT3" s="12">
        <f t="shared" si="8"/>
        <v>45.3</v>
      </c>
      <c r="AU3" s="12">
        <f t="shared" si="8"/>
        <v>18.899999999999999</v>
      </c>
      <c r="AV3" s="12">
        <f t="shared" si="8"/>
        <v>78.400000000000006</v>
      </c>
      <c r="AW3" s="12">
        <f t="shared" si="8"/>
        <v>23</v>
      </c>
      <c r="AX3" s="12">
        <f t="shared" si="8"/>
        <v>17.600000000000001</v>
      </c>
      <c r="AY3" s="12">
        <f t="shared" si="8"/>
        <v>74.5</v>
      </c>
      <c r="AZ3" s="12">
        <f t="shared" si="8"/>
        <v>12.79</v>
      </c>
      <c r="BA3" s="12">
        <f t="shared" si="8"/>
        <v>83.2</v>
      </c>
      <c r="BB3" s="12">
        <f t="shared" si="9"/>
        <v>4.4000000000000004</v>
      </c>
      <c r="BC3" s="12">
        <f t="shared" si="9"/>
        <v>38.69</v>
      </c>
      <c r="BD3" s="12">
        <f t="shared" si="9"/>
        <v>7.4</v>
      </c>
      <c r="BE3" s="12">
        <f t="shared" si="9"/>
        <v>8.3000000000000007</v>
      </c>
      <c r="BF3" s="12">
        <f t="shared" si="9"/>
        <v>1.6</v>
      </c>
      <c r="BG3" s="12">
        <f t="shared" si="9"/>
        <v>13.61</v>
      </c>
      <c r="BH3" s="12">
        <f t="shared" si="9"/>
        <v>11.8</v>
      </c>
      <c r="BI3" s="12">
        <f t="shared" si="9"/>
        <v>72.7</v>
      </c>
      <c r="BJ3" s="12">
        <f t="shared" si="9"/>
        <v>20.799999999999997</v>
      </c>
      <c r="BK3" s="12">
        <f t="shared" si="9"/>
        <v>63.576158940397342</v>
      </c>
      <c r="BL3" s="12">
        <f t="shared" si="10"/>
        <v>34</v>
      </c>
      <c r="BM3" s="12">
        <f t="shared" si="10"/>
        <v>8.1999999999999993</v>
      </c>
      <c r="BN3" s="12">
        <f t="shared" si="10"/>
        <v>33.299999999999997</v>
      </c>
      <c r="BO3" s="12">
        <f t="shared" si="10"/>
        <v>24.2</v>
      </c>
      <c r="BP3" s="12">
        <f t="shared" si="10"/>
        <v>1.1399999999999999</v>
      </c>
      <c r="BQ3" s="12">
        <f t="shared" si="10"/>
        <v>14</v>
      </c>
      <c r="BR3" s="12">
        <f t="shared" si="10"/>
        <v>22.46</v>
      </c>
      <c r="BS3" s="12">
        <f t="shared" si="10"/>
        <v>3.2</v>
      </c>
      <c r="BT3" s="12">
        <f t="shared" si="10"/>
        <v>44.1</v>
      </c>
      <c r="BU3" s="12">
        <f t="shared" si="10"/>
        <v>26.11</v>
      </c>
      <c r="BV3" s="12">
        <f t="shared" si="11"/>
        <v>0.505</v>
      </c>
      <c r="BW3" s="12">
        <f t="shared" si="11"/>
        <v>13.03</v>
      </c>
      <c r="BX3" s="12">
        <f t="shared" si="11"/>
        <v>44</v>
      </c>
      <c r="BY3" s="12">
        <f t="shared" si="11"/>
        <v>19.8</v>
      </c>
      <c r="BZ3" s="12">
        <f t="shared" si="11"/>
        <v>71.2</v>
      </c>
      <c r="CA3" s="12">
        <f t="shared" si="11"/>
        <v>24.7</v>
      </c>
      <c r="CB3" s="12">
        <f t="shared" si="11"/>
        <v>17.399999999999999</v>
      </c>
      <c r="CC3" s="12">
        <f t="shared" si="11"/>
        <v>81.2</v>
      </c>
      <c r="CD3" s="12">
        <f t="shared" si="11"/>
        <v>9.9499999999999993</v>
      </c>
      <c r="CE3" s="12">
        <f t="shared" si="11"/>
        <v>80</v>
      </c>
      <c r="CF3" s="12">
        <f t="shared" si="12"/>
        <v>-0.9</v>
      </c>
      <c r="CG3" s="12">
        <f t="shared" si="12"/>
        <v>35.43</v>
      </c>
      <c r="CH3" s="12">
        <f t="shared" si="12"/>
        <v>0.6</v>
      </c>
      <c r="CI3" s="12">
        <f t="shared" si="12"/>
        <v>6.9</v>
      </c>
      <c r="CJ3" s="12">
        <f t="shared" si="12"/>
        <v>1</v>
      </c>
      <c r="CK3" s="12">
        <f t="shared" si="12"/>
        <v>13.11</v>
      </c>
      <c r="CL3" s="12">
        <f t="shared" si="12"/>
        <v>12.6</v>
      </c>
      <c r="CM3" s="12">
        <f t="shared" si="12"/>
        <v>76.400000000000006</v>
      </c>
      <c r="CN3" s="12">
        <f t="shared" si="12"/>
        <v>19</v>
      </c>
      <c r="CO3" s="12">
        <f t="shared" si="12"/>
        <v>61.81818181818182</v>
      </c>
    </row>
    <row r="4" spans="1:93" x14ac:dyDescent="0.3">
      <c r="A4" s="6" t="s">
        <v>25</v>
      </c>
      <c r="B4" s="3">
        <v>11</v>
      </c>
      <c r="C4" s="13" t="s">
        <v>336</v>
      </c>
      <c r="D4" s="14">
        <v>2</v>
      </c>
      <c r="E4" s="38">
        <f>G5</f>
        <v>47.368421052631575</v>
      </c>
      <c r="F4" s="39">
        <v>6</v>
      </c>
      <c r="G4" s="38">
        <f t="shared" si="0"/>
        <v>26.086956521739129</v>
      </c>
      <c r="H4" s="39">
        <v>23</v>
      </c>
      <c r="I4" s="40">
        <f t="shared" si="1"/>
        <v>1</v>
      </c>
      <c r="J4" s="39">
        <v>14</v>
      </c>
      <c r="K4" s="39">
        <v>6</v>
      </c>
      <c r="L4" s="39">
        <v>4</v>
      </c>
      <c r="M4" s="39">
        <f>Q5</f>
        <v>38.9</v>
      </c>
      <c r="N4" s="39">
        <v>31</v>
      </c>
      <c r="O4" s="41">
        <f t="shared" si="2"/>
        <v>0.29347826086956524</v>
      </c>
      <c r="P4" s="39">
        <v>2</v>
      </c>
      <c r="Q4" s="39">
        <v>38.1</v>
      </c>
      <c r="R4" s="39">
        <v>18</v>
      </c>
      <c r="S4" s="38">
        <f t="shared" si="3"/>
        <v>71.428571428571431</v>
      </c>
      <c r="T4" s="39">
        <v>7</v>
      </c>
      <c r="U4" s="39">
        <v>5</v>
      </c>
      <c r="V4" s="39">
        <f>X5</f>
        <v>60</v>
      </c>
      <c r="W4" s="39">
        <v>18</v>
      </c>
      <c r="X4" s="39">
        <v>59</v>
      </c>
      <c r="Y4" s="39">
        <f>Z4-Z5</f>
        <v>21</v>
      </c>
      <c r="Z4" s="39">
        <f t="shared" si="4"/>
        <v>49</v>
      </c>
      <c r="AA4" s="39">
        <f t="shared" si="5"/>
        <v>-1</v>
      </c>
      <c r="AB4" s="39">
        <v>1</v>
      </c>
      <c r="AC4" s="39">
        <f t="shared" si="6"/>
        <v>-7</v>
      </c>
      <c r="AD4" s="39">
        <f>AE5</f>
        <v>7</v>
      </c>
      <c r="AE4" s="39">
        <v>14</v>
      </c>
      <c r="AF4" s="46">
        <f t="shared" si="13"/>
        <v>62.317125984251973</v>
      </c>
      <c r="AG4" s="51">
        <f t="shared" ref="AG4" si="14">AVERAGE(AF4,AF5)</f>
        <v>62.213350909863777</v>
      </c>
      <c r="AH4" s="12">
        <f t="shared" si="7"/>
        <v>31.7</v>
      </c>
      <c r="AI4" s="12">
        <f t="shared" si="7"/>
        <v>5.7</v>
      </c>
      <c r="AJ4" s="12">
        <f t="shared" si="7"/>
        <v>29.3</v>
      </c>
      <c r="AK4" s="12">
        <f t="shared" si="7"/>
        <v>20.2</v>
      </c>
      <c r="AL4" s="12">
        <f t="shared" si="7"/>
        <v>1.22</v>
      </c>
      <c r="AM4" s="12">
        <f t="shared" si="7"/>
        <v>14.7</v>
      </c>
      <c r="AN4" s="12">
        <f t="shared" si="7"/>
        <v>17.760000000000002</v>
      </c>
      <c r="AO4" s="12">
        <f t="shared" si="7"/>
        <v>3.7</v>
      </c>
      <c r="AP4" s="12">
        <f t="shared" si="7"/>
        <v>39.200000000000003</v>
      </c>
      <c r="AQ4" s="12">
        <f t="shared" si="7"/>
        <v>25.39</v>
      </c>
      <c r="AR4" s="12">
        <f t="shared" si="8"/>
        <v>0.45700000000000002</v>
      </c>
      <c r="AS4" s="12">
        <f t="shared" si="8"/>
        <v>7.82</v>
      </c>
      <c r="AT4" s="12">
        <f t="shared" si="8"/>
        <v>40.200000000000003</v>
      </c>
      <c r="AU4" s="12">
        <f t="shared" si="8"/>
        <v>14.9</v>
      </c>
      <c r="AV4" s="12">
        <f t="shared" si="8"/>
        <v>63.7</v>
      </c>
      <c r="AW4" s="12">
        <f t="shared" si="8"/>
        <v>20.6</v>
      </c>
      <c r="AX4" s="12">
        <f t="shared" si="8"/>
        <v>12.7</v>
      </c>
      <c r="AY4" s="12">
        <f t="shared" si="8"/>
        <v>63</v>
      </c>
      <c r="AZ4" s="12">
        <f t="shared" si="8"/>
        <v>13.18</v>
      </c>
      <c r="BA4" s="12">
        <f t="shared" si="8"/>
        <v>62.9</v>
      </c>
      <c r="BB4" s="12">
        <f t="shared" si="9"/>
        <v>5.0999999999999996</v>
      </c>
      <c r="BC4" s="12">
        <f t="shared" si="9"/>
        <v>39.200000000000003</v>
      </c>
      <c r="BD4" s="12">
        <f t="shared" si="9"/>
        <v>3.3</v>
      </c>
      <c r="BE4" s="12">
        <f t="shared" si="9"/>
        <v>8.6</v>
      </c>
      <c r="BF4" s="12">
        <f t="shared" si="9"/>
        <v>0.9</v>
      </c>
      <c r="BG4" s="12">
        <f t="shared" si="9"/>
        <v>12.43</v>
      </c>
      <c r="BH4" s="12">
        <f t="shared" si="9"/>
        <v>11.8</v>
      </c>
      <c r="BI4" s="12">
        <f t="shared" si="9"/>
        <v>67.2</v>
      </c>
      <c r="BJ4" s="12">
        <f t="shared" si="9"/>
        <v>16.55</v>
      </c>
      <c r="BK4" s="12">
        <f t="shared" si="9"/>
        <v>55.348258706467661</v>
      </c>
      <c r="BL4" s="12">
        <f t="shared" si="10"/>
        <v>32.299999999999997</v>
      </c>
      <c r="BM4" s="12">
        <f t="shared" si="10"/>
        <v>8.9</v>
      </c>
      <c r="BN4" s="12">
        <f t="shared" si="10"/>
        <v>35.9</v>
      </c>
      <c r="BO4" s="12">
        <f t="shared" si="10"/>
        <v>25.1</v>
      </c>
      <c r="BP4" s="12">
        <f t="shared" si="10"/>
        <v>1.41</v>
      </c>
      <c r="BQ4" s="12">
        <f t="shared" si="10"/>
        <v>14.6</v>
      </c>
      <c r="BR4" s="12">
        <f t="shared" si="10"/>
        <v>16.66</v>
      </c>
      <c r="BS4" s="12">
        <f t="shared" si="10"/>
        <v>4.0999999999999996</v>
      </c>
      <c r="BT4" s="12">
        <f t="shared" si="10"/>
        <v>42.1</v>
      </c>
      <c r="BU4" s="12">
        <f t="shared" si="10"/>
        <v>26.71</v>
      </c>
      <c r="BV4" s="12">
        <f t="shared" si="11"/>
        <v>0.53500000000000003</v>
      </c>
      <c r="BW4" s="12">
        <f t="shared" si="11"/>
        <v>7.24</v>
      </c>
      <c r="BX4" s="12">
        <f t="shared" si="11"/>
        <v>44.9</v>
      </c>
      <c r="BY4" s="12">
        <f t="shared" si="11"/>
        <v>16.2</v>
      </c>
      <c r="BZ4" s="12">
        <f t="shared" si="11"/>
        <v>75.3</v>
      </c>
      <c r="CA4" s="12">
        <f t="shared" si="11"/>
        <v>19.7</v>
      </c>
      <c r="CB4" s="12">
        <f t="shared" si="11"/>
        <v>15.3</v>
      </c>
      <c r="CC4" s="12">
        <f t="shared" si="11"/>
        <v>71.2</v>
      </c>
      <c r="CD4" s="12">
        <f t="shared" si="11"/>
        <v>10.119999999999999</v>
      </c>
      <c r="CE4" s="12">
        <f t="shared" si="11"/>
        <v>76.400000000000006</v>
      </c>
      <c r="CF4" s="12">
        <f t="shared" si="12"/>
        <v>2.4</v>
      </c>
      <c r="CG4" s="12">
        <f t="shared" si="12"/>
        <v>37.61</v>
      </c>
      <c r="CH4" s="12">
        <f t="shared" si="12"/>
        <v>5</v>
      </c>
      <c r="CI4" s="12">
        <f t="shared" si="12"/>
        <v>5.6</v>
      </c>
      <c r="CJ4" s="12">
        <f t="shared" si="12"/>
        <v>0.2</v>
      </c>
      <c r="CK4" s="12">
        <f t="shared" si="12"/>
        <v>10.55</v>
      </c>
      <c r="CL4" s="12">
        <f t="shared" si="12"/>
        <v>10.1</v>
      </c>
      <c r="CM4" s="12">
        <f t="shared" si="12"/>
        <v>69.5</v>
      </c>
      <c r="CN4" s="12">
        <f t="shared" si="12"/>
        <v>17.200000000000003</v>
      </c>
      <c r="CO4" s="12">
        <f t="shared" si="12"/>
        <v>58.129175946547889</v>
      </c>
    </row>
    <row r="5" spans="1:93" x14ac:dyDescent="0.3">
      <c r="A5" s="6" t="s">
        <v>336</v>
      </c>
      <c r="B5" s="3">
        <v>11</v>
      </c>
      <c r="C5" s="13" t="s">
        <v>25</v>
      </c>
      <c r="D5" s="14">
        <v>2</v>
      </c>
      <c r="E5" s="38">
        <f>G4</f>
        <v>26.086956521739129</v>
      </c>
      <c r="F5" s="39">
        <v>9</v>
      </c>
      <c r="G5" s="38">
        <f t="shared" si="0"/>
        <v>47.368421052631575</v>
      </c>
      <c r="H5" s="39">
        <v>19</v>
      </c>
      <c r="I5" s="40">
        <f t="shared" si="1"/>
        <v>1.4285714285714286</v>
      </c>
      <c r="J5" s="39">
        <v>10</v>
      </c>
      <c r="K5" s="39">
        <v>11</v>
      </c>
      <c r="L5" s="39">
        <v>4</v>
      </c>
      <c r="M5" s="39">
        <f>Q4</f>
        <v>38.1</v>
      </c>
      <c r="N5" s="39">
        <v>22</v>
      </c>
      <c r="O5" s="41">
        <f t="shared" si="2"/>
        <v>0.57518796992481203</v>
      </c>
      <c r="P5" s="39">
        <v>6</v>
      </c>
      <c r="Q5" s="39">
        <v>38.9</v>
      </c>
      <c r="R5" s="39">
        <v>12</v>
      </c>
      <c r="S5" s="38">
        <f t="shared" si="3"/>
        <v>60</v>
      </c>
      <c r="T5" s="39">
        <v>15</v>
      </c>
      <c r="U5" s="39">
        <v>9</v>
      </c>
      <c r="V5" s="39">
        <f>X4</f>
        <v>59</v>
      </c>
      <c r="W5" s="39">
        <v>6</v>
      </c>
      <c r="X5" s="39">
        <v>60</v>
      </c>
      <c r="Y5" s="39">
        <f>Z5-Z4</f>
        <v>-21</v>
      </c>
      <c r="Z5" s="39">
        <f t="shared" si="4"/>
        <v>28</v>
      </c>
      <c r="AA5" s="39">
        <f t="shared" si="5"/>
        <v>1</v>
      </c>
      <c r="AB5" s="39">
        <v>7</v>
      </c>
      <c r="AC5" s="39">
        <f t="shared" si="6"/>
        <v>7</v>
      </c>
      <c r="AD5" s="39">
        <f>AE4</f>
        <v>14</v>
      </c>
      <c r="AE5" s="39">
        <v>7</v>
      </c>
      <c r="AF5" s="46">
        <f t="shared" si="13"/>
        <v>62.109575835475582</v>
      </c>
      <c r="AG5" s="51">
        <f t="shared" ref="AG5" si="15">AVERAGE(AF4,AF5)</f>
        <v>62.213350909863777</v>
      </c>
      <c r="AH5" s="12">
        <f t="shared" si="7"/>
        <v>32.299999999999997</v>
      </c>
      <c r="AI5" s="12">
        <f t="shared" si="7"/>
        <v>8.9</v>
      </c>
      <c r="AJ5" s="12">
        <f t="shared" si="7"/>
        <v>35.9</v>
      </c>
      <c r="AK5" s="12">
        <f t="shared" si="7"/>
        <v>25.1</v>
      </c>
      <c r="AL5" s="12">
        <f t="shared" si="7"/>
        <v>1.41</v>
      </c>
      <c r="AM5" s="12">
        <f t="shared" si="7"/>
        <v>14.6</v>
      </c>
      <c r="AN5" s="12">
        <f t="shared" si="7"/>
        <v>16.66</v>
      </c>
      <c r="AO5" s="12">
        <f t="shared" si="7"/>
        <v>4.0999999999999996</v>
      </c>
      <c r="AP5" s="12">
        <f t="shared" si="7"/>
        <v>42.1</v>
      </c>
      <c r="AQ5" s="12">
        <f t="shared" si="7"/>
        <v>26.71</v>
      </c>
      <c r="AR5" s="12">
        <f t="shared" si="8"/>
        <v>0.53500000000000003</v>
      </c>
      <c r="AS5" s="12">
        <f t="shared" si="8"/>
        <v>7.24</v>
      </c>
      <c r="AT5" s="12">
        <f t="shared" si="8"/>
        <v>44.9</v>
      </c>
      <c r="AU5" s="12">
        <f t="shared" si="8"/>
        <v>16.2</v>
      </c>
      <c r="AV5" s="12">
        <f t="shared" si="8"/>
        <v>75.3</v>
      </c>
      <c r="AW5" s="12">
        <f t="shared" si="8"/>
        <v>19.7</v>
      </c>
      <c r="AX5" s="12">
        <f t="shared" si="8"/>
        <v>15.3</v>
      </c>
      <c r="AY5" s="12">
        <f t="shared" si="8"/>
        <v>71.2</v>
      </c>
      <c r="AZ5" s="12">
        <f t="shared" si="8"/>
        <v>10.119999999999999</v>
      </c>
      <c r="BA5" s="12">
        <f t="shared" si="8"/>
        <v>76.400000000000006</v>
      </c>
      <c r="BB5" s="12">
        <f t="shared" si="9"/>
        <v>2.4</v>
      </c>
      <c r="BC5" s="12">
        <f t="shared" si="9"/>
        <v>37.61</v>
      </c>
      <c r="BD5" s="12">
        <f t="shared" si="9"/>
        <v>5</v>
      </c>
      <c r="BE5" s="12">
        <f t="shared" si="9"/>
        <v>5.6</v>
      </c>
      <c r="BF5" s="12">
        <f t="shared" si="9"/>
        <v>0.2</v>
      </c>
      <c r="BG5" s="12">
        <f t="shared" si="9"/>
        <v>10.55</v>
      </c>
      <c r="BH5" s="12">
        <f t="shared" si="9"/>
        <v>10.1</v>
      </c>
      <c r="BI5" s="12">
        <f t="shared" si="9"/>
        <v>69.5</v>
      </c>
      <c r="BJ5" s="12">
        <f t="shared" si="9"/>
        <v>17.200000000000003</v>
      </c>
      <c r="BK5" s="12">
        <f t="shared" si="9"/>
        <v>58.129175946547889</v>
      </c>
      <c r="BL5" s="12">
        <f t="shared" si="10"/>
        <v>31.7</v>
      </c>
      <c r="BM5" s="12">
        <f t="shared" si="10"/>
        <v>5.7</v>
      </c>
      <c r="BN5" s="12">
        <f t="shared" si="10"/>
        <v>29.3</v>
      </c>
      <c r="BO5" s="12">
        <f t="shared" si="10"/>
        <v>20.2</v>
      </c>
      <c r="BP5" s="12">
        <f t="shared" si="10"/>
        <v>1.22</v>
      </c>
      <c r="BQ5" s="12">
        <f t="shared" si="10"/>
        <v>14.7</v>
      </c>
      <c r="BR5" s="12">
        <f t="shared" si="10"/>
        <v>17.760000000000002</v>
      </c>
      <c r="BS5" s="12">
        <f t="shared" si="10"/>
        <v>3.7</v>
      </c>
      <c r="BT5" s="12">
        <f t="shared" si="10"/>
        <v>39.200000000000003</v>
      </c>
      <c r="BU5" s="12">
        <f t="shared" si="10"/>
        <v>25.39</v>
      </c>
      <c r="BV5" s="12">
        <f t="shared" si="11"/>
        <v>0.45700000000000002</v>
      </c>
      <c r="BW5" s="12">
        <f t="shared" si="11"/>
        <v>7.82</v>
      </c>
      <c r="BX5" s="12">
        <f t="shared" si="11"/>
        <v>40.200000000000003</v>
      </c>
      <c r="BY5" s="12">
        <f t="shared" si="11"/>
        <v>14.9</v>
      </c>
      <c r="BZ5" s="12">
        <f t="shared" si="11"/>
        <v>63.7</v>
      </c>
      <c r="CA5" s="12">
        <f t="shared" si="11"/>
        <v>20.6</v>
      </c>
      <c r="CB5" s="12">
        <f t="shared" si="11"/>
        <v>12.7</v>
      </c>
      <c r="CC5" s="12">
        <f t="shared" si="11"/>
        <v>63</v>
      </c>
      <c r="CD5" s="12">
        <f t="shared" si="11"/>
        <v>13.18</v>
      </c>
      <c r="CE5" s="12">
        <f t="shared" si="11"/>
        <v>62.9</v>
      </c>
      <c r="CF5" s="12">
        <f t="shared" si="12"/>
        <v>5.0999999999999996</v>
      </c>
      <c r="CG5" s="12">
        <f t="shared" si="12"/>
        <v>39.200000000000003</v>
      </c>
      <c r="CH5" s="12">
        <f t="shared" si="12"/>
        <v>3.3</v>
      </c>
      <c r="CI5" s="12">
        <f t="shared" si="12"/>
        <v>8.6</v>
      </c>
      <c r="CJ5" s="12">
        <f t="shared" si="12"/>
        <v>0.9</v>
      </c>
      <c r="CK5" s="12">
        <f t="shared" si="12"/>
        <v>12.43</v>
      </c>
      <c r="CL5" s="12">
        <f t="shared" si="12"/>
        <v>11.8</v>
      </c>
      <c r="CM5" s="12">
        <f t="shared" si="12"/>
        <v>67.2</v>
      </c>
      <c r="CN5" s="12">
        <f t="shared" si="12"/>
        <v>16.55</v>
      </c>
      <c r="CO5" s="12">
        <f t="shared" si="12"/>
        <v>55.348258706467661</v>
      </c>
    </row>
    <row r="6" spans="1:93" x14ac:dyDescent="0.3">
      <c r="A6" s="6" t="s">
        <v>26</v>
      </c>
      <c r="B6" s="3">
        <v>11</v>
      </c>
      <c r="C6" s="13" t="s">
        <v>394</v>
      </c>
      <c r="D6" s="14">
        <v>3</v>
      </c>
      <c r="E6" s="38">
        <f>G7</f>
        <v>52.380952380952387</v>
      </c>
      <c r="F6" s="39">
        <v>11</v>
      </c>
      <c r="G6" s="38">
        <f t="shared" si="0"/>
        <v>52.380952380952387</v>
      </c>
      <c r="H6" s="39">
        <v>21</v>
      </c>
      <c r="I6" s="40">
        <f t="shared" si="1"/>
        <v>1.7272727272727273</v>
      </c>
      <c r="J6" s="39">
        <v>19</v>
      </c>
      <c r="K6" s="39">
        <v>19</v>
      </c>
      <c r="L6" s="39">
        <v>0</v>
      </c>
      <c r="M6" s="39">
        <f>Q7</f>
        <v>63.6</v>
      </c>
      <c r="N6" s="39">
        <v>20</v>
      </c>
      <c r="O6" s="41">
        <f t="shared" si="2"/>
        <v>0.63904761904761909</v>
      </c>
      <c r="P6" s="39">
        <v>7</v>
      </c>
      <c r="Q6" s="39">
        <v>48.1</v>
      </c>
      <c r="R6" s="39">
        <v>18</v>
      </c>
      <c r="S6" s="38">
        <f t="shared" si="3"/>
        <v>85.714285714285708</v>
      </c>
      <c r="T6" s="39">
        <v>14</v>
      </c>
      <c r="U6" s="39">
        <v>12</v>
      </c>
      <c r="V6" s="39">
        <f>X7</f>
        <v>98</v>
      </c>
      <c r="W6" s="39">
        <v>5</v>
      </c>
      <c r="X6" s="39">
        <v>73</v>
      </c>
      <c r="Y6" s="39">
        <f>Z6-Z7</f>
        <v>-3</v>
      </c>
      <c r="Z6" s="39">
        <f t="shared" si="4"/>
        <v>25</v>
      </c>
      <c r="AA6" s="39">
        <f t="shared" si="5"/>
        <v>-25</v>
      </c>
      <c r="AB6" s="39">
        <v>3</v>
      </c>
      <c r="AC6" s="39">
        <f t="shared" si="6"/>
        <v>-4</v>
      </c>
      <c r="AD6" s="39">
        <f>AE7</f>
        <v>7</v>
      </c>
      <c r="AE6" s="39">
        <v>11</v>
      </c>
      <c r="AF6" s="46">
        <f t="shared" si="13"/>
        <v>64.625051975051974</v>
      </c>
      <c r="AG6" s="51">
        <f t="shared" ref="AG6" si="16">AVERAGE(AF6,AF7)</f>
        <v>67.028249257966237</v>
      </c>
      <c r="AH6" s="12">
        <f t="shared" si="7"/>
        <v>32.5</v>
      </c>
      <c r="AI6" s="12">
        <f t="shared" si="7"/>
        <v>7.3</v>
      </c>
      <c r="AJ6" s="12">
        <f t="shared" si="7"/>
        <v>35.5</v>
      </c>
      <c r="AK6" s="12">
        <f t="shared" si="7"/>
        <v>21.6</v>
      </c>
      <c r="AL6" s="12">
        <f t="shared" si="7"/>
        <v>1.58</v>
      </c>
      <c r="AM6" s="12">
        <f t="shared" si="7"/>
        <v>14.9</v>
      </c>
      <c r="AN6" s="12">
        <f t="shared" si="7"/>
        <v>15.03</v>
      </c>
      <c r="AO6" s="12">
        <f t="shared" si="7"/>
        <v>3.1</v>
      </c>
      <c r="AP6" s="12">
        <f t="shared" si="7"/>
        <v>42.9</v>
      </c>
      <c r="AQ6" s="12">
        <f t="shared" si="7"/>
        <v>26.46</v>
      </c>
      <c r="AR6" s="12">
        <f t="shared" si="8"/>
        <v>0.51600000000000001</v>
      </c>
      <c r="AS6" s="12">
        <f t="shared" si="8"/>
        <v>6.39</v>
      </c>
      <c r="AT6" s="12">
        <f t="shared" si="8"/>
        <v>44.9</v>
      </c>
      <c r="AU6" s="12">
        <f t="shared" si="8"/>
        <v>17.5</v>
      </c>
      <c r="AV6" s="12">
        <f t="shared" si="8"/>
        <v>78.8</v>
      </c>
      <c r="AW6" s="12">
        <f t="shared" si="8"/>
        <v>23.1</v>
      </c>
      <c r="AX6" s="12">
        <f t="shared" si="8"/>
        <v>17.8</v>
      </c>
      <c r="AY6" s="12">
        <f t="shared" si="8"/>
        <v>69.099999999999994</v>
      </c>
      <c r="AZ6" s="12">
        <f t="shared" si="8"/>
        <v>7.86</v>
      </c>
      <c r="BA6" s="12">
        <f t="shared" si="8"/>
        <v>74.7</v>
      </c>
      <c r="BB6" s="12">
        <f t="shared" si="9"/>
        <v>0.5</v>
      </c>
      <c r="BC6" s="12">
        <f t="shared" si="9"/>
        <v>34.32</v>
      </c>
      <c r="BD6" s="12">
        <f t="shared" si="9"/>
        <v>3.5</v>
      </c>
      <c r="BE6" s="12">
        <f t="shared" si="9"/>
        <v>5.9</v>
      </c>
      <c r="BF6" s="12">
        <f t="shared" si="9"/>
        <v>1.6</v>
      </c>
      <c r="BG6" s="12">
        <f t="shared" si="9"/>
        <v>11.38</v>
      </c>
      <c r="BH6" s="12">
        <f t="shared" si="9"/>
        <v>9.6999999999999993</v>
      </c>
      <c r="BI6" s="12">
        <f t="shared" si="9"/>
        <v>68.900000000000006</v>
      </c>
      <c r="BJ6" s="12">
        <f t="shared" si="9"/>
        <v>17.500000000000004</v>
      </c>
      <c r="BK6" s="12">
        <f t="shared" si="9"/>
        <v>55.233853006681528</v>
      </c>
      <c r="BL6" s="12">
        <f t="shared" si="10"/>
        <v>33.9</v>
      </c>
      <c r="BM6" s="12">
        <f t="shared" si="10"/>
        <v>7.8</v>
      </c>
      <c r="BN6" s="12">
        <f t="shared" si="10"/>
        <v>32.799999999999997</v>
      </c>
      <c r="BO6" s="12">
        <f t="shared" si="10"/>
        <v>23.7</v>
      </c>
      <c r="BP6" s="12">
        <f t="shared" si="10"/>
        <v>1.34</v>
      </c>
      <c r="BQ6" s="12">
        <f t="shared" si="10"/>
        <v>14.8</v>
      </c>
      <c r="BR6" s="12">
        <f t="shared" si="10"/>
        <v>17.420000000000002</v>
      </c>
      <c r="BS6" s="12">
        <f t="shared" si="10"/>
        <v>4.5</v>
      </c>
      <c r="BT6" s="12">
        <f t="shared" si="10"/>
        <v>39.299999999999997</v>
      </c>
      <c r="BU6" s="12">
        <f t="shared" si="10"/>
        <v>26.37</v>
      </c>
      <c r="BV6" s="12">
        <f t="shared" si="11"/>
        <v>0.48599999999999999</v>
      </c>
      <c r="BW6" s="12">
        <f t="shared" si="11"/>
        <v>13.44</v>
      </c>
      <c r="BX6" s="12">
        <f t="shared" si="11"/>
        <v>39.6</v>
      </c>
      <c r="BY6" s="12">
        <f t="shared" si="11"/>
        <v>17.8</v>
      </c>
      <c r="BZ6" s="12">
        <f t="shared" si="11"/>
        <v>70.2</v>
      </c>
      <c r="CA6" s="12">
        <f t="shared" si="11"/>
        <v>19.399999999999999</v>
      </c>
      <c r="CB6" s="12">
        <f t="shared" si="11"/>
        <v>13.4</v>
      </c>
      <c r="CC6" s="12">
        <f t="shared" si="11"/>
        <v>69.599999999999994</v>
      </c>
      <c r="CD6" s="12">
        <f t="shared" si="11"/>
        <v>11.29</v>
      </c>
      <c r="CE6" s="12">
        <f t="shared" si="11"/>
        <v>73.5</v>
      </c>
      <c r="CF6" s="12">
        <f t="shared" si="12"/>
        <v>-2</v>
      </c>
      <c r="CG6" s="12">
        <f t="shared" si="12"/>
        <v>37.799999999999997</v>
      </c>
      <c r="CH6" s="12">
        <f t="shared" si="12"/>
        <v>0.8</v>
      </c>
      <c r="CI6" s="12">
        <f t="shared" si="12"/>
        <v>7</v>
      </c>
      <c r="CJ6" s="12">
        <f t="shared" si="12"/>
        <v>1.6</v>
      </c>
      <c r="CK6" s="12">
        <f t="shared" si="12"/>
        <v>12.41</v>
      </c>
      <c r="CL6" s="12">
        <f t="shared" si="12"/>
        <v>10.7</v>
      </c>
      <c r="CM6" s="12">
        <f t="shared" si="12"/>
        <v>71.7</v>
      </c>
      <c r="CN6" s="12">
        <f t="shared" si="12"/>
        <v>18.350000000000001</v>
      </c>
      <c r="CO6" s="12">
        <f t="shared" si="12"/>
        <v>66.035353535353536</v>
      </c>
    </row>
    <row r="7" spans="1:93" x14ac:dyDescent="0.3">
      <c r="A7" s="6" t="s">
        <v>394</v>
      </c>
      <c r="B7" s="3">
        <v>11</v>
      </c>
      <c r="C7" s="13" t="s">
        <v>26</v>
      </c>
      <c r="D7" s="14">
        <v>3</v>
      </c>
      <c r="E7" s="38">
        <f>G6</f>
        <v>52.380952380952387</v>
      </c>
      <c r="F7" s="39">
        <v>11</v>
      </c>
      <c r="G7" s="38">
        <f t="shared" si="0"/>
        <v>52.380952380952387</v>
      </c>
      <c r="H7" s="39">
        <v>21</v>
      </c>
      <c r="I7" s="40">
        <f t="shared" si="1"/>
        <v>3</v>
      </c>
      <c r="J7" s="39">
        <v>21</v>
      </c>
      <c r="K7" s="39">
        <v>33</v>
      </c>
      <c r="L7" s="39">
        <v>4</v>
      </c>
      <c r="M7" s="39">
        <f>Q6</f>
        <v>48.1</v>
      </c>
      <c r="N7" s="39">
        <v>24</v>
      </c>
      <c r="O7" s="41">
        <f t="shared" si="2"/>
        <v>0.60612244897959189</v>
      </c>
      <c r="P7" s="39">
        <v>15</v>
      </c>
      <c r="Q7" s="39">
        <v>63.6</v>
      </c>
      <c r="R7" s="39">
        <v>17</v>
      </c>
      <c r="S7" s="38">
        <f t="shared" si="3"/>
        <v>70.833333333333343</v>
      </c>
      <c r="T7" s="39">
        <v>24</v>
      </c>
      <c r="U7" s="39">
        <v>17</v>
      </c>
      <c r="V7" s="39">
        <f>X6</f>
        <v>73</v>
      </c>
      <c r="W7" s="39">
        <v>4</v>
      </c>
      <c r="X7" s="39">
        <v>98</v>
      </c>
      <c r="Y7" s="39">
        <f>Z7-Z6</f>
        <v>3</v>
      </c>
      <c r="Z7" s="39">
        <f t="shared" si="4"/>
        <v>28</v>
      </c>
      <c r="AA7" s="39">
        <f t="shared" si="5"/>
        <v>25</v>
      </c>
      <c r="AB7" s="39">
        <v>5</v>
      </c>
      <c r="AC7" s="39">
        <f t="shared" si="6"/>
        <v>4</v>
      </c>
      <c r="AD7" s="39">
        <f>AE6</f>
        <v>11</v>
      </c>
      <c r="AE7" s="39">
        <v>7</v>
      </c>
      <c r="AF7" s="46">
        <f t="shared" si="13"/>
        <v>69.431446540880501</v>
      </c>
      <c r="AG7" s="51">
        <f t="shared" ref="AG7" si="17">AVERAGE(AF6,AF7)</f>
        <v>67.028249257966237</v>
      </c>
      <c r="AH7" s="12">
        <f t="shared" si="7"/>
        <v>33.9</v>
      </c>
      <c r="AI7" s="12">
        <f t="shared" si="7"/>
        <v>7.8</v>
      </c>
      <c r="AJ7" s="12">
        <f t="shared" si="7"/>
        <v>32.799999999999997</v>
      </c>
      <c r="AK7" s="12">
        <f t="shared" si="7"/>
        <v>23.7</v>
      </c>
      <c r="AL7" s="12">
        <f t="shared" si="7"/>
        <v>1.34</v>
      </c>
      <c r="AM7" s="12">
        <f t="shared" si="7"/>
        <v>14.8</v>
      </c>
      <c r="AN7" s="12">
        <f t="shared" si="7"/>
        <v>17.420000000000002</v>
      </c>
      <c r="AO7" s="12">
        <f t="shared" si="7"/>
        <v>4.5</v>
      </c>
      <c r="AP7" s="12">
        <f t="shared" si="7"/>
        <v>39.299999999999997</v>
      </c>
      <c r="AQ7" s="12">
        <f t="shared" si="7"/>
        <v>26.37</v>
      </c>
      <c r="AR7" s="12">
        <f t="shared" si="8"/>
        <v>0.48599999999999999</v>
      </c>
      <c r="AS7" s="12">
        <f t="shared" si="8"/>
        <v>13.44</v>
      </c>
      <c r="AT7" s="12">
        <f t="shared" si="8"/>
        <v>39.6</v>
      </c>
      <c r="AU7" s="12">
        <f t="shared" si="8"/>
        <v>17.8</v>
      </c>
      <c r="AV7" s="12">
        <f t="shared" si="8"/>
        <v>70.2</v>
      </c>
      <c r="AW7" s="12">
        <f t="shared" si="8"/>
        <v>19.399999999999999</v>
      </c>
      <c r="AX7" s="12">
        <f t="shared" si="8"/>
        <v>13.4</v>
      </c>
      <c r="AY7" s="12">
        <f t="shared" si="8"/>
        <v>69.599999999999994</v>
      </c>
      <c r="AZ7" s="12">
        <f t="shared" si="8"/>
        <v>11.29</v>
      </c>
      <c r="BA7" s="12">
        <f t="shared" si="8"/>
        <v>73.5</v>
      </c>
      <c r="BB7" s="12">
        <f t="shared" si="9"/>
        <v>-2</v>
      </c>
      <c r="BC7" s="12">
        <f t="shared" si="9"/>
        <v>37.799999999999997</v>
      </c>
      <c r="BD7" s="12">
        <f t="shared" si="9"/>
        <v>0.8</v>
      </c>
      <c r="BE7" s="12">
        <f t="shared" si="9"/>
        <v>7</v>
      </c>
      <c r="BF7" s="12">
        <f t="shared" si="9"/>
        <v>1.6</v>
      </c>
      <c r="BG7" s="12">
        <f t="shared" si="9"/>
        <v>12.41</v>
      </c>
      <c r="BH7" s="12">
        <f t="shared" si="9"/>
        <v>10.7</v>
      </c>
      <c r="BI7" s="12">
        <f t="shared" si="9"/>
        <v>71.7</v>
      </c>
      <c r="BJ7" s="12">
        <f t="shared" si="9"/>
        <v>18.350000000000001</v>
      </c>
      <c r="BK7" s="12">
        <f t="shared" si="9"/>
        <v>66.035353535353536</v>
      </c>
      <c r="BL7" s="12">
        <f t="shared" si="10"/>
        <v>32.5</v>
      </c>
      <c r="BM7" s="12">
        <f t="shared" si="10"/>
        <v>7.3</v>
      </c>
      <c r="BN7" s="12">
        <f t="shared" si="10"/>
        <v>35.5</v>
      </c>
      <c r="BO7" s="12">
        <f t="shared" si="10"/>
        <v>21.6</v>
      </c>
      <c r="BP7" s="12">
        <f t="shared" si="10"/>
        <v>1.58</v>
      </c>
      <c r="BQ7" s="12">
        <f t="shared" si="10"/>
        <v>14.9</v>
      </c>
      <c r="BR7" s="12">
        <f t="shared" si="10"/>
        <v>15.03</v>
      </c>
      <c r="BS7" s="12">
        <f t="shared" si="10"/>
        <v>3.1</v>
      </c>
      <c r="BT7" s="12">
        <f t="shared" si="10"/>
        <v>42.9</v>
      </c>
      <c r="BU7" s="12">
        <f t="shared" si="10"/>
        <v>26.46</v>
      </c>
      <c r="BV7" s="12">
        <f t="shared" si="11"/>
        <v>0.51600000000000001</v>
      </c>
      <c r="BW7" s="12">
        <f t="shared" si="11"/>
        <v>6.39</v>
      </c>
      <c r="BX7" s="12">
        <f t="shared" si="11"/>
        <v>44.9</v>
      </c>
      <c r="BY7" s="12">
        <f t="shared" si="11"/>
        <v>17.5</v>
      </c>
      <c r="BZ7" s="12">
        <f t="shared" si="11"/>
        <v>78.8</v>
      </c>
      <c r="CA7" s="12">
        <f t="shared" si="11"/>
        <v>23.1</v>
      </c>
      <c r="CB7" s="12">
        <f t="shared" si="11"/>
        <v>17.8</v>
      </c>
      <c r="CC7" s="12">
        <f t="shared" si="11"/>
        <v>69.099999999999994</v>
      </c>
      <c r="CD7" s="12">
        <f t="shared" si="11"/>
        <v>7.86</v>
      </c>
      <c r="CE7" s="12">
        <f t="shared" si="11"/>
        <v>74.7</v>
      </c>
      <c r="CF7" s="12">
        <f t="shared" si="12"/>
        <v>0.5</v>
      </c>
      <c r="CG7" s="12">
        <f t="shared" si="12"/>
        <v>34.32</v>
      </c>
      <c r="CH7" s="12">
        <f t="shared" si="12"/>
        <v>3.5</v>
      </c>
      <c r="CI7" s="12">
        <f t="shared" si="12"/>
        <v>5.9</v>
      </c>
      <c r="CJ7" s="12">
        <f t="shared" si="12"/>
        <v>1.6</v>
      </c>
      <c r="CK7" s="12">
        <f t="shared" si="12"/>
        <v>11.38</v>
      </c>
      <c r="CL7" s="12">
        <f t="shared" si="12"/>
        <v>9.6999999999999993</v>
      </c>
      <c r="CM7" s="12">
        <f t="shared" si="12"/>
        <v>68.900000000000006</v>
      </c>
      <c r="CN7" s="12">
        <f t="shared" si="12"/>
        <v>17.500000000000004</v>
      </c>
      <c r="CO7" s="12">
        <f t="shared" si="12"/>
        <v>55.233853006681528</v>
      </c>
    </row>
    <row r="8" spans="1:93" x14ac:dyDescent="0.3">
      <c r="A8" s="6" t="s">
        <v>503</v>
      </c>
      <c r="B8" s="3">
        <v>16</v>
      </c>
      <c r="C8" s="13" t="s">
        <v>417</v>
      </c>
      <c r="D8" s="14">
        <v>4</v>
      </c>
      <c r="E8" s="38">
        <f>G9</f>
        <v>40.74074074074074</v>
      </c>
      <c r="F8" s="39">
        <v>1</v>
      </c>
      <c r="G8" s="38">
        <f t="shared" si="0"/>
        <v>5.8823529411764701</v>
      </c>
      <c r="H8" s="39">
        <v>17</v>
      </c>
      <c r="I8" s="40">
        <f t="shared" si="1"/>
        <v>1.1428571428571428</v>
      </c>
      <c r="J8" s="39">
        <v>16</v>
      </c>
      <c r="K8" s="39">
        <v>15</v>
      </c>
      <c r="L8" s="39">
        <v>0</v>
      </c>
      <c r="M8" s="39">
        <f>Q9</f>
        <v>50</v>
      </c>
      <c r="N8" s="39">
        <v>21</v>
      </c>
      <c r="O8" s="41">
        <f t="shared" si="2"/>
        <v>5.9954751131221715E-2</v>
      </c>
      <c r="P8" s="39">
        <v>10</v>
      </c>
      <c r="Q8" s="39">
        <v>41.9</v>
      </c>
      <c r="R8" s="39">
        <v>24</v>
      </c>
      <c r="S8" s="38">
        <f t="shared" si="3"/>
        <v>88.888888888888886</v>
      </c>
      <c r="T8" s="39">
        <v>9</v>
      </c>
      <c r="U8" s="39">
        <v>8</v>
      </c>
      <c r="V8" s="39">
        <f>X9</f>
        <v>84</v>
      </c>
      <c r="W8" s="39">
        <v>10</v>
      </c>
      <c r="X8" s="39">
        <v>61</v>
      </c>
      <c r="Y8" s="39">
        <f>Z8-Z9</f>
        <v>-1</v>
      </c>
      <c r="Z8" s="39">
        <f t="shared" si="4"/>
        <v>31</v>
      </c>
      <c r="AA8" s="39">
        <f t="shared" si="5"/>
        <v>-23</v>
      </c>
      <c r="AB8" s="39">
        <v>8</v>
      </c>
      <c r="AC8" s="39">
        <f t="shared" si="6"/>
        <v>0</v>
      </c>
      <c r="AD8" s="39">
        <f>AE9</f>
        <v>14</v>
      </c>
      <c r="AE8" s="39">
        <v>14</v>
      </c>
      <c r="AF8" s="46">
        <f t="shared" si="13"/>
        <v>70.327505966587125</v>
      </c>
      <c r="AG8" s="51">
        <f t="shared" ref="AG8" si="18">AVERAGE(AF8,AF9)</f>
        <v>70.02625298329356</v>
      </c>
      <c r="AH8" s="12">
        <f t="shared" si="7"/>
        <v>33</v>
      </c>
      <c r="AI8" s="12">
        <f t="shared" si="7"/>
        <v>5.0999999999999996</v>
      </c>
      <c r="AJ8" s="12">
        <f t="shared" si="7"/>
        <v>30.5</v>
      </c>
      <c r="AK8" s="12">
        <f t="shared" si="7"/>
        <v>17.5</v>
      </c>
      <c r="AL8" s="12">
        <f t="shared" si="7"/>
        <v>0.75</v>
      </c>
      <c r="AM8" s="12">
        <f t="shared" si="7"/>
        <v>11.4</v>
      </c>
      <c r="AN8" s="12">
        <f t="shared" si="7"/>
        <v>15.36</v>
      </c>
      <c r="AO8" s="12">
        <f t="shared" si="7"/>
        <v>3.5</v>
      </c>
      <c r="AP8" s="12">
        <f t="shared" si="7"/>
        <v>43</v>
      </c>
      <c r="AQ8" s="12">
        <f t="shared" si="7"/>
        <v>26.57</v>
      </c>
      <c r="AR8" s="12">
        <f t="shared" si="8"/>
        <v>0.44600000000000001</v>
      </c>
      <c r="AS8" s="12">
        <f t="shared" si="8"/>
        <v>7.47</v>
      </c>
      <c r="AT8" s="12">
        <f t="shared" si="8"/>
        <v>43.6</v>
      </c>
      <c r="AU8" s="12">
        <f t="shared" si="8"/>
        <v>18.399999999999999</v>
      </c>
      <c r="AV8" s="12">
        <f t="shared" si="8"/>
        <v>68.099999999999994</v>
      </c>
      <c r="AW8" s="12">
        <f t="shared" si="8"/>
        <v>21.3</v>
      </c>
      <c r="AX8" s="12">
        <f t="shared" si="8"/>
        <v>14.2</v>
      </c>
      <c r="AY8" s="12">
        <f t="shared" si="8"/>
        <v>74.3</v>
      </c>
      <c r="AZ8" s="12">
        <f t="shared" si="8"/>
        <v>12.22</v>
      </c>
      <c r="BA8" s="12">
        <f t="shared" si="8"/>
        <v>71.400000000000006</v>
      </c>
      <c r="BB8" s="12">
        <f t="shared" si="9"/>
        <v>3.1</v>
      </c>
      <c r="BC8" s="12">
        <f t="shared" si="9"/>
        <v>38.71</v>
      </c>
      <c r="BD8" s="12">
        <f t="shared" si="9"/>
        <v>-1.9</v>
      </c>
      <c r="BE8" s="12">
        <f t="shared" si="9"/>
        <v>6.5</v>
      </c>
      <c r="BF8" s="12">
        <f t="shared" si="9"/>
        <v>-0.4</v>
      </c>
      <c r="BG8" s="12">
        <f t="shared" si="9"/>
        <v>12.23</v>
      </c>
      <c r="BH8" s="12">
        <f t="shared" si="9"/>
        <v>13.8</v>
      </c>
      <c r="BI8" s="12">
        <f t="shared" si="9"/>
        <v>73.599999999999994</v>
      </c>
      <c r="BJ8" s="12">
        <f t="shared" si="9"/>
        <v>20.950000000000003</v>
      </c>
      <c r="BK8" s="12">
        <f t="shared" si="9"/>
        <v>59.747706422018354</v>
      </c>
      <c r="BL8" s="12">
        <f t="shared" si="10"/>
        <v>34.4</v>
      </c>
      <c r="BM8" s="12">
        <f t="shared" si="10"/>
        <v>8.5</v>
      </c>
      <c r="BN8" s="12">
        <f t="shared" si="10"/>
        <v>34.5</v>
      </c>
      <c r="BO8" s="12">
        <f t="shared" si="10"/>
        <v>23.8</v>
      </c>
      <c r="BP8" s="12">
        <f t="shared" si="10"/>
        <v>1.44</v>
      </c>
      <c r="BQ8" s="12">
        <f t="shared" si="10"/>
        <v>15.3</v>
      </c>
      <c r="BR8" s="12">
        <f t="shared" si="10"/>
        <v>19.059999999999999</v>
      </c>
      <c r="BS8" s="12">
        <f t="shared" si="10"/>
        <v>1.6</v>
      </c>
      <c r="BT8" s="12">
        <f t="shared" si="10"/>
        <v>45.7</v>
      </c>
      <c r="BU8" s="12">
        <f t="shared" si="10"/>
        <v>23.71</v>
      </c>
      <c r="BV8" s="12">
        <f t="shared" si="11"/>
        <v>0.52300000000000002</v>
      </c>
      <c r="BW8" s="12">
        <f t="shared" si="11"/>
        <v>11.97</v>
      </c>
      <c r="BX8" s="12">
        <f t="shared" si="11"/>
        <v>45.5</v>
      </c>
      <c r="BY8" s="12">
        <f t="shared" si="11"/>
        <v>18.399999999999999</v>
      </c>
      <c r="BZ8" s="12">
        <f t="shared" si="11"/>
        <v>75.099999999999994</v>
      </c>
      <c r="CA8" s="12">
        <f t="shared" si="11"/>
        <v>17</v>
      </c>
      <c r="CB8" s="12">
        <f t="shared" si="11"/>
        <v>13.2</v>
      </c>
      <c r="CC8" s="12">
        <f t="shared" si="11"/>
        <v>76</v>
      </c>
      <c r="CD8" s="12">
        <f t="shared" si="11"/>
        <v>12.21</v>
      </c>
      <c r="CE8" s="12">
        <f t="shared" si="11"/>
        <v>79.900000000000006</v>
      </c>
      <c r="CF8" s="12">
        <f t="shared" si="12"/>
        <v>0.7</v>
      </c>
      <c r="CG8" s="12">
        <f t="shared" si="12"/>
        <v>34.81</v>
      </c>
      <c r="CH8" s="12">
        <f t="shared" si="12"/>
        <v>1.4</v>
      </c>
      <c r="CI8" s="12">
        <f t="shared" si="12"/>
        <v>7.5</v>
      </c>
      <c r="CJ8" s="12">
        <f t="shared" si="12"/>
        <v>3.4</v>
      </c>
      <c r="CK8" s="12">
        <f t="shared" si="12"/>
        <v>13.64</v>
      </c>
      <c r="CL8" s="12">
        <f t="shared" si="12"/>
        <v>10.5</v>
      </c>
      <c r="CM8" s="12">
        <f t="shared" si="12"/>
        <v>71.5</v>
      </c>
      <c r="CN8" s="12">
        <f t="shared" si="12"/>
        <v>20.6</v>
      </c>
      <c r="CO8" s="12">
        <f t="shared" si="12"/>
        <v>63.956043956043956</v>
      </c>
    </row>
    <row r="9" spans="1:93" x14ac:dyDescent="0.3">
      <c r="A9" s="6" t="s">
        <v>417</v>
      </c>
      <c r="B9" s="3">
        <v>16</v>
      </c>
      <c r="C9" s="13" t="s">
        <v>503</v>
      </c>
      <c r="D9" s="14">
        <v>4</v>
      </c>
      <c r="E9" s="38">
        <f>G8</f>
        <v>5.8823529411764701</v>
      </c>
      <c r="F9" s="39">
        <v>11</v>
      </c>
      <c r="G9" s="38">
        <f t="shared" si="0"/>
        <v>40.74074074074074</v>
      </c>
      <c r="H9" s="39">
        <v>27</v>
      </c>
      <c r="I9" s="40">
        <f t="shared" si="1"/>
        <v>0.9285714285714286</v>
      </c>
      <c r="J9" s="39">
        <v>13</v>
      </c>
      <c r="K9" s="39">
        <v>6</v>
      </c>
      <c r="L9" s="39">
        <v>2</v>
      </c>
      <c r="M9" s="39">
        <f>Q8</f>
        <v>41.9</v>
      </c>
      <c r="N9" s="39">
        <v>27</v>
      </c>
      <c r="O9" s="41">
        <f t="shared" si="2"/>
        <v>0.50483091787439605</v>
      </c>
      <c r="P9" s="39">
        <v>13</v>
      </c>
      <c r="Q9" s="39">
        <v>50</v>
      </c>
      <c r="R9" s="39">
        <v>15</v>
      </c>
      <c r="S9" s="38">
        <f t="shared" si="3"/>
        <v>87.096774193548384</v>
      </c>
      <c r="T9" s="39">
        <v>31</v>
      </c>
      <c r="U9" s="39">
        <v>27</v>
      </c>
      <c r="V9" s="39">
        <f>X8</f>
        <v>61</v>
      </c>
      <c r="W9" s="39">
        <v>5</v>
      </c>
      <c r="X9" s="39">
        <v>84</v>
      </c>
      <c r="Y9" s="39">
        <f>Z9-Z8</f>
        <v>1</v>
      </c>
      <c r="Z9" s="39">
        <f t="shared" si="4"/>
        <v>32</v>
      </c>
      <c r="AA9" s="39">
        <f t="shared" si="5"/>
        <v>23</v>
      </c>
      <c r="AB9" s="39">
        <v>8</v>
      </c>
      <c r="AC9" s="39">
        <f t="shared" si="6"/>
        <v>0</v>
      </c>
      <c r="AD9" s="39">
        <f>AE8</f>
        <v>14</v>
      </c>
      <c r="AE9" s="39">
        <v>14</v>
      </c>
      <c r="AF9" s="46">
        <f t="shared" si="13"/>
        <v>69.724999999999994</v>
      </c>
      <c r="AG9" s="51">
        <f t="shared" ref="AG9" si="19">AVERAGE(AF8,AF9)</f>
        <v>70.02625298329356</v>
      </c>
      <c r="AH9" s="12">
        <f t="shared" si="7"/>
        <v>34.4</v>
      </c>
      <c r="AI9" s="12">
        <f t="shared" si="7"/>
        <v>8.5</v>
      </c>
      <c r="AJ9" s="12">
        <f t="shared" si="7"/>
        <v>34.5</v>
      </c>
      <c r="AK9" s="12">
        <f t="shared" si="7"/>
        <v>23.8</v>
      </c>
      <c r="AL9" s="12">
        <f t="shared" si="7"/>
        <v>1.44</v>
      </c>
      <c r="AM9" s="12">
        <f t="shared" si="7"/>
        <v>15.3</v>
      </c>
      <c r="AN9" s="12">
        <f t="shared" si="7"/>
        <v>19.059999999999999</v>
      </c>
      <c r="AO9" s="12">
        <f t="shared" si="7"/>
        <v>1.6</v>
      </c>
      <c r="AP9" s="12">
        <f t="shared" si="7"/>
        <v>45.7</v>
      </c>
      <c r="AQ9" s="12">
        <f t="shared" si="7"/>
        <v>23.71</v>
      </c>
      <c r="AR9" s="12">
        <f t="shared" si="8"/>
        <v>0.52300000000000002</v>
      </c>
      <c r="AS9" s="12">
        <f t="shared" si="8"/>
        <v>11.97</v>
      </c>
      <c r="AT9" s="12">
        <f t="shared" si="8"/>
        <v>45.5</v>
      </c>
      <c r="AU9" s="12">
        <f t="shared" si="8"/>
        <v>18.399999999999999</v>
      </c>
      <c r="AV9" s="12">
        <f t="shared" si="8"/>
        <v>75.099999999999994</v>
      </c>
      <c r="AW9" s="12">
        <f t="shared" si="8"/>
        <v>17</v>
      </c>
      <c r="AX9" s="12">
        <f t="shared" si="8"/>
        <v>13.2</v>
      </c>
      <c r="AY9" s="12">
        <f t="shared" si="8"/>
        <v>76</v>
      </c>
      <c r="AZ9" s="12">
        <f t="shared" si="8"/>
        <v>12.21</v>
      </c>
      <c r="BA9" s="12">
        <f t="shared" si="8"/>
        <v>79.900000000000006</v>
      </c>
      <c r="BB9" s="12">
        <f t="shared" si="9"/>
        <v>0.7</v>
      </c>
      <c r="BC9" s="12">
        <f t="shared" si="9"/>
        <v>34.81</v>
      </c>
      <c r="BD9" s="12">
        <f t="shared" si="9"/>
        <v>1.4</v>
      </c>
      <c r="BE9" s="12">
        <f t="shared" si="9"/>
        <v>7.5</v>
      </c>
      <c r="BF9" s="12">
        <f t="shared" si="9"/>
        <v>3.4</v>
      </c>
      <c r="BG9" s="12">
        <f t="shared" si="9"/>
        <v>13.64</v>
      </c>
      <c r="BH9" s="12">
        <f t="shared" si="9"/>
        <v>10.5</v>
      </c>
      <c r="BI9" s="12">
        <f t="shared" si="9"/>
        <v>71.5</v>
      </c>
      <c r="BJ9" s="12">
        <f t="shared" si="9"/>
        <v>20.6</v>
      </c>
      <c r="BK9" s="12">
        <f t="shared" si="9"/>
        <v>63.956043956043956</v>
      </c>
      <c r="BL9" s="12">
        <f t="shared" si="10"/>
        <v>33</v>
      </c>
      <c r="BM9" s="12">
        <f t="shared" si="10"/>
        <v>5.0999999999999996</v>
      </c>
      <c r="BN9" s="12">
        <f t="shared" si="10"/>
        <v>30.5</v>
      </c>
      <c r="BO9" s="12">
        <f t="shared" si="10"/>
        <v>17.5</v>
      </c>
      <c r="BP9" s="12">
        <f t="shared" si="10"/>
        <v>0.75</v>
      </c>
      <c r="BQ9" s="12">
        <f t="shared" si="10"/>
        <v>11.4</v>
      </c>
      <c r="BR9" s="12">
        <f t="shared" si="10"/>
        <v>15.36</v>
      </c>
      <c r="BS9" s="12">
        <f t="shared" si="10"/>
        <v>3.5</v>
      </c>
      <c r="BT9" s="12">
        <f t="shared" si="10"/>
        <v>43</v>
      </c>
      <c r="BU9" s="12">
        <f t="shared" si="10"/>
        <v>26.57</v>
      </c>
      <c r="BV9" s="12">
        <f t="shared" si="11"/>
        <v>0.44600000000000001</v>
      </c>
      <c r="BW9" s="12">
        <f t="shared" si="11"/>
        <v>7.47</v>
      </c>
      <c r="BX9" s="12">
        <f t="shared" si="11"/>
        <v>43.6</v>
      </c>
      <c r="BY9" s="12">
        <f t="shared" si="11"/>
        <v>18.399999999999999</v>
      </c>
      <c r="BZ9" s="12">
        <f t="shared" si="11"/>
        <v>68.099999999999994</v>
      </c>
      <c r="CA9" s="12">
        <f t="shared" si="11"/>
        <v>21.3</v>
      </c>
      <c r="CB9" s="12">
        <f t="shared" si="11"/>
        <v>14.2</v>
      </c>
      <c r="CC9" s="12">
        <f t="shared" si="11"/>
        <v>74.3</v>
      </c>
      <c r="CD9" s="12">
        <f t="shared" si="11"/>
        <v>12.22</v>
      </c>
      <c r="CE9" s="12">
        <f t="shared" si="11"/>
        <v>71.400000000000006</v>
      </c>
      <c r="CF9" s="12">
        <f t="shared" si="12"/>
        <v>3.1</v>
      </c>
      <c r="CG9" s="12">
        <f t="shared" si="12"/>
        <v>38.71</v>
      </c>
      <c r="CH9" s="12">
        <f t="shared" si="12"/>
        <v>-1.9</v>
      </c>
      <c r="CI9" s="12">
        <f t="shared" si="12"/>
        <v>6.5</v>
      </c>
      <c r="CJ9" s="12">
        <f t="shared" si="12"/>
        <v>-0.4</v>
      </c>
      <c r="CK9" s="12">
        <f t="shared" si="12"/>
        <v>12.23</v>
      </c>
      <c r="CL9" s="12">
        <f t="shared" si="12"/>
        <v>13.8</v>
      </c>
      <c r="CM9" s="12">
        <f t="shared" si="12"/>
        <v>73.599999999999994</v>
      </c>
      <c r="CN9" s="12">
        <f t="shared" si="12"/>
        <v>20.950000000000003</v>
      </c>
      <c r="CO9" s="12">
        <f t="shared" si="12"/>
        <v>59.747706422018354</v>
      </c>
    </row>
    <row r="10" spans="1:93" x14ac:dyDescent="0.3">
      <c r="A10" s="6" t="s">
        <v>21</v>
      </c>
      <c r="B10" s="3">
        <v>1</v>
      </c>
      <c r="C10" s="13" t="s">
        <v>411</v>
      </c>
      <c r="D10" s="14">
        <v>5</v>
      </c>
      <c r="E10" s="38">
        <f>G11</f>
        <v>35</v>
      </c>
      <c r="F10" s="39">
        <v>15</v>
      </c>
      <c r="G10" s="38">
        <f t="shared" si="0"/>
        <v>45.454545454545453</v>
      </c>
      <c r="H10" s="39">
        <v>33</v>
      </c>
      <c r="I10" s="40">
        <f t="shared" si="1"/>
        <v>2.625</v>
      </c>
      <c r="J10" s="39">
        <v>21</v>
      </c>
      <c r="K10" s="39">
        <v>49</v>
      </c>
      <c r="L10" s="39">
        <v>8</v>
      </c>
      <c r="M10" s="39">
        <f>Q11</f>
        <v>34.700000000000003</v>
      </c>
      <c r="N10" s="39">
        <v>33</v>
      </c>
      <c r="O10" s="41">
        <f t="shared" si="2"/>
        <v>0.55785123966942141</v>
      </c>
      <c r="P10" s="39">
        <v>15</v>
      </c>
      <c r="Q10" s="39">
        <v>47.1</v>
      </c>
      <c r="R10" s="39">
        <v>18</v>
      </c>
      <c r="S10" s="38">
        <f t="shared" si="3"/>
        <v>65.217391304347828</v>
      </c>
      <c r="T10" s="39">
        <v>23</v>
      </c>
      <c r="U10" s="39">
        <v>15</v>
      </c>
      <c r="V10" s="39">
        <f>X11</f>
        <v>75</v>
      </c>
      <c r="W10" s="39">
        <v>15</v>
      </c>
      <c r="X10" s="39">
        <v>96</v>
      </c>
      <c r="Y10" s="39">
        <f>Z10-Z11</f>
        <v>4</v>
      </c>
      <c r="Z10" s="39">
        <f t="shared" si="4"/>
        <v>48</v>
      </c>
      <c r="AA10" s="39">
        <f t="shared" si="5"/>
        <v>21</v>
      </c>
      <c r="AB10" s="39">
        <v>4</v>
      </c>
      <c r="AC10" s="39">
        <f t="shared" si="6"/>
        <v>-2</v>
      </c>
      <c r="AD10" s="39">
        <f>AE11</f>
        <v>6</v>
      </c>
      <c r="AE10" s="39">
        <v>8</v>
      </c>
      <c r="AF10" s="46">
        <f t="shared" si="13"/>
        <v>73.98869426751591</v>
      </c>
      <c r="AG10" s="51">
        <f t="shared" ref="AG10" si="20">AVERAGE(AF10,AF11)</f>
        <v>73.233324079002898</v>
      </c>
      <c r="AH10" s="12">
        <f t="shared" si="7"/>
        <v>29.9</v>
      </c>
      <c r="AI10" s="12">
        <f t="shared" si="7"/>
        <v>10.5</v>
      </c>
      <c r="AJ10" s="12">
        <f t="shared" si="7"/>
        <v>33.9</v>
      </c>
      <c r="AK10" s="12">
        <f t="shared" si="7"/>
        <v>30.6</v>
      </c>
      <c r="AL10" s="12">
        <f t="shared" si="7"/>
        <v>1.17</v>
      </c>
      <c r="AM10" s="12">
        <f t="shared" si="7"/>
        <v>15.6</v>
      </c>
      <c r="AN10" s="12">
        <f t="shared" si="7"/>
        <v>32.61</v>
      </c>
      <c r="AO10" s="12">
        <f t="shared" si="7"/>
        <v>5.4</v>
      </c>
      <c r="AP10" s="12">
        <f t="shared" si="7"/>
        <v>38.6</v>
      </c>
      <c r="AQ10" s="12">
        <f t="shared" si="7"/>
        <v>29.71</v>
      </c>
      <c r="AR10" s="12">
        <f t="shared" si="8"/>
        <v>0.52800000000000002</v>
      </c>
      <c r="AS10" s="12">
        <f t="shared" si="8"/>
        <v>13.91</v>
      </c>
      <c r="AT10" s="12">
        <f t="shared" si="8"/>
        <v>44.4</v>
      </c>
      <c r="AU10" s="12">
        <f t="shared" si="8"/>
        <v>18.3</v>
      </c>
      <c r="AV10" s="12">
        <f t="shared" si="8"/>
        <v>72.099999999999994</v>
      </c>
      <c r="AW10" s="12">
        <f t="shared" si="8"/>
        <v>24.2</v>
      </c>
      <c r="AX10" s="12">
        <f t="shared" si="8"/>
        <v>17.399999999999999</v>
      </c>
      <c r="AY10" s="12">
        <f t="shared" si="8"/>
        <v>69.900000000000006</v>
      </c>
      <c r="AZ10" s="12">
        <f t="shared" si="8"/>
        <v>13.43</v>
      </c>
      <c r="BA10" s="12">
        <f t="shared" si="8"/>
        <v>86.1</v>
      </c>
      <c r="BB10" s="12">
        <f t="shared" si="9"/>
        <v>8.6999999999999993</v>
      </c>
      <c r="BC10" s="12">
        <f t="shared" si="9"/>
        <v>42.81</v>
      </c>
      <c r="BD10" s="12">
        <f t="shared" si="9"/>
        <v>15.9</v>
      </c>
      <c r="BE10" s="12">
        <f t="shared" si="9"/>
        <v>6</v>
      </c>
      <c r="BF10" s="12">
        <f t="shared" si="9"/>
        <v>-3.2</v>
      </c>
      <c r="BG10" s="12">
        <f t="shared" si="9"/>
        <v>10.85</v>
      </c>
      <c r="BH10" s="12">
        <f t="shared" si="9"/>
        <v>13</v>
      </c>
      <c r="BI10" s="12">
        <f t="shared" si="9"/>
        <v>76.2</v>
      </c>
      <c r="BJ10" s="12">
        <f t="shared" si="9"/>
        <v>18.599999999999994</v>
      </c>
      <c r="BK10" s="12">
        <f t="shared" si="9"/>
        <v>65.540540540540533</v>
      </c>
      <c r="BL10" s="12">
        <f t="shared" si="10"/>
        <v>33.5</v>
      </c>
      <c r="BM10" s="12">
        <f t="shared" si="10"/>
        <v>8</v>
      </c>
      <c r="BN10" s="12">
        <f t="shared" si="10"/>
        <v>36.1</v>
      </c>
      <c r="BO10" s="12">
        <f t="shared" si="10"/>
        <v>22.2</v>
      </c>
      <c r="BP10" s="12">
        <f t="shared" si="10"/>
        <v>1.32</v>
      </c>
      <c r="BQ10" s="12">
        <f t="shared" si="10"/>
        <v>15.9</v>
      </c>
      <c r="BR10" s="12">
        <f t="shared" si="10"/>
        <v>26.94</v>
      </c>
      <c r="BS10" s="12">
        <f t="shared" si="10"/>
        <v>1.6</v>
      </c>
      <c r="BT10" s="12">
        <f t="shared" si="10"/>
        <v>44.9</v>
      </c>
      <c r="BU10" s="12">
        <f t="shared" si="10"/>
        <v>25.52</v>
      </c>
      <c r="BV10" s="12">
        <f t="shared" si="11"/>
        <v>0.51800000000000002</v>
      </c>
      <c r="BW10" s="12">
        <f t="shared" si="11"/>
        <v>13.41</v>
      </c>
      <c r="BX10" s="12">
        <f t="shared" si="11"/>
        <v>45.3</v>
      </c>
      <c r="BY10" s="12">
        <f t="shared" si="11"/>
        <v>18.899999999999999</v>
      </c>
      <c r="BZ10" s="12">
        <f t="shared" si="11"/>
        <v>78.400000000000006</v>
      </c>
      <c r="CA10" s="12">
        <f t="shared" si="11"/>
        <v>23</v>
      </c>
      <c r="CB10" s="12">
        <f t="shared" si="11"/>
        <v>17.600000000000001</v>
      </c>
      <c r="CC10" s="12">
        <f t="shared" si="11"/>
        <v>74.5</v>
      </c>
      <c r="CD10" s="12">
        <f t="shared" si="11"/>
        <v>12.79</v>
      </c>
      <c r="CE10" s="12">
        <f t="shared" si="11"/>
        <v>83.2</v>
      </c>
      <c r="CF10" s="12">
        <f t="shared" si="12"/>
        <v>4.4000000000000004</v>
      </c>
      <c r="CG10" s="12">
        <f t="shared" si="12"/>
        <v>38.69</v>
      </c>
      <c r="CH10" s="12">
        <f t="shared" si="12"/>
        <v>7.4</v>
      </c>
      <c r="CI10" s="12">
        <f t="shared" si="12"/>
        <v>8.3000000000000007</v>
      </c>
      <c r="CJ10" s="12">
        <f t="shared" si="12"/>
        <v>1.6</v>
      </c>
      <c r="CK10" s="12">
        <f t="shared" si="12"/>
        <v>13.61</v>
      </c>
      <c r="CL10" s="12">
        <f t="shared" si="12"/>
        <v>11.8</v>
      </c>
      <c r="CM10" s="12">
        <f t="shared" si="12"/>
        <v>72.7</v>
      </c>
      <c r="CN10" s="12">
        <f t="shared" si="12"/>
        <v>20.799999999999997</v>
      </c>
      <c r="CO10" s="12">
        <f t="shared" si="12"/>
        <v>63.576158940397342</v>
      </c>
    </row>
    <row r="11" spans="1:93" x14ac:dyDescent="0.3">
      <c r="A11" s="6" t="s">
        <v>411</v>
      </c>
      <c r="B11" s="3">
        <v>16</v>
      </c>
      <c r="C11" s="13" t="s">
        <v>21</v>
      </c>
      <c r="D11" s="14">
        <v>5</v>
      </c>
      <c r="E11" s="38">
        <f>G10</f>
        <v>45.454545454545453</v>
      </c>
      <c r="F11" s="39">
        <v>7</v>
      </c>
      <c r="G11" s="38">
        <f t="shared" si="0"/>
        <v>35</v>
      </c>
      <c r="H11" s="39">
        <v>20</v>
      </c>
      <c r="I11" s="40">
        <f t="shared" si="1"/>
        <v>1.3333333333333333</v>
      </c>
      <c r="J11" s="39">
        <v>8</v>
      </c>
      <c r="K11" s="39">
        <v>29</v>
      </c>
      <c r="L11" s="39">
        <v>3</v>
      </c>
      <c r="M11" s="39">
        <f>Q10</f>
        <v>47.1</v>
      </c>
      <c r="N11" s="39">
        <v>27</v>
      </c>
      <c r="O11" s="41">
        <f t="shared" si="2"/>
        <v>0.39711538461538459</v>
      </c>
      <c r="P11" s="39">
        <v>13</v>
      </c>
      <c r="Q11" s="39">
        <v>34.700000000000003</v>
      </c>
      <c r="R11" s="39">
        <v>18</v>
      </c>
      <c r="S11" s="38">
        <f t="shared" si="3"/>
        <v>88.888888888888886</v>
      </c>
      <c r="T11" s="39">
        <v>18</v>
      </c>
      <c r="U11" s="39">
        <v>16</v>
      </c>
      <c r="V11" s="39">
        <f>X10</f>
        <v>96</v>
      </c>
      <c r="W11" s="39">
        <v>17</v>
      </c>
      <c r="X11" s="39">
        <v>75</v>
      </c>
      <c r="Y11" s="39">
        <f>Z11-Z10</f>
        <v>-4</v>
      </c>
      <c r="Z11" s="39">
        <f t="shared" si="4"/>
        <v>44</v>
      </c>
      <c r="AA11" s="39">
        <f t="shared" si="5"/>
        <v>-21</v>
      </c>
      <c r="AB11" s="39">
        <v>4</v>
      </c>
      <c r="AC11" s="39">
        <f t="shared" si="6"/>
        <v>2</v>
      </c>
      <c r="AD11" s="39">
        <f>AE10</f>
        <v>8</v>
      </c>
      <c r="AE11" s="39">
        <v>6</v>
      </c>
      <c r="AF11" s="46">
        <f t="shared" si="13"/>
        <v>72.4779538904899</v>
      </c>
      <c r="AG11" s="51">
        <f t="shared" ref="AG11" si="21">AVERAGE(AF10,AF11)</f>
        <v>73.233324079002898</v>
      </c>
      <c r="AH11" s="12">
        <f t="shared" si="7"/>
        <v>33.5</v>
      </c>
      <c r="AI11" s="12">
        <f t="shared" si="7"/>
        <v>8</v>
      </c>
      <c r="AJ11" s="12">
        <f t="shared" si="7"/>
        <v>36.1</v>
      </c>
      <c r="AK11" s="12">
        <f t="shared" si="7"/>
        <v>22.2</v>
      </c>
      <c r="AL11" s="12">
        <f t="shared" si="7"/>
        <v>1.32</v>
      </c>
      <c r="AM11" s="12">
        <f t="shared" si="7"/>
        <v>15.9</v>
      </c>
      <c r="AN11" s="12">
        <f t="shared" si="7"/>
        <v>26.94</v>
      </c>
      <c r="AO11" s="12">
        <f t="shared" si="7"/>
        <v>1.6</v>
      </c>
      <c r="AP11" s="12">
        <f t="shared" si="7"/>
        <v>44.9</v>
      </c>
      <c r="AQ11" s="12">
        <f t="shared" si="7"/>
        <v>25.52</v>
      </c>
      <c r="AR11" s="12">
        <f t="shared" si="8"/>
        <v>0.51800000000000002</v>
      </c>
      <c r="AS11" s="12">
        <f t="shared" si="8"/>
        <v>13.41</v>
      </c>
      <c r="AT11" s="12">
        <f t="shared" si="8"/>
        <v>45.3</v>
      </c>
      <c r="AU11" s="12">
        <f t="shared" si="8"/>
        <v>18.899999999999999</v>
      </c>
      <c r="AV11" s="12">
        <f t="shared" si="8"/>
        <v>78.400000000000006</v>
      </c>
      <c r="AW11" s="12">
        <f t="shared" si="8"/>
        <v>23</v>
      </c>
      <c r="AX11" s="12">
        <f t="shared" si="8"/>
        <v>17.600000000000001</v>
      </c>
      <c r="AY11" s="12">
        <f t="shared" si="8"/>
        <v>74.5</v>
      </c>
      <c r="AZ11" s="12">
        <f t="shared" si="8"/>
        <v>12.79</v>
      </c>
      <c r="BA11" s="12">
        <f t="shared" si="8"/>
        <v>83.2</v>
      </c>
      <c r="BB11" s="12">
        <f t="shared" si="9"/>
        <v>4.4000000000000004</v>
      </c>
      <c r="BC11" s="12">
        <f t="shared" si="9"/>
        <v>38.69</v>
      </c>
      <c r="BD11" s="12">
        <f t="shared" si="9"/>
        <v>7.4</v>
      </c>
      <c r="BE11" s="12">
        <f t="shared" si="9"/>
        <v>8.3000000000000007</v>
      </c>
      <c r="BF11" s="12">
        <f t="shared" si="9"/>
        <v>1.6</v>
      </c>
      <c r="BG11" s="12">
        <f t="shared" si="9"/>
        <v>13.61</v>
      </c>
      <c r="BH11" s="12">
        <f t="shared" si="9"/>
        <v>11.8</v>
      </c>
      <c r="BI11" s="12">
        <f t="shared" si="9"/>
        <v>72.7</v>
      </c>
      <c r="BJ11" s="12">
        <f t="shared" si="9"/>
        <v>20.799999999999997</v>
      </c>
      <c r="BK11" s="12">
        <f t="shared" si="9"/>
        <v>63.576158940397342</v>
      </c>
      <c r="BL11" s="12">
        <f t="shared" si="10"/>
        <v>29.9</v>
      </c>
      <c r="BM11" s="12">
        <f t="shared" si="10"/>
        <v>10.5</v>
      </c>
      <c r="BN11" s="12">
        <f t="shared" si="10"/>
        <v>33.9</v>
      </c>
      <c r="BO11" s="12">
        <f t="shared" si="10"/>
        <v>30.6</v>
      </c>
      <c r="BP11" s="12">
        <f t="shared" si="10"/>
        <v>1.17</v>
      </c>
      <c r="BQ11" s="12">
        <f t="shared" si="10"/>
        <v>15.6</v>
      </c>
      <c r="BR11" s="12">
        <f t="shared" si="10"/>
        <v>32.61</v>
      </c>
      <c r="BS11" s="12">
        <f t="shared" si="10"/>
        <v>5.4</v>
      </c>
      <c r="BT11" s="12">
        <f t="shared" si="10"/>
        <v>38.6</v>
      </c>
      <c r="BU11" s="12">
        <f t="shared" si="10"/>
        <v>29.71</v>
      </c>
      <c r="BV11" s="12">
        <f t="shared" si="11"/>
        <v>0.52800000000000002</v>
      </c>
      <c r="BW11" s="12">
        <f t="shared" si="11"/>
        <v>13.91</v>
      </c>
      <c r="BX11" s="12">
        <f t="shared" si="11"/>
        <v>44.4</v>
      </c>
      <c r="BY11" s="12">
        <f t="shared" si="11"/>
        <v>18.3</v>
      </c>
      <c r="BZ11" s="12">
        <f t="shared" si="11"/>
        <v>72.099999999999994</v>
      </c>
      <c r="CA11" s="12">
        <f t="shared" si="11"/>
        <v>24.2</v>
      </c>
      <c r="CB11" s="12">
        <f t="shared" si="11"/>
        <v>17.399999999999999</v>
      </c>
      <c r="CC11" s="12">
        <f t="shared" si="11"/>
        <v>69.900000000000006</v>
      </c>
      <c r="CD11" s="12">
        <f t="shared" si="11"/>
        <v>13.43</v>
      </c>
      <c r="CE11" s="12">
        <f t="shared" si="11"/>
        <v>86.1</v>
      </c>
      <c r="CF11" s="12">
        <f t="shared" si="12"/>
        <v>8.6999999999999993</v>
      </c>
      <c r="CG11" s="12">
        <f t="shared" si="12"/>
        <v>42.81</v>
      </c>
      <c r="CH11" s="12">
        <f t="shared" si="12"/>
        <v>15.9</v>
      </c>
      <c r="CI11" s="12">
        <f t="shared" si="12"/>
        <v>6</v>
      </c>
      <c r="CJ11" s="12">
        <f t="shared" si="12"/>
        <v>-3.2</v>
      </c>
      <c r="CK11" s="12">
        <f t="shared" si="12"/>
        <v>10.85</v>
      </c>
      <c r="CL11" s="12">
        <f t="shared" si="12"/>
        <v>13</v>
      </c>
      <c r="CM11" s="12">
        <f t="shared" si="12"/>
        <v>76.2</v>
      </c>
      <c r="CN11" s="12">
        <f t="shared" si="12"/>
        <v>18.599999999999994</v>
      </c>
      <c r="CO11" s="12">
        <f t="shared" si="12"/>
        <v>65.540540540540533</v>
      </c>
    </row>
    <row r="12" spans="1:93" x14ac:dyDescent="0.3">
      <c r="A12" s="6" t="s">
        <v>372</v>
      </c>
      <c r="B12" s="3">
        <v>8</v>
      </c>
      <c r="C12" s="13" t="s">
        <v>380</v>
      </c>
      <c r="D12" s="14">
        <v>6</v>
      </c>
      <c r="E12" s="38">
        <f>G13</f>
        <v>42.105263157894733</v>
      </c>
      <c r="F12" s="39">
        <v>6</v>
      </c>
      <c r="G12" s="38">
        <f t="shared" si="0"/>
        <v>33.333333333333329</v>
      </c>
      <c r="H12" s="39">
        <v>18</v>
      </c>
      <c r="I12" s="40">
        <f t="shared" si="1"/>
        <v>0.92307692307692313</v>
      </c>
      <c r="J12" s="39">
        <v>12</v>
      </c>
      <c r="K12" s="39">
        <v>5</v>
      </c>
      <c r="L12" s="39">
        <v>5</v>
      </c>
      <c r="M12" s="39">
        <f>Q13</f>
        <v>39.299999999999997</v>
      </c>
      <c r="N12" s="39">
        <v>21</v>
      </c>
      <c r="O12" s="41">
        <f t="shared" si="2"/>
        <v>0.37681159420289845</v>
      </c>
      <c r="P12" s="39">
        <v>10</v>
      </c>
      <c r="Q12" s="39">
        <v>51.1</v>
      </c>
      <c r="R12" s="39">
        <v>19</v>
      </c>
      <c r="S12" s="38">
        <f t="shared" si="3"/>
        <v>68.181818181818173</v>
      </c>
      <c r="T12" s="39">
        <v>22</v>
      </c>
      <c r="U12" s="39">
        <v>15</v>
      </c>
      <c r="V12" s="39">
        <f>X13</f>
        <v>65</v>
      </c>
      <c r="W12" s="39">
        <v>8</v>
      </c>
      <c r="X12" s="39">
        <v>67</v>
      </c>
      <c r="Y12" s="39">
        <f>Z12-Z13</f>
        <v>-6</v>
      </c>
      <c r="Z12" s="39">
        <f t="shared" si="4"/>
        <v>29</v>
      </c>
      <c r="AA12" s="39">
        <f t="shared" si="5"/>
        <v>2</v>
      </c>
      <c r="AB12" s="39">
        <v>7</v>
      </c>
      <c r="AC12" s="39">
        <f t="shared" si="6"/>
        <v>-1</v>
      </c>
      <c r="AD12" s="39">
        <f>AE13</f>
        <v>12</v>
      </c>
      <c r="AE12" s="39">
        <v>13</v>
      </c>
      <c r="AF12" s="46">
        <f t="shared" si="13"/>
        <v>60.459784735812136</v>
      </c>
      <c r="AG12" s="51">
        <f t="shared" ref="AG12" si="22">AVERAGE(AF12,AF13)</f>
        <v>60.019714250857724</v>
      </c>
      <c r="AH12" s="12">
        <f t="shared" ref="AH12:AQ21" si="23">INDEX(ovrTable2,MATCH(INDEX(teamCol2,ROW()),ovrTeamCol2,0),MATCH(MID(INDEX(headerRow2,1,COLUMN()),4,LEN(INDEX(headerRow2,1,COLUMN()))),ovrHeaderRow2,0))</f>
        <v>32</v>
      </c>
      <c r="AI12" s="12">
        <f t="shared" si="23"/>
        <v>6.9</v>
      </c>
      <c r="AJ12" s="12">
        <f t="shared" si="23"/>
        <v>33.6</v>
      </c>
      <c r="AK12" s="12">
        <f t="shared" si="23"/>
        <v>21.6</v>
      </c>
      <c r="AL12" s="12">
        <f t="shared" si="23"/>
        <v>1.1499999999999999</v>
      </c>
      <c r="AM12" s="12">
        <f t="shared" si="23"/>
        <v>10.6</v>
      </c>
      <c r="AN12" s="12">
        <f t="shared" si="23"/>
        <v>14.19</v>
      </c>
      <c r="AO12" s="12">
        <f t="shared" si="23"/>
        <v>3.8</v>
      </c>
      <c r="AP12" s="12">
        <f t="shared" si="23"/>
        <v>43</v>
      </c>
      <c r="AQ12" s="12">
        <f t="shared" si="23"/>
        <v>23.79</v>
      </c>
      <c r="AR12" s="12">
        <f t="shared" ref="AR12:BA21" si="24">INDEX(ovrTable2,MATCH(INDEX(teamCol2,ROW()),ovrTeamCol2,0),MATCH(MID(INDEX(headerRow2,1,COLUMN()),4,LEN(INDEX(headerRow2,1,COLUMN()))),ovrHeaderRow2,0))</f>
        <v>0.50900000000000001</v>
      </c>
      <c r="AS12" s="12">
        <f t="shared" si="24"/>
        <v>8.76</v>
      </c>
      <c r="AT12" s="12">
        <f t="shared" si="24"/>
        <v>44.9</v>
      </c>
      <c r="AU12" s="12">
        <f t="shared" si="24"/>
        <v>15.8</v>
      </c>
      <c r="AV12" s="12">
        <f t="shared" si="24"/>
        <v>72.3</v>
      </c>
      <c r="AW12" s="12">
        <f t="shared" si="24"/>
        <v>19.5</v>
      </c>
      <c r="AX12" s="12">
        <f t="shared" si="24"/>
        <v>14.8</v>
      </c>
      <c r="AY12" s="12">
        <f t="shared" si="24"/>
        <v>66.099999999999994</v>
      </c>
      <c r="AZ12" s="12">
        <f t="shared" si="24"/>
        <v>10.06</v>
      </c>
      <c r="BA12" s="12">
        <f t="shared" si="24"/>
        <v>71.599999999999994</v>
      </c>
      <c r="BB12" s="12">
        <f t="shared" ref="BB12:BK21" si="25">INDEX(ovrTable2,MATCH(INDEX(teamCol2,ROW()),ovrTeamCol2,0),MATCH(MID(INDEX(headerRow2,1,COLUMN()),4,LEN(INDEX(headerRow2,1,COLUMN()))),ovrHeaderRow2,0))</f>
        <v>1.9</v>
      </c>
      <c r="BC12" s="12">
        <f t="shared" si="25"/>
        <v>34.340000000000003</v>
      </c>
      <c r="BD12" s="12">
        <f t="shared" si="25"/>
        <v>6.4</v>
      </c>
      <c r="BE12" s="12">
        <f t="shared" si="25"/>
        <v>5.8</v>
      </c>
      <c r="BF12" s="12">
        <f t="shared" si="25"/>
        <v>0.5</v>
      </c>
      <c r="BG12" s="12">
        <f t="shared" si="25"/>
        <v>11.12</v>
      </c>
      <c r="BH12" s="12">
        <f t="shared" si="25"/>
        <v>9.9</v>
      </c>
      <c r="BI12" s="12">
        <f t="shared" si="25"/>
        <v>66</v>
      </c>
      <c r="BJ12" s="12">
        <f t="shared" si="25"/>
        <v>18.049999999999997</v>
      </c>
      <c r="BK12" s="12">
        <f t="shared" si="25"/>
        <v>55.567928730512243</v>
      </c>
      <c r="BL12" s="12">
        <f t="shared" ref="BL12:BU21" si="26">INDEX(ovrTable2,MATCH(INDEX(oppCol23,ROW()),ovrTeamCol2,0),MATCH(MID(INDEX(headerRow2,1,COLUMN()),4,LEN(INDEX(headerRow2,1,COLUMN()))),ovrHeaderRow2,0))</f>
        <v>33.799999999999997</v>
      </c>
      <c r="BM12" s="12">
        <f t="shared" si="26"/>
        <v>7.3</v>
      </c>
      <c r="BN12" s="12">
        <f t="shared" si="26"/>
        <v>35.5</v>
      </c>
      <c r="BO12" s="12">
        <f t="shared" si="26"/>
        <v>22</v>
      </c>
      <c r="BP12" s="12">
        <f t="shared" si="26"/>
        <v>1</v>
      </c>
      <c r="BQ12" s="12">
        <f t="shared" si="26"/>
        <v>13.2</v>
      </c>
      <c r="BR12" s="12">
        <f t="shared" si="26"/>
        <v>25.11</v>
      </c>
      <c r="BS12" s="12">
        <f t="shared" si="26"/>
        <v>3.1</v>
      </c>
      <c r="BT12" s="12">
        <f t="shared" si="26"/>
        <v>45.1</v>
      </c>
      <c r="BU12" s="12">
        <f t="shared" si="26"/>
        <v>23.7</v>
      </c>
      <c r="BV12" s="12">
        <f t="shared" ref="BV12:CE21" si="27">INDEX(ovrTable2,MATCH(INDEX(oppCol23,ROW()),ovrTeamCol2,0),MATCH(MID(INDEX(headerRow2,1,COLUMN()),4,LEN(INDEX(headerRow2,1,COLUMN()))),ovrHeaderRow2,0))</f>
        <v>0.52100000000000002</v>
      </c>
      <c r="BW12" s="12">
        <f t="shared" si="27"/>
        <v>9.94</v>
      </c>
      <c r="BX12" s="12">
        <f t="shared" si="27"/>
        <v>45.3</v>
      </c>
      <c r="BY12" s="12">
        <f t="shared" si="27"/>
        <v>17.899999999999999</v>
      </c>
      <c r="BZ12" s="12">
        <f t="shared" si="27"/>
        <v>73.599999999999994</v>
      </c>
      <c r="CA12" s="12">
        <f t="shared" si="27"/>
        <v>24.1</v>
      </c>
      <c r="CB12" s="12">
        <f t="shared" si="27"/>
        <v>17.5</v>
      </c>
      <c r="CC12" s="12">
        <f t="shared" si="27"/>
        <v>72.3</v>
      </c>
      <c r="CD12" s="12">
        <f t="shared" si="27"/>
        <v>11.64</v>
      </c>
      <c r="CE12" s="12">
        <f t="shared" si="27"/>
        <v>78.099999999999994</v>
      </c>
      <c r="CF12" s="12">
        <f t="shared" ref="CF12:CO21" si="28">INDEX(ovrTable2,MATCH(INDEX(oppCol23,ROW()),ovrTeamCol2,0),MATCH(MID(INDEX(headerRow2,1,COLUMN()),4,LEN(INDEX(headerRow2,1,COLUMN()))),ovrHeaderRow2,0))</f>
        <v>3.8</v>
      </c>
      <c r="CG12" s="12">
        <f t="shared" si="28"/>
        <v>34.68</v>
      </c>
      <c r="CH12" s="12">
        <f t="shared" si="28"/>
        <v>4.5</v>
      </c>
      <c r="CI12" s="12">
        <f t="shared" si="28"/>
        <v>6.5</v>
      </c>
      <c r="CJ12" s="12">
        <f t="shared" si="28"/>
        <v>1</v>
      </c>
      <c r="CK12" s="12">
        <f t="shared" si="28"/>
        <v>13.03</v>
      </c>
      <c r="CL12" s="12">
        <f t="shared" si="28"/>
        <v>12.5</v>
      </c>
      <c r="CM12" s="12">
        <f t="shared" si="28"/>
        <v>71.099999999999994</v>
      </c>
      <c r="CN12" s="12">
        <f t="shared" si="28"/>
        <v>19.349999999999998</v>
      </c>
      <c r="CO12" s="12">
        <f t="shared" si="28"/>
        <v>58.83002207505519</v>
      </c>
    </row>
    <row r="13" spans="1:93" x14ac:dyDescent="0.3">
      <c r="A13" s="6" t="s">
        <v>380</v>
      </c>
      <c r="B13" s="3">
        <v>9</v>
      </c>
      <c r="C13" s="13" t="s">
        <v>372</v>
      </c>
      <c r="D13" s="14">
        <v>6</v>
      </c>
      <c r="E13" s="38">
        <f>G12</f>
        <v>33.333333333333329</v>
      </c>
      <c r="F13" s="39">
        <v>8</v>
      </c>
      <c r="G13" s="38">
        <f t="shared" si="0"/>
        <v>42.105263157894733</v>
      </c>
      <c r="H13" s="39">
        <v>19</v>
      </c>
      <c r="I13" s="40">
        <f t="shared" si="1"/>
        <v>0.58333333333333337</v>
      </c>
      <c r="J13" s="39">
        <v>7</v>
      </c>
      <c r="K13" s="39">
        <v>14</v>
      </c>
      <c r="L13" s="39">
        <v>2</v>
      </c>
      <c r="M13" s="39">
        <f>Q12</f>
        <v>51.1</v>
      </c>
      <c r="N13" s="39">
        <v>19</v>
      </c>
      <c r="O13" s="41">
        <f t="shared" si="2"/>
        <v>0.49760765550239233</v>
      </c>
      <c r="P13" s="39">
        <v>5</v>
      </c>
      <c r="Q13" s="39">
        <v>39.299999999999997</v>
      </c>
      <c r="R13" s="39">
        <v>24</v>
      </c>
      <c r="S13" s="38">
        <f t="shared" si="3"/>
        <v>81.25</v>
      </c>
      <c r="T13" s="39">
        <v>16</v>
      </c>
      <c r="U13" s="39">
        <v>13</v>
      </c>
      <c r="V13" s="39">
        <f>X12</f>
        <v>67</v>
      </c>
      <c r="W13" s="39">
        <v>16</v>
      </c>
      <c r="X13" s="39">
        <v>65</v>
      </c>
      <c r="Y13" s="39">
        <f>Z13-Z12</f>
        <v>6</v>
      </c>
      <c r="Z13" s="39">
        <f t="shared" si="4"/>
        <v>35</v>
      </c>
      <c r="AA13" s="39">
        <f t="shared" si="5"/>
        <v>-2</v>
      </c>
      <c r="AB13" s="39">
        <v>6</v>
      </c>
      <c r="AC13" s="39">
        <f t="shared" si="6"/>
        <v>1</v>
      </c>
      <c r="AD13" s="39">
        <f>AE12</f>
        <v>13</v>
      </c>
      <c r="AE13" s="39">
        <v>12</v>
      </c>
      <c r="AF13" s="46">
        <f t="shared" si="13"/>
        <v>59.579643765903313</v>
      </c>
      <c r="AG13" s="51">
        <f t="shared" ref="AG13" si="29">AVERAGE(AF12,AF13)</f>
        <v>60.019714250857724</v>
      </c>
      <c r="AH13" s="12">
        <f t="shared" si="23"/>
        <v>33.799999999999997</v>
      </c>
      <c r="AI13" s="12">
        <f t="shared" si="23"/>
        <v>7.3</v>
      </c>
      <c r="AJ13" s="12">
        <f t="shared" si="23"/>
        <v>35.5</v>
      </c>
      <c r="AK13" s="12">
        <f t="shared" si="23"/>
        <v>22</v>
      </c>
      <c r="AL13" s="12">
        <f t="shared" si="23"/>
        <v>1</v>
      </c>
      <c r="AM13" s="12">
        <f t="shared" si="23"/>
        <v>13.2</v>
      </c>
      <c r="AN13" s="12">
        <f t="shared" si="23"/>
        <v>25.11</v>
      </c>
      <c r="AO13" s="12">
        <f t="shared" si="23"/>
        <v>3.1</v>
      </c>
      <c r="AP13" s="12">
        <f t="shared" si="23"/>
        <v>45.1</v>
      </c>
      <c r="AQ13" s="12">
        <f t="shared" si="23"/>
        <v>23.7</v>
      </c>
      <c r="AR13" s="12">
        <f t="shared" si="24"/>
        <v>0.52100000000000002</v>
      </c>
      <c r="AS13" s="12">
        <f t="shared" si="24"/>
        <v>9.94</v>
      </c>
      <c r="AT13" s="12">
        <f t="shared" si="24"/>
        <v>45.3</v>
      </c>
      <c r="AU13" s="12">
        <f t="shared" si="24"/>
        <v>17.899999999999999</v>
      </c>
      <c r="AV13" s="12">
        <f t="shared" si="24"/>
        <v>73.599999999999994</v>
      </c>
      <c r="AW13" s="12">
        <f t="shared" si="24"/>
        <v>24.1</v>
      </c>
      <c r="AX13" s="12">
        <f t="shared" si="24"/>
        <v>17.5</v>
      </c>
      <c r="AY13" s="12">
        <f t="shared" si="24"/>
        <v>72.3</v>
      </c>
      <c r="AZ13" s="12">
        <f t="shared" si="24"/>
        <v>11.64</v>
      </c>
      <c r="BA13" s="12">
        <f t="shared" si="24"/>
        <v>78.099999999999994</v>
      </c>
      <c r="BB13" s="12">
        <f t="shared" si="25"/>
        <v>3.8</v>
      </c>
      <c r="BC13" s="12">
        <f t="shared" si="25"/>
        <v>34.68</v>
      </c>
      <c r="BD13" s="12">
        <f t="shared" si="25"/>
        <v>4.5</v>
      </c>
      <c r="BE13" s="12">
        <f t="shared" si="25"/>
        <v>6.5</v>
      </c>
      <c r="BF13" s="12">
        <f t="shared" si="25"/>
        <v>1</v>
      </c>
      <c r="BG13" s="12">
        <f t="shared" si="25"/>
        <v>13.03</v>
      </c>
      <c r="BH13" s="12">
        <f t="shared" si="25"/>
        <v>12.5</v>
      </c>
      <c r="BI13" s="12">
        <f t="shared" si="25"/>
        <v>71.099999999999994</v>
      </c>
      <c r="BJ13" s="12">
        <f t="shared" si="25"/>
        <v>19.349999999999998</v>
      </c>
      <c r="BK13" s="12">
        <f t="shared" si="25"/>
        <v>58.83002207505519</v>
      </c>
      <c r="BL13" s="12">
        <f t="shared" si="26"/>
        <v>32</v>
      </c>
      <c r="BM13" s="12">
        <f t="shared" si="26"/>
        <v>6.9</v>
      </c>
      <c r="BN13" s="12">
        <f t="shared" si="26"/>
        <v>33.6</v>
      </c>
      <c r="BO13" s="12">
        <f t="shared" si="26"/>
        <v>21.6</v>
      </c>
      <c r="BP13" s="12">
        <f t="shared" si="26"/>
        <v>1.1499999999999999</v>
      </c>
      <c r="BQ13" s="12">
        <f t="shared" si="26"/>
        <v>10.6</v>
      </c>
      <c r="BR13" s="12">
        <f t="shared" si="26"/>
        <v>14.19</v>
      </c>
      <c r="BS13" s="12">
        <f t="shared" si="26"/>
        <v>3.8</v>
      </c>
      <c r="BT13" s="12">
        <f t="shared" si="26"/>
        <v>43</v>
      </c>
      <c r="BU13" s="12">
        <f t="shared" si="26"/>
        <v>23.79</v>
      </c>
      <c r="BV13" s="12">
        <f t="shared" si="27"/>
        <v>0.50900000000000001</v>
      </c>
      <c r="BW13" s="12">
        <f t="shared" si="27"/>
        <v>8.76</v>
      </c>
      <c r="BX13" s="12">
        <f t="shared" si="27"/>
        <v>44.9</v>
      </c>
      <c r="BY13" s="12">
        <f t="shared" si="27"/>
        <v>15.8</v>
      </c>
      <c r="BZ13" s="12">
        <f t="shared" si="27"/>
        <v>72.3</v>
      </c>
      <c r="CA13" s="12">
        <f t="shared" si="27"/>
        <v>19.5</v>
      </c>
      <c r="CB13" s="12">
        <f t="shared" si="27"/>
        <v>14.8</v>
      </c>
      <c r="CC13" s="12">
        <f t="shared" si="27"/>
        <v>66.099999999999994</v>
      </c>
      <c r="CD13" s="12">
        <f t="shared" si="27"/>
        <v>10.06</v>
      </c>
      <c r="CE13" s="12">
        <f t="shared" si="27"/>
        <v>71.599999999999994</v>
      </c>
      <c r="CF13" s="12">
        <f t="shared" si="28"/>
        <v>1.9</v>
      </c>
      <c r="CG13" s="12">
        <f t="shared" si="28"/>
        <v>34.340000000000003</v>
      </c>
      <c r="CH13" s="12">
        <f t="shared" si="28"/>
        <v>6.4</v>
      </c>
      <c r="CI13" s="12">
        <f t="shared" si="28"/>
        <v>5.8</v>
      </c>
      <c r="CJ13" s="12">
        <f t="shared" si="28"/>
        <v>0.5</v>
      </c>
      <c r="CK13" s="12">
        <f t="shared" si="28"/>
        <v>11.12</v>
      </c>
      <c r="CL13" s="12">
        <f t="shared" si="28"/>
        <v>9.9</v>
      </c>
      <c r="CM13" s="12">
        <f t="shared" si="28"/>
        <v>66</v>
      </c>
      <c r="CN13" s="12">
        <f t="shared" si="28"/>
        <v>18.049999999999997</v>
      </c>
      <c r="CO13" s="12">
        <f t="shared" si="28"/>
        <v>55.567928730512243</v>
      </c>
    </row>
    <row r="14" spans="1:93" x14ac:dyDescent="0.3">
      <c r="A14" s="6" t="s">
        <v>6</v>
      </c>
      <c r="B14" s="3">
        <v>5</v>
      </c>
      <c r="C14" s="13" t="s">
        <v>29</v>
      </c>
      <c r="D14" s="14">
        <v>7</v>
      </c>
      <c r="E14" s="38">
        <f>G15</f>
        <v>20.833333333333336</v>
      </c>
      <c r="F14" s="39">
        <v>4</v>
      </c>
      <c r="G14" s="38">
        <f t="shared" si="0"/>
        <v>25</v>
      </c>
      <c r="H14" s="39">
        <v>16</v>
      </c>
      <c r="I14" s="40">
        <f t="shared" si="1"/>
        <v>0.9285714285714286</v>
      </c>
      <c r="J14" s="39">
        <v>13</v>
      </c>
      <c r="K14" s="39">
        <v>24</v>
      </c>
      <c r="L14" s="39">
        <v>7</v>
      </c>
      <c r="M14" s="39">
        <f>Q15</f>
        <v>32.1</v>
      </c>
      <c r="N14" s="39">
        <v>32</v>
      </c>
      <c r="O14" s="41">
        <f t="shared" si="2"/>
        <v>0.27083333333333331</v>
      </c>
      <c r="P14" s="39">
        <v>7</v>
      </c>
      <c r="Q14" s="39">
        <v>42.9</v>
      </c>
      <c r="R14" s="39">
        <v>18</v>
      </c>
      <c r="S14" s="38">
        <f t="shared" si="3"/>
        <v>61.111111111111114</v>
      </c>
      <c r="T14" s="39">
        <v>18</v>
      </c>
      <c r="U14" s="39">
        <v>11</v>
      </c>
      <c r="V14" s="39">
        <f>X15</f>
        <v>57</v>
      </c>
      <c r="W14" s="39">
        <v>8</v>
      </c>
      <c r="X14" s="39">
        <v>63</v>
      </c>
      <c r="Y14" s="39">
        <f>Z14-Z15</f>
        <v>6</v>
      </c>
      <c r="Z14" s="39">
        <f t="shared" si="4"/>
        <v>40</v>
      </c>
      <c r="AA14" s="39">
        <f t="shared" si="5"/>
        <v>6</v>
      </c>
      <c r="AB14" s="39">
        <v>4</v>
      </c>
      <c r="AC14" s="39">
        <f t="shared" si="6"/>
        <v>-4</v>
      </c>
      <c r="AD14" s="39">
        <f>AE15</f>
        <v>10</v>
      </c>
      <c r="AE14" s="39">
        <v>14</v>
      </c>
      <c r="AF14" s="46">
        <f t="shared" si="13"/>
        <v>70.494055944055944</v>
      </c>
      <c r="AG14" s="51">
        <f t="shared" ref="AG14" si="30">AVERAGE(AF14,AF15)</f>
        <v>68.79691114959806</v>
      </c>
      <c r="AH14" s="12">
        <f t="shared" si="23"/>
        <v>30</v>
      </c>
      <c r="AI14" s="12">
        <f t="shared" si="23"/>
        <v>7.1</v>
      </c>
      <c r="AJ14" s="12">
        <f t="shared" si="23"/>
        <v>35.200000000000003</v>
      </c>
      <c r="AK14" s="12">
        <f t="shared" si="23"/>
        <v>20.399999999999999</v>
      </c>
      <c r="AL14" s="12">
        <f t="shared" si="23"/>
        <v>1.26</v>
      </c>
      <c r="AM14" s="12">
        <f t="shared" si="23"/>
        <v>13.1</v>
      </c>
      <c r="AN14" s="12">
        <f t="shared" si="23"/>
        <v>30.06</v>
      </c>
      <c r="AO14" s="12">
        <f t="shared" si="23"/>
        <v>3.9</v>
      </c>
      <c r="AP14" s="12">
        <f t="shared" si="23"/>
        <v>41.4</v>
      </c>
      <c r="AQ14" s="12">
        <f t="shared" si="23"/>
        <v>25.67</v>
      </c>
      <c r="AR14" s="12">
        <f t="shared" si="24"/>
        <v>0.501</v>
      </c>
      <c r="AS14" s="12">
        <f t="shared" si="24"/>
        <v>8</v>
      </c>
      <c r="AT14" s="12">
        <f t="shared" si="24"/>
        <v>44</v>
      </c>
      <c r="AU14" s="12">
        <f t="shared" si="24"/>
        <v>16.3</v>
      </c>
      <c r="AV14" s="12">
        <f t="shared" si="24"/>
        <v>72</v>
      </c>
      <c r="AW14" s="12">
        <f t="shared" si="24"/>
        <v>19.5</v>
      </c>
      <c r="AX14" s="12">
        <f t="shared" si="24"/>
        <v>14.6</v>
      </c>
      <c r="AY14" s="12">
        <f t="shared" si="24"/>
        <v>64.099999999999994</v>
      </c>
      <c r="AZ14" s="12">
        <f t="shared" si="24"/>
        <v>11.24</v>
      </c>
      <c r="BA14" s="12">
        <f t="shared" si="24"/>
        <v>73.599999999999994</v>
      </c>
      <c r="BB14" s="12">
        <f t="shared" si="25"/>
        <v>4.7</v>
      </c>
      <c r="BC14" s="12">
        <f t="shared" si="25"/>
        <v>37.65</v>
      </c>
      <c r="BD14" s="12">
        <f t="shared" si="25"/>
        <v>8.6</v>
      </c>
      <c r="BE14" s="12">
        <f t="shared" si="25"/>
        <v>6.6</v>
      </c>
      <c r="BF14" s="12">
        <f t="shared" si="25"/>
        <v>0.6</v>
      </c>
      <c r="BG14" s="12">
        <f t="shared" si="25"/>
        <v>11.54</v>
      </c>
      <c r="BH14" s="12">
        <f t="shared" si="25"/>
        <v>10.6</v>
      </c>
      <c r="BI14" s="12">
        <f t="shared" si="25"/>
        <v>68.3</v>
      </c>
      <c r="BJ14" s="12">
        <f t="shared" si="25"/>
        <v>18.849999999999998</v>
      </c>
      <c r="BK14" s="12">
        <f t="shared" si="25"/>
        <v>58.97727272727272</v>
      </c>
      <c r="BL14" s="12">
        <f t="shared" si="26"/>
        <v>30.5</v>
      </c>
      <c r="BM14" s="12">
        <f t="shared" si="26"/>
        <v>10.7</v>
      </c>
      <c r="BN14" s="12">
        <f t="shared" si="26"/>
        <v>33.799999999999997</v>
      </c>
      <c r="BO14" s="12">
        <f t="shared" si="26"/>
        <v>32</v>
      </c>
      <c r="BP14" s="12">
        <f t="shared" si="26"/>
        <v>1.27</v>
      </c>
      <c r="BQ14" s="12">
        <f t="shared" si="26"/>
        <v>13.7</v>
      </c>
      <c r="BR14" s="12">
        <f t="shared" si="26"/>
        <v>33.5</v>
      </c>
      <c r="BS14" s="12">
        <f t="shared" si="26"/>
        <v>3.2</v>
      </c>
      <c r="BT14" s="12">
        <f t="shared" si="26"/>
        <v>43.3</v>
      </c>
      <c r="BU14" s="12">
        <f t="shared" si="26"/>
        <v>27.59</v>
      </c>
      <c r="BV14" s="12">
        <f t="shared" si="27"/>
        <v>0.52</v>
      </c>
      <c r="BW14" s="12">
        <f t="shared" si="27"/>
        <v>13.03</v>
      </c>
      <c r="BX14" s="12">
        <f t="shared" si="27"/>
        <v>44</v>
      </c>
      <c r="BY14" s="12">
        <f t="shared" si="27"/>
        <v>16.600000000000001</v>
      </c>
      <c r="BZ14" s="12">
        <f t="shared" si="27"/>
        <v>74</v>
      </c>
      <c r="CA14" s="12">
        <f t="shared" si="27"/>
        <v>21.6</v>
      </c>
      <c r="CB14" s="12">
        <f t="shared" si="27"/>
        <v>16.5</v>
      </c>
      <c r="CC14" s="12">
        <f t="shared" si="27"/>
        <v>68.3</v>
      </c>
      <c r="CD14" s="12">
        <f t="shared" si="27"/>
        <v>14.64</v>
      </c>
      <c r="CE14" s="12">
        <f t="shared" si="27"/>
        <v>83.4</v>
      </c>
      <c r="CF14" s="12">
        <f t="shared" si="28"/>
        <v>7.5</v>
      </c>
      <c r="CG14" s="12">
        <f t="shared" si="28"/>
        <v>42.58</v>
      </c>
      <c r="CH14" s="12">
        <f t="shared" si="28"/>
        <v>14.8</v>
      </c>
      <c r="CI14" s="12">
        <f t="shared" si="28"/>
        <v>7.2</v>
      </c>
      <c r="CJ14" s="12">
        <f t="shared" si="28"/>
        <v>1.3</v>
      </c>
      <c r="CK14" s="12">
        <f t="shared" si="28"/>
        <v>12.28</v>
      </c>
      <c r="CL14" s="12">
        <f t="shared" si="28"/>
        <v>11</v>
      </c>
      <c r="CM14" s="12">
        <f t="shared" si="28"/>
        <v>72.900000000000006</v>
      </c>
      <c r="CN14" s="12">
        <f t="shared" si="28"/>
        <v>17.400000000000006</v>
      </c>
      <c r="CO14" s="12">
        <f t="shared" si="28"/>
        <v>63.863636363636374</v>
      </c>
    </row>
    <row r="15" spans="1:93" x14ac:dyDescent="0.3">
      <c r="A15" s="6" t="s">
        <v>29</v>
      </c>
      <c r="B15" s="3">
        <v>12</v>
      </c>
      <c r="C15" s="13" t="s">
        <v>6</v>
      </c>
      <c r="D15" s="14">
        <v>7</v>
      </c>
      <c r="E15" s="38">
        <f>G14</f>
        <v>25</v>
      </c>
      <c r="F15" s="39">
        <v>5</v>
      </c>
      <c r="G15" s="38">
        <f t="shared" si="0"/>
        <v>20.833333333333336</v>
      </c>
      <c r="H15" s="39">
        <v>24</v>
      </c>
      <c r="I15" s="40">
        <f t="shared" si="1"/>
        <v>0.9</v>
      </c>
      <c r="J15" s="39">
        <v>9</v>
      </c>
      <c r="K15" s="39">
        <v>8</v>
      </c>
      <c r="L15" s="39">
        <v>2</v>
      </c>
      <c r="M15" s="39">
        <f>Q14</f>
        <v>42.9</v>
      </c>
      <c r="N15" s="39">
        <v>26</v>
      </c>
      <c r="O15" s="41">
        <f t="shared" si="2"/>
        <v>0.23726851851851855</v>
      </c>
      <c r="P15" s="39">
        <v>15</v>
      </c>
      <c r="Q15" s="39">
        <v>32.1</v>
      </c>
      <c r="R15" s="39">
        <v>18</v>
      </c>
      <c r="S15" s="38">
        <f t="shared" si="3"/>
        <v>84.210526315789465</v>
      </c>
      <c r="T15" s="39">
        <v>19</v>
      </c>
      <c r="U15" s="39">
        <v>16</v>
      </c>
      <c r="V15" s="39">
        <f>X14</f>
        <v>63</v>
      </c>
      <c r="W15" s="39">
        <v>8</v>
      </c>
      <c r="X15" s="39">
        <v>57</v>
      </c>
      <c r="Y15" s="39">
        <f>Z15-Z14</f>
        <v>-6</v>
      </c>
      <c r="Z15" s="39">
        <f t="shared" si="4"/>
        <v>34</v>
      </c>
      <c r="AA15" s="39">
        <f t="shared" si="5"/>
        <v>-6</v>
      </c>
      <c r="AB15" s="39">
        <v>9</v>
      </c>
      <c r="AC15" s="39">
        <f t="shared" si="6"/>
        <v>4</v>
      </c>
      <c r="AD15" s="39">
        <f>AE14</f>
        <v>14</v>
      </c>
      <c r="AE15" s="39">
        <v>10</v>
      </c>
      <c r="AF15" s="46">
        <f t="shared" si="13"/>
        <v>67.09976635514019</v>
      </c>
      <c r="AG15" s="51">
        <f t="shared" ref="AG15" si="31">AVERAGE(AF14,AF15)</f>
        <v>68.79691114959806</v>
      </c>
      <c r="AH15" s="12">
        <f t="shared" si="23"/>
        <v>30.5</v>
      </c>
      <c r="AI15" s="12">
        <f t="shared" si="23"/>
        <v>10.7</v>
      </c>
      <c r="AJ15" s="12">
        <f t="shared" si="23"/>
        <v>33.799999999999997</v>
      </c>
      <c r="AK15" s="12">
        <f t="shared" si="23"/>
        <v>32</v>
      </c>
      <c r="AL15" s="12">
        <f t="shared" si="23"/>
        <v>1.27</v>
      </c>
      <c r="AM15" s="12">
        <f t="shared" si="23"/>
        <v>13.7</v>
      </c>
      <c r="AN15" s="12">
        <f t="shared" si="23"/>
        <v>33.5</v>
      </c>
      <c r="AO15" s="12">
        <f t="shared" si="23"/>
        <v>3.2</v>
      </c>
      <c r="AP15" s="12">
        <f t="shared" si="23"/>
        <v>43.3</v>
      </c>
      <c r="AQ15" s="12">
        <f t="shared" si="23"/>
        <v>27.59</v>
      </c>
      <c r="AR15" s="12">
        <f t="shared" si="24"/>
        <v>0.52</v>
      </c>
      <c r="AS15" s="12">
        <f t="shared" si="24"/>
        <v>13.03</v>
      </c>
      <c r="AT15" s="12">
        <f t="shared" si="24"/>
        <v>44</v>
      </c>
      <c r="AU15" s="12">
        <f t="shared" si="24"/>
        <v>16.600000000000001</v>
      </c>
      <c r="AV15" s="12">
        <f t="shared" si="24"/>
        <v>74</v>
      </c>
      <c r="AW15" s="12">
        <f t="shared" si="24"/>
        <v>21.6</v>
      </c>
      <c r="AX15" s="12">
        <f t="shared" si="24"/>
        <v>16.5</v>
      </c>
      <c r="AY15" s="12">
        <f t="shared" si="24"/>
        <v>68.3</v>
      </c>
      <c r="AZ15" s="12">
        <f t="shared" si="24"/>
        <v>14.64</v>
      </c>
      <c r="BA15" s="12">
        <f t="shared" si="24"/>
        <v>83.4</v>
      </c>
      <c r="BB15" s="12">
        <f t="shared" si="25"/>
        <v>7.5</v>
      </c>
      <c r="BC15" s="12">
        <f t="shared" si="25"/>
        <v>42.58</v>
      </c>
      <c r="BD15" s="12">
        <f t="shared" si="25"/>
        <v>14.8</v>
      </c>
      <c r="BE15" s="12">
        <f t="shared" si="25"/>
        <v>7.2</v>
      </c>
      <c r="BF15" s="12">
        <f t="shared" si="25"/>
        <v>1.3</v>
      </c>
      <c r="BG15" s="12">
        <f t="shared" si="25"/>
        <v>12.28</v>
      </c>
      <c r="BH15" s="12">
        <f t="shared" si="25"/>
        <v>11</v>
      </c>
      <c r="BI15" s="12">
        <f t="shared" si="25"/>
        <v>72.900000000000006</v>
      </c>
      <c r="BJ15" s="12">
        <f t="shared" si="25"/>
        <v>17.400000000000006</v>
      </c>
      <c r="BK15" s="12">
        <f t="shared" si="25"/>
        <v>63.863636363636374</v>
      </c>
      <c r="BL15" s="12">
        <f t="shared" si="26"/>
        <v>30</v>
      </c>
      <c r="BM15" s="12">
        <f t="shared" si="26"/>
        <v>7.1</v>
      </c>
      <c r="BN15" s="12">
        <f t="shared" si="26"/>
        <v>35.200000000000003</v>
      </c>
      <c r="BO15" s="12">
        <f t="shared" si="26"/>
        <v>20.399999999999999</v>
      </c>
      <c r="BP15" s="12">
        <f t="shared" si="26"/>
        <v>1.26</v>
      </c>
      <c r="BQ15" s="12">
        <f t="shared" si="26"/>
        <v>13.1</v>
      </c>
      <c r="BR15" s="12">
        <f t="shared" si="26"/>
        <v>30.06</v>
      </c>
      <c r="BS15" s="12">
        <f t="shared" si="26"/>
        <v>3.9</v>
      </c>
      <c r="BT15" s="12">
        <f t="shared" si="26"/>
        <v>41.4</v>
      </c>
      <c r="BU15" s="12">
        <f t="shared" si="26"/>
        <v>25.67</v>
      </c>
      <c r="BV15" s="12">
        <f t="shared" si="27"/>
        <v>0.501</v>
      </c>
      <c r="BW15" s="12">
        <f t="shared" si="27"/>
        <v>8</v>
      </c>
      <c r="BX15" s="12">
        <f t="shared" si="27"/>
        <v>44</v>
      </c>
      <c r="BY15" s="12">
        <f t="shared" si="27"/>
        <v>16.3</v>
      </c>
      <c r="BZ15" s="12">
        <f t="shared" si="27"/>
        <v>72</v>
      </c>
      <c r="CA15" s="12">
        <f t="shared" si="27"/>
        <v>19.5</v>
      </c>
      <c r="CB15" s="12">
        <f t="shared" si="27"/>
        <v>14.6</v>
      </c>
      <c r="CC15" s="12">
        <f t="shared" si="27"/>
        <v>64.099999999999994</v>
      </c>
      <c r="CD15" s="12">
        <f t="shared" si="27"/>
        <v>11.24</v>
      </c>
      <c r="CE15" s="12">
        <f t="shared" si="27"/>
        <v>73.599999999999994</v>
      </c>
      <c r="CF15" s="12">
        <f t="shared" si="28"/>
        <v>4.7</v>
      </c>
      <c r="CG15" s="12">
        <f t="shared" si="28"/>
        <v>37.65</v>
      </c>
      <c r="CH15" s="12">
        <f t="shared" si="28"/>
        <v>8.6</v>
      </c>
      <c r="CI15" s="12">
        <f t="shared" si="28"/>
        <v>6.6</v>
      </c>
      <c r="CJ15" s="12">
        <f t="shared" si="28"/>
        <v>0.6</v>
      </c>
      <c r="CK15" s="12">
        <f t="shared" si="28"/>
        <v>11.54</v>
      </c>
      <c r="CL15" s="12">
        <f t="shared" si="28"/>
        <v>10.6</v>
      </c>
      <c r="CM15" s="12">
        <f t="shared" si="28"/>
        <v>68.3</v>
      </c>
      <c r="CN15" s="12">
        <f t="shared" si="28"/>
        <v>18.849999999999998</v>
      </c>
      <c r="CO15" s="12">
        <f t="shared" si="28"/>
        <v>58.97727272727272</v>
      </c>
    </row>
    <row r="16" spans="1:93" x14ac:dyDescent="0.3">
      <c r="A16" s="6" t="s">
        <v>63</v>
      </c>
      <c r="B16" s="3">
        <v>4</v>
      </c>
      <c r="C16" s="13" t="s">
        <v>409</v>
      </c>
      <c r="D16" s="14">
        <v>8</v>
      </c>
      <c r="E16" s="38">
        <f>G17</f>
        <v>35.714285714285715</v>
      </c>
      <c r="F16" s="39">
        <v>2</v>
      </c>
      <c r="G16" s="38">
        <f t="shared" si="0"/>
        <v>16.666666666666664</v>
      </c>
      <c r="H16" s="39">
        <v>12</v>
      </c>
      <c r="I16" s="40">
        <f t="shared" si="1"/>
        <v>1.625</v>
      </c>
      <c r="J16" s="39">
        <v>13</v>
      </c>
      <c r="K16" s="39">
        <v>17</v>
      </c>
      <c r="L16" s="39">
        <v>7</v>
      </c>
      <c r="M16" s="39">
        <f>Q17</f>
        <v>39.299999999999997</v>
      </c>
      <c r="N16" s="39">
        <v>30</v>
      </c>
      <c r="O16" s="41">
        <f t="shared" si="2"/>
        <v>0.17361111111111108</v>
      </c>
      <c r="P16" s="39">
        <v>7</v>
      </c>
      <c r="Q16" s="39">
        <v>44.4</v>
      </c>
      <c r="R16" s="39">
        <v>13</v>
      </c>
      <c r="S16" s="38">
        <f t="shared" si="3"/>
        <v>77.272727272727266</v>
      </c>
      <c r="T16" s="39">
        <v>22</v>
      </c>
      <c r="U16" s="39">
        <v>17</v>
      </c>
      <c r="V16" s="39">
        <f>X17</f>
        <v>68</v>
      </c>
      <c r="W16" s="39">
        <v>9</v>
      </c>
      <c r="X16" s="39">
        <v>67</v>
      </c>
      <c r="Y16" s="39">
        <f>Z16-Z17</f>
        <v>8</v>
      </c>
      <c r="Z16" s="39">
        <f t="shared" si="4"/>
        <v>39</v>
      </c>
      <c r="AA16" s="39">
        <f t="shared" si="5"/>
        <v>-1</v>
      </c>
      <c r="AB16" s="39">
        <v>4</v>
      </c>
      <c r="AC16" s="39">
        <f t="shared" si="6"/>
        <v>1</v>
      </c>
      <c r="AD16" s="39">
        <f>AE17</f>
        <v>9</v>
      </c>
      <c r="AE16" s="39">
        <v>8</v>
      </c>
      <c r="AF16" s="46">
        <f t="shared" si="13"/>
        <v>63.504054054054052</v>
      </c>
      <c r="AG16" s="51">
        <f t="shared" ref="AG16" si="32">AVERAGE(AF16,AF17)</f>
        <v>64.754348909978688</v>
      </c>
      <c r="AH16" s="12">
        <f t="shared" si="23"/>
        <v>33.799999999999997</v>
      </c>
      <c r="AI16" s="12">
        <f t="shared" si="23"/>
        <v>7</v>
      </c>
      <c r="AJ16" s="12">
        <f t="shared" si="23"/>
        <v>35.4</v>
      </c>
      <c r="AK16" s="12">
        <f t="shared" si="23"/>
        <v>19.7</v>
      </c>
      <c r="AL16" s="12">
        <f t="shared" si="23"/>
        <v>1.95</v>
      </c>
      <c r="AM16" s="12">
        <f t="shared" si="23"/>
        <v>16.2</v>
      </c>
      <c r="AN16" s="12">
        <f t="shared" si="23"/>
        <v>16.440000000000001</v>
      </c>
      <c r="AO16" s="12">
        <f t="shared" si="23"/>
        <v>4.2</v>
      </c>
      <c r="AP16" s="12">
        <f t="shared" si="23"/>
        <v>41.7</v>
      </c>
      <c r="AQ16" s="12">
        <f t="shared" si="23"/>
        <v>24.21</v>
      </c>
      <c r="AR16" s="12">
        <f t="shared" si="24"/>
        <v>0.51600000000000001</v>
      </c>
      <c r="AS16" s="12">
        <f t="shared" si="24"/>
        <v>6.61</v>
      </c>
      <c r="AT16" s="12">
        <f t="shared" si="24"/>
        <v>45</v>
      </c>
      <c r="AU16" s="12">
        <f t="shared" si="24"/>
        <v>13.9</v>
      </c>
      <c r="AV16" s="12">
        <f t="shared" si="24"/>
        <v>70.8</v>
      </c>
      <c r="AW16" s="12">
        <f t="shared" si="24"/>
        <v>19.399999999999999</v>
      </c>
      <c r="AX16" s="12">
        <f t="shared" si="24"/>
        <v>13.7</v>
      </c>
      <c r="AY16" s="12">
        <f t="shared" si="24"/>
        <v>61.5</v>
      </c>
      <c r="AZ16" s="12">
        <f t="shared" si="24"/>
        <v>8.26</v>
      </c>
      <c r="BA16" s="12">
        <f t="shared" si="24"/>
        <v>70.599999999999994</v>
      </c>
      <c r="BB16" s="12">
        <f t="shared" si="25"/>
        <v>0.6</v>
      </c>
      <c r="BC16" s="12">
        <f t="shared" si="25"/>
        <v>32.76</v>
      </c>
      <c r="BD16" s="12">
        <f t="shared" si="25"/>
        <v>7.9</v>
      </c>
      <c r="BE16" s="12">
        <f t="shared" si="25"/>
        <v>6.7</v>
      </c>
      <c r="BF16" s="12">
        <f t="shared" si="25"/>
        <v>2.7</v>
      </c>
      <c r="BG16" s="12">
        <f t="shared" si="25"/>
        <v>11.2</v>
      </c>
      <c r="BH16" s="12">
        <f t="shared" si="25"/>
        <v>8.1</v>
      </c>
      <c r="BI16" s="12">
        <f t="shared" si="25"/>
        <v>64</v>
      </c>
      <c r="BJ16" s="12">
        <f t="shared" si="25"/>
        <v>17.949999999999996</v>
      </c>
      <c r="BK16" s="12">
        <f t="shared" si="25"/>
        <v>55.444444444444436</v>
      </c>
      <c r="BL16" s="12">
        <f t="shared" si="26"/>
        <v>32.6</v>
      </c>
      <c r="BM16" s="12">
        <f t="shared" si="26"/>
        <v>9.4</v>
      </c>
      <c r="BN16" s="12">
        <f t="shared" si="26"/>
        <v>34.5</v>
      </c>
      <c r="BO16" s="12">
        <f t="shared" si="26"/>
        <v>29.1</v>
      </c>
      <c r="BP16" s="12">
        <f t="shared" si="26"/>
        <v>1.64</v>
      </c>
      <c r="BQ16" s="12">
        <f t="shared" si="26"/>
        <v>17.5</v>
      </c>
      <c r="BR16" s="12">
        <f t="shared" si="26"/>
        <v>18.86</v>
      </c>
      <c r="BS16" s="12">
        <f t="shared" si="26"/>
        <v>3.4</v>
      </c>
      <c r="BT16" s="12">
        <f t="shared" si="26"/>
        <v>44.4</v>
      </c>
      <c r="BU16" s="12">
        <f t="shared" si="26"/>
        <v>25.63</v>
      </c>
      <c r="BV16" s="12">
        <f t="shared" si="27"/>
        <v>0.56299999999999994</v>
      </c>
      <c r="BW16" s="12">
        <f t="shared" si="27"/>
        <v>11.78</v>
      </c>
      <c r="BX16" s="12">
        <f t="shared" si="27"/>
        <v>48.4</v>
      </c>
      <c r="BY16" s="12">
        <f t="shared" si="27"/>
        <v>16.600000000000001</v>
      </c>
      <c r="BZ16" s="12">
        <f t="shared" si="27"/>
        <v>73.3</v>
      </c>
      <c r="CA16" s="12">
        <f t="shared" si="27"/>
        <v>20.8</v>
      </c>
      <c r="CB16" s="12">
        <f t="shared" si="27"/>
        <v>15.7</v>
      </c>
      <c r="CC16" s="12">
        <f t="shared" si="27"/>
        <v>73.3</v>
      </c>
      <c r="CD16" s="12">
        <f t="shared" si="27"/>
        <v>9.9700000000000006</v>
      </c>
      <c r="CE16" s="12">
        <f t="shared" si="27"/>
        <v>84.5</v>
      </c>
      <c r="CF16" s="12">
        <f t="shared" si="28"/>
        <v>2.8</v>
      </c>
      <c r="CG16" s="12">
        <f t="shared" si="28"/>
        <v>35.57</v>
      </c>
      <c r="CH16" s="12">
        <f t="shared" si="28"/>
        <v>11.4</v>
      </c>
      <c r="CI16" s="12">
        <f t="shared" si="28"/>
        <v>6.5</v>
      </c>
      <c r="CJ16" s="12">
        <f t="shared" si="28"/>
        <v>1.4</v>
      </c>
      <c r="CK16" s="12">
        <f t="shared" si="28"/>
        <v>11.83</v>
      </c>
      <c r="CL16" s="12">
        <f t="shared" si="28"/>
        <v>10.1</v>
      </c>
      <c r="CM16" s="12">
        <f t="shared" si="28"/>
        <v>70.400000000000006</v>
      </c>
      <c r="CN16" s="12">
        <f t="shared" si="28"/>
        <v>20.299999999999997</v>
      </c>
      <c r="CO16" s="12">
        <f t="shared" si="28"/>
        <v>61.363636363636353</v>
      </c>
    </row>
    <row r="17" spans="1:93" x14ac:dyDescent="0.3">
      <c r="A17" s="6" t="s">
        <v>409</v>
      </c>
      <c r="B17" s="3">
        <v>13</v>
      </c>
      <c r="C17" s="13" t="s">
        <v>63</v>
      </c>
      <c r="D17" s="14">
        <v>8</v>
      </c>
      <c r="E17" s="38">
        <f>G16</f>
        <v>16.666666666666664</v>
      </c>
      <c r="F17" s="39">
        <v>10</v>
      </c>
      <c r="G17" s="38">
        <f t="shared" si="0"/>
        <v>35.714285714285715</v>
      </c>
      <c r="H17" s="39">
        <v>28</v>
      </c>
      <c r="I17" s="40">
        <f t="shared" si="1"/>
        <v>1.3333333333333333</v>
      </c>
      <c r="J17" s="39">
        <v>12</v>
      </c>
      <c r="K17" s="39">
        <v>6</v>
      </c>
      <c r="L17" s="39">
        <v>3</v>
      </c>
      <c r="M17" s="39">
        <f>Q16</f>
        <v>44.4</v>
      </c>
      <c r="N17" s="39">
        <v>23</v>
      </c>
      <c r="O17" s="41">
        <f t="shared" si="2"/>
        <v>0.43831168831168832</v>
      </c>
      <c r="P17" s="39">
        <v>8</v>
      </c>
      <c r="Q17" s="39">
        <v>39.299999999999997</v>
      </c>
      <c r="R17" s="39">
        <v>17</v>
      </c>
      <c r="S17" s="38">
        <f t="shared" si="3"/>
        <v>73.68421052631578</v>
      </c>
      <c r="T17" s="39">
        <v>19</v>
      </c>
      <c r="U17" s="39">
        <v>14</v>
      </c>
      <c r="V17" s="39">
        <f>X16</f>
        <v>67</v>
      </c>
      <c r="W17" s="39">
        <v>8</v>
      </c>
      <c r="X17" s="39">
        <v>68</v>
      </c>
      <c r="Y17" s="39">
        <f>Z17-Z16</f>
        <v>-8</v>
      </c>
      <c r="Z17" s="39">
        <f t="shared" si="4"/>
        <v>31</v>
      </c>
      <c r="AA17" s="39">
        <f t="shared" si="5"/>
        <v>1</v>
      </c>
      <c r="AB17" s="39">
        <v>4</v>
      </c>
      <c r="AC17" s="39">
        <f t="shared" si="6"/>
        <v>-1</v>
      </c>
      <c r="AD17" s="39">
        <f>AE16</f>
        <v>8</v>
      </c>
      <c r="AE17" s="39">
        <v>9</v>
      </c>
      <c r="AF17" s="46">
        <f t="shared" si="13"/>
        <v>66.00464376590331</v>
      </c>
      <c r="AG17" s="51">
        <f t="shared" ref="AG17" si="33">AVERAGE(AF16,AF17)</f>
        <v>64.754348909978688</v>
      </c>
      <c r="AH17" s="12">
        <f t="shared" si="23"/>
        <v>32.6</v>
      </c>
      <c r="AI17" s="12">
        <f t="shared" si="23"/>
        <v>9.4</v>
      </c>
      <c r="AJ17" s="12">
        <f t="shared" si="23"/>
        <v>34.5</v>
      </c>
      <c r="AK17" s="12">
        <f t="shared" si="23"/>
        <v>29.1</v>
      </c>
      <c r="AL17" s="12">
        <f t="shared" si="23"/>
        <v>1.64</v>
      </c>
      <c r="AM17" s="12">
        <f t="shared" si="23"/>
        <v>17.5</v>
      </c>
      <c r="AN17" s="12">
        <f t="shared" si="23"/>
        <v>18.86</v>
      </c>
      <c r="AO17" s="12">
        <f t="shared" si="23"/>
        <v>3.4</v>
      </c>
      <c r="AP17" s="12">
        <f t="shared" si="23"/>
        <v>44.4</v>
      </c>
      <c r="AQ17" s="12">
        <f t="shared" si="23"/>
        <v>25.63</v>
      </c>
      <c r="AR17" s="12">
        <f t="shared" si="24"/>
        <v>0.56299999999999994</v>
      </c>
      <c r="AS17" s="12">
        <f t="shared" si="24"/>
        <v>11.78</v>
      </c>
      <c r="AT17" s="12">
        <f t="shared" si="24"/>
        <v>48.4</v>
      </c>
      <c r="AU17" s="12">
        <f t="shared" si="24"/>
        <v>16.600000000000001</v>
      </c>
      <c r="AV17" s="12">
        <f t="shared" si="24"/>
        <v>73.3</v>
      </c>
      <c r="AW17" s="12">
        <f t="shared" si="24"/>
        <v>20.8</v>
      </c>
      <c r="AX17" s="12">
        <f t="shared" si="24"/>
        <v>15.7</v>
      </c>
      <c r="AY17" s="12">
        <f t="shared" si="24"/>
        <v>73.3</v>
      </c>
      <c r="AZ17" s="12">
        <f t="shared" si="24"/>
        <v>9.9700000000000006</v>
      </c>
      <c r="BA17" s="12">
        <f t="shared" si="24"/>
        <v>84.5</v>
      </c>
      <c r="BB17" s="12">
        <f t="shared" si="25"/>
        <v>2.8</v>
      </c>
      <c r="BC17" s="12">
        <f t="shared" si="25"/>
        <v>35.57</v>
      </c>
      <c r="BD17" s="12">
        <f t="shared" si="25"/>
        <v>11.4</v>
      </c>
      <c r="BE17" s="12">
        <f t="shared" si="25"/>
        <v>6.5</v>
      </c>
      <c r="BF17" s="12">
        <f t="shared" si="25"/>
        <v>1.4</v>
      </c>
      <c r="BG17" s="12">
        <f t="shared" si="25"/>
        <v>11.83</v>
      </c>
      <c r="BH17" s="12">
        <f t="shared" si="25"/>
        <v>10.1</v>
      </c>
      <c r="BI17" s="12">
        <f t="shared" si="25"/>
        <v>70.400000000000006</v>
      </c>
      <c r="BJ17" s="12">
        <f t="shared" si="25"/>
        <v>20.299999999999997</v>
      </c>
      <c r="BK17" s="12">
        <f t="shared" si="25"/>
        <v>61.363636363636353</v>
      </c>
      <c r="BL17" s="12">
        <f t="shared" si="26"/>
        <v>33.799999999999997</v>
      </c>
      <c r="BM17" s="12">
        <f t="shared" si="26"/>
        <v>7</v>
      </c>
      <c r="BN17" s="12">
        <f t="shared" si="26"/>
        <v>35.4</v>
      </c>
      <c r="BO17" s="12">
        <f t="shared" si="26"/>
        <v>19.7</v>
      </c>
      <c r="BP17" s="12">
        <f t="shared" si="26"/>
        <v>1.95</v>
      </c>
      <c r="BQ17" s="12">
        <f t="shared" si="26"/>
        <v>16.2</v>
      </c>
      <c r="BR17" s="12">
        <f t="shared" si="26"/>
        <v>16.440000000000001</v>
      </c>
      <c r="BS17" s="12">
        <f t="shared" si="26"/>
        <v>4.2</v>
      </c>
      <c r="BT17" s="12">
        <f t="shared" si="26"/>
        <v>41.7</v>
      </c>
      <c r="BU17" s="12">
        <f t="shared" si="26"/>
        <v>24.21</v>
      </c>
      <c r="BV17" s="12">
        <f t="shared" si="27"/>
        <v>0.51600000000000001</v>
      </c>
      <c r="BW17" s="12">
        <f t="shared" si="27"/>
        <v>6.61</v>
      </c>
      <c r="BX17" s="12">
        <f t="shared" si="27"/>
        <v>45</v>
      </c>
      <c r="BY17" s="12">
        <f t="shared" si="27"/>
        <v>13.9</v>
      </c>
      <c r="BZ17" s="12">
        <f t="shared" si="27"/>
        <v>70.8</v>
      </c>
      <c r="CA17" s="12">
        <f t="shared" si="27"/>
        <v>19.399999999999999</v>
      </c>
      <c r="CB17" s="12">
        <f t="shared" si="27"/>
        <v>13.7</v>
      </c>
      <c r="CC17" s="12">
        <f t="shared" si="27"/>
        <v>61.5</v>
      </c>
      <c r="CD17" s="12">
        <f t="shared" si="27"/>
        <v>8.26</v>
      </c>
      <c r="CE17" s="12">
        <f t="shared" si="27"/>
        <v>70.599999999999994</v>
      </c>
      <c r="CF17" s="12">
        <f t="shared" si="28"/>
        <v>0.6</v>
      </c>
      <c r="CG17" s="12">
        <f t="shared" si="28"/>
        <v>32.76</v>
      </c>
      <c r="CH17" s="12">
        <f t="shared" si="28"/>
        <v>7.9</v>
      </c>
      <c r="CI17" s="12">
        <f t="shared" si="28"/>
        <v>6.7</v>
      </c>
      <c r="CJ17" s="12">
        <f t="shared" si="28"/>
        <v>2.7</v>
      </c>
      <c r="CK17" s="12">
        <f t="shared" si="28"/>
        <v>11.2</v>
      </c>
      <c r="CL17" s="12">
        <f t="shared" si="28"/>
        <v>8.1</v>
      </c>
      <c r="CM17" s="12">
        <f t="shared" si="28"/>
        <v>64</v>
      </c>
      <c r="CN17" s="12">
        <f t="shared" si="28"/>
        <v>17.949999999999996</v>
      </c>
      <c r="CO17" s="12">
        <f t="shared" si="28"/>
        <v>55.444444444444436</v>
      </c>
    </row>
    <row r="18" spans="1:93" x14ac:dyDescent="0.3">
      <c r="A18" s="6" t="s">
        <v>56</v>
      </c>
      <c r="B18" s="3">
        <v>6</v>
      </c>
      <c r="C18" s="13" t="s">
        <v>39</v>
      </c>
      <c r="D18" s="14">
        <v>9</v>
      </c>
      <c r="E18" s="38">
        <f>G19</f>
        <v>21.428571428571427</v>
      </c>
      <c r="F18" s="39">
        <v>3</v>
      </c>
      <c r="G18" s="38">
        <f t="shared" si="0"/>
        <v>15</v>
      </c>
      <c r="H18" s="39">
        <v>20</v>
      </c>
      <c r="I18" s="40">
        <f t="shared" si="1"/>
        <v>1.875</v>
      </c>
      <c r="J18" s="39">
        <v>15</v>
      </c>
      <c r="K18" s="39">
        <v>2</v>
      </c>
      <c r="L18" s="39">
        <v>6</v>
      </c>
      <c r="M18" s="39">
        <f>Q19</f>
        <v>37.5</v>
      </c>
      <c r="N18" s="39">
        <v>31</v>
      </c>
      <c r="O18" s="41">
        <f t="shared" si="2"/>
        <v>0.15865384615384615</v>
      </c>
      <c r="P18" s="39">
        <v>4</v>
      </c>
      <c r="Q18" s="39">
        <v>46.4</v>
      </c>
      <c r="R18" s="39">
        <v>14</v>
      </c>
      <c r="S18" s="38">
        <f t="shared" si="3"/>
        <v>89.473684210526315</v>
      </c>
      <c r="T18" s="39">
        <v>19</v>
      </c>
      <c r="U18" s="39">
        <v>17</v>
      </c>
      <c r="V18" s="39">
        <f>X19</f>
        <v>63</v>
      </c>
      <c r="W18" s="39">
        <v>3</v>
      </c>
      <c r="X18" s="39">
        <v>72</v>
      </c>
      <c r="Y18" s="39">
        <f>Z18-Z19</f>
        <v>-1</v>
      </c>
      <c r="Z18" s="39">
        <f t="shared" si="4"/>
        <v>34</v>
      </c>
      <c r="AA18" s="39">
        <f t="shared" si="5"/>
        <v>9</v>
      </c>
      <c r="AB18" s="39">
        <v>3</v>
      </c>
      <c r="AC18" s="39">
        <f t="shared" si="6"/>
        <v>-2</v>
      </c>
      <c r="AD18" s="39">
        <f>AE19</f>
        <v>6</v>
      </c>
      <c r="AE18" s="39">
        <v>8</v>
      </c>
      <c r="AF18" s="46">
        <f t="shared" si="13"/>
        <v>70.059482758620703</v>
      </c>
      <c r="AG18" s="51">
        <f t="shared" ref="AG18" si="34">AVERAGE(AF18,AF19)</f>
        <v>69.092241379310352</v>
      </c>
      <c r="AH18" s="12">
        <f t="shared" si="23"/>
        <v>33.5</v>
      </c>
      <c r="AI18" s="12">
        <f t="shared" si="23"/>
        <v>8.8000000000000007</v>
      </c>
      <c r="AJ18" s="12">
        <f t="shared" si="23"/>
        <v>35.799999999999997</v>
      </c>
      <c r="AK18" s="12">
        <f t="shared" si="23"/>
        <v>24.5</v>
      </c>
      <c r="AL18" s="12">
        <f t="shared" si="23"/>
        <v>1.49</v>
      </c>
      <c r="AM18" s="12">
        <f t="shared" si="23"/>
        <v>16</v>
      </c>
      <c r="AN18" s="12">
        <f t="shared" si="23"/>
        <v>10.76</v>
      </c>
      <c r="AO18" s="12">
        <f t="shared" si="23"/>
        <v>4.0999999999999996</v>
      </c>
      <c r="AP18" s="12">
        <f t="shared" si="23"/>
        <v>42.2</v>
      </c>
      <c r="AQ18" s="12">
        <f t="shared" si="23"/>
        <v>28.86</v>
      </c>
      <c r="AR18" s="12">
        <f t="shared" si="24"/>
        <v>0.54700000000000004</v>
      </c>
      <c r="AS18" s="12">
        <f t="shared" si="24"/>
        <v>8.7100000000000009</v>
      </c>
      <c r="AT18" s="12">
        <f t="shared" si="24"/>
        <v>47.6</v>
      </c>
      <c r="AU18" s="12">
        <f t="shared" si="24"/>
        <v>13.5</v>
      </c>
      <c r="AV18" s="12">
        <f t="shared" si="24"/>
        <v>78</v>
      </c>
      <c r="AW18" s="12">
        <f t="shared" si="24"/>
        <v>16.899999999999999</v>
      </c>
      <c r="AX18" s="12">
        <f t="shared" si="24"/>
        <v>13.6</v>
      </c>
      <c r="AY18" s="12">
        <f t="shared" si="24"/>
        <v>69.900000000000006</v>
      </c>
      <c r="AZ18" s="12">
        <f t="shared" si="24"/>
        <v>8.24</v>
      </c>
      <c r="BA18" s="12">
        <f t="shared" si="24"/>
        <v>79</v>
      </c>
      <c r="BB18" s="12">
        <f t="shared" si="25"/>
        <v>4.5</v>
      </c>
      <c r="BC18" s="12">
        <f t="shared" si="25"/>
        <v>38.369999999999997</v>
      </c>
      <c r="BD18" s="12">
        <f t="shared" si="25"/>
        <v>9.3000000000000007</v>
      </c>
      <c r="BE18" s="12">
        <f t="shared" si="25"/>
        <v>5.4</v>
      </c>
      <c r="BF18" s="12">
        <f t="shared" si="25"/>
        <v>-3</v>
      </c>
      <c r="BG18" s="12">
        <f t="shared" si="25"/>
        <v>8.7100000000000009</v>
      </c>
      <c r="BH18" s="12">
        <f t="shared" si="25"/>
        <v>10.6</v>
      </c>
      <c r="BI18" s="12">
        <f t="shared" si="25"/>
        <v>70.8</v>
      </c>
      <c r="BJ18" s="12">
        <f t="shared" si="25"/>
        <v>19.5</v>
      </c>
      <c r="BK18" s="12">
        <f t="shared" si="25"/>
        <v>59.45378151260504</v>
      </c>
      <c r="BL18" s="12">
        <f t="shared" si="26"/>
        <v>31.8</v>
      </c>
      <c r="BM18" s="12">
        <f t="shared" si="26"/>
        <v>8.6</v>
      </c>
      <c r="BN18" s="12">
        <f t="shared" si="26"/>
        <v>35.1</v>
      </c>
      <c r="BO18" s="12">
        <f t="shared" si="26"/>
        <v>23.8</v>
      </c>
      <c r="BP18" s="12">
        <f t="shared" si="26"/>
        <v>1.5</v>
      </c>
      <c r="BQ18" s="12">
        <f t="shared" si="26"/>
        <v>13</v>
      </c>
      <c r="BR18" s="12">
        <f t="shared" si="26"/>
        <v>14.89</v>
      </c>
      <c r="BS18" s="12">
        <f t="shared" si="26"/>
        <v>4.2</v>
      </c>
      <c r="BT18" s="12">
        <f t="shared" si="26"/>
        <v>44</v>
      </c>
      <c r="BU18" s="12">
        <f t="shared" si="26"/>
        <v>25.56</v>
      </c>
      <c r="BV18" s="12">
        <f t="shared" si="27"/>
        <v>0.52</v>
      </c>
      <c r="BW18" s="12">
        <f t="shared" si="27"/>
        <v>15.2</v>
      </c>
      <c r="BX18" s="12">
        <f t="shared" si="27"/>
        <v>45.2</v>
      </c>
      <c r="BY18" s="12">
        <f t="shared" si="27"/>
        <v>17.2</v>
      </c>
      <c r="BZ18" s="12">
        <f t="shared" si="27"/>
        <v>72</v>
      </c>
      <c r="CA18" s="12">
        <f t="shared" si="27"/>
        <v>16.8</v>
      </c>
      <c r="CB18" s="12">
        <f t="shared" si="27"/>
        <v>11.6</v>
      </c>
      <c r="CC18" s="12">
        <f t="shared" si="27"/>
        <v>72.099999999999994</v>
      </c>
      <c r="CD18" s="12">
        <f t="shared" si="27"/>
        <v>11.68</v>
      </c>
      <c r="CE18" s="12">
        <f t="shared" si="27"/>
        <v>80.2</v>
      </c>
      <c r="CF18" s="12">
        <f t="shared" si="28"/>
        <v>2.9</v>
      </c>
      <c r="CG18" s="12">
        <f t="shared" si="28"/>
        <v>38.090000000000003</v>
      </c>
      <c r="CH18" s="12">
        <f t="shared" si="28"/>
        <v>7.3</v>
      </c>
      <c r="CI18" s="12">
        <f t="shared" si="28"/>
        <v>7.2</v>
      </c>
      <c r="CJ18" s="12">
        <f t="shared" si="28"/>
        <v>2.8</v>
      </c>
      <c r="CK18" s="12">
        <f t="shared" si="28"/>
        <v>11.85</v>
      </c>
      <c r="CL18" s="12">
        <f t="shared" si="28"/>
        <v>9.6</v>
      </c>
      <c r="CM18" s="12">
        <f t="shared" si="28"/>
        <v>71.5</v>
      </c>
      <c r="CN18" s="12">
        <f t="shared" si="28"/>
        <v>21.400000000000006</v>
      </c>
      <c r="CO18" s="12">
        <f t="shared" si="28"/>
        <v>66.371681415929217</v>
      </c>
    </row>
    <row r="19" spans="1:93" x14ac:dyDescent="0.3">
      <c r="A19" s="6" t="s">
        <v>39</v>
      </c>
      <c r="B19" s="3">
        <v>11</v>
      </c>
      <c r="C19" s="13" t="s">
        <v>56</v>
      </c>
      <c r="D19" s="14">
        <v>9</v>
      </c>
      <c r="E19" s="38">
        <f>G18</f>
        <v>15</v>
      </c>
      <c r="F19" s="39">
        <v>3</v>
      </c>
      <c r="G19" s="38">
        <f t="shared" si="0"/>
        <v>21.428571428571427</v>
      </c>
      <c r="H19" s="39">
        <v>14</v>
      </c>
      <c r="I19" s="40">
        <f t="shared" si="1"/>
        <v>0.5</v>
      </c>
      <c r="J19" s="39">
        <v>3</v>
      </c>
      <c r="K19" s="39">
        <v>4</v>
      </c>
      <c r="L19" s="39">
        <v>1</v>
      </c>
      <c r="M19" s="39">
        <f>Q18</f>
        <v>46.4</v>
      </c>
      <c r="N19" s="39">
        <v>26</v>
      </c>
      <c r="O19" s="41">
        <f t="shared" si="2"/>
        <v>0.22767857142857142</v>
      </c>
      <c r="P19" s="39">
        <v>4</v>
      </c>
      <c r="Q19" s="39">
        <v>37.5</v>
      </c>
      <c r="R19" s="39">
        <v>18</v>
      </c>
      <c r="S19" s="38">
        <f t="shared" si="3"/>
        <v>80</v>
      </c>
      <c r="T19" s="39">
        <v>15</v>
      </c>
      <c r="U19" s="39">
        <v>12</v>
      </c>
      <c r="V19" s="39">
        <f>X18</f>
        <v>72</v>
      </c>
      <c r="W19" s="39">
        <v>9</v>
      </c>
      <c r="X19" s="39">
        <v>63</v>
      </c>
      <c r="Y19" s="39">
        <f>Z19-Z18</f>
        <v>1</v>
      </c>
      <c r="Z19" s="39">
        <f t="shared" si="4"/>
        <v>35</v>
      </c>
      <c r="AA19" s="39">
        <f t="shared" si="5"/>
        <v>-9</v>
      </c>
      <c r="AB19" s="39">
        <v>4</v>
      </c>
      <c r="AC19" s="39">
        <f t="shared" si="6"/>
        <v>2</v>
      </c>
      <c r="AD19" s="39">
        <f>AE18</f>
        <v>8</v>
      </c>
      <c r="AE19" s="39">
        <v>6</v>
      </c>
      <c r="AF19" s="46">
        <f t="shared" si="13"/>
        <v>68.125</v>
      </c>
      <c r="AG19" s="51">
        <f t="shared" ref="AG19" si="35">AVERAGE(AF18,AF19)</f>
        <v>69.092241379310352</v>
      </c>
      <c r="AH19" s="12">
        <f t="shared" si="23"/>
        <v>31.8</v>
      </c>
      <c r="AI19" s="12">
        <f t="shared" si="23"/>
        <v>8.6</v>
      </c>
      <c r="AJ19" s="12">
        <f t="shared" si="23"/>
        <v>35.1</v>
      </c>
      <c r="AK19" s="12">
        <f t="shared" si="23"/>
        <v>23.8</v>
      </c>
      <c r="AL19" s="12">
        <f t="shared" si="23"/>
        <v>1.5</v>
      </c>
      <c r="AM19" s="12">
        <f t="shared" si="23"/>
        <v>13</v>
      </c>
      <c r="AN19" s="12">
        <f t="shared" si="23"/>
        <v>14.89</v>
      </c>
      <c r="AO19" s="12">
        <f t="shared" si="23"/>
        <v>4.2</v>
      </c>
      <c r="AP19" s="12">
        <f t="shared" si="23"/>
        <v>44</v>
      </c>
      <c r="AQ19" s="12">
        <f t="shared" si="23"/>
        <v>25.56</v>
      </c>
      <c r="AR19" s="12">
        <f t="shared" si="24"/>
        <v>0.52</v>
      </c>
      <c r="AS19" s="12">
        <f t="shared" si="24"/>
        <v>15.2</v>
      </c>
      <c r="AT19" s="12">
        <f t="shared" si="24"/>
        <v>45.2</v>
      </c>
      <c r="AU19" s="12">
        <f t="shared" si="24"/>
        <v>17.2</v>
      </c>
      <c r="AV19" s="12">
        <f t="shared" si="24"/>
        <v>72</v>
      </c>
      <c r="AW19" s="12">
        <f t="shared" si="24"/>
        <v>16.8</v>
      </c>
      <c r="AX19" s="12">
        <f t="shared" si="24"/>
        <v>11.6</v>
      </c>
      <c r="AY19" s="12">
        <f t="shared" si="24"/>
        <v>72.099999999999994</v>
      </c>
      <c r="AZ19" s="12">
        <f t="shared" si="24"/>
        <v>11.68</v>
      </c>
      <c r="BA19" s="12">
        <f t="shared" si="24"/>
        <v>80.2</v>
      </c>
      <c r="BB19" s="12">
        <f t="shared" si="25"/>
        <v>2.9</v>
      </c>
      <c r="BC19" s="12">
        <f t="shared" si="25"/>
        <v>38.090000000000003</v>
      </c>
      <c r="BD19" s="12">
        <f t="shared" si="25"/>
        <v>7.3</v>
      </c>
      <c r="BE19" s="12">
        <f t="shared" si="25"/>
        <v>7.2</v>
      </c>
      <c r="BF19" s="12">
        <f t="shared" si="25"/>
        <v>2.8</v>
      </c>
      <c r="BG19" s="12">
        <f t="shared" si="25"/>
        <v>11.85</v>
      </c>
      <c r="BH19" s="12">
        <f t="shared" si="25"/>
        <v>9.6</v>
      </c>
      <c r="BI19" s="12">
        <f t="shared" si="25"/>
        <v>71.5</v>
      </c>
      <c r="BJ19" s="12">
        <f t="shared" si="25"/>
        <v>21.400000000000006</v>
      </c>
      <c r="BK19" s="12">
        <f t="shared" si="25"/>
        <v>66.371681415929217</v>
      </c>
      <c r="BL19" s="12">
        <f t="shared" si="26"/>
        <v>33.5</v>
      </c>
      <c r="BM19" s="12">
        <f t="shared" si="26"/>
        <v>8.8000000000000007</v>
      </c>
      <c r="BN19" s="12">
        <f t="shared" si="26"/>
        <v>35.799999999999997</v>
      </c>
      <c r="BO19" s="12">
        <f t="shared" si="26"/>
        <v>24.5</v>
      </c>
      <c r="BP19" s="12">
        <f t="shared" si="26"/>
        <v>1.49</v>
      </c>
      <c r="BQ19" s="12">
        <f t="shared" si="26"/>
        <v>16</v>
      </c>
      <c r="BR19" s="12">
        <f t="shared" si="26"/>
        <v>10.76</v>
      </c>
      <c r="BS19" s="12">
        <f t="shared" si="26"/>
        <v>4.0999999999999996</v>
      </c>
      <c r="BT19" s="12">
        <f t="shared" si="26"/>
        <v>42.2</v>
      </c>
      <c r="BU19" s="12">
        <f t="shared" si="26"/>
        <v>28.86</v>
      </c>
      <c r="BV19" s="12">
        <f t="shared" si="27"/>
        <v>0.54700000000000004</v>
      </c>
      <c r="BW19" s="12">
        <f t="shared" si="27"/>
        <v>8.7100000000000009</v>
      </c>
      <c r="BX19" s="12">
        <f t="shared" si="27"/>
        <v>47.6</v>
      </c>
      <c r="BY19" s="12">
        <f t="shared" si="27"/>
        <v>13.5</v>
      </c>
      <c r="BZ19" s="12">
        <f t="shared" si="27"/>
        <v>78</v>
      </c>
      <c r="CA19" s="12">
        <f t="shared" si="27"/>
        <v>16.899999999999999</v>
      </c>
      <c r="CB19" s="12">
        <f t="shared" si="27"/>
        <v>13.6</v>
      </c>
      <c r="CC19" s="12">
        <f t="shared" si="27"/>
        <v>69.900000000000006</v>
      </c>
      <c r="CD19" s="12">
        <f t="shared" si="27"/>
        <v>8.24</v>
      </c>
      <c r="CE19" s="12">
        <f t="shared" si="27"/>
        <v>79</v>
      </c>
      <c r="CF19" s="12">
        <f t="shared" si="28"/>
        <v>4.5</v>
      </c>
      <c r="CG19" s="12">
        <f t="shared" si="28"/>
        <v>38.369999999999997</v>
      </c>
      <c r="CH19" s="12">
        <f t="shared" si="28"/>
        <v>9.3000000000000007</v>
      </c>
      <c r="CI19" s="12">
        <f t="shared" si="28"/>
        <v>5.4</v>
      </c>
      <c r="CJ19" s="12">
        <f t="shared" si="28"/>
        <v>-3</v>
      </c>
      <c r="CK19" s="12">
        <f t="shared" si="28"/>
        <v>8.7100000000000009</v>
      </c>
      <c r="CL19" s="12">
        <f t="shared" si="28"/>
        <v>10.6</v>
      </c>
      <c r="CM19" s="12">
        <f t="shared" si="28"/>
        <v>70.8</v>
      </c>
      <c r="CN19" s="12">
        <f t="shared" si="28"/>
        <v>19.5</v>
      </c>
      <c r="CO19" s="12">
        <f t="shared" si="28"/>
        <v>59.45378151260504</v>
      </c>
    </row>
    <row r="20" spans="1:93" x14ac:dyDescent="0.3">
      <c r="A20" s="6" t="s">
        <v>20</v>
      </c>
      <c r="B20" s="3">
        <v>3</v>
      </c>
      <c r="C20" s="13" t="s">
        <v>410</v>
      </c>
      <c r="D20" s="14">
        <v>10</v>
      </c>
      <c r="E20" s="38">
        <f>G21</f>
        <v>25</v>
      </c>
      <c r="F20" s="39">
        <v>8</v>
      </c>
      <c r="G20" s="38">
        <f t="shared" si="0"/>
        <v>36.363636363636367</v>
      </c>
      <c r="H20" s="39">
        <v>22</v>
      </c>
      <c r="I20" s="40">
        <f t="shared" si="1"/>
        <v>1.5555555555555556</v>
      </c>
      <c r="J20" s="39">
        <v>14</v>
      </c>
      <c r="K20" s="39">
        <v>23</v>
      </c>
      <c r="L20" s="39">
        <v>1</v>
      </c>
      <c r="M20" s="39">
        <f>Q21</f>
        <v>46.9</v>
      </c>
      <c r="N20" s="39">
        <v>22</v>
      </c>
      <c r="O20" s="41">
        <f t="shared" si="2"/>
        <v>0.41558441558441561</v>
      </c>
      <c r="P20" s="39">
        <v>2</v>
      </c>
      <c r="Q20" s="39">
        <v>54.9</v>
      </c>
      <c r="R20" s="39">
        <v>13</v>
      </c>
      <c r="S20" s="38">
        <f t="shared" si="3"/>
        <v>62.5</v>
      </c>
      <c r="T20" s="39">
        <v>16</v>
      </c>
      <c r="U20" s="39">
        <v>10</v>
      </c>
      <c r="V20" s="39">
        <f>X21</f>
        <v>56</v>
      </c>
      <c r="W20" s="39">
        <v>7</v>
      </c>
      <c r="X20" s="39">
        <v>74</v>
      </c>
      <c r="Y20" s="39">
        <f>Z20-Z21</f>
        <v>6</v>
      </c>
      <c r="Z20" s="39">
        <f t="shared" si="4"/>
        <v>29</v>
      </c>
      <c r="AA20" s="39">
        <f t="shared" si="5"/>
        <v>18</v>
      </c>
      <c r="AB20" s="39">
        <v>5</v>
      </c>
      <c r="AC20" s="39">
        <f t="shared" si="6"/>
        <v>5</v>
      </c>
      <c r="AD20" s="39">
        <f>AE21</f>
        <v>14</v>
      </c>
      <c r="AE20" s="39">
        <v>9</v>
      </c>
      <c r="AF20" s="46">
        <f t="shared" si="13"/>
        <v>60.601821493624776</v>
      </c>
      <c r="AG20" s="51">
        <f t="shared" ref="AG20" si="36">AVERAGE(AF20,AF21)</f>
        <v>61.958666610351834</v>
      </c>
      <c r="AH20" s="12">
        <f t="shared" si="23"/>
        <v>32.200000000000003</v>
      </c>
      <c r="AI20" s="12">
        <f t="shared" si="23"/>
        <v>9.9</v>
      </c>
      <c r="AJ20" s="12">
        <f t="shared" si="23"/>
        <v>36.6</v>
      </c>
      <c r="AK20" s="12">
        <f t="shared" si="23"/>
        <v>25.4</v>
      </c>
      <c r="AL20" s="12">
        <f t="shared" si="23"/>
        <v>1.3</v>
      </c>
      <c r="AM20" s="12">
        <f t="shared" si="23"/>
        <v>14.7</v>
      </c>
      <c r="AN20" s="12">
        <f t="shared" si="23"/>
        <v>17.3</v>
      </c>
      <c r="AO20" s="12">
        <f t="shared" si="23"/>
        <v>2.4</v>
      </c>
      <c r="AP20" s="12">
        <f t="shared" si="23"/>
        <v>45.1</v>
      </c>
      <c r="AQ20" s="12">
        <f t="shared" si="23"/>
        <v>23.27</v>
      </c>
      <c r="AR20" s="12">
        <f t="shared" si="24"/>
        <v>0.54400000000000004</v>
      </c>
      <c r="AS20" s="12">
        <f t="shared" si="24"/>
        <v>9.74</v>
      </c>
      <c r="AT20" s="12">
        <f t="shared" si="24"/>
        <v>45.1</v>
      </c>
      <c r="AU20" s="12">
        <f t="shared" si="24"/>
        <v>17.100000000000001</v>
      </c>
      <c r="AV20" s="12">
        <f t="shared" si="24"/>
        <v>74.3</v>
      </c>
      <c r="AW20" s="12">
        <f t="shared" si="24"/>
        <v>22.6</v>
      </c>
      <c r="AX20" s="12">
        <f t="shared" si="24"/>
        <v>17.3</v>
      </c>
      <c r="AY20" s="12">
        <f t="shared" si="24"/>
        <v>71.8</v>
      </c>
      <c r="AZ20" s="12">
        <f t="shared" si="24"/>
        <v>11.77</v>
      </c>
      <c r="BA20" s="12">
        <f t="shared" si="24"/>
        <v>79.099999999999994</v>
      </c>
      <c r="BB20" s="12">
        <f t="shared" si="25"/>
        <v>3.1</v>
      </c>
      <c r="BC20" s="12">
        <f t="shared" si="25"/>
        <v>34.71</v>
      </c>
      <c r="BD20" s="12">
        <f t="shared" si="25"/>
        <v>7.2</v>
      </c>
      <c r="BE20" s="12">
        <f t="shared" si="25"/>
        <v>6.3</v>
      </c>
      <c r="BF20" s="12">
        <f t="shared" si="25"/>
        <v>0.7</v>
      </c>
      <c r="BG20" s="12">
        <f t="shared" si="25"/>
        <v>11.91</v>
      </c>
      <c r="BH20" s="12">
        <f t="shared" si="25"/>
        <v>11.3</v>
      </c>
      <c r="BI20" s="12">
        <f t="shared" si="25"/>
        <v>69.7</v>
      </c>
      <c r="BJ20" s="12">
        <f t="shared" si="25"/>
        <v>16.049999999999997</v>
      </c>
      <c r="BK20" s="12">
        <f t="shared" si="25"/>
        <v>57.538802660753866</v>
      </c>
      <c r="BL20" s="12">
        <f t="shared" si="26"/>
        <v>33.9</v>
      </c>
      <c r="BM20" s="12">
        <f t="shared" si="26"/>
        <v>5.7</v>
      </c>
      <c r="BN20" s="12">
        <f t="shared" si="26"/>
        <v>35.200000000000003</v>
      </c>
      <c r="BO20" s="12">
        <f t="shared" si="26"/>
        <v>16.899999999999999</v>
      </c>
      <c r="BP20" s="12">
        <f t="shared" si="26"/>
        <v>1.38</v>
      </c>
      <c r="BQ20" s="12">
        <f t="shared" si="26"/>
        <v>14.6</v>
      </c>
      <c r="BR20" s="12">
        <f t="shared" si="26"/>
        <v>15.14</v>
      </c>
      <c r="BS20" s="12">
        <f t="shared" si="26"/>
        <v>2.4</v>
      </c>
      <c r="BT20" s="12">
        <f t="shared" si="26"/>
        <v>43.8</v>
      </c>
      <c r="BU20" s="12">
        <f t="shared" si="26"/>
        <v>23.94</v>
      </c>
      <c r="BV20" s="12">
        <f t="shared" si="27"/>
        <v>0.54900000000000004</v>
      </c>
      <c r="BW20" s="12">
        <f t="shared" si="27"/>
        <v>9.0299999999999994</v>
      </c>
      <c r="BX20" s="12">
        <f t="shared" si="27"/>
        <v>49.5</v>
      </c>
      <c r="BY20" s="12">
        <f t="shared" si="27"/>
        <v>15.9</v>
      </c>
      <c r="BZ20" s="12">
        <f t="shared" si="27"/>
        <v>72.2</v>
      </c>
      <c r="CA20" s="12">
        <f t="shared" si="27"/>
        <v>18.899999999999999</v>
      </c>
      <c r="CB20" s="12">
        <f t="shared" si="27"/>
        <v>14.1</v>
      </c>
      <c r="CC20" s="12">
        <f t="shared" si="27"/>
        <v>67.3</v>
      </c>
      <c r="CD20" s="12">
        <f t="shared" si="27"/>
        <v>8.0299999999999994</v>
      </c>
      <c r="CE20" s="12">
        <f t="shared" si="27"/>
        <v>74</v>
      </c>
      <c r="CF20" s="12">
        <f t="shared" si="28"/>
        <v>2.5</v>
      </c>
      <c r="CG20" s="12">
        <f t="shared" si="28"/>
        <v>32.17</v>
      </c>
      <c r="CH20" s="12">
        <f t="shared" si="28"/>
        <v>5.7</v>
      </c>
      <c r="CI20" s="12">
        <f t="shared" si="28"/>
        <v>6.2</v>
      </c>
      <c r="CJ20" s="12">
        <f t="shared" si="28"/>
        <v>0.3</v>
      </c>
      <c r="CK20" s="12">
        <f t="shared" si="28"/>
        <v>11.21</v>
      </c>
      <c r="CL20" s="12">
        <f t="shared" si="28"/>
        <v>10.4</v>
      </c>
      <c r="CM20" s="12">
        <f t="shared" si="28"/>
        <v>67</v>
      </c>
      <c r="CN20" s="12">
        <f t="shared" si="28"/>
        <v>21.4</v>
      </c>
      <c r="CO20" s="12">
        <f t="shared" si="28"/>
        <v>54.747474747474747</v>
      </c>
    </row>
    <row r="21" spans="1:93" x14ac:dyDescent="0.3">
      <c r="A21" s="6" t="s">
        <v>410</v>
      </c>
      <c r="B21" s="3">
        <v>14</v>
      </c>
      <c r="C21" s="13" t="s">
        <v>20</v>
      </c>
      <c r="D21" s="14">
        <v>10</v>
      </c>
      <c r="E21" s="38">
        <f>G20</f>
        <v>36.363636363636367</v>
      </c>
      <c r="F21" s="39">
        <v>4</v>
      </c>
      <c r="G21" s="38">
        <f t="shared" si="0"/>
        <v>25</v>
      </c>
      <c r="H21" s="39">
        <v>16</v>
      </c>
      <c r="I21" s="40">
        <f t="shared" si="1"/>
        <v>0.8571428571428571</v>
      </c>
      <c r="J21" s="39">
        <v>12</v>
      </c>
      <c r="K21" s="39">
        <v>14</v>
      </c>
      <c r="L21" s="39">
        <v>1</v>
      </c>
      <c r="M21" s="39">
        <f>Q20</f>
        <v>54.9</v>
      </c>
      <c r="N21" s="39">
        <v>19</v>
      </c>
      <c r="O21" s="41">
        <f t="shared" si="2"/>
        <v>0.27173913043478259</v>
      </c>
      <c r="P21" s="39">
        <v>3</v>
      </c>
      <c r="Q21" s="39">
        <v>46.9</v>
      </c>
      <c r="R21" s="39">
        <v>15</v>
      </c>
      <c r="S21" s="38">
        <f t="shared" si="3"/>
        <v>66.666666666666657</v>
      </c>
      <c r="T21" s="39">
        <v>9</v>
      </c>
      <c r="U21" s="39">
        <v>6</v>
      </c>
      <c r="V21" s="39">
        <f>X20</f>
        <v>74</v>
      </c>
      <c r="W21" s="39">
        <v>4</v>
      </c>
      <c r="X21" s="39">
        <v>56</v>
      </c>
      <c r="Y21" s="39">
        <f>Z21-Z20</f>
        <v>-6</v>
      </c>
      <c r="Z21" s="39">
        <f t="shared" si="4"/>
        <v>23</v>
      </c>
      <c r="AA21" s="39">
        <f t="shared" si="5"/>
        <v>-18</v>
      </c>
      <c r="AB21" s="39">
        <v>3</v>
      </c>
      <c r="AC21" s="39">
        <f t="shared" si="6"/>
        <v>-5</v>
      </c>
      <c r="AD21" s="39">
        <f>AE20</f>
        <v>9</v>
      </c>
      <c r="AE21" s="39">
        <v>14</v>
      </c>
      <c r="AF21" s="46">
        <f t="shared" si="13"/>
        <v>63.315511727078892</v>
      </c>
      <c r="AG21" s="51">
        <f t="shared" ref="AG21" si="37">AVERAGE(AF20,AF21)</f>
        <v>61.958666610351834</v>
      </c>
      <c r="AH21" s="12">
        <f t="shared" si="23"/>
        <v>33.9</v>
      </c>
      <c r="AI21" s="12">
        <f t="shared" si="23"/>
        <v>5.7</v>
      </c>
      <c r="AJ21" s="12">
        <f t="shared" si="23"/>
        <v>35.200000000000003</v>
      </c>
      <c r="AK21" s="12">
        <f t="shared" si="23"/>
        <v>16.899999999999999</v>
      </c>
      <c r="AL21" s="12">
        <f t="shared" si="23"/>
        <v>1.38</v>
      </c>
      <c r="AM21" s="12">
        <f t="shared" si="23"/>
        <v>14.6</v>
      </c>
      <c r="AN21" s="12">
        <f t="shared" si="23"/>
        <v>15.14</v>
      </c>
      <c r="AO21" s="12">
        <f t="shared" si="23"/>
        <v>2.4</v>
      </c>
      <c r="AP21" s="12">
        <f t="shared" si="23"/>
        <v>43.8</v>
      </c>
      <c r="AQ21" s="12">
        <f t="shared" si="23"/>
        <v>23.94</v>
      </c>
      <c r="AR21" s="12">
        <f t="shared" si="24"/>
        <v>0.54900000000000004</v>
      </c>
      <c r="AS21" s="12">
        <f t="shared" si="24"/>
        <v>9.0299999999999994</v>
      </c>
      <c r="AT21" s="12">
        <f t="shared" si="24"/>
        <v>49.5</v>
      </c>
      <c r="AU21" s="12">
        <f t="shared" si="24"/>
        <v>15.9</v>
      </c>
      <c r="AV21" s="12">
        <f t="shared" si="24"/>
        <v>72.2</v>
      </c>
      <c r="AW21" s="12">
        <f t="shared" si="24"/>
        <v>18.899999999999999</v>
      </c>
      <c r="AX21" s="12">
        <f t="shared" si="24"/>
        <v>14.1</v>
      </c>
      <c r="AY21" s="12">
        <f t="shared" si="24"/>
        <v>67.3</v>
      </c>
      <c r="AZ21" s="12">
        <f t="shared" si="24"/>
        <v>8.0299999999999994</v>
      </c>
      <c r="BA21" s="12">
        <f t="shared" si="24"/>
        <v>74</v>
      </c>
      <c r="BB21" s="12">
        <f t="shared" si="25"/>
        <v>2.5</v>
      </c>
      <c r="BC21" s="12">
        <f t="shared" si="25"/>
        <v>32.17</v>
      </c>
      <c r="BD21" s="12">
        <f t="shared" si="25"/>
        <v>5.7</v>
      </c>
      <c r="BE21" s="12">
        <f t="shared" si="25"/>
        <v>6.2</v>
      </c>
      <c r="BF21" s="12">
        <f t="shared" si="25"/>
        <v>0.3</v>
      </c>
      <c r="BG21" s="12">
        <f t="shared" si="25"/>
        <v>11.21</v>
      </c>
      <c r="BH21" s="12">
        <f t="shared" si="25"/>
        <v>10.4</v>
      </c>
      <c r="BI21" s="12">
        <f t="shared" si="25"/>
        <v>67</v>
      </c>
      <c r="BJ21" s="12">
        <f t="shared" si="25"/>
        <v>21.4</v>
      </c>
      <c r="BK21" s="12">
        <f t="shared" si="25"/>
        <v>54.747474747474747</v>
      </c>
      <c r="BL21" s="12">
        <f t="shared" si="26"/>
        <v>32.200000000000003</v>
      </c>
      <c r="BM21" s="12">
        <f t="shared" si="26"/>
        <v>9.9</v>
      </c>
      <c r="BN21" s="12">
        <f t="shared" si="26"/>
        <v>36.6</v>
      </c>
      <c r="BO21" s="12">
        <f t="shared" si="26"/>
        <v>25.4</v>
      </c>
      <c r="BP21" s="12">
        <f t="shared" si="26"/>
        <v>1.3</v>
      </c>
      <c r="BQ21" s="12">
        <f t="shared" si="26"/>
        <v>14.7</v>
      </c>
      <c r="BR21" s="12">
        <f t="shared" si="26"/>
        <v>17.3</v>
      </c>
      <c r="BS21" s="12">
        <f t="shared" si="26"/>
        <v>2.4</v>
      </c>
      <c r="BT21" s="12">
        <f t="shared" si="26"/>
        <v>45.1</v>
      </c>
      <c r="BU21" s="12">
        <f t="shared" si="26"/>
        <v>23.27</v>
      </c>
      <c r="BV21" s="12">
        <f t="shared" si="27"/>
        <v>0.54400000000000004</v>
      </c>
      <c r="BW21" s="12">
        <f t="shared" si="27"/>
        <v>9.74</v>
      </c>
      <c r="BX21" s="12">
        <f t="shared" si="27"/>
        <v>45.1</v>
      </c>
      <c r="BY21" s="12">
        <f t="shared" si="27"/>
        <v>17.100000000000001</v>
      </c>
      <c r="BZ21" s="12">
        <f t="shared" si="27"/>
        <v>74.3</v>
      </c>
      <c r="CA21" s="12">
        <f t="shared" si="27"/>
        <v>22.6</v>
      </c>
      <c r="CB21" s="12">
        <f t="shared" si="27"/>
        <v>17.3</v>
      </c>
      <c r="CC21" s="12">
        <f t="shared" si="27"/>
        <v>71.8</v>
      </c>
      <c r="CD21" s="12">
        <f t="shared" si="27"/>
        <v>11.77</v>
      </c>
      <c r="CE21" s="12">
        <f t="shared" si="27"/>
        <v>79.099999999999994</v>
      </c>
      <c r="CF21" s="12">
        <f t="shared" si="28"/>
        <v>3.1</v>
      </c>
      <c r="CG21" s="12">
        <f t="shared" si="28"/>
        <v>34.71</v>
      </c>
      <c r="CH21" s="12">
        <f t="shared" si="28"/>
        <v>7.2</v>
      </c>
      <c r="CI21" s="12">
        <f t="shared" si="28"/>
        <v>6.3</v>
      </c>
      <c r="CJ21" s="12">
        <f t="shared" si="28"/>
        <v>0.7</v>
      </c>
      <c r="CK21" s="12">
        <f t="shared" si="28"/>
        <v>11.91</v>
      </c>
      <c r="CL21" s="12">
        <f t="shared" si="28"/>
        <v>11.3</v>
      </c>
      <c r="CM21" s="12">
        <f t="shared" si="28"/>
        <v>69.7</v>
      </c>
      <c r="CN21" s="12">
        <f t="shared" si="28"/>
        <v>16.049999999999997</v>
      </c>
      <c r="CO21" s="12">
        <f t="shared" si="28"/>
        <v>57.538802660753866</v>
      </c>
    </row>
    <row r="22" spans="1:93" x14ac:dyDescent="0.3">
      <c r="A22" s="6" t="s">
        <v>388</v>
      </c>
      <c r="B22" s="3">
        <v>7</v>
      </c>
      <c r="C22" s="13" t="s">
        <v>61</v>
      </c>
      <c r="D22" s="14">
        <v>11</v>
      </c>
      <c r="E22" s="38">
        <f>G23</f>
        <v>16.666666666666664</v>
      </c>
      <c r="F22" s="39">
        <v>10</v>
      </c>
      <c r="G22" s="38">
        <f t="shared" si="0"/>
        <v>40</v>
      </c>
      <c r="H22" s="39">
        <v>25</v>
      </c>
      <c r="I22" s="40">
        <f t="shared" si="1"/>
        <v>1.6</v>
      </c>
      <c r="J22" s="39">
        <v>16</v>
      </c>
      <c r="K22" s="39">
        <v>8</v>
      </c>
      <c r="L22" s="39">
        <v>2</v>
      </c>
      <c r="M22" s="39">
        <f>Q23</f>
        <v>47.5</v>
      </c>
      <c r="N22" s="39">
        <v>24</v>
      </c>
      <c r="O22" s="41">
        <f t="shared" si="2"/>
        <v>0.47407407407407409</v>
      </c>
      <c r="P22" s="39">
        <v>15</v>
      </c>
      <c r="Q22" s="39">
        <v>50.9</v>
      </c>
      <c r="R22" s="39">
        <v>15</v>
      </c>
      <c r="S22" s="38">
        <f t="shared" si="3"/>
        <v>66.666666666666657</v>
      </c>
      <c r="T22" s="39">
        <v>18</v>
      </c>
      <c r="U22" s="39">
        <v>12</v>
      </c>
      <c r="V22" s="39">
        <f>X23</f>
        <v>65</v>
      </c>
      <c r="W22" s="39">
        <v>3</v>
      </c>
      <c r="X22" s="39">
        <v>76</v>
      </c>
      <c r="Y22" s="39">
        <f>Z22-Z23</f>
        <v>-6</v>
      </c>
      <c r="Z22" s="39">
        <f t="shared" si="4"/>
        <v>27</v>
      </c>
      <c r="AA22" s="39">
        <f t="shared" si="5"/>
        <v>11</v>
      </c>
      <c r="AB22" s="39">
        <v>9</v>
      </c>
      <c r="AC22" s="39">
        <f t="shared" si="6"/>
        <v>5</v>
      </c>
      <c r="AD22" s="39">
        <f>AE23</f>
        <v>15</v>
      </c>
      <c r="AE22" s="39">
        <v>10</v>
      </c>
      <c r="AF22" s="46">
        <f t="shared" si="13"/>
        <v>68.59518664047151</v>
      </c>
      <c r="AG22" s="51">
        <f t="shared" ref="AG22" si="38">AVERAGE(AF22,AF23)</f>
        <v>68.671277530762069</v>
      </c>
      <c r="AH22" s="12">
        <f t="shared" ref="AH22:AQ31" si="39">INDEX(ovrTable2,MATCH(INDEX(teamCol2,ROW()),ovrTeamCol2,0),MATCH(MID(INDEX(headerRow2,1,COLUMN()),4,LEN(INDEX(headerRow2,1,COLUMN()))),ovrHeaderRow2,0))</f>
        <v>34.4</v>
      </c>
      <c r="AI22" s="12">
        <f t="shared" si="39"/>
        <v>9.4</v>
      </c>
      <c r="AJ22" s="12">
        <f t="shared" si="39"/>
        <v>35.9</v>
      </c>
      <c r="AK22" s="12">
        <f t="shared" si="39"/>
        <v>25.4</v>
      </c>
      <c r="AL22" s="12">
        <f t="shared" si="39"/>
        <v>1.59</v>
      </c>
      <c r="AM22" s="12">
        <f t="shared" si="39"/>
        <v>16.2</v>
      </c>
      <c r="AN22" s="12">
        <f t="shared" si="39"/>
        <v>28.79</v>
      </c>
      <c r="AO22" s="12">
        <f t="shared" si="39"/>
        <v>2.8</v>
      </c>
      <c r="AP22" s="12">
        <f t="shared" si="39"/>
        <v>44.3</v>
      </c>
      <c r="AQ22" s="12">
        <f t="shared" si="39"/>
        <v>22.73</v>
      </c>
      <c r="AR22" s="12">
        <f t="shared" ref="AR22:BA31" si="40">INDEX(ovrTable2,MATCH(INDEX(teamCol2,ROW()),ovrTeamCol2,0),MATCH(MID(INDEX(headerRow2,1,COLUMN()),4,LEN(INDEX(headerRow2,1,COLUMN()))),ovrHeaderRow2,0))</f>
        <v>0.55400000000000005</v>
      </c>
      <c r="AS22" s="12">
        <f t="shared" si="40"/>
        <v>14.28</v>
      </c>
      <c r="AT22" s="12">
        <f t="shared" si="40"/>
        <v>47.7</v>
      </c>
      <c r="AU22" s="12">
        <f t="shared" si="40"/>
        <v>17.600000000000001</v>
      </c>
      <c r="AV22" s="12">
        <f t="shared" si="40"/>
        <v>75.2</v>
      </c>
      <c r="AW22" s="12">
        <f t="shared" si="40"/>
        <v>18.100000000000001</v>
      </c>
      <c r="AX22" s="12">
        <f t="shared" si="40"/>
        <v>13.9</v>
      </c>
      <c r="AY22" s="12">
        <f t="shared" si="40"/>
        <v>79.2</v>
      </c>
      <c r="AZ22" s="12">
        <f t="shared" si="40"/>
        <v>8.8800000000000008</v>
      </c>
      <c r="BA22" s="12">
        <f t="shared" si="40"/>
        <v>81.400000000000006</v>
      </c>
      <c r="BB22" s="12">
        <f t="shared" ref="BB22:BK31" si="41">INDEX(ovrTable2,MATCH(INDEX(teamCol2,ROW()),ovrTeamCol2,0),MATCH(MID(INDEX(headerRow2,1,COLUMN()),4,LEN(INDEX(headerRow2,1,COLUMN()))),ovrHeaderRow2,0))</f>
        <v>-4.7</v>
      </c>
      <c r="BC22" s="12">
        <f t="shared" si="41"/>
        <v>30.51</v>
      </c>
      <c r="BD22" s="12">
        <f t="shared" si="41"/>
        <v>3.3</v>
      </c>
      <c r="BE22" s="12">
        <f t="shared" si="41"/>
        <v>10.3</v>
      </c>
      <c r="BF22" s="12">
        <f t="shared" si="41"/>
        <v>6.9</v>
      </c>
      <c r="BG22" s="12">
        <f t="shared" si="41"/>
        <v>17.190000000000001</v>
      </c>
      <c r="BH22" s="12">
        <f t="shared" si="41"/>
        <v>10.199999999999999</v>
      </c>
      <c r="BI22" s="12">
        <f t="shared" si="41"/>
        <v>71.8</v>
      </c>
      <c r="BJ22" s="12">
        <f t="shared" si="41"/>
        <v>19.649999999999999</v>
      </c>
      <c r="BK22" s="12">
        <f t="shared" si="41"/>
        <v>60.901467505241079</v>
      </c>
      <c r="BL22" s="12">
        <f t="shared" ref="BL22:BU31" si="42">INDEX(ovrTable2,MATCH(INDEX(oppCol23,ROW()),ovrTeamCol2,0),MATCH(MID(INDEX(headerRow2,1,COLUMN()),4,LEN(INDEX(headerRow2,1,COLUMN()))),ovrHeaderRow2,0))</f>
        <v>34.299999999999997</v>
      </c>
      <c r="BM22" s="12">
        <f t="shared" si="42"/>
        <v>9.4</v>
      </c>
      <c r="BN22" s="12">
        <f t="shared" si="42"/>
        <v>39</v>
      </c>
      <c r="BO22" s="12">
        <f t="shared" si="42"/>
        <v>24.1</v>
      </c>
      <c r="BP22" s="12">
        <f t="shared" si="42"/>
        <v>1.54</v>
      </c>
      <c r="BQ22" s="12">
        <f t="shared" si="42"/>
        <v>17.8</v>
      </c>
      <c r="BR22" s="12">
        <f t="shared" si="42"/>
        <v>26.91</v>
      </c>
      <c r="BS22" s="12">
        <f t="shared" si="42"/>
        <v>3.6</v>
      </c>
      <c r="BT22" s="12">
        <f t="shared" si="42"/>
        <v>42.2</v>
      </c>
      <c r="BU22" s="12">
        <f t="shared" si="42"/>
        <v>27.88</v>
      </c>
      <c r="BV22" s="12">
        <f t="shared" ref="BV22:CE31" si="43">INDEX(ovrTable2,MATCH(INDEX(oppCol23,ROW()),ovrTeamCol2,0),MATCH(MID(INDEX(headerRow2,1,COLUMN()),4,LEN(INDEX(headerRow2,1,COLUMN()))),ovrHeaderRow2,0))</f>
        <v>0.57099999999999995</v>
      </c>
      <c r="BW22" s="12">
        <f t="shared" si="43"/>
        <v>9.16</v>
      </c>
      <c r="BX22" s="12">
        <f t="shared" si="43"/>
        <v>48.4</v>
      </c>
      <c r="BY22" s="12">
        <f t="shared" si="43"/>
        <v>16.600000000000001</v>
      </c>
      <c r="BZ22" s="12">
        <f t="shared" si="43"/>
        <v>76</v>
      </c>
      <c r="CA22" s="12">
        <f t="shared" si="43"/>
        <v>20.7</v>
      </c>
      <c r="CB22" s="12">
        <f t="shared" si="43"/>
        <v>15.5</v>
      </c>
      <c r="CC22" s="12">
        <f t="shared" si="43"/>
        <v>71.7</v>
      </c>
      <c r="CD22" s="12">
        <f t="shared" si="43"/>
        <v>8.6999999999999993</v>
      </c>
      <c r="CE22" s="12">
        <f t="shared" si="43"/>
        <v>81</v>
      </c>
      <c r="CF22" s="12">
        <f t="shared" ref="CF22:CO31" si="44">INDEX(ovrTable2,MATCH(INDEX(oppCol23,ROW()),ovrTeamCol2,0),MATCH(MID(INDEX(headerRow2,1,COLUMN()),4,LEN(INDEX(headerRow2,1,COLUMN()))),ovrHeaderRow2,0))</f>
        <v>4.5999999999999996</v>
      </c>
      <c r="CG22" s="12">
        <f t="shared" si="44"/>
        <v>35.909999999999997</v>
      </c>
      <c r="CH22" s="12">
        <f t="shared" si="44"/>
        <v>9.5</v>
      </c>
      <c r="CI22" s="12">
        <f t="shared" si="44"/>
        <v>5.3</v>
      </c>
      <c r="CJ22" s="12">
        <f t="shared" si="44"/>
        <v>-0.6</v>
      </c>
      <c r="CK22" s="12">
        <f t="shared" si="44"/>
        <v>10.36</v>
      </c>
      <c r="CL22" s="12">
        <f t="shared" si="44"/>
        <v>11.3</v>
      </c>
      <c r="CM22" s="12">
        <f t="shared" si="44"/>
        <v>70.599999999999994</v>
      </c>
      <c r="CN22" s="12">
        <f t="shared" si="44"/>
        <v>18.649999999999999</v>
      </c>
      <c r="CO22" s="12">
        <f t="shared" si="44"/>
        <v>57.954545454545446</v>
      </c>
    </row>
    <row r="23" spans="1:93" x14ac:dyDescent="0.3">
      <c r="A23" s="6" t="s">
        <v>61</v>
      </c>
      <c r="B23" s="3">
        <v>10</v>
      </c>
      <c r="C23" s="13" t="s">
        <v>388</v>
      </c>
      <c r="D23" s="14">
        <v>11</v>
      </c>
      <c r="E23" s="38">
        <f>G22</f>
        <v>40</v>
      </c>
      <c r="F23" s="39">
        <v>4</v>
      </c>
      <c r="G23" s="38">
        <f t="shared" si="0"/>
        <v>16.666666666666664</v>
      </c>
      <c r="H23" s="39">
        <v>24</v>
      </c>
      <c r="I23" s="40">
        <f t="shared" si="1"/>
        <v>0.8</v>
      </c>
      <c r="J23" s="39">
        <v>12</v>
      </c>
      <c r="K23" s="39">
        <v>18</v>
      </c>
      <c r="L23" s="39">
        <v>2</v>
      </c>
      <c r="M23" s="39">
        <f>Q22</f>
        <v>50.9</v>
      </c>
      <c r="N23" s="39">
        <v>24</v>
      </c>
      <c r="O23" s="41">
        <f t="shared" si="2"/>
        <v>0.17857142857142855</v>
      </c>
      <c r="P23" s="39">
        <v>15</v>
      </c>
      <c r="Q23" s="39">
        <v>47.5</v>
      </c>
      <c r="R23" s="39">
        <v>12</v>
      </c>
      <c r="S23" s="38">
        <f t="shared" si="3"/>
        <v>62.5</v>
      </c>
      <c r="T23" s="39">
        <v>8</v>
      </c>
      <c r="U23" s="39">
        <v>5</v>
      </c>
      <c r="V23" s="39">
        <f>X22</f>
        <v>76</v>
      </c>
      <c r="W23" s="39">
        <v>9</v>
      </c>
      <c r="X23" s="39">
        <v>65</v>
      </c>
      <c r="Y23" s="39">
        <f>Z23-Z22</f>
        <v>6</v>
      </c>
      <c r="Z23" s="39">
        <f t="shared" si="4"/>
        <v>33</v>
      </c>
      <c r="AA23" s="39">
        <f t="shared" si="5"/>
        <v>-11</v>
      </c>
      <c r="AB23" s="39">
        <v>5</v>
      </c>
      <c r="AC23" s="39">
        <f t="shared" si="6"/>
        <v>-5</v>
      </c>
      <c r="AD23" s="39">
        <f>AE22</f>
        <v>10</v>
      </c>
      <c r="AE23" s="39">
        <v>15</v>
      </c>
      <c r="AF23" s="46">
        <f t="shared" si="13"/>
        <v>68.747368421052627</v>
      </c>
      <c r="AG23" s="51">
        <f t="shared" ref="AG23" si="45">AVERAGE(AF22,AF23)</f>
        <v>68.671277530762069</v>
      </c>
      <c r="AH23" s="12">
        <f t="shared" si="39"/>
        <v>34.299999999999997</v>
      </c>
      <c r="AI23" s="12">
        <f t="shared" si="39"/>
        <v>9.4</v>
      </c>
      <c r="AJ23" s="12">
        <f t="shared" si="39"/>
        <v>39</v>
      </c>
      <c r="AK23" s="12">
        <f t="shared" si="39"/>
        <v>24.1</v>
      </c>
      <c r="AL23" s="12">
        <f t="shared" si="39"/>
        <v>1.54</v>
      </c>
      <c r="AM23" s="12">
        <f t="shared" si="39"/>
        <v>17.8</v>
      </c>
      <c r="AN23" s="12">
        <f t="shared" si="39"/>
        <v>26.91</v>
      </c>
      <c r="AO23" s="12">
        <f t="shared" si="39"/>
        <v>3.6</v>
      </c>
      <c r="AP23" s="12">
        <f t="shared" si="39"/>
        <v>42.2</v>
      </c>
      <c r="AQ23" s="12">
        <f t="shared" si="39"/>
        <v>27.88</v>
      </c>
      <c r="AR23" s="12">
        <f t="shared" si="40"/>
        <v>0.57099999999999995</v>
      </c>
      <c r="AS23" s="12">
        <f t="shared" si="40"/>
        <v>9.16</v>
      </c>
      <c r="AT23" s="12">
        <f t="shared" si="40"/>
        <v>48.4</v>
      </c>
      <c r="AU23" s="12">
        <f t="shared" si="40"/>
        <v>16.600000000000001</v>
      </c>
      <c r="AV23" s="12">
        <f t="shared" si="40"/>
        <v>76</v>
      </c>
      <c r="AW23" s="12">
        <f t="shared" si="40"/>
        <v>20.7</v>
      </c>
      <c r="AX23" s="12">
        <f t="shared" si="40"/>
        <v>15.5</v>
      </c>
      <c r="AY23" s="12">
        <f t="shared" si="40"/>
        <v>71.7</v>
      </c>
      <c r="AZ23" s="12">
        <f t="shared" si="40"/>
        <v>8.6999999999999993</v>
      </c>
      <c r="BA23" s="12">
        <f t="shared" si="40"/>
        <v>81</v>
      </c>
      <c r="BB23" s="12">
        <f t="shared" si="41"/>
        <v>4.5999999999999996</v>
      </c>
      <c r="BC23" s="12">
        <f t="shared" si="41"/>
        <v>35.909999999999997</v>
      </c>
      <c r="BD23" s="12">
        <f t="shared" si="41"/>
        <v>9.5</v>
      </c>
      <c r="BE23" s="12">
        <f t="shared" si="41"/>
        <v>5.3</v>
      </c>
      <c r="BF23" s="12">
        <f t="shared" si="41"/>
        <v>-0.6</v>
      </c>
      <c r="BG23" s="12">
        <f t="shared" si="41"/>
        <v>10.36</v>
      </c>
      <c r="BH23" s="12">
        <f t="shared" si="41"/>
        <v>11.3</v>
      </c>
      <c r="BI23" s="12">
        <f t="shared" si="41"/>
        <v>70.599999999999994</v>
      </c>
      <c r="BJ23" s="12">
        <f t="shared" si="41"/>
        <v>18.649999999999999</v>
      </c>
      <c r="BK23" s="12">
        <f t="shared" si="41"/>
        <v>57.954545454545446</v>
      </c>
      <c r="BL23" s="12">
        <f t="shared" si="42"/>
        <v>34.4</v>
      </c>
      <c r="BM23" s="12">
        <f t="shared" si="42"/>
        <v>9.4</v>
      </c>
      <c r="BN23" s="12">
        <f t="shared" si="42"/>
        <v>35.9</v>
      </c>
      <c r="BO23" s="12">
        <f t="shared" si="42"/>
        <v>25.4</v>
      </c>
      <c r="BP23" s="12">
        <f t="shared" si="42"/>
        <v>1.59</v>
      </c>
      <c r="BQ23" s="12">
        <f t="shared" si="42"/>
        <v>16.2</v>
      </c>
      <c r="BR23" s="12">
        <f t="shared" si="42"/>
        <v>28.79</v>
      </c>
      <c r="BS23" s="12">
        <f t="shared" si="42"/>
        <v>2.8</v>
      </c>
      <c r="BT23" s="12">
        <f t="shared" si="42"/>
        <v>44.3</v>
      </c>
      <c r="BU23" s="12">
        <f t="shared" si="42"/>
        <v>22.73</v>
      </c>
      <c r="BV23" s="12">
        <f t="shared" si="43"/>
        <v>0.55400000000000005</v>
      </c>
      <c r="BW23" s="12">
        <f t="shared" si="43"/>
        <v>14.28</v>
      </c>
      <c r="BX23" s="12">
        <f t="shared" si="43"/>
        <v>47.7</v>
      </c>
      <c r="BY23" s="12">
        <f t="shared" si="43"/>
        <v>17.600000000000001</v>
      </c>
      <c r="BZ23" s="12">
        <f t="shared" si="43"/>
        <v>75.2</v>
      </c>
      <c r="CA23" s="12">
        <f t="shared" si="43"/>
        <v>18.100000000000001</v>
      </c>
      <c r="CB23" s="12">
        <f t="shared" si="43"/>
        <v>13.9</v>
      </c>
      <c r="CC23" s="12">
        <f t="shared" si="43"/>
        <v>79.2</v>
      </c>
      <c r="CD23" s="12">
        <f t="shared" si="43"/>
        <v>8.8800000000000008</v>
      </c>
      <c r="CE23" s="12">
        <f t="shared" si="43"/>
        <v>81.400000000000006</v>
      </c>
      <c r="CF23" s="12">
        <f t="shared" si="44"/>
        <v>-4.7</v>
      </c>
      <c r="CG23" s="12">
        <f t="shared" si="44"/>
        <v>30.51</v>
      </c>
      <c r="CH23" s="12">
        <f t="shared" si="44"/>
        <v>3.3</v>
      </c>
      <c r="CI23" s="12">
        <f t="shared" si="44"/>
        <v>10.3</v>
      </c>
      <c r="CJ23" s="12">
        <f t="shared" si="44"/>
        <v>6.9</v>
      </c>
      <c r="CK23" s="12">
        <f t="shared" si="44"/>
        <v>17.190000000000001</v>
      </c>
      <c r="CL23" s="12">
        <f t="shared" si="44"/>
        <v>10.199999999999999</v>
      </c>
      <c r="CM23" s="12">
        <f t="shared" si="44"/>
        <v>71.8</v>
      </c>
      <c r="CN23" s="12">
        <f t="shared" si="44"/>
        <v>19.649999999999999</v>
      </c>
      <c r="CO23" s="12">
        <f t="shared" si="44"/>
        <v>60.901467505241079</v>
      </c>
    </row>
    <row r="24" spans="1:93" x14ac:dyDescent="0.3">
      <c r="A24" s="6" t="s">
        <v>19</v>
      </c>
      <c r="B24" s="3">
        <v>2</v>
      </c>
      <c r="C24" s="13" t="s">
        <v>331</v>
      </c>
      <c r="D24" s="14">
        <v>12</v>
      </c>
      <c r="E24" s="38">
        <f>G25</f>
        <v>16</v>
      </c>
      <c r="F24" s="39">
        <v>3</v>
      </c>
      <c r="G24" s="38">
        <f t="shared" si="0"/>
        <v>18.75</v>
      </c>
      <c r="H24" s="39">
        <v>16</v>
      </c>
      <c r="I24" s="40">
        <f t="shared" si="1"/>
        <v>0.76923076923076927</v>
      </c>
      <c r="J24" s="39">
        <v>10</v>
      </c>
      <c r="K24" s="39">
        <v>7</v>
      </c>
      <c r="L24" s="39">
        <v>1</v>
      </c>
      <c r="M24" s="39">
        <f>Q25</f>
        <v>40.6</v>
      </c>
      <c r="N24" s="39">
        <v>30</v>
      </c>
      <c r="O24" s="41">
        <f t="shared" si="2"/>
        <v>0.19921875</v>
      </c>
      <c r="P24" s="39">
        <v>8</v>
      </c>
      <c r="Q24" s="39">
        <v>42.1</v>
      </c>
      <c r="R24" s="39">
        <v>14</v>
      </c>
      <c r="S24" s="38">
        <f t="shared" si="3"/>
        <v>57.142857142857139</v>
      </c>
      <c r="T24" s="39">
        <v>7</v>
      </c>
      <c r="U24" s="39">
        <v>4</v>
      </c>
      <c r="V24" s="39">
        <f>X25</f>
        <v>59</v>
      </c>
      <c r="W24" s="39">
        <v>7</v>
      </c>
      <c r="X24" s="39">
        <v>55</v>
      </c>
      <c r="Y24" s="39">
        <f>Z24-Z25</f>
        <v>-1</v>
      </c>
      <c r="Z24" s="39">
        <f t="shared" si="4"/>
        <v>37</v>
      </c>
      <c r="AA24" s="39">
        <f t="shared" si="5"/>
        <v>-4</v>
      </c>
      <c r="AB24" s="39">
        <v>5</v>
      </c>
      <c r="AC24" s="39">
        <f t="shared" si="6"/>
        <v>-2</v>
      </c>
      <c r="AD24" s="39">
        <f>AE25</f>
        <v>11</v>
      </c>
      <c r="AE24" s="39">
        <v>13</v>
      </c>
      <c r="AF24" s="46">
        <f t="shared" si="13"/>
        <v>66.332125890736336</v>
      </c>
      <c r="AG24" s="51">
        <f t="shared" ref="AG24" si="46">AVERAGE(AF24,AF25)</f>
        <v>67.373267378865705</v>
      </c>
      <c r="AH24" s="12">
        <f t="shared" si="39"/>
        <v>32</v>
      </c>
      <c r="AI24" s="12">
        <f t="shared" si="39"/>
        <v>8.6</v>
      </c>
      <c r="AJ24" s="12">
        <f t="shared" si="39"/>
        <v>37.700000000000003</v>
      </c>
      <c r="AK24" s="12">
        <f t="shared" si="39"/>
        <v>22.7</v>
      </c>
      <c r="AL24" s="12">
        <f t="shared" si="39"/>
        <v>1.59</v>
      </c>
      <c r="AM24" s="12">
        <f t="shared" si="39"/>
        <v>18.7</v>
      </c>
      <c r="AN24" s="12">
        <f t="shared" si="39"/>
        <v>18.11</v>
      </c>
      <c r="AO24" s="12">
        <f t="shared" si="39"/>
        <v>3.2</v>
      </c>
      <c r="AP24" s="12">
        <f t="shared" si="39"/>
        <v>41</v>
      </c>
      <c r="AQ24" s="12">
        <f t="shared" si="39"/>
        <v>29.5</v>
      </c>
      <c r="AR24" s="12">
        <f t="shared" si="40"/>
        <v>0.57199999999999995</v>
      </c>
      <c r="AS24" s="12">
        <f t="shared" si="40"/>
        <v>14.64</v>
      </c>
      <c r="AT24" s="12">
        <f t="shared" si="40"/>
        <v>49.5</v>
      </c>
      <c r="AU24" s="12">
        <f t="shared" si="40"/>
        <v>16.7</v>
      </c>
      <c r="AV24" s="12">
        <f t="shared" si="40"/>
        <v>71</v>
      </c>
      <c r="AW24" s="12">
        <f t="shared" si="40"/>
        <v>22.8</v>
      </c>
      <c r="AX24" s="12">
        <f t="shared" si="40"/>
        <v>15.8</v>
      </c>
      <c r="AY24" s="12">
        <f t="shared" si="40"/>
        <v>73.3</v>
      </c>
      <c r="AZ24" s="12">
        <f t="shared" si="40"/>
        <v>10.6</v>
      </c>
      <c r="BA24" s="12">
        <f t="shared" si="40"/>
        <v>87.1</v>
      </c>
      <c r="BB24" s="12">
        <f t="shared" si="41"/>
        <v>7.3</v>
      </c>
      <c r="BC24" s="12">
        <f t="shared" si="41"/>
        <v>40.89</v>
      </c>
      <c r="BD24" s="12">
        <f t="shared" si="41"/>
        <v>12.3</v>
      </c>
      <c r="BE24" s="12">
        <f t="shared" si="41"/>
        <v>6</v>
      </c>
      <c r="BF24" s="12">
        <f t="shared" si="41"/>
        <v>-0.5</v>
      </c>
      <c r="BG24" s="12">
        <f t="shared" si="41"/>
        <v>11.28</v>
      </c>
      <c r="BH24" s="12">
        <f t="shared" si="41"/>
        <v>12.7</v>
      </c>
      <c r="BI24" s="12">
        <f t="shared" si="41"/>
        <v>74.2</v>
      </c>
      <c r="BJ24" s="12">
        <f t="shared" si="41"/>
        <v>22.75</v>
      </c>
      <c r="BK24" s="12">
        <f t="shared" si="41"/>
        <v>63.333333333333336</v>
      </c>
      <c r="BL24" s="12">
        <f t="shared" si="42"/>
        <v>32</v>
      </c>
      <c r="BM24" s="12">
        <f t="shared" si="42"/>
        <v>8.6</v>
      </c>
      <c r="BN24" s="12">
        <f t="shared" si="42"/>
        <v>34.200000000000003</v>
      </c>
      <c r="BO24" s="12">
        <f t="shared" si="42"/>
        <v>24.7</v>
      </c>
      <c r="BP24" s="12">
        <f t="shared" si="42"/>
        <v>1.26</v>
      </c>
      <c r="BQ24" s="12">
        <f t="shared" si="42"/>
        <v>13.4</v>
      </c>
      <c r="BR24" s="12">
        <f t="shared" si="42"/>
        <v>21.86</v>
      </c>
      <c r="BS24" s="12">
        <f t="shared" si="42"/>
        <v>3.6</v>
      </c>
      <c r="BT24" s="12">
        <f t="shared" si="42"/>
        <v>42.9</v>
      </c>
      <c r="BU24" s="12">
        <f t="shared" si="42"/>
        <v>29.32</v>
      </c>
      <c r="BV24" s="12">
        <f t="shared" si="43"/>
        <v>0.53800000000000003</v>
      </c>
      <c r="BW24" s="12">
        <f t="shared" si="43"/>
        <v>7</v>
      </c>
      <c r="BX24" s="12">
        <f t="shared" si="43"/>
        <v>46.1</v>
      </c>
      <c r="BY24" s="12">
        <f t="shared" si="43"/>
        <v>15.9</v>
      </c>
      <c r="BZ24" s="12">
        <f t="shared" si="43"/>
        <v>71.7</v>
      </c>
      <c r="CA24" s="12">
        <f t="shared" si="43"/>
        <v>18.5</v>
      </c>
      <c r="CB24" s="12">
        <f t="shared" si="43"/>
        <v>13.4</v>
      </c>
      <c r="CC24" s="12">
        <f t="shared" si="43"/>
        <v>70.400000000000006</v>
      </c>
      <c r="CD24" s="12">
        <f t="shared" si="43"/>
        <v>10.51</v>
      </c>
      <c r="CE24" s="12">
        <f t="shared" si="43"/>
        <v>77.5</v>
      </c>
      <c r="CF24" s="12">
        <f t="shared" si="44"/>
        <v>6.8</v>
      </c>
      <c r="CG24" s="12">
        <f t="shared" si="44"/>
        <v>40.44</v>
      </c>
      <c r="CH24" s="12">
        <f t="shared" si="44"/>
        <v>7.5</v>
      </c>
      <c r="CI24" s="12">
        <f t="shared" si="44"/>
        <v>4.8</v>
      </c>
      <c r="CJ24" s="12">
        <f t="shared" si="44"/>
        <v>-2</v>
      </c>
      <c r="CK24" s="12">
        <f t="shared" si="44"/>
        <v>9.57</v>
      </c>
      <c r="CL24" s="12">
        <f t="shared" si="44"/>
        <v>11.2</v>
      </c>
      <c r="CM24" s="12">
        <f t="shared" si="44"/>
        <v>70.3</v>
      </c>
      <c r="CN24" s="12">
        <f t="shared" si="44"/>
        <v>19.149999999999999</v>
      </c>
      <c r="CO24" s="12">
        <f t="shared" si="44"/>
        <v>60.195227765726678</v>
      </c>
    </row>
    <row r="25" spans="1:93" x14ac:dyDescent="0.3">
      <c r="A25" s="6" t="s">
        <v>331</v>
      </c>
      <c r="B25" s="3">
        <v>15</v>
      </c>
      <c r="C25" s="13" t="s">
        <v>19</v>
      </c>
      <c r="D25" s="14">
        <v>12</v>
      </c>
      <c r="E25" s="38">
        <f>G24</f>
        <v>18.75</v>
      </c>
      <c r="F25" s="39">
        <v>4</v>
      </c>
      <c r="G25" s="38">
        <f t="shared" si="0"/>
        <v>16</v>
      </c>
      <c r="H25" s="39">
        <v>25</v>
      </c>
      <c r="I25" s="40">
        <f t="shared" si="1"/>
        <v>0.81818181818181823</v>
      </c>
      <c r="J25" s="39">
        <v>9</v>
      </c>
      <c r="K25" s="39">
        <v>16</v>
      </c>
      <c r="L25" s="39">
        <v>6</v>
      </c>
      <c r="M25" s="39">
        <f>Q24</f>
        <v>42.1</v>
      </c>
      <c r="N25" s="39">
        <v>29</v>
      </c>
      <c r="O25" s="41">
        <f t="shared" si="2"/>
        <v>0.1723076923076923</v>
      </c>
      <c r="P25" s="39">
        <v>3</v>
      </c>
      <c r="Q25" s="39">
        <v>40.6</v>
      </c>
      <c r="R25" s="39">
        <v>15</v>
      </c>
      <c r="S25" s="38">
        <f t="shared" si="3"/>
        <v>60</v>
      </c>
      <c r="T25" s="39">
        <v>5</v>
      </c>
      <c r="U25" s="39">
        <v>3</v>
      </c>
      <c r="V25" s="39">
        <f>X24</f>
        <v>55</v>
      </c>
      <c r="W25" s="39">
        <v>9</v>
      </c>
      <c r="X25" s="39">
        <v>59</v>
      </c>
      <c r="Y25" s="39">
        <f>Z25-Z24</f>
        <v>1</v>
      </c>
      <c r="Z25" s="39">
        <f t="shared" si="4"/>
        <v>38</v>
      </c>
      <c r="AA25" s="39">
        <f t="shared" si="5"/>
        <v>4</v>
      </c>
      <c r="AB25" s="39">
        <v>8</v>
      </c>
      <c r="AC25" s="39">
        <f t="shared" si="6"/>
        <v>2</v>
      </c>
      <c r="AD25" s="39">
        <f>AE24</f>
        <v>13</v>
      </c>
      <c r="AE25" s="39">
        <v>11</v>
      </c>
      <c r="AF25" s="46">
        <f t="shared" si="13"/>
        <v>68.414408866995075</v>
      </c>
      <c r="AG25" s="51">
        <f t="shared" ref="AG25" si="47">AVERAGE(AF24,AF25)</f>
        <v>67.373267378865705</v>
      </c>
      <c r="AH25" s="12">
        <f t="shared" si="39"/>
        <v>32</v>
      </c>
      <c r="AI25" s="12">
        <f t="shared" si="39"/>
        <v>8.6</v>
      </c>
      <c r="AJ25" s="12">
        <f t="shared" si="39"/>
        <v>34.200000000000003</v>
      </c>
      <c r="AK25" s="12">
        <f t="shared" si="39"/>
        <v>24.7</v>
      </c>
      <c r="AL25" s="12">
        <f t="shared" si="39"/>
        <v>1.26</v>
      </c>
      <c r="AM25" s="12">
        <f t="shared" si="39"/>
        <v>13.4</v>
      </c>
      <c r="AN25" s="12">
        <f t="shared" si="39"/>
        <v>21.86</v>
      </c>
      <c r="AO25" s="12">
        <f t="shared" si="39"/>
        <v>3.6</v>
      </c>
      <c r="AP25" s="12">
        <f t="shared" si="39"/>
        <v>42.9</v>
      </c>
      <c r="AQ25" s="12">
        <f t="shared" si="39"/>
        <v>29.32</v>
      </c>
      <c r="AR25" s="12">
        <f t="shared" si="40"/>
        <v>0.53800000000000003</v>
      </c>
      <c r="AS25" s="12">
        <f t="shared" si="40"/>
        <v>7</v>
      </c>
      <c r="AT25" s="12">
        <f t="shared" si="40"/>
        <v>46.1</v>
      </c>
      <c r="AU25" s="12">
        <f t="shared" si="40"/>
        <v>15.9</v>
      </c>
      <c r="AV25" s="12">
        <f t="shared" si="40"/>
        <v>71.7</v>
      </c>
      <c r="AW25" s="12">
        <f t="shared" si="40"/>
        <v>18.5</v>
      </c>
      <c r="AX25" s="12">
        <f t="shared" si="40"/>
        <v>13.4</v>
      </c>
      <c r="AY25" s="12">
        <f t="shared" si="40"/>
        <v>70.400000000000006</v>
      </c>
      <c r="AZ25" s="12">
        <f t="shared" si="40"/>
        <v>10.51</v>
      </c>
      <c r="BA25" s="12">
        <f t="shared" si="40"/>
        <v>77.5</v>
      </c>
      <c r="BB25" s="12">
        <f t="shared" si="41"/>
        <v>6.8</v>
      </c>
      <c r="BC25" s="12">
        <f t="shared" si="41"/>
        <v>40.44</v>
      </c>
      <c r="BD25" s="12">
        <f t="shared" si="41"/>
        <v>7.5</v>
      </c>
      <c r="BE25" s="12">
        <f t="shared" si="41"/>
        <v>4.8</v>
      </c>
      <c r="BF25" s="12">
        <f t="shared" si="41"/>
        <v>-2</v>
      </c>
      <c r="BG25" s="12">
        <f t="shared" si="41"/>
        <v>9.57</v>
      </c>
      <c r="BH25" s="12">
        <f t="shared" si="41"/>
        <v>11.2</v>
      </c>
      <c r="BI25" s="12">
        <f t="shared" si="41"/>
        <v>70.3</v>
      </c>
      <c r="BJ25" s="12">
        <f t="shared" si="41"/>
        <v>19.149999999999999</v>
      </c>
      <c r="BK25" s="12">
        <f t="shared" si="41"/>
        <v>60.195227765726678</v>
      </c>
      <c r="BL25" s="12">
        <f t="shared" si="42"/>
        <v>32</v>
      </c>
      <c r="BM25" s="12">
        <f t="shared" si="42"/>
        <v>8.6</v>
      </c>
      <c r="BN25" s="12">
        <f t="shared" si="42"/>
        <v>37.700000000000003</v>
      </c>
      <c r="BO25" s="12">
        <f t="shared" si="42"/>
        <v>22.7</v>
      </c>
      <c r="BP25" s="12">
        <f t="shared" si="42"/>
        <v>1.59</v>
      </c>
      <c r="BQ25" s="12">
        <f t="shared" si="42"/>
        <v>18.7</v>
      </c>
      <c r="BR25" s="12">
        <f t="shared" si="42"/>
        <v>18.11</v>
      </c>
      <c r="BS25" s="12">
        <f t="shared" si="42"/>
        <v>3.2</v>
      </c>
      <c r="BT25" s="12">
        <f t="shared" si="42"/>
        <v>41</v>
      </c>
      <c r="BU25" s="12">
        <f t="shared" si="42"/>
        <v>29.5</v>
      </c>
      <c r="BV25" s="12">
        <f t="shared" si="43"/>
        <v>0.57199999999999995</v>
      </c>
      <c r="BW25" s="12">
        <f t="shared" si="43"/>
        <v>14.64</v>
      </c>
      <c r="BX25" s="12">
        <f t="shared" si="43"/>
        <v>49.5</v>
      </c>
      <c r="BY25" s="12">
        <f t="shared" si="43"/>
        <v>16.7</v>
      </c>
      <c r="BZ25" s="12">
        <f t="shared" si="43"/>
        <v>71</v>
      </c>
      <c r="CA25" s="12">
        <f t="shared" si="43"/>
        <v>22.8</v>
      </c>
      <c r="CB25" s="12">
        <f t="shared" si="43"/>
        <v>15.8</v>
      </c>
      <c r="CC25" s="12">
        <f t="shared" si="43"/>
        <v>73.3</v>
      </c>
      <c r="CD25" s="12">
        <f t="shared" si="43"/>
        <v>10.6</v>
      </c>
      <c r="CE25" s="12">
        <f t="shared" si="43"/>
        <v>87.1</v>
      </c>
      <c r="CF25" s="12">
        <f t="shared" si="44"/>
        <v>7.3</v>
      </c>
      <c r="CG25" s="12">
        <f t="shared" si="44"/>
        <v>40.89</v>
      </c>
      <c r="CH25" s="12">
        <f t="shared" si="44"/>
        <v>12.3</v>
      </c>
      <c r="CI25" s="12">
        <f t="shared" si="44"/>
        <v>6</v>
      </c>
      <c r="CJ25" s="12">
        <f t="shared" si="44"/>
        <v>-0.5</v>
      </c>
      <c r="CK25" s="12">
        <f t="shared" si="44"/>
        <v>11.28</v>
      </c>
      <c r="CL25" s="12">
        <f t="shared" si="44"/>
        <v>12.7</v>
      </c>
      <c r="CM25" s="12">
        <f t="shared" si="44"/>
        <v>74.2</v>
      </c>
      <c r="CN25" s="12">
        <f t="shared" si="44"/>
        <v>22.75</v>
      </c>
      <c r="CO25" s="12">
        <f t="shared" si="44"/>
        <v>63.333333333333336</v>
      </c>
    </row>
    <row r="26" spans="1:93" x14ac:dyDescent="0.3">
      <c r="A26" s="6" t="s">
        <v>51</v>
      </c>
      <c r="B26" s="3">
        <v>1</v>
      </c>
      <c r="C26" s="13" t="s">
        <v>413</v>
      </c>
      <c r="D26" s="14">
        <v>13</v>
      </c>
      <c r="E26" s="38">
        <f>G27</f>
        <v>15.151515151515152</v>
      </c>
      <c r="F26" s="39">
        <v>4</v>
      </c>
      <c r="G26" s="38">
        <f t="shared" si="0"/>
        <v>25</v>
      </c>
      <c r="H26" s="39">
        <v>16</v>
      </c>
      <c r="I26" s="40">
        <f t="shared" si="1"/>
        <v>0.76470588235294112</v>
      </c>
      <c r="J26" s="39">
        <v>13</v>
      </c>
      <c r="K26" s="39">
        <v>14</v>
      </c>
      <c r="L26" s="39">
        <v>4</v>
      </c>
      <c r="M26" s="39">
        <f>Q27</f>
        <v>27.5</v>
      </c>
      <c r="N26" s="39">
        <v>31</v>
      </c>
      <c r="O26" s="41">
        <f t="shared" si="2"/>
        <v>0.27</v>
      </c>
      <c r="P26" s="39">
        <v>4</v>
      </c>
      <c r="Q26" s="39">
        <v>49</v>
      </c>
      <c r="R26" s="39">
        <v>14</v>
      </c>
      <c r="S26" s="38">
        <f t="shared" si="3"/>
        <v>90</v>
      </c>
      <c r="T26" s="39">
        <v>10</v>
      </c>
      <c r="U26" s="39">
        <v>9</v>
      </c>
      <c r="V26" s="39">
        <f>X27</f>
        <v>52</v>
      </c>
      <c r="W26" s="39">
        <v>11</v>
      </c>
      <c r="X26" s="39">
        <v>63</v>
      </c>
      <c r="Y26" s="39">
        <f>Z26-Z27</f>
        <v>9</v>
      </c>
      <c r="Z26" s="39">
        <f t="shared" si="4"/>
        <v>42</v>
      </c>
      <c r="AA26" s="39">
        <f t="shared" si="5"/>
        <v>11</v>
      </c>
      <c r="AB26" s="39">
        <v>3</v>
      </c>
      <c r="AC26" s="39">
        <f t="shared" si="6"/>
        <v>-10</v>
      </c>
      <c r="AD26" s="39">
        <f>AE27</f>
        <v>7</v>
      </c>
      <c r="AE26" s="39">
        <v>17</v>
      </c>
      <c r="AF26" s="46">
        <f t="shared" si="13"/>
        <v>61.770408163265309</v>
      </c>
      <c r="AG26" s="51">
        <f t="shared" ref="AG26" si="48">AVERAGE(AF26,AF27)</f>
        <v>62.305658627087197</v>
      </c>
      <c r="AH26" s="12">
        <f t="shared" si="39"/>
        <v>29.8</v>
      </c>
      <c r="AI26" s="12">
        <f t="shared" si="39"/>
        <v>8</v>
      </c>
      <c r="AJ26" s="12">
        <f t="shared" si="39"/>
        <v>34</v>
      </c>
      <c r="AK26" s="12">
        <f t="shared" si="39"/>
        <v>23</v>
      </c>
      <c r="AL26" s="12">
        <f t="shared" si="39"/>
        <v>1.63</v>
      </c>
      <c r="AM26" s="12">
        <f t="shared" si="39"/>
        <v>15.3</v>
      </c>
      <c r="AN26" s="12">
        <f t="shared" si="39"/>
        <v>17.12</v>
      </c>
      <c r="AO26" s="12">
        <f t="shared" si="39"/>
        <v>4.8</v>
      </c>
      <c r="AP26" s="12">
        <f t="shared" si="39"/>
        <v>37.9</v>
      </c>
      <c r="AQ26" s="12">
        <f t="shared" si="39"/>
        <v>26.86</v>
      </c>
      <c r="AR26" s="12">
        <f t="shared" si="40"/>
        <v>0.53100000000000003</v>
      </c>
      <c r="AS26" s="12">
        <f t="shared" si="40"/>
        <v>11</v>
      </c>
      <c r="AT26" s="12">
        <f t="shared" si="40"/>
        <v>46.6</v>
      </c>
      <c r="AU26" s="12">
        <f t="shared" si="40"/>
        <v>16.5</v>
      </c>
      <c r="AV26" s="12">
        <f t="shared" si="40"/>
        <v>73.099999999999994</v>
      </c>
      <c r="AW26" s="12">
        <f t="shared" si="40"/>
        <v>17.600000000000001</v>
      </c>
      <c r="AX26" s="12">
        <f t="shared" si="40"/>
        <v>12.8</v>
      </c>
      <c r="AY26" s="12">
        <f t="shared" si="40"/>
        <v>57.6</v>
      </c>
      <c r="AZ26" s="12">
        <f t="shared" si="40"/>
        <v>13.06</v>
      </c>
      <c r="BA26" s="12">
        <f t="shared" si="40"/>
        <v>75.900000000000006</v>
      </c>
      <c r="BB26" s="12">
        <f t="shared" si="41"/>
        <v>8.6</v>
      </c>
      <c r="BC26" s="12">
        <f t="shared" si="41"/>
        <v>39.770000000000003</v>
      </c>
      <c r="BD26" s="12">
        <f t="shared" si="41"/>
        <v>18</v>
      </c>
      <c r="BE26" s="12">
        <f t="shared" si="41"/>
        <v>7.5</v>
      </c>
      <c r="BF26" s="12">
        <f t="shared" si="41"/>
        <v>2.7</v>
      </c>
      <c r="BG26" s="12">
        <f t="shared" si="41"/>
        <v>12</v>
      </c>
      <c r="BH26" s="12">
        <f t="shared" si="41"/>
        <v>9.6</v>
      </c>
      <c r="BI26" s="12">
        <f t="shared" si="41"/>
        <v>66.599999999999994</v>
      </c>
      <c r="BJ26" s="12">
        <f t="shared" si="41"/>
        <v>19.550000000000004</v>
      </c>
      <c r="BK26" s="12">
        <f t="shared" si="41"/>
        <v>59.120171673819748</v>
      </c>
      <c r="BL26" s="12">
        <f t="shared" si="42"/>
        <v>35</v>
      </c>
      <c r="BM26" s="12">
        <f t="shared" si="42"/>
        <v>8.4</v>
      </c>
      <c r="BN26" s="12">
        <f t="shared" si="42"/>
        <v>34.299999999999997</v>
      </c>
      <c r="BO26" s="12">
        <f t="shared" si="42"/>
        <v>23.6</v>
      </c>
      <c r="BP26" s="12">
        <f t="shared" si="42"/>
        <v>1.31</v>
      </c>
      <c r="BQ26" s="12">
        <f t="shared" si="42"/>
        <v>13.3</v>
      </c>
      <c r="BR26" s="12">
        <f t="shared" si="42"/>
        <v>16.59</v>
      </c>
      <c r="BS26" s="12">
        <f t="shared" si="42"/>
        <v>2.5</v>
      </c>
      <c r="BT26" s="12">
        <f t="shared" si="42"/>
        <v>43.5</v>
      </c>
      <c r="BU26" s="12">
        <f t="shared" si="42"/>
        <v>22.56</v>
      </c>
      <c r="BV26" s="12">
        <f t="shared" si="43"/>
        <v>0.5</v>
      </c>
      <c r="BW26" s="12">
        <f t="shared" si="43"/>
        <v>10.42</v>
      </c>
      <c r="BX26" s="12">
        <f t="shared" si="43"/>
        <v>42.8</v>
      </c>
      <c r="BY26" s="12">
        <f t="shared" si="43"/>
        <v>15.1</v>
      </c>
      <c r="BZ26" s="12">
        <f t="shared" si="43"/>
        <v>70.7</v>
      </c>
      <c r="CA26" s="12">
        <f t="shared" si="43"/>
        <v>15.6</v>
      </c>
      <c r="CB26" s="12">
        <f t="shared" si="43"/>
        <v>10.9</v>
      </c>
      <c r="CC26" s="12">
        <f t="shared" si="43"/>
        <v>66.2</v>
      </c>
      <c r="CD26" s="12">
        <f t="shared" si="43"/>
        <v>11.64</v>
      </c>
      <c r="CE26" s="12">
        <f t="shared" si="43"/>
        <v>67.7</v>
      </c>
      <c r="CF26" s="12">
        <f t="shared" si="44"/>
        <v>-1.3</v>
      </c>
      <c r="CG26" s="12">
        <f t="shared" si="44"/>
        <v>33.42</v>
      </c>
      <c r="CH26" s="12">
        <f t="shared" si="44"/>
        <v>3.2</v>
      </c>
      <c r="CI26" s="12">
        <f t="shared" si="44"/>
        <v>10.3</v>
      </c>
      <c r="CJ26" s="12">
        <f t="shared" si="44"/>
        <v>4.7</v>
      </c>
      <c r="CK26" s="12">
        <f t="shared" si="44"/>
        <v>14.7</v>
      </c>
      <c r="CL26" s="12">
        <f t="shared" si="44"/>
        <v>10.199999999999999</v>
      </c>
      <c r="CM26" s="12">
        <f t="shared" si="44"/>
        <v>65.7</v>
      </c>
      <c r="CN26" s="12">
        <f t="shared" si="44"/>
        <v>15.8</v>
      </c>
      <c r="CO26" s="12">
        <f t="shared" si="44"/>
        <v>56.542056074766371</v>
      </c>
    </row>
    <row r="27" spans="1:93" x14ac:dyDescent="0.3">
      <c r="A27" s="6" t="s">
        <v>413</v>
      </c>
      <c r="B27" s="3">
        <v>16</v>
      </c>
      <c r="C27" s="13" t="s">
        <v>51</v>
      </c>
      <c r="D27" s="14">
        <v>13</v>
      </c>
      <c r="E27" s="38">
        <f>G26</f>
        <v>25</v>
      </c>
      <c r="F27" s="39">
        <v>5</v>
      </c>
      <c r="G27" s="38">
        <f t="shared" si="0"/>
        <v>15.151515151515152</v>
      </c>
      <c r="H27" s="39">
        <v>33</v>
      </c>
      <c r="I27" s="40">
        <f t="shared" si="1"/>
        <v>1</v>
      </c>
      <c r="J27" s="39">
        <v>7</v>
      </c>
      <c r="K27" s="39">
        <v>3</v>
      </c>
      <c r="L27" s="39">
        <v>1</v>
      </c>
      <c r="M27" s="39">
        <f>Q26</f>
        <v>49</v>
      </c>
      <c r="N27" s="39">
        <v>15</v>
      </c>
      <c r="O27" s="41">
        <f t="shared" si="2"/>
        <v>0.17145135566188199</v>
      </c>
      <c r="P27" s="39">
        <v>11</v>
      </c>
      <c r="Q27" s="39">
        <v>27.5</v>
      </c>
      <c r="R27" s="39">
        <v>12</v>
      </c>
      <c r="S27" s="38">
        <f t="shared" si="3"/>
        <v>90</v>
      </c>
      <c r="T27" s="39">
        <v>10</v>
      </c>
      <c r="U27" s="39">
        <v>9</v>
      </c>
      <c r="V27" s="39">
        <f>X26</f>
        <v>63</v>
      </c>
      <c r="W27" s="39">
        <v>18</v>
      </c>
      <c r="X27" s="39">
        <v>52</v>
      </c>
      <c r="Y27" s="39">
        <f>Z27-Z26</f>
        <v>-9</v>
      </c>
      <c r="Z27" s="39">
        <f t="shared" si="4"/>
        <v>33</v>
      </c>
      <c r="AA27" s="39">
        <f t="shared" si="5"/>
        <v>-11</v>
      </c>
      <c r="AB27" s="39">
        <v>9</v>
      </c>
      <c r="AC27" s="39">
        <f t="shared" si="6"/>
        <v>10</v>
      </c>
      <c r="AD27" s="39">
        <f>AE26</f>
        <v>17</v>
      </c>
      <c r="AE27" s="39">
        <v>7</v>
      </c>
      <c r="AF27" s="46">
        <f t="shared" si="13"/>
        <v>62.840909090909093</v>
      </c>
      <c r="AG27" s="51">
        <f t="shared" ref="AG27" si="49">AVERAGE(AF26,AF27)</f>
        <v>62.305658627087197</v>
      </c>
      <c r="AH27" s="12">
        <f t="shared" si="39"/>
        <v>35</v>
      </c>
      <c r="AI27" s="12">
        <f t="shared" si="39"/>
        <v>8.4</v>
      </c>
      <c r="AJ27" s="12">
        <f t="shared" si="39"/>
        <v>34.299999999999997</v>
      </c>
      <c r="AK27" s="12">
        <f t="shared" si="39"/>
        <v>23.6</v>
      </c>
      <c r="AL27" s="12">
        <f t="shared" si="39"/>
        <v>1.31</v>
      </c>
      <c r="AM27" s="12">
        <f t="shared" si="39"/>
        <v>13.3</v>
      </c>
      <c r="AN27" s="12">
        <f t="shared" si="39"/>
        <v>16.59</v>
      </c>
      <c r="AO27" s="12">
        <f t="shared" si="39"/>
        <v>2.5</v>
      </c>
      <c r="AP27" s="12">
        <f t="shared" si="39"/>
        <v>43.5</v>
      </c>
      <c r="AQ27" s="12">
        <f t="shared" si="39"/>
        <v>22.56</v>
      </c>
      <c r="AR27" s="12">
        <f t="shared" si="40"/>
        <v>0.5</v>
      </c>
      <c r="AS27" s="12">
        <f t="shared" si="40"/>
        <v>10.42</v>
      </c>
      <c r="AT27" s="12">
        <f t="shared" si="40"/>
        <v>42.8</v>
      </c>
      <c r="AU27" s="12">
        <f t="shared" si="40"/>
        <v>15.1</v>
      </c>
      <c r="AV27" s="12">
        <f t="shared" si="40"/>
        <v>70.7</v>
      </c>
      <c r="AW27" s="12">
        <f t="shared" si="40"/>
        <v>15.6</v>
      </c>
      <c r="AX27" s="12">
        <f t="shared" si="40"/>
        <v>10.9</v>
      </c>
      <c r="AY27" s="12">
        <f t="shared" si="40"/>
        <v>66.2</v>
      </c>
      <c r="AZ27" s="12">
        <f t="shared" si="40"/>
        <v>11.64</v>
      </c>
      <c r="BA27" s="12">
        <f t="shared" si="40"/>
        <v>67.7</v>
      </c>
      <c r="BB27" s="12">
        <f t="shared" si="41"/>
        <v>-1.3</v>
      </c>
      <c r="BC27" s="12">
        <f t="shared" si="41"/>
        <v>33.42</v>
      </c>
      <c r="BD27" s="12">
        <f t="shared" si="41"/>
        <v>3.2</v>
      </c>
      <c r="BE27" s="12">
        <f t="shared" si="41"/>
        <v>10.3</v>
      </c>
      <c r="BF27" s="12">
        <f t="shared" si="41"/>
        <v>4.7</v>
      </c>
      <c r="BG27" s="12">
        <f t="shared" si="41"/>
        <v>14.7</v>
      </c>
      <c r="BH27" s="12">
        <f t="shared" si="41"/>
        <v>10.199999999999999</v>
      </c>
      <c r="BI27" s="12">
        <f t="shared" si="41"/>
        <v>65.7</v>
      </c>
      <c r="BJ27" s="12">
        <f t="shared" si="41"/>
        <v>15.8</v>
      </c>
      <c r="BK27" s="12">
        <f t="shared" si="41"/>
        <v>56.542056074766371</v>
      </c>
      <c r="BL27" s="12">
        <f t="shared" si="42"/>
        <v>29.8</v>
      </c>
      <c r="BM27" s="12">
        <f t="shared" si="42"/>
        <v>8</v>
      </c>
      <c r="BN27" s="12">
        <f t="shared" si="42"/>
        <v>34</v>
      </c>
      <c r="BO27" s="12">
        <f t="shared" si="42"/>
        <v>23</v>
      </c>
      <c r="BP27" s="12">
        <f t="shared" si="42"/>
        <v>1.63</v>
      </c>
      <c r="BQ27" s="12">
        <f t="shared" si="42"/>
        <v>15.3</v>
      </c>
      <c r="BR27" s="12">
        <f t="shared" si="42"/>
        <v>17.12</v>
      </c>
      <c r="BS27" s="12">
        <f t="shared" si="42"/>
        <v>4.8</v>
      </c>
      <c r="BT27" s="12">
        <f t="shared" si="42"/>
        <v>37.9</v>
      </c>
      <c r="BU27" s="12">
        <f t="shared" si="42"/>
        <v>26.86</v>
      </c>
      <c r="BV27" s="12">
        <f t="shared" si="43"/>
        <v>0.53100000000000003</v>
      </c>
      <c r="BW27" s="12">
        <f t="shared" si="43"/>
        <v>11</v>
      </c>
      <c r="BX27" s="12">
        <f t="shared" si="43"/>
        <v>46.6</v>
      </c>
      <c r="BY27" s="12">
        <f t="shared" si="43"/>
        <v>16.5</v>
      </c>
      <c r="BZ27" s="12">
        <f t="shared" si="43"/>
        <v>73.099999999999994</v>
      </c>
      <c r="CA27" s="12">
        <f t="shared" si="43"/>
        <v>17.600000000000001</v>
      </c>
      <c r="CB27" s="12">
        <f t="shared" si="43"/>
        <v>12.8</v>
      </c>
      <c r="CC27" s="12">
        <f t="shared" si="43"/>
        <v>57.6</v>
      </c>
      <c r="CD27" s="12">
        <f t="shared" si="43"/>
        <v>13.06</v>
      </c>
      <c r="CE27" s="12">
        <f t="shared" si="43"/>
        <v>75.900000000000006</v>
      </c>
      <c r="CF27" s="12">
        <f t="shared" si="44"/>
        <v>8.6</v>
      </c>
      <c r="CG27" s="12">
        <f t="shared" si="44"/>
        <v>39.770000000000003</v>
      </c>
      <c r="CH27" s="12">
        <f t="shared" si="44"/>
        <v>18</v>
      </c>
      <c r="CI27" s="12">
        <f t="shared" si="44"/>
        <v>7.5</v>
      </c>
      <c r="CJ27" s="12">
        <f t="shared" si="44"/>
        <v>2.7</v>
      </c>
      <c r="CK27" s="12">
        <f t="shared" si="44"/>
        <v>12</v>
      </c>
      <c r="CL27" s="12">
        <f t="shared" si="44"/>
        <v>9.6</v>
      </c>
      <c r="CM27" s="12">
        <f t="shared" si="44"/>
        <v>66.599999999999994</v>
      </c>
      <c r="CN27" s="12">
        <f t="shared" si="44"/>
        <v>19.550000000000004</v>
      </c>
      <c r="CO27" s="12">
        <f t="shared" si="44"/>
        <v>59.120171673819748</v>
      </c>
    </row>
    <row r="28" spans="1:93" x14ac:dyDescent="0.3">
      <c r="A28" s="6" t="s">
        <v>335</v>
      </c>
      <c r="B28" s="3">
        <v>8</v>
      </c>
      <c r="C28" s="13" t="s">
        <v>5</v>
      </c>
      <c r="D28" s="14">
        <v>14</v>
      </c>
      <c r="E28" s="38">
        <f>G29</f>
        <v>36.363636363636367</v>
      </c>
      <c r="F28" s="39">
        <v>7</v>
      </c>
      <c r="G28" s="38">
        <f t="shared" si="0"/>
        <v>25.925925925925924</v>
      </c>
      <c r="H28" s="39">
        <v>27</v>
      </c>
      <c r="I28" s="40">
        <f t="shared" si="1"/>
        <v>1.375</v>
      </c>
      <c r="J28" s="39">
        <v>11</v>
      </c>
      <c r="K28" s="39">
        <v>27</v>
      </c>
      <c r="L28" s="39">
        <v>2</v>
      </c>
      <c r="M28" s="39">
        <f>Q29</f>
        <v>46</v>
      </c>
      <c r="N28" s="39">
        <v>30</v>
      </c>
      <c r="O28" s="41">
        <f t="shared" si="2"/>
        <v>0.29166666666666669</v>
      </c>
      <c r="P28" s="39">
        <v>8</v>
      </c>
      <c r="Q28" s="39">
        <v>41.2</v>
      </c>
      <c r="R28" s="39">
        <v>18</v>
      </c>
      <c r="S28" s="38">
        <f t="shared" si="3"/>
        <v>70.588235294117652</v>
      </c>
      <c r="T28" s="39">
        <v>17</v>
      </c>
      <c r="U28" s="39">
        <v>12</v>
      </c>
      <c r="V28" s="39">
        <f>X29</f>
        <v>83</v>
      </c>
      <c r="W28" s="39">
        <v>14</v>
      </c>
      <c r="X28" s="39">
        <v>75</v>
      </c>
      <c r="Y28" s="39">
        <f>Z28-Z29</f>
        <v>6</v>
      </c>
      <c r="Z28" s="39">
        <f t="shared" si="4"/>
        <v>44</v>
      </c>
      <c r="AA28" s="39">
        <f t="shared" si="5"/>
        <v>-8</v>
      </c>
      <c r="AB28" s="39">
        <v>4</v>
      </c>
      <c r="AC28" s="39">
        <f t="shared" si="6"/>
        <v>-1</v>
      </c>
      <c r="AD28" s="39">
        <f>AE29</f>
        <v>7</v>
      </c>
      <c r="AE28" s="39">
        <v>8</v>
      </c>
      <c r="AF28" s="46">
        <f t="shared" si="13"/>
        <v>70.03616504854368</v>
      </c>
      <c r="AG28" s="51">
        <f t="shared" ref="AG28" si="50">AVERAGE(AF28,AF29)</f>
        <v>71.264821654706623</v>
      </c>
      <c r="AH28" s="12">
        <f t="shared" si="39"/>
        <v>36.9</v>
      </c>
      <c r="AI28" s="12">
        <f t="shared" si="39"/>
        <v>8.3000000000000007</v>
      </c>
      <c r="AJ28" s="12">
        <f t="shared" si="39"/>
        <v>34.1</v>
      </c>
      <c r="AK28" s="12">
        <f t="shared" si="39"/>
        <v>23.5</v>
      </c>
      <c r="AL28" s="12">
        <f t="shared" si="39"/>
        <v>1.77</v>
      </c>
      <c r="AM28" s="12">
        <f t="shared" si="39"/>
        <v>16.899999999999999</v>
      </c>
      <c r="AN28" s="12">
        <f t="shared" si="39"/>
        <v>18.36</v>
      </c>
      <c r="AO28" s="12">
        <f t="shared" si="39"/>
        <v>3.6</v>
      </c>
      <c r="AP28" s="12">
        <f t="shared" si="39"/>
        <v>46.7</v>
      </c>
      <c r="AQ28" s="12">
        <f t="shared" si="39"/>
        <v>24.94</v>
      </c>
      <c r="AR28" s="12">
        <f t="shared" si="40"/>
        <v>0.52200000000000002</v>
      </c>
      <c r="AS28" s="12">
        <f t="shared" si="40"/>
        <v>11.98</v>
      </c>
      <c r="AT28" s="12">
        <f t="shared" si="40"/>
        <v>45.8</v>
      </c>
      <c r="AU28" s="12">
        <f t="shared" si="40"/>
        <v>14.3</v>
      </c>
      <c r="AV28" s="12">
        <f t="shared" si="40"/>
        <v>73.2</v>
      </c>
      <c r="AW28" s="12">
        <f t="shared" si="40"/>
        <v>21.4</v>
      </c>
      <c r="AX28" s="12">
        <f t="shared" si="40"/>
        <v>15.8</v>
      </c>
      <c r="AY28" s="12">
        <f t="shared" si="40"/>
        <v>79.7</v>
      </c>
      <c r="AZ28" s="12">
        <f t="shared" si="40"/>
        <v>12.74</v>
      </c>
      <c r="BA28" s="12">
        <f t="shared" si="40"/>
        <v>83.1</v>
      </c>
      <c r="BB28" s="12">
        <f t="shared" si="41"/>
        <v>3.1</v>
      </c>
      <c r="BC28" s="12">
        <f t="shared" si="41"/>
        <v>37.97</v>
      </c>
      <c r="BD28" s="12">
        <f t="shared" si="41"/>
        <v>5.3</v>
      </c>
      <c r="BE28" s="12">
        <f t="shared" si="41"/>
        <v>6.3</v>
      </c>
      <c r="BF28" s="12">
        <f t="shared" si="41"/>
        <v>1.9</v>
      </c>
      <c r="BG28" s="12">
        <f t="shared" si="41"/>
        <v>11.53</v>
      </c>
      <c r="BH28" s="12">
        <f t="shared" si="41"/>
        <v>9.6</v>
      </c>
      <c r="BI28" s="12">
        <f t="shared" si="41"/>
        <v>71.8</v>
      </c>
      <c r="BJ28" s="12">
        <f t="shared" si="41"/>
        <v>21.199999999999996</v>
      </c>
      <c r="BK28" s="12">
        <f t="shared" si="41"/>
        <v>64.410480349344965</v>
      </c>
      <c r="BL28" s="12">
        <f t="shared" si="42"/>
        <v>30.1</v>
      </c>
      <c r="BM28" s="12">
        <f t="shared" si="42"/>
        <v>6.9</v>
      </c>
      <c r="BN28" s="12">
        <f t="shared" si="42"/>
        <v>32.5</v>
      </c>
      <c r="BO28" s="12">
        <f t="shared" si="42"/>
        <v>21.7</v>
      </c>
      <c r="BP28" s="12">
        <f t="shared" si="42"/>
        <v>1.28</v>
      </c>
      <c r="BQ28" s="12">
        <f t="shared" si="42"/>
        <v>14.5</v>
      </c>
      <c r="BR28" s="12">
        <f t="shared" si="42"/>
        <v>24.49</v>
      </c>
      <c r="BS28" s="12">
        <f t="shared" si="42"/>
        <v>5</v>
      </c>
      <c r="BT28" s="12">
        <f t="shared" si="42"/>
        <v>40.700000000000003</v>
      </c>
      <c r="BU28" s="12">
        <f t="shared" si="42"/>
        <v>25</v>
      </c>
      <c r="BV28" s="12">
        <f t="shared" si="43"/>
        <v>0.48699999999999999</v>
      </c>
      <c r="BW28" s="12">
        <f t="shared" si="43"/>
        <v>11.95</v>
      </c>
      <c r="BX28" s="12">
        <f t="shared" si="43"/>
        <v>44.2</v>
      </c>
      <c r="BY28" s="12">
        <f t="shared" si="43"/>
        <v>19.399999999999999</v>
      </c>
      <c r="BZ28" s="12">
        <f t="shared" si="43"/>
        <v>70.400000000000006</v>
      </c>
      <c r="CA28" s="12">
        <f t="shared" si="43"/>
        <v>23</v>
      </c>
      <c r="CB28" s="12">
        <f t="shared" si="43"/>
        <v>15.6</v>
      </c>
      <c r="CC28" s="12">
        <f t="shared" si="43"/>
        <v>68.900000000000006</v>
      </c>
      <c r="CD28" s="12">
        <f t="shared" si="43"/>
        <v>12.46</v>
      </c>
      <c r="CE28" s="12">
        <f t="shared" si="43"/>
        <v>75.099999999999994</v>
      </c>
      <c r="CF28" s="12">
        <f t="shared" si="44"/>
        <v>0.8</v>
      </c>
      <c r="CG28" s="12">
        <f t="shared" si="44"/>
        <v>37.630000000000003</v>
      </c>
      <c r="CH28" s="12">
        <f t="shared" si="44"/>
        <v>4.3</v>
      </c>
      <c r="CI28" s="12">
        <f t="shared" si="44"/>
        <v>7.2</v>
      </c>
      <c r="CJ28" s="12">
        <f t="shared" si="44"/>
        <v>0.3</v>
      </c>
      <c r="CK28" s="12">
        <f t="shared" si="44"/>
        <v>11.62</v>
      </c>
      <c r="CL28" s="12">
        <f t="shared" si="44"/>
        <v>11.3</v>
      </c>
      <c r="CM28" s="12">
        <f t="shared" si="44"/>
        <v>70.7</v>
      </c>
      <c r="CN28" s="12">
        <f t="shared" si="44"/>
        <v>19.399999999999995</v>
      </c>
      <c r="CO28" s="12">
        <f t="shared" si="44"/>
        <v>59.502262443438902</v>
      </c>
    </row>
    <row r="29" spans="1:93" x14ac:dyDescent="0.3">
      <c r="A29" s="6" t="s">
        <v>5</v>
      </c>
      <c r="B29" s="3">
        <v>9</v>
      </c>
      <c r="C29" s="13" t="s">
        <v>335</v>
      </c>
      <c r="D29" s="14">
        <v>14</v>
      </c>
      <c r="E29" s="38">
        <f>G28</f>
        <v>25.925925925925924</v>
      </c>
      <c r="F29" s="39">
        <v>8</v>
      </c>
      <c r="G29" s="38">
        <f t="shared" si="0"/>
        <v>36.363636363636367</v>
      </c>
      <c r="H29" s="39">
        <v>22</v>
      </c>
      <c r="I29" s="40">
        <f t="shared" si="1"/>
        <v>2</v>
      </c>
      <c r="J29" s="39">
        <v>14</v>
      </c>
      <c r="K29" s="39">
        <v>26</v>
      </c>
      <c r="L29" s="39">
        <v>5</v>
      </c>
      <c r="M29" s="39">
        <f>Q28</f>
        <v>41.2</v>
      </c>
      <c r="N29" s="39">
        <v>30</v>
      </c>
      <c r="O29" s="41">
        <f t="shared" si="2"/>
        <v>0.41379310344827586</v>
      </c>
      <c r="P29" s="39">
        <v>26</v>
      </c>
      <c r="Q29" s="39">
        <v>46</v>
      </c>
      <c r="R29" s="39">
        <v>18</v>
      </c>
      <c r="S29" s="38">
        <f t="shared" si="3"/>
        <v>77.272727272727266</v>
      </c>
      <c r="T29" s="39">
        <v>22</v>
      </c>
      <c r="U29" s="39">
        <v>17</v>
      </c>
      <c r="V29" s="39">
        <f>X28</f>
        <v>75</v>
      </c>
      <c r="W29" s="39">
        <v>8</v>
      </c>
      <c r="X29" s="39">
        <v>83</v>
      </c>
      <c r="Y29" s="39">
        <f>Z29-Z28</f>
        <v>-6</v>
      </c>
      <c r="Z29" s="39">
        <f t="shared" si="4"/>
        <v>38</v>
      </c>
      <c r="AA29" s="39">
        <f t="shared" si="5"/>
        <v>8</v>
      </c>
      <c r="AB29" s="39">
        <v>6</v>
      </c>
      <c r="AC29" s="39">
        <f t="shared" si="6"/>
        <v>1</v>
      </c>
      <c r="AD29" s="39">
        <f>AE28</f>
        <v>8</v>
      </c>
      <c r="AE29" s="39">
        <v>7</v>
      </c>
      <c r="AF29" s="46">
        <f t="shared" si="13"/>
        <v>72.493478260869566</v>
      </c>
      <c r="AG29" s="51">
        <f t="shared" ref="AG29" si="51">AVERAGE(AF28,AF29)</f>
        <v>71.264821654706623</v>
      </c>
      <c r="AH29" s="12">
        <f t="shared" si="39"/>
        <v>30.1</v>
      </c>
      <c r="AI29" s="12">
        <f t="shared" si="39"/>
        <v>6.9</v>
      </c>
      <c r="AJ29" s="12">
        <f t="shared" si="39"/>
        <v>32.5</v>
      </c>
      <c r="AK29" s="12">
        <f t="shared" si="39"/>
        <v>21.7</v>
      </c>
      <c r="AL29" s="12">
        <f t="shared" si="39"/>
        <v>1.28</v>
      </c>
      <c r="AM29" s="12">
        <f t="shared" si="39"/>
        <v>14.5</v>
      </c>
      <c r="AN29" s="12">
        <f t="shared" si="39"/>
        <v>24.49</v>
      </c>
      <c r="AO29" s="12">
        <f t="shared" si="39"/>
        <v>5</v>
      </c>
      <c r="AP29" s="12">
        <f t="shared" si="39"/>
        <v>40.700000000000003</v>
      </c>
      <c r="AQ29" s="12">
        <f t="shared" si="39"/>
        <v>25</v>
      </c>
      <c r="AR29" s="12">
        <f t="shared" si="40"/>
        <v>0.48699999999999999</v>
      </c>
      <c r="AS29" s="12">
        <f t="shared" si="40"/>
        <v>11.95</v>
      </c>
      <c r="AT29" s="12">
        <f t="shared" si="40"/>
        <v>44.2</v>
      </c>
      <c r="AU29" s="12">
        <f t="shared" si="40"/>
        <v>19.399999999999999</v>
      </c>
      <c r="AV29" s="12">
        <f t="shared" si="40"/>
        <v>70.400000000000006</v>
      </c>
      <c r="AW29" s="12">
        <f t="shared" si="40"/>
        <v>23</v>
      </c>
      <c r="AX29" s="12">
        <f t="shared" si="40"/>
        <v>15.6</v>
      </c>
      <c r="AY29" s="12">
        <f t="shared" si="40"/>
        <v>68.900000000000006</v>
      </c>
      <c r="AZ29" s="12">
        <f t="shared" si="40"/>
        <v>12.46</v>
      </c>
      <c r="BA29" s="12">
        <f t="shared" si="40"/>
        <v>75.099999999999994</v>
      </c>
      <c r="BB29" s="12">
        <f t="shared" si="41"/>
        <v>0.8</v>
      </c>
      <c r="BC29" s="12">
        <f t="shared" si="41"/>
        <v>37.630000000000003</v>
      </c>
      <c r="BD29" s="12">
        <f t="shared" si="41"/>
        <v>4.3</v>
      </c>
      <c r="BE29" s="12">
        <f t="shared" si="41"/>
        <v>7.2</v>
      </c>
      <c r="BF29" s="12">
        <f t="shared" si="41"/>
        <v>0.3</v>
      </c>
      <c r="BG29" s="12">
        <f t="shared" si="41"/>
        <v>11.62</v>
      </c>
      <c r="BH29" s="12">
        <f t="shared" si="41"/>
        <v>11.3</v>
      </c>
      <c r="BI29" s="12">
        <f t="shared" si="41"/>
        <v>70.7</v>
      </c>
      <c r="BJ29" s="12">
        <f t="shared" si="41"/>
        <v>19.399999999999995</v>
      </c>
      <c r="BK29" s="12">
        <f t="shared" si="41"/>
        <v>59.502262443438902</v>
      </c>
      <c r="BL29" s="12">
        <f t="shared" si="42"/>
        <v>36.9</v>
      </c>
      <c r="BM29" s="12">
        <f t="shared" si="42"/>
        <v>8.3000000000000007</v>
      </c>
      <c r="BN29" s="12">
        <f t="shared" si="42"/>
        <v>34.1</v>
      </c>
      <c r="BO29" s="12">
        <f t="shared" si="42"/>
        <v>23.5</v>
      </c>
      <c r="BP29" s="12">
        <f t="shared" si="42"/>
        <v>1.77</v>
      </c>
      <c r="BQ29" s="12">
        <f t="shared" si="42"/>
        <v>16.899999999999999</v>
      </c>
      <c r="BR29" s="12">
        <f t="shared" si="42"/>
        <v>18.36</v>
      </c>
      <c r="BS29" s="12">
        <f t="shared" si="42"/>
        <v>3.6</v>
      </c>
      <c r="BT29" s="12">
        <f t="shared" si="42"/>
        <v>46.7</v>
      </c>
      <c r="BU29" s="12">
        <f t="shared" si="42"/>
        <v>24.94</v>
      </c>
      <c r="BV29" s="12">
        <f t="shared" si="43"/>
        <v>0.52200000000000002</v>
      </c>
      <c r="BW29" s="12">
        <f t="shared" si="43"/>
        <v>11.98</v>
      </c>
      <c r="BX29" s="12">
        <f t="shared" si="43"/>
        <v>45.8</v>
      </c>
      <c r="BY29" s="12">
        <f t="shared" si="43"/>
        <v>14.3</v>
      </c>
      <c r="BZ29" s="12">
        <f t="shared" si="43"/>
        <v>73.2</v>
      </c>
      <c r="CA29" s="12">
        <f t="shared" si="43"/>
        <v>21.4</v>
      </c>
      <c r="CB29" s="12">
        <f t="shared" si="43"/>
        <v>15.8</v>
      </c>
      <c r="CC29" s="12">
        <f t="shared" si="43"/>
        <v>79.7</v>
      </c>
      <c r="CD29" s="12">
        <f t="shared" si="43"/>
        <v>12.74</v>
      </c>
      <c r="CE29" s="12">
        <f t="shared" si="43"/>
        <v>83.1</v>
      </c>
      <c r="CF29" s="12">
        <f t="shared" si="44"/>
        <v>3.1</v>
      </c>
      <c r="CG29" s="12">
        <f t="shared" si="44"/>
        <v>37.97</v>
      </c>
      <c r="CH29" s="12">
        <f t="shared" si="44"/>
        <v>5.3</v>
      </c>
      <c r="CI29" s="12">
        <f t="shared" si="44"/>
        <v>6.3</v>
      </c>
      <c r="CJ29" s="12">
        <f t="shared" si="44"/>
        <v>1.9</v>
      </c>
      <c r="CK29" s="12">
        <f t="shared" si="44"/>
        <v>11.53</v>
      </c>
      <c r="CL29" s="12">
        <f t="shared" si="44"/>
        <v>9.6</v>
      </c>
      <c r="CM29" s="12">
        <f t="shared" si="44"/>
        <v>71.8</v>
      </c>
      <c r="CN29" s="12">
        <f t="shared" si="44"/>
        <v>21.199999999999996</v>
      </c>
      <c r="CO29" s="12">
        <f t="shared" si="44"/>
        <v>64.410480349344965</v>
      </c>
    </row>
    <row r="30" spans="1:93" x14ac:dyDescent="0.3">
      <c r="A30" s="6" t="s">
        <v>313</v>
      </c>
      <c r="B30" s="3">
        <v>5</v>
      </c>
      <c r="C30" s="13" t="s">
        <v>11</v>
      </c>
      <c r="D30" s="14">
        <v>15</v>
      </c>
      <c r="E30" s="38">
        <f>G31</f>
        <v>29.166666666666668</v>
      </c>
      <c r="F30" s="39">
        <v>6</v>
      </c>
      <c r="G30" s="38">
        <f t="shared" si="0"/>
        <v>33.333333333333329</v>
      </c>
      <c r="H30" s="39">
        <v>18</v>
      </c>
      <c r="I30" s="40">
        <f t="shared" si="1"/>
        <v>0.66666666666666663</v>
      </c>
      <c r="J30" s="39">
        <v>6</v>
      </c>
      <c r="K30" s="39">
        <v>3</v>
      </c>
      <c r="L30" s="39">
        <v>1</v>
      </c>
      <c r="M30" s="39">
        <f>Q31</f>
        <v>40</v>
      </c>
      <c r="N30" s="39">
        <v>32</v>
      </c>
      <c r="O30" s="41">
        <f t="shared" si="2"/>
        <v>0.39215686274509792</v>
      </c>
      <c r="P30" s="39">
        <v>3</v>
      </c>
      <c r="Q30" s="39">
        <v>30.4</v>
      </c>
      <c r="R30" s="39">
        <v>11</v>
      </c>
      <c r="S30" s="38">
        <f t="shared" si="3"/>
        <v>79.310344827586206</v>
      </c>
      <c r="T30" s="39">
        <v>29</v>
      </c>
      <c r="U30" s="39">
        <v>23</v>
      </c>
      <c r="V30" s="39">
        <f>X31</f>
        <v>56</v>
      </c>
      <c r="W30" s="39">
        <v>9</v>
      </c>
      <c r="X30" s="39">
        <v>63</v>
      </c>
      <c r="Y30" s="39">
        <f>Z30-Z31</f>
        <v>6</v>
      </c>
      <c r="Z30" s="39">
        <f t="shared" si="4"/>
        <v>41</v>
      </c>
      <c r="AA30" s="39">
        <f t="shared" si="5"/>
        <v>7</v>
      </c>
      <c r="AB30" s="39">
        <v>7</v>
      </c>
      <c r="AC30" s="39">
        <f t="shared" si="6"/>
        <v>3</v>
      </c>
      <c r="AD30" s="39">
        <f>AE31</f>
        <v>12</v>
      </c>
      <c r="AE30" s="39">
        <v>9</v>
      </c>
      <c r="AF30" s="46">
        <f t="shared" si="13"/>
        <v>69.696052631578951</v>
      </c>
      <c r="AG30" s="51">
        <f t="shared" ref="AG30" si="52">AVERAGE(AF30,AF31)</f>
        <v>69.248026315789474</v>
      </c>
      <c r="AH30" s="12">
        <f t="shared" si="39"/>
        <v>33.5</v>
      </c>
      <c r="AI30" s="12">
        <f t="shared" si="39"/>
        <v>7.6</v>
      </c>
      <c r="AJ30" s="12">
        <f t="shared" si="39"/>
        <v>36.799999999999997</v>
      </c>
      <c r="AK30" s="12">
        <f t="shared" si="39"/>
        <v>21.6</v>
      </c>
      <c r="AL30" s="12">
        <f t="shared" si="39"/>
        <v>1.47</v>
      </c>
      <c r="AM30" s="12">
        <f t="shared" si="39"/>
        <v>15</v>
      </c>
      <c r="AN30" s="12">
        <f t="shared" si="39"/>
        <v>12.97</v>
      </c>
      <c r="AO30" s="12">
        <f t="shared" si="39"/>
        <v>3.1</v>
      </c>
      <c r="AP30" s="12">
        <f t="shared" si="39"/>
        <v>44.9</v>
      </c>
      <c r="AQ30" s="12">
        <f t="shared" si="39"/>
        <v>24.63</v>
      </c>
      <c r="AR30" s="12">
        <f t="shared" si="40"/>
        <v>0.54900000000000004</v>
      </c>
      <c r="AS30" s="12">
        <f t="shared" si="40"/>
        <v>14.09</v>
      </c>
      <c r="AT30" s="12">
        <f t="shared" si="40"/>
        <v>48.7</v>
      </c>
      <c r="AU30" s="12">
        <f t="shared" si="40"/>
        <v>13.7</v>
      </c>
      <c r="AV30" s="12">
        <f t="shared" si="40"/>
        <v>78</v>
      </c>
      <c r="AW30" s="12">
        <f t="shared" si="40"/>
        <v>18.600000000000001</v>
      </c>
      <c r="AX30" s="12">
        <f t="shared" si="40"/>
        <v>15.2</v>
      </c>
      <c r="AY30" s="12">
        <f t="shared" si="40"/>
        <v>73.599999999999994</v>
      </c>
      <c r="AZ30" s="12">
        <f t="shared" si="40"/>
        <v>10.83</v>
      </c>
      <c r="BA30" s="12">
        <f t="shared" si="40"/>
        <v>81.900000000000006</v>
      </c>
      <c r="BB30" s="12">
        <f t="shared" si="41"/>
        <v>3.6</v>
      </c>
      <c r="BC30" s="12">
        <f t="shared" si="41"/>
        <v>35.18</v>
      </c>
      <c r="BD30" s="12">
        <f t="shared" si="41"/>
        <v>7.7</v>
      </c>
      <c r="BE30" s="12">
        <f t="shared" si="41"/>
        <v>7.1</v>
      </c>
      <c r="BF30" s="12">
        <f t="shared" si="41"/>
        <v>0.8</v>
      </c>
      <c r="BG30" s="12">
        <f t="shared" si="41"/>
        <v>11.36</v>
      </c>
      <c r="BH30" s="12">
        <f t="shared" si="41"/>
        <v>10.1</v>
      </c>
      <c r="BI30" s="12">
        <f t="shared" si="41"/>
        <v>70.599999999999994</v>
      </c>
      <c r="BJ30" s="12">
        <f t="shared" si="41"/>
        <v>21.950000000000003</v>
      </c>
      <c r="BK30" s="12">
        <f t="shared" si="41"/>
        <v>60.677618069815203</v>
      </c>
      <c r="BL30" s="12">
        <f t="shared" si="42"/>
        <v>30.7</v>
      </c>
      <c r="BM30" s="12">
        <f t="shared" si="42"/>
        <v>8.1999999999999993</v>
      </c>
      <c r="BN30" s="12">
        <f t="shared" si="42"/>
        <v>37</v>
      </c>
      <c r="BO30" s="12">
        <f t="shared" si="42"/>
        <v>22.2</v>
      </c>
      <c r="BP30" s="12">
        <f t="shared" si="42"/>
        <v>1.45</v>
      </c>
      <c r="BQ30" s="12">
        <f t="shared" si="42"/>
        <v>13.5</v>
      </c>
      <c r="BR30" s="12">
        <f t="shared" si="42"/>
        <v>17.59</v>
      </c>
      <c r="BS30" s="12">
        <f t="shared" si="42"/>
        <v>2.6</v>
      </c>
      <c r="BT30" s="12">
        <f t="shared" si="42"/>
        <v>40.5</v>
      </c>
      <c r="BU30" s="12">
        <f t="shared" si="42"/>
        <v>28.06</v>
      </c>
      <c r="BV30" s="12">
        <f t="shared" si="43"/>
        <v>0.54600000000000004</v>
      </c>
      <c r="BW30" s="12">
        <f t="shared" si="43"/>
        <v>8.91</v>
      </c>
      <c r="BX30" s="12">
        <f t="shared" si="43"/>
        <v>47.6</v>
      </c>
      <c r="BY30" s="12">
        <f t="shared" si="43"/>
        <v>14.8</v>
      </c>
      <c r="BZ30" s="12">
        <f t="shared" si="43"/>
        <v>77.2</v>
      </c>
      <c r="CA30" s="12">
        <f t="shared" si="43"/>
        <v>16.5</v>
      </c>
      <c r="CB30" s="12">
        <f t="shared" si="43"/>
        <v>12.4</v>
      </c>
      <c r="CC30" s="12">
        <f t="shared" si="43"/>
        <v>66.5</v>
      </c>
      <c r="CD30" s="12">
        <f t="shared" si="43"/>
        <v>7.94</v>
      </c>
      <c r="CE30" s="12">
        <f t="shared" si="43"/>
        <v>75.599999999999994</v>
      </c>
      <c r="CF30" s="12">
        <f t="shared" si="44"/>
        <v>4</v>
      </c>
      <c r="CG30" s="12">
        <f t="shared" si="44"/>
        <v>36.520000000000003</v>
      </c>
      <c r="CH30" s="12">
        <f t="shared" si="44"/>
        <v>13.4</v>
      </c>
      <c r="CI30" s="12">
        <f t="shared" si="44"/>
        <v>5.7</v>
      </c>
      <c r="CJ30" s="12">
        <f t="shared" si="44"/>
        <v>0.9</v>
      </c>
      <c r="CK30" s="12">
        <f t="shared" si="44"/>
        <v>11.19</v>
      </c>
      <c r="CL30" s="12">
        <f t="shared" si="44"/>
        <v>9.9</v>
      </c>
      <c r="CM30" s="12">
        <f t="shared" si="44"/>
        <v>69.400000000000006</v>
      </c>
      <c r="CN30" s="12">
        <f t="shared" si="44"/>
        <v>19.299999999999997</v>
      </c>
      <c r="CO30" s="12">
        <f t="shared" si="44"/>
        <v>57.773109243697469</v>
      </c>
    </row>
    <row r="31" spans="1:93" x14ac:dyDescent="0.3">
      <c r="A31" s="6" t="s">
        <v>11</v>
      </c>
      <c r="B31" s="3">
        <v>12</v>
      </c>
      <c r="C31" s="13" t="s">
        <v>313</v>
      </c>
      <c r="D31" s="14">
        <v>15</v>
      </c>
      <c r="E31" s="38">
        <f>G30</f>
        <v>33.333333333333329</v>
      </c>
      <c r="F31" s="39">
        <v>7</v>
      </c>
      <c r="G31" s="38">
        <f t="shared" si="0"/>
        <v>29.166666666666668</v>
      </c>
      <c r="H31" s="39">
        <v>24</v>
      </c>
      <c r="I31" s="40">
        <f t="shared" si="1"/>
        <v>1.25</v>
      </c>
      <c r="J31" s="39">
        <v>15</v>
      </c>
      <c r="K31" s="39">
        <v>14</v>
      </c>
      <c r="L31" s="39">
        <v>3</v>
      </c>
      <c r="M31" s="39">
        <f>Q30</f>
        <v>30.4</v>
      </c>
      <c r="N31" s="39">
        <v>33</v>
      </c>
      <c r="O31" s="41">
        <f t="shared" si="2"/>
        <v>0.33806818181818182</v>
      </c>
      <c r="P31" s="39">
        <v>6</v>
      </c>
      <c r="Q31" s="39">
        <v>40</v>
      </c>
      <c r="R31" s="39">
        <v>19</v>
      </c>
      <c r="S31" s="38">
        <f t="shared" si="3"/>
        <v>62.5</v>
      </c>
      <c r="T31" s="39">
        <v>8</v>
      </c>
      <c r="U31" s="39">
        <v>5</v>
      </c>
      <c r="V31" s="39">
        <f>X30</f>
        <v>63</v>
      </c>
      <c r="W31" s="39">
        <v>2</v>
      </c>
      <c r="X31" s="39">
        <v>56</v>
      </c>
      <c r="Y31" s="39">
        <f>Z31-Z30</f>
        <v>-6</v>
      </c>
      <c r="Z31" s="39">
        <f t="shared" si="4"/>
        <v>35</v>
      </c>
      <c r="AA31" s="39">
        <f t="shared" si="5"/>
        <v>-7</v>
      </c>
      <c r="AB31" s="39">
        <v>4</v>
      </c>
      <c r="AC31" s="39">
        <f t="shared" si="6"/>
        <v>-3</v>
      </c>
      <c r="AD31" s="39">
        <f>AE30</f>
        <v>9</v>
      </c>
      <c r="AE31" s="39">
        <v>12</v>
      </c>
      <c r="AF31" s="46">
        <f t="shared" si="13"/>
        <v>68.8</v>
      </c>
      <c r="AG31" s="51">
        <f t="shared" ref="AG31" si="53">AVERAGE(AF30,AF31)</f>
        <v>69.248026315789474</v>
      </c>
      <c r="AH31" s="12">
        <f t="shared" si="39"/>
        <v>30.7</v>
      </c>
      <c r="AI31" s="12">
        <f t="shared" si="39"/>
        <v>8.1999999999999993</v>
      </c>
      <c r="AJ31" s="12">
        <f t="shared" si="39"/>
        <v>37</v>
      </c>
      <c r="AK31" s="12">
        <f t="shared" si="39"/>
        <v>22.2</v>
      </c>
      <c r="AL31" s="12">
        <f t="shared" si="39"/>
        <v>1.45</v>
      </c>
      <c r="AM31" s="12">
        <f t="shared" si="39"/>
        <v>13.5</v>
      </c>
      <c r="AN31" s="12">
        <f t="shared" si="39"/>
        <v>17.59</v>
      </c>
      <c r="AO31" s="12">
        <f t="shared" si="39"/>
        <v>2.6</v>
      </c>
      <c r="AP31" s="12">
        <f t="shared" si="39"/>
        <v>40.5</v>
      </c>
      <c r="AQ31" s="12">
        <f t="shared" si="39"/>
        <v>28.06</v>
      </c>
      <c r="AR31" s="12">
        <f t="shared" si="40"/>
        <v>0.54600000000000004</v>
      </c>
      <c r="AS31" s="12">
        <f t="shared" si="40"/>
        <v>8.91</v>
      </c>
      <c r="AT31" s="12">
        <f t="shared" si="40"/>
        <v>47.6</v>
      </c>
      <c r="AU31" s="12">
        <f t="shared" si="40"/>
        <v>14.8</v>
      </c>
      <c r="AV31" s="12">
        <f t="shared" si="40"/>
        <v>77.2</v>
      </c>
      <c r="AW31" s="12">
        <f t="shared" si="40"/>
        <v>16.5</v>
      </c>
      <c r="AX31" s="12">
        <f t="shared" si="40"/>
        <v>12.4</v>
      </c>
      <c r="AY31" s="12">
        <f t="shared" si="40"/>
        <v>66.5</v>
      </c>
      <c r="AZ31" s="12">
        <f t="shared" si="40"/>
        <v>7.94</v>
      </c>
      <c r="BA31" s="12">
        <f t="shared" si="40"/>
        <v>75.599999999999994</v>
      </c>
      <c r="BB31" s="12">
        <f t="shared" si="41"/>
        <v>4</v>
      </c>
      <c r="BC31" s="12">
        <f t="shared" si="41"/>
        <v>36.520000000000003</v>
      </c>
      <c r="BD31" s="12">
        <f t="shared" si="41"/>
        <v>13.4</v>
      </c>
      <c r="BE31" s="12">
        <f t="shared" si="41"/>
        <v>5.7</v>
      </c>
      <c r="BF31" s="12">
        <f t="shared" si="41"/>
        <v>0.9</v>
      </c>
      <c r="BG31" s="12">
        <f t="shared" si="41"/>
        <v>11.19</v>
      </c>
      <c r="BH31" s="12">
        <f t="shared" si="41"/>
        <v>9.9</v>
      </c>
      <c r="BI31" s="12">
        <f t="shared" si="41"/>
        <v>69.400000000000006</v>
      </c>
      <c r="BJ31" s="12">
        <f t="shared" si="41"/>
        <v>19.299999999999997</v>
      </c>
      <c r="BK31" s="12">
        <f t="shared" si="41"/>
        <v>57.773109243697469</v>
      </c>
      <c r="BL31" s="12">
        <f t="shared" si="42"/>
        <v>33.5</v>
      </c>
      <c r="BM31" s="12">
        <f t="shared" si="42"/>
        <v>7.6</v>
      </c>
      <c r="BN31" s="12">
        <f t="shared" si="42"/>
        <v>36.799999999999997</v>
      </c>
      <c r="BO31" s="12">
        <f t="shared" si="42"/>
        <v>21.6</v>
      </c>
      <c r="BP31" s="12">
        <f t="shared" si="42"/>
        <v>1.47</v>
      </c>
      <c r="BQ31" s="12">
        <f t="shared" si="42"/>
        <v>15</v>
      </c>
      <c r="BR31" s="12">
        <f t="shared" si="42"/>
        <v>12.97</v>
      </c>
      <c r="BS31" s="12">
        <f t="shared" si="42"/>
        <v>3.1</v>
      </c>
      <c r="BT31" s="12">
        <f t="shared" si="42"/>
        <v>44.9</v>
      </c>
      <c r="BU31" s="12">
        <f t="shared" si="42"/>
        <v>24.63</v>
      </c>
      <c r="BV31" s="12">
        <f t="shared" si="43"/>
        <v>0.54900000000000004</v>
      </c>
      <c r="BW31" s="12">
        <f t="shared" si="43"/>
        <v>14.09</v>
      </c>
      <c r="BX31" s="12">
        <f t="shared" si="43"/>
        <v>48.7</v>
      </c>
      <c r="BY31" s="12">
        <f t="shared" si="43"/>
        <v>13.7</v>
      </c>
      <c r="BZ31" s="12">
        <f t="shared" si="43"/>
        <v>78</v>
      </c>
      <c r="CA31" s="12">
        <f t="shared" si="43"/>
        <v>18.600000000000001</v>
      </c>
      <c r="CB31" s="12">
        <f t="shared" si="43"/>
        <v>15.2</v>
      </c>
      <c r="CC31" s="12">
        <f t="shared" si="43"/>
        <v>73.599999999999994</v>
      </c>
      <c r="CD31" s="12">
        <f t="shared" si="43"/>
        <v>10.83</v>
      </c>
      <c r="CE31" s="12">
        <f t="shared" si="43"/>
        <v>81.900000000000006</v>
      </c>
      <c r="CF31" s="12">
        <f t="shared" si="44"/>
        <v>3.6</v>
      </c>
      <c r="CG31" s="12">
        <f t="shared" si="44"/>
        <v>35.18</v>
      </c>
      <c r="CH31" s="12">
        <f t="shared" si="44"/>
        <v>7.7</v>
      </c>
      <c r="CI31" s="12">
        <f t="shared" si="44"/>
        <v>7.1</v>
      </c>
      <c r="CJ31" s="12">
        <f t="shared" si="44"/>
        <v>0.8</v>
      </c>
      <c r="CK31" s="12">
        <f t="shared" si="44"/>
        <v>11.36</v>
      </c>
      <c r="CL31" s="12">
        <f t="shared" si="44"/>
        <v>10.1</v>
      </c>
      <c r="CM31" s="12">
        <f t="shared" si="44"/>
        <v>70.599999999999994</v>
      </c>
      <c r="CN31" s="12">
        <f t="shared" si="44"/>
        <v>21.950000000000003</v>
      </c>
      <c r="CO31" s="12">
        <f t="shared" si="44"/>
        <v>60.677618069815203</v>
      </c>
    </row>
    <row r="32" spans="1:93" x14ac:dyDescent="0.3">
      <c r="A32" s="6" t="s">
        <v>359</v>
      </c>
      <c r="B32" s="3">
        <v>4</v>
      </c>
      <c r="C32" s="13" t="s">
        <v>381</v>
      </c>
      <c r="D32" s="14">
        <v>16</v>
      </c>
      <c r="E32" s="38">
        <f>G33</f>
        <v>33.333333333333329</v>
      </c>
      <c r="F32" s="39">
        <v>5</v>
      </c>
      <c r="G32" s="38">
        <f t="shared" si="0"/>
        <v>35.714285714285715</v>
      </c>
      <c r="H32" s="39">
        <v>14</v>
      </c>
      <c r="I32" s="40">
        <f t="shared" si="1"/>
        <v>2</v>
      </c>
      <c r="J32" s="39">
        <v>14</v>
      </c>
      <c r="K32" s="39">
        <v>4</v>
      </c>
      <c r="L32" s="39">
        <v>7</v>
      </c>
      <c r="M32" s="39">
        <f>Q33</f>
        <v>31.9</v>
      </c>
      <c r="N32" s="39">
        <v>29</v>
      </c>
      <c r="O32" s="41">
        <f t="shared" si="2"/>
        <v>0.38793103448275862</v>
      </c>
      <c r="P32" s="39">
        <v>16</v>
      </c>
      <c r="Q32" s="39">
        <v>46.8</v>
      </c>
      <c r="R32" s="39">
        <v>13</v>
      </c>
      <c r="S32" s="38">
        <f t="shared" si="3"/>
        <v>72.727272727272734</v>
      </c>
      <c r="T32" s="39">
        <v>11</v>
      </c>
      <c r="U32" s="39">
        <v>8</v>
      </c>
      <c r="V32" s="39">
        <f>X33</f>
        <v>60</v>
      </c>
      <c r="W32" s="39">
        <v>10</v>
      </c>
      <c r="X32" s="39">
        <v>71</v>
      </c>
      <c r="Y32" s="39">
        <f>Z32-Z33</f>
        <v>-3</v>
      </c>
      <c r="Z32" s="39">
        <f t="shared" si="4"/>
        <v>39</v>
      </c>
      <c r="AA32" s="39">
        <f t="shared" si="5"/>
        <v>11</v>
      </c>
      <c r="AB32" s="39">
        <v>4</v>
      </c>
      <c r="AC32" s="39">
        <f t="shared" si="6"/>
        <v>2</v>
      </c>
      <c r="AD32" s="39">
        <f>AE33</f>
        <v>9</v>
      </c>
      <c r="AE32" s="39">
        <v>7</v>
      </c>
      <c r="AF32" s="46">
        <f t="shared" si="13"/>
        <v>64.19081196581196</v>
      </c>
      <c r="AG32" s="51">
        <f t="shared" ref="AG32" si="54">AVERAGE(AF32,AF33)</f>
        <v>64.428164603595633</v>
      </c>
      <c r="AH32" s="12">
        <f t="shared" ref="AH32:AQ41" si="55">INDEX(ovrTable2,MATCH(INDEX(teamCol2,ROW()),ovrTeamCol2,0),MATCH(MID(INDEX(headerRow2,1,COLUMN()),4,LEN(INDEX(headerRow2,1,COLUMN()))),ovrHeaderRow2,0))</f>
        <v>33.1</v>
      </c>
      <c r="AI32" s="12">
        <f t="shared" si="55"/>
        <v>6.1</v>
      </c>
      <c r="AJ32" s="12">
        <f t="shared" si="55"/>
        <v>36.6</v>
      </c>
      <c r="AK32" s="12">
        <f t="shared" si="55"/>
        <v>15.2</v>
      </c>
      <c r="AL32" s="12">
        <f t="shared" si="55"/>
        <v>1.47</v>
      </c>
      <c r="AM32" s="12">
        <f t="shared" si="55"/>
        <v>15.9</v>
      </c>
      <c r="AN32" s="12">
        <f t="shared" si="55"/>
        <v>17.71</v>
      </c>
      <c r="AO32" s="12">
        <f t="shared" si="55"/>
        <v>4.9000000000000004</v>
      </c>
      <c r="AP32" s="12">
        <f t="shared" si="55"/>
        <v>41.3</v>
      </c>
      <c r="AQ32" s="12">
        <f t="shared" si="55"/>
        <v>27.17</v>
      </c>
      <c r="AR32" s="12">
        <f t="shared" ref="AR32:BA41" si="56">INDEX(ovrTable2,MATCH(INDEX(teamCol2,ROW()),ovrTeamCol2,0),MATCH(MID(INDEX(headerRow2,1,COLUMN()),4,LEN(INDEX(headerRow2,1,COLUMN()))),ovrHeaderRow2,0))</f>
        <v>0.54600000000000004</v>
      </c>
      <c r="AS32" s="12">
        <f t="shared" si="56"/>
        <v>10.72</v>
      </c>
      <c r="AT32" s="12">
        <f t="shared" si="56"/>
        <v>49</v>
      </c>
      <c r="AU32" s="12">
        <f t="shared" si="56"/>
        <v>17</v>
      </c>
      <c r="AV32" s="12">
        <f t="shared" si="56"/>
        <v>71.599999999999994</v>
      </c>
      <c r="AW32" s="12">
        <f t="shared" si="56"/>
        <v>17.7</v>
      </c>
      <c r="AX32" s="12">
        <f t="shared" si="56"/>
        <v>12</v>
      </c>
      <c r="AY32" s="12">
        <f t="shared" si="56"/>
        <v>70.5</v>
      </c>
      <c r="AZ32" s="12">
        <f t="shared" si="56"/>
        <v>9.61</v>
      </c>
      <c r="BA32" s="12">
        <f t="shared" si="56"/>
        <v>75.599999999999994</v>
      </c>
      <c r="BB32" s="12">
        <f t="shared" ref="BB32:BK41" si="57">INDEX(ovrTable2,MATCH(INDEX(teamCol2,ROW()),ovrTeamCol2,0),MATCH(MID(INDEX(headerRow2,1,COLUMN()),4,LEN(INDEX(headerRow2,1,COLUMN()))),ovrHeaderRow2,0))</f>
        <v>2.2999999999999998</v>
      </c>
      <c r="BC32" s="12">
        <f t="shared" si="57"/>
        <v>36.51</v>
      </c>
      <c r="BD32" s="12">
        <f t="shared" si="57"/>
        <v>6.2</v>
      </c>
      <c r="BE32" s="12">
        <f t="shared" si="57"/>
        <v>5.9</v>
      </c>
      <c r="BF32" s="12">
        <f t="shared" si="57"/>
        <v>-0.1</v>
      </c>
      <c r="BG32" s="12">
        <f t="shared" si="57"/>
        <v>10.49</v>
      </c>
      <c r="BH32" s="12">
        <f t="shared" si="57"/>
        <v>10.5</v>
      </c>
      <c r="BI32" s="12">
        <f t="shared" si="57"/>
        <v>69.900000000000006</v>
      </c>
      <c r="BJ32" s="12">
        <f t="shared" si="57"/>
        <v>22.65</v>
      </c>
      <c r="BK32" s="12">
        <f t="shared" si="57"/>
        <v>58.673469387755105</v>
      </c>
      <c r="BL32" s="12">
        <f t="shared" ref="BL32:BU41" si="58">INDEX(ovrTable2,MATCH(INDEX(oppCol23,ROW()),ovrTeamCol2,0),MATCH(MID(INDEX(headerRow2,1,COLUMN()),4,LEN(INDEX(headerRow2,1,COLUMN()))),ovrHeaderRow2,0))</f>
        <v>31.5</v>
      </c>
      <c r="BM32" s="12">
        <f t="shared" si="58"/>
        <v>8.1999999999999993</v>
      </c>
      <c r="BN32" s="12">
        <f t="shared" si="58"/>
        <v>34</v>
      </c>
      <c r="BO32" s="12">
        <f t="shared" si="58"/>
        <v>23.4</v>
      </c>
      <c r="BP32" s="12">
        <f t="shared" si="58"/>
        <v>1.21</v>
      </c>
      <c r="BQ32" s="12">
        <f t="shared" si="58"/>
        <v>12.1</v>
      </c>
      <c r="BR32" s="12">
        <f t="shared" si="58"/>
        <v>21.92</v>
      </c>
      <c r="BS32" s="12">
        <f t="shared" si="58"/>
        <v>3.9</v>
      </c>
      <c r="BT32" s="12">
        <f t="shared" si="58"/>
        <v>40.299999999999997</v>
      </c>
      <c r="BU32" s="12">
        <f t="shared" si="58"/>
        <v>25.09</v>
      </c>
      <c r="BV32" s="12">
        <f t="shared" ref="BV32:CE41" si="59">INDEX(ovrTable2,MATCH(INDEX(oppCol23,ROW()),ovrTeamCol2,0),MATCH(MID(INDEX(headerRow2,1,COLUMN()),4,LEN(INDEX(headerRow2,1,COLUMN()))),ovrHeaderRow2,0))</f>
        <v>0.51900000000000002</v>
      </c>
      <c r="BW32" s="12">
        <f t="shared" si="59"/>
        <v>9.7200000000000006</v>
      </c>
      <c r="BX32" s="12">
        <f t="shared" si="59"/>
        <v>45.2</v>
      </c>
      <c r="BY32" s="12">
        <f t="shared" si="59"/>
        <v>18.5</v>
      </c>
      <c r="BZ32" s="12">
        <f t="shared" si="59"/>
        <v>72.099999999999994</v>
      </c>
      <c r="CA32" s="12">
        <f t="shared" si="59"/>
        <v>19.399999999999999</v>
      </c>
      <c r="CB32" s="12">
        <f t="shared" si="59"/>
        <v>14.5</v>
      </c>
      <c r="CC32" s="12">
        <f t="shared" si="59"/>
        <v>67</v>
      </c>
      <c r="CD32" s="12">
        <f t="shared" si="59"/>
        <v>11.38</v>
      </c>
      <c r="CE32" s="12">
        <f t="shared" si="59"/>
        <v>78.599999999999994</v>
      </c>
      <c r="CF32" s="12">
        <f t="shared" ref="CF32:CO41" si="60">INDEX(ovrTable2,MATCH(INDEX(oppCol23,ROW()),ovrTeamCol2,0),MATCH(MID(INDEX(headerRow2,1,COLUMN()),4,LEN(INDEX(headerRow2,1,COLUMN()))),ovrHeaderRow2,0))</f>
        <v>1.2</v>
      </c>
      <c r="CG32" s="12">
        <f t="shared" si="60"/>
        <v>36.33</v>
      </c>
      <c r="CH32" s="12">
        <f t="shared" si="60"/>
        <v>11.6</v>
      </c>
      <c r="CI32" s="12">
        <f t="shared" si="60"/>
        <v>9</v>
      </c>
      <c r="CJ32" s="12">
        <f t="shared" si="60"/>
        <v>4</v>
      </c>
      <c r="CK32" s="12">
        <f t="shared" si="60"/>
        <v>14.74</v>
      </c>
      <c r="CL32" s="12">
        <f t="shared" si="60"/>
        <v>10.4</v>
      </c>
      <c r="CM32" s="12">
        <f t="shared" si="60"/>
        <v>71.3</v>
      </c>
      <c r="CN32" s="12">
        <f t="shared" si="60"/>
        <v>19.75</v>
      </c>
      <c r="CO32" s="12">
        <f t="shared" si="60"/>
        <v>61.836283185840706</v>
      </c>
    </row>
    <row r="33" spans="1:93" x14ac:dyDescent="0.3">
      <c r="A33" s="6" t="s">
        <v>381</v>
      </c>
      <c r="B33" s="3">
        <v>13</v>
      </c>
      <c r="C33" s="13" t="s">
        <v>359</v>
      </c>
      <c r="D33" s="14">
        <v>16</v>
      </c>
      <c r="E33" s="38">
        <f>G32</f>
        <v>35.714285714285715</v>
      </c>
      <c r="F33" s="39">
        <v>7</v>
      </c>
      <c r="G33" s="38">
        <f t="shared" si="0"/>
        <v>33.333333333333329</v>
      </c>
      <c r="H33" s="39">
        <v>21</v>
      </c>
      <c r="I33" s="40">
        <f t="shared" si="1"/>
        <v>1.2222222222222223</v>
      </c>
      <c r="J33" s="39">
        <v>11</v>
      </c>
      <c r="K33" s="39">
        <v>21</v>
      </c>
      <c r="L33" s="39">
        <v>4</v>
      </c>
      <c r="M33" s="39">
        <f>Q32</f>
        <v>46.8</v>
      </c>
      <c r="N33" s="39">
        <v>23</v>
      </c>
      <c r="O33" s="41">
        <f t="shared" si="2"/>
        <v>0.3863636363636363</v>
      </c>
      <c r="P33" s="39">
        <v>3</v>
      </c>
      <c r="Q33" s="39">
        <v>31.9</v>
      </c>
      <c r="R33" s="39">
        <v>12</v>
      </c>
      <c r="S33" s="38">
        <f t="shared" si="3"/>
        <v>75</v>
      </c>
      <c r="T33" s="39">
        <v>12</v>
      </c>
      <c r="U33" s="39">
        <v>9</v>
      </c>
      <c r="V33" s="39">
        <f>X32</f>
        <v>71</v>
      </c>
      <c r="W33" s="39">
        <v>19</v>
      </c>
      <c r="X33" s="39">
        <v>60</v>
      </c>
      <c r="Y33" s="39">
        <f>Z33-Z32</f>
        <v>3</v>
      </c>
      <c r="Z33" s="39">
        <f t="shared" si="4"/>
        <v>42</v>
      </c>
      <c r="AA33" s="39">
        <f t="shared" si="5"/>
        <v>-11</v>
      </c>
      <c r="AB33" s="39">
        <v>6</v>
      </c>
      <c r="AC33" s="39">
        <f t="shared" si="6"/>
        <v>-2</v>
      </c>
      <c r="AD33" s="39">
        <f>AE32</f>
        <v>7</v>
      </c>
      <c r="AE33" s="39">
        <v>9</v>
      </c>
      <c r="AF33" s="46">
        <f t="shared" si="13"/>
        <v>64.66551724137932</v>
      </c>
      <c r="AG33" s="51">
        <f t="shared" ref="AG33" si="61">AVERAGE(AF32,AF33)</f>
        <v>64.428164603595633</v>
      </c>
      <c r="AH33" s="12">
        <f t="shared" si="55"/>
        <v>31.5</v>
      </c>
      <c r="AI33" s="12">
        <f t="shared" si="55"/>
        <v>8.1999999999999993</v>
      </c>
      <c r="AJ33" s="12">
        <f t="shared" si="55"/>
        <v>34</v>
      </c>
      <c r="AK33" s="12">
        <f t="shared" si="55"/>
        <v>23.4</v>
      </c>
      <c r="AL33" s="12">
        <f t="shared" si="55"/>
        <v>1.21</v>
      </c>
      <c r="AM33" s="12">
        <f t="shared" si="55"/>
        <v>12.1</v>
      </c>
      <c r="AN33" s="12">
        <f t="shared" si="55"/>
        <v>21.92</v>
      </c>
      <c r="AO33" s="12">
        <f t="shared" si="55"/>
        <v>3.9</v>
      </c>
      <c r="AP33" s="12">
        <f t="shared" si="55"/>
        <v>40.299999999999997</v>
      </c>
      <c r="AQ33" s="12">
        <f t="shared" si="55"/>
        <v>25.09</v>
      </c>
      <c r="AR33" s="12">
        <f t="shared" si="56"/>
        <v>0.51900000000000002</v>
      </c>
      <c r="AS33" s="12">
        <f t="shared" si="56"/>
        <v>9.7200000000000006</v>
      </c>
      <c r="AT33" s="12">
        <f t="shared" si="56"/>
        <v>45.2</v>
      </c>
      <c r="AU33" s="12">
        <f t="shared" si="56"/>
        <v>18.5</v>
      </c>
      <c r="AV33" s="12">
        <f t="shared" si="56"/>
        <v>72.099999999999994</v>
      </c>
      <c r="AW33" s="12">
        <f t="shared" si="56"/>
        <v>19.399999999999999</v>
      </c>
      <c r="AX33" s="12">
        <f t="shared" si="56"/>
        <v>14.5</v>
      </c>
      <c r="AY33" s="12">
        <f t="shared" si="56"/>
        <v>67</v>
      </c>
      <c r="AZ33" s="12">
        <f t="shared" si="56"/>
        <v>11.38</v>
      </c>
      <c r="BA33" s="12">
        <f t="shared" si="56"/>
        <v>78.599999999999994</v>
      </c>
      <c r="BB33" s="12">
        <f t="shared" si="57"/>
        <v>1.2</v>
      </c>
      <c r="BC33" s="12">
        <f t="shared" si="57"/>
        <v>36.33</v>
      </c>
      <c r="BD33" s="12">
        <f t="shared" si="57"/>
        <v>11.6</v>
      </c>
      <c r="BE33" s="12">
        <f t="shared" si="57"/>
        <v>9</v>
      </c>
      <c r="BF33" s="12">
        <f t="shared" si="57"/>
        <v>4</v>
      </c>
      <c r="BG33" s="12">
        <f t="shared" si="57"/>
        <v>14.74</v>
      </c>
      <c r="BH33" s="12">
        <f t="shared" si="57"/>
        <v>10.4</v>
      </c>
      <c r="BI33" s="12">
        <f t="shared" si="57"/>
        <v>71.3</v>
      </c>
      <c r="BJ33" s="12">
        <f t="shared" si="57"/>
        <v>19.75</v>
      </c>
      <c r="BK33" s="12">
        <f t="shared" si="57"/>
        <v>61.836283185840706</v>
      </c>
      <c r="BL33" s="12">
        <f t="shared" si="58"/>
        <v>33.1</v>
      </c>
      <c r="BM33" s="12">
        <f t="shared" si="58"/>
        <v>6.1</v>
      </c>
      <c r="BN33" s="12">
        <f t="shared" si="58"/>
        <v>36.6</v>
      </c>
      <c r="BO33" s="12">
        <f t="shared" si="58"/>
        <v>15.2</v>
      </c>
      <c r="BP33" s="12">
        <f t="shared" si="58"/>
        <v>1.47</v>
      </c>
      <c r="BQ33" s="12">
        <f t="shared" si="58"/>
        <v>15.9</v>
      </c>
      <c r="BR33" s="12">
        <f t="shared" si="58"/>
        <v>17.71</v>
      </c>
      <c r="BS33" s="12">
        <f t="shared" si="58"/>
        <v>4.9000000000000004</v>
      </c>
      <c r="BT33" s="12">
        <f t="shared" si="58"/>
        <v>41.3</v>
      </c>
      <c r="BU33" s="12">
        <f t="shared" si="58"/>
        <v>27.17</v>
      </c>
      <c r="BV33" s="12">
        <f t="shared" si="59"/>
        <v>0.54600000000000004</v>
      </c>
      <c r="BW33" s="12">
        <f t="shared" si="59"/>
        <v>10.72</v>
      </c>
      <c r="BX33" s="12">
        <f t="shared" si="59"/>
        <v>49</v>
      </c>
      <c r="BY33" s="12">
        <f t="shared" si="59"/>
        <v>17</v>
      </c>
      <c r="BZ33" s="12">
        <f t="shared" si="59"/>
        <v>71.599999999999994</v>
      </c>
      <c r="CA33" s="12">
        <f t="shared" si="59"/>
        <v>17.7</v>
      </c>
      <c r="CB33" s="12">
        <f t="shared" si="59"/>
        <v>12</v>
      </c>
      <c r="CC33" s="12">
        <f t="shared" si="59"/>
        <v>70.5</v>
      </c>
      <c r="CD33" s="12">
        <f t="shared" si="59"/>
        <v>9.61</v>
      </c>
      <c r="CE33" s="12">
        <f t="shared" si="59"/>
        <v>75.599999999999994</v>
      </c>
      <c r="CF33" s="12">
        <f t="shared" si="60"/>
        <v>2.2999999999999998</v>
      </c>
      <c r="CG33" s="12">
        <f t="shared" si="60"/>
        <v>36.51</v>
      </c>
      <c r="CH33" s="12">
        <f t="shared" si="60"/>
        <v>6.2</v>
      </c>
      <c r="CI33" s="12">
        <f t="shared" si="60"/>
        <v>5.9</v>
      </c>
      <c r="CJ33" s="12">
        <f t="shared" si="60"/>
        <v>-0.1</v>
      </c>
      <c r="CK33" s="12">
        <f t="shared" si="60"/>
        <v>10.49</v>
      </c>
      <c r="CL33" s="12">
        <f t="shared" si="60"/>
        <v>10.5</v>
      </c>
      <c r="CM33" s="12">
        <f t="shared" si="60"/>
        <v>69.900000000000006</v>
      </c>
      <c r="CN33" s="12">
        <f t="shared" si="60"/>
        <v>22.65</v>
      </c>
      <c r="CO33" s="12">
        <f t="shared" si="60"/>
        <v>58.673469387755105</v>
      </c>
    </row>
    <row r="34" spans="1:93" x14ac:dyDescent="0.3">
      <c r="A34" s="6" t="s">
        <v>3</v>
      </c>
      <c r="B34" s="3">
        <v>6</v>
      </c>
      <c r="C34" s="13" t="s">
        <v>336</v>
      </c>
      <c r="D34" s="14">
        <v>17</v>
      </c>
      <c r="E34" s="38">
        <f>G35</f>
        <v>31.578947368421051</v>
      </c>
      <c r="F34" s="39">
        <v>2</v>
      </c>
      <c r="G34" s="38">
        <f t="shared" ref="G34:G65" si="62">F34/H34*100</f>
        <v>9.5238095238095237</v>
      </c>
      <c r="H34" s="39">
        <v>21</v>
      </c>
      <c r="I34" s="40">
        <f t="shared" ref="I34:I65" si="63">J34/AE34</f>
        <v>0.875</v>
      </c>
      <c r="J34" s="39">
        <v>7</v>
      </c>
      <c r="K34" s="39">
        <v>1</v>
      </c>
      <c r="L34" s="39">
        <v>3</v>
      </c>
      <c r="M34" s="39">
        <f>Q35</f>
        <v>34.1</v>
      </c>
      <c r="N34" s="39">
        <v>21</v>
      </c>
      <c r="O34" s="41">
        <f t="shared" ref="O34:O65" si="64">((X34-F34*3-U34)/2+F34*1.5)/(((X34-F34*3-U34)/2+F34)/(G34/100))</f>
        <v>0.10204081632653061</v>
      </c>
      <c r="P34" s="39">
        <v>7</v>
      </c>
      <c r="Q34" s="39">
        <v>23.3</v>
      </c>
      <c r="R34" s="39">
        <v>22</v>
      </c>
      <c r="S34" s="38">
        <f t="shared" ref="S34:S65" si="65">U34/T34*100</f>
        <v>57.894736842105267</v>
      </c>
      <c r="T34" s="39">
        <v>19</v>
      </c>
      <c r="U34" s="39">
        <v>11</v>
      </c>
      <c r="V34" s="39">
        <f>X35</f>
        <v>59</v>
      </c>
      <c r="W34" s="39">
        <v>16</v>
      </c>
      <c r="X34" s="39">
        <v>41</v>
      </c>
      <c r="Y34" s="39">
        <f>Z34-Z35</f>
        <v>-2</v>
      </c>
      <c r="Z34" s="39">
        <f t="shared" ref="Z34:Z65" si="66">W34+N34</f>
        <v>37</v>
      </c>
      <c r="AA34" s="39">
        <f t="shared" ref="AA34:AA65" si="67">X34-V34</f>
        <v>-18</v>
      </c>
      <c r="AB34" s="39">
        <v>8</v>
      </c>
      <c r="AC34" s="39">
        <f t="shared" ref="AC34:AC65" si="68">AD34-AE34</f>
        <v>7</v>
      </c>
      <c r="AD34" s="39">
        <f>AE35</f>
        <v>15</v>
      </c>
      <c r="AE34" s="39">
        <v>8</v>
      </c>
      <c r="AF34" s="46">
        <f t="shared" si="13"/>
        <v>61.110836909871239</v>
      </c>
      <c r="AG34" s="51">
        <f t="shared" ref="AG34" si="69">AVERAGE(AF34,AF35)</f>
        <v>61.970777692472275</v>
      </c>
      <c r="AH34" s="12">
        <f t="shared" si="55"/>
        <v>33.6</v>
      </c>
      <c r="AI34" s="12">
        <f t="shared" si="55"/>
        <v>6.6</v>
      </c>
      <c r="AJ34" s="12">
        <f t="shared" si="55"/>
        <v>33.799999999999997</v>
      </c>
      <c r="AK34" s="12">
        <f t="shared" si="55"/>
        <v>20.2</v>
      </c>
      <c r="AL34" s="12">
        <f t="shared" si="55"/>
        <v>1.1599999999999999</v>
      </c>
      <c r="AM34" s="12">
        <f t="shared" si="55"/>
        <v>14.5</v>
      </c>
      <c r="AN34" s="12">
        <f t="shared" si="55"/>
        <v>16.72</v>
      </c>
      <c r="AO34" s="12">
        <f t="shared" si="55"/>
        <v>3.1</v>
      </c>
      <c r="AP34" s="12">
        <f t="shared" si="55"/>
        <v>42.1</v>
      </c>
      <c r="AQ34" s="12">
        <f t="shared" si="55"/>
        <v>22.88</v>
      </c>
      <c r="AR34" s="12">
        <f t="shared" si="56"/>
        <v>0.503</v>
      </c>
      <c r="AS34" s="12">
        <f t="shared" si="56"/>
        <v>5.64</v>
      </c>
      <c r="AT34" s="12">
        <f t="shared" si="56"/>
        <v>44.6</v>
      </c>
      <c r="AU34" s="12">
        <f t="shared" si="56"/>
        <v>19.100000000000001</v>
      </c>
      <c r="AV34" s="12">
        <f t="shared" si="56"/>
        <v>68.7</v>
      </c>
      <c r="AW34" s="12">
        <f t="shared" si="56"/>
        <v>16.100000000000001</v>
      </c>
      <c r="AX34" s="12">
        <f t="shared" si="56"/>
        <v>10.6</v>
      </c>
      <c r="AY34" s="12">
        <f t="shared" si="56"/>
        <v>63.1</v>
      </c>
      <c r="AZ34" s="12">
        <f t="shared" si="56"/>
        <v>11.91</v>
      </c>
      <c r="BA34" s="12">
        <f t="shared" si="56"/>
        <v>63.7</v>
      </c>
      <c r="BB34" s="12">
        <f t="shared" si="57"/>
        <v>4.0999999999999996</v>
      </c>
      <c r="BC34" s="12">
        <f t="shared" si="57"/>
        <v>34.39</v>
      </c>
      <c r="BD34" s="12">
        <f t="shared" si="57"/>
        <v>3.9</v>
      </c>
      <c r="BE34" s="12">
        <f t="shared" si="57"/>
        <v>8.6999999999999993</v>
      </c>
      <c r="BF34" s="12">
        <f t="shared" si="57"/>
        <v>2.2999999999999998</v>
      </c>
      <c r="BG34" s="12">
        <f t="shared" si="57"/>
        <v>16.66</v>
      </c>
      <c r="BH34" s="12">
        <f t="shared" si="57"/>
        <v>12.3</v>
      </c>
      <c r="BI34" s="12">
        <f t="shared" si="57"/>
        <v>67.7</v>
      </c>
      <c r="BJ34" s="12">
        <f t="shared" si="57"/>
        <v>16.650000000000002</v>
      </c>
      <c r="BK34" s="12">
        <f t="shared" si="57"/>
        <v>52.130044843049326</v>
      </c>
      <c r="BL34" s="12">
        <f t="shared" si="58"/>
        <v>32.299999999999997</v>
      </c>
      <c r="BM34" s="12">
        <f t="shared" si="58"/>
        <v>8.9</v>
      </c>
      <c r="BN34" s="12">
        <f t="shared" si="58"/>
        <v>35.9</v>
      </c>
      <c r="BO34" s="12">
        <f t="shared" si="58"/>
        <v>25.1</v>
      </c>
      <c r="BP34" s="12">
        <f t="shared" si="58"/>
        <v>1.41</v>
      </c>
      <c r="BQ34" s="12">
        <f t="shared" si="58"/>
        <v>14.6</v>
      </c>
      <c r="BR34" s="12">
        <f t="shared" si="58"/>
        <v>16.66</v>
      </c>
      <c r="BS34" s="12">
        <f t="shared" si="58"/>
        <v>4.0999999999999996</v>
      </c>
      <c r="BT34" s="12">
        <f t="shared" si="58"/>
        <v>42.1</v>
      </c>
      <c r="BU34" s="12">
        <f t="shared" si="58"/>
        <v>26.71</v>
      </c>
      <c r="BV34" s="12">
        <f t="shared" si="59"/>
        <v>0.53500000000000003</v>
      </c>
      <c r="BW34" s="12">
        <f t="shared" si="59"/>
        <v>7.24</v>
      </c>
      <c r="BX34" s="12">
        <f t="shared" si="59"/>
        <v>44.9</v>
      </c>
      <c r="BY34" s="12">
        <f t="shared" si="59"/>
        <v>16.2</v>
      </c>
      <c r="BZ34" s="12">
        <f t="shared" si="59"/>
        <v>75.3</v>
      </c>
      <c r="CA34" s="12">
        <f t="shared" si="59"/>
        <v>19.7</v>
      </c>
      <c r="CB34" s="12">
        <f t="shared" si="59"/>
        <v>15.3</v>
      </c>
      <c r="CC34" s="12">
        <f t="shared" si="59"/>
        <v>71.2</v>
      </c>
      <c r="CD34" s="12">
        <f t="shared" si="59"/>
        <v>10.119999999999999</v>
      </c>
      <c r="CE34" s="12">
        <f t="shared" si="59"/>
        <v>76.400000000000006</v>
      </c>
      <c r="CF34" s="12">
        <f t="shared" si="60"/>
        <v>2.4</v>
      </c>
      <c r="CG34" s="12">
        <f t="shared" si="60"/>
        <v>37.61</v>
      </c>
      <c r="CH34" s="12">
        <f t="shared" si="60"/>
        <v>5</v>
      </c>
      <c r="CI34" s="12">
        <f t="shared" si="60"/>
        <v>5.6</v>
      </c>
      <c r="CJ34" s="12">
        <f t="shared" si="60"/>
        <v>0.2</v>
      </c>
      <c r="CK34" s="12">
        <f t="shared" si="60"/>
        <v>10.55</v>
      </c>
      <c r="CL34" s="12">
        <f t="shared" si="60"/>
        <v>10.1</v>
      </c>
      <c r="CM34" s="12">
        <f t="shared" si="60"/>
        <v>69.5</v>
      </c>
      <c r="CN34" s="12">
        <f t="shared" si="60"/>
        <v>17.200000000000003</v>
      </c>
      <c r="CO34" s="12">
        <f t="shared" si="60"/>
        <v>58.129175946547889</v>
      </c>
    </row>
    <row r="35" spans="1:93" x14ac:dyDescent="0.3">
      <c r="A35" s="6" t="s">
        <v>336</v>
      </c>
      <c r="B35" s="3">
        <v>11</v>
      </c>
      <c r="C35" s="13" t="s">
        <v>3</v>
      </c>
      <c r="D35" s="14">
        <v>17</v>
      </c>
      <c r="E35" s="38">
        <f>G34</f>
        <v>9.5238095238095237</v>
      </c>
      <c r="F35" s="39">
        <v>6</v>
      </c>
      <c r="G35" s="38">
        <f t="shared" si="62"/>
        <v>31.578947368421051</v>
      </c>
      <c r="H35" s="39">
        <v>19</v>
      </c>
      <c r="I35" s="40">
        <f t="shared" si="63"/>
        <v>0.66666666666666663</v>
      </c>
      <c r="J35" s="39">
        <v>10</v>
      </c>
      <c r="K35" s="39">
        <v>11</v>
      </c>
      <c r="L35" s="39">
        <v>4</v>
      </c>
      <c r="M35" s="39">
        <f>Q34</f>
        <v>23.3</v>
      </c>
      <c r="N35" s="39">
        <v>32</v>
      </c>
      <c r="O35" s="41">
        <f t="shared" si="64"/>
        <v>0.38345864661654133</v>
      </c>
      <c r="P35" s="39">
        <v>7</v>
      </c>
      <c r="Q35" s="39">
        <v>34.1</v>
      </c>
      <c r="R35" s="39">
        <v>19</v>
      </c>
      <c r="S35" s="38">
        <f t="shared" si="65"/>
        <v>86.206896551724128</v>
      </c>
      <c r="T35" s="39">
        <v>29</v>
      </c>
      <c r="U35" s="39">
        <v>25</v>
      </c>
      <c r="V35" s="39">
        <f>X34</f>
        <v>41</v>
      </c>
      <c r="W35" s="39">
        <v>7</v>
      </c>
      <c r="X35" s="39">
        <v>59</v>
      </c>
      <c r="Y35" s="39">
        <f>Z35-Z34</f>
        <v>2</v>
      </c>
      <c r="Z35" s="39">
        <f t="shared" si="66"/>
        <v>39</v>
      </c>
      <c r="AA35" s="39">
        <f t="shared" si="67"/>
        <v>18</v>
      </c>
      <c r="AB35" s="39">
        <v>6</v>
      </c>
      <c r="AC35" s="39">
        <f t="shared" si="68"/>
        <v>-7</v>
      </c>
      <c r="AD35" s="39">
        <f>AE34</f>
        <v>8</v>
      </c>
      <c r="AE35" s="39">
        <v>15</v>
      </c>
      <c r="AF35" s="46">
        <f t="shared" si="13"/>
        <v>62.830718475073311</v>
      </c>
      <c r="AG35" s="51">
        <f t="shared" ref="AG35" si="70">AVERAGE(AF34,AF35)</f>
        <v>61.970777692472275</v>
      </c>
      <c r="AH35" s="12">
        <f t="shared" si="55"/>
        <v>32.299999999999997</v>
      </c>
      <c r="AI35" s="12">
        <f t="shared" si="55"/>
        <v>8.9</v>
      </c>
      <c r="AJ35" s="12">
        <f t="shared" si="55"/>
        <v>35.9</v>
      </c>
      <c r="AK35" s="12">
        <f t="shared" si="55"/>
        <v>25.1</v>
      </c>
      <c r="AL35" s="12">
        <f t="shared" si="55"/>
        <v>1.41</v>
      </c>
      <c r="AM35" s="12">
        <f t="shared" si="55"/>
        <v>14.6</v>
      </c>
      <c r="AN35" s="12">
        <f t="shared" si="55"/>
        <v>16.66</v>
      </c>
      <c r="AO35" s="12">
        <f t="shared" si="55"/>
        <v>4.0999999999999996</v>
      </c>
      <c r="AP35" s="12">
        <f t="shared" si="55"/>
        <v>42.1</v>
      </c>
      <c r="AQ35" s="12">
        <f t="shared" si="55"/>
        <v>26.71</v>
      </c>
      <c r="AR35" s="12">
        <f t="shared" si="56"/>
        <v>0.53500000000000003</v>
      </c>
      <c r="AS35" s="12">
        <f t="shared" si="56"/>
        <v>7.24</v>
      </c>
      <c r="AT35" s="12">
        <f t="shared" si="56"/>
        <v>44.9</v>
      </c>
      <c r="AU35" s="12">
        <f t="shared" si="56"/>
        <v>16.2</v>
      </c>
      <c r="AV35" s="12">
        <f t="shared" si="56"/>
        <v>75.3</v>
      </c>
      <c r="AW35" s="12">
        <f t="shared" si="56"/>
        <v>19.7</v>
      </c>
      <c r="AX35" s="12">
        <f t="shared" si="56"/>
        <v>15.3</v>
      </c>
      <c r="AY35" s="12">
        <f t="shared" si="56"/>
        <v>71.2</v>
      </c>
      <c r="AZ35" s="12">
        <f t="shared" si="56"/>
        <v>10.119999999999999</v>
      </c>
      <c r="BA35" s="12">
        <f t="shared" si="56"/>
        <v>76.400000000000006</v>
      </c>
      <c r="BB35" s="12">
        <f t="shared" si="57"/>
        <v>2.4</v>
      </c>
      <c r="BC35" s="12">
        <f t="shared" si="57"/>
        <v>37.61</v>
      </c>
      <c r="BD35" s="12">
        <f t="shared" si="57"/>
        <v>5</v>
      </c>
      <c r="BE35" s="12">
        <f t="shared" si="57"/>
        <v>5.6</v>
      </c>
      <c r="BF35" s="12">
        <f t="shared" si="57"/>
        <v>0.2</v>
      </c>
      <c r="BG35" s="12">
        <f t="shared" si="57"/>
        <v>10.55</v>
      </c>
      <c r="BH35" s="12">
        <f t="shared" si="57"/>
        <v>10.1</v>
      </c>
      <c r="BI35" s="12">
        <f t="shared" si="57"/>
        <v>69.5</v>
      </c>
      <c r="BJ35" s="12">
        <f t="shared" si="57"/>
        <v>17.200000000000003</v>
      </c>
      <c r="BK35" s="12">
        <f t="shared" si="57"/>
        <v>58.129175946547889</v>
      </c>
      <c r="BL35" s="12">
        <f t="shared" si="58"/>
        <v>33.6</v>
      </c>
      <c r="BM35" s="12">
        <f t="shared" si="58"/>
        <v>6.6</v>
      </c>
      <c r="BN35" s="12">
        <f t="shared" si="58"/>
        <v>33.799999999999997</v>
      </c>
      <c r="BO35" s="12">
        <f t="shared" si="58"/>
        <v>20.2</v>
      </c>
      <c r="BP35" s="12">
        <f t="shared" si="58"/>
        <v>1.1599999999999999</v>
      </c>
      <c r="BQ35" s="12">
        <f t="shared" si="58"/>
        <v>14.5</v>
      </c>
      <c r="BR35" s="12">
        <f t="shared" si="58"/>
        <v>16.72</v>
      </c>
      <c r="BS35" s="12">
        <f t="shared" si="58"/>
        <v>3.1</v>
      </c>
      <c r="BT35" s="12">
        <f t="shared" si="58"/>
        <v>42.1</v>
      </c>
      <c r="BU35" s="12">
        <f t="shared" si="58"/>
        <v>22.88</v>
      </c>
      <c r="BV35" s="12">
        <f t="shared" si="59"/>
        <v>0.503</v>
      </c>
      <c r="BW35" s="12">
        <f t="shared" si="59"/>
        <v>5.64</v>
      </c>
      <c r="BX35" s="12">
        <f t="shared" si="59"/>
        <v>44.6</v>
      </c>
      <c r="BY35" s="12">
        <f t="shared" si="59"/>
        <v>19.100000000000001</v>
      </c>
      <c r="BZ35" s="12">
        <f t="shared" si="59"/>
        <v>68.7</v>
      </c>
      <c r="CA35" s="12">
        <f t="shared" si="59"/>
        <v>16.100000000000001</v>
      </c>
      <c r="CB35" s="12">
        <f t="shared" si="59"/>
        <v>10.6</v>
      </c>
      <c r="CC35" s="12">
        <f t="shared" si="59"/>
        <v>63.1</v>
      </c>
      <c r="CD35" s="12">
        <f t="shared" si="59"/>
        <v>11.91</v>
      </c>
      <c r="CE35" s="12">
        <f t="shared" si="59"/>
        <v>63.7</v>
      </c>
      <c r="CF35" s="12">
        <f t="shared" si="60"/>
        <v>4.0999999999999996</v>
      </c>
      <c r="CG35" s="12">
        <f t="shared" si="60"/>
        <v>34.39</v>
      </c>
      <c r="CH35" s="12">
        <f t="shared" si="60"/>
        <v>3.9</v>
      </c>
      <c r="CI35" s="12">
        <f t="shared" si="60"/>
        <v>8.6999999999999993</v>
      </c>
      <c r="CJ35" s="12">
        <f t="shared" si="60"/>
        <v>2.2999999999999998</v>
      </c>
      <c r="CK35" s="12">
        <f t="shared" si="60"/>
        <v>16.66</v>
      </c>
      <c r="CL35" s="12">
        <f t="shared" si="60"/>
        <v>12.3</v>
      </c>
      <c r="CM35" s="12">
        <f t="shared" si="60"/>
        <v>67.7</v>
      </c>
      <c r="CN35" s="12">
        <f t="shared" si="60"/>
        <v>16.650000000000002</v>
      </c>
      <c r="CO35" s="12">
        <f t="shared" si="60"/>
        <v>52.130044843049326</v>
      </c>
    </row>
    <row r="36" spans="1:93" x14ac:dyDescent="0.3">
      <c r="A36" s="6" t="s">
        <v>346</v>
      </c>
      <c r="B36" s="3">
        <v>3</v>
      </c>
      <c r="C36" s="13" t="s">
        <v>412</v>
      </c>
      <c r="D36" s="14">
        <v>18</v>
      </c>
      <c r="E36" s="38">
        <f>G37</f>
        <v>26.315789473684209</v>
      </c>
      <c r="F36" s="39">
        <v>2</v>
      </c>
      <c r="G36" s="38">
        <f t="shared" si="62"/>
        <v>16.666666666666664</v>
      </c>
      <c r="H36" s="39">
        <v>12</v>
      </c>
      <c r="I36" s="40">
        <f t="shared" si="63"/>
        <v>1.6</v>
      </c>
      <c r="J36" s="39">
        <v>16</v>
      </c>
      <c r="K36" s="39">
        <v>1</v>
      </c>
      <c r="L36" s="39">
        <v>4</v>
      </c>
      <c r="M36" s="39">
        <f>Q37</f>
        <v>42.2</v>
      </c>
      <c r="N36" s="39">
        <v>32</v>
      </c>
      <c r="O36" s="41">
        <f t="shared" si="64"/>
        <v>0.17361111111111108</v>
      </c>
      <c r="P36" s="39">
        <v>2</v>
      </c>
      <c r="Q36" s="39">
        <v>46.2</v>
      </c>
      <c r="R36" s="39">
        <v>17</v>
      </c>
      <c r="S36" s="38">
        <f t="shared" si="65"/>
        <v>73.333333333333329</v>
      </c>
      <c r="T36" s="39">
        <v>30</v>
      </c>
      <c r="U36" s="39">
        <v>22</v>
      </c>
      <c r="V36" s="39">
        <f>X37</f>
        <v>67</v>
      </c>
      <c r="W36" s="39">
        <v>4</v>
      </c>
      <c r="X36" s="39">
        <v>72</v>
      </c>
      <c r="Y36" s="39">
        <f>Z36-Z37</f>
        <v>-2</v>
      </c>
      <c r="Z36" s="39">
        <f t="shared" si="66"/>
        <v>36</v>
      </c>
      <c r="AA36" s="39">
        <f t="shared" si="67"/>
        <v>5</v>
      </c>
      <c r="AB36" s="39">
        <v>6</v>
      </c>
      <c r="AC36" s="39">
        <f t="shared" si="68"/>
        <v>1</v>
      </c>
      <c r="AD36" s="39">
        <f>AE37</f>
        <v>11</v>
      </c>
      <c r="AE36" s="39">
        <v>10</v>
      </c>
      <c r="AF36" s="46">
        <f t="shared" si="13"/>
        <v>72.19805194805194</v>
      </c>
      <c r="AG36" s="51">
        <f t="shared" ref="AG36" si="71">AVERAGE(AF36,AF37)</f>
        <v>71.677047301040176</v>
      </c>
      <c r="AH36" s="12">
        <f t="shared" si="55"/>
        <v>34.700000000000003</v>
      </c>
      <c r="AI36" s="12">
        <f t="shared" si="55"/>
        <v>7.5</v>
      </c>
      <c r="AJ36" s="12">
        <f t="shared" si="55"/>
        <v>39.9</v>
      </c>
      <c r="AK36" s="12">
        <f t="shared" si="55"/>
        <v>19.3</v>
      </c>
      <c r="AL36" s="12">
        <f t="shared" si="55"/>
        <v>1.71</v>
      </c>
      <c r="AM36" s="12">
        <f t="shared" si="55"/>
        <v>19</v>
      </c>
      <c r="AN36" s="12">
        <f t="shared" si="55"/>
        <v>11.79</v>
      </c>
      <c r="AO36" s="12">
        <f t="shared" si="55"/>
        <v>3.5</v>
      </c>
      <c r="AP36" s="12">
        <f t="shared" si="55"/>
        <v>43.8</v>
      </c>
      <c r="AQ36" s="12">
        <f t="shared" si="55"/>
        <v>27.89</v>
      </c>
      <c r="AR36" s="12">
        <f t="shared" si="56"/>
        <v>0.55800000000000005</v>
      </c>
      <c r="AS36" s="12">
        <f t="shared" si="56"/>
        <v>11.03</v>
      </c>
      <c r="AT36" s="12">
        <f t="shared" si="56"/>
        <v>49.1</v>
      </c>
      <c r="AU36" s="12">
        <f t="shared" si="56"/>
        <v>15.9</v>
      </c>
      <c r="AV36" s="12">
        <f t="shared" si="56"/>
        <v>71.5</v>
      </c>
      <c r="AW36" s="12">
        <f t="shared" si="56"/>
        <v>20.100000000000001</v>
      </c>
      <c r="AX36" s="12">
        <f t="shared" si="56"/>
        <v>14.5</v>
      </c>
      <c r="AY36" s="12">
        <f t="shared" si="56"/>
        <v>75.099999999999994</v>
      </c>
      <c r="AZ36" s="12">
        <f t="shared" si="56"/>
        <v>10.62</v>
      </c>
      <c r="BA36" s="12">
        <f t="shared" si="56"/>
        <v>85.6</v>
      </c>
      <c r="BB36" s="12">
        <f t="shared" si="57"/>
        <v>5.9</v>
      </c>
      <c r="BC36" s="12">
        <f t="shared" si="57"/>
        <v>38.83</v>
      </c>
      <c r="BD36" s="12">
        <f t="shared" si="57"/>
        <v>7.3</v>
      </c>
      <c r="BE36" s="12">
        <f t="shared" si="57"/>
        <v>6.2</v>
      </c>
      <c r="BF36" s="12">
        <f t="shared" si="57"/>
        <v>-0.3</v>
      </c>
      <c r="BG36" s="12">
        <f t="shared" si="57"/>
        <v>10.81</v>
      </c>
      <c r="BH36" s="12">
        <f t="shared" si="57"/>
        <v>11.7</v>
      </c>
      <c r="BI36" s="12">
        <f t="shared" si="57"/>
        <v>73.7</v>
      </c>
      <c r="BJ36" s="12">
        <f t="shared" si="57"/>
        <v>24.299999999999997</v>
      </c>
      <c r="BK36" s="12">
        <f t="shared" si="57"/>
        <v>64.765784114052948</v>
      </c>
      <c r="BL36" s="12">
        <f t="shared" si="58"/>
        <v>32.9</v>
      </c>
      <c r="BM36" s="12">
        <f t="shared" si="58"/>
        <v>8.5</v>
      </c>
      <c r="BN36" s="12">
        <f t="shared" si="58"/>
        <v>36.299999999999997</v>
      </c>
      <c r="BO36" s="12">
        <f t="shared" si="58"/>
        <v>22.7</v>
      </c>
      <c r="BP36" s="12">
        <f t="shared" si="58"/>
        <v>1.28</v>
      </c>
      <c r="BQ36" s="12">
        <f t="shared" si="58"/>
        <v>14.9</v>
      </c>
      <c r="BR36" s="12">
        <f t="shared" si="58"/>
        <v>21.31</v>
      </c>
      <c r="BS36" s="12">
        <f t="shared" si="58"/>
        <v>2.8</v>
      </c>
      <c r="BT36" s="12">
        <f t="shared" si="58"/>
        <v>43.2</v>
      </c>
      <c r="BU36" s="12">
        <f t="shared" si="58"/>
        <v>26.38</v>
      </c>
      <c r="BV36" s="12">
        <f t="shared" si="59"/>
        <v>0.54200000000000004</v>
      </c>
      <c r="BW36" s="12">
        <f t="shared" si="59"/>
        <v>9.74</v>
      </c>
      <c r="BX36" s="12">
        <f t="shared" si="59"/>
        <v>46.7</v>
      </c>
      <c r="BY36" s="12">
        <f t="shared" si="59"/>
        <v>17.5</v>
      </c>
      <c r="BZ36" s="12">
        <f t="shared" si="59"/>
        <v>67</v>
      </c>
      <c r="CA36" s="12">
        <f t="shared" si="59"/>
        <v>21.6</v>
      </c>
      <c r="CB36" s="12">
        <f t="shared" si="59"/>
        <v>14.7</v>
      </c>
      <c r="CC36" s="12">
        <f t="shared" si="59"/>
        <v>70.7</v>
      </c>
      <c r="CD36" s="12">
        <f t="shared" si="59"/>
        <v>9.92</v>
      </c>
      <c r="CE36" s="12">
        <f t="shared" si="59"/>
        <v>76</v>
      </c>
      <c r="CF36" s="12">
        <f t="shared" si="60"/>
        <v>1.7</v>
      </c>
      <c r="CG36" s="12">
        <f t="shared" si="60"/>
        <v>35.590000000000003</v>
      </c>
      <c r="CH36" s="12">
        <f t="shared" si="60"/>
        <v>5.8</v>
      </c>
      <c r="CI36" s="12">
        <f t="shared" si="60"/>
        <v>7.4</v>
      </c>
      <c r="CJ36" s="12">
        <f t="shared" si="60"/>
        <v>1.3</v>
      </c>
      <c r="CK36" s="12">
        <f t="shared" si="60"/>
        <v>12.81</v>
      </c>
      <c r="CL36" s="12">
        <f t="shared" si="60"/>
        <v>11.7</v>
      </c>
      <c r="CM36" s="12">
        <f t="shared" si="60"/>
        <v>71.8</v>
      </c>
      <c r="CN36" s="12">
        <f t="shared" si="60"/>
        <v>17.899999999999999</v>
      </c>
      <c r="CO36" s="12">
        <f t="shared" si="60"/>
        <v>56.531049250535325</v>
      </c>
    </row>
    <row r="37" spans="1:93" x14ac:dyDescent="0.3">
      <c r="A37" s="6" t="s">
        <v>412</v>
      </c>
      <c r="B37" s="3">
        <v>14</v>
      </c>
      <c r="C37" s="13" t="s">
        <v>346</v>
      </c>
      <c r="D37" s="14">
        <v>18</v>
      </c>
      <c r="E37" s="38">
        <f>G36</f>
        <v>16.666666666666664</v>
      </c>
      <c r="F37" s="39">
        <v>5</v>
      </c>
      <c r="G37" s="38">
        <f t="shared" si="62"/>
        <v>26.315789473684209</v>
      </c>
      <c r="H37" s="39">
        <v>19</v>
      </c>
      <c r="I37" s="40">
        <f t="shared" si="63"/>
        <v>1.0909090909090908</v>
      </c>
      <c r="J37" s="39">
        <v>12</v>
      </c>
      <c r="K37" s="39">
        <v>19</v>
      </c>
      <c r="L37" s="39">
        <v>1</v>
      </c>
      <c r="M37" s="39">
        <f>Q36</f>
        <v>46.2</v>
      </c>
      <c r="N37" s="39">
        <v>28</v>
      </c>
      <c r="O37" s="41">
        <f t="shared" si="64"/>
        <v>0.28752436647173485</v>
      </c>
      <c r="P37" s="39">
        <v>8</v>
      </c>
      <c r="Q37" s="39">
        <v>42.2</v>
      </c>
      <c r="R37" s="39">
        <v>21</v>
      </c>
      <c r="S37" s="38">
        <f t="shared" si="65"/>
        <v>61.53846153846154</v>
      </c>
      <c r="T37" s="39">
        <v>13</v>
      </c>
      <c r="U37" s="39">
        <v>8</v>
      </c>
      <c r="V37" s="39">
        <f>X36</f>
        <v>72</v>
      </c>
      <c r="W37" s="39">
        <v>10</v>
      </c>
      <c r="X37" s="39">
        <v>67</v>
      </c>
      <c r="Y37" s="39">
        <f>Z37-Z36</f>
        <v>2</v>
      </c>
      <c r="Z37" s="39">
        <f t="shared" si="66"/>
        <v>38</v>
      </c>
      <c r="AA37" s="39">
        <f t="shared" si="67"/>
        <v>-5</v>
      </c>
      <c r="AB37" s="39">
        <v>5</v>
      </c>
      <c r="AC37" s="39">
        <f t="shared" si="68"/>
        <v>-1</v>
      </c>
      <c r="AD37" s="39">
        <f>AE36</f>
        <v>10</v>
      </c>
      <c r="AE37" s="39">
        <v>11</v>
      </c>
      <c r="AF37" s="46">
        <f t="shared" si="13"/>
        <v>71.156042654028425</v>
      </c>
      <c r="AG37" s="51">
        <f t="shared" ref="AG37" si="72">AVERAGE(AF36,AF37)</f>
        <v>71.677047301040176</v>
      </c>
      <c r="AH37" s="12">
        <f t="shared" si="55"/>
        <v>32.9</v>
      </c>
      <c r="AI37" s="12">
        <f t="shared" si="55"/>
        <v>8.5</v>
      </c>
      <c r="AJ37" s="12">
        <f t="shared" si="55"/>
        <v>36.299999999999997</v>
      </c>
      <c r="AK37" s="12">
        <f t="shared" si="55"/>
        <v>22.7</v>
      </c>
      <c r="AL37" s="12">
        <f t="shared" si="55"/>
        <v>1.28</v>
      </c>
      <c r="AM37" s="12">
        <f t="shared" si="55"/>
        <v>14.9</v>
      </c>
      <c r="AN37" s="12">
        <f t="shared" si="55"/>
        <v>21.31</v>
      </c>
      <c r="AO37" s="12">
        <f t="shared" si="55"/>
        <v>2.8</v>
      </c>
      <c r="AP37" s="12">
        <f t="shared" si="55"/>
        <v>43.2</v>
      </c>
      <c r="AQ37" s="12">
        <f t="shared" si="55"/>
        <v>26.38</v>
      </c>
      <c r="AR37" s="12">
        <f t="shared" si="56"/>
        <v>0.54200000000000004</v>
      </c>
      <c r="AS37" s="12">
        <f t="shared" si="56"/>
        <v>9.74</v>
      </c>
      <c r="AT37" s="12">
        <f t="shared" si="56"/>
        <v>46.7</v>
      </c>
      <c r="AU37" s="12">
        <f t="shared" si="56"/>
        <v>17.5</v>
      </c>
      <c r="AV37" s="12">
        <f t="shared" si="56"/>
        <v>67</v>
      </c>
      <c r="AW37" s="12">
        <f t="shared" si="56"/>
        <v>21.6</v>
      </c>
      <c r="AX37" s="12">
        <f t="shared" si="56"/>
        <v>14.7</v>
      </c>
      <c r="AY37" s="12">
        <f t="shared" si="56"/>
        <v>70.7</v>
      </c>
      <c r="AZ37" s="12">
        <f t="shared" si="56"/>
        <v>9.92</v>
      </c>
      <c r="BA37" s="12">
        <f t="shared" si="56"/>
        <v>76</v>
      </c>
      <c r="BB37" s="12">
        <f t="shared" si="57"/>
        <v>1.7</v>
      </c>
      <c r="BC37" s="12">
        <f t="shared" si="57"/>
        <v>35.590000000000003</v>
      </c>
      <c r="BD37" s="12">
        <f t="shared" si="57"/>
        <v>5.8</v>
      </c>
      <c r="BE37" s="12">
        <f t="shared" si="57"/>
        <v>7.4</v>
      </c>
      <c r="BF37" s="12">
        <f t="shared" si="57"/>
        <v>1.3</v>
      </c>
      <c r="BG37" s="12">
        <f t="shared" si="57"/>
        <v>12.81</v>
      </c>
      <c r="BH37" s="12">
        <f t="shared" si="57"/>
        <v>11.7</v>
      </c>
      <c r="BI37" s="12">
        <f t="shared" si="57"/>
        <v>71.8</v>
      </c>
      <c r="BJ37" s="12">
        <f t="shared" si="57"/>
        <v>17.899999999999999</v>
      </c>
      <c r="BK37" s="12">
        <f t="shared" si="57"/>
        <v>56.531049250535325</v>
      </c>
      <c r="BL37" s="12">
        <f t="shared" si="58"/>
        <v>34.700000000000003</v>
      </c>
      <c r="BM37" s="12">
        <f t="shared" si="58"/>
        <v>7.5</v>
      </c>
      <c r="BN37" s="12">
        <f t="shared" si="58"/>
        <v>39.9</v>
      </c>
      <c r="BO37" s="12">
        <f t="shared" si="58"/>
        <v>19.3</v>
      </c>
      <c r="BP37" s="12">
        <f t="shared" si="58"/>
        <v>1.71</v>
      </c>
      <c r="BQ37" s="12">
        <f t="shared" si="58"/>
        <v>19</v>
      </c>
      <c r="BR37" s="12">
        <f t="shared" si="58"/>
        <v>11.79</v>
      </c>
      <c r="BS37" s="12">
        <f t="shared" si="58"/>
        <v>3.5</v>
      </c>
      <c r="BT37" s="12">
        <f t="shared" si="58"/>
        <v>43.8</v>
      </c>
      <c r="BU37" s="12">
        <f t="shared" si="58"/>
        <v>27.89</v>
      </c>
      <c r="BV37" s="12">
        <f t="shared" si="59"/>
        <v>0.55800000000000005</v>
      </c>
      <c r="BW37" s="12">
        <f t="shared" si="59"/>
        <v>11.03</v>
      </c>
      <c r="BX37" s="12">
        <f t="shared" si="59"/>
        <v>49.1</v>
      </c>
      <c r="BY37" s="12">
        <f t="shared" si="59"/>
        <v>15.9</v>
      </c>
      <c r="BZ37" s="12">
        <f t="shared" si="59"/>
        <v>71.5</v>
      </c>
      <c r="CA37" s="12">
        <f t="shared" si="59"/>
        <v>20.100000000000001</v>
      </c>
      <c r="CB37" s="12">
        <f t="shared" si="59"/>
        <v>14.5</v>
      </c>
      <c r="CC37" s="12">
        <f t="shared" si="59"/>
        <v>75.099999999999994</v>
      </c>
      <c r="CD37" s="12">
        <f t="shared" si="59"/>
        <v>10.62</v>
      </c>
      <c r="CE37" s="12">
        <f t="shared" si="59"/>
        <v>85.6</v>
      </c>
      <c r="CF37" s="12">
        <f t="shared" si="60"/>
        <v>5.9</v>
      </c>
      <c r="CG37" s="12">
        <f t="shared" si="60"/>
        <v>38.83</v>
      </c>
      <c r="CH37" s="12">
        <f t="shared" si="60"/>
        <v>7.3</v>
      </c>
      <c r="CI37" s="12">
        <f t="shared" si="60"/>
        <v>6.2</v>
      </c>
      <c r="CJ37" s="12">
        <f t="shared" si="60"/>
        <v>-0.3</v>
      </c>
      <c r="CK37" s="12">
        <f t="shared" si="60"/>
        <v>10.81</v>
      </c>
      <c r="CL37" s="12">
        <f t="shared" si="60"/>
        <v>11.7</v>
      </c>
      <c r="CM37" s="12">
        <f t="shared" si="60"/>
        <v>73.7</v>
      </c>
      <c r="CN37" s="12">
        <f t="shared" si="60"/>
        <v>24.299999999999997</v>
      </c>
      <c r="CO37" s="12">
        <f t="shared" si="60"/>
        <v>64.765784114052948</v>
      </c>
    </row>
    <row r="38" spans="1:93" x14ac:dyDescent="0.3">
      <c r="A38" s="6" t="s">
        <v>43</v>
      </c>
      <c r="B38" s="3">
        <v>7</v>
      </c>
      <c r="C38" s="13" t="s">
        <v>392</v>
      </c>
      <c r="D38" s="14">
        <v>19</v>
      </c>
      <c r="E38" s="38">
        <f>G39</f>
        <v>59.090909090909093</v>
      </c>
      <c r="F38" s="39">
        <v>10</v>
      </c>
      <c r="G38" s="38">
        <f t="shared" si="62"/>
        <v>29.411764705882355</v>
      </c>
      <c r="H38" s="39">
        <v>34</v>
      </c>
      <c r="I38" s="40">
        <f t="shared" si="63"/>
        <v>0.9</v>
      </c>
      <c r="J38" s="39">
        <v>9</v>
      </c>
      <c r="K38" s="39">
        <v>6</v>
      </c>
      <c r="L38" s="39">
        <v>2</v>
      </c>
      <c r="M38" s="39">
        <f>Q39</f>
        <v>48.2</v>
      </c>
      <c r="N38" s="39">
        <v>19</v>
      </c>
      <c r="O38" s="41">
        <f t="shared" si="64"/>
        <v>0.36764705882352944</v>
      </c>
      <c r="P38" s="39">
        <v>0</v>
      </c>
      <c r="Q38" s="39">
        <v>33.9</v>
      </c>
      <c r="R38" s="39">
        <v>15</v>
      </c>
      <c r="S38" s="38">
        <f t="shared" si="65"/>
        <v>75</v>
      </c>
      <c r="T38" s="39">
        <v>12</v>
      </c>
      <c r="U38" s="39">
        <v>9</v>
      </c>
      <c r="V38" s="39">
        <f>X39</f>
        <v>76</v>
      </c>
      <c r="W38" s="39">
        <v>17</v>
      </c>
      <c r="X38" s="39">
        <v>59</v>
      </c>
      <c r="Y38" s="39">
        <f>Z38-Z39</f>
        <v>4</v>
      </c>
      <c r="Z38" s="39">
        <f t="shared" si="66"/>
        <v>36</v>
      </c>
      <c r="AA38" s="39">
        <f t="shared" si="67"/>
        <v>-17</v>
      </c>
      <c r="AB38" s="39">
        <v>3</v>
      </c>
      <c r="AC38" s="39">
        <f t="shared" si="68"/>
        <v>-2</v>
      </c>
      <c r="AD38" s="39">
        <f>AE39</f>
        <v>8</v>
      </c>
      <c r="AE38" s="39">
        <v>10</v>
      </c>
      <c r="AF38" s="46">
        <f t="shared" si="13"/>
        <v>57.697050147492618</v>
      </c>
      <c r="AG38" s="51">
        <f t="shared" ref="AG38" si="73">AVERAGE(AF38,AF39)</f>
        <v>59.469323828933028</v>
      </c>
      <c r="AH38" s="12">
        <f t="shared" si="55"/>
        <v>32.6</v>
      </c>
      <c r="AI38" s="12">
        <f t="shared" si="55"/>
        <v>6.5</v>
      </c>
      <c r="AJ38" s="12">
        <f t="shared" si="55"/>
        <v>33.200000000000003</v>
      </c>
      <c r="AK38" s="12">
        <f t="shared" si="55"/>
        <v>19.399999999999999</v>
      </c>
      <c r="AL38" s="12">
        <f t="shared" si="55"/>
        <v>1.1299999999999999</v>
      </c>
      <c r="AM38" s="12">
        <f t="shared" si="55"/>
        <v>12.7</v>
      </c>
      <c r="AN38" s="12">
        <f t="shared" si="55"/>
        <v>17.46</v>
      </c>
      <c r="AO38" s="12">
        <f t="shared" si="55"/>
        <v>2.2999999999999998</v>
      </c>
      <c r="AP38" s="12">
        <f t="shared" si="55"/>
        <v>40.6</v>
      </c>
      <c r="AQ38" s="12">
        <f t="shared" si="55"/>
        <v>24.67</v>
      </c>
      <c r="AR38" s="12">
        <f t="shared" si="56"/>
        <v>0.48699999999999999</v>
      </c>
      <c r="AS38" s="12">
        <f t="shared" si="56"/>
        <v>8.11</v>
      </c>
      <c r="AT38" s="12">
        <f t="shared" si="56"/>
        <v>43.9</v>
      </c>
      <c r="AU38" s="12">
        <f t="shared" si="56"/>
        <v>17.600000000000001</v>
      </c>
      <c r="AV38" s="12">
        <f t="shared" si="56"/>
        <v>75.5</v>
      </c>
      <c r="AW38" s="12">
        <f t="shared" si="56"/>
        <v>25.8</v>
      </c>
      <c r="AX38" s="12">
        <f t="shared" si="56"/>
        <v>19.3</v>
      </c>
      <c r="AY38" s="12">
        <f t="shared" si="56"/>
        <v>67.3</v>
      </c>
      <c r="AZ38" s="12">
        <f t="shared" si="56"/>
        <v>12.89</v>
      </c>
      <c r="BA38" s="12">
        <f t="shared" si="56"/>
        <v>75.2</v>
      </c>
      <c r="BB38" s="12">
        <f t="shared" si="57"/>
        <v>5.5</v>
      </c>
      <c r="BC38" s="12">
        <f t="shared" si="57"/>
        <v>38.11</v>
      </c>
      <c r="BD38" s="12">
        <f t="shared" si="57"/>
        <v>6.8</v>
      </c>
      <c r="BE38" s="12">
        <f t="shared" si="57"/>
        <v>6.6</v>
      </c>
      <c r="BF38" s="12">
        <f t="shared" si="57"/>
        <v>1.1000000000000001</v>
      </c>
      <c r="BG38" s="12">
        <f t="shared" si="57"/>
        <v>12.34</v>
      </c>
      <c r="BH38" s="12">
        <f t="shared" si="57"/>
        <v>11.6</v>
      </c>
      <c r="BI38" s="12">
        <f t="shared" si="57"/>
        <v>68.7</v>
      </c>
      <c r="BJ38" s="12">
        <f t="shared" si="57"/>
        <v>18.200000000000003</v>
      </c>
      <c r="BK38" s="12">
        <f t="shared" si="57"/>
        <v>56.264236902050129</v>
      </c>
      <c r="BL38" s="12">
        <f t="shared" si="58"/>
        <v>32.5</v>
      </c>
      <c r="BM38" s="12">
        <f t="shared" si="58"/>
        <v>11.1</v>
      </c>
      <c r="BN38" s="12">
        <f t="shared" si="58"/>
        <v>39.1</v>
      </c>
      <c r="BO38" s="12">
        <f t="shared" si="58"/>
        <v>26.3</v>
      </c>
      <c r="BP38" s="12">
        <f t="shared" si="58"/>
        <v>1.66</v>
      </c>
      <c r="BQ38" s="12">
        <f t="shared" si="58"/>
        <v>13.9</v>
      </c>
      <c r="BR38" s="12">
        <f t="shared" si="58"/>
        <v>15.86</v>
      </c>
      <c r="BS38" s="12">
        <f t="shared" si="58"/>
        <v>2.2000000000000002</v>
      </c>
      <c r="BT38" s="12">
        <f t="shared" si="58"/>
        <v>43.1</v>
      </c>
      <c r="BU38" s="12">
        <f t="shared" si="58"/>
        <v>27.08</v>
      </c>
      <c r="BV38" s="12">
        <f t="shared" si="59"/>
        <v>0.55800000000000005</v>
      </c>
      <c r="BW38" s="12">
        <f t="shared" si="59"/>
        <v>5.89</v>
      </c>
      <c r="BX38" s="12">
        <f t="shared" si="59"/>
        <v>46.9</v>
      </c>
      <c r="BY38" s="12">
        <f t="shared" si="59"/>
        <v>15.1</v>
      </c>
      <c r="BZ38" s="12">
        <f t="shared" si="59"/>
        <v>73.3</v>
      </c>
      <c r="CA38" s="12">
        <f t="shared" si="59"/>
        <v>14</v>
      </c>
      <c r="CB38" s="12">
        <f t="shared" si="59"/>
        <v>8.9</v>
      </c>
      <c r="CC38" s="12">
        <f t="shared" si="59"/>
        <v>69.900000000000006</v>
      </c>
      <c r="CD38" s="12">
        <f t="shared" si="59"/>
        <v>6.77</v>
      </c>
      <c r="CE38" s="12">
        <f t="shared" si="59"/>
        <v>74.2</v>
      </c>
      <c r="CF38" s="12">
        <f t="shared" si="60"/>
        <v>-2.2000000000000002</v>
      </c>
      <c r="CG38" s="12">
        <f t="shared" si="60"/>
        <v>33.549999999999997</v>
      </c>
      <c r="CH38" s="12">
        <f t="shared" si="60"/>
        <v>2.4</v>
      </c>
      <c r="CI38" s="12">
        <f t="shared" si="60"/>
        <v>3.8</v>
      </c>
      <c r="CJ38" s="12">
        <f t="shared" si="60"/>
        <v>-0.2</v>
      </c>
      <c r="CK38" s="12">
        <f t="shared" si="60"/>
        <v>7.6</v>
      </c>
      <c r="CL38" s="12">
        <f t="shared" si="60"/>
        <v>8.8000000000000007</v>
      </c>
      <c r="CM38" s="12">
        <f t="shared" si="60"/>
        <v>66.400000000000006</v>
      </c>
      <c r="CN38" s="12">
        <f t="shared" si="60"/>
        <v>16</v>
      </c>
      <c r="CO38" s="12">
        <f t="shared" si="60"/>
        <v>57.782515991471215</v>
      </c>
    </row>
    <row r="39" spans="1:93" x14ac:dyDescent="0.3">
      <c r="A39" s="6" t="s">
        <v>392</v>
      </c>
      <c r="B39" s="3">
        <v>10</v>
      </c>
      <c r="C39" s="13" t="s">
        <v>43</v>
      </c>
      <c r="D39" s="14">
        <v>19</v>
      </c>
      <c r="E39" s="38">
        <f>G38</f>
        <v>29.411764705882355</v>
      </c>
      <c r="F39" s="39">
        <v>13</v>
      </c>
      <c r="G39" s="38">
        <f t="shared" si="62"/>
        <v>59.090909090909093</v>
      </c>
      <c r="H39" s="39">
        <v>22</v>
      </c>
      <c r="I39" s="40">
        <f t="shared" si="63"/>
        <v>1.75</v>
      </c>
      <c r="J39" s="39">
        <v>14</v>
      </c>
      <c r="K39" s="39">
        <v>10</v>
      </c>
      <c r="L39" s="39">
        <v>1</v>
      </c>
      <c r="M39" s="39">
        <f>Q38</f>
        <v>33.9</v>
      </c>
      <c r="N39" s="39">
        <v>24</v>
      </c>
      <c r="O39" s="41">
        <f t="shared" si="64"/>
        <v>0.73316498316498313</v>
      </c>
      <c r="P39" s="39">
        <v>0</v>
      </c>
      <c r="Q39" s="39">
        <v>48.2</v>
      </c>
      <c r="R39" s="39">
        <v>11</v>
      </c>
      <c r="S39" s="38">
        <f t="shared" si="65"/>
        <v>81.818181818181827</v>
      </c>
      <c r="T39" s="39">
        <v>11</v>
      </c>
      <c r="U39" s="39">
        <v>9</v>
      </c>
      <c r="V39" s="39">
        <f>X38</f>
        <v>59</v>
      </c>
      <c r="W39" s="39">
        <v>8</v>
      </c>
      <c r="X39" s="39">
        <v>76</v>
      </c>
      <c r="Y39" s="39">
        <f>Z39-Z38</f>
        <v>-4</v>
      </c>
      <c r="Z39" s="39">
        <f t="shared" si="66"/>
        <v>32</v>
      </c>
      <c r="AA39" s="39">
        <f t="shared" si="67"/>
        <v>17</v>
      </c>
      <c r="AB39" s="39">
        <v>5</v>
      </c>
      <c r="AC39" s="39">
        <f t="shared" si="68"/>
        <v>2</v>
      </c>
      <c r="AD39" s="39">
        <f>AE38</f>
        <v>10</v>
      </c>
      <c r="AE39" s="39">
        <v>8</v>
      </c>
      <c r="AF39" s="46">
        <f t="shared" si="13"/>
        <v>61.241597510373445</v>
      </c>
      <c r="AG39" s="51">
        <f t="shared" ref="AG39" si="74">AVERAGE(AF38,AF39)</f>
        <v>59.469323828933028</v>
      </c>
      <c r="AH39" s="12">
        <f t="shared" si="55"/>
        <v>32.5</v>
      </c>
      <c r="AI39" s="12">
        <f t="shared" si="55"/>
        <v>11.1</v>
      </c>
      <c r="AJ39" s="12">
        <f t="shared" si="55"/>
        <v>39.1</v>
      </c>
      <c r="AK39" s="12">
        <f t="shared" si="55"/>
        <v>26.3</v>
      </c>
      <c r="AL39" s="12">
        <f t="shared" si="55"/>
        <v>1.66</v>
      </c>
      <c r="AM39" s="12">
        <f t="shared" si="55"/>
        <v>13.9</v>
      </c>
      <c r="AN39" s="12">
        <f t="shared" si="55"/>
        <v>15.86</v>
      </c>
      <c r="AO39" s="12">
        <f t="shared" si="55"/>
        <v>2.2000000000000002</v>
      </c>
      <c r="AP39" s="12">
        <f t="shared" si="55"/>
        <v>43.1</v>
      </c>
      <c r="AQ39" s="12">
        <f t="shared" si="55"/>
        <v>27.08</v>
      </c>
      <c r="AR39" s="12">
        <f t="shared" si="56"/>
        <v>0.55800000000000005</v>
      </c>
      <c r="AS39" s="12">
        <f t="shared" si="56"/>
        <v>5.89</v>
      </c>
      <c r="AT39" s="12">
        <f t="shared" si="56"/>
        <v>46.9</v>
      </c>
      <c r="AU39" s="12">
        <f t="shared" si="56"/>
        <v>15.1</v>
      </c>
      <c r="AV39" s="12">
        <f t="shared" si="56"/>
        <v>73.3</v>
      </c>
      <c r="AW39" s="12">
        <f t="shared" si="56"/>
        <v>14</v>
      </c>
      <c r="AX39" s="12">
        <f t="shared" si="56"/>
        <v>8.9</v>
      </c>
      <c r="AY39" s="12">
        <f t="shared" si="56"/>
        <v>69.900000000000006</v>
      </c>
      <c r="AZ39" s="12">
        <f t="shared" si="56"/>
        <v>6.77</v>
      </c>
      <c r="BA39" s="12">
        <f t="shared" si="56"/>
        <v>74.2</v>
      </c>
      <c r="BB39" s="12">
        <f t="shared" si="57"/>
        <v>-2.2000000000000002</v>
      </c>
      <c r="BC39" s="12">
        <f t="shared" si="57"/>
        <v>33.549999999999997</v>
      </c>
      <c r="BD39" s="12">
        <f t="shared" si="57"/>
        <v>2.4</v>
      </c>
      <c r="BE39" s="12">
        <f t="shared" si="57"/>
        <v>3.8</v>
      </c>
      <c r="BF39" s="12">
        <f t="shared" si="57"/>
        <v>-0.2</v>
      </c>
      <c r="BG39" s="12">
        <f t="shared" si="57"/>
        <v>7.6</v>
      </c>
      <c r="BH39" s="12">
        <f t="shared" si="57"/>
        <v>8.8000000000000007</v>
      </c>
      <c r="BI39" s="12">
        <f t="shared" si="57"/>
        <v>66.400000000000006</v>
      </c>
      <c r="BJ39" s="12">
        <f t="shared" si="57"/>
        <v>16</v>
      </c>
      <c r="BK39" s="12">
        <f t="shared" si="57"/>
        <v>57.782515991471215</v>
      </c>
      <c r="BL39" s="12">
        <f t="shared" si="58"/>
        <v>32.6</v>
      </c>
      <c r="BM39" s="12">
        <f t="shared" si="58"/>
        <v>6.5</v>
      </c>
      <c r="BN39" s="12">
        <f t="shared" si="58"/>
        <v>33.200000000000003</v>
      </c>
      <c r="BO39" s="12">
        <f t="shared" si="58"/>
        <v>19.399999999999999</v>
      </c>
      <c r="BP39" s="12">
        <f t="shared" si="58"/>
        <v>1.1299999999999999</v>
      </c>
      <c r="BQ39" s="12">
        <f t="shared" si="58"/>
        <v>12.7</v>
      </c>
      <c r="BR39" s="12">
        <f t="shared" si="58"/>
        <v>17.46</v>
      </c>
      <c r="BS39" s="12">
        <f t="shared" si="58"/>
        <v>2.2999999999999998</v>
      </c>
      <c r="BT39" s="12">
        <f t="shared" si="58"/>
        <v>40.6</v>
      </c>
      <c r="BU39" s="12">
        <f t="shared" si="58"/>
        <v>24.67</v>
      </c>
      <c r="BV39" s="12">
        <f t="shared" si="59"/>
        <v>0.48699999999999999</v>
      </c>
      <c r="BW39" s="12">
        <f t="shared" si="59"/>
        <v>8.11</v>
      </c>
      <c r="BX39" s="12">
        <f t="shared" si="59"/>
        <v>43.9</v>
      </c>
      <c r="BY39" s="12">
        <f t="shared" si="59"/>
        <v>17.600000000000001</v>
      </c>
      <c r="BZ39" s="12">
        <f t="shared" si="59"/>
        <v>75.5</v>
      </c>
      <c r="CA39" s="12">
        <f t="shared" si="59"/>
        <v>25.8</v>
      </c>
      <c r="CB39" s="12">
        <f t="shared" si="59"/>
        <v>19.3</v>
      </c>
      <c r="CC39" s="12">
        <f t="shared" si="59"/>
        <v>67.3</v>
      </c>
      <c r="CD39" s="12">
        <f t="shared" si="59"/>
        <v>12.89</v>
      </c>
      <c r="CE39" s="12">
        <f t="shared" si="59"/>
        <v>75.2</v>
      </c>
      <c r="CF39" s="12">
        <f t="shared" si="60"/>
        <v>5.5</v>
      </c>
      <c r="CG39" s="12">
        <f t="shared" si="60"/>
        <v>38.11</v>
      </c>
      <c r="CH39" s="12">
        <f t="shared" si="60"/>
        <v>6.8</v>
      </c>
      <c r="CI39" s="12">
        <f t="shared" si="60"/>
        <v>6.6</v>
      </c>
      <c r="CJ39" s="12">
        <f t="shared" si="60"/>
        <v>1.1000000000000001</v>
      </c>
      <c r="CK39" s="12">
        <f t="shared" si="60"/>
        <v>12.34</v>
      </c>
      <c r="CL39" s="12">
        <f t="shared" si="60"/>
        <v>11.6</v>
      </c>
      <c r="CM39" s="12">
        <f t="shared" si="60"/>
        <v>68.7</v>
      </c>
      <c r="CN39" s="12">
        <f t="shared" si="60"/>
        <v>18.200000000000003</v>
      </c>
      <c r="CO39" s="12">
        <f t="shared" si="60"/>
        <v>56.264236902050129</v>
      </c>
    </row>
    <row r="40" spans="1:93" x14ac:dyDescent="0.3">
      <c r="A40" s="6" t="s">
        <v>60</v>
      </c>
      <c r="B40" s="3">
        <v>2</v>
      </c>
      <c r="C40" s="13" t="s">
        <v>30</v>
      </c>
      <c r="D40" s="14">
        <v>20</v>
      </c>
      <c r="E40" s="38">
        <f>G41</f>
        <v>20</v>
      </c>
      <c r="F40" s="39">
        <v>13</v>
      </c>
      <c r="G40" s="38">
        <f t="shared" si="62"/>
        <v>56.521739130434781</v>
      </c>
      <c r="H40" s="39">
        <v>23</v>
      </c>
      <c r="I40" s="40">
        <f t="shared" si="63"/>
        <v>1.5384615384615385</v>
      </c>
      <c r="J40" s="39">
        <v>20</v>
      </c>
      <c r="K40" s="39">
        <v>33</v>
      </c>
      <c r="L40" s="39">
        <v>5</v>
      </c>
      <c r="M40" s="39">
        <f>Q41</f>
        <v>43.1</v>
      </c>
      <c r="N40" s="39">
        <v>23</v>
      </c>
      <c r="O40" s="41">
        <f t="shared" si="64"/>
        <v>0.68373071528751739</v>
      </c>
      <c r="P40" s="39">
        <v>10</v>
      </c>
      <c r="Q40" s="39">
        <v>53.4</v>
      </c>
      <c r="R40" s="39">
        <v>12</v>
      </c>
      <c r="S40" s="38">
        <f t="shared" si="65"/>
        <v>75</v>
      </c>
      <c r="T40" s="39">
        <v>8</v>
      </c>
      <c r="U40" s="39">
        <v>6</v>
      </c>
      <c r="V40" s="39">
        <f>X41</f>
        <v>61</v>
      </c>
      <c r="W40" s="39">
        <v>11</v>
      </c>
      <c r="X40" s="39">
        <v>81</v>
      </c>
      <c r="Y40" s="39">
        <f>Z40-Z41</f>
        <v>10</v>
      </c>
      <c r="Z40" s="39">
        <f t="shared" si="66"/>
        <v>34</v>
      </c>
      <c r="AA40" s="39">
        <f t="shared" si="67"/>
        <v>20</v>
      </c>
      <c r="AB40" s="39">
        <v>7</v>
      </c>
      <c r="AC40" s="39">
        <f t="shared" si="68"/>
        <v>-2</v>
      </c>
      <c r="AD40" s="39">
        <f>AE41</f>
        <v>11</v>
      </c>
      <c r="AE40" s="39">
        <v>13</v>
      </c>
      <c r="AF40" s="46">
        <f t="shared" si="13"/>
        <v>63.852434456928833</v>
      </c>
      <c r="AG40" s="51">
        <f t="shared" ref="AG40" si="75">AVERAGE(AF40,AF41)</f>
        <v>64.066037414079261</v>
      </c>
      <c r="AH40" s="12">
        <f t="shared" si="55"/>
        <v>32.1</v>
      </c>
      <c r="AI40" s="12">
        <f t="shared" si="55"/>
        <v>7.3</v>
      </c>
      <c r="AJ40" s="12">
        <f t="shared" si="55"/>
        <v>34.9</v>
      </c>
      <c r="AK40" s="12">
        <f t="shared" si="55"/>
        <v>22</v>
      </c>
      <c r="AL40" s="12">
        <f t="shared" si="55"/>
        <v>1.58</v>
      </c>
      <c r="AM40" s="12">
        <f t="shared" si="55"/>
        <v>16.7</v>
      </c>
      <c r="AN40" s="12">
        <f t="shared" si="55"/>
        <v>33.29</v>
      </c>
      <c r="AO40" s="12">
        <f t="shared" si="55"/>
        <v>3.7</v>
      </c>
      <c r="AP40" s="12">
        <f t="shared" si="55"/>
        <v>42.7</v>
      </c>
      <c r="AQ40" s="12">
        <f t="shared" si="55"/>
        <v>24.82</v>
      </c>
      <c r="AR40" s="12">
        <f t="shared" si="56"/>
        <v>0.54500000000000004</v>
      </c>
      <c r="AS40" s="12">
        <f t="shared" si="56"/>
        <v>12.82</v>
      </c>
      <c r="AT40" s="12">
        <f t="shared" si="56"/>
        <v>47.8</v>
      </c>
      <c r="AU40" s="12">
        <f t="shared" si="56"/>
        <v>17.3</v>
      </c>
      <c r="AV40" s="12">
        <f t="shared" si="56"/>
        <v>75</v>
      </c>
      <c r="AW40" s="12">
        <f t="shared" si="56"/>
        <v>18.899999999999999</v>
      </c>
      <c r="AX40" s="12">
        <f t="shared" si="56"/>
        <v>14.7</v>
      </c>
      <c r="AY40" s="12">
        <f t="shared" si="56"/>
        <v>69.099999999999994</v>
      </c>
      <c r="AZ40" s="12">
        <f t="shared" si="56"/>
        <v>9.94</v>
      </c>
      <c r="BA40" s="12">
        <f t="shared" si="56"/>
        <v>80.400000000000006</v>
      </c>
      <c r="BB40" s="12">
        <f t="shared" si="57"/>
        <v>0.5</v>
      </c>
      <c r="BC40" s="12">
        <f t="shared" si="57"/>
        <v>34.74</v>
      </c>
      <c r="BD40" s="12">
        <f t="shared" si="57"/>
        <v>11.5</v>
      </c>
      <c r="BE40" s="12">
        <f t="shared" si="57"/>
        <v>7.4</v>
      </c>
      <c r="BF40" s="12">
        <f t="shared" si="57"/>
        <v>3.7</v>
      </c>
      <c r="BG40" s="12">
        <f t="shared" si="57"/>
        <v>14.12</v>
      </c>
      <c r="BH40" s="12">
        <f t="shared" si="57"/>
        <v>10.5</v>
      </c>
      <c r="BI40" s="12">
        <f t="shared" si="57"/>
        <v>72.2</v>
      </c>
      <c r="BJ40" s="12">
        <f t="shared" si="57"/>
        <v>21.900000000000002</v>
      </c>
      <c r="BK40" s="12">
        <f t="shared" si="57"/>
        <v>61.087866108786621</v>
      </c>
      <c r="BL40" s="12">
        <f t="shared" si="58"/>
        <v>34.9</v>
      </c>
      <c r="BM40" s="12">
        <f t="shared" si="58"/>
        <v>8.5</v>
      </c>
      <c r="BN40" s="12">
        <f t="shared" si="58"/>
        <v>40.9</v>
      </c>
      <c r="BO40" s="12">
        <f t="shared" si="58"/>
        <v>21</v>
      </c>
      <c r="BP40" s="12">
        <f t="shared" si="58"/>
        <v>1.86</v>
      </c>
      <c r="BQ40" s="12">
        <f t="shared" si="58"/>
        <v>18.5</v>
      </c>
      <c r="BR40" s="12">
        <f t="shared" si="58"/>
        <v>17.97</v>
      </c>
      <c r="BS40" s="12">
        <f t="shared" si="58"/>
        <v>3</v>
      </c>
      <c r="BT40" s="12">
        <f t="shared" si="58"/>
        <v>45.5</v>
      </c>
      <c r="BU40" s="12">
        <f t="shared" si="58"/>
        <v>26.4</v>
      </c>
      <c r="BV40" s="12">
        <f t="shared" si="59"/>
        <v>0.57299999999999995</v>
      </c>
      <c r="BW40" s="12">
        <f t="shared" si="59"/>
        <v>9.33</v>
      </c>
      <c r="BX40" s="12">
        <f t="shared" si="59"/>
        <v>49.7</v>
      </c>
      <c r="BY40" s="12">
        <f t="shared" si="59"/>
        <v>11.5</v>
      </c>
      <c r="BZ40" s="12">
        <f t="shared" si="59"/>
        <v>67.599999999999994</v>
      </c>
      <c r="CA40" s="12">
        <f t="shared" si="59"/>
        <v>15.4</v>
      </c>
      <c r="CB40" s="12">
        <f t="shared" si="59"/>
        <v>10.5</v>
      </c>
      <c r="CC40" s="12">
        <f t="shared" si="59"/>
        <v>71.099999999999994</v>
      </c>
      <c r="CD40" s="12">
        <f t="shared" si="59"/>
        <v>8.17</v>
      </c>
      <c r="CE40" s="12">
        <f t="shared" si="59"/>
        <v>80.900000000000006</v>
      </c>
      <c r="CF40" s="12">
        <f t="shared" si="60"/>
        <v>3.3</v>
      </c>
      <c r="CG40" s="12">
        <f t="shared" si="60"/>
        <v>34.630000000000003</v>
      </c>
      <c r="CH40" s="12">
        <f t="shared" si="60"/>
        <v>10.3</v>
      </c>
      <c r="CI40" s="12">
        <f t="shared" si="60"/>
        <v>7</v>
      </c>
      <c r="CJ40" s="12">
        <f t="shared" si="60"/>
        <v>1.5</v>
      </c>
      <c r="CK40" s="12">
        <f t="shared" si="60"/>
        <v>11.3</v>
      </c>
      <c r="CL40" s="12">
        <f t="shared" si="60"/>
        <v>9.6999999999999993</v>
      </c>
      <c r="CM40" s="12">
        <f t="shared" si="60"/>
        <v>69</v>
      </c>
      <c r="CN40" s="12">
        <f t="shared" si="60"/>
        <v>22.450000000000003</v>
      </c>
      <c r="CO40" s="12">
        <f t="shared" si="60"/>
        <v>62.273641851106646</v>
      </c>
    </row>
    <row r="41" spans="1:93" x14ac:dyDescent="0.3">
      <c r="A41" s="6" t="s">
        <v>30</v>
      </c>
      <c r="B41" s="3">
        <v>15</v>
      </c>
      <c r="C41" s="13" t="s">
        <v>60</v>
      </c>
      <c r="D41" s="14">
        <v>20</v>
      </c>
      <c r="E41" s="38">
        <f>G40</f>
        <v>56.521739130434781</v>
      </c>
      <c r="F41" s="39">
        <v>3</v>
      </c>
      <c r="G41" s="38">
        <f t="shared" si="62"/>
        <v>20</v>
      </c>
      <c r="H41" s="39">
        <v>15</v>
      </c>
      <c r="I41" s="40">
        <f t="shared" si="63"/>
        <v>0.54545454545454541</v>
      </c>
      <c r="J41" s="39">
        <v>6</v>
      </c>
      <c r="K41" s="39">
        <v>13</v>
      </c>
      <c r="L41" s="39">
        <v>3</v>
      </c>
      <c r="M41" s="39">
        <f>Q40</f>
        <v>53.4</v>
      </c>
      <c r="N41" s="39">
        <v>15</v>
      </c>
      <c r="O41" s="41">
        <f t="shared" si="64"/>
        <v>0.21199999999999999</v>
      </c>
      <c r="P41" s="39">
        <v>4</v>
      </c>
      <c r="Q41" s="39">
        <v>43.1</v>
      </c>
      <c r="R41" s="39">
        <v>11</v>
      </c>
      <c r="S41" s="38">
        <f t="shared" si="65"/>
        <v>88.888888888888886</v>
      </c>
      <c r="T41" s="39">
        <v>9</v>
      </c>
      <c r="U41" s="39">
        <v>8</v>
      </c>
      <c r="V41" s="39">
        <f>X40</f>
        <v>81</v>
      </c>
      <c r="W41" s="39">
        <v>9</v>
      </c>
      <c r="X41" s="39">
        <v>61</v>
      </c>
      <c r="Y41" s="39">
        <f>Z41-Z40</f>
        <v>-10</v>
      </c>
      <c r="Z41" s="39">
        <f t="shared" si="66"/>
        <v>24</v>
      </c>
      <c r="AA41" s="39">
        <f t="shared" si="67"/>
        <v>-20</v>
      </c>
      <c r="AB41" s="39">
        <v>11</v>
      </c>
      <c r="AC41" s="39">
        <f t="shared" si="68"/>
        <v>2</v>
      </c>
      <c r="AD41" s="39">
        <f>AE40</f>
        <v>13</v>
      </c>
      <c r="AE41" s="39">
        <v>11</v>
      </c>
      <c r="AF41" s="46">
        <f t="shared" si="13"/>
        <v>64.279640371229704</v>
      </c>
      <c r="AG41" s="51">
        <f t="shared" ref="AG41" si="76">AVERAGE(AF40,AF41)</f>
        <v>64.066037414079261</v>
      </c>
      <c r="AH41" s="12">
        <f t="shared" si="55"/>
        <v>34.9</v>
      </c>
      <c r="AI41" s="12">
        <f t="shared" si="55"/>
        <v>8.5</v>
      </c>
      <c r="AJ41" s="12">
        <f t="shared" si="55"/>
        <v>40.9</v>
      </c>
      <c r="AK41" s="12">
        <f t="shared" si="55"/>
        <v>21</v>
      </c>
      <c r="AL41" s="12">
        <f t="shared" si="55"/>
        <v>1.86</v>
      </c>
      <c r="AM41" s="12">
        <f t="shared" si="55"/>
        <v>18.5</v>
      </c>
      <c r="AN41" s="12">
        <f t="shared" si="55"/>
        <v>17.97</v>
      </c>
      <c r="AO41" s="12">
        <f t="shared" si="55"/>
        <v>3</v>
      </c>
      <c r="AP41" s="12">
        <f t="shared" si="55"/>
        <v>45.5</v>
      </c>
      <c r="AQ41" s="12">
        <f t="shared" si="55"/>
        <v>26.4</v>
      </c>
      <c r="AR41" s="12">
        <f t="shared" si="56"/>
        <v>0.57299999999999995</v>
      </c>
      <c r="AS41" s="12">
        <f t="shared" si="56"/>
        <v>9.33</v>
      </c>
      <c r="AT41" s="12">
        <f t="shared" si="56"/>
        <v>49.7</v>
      </c>
      <c r="AU41" s="12">
        <f t="shared" si="56"/>
        <v>11.5</v>
      </c>
      <c r="AV41" s="12">
        <f t="shared" si="56"/>
        <v>67.599999999999994</v>
      </c>
      <c r="AW41" s="12">
        <f t="shared" si="56"/>
        <v>15.4</v>
      </c>
      <c r="AX41" s="12">
        <f t="shared" si="56"/>
        <v>10.5</v>
      </c>
      <c r="AY41" s="12">
        <f t="shared" si="56"/>
        <v>71.099999999999994</v>
      </c>
      <c r="AZ41" s="12">
        <f t="shared" si="56"/>
        <v>8.17</v>
      </c>
      <c r="BA41" s="12">
        <f t="shared" si="56"/>
        <v>80.900000000000006</v>
      </c>
      <c r="BB41" s="12">
        <f t="shared" si="57"/>
        <v>3.3</v>
      </c>
      <c r="BC41" s="12">
        <f t="shared" si="57"/>
        <v>34.630000000000003</v>
      </c>
      <c r="BD41" s="12">
        <f t="shared" si="57"/>
        <v>10.3</v>
      </c>
      <c r="BE41" s="12">
        <f t="shared" si="57"/>
        <v>7</v>
      </c>
      <c r="BF41" s="12">
        <f t="shared" si="57"/>
        <v>1.5</v>
      </c>
      <c r="BG41" s="12">
        <f t="shared" si="57"/>
        <v>11.3</v>
      </c>
      <c r="BH41" s="12">
        <f t="shared" si="57"/>
        <v>9.6999999999999993</v>
      </c>
      <c r="BI41" s="12">
        <f t="shared" si="57"/>
        <v>69</v>
      </c>
      <c r="BJ41" s="12">
        <f t="shared" si="57"/>
        <v>22.450000000000003</v>
      </c>
      <c r="BK41" s="12">
        <f t="shared" si="57"/>
        <v>62.273641851106646</v>
      </c>
      <c r="BL41" s="12">
        <f t="shared" si="58"/>
        <v>32.1</v>
      </c>
      <c r="BM41" s="12">
        <f t="shared" si="58"/>
        <v>7.3</v>
      </c>
      <c r="BN41" s="12">
        <f t="shared" si="58"/>
        <v>34.9</v>
      </c>
      <c r="BO41" s="12">
        <f t="shared" si="58"/>
        <v>22</v>
      </c>
      <c r="BP41" s="12">
        <f t="shared" si="58"/>
        <v>1.58</v>
      </c>
      <c r="BQ41" s="12">
        <f t="shared" si="58"/>
        <v>16.7</v>
      </c>
      <c r="BR41" s="12">
        <f t="shared" si="58"/>
        <v>33.29</v>
      </c>
      <c r="BS41" s="12">
        <f t="shared" si="58"/>
        <v>3.7</v>
      </c>
      <c r="BT41" s="12">
        <f t="shared" si="58"/>
        <v>42.7</v>
      </c>
      <c r="BU41" s="12">
        <f t="shared" si="58"/>
        <v>24.82</v>
      </c>
      <c r="BV41" s="12">
        <f t="shared" si="59"/>
        <v>0.54500000000000004</v>
      </c>
      <c r="BW41" s="12">
        <f t="shared" si="59"/>
        <v>12.82</v>
      </c>
      <c r="BX41" s="12">
        <f t="shared" si="59"/>
        <v>47.8</v>
      </c>
      <c r="BY41" s="12">
        <f t="shared" si="59"/>
        <v>17.3</v>
      </c>
      <c r="BZ41" s="12">
        <f t="shared" si="59"/>
        <v>75</v>
      </c>
      <c r="CA41" s="12">
        <f t="shared" si="59"/>
        <v>18.899999999999999</v>
      </c>
      <c r="CB41" s="12">
        <f t="shared" si="59"/>
        <v>14.7</v>
      </c>
      <c r="CC41" s="12">
        <f t="shared" si="59"/>
        <v>69.099999999999994</v>
      </c>
      <c r="CD41" s="12">
        <f t="shared" si="59"/>
        <v>9.94</v>
      </c>
      <c r="CE41" s="12">
        <f t="shared" si="59"/>
        <v>80.400000000000006</v>
      </c>
      <c r="CF41" s="12">
        <f t="shared" si="60"/>
        <v>0.5</v>
      </c>
      <c r="CG41" s="12">
        <f t="shared" si="60"/>
        <v>34.74</v>
      </c>
      <c r="CH41" s="12">
        <f t="shared" si="60"/>
        <v>11.5</v>
      </c>
      <c r="CI41" s="12">
        <f t="shared" si="60"/>
        <v>7.4</v>
      </c>
      <c r="CJ41" s="12">
        <f t="shared" si="60"/>
        <v>3.7</v>
      </c>
      <c r="CK41" s="12">
        <f t="shared" si="60"/>
        <v>14.12</v>
      </c>
      <c r="CL41" s="12">
        <f t="shared" si="60"/>
        <v>10.5</v>
      </c>
      <c r="CM41" s="12">
        <f t="shared" si="60"/>
        <v>72.2</v>
      </c>
      <c r="CN41" s="12">
        <f t="shared" si="60"/>
        <v>21.900000000000002</v>
      </c>
      <c r="CO41" s="12">
        <f t="shared" si="60"/>
        <v>61.087866108786621</v>
      </c>
    </row>
    <row r="42" spans="1:93" x14ac:dyDescent="0.3">
      <c r="A42" s="6" t="s">
        <v>57</v>
      </c>
      <c r="B42" s="3">
        <v>1</v>
      </c>
      <c r="C42" s="13" t="s">
        <v>32</v>
      </c>
      <c r="D42" s="14">
        <v>21</v>
      </c>
      <c r="E42" s="38">
        <f>G43</f>
        <v>31.25</v>
      </c>
      <c r="F42" s="39">
        <v>9</v>
      </c>
      <c r="G42" s="38">
        <f t="shared" si="62"/>
        <v>40.909090909090914</v>
      </c>
      <c r="H42" s="39">
        <v>22</v>
      </c>
      <c r="I42" s="40">
        <f t="shared" si="63"/>
        <v>1.8333333333333333</v>
      </c>
      <c r="J42" s="39">
        <v>22</v>
      </c>
      <c r="K42" s="39">
        <v>23</v>
      </c>
      <c r="L42" s="39">
        <v>7</v>
      </c>
      <c r="M42" s="39">
        <f>Q43</f>
        <v>38.799999999999997</v>
      </c>
      <c r="N42" s="39">
        <v>29</v>
      </c>
      <c r="O42" s="41">
        <f t="shared" si="64"/>
        <v>0.45753588516746413</v>
      </c>
      <c r="P42" s="39">
        <v>18</v>
      </c>
      <c r="Q42" s="39">
        <v>52.1</v>
      </c>
      <c r="R42" s="39">
        <v>11</v>
      </c>
      <c r="S42" s="38">
        <f t="shared" si="65"/>
        <v>84.615384615384613</v>
      </c>
      <c r="T42" s="39">
        <v>13</v>
      </c>
      <c r="U42" s="39">
        <v>11</v>
      </c>
      <c r="V42" s="39">
        <f>X43</f>
        <v>68</v>
      </c>
      <c r="W42" s="39">
        <v>15</v>
      </c>
      <c r="X42" s="39">
        <v>96</v>
      </c>
      <c r="Y42" s="39">
        <f>Z42-Z43</f>
        <v>9</v>
      </c>
      <c r="Z42" s="39">
        <f t="shared" si="66"/>
        <v>44</v>
      </c>
      <c r="AA42" s="39">
        <f t="shared" si="67"/>
        <v>28</v>
      </c>
      <c r="AB42" s="39">
        <v>13</v>
      </c>
      <c r="AC42" s="39">
        <f t="shared" si="68"/>
        <v>6</v>
      </c>
      <c r="AD42" s="39">
        <f>AE43</f>
        <v>18</v>
      </c>
      <c r="AE42" s="39">
        <v>12</v>
      </c>
      <c r="AF42" s="46">
        <f t="shared" si="13"/>
        <v>76.111660268714004</v>
      </c>
      <c r="AG42" s="51">
        <f t="shared" ref="AG42" si="77">AVERAGE(AF42,AF43)</f>
        <v>76.435984773532255</v>
      </c>
      <c r="AH42" s="12">
        <f t="shared" ref="AH42:AQ51" si="78">INDEX(ovrTable2,MATCH(INDEX(teamCol2,ROW()),ovrTeamCol2,0),MATCH(MID(INDEX(headerRow2,1,COLUMN()),4,LEN(INDEX(headerRow2,1,COLUMN()))),ovrHeaderRow2,0))</f>
        <v>31.2</v>
      </c>
      <c r="AI42" s="12">
        <f t="shared" si="78"/>
        <v>7.1</v>
      </c>
      <c r="AJ42" s="12">
        <f t="shared" si="78"/>
        <v>34.9</v>
      </c>
      <c r="AK42" s="12">
        <f t="shared" si="78"/>
        <v>20.8</v>
      </c>
      <c r="AL42" s="12">
        <f t="shared" si="78"/>
        <v>1.48</v>
      </c>
      <c r="AM42" s="12">
        <f t="shared" si="78"/>
        <v>16.8</v>
      </c>
      <c r="AN42" s="12">
        <f t="shared" si="78"/>
        <v>11.27</v>
      </c>
      <c r="AO42" s="12">
        <f t="shared" si="78"/>
        <v>3.9</v>
      </c>
      <c r="AP42" s="12">
        <f t="shared" si="78"/>
        <v>41.8</v>
      </c>
      <c r="AQ42" s="12">
        <f t="shared" si="78"/>
        <v>26.89</v>
      </c>
      <c r="AR42" s="12">
        <f t="shared" ref="AR42:BA51" si="79">INDEX(ovrTable2,MATCH(INDEX(teamCol2,ROW()),ovrTeamCol2,0),MATCH(MID(INDEX(headerRow2,1,COLUMN()),4,LEN(INDEX(headerRow2,1,COLUMN()))),ovrHeaderRow2,0))</f>
        <v>0.53800000000000003</v>
      </c>
      <c r="AS42" s="12">
        <f t="shared" si="79"/>
        <v>13.57</v>
      </c>
      <c r="AT42" s="12">
        <f t="shared" si="79"/>
        <v>47.5</v>
      </c>
      <c r="AU42" s="12">
        <f t="shared" si="79"/>
        <v>16.5</v>
      </c>
      <c r="AV42" s="12">
        <f t="shared" si="79"/>
        <v>72</v>
      </c>
      <c r="AW42" s="12">
        <f t="shared" si="79"/>
        <v>18.399999999999999</v>
      </c>
      <c r="AX42" s="12">
        <f t="shared" si="79"/>
        <v>13.3</v>
      </c>
      <c r="AY42" s="12">
        <f t="shared" si="79"/>
        <v>69.8</v>
      </c>
      <c r="AZ42" s="12">
        <f t="shared" si="79"/>
        <v>10.06</v>
      </c>
      <c r="BA42" s="12">
        <f t="shared" si="79"/>
        <v>77.400000000000006</v>
      </c>
      <c r="BB42" s="12">
        <f t="shared" ref="BB42:BK51" si="80">INDEX(ovrTable2,MATCH(INDEX(teamCol2,ROW()),ovrTeamCol2,0),MATCH(MID(INDEX(headerRow2,1,COLUMN()),4,LEN(INDEX(headerRow2,1,COLUMN()))),ovrHeaderRow2,0))</f>
        <v>1.7</v>
      </c>
      <c r="BC42" s="12">
        <f t="shared" si="80"/>
        <v>37.299999999999997</v>
      </c>
      <c r="BD42" s="12">
        <f t="shared" si="80"/>
        <v>8.1999999999999993</v>
      </c>
      <c r="BE42" s="12">
        <f t="shared" si="80"/>
        <v>9</v>
      </c>
      <c r="BF42" s="12">
        <f t="shared" si="80"/>
        <v>1.4</v>
      </c>
      <c r="BG42" s="12">
        <f t="shared" si="80"/>
        <v>12.66</v>
      </c>
      <c r="BH42" s="12">
        <f t="shared" si="80"/>
        <v>11.6</v>
      </c>
      <c r="BI42" s="12">
        <f t="shared" si="80"/>
        <v>72.099999999999994</v>
      </c>
      <c r="BJ42" s="12">
        <f t="shared" si="80"/>
        <v>21.400000000000006</v>
      </c>
      <c r="BK42" s="12">
        <f t="shared" si="80"/>
        <v>60.000000000000021</v>
      </c>
      <c r="BL42" s="12">
        <f t="shared" ref="BL42:BU51" si="81">INDEX(ovrTable2,MATCH(INDEX(oppCol23,ROW()),ovrTeamCol2,0),MATCH(MID(INDEX(headerRow2,1,COLUMN()),4,LEN(INDEX(headerRow2,1,COLUMN()))),ovrHeaderRow2,0))</f>
        <v>33.799999999999997</v>
      </c>
      <c r="BM42" s="12">
        <f t="shared" si="81"/>
        <v>8.3000000000000007</v>
      </c>
      <c r="BN42" s="12">
        <f t="shared" si="81"/>
        <v>37.1</v>
      </c>
      <c r="BO42" s="12">
        <f t="shared" si="81"/>
        <v>22.3</v>
      </c>
      <c r="BP42" s="12">
        <f t="shared" si="81"/>
        <v>0.9</v>
      </c>
      <c r="BQ42" s="12">
        <f t="shared" si="81"/>
        <v>15.4</v>
      </c>
      <c r="BR42" s="12">
        <f t="shared" si="81"/>
        <v>25.57</v>
      </c>
      <c r="BS42" s="12">
        <f t="shared" si="81"/>
        <v>3.2</v>
      </c>
      <c r="BT42" s="12">
        <f t="shared" si="81"/>
        <v>44</v>
      </c>
      <c r="BU42" s="12">
        <f t="shared" si="81"/>
        <v>24.41</v>
      </c>
      <c r="BV42" s="12">
        <f t="shared" ref="BV42:CE51" si="82">INDEX(ovrTable2,MATCH(INDEX(oppCol23,ROW()),ovrTeamCol2,0),MATCH(MID(INDEX(headerRow2,1,COLUMN()),4,LEN(INDEX(headerRow2,1,COLUMN()))),ovrHeaderRow2,0))</f>
        <v>0.53900000000000003</v>
      </c>
      <c r="BW42" s="12">
        <f t="shared" si="82"/>
        <v>10.62</v>
      </c>
      <c r="BX42" s="12">
        <f t="shared" si="82"/>
        <v>46.3</v>
      </c>
      <c r="BY42" s="12">
        <f t="shared" si="82"/>
        <v>17.3</v>
      </c>
      <c r="BZ42" s="12">
        <f t="shared" si="82"/>
        <v>71.900000000000006</v>
      </c>
      <c r="CA42" s="12">
        <f t="shared" si="82"/>
        <v>20.8</v>
      </c>
      <c r="CB42" s="12">
        <f t="shared" si="82"/>
        <v>14.8</v>
      </c>
      <c r="CC42" s="12">
        <f t="shared" si="82"/>
        <v>74.400000000000006</v>
      </c>
      <c r="CD42" s="12">
        <f t="shared" si="82"/>
        <v>12.45</v>
      </c>
      <c r="CE42" s="12">
        <f t="shared" si="82"/>
        <v>77.400000000000006</v>
      </c>
      <c r="CF42" s="12">
        <f t="shared" ref="CF42:CO51" si="83">INDEX(ovrTable2,MATCH(INDEX(oppCol23,ROW()),ovrTeamCol2,0),MATCH(MID(INDEX(headerRow2,1,COLUMN()),4,LEN(INDEX(headerRow2,1,COLUMN()))),ovrHeaderRow2,0))</f>
        <v>3.4</v>
      </c>
      <c r="CG42" s="12">
        <f t="shared" si="83"/>
        <v>36.950000000000003</v>
      </c>
      <c r="CH42" s="12">
        <f t="shared" si="83"/>
        <v>0.7</v>
      </c>
      <c r="CI42" s="12">
        <f t="shared" si="83"/>
        <v>7.1</v>
      </c>
      <c r="CJ42" s="12">
        <f t="shared" si="83"/>
        <v>-0.5</v>
      </c>
      <c r="CK42" s="12">
        <f t="shared" si="83"/>
        <v>14</v>
      </c>
      <c r="CL42" s="12">
        <f t="shared" si="83"/>
        <v>15.5</v>
      </c>
      <c r="CM42" s="12">
        <f t="shared" si="83"/>
        <v>73.400000000000006</v>
      </c>
      <c r="CN42" s="12">
        <f t="shared" si="83"/>
        <v>18.850000000000001</v>
      </c>
      <c r="CO42" s="12">
        <f t="shared" si="83"/>
        <v>58.639308855291581</v>
      </c>
    </row>
    <row r="43" spans="1:93" x14ac:dyDescent="0.3">
      <c r="A43" s="6" t="s">
        <v>32</v>
      </c>
      <c r="B43" s="3">
        <v>16</v>
      </c>
      <c r="C43" s="13" t="s">
        <v>57</v>
      </c>
      <c r="D43" s="14">
        <v>21</v>
      </c>
      <c r="E43" s="38">
        <f>G42</f>
        <v>40.909090909090914</v>
      </c>
      <c r="F43" s="39">
        <v>10</v>
      </c>
      <c r="G43" s="38">
        <f t="shared" si="62"/>
        <v>31.25</v>
      </c>
      <c r="H43" s="39">
        <v>32</v>
      </c>
      <c r="I43" s="40">
        <f t="shared" si="63"/>
        <v>1</v>
      </c>
      <c r="J43" s="39">
        <v>18</v>
      </c>
      <c r="K43" s="39">
        <v>14</v>
      </c>
      <c r="L43" s="39">
        <v>1</v>
      </c>
      <c r="M43" s="39">
        <f>Q42</f>
        <v>52.1</v>
      </c>
      <c r="N43" s="39">
        <v>22</v>
      </c>
      <c r="O43" s="41">
        <f t="shared" si="64"/>
        <v>0.37259615384615385</v>
      </c>
      <c r="P43" s="39">
        <v>7</v>
      </c>
      <c r="Q43" s="39">
        <v>38.799999999999997</v>
      </c>
      <c r="R43" s="39">
        <v>14</v>
      </c>
      <c r="S43" s="38">
        <f t="shared" si="65"/>
        <v>60</v>
      </c>
      <c r="T43" s="39">
        <v>10</v>
      </c>
      <c r="U43" s="39">
        <v>6</v>
      </c>
      <c r="V43" s="39">
        <f>X42</f>
        <v>96</v>
      </c>
      <c r="W43" s="39">
        <v>13</v>
      </c>
      <c r="X43" s="39">
        <v>68</v>
      </c>
      <c r="Y43" s="39">
        <f>Z43-Z42</f>
        <v>-9</v>
      </c>
      <c r="Z43" s="39">
        <f t="shared" si="66"/>
        <v>35</v>
      </c>
      <c r="AA43" s="39">
        <f t="shared" si="67"/>
        <v>-28</v>
      </c>
      <c r="AB43" s="39">
        <v>8</v>
      </c>
      <c r="AC43" s="39">
        <f t="shared" si="68"/>
        <v>-6</v>
      </c>
      <c r="AD43" s="39">
        <f>AE42</f>
        <v>12</v>
      </c>
      <c r="AE43" s="39">
        <v>18</v>
      </c>
      <c r="AF43" s="46">
        <f t="shared" si="13"/>
        <v>76.760309278350519</v>
      </c>
      <c r="AG43" s="51">
        <f t="shared" ref="AG43" si="84">AVERAGE(AF42,AF43)</f>
        <v>76.435984773532255</v>
      </c>
      <c r="AH43" s="12">
        <f t="shared" si="78"/>
        <v>33.799999999999997</v>
      </c>
      <c r="AI43" s="12">
        <f t="shared" si="78"/>
        <v>8.3000000000000007</v>
      </c>
      <c r="AJ43" s="12">
        <f t="shared" si="78"/>
        <v>37.1</v>
      </c>
      <c r="AK43" s="12">
        <f t="shared" si="78"/>
        <v>22.3</v>
      </c>
      <c r="AL43" s="12">
        <f t="shared" si="78"/>
        <v>0.9</v>
      </c>
      <c r="AM43" s="12">
        <f t="shared" si="78"/>
        <v>15.4</v>
      </c>
      <c r="AN43" s="12">
        <f t="shared" si="78"/>
        <v>25.57</v>
      </c>
      <c r="AO43" s="12">
        <f t="shared" si="78"/>
        <v>3.2</v>
      </c>
      <c r="AP43" s="12">
        <f t="shared" si="78"/>
        <v>44</v>
      </c>
      <c r="AQ43" s="12">
        <f t="shared" si="78"/>
        <v>24.41</v>
      </c>
      <c r="AR43" s="12">
        <f t="shared" si="79"/>
        <v>0.53900000000000003</v>
      </c>
      <c r="AS43" s="12">
        <f t="shared" si="79"/>
        <v>10.62</v>
      </c>
      <c r="AT43" s="12">
        <f t="shared" si="79"/>
        <v>46.3</v>
      </c>
      <c r="AU43" s="12">
        <f t="shared" si="79"/>
        <v>17.3</v>
      </c>
      <c r="AV43" s="12">
        <f t="shared" si="79"/>
        <v>71.900000000000006</v>
      </c>
      <c r="AW43" s="12">
        <f t="shared" si="79"/>
        <v>20.8</v>
      </c>
      <c r="AX43" s="12">
        <f t="shared" si="79"/>
        <v>14.8</v>
      </c>
      <c r="AY43" s="12">
        <f t="shared" si="79"/>
        <v>74.400000000000006</v>
      </c>
      <c r="AZ43" s="12">
        <f t="shared" si="79"/>
        <v>12.45</v>
      </c>
      <c r="BA43" s="12">
        <f t="shared" si="79"/>
        <v>77.400000000000006</v>
      </c>
      <c r="BB43" s="12">
        <f t="shared" si="80"/>
        <v>3.4</v>
      </c>
      <c r="BC43" s="12">
        <f t="shared" si="80"/>
        <v>36.950000000000003</v>
      </c>
      <c r="BD43" s="12">
        <f t="shared" si="80"/>
        <v>0.7</v>
      </c>
      <c r="BE43" s="12">
        <f t="shared" si="80"/>
        <v>7.1</v>
      </c>
      <c r="BF43" s="12">
        <f t="shared" si="80"/>
        <v>-0.5</v>
      </c>
      <c r="BG43" s="12">
        <f t="shared" si="80"/>
        <v>14</v>
      </c>
      <c r="BH43" s="12">
        <f t="shared" si="80"/>
        <v>15.5</v>
      </c>
      <c r="BI43" s="12">
        <f t="shared" si="80"/>
        <v>73.400000000000006</v>
      </c>
      <c r="BJ43" s="12">
        <f t="shared" si="80"/>
        <v>18.850000000000001</v>
      </c>
      <c r="BK43" s="12">
        <f t="shared" si="80"/>
        <v>58.639308855291581</v>
      </c>
      <c r="BL43" s="12">
        <f t="shared" si="81"/>
        <v>31.2</v>
      </c>
      <c r="BM43" s="12">
        <f t="shared" si="81"/>
        <v>7.1</v>
      </c>
      <c r="BN43" s="12">
        <f t="shared" si="81"/>
        <v>34.9</v>
      </c>
      <c r="BO43" s="12">
        <f t="shared" si="81"/>
        <v>20.8</v>
      </c>
      <c r="BP43" s="12">
        <f t="shared" si="81"/>
        <v>1.48</v>
      </c>
      <c r="BQ43" s="12">
        <f t="shared" si="81"/>
        <v>16.8</v>
      </c>
      <c r="BR43" s="12">
        <f t="shared" si="81"/>
        <v>11.27</v>
      </c>
      <c r="BS43" s="12">
        <f t="shared" si="81"/>
        <v>3.9</v>
      </c>
      <c r="BT43" s="12">
        <f t="shared" si="81"/>
        <v>41.8</v>
      </c>
      <c r="BU43" s="12">
        <f t="shared" si="81"/>
        <v>26.89</v>
      </c>
      <c r="BV43" s="12">
        <f t="shared" si="82"/>
        <v>0.53800000000000003</v>
      </c>
      <c r="BW43" s="12">
        <f t="shared" si="82"/>
        <v>13.57</v>
      </c>
      <c r="BX43" s="12">
        <f t="shared" si="82"/>
        <v>47.5</v>
      </c>
      <c r="BY43" s="12">
        <f t="shared" si="82"/>
        <v>16.5</v>
      </c>
      <c r="BZ43" s="12">
        <f t="shared" si="82"/>
        <v>72</v>
      </c>
      <c r="CA43" s="12">
        <f t="shared" si="82"/>
        <v>18.399999999999999</v>
      </c>
      <c r="CB43" s="12">
        <f t="shared" si="82"/>
        <v>13.3</v>
      </c>
      <c r="CC43" s="12">
        <f t="shared" si="82"/>
        <v>69.8</v>
      </c>
      <c r="CD43" s="12">
        <f t="shared" si="82"/>
        <v>10.06</v>
      </c>
      <c r="CE43" s="12">
        <f t="shared" si="82"/>
        <v>77.400000000000006</v>
      </c>
      <c r="CF43" s="12">
        <f t="shared" si="83"/>
        <v>1.7</v>
      </c>
      <c r="CG43" s="12">
        <f t="shared" si="83"/>
        <v>37.299999999999997</v>
      </c>
      <c r="CH43" s="12">
        <f t="shared" si="83"/>
        <v>8.1999999999999993</v>
      </c>
      <c r="CI43" s="12">
        <f t="shared" si="83"/>
        <v>9</v>
      </c>
      <c r="CJ43" s="12">
        <f t="shared" si="83"/>
        <v>1.4</v>
      </c>
      <c r="CK43" s="12">
        <f t="shared" si="83"/>
        <v>12.66</v>
      </c>
      <c r="CL43" s="12">
        <f t="shared" si="83"/>
        <v>11.6</v>
      </c>
      <c r="CM43" s="12">
        <f t="shared" si="83"/>
        <v>72.099999999999994</v>
      </c>
      <c r="CN43" s="12">
        <f t="shared" si="83"/>
        <v>21.400000000000006</v>
      </c>
      <c r="CO43" s="12">
        <f t="shared" si="83"/>
        <v>60.000000000000021</v>
      </c>
    </row>
    <row r="44" spans="1:93" x14ac:dyDescent="0.3">
      <c r="A44" s="6" t="s">
        <v>351</v>
      </c>
      <c r="B44" s="3">
        <v>8</v>
      </c>
      <c r="C44" s="13" t="s">
        <v>4</v>
      </c>
      <c r="D44" s="14">
        <v>22</v>
      </c>
      <c r="E44" s="38">
        <f>G45</f>
        <v>27.27272727272727</v>
      </c>
      <c r="F44" s="39">
        <v>3</v>
      </c>
      <c r="G44" s="38">
        <f t="shared" si="62"/>
        <v>27.27272727272727</v>
      </c>
      <c r="H44" s="39">
        <v>11</v>
      </c>
      <c r="I44" s="40">
        <f t="shared" si="63"/>
        <v>0.36363636363636365</v>
      </c>
      <c r="J44" s="39">
        <v>4</v>
      </c>
      <c r="K44" s="39">
        <v>16</v>
      </c>
      <c r="L44" s="39">
        <v>4</v>
      </c>
      <c r="M44" s="39">
        <f>Q45</f>
        <v>38.5</v>
      </c>
      <c r="N44" s="39">
        <v>32</v>
      </c>
      <c r="O44" s="41">
        <f t="shared" si="64"/>
        <v>0.28977272727272729</v>
      </c>
      <c r="P44" s="39">
        <v>13</v>
      </c>
      <c r="Q44" s="39">
        <v>38.1</v>
      </c>
      <c r="R44" s="39">
        <v>19</v>
      </c>
      <c r="S44" s="38">
        <f t="shared" si="65"/>
        <v>75.862068965517238</v>
      </c>
      <c r="T44" s="39">
        <v>29</v>
      </c>
      <c r="U44" s="39">
        <v>22</v>
      </c>
      <c r="V44" s="39">
        <f>X45</f>
        <v>63</v>
      </c>
      <c r="W44" s="39">
        <v>11</v>
      </c>
      <c r="X44" s="39">
        <v>73</v>
      </c>
      <c r="Y44" s="39">
        <f>Z44-Z45</f>
        <v>9</v>
      </c>
      <c r="Z44" s="39">
        <f t="shared" si="66"/>
        <v>43</v>
      </c>
      <c r="AA44" s="39">
        <f t="shared" si="67"/>
        <v>10</v>
      </c>
      <c r="AB44" s="39">
        <v>12</v>
      </c>
      <c r="AC44" s="39">
        <f t="shared" si="68"/>
        <v>6</v>
      </c>
      <c r="AD44" s="39">
        <f>AE45</f>
        <v>17</v>
      </c>
      <c r="AE44" s="39">
        <v>11</v>
      </c>
      <c r="AF44" s="46">
        <f t="shared" si="13"/>
        <v>76.767125984251976</v>
      </c>
      <c r="AG44" s="51">
        <f t="shared" ref="AG44" si="85">AVERAGE(AF44,AF45)</f>
        <v>77.532588966151962</v>
      </c>
      <c r="AH44" s="12">
        <f t="shared" si="78"/>
        <v>31.4</v>
      </c>
      <c r="AI44" s="12">
        <f t="shared" si="78"/>
        <v>5.4</v>
      </c>
      <c r="AJ44" s="12">
        <f t="shared" si="78"/>
        <v>32.4</v>
      </c>
      <c r="AK44" s="12">
        <f t="shared" si="78"/>
        <v>17.3</v>
      </c>
      <c r="AL44" s="12">
        <f t="shared" si="78"/>
        <v>1.08</v>
      </c>
      <c r="AM44" s="12">
        <f t="shared" si="78"/>
        <v>13.1</v>
      </c>
      <c r="AN44" s="12">
        <f t="shared" si="78"/>
        <v>20.18</v>
      </c>
      <c r="AO44" s="12">
        <f t="shared" si="78"/>
        <v>4.9000000000000004</v>
      </c>
      <c r="AP44" s="12">
        <f t="shared" si="78"/>
        <v>42.6</v>
      </c>
      <c r="AQ44" s="12">
        <f t="shared" si="78"/>
        <v>25.44</v>
      </c>
      <c r="AR44" s="12">
        <f t="shared" si="79"/>
        <v>0.51100000000000001</v>
      </c>
      <c r="AS44" s="12">
        <f t="shared" si="79"/>
        <v>12.19</v>
      </c>
      <c r="AT44" s="12">
        <f t="shared" si="79"/>
        <v>47.4</v>
      </c>
      <c r="AU44" s="12">
        <f t="shared" si="79"/>
        <v>19.399999999999999</v>
      </c>
      <c r="AV44" s="12">
        <f t="shared" si="79"/>
        <v>70.7</v>
      </c>
      <c r="AW44" s="12">
        <f t="shared" si="79"/>
        <v>23.8</v>
      </c>
      <c r="AX44" s="12">
        <f t="shared" si="79"/>
        <v>16.899999999999999</v>
      </c>
      <c r="AY44" s="12">
        <f t="shared" si="79"/>
        <v>69.599999999999994</v>
      </c>
      <c r="AZ44" s="12">
        <f t="shared" si="79"/>
        <v>10.64</v>
      </c>
      <c r="BA44" s="12">
        <f t="shared" si="79"/>
        <v>75.3</v>
      </c>
      <c r="BB44" s="12">
        <f t="shared" si="80"/>
        <v>3.3</v>
      </c>
      <c r="BC44" s="12">
        <f t="shared" si="80"/>
        <v>35.89</v>
      </c>
      <c r="BD44" s="12">
        <f t="shared" si="80"/>
        <v>6.3</v>
      </c>
      <c r="BE44" s="12">
        <f t="shared" si="80"/>
        <v>8.3000000000000007</v>
      </c>
      <c r="BF44" s="12">
        <f t="shared" si="80"/>
        <v>1.1000000000000001</v>
      </c>
      <c r="BG44" s="12">
        <f t="shared" si="80"/>
        <v>12.88</v>
      </c>
      <c r="BH44" s="12">
        <f t="shared" si="80"/>
        <v>11.7</v>
      </c>
      <c r="BI44" s="12">
        <f t="shared" si="80"/>
        <v>72.099999999999994</v>
      </c>
      <c r="BJ44" s="12">
        <f t="shared" si="80"/>
        <v>21.099999999999998</v>
      </c>
      <c r="BK44" s="12">
        <f t="shared" si="80"/>
        <v>55.907172995780591</v>
      </c>
      <c r="BL44" s="12">
        <f t="shared" si="81"/>
        <v>33.200000000000003</v>
      </c>
      <c r="BM44" s="12">
        <f t="shared" si="81"/>
        <v>7.8</v>
      </c>
      <c r="BN44" s="12">
        <f t="shared" si="81"/>
        <v>31.5</v>
      </c>
      <c r="BO44" s="12">
        <f t="shared" si="81"/>
        <v>24.7</v>
      </c>
      <c r="BP44" s="12">
        <f t="shared" si="81"/>
        <v>0.97</v>
      </c>
      <c r="BQ44" s="12">
        <f t="shared" si="81"/>
        <v>12.2</v>
      </c>
      <c r="BR44" s="12">
        <f t="shared" si="81"/>
        <v>18.8</v>
      </c>
      <c r="BS44" s="12">
        <f t="shared" si="81"/>
        <v>6.3</v>
      </c>
      <c r="BT44" s="12">
        <f t="shared" si="81"/>
        <v>41.9</v>
      </c>
      <c r="BU44" s="12">
        <f t="shared" si="81"/>
        <v>27.57</v>
      </c>
      <c r="BV44" s="12">
        <f t="shared" si="82"/>
        <v>0.51900000000000002</v>
      </c>
      <c r="BW44" s="12">
        <f t="shared" si="82"/>
        <v>9.1999999999999993</v>
      </c>
      <c r="BX44" s="12">
        <f t="shared" si="82"/>
        <v>45</v>
      </c>
      <c r="BY44" s="12">
        <f t="shared" si="82"/>
        <v>16.7</v>
      </c>
      <c r="BZ44" s="12">
        <f t="shared" si="82"/>
        <v>68.7</v>
      </c>
      <c r="CA44" s="12">
        <f t="shared" si="82"/>
        <v>21.2</v>
      </c>
      <c r="CB44" s="12">
        <f t="shared" si="82"/>
        <v>14.7</v>
      </c>
      <c r="CC44" s="12">
        <f t="shared" si="82"/>
        <v>67.599999999999994</v>
      </c>
      <c r="CD44" s="12">
        <f t="shared" si="82"/>
        <v>11.53</v>
      </c>
      <c r="CE44" s="12">
        <f t="shared" si="82"/>
        <v>75.3</v>
      </c>
      <c r="CF44" s="12">
        <f t="shared" si="83"/>
        <v>4.7</v>
      </c>
      <c r="CG44" s="12">
        <f t="shared" si="83"/>
        <v>38.86</v>
      </c>
      <c r="CH44" s="12">
        <f t="shared" si="83"/>
        <v>7.8</v>
      </c>
      <c r="CI44" s="12">
        <f t="shared" si="83"/>
        <v>6.9</v>
      </c>
      <c r="CJ44" s="12">
        <f t="shared" si="83"/>
        <v>0.2</v>
      </c>
      <c r="CK44" s="12">
        <f t="shared" si="83"/>
        <v>11.59</v>
      </c>
      <c r="CL44" s="12">
        <f t="shared" si="83"/>
        <v>12</v>
      </c>
      <c r="CM44" s="12">
        <f t="shared" si="83"/>
        <v>71.7</v>
      </c>
      <c r="CN44" s="12">
        <f t="shared" si="83"/>
        <v>18.599999999999998</v>
      </c>
      <c r="CO44" s="12">
        <f t="shared" si="83"/>
        <v>58.666666666666664</v>
      </c>
    </row>
    <row r="45" spans="1:93" x14ac:dyDescent="0.3">
      <c r="A45" s="6" t="s">
        <v>4</v>
      </c>
      <c r="B45" s="3">
        <v>9</v>
      </c>
      <c r="C45" s="13" t="s">
        <v>351</v>
      </c>
      <c r="D45" s="14">
        <v>22</v>
      </c>
      <c r="E45" s="38">
        <f>G44</f>
        <v>27.27272727272727</v>
      </c>
      <c r="F45" s="39">
        <v>6</v>
      </c>
      <c r="G45" s="38">
        <f t="shared" si="62"/>
        <v>27.27272727272727</v>
      </c>
      <c r="H45" s="39">
        <v>22</v>
      </c>
      <c r="I45" s="40">
        <f t="shared" si="63"/>
        <v>0.58823529411764708</v>
      </c>
      <c r="J45" s="39">
        <v>10</v>
      </c>
      <c r="K45" s="39">
        <v>20</v>
      </c>
      <c r="L45" s="39">
        <v>5</v>
      </c>
      <c r="M45" s="39">
        <f>Q44</f>
        <v>38.1</v>
      </c>
      <c r="N45" s="39">
        <v>31</v>
      </c>
      <c r="O45" s="41">
        <f t="shared" si="64"/>
        <v>0.3136363636363636</v>
      </c>
      <c r="P45" s="39">
        <v>14</v>
      </c>
      <c r="Q45" s="39">
        <v>38.5</v>
      </c>
      <c r="R45" s="39">
        <v>19</v>
      </c>
      <c r="S45" s="38">
        <f t="shared" si="65"/>
        <v>65.384615384615387</v>
      </c>
      <c r="T45" s="39">
        <v>26</v>
      </c>
      <c r="U45" s="39">
        <v>17</v>
      </c>
      <c r="V45" s="39">
        <f>X44</f>
        <v>73</v>
      </c>
      <c r="W45" s="39">
        <v>3</v>
      </c>
      <c r="X45" s="39">
        <v>63</v>
      </c>
      <c r="Y45" s="39">
        <f>Z45-Z44</f>
        <v>-9</v>
      </c>
      <c r="Z45" s="39">
        <f t="shared" si="66"/>
        <v>34</v>
      </c>
      <c r="AA45" s="39">
        <f t="shared" si="67"/>
        <v>-10</v>
      </c>
      <c r="AB45" s="39">
        <v>10</v>
      </c>
      <c r="AC45" s="39">
        <f t="shared" si="68"/>
        <v>-6</v>
      </c>
      <c r="AD45" s="39">
        <f>AE44</f>
        <v>11</v>
      </c>
      <c r="AE45" s="39">
        <v>17</v>
      </c>
      <c r="AF45" s="46">
        <f t="shared" si="13"/>
        <v>78.298051948051935</v>
      </c>
      <c r="AG45" s="51">
        <f t="shared" ref="AG45" si="86">AVERAGE(AF44,AF45)</f>
        <v>77.532588966151962</v>
      </c>
      <c r="AH45" s="12">
        <f t="shared" si="78"/>
        <v>33.200000000000003</v>
      </c>
      <c r="AI45" s="12">
        <f t="shared" si="78"/>
        <v>7.8</v>
      </c>
      <c r="AJ45" s="12">
        <f t="shared" si="78"/>
        <v>31.5</v>
      </c>
      <c r="AK45" s="12">
        <f t="shared" si="78"/>
        <v>24.7</v>
      </c>
      <c r="AL45" s="12">
        <f t="shared" si="78"/>
        <v>0.97</v>
      </c>
      <c r="AM45" s="12">
        <f t="shared" si="78"/>
        <v>12.2</v>
      </c>
      <c r="AN45" s="12">
        <f t="shared" si="78"/>
        <v>18.8</v>
      </c>
      <c r="AO45" s="12">
        <f t="shared" si="78"/>
        <v>6.3</v>
      </c>
      <c r="AP45" s="12">
        <f t="shared" si="78"/>
        <v>41.9</v>
      </c>
      <c r="AQ45" s="12">
        <f t="shared" si="78"/>
        <v>27.57</v>
      </c>
      <c r="AR45" s="12">
        <f t="shared" si="79"/>
        <v>0.51900000000000002</v>
      </c>
      <c r="AS45" s="12">
        <f t="shared" si="79"/>
        <v>9.1999999999999993</v>
      </c>
      <c r="AT45" s="12">
        <f t="shared" si="79"/>
        <v>45</v>
      </c>
      <c r="AU45" s="12">
        <f t="shared" si="79"/>
        <v>16.7</v>
      </c>
      <c r="AV45" s="12">
        <f t="shared" si="79"/>
        <v>68.7</v>
      </c>
      <c r="AW45" s="12">
        <f t="shared" si="79"/>
        <v>21.2</v>
      </c>
      <c r="AX45" s="12">
        <f t="shared" si="79"/>
        <v>14.7</v>
      </c>
      <c r="AY45" s="12">
        <f t="shared" si="79"/>
        <v>67.599999999999994</v>
      </c>
      <c r="AZ45" s="12">
        <f t="shared" si="79"/>
        <v>11.53</v>
      </c>
      <c r="BA45" s="12">
        <f t="shared" si="79"/>
        <v>75.3</v>
      </c>
      <c r="BB45" s="12">
        <f t="shared" si="80"/>
        <v>4.7</v>
      </c>
      <c r="BC45" s="12">
        <f t="shared" si="80"/>
        <v>38.86</v>
      </c>
      <c r="BD45" s="12">
        <f t="shared" si="80"/>
        <v>7.8</v>
      </c>
      <c r="BE45" s="12">
        <f t="shared" si="80"/>
        <v>6.9</v>
      </c>
      <c r="BF45" s="12">
        <f t="shared" si="80"/>
        <v>0.2</v>
      </c>
      <c r="BG45" s="12">
        <f t="shared" si="80"/>
        <v>11.59</v>
      </c>
      <c r="BH45" s="12">
        <f t="shared" si="80"/>
        <v>12</v>
      </c>
      <c r="BI45" s="12">
        <f t="shared" si="80"/>
        <v>71.7</v>
      </c>
      <c r="BJ45" s="12">
        <f t="shared" si="80"/>
        <v>18.599999999999998</v>
      </c>
      <c r="BK45" s="12">
        <f t="shared" si="80"/>
        <v>58.666666666666664</v>
      </c>
      <c r="BL45" s="12">
        <f t="shared" si="81"/>
        <v>31.4</v>
      </c>
      <c r="BM45" s="12">
        <f t="shared" si="81"/>
        <v>5.4</v>
      </c>
      <c r="BN45" s="12">
        <f t="shared" si="81"/>
        <v>32.4</v>
      </c>
      <c r="BO45" s="12">
        <f t="shared" si="81"/>
        <v>17.3</v>
      </c>
      <c r="BP45" s="12">
        <f t="shared" si="81"/>
        <v>1.08</v>
      </c>
      <c r="BQ45" s="12">
        <f t="shared" si="81"/>
        <v>13.1</v>
      </c>
      <c r="BR45" s="12">
        <f t="shared" si="81"/>
        <v>20.18</v>
      </c>
      <c r="BS45" s="12">
        <f t="shared" si="81"/>
        <v>4.9000000000000004</v>
      </c>
      <c r="BT45" s="12">
        <f t="shared" si="81"/>
        <v>42.6</v>
      </c>
      <c r="BU45" s="12">
        <f t="shared" si="81"/>
        <v>25.44</v>
      </c>
      <c r="BV45" s="12">
        <f t="shared" si="82"/>
        <v>0.51100000000000001</v>
      </c>
      <c r="BW45" s="12">
        <f t="shared" si="82"/>
        <v>12.19</v>
      </c>
      <c r="BX45" s="12">
        <f t="shared" si="82"/>
        <v>47.4</v>
      </c>
      <c r="BY45" s="12">
        <f t="shared" si="82"/>
        <v>19.399999999999999</v>
      </c>
      <c r="BZ45" s="12">
        <f t="shared" si="82"/>
        <v>70.7</v>
      </c>
      <c r="CA45" s="12">
        <f t="shared" si="82"/>
        <v>23.8</v>
      </c>
      <c r="CB45" s="12">
        <f t="shared" si="82"/>
        <v>16.899999999999999</v>
      </c>
      <c r="CC45" s="12">
        <f t="shared" si="82"/>
        <v>69.599999999999994</v>
      </c>
      <c r="CD45" s="12">
        <f t="shared" si="82"/>
        <v>10.64</v>
      </c>
      <c r="CE45" s="12">
        <f t="shared" si="82"/>
        <v>75.3</v>
      </c>
      <c r="CF45" s="12">
        <f t="shared" si="83"/>
        <v>3.3</v>
      </c>
      <c r="CG45" s="12">
        <f t="shared" si="83"/>
        <v>35.89</v>
      </c>
      <c r="CH45" s="12">
        <f t="shared" si="83"/>
        <v>6.3</v>
      </c>
      <c r="CI45" s="12">
        <f t="shared" si="83"/>
        <v>8.3000000000000007</v>
      </c>
      <c r="CJ45" s="12">
        <f t="shared" si="83"/>
        <v>1.1000000000000001</v>
      </c>
      <c r="CK45" s="12">
        <f t="shared" si="83"/>
        <v>12.88</v>
      </c>
      <c r="CL45" s="12">
        <f t="shared" si="83"/>
        <v>11.7</v>
      </c>
      <c r="CM45" s="12">
        <f t="shared" si="83"/>
        <v>72.099999999999994</v>
      </c>
      <c r="CN45" s="12">
        <f t="shared" si="83"/>
        <v>21.099999999999998</v>
      </c>
      <c r="CO45" s="12">
        <f t="shared" si="83"/>
        <v>55.907172995780591</v>
      </c>
    </row>
    <row r="46" spans="1:93" x14ac:dyDescent="0.3">
      <c r="A46" s="6" t="s">
        <v>22</v>
      </c>
      <c r="B46" s="3">
        <v>5</v>
      </c>
      <c r="C46" s="13" t="s">
        <v>284</v>
      </c>
      <c r="D46" s="14">
        <v>23</v>
      </c>
      <c r="E46" s="38">
        <f>G47</f>
        <v>35.714285714285715</v>
      </c>
      <c r="F46" s="39">
        <v>3</v>
      </c>
      <c r="G46" s="38">
        <f t="shared" si="62"/>
        <v>17.647058823529413</v>
      </c>
      <c r="H46" s="39">
        <v>17</v>
      </c>
      <c r="I46" s="40">
        <f t="shared" si="63"/>
        <v>1.0833333333333333</v>
      </c>
      <c r="J46" s="39">
        <v>13</v>
      </c>
      <c r="K46" s="39">
        <v>13</v>
      </c>
      <c r="L46" s="39">
        <v>6</v>
      </c>
      <c r="M46" s="39">
        <f>Q47</f>
        <v>36.700000000000003</v>
      </c>
      <c r="N46" s="39">
        <v>26</v>
      </c>
      <c r="O46" s="41">
        <f t="shared" si="64"/>
        <v>0.1897058823529412</v>
      </c>
      <c r="P46" s="39">
        <v>2</v>
      </c>
      <c r="Q46" s="39">
        <v>40.799999999999997</v>
      </c>
      <c r="R46" s="39">
        <v>19</v>
      </c>
      <c r="S46" s="38">
        <f t="shared" si="65"/>
        <v>74.074074074074076</v>
      </c>
      <c r="T46" s="39">
        <v>27</v>
      </c>
      <c r="U46" s="39">
        <v>20</v>
      </c>
      <c r="V46" s="39">
        <f>X47</f>
        <v>51</v>
      </c>
      <c r="W46" s="39">
        <v>11</v>
      </c>
      <c r="X46" s="39">
        <v>63</v>
      </c>
      <c r="Y46" s="39">
        <f>Z46-Z47</f>
        <v>8</v>
      </c>
      <c r="Z46" s="39">
        <f t="shared" si="66"/>
        <v>37</v>
      </c>
      <c r="AA46" s="39">
        <f t="shared" si="67"/>
        <v>12</v>
      </c>
      <c r="AB46" s="39">
        <v>8</v>
      </c>
      <c r="AC46" s="39">
        <f t="shared" si="68"/>
        <v>2</v>
      </c>
      <c r="AD46" s="39">
        <f>AE47</f>
        <v>14</v>
      </c>
      <c r="AE46" s="39">
        <v>12</v>
      </c>
      <c r="AF46" s="46">
        <f t="shared" si="13"/>
        <v>62.844607843137254</v>
      </c>
      <c r="AG46" s="51">
        <f t="shared" ref="AG46" si="87">AVERAGE(AF46,AF47)</f>
        <v>62.245464684511404</v>
      </c>
      <c r="AH46" s="12">
        <f t="shared" si="78"/>
        <v>32.700000000000003</v>
      </c>
      <c r="AI46" s="12">
        <f t="shared" si="78"/>
        <v>7.7</v>
      </c>
      <c r="AJ46" s="12">
        <f t="shared" si="78"/>
        <v>36.5</v>
      </c>
      <c r="AK46" s="12">
        <f t="shared" si="78"/>
        <v>21.6</v>
      </c>
      <c r="AL46" s="12">
        <f t="shared" si="78"/>
        <v>1.3</v>
      </c>
      <c r="AM46" s="12">
        <f t="shared" si="78"/>
        <v>12.7</v>
      </c>
      <c r="AN46" s="12">
        <f t="shared" si="78"/>
        <v>15.09</v>
      </c>
      <c r="AO46" s="12">
        <f t="shared" si="78"/>
        <v>3.7</v>
      </c>
      <c r="AP46" s="12">
        <f t="shared" si="78"/>
        <v>42.1</v>
      </c>
      <c r="AQ46" s="12">
        <f t="shared" si="78"/>
        <v>25.17</v>
      </c>
      <c r="AR46" s="12">
        <f t="shared" si="79"/>
        <v>0.53</v>
      </c>
      <c r="AS46" s="12">
        <f t="shared" si="79"/>
        <v>5.0599999999999996</v>
      </c>
      <c r="AT46" s="12">
        <f t="shared" si="79"/>
        <v>46.1</v>
      </c>
      <c r="AU46" s="12">
        <f t="shared" si="79"/>
        <v>16.399999999999999</v>
      </c>
      <c r="AV46" s="12">
        <f t="shared" si="79"/>
        <v>70.400000000000006</v>
      </c>
      <c r="AW46" s="12">
        <f t="shared" si="79"/>
        <v>18.5</v>
      </c>
      <c r="AX46" s="12">
        <f t="shared" si="79"/>
        <v>12.2</v>
      </c>
      <c r="AY46" s="12">
        <f t="shared" si="79"/>
        <v>59.7</v>
      </c>
      <c r="AZ46" s="12">
        <f t="shared" si="79"/>
        <v>11.18</v>
      </c>
      <c r="BA46" s="12">
        <f t="shared" si="79"/>
        <v>72.099999999999994</v>
      </c>
      <c r="BB46" s="12">
        <f t="shared" si="80"/>
        <v>8.5</v>
      </c>
      <c r="BC46" s="12">
        <f t="shared" si="80"/>
        <v>35.83</v>
      </c>
      <c r="BD46" s="12">
        <f t="shared" si="80"/>
        <v>12.1</v>
      </c>
      <c r="BE46" s="12">
        <f t="shared" si="80"/>
        <v>6.7</v>
      </c>
      <c r="BF46" s="12">
        <f t="shared" si="80"/>
        <v>1.2</v>
      </c>
      <c r="BG46" s="12">
        <f t="shared" si="80"/>
        <v>11.31</v>
      </c>
      <c r="BH46" s="12">
        <f t="shared" si="80"/>
        <v>9.9</v>
      </c>
      <c r="BI46" s="12">
        <f t="shared" si="80"/>
        <v>65.599999999999994</v>
      </c>
      <c r="BJ46" s="12">
        <f t="shared" si="80"/>
        <v>18.399999999999995</v>
      </c>
      <c r="BK46" s="12">
        <f t="shared" si="80"/>
        <v>56.616052060737516</v>
      </c>
      <c r="BL46" s="12">
        <f t="shared" si="81"/>
        <v>31.8</v>
      </c>
      <c r="BM46" s="12">
        <f t="shared" si="81"/>
        <v>6.4</v>
      </c>
      <c r="BN46" s="12">
        <f t="shared" si="81"/>
        <v>35.1</v>
      </c>
      <c r="BO46" s="12">
        <f t="shared" si="81"/>
        <v>17.899999999999999</v>
      </c>
      <c r="BP46" s="12">
        <f t="shared" si="81"/>
        <v>0.99</v>
      </c>
      <c r="BQ46" s="12">
        <f t="shared" si="81"/>
        <v>13.3</v>
      </c>
      <c r="BR46" s="12">
        <f t="shared" si="81"/>
        <v>19.18</v>
      </c>
      <c r="BS46" s="12">
        <f t="shared" si="81"/>
        <v>4.4000000000000004</v>
      </c>
      <c r="BT46" s="12">
        <f t="shared" si="81"/>
        <v>41.7</v>
      </c>
      <c r="BU46" s="12">
        <f t="shared" si="81"/>
        <v>24.05</v>
      </c>
      <c r="BV46" s="12">
        <f t="shared" si="82"/>
        <v>0.52600000000000002</v>
      </c>
      <c r="BW46" s="12">
        <f t="shared" si="82"/>
        <v>9.26</v>
      </c>
      <c r="BX46" s="12">
        <f t="shared" si="82"/>
        <v>46.9</v>
      </c>
      <c r="BY46" s="12">
        <f t="shared" si="82"/>
        <v>16.399999999999999</v>
      </c>
      <c r="BZ46" s="12">
        <f t="shared" si="82"/>
        <v>70.599999999999994</v>
      </c>
      <c r="CA46" s="12">
        <f t="shared" si="82"/>
        <v>23.8</v>
      </c>
      <c r="CB46" s="12">
        <f t="shared" si="82"/>
        <v>16.8</v>
      </c>
      <c r="CC46" s="12">
        <f t="shared" si="82"/>
        <v>64</v>
      </c>
      <c r="CD46" s="12">
        <f t="shared" si="82"/>
        <v>9.69</v>
      </c>
      <c r="CE46" s="12">
        <f t="shared" si="82"/>
        <v>73.3</v>
      </c>
      <c r="CF46" s="12">
        <f t="shared" si="83"/>
        <v>0.6</v>
      </c>
      <c r="CG46" s="12">
        <f t="shared" si="83"/>
        <v>34</v>
      </c>
      <c r="CH46" s="12">
        <f t="shared" si="83"/>
        <v>9.3000000000000007</v>
      </c>
      <c r="CI46" s="12">
        <f t="shared" si="83"/>
        <v>9.8000000000000007</v>
      </c>
      <c r="CJ46" s="12">
        <f t="shared" si="83"/>
        <v>1.9</v>
      </c>
      <c r="CK46" s="12">
        <f t="shared" si="83"/>
        <v>16.350000000000001</v>
      </c>
      <c r="CL46" s="12">
        <f t="shared" si="83"/>
        <v>12.9</v>
      </c>
      <c r="CM46" s="12">
        <f t="shared" si="83"/>
        <v>69.900000000000006</v>
      </c>
      <c r="CN46" s="12">
        <f t="shared" si="83"/>
        <v>18.649999999999999</v>
      </c>
      <c r="CO46" s="12">
        <f t="shared" si="83"/>
        <v>53.411513859275047</v>
      </c>
    </row>
    <row r="47" spans="1:93" x14ac:dyDescent="0.3">
      <c r="A47" s="6" t="s">
        <v>284</v>
      </c>
      <c r="B47" s="3">
        <v>12</v>
      </c>
      <c r="C47" s="13" t="s">
        <v>22</v>
      </c>
      <c r="D47" s="14">
        <v>23</v>
      </c>
      <c r="E47" s="38">
        <f>G46</f>
        <v>17.647058823529413</v>
      </c>
      <c r="F47" s="39">
        <v>5</v>
      </c>
      <c r="G47" s="38">
        <f t="shared" si="62"/>
        <v>35.714285714285715</v>
      </c>
      <c r="H47" s="39">
        <v>14</v>
      </c>
      <c r="I47" s="40">
        <f t="shared" si="63"/>
        <v>0.5</v>
      </c>
      <c r="J47" s="39">
        <v>7</v>
      </c>
      <c r="K47" s="39">
        <v>16</v>
      </c>
      <c r="L47" s="39">
        <v>5</v>
      </c>
      <c r="M47" s="39">
        <f>Q46</f>
        <v>40.799999999999997</v>
      </c>
      <c r="N47" s="39">
        <v>20</v>
      </c>
      <c r="O47" s="41">
        <f t="shared" si="64"/>
        <v>0.40674603174603174</v>
      </c>
      <c r="P47" s="39">
        <v>8</v>
      </c>
      <c r="Q47" s="39">
        <v>36.700000000000003</v>
      </c>
      <c r="R47" s="39">
        <v>21</v>
      </c>
      <c r="S47" s="38">
        <f t="shared" si="65"/>
        <v>62.5</v>
      </c>
      <c r="T47" s="39">
        <v>16</v>
      </c>
      <c r="U47" s="39">
        <v>10</v>
      </c>
      <c r="V47" s="39">
        <f>X46</f>
        <v>63</v>
      </c>
      <c r="W47" s="39">
        <v>9</v>
      </c>
      <c r="X47" s="39">
        <v>51</v>
      </c>
      <c r="Y47" s="39">
        <f>Z47-Z46</f>
        <v>-8</v>
      </c>
      <c r="Z47" s="39">
        <f t="shared" si="66"/>
        <v>29</v>
      </c>
      <c r="AA47" s="39">
        <f t="shared" si="67"/>
        <v>-12</v>
      </c>
      <c r="AB47" s="39">
        <v>7</v>
      </c>
      <c r="AC47" s="39">
        <f t="shared" si="68"/>
        <v>-2</v>
      </c>
      <c r="AD47" s="39">
        <f>AE46</f>
        <v>12</v>
      </c>
      <c r="AE47" s="39">
        <v>14</v>
      </c>
      <c r="AF47" s="46">
        <f t="shared" si="13"/>
        <v>61.646321525885554</v>
      </c>
      <c r="AG47" s="51">
        <f t="shared" ref="AG47" si="88">AVERAGE(AF46,AF47)</f>
        <v>62.245464684511404</v>
      </c>
      <c r="AH47" s="12">
        <f t="shared" si="78"/>
        <v>31.8</v>
      </c>
      <c r="AI47" s="12">
        <f t="shared" si="78"/>
        <v>6.4</v>
      </c>
      <c r="AJ47" s="12">
        <f t="shared" si="78"/>
        <v>35.1</v>
      </c>
      <c r="AK47" s="12">
        <f t="shared" si="78"/>
        <v>17.899999999999999</v>
      </c>
      <c r="AL47" s="12">
        <f t="shared" si="78"/>
        <v>0.99</v>
      </c>
      <c r="AM47" s="12">
        <f t="shared" si="78"/>
        <v>13.3</v>
      </c>
      <c r="AN47" s="12">
        <f t="shared" si="78"/>
        <v>19.18</v>
      </c>
      <c r="AO47" s="12">
        <f t="shared" si="78"/>
        <v>4.4000000000000004</v>
      </c>
      <c r="AP47" s="12">
        <f t="shared" si="78"/>
        <v>41.7</v>
      </c>
      <c r="AQ47" s="12">
        <f t="shared" si="78"/>
        <v>24.05</v>
      </c>
      <c r="AR47" s="12">
        <f t="shared" si="79"/>
        <v>0.52600000000000002</v>
      </c>
      <c r="AS47" s="12">
        <f t="shared" si="79"/>
        <v>9.26</v>
      </c>
      <c r="AT47" s="12">
        <f t="shared" si="79"/>
        <v>46.9</v>
      </c>
      <c r="AU47" s="12">
        <f t="shared" si="79"/>
        <v>16.399999999999999</v>
      </c>
      <c r="AV47" s="12">
        <f t="shared" si="79"/>
        <v>70.599999999999994</v>
      </c>
      <c r="AW47" s="12">
        <f t="shared" si="79"/>
        <v>23.8</v>
      </c>
      <c r="AX47" s="12">
        <f t="shared" si="79"/>
        <v>16.8</v>
      </c>
      <c r="AY47" s="12">
        <f t="shared" si="79"/>
        <v>64</v>
      </c>
      <c r="AZ47" s="12">
        <f t="shared" si="79"/>
        <v>9.69</v>
      </c>
      <c r="BA47" s="12">
        <f t="shared" si="79"/>
        <v>73.3</v>
      </c>
      <c r="BB47" s="12">
        <f t="shared" si="80"/>
        <v>0.6</v>
      </c>
      <c r="BC47" s="12">
        <f t="shared" si="80"/>
        <v>34</v>
      </c>
      <c r="BD47" s="12">
        <f t="shared" si="80"/>
        <v>9.3000000000000007</v>
      </c>
      <c r="BE47" s="12">
        <f t="shared" si="80"/>
        <v>9.8000000000000007</v>
      </c>
      <c r="BF47" s="12">
        <f t="shared" si="80"/>
        <v>1.9</v>
      </c>
      <c r="BG47" s="12">
        <f t="shared" si="80"/>
        <v>16.350000000000001</v>
      </c>
      <c r="BH47" s="12">
        <f t="shared" si="80"/>
        <v>12.9</v>
      </c>
      <c r="BI47" s="12">
        <f t="shared" si="80"/>
        <v>69.900000000000006</v>
      </c>
      <c r="BJ47" s="12">
        <f t="shared" si="80"/>
        <v>18.649999999999999</v>
      </c>
      <c r="BK47" s="12">
        <f t="shared" si="80"/>
        <v>53.411513859275047</v>
      </c>
      <c r="BL47" s="12">
        <f t="shared" si="81"/>
        <v>32.700000000000003</v>
      </c>
      <c r="BM47" s="12">
        <f t="shared" si="81"/>
        <v>7.7</v>
      </c>
      <c r="BN47" s="12">
        <f t="shared" si="81"/>
        <v>36.5</v>
      </c>
      <c r="BO47" s="12">
        <f t="shared" si="81"/>
        <v>21.6</v>
      </c>
      <c r="BP47" s="12">
        <f t="shared" si="81"/>
        <v>1.3</v>
      </c>
      <c r="BQ47" s="12">
        <f t="shared" si="81"/>
        <v>12.7</v>
      </c>
      <c r="BR47" s="12">
        <f t="shared" si="81"/>
        <v>15.09</v>
      </c>
      <c r="BS47" s="12">
        <f t="shared" si="81"/>
        <v>3.7</v>
      </c>
      <c r="BT47" s="12">
        <f t="shared" si="81"/>
        <v>42.1</v>
      </c>
      <c r="BU47" s="12">
        <f t="shared" si="81"/>
        <v>25.17</v>
      </c>
      <c r="BV47" s="12">
        <f t="shared" si="82"/>
        <v>0.53</v>
      </c>
      <c r="BW47" s="12">
        <f t="shared" si="82"/>
        <v>5.0599999999999996</v>
      </c>
      <c r="BX47" s="12">
        <f t="shared" si="82"/>
        <v>46.1</v>
      </c>
      <c r="BY47" s="12">
        <f t="shared" si="82"/>
        <v>16.399999999999999</v>
      </c>
      <c r="BZ47" s="12">
        <f t="shared" si="82"/>
        <v>70.400000000000006</v>
      </c>
      <c r="CA47" s="12">
        <f t="shared" si="82"/>
        <v>18.5</v>
      </c>
      <c r="CB47" s="12">
        <f t="shared" si="82"/>
        <v>12.2</v>
      </c>
      <c r="CC47" s="12">
        <f t="shared" si="82"/>
        <v>59.7</v>
      </c>
      <c r="CD47" s="12">
        <f t="shared" si="82"/>
        <v>11.18</v>
      </c>
      <c r="CE47" s="12">
        <f t="shared" si="82"/>
        <v>72.099999999999994</v>
      </c>
      <c r="CF47" s="12">
        <f t="shared" si="83"/>
        <v>8.5</v>
      </c>
      <c r="CG47" s="12">
        <f t="shared" si="83"/>
        <v>35.83</v>
      </c>
      <c r="CH47" s="12">
        <f t="shared" si="83"/>
        <v>12.1</v>
      </c>
      <c r="CI47" s="12">
        <f t="shared" si="83"/>
        <v>6.7</v>
      </c>
      <c r="CJ47" s="12">
        <f t="shared" si="83"/>
        <v>1.2</v>
      </c>
      <c r="CK47" s="12">
        <f t="shared" si="83"/>
        <v>11.31</v>
      </c>
      <c r="CL47" s="12">
        <f t="shared" si="83"/>
        <v>9.9</v>
      </c>
      <c r="CM47" s="12">
        <f t="shared" si="83"/>
        <v>65.599999999999994</v>
      </c>
      <c r="CN47" s="12">
        <f t="shared" si="83"/>
        <v>18.399999999999995</v>
      </c>
      <c r="CO47" s="12">
        <f t="shared" si="83"/>
        <v>56.616052060737516</v>
      </c>
    </row>
    <row r="48" spans="1:93" x14ac:dyDescent="0.3">
      <c r="A48" s="6" t="s">
        <v>2</v>
      </c>
      <c r="B48" s="3">
        <v>4</v>
      </c>
      <c r="C48" s="13" t="s">
        <v>354</v>
      </c>
      <c r="D48" s="14">
        <v>24</v>
      </c>
      <c r="E48" s="38">
        <f>G49</f>
        <v>43.75</v>
      </c>
      <c r="F48" s="39">
        <v>11</v>
      </c>
      <c r="G48" s="38">
        <f t="shared" si="62"/>
        <v>44</v>
      </c>
      <c r="H48" s="39">
        <v>25</v>
      </c>
      <c r="I48" s="40">
        <f t="shared" si="63"/>
        <v>2.6666666666666665</v>
      </c>
      <c r="J48" s="39">
        <v>24</v>
      </c>
      <c r="K48" s="39">
        <v>26</v>
      </c>
      <c r="L48" s="39">
        <v>5</v>
      </c>
      <c r="M48" s="39">
        <f>Q49</f>
        <v>38.6</v>
      </c>
      <c r="N48" s="39">
        <v>31</v>
      </c>
      <c r="O48" s="41">
        <f t="shared" si="64"/>
        <v>0.515625</v>
      </c>
      <c r="P48" s="39">
        <v>12</v>
      </c>
      <c r="Q48" s="39">
        <v>48.5</v>
      </c>
      <c r="R48" s="39">
        <v>15</v>
      </c>
      <c r="S48" s="38">
        <f t="shared" si="65"/>
        <v>85.714285714285708</v>
      </c>
      <c r="T48" s="39">
        <v>14</v>
      </c>
      <c r="U48" s="39">
        <v>12</v>
      </c>
      <c r="V48" s="39">
        <f>X49</f>
        <v>63</v>
      </c>
      <c r="W48" s="39">
        <v>14</v>
      </c>
      <c r="X48" s="39">
        <v>87</v>
      </c>
      <c r="Y48" s="39">
        <f>Z48-Z49</f>
        <v>16</v>
      </c>
      <c r="Z48" s="39">
        <f t="shared" si="66"/>
        <v>45</v>
      </c>
      <c r="AA48" s="39">
        <f t="shared" si="67"/>
        <v>24</v>
      </c>
      <c r="AB48" s="39">
        <v>4</v>
      </c>
      <c r="AC48" s="39">
        <f t="shared" si="68"/>
        <v>-3</v>
      </c>
      <c r="AD48" s="39">
        <f>AE49</f>
        <v>6</v>
      </c>
      <c r="AE48" s="39">
        <v>9</v>
      </c>
      <c r="AF48" s="46">
        <f t="shared" si="13"/>
        <v>67.629381443298968</v>
      </c>
      <c r="AG48" s="51">
        <f t="shared" ref="AG48" si="89">AVERAGE(AF48,AF49)</f>
        <v>65.612100048074353</v>
      </c>
      <c r="AH48" s="12">
        <f t="shared" si="78"/>
        <v>30.2</v>
      </c>
      <c r="AI48" s="12">
        <f t="shared" si="78"/>
        <v>9.1</v>
      </c>
      <c r="AJ48" s="12">
        <f t="shared" si="78"/>
        <v>36.1</v>
      </c>
      <c r="AK48" s="12">
        <f t="shared" si="78"/>
        <v>24.9</v>
      </c>
      <c r="AL48" s="12">
        <f t="shared" si="78"/>
        <v>1.54</v>
      </c>
      <c r="AM48" s="12">
        <f t="shared" si="78"/>
        <v>18.5</v>
      </c>
      <c r="AN48" s="12">
        <f t="shared" si="78"/>
        <v>21.08</v>
      </c>
      <c r="AO48" s="12">
        <f t="shared" si="78"/>
        <v>4.5999999999999996</v>
      </c>
      <c r="AP48" s="12">
        <f t="shared" si="78"/>
        <v>39.6</v>
      </c>
      <c r="AQ48" s="12">
        <f t="shared" si="78"/>
        <v>26.97</v>
      </c>
      <c r="AR48" s="12">
        <f t="shared" si="79"/>
        <v>0.54700000000000004</v>
      </c>
      <c r="AS48" s="12">
        <f t="shared" si="79"/>
        <v>10.91</v>
      </c>
      <c r="AT48" s="12">
        <f t="shared" si="79"/>
        <v>46.9</v>
      </c>
      <c r="AU48" s="12">
        <f t="shared" si="79"/>
        <v>17.3</v>
      </c>
      <c r="AV48" s="12">
        <f t="shared" si="79"/>
        <v>75.900000000000006</v>
      </c>
      <c r="AW48" s="12">
        <f t="shared" si="79"/>
        <v>19.100000000000001</v>
      </c>
      <c r="AX48" s="12">
        <f t="shared" si="79"/>
        <v>15.1</v>
      </c>
      <c r="AY48" s="12">
        <f t="shared" si="79"/>
        <v>66.7</v>
      </c>
      <c r="AZ48" s="12">
        <f t="shared" si="79"/>
        <v>13.43</v>
      </c>
      <c r="BA48" s="12">
        <f t="shared" si="79"/>
        <v>81.400000000000006</v>
      </c>
      <c r="BB48" s="12">
        <f t="shared" si="80"/>
        <v>9.9</v>
      </c>
      <c r="BC48" s="12">
        <f t="shared" si="80"/>
        <v>41.08</v>
      </c>
      <c r="BD48" s="12">
        <f t="shared" si="80"/>
        <v>17.7</v>
      </c>
      <c r="BE48" s="12">
        <f t="shared" si="80"/>
        <v>6.1</v>
      </c>
      <c r="BF48" s="12">
        <f t="shared" si="80"/>
        <v>-0.1</v>
      </c>
      <c r="BG48" s="12">
        <f t="shared" si="80"/>
        <v>11.44</v>
      </c>
      <c r="BH48" s="12">
        <f t="shared" si="80"/>
        <v>11.9</v>
      </c>
      <c r="BI48" s="12">
        <f t="shared" si="80"/>
        <v>70.099999999999994</v>
      </c>
      <c r="BJ48" s="12">
        <f t="shared" si="80"/>
        <v>19.500000000000007</v>
      </c>
      <c r="BK48" s="12">
        <f t="shared" si="80"/>
        <v>60.9808102345416</v>
      </c>
      <c r="BL48" s="12">
        <f t="shared" si="81"/>
        <v>30.4</v>
      </c>
      <c r="BM48" s="12">
        <f t="shared" si="81"/>
        <v>7.2</v>
      </c>
      <c r="BN48" s="12">
        <f t="shared" si="81"/>
        <v>36</v>
      </c>
      <c r="BO48" s="12">
        <f t="shared" si="81"/>
        <v>20.2</v>
      </c>
      <c r="BP48" s="12">
        <f t="shared" si="81"/>
        <v>1.59</v>
      </c>
      <c r="BQ48" s="12">
        <f t="shared" si="81"/>
        <v>15.3</v>
      </c>
      <c r="BR48" s="12">
        <f t="shared" si="81"/>
        <v>13.97</v>
      </c>
      <c r="BS48" s="12">
        <f t="shared" si="81"/>
        <v>6.1</v>
      </c>
      <c r="BT48" s="12">
        <f t="shared" si="81"/>
        <v>41.5</v>
      </c>
      <c r="BU48" s="12">
        <f t="shared" si="81"/>
        <v>24.71</v>
      </c>
      <c r="BV48" s="12">
        <f t="shared" si="82"/>
        <v>0.52200000000000002</v>
      </c>
      <c r="BW48" s="12">
        <f t="shared" si="82"/>
        <v>12.86</v>
      </c>
      <c r="BX48" s="12">
        <f t="shared" si="82"/>
        <v>46.6</v>
      </c>
      <c r="BY48" s="12">
        <f t="shared" si="82"/>
        <v>16.2</v>
      </c>
      <c r="BZ48" s="12">
        <f t="shared" si="82"/>
        <v>72.7</v>
      </c>
      <c r="CA48" s="12">
        <f t="shared" si="82"/>
        <v>18.399999999999999</v>
      </c>
      <c r="CB48" s="12">
        <f t="shared" si="82"/>
        <v>13.4</v>
      </c>
      <c r="CC48" s="12">
        <f t="shared" si="82"/>
        <v>66.900000000000006</v>
      </c>
      <c r="CD48" s="12">
        <f t="shared" si="82"/>
        <v>11.63</v>
      </c>
      <c r="CE48" s="12">
        <f t="shared" si="82"/>
        <v>77.7</v>
      </c>
      <c r="CF48" s="12">
        <f t="shared" si="83"/>
        <v>0.8</v>
      </c>
      <c r="CG48" s="12">
        <f t="shared" si="83"/>
        <v>36.06</v>
      </c>
      <c r="CH48" s="12">
        <f t="shared" si="83"/>
        <v>11.9</v>
      </c>
      <c r="CI48" s="12">
        <f t="shared" si="83"/>
        <v>7.2</v>
      </c>
      <c r="CJ48" s="12">
        <f t="shared" si="83"/>
        <v>3.6</v>
      </c>
      <c r="CK48" s="12">
        <f t="shared" si="83"/>
        <v>12.83</v>
      </c>
      <c r="CL48" s="12">
        <f t="shared" si="83"/>
        <v>9.8000000000000007</v>
      </c>
      <c r="CM48" s="12">
        <f t="shared" si="83"/>
        <v>70.3</v>
      </c>
      <c r="CN48" s="12">
        <f t="shared" si="83"/>
        <v>21.349999999999998</v>
      </c>
      <c r="CO48" s="12">
        <f t="shared" si="83"/>
        <v>61.266094420600844</v>
      </c>
    </row>
    <row r="49" spans="1:93" x14ac:dyDescent="0.3">
      <c r="A49" s="6" t="s">
        <v>354</v>
      </c>
      <c r="B49" s="3">
        <v>13</v>
      </c>
      <c r="C49" s="13" t="s">
        <v>2</v>
      </c>
      <c r="D49" s="14">
        <v>24</v>
      </c>
      <c r="E49" s="38">
        <f>G48</f>
        <v>44</v>
      </c>
      <c r="F49" s="39">
        <v>7</v>
      </c>
      <c r="G49" s="38">
        <f t="shared" si="62"/>
        <v>43.75</v>
      </c>
      <c r="H49" s="39">
        <v>16</v>
      </c>
      <c r="I49" s="40">
        <f t="shared" si="63"/>
        <v>1.5</v>
      </c>
      <c r="J49" s="39">
        <v>9</v>
      </c>
      <c r="K49" s="39">
        <v>13</v>
      </c>
      <c r="L49" s="39">
        <v>3</v>
      </c>
      <c r="M49" s="39">
        <f>Q48</f>
        <v>48.5</v>
      </c>
      <c r="N49" s="39">
        <v>22</v>
      </c>
      <c r="O49" s="41">
        <f t="shared" si="64"/>
        <v>0.50710227272727271</v>
      </c>
      <c r="P49" s="39">
        <v>4</v>
      </c>
      <c r="Q49" s="39">
        <v>38.6</v>
      </c>
      <c r="R49" s="39">
        <v>13</v>
      </c>
      <c r="S49" s="38">
        <f t="shared" si="65"/>
        <v>75</v>
      </c>
      <c r="T49" s="39">
        <v>16</v>
      </c>
      <c r="U49" s="39">
        <v>12</v>
      </c>
      <c r="V49" s="39">
        <f>X48</f>
        <v>87</v>
      </c>
      <c r="W49" s="39">
        <v>7</v>
      </c>
      <c r="X49" s="39">
        <v>63</v>
      </c>
      <c r="Y49" s="39">
        <f>Z49-Z48</f>
        <v>-16</v>
      </c>
      <c r="Z49" s="39">
        <f t="shared" si="66"/>
        <v>29</v>
      </c>
      <c r="AA49" s="39">
        <f t="shared" si="67"/>
        <v>-24</v>
      </c>
      <c r="AB49" s="39">
        <v>7</v>
      </c>
      <c r="AC49" s="39">
        <f t="shared" si="68"/>
        <v>3</v>
      </c>
      <c r="AD49" s="39">
        <f>AE48</f>
        <v>9</v>
      </c>
      <c r="AE49" s="39">
        <v>6</v>
      </c>
      <c r="AF49" s="46">
        <f t="shared" si="13"/>
        <v>63.594818652849746</v>
      </c>
      <c r="AG49" s="51">
        <f t="shared" ref="AG49" si="90">AVERAGE(AF48,AF49)</f>
        <v>65.612100048074353</v>
      </c>
      <c r="AH49" s="12">
        <f t="shared" si="78"/>
        <v>30.4</v>
      </c>
      <c r="AI49" s="12">
        <f t="shared" si="78"/>
        <v>7.2</v>
      </c>
      <c r="AJ49" s="12">
        <f t="shared" si="78"/>
        <v>36</v>
      </c>
      <c r="AK49" s="12">
        <f t="shared" si="78"/>
        <v>20.2</v>
      </c>
      <c r="AL49" s="12">
        <f t="shared" si="78"/>
        <v>1.59</v>
      </c>
      <c r="AM49" s="12">
        <f t="shared" si="78"/>
        <v>15.3</v>
      </c>
      <c r="AN49" s="12">
        <f t="shared" si="78"/>
        <v>13.97</v>
      </c>
      <c r="AO49" s="12">
        <f t="shared" si="78"/>
        <v>6.1</v>
      </c>
      <c r="AP49" s="12">
        <f t="shared" si="78"/>
        <v>41.5</v>
      </c>
      <c r="AQ49" s="12">
        <f t="shared" si="78"/>
        <v>24.71</v>
      </c>
      <c r="AR49" s="12">
        <f t="shared" si="79"/>
        <v>0.52200000000000002</v>
      </c>
      <c r="AS49" s="12">
        <f t="shared" si="79"/>
        <v>12.86</v>
      </c>
      <c r="AT49" s="12">
        <f t="shared" si="79"/>
        <v>46.6</v>
      </c>
      <c r="AU49" s="12">
        <f t="shared" si="79"/>
        <v>16.2</v>
      </c>
      <c r="AV49" s="12">
        <f t="shared" si="79"/>
        <v>72.7</v>
      </c>
      <c r="AW49" s="12">
        <f t="shared" si="79"/>
        <v>18.399999999999999</v>
      </c>
      <c r="AX49" s="12">
        <f t="shared" si="79"/>
        <v>13.4</v>
      </c>
      <c r="AY49" s="12">
        <f t="shared" si="79"/>
        <v>66.900000000000006</v>
      </c>
      <c r="AZ49" s="12">
        <f t="shared" si="79"/>
        <v>11.63</v>
      </c>
      <c r="BA49" s="12">
        <f t="shared" si="79"/>
        <v>77.7</v>
      </c>
      <c r="BB49" s="12">
        <f t="shared" si="80"/>
        <v>0.8</v>
      </c>
      <c r="BC49" s="12">
        <f t="shared" si="80"/>
        <v>36.06</v>
      </c>
      <c r="BD49" s="12">
        <f t="shared" si="80"/>
        <v>11.9</v>
      </c>
      <c r="BE49" s="12">
        <f t="shared" si="80"/>
        <v>7.2</v>
      </c>
      <c r="BF49" s="12">
        <f t="shared" si="80"/>
        <v>3.6</v>
      </c>
      <c r="BG49" s="12">
        <f t="shared" si="80"/>
        <v>12.83</v>
      </c>
      <c r="BH49" s="12">
        <f t="shared" si="80"/>
        <v>9.8000000000000007</v>
      </c>
      <c r="BI49" s="12">
        <f t="shared" si="80"/>
        <v>70.3</v>
      </c>
      <c r="BJ49" s="12">
        <f t="shared" si="80"/>
        <v>21.349999999999998</v>
      </c>
      <c r="BK49" s="12">
        <f t="shared" si="80"/>
        <v>61.266094420600844</v>
      </c>
      <c r="BL49" s="12">
        <f t="shared" si="81"/>
        <v>30.2</v>
      </c>
      <c r="BM49" s="12">
        <f t="shared" si="81"/>
        <v>9.1</v>
      </c>
      <c r="BN49" s="12">
        <f t="shared" si="81"/>
        <v>36.1</v>
      </c>
      <c r="BO49" s="12">
        <f t="shared" si="81"/>
        <v>24.9</v>
      </c>
      <c r="BP49" s="12">
        <f t="shared" si="81"/>
        <v>1.54</v>
      </c>
      <c r="BQ49" s="12">
        <f t="shared" si="81"/>
        <v>18.5</v>
      </c>
      <c r="BR49" s="12">
        <f t="shared" si="81"/>
        <v>21.08</v>
      </c>
      <c r="BS49" s="12">
        <f t="shared" si="81"/>
        <v>4.5999999999999996</v>
      </c>
      <c r="BT49" s="12">
        <f t="shared" si="81"/>
        <v>39.6</v>
      </c>
      <c r="BU49" s="12">
        <f t="shared" si="81"/>
        <v>26.97</v>
      </c>
      <c r="BV49" s="12">
        <f t="shared" si="82"/>
        <v>0.54700000000000004</v>
      </c>
      <c r="BW49" s="12">
        <f t="shared" si="82"/>
        <v>10.91</v>
      </c>
      <c r="BX49" s="12">
        <f t="shared" si="82"/>
        <v>46.9</v>
      </c>
      <c r="BY49" s="12">
        <f t="shared" si="82"/>
        <v>17.3</v>
      </c>
      <c r="BZ49" s="12">
        <f t="shared" si="82"/>
        <v>75.900000000000006</v>
      </c>
      <c r="CA49" s="12">
        <f t="shared" si="82"/>
        <v>19.100000000000001</v>
      </c>
      <c r="CB49" s="12">
        <f t="shared" si="82"/>
        <v>15.1</v>
      </c>
      <c r="CC49" s="12">
        <f t="shared" si="82"/>
        <v>66.7</v>
      </c>
      <c r="CD49" s="12">
        <f t="shared" si="82"/>
        <v>13.43</v>
      </c>
      <c r="CE49" s="12">
        <f t="shared" si="82"/>
        <v>81.400000000000006</v>
      </c>
      <c r="CF49" s="12">
        <f t="shared" si="83"/>
        <v>9.9</v>
      </c>
      <c r="CG49" s="12">
        <f t="shared" si="83"/>
        <v>41.08</v>
      </c>
      <c r="CH49" s="12">
        <f t="shared" si="83"/>
        <v>17.7</v>
      </c>
      <c r="CI49" s="12">
        <f t="shared" si="83"/>
        <v>6.1</v>
      </c>
      <c r="CJ49" s="12">
        <f t="shared" si="83"/>
        <v>-0.1</v>
      </c>
      <c r="CK49" s="12">
        <f t="shared" si="83"/>
        <v>11.44</v>
      </c>
      <c r="CL49" s="12">
        <f t="shared" si="83"/>
        <v>11.9</v>
      </c>
      <c r="CM49" s="12">
        <f t="shared" si="83"/>
        <v>70.099999999999994</v>
      </c>
      <c r="CN49" s="12">
        <f t="shared" si="83"/>
        <v>19.500000000000007</v>
      </c>
      <c r="CO49" s="12">
        <f t="shared" si="83"/>
        <v>60.9808102345416</v>
      </c>
    </row>
    <row r="50" spans="1:93" x14ac:dyDescent="0.3">
      <c r="A50" s="6" t="s">
        <v>62</v>
      </c>
      <c r="B50" s="3">
        <v>6</v>
      </c>
      <c r="C50" s="13" t="s">
        <v>394</v>
      </c>
      <c r="D50" s="14">
        <v>25</v>
      </c>
      <c r="E50" s="38">
        <f>G51</f>
        <v>47.058823529411761</v>
      </c>
      <c r="F50" s="39">
        <v>8</v>
      </c>
      <c r="G50" s="38">
        <f t="shared" si="62"/>
        <v>34.782608695652172</v>
      </c>
      <c r="H50" s="39">
        <v>23</v>
      </c>
      <c r="I50" s="40">
        <f t="shared" si="63"/>
        <v>2.8</v>
      </c>
      <c r="J50" s="39">
        <v>14</v>
      </c>
      <c r="K50" s="39">
        <v>11</v>
      </c>
      <c r="L50" s="39">
        <v>4</v>
      </c>
      <c r="M50" s="39">
        <f>Q51</f>
        <v>48.1</v>
      </c>
      <c r="N50" s="39">
        <v>24</v>
      </c>
      <c r="O50" s="41">
        <f t="shared" si="64"/>
        <v>0.41106719367588934</v>
      </c>
      <c r="P50" s="39">
        <v>9</v>
      </c>
      <c r="Q50" s="39">
        <v>35.5</v>
      </c>
      <c r="R50" s="39">
        <v>20</v>
      </c>
      <c r="S50" s="38">
        <f t="shared" si="65"/>
        <v>74.074074074074076</v>
      </c>
      <c r="T50" s="39">
        <v>27</v>
      </c>
      <c r="U50" s="39">
        <v>20</v>
      </c>
      <c r="V50" s="39">
        <f>X51</f>
        <v>70</v>
      </c>
      <c r="W50" s="39">
        <v>14</v>
      </c>
      <c r="X50" s="39">
        <v>72</v>
      </c>
      <c r="Y50" s="39">
        <f>Z50-Z51</f>
        <v>4</v>
      </c>
      <c r="Z50" s="39">
        <f t="shared" si="66"/>
        <v>38</v>
      </c>
      <c r="AA50" s="39">
        <f t="shared" si="67"/>
        <v>2</v>
      </c>
      <c r="AB50" s="39">
        <v>6</v>
      </c>
      <c r="AC50" s="39">
        <f t="shared" si="68"/>
        <v>8</v>
      </c>
      <c r="AD50" s="39">
        <f>AE51</f>
        <v>13</v>
      </c>
      <c r="AE50" s="39">
        <v>5</v>
      </c>
      <c r="AF50" s="46">
        <f t="shared" si="13"/>
        <v>65.796830985915491</v>
      </c>
      <c r="AG50" s="51">
        <f t="shared" ref="AG50" si="91">AVERAGE(AF50,AF51)</f>
        <v>66.660941480483729</v>
      </c>
      <c r="AH50" s="12">
        <f t="shared" si="78"/>
        <v>31.2</v>
      </c>
      <c r="AI50" s="12">
        <f t="shared" si="78"/>
        <v>5.8</v>
      </c>
      <c r="AJ50" s="12">
        <f t="shared" si="78"/>
        <v>32.1</v>
      </c>
      <c r="AK50" s="12">
        <f t="shared" si="78"/>
        <v>18.399999999999999</v>
      </c>
      <c r="AL50" s="12">
        <f t="shared" si="78"/>
        <v>1.52</v>
      </c>
      <c r="AM50" s="12">
        <f t="shared" si="78"/>
        <v>16.3</v>
      </c>
      <c r="AN50" s="12">
        <f t="shared" si="78"/>
        <v>22.71</v>
      </c>
      <c r="AO50" s="12">
        <f t="shared" si="78"/>
        <v>4.5999999999999996</v>
      </c>
      <c r="AP50" s="12">
        <f t="shared" si="78"/>
        <v>43</v>
      </c>
      <c r="AQ50" s="12">
        <f t="shared" si="78"/>
        <v>24.63</v>
      </c>
      <c r="AR50" s="12">
        <f t="shared" si="79"/>
        <v>0.503</v>
      </c>
      <c r="AS50" s="12">
        <f t="shared" si="79"/>
        <v>17.79</v>
      </c>
      <c r="AT50" s="12">
        <f t="shared" si="79"/>
        <v>46</v>
      </c>
      <c r="AU50" s="12">
        <f t="shared" si="79"/>
        <v>16.399999999999999</v>
      </c>
      <c r="AV50" s="12">
        <f t="shared" si="79"/>
        <v>70.8</v>
      </c>
      <c r="AW50" s="12">
        <f t="shared" si="79"/>
        <v>21.7</v>
      </c>
      <c r="AX50" s="12">
        <f t="shared" si="79"/>
        <v>15.4</v>
      </c>
      <c r="AY50" s="12">
        <f t="shared" si="79"/>
        <v>70</v>
      </c>
      <c r="AZ50" s="12">
        <f t="shared" si="79"/>
        <v>11.73</v>
      </c>
      <c r="BA50" s="12">
        <f t="shared" si="79"/>
        <v>76.8</v>
      </c>
      <c r="BB50" s="12">
        <f t="shared" si="80"/>
        <v>1.6</v>
      </c>
      <c r="BC50" s="12">
        <f t="shared" si="80"/>
        <v>37.14</v>
      </c>
      <c r="BD50" s="12">
        <f t="shared" si="80"/>
        <v>7.3</v>
      </c>
      <c r="BE50" s="12">
        <f t="shared" si="80"/>
        <v>7.8</v>
      </c>
      <c r="BF50" s="12">
        <f t="shared" si="80"/>
        <v>2.1</v>
      </c>
      <c r="BG50" s="12">
        <f t="shared" si="80"/>
        <v>13.91</v>
      </c>
      <c r="BH50" s="12">
        <f t="shared" si="80"/>
        <v>11</v>
      </c>
      <c r="BI50" s="12">
        <f t="shared" si="80"/>
        <v>72.5</v>
      </c>
      <c r="BJ50" s="12">
        <f t="shared" si="80"/>
        <v>22</v>
      </c>
      <c r="BK50" s="12">
        <f t="shared" si="80"/>
        <v>60.434782608695649</v>
      </c>
      <c r="BL50" s="12">
        <f t="shared" si="81"/>
        <v>33.9</v>
      </c>
      <c r="BM50" s="12">
        <f t="shared" si="81"/>
        <v>7.8</v>
      </c>
      <c r="BN50" s="12">
        <f t="shared" si="81"/>
        <v>32.799999999999997</v>
      </c>
      <c r="BO50" s="12">
        <f t="shared" si="81"/>
        <v>23.7</v>
      </c>
      <c r="BP50" s="12">
        <f t="shared" si="81"/>
        <v>1.34</v>
      </c>
      <c r="BQ50" s="12">
        <f t="shared" si="81"/>
        <v>14.8</v>
      </c>
      <c r="BR50" s="12">
        <f t="shared" si="81"/>
        <v>17.420000000000002</v>
      </c>
      <c r="BS50" s="12">
        <f t="shared" si="81"/>
        <v>4.5</v>
      </c>
      <c r="BT50" s="12">
        <f t="shared" si="81"/>
        <v>39.299999999999997</v>
      </c>
      <c r="BU50" s="12">
        <f t="shared" si="81"/>
        <v>26.37</v>
      </c>
      <c r="BV50" s="12">
        <f t="shared" si="82"/>
        <v>0.48599999999999999</v>
      </c>
      <c r="BW50" s="12">
        <f t="shared" si="82"/>
        <v>13.44</v>
      </c>
      <c r="BX50" s="12">
        <f t="shared" si="82"/>
        <v>39.6</v>
      </c>
      <c r="BY50" s="12">
        <f t="shared" si="82"/>
        <v>17.8</v>
      </c>
      <c r="BZ50" s="12">
        <f t="shared" si="82"/>
        <v>70.2</v>
      </c>
      <c r="CA50" s="12">
        <f t="shared" si="82"/>
        <v>19.399999999999999</v>
      </c>
      <c r="CB50" s="12">
        <f t="shared" si="82"/>
        <v>13.4</v>
      </c>
      <c r="CC50" s="12">
        <f t="shared" si="82"/>
        <v>69.599999999999994</v>
      </c>
      <c r="CD50" s="12">
        <f t="shared" si="82"/>
        <v>11.29</v>
      </c>
      <c r="CE50" s="12">
        <f t="shared" si="82"/>
        <v>73.5</v>
      </c>
      <c r="CF50" s="12">
        <f t="shared" si="83"/>
        <v>-2</v>
      </c>
      <c r="CG50" s="12">
        <f t="shared" si="83"/>
        <v>37.799999999999997</v>
      </c>
      <c r="CH50" s="12">
        <f t="shared" si="83"/>
        <v>0.8</v>
      </c>
      <c r="CI50" s="12">
        <f t="shared" si="83"/>
        <v>7</v>
      </c>
      <c r="CJ50" s="12">
        <f t="shared" si="83"/>
        <v>1.6</v>
      </c>
      <c r="CK50" s="12">
        <f t="shared" si="83"/>
        <v>12.41</v>
      </c>
      <c r="CL50" s="12">
        <f t="shared" si="83"/>
        <v>10.7</v>
      </c>
      <c r="CM50" s="12">
        <f t="shared" si="83"/>
        <v>71.7</v>
      </c>
      <c r="CN50" s="12">
        <f t="shared" si="83"/>
        <v>18.350000000000001</v>
      </c>
      <c r="CO50" s="12">
        <f t="shared" si="83"/>
        <v>66.035353535353536</v>
      </c>
    </row>
    <row r="51" spans="1:93" x14ac:dyDescent="0.3">
      <c r="A51" s="6" t="s">
        <v>394</v>
      </c>
      <c r="B51" s="3">
        <v>11</v>
      </c>
      <c r="C51" s="13" t="s">
        <v>62</v>
      </c>
      <c r="D51" s="14">
        <v>25</v>
      </c>
      <c r="E51" s="38">
        <f>G50</f>
        <v>34.782608695652172</v>
      </c>
      <c r="F51" s="39">
        <v>8</v>
      </c>
      <c r="G51" s="38">
        <f t="shared" si="62"/>
        <v>47.058823529411761</v>
      </c>
      <c r="H51" s="39">
        <v>17</v>
      </c>
      <c r="I51" s="40">
        <f t="shared" si="63"/>
        <v>0.76923076923076927</v>
      </c>
      <c r="J51" s="39">
        <v>10</v>
      </c>
      <c r="K51" s="39">
        <v>20</v>
      </c>
      <c r="L51" s="39">
        <v>7</v>
      </c>
      <c r="M51" s="39">
        <f>Q50</f>
        <v>35.5</v>
      </c>
      <c r="N51" s="39">
        <v>28</v>
      </c>
      <c r="O51" s="41">
        <f t="shared" si="64"/>
        <v>0.54588235294117637</v>
      </c>
      <c r="P51" s="39">
        <v>10</v>
      </c>
      <c r="Q51" s="39">
        <v>48.1</v>
      </c>
      <c r="R51" s="39">
        <v>21</v>
      </c>
      <c r="S51" s="38">
        <f t="shared" si="65"/>
        <v>66.666666666666657</v>
      </c>
      <c r="T51" s="39">
        <v>18</v>
      </c>
      <c r="U51" s="39">
        <v>12</v>
      </c>
      <c r="V51" s="39">
        <f>X50</f>
        <v>72</v>
      </c>
      <c r="W51" s="39">
        <v>6</v>
      </c>
      <c r="X51" s="39">
        <v>70</v>
      </c>
      <c r="Y51" s="39">
        <f>Z51-Z50</f>
        <v>-4</v>
      </c>
      <c r="Z51" s="39">
        <f t="shared" si="66"/>
        <v>34</v>
      </c>
      <c r="AA51" s="39">
        <f t="shared" si="67"/>
        <v>-2</v>
      </c>
      <c r="AB51" s="39">
        <v>3</v>
      </c>
      <c r="AC51" s="39">
        <f t="shared" si="68"/>
        <v>-8</v>
      </c>
      <c r="AD51" s="39">
        <f>AE50</f>
        <v>5</v>
      </c>
      <c r="AE51" s="39">
        <v>13</v>
      </c>
      <c r="AF51" s="46">
        <f t="shared" si="13"/>
        <v>67.52505197505198</v>
      </c>
      <c r="AG51" s="51">
        <f t="shared" ref="AG51" si="92">AVERAGE(AF50,AF51)</f>
        <v>66.660941480483729</v>
      </c>
      <c r="AH51" s="12">
        <f t="shared" si="78"/>
        <v>33.9</v>
      </c>
      <c r="AI51" s="12">
        <f t="shared" si="78"/>
        <v>7.8</v>
      </c>
      <c r="AJ51" s="12">
        <f t="shared" si="78"/>
        <v>32.799999999999997</v>
      </c>
      <c r="AK51" s="12">
        <f t="shared" si="78"/>
        <v>23.7</v>
      </c>
      <c r="AL51" s="12">
        <f t="shared" si="78"/>
        <v>1.34</v>
      </c>
      <c r="AM51" s="12">
        <f t="shared" si="78"/>
        <v>14.8</v>
      </c>
      <c r="AN51" s="12">
        <f t="shared" si="78"/>
        <v>17.420000000000002</v>
      </c>
      <c r="AO51" s="12">
        <f t="shared" si="78"/>
        <v>4.5</v>
      </c>
      <c r="AP51" s="12">
        <f t="shared" si="78"/>
        <v>39.299999999999997</v>
      </c>
      <c r="AQ51" s="12">
        <f t="shared" si="78"/>
        <v>26.37</v>
      </c>
      <c r="AR51" s="12">
        <f t="shared" si="79"/>
        <v>0.48599999999999999</v>
      </c>
      <c r="AS51" s="12">
        <f t="shared" si="79"/>
        <v>13.44</v>
      </c>
      <c r="AT51" s="12">
        <f t="shared" si="79"/>
        <v>39.6</v>
      </c>
      <c r="AU51" s="12">
        <f t="shared" si="79"/>
        <v>17.8</v>
      </c>
      <c r="AV51" s="12">
        <f t="shared" si="79"/>
        <v>70.2</v>
      </c>
      <c r="AW51" s="12">
        <f t="shared" si="79"/>
        <v>19.399999999999999</v>
      </c>
      <c r="AX51" s="12">
        <f t="shared" si="79"/>
        <v>13.4</v>
      </c>
      <c r="AY51" s="12">
        <f t="shared" si="79"/>
        <v>69.599999999999994</v>
      </c>
      <c r="AZ51" s="12">
        <f t="shared" si="79"/>
        <v>11.29</v>
      </c>
      <c r="BA51" s="12">
        <f t="shared" si="79"/>
        <v>73.5</v>
      </c>
      <c r="BB51" s="12">
        <f t="shared" si="80"/>
        <v>-2</v>
      </c>
      <c r="BC51" s="12">
        <f t="shared" si="80"/>
        <v>37.799999999999997</v>
      </c>
      <c r="BD51" s="12">
        <f t="shared" si="80"/>
        <v>0.8</v>
      </c>
      <c r="BE51" s="12">
        <f t="shared" si="80"/>
        <v>7</v>
      </c>
      <c r="BF51" s="12">
        <f t="shared" si="80"/>
        <v>1.6</v>
      </c>
      <c r="BG51" s="12">
        <f t="shared" si="80"/>
        <v>12.41</v>
      </c>
      <c r="BH51" s="12">
        <f t="shared" si="80"/>
        <v>10.7</v>
      </c>
      <c r="BI51" s="12">
        <f t="shared" si="80"/>
        <v>71.7</v>
      </c>
      <c r="BJ51" s="12">
        <f t="shared" si="80"/>
        <v>18.350000000000001</v>
      </c>
      <c r="BK51" s="12">
        <f t="shared" si="80"/>
        <v>66.035353535353536</v>
      </c>
      <c r="BL51" s="12">
        <f t="shared" si="81"/>
        <v>31.2</v>
      </c>
      <c r="BM51" s="12">
        <f t="shared" si="81"/>
        <v>5.8</v>
      </c>
      <c r="BN51" s="12">
        <f t="shared" si="81"/>
        <v>32.1</v>
      </c>
      <c r="BO51" s="12">
        <f t="shared" si="81"/>
        <v>18.399999999999999</v>
      </c>
      <c r="BP51" s="12">
        <f t="shared" si="81"/>
        <v>1.52</v>
      </c>
      <c r="BQ51" s="12">
        <f t="shared" si="81"/>
        <v>16.3</v>
      </c>
      <c r="BR51" s="12">
        <f t="shared" si="81"/>
        <v>22.71</v>
      </c>
      <c r="BS51" s="12">
        <f t="shared" si="81"/>
        <v>4.5999999999999996</v>
      </c>
      <c r="BT51" s="12">
        <f t="shared" si="81"/>
        <v>43</v>
      </c>
      <c r="BU51" s="12">
        <f t="shared" si="81"/>
        <v>24.63</v>
      </c>
      <c r="BV51" s="12">
        <f t="shared" si="82"/>
        <v>0.503</v>
      </c>
      <c r="BW51" s="12">
        <f t="shared" si="82"/>
        <v>17.79</v>
      </c>
      <c r="BX51" s="12">
        <f t="shared" si="82"/>
        <v>46</v>
      </c>
      <c r="BY51" s="12">
        <f t="shared" si="82"/>
        <v>16.399999999999999</v>
      </c>
      <c r="BZ51" s="12">
        <f t="shared" si="82"/>
        <v>70.8</v>
      </c>
      <c r="CA51" s="12">
        <f t="shared" si="82"/>
        <v>21.7</v>
      </c>
      <c r="CB51" s="12">
        <f t="shared" si="82"/>
        <v>15.4</v>
      </c>
      <c r="CC51" s="12">
        <f t="shared" si="82"/>
        <v>70</v>
      </c>
      <c r="CD51" s="12">
        <f t="shared" si="82"/>
        <v>11.73</v>
      </c>
      <c r="CE51" s="12">
        <f t="shared" si="82"/>
        <v>76.8</v>
      </c>
      <c r="CF51" s="12">
        <f t="shared" si="83"/>
        <v>1.6</v>
      </c>
      <c r="CG51" s="12">
        <f t="shared" si="83"/>
        <v>37.14</v>
      </c>
      <c r="CH51" s="12">
        <f t="shared" si="83"/>
        <v>7.3</v>
      </c>
      <c r="CI51" s="12">
        <f t="shared" si="83"/>
        <v>7.8</v>
      </c>
      <c r="CJ51" s="12">
        <f t="shared" si="83"/>
        <v>2.1</v>
      </c>
      <c r="CK51" s="12">
        <f t="shared" si="83"/>
        <v>13.91</v>
      </c>
      <c r="CL51" s="12">
        <f t="shared" si="83"/>
        <v>11</v>
      </c>
      <c r="CM51" s="12">
        <f t="shared" si="83"/>
        <v>72.5</v>
      </c>
      <c r="CN51" s="12">
        <f t="shared" si="83"/>
        <v>22</v>
      </c>
      <c r="CO51" s="12">
        <f t="shared" si="83"/>
        <v>60.434782608695649</v>
      </c>
    </row>
    <row r="52" spans="1:93" x14ac:dyDescent="0.3">
      <c r="A52" s="6" t="s">
        <v>58</v>
      </c>
      <c r="B52" s="3">
        <v>3</v>
      </c>
      <c r="C52" s="13" t="s">
        <v>28</v>
      </c>
      <c r="D52" s="14">
        <v>26</v>
      </c>
      <c r="E52" s="38">
        <f>G53</f>
        <v>37.5</v>
      </c>
      <c r="F52" s="39">
        <v>7</v>
      </c>
      <c r="G52" s="38">
        <f t="shared" si="62"/>
        <v>46.666666666666664</v>
      </c>
      <c r="H52" s="39">
        <v>15</v>
      </c>
      <c r="I52" s="40">
        <f t="shared" si="63"/>
        <v>1.0833333333333333</v>
      </c>
      <c r="J52" s="39">
        <v>13</v>
      </c>
      <c r="K52" s="39">
        <v>7</v>
      </c>
      <c r="L52" s="39">
        <v>8</v>
      </c>
      <c r="M52" s="39">
        <f>Q53</f>
        <v>43.1</v>
      </c>
      <c r="N52" s="39">
        <v>29</v>
      </c>
      <c r="O52" s="41">
        <f t="shared" si="64"/>
        <v>0.52111111111111108</v>
      </c>
      <c r="P52" s="39">
        <v>11</v>
      </c>
      <c r="Q52" s="39">
        <v>53.6</v>
      </c>
      <c r="R52" s="39">
        <v>15</v>
      </c>
      <c r="S52" s="38">
        <f t="shared" si="65"/>
        <v>78.94736842105263</v>
      </c>
      <c r="T52" s="39">
        <v>19</v>
      </c>
      <c r="U52" s="39">
        <v>15</v>
      </c>
      <c r="V52" s="39">
        <f>X53</f>
        <v>70</v>
      </c>
      <c r="W52" s="39">
        <v>10</v>
      </c>
      <c r="X52" s="39">
        <v>82</v>
      </c>
      <c r="Y52" s="39">
        <f>Z52-Z53</f>
        <v>14</v>
      </c>
      <c r="Z52" s="39">
        <f t="shared" si="66"/>
        <v>39</v>
      </c>
      <c r="AA52" s="39">
        <f t="shared" si="67"/>
        <v>12</v>
      </c>
      <c r="AB52" s="39">
        <v>6</v>
      </c>
      <c r="AC52" s="39">
        <f t="shared" si="68"/>
        <v>-5</v>
      </c>
      <c r="AD52" s="39">
        <f>AE53</f>
        <v>7</v>
      </c>
      <c r="AE52" s="39">
        <v>12</v>
      </c>
      <c r="AF52" s="46">
        <f t="shared" si="13"/>
        <v>66.995149253731341</v>
      </c>
      <c r="AG52" s="51">
        <f t="shared" ref="AG52" si="93">AVERAGE(AF52,AF53)</f>
        <v>67.642673234754312</v>
      </c>
      <c r="AH52" s="12">
        <f t="shared" ref="AH52:AQ61" si="94">INDEX(ovrTable2,MATCH(INDEX(teamCol2,ROW()),ovrTeamCol2,0),MATCH(MID(INDEX(headerRow2,1,COLUMN()),4,LEN(INDEX(headerRow2,1,COLUMN()))),ovrHeaderRow2,0))</f>
        <v>34.4</v>
      </c>
      <c r="AI52" s="12">
        <f t="shared" si="94"/>
        <v>7.8</v>
      </c>
      <c r="AJ52" s="12">
        <f t="shared" si="94"/>
        <v>38.299999999999997</v>
      </c>
      <c r="AK52" s="12">
        <f t="shared" si="94"/>
        <v>20.3</v>
      </c>
      <c r="AL52" s="12">
        <f t="shared" si="94"/>
        <v>1.66</v>
      </c>
      <c r="AM52" s="12">
        <f t="shared" si="94"/>
        <v>16.7</v>
      </c>
      <c r="AN52" s="12">
        <f t="shared" si="94"/>
        <v>21.67</v>
      </c>
      <c r="AO52" s="12">
        <f t="shared" si="94"/>
        <v>3.6</v>
      </c>
      <c r="AP52" s="12">
        <f t="shared" si="94"/>
        <v>43.7</v>
      </c>
      <c r="AQ52" s="12">
        <f t="shared" si="94"/>
        <v>27.64</v>
      </c>
      <c r="AR52" s="12">
        <f t="shared" ref="AR52:BA61" si="95">INDEX(ovrTable2,MATCH(INDEX(teamCol2,ROW()),ovrTeamCol2,0),MATCH(MID(INDEX(headerRow2,1,COLUMN()),4,LEN(INDEX(headerRow2,1,COLUMN()))),ovrHeaderRow2,0))</f>
        <v>0.57399999999999995</v>
      </c>
      <c r="AS52" s="12">
        <f t="shared" si="95"/>
        <v>13.7</v>
      </c>
      <c r="AT52" s="12">
        <f t="shared" si="95"/>
        <v>51.8</v>
      </c>
      <c r="AU52" s="12">
        <f t="shared" si="95"/>
        <v>16.5</v>
      </c>
      <c r="AV52" s="12">
        <f t="shared" si="95"/>
        <v>70.3</v>
      </c>
      <c r="AW52" s="12">
        <f t="shared" si="95"/>
        <v>21.9</v>
      </c>
      <c r="AX52" s="12">
        <f t="shared" si="95"/>
        <v>15.3</v>
      </c>
      <c r="AY52" s="12">
        <f t="shared" si="95"/>
        <v>74.5</v>
      </c>
      <c r="AZ52" s="12">
        <f t="shared" si="95"/>
        <v>10.64</v>
      </c>
      <c r="BA52" s="12">
        <f t="shared" si="95"/>
        <v>90.1</v>
      </c>
      <c r="BB52" s="12">
        <f t="shared" ref="BB52:BK61" si="96">INDEX(ovrTable2,MATCH(INDEX(teamCol2,ROW()),ovrTeamCol2,0),MATCH(MID(INDEX(headerRow2,1,COLUMN()),4,LEN(INDEX(headerRow2,1,COLUMN()))),ovrHeaderRow2,0))</f>
        <v>6</v>
      </c>
      <c r="BC52" s="12">
        <f t="shared" si="96"/>
        <v>38.61</v>
      </c>
      <c r="BD52" s="12">
        <f t="shared" si="96"/>
        <v>13.8</v>
      </c>
      <c r="BE52" s="12">
        <f t="shared" si="96"/>
        <v>7.1</v>
      </c>
      <c r="BF52" s="12">
        <f t="shared" si="96"/>
        <v>1.8</v>
      </c>
      <c r="BG52" s="12">
        <f t="shared" si="96"/>
        <v>11.91</v>
      </c>
      <c r="BH52" s="12">
        <f t="shared" si="96"/>
        <v>10</v>
      </c>
      <c r="BI52" s="12">
        <f t="shared" si="96"/>
        <v>73.3</v>
      </c>
      <c r="BJ52" s="12">
        <f t="shared" si="96"/>
        <v>25.7</v>
      </c>
      <c r="BK52" s="12">
        <f t="shared" si="96"/>
        <v>64.671814671814673</v>
      </c>
      <c r="BL52" s="12">
        <f t="shared" ref="BL52:BU61" si="97">INDEX(ovrTable2,MATCH(INDEX(oppCol23,ROW()),ovrTeamCol2,0),MATCH(MID(INDEX(headerRow2,1,COLUMN()),4,LEN(INDEX(headerRow2,1,COLUMN()))),ovrHeaderRow2,0))</f>
        <v>31.8</v>
      </c>
      <c r="BM52" s="12">
        <f t="shared" si="97"/>
        <v>8.8000000000000007</v>
      </c>
      <c r="BN52" s="12">
        <f t="shared" si="97"/>
        <v>38.9</v>
      </c>
      <c r="BO52" s="12">
        <f t="shared" si="97"/>
        <v>23.5</v>
      </c>
      <c r="BP52" s="12">
        <f t="shared" si="97"/>
        <v>1.1399999999999999</v>
      </c>
      <c r="BQ52" s="12">
        <f t="shared" si="97"/>
        <v>12.8</v>
      </c>
      <c r="BR52" s="12">
        <f t="shared" si="97"/>
        <v>23.75</v>
      </c>
      <c r="BS52" s="12">
        <f t="shared" si="97"/>
        <v>3.2</v>
      </c>
      <c r="BT52" s="12">
        <f t="shared" si="97"/>
        <v>41.3</v>
      </c>
      <c r="BU52" s="12">
        <f t="shared" si="97"/>
        <v>27.1</v>
      </c>
      <c r="BV52" s="12">
        <f t="shared" ref="BV52:CE61" si="98">INDEX(ovrTable2,MATCH(INDEX(oppCol23,ROW()),ovrTeamCol2,0),MATCH(MID(INDEX(headerRow2,1,COLUMN()),4,LEN(INDEX(headerRow2,1,COLUMN()))),ovrHeaderRow2,0))</f>
        <v>0.54800000000000004</v>
      </c>
      <c r="BW52" s="12">
        <f t="shared" si="98"/>
        <v>7.25</v>
      </c>
      <c r="BX52" s="12">
        <f t="shared" si="98"/>
        <v>46.9</v>
      </c>
      <c r="BY52" s="12">
        <f t="shared" si="98"/>
        <v>17.5</v>
      </c>
      <c r="BZ52" s="12">
        <f t="shared" si="98"/>
        <v>72</v>
      </c>
      <c r="CA52" s="12">
        <f t="shared" si="98"/>
        <v>20.8</v>
      </c>
      <c r="CB52" s="12">
        <f t="shared" si="98"/>
        <v>15.2</v>
      </c>
      <c r="CC52" s="12">
        <f t="shared" si="98"/>
        <v>68.5</v>
      </c>
      <c r="CD52" s="12">
        <f t="shared" si="98"/>
        <v>10.37</v>
      </c>
      <c r="CE52" s="12">
        <f t="shared" si="98"/>
        <v>76.400000000000006</v>
      </c>
      <c r="CF52" s="12">
        <f t="shared" ref="CF52:CO61" si="99">INDEX(ovrTable2,MATCH(INDEX(oppCol23,ROW()),ovrTeamCol2,0),MATCH(MID(INDEX(headerRow2,1,COLUMN()),4,LEN(INDEX(headerRow2,1,COLUMN()))),ovrHeaderRow2,0))</f>
        <v>3.9</v>
      </c>
      <c r="CG52" s="12">
        <f t="shared" si="99"/>
        <v>38.06</v>
      </c>
      <c r="CH52" s="12">
        <f t="shared" si="99"/>
        <v>9</v>
      </c>
      <c r="CI52" s="12">
        <f t="shared" si="99"/>
        <v>5.2</v>
      </c>
      <c r="CJ52" s="12">
        <f t="shared" si="99"/>
        <v>-1.8</v>
      </c>
      <c r="CK52" s="12">
        <f t="shared" si="99"/>
        <v>9.76</v>
      </c>
      <c r="CL52" s="12">
        <f t="shared" si="99"/>
        <v>11.1</v>
      </c>
      <c r="CM52" s="12">
        <f t="shared" si="99"/>
        <v>68.5</v>
      </c>
      <c r="CN52" s="12">
        <f t="shared" si="99"/>
        <v>17.399999999999999</v>
      </c>
      <c r="CO52" s="12">
        <f t="shared" si="99"/>
        <v>55.863539445629002</v>
      </c>
    </row>
    <row r="53" spans="1:93" x14ac:dyDescent="0.3">
      <c r="A53" s="6" t="s">
        <v>28</v>
      </c>
      <c r="B53" s="3">
        <v>14</v>
      </c>
      <c r="C53" s="13" t="s">
        <v>58</v>
      </c>
      <c r="D53" s="14">
        <v>26</v>
      </c>
      <c r="E53" s="38">
        <f>G52</f>
        <v>46.666666666666664</v>
      </c>
      <c r="F53" s="39">
        <v>9</v>
      </c>
      <c r="G53" s="38">
        <f t="shared" si="62"/>
        <v>37.5</v>
      </c>
      <c r="H53" s="39">
        <v>24</v>
      </c>
      <c r="I53" s="40">
        <f t="shared" si="63"/>
        <v>1.5714285714285714</v>
      </c>
      <c r="J53" s="39">
        <v>11</v>
      </c>
      <c r="K53" s="39">
        <v>19</v>
      </c>
      <c r="L53" s="39">
        <v>0</v>
      </c>
      <c r="M53" s="39">
        <f>Q52</f>
        <v>53.6</v>
      </c>
      <c r="N53" s="39">
        <v>18</v>
      </c>
      <c r="O53" s="41">
        <f t="shared" si="64"/>
        <v>0.4352678571428571</v>
      </c>
      <c r="P53" s="39">
        <v>4</v>
      </c>
      <c r="Q53" s="39">
        <v>43.1</v>
      </c>
      <c r="R53" s="39">
        <v>16</v>
      </c>
      <c r="S53" s="38">
        <f t="shared" si="65"/>
        <v>71.428571428571431</v>
      </c>
      <c r="T53" s="39">
        <v>7</v>
      </c>
      <c r="U53" s="39">
        <v>5</v>
      </c>
      <c r="V53" s="39">
        <f>X52</f>
        <v>82</v>
      </c>
      <c r="W53" s="39">
        <v>7</v>
      </c>
      <c r="X53" s="39">
        <v>70</v>
      </c>
      <c r="Y53" s="39">
        <f>Z53-Z52</f>
        <v>-14</v>
      </c>
      <c r="Z53" s="39">
        <f t="shared" si="66"/>
        <v>25</v>
      </c>
      <c r="AA53" s="39">
        <f t="shared" si="67"/>
        <v>-12</v>
      </c>
      <c r="AB53" s="39">
        <v>5</v>
      </c>
      <c r="AC53" s="39">
        <f t="shared" si="68"/>
        <v>5</v>
      </c>
      <c r="AD53" s="39">
        <f>AE52</f>
        <v>12</v>
      </c>
      <c r="AE53" s="39">
        <v>7</v>
      </c>
      <c r="AF53" s="46">
        <f t="shared" si="13"/>
        <v>68.290197215777269</v>
      </c>
      <c r="AG53" s="51">
        <f t="shared" ref="AG53" si="100">AVERAGE(AF52,AF53)</f>
        <v>67.642673234754312</v>
      </c>
      <c r="AH53" s="12">
        <f t="shared" si="94"/>
        <v>31.8</v>
      </c>
      <c r="AI53" s="12">
        <f t="shared" si="94"/>
        <v>8.8000000000000007</v>
      </c>
      <c r="AJ53" s="12">
        <f t="shared" si="94"/>
        <v>38.9</v>
      </c>
      <c r="AK53" s="12">
        <f t="shared" si="94"/>
        <v>23.5</v>
      </c>
      <c r="AL53" s="12">
        <f t="shared" si="94"/>
        <v>1.1399999999999999</v>
      </c>
      <c r="AM53" s="12">
        <f t="shared" si="94"/>
        <v>12.8</v>
      </c>
      <c r="AN53" s="12">
        <f t="shared" si="94"/>
        <v>23.75</v>
      </c>
      <c r="AO53" s="12">
        <f t="shared" si="94"/>
        <v>3.2</v>
      </c>
      <c r="AP53" s="12">
        <f t="shared" si="94"/>
        <v>41.3</v>
      </c>
      <c r="AQ53" s="12">
        <f t="shared" si="94"/>
        <v>27.1</v>
      </c>
      <c r="AR53" s="12">
        <f t="shared" si="95"/>
        <v>0.54800000000000004</v>
      </c>
      <c r="AS53" s="12">
        <f t="shared" si="95"/>
        <v>7.25</v>
      </c>
      <c r="AT53" s="12">
        <f t="shared" si="95"/>
        <v>46.9</v>
      </c>
      <c r="AU53" s="12">
        <f t="shared" si="95"/>
        <v>17.5</v>
      </c>
      <c r="AV53" s="12">
        <f t="shared" si="95"/>
        <v>72</v>
      </c>
      <c r="AW53" s="12">
        <f t="shared" si="95"/>
        <v>20.8</v>
      </c>
      <c r="AX53" s="12">
        <f t="shared" si="95"/>
        <v>15.2</v>
      </c>
      <c r="AY53" s="12">
        <f t="shared" si="95"/>
        <v>68.5</v>
      </c>
      <c r="AZ53" s="12">
        <f t="shared" si="95"/>
        <v>10.37</v>
      </c>
      <c r="BA53" s="12">
        <f t="shared" si="95"/>
        <v>76.400000000000006</v>
      </c>
      <c r="BB53" s="12">
        <f t="shared" si="96"/>
        <v>3.9</v>
      </c>
      <c r="BC53" s="12">
        <f t="shared" si="96"/>
        <v>38.06</v>
      </c>
      <c r="BD53" s="12">
        <f t="shared" si="96"/>
        <v>9</v>
      </c>
      <c r="BE53" s="12">
        <f t="shared" si="96"/>
        <v>5.2</v>
      </c>
      <c r="BF53" s="12">
        <f t="shared" si="96"/>
        <v>-1.8</v>
      </c>
      <c r="BG53" s="12">
        <f t="shared" si="96"/>
        <v>9.76</v>
      </c>
      <c r="BH53" s="12">
        <f t="shared" si="96"/>
        <v>11.1</v>
      </c>
      <c r="BI53" s="12">
        <f t="shared" si="96"/>
        <v>68.5</v>
      </c>
      <c r="BJ53" s="12">
        <f t="shared" si="96"/>
        <v>17.399999999999999</v>
      </c>
      <c r="BK53" s="12">
        <f t="shared" si="96"/>
        <v>55.863539445629002</v>
      </c>
      <c r="BL53" s="12">
        <f t="shared" si="97"/>
        <v>34.4</v>
      </c>
      <c r="BM53" s="12">
        <f t="shared" si="97"/>
        <v>7.8</v>
      </c>
      <c r="BN53" s="12">
        <f t="shared" si="97"/>
        <v>38.299999999999997</v>
      </c>
      <c r="BO53" s="12">
        <f t="shared" si="97"/>
        <v>20.3</v>
      </c>
      <c r="BP53" s="12">
        <f t="shared" si="97"/>
        <v>1.66</v>
      </c>
      <c r="BQ53" s="12">
        <f t="shared" si="97"/>
        <v>16.7</v>
      </c>
      <c r="BR53" s="12">
        <f t="shared" si="97"/>
        <v>21.67</v>
      </c>
      <c r="BS53" s="12">
        <f t="shared" si="97"/>
        <v>3.6</v>
      </c>
      <c r="BT53" s="12">
        <f t="shared" si="97"/>
        <v>43.7</v>
      </c>
      <c r="BU53" s="12">
        <f t="shared" si="97"/>
        <v>27.64</v>
      </c>
      <c r="BV53" s="12">
        <f t="shared" si="98"/>
        <v>0.57399999999999995</v>
      </c>
      <c r="BW53" s="12">
        <f t="shared" si="98"/>
        <v>13.7</v>
      </c>
      <c r="BX53" s="12">
        <f t="shared" si="98"/>
        <v>51.8</v>
      </c>
      <c r="BY53" s="12">
        <f t="shared" si="98"/>
        <v>16.5</v>
      </c>
      <c r="BZ53" s="12">
        <f t="shared" si="98"/>
        <v>70.3</v>
      </c>
      <c r="CA53" s="12">
        <f t="shared" si="98"/>
        <v>21.9</v>
      </c>
      <c r="CB53" s="12">
        <f t="shared" si="98"/>
        <v>15.3</v>
      </c>
      <c r="CC53" s="12">
        <f t="shared" si="98"/>
        <v>74.5</v>
      </c>
      <c r="CD53" s="12">
        <f t="shared" si="98"/>
        <v>10.64</v>
      </c>
      <c r="CE53" s="12">
        <f t="shared" si="98"/>
        <v>90.1</v>
      </c>
      <c r="CF53" s="12">
        <f t="shared" si="99"/>
        <v>6</v>
      </c>
      <c r="CG53" s="12">
        <f t="shared" si="99"/>
        <v>38.61</v>
      </c>
      <c r="CH53" s="12">
        <f t="shared" si="99"/>
        <v>13.8</v>
      </c>
      <c r="CI53" s="12">
        <f t="shared" si="99"/>
        <v>7.1</v>
      </c>
      <c r="CJ53" s="12">
        <f t="shared" si="99"/>
        <v>1.8</v>
      </c>
      <c r="CK53" s="12">
        <f t="shared" si="99"/>
        <v>11.91</v>
      </c>
      <c r="CL53" s="12">
        <f t="shared" si="99"/>
        <v>10</v>
      </c>
      <c r="CM53" s="12">
        <f t="shared" si="99"/>
        <v>73.3</v>
      </c>
      <c r="CN53" s="12">
        <f t="shared" si="99"/>
        <v>25.7</v>
      </c>
      <c r="CO53" s="12">
        <f t="shared" si="99"/>
        <v>64.671814671814673</v>
      </c>
    </row>
    <row r="54" spans="1:93" x14ac:dyDescent="0.3">
      <c r="A54" s="6" t="s">
        <v>10</v>
      </c>
      <c r="B54" s="3">
        <v>7</v>
      </c>
      <c r="C54" s="13" t="s">
        <v>42</v>
      </c>
      <c r="D54" s="14">
        <v>27</v>
      </c>
      <c r="E54" s="38">
        <f>G55</f>
        <v>26.086956521739129</v>
      </c>
      <c r="F54" s="39">
        <v>8</v>
      </c>
      <c r="G54" s="38">
        <f t="shared" si="62"/>
        <v>38.095238095238095</v>
      </c>
      <c r="H54" s="39">
        <v>21</v>
      </c>
      <c r="I54" s="40">
        <f t="shared" si="63"/>
        <v>1.2857142857142858</v>
      </c>
      <c r="J54" s="39">
        <v>9</v>
      </c>
      <c r="K54" s="39">
        <v>12</v>
      </c>
      <c r="L54" s="39">
        <v>0</v>
      </c>
      <c r="M54" s="39">
        <f>Q55</f>
        <v>40</v>
      </c>
      <c r="N54" s="39">
        <v>24</v>
      </c>
      <c r="O54" s="41">
        <f t="shared" si="64"/>
        <v>0.43956043956043955</v>
      </c>
      <c r="P54" s="39">
        <v>8</v>
      </c>
      <c r="Q54" s="39">
        <v>49.1</v>
      </c>
      <c r="R54" s="39">
        <v>16</v>
      </c>
      <c r="S54" s="38">
        <f t="shared" si="65"/>
        <v>83.333333333333343</v>
      </c>
      <c r="T54" s="39">
        <v>18</v>
      </c>
      <c r="U54" s="39">
        <v>15</v>
      </c>
      <c r="V54" s="39">
        <f>X55</f>
        <v>67</v>
      </c>
      <c r="W54" s="39">
        <v>9</v>
      </c>
      <c r="X54" s="39">
        <v>75</v>
      </c>
      <c r="Y54" s="39">
        <f>Z54-Z55</f>
        <v>-8</v>
      </c>
      <c r="Z54" s="39">
        <f t="shared" si="66"/>
        <v>33</v>
      </c>
      <c r="AA54" s="39">
        <f t="shared" si="67"/>
        <v>8</v>
      </c>
      <c r="AB54" s="39">
        <v>7</v>
      </c>
      <c r="AC54" s="39">
        <f t="shared" si="68"/>
        <v>2</v>
      </c>
      <c r="AD54" s="39">
        <f>AE55</f>
        <v>9</v>
      </c>
      <c r="AE54" s="39">
        <v>7</v>
      </c>
      <c r="AF54" s="46">
        <f t="shared" si="13"/>
        <v>59.503156822810581</v>
      </c>
      <c r="AG54" s="51">
        <f t="shared" ref="AG54" si="101">AVERAGE(AF54,AF55)</f>
        <v>60.076578411405293</v>
      </c>
      <c r="AH54" s="12">
        <f t="shared" si="94"/>
        <v>33.6</v>
      </c>
      <c r="AI54" s="12">
        <f t="shared" si="94"/>
        <v>7.9</v>
      </c>
      <c r="AJ54" s="12">
        <f t="shared" si="94"/>
        <v>32.700000000000003</v>
      </c>
      <c r="AK54" s="12">
        <f t="shared" si="94"/>
        <v>23.8</v>
      </c>
      <c r="AL54" s="12">
        <f t="shared" si="94"/>
        <v>1.47</v>
      </c>
      <c r="AM54" s="12">
        <f t="shared" si="94"/>
        <v>13</v>
      </c>
      <c r="AN54" s="12">
        <f t="shared" si="94"/>
        <v>15.43</v>
      </c>
      <c r="AO54" s="12">
        <f t="shared" si="94"/>
        <v>3.9</v>
      </c>
      <c r="AP54" s="12">
        <f t="shared" si="94"/>
        <v>41.6</v>
      </c>
      <c r="AQ54" s="12">
        <f t="shared" si="94"/>
        <v>24.47</v>
      </c>
      <c r="AR54" s="12">
        <f t="shared" si="95"/>
        <v>0.45800000000000002</v>
      </c>
      <c r="AS54" s="12">
        <f t="shared" si="95"/>
        <v>7.46</v>
      </c>
      <c r="AT54" s="12">
        <f t="shared" si="95"/>
        <v>39.299999999999997</v>
      </c>
      <c r="AU54" s="12">
        <f t="shared" si="95"/>
        <v>16</v>
      </c>
      <c r="AV54" s="12">
        <f t="shared" si="95"/>
        <v>75.2</v>
      </c>
      <c r="AW54" s="12">
        <f t="shared" si="95"/>
        <v>17.2</v>
      </c>
      <c r="AX54" s="12">
        <f t="shared" si="95"/>
        <v>13.5</v>
      </c>
      <c r="AY54" s="12">
        <f t="shared" si="95"/>
        <v>63.4</v>
      </c>
      <c r="AZ54" s="12">
        <f t="shared" si="95"/>
        <v>10.62</v>
      </c>
      <c r="BA54" s="12">
        <f t="shared" si="95"/>
        <v>64.8</v>
      </c>
      <c r="BB54" s="12">
        <f t="shared" si="96"/>
        <v>0.1</v>
      </c>
      <c r="BC54" s="12">
        <f t="shared" si="96"/>
        <v>34.94</v>
      </c>
      <c r="BD54" s="12">
        <f t="shared" si="96"/>
        <v>3.9</v>
      </c>
      <c r="BE54" s="12">
        <f t="shared" si="96"/>
        <v>7.4</v>
      </c>
      <c r="BF54" s="12">
        <f t="shared" si="96"/>
        <v>3.9</v>
      </c>
      <c r="BG54" s="12">
        <f t="shared" si="96"/>
        <v>12.31</v>
      </c>
      <c r="BH54" s="12">
        <f t="shared" si="96"/>
        <v>9.6</v>
      </c>
      <c r="BI54" s="12">
        <f t="shared" si="96"/>
        <v>67</v>
      </c>
      <c r="BJ54" s="12">
        <f t="shared" si="96"/>
        <v>13.799999999999997</v>
      </c>
      <c r="BK54" s="12">
        <f t="shared" si="96"/>
        <v>55.216284987277348</v>
      </c>
      <c r="BL54" s="12">
        <f t="shared" si="97"/>
        <v>31.5</v>
      </c>
      <c r="BM54" s="12">
        <f t="shared" si="97"/>
        <v>8.1</v>
      </c>
      <c r="BN54" s="12">
        <f t="shared" si="97"/>
        <v>35.9</v>
      </c>
      <c r="BO54" s="12">
        <f t="shared" si="97"/>
        <v>22.6</v>
      </c>
      <c r="BP54" s="12">
        <f t="shared" si="97"/>
        <v>1.1000000000000001</v>
      </c>
      <c r="BQ54" s="12">
        <f t="shared" si="97"/>
        <v>9.8000000000000007</v>
      </c>
      <c r="BR54" s="12">
        <f t="shared" si="97"/>
        <v>10.49</v>
      </c>
      <c r="BS54" s="12">
        <f t="shared" si="97"/>
        <v>3</v>
      </c>
      <c r="BT54" s="12">
        <f t="shared" si="97"/>
        <v>41.8</v>
      </c>
      <c r="BU54" s="12">
        <f t="shared" si="97"/>
        <v>27.55</v>
      </c>
      <c r="BV54" s="12">
        <f t="shared" si="98"/>
        <v>0.53</v>
      </c>
      <c r="BW54" s="12">
        <f t="shared" si="98"/>
        <v>7.09</v>
      </c>
      <c r="BX54" s="12">
        <f t="shared" si="98"/>
        <v>45.8</v>
      </c>
      <c r="BY54" s="12">
        <f t="shared" si="98"/>
        <v>16.3</v>
      </c>
      <c r="BZ54" s="12">
        <f t="shared" si="98"/>
        <v>72.8</v>
      </c>
      <c r="CA54" s="12">
        <f t="shared" si="98"/>
        <v>17.899999999999999</v>
      </c>
      <c r="CB54" s="12">
        <f t="shared" si="98"/>
        <v>13.1</v>
      </c>
      <c r="CC54" s="12">
        <f t="shared" si="98"/>
        <v>66.7</v>
      </c>
      <c r="CD54" s="12">
        <f t="shared" si="98"/>
        <v>9.59</v>
      </c>
      <c r="CE54" s="12">
        <f t="shared" si="98"/>
        <v>74.099999999999994</v>
      </c>
      <c r="CF54" s="12">
        <f t="shared" si="99"/>
        <v>4.3</v>
      </c>
      <c r="CG54" s="12">
        <f t="shared" si="99"/>
        <v>36.64</v>
      </c>
      <c r="CH54" s="12">
        <f t="shared" si="99"/>
        <v>8.3000000000000007</v>
      </c>
      <c r="CI54" s="12">
        <f t="shared" si="99"/>
        <v>5.5</v>
      </c>
      <c r="CJ54" s="12">
        <f t="shared" si="99"/>
        <v>0.3</v>
      </c>
      <c r="CK54" s="12">
        <f t="shared" si="99"/>
        <v>11.06</v>
      </c>
      <c r="CL54" s="12">
        <f t="shared" si="99"/>
        <v>10.199999999999999</v>
      </c>
      <c r="CM54" s="12">
        <f t="shared" si="99"/>
        <v>68.8</v>
      </c>
      <c r="CN54" s="12">
        <f t="shared" si="99"/>
        <v>18.349999999999998</v>
      </c>
      <c r="CO54" s="12">
        <f t="shared" si="99"/>
        <v>57.751091703056765</v>
      </c>
    </row>
    <row r="55" spans="1:93" x14ac:dyDescent="0.3">
      <c r="A55" s="6" t="s">
        <v>42</v>
      </c>
      <c r="B55" s="3">
        <v>10</v>
      </c>
      <c r="C55" s="13" t="s">
        <v>10</v>
      </c>
      <c r="D55" s="14">
        <v>27</v>
      </c>
      <c r="E55" s="38">
        <f>G54</f>
        <v>38.095238095238095</v>
      </c>
      <c r="F55" s="39">
        <v>6</v>
      </c>
      <c r="G55" s="38">
        <f t="shared" si="62"/>
        <v>26.086956521739129</v>
      </c>
      <c r="H55" s="39">
        <v>23</v>
      </c>
      <c r="I55" s="40">
        <f t="shared" si="63"/>
        <v>1.6666666666666667</v>
      </c>
      <c r="J55" s="39">
        <v>15</v>
      </c>
      <c r="K55" s="39">
        <v>4</v>
      </c>
      <c r="L55" s="39">
        <v>0</v>
      </c>
      <c r="M55" s="39">
        <f>Q54</f>
        <v>49.1</v>
      </c>
      <c r="N55" s="39">
        <v>21</v>
      </c>
      <c r="O55" s="41">
        <f t="shared" si="64"/>
        <v>0.29096989966555181</v>
      </c>
      <c r="P55" s="39">
        <v>9</v>
      </c>
      <c r="Q55" s="39">
        <v>40</v>
      </c>
      <c r="R55" s="39">
        <v>17</v>
      </c>
      <c r="S55" s="38">
        <f t="shared" si="65"/>
        <v>64.285714285714292</v>
      </c>
      <c r="T55" s="39">
        <v>14</v>
      </c>
      <c r="U55" s="39">
        <v>9</v>
      </c>
      <c r="V55" s="39">
        <f>X54</f>
        <v>75</v>
      </c>
      <c r="W55" s="39">
        <v>20</v>
      </c>
      <c r="X55" s="39">
        <v>67</v>
      </c>
      <c r="Y55" s="39">
        <f>Z55-Z54</f>
        <v>8</v>
      </c>
      <c r="Z55" s="39">
        <f t="shared" si="66"/>
        <v>41</v>
      </c>
      <c r="AA55" s="39">
        <f t="shared" si="67"/>
        <v>-8</v>
      </c>
      <c r="AB55" s="39">
        <v>2</v>
      </c>
      <c r="AC55" s="39">
        <f t="shared" si="68"/>
        <v>-2</v>
      </c>
      <c r="AD55" s="39">
        <f>AE54</f>
        <v>7</v>
      </c>
      <c r="AE55" s="39">
        <v>9</v>
      </c>
      <c r="AF55" s="46">
        <f t="shared" si="13"/>
        <v>60.65</v>
      </c>
      <c r="AG55" s="51">
        <f t="shared" ref="AG55" si="102">AVERAGE(AF54,AF55)</f>
        <v>60.076578411405293</v>
      </c>
      <c r="AH55" s="12">
        <f t="shared" si="94"/>
        <v>31.5</v>
      </c>
      <c r="AI55" s="12">
        <f t="shared" si="94"/>
        <v>8.1</v>
      </c>
      <c r="AJ55" s="12">
        <f t="shared" si="94"/>
        <v>35.9</v>
      </c>
      <c r="AK55" s="12">
        <f t="shared" si="94"/>
        <v>22.6</v>
      </c>
      <c r="AL55" s="12">
        <f t="shared" si="94"/>
        <v>1.1000000000000001</v>
      </c>
      <c r="AM55" s="12">
        <f t="shared" si="94"/>
        <v>9.8000000000000007</v>
      </c>
      <c r="AN55" s="12">
        <f t="shared" si="94"/>
        <v>10.49</v>
      </c>
      <c r="AO55" s="12">
        <f t="shared" si="94"/>
        <v>3</v>
      </c>
      <c r="AP55" s="12">
        <f t="shared" si="94"/>
        <v>41.8</v>
      </c>
      <c r="AQ55" s="12">
        <f t="shared" si="94"/>
        <v>27.55</v>
      </c>
      <c r="AR55" s="12">
        <f t="shared" si="95"/>
        <v>0.53</v>
      </c>
      <c r="AS55" s="12">
        <f t="shared" si="95"/>
        <v>7.09</v>
      </c>
      <c r="AT55" s="12">
        <f t="shared" si="95"/>
        <v>45.8</v>
      </c>
      <c r="AU55" s="12">
        <f t="shared" si="95"/>
        <v>16.3</v>
      </c>
      <c r="AV55" s="12">
        <f t="shared" si="95"/>
        <v>72.8</v>
      </c>
      <c r="AW55" s="12">
        <f t="shared" si="95"/>
        <v>17.899999999999999</v>
      </c>
      <c r="AX55" s="12">
        <f t="shared" si="95"/>
        <v>13.1</v>
      </c>
      <c r="AY55" s="12">
        <f t="shared" si="95"/>
        <v>66.7</v>
      </c>
      <c r="AZ55" s="12">
        <f t="shared" si="95"/>
        <v>9.59</v>
      </c>
      <c r="BA55" s="12">
        <f t="shared" si="95"/>
        <v>74.099999999999994</v>
      </c>
      <c r="BB55" s="12">
        <f t="shared" si="96"/>
        <v>4.3</v>
      </c>
      <c r="BC55" s="12">
        <f t="shared" si="96"/>
        <v>36.64</v>
      </c>
      <c r="BD55" s="12">
        <f t="shared" si="96"/>
        <v>8.3000000000000007</v>
      </c>
      <c r="BE55" s="12">
        <f t="shared" si="96"/>
        <v>5.5</v>
      </c>
      <c r="BF55" s="12">
        <f t="shared" si="96"/>
        <v>0.3</v>
      </c>
      <c r="BG55" s="12">
        <f t="shared" si="96"/>
        <v>11.06</v>
      </c>
      <c r="BH55" s="12">
        <f t="shared" si="96"/>
        <v>10.199999999999999</v>
      </c>
      <c r="BI55" s="12">
        <f t="shared" si="96"/>
        <v>68.8</v>
      </c>
      <c r="BJ55" s="12">
        <f t="shared" si="96"/>
        <v>18.349999999999998</v>
      </c>
      <c r="BK55" s="12">
        <f t="shared" si="96"/>
        <v>57.751091703056765</v>
      </c>
      <c r="BL55" s="12">
        <f t="shared" si="97"/>
        <v>33.6</v>
      </c>
      <c r="BM55" s="12">
        <f t="shared" si="97"/>
        <v>7.9</v>
      </c>
      <c r="BN55" s="12">
        <f t="shared" si="97"/>
        <v>32.700000000000003</v>
      </c>
      <c r="BO55" s="12">
        <f t="shared" si="97"/>
        <v>23.8</v>
      </c>
      <c r="BP55" s="12">
        <f t="shared" si="97"/>
        <v>1.47</v>
      </c>
      <c r="BQ55" s="12">
        <f t="shared" si="97"/>
        <v>13</v>
      </c>
      <c r="BR55" s="12">
        <f t="shared" si="97"/>
        <v>15.43</v>
      </c>
      <c r="BS55" s="12">
        <f t="shared" si="97"/>
        <v>3.9</v>
      </c>
      <c r="BT55" s="12">
        <f t="shared" si="97"/>
        <v>41.6</v>
      </c>
      <c r="BU55" s="12">
        <f t="shared" si="97"/>
        <v>24.47</v>
      </c>
      <c r="BV55" s="12">
        <f t="shared" si="98"/>
        <v>0.45800000000000002</v>
      </c>
      <c r="BW55" s="12">
        <f t="shared" si="98"/>
        <v>7.46</v>
      </c>
      <c r="BX55" s="12">
        <f t="shared" si="98"/>
        <v>39.299999999999997</v>
      </c>
      <c r="BY55" s="12">
        <f t="shared" si="98"/>
        <v>16</v>
      </c>
      <c r="BZ55" s="12">
        <f t="shared" si="98"/>
        <v>75.2</v>
      </c>
      <c r="CA55" s="12">
        <f t="shared" si="98"/>
        <v>17.2</v>
      </c>
      <c r="CB55" s="12">
        <f t="shared" si="98"/>
        <v>13.5</v>
      </c>
      <c r="CC55" s="12">
        <f t="shared" si="98"/>
        <v>63.4</v>
      </c>
      <c r="CD55" s="12">
        <f t="shared" si="98"/>
        <v>10.62</v>
      </c>
      <c r="CE55" s="12">
        <f t="shared" si="98"/>
        <v>64.8</v>
      </c>
      <c r="CF55" s="12">
        <f t="shared" si="99"/>
        <v>0.1</v>
      </c>
      <c r="CG55" s="12">
        <f t="shared" si="99"/>
        <v>34.94</v>
      </c>
      <c r="CH55" s="12">
        <f t="shared" si="99"/>
        <v>3.9</v>
      </c>
      <c r="CI55" s="12">
        <f t="shared" si="99"/>
        <v>7.4</v>
      </c>
      <c r="CJ55" s="12">
        <f t="shared" si="99"/>
        <v>3.9</v>
      </c>
      <c r="CK55" s="12">
        <f t="shared" si="99"/>
        <v>12.31</v>
      </c>
      <c r="CL55" s="12">
        <f t="shared" si="99"/>
        <v>9.6</v>
      </c>
      <c r="CM55" s="12">
        <f t="shared" si="99"/>
        <v>67</v>
      </c>
      <c r="CN55" s="12">
        <f t="shared" si="99"/>
        <v>13.799999999999997</v>
      </c>
      <c r="CO55" s="12">
        <f t="shared" si="99"/>
        <v>55.216284987277348</v>
      </c>
    </row>
    <row r="56" spans="1:93" x14ac:dyDescent="0.3">
      <c r="A56" s="6" t="s">
        <v>261</v>
      </c>
      <c r="B56" s="3">
        <v>2</v>
      </c>
      <c r="C56" s="13" t="s">
        <v>414</v>
      </c>
      <c r="D56" s="14">
        <v>28</v>
      </c>
      <c r="E56" s="38">
        <f>G57</f>
        <v>30</v>
      </c>
      <c r="F56" s="39">
        <v>5</v>
      </c>
      <c r="G56" s="38">
        <f t="shared" si="62"/>
        <v>31.25</v>
      </c>
      <c r="H56" s="39">
        <v>16</v>
      </c>
      <c r="I56" s="40">
        <f t="shared" si="63"/>
        <v>3</v>
      </c>
      <c r="J56" s="39">
        <v>24</v>
      </c>
      <c r="K56" s="39">
        <v>24</v>
      </c>
      <c r="L56" s="39">
        <v>4</v>
      </c>
      <c r="M56" s="39">
        <f>Q57</f>
        <v>37.299999999999997</v>
      </c>
      <c r="N56" s="39">
        <v>26</v>
      </c>
      <c r="O56" s="41">
        <f t="shared" si="64"/>
        <v>0.33547794117647062</v>
      </c>
      <c r="P56" s="39">
        <v>19</v>
      </c>
      <c r="Q56" s="39">
        <v>54</v>
      </c>
      <c r="R56" s="39">
        <v>11</v>
      </c>
      <c r="S56" s="38">
        <f t="shared" si="65"/>
        <v>76.470588235294116</v>
      </c>
      <c r="T56" s="39">
        <v>17</v>
      </c>
      <c r="U56" s="39">
        <v>13</v>
      </c>
      <c r="V56" s="39">
        <f>X57</f>
        <v>53</v>
      </c>
      <c r="W56" s="39">
        <v>14</v>
      </c>
      <c r="X56" s="39">
        <v>86</v>
      </c>
      <c r="Y56" s="39">
        <f>Z56-Z57</f>
        <v>15</v>
      </c>
      <c r="Z56" s="39">
        <f t="shared" si="66"/>
        <v>40</v>
      </c>
      <c r="AA56" s="39">
        <f t="shared" si="67"/>
        <v>33</v>
      </c>
      <c r="AB56" s="39">
        <v>11</v>
      </c>
      <c r="AC56" s="39">
        <f t="shared" si="68"/>
        <v>8</v>
      </c>
      <c r="AD56" s="39">
        <f>AE57</f>
        <v>16</v>
      </c>
      <c r="AE56" s="39">
        <v>8</v>
      </c>
      <c r="AF56" s="46">
        <f t="shared" si="13"/>
        <v>65.037962962962965</v>
      </c>
      <c r="AG56" s="51">
        <f t="shared" ref="AG56" si="103">AVERAGE(AF56,AF57)</f>
        <v>65.075650382285772</v>
      </c>
      <c r="AH56" s="12">
        <f t="shared" si="94"/>
        <v>31.4</v>
      </c>
      <c r="AI56" s="12">
        <f t="shared" si="94"/>
        <v>6.5</v>
      </c>
      <c r="AJ56" s="12">
        <f t="shared" si="94"/>
        <v>35.200000000000003</v>
      </c>
      <c r="AK56" s="12">
        <f t="shared" si="94"/>
        <v>17.899999999999999</v>
      </c>
      <c r="AL56" s="12">
        <f t="shared" si="94"/>
        <v>1.63</v>
      </c>
      <c r="AM56" s="12">
        <f t="shared" si="94"/>
        <v>15</v>
      </c>
      <c r="AN56" s="12">
        <f t="shared" si="94"/>
        <v>12.71</v>
      </c>
      <c r="AO56" s="12">
        <f t="shared" si="94"/>
        <v>3.8</v>
      </c>
      <c r="AP56" s="12">
        <f t="shared" si="94"/>
        <v>41</v>
      </c>
      <c r="AQ56" s="12">
        <f t="shared" si="94"/>
        <v>24.3</v>
      </c>
      <c r="AR56" s="12">
        <f t="shared" si="95"/>
        <v>0.51400000000000001</v>
      </c>
      <c r="AS56" s="12">
        <f t="shared" si="95"/>
        <v>12.21</v>
      </c>
      <c r="AT56" s="12">
        <f t="shared" si="95"/>
        <v>46.7</v>
      </c>
      <c r="AU56" s="12">
        <f t="shared" si="95"/>
        <v>15.4</v>
      </c>
      <c r="AV56" s="12">
        <f t="shared" si="95"/>
        <v>72.3</v>
      </c>
      <c r="AW56" s="12">
        <f t="shared" si="95"/>
        <v>16.899999999999999</v>
      </c>
      <c r="AX56" s="12">
        <f t="shared" si="95"/>
        <v>11.9</v>
      </c>
      <c r="AY56" s="12">
        <f t="shared" si="95"/>
        <v>62.2</v>
      </c>
      <c r="AZ56" s="12">
        <f t="shared" si="95"/>
        <v>11.65</v>
      </c>
      <c r="BA56" s="12">
        <f t="shared" si="95"/>
        <v>75.3</v>
      </c>
      <c r="BB56" s="12">
        <f t="shared" si="96"/>
        <v>3.9</v>
      </c>
      <c r="BC56" s="12">
        <f t="shared" si="96"/>
        <v>35.85</v>
      </c>
      <c r="BD56" s="12">
        <f t="shared" si="96"/>
        <v>15.4</v>
      </c>
      <c r="BE56" s="12">
        <f t="shared" si="96"/>
        <v>8.1</v>
      </c>
      <c r="BF56" s="12">
        <f t="shared" si="96"/>
        <v>6.7</v>
      </c>
      <c r="BG56" s="12">
        <f t="shared" si="96"/>
        <v>14.33</v>
      </c>
      <c r="BH56" s="12">
        <f t="shared" si="96"/>
        <v>9.6</v>
      </c>
      <c r="BI56" s="12">
        <f t="shared" si="96"/>
        <v>68.8</v>
      </c>
      <c r="BJ56" s="12">
        <f t="shared" si="96"/>
        <v>21.95</v>
      </c>
      <c r="BK56" s="12">
        <f t="shared" si="96"/>
        <v>60.920770877944321</v>
      </c>
      <c r="BL56" s="12">
        <f t="shared" si="97"/>
        <v>30.2</v>
      </c>
      <c r="BM56" s="12">
        <f t="shared" si="97"/>
        <v>8.1</v>
      </c>
      <c r="BN56" s="12">
        <f t="shared" si="97"/>
        <v>39.5</v>
      </c>
      <c r="BO56" s="12">
        <f t="shared" si="97"/>
        <v>20.8</v>
      </c>
      <c r="BP56" s="12">
        <f t="shared" si="97"/>
        <v>0.85</v>
      </c>
      <c r="BQ56" s="12">
        <f t="shared" si="97"/>
        <v>12.9</v>
      </c>
      <c r="BR56" s="12">
        <f t="shared" si="97"/>
        <v>17.260000000000002</v>
      </c>
      <c r="BS56" s="12">
        <f t="shared" si="97"/>
        <v>4</v>
      </c>
      <c r="BT56" s="12">
        <f t="shared" si="97"/>
        <v>42.6</v>
      </c>
      <c r="BU56" s="12">
        <f t="shared" si="97"/>
        <v>27</v>
      </c>
      <c r="BV56" s="12">
        <f t="shared" si="98"/>
        <v>0.55200000000000005</v>
      </c>
      <c r="BW56" s="12">
        <f t="shared" si="98"/>
        <v>9.39</v>
      </c>
      <c r="BX56" s="12">
        <f t="shared" si="98"/>
        <v>48.3</v>
      </c>
      <c r="BY56" s="12">
        <f t="shared" si="98"/>
        <v>15.2</v>
      </c>
      <c r="BZ56" s="12">
        <f t="shared" si="98"/>
        <v>70.3</v>
      </c>
      <c r="CA56" s="12">
        <f t="shared" si="98"/>
        <v>23.4</v>
      </c>
      <c r="CB56" s="12">
        <f t="shared" si="98"/>
        <v>15.8</v>
      </c>
      <c r="CC56" s="12">
        <f t="shared" si="98"/>
        <v>70.900000000000006</v>
      </c>
      <c r="CD56" s="12">
        <f t="shared" si="98"/>
        <v>8.5299999999999994</v>
      </c>
      <c r="CE56" s="12">
        <f t="shared" si="98"/>
        <v>75.400000000000006</v>
      </c>
      <c r="CF56" s="12">
        <f t="shared" si="99"/>
        <v>1.1000000000000001</v>
      </c>
      <c r="CG56" s="12">
        <f t="shared" si="99"/>
        <v>35.29</v>
      </c>
      <c r="CH56" s="12">
        <f t="shared" si="99"/>
        <v>4.7</v>
      </c>
      <c r="CI56" s="12">
        <f t="shared" si="99"/>
        <v>6.1</v>
      </c>
      <c r="CJ56" s="12">
        <f t="shared" si="99"/>
        <v>-1.9</v>
      </c>
      <c r="CK56" s="12">
        <f t="shared" si="99"/>
        <v>11.51</v>
      </c>
      <c r="CL56" s="12">
        <f t="shared" si="99"/>
        <v>13.1</v>
      </c>
      <c r="CM56" s="12">
        <f t="shared" si="99"/>
        <v>71.2</v>
      </c>
      <c r="CN56" s="12">
        <f t="shared" si="99"/>
        <v>17.650000000000006</v>
      </c>
      <c r="CO56" s="12">
        <f t="shared" si="99"/>
        <v>53.312629399585944</v>
      </c>
    </row>
    <row r="57" spans="1:93" x14ac:dyDescent="0.3">
      <c r="A57" s="6" t="s">
        <v>414</v>
      </c>
      <c r="B57" s="3">
        <v>15</v>
      </c>
      <c r="C57" s="13" t="s">
        <v>261</v>
      </c>
      <c r="D57" s="14">
        <v>28</v>
      </c>
      <c r="E57" s="38">
        <f>G56</f>
        <v>31.25</v>
      </c>
      <c r="F57" s="39">
        <v>6</v>
      </c>
      <c r="G57" s="38">
        <f t="shared" si="62"/>
        <v>30</v>
      </c>
      <c r="H57" s="39">
        <v>20</v>
      </c>
      <c r="I57" s="40">
        <f t="shared" si="63"/>
        <v>0.5625</v>
      </c>
      <c r="J57" s="39">
        <v>9</v>
      </c>
      <c r="K57" s="39">
        <v>13</v>
      </c>
      <c r="L57" s="39">
        <v>4</v>
      </c>
      <c r="M57" s="39">
        <f>Q56</f>
        <v>54</v>
      </c>
      <c r="N57" s="39">
        <v>17</v>
      </c>
      <c r="O57" s="41">
        <f t="shared" si="64"/>
        <v>0.34736842105263155</v>
      </c>
      <c r="P57" s="39">
        <v>4</v>
      </c>
      <c r="Q57" s="39">
        <v>37.299999999999997</v>
      </c>
      <c r="R57" s="39">
        <v>15</v>
      </c>
      <c r="S57" s="38">
        <f t="shared" si="65"/>
        <v>69.230769230769226</v>
      </c>
      <c r="T57" s="39">
        <v>13</v>
      </c>
      <c r="U57" s="39">
        <v>9</v>
      </c>
      <c r="V57" s="39">
        <f>X56</f>
        <v>86</v>
      </c>
      <c r="W57" s="39">
        <v>8</v>
      </c>
      <c r="X57" s="39">
        <v>53</v>
      </c>
      <c r="Y57" s="39">
        <f>Z57-Z56</f>
        <v>-15</v>
      </c>
      <c r="Z57" s="39">
        <f t="shared" si="66"/>
        <v>25</v>
      </c>
      <c r="AA57" s="39">
        <f t="shared" si="67"/>
        <v>-33</v>
      </c>
      <c r="AB57" s="39">
        <v>5</v>
      </c>
      <c r="AC57" s="39">
        <f t="shared" si="68"/>
        <v>-8</v>
      </c>
      <c r="AD57" s="39">
        <f>AE56</f>
        <v>8</v>
      </c>
      <c r="AE57" s="39">
        <v>16</v>
      </c>
      <c r="AF57" s="46">
        <f t="shared" si="13"/>
        <v>65.11333780160858</v>
      </c>
      <c r="AG57" s="51">
        <f t="shared" ref="AG57" si="104">AVERAGE(AF56,AF57)</f>
        <v>65.075650382285772</v>
      </c>
      <c r="AH57" s="12">
        <f t="shared" si="94"/>
        <v>30.2</v>
      </c>
      <c r="AI57" s="12">
        <f t="shared" si="94"/>
        <v>8.1</v>
      </c>
      <c r="AJ57" s="12">
        <f t="shared" si="94"/>
        <v>39.5</v>
      </c>
      <c r="AK57" s="12">
        <f t="shared" si="94"/>
        <v>20.8</v>
      </c>
      <c r="AL57" s="12">
        <f t="shared" si="94"/>
        <v>0.85</v>
      </c>
      <c r="AM57" s="12">
        <f t="shared" si="94"/>
        <v>12.9</v>
      </c>
      <c r="AN57" s="12">
        <f t="shared" si="94"/>
        <v>17.260000000000002</v>
      </c>
      <c r="AO57" s="12">
        <f t="shared" si="94"/>
        <v>4</v>
      </c>
      <c r="AP57" s="12">
        <f t="shared" si="94"/>
        <v>42.6</v>
      </c>
      <c r="AQ57" s="12">
        <f t="shared" si="94"/>
        <v>27</v>
      </c>
      <c r="AR57" s="12">
        <f t="shared" si="95"/>
        <v>0.55200000000000005</v>
      </c>
      <c r="AS57" s="12">
        <f t="shared" si="95"/>
        <v>9.39</v>
      </c>
      <c r="AT57" s="12">
        <f t="shared" si="95"/>
        <v>48.3</v>
      </c>
      <c r="AU57" s="12">
        <f t="shared" si="95"/>
        <v>15.2</v>
      </c>
      <c r="AV57" s="12">
        <f t="shared" si="95"/>
        <v>70.3</v>
      </c>
      <c r="AW57" s="12">
        <f t="shared" si="95"/>
        <v>23.4</v>
      </c>
      <c r="AX57" s="12">
        <f t="shared" si="95"/>
        <v>15.8</v>
      </c>
      <c r="AY57" s="12">
        <f t="shared" si="95"/>
        <v>70.900000000000006</v>
      </c>
      <c r="AZ57" s="12">
        <f t="shared" si="95"/>
        <v>8.5299999999999994</v>
      </c>
      <c r="BA57" s="12">
        <f t="shared" si="95"/>
        <v>75.400000000000006</v>
      </c>
      <c r="BB57" s="12">
        <f t="shared" si="96"/>
        <v>1.1000000000000001</v>
      </c>
      <c r="BC57" s="12">
        <f t="shared" si="96"/>
        <v>35.29</v>
      </c>
      <c r="BD57" s="12">
        <f t="shared" si="96"/>
        <v>4.7</v>
      </c>
      <c r="BE57" s="12">
        <f t="shared" si="96"/>
        <v>6.1</v>
      </c>
      <c r="BF57" s="12">
        <f t="shared" si="96"/>
        <v>-1.9</v>
      </c>
      <c r="BG57" s="12">
        <f t="shared" si="96"/>
        <v>11.51</v>
      </c>
      <c r="BH57" s="12">
        <f t="shared" si="96"/>
        <v>13.1</v>
      </c>
      <c r="BI57" s="12">
        <f t="shared" si="96"/>
        <v>71.2</v>
      </c>
      <c r="BJ57" s="12">
        <f t="shared" si="96"/>
        <v>17.650000000000006</v>
      </c>
      <c r="BK57" s="12">
        <f t="shared" si="96"/>
        <v>53.312629399585944</v>
      </c>
      <c r="BL57" s="12">
        <f t="shared" si="97"/>
        <v>31.4</v>
      </c>
      <c r="BM57" s="12">
        <f t="shared" si="97"/>
        <v>6.5</v>
      </c>
      <c r="BN57" s="12">
        <f t="shared" si="97"/>
        <v>35.200000000000003</v>
      </c>
      <c r="BO57" s="12">
        <f t="shared" si="97"/>
        <v>17.899999999999999</v>
      </c>
      <c r="BP57" s="12">
        <f t="shared" si="97"/>
        <v>1.63</v>
      </c>
      <c r="BQ57" s="12">
        <f t="shared" si="97"/>
        <v>15</v>
      </c>
      <c r="BR57" s="12">
        <f t="shared" si="97"/>
        <v>12.71</v>
      </c>
      <c r="BS57" s="12">
        <f t="shared" si="97"/>
        <v>3.8</v>
      </c>
      <c r="BT57" s="12">
        <f t="shared" si="97"/>
        <v>41</v>
      </c>
      <c r="BU57" s="12">
        <f t="shared" si="97"/>
        <v>24.3</v>
      </c>
      <c r="BV57" s="12">
        <f t="shared" si="98"/>
        <v>0.51400000000000001</v>
      </c>
      <c r="BW57" s="12">
        <f t="shared" si="98"/>
        <v>12.21</v>
      </c>
      <c r="BX57" s="12">
        <f t="shared" si="98"/>
        <v>46.7</v>
      </c>
      <c r="BY57" s="12">
        <f t="shared" si="98"/>
        <v>15.4</v>
      </c>
      <c r="BZ57" s="12">
        <f t="shared" si="98"/>
        <v>72.3</v>
      </c>
      <c r="CA57" s="12">
        <f t="shared" si="98"/>
        <v>16.899999999999999</v>
      </c>
      <c r="CB57" s="12">
        <f t="shared" si="98"/>
        <v>11.9</v>
      </c>
      <c r="CC57" s="12">
        <f t="shared" si="98"/>
        <v>62.2</v>
      </c>
      <c r="CD57" s="12">
        <f t="shared" si="98"/>
        <v>11.65</v>
      </c>
      <c r="CE57" s="12">
        <f t="shared" si="98"/>
        <v>75.3</v>
      </c>
      <c r="CF57" s="12">
        <f t="shared" si="99"/>
        <v>3.9</v>
      </c>
      <c r="CG57" s="12">
        <f t="shared" si="99"/>
        <v>35.85</v>
      </c>
      <c r="CH57" s="12">
        <f t="shared" si="99"/>
        <v>15.4</v>
      </c>
      <c r="CI57" s="12">
        <f t="shared" si="99"/>
        <v>8.1</v>
      </c>
      <c r="CJ57" s="12">
        <f t="shared" si="99"/>
        <v>6.7</v>
      </c>
      <c r="CK57" s="12">
        <f t="shared" si="99"/>
        <v>14.33</v>
      </c>
      <c r="CL57" s="12">
        <f t="shared" si="99"/>
        <v>9.6</v>
      </c>
      <c r="CM57" s="12">
        <f t="shared" si="99"/>
        <v>68.8</v>
      </c>
      <c r="CN57" s="12">
        <f t="shared" si="99"/>
        <v>21.95</v>
      </c>
      <c r="CO57" s="12">
        <f t="shared" si="99"/>
        <v>60.920770877944321</v>
      </c>
    </row>
    <row r="58" spans="1:93" x14ac:dyDescent="0.3">
      <c r="A58" s="6" t="s">
        <v>54</v>
      </c>
      <c r="B58" s="3">
        <v>1</v>
      </c>
      <c r="C58" s="13" t="s">
        <v>417</v>
      </c>
      <c r="D58" s="14">
        <v>29</v>
      </c>
      <c r="E58" s="38">
        <f>G59</f>
        <v>30.434782608695656</v>
      </c>
      <c r="F58" s="39">
        <v>5</v>
      </c>
      <c r="G58" s="38">
        <f t="shared" si="62"/>
        <v>19.230769230769234</v>
      </c>
      <c r="H58" s="39">
        <v>26</v>
      </c>
      <c r="I58" s="40">
        <f t="shared" si="63"/>
        <v>0.9375</v>
      </c>
      <c r="J58" s="39">
        <v>15</v>
      </c>
      <c r="K58" s="39">
        <v>5</v>
      </c>
      <c r="L58" s="39">
        <v>6</v>
      </c>
      <c r="M58" s="39">
        <f>Q59</f>
        <v>38.700000000000003</v>
      </c>
      <c r="N58" s="39">
        <v>27</v>
      </c>
      <c r="O58" s="41">
        <f t="shared" si="64"/>
        <v>0.21761133603238869</v>
      </c>
      <c r="P58" s="39">
        <v>6</v>
      </c>
      <c r="Q58" s="39">
        <v>35.799999999999997</v>
      </c>
      <c r="R58" s="39">
        <v>13</v>
      </c>
      <c r="S58" s="38">
        <f t="shared" si="65"/>
        <v>78.94736842105263</v>
      </c>
      <c r="T58" s="39">
        <v>19</v>
      </c>
      <c r="U58" s="39">
        <v>15</v>
      </c>
      <c r="V58" s="39">
        <f>X59</f>
        <v>63</v>
      </c>
      <c r="W58" s="39">
        <v>15</v>
      </c>
      <c r="X58" s="39">
        <v>58</v>
      </c>
      <c r="Y58" s="39">
        <f>Z58-Z59</f>
        <v>9</v>
      </c>
      <c r="Z58" s="39">
        <f t="shared" si="66"/>
        <v>42</v>
      </c>
      <c r="AA58" s="39">
        <f t="shared" si="67"/>
        <v>-5</v>
      </c>
      <c r="AB58" s="39">
        <v>3</v>
      </c>
      <c r="AC58" s="39">
        <f t="shared" si="68"/>
        <v>-7</v>
      </c>
      <c r="AD58" s="39">
        <f>AE59</f>
        <v>9</v>
      </c>
      <c r="AE58" s="39">
        <v>16</v>
      </c>
      <c r="AF58" s="46">
        <f t="shared" si="13"/>
        <v>63.097625698324023</v>
      </c>
      <c r="AG58" s="51">
        <f t="shared" ref="AG58" si="105">AVERAGE(AF58,AF59)</f>
        <v>63.931564787146506</v>
      </c>
      <c r="AH58" s="12">
        <f t="shared" si="94"/>
        <v>31.7</v>
      </c>
      <c r="AI58" s="12">
        <f t="shared" si="94"/>
        <v>7</v>
      </c>
      <c r="AJ58" s="12">
        <f t="shared" si="94"/>
        <v>32.700000000000003</v>
      </c>
      <c r="AK58" s="12">
        <f t="shared" si="94"/>
        <v>22.2</v>
      </c>
      <c r="AL58" s="12">
        <f t="shared" si="94"/>
        <v>1.57</v>
      </c>
      <c r="AM58" s="12">
        <f t="shared" si="94"/>
        <v>15.9</v>
      </c>
      <c r="AN58" s="12">
        <f t="shared" si="94"/>
        <v>18.239999999999998</v>
      </c>
      <c r="AO58" s="12">
        <f t="shared" si="94"/>
        <v>3.8</v>
      </c>
      <c r="AP58" s="12">
        <f t="shared" si="94"/>
        <v>42.1</v>
      </c>
      <c r="AQ58" s="12">
        <f t="shared" si="94"/>
        <v>27.06</v>
      </c>
      <c r="AR58" s="12">
        <f t="shared" si="95"/>
        <v>0.52600000000000002</v>
      </c>
      <c r="AS58" s="12">
        <f t="shared" si="95"/>
        <v>5.29</v>
      </c>
      <c r="AT58" s="12">
        <f t="shared" si="95"/>
        <v>46.3</v>
      </c>
      <c r="AU58" s="12">
        <f t="shared" si="95"/>
        <v>13.5</v>
      </c>
      <c r="AV58" s="12">
        <f t="shared" si="95"/>
        <v>74.2</v>
      </c>
      <c r="AW58" s="12">
        <f t="shared" si="95"/>
        <v>21.5</v>
      </c>
      <c r="AX58" s="12">
        <f t="shared" si="95"/>
        <v>16.100000000000001</v>
      </c>
      <c r="AY58" s="12">
        <f t="shared" si="95"/>
        <v>63.4</v>
      </c>
      <c r="AZ58" s="12">
        <f t="shared" si="95"/>
        <v>12.83</v>
      </c>
      <c r="BA58" s="12">
        <f t="shared" si="95"/>
        <v>74.7</v>
      </c>
      <c r="BB58" s="12">
        <f t="shared" si="96"/>
        <v>11.9</v>
      </c>
      <c r="BC58" s="12">
        <f t="shared" si="96"/>
        <v>39.69</v>
      </c>
      <c r="BD58" s="12">
        <f t="shared" si="96"/>
        <v>11.5</v>
      </c>
      <c r="BE58" s="12">
        <f t="shared" si="96"/>
        <v>4.5999999999999996</v>
      </c>
      <c r="BF58" s="12">
        <f t="shared" si="96"/>
        <v>-1.3</v>
      </c>
      <c r="BG58" s="12">
        <f t="shared" si="96"/>
        <v>9.4700000000000006</v>
      </c>
      <c r="BH58" s="12">
        <f t="shared" si="96"/>
        <v>10.1</v>
      </c>
      <c r="BI58" s="12">
        <f t="shared" si="96"/>
        <v>65.900000000000006</v>
      </c>
      <c r="BJ58" s="12">
        <f t="shared" si="96"/>
        <v>18.8</v>
      </c>
      <c r="BK58" s="12">
        <f t="shared" si="96"/>
        <v>55.723542116630675</v>
      </c>
      <c r="BL58" s="12">
        <f t="shared" si="97"/>
        <v>34.4</v>
      </c>
      <c r="BM58" s="12">
        <f t="shared" si="97"/>
        <v>8.5</v>
      </c>
      <c r="BN58" s="12">
        <f t="shared" si="97"/>
        <v>34.5</v>
      </c>
      <c r="BO58" s="12">
        <f t="shared" si="97"/>
        <v>23.8</v>
      </c>
      <c r="BP58" s="12">
        <f t="shared" si="97"/>
        <v>1.44</v>
      </c>
      <c r="BQ58" s="12">
        <f t="shared" si="97"/>
        <v>15.3</v>
      </c>
      <c r="BR58" s="12">
        <f t="shared" si="97"/>
        <v>19.059999999999999</v>
      </c>
      <c r="BS58" s="12">
        <f t="shared" si="97"/>
        <v>1.6</v>
      </c>
      <c r="BT58" s="12">
        <f t="shared" si="97"/>
        <v>45.7</v>
      </c>
      <c r="BU58" s="12">
        <f t="shared" si="97"/>
        <v>23.71</v>
      </c>
      <c r="BV58" s="12">
        <f t="shared" si="98"/>
        <v>0.52300000000000002</v>
      </c>
      <c r="BW58" s="12">
        <f t="shared" si="98"/>
        <v>11.97</v>
      </c>
      <c r="BX58" s="12">
        <f t="shared" si="98"/>
        <v>45.5</v>
      </c>
      <c r="BY58" s="12">
        <f t="shared" si="98"/>
        <v>18.399999999999999</v>
      </c>
      <c r="BZ58" s="12">
        <f t="shared" si="98"/>
        <v>75.099999999999994</v>
      </c>
      <c r="CA58" s="12">
        <f t="shared" si="98"/>
        <v>17</v>
      </c>
      <c r="CB58" s="12">
        <f t="shared" si="98"/>
        <v>13.2</v>
      </c>
      <c r="CC58" s="12">
        <f t="shared" si="98"/>
        <v>76</v>
      </c>
      <c r="CD58" s="12">
        <f t="shared" si="98"/>
        <v>12.21</v>
      </c>
      <c r="CE58" s="12">
        <f t="shared" si="98"/>
        <v>79.900000000000006</v>
      </c>
      <c r="CF58" s="12">
        <f t="shared" si="99"/>
        <v>0.7</v>
      </c>
      <c r="CG58" s="12">
        <f t="shared" si="99"/>
        <v>34.81</v>
      </c>
      <c r="CH58" s="12">
        <f t="shared" si="99"/>
        <v>1.4</v>
      </c>
      <c r="CI58" s="12">
        <f t="shared" si="99"/>
        <v>7.5</v>
      </c>
      <c r="CJ58" s="12">
        <f t="shared" si="99"/>
        <v>3.4</v>
      </c>
      <c r="CK58" s="12">
        <f t="shared" si="99"/>
        <v>13.64</v>
      </c>
      <c r="CL58" s="12">
        <f t="shared" si="99"/>
        <v>10.5</v>
      </c>
      <c r="CM58" s="12">
        <f t="shared" si="99"/>
        <v>71.5</v>
      </c>
      <c r="CN58" s="12">
        <f t="shared" si="99"/>
        <v>20.6</v>
      </c>
      <c r="CO58" s="12">
        <f t="shared" si="99"/>
        <v>63.956043956043956</v>
      </c>
    </row>
    <row r="59" spans="1:93" x14ac:dyDescent="0.3">
      <c r="A59" s="6" t="s">
        <v>417</v>
      </c>
      <c r="B59" s="3">
        <v>16</v>
      </c>
      <c r="C59" s="13" t="s">
        <v>54</v>
      </c>
      <c r="D59" s="14">
        <v>29</v>
      </c>
      <c r="E59" s="38">
        <f>G58</f>
        <v>19.230769230769234</v>
      </c>
      <c r="F59" s="39">
        <v>7</v>
      </c>
      <c r="G59" s="38">
        <f t="shared" si="62"/>
        <v>30.434782608695656</v>
      </c>
      <c r="H59" s="39">
        <v>23</v>
      </c>
      <c r="I59" s="40">
        <f t="shared" si="63"/>
        <v>1.2222222222222223</v>
      </c>
      <c r="J59" s="39">
        <v>11</v>
      </c>
      <c r="K59" s="39">
        <v>16</v>
      </c>
      <c r="L59" s="39">
        <v>3</v>
      </c>
      <c r="M59" s="39">
        <f>Q58</f>
        <v>35.799999999999997</v>
      </c>
      <c r="N59" s="39">
        <v>22</v>
      </c>
      <c r="O59" s="41">
        <f t="shared" si="64"/>
        <v>0.34873188405797106</v>
      </c>
      <c r="P59" s="39">
        <v>7</v>
      </c>
      <c r="Q59" s="39">
        <v>38.700000000000003</v>
      </c>
      <c r="R59" s="39">
        <v>19</v>
      </c>
      <c r="S59" s="38">
        <f t="shared" si="65"/>
        <v>80</v>
      </c>
      <c r="T59" s="39">
        <v>10</v>
      </c>
      <c r="U59" s="39">
        <v>8</v>
      </c>
      <c r="V59" s="39">
        <f>X58</f>
        <v>58</v>
      </c>
      <c r="W59" s="39">
        <v>11</v>
      </c>
      <c r="X59" s="39">
        <v>63</v>
      </c>
      <c r="Y59" s="39">
        <f>Z59-Z58</f>
        <v>-9</v>
      </c>
      <c r="Z59" s="39">
        <f t="shared" si="66"/>
        <v>33</v>
      </c>
      <c r="AA59" s="39">
        <f t="shared" si="67"/>
        <v>5</v>
      </c>
      <c r="AB59" s="39">
        <v>11</v>
      </c>
      <c r="AC59" s="39">
        <f t="shared" si="68"/>
        <v>7</v>
      </c>
      <c r="AD59" s="39">
        <f>AE58</f>
        <v>16</v>
      </c>
      <c r="AE59" s="39">
        <v>9</v>
      </c>
      <c r="AF59" s="46">
        <f t="shared" si="13"/>
        <v>64.765503875968989</v>
      </c>
      <c r="AG59" s="51">
        <f t="shared" ref="AG59" si="106">AVERAGE(AF58,AF59)</f>
        <v>63.931564787146506</v>
      </c>
      <c r="AH59" s="12">
        <f t="shared" si="94"/>
        <v>34.4</v>
      </c>
      <c r="AI59" s="12">
        <f t="shared" si="94"/>
        <v>8.5</v>
      </c>
      <c r="AJ59" s="12">
        <f t="shared" si="94"/>
        <v>34.5</v>
      </c>
      <c r="AK59" s="12">
        <f t="shared" si="94"/>
        <v>23.8</v>
      </c>
      <c r="AL59" s="12">
        <f t="shared" si="94"/>
        <v>1.44</v>
      </c>
      <c r="AM59" s="12">
        <f t="shared" si="94"/>
        <v>15.3</v>
      </c>
      <c r="AN59" s="12">
        <f t="shared" si="94"/>
        <v>19.059999999999999</v>
      </c>
      <c r="AO59" s="12">
        <f t="shared" si="94"/>
        <v>1.6</v>
      </c>
      <c r="AP59" s="12">
        <f t="shared" si="94"/>
        <v>45.7</v>
      </c>
      <c r="AQ59" s="12">
        <f t="shared" si="94"/>
        <v>23.71</v>
      </c>
      <c r="AR59" s="12">
        <f t="shared" si="95"/>
        <v>0.52300000000000002</v>
      </c>
      <c r="AS59" s="12">
        <f t="shared" si="95"/>
        <v>11.97</v>
      </c>
      <c r="AT59" s="12">
        <f t="shared" si="95"/>
        <v>45.5</v>
      </c>
      <c r="AU59" s="12">
        <f t="shared" si="95"/>
        <v>18.399999999999999</v>
      </c>
      <c r="AV59" s="12">
        <f t="shared" si="95"/>
        <v>75.099999999999994</v>
      </c>
      <c r="AW59" s="12">
        <f t="shared" si="95"/>
        <v>17</v>
      </c>
      <c r="AX59" s="12">
        <f t="shared" si="95"/>
        <v>13.2</v>
      </c>
      <c r="AY59" s="12">
        <f t="shared" si="95"/>
        <v>76</v>
      </c>
      <c r="AZ59" s="12">
        <f t="shared" si="95"/>
        <v>12.21</v>
      </c>
      <c r="BA59" s="12">
        <f t="shared" si="95"/>
        <v>79.900000000000006</v>
      </c>
      <c r="BB59" s="12">
        <f t="shared" si="96"/>
        <v>0.7</v>
      </c>
      <c r="BC59" s="12">
        <f t="shared" si="96"/>
        <v>34.81</v>
      </c>
      <c r="BD59" s="12">
        <f t="shared" si="96"/>
        <v>1.4</v>
      </c>
      <c r="BE59" s="12">
        <f t="shared" si="96"/>
        <v>7.5</v>
      </c>
      <c r="BF59" s="12">
        <f t="shared" si="96"/>
        <v>3.4</v>
      </c>
      <c r="BG59" s="12">
        <f t="shared" si="96"/>
        <v>13.64</v>
      </c>
      <c r="BH59" s="12">
        <f t="shared" si="96"/>
        <v>10.5</v>
      </c>
      <c r="BI59" s="12">
        <f t="shared" si="96"/>
        <v>71.5</v>
      </c>
      <c r="BJ59" s="12">
        <f t="shared" si="96"/>
        <v>20.6</v>
      </c>
      <c r="BK59" s="12">
        <f t="shared" si="96"/>
        <v>63.956043956043956</v>
      </c>
      <c r="BL59" s="12">
        <f t="shared" si="97"/>
        <v>31.7</v>
      </c>
      <c r="BM59" s="12">
        <f t="shared" si="97"/>
        <v>7</v>
      </c>
      <c r="BN59" s="12">
        <f t="shared" si="97"/>
        <v>32.700000000000003</v>
      </c>
      <c r="BO59" s="12">
        <f t="shared" si="97"/>
        <v>22.2</v>
      </c>
      <c r="BP59" s="12">
        <f t="shared" si="97"/>
        <v>1.57</v>
      </c>
      <c r="BQ59" s="12">
        <f t="shared" si="97"/>
        <v>15.9</v>
      </c>
      <c r="BR59" s="12">
        <f t="shared" si="97"/>
        <v>18.239999999999998</v>
      </c>
      <c r="BS59" s="12">
        <f t="shared" si="97"/>
        <v>3.8</v>
      </c>
      <c r="BT59" s="12">
        <f t="shared" si="97"/>
        <v>42.1</v>
      </c>
      <c r="BU59" s="12">
        <f t="shared" si="97"/>
        <v>27.06</v>
      </c>
      <c r="BV59" s="12">
        <f t="shared" si="98"/>
        <v>0.52600000000000002</v>
      </c>
      <c r="BW59" s="12">
        <f t="shared" si="98"/>
        <v>5.29</v>
      </c>
      <c r="BX59" s="12">
        <f t="shared" si="98"/>
        <v>46.3</v>
      </c>
      <c r="BY59" s="12">
        <f t="shared" si="98"/>
        <v>13.5</v>
      </c>
      <c r="BZ59" s="12">
        <f t="shared" si="98"/>
        <v>74.2</v>
      </c>
      <c r="CA59" s="12">
        <f t="shared" si="98"/>
        <v>21.5</v>
      </c>
      <c r="CB59" s="12">
        <f t="shared" si="98"/>
        <v>16.100000000000001</v>
      </c>
      <c r="CC59" s="12">
        <f t="shared" si="98"/>
        <v>63.4</v>
      </c>
      <c r="CD59" s="12">
        <f t="shared" si="98"/>
        <v>12.83</v>
      </c>
      <c r="CE59" s="12">
        <f t="shared" si="98"/>
        <v>74.7</v>
      </c>
      <c r="CF59" s="12">
        <f t="shared" si="99"/>
        <v>11.9</v>
      </c>
      <c r="CG59" s="12">
        <f t="shared" si="99"/>
        <v>39.69</v>
      </c>
      <c r="CH59" s="12">
        <f t="shared" si="99"/>
        <v>11.5</v>
      </c>
      <c r="CI59" s="12">
        <f t="shared" si="99"/>
        <v>4.5999999999999996</v>
      </c>
      <c r="CJ59" s="12">
        <f t="shared" si="99"/>
        <v>-1.3</v>
      </c>
      <c r="CK59" s="12">
        <f t="shared" si="99"/>
        <v>9.4700000000000006</v>
      </c>
      <c r="CL59" s="12">
        <f t="shared" si="99"/>
        <v>10.1</v>
      </c>
      <c r="CM59" s="12">
        <f t="shared" si="99"/>
        <v>65.900000000000006</v>
      </c>
      <c r="CN59" s="12">
        <f t="shared" si="99"/>
        <v>18.8</v>
      </c>
      <c r="CO59" s="12">
        <f t="shared" si="99"/>
        <v>55.723542116630675</v>
      </c>
    </row>
    <row r="60" spans="1:93" x14ac:dyDescent="0.3">
      <c r="A60" s="6" t="s">
        <v>342</v>
      </c>
      <c r="B60" s="3">
        <v>8</v>
      </c>
      <c r="C60" s="13" t="s">
        <v>9</v>
      </c>
      <c r="D60" s="14">
        <v>30</v>
      </c>
      <c r="E60" s="38">
        <f>G61</f>
        <v>28.571428571428569</v>
      </c>
      <c r="F60" s="39">
        <v>6</v>
      </c>
      <c r="G60" s="38">
        <f t="shared" si="62"/>
        <v>27.27272727272727</v>
      </c>
      <c r="H60" s="39">
        <v>22</v>
      </c>
      <c r="I60" s="40">
        <f t="shared" si="63"/>
        <v>1.375</v>
      </c>
      <c r="J60" s="39">
        <v>11</v>
      </c>
      <c r="K60" s="39">
        <v>13</v>
      </c>
      <c r="L60" s="39">
        <v>3</v>
      </c>
      <c r="M60" s="39">
        <f>Q61</f>
        <v>38.5</v>
      </c>
      <c r="N60" s="39">
        <v>23</v>
      </c>
      <c r="O60" s="41">
        <f t="shared" si="64"/>
        <v>0.30545454545454542</v>
      </c>
      <c r="P60" s="39">
        <v>5</v>
      </c>
      <c r="Q60" s="39">
        <v>43.1</v>
      </c>
      <c r="R60" s="39">
        <v>12</v>
      </c>
      <c r="S60" s="38">
        <f t="shared" si="65"/>
        <v>75</v>
      </c>
      <c r="T60" s="39">
        <v>12</v>
      </c>
      <c r="U60" s="39">
        <v>9</v>
      </c>
      <c r="V60" s="39">
        <f>X61</f>
        <v>66</v>
      </c>
      <c r="W60" s="39">
        <v>13</v>
      </c>
      <c r="X60" s="39">
        <v>65</v>
      </c>
      <c r="Y60" s="39">
        <f>Z60-Z61</f>
        <v>-3</v>
      </c>
      <c r="Z60" s="39">
        <f t="shared" si="66"/>
        <v>36</v>
      </c>
      <c r="AA60" s="39">
        <f t="shared" si="67"/>
        <v>-1</v>
      </c>
      <c r="AB60" s="39">
        <v>6</v>
      </c>
      <c r="AC60" s="39">
        <f t="shared" si="68"/>
        <v>1</v>
      </c>
      <c r="AD60" s="39">
        <f>AE61</f>
        <v>9</v>
      </c>
      <c r="AE60" s="39">
        <v>8</v>
      </c>
      <c r="AF60" s="46">
        <f t="shared" si="13"/>
        <v>58.704640371229701</v>
      </c>
      <c r="AG60" s="51">
        <f t="shared" ref="AG60" si="107">AVERAGE(AF60,AF61)</f>
        <v>59.932352653147319</v>
      </c>
      <c r="AH60" s="12">
        <f t="shared" si="94"/>
        <v>31</v>
      </c>
      <c r="AI60" s="12">
        <f t="shared" si="94"/>
        <v>6.5</v>
      </c>
      <c r="AJ60" s="12">
        <f t="shared" si="94"/>
        <v>35.700000000000003</v>
      </c>
      <c r="AK60" s="12">
        <f t="shared" si="94"/>
        <v>17.7</v>
      </c>
      <c r="AL60" s="12">
        <f t="shared" si="94"/>
        <v>1.29</v>
      </c>
      <c r="AM60" s="12">
        <f t="shared" si="94"/>
        <v>16</v>
      </c>
      <c r="AN60" s="12">
        <f t="shared" si="94"/>
        <v>19.18</v>
      </c>
      <c r="AO60" s="12">
        <f t="shared" si="94"/>
        <v>4.3</v>
      </c>
      <c r="AP60" s="12">
        <f t="shared" si="94"/>
        <v>40</v>
      </c>
      <c r="AQ60" s="12">
        <f t="shared" si="94"/>
        <v>26.14</v>
      </c>
      <c r="AR60" s="12">
        <f t="shared" si="95"/>
        <v>0.53900000000000003</v>
      </c>
      <c r="AS60" s="12">
        <f t="shared" si="95"/>
        <v>16.440000000000001</v>
      </c>
      <c r="AT60" s="12">
        <f t="shared" si="95"/>
        <v>48.4</v>
      </c>
      <c r="AU60" s="12">
        <f t="shared" si="95"/>
        <v>17.600000000000001</v>
      </c>
      <c r="AV60" s="12">
        <f t="shared" si="95"/>
        <v>74.900000000000006</v>
      </c>
      <c r="AW60" s="12">
        <f t="shared" si="95"/>
        <v>22.8</v>
      </c>
      <c r="AX60" s="12">
        <f t="shared" si="95"/>
        <v>17.3</v>
      </c>
      <c r="AY60" s="12">
        <f t="shared" si="95"/>
        <v>73.400000000000006</v>
      </c>
      <c r="AZ60" s="12">
        <f t="shared" si="95"/>
        <v>11.17</v>
      </c>
      <c r="BA60" s="12">
        <f t="shared" si="95"/>
        <v>82.3</v>
      </c>
      <c r="BB60" s="12">
        <f t="shared" si="96"/>
        <v>0.8</v>
      </c>
      <c r="BC60" s="12">
        <f t="shared" si="96"/>
        <v>37.15</v>
      </c>
      <c r="BD60" s="12">
        <f t="shared" si="96"/>
        <v>8.6</v>
      </c>
      <c r="BE60" s="12">
        <f t="shared" si="96"/>
        <v>8.3000000000000007</v>
      </c>
      <c r="BF60" s="12">
        <f t="shared" si="96"/>
        <v>1.3</v>
      </c>
      <c r="BG60" s="12">
        <f t="shared" si="96"/>
        <v>13.63</v>
      </c>
      <c r="BH60" s="12">
        <f t="shared" si="96"/>
        <v>12.6</v>
      </c>
      <c r="BI60" s="12">
        <f t="shared" si="96"/>
        <v>74.900000000000006</v>
      </c>
      <c r="BJ60" s="12">
        <f t="shared" si="96"/>
        <v>22.75</v>
      </c>
      <c r="BK60" s="12">
        <f t="shared" si="96"/>
        <v>60.433884297520663</v>
      </c>
      <c r="BL60" s="12">
        <f t="shared" si="97"/>
        <v>32</v>
      </c>
      <c r="BM60" s="12">
        <f t="shared" si="97"/>
        <v>10</v>
      </c>
      <c r="BN60" s="12">
        <f t="shared" si="97"/>
        <v>36.5</v>
      </c>
      <c r="BO60" s="12">
        <f t="shared" si="97"/>
        <v>26.1</v>
      </c>
      <c r="BP60" s="12">
        <f t="shared" si="97"/>
        <v>1.36</v>
      </c>
      <c r="BQ60" s="12">
        <f t="shared" si="97"/>
        <v>15</v>
      </c>
      <c r="BR60" s="12">
        <f t="shared" si="97"/>
        <v>33.71</v>
      </c>
      <c r="BS60" s="12">
        <f t="shared" si="97"/>
        <v>2.5</v>
      </c>
      <c r="BT60" s="12">
        <f t="shared" si="97"/>
        <v>40.200000000000003</v>
      </c>
      <c r="BU60" s="12">
        <f t="shared" si="97"/>
        <v>28.23</v>
      </c>
      <c r="BV60" s="12">
        <f t="shared" si="98"/>
        <v>0.55000000000000004</v>
      </c>
      <c r="BW60" s="12">
        <f t="shared" si="98"/>
        <v>11.86</v>
      </c>
      <c r="BX60" s="12">
        <f t="shared" si="98"/>
        <v>47.4</v>
      </c>
      <c r="BY60" s="12">
        <f t="shared" si="98"/>
        <v>15.6</v>
      </c>
      <c r="BZ60" s="12">
        <f t="shared" si="98"/>
        <v>72</v>
      </c>
      <c r="CA60" s="12">
        <f t="shared" si="98"/>
        <v>18.3</v>
      </c>
      <c r="CB60" s="12">
        <f t="shared" si="98"/>
        <v>12.9</v>
      </c>
      <c r="CC60" s="12">
        <f t="shared" si="98"/>
        <v>66.7</v>
      </c>
      <c r="CD60" s="12">
        <f t="shared" si="98"/>
        <v>11.23</v>
      </c>
      <c r="CE60" s="12">
        <f t="shared" si="98"/>
        <v>80.400000000000006</v>
      </c>
      <c r="CF60" s="12">
        <f t="shared" si="99"/>
        <v>6.5</v>
      </c>
      <c r="CG60" s="12">
        <f t="shared" si="99"/>
        <v>39.94</v>
      </c>
      <c r="CH60" s="12">
        <f t="shared" si="99"/>
        <v>13.6</v>
      </c>
      <c r="CI60" s="12">
        <f t="shared" si="99"/>
        <v>6.3</v>
      </c>
      <c r="CJ60" s="12">
        <f t="shared" si="99"/>
        <v>0.3</v>
      </c>
      <c r="CK60" s="12">
        <f t="shared" si="99"/>
        <v>11.29</v>
      </c>
      <c r="CL60" s="12">
        <f t="shared" si="99"/>
        <v>10.9</v>
      </c>
      <c r="CM60" s="12">
        <f t="shared" si="99"/>
        <v>70.099999999999994</v>
      </c>
      <c r="CN60" s="12">
        <f t="shared" si="99"/>
        <v>18.75</v>
      </c>
      <c r="CO60" s="12">
        <f t="shared" si="99"/>
        <v>60.654008438818565</v>
      </c>
    </row>
    <row r="61" spans="1:93" x14ac:dyDescent="0.3">
      <c r="A61" s="6" t="s">
        <v>9</v>
      </c>
      <c r="B61" s="3">
        <v>9</v>
      </c>
      <c r="C61" s="13" t="s">
        <v>342</v>
      </c>
      <c r="D61" s="14">
        <v>30</v>
      </c>
      <c r="E61" s="38">
        <f>G60</f>
        <v>27.27272727272727</v>
      </c>
      <c r="F61" s="39">
        <v>8</v>
      </c>
      <c r="G61" s="38">
        <f t="shared" si="62"/>
        <v>28.571428571428569</v>
      </c>
      <c r="H61" s="39">
        <v>28</v>
      </c>
      <c r="I61" s="40">
        <f t="shared" si="63"/>
        <v>1.3333333333333333</v>
      </c>
      <c r="J61" s="39">
        <v>12</v>
      </c>
      <c r="K61" s="39">
        <v>20</v>
      </c>
      <c r="L61" s="39">
        <v>2</v>
      </c>
      <c r="M61" s="39">
        <f>Q60</f>
        <v>43.1</v>
      </c>
      <c r="N61" s="39">
        <v>21</v>
      </c>
      <c r="O61" s="41">
        <f t="shared" si="64"/>
        <v>0.33142857142857141</v>
      </c>
      <c r="P61" s="39">
        <v>0</v>
      </c>
      <c r="Q61" s="39">
        <v>38.5</v>
      </c>
      <c r="R61" s="39">
        <v>13</v>
      </c>
      <c r="S61" s="38">
        <f t="shared" si="65"/>
        <v>72.727272727272734</v>
      </c>
      <c r="T61" s="39">
        <v>11</v>
      </c>
      <c r="U61" s="39">
        <v>8</v>
      </c>
      <c r="V61" s="39">
        <f>X60</f>
        <v>65</v>
      </c>
      <c r="W61" s="39">
        <v>18</v>
      </c>
      <c r="X61" s="39">
        <v>66</v>
      </c>
      <c r="Y61" s="39">
        <f>Z61-Z60</f>
        <v>3</v>
      </c>
      <c r="Z61" s="39">
        <f t="shared" si="66"/>
        <v>39</v>
      </c>
      <c r="AA61" s="39">
        <f t="shared" si="67"/>
        <v>1</v>
      </c>
      <c r="AB61" s="39">
        <v>2</v>
      </c>
      <c r="AC61" s="39">
        <f t="shared" si="68"/>
        <v>-1</v>
      </c>
      <c r="AD61" s="39">
        <f>AE60</f>
        <v>8</v>
      </c>
      <c r="AE61" s="39">
        <v>9</v>
      </c>
      <c r="AF61" s="46">
        <f t="shared" si="13"/>
        <v>61.160064935064931</v>
      </c>
      <c r="AG61" s="51">
        <f t="shared" ref="AG61" si="108">AVERAGE(AF60,AF61)</f>
        <v>59.932352653147319</v>
      </c>
      <c r="AH61" s="12">
        <f t="shared" si="94"/>
        <v>32</v>
      </c>
      <c r="AI61" s="12">
        <f t="shared" si="94"/>
        <v>10</v>
      </c>
      <c r="AJ61" s="12">
        <f t="shared" si="94"/>
        <v>36.5</v>
      </c>
      <c r="AK61" s="12">
        <f t="shared" si="94"/>
        <v>26.1</v>
      </c>
      <c r="AL61" s="12">
        <f t="shared" si="94"/>
        <v>1.36</v>
      </c>
      <c r="AM61" s="12">
        <f t="shared" si="94"/>
        <v>15</v>
      </c>
      <c r="AN61" s="12">
        <f t="shared" si="94"/>
        <v>33.71</v>
      </c>
      <c r="AO61" s="12">
        <f t="shared" si="94"/>
        <v>2.5</v>
      </c>
      <c r="AP61" s="12">
        <f t="shared" si="94"/>
        <v>40.200000000000003</v>
      </c>
      <c r="AQ61" s="12">
        <f t="shared" si="94"/>
        <v>28.23</v>
      </c>
      <c r="AR61" s="12">
        <f t="shared" si="95"/>
        <v>0.55000000000000004</v>
      </c>
      <c r="AS61" s="12">
        <f t="shared" si="95"/>
        <v>11.86</v>
      </c>
      <c r="AT61" s="12">
        <f t="shared" si="95"/>
        <v>47.4</v>
      </c>
      <c r="AU61" s="12">
        <f t="shared" si="95"/>
        <v>15.6</v>
      </c>
      <c r="AV61" s="12">
        <f t="shared" si="95"/>
        <v>72</v>
      </c>
      <c r="AW61" s="12">
        <f t="shared" si="95"/>
        <v>18.3</v>
      </c>
      <c r="AX61" s="12">
        <f t="shared" si="95"/>
        <v>12.9</v>
      </c>
      <c r="AY61" s="12">
        <f t="shared" si="95"/>
        <v>66.7</v>
      </c>
      <c r="AZ61" s="12">
        <f t="shared" si="95"/>
        <v>11.23</v>
      </c>
      <c r="BA61" s="12">
        <f t="shared" si="95"/>
        <v>80.400000000000006</v>
      </c>
      <c r="BB61" s="12">
        <f t="shared" si="96"/>
        <v>6.5</v>
      </c>
      <c r="BC61" s="12">
        <f t="shared" si="96"/>
        <v>39.94</v>
      </c>
      <c r="BD61" s="12">
        <f t="shared" si="96"/>
        <v>13.6</v>
      </c>
      <c r="BE61" s="12">
        <f t="shared" si="96"/>
        <v>6.3</v>
      </c>
      <c r="BF61" s="12">
        <f t="shared" si="96"/>
        <v>0.3</v>
      </c>
      <c r="BG61" s="12">
        <f t="shared" si="96"/>
        <v>11.29</v>
      </c>
      <c r="BH61" s="12">
        <f t="shared" si="96"/>
        <v>10.9</v>
      </c>
      <c r="BI61" s="12">
        <f t="shared" si="96"/>
        <v>70.099999999999994</v>
      </c>
      <c r="BJ61" s="12">
        <f t="shared" si="96"/>
        <v>18.75</v>
      </c>
      <c r="BK61" s="12">
        <f t="shared" si="96"/>
        <v>60.654008438818565</v>
      </c>
      <c r="BL61" s="12">
        <f t="shared" si="97"/>
        <v>31</v>
      </c>
      <c r="BM61" s="12">
        <f t="shared" si="97"/>
        <v>6.5</v>
      </c>
      <c r="BN61" s="12">
        <f t="shared" si="97"/>
        <v>35.700000000000003</v>
      </c>
      <c r="BO61" s="12">
        <f t="shared" si="97"/>
        <v>17.7</v>
      </c>
      <c r="BP61" s="12">
        <f t="shared" si="97"/>
        <v>1.29</v>
      </c>
      <c r="BQ61" s="12">
        <f t="shared" si="97"/>
        <v>16</v>
      </c>
      <c r="BR61" s="12">
        <f t="shared" si="97"/>
        <v>19.18</v>
      </c>
      <c r="BS61" s="12">
        <f t="shared" si="97"/>
        <v>4.3</v>
      </c>
      <c r="BT61" s="12">
        <f t="shared" si="97"/>
        <v>40</v>
      </c>
      <c r="BU61" s="12">
        <f t="shared" si="97"/>
        <v>26.14</v>
      </c>
      <c r="BV61" s="12">
        <f t="shared" si="98"/>
        <v>0.53900000000000003</v>
      </c>
      <c r="BW61" s="12">
        <f t="shared" si="98"/>
        <v>16.440000000000001</v>
      </c>
      <c r="BX61" s="12">
        <f t="shared" si="98"/>
        <v>48.4</v>
      </c>
      <c r="BY61" s="12">
        <f t="shared" si="98"/>
        <v>17.600000000000001</v>
      </c>
      <c r="BZ61" s="12">
        <f t="shared" si="98"/>
        <v>74.900000000000006</v>
      </c>
      <c r="CA61" s="12">
        <f t="shared" si="98"/>
        <v>22.8</v>
      </c>
      <c r="CB61" s="12">
        <f t="shared" si="98"/>
        <v>17.3</v>
      </c>
      <c r="CC61" s="12">
        <f t="shared" si="98"/>
        <v>73.400000000000006</v>
      </c>
      <c r="CD61" s="12">
        <f t="shared" si="98"/>
        <v>11.17</v>
      </c>
      <c r="CE61" s="12">
        <f t="shared" si="98"/>
        <v>82.3</v>
      </c>
      <c r="CF61" s="12">
        <f t="shared" si="99"/>
        <v>0.8</v>
      </c>
      <c r="CG61" s="12">
        <f t="shared" si="99"/>
        <v>37.15</v>
      </c>
      <c r="CH61" s="12">
        <f t="shared" si="99"/>
        <v>8.6</v>
      </c>
      <c r="CI61" s="12">
        <f t="shared" si="99"/>
        <v>8.3000000000000007</v>
      </c>
      <c r="CJ61" s="12">
        <f t="shared" si="99"/>
        <v>1.3</v>
      </c>
      <c r="CK61" s="12">
        <f t="shared" si="99"/>
        <v>13.63</v>
      </c>
      <c r="CL61" s="12">
        <f t="shared" si="99"/>
        <v>12.6</v>
      </c>
      <c r="CM61" s="12">
        <f t="shared" si="99"/>
        <v>74.900000000000006</v>
      </c>
      <c r="CN61" s="12">
        <f t="shared" si="99"/>
        <v>22.75</v>
      </c>
      <c r="CO61" s="12">
        <f t="shared" si="99"/>
        <v>60.433884297520663</v>
      </c>
    </row>
    <row r="62" spans="1:93" x14ac:dyDescent="0.3">
      <c r="A62" s="6" t="s">
        <v>48</v>
      </c>
      <c r="B62" s="3">
        <v>5</v>
      </c>
      <c r="C62" s="13" t="s">
        <v>415</v>
      </c>
      <c r="D62" s="14">
        <v>31</v>
      </c>
      <c r="E62" s="38">
        <f>G63</f>
        <v>25</v>
      </c>
      <c r="F62" s="39">
        <v>6</v>
      </c>
      <c r="G62" s="38">
        <f t="shared" si="62"/>
        <v>37.5</v>
      </c>
      <c r="H62" s="39">
        <v>16</v>
      </c>
      <c r="I62" s="40">
        <f t="shared" si="63"/>
        <v>1.625</v>
      </c>
      <c r="J62" s="39">
        <v>13</v>
      </c>
      <c r="K62" s="39">
        <v>26</v>
      </c>
      <c r="L62" s="39">
        <v>6</v>
      </c>
      <c r="M62" s="39">
        <f>Q63</f>
        <v>30.2</v>
      </c>
      <c r="N62" s="39">
        <v>33</v>
      </c>
      <c r="O62" s="41">
        <f t="shared" si="64"/>
        <v>0.41129032258064513</v>
      </c>
      <c r="P62" s="39">
        <v>2</v>
      </c>
      <c r="Q62" s="39">
        <v>48.4</v>
      </c>
      <c r="R62" s="39">
        <v>15</v>
      </c>
      <c r="S62" s="38">
        <f t="shared" si="65"/>
        <v>66.666666666666657</v>
      </c>
      <c r="T62" s="39">
        <v>9</v>
      </c>
      <c r="U62" s="39">
        <v>6</v>
      </c>
      <c r="V62" s="39">
        <f>X63</f>
        <v>51</v>
      </c>
      <c r="W62" s="39">
        <v>13</v>
      </c>
      <c r="X62" s="39">
        <v>74</v>
      </c>
      <c r="Y62" s="39">
        <f>Z62-Z63</f>
        <v>14</v>
      </c>
      <c r="Z62" s="39">
        <f t="shared" si="66"/>
        <v>46</v>
      </c>
      <c r="AA62" s="39">
        <f t="shared" si="67"/>
        <v>23</v>
      </c>
      <c r="AB62" s="39">
        <v>7</v>
      </c>
      <c r="AC62" s="39">
        <f t="shared" si="68"/>
        <v>1</v>
      </c>
      <c r="AD62" s="39">
        <f>AE63</f>
        <v>9</v>
      </c>
      <c r="AE62" s="39">
        <v>8</v>
      </c>
      <c r="AF62" s="46">
        <f t="shared" si="13"/>
        <v>63.324586776859498</v>
      </c>
      <c r="AG62" s="51">
        <f t="shared" ref="AG62" si="109">AVERAGE(AF62,AF63)</f>
        <v>64.019247030813858</v>
      </c>
      <c r="AH62" s="12">
        <f t="shared" ref="AH62:AQ71" si="110">INDEX(ovrTable2,MATCH(INDEX(teamCol2,ROW()),ovrTeamCol2,0),MATCH(MID(INDEX(headerRow2,1,COLUMN()),4,LEN(INDEX(headerRow2,1,COLUMN()))),ovrHeaderRow2,0))</f>
        <v>30.4</v>
      </c>
      <c r="AI62" s="12">
        <f t="shared" si="110"/>
        <v>7</v>
      </c>
      <c r="AJ62" s="12">
        <f t="shared" si="110"/>
        <v>33.9</v>
      </c>
      <c r="AK62" s="12">
        <f t="shared" si="110"/>
        <v>21.6</v>
      </c>
      <c r="AL62" s="12">
        <f t="shared" si="110"/>
        <v>1.33</v>
      </c>
      <c r="AM62" s="12">
        <f t="shared" si="110"/>
        <v>15.1</v>
      </c>
      <c r="AN62" s="12">
        <f t="shared" si="110"/>
        <v>18.25</v>
      </c>
      <c r="AO62" s="12">
        <f t="shared" si="110"/>
        <v>4.4000000000000004</v>
      </c>
      <c r="AP62" s="12">
        <f t="shared" si="110"/>
        <v>40.6</v>
      </c>
      <c r="AQ62" s="12">
        <f t="shared" si="110"/>
        <v>27.4</v>
      </c>
      <c r="AR62" s="12">
        <f t="shared" ref="AR62:BA71" si="111">INDEX(ovrTable2,MATCH(INDEX(teamCol2,ROW()),ovrTeamCol2,0),MATCH(MID(INDEX(headerRow2,1,COLUMN()),4,LEN(INDEX(headerRow2,1,COLUMN()))),ovrHeaderRow2,0))</f>
        <v>0.51500000000000001</v>
      </c>
      <c r="AS62" s="12">
        <f t="shared" si="111"/>
        <v>7.74</v>
      </c>
      <c r="AT62" s="12">
        <f t="shared" si="111"/>
        <v>45.5</v>
      </c>
      <c r="AU62" s="12">
        <f t="shared" si="111"/>
        <v>15</v>
      </c>
      <c r="AV62" s="12">
        <f t="shared" si="111"/>
        <v>76.599999999999994</v>
      </c>
      <c r="AW62" s="12">
        <f t="shared" si="111"/>
        <v>17.8</v>
      </c>
      <c r="AX62" s="12">
        <f t="shared" si="111"/>
        <v>14.1</v>
      </c>
      <c r="AY62" s="12">
        <f t="shared" si="111"/>
        <v>66.3</v>
      </c>
      <c r="AZ62" s="12">
        <f t="shared" si="111"/>
        <v>12.5</v>
      </c>
      <c r="BA62" s="12">
        <f t="shared" si="111"/>
        <v>74.099999999999994</v>
      </c>
      <c r="BB62" s="12">
        <f t="shared" ref="BB62:BK71" si="112">INDEX(ovrTable2,MATCH(INDEX(teamCol2,ROW()),ovrTeamCol2,0),MATCH(MID(INDEX(headerRow2,1,COLUMN()),4,LEN(INDEX(headerRow2,1,COLUMN()))),ovrHeaderRow2,0))</f>
        <v>9.1</v>
      </c>
      <c r="BC62" s="12">
        <f t="shared" si="112"/>
        <v>39.65</v>
      </c>
      <c r="BD62" s="12">
        <f t="shared" si="112"/>
        <v>10</v>
      </c>
      <c r="BE62" s="12">
        <f t="shared" si="112"/>
        <v>5.9</v>
      </c>
      <c r="BF62" s="12">
        <f t="shared" si="112"/>
        <v>-1</v>
      </c>
      <c r="BG62" s="12">
        <f t="shared" si="112"/>
        <v>10.029999999999999</v>
      </c>
      <c r="BH62" s="12">
        <f t="shared" si="112"/>
        <v>11.1</v>
      </c>
      <c r="BI62" s="12">
        <f t="shared" si="112"/>
        <v>67.2</v>
      </c>
      <c r="BJ62" s="12">
        <f t="shared" si="112"/>
        <v>19.499999999999996</v>
      </c>
      <c r="BK62" s="12">
        <f t="shared" si="112"/>
        <v>58.241758241758234</v>
      </c>
      <c r="BL62" s="12">
        <f t="shared" ref="BL62:BU71" si="113">INDEX(ovrTable2,MATCH(INDEX(oppCol23,ROW()),ovrTeamCol2,0),MATCH(MID(INDEX(headerRow2,1,COLUMN()),4,LEN(INDEX(headerRow2,1,COLUMN()))),ovrHeaderRow2,0))</f>
        <v>34.1</v>
      </c>
      <c r="BM62" s="12">
        <f t="shared" si="113"/>
        <v>11.2</v>
      </c>
      <c r="BN62" s="12">
        <f t="shared" si="113"/>
        <v>36.299999999999997</v>
      </c>
      <c r="BO62" s="12">
        <f t="shared" si="113"/>
        <v>29.9</v>
      </c>
      <c r="BP62" s="12">
        <f t="shared" si="113"/>
        <v>1.72</v>
      </c>
      <c r="BQ62" s="12">
        <f t="shared" si="113"/>
        <v>15.3</v>
      </c>
      <c r="BR62" s="12">
        <f t="shared" si="113"/>
        <v>19.54</v>
      </c>
      <c r="BS62" s="12">
        <f t="shared" si="113"/>
        <v>5.5</v>
      </c>
      <c r="BT62" s="12">
        <f t="shared" si="113"/>
        <v>41.9</v>
      </c>
      <c r="BU62" s="12">
        <f t="shared" si="113"/>
        <v>28.11</v>
      </c>
      <c r="BV62" s="12">
        <f t="shared" ref="BV62:CE71" si="114">INDEX(ovrTable2,MATCH(INDEX(oppCol23,ROW()),ovrTeamCol2,0),MATCH(MID(INDEX(headerRow2,1,COLUMN()),4,LEN(INDEX(headerRow2,1,COLUMN()))),ovrHeaderRow2,0))</f>
        <v>0.56299999999999994</v>
      </c>
      <c r="BW62" s="12">
        <f t="shared" si="114"/>
        <v>12.18</v>
      </c>
      <c r="BX62" s="12">
        <f t="shared" si="114"/>
        <v>48.2</v>
      </c>
      <c r="BY62" s="12">
        <f t="shared" si="114"/>
        <v>13.4</v>
      </c>
      <c r="BZ62" s="12">
        <f t="shared" si="114"/>
        <v>77.2</v>
      </c>
      <c r="CA62" s="12">
        <f t="shared" si="114"/>
        <v>15</v>
      </c>
      <c r="CB62" s="12">
        <f t="shared" si="114"/>
        <v>11.9</v>
      </c>
      <c r="CC62" s="12">
        <f t="shared" si="114"/>
        <v>71.7</v>
      </c>
      <c r="CD62" s="12">
        <f t="shared" si="114"/>
        <v>9.06</v>
      </c>
      <c r="CE62" s="12">
        <f t="shared" si="114"/>
        <v>89</v>
      </c>
      <c r="CF62" s="12">
        <f t="shared" ref="CF62:CO71" si="115">INDEX(ovrTable2,MATCH(INDEX(oppCol23,ROW()),ovrTeamCol2,0),MATCH(MID(INDEX(headerRow2,1,COLUMN()),4,LEN(INDEX(headerRow2,1,COLUMN()))),ovrHeaderRow2,0))</f>
        <v>0.6</v>
      </c>
      <c r="CG62" s="12">
        <f t="shared" si="115"/>
        <v>38.14</v>
      </c>
      <c r="CH62" s="12">
        <f t="shared" si="115"/>
        <v>15.1</v>
      </c>
      <c r="CI62" s="12">
        <f t="shared" si="115"/>
        <v>6.7</v>
      </c>
      <c r="CJ62" s="12">
        <f t="shared" si="115"/>
        <v>2.1</v>
      </c>
      <c r="CK62" s="12">
        <f t="shared" si="115"/>
        <v>11.51</v>
      </c>
      <c r="CL62" s="12">
        <f t="shared" si="115"/>
        <v>9.1999999999999993</v>
      </c>
      <c r="CM62" s="12">
        <f t="shared" si="115"/>
        <v>72</v>
      </c>
      <c r="CN62" s="12">
        <f t="shared" si="115"/>
        <v>21.75</v>
      </c>
      <c r="CO62" s="12">
        <f t="shared" si="115"/>
        <v>68.360995850622416</v>
      </c>
    </row>
    <row r="63" spans="1:93" x14ac:dyDescent="0.3">
      <c r="A63" s="6" t="s">
        <v>415</v>
      </c>
      <c r="B63" s="3">
        <v>12</v>
      </c>
      <c r="C63" s="13" t="s">
        <v>48</v>
      </c>
      <c r="D63" s="14">
        <v>31</v>
      </c>
      <c r="E63" s="38">
        <f>G62</f>
        <v>37.5</v>
      </c>
      <c r="F63" s="39">
        <v>8</v>
      </c>
      <c r="G63" s="38">
        <f t="shared" si="62"/>
        <v>25</v>
      </c>
      <c r="H63" s="39">
        <v>32</v>
      </c>
      <c r="I63" s="40">
        <f t="shared" si="63"/>
        <v>1.1111111111111112</v>
      </c>
      <c r="J63" s="39">
        <v>10</v>
      </c>
      <c r="K63" s="39">
        <v>18</v>
      </c>
      <c r="L63" s="39">
        <v>5</v>
      </c>
      <c r="M63" s="39">
        <f>Q62</f>
        <v>48.4</v>
      </c>
      <c r="N63" s="39">
        <v>21</v>
      </c>
      <c r="O63" s="41">
        <f t="shared" si="64"/>
        <v>0.30263157894736842</v>
      </c>
      <c r="P63" s="39">
        <v>7</v>
      </c>
      <c r="Q63" s="39">
        <v>30.2</v>
      </c>
      <c r="R63" s="39">
        <v>8</v>
      </c>
      <c r="S63" s="38">
        <f t="shared" si="65"/>
        <v>62.5</v>
      </c>
      <c r="T63" s="39">
        <v>8</v>
      </c>
      <c r="U63" s="39">
        <v>5</v>
      </c>
      <c r="V63" s="39">
        <f>X62</f>
        <v>74</v>
      </c>
      <c r="W63" s="39">
        <v>11</v>
      </c>
      <c r="X63" s="39">
        <v>51</v>
      </c>
      <c r="Y63" s="39">
        <f>Z63-Z62</f>
        <v>-14</v>
      </c>
      <c r="Z63" s="39">
        <f t="shared" si="66"/>
        <v>32</v>
      </c>
      <c r="AA63" s="39">
        <f t="shared" si="67"/>
        <v>-23</v>
      </c>
      <c r="AB63" s="39">
        <v>3</v>
      </c>
      <c r="AC63" s="39">
        <f t="shared" si="68"/>
        <v>-1</v>
      </c>
      <c r="AD63" s="39">
        <f>AE62</f>
        <v>8</v>
      </c>
      <c r="AE63" s="39">
        <v>9</v>
      </c>
      <c r="AF63" s="46">
        <f t="shared" si="13"/>
        <v>64.713907284768212</v>
      </c>
      <c r="AG63" s="51">
        <f t="shared" ref="AG63" si="116">AVERAGE(AF62,AF63)</f>
        <v>64.019247030813858</v>
      </c>
      <c r="AH63" s="12">
        <f t="shared" si="110"/>
        <v>34.1</v>
      </c>
      <c r="AI63" s="12">
        <f t="shared" si="110"/>
        <v>11.2</v>
      </c>
      <c r="AJ63" s="12">
        <f t="shared" si="110"/>
        <v>36.299999999999997</v>
      </c>
      <c r="AK63" s="12">
        <f t="shared" si="110"/>
        <v>29.9</v>
      </c>
      <c r="AL63" s="12">
        <f t="shared" si="110"/>
        <v>1.72</v>
      </c>
      <c r="AM63" s="12">
        <f t="shared" si="110"/>
        <v>15.3</v>
      </c>
      <c r="AN63" s="12">
        <f t="shared" si="110"/>
        <v>19.54</v>
      </c>
      <c r="AO63" s="12">
        <f t="shared" si="110"/>
        <v>5.5</v>
      </c>
      <c r="AP63" s="12">
        <f t="shared" si="110"/>
        <v>41.9</v>
      </c>
      <c r="AQ63" s="12">
        <f t="shared" si="110"/>
        <v>28.11</v>
      </c>
      <c r="AR63" s="12">
        <f t="shared" si="111"/>
        <v>0.56299999999999994</v>
      </c>
      <c r="AS63" s="12">
        <f t="shared" si="111"/>
        <v>12.18</v>
      </c>
      <c r="AT63" s="12">
        <f t="shared" si="111"/>
        <v>48.2</v>
      </c>
      <c r="AU63" s="12">
        <f t="shared" si="111"/>
        <v>13.4</v>
      </c>
      <c r="AV63" s="12">
        <f t="shared" si="111"/>
        <v>77.2</v>
      </c>
      <c r="AW63" s="12">
        <f t="shared" si="111"/>
        <v>15</v>
      </c>
      <c r="AX63" s="12">
        <f t="shared" si="111"/>
        <v>11.9</v>
      </c>
      <c r="AY63" s="12">
        <f t="shared" si="111"/>
        <v>71.7</v>
      </c>
      <c r="AZ63" s="12">
        <f t="shared" si="111"/>
        <v>9.06</v>
      </c>
      <c r="BA63" s="12">
        <f t="shared" si="111"/>
        <v>89</v>
      </c>
      <c r="BB63" s="12">
        <f t="shared" si="112"/>
        <v>0.6</v>
      </c>
      <c r="BC63" s="12">
        <f t="shared" si="112"/>
        <v>38.14</v>
      </c>
      <c r="BD63" s="12">
        <f t="shared" si="112"/>
        <v>15.1</v>
      </c>
      <c r="BE63" s="12">
        <f t="shared" si="112"/>
        <v>6.7</v>
      </c>
      <c r="BF63" s="12">
        <f t="shared" si="112"/>
        <v>2.1</v>
      </c>
      <c r="BG63" s="12">
        <f t="shared" si="112"/>
        <v>11.51</v>
      </c>
      <c r="BH63" s="12">
        <f t="shared" si="112"/>
        <v>9.1999999999999993</v>
      </c>
      <c r="BI63" s="12">
        <f t="shared" si="112"/>
        <v>72</v>
      </c>
      <c r="BJ63" s="12">
        <f t="shared" si="112"/>
        <v>21.75</v>
      </c>
      <c r="BK63" s="12">
        <f t="shared" si="112"/>
        <v>68.360995850622416</v>
      </c>
      <c r="BL63" s="12">
        <f t="shared" si="113"/>
        <v>30.4</v>
      </c>
      <c r="BM63" s="12">
        <f t="shared" si="113"/>
        <v>7</v>
      </c>
      <c r="BN63" s="12">
        <f t="shared" si="113"/>
        <v>33.9</v>
      </c>
      <c r="BO63" s="12">
        <f t="shared" si="113"/>
        <v>21.6</v>
      </c>
      <c r="BP63" s="12">
        <f t="shared" si="113"/>
        <v>1.33</v>
      </c>
      <c r="BQ63" s="12">
        <f t="shared" si="113"/>
        <v>15.1</v>
      </c>
      <c r="BR63" s="12">
        <f t="shared" si="113"/>
        <v>18.25</v>
      </c>
      <c r="BS63" s="12">
        <f t="shared" si="113"/>
        <v>4.4000000000000004</v>
      </c>
      <c r="BT63" s="12">
        <f t="shared" si="113"/>
        <v>40.6</v>
      </c>
      <c r="BU63" s="12">
        <f t="shared" si="113"/>
        <v>27.4</v>
      </c>
      <c r="BV63" s="12">
        <f t="shared" si="114"/>
        <v>0.51500000000000001</v>
      </c>
      <c r="BW63" s="12">
        <f t="shared" si="114"/>
        <v>7.74</v>
      </c>
      <c r="BX63" s="12">
        <f t="shared" si="114"/>
        <v>45.5</v>
      </c>
      <c r="BY63" s="12">
        <f t="shared" si="114"/>
        <v>15</v>
      </c>
      <c r="BZ63" s="12">
        <f t="shared" si="114"/>
        <v>76.599999999999994</v>
      </c>
      <c r="CA63" s="12">
        <f t="shared" si="114"/>
        <v>17.8</v>
      </c>
      <c r="CB63" s="12">
        <f t="shared" si="114"/>
        <v>14.1</v>
      </c>
      <c r="CC63" s="12">
        <f t="shared" si="114"/>
        <v>66.3</v>
      </c>
      <c r="CD63" s="12">
        <f t="shared" si="114"/>
        <v>12.5</v>
      </c>
      <c r="CE63" s="12">
        <f t="shared" si="114"/>
        <v>74.099999999999994</v>
      </c>
      <c r="CF63" s="12">
        <f t="shared" si="115"/>
        <v>9.1</v>
      </c>
      <c r="CG63" s="12">
        <f t="shared" si="115"/>
        <v>39.65</v>
      </c>
      <c r="CH63" s="12">
        <f t="shared" si="115"/>
        <v>10</v>
      </c>
      <c r="CI63" s="12">
        <f t="shared" si="115"/>
        <v>5.9</v>
      </c>
      <c r="CJ63" s="12">
        <f t="shared" si="115"/>
        <v>-1</v>
      </c>
      <c r="CK63" s="12">
        <f t="shared" si="115"/>
        <v>10.029999999999999</v>
      </c>
      <c r="CL63" s="12">
        <f t="shared" si="115"/>
        <v>11.1</v>
      </c>
      <c r="CM63" s="12">
        <f t="shared" si="115"/>
        <v>67.2</v>
      </c>
      <c r="CN63" s="12">
        <f t="shared" si="115"/>
        <v>19.499999999999996</v>
      </c>
      <c r="CO63" s="12">
        <f t="shared" si="115"/>
        <v>58.241758241758234</v>
      </c>
    </row>
    <row r="64" spans="1:93" x14ac:dyDescent="0.3">
      <c r="A64" s="6" t="s">
        <v>55</v>
      </c>
      <c r="B64" s="3">
        <v>4</v>
      </c>
      <c r="C64" s="13" t="s">
        <v>416</v>
      </c>
      <c r="D64" s="14">
        <v>32</v>
      </c>
      <c r="E64" s="38">
        <f>G65</f>
        <v>33.333333333333329</v>
      </c>
      <c r="F64" s="39">
        <v>4</v>
      </c>
      <c r="G64" s="38">
        <f t="shared" si="62"/>
        <v>25</v>
      </c>
      <c r="H64" s="39">
        <v>16</v>
      </c>
      <c r="I64" s="40">
        <f t="shared" si="63"/>
        <v>0.88888888888888884</v>
      </c>
      <c r="J64" s="39">
        <v>16</v>
      </c>
      <c r="K64" s="39">
        <v>19</v>
      </c>
      <c r="L64" s="39">
        <v>4</v>
      </c>
      <c r="M64" s="39">
        <f>Q65</f>
        <v>40</v>
      </c>
      <c r="N64" s="39">
        <v>27</v>
      </c>
      <c r="O64" s="41">
        <f t="shared" si="64"/>
        <v>0.27380952380952384</v>
      </c>
      <c r="P64" s="39">
        <v>8</v>
      </c>
      <c r="Q64" s="39">
        <v>45.7</v>
      </c>
      <c r="R64" s="39">
        <v>14</v>
      </c>
      <c r="S64" s="38">
        <f t="shared" si="65"/>
        <v>57.142857142857139</v>
      </c>
      <c r="T64" s="39">
        <v>21</v>
      </c>
      <c r="U64" s="39">
        <v>12</v>
      </c>
      <c r="V64" s="39">
        <f>X65</f>
        <v>55</v>
      </c>
      <c r="W64" s="39">
        <v>6</v>
      </c>
      <c r="X64" s="39">
        <v>58</v>
      </c>
      <c r="Y64" s="39">
        <f>Z64-Z65</f>
        <v>6</v>
      </c>
      <c r="Z64" s="39">
        <f t="shared" si="66"/>
        <v>33</v>
      </c>
      <c r="AA64" s="39">
        <f t="shared" si="67"/>
        <v>3</v>
      </c>
      <c r="AB64" s="39">
        <v>9</v>
      </c>
      <c r="AC64" s="39">
        <f t="shared" si="68"/>
        <v>-4</v>
      </c>
      <c r="AD64" s="39">
        <f>AE65</f>
        <v>14</v>
      </c>
      <c r="AE64" s="39">
        <v>18</v>
      </c>
      <c r="AF64" s="46">
        <f t="shared" si="13"/>
        <v>67.926859956236314</v>
      </c>
      <c r="AG64" s="51">
        <f t="shared" ref="AG64" si="117">AVERAGE(AF64,AF65)</f>
        <v>67.10092997811816</v>
      </c>
      <c r="AH64" s="12">
        <f t="shared" si="110"/>
        <v>29.3</v>
      </c>
      <c r="AI64" s="12">
        <f t="shared" si="110"/>
        <v>8</v>
      </c>
      <c r="AJ64" s="12">
        <f t="shared" si="110"/>
        <v>33.799999999999997</v>
      </c>
      <c r="AK64" s="12">
        <f t="shared" si="110"/>
        <v>23.4</v>
      </c>
      <c r="AL64" s="12">
        <f t="shared" si="110"/>
        <v>1.55</v>
      </c>
      <c r="AM64" s="12">
        <f t="shared" si="110"/>
        <v>17.7</v>
      </c>
      <c r="AN64" s="12">
        <f t="shared" si="110"/>
        <v>22.86</v>
      </c>
      <c r="AO64" s="12">
        <f t="shared" si="110"/>
        <v>3.8</v>
      </c>
      <c r="AP64" s="12">
        <f t="shared" si="110"/>
        <v>38.9</v>
      </c>
      <c r="AQ64" s="12">
        <f t="shared" si="110"/>
        <v>26.34</v>
      </c>
      <c r="AR64" s="12">
        <f t="shared" si="111"/>
        <v>0.502</v>
      </c>
      <c r="AS64" s="12">
        <f t="shared" si="111"/>
        <v>6.24</v>
      </c>
      <c r="AT64" s="12">
        <f t="shared" si="111"/>
        <v>43.9</v>
      </c>
      <c r="AU64" s="12">
        <f t="shared" si="111"/>
        <v>16.5</v>
      </c>
      <c r="AV64" s="12">
        <f t="shared" si="111"/>
        <v>71.099999999999994</v>
      </c>
      <c r="AW64" s="12">
        <f t="shared" si="111"/>
        <v>18.5</v>
      </c>
      <c r="AX64" s="12">
        <f t="shared" si="111"/>
        <v>13</v>
      </c>
      <c r="AY64" s="12">
        <f t="shared" si="111"/>
        <v>59.2</v>
      </c>
      <c r="AZ64" s="12">
        <f t="shared" si="111"/>
        <v>13.08</v>
      </c>
      <c r="BA64" s="12">
        <f t="shared" si="111"/>
        <v>72.900000000000006</v>
      </c>
      <c r="BB64" s="12">
        <f t="shared" si="112"/>
        <v>7.8</v>
      </c>
      <c r="BC64" s="12">
        <f t="shared" si="112"/>
        <v>39.56</v>
      </c>
      <c r="BD64" s="12">
        <f t="shared" si="112"/>
        <v>14.8</v>
      </c>
      <c r="BE64" s="12">
        <f t="shared" si="112"/>
        <v>7.9</v>
      </c>
      <c r="BF64" s="12">
        <f t="shared" si="112"/>
        <v>1.9</v>
      </c>
      <c r="BG64" s="12">
        <f t="shared" si="112"/>
        <v>13.42</v>
      </c>
      <c r="BH64" s="12">
        <f t="shared" si="112"/>
        <v>11.1</v>
      </c>
      <c r="BI64" s="12">
        <f t="shared" si="112"/>
        <v>67.7</v>
      </c>
      <c r="BJ64" s="12">
        <f t="shared" si="112"/>
        <v>17.950000000000003</v>
      </c>
      <c r="BK64" s="12">
        <f t="shared" si="112"/>
        <v>59.111617312072909</v>
      </c>
      <c r="BL64" s="12">
        <f t="shared" si="113"/>
        <v>33.6</v>
      </c>
      <c r="BM64" s="12">
        <f t="shared" si="113"/>
        <v>7.2</v>
      </c>
      <c r="BN64" s="12">
        <f t="shared" si="113"/>
        <v>37.299999999999997</v>
      </c>
      <c r="BO64" s="12">
        <f t="shared" si="113"/>
        <v>18.600000000000001</v>
      </c>
      <c r="BP64" s="12">
        <f t="shared" si="113"/>
        <v>1.3</v>
      </c>
      <c r="BQ64" s="12">
        <f t="shared" si="113"/>
        <v>15</v>
      </c>
      <c r="BR64" s="12">
        <f t="shared" si="113"/>
        <v>18.71</v>
      </c>
      <c r="BS64" s="12">
        <f t="shared" si="113"/>
        <v>3.1</v>
      </c>
      <c r="BT64" s="12">
        <f t="shared" si="113"/>
        <v>43.7</v>
      </c>
      <c r="BU64" s="12">
        <f t="shared" si="113"/>
        <v>26</v>
      </c>
      <c r="BV64" s="12">
        <f t="shared" si="114"/>
        <v>0.54800000000000004</v>
      </c>
      <c r="BW64" s="12">
        <f t="shared" si="114"/>
        <v>12.41</v>
      </c>
      <c r="BX64" s="12">
        <f t="shared" si="114"/>
        <v>48.8</v>
      </c>
      <c r="BY64" s="12">
        <f t="shared" si="114"/>
        <v>17</v>
      </c>
      <c r="BZ64" s="12">
        <f t="shared" si="114"/>
        <v>69.3</v>
      </c>
      <c r="CA64" s="12">
        <f t="shared" si="114"/>
        <v>22.4</v>
      </c>
      <c r="CB64" s="12">
        <f t="shared" si="114"/>
        <v>15.3</v>
      </c>
      <c r="CC64" s="12">
        <f t="shared" si="114"/>
        <v>71.099999999999994</v>
      </c>
      <c r="CD64" s="12">
        <f t="shared" si="114"/>
        <v>11.4</v>
      </c>
      <c r="CE64" s="12">
        <f t="shared" si="114"/>
        <v>79.7</v>
      </c>
      <c r="CF64" s="12">
        <f t="shared" si="115"/>
        <v>7</v>
      </c>
      <c r="CG64" s="12">
        <f t="shared" si="115"/>
        <v>37.78</v>
      </c>
      <c r="CH64" s="12">
        <f t="shared" si="115"/>
        <v>8.9</v>
      </c>
      <c r="CI64" s="12">
        <f t="shared" si="115"/>
        <v>7</v>
      </c>
      <c r="CJ64" s="12">
        <f t="shared" si="115"/>
        <v>0.3</v>
      </c>
      <c r="CK64" s="12">
        <f t="shared" si="115"/>
        <v>11.42</v>
      </c>
      <c r="CL64" s="12">
        <f t="shared" si="115"/>
        <v>11.4</v>
      </c>
      <c r="CM64" s="12">
        <f t="shared" si="115"/>
        <v>70.099999999999994</v>
      </c>
      <c r="CN64" s="12">
        <f t="shared" si="115"/>
        <v>21.400000000000002</v>
      </c>
      <c r="CO64" s="12">
        <f t="shared" si="115"/>
        <v>58.606557377049185</v>
      </c>
    </row>
    <row r="65" spans="1:93" x14ac:dyDescent="0.3">
      <c r="A65" s="6" t="s">
        <v>416</v>
      </c>
      <c r="B65" s="3">
        <v>13</v>
      </c>
      <c r="C65" s="13" t="s">
        <v>55</v>
      </c>
      <c r="D65" s="14">
        <v>32</v>
      </c>
      <c r="E65" s="38">
        <f>G64</f>
        <v>25</v>
      </c>
      <c r="F65" s="39">
        <v>6</v>
      </c>
      <c r="G65" s="38">
        <f t="shared" si="62"/>
        <v>33.333333333333329</v>
      </c>
      <c r="H65" s="39">
        <v>18</v>
      </c>
      <c r="I65" s="40">
        <f t="shared" si="63"/>
        <v>0.8571428571428571</v>
      </c>
      <c r="J65" s="39">
        <v>12</v>
      </c>
      <c r="K65" s="39">
        <v>26</v>
      </c>
      <c r="L65" s="39">
        <v>0</v>
      </c>
      <c r="M65" s="39">
        <f>Q64</f>
        <v>45.7</v>
      </c>
      <c r="N65" s="39">
        <v>20</v>
      </c>
      <c r="O65" s="41">
        <f t="shared" si="64"/>
        <v>0.37878787878787873</v>
      </c>
      <c r="P65" s="39">
        <v>5</v>
      </c>
      <c r="Q65" s="39">
        <v>40</v>
      </c>
      <c r="R65" s="39">
        <v>19</v>
      </c>
      <c r="S65" s="38">
        <f t="shared" si="65"/>
        <v>55.555555555555557</v>
      </c>
      <c r="T65" s="39">
        <v>9</v>
      </c>
      <c r="U65" s="39">
        <v>5</v>
      </c>
      <c r="V65" s="39">
        <f>X64</f>
        <v>58</v>
      </c>
      <c r="W65" s="39">
        <v>7</v>
      </c>
      <c r="X65" s="39">
        <v>55</v>
      </c>
      <c r="Y65" s="39">
        <f>Z65-Z64</f>
        <v>-6</v>
      </c>
      <c r="Z65" s="39">
        <f t="shared" si="66"/>
        <v>27</v>
      </c>
      <c r="AA65" s="39">
        <f t="shared" si="67"/>
        <v>-3</v>
      </c>
      <c r="AB65" s="39">
        <v>8</v>
      </c>
      <c r="AC65" s="39">
        <f t="shared" si="68"/>
        <v>4</v>
      </c>
      <c r="AD65" s="39">
        <f>AE64</f>
        <v>18</v>
      </c>
      <c r="AE65" s="39">
        <v>14</v>
      </c>
      <c r="AF65" s="46">
        <f t="shared" si="13"/>
        <v>66.275000000000006</v>
      </c>
      <c r="AG65" s="51">
        <f t="shared" ref="AG65" si="118">AVERAGE(AF64,AF65)</f>
        <v>67.10092997811816</v>
      </c>
      <c r="AH65" s="12">
        <f t="shared" si="110"/>
        <v>33.6</v>
      </c>
      <c r="AI65" s="12">
        <f t="shared" si="110"/>
        <v>7.2</v>
      </c>
      <c r="AJ65" s="12">
        <f t="shared" si="110"/>
        <v>37.299999999999997</v>
      </c>
      <c r="AK65" s="12">
        <f t="shared" si="110"/>
        <v>18.600000000000001</v>
      </c>
      <c r="AL65" s="12">
        <f t="shared" si="110"/>
        <v>1.3</v>
      </c>
      <c r="AM65" s="12">
        <f t="shared" si="110"/>
        <v>15</v>
      </c>
      <c r="AN65" s="12">
        <f t="shared" si="110"/>
        <v>18.71</v>
      </c>
      <c r="AO65" s="12">
        <f t="shared" si="110"/>
        <v>3.1</v>
      </c>
      <c r="AP65" s="12">
        <f t="shared" si="110"/>
        <v>43.7</v>
      </c>
      <c r="AQ65" s="12">
        <f t="shared" si="110"/>
        <v>26</v>
      </c>
      <c r="AR65" s="12">
        <f t="shared" si="111"/>
        <v>0.54800000000000004</v>
      </c>
      <c r="AS65" s="12">
        <f t="shared" si="111"/>
        <v>12.41</v>
      </c>
      <c r="AT65" s="12">
        <f t="shared" si="111"/>
        <v>48.8</v>
      </c>
      <c r="AU65" s="12">
        <f t="shared" si="111"/>
        <v>17</v>
      </c>
      <c r="AV65" s="12">
        <f t="shared" si="111"/>
        <v>69.3</v>
      </c>
      <c r="AW65" s="12">
        <f t="shared" si="111"/>
        <v>22.4</v>
      </c>
      <c r="AX65" s="12">
        <f t="shared" si="111"/>
        <v>15.3</v>
      </c>
      <c r="AY65" s="12">
        <f t="shared" si="111"/>
        <v>71.099999999999994</v>
      </c>
      <c r="AZ65" s="12">
        <f t="shared" si="111"/>
        <v>11.4</v>
      </c>
      <c r="BA65" s="12">
        <f t="shared" si="111"/>
        <v>79.7</v>
      </c>
      <c r="BB65" s="12">
        <f t="shared" si="112"/>
        <v>7</v>
      </c>
      <c r="BC65" s="12">
        <f t="shared" si="112"/>
        <v>37.78</v>
      </c>
      <c r="BD65" s="12">
        <f t="shared" si="112"/>
        <v>8.9</v>
      </c>
      <c r="BE65" s="12">
        <f t="shared" si="112"/>
        <v>7</v>
      </c>
      <c r="BF65" s="12">
        <f t="shared" si="112"/>
        <v>0.3</v>
      </c>
      <c r="BG65" s="12">
        <f t="shared" si="112"/>
        <v>11.42</v>
      </c>
      <c r="BH65" s="12">
        <f t="shared" si="112"/>
        <v>11.4</v>
      </c>
      <c r="BI65" s="12">
        <f t="shared" si="112"/>
        <v>70.099999999999994</v>
      </c>
      <c r="BJ65" s="12">
        <f t="shared" si="112"/>
        <v>21.400000000000002</v>
      </c>
      <c r="BK65" s="12">
        <f t="shared" si="112"/>
        <v>58.606557377049185</v>
      </c>
      <c r="BL65" s="12">
        <f t="shared" si="113"/>
        <v>29.3</v>
      </c>
      <c r="BM65" s="12">
        <f t="shared" si="113"/>
        <v>8</v>
      </c>
      <c r="BN65" s="12">
        <f t="shared" si="113"/>
        <v>33.799999999999997</v>
      </c>
      <c r="BO65" s="12">
        <f t="shared" si="113"/>
        <v>23.4</v>
      </c>
      <c r="BP65" s="12">
        <f t="shared" si="113"/>
        <v>1.55</v>
      </c>
      <c r="BQ65" s="12">
        <f t="shared" si="113"/>
        <v>17.7</v>
      </c>
      <c r="BR65" s="12">
        <f t="shared" si="113"/>
        <v>22.86</v>
      </c>
      <c r="BS65" s="12">
        <f t="shared" si="113"/>
        <v>3.8</v>
      </c>
      <c r="BT65" s="12">
        <f t="shared" si="113"/>
        <v>38.9</v>
      </c>
      <c r="BU65" s="12">
        <f t="shared" si="113"/>
        <v>26.34</v>
      </c>
      <c r="BV65" s="12">
        <f t="shared" si="114"/>
        <v>0.502</v>
      </c>
      <c r="BW65" s="12">
        <f t="shared" si="114"/>
        <v>6.24</v>
      </c>
      <c r="BX65" s="12">
        <f t="shared" si="114"/>
        <v>43.9</v>
      </c>
      <c r="BY65" s="12">
        <f t="shared" si="114"/>
        <v>16.5</v>
      </c>
      <c r="BZ65" s="12">
        <f t="shared" si="114"/>
        <v>71.099999999999994</v>
      </c>
      <c r="CA65" s="12">
        <f t="shared" si="114"/>
        <v>18.5</v>
      </c>
      <c r="CB65" s="12">
        <f t="shared" si="114"/>
        <v>13</v>
      </c>
      <c r="CC65" s="12">
        <f t="shared" si="114"/>
        <v>59.2</v>
      </c>
      <c r="CD65" s="12">
        <f t="shared" si="114"/>
        <v>13.08</v>
      </c>
      <c r="CE65" s="12">
        <f t="shared" si="114"/>
        <v>72.900000000000006</v>
      </c>
      <c r="CF65" s="12">
        <f t="shared" si="115"/>
        <v>7.8</v>
      </c>
      <c r="CG65" s="12">
        <f t="shared" si="115"/>
        <v>39.56</v>
      </c>
      <c r="CH65" s="12">
        <f t="shared" si="115"/>
        <v>14.8</v>
      </c>
      <c r="CI65" s="12">
        <f t="shared" si="115"/>
        <v>7.9</v>
      </c>
      <c r="CJ65" s="12">
        <f t="shared" si="115"/>
        <v>1.9</v>
      </c>
      <c r="CK65" s="12">
        <f t="shared" si="115"/>
        <v>13.42</v>
      </c>
      <c r="CL65" s="12">
        <f t="shared" si="115"/>
        <v>11.1</v>
      </c>
      <c r="CM65" s="12">
        <f t="shared" si="115"/>
        <v>67.7</v>
      </c>
      <c r="CN65" s="12">
        <f t="shared" si="115"/>
        <v>17.950000000000003</v>
      </c>
      <c r="CO65" s="12">
        <f t="shared" si="115"/>
        <v>59.111617312072909</v>
      </c>
    </row>
    <row r="66" spans="1:93" x14ac:dyDescent="0.3">
      <c r="A66" s="6" t="s">
        <v>49</v>
      </c>
      <c r="B66" s="3">
        <v>6</v>
      </c>
      <c r="C66" s="13" t="s">
        <v>343</v>
      </c>
      <c r="D66" s="14">
        <v>33</v>
      </c>
      <c r="E66" s="38">
        <f>G67</f>
        <v>20.833333333333336</v>
      </c>
      <c r="F66" s="39">
        <v>5</v>
      </c>
      <c r="G66" s="38">
        <f t="shared" ref="G66:G97" si="119">F66/H66*100</f>
        <v>31.25</v>
      </c>
      <c r="H66" s="39">
        <v>16</v>
      </c>
      <c r="I66" s="40">
        <f t="shared" ref="I66:I97" si="120">J66/AE66</f>
        <v>0.90909090909090906</v>
      </c>
      <c r="J66" s="39">
        <v>10</v>
      </c>
      <c r="K66" s="39">
        <v>0</v>
      </c>
      <c r="L66" s="39">
        <v>4</v>
      </c>
      <c r="M66" s="39">
        <f>Q67</f>
        <v>36.200000000000003</v>
      </c>
      <c r="N66" s="39">
        <v>30</v>
      </c>
      <c r="O66" s="41">
        <f t="shared" ref="O66:O97" si="121">((X66-F66*3-U66)/2+F66*1.5)/(((X66-F66*3-U66)/2+F66)/(G66/100))</f>
        <v>0.34646739130434784</v>
      </c>
      <c r="P66" s="39">
        <v>5</v>
      </c>
      <c r="Q66" s="39">
        <v>36.5</v>
      </c>
      <c r="R66" s="39">
        <v>12</v>
      </c>
      <c r="S66" s="38">
        <f t="shared" ref="S66:S97" si="122">U66/T66*100</f>
        <v>76.923076923076934</v>
      </c>
      <c r="T66" s="39">
        <v>13</v>
      </c>
      <c r="U66" s="39">
        <v>10</v>
      </c>
      <c r="V66" s="39">
        <f>X67</f>
        <v>53</v>
      </c>
      <c r="W66" s="39">
        <v>18</v>
      </c>
      <c r="X66" s="39">
        <v>61</v>
      </c>
      <c r="Y66" s="39">
        <f>Z66-Z67</f>
        <v>17</v>
      </c>
      <c r="Z66" s="39">
        <f t="shared" ref="Z66:Z97" si="123">W66+N66</f>
        <v>48</v>
      </c>
      <c r="AA66" s="39">
        <f t="shared" ref="AA66:AA97" si="124">X66-V66</f>
        <v>8</v>
      </c>
      <c r="AB66" s="39">
        <v>6</v>
      </c>
      <c r="AC66" s="39">
        <f t="shared" ref="AC66:AC97" si="125">AD66-AE66</f>
        <v>-1</v>
      </c>
      <c r="AD66" s="39">
        <f>AE67</f>
        <v>10</v>
      </c>
      <c r="AE66" s="39">
        <v>11</v>
      </c>
      <c r="AF66" s="46">
        <f t="shared" si="13"/>
        <v>62.188698630136983</v>
      </c>
      <c r="AG66" s="51">
        <f t="shared" ref="AG66" si="126">AVERAGE(AF66,AF67)</f>
        <v>63.712374176946945</v>
      </c>
      <c r="AH66" s="12">
        <f t="shared" si="110"/>
        <v>32.200000000000003</v>
      </c>
      <c r="AI66" s="12">
        <f t="shared" si="110"/>
        <v>6.6</v>
      </c>
      <c r="AJ66" s="12">
        <f t="shared" si="110"/>
        <v>35.1</v>
      </c>
      <c r="AK66" s="12">
        <f t="shared" si="110"/>
        <v>18.100000000000001</v>
      </c>
      <c r="AL66" s="12">
        <f t="shared" si="110"/>
        <v>1.43</v>
      </c>
      <c r="AM66" s="12">
        <f t="shared" si="110"/>
        <v>15.7</v>
      </c>
      <c r="AN66" s="12">
        <f t="shared" si="110"/>
        <v>17.46</v>
      </c>
      <c r="AO66" s="12">
        <f t="shared" si="110"/>
        <v>3.8</v>
      </c>
      <c r="AP66" s="12">
        <f t="shared" si="110"/>
        <v>43.1</v>
      </c>
      <c r="AQ66" s="12">
        <f t="shared" si="110"/>
        <v>26.36</v>
      </c>
      <c r="AR66" s="12">
        <f t="shared" si="111"/>
        <v>0.50700000000000001</v>
      </c>
      <c r="AS66" s="12">
        <f t="shared" si="111"/>
        <v>10.029999999999999</v>
      </c>
      <c r="AT66" s="12">
        <f t="shared" si="111"/>
        <v>46</v>
      </c>
      <c r="AU66" s="12">
        <f t="shared" si="111"/>
        <v>15.9</v>
      </c>
      <c r="AV66" s="12">
        <f t="shared" si="111"/>
        <v>70.900000000000006</v>
      </c>
      <c r="AW66" s="12">
        <f t="shared" si="111"/>
        <v>20.100000000000001</v>
      </c>
      <c r="AX66" s="12">
        <f t="shared" si="111"/>
        <v>14.4</v>
      </c>
      <c r="AY66" s="12">
        <f t="shared" si="111"/>
        <v>69.099999999999994</v>
      </c>
      <c r="AZ66" s="12">
        <f t="shared" si="111"/>
        <v>17.420000000000002</v>
      </c>
      <c r="BA66" s="12">
        <f t="shared" si="111"/>
        <v>75.599999999999994</v>
      </c>
      <c r="BB66" s="12">
        <f t="shared" si="112"/>
        <v>11.2</v>
      </c>
      <c r="BC66" s="12">
        <f t="shared" si="112"/>
        <v>42.28</v>
      </c>
      <c r="BD66" s="12">
        <f t="shared" si="112"/>
        <v>6.8</v>
      </c>
      <c r="BE66" s="12">
        <f t="shared" si="112"/>
        <v>6.2</v>
      </c>
      <c r="BF66" s="12">
        <f t="shared" si="112"/>
        <v>-0.3</v>
      </c>
      <c r="BG66" s="12">
        <f t="shared" si="112"/>
        <v>10.43</v>
      </c>
      <c r="BH66" s="12">
        <f t="shared" si="112"/>
        <v>10.7</v>
      </c>
      <c r="BI66" s="12">
        <f t="shared" si="112"/>
        <v>69</v>
      </c>
      <c r="BJ66" s="12">
        <f t="shared" si="112"/>
        <v>20.7</v>
      </c>
      <c r="BK66" s="12">
        <f t="shared" si="112"/>
        <v>59.347826086956509</v>
      </c>
      <c r="BL66" s="12">
        <f t="shared" si="113"/>
        <v>33.700000000000003</v>
      </c>
      <c r="BM66" s="12">
        <f t="shared" si="113"/>
        <v>6.9</v>
      </c>
      <c r="BN66" s="12">
        <f t="shared" si="113"/>
        <v>34.799999999999997</v>
      </c>
      <c r="BO66" s="12">
        <f t="shared" si="113"/>
        <v>19.8</v>
      </c>
      <c r="BP66" s="12">
        <f t="shared" si="113"/>
        <v>1.37</v>
      </c>
      <c r="BQ66" s="12">
        <f t="shared" si="113"/>
        <v>15</v>
      </c>
      <c r="BR66" s="12">
        <f t="shared" si="113"/>
        <v>16.149999999999999</v>
      </c>
      <c r="BS66" s="12">
        <f t="shared" si="113"/>
        <v>4.2</v>
      </c>
      <c r="BT66" s="12">
        <f t="shared" si="113"/>
        <v>43.6</v>
      </c>
      <c r="BU66" s="12">
        <f t="shared" si="113"/>
        <v>26.64</v>
      </c>
      <c r="BV66" s="12">
        <f t="shared" si="114"/>
        <v>0.51500000000000001</v>
      </c>
      <c r="BW66" s="12">
        <f t="shared" si="114"/>
        <v>12.74</v>
      </c>
      <c r="BX66" s="12">
        <f t="shared" si="114"/>
        <v>46.3</v>
      </c>
      <c r="BY66" s="12">
        <f t="shared" si="114"/>
        <v>14.8</v>
      </c>
      <c r="BZ66" s="12">
        <f t="shared" si="114"/>
        <v>73.599999999999994</v>
      </c>
      <c r="CA66" s="12">
        <f t="shared" si="114"/>
        <v>23.2</v>
      </c>
      <c r="CB66" s="12">
        <f t="shared" si="114"/>
        <v>17.3</v>
      </c>
      <c r="CC66" s="12">
        <f t="shared" si="114"/>
        <v>73.2</v>
      </c>
      <c r="CD66" s="12">
        <f t="shared" si="114"/>
        <v>12.76</v>
      </c>
      <c r="CE66" s="12">
        <f t="shared" si="114"/>
        <v>79.3</v>
      </c>
      <c r="CF66" s="12">
        <f t="shared" si="115"/>
        <v>6.1</v>
      </c>
      <c r="CG66" s="12">
        <f t="shared" si="115"/>
        <v>39.5</v>
      </c>
      <c r="CH66" s="12">
        <f t="shared" si="115"/>
        <v>6.8</v>
      </c>
      <c r="CI66" s="12">
        <f t="shared" si="115"/>
        <v>6.7</v>
      </c>
      <c r="CJ66" s="12">
        <f t="shared" si="115"/>
        <v>0</v>
      </c>
      <c r="CK66" s="12">
        <f t="shared" si="115"/>
        <v>10.59</v>
      </c>
      <c r="CL66" s="12">
        <f t="shared" si="115"/>
        <v>10.7</v>
      </c>
      <c r="CM66" s="12">
        <f t="shared" si="115"/>
        <v>71.2</v>
      </c>
      <c r="CN66" s="12">
        <f t="shared" si="115"/>
        <v>20.65</v>
      </c>
      <c r="CO66" s="12">
        <f t="shared" si="115"/>
        <v>59.503239740820732</v>
      </c>
    </row>
    <row r="67" spans="1:93" x14ac:dyDescent="0.3">
      <c r="A67" s="6" t="s">
        <v>343</v>
      </c>
      <c r="B67" s="3">
        <v>11</v>
      </c>
      <c r="C67" s="13" t="s">
        <v>49</v>
      </c>
      <c r="D67" s="14">
        <v>33</v>
      </c>
      <c r="E67" s="38">
        <f>G66</f>
        <v>31.25</v>
      </c>
      <c r="F67" s="39">
        <v>5</v>
      </c>
      <c r="G67" s="38">
        <f t="shared" si="119"/>
        <v>20.833333333333336</v>
      </c>
      <c r="H67" s="39">
        <v>24</v>
      </c>
      <c r="I67" s="40">
        <f t="shared" si="120"/>
        <v>1.2</v>
      </c>
      <c r="J67" s="39">
        <v>12</v>
      </c>
      <c r="K67" s="39">
        <v>3</v>
      </c>
      <c r="L67" s="39">
        <v>1</v>
      </c>
      <c r="M67" s="39">
        <f>Q66</f>
        <v>36.5</v>
      </c>
      <c r="N67" s="39">
        <v>23</v>
      </c>
      <c r="O67" s="41">
        <f t="shared" si="121"/>
        <v>0.23313492063492067</v>
      </c>
      <c r="P67" s="39">
        <v>12</v>
      </c>
      <c r="Q67" s="39">
        <v>36.200000000000003</v>
      </c>
      <c r="R67" s="39">
        <v>16</v>
      </c>
      <c r="S67" s="38">
        <f t="shared" si="122"/>
        <v>54.54545454545454</v>
      </c>
      <c r="T67" s="39">
        <v>11</v>
      </c>
      <c r="U67" s="39">
        <v>6</v>
      </c>
      <c r="V67" s="39">
        <f>X66</f>
        <v>61</v>
      </c>
      <c r="W67" s="39">
        <v>8</v>
      </c>
      <c r="X67" s="39">
        <v>53</v>
      </c>
      <c r="Y67" s="39">
        <f>Z67-Z66</f>
        <v>-17</v>
      </c>
      <c r="Z67" s="39">
        <f t="shared" si="123"/>
        <v>31</v>
      </c>
      <c r="AA67" s="39">
        <f t="shared" si="124"/>
        <v>-8</v>
      </c>
      <c r="AB67" s="39">
        <v>5</v>
      </c>
      <c r="AC67" s="39">
        <f t="shared" si="125"/>
        <v>1</v>
      </c>
      <c r="AD67" s="39">
        <f>AE66</f>
        <v>11</v>
      </c>
      <c r="AE67" s="39">
        <v>10</v>
      </c>
      <c r="AF67" s="46">
        <f t="shared" ref="AF67:AF130" si="127">(ROUND(((X67-U67-3*F67)/2),0)+F67)/Q67*100-W67+AE67+T67*0.475</f>
        <v>65.236049723756906</v>
      </c>
      <c r="AG67" s="51">
        <f t="shared" ref="AG67" si="128">AVERAGE(AF66,AF67)</f>
        <v>63.712374176946945</v>
      </c>
      <c r="AH67" s="12">
        <f t="shared" si="110"/>
        <v>33.700000000000003</v>
      </c>
      <c r="AI67" s="12">
        <f t="shared" si="110"/>
        <v>6.9</v>
      </c>
      <c r="AJ67" s="12">
        <f t="shared" si="110"/>
        <v>34.799999999999997</v>
      </c>
      <c r="AK67" s="12">
        <f t="shared" si="110"/>
        <v>19.8</v>
      </c>
      <c r="AL67" s="12">
        <f t="shared" si="110"/>
        <v>1.37</v>
      </c>
      <c r="AM67" s="12">
        <f t="shared" si="110"/>
        <v>15</v>
      </c>
      <c r="AN67" s="12">
        <f t="shared" si="110"/>
        <v>16.149999999999999</v>
      </c>
      <c r="AO67" s="12">
        <f t="shared" si="110"/>
        <v>4.2</v>
      </c>
      <c r="AP67" s="12">
        <f t="shared" si="110"/>
        <v>43.6</v>
      </c>
      <c r="AQ67" s="12">
        <f t="shared" si="110"/>
        <v>26.64</v>
      </c>
      <c r="AR67" s="12">
        <f t="shared" si="111"/>
        <v>0.51500000000000001</v>
      </c>
      <c r="AS67" s="12">
        <f t="shared" si="111"/>
        <v>12.74</v>
      </c>
      <c r="AT67" s="12">
        <f t="shared" si="111"/>
        <v>46.3</v>
      </c>
      <c r="AU67" s="12">
        <f t="shared" si="111"/>
        <v>14.8</v>
      </c>
      <c r="AV67" s="12">
        <f t="shared" si="111"/>
        <v>73.599999999999994</v>
      </c>
      <c r="AW67" s="12">
        <f t="shared" si="111"/>
        <v>23.2</v>
      </c>
      <c r="AX67" s="12">
        <f t="shared" si="111"/>
        <v>17.3</v>
      </c>
      <c r="AY67" s="12">
        <f t="shared" si="111"/>
        <v>73.2</v>
      </c>
      <c r="AZ67" s="12">
        <f t="shared" si="111"/>
        <v>12.76</v>
      </c>
      <c r="BA67" s="12">
        <f t="shared" si="111"/>
        <v>79.3</v>
      </c>
      <c r="BB67" s="12">
        <f t="shared" si="112"/>
        <v>6.1</v>
      </c>
      <c r="BC67" s="12">
        <f t="shared" si="112"/>
        <v>39.5</v>
      </c>
      <c r="BD67" s="12">
        <f t="shared" si="112"/>
        <v>6.8</v>
      </c>
      <c r="BE67" s="12">
        <f t="shared" si="112"/>
        <v>6.7</v>
      </c>
      <c r="BF67" s="12">
        <f t="shared" si="112"/>
        <v>0</v>
      </c>
      <c r="BG67" s="12">
        <f t="shared" si="112"/>
        <v>10.59</v>
      </c>
      <c r="BH67" s="12">
        <f t="shared" si="112"/>
        <v>10.7</v>
      </c>
      <c r="BI67" s="12">
        <f t="shared" si="112"/>
        <v>71.2</v>
      </c>
      <c r="BJ67" s="12">
        <f t="shared" si="112"/>
        <v>20.65</v>
      </c>
      <c r="BK67" s="12">
        <f t="shared" si="112"/>
        <v>59.503239740820732</v>
      </c>
      <c r="BL67" s="12">
        <f t="shared" si="113"/>
        <v>32.200000000000003</v>
      </c>
      <c r="BM67" s="12">
        <f t="shared" si="113"/>
        <v>6.6</v>
      </c>
      <c r="BN67" s="12">
        <f t="shared" si="113"/>
        <v>35.1</v>
      </c>
      <c r="BO67" s="12">
        <f t="shared" si="113"/>
        <v>18.100000000000001</v>
      </c>
      <c r="BP67" s="12">
        <f t="shared" si="113"/>
        <v>1.43</v>
      </c>
      <c r="BQ67" s="12">
        <f t="shared" si="113"/>
        <v>15.7</v>
      </c>
      <c r="BR67" s="12">
        <f t="shared" si="113"/>
        <v>17.46</v>
      </c>
      <c r="BS67" s="12">
        <f t="shared" si="113"/>
        <v>3.8</v>
      </c>
      <c r="BT67" s="12">
        <f t="shared" si="113"/>
        <v>43.1</v>
      </c>
      <c r="BU67" s="12">
        <f t="shared" si="113"/>
        <v>26.36</v>
      </c>
      <c r="BV67" s="12">
        <f t="shared" si="114"/>
        <v>0.50700000000000001</v>
      </c>
      <c r="BW67" s="12">
        <f t="shared" si="114"/>
        <v>10.029999999999999</v>
      </c>
      <c r="BX67" s="12">
        <f t="shared" si="114"/>
        <v>46</v>
      </c>
      <c r="BY67" s="12">
        <f t="shared" si="114"/>
        <v>15.9</v>
      </c>
      <c r="BZ67" s="12">
        <f t="shared" si="114"/>
        <v>70.900000000000006</v>
      </c>
      <c r="CA67" s="12">
        <f t="shared" si="114"/>
        <v>20.100000000000001</v>
      </c>
      <c r="CB67" s="12">
        <f t="shared" si="114"/>
        <v>14.4</v>
      </c>
      <c r="CC67" s="12">
        <f t="shared" si="114"/>
        <v>69.099999999999994</v>
      </c>
      <c r="CD67" s="12">
        <f t="shared" si="114"/>
        <v>17.420000000000002</v>
      </c>
      <c r="CE67" s="12">
        <f t="shared" si="114"/>
        <v>75.599999999999994</v>
      </c>
      <c r="CF67" s="12">
        <f t="shared" si="115"/>
        <v>11.2</v>
      </c>
      <c r="CG67" s="12">
        <f t="shared" si="115"/>
        <v>42.28</v>
      </c>
      <c r="CH67" s="12">
        <f t="shared" si="115"/>
        <v>6.8</v>
      </c>
      <c r="CI67" s="12">
        <f t="shared" si="115"/>
        <v>6.2</v>
      </c>
      <c r="CJ67" s="12">
        <f t="shared" si="115"/>
        <v>-0.3</v>
      </c>
      <c r="CK67" s="12">
        <f t="shared" si="115"/>
        <v>10.43</v>
      </c>
      <c r="CL67" s="12">
        <f t="shared" si="115"/>
        <v>10.7</v>
      </c>
      <c r="CM67" s="12">
        <f t="shared" si="115"/>
        <v>69</v>
      </c>
      <c r="CN67" s="12">
        <f t="shared" si="115"/>
        <v>20.7</v>
      </c>
      <c r="CO67" s="12">
        <f t="shared" si="115"/>
        <v>59.347826086956509</v>
      </c>
    </row>
    <row r="68" spans="1:93" x14ac:dyDescent="0.3">
      <c r="A68" s="6" t="s">
        <v>320</v>
      </c>
      <c r="B68" s="3">
        <v>3</v>
      </c>
      <c r="C68" s="13" t="s">
        <v>53</v>
      </c>
      <c r="D68" s="14">
        <v>34</v>
      </c>
      <c r="E68" s="38">
        <f>G69</f>
        <v>28.571428571428569</v>
      </c>
      <c r="F68" s="39">
        <v>4</v>
      </c>
      <c r="G68" s="38">
        <f t="shared" si="119"/>
        <v>26.666666666666668</v>
      </c>
      <c r="H68" s="39">
        <v>15</v>
      </c>
      <c r="I68" s="40">
        <f t="shared" si="120"/>
        <v>1.5</v>
      </c>
      <c r="J68" s="39">
        <v>21</v>
      </c>
      <c r="K68" s="39">
        <v>14</v>
      </c>
      <c r="L68" s="39">
        <v>3</v>
      </c>
      <c r="M68" s="39">
        <f>Q69</f>
        <v>46.3</v>
      </c>
      <c r="N68" s="39">
        <v>23</v>
      </c>
      <c r="O68" s="41">
        <f t="shared" si="121"/>
        <v>0.28333333333333333</v>
      </c>
      <c r="P68" s="39">
        <v>13</v>
      </c>
      <c r="Q68" s="39">
        <v>58.2</v>
      </c>
      <c r="R68" s="39">
        <v>16</v>
      </c>
      <c r="S68" s="38">
        <f t="shared" si="122"/>
        <v>75</v>
      </c>
      <c r="T68" s="39">
        <v>12</v>
      </c>
      <c r="U68" s="39">
        <v>9</v>
      </c>
      <c r="V68" s="39">
        <f>X69</f>
        <v>65</v>
      </c>
      <c r="W68" s="39">
        <v>6</v>
      </c>
      <c r="X68" s="39">
        <v>77</v>
      </c>
      <c r="Y68" s="39">
        <f>Z68-Z69</f>
        <v>2</v>
      </c>
      <c r="Z68" s="39">
        <f t="shared" si="123"/>
        <v>29</v>
      </c>
      <c r="AA68" s="39">
        <f t="shared" si="124"/>
        <v>12</v>
      </c>
      <c r="AB68" s="39">
        <v>9</v>
      </c>
      <c r="AC68" s="39">
        <f t="shared" si="125"/>
        <v>2</v>
      </c>
      <c r="AD68" s="39">
        <f>AE69</f>
        <v>16</v>
      </c>
      <c r="AE68" s="39">
        <v>14</v>
      </c>
      <c r="AF68" s="46">
        <f t="shared" si="127"/>
        <v>68.6828178694158</v>
      </c>
      <c r="AG68" s="51">
        <f t="shared" ref="AG68" si="129">AVERAGE(AF68,AF69)</f>
        <v>69.376749107494078</v>
      </c>
      <c r="AH68" s="12">
        <f t="shared" si="110"/>
        <v>31</v>
      </c>
      <c r="AI68" s="12">
        <f t="shared" si="110"/>
        <v>7.2</v>
      </c>
      <c r="AJ68" s="12">
        <f t="shared" si="110"/>
        <v>34.4</v>
      </c>
      <c r="AK68" s="12">
        <f t="shared" si="110"/>
        <v>22.1</v>
      </c>
      <c r="AL68" s="12">
        <f t="shared" si="110"/>
        <v>1.36</v>
      </c>
      <c r="AM68" s="12">
        <f t="shared" si="110"/>
        <v>18</v>
      </c>
      <c r="AN68" s="12">
        <f t="shared" si="110"/>
        <v>17.079999999999998</v>
      </c>
      <c r="AO68" s="12">
        <f t="shared" si="110"/>
        <v>2.9</v>
      </c>
      <c r="AP68" s="12">
        <f t="shared" si="110"/>
        <v>42.6</v>
      </c>
      <c r="AQ68" s="12">
        <f t="shared" si="110"/>
        <v>25.17</v>
      </c>
      <c r="AR68" s="12">
        <f t="shared" si="111"/>
        <v>0.53100000000000003</v>
      </c>
      <c r="AS68" s="12">
        <f t="shared" si="111"/>
        <v>11.47</v>
      </c>
      <c r="AT68" s="12">
        <f t="shared" si="111"/>
        <v>46.8</v>
      </c>
      <c r="AU68" s="12">
        <f t="shared" si="111"/>
        <v>17.399999999999999</v>
      </c>
      <c r="AV68" s="12">
        <f t="shared" si="111"/>
        <v>75.099999999999994</v>
      </c>
      <c r="AW68" s="12">
        <f t="shared" si="111"/>
        <v>21.9</v>
      </c>
      <c r="AX68" s="12">
        <f t="shared" si="111"/>
        <v>16.8</v>
      </c>
      <c r="AY68" s="12">
        <f t="shared" si="111"/>
        <v>71.3</v>
      </c>
      <c r="AZ68" s="12">
        <f t="shared" si="111"/>
        <v>10.09</v>
      </c>
      <c r="BA68" s="12">
        <f t="shared" si="111"/>
        <v>78.8</v>
      </c>
      <c r="BB68" s="12">
        <f t="shared" si="112"/>
        <v>1.2</v>
      </c>
      <c r="BC68" s="12">
        <f t="shared" si="112"/>
        <v>35.11</v>
      </c>
      <c r="BD68" s="12">
        <f t="shared" si="112"/>
        <v>6.5</v>
      </c>
      <c r="BE68" s="12">
        <f t="shared" si="112"/>
        <v>7.6</v>
      </c>
      <c r="BF68" s="12">
        <f t="shared" si="112"/>
        <v>0.5</v>
      </c>
      <c r="BG68" s="12">
        <f t="shared" si="112"/>
        <v>13.54</v>
      </c>
      <c r="BH68" s="12">
        <f t="shared" si="112"/>
        <v>13</v>
      </c>
      <c r="BI68" s="12">
        <f t="shared" si="112"/>
        <v>73.400000000000006</v>
      </c>
      <c r="BJ68" s="12">
        <f t="shared" si="112"/>
        <v>20.2</v>
      </c>
      <c r="BK68" s="12">
        <f t="shared" si="112"/>
        <v>58.547008547008552</v>
      </c>
      <c r="BL68" s="12">
        <f t="shared" si="113"/>
        <v>33.700000000000003</v>
      </c>
      <c r="BM68" s="12">
        <f t="shared" si="113"/>
        <v>6.5</v>
      </c>
      <c r="BN68" s="12">
        <f t="shared" si="113"/>
        <v>34</v>
      </c>
      <c r="BO68" s="12">
        <f t="shared" si="113"/>
        <v>18.600000000000001</v>
      </c>
      <c r="BP68" s="12">
        <f t="shared" si="113"/>
        <v>1.1499999999999999</v>
      </c>
      <c r="BQ68" s="12">
        <f t="shared" si="113"/>
        <v>12.4</v>
      </c>
      <c r="BR68" s="12">
        <f t="shared" si="113"/>
        <v>25.65</v>
      </c>
      <c r="BS68" s="12">
        <f t="shared" si="113"/>
        <v>3.1</v>
      </c>
      <c r="BT68" s="12">
        <f t="shared" si="113"/>
        <v>43.4</v>
      </c>
      <c r="BU68" s="12">
        <f t="shared" si="113"/>
        <v>25.06</v>
      </c>
      <c r="BV68" s="12">
        <f t="shared" si="114"/>
        <v>0.53600000000000003</v>
      </c>
      <c r="BW68" s="12">
        <f t="shared" si="114"/>
        <v>9.69</v>
      </c>
      <c r="BX68" s="12">
        <f t="shared" si="114"/>
        <v>47.6</v>
      </c>
      <c r="BY68" s="12">
        <f t="shared" si="114"/>
        <v>17.7</v>
      </c>
      <c r="BZ68" s="12">
        <f t="shared" si="114"/>
        <v>75.099999999999994</v>
      </c>
      <c r="CA68" s="12">
        <f t="shared" si="114"/>
        <v>25.1</v>
      </c>
      <c r="CB68" s="12">
        <f t="shared" si="114"/>
        <v>17.899999999999999</v>
      </c>
      <c r="CC68" s="12">
        <f t="shared" si="114"/>
        <v>67.400000000000006</v>
      </c>
      <c r="CD68" s="12">
        <f t="shared" si="114"/>
        <v>8.4</v>
      </c>
      <c r="CE68" s="12">
        <f t="shared" si="114"/>
        <v>75.3</v>
      </c>
      <c r="CF68" s="12">
        <f t="shared" si="115"/>
        <v>3.3</v>
      </c>
      <c r="CG68" s="12">
        <f t="shared" si="115"/>
        <v>33.89</v>
      </c>
      <c r="CH68" s="12">
        <f t="shared" si="115"/>
        <v>7.6</v>
      </c>
      <c r="CI68" s="12">
        <f t="shared" si="115"/>
        <v>6.3</v>
      </c>
      <c r="CJ68" s="12">
        <f t="shared" si="115"/>
        <v>1.2</v>
      </c>
      <c r="CK68" s="12">
        <f t="shared" si="115"/>
        <v>12.22</v>
      </c>
      <c r="CL68" s="12">
        <f t="shared" si="115"/>
        <v>10.9</v>
      </c>
      <c r="CM68" s="12">
        <f t="shared" si="115"/>
        <v>69</v>
      </c>
      <c r="CN68" s="12">
        <f t="shared" si="115"/>
        <v>18.95</v>
      </c>
      <c r="CO68" s="12">
        <f t="shared" si="115"/>
        <v>53.466386554621849</v>
      </c>
    </row>
    <row r="69" spans="1:93" x14ac:dyDescent="0.3">
      <c r="A69" s="6" t="s">
        <v>53</v>
      </c>
      <c r="B69" s="3">
        <v>14</v>
      </c>
      <c r="C69" s="13" t="s">
        <v>320</v>
      </c>
      <c r="D69" s="14">
        <v>34</v>
      </c>
      <c r="E69" s="38">
        <f>G68</f>
        <v>26.666666666666668</v>
      </c>
      <c r="F69" s="39">
        <v>6</v>
      </c>
      <c r="G69" s="38">
        <f t="shared" si="119"/>
        <v>28.571428571428569</v>
      </c>
      <c r="H69" s="39">
        <v>21</v>
      </c>
      <c r="I69" s="40">
        <f t="shared" si="120"/>
        <v>0.875</v>
      </c>
      <c r="J69" s="39">
        <v>14</v>
      </c>
      <c r="K69" s="39">
        <v>8</v>
      </c>
      <c r="L69" s="39">
        <v>3</v>
      </c>
      <c r="M69" s="39">
        <f>Q68</f>
        <v>58.2</v>
      </c>
      <c r="N69" s="39">
        <v>19</v>
      </c>
      <c r="O69" s="41">
        <f t="shared" si="121"/>
        <v>0.32</v>
      </c>
      <c r="P69" s="39">
        <v>8</v>
      </c>
      <c r="Q69" s="39">
        <v>46.3</v>
      </c>
      <c r="R69" s="39">
        <v>13</v>
      </c>
      <c r="S69" s="38">
        <f t="shared" si="122"/>
        <v>52.941176470588239</v>
      </c>
      <c r="T69" s="39">
        <v>17</v>
      </c>
      <c r="U69" s="39">
        <v>9</v>
      </c>
      <c r="V69" s="39">
        <f>X68</f>
        <v>77</v>
      </c>
      <c r="W69" s="39">
        <v>8</v>
      </c>
      <c r="X69" s="39">
        <v>65</v>
      </c>
      <c r="Y69" s="39">
        <f>Z69-Z68</f>
        <v>-2</v>
      </c>
      <c r="Z69" s="39">
        <f t="shared" si="123"/>
        <v>27</v>
      </c>
      <c r="AA69" s="39">
        <f t="shared" si="124"/>
        <v>-12</v>
      </c>
      <c r="AB69" s="39">
        <v>8</v>
      </c>
      <c r="AC69" s="39">
        <f t="shared" si="125"/>
        <v>-2</v>
      </c>
      <c r="AD69" s="39">
        <f>AE68</f>
        <v>14</v>
      </c>
      <c r="AE69" s="39">
        <v>16</v>
      </c>
      <c r="AF69" s="46">
        <f t="shared" si="127"/>
        <v>70.070680345572356</v>
      </c>
      <c r="AG69" s="51">
        <f t="shared" ref="AG69" si="130">AVERAGE(AF68,AF69)</f>
        <v>69.376749107494078</v>
      </c>
      <c r="AH69" s="12">
        <f t="shared" si="110"/>
        <v>33.700000000000003</v>
      </c>
      <c r="AI69" s="12">
        <f t="shared" si="110"/>
        <v>6.5</v>
      </c>
      <c r="AJ69" s="12">
        <f t="shared" si="110"/>
        <v>34</v>
      </c>
      <c r="AK69" s="12">
        <f t="shared" si="110"/>
        <v>18.600000000000001</v>
      </c>
      <c r="AL69" s="12">
        <f t="shared" si="110"/>
        <v>1.1499999999999999</v>
      </c>
      <c r="AM69" s="12">
        <f t="shared" si="110"/>
        <v>12.4</v>
      </c>
      <c r="AN69" s="12">
        <f t="shared" si="110"/>
        <v>25.65</v>
      </c>
      <c r="AO69" s="12">
        <f t="shared" si="110"/>
        <v>3.1</v>
      </c>
      <c r="AP69" s="12">
        <f t="shared" si="110"/>
        <v>43.4</v>
      </c>
      <c r="AQ69" s="12">
        <f t="shared" si="110"/>
        <v>25.06</v>
      </c>
      <c r="AR69" s="12">
        <f t="shared" si="111"/>
        <v>0.53600000000000003</v>
      </c>
      <c r="AS69" s="12">
        <f t="shared" si="111"/>
        <v>9.69</v>
      </c>
      <c r="AT69" s="12">
        <f t="shared" si="111"/>
        <v>47.6</v>
      </c>
      <c r="AU69" s="12">
        <f t="shared" si="111"/>
        <v>17.7</v>
      </c>
      <c r="AV69" s="12">
        <f t="shared" si="111"/>
        <v>75.099999999999994</v>
      </c>
      <c r="AW69" s="12">
        <f t="shared" si="111"/>
        <v>25.1</v>
      </c>
      <c r="AX69" s="12">
        <f t="shared" si="111"/>
        <v>17.899999999999999</v>
      </c>
      <c r="AY69" s="12">
        <f t="shared" si="111"/>
        <v>67.400000000000006</v>
      </c>
      <c r="AZ69" s="12">
        <f t="shared" si="111"/>
        <v>8.4</v>
      </c>
      <c r="BA69" s="12">
        <f t="shared" si="111"/>
        <v>75.3</v>
      </c>
      <c r="BB69" s="12">
        <f t="shared" si="112"/>
        <v>3.3</v>
      </c>
      <c r="BC69" s="12">
        <f t="shared" si="112"/>
        <v>33.89</v>
      </c>
      <c r="BD69" s="12">
        <f t="shared" si="112"/>
        <v>7.6</v>
      </c>
      <c r="BE69" s="12">
        <f t="shared" si="112"/>
        <v>6.3</v>
      </c>
      <c r="BF69" s="12">
        <f t="shared" si="112"/>
        <v>1.2</v>
      </c>
      <c r="BG69" s="12">
        <f t="shared" si="112"/>
        <v>12.22</v>
      </c>
      <c r="BH69" s="12">
        <f t="shared" si="112"/>
        <v>10.9</v>
      </c>
      <c r="BI69" s="12">
        <f t="shared" si="112"/>
        <v>69</v>
      </c>
      <c r="BJ69" s="12">
        <f t="shared" si="112"/>
        <v>18.95</v>
      </c>
      <c r="BK69" s="12">
        <f t="shared" si="112"/>
        <v>53.466386554621849</v>
      </c>
      <c r="BL69" s="12">
        <f t="shared" si="113"/>
        <v>31</v>
      </c>
      <c r="BM69" s="12">
        <f t="shared" si="113"/>
        <v>7.2</v>
      </c>
      <c r="BN69" s="12">
        <f t="shared" si="113"/>
        <v>34.4</v>
      </c>
      <c r="BO69" s="12">
        <f t="shared" si="113"/>
        <v>22.1</v>
      </c>
      <c r="BP69" s="12">
        <f t="shared" si="113"/>
        <v>1.36</v>
      </c>
      <c r="BQ69" s="12">
        <f t="shared" si="113"/>
        <v>18</v>
      </c>
      <c r="BR69" s="12">
        <f t="shared" si="113"/>
        <v>17.079999999999998</v>
      </c>
      <c r="BS69" s="12">
        <f t="shared" si="113"/>
        <v>2.9</v>
      </c>
      <c r="BT69" s="12">
        <f t="shared" si="113"/>
        <v>42.6</v>
      </c>
      <c r="BU69" s="12">
        <f t="shared" si="113"/>
        <v>25.17</v>
      </c>
      <c r="BV69" s="12">
        <f t="shared" si="114"/>
        <v>0.53100000000000003</v>
      </c>
      <c r="BW69" s="12">
        <f t="shared" si="114"/>
        <v>11.47</v>
      </c>
      <c r="BX69" s="12">
        <f t="shared" si="114"/>
        <v>46.8</v>
      </c>
      <c r="BY69" s="12">
        <f t="shared" si="114"/>
        <v>17.399999999999999</v>
      </c>
      <c r="BZ69" s="12">
        <f t="shared" si="114"/>
        <v>75.099999999999994</v>
      </c>
      <c r="CA69" s="12">
        <f t="shared" si="114"/>
        <v>21.9</v>
      </c>
      <c r="CB69" s="12">
        <f t="shared" si="114"/>
        <v>16.8</v>
      </c>
      <c r="CC69" s="12">
        <f t="shared" si="114"/>
        <v>71.3</v>
      </c>
      <c r="CD69" s="12">
        <f t="shared" si="114"/>
        <v>10.09</v>
      </c>
      <c r="CE69" s="12">
        <f t="shared" si="114"/>
        <v>78.8</v>
      </c>
      <c r="CF69" s="12">
        <f t="shared" si="115"/>
        <v>1.2</v>
      </c>
      <c r="CG69" s="12">
        <f t="shared" si="115"/>
        <v>35.11</v>
      </c>
      <c r="CH69" s="12">
        <f t="shared" si="115"/>
        <v>6.5</v>
      </c>
      <c r="CI69" s="12">
        <f t="shared" si="115"/>
        <v>7.6</v>
      </c>
      <c r="CJ69" s="12">
        <f t="shared" si="115"/>
        <v>0.5</v>
      </c>
      <c r="CK69" s="12">
        <f t="shared" si="115"/>
        <v>13.54</v>
      </c>
      <c r="CL69" s="12">
        <f t="shared" si="115"/>
        <v>13</v>
      </c>
      <c r="CM69" s="12">
        <f t="shared" si="115"/>
        <v>73.400000000000006</v>
      </c>
      <c r="CN69" s="12">
        <f t="shared" si="115"/>
        <v>20.2</v>
      </c>
      <c r="CO69" s="12">
        <f t="shared" si="115"/>
        <v>58.547008547008552</v>
      </c>
    </row>
    <row r="70" spans="1:93" x14ac:dyDescent="0.3">
      <c r="A70" s="6" t="s">
        <v>34</v>
      </c>
      <c r="B70" s="3">
        <v>7</v>
      </c>
      <c r="C70" s="13" t="s">
        <v>235</v>
      </c>
      <c r="D70" s="14">
        <v>35</v>
      </c>
      <c r="E70" s="38">
        <f>G71</f>
        <v>35</v>
      </c>
      <c r="F70" s="39">
        <v>5</v>
      </c>
      <c r="G70" s="38">
        <f t="shared" si="119"/>
        <v>35.714285714285715</v>
      </c>
      <c r="H70" s="39">
        <v>14</v>
      </c>
      <c r="I70" s="40">
        <f t="shared" si="120"/>
        <v>1.5714285714285714</v>
      </c>
      <c r="J70" s="39">
        <v>11</v>
      </c>
      <c r="K70" s="39">
        <v>16</v>
      </c>
      <c r="L70" s="39">
        <v>3</v>
      </c>
      <c r="M70" s="39">
        <f>Q71</f>
        <v>41.4</v>
      </c>
      <c r="N70" s="39">
        <v>26</v>
      </c>
      <c r="O70" s="41">
        <f t="shared" si="121"/>
        <v>0.39148351648351648</v>
      </c>
      <c r="P70" s="39">
        <v>8</v>
      </c>
      <c r="Q70" s="39">
        <v>48.1</v>
      </c>
      <c r="R70" s="39">
        <v>10</v>
      </c>
      <c r="S70" s="38">
        <f t="shared" si="122"/>
        <v>60</v>
      </c>
      <c r="T70" s="39">
        <v>25</v>
      </c>
      <c r="U70" s="39">
        <v>15</v>
      </c>
      <c r="V70" s="39">
        <f>X71</f>
        <v>62</v>
      </c>
      <c r="W70" s="39">
        <v>8</v>
      </c>
      <c r="X70" s="39">
        <v>72</v>
      </c>
      <c r="Y70" s="39">
        <f>Z70-Z71</f>
        <v>-2</v>
      </c>
      <c r="Z70" s="39">
        <f t="shared" si="123"/>
        <v>34</v>
      </c>
      <c r="AA70" s="39">
        <f t="shared" si="124"/>
        <v>10</v>
      </c>
      <c r="AB70" s="39">
        <v>7</v>
      </c>
      <c r="AC70" s="39">
        <f t="shared" si="125"/>
        <v>4</v>
      </c>
      <c r="AD70" s="39">
        <f>AE71</f>
        <v>11</v>
      </c>
      <c r="AE70" s="39">
        <v>7</v>
      </c>
      <c r="AF70" s="46">
        <f t="shared" si="127"/>
        <v>64.929054054054063</v>
      </c>
      <c r="AG70" s="51">
        <f t="shared" ref="AG70" si="131">AVERAGE(AF70,AF71)</f>
        <v>64.85003427340385</v>
      </c>
      <c r="AH70" s="12">
        <f t="shared" si="110"/>
        <v>32.1</v>
      </c>
      <c r="AI70" s="12">
        <f t="shared" si="110"/>
        <v>7.6</v>
      </c>
      <c r="AJ70" s="12">
        <f t="shared" si="110"/>
        <v>40.4</v>
      </c>
      <c r="AK70" s="12">
        <f t="shared" si="110"/>
        <v>18.8</v>
      </c>
      <c r="AL70" s="12">
        <f t="shared" si="110"/>
        <v>1.49</v>
      </c>
      <c r="AM70" s="12">
        <f t="shared" si="110"/>
        <v>15.2</v>
      </c>
      <c r="AN70" s="12">
        <f t="shared" si="110"/>
        <v>14.22</v>
      </c>
      <c r="AO70" s="12">
        <f t="shared" si="110"/>
        <v>3.1</v>
      </c>
      <c r="AP70" s="12">
        <f t="shared" si="110"/>
        <v>42.3</v>
      </c>
      <c r="AQ70" s="12">
        <f t="shared" si="110"/>
        <v>27.28</v>
      </c>
      <c r="AR70" s="12">
        <f t="shared" si="111"/>
        <v>0.52200000000000002</v>
      </c>
      <c r="AS70" s="12">
        <f t="shared" si="111"/>
        <v>9.0299999999999994</v>
      </c>
      <c r="AT70" s="12">
        <f t="shared" si="111"/>
        <v>45.5</v>
      </c>
      <c r="AU70" s="12">
        <f t="shared" si="111"/>
        <v>16.3</v>
      </c>
      <c r="AV70" s="12">
        <f t="shared" si="111"/>
        <v>75.7</v>
      </c>
      <c r="AW70" s="12">
        <f t="shared" si="111"/>
        <v>14.8</v>
      </c>
      <c r="AX70" s="12">
        <f t="shared" si="111"/>
        <v>11.7</v>
      </c>
      <c r="AY70" s="12">
        <f t="shared" si="111"/>
        <v>69.599999999999994</v>
      </c>
      <c r="AZ70" s="12">
        <f t="shared" si="111"/>
        <v>9.49</v>
      </c>
      <c r="BA70" s="12">
        <f t="shared" si="111"/>
        <v>73.5</v>
      </c>
      <c r="BB70" s="12">
        <f t="shared" si="112"/>
        <v>4.0999999999999996</v>
      </c>
      <c r="BC70" s="12">
        <f t="shared" si="112"/>
        <v>36.119999999999997</v>
      </c>
      <c r="BD70" s="12">
        <f t="shared" si="112"/>
        <v>0.8</v>
      </c>
      <c r="BE70" s="12">
        <f t="shared" si="112"/>
        <v>4.4000000000000004</v>
      </c>
      <c r="BF70" s="12">
        <f t="shared" si="112"/>
        <v>-0.9</v>
      </c>
      <c r="BG70" s="12">
        <f t="shared" si="112"/>
        <v>9.44</v>
      </c>
      <c r="BH70" s="12">
        <f t="shared" si="112"/>
        <v>10</v>
      </c>
      <c r="BI70" s="12">
        <f t="shared" si="112"/>
        <v>67.900000000000006</v>
      </c>
      <c r="BJ70" s="12">
        <f t="shared" si="112"/>
        <v>19.5</v>
      </c>
      <c r="BK70" s="12">
        <f t="shared" si="112"/>
        <v>59.560439560439562</v>
      </c>
      <c r="BL70" s="12">
        <f t="shared" si="113"/>
        <v>33.200000000000003</v>
      </c>
      <c r="BM70" s="12">
        <f t="shared" si="113"/>
        <v>6.7</v>
      </c>
      <c r="BN70" s="12">
        <f t="shared" si="113"/>
        <v>34.799999999999997</v>
      </c>
      <c r="BO70" s="12">
        <f t="shared" si="113"/>
        <v>18.8</v>
      </c>
      <c r="BP70" s="12">
        <f t="shared" si="113"/>
        <v>1.19</v>
      </c>
      <c r="BQ70" s="12">
        <f t="shared" si="113"/>
        <v>13.4</v>
      </c>
      <c r="BR70" s="12">
        <f t="shared" si="113"/>
        <v>15.8</v>
      </c>
      <c r="BS70" s="12">
        <f t="shared" si="113"/>
        <v>5.3</v>
      </c>
      <c r="BT70" s="12">
        <f t="shared" si="113"/>
        <v>38.9</v>
      </c>
      <c r="BU70" s="12">
        <f t="shared" si="113"/>
        <v>26.41</v>
      </c>
      <c r="BV70" s="12">
        <f t="shared" si="114"/>
        <v>0.51800000000000002</v>
      </c>
      <c r="BW70" s="12">
        <f t="shared" si="114"/>
        <v>10.7</v>
      </c>
      <c r="BX70" s="12">
        <f t="shared" si="114"/>
        <v>46.1</v>
      </c>
      <c r="BY70" s="12">
        <f t="shared" si="114"/>
        <v>17</v>
      </c>
      <c r="BZ70" s="12">
        <f t="shared" si="114"/>
        <v>74.599999999999994</v>
      </c>
      <c r="CA70" s="12">
        <f t="shared" si="114"/>
        <v>19.5</v>
      </c>
      <c r="CB70" s="12">
        <f t="shared" si="114"/>
        <v>15.2</v>
      </c>
      <c r="CC70" s="12">
        <f t="shared" si="114"/>
        <v>68.900000000000006</v>
      </c>
      <c r="CD70" s="12">
        <f t="shared" si="114"/>
        <v>9.8800000000000008</v>
      </c>
      <c r="CE70" s="12">
        <f t="shared" si="114"/>
        <v>74.7</v>
      </c>
      <c r="CF70" s="12">
        <f t="shared" si="115"/>
        <v>0.4</v>
      </c>
      <c r="CG70" s="12">
        <f t="shared" si="115"/>
        <v>35.770000000000003</v>
      </c>
      <c r="CH70" s="12">
        <f t="shared" si="115"/>
        <v>4</v>
      </c>
      <c r="CI70" s="12">
        <f t="shared" si="115"/>
        <v>6.8</v>
      </c>
      <c r="CJ70" s="12">
        <f t="shared" si="115"/>
        <v>0</v>
      </c>
      <c r="CK70" s="12">
        <f t="shared" si="115"/>
        <v>11.23</v>
      </c>
      <c r="CL70" s="12">
        <f t="shared" si="115"/>
        <v>11.7</v>
      </c>
      <c r="CM70" s="12">
        <f t="shared" si="115"/>
        <v>70.5</v>
      </c>
      <c r="CN70" s="12">
        <f t="shared" si="115"/>
        <v>19.7</v>
      </c>
      <c r="CO70" s="12">
        <f t="shared" si="115"/>
        <v>57.266811279826463</v>
      </c>
    </row>
    <row r="71" spans="1:93" x14ac:dyDescent="0.3">
      <c r="A71" s="6" t="s">
        <v>235</v>
      </c>
      <c r="B71" s="3">
        <v>10</v>
      </c>
      <c r="C71" s="13" t="s">
        <v>34</v>
      </c>
      <c r="D71" s="14">
        <v>35</v>
      </c>
      <c r="E71" s="38">
        <f>G70</f>
        <v>35.714285714285715</v>
      </c>
      <c r="F71" s="39">
        <v>7</v>
      </c>
      <c r="G71" s="38">
        <f t="shared" si="119"/>
        <v>35</v>
      </c>
      <c r="H71" s="39">
        <v>20</v>
      </c>
      <c r="I71" s="40">
        <f t="shared" si="120"/>
        <v>1.3636363636363635</v>
      </c>
      <c r="J71" s="39">
        <v>15</v>
      </c>
      <c r="K71" s="39">
        <v>14</v>
      </c>
      <c r="L71" s="39">
        <v>2</v>
      </c>
      <c r="M71" s="39">
        <f>Q70</f>
        <v>48.1</v>
      </c>
      <c r="N71" s="39">
        <v>28</v>
      </c>
      <c r="O71" s="41">
        <f t="shared" si="121"/>
        <v>0.40104166666666669</v>
      </c>
      <c r="P71" s="39">
        <v>0</v>
      </c>
      <c r="Q71" s="39">
        <v>41.4</v>
      </c>
      <c r="R71" s="39">
        <v>18</v>
      </c>
      <c r="S71" s="38">
        <f t="shared" si="122"/>
        <v>87.5</v>
      </c>
      <c r="T71" s="39">
        <v>8</v>
      </c>
      <c r="U71" s="39">
        <v>7</v>
      </c>
      <c r="V71" s="39">
        <f>X70</f>
        <v>72</v>
      </c>
      <c r="W71" s="39">
        <v>8</v>
      </c>
      <c r="X71" s="39">
        <v>62</v>
      </c>
      <c r="Y71" s="39">
        <f>Z71-Z70</f>
        <v>2</v>
      </c>
      <c r="Z71" s="39">
        <f t="shared" si="123"/>
        <v>36</v>
      </c>
      <c r="AA71" s="39">
        <f t="shared" si="124"/>
        <v>-10</v>
      </c>
      <c r="AB71" s="39">
        <v>2</v>
      </c>
      <c r="AC71" s="39">
        <f t="shared" si="125"/>
        <v>-4</v>
      </c>
      <c r="AD71" s="39">
        <f>AE70</f>
        <v>7</v>
      </c>
      <c r="AE71" s="39">
        <v>11</v>
      </c>
      <c r="AF71" s="46">
        <f t="shared" si="127"/>
        <v>64.771014492753622</v>
      </c>
      <c r="AG71" s="51">
        <f t="shared" ref="AG71" si="132">AVERAGE(AF70,AF71)</f>
        <v>64.85003427340385</v>
      </c>
      <c r="AH71" s="12">
        <f t="shared" si="110"/>
        <v>33.200000000000003</v>
      </c>
      <c r="AI71" s="12">
        <f t="shared" si="110"/>
        <v>6.7</v>
      </c>
      <c r="AJ71" s="12">
        <f t="shared" si="110"/>
        <v>34.799999999999997</v>
      </c>
      <c r="AK71" s="12">
        <f t="shared" si="110"/>
        <v>18.8</v>
      </c>
      <c r="AL71" s="12">
        <f t="shared" si="110"/>
        <v>1.19</v>
      </c>
      <c r="AM71" s="12">
        <f t="shared" si="110"/>
        <v>13.4</v>
      </c>
      <c r="AN71" s="12">
        <f t="shared" si="110"/>
        <v>15.8</v>
      </c>
      <c r="AO71" s="12">
        <f t="shared" si="110"/>
        <v>5.3</v>
      </c>
      <c r="AP71" s="12">
        <f t="shared" si="110"/>
        <v>38.9</v>
      </c>
      <c r="AQ71" s="12">
        <f t="shared" si="110"/>
        <v>26.41</v>
      </c>
      <c r="AR71" s="12">
        <f t="shared" si="111"/>
        <v>0.51800000000000002</v>
      </c>
      <c r="AS71" s="12">
        <f t="shared" si="111"/>
        <v>10.7</v>
      </c>
      <c r="AT71" s="12">
        <f t="shared" si="111"/>
        <v>46.1</v>
      </c>
      <c r="AU71" s="12">
        <f t="shared" si="111"/>
        <v>17</v>
      </c>
      <c r="AV71" s="12">
        <f t="shared" si="111"/>
        <v>74.599999999999994</v>
      </c>
      <c r="AW71" s="12">
        <f t="shared" si="111"/>
        <v>19.5</v>
      </c>
      <c r="AX71" s="12">
        <f t="shared" si="111"/>
        <v>15.2</v>
      </c>
      <c r="AY71" s="12">
        <f t="shared" si="111"/>
        <v>68.900000000000006</v>
      </c>
      <c r="AZ71" s="12">
        <f t="shared" si="111"/>
        <v>9.8800000000000008</v>
      </c>
      <c r="BA71" s="12">
        <f t="shared" si="111"/>
        <v>74.7</v>
      </c>
      <c r="BB71" s="12">
        <f t="shared" si="112"/>
        <v>0.4</v>
      </c>
      <c r="BC71" s="12">
        <f t="shared" si="112"/>
        <v>35.770000000000003</v>
      </c>
      <c r="BD71" s="12">
        <f t="shared" si="112"/>
        <v>4</v>
      </c>
      <c r="BE71" s="12">
        <f t="shared" si="112"/>
        <v>6.8</v>
      </c>
      <c r="BF71" s="12">
        <f t="shared" si="112"/>
        <v>0</v>
      </c>
      <c r="BG71" s="12">
        <f t="shared" si="112"/>
        <v>11.23</v>
      </c>
      <c r="BH71" s="12">
        <f t="shared" si="112"/>
        <v>11.7</v>
      </c>
      <c r="BI71" s="12">
        <f t="shared" si="112"/>
        <v>70.5</v>
      </c>
      <c r="BJ71" s="12">
        <f t="shared" si="112"/>
        <v>19.7</v>
      </c>
      <c r="BK71" s="12">
        <f t="shared" si="112"/>
        <v>57.266811279826463</v>
      </c>
      <c r="BL71" s="12">
        <f t="shared" si="113"/>
        <v>32.1</v>
      </c>
      <c r="BM71" s="12">
        <f t="shared" si="113"/>
        <v>7.6</v>
      </c>
      <c r="BN71" s="12">
        <f t="shared" si="113"/>
        <v>40.4</v>
      </c>
      <c r="BO71" s="12">
        <f t="shared" si="113"/>
        <v>18.8</v>
      </c>
      <c r="BP71" s="12">
        <f t="shared" si="113"/>
        <v>1.49</v>
      </c>
      <c r="BQ71" s="12">
        <f t="shared" si="113"/>
        <v>15.2</v>
      </c>
      <c r="BR71" s="12">
        <f t="shared" si="113"/>
        <v>14.22</v>
      </c>
      <c r="BS71" s="12">
        <f t="shared" si="113"/>
        <v>3.1</v>
      </c>
      <c r="BT71" s="12">
        <f t="shared" si="113"/>
        <v>42.3</v>
      </c>
      <c r="BU71" s="12">
        <f t="shared" si="113"/>
        <v>27.28</v>
      </c>
      <c r="BV71" s="12">
        <f t="shared" si="114"/>
        <v>0.52200000000000002</v>
      </c>
      <c r="BW71" s="12">
        <f t="shared" si="114"/>
        <v>9.0299999999999994</v>
      </c>
      <c r="BX71" s="12">
        <f t="shared" si="114"/>
        <v>45.5</v>
      </c>
      <c r="BY71" s="12">
        <f t="shared" si="114"/>
        <v>16.3</v>
      </c>
      <c r="BZ71" s="12">
        <f t="shared" si="114"/>
        <v>75.7</v>
      </c>
      <c r="CA71" s="12">
        <f t="shared" si="114"/>
        <v>14.8</v>
      </c>
      <c r="CB71" s="12">
        <f t="shared" si="114"/>
        <v>11.7</v>
      </c>
      <c r="CC71" s="12">
        <f t="shared" si="114"/>
        <v>69.599999999999994</v>
      </c>
      <c r="CD71" s="12">
        <f t="shared" si="114"/>
        <v>9.49</v>
      </c>
      <c r="CE71" s="12">
        <f t="shared" si="114"/>
        <v>73.5</v>
      </c>
      <c r="CF71" s="12">
        <f t="shared" si="115"/>
        <v>4.0999999999999996</v>
      </c>
      <c r="CG71" s="12">
        <f t="shared" si="115"/>
        <v>36.119999999999997</v>
      </c>
      <c r="CH71" s="12">
        <f t="shared" si="115"/>
        <v>0.8</v>
      </c>
      <c r="CI71" s="12">
        <f t="shared" si="115"/>
        <v>4.4000000000000004</v>
      </c>
      <c r="CJ71" s="12">
        <f t="shared" si="115"/>
        <v>-0.9</v>
      </c>
      <c r="CK71" s="12">
        <f t="shared" si="115"/>
        <v>9.44</v>
      </c>
      <c r="CL71" s="12">
        <f t="shared" si="115"/>
        <v>10</v>
      </c>
      <c r="CM71" s="12">
        <f t="shared" si="115"/>
        <v>67.900000000000006</v>
      </c>
      <c r="CN71" s="12">
        <f t="shared" si="115"/>
        <v>19.5</v>
      </c>
      <c r="CO71" s="12">
        <f t="shared" si="115"/>
        <v>59.560439560439562</v>
      </c>
    </row>
    <row r="72" spans="1:93" x14ac:dyDescent="0.3">
      <c r="A72" s="6" t="s">
        <v>50</v>
      </c>
      <c r="B72" s="3">
        <v>2</v>
      </c>
      <c r="C72" s="13" t="s">
        <v>38</v>
      </c>
      <c r="D72" s="14">
        <v>36</v>
      </c>
      <c r="E72" s="38">
        <f>G73</f>
        <v>32</v>
      </c>
      <c r="F72" s="39">
        <v>10</v>
      </c>
      <c r="G72" s="38">
        <f t="shared" si="119"/>
        <v>50</v>
      </c>
      <c r="H72" s="39">
        <v>20</v>
      </c>
      <c r="I72" s="40">
        <f t="shared" si="120"/>
        <v>3</v>
      </c>
      <c r="J72" s="39">
        <v>15</v>
      </c>
      <c r="K72" s="39">
        <v>16</v>
      </c>
      <c r="L72" s="39">
        <v>1</v>
      </c>
      <c r="M72" s="39">
        <f>Q73</f>
        <v>43.4</v>
      </c>
      <c r="N72" s="39">
        <v>26</v>
      </c>
      <c r="O72" s="41">
        <f t="shared" si="121"/>
        <v>0.58620689655172409</v>
      </c>
      <c r="P72" s="39">
        <v>8</v>
      </c>
      <c r="Q72" s="39">
        <v>51.8</v>
      </c>
      <c r="R72" s="39">
        <v>11</v>
      </c>
      <c r="S72" s="38">
        <f t="shared" si="122"/>
        <v>66.666666666666657</v>
      </c>
      <c r="T72" s="39">
        <v>15</v>
      </c>
      <c r="U72" s="39">
        <v>10</v>
      </c>
      <c r="V72" s="39">
        <f>X73</f>
        <v>61</v>
      </c>
      <c r="W72" s="39">
        <v>5</v>
      </c>
      <c r="X72" s="39">
        <v>78</v>
      </c>
      <c r="Y72" s="39">
        <f>Z72-Z73</f>
        <v>1</v>
      </c>
      <c r="Z72" s="39">
        <f t="shared" si="123"/>
        <v>31</v>
      </c>
      <c r="AA72" s="39">
        <f t="shared" si="124"/>
        <v>17</v>
      </c>
      <c r="AB72" s="39">
        <v>7</v>
      </c>
      <c r="AC72" s="39">
        <f t="shared" si="125"/>
        <v>5</v>
      </c>
      <c r="AD72" s="39">
        <f>AE73</f>
        <v>10</v>
      </c>
      <c r="AE72" s="39">
        <v>5</v>
      </c>
      <c r="AF72" s="46">
        <f t="shared" si="127"/>
        <v>63.109555984555982</v>
      </c>
      <c r="AG72" s="51">
        <f t="shared" ref="AG72" si="133">AVERAGE(AF72,AF73)</f>
        <v>62.927473844812553</v>
      </c>
      <c r="AH72" s="12">
        <f t="shared" ref="AH72:AQ81" si="134">INDEX(ovrTable2,MATCH(INDEX(teamCol2,ROW()),ovrTeamCol2,0),MATCH(MID(INDEX(headerRow2,1,COLUMN()),4,LEN(INDEX(headerRow2,1,COLUMN()))),ovrHeaderRow2,0))</f>
        <v>34</v>
      </c>
      <c r="AI72" s="12">
        <f t="shared" si="134"/>
        <v>8.8000000000000007</v>
      </c>
      <c r="AJ72" s="12">
        <f t="shared" si="134"/>
        <v>35.799999999999997</v>
      </c>
      <c r="AK72" s="12">
        <f t="shared" si="134"/>
        <v>25.1</v>
      </c>
      <c r="AL72" s="12">
        <f t="shared" si="134"/>
        <v>1.73</v>
      </c>
      <c r="AM72" s="12">
        <f t="shared" si="134"/>
        <v>18.5</v>
      </c>
      <c r="AN72" s="12">
        <f t="shared" si="134"/>
        <v>21.47</v>
      </c>
      <c r="AO72" s="12">
        <f t="shared" si="134"/>
        <v>3.1</v>
      </c>
      <c r="AP72" s="12">
        <f t="shared" si="134"/>
        <v>44</v>
      </c>
      <c r="AQ72" s="12">
        <f t="shared" si="134"/>
        <v>23.74</v>
      </c>
      <c r="AR72" s="12">
        <f t="shared" ref="AR72:BA81" si="135">INDEX(ovrTable2,MATCH(INDEX(teamCol2,ROW()),ovrTeamCol2,0),MATCH(MID(INDEX(headerRow2,1,COLUMN()),4,LEN(INDEX(headerRow2,1,COLUMN()))),ovrHeaderRow2,0))</f>
        <v>0.56899999999999995</v>
      </c>
      <c r="AS72" s="12">
        <f t="shared" si="135"/>
        <v>15.42</v>
      </c>
      <c r="AT72" s="12">
        <f t="shared" si="135"/>
        <v>48.8</v>
      </c>
      <c r="AU72" s="12">
        <f t="shared" si="135"/>
        <v>16.100000000000001</v>
      </c>
      <c r="AV72" s="12">
        <f t="shared" si="135"/>
        <v>72</v>
      </c>
      <c r="AW72" s="12">
        <f t="shared" si="135"/>
        <v>16.899999999999999</v>
      </c>
      <c r="AX72" s="12">
        <f t="shared" si="135"/>
        <v>11.7</v>
      </c>
      <c r="AY72" s="12">
        <f t="shared" si="135"/>
        <v>72</v>
      </c>
      <c r="AZ72" s="12">
        <f t="shared" si="135"/>
        <v>8.76</v>
      </c>
      <c r="BA72" s="12">
        <f t="shared" si="135"/>
        <v>82</v>
      </c>
      <c r="BB72" s="12">
        <f t="shared" ref="BB72:BK81" si="136">INDEX(ovrTable2,MATCH(INDEX(teamCol2,ROW()),ovrTeamCol2,0),MATCH(MID(INDEX(headerRow2,1,COLUMN()),4,LEN(INDEX(headerRow2,1,COLUMN()))),ovrHeaderRow2,0))</f>
        <v>-3.1</v>
      </c>
      <c r="BC72" s="12">
        <f t="shared" si="136"/>
        <v>32.56</v>
      </c>
      <c r="BD72" s="12">
        <f t="shared" si="136"/>
        <v>10.5</v>
      </c>
      <c r="BE72" s="12">
        <f t="shared" si="136"/>
        <v>9.9</v>
      </c>
      <c r="BF72" s="12">
        <f t="shared" si="136"/>
        <v>6.7</v>
      </c>
      <c r="BG72" s="12">
        <f t="shared" si="136"/>
        <v>15.81</v>
      </c>
      <c r="BH72" s="12">
        <f t="shared" si="136"/>
        <v>10</v>
      </c>
      <c r="BI72" s="12">
        <f t="shared" si="136"/>
        <v>71.8</v>
      </c>
      <c r="BJ72" s="12">
        <f t="shared" si="136"/>
        <v>21.949999999999996</v>
      </c>
      <c r="BK72" s="12">
        <f t="shared" si="136"/>
        <v>63.01229508196721</v>
      </c>
      <c r="BL72" s="12">
        <f t="shared" ref="BL72:BU81" si="137">INDEX(ovrTable2,MATCH(INDEX(oppCol23,ROW()),ovrTeamCol2,0),MATCH(MID(INDEX(headerRow2,1,COLUMN()),4,LEN(INDEX(headerRow2,1,COLUMN()))),ovrHeaderRow2,0))</f>
        <v>34.6</v>
      </c>
      <c r="BM72" s="12">
        <f t="shared" si="137"/>
        <v>8.6</v>
      </c>
      <c r="BN72" s="12">
        <f t="shared" si="137"/>
        <v>35.799999999999997</v>
      </c>
      <c r="BO72" s="12">
        <f t="shared" si="137"/>
        <v>23.9</v>
      </c>
      <c r="BP72" s="12">
        <f t="shared" si="137"/>
        <v>1.63</v>
      </c>
      <c r="BQ72" s="12">
        <f t="shared" si="137"/>
        <v>13.8</v>
      </c>
      <c r="BR72" s="12">
        <f t="shared" si="137"/>
        <v>23.24</v>
      </c>
      <c r="BS72" s="12">
        <f t="shared" si="137"/>
        <v>3.1</v>
      </c>
      <c r="BT72" s="12">
        <f t="shared" si="137"/>
        <v>44.5</v>
      </c>
      <c r="BU72" s="12">
        <f t="shared" si="137"/>
        <v>25.25</v>
      </c>
      <c r="BV72" s="12">
        <f t="shared" ref="BV72:CE81" si="138">INDEX(ovrTable2,MATCH(INDEX(oppCol23,ROW()),ovrTeamCol2,0),MATCH(MID(INDEX(headerRow2,1,COLUMN()),4,LEN(INDEX(headerRow2,1,COLUMN()))),ovrHeaderRow2,0))</f>
        <v>0.55500000000000005</v>
      </c>
      <c r="BW72" s="12">
        <f t="shared" si="138"/>
        <v>6</v>
      </c>
      <c r="BX72" s="12">
        <f t="shared" si="138"/>
        <v>47.8</v>
      </c>
      <c r="BY72" s="12">
        <f t="shared" si="138"/>
        <v>14.7</v>
      </c>
      <c r="BZ72" s="12">
        <f t="shared" si="138"/>
        <v>70.7</v>
      </c>
      <c r="CA72" s="12">
        <f t="shared" si="138"/>
        <v>16.2</v>
      </c>
      <c r="CB72" s="12">
        <f t="shared" si="138"/>
        <v>11.4</v>
      </c>
      <c r="CC72" s="12">
        <f t="shared" si="138"/>
        <v>67.5</v>
      </c>
      <c r="CD72" s="12">
        <f t="shared" si="138"/>
        <v>7.66</v>
      </c>
      <c r="CE72" s="12">
        <f t="shared" si="138"/>
        <v>74.900000000000006</v>
      </c>
      <c r="CF72" s="12">
        <f t="shared" ref="CF72:CO81" si="139">INDEX(ovrTable2,MATCH(INDEX(oppCol23,ROW()),ovrTeamCol2,0),MATCH(MID(INDEX(headerRow2,1,COLUMN()),4,LEN(INDEX(headerRow2,1,COLUMN()))),ovrHeaderRow2,0))</f>
        <v>-0.1</v>
      </c>
      <c r="CG72" s="12">
        <f t="shared" si="139"/>
        <v>31.41</v>
      </c>
      <c r="CH72" s="12">
        <f t="shared" si="139"/>
        <v>5.7</v>
      </c>
      <c r="CI72" s="12">
        <f t="shared" si="139"/>
        <v>5.9</v>
      </c>
      <c r="CJ72" s="12">
        <f t="shared" si="139"/>
        <v>1.5</v>
      </c>
      <c r="CK72" s="12">
        <f t="shared" si="139"/>
        <v>10.59</v>
      </c>
      <c r="CL72" s="12">
        <f t="shared" si="139"/>
        <v>8.9</v>
      </c>
      <c r="CM72" s="12">
        <f t="shared" si="139"/>
        <v>67</v>
      </c>
      <c r="CN72" s="12">
        <f t="shared" si="139"/>
        <v>18.850000000000005</v>
      </c>
      <c r="CO72" s="12">
        <f t="shared" si="139"/>
        <v>57.426778242677834</v>
      </c>
    </row>
    <row r="73" spans="1:93" x14ac:dyDescent="0.3">
      <c r="A73" s="6" t="s">
        <v>38</v>
      </c>
      <c r="B73" s="3">
        <v>15</v>
      </c>
      <c r="C73" s="13" t="s">
        <v>50</v>
      </c>
      <c r="D73" s="14">
        <v>36</v>
      </c>
      <c r="E73" s="38">
        <f>G72</f>
        <v>50</v>
      </c>
      <c r="F73" s="39">
        <v>8</v>
      </c>
      <c r="G73" s="38">
        <f t="shared" si="119"/>
        <v>32</v>
      </c>
      <c r="H73" s="39">
        <v>25</v>
      </c>
      <c r="I73" s="40">
        <f t="shared" si="120"/>
        <v>1.5</v>
      </c>
      <c r="J73" s="39">
        <v>15</v>
      </c>
      <c r="K73" s="39">
        <v>16</v>
      </c>
      <c r="L73" s="39">
        <v>1</v>
      </c>
      <c r="M73" s="39">
        <f>Q72</f>
        <v>51.8</v>
      </c>
      <c r="N73" s="39">
        <v>25</v>
      </c>
      <c r="O73" s="41">
        <f t="shared" si="121"/>
        <v>0.37565217391304345</v>
      </c>
      <c r="P73" s="39">
        <v>4</v>
      </c>
      <c r="Q73" s="39">
        <v>43.4</v>
      </c>
      <c r="R73" s="39">
        <v>14</v>
      </c>
      <c r="S73" s="38">
        <f t="shared" si="122"/>
        <v>70</v>
      </c>
      <c r="T73" s="39">
        <v>10</v>
      </c>
      <c r="U73" s="39">
        <v>7</v>
      </c>
      <c r="V73" s="39">
        <f>X72</f>
        <v>78</v>
      </c>
      <c r="W73" s="39">
        <v>5</v>
      </c>
      <c r="X73" s="39">
        <v>61</v>
      </c>
      <c r="Y73" s="39">
        <f>Z73-Z72</f>
        <v>-1</v>
      </c>
      <c r="Z73" s="39">
        <f t="shared" si="123"/>
        <v>30</v>
      </c>
      <c r="AA73" s="39">
        <f t="shared" si="124"/>
        <v>-17</v>
      </c>
      <c r="AB73" s="39">
        <v>3</v>
      </c>
      <c r="AC73" s="39">
        <f t="shared" si="125"/>
        <v>-5</v>
      </c>
      <c r="AD73" s="39">
        <f>AE72</f>
        <v>5</v>
      </c>
      <c r="AE73" s="39">
        <v>10</v>
      </c>
      <c r="AF73" s="46">
        <f t="shared" si="127"/>
        <v>62.745391705069125</v>
      </c>
      <c r="AG73" s="51">
        <f t="shared" ref="AG73" si="140">AVERAGE(AF72,AF73)</f>
        <v>62.927473844812553</v>
      </c>
      <c r="AH73" s="12">
        <f t="shared" si="134"/>
        <v>34.6</v>
      </c>
      <c r="AI73" s="12">
        <f t="shared" si="134"/>
        <v>8.6</v>
      </c>
      <c r="AJ73" s="12">
        <f t="shared" si="134"/>
        <v>35.799999999999997</v>
      </c>
      <c r="AK73" s="12">
        <f t="shared" si="134"/>
        <v>23.9</v>
      </c>
      <c r="AL73" s="12">
        <f t="shared" si="134"/>
        <v>1.63</v>
      </c>
      <c r="AM73" s="12">
        <f t="shared" si="134"/>
        <v>13.8</v>
      </c>
      <c r="AN73" s="12">
        <f t="shared" si="134"/>
        <v>23.24</v>
      </c>
      <c r="AO73" s="12">
        <f t="shared" si="134"/>
        <v>3.1</v>
      </c>
      <c r="AP73" s="12">
        <f t="shared" si="134"/>
        <v>44.5</v>
      </c>
      <c r="AQ73" s="12">
        <f t="shared" si="134"/>
        <v>25.25</v>
      </c>
      <c r="AR73" s="12">
        <f t="shared" si="135"/>
        <v>0.55500000000000005</v>
      </c>
      <c r="AS73" s="12">
        <f t="shared" si="135"/>
        <v>6</v>
      </c>
      <c r="AT73" s="12">
        <f t="shared" si="135"/>
        <v>47.8</v>
      </c>
      <c r="AU73" s="12">
        <f t="shared" si="135"/>
        <v>14.7</v>
      </c>
      <c r="AV73" s="12">
        <f t="shared" si="135"/>
        <v>70.7</v>
      </c>
      <c r="AW73" s="12">
        <f t="shared" si="135"/>
        <v>16.2</v>
      </c>
      <c r="AX73" s="12">
        <f t="shared" si="135"/>
        <v>11.4</v>
      </c>
      <c r="AY73" s="12">
        <f t="shared" si="135"/>
        <v>67.5</v>
      </c>
      <c r="AZ73" s="12">
        <f t="shared" si="135"/>
        <v>7.66</v>
      </c>
      <c r="BA73" s="12">
        <f t="shared" si="135"/>
        <v>74.900000000000006</v>
      </c>
      <c r="BB73" s="12">
        <f t="shared" si="136"/>
        <v>-0.1</v>
      </c>
      <c r="BC73" s="12">
        <f t="shared" si="136"/>
        <v>31.41</v>
      </c>
      <c r="BD73" s="12">
        <f t="shared" si="136"/>
        <v>5.7</v>
      </c>
      <c r="BE73" s="12">
        <f t="shared" si="136"/>
        <v>5.9</v>
      </c>
      <c r="BF73" s="12">
        <f t="shared" si="136"/>
        <v>1.5</v>
      </c>
      <c r="BG73" s="12">
        <f t="shared" si="136"/>
        <v>10.59</v>
      </c>
      <c r="BH73" s="12">
        <f t="shared" si="136"/>
        <v>8.9</v>
      </c>
      <c r="BI73" s="12">
        <f t="shared" si="136"/>
        <v>67</v>
      </c>
      <c r="BJ73" s="12">
        <f t="shared" si="136"/>
        <v>18.850000000000005</v>
      </c>
      <c r="BK73" s="12">
        <f t="shared" si="136"/>
        <v>57.426778242677834</v>
      </c>
      <c r="BL73" s="12">
        <f t="shared" si="137"/>
        <v>34</v>
      </c>
      <c r="BM73" s="12">
        <f t="shared" si="137"/>
        <v>8.8000000000000007</v>
      </c>
      <c r="BN73" s="12">
        <f t="shared" si="137"/>
        <v>35.799999999999997</v>
      </c>
      <c r="BO73" s="12">
        <f t="shared" si="137"/>
        <v>25.1</v>
      </c>
      <c r="BP73" s="12">
        <f t="shared" si="137"/>
        <v>1.73</v>
      </c>
      <c r="BQ73" s="12">
        <f t="shared" si="137"/>
        <v>18.5</v>
      </c>
      <c r="BR73" s="12">
        <f t="shared" si="137"/>
        <v>21.47</v>
      </c>
      <c r="BS73" s="12">
        <f t="shared" si="137"/>
        <v>3.1</v>
      </c>
      <c r="BT73" s="12">
        <f t="shared" si="137"/>
        <v>44</v>
      </c>
      <c r="BU73" s="12">
        <f t="shared" si="137"/>
        <v>23.74</v>
      </c>
      <c r="BV73" s="12">
        <f t="shared" si="138"/>
        <v>0.56899999999999995</v>
      </c>
      <c r="BW73" s="12">
        <f t="shared" si="138"/>
        <v>15.42</v>
      </c>
      <c r="BX73" s="12">
        <f t="shared" si="138"/>
        <v>48.8</v>
      </c>
      <c r="BY73" s="12">
        <f t="shared" si="138"/>
        <v>16.100000000000001</v>
      </c>
      <c r="BZ73" s="12">
        <f t="shared" si="138"/>
        <v>72</v>
      </c>
      <c r="CA73" s="12">
        <f t="shared" si="138"/>
        <v>16.899999999999999</v>
      </c>
      <c r="CB73" s="12">
        <f t="shared" si="138"/>
        <v>11.7</v>
      </c>
      <c r="CC73" s="12">
        <f t="shared" si="138"/>
        <v>72</v>
      </c>
      <c r="CD73" s="12">
        <f t="shared" si="138"/>
        <v>8.76</v>
      </c>
      <c r="CE73" s="12">
        <f t="shared" si="138"/>
        <v>82</v>
      </c>
      <c r="CF73" s="12">
        <f t="shared" si="139"/>
        <v>-3.1</v>
      </c>
      <c r="CG73" s="12">
        <f t="shared" si="139"/>
        <v>32.56</v>
      </c>
      <c r="CH73" s="12">
        <f t="shared" si="139"/>
        <v>10.5</v>
      </c>
      <c r="CI73" s="12">
        <f t="shared" si="139"/>
        <v>9.9</v>
      </c>
      <c r="CJ73" s="12">
        <f t="shared" si="139"/>
        <v>6.7</v>
      </c>
      <c r="CK73" s="12">
        <f t="shared" si="139"/>
        <v>15.81</v>
      </c>
      <c r="CL73" s="12">
        <f t="shared" si="139"/>
        <v>10</v>
      </c>
      <c r="CM73" s="12">
        <f t="shared" si="139"/>
        <v>71.8</v>
      </c>
      <c r="CN73" s="12">
        <f t="shared" si="139"/>
        <v>21.949999999999996</v>
      </c>
      <c r="CO73" s="12">
        <f t="shared" si="139"/>
        <v>63.01229508196721</v>
      </c>
    </row>
    <row r="74" spans="1:93" x14ac:dyDescent="0.3">
      <c r="A74" s="6" t="s">
        <v>21</v>
      </c>
      <c r="B74" s="3">
        <v>1</v>
      </c>
      <c r="C74" s="13" t="s">
        <v>372</v>
      </c>
      <c r="D74" s="14">
        <v>37</v>
      </c>
      <c r="E74" s="38">
        <f>G75</f>
        <v>12.5</v>
      </c>
      <c r="F74" s="39">
        <v>6</v>
      </c>
      <c r="G74" s="38">
        <f t="shared" si="119"/>
        <v>28.571428571428569</v>
      </c>
      <c r="H74" s="39">
        <v>21</v>
      </c>
      <c r="I74" s="40">
        <f t="shared" si="120"/>
        <v>0.63636363636363635</v>
      </c>
      <c r="J74" s="39">
        <v>7</v>
      </c>
      <c r="K74" s="39">
        <v>11</v>
      </c>
      <c r="L74" s="39">
        <v>4</v>
      </c>
      <c r="M74" s="39">
        <f>Q75</f>
        <v>35.200000000000003</v>
      </c>
      <c r="N74" s="39">
        <v>29</v>
      </c>
      <c r="O74" s="41">
        <f t="shared" si="121"/>
        <v>0.32298136645962733</v>
      </c>
      <c r="P74" s="39">
        <v>8</v>
      </c>
      <c r="Q74" s="39">
        <v>39.700000000000003</v>
      </c>
      <c r="R74" s="39">
        <v>18</v>
      </c>
      <c r="S74" s="38">
        <f t="shared" si="122"/>
        <v>75</v>
      </c>
      <c r="T74" s="39">
        <v>28</v>
      </c>
      <c r="U74" s="39">
        <v>21</v>
      </c>
      <c r="V74" s="39">
        <f>X75</f>
        <v>51</v>
      </c>
      <c r="W74" s="39">
        <v>15</v>
      </c>
      <c r="X74" s="39">
        <v>73</v>
      </c>
      <c r="Y74" s="39">
        <f>Z74-Z75</f>
        <v>12</v>
      </c>
      <c r="Z74" s="39">
        <f t="shared" si="123"/>
        <v>44</v>
      </c>
      <c r="AA74" s="39">
        <f t="shared" si="124"/>
        <v>22</v>
      </c>
      <c r="AB74" s="39">
        <v>9</v>
      </c>
      <c r="AC74" s="39">
        <f t="shared" si="125"/>
        <v>2</v>
      </c>
      <c r="AD74" s="39">
        <f>AE75</f>
        <v>13</v>
      </c>
      <c r="AE74" s="39">
        <v>11</v>
      </c>
      <c r="AF74" s="46">
        <f t="shared" si="127"/>
        <v>67.234508816120893</v>
      </c>
      <c r="AG74" s="51">
        <f t="shared" ref="AG74" si="141">AVERAGE(AF74,AF75)</f>
        <v>67.093390771696804</v>
      </c>
      <c r="AH74" s="12">
        <f t="shared" si="134"/>
        <v>29.9</v>
      </c>
      <c r="AI74" s="12">
        <f t="shared" si="134"/>
        <v>10.5</v>
      </c>
      <c r="AJ74" s="12">
        <f t="shared" si="134"/>
        <v>33.9</v>
      </c>
      <c r="AK74" s="12">
        <f t="shared" si="134"/>
        <v>30.6</v>
      </c>
      <c r="AL74" s="12">
        <f t="shared" si="134"/>
        <v>1.17</v>
      </c>
      <c r="AM74" s="12">
        <f t="shared" si="134"/>
        <v>15.6</v>
      </c>
      <c r="AN74" s="12">
        <f t="shared" si="134"/>
        <v>32.61</v>
      </c>
      <c r="AO74" s="12">
        <f t="shared" si="134"/>
        <v>5.4</v>
      </c>
      <c r="AP74" s="12">
        <f t="shared" si="134"/>
        <v>38.6</v>
      </c>
      <c r="AQ74" s="12">
        <f t="shared" si="134"/>
        <v>29.71</v>
      </c>
      <c r="AR74" s="12">
        <f t="shared" si="135"/>
        <v>0.52800000000000002</v>
      </c>
      <c r="AS74" s="12">
        <f t="shared" si="135"/>
        <v>13.91</v>
      </c>
      <c r="AT74" s="12">
        <f t="shared" si="135"/>
        <v>44.4</v>
      </c>
      <c r="AU74" s="12">
        <f t="shared" si="135"/>
        <v>18.3</v>
      </c>
      <c r="AV74" s="12">
        <f t="shared" si="135"/>
        <v>72.099999999999994</v>
      </c>
      <c r="AW74" s="12">
        <f t="shared" si="135"/>
        <v>24.2</v>
      </c>
      <c r="AX74" s="12">
        <f t="shared" si="135"/>
        <v>17.399999999999999</v>
      </c>
      <c r="AY74" s="12">
        <f t="shared" si="135"/>
        <v>69.900000000000006</v>
      </c>
      <c r="AZ74" s="12">
        <f t="shared" si="135"/>
        <v>13.43</v>
      </c>
      <c r="BA74" s="12">
        <f t="shared" si="135"/>
        <v>86.1</v>
      </c>
      <c r="BB74" s="12">
        <f t="shared" si="136"/>
        <v>8.6999999999999993</v>
      </c>
      <c r="BC74" s="12">
        <f t="shared" si="136"/>
        <v>42.81</v>
      </c>
      <c r="BD74" s="12">
        <f t="shared" si="136"/>
        <v>15.9</v>
      </c>
      <c r="BE74" s="12">
        <f t="shared" si="136"/>
        <v>6</v>
      </c>
      <c r="BF74" s="12">
        <f t="shared" si="136"/>
        <v>-3.2</v>
      </c>
      <c r="BG74" s="12">
        <f t="shared" si="136"/>
        <v>10.85</v>
      </c>
      <c r="BH74" s="12">
        <f t="shared" si="136"/>
        <v>13</v>
      </c>
      <c r="BI74" s="12">
        <f t="shared" si="136"/>
        <v>76.2</v>
      </c>
      <c r="BJ74" s="12">
        <f t="shared" si="136"/>
        <v>18.599999999999994</v>
      </c>
      <c r="BK74" s="12">
        <f t="shared" si="136"/>
        <v>65.540540540540533</v>
      </c>
      <c r="BL74" s="12">
        <f t="shared" si="137"/>
        <v>32</v>
      </c>
      <c r="BM74" s="12">
        <f t="shared" si="137"/>
        <v>6.9</v>
      </c>
      <c r="BN74" s="12">
        <f t="shared" si="137"/>
        <v>33.6</v>
      </c>
      <c r="BO74" s="12">
        <f t="shared" si="137"/>
        <v>21.6</v>
      </c>
      <c r="BP74" s="12">
        <f t="shared" si="137"/>
        <v>1.1499999999999999</v>
      </c>
      <c r="BQ74" s="12">
        <f t="shared" si="137"/>
        <v>10.6</v>
      </c>
      <c r="BR74" s="12">
        <f t="shared" si="137"/>
        <v>14.19</v>
      </c>
      <c r="BS74" s="12">
        <f t="shared" si="137"/>
        <v>3.8</v>
      </c>
      <c r="BT74" s="12">
        <f t="shared" si="137"/>
        <v>43</v>
      </c>
      <c r="BU74" s="12">
        <f t="shared" si="137"/>
        <v>23.79</v>
      </c>
      <c r="BV74" s="12">
        <f t="shared" si="138"/>
        <v>0.50900000000000001</v>
      </c>
      <c r="BW74" s="12">
        <f t="shared" si="138"/>
        <v>8.76</v>
      </c>
      <c r="BX74" s="12">
        <f t="shared" si="138"/>
        <v>44.9</v>
      </c>
      <c r="BY74" s="12">
        <f t="shared" si="138"/>
        <v>15.8</v>
      </c>
      <c r="BZ74" s="12">
        <f t="shared" si="138"/>
        <v>72.3</v>
      </c>
      <c r="CA74" s="12">
        <f t="shared" si="138"/>
        <v>19.5</v>
      </c>
      <c r="CB74" s="12">
        <f t="shared" si="138"/>
        <v>14.8</v>
      </c>
      <c r="CC74" s="12">
        <f t="shared" si="138"/>
        <v>66.099999999999994</v>
      </c>
      <c r="CD74" s="12">
        <f t="shared" si="138"/>
        <v>10.06</v>
      </c>
      <c r="CE74" s="12">
        <f t="shared" si="138"/>
        <v>71.599999999999994</v>
      </c>
      <c r="CF74" s="12">
        <f t="shared" si="139"/>
        <v>1.9</v>
      </c>
      <c r="CG74" s="12">
        <f t="shared" si="139"/>
        <v>34.340000000000003</v>
      </c>
      <c r="CH74" s="12">
        <f t="shared" si="139"/>
        <v>6.4</v>
      </c>
      <c r="CI74" s="12">
        <f t="shared" si="139"/>
        <v>5.8</v>
      </c>
      <c r="CJ74" s="12">
        <f t="shared" si="139"/>
        <v>0.5</v>
      </c>
      <c r="CK74" s="12">
        <f t="shared" si="139"/>
        <v>11.12</v>
      </c>
      <c r="CL74" s="12">
        <f t="shared" si="139"/>
        <v>9.9</v>
      </c>
      <c r="CM74" s="12">
        <f t="shared" si="139"/>
        <v>66</v>
      </c>
      <c r="CN74" s="12">
        <f t="shared" si="139"/>
        <v>18.049999999999997</v>
      </c>
      <c r="CO74" s="12">
        <f t="shared" si="139"/>
        <v>55.567928730512243</v>
      </c>
    </row>
    <row r="75" spans="1:93" x14ac:dyDescent="0.3">
      <c r="A75" s="6" t="s">
        <v>372</v>
      </c>
      <c r="B75" s="3">
        <v>8</v>
      </c>
      <c r="C75" s="13" t="s">
        <v>21</v>
      </c>
      <c r="D75" s="14">
        <v>37</v>
      </c>
      <c r="E75" s="38">
        <f>G74</f>
        <v>28.571428571428569</v>
      </c>
      <c r="F75" s="39">
        <v>1</v>
      </c>
      <c r="G75" s="38">
        <f t="shared" si="119"/>
        <v>12.5</v>
      </c>
      <c r="H75" s="39">
        <v>8</v>
      </c>
      <c r="I75" s="40">
        <f t="shared" si="120"/>
        <v>0.46153846153846156</v>
      </c>
      <c r="J75" s="39">
        <v>6</v>
      </c>
      <c r="K75" s="39">
        <v>13</v>
      </c>
      <c r="L75" s="39">
        <v>5</v>
      </c>
      <c r="M75" s="39">
        <f>Q74</f>
        <v>39.700000000000003</v>
      </c>
      <c r="N75" s="39">
        <v>22</v>
      </c>
      <c r="O75" s="41">
        <f t="shared" si="121"/>
        <v>0.12828947368421054</v>
      </c>
      <c r="P75" s="39">
        <v>9</v>
      </c>
      <c r="Q75" s="39">
        <v>35.200000000000003</v>
      </c>
      <c r="R75" s="39">
        <v>18</v>
      </c>
      <c r="S75" s="38">
        <f t="shared" si="122"/>
        <v>57.142857142857139</v>
      </c>
      <c r="T75" s="39">
        <v>21</v>
      </c>
      <c r="U75" s="39">
        <v>12</v>
      </c>
      <c r="V75" s="39">
        <f>X74</f>
        <v>73</v>
      </c>
      <c r="W75" s="39">
        <v>10</v>
      </c>
      <c r="X75" s="39">
        <v>51</v>
      </c>
      <c r="Y75" s="39">
        <f>Z75-Z74</f>
        <v>-12</v>
      </c>
      <c r="Z75" s="39">
        <f t="shared" si="123"/>
        <v>32</v>
      </c>
      <c r="AA75" s="39">
        <f t="shared" si="124"/>
        <v>-22</v>
      </c>
      <c r="AB75" s="39">
        <v>7</v>
      </c>
      <c r="AC75" s="39">
        <f t="shared" si="125"/>
        <v>-2</v>
      </c>
      <c r="AD75" s="39">
        <f>AE74</f>
        <v>11</v>
      </c>
      <c r="AE75" s="39">
        <v>13</v>
      </c>
      <c r="AF75" s="46">
        <f t="shared" si="127"/>
        <v>66.952272727272714</v>
      </c>
      <c r="AG75" s="51">
        <f t="shared" ref="AG75" si="142">AVERAGE(AF74,AF75)</f>
        <v>67.093390771696804</v>
      </c>
      <c r="AH75" s="12">
        <f t="shared" si="134"/>
        <v>32</v>
      </c>
      <c r="AI75" s="12">
        <f t="shared" si="134"/>
        <v>6.9</v>
      </c>
      <c r="AJ75" s="12">
        <f t="shared" si="134"/>
        <v>33.6</v>
      </c>
      <c r="AK75" s="12">
        <f t="shared" si="134"/>
        <v>21.6</v>
      </c>
      <c r="AL75" s="12">
        <f t="shared" si="134"/>
        <v>1.1499999999999999</v>
      </c>
      <c r="AM75" s="12">
        <f t="shared" si="134"/>
        <v>10.6</v>
      </c>
      <c r="AN75" s="12">
        <f t="shared" si="134"/>
        <v>14.19</v>
      </c>
      <c r="AO75" s="12">
        <f t="shared" si="134"/>
        <v>3.8</v>
      </c>
      <c r="AP75" s="12">
        <f t="shared" si="134"/>
        <v>43</v>
      </c>
      <c r="AQ75" s="12">
        <f t="shared" si="134"/>
        <v>23.79</v>
      </c>
      <c r="AR75" s="12">
        <f t="shared" si="135"/>
        <v>0.50900000000000001</v>
      </c>
      <c r="AS75" s="12">
        <f t="shared" si="135"/>
        <v>8.76</v>
      </c>
      <c r="AT75" s="12">
        <f t="shared" si="135"/>
        <v>44.9</v>
      </c>
      <c r="AU75" s="12">
        <f t="shared" si="135"/>
        <v>15.8</v>
      </c>
      <c r="AV75" s="12">
        <f t="shared" si="135"/>
        <v>72.3</v>
      </c>
      <c r="AW75" s="12">
        <f t="shared" si="135"/>
        <v>19.5</v>
      </c>
      <c r="AX75" s="12">
        <f t="shared" si="135"/>
        <v>14.8</v>
      </c>
      <c r="AY75" s="12">
        <f t="shared" si="135"/>
        <v>66.099999999999994</v>
      </c>
      <c r="AZ75" s="12">
        <f t="shared" si="135"/>
        <v>10.06</v>
      </c>
      <c r="BA75" s="12">
        <f t="shared" si="135"/>
        <v>71.599999999999994</v>
      </c>
      <c r="BB75" s="12">
        <f t="shared" si="136"/>
        <v>1.9</v>
      </c>
      <c r="BC75" s="12">
        <f t="shared" si="136"/>
        <v>34.340000000000003</v>
      </c>
      <c r="BD75" s="12">
        <f t="shared" si="136"/>
        <v>6.4</v>
      </c>
      <c r="BE75" s="12">
        <f t="shared" si="136"/>
        <v>5.8</v>
      </c>
      <c r="BF75" s="12">
        <f t="shared" si="136"/>
        <v>0.5</v>
      </c>
      <c r="BG75" s="12">
        <f t="shared" si="136"/>
        <v>11.12</v>
      </c>
      <c r="BH75" s="12">
        <f t="shared" si="136"/>
        <v>9.9</v>
      </c>
      <c r="BI75" s="12">
        <f t="shared" si="136"/>
        <v>66</v>
      </c>
      <c r="BJ75" s="12">
        <f t="shared" si="136"/>
        <v>18.049999999999997</v>
      </c>
      <c r="BK75" s="12">
        <f t="shared" si="136"/>
        <v>55.567928730512243</v>
      </c>
      <c r="BL75" s="12">
        <f t="shared" si="137"/>
        <v>29.9</v>
      </c>
      <c r="BM75" s="12">
        <f t="shared" si="137"/>
        <v>10.5</v>
      </c>
      <c r="BN75" s="12">
        <f t="shared" si="137"/>
        <v>33.9</v>
      </c>
      <c r="BO75" s="12">
        <f t="shared" si="137"/>
        <v>30.6</v>
      </c>
      <c r="BP75" s="12">
        <f t="shared" si="137"/>
        <v>1.17</v>
      </c>
      <c r="BQ75" s="12">
        <f t="shared" si="137"/>
        <v>15.6</v>
      </c>
      <c r="BR75" s="12">
        <f t="shared" si="137"/>
        <v>32.61</v>
      </c>
      <c r="BS75" s="12">
        <f t="shared" si="137"/>
        <v>5.4</v>
      </c>
      <c r="BT75" s="12">
        <f t="shared" si="137"/>
        <v>38.6</v>
      </c>
      <c r="BU75" s="12">
        <f t="shared" si="137"/>
        <v>29.71</v>
      </c>
      <c r="BV75" s="12">
        <f t="shared" si="138"/>
        <v>0.52800000000000002</v>
      </c>
      <c r="BW75" s="12">
        <f t="shared" si="138"/>
        <v>13.91</v>
      </c>
      <c r="BX75" s="12">
        <f t="shared" si="138"/>
        <v>44.4</v>
      </c>
      <c r="BY75" s="12">
        <f t="shared" si="138"/>
        <v>18.3</v>
      </c>
      <c r="BZ75" s="12">
        <f t="shared" si="138"/>
        <v>72.099999999999994</v>
      </c>
      <c r="CA75" s="12">
        <f t="shared" si="138"/>
        <v>24.2</v>
      </c>
      <c r="CB75" s="12">
        <f t="shared" si="138"/>
        <v>17.399999999999999</v>
      </c>
      <c r="CC75" s="12">
        <f t="shared" si="138"/>
        <v>69.900000000000006</v>
      </c>
      <c r="CD75" s="12">
        <f t="shared" si="138"/>
        <v>13.43</v>
      </c>
      <c r="CE75" s="12">
        <f t="shared" si="138"/>
        <v>86.1</v>
      </c>
      <c r="CF75" s="12">
        <f t="shared" si="139"/>
        <v>8.6999999999999993</v>
      </c>
      <c r="CG75" s="12">
        <f t="shared" si="139"/>
        <v>42.81</v>
      </c>
      <c r="CH75" s="12">
        <f t="shared" si="139"/>
        <v>15.9</v>
      </c>
      <c r="CI75" s="12">
        <f t="shared" si="139"/>
        <v>6</v>
      </c>
      <c r="CJ75" s="12">
        <f t="shared" si="139"/>
        <v>-3.2</v>
      </c>
      <c r="CK75" s="12">
        <f t="shared" si="139"/>
        <v>10.85</v>
      </c>
      <c r="CL75" s="12">
        <f t="shared" si="139"/>
        <v>13</v>
      </c>
      <c r="CM75" s="12">
        <f t="shared" si="139"/>
        <v>76.2</v>
      </c>
      <c r="CN75" s="12">
        <f t="shared" si="139"/>
        <v>18.599999999999994</v>
      </c>
      <c r="CO75" s="12">
        <f t="shared" si="139"/>
        <v>65.540540540540533</v>
      </c>
    </row>
    <row r="76" spans="1:93" x14ac:dyDescent="0.3">
      <c r="A76" s="6" t="s">
        <v>6</v>
      </c>
      <c r="B76" s="3">
        <v>5</v>
      </c>
      <c r="C76" s="13" t="s">
        <v>409</v>
      </c>
      <c r="D76" s="14">
        <v>38</v>
      </c>
      <c r="E76" s="38">
        <f>G77</f>
        <v>23.076923076923077</v>
      </c>
      <c r="F76" s="39">
        <v>6</v>
      </c>
      <c r="G76" s="38">
        <f t="shared" si="119"/>
        <v>30</v>
      </c>
      <c r="H76" s="39">
        <v>20</v>
      </c>
      <c r="I76" s="40">
        <f t="shared" si="120"/>
        <v>1.7</v>
      </c>
      <c r="J76" s="39">
        <v>17</v>
      </c>
      <c r="K76" s="39">
        <v>27</v>
      </c>
      <c r="L76" s="39">
        <v>6</v>
      </c>
      <c r="M76" s="39">
        <f>Q77</f>
        <v>32</v>
      </c>
      <c r="N76" s="39">
        <v>31</v>
      </c>
      <c r="O76" s="41">
        <f t="shared" si="121"/>
        <v>0.33103448275862069</v>
      </c>
      <c r="P76" s="39">
        <v>11</v>
      </c>
      <c r="Q76" s="39">
        <v>50</v>
      </c>
      <c r="R76" s="39">
        <v>18</v>
      </c>
      <c r="S76" s="38">
        <f t="shared" si="122"/>
        <v>78.571428571428569</v>
      </c>
      <c r="T76" s="39">
        <v>14</v>
      </c>
      <c r="U76" s="39">
        <v>11</v>
      </c>
      <c r="V76" s="39">
        <f>X77</f>
        <v>52</v>
      </c>
      <c r="W76" s="39">
        <v>10</v>
      </c>
      <c r="X76" s="39">
        <v>75</v>
      </c>
      <c r="Y76" s="39">
        <f>Z76-Z77</f>
        <v>17</v>
      </c>
      <c r="Z76" s="39">
        <f t="shared" si="123"/>
        <v>41</v>
      </c>
      <c r="AA76" s="39">
        <f t="shared" si="124"/>
        <v>23</v>
      </c>
      <c r="AB76" s="39">
        <v>5</v>
      </c>
      <c r="AC76" s="39">
        <f t="shared" si="125"/>
        <v>-1</v>
      </c>
      <c r="AD76" s="39">
        <f>AE77</f>
        <v>9</v>
      </c>
      <c r="AE76" s="39">
        <v>10</v>
      </c>
      <c r="AF76" s="46">
        <f t="shared" si="127"/>
        <v>64.649999999999991</v>
      </c>
      <c r="AG76" s="51">
        <f t="shared" ref="AG76" si="143">AVERAGE(AF76,AF77)</f>
        <v>63.099999999999994</v>
      </c>
      <c r="AH76" s="12">
        <f t="shared" si="134"/>
        <v>30</v>
      </c>
      <c r="AI76" s="12">
        <f t="shared" si="134"/>
        <v>7.1</v>
      </c>
      <c r="AJ76" s="12">
        <f t="shared" si="134"/>
        <v>35.200000000000003</v>
      </c>
      <c r="AK76" s="12">
        <f t="shared" si="134"/>
        <v>20.399999999999999</v>
      </c>
      <c r="AL76" s="12">
        <f t="shared" si="134"/>
        <v>1.26</v>
      </c>
      <c r="AM76" s="12">
        <f t="shared" si="134"/>
        <v>13.1</v>
      </c>
      <c r="AN76" s="12">
        <f t="shared" si="134"/>
        <v>30.06</v>
      </c>
      <c r="AO76" s="12">
        <f t="shared" si="134"/>
        <v>3.9</v>
      </c>
      <c r="AP76" s="12">
        <f t="shared" si="134"/>
        <v>41.4</v>
      </c>
      <c r="AQ76" s="12">
        <f t="shared" si="134"/>
        <v>25.67</v>
      </c>
      <c r="AR76" s="12">
        <f t="shared" si="135"/>
        <v>0.501</v>
      </c>
      <c r="AS76" s="12">
        <f t="shared" si="135"/>
        <v>8</v>
      </c>
      <c r="AT76" s="12">
        <f t="shared" si="135"/>
        <v>44</v>
      </c>
      <c r="AU76" s="12">
        <f t="shared" si="135"/>
        <v>16.3</v>
      </c>
      <c r="AV76" s="12">
        <f t="shared" si="135"/>
        <v>72</v>
      </c>
      <c r="AW76" s="12">
        <f t="shared" si="135"/>
        <v>19.5</v>
      </c>
      <c r="AX76" s="12">
        <f t="shared" si="135"/>
        <v>14.6</v>
      </c>
      <c r="AY76" s="12">
        <f t="shared" si="135"/>
        <v>64.099999999999994</v>
      </c>
      <c r="AZ76" s="12">
        <f t="shared" si="135"/>
        <v>11.24</v>
      </c>
      <c r="BA76" s="12">
        <f t="shared" si="135"/>
        <v>73.599999999999994</v>
      </c>
      <c r="BB76" s="12">
        <f t="shared" si="136"/>
        <v>4.7</v>
      </c>
      <c r="BC76" s="12">
        <f t="shared" si="136"/>
        <v>37.65</v>
      </c>
      <c r="BD76" s="12">
        <f t="shared" si="136"/>
        <v>8.6</v>
      </c>
      <c r="BE76" s="12">
        <f t="shared" si="136"/>
        <v>6.6</v>
      </c>
      <c r="BF76" s="12">
        <f t="shared" si="136"/>
        <v>0.6</v>
      </c>
      <c r="BG76" s="12">
        <f t="shared" si="136"/>
        <v>11.54</v>
      </c>
      <c r="BH76" s="12">
        <f t="shared" si="136"/>
        <v>10.6</v>
      </c>
      <c r="BI76" s="12">
        <f t="shared" si="136"/>
        <v>68.3</v>
      </c>
      <c r="BJ76" s="12">
        <f t="shared" si="136"/>
        <v>18.849999999999998</v>
      </c>
      <c r="BK76" s="12">
        <f t="shared" si="136"/>
        <v>58.97727272727272</v>
      </c>
      <c r="BL76" s="12">
        <f t="shared" si="137"/>
        <v>32.6</v>
      </c>
      <c r="BM76" s="12">
        <f t="shared" si="137"/>
        <v>9.4</v>
      </c>
      <c r="BN76" s="12">
        <f t="shared" si="137"/>
        <v>34.5</v>
      </c>
      <c r="BO76" s="12">
        <f t="shared" si="137"/>
        <v>29.1</v>
      </c>
      <c r="BP76" s="12">
        <f t="shared" si="137"/>
        <v>1.64</v>
      </c>
      <c r="BQ76" s="12">
        <f t="shared" si="137"/>
        <v>17.5</v>
      </c>
      <c r="BR76" s="12">
        <f t="shared" si="137"/>
        <v>18.86</v>
      </c>
      <c r="BS76" s="12">
        <f t="shared" si="137"/>
        <v>3.4</v>
      </c>
      <c r="BT76" s="12">
        <f t="shared" si="137"/>
        <v>44.4</v>
      </c>
      <c r="BU76" s="12">
        <f t="shared" si="137"/>
        <v>25.63</v>
      </c>
      <c r="BV76" s="12">
        <f t="shared" si="138"/>
        <v>0.56299999999999994</v>
      </c>
      <c r="BW76" s="12">
        <f t="shared" si="138"/>
        <v>11.78</v>
      </c>
      <c r="BX76" s="12">
        <f t="shared" si="138"/>
        <v>48.4</v>
      </c>
      <c r="BY76" s="12">
        <f t="shared" si="138"/>
        <v>16.600000000000001</v>
      </c>
      <c r="BZ76" s="12">
        <f t="shared" si="138"/>
        <v>73.3</v>
      </c>
      <c r="CA76" s="12">
        <f t="shared" si="138"/>
        <v>20.8</v>
      </c>
      <c r="CB76" s="12">
        <f t="shared" si="138"/>
        <v>15.7</v>
      </c>
      <c r="CC76" s="12">
        <f t="shared" si="138"/>
        <v>73.3</v>
      </c>
      <c r="CD76" s="12">
        <f t="shared" si="138"/>
        <v>9.9700000000000006</v>
      </c>
      <c r="CE76" s="12">
        <f t="shared" si="138"/>
        <v>84.5</v>
      </c>
      <c r="CF76" s="12">
        <f t="shared" si="139"/>
        <v>2.8</v>
      </c>
      <c r="CG76" s="12">
        <f t="shared" si="139"/>
        <v>35.57</v>
      </c>
      <c r="CH76" s="12">
        <f t="shared" si="139"/>
        <v>11.4</v>
      </c>
      <c r="CI76" s="12">
        <f t="shared" si="139"/>
        <v>6.5</v>
      </c>
      <c r="CJ76" s="12">
        <f t="shared" si="139"/>
        <v>1.4</v>
      </c>
      <c r="CK76" s="12">
        <f t="shared" si="139"/>
        <v>11.83</v>
      </c>
      <c r="CL76" s="12">
        <f t="shared" si="139"/>
        <v>10.1</v>
      </c>
      <c r="CM76" s="12">
        <f t="shared" si="139"/>
        <v>70.400000000000006</v>
      </c>
      <c r="CN76" s="12">
        <f t="shared" si="139"/>
        <v>20.299999999999997</v>
      </c>
      <c r="CO76" s="12">
        <f t="shared" si="139"/>
        <v>61.363636363636353</v>
      </c>
    </row>
    <row r="77" spans="1:93" x14ac:dyDescent="0.3">
      <c r="A77" s="6" t="s">
        <v>409</v>
      </c>
      <c r="B77" s="3">
        <v>13</v>
      </c>
      <c r="C77" s="13" t="s">
        <v>6</v>
      </c>
      <c r="D77" s="14">
        <v>38</v>
      </c>
      <c r="E77" s="38">
        <f>G76</f>
        <v>30</v>
      </c>
      <c r="F77" s="39">
        <v>6</v>
      </c>
      <c r="G77" s="38">
        <f t="shared" si="119"/>
        <v>23.076923076923077</v>
      </c>
      <c r="H77" s="39">
        <v>26</v>
      </c>
      <c r="I77" s="40">
        <f t="shared" si="120"/>
        <v>0.77777777777777779</v>
      </c>
      <c r="J77" s="39">
        <v>7</v>
      </c>
      <c r="K77" s="39">
        <v>11</v>
      </c>
      <c r="L77" s="39">
        <v>3</v>
      </c>
      <c r="M77" s="39">
        <f>Q76</f>
        <v>50</v>
      </c>
      <c r="N77" s="39">
        <v>18</v>
      </c>
      <c r="O77" s="41">
        <f t="shared" si="121"/>
        <v>0.27403846153846151</v>
      </c>
      <c r="P77" s="39">
        <v>10</v>
      </c>
      <c r="Q77" s="39">
        <v>32</v>
      </c>
      <c r="R77" s="39">
        <v>17</v>
      </c>
      <c r="S77" s="38">
        <f t="shared" si="122"/>
        <v>77.777777777777786</v>
      </c>
      <c r="T77" s="39">
        <v>18</v>
      </c>
      <c r="U77" s="39">
        <v>14</v>
      </c>
      <c r="V77" s="39">
        <f>X76</f>
        <v>75</v>
      </c>
      <c r="W77" s="39">
        <v>6</v>
      </c>
      <c r="X77" s="39">
        <v>52</v>
      </c>
      <c r="Y77" s="39">
        <f>Z77-Z76</f>
        <v>-17</v>
      </c>
      <c r="Z77" s="39">
        <f t="shared" si="123"/>
        <v>24</v>
      </c>
      <c r="AA77" s="39">
        <f t="shared" si="124"/>
        <v>-23</v>
      </c>
      <c r="AB77" s="39">
        <v>3</v>
      </c>
      <c r="AC77" s="39">
        <f t="shared" si="125"/>
        <v>1</v>
      </c>
      <c r="AD77" s="39">
        <f>AE76</f>
        <v>10</v>
      </c>
      <c r="AE77" s="39">
        <v>9</v>
      </c>
      <c r="AF77" s="46">
        <f t="shared" si="127"/>
        <v>61.55</v>
      </c>
      <c r="AG77" s="51">
        <f t="shared" ref="AG77" si="144">AVERAGE(AF76,AF77)</f>
        <v>63.099999999999994</v>
      </c>
      <c r="AH77" s="12">
        <f t="shared" si="134"/>
        <v>32.6</v>
      </c>
      <c r="AI77" s="12">
        <f t="shared" si="134"/>
        <v>9.4</v>
      </c>
      <c r="AJ77" s="12">
        <f t="shared" si="134"/>
        <v>34.5</v>
      </c>
      <c r="AK77" s="12">
        <f t="shared" si="134"/>
        <v>29.1</v>
      </c>
      <c r="AL77" s="12">
        <f t="shared" si="134"/>
        <v>1.64</v>
      </c>
      <c r="AM77" s="12">
        <f t="shared" si="134"/>
        <v>17.5</v>
      </c>
      <c r="AN77" s="12">
        <f t="shared" si="134"/>
        <v>18.86</v>
      </c>
      <c r="AO77" s="12">
        <f t="shared" si="134"/>
        <v>3.4</v>
      </c>
      <c r="AP77" s="12">
        <f t="shared" si="134"/>
        <v>44.4</v>
      </c>
      <c r="AQ77" s="12">
        <f t="shared" si="134"/>
        <v>25.63</v>
      </c>
      <c r="AR77" s="12">
        <f t="shared" si="135"/>
        <v>0.56299999999999994</v>
      </c>
      <c r="AS77" s="12">
        <f t="shared" si="135"/>
        <v>11.78</v>
      </c>
      <c r="AT77" s="12">
        <f t="shared" si="135"/>
        <v>48.4</v>
      </c>
      <c r="AU77" s="12">
        <f t="shared" si="135"/>
        <v>16.600000000000001</v>
      </c>
      <c r="AV77" s="12">
        <f t="shared" si="135"/>
        <v>73.3</v>
      </c>
      <c r="AW77" s="12">
        <f t="shared" si="135"/>
        <v>20.8</v>
      </c>
      <c r="AX77" s="12">
        <f t="shared" si="135"/>
        <v>15.7</v>
      </c>
      <c r="AY77" s="12">
        <f t="shared" si="135"/>
        <v>73.3</v>
      </c>
      <c r="AZ77" s="12">
        <f t="shared" si="135"/>
        <v>9.9700000000000006</v>
      </c>
      <c r="BA77" s="12">
        <f t="shared" si="135"/>
        <v>84.5</v>
      </c>
      <c r="BB77" s="12">
        <f t="shared" si="136"/>
        <v>2.8</v>
      </c>
      <c r="BC77" s="12">
        <f t="shared" si="136"/>
        <v>35.57</v>
      </c>
      <c r="BD77" s="12">
        <f t="shared" si="136"/>
        <v>11.4</v>
      </c>
      <c r="BE77" s="12">
        <f t="shared" si="136"/>
        <v>6.5</v>
      </c>
      <c r="BF77" s="12">
        <f t="shared" si="136"/>
        <v>1.4</v>
      </c>
      <c r="BG77" s="12">
        <f t="shared" si="136"/>
        <v>11.83</v>
      </c>
      <c r="BH77" s="12">
        <f t="shared" si="136"/>
        <v>10.1</v>
      </c>
      <c r="BI77" s="12">
        <f t="shared" si="136"/>
        <v>70.400000000000006</v>
      </c>
      <c r="BJ77" s="12">
        <f t="shared" si="136"/>
        <v>20.299999999999997</v>
      </c>
      <c r="BK77" s="12">
        <f t="shared" si="136"/>
        <v>61.363636363636353</v>
      </c>
      <c r="BL77" s="12">
        <f t="shared" si="137"/>
        <v>30</v>
      </c>
      <c r="BM77" s="12">
        <f t="shared" si="137"/>
        <v>7.1</v>
      </c>
      <c r="BN77" s="12">
        <f t="shared" si="137"/>
        <v>35.200000000000003</v>
      </c>
      <c r="BO77" s="12">
        <f t="shared" si="137"/>
        <v>20.399999999999999</v>
      </c>
      <c r="BP77" s="12">
        <f t="shared" si="137"/>
        <v>1.26</v>
      </c>
      <c r="BQ77" s="12">
        <f t="shared" si="137"/>
        <v>13.1</v>
      </c>
      <c r="BR77" s="12">
        <f t="shared" si="137"/>
        <v>30.06</v>
      </c>
      <c r="BS77" s="12">
        <f t="shared" si="137"/>
        <v>3.9</v>
      </c>
      <c r="BT77" s="12">
        <f t="shared" si="137"/>
        <v>41.4</v>
      </c>
      <c r="BU77" s="12">
        <f t="shared" si="137"/>
        <v>25.67</v>
      </c>
      <c r="BV77" s="12">
        <f t="shared" si="138"/>
        <v>0.501</v>
      </c>
      <c r="BW77" s="12">
        <f t="shared" si="138"/>
        <v>8</v>
      </c>
      <c r="BX77" s="12">
        <f t="shared" si="138"/>
        <v>44</v>
      </c>
      <c r="BY77" s="12">
        <f t="shared" si="138"/>
        <v>16.3</v>
      </c>
      <c r="BZ77" s="12">
        <f t="shared" si="138"/>
        <v>72</v>
      </c>
      <c r="CA77" s="12">
        <f t="shared" si="138"/>
        <v>19.5</v>
      </c>
      <c r="CB77" s="12">
        <f t="shared" si="138"/>
        <v>14.6</v>
      </c>
      <c r="CC77" s="12">
        <f t="shared" si="138"/>
        <v>64.099999999999994</v>
      </c>
      <c r="CD77" s="12">
        <f t="shared" si="138"/>
        <v>11.24</v>
      </c>
      <c r="CE77" s="12">
        <f t="shared" si="138"/>
        <v>73.599999999999994</v>
      </c>
      <c r="CF77" s="12">
        <f t="shared" si="139"/>
        <v>4.7</v>
      </c>
      <c r="CG77" s="12">
        <f t="shared" si="139"/>
        <v>37.65</v>
      </c>
      <c r="CH77" s="12">
        <f t="shared" si="139"/>
        <v>8.6</v>
      </c>
      <c r="CI77" s="12">
        <f t="shared" si="139"/>
        <v>6.6</v>
      </c>
      <c r="CJ77" s="12">
        <f t="shared" si="139"/>
        <v>0.6</v>
      </c>
      <c r="CK77" s="12">
        <f t="shared" si="139"/>
        <v>11.54</v>
      </c>
      <c r="CL77" s="12">
        <f t="shared" si="139"/>
        <v>10.6</v>
      </c>
      <c r="CM77" s="12">
        <f t="shared" si="139"/>
        <v>68.3</v>
      </c>
      <c r="CN77" s="12">
        <f t="shared" si="139"/>
        <v>18.849999999999998</v>
      </c>
      <c r="CO77" s="12">
        <f t="shared" si="139"/>
        <v>58.97727272727272</v>
      </c>
    </row>
    <row r="78" spans="1:93" x14ac:dyDescent="0.3">
      <c r="A78" s="6" t="s">
        <v>20</v>
      </c>
      <c r="B78" s="3">
        <v>3</v>
      </c>
      <c r="C78" s="13" t="s">
        <v>56</v>
      </c>
      <c r="D78" s="14">
        <v>39</v>
      </c>
      <c r="E78" s="38">
        <f>G79</f>
        <v>45.833333333333329</v>
      </c>
      <c r="F78" s="39">
        <v>5</v>
      </c>
      <c r="G78" s="38">
        <f t="shared" si="119"/>
        <v>22.727272727272727</v>
      </c>
      <c r="H78" s="39">
        <v>22</v>
      </c>
      <c r="I78" s="40">
        <f t="shared" si="120"/>
        <v>0.5</v>
      </c>
      <c r="J78" s="39">
        <v>5</v>
      </c>
      <c r="K78" s="39">
        <v>6</v>
      </c>
      <c r="L78" s="39">
        <v>5</v>
      </c>
      <c r="M78" s="39">
        <f>Q79</f>
        <v>47.3</v>
      </c>
      <c r="N78" s="39">
        <v>18</v>
      </c>
      <c r="O78" s="41">
        <f t="shared" si="121"/>
        <v>0.24686520376175547</v>
      </c>
      <c r="P78" s="39">
        <v>7</v>
      </c>
      <c r="Q78" s="39">
        <v>46</v>
      </c>
      <c r="R78" s="39">
        <v>21</v>
      </c>
      <c r="S78" s="38">
        <f t="shared" si="122"/>
        <v>68.421052631578945</v>
      </c>
      <c r="T78" s="39">
        <v>19</v>
      </c>
      <c r="U78" s="39">
        <v>13</v>
      </c>
      <c r="V78" s="39">
        <f>X79</f>
        <v>85</v>
      </c>
      <c r="W78" s="39">
        <v>11</v>
      </c>
      <c r="X78" s="39">
        <v>76</v>
      </c>
      <c r="Y78" s="39">
        <f>Z78-Z79</f>
        <v>-5</v>
      </c>
      <c r="Z78" s="39">
        <f t="shared" si="123"/>
        <v>29</v>
      </c>
      <c r="AA78" s="39">
        <f t="shared" si="124"/>
        <v>-9</v>
      </c>
      <c r="AB78" s="39">
        <v>5</v>
      </c>
      <c r="AC78" s="39">
        <f t="shared" si="125"/>
        <v>4</v>
      </c>
      <c r="AD78" s="39">
        <f>AE79</f>
        <v>14</v>
      </c>
      <c r="AE78" s="39">
        <v>10</v>
      </c>
      <c r="AF78" s="46">
        <f t="shared" si="127"/>
        <v>71.068478260869568</v>
      </c>
      <c r="AG78" s="51">
        <f t="shared" ref="AG78" si="145">AVERAGE(AF78,AF79)</f>
        <v>70.243382893648317</v>
      </c>
      <c r="AH78" s="12">
        <f t="shared" si="134"/>
        <v>32.200000000000003</v>
      </c>
      <c r="AI78" s="12">
        <f t="shared" si="134"/>
        <v>9.9</v>
      </c>
      <c r="AJ78" s="12">
        <f t="shared" si="134"/>
        <v>36.6</v>
      </c>
      <c r="AK78" s="12">
        <f t="shared" si="134"/>
        <v>25.4</v>
      </c>
      <c r="AL78" s="12">
        <f t="shared" si="134"/>
        <v>1.3</v>
      </c>
      <c r="AM78" s="12">
        <f t="shared" si="134"/>
        <v>14.7</v>
      </c>
      <c r="AN78" s="12">
        <f t="shared" si="134"/>
        <v>17.3</v>
      </c>
      <c r="AO78" s="12">
        <f t="shared" si="134"/>
        <v>2.4</v>
      </c>
      <c r="AP78" s="12">
        <f t="shared" si="134"/>
        <v>45.1</v>
      </c>
      <c r="AQ78" s="12">
        <f t="shared" si="134"/>
        <v>23.27</v>
      </c>
      <c r="AR78" s="12">
        <f t="shared" si="135"/>
        <v>0.54400000000000004</v>
      </c>
      <c r="AS78" s="12">
        <f t="shared" si="135"/>
        <v>9.74</v>
      </c>
      <c r="AT78" s="12">
        <f t="shared" si="135"/>
        <v>45.1</v>
      </c>
      <c r="AU78" s="12">
        <f t="shared" si="135"/>
        <v>17.100000000000001</v>
      </c>
      <c r="AV78" s="12">
        <f t="shared" si="135"/>
        <v>74.3</v>
      </c>
      <c r="AW78" s="12">
        <f t="shared" si="135"/>
        <v>22.6</v>
      </c>
      <c r="AX78" s="12">
        <f t="shared" si="135"/>
        <v>17.3</v>
      </c>
      <c r="AY78" s="12">
        <f t="shared" si="135"/>
        <v>71.8</v>
      </c>
      <c r="AZ78" s="12">
        <f t="shared" si="135"/>
        <v>11.77</v>
      </c>
      <c r="BA78" s="12">
        <f t="shared" si="135"/>
        <v>79.099999999999994</v>
      </c>
      <c r="BB78" s="12">
        <f t="shared" si="136"/>
        <v>3.1</v>
      </c>
      <c r="BC78" s="12">
        <f t="shared" si="136"/>
        <v>34.71</v>
      </c>
      <c r="BD78" s="12">
        <f t="shared" si="136"/>
        <v>7.2</v>
      </c>
      <c r="BE78" s="12">
        <f t="shared" si="136"/>
        <v>6.3</v>
      </c>
      <c r="BF78" s="12">
        <f t="shared" si="136"/>
        <v>0.7</v>
      </c>
      <c r="BG78" s="12">
        <f t="shared" si="136"/>
        <v>11.91</v>
      </c>
      <c r="BH78" s="12">
        <f t="shared" si="136"/>
        <v>11.3</v>
      </c>
      <c r="BI78" s="12">
        <f t="shared" si="136"/>
        <v>69.7</v>
      </c>
      <c r="BJ78" s="12">
        <f t="shared" si="136"/>
        <v>16.049999999999997</v>
      </c>
      <c r="BK78" s="12">
        <f t="shared" si="136"/>
        <v>57.538802660753866</v>
      </c>
      <c r="BL78" s="12">
        <f t="shared" si="137"/>
        <v>33.5</v>
      </c>
      <c r="BM78" s="12">
        <f t="shared" si="137"/>
        <v>8.8000000000000007</v>
      </c>
      <c r="BN78" s="12">
        <f t="shared" si="137"/>
        <v>35.799999999999997</v>
      </c>
      <c r="BO78" s="12">
        <f t="shared" si="137"/>
        <v>24.5</v>
      </c>
      <c r="BP78" s="12">
        <f t="shared" si="137"/>
        <v>1.49</v>
      </c>
      <c r="BQ78" s="12">
        <f t="shared" si="137"/>
        <v>16</v>
      </c>
      <c r="BR78" s="12">
        <f t="shared" si="137"/>
        <v>10.76</v>
      </c>
      <c r="BS78" s="12">
        <f t="shared" si="137"/>
        <v>4.0999999999999996</v>
      </c>
      <c r="BT78" s="12">
        <f t="shared" si="137"/>
        <v>42.2</v>
      </c>
      <c r="BU78" s="12">
        <f t="shared" si="137"/>
        <v>28.86</v>
      </c>
      <c r="BV78" s="12">
        <f t="shared" si="138"/>
        <v>0.54700000000000004</v>
      </c>
      <c r="BW78" s="12">
        <f t="shared" si="138"/>
        <v>8.7100000000000009</v>
      </c>
      <c r="BX78" s="12">
        <f t="shared" si="138"/>
        <v>47.6</v>
      </c>
      <c r="BY78" s="12">
        <f t="shared" si="138"/>
        <v>13.5</v>
      </c>
      <c r="BZ78" s="12">
        <f t="shared" si="138"/>
        <v>78</v>
      </c>
      <c r="CA78" s="12">
        <f t="shared" si="138"/>
        <v>16.899999999999999</v>
      </c>
      <c r="CB78" s="12">
        <f t="shared" si="138"/>
        <v>13.6</v>
      </c>
      <c r="CC78" s="12">
        <f t="shared" si="138"/>
        <v>69.900000000000006</v>
      </c>
      <c r="CD78" s="12">
        <f t="shared" si="138"/>
        <v>8.24</v>
      </c>
      <c r="CE78" s="12">
        <f t="shared" si="138"/>
        <v>79</v>
      </c>
      <c r="CF78" s="12">
        <f t="shared" si="139"/>
        <v>4.5</v>
      </c>
      <c r="CG78" s="12">
        <f t="shared" si="139"/>
        <v>38.369999999999997</v>
      </c>
      <c r="CH78" s="12">
        <f t="shared" si="139"/>
        <v>9.3000000000000007</v>
      </c>
      <c r="CI78" s="12">
        <f t="shared" si="139"/>
        <v>5.4</v>
      </c>
      <c r="CJ78" s="12">
        <f t="shared" si="139"/>
        <v>-3</v>
      </c>
      <c r="CK78" s="12">
        <f t="shared" si="139"/>
        <v>8.7100000000000009</v>
      </c>
      <c r="CL78" s="12">
        <f t="shared" si="139"/>
        <v>10.6</v>
      </c>
      <c r="CM78" s="12">
        <f t="shared" si="139"/>
        <v>70.8</v>
      </c>
      <c r="CN78" s="12">
        <f t="shared" si="139"/>
        <v>19.5</v>
      </c>
      <c r="CO78" s="12">
        <f t="shared" si="139"/>
        <v>59.45378151260504</v>
      </c>
    </row>
    <row r="79" spans="1:93" x14ac:dyDescent="0.3">
      <c r="A79" s="6" t="s">
        <v>56</v>
      </c>
      <c r="B79" s="3">
        <v>6</v>
      </c>
      <c r="C79" s="13" t="s">
        <v>20</v>
      </c>
      <c r="D79" s="14">
        <v>39</v>
      </c>
      <c r="E79" s="38">
        <f>G78</f>
        <v>22.727272727272727</v>
      </c>
      <c r="F79" s="39">
        <v>11</v>
      </c>
      <c r="G79" s="38">
        <f t="shared" si="119"/>
        <v>45.833333333333329</v>
      </c>
      <c r="H79" s="39">
        <v>24</v>
      </c>
      <c r="I79" s="40">
        <f t="shared" si="120"/>
        <v>1</v>
      </c>
      <c r="J79" s="39">
        <v>14</v>
      </c>
      <c r="K79" s="39">
        <v>9</v>
      </c>
      <c r="L79" s="39">
        <v>2</v>
      </c>
      <c r="M79" s="39">
        <f>Q78</f>
        <v>46</v>
      </c>
      <c r="N79" s="39">
        <v>24</v>
      </c>
      <c r="O79" s="41">
        <f t="shared" si="121"/>
        <v>0.55528846153846145</v>
      </c>
      <c r="P79" s="39">
        <v>19</v>
      </c>
      <c r="Q79" s="39">
        <v>47.3</v>
      </c>
      <c r="R79" s="39">
        <v>16</v>
      </c>
      <c r="S79" s="38">
        <f t="shared" si="122"/>
        <v>100</v>
      </c>
      <c r="T79" s="39">
        <v>22</v>
      </c>
      <c r="U79" s="39">
        <v>22</v>
      </c>
      <c r="V79" s="39">
        <f>X78</f>
        <v>76</v>
      </c>
      <c r="W79" s="39">
        <v>10</v>
      </c>
      <c r="X79" s="39">
        <v>85</v>
      </c>
      <c r="Y79" s="39">
        <f>Z79-Z78</f>
        <v>5</v>
      </c>
      <c r="Z79" s="39">
        <f t="shared" si="123"/>
        <v>34</v>
      </c>
      <c r="AA79" s="39">
        <f t="shared" si="124"/>
        <v>9</v>
      </c>
      <c r="AB79" s="39">
        <v>4</v>
      </c>
      <c r="AC79" s="39">
        <f t="shared" si="125"/>
        <v>-4</v>
      </c>
      <c r="AD79" s="39">
        <f>AE78</f>
        <v>10</v>
      </c>
      <c r="AE79" s="39">
        <v>14</v>
      </c>
      <c r="AF79" s="46">
        <f t="shared" si="127"/>
        <v>69.418287526427065</v>
      </c>
      <c r="AG79" s="51">
        <f t="shared" ref="AG79" si="146">AVERAGE(AF78,AF79)</f>
        <v>70.243382893648317</v>
      </c>
      <c r="AH79" s="12">
        <f t="shared" si="134"/>
        <v>33.5</v>
      </c>
      <c r="AI79" s="12">
        <f t="shared" si="134"/>
        <v>8.8000000000000007</v>
      </c>
      <c r="AJ79" s="12">
        <f t="shared" si="134"/>
        <v>35.799999999999997</v>
      </c>
      <c r="AK79" s="12">
        <f t="shared" si="134"/>
        <v>24.5</v>
      </c>
      <c r="AL79" s="12">
        <f t="shared" si="134"/>
        <v>1.49</v>
      </c>
      <c r="AM79" s="12">
        <f t="shared" si="134"/>
        <v>16</v>
      </c>
      <c r="AN79" s="12">
        <f t="shared" si="134"/>
        <v>10.76</v>
      </c>
      <c r="AO79" s="12">
        <f t="shared" si="134"/>
        <v>4.0999999999999996</v>
      </c>
      <c r="AP79" s="12">
        <f t="shared" si="134"/>
        <v>42.2</v>
      </c>
      <c r="AQ79" s="12">
        <f t="shared" si="134"/>
        <v>28.86</v>
      </c>
      <c r="AR79" s="12">
        <f t="shared" si="135"/>
        <v>0.54700000000000004</v>
      </c>
      <c r="AS79" s="12">
        <f t="shared" si="135"/>
        <v>8.7100000000000009</v>
      </c>
      <c r="AT79" s="12">
        <f t="shared" si="135"/>
        <v>47.6</v>
      </c>
      <c r="AU79" s="12">
        <f t="shared" si="135"/>
        <v>13.5</v>
      </c>
      <c r="AV79" s="12">
        <f t="shared" si="135"/>
        <v>78</v>
      </c>
      <c r="AW79" s="12">
        <f t="shared" si="135"/>
        <v>16.899999999999999</v>
      </c>
      <c r="AX79" s="12">
        <f t="shared" si="135"/>
        <v>13.6</v>
      </c>
      <c r="AY79" s="12">
        <f t="shared" si="135"/>
        <v>69.900000000000006</v>
      </c>
      <c r="AZ79" s="12">
        <f t="shared" si="135"/>
        <v>8.24</v>
      </c>
      <c r="BA79" s="12">
        <f t="shared" si="135"/>
        <v>79</v>
      </c>
      <c r="BB79" s="12">
        <f t="shared" si="136"/>
        <v>4.5</v>
      </c>
      <c r="BC79" s="12">
        <f t="shared" si="136"/>
        <v>38.369999999999997</v>
      </c>
      <c r="BD79" s="12">
        <f t="shared" si="136"/>
        <v>9.3000000000000007</v>
      </c>
      <c r="BE79" s="12">
        <f t="shared" si="136"/>
        <v>5.4</v>
      </c>
      <c r="BF79" s="12">
        <f t="shared" si="136"/>
        <v>-3</v>
      </c>
      <c r="BG79" s="12">
        <f t="shared" si="136"/>
        <v>8.7100000000000009</v>
      </c>
      <c r="BH79" s="12">
        <f t="shared" si="136"/>
        <v>10.6</v>
      </c>
      <c r="BI79" s="12">
        <f t="shared" si="136"/>
        <v>70.8</v>
      </c>
      <c r="BJ79" s="12">
        <f t="shared" si="136"/>
        <v>19.5</v>
      </c>
      <c r="BK79" s="12">
        <f t="shared" si="136"/>
        <v>59.45378151260504</v>
      </c>
      <c r="BL79" s="12">
        <f t="shared" si="137"/>
        <v>32.200000000000003</v>
      </c>
      <c r="BM79" s="12">
        <f t="shared" si="137"/>
        <v>9.9</v>
      </c>
      <c r="BN79" s="12">
        <f t="shared" si="137"/>
        <v>36.6</v>
      </c>
      <c r="BO79" s="12">
        <f t="shared" si="137"/>
        <v>25.4</v>
      </c>
      <c r="BP79" s="12">
        <f t="shared" si="137"/>
        <v>1.3</v>
      </c>
      <c r="BQ79" s="12">
        <f t="shared" si="137"/>
        <v>14.7</v>
      </c>
      <c r="BR79" s="12">
        <f t="shared" si="137"/>
        <v>17.3</v>
      </c>
      <c r="BS79" s="12">
        <f t="shared" si="137"/>
        <v>2.4</v>
      </c>
      <c r="BT79" s="12">
        <f t="shared" si="137"/>
        <v>45.1</v>
      </c>
      <c r="BU79" s="12">
        <f t="shared" si="137"/>
        <v>23.27</v>
      </c>
      <c r="BV79" s="12">
        <f t="shared" si="138"/>
        <v>0.54400000000000004</v>
      </c>
      <c r="BW79" s="12">
        <f t="shared" si="138"/>
        <v>9.74</v>
      </c>
      <c r="BX79" s="12">
        <f t="shared" si="138"/>
        <v>45.1</v>
      </c>
      <c r="BY79" s="12">
        <f t="shared" si="138"/>
        <v>17.100000000000001</v>
      </c>
      <c r="BZ79" s="12">
        <f t="shared" si="138"/>
        <v>74.3</v>
      </c>
      <c r="CA79" s="12">
        <f t="shared" si="138"/>
        <v>22.6</v>
      </c>
      <c r="CB79" s="12">
        <f t="shared" si="138"/>
        <v>17.3</v>
      </c>
      <c r="CC79" s="12">
        <f t="shared" si="138"/>
        <v>71.8</v>
      </c>
      <c r="CD79" s="12">
        <f t="shared" si="138"/>
        <v>11.77</v>
      </c>
      <c r="CE79" s="12">
        <f t="shared" si="138"/>
        <v>79.099999999999994</v>
      </c>
      <c r="CF79" s="12">
        <f t="shared" si="139"/>
        <v>3.1</v>
      </c>
      <c r="CG79" s="12">
        <f t="shared" si="139"/>
        <v>34.71</v>
      </c>
      <c r="CH79" s="12">
        <f t="shared" si="139"/>
        <v>7.2</v>
      </c>
      <c r="CI79" s="12">
        <f t="shared" si="139"/>
        <v>6.3</v>
      </c>
      <c r="CJ79" s="12">
        <f t="shared" si="139"/>
        <v>0.7</v>
      </c>
      <c r="CK79" s="12">
        <f t="shared" si="139"/>
        <v>11.91</v>
      </c>
      <c r="CL79" s="12">
        <f t="shared" si="139"/>
        <v>11.3</v>
      </c>
      <c r="CM79" s="12">
        <f t="shared" si="139"/>
        <v>69.7</v>
      </c>
      <c r="CN79" s="12">
        <f t="shared" si="139"/>
        <v>16.049999999999997</v>
      </c>
      <c r="CO79" s="12">
        <f t="shared" si="139"/>
        <v>57.538802660753866</v>
      </c>
    </row>
    <row r="80" spans="1:93" x14ac:dyDescent="0.3">
      <c r="A80" s="6" t="s">
        <v>388</v>
      </c>
      <c r="B80" s="3">
        <v>7</v>
      </c>
      <c r="C80" s="13" t="s">
        <v>331</v>
      </c>
      <c r="D80" s="14">
        <v>40</v>
      </c>
      <c r="E80" s="38">
        <f>G81</f>
        <v>36.363636363636367</v>
      </c>
      <c r="F80" s="39">
        <v>6</v>
      </c>
      <c r="G80" s="38">
        <f t="shared" si="119"/>
        <v>27.27272727272727</v>
      </c>
      <c r="H80" s="39">
        <v>22</v>
      </c>
      <c r="I80" s="40">
        <f t="shared" si="120"/>
        <v>1.4285714285714286</v>
      </c>
      <c r="J80" s="39">
        <v>10</v>
      </c>
      <c r="K80" s="39">
        <v>8</v>
      </c>
      <c r="L80" s="39">
        <v>4</v>
      </c>
      <c r="M80" s="39">
        <f>Q81</f>
        <v>43.5</v>
      </c>
      <c r="N80" s="39">
        <v>22</v>
      </c>
      <c r="O80" s="41">
        <f t="shared" si="121"/>
        <v>0.30545454545454542</v>
      </c>
      <c r="P80" s="39">
        <v>7</v>
      </c>
      <c r="Q80" s="39">
        <v>41</v>
      </c>
      <c r="R80" s="39">
        <v>18</v>
      </c>
      <c r="S80" s="38">
        <f t="shared" si="122"/>
        <v>100</v>
      </c>
      <c r="T80" s="39">
        <v>7</v>
      </c>
      <c r="U80" s="39">
        <v>7</v>
      </c>
      <c r="V80" s="39">
        <f>X81</f>
        <v>78</v>
      </c>
      <c r="W80" s="39">
        <v>8</v>
      </c>
      <c r="X80" s="39">
        <v>63</v>
      </c>
      <c r="Y80" s="39">
        <f>Z80-Z81</f>
        <v>-14</v>
      </c>
      <c r="Z80" s="39">
        <f t="shared" si="123"/>
        <v>30</v>
      </c>
      <c r="AA80" s="39">
        <f t="shared" si="124"/>
        <v>-15</v>
      </c>
      <c r="AB80" s="39">
        <v>7</v>
      </c>
      <c r="AC80" s="39">
        <f t="shared" si="125"/>
        <v>2</v>
      </c>
      <c r="AD80" s="39">
        <f>AE81</f>
        <v>9</v>
      </c>
      <c r="AE80" s="39">
        <v>7</v>
      </c>
      <c r="AF80" s="46">
        <f t="shared" si="127"/>
        <v>63.300609756097565</v>
      </c>
      <c r="AG80" s="51">
        <f t="shared" ref="AG80" si="147">AVERAGE(AF80,AF81)</f>
        <v>62.747287636669469</v>
      </c>
      <c r="AH80" s="12">
        <f t="shared" si="134"/>
        <v>34.4</v>
      </c>
      <c r="AI80" s="12">
        <f t="shared" si="134"/>
        <v>9.4</v>
      </c>
      <c r="AJ80" s="12">
        <f t="shared" si="134"/>
        <v>35.9</v>
      </c>
      <c r="AK80" s="12">
        <f t="shared" si="134"/>
        <v>25.4</v>
      </c>
      <c r="AL80" s="12">
        <f t="shared" si="134"/>
        <v>1.59</v>
      </c>
      <c r="AM80" s="12">
        <f t="shared" si="134"/>
        <v>16.2</v>
      </c>
      <c r="AN80" s="12">
        <f t="shared" si="134"/>
        <v>28.79</v>
      </c>
      <c r="AO80" s="12">
        <f t="shared" si="134"/>
        <v>2.8</v>
      </c>
      <c r="AP80" s="12">
        <f t="shared" si="134"/>
        <v>44.3</v>
      </c>
      <c r="AQ80" s="12">
        <f t="shared" si="134"/>
        <v>22.73</v>
      </c>
      <c r="AR80" s="12">
        <f t="shared" si="135"/>
        <v>0.55400000000000005</v>
      </c>
      <c r="AS80" s="12">
        <f t="shared" si="135"/>
        <v>14.28</v>
      </c>
      <c r="AT80" s="12">
        <f t="shared" si="135"/>
        <v>47.7</v>
      </c>
      <c r="AU80" s="12">
        <f t="shared" si="135"/>
        <v>17.600000000000001</v>
      </c>
      <c r="AV80" s="12">
        <f t="shared" si="135"/>
        <v>75.2</v>
      </c>
      <c r="AW80" s="12">
        <f t="shared" si="135"/>
        <v>18.100000000000001</v>
      </c>
      <c r="AX80" s="12">
        <f t="shared" si="135"/>
        <v>13.9</v>
      </c>
      <c r="AY80" s="12">
        <f t="shared" si="135"/>
        <v>79.2</v>
      </c>
      <c r="AZ80" s="12">
        <f t="shared" si="135"/>
        <v>8.8800000000000008</v>
      </c>
      <c r="BA80" s="12">
        <f t="shared" si="135"/>
        <v>81.400000000000006</v>
      </c>
      <c r="BB80" s="12">
        <f t="shared" si="136"/>
        <v>-4.7</v>
      </c>
      <c r="BC80" s="12">
        <f t="shared" si="136"/>
        <v>30.51</v>
      </c>
      <c r="BD80" s="12">
        <f t="shared" si="136"/>
        <v>3.3</v>
      </c>
      <c r="BE80" s="12">
        <f t="shared" si="136"/>
        <v>10.3</v>
      </c>
      <c r="BF80" s="12">
        <f t="shared" si="136"/>
        <v>6.9</v>
      </c>
      <c r="BG80" s="12">
        <f t="shared" si="136"/>
        <v>17.190000000000001</v>
      </c>
      <c r="BH80" s="12">
        <f t="shared" si="136"/>
        <v>10.199999999999999</v>
      </c>
      <c r="BI80" s="12">
        <f t="shared" si="136"/>
        <v>71.8</v>
      </c>
      <c r="BJ80" s="12">
        <f t="shared" si="136"/>
        <v>19.649999999999999</v>
      </c>
      <c r="BK80" s="12">
        <f t="shared" si="136"/>
        <v>60.901467505241079</v>
      </c>
      <c r="BL80" s="12">
        <f t="shared" si="137"/>
        <v>32</v>
      </c>
      <c r="BM80" s="12">
        <f t="shared" si="137"/>
        <v>8.6</v>
      </c>
      <c r="BN80" s="12">
        <f t="shared" si="137"/>
        <v>34.200000000000003</v>
      </c>
      <c r="BO80" s="12">
        <f t="shared" si="137"/>
        <v>24.7</v>
      </c>
      <c r="BP80" s="12">
        <f t="shared" si="137"/>
        <v>1.26</v>
      </c>
      <c r="BQ80" s="12">
        <f t="shared" si="137"/>
        <v>13.4</v>
      </c>
      <c r="BR80" s="12">
        <f t="shared" si="137"/>
        <v>21.86</v>
      </c>
      <c r="BS80" s="12">
        <f t="shared" si="137"/>
        <v>3.6</v>
      </c>
      <c r="BT80" s="12">
        <f t="shared" si="137"/>
        <v>42.9</v>
      </c>
      <c r="BU80" s="12">
        <f t="shared" si="137"/>
        <v>29.32</v>
      </c>
      <c r="BV80" s="12">
        <f t="shared" si="138"/>
        <v>0.53800000000000003</v>
      </c>
      <c r="BW80" s="12">
        <f t="shared" si="138"/>
        <v>7</v>
      </c>
      <c r="BX80" s="12">
        <f t="shared" si="138"/>
        <v>46.1</v>
      </c>
      <c r="BY80" s="12">
        <f t="shared" si="138"/>
        <v>15.9</v>
      </c>
      <c r="BZ80" s="12">
        <f t="shared" si="138"/>
        <v>71.7</v>
      </c>
      <c r="CA80" s="12">
        <f t="shared" si="138"/>
        <v>18.5</v>
      </c>
      <c r="CB80" s="12">
        <f t="shared" si="138"/>
        <v>13.4</v>
      </c>
      <c r="CC80" s="12">
        <f t="shared" si="138"/>
        <v>70.400000000000006</v>
      </c>
      <c r="CD80" s="12">
        <f t="shared" si="138"/>
        <v>10.51</v>
      </c>
      <c r="CE80" s="12">
        <f t="shared" si="138"/>
        <v>77.5</v>
      </c>
      <c r="CF80" s="12">
        <f t="shared" si="139"/>
        <v>6.8</v>
      </c>
      <c r="CG80" s="12">
        <f t="shared" si="139"/>
        <v>40.44</v>
      </c>
      <c r="CH80" s="12">
        <f t="shared" si="139"/>
        <v>7.5</v>
      </c>
      <c r="CI80" s="12">
        <f t="shared" si="139"/>
        <v>4.8</v>
      </c>
      <c r="CJ80" s="12">
        <f t="shared" si="139"/>
        <v>-2</v>
      </c>
      <c r="CK80" s="12">
        <f t="shared" si="139"/>
        <v>9.57</v>
      </c>
      <c r="CL80" s="12">
        <f t="shared" si="139"/>
        <v>11.2</v>
      </c>
      <c r="CM80" s="12">
        <f t="shared" si="139"/>
        <v>70.3</v>
      </c>
      <c r="CN80" s="12">
        <f t="shared" si="139"/>
        <v>19.149999999999999</v>
      </c>
      <c r="CO80" s="12">
        <f t="shared" si="139"/>
        <v>60.195227765726678</v>
      </c>
    </row>
    <row r="81" spans="1:93" x14ac:dyDescent="0.3">
      <c r="A81" s="6" t="s">
        <v>331</v>
      </c>
      <c r="B81" s="3">
        <v>15</v>
      </c>
      <c r="C81" s="13" t="s">
        <v>388</v>
      </c>
      <c r="D81" s="14">
        <v>40</v>
      </c>
      <c r="E81" s="38">
        <f>G80</f>
        <v>27.27272727272727</v>
      </c>
      <c r="F81" s="39">
        <v>12</v>
      </c>
      <c r="G81" s="38">
        <f t="shared" si="119"/>
        <v>36.363636363636367</v>
      </c>
      <c r="H81" s="39">
        <v>33</v>
      </c>
      <c r="I81" s="40">
        <f t="shared" si="120"/>
        <v>1.7777777777777777</v>
      </c>
      <c r="J81" s="39">
        <v>16</v>
      </c>
      <c r="K81" s="39">
        <v>20</v>
      </c>
      <c r="L81" s="39">
        <v>4</v>
      </c>
      <c r="M81" s="39">
        <f>Q80</f>
        <v>41</v>
      </c>
      <c r="N81" s="39">
        <v>28</v>
      </c>
      <c r="O81" s="41">
        <f t="shared" si="121"/>
        <v>0.44444444444444442</v>
      </c>
      <c r="P81" s="39">
        <v>5</v>
      </c>
      <c r="Q81" s="39">
        <v>43.5</v>
      </c>
      <c r="R81" s="39">
        <v>9</v>
      </c>
      <c r="S81" s="38">
        <f t="shared" si="122"/>
        <v>80</v>
      </c>
      <c r="T81" s="39">
        <v>15</v>
      </c>
      <c r="U81" s="39">
        <v>12</v>
      </c>
      <c r="V81" s="39">
        <f>X80</f>
        <v>63</v>
      </c>
      <c r="W81" s="39">
        <v>16</v>
      </c>
      <c r="X81" s="39">
        <v>78</v>
      </c>
      <c r="Y81" s="39">
        <f>Z81-Z80</f>
        <v>14</v>
      </c>
      <c r="Z81" s="39">
        <f t="shared" si="123"/>
        <v>44</v>
      </c>
      <c r="AA81" s="39">
        <f t="shared" si="124"/>
        <v>15</v>
      </c>
      <c r="AB81" s="39">
        <v>2</v>
      </c>
      <c r="AC81" s="39">
        <f t="shared" si="125"/>
        <v>-2</v>
      </c>
      <c r="AD81" s="39">
        <f>AE80</f>
        <v>7</v>
      </c>
      <c r="AE81" s="39">
        <v>9</v>
      </c>
      <c r="AF81" s="46">
        <f t="shared" si="127"/>
        <v>62.193965517241381</v>
      </c>
      <c r="AG81" s="51">
        <f t="shared" ref="AG81" si="148">AVERAGE(AF80,AF81)</f>
        <v>62.747287636669469</v>
      </c>
      <c r="AH81" s="12">
        <f t="shared" si="134"/>
        <v>32</v>
      </c>
      <c r="AI81" s="12">
        <f t="shared" si="134"/>
        <v>8.6</v>
      </c>
      <c r="AJ81" s="12">
        <f t="shared" si="134"/>
        <v>34.200000000000003</v>
      </c>
      <c r="AK81" s="12">
        <f t="shared" si="134"/>
        <v>24.7</v>
      </c>
      <c r="AL81" s="12">
        <f t="shared" si="134"/>
        <v>1.26</v>
      </c>
      <c r="AM81" s="12">
        <f t="shared" si="134"/>
        <v>13.4</v>
      </c>
      <c r="AN81" s="12">
        <f t="shared" si="134"/>
        <v>21.86</v>
      </c>
      <c r="AO81" s="12">
        <f t="shared" si="134"/>
        <v>3.6</v>
      </c>
      <c r="AP81" s="12">
        <f t="shared" si="134"/>
        <v>42.9</v>
      </c>
      <c r="AQ81" s="12">
        <f t="shared" si="134"/>
        <v>29.32</v>
      </c>
      <c r="AR81" s="12">
        <f t="shared" si="135"/>
        <v>0.53800000000000003</v>
      </c>
      <c r="AS81" s="12">
        <f t="shared" si="135"/>
        <v>7</v>
      </c>
      <c r="AT81" s="12">
        <f t="shared" si="135"/>
        <v>46.1</v>
      </c>
      <c r="AU81" s="12">
        <f t="shared" si="135"/>
        <v>15.9</v>
      </c>
      <c r="AV81" s="12">
        <f t="shared" si="135"/>
        <v>71.7</v>
      </c>
      <c r="AW81" s="12">
        <f t="shared" si="135"/>
        <v>18.5</v>
      </c>
      <c r="AX81" s="12">
        <f t="shared" si="135"/>
        <v>13.4</v>
      </c>
      <c r="AY81" s="12">
        <f t="shared" si="135"/>
        <v>70.400000000000006</v>
      </c>
      <c r="AZ81" s="12">
        <f t="shared" si="135"/>
        <v>10.51</v>
      </c>
      <c r="BA81" s="12">
        <f t="shared" si="135"/>
        <v>77.5</v>
      </c>
      <c r="BB81" s="12">
        <f t="shared" si="136"/>
        <v>6.8</v>
      </c>
      <c r="BC81" s="12">
        <f t="shared" si="136"/>
        <v>40.44</v>
      </c>
      <c r="BD81" s="12">
        <f t="shared" si="136"/>
        <v>7.5</v>
      </c>
      <c r="BE81" s="12">
        <f t="shared" si="136"/>
        <v>4.8</v>
      </c>
      <c r="BF81" s="12">
        <f t="shared" si="136"/>
        <v>-2</v>
      </c>
      <c r="BG81" s="12">
        <f t="shared" si="136"/>
        <v>9.57</v>
      </c>
      <c r="BH81" s="12">
        <f t="shared" si="136"/>
        <v>11.2</v>
      </c>
      <c r="BI81" s="12">
        <f t="shared" si="136"/>
        <v>70.3</v>
      </c>
      <c r="BJ81" s="12">
        <f t="shared" si="136"/>
        <v>19.149999999999999</v>
      </c>
      <c r="BK81" s="12">
        <f t="shared" si="136"/>
        <v>60.195227765726678</v>
      </c>
      <c r="BL81" s="12">
        <f t="shared" si="137"/>
        <v>34.4</v>
      </c>
      <c r="BM81" s="12">
        <f t="shared" si="137"/>
        <v>9.4</v>
      </c>
      <c r="BN81" s="12">
        <f t="shared" si="137"/>
        <v>35.9</v>
      </c>
      <c r="BO81" s="12">
        <f t="shared" si="137"/>
        <v>25.4</v>
      </c>
      <c r="BP81" s="12">
        <f t="shared" si="137"/>
        <v>1.59</v>
      </c>
      <c r="BQ81" s="12">
        <f t="shared" si="137"/>
        <v>16.2</v>
      </c>
      <c r="BR81" s="12">
        <f t="shared" si="137"/>
        <v>28.79</v>
      </c>
      <c r="BS81" s="12">
        <f t="shared" si="137"/>
        <v>2.8</v>
      </c>
      <c r="BT81" s="12">
        <f t="shared" si="137"/>
        <v>44.3</v>
      </c>
      <c r="BU81" s="12">
        <f t="shared" si="137"/>
        <v>22.73</v>
      </c>
      <c r="BV81" s="12">
        <f t="shared" si="138"/>
        <v>0.55400000000000005</v>
      </c>
      <c r="BW81" s="12">
        <f t="shared" si="138"/>
        <v>14.28</v>
      </c>
      <c r="BX81" s="12">
        <f t="shared" si="138"/>
        <v>47.7</v>
      </c>
      <c r="BY81" s="12">
        <f t="shared" si="138"/>
        <v>17.600000000000001</v>
      </c>
      <c r="BZ81" s="12">
        <f t="shared" si="138"/>
        <v>75.2</v>
      </c>
      <c r="CA81" s="12">
        <f t="shared" si="138"/>
        <v>18.100000000000001</v>
      </c>
      <c r="CB81" s="12">
        <f t="shared" si="138"/>
        <v>13.9</v>
      </c>
      <c r="CC81" s="12">
        <f t="shared" si="138"/>
        <v>79.2</v>
      </c>
      <c r="CD81" s="12">
        <f t="shared" si="138"/>
        <v>8.8800000000000008</v>
      </c>
      <c r="CE81" s="12">
        <f t="shared" si="138"/>
        <v>81.400000000000006</v>
      </c>
      <c r="CF81" s="12">
        <f t="shared" si="139"/>
        <v>-4.7</v>
      </c>
      <c r="CG81" s="12">
        <f t="shared" si="139"/>
        <v>30.51</v>
      </c>
      <c r="CH81" s="12">
        <f t="shared" si="139"/>
        <v>3.3</v>
      </c>
      <c r="CI81" s="12">
        <f t="shared" si="139"/>
        <v>10.3</v>
      </c>
      <c r="CJ81" s="12">
        <f t="shared" si="139"/>
        <v>6.9</v>
      </c>
      <c r="CK81" s="12">
        <f t="shared" si="139"/>
        <v>17.190000000000001</v>
      </c>
      <c r="CL81" s="12">
        <f t="shared" si="139"/>
        <v>10.199999999999999</v>
      </c>
      <c r="CM81" s="12">
        <f t="shared" si="139"/>
        <v>71.8</v>
      </c>
      <c r="CN81" s="12">
        <f t="shared" si="139"/>
        <v>19.649999999999999</v>
      </c>
      <c r="CO81" s="12">
        <f t="shared" si="139"/>
        <v>60.901467505241079</v>
      </c>
    </row>
    <row r="82" spans="1:93" x14ac:dyDescent="0.3">
      <c r="A82" s="6" t="s">
        <v>51</v>
      </c>
      <c r="B82" s="3">
        <v>1</v>
      </c>
      <c r="C82" s="13" t="s">
        <v>5</v>
      </c>
      <c r="D82" s="14">
        <v>41</v>
      </c>
      <c r="E82" s="38">
        <f>G83</f>
        <v>31.25</v>
      </c>
      <c r="F82" s="39">
        <v>7</v>
      </c>
      <c r="G82" s="38">
        <f t="shared" si="119"/>
        <v>31.818181818181817</v>
      </c>
      <c r="H82" s="39">
        <v>22</v>
      </c>
      <c r="I82" s="40">
        <f t="shared" si="120"/>
        <v>1.5714285714285714</v>
      </c>
      <c r="J82" s="39">
        <v>11</v>
      </c>
      <c r="K82" s="39">
        <v>10</v>
      </c>
      <c r="L82" s="39">
        <v>12</v>
      </c>
      <c r="M82" s="39">
        <f>Q83</f>
        <v>37.700000000000003</v>
      </c>
      <c r="N82" s="39">
        <v>28</v>
      </c>
      <c r="O82" s="41">
        <f t="shared" si="121"/>
        <v>0.36272727272727273</v>
      </c>
      <c r="P82" s="39">
        <v>15</v>
      </c>
      <c r="Q82" s="39">
        <v>41.7</v>
      </c>
      <c r="R82" s="39">
        <v>25</v>
      </c>
      <c r="S82" s="38">
        <f t="shared" si="122"/>
        <v>82.758620689655174</v>
      </c>
      <c r="T82" s="39">
        <v>29</v>
      </c>
      <c r="U82" s="39">
        <v>24</v>
      </c>
      <c r="V82" s="39">
        <f>X83</f>
        <v>64</v>
      </c>
      <c r="W82" s="39">
        <v>17</v>
      </c>
      <c r="X82" s="39">
        <v>81</v>
      </c>
      <c r="Y82" s="39">
        <f>Z82-Z83</f>
        <v>11</v>
      </c>
      <c r="Z82" s="39">
        <f t="shared" si="123"/>
        <v>45</v>
      </c>
      <c r="AA82" s="39">
        <f t="shared" si="124"/>
        <v>17</v>
      </c>
      <c r="AB82" s="39">
        <v>4</v>
      </c>
      <c r="AC82" s="39">
        <f t="shared" si="125"/>
        <v>1</v>
      </c>
      <c r="AD82" s="39">
        <f>AE83</f>
        <v>8</v>
      </c>
      <c r="AE82" s="39">
        <v>7</v>
      </c>
      <c r="AF82" s="46">
        <f t="shared" si="127"/>
        <v>63.727038369304552</v>
      </c>
      <c r="AG82" s="51">
        <f t="shared" ref="AG82" si="149">AVERAGE(AF82,AF83)</f>
        <v>64.438718123644321</v>
      </c>
      <c r="AH82" s="12">
        <f t="shared" ref="AH82:AQ91" si="150">INDEX(ovrTable2,MATCH(INDEX(teamCol2,ROW()),ovrTeamCol2,0),MATCH(MID(INDEX(headerRow2,1,COLUMN()),4,LEN(INDEX(headerRow2,1,COLUMN()))),ovrHeaderRow2,0))</f>
        <v>29.8</v>
      </c>
      <c r="AI82" s="12">
        <f t="shared" si="150"/>
        <v>8</v>
      </c>
      <c r="AJ82" s="12">
        <f t="shared" si="150"/>
        <v>34</v>
      </c>
      <c r="AK82" s="12">
        <f t="shared" si="150"/>
        <v>23</v>
      </c>
      <c r="AL82" s="12">
        <f t="shared" si="150"/>
        <v>1.63</v>
      </c>
      <c r="AM82" s="12">
        <f t="shared" si="150"/>
        <v>15.3</v>
      </c>
      <c r="AN82" s="12">
        <f t="shared" si="150"/>
        <v>17.12</v>
      </c>
      <c r="AO82" s="12">
        <f t="shared" si="150"/>
        <v>4.8</v>
      </c>
      <c r="AP82" s="12">
        <f t="shared" si="150"/>
        <v>37.9</v>
      </c>
      <c r="AQ82" s="12">
        <f t="shared" si="150"/>
        <v>26.86</v>
      </c>
      <c r="AR82" s="12">
        <f t="shared" ref="AR82:BA91" si="151">INDEX(ovrTable2,MATCH(INDEX(teamCol2,ROW()),ovrTeamCol2,0),MATCH(MID(INDEX(headerRow2,1,COLUMN()),4,LEN(INDEX(headerRow2,1,COLUMN()))),ovrHeaderRow2,0))</f>
        <v>0.53100000000000003</v>
      </c>
      <c r="AS82" s="12">
        <f t="shared" si="151"/>
        <v>11</v>
      </c>
      <c r="AT82" s="12">
        <f t="shared" si="151"/>
        <v>46.6</v>
      </c>
      <c r="AU82" s="12">
        <f t="shared" si="151"/>
        <v>16.5</v>
      </c>
      <c r="AV82" s="12">
        <f t="shared" si="151"/>
        <v>73.099999999999994</v>
      </c>
      <c r="AW82" s="12">
        <f t="shared" si="151"/>
        <v>17.600000000000001</v>
      </c>
      <c r="AX82" s="12">
        <f t="shared" si="151"/>
        <v>12.8</v>
      </c>
      <c r="AY82" s="12">
        <f t="shared" si="151"/>
        <v>57.6</v>
      </c>
      <c r="AZ82" s="12">
        <f t="shared" si="151"/>
        <v>13.06</v>
      </c>
      <c r="BA82" s="12">
        <f t="shared" si="151"/>
        <v>75.900000000000006</v>
      </c>
      <c r="BB82" s="12">
        <f t="shared" ref="BB82:BK91" si="152">INDEX(ovrTable2,MATCH(INDEX(teamCol2,ROW()),ovrTeamCol2,0),MATCH(MID(INDEX(headerRow2,1,COLUMN()),4,LEN(INDEX(headerRow2,1,COLUMN()))),ovrHeaderRow2,0))</f>
        <v>8.6</v>
      </c>
      <c r="BC82" s="12">
        <f t="shared" si="152"/>
        <v>39.770000000000003</v>
      </c>
      <c r="BD82" s="12">
        <f t="shared" si="152"/>
        <v>18</v>
      </c>
      <c r="BE82" s="12">
        <f t="shared" si="152"/>
        <v>7.5</v>
      </c>
      <c r="BF82" s="12">
        <f t="shared" si="152"/>
        <v>2.7</v>
      </c>
      <c r="BG82" s="12">
        <f t="shared" si="152"/>
        <v>12</v>
      </c>
      <c r="BH82" s="12">
        <f t="shared" si="152"/>
        <v>9.6</v>
      </c>
      <c r="BI82" s="12">
        <f t="shared" si="152"/>
        <v>66.599999999999994</v>
      </c>
      <c r="BJ82" s="12">
        <f t="shared" si="152"/>
        <v>19.550000000000004</v>
      </c>
      <c r="BK82" s="12">
        <f t="shared" si="152"/>
        <v>59.120171673819748</v>
      </c>
      <c r="BL82" s="12">
        <f t="shared" ref="BL82:BU91" si="153">INDEX(ovrTable2,MATCH(INDEX(oppCol23,ROW()),ovrTeamCol2,0),MATCH(MID(INDEX(headerRow2,1,COLUMN()),4,LEN(INDEX(headerRow2,1,COLUMN()))),ovrHeaderRow2,0))</f>
        <v>30.1</v>
      </c>
      <c r="BM82" s="12">
        <f t="shared" si="153"/>
        <v>6.9</v>
      </c>
      <c r="BN82" s="12">
        <f t="shared" si="153"/>
        <v>32.5</v>
      </c>
      <c r="BO82" s="12">
        <f t="shared" si="153"/>
        <v>21.7</v>
      </c>
      <c r="BP82" s="12">
        <f t="shared" si="153"/>
        <v>1.28</v>
      </c>
      <c r="BQ82" s="12">
        <f t="shared" si="153"/>
        <v>14.5</v>
      </c>
      <c r="BR82" s="12">
        <f t="shared" si="153"/>
        <v>24.49</v>
      </c>
      <c r="BS82" s="12">
        <f t="shared" si="153"/>
        <v>5</v>
      </c>
      <c r="BT82" s="12">
        <f t="shared" si="153"/>
        <v>40.700000000000003</v>
      </c>
      <c r="BU82" s="12">
        <f t="shared" si="153"/>
        <v>25</v>
      </c>
      <c r="BV82" s="12">
        <f t="shared" ref="BV82:CE91" si="154">INDEX(ovrTable2,MATCH(INDEX(oppCol23,ROW()),ovrTeamCol2,0),MATCH(MID(INDEX(headerRow2,1,COLUMN()),4,LEN(INDEX(headerRow2,1,COLUMN()))),ovrHeaderRow2,0))</f>
        <v>0.48699999999999999</v>
      </c>
      <c r="BW82" s="12">
        <f t="shared" si="154"/>
        <v>11.95</v>
      </c>
      <c r="BX82" s="12">
        <f t="shared" si="154"/>
        <v>44.2</v>
      </c>
      <c r="BY82" s="12">
        <f t="shared" si="154"/>
        <v>19.399999999999999</v>
      </c>
      <c r="BZ82" s="12">
        <f t="shared" si="154"/>
        <v>70.400000000000006</v>
      </c>
      <c r="CA82" s="12">
        <f t="shared" si="154"/>
        <v>23</v>
      </c>
      <c r="CB82" s="12">
        <f t="shared" si="154"/>
        <v>15.6</v>
      </c>
      <c r="CC82" s="12">
        <f t="shared" si="154"/>
        <v>68.900000000000006</v>
      </c>
      <c r="CD82" s="12">
        <f t="shared" si="154"/>
        <v>12.46</v>
      </c>
      <c r="CE82" s="12">
        <f t="shared" si="154"/>
        <v>75.099999999999994</v>
      </c>
      <c r="CF82" s="12">
        <f t="shared" ref="CF82:CO91" si="155">INDEX(ovrTable2,MATCH(INDEX(oppCol23,ROW()),ovrTeamCol2,0),MATCH(MID(INDEX(headerRow2,1,COLUMN()),4,LEN(INDEX(headerRow2,1,COLUMN()))),ovrHeaderRow2,0))</f>
        <v>0.8</v>
      </c>
      <c r="CG82" s="12">
        <f t="shared" si="155"/>
        <v>37.630000000000003</v>
      </c>
      <c r="CH82" s="12">
        <f t="shared" si="155"/>
        <v>4.3</v>
      </c>
      <c r="CI82" s="12">
        <f t="shared" si="155"/>
        <v>7.2</v>
      </c>
      <c r="CJ82" s="12">
        <f t="shared" si="155"/>
        <v>0.3</v>
      </c>
      <c r="CK82" s="12">
        <f t="shared" si="155"/>
        <v>11.62</v>
      </c>
      <c r="CL82" s="12">
        <f t="shared" si="155"/>
        <v>11.3</v>
      </c>
      <c r="CM82" s="12">
        <f t="shared" si="155"/>
        <v>70.7</v>
      </c>
      <c r="CN82" s="12">
        <f t="shared" si="155"/>
        <v>19.399999999999995</v>
      </c>
      <c r="CO82" s="12">
        <f t="shared" si="155"/>
        <v>59.502262443438902</v>
      </c>
    </row>
    <row r="83" spans="1:93" x14ac:dyDescent="0.3">
      <c r="A83" s="6" t="s">
        <v>5</v>
      </c>
      <c r="B83" s="3">
        <v>9</v>
      </c>
      <c r="C83" s="13" t="s">
        <v>51</v>
      </c>
      <c r="D83" s="14">
        <v>41</v>
      </c>
      <c r="E83" s="38">
        <f>G82</f>
        <v>31.818181818181817</v>
      </c>
      <c r="F83" s="39">
        <v>5</v>
      </c>
      <c r="G83" s="38">
        <f t="shared" si="119"/>
        <v>31.25</v>
      </c>
      <c r="H83" s="39">
        <v>16</v>
      </c>
      <c r="I83" s="40">
        <f t="shared" si="120"/>
        <v>1.375</v>
      </c>
      <c r="J83" s="39">
        <v>11</v>
      </c>
      <c r="K83" s="39">
        <v>16</v>
      </c>
      <c r="L83" s="39">
        <v>3</v>
      </c>
      <c r="M83" s="39">
        <f>Q82</f>
        <v>41.7</v>
      </c>
      <c r="N83" s="39">
        <v>21</v>
      </c>
      <c r="O83" s="41">
        <f t="shared" si="121"/>
        <v>0.3515625</v>
      </c>
      <c r="P83" s="39">
        <v>6</v>
      </c>
      <c r="Q83" s="39">
        <v>37.700000000000003</v>
      </c>
      <c r="R83" s="39">
        <v>22</v>
      </c>
      <c r="S83" s="38">
        <f t="shared" si="122"/>
        <v>52.777777777777779</v>
      </c>
      <c r="T83" s="39">
        <v>36</v>
      </c>
      <c r="U83" s="39">
        <v>19</v>
      </c>
      <c r="V83" s="39">
        <f>X82</f>
        <v>81</v>
      </c>
      <c r="W83" s="39">
        <v>13</v>
      </c>
      <c r="X83" s="39">
        <v>64</v>
      </c>
      <c r="Y83" s="39">
        <f>Z83-Z82</f>
        <v>-11</v>
      </c>
      <c r="Z83" s="39">
        <f t="shared" si="123"/>
        <v>34</v>
      </c>
      <c r="AA83" s="39">
        <f t="shared" si="124"/>
        <v>-17</v>
      </c>
      <c r="AB83" s="39">
        <v>1</v>
      </c>
      <c r="AC83" s="39">
        <f t="shared" si="125"/>
        <v>-1</v>
      </c>
      <c r="AD83" s="39">
        <f>AE82</f>
        <v>7</v>
      </c>
      <c r="AE83" s="39">
        <v>8</v>
      </c>
      <c r="AF83" s="46">
        <f t="shared" si="127"/>
        <v>65.150397877984076</v>
      </c>
      <c r="AG83" s="51">
        <f t="shared" ref="AG83" si="156">AVERAGE(AF82,AF83)</f>
        <v>64.438718123644321</v>
      </c>
      <c r="AH83" s="12">
        <f t="shared" si="150"/>
        <v>30.1</v>
      </c>
      <c r="AI83" s="12">
        <f t="shared" si="150"/>
        <v>6.9</v>
      </c>
      <c r="AJ83" s="12">
        <f t="shared" si="150"/>
        <v>32.5</v>
      </c>
      <c r="AK83" s="12">
        <f t="shared" si="150"/>
        <v>21.7</v>
      </c>
      <c r="AL83" s="12">
        <f t="shared" si="150"/>
        <v>1.28</v>
      </c>
      <c r="AM83" s="12">
        <f t="shared" si="150"/>
        <v>14.5</v>
      </c>
      <c r="AN83" s="12">
        <f t="shared" si="150"/>
        <v>24.49</v>
      </c>
      <c r="AO83" s="12">
        <f t="shared" si="150"/>
        <v>5</v>
      </c>
      <c r="AP83" s="12">
        <f t="shared" si="150"/>
        <v>40.700000000000003</v>
      </c>
      <c r="AQ83" s="12">
        <f t="shared" si="150"/>
        <v>25</v>
      </c>
      <c r="AR83" s="12">
        <f t="shared" si="151"/>
        <v>0.48699999999999999</v>
      </c>
      <c r="AS83" s="12">
        <f t="shared" si="151"/>
        <v>11.95</v>
      </c>
      <c r="AT83" s="12">
        <f t="shared" si="151"/>
        <v>44.2</v>
      </c>
      <c r="AU83" s="12">
        <f t="shared" si="151"/>
        <v>19.399999999999999</v>
      </c>
      <c r="AV83" s="12">
        <f t="shared" si="151"/>
        <v>70.400000000000006</v>
      </c>
      <c r="AW83" s="12">
        <f t="shared" si="151"/>
        <v>23</v>
      </c>
      <c r="AX83" s="12">
        <f t="shared" si="151"/>
        <v>15.6</v>
      </c>
      <c r="AY83" s="12">
        <f t="shared" si="151"/>
        <v>68.900000000000006</v>
      </c>
      <c r="AZ83" s="12">
        <f t="shared" si="151"/>
        <v>12.46</v>
      </c>
      <c r="BA83" s="12">
        <f t="shared" si="151"/>
        <v>75.099999999999994</v>
      </c>
      <c r="BB83" s="12">
        <f t="shared" si="152"/>
        <v>0.8</v>
      </c>
      <c r="BC83" s="12">
        <f t="shared" si="152"/>
        <v>37.630000000000003</v>
      </c>
      <c r="BD83" s="12">
        <f t="shared" si="152"/>
        <v>4.3</v>
      </c>
      <c r="BE83" s="12">
        <f t="shared" si="152"/>
        <v>7.2</v>
      </c>
      <c r="BF83" s="12">
        <f t="shared" si="152"/>
        <v>0.3</v>
      </c>
      <c r="BG83" s="12">
        <f t="shared" si="152"/>
        <v>11.62</v>
      </c>
      <c r="BH83" s="12">
        <f t="shared" si="152"/>
        <v>11.3</v>
      </c>
      <c r="BI83" s="12">
        <f t="shared" si="152"/>
        <v>70.7</v>
      </c>
      <c r="BJ83" s="12">
        <f t="shared" si="152"/>
        <v>19.399999999999995</v>
      </c>
      <c r="BK83" s="12">
        <f t="shared" si="152"/>
        <v>59.502262443438902</v>
      </c>
      <c r="BL83" s="12">
        <f t="shared" si="153"/>
        <v>29.8</v>
      </c>
      <c r="BM83" s="12">
        <f t="shared" si="153"/>
        <v>8</v>
      </c>
      <c r="BN83" s="12">
        <f t="shared" si="153"/>
        <v>34</v>
      </c>
      <c r="BO83" s="12">
        <f t="shared" si="153"/>
        <v>23</v>
      </c>
      <c r="BP83" s="12">
        <f t="shared" si="153"/>
        <v>1.63</v>
      </c>
      <c r="BQ83" s="12">
        <f t="shared" si="153"/>
        <v>15.3</v>
      </c>
      <c r="BR83" s="12">
        <f t="shared" si="153"/>
        <v>17.12</v>
      </c>
      <c r="BS83" s="12">
        <f t="shared" si="153"/>
        <v>4.8</v>
      </c>
      <c r="BT83" s="12">
        <f t="shared" si="153"/>
        <v>37.9</v>
      </c>
      <c r="BU83" s="12">
        <f t="shared" si="153"/>
        <v>26.86</v>
      </c>
      <c r="BV83" s="12">
        <f t="shared" si="154"/>
        <v>0.53100000000000003</v>
      </c>
      <c r="BW83" s="12">
        <f t="shared" si="154"/>
        <v>11</v>
      </c>
      <c r="BX83" s="12">
        <f t="shared" si="154"/>
        <v>46.6</v>
      </c>
      <c r="BY83" s="12">
        <f t="shared" si="154"/>
        <v>16.5</v>
      </c>
      <c r="BZ83" s="12">
        <f t="shared" si="154"/>
        <v>73.099999999999994</v>
      </c>
      <c r="CA83" s="12">
        <f t="shared" si="154"/>
        <v>17.600000000000001</v>
      </c>
      <c r="CB83" s="12">
        <f t="shared" si="154"/>
        <v>12.8</v>
      </c>
      <c r="CC83" s="12">
        <f t="shared" si="154"/>
        <v>57.6</v>
      </c>
      <c r="CD83" s="12">
        <f t="shared" si="154"/>
        <v>13.06</v>
      </c>
      <c r="CE83" s="12">
        <f t="shared" si="154"/>
        <v>75.900000000000006</v>
      </c>
      <c r="CF83" s="12">
        <f t="shared" si="155"/>
        <v>8.6</v>
      </c>
      <c r="CG83" s="12">
        <f t="shared" si="155"/>
        <v>39.770000000000003</v>
      </c>
      <c r="CH83" s="12">
        <f t="shared" si="155"/>
        <v>18</v>
      </c>
      <c r="CI83" s="12">
        <f t="shared" si="155"/>
        <v>7.5</v>
      </c>
      <c r="CJ83" s="12">
        <f t="shared" si="155"/>
        <v>2.7</v>
      </c>
      <c r="CK83" s="12">
        <f t="shared" si="155"/>
        <v>12</v>
      </c>
      <c r="CL83" s="12">
        <f t="shared" si="155"/>
        <v>9.6</v>
      </c>
      <c r="CM83" s="12">
        <f t="shared" si="155"/>
        <v>66.599999999999994</v>
      </c>
      <c r="CN83" s="12">
        <f t="shared" si="155"/>
        <v>19.550000000000004</v>
      </c>
      <c r="CO83" s="12">
        <f t="shared" si="155"/>
        <v>59.120171673819748</v>
      </c>
    </row>
    <row r="84" spans="1:93" x14ac:dyDescent="0.3">
      <c r="A84" s="6" t="s">
        <v>359</v>
      </c>
      <c r="B84" s="3">
        <v>4</v>
      </c>
      <c r="C84" s="13" t="s">
        <v>313</v>
      </c>
      <c r="D84" s="14">
        <v>42</v>
      </c>
      <c r="E84" s="38">
        <f>G85</f>
        <v>39.130434782608695</v>
      </c>
      <c r="F84" s="39">
        <v>8</v>
      </c>
      <c r="G84" s="38">
        <f t="shared" si="119"/>
        <v>32</v>
      </c>
      <c r="H84" s="39">
        <v>25</v>
      </c>
      <c r="I84" s="40">
        <f t="shared" si="120"/>
        <v>0.83333333333333337</v>
      </c>
      <c r="J84" s="39">
        <v>10</v>
      </c>
      <c r="K84" s="39">
        <v>0</v>
      </c>
      <c r="L84" s="39">
        <v>7</v>
      </c>
      <c r="M84" s="39">
        <f>Q85</f>
        <v>48.6</v>
      </c>
      <c r="N84" s="39">
        <v>19</v>
      </c>
      <c r="O84" s="41">
        <f t="shared" si="121"/>
        <v>0.36923076923076925</v>
      </c>
      <c r="P84" s="39">
        <v>6</v>
      </c>
      <c r="Q84" s="39">
        <v>41.3</v>
      </c>
      <c r="R84" s="39">
        <v>14</v>
      </c>
      <c r="S84" s="38">
        <f t="shared" si="122"/>
        <v>64.285714285714292</v>
      </c>
      <c r="T84" s="39">
        <v>14</v>
      </c>
      <c r="U84" s="39">
        <v>9</v>
      </c>
      <c r="V84" s="39">
        <f>X85</f>
        <v>85</v>
      </c>
      <c r="W84" s="39">
        <v>12</v>
      </c>
      <c r="X84" s="39">
        <v>69</v>
      </c>
      <c r="Y84" s="39">
        <f>Z84-Z85</f>
        <v>-17</v>
      </c>
      <c r="Z84" s="39">
        <f t="shared" si="123"/>
        <v>31</v>
      </c>
      <c r="AA84" s="39">
        <f t="shared" si="124"/>
        <v>-16</v>
      </c>
      <c r="AB84" s="39">
        <v>9</v>
      </c>
      <c r="AC84" s="39">
        <f t="shared" si="125"/>
        <v>0</v>
      </c>
      <c r="AD84" s="39">
        <f>AE85</f>
        <v>12</v>
      </c>
      <c r="AE84" s="39">
        <v>12</v>
      </c>
      <c r="AF84" s="46">
        <f t="shared" si="127"/>
        <v>69.603995157384986</v>
      </c>
      <c r="AG84" s="51">
        <f t="shared" ref="AG84" si="157">AVERAGE(AF84,AF85)</f>
        <v>68.868921447005249</v>
      </c>
      <c r="AH84" s="12">
        <f t="shared" si="150"/>
        <v>33.1</v>
      </c>
      <c r="AI84" s="12">
        <f t="shared" si="150"/>
        <v>6.1</v>
      </c>
      <c r="AJ84" s="12">
        <f t="shared" si="150"/>
        <v>36.6</v>
      </c>
      <c r="AK84" s="12">
        <f t="shared" si="150"/>
        <v>15.2</v>
      </c>
      <c r="AL84" s="12">
        <f t="shared" si="150"/>
        <v>1.47</v>
      </c>
      <c r="AM84" s="12">
        <f t="shared" si="150"/>
        <v>15.9</v>
      </c>
      <c r="AN84" s="12">
        <f t="shared" si="150"/>
        <v>17.71</v>
      </c>
      <c r="AO84" s="12">
        <f t="shared" si="150"/>
        <v>4.9000000000000004</v>
      </c>
      <c r="AP84" s="12">
        <f t="shared" si="150"/>
        <v>41.3</v>
      </c>
      <c r="AQ84" s="12">
        <f t="shared" si="150"/>
        <v>27.17</v>
      </c>
      <c r="AR84" s="12">
        <f t="shared" si="151"/>
        <v>0.54600000000000004</v>
      </c>
      <c r="AS84" s="12">
        <f t="shared" si="151"/>
        <v>10.72</v>
      </c>
      <c r="AT84" s="12">
        <f t="shared" si="151"/>
        <v>49</v>
      </c>
      <c r="AU84" s="12">
        <f t="shared" si="151"/>
        <v>17</v>
      </c>
      <c r="AV84" s="12">
        <f t="shared" si="151"/>
        <v>71.599999999999994</v>
      </c>
      <c r="AW84" s="12">
        <f t="shared" si="151"/>
        <v>17.7</v>
      </c>
      <c r="AX84" s="12">
        <f t="shared" si="151"/>
        <v>12</v>
      </c>
      <c r="AY84" s="12">
        <f t="shared" si="151"/>
        <v>70.5</v>
      </c>
      <c r="AZ84" s="12">
        <f t="shared" si="151"/>
        <v>9.61</v>
      </c>
      <c r="BA84" s="12">
        <f t="shared" si="151"/>
        <v>75.599999999999994</v>
      </c>
      <c r="BB84" s="12">
        <f t="shared" si="152"/>
        <v>2.2999999999999998</v>
      </c>
      <c r="BC84" s="12">
        <f t="shared" si="152"/>
        <v>36.51</v>
      </c>
      <c r="BD84" s="12">
        <f t="shared" si="152"/>
        <v>6.2</v>
      </c>
      <c r="BE84" s="12">
        <f t="shared" si="152"/>
        <v>5.9</v>
      </c>
      <c r="BF84" s="12">
        <f t="shared" si="152"/>
        <v>-0.1</v>
      </c>
      <c r="BG84" s="12">
        <f t="shared" si="152"/>
        <v>10.49</v>
      </c>
      <c r="BH84" s="12">
        <f t="shared" si="152"/>
        <v>10.5</v>
      </c>
      <c r="BI84" s="12">
        <f t="shared" si="152"/>
        <v>69.900000000000006</v>
      </c>
      <c r="BJ84" s="12">
        <f t="shared" si="152"/>
        <v>22.65</v>
      </c>
      <c r="BK84" s="12">
        <f t="shared" si="152"/>
        <v>58.673469387755105</v>
      </c>
      <c r="BL84" s="12">
        <f t="shared" si="153"/>
        <v>33.5</v>
      </c>
      <c r="BM84" s="12">
        <f t="shared" si="153"/>
        <v>7.6</v>
      </c>
      <c r="BN84" s="12">
        <f t="shared" si="153"/>
        <v>36.799999999999997</v>
      </c>
      <c r="BO84" s="12">
        <f t="shared" si="153"/>
        <v>21.6</v>
      </c>
      <c r="BP84" s="12">
        <f t="shared" si="153"/>
        <v>1.47</v>
      </c>
      <c r="BQ84" s="12">
        <f t="shared" si="153"/>
        <v>15</v>
      </c>
      <c r="BR84" s="12">
        <f t="shared" si="153"/>
        <v>12.97</v>
      </c>
      <c r="BS84" s="12">
        <f t="shared" si="153"/>
        <v>3.1</v>
      </c>
      <c r="BT84" s="12">
        <f t="shared" si="153"/>
        <v>44.9</v>
      </c>
      <c r="BU84" s="12">
        <f t="shared" si="153"/>
        <v>24.63</v>
      </c>
      <c r="BV84" s="12">
        <f t="shared" si="154"/>
        <v>0.54900000000000004</v>
      </c>
      <c r="BW84" s="12">
        <f t="shared" si="154"/>
        <v>14.09</v>
      </c>
      <c r="BX84" s="12">
        <f t="shared" si="154"/>
        <v>48.7</v>
      </c>
      <c r="BY84" s="12">
        <f t="shared" si="154"/>
        <v>13.7</v>
      </c>
      <c r="BZ84" s="12">
        <f t="shared" si="154"/>
        <v>78</v>
      </c>
      <c r="CA84" s="12">
        <f t="shared" si="154"/>
        <v>18.600000000000001</v>
      </c>
      <c r="CB84" s="12">
        <f t="shared" si="154"/>
        <v>15.2</v>
      </c>
      <c r="CC84" s="12">
        <f t="shared" si="154"/>
        <v>73.599999999999994</v>
      </c>
      <c r="CD84" s="12">
        <f t="shared" si="154"/>
        <v>10.83</v>
      </c>
      <c r="CE84" s="12">
        <f t="shared" si="154"/>
        <v>81.900000000000006</v>
      </c>
      <c r="CF84" s="12">
        <f t="shared" si="155"/>
        <v>3.6</v>
      </c>
      <c r="CG84" s="12">
        <f t="shared" si="155"/>
        <v>35.18</v>
      </c>
      <c r="CH84" s="12">
        <f t="shared" si="155"/>
        <v>7.7</v>
      </c>
      <c r="CI84" s="12">
        <f t="shared" si="155"/>
        <v>7.1</v>
      </c>
      <c r="CJ84" s="12">
        <f t="shared" si="155"/>
        <v>0.8</v>
      </c>
      <c r="CK84" s="12">
        <f t="shared" si="155"/>
        <v>11.36</v>
      </c>
      <c r="CL84" s="12">
        <f t="shared" si="155"/>
        <v>10.1</v>
      </c>
      <c r="CM84" s="12">
        <f t="shared" si="155"/>
        <v>70.599999999999994</v>
      </c>
      <c r="CN84" s="12">
        <f t="shared" si="155"/>
        <v>21.950000000000003</v>
      </c>
      <c r="CO84" s="12">
        <f t="shared" si="155"/>
        <v>60.677618069815203</v>
      </c>
    </row>
    <row r="85" spans="1:93" x14ac:dyDescent="0.3">
      <c r="A85" s="6" t="s">
        <v>313</v>
      </c>
      <c r="B85" s="3">
        <v>5</v>
      </c>
      <c r="C85" s="13" t="s">
        <v>359</v>
      </c>
      <c r="D85" s="14">
        <v>42</v>
      </c>
      <c r="E85" s="38">
        <f>G84</f>
        <v>32</v>
      </c>
      <c r="F85" s="39">
        <v>9</v>
      </c>
      <c r="G85" s="38">
        <f t="shared" si="119"/>
        <v>39.130434782608695</v>
      </c>
      <c r="H85" s="39">
        <v>23</v>
      </c>
      <c r="I85" s="40">
        <f t="shared" si="120"/>
        <v>1.1666666666666667</v>
      </c>
      <c r="J85" s="39">
        <v>14</v>
      </c>
      <c r="K85" s="39">
        <v>14</v>
      </c>
      <c r="L85" s="39">
        <v>3</v>
      </c>
      <c r="M85" s="39">
        <f>Q84</f>
        <v>41.3</v>
      </c>
      <c r="N85" s="39">
        <v>28</v>
      </c>
      <c r="O85" s="41">
        <f t="shared" si="121"/>
        <v>0.44309462915601022</v>
      </c>
      <c r="P85" s="39">
        <v>15</v>
      </c>
      <c r="Q85" s="39">
        <v>48.6</v>
      </c>
      <c r="R85" s="39">
        <v>13</v>
      </c>
      <c r="S85" s="38">
        <f t="shared" si="122"/>
        <v>61.53846153846154</v>
      </c>
      <c r="T85" s="39">
        <v>13</v>
      </c>
      <c r="U85" s="39">
        <v>8</v>
      </c>
      <c r="V85" s="39">
        <f>X84</f>
        <v>69</v>
      </c>
      <c r="W85" s="39">
        <v>20</v>
      </c>
      <c r="X85" s="39">
        <v>85</v>
      </c>
      <c r="Y85" s="39">
        <f>Z85-Z84</f>
        <v>17</v>
      </c>
      <c r="Z85" s="39">
        <f t="shared" si="123"/>
        <v>48</v>
      </c>
      <c r="AA85" s="39">
        <f t="shared" si="124"/>
        <v>16</v>
      </c>
      <c r="AB85" s="39">
        <v>7</v>
      </c>
      <c r="AC85" s="39">
        <f t="shared" si="125"/>
        <v>0</v>
      </c>
      <c r="AD85" s="39">
        <f>AE84</f>
        <v>12</v>
      </c>
      <c r="AE85" s="39">
        <v>12</v>
      </c>
      <c r="AF85" s="46">
        <f t="shared" si="127"/>
        <v>68.133847736625498</v>
      </c>
      <c r="AG85" s="51">
        <f t="shared" ref="AG85" si="158">AVERAGE(AF84,AF85)</f>
        <v>68.868921447005249</v>
      </c>
      <c r="AH85" s="12">
        <f t="shared" si="150"/>
        <v>33.5</v>
      </c>
      <c r="AI85" s="12">
        <f t="shared" si="150"/>
        <v>7.6</v>
      </c>
      <c r="AJ85" s="12">
        <f t="shared" si="150"/>
        <v>36.799999999999997</v>
      </c>
      <c r="AK85" s="12">
        <f t="shared" si="150"/>
        <v>21.6</v>
      </c>
      <c r="AL85" s="12">
        <f t="shared" si="150"/>
        <v>1.47</v>
      </c>
      <c r="AM85" s="12">
        <f t="shared" si="150"/>
        <v>15</v>
      </c>
      <c r="AN85" s="12">
        <f t="shared" si="150"/>
        <v>12.97</v>
      </c>
      <c r="AO85" s="12">
        <f t="shared" si="150"/>
        <v>3.1</v>
      </c>
      <c r="AP85" s="12">
        <f t="shared" si="150"/>
        <v>44.9</v>
      </c>
      <c r="AQ85" s="12">
        <f t="shared" si="150"/>
        <v>24.63</v>
      </c>
      <c r="AR85" s="12">
        <f t="shared" si="151"/>
        <v>0.54900000000000004</v>
      </c>
      <c r="AS85" s="12">
        <f t="shared" si="151"/>
        <v>14.09</v>
      </c>
      <c r="AT85" s="12">
        <f t="shared" si="151"/>
        <v>48.7</v>
      </c>
      <c r="AU85" s="12">
        <f t="shared" si="151"/>
        <v>13.7</v>
      </c>
      <c r="AV85" s="12">
        <f t="shared" si="151"/>
        <v>78</v>
      </c>
      <c r="AW85" s="12">
        <f t="shared" si="151"/>
        <v>18.600000000000001</v>
      </c>
      <c r="AX85" s="12">
        <f t="shared" si="151"/>
        <v>15.2</v>
      </c>
      <c r="AY85" s="12">
        <f t="shared" si="151"/>
        <v>73.599999999999994</v>
      </c>
      <c r="AZ85" s="12">
        <f t="shared" si="151"/>
        <v>10.83</v>
      </c>
      <c r="BA85" s="12">
        <f t="shared" si="151"/>
        <v>81.900000000000006</v>
      </c>
      <c r="BB85" s="12">
        <f t="shared" si="152"/>
        <v>3.6</v>
      </c>
      <c r="BC85" s="12">
        <f t="shared" si="152"/>
        <v>35.18</v>
      </c>
      <c r="BD85" s="12">
        <f t="shared" si="152"/>
        <v>7.7</v>
      </c>
      <c r="BE85" s="12">
        <f t="shared" si="152"/>
        <v>7.1</v>
      </c>
      <c r="BF85" s="12">
        <f t="shared" si="152"/>
        <v>0.8</v>
      </c>
      <c r="BG85" s="12">
        <f t="shared" si="152"/>
        <v>11.36</v>
      </c>
      <c r="BH85" s="12">
        <f t="shared" si="152"/>
        <v>10.1</v>
      </c>
      <c r="BI85" s="12">
        <f t="shared" si="152"/>
        <v>70.599999999999994</v>
      </c>
      <c r="BJ85" s="12">
        <f t="shared" si="152"/>
        <v>21.950000000000003</v>
      </c>
      <c r="BK85" s="12">
        <f t="shared" si="152"/>
        <v>60.677618069815203</v>
      </c>
      <c r="BL85" s="12">
        <f t="shared" si="153"/>
        <v>33.1</v>
      </c>
      <c r="BM85" s="12">
        <f t="shared" si="153"/>
        <v>6.1</v>
      </c>
      <c r="BN85" s="12">
        <f t="shared" si="153"/>
        <v>36.6</v>
      </c>
      <c r="BO85" s="12">
        <f t="shared" si="153"/>
        <v>15.2</v>
      </c>
      <c r="BP85" s="12">
        <f t="shared" si="153"/>
        <v>1.47</v>
      </c>
      <c r="BQ85" s="12">
        <f t="shared" si="153"/>
        <v>15.9</v>
      </c>
      <c r="BR85" s="12">
        <f t="shared" si="153"/>
        <v>17.71</v>
      </c>
      <c r="BS85" s="12">
        <f t="shared" si="153"/>
        <v>4.9000000000000004</v>
      </c>
      <c r="BT85" s="12">
        <f t="shared" si="153"/>
        <v>41.3</v>
      </c>
      <c r="BU85" s="12">
        <f t="shared" si="153"/>
        <v>27.17</v>
      </c>
      <c r="BV85" s="12">
        <f t="shared" si="154"/>
        <v>0.54600000000000004</v>
      </c>
      <c r="BW85" s="12">
        <f t="shared" si="154"/>
        <v>10.72</v>
      </c>
      <c r="BX85" s="12">
        <f t="shared" si="154"/>
        <v>49</v>
      </c>
      <c r="BY85" s="12">
        <f t="shared" si="154"/>
        <v>17</v>
      </c>
      <c r="BZ85" s="12">
        <f t="shared" si="154"/>
        <v>71.599999999999994</v>
      </c>
      <c r="CA85" s="12">
        <f t="shared" si="154"/>
        <v>17.7</v>
      </c>
      <c r="CB85" s="12">
        <f t="shared" si="154"/>
        <v>12</v>
      </c>
      <c r="CC85" s="12">
        <f t="shared" si="154"/>
        <v>70.5</v>
      </c>
      <c r="CD85" s="12">
        <f t="shared" si="154"/>
        <v>9.61</v>
      </c>
      <c r="CE85" s="12">
        <f t="shared" si="154"/>
        <v>75.599999999999994</v>
      </c>
      <c r="CF85" s="12">
        <f t="shared" si="155"/>
        <v>2.2999999999999998</v>
      </c>
      <c r="CG85" s="12">
        <f t="shared" si="155"/>
        <v>36.51</v>
      </c>
      <c r="CH85" s="12">
        <f t="shared" si="155"/>
        <v>6.2</v>
      </c>
      <c r="CI85" s="12">
        <f t="shared" si="155"/>
        <v>5.9</v>
      </c>
      <c r="CJ85" s="12">
        <f t="shared" si="155"/>
        <v>-0.1</v>
      </c>
      <c r="CK85" s="12">
        <f t="shared" si="155"/>
        <v>10.49</v>
      </c>
      <c r="CL85" s="12">
        <f t="shared" si="155"/>
        <v>10.5</v>
      </c>
      <c r="CM85" s="12">
        <f t="shared" si="155"/>
        <v>69.900000000000006</v>
      </c>
      <c r="CN85" s="12">
        <f t="shared" si="155"/>
        <v>22.65</v>
      </c>
      <c r="CO85" s="12">
        <f t="shared" si="155"/>
        <v>58.673469387755105</v>
      </c>
    </row>
    <row r="86" spans="1:93" x14ac:dyDescent="0.3">
      <c r="A86" s="6" t="s">
        <v>346</v>
      </c>
      <c r="B86" s="3">
        <v>3</v>
      </c>
      <c r="C86" s="13" t="s">
        <v>336</v>
      </c>
      <c r="D86" s="14">
        <v>43</v>
      </c>
      <c r="E86" s="38">
        <f>G87</f>
        <v>30</v>
      </c>
      <c r="F86" s="39">
        <v>8</v>
      </c>
      <c r="G86" s="38">
        <f t="shared" si="119"/>
        <v>33.333333333333329</v>
      </c>
      <c r="H86" s="39">
        <v>24</v>
      </c>
      <c r="I86" s="40">
        <f t="shared" si="120"/>
        <v>2.75</v>
      </c>
      <c r="J86" s="39">
        <v>22</v>
      </c>
      <c r="K86" s="39">
        <v>13</v>
      </c>
      <c r="L86" s="39">
        <v>4</v>
      </c>
      <c r="M86" s="39">
        <f>Q87</f>
        <v>38.6</v>
      </c>
      <c r="N86" s="39">
        <v>37</v>
      </c>
      <c r="O86" s="41">
        <f t="shared" si="121"/>
        <v>0.37777777777777771</v>
      </c>
      <c r="P86" s="39">
        <v>14</v>
      </c>
      <c r="Q86" s="39">
        <v>47.6</v>
      </c>
      <c r="R86" s="39">
        <v>21</v>
      </c>
      <c r="S86" s="38">
        <f t="shared" si="122"/>
        <v>61.53846153846154</v>
      </c>
      <c r="T86" s="39">
        <v>26</v>
      </c>
      <c r="U86" s="39">
        <v>16</v>
      </c>
      <c r="V86" s="39">
        <f>X87</f>
        <v>73</v>
      </c>
      <c r="W86" s="39">
        <v>7</v>
      </c>
      <c r="X86" s="39">
        <v>84</v>
      </c>
      <c r="Y86" s="39">
        <f>Z86-Z87</f>
        <v>3</v>
      </c>
      <c r="Z86" s="39">
        <f t="shared" si="123"/>
        <v>44</v>
      </c>
      <c r="AA86" s="39">
        <f t="shared" si="124"/>
        <v>11</v>
      </c>
      <c r="AB86" s="39">
        <v>6</v>
      </c>
      <c r="AC86" s="39">
        <f t="shared" si="125"/>
        <v>1</v>
      </c>
      <c r="AD86" s="39">
        <f>AE87</f>
        <v>9</v>
      </c>
      <c r="AE86" s="39">
        <v>8</v>
      </c>
      <c r="AF86" s="46">
        <f t="shared" si="127"/>
        <v>76.375210084033597</v>
      </c>
      <c r="AG86" s="51">
        <f t="shared" ref="AG86" si="159">AVERAGE(AF86,AF87)</f>
        <v>77.411698306265492</v>
      </c>
      <c r="AH86" s="12">
        <f t="shared" si="150"/>
        <v>34.700000000000003</v>
      </c>
      <c r="AI86" s="12">
        <f t="shared" si="150"/>
        <v>7.5</v>
      </c>
      <c r="AJ86" s="12">
        <f t="shared" si="150"/>
        <v>39.9</v>
      </c>
      <c r="AK86" s="12">
        <f t="shared" si="150"/>
        <v>19.3</v>
      </c>
      <c r="AL86" s="12">
        <f t="shared" si="150"/>
        <v>1.71</v>
      </c>
      <c r="AM86" s="12">
        <f t="shared" si="150"/>
        <v>19</v>
      </c>
      <c r="AN86" s="12">
        <f t="shared" si="150"/>
        <v>11.79</v>
      </c>
      <c r="AO86" s="12">
        <f t="shared" si="150"/>
        <v>3.5</v>
      </c>
      <c r="AP86" s="12">
        <f t="shared" si="150"/>
        <v>43.8</v>
      </c>
      <c r="AQ86" s="12">
        <f t="shared" si="150"/>
        <v>27.89</v>
      </c>
      <c r="AR86" s="12">
        <f t="shared" si="151"/>
        <v>0.55800000000000005</v>
      </c>
      <c r="AS86" s="12">
        <f t="shared" si="151"/>
        <v>11.03</v>
      </c>
      <c r="AT86" s="12">
        <f t="shared" si="151"/>
        <v>49.1</v>
      </c>
      <c r="AU86" s="12">
        <f t="shared" si="151"/>
        <v>15.9</v>
      </c>
      <c r="AV86" s="12">
        <f t="shared" si="151"/>
        <v>71.5</v>
      </c>
      <c r="AW86" s="12">
        <f t="shared" si="151"/>
        <v>20.100000000000001</v>
      </c>
      <c r="AX86" s="12">
        <f t="shared" si="151"/>
        <v>14.5</v>
      </c>
      <c r="AY86" s="12">
        <f t="shared" si="151"/>
        <v>75.099999999999994</v>
      </c>
      <c r="AZ86" s="12">
        <f t="shared" si="151"/>
        <v>10.62</v>
      </c>
      <c r="BA86" s="12">
        <f t="shared" si="151"/>
        <v>85.6</v>
      </c>
      <c r="BB86" s="12">
        <f t="shared" si="152"/>
        <v>5.9</v>
      </c>
      <c r="BC86" s="12">
        <f t="shared" si="152"/>
        <v>38.83</v>
      </c>
      <c r="BD86" s="12">
        <f t="shared" si="152"/>
        <v>7.3</v>
      </c>
      <c r="BE86" s="12">
        <f t="shared" si="152"/>
        <v>6.2</v>
      </c>
      <c r="BF86" s="12">
        <f t="shared" si="152"/>
        <v>-0.3</v>
      </c>
      <c r="BG86" s="12">
        <f t="shared" si="152"/>
        <v>10.81</v>
      </c>
      <c r="BH86" s="12">
        <f t="shared" si="152"/>
        <v>11.7</v>
      </c>
      <c r="BI86" s="12">
        <f t="shared" si="152"/>
        <v>73.7</v>
      </c>
      <c r="BJ86" s="12">
        <f t="shared" si="152"/>
        <v>24.299999999999997</v>
      </c>
      <c r="BK86" s="12">
        <f t="shared" si="152"/>
        <v>64.765784114052948</v>
      </c>
      <c r="BL86" s="12">
        <f t="shared" si="153"/>
        <v>32.299999999999997</v>
      </c>
      <c r="BM86" s="12">
        <f t="shared" si="153"/>
        <v>8.9</v>
      </c>
      <c r="BN86" s="12">
        <f t="shared" si="153"/>
        <v>35.9</v>
      </c>
      <c r="BO86" s="12">
        <f t="shared" si="153"/>
        <v>25.1</v>
      </c>
      <c r="BP86" s="12">
        <f t="shared" si="153"/>
        <v>1.41</v>
      </c>
      <c r="BQ86" s="12">
        <f t="shared" si="153"/>
        <v>14.6</v>
      </c>
      <c r="BR86" s="12">
        <f t="shared" si="153"/>
        <v>16.66</v>
      </c>
      <c r="BS86" s="12">
        <f t="shared" si="153"/>
        <v>4.0999999999999996</v>
      </c>
      <c r="BT86" s="12">
        <f t="shared" si="153"/>
        <v>42.1</v>
      </c>
      <c r="BU86" s="12">
        <f t="shared" si="153"/>
        <v>26.71</v>
      </c>
      <c r="BV86" s="12">
        <f t="shared" si="154"/>
        <v>0.53500000000000003</v>
      </c>
      <c r="BW86" s="12">
        <f t="shared" si="154"/>
        <v>7.24</v>
      </c>
      <c r="BX86" s="12">
        <f t="shared" si="154"/>
        <v>44.9</v>
      </c>
      <c r="BY86" s="12">
        <f t="shared" si="154"/>
        <v>16.2</v>
      </c>
      <c r="BZ86" s="12">
        <f t="shared" si="154"/>
        <v>75.3</v>
      </c>
      <c r="CA86" s="12">
        <f t="shared" si="154"/>
        <v>19.7</v>
      </c>
      <c r="CB86" s="12">
        <f t="shared" si="154"/>
        <v>15.3</v>
      </c>
      <c r="CC86" s="12">
        <f t="shared" si="154"/>
        <v>71.2</v>
      </c>
      <c r="CD86" s="12">
        <f t="shared" si="154"/>
        <v>10.119999999999999</v>
      </c>
      <c r="CE86" s="12">
        <f t="shared" si="154"/>
        <v>76.400000000000006</v>
      </c>
      <c r="CF86" s="12">
        <f t="shared" si="155"/>
        <v>2.4</v>
      </c>
      <c r="CG86" s="12">
        <f t="shared" si="155"/>
        <v>37.61</v>
      </c>
      <c r="CH86" s="12">
        <f t="shared" si="155"/>
        <v>5</v>
      </c>
      <c r="CI86" s="12">
        <f t="shared" si="155"/>
        <v>5.6</v>
      </c>
      <c r="CJ86" s="12">
        <f t="shared" si="155"/>
        <v>0.2</v>
      </c>
      <c r="CK86" s="12">
        <f t="shared" si="155"/>
        <v>10.55</v>
      </c>
      <c r="CL86" s="12">
        <f t="shared" si="155"/>
        <v>10.1</v>
      </c>
      <c r="CM86" s="12">
        <f t="shared" si="155"/>
        <v>69.5</v>
      </c>
      <c r="CN86" s="12">
        <f t="shared" si="155"/>
        <v>17.200000000000003</v>
      </c>
      <c r="CO86" s="12">
        <f t="shared" si="155"/>
        <v>58.129175946547889</v>
      </c>
    </row>
    <row r="87" spans="1:93" x14ac:dyDescent="0.3">
      <c r="A87" s="6" t="s">
        <v>336</v>
      </c>
      <c r="B87" s="3">
        <v>11</v>
      </c>
      <c r="C87" s="13" t="s">
        <v>346</v>
      </c>
      <c r="D87" s="14">
        <v>43</v>
      </c>
      <c r="E87" s="38">
        <f>G86</f>
        <v>33.333333333333329</v>
      </c>
      <c r="F87" s="39">
        <v>6</v>
      </c>
      <c r="G87" s="38">
        <f t="shared" si="119"/>
        <v>30</v>
      </c>
      <c r="H87" s="39">
        <v>20</v>
      </c>
      <c r="I87" s="40">
        <f t="shared" si="120"/>
        <v>1.2222222222222223</v>
      </c>
      <c r="J87" s="39">
        <v>11</v>
      </c>
      <c r="K87" s="39">
        <v>13</v>
      </c>
      <c r="L87" s="39">
        <v>5</v>
      </c>
      <c r="M87" s="39">
        <f>Q86</f>
        <v>47.6</v>
      </c>
      <c r="N87" s="39">
        <v>31</v>
      </c>
      <c r="O87" s="41">
        <f t="shared" si="121"/>
        <v>0.33333333333333331</v>
      </c>
      <c r="P87" s="39">
        <v>2</v>
      </c>
      <c r="Q87" s="39">
        <v>38.6</v>
      </c>
      <c r="R87" s="39">
        <v>18</v>
      </c>
      <c r="S87" s="38">
        <f t="shared" si="122"/>
        <v>65</v>
      </c>
      <c r="T87" s="39">
        <v>20</v>
      </c>
      <c r="U87" s="39">
        <v>13</v>
      </c>
      <c r="V87" s="39">
        <f>X86</f>
        <v>84</v>
      </c>
      <c r="W87" s="39">
        <v>10</v>
      </c>
      <c r="X87" s="39">
        <v>73</v>
      </c>
      <c r="Y87" s="39">
        <f>Z87-Z86</f>
        <v>-3</v>
      </c>
      <c r="Z87" s="39">
        <f t="shared" si="123"/>
        <v>41</v>
      </c>
      <c r="AA87" s="39">
        <f t="shared" si="124"/>
        <v>-11</v>
      </c>
      <c r="AB87" s="39">
        <v>2</v>
      </c>
      <c r="AC87" s="39">
        <f t="shared" si="125"/>
        <v>-1</v>
      </c>
      <c r="AD87" s="39">
        <f>AE86</f>
        <v>8</v>
      </c>
      <c r="AE87" s="39">
        <v>9</v>
      </c>
      <c r="AF87" s="46">
        <f t="shared" si="127"/>
        <v>78.448186528497402</v>
      </c>
      <c r="AG87" s="51">
        <f t="shared" ref="AG87" si="160">AVERAGE(AF86,AF87)</f>
        <v>77.411698306265492</v>
      </c>
      <c r="AH87" s="12">
        <f t="shared" si="150"/>
        <v>32.299999999999997</v>
      </c>
      <c r="AI87" s="12">
        <f t="shared" si="150"/>
        <v>8.9</v>
      </c>
      <c r="AJ87" s="12">
        <f t="shared" si="150"/>
        <v>35.9</v>
      </c>
      <c r="AK87" s="12">
        <f t="shared" si="150"/>
        <v>25.1</v>
      </c>
      <c r="AL87" s="12">
        <f t="shared" si="150"/>
        <v>1.41</v>
      </c>
      <c r="AM87" s="12">
        <f t="shared" si="150"/>
        <v>14.6</v>
      </c>
      <c r="AN87" s="12">
        <f t="shared" si="150"/>
        <v>16.66</v>
      </c>
      <c r="AO87" s="12">
        <f t="shared" si="150"/>
        <v>4.0999999999999996</v>
      </c>
      <c r="AP87" s="12">
        <f t="shared" si="150"/>
        <v>42.1</v>
      </c>
      <c r="AQ87" s="12">
        <f t="shared" si="150"/>
        <v>26.71</v>
      </c>
      <c r="AR87" s="12">
        <f t="shared" si="151"/>
        <v>0.53500000000000003</v>
      </c>
      <c r="AS87" s="12">
        <f t="shared" si="151"/>
        <v>7.24</v>
      </c>
      <c r="AT87" s="12">
        <f t="shared" si="151"/>
        <v>44.9</v>
      </c>
      <c r="AU87" s="12">
        <f t="shared" si="151"/>
        <v>16.2</v>
      </c>
      <c r="AV87" s="12">
        <f t="shared" si="151"/>
        <v>75.3</v>
      </c>
      <c r="AW87" s="12">
        <f t="shared" si="151"/>
        <v>19.7</v>
      </c>
      <c r="AX87" s="12">
        <f t="shared" si="151"/>
        <v>15.3</v>
      </c>
      <c r="AY87" s="12">
        <f t="shared" si="151"/>
        <v>71.2</v>
      </c>
      <c r="AZ87" s="12">
        <f t="shared" si="151"/>
        <v>10.119999999999999</v>
      </c>
      <c r="BA87" s="12">
        <f t="shared" si="151"/>
        <v>76.400000000000006</v>
      </c>
      <c r="BB87" s="12">
        <f t="shared" si="152"/>
        <v>2.4</v>
      </c>
      <c r="BC87" s="12">
        <f t="shared" si="152"/>
        <v>37.61</v>
      </c>
      <c r="BD87" s="12">
        <f t="shared" si="152"/>
        <v>5</v>
      </c>
      <c r="BE87" s="12">
        <f t="shared" si="152"/>
        <v>5.6</v>
      </c>
      <c r="BF87" s="12">
        <f t="shared" si="152"/>
        <v>0.2</v>
      </c>
      <c r="BG87" s="12">
        <f t="shared" si="152"/>
        <v>10.55</v>
      </c>
      <c r="BH87" s="12">
        <f t="shared" si="152"/>
        <v>10.1</v>
      </c>
      <c r="BI87" s="12">
        <f t="shared" si="152"/>
        <v>69.5</v>
      </c>
      <c r="BJ87" s="12">
        <f t="shared" si="152"/>
        <v>17.200000000000003</v>
      </c>
      <c r="BK87" s="12">
        <f t="shared" si="152"/>
        <v>58.129175946547889</v>
      </c>
      <c r="BL87" s="12">
        <f t="shared" si="153"/>
        <v>34.700000000000003</v>
      </c>
      <c r="BM87" s="12">
        <f t="shared" si="153"/>
        <v>7.5</v>
      </c>
      <c r="BN87" s="12">
        <f t="shared" si="153"/>
        <v>39.9</v>
      </c>
      <c r="BO87" s="12">
        <f t="shared" si="153"/>
        <v>19.3</v>
      </c>
      <c r="BP87" s="12">
        <f t="shared" si="153"/>
        <v>1.71</v>
      </c>
      <c r="BQ87" s="12">
        <f t="shared" si="153"/>
        <v>19</v>
      </c>
      <c r="BR87" s="12">
        <f t="shared" si="153"/>
        <v>11.79</v>
      </c>
      <c r="BS87" s="12">
        <f t="shared" si="153"/>
        <v>3.5</v>
      </c>
      <c r="BT87" s="12">
        <f t="shared" si="153"/>
        <v>43.8</v>
      </c>
      <c r="BU87" s="12">
        <f t="shared" si="153"/>
        <v>27.89</v>
      </c>
      <c r="BV87" s="12">
        <f t="shared" si="154"/>
        <v>0.55800000000000005</v>
      </c>
      <c r="BW87" s="12">
        <f t="shared" si="154"/>
        <v>11.03</v>
      </c>
      <c r="BX87" s="12">
        <f t="shared" si="154"/>
        <v>49.1</v>
      </c>
      <c r="BY87" s="12">
        <f t="shared" si="154"/>
        <v>15.9</v>
      </c>
      <c r="BZ87" s="12">
        <f t="shared" si="154"/>
        <v>71.5</v>
      </c>
      <c r="CA87" s="12">
        <f t="shared" si="154"/>
        <v>20.100000000000001</v>
      </c>
      <c r="CB87" s="12">
        <f t="shared" si="154"/>
        <v>14.5</v>
      </c>
      <c r="CC87" s="12">
        <f t="shared" si="154"/>
        <v>75.099999999999994</v>
      </c>
      <c r="CD87" s="12">
        <f t="shared" si="154"/>
        <v>10.62</v>
      </c>
      <c r="CE87" s="12">
        <f t="shared" si="154"/>
        <v>85.6</v>
      </c>
      <c r="CF87" s="12">
        <f t="shared" si="155"/>
        <v>5.9</v>
      </c>
      <c r="CG87" s="12">
        <f t="shared" si="155"/>
        <v>38.83</v>
      </c>
      <c r="CH87" s="12">
        <f t="shared" si="155"/>
        <v>7.3</v>
      </c>
      <c r="CI87" s="12">
        <f t="shared" si="155"/>
        <v>6.2</v>
      </c>
      <c r="CJ87" s="12">
        <f t="shared" si="155"/>
        <v>-0.3</v>
      </c>
      <c r="CK87" s="12">
        <f t="shared" si="155"/>
        <v>10.81</v>
      </c>
      <c r="CL87" s="12">
        <f t="shared" si="155"/>
        <v>11.7</v>
      </c>
      <c r="CM87" s="12">
        <f t="shared" si="155"/>
        <v>73.7</v>
      </c>
      <c r="CN87" s="12">
        <f t="shared" si="155"/>
        <v>24.299999999999997</v>
      </c>
      <c r="CO87" s="12">
        <f t="shared" si="155"/>
        <v>64.765784114052948</v>
      </c>
    </row>
    <row r="88" spans="1:93" x14ac:dyDescent="0.3">
      <c r="A88" s="6" t="s">
        <v>60</v>
      </c>
      <c r="B88" s="3">
        <v>2</v>
      </c>
      <c r="C88" s="13" t="s">
        <v>392</v>
      </c>
      <c r="D88" s="14">
        <v>44</v>
      </c>
      <c r="E88" s="38">
        <f>G89</f>
        <v>28.571428571428569</v>
      </c>
      <c r="F88" s="39">
        <v>1</v>
      </c>
      <c r="G88" s="38">
        <f t="shared" si="119"/>
        <v>7.6923076923076925</v>
      </c>
      <c r="H88" s="39">
        <v>13</v>
      </c>
      <c r="I88" s="40">
        <f t="shared" si="120"/>
        <v>2</v>
      </c>
      <c r="J88" s="39">
        <v>10</v>
      </c>
      <c r="K88" s="39">
        <v>16</v>
      </c>
      <c r="L88" s="39">
        <v>2</v>
      </c>
      <c r="M88" s="39">
        <f>Q89</f>
        <v>41.7</v>
      </c>
      <c r="N88" s="39">
        <v>29</v>
      </c>
      <c r="O88" s="41">
        <f t="shared" si="121"/>
        <v>7.8163771712158811E-2</v>
      </c>
      <c r="P88" s="39">
        <v>0</v>
      </c>
      <c r="Q88" s="39">
        <v>50.8</v>
      </c>
      <c r="R88" s="39">
        <v>13</v>
      </c>
      <c r="S88" s="38">
        <f t="shared" si="122"/>
        <v>72.727272727272734</v>
      </c>
      <c r="T88" s="39">
        <v>11</v>
      </c>
      <c r="U88" s="39">
        <v>8</v>
      </c>
      <c r="V88" s="39">
        <f>X89</f>
        <v>66</v>
      </c>
      <c r="W88" s="39">
        <v>8</v>
      </c>
      <c r="X88" s="39">
        <v>71</v>
      </c>
      <c r="Y88" s="39">
        <f>Z88-Z89</f>
        <v>4</v>
      </c>
      <c r="Z88" s="39">
        <f t="shared" si="123"/>
        <v>37</v>
      </c>
      <c r="AA88" s="39">
        <f t="shared" si="124"/>
        <v>5</v>
      </c>
      <c r="AB88" s="39">
        <v>4</v>
      </c>
      <c r="AC88" s="39">
        <f t="shared" si="125"/>
        <v>4</v>
      </c>
      <c r="AD88" s="39">
        <f>AE89</f>
        <v>9</v>
      </c>
      <c r="AE88" s="39">
        <v>5</v>
      </c>
      <c r="AF88" s="46">
        <f t="shared" si="127"/>
        <v>63.248622047244098</v>
      </c>
      <c r="AG88" s="51">
        <f t="shared" ref="AG88" si="161">AVERAGE(AF88,AF89)</f>
        <v>64.212830208274326</v>
      </c>
      <c r="AH88" s="12">
        <f t="shared" si="150"/>
        <v>32.1</v>
      </c>
      <c r="AI88" s="12">
        <f t="shared" si="150"/>
        <v>7.3</v>
      </c>
      <c r="AJ88" s="12">
        <f t="shared" si="150"/>
        <v>34.9</v>
      </c>
      <c r="AK88" s="12">
        <f t="shared" si="150"/>
        <v>22</v>
      </c>
      <c r="AL88" s="12">
        <f t="shared" si="150"/>
        <v>1.58</v>
      </c>
      <c r="AM88" s="12">
        <f t="shared" si="150"/>
        <v>16.7</v>
      </c>
      <c r="AN88" s="12">
        <f t="shared" si="150"/>
        <v>33.29</v>
      </c>
      <c r="AO88" s="12">
        <f t="shared" si="150"/>
        <v>3.7</v>
      </c>
      <c r="AP88" s="12">
        <f t="shared" si="150"/>
        <v>42.7</v>
      </c>
      <c r="AQ88" s="12">
        <f t="shared" si="150"/>
        <v>24.82</v>
      </c>
      <c r="AR88" s="12">
        <f t="shared" si="151"/>
        <v>0.54500000000000004</v>
      </c>
      <c r="AS88" s="12">
        <f t="shared" si="151"/>
        <v>12.82</v>
      </c>
      <c r="AT88" s="12">
        <f t="shared" si="151"/>
        <v>47.8</v>
      </c>
      <c r="AU88" s="12">
        <f t="shared" si="151"/>
        <v>17.3</v>
      </c>
      <c r="AV88" s="12">
        <f t="shared" si="151"/>
        <v>75</v>
      </c>
      <c r="AW88" s="12">
        <f t="shared" si="151"/>
        <v>18.899999999999999</v>
      </c>
      <c r="AX88" s="12">
        <f t="shared" si="151"/>
        <v>14.7</v>
      </c>
      <c r="AY88" s="12">
        <f t="shared" si="151"/>
        <v>69.099999999999994</v>
      </c>
      <c r="AZ88" s="12">
        <f t="shared" si="151"/>
        <v>9.94</v>
      </c>
      <c r="BA88" s="12">
        <f t="shared" si="151"/>
        <v>80.400000000000006</v>
      </c>
      <c r="BB88" s="12">
        <f t="shared" si="152"/>
        <v>0.5</v>
      </c>
      <c r="BC88" s="12">
        <f t="shared" si="152"/>
        <v>34.74</v>
      </c>
      <c r="BD88" s="12">
        <f t="shared" si="152"/>
        <v>11.5</v>
      </c>
      <c r="BE88" s="12">
        <f t="shared" si="152"/>
        <v>7.4</v>
      </c>
      <c r="BF88" s="12">
        <f t="shared" si="152"/>
        <v>3.7</v>
      </c>
      <c r="BG88" s="12">
        <f t="shared" si="152"/>
        <v>14.12</v>
      </c>
      <c r="BH88" s="12">
        <f t="shared" si="152"/>
        <v>10.5</v>
      </c>
      <c r="BI88" s="12">
        <f t="shared" si="152"/>
        <v>72.2</v>
      </c>
      <c r="BJ88" s="12">
        <f t="shared" si="152"/>
        <v>21.900000000000002</v>
      </c>
      <c r="BK88" s="12">
        <f t="shared" si="152"/>
        <v>61.087866108786621</v>
      </c>
      <c r="BL88" s="12">
        <f t="shared" si="153"/>
        <v>32.5</v>
      </c>
      <c r="BM88" s="12">
        <f t="shared" si="153"/>
        <v>11.1</v>
      </c>
      <c r="BN88" s="12">
        <f t="shared" si="153"/>
        <v>39.1</v>
      </c>
      <c r="BO88" s="12">
        <f t="shared" si="153"/>
        <v>26.3</v>
      </c>
      <c r="BP88" s="12">
        <f t="shared" si="153"/>
        <v>1.66</v>
      </c>
      <c r="BQ88" s="12">
        <f t="shared" si="153"/>
        <v>13.9</v>
      </c>
      <c r="BR88" s="12">
        <f t="shared" si="153"/>
        <v>15.86</v>
      </c>
      <c r="BS88" s="12">
        <f t="shared" si="153"/>
        <v>2.2000000000000002</v>
      </c>
      <c r="BT88" s="12">
        <f t="shared" si="153"/>
        <v>43.1</v>
      </c>
      <c r="BU88" s="12">
        <f t="shared" si="153"/>
        <v>27.08</v>
      </c>
      <c r="BV88" s="12">
        <f t="shared" si="154"/>
        <v>0.55800000000000005</v>
      </c>
      <c r="BW88" s="12">
        <f t="shared" si="154"/>
        <v>5.89</v>
      </c>
      <c r="BX88" s="12">
        <f t="shared" si="154"/>
        <v>46.9</v>
      </c>
      <c r="BY88" s="12">
        <f t="shared" si="154"/>
        <v>15.1</v>
      </c>
      <c r="BZ88" s="12">
        <f t="shared" si="154"/>
        <v>73.3</v>
      </c>
      <c r="CA88" s="12">
        <f t="shared" si="154"/>
        <v>14</v>
      </c>
      <c r="CB88" s="12">
        <f t="shared" si="154"/>
        <v>8.9</v>
      </c>
      <c r="CC88" s="12">
        <f t="shared" si="154"/>
        <v>69.900000000000006</v>
      </c>
      <c r="CD88" s="12">
        <f t="shared" si="154"/>
        <v>6.77</v>
      </c>
      <c r="CE88" s="12">
        <f t="shared" si="154"/>
        <v>74.2</v>
      </c>
      <c r="CF88" s="12">
        <f t="shared" si="155"/>
        <v>-2.2000000000000002</v>
      </c>
      <c r="CG88" s="12">
        <f t="shared" si="155"/>
        <v>33.549999999999997</v>
      </c>
      <c r="CH88" s="12">
        <f t="shared" si="155"/>
        <v>2.4</v>
      </c>
      <c r="CI88" s="12">
        <f t="shared" si="155"/>
        <v>3.8</v>
      </c>
      <c r="CJ88" s="12">
        <f t="shared" si="155"/>
        <v>-0.2</v>
      </c>
      <c r="CK88" s="12">
        <f t="shared" si="155"/>
        <v>7.6</v>
      </c>
      <c r="CL88" s="12">
        <f t="shared" si="155"/>
        <v>8.8000000000000007</v>
      </c>
      <c r="CM88" s="12">
        <f t="shared" si="155"/>
        <v>66.400000000000006</v>
      </c>
      <c r="CN88" s="12">
        <f t="shared" si="155"/>
        <v>16</v>
      </c>
      <c r="CO88" s="12">
        <f t="shared" si="155"/>
        <v>57.782515991471215</v>
      </c>
    </row>
    <row r="89" spans="1:93" x14ac:dyDescent="0.3">
      <c r="A89" s="6" t="s">
        <v>392</v>
      </c>
      <c r="B89" s="3">
        <v>10</v>
      </c>
      <c r="C89" s="13" t="s">
        <v>60</v>
      </c>
      <c r="D89" s="14">
        <v>44</v>
      </c>
      <c r="E89" s="38">
        <f>G88</f>
        <v>7.6923076923076925</v>
      </c>
      <c r="F89" s="39">
        <v>8</v>
      </c>
      <c r="G89" s="38">
        <f t="shared" si="119"/>
        <v>28.571428571428569</v>
      </c>
      <c r="H89" s="39">
        <v>28</v>
      </c>
      <c r="I89" s="40">
        <f t="shared" si="120"/>
        <v>0.66666666666666663</v>
      </c>
      <c r="J89" s="39">
        <v>6</v>
      </c>
      <c r="K89" s="39">
        <v>16</v>
      </c>
      <c r="L89" s="39">
        <v>1</v>
      </c>
      <c r="M89" s="39">
        <f>Q88</f>
        <v>50.8</v>
      </c>
      <c r="N89" s="39">
        <v>24</v>
      </c>
      <c r="O89" s="41">
        <f t="shared" si="121"/>
        <v>0.33142857142857141</v>
      </c>
      <c r="P89" s="39">
        <v>5</v>
      </c>
      <c r="Q89" s="39">
        <v>41.7</v>
      </c>
      <c r="R89" s="39">
        <v>12</v>
      </c>
      <c r="S89" s="38">
        <f t="shared" si="122"/>
        <v>72.727272727272734</v>
      </c>
      <c r="T89" s="39">
        <v>11</v>
      </c>
      <c r="U89" s="39">
        <v>8</v>
      </c>
      <c r="V89" s="39">
        <f>X88</f>
        <v>71</v>
      </c>
      <c r="W89" s="39">
        <v>9</v>
      </c>
      <c r="X89" s="39">
        <v>66</v>
      </c>
      <c r="Y89" s="39">
        <f>Z89-Z88</f>
        <v>-4</v>
      </c>
      <c r="Z89" s="39">
        <f t="shared" si="123"/>
        <v>33</v>
      </c>
      <c r="AA89" s="39">
        <f t="shared" si="124"/>
        <v>-5</v>
      </c>
      <c r="AB89" s="39">
        <v>3</v>
      </c>
      <c r="AC89" s="39">
        <f t="shared" si="125"/>
        <v>-4</v>
      </c>
      <c r="AD89" s="39">
        <f>AE88</f>
        <v>5</v>
      </c>
      <c r="AE89" s="39">
        <v>9</v>
      </c>
      <c r="AF89" s="46">
        <f t="shared" si="127"/>
        <v>65.177038369304555</v>
      </c>
      <c r="AG89" s="51">
        <f t="shared" ref="AG89" si="162">AVERAGE(AF88,AF89)</f>
        <v>64.212830208274326</v>
      </c>
      <c r="AH89" s="12">
        <f t="shared" si="150"/>
        <v>32.5</v>
      </c>
      <c r="AI89" s="12">
        <f t="shared" si="150"/>
        <v>11.1</v>
      </c>
      <c r="AJ89" s="12">
        <f t="shared" si="150"/>
        <v>39.1</v>
      </c>
      <c r="AK89" s="12">
        <f t="shared" si="150"/>
        <v>26.3</v>
      </c>
      <c r="AL89" s="12">
        <f t="shared" si="150"/>
        <v>1.66</v>
      </c>
      <c r="AM89" s="12">
        <f t="shared" si="150"/>
        <v>13.9</v>
      </c>
      <c r="AN89" s="12">
        <f t="shared" si="150"/>
        <v>15.86</v>
      </c>
      <c r="AO89" s="12">
        <f t="shared" si="150"/>
        <v>2.2000000000000002</v>
      </c>
      <c r="AP89" s="12">
        <f t="shared" si="150"/>
        <v>43.1</v>
      </c>
      <c r="AQ89" s="12">
        <f t="shared" si="150"/>
        <v>27.08</v>
      </c>
      <c r="AR89" s="12">
        <f t="shared" si="151"/>
        <v>0.55800000000000005</v>
      </c>
      <c r="AS89" s="12">
        <f t="shared" si="151"/>
        <v>5.89</v>
      </c>
      <c r="AT89" s="12">
        <f t="shared" si="151"/>
        <v>46.9</v>
      </c>
      <c r="AU89" s="12">
        <f t="shared" si="151"/>
        <v>15.1</v>
      </c>
      <c r="AV89" s="12">
        <f t="shared" si="151"/>
        <v>73.3</v>
      </c>
      <c r="AW89" s="12">
        <f t="shared" si="151"/>
        <v>14</v>
      </c>
      <c r="AX89" s="12">
        <f t="shared" si="151"/>
        <v>8.9</v>
      </c>
      <c r="AY89" s="12">
        <f t="shared" si="151"/>
        <v>69.900000000000006</v>
      </c>
      <c r="AZ89" s="12">
        <f t="shared" si="151"/>
        <v>6.77</v>
      </c>
      <c r="BA89" s="12">
        <f t="shared" si="151"/>
        <v>74.2</v>
      </c>
      <c r="BB89" s="12">
        <f t="shared" si="152"/>
        <v>-2.2000000000000002</v>
      </c>
      <c r="BC89" s="12">
        <f t="shared" si="152"/>
        <v>33.549999999999997</v>
      </c>
      <c r="BD89" s="12">
        <f t="shared" si="152"/>
        <v>2.4</v>
      </c>
      <c r="BE89" s="12">
        <f t="shared" si="152"/>
        <v>3.8</v>
      </c>
      <c r="BF89" s="12">
        <f t="shared" si="152"/>
        <v>-0.2</v>
      </c>
      <c r="BG89" s="12">
        <f t="shared" si="152"/>
        <v>7.6</v>
      </c>
      <c r="BH89" s="12">
        <f t="shared" si="152"/>
        <v>8.8000000000000007</v>
      </c>
      <c r="BI89" s="12">
        <f t="shared" si="152"/>
        <v>66.400000000000006</v>
      </c>
      <c r="BJ89" s="12">
        <f t="shared" si="152"/>
        <v>16</v>
      </c>
      <c r="BK89" s="12">
        <f t="shared" si="152"/>
        <v>57.782515991471215</v>
      </c>
      <c r="BL89" s="12">
        <f t="shared" si="153"/>
        <v>32.1</v>
      </c>
      <c r="BM89" s="12">
        <f t="shared" si="153"/>
        <v>7.3</v>
      </c>
      <c r="BN89" s="12">
        <f t="shared" si="153"/>
        <v>34.9</v>
      </c>
      <c r="BO89" s="12">
        <f t="shared" si="153"/>
        <v>22</v>
      </c>
      <c r="BP89" s="12">
        <f t="shared" si="153"/>
        <v>1.58</v>
      </c>
      <c r="BQ89" s="12">
        <f t="shared" si="153"/>
        <v>16.7</v>
      </c>
      <c r="BR89" s="12">
        <f t="shared" si="153"/>
        <v>33.29</v>
      </c>
      <c r="BS89" s="12">
        <f t="shared" si="153"/>
        <v>3.7</v>
      </c>
      <c r="BT89" s="12">
        <f t="shared" si="153"/>
        <v>42.7</v>
      </c>
      <c r="BU89" s="12">
        <f t="shared" si="153"/>
        <v>24.82</v>
      </c>
      <c r="BV89" s="12">
        <f t="shared" si="154"/>
        <v>0.54500000000000004</v>
      </c>
      <c r="BW89" s="12">
        <f t="shared" si="154"/>
        <v>12.82</v>
      </c>
      <c r="BX89" s="12">
        <f t="shared" si="154"/>
        <v>47.8</v>
      </c>
      <c r="BY89" s="12">
        <f t="shared" si="154"/>
        <v>17.3</v>
      </c>
      <c r="BZ89" s="12">
        <f t="shared" si="154"/>
        <v>75</v>
      </c>
      <c r="CA89" s="12">
        <f t="shared" si="154"/>
        <v>18.899999999999999</v>
      </c>
      <c r="CB89" s="12">
        <f t="shared" si="154"/>
        <v>14.7</v>
      </c>
      <c r="CC89" s="12">
        <f t="shared" si="154"/>
        <v>69.099999999999994</v>
      </c>
      <c r="CD89" s="12">
        <f t="shared" si="154"/>
        <v>9.94</v>
      </c>
      <c r="CE89" s="12">
        <f t="shared" si="154"/>
        <v>80.400000000000006</v>
      </c>
      <c r="CF89" s="12">
        <f t="shared" si="155"/>
        <v>0.5</v>
      </c>
      <c r="CG89" s="12">
        <f t="shared" si="155"/>
        <v>34.74</v>
      </c>
      <c r="CH89" s="12">
        <f t="shared" si="155"/>
        <v>11.5</v>
      </c>
      <c r="CI89" s="12">
        <f t="shared" si="155"/>
        <v>7.4</v>
      </c>
      <c r="CJ89" s="12">
        <f t="shared" si="155"/>
        <v>3.7</v>
      </c>
      <c r="CK89" s="12">
        <f t="shared" si="155"/>
        <v>14.12</v>
      </c>
      <c r="CL89" s="12">
        <f t="shared" si="155"/>
        <v>10.5</v>
      </c>
      <c r="CM89" s="12">
        <f t="shared" si="155"/>
        <v>72.2</v>
      </c>
      <c r="CN89" s="12">
        <f t="shared" si="155"/>
        <v>21.900000000000002</v>
      </c>
      <c r="CO89" s="12">
        <f t="shared" si="155"/>
        <v>61.087866108786621</v>
      </c>
    </row>
    <row r="90" spans="1:93" x14ac:dyDescent="0.3">
      <c r="A90" s="6" t="s">
        <v>57</v>
      </c>
      <c r="B90" s="3">
        <v>1</v>
      </c>
      <c r="C90" s="13" t="s">
        <v>351</v>
      </c>
      <c r="D90" s="14">
        <v>45</v>
      </c>
      <c r="E90" s="38">
        <f>G91</f>
        <v>20</v>
      </c>
      <c r="F90" s="39">
        <v>5</v>
      </c>
      <c r="G90" s="38">
        <f t="shared" si="119"/>
        <v>38.461538461538467</v>
      </c>
      <c r="H90" s="39">
        <v>13</v>
      </c>
      <c r="I90" s="40">
        <f t="shared" si="120"/>
        <v>0.75</v>
      </c>
      <c r="J90" s="39">
        <v>9</v>
      </c>
      <c r="K90" s="39">
        <v>5</v>
      </c>
      <c r="L90" s="39">
        <v>4</v>
      </c>
      <c r="M90" s="39">
        <f>Q91</f>
        <v>41.4</v>
      </c>
      <c r="N90" s="39">
        <v>22</v>
      </c>
      <c r="O90" s="41">
        <f t="shared" si="121"/>
        <v>0.42467948717948728</v>
      </c>
      <c r="P90" s="39">
        <v>6</v>
      </c>
      <c r="Q90" s="39">
        <v>48</v>
      </c>
      <c r="R90" s="39">
        <v>23</v>
      </c>
      <c r="S90" s="38">
        <f t="shared" si="122"/>
        <v>72</v>
      </c>
      <c r="T90" s="39">
        <v>25</v>
      </c>
      <c r="U90" s="39">
        <v>18</v>
      </c>
      <c r="V90" s="39">
        <f>X91</f>
        <v>72</v>
      </c>
      <c r="W90" s="39">
        <v>7</v>
      </c>
      <c r="X90" s="39">
        <v>71</v>
      </c>
      <c r="Y90" s="39">
        <f>Z90-Z91</f>
        <v>-7</v>
      </c>
      <c r="Z90" s="39">
        <f t="shared" si="123"/>
        <v>29</v>
      </c>
      <c r="AA90" s="39">
        <f t="shared" si="124"/>
        <v>-1</v>
      </c>
      <c r="AB90" s="39">
        <v>5</v>
      </c>
      <c r="AC90" s="39">
        <f t="shared" si="125"/>
        <v>-1</v>
      </c>
      <c r="AD90" s="39">
        <f>AE91</f>
        <v>11</v>
      </c>
      <c r="AE90" s="39">
        <v>12</v>
      </c>
      <c r="AF90" s="46">
        <f t="shared" si="127"/>
        <v>66.875</v>
      </c>
      <c r="AG90" s="51">
        <f t="shared" ref="AG90" si="163">AVERAGE(AF90,AF91)</f>
        <v>66.59800724637681</v>
      </c>
      <c r="AH90" s="12">
        <f t="shared" si="150"/>
        <v>31.2</v>
      </c>
      <c r="AI90" s="12">
        <f t="shared" si="150"/>
        <v>7.1</v>
      </c>
      <c r="AJ90" s="12">
        <f t="shared" si="150"/>
        <v>34.9</v>
      </c>
      <c r="AK90" s="12">
        <f t="shared" si="150"/>
        <v>20.8</v>
      </c>
      <c r="AL90" s="12">
        <f t="shared" si="150"/>
        <v>1.48</v>
      </c>
      <c r="AM90" s="12">
        <f t="shared" si="150"/>
        <v>16.8</v>
      </c>
      <c r="AN90" s="12">
        <f t="shared" si="150"/>
        <v>11.27</v>
      </c>
      <c r="AO90" s="12">
        <f t="shared" si="150"/>
        <v>3.9</v>
      </c>
      <c r="AP90" s="12">
        <f t="shared" si="150"/>
        <v>41.8</v>
      </c>
      <c r="AQ90" s="12">
        <f t="shared" si="150"/>
        <v>26.89</v>
      </c>
      <c r="AR90" s="12">
        <f t="shared" si="151"/>
        <v>0.53800000000000003</v>
      </c>
      <c r="AS90" s="12">
        <f t="shared" si="151"/>
        <v>13.57</v>
      </c>
      <c r="AT90" s="12">
        <f t="shared" si="151"/>
        <v>47.5</v>
      </c>
      <c r="AU90" s="12">
        <f t="shared" si="151"/>
        <v>16.5</v>
      </c>
      <c r="AV90" s="12">
        <f t="shared" si="151"/>
        <v>72</v>
      </c>
      <c r="AW90" s="12">
        <f t="shared" si="151"/>
        <v>18.399999999999999</v>
      </c>
      <c r="AX90" s="12">
        <f t="shared" si="151"/>
        <v>13.3</v>
      </c>
      <c r="AY90" s="12">
        <f t="shared" si="151"/>
        <v>69.8</v>
      </c>
      <c r="AZ90" s="12">
        <f t="shared" si="151"/>
        <v>10.06</v>
      </c>
      <c r="BA90" s="12">
        <f t="shared" si="151"/>
        <v>77.400000000000006</v>
      </c>
      <c r="BB90" s="12">
        <f t="shared" si="152"/>
        <v>1.7</v>
      </c>
      <c r="BC90" s="12">
        <f t="shared" si="152"/>
        <v>37.299999999999997</v>
      </c>
      <c r="BD90" s="12">
        <f t="shared" si="152"/>
        <v>8.1999999999999993</v>
      </c>
      <c r="BE90" s="12">
        <f t="shared" si="152"/>
        <v>9</v>
      </c>
      <c r="BF90" s="12">
        <f t="shared" si="152"/>
        <v>1.4</v>
      </c>
      <c r="BG90" s="12">
        <f t="shared" si="152"/>
        <v>12.66</v>
      </c>
      <c r="BH90" s="12">
        <f t="shared" si="152"/>
        <v>11.6</v>
      </c>
      <c r="BI90" s="12">
        <f t="shared" si="152"/>
        <v>72.099999999999994</v>
      </c>
      <c r="BJ90" s="12">
        <f t="shared" si="152"/>
        <v>21.400000000000006</v>
      </c>
      <c r="BK90" s="12">
        <f t="shared" si="152"/>
        <v>60.000000000000021</v>
      </c>
      <c r="BL90" s="12">
        <f t="shared" si="153"/>
        <v>31.4</v>
      </c>
      <c r="BM90" s="12">
        <f t="shared" si="153"/>
        <v>5.4</v>
      </c>
      <c r="BN90" s="12">
        <f t="shared" si="153"/>
        <v>32.4</v>
      </c>
      <c r="BO90" s="12">
        <f t="shared" si="153"/>
        <v>17.3</v>
      </c>
      <c r="BP90" s="12">
        <f t="shared" si="153"/>
        <v>1.08</v>
      </c>
      <c r="BQ90" s="12">
        <f t="shared" si="153"/>
        <v>13.1</v>
      </c>
      <c r="BR90" s="12">
        <f t="shared" si="153"/>
        <v>20.18</v>
      </c>
      <c r="BS90" s="12">
        <f t="shared" si="153"/>
        <v>4.9000000000000004</v>
      </c>
      <c r="BT90" s="12">
        <f t="shared" si="153"/>
        <v>42.6</v>
      </c>
      <c r="BU90" s="12">
        <f t="shared" si="153"/>
        <v>25.44</v>
      </c>
      <c r="BV90" s="12">
        <f t="shared" si="154"/>
        <v>0.51100000000000001</v>
      </c>
      <c r="BW90" s="12">
        <f t="shared" si="154"/>
        <v>12.19</v>
      </c>
      <c r="BX90" s="12">
        <f t="shared" si="154"/>
        <v>47.4</v>
      </c>
      <c r="BY90" s="12">
        <f t="shared" si="154"/>
        <v>19.399999999999999</v>
      </c>
      <c r="BZ90" s="12">
        <f t="shared" si="154"/>
        <v>70.7</v>
      </c>
      <c r="CA90" s="12">
        <f t="shared" si="154"/>
        <v>23.8</v>
      </c>
      <c r="CB90" s="12">
        <f t="shared" si="154"/>
        <v>16.899999999999999</v>
      </c>
      <c r="CC90" s="12">
        <f t="shared" si="154"/>
        <v>69.599999999999994</v>
      </c>
      <c r="CD90" s="12">
        <f t="shared" si="154"/>
        <v>10.64</v>
      </c>
      <c r="CE90" s="12">
        <f t="shared" si="154"/>
        <v>75.3</v>
      </c>
      <c r="CF90" s="12">
        <f t="shared" si="155"/>
        <v>3.3</v>
      </c>
      <c r="CG90" s="12">
        <f t="shared" si="155"/>
        <v>35.89</v>
      </c>
      <c r="CH90" s="12">
        <f t="shared" si="155"/>
        <v>6.3</v>
      </c>
      <c r="CI90" s="12">
        <f t="shared" si="155"/>
        <v>8.3000000000000007</v>
      </c>
      <c r="CJ90" s="12">
        <f t="shared" si="155"/>
        <v>1.1000000000000001</v>
      </c>
      <c r="CK90" s="12">
        <f t="shared" si="155"/>
        <v>12.88</v>
      </c>
      <c r="CL90" s="12">
        <f t="shared" si="155"/>
        <v>11.7</v>
      </c>
      <c r="CM90" s="12">
        <f t="shared" si="155"/>
        <v>72.099999999999994</v>
      </c>
      <c r="CN90" s="12">
        <f t="shared" si="155"/>
        <v>21.099999999999998</v>
      </c>
      <c r="CO90" s="12">
        <f t="shared" si="155"/>
        <v>55.907172995780591</v>
      </c>
    </row>
    <row r="91" spans="1:93" x14ac:dyDescent="0.3">
      <c r="A91" s="6" t="s">
        <v>351</v>
      </c>
      <c r="B91" s="3">
        <v>8</v>
      </c>
      <c r="C91" s="13" t="s">
        <v>57</v>
      </c>
      <c r="D91" s="14">
        <v>45</v>
      </c>
      <c r="E91" s="38">
        <f>G90</f>
        <v>38.461538461538467</v>
      </c>
      <c r="F91" s="39">
        <v>3</v>
      </c>
      <c r="G91" s="38">
        <f t="shared" si="119"/>
        <v>20</v>
      </c>
      <c r="H91" s="39">
        <v>15</v>
      </c>
      <c r="I91" s="40">
        <f t="shared" si="120"/>
        <v>0.72727272727272729</v>
      </c>
      <c r="J91" s="39">
        <v>8</v>
      </c>
      <c r="K91" s="39">
        <v>18</v>
      </c>
      <c r="L91" s="39">
        <v>3</v>
      </c>
      <c r="M91" s="39">
        <f>Q90</f>
        <v>48</v>
      </c>
      <c r="N91" s="39">
        <v>21</v>
      </c>
      <c r="O91" s="41">
        <f t="shared" si="121"/>
        <v>0.21249999999999999</v>
      </c>
      <c r="P91" s="39">
        <v>4</v>
      </c>
      <c r="Q91" s="39">
        <v>41.4</v>
      </c>
      <c r="R91" s="39">
        <v>25</v>
      </c>
      <c r="S91" s="38">
        <f t="shared" si="122"/>
        <v>80.769230769230774</v>
      </c>
      <c r="T91" s="39">
        <v>26</v>
      </c>
      <c r="U91" s="39">
        <v>21</v>
      </c>
      <c r="V91" s="39">
        <f>X90</f>
        <v>71</v>
      </c>
      <c r="W91" s="39">
        <v>15</v>
      </c>
      <c r="X91" s="39">
        <v>72</v>
      </c>
      <c r="Y91" s="39">
        <f>Z91-Z90</f>
        <v>7</v>
      </c>
      <c r="Z91" s="39">
        <f t="shared" si="123"/>
        <v>36</v>
      </c>
      <c r="AA91" s="39">
        <f t="shared" si="124"/>
        <v>1</v>
      </c>
      <c r="AB91" s="39">
        <v>5</v>
      </c>
      <c r="AC91" s="39">
        <f t="shared" si="125"/>
        <v>1</v>
      </c>
      <c r="AD91" s="39">
        <f>AE90</f>
        <v>12</v>
      </c>
      <c r="AE91" s="39">
        <v>11</v>
      </c>
      <c r="AF91" s="46">
        <f t="shared" si="127"/>
        <v>66.321014492753619</v>
      </c>
      <c r="AG91" s="51">
        <f t="shared" ref="AG91" si="164">AVERAGE(AF90,AF91)</f>
        <v>66.59800724637681</v>
      </c>
      <c r="AH91" s="12">
        <f t="shared" si="150"/>
        <v>31.4</v>
      </c>
      <c r="AI91" s="12">
        <f t="shared" si="150"/>
        <v>5.4</v>
      </c>
      <c r="AJ91" s="12">
        <f t="shared" si="150"/>
        <v>32.4</v>
      </c>
      <c r="AK91" s="12">
        <f t="shared" si="150"/>
        <v>17.3</v>
      </c>
      <c r="AL91" s="12">
        <f t="shared" si="150"/>
        <v>1.08</v>
      </c>
      <c r="AM91" s="12">
        <f t="shared" si="150"/>
        <v>13.1</v>
      </c>
      <c r="AN91" s="12">
        <f t="shared" si="150"/>
        <v>20.18</v>
      </c>
      <c r="AO91" s="12">
        <f t="shared" si="150"/>
        <v>4.9000000000000004</v>
      </c>
      <c r="AP91" s="12">
        <f t="shared" si="150"/>
        <v>42.6</v>
      </c>
      <c r="AQ91" s="12">
        <f t="shared" si="150"/>
        <v>25.44</v>
      </c>
      <c r="AR91" s="12">
        <f t="shared" si="151"/>
        <v>0.51100000000000001</v>
      </c>
      <c r="AS91" s="12">
        <f t="shared" si="151"/>
        <v>12.19</v>
      </c>
      <c r="AT91" s="12">
        <f t="shared" si="151"/>
        <v>47.4</v>
      </c>
      <c r="AU91" s="12">
        <f t="shared" si="151"/>
        <v>19.399999999999999</v>
      </c>
      <c r="AV91" s="12">
        <f t="shared" si="151"/>
        <v>70.7</v>
      </c>
      <c r="AW91" s="12">
        <f t="shared" si="151"/>
        <v>23.8</v>
      </c>
      <c r="AX91" s="12">
        <f t="shared" si="151"/>
        <v>16.899999999999999</v>
      </c>
      <c r="AY91" s="12">
        <f t="shared" si="151"/>
        <v>69.599999999999994</v>
      </c>
      <c r="AZ91" s="12">
        <f t="shared" si="151"/>
        <v>10.64</v>
      </c>
      <c r="BA91" s="12">
        <f t="shared" si="151"/>
        <v>75.3</v>
      </c>
      <c r="BB91" s="12">
        <f t="shared" si="152"/>
        <v>3.3</v>
      </c>
      <c r="BC91" s="12">
        <f t="shared" si="152"/>
        <v>35.89</v>
      </c>
      <c r="BD91" s="12">
        <f t="shared" si="152"/>
        <v>6.3</v>
      </c>
      <c r="BE91" s="12">
        <f t="shared" si="152"/>
        <v>8.3000000000000007</v>
      </c>
      <c r="BF91" s="12">
        <f t="shared" si="152"/>
        <v>1.1000000000000001</v>
      </c>
      <c r="BG91" s="12">
        <f t="shared" si="152"/>
        <v>12.88</v>
      </c>
      <c r="BH91" s="12">
        <f t="shared" si="152"/>
        <v>11.7</v>
      </c>
      <c r="BI91" s="12">
        <f t="shared" si="152"/>
        <v>72.099999999999994</v>
      </c>
      <c r="BJ91" s="12">
        <f t="shared" si="152"/>
        <v>21.099999999999998</v>
      </c>
      <c r="BK91" s="12">
        <f t="shared" si="152"/>
        <v>55.907172995780591</v>
      </c>
      <c r="BL91" s="12">
        <f t="shared" si="153"/>
        <v>31.2</v>
      </c>
      <c r="BM91" s="12">
        <f t="shared" si="153"/>
        <v>7.1</v>
      </c>
      <c r="BN91" s="12">
        <f t="shared" si="153"/>
        <v>34.9</v>
      </c>
      <c r="BO91" s="12">
        <f t="shared" si="153"/>
        <v>20.8</v>
      </c>
      <c r="BP91" s="12">
        <f t="shared" si="153"/>
        <v>1.48</v>
      </c>
      <c r="BQ91" s="12">
        <f t="shared" si="153"/>
        <v>16.8</v>
      </c>
      <c r="BR91" s="12">
        <f t="shared" si="153"/>
        <v>11.27</v>
      </c>
      <c r="BS91" s="12">
        <f t="shared" si="153"/>
        <v>3.9</v>
      </c>
      <c r="BT91" s="12">
        <f t="shared" si="153"/>
        <v>41.8</v>
      </c>
      <c r="BU91" s="12">
        <f t="shared" si="153"/>
        <v>26.89</v>
      </c>
      <c r="BV91" s="12">
        <f t="shared" si="154"/>
        <v>0.53800000000000003</v>
      </c>
      <c r="BW91" s="12">
        <f t="shared" si="154"/>
        <v>13.57</v>
      </c>
      <c r="BX91" s="12">
        <f t="shared" si="154"/>
        <v>47.5</v>
      </c>
      <c r="BY91" s="12">
        <f t="shared" si="154"/>
        <v>16.5</v>
      </c>
      <c r="BZ91" s="12">
        <f t="shared" si="154"/>
        <v>72</v>
      </c>
      <c r="CA91" s="12">
        <f t="shared" si="154"/>
        <v>18.399999999999999</v>
      </c>
      <c r="CB91" s="12">
        <f t="shared" si="154"/>
        <v>13.3</v>
      </c>
      <c r="CC91" s="12">
        <f t="shared" si="154"/>
        <v>69.8</v>
      </c>
      <c r="CD91" s="12">
        <f t="shared" si="154"/>
        <v>10.06</v>
      </c>
      <c r="CE91" s="12">
        <f t="shared" si="154"/>
        <v>77.400000000000006</v>
      </c>
      <c r="CF91" s="12">
        <f t="shared" si="155"/>
        <v>1.7</v>
      </c>
      <c r="CG91" s="12">
        <f t="shared" si="155"/>
        <v>37.299999999999997</v>
      </c>
      <c r="CH91" s="12">
        <f t="shared" si="155"/>
        <v>8.1999999999999993</v>
      </c>
      <c r="CI91" s="12">
        <f t="shared" si="155"/>
        <v>9</v>
      </c>
      <c r="CJ91" s="12">
        <f t="shared" si="155"/>
        <v>1.4</v>
      </c>
      <c r="CK91" s="12">
        <f t="shared" si="155"/>
        <v>12.66</v>
      </c>
      <c r="CL91" s="12">
        <f t="shared" si="155"/>
        <v>11.6</v>
      </c>
      <c r="CM91" s="12">
        <f t="shared" si="155"/>
        <v>72.099999999999994</v>
      </c>
      <c r="CN91" s="12">
        <f t="shared" si="155"/>
        <v>21.400000000000006</v>
      </c>
      <c r="CO91" s="12">
        <f t="shared" si="155"/>
        <v>60.000000000000021</v>
      </c>
    </row>
    <row r="92" spans="1:93" x14ac:dyDescent="0.3">
      <c r="A92" s="6" t="s">
        <v>2</v>
      </c>
      <c r="B92" s="3">
        <v>4</v>
      </c>
      <c r="C92" s="13" t="s">
        <v>22</v>
      </c>
      <c r="D92" s="14">
        <v>46</v>
      </c>
      <c r="E92" s="38">
        <f>G93</f>
        <v>28.571428571428569</v>
      </c>
      <c r="F92" s="39">
        <v>10</v>
      </c>
      <c r="G92" s="38">
        <f t="shared" si="119"/>
        <v>45.454545454545453</v>
      </c>
      <c r="H92" s="39">
        <v>22</v>
      </c>
      <c r="I92" s="40">
        <f t="shared" si="120"/>
        <v>1.0714285714285714</v>
      </c>
      <c r="J92" s="39">
        <v>15</v>
      </c>
      <c r="K92" s="39">
        <v>12</v>
      </c>
      <c r="L92" s="39">
        <v>5</v>
      </c>
      <c r="M92" s="39">
        <f>Q93</f>
        <v>38.799999999999997</v>
      </c>
      <c r="N92" s="39">
        <v>27</v>
      </c>
      <c r="O92" s="41">
        <f t="shared" si="121"/>
        <v>0.53872053872053871</v>
      </c>
      <c r="P92" s="39">
        <v>9</v>
      </c>
      <c r="Q92" s="39">
        <v>54</v>
      </c>
      <c r="R92" s="39">
        <v>16</v>
      </c>
      <c r="S92" s="38">
        <f t="shared" si="122"/>
        <v>85.714285714285708</v>
      </c>
      <c r="T92" s="39">
        <v>7</v>
      </c>
      <c r="U92" s="39">
        <v>6</v>
      </c>
      <c r="V92" s="39">
        <f>X93</f>
        <v>55</v>
      </c>
      <c r="W92" s="39">
        <v>4</v>
      </c>
      <c r="X92" s="39">
        <v>70</v>
      </c>
      <c r="Y92" s="39">
        <f>Z92-Z93</f>
        <v>9</v>
      </c>
      <c r="Z92" s="39">
        <f t="shared" si="123"/>
        <v>31</v>
      </c>
      <c r="AA92" s="39">
        <f t="shared" si="124"/>
        <v>15</v>
      </c>
      <c r="AB92" s="39">
        <v>2</v>
      </c>
      <c r="AC92" s="39">
        <f t="shared" si="125"/>
        <v>-5</v>
      </c>
      <c r="AD92" s="39">
        <f>AE93</f>
        <v>9</v>
      </c>
      <c r="AE92" s="39">
        <v>14</v>
      </c>
      <c r="AF92" s="46">
        <f t="shared" si="127"/>
        <v>63.325000000000003</v>
      </c>
      <c r="AG92" s="51">
        <f t="shared" ref="AG92" si="165">AVERAGE(AF92,AF93)</f>
        <v>63.659536082474233</v>
      </c>
      <c r="AH92" s="12">
        <f t="shared" ref="AH92:AQ101" si="166">INDEX(ovrTable2,MATCH(INDEX(teamCol2,ROW()),ovrTeamCol2,0),MATCH(MID(INDEX(headerRow2,1,COLUMN()),4,LEN(INDEX(headerRow2,1,COLUMN()))),ovrHeaderRow2,0))</f>
        <v>30.2</v>
      </c>
      <c r="AI92" s="12">
        <f t="shared" si="166"/>
        <v>9.1</v>
      </c>
      <c r="AJ92" s="12">
        <f t="shared" si="166"/>
        <v>36.1</v>
      </c>
      <c r="AK92" s="12">
        <f t="shared" si="166"/>
        <v>24.9</v>
      </c>
      <c r="AL92" s="12">
        <f t="shared" si="166"/>
        <v>1.54</v>
      </c>
      <c r="AM92" s="12">
        <f t="shared" si="166"/>
        <v>18.5</v>
      </c>
      <c r="AN92" s="12">
        <f t="shared" si="166"/>
        <v>21.08</v>
      </c>
      <c r="AO92" s="12">
        <f t="shared" si="166"/>
        <v>4.5999999999999996</v>
      </c>
      <c r="AP92" s="12">
        <f t="shared" si="166"/>
        <v>39.6</v>
      </c>
      <c r="AQ92" s="12">
        <f t="shared" si="166"/>
        <v>26.97</v>
      </c>
      <c r="AR92" s="12">
        <f t="shared" ref="AR92:BA101" si="167">INDEX(ovrTable2,MATCH(INDEX(teamCol2,ROW()),ovrTeamCol2,0),MATCH(MID(INDEX(headerRow2,1,COLUMN()),4,LEN(INDEX(headerRow2,1,COLUMN()))),ovrHeaderRow2,0))</f>
        <v>0.54700000000000004</v>
      </c>
      <c r="AS92" s="12">
        <f t="shared" si="167"/>
        <v>10.91</v>
      </c>
      <c r="AT92" s="12">
        <f t="shared" si="167"/>
        <v>46.9</v>
      </c>
      <c r="AU92" s="12">
        <f t="shared" si="167"/>
        <v>17.3</v>
      </c>
      <c r="AV92" s="12">
        <f t="shared" si="167"/>
        <v>75.900000000000006</v>
      </c>
      <c r="AW92" s="12">
        <f t="shared" si="167"/>
        <v>19.100000000000001</v>
      </c>
      <c r="AX92" s="12">
        <f t="shared" si="167"/>
        <v>15.1</v>
      </c>
      <c r="AY92" s="12">
        <f t="shared" si="167"/>
        <v>66.7</v>
      </c>
      <c r="AZ92" s="12">
        <f t="shared" si="167"/>
        <v>13.43</v>
      </c>
      <c r="BA92" s="12">
        <f t="shared" si="167"/>
        <v>81.400000000000006</v>
      </c>
      <c r="BB92" s="12">
        <f t="shared" ref="BB92:BK101" si="168">INDEX(ovrTable2,MATCH(INDEX(teamCol2,ROW()),ovrTeamCol2,0),MATCH(MID(INDEX(headerRow2,1,COLUMN()),4,LEN(INDEX(headerRow2,1,COLUMN()))),ovrHeaderRow2,0))</f>
        <v>9.9</v>
      </c>
      <c r="BC92" s="12">
        <f t="shared" si="168"/>
        <v>41.08</v>
      </c>
      <c r="BD92" s="12">
        <f t="shared" si="168"/>
        <v>17.7</v>
      </c>
      <c r="BE92" s="12">
        <f t="shared" si="168"/>
        <v>6.1</v>
      </c>
      <c r="BF92" s="12">
        <f t="shared" si="168"/>
        <v>-0.1</v>
      </c>
      <c r="BG92" s="12">
        <f t="shared" si="168"/>
        <v>11.44</v>
      </c>
      <c r="BH92" s="12">
        <f t="shared" si="168"/>
        <v>11.9</v>
      </c>
      <c r="BI92" s="12">
        <f t="shared" si="168"/>
        <v>70.099999999999994</v>
      </c>
      <c r="BJ92" s="12">
        <f t="shared" si="168"/>
        <v>19.500000000000007</v>
      </c>
      <c r="BK92" s="12">
        <f t="shared" si="168"/>
        <v>60.9808102345416</v>
      </c>
      <c r="BL92" s="12">
        <f t="shared" ref="BL92:BU101" si="169">INDEX(ovrTable2,MATCH(INDEX(oppCol23,ROW()),ovrTeamCol2,0),MATCH(MID(INDEX(headerRow2,1,COLUMN()),4,LEN(INDEX(headerRow2,1,COLUMN()))),ovrHeaderRow2,0))</f>
        <v>32.700000000000003</v>
      </c>
      <c r="BM92" s="12">
        <f t="shared" si="169"/>
        <v>7.7</v>
      </c>
      <c r="BN92" s="12">
        <f t="shared" si="169"/>
        <v>36.5</v>
      </c>
      <c r="BO92" s="12">
        <f t="shared" si="169"/>
        <v>21.6</v>
      </c>
      <c r="BP92" s="12">
        <f t="shared" si="169"/>
        <v>1.3</v>
      </c>
      <c r="BQ92" s="12">
        <f t="shared" si="169"/>
        <v>12.7</v>
      </c>
      <c r="BR92" s="12">
        <f t="shared" si="169"/>
        <v>15.09</v>
      </c>
      <c r="BS92" s="12">
        <f t="shared" si="169"/>
        <v>3.7</v>
      </c>
      <c r="BT92" s="12">
        <f t="shared" si="169"/>
        <v>42.1</v>
      </c>
      <c r="BU92" s="12">
        <f t="shared" si="169"/>
        <v>25.17</v>
      </c>
      <c r="BV92" s="12">
        <f t="shared" ref="BV92:CE101" si="170">INDEX(ovrTable2,MATCH(INDEX(oppCol23,ROW()),ovrTeamCol2,0),MATCH(MID(INDEX(headerRow2,1,COLUMN()),4,LEN(INDEX(headerRow2,1,COLUMN()))),ovrHeaderRow2,0))</f>
        <v>0.53</v>
      </c>
      <c r="BW92" s="12">
        <f t="shared" si="170"/>
        <v>5.0599999999999996</v>
      </c>
      <c r="BX92" s="12">
        <f t="shared" si="170"/>
        <v>46.1</v>
      </c>
      <c r="BY92" s="12">
        <f t="shared" si="170"/>
        <v>16.399999999999999</v>
      </c>
      <c r="BZ92" s="12">
        <f t="shared" si="170"/>
        <v>70.400000000000006</v>
      </c>
      <c r="CA92" s="12">
        <f t="shared" si="170"/>
        <v>18.5</v>
      </c>
      <c r="CB92" s="12">
        <f t="shared" si="170"/>
        <v>12.2</v>
      </c>
      <c r="CC92" s="12">
        <f t="shared" si="170"/>
        <v>59.7</v>
      </c>
      <c r="CD92" s="12">
        <f t="shared" si="170"/>
        <v>11.18</v>
      </c>
      <c r="CE92" s="12">
        <f t="shared" si="170"/>
        <v>72.099999999999994</v>
      </c>
      <c r="CF92" s="12">
        <f t="shared" ref="CF92:CO101" si="171">INDEX(ovrTable2,MATCH(INDEX(oppCol23,ROW()),ovrTeamCol2,0),MATCH(MID(INDEX(headerRow2,1,COLUMN()),4,LEN(INDEX(headerRow2,1,COLUMN()))),ovrHeaderRow2,0))</f>
        <v>8.5</v>
      </c>
      <c r="CG92" s="12">
        <f t="shared" si="171"/>
        <v>35.83</v>
      </c>
      <c r="CH92" s="12">
        <f t="shared" si="171"/>
        <v>12.1</v>
      </c>
      <c r="CI92" s="12">
        <f t="shared" si="171"/>
        <v>6.7</v>
      </c>
      <c r="CJ92" s="12">
        <f t="shared" si="171"/>
        <v>1.2</v>
      </c>
      <c r="CK92" s="12">
        <f t="shared" si="171"/>
        <v>11.31</v>
      </c>
      <c r="CL92" s="12">
        <f t="shared" si="171"/>
        <v>9.9</v>
      </c>
      <c r="CM92" s="12">
        <f t="shared" si="171"/>
        <v>65.599999999999994</v>
      </c>
      <c r="CN92" s="12">
        <f t="shared" si="171"/>
        <v>18.399999999999995</v>
      </c>
      <c r="CO92" s="12">
        <f t="shared" si="171"/>
        <v>56.616052060737516</v>
      </c>
    </row>
    <row r="93" spans="1:93" x14ac:dyDescent="0.3">
      <c r="A93" s="6" t="s">
        <v>22</v>
      </c>
      <c r="B93" s="3">
        <v>5</v>
      </c>
      <c r="C93" s="13" t="s">
        <v>2</v>
      </c>
      <c r="D93" s="14">
        <v>46</v>
      </c>
      <c r="E93" s="38">
        <f>G92</f>
        <v>45.454545454545453</v>
      </c>
      <c r="F93" s="39">
        <v>4</v>
      </c>
      <c r="G93" s="38">
        <f t="shared" si="119"/>
        <v>28.571428571428569</v>
      </c>
      <c r="H93" s="39">
        <v>14</v>
      </c>
      <c r="I93" s="40">
        <f t="shared" si="120"/>
        <v>1</v>
      </c>
      <c r="J93" s="39">
        <v>9</v>
      </c>
      <c r="K93" s="39">
        <v>16</v>
      </c>
      <c r="L93" s="39">
        <v>1</v>
      </c>
      <c r="M93" s="39">
        <f>Q92</f>
        <v>54</v>
      </c>
      <c r="N93" s="39">
        <v>19</v>
      </c>
      <c r="O93" s="41">
        <f t="shared" si="121"/>
        <v>0.31578947368421051</v>
      </c>
      <c r="P93" s="39">
        <v>5</v>
      </c>
      <c r="Q93" s="39">
        <v>38.799999999999997</v>
      </c>
      <c r="R93" s="39">
        <v>13</v>
      </c>
      <c r="S93" s="38">
        <f t="shared" si="122"/>
        <v>68.421052631578945</v>
      </c>
      <c r="T93" s="39">
        <v>19</v>
      </c>
      <c r="U93" s="39">
        <v>13</v>
      </c>
      <c r="V93" s="39">
        <f>X92</f>
        <v>70</v>
      </c>
      <c r="W93" s="39">
        <v>3</v>
      </c>
      <c r="X93" s="39">
        <v>55</v>
      </c>
      <c r="Y93" s="39">
        <f>Z93-Z92</f>
        <v>-9</v>
      </c>
      <c r="Z93" s="39">
        <f t="shared" si="123"/>
        <v>22</v>
      </c>
      <c r="AA93" s="39">
        <f t="shared" si="124"/>
        <v>-15</v>
      </c>
      <c r="AB93" s="39">
        <v>6</v>
      </c>
      <c r="AC93" s="39">
        <f t="shared" si="125"/>
        <v>5</v>
      </c>
      <c r="AD93" s="39">
        <f>AE92</f>
        <v>14</v>
      </c>
      <c r="AE93" s="39">
        <v>9</v>
      </c>
      <c r="AF93" s="46">
        <f t="shared" si="127"/>
        <v>63.994072164948456</v>
      </c>
      <c r="AG93" s="51">
        <f t="shared" ref="AG93" si="172">AVERAGE(AF92,AF93)</f>
        <v>63.659536082474233</v>
      </c>
      <c r="AH93" s="12">
        <f t="shared" si="166"/>
        <v>32.700000000000003</v>
      </c>
      <c r="AI93" s="12">
        <f t="shared" si="166"/>
        <v>7.7</v>
      </c>
      <c r="AJ93" s="12">
        <f t="shared" si="166"/>
        <v>36.5</v>
      </c>
      <c r="AK93" s="12">
        <f t="shared" si="166"/>
        <v>21.6</v>
      </c>
      <c r="AL93" s="12">
        <f t="shared" si="166"/>
        <v>1.3</v>
      </c>
      <c r="AM93" s="12">
        <f t="shared" si="166"/>
        <v>12.7</v>
      </c>
      <c r="AN93" s="12">
        <f t="shared" si="166"/>
        <v>15.09</v>
      </c>
      <c r="AO93" s="12">
        <f t="shared" si="166"/>
        <v>3.7</v>
      </c>
      <c r="AP93" s="12">
        <f t="shared" si="166"/>
        <v>42.1</v>
      </c>
      <c r="AQ93" s="12">
        <f t="shared" si="166"/>
        <v>25.17</v>
      </c>
      <c r="AR93" s="12">
        <f t="shared" si="167"/>
        <v>0.53</v>
      </c>
      <c r="AS93" s="12">
        <f t="shared" si="167"/>
        <v>5.0599999999999996</v>
      </c>
      <c r="AT93" s="12">
        <f t="shared" si="167"/>
        <v>46.1</v>
      </c>
      <c r="AU93" s="12">
        <f t="shared" si="167"/>
        <v>16.399999999999999</v>
      </c>
      <c r="AV93" s="12">
        <f t="shared" si="167"/>
        <v>70.400000000000006</v>
      </c>
      <c r="AW93" s="12">
        <f t="shared" si="167"/>
        <v>18.5</v>
      </c>
      <c r="AX93" s="12">
        <f t="shared" si="167"/>
        <v>12.2</v>
      </c>
      <c r="AY93" s="12">
        <f t="shared" si="167"/>
        <v>59.7</v>
      </c>
      <c r="AZ93" s="12">
        <f t="shared" si="167"/>
        <v>11.18</v>
      </c>
      <c r="BA93" s="12">
        <f t="shared" si="167"/>
        <v>72.099999999999994</v>
      </c>
      <c r="BB93" s="12">
        <f t="shared" si="168"/>
        <v>8.5</v>
      </c>
      <c r="BC93" s="12">
        <f t="shared" si="168"/>
        <v>35.83</v>
      </c>
      <c r="BD93" s="12">
        <f t="shared" si="168"/>
        <v>12.1</v>
      </c>
      <c r="BE93" s="12">
        <f t="shared" si="168"/>
        <v>6.7</v>
      </c>
      <c r="BF93" s="12">
        <f t="shared" si="168"/>
        <v>1.2</v>
      </c>
      <c r="BG93" s="12">
        <f t="shared" si="168"/>
        <v>11.31</v>
      </c>
      <c r="BH93" s="12">
        <f t="shared" si="168"/>
        <v>9.9</v>
      </c>
      <c r="BI93" s="12">
        <f t="shared" si="168"/>
        <v>65.599999999999994</v>
      </c>
      <c r="BJ93" s="12">
        <f t="shared" si="168"/>
        <v>18.399999999999995</v>
      </c>
      <c r="BK93" s="12">
        <f t="shared" si="168"/>
        <v>56.616052060737516</v>
      </c>
      <c r="BL93" s="12">
        <f t="shared" si="169"/>
        <v>30.2</v>
      </c>
      <c r="BM93" s="12">
        <f t="shared" si="169"/>
        <v>9.1</v>
      </c>
      <c r="BN93" s="12">
        <f t="shared" si="169"/>
        <v>36.1</v>
      </c>
      <c r="BO93" s="12">
        <f t="shared" si="169"/>
        <v>24.9</v>
      </c>
      <c r="BP93" s="12">
        <f t="shared" si="169"/>
        <v>1.54</v>
      </c>
      <c r="BQ93" s="12">
        <f t="shared" si="169"/>
        <v>18.5</v>
      </c>
      <c r="BR93" s="12">
        <f t="shared" si="169"/>
        <v>21.08</v>
      </c>
      <c r="BS93" s="12">
        <f t="shared" si="169"/>
        <v>4.5999999999999996</v>
      </c>
      <c r="BT93" s="12">
        <f t="shared" si="169"/>
        <v>39.6</v>
      </c>
      <c r="BU93" s="12">
        <f t="shared" si="169"/>
        <v>26.97</v>
      </c>
      <c r="BV93" s="12">
        <f t="shared" si="170"/>
        <v>0.54700000000000004</v>
      </c>
      <c r="BW93" s="12">
        <f t="shared" si="170"/>
        <v>10.91</v>
      </c>
      <c r="BX93" s="12">
        <f t="shared" si="170"/>
        <v>46.9</v>
      </c>
      <c r="BY93" s="12">
        <f t="shared" si="170"/>
        <v>17.3</v>
      </c>
      <c r="BZ93" s="12">
        <f t="shared" si="170"/>
        <v>75.900000000000006</v>
      </c>
      <c r="CA93" s="12">
        <f t="shared" si="170"/>
        <v>19.100000000000001</v>
      </c>
      <c r="CB93" s="12">
        <f t="shared" si="170"/>
        <v>15.1</v>
      </c>
      <c r="CC93" s="12">
        <f t="shared" si="170"/>
        <v>66.7</v>
      </c>
      <c r="CD93" s="12">
        <f t="shared" si="170"/>
        <v>13.43</v>
      </c>
      <c r="CE93" s="12">
        <f t="shared" si="170"/>
        <v>81.400000000000006</v>
      </c>
      <c r="CF93" s="12">
        <f t="shared" si="171"/>
        <v>9.9</v>
      </c>
      <c r="CG93" s="12">
        <f t="shared" si="171"/>
        <v>41.08</v>
      </c>
      <c r="CH93" s="12">
        <f t="shared" si="171"/>
        <v>17.7</v>
      </c>
      <c r="CI93" s="12">
        <f t="shared" si="171"/>
        <v>6.1</v>
      </c>
      <c r="CJ93" s="12">
        <f t="shared" si="171"/>
        <v>-0.1</v>
      </c>
      <c r="CK93" s="12">
        <f t="shared" si="171"/>
        <v>11.44</v>
      </c>
      <c r="CL93" s="12">
        <f t="shared" si="171"/>
        <v>11.9</v>
      </c>
      <c r="CM93" s="12">
        <f t="shared" si="171"/>
        <v>70.099999999999994</v>
      </c>
      <c r="CN93" s="12">
        <f t="shared" si="171"/>
        <v>19.500000000000007</v>
      </c>
      <c r="CO93" s="12">
        <f t="shared" si="171"/>
        <v>60.9808102345416</v>
      </c>
    </row>
    <row r="94" spans="1:93" x14ac:dyDescent="0.3">
      <c r="A94" s="6" t="s">
        <v>58</v>
      </c>
      <c r="B94" s="3">
        <v>3</v>
      </c>
      <c r="C94" s="13" t="s">
        <v>62</v>
      </c>
      <c r="D94" s="14">
        <v>47</v>
      </c>
      <c r="E94" s="38">
        <f>G95</f>
        <v>36</v>
      </c>
      <c r="F94" s="39">
        <v>8</v>
      </c>
      <c r="G94" s="38">
        <f t="shared" si="119"/>
        <v>32</v>
      </c>
      <c r="H94" s="39">
        <v>25</v>
      </c>
      <c r="I94" s="40">
        <f t="shared" si="120"/>
        <v>1.2727272727272727</v>
      </c>
      <c r="J94" s="39">
        <v>14</v>
      </c>
      <c r="K94" s="39">
        <v>18</v>
      </c>
      <c r="L94" s="39">
        <v>5</v>
      </c>
      <c r="M94" s="39">
        <f>Q95</f>
        <v>44.8</v>
      </c>
      <c r="N94" s="39">
        <v>31</v>
      </c>
      <c r="O94" s="41">
        <f t="shared" si="121"/>
        <v>0.36266666666666669</v>
      </c>
      <c r="P94" s="39">
        <v>24</v>
      </c>
      <c r="Q94" s="39">
        <v>44.8</v>
      </c>
      <c r="R94" s="39">
        <v>17</v>
      </c>
      <c r="S94" s="38">
        <f t="shared" si="122"/>
        <v>64</v>
      </c>
      <c r="T94" s="39">
        <v>25</v>
      </c>
      <c r="U94" s="39">
        <v>16</v>
      </c>
      <c r="V94" s="39">
        <f>X95</f>
        <v>81</v>
      </c>
      <c r="W94" s="39">
        <v>12</v>
      </c>
      <c r="X94" s="39">
        <v>84</v>
      </c>
      <c r="Y94" s="39">
        <f>Z94-Z95</f>
        <v>7</v>
      </c>
      <c r="Z94" s="39">
        <f t="shared" si="123"/>
        <v>43</v>
      </c>
      <c r="AA94" s="39">
        <f t="shared" si="124"/>
        <v>3</v>
      </c>
      <c r="AB94" s="39">
        <v>6</v>
      </c>
      <c r="AC94" s="39">
        <f t="shared" si="125"/>
        <v>-2</v>
      </c>
      <c r="AD94" s="39">
        <f>AE95</f>
        <v>9</v>
      </c>
      <c r="AE94" s="39">
        <v>11</v>
      </c>
      <c r="AF94" s="46">
        <f t="shared" si="127"/>
        <v>77.839285714285722</v>
      </c>
      <c r="AG94" s="51">
        <f t="shared" ref="AG94" si="173">AVERAGE(AF94,AF95)</f>
        <v>80.071428571428584</v>
      </c>
      <c r="AH94" s="12">
        <f t="shared" si="166"/>
        <v>34.4</v>
      </c>
      <c r="AI94" s="12">
        <f t="shared" si="166"/>
        <v>7.8</v>
      </c>
      <c r="AJ94" s="12">
        <f t="shared" si="166"/>
        <v>38.299999999999997</v>
      </c>
      <c r="AK94" s="12">
        <f t="shared" si="166"/>
        <v>20.3</v>
      </c>
      <c r="AL94" s="12">
        <f t="shared" si="166"/>
        <v>1.66</v>
      </c>
      <c r="AM94" s="12">
        <f t="shared" si="166"/>
        <v>16.7</v>
      </c>
      <c r="AN94" s="12">
        <f t="shared" si="166"/>
        <v>21.67</v>
      </c>
      <c r="AO94" s="12">
        <f t="shared" si="166"/>
        <v>3.6</v>
      </c>
      <c r="AP94" s="12">
        <f t="shared" si="166"/>
        <v>43.7</v>
      </c>
      <c r="AQ94" s="12">
        <f t="shared" si="166"/>
        <v>27.64</v>
      </c>
      <c r="AR94" s="12">
        <f t="shared" si="167"/>
        <v>0.57399999999999995</v>
      </c>
      <c r="AS94" s="12">
        <f t="shared" si="167"/>
        <v>13.7</v>
      </c>
      <c r="AT94" s="12">
        <f t="shared" si="167"/>
        <v>51.8</v>
      </c>
      <c r="AU94" s="12">
        <f t="shared" si="167"/>
        <v>16.5</v>
      </c>
      <c r="AV94" s="12">
        <f t="shared" si="167"/>
        <v>70.3</v>
      </c>
      <c r="AW94" s="12">
        <f t="shared" si="167"/>
        <v>21.9</v>
      </c>
      <c r="AX94" s="12">
        <f t="shared" si="167"/>
        <v>15.3</v>
      </c>
      <c r="AY94" s="12">
        <f t="shared" si="167"/>
        <v>74.5</v>
      </c>
      <c r="AZ94" s="12">
        <f t="shared" si="167"/>
        <v>10.64</v>
      </c>
      <c r="BA94" s="12">
        <f t="shared" si="167"/>
        <v>90.1</v>
      </c>
      <c r="BB94" s="12">
        <f t="shared" si="168"/>
        <v>6</v>
      </c>
      <c r="BC94" s="12">
        <f t="shared" si="168"/>
        <v>38.61</v>
      </c>
      <c r="BD94" s="12">
        <f t="shared" si="168"/>
        <v>13.8</v>
      </c>
      <c r="BE94" s="12">
        <f t="shared" si="168"/>
        <v>7.1</v>
      </c>
      <c r="BF94" s="12">
        <f t="shared" si="168"/>
        <v>1.8</v>
      </c>
      <c r="BG94" s="12">
        <f t="shared" si="168"/>
        <v>11.91</v>
      </c>
      <c r="BH94" s="12">
        <f t="shared" si="168"/>
        <v>10</v>
      </c>
      <c r="BI94" s="12">
        <f t="shared" si="168"/>
        <v>73.3</v>
      </c>
      <c r="BJ94" s="12">
        <f t="shared" si="168"/>
        <v>25.7</v>
      </c>
      <c r="BK94" s="12">
        <f t="shared" si="168"/>
        <v>64.671814671814673</v>
      </c>
      <c r="BL94" s="12">
        <f t="shared" si="169"/>
        <v>31.2</v>
      </c>
      <c r="BM94" s="12">
        <f t="shared" si="169"/>
        <v>5.8</v>
      </c>
      <c r="BN94" s="12">
        <f t="shared" si="169"/>
        <v>32.1</v>
      </c>
      <c r="BO94" s="12">
        <f t="shared" si="169"/>
        <v>18.399999999999999</v>
      </c>
      <c r="BP94" s="12">
        <f t="shared" si="169"/>
        <v>1.52</v>
      </c>
      <c r="BQ94" s="12">
        <f t="shared" si="169"/>
        <v>16.3</v>
      </c>
      <c r="BR94" s="12">
        <f t="shared" si="169"/>
        <v>22.71</v>
      </c>
      <c r="BS94" s="12">
        <f t="shared" si="169"/>
        <v>4.5999999999999996</v>
      </c>
      <c r="BT94" s="12">
        <f t="shared" si="169"/>
        <v>43</v>
      </c>
      <c r="BU94" s="12">
        <f t="shared" si="169"/>
        <v>24.63</v>
      </c>
      <c r="BV94" s="12">
        <f t="shared" si="170"/>
        <v>0.503</v>
      </c>
      <c r="BW94" s="12">
        <f t="shared" si="170"/>
        <v>17.79</v>
      </c>
      <c r="BX94" s="12">
        <f t="shared" si="170"/>
        <v>46</v>
      </c>
      <c r="BY94" s="12">
        <f t="shared" si="170"/>
        <v>16.399999999999999</v>
      </c>
      <c r="BZ94" s="12">
        <f t="shared" si="170"/>
        <v>70.8</v>
      </c>
      <c r="CA94" s="12">
        <f t="shared" si="170"/>
        <v>21.7</v>
      </c>
      <c r="CB94" s="12">
        <f t="shared" si="170"/>
        <v>15.4</v>
      </c>
      <c r="CC94" s="12">
        <f t="shared" si="170"/>
        <v>70</v>
      </c>
      <c r="CD94" s="12">
        <f t="shared" si="170"/>
        <v>11.73</v>
      </c>
      <c r="CE94" s="12">
        <f t="shared" si="170"/>
        <v>76.8</v>
      </c>
      <c r="CF94" s="12">
        <f t="shared" si="171"/>
        <v>1.6</v>
      </c>
      <c r="CG94" s="12">
        <f t="shared" si="171"/>
        <v>37.14</v>
      </c>
      <c r="CH94" s="12">
        <f t="shared" si="171"/>
        <v>7.3</v>
      </c>
      <c r="CI94" s="12">
        <f t="shared" si="171"/>
        <v>7.8</v>
      </c>
      <c r="CJ94" s="12">
        <f t="shared" si="171"/>
        <v>2.1</v>
      </c>
      <c r="CK94" s="12">
        <f t="shared" si="171"/>
        <v>13.91</v>
      </c>
      <c r="CL94" s="12">
        <f t="shared" si="171"/>
        <v>11</v>
      </c>
      <c r="CM94" s="12">
        <f t="shared" si="171"/>
        <v>72.5</v>
      </c>
      <c r="CN94" s="12">
        <f t="shared" si="171"/>
        <v>22</v>
      </c>
      <c r="CO94" s="12">
        <f t="shared" si="171"/>
        <v>60.434782608695649</v>
      </c>
    </row>
    <row r="95" spans="1:93" x14ac:dyDescent="0.3">
      <c r="A95" s="6" t="s">
        <v>62</v>
      </c>
      <c r="B95" s="3">
        <v>6</v>
      </c>
      <c r="C95" s="13" t="s">
        <v>58</v>
      </c>
      <c r="D95" s="14">
        <v>47</v>
      </c>
      <c r="E95" s="38">
        <f>G94</f>
        <v>32</v>
      </c>
      <c r="F95" s="39">
        <v>9</v>
      </c>
      <c r="G95" s="38">
        <f t="shared" si="119"/>
        <v>36</v>
      </c>
      <c r="H95" s="39">
        <v>25</v>
      </c>
      <c r="I95" s="40">
        <f t="shared" si="120"/>
        <v>1.7777777777777777</v>
      </c>
      <c r="J95" s="39">
        <v>16</v>
      </c>
      <c r="K95" s="39">
        <v>18</v>
      </c>
      <c r="L95" s="39">
        <v>6</v>
      </c>
      <c r="M95" s="39">
        <f>Q94</f>
        <v>44.8</v>
      </c>
      <c r="N95" s="39">
        <v>26</v>
      </c>
      <c r="O95" s="41">
        <f t="shared" si="121"/>
        <v>0.41142857142857142</v>
      </c>
      <c r="P95" s="39">
        <v>10</v>
      </c>
      <c r="Q95" s="39">
        <v>44.8</v>
      </c>
      <c r="R95" s="39">
        <v>24</v>
      </c>
      <c r="S95" s="38">
        <f t="shared" si="122"/>
        <v>36</v>
      </c>
      <c r="T95" s="39">
        <v>25</v>
      </c>
      <c r="U95" s="39">
        <v>9</v>
      </c>
      <c r="V95" s="39">
        <f>X94</f>
        <v>84</v>
      </c>
      <c r="W95" s="39">
        <v>10</v>
      </c>
      <c r="X95" s="39">
        <v>81</v>
      </c>
      <c r="Y95" s="39">
        <f>Z95-Z94</f>
        <v>-7</v>
      </c>
      <c r="Z95" s="39">
        <f t="shared" si="123"/>
        <v>36</v>
      </c>
      <c r="AA95" s="39">
        <f t="shared" si="124"/>
        <v>-3</v>
      </c>
      <c r="AB95" s="39">
        <v>3</v>
      </c>
      <c r="AC95" s="39">
        <f t="shared" si="125"/>
        <v>2</v>
      </c>
      <c r="AD95" s="39">
        <f>AE94</f>
        <v>11</v>
      </c>
      <c r="AE95" s="39">
        <v>9</v>
      </c>
      <c r="AF95" s="46">
        <f t="shared" si="127"/>
        <v>82.303571428571431</v>
      </c>
      <c r="AG95" s="51">
        <f t="shared" ref="AG95" si="174">AVERAGE(AF94,AF95)</f>
        <v>80.071428571428584</v>
      </c>
      <c r="AH95" s="12">
        <f t="shared" si="166"/>
        <v>31.2</v>
      </c>
      <c r="AI95" s="12">
        <f t="shared" si="166"/>
        <v>5.8</v>
      </c>
      <c r="AJ95" s="12">
        <f t="shared" si="166"/>
        <v>32.1</v>
      </c>
      <c r="AK95" s="12">
        <f t="shared" si="166"/>
        <v>18.399999999999999</v>
      </c>
      <c r="AL95" s="12">
        <f t="shared" si="166"/>
        <v>1.52</v>
      </c>
      <c r="AM95" s="12">
        <f t="shared" si="166"/>
        <v>16.3</v>
      </c>
      <c r="AN95" s="12">
        <f t="shared" si="166"/>
        <v>22.71</v>
      </c>
      <c r="AO95" s="12">
        <f t="shared" si="166"/>
        <v>4.5999999999999996</v>
      </c>
      <c r="AP95" s="12">
        <f t="shared" si="166"/>
        <v>43</v>
      </c>
      <c r="AQ95" s="12">
        <f t="shared" si="166"/>
        <v>24.63</v>
      </c>
      <c r="AR95" s="12">
        <f t="shared" si="167"/>
        <v>0.503</v>
      </c>
      <c r="AS95" s="12">
        <f t="shared" si="167"/>
        <v>17.79</v>
      </c>
      <c r="AT95" s="12">
        <f t="shared" si="167"/>
        <v>46</v>
      </c>
      <c r="AU95" s="12">
        <f t="shared" si="167"/>
        <v>16.399999999999999</v>
      </c>
      <c r="AV95" s="12">
        <f t="shared" si="167"/>
        <v>70.8</v>
      </c>
      <c r="AW95" s="12">
        <f t="shared" si="167"/>
        <v>21.7</v>
      </c>
      <c r="AX95" s="12">
        <f t="shared" si="167"/>
        <v>15.4</v>
      </c>
      <c r="AY95" s="12">
        <f t="shared" si="167"/>
        <v>70</v>
      </c>
      <c r="AZ95" s="12">
        <f t="shared" si="167"/>
        <v>11.73</v>
      </c>
      <c r="BA95" s="12">
        <f t="shared" si="167"/>
        <v>76.8</v>
      </c>
      <c r="BB95" s="12">
        <f t="shared" si="168"/>
        <v>1.6</v>
      </c>
      <c r="BC95" s="12">
        <f t="shared" si="168"/>
        <v>37.14</v>
      </c>
      <c r="BD95" s="12">
        <f t="shared" si="168"/>
        <v>7.3</v>
      </c>
      <c r="BE95" s="12">
        <f t="shared" si="168"/>
        <v>7.8</v>
      </c>
      <c r="BF95" s="12">
        <f t="shared" si="168"/>
        <v>2.1</v>
      </c>
      <c r="BG95" s="12">
        <f t="shared" si="168"/>
        <v>13.91</v>
      </c>
      <c r="BH95" s="12">
        <f t="shared" si="168"/>
        <v>11</v>
      </c>
      <c r="BI95" s="12">
        <f t="shared" si="168"/>
        <v>72.5</v>
      </c>
      <c r="BJ95" s="12">
        <f t="shared" si="168"/>
        <v>22</v>
      </c>
      <c r="BK95" s="12">
        <f t="shared" si="168"/>
        <v>60.434782608695649</v>
      </c>
      <c r="BL95" s="12">
        <f t="shared" si="169"/>
        <v>34.4</v>
      </c>
      <c r="BM95" s="12">
        <f t="shared" si="169"/>
        <v>7.8</v>
      </c>
      <c r="BN95" s="12">
        <f t="shared" si="169"/>
        <v>38.299999999999997</v>
      </c>
      <c r="BO95" s="12">
        <f t="shared" si="169"/>
        <v>20.3</v>
      </c>
      <c r="BP95" s="12">
        <f t="shared" si="169"/>
        <v>1.66</v>
      </c>
      <c r="BQ95" s="12">
        <f t="shared" si="169"/>
        <v>16.7</v>
      </c>
      <c r="BR95" s="12">
        <f t="shared" si="169"/>
        <v>21.67</v>
      </c>
      <c r="BS95" s="12">
        <f t="shared" si="169"/>
        <v>3.6</v>
      </c>
      <c r="BT95" s="12">
        <f t="shared" si="169"/>
        <v>43.7</v>
      </c>
      <c r="BU95" s="12">
        <f t="shared" si="169"/>
        <v>27.64</v>
      </c>
      <c r="BV95" s="12">
        <f t="shared" si="170"/>
        <v>0.57399999999999995</v>
      </c>
      <c r="BW95" s="12">
        <f t="shared" si="170"/>
        <v>13.7</v>
      </c>
      <c r="BX95" s="12">
        <f t="shared" si="170"/>
        <v>51.8</v>
      </c>
      <c r="BY95" s="12">
        <f t="shared" si="170"/>
        <v>16.5</v>
      </c>
      <c r="BZ95" s="12">
        <f t="shared" si="170"/>
        <v>70.3</v>
      </c>
      <c r="CA95" s="12">
        <f t="shared" si="170"/>
        <v>21.9</v>
      </c>
      <c r="CB95" s="12">
        <f t="shared" si="170"/>
        <v>15.3</v>
      </c>
      <c r="CC95" s="12">
        <f t="shared" si="170"/>
        <v>74.5</v>
      </c>
      <c r="CD95" s="12">
        <f t="shared" si="170"/>
        <v>10.64</v>
      </c>
      <c r="CE95" s="12">
        <f t="shared" si="170"/>
        <v>90.1</v>
      </c>
      <c r="CF95" s="12">
        <f t="shared" si="171"/>
        <v>6</v>
      </c>
      <c r="CG95" s="12">
        <f t="shared" si="171"/>
        <v>38.61</v>
      </c>
      <c r="CH95" s="12">
        <f t="shared" si="171"/>
        <v>13.8</v>
      </c>
      <c r="CI95" s="12">
        <f t="shared" si="171"/>
        <v>7.1</v>
      </c>
      <c r="CJ95" s="12">
        <f t="shared" si="171"/>
        <v>1.8</v>
      </c>
      <c r="CK95" s="12">
        <f t="shared" si="171"/>
        <v>11.91</v>
      </c>
      <c r="CL95" s="12">
        <f t="shared" si="171"/>
        <v>10</v>
      </c>
      <c r="CM95" s="12">
        <f t="shared" si="171"/>
        <v>73.3</v>
      </c>
      <c r="CN95" s="12">
        <f t="shared" si="171"/>
        <v>25.7</v>
      </c>
      <c r="CO95" s="12">
        <f t="shared" si="171"/>
        <v>64.671814671814673</v>
      </c>
    </row>
    <row r="96" spans="1:93" x14ac:dyDescent="0.3">
      <c r="A96" s="6" t="s">
        <v>261</v>
      </c>
      <c r="B96" s="3">
        <v>2</v>
      </c>
      <c r="C96" s="13" t="s">
        <v>10</v>
      </c>
      <c r="D96" s="14">
        <v>48</v>
      </c>
      <c r="E96" s="38">
        <f>G97</f>
        <v>27.27272727272727</v>
      </c>
      <c r="F96" s="39">
        <v>6</v>
      </c>
      <c r="G96" s="38">
        <f t="shared" si="119"/>
        <v>40</v>
      </c>
      <c r="H96" s="39">
        <v>15</v>
      </c>
      <c r="I96" s="40">
        <f t="shared" si="120"/>
        <v>2.125</v>
      </c>
      <c r="J96" s="39">
        <v>17</v>
      </c>
      <c r="K96" s="39">
        <v>7</v>
      </c>
      <c r="L96" s="39">
        <v>3</v>
      </c>
      <c r="M96" s="39">
        <f>Q97</f>
        <v>37.299999999999997</v>
      </c>
      <c r="N96" s="39">
        <v>25</v>
      </c>
      <c r="O96" s="41">
        <f t="shared" si="121"/>
        <v>0.45454545454545453</v>
      </c>
      <c r="P96" s="39">
        <v>22</v>
      </c>
      <c r="Q96" s="39">
        <v>50</v>
      </c>
      <c r="R96" s="39">
        <v>14</v>
      </c>
      <c r="S96" s="38">
        <f t="shared" si="122"/>
        <v>85.714285714285708</v>
      </c>
      <c r="T96" s="39">
        <v>21</v>
      </c>
      <c r="U96" s="39">
        <v>18</v>
      </c>
      <c r="V96" s="39">
        <f>X97</f>
        <v>63</v>
      </c>
      <c r="W96" s="39">
        <v>3</v>
      </c>
      <c r="X96" s="39">
        <v>68</v>
      </c>
      <c r="Y96" s="39">
        <f>Z96-Z97</f>
        <v>-6</v>
      </c>
      <c r="Z96" s="39">
        <f t="shared" si="123"/>
        <v>28</v>
      </c>
      <c r="AA96" s="39">
        <f t="shared" si="124"/>
        <v>5</v>
      </c>
      <c r="AB96" s="39">
        <v>4</v>
      </c>
      <c r="AC96" s="39">
        <f t="shared" si="125"/>
        <v>0</v>
      </c>
      <c r="AD96" s="39">
        <f>AE97</f>
        <v>8</v>
      </c>
      <c r="AE96" s="39">
        <v>8</v>
      </c>
      <c r="AF96" s="46">
        <f t="shared" si="127"/>
        <v>58.975000000000001</v>
      </c>
      <c r="AG96" s="51">
        <f t="shared" ref="AG96" si="175">AVERAGE(AF96,AF97)</f>
        <v>59.540616621983915</v>
      </c>
      <c r="AH96" s="12">
        <f t="shared" si="166"/>
        <v>31.4</v>
      </c>
      <c r="AI96" s="12">
        <f t="shared" si="166"/>
        <v>6.5</v>
      </c>
      <c r="AJ96" s="12">
        <f t="shared" si="166"/>
        <v>35.200000000000003</v>
      </c>
      <c r="AK96" s="12">
        <f t="shared" si="166"/>
        <v>17.899999999999999</v>
      </c>
      <c r="AL96" s="12">
        <f t="shared" si="166"/>
        <v>1.63</v>
      </c>
      <c r="AM96" s="12">
        <f t="shared" si="166"/>
        <v>15</v>
      </c>
      <c r="AN96" s="12">
        <f t="shared" si="166"/>
        <v>12.71</v>
      </c>
      <c r="AO96" s="12">
        <f t="shared" si="166"/>
        <v>3.8</v>
      </c>
      <c r="AP96" s="12">
        <f t="shared" si="166"/>
        <v>41</v>
      </c>
      <c r="AQ96" s="12">
        <f t="shared" si="166"/>
        <v>24.3</v>
      </c>
      <c r="AR96" s="12">
        <f t="shared" si="167"/>
        <v>0.51400000000000001</v>
      </c>
      <c r="AS96" s="12">
        <f t="shared" si="167"/>
        <v>12.21</v>
      </c>
      <c r="AT96" s="12">
        <f t="shared" si="167"/>
        <v>46.7</v>
      </c>
      <c r="AU96" s="12">
        <f t="shared" si="167"/>
        <v>15.4</v>
      </c>
      <c r="AV96" s="12">
        <f t="shared" si="167"/>
        <v>72.3</v>
      </c>
      <c r="AW96" s="12">
        <f t="shared" si="167"/>
        <v>16.899999999999999</v>
      </c>
      <c r="AX96" s="12">
        <f t="shared" si="167"/>
        <v>11.9</v>
      </c>
      <c r="AY96" s="12">
        <f t="shared" si="167"/>
        <v>62.2</v>
      </c>
      <c r="AZ96" s="12">
        <f t="shared" si="167"/>
        <v>11.65</v>
      </c>
      <c r="BA96" s="12">
        <f t="shared" si="167"/>
        <v>75.3</v>
      </c>
      <c r="BB96" s="12">
        <f t="shared" si="168"/>
        <v>3.9</v>
      </c>
      <c r="BC96" s="12">
        <f t="shared" si="168"/>
        <v>35.85</v>
      </c>
      <c r="BD96" s="12">
        <f t="shared" si="168"/>
        <v>15.4</v>
      </c>
      <c r="BE96" s="12">
        <f t="shared" si="168"/>
        <v>8.1</v>
      </c>
      <c r="BF96" s="12">
        <f t="shared" si="168"/>
        <v>6.7</v>
      </c>
      <c r="BG96" s="12">
        <f t="shared" si="168"/>
        <v>14.33</v>
      </c>
      <c r="BH96" s="12">
        <f t="shared" si="168"/>
        <v>9.6</v>
      </c>
      <c r="BI96" s="12">
        <f t="shared" si="168"/>
        <v>68.8</v>
      </c>
      <c r="BJ96" s="12">
        <f t="shared" si="168"/>
        <v>21.95</v>
      </c>
      <c r="BK96" s="12">
        <f t="shared" si="168"/>
        <v>60.920770877944321</v>
      </c>
      <c r="BL96" s="12">
        <f t="shared" si="169"/>
        <v>33.6</v>
      </c>
      <c r="BM96" s="12">
        <f t="shared" si="169"/>
        <v>7.9</v>
      </c>
      <c r="BN96" s="12">
        <f t="shared" si="169"/>
        <v>32.700000000000003</v>
      </c>
      <c r="BO96" s="12">
        <f t="shared" si="169"/>
        <v>23.8</v>
      </c>
      <c r="BP96" s="12">
        <f t="shared" si="169"/>
        <v>1.47</v>
      </c>
      <c r="BQ96" s="12">
        <f t="shared" si="169"/>
        <v>13</v>
      </c>
      <c r="BR96" s="12">
        <f t="shared" si="169"/>
        <v>15.43</v>
      </c>
      <c r="BS96" s="12">
        <f t="shared" si="169"/>
        <v>3.9</v>
      </c>
      <c r="BT96" s="12">
        <f t="shared" si="169"/>
        <v>41.6</v>
      </c>
      <c r="BU96" s="12">
        <f t="shared" si="169"/>
        <v>24.47</v>
      </c>
      <c r="BV96" s="12">
        <f t="shared" si="170"/>
        <v>0.45800000000000002</v>
      </c>
      <c r="BW96" s="12">
        <f t="shared" si="170"/>
        <v>7.46</v>
      </c>
      <c r="BX96" s="12">
        <f t="shared" si="170"/>
        <v>39.299999999999997</v>
      </c>
      <c r="BY96" s="12">
        <f t="shared" si="170"/>
        <v>16</v>
      </c>
      <c r="BZ96" s="12">
        <f t="shared" si="170"/>
        <v>75.2</v>
      </c>
      <c r="CA96" s="12">
        <f t="shared" si="170"/>
        <v>17.2</v>
      </c>
      <c r="CB96" s="12">
        <f t="shared" si="170"/>
        <v>13.5</v>
      </c>
      <c r="CC96" s="12">
        <f t="shared" si="170"/>
        <v>63.4</v>
      </c>
      <c r="CD96" s="12">
        <f t="shared" si="170"/>
        <v>10.62</v>
      </c>
      <c r="CE96" s="12">
        <f t="shared" si="170"/>
        <v>64.8</v>
      </c>
      <c r="CF96" s="12">
        <f t="shared" si="171"/>
        <v>0.1</v>
      </c>
      <c r="CG96" s="12">
        <f t="shared" si="171"/>
        <v>34.94</v>
      </c>
      <c r="CH96" s="12">
        <f t="shared" si="171"/>
        <v>3.9</v>
      </c>
      <c r="CI96" s="12">
        <f t="shared" si="171"/>
        <v>7.4</v>
      </c>
      <c r="CJ96" s="12">
        <f t="shared" si="171"/>
        <v>3.9</v>
      </c>
      <c r="CK96" s="12">
        <f t="shared" si="171"/>
        <v>12.31</v>
      </c>
      <c r="CL96" s="12">
        <f t="shared" si="171"/>
        <v>9.6</v>
      </c>
      <c r="CM96" s="12">
        <f t="shared" si="171"/>
        <v>67</v>
      </c>
      <c r="CN96" s="12">
        <f t="shared" si="171"/>
        <v>13.799999999999997</v>
      </c>
      <c r="CO96" s="12">
        <f t="shared" si="171"/>
        <v>55.216284987277348</v>
      </c>
    </row>
    <row r="97" spans="1:93" x14ac:dyDescent="0.3">
      <c r="A97" s="6" t="s">
        <v>10</v>
      </c>
      <c r="B97" s="3">
        <v>7</v>
      </c>
      <c r="C97" s="13" t="s">
        <v>261</v>
      </c>
      <c r="D97" s="14">
        <v>48</v>
      </c>
      <c r="E97" s="38">
        <f>G96</f>
        <v>40</v>
      </c>
      <c r="F97" s="39">
        <v>6</v>
      </c>
      <c r="G97" s="38">
        <f t="shared" si="119"/>
        <v>27.27272727272727</v>
      </c>
      <c r="H97" s="39">
        <v>22</v>
      </c>
      <c r="I97" s="40">
        <f t="shared" si="120"/>
        <v>1.375</v>
      </c>
      <c r="J97" s="39">
        <v>11</v>
      </c>
      <c r="K97" s="39">
        <v>6</v>
      </c>
      <c r="L97" s="39">
        <v>0</v>
      </c>
      <c r="M97" s="39">
        <f>Q96</f>
        <v>50</v>
      </c>
      <c r="N97" s="39">
        <v>20</v>
      </c>
      <c r="O97" s="41">
        <f t="shared" si="121"/>
        <v>0.30991735537190079</v>
      </c>
      <c r="P97" s="39">
        <v>3</v>
      </c>
      <c r="Q97" s="39">
        <v>37.299999999999997</v>
      </c>
      <c r="R97" s="39">
        <v>16</v>
      </c>
      <c r="S97" s="38">
        <f t="shared" si="122"/>
        <v>86.666666666666671</v>
      </c>
      <c r="T97" s="39">
        <v>15</v>
      </c>
      <c r="U97" s="39">
        <v>13</v>
      </c>
      <c r="V97" s="39">
        <f>X96</f>
        <v>68</v>
      </c>
      <c r="W97" s="39">
        <v>14</v>
      </c>
      <c r="X97" s="39">
        <v>63</v>
      </c>
      <c r="Y97" s="39">
        <f>Z97-Z96</f>
        <v>6</v>
      </c>
      <c r="Z97" s="39">
        <f t="shared" si="123"/>
        <v>34</v>
      </c>
      <c r="AA97" s="39">
        <f t="shared" si="124"/>
        <v>-5</v>
      </c>
      <c r="AB97" s="39">
        <v>5</v>
      </c>
      <c r="AC97" s="39">
        <f t="shared" si="125"/>
        <v>0</v>
      </c>
      <c r="AD97" s="39">
        <f>AE96</f>
        <v>8</v>
      </c>
      <c r="AE97" s="39">
        <v>8</v>
      </c>
      <c r="AF97" s="46">
        <f t="shared" si="127"/>
        <v>60.106233243967836</v>
      </c>
      <c r="AG97" s="51">
        <f t="shared" ref="AG97" si="176">AVERAGE(AF96,AF97)</f>
        <v>59.540616621983915</v>
      </c>
      <c r="AH97" s="12">
        <f t="shared" si="166"/>
        <v>33.6</v>
      </c>
      <c r="AI97" s="12">
        <f t="shared" si="166"/>
        <v>7.9</v>
      </c>
      <c r="AJ97" s="12">
        <f t="shared" si="166"/>
        <v>32.700000000000003</v>
      </c>
      <c r="AK97" s="12">
        <f t="shared" si="166"/>
        <v>23.8</v>
      </c>
      <c r="AL97" s="12">
        <f t="shared" si="166"/>
        <v>1.47</v>
      </c>
      <c r="AM97" s="12">
        <f t="shared" si="166"/>
        <v>13</v>
      </c>
      <c r="AN97" s="12">
        <f t="shared" si="166"/>
        <v>15.43</v>
      </c>
      <c r="AO97" s="12">
        <f t="shared" si="166"/>
        <v>3.9</v>
      </c>
      <c r="AP97" s="12">
        <f t="shared" si="166"/>
        <v>41.6</v>
      </c>
      <c r="AQ97" s="12">
        <f t="shared" si="166"/>
        <v>24.47</v>
      </c>
      <c r="AR97" s="12">
        <f t="shared" si="167"/>
        <v>0.45800000000000002</v>
      </c>
      <c r="AS97" s="12">
        <f t="shared" si="167"/>
        <v>7.46</v>
      </c>
      <c r="AT97" s="12">
        <f t="shared" si="167"/>
        <v>39.299999999999997</v>
      </c>
      <c r="AU97" s="12">
        <f t="shared" si="167"/>
        <v>16</v>
      </c>
      <c r="AV97" s="12">
        <f t="shared" si="167"/>
        <v>75.2</v>
      </c>
      <c r="AW97" s="12">
        <f t="shared" si="167"/>
        <v>17.2</v>
      </c>
      <c r="AX97" s="12">
        <f t="shared" si="167"/>
        <v>13.5</v>
      </c>
      <c r="AY97" s="12">
        <f t="shared" si="167"/>
        <v>63.4</v>
      </c>
      <c r="AZ97" s="12">
        <f t="shared" si="167"/>
        <v>10.62</v>
      </c>
      <c r="BA97" s="12">
        <f t="shared" si="167"/>
        <v>64.8</v>
      </c>
      <c r="BB97" s="12">
        <f t="shared" si="168"/>
        <v>0.1</v>
      </c>
      <c r="BC97" s="12">
        <f t="shared" si="168"/>
        <v>34.94</v>
      </c>
      <c r="BD97" s="12">
        <f t="shared" si="168"/>
        <v>3.9</v>
      </c>
      <c r="BE97" s="12">
        <f t="shared" si="168"/>
        <v>7.4</v>
      </c>
      <c r="BF97" s="12">
        <f t="shared" si="168"/>
        <v>3.9</v>
      </c>
      <c r="BG97" s="12">
        <f t="shared" si="168"/>
        <v>12.31</v>
      </c>
      <c r="BH97" s="12">
        <f t="shared" si="168"/>
        <v>9.6</v>
      </c>
      <c r="BI97" s="12">
        <f t="shared" si="168"/>
        <v>67</v>
      </c>
      <c r="BJ97" s="12">
        <f t="shared" si="168"/>
        <v>13.799999999999997</v>
      </c>
      <c r="BK97" s="12">
        <f t="shared" si="168"/>
        <v>55.216284987277348</v>
      </c>
      <c r="BL97" s="12">
        <f t="shared" si="169"/>
        <v>31.4</v>
      </c>
      <c r="BM97" s="12">
        <f t="shared" si="169"/>
        <v>6.5</v>
      </c>
      <c r="BN97" s="12">
        <f t="shared" si="169"/>
        <v>35.200000000000003</v>
      </c>
      <c r="BO97" s="12">
        <f t="shared" si="169"/>
        <v>17.899999999999999</v>
      </c>
      <c r="BP97" s="12">
        <f t="shared" si="169"/>
        <v>1.63</v>
      </c>
      <c r="BQ97" s="12">
        <f t="shared" si="169"/>
        <v>15</v>
      </c>
      <c r="BR97" s="12">
        <f t="shared" si="169"/>
        <v>12.71</v>
      </c>
      <c r="BS97" s="12">
        <f t="shared" si="169"/>
        <v>3.8</v>
      </c>
      <c r="BT97" s="12">
        <f t="shared" si="169"/>
        <v>41</v>
      </c>
      <c r="BU97" s="12">
        <f t="shared" si="169"/>
        <v>24.3</v>
      </c>
      <c r="BV97" s="12">
        <f t="shared" si="170"/>
        <v>0.51400000000000001</v>
      </c>
      <c r="BW97" s="12">
        <f t="shared" si="170"/>
        <v>12.21</v>
      </c>
      <c r="BX97" s="12">
        <f t="shared" si="170"/>
        <v>46.7</v>
      </c>
      <c r="BY97" s="12">
        <f t="shared" si="170"/>
        <v>15.4</v>
      </c>
      <c r="BZ97" s="12">
        <f t="shared" si="170"/>
        <v>72.3</v>
      </c>
      <c r="CA97" s="12">
        <f t="shared" si="170"/>
        <v>16.899999999999999</v>
      </c>
      <c r="CB97" s="12">
        <f t="shared" si="170"/>
        <v>11.9</v>
      </c>
      <c r="CC97" s="12">
        <f t="shared" si="170"/>
        <v>62.2</v>
      </c>
      <c r="CD97" s="12">
        <f t="shared" si="170"/>
        <v>11.65</v>
      </c>
      <c r="CE97" s="12">
        <f t="shared" si="170"/>
        <v>75.3</v>
      </c>
      <c r="CF97" s="12">
        <f t="shared" si="171"/>
        <v>3.9</v>
      </c>
      <c r="CG97" s="12">
        <f t="shared" si="171"/>
        <v>35.85</v>
      </c>
      <c r="CH97" s="12">
        <f t="shared" si="171"/>
        <v>15.4</v>
      </c>
      <c r="CI97" s="12">
        <f t="shared" si="171"/>
        <v>8.1</v>
      </c>
      <c r="CJ97" s="12">
        <f t="shared" si="171"/>
        <v>6.7</v>
      </c>
      <c r="CK97" s="12">
        <f t="shared" si="171"/>
        <v>14.33</v>
      </c>
      <c r="CL97" s="12">
        <f t="shared" si="171"/>
        <v>9.6</v>
      </c>
      <c r="CM97" s="12">
        <f t="shared" si="171"/>
        <v>68.8</v>
      </c>
      <c r="CN97" s="12">
        <f t="shared" si="171"/>
        <v>21.95</v>
      </c>
      <c r="CO97" s="12">
        <f t="shared" si="171"/>
        <v>60.920770877944321</v>
      </c>
    </row>
    <row r="98" spans="1:93" x14ac:dyDescent="0.3">
      <c r="A98" s="6" t="s">
        <v>9</v>
      </c>
      <c r="B98" s="3">
        <v>9</v>
      </c>
      <c r="C98" s="13" t="s">
        <v>417</v>
      </c>
      <c r="D98" s="14">
        <v>49</v>
      </c>
      <c r="E98" s="38">
        <f>G99</f>
        <v>29.032258064516132</v>
      </c>
      <c r="F98" s="39">
        <v>9</v>
      </c>
      <c r="G98" s="38">
        <f t="shared" ref="G98:G129" si="177">F98/H98*100</f>
        <v>29.032258064516132</v>
      </c>
      <c r="H98" s="39">
        <v>31</v>
      </c>
      <c r="I98" s="40">
        <f t="shared" ref="I98:I129" si="178">J98/AE98</f>
        <v>2.5714285714285716</v>
      </c>
      <c r="J98" s="39">
        <v>18</v>
      </c>
      <c r="K98" s="39">
        <v>16</v>
      </c>
      <c r="L98" s="39">
        <v>5</v>
      </c>
      <c r="M98" s="39">
        <f>Q99</f>
        <v>38</v>
      </c>
      <c r="N98" s="39">
        <v>32</v>
      </c>
      <c r="O98" s="41">
        <f t="shared" ref="O98:O129" si="179">((X98-F98*3-U98)/2+F98*1.5)/(((X98-F98*3-U98)/2+F98)/(G98/100))</f>
        <v>0.3353726362625139</v>
      </c>
      <c r="P98" s="39">
        <v>15</v>
      </c>
      <c r="Q98" s="39">
        <v>40.799999999999997</v>
      </c>
      <c r="R98" s="39">
        <v>12</v>
      </c>
      <c r="S98" s="38">
        <f t="shared" ref="S98:S129" si="180">U98/T98*100</f>
        <v>61.111111111111114</v>
      </c>
      <c r="T98" s="39">
        <v>18</v>
      </c>
      <c r="U98" s="39">
        <v>11</v>
      </c>
      <c r="V98" s="39">
        <f>X99</f>
        <v>70</v>
      </c>
      <c r="W98" s="39">
        <v>15</v>
      </c>
      <c r="X98" s="39">
        <v>78</v>
      </c>
      <c r="Y98" s="39">
        <f>Z98-Z99</f>
        <v>3</v>
      </c>
      <c r="Z98" s="39">
        <f t="shared" ref="Z98:Z129" si="181">W98+N98</f>
        <v>47</v>
      </c>
      <c r="AA98" s="39">
        <f t="shared" ref="AA98:AA129" si="182">X98-V98</f>
        <v>8</v>
      </c>
      <c r="AB98" s="39">
        <v>8</v>
      </c>
      <c r="AC98" s="39">
        <f t="shared" ref="AC98:AC129" si="183">AD98-AE98</f>
        <v>4</v>
      </c>
      <c r="AD98" s="39">
        <f>AE99</f>
        <v>11</v>
      </c>
      <c r="AE98" s="39">
        <v>7</v>
      </c>
      <c r="AF98" s="46">
        <f t="shared" si="127"/>
        <v>71.628431372549016</v>
      </c>
      <c r="AG98" s="51">
        <f t="shared" ref="AG98" si="184">AVERAGE(AF98,AF99)</f>
        <v>72.715531475748193</v>
      </c>
      <c r="AH98" s="12">
        <f t="shared" si="166"/>
        <v>32</v>
      </c>
      <c r="AI98" s="12">
        <f t="shared" si="166"/>
        <v>10</v>
      </c>
      <c r="AJ98" s="12">
        <f t="shared" si="166"/>
        <v>36.5</v>
      </c>
      <c r="AK98" s="12">
        <f t="shared" si="166"/>
        <v>26.1</v>
      </c>
      <c r="AL98" s="12">
        <f t="shared" si="166"/>
        <v>1.36</v>
      </c>
      <c r="AM98" s="12">
        <f t="shared" si="166"/>
        <v>15</v>
      </c>
      <c r="AN98" s="12">
        <f t="shared" si="166"/>
        <v>33.71</v>
      </c>
      <c r="AO98" s="12">
        <f t="shared" si="166"/>
        <v>2.5</v>
      </c>
      <c r="AP98" s="12">
        <f t="shared" si="166"/>
        <v>40.200000000000003</v>
      </c>
      <c r="AQ98" s="12">
        <f t="shared" si="166"/>
        <v>28.23</v>
      </c>
      <c r="AR98" s="12">
        <f t="shared" si="167"/>
        <v>0.55000000000000004</v>
      </c>
      <c r="AS98" s="12">
        <f t="shared" si="167"/>
        <v>11.86</v>
      </c>
      <c r="AT98" s="12">
        <f t="shared" si="167"/>
        <v>47.4</v>
      </c>
      <c r="AU98" s="12">
        <f t="shared" si="167"/>
        <v>15.6</v>
      </c>
      <c r="AV98" s="12">
        <f t="shared" si="167"/>
        <v>72</v>
      </c>
      <c r="AW98" s="12">
        <f t="shared" si="167"/>
        <v>18.3</v>
      </c>
      <c r="AX98" s="12">
        <f t="shared" si="167"/>
        <v>12.9</v>
      </c>
      <c r="AY98" s="12">
        <f t="shared" si="167"/>
        <v>66.7</v>
      </c>
      <c r="AZ98" s="12">
        <f t="shared" si="167"/>
        <v>11.23</v>
      </c>
      <c r="BA98" s="12">
        <f t="shared" si="167"/>
        <v>80.400000000000006</v>
      </c>
      <c r="BB98" s="12">
        <f t="shared" si="168"/>
        <v>6.5</v>
      </c>
      <c r="BC98" s="12">
        <f t="shared" si="168"/>
        <v>39.94</v>
      </c>
      <c r="BD98" s="12">
        <f t="shared" si="168"/>
        <v>13.6</v>
      </c>
      <c r="BE98" s="12">
        <f t="shared" si="168"/>
        <v>6.3</v>
      </c>
      <c r="BF98" s="12">
        <f t="shared" si="168"/>
        <v>0.3</v>
      </c>
      <c r="BG98" s="12">
        <f t="shared" si="168"/>
        <v>11.29</v>
      </c>
      <c r="BH98" s="12">
        <f t="shared" si="168"/>
        <v>10.9</v>
      </c>
      <c r="BI98" s="12">
        <f t="shared" si="168"/>
        <v>70.099999999999994</v>
      </c>
      <c r="BJ98" s="12">
        <f t="shared" si="168"/>
        <v>18.75</v>
      </c>
      <c r="BK98" s="12">
        <f t="shared" si="168"/>
        <v>60.654008438818565</v>
      </c>
      <c r="BL98" s="12">
        <f t="shared" si="169"/>
        <v>34.4</v>
      </c>
      <c r="BM98" s="12">
        <f t="shared" si="169"/>
        <v>8.5</v>
      </c>
      <c r="BN98" s="12">
        <f t="shared" si="169"/>
        <v>34.5</v>
      </c>
      <c r="BO98" s="12">
        <f t="shared" si="169"/>
        <v>23.8</v>
      </c>
      <c r="BP98" s="12">
        <f t="shared" si="169"/>
        <v>1.44</v>
      </c>
      <c r="BQ98" s="12">
        <f t="shared" si="169"/>
        <v>15.3</v>
      </c>
      <c r="BR98" s="12">
        <f t="shared" si="169"/>
        <v>19.059999999999999</v>
      </c>
      <c r="BS98" s="12">
        <f t="shared" si="169"/>
        <v>1.6</v>
      </c>
      <c r="BT98" s="12">
        <f t="shared" si="169"/>
        <v>45.7</v>
      </c>
      <c r="BU98" s="12">
        <f t="shared" si="169"/>
        <v>23.71</v>
      </c>
      <c r="BV98" s="12">
        <f t="shared" si="170"/>
        <v>0.52300000000000002</v>
      </c>
      <c r="BW98" s="12">
        <f t="shared" si="170"/>
        <v>11.97</v>
      </c>
      <c r="BX98" s="12">
        <f t="shared" si="170"/>
        <v>45.5</v>
      </c>
      <c r="BY98" s="12">
        <f t="shared" si="170"/>
        <v>18.399999999999999</v>
      </c>
      <c r="BZ98" s="12">
        <f t="shared" si="170"/>
        <v>75.099999999999994</v>
      </c>
      <c r="CA98" s="12">
        <f t="shared" si="170"/>
        <v>17</v>
      </c>
      <c r="CB98" s="12">
        <f t="shared" si="170"/>
        <v>13.2</v>
      </c>
      <c r="CC98" s="12">
        <f t="shared" si="170"/>
        <v>76</v>
      </c>
      <c r="CD98" s="12">
        <f t="shared" si="170"/>
        <v>12.21</v>
      </c>
      <c r="CE98" s="12">
        <f t="shared" si="170"/>
        <v>79.900000000000006</v>
      </c>
      <c r="CF98" s="12">
        <f t="shared" si="171"/>
        <v>0.7</v>
      </c>
      <c r="CG98" s="12">
        <f t="shared" si="171"/>
        <v>34.81</v>
      </c>
      <c r="CH98" s="12">
        <f t="shared" si="171"/>
        <v>1.4</v>
      </c>
      <c r="CI98" s="12">
        <f t="shared" si="171"/>
        <v>7.5</v>
      </c>
      <c r="CJ98" s="12">
        <f t="shared" si="171"/>
        <v>3.4</v>
      </c>
      <c r="CK98" s="12">
        <f t="shared" si="171"/>
        <v>13.64</v>
      </c>
      <c r="CL98" s="12">
        <f t="shared" si="171"/>
        <v>10.5</v>
      </c>
      <c r="CM98" s="12">
        <f t="shared" si="171"/>
        <v>71.5</v>
      </c>
      <c r="CN98" s="12">
        <f t="shared" si="171"/>
        <v>20.6</v>
      </c>
      <c r="CO98" s="12">
        <f t="shared" si="171"/>
        <v>63.956043956043956</v>
      </c>
    </row>
    <row r="99" spans="1:93" x14ac:dyDescent="0.3">
      <c r="A99" s="6" t="s">
        <v>417</v>
      </c>
      <c r="B99" s="3">
        <v>16</v>
      </c>
      <c r="C99" s="13" t="s">
        <v>9</v>
      </c>
      <c r="D99" s="14">
        <v>49</v>
      </c>
      <c r="E99" s="38">
        <f>G98</f>
        <v>29.032258064516132</v>
      </c>
      <c r="F99" s="39">
        <v>9</v>
      </c>
      <c r="G99" s="38">
        <f t="shared" si="177"/>
        <v>29.032258064516132</v>
      </c>
      <c r="H99" s="39">
        <v>31</v>
      </c>
      <c r="I99" s="40">
        <f t="shared" si="178"/>
        <v>1.0909090909090908</v>
      </c>
      <c r="J99" s="39">
        <v>12</v>
      </c>
      <c r="K99" s="39">
        <v>10</v>
      </c>
      <c r="L99" s="39">
        <v>3</v>
      </c>
      <c r="M99" s="39">
        <f>Q98</f>
        <v>40.799999999999997</v>
      </c>
      <c r="N99" s="39">
        <v>31</v>
      </c>
      <c r="O99" s="41">
        <f t="shared" si="179"/>
        <v>0.33870967741935482</v>
      </c>
      <c r="P99" s="39">
        <v>4</v>
      </c>
      <c r="Q99" s="39">
        <v>38</v>
      </c>
      <c r="R99" s="39">
        <v>15</v>
      </c>
      <c r="S99" s="38">
        <f t="shared" si="180"/>
        <v>70</v>
      </c>
      <c r="T99" s="39">
        <v>10</v>
      </c>
      <c r="U99" s="39">
        <v>7</v>
      </c>
      <c r="V99" s="39">
        <f>X98</f>
        <v>78</v>
      </c>
      <c r="W99" s="39">
        <v>13</v>
      </c>
      <c r="X99" s="39">
        <v>70</v>
      </c>
      <c r="Y99" s="39">
        <f>Z99-Z98</f>
        <v>-3</v>
      </c>
      <c r="Z99" s="39">
        <f t="shared" si="181"/>
        <v>44</v>
      </c>
      <c r="AA99" s="39">
        <f t="shared" si="182"/>
        <v>-8</v>
      </c>
      <c r="AB99" s="39">
        <v>3</v>
      </c>
      <c r="AC99" s="39">
        <f t="shared" si="183"/>
        <v>-4</v>
      </c>
      <c r="AD99" s="39">
        <f>AE98</f>
        <v>7</v>
      </c>
      <c r="AE99" s="39">
        <v>11</v>
      </c>
      <c r="AF99" s="46">
        <f t="shared" si="127"/>
        <v>73.80263157894737</v>
      </c>
      <c r="AG99" s="51">
        <f t="shared" ref="AG99" si="185">AVERAGE(AF98,AF99)</f>
        <v>72.715531475748193</v>
      </c>
      <c r="AH99" s="12">
        <f t="shared" si="166"/>
        <v>34.4</v>
      </c>
      <c r="AI99" s="12">
        <f t="shared" si="166"/>
        <v>8.5</v>
      </c>
      <c r="AJ99" s="12">
        <f t="shared" si="166"/>
        <v>34.5</v>
      </c>
      <c r="AK99" s="12">
        <f t="shared" si="166"/>
        <v>23.8</v>
      </c>
      <c r="AL99" s="12">
        <f t="shared" si="166"/>
        <v>1.44</v>
      </c>
      <c r="AM99" s="12">
        <f t="shared" si="166"/>
        <v>15.3</v>
      </c>
      <c r="AN99" s="12">
        <f t="shared" si="166"/>
        <v>19.059999999999999</v>
      </c>
      <c r="AO99" s="12">
        <f t="shared" si="166"/>
        <v>1.6</v>
      </c>
      <c r="AP99" s="12">
        <f t="shared" si="166"/>
        <v>45.7</v>
      </c>
      <c r="AQ99" s="12">
        <f t="shared" si="166"/>
        <v>23.71</v>
      </c>
      <c r="AR99" s="12">
        <f t="shared" si="167"/>
        <v>0.52300000000000002</v>
      </c>
      <c r="AS99" s="12">
        <f t="shared" si="167"/>
        <v>11.97</v>
      </c>
      <c r="AT99" s="12">
        <f t="shared" si="167"/>
        <v>45.5</v>
      </c>
      <c r="AU99" s="12">
        <f t="shared" si="167"/>
        <v>18.399999999999999</v>
      </c>
      <c r="AV99" s="12">
        <f t="shared" si="167"/>
        <v>75.099999999999994</v>
      </c>
      <c r="AW99" s="12">
        <f t="shared" si="167"/>
        <v>17</v>
      </c>
      <c r="AX99" s="12">
        <f t="shared" si="167"/>
        <v>13.2</v>
      </c>
      <c r="AY99" s="12">
        <f t="shared" si="167"/>
        <v>76</v>
      </c>
      <c r="AZ99" s="12">
        <f t="shared" si="167"/>
        <v>12.21</v>
      </c>
      <c r="BA99" s="12">
        <f t="shared" si="167"/>
        <v>79.900000000000006</v>
      </c>
      <c r="BB99" s="12">
        <f t="shared" si="168"/>
        <v>0.7</v>
      </c>
      <c r="BC99" s="12">
        <f t="shared" si="168"/>
        <v>34.81</v>
      </c>
      <c r="BD99" s="12">
        <f t="shared" si="168"/>
        <v>1.4</v>
      </c>
      <c r="BE99" s="12">
        <f t="shared" si="168"/>
        <v>7.5</v>
      </c>
      <c r="BF99" s="12">
        <f t="shared" si="168"/>
        <v>3.4</v>
      </c>
      <c r="BG99" s="12">
        <f t="shared" si="168"/>
        <v>13.64</v>
      </c>
      <c r="BH99" s="12">
        <f t="shared" si="168"/>
        <v>10.5</v>
      </c>
      <c r="BI99" s="12">
        <f t="shared" si="168"/>
        <v>71.5</v>
      </c>
      <c r="BJ99" s="12">
        <f t="shared" si="168"/>
        <v>20.6</v>
      </c>
      <c r="BK99" s="12">
        <f t="shared" si="168"/>
        <v>63.956043956043956</v>
      </c>
      <c r="BL99" s="12">
        <f t="shared" si="169"/>
        <v>32</v>
      </c>
      <c r="BM99" s="12">
        <f t="shared" si="169"/>
        <v>10</v>
      </c>
      <c r="BN99" s="12">
        <f t="shared" si="169"/>
        <v>36.5</v>
      </c>
      <c r="BO99" s="12">
        <f t="shared" si="169"/>
        <v>26.1</v>
      </c>
      <c r="BP99" s="12">
        <f t="shared" si="169"/>
        <v>1.36</v>
      </c>
      <c r="BQ99" s="12">
        <f t="shared" si="169"/>
        <v>15</v>
      </c>
      <c r="BR99" s="12">
        <f t="shared" si="169"/>
        <v>33.71</v>
      </c>
      <c r="BS99" s="12">
        <f t="shared" si="169"/>
        <v>2.5</v>
      </c>
      <c r="BT99" s="12">
        <f t="shared" si="169"/>
        <v>40.200000000000003</v>
      </c>
      <c r="BU99" s="12">
        <f t="shared" si="169"/>
        <v>28.23</v>
      </c>
      <c r="BV99" s="12">
        <f t="shared" si="170"/>
        <v>0.55000000000000004</v>
      </c>
      <c r="BW99" s="12">
        <f t="shared" si="170"/>
        <v>11.86</v>
      </c>
      <c r="BX99" s="12">
        <f t="shared" si="170"/>
        <v>47.4</v>
      </c>
      <c r="BY99" s="12">
        <f t="shared" si="170"/>
        <v>15.6</v>
      </c>
      <c r="BZ99" s="12">
        <f t="shared" si="170"/>
        <v>72</v>
      </c>
      <c r="CA99" s="12">
        <f t="shared" si="170"/>
        <v>18.3</v>
      </c>
      <c r="CB99" s="12">
        <f t="shared" si="170"/>
        <v>12.9</v>
      </c>
      <c r="CC99" s="12">
        <f t="shared" si="170"/>
        <v>66.7</v>
      </c>
      <c r="CD99" s="12">
        <f t="shared" si="170"/>
        <v>11.23</v>
      </c>
      <c r="CE99" s="12">
        <f t="shared" si="170"/>
        <v>80.400000000000006</v>
      </c>
      <c r="CF99" s="12">
        <f t="shared" si="171"/>
        <v>6.5</v>
      </c>
      <c r="CG99" s="12">
        <f t="shared" si="171"/>
        <v>39.94</v>
      </c>
      <c r="CH99" s="12">
        <f t="shared" si="171"/>
        <v>13.6</v>
      </c>
      <c r="CI99" s="12">
        <f t="shared" si="171"/>
        <v>6.3</v>
      </c>
      <c r="CJ99" s="12">
        <f t="shared" si="171"/>
        <v>0.3</v>
      </c>
      <c r="CK99" s="12">
        <f t="shared" si="171"/>
        <v>11.29</v>
      </c>
      <c r="CL99" s="12">
        <f t="shared" si="171"/>
        <v>10.9</v>
      </c>
      <c r="CM99" s="12">
        <f t="shared" si="171"/>
        <v>70.099999999999994</v>
      </c>
      <c r="CN99" s="12">
        <f t="shared" si="171"/>
        <v>18.75</v>
      </c>
      <c r="CO99" s="12">
        <f t="shared" si="171"/>
        <v>60.654008438818565</v>
      </c>
    </row>
    <row r="100" spans="1:93" x14ac:dyDescent="0.3">
      <c r="A100" s="6" t="s">
        <v>55</v>
      </c>
      <c r="B100" s="3">
        <v>4</v>
      </c>
      <c r="C100" s="13" t="s">
        <v>48</v>
      </c>
      <c r="D100" s="14">
        <v>50</v>
      </c>
      <c r="E100" s="38">
        <f>G101</f>
        <v>27.27272727272727</v>
      </c>
      <c r="F100" s="39">
        <v>9</v>
      </c>
      <c r="G100" s="38">
        <f t="shared" si="177"/>
        <v>42.857142857142854</v>
      </c>
      <c r="H100" s="39">
        <v>21</v>
      </c>
      <c r="I100" s="40">
        <f t="shared" si="178"/>
        <v>1.6666666666666667</v>
      </c>
      <c r="J100" s="39">
        <v>15</v>
      </c>
      <c r="K100" s="39">
        <v>15</v>
      </c>
      <c r="L100" s="39">
        <v>5</v>
      </c>
      <c r="M100" s="39">
        <f>Q101</f>
        <v>42.9</v>
      </c>
      <c r="N100" s="39">
        <v>23</v>
      </c>
      <c r="O100" s="41">
        <f t="shared" si="179"/>
        <v>0.51242236024844712</v>
      </c>
      <c r="P100" s="39">
        <v>2</v>
      </c>
      <c r="Q100" s="39">
        <v>40.4</v>
      </c>
      <c r="R100" s="39">
        <v>11</v>
      </c>
      <c r="S100" s="38">
        <f t="shared" si="180"/>
        <v>76.923076923076934</v>
      </c>
      <c r="T100" s="39">
        <v>13</v>
      </c>
      <c r="U100" s="39">
        <v>10</v>
      </c>
      <c r="V100" s="39">
        <f>X101</f>
        <v>52</v>
      </c>
      <c r="W100" s="39">
        <v>12</v>
      </c>
      <c r="X100" s="39">
        <v>65</v>
      </c>
      <c r="Y100" s="39">
        <f>Z100-Z101</f>
        <v>5</v>
      </c>
      <c r="Z100" s="39">
        <f t="shared" si="181"/>
        <v>35</v>
      </c>
      <c r="AA100" s="39">
        <f t="shared" si="182"/>
        <v>13</v>
      </c>
      <c r="AB100" s="39">
        <v>8</v>
      </c>
      <c r="AC100" s="39">
        <f t="shared" si="183"/>
        <v>6</v>
      </c>
      <c r="AD100" s="39">
        <f>AE101</f>
        <v>15</v>
      </c>
      <c r="AE100" s="39">
        <v>9</v>
      </c>
      <c r="AF100" s="46">
        <f t="shared" si="127"/>
        <v>60.105693069306938</v>
      </c>
      <c r="AG100" s="51">
        <f t="shared" ref="AG100" si="186">AVERAGE(AF100,AF101)</f>
        <v>60.690871010177943</v>
      </c>
      <c r="AH100" s="12">
        <f t="shared" si="166"/>
        <v>29.3</v>
      </c>
      <c r="AI100" s="12">
        <f t="shared" si="166"/>
        <v>8</v>
      </c>
      <c r="AJ100" s="12">
        <f t="shared" si="166"/>
        <v>33.799999999999997</v>
      </c>
      <c r="AK100" s="12">
        <f t="shared" si="166"/>
        <v>23.4</v>
      </c>
      <c r="AL100" s="12">
        <f t="shared" si="166"/>
        <v>1.55</v>
      </c>
      <c r="AM100" s="12">
        <f t="shared" si="166"/>
        <v>17.7</v>
      </c>
      <c r="AN100" s="12">
        <f t="shared" si="166"/>
        <v>22.86</v>
      </c>
      <c r="AO100" s="12">
        <f t="shared" si="166"/>
        <v>3.8</v>
      </c>
      <c r="AP100" s="12">
        <f t="shared" si="166"/>
        <v>38.9</v>
      </c>
      <c r="AQ100" s="12">
        <f t="shared" si="166"/>
        <v>26.34</v>
      </c>
      <c r="AR100" s="12">
        <f t="shared" si="167"/>
        <v>0.502</v>
      </c>
      <c r="AS100" s="12">
        <f t="shared" si="167"/>
        <v>6.24</v>
      </c>
      <c r="AT100" s="12">
        <f t="shared" si="167"/>
        <v>43.9</v>
      </c>
      <c r="AU100" s="12">
        <f t="shared" si="167"/>
        <v>16.5</v>
      </c>
      <c r="AV100" s="12">
        <f t="shared" si="167"/>
        <v>71.099999999999994</v>
      </c>
      <c r="AW100" s="12">
        <f t="shared" si="167"/>
        <v>18.5</v>
      </c>
      <c r="AX100" s="12">
        <f t="shared" si="167"/>
        <v>13</v>
      </c>
      <c r="AY100" s="12">
        <f t="shared" si="167"/>
        <v>59.2</v>
      </c>
      <c r="AZ100" s="12">
        <f t="shared" si="167"/>
        <v>13.08</v>
      </c>
      <c r="BA100" s="12">
        <f t="shared" si="167"/>
        <v>72.900000000000006</v>
      </c>
      <c r="BB100" s="12">
        <f t="shared" si="168"/>
        <v>7.8</v>
      </c>
      <c r="BC100" s="12">
        <f t="shared" si="168"/>
        <v>39.56</v>
      </c>
      <c r="BD100" s="12">
        <f t="shared" si="168"/>
        <v>14.8</v>
      </c>
      <c r="BE100" s="12">
        <f t="shared" si="168"/>
        <v>7.9</v>
      </c>
      <c r="BF100" s="12">
        <f t="shared" si="168"/>
        <v>1.9</v>
      </c>
      <c r="BG100" s="12">
        <f t="shared" si="168"/>
        <v>13.42</v>
      </c>
      <c r="BH100" s="12">
        <f t="shared" si="168"/>
        <v>11.1</v>
      </c>
      <c r="BI100" s="12">
        <f t="shared" si="168"/>
        <v>67.7</v>
      </c>
      <c r="BJ100" s="12">
        <f t="shared" si="168"/>
        <v>17.950000000000003</v>
      </c>
      <c r="BK100" s="12">
        <f t="shared" si="168"/>
        <v>59.111617312072909</v>
      </c>
      <c r="BL100" s="12">
        <f t="shared" si="169"/>
        <v>30.4</v>
      </c>
      <c r="BM100" s="12">
        <f t="shared" si="169"/>
        <v>7</v>
      </c>
      <c r="BN100" s="12">
        <f t="shared" si="169"/>
        <v>33.9</v>
      </c>
      <c r="BO100" s="12">
        <f t="shared" si="169"/>
        <v>21.6</v>
      </c>
      <c r="BP100" s="12">
        <f t="shared" si="169"/>
        <v>1.33</v>
      </c>
      <c r="BQ100" s="12">
        <f t="shared" si="169"/>
        <v>15.1</v>
      </c>
      <c r="BR100" s="12">
        <f t="shared" si="169"/>
        <v>18.25</v>
      </c>
      <c r="BS100" s="12">
        <f t="shared" si="169"/>
        <v>4.4000000000000004</v>
      </c>
      <c r="BT100" s="12">
        <f t="shared" si="169"/>
        <v>40.6</v>
      </c>
      <c r="BU100" s="12">
        <f t="shared" si="169"/>
        <v>27.4</v>
      </c>
      <c r="BV100" s="12">
        <f t="shared" si="170"/>
        <v>0.51500000000000001</v>
      </c>
      <c r="BW100" s="12">
        <f t="shared" si="170"/>
        <v>7.74</v>
      </c>
      <c r="BX100" s="12">
        <f t="shared" si="170"/>
        <v>45.5</v>
      </c>
      <c r="BY100" s="12">
        <f t="shared" si="170"/>
        <v>15</v>
      </c>
      <c r="BZ100" s="12">
        <f t="shared" si="170"/>
        <v>76.599999999999994</v>
      </c>
      <c r="CA100" s="12">
        <f t="shared" si="170"/>
        <v>17.8</v>
      </c>
      <c r="CB100" s="12">
        <f t="shared" si="170"/>
        <v>14.1</v>
      </c>
      <c r="CC100" s="12">
        <f t="shared" si="170"/>
        <v>66.3</v>
      </c>
      <c r="CD100" s="12">
        <f t="shared" si="170"/>
        <v>12.5</v>
      </c>
      <c r="CE100" s="12">
        <f t="shared" si="170"/>
        <v>74.099999999999994</v>
      </c>
      <c r="CF100" s="12">
        <f t="shared" si="171"/>
        <v>9.1</v>
      </c>
      <c r="CG100" s="12">
        <f t="shared" si="171"/>
        <v>39.65</v>
      </c>
      <c r="CH100" s="12">
        <f t="shared" si="171"/>
        <v>10</v>
      </c>
      <c r="CI100" s="12">
        <f t="shared" si="171"/>
        <v>5.9</v>
      </c>
      <c r="CJ100" s="12">
        <f t="shared" si="171"/>
        <v>-1</v>
      </c>
      <c r="CK100" s="12">
        <f t="shared" si="171"/>
        <v>10.029999999999999</v>
      </c>
      <c r="CL100" s="12">
        <f t="shared" si="171"/>
        <v>11.1</v>
      </c>
      <c r="CM100" s="12">
        <f t="shared" si="171"/>
        <v>67.2</v>
      </c>
      <c r="CN100" s="12">
        <f t="shared" si="171"/>
        <v>19.499999999999996</v>
      </c>
      <c r="CO100" s="12">
        <f t="shared" si="171"/>
        <v>58.241758241758234</v>
      </c>
    </row>
    <row r="101" spans="1:93" x14ac:dyDescent="0.3">
      <c r="A101" s="6" t="s">
        <v>48</v>
      </c>
      <c r="B101" s="3">
        <v>5</v>
      </c>
      <c r="C101" s="13" t="s">
        <v>55</v>
      </c>
      <c r="D101" s="14">
        <v>50</v>
      </c>
      <c r="E101" s="38">
        <f>G100</f>
        <v>42.857142857142854</v>
      </c>
      <c r="F101" s="39">
        <v>6</v>
      </c>
      <c r="G101" s="38">
        <f t="shared" si="177"/>
        <v>27.27272727272727</v>
      </c>
      <c r="H101" s="39">
        <v>22</v>
      </c>
      <c r="I101" s="40">
        <f t="shared" si="178"/>
        <v>0.66666666666666663</v>
      </c>
      <c r="J101" s="39">
        <v>10</v>
      </c>
      <c r="K101" s="39">
        <v>2</v>
      </c>
      <c r="L101" s="39">
        <v>4</v>
      </c>
      <c r="M101" s="39">
        <f>Q100</f>
        <v>40.4</v>
      </c>
      <c r="N101" s="39">
        <v>24</v>
      </c>
      <c r="O101" s="41">
        <f t="shared" si="179"/>
        <v>0.31168831168831168</v>
      </c>
      <c r="P101" s="39">
        <v>3</v>
      </c>
      <c r="Q101" s="39">
        <v>42.9</v>
      </c>
      <c r="R101" s="39">
        <v>17</v>
      </c>
      <c r="S101" s="38">
        <f t="shared" si="180"/>
        <v>57.142857142857139</v>
      </c>
      <c r="T101" s="39">
        <v>7</v>
      </c>
      <c r="U101" s="39">
        <v>4</v>
      </c>
      <c r="V101" s="39">
        <f>X100</f>
        <v>65</v>
      </c>
      <c r="W101" s="39">
        <v>6</v>
      </c>
      <c r="X101" s="39">
        <v>52</v>
      </c>
      <c r="Y101" s="39">
        <f>Z101-Z100</f>
        <v>-5</v>
      </c>
      <c r="Z101" s="39">
        <f t="shared" si="181"/>
        <v>30</v>
      </c>
      <c r="AA101" s="39">
        <f t="shared" si="182"/>
        <v>-13</v>
      </c>
      <c r="AB101" s="39">
        <v>3</v>
      </c>
      <c r="AC101" s="39">
        <f t="shared" si="183"/>
        <v>-6</v>
      </c>
      <c r="AD101" s="39">
        <f>AE100</f>
        <v>9</v>
      </c>
      <c r="AE101" s="39">
        <v>15</v>
      </c>
      <c r="AF101" s="46">
        <f t="shared" si="127"/>
        <v>61.276048951048956</v>
      </c>
      <c r="AG101" s="51">
        <f t="shared" ref="AG101" si="187">AVERAGE(AF100,AF101)</f>
        <v>60.690871010177943</v>
      </c>
      <c r="AH101" s="12">
        <f t="shared" si="166"/>
        <v>30.4</v>
      </c>
      <c r="AI101" s="12">
        <f t="shared" si="166"/>
        <v>7</v>
      </c>
      <c r="AJ101" s="12">
        <f t="shared" si="166"/>
        <v>33.9</v>
      </c>
      <c r="AK101" s="12">
        <f t="shared" si="166"/>
        <v>21.6</v>
      </c>
      <c r="AL101" s="12">
        <f t="shared" si="166"/>
        <v>1.33</v>
      </c>
      <c r="AM101" s="12">
        <f t="shared" si="166"/>
        <v>15.1</v>
      </c>
      <c r="AN101" s="12">
        <f t="shared" si="166"/>
        <v>18.25</v>
      </c>
      <c r="AO101" s="12">
        <f t="shared" si="166"/>
        <v>4.4000000000000004</v>
      </c>
      <c r="AP101" s="12">
        <f t="shared" si="166"/>
        <v>40.6</v>
      </c>
      <c r="AQ101" s="12">
        <f t="shared" si="166"/>
        <v>27.4</v>
      </c>
      <c r="AR101" s="12">
        <f t="shared" si="167"/>
        <v>0.51500000000000001</v>
      </c>
      <c r="AS101" s="12">
        <f t="shared" si="167"/>
        <v>7.74</v>
      </c>
      <c r="AT101" s="12">
        <f t="shared" si="167"/>
        <v>45.5</v>
      </c>
      <c r="AU101" s="12">
        <f t="shared" si="167"/>
        <v>15</v>
      </c>
      <c r="AV101" s="12">
        <f t="shared" si="167"/>
        <v>76.599999999999994</v>
      </c>
      <c r="AW101" s="12">
        <f t="shared" si="167"/>
        <v>17.8</v>
      </c>
      <c r="AX101" s="12">
        <f t="shared" si="167"/>
        <v>14.1</v>
      </c>
      <c r="AY101" s="12">
        <f t="shared" si="167"/>
        <v>66.3</v>
      </c>
      <c r="AZ101" s="12">
        <f t="shared" si="167"/>
        <v>12.5</v>
      </c>
      <c r="BA101" s="12">
        <f t="shared" si="167"/>
        <v>74.099999999999994</v>
      </c>
      <c r="BB101" s="12">
        <f t="shared" si="168"/>
        <v>9.1</v>
      </c>
      <c r="BC101" s="12">
        <f t="shared" si="168"/>
        <v>39.65</v>
      </c>
      <c r="BD101" s="12">
        <f t="shared" si="168"/>
        <v>10</v>
      </c>
      <c r="BE101" s="12">
        <f t="shared" si="168"/>
        <v>5.9</v>
      </c>
      <c r="BF101" s="12">
        <f t="shared" si="168"/>
        <v>-1</v>
      </c>
      <c r="BG101" s="12">
        <f t="shared" si="168"/>
        <v>10.029999999999999</v>
      </c>
      <c r="BH101" s="12">
        <f t="shared" si="168"/>
        <v>11.1</v>
      </c>
      <c r="BI101" s="12">
        <f t="shared" si="168"/>
        <v>67.2</v>
      </c>
      <c r="BJ101" s="12">
        <f t="shared" si="168"/>
        <v>19.499999999999996</v>
      </c>
      <c r="BK101" s="12">
        <f t="shared" si="168"/>
        <v>58.241758241758234</v>
      </c>
      <c r="BL101" s="12">
        <f t="shared" si="169"/>
        <v>29.3</v>
      </c>
      <c r="BM101" s="12">
        <f t="shared" si="169"/>
        <v>8</v>
      </c>
      <c r="BN101" s="12">
        <f t="shared" si="169"/>
        <v>33.799999999999997</v>
      </c>
      <c r="BO101" s="12">
        <f t="shared" si="169"/>
        <v>23.4</v>
      </c>
      <c r="BP101" s="12">
        <f t="shared" si="169"/>
        <v>1.55</v>
      </c>
      <c r="BQ101" s="12">
        <f t="shared" si="169"/>
        <v>17.7</v>
      </c>
      <c r="BR101" s="12">
        <f t="shared" si="169"/>
        <v>22.86</v>
      </c>
      <c r="BS101" s="12">
        <f t="shared" si="169"/>
        <v>3.8</v>
      </c>
      <c r="BT101" s="12">
        <f t="shared" si="169"/>
        <v>38.9</v>
      </c>
      <c r="BU101" s="12">
        <f t="shared" si="169"/>
        <v>26.34</v>
      </c>
      <c r="BV101" s="12">
        <f t="shared" si="170"/>
        <v>0.502</v>
      </c>
      <c r="BW101" s="12">
        <f t="shared" si="170"/>
        <v>6.24</v>
      </c>
      <c r="BX101" s="12">
        <f t="shared" si="170"/>
        <v>43.9</v>
      </c>
      <c r="BY101" s="12">
        <f t="shared" si="170"/>
        <v>16.5</v>
      </c>
      <c r="BZ101" s="12">
        <f t="shared" si="170"/>
        <v>71.099999999999994</v>
      </c>
      <c r="CA101" s="12">
        <f t="shared" si="170"/>
        <v>18.5</v>
      </c>
      <c r="CB101" s="12">
        <f t="shared" si="170"/>
        <v>13</v>
      </c>
      <c r="CC101" s="12">
        <f t="shared" si="170"/>
        <v>59.2</v>
      </c>
      <c r="CD101" s="12">
        <f t="shared" si="170"/>
        <v>13.08</v>
      </c>
      <c r="CE101" s="12">
        <f t="shared" si="170"/>
        <v>72.900000000000006</v>
      </c>
      <c r="CF101" s="12">
        <f t="shared" si="171"/>
        <v>7.8</v>
      </c>
      <c r="CG101" s="12">
        <f t="shared" si="171"/>
        <v>39.56</v>
      </c>
      <c r="CH101" s="12">
        <f t="shared" si="171"/>
        <v>14.8</v>
      </c>
      <c r="CI101" s="12">
        <f t="shared" si="171"/>
        <v>7.9</v>
      </c>
      <c r="CJ101" s="12">
        <f t="shared" si="171"/>
        <v>1.9</v>
      </c>
      <c r="CK101" s="12">
        <f t="shared" si="171"/>
        <v>13.42</v>
      </c>
      <c r="CL101" s="12">
        <f t="shared" si="171"/>
        <v>11.1</v>
      </c>
      <c r="CM101" s="12">
        <f t="shared" si="171"/>
        <v>67.7</v>
      </c>
      <c r="CN101" s="12">
        <f t="shared" si="171"/>
        <v>17.950000000000003</v>
      </c>
      <c r="CO101" s="12">
        <f t="shared" si="171"/>
        <v>59.111617312072909</v>
      </c>
    </row>
    <row r="102" spans="1:93" x14ac:dyDescent="0.3">
      <c r="A102" s="6" t="s">
        <v>320</v>
      </c>
      <c r="B102" s="3">
        <v>3</v>
      </c>
      <c r="C102" s="13" t="s">
        <v>49</v>
      </c>
      <c r="D102" s="14">
        <v>51</v>
      </c>
      <c r="E102" s="38">
        <f>G103</f>
        <v>20</v>
      </c>
      <c r="F102" s="39">
        <v>5</v>
      </c>
      <c r="G102" s="38">
        <f t="shared" si="177"/>
        <v>23.809523809523807</v>
      </c>
      <c r="H102" s="39">
        <v>21</v>
      </c>
      <c r="I102" s="40">
        <f t="shared" si="178"/>
        <v>1.75</v>
      </c>
      <c r="J102" s="39">
        <v>14</v>
      </c>
      <c r="K102" s="39">
        <v>7</v>
      </c>
      <c r="L102" s="39">
        <v>4</v>
      </c>
      <c r="M102" s="39">
        <f>Q103</f>
        <v>41.3</v>
      </c>
      <c r="N102" s="39">
        <v>21</v>
      </c>
      <c r="O102" s="41">
        <f t="shared" si="179"/>
        <v>0.26098901098901095</v>
      </c>
      <c r="P102" s="39">
        <v>20</v>
      </c>
      <c r="Q102" s="39">
        <v>48.1</v>
      </c>
      <c r="R102" s="39">
        <v>17</v>
      </c>
      <c r="S102" s="38">
        <f t="shared" si="180"/>
        <v>81.818181818181827</v>
      </c>
      <c r="T102" s="39">
        <v>22</v>
      </c>
      <c r="U102" s="39">
        <v>18</v>
      </c>
      <c r="V102" s="39">
        <f>X103</f>
        <v>69</v>
      </c>
      <c r="W102" s="39">
        <v>4</v>
      </c>
      <c r="X102" s="39">
        <v>75</v>
      </c>
      <c r="Y102" s="39">
        <f>Z102-Z103</f>
        <v>-19</v>
      </c>
      <c r="Z102" s="39">
        <f t="shared" si="181"/>
        <v>25</v>
      </c>
      <c r="AA102" s="39">
        <f t="shared" si="182"/>
        <v>6</v>
      </c>
      <c r="AB102" s="39">
        <v>11</v>
      </c>
      <c r="AC102" s="39">
        <f t="shared" si="183"/>
        <v>8</v>
      </c>
      <c r="AD102" s="39">
        <f>AE103</f>
        <v>16</v>
      </c>
      <c r="AE102" s="39">
        <v>8</v>
      </c>
      <c r="AF102" s="46">
        <f t="shared" si="127"/>
        <v>68.504054054054052</v>
      </c>
      <c r="AG102" s="51">
        <f t="shared" ref="AG102" si="188">AVERAGE(AF102,AF103)</f>
        <v>68.266524605719525</v>
      </c>
      <c r="AH102" s="12">
        <f t="shared" ref="AH102:AQ111" si="189">INDEX(ovrTable2,MATCH(INDEX(teamCol2,ROW()),ovrTeamCol2,0),MATCH(MID(INDEX(headerRow2,1,COLUMN()),4,LEN(INDEX(headerRow2,1,COLUMN()))),ovrHeaderRow2,0))</f>
        <v>31</v>
      </c>
      <c r="AI102" s="12">
        <f t="shared" si="189"/>
        <v>7.2</v>
      </c>
      <c r="AJ102" s="12">
        <f t="shared" si="189"/>
        <v>34.4</v>
      </c>
      <c r="AK102" s="12">
        <f t="shared" si="189"/>
        <v>22.1</v>
      </c>
      <c r="AL102" s="12">
        <f t="shared" si="189"/>
        <v>1.36</v>
      </c>
      <c r="AM102" s="12">
        <f t="shared" si="189"/>
        <v>18</v>
      </c>
      <c r="AN102" s="12">
        <f t="shared" si="189"/>
        <v>17.079999999999998</v>
      </c>
      <c r="AO102" s="12">
        <f t="shared" si="189"/>
        <v>2.9</v>
      </c>
      <c r="AP102" s="12">
        <f t="shared" si="189"/>
        <v>42.6</v>
      </c>
      <c r="AQ102" s="12">
        <f t="shared" si="189"/>
        <v>25.17</v>
      </c>
      <c r="AR102" s="12">
        <f t="shared" ref="AR102:BA111" si="190">INDEX(ovrTable2,MATCH(INDEX(teamCol2,ROW()),ovrTeamCol2,0),MATCH(MID(INDEX(headerRow2,1,COLUMN()),4,LEN(INDEX(headerRow2,1,COLUMN()))),ovrHeaderRow2,0))</f>
        <v>0.53100000000000003</v>
      </c>
      <c r="AS102" s="12">
        <f t="shared" si="190"/>
        <v>11.47</v>
      </c>
      <c r="AT102" s="12">
        <f t="shared" si="190"/>
        <v>46.8</v>
      </c>
      <c r="AU102" s="12">
        <f t="shared" si="190"/>
        <v>17.399999999999999</v>
      </c>
      <c r="AV102" s="12">
        <f t="shared" si="190"/>
        <v>75.099999999999994</v>
      </c>
      <c r="AW102" s="12">
        <f t="shared" si="190"/>
        <v>21.9</v>
      </c>
      <c r="AX102" s="12">
        <f t="shared" si="190"/>
        <v>16.8</v>
      </c>
      <c r="AY102" s="12">
        <f t="shared" si="190"/>
        <v>71.3</v>
      </c>
      <c r="AZ102" s="12">
        <f t="shared" si="190"/>
        <v>10.09</v>
      </c>
      <c r="BA102" s="12">
        <f t="shared" si="190"/>
        <v>78.8</v>
      </c>
      <c r="BB102" s="12">
        <f t="shared" ref="BB102:BK111" si="191">INDEX(ovrTable2,MATCH(INDEX(teamCol2,ROW()),ovrTeamCol2,0),MATCH(MID(INDEX(headerRow2,1,COLUMN()),4,LEN(INDEX(headerRow2,1,COLUMN()))),ovrHeaderRow2,0))</f>
        <v>1.2</v>
      </c>
      <c r="BC102" s="12">
        <f t="shared" si="191"/>
        <v>35.11</v>
      </c>
      <c r="BD102" s="12">
        <f t="shared" si="191"/>
        <v>6.5</v>
      </c>
      <c r="BE102" s="12">
        <f t="shared" si="191"/>
        <v>7.6</v>
      </c>
      <c r="BF102" s="12">
        <f t="shared" si="191"/>
        <v>0.5</v>
      </c>
      <c r="BG102" s="12">
        <f t="shared" si="191"/>
        <v>13.54</v>
      </c>
      <c r="BH102" s="12">
        <f t="shared" si="191"/>
        <v>13</v>
      </c>
      <c r="BI102" s="12">
        <f t="shared" si="191"/>
        <v>73.400000000000006</v>
      </c>
      <c r="BJ102" s="12">
        <f t="shared" si="191"/>
        <v>20.2</v>
      </c>
      <c r="BK102" s="12">
        <f t="shared" si="191"/>
        <v>58.547008547008552</v>
      </c>
      <c r="BL102" s="12">
        <f t="shared" ref="BL102:BU111" si="192">INDEX(ovrTable2,MATCH(INDEX(oppCol23,ROW()),ovrTeamCol2,0),MATCH(MID(INDEX(headerRow2,1,COLUMN()),4,LEN(INDEX(headerRow2,1,COLUMN()))),ovrHeaderRow2,0))</f>
        <v>32.200000000000003</v>
      </c>
      <c r="BM102" s="12">
        <f t="shared" si="192"/>
        <v>6.6</v>
      </c>
      <c r="BN102" s="12">
        <f t="shared" si="192"/>
        <v>35.1</v>
      </c>
      <c r="BO102" s="12">
        <f t="shared" si="192"/>
        <v>18.100000000000001</v>
      </c>
      <c r="BP102" s="12">
        <f t="shared" si="192"/>
        <v>1.43</v>
      </c>
      <c r="BQ102" s="12">
        <f t="shared" si="192"/>
        <v>15.7</v>
      </c>
      <c r="BR102" s="12">
        <f t="shared" si="192"/>
        <v>17.46</v>
      </c>
      <c r="BS102" s="12">
        <f t="shared" si="192"/>
        <v>3.8</v>
      </c>
      <c r="BT102" s="12">
        <f t="shared" si="192"/>
        <v>43.1</v>
      </c>
      <c r="BU102" s="12">
        <f t="shared" si="192"/>
        <v>26.36</v>
      </c>
      <c r="BV102" s="12">
        <f t="shared" ref="BV102:CE111" si="193">INDEX(ovrTable2,MATCH(INDEX(oppCol23,ROW()),ovrTeamCol2,0),MATCH(MID(INDEX(headerRow2,1,COLUMN()),4,LEN(INDEX(headerRow2,1,COLUMN()))),ovrHeaderRow2,0))</f>
        <v>0.50700000000000001</v>
      </c>
      <c r="BW102" s="12">
        <f t="shared" si="193"/>
        <v>10.029999999999999</v>
      </c>
      <c r="BX102" s="12">
        <f t="shared" si="193"/>
        <v>46</v>
      </c>
      <c r="BY102" s="12">
        <f t="shared" si="193"/>
        <v>15.9</v>
      </c>
      <c r="BZ102" s="12">
        <f t="shared" si="193"/>
        <v>70.900000000000006</v>
      </c>
      <c r="CA102" s="12">
        <f t="shared" si="193"/>
        <v>20.100000000000001</v>
      </c>
      <c r="CB102" s="12">
        <f t="shared" si="193"/>
        <v>14.4</v>
      </c>
      <c r="CC102" s="12">
        <f t="shared" si="193"/>
        <v>69.099999999999994</v>
      </c>
      <c r="CD102" s="12">
        <f t="shared" si="193"/>
        <v>17.420000000000002</v>
      </c>
      <c r="CE102" s="12">
        <f t="shared" si="193"/>
        <v>75.599999999999994</v>
      </c>
      <c r="CF102" s="12">
        <f t="shared" ref="CF102:CO111" si="194">INDEX(ovrTable2,MATCH(INDEX(oppCol23,ROW()),ovrTeamCol2,0),MATCH(MID(INDEX(headerRow2,1,COLUMN()),4,LEN(INDEX(headerRow2,1,COLUMN()))),ovrHeaderRow2,0))</f>
        <v>11.2</v>
      </c>
      <c r="CG102" s="12">
        <f t="shared" si="194"/>
        <v>42.28</v>
      </c>
      <c r="CH102" s="12">
        <f t="shared" si="194"/>
        <v>6.8</v>
      </c>
      <c r="CI102" s="12">
        <f t="shared" si="194"/>
        <v>6.2</v>
      </c>
      <c r="CJ102" s="12">
        <f t="shared" si="194"/>
        <v>-0.3</v>
      </c>
      <c r="CK102" s="12">
        <f t="shared" si="194"/>
        <v>10.43</v>
      </c>
      <c r="CL102" s="12">
        <f t="shared" si="194"/>
        <v>10.7</v>
      </c>
      <c r="CM102" s="12">
        <f t="shared" si="194"/>
        <v>69</v>
      </c>
      <c r="CN102" s="12">
        <f t="shared" si="194"/>
        <v>20.7</v>
      </c>
      <c r="CO102" s="12">
        <f t="shared" si="194"/>
        <v>59.347826086956509</v>
      </c>
    </row>
    <row r="103" spans="1:93" x14ac:dyDescent="0.3">
      <c r="A103" s="6" t="s">
        <v>49</v>
      </c>
      <c r="B103" s="3">
        <v>6</v>
      </c>
      <c r="C103" s="13" t="s">
        <v>320</v>
      </c>
      <c r="D103" s="14">
        <v>51</v>
      </c>
      <c r="E103" s="38">
        <f>G102</f>
        <v>23.809523809523807</v>
      </c>
      <c r="F103" s="39">
        <v>4</v>
      </c>
      <c r="G103" s="38">
        <f t="shared" si="177"/>
        <v>20</v>
      </c>
      <c r="H103" s="39">
        <v>20</v>
      </c>
      <c r="I103" s="40">
        <f t="shared" si="178"/>
        <v>0.75</v>
      </c>
      <c r="J103" s="39">
        <v>12</v>
      </c>
      <c r="K103" s="39">
        <v>5</v>
      </c>
      <c r="L103" s="39">
        <v>1</v>
      </c>
      <c r="M103" s="39">
        <f>Q102</f>
        <v>48.1</v>
      </c>
      <c r="N103" s="39">
        <v>25</v>
      </c>
      <c r="O103" s="41">
        <f t="shared" si="179"/>
        <v>0.2153846153846154</v>
      </c>
      <c r="P103" s="39">
        <v>8</v>
      </c>
      <c r="Q103" s="39">
        <v>41.3</v>
      </c>
      <c r="R103" s="39">
        <v>17</v>
      </c>
      <c r="S103" s="38">
        <f t="shared" si="180"/>
        <v>76.470588235294116</v>
      </c>
      <c r="T103" s="39">
        <v>17</v>
      </c>
      <c r="U103" s="39">
        <v>13</v>
      </c>
      <c r="V103" s="39">
        <f>X102</f>
        <v>75</v>
      </c>
      <c r="W103" s="39">
        <v>19</v>
      </c>
      <c r="X103" s="39">
        <v>69</v>
      </c>
      <c r="Y103" s="39">
        <f>Z103-Z102</f>
        <v>19</v>
      </c>
      <c r="Z103" s="39">
        <f t="shared" si="181"/>
        <v>44</v>
      </c>
      <c r="AA103" s="39">
        <f t="shared" si="182"/>
        <v>-6</v>
      </c>
      <c r="AB103" s="39">
        <v>6</v>
      </c>
      <c r="AC103" s="39">
        <f t="shared" si="183"/>
        <v>-8</v>
      </c>
      <c r="AD103" s="39">
        <f>AE102</f>
        <v>8</v>
      </c>
      <c r="AE103" s="39">
        <v>16</v>
      </c>
      <c r="AF103" s="46">
        <f t="shared" si="127"/>
        <v>68.028995157384983</v>
      </c>
      <c r="AG103" s="51">
        <f t="shared" ref="AG103" si="195">AVERAGE(AF102,AF103)</f>
        <v>68.266524605719525</v>
      </c>
      <c r="AH103" s="12">
        <f t="shared" si="189"/>
        <v>32.200000000000003</v>
      </c>
      <c r="AI103" s="12">
        <f t="shared" si="189"/>
        <v>6.6</v>
      </c>
      <c r="AJ103" s="12">
        <f t="shared" si="189"/>
        <v>35.1</v>
      </c>
      <c r="AK103" s="12">
        <f t="shared" si="189"/>
        <v>18.100000000000001</v>
      </c>
      <c r="AL103" s="12">
        <f t="shared" si="189"/>
        <v>1.43</v>
      </c>
      <c r="AM103" s="12">
        <f t="shared" si="189"/>
        <v>15.7</v>
      </c>
      <c r="AN103" s="12">
        <f t="shared" si="189"/>
        <v>17.46</v>
      </c>
      <c r="AO103" s="12">
        <f t="shared" si="189"/>
        <v>3.8</v>
      </c>
      <c r="AP103" s="12">
        <f t="shared" si="189"/>
        <v>43.1</v>
      </c>
      <c r="AQ103" s="12">
        <f t="shared" si="189"/>
        <v>26.36</v>
      </c>
      <c r="AR103" s="12">
        <f t="shared" si="190"/>
        <v>0.50700000000000001</v>
      </c>
      <c r="AS103" s="12">
        <f t="shared" si="190"/>
        <v>10.029999999999999</v>
      </c>
      <c r="AT103" s="12">
        <f t="shared" si="190"/>
        <v>46</v>
      </c>
      <c r="AU103" s="12">
        <f t="shared" si="190"/>
        <v>15.9</v>
      </c>
      <c r="AV103" s="12">
        <f t="shared" si="190"/>
        <v>70.900000000000006</v>
      </c>
      <c r="AW103" s="12">
        <f t="shared" si="190"/>
        <v>20.100000000000001</v>
      </c>
      <c r="AX103" s="12">
        <f t="shared" si="190"/>
        <v>14.4</v>
      </c>
      <c r="AY103" s="12">
        <f t="shared" si="190"/>
        <v>69.099999999999994</v>
      </c>
      <c r="AZ103" s="12">
        <f t="shared" si="190"/>
        <v>17.420000000000002</v>
      </c>
      <c r="BA103" s="12">
        <f t="shared" si="190"/>
        <v>75.599999999999994</v>
      </c>
      <c r="BB103" s="12">
        <f t="shared" si="191"/>
        <v>11.2</v>
      </c>
      <c r="BC103" s="12">
        <f t="shared" si="191"/>
        <v>42.28</v>
      </c>
      <c r="BD103" s="12">
        <f t="shared" si="191"/>
        <v>6.8</v>
      </c>
      <c r="BE103" s="12">
        <f t="shared" si="191"/>
        <v>6.2</v>
      </c>
      <c r="BF103" s="12">
        <f t="shared" si="191"/>
        <v>-0.3</v>
      </c>
      <c r="BG103" s="12">
        <f t="shared" si="191"/>
        <v>10.43</v>
      </c>
      <c r="BH103" s="12">
        <f t="shared" si="191"/>
        <v>10.7</v>
      </c>
      <c r="BI103" s="12">
        <f t="shared" si="191"/>
        <v>69</v>
      </c>
      <c r="BJ103" s="12">
        <f t="shared" si="191"/>
        <v>20.7</v>
      </c>
      <c r="BK103" s="12">
        <f t="shared" si="191"/>
        <v>59.347826086956509</v>
      </c>
      <c r="BL103" s="12">
        <f t="shared" si="192"/>
        <v>31</v>
      </c>
      <c r="BM103" s="12">
        <f t="shared" si="192"/>
        <v>7.2</v>
      </c>
      <c r="BN103" s="12">
        <f t="shared" si="192"/>
        <v>34.4</v>
      </c>
      <c r="BO103" s="12">
        <f t="shared" si="192"/>
        <v>22.1</v>
      </c>
      <c r="BP103" s="12">
        <f t="shared" si="192"/>
        <v>1.36</v>
      </c>
      <c r="BQ103" s="12">
        <f t="shared" si="192"/>
        <v>18</v>
      </c>
      <c r="BR103" s="12">
        <f t="shared" si="192"/>
        <v>17.079999999999998</v>
      </c>
      <c r="BS103" s="12">
        <f t="shared" si="192"/>
        <v>2.9</v>
      </c>
      <c r="BT103" s="12">
        <f t="shared" si="192"/>
        <v>42.6</v>
      </c>
      <c r="BU103" s="12">
        <f t="shared" si="192"/>
        <v>25.17</v>
      </c>
      <c r="BV103" s="12">
        <f t="shared" si="193"/>
        <v>0.53100000000000003</v>
      </c>
      <c r="BW103" s="12">
        <f t="shared" si="193"/>
        <v>11.47</v>
      </c>
      <c r="BX103" s="12">
        <f t="shared" si="193"/>
        <v>46.8</v>
      </c>
      <c r="BY103" s="12">
        <f t="shared" si="193"/>
        <v>17.399999999999999</v>
      </c>
      <c r="BZ103" s="12">
        <f t="shared" si="193"/>
        <v>75.099999999999994</v>
      </c>
      <c r="CA103" s="12">
        <f t="shared" si="193"/>
        <v>21.9</v>
      </c>
      <c r="CB103" s="12">
        <f t="shared" si="193"/>
        <v>16.8</v>
      </c>
      <c r="CC103" s="12">
        <f t="shared" si="193"/>
        <v>71.3</v>
      </c>
      <c r="CD103" s="12">
        <f t="shared" si="193"/>
        <v>10.09</v>
      </c>
      <c r="CE103" s="12">
        <f t="shared" si="193"/>
        <v>78.8</v>
      </c>
      <c r="CF103" s="12">
        <f t="shared" si="194"/>
        <v>1.2</v>
      </c>
      <c r="CG103" s="12">
        <f t="shared" si="194"/>
        <v>35.11</v>
      </c>
      <c r="CH103" s="12">
        <f t="shared" si="194"/>
        <v>6.5</v>
      </c>
      <c r="CI103" s="12">
        <f t="shared" si="194"/>
        <v>7.6</v>
      </c>
      <c r="CJ103" s="12">
        <f t="shared" si="194"/>
        <v>0.5</v>
      </c>
      <c r="CK103" s="12">
        <f t="shared" si="194"/>
        <v>13.54</v>
      </c>
      <c r="CL103" s="12">
        <f t="shared" si="194"/>
        <v>13</v>
      </c>
      <c r="CM103" s="12">
        <f t="shared" si="194"/>
        <v>73.400000000000006</v>
      </c>
      <c r="CN103" s="12">
        <f t="shared" si="194"/>
        <v>20.2</v>
      </c>
      <c r="CO103" s="12">
        <f t="shared" si="194"/>
        <v>58.547008547008552</v>
      </c>
    </row>
    <row r="104" spans="1:93" x14ac:dyDescent="0.3">
      <c r="A104" s="6" t="s">
        <v>50</v>
      </c>
      <c r="B104" s="3">
        <v>2</v>
      </c>
      <c r="C104" s="13" t="s">
        <v>34</v>
      </c>
      <c r="D104" s="14">
        <v>52</v>
      </c>
      <c r="E104" s="38">
        <f>G105</f>
        <v>12.5</v>
      </c>
      <c r="F104" s="39">
        <v>11</v>
      </c>
      <c r="G104" s="38">
        <f t="shared" si="177"/>
        <v>40.74074074074074</v>
      </c>
      <c r="H104" s="39">
        <v>27</v>
      </c>
      <c r="I104" s="40">
        <f t="shared" si="178"/>
        <v>0.6875</v>
      </c>
      <c r="J104" s="39">
        <v>11</v>
      </c>
      <c r="K104" s="39">
        <v>7</v>
      </c>
      <c r="L104" s="39">
        <v>0</v>
      </c>
      <c r="M104" s="39">
        <f>Q105</f>
        <v>44.4</v>
      </c>
      <c r="N104" s="39">
        <v>22</v>
      </c>
      <c r="O104" s="41">
        <f t="shared" si="179"/>
        <v>0.51944444444444438</v>
      </c>
      <c r="P104" s="39">
        <v>5</v>
      </c>
      <c r="Q104" s="39">
        <v>38.5</v>
      </c>
      <c r="R104" s="39">
        <v>18</v>
      </c>
      <c r="S104" s="38">
        <f t="shared" si="180"/>
        <v>64.285714285714292</v>
      </c>
      <c r="T104" s="39">
        <v>14</v>
      </c>
      <c r="U104" s="39">
        <v>9</v>
      </c>
      <c r="V104" s="39">
        <f>X105</f>
        <v>69</v>
      </c>
      <c r="W104" s="39">
        <v>9</v>
      </c>
      <c r="X104" s="39">
        <v>60</v>
      </c>
      <c r="Y104" s="39">
        <f>Z104-Z105</f>
        <v>-5</v>
      </c>
      <c r="Z104" s="39">
        <f t="shared" si="181"/>
        <v>31</v>
      </c>
      <c r="AA104" s="39">
        <f t="shared" si="182"/>
        <v>-9</v>
      </c>
      <c r="AB104" s="39">
        <v>3</v>
      </c>
      <c r="AC104" s="39">
        <f t="shared" si="183"/>
        <v>-3</v>
      </c>
      <c r="AD104" s="39">
        <f>AE105</f>
        <v>13</v>
      </c>
      <c r="AE104" s="39">
        <v>16</v>
      </c>
      <c r="AF104" s="46">
        <f t="shared" si="127"/>
        <v>65.598051948051946</v>
      </c>
      <c r="AG104" s="51">
        <f t="shared" ref="AG104" si="196">AVERAGE(AF104,AF105)</f>
        <v>66.788553001053003</v>
      </c>
      <c r="AH104" s="12">
        <f t="shared" si="189"/>
        <v>34</v>
      </c>
      <c r="AI104" s="12">
        <f t="shared" si="189"/>
        <v>8.8000000000000007</v>
      </c>
      <c r="AJ104" s="12">
        <f t="shared" si="189"/>
        <v>35.799999999999997</v>
      </c>
      <c r="AK104" s="12">
        <f t="shared" si="189"/>
        <v>25.1</v>
      </c>
      <c r="AL104" s="12">
        <f t="shared" si="189"/>
        <v>1.73</v>
      </c>
      <c r="AM104" s="12">
        <f t="shared" si="189"/>
        <v>18.5</v>
      </c>
      <c r="AN104" s="12">
        <f t="shared" si="189"/>
        <v>21.47</v>
      </c>
      <c r="AO104" s="12">
        <f t="shared" si="189"/>
        <v>3.1</v>
      </c>
      <c r="AP104" s="12">
        <f t="shared" si="189"/>
        <v>44</v>
      </c>
      <c r="AQ104" s="12">
        <f t="shared" si="189"/>
        <v>23.74</v>
      </c>
      <c r="AR104" s="12">
        <f t="shared" si="190"/>
        <v>0.56899999999999995</v>
      </c>
      <c r="AS104" s="12">
        <f t="shared" si="190"/>
        <v>15.42</v>
      </c>
      <c r="AT104" s="12">
        <f t="shared" si="190"/>
        <v>48.8</v>
      </c>
      <c r="AU104" s="12">
        <f t="shared" si="190"/>
        <v>16.100000000000001</v>
      </c>
      <c r="AV104" s="12">
        <f t="shared" si="190"/>
        <v>72</v>
      </c>
      <c r="AW104" s="12">
        <f t="shared" si="190"/>
        <v>16.899999999999999</v>
      </c>
      <c r="AX104" s="12">
        <f t="shared" si="190"/>
        <v>11.7</v>
      </c>
      <c r="AY104" s="12">
        <f t="shared" si="190"/>
        <v>72</v>
      </c>
      <c r="AZ104" s="12">
        <f t="shared" si="190"/>
        <v>8.76</v>
      </c>
      <c r="BA104" s="12">
        <f t="shared" si="190"/>
        <v>82</v>
      </c>
      <c r="BB104" s="12">
        <f t="shared" si="191"/>
        <v>-3.1</v>
      </c>
      <c r="BC104" s="12">
        <f t="shared" si="191"/>
        <v>32.56</v>
      </c>
      <c r="BD104" s="12">
        <f t="shared" si="191"/>
        <v>10.5</v>
      </c>
      <c r="BE104" s="12">
        <f t="shared" si="191"/>
        <v>9.9</v>
      </c>
      <c r="BF104" s="12">
        <f t="shared" si="191"/>
        <v>6.7</v>
      </c>
      <c r="BG104" s="12">
        <f t="shared" si="191"/>
        <v>15.81</v>
      </c>
      <c r="BH104" s="12">
        <f t="shared" si="191"/>
        <v>10</v>
      </c>
      <c r="BI104" s="12">
        <f t="shared" si="191"/>
        <v>71.8</v>
      </c>
      <c r="BJ104" s="12">
        <f t="shared" si="191"/>
        <v>21.949999999999996</v>
      </c>
      <c r="BK104" s="12">
        <f t="shared" si="191"/>
        <v>63.01229508196721</v>
      </c>
      <c r="BL104" s="12">
        <f t="shared" si="192"/>
        <v>32.1</v>
      </c>
      <c r="BM104" s="12">
        <f t="shared" si="192"/>
        <v>7.6</v>
      </c>
      <c r="BN104" s="12">
        <f t="shared" si="192"/>
        <v>40.4</v>
      </c>
      <c r="BO104" s="12">
        <f t="shared" si="192"/>
        <v>18.8</v>
      </c>
      <c r="BP104" s="12">
        <f t="shared" si="192"/>
        <v>1.49</v>
      </c>
      <c r="BQ104" s="12">
        <f t="shared" si="192"/>
        <v>15.2</v>
      </c>
      <c r="BR104" s="12">
        <f t="shared" si="192"/>
        <v>14.22</v>
      </c>
      <c r="BS104" s="12">
        <f t="shared" si="192"/>
        <v>3.1</v>
      </c>
      <c r="BT104" s="12">
        <f t="shared" si="192"/>
        <v>42.3</v>
      </c>
      <c r="BU104" s="12">
        <f t="shared" si="192"/>
        <v>27.28</v>
      </c>
      <c r="BV104" s="12">
        <f t="shared" si="193"/>
        <v>0.52200000000000002</v>
      </c>
      <c r="BW104" s="12">
        <f t="shared" si="193"/>
        <v>9.0299999999999994</v>
      </c>
      <c r="BX104" s="12">
        <f t="shared" si="193"/>
        <v>45.5</v>
      </c>
      <c r="BY104" s="12">
        <f t="shared" si="193"/>
        <v>16.3</v>
      </c>
      <c r="BZ104" s="12">
        <f t="shared" si="193"/>
        <v>75.7</v>
      </c>
      <c r="CA104" s="12">
        <f t="shared" si="193"/>
        <v>14.8</v>
      </c>
      <c r="CB104" s="12">
        <f t="shared" si="193"/>
        <v>11.7</v>
      </c>
      <c r="CC104" s="12">
        <f t="shared" si="193"/>
        <v>69.599999999999994</v>
      </c>
      <c r="CD104" s="12">
        <f t="shared" si="193"/>
        <v>9.49</v>
      </c>
      <c r="CE104" s="12">
        <f t="shared" si="193"/>
        <v>73.5</v>
      </c>
      <c r="CF104" s="12">
        <f t="shared" si="194"/>
        <v>4.0999999999999996</v>
      </c>
      <c r="CG104" s="12">
        <f t="shared" si="194"/>
        <v>36.119999999999997</v>
      </c>
      <c r="CH104" s="12">
        <f t="shared" si="194"/>
        <v>0.8</v>
      </c>
      <c r="CI104" s="12">
        <f t="shared" si="194"/>
        <v>4.4000000000000004</v>
      </c>
      <c r="CJ104" s="12">
        <f t="shared" si="194"/>
        <v>-0.9</v>
      </c>
      <c r="CK104" s="12">
        <f t="shared" si="194"/>
        <v>9.44</v>
      </c>
      <c r="CL104" s="12">
        <f t="shared" si="194"/>
        <v>10</v>
      </c>
      <c r="CM104" s="12">
        <f t="shared" si="194"/>
        <v>67.900000000000006</v>
      </c>
      <c r="CN104" s="12">
        <f t="shared" si="194"/>
        <v>19.5</v>
      </c>
      <c r="CO104" s="12">
        <f t="shared" si="194"/>
        <v>59.560439560439562</v>
      </c>
    </row>
    <row r="105" spans="1:93" x14ac:dyDescent="0.3">
      <c r="A105" s="6" t="s">
        <v>34</v>
      </c>
      <c r="B105" s="3">
        <v>7</v>
      </c>
      <c r="C105" s="13" t="s">
        <v>50</v>
      </c>
      <c r="D105" s="14">
        <v>52</v>
      </c>
      <c r="E105" s="38">
        <f>G104</f>
        <v>40.74074074074074</v>
      </c>
      <c r="F105" s="39">
        <v>2</v>
      </c>
      <c r="G105" s="38">
        <f t="shared" si="177"/>
        <v>12.5</v>
      </c>
      <c r="H105" s="39">
        <v>16</v>
      </c>
      <c r="I105" s="40">
        <f t="shared" si="178"/>
        <v>0.61538461538461542</v>
      </c>
      <c r="J105" s="39">
        <v>8</v>
      </c>
      <c r="K105" s="39">
        <v>6</v>
      </c>
      <c r="L105" s="39">
        <v>3</v>
      </c>
      <c r="M105" s="39">
        <f>Q104</f>
        <v>38.5</v>
      </c>
      <c r="N105" s="39">
        <v>26</v>
      </c>
      <c r="O105" s="41">
        <f t="shared" si="179"/>
        <v>0.13020833333333334</v>
      </c>
      <c r="P105" s="39">
        <v>8</v>
      </c>
      <c r="Q105" s="39">
        <v>44.4</v>
      </c>
      <c r="R105" s="39">
        <v>19</v>
      </c>
      <c r="S105" s="38">
        <f t="shared" si="180"/>
        <v>82.608695652173907</v>
      </c>
      <c r="T105" s="39">
        <v>23</v>
      </c>
      <c r="U105" s="39">
        <v>19</v>
      </c>
      <c r="V105" s="39">
        <f>X104</f>
        <v>60</v>
      </c>
      <c r="W105" s="39">
        <v>10</v>
      </c>
      <c r="X105" s="39">
        <v>69</v>
      </c>
      <c r="Y105" s="39">
        <f>Z105-Z104</f>
        <v>5</v>
      </c>
      <c r="Z105" s="39">
        <f t="shared" si="181"/>
        <v>36</v>
      </c>
      <c r="AA105" s="39">
        <f t="shared" si="182"/>
        <v>9</v>
      </c>
      <c r="AB105" s="39">
        <v>9</v>
      </c>
      <c r="AC105" s="39">
        <f t="shared" si="183"/>
        <v>3</v>
      </c>
      <c r="AD105" s="39">
        <f>AE104</f>
        <v>16</v>
      </c>
      <c r="AE105" s="39">
        <v>13</v>
      </c>
      <c r="AF105" s="46">
        <f t="shared" si="127"/>
        <v>67.97905405405406</v>
      </c>
      <c r="AG105" s="51">
        <f t="shared" ref="AG105" si="197">AVERAGE(AF104,AF105)</f>
        <v>66.788553001053003</v>
      </c>
      <c r="AH105" s="12">
        <f t="shared" si="189"/>
        <v>32.1</v>
      </c>
      <c r="AI105" s="12">
        <f t="shared" si="189"/>
        <v>7.6</v>
      </c>
      <c r="AJ105" s="12">
        <f t="shared" si="189"/>
        <v>40.4</v>
      </c>
      <c r="AK105" s="12">
        <f t="shared" si="189"/>
        <v>18.8</v>
      </c>
      <c r="AL105" s="12">
        <f t="shared" si="189"/>
        <v>1.49</v>
      </c>
      <c r="AM105" s="12">
        <f t="shared" si="189"/>
        <v>15.2</v>
      </c>
      <c r="AN105" s="12">
        <f t="shared" si="189"/>
        <v>14.22</v>
      </c>
      <c r="AO105" s="12">
        <f t="shared" si="189"/>
        <v>3.1</v>
      </c>
      <c r="AP105" s="12">
        <f t="shared" si="189"/>
        <v>42.3</v>
      </c>
      <c r="AQ105" s="12">
        <f t="shared" si="189"/>
        <v>27.28</v>
      </c>
      <c r="AR105" s="12">
        <f t="shared" si="190"/>
        <v>0.52200000000000002</v>
      </c>
      <c r="AS105" s="12">
        <f t="shared" si="190"/>
        <v>9.0299999999999994</v>
      </c>
      <c r="AT105" s="12">
        <f t="shared" si="190"/>
        <v>45.5</v>
      </c>
      <c r="AU105" s="12">
        <f t="shared" si="190"/>
        <v>16.3</v>
      </c>
      <c r="AV105" s="12">
        <f t="shared" si="190"/>
        <v>75.7</v>
      </c>
      <c r="AW105" s="12">
        <f t="shared" si="190"/>
        <v>14.8</v>
      </c>
      <c r="AX105" s="12">
        <f t="shared" si="190"/>
        <v>11.7</v>
      </c>
      <c r="AY105" s="12">
        <f t="shared" si="190"/>
        <v>69.599999999999994</v>
      </c>
      <c r="AZ105" s="12">
        <f t="shared" si="190"/>
        <v>9.49</v>
      </c>
      <c r="BA105" s="12">
        <f t="shared" si="190"/>
        <v>73.5</v>
      </c>
      <c r="BB105" s="12">
        <f t="shared" si="191"/>
        <v>4.0999999999999996</v>
      </c>
      <c r="BC105" s="12">
        <f t="shared" si="191"/>
        <v>36.119999999999997</v>
      </c>
      <c r="BD105" s="12">
        <f t="shared" si="191"/>
        <v>0.8</v>
      </c>
      <c r="BE105" s="12">
        <f t="shared" si="191"/>
        <v>4.4000000000000004</v>
      </c>
      <c r="BF105" s="12">
        <f t="shared" si="191"/>
        <v>-0.9</v>
      </c>
      <c r="BG105" s="12">
        <f t="shared" si="191"/>
        <v>9.44</v>
      </c>
      <c r="BH105" s="12">
        <f t="shared" si="191"/>
        <v>10</v>
      </c>
      <c r="BI105" s="12">
        <f t="shared" si="191"/>
        <v>67.900000000000006</v>
      </c>
      <c r="BJ105" s="12">
        <f t="shared" si="191"/>
        <v>19.5</v>
      </c>
      <c r="BK105" s="12">
        <f t="shared" si="191"/>
        <v>59.560439560439562</v>
      </c>
      <c r="BL105" s="12">
        <f t="shared" si="192"/>
        <v>34</v>
      </c>
      <c r="BM105" s="12">
        <f t="shared" si="192"/>
        <v>8.8000000000000007</v>
      </c>
      <c r="BN105" s="12">
        <f t="shared" si="192"/>
        <v>35.799999999999997</v>
      </c>
      <c r="BO105" s="12">
        <f t="shared" si="192"/>
        <v>25.1</v>
      </c>
      <c r="BP105" s="12">
        <f t="shared" si="192"/>
        <v>1.73</v>
      </c>
      <c r="BQ105" s="12">
        <f t="shared" si="192"/>
        <v>18.5</v>
      </c>
      <c r="BR105" s="12">
        <f t="shared" si="192"/>
        <v>21.47</v>
      </c>
      <c r="BS105" s="12">
        <f t="shared" si="192"/>
        <v>3.1</v>
      </c>
      <c r="BT105" s="12">
        <f t="shared" si="192"/>
        <v>44</v>
      </c>
      <c r="BU105" s="12">
        <f t="shared" si="192"/>
        <v>23.74</v>
      </c>
      <c r="BV105" s="12">
        <f t="shared" si="193"/>
        <v>0.56899999999999995</v>
      </c>
      <c r="BW105" s="12">
        <f t="shared" si="193"/>
        <v>15.42</v>
      </c>
      <c r="BX105" s="12">
        <f t="shared" si="193"/>
        <v>48.8</v>
      </c>
      <c r="BY105" s="12">
        <f t="shared" si="193"/>
        <v>16.100000000000001</v>
      </c>
      <c r="BZ105" s="12">
        <f t="shared" si="193"/>
        <v>72</v>
      </c>
      <c r="CA105" s="12">
        <f t="shared" si="193"/>
        <v>16.899999999999999</v>
      </c>
      <c r="CB105" s="12">
        <f t="shared" si="193"/>
        <v>11.7</v>
      </c>
      <c r="CC105" s="12">
        <f t="shared" si="193"/>
        <v>72</v>
      </c>
      <c r="CD105" s="12">
        <f t="shared" si="193"/>
        <v>8.76</v>
      </c>
      <c r="CE105" s="12">
        <f t="shared" si="193"/>
        <v>82</v>
      </c>
      <c r="CF105" s="12">
        <f t="shared" si="194"/>
        <v>-3.1</v>
      </c>
      <c r="CG105" s="12">
        <f t="shared" si="194"/>
        <v>32.56</v>
      </c>
      <c r="CH105" s="12">
        <f t="shared" si="194"/>
        <v>10.5</v>
      </c>
      <c r="CI105" s="12">
        <f t="shared" si="194"/>
        <v>9.9</v>
      </c>
      <c r="CJ105" s="12">
        <f t="shared" si="194"/>
        <v>6.7</v>
      </c>
      <c r="CK105" s="12">
        <f t="shared" si="194"/>
        <v>15.81</v>
      </c>
      <c r="CL105" s="12">
        <f t="shared" si="194"/>
        <v>10</v>
      </c>
      <c r="CM105" s="12">
        <f t="shared" si="194"/>
        <v>71.8</v>
      </c>
      <c r="CN105" s="12">
        <f t="shared" si="194"/>
        <v>21.949999999999996</v>
      </c>
      <c r="CO105" s="12">
        <f t="shared" si="194"/>
        <v>63.01229508196721</v>
      </c>
    </row>
    <row r="106" spans="1:93" x14ac:dyDescent="0.3">
      <c r="A106" s="6" t="s">
        <v>21</v>
      </c>
      <c r="B106" s="3">
        <v>1</v>
      </c>
      <c r="C106" s="13" t="s">
        <v>6</v>
      </c>
      <c r="D106" s="14">
        <v>53</v>
      </c>
      <c r="E106" s="38">
        <f>G107</f>
        <v>35.294117647058826</v>
      </c>
      <c r="F106" s="39">
        <v>3</v>
      </c>
      <c r="G106" s="38">
        <f t="shared" si="177"/>
        <v>11.111111111111111</v>
      </c>
      <c r="H106" s="39">
        <v>27</v>
      </c>
      <c r="I106" s="40">
        <f t="shared" si="178"/>
        <v>0.7142857142857143</v>
      </c>
      <c r="J106" s="39">
        <v>10</v>
      </c>
      <c r="K106" s="39">
        <v>16</v>
      </c>
      <c r="L106" s="39">
        <v>5</v>
      </c>
      <c r="M106" s="39">
        <f>Q107</f>
        <v>37.700000000000003</v>
      </c>
      <c r="N106" s="39">
        <v>32</v>
      </c>
      <c r="O106" s="41">
        <f t="shared" si="179"/>
        <v>0.11835748792270531</v>
      </c>
      <c r="P106" s="39">
        <v>0</v>
      </c>
      <c r="Q106" s="39">
        <v>32.4</v>
      </c>
      <c r="R106" s="39">
        <v>22</v>
      </c>
      <c r="S106" s="38">
        <f t="shared" si="180"/>
        <v>75</v>
      </c>
      <c r="T106" s="39">
        <v>20</v>
      </c>
      <c r="U106" s="39">
        <v>15</v>
      </c>
      <c r="V106" s="39">
        <f>X107</f>
        <v>71</v>
      </c>
      <c r="W106" s="39">
        <v>20</v>
      </c>
      <c r="X106" s="39">
        <v>64</v>
      </c>
      <c r="Y106" s="39">
        <f>Z106-Z107</f>
        <v>4</v>
      </c>
      <c r="Z106" s="39">
        <f t="shared" si="181"/>
        <v>52</v>
      </c>
      <c r="AA106" s="39">
        <f t="shared" si="182"/>
        <v>-7</v>
      </c>
      <c r="AB106" s="39">
        <v>5</v>
      </c>
      <c r="AC106" s="39">
        <f t="shared" si="183"/>
        <v>-2</v>
      </c>
      <c r="AD106" s="39">
        <f>AE107</f>
        <v>12</v>
      </c>
      <c r="AE106" s="39">
        <v>14</v>
      </c>
      <c r="AF106" s="46">
        <f t="shared" si="127"/>
        <v>74.487654320987659</v>
      </c>
      <c r="AG106" s="51">
        <f t="shared" ref="AG106" si="198">AVERAGE(AF106,AF107)</f>
        <v>74.451585781183482</v>
      </c>
      <c r="AH106" s="12">
        <f t="shared" si="189"/>
        <v>29.9</v>
      </c>
      <c r="AI106" s="12">
        <f t="shared" si="189"/>
        <v>10.5</v>
      </c>
      <c r="AJ106" s="12">
        <f t="shared" si="189"/>
        <v>33.9</v>
      </c>
      <c r="AK106" s="12">
        <f t="shared" si="189"/>
        <v>30.6</v>
      </c>
      <c r="AL106" s="12">
        <f t="shared" si="189"/>
        <v>1.17</v>
      </c>
      <c r="AM106" s="12">
        <f t="shared" si="189"/>
        <v>15.6</v>
      </c>
      <c r="AN106" s="12">
        <f t="shared" si="189"/>
        <v>32.61</v>
      </c>
      <c r="AO106" s="12">
        <f t="shared" si="189"/>
        <v>5.4</v>
      </c>
      <c r="AP106" s="12">
        <f t="shared" si="189"/>
        <v>38.6</v>
      </c>
      <c r="AQ106" s="12">
        <f t="shared" si="189"/>
        <v>29.71</v>
      </c>
      <c r="AR106" s="12">
        <f t="shared" si="190"/>
        <v>0.52800000000000002</v>
      </c>
      <c r="AS106" s="12">
        <f t="shared" si="190"/>
        <v>13.91</v>
      </c>
      <c r="AT106" s="12">
        <f t="shared" si="190"/>
        <v>44.4</v>
      </c>
      <c r="AU106" s="12">
        <f t="shared" si="190"/>
        <v>18.3</v>
      </c>
      <c r="AV106" s="12">
        <f t="shared" si="190"/>
        <v>72.099999999999994</v>
      </c>
      <c r="AW106" s="12">
        <f t="shared" si="190"/>
        <v>24.2</v>
      </c>
      <c r="AX106" s="12">
        <f t="shared" si="190"/>
        <v>17.399999999999999</v>
      </c>
      <c r="AY106" s="12">
        <f t="shared" si="190"/>
        <v>69.900000000000006</v>
      </c>
      <c r="AZ106" s="12">
        <f t="shared" si="190"/>
        <v>13.43</v>
      </c>
      <c r="BA106" s="12">
        <f t="shared" si="190"/>
        <v>86.1</v>
      </c>
      <c r="BB106" s="12">
        <f t="shared" si="191"/>
        <v>8.6999999999999993</v>
      </c>
      <c r="BC106" s="12">
        <f t="shared" si="191"/>
        <v>42.81</v>
      </c>
      <c r="BD106" s="12">
        <f t="shared" si="191"/>
        <v>15.9</v>
      </c>
      <c r="BE106" s="12">
        <f t="shared" si="191"/>
        <v>6</v>
      </c>
      <c r="BF106" s="12">
        <f t="shared" si="191"/>
        <v>-3.2</v>
      </c>
      <c r="BG106" s="12">
        <f t="shared" si="191"/>
        <v>10.85</v>
      </c>
      <c r="BH106" s="12">
        <f t="shared" si="191"/>
        <v>13</v>
      </c>
      <c r="BI106" s="12">
        <f t="shared" si="191"/>
        <v>76.2</v>
      </c>
      <c r="BJ106" s="12">
        <f t="shared" si="191"/>
        <v>18.599999999999994</v>
      </c>
      <c r="BK106" s="12">
        <f t="shared" si="191"/>
        <v>65.540540540540533</v>
      </c>
      <c r="BL106" s="12">
        <f t="shared" si="192"/>
        <v>30</v>
      </c>
      <c r="BM106" s="12">
        <f t="shared" si="192"/>
        <v>7.1</v>
      </c>
      <c r="BN106" s="12">
        <f t="shared" si="192"/>
        <v>35.200000000000003</v>
      </c>
      <c r="BO106" s="12">
        <f t="shared" si="192"/>
        <v>20.399999999999999</v>
      </c>
      <c r="BP106" s="12">
        <f t="shared" si="192"/>
        <v>1.26</v>
      </c>
      <c r="BQ106" s="12">
        <f t="shared" si="192"/>
        <v>13.1</v>
      </c>
      <c r="BR106" s="12">
        <f t="shared" si="192"/>
        <v>30.06</v>
      </c>
      <c r="BS106" s="12">
        <f t="shared" si="192"/>
        <v>3.9</v>
      </c>
      <c r="BT106" s="12">
        <f t="shared" si="192"/>
        <v>41.4</v>
      </c>
      <c r="BU106" s="12">
        <f t="shared" si="192"/>
        <v>25.67</v>
      </c>
      <c r="BV106" s="12">
        <f t="shared" si="193"/>
        <v>0.501</v>
      </c>
      <c r="BW106" s="12">
        <f t="shared" si="193"/>
        <v>8</v>
      </c>
      <c r="BX106" s="12">
        <f t="shared" si="193"/>
        <v>44</v>
      </c>
      <c r="BY106" s="12">
        <f t="shared" si="193"/>
        <v>16.3</v>
      </c>
      <c r="BZ106" s="12">
        <f t="shared" si="193"/>
        <v>72</v>
      </c>
      <c r="CA106" s="12">
        <f t="shared" si="193"/>
        <v>19.5</v>
      </c>
      <c r="CB106" s="12">
        <f t="shared" si="193"/>
        <v>14.6</v>
      </c>
      <c r="CC106" s="12">
        <f t="shared" si="193"/>
        <v>64.099999999999994</v>
      </c>
      <c r="CD106" s="12">
        <f t="shared" si="193"/>
        <v>11.24</v>
      </c>
      <c r="CE106" s="12">
        <f t="shared" si="193"/>
        <v>73.599999999999994</v>
      </c>
      <c r="CF106" s="12">
        <f t="shared" si="194"/>
        <v>4.7</v>
      </c>
      <c r="CG106" s="12">
        <f t="shared" si="194"/>
        <v>37.65</v>
      </c>
      <c r="CH106" s="12">
        <f t="shared" si="194"/>
        <v>8.6</v>
      </c>
      <c r="CI106" s="12">
        <f t="shared" si="194"/>
        <v>6.6</v>
      </c>
      <c r="CJ106" s="12">
        <f t="shared" si="194"/>
        <v>0.6</v>
      </c>
      <c r="CK106" s="12">
        <f t="shared" si="194"/>
        <v>11.54</v>
      </c>
      <c r="CL106" s="12">
        <f t="shared" si="194"/>
        <v>10.6</v>
      </c>
      <c r="CM106" s="12">
        <f t="shared" si="194"/>
        <v>68.3</v>
      </c>
      <c r="CN106" s="12">
        <f t="shared" si="194"/>
        <v>18.849999999999998</v>
      </c>
      <c r="CO106" s="12">
        <f t="shared" si="194"/>
        <v>58.97727272727272</v>
      </c>
    </row>
    <row r="107" spans="1:93" x14ac:dyDescent="0.3">
      <c r="A107" s="6" t="s">
        <v>6</v>
      </c>
      <c r="B107" s="3">
        <v>5</v>
      </c>
      <c r="C107" s="13" t="s">
        <v>21</v>
      </c>
      <c r="D107" s="14">
        <v>53</v>
      </c>
      <c r="E107" s="38">
        <f>G106</f>
        <v>11.111111111111111</v>
      </c>
      <c r="F107" s="39">
        <v>6</v>
      </c>
      <c r="G107" s="38">
        <f t="shared" si="177"/>
        <v>35.294117647058826</v>
      </c>
      <c r="H107" s="39">
        <v>17</v>
      </c>
      <c r="I107" s="40">
        <f t="shared" si="178"/>
        <v>0.83333333333333337</v>
      </c>
      <c r="J107" s="39">
        <v>10</v>
      </c>
      <c r="K107" s="39">
        <v>28</v>
      </c>
      <c r="L107" s="39">
        <v>8</v>
      </c>
      <c r="M107" s="39">
        <f>Q106</f>
        <v>32.4</v>
      </c>
      <c r="N107" s="39">
        <v>31</v>
      </c>
      <c r="O107" s="41">
        <f t="shared" si="179"/>
        <v>0.39366515837104077</v>
      </c>
      <c r="P107" s="39">
        <v>8</v>
      </c>
      <c r="Q107" s="39">
        <v>37.700000000000003</v>
      </c>
      <c r="R107" s="39">
        <v>18</v>
      </c>
      <c r="S107" s="38">
        <f t="shared" si="180"/>
        <v>59.090909090909093</v>
      </c>
      <c r="T107" s="39">
        <v>22</v>
      </c>
      <c r="U107" s="39">
        <v>13</v>
      </c>
      <c r="V107" s="39">
        <f>X106</f>
        <v>64</v>
      </c>
      <c r="W107" s="39">
        <v>17</v>
      </c>
      <c r="X107" s="39">
        <v>71</v>
      </c>
      <c r="Y107" s="39">
        <f>Z107-Z106</f>
        <v>-4</v>
      </c>
      <c r="Z107" s="39">
        <f t="shared" si="181"/>
        <v>48</v>
      </c>
      <c r="AA107" s="39">
        <f t="shared" si="182"/>
        <v>7</v>
      </c>
      <c r="AB107" s="39">
        <v>9</v>
      </c>
      <c r="AC107" s="39">
        <f t="shared" si="183"/>
        <v>2</v>
      </c>
      <c r="AD107" s="39">
        <f>AE106</f>
        <v>14</v>
      </c>
      <c r="AE107" s="39">
        <v>12</v>
      </c>
      <c r="AF107" s="46">
        <f t="shared" si="127"/>
        <v>74.415517241379305</v>
      </c>
      <c r="AG107" s="51">
        <f t="shared" ref="AG107" si="199">AVERAGE(AF106,AF107)</f>
        <v>74.451585781183482</v>
      </c>
      <c r="AH107" s="12">
        <f t="shared" si="189"/>
        <v>30</v>
      </c>
      <c r="AI107" s="12">
        <f t="shared" si="189"/>
        <v>7.1</v>
      </c>
      <c r="AJ107" s="12">
        <f t="shared" si="189"/>
        <v>35.200000000000003</v>
      </c>
      <c r="AK107" s="12">
        <f t="shared" si="189"/>
        <v>20.399999999999999</v>
      </c>
      <c r="AL107" s="12">
        <f t="shared" si="189"/>
        <v>1.26</v>
      </c>
      <c r="AM107" s="12">
        <f t="shared" si="189"/>
        <v>13.1</v>
      </c>
      <c r="AN107" s="12">
        <f t="shared" si="189"/>
        <v>30.06</v>
      </c>
      <c r="AO107" s="12">
        <f t="shared" si="189"/>
        <v>3.9</v>
      </c>
      <c r="AP107" s="12">
        <f t="shared" si="189"/>
        <v>41.4</v>
      </c>
      <c r="AQ107" s="12">
        <f t="shared" si="189"/>
        <v>25.67</v>
      </c>
      <c r="AR107" s="12">
        <f t="shared" si="190"/>
        <v>0.501</v>
      </c>
      <c r="AS107" s="12">
        <f t="shared" si="190"/>
        <v>8</v>
      </c>
      <c r="AT107" s="12">
        <f t="shared" si="190"/>
        <v>44</v>
      </c>
      <c r="AU107" s="12">
        <f t="shared" si="190"/>
        <v>16.3</v>
      </c>
      <c r="AV107" s="12">
        <f t="shared" si="190"/>
        <v>72</v>
      </c>
      <c r="AW107" s="12">
        <f t="shared" si="190"/>
        <v>19.5</v>
      </c>
      <c r="AX107" s="12">
        <f t="shared" si="190"/>
        <v>14.6</v>
      </c>
      <c r="AY107" s="12">
        <f t="shared" si="190"/>
        <v>64.099999999999994</v>
      </c>
      <c r="AZ107" s="12">
        <f t="shared" si="190"/>
        <v>11.24</v>
      </c>
      <c r="BA107" s="12">
        <f t="shared" si="190"/>
        <v>73.599999999999994</v>
      </c>
      <c r="BB107" s="12">
        <f t="shared" si="191"/>
        <v>4.7</v>
      </c>
      <c r="BC107" s="12">
        <f t="shared" si="191"/>
        <v>37.65</v>
      </c>
      <c r="BD107" s="12">
        <f t="shared" si="191"/>
        <v>8.6</v>
      </c>
      <c r="BE107" s="12">
        <f t="shared" si="191"/>
        <v>6.6</v>
      </c>
      <c r="BF107" s="12">
        <f t="shared" si="191"/>
        <v>0.6</v>
      </c>
      <c r="BG107" s="12">
        <f t="shared" si="191"/>
        <v>11.54</v>
      </c>
      <c r="BH107" s="12">
        <f t="shared" si="191"/>
        <v>10.6</v>
      </c>
      <c r="BI107" s="12">
        <f t="shared" si="191"/>
        <v>68.3</v>
      </c>
      <c r="BJ107" s="12">
        <f t="shared" si="191"/>
        <v>18.849999999999998</v>
      </c>
      <c r="BK107" s="12">
        <f t="shared" si="191"/>
        <v>58.97727272727272</v>
      </c>
      <c r="BL107" s="12">
        <f t="shared" si="192"/>
        <v>29.9</v>
      </c>
      <c r="BM107" s="12">
        <f t="shared" si="192"/>
        <v>10.5</v>
      </c>
      <c r="BN107" s="12">
        <f t="shared" si="192"/>
        <v>33.9</v>
      </c>
      <c r="BO107" s="12">
        <f t="shared" si="192"/>
        <v>30.6</v>
      </c>
      <c r="BP107" s="12">
        <f t="shared" si="192"/>
        <v>1.17</v>
      </c>
      <c r="BQ107" s="12">
        <f t="shared" si="192"/>
        <v>15.6</v>
      </c>
      <c r="BR107" s="12">
        <f t="shared" si="192"/>
        <v>32.61</v>
      </c>
      <c r="BS107" s="12">
        <f t="shared" si="192"/>
        <v>5.4</v>
      </c>
      <c r="BT107" s="12">
        <f t="shared" si="192"/>
        <v>38.6</v>
      </c>
      <c r="BU107" s="12">
        <f t="shared" si="192"/>
        <v>29.71</v>
      </c>
      <c r="BV107" s="12">
        <f t="shared" si="193"/>
        <v>0.52800000000000002</v>
      </c>
      <c r="BW107" s="12">
        <f t="shared" si="193"/>
        <v>13.91</v>
      </c>
      <c r="BX107" s="12">
        <f t="shared" si="193"/>
        <v>44.4</v>
      </c>
      <c r="BY107" s="12">
        <f t="shared" si="193"/>
        <v>18.3</v>
      </c>
      <c r="BZ107" s="12">
        <f t="shared" si="193"/>
        <v>72.099999999999994</v>
      </c>
      <c r="CA107" s="12">
        <f t="shared" si="193"/>
        <v>24.2</v>
      </c>
      <c r="CB107" s="12">
        <f t="shared" si="193"/>
        <v>17.399999999999999</v>
      </c>
      <c r="CC107" s="12">
        <f t="shared" si="193"/>
        <v>69.900000000000006</v>
      </c>
      <c r="CD107" s="12">
        <f t="shared" si="193"/>
        <v>13.43</v>
      </c>
      <c r="CE107" s="12">
        <f t="shared" si="193"/>
        <v>86.1</v>
      </c>
      <c r="CF107" s="12">
        <f t="shared" si="194"/>
        <v>8.6999999999999993</v>
      </c>
      <c r="CG107" s="12">
        <f t="shared" si="194"/>
        <v>42.81</v>
      </c>
      <c r="CH107" s="12">
        <f t="shared" si="194"/>
        <v>15.9</v>
      </c>
      <c r="CI107" s="12">
        <f t="shared" si="194"/>
        <v>6</v>
      </c>
      <c r="CJ107" s="12">
        <f t="shared" si="194"/>
        <v>-3.2</v>
      </c>
      <c r="CK107" s="12">
        <f t="shared" si="194"/>
        <v>10.85</v>
      </c>
      <c r="CL107" s="12">
        <f t="shared" si="194"/>
        <v>13</v>
      </c>
      <c r="CM107" s="12">
        <f t="shared" si="194"/>
        <v>76.2</v>
      </c>
      <c r="CN107" s="12">
        <f t="shared" si="194"/>
        <v>18.599999999999994</v>
      </c>
      <c r="CO107" s="12">
        <f t="shared" si="194"/>
        <v>65.540540540540533</v>
      </c>
    </row>
    <row r="108" spans="1:93" x14ac:dyDescent="0.3">
      <c r="A108" s="6" t="s">
        <v>56</v>
      </c>
      <c r="B108" s="3">
        <v>6</v>
      </c>
      <c r="C108" s="13" t="s">
        <v>331</v>
      </c>
      <c r="D108" s="14">
        <v>54</v>
      </c>
      <c r="E108" s="38">
        <f>G109</f>
        <v>42.857142857142854</v>
      </c>
      <c r="F108" s="39">
        <v>9</v>
      </c>
      <c r="G108" s="38">
        <f t="shared" si="177"/>
        <v>37.5</v>
      </c>
      <c r="H108" s="39">
        <v>24</v>
      </c>
      <c r="I108" s="40">
        <f t="shared" si="178"/>
        <v>1.3846153846153846</v>
      </c>
      <c r="J108" s="39">
        <v>18</v>
      </c>
      <c r="K108" s="39">
        <v>5</v>
      </c>
      <c r="L108" s="39">
        <v>4</v>
      </c>
      <c r="M108" s="39">
        <f>Q109</f>
        <v>46.2</v>
      </c>
      <c r="N108" s="39">
        <v>32</v>
      </c>
      <c r="O108" s="41">
        <f t="shared" si="179"/>
        <v>0.427734375</v>
      </c>
      <c r="P108" s="39">
        <v>4</v>
      </c>
      <c r="Q108" s="39">
        <v>58.2</v>
      </c>
      <c r="R108" s="39">
        <v>11</v>
      </c>
      <c r="S108" s="38">
        <f t="shared" si="180"/>
        <v>81.25</v>
      </c>
      <c r="T108" s="39">
        <v>16</v>
      </c>
      <c r="U108" s="39">
        <v>13</v>
      </c>
      <c r="V108" s="39">
        <f>X109</f>
        <v>75</v>
      </c>
      <c r="W108" s="39">
        <v>5</v>
      </c>
      <c r="X108" s="39">
        <v>86</v>
      </c>
      <c r="Y108" s="39">
        <f>Z108-Z109</f>
        <v>11</v>
      </c>
      <c r="Z108" s="39">
        <f t="shared" si="181"/>
        <v>37</v>
      </c>
      <c r="AA108" s="39">
        <f t="shared" si="182"/>
        <v>11</v>
      </c>
      <c r="AB108" s="39">
        <v>2</v>
      </c>
      <c r="AC108" s="39">
        <f t="shared" si="183"/>
        <v>-8</v>
      </c>
      <c r="AD108" s="39">
        <f>AE109</f>
        <v>5</v>
      </c>
      <c r="AE108" s="39">
        <v>13</v>
      </c>
      <c r="AF108" s="46">
        <f t="shared" si="127"/>
        <v>70.582817869415805</v>
      </c>
      <c r="AG108" s="51">
        <f t="shared" ref="AG108" si="200">AVERAGE(AF108,AF109)</f>
        <v>70.133941402240367</v>
      </c>
      <c r="AH108" s="12">
        <f t="shared" si="189"/>
        <v>33.5</v>
      </c>
      <c r="AI108" s="12">
        <f t="shared" si="189"/>
        <v>8.8000000000000007</v>
      </c>
      <c r="AJ108" s="12">
        <f t="shared" si="189"/>
        <v>35.799999999999997</v>
      </c>
      <c r="AK108" s="12">
        <f t="shared" si="189"/>
        <v>24.5</v>
      </c>
      <c r="AL108" s="12">
        <f t="shared" si="189"/>
        <v>1.49</v>
      </c>
      <c r="AM108" s="12">
        <f t="shared" si="189"/>
        <v>16</v>
      </c>
      <c r="AN108" s="12">
        <f t="shared" si="189"/>
        <v>10.76</v>
      </c>
      <c r="AO108" s="12">
        <f t="shared" si="189"/>
        <v>4.0999999999999996</v>
      </c>
      <c r="AP108" s="12">
        <f t="shared" si="189"/>
        <v>42.2</v>
      </c>
      <c r="AQ108" s="12">
        <f t="shared" si="189"/>
        <v>28.86</v>
      </c>
      <c r="AR108" s="12">
        <f t="shared" si="190"/>
        <v>0.54700000000000004</v>
      </c>
      <c r="AS108" s="12">
        <f t="shared" si="190"/>
        <v>8.7100000000000009</v>
      </c>
      <c r="AT108" s="12">
        <f t="shared" si="190"/>
        <v>47.6</v>
      </c>
      <c r="AU108" s="12">
        <f t="shared" si="190"/>
        <v>13.5</v>
      </c>
      <c r="AV108" s="12">
        <f t="shared" si="190"/>
        <v>78</v>
      </c>
      <c r="AW108" s="12">
        <f t="shared" si="190"/>
        <v>16.899999999999999</v>
      </c>
      <c r="AX108" s="12">
        <f t="shared" si="190"/>
        <v>13.6</v>
      </c>
      <c r="AY108" s="12">
        <f t="shared" si="190"/>
        <v>69.900000000000006</v>
      </c>
      <c r="AZ108" s="12">
        <f t="shared" si="190"/>
        <v>8.24</v>
      </c>
      <c r="BA108" s="12">
        <f t="shared" si="190"/>
        <v>79</v>
      </c>
      <c r="BB108" s="12">
        <f t="shared" si="191"/>
        <v>4.5</v>
      </c>
      <c r="BC108" s="12">
        <f t="shared" si="191"/>
        <v>38.369999999999997</v>
      </c>
      <c r="BD108" s="12">
        <f t="shared" si="191"/>
        <v>9.3000000000000007</v>
      </c>
      <c r="BE108" s="12">
        <f t="shared" si="191"/>
        <v>5.4</v>
      </c>
      <c r="BF108" s="12">
        <f t="shared" si="191"/>
        <v>-3</v>
      </c>
      <c r="BG108" s="12">
        <f t="shared" si="191"/>
        <v>8.7100000000000009</v>
      </c>
      <c r="BH108" s="12">
        <f t="shared" si="191"/>
        <v>10.6</v>
      </c>
      <c r="BI108" s="12">
        <f t="shared" si="191"/>
        <v>70.8</v>
      </c>
      <c r="BJ108" s="12">
        <f t="shared" si="191"/>
        <v>19.5</v>
      </c>
      <c r="BK108" s="12">
        <f t="shared" si="191"/>
        <v>59.45378151260504</v>
      </c>
      <c r="BL108" s="12">
        <f t="shared" si="192"/>
        <v>32</v>
      </c>
      <c r="BM108" s="12">
        <f t="shared" si="192"/>
        <v>8.6</v>
      </c>
      <c r="BN108" s="12">
        <f t="shared" si="192"/>
        <v>34.200000000000003</v>
      </c>
      <c r="BO108" s="12">
        <f t="shared" si="192"/>
        <v>24.7</v>
      </c>
      <c r="BP108" s="12">
        <f t="shared" si="192"/>
        <v>1.26</v>
      </c>
      <c r="BQ108" s="12">
        <f t="shared" si="192"/>
        <v>13.4</v>
      </c>
      <c r="BR108" s="12">
        <f t="shared" si="192"/>
        <v>21.86</v>
      </c>
      <c r="BS108" s="12">
        <f t="shared" si="192"/>
        <v>3.6</v>
      </c>
      <c r="BT108" s="12">
        <f t="shared" si="192"/>
        <v>42.9</v>
      </c>
      <c r="BU108" s="12">
        <f t="shared" si="192"/>
        <v>29.32</v>
      </c>
      <c r="BV108" s="12">
        <f t="shared" si="193"/>
        <v>0.53800000000000003</v>
      </c>
      <c r="BW108" s="12">
        <f t="shared" si="193"/>
        <v>7</v>
      </c>
      <c r="BX108" s="12">
        <f t="shared" si="193"/>
        <v>46.1</v>
      </c>
      <c r="BY108" s="12">
        <f t="shared" si="193"/>
        <v>15.9</v>
      </c>
      <c r="BZ108" s="12">
        <f t="shared" si="193"/>
        <v>71.7</v>
      </c>
      <c r="CA108" s="12">
        <f t="shared" si="193"/>
        <v>18.5</v>
      </c>
      <c r="CB108" s="12">
        <f t="shared" si="193"/>
        <v>13.4</v>
      </c>
      <c r="CC108" s="12">
        <f t="shared" si="193"/>
        <v>70.400000000000006</v>
      </c>
      <c r="CD108" s="12">
        <f t="shared" si="193"/>
        <v>10.51</v>
      </c>
      <c r="CE108" s="12">
        <f t="shared" si="193"/>
        <v>77.5</v>
      </c>
      <c r="CF108" s="12">
        <f t="shared" si="194"/>
        <v>6.8</v>
      </c>
      <c r="CG108" s="12">
        <f t="shared" si="194"/>
        <v>40.44</v>
      </c>
      <c r="CH108" s="12">
        <f t="shared" si="194"/>
        <v>7.5</v>
      </c>
      <c r="CI108" s="12">
        <f t="shared" si="194"/>
        <v>4.8</v>
      </c>
      <c r="CJ108" s="12">
        <f t="shared" si="194"/>
        <v>-2</v>
      </c>
      <c r="CK108" s="12">
        <f t="shared" si="194"/>
        <v>9.57</v>
      </c>
      <c r="CL108" s="12">
        <f t="shared" si="194"/>
        <v>11.2</v>
      </c>
      <c r="CM108" s="12">
        <f t="shared" si="194"/>
        <v>70.3</v>
      </c>
      <c r="CN108" s="12">
        <f t="shared" si="194"/>
        <v>19.149999999999999</v>
      </c>
      <c r="CO108" s="12">
        <f t="shared" si="194"/>
        <v>60.195227765726678</v>
      </c>
    </row>
    <row r="109" spans="1:93" x14ac:dyDescent="0.3">
      <c r="A109" s="6" t="s">
        <v>331</v>
      </c>
      <c r="B109" s="3">
        <v>15</v>
      </c>
      <c r="C109" s="13" t="s">
        <v>56</v>
      </c>
      <c r="D109" s="14">
        <v>54</v>
      </c>
      <c r="E109" s="38">
        <f>G108</f>
        <v>37.5</v>
      </c>
      <c r="F109" s="39">
        <v>9</v>
      </c>
      <c r="G109" s="38">
        <f t="shared" si="177"/>
        <v>42.857142857142854</v>
      </c>
      <c r="H109" s="39">
        <v>21</v>
      </c>
      <c r="I109" s="40">
        <f t="shared" si="178"/>
        <v>2.6</v>
      </c>
      <c r="J109" s="39">
        <v>13</v>
      </c>
      <c r="K109" s="39">
        <v>10</v>
      </c>
      <c r="L109" s="39">
        <v>0</v>
      </c>
      <c r="M109" s="39">
        <f>Q108</f>
        <v>58.2</v>
      </c>
      <c r="N109" s="39">
        <v>21</v>
      </c>
      <c r="O109" s="41">
        <f t="shared" si="179"/>
        <v>0.49285714285714288</v>
      </c>
      <c r="P109" s="39">
        <v>0</v>
      </c>
      <c r="Q109" s="39">
        <v>46.2</v>
      </c>
      <c r="R109" s="39">
        <v>17</v>
      </c>
      <c r="S109" s="38">
        <f t="shared" si="180"/>
        <v>60</v>
      </c>
      <c r="T109" s="39">
        <v>10</v>
      </c>
      <c r="U109" s="39">
        <v>6</v>
      </c>
      <c r="V109" s="39">
        <f>X108</f>
        <v>86</v>
      </c>
      <c r="W109" s="39">
        <v>5</v>
      </c>
      <c r="X109" s="39">
        <v>75</v>
      </c>
      <c r="Y109" s="39">
        <f>Z109-Z108</f>
        <v>-11</v>
      </c>
      <c r="Z109" s="39">
        <f t="shared" si="181"/>
        <v>26</v>
      </c>
      <c r="AA109" s="39">
        <f t="shared" si="182"/>
        <v>-11</v>
      </c>
      <c r="AB109" s="39">
        <v>3</v>
      </c>
      <c r="AC109" s="39">
        <f t="shared" si="183"/>
        <v>8</v>
      </c>
      <c r="AD109" s="39">
        <f>AE108</f>
        <v>13</v>
      </c>
      <c r="AE109" s="39">
        <v>5</v>
      </c>
      <c r="AF109" s="46">
        <f t="shared" si="127"/>
        <v>69.685064935064929</v>
      </c>
      <c r="AG109" s="51">
        <f t="shared" ref="AG109" si="201">AVERAGE(AF108,AF109)</f>
        <v>70.133941402240367</v>
      </c>
      <c r="AH109" s="12">
        <f t="shared" si="189"/>
        <v>32</v>
      </c>
      <c r="AI109" s="12">
        <f t="shared" si="189"/>
        <v>8.6</v>
      </c>
      <c r="AJ109" s="12">
        <f t="shared" si="189"/>
        <v>34.200000000000003</v>
      </c>
      <c r="AK109" s="12">
        <f t="shared" si="189"/>
        <v>24.7</v>
      </c>
      <c r="AL109" s="12">
        <f t="shared" si="189"/>
        <v>1.26</v>
      </c>
      <c r="AM109" s="12">
        <f t="shared" si="189"/>
        <v>13.4</v>
      </c>
      <c r="AN109" s="12">
        <f t="shared" si="189"/>
        <v>21.86</v>
      </c>
      <c r="AO109" s="12">
        <f t="shared" si="189"/>
        <v>3.6</v>
      </c>
      <c r="AP109" s="12">
        <f t="shared" si="189"/>
        <v>42.9</v>
      </c>
      <c r="AQ109" s="12">
        <f t="shared" si="189"/>
        <v>29.32</v>
      </c>
      <c r="AR109" s="12">
        <f t="shared" si="190"/>
        <v>0.53800000000000003</v>
      </c>
      <c r="AS109" s="12">
        <f t="shared" si="190"/>
        <v>7</v>
      </c>
      <c r="AT109" s="12">
        <f t="shared" si="190"/>
        <v>46.1</v>
      </c>
      <c r="AU109" s="12">
        <f t="shared" si="190"/>
        <v>15.9</v>
      </c>
      <c r="AV109" s="12">
        <f t="shared" si="190"/>
        <v>71.7</v>
      </c>
      <c r="AW109" s="12">
        <f t="shared" si="190"/>
        <v>18.5</v>
      </c>
      <c r="AX109" s="12">
        <f t="shared" si="190"/>
        <v>13.4</v>
      </c>
      <c r="AY109" s="12">
        <f t="shared" si="190"/>
        <v>70.400000000000006</v>
      </c>
      <c r="AZ109" s="12">
        <f t="shared" si="190"/>
        <v>10.51</v>
      </c>
      <c r="BA109" s="12">
        <f t="shared" si="190"/>
        <v>77.5</v>
      </c>
      <c r="BB109" s="12">
        <f t="shared" si="191"/>
        <v>6.8</v>
      </c>
      <c r="BC109" s="12">
        <f t="shared" si="191"/>
        <v>40.44</v>
      </c>
      <c r="BD109" s="12">
        <f t="shared" si="191"/>
        <v>7.5</v>
      </c>
      <c r="BE109" s="12">
        <f t="shared" si="191"/>
        <v>4.8</v>
      </c>
      <c r="BF109" s="12">
        <f t="shared" si="191"/>
        <v>-2</v>
      </c>
      <c r="BG109" s="12">
        <f t="shared" si="191"/>
        <v>9.57</v>
      </c>
      <c r="BH109" s="12">
        <f t="shared" si="191"/>
        <v>11.2</v>
      </c>
      <c r="BI109" s="12">
        <f t="shared" si="191"/>
        <v>70.3</v>
      </c>
      <c r="BJ109" s="12">
        <f t="shared" si="191"/>
        <v>19.149999999999999</v>
      </c>
      <c r="BK109" s="12">
        <f t="shared" si="191"/>
        <v>60.195227765726678</v>
      </c>
      <c r="BL109" s="12">
        <f t="shared" si="192"/>
        <v>33.5</v>
      </c>
      <c r="BM109" s="12">
        <f t="shared" si="192"/>
        <v>8.8000000000000007</v>
      </c>
      <c r="BN109" s="12">
        <f t="shared" si="192"/>
        <v>35.799999999999997</v>
      </c>
      <c r="BO109" s="12">
        <f t="shared" si="192"/>
        <v>24.5</v>
      </c>
      <c r="BP109" s="12">
        <f t="shared" si="192"/>
        <v>1.49</v>
      </c>
      <c r="BQ109" s="12">
        <f t="shared" si="192"/>
        <v>16</v>
      </c>
      <c r="BR109" s="12">
        <f t="shared" si="192"/>
        <v>10.76</v>
      </c>
      <c r="BS109" s="12">
        <f t="shared" si="192"/>
        <v>4.0999999999999996</v>
      </c>
      <c r="BT109" s="12">
        <f t="shared" si="192"/>
        <v>42.2</v>
      </c>
      <c r="BU109" s="12">
        <f t="shared" si="192"/>
        <v>28.86</v>
      </c>
      <c r="BV109" s="12">
        <f t="shared" si="193"/>
        <v>0.54700000000000004</v>
      </c>
      <c r="BW109" s="12">
        <f t="shared" si="193"/>
        <v>8.7100000000000009</v>
      </c>
      <c r="BX109" s="12">
        <f t="shared" si="193"/>
        <v>47.6</v>
      </c>
      <c r="BY109" s="12">
        <f t="shared" si="193"/>
        <v>13.5</v>
      </c>
      <c r="BZ109" s="12">
        <f t="shared" si="193"/>
        <v>78</v>
      </c>
      <c r="CA109" s="12">
        <f t="shared" si="193"/>
        <v>16.899999999999999</v>
      </c>
      <c r="CB109" s="12">
        <f t="shared" si="193"/>
        <v>13.6</v>
      </c>
      <c r="CC109" s="12">
        <f t="shared" si="193"/>
        <v>69.900000000000006</v>
      </c>
      <c r="CD109" s="12">
        <f t="shared" si="193"/>
        <v>8.24</v>
      </c>
      <c r="CE109" s="12">
        <f t="shared" si="193"/>
        <v>79</v>
      </c>
      <c r="CF109" s="12">
        <f t="shared" si="194"/>
        <v>4.5</v>
      </c>
      <c r="CG109" s="12">
        <f t="shared" si="194"/>
        <v>38.369999999999997</v>
      </c>
      <c r="CH109" s="12">
        <f t="shared" si="194"/>
        <v>9.3000000000000007</v>
      </c>
      <c r="CI109" s="12">
        <f t="shared" si="194"/>
        <v>5.4</v>
      </c>
      <c r="CJ109" s="12">
        <f t="shared" si="194"/>
        <v>-3</v>
      </c>
      <c r="CK109" s="12">
        <f t="shared" si="194"/>
        <v>8.7100000000000009</v>
      </c>
      <c r="CL109" s="12">
        <f t="shared" si="194"/>
        <v>10.6</v>
      </c>
      <c r="CM109" s="12">
        <f t="shared" si="194"/>
        <v>70.8</v>
      </c>
      <c r="CN109" s="12">
        <f t="shared" si="194"/>
        <v>19.5</v>
      </c>
      <c r="CO109" s="12">
        <f t="shared" si="194"/>
        <v>59.45378151260504</v>
      </c>
    </row>
    <row r="110" spans="1:93" x14ac:dyDescent="0.3">
      <c r="A110" s="6" t="s">
        <v>51</v>
      </c>
      <c r="B110" s="3">
        <v>1</v>
      </c>
      <c r="C110" s="13" t="s">
        <v>313</v>
      </c>
      <c r="D110" s="14">
        <v>55</v>
      </c>
      <c r="E110" s="38">
        <f>G111</f>
        <v>44</v>
      </c>
      <c r="F110" s="39">
        <v>9</v>
      </c>
      <c r="G110" s="38">
        <f t="shared" si="177"/>
        <v>29.032258064516132</v>
      </c>
      <c r="H110" s="39">
        <v>31</v>
      </c>
      <c r="I110" s="40">
        <f t="shared" si="178"/>
        <v>2</v>
      </c>
      <c r="J110" s="39">
        <v>16</v>
      </c>
      <c r="K110" s="39">
        <v>14</v>
      </c>
      <c r="L110" s="39">
        <v>4</v>
      </c>
      <c r="M110" s="39">
        <f>Q111</f>
        <v>51.7</v>
      </c>
      <c r="N110" s="39">
        <v>24</v>
      </c>
      <c r="O110" s="41">
        <f t="shared" si="179"/>
        <v>0.34475806451612906</v>
      </c>
      <c r="P110" s="39">
        <v>7</v>
      </c>
      <c r="Q110" s="39">
        <v>37.5</v>
      </c>
      <c r="R110" s="39">
        <v>16</v>
      </c>
      <c r="S110" s="38">
        <f t="shared" si="180"/>
        <v>90</v>
      </c>
      <c r="T110" s="39">
        <v>20</v>
      </c>
      <c r="U110" s="39">
        <v>18</v>
      </c>
      <c r="V110" s="39">
        <f>X111</f>
        <v>89</v>
      </c>
      <c r="W110" s="39">
        <v>11</v>
      </c>
      <c r="X110" s="39">
        <v>75</v>
      </c>
      <c r="Y110" s="39">
        <f>Z110-Z111</f>
        <v>0</v>
      </c>
      <c r="Z110" s="39">
        <f t="shared" si="181"/>
        <v>35</v>
      </c>
      <c r="AA110" s="39">
        <f t="shared" si="182"/>
        <v>-14</v>
      </c>
      <c r="AB110" s="39">
        <v>3</v>
      </c>
      <c r="AC110" s="39">
        <f t="shared" si="183"/>
        <v>-2</v>
      </c>
      <c r="AD110" s="39">
        <f>AE111</f>
        <v>6</v>
      </c>
      <c r="AE110" s="39">
        <v>8</v>
      </c>
      <c r="AF110" s="46">
        <f t="shared" si="127"/>
        <v>70.5</v>
      </c>
      <c r="AG110" s="51">
        <f t="shared" ref="AG110" si="202">AVERAGE(AF110,AF111)</f>
        <v>69.743157640232113</v>
      </c>
      <c r="AH110" s="12">
        <f t="shared" si="189"/>
        <v>29.8</v>
      </c>
      <c r="AI110" s="12">
        <f t="shared" si="189"/>
        <v>8</v>
      </c>
      <c r="AJ110" s="12">
        <f t="shared" si="189"/>
        <v>34</v>
      </c>
      <c r="AK110" s="12">
        <f t="shared" si="189"/>
        <v>23</v>
      </c>
      <c r="AL110" s="12">
        <f t="shared" si="189"/>
        <v>1.63</v>
      </c>
      <c r="AM110" s="12">
        <f t="shared" si="189"/>
        <v>15.3</v>
      </c>
      <c r="AN110" s="12">
        <f t="shared" si="189"/>
        <v>17.12</v>
      </c>
      <c r="AO110" s="12">
        <f t="shared" si="189"/>
        <v>4.8</v>
      </c>
      <c r="AP110" s="12">
        <f t="shared" si="189"/>
        <v>37.9</v>
      </c>
      <c r="AQ110" s="12">
        <f t="shared" si="189"/>
        <v>26.86</v>
      </c>
      <c r="AR110" s="12">
        <f t="shared" si="190"/>
        <v>0.53100000000000003</v>
      </c>
      <c r="AS110" s="12">
        <f t="shared" si="190"/>
        <v>11</v>
      </c>
      <c r="AT110" s="12">
        <f t="shared" si="190"/>
        <v>46.6</v>
      </c>
      <c r="AU110" s="12">
        <f t="shared" si="190"/>
        <v>16.5</v>
      </c>
      <c r="AV110" s="12">
        <f t="shared" si="190"/>
        <v>73.099999999999994</v>
      </c>
      <c r="AW110" s="12">
        <f t="shared" si="190"/>
        <v>17.600000000000001</v>
      </c>
      <c r="AX110" s="12">
        <f t="shared" si="190"/>
        <v>12.8</v>
      </c>
      <c r="AY110" s="12">
        <f t="shared" si="190"/>
        <v>57.6</v>
      </c>
      <c r="AZ110" s="12">
        <f t="shared" si="190"/>
        <v>13.06</v>
      </c>
      <c r="BA110" s="12">
        <f t="shared" si="190"/>
        <v>75.900000000000006</v>
      </c>
      <c r="BB110" s="12">
        <f t="shared" si="191"/>
        <v>8.6</v>
      </c>
      <c r="BC110" s="12">
        <f t="shared" si="191"/>
        <v>39.770000000000003</v>
      </c>
      <c r="BD110" s="12">
        <f t="shared" si="191"/>
        <v>18</v>
      </c>
      <c r="BE110" s="12">
        <f t="shared" si="191"/>
        <v>7.5</v>
      </c>
      <c r="BF110" s="12">
        <f t="shared" si="191"/>
        <v>2.7</v>
      </c>
      <c r="BG110" s="12">
        <f t="shared" si="191"/>
        <v>12</v>
      </c>
      <c r="BH110" s="12">
        <f t="shared" si="191"/>
        <v>9.6</v>
      </c>
      <c r="BI110" s="12">
        <f t="shared" si="191"/>
        <v>66.599999999999994</v>
      </c>
      <c r="BJ110" s="12">
        <f t="shared" si="191"/>
        <v>19.550000000000004</v>
      </c>
      <c r="BK110" s="12">
        <f t="shared" si="191"/>
        <v>59.120171673819748</v>
      </c>
      <c r="BL110" s="12">
        <f t="shared" si="192"/>
        <v>33.5</v>
      </c>
      <c r="BM110" s="12">
        <f t="shared" si="192"/>
        <v>7.6</v>
      </c>
      <c r="BN110" s="12">
        <f t="shared" si="192"/>
        <v>36.799999999999997</v>
      </c>
      <c r="BO110" s="12">
        <f t="shared" si="192"/>
        <v>21.6</v>
      </c>
      <c r="BP110" s="12">
        <f t="shared" si="192"/>
        <v>1.47</v>
      </c>
      <c r="BQ110" s="12">
        <f t="shared" si="192"/>
        <v>15</v>
      </c>
      <c r="BR110" s="12">
        <f t="shared" si="192"/>
        <v>12.97</v>
      </c>
      <c r="BS110" s="12">
        <f t="shared" si="192"/>
        <v>3.1</v>
      </c>
      <c r="BT110" s="12">
        <f t="shared" si="192"/>
        <v>44.9</v>
      </c>
      <c r="BU110" s="12">
        <f t="shared" si="192"/>
        <v>24.63</v>
      </c>
      <c r="BV110" s="12">
        <f t="shared" si="193"/>
        <v>0.54900000000000004</v>
      </c>
      <c r="BW110" s="12">
        <f t="shared" si="193"/>
        <v>14.09</v>
      </c>
      <c r="BX110" s="12">
        <f t="shared" si="193"/>
        <v>48.7</v>
      </c>
      <c r="BY110" s="12">
        <f t="shared" si="193"/>
        <v>13.7</v>
      </c>
      <c r="BZ110" s="12">
        <f t="shared" si="193"/>
        <v>78</v>
      </c>
      <c r="CA110" s="12">
        <f t="shared" si="193"/>
        <v>18.600000000000001</v>
      </c>
      <c r="CB110" s="12">
        <f t="shared" si="193"/>
        <v>15.2</v>
      </c>
      <c r="CC110" s="12">
        <f t="shared" si="193"/>
        <v>73.599999999999994</v>
      </c>
      <c r="CD110" s="12">
        <f t="shared" si="193"/>
        <v>10.83</v>
      </c>
      <c r="CE110" s="12">
        <f t="shared" si="193"/>
        <v>81.900000000000006</v>
      </c>
      <c r="CF110" s="12">
        <f t="shared" si="194"/>
        <v>3.6</v>
      </c>
      <c r="CG110" s="12">
        <f t="shared" si="194"/>
        <v>35.18</v>
      </c>
      <c r="CH110" s="12">
        <f t="shared" si="194"/>
        <v>7.7</v>
      </c>
      <c r="CI110" s="12">
        <f t="shared" si="194"/>
        <v>7.1</v>
      </c>
      <c r="CJ110" s="12">
        <f t="shared" si="194"/>
        <v>0.8</v>
      </c>
      <c r="CK110" s="12">
        <f t="shared" si="194"/>
        <v>11.36</v>
      </c>
      <c r="CL110" s="12">
        <f t="shared" si="194"/>
        <v>10.1</v>
      </c>
      <c r="CM110" s="12">
        <f t="shared" si="194"/>
        <v>70.599999999999994</v>
      </c>
      <c r="CN110" s="12">
        <f t="shared" si="194"/>
        <v>21.950000000000003</v>
      </c>
      <c r="CO110" s="12">
        <f t="shared" si="194"/>
        <v>60.677618069815203</v>
      </c>
    </row>
    <row r="111" spans="1:93" x14ac:dyDescent="0.3">
      <c r="A111" s="6" t="s">
        <v>313</v>
      </c>
      <c r="B111" s="3">
        <v>5</v>
      </c>
      <c r="C111" s="13" t="s">
        <v>51</v>
      </c>
      <c r="D111" s="14">
        <v>55</v>
      </c>
      <c r="E111" s="38">
        <f>G110</f>
        <v>29.032258064516132</v>
      </c>
      <c r="F111" s="39">
        <v>11</v>
      </c>
      <c r="G111" s="38">
        <f t="shared" si="177"/>
        <v>44</v>
      </c>
      <c r="H111" s="39">
        <v>25</v>
      </c>
      <c r="I111" s="40">
        <f t="shared" si="178"/>
        <v>2.6666666666666665</v>
      </c>
      <c r="J111" s="39">
        <v>16</v>
      </c>
      <c r="K111" s="39">
        <v>7</v>
      </c>
      <c r="L111" s="39">
        <v>4</v>
      </c>
      <c r="M111" s="39">
        <f>Q110</f>
        <v>37.5</v>
      </c>
      <c r="N111" s="39">
        <v>29</v>
      </c>
      <c r="O111" s="41">
        <f t="shared" si="179"/>
        <v>0.51806451612903226</v>
      </c>
      <c r="P111" s="39">
        <v>15</v>
      </c>
      <c r="Q111" s="39">
        <v>51.7</v>
      </c>
      <c r="R111" s="39">
        <v>16</v>
      </c>
      <c r="S111" s="38">
        <f t="shared" si="180"/>
        <v>84.210526315789465</v>
      </c>
      <c r="T111" s="39">
        <v>19</v>
      </c>
      <c r="U111" s="39">
        <v>16</v>
      </c>
      <c r="V111" s="39">
        <f>X110</f>
        <v>75</v>
      </c>
      <c r="W111" s="39">
        <v>6</v>
      </c>
      <c r="X111" s="39">
        <v>89</v>
      </c>
      <c r="Y111" s="39">
        <f>Z111-Z110</f>
        <v>0</v>
      </c>
      <c r="Z111" s="39">
        <f t="shared" si="181"/>
        <v>35</v>
      </c>
      <c r="AA111" s="39">
        <f t="shared" si="182"/>
        <v>14</v>
      </c>
      <c r="AB111" s="39">
        <v>4</v>
      </c>
      <c r="AC111" s="39">
        <f t="shared" si="183"/>
        <v>2</v>
      </c>
      <c r="AD111" s="39">
        <f>AE110</f>
        <v>8</v>
      </c>
      <c r="AE111" s="39">
        <v>6</v>
      </c>
      <c r="AF111" s="46">
        <f t="shared" si="127"/>
        <v>68.986315280464211</v>
      </c>
      <c r="AG111" s="51">
        <f t="shared" ref="AG111" si="203">AVERAGE(AF110,AF111)</f>
        <v>69.743157640232113</v>
      </c>
      <c r="AH111" s="12">
        <f t="shared" si="189"/>
        <v>33.5</v>
      </c>
      <c r="AI111" s="12">
        <f t="shared" si="189"/>
        <v>7.6</v>
      </c>
      <c r="AJ111" s="12">
        <f t="shared" si="189"/>
        <v>36.799999999999997</v>
      </c>
      <c r="AK111" s="12">
        <f t="shared" si="189"/>
        <v>21.6</v>
      </c>
      <c r="AL111" s="12">
        <f t="shared" si="189"/>
        <v>1.47</v>
      </c>
      <c r="AM111" s="12">
        <f t="shared" si="189"/>
        <v>15</v>
      </c>
      <c r="AN111" s="12">
        <f t="shared" si="189"/>
        <v>12.97</v>
      </c>
      <c r="AO111" s="12">
        <f t="shared" si="189"/>
        <v>3.1</v>
      </c>
      <c r="AP111" s="12">
        <f t="shared" si="189"/>
        <v>44.9</v>
      </c>
      <c r="AQ111" s="12">
        <f t="shared" si="189"/>
        <v>24.63</v>
      </c>
      <c r="AR111" s="12">
        <f t="shared" si="190"/>
        <v>0.54900000000000004</v>
      </c>
      <c r="AS111" s="12">
        <f t="shared" si="190"/>
        <v>14.09</v>
      </c>
      <c r="AT111" s="12">
        <f t="shared" si="190"/>
        <v>48.7</v>
      </c>
      <c r="AU111" s="12">
        <f t="shared" si="190"/>
        <v>13.7</v>
      </c>
      <c r="AV111" s="12">
        <f t="shared" si="190"/>
        <v>78</v>
      </c>
      <c r="AW111" s="12">
        <f t="shared" si="190"/>
        <v>18.600000000000001</v>
      </c>
      <c r="AX111" s="12">
        <f t="shared" si="190"/>
        <v>15.2</v>
      </c>
      <c r="AY111" s="12">
        <f t="shared" si="190"/>
        <v>73.599999999999994</v>
      </c>
      <c r="AZ111" s="12">
        <f t="shared" si="190"/>
        <v>10.83</v>
      </c>
      <c r="BA111" s="12">
        <f t="shared" si="190"/>
        <v>81.900000000000006</v>
      </c>
      <c r="BB111" s="12">
        <f t="shared" si="191"/>
        <v>3.6</v>
      </c>
      <c r="BC111" s="12">
        <f t="shared" si="191"/>
        <v>35.18</v>
      </c>
      <c r="BD111" s="12">
        <f t="shared" si="191"/>
        <v>7.7</v>
      </c>
      <c r="BE111" s="12">
        <f t="shared" si="191"/>
        <v>7.1</v>
      </c>
      <c r="BF111" s="12">
        <f t="shared" si="191"/>
        <v>0.8</v>
      </c>
      <c r="BG111" s="12">
        <f t="shared" si="191"/>
        <v>11.36</v>
      </c>
      <c r="BH111" s="12">
        <f t="shared" si="191"/>
        <v>10.1</v>
      </c>
      <c r="BI111" s="12">
        <f t="shared" si="191"/>
        <v>70.599999999999994</v>
      </c>
      <c r="BJ111" s="12">
        <f t="shared" si="191"/>
        <v>21.950000000000003</v>
      </c>
      <c r="BK111" s="12">
        <f t="shared" si="191"/>
        <v>60.677618069815203</v>
      </c>
      <c r="BL111" s="12">
        <f t="shared" si="192"/>
        <v>29.8</v>
      </c>
      <c r="BM111" s="12">
        <f t="shared" si="192"/>
        <v>8</v>
      </c>
      <c r="BN111" s="12">
        <f t="shared" si="192"/>
        <v>34</v>
      </c>
      <c r="BO111" s="12">
        <f t="shared" si="192"/>
        <v>23</v>
      </c>
      <c r="BP111" s="12">
        <f t="shared" si="192"/>
        <v>1.63</v>
      </c>
      <c r="BQ111" s="12">
        <f t="shared" si="192"/>
        <v>15.3</v>
      </c>
      <c r="BR111" s="12">
        <f t="shared" si="192"/>
        <v>17.12</v>
      </c>
      <c r="BS111" s="12">
        <f t="shared" si="192"/>
        <v>4.8</v>
      </c>
      <c r="BT111" s="12">
        <f t="shared" si="192"/>
        <v>37.9</v>
      </c>
      <c r="BU111" s="12">
        <f t="shared" si="192"/>
        <v>26.86</v>
      </c>
      <c r="BV111" s="12">
        <f t="shared" si="193"/>
        <v>0.53100000000000003</v>
      </c>
      <c r="BW111" s="12">
        <f t="shared" si="193"/>
        <v>11</v>
      </c>
      <c r="BX111" s="12">
        <f t="shared" si="193"/>
        <v>46.6</v>
      </c>
      <c r="BY111" s="12">
        <f t="shared" si="193"/>
        <v>16.5</v>
      </c>
      <c r="BZ111" s="12">
        <f t="shared" si="193"/>
        <v>73.099999999999994</v>
      </c>
      <c r="CA111" s="12">
        <f t="shared" si="193"/>
        <v>17.600000000000001</v>
      </c>
      <c r="CB111" s="12">
        <f t="shared" si="193"/>
        <v>12.8</v>
      </c>
      <c r="CC111" s="12">
        <f t="shared" si="193"/>
        <v>57.6</v>
      </c>
      <c r="CD111" s="12">
        <f t="shared" si="193"/>
        <v>13.06</v>
      </c>
      <c r="CE111" s="12">
        <f t="shared" si="193"/>
        <v>75.900000000000006</v>
      </c>
      <c r="CF111" s="12">
        <f t="shared" si="194"/>
        <v>8.6</v>
      </c>
      <c r="CG111" s="12">
        <f t="shared" si="194"/>
        <v>39.770000000000003</v>
      </c>
      <c r="CH111" s="12">
        <f t="shared" si="194"/>
        <v>18</v>
      </c>
      <c r="CI111" s="12">
        <f t="shared" si="194"/>
        <v>7.5</v>
      </c>
      <c r="CJ111" s="12">
        <f t="shared" si="194"/>
        <v>2.7</v>
      </c>
      <c r="CK111" s="12">
        <f t="shared" si="194"/>
        <v>12</v>
      </c>
      <c r="CL111" s="12">
        <f t="shared" si="194"/>
        <v>9.6</v>
      </c>
      <c r="CM111" s="12">
        <f t="shared" si="194"/>
        <v>66.599999999999994</v>
      </c>
      <c r="CN111" s="12">
        <f t="shared" si="194"/>
        <v>19.550000000000004</v>
      </c>
      <c r="CO111" s="12">
        <f t="shared" si="194"/>
        <v>59.120171673819748</v>
      </c>
    </row>
    <row r="112" spans="1:93" x14ac:dyDescent="0.3">
      <c r="A112" s="6" t="s">
        <v>60</v>
      </c>
      <c r="B112" s="3">
        <v>2</v>
      </c>
      <c r="C112" s="13" t="s">
        <v>346</v>
      </c>
      <c r="D112" s="14">
        <v>56</v>
      </c>
      <c r="E112" s="38">
        <f>G113</f>
        <v>41.17647058823529</v>
      </c>
      <c r="F112" s="39">
        <v>7</v>
      </c>
      <c r="G112" s="38">
        <f t="shared" si="177"/>
        <v>58.333333333333336</v>
      </c>
      <c r="H112" s="39">
        <v>12</v>
      </c>
      <c r="I112" s="40">
        <f t="shared" si="178"/>
        <v>1.7777777777777777</v>
      </c>
      <c r="J112" s="39">
        <v>16</v>
      </c>
      <c r="K112" s="39">
        <v>35</v>
      </c>
      <c r="L112" s="39">
        <v>3</v>
      </c>
      <c r="M112" s="39">
        <f>Q113</f>
        <v>43.8</v>
      </c>
      <c r="N112" s="39">
        <v>26</v>
      </c>
      <c r="O112" s="41">
        <f t="shared" si="179"/>
        <v>0.64713541666666674</v>
      </c>
      <c r="P112" s="39">
        <v>9</v>
      </c>
      <c r="Q112" s="39">
        <v>52.5</v>
      </c>
      <c r="R112" s="39">
        <v>16</v>
      </c>
      <c r="S112" s="38">
        <f t="shared" si="180"/>
        <v>63.157894736842103</v>
      </c>
      <c r="T112" s="39">
        <v>19</v>
      </c>
      <c r="U112" s="39">
        <v>12</v>
      </c>
      <c r="V112" s="39">
        <f>X113</f>
        <v>71</v>
      </c>
      <c r="W112" s="39">
        <v>6</v>
      </c>
      <c r="X112" s="39">
        <v>83</v>
      </c>
      <c r="Y112" s="39">
        <f>Z112-Z113</f>
        <v>-4</v>
      </c>
      <c r="Z112" s="39">
        <f t="shared" si="181"/>
        <v>32</v>
      </c>
      <c r="AA112" s="39">
        <f t="shared" si="182"/>
        <v>12</v>
      </c>
      <c r="AB112" s="39">
        <v>8</v>
      </c>
      <c r="AC112" s="39">
        <f t="shared" si="183"/>
        <v>3</v>
      </c>
      <c r="AD112" s="39">
        <f>AE113</f>
        <v>12</v>
      </c>
      <c r="AE112" s="39">
        <v>9</v>
      </c>
      <c r="AF112" s="46">
        <f t="shared" si="127"/>
        <v>72.977380952380955</v>
      </c>
      <c r="AG112" s="51">
        <f t="shared" ref="AG112" si="204">AVERAGE(AF112,AF113)</f>
        <v>72.302160795825188</v>
      </c>
      <c r="AH112" s="12">
        <f t="shared" ref="AH112:AQ121" si="205">INDEX(ovrTable2,MATCH(INDEX(teamCol2,ROW()),ovrTeamCol2,0),MATCH(MID(INDEX(headerRow2,1,COLUMN()),4,LEN(INDEX(headerRow2,1,COLUMN()))),ovrHeaderRow2,0))</f>
        <v>32.1</v>
      </c>
      <c r="AI112" s="12">
        <f t="shared" si="205"/>
        <v>7.3</v>
      </c>
      <c r="AJ112" s="12">
        <f t="shared" si="205"/>
        <v>34.9</v>
      </c>
      <c r="AK112" s="12">
        <f t="shared" si="205"/>
        <v>22</v>
      </c>
      <c r="AL112" s="12">
        <f t="shared" si="205"/>
        <v>1.58</v>
      </c>
      <c r="AM112" s="12">
        <f t="shared" si="205"/>
        <v>16.7</v>
      </c>
      <c r="AN112" s="12">
        <f t="shared" si="205"/>
        <v>33.29</v>
      </c>
      <c r="AO112" s="12">
        <f t="shared" si="205"/>
        <v>3.7</v>
      </c>
      <c r="AP112" s="12">
        <f t="shared" si="205"/>
        <v>42.7</v>
      </c>
      <c r="AQ112" s="12">
        <f t="shared" si="205"/>
        <v>24.82</v>
      </c>
      <c r="AR112" s="12">
        <f t="shared" ref="AR112:BA121" si="206">INDEX(ovrTable2,MATCH(INDEX(teamCol2,ROW()),ovrTeamCol2,0),MATCH(MID(INDEX(headerRow2,1,COLUMN()),4,LEN(INDEX(headerRow2,1,COLUMN()))),ovrHeaderRow2,0))</f>
        <v>0.54500000000000004</v>
      </c>
      <c r="AS112" s="12">
        <f t="shared" si="206"/>
        <v>12.82</v>
      </c>
      <c r="AT112" s="12">
        <f t="shared" si="206"/>
        <v>47.8</v>
      </c>
      <c r="AU112" s="12">
        <f t="shared" si="206"/>
        <v>17.3</v>
      </c>
      <c r="AV112" s="12">
        <f t="shared" si="206"/>
        <v>75</v>
      </c>
      <c r="AW112" s="12">
        <f t="shared" si="206"/>
        <v>18.899999999999999</v>
      </c>
      <c r="AX112" s="12">
        <f t="shared" si="206"/>
        <v>14.7</v>
      </c>
      <c r="AY112" s="12">
        <f t="shared" si="206"/>
        <v>69.099999999999994</v>
      </c>
      <c r="AZ112" s="12">
        <f t="shared" si="206"/>
        <v>9.94</v>
      </c>
      <c r="BA112" s="12">
        <f t="shared" si="206"/>
        <v>80.400000000000006</v>
      </c>
      <c r="BB112" s="12">
        <f t="shared" ref="BB112:BK121" si="207">INDEX(ovrTable2,MATCH(INDEX(teamCol2,ROW()),ovrTeamCol2,0),MATCH(MID(INDEX(headerRow2,1,COLUMN()),4,LEN(INDEX(headerRow2,1,COLUMN()))),ovrHeaderRow2,0))</f>
        <v>0.5</v>
      </c>
      <c r="BC112" s="12">
        <f t="shared" si="207"/>
        <v>34.74</v>
      </c>
      <c r="BD112" s="12">
        <f t="shared" si="207"/>
        <v>11.5</v>
      </c>
      <c r="BE112" s="12">
        <f t="shared" si="207"/>
        <v>7.4</v>
      </c>
      <c r="BF112" s="12">
        <f t="shared" si="207"/>
        <v>3.7</v>
      </c>
      <c r="BG112" s="12">
        <f t="shared" si="207"/>
        <v>14.12</v>
      </c>
      <c r="BH112" s="12">
        <f t="shared" si="207"/>
        <v>10.5</v>
      </c>
      <c r="BI112" s="12">
        <f t="shared" si="207"/>
        <v>72.2</v>
      </c>
      <c r="BJ112" s="12">
        <f t="shared" si="207"/>
        <v>21.900000000000002</v>
      </c>
      <c r="BK112" s="12">
        <f t="shared" si="207"/>
        <v>61.087866108786621</v>
      </c>
      <c r="BL112" s="12">
        <f t="shared" ref="BL112:BU121" si="208">INDEX(ovrTable2,MATCH(INDEX(oppCol23,ROW()),ovrTeamCol2,0),MATCH(MID(INDEX(headerRow2,1,COLUMN()),4,LEN(INDEX(headerRow2,1,COLUMN()))),ovrHeaderRow2,0))</f>
        <v>34.700000000000003</v>
      </c>
      <c r="BM112" s="12">
        <f t="shared" si="208"/>
        <v>7.5</v>
      </c>
      <c r="BN112" s="12">
        <f t="shared" si="208"/>
        <v>39.9</v>
      </c>
      <c r="BO112" s="12">
        <f t="shared" si="208"/>
        <v>19.3</v>
      </c>
      <c r="BP112" s="12">
        <f t="shared" si="208"/>
        <v>1.71</v>
      </c>
      <c r="BQ112" s="12">
        <f t="shared" si="208"/>
        <v>19</v>
      </c>
      <c r="BR112" s="12">
        <f t="shared" si="208"/>
        <v>11.79</v>
      </c>
      <c r="BS112" s="12">
        <f t="shared" si="208"/>
        <v>3.5</v>
      </c>
      <c r="BT112" s="12">
        <f t="shared" si="208"/>
        <v>43.8</v>
      </c>
      <c r="BU112" s="12">
        <f t="shared" si="208"/>
        <v>27.89</v>
      </c>
      <c r="BV112" s="12">
        <f t="shared" ref="BV112:CE121" si="209">INDEX(ovrTable2,MATCH(INDEX(oppCol23,ROW()),ovrTeamCol2,0),MATCH(MID(INDEX(headerRow2,1,COLUMN()),4,LEN(INDEX(headerRow2,1,COLUMN()))),ovrHeaderRow2,0))</f>
        <v>0.55800000000000005</v>
      </c>
      <c r="BW112" s="12">
        <f t="shared" si="209"/>
        <v>11.03</v>
      </c>
      <c r="BX112" s="12">
        <f t="shared" si="209"/>
        <v>49.1</v>
      </c>
      <c r="BY112" s="12">
        <f t="shared" si="209"/>
        <v>15.9</v>
      </c>
      <c r="BZ112" s="12">
        <f t="shared" si="209"/>
        <v>71.5</v>
      </c>
      <c r="CA112" s="12">
        <f t="shared" si="209"/>
        <v>20.100000000000001</v>
      </c>
      <c r="CB112" s="12">
        <f t="shared" si="209"/>
        <v>14.5</v>
      </c>
      <c r="CC112" s="12">
        <f t="shared" si="209"/>
        <v>75.099999999999994</v>
      </c>
      <c r="CD112" s="12">
        <f t="shared" si="209"/>
        <v>10.62</v>
      </c>
      <c r="CE112" s="12">
        <f t="shared" si="209"/>
        <v>85.6</v>
      </c>
      <c r="CF112" s="12">
        <f t="shared" ref="CF112:CO121" si="210">INDEX(ovrTable2,MATCH(INDEX(oppCol23,ROW()),ovrTeamCol2,0),MATCH(MID(INDEX(headerRow2,1,COLUMN()),4,LEN(INDEX(headerRow2,1,COLUMN()))),ovrHeaderRow2,0))</f>
        <v>5.9</v>
      </c>
      <c r="CG112" s="12">
        <f t="shared" si="210"/>
        <v>38.83</v>
      </c>
      <c r="CH112" s="12">
        <f t="shared" si="210"/>
        <v>7.3</v>
      </c>
      <c r="CI112" s="12">
        <f t="shared" si="210"/>
        <v>6.2</v>
      </c>
      <c r="CJ112" s="12">
        <f t="shared" si="210"/>
        <v>-0.3</v>
      </c>
      <c r="CK112" s="12">
        <f t="shared" si="210"/>
        <v>10.81</v>
      </c>
      <c r="CL112" s="12">
        <f t="shared" si="210"/>
        <v>11.7</v>
      </c>
      <c r="CM112" s="12">
        <f t="shared" si="210"/>
        <v>73.7</v>
      </c>
      <c r="CN112" s="12">
        <f t="shared" si="210"/>
        <v>24.299999999999997</v>
      </c>
      <c r="CO112" s="12">
        <f t="shared" si="210"/>
        <v>64.765784114052948</v>
      </c>
    </row>
    <row r="113" spans="1:93" x14ac:dyDescent="0.3">
      <c r="A113" s="6" t="s">
        <v>346</v>
      </c>
      <c r="B113" s="3">
        <v>3</v>
      </c>
      <c r="C113" s="13" t="s">
        <v>60</v>
      </c>
      <c r="D113" s="14">
        <v>56</v>
      </c>
      <c r="E113" s="38">
        <f>G112</f>
        <v>58.333333333333336</v>
      </c>
      <c r="F113" s="39">
        <v>7</v>
      </c>
      <c r="G113" s="38">
        <f t="shared" si="177"/>
        <v>41.17647058823529</v>
      </c>
      <c r="H113" s="39">
        <v>17</v>
      </c>
      <c r="I113" s="40">
        <f t="shared" si="178"/>
        <v>1</v>
      </c>
      <c r="J113" s="39">
        <v>12</v>
      </c>
      <c r="K113" s="39">
        <v>5</v>
      </c>
      <c r="L113" s="39">
        <v>4</v>
      </c>
      <c r="M113" s="39">
        <f>Q112</f>
        <v>52.5</v>
      </c>
      <c r="N113" s="39">
        <v>26</v>
      </c>
      <c r="O113" s="41">
        <f t="shared" si="179"/>
        <v>0.46323529411764708</v>
      </c>
      <c r="P113" s="39">
        <v>2</v>
      </c>
      <c r="Q113" s="39">
        <v>43.8</v>
      </c>
      <c r="R113" s="39">
        <v>15</v>
      </c>
      <c r="S113" s="38">
        <f t="shared" si="180"/>
        <v>66.666666666666657</v>
      </c>
      <c r="T113" s="39">
        <v>12</v>
      </c>
      <c r="U113" s="39">
        <v>8</v>
      </c>
      <c r="V113" s="39">
        <f>X112</f>
        <v>83</v>
      </c>
      <c r="W113" s="39">
        <v>10</v>
      </c>
      <c r="X113" s="39">
        <v>71</v>
      </c>
      <c r="Y113" s="39">
        <f>Z113-Z112</f>
        <v>4</v>
      </c>
      <c r="Z113" s="39">
        <f t="shared" si="181"/>
        <v>36</v>
      </c>
      <c r="AA113" s="39">
        <f t="shared" si="182"/>
        <v>-12</v>
      </c>
      <c r="AB113" s="39">
        <v>2</v>
      </c>
      <c r="AC113" s="39">
        <f t="shared" si="183"/>
        <v>-3</v>
      </c>
      <c r="AD113" s="39">
        <f>AE112</f>
        <v>9</v>
      </c>
      <c r="AE113" s="39">
        <v>12</v>
      </c>
      <c r="AF113" s="46">
        <f t="shared" si="127"/>
        <v>71.626940639269421</v>
      </c>
      <c r="AG113" s="51">
        <f t="shared" ref="AG113" si="211">AVERAGE(AF112,AF113)</f>
        <v>72.302160795825188</v>
      </c>
      <c r="AH113" s="12">
        <f t="shared" si="205"/>
        <v>34.700000000000003</v>
      </c>
      <c r="AI113" s="12">
        <f t="shared" si="205"/>
        <v>7.5</v>
      </c>
      <c r="AJ113" s="12">
        <f t="shared" si="205"/>
        <v>39.9</v>
      </c>
      <c r="AK113" s="12">
        <f t="shared" si="205"/>
        <v>19.3</v>
      </c>
      <c r="AL113" s="12">
        <f t="shared" si="205"/>
        <v>1.71</v>
      </c>
      <c r="AM113" s="12">
        <f t="shared" si="205"/>
        <v>19</v>
      </c>
      <c r="AN113" s="12">
        <f t="shared" si="205"/>
        <v>11.79</v>
      </c>
      <c r="AO113" s="12">
        <f t="shared" si="205"/>
        <v>3.5</v>
      </c>
      <c r="AP113" s="12">
        <f t="shared" si="205"/>
        <v>43.8</v>
      </c>
      <c r="AQ113" s="12">
        <f t="shared" si="205"/>
        <v>27.89</v>
      </c>
      <c r="AR113" s="12">
        <f t="shared" si="206"/>
        <v>0.55800000000000005</v>
      </c>
      <c r="AS113" s="12">
        <f t="shared" si="206"/>
        <v>11.03</v>
      </c>
      <c r="AT113" s="12">
        <f t="shared" si="206"/>
        <v>49.1</v>
      </c>
      <c r="AU113" s="12">
        <f t="shared" si="206"/>
        <v>15.9</v>
      </c>
      <c r="AV113" s="12">
        <f t="shared" si="206"/>
        <v>71.5</v>
      </c>
      <c r="AW113" s="12">
        <f t="shared" si="206"/>
        <v>20.100000000000001</v>
      </c>
      <c r="AX113" s="12">
        <f t="shared" si="206"/>
        <v>14.5</v>
      </c>
      <c r="AY113" s="12">
        <f t="shared" si="206"/>
        <v>75.099999999999994</v>
      </c>
      <c r="AZ113" s="12">
        <f t="shared" si="206"/>
        <v>10.62</v>
      </c>
      <c r="BA113" s="12">
        <f t="shared" si="206"/>
        <v>85.6</v>
      </c>
      <c r="BB113" s="12">
        <f t="shared" si="207"/>
        <v>5.9</v>
      </c>
      <c r="BC113" s="12">
        <f t="shared" si="207"/>
        <v>38.83</v>
      </c>
      <c r="BD113" s="12">
        <f t="shared" si="207"/>
        <v>7.3</v>
      </c>
      <c r="BE113" s="12">
        <f t="shared" si="207"/>
        <v>6.2</v>
      </c>
      <c r="BF113" s="12">
        <f t="shared" si="207"/>
        <v>-0.3</v>
      </c>
      <c r="BG113" s="12">
        <f t="shared" si="207"/>
        <v>10.81</v>
      </c>
      <c r="BH113" s="12">
        <f t="shared" si="207"/>
        <v>11.7</v>
      </c>
      <c r="BI113" s="12">
        <f t="shared" si="207"/>
        <v>73.7</v>
      </c>
      <c r="BJ113" s="12">
        <f t="shared" si="207"/>
        <v>24.299999999999997</v>
      </c>
      <c r="BK113" s="12">
        <f t="shared" si="207"/>
        <v>64.765784114052948</v>
      </c>
      <c r="BL113" s="12">
        <f t="shared" si="208"/>
        <v>32.1</v>
      </c>
      <c r="BM113" s="12">
        <f t="shared" si="208"/>
        <v>7.3</v>
      </c>
      <c r="BN113" s="12">
        <f t="shared" si="208"/>
        <v>34.9</v>
      </c>
      <c r="BO113" s="12">
        <f t="shared" si="208"/>
        <v>22</v>
      </c>
      <c r="BP113" s="12">
        <f t="shared" si="208"/>
        <v>1.58</v>
      </c>
      <c r="BQ113" s="12">
        <f t="shared" si="208"/>
        <v>16.7</v>
      </c>
      <c r="BR113" s="12">
        <f t="shared" si="208"/>
        <v>33.29</v>
      </c>
      <c r="BS113" s="12">
        <f t="shared" si="208"/>
        <v>3.7</v>
      </c>
      <c r="BT113" s="12">
        <f t="shared" si="208"/>
        <v>42.7</v>
      </c>
      <c r="BU113" s="12">
        <f t="shared" si="208"/>
        <v>24.82</v>
      </c>
      <c r="BV113" s="12">
        <f t="shared" si="209"/>
        <v>0.54500000000000004</v>
      </c>
      <c r="BW113" s="12">
        <f t="shared" si="209"/>
        <v>12.82</v>
      </c>
      <c r="BX113" s="12">
        <f t="shared" si="209"/>
        <v>47.8</v>
      </c>
      <c r="BY113" s="12">
        <f t="shared" si="209"/>
        <v>17.3</v>
      </c>
      <c r="BZ113" s="12">
        <f t="shared" si="209"/>
        <v>75</v>
      </c>
      <c r="CA113" s="12">
        <f t="shared" si="209"/>
        <v>18.899999999999999</v>
      </c>
      <c r="CB113" s="12">
        <f t="shared" si="209"/>
        <v>14.7</v>
      </c>
      <c r="CC113" s="12">
        <f t="shared" si="209"/>
        <v>69.099999999999994</v>
      </c>
      <c r="CD113" s="12">
        <f t="shared" si="209"/>
        <v>9.94</v>
      </c>
      <c r="CE113" s="12">
        <f t="shared" si="209"/>
        <v>80.400000000000006</v>
      </c>
      <c r="CF113" s="12">
        <f t="shared" si="210"/>
        <v>0.5</v>
      </c>
      <c r="CG113" s="12">
        <f t="shared" si="210"/>
        <v>34.74</v>
      </c>
      <c r="CH113" s="12">
        <f t="shared" si="210"/>
        <v>11.5</v>
      </c>
      <c r="CI113" s="12">
        <f t="shared" si="210"/>
        <v>7.4</v>
      </c>
      <c r="CJ113" s="12">
        <f t="shared" si="210"/>
        <v>3.7</v>
      </c>
      <c r="CK113" s="12">
        <f t="shared" si="210"/>
        <v>14.12</v>
      </c>
      <c r="CL113" s="12">
        <f t="shared" si="210"/>
        <v>10.5</v>
      </c>
      <c r="CM113" s="12">
        <f t="shared" si="210"/>
        <v>72.2</v>
      </c>
      <c r="CN113" s="12">
        <f t="shared" si="210"/>
        <v>21.900000000000002</v>
      </c>
      <c r="CO113" s="12">
        <f t="shared" si="210"/>
        <v>61.087866108786621</v>
      </c>
    </row>
    <row r="114" spans="1:93" x14ac:dyDescent="0.3">
      <c r="A114" s="6" t="s">
        <v>2</v>
      </c>
      <c r="B114" s="3">
        <v>4</v>
      </c>
      <c r="C114" s="13" t="s">
        <v>351</v>
      </c>
      <c r="D114" s="14">
        <v>57</v>
      </c>
      <c r="E114" s="38">
        <f>G115</f>
        <v>31.25</v>
      </c>
      <c r="F114" s="39">
        <v>9</v>
      </c>
      <c r="G114" s="38">
        <f t="shared" si="177"/>
        <v>45</v>
      </c>
      <c r="H114" s="39">
        <v>20</v>
      </c>
      <c r="I114" s="40">
        <f t="shared" si="178"/>
        <v>1.2941176470588236</v>
      </c>
      <c r="J114" s="39">
        <v>22</v>
      </c>
      <c r="K114" s="39">
        <v>22</v>
      </c>
      <c r="L114" s="39">
        <v>3</v>
      </c>
      <c r="M114" s="39">
        <f>Q115</f>
        <v>31.7</v>
      </c>
      <c r="N114" s="39">
        <v>32</v>
      </c>
      <c r="O114" s="41">
        <f t="shared" si="179"/>
        <v>0.51532258064516134</v>
      </c>
      <c r="P114" s="39">
        <v>10</v>
      </c>
      <c r="Q114" s="39">
        <v>57.4</v>
      </c>
      <c r="R114" s="39">
        <v>19</v>
      </c>
      <c r="S114" s="38">
        <f t="shared" si="180"/>
        <v>80.952380952380949</v>
      </c>
      <c r="T114" s="39">
        <v>21</v>
      </c>
      <c r="U114" s="39">
        <v>17</v>
      </c>
      <c r="V114" s="39">
        <f>X115</f>
        <v>65</v>
      </c>
      <c r="W114" s="39">
        <v>11</v>
      </c>
      <c r="X114" s="39">
        <v>88</v>
      </c>
      <c r="Y114" s="39">
        <f>Z114-Z115</f>
        <v>12</v>
      </c>
      <c r="Z114" s="39">
        <f t="shared" si="181"/>
        <v>43</v>
      </c>
      <c r="AA114" s="39">
        <f t="shared" si="182"/>
        <v>23</v>
      </c>
      <c r="AB114" s="39">
        <v>7</v>
      </c>
      <c r="AC114" s="39">
        <f t="shared" si="183"/>
        <v>-7</v>
      </c>
      <c r="AD114" s="39">
        <f>AE115</f>
        <v>10</v>
      </c>
      <c r="AE114" s="39">
        <v>17</v>
      </c>
      <c r="AF114" s="46">
        <f t="shared" si="127"/>
        <v>69.981968641114975</v>
      </c>
      <c r="AG114" s="51">
        <f t="shared" ref="AG114" si="212">AVERAGE(AF114,AF115)</f>
        <v>69.94922564547862</v>
      </c>
      <c r="AH114" s="12">
        <f t="shared" si="205"/>
        <v>30.2</v>
      </c>
      <c r="AI114" s="12">
        <f t="shared" si="205"/>
        <v>9.1</v>
      </c>
      <c r="AJ114" s="12">
        <f t="shared" si="205"/>
        <v>36.1</v>
      </c>
      <c r="AK114" s="12">
        <f t="shared" si="205"/>
        <v>24.9</v>
      </c>
      <c r="AL114" s="12">
        <f t="shared" si="205"/>
        <v>1.54</v>
      </c>
      <c r="AM114" s="12">
        <f t="shared" si="205"/>
        <v>18.5</v>
      </c>
      <c r="AN114" s="12">
        <f t="shared" si="205"/>
        <v>21.08</v>
      </c>
      <c r="AO114" s="12">
        <f t="shared" si="205"/>
        <v>4.5999999999999996</v>
      </c>
      <c r="AP114" s="12">
        <f t="shared" si="205"/>
        <v>39.6</v>
      </c>
      <c r="AQ114" s="12">
        <f t="shared" si="205"/>
        <v>26.97</v>
      </c>
      <c r="AR114" s="12">
        <f t="shared" si="206"/>
        <v>0.54700000000000004</v>
      </c>
      <c r="AS114" s="12">
        <f t="shared" si="206"/>
        <v>10.91</v>
      </c>
      <c r="AT114" s="12">
        <f t="shared" si="206"/>
        <v>46.9</v>
      </c>
      <c r="AU114" s="12">
        <f t="shared" si="206"/>
        <v>17.3</v>
      </c>
      <c r="AV114" s="12">
        <f t="shared" si="206"/>
        <v>75.900000000000006</v>
      </c>
      <c r="AW114" s="12">
        <f t="shared" si="206"/>
        <v>19.100000000000001</v>
      </c>
      <c r="AX114" s="12">
        <f t="shared" si="206"/>
        <v>15.1</v>
      </c>
      <c r="AY114" s="12">
        <f t="shared" si="206"/>
        <v>66.7</v>
      </c>
      <c r="AZ114" s="12">
        <f t="shared" si="206"/>
        <v>13.43</v>
      </c>
      <c r="BA114" s="12">
        <f t="shared" si="206"/>
        <v>81.400000000000006</v>
      </c>
      <c r="BB114" s="12">
        <f t="shared" si="207"/>
        <v>9.9</v>
      </c>
      <c r="BC114" s="12">
        <f t="shared" si="207"/>
        <v>41.08</v>
      </c>
      <c r="BD114" s="12">
        <f t="shared" si="207"/>
        <v>17.7</v>
      </c>
      <c r="BE114" s="12">
        <f t="shared" si="207"/>
        <v>6.1</v>
      </c>
      <c r="BF114" s="12">
        <f t="shared" si="207"/>
        <v>-0.1</v>
      </c>
      <c r="BG114" s="12">
        <f t="shared" si="207"/>
        <v>11.44</v>
      </c>
      <c r="BH114" s="12">
        <f t="shared" si="207"/>
        <v>11.9</v>
      </c>
      <c r="BI114" s="12">
        <f t="shared" si="207"/>
        <v>70.099999999999994</v>
      </c>
      <c r="BJ114" s="12">
        <f t="shared" si="207"/>
        <v>19.500000000000007</v>
      </c>
      <c r="BK114" s="12">
        <f t="shared" si="207"/>
        <v>60.9808102345416</v>
      </c>
      <c r="BL114" s="12">
        <f t="shared" si="208"/>
        <v>31.4</v>
      </c>
      <c r="BM114" s="12">
        <f t="shared" si="208"/>
        <v>5.4</v>
      </c>
      <c r="BN114" s="12">
        <f t="shared" si="208"/>
        <v>32.4</v>
      </c>
      <c r="BO114" s="12">
        <f t="shared" si="208"/>
        <v>17.3</v>
      </c>
      <c r="BP114" s="12">
        <f t="shared" si="208"/>
        <v>1.08</v>
      </c>
      <c r="BQ114" s="12">
        <f t="shared" si="208"/>
        <v>13.1</v>
      </c>
      <c r="BR114" s="12">
        <f t="shared" si="208"/>
        <v>20.18</v>
      </c>
      <c r="BS114" s="12">
        <f t="shared" si="208"/>
        <v>4.9000000000000004</v>
      </c>
      <c r="BT114" s="12">
        <f t="shared" si="208"/>
        <v>42.6</v>
      </c>
      <c r="BU114" s="12">
        <f t="shared" si="208"/>
        <v>25.44</v>
      </c>
      <c r="BV114" s="12">
        <f t="shared" si="209"/>
        <v>0.51100000000000001</v>
      </c>
      <c r="BW114" s="12">
        <f t="shared" si="209"/>
        <v>12.19</v>
      </c>
      <c r="BX114" s="12">
        <f t="shared" si="209"/>
        <v>47.4</v>
      </c>
      <c r="BY114" s="12">
        <f t="shared" si="209"/>
        <v>19.399999999999999</v>
      </c>
      <c r="BZ114" s="12">
        <f t="shared" si="209"/>
        <v>70.7</v>
      </c>
      <c r="CA114" s="12">
        <f t="shared" si="209"/>
        <v>23.8</v>
      </c>
      <c r="CB114" s="12">
        <f t="shared" si="209"/>
        <v>16.899999999999999</v>
      </c>
      <c r="CC114" s="12">
        <f t="shared" si="209"/>
        <v>69.599999999999994</v>
      </c>
      <c r="CD114" s="12">
        <f t="shared" si="209"/>
        <v>10.64</v>
      </c>
      <c r="CE114" s="12">
        <f t="shared" si="209"/>
        <v>75.3</v>
      </c>
      <c r="CF114" s="12">
        <f t="shared" si="210"/>
        <v>3.3</v>
      </c>
      <c r="CG114" s="12">
        <f t="shared" si="210"/>
        <v>35.89</v>
      </c>
      <c r="CH114" s="12">
        <f t="shared" si="210"/>
        <v>6.3</v>
      </c>
      <c r="CI114" s="12">
        <f t="shared" si="210"/>
        <v>8.3000000000000007</v>
      </c>
      <c r="CJ114" s="12">
        <f t="shared" si="210"/>
        <v>1.1000000000000001</v>
      </c>
      <c r="CK114" s="12">
        <f t="shared" si="210"/>
        <v>12.88</v>
      </c>
      <c r="CL114" s="12">
        <f t="shared" si="210"/>
        <v>11.7</v>
      </c>
      <c r="CM114" s="12">
        <f t="shared" si="210"/>
        <v>72.099999999999994</v>
      </c>
      <c r="CN114" s="12">
        <f t="shared" si="210"/>
        <v>21.099999999999998</v>
      </c>
      <c r="CO114" s="12">
        <f t="shared" si="210"/>
        <v>55.907172995780591</v>
      </c>
    </row>
    <row r="115" spans="1:93" x14ac:dyDescent="0.3">
      <c r="A115" s="6" t="s">
        <v>351</v>
      </c>
      <c r="B115" s="3">
        <v>8</v>
      </c>
      <c r="C115" s="13" t="s">
        <v>2</v>
      </c>
      <c r="D115" s="14">
        <v>57</v>
      </c>
      <c r="E115" s="38">
        <f>G114</f>
        <v>45</v>
      </c>
      <c r="F115" s="39">
        <v>5</v>
      </c>
      <c r="G115" s="38">
        <f t="shared" si="177"/>
        <v>31.25</v>
      </c>
      <c r="H115" s="39">
        <v>16</v>
      </c>
      <c r="I115" s="40">
        <f t="shared" si="178"/>
        <v>0.7</v>
      </c>
      <c r="J115" s="39">
        <v>7</v>
      </c>
      <c r="K115" s="39">
        <v>14</v>
      </c>
      <c r="L115" s="39">
        <v>2</v>
      </c>
      <c r="M115" s="39">
        <f>Q114</f>
        <v>57.4</v>
      </c>
      <c r="N115" s="39">
        <v>15</v>
      </c>
      <c r="O115" s="41">
        <f t="shared" si="179"/>
        <v>0.3515625</v>
      </c>
      <c r="P115" s="39">
        <v>13</v>
      </c>
      <c r="Q115" s="39">
        <v>31.7</v>
      </c>
      <c r="R115" s="39">
        <v>19</v>
      </c>
      <c r="S115" s="38">
        <f t="shared" si="180"/>
        <v>74.074074074074076</v>
      </c>
      <c r="T115" s="39">
        <v>27</v>
      </c>
      <c r="U115" s="39">
        <v>20</v>
      </c>
      <c r="V115" s="39">
        <f>X114</f>
        <v>88</v>
      </c>
      <c r="W115" s="39">
        <v>16</v>
      </c>
      <c r="X115" s="39">
        <v>65</v>
      </c>
      <c r="Y115" s="39">
        <f>Z115-Z114</f>
        <v>-12</v>
      </c>
      <c r="Z115" s="39">
        <f t="shared" si="181"/>
        <v>31</v>
      </c>
      <c r="AA115" s="39">
        <f t="shared" si="182"/>
        <v>-23</v>
      </c>
      <c r="AB115" s="39">
        <v>8</v>
      </c>
      <c r="AC115" s="39">
        <f t="shared" si="183"/>
        <v>7</v>
      </c>
      <c r="AD115" s="39">
        <f>AE114</f>
        <v>17</v>
      </c>
      <c r="AE115" s="39">
        <v>10</v>
      </c>
      <c r="AF115" s="46">
        <f t="shared" si="127"/>
        <v>69.916482649842266</v>
      </c>
      <c r="AG115" s="51">
        <f t="shared" ref="AG115" si="213">AVERAGE(AF114,AF115)</f>
        <v>69.94922564547862</v>
      </c>
      <c r="AH115" s="12">
        <f t="shared" si="205"/>
        <v>31.4</v>
      </c>
      <c r="AI115" s="12">
        <f t="shared" si="205"/>
        <v>5.4</v>
      </c>
      <c r="AJ115" s="12">
        <f t="shared" si="205"/>
        <v>32.4</v>
      </c>
      <c r="AK115" s="12">
        <f t="shared" si="205"/>
        <v>17.3</v>
      </c>
      <c r="AL115" s="12">
        <f t="shared" si="205"/>
        <v>1.08</v>
      </c>
      <c r="AM115" s="12">
        <f t="shared" si="205"/>
        <v>13.1</v>
      </c>
      <c r="AN115" s="12">
        <f t="shared" si="205"/>
        <v>20.18</v>
      </c>
      <c r="AO115" s="12">
        <f t="shared" si="205"/>
        <v>4.9000000000000004</v>
      </c>
      <c r="AP115" s="12">
        <f t="shared" si="205"/>
        <v>42.6</v>
      </c>
      <c r="AQ115" s="12">
        <f t="shared" si="205"/>
        <v>25.44</v>
      </c>
      <c r="AR115" s="12">
        <f t="shared" si="206"/>
        <v>0.51100000000000001</v>
      </c>
      <c r="AS115" s="12">
        <f t="shared" si="206"/>
        <v>12.19</v>
      </c>
      <c r="AT115" s="12">
        <f t="shared" si="206"/>
        <v>47.4</v>
      </c>
      <c r="AU115" s="12">
        <f t="shared" si="206"/>
        <v>19.399999999999999</v>
      </c>
      <c r="AV115" s="12">
        <f t="shared" si="206"/>
        <v>70.7</v>
      </c>
      <c r="AW115" s="12">
        <f t="shared" si="206"/>
        <v>23.8</v>
      </c>
      <c r="AX115" s="12">
        <f t="shared" si="206"/>
        <v>16.899999999999999</v>
      </c>
      <c r="AY115" s="12">
        <f t="shared" si="206"/>
        <v>69.599999999999994</v>
      </c>
      <c r="AZ115" s="12">
        <f t="shared" si="206"/>
        <v>10.64</v>
      </c>
      <c r="BA115" s="12">
        <f t="shared" si="206"/>
        <v>75.3</v>
      </c>
      <c r="BB115" s="12">
        <f t="shared" si="207"/>
        <v>3.3</v>
      </c>
      <c r="BC115" s="12">
        <f t="shared" si="207"/>
        <v>35.89</v>
      </c>
      <c r="BD115" s="12">
        <f t="shared" si="207"/>
        <v>6.3</v>
      </c>
      <c r="BE115" s="12">
        <f t="shared" si="207"/>
        <v>8.3000000000000007</v>
      </c>
      <c r="BF115" s="12">
        <f t="shared" si="207"/>
        <v>1.1000000000000001</v>
      </c>
      <c r="BG115" s="12">
        <f t="shared" si="207"/>
        <v>12.88</v>
      </c>
      <c r="BH115" s="12">
        <f t="shared" si="207"/>
        <v>11.7</v>
      </c>
      <c r="BI115" s="12">
        <f t="shared" si="207"/>
        <v>72.099999999999994</v>
      </c>
      <c r="BJ115" s="12">
        <f t="shared" si="207"/>
        <v>21.099999999999998</v>
      </c>
      <c r="BK115" s="12">
        <f t="shared" si="207"/>
        <v>55.907172995780591</v>
      </c>
      <c r="BL115" s="12">
        <f t="shared" si="208"/>
        <v>30.2</v>
      </c>
      <c r="BM115" s="12">
        <f t="shared" si="208"/>
        <v>9.1</v>
      </c>
      <c r="BN115" s="12">
        <f t="shared" si="208"/>
        <v>36.1</v>
      </c>
      <c r="BO115" s="12">
        <f t="shared" si="208"/>
        <v>24.9</v>
      </c>
      <c r="BP115" s="12">
        <f t="shared" si="208"/>
        <v>1.54</v>
      </c>
      <c r="BQ115" s="12">
        <f t="shared" si="208"/>
        <v>18.5</v>
      </c>
      <c r="BR115" s="12">
        <f t="shared" si="208"/>
        <v>21.08</v>
      </c>
      <c r="BS115" s="12">
        <f t="shared" si="208"/>
        <v>4.5999999999999996</v>
      </c>
      <c r="BT115" s="12">
        <f t="shared" si="208"/>
        <v>39.6</v>
      </c>
      <c r="BU115" s="12">
        <f t="shared" si="208"/>
        <v>26.97</v>
      </c>
      <c r="BV115" s="12">
        <f t="shared" si="209"/>
        <v>0.54700000000000004</v>
      </c>
      <c r="BW115" s="12">
        <f t="shared" si="209"/>
        <v>10.91</v>
      </c>
      <c r="BX115" s="12">
        <f t="shared" si="209"/>
        <v>46.9</v>
      </c>
      <c r="BY115" s="12">
        <f t="shared" si="209"/>
        <v>17.3</v>
      </c>
      <c r="BZ115" s="12">
        <f t="shared" si="209"/>
        <v>75.900000000000006</v>
      </c>
      <c r="CA115" s="12">
        <f t="shared" si="209"/>
        <v>19.100000000000001</v>
      </c>
      <c r="CB115" s="12">
        <f t="shared" si="209"/>
        <v>15.1</v>
      </c>
      <c r="CC115" s="12">
        <f t="shared" si="209"/>
        <v>66.7</v>
      </c>
      <c r="CD115" s="12">
        <f t="shared" si="209"/>
        <v>13.43</v>
      </c>
      <c r="CE115" s="12">
        <f t="shared" si="209"/>
        <v>81.400000000000006</v>
      </c>
      <c r="CF115" s="12">
        <f t="shared" si="210"/>
        <v>9.9</v>
      </c>
      <c r="CG115" s="12">
        <f t="shared" si="210"/>
        <v>41.08</v>
      </c>
      <c r="CH115" s="12">
        <f t="shared" si="210"/>
        <v>17.7</v>
      </c>
      <c r="CI115" s="12">
        <f t="shared" si="210"/>
        <v>6.1</v>
      </c>
      <c r="CJ115" s="12">
        <f t="shared" si="210"/>
        <v>-0.1</v>
      </c>
      <c r="CK115" s="12">
        <f t="shared" si="210"/>
        <v>11.44</v>
      </c>
      <c r="CL115" s="12">
        <f t="shared" si="210"/>
        <v>11.9</v>
      </c>
      <c r="CM115" s="12">
        <f t="shared" si="210"/>
        <v>70.099999999999994</v>
      </c>
      <c r="CN115" s="12">
        <f t="shared" si="210"/>
        <v>19.500000000000007</v>
      </c>
      <c r="CO115" s="12">
        <f t="shared" si="210"/>
        <v>60.9808102345416</v>
      </c>
    </row>
    <row r="116" spans="1:93" x14ac:dyDescent="0.3">
      <c r="A116" s="6" t="s">
        <v>261</v>
      </c>
      <c r="B116" s="3">
        <v>2</v>
      </c>
      <c r="C116" s="13" t="s">
        <v>58</v>
      </c>
      <c r="D116" s="14">
        <v>58</v>
      </c>
      <c r="E116" s="38">
        <f>G117</f>
        <v>37.5</v>
      </c>
      <c r="F116" s="39">
        <v>7</v>
      </c>
      <c r="G116" s="38">
        <f t="shared" si="177"/>
        <v>38.888888888888893</v>
      </c>
      <c r="H116" s="39">
        <v>18</v>
      </c>
      <c r="I116" s="40">
        <f t="shared" si="178"/>
        <v>2.3333333333333335</v>
      </c>
      <c r="J116" s="39">
        <v>14</v>
      </c>
      <c r="K116" s="39">
        <v>4</v>
      </c>
      <c r="L116" s="39">
        <v>4</v>
      </c>
      <c r="M116" s="39">
        <f>Q117</f>
        <v>50</v>
      </c>
      <c r="N116" s="39">
        <v>19</v>
      </c>
      <c r="O116" s="41">
        <f t="shared" si="179"/>
        <v>0.43750000000000011</v>
      </c>
      <c r="P116" s="39">
        <v>12</v>
      </c>
      <c r="Q116" s="39">
        <v>41.8</v>
      </c>
      <c r="R116" s="39">
        <v>15</v>
      </c>
      <c r="S116" s="38">
        <f t="shared" si="180"/>
        <v>81.25</v>
      </c>
      <c r="T116" s="39">
        <v>16</v>
      </c>
      <c r="U116" s="39">
        <v>13</v>
      </c>
      <c r="V116" s="39">
        <f>X117</f>
        <v>79</v>
      </c>
      <c r="W116" s="39">
        <v>7</v>
      </c>
      <c r="X116" s="39">
        <v>76</v>
      </c>
      <c r="Y116" s="39">
        <f>Z116-Z117</f>
        <v>-24</v>
      </c>
      <c r="Z116" s="39">
        <f t="shared" si="181"/>
        <v>26</v>
      </c>
      <c r="AA116" s="39">
        <f t="shared" si="182"/>
        <v>-3</v>
      </c>
      <c r="AB116" s="39">
        <v>8</v>
      </c>
      <c r="AC116" s="39">
        <f t="shared" si="183"/>
        <v>10</v>
      </c>
      <c r="AD116" s="39">
        <f>AE117</f>
        <v>16</v>
      </c>
      <c r="AE116" s="39">
        <v>6</v>
      </c>
      <c r="AF116" s="46">
        <f t="shared" si="127"/>
        <v>73.585645933014348</v>
      </c>
      <c r="AG116" s="51">
        <f t="shared" ref="AG116" si="214">AVERAGE(AF116,AF117)</f>
        <v>72.830322966507168</v>
      </c>
      <c r="AH116" s="12">
        <f t="shared" si="205"/>
        <v>31.4</v>
      </c>
      <c r="AI116" s="12">
        <f t="shared" si="205"/>
        <v>6.5</v>
      </c>
      <c r="AJ116" s="12">
        <f t="shared" si="205"/>
        <v>35.200000000000003</v>
      </c>
      <c r="AK116" s="12">
        <f t="shared" si="205"/>
        <v>17.899999999999999</v>
      </c>
      <c r="AL116" s="12">
        <f t="shared" si="205"/>
        <v>1.63</v>
      </c>
      <c r="AM116" s="12">
        <f t="shared" si="205"/>
        <v>15</v>
      </c>
      <c r="AN116" s="12">
        <f t="shared" si="205"/>
        <v>12.71</v>
      </c>
      <c r="AO116" s="12">
        <f t="shared" si="205"/>
        <v>3.8</v>
      </c>
      <c r="AP116" s="12">
        <f t="shared" si="205"/>
        <v>41</v>
      </c>
      <c r="AQ116" s="12">
        <f t="shared" si="205"/>
        <v>24.3</v>
      </c>
      <c r="AR116" s="12">
        <f t="shared" si="206"/>
        <v>0.51400000000000001</v>
      </c>
      <c r="AS116" s="12">
        <f t="shared" si="206"/>
        <v>12.21</v>
      </c>
      <c r="AT116" s="12">
        <f t="shared" si="206"/>
        <v>46.7</v>
      </c>
      <c r="AU116" s="12">
        <f t="shared" si="206"/>
        <v>15.4</v>
      </c>
      <c r="AV116" s="12">
        <f t="shared" si="206"/>
        <v>72.3</v>
      </c>
      <c r="AW116" s="12">
        <f t="shared" si="206"/>
        <v>16.899999999999999</v>
      </c>
      <c r="AX116" s="12">
        <f t="shared" si="206"/>
        <v>11.9</v>
      </c>
      <c r="AY116" s="12">
        <f t="shared" si="206"/>
        <v>62.2</v>
      </c>
      <c r="AZ116" s="12">
        <f t="shared" si="206"/>
        <v>11.65</v>
      </c>
      <c r="BA116" s="12">
        <f t="shared" si="206"/>
        <v>75.3</v>
      </c>
      <c r="BB116" s="12">
        <f t="shared" si="207"/>
        <v>3.9</v>
      </c>
      <c r="BC116" s="12">
        <f t="shared" si="207"/>
        <v>35.85</v>
      </c>
      <c r="BD116" s="12">
        <f t="shared" si="207"/>
        <v>15.4</v>
      </c>
      <c r="BE116" s="12">
        <f t="shared" si="207"/>
        <v>8.1</v>
      </c>
      <c r="BF116" s="12">
        <f t="shared" si="207"/>
        <v>6.7</v>
      </c>
      <c r="BG116" s="12">
        <f t="shared" si="207"/>
        <v>14.33</v>
      </c>
      <c r="BH116" s="12">
        <f t="shared" si="207"/>
        <v>9.6</v>
      </c>
      <c r="BI116" s="12">
        <f t="shared" si="207"/>
        <v>68.8</v>
      </c>
      <c r="BJ116" s="12">
        <f t="shared" si="207"/>
        <v>21.95</v>
      </c>
      <c r="BK116" s="12">
        <f t="shared" si="207"/>
        <v>60.920770877944321</v>
      </c>
      <c r="BL116" s="12">
        <f t="shared" si="208"/>
        <v>34.4</v>
      </c>
      <c r="BM116" s="12">
        <f t="shared" si="208"/>
        <v>7.8</v>
      </c>
      <c r="BN116" s="12">
        <f t="shared" si="208"/>
        <v>38.299999999999997</v>
      </c>
      <c r="BO116" s="12">
        <f t="shared" si="208"/>
        <v>20.3</v>
      </c>
      <c r="BP116" s="12">
        <f t="shared" si="208"/>
        <v>1.66</v>
      </c>
      <c r="BQ116" s="12">
        <f t="shared" si="208"/>
        <v>16.7</v>
      </c>
      <c r="BR116" s="12">
        <f t="shared" si="208"/>
        <v>21.67</v>
      </c>
      <c r="BS116" s="12">
        <f t="shared" si="208"/>
        <v>3.6</v>
      </c>
      <c r="BT116" s="12">
        <f t="shared" si="208"/>
        <v>43.7</v>
      </c>
      <c r="BU116" s="12">
        <f t="shared" si="208"/>
        <v>27.64</v>
      </c>
      <c r="BV116" s="12">
        <f t="shared" si="209"/>
        <v>0.57399999999999995</v>
      </c>
      <c r="BW116" s="12">
        <f t="shared" si="209"/>
        <v>13.7</v>
      </c>
      <c r="BX116" s="12">
        <f t="shared" si="209"/>
        <v>51.8</v>
      </c>
      <c r="BY116" s="12">
        <f t="shared" si="209"/>
        <v>16.5</v>
      </c>
      <c r="BZ116" s="12">
        <f t="shared" si="209"/>
        <v>70.3</v>
      </c>
      <c r="CA116" s="12">
        <f t="shared" si="209"/>
        <v>21.9</v>
      </c>
      <c r="CB116" s="12">
        <f t="shared" si="209"/>
        <v>15.3</v>
      </c>
      <c r="CC116" s="12">
        <f t="shared" si="209"/>
        <v>74.5</v>
      </c>
      <c r="CD116" s="12">
        <f t="shared" si="209"/>
        <v>10.64</v>
      </c>
      <c r="CE116" s="12">
        <f t="shared" si="209"/>
        <v>90.1</v>
      </c>
      <c r="CF116" s="12">
        <f t="shared" si="210"/>
        <v>6</v>
      </c>
      <c r="CG116" s="12">
        <f t="shared" si="210"/>
        <v>38.61</v>
      </c>
      <c r="CH116" s="12">
        <f t="shared" si="210"/>
        <v>13.8</v>
      </c>
      <c r="CI116" s="12">
        <f t="shared" si="210"/>
        <v>7.1</v>
      </c>
      <c r="CJ116" s="12">
        <f t="shared" si="210"/>
        <v>1.8</v>
      </c>
      <c r="CK116" s="12">
        <f t="shared" si="210"/>
        <v>11.91</v>
      </c>
      <c r="CL116" s="12">
        <f t="shared" si="210"/>
        <v>10</v>
      </c>
      <c r="CM116" s="12">
        <f t="shared" si="210"/>
        <v>73.3</v>
      </c>
      <c r="CN116" s="12">
        <f t="shared" si="210"/>
        <v>25.7</v>
      </c>
      <c r="CO116" s="12">
        <f t="shared" si="210"/>
        <v>64.671814671814673</v>
      </c>
    </row>
    <row r="117" spans="1:93" x14ac:dyDescent="0.3">
      <c r="A117" s="6" t="s">
        <v>58</v>
      </c>
      <c r="B117" s="3">
        <v>3</v>
      </c>
      <c r="C117" s="13" t="s">
        <v>261</v>
      </c>
      <c r="D117" s="14">
        <v>58</v>
      </c>
      <c r="E117" s="38">
        <f>G116</f>
        <v>38.888888888888893</v>
      </c>
      <c r="F117" s="39">
        <v>6</v>
      </c>
      <c r="G117" s="38">
        <f t="shared" si="177"/>
        <v>37.5</v>
      </c>
      <c r="H117" s="39">
        <v>16</v>
      </c>
      <c r="I117" s="40">
        <f t="shared" si="178"/>
        <v>0.875</v>
      </c>
      <c r="J117" s="39">
        <v>14</v>
      </c>
      <c r="K117" s="39">
        <v>19</v>
      </c>
      <c r="L117" s="39">
        <v>3</v>
      </c>
      <c r="M117" s="39">
        <f>Q116</f>
        <v>41.8</v>
      </c>
      <c r="N117" s="39">
        <v>34</v>
      </c>
      <c r="O117" s="41">
        <f t="shared" si="179"/>
        <v>0.41015625</v>
      </c>
      <c r="P117" s="39">
        <v>21</v>
      </c>
      <c r="Q117" s="39">
        <v>50</v>
      </c>
      <c r="R117" s="39">
        <v>15</v>
      </c>
      <c r="S117" s="38">
        <f t="shared" si="180"/>
        <v>52.941176470588239</v>
      </c>
      <c r="T117" s="39">
        <v>17</v>
      </c>
      <c r="U117" s="39">
        <v>9</v>
      </c>
      <c r="V117" s="39">
        <f>X116</f>
        <v>76</v>
      </c>
      <c r="W117" s="39">
        <v>16</v>
      </c>
      <c r="X117" s="39">
        <v>79</v>
      </c>
      <c r="Y117" s="39">
        <f>Z117-Z116</f>
        <v>24</v>
      </c>
      <c r="Z117" s="39">
        <f t="shared" si="181"/>
        <v>50</v>
      </c>
      <c r="AA117" s="39">
        <f t="shared" si="182"/>
        <v>3</v>
      </c>
      <c r="AB117" s="39">
        <v>2</v>
      </c>
      <c r="AC117" s="39">
        <f t="shared" si="183"/>
        <v>-10</v>
      </c>
      <c r="AD117" s="39">
        <f>AE116</f>
        <v>6</v>
      </c>
      <c r="AE117" s="39">
        <v>16</v>
      </c>
      <c r="AF117" s="46">
        <f t="shared" si="127"/>
        <v>72.075000000000003</v>
      </c>
      <c r="AG117" s="51">
        <f t="shared" ref="AG117" si="215">AVERAGE(AF116,AF117)</f>
        <v>72.830322966507168</v>
      </c>
      <c r="AH117" s="12">
        <f t="shared" si="205"/>
        <v>34.4</v>
      </c>
      <c r="AI117" s="12">
        <f t="shared" si="205"/>
        <v>7.8</v>
      </c>
      <c r="AJ117" s="12">
        <f t="shared" si="205"/>
        <v>38.299999999999997</v>
      </c>
      <c r="AK117" s="12">
        <f t="shared" si="205"/>
        <v>20.3</v>
      </c>
      <c r="AL117" s="12">
        <f t="shared" si="205"/>
        <v>1.66</v>
      </c>
      <c r="AM117" s="12">
        <f t="shared" si="205"/>
        <v>16.7</v>
      </c>
      <c r="AN117" s="12">
        <f t="shared" si="205"/>
        <v>21.67</v>
      </c>
      <c r="AO117" s="12">
        <f t="shared" si="205"/>
        <v>3.6</v>
      </c>
      <c r="AP117" s="12">
        <f t="shared" si="205"/>
        <v>43.7</v>
      </c>
      <c r="AQ117" s="12">
        <f t="shared" si="205"/>
        <v>27.64</v>
      </c>
      <c r="AR117" s="12">
        <f t="shared" si="206"/>
        <v>0.57399999999999995</v>
      </c>
      <c r="AS117" s="12">
        <f t="shared" si="206"/>
        <v>13.7</v>
      </c>
      <c r="AT117" s="12">
        <f t="shared" si="206"/>
        <v>51.8</v>
      </c>
      <c r="AU117" s="12">
        <f t="shared" si="206"/>
        <v>16.5</v>
      </c>
      <c r="AV117" s="12">
        <f t="shared" si="206"/>
        <v>70.3</v>
      </c>
      <c r="AW117" s="12">
        <f t="shared" si="206"/>
        <v>21.9</v>
      </c>
      <c r="AX117" s="12">
        <f t="shared" si="206"/>
        <v>15.3</v>
      </c>
      <c r="AY117" s="12">
        <f t="shared" si="206"/>
        <v>74.5</v>
      </c>
      <c r="AZ117" s="12">
        <f t="shared" si="206"/>
        <v>10.64</v>
      </c>
      <c r="BA117" s="12">
        <f t="shared" si="206"/>
        <v>90.1</v>
      </c>
      <c r="BB117" s="12">
        <f t="shared" si="207"/>
        <v>6</v>
      </c>
      <c r="BC117" s="12">
        <f t="shared" si="207"/>
        <v>38.61</v>
      </c>
      <c r="BD117" s="12">
        <f t="shared" si="207"/>
        <v>13.8</v>
      </c>
      <c r="BE117" s="12">
        <f t="shared" si="207"/>
        <v>7.1</v>
      </c>
      <c r="BF117" s="12">
        <f t="shared" si="207"/>
        <v>1.8</v>
      </c>
      <c r="BG117" s="12">
        <f t="shared" si="207"/>
        <v>11.91</v>
      </c>
      <c r="BH117" s="12">
        <f t="shared" si="207"/>
        <v>10</v>
      </c>
      <c r="BI117" s="12">
        <f t="shared" si="207"/>
        <v>73.3</v>
      </c>
      <c r="BJ117" s="12">
        <f t="shared" si="207"/>
        <v>25.7</v>
      </c>
      <c r="BK117" s="12">
        <f t="shared" si="207"/>
        <v>64.671814671814673</v>
      </c>
      <c r="BL117" s="12">
        <f t="shared" si="208"/>
        <v>31.4</v>
      </c>
      <c r="BM117" s="12">
        <f t="shared" si="208"/>
        <v>6.5</v>
      </c>
      <c r="BN117" s="12">
        <f t="shared" si="208"/>
        <v>35.200000000000003</v>
      </c>
      <c r="BO117" s="12">
        <f t="shared" si="208"/>
        <v>17.899999999999999</v>
      </c>
      <c r="BP117" s="12">
        <f t="shared" si="208"/>
        <v>1.63</v>
      </c>
      <c r="BQ117" s="12">
        <f t="shared" si="208"/>
        <v>15</v>
      </c>
      <c r="BR117" s="12">
        <f t="shared" si="208"/>
        <v>12.71</v>
      </c>
      <c r="BS117" s="12">
        <f t="shared" si="208"/>
        <v>3.8</v>
      </c>
      <c r="BT117" s="12">
        <f t="shared" si="208"/>
        <v>41</v>
      </c>
      <c r="BU117" s="12">
        <f t="shared" si="208"/>
        <v>24.3</v>
      </c>
      <c r="BV117" s="12">
        <f t="shared" si="209"/>
        <v>0.51400000000000001</v>
      </c>
      <c r="BW117" s="12">
        <f t="shared" si="209"/>
        <v>12.21</v>
      </c>
      <c r="BX117" s="12">
        <f t="shared" si="209"/>
        <v>46.7</v>
      </c>
      <c r="BY117" s="12">
        <f t="shared" si="209"/>
        <v>15.4</v>
      </c>
      <c r="BZ117" s="12">
        <f t="shared" si="209"/>
        <v>72.3</v>
      </c>
      <c r="CA117" s="12">
        <f t="shared" si="209"/>
        <v>16.899999999999999</v>
      </c>
      <c r="CB117" s="12">
        <f t="shared" si="209"/>
        <v>11.9</v>
      </c>
      <c r="CC117" s="12">
        <f t="shared" si="209"/>
        <v>62.2</v>
      </c>
      <c r="CD117" s="12">
        <f t="shared" si="209"/>
        <v>11.65</v>
      </c>
      <c r="CE117" s="12">
        <f t="shared" si="209"/>
        <v>75.3</v>
      </c>
      <c r="CF117" s="12">
        <f t="shared" si="210"/>
        <v>3.9</v>
      </c>
      <c r="CG117" s="12">
        <f t="shared" si="210"/>
        <v>35.85</v>
      </c>
      <c r="CH117" s="12">
        <f t="shared" si="210"/>
        <v>15.4</v>
      </c>
      <c r="CI117" s="12">
        <f t="shared" si="210"/>
        <v>8.1</v>
      </c>
      <c r="CJ117" s="12">
        <f t="shared" si="210"/>
        <v>6.7</v>
      </c>
      <c r="CK117" s="12">
        <f t="shared" si="210"/>
        <v>14.33</v>
      </c>
      <c r="CL117" s="12">
        <f t="shared" si="210"/>
        <v>9.6</v>
      </c>
      <c r="CM117" s="12">
        <f t="shared" si="210"/>
        <v>68.8</v>
      </c>
      <c r="CN117" s="12">
        <f t="shared" si="210"/>
        <v>21.95</v>
      </c>
      <c r="CO117" s="12">
        <f t="shared" si="210"/>
        <v>60.920770877944321</v>
      </c>
    </row>
    <row r="118" spans="1:93" x14ac:dyDescent="0.3">
      <c r="A118" s="6" t="s">
        <v>55</v>
      </c>
      <c r="B118" s="3">
        <v>4</v>
      </c>
      <c r="C118" s="13" t="s">
        <v>9</v>
      </c>
      <c r="D118" s="14">
        <v>59</v>
      </c>
      <c r="E118" s="38">
        <f>G119</f>
        <v>29.629629629629626</v>
      </c>
      <c r="F118" s="39">
        <v>6</v>
      </c>
      <c r="G118" s="38">
        <f t="shared" si="177"/>
        <v>26.086956521739129</v>
      </c>
      <c r="H118" s="39">
        <v>23</v>
      </c>
      <c r="I118" s="40">
        <f t="shared" si="178"/>
        <v>2</v>
      </c>
      <c r="J118" s="39">
        <v>12</v>
      </c>
      <c r="K118" s="39">
        <v>15</v>
      </c>
      <c r="L118" s="39">
        <v>1</v>
      </c>
      <c r="M118" s="39">
        <f>Q119</f>
        <v>42</v>
      </c>
      <c r="N118" s="39">
        <v>19</v>
      </c>
      <c r="O118" s="41">
        <f t="shared" si="179"/>
        <v>0.29813664596273293</v>
      </c>
      <c r="P118" s="39">
        <v>3</v>
      </c>
      <c r="Q118" s="39">
        <v>33.299999999999997</v>
      </c>
      <c r="R118" s="39">
        <v>18</v>
      </c>
      <c r="S118" s="38">
        <f t="shared" si="180"/>
        <v>58.333333333333336</v>
      </c>
      <c r="T118" s="39">
        <v>12</v>
      </c>
      <c r="U118" s="39">
        <v>7</v>
      </c>
      <c r="V118" s="39">
        <f>X119</f>
        <v>62</v>
      </c>
      <c r="W118" s="39">
        <v>17</v>
      </c>
      <c r="X118" s="39">
        <v>55</v>
      </c>
      <c r="Y118" s="39">
        <f>Z118-Z119</f>
        <v>-4</v>
      </c>
      <c r="Z118" s="39">
        <f t="shared" si="181"/>
        <v>36</v>
      </c>
      <c r="AA118" s="39">
        <f t="shared" si="182"/>
        <v>-7</v>
      </c>
      <c r="AB118" s="39">
        <v>7</v>
      </c>
      <c r="AC118" s="39">
        <f t="shared" si="183"/>
        <v>6</v>
      </c>
      <c r="AD118" s="39">
        <f>AE119</f>
        <v>12</v>
      </c>
      <c r="AE118" s="39">
        <v>6</v>
      </c>
      <c r="AF118" s="46">
        <f t="shared" si="127"/>
        <v>57.763063063063072</v>
      </c>
      <c r="AG118" s="51">
        <f t="shared" ref="AG118" si="216">AVERAGE(AF118,AF119)</f>
        <v>57.681531531531533</v>
      </c>
      <c r="AH118" s="12">
        <f t="shared" si="205"/>
        <v>29.3</v>
      </c>
      <c r="AI118" s="12">
        <f t="shared" si="205"/>
        <v>8</v>
      </c>
      <c r="AJ118" s="12">
        <f t="shared" si="205"/>
        <v>33.799999999999997</v>
      </c>
      <c r="AK118" s="12">
        <f t="shared" si="205"/>
        <v>23.4</v>
      </c>
      <c r="AL118" s="12">
        <f t="shared" si="205"/>
        <v>1.55</v>
      </c>
      <c r="AM118" s="12">
        <f t="shared" si="205"/>
        <v>17.7</v>
      </c>
      <c r="AN118" s="12">
        <f t="shared" si="205"/>
        <v>22.86</v>
      </c>
      <c r="AO118" s="12">
        <f t="shared" si="205"/>
        <v>3.8</v>
      </c>
      <c r="AP118" s="12">
        <f t="shared" si="205"/>
        <v>38.9</v>
      </c>
      <c r="AQ118" s="12">
        <f t="shared" si="205"/>
        <v>26.34</v>
      </c>
      <c r="AR118" s="12">
        <f t="shared" si="206"/>
        <v>0.502</v>
      </c>
      <c r="AS118" s="12">
        <f t="shared" si="206"/>
        <v>6.24</v>
      </c>
      <c r="AT118" s="12">
        <f t="shared" si="206"/>
        <v>43.9</v>
      </c>
      <c r="AU118" s="12">
        <f t="shared" si="206"/>
        <v>16.5</v>
      </c>
      <c r="AV118" s="12">
        <f t="shared" si="206"/>
        <v>71.099999999999994</v>
      </c>
      <c r="AW118" s="12">
        <f t="shared" si="206"/>
        <v>18.5</v>
      </c>
      <c r="AX118" s="12">
        <f t="shared" si="206"/>
        <v>13</v>
      </c>
      <c r="AY118" s="12">
        <f t="shared" si="206"/>
        <v>59.2</v>
      </c>
      <c r="AZ118" s="12">
        <f t="shared" si="206"/>
        <v>13.08</v>
      </c>
      <c r="BA118" s="12">
        <f t="shared" si="206"/>
        <v>72.900000000000006</v>
      </c>
      <c r="BB118" s="12">
        <f t="shared" si="207"/>
        <v>7.8</v>
      </c>
      <c r="BC118" s="12">
        <f t="shared" si="207"/>
        <v>39.56</v>
      </c>
      <c r="BD118" s="12">
        <f t="shared" si="207"/>
        <v>14.8</v>
      </c>
      <c r="BE118" s="12">
        <f t="shared" si="207"/>
        <v>7.9</v>
      </c>
      <c r="BF118" s="12">
        <f t="shared" si="207"/>
        <v>1.9</v>
      </c>
      <c r="BG118" s="12">
        <f t="shared" si="207"/>
        <v>13.42</v>
      </c>
      <c r="BH118" s="12">
        <f t="shared" si="207"/>
        <v>11.1</v>
      </c>
      <c r="BI118" s="12">
        <f t="shared" si="207"/>
        <v>67.7</v>
      </c>
      <c r="BJ118" s="12">
        <f t="shared" si="207"/>
        <v>17.950000000000003</v>
      </c>
      <c r="BK118" s="12">
        <f t="shared" si="207"/>
        <v>59.111617312072909</v>
      </c>
      <c r="BL118" s="12">
        <f t="shared" si="208"/>
        <v>32</v>
      </c>
      <c r="BM118" s="12">
        <f t="shared" si="208"/>
        <v>10</v>
      </c>
      <c r="BN118" s="12">
        <f t="shared" si="208"/>
        <v>36.5</v>
      </c>
      <c r="BO118" s="12">
        <f t="shared" si="208"/>
        <v>26.1</v>
      </c>
      <c r="BP118" s="12">
        <f t="shared" si="208"/>
        <v>1.36</v>
      </c>
      <c r="BQ118" s="12">
        <f t="shared" si="208"/>
        <v>15</v>
      </c>
      <c r="BR118" s="12">
        <f t="shared" si="208"/>
        <v>33.71</v>
      </c>
      <c r="BS118" s="12">
        <f t="shared" si="208"/>
        <v>2.5</v>
      </c>
      <c r="BT118" s="12">
        <f t="shared" si="208"/>
        <v>40.200000000000003</v>
      </c>
      <c r="BU118" s="12">
        <f t="shared" si="208"/>
        <v>28.23</v>
      </c>
      <c r="BV118" s="12">
        <f t="shared" si="209"/>
        <v>0.55000000000000004</v>
      </c>
      <c r="BW118" s="12">
        <f t="shared" si="209"/>
        <v>11.86</v>
      </c>
      <c r="BX118" s="12">
        <f t="shared" si="209"/>
        <v>47.4</v>
      </c>
      <c r="BY118" s="12">
        <f t="shared" si="209"/>
        <v>15.6</v>
      </c>
      <c r="BZ118" s="12">
        <f t="shared" si="209"/>
        <v>72</v>
      </c>
      <c r="CA118" s="12">
        <f t="shared" si="209"/>
        <v>18.3</v>
      </c>
      <c r="CB118" s="12">
        <f t="shared" si="209"/>
        <v>12.9</v>
      </c>
      <c r="CC118" s="12">
        <f t="shared" si="209"/>
        <v>66.7</v>
      </c>
      <c r="CD118" s="12">
        <f t="shared" si="209"/>
        <v>11.23</v>
      </c>
      <c r="CE118" s="12">
        <f t="shared" si="209"/>
        <v>80.400000000000006</v>
      </c>
      <c r="CF118" s="12">
        <f t="shared" si="210"/>
        <v>6.5</v>
      </c>
      <c r="CG118" s="12">
        <f t="shared" si="210"/>
        <v>39.94</v>
      </c>
      <c r="CH118" s="12">
        <f t="shared" si="210"/>
        <v>13.6</v>
      </c>
      <c r="CI118" s="12">
        <f t="shared" si="210"/>
        <v>6.3</v>
      </c>
      <c r="CJ118" s="12">
        <f t="shared" si="210"/>
        <v>0.3</v>
      </c>
      <c r="CK118" s="12">
        <f t="shared" si="210"/>
        <v>11.29</v>
      </c>
      <c r="CL118" s="12">
        <f t="shared" si="210"/>
        <v>10.9</v>
      </c>
      <c r="CM118" s="12">
        <f t="shared" si="210"/>
        <v>70.099999999999994</v>
      </c>
      <c r="CN118" s="12">
        <f t="shared" si="210"/>
        <v>18.75</v>
      </c>
      <c r="CO118" s="12">
        <f t="shared" si="210"/>
        <v>60.654008438818565</v>
      </c>
    </row>
    <row r="119" spans="1:93" x14ac:dyDescent="0.3">
      <c r="A119" s="6" t="s">
        <v>9</v>
      </c>
      <c r="B119" s="3">
        <v>9</v>
      </c>
      <c r="C119" s="13" t="s">
        <v>55</v>
      </c>
      <c r="D119" s="14">
        <v>59</v>
      </c>
      <c r="E119" s="38">
        <f>G118</f>
        <v>26.086956521739129</v>
      </c>
      <c r="F119" s="39">
        <v>8</v>
      </c>
      <c r="G119" s="38">
        <f t="shared" si="177"/>
        <v>29.629629629629626</v>
      </c>
      <c r="H119" s="39">
        <v>27</v>
      </c>
      <c r="I119" s="40">
        <f t="shared" si="178"/>
        <v>1</v>
      </c>
      <c r="J119" s="39">
        <v>12</v>
      </c>
      <c r="K119" s="39">
        <v>17</v>
      </c>
      <c r="L119" s="39">
        <v>2</v>
      </c>
      <c r="M119" s="39">
        <f>Q118</f>
        <v>33.299999999999997</v>
      </c>
      <c r="N119" s="39">
        <v>28</v>
      </c>
      <c r="O119" s="41">
        <f t="shared" si="179"/>
        <v>0.35273368606701938</v>
      </c>
      <c r="P119" s="39">
        <v>6</v>
      </c>
      <c r="Q119" s="39">
        <v>42</v>
      </c>
      <c r="R119" s="39">
        <v>14</v>
      </c>
      <c r="S119" s="38">
        <f t="shared" si="180"/>
        <v>75</v>
      </c>
      <c r="T119" s="39">
        <v>16</v>
      </c>
      <c r="U119" s="39">
        <v>12</v>
      </c>
      <c r="V119" s="39">
        <f>X118</f>
        <v>55</v>
      </c>
      <c r="W119" s="39">
        <v>12</v>
      </c>
      <c r="X119" s="39">
        <v>62</v>
      </c>
      <c r="Y119" s="39">
        <f>Z119-Z118</f>
        <v>4</v>
      </c>
      <c r="Z119" s="39">
        <f t="shared" si="181"/>
        <v>40</v>
      </c>
      <c r="AA119" s="39">
        <f t="shared" si="182"/>
        <v>7</v>
      </c>
      <c r="AB119" s="39">
        <v>1</v>
      </c>
      <c r="AC119" s="39">
        <f t="shared" si="183"/>
        <v>-6</v>
      </c>
      <c r="AD119" s="39">
        <f>AE118</f>
        <v>6</v>
      </c>
      <c r="AE119" s="39">
        <v>12</v>
      </c>
      <c r="AF119" s="46">
        <f t="shared" si="127"/>
        <v>57.6</v>
      </c>
      <c r="AG119" s="51">
        <f t="shared" ref="AG119" si="217">AVERAGE(AF118,AF119)</f>
        <v>57.681531531531533</v>
      </c>
      <c r="AH119" s="12">
        <f t="shared" si="205"/>
        <v>32</v>
      </c>
      <c r="AI119" s="12">
        <f t="shared" si="205"/>
        <v>10</v>
      </c>
      <c r="AJ119" s="12">
        <f t="shared" si="205"/>
        <v>36.5</v>
      </c>
      <c r="AK119" s="12">
        <f t="shared" si="205"/>
        <v>26.1</v>
      </c>
      <c r="AL119" s="12">
        <f t="shared" si="205"/>
        <v>1.36</v>
      </c>
      <c r="AM119" s="12">
        <f t="shared" si="205"/>
        <v>15</v>
      </c>
      <c r="AN119" s="12">
        <f t="shared" si="205"/>
        <v>33.71</v>
      </c>
      <c r="AO119" s="12">
        <f t="shared" si="205"/>
        <v>2.5</v>
      </c>
      <c r="AP119" s="12">
        <f t="shared" si="205"/>
        <v>40.200000000000003</v>
      </c>
      <c r="AQ119" s="12">
        <f t="shared" si="205"/>
        <v>28.23</v>
      </c>
      <c r="AR119" s="12">
        <f t="shared" si="206"/>
        <v>0.55000000000000004</v>
      </c>
      <c r="AS119" s="12">
        <f t="shared" si="206"/>
        <v>11.86</v>
      </c>
      <c r="AT119" s="12">
        <f t="shared" si="206"/>
        <v>47.4</v>
      </c>
      <c r="AU119" s="12">
        <f t="shared" si="206"/>
        <v>15.6</v>
      </c>
      <c r="AV119" s="12">
        <f t="shared" si="206"/>
        <v>72</v>
      </c>
      <c r="AW119" s="12">
        <f t="shared" si="206"/>
        <v>18.3</v>
      </c>
      <c r="AX119" s="12">
        <f t="shared" si="206"/>
        <v>12.9</v>
      </c>
      <c r="AY119" s="12">
        <f t="shared" si="206"/>
        <v>66.7</v>
      </c>
      <c r="AZ119" s="12">
        <f t="shared" si="206"/>
        <v>11.23</v>
      </c>
      <c r="BA119" s="12">
        <f t="shared" si="206"/>
        <v>80.400000000000006</v>
      </c>
      <c r="BB119" s="12">
        <f t="shared" si="207"/>
        <v>6.5</v>
      </c>
      <c r="BC119" s="12">
        <f t="shared" si="207"/>
        <v>39.94</v>
      </c>
      <c r="BD119" s="12">
        <f t="shared" si="207"/>
        <v>13.6</v>
      </c>
      <c r="BE119" s="12">
        <f t="shared" si="207"/>
        <v>6.3</v>
      </c>
      <c r="BF119" s="12">
        <f t="shared" si="207"/>
        <v>0.3</v>
      </c>
      <c r="BG119" s="12">
        <f t="shared" si="207"/>
        <v>11.29</v>
      </c>
      <c r="BH119" s="12">
        <f t="shared" si="207"/>
        <v>10.9</v>
      </c>
      <c r="BI119" s="12">
        <f t="shared" si="207"/>
        <v>70.099999999999994</v>
      </c>
      <c r="BJ119" s="12">
        <f t="shared" si="207"/>
        <v>18.75</v>
      </c>
      <c r="BK119" s="12">
        <f t="shared" si="207"/>
        <v>60.654008438818565</v>
      </c>
      <c r="BL119" s="12">
        <f t="shared" si="208"/>
        <v>29.3</v>
      </c>
      <c r="BM119" s="12">
        <f t="shared" si="208"/>
        <v>8</v>
      </c>
      <c r="BN119" s="12">
        <f t="shared" si="208"/>
        <v>33.799999999999997</v>
      </c>
      <c r="BO119" s="12">
        <f t="shared" si="208"/>
        <v>23.4</v>
      </c>
      <c r="BP119" s="12">
        <f t="shared" si="208"/>
        <v>1.55</v>
      </c>
      <c r="BQ119" s="12">
        <f t="shared" si="208"/>
        <v>17.7</v>
      </c>
      <c r="BR119" s="12">
        <f t="shared" si="208"/>
        <v>22.86</v>
      </c>
      <c r="BS119" s="12">
        <f t="shared" si="208"/>
        <v>3.8</v>
      </c>
      <c r="BT119" s="12">
        <f t="shared" si="208"/>
        <v>38.9</v>
      </c>
      <c r="BU119" s="12">
        <f t="shared" si="208"/>
        <v>26.34</v>
      </c>
      <c r="BV119" s="12">
        <f t="shared" si="209"/>
        <v>0.502</v>
      </c>
      <c r="BW119" s="12">
        <f t="shared" si="209"/>
        <v>6.24</v>
      </c>
      <c r="BX119" s="12">
        <f t="shared" si="209"/>
        <v>43.9</v>
      </c>
      <c r="BY119" s="12">
        <f t="shared" si="209"/>
        <v>16.5</v>
      </c>
      <c r="BZ119" s="12">
        <f t="shared" si="209"/>
        <v>71.099999999999994</v>
      </c>
      <c r="CA119" s="12">
        <f t="shared" si="209"/>
        <v>18.5</v>
      </c>
      <c r="CB119" s="12">
        <f t="shared" si="209"/>
        <v>13</v>
      </c>
      <c r="CC119" s="12">
        <f t="shared" si="209"/>
        <v>59.2</v>
      </c>
      <c r="CD119" s="12">
        <f t="shared" si="209"/>
        <v>13.08</v>
      </c>
      <c r="CE119" s="12">
        <f t="shared" si="209"/>
        <v>72.900000000000006</v>
      </c>
      <c r="CF119" s="12">
        <f t="shared" si="210"/>
        <v>7.8</v>
      </c>
      <c r="CG119" s="12">
        <f t="shared" si="210"/>
        <v>39.56</v>
      </c>
      <c r="CH119" s="12">
        <f t="shared" si="210"/>
        <v>14.8</v>
      </c>
      <c r="CI119" s="12">
        <f t="shared" si="210"/>
        <v>7.9</v>
      </c>
      <c r="CJ119" s="12">
        <f t="shared" si="210"/>
        <v>1.9</v>
      </c>
      <c r="CK119" s="12">
        <f t="shared" si="210"/>
        <v>13.42</v>
      </c>
      <c r="CL119" s="12">
        <f t="shared" si="210"/>
        <v>11.1</v>
      </c>
      <c r="CM119" s="12">
        <f t="shared" si="210"/>
        <v>67.7</v>
      </c>
      <c r="CN119" s="12">
        <f t="shared" si="210"/>
        <v>17.950000000000003</v>
      </c>
      <c r="CO119" s="12">
        <f t="shared" si="210"/>
        <v>59.111617312072909</v>
      </c>
    </row>
    <row r="120" spans="1:93" x14ac:dyDescent="0.3">
      <c r="A120" s="6" t="s">
        <v>320</v>
      </c>
      <c r="B120" s="3">
        <v>3</v>
      </c>
      <c r="C120" s="13" t="s">
        <v>34</v>
      </c>
      <c r="D120" s="14">
        <v>60</v>
      </c>
      <c r="E120" s="38">
        <f>G121</f>
        <v>52</v>
      </c>
      <c r="F120" s="39">
        <v>11</v>
      </c>
      <c r="G120" s="38">
        <f t="shared" si="177"/>
        <v>45.833333333333329</v>
      </c>
      <c r="H120" s="39">
        <v>24</v>
      </c>
      <c r="I120" s="40">
        <f t="shared" si="178"/>
        <v>5.2</v>
      </c>
      <c r="J120" s="39">
        <v>26</v>
      </c>
      <c r="K120" s="39">
        <v>26</v>
      </c>
      <c r="L120" s="39">
        <v>3</v>
      </c>
      <c r="M120" s="39">
        <f>Q121</f>
        <v>49.2</v>
      </c>
      <c r="N120" s="39">
        <v>23</v>
      </c>
      <c r="O120" s="41">
        <f t="shared" si="179"/>
        <v>0.52467105263157887</v>
      </c>
      <c r="P120" s="39">
        <v>8</v>
      </c>
      <c r="Q120" s="39">
        <v>55.9</v>
      </c>
      <c r="R120" s="39">
        <v>24</v>
      </c>
      <c r="S120" s="38">
        <f t="shared" si="180"/>
        <v>68.75</v>
      </c>
      <c r="T120" s="39">
        <v>16</v>
      </c>
      <c r="U120" s="39">
        <v>11</v>
      </c>
      <c r="V120" s="39">
        <f>X121</f>
        <v>93</v>
      </c>
      <c r="W120" s="39">
        <v>8</v>
      </c>
      <c r="X120" s="39">
        <v>98</v>
      </c>
      <c r="Y120" s="39">
        <f>Z120-Z121</f>
        <v>-6</v>
      </c>
      <c r="Z120" s="39">
        <f t="shared" si="181"/>
        <v>31</v>
      </c>
      <c r="AA120" s="39">
        <f t="shared" si="182"/>
        <v>5</v>
      </c>
      <c r="AB120" s="39">
        <v>10</v>
      </c>
      <c r="AC120" s="39">
        <f t="shared" si="183"/>
        <v>8</v>
      </c>
      <c r="AD120" s="39">
        <f>AE121</f>
        <v>13</v>
      </c>
      <c r="AE120" s="39">
        <v>5</v>
      </c>
      <c r="AF120" s="46">
        <f t="shared" si="127"/>
        <v>72.578533094812158</v>
      </c>
      <c r="AG120" s="51">
        <f t="shared" ref="AG120" si="218">AVERAGE(AF120,AF121)</f>
        <v>73.018331588056483</v>
      </c>
      <c r="AH120" s="12">
        <f t="shared" si="205"/>
        <v>31</v>
      </c>
      <c r="AI120" s="12">
        <f t="shared" si="205"/>
        <v>7.2</v>
      </c>
      <c r="AJ120" s="12">
        <f t="shared" si="205"/>
        <v>34.4</v>
      </c>
      <c r="AK120" s="12">
        <f t="shared" si="205"/>
        <v>22.1</v>
      </c>
      <c r="AL120" s="12">
        <f t="shared" si="205"/>
        <v>1.36</v>
      </c>
      <c r="AM120" s="12">
        <f t="shared" si="205"/>
        <v>18</v>
      </c>
      <c r="AN120" s="12">
        <f t="shared" si="205"/>
        <v>17.079999999999998</v>
      </c>
      <c r="AO120" s="12">
        <f t="shared" si="205"/>
        <v>2.9</v>
      </c>
      <c r="AP120" s="12">
        <f t="shared" si="205"/>
        <v>42.6</v>
      </c>
      <c r="AQ120" s="12">
        <f t="shared" si="205"/>
        <v>25.17</v>
      </c>
      <c r="AR120" s="12">
        <f t="shared" si="206"/>
        <v>0.53100000000000003</v>
      </c>
      <c r="AS120" s="12">
        <f t="shared" si="206"/>
        <v>11.47</v>
      </c>
      <c r="AT120" s="12">
        <f t="shared" si="206"/>
        <v>46.8</v>
      </c>
      <c r="AU120" s="12">
        <f t="shared" si="206"/>
        <v>17.399999999999999</v>
      </c>
      <c r="AV120" s="12">
        <f t="shared" si="206"/>
        <v>75.099999999999994</v>
      </c>
      <c r="AW120" s="12">
        <f t="shared" si="206"/>
        <v>21.9</v>
      </c>
      <c r="AX120" s="12">
        <f t="shared" si="206"/>
        <v>16.8</v>
      </c>
      <c r="AY120" s="12">
        <f t="shared" si="206"/>
        <v>71.3</v>
      </c>
      <c r="AZ120" s="12">
        <f t="shared" si="206"/>
        <v>10.09</v>
      </c>
      <c r="BA120" s="12">
        <f t="shared" si="206"/>
        <v>78.8</v>
      </c>
      <c r="BB120" s="12">
        <f t="shared" si="207"/>
        <v>1.2</v>
      </c>
      <c r="BC120" s="12">
        <f t="shared" si="207"/>
        <v>35.11</v>
      </c>
      <c r="BD120" s="12">
        <f t="shared" si="207"/>
        <v>6.5</v>
      </c>
      <c r="BE120" s="12">
        <f t="shared" si="207"/>
        <v>7.6</v>
      </c>
      <c r="BF120" s="12">
        <f t="shared" si="207"/>
        <v>0.5</v>
      </c>
      <c r="BG120" s="12">
        <f t="shared" si="207"/>
        <v>13.54</v>
      </c>
      <c r="BH120" s="12">
        <f t="shared" si="207"/>
        <v>13</v>
      </c>
      <c r="BI120" s="12">
        <f t="shared" si="207"/>
        <v>73.400000000000006</v>
      </c>
      <c r="BJ120" s="12">
        <f t="shared" si="207"/>
        <v>20.2</v>
      </c>
      <c r="BK120" s="12">
        <f t="shared" si="207"/>
        <v>58.547008547008552</v>
      </c>
      <c r="BL120" s="12">
        <f t="shared" si="208"/>
        <v>32.1</v>
      </c>
      <c r="BM120" s="12">
        <f t="shared" si="208"/>
        <v>7.6</v>
      </c>
      <c r="BN120" s="12">
        <f t="shared" si="208"/>
        <v>40.4</v>
      </c>
      <c r="BO120" s="12">
        <f t="shared" si="208"/>
        <v>18.8</v>
      </c>
      <c r="BP120" s="12">
        <f t="shared" si="208"/>
        <v>1.49</v>
      </c>
      <c r="BQ120" s="12">
        <f t="shared" si="208"/>
        <v>15.2</v>
      </c>
      <c r="BR120" s="12">
        <f t="shared" si="208"/>
        <v>14.22</v>
      </c>
      <c r="BS120" s="12">
        <f t="shared" si="208"/>
        <v>3.1</v>
      </c>
      <c r="BT120" s="12">
        <f t="shared" si="208"/>
        <v>42.3</v>
      </c>
      <c r="BU120" s="12">
        <f t="shared" si="208"/>
        <v>27.28</v>
      </c>
      <c r="BV120" s="12">
        <f t="shared" si="209"/>
        <v>0.52200000000000002</v>
      </c>
      <c r="BW120" s="12">
        <f t="shared" si="209"/>
        <v>9.0299999999999994</v>
      </c>
      <c r="BX120" s="12">
        <f t="shared" si="209"/>
        <v>45.5</v>
      </c>
      <c r="BY120" s="12">
        <f t="shared" si="209"/>
        <v>16.3</v>
      </c>
      <c r="BZ120" s="12">
        <f t="shared" si="209"/>
        <v>75.7</v>
      </c>
      <c r="CA120" s="12">
        <f t="shared" si="209"/>
        <v>14.8</v>
      </c>
      <c r="CB120" s="12">
        <f t="shared" si="209"/>
        <v>11.7</v>
      </c>
      <c r="CC120" s="12">
        <f t="shared" si="209"/>
        <v>69.599999999999994</v>
      </c>
      <c r="CD120" s="12">
        <f t="shared" si="209"/>
        <v>9.49</v>
      </c>
      <c r="CE120" s="12">
        <f t="shared" si="209"/>
        <v>73.5</v>
      </c>
      <c r="CF120" s="12">
        <f t="shared" si="210"/>
        <v>4.0999999999999996</v>
      </c>
      <c r="CG120" s="12">
        <f t="shared" si="210"/>
        <v>36.119999999999997</v>
      </c>
      <c r="CH120" s="12">
        <f t="shared" si="210"/>
        <v>0.8</v>
      </c>
      <c r="CI120" s="12">
        <f t="shared" si="210"/>
        <v>4.4000000000000004</v>
      </c>
      <c r="CJ120" s="12">
        <f t="shared" si="210"/>
        <v>-0.9</v>
      </c>
      <c r="CK120" s="12">
        <f t="shared" si="210"/>
        <v>9.44</v>
      </c>
      <c r="CL120" s="12">
        <f t="shared" si="210"/>
        <v>10</v>
      </c>
      <c r="CM120" s="12">
        <f t="shared" si="210"/>
        <v>67.900000000000006</v>
      </c>
      <c r="CN120" s="12">
        <f t="shared" si="210"/>
        <v>19.5</v>
      </c>
      <c r="CO120" s="12">
        <f t="shared" si="210"/>
        <v>59.560439560439562</v>
      </c>
    </row>
    <row r="121" spans="1:93" x14ac:dyDescent="0.3">
      <c r="A121" s="6" t="s">
        <v>34</v>
      </c>
      <c r="B121" s="3">
        <v>7</v>
      </c>
      <c r="C121" s="13" t="s">
        <v>320</v>
      </c>
      <c r="D121" s="14">
        <v>60</v>
      </c>
      <c r="E121" s="38">
        <f>G120</f>
        <v>45.833333333333329</v>
      </c>
      <c r="F121" s="39">
        <v>13</v>
      </c>
      <c r="G121" s="38">
        <f t="shared" si="177"/>
        <v>52</v>
      </c>
      <c r="H121" s="39">
        <v>25</v>
      </c>
      <c r="I121" s="40">
        <f t="shared" si="178"/>
        <v>1.3846153846153846</v>
      </c>
      <c r="J121" s="39">
        <v>18</v>
      </c>
      <c r="K121" s="39">
        <v>13</v>
      </c>
      <c r="L121" s="39">
        <v>6</v>
      </c>
      <c r="M121" s="39">
        <f>Q120</f>
        <v>55.9</v>
      </c>
      <c r="N121" s="39">
        <v>24</v>
      </c>
      <c r="O121" s="41">
        <f t="shared" si="179"/>
        <v>0.62903225806451613</v>
      </c>
      <c r="P121" s="39">
        <v>2</v>
      </c>
      <c r="Q121" s="39">
        <v>49.2</v>
      </c>
      <c r="R121" s="39">
        <v>16</v>
      </c>
      <c r="S121" s="38">
        <f t="shared" si="180"/>
        <v>81.818181818181827</v>
      </c>
      <c r="T121" s="39">
        <v>22</v>
      </c>
      <c r="U121" s="39">
        <v>18</v>
      </c>
      <c r="V121" s="39">
        <f>X120</f>
        <v>98</v>
      </c>
      <c r="W121" s="39">
        <v>13</v>
      </c>
      <c r="X121" s="39">
        <v>93</v>
      </c>
      <c r="Y121" s="39">
        <f>Z121-Z120</f>
        <v>6</v>
      </c>
      <c r="Z121" s="39">
        <f t="shared" si="181"/>
        <v>37</v>
      </c>
      <c r="AA121" s="39">
        <f t="shared" si="182"/>
        <v>-5</v>
      </c>
      <c r="AB121" s="39">
        <v>2</v>
      </c>
      <c r="AC121" s="39">
        <f t="shared" si="183"/>
        <v>-8</v>
      </c>
      <c r="AD121" s="39">
        <f>AE120</f>
        <v>5</v>
      </c>
      <c r="AE121" s="39">
        <v>13</v>
      </c>
      <c r="AF121" s="46">
        <f t="shared" si="127"/>
        <v>73.458130081300808</v>
      </c>
      <c r="AG121" s="51">
        <f t="shared" ref="AG121" si="219">AVERAGE(AF120,AF121)</f>
        <v>73.018331588056483</v>
      </c>
      <c r="AH121" s="12">
        <f t="shared" si="205"/>
        <v>32.1</v>
      </c>
      <c r="AI121" s="12">
        <f t="shared" si="205"/>
        <v>7.6</v>
      </c>
      <c r="AJ121" s="12">
        <f t="shared" si="205"/>
        <v>40.4</v>
      </c>
      <c r="AK121" s="12">
        <f t="shared" si="205"/>
        <v>18.8</v>
      </c>
      <c r="AL121" s="12">
        <f t="shared" si="205"/>
        <v>1.49</v>
      </c>
      <c r="AM121" s="12">
        <f t="shared" si="205"/>
        <v>15.2</v>
      </c>
      <c r="AN121" s="12">
        <f t="shared" si="205"/>
        <v>14.22</v>
      </c>
      <c r="AO121" s="12">
        <f t="shared" si="205"/>
        <v>3.1</v>
      </c>
      <c r="AP121" s="12">
        <f t="shared" si="205"/>
        <v>42.3</v>
      </c>
      <c r="AQ121" s="12">
        <f t="shared" si="205"/>
        <v>27.28</v>
      </c>
      <c r="AR121" s="12">
        <f t="shared" si="206"/>
        <v>0.52200000000000002</v>
      </c>
      <c r="AS121" s="12">
        <f t="shared" si="206"/>
        <v>9.0299999999999994</v>
      </c>
      <c r="AT121" s="12">
        <f t="shared" si="206"/>
        <v>45.5</v>
      </c>
      <c r="AU121" s="12">
        <f t="shared" si="206"/>
        <v>16.3</v>
      </c>
      <c r="AV121" s="12">
        <f t="shared" si="206"/>
        <v>75.7</v>
      </c>
      <c r="AW121" s="12">
        <f t="shared" si="206"/>
        <v>14.8</v>
      </c>
      <c r="AX121" s="12">
        <f t="shared" si="206"/>
        <v>11.7</v>
      </c>
      <c r="AY121" s="12">
        <f t="shared" si="206"/>
        <v>69.599999999999994</v>
      </c>
      <c r="AZ121" s="12">
        <f t="shared" si="206"/>
        <v>9.49</v>
      </c>
      <c r="BA121" s="12">
        <f t="shared" si="206"/>
        <v>73.5</v>
      </c>
      <c r="BB121" s="12">
        <f t="shared" si="207"/>
        <v>4.0999999999999996</v>
      </c>
      <c r="BC121" s="12">
        <f t="shared" si="207"/>
        <v>36.119999999999997</v>
      </c>
      <c r="BD121" s="12">
        <f t="shared" si="207"/>
        <v>0.8</v>
      </c>
      <c r="BE121" s="12">
        <f t="shared" si="207"/>
        <v>4.4000000000000004</v>
      </c>
      <c r="BF121" s="12">
        <f t="shared" si="207"/>
        <v>-0.9</v>
      </c>
      <c r="BG121" s="12">
        <f t="shared" si="207"/>
        <v>9.44</v>
      </c>
      <c r="BH121" s="12">
        <f t="shared" si="207"/>
        <v>10</v>
      </c>
      <c r="BI121" s="12">
        <f t="shared" si="207"/>
        <v>67.900000000000006</v>
      </c>
      <c r="BJ121" s="12">
        <f t="shared" si="207"/>
        <v>19.5</v>
      </c>
      <c r="BK121" s="12">
        <f t="shared" si="207"/>
        <v>59.560439560439562</v>
      </c>
      <c r="BL121" s="12">
        <f t="shared" si="208"/>
        <v>31</v>
      </c>
      <c r="BM121" s="12">
        <f t="shared" si="208"/>
        <v>7.2</v>
      </c>
      <c r="BN121" s="12">
        <f t="shared" si="208"/>
        <v>34.4</v>
      </c>
      <c r="BO121" s="12">
        <f t="shared" si="208"/>
        <v>22.1</v>
      </c>
      <c r="BP121" s="12">
        <f t="shared" si="208"/>
        <v>1.36</v>
      </c>
      <c r="BQ121" s="12">
        <f t="shared" si="208"/>
        <v>18</v>
      </c>
      <c r="BR121" s="12">
        <f t="shared" si="208"/>
        <v>17.079999999999998</v>
      </c>
      <c r="BS121" s="12">
        <f t="shared" si="208"/>
        <v>2.9</v>
      </c>
      <c r="BT121" s="12">
        <f t="shared" si="208"/>
        <v>42.6</v>
      </c>
      <c r="BU121" s="12">
        <f t="shared" si="208"/>
        <v>25.17</v>
      </c>
      <c r="BV121" s="12">
        <f t="shared" si="209"/>
        <v>0.53100000000000003</v>
      </c>
      <c r="BW121" s="12">
        <f t="shared" si="209"/>
        <v>11.47</v>
      </c>
      <c r="BX121" s="12">
        <f t="shared" si="209"/>
        <v>46.8</v>
      </c>
      <c r="BY121" s="12">
        <f t="shared" si="209"/>
        <v>17.399999999999999</v>
      </c>
      <c r="BZ121" s="12">
        <f t="shared" si="209"/>
        <v>75.099999999999994</v>
      </c>
      <c r="CA121" s="12">
        <f t="shared" si="209"/>
        <v>21.9</v>
      </c>
      <c r="CB121" s="12">
        <f t="shared" si="209"/>
        <v>16.8</v>
      </c>
      <c r="CC121" s="12">
        <f t="shared" si="209"/>
        <v>71.3</v>
      </c>
      <c r="CD121" s="12">
        <f t="shared" si="209"/>
        <v>10.09</v>
      </c>
      <c r="CE121" s="12">
        <f t="shared" si="209"/>
        <v>78.8</v>
      </c>
      <c r="CF121" s="12">
        <f t="shared" si="210"/>
        <v>1.2</v>
      </c>
      <c r="CG121" s="12">
        <f t="shared" si="210"/>
        <v>35.11</v>
      </c>
      <c r="CH121" s="12">
        <f t="shared" si="210"/>
        <v>6.5</v>
      </c>
      <c r="CI121" s="12">
        <f t="shared" si="210"/>
        <v>7.6</v>
      </c>
      <c r="CJ121" s="12">
        <f t="shared" si="210"/>
        <v>0.5</v>
      </c>
      <c r="CK121" s="12">
        <f t="shared" si="210"/>
        <v>13.54</v>
      </c>
      <c r="CL121" s="12">
        <f t="shared" si="210"/>
        <v>13</v>
      </c>
      <c r="CM121" s="12">
        <f t="shared" si="210"/>
        <v>73.400000000000006</v>
      </c>
      <c r="CN121" s="12">
        <f t="shared" si="210"/>
        <v>20.2</v>
      </c>
      <c r="CO121" s="12">
        <f t="shared" si="210"/>
        <v>58.547008547008552</v>
      </c>
    </row>
    <row r="122" spans="1:93" x14ac:dyDescent="0.3">
      <c r="A122" s="6" t="s">
        <v>6</v>
      </c>
      <c r="B122" s="3">
        <v>5</v>
      </c>
      <c r="C122" s="13" t="s">
        <v>56</v>
      </c>
      <c r="D122" s="14">
        <v>61</v>
      </c>
      <c r="E122" s="38">
        <f>G123</f>
        <v>11.76470588235294</v>
      </c>
      <c r="F122" s="39">
        <v>3</v>
      </c>
      <c r="G122" s="38">
        <f t="shared" si="177"/>
        <v>23.076923076923077</v>
      </c>
      <c r="H122" s="39">
        <v>13</v>
      </c>
      <c r="I122" s="40">
        <f t="shared" si="178"/>
        <v>0.8571428571428571</v>
      </c>
      <c r="J122" s="39">
        <v>6</v>
      </c>
      <c r="K122" s="39">
        <v>12</v>
      </c>
      <c r="L122" s="39">
        <v>3</v>
      </c>
      <c r="M122" s="39">
        <f>Q123</f>
        <v>40</v>
      </c>
      <c r="N122" s="39">
        <v>24</v>
      </c>
      <c r="O122" s="41">
        <f t="shared" si="179"/>
        <v>0.2446153846153846</v>
      </c>
      <c r="P122" s="39">
        <v>2</v>
      </c>
      <c r="Q122" s="39">
        <v>37.9</v>
      </c>
      <c r="R122" s="39">
        <v>11</v>
      </c>
      <c r="S122" s="38">
        <f t="shared" si="180"/>
        <v>66.666666666666657</v>
      </c>
      <c r="T122" s="39">
        <v>6</v>
      </c>
      <c r="U122" s="39">
        <v>4</v>
      </c>
      <c r="V122" s="39">
        <f>X123</f>
        <v>56</v>
      </c>
      <c r="W122" s="39">
        <v>13</v>
      </c>
      <c r="X122" s="39">
        <v>57</v>
      </c>
      <c r="Y122" s="39">
        <f>Z122-Z123</f>
        <v>0</v>
      </c>
      <c r="Z122" s="39">
        <f t="shared" si="181"/>
        <v>37</v>
      </c>
      <c r="AA122" s="39">
        <f t="shared" si="182"/>
        <v>1</v>
      </c>
      <c r="AB122" s="39">
        <v>1</v>
      </c>
      <c r="AC122" s="39">
        <f t="shared" si="183"/>
        <v>3</v>
      </c>
      <c r="AD122" s="39">
        <f>AE123</f>
        <v>10</v>
      </c>
      <c r="AE122" s="39">
        <v>7</v>
      </c>
      <c r="AF122" s="46">
        <f t="shared" si="127"/>
        <v>62.813060686015824</v>
      </c>
      <c r="AG122" s="51">
        <f t="shared" ref="AG122" si="220">AVERAGE(AF122,AF123)</f>
        <v>62.019030343007913</v>
      </c>
      <c r="AH122" s="12">
        <f t="shared" ref="AH122:AQ135" si="221">INDEX(ovrTable2,MATCH(INDEX(teamCol2,ROW()),ovrTeamCol2,0),MATCH(MID(INDEX(headerRow2,1,COLUMN()),4,LEN(INDEX(headerRow2,1,COLUMN()))),ovrHeaderRow2,0))</f>
        <v>30</v>
      </c>
      <c r="AI122" s="12">
        <f t="shared" si="221"/>
        <v>7.1</v>
      </c>
      <c r="AJ122" s="12">
        <f t="shared" si="221"/>
        <v>35.200000000000003</v>
      </c>
      <c r="AK122" s="12">
        <f t="shared" si="221"/>
        <v>20.399999999999999</v>
      </c>
      <c r="AL122" s="12">
        <f t="shared" si="221"/>
        <v>1.26</v>
      </c>
      <c r="AM122" s="12">
        <f t="shared" si="221"/>
        <v>13.1</v>
      </c>
      <c r="AN122" s="12">
        <f t="shared" si="221"/>
        <v>30.06</v>
      </c>
      <c r="AO122" s="12">
        <f t="shared" si="221"/>
        <v>3.9</v>
      </c>
      <c r="AP122" s="12">
        <f t="shared" si="221"/>
        <v>41.4</v>
      </c>
      <c r="AQ122" s="12">
        <f t="shared" si="221"/>
        <v>25.67</v>
      </c>
      <c r="AR122" s="12">
        <f t="shared" ref="AR122:BA135" si="222">INDEX(ovrTable2,MATCH(INDEX(teamCol2,ROW()),ovrTeamCol2,0),MATCH(MID(INDEX(headerRow2,1,COLUMN()),4,LEN(INDEX(headerRow2,1,COLUMN()))),ovrHeaderRow2,0))</f>
        <v>0.501</v>
      </c>
      <c r="AS122" s="12">
        <f t="shared" si="222"/>
        <v>8</v>
      </c>
      <c r="AT122" s="12">
        <f t="shared" si="222"/>
        <v>44</v>
      </c>
      <c r="AU122" s="12">
        <f t="shared" si="222"/>
        <v>16.3</v>
      </c>
      <c r="AV122" s="12">
        <f t="shared" si="222"/>
        <v>72</v>
      </c>
      <c r="AW122" s="12">
        <f t="shared" si="222"/>
        <v>19.5</v>
      </c>
      <c r="AX122" s="12">
        <f t="shared" si="222"/>
        <v>14.6</v>
      </c>
      <c r="AY122" s="12">
        <f t="shared" si="222"/>
        <v>64.099999999999994</v>
      </c>
      <c r="AZ122" s="12">
        <f t="shared" si="222"/>
        <v>11.24</v>
      </c>
      <c r="BA122" s="12">
        <f t="shared" si="222"/>
        <v>73.599999999999994</v>
      </c>
      <c r="BB122" s="12">
        <f t="shared" ref="BB122:BK135" si="223">INDEX(ovrTable2,MATCH(INDEX(teamCol2,ROW()),ovrTeamCol2,0),MATCH(MID(INDEX(headerRow2,1,COLUMN()),4,LEN(INDEX(headerRow2,1,COLUMN()))),ovrHeaderRow2,0))</f>
        <v>4.7</v>
      </c>
      <c r="BC122" s="12">
        <f t="shared" si="223"/>
        <v>37.65</v>
      </c>
      <c r="BD122" s="12">
        <f t="shared" si="223"/>
        <v>8.6</v>
      </c>
      <c r="BE122" s="12">
        <f t="shared" si="223"/>
        <v>6.6</v>
      </c>
      <c r="BF122" s="12">
        <f t="shared" si="223"/>
        <v>0.6</v>
      </c>
      <c r="BG122" s="12">
        <f t="shared" si="223"/>
        <v>11.54</v>
      </c>
      <c r="BH122" s="12">
        <f t="shared" si="223"/>
        <v>10.6</v>
      </c>
      <c r="BI122" s="12">
        <f t="shared" si="223"/>
        <v>68.3</v>
      </c>
      <c r="BJ122" s="12">
        <f t="shared" si="223"/>
        <v>18.849999999999998</v>
      </c>
      <c r="BK122" s="12">
        <f t="shared" si="223"/>
        <v>58.97727272727272</v>
      </c>
      <c r="BL122" s="12">
        <f t="shared" ref="BL122:BU135" si="224">INDEX(ovrTable2,MATCH(INDEX(oppCol23,ROW()),ovrTeamCol2,0),MATCH(MID(INDEX(headerRow2,1,COLUMN()),4,LEN(INDEX(headerRow2,1,COLUMN()))),ovrHeaderRow2,0))</f>
        <v>33.5</v>
      </c>
      <c r="BM122" s="12">
        <f t="shared" si="224"/>
        <v>8.8000000000000007</v>
      </c>
      <c r="BN122" s="12">
        <f t="shared" si="224"/>
        <v>35.799999999999997</v>
      </c>
      <c r="BO122" s="12">
        <f t="shared" si="224"/>
        <v>24.5</v>
      </c>
      <c r="BP122" s="12">
        <f t="shared" si="224"/>
        <v>1.49</v>
      </c>
      <c r="BQ122" s="12">
        <f t="shared" si="224"/>
        <v>16</v>
      </c>
      <c r="BR122" s="12">
        <f t="shared" si="224"/>
        <v>10.76</v>
      </c>
      <c r="BS122" s="12">
        <f t="shared" si="224"/>
        <v>4.0999999999999996</v>
      </c>
      <c r="BT122" s="12">
        <f t="shared" si="224"/>
        <v>42.2</v>
      </c>
      <c r="BU122" s="12">
        <f t="shared" si="224"/>
        <v>28.86</v>
      </c>
      <c r="BV122" s="12">
        <f t="shared" ref="BV122:CE135" si="225">INDEX(ovrTable2,MATCH(INDEX(oppCol23,ROW()),ovrTeamCol2,0),MATCH(MID(INDEX(headerRow2,1,COLUMN()),4,LEN(INDEX(headerRow2,1,COLUMN()))),ovrHeaderRow2,0))</f>
        <v>0.54700000000000004</v>
      </c>
      <c r="BW122" s="12">
        <f t="shared" si="225"/>
        <v>8.7100000000000009</v>
      </c>
      <c r="BX122" s="12">
        <f t="shared" si="225"/>
        <v>47.6</v>
      </c>
      <c r="BY122" s="12">
        <f t="shared" si="225"/>
        <v>13.5</v>
      </c>
      <c r="BZ122" s="12">
        <f t="shared" si="225"/>
        <v>78</v>
      </c>
      <c r="CA122" s="12">
        <f t="shared" si="225"/>
        <v>16.899999999999999</v>
      </c>
      <c r="CB122" s="12">
        <f t="shared" si="225"/>
        <v>13.6</v>
      </c>
      <c r="CC122" s="12">
        <f t="shared" si="225"/>
        <v>69.900000000000006</v>
      </c>
      <c r="CD122" s="12">
        <f t="shared" si="225"/>
        <v>8.24</v>
      </c>
      <c r="CE122" s="12">
        <f t="shared" si="225"/>
        <v>79</v>
      </c>
      <c r="CF122" s="12">
        <f t="shared" ref="CF122:CO135" si="226">INDEX(ovrTable2,MATCH(INDEX(oppCol23,ROW()),ovrTeamCol2,0),MATCH(MID(INDEX(headerRow2,1,COLUMN()),4,LEN(INDEX(headerRow2,1,COLUMN()))),ovrHeaderRow2,0))</f>
        <v>4.5</v>
      </c>
      <c r="CG122" s="12">
        <f t="shared" si="226"/>
        <v>38.369999999999997</v>
      </c>
      <c r="CH122" s="12">
        <f t="shared" si="226"/>
        <v>9.3000000000000007</v>
      </c>
      <c r="CI122" s="12">
        <f t="shared" si="226"/>
        <v>5.4</v>
      </c>
      <c r="CJ122" s="12">
        <f t="shared" si="226"/>
        <v>-3</v>
      </c>
      <c r="CK122" s="12">
        <f t="shared" si="226"/>
        <v>8.7100000000000009</v>
      </c>
      <c r="CL122" s="12">
        <f t="shared" si="226"/>
        <v>10.6</v>
      </c>
      <c r="CM122" s="12">
        <f t="shared" si="226"/>
        <v>70.8</v>
      </c>
      <c r="CN122" s="12">
        <f t="shared" si="226"/>
        <v>19.5</v>
      </c>
      <c r="CO122" s="12">
        <f t="shared" si="226"/>
        <v>59.45378151260504</v>
      </c>
    </row>
    <row r="123" spans="1:93" x14ac:dyDescent="0.3">
      <c r="A123" s="6" t="s">
        <v>56</v>
      </c>
      <c r="B123" s="3">
        <v>6</v>
      </c>
      <c r="C123" s="13" t="s">
        <v>6</v>
      </c>
      <c r="D123" s="14">
        <v>61</v>
      </c>
      <c r="E123" s="38">
        <f>G122</f>
        <v>23.076923076923077</v>
      </c>
      <c r="F123" s="39">
        <v>2</v>
      </c>
      <c r="G123" s="38">
        <f t="shared" si="177"/>
        <v>11.76470588235294</v>
      </c>
      <c r="H123" s="39">
        <v>17</v>
      </c>
      <c r="I123" s="40">
        <f t="shared" si="178"/>
        <v>0.9</v>
      </c>
      <c r="J123" s="39">
        <v>9</v>
      </c>
      <c r="K123" s="39">
        <v>0</v>
      </c>
      <c r="L123" s="39">
        <v>2</v>
      </c>
      <c r="M123" s="39">
        <f>Q122</f>
        <v>37.9</v>
      </c>
      <c r="N123" s="39">
        <v>28</v>
      </c>
      <c r="O123" s="41">
        <f t="shared" si="179"/>
        <v>0.12299465240641709</v>
      </c>
      <c r="P123" s="39">
        <v>0</v>
      </c>
      <c r="Q123" s="39">
        <v>40</v>
      </c>
      <c r="R123" s="39">
        <v>11</v>
      </c>
      <c r="S123" s="38">
        <f t="shared" si="180"/>
        <v>90.909090909090907</v>
      </c>
      <c r="T123" s="39">
        <v>11</v>
      </c>
      <c r="U123" s="39">
        <v>10</v>
      </c>
      <c r="V123" s="39">
        <f>X122</f>
        <v>57</v>
      </c>
      <c r="W123" s="39">
        <v>9</v>
      </c>
      <c r="X123" s="39">
        <v>56</v>
      </c>
      <c r="Y123" s="39">
        <f>Z123-Z122</f>
        <v>0</v>
      </c>
      <c r="Z123" s="39">
        <f t="shared" si="181"/>
        <v>37</v>
      </c>
      <c r="AA123" s="39">
        <f t="shared" si="182"/>
        <v>-1</v>
      </c>
      <c r="AB123" s="39">
        <v>3</v>
      </c>
      <c r="AC123" s="39">
        <f t="shared" si="183"/>
        <v>-3</v>
      </c>
      <c r="AD123" s="39">
        <f>AE122</f>
        <v>7</v>
      </c>
      <c r="AE123" s="39">
        <v>10</v>
      </c>
      <c r="AF123" s="46">
        <f t="shared" si="127"/>
        <v>61.225000000000009</v>
      </c>
      <c r="AG123" s="51">
        <f t="shared" ref="AG123" si="227">AVERAGE(AF122,AF123)</f>
        <v>62.019030343007913</v>
      </c>
      <c r="AH123" s="12">
        <f t="shared" si="221"/>
        <v>33.5</v>
      </c>
      <c r="AI123" s="12">
        <f t="shared" si="221"/>
        <v>8.8000000000000007</v>
      </c>
      <c r="AJ123" s="12">
        <f t="shared" si="221"/>
        <v>35.799999999999997</v>
      </c>
      <c r="AK123" s="12">
        <f t="shared" si="221"/>
        <v>24.5</v>
      </c>
      <c r="AL123" s="12">
        <f t="shared" si="221"/>
        <v>1.49</v>
      </c>
      <c r="AM123" s="12">
        <f t="shared" si="221"/>
        <v>16</v>
      </c>
      <c r="AN123" s="12">
        <f t="shared" si="221"/>
        <v>10.76</v>
      </c>
      <c r="AO123" s="12">
        <f t="shared" si="221"/>
        <v>4.0999999999999996</v>
      </c>
      <c r="AP123" s="12">
        <f t="shared" si="221"/>
        <v>42.2</v>
      </c>
      <c r="AQ123" s="12">
        <f t="shared" si="221"/>
        <v>28.86</v>
      </c>
      <c r="AR123" s="12">
        <f t="shared" si="222"/>
        <v>0.54700000000000004</v>
      </c>
      <c r="AS123" s="12">
        <f t="shared" si="222"/>
        <v>8.7100000000000009</v>
      </c>
      <c r="AT123" s="12">
        <f t="shared" si="222"/>
        <v>47.6</v>
      </c>
      <c r="AU123" s="12">
        <f t="shared" si="222"/>
        <v>13.5</v>
      </c>
      <c r="AV123" s="12">
        <f t="shared" si="222"/>
        <v>78</v>
      </c>
      <c r="AW123" s="12">
        <f t="shared" si="222"/>
        <v>16.899999999999999</v>
      </c>
      <c r="AX123" s="12">
        <f t="shared" si="222"/>
        <v>13.6</v>
      </c>
      <c r="AY123" s="12">
        <f t="shared" si="222"/>
        <v>69.900000000000006</v>
      </c>
      <c r="AZ123" s="12">
        <f t="shared" si="222"/>
        <v>8.24</v>
      </c>
      <c r="BA123" s="12">
        <f t="shared" si="222"/>
        <v>79</v>
      </c>
      <c r="BB123" s="12">
        <f t="shared" si="223"/>
        <v>4.5</v>
      </c>
      <c r="BC123" s="12">
        <f t="shared" si="223"/>
        <v>38.369999999999997</v>
      </c>
      <c r="BD123" s="12">
        <f t="shared" si="223"/>
        <v>9.3000000000000007</v>
      </c>
      <c r="BE123" s="12">
        <f t="shared" si="223"/>
        <v>5.4</v>
      </c>
      <c r="BF123" s="12">
        <f t="shared" si="223"/>
        <v>-3</v>
      </c>
      <c r="BG123" s="12">
        <f t="shared" si="223"/>
        <v>8.7100000000000009</v>
      </c>
      <c r="BH123" s="12">
        <f t="shared" si="223"/>
        <v>10.6</v>
      </c>
      <c r="BI123" s="12">
        <f t="shared" si="223"/>
        <v>70.8</v>
      </c>
      <c r="BJ123" s="12">
        <f t="shared" si="223"/>
        <v>19.5</v>
      </c>
      <c r="BK123" s="12">
        <f t="shared" si="223"/>
        <v>59.45378151260504</v>
      </c>
      <c r="BL123" s="12">
        <f t="shared" si="224"/>
        <v>30</v>
      </c>
      <c r="BM123" s="12">
        <f t="shared" si="224"/>
        <v>7.1</v>
      </c>
      <c r="BN123" s="12">
        <f t="shared" si="224"/>
        <v>35.200000000000003</v>
      </c>
      <c r="BO123" s="12">
        <f t="shared" si="224"/>
        <v>20.399999999999999</v>
      </c>
      <c r="BP123" s="12">
        <f t="shared" si="224"/>
        <v>1.26</v>
      </c>
      <c r="BQ123" s="12">
        <f t="shared" si="224"/>
        <v>13.1</v>
      </c>
      <c r="BR123" s="12">
        <f t="shared" si="224"/>
        <v>30.06</v>
      </c>
      <c r="BS123" s="12">
        <f t="shared" si="224"/>
        <v>3.9</v>
      </c>
      <c r="BT123" s="12">
        <f t="shared" si="224"/>
        <v>41.4</v>
      </c>
      <c r="BU123" s="12">
        <f t="shared" si="224"/>
        <v>25.67</v>
      </c>
      <c r="BV123" s="12">
        <f t="shared" si="225"/>
        <v>0.501</v>
      </c>
      <c r="BW123" s="12">
        <f t="shared" si="225"/>
        <v>8</v>
      </c>
      <c r="BX123" s="12">
        <f t="shared" si="225"/>
        <v>44</v>
      </c>
      <c r="BY123" s="12">
        <f t="shared" si="225"/>
        <v>16.3</v>
      </c>
      <c r="BZ123" s="12">
        <f t="shared" si="225"/>
        <v>72</v>
      </c>
      <c r="CA123" s="12">
        <f t="shared" si="225"/>
        <v>19.5</v>
      </c>
      <c r="CB123" s="12">
        <f t="shared" si="225"/>
        <v>14.6</v>
      </c>
      <c r="CC123" s="12">
        <f t="shared" si="225"/>
        <v>64.099999999999994</v>
      </c>
      <c r="CD123" s="12">
        <f t="shared" si="225"/>
        <v>11.24</v>
      </c>
      <c r="CE123" s="12">
        <f t="shared" si="225"/>
        <v>73.599999999999994</v>
      </c>
      <c r="CF123" s="12">
        <f t="shared" si="226"/>
        <v>4.7</v>
      </c>
      <c r="CG123" s="12">
        <f t="shared" si="226"/>
        <v>37.65</v>
      </c>
      <c r="CH123" s="12">
        <f t="shared" si="226"/>
        <v>8.6</v>
      </c>
      <c r="CI123" s="12">
        <f t="shared" si="226"/>
        <v>6.6</v>
      </c>
      <c r="CJ123" s="12">
        <f t="shared" si="226"/>
        <v>0.6</v>
      </c>
      <c r="CK123" s="12">
        <f t="shared" si="226"/>
        <v>11.54</v>
      </c>
      <c r="CL123" s="12">
        <f t="shared" si="226"/>
        <v>10.6</v>
      </c>
      <c r="CM123" s="12">
        <f t="shared" si="226"/>
        <v>68.3</v>
      </c>
      <c r="CN123" s="12">
        <f t="shared" si="226"/>
        <v>18.849999999999998</v>
      </c>
      <c r="CO123" s="12">
        <f t="shared" si="226"/>
        <v>58.97727272727272</v>
      </c>
    </row>
    <row r="124" spans="1:93" x14ac:dyDescent="0.3">
      <c r="A124" s="6" t="s">
        <v>60</v>
      </c>
      <c r="B124" s="3">
        <v>2</v>
      </c>
      <c r="C124" s="13" t="s">
        <v>313</v>
      </c>
      <c r="D124" s="14">
        <v>62</v>
      </c>
      <c r="E124" s="38">
        <f>G125</f>
        <v>25</v>
      </c>
      <c r="F124" s="39">
        <v>10</v>
      </c>
      <c r="G124" s="38">
        <f t="shared" si="177"/>
        <v>40</v>
      </c>
      <c r="H124" s="39">
        <v>25</v>
      </c>
      <c r="I124" s="40">
        <f t="shared" si="178"/>
        <v>1.4285714285714286</v>
      </c>
      <c r="J124" s="39">
        <v>20</v>
      </c>
      <c r="K124" s="39">
        <v>28</v>
      </c>
      <c r="L124" s="39">
        <v>1</v>
      </c>
      <c r="M124" s="39">
        <f>Q125</f>
        <v>59.2</v>
      </c>
      <c r="N124" s="39">
        <v>16</v>
      </c>
      <c r="O124" s="41">
        <f t="shared" si="179"/>
        <v>0.46666666666666667</v>
      </c>
      <c r="P124" s="39">
        <v>4</v>
      </c>
      <c r="Q124" s="39">
        <v>50</v>
      </c>
      <c r="R124" s="39">
        <v>23</v>
      </c>
      <c r="S124" s="38">
        <f t="shared" si="180"/>
        <v>73.333333333333329</v>
      </c>
      <c r="T124" s="39">
        <v>15</v>
      </c>
      <c r="U124" s="39">
        <v>11</v>
      </c>
      <c r="V124" s="39">
        <f>X125</f>
        <v>88</v>
      </c>
      <c r="W124" s="39">
        <v>9</v>
      </c>
      <c r="X124" s="39">
        <v>81</v>
      </c>
      <c r="Y124" s="39">
        <f>Z124-Z125</f>
        <v>2</v>
      </c>
      <c r="Z124" s="39">
        <f t="shared" si="181"/>
        <v>25</v>
      </c>
      <c r="AA124" s="39">
        <f t="shared" si="182"/>
        <v>-7</v>
      </c>
      <c r="AB124" s="39">
        <v>6</v>
      </c>
      <c r="AC124" s="39">
        <f t="shared" si="183"/>
        <v>-2</v>
      </c>
      <c r="AD124" s="39">
        <f>AE125</f>
        <v>12</v>
      </c>
      <c r="AE124" s="39">
        <v>14</v>
      </c>
      <c r="AF124" s="46">
        <f t="shared" si="127"/>
        <v>72.125</v>
      </c>
      <c r="AG124" s="51">
        <f t="shared" ref="AG124" si="228">AVERAGE(AF124,AF125)</f>
        <v>72.155743243243251</v>
      </c>
      <c r="AH124" s="12">
        <f t="shared" si="221"/>
        <v>32.1</v>
      </c>
      <c r="AI124" s="12">
        <f t="shared" si="221"/>
        <v>7.3</v>
      </c>
      <c r="AJ124" s="12">
        <f t="shared" si="221"/>
        <v>34.9</v>
      </c>
      <c r="AK124" s="12">
        <f t="shared" si="221"/>
        <v>22</v>
      </c>
      <c r="AL124" s="12">
        <f t="shared" si="221"/>
        <v>1.58</v>
      </c>
      <c r="AM124" s="12">
        <f t="shared" si="221"/>
        <v>16.7</v>
      </c>
      <c r="AN124" s="12">
        <f t="shared" si="221"/>
        <v>33.29</v>
      </c>
      <c r="AO124" s="12">
        <f t="shared" si="221"/>
        <v>3.7</v>
      </c>
      <c r="AP124" s="12">
        <f t="shared" si="221"/>
        <v>42.7</v>
      </c>
      <c r="AQ124" s="12">
        <f t="shared" si="221"/>
        <v>24.82</v>
      </c>
      <c r="AR124" s="12">
        <f t="shared" si="222"/>
        <v>0.54500000000000004</v>
      </c>
      <c r="AS124" s="12">
        <f t="shared" si="222"/>
        <v>12.82</v>
      </c>
      <c r="AT124" s="12">
        <f t="shared" si="222"/>
        <v>47.8</v>
      </c>
      <c r="AU124" s="12">
        <f t="shared" si="222"/>
        <v>17.3</v>
      </c>
      <c r="AV124" s="12">
        <f t="shared" si="222"/>
        <v>75</v>
      </c>
      <c r="AW124" s="12">
        <f t="shared" si="222"/>
        <v>18.899999999999999</v>
      </c>
      <c r="AX124" s="12">
        <f t="shared" si="222"/>
        <v>14.7</v>
      </c>
      <c r="AY124" s="12">
        <f t="shared" si="222"/>
        <v>69.099999999999994</v>
      </c>
      <c r="AZ124" s="12">
        <f t="shared" si="222"/>
        <v>9.94</v>
      </c>
      <c r="BA124" s="12">
        <f t="shared" si="222"/>
        <v>80.400000000000006</v>
      </c>
      <c r="BB124" s="12">
        <f t="shared" si="223"/>
        <v>0.5</v>
      </c>
      <c r="BC124" s="12">
        <f t="shared" si="223"/>
        <v>34.74</v>
      </c>
      <c r="BD124" s="12">
        <f t="shared" si="223"/>
        <v>11.5</v>
      </c>
      <c r="BE124" s="12">
        <f t="shared" si="223"/>
        <v>7.4</v>
      </c>
      <c r="BF124" s="12">
        <f t="shared" si="223"/>
        <v>3.7</v>
      </c>
      <c r="BG124" s="12">
        <f t="shared" si="223"/>
        <v>14.12</v>
      </c>
      <c r="BH124" s="12">
        <f t="shared" si="223"/>
        <v>10.5</v>
      </c>
      <c r="BI124" s="12">
        <f t="shared" si="223"/>
        <v>72.2</v>
      </c>
      <c r="BJ124" s="12">
        <f t="shared" si="223"/>
        <v>21.900000000000002</v>
      </c>
      <c r="BK124" s="12">
        <f t="shared" si="223"/>
        <v>61.087866108786621</v>
      </c>
      <c r="BL124" s="12">
        <f t="shared" si="224"/>
        <v>33.5</v>
      </c>
      <c r="BM124" s="12">
        <f t="shared" si="224"/>
        <v>7.6</v>
      </c>
      <c r="BN124" s="12">
        <f t="shared" si="224"/>
        <v>36.799999999999997</v>
      </c>
      <c r="BO124" s="12">
        <f t="shared" si="224"/>
        <v>21.6</v>
      </c>
      <c r="BP124" s="12">
        <f t="shared" si="224"/>
        <v>1.47</v>
      </c>
      <c r="BQ124" s="12">
        <f t="shared" si="224"/>
        <v>15</v>
      </c>
      <c r="BR124" s="12">
        <f t="shared" si="224"/>
        <v>12.97</v>
      </c>
      <c r="BS124" s="12">
        <f t="shared" si="224"/>
        <v>3.1</v>
      </c>
      <c r="BT124" s="12">
        <f t="shared" si="224"/>
        <v>44.9</v>
      </c>
      <c r="BU124" s="12">
        <f t="shared" si="224"/>
        <v>24.63</v>
      </c>
      <c r="BV124" s="12">
        <f t="shared" si="225"/>
        <v>0.54900000000000004</v>
      </c>
      <c r="BW124" s="12">
        <f t="shared" si="225"/>
        <v>14.09</v>
      </c>
      <c r="BX124" s="12">
        <f t="shared" si="225"/>
        <v>48.7</v>
      </c>
      <c r="BY124" s="12">
        <f t="shared" si="225"/>
        <v>13.7</v>
      </c>
      <c r="BZ124" s="12">
        <f t="shared" si="225"/>
        <v>78</v>
      </c>
      <c r="CA124" s="12">
        <f t="shared" si="225"/>
        <v>18.600000000000001</v>
      </c>
      <c r="CB124" s="12">
        <f t="shared" si="225"/>
        <v>15.2</v>
      </c>
      <c r="CC124" s="12">
        <f t="shared" si="225"/>
        <v>73.599999999999994</v>
      </c>
      <c r="CD124" s="12">
        <f t="shared" si="225"/>
        <v>10.83</v>
      </c>
      <c r="CE124" s="12">
        <f t="shared" si="225"/>
        <v>81.900000000000006</v>
      </c>
      <c r="CF124" s="12">
        <f t="shared" si="226"/>
        <v>3.6</v>
      </c>
      <c r="CG124" s="12">
        <f t="shared" si="226"/>
        <v>35.18</v>
      </c>
      <c r="CH124" s="12">
        <f t="shared" si="226"/>
        <v>7.7</v>
      </c>
      <c r="CI124" s="12">
        <f t="shared" si="226"/>
        <v>7.1</v>
      </c>
      <c r="CJ124" s="12">
        <f t="shared" si="226"/>
        <v>0.8</v>
      </c>
      <c r="CK124" s="12">
        <f t="shared" si="226"/>
        <v>11.36</v>
      </c>
      <c r="CL124" s="12">
        <f t="shared" si="226"/>
        <v>10.1</v>
      </c>
      <c r="CM124" s="12">
        <f t="shared" si="226"/>
        <v>70.599999999999994</v>
      </c>
      <c r="CN124" s="12">
        <f t="shared" si="226"/>
        <v>21.950000000000003</v>
      </c>
      <c r="CO124" s="12">
        <f t="shared" si="226"/>
        <v>60.677618069815203</v>
      </c>
    </row>
    <row r="125" spans="1:93" x14ac:dyDescent="0.3">
      <c r="A125" s="6" t="s">
        <v>313</v>
      </c>
      <c r="B125" s="3">
        <v>5</v>
      </c>
      <c r="C125" s="13" t="s">
        <v>60</v>
      </c>
      <c r="D125" s="14">
        <v>62</v>
      </c>
      <c r="E125" s="38">
        <f>G124</f>
        <v>40</v>
      </c>
      <c r="F125" s="39">
        <v>2</v>
      </c>
      <c r="G125" s="38">
        <f t="shared" si="177"/>
        <v>25</v>
      </c>
      <c r="H125" s="39">
        <v>8</v>
      </c>
      <c r="I125" s="40">
        <f t="shared" si="178"/>
        <v>0.91666666666666663</v>
      </c>
      <c r="J125" s="39">
        <v>11</v>
      </c>
      <c r="K125" s="39">
        <v>5</v>
      </c>
      <c r="L125" s="39">
        <v>1</v>
      </c>
      <c r="M125" s="39">
        <f>Q124</f>
        <v>50</v>
      </c>
      <c r="N125" s="39">
        <v>19</v>
      </c>
      <c r="O125" s="41">
        <f t="shared" si="179"/>
        <v>0.25862068965517243</v>
      </c>
      <c r="P125" s="39">
        <v>11</v>
      </c>
      <c r="Q125" s="39">
        <v>59.2</v>
      </c>
      <c r="R125" s="39">
        <v>14</v>
      </c>
      <c r="S125" s="38">
        <f t="shared" si="180"/>
        <v>87.5</v>
      </c>
      <c r="T125" s="39">
        <v>32</v>
      </c>
      <c r="U125" s="39">
        <v>28</v>
      </c>
      <c r="V125" s="39">
        <f>X124</f>
        <v>81</v>
      </c>
      <c r="W125" s="39">
        <v>4</v>
      </c>
      <c r="X125" s="39">
        <v>88</v>
      </c>
      <c r="Y125" s="39">
        <f>Z125-Z124</f>
        <v>-2</v>
      </c>
      <c r="Z125" s="39">
        <f t="shared" si="181"/>
        <v>23</v>
      </c>
      <c r="AA125" s="39">
        <f t="shared" si="182"/>
        <v>7</v>
      </c>
      <c r="AB125" s="39">
        <v>9</v>
      </c>
      <c r="AC125" s="39">
        <f t="shared" si="183"/>
        <v>2</v>
      </c>
      <c r="AD125" s="39">
        <f>AE124</f>
        <v>14</v>
      </c>
      <c r="AE125" s="39">
        <v>12</v>
      </c>
      <c r="AF125" s="46">
        <f t="shared" si="127"/>
        <v>72.186486486486487</v>
      </c>
      <c r="AG125" s="51">
        <f t="shared" ref="AG125" si="229">AVERAGE(AF124,AF125)</f>
        <v>72.155743243243251</v>
      </c>
      <c r="AH125" s="12">
        <f t="shared" si="221"/>
        <v>33.5</v>
      </c>
      <c r="AI125" s="12">
        <f t="shared" si="221"/>
        <v>7.6</v>
      </c>
      <c r="AJ125" s="12">
        <f t="shared" si="221"/>
        <v>36.799999999999997</v>
      </c>
      <c r="AK125" s="12">
        <f t="shared" si="221"/>
        <v>21.6</v>
      </c>
      <c r="AL125" s="12">
        <f t="shared" si="221"/>
        <v>1.47</v>
      </c>
      <c r="AM125" s="12">
        <f t="shared" si="221"/>
        <v>15</v>
      </c>
      <c r="AN125" s="12">
        <f t="shared" si="221"/>
        <v>12.97</v>
      </c>
      <c r="AO125" s="12">
        <f t="shared" si="221"/>
        <v>3.1</v>
      </c>
      <c r="AP125" s="12">
        <f t="shared" si="221"/>
        <v>44.9</v>
      </c>
      <c r="AQ125" s="12">
        <f t="shared" si="221"/>
        <v>24.63</v>
      </c>
      <c r="AR125" s="12">
        <f t="shared" si="222"/>
        <v>0.54900000000000004</v>
      </c>
      <c r="AS125" s="12">
        <f t="shared" si="222"/>
        <v>14.09</v>
      </c>
      <c r="AT125" s="12">
        <f t="shared" si="222"/>
        <v>48.7</v>
      </c>
      <c r="AU125" s="12">
        <f t="shared" si="222"/>
        <v>13.7</v>
      </c>
      <c r="AV125" s="12">
        <f t="shared" si="222"/>
        <v>78</v>
      </c>
      <c r="AW125" s="12">
        <f t="shared" si="222"/>
        <v>18.600000000000001</v>
      </c>
      <c r="AX125" s="12">
        <f t="shared" si="222"/>
        <v>15.2</v>
      </c>
      <c r="AY125" s="12">
        <f t="shared" si="222"/>
        <v>73.599999999999994</v>
      </c>
      <c r="AZ125" s="12">
        <f t="shared" si="222"/>
        <v>10.83</v>
      </c>
      <c r="BA125" s="12">
        <f t="shared" si="222"/>
        <v>81.900000000000006</v>
      </c>
      <c r="BB125" s="12">
        <f t="shared" si="223"/>
        <v>3.6</v>
      </c>
      <c r="BC125" s="12">
        <f t="shared" si="223"/>
        <v>35.18</v>
      </c>
      <c r="BD125" s="12">
        <f t="shared" si="223"/>
        <v>7.7</v>
      </c>
      <c r="BE125" s="12">
        <f t="shared" si="223"/>
        <v>7.1</v>
      </c>
      <c r="BF125" s="12">
        <f t="shared" si="223"/>
        <v>0.8</v>
      </c>
      <c r="BG125" s="12">
        <f t="shared" si="223"/>
        <v>11.36</v>
      </c>
      <c r="BH125" s="12">
        <f t="shared" si="223"/>
        <v>10.1</v>
      </c>
      <c r="BI125" s="12">
        <f t="shared" si="223"/>
        <v>70.599999999999994</v>
      </c>
      <c r="BJ125" s="12">
        <f t="shared" si="223"/>
        <v>21.950000000000003</v>
      </c>
      <c r="BK125" s="12">
        <f t="shared" si="223"/>
        <v>60.677618069815203</v>
      </c>
      <c r="BL125" s="12">
        <f t="shared" si="224"/>
        <v>32.1</v>
      </c>
      <c r="BM125" s="12">
        <f t="shared" si="224"/>
        <v>7.3</v>
      </c>
      <c r="BN125" s="12">
        <f t="shared" si="224"/>
        <v>34.9</v>
      </c>
      <c r="BO125" s="12">
        <f t="shared" si="224"/>
        <v>22</v>
      </c>
      <c r="BP125" s="12">
        <f t="shared" si="224"/>
        <v>1.58</v>
      </c>
      <c r="BQ125" s="12">
        <f t="shared" si="224"/>
        <v>16.7</v>
      </c>
      <c r="BR125" s="12">
        <f t="shared" si="224"/>
        <v>33.29</v>
      </c>
      <c r="BS125" s="12">
        <f t="shared" si="224"/>
        <v>3.7</v>
      </c>
      <c r="BT125" s="12">
        <f t="shared" si="224"/>
        <v>42.7</v>
      </c>
      <c r="BU125" s="12">
        <f t="shared" si="224"/>
        <v>24.82</v>
      </c>
      <c r="BV125" s="12">
        <f t="shared" si="225"/>
        <v>0.54500000000000004</v>
      </c>
      <c r="BW125" s="12">
        <f t="shared" si="225"/>
        <v>12.82</v>
      </c>
      <c r="BX125" s="12">
        <f t="shared" si="225"/>
        <v>47.8</v>
      </c>
      <c r="BY125" s="12">
        <f t="shared" si="225"/>
        <v>17.3</v>
      </c>
      <c r="BZ125" s="12">
        <f t="shared" si="225"/>
        <v>75</v>
      </c>
      <c r="CA125" s="12">
        <f t="shared" si="225"/>
        <v>18.899999999999999</v>
      </c>
      <c r="CB125" s="12">
        <f t="shared" si="225"/>
        <v>14.7</v>
      </c>
      <c r="CC125" s="12">
        <f t="shared" si="225"/>
        <v>69.099999999999994</v>
      </c>
      <c r="CD125" s="12">
        <f t="shared" si="225"/>
        <v>9.94</v>
      </c>
      <c r="CE125" s="12">
        <f t="shared" si="225"/>
        <v>80.400000000000006</v>
      </c>
      <c r="CF125" s="12">
        <f t="shared" si="226"/>
        <v>0.5</v>
      </c>
      <c r="CG125" s="12">
        <f t="shared" si="226"/>
        <v>34.74</v>
      </c>
      <c r="CH125" s="12">
        <f t="shared" si="226"/>
        <v>11.5</v>
      </c>
      <c r="CI125" s="12">
        <f t="shared" si="226"/>
        <v>7.4</v>
      </c>
      <c r="CJ125" s="12">
        <f t="shared" si="226"/>
        <v>3.7</v>
      </c>
      <c r="CK125" s="12">
        <f t="shared" si="226"/>
        <v>14.12</v>
      </c>
      <c r="CL125" s="12">
        <f t="shared" si="226"/>
        <v>10.5</v>
      </c>
      <c r="CM125" s="12">
        <f t="shared" si="226"/>
        <v>72.2</v>
      </c>
      <c r="CN125" s="12">
        <f t="shared" si="226"/>
        <v>21.900000000000002</v>
      </c>
      <c r="CO125" s="12">
        <f t="shared" si="226"/>
        <v>61.087866108786621</v>
      </c>
    </row>
    <row r="126" spans="1:93" x14ac:dyDescent="0.3">
      <c r="A126" s="6" t="s">
        <v>58</v>
      </c>
      <c r="B126" s="3">
        <v>3</v>
      </c>
      <c r="C126" s="13" t="s">
        <v>2</v>
      </c>
      <c r="D126" s="14">
        <v>63</v>
      </c>
      <c r="E126" s="38">
        <f>G127</f>
        <v>35.483870967741936</v>
      </c>
      <c r="F126" s="39">
        <v>2</v>
      </c>
      <c r="G126" s="38">
        <f t="shared" si="177"/>
        <v>10</v>
      </c>
      <c r="H126" s="39">
        <v>20</v>
      </c>
      <c r="I126" s="40">
        <f t="shared" si="178"/>
        <v>1.4444444444444444</v>
      </c>
      <c r="J126" s="39">
        <v>13</v>
      </c>
      <c r="K126" s="39">
        <v>19</v>
      </c>
      <c r="L126" s="39">
        <v>1</v>
      </c>
      <c r="M126" s="39">
        <f>Q127</f>
        <v>41.7</v>
      </c>
      <c r="N126" s="39">
        <v>31</v>
      </c>
      <c r="O126" s="41">
        <f t="shared" si="179"/>
        <v>0.105</v>
      </c>
      <c r="P126" s="39">
        <v>5</v>
      </c>
      <c r="Q126" s="39">
        <v>33.299999999999997</v>
      </c>
      <c r="R126" s="39">
        <v>12</v>
      </c>
      <c r="S126" s="38">
        <f t="shared" si="180"/>
        <v>54.54545454545454</v>
      </c>
      <c r="T126" s="39">
        <v>22</v>
      </c>
      <c r="U126" s="39">
        <v>12</v>
      </c>
      <c r="V126" s="39">
        <f>X127</f>
        <v>82</v>
      </c>
      <c r="W126" s="39">
        <v>9</v>
      </c>
      <c r="X126" s="39">
        <v>54</v>
      </c>
      <c r="Y126" s="39">
        <f>Z126-Z127</f>
        <v>-8</v>
      </c>
      <c r="Z126" s="39">
        <f t="shared" si="181"/>
        <v>40</v>
      </c>
      <c r="AA126" s="39">
        <f t="shared" si="182"/>
        <v>-28</v>
      </c>
      <c r="AB126" s="39">
        <v>2</v>
      </c>
      <c r="AC126" s="39">
        <f t="shared" si="183"/>
        <v>-1</v>
      </c>
      <c r="AD126" s="39">
        <f>AE127</f>
        <v>8</v>
      </c>
      <c r="AE126" s="39">
        <v>9</v>
      </c>
      <c r="AF126" s="46">
        <f t="shared" si="127"/>
        <v>70.510060060060056</v>
      </c>
      <c r="AG126" s="51">
        <f t="shared" ref="AG126" si="230">AVERAGE(AF126,AF127)</f>
        <v>72.051253051612761</v>
      </c>
      <c r="AH126" s="12">
        <f t="shared" si="221"/>
        <v>34.4</v>
      </c>
      <c r="AI126" s="12">
        <f t="shared" si="221"/>
        <v>7.8</v>
      </c>
      <c r="AJ126" s="12">
        <f t="shared" si="221"/>
        <v>38.299999999999997</v>
      </c>
      <c r="AK126" s="12">
        <f t="shared" si="221"/>
        <v>20.3</v>
      </c>
      <c r="AL126" s="12">
        <f t="shared" si="221"/>
        <v>1.66</v>
      </c>
      <c r="AM126" s="12">
        <f t="shared" si="221"/>
        <v>16.7</v>
      </c>
      <c r="AN126" s="12">
        <f t="shared" si="221"/>
        <v>21.67</v>
      </c>
      <c r="AO126" s="12">
        <f t="shared" si="221"/>
        <v>3.6</v>
      </c>
      <c r="AP126" s="12">
        <f t="shared" si="221"/>
        <v>43.7</v>
      </c>
      <c r="AQ126" s="12">
        <f t="shared" si="221"/>
        <v>27.64</v>
      </c>
      <c r="AR126" s="12">
        <f t="shared" si="222"/>
        <v>0.57399999999999995</v>
      </c>
      <c r="AS126" s="12">
        <f t="shared" si="222"/>
        <v>13.7</v>
      </c>
      <c r="AT126" s="12">
        <f t="shared" si="222"/>
        <v>51.8</v>
      </c>
      <c r="AU126" s="12">
        <f t="shared" si="222"/>
        <v>16.5</v>
      </c>
      <c r="AV126" s="12">
        <f t="shared" si="222"/>
        <v>70.3</v>
      </c>
      <c r="AW126" s="12">
        <f t="shared" si="222"/>
        <v>21.9</v>
      </c>
      <c r="AX126" s="12">
        <f t="shared" si="222"/>
        <v>15.3</v>
      </c>
      <c r="AY126" s="12">
        <f t="shared" si="222"/>
        <v>74.5</v>
      </c>
      <c r="AZ126" s="12">
        <f t="shared" si="222"/>
        <v>10.64</v>
      </c>
      <c r="BA126" s="12">
        <f t="shared" si="222"/>
        <v>90.1</v>
      </c>
      <c r="BB126" s="12">
        <f t="shared" si="223"/>
        <v>6</v>
      </c>
      <c r="BC126" s="12">
        <f t="shared" si="223"/>
        <v>38.61</v>
      </c>
      <c r="BD126" s="12">
        <f t="shared" si="223"/>
        <v>13.8</v>
      </c>
      <c r="BE126" s="12">
        <f t="shared" si="223"/>
        <v>7.1</v>
      </c>
      <c r="BF126" s="12">
        <f t="shared" si="223"/>
        <v>1.8</v>
      </c>
      <c r="BG126" s="12">
        <f t="shared" si="223"/>
        <v>11.91</v>
      </c>
      <c r="BH126" s="12">
        <f t="shared" si="223"/>
        <v>10</v>
      </c>
      <c r="BI126" s="12">
        <f t="shared" si="223"/>
        <v>73.3</v>
      </c>
      <c r="BJ126" s="12">
        <f t="shared" si="223"/>
        <v>25.7</v>
      </c>
      <c r="BK126" s="12">
        <f t="shared" si="223"/>
        <v>64.671814671814673</v>
      </c>
      <c r="BL126" s="12">
        <f t="shared" si="224"/>
        <v>30.2</v>
      </c>
      <c r="BM126" s="12">
        <f t="shared" si="224"/>
        <v>9.1</v>
      </c>
      <c r="BN126" s="12">
        <f t="shared" si="224"/>
        <v>36.1</v>
      </c>
      <c r="BO126" s="12">
        <f t="shared" si="224"/>
        <v>24.9</v>
      </c>
      <c r="BP126" s="12">
        <f t="shared" si="224"/>
        <v>1.54</v>
      </c>
      <c r="BQ126" s="12">
        <f t="shared" si="224"/>
        <v>18.5</v>
      </c>
      <c r="BR126" s="12">
        <f t="shared" si="224"/>
        <v>21.08</v>
      </c>
      <c r="BS126" s="12">
        <f t="shared" si="224"/>
        <v>4.5999999999999996</v>
      </c>
      <c r="BT126" s="12">
        <f t="shared" si="224"/>
        <v>39.6</v>
      </c>
      <c r="BU126" s="12">
        <f t="shared" si="224"/>
        <v>26.97</v>
      </c>
      <c r="BV126" s="12">
        <f t="shared" si="225"/>
        <v>0.54700000000000004</v>
      </c>
      <c r="BW126" s="12">
        <f t="shared" si="225"/>
        <v>10.91</v>
      </c>
      <c r="BX126" s="12">
        <f t="shared" si="225"/>
        <v>46.9</v>
      </c>
      <c r="BY126" s="12">
        <f t="shared" si="225"/>
        <v>17.3</v>
      </c>
      <c r="BZ126" s="12">
        <f t="shared" si="225"/>
        <v>75.900000000000006</v>
      </c>
      <c r="CA126" s="12">
        <f t="shared" si="225"/>
        <v>19.100000000000001</v>
      </c>
      <c r="CB126" s="12">
        <f t="shared" si="225"/>
        <v>15.1</v>
      </c>
      <c r="CC126" s="12">
        <f t="shared" si="225"/>
        <v>66.7</v>
      </c>
      <c r="CD126" s="12">
        <f t="shared" si="225"/>
        <v>13.43</v>
      </c>
      <c r="CE126" s="12">
        <f t="shared" si="225"/>
        <v>81.400000000000006</v>
      </c>
      <c r="CF126" s="12">
        <f t="shared" si="226"/>
        <v>9.9</v>
      </c>
      <c r="CG126" s="12">
        <f t="shared" si="226"/>
        <v>41.08</v>
      </c>
      <c r="CH126" s="12">
        <f t="shared" si="226"/>
        <v>17.7</v>
      </c>
      <c r="CI126" s="12">
        <f t="shared" si="226"/>
        <v>6.1</v>
      </c>
      <c r="CJ126" s="12">
        <f t="shared" si="226"/>
        <v>-0.1</v>
      </c>
      <c r="CK126" s="12">
        <f t="shared" si="226"/>
        <v>11.44</v>
      </c>
      <c r="CL126" s="12">
        <f t="shared" si="226"/>
        <v>11.9</v>
      </c>
      <c r="CM126" s="12">
        <f t="shared" si="226"/>
        <v>70.099999999999994</v>
      </c>
      <c r="CN126" s="12">
        <f t="shared" si="226"/>
        <v>19.500000000000007</v>
      </c>
      <c r="CO126" s="12">
        <f t="shared" si="226"/>
        <v>60.9808102345416</v>
      </c>
    </row>
    <row r="127" spans="1:93" x14ac:dyDescent="0.3">
      <c r="A127" s="6" t="s">
        <v>2</v>
      </c>
      <c r="B127" s="3">
        <v>4</v>
      </c>
      <c r="C127" s="13" t="s">
        <v>58</v>
      </c>
      <c r="D127" s="14">
        <v>63</v>
      </c>
      <c r="E127" s="38">
        <f>G126</f>
        <v>10</v>
      </c>
      <c r="F127" s="39">
        <v>11</v>
      </c>
      <c r="G127" s="38">
        <f t="shared" si="177"/>
        <v>35.483870967741936</v>
      </c>
      <c r="H127" s="39">
        <v>31</v>
      </c>
      <c r="I127" s="40">
        <f t="shared" si="178"/>
        <v>2.625</v>
      </c>
      <c r="J127" s="39">
        <v>21</v>
      </c>
      <c r="K127" s="39">
        <v>24</v>
      </c>
      <c r="L127" s="39">
        <v>5</v>
      </c>
      <c r="M127" s="39">
        <f>Q126</f>
        <v>33.299999999999997</v>
      </c>
      <c r="N127" s="39">
        <v>35</v>
      </c>
      <c r="O127" s="41">
        <f t="shared" si="179"/>
        <v>0.41989247311827954</v>
      </c>
      <c r="P127" s="39">
        <v>14</v>
      </c>
      <c r="Q127" s="39">
        <v>41.7</v>
      </c>
      <c r="R127" s="39">
        <v>18</v>
      </c>
      <c r="S127" s="38">
        <f t="shared" si="180"/>
        <v>78.571428571428569</v>
      </c>
      <c r="T127" s="39">
        <v>14</v>
      </c>
      <c r="U127" s="39">
        <v>11</v>
      </c>
      <c r="V127" s="39">
        <f>X126</f>
        <v>54</v>
      </c>
      <c r="W127" s="39">
        <v>13</v>
      </c>
      <c r="X127" s="39">
        <v>82</v>
      </c>
      <c r="Y127" s="39">
        <f>Z127-Z126</f>
        <v>8</v>
      </c>
      <c r="Z127" s="39">
        <f t="shared" si="181"/>
        <v>48</v>
      </c>
      <c r="AA127" s="39">
        <f t="shared" si="182"/>
        <v>28</v>
      </c>
      <c r="AB127" s="39">
        <v>3</v>
      </c>
      <c r="AC127" s="39">
        <f t="shared" si="183"/>
        <v>1</v>
      </c>
      <c r="AD127" s="39">
        <f>AE126</f>
        <v>9</v>
      </c>
      <c r="AE127" s="39">
        <v>8</v>
      </c>
      <c r="AF127" s="46">
        <f t="shared" si="127"/>
        <v>73.592446043165467</v>
      </c>
      <c r="AG127" s="51">
        <f t="shared" ref="AG127" si="231">AVERAGE(AF126,AF127)</f>
        <v>72.051253051612761</v>
      </c>
      <c r="AH127" s="12">
        <f t="shared" si="221"/>
        <v>30.2</v>
      </c>
      <c r="AI127" s="12">
        <f t="shared" si="221"/>
        <v>9.1</v>
      </c>
      <c r="AJ127" s="12">
        <f t="shared" si="221"/>
        <v>36.1</v>
      </c>
      <c r="AK127" s="12">
        <f t="shared" si="221"/>
        <v>24.9</v>
      </c>
      <c r="AL127" s="12">
        <f t="shared" si="221"/>
        <v>1.54</v>
      </c>
      <c r="AM127" s="12">
        <f t="shared" si="221"/>
        <v>18.5</v>
      </c>
      <c r="AN127" s="12">
        <f t="shared" si="221"/>
        <v>21.08</v>
      </c>
      <c r="AO127" s="12">
        <f t="shared" si="221"/>
        <v>4.5999999999999996</v>
      </c>
      <c r="AP127" s="12">
        <f t="shared" si="221"/>
        <v>39.6</v>
      </c>
      <c r="AQ127" s="12">
        <f t="shared" si="221"/>
        <v>26.97</v>
      </c>
      <c r="AR127" s="12">
        <f t="shared" si="222"/>
        <v>0.54700000000000004</v>
      </c>
      <c r="AS127" s="12">
        <f t="shared" si="222"/>
        <v>10.91</v>
      </c>
      <c r="AT127" s="12">
        <f t="shared" si="222"/>
        <v>46.9</v>
      </c>
      <c r="AU127" s="12">
        <f t="shared" si="222"/>
        <v>17.3</v>
      </c>
      <c r="AV127" s="12">
        <f t="shared" si="222"/>
        <v>75.900000000000006</v>
      </c>
      <c r="AW127" s="12">
        <f t="shared" si="222"/>
        <v>19.100000000000001</v>
      </c>
      <c r="AX127" s="12">
        <f t="shared" si="222"/>
        <v>15.1</v>
      </c>
      <c r="AY127" s="12">
        <f t="shared" si="222"/>
        <v>66.7</v>
      </c>
      <c r="AZ127" s="12">
        <f t="shared" si="222"/>
        <v>13.43</v>
      </c>
      <c r="BA127" s="12">
        <f t="shared" si="222"/>
        <v>81.400000000000006</v>
      </c>
      <c r="BB127" s="12">
        <f t="shared" si="223"/>
        <v>9.9</v>
      </c>
      <c r="BC127" s="12">
        <f t="shared" si="223"/>
        <v>41.08</v>
      </c>
      <c r="BD127" s="12">
        <f t="shared" si="223"/>
        <v>17.7</v>
      </c>
      <c r="BE127" s="12">
        <f t="shared" si="223"/>
        <v>6.1</v>
      </c>
      <c r="BF127" s="12">
        <f t="shared" si="223"/>
        <v>-0.1</v>
      </c>
      <c r="BG127" s="12">
        <f t="shared" si="223"/>
        <v>11.44</v>
      </c>
      <c r="BH127" s="12">
        <f t="shared" si="223"/>
        <v>11.9</v>
      </c>
      <c r="BI127" s="12">
        <f t="shared" si="223"/>
        <v>70.099999999999994</v>
      </c>
      <c r="BJ127" s="12">
        <f t="shared" si="223"/>
        <v>19.500000000000007</v>
      </c>
      <c r="BK127" s="12">
        <f t="shared" si="223"/>
        <v>60.9808102345416</v>
      </c>
      <c r="BL127" s="12">
        <f t="shared" si="224"/>
        <v>34.4</v>
      </c>
      <c r="BM127" s="12">
        <f t="shared" si="224"/>
        <v>7.8</v>
      </c>
      <c r="BN127" s="12">
        <f t="shared" si="224"/>
        <v>38.299999999999997</v>
      </c>
      <c r="BO127" s="12">
        <f t="shared" si="224"/>
        <v>20.3</v>
      </c>
      <c r="BP127" s="12">
        <f t="shared" si="224"/>
        <v>1.66</v>
      </c>
      <c r="BQ127" s="12">
        <f t="shared" si="224"/>
        <v>16.7</v>
      </c>
      <c r="BR127" s="12">
        <f t="shared" si="224"/>
        <v>21.67</v>
      </c>
      <c r="BS127" s="12">
        <f t="shared" si="224"/>
        <v>3.6</v>
      </c>
      <c r="BT127" s="12">
        <f t="shared" si="224"/>
        <v>43.7</v>
      </c>
      <c r="BU127" s="12">
        <f t="shared" si="224"/>
        <v>27.64</v>
      </c>
      <c r="BV127" s="12">
        <f t="shared" si="225"/>
        <v>0.57399999999999995</v>
      </c>
      <c r="BW127" s="12">
        <f t="shared" si="225"/>
        <v>13.7</v>
      </c>
      <c r="BX127" s="12">
        <f t="shared" si="225"/>
        <v>51.8</v>
      </c>
      <c r="BY127" s="12">
        <f t="shared" si="225"/>
        <v>16.5</v>
      </c>
      <c r="BZ127" s="12">
        <f t="shared" si="225"/>
        <v>70.3</v>
      </c>
      <c r="CA127" s="12">
        <f t="shared" si="225"/>
        <v>21.9</v>
      </c>
      <c r="CB127" s="12">
        <f t="shared" si="225"/>
        <v>15.3</v>
      </c>
      <c r="CC127" s="12">
        <f t="shared" si="225"/>
        <v>74.5</v>
      </c>
      <c r="CD127" s="12">
        <f t="shared" si="225"/>
        <v>10.64</v>
      </c>
      <c r="CE127" s="12">
        <f t="shared" si="225"/>
        <v>90.1</v>
      </c>
      <c r="CF127" s="12">
        <f t="shared" si="226"/>
        <v>6</v>
      </c>
      <c r="CG127" s="12">
        <f t="shared" si="226"/>
        <v>38.61</v>
      </c>
      <c r="CH127" s="12">
        <f t="shared" si="226"/>
        <v>13.8</v>
      </c>
      <c r="CI127" s="12">
        <f t="shared" si="226"/>
        <v>7.1</v>
      </c>
      <c r="CJ127" s="12">
        <f t="shared" si="226"/>
        <v>1.8</v>
      </c>
      <c r="CK127" s="12">
        <f t="shared" si="226"/>
        <v>11.91</v>
      </c>
      <c r="CL127" s="12">
        <f t="shared" si="226"/>
        <v>10</v>
      </c>
      <c r="CM127" s="12">
        <f t="shared" si="226"/>
        <v>73.3</v>
      </c>
      <c r="CN127" s="12">
        <f t="shared" si="226"/>
        <v>25.7</v>
      </c>
      <c r="CO127" s="12">
        <f t="shared" si="226"/>
        <v>64.671814671814673</v>
      </c>
    </row>
    <row r="128" spans="1:93" x14ac:dyDescent="0.3">
      <c r="A128" s="6" t="s">
        <v>320</v>
      </c>
      <c r="B128" s="3">
        <v>3</v>
      </c>
      <c r="C128" s="13" t="s">
        <v>9</v>
      </c>
      <c r="D128" s="14">
        <v>64</v>
      </c>
      <c r="E128" s="38">
        <f>G129</f>
        <v>39.130434782608695</v>
      </c>
      <c r="F128" s="39">
        <v>10</v>
      </c>
      <c r="G128" s="38">
        <f t="shared" si="177"/>
        <v>45.454545454545453</v>
      </c>
      <c r="H128" s="39">
        <v>22</v>
      </c>
      <c r="I128" s="40">
        <f t="shared" si="178"/>
        <v>1.1666666666666667</v>
      </c>
      <c r="J128" s="39">
        <v>14</v>
      </c>
      <c r="K128" s="39">
        <v>9</v>
      </c>
      <c r="L128" s="39">
        <v>1</v>
      </c>
      <c r="M128" s="39">
        <f>Q129</f>
        <v>48.1</v>
      </c>
      <c r="N128" s="39">
        <v>17</v>
      </c>
      <c r="O128" s="41">
        <f t="shared" si="179"/>
        <v>0.53872053872053871</v>
      </c>
      <c r="P128" s="39">
        <v>12</v>
      </c>
      <c r="Q128" s="39">
        <v>46.6</v>
      </c>
      <c r="R128" s="39">
        <v>21</v>
      </c>
      <c r="S128" s="38">
        <f t="shared" si="180"/>
        <v>66.666666666666657</v>
      </c>
      <c r="T128" s="39">
        <v>18</v>
      </c>
      <c r="U128" s="39">
        <v>12</v>
      </c>
      <c r="V128" s="39">
        <f>X129</f>
        <v>79</v>
      </c>
      <c r="W128" s="39">
        <v>5</v>
      </c>
      <c r="X128" s="39">
        <v>76</v>
      </c>
      <c r="Y128" s="39">
        <f>Z128-Z129</f>
        <v>-22</v>
      </c>
      <c r="Z128" s="39">
        <f t="shared" si="181"/>
        <v>22</v>
      </c>
      <c r="AA128" s="39">
        <f t="shared" si="182"/>
        <v>-3</v>
      </c>
      <c r="AB128" s="39">
        <v>13</v>
      </c>
      <c r="AC128" s="39">
        <f t="shared" si="183"/>
        <v>10</v>
      </c>
      <c r="AD128" s="39">
        <f>AE129</f>
        <v>22</v>
      </c>
      <c r="AE128" s="39">
        <v>12</v>
      </c>
      <c r="AF128" s="46">
        <f t="shared" si="127"/>
        <v>73.48991416309012</v>
      </c>
      <c r="AG128" s="51">
        <f t="shared" ref="AG128" si="232">AVERAGE(AF128,AF129)</f>
        <v>72.996984108572093</v>
      </c>
      <c r="AH128" s="12">
        <f t="shared" si="221"/>
        <v>31</v>
      </c>
      <c r="AI128" s="12">
        <f t="shared" si="221"/>
        <v>7.2</v>
      </c>
      <c r="AJ128" s="12">
        <f t="shared" si="221"/>
        <v>34.4</v>
      </c>
      <c r="AK128" s="12">
        <f t="shared" si="221"/>
        <v>22.1</v>
      </c>
      <c r="AL128" s="12">
        <f t="shared" si="221"/>
        <v>1.36</v>
      </c>
      <c r="AM128" s="12">
        <f t="shared" si="221"/>
        <v>18</v>
      </c>
      <c r="AN128" s="12">
        <f t="shared" si="221"/>
        <v>17.079999999999998</v>
      </c>
      <c r="AO128" s="12">
        <f t="shared" si="221"/>
        <v>2.9</v>
      </c>
      <c r="AP128" s="12">
        <f t="shared" si="221"/>
        <v>42.6</v>
      </c>
      <c r="AQ128" s="12">
        <f t="shared" si="221"/>
        <v>25.17</v>
      </c>
      <c r="AR128" s="12">
        <f t="shared" si="222"/>
        <v>0.53100000000000003</v>
      </c>
      <c r="AS128" s="12">
        <f t="shared" si="222"/>
        <v>11.47</v>
      </c>
      <c r="AT128" s="12">
        <f t="shared" si="222"/>
        <v>46.8</v>
      </c>
      <c r="AU128" s="12">
        <f t="shared" si="222"/>
        <v>17.399999999999999</v>
      </c>
      <c r="AV128" s="12">
        <f t="shared" si="222"/>
        <v>75.099999999999994</v>
      </c>
      <c r="AW128" s="12">
        <f t="shared" si="222"/>
        <v>21.9</v>
      </c>
      <c r="AX128" s="12">
        <f t="shared" si="222"/>
        <v>16.8</v>
      </c>
      <c r="AY128" s="12">
        <f t="shared" si="222"/>
        <v>71.3</v>
      </c>
      <c r="AZ128" s="12">
        <f t="shared" si="222"/>
        <v>10.09</v>
      </c>
      <c r="BA128" s="12">
        <f t="shared" si="222"/>
        <v>78.8</v>
      </c>
      <c r="BB128" s="12">
        <f t="shared" si="223"/>
        <v>1.2</v>
      </c>
      <c r="BC128" s="12">
        <f t="shared" si="223"/>
        <v>35.11</v>
      </c>
      <c r="BD128" s="12">
        <f t="shared" si="223"/>
        <v>6.5</v>
      </c>
      <c r="BE128" s="12">
        <f t="shared" si="223"/>
        <v>7.6</v>
      </c>
      <c r="BF128" s="12">
        <f t="shared" si="223"/>
        <v>0.5</v>
      </c>
      <c r="BG128" s="12">
        <f t="shared" si="223"/>
        <v>13.54</v>
      </c>
      <c r="BH128" s="12">
        <f t="shared" si="223"/>
        <v>13</v>
      </c>
      <c r="BI128" s="12">
        <f t="shared" si="223"/>
        <v>73.400000000000006</v>
      </c>
      <c r="BJ128" s="12">
        <f t="shared" si="223"/>
        <v>20.2</v>
      </c>
      <c r="BK128" s="12">
        <f t="shared" si="223"/>
        <v>58.547008547008552</v>
      </c>
      <c r="BL128" s="12">
        <f t="shared" si="224"/>
        <v>32</v>
      </c>
      <c r="BM128" s="12">
        <f t="shared" si="224"/>
        <v>10</v>
      </c>
      <c r="BN128" s="12">
        <f t="shared" si="224"/>
        <v>36.5</v>
      </c>
      <c r="BO128" s="12">
        <f t="shared" si="224"/>
        <v>26.1</v>
      </c>
      <c r="BP128" s="12">
        <f t="shared" si="224"/>
        <v>1.36</v>
      </c>
      <c r="BQ128" s="12">
        <f t="shared" si="224"/>
        <v>15</v>
      </c>
      <c r="BR128" s="12">
        <f t="shared" si="224"/>
        <v>33.71</v>
      </c>
      <c r="BS128" s="12">
        <f t="shared" si="224"/>
        <v>2.5</v>
      </c>
      <c r="BT128" s="12">
        <f t="shared" si="224"/>
        <v>40.200000000000003</v>
      </c>
      <c r="BU128" s="12">
        <f t="shared" si="224"/>
        <v>28.23</v>
      </c>
      <c r="BV128" s="12">
        <f t="shared" si="225"/>
        <v>0.55000000000000004</v>
      </c>
      <c r="BW128" s="12">
        <f t="shared" si="225"/>
        <v>11.86</v>
      </c>
      <c r="BX128" s="12">
        <f t="shared" si="225"/>
        <v>47.4</v>
      </c>
      <c r="BY128" s="12">
        <f t="shared" si="225"/>
        <v>15.6</v>
      </c>
      <c r="BZ128" s="12">
        <f t="shared" si="225"/>
        <v>72</v>
      </c>
      <c r="CA128" s="12">
        <f t="shared" si="225"/>
        <v>18.3</v>
      </c>
      <c r="CB128" s="12">
        <f t="shared" si="225"/>
        <v>12.9</v>
      </c>
      <c r="CC128" s="12">
        <f t="shared" si="225"/>
        <v>66.7</v>
      </c>
      <c r="CD128" s="12">
        <f t="shared" si="225"/>
        <v>11.23</v>
      </c>
      <c r="CE128" s="12">
        <f t="shared" si="225"/>
        <v>80.400000000000006</v>
      </c>
      <c r="CF128" s="12">
        <f t="shared" si="226"/>
        <v>6.5</v>
      </c>
      <c r="CG128" s="12">
        <f t="shared" si="226"/>
        <v>39.94</v>
      </c>
      <c r="CH128" s="12">
        <f t="shared" si="226"/>
        <v>13.6</v>
      </c>
      <c r="CI128" s="12">
        <f t="shared" si="226"/>
        <v>6.3</v>
      </c>
      <c r="CJ128" s="12">
        <f t="shared" si="226"/>
        <v>0.3</v>
      </c>
      <c r="CK128" s="12">
        <f t="shared" si="226"/>
        <v>11.29</v>
      </c>
      <c r="CL128" s="12">
        <f t="shared" si="226"/>
        <v>10.9</v>
      </c>
      <c r="CM128" s="12">
        <f t="shared" si="226"/>
        <v>70.099999999999994</v>
      </c>
      <c r="CN128" s="12">
        <f t="shared" si="226"/>
        <v>18.75</v>
      </c>
      <c r="CO128" s="12">
        <f t="shared" si="226"/>
        <v>60.654008438818565</v>
      </c>
    </row>
    <row r="129" spans="1:93" x14ac:dyDescent="0.3">
      <c r="A129" s="6" t="s">
        <v>9</v>
      </c>
      <c r="B129" s="3">
        <v>9</v>
      </c>
      <c r="C129" s="13" t="s">
        <v>320</v>
      </c>
      <c r="D129" s="14">
        <v>64</v>
      </c>
      <c r="E129" s="38">
        <f>G128</f>
        <v>45.454545454545453</v>
      </c>
      <c r="F129" s="39">
        <v>9</v>
      </c>
      <c r="G129" s="38">
        <f t="shared" si="177"/>
        <v>39.130434782608695</v>
      </c>
      <c r="H129" s="39">
        <v>23</v>
      </c>
      <c r="I129" s="40">
        <f t="shared" si="178"/>
        <v>0.77272727272727271</v>
      </c>
      <c r="J129" s="39">
        <v>17</v>
      </c>
      <c r="K129" s="39">
        <v>15</v>
      </c>
      <c r="L129" s="39">
        <v>5</v>
      </c>
      <c r="M129" s="39">
        <f>Q128</f>
        <v>46.6</v>
      </c>
      <c r="N129" s="39">
        <v>30</v>
      </c>
      <c r="O129" s="41">
        <f t="shared" si="179"/>
        <v>0.45903010033444819</v>
      </c>
      <c r="P129" s="39">
        <v>12</v>
      </c>
      <c r="Q129" s="39">
        <v>48.1</v>
      </c>
      <c r="R129" s="39">
        <v>18</v>
      </c>
      <c r="S129" s="38">
        <f t="shared" si="180"/>
        <v>81.818181818181827</v>
      </c>
      <c r="T129" s="39">
        <v>22</v>
      </c>
      <c r="U129" s="39">
        <v>18</v>
      </c>
      <c r="V129" s="39">
        <f>X128</f>
        <v>76</v>
      </c>
      <c r="W129" s="39">
        <v>14</v>
      </c>
      <c r="X129" s="39">
        <v>79</v>
      </c>
      <c r="Y129" s="39">
        <f>Z129-Z128</f>
        <v>22</v>
      </c>
      <c r="Z129" s="39">
        <f t="shared" si="181"/>
        <v>44</v>
      </c>
      <c r="AA129" s="39">
        <f t="shared" si="182"/>
        <v>3</v>
      </c>
      <c r="AB129" s="39">
        <v>4</v>
      </c>
      <c r="AC129" s="39">
        <f t="shared" si="183"/>
        <v>-10</v>
      </c>
      <c r="AD129" s="39">
        <f>AE128</f>
        <v>12</v>
      </c>
      <c r="AE129" s="39">
        <v>22</v>
      </c>
      <c r="AF129" s="46">
        <f t="shared" si="127"/>
        <v>72.504054054054052</v>
      </c>
      <c r="AG129" s="51">
        <f t="shared" ref="AG129" si="233">AVERAGE(AF128,AF129)</f>
        <v>72.996984108572093</v>
      </c>
      <c r="AH129" s="12">
        <f t="shared" si="221"/>
        <v>32</v>
      </c>
      <c r="AI129" s="12">
        <f t="shared" si="221"/>
        <v>10</v>
      </c>
      <c r="AJ129" s="12">
        <f t="shared" si="221"/>
        <v>36.5</v>
      </c>
      <c r="AK129" s="12">
        <f t="shared" si="221"/>
        <v>26.1</v>
      </c>
      <c r="AL129" s="12">
        <f t="shared" si="221"/>
        <v>1.36</v>
      </c>
      <c r="AM129" s="12">
        <f t="shared" si="221"/>
        <v>15</v>
      </c>
      <c r="AN129" s="12">
        <f t="shared" si="221"/>
        <v>33.71</v>
      </c>
      <c r="AO129" s="12">
        <f t="shared" si="221"/>
        <v>2.5</v>
      </c>
      <c r="AP129" s="12">
        <f t="shared" si="221"/>
        <v>40.200000000000003</v>
      </c>
      <c r="AQ129" s="12">
        <f t="shared" si="221"/>
        <v>28.23</v>
      </c>
      <c r="AR129" s="12">
        <f t="shared" si="222"/>
        <v>0.55000000000000004</v>
      </c>
      <c r="AS129" s="12">
        <f t="shared" si="222"/>
        <v>11.86</v>
      </c>
      <c r="AT129" s="12">
        <f t="shared" si="222"/>
        <v>47.4</v>
      </c>
      <c r="AU129" s="12">
        <f t="shared" si="222"/>
        <v>15.6</v>
      </c>
      <c r="AV129" s="12">
        <f t="shared" si="222"/>
        <v>72</v>
      </c>
      <c r="AW129" s="12">
        <f t="shared" si="222"/>
        <v>18.3</v>
      </c>
      <c r="AX129" s="12">
        <f t="shared" si="222"/>
        <v>12.9</v>
      </c>
      <c r="AY129" s="12">
        <f t="shared" si="222"/>
        <v>66.7</v>
      </c>
      <c r="AZ129" s="12">
        <f t="shared" si="222"/>
        <v>11.23</v>
      </c>
      <c r="BA129" s="12">
        <f t="shared" si="222"/>
        <v>80.400000000000006</v>
      </c>
      <c r="BB129" s="12">
        <f t="shared" si="223"/>
        <v>6.5</v>
      </c>
      <c r="BC129" s="12">
        <f t="shared" si="223"/>
        <v>39.94</v>
      </c>
      <c r="BD129" s="12">
        <f t="shared" si="223"/>
        <v>13.6</v>
      </c>
      <c r="BE129" s="12">
        <f t="shared" si="223"/>
        <v>6.3</v>
      </c>
      <c r="BF129" s="12">
        <f t="shared" si="223"/>
        <v>0.3</v>
      </c>
      <c r="BG129" s="12">
        <f t="shared" si="223"/>
        <v>11.29</v>
      </c>
      <c r="BH129" s="12">
        <f t="shared" si="223"/>
        <v>10.9</v>
      </c>
      <c r="BI129" s="12">
        <f t="shared" si="223"/>
        <v>70.099999999999994</v>
      </c>
      <c r="BJ129" s="12">
        <f t="shared" si="223"/>
        <v>18.75</v>
      </c>
      <c r="BK129" s="12">
        <f t="shared" si="223"/>
        <v>60.654008438818565</v>
      </c>
      <c r="BL129" s="12">
        <f t="shared" si="224"/>
        <v>31</v>
      </c>
      <c r="BM129" s="12">
        <f t="shared" si="224"/>
        <v>7.2</v>
      </c>
      <c r="BN129" s="12">
        <f t="shared" si="224"/>
        <v>34.4</v>
      </c>
      <c r="BO129" s="12">
        <f t="shared" si="224"/>
        <v>22.1</v>
      </c>
      <c r="BP129" s="12">
        <f t="shared" si="224"/>
        <v>1.36</v>
      </c>
      <c r="BQ129" s="12">
        <f t="shared" si="224"/>
        <v>18</v>
      </c>
      <c r="BR129" s="12">
        <f t="shared" si="224"/>
        <v>17.079999999999998</v>
      </c>
      <c r="BS129" s="12">
        <f t="shared" si="224"/>
        <v>2.9</v>
      </c>
      <c r="BT129" s="12">
        <f t="shared" si="224"/>
        <v>42.6</v>
      </c>
      <c r="BU129" s="12">
        <f t="shared" si="224"/>
        <v>25.17</v>
      </c>
      <c r="BV129" s="12">
        <f t="shared" si="225"/>
        <v>0.53100000000000003</v>
      </c>
      <c r="BW129" s="12">
        <f t="shared" si="225"/>
        <v>11.47</v>
      </c>
      <c r="BX129" s="12">
        <f t="shared" si="225"/>
        <v>46.8</v>
      </c>
      <c r="BY129" s="12">
        <f t="shared" si="225"/>
        <v>17.399999999999999</v>
      </c>
      <c r="BZ129" s="12">
        <f t="shared" si="225"/>
        <v>75.099999999999994</v>
      </c>
      <c r="CA129" s="12">
        <f t="shared" si="225"/>
        <v>21.9</v>
      </c>
      <c r="CB129" s="12">
        <f t="shared" si="225"/>
        <v>16.8</v>
      </c>
      <c r="CC129" s="12">
        <f t="shared" si="225"/>
        <v>71.3</v>
      </c>
      <c r="CD129" s="12">
        <f t="shared" si="225"/>
        <v>10.09</v>
      </c>
      <c r="CE129" s="12">
        <f t="shared" si="225"/>
        <v>78.8</v>
      </c>
      <c r="CF129" s="12">
        <f t="shared" si="226"/>
        <v>1.2</v>
      </c>
      <c r="CG129" s="12">
        <f t="shared" si="226"/>
        <v>35.11</v>
      </c>
      <c r="CH129" s="12">
        <f t="shared" si="226"/>
        <v>6.5</v>
      </c>
      <c r="CI129" s="12">
        <f t="shared" si="226"/>
        <v>7.6</v>
      </c>
      <c r="CJ129" s="12">
        <f t="shared" si="226"/>
        <v>0.5</v>
      </c>
      <c r="CK129" s="12">
        <f t="shared" si="226"/>
        <v>13.54</v>
      </c>
      <c r="CL129" s="12">
        <f t="shared" si="226"/>
        <v>13</v>
      </c>
      <c r="CM129" s="12">
        <f t="shared" si="226"/>
        <v>73.400000000000006</v>
      </c>
      <c r="CN129" s="12">
        <f t="shared" si="226"/>
        <v>20.2</v>
      </c>
      <c r="CO129" s="12">
        <f t="shared" si="226"/>
        <v>58.547008547008552</v>
      </c>
    </row>
    <row r="130" spans="1:93" x14ac:dyDescent="0.3">
      <c r="A130" s="6" t="s">
        <v>6</v>
      </c>
      <c r="B130" s="3">
        <v>5</v>
      </c>
      <c r="C130" s="13" t="s">
        <v>9</v>
      </c>
      <c r="D130" s="14">
        <v>65</v>
      </c>
      <c r="E130" s="38">
        <f>G131</f>
        <v>40.909090909090914</v>
      </c>
      <c r="F130" s="39">
        <v>9</v>
      </c>
      <c r="G130" s="38">
        <f t="shared" ref="G130:G135" si="234">F130/H130*100</f>
        <v>50</v>
      </c>
      <c r="H130" s="39">
        <v>18</v>
      </c>
      <c r="I130" s="40">
        <f t="shared" ref="I130:I135" si="235">J130/AE130</f>
        <v>1</v>
      </c>
      <c r="J130" s="39">
        <v>8</v>
      </c>
      <c r="K130" s="39">
        <v>27</v>
      </c>
      <c r="L130" s="39">
        <v>2</v>
      </c>
      <c r="M130" s="39">
        <f>Q131</f>
        <v>44.2</v>
      </c>
      <c r="N130" s="39">
        <v>23</v>
      </c>
      <c r="O130" s="41">
        <f t="shared" ref="O130:O135" si="236">((X130-F130*3-U130)/2+F130*1.5)/(((X130-F130*3-U130)/2+F130)/(G130/100))</f>
        <v>0.59</v>
      </c>
      <c r="P130" s="39">
        <v>2</v>
      </c>
      <c r="Q130" s="39">
        <v>43.9</v>
      </c>
      <c r="R130" s="39">
        <v>17</v>
      </c>
      <c r="S130" s="38">
        <f t="shared" ref="S130:S135" si="237">U130/T130*100</f>
        <v>59.090909090909093</v>
      </c>
      <c r="T130" s="39">
        <v>22</v>
      </c>
      <c r="U130" s="39">
        <v>13</v>
      </c>
      <c r="V130" s="39">
        <f>X131</f>
        <v>71</v>
      </c>
      <c r="W130" s="39">
        <v>12</v>
      </c>
      <c r="X130" s="39">
        <v>72</v>
      </c>
      <c r="Y130" s="39">
        <f>Z130-Z131</f>
        <v>1</v>
      </c>
      <c r="Z130" s="39">
        <f t="shared" ref="Z130:Z135" si="238">W130+N130</f>
        <v>35</v>
      </c>
      <c r="AA130" s="39">
        <f t="shared" ref="AA130:AA135" si="239">X130-V130</f>
        <v>1</v>
      </c>
      <c r="AB130" s="39">
        <v>3</v>
      </c>
      <c r="AC130" s="39">
        <f t="shared" ref="AC130:AC135" si="240">AD130-AE130</f>
        <v>2</v>
      </c>
      <c r="AD130" s="39">
        <f>AE131</f>
        <v>10</v>
      </c>
      <c r="AE130" s="39">
        <v>8</v>
      </c>
      <c r="AF130" s="46">
        <f t="shared" si="127"/>
        <v>63.397608200455579</v>
      </c>
      <c r="AG130" s="51">
        <f t="shared" ref="AG130" si="241">AVERAGE(AF130,AF131)</f>
        <v>63.704403647739099</v>
      </c>
      <c r="AH130" s="12">
        <f t="shared" si="221"/>
        <v>30</v>
      </c>
      <c r="AI130" s="12">
        <f t="shared" si="221"/>
        <v>7.1</v>
      </c>
      <c r="AJ130" s="12">
        <f t="shared" si="221"/>
        <v>35.200000000000003</v>
      </c>
      <c r="AK130" s="12">
        <f t="shared" si="221"/>
        <v>20.399999999999999</v>
      </c>
      <c r="AL130" s="12">
        <f t="shared" si="221"/>
        <v>1.26</v>
      </c>
      <c r="AM130" s="12">
        <f t="shared" si="221"/>
        <v>13.1</v>
      </c>
      <c r="AN130" s="12">
        <f t="shared" si="221"/>
        <v>30.06</v>
      </c>
      <c r="AO130" s="12">
        <f t="shared" si="221"/>
        <v>3.9</v>
      </c>
      <c r="AP130" s="12">
        <f t="shared" si="221"/>
        <v>41.4</v>
      </c>
      <c r="AQ130" s="12">
        <f t="shared" si="221"/>
        <v>25.67</v>
      </c>
      <c r="AR130" s="12">
        <f t="shared" si="222"/>
        <v>0.501</v>
      </c>
      <c r="AS130" s="12">
        <f t="shared" si="222"/>
        <v>8</v>
      </c>
      <c r="AT130" s="12">
        <f t="shared" si="222"/>
        <v>44</v>
      </c>
      <c r="AU130" s="12">
        <f t="shared" si="222"/>
        <v>16.3</v>
      </c>
      <c r="AV130" s="12">
        <f t="shared" si="222"/>
        <v>72</v>
      </c>
      <c r="AW130" s="12">
        <f t="shared" si="222"/>
        <v>19.5</v>
      </c>
      <c r="AX130" s="12">
        <f t="shared" si="222"/>
        <v>14.6</v>
      </c>
      <c r="AY130" s="12">
        <f t="shared" si="222"/>
        <v>64.099999999999994</v>
      </c>
      <c r="AZ130" s="12">
        <f t="shared" si="222"/>
        <v>11.24</v>
      </c>
      <c r="BA130" s="12">
        <f t="shared" si="222"/>
        <v>73.599999999999994</v>
      </c>
      <c r="BB130" s="12">
        <f t="shared" si="223"/>
        <v>4.7</v>
      </c>
      <c r="BC130" s="12">
        <f t="shared" si="223"/>
        <v>37.65</v>
      </c>
      <c r="BD130" s="12">
        <f t="shared" si="223"/>
        <v>8.6</v>
      </c>
      <c r="BE130" s="12">
        <f t="shared" si="223"/>
        <v>6.6</v>
      </c>
      <c r="BF130" s="12">
        <f t="shared" si="223"/>
        <v>0.6</v>
      </c>
      <c r="BG130" s="12">
        <f t="shared" si="223"/>
        <v>11.54</v>
      </c>
      <c r="BH130" s="12">
        <f t="shared" si="223"/>
        <v>10.6</v>
      </c>
      <c r="BI130" s="12">
        <f t="shared" si="223"/>
        <v>68.3</v>
      </c>
      <c r="BJ130" s="12">
        <f t="shared" si="223"/>
        <v>18.849999999999998</v>
      </c>
      <c r="BK130" s="12">
        <f t="shared" si="223"/>
        <v>58.97727272727272</v>
      </c>
      <c r="BL130" s="12">
        <f t="shared" si="224"/>
        <v>32</v>
      </c>
      <c r="BM130" s="12">
        <f t="shared" si="224"/>
        <v>10</v>
      </c>
      <c r="BN130" s="12">
        <f t="shared" si="224"/>
        <v>36.5</v>
      </c>
      <c r="BO130" s="12">
        <f t="shared" si="224"/>
        <v>26.1</v>
      </c>
      <c r="BP130" s="12">
        <f t="shared" si="224"/>
        <v>1.36</v>
      </c>
      <c r="BQ130" s="12">
        <f t="shared" si="224"/>
        <v>15</v>
      </c>
      <c r="BR130" s="12">
        <f t="shared" si="224"/>
        <v>33.71</v>
      </c>
      <c r="BS130" s="12">
        <f t="shared" si="224"/>
        <v>2.5</v>
      </c>
      <c r="BT130" s="12">
        <f t="shared" si="224"/>
        <v>40.200000000000003</v>
      </c>
      <c r="BU130" s="12">
        <f t="shared" si="224"/>
        <v>28.23</v>
      </c>
      <c r="BV130" s="12">
        <f t="shared" si="225"/>
        <v>0.55000000000000004</v>
      </c>
      <c r="BW130" s="12">
        <f t="shared" si="225"/>
        <v>11.86</v>
      </c>
      <c r="BX130" s="12">
        <f t="shared" si="225"/>
        <v>47.4</v>
      </c>
      <c r="BY130" s="12">
        <f t="shared" si="225"/>
        <v>15.6</v>
      </c>
      <c r="BZ130" s="12">
        <f t="shared" si="225"/>
        <v>72</v>
      </c>
      <c r="CA130" s="12">
        <f t="shared" si="225"/>
        <v>18.3</v>
      </c>
      <c r="CB130" s="12">
        <f t="shared" si="225"/>
        <v>12.9</v>
      </c>
      <c r="CC130" s="12">
        <f t="shared" si="225"/>
        <v>66.7</v>
      </c>
      <c r="CD130" s="12">
        <f t="shared" si="225"/>
        <v>11.23</v>
      </c>
      <c r="CE130" s="12">
        <f t="shared" si="225"/>
        <v>80.400000000000006</v>
      </c>
      <c r="CF130" s="12">
        <f t="shared" si="226"/>
        <v>6.5</v>
      </c>
      <c r="CG130" s="12">
        <f t="shared" si="226"/>
        <v>39.94</v>
      </c>
      <c r="CH130" s="12">
        <f t="shared" si="226"/>
        <v>13.6</v>
      </c>
      <c r="CI130" s="12">
        <f t="shared" si="226"/>
        <v>6.3</v>
      </c>
      <c r="CJ130" s="12">
        <f t="shared" si="226"/>
        <v>0.3</v>
      </c>
      <c r="CK130" s="12">
        <f t="shared" si="226"/>
        <v>11.29</v>
      </c>
      <c r="CL130" s="12">
        <f t="shared" si="226"/>
        <v>10.9</v>
      </c>
      <c r="CM130" s="12">
        <f t="shared" si="226"/>
        <v>70.099999999999994</v>
      </c>
      <c r="CN130" s="12">
        <f t="shared" si="226"/>
        <v>18.75</v>
      </c>
      <c r="CO130" s="12">
        <f t="shared" si="226"/>
        <v>60.654008438818565</v>
      </c>
    </row>
    <row r="131" spans="1:93" x14ac:dyDescent="0.3">
      <c r="A131" s="6" t="s">
        <v>9</v>
      </c>
      <c r="B131" s="3">
        <v>9</v>
      </c>
      <c r="C131" s="13" t="s">
        <v>6</v>
      </c>
      <c r="D131" s="14">
        <v>65</v>
      </c>
      <c r="E131" s="38">
        <f>G130</f>
        <v>50</v>
      </c>
      <c r="F131" s="39">
        <v>9</v>
      </c>
      <c r="G131" s="38">
        <f t="shared" si="234"/>
        <v>40.909090909090914</v>
      </c>
      <c r="H131" s="39">
        <v>22</v>
      </c>
      <c r="I131" s="40">
        <f t="shared" si="235"/>
        <v>0.6</v>
      </c>
      <c r="J131" s="39">
        <v>6</v>
      </c>
      <c r="K131" s="39">
        <v>15</v>
      </c>
      <c r="L131" s="39">
        <v>2</v>
      </c>
      <c r="M131" s="39">
        <f>Q130</f>
        <v>43.9</v>
      </c>
      <c r="N131" s="39">
        <v>26</v>
      </c>
      <c r="O131" s="41">
        <f t="shared" si="236"/>
        <v>0.4891304347826087</v>
      </c>
      <c r="P131" s="39">
        <v>0</v>
      </c>
      <c r="Q131" s="39">
        <v>44.2</v>
      </c>
      <c r="R131" s="39">
        <v>17</v>
      </c>
      <c r="S131" s="38">
        <f t="shared" si="237"/>
        <v>76.19047619047619</v>
      </c>
      <c r="T131" s="39">
        <v>21</v>
      </c>
      <c r="U131" s="39">
        <v>16</v>
      </c>
      <c r="V131" s="39">
        <f>X130</f>
        <v>72</v>
      </c>
      <c r="W131" s="39">
        <v>8</v>
      </c>
      <c r="X131" s="39">
        <v>71</v>
      </c>
      <c r="Y131" s="39">
        <f>Z131-Z130</f>
        <v>-1</v>
      </c>
      <c r="Z131" s="39">
        <f t="shared" si="238"/>
        <v>34</v>
      </c>
      <c r="AA131" s="39">
        <f t="shared" si="239"/>
        <v>-1</v>
      </c>
      <c r="AB131" s="39">
        <v>6</v>
      </c>
      <c r="AC131" s="39">
        <f t="shared" si="240"/>
        <v>-2</v>
      </c>
      <c r="AD131" s="39">
        <f>AE130</f>
        <v>8</v>
      </c>
      <c r="AE131" s="39">
        <v>10</v>
      </c>
      <c r="AF131" s="46">
        <f t="shared" ref="AF131:AF135" si="242">(ROUND(((X131-U131-3*F131)/2),0)+F131)/Q131*100-W131+AE131+T131*0.475</f>
        <v>64.011199095022619</v>
      </c>
      <c r="AG131" s="51">
        <f t="shared" ref="AG131" si="243">AVERAGE(AF130,AF131)</f>
        <v>63.704403647739099</v>
      </c>
      <c r="AH131" s="12">
        <f t="shared" si="221"/>
        <v>32</v>
      </c>
      <c r="AI131" s="12">
        <f t="shared" si="221"/>
        <v>10</v>
      </c>
      <c r="AJ131" s="12">
        <f t="shared" si="221"/>
        <v>36.5</v>
      </c>
      <c r="AK131" s="12">
        <f t="shared" si="221"/>
        <v>26.1</v>
      </c>
      <c r="AL131" s="12">
        <f t="shared" si="221"/>
        <v>1.36</v>
      </c>
      <c r="AM131" s="12">
        <f t="shared" si="221"/>
        <v>15</v>
      </c>
      <c r="AN131" s="12">
        <f t="shared" si="221"/>
        <v>33.71</v>
      </c>
      <c r="AO131" s="12">
        <f t="shared" si="221"/>
        <v>2.5</v>
      </c>
      <c r="AP131" s="12">
        <f t="shared" si="221"/>
        <v>40.200000000000003</v>
      </c>
      <c r="AQ131" s="12">
        <f t="shared" si="221"/>
        <v>28.23</v>
      </c>
      <c r="AR131" s="12">
        <f t="shared" si="222"/>
        <v>0.55000000000000004</v>
      </c>
      <c r="AS131" s="12">
        <f t="shared" si="222"/>
        <v>11.86</v>
      </c>
      <c r="AT131" s="12">
        <f t="shared" si="222"/>
        <v>47.4</v>
      </c>
      <c r="AU131" s="12">
        <f t="shared" si="222"/>
        <v>15.6</v>
      </c>
      <c r="AV131" s="12">
        <f t="shared" si="222"/>
        <v>72</v>
      </c>
      <c r="AW131" s="12">
        <f t="shared" si="222"/>
        <v>18.3</v>
      </c>
      <c r="AX131" s="12">
        <f t="shared" si="222"/>
        <v>12.9</v>
      </c>
      <c r="AY131" s="12">
        <f t="shared" si="222"/>
        <v>66.7</v>
      </c>
      <c r="AZ131" s="12">
        <f t="shared" si="222"/>
        <v>11.23</v>
      </c>
      <c r="BA131" s="12">
        <f t="shared" si="222"/>
        <v>80.400000000000006</v>
      </c>
      <c r="BB131" s="12">
        <f t="shared" si="223"/>
        <v>6.5</v>
      </c>
      <c r="BC131" s="12">
        <f t="shared" si="223"/>
        <v>39.94</v>
      </c>
      <c r="BD131" s="12">
        <f t="shared" si="223"/>
        <v>13.6</v>
      </c>
      <c r="BE131" s="12">
        <f t="shared" si="223"/>
        <v>6.3</v>
      </c>
      <c r="BF131" s="12">
        <f t="shared" si="223"/>
        <v>0.3</v>
      </c>
      <c r="BG131" s="12">
        <f t="shared" si="223"/>
        <v>11.29</v>
      </c>
      <c r="BH131" s="12">
        <f t="shared" si="223"/>
        <v>10.9</v>
      </c>
      <c r="BI131" s="12">
        <f t="shared" si="223"/>
        <v>70.099999999999994</v>
      </c>
      <c r="BJ131" s="12">
        <f t="shared" si="223"/>
        <v>18.75</v>
      </c>
      <c r="BK131" s="12">
        <f t="shared" si="223"/>
        <v>60.654008438818565</v>
      </c>
      <c r="BL131" s="12">
        <f t="shared" si="224"/>
        <v>30</v>
      </c>
      <c r="BM131" s="12">
        <f t="shared" si="224"/>
        <v>7.1</v>
      </c>
      <c r="BN131" s="12">
        <f t="shared" si="224"/>
        <v>35.200000000000003</v>
      </c>
      <c r="BO131" s="12">
        <f t="shared" si="224"/>
        <v>20.399999999999999</v>
      </c>
      <c r="BP131" s="12">
        <f t="shared" si="224"/>
        <v>1.26</v>
      </c>
      <c r="BQ131" s="12">
        <f t="shared" si="224"/>
        <v>13.1</v>
      </c>
      <c r="BR131" s="12">
        <f t="shared" si="224"/>
        <v>30.06</v>
      </c>
      <c r="BS131" s="12">
        <f t="shared" si="224"/>
        <v>3.9</v>
      </c>
      <c r="BT131" s="12">
        <f t="shared" si="224"/>
        <v>41.4</v>
      </c>
      <c r="BU131" s="12">
        <f t="shared" si="224"/>
        <v>25.67</v>
      </c>
      <c r="BV131" s="12">
        <f t="shared" si="225"/>
        <v>0.501</v>
      </c>
      <c r="BW131" s="12">
        <f t="shared" si="225"/>
        <v>8</v>
      </c>
      <c r="BX131" s="12">
        <f t="shared" si="225"/>
        <v>44</v>
      </c>
      <c r="BY131" s="12">
        <f t="shared" si="225"/>
        <v>16.3</v>
      </c>
      <c r="BZ131" s="12">
        <f t="shared" si="225"/>
        <v>72</v>
      </c>
      <c r="CA131" s="12">
        <f t="shared" si="225"/>
        <v>19.5</v>
      </c>
      <c r="CB131" s="12">
        <f t="shared" si="225"/>
        <v>14.6</v>
      </c>
      <c r="CC131" s="12">
        <f t="shared" si="225"/>
        <v>64.099999999999994</v>
      </c>
      <c r="CD131" s="12">
        <f t="shared" si="225"/>
        <v>11.24</v>
      </c>
      <c r="CE131" s="12">
        <f t="shared" si="225"/>
        <v>73.599999999999994</v>
      </c>
      <c r="CF131" s="12">
        <f t="shared" si="226"/>
        <v>4.7</v>
      </c>
      <c r="CG131" s="12">
        <f t="shared" si="226"/>
        <v>37.65</v>
      </c>
      <c r="CH131" s="12">
        <f t="shared" si="226"/>
        <v>8.6</v>
      </c>
      <c r="CI131" s="12">
        <f t="shared" si="226"/>
        <v>6.6</v>
      </c>
      <c r="CJ131" s="12">
        <f t="shared" si="226"/>
        <v>0.6</v>
      </c>
      <c r="CK131" s="12">
        <f t="shared" si="226"/>
        <v>11.54</v>
      </c>
      <c r="CL131" s="12">
        <f t="shared" si="226"/>
        <v>10.6</v>
      </c>
      <c r="CM131" s="12">
        <f t="shared" si="226"/>
        <v>68.3</v>
      </c>
      <c r="CN131" s="12">
        <f t="shared" si="226"/>
        <v>18.849999999999998</v>
      </c>
      <c r="CO131" s="12">
        <f t="shared" si="226"/>
        <v>58.97727272727272</v>
      </c>
    </row>
    <row r="132" spans="1:93" x14ac:dyDescent="0.3">
      <c r="A132" s="6" t="s">
        <v>2</v>
      </c>
      <c r="B132" s="3">
        <v>4</v>
      </c>
      <c r="C132" s="13" t="s">
        <v>313</v>
      </c>
      <c r="D132" s="14">
        <v>66</v>
      </c>
      <c r="E132" s="38">
        <f>G133</f>
        <v>35</v>
      </c>
      <c r="F132" s="39">
        <v>9</v>
      </c>
      <c r="G132" s="38">
        <f t="shared" si="234"/>
        <v>34.615384615384613</v>
      </c>
      <c r="H132" s="39">
        <v>26</v>
      </c>
      <c r="I132" s="40">
        <f t="shared" si="235"/>
        <v>1.2666666666666666</v>
      </c>
      <c r="J132" s="39">
        <v>19</v>
      </c>
      <c r="K132" s="39">
        <v>17</v>
      </c>
      <c r="L132" s="39">
        <v>5</v>
      </c>
      <c r="M132" s="39">
        <f>Q133</f>
        <v>32.299999999999997</v>
      </c>
      <c r="N132" s="39">
        <v>28</v>
      </c>
      <c r="O132" s="41">
        <f t="shared" si="236"/>
        <v>0.4017857142857143</v>
      </c>
      <c r="P132" s="39">
        <v>2</v>
      </c>
      <c r="Q132" s="39">
        <v>49.1</v>
      </c>
      <c r="R132" s="39">
        <v>11</v>
      </c>
      <c r="S132" s="38">
        <f t="shared" si="237"/>
        <v>53.846153846153847</v>
      </c>
      <c r="T132" s="39">
        <v>13</v>
      </c>
      <c r="U132" s="39">
        <v>7</v>
      </c>
      <c r="V132" s="39">
        <f>X133</f>
        <v>59</v>
      </c>
      <c r="W132" s="39">
        <v>13</v>
      </c>
      <c r="X132" s="39">
        <v>72</v>
      </c>
      <c r="Y132" s="39">
        <f>Z132-Z133</f>
        <v>9</v>
      </c>
      <c r="Z132" s="39">
        <f t="shared" si="238"/>
        <v>41</v>
      </c>
      <c r="AA132" s="39">
        <f t="shared" si="239"/>
        <v>13</v>
      </c>
      <c r="AB132" s="39">
        <v>5</v>
      </c>
      <c r="AC132" s="39">
        <f t="shared" si="240"/>
        <v>-6</v>
      </c>
      <c r="AD132" s="39">
        <f>AE133</f>
        <v>9</v>
      </c>
      <c r="AE132" s="39">
        <v>15</v>
      </c>
      <c r="AF132" s="46">
        <f t="shared" si="242"/>
        <v>65.201476578411402</v>
      </c>
      <c r="AG132" s="51">
        <f t="shared" ref="AG132" si="244">AVERAGE(AF132,AF133)</f>
        <v>63.910490611187129</v>
      </c>
      <c r="AH132" s="12">
        <f t="shared" si="221"/>
        <v>30.2</v>
      </c>
      <c r="AI132" s="12">
        <f t="shared" si="221"/>
        <v>9.1</v>
      </c>
      <c r="AJ132" s="12">
        <f t="shared" si="221"/>
        <v>36.1</v>
      </c>
      <c r="AK132" s="12">
        <f t="shared" si="221"/>
        <v>24.9</v>
      </c>
      <c r="AL132" s="12">
        <f t="shared" si="221"/>
        <v>1.54</v>
      </c>
      <c r="AM132" s="12">
        <f t="shared" si="221"/>
        <v>18.5</v>
      </c>
      <c r="AN132" s="12">
        <f t="shared" si="221"/>
        <v>21.08</v>
      </c>
      <c r="AO132" s="12">
        <f t="shared" si="221"/>
        <v>4.5999999999999996</v>
      </c>
      <c r="AP132" s="12">
        <f t="shared" si="221"/>
        <v>39.6</v>
      </c>
      <c r="AQ132" s="12">
        <f t="shared" si="221"/>
        <v>26.97</v>
      </c>
      <c r="AR132" s="12">
        <f t="shared" si="222"/>
        <v>0.54700000000000004</v>
      </c>
      <c r="AS132" s="12">
        <f t="shared" si="222"/>
        <v>10.91</v>
      </c>
      <c r="AT132" s="12">
        <f t="shared" si="222"/>
        <v>46.9</v>
      </c>
      <c r="AU132" s="12">
        <f t="shared" si="222"/>
        <v>17.3</v>
      </c>
      <c r="AV132" s="12">
        <f t="shared" si="222"/>
        <v>75.900000000000006</v>
      </c>
      <c r="AW132" s="12">
        <f t="shared" si="222"/>
        <v>19.100000000000001</v>
      </c>
      <c r="AX132" s="12">
        <f t="shared" si="222"/>
        <v>15.1</v>
      </c>
      <c r="AY132" s="12">
        <f t="shared" si="222"/>
        <v>66.7</v>
      </c>
      <c r="AZ132" s="12">
        <f t="shared" si="222"/>
        <v>13.43</v>
      </c>
      <c r="BA132" s="12">
        <f t="shared" si="222"/>
        <v>81.400000000000006</v>
      </c>
      <c r="BB132" s="12">
        <f t="shared" si="223"/>
        <v>9.9</v>
      </c>
      <c r="BC132" s="12">
        <f t="shared" si="223"/>
        <v>41.08</v>
      </c>
      <c r="BD132" s="12">
        <f t="shared" si="223"/>
        <v>17.7</v>
      </c>
      <c r="BE132" s="12">
        <f t="shared" si="223"/>
        <v>6.1</v>
      </c>
      <c r="BF132" s="12">
        <f t="shared" si="223"/>
        <v>-0.1</v>
      </c>
      <c r="BG132" s="12">
        <f t="shared" si="223"/>
        <v>11.44</v>
      </c>
      <c r="BH132" s="12">
        <f t="shared" si="223"/>
        <v>11.9</v>
      </c>
      <c r="BI132" s="12">
        <f t="shared" si="223"/>
        <v>70.099999999999994</v>
      </c>
      <c r="BJ132" s="12">
        <f t="shared" si="223"/>
        <v>19.500000000000007</v>
      </c>
      <c r="BK132" s="12">
        <f t="shared" si="223"/>
        <v>60.9808102345416</v>
      </c>
      <c r="BL132" s="12">
        <f t="shared" si="224"/>
        <v>33.5</v>
      </c>
      <c r="BM132" s="12">
        <f t="shared" si="224"/>
        <v>7.6</v>
      </c>
      <c r="BN132" s="12">
        <f t="shared" si="224"/>
        <v>36.799999999999997</v>
      </c>
      <c r="BO132" s="12">
        <f t="shared" si="224"/>
        <v>21.6</v>
      </c>
      <c r="BP132" s="12">
        <f t="shared" si="224"/>
        <v>1.47</v>
      </c>
      <c r="BQ132" s="12">
        <f t="shared" si="224"/>
        <v>15</v>
      </c>
      <c r="BR132" s="12">
        <f t="shared" si="224"/>
        <v>12.97</v>
      </c>
      <c r="BS132" s="12">
        <f t="shared" si="224"/>
        <v>3.1</v>
      </c>
      <c r="BT132" s="12">
        <f t="shared" si="224"/>
        <v>44.9</v>
      </c>
      <c r="BU132" s="12">
        <f t="shared" si="224"/>
        <v>24.63</v>
      </c>
      <c r="BV132" s="12">
        <f t="shared" si="225"/>
        <v>0.54900000000000004</v>
      </c>
      <c r="BW132" s="12">
        <f t="shared" si="225"/>
        <v>14.09</v>
      </c>
      <c r="BX132" s="12">
        <f t="shared" si="225"/>
        <v>48.7</v>
      </c>
      <c r="BY132" s="12">
        <f t="shared" si="225"/>
        <v>13.7</v>
      </c>
      <c r="BZ132" s="12">
        <f t="shared" si="225"/>
        <v>78</v>
      </c>
      <c r="CA132" s="12">
        <f t="shared" si="225"/>
        <v>18.600000000000001</v>
      </c>
      <c r="CB132" s="12">
        <f t="shared" si="225"/>
        <v>15.2</v>
      </c>
      <c r="CC132" s="12">
        <f t="shared" si="225"/>
        <v>73.599999999999994</v>
      </c>
      <c r="CD132" s="12">
        <f t="shared" si="225"/>
        <v>10.83</v>
      </c>
      <c r="CE132" s="12">
        <f t="shared" si="225"/>
        <v>81.900000000000006</v>
      </c>
      <c r="CF132" s="12">
        <f t="shared" si="226"/>
        <v>3.6</v>
      </c>
      <c r="CG132" s="12">
        <f t="shared" si="226"/>
        <v>35.18</v>
      </c>
      <c r="CH132" s="12">
        <f t="shared" si="226"/>
        <v>7.7</v>
      </c>
      <c r="CI132" s="12">
        <f t="shared" si="226"/>
        <v>7.1</v>
      </c>
      <c r="CJ132" s="12">
        <f t="shared" si="226"/>
        <v>0.8</v>
      </c>
      <c r="CK132" s="12">
        <f t="shared" si="226"/>
        <v>11.36</v>
      </c>
      <c r="CL132" s="12">
        <f t="shared" si="226"/>
        <v>10.1</v>
      </c>
      <c r="CM132" s="12">
        <f t="shared" si="226"/>
        <v>70.599999999999994</v>
      </c>
      <c r="CN132" s="12">
        <f t="shared" si="226"/>
        <v>21.950000000000003</v>
      </c>
      <c r="CO132" s="12">
        <f t="shared" si="226"/>
        <v>60.677618069815203</v>
      </c>
    </row>
    <row r="133" spans="1:93" x14ac:dyDescent="0.3">
      <c r="A133" s="6" t="s">
        <v>313</v>
      </c>
      <c r="B133" s="3">
        <v>5</v>
      </c>
      <c r="C133" s="13" t="s">
        <v>2</v>
      </c>
      <c r="D133" s="14">
        <v>66</v>
      </c>
      <c r="E133" s="38">
        <f>G132</f>
        <v>34.615384615384613</v>
      </c>
      <c r="F133" s="39">
        <v>7</v>
      </c>
      <c r="G133" s="38">
        <f t="shared" si="234"/>
        <v>35</v>
      </c>
      <c r="H133" s="39">
        <v>20</v>
      </c>
      <c r="I133" s="40">
        <f t="shared" si="235"/>
        <v>1.1111111111111112</v>
      </c>
      <c r="J133" s="39">
        <v>10</v>
      </c>
      <c r="K133" s="39">
        <v>17</v>
      </c>
      <c r="L133" s="39">
        <v>1</v>
      </c>
      <c r="M133" s="39">
        <f>Q132</f>
        <v>49.1</v>
      </c>
      <c r="N133" s="39">
        <v>18</v>
      </c>
      <c r="O133" s="41">
        <f t="shared" si="236"/>
        <v>0.41125</v>
      </c>
      <c r="P133" s="39">
        <v>8</v>
      </c>
      <c r="Q133" s="39">
        <v>32.299999999999997</v>
      </c>
      <c r="R133" s="39">
        <v>12</v>
      </c>
      <c r="S133" s="38">
        <f t="shared" si="237"/>
        <v>100</v>
      </c>
      <c r="T133" s="39">
        <v>12</v>
      </c>
      <c r="U133" s="39">
        <v>12</v>
      </c>
      <c r="V133" s="39">
        <f>X132</f>
        <v>72</v>
      </c>
      <c r="W133" s="39">
        <v>14</v>
      </c>
      <c r="X133" s="39">
        <v>59</v>
      </c>
      <c r="Y133" s="39">
        <f>Z133-Z132</f>
        <v>-9</v>
      </c>
      <c r="Z133" s="39">
        <f t="shared" si="238"/>
        <v>32</v>
      </c>
      <c r="AA133" s="39">
        <f t="shared" si="239"/>
        <v>-13</v>
      </c>
      <c r="AB133" s="39">
        <v>8</v>
      </c>
      <c r="AC133" s="39">
        <f t="shared" si="240"/>
        <v>6</v>
      </c>
      <c r="AD133" s="39">
        <f>AE132</f>
        <v>15</v>
      </c>
      <c r="AE133" s="39">
        <v>9</v>
      </c>
      <c r="AF133" s="46">
        <f t="shared" si="242"/>
        <v>62.619504643962856</v>
      </c>
      <c r="AG133" s="51">
        <f t="shared" ref="AG133" si="245">AVERAGE(AF132,AF133)</f>
        <v>63.910490611187129</v>
      </c>
      <c r="AH133" s="12">
        <f t="shared" si="221"/>
        <v>33.5</v>
      </c>
      <c r="AI133" s="12">
        <f t="shared" si="221"/>
        <v>7.6</v>
      </c>
      <c r="AJ133" s="12">
        <f t="shared" si="221"/>
        <v>36.799999999999997</v>
      </c>
      <c r="AK133" s="12">
        <f t="shared" si="221"/>
        <v>21.6</v>
      </c>
      <c r="AL133" s="12">
        <f t="shared" si="221"/>
        <v>1.47</v>
      </c>
      <c r="AM133" s="12">
        <f t="shared" si="221"/>
        <v>15</v>
      </c>
      <c r="AN133" s="12">
        <f t="shared" si="221"/>
        <v>12.97</v>
      </c>
      <c r="AO133" s="12">
        <f t="shared" si="221"/>
        <v>3.1</v>
      </c>
      <c r="AP133" s="12">
        <f t="shared" si="221"/>
        <v>44.9</v>
      </c>
      <c r="AQ133" s="12">
        <f t="shared" si="221"/>
        <v>24.63</v>
      </c>
      <c r="AR133" s="12">
        <f t="shared" si="222"/>
        <v>0.54900000000000004</v>
      </c>
      <c r="AS133" s="12">
        <f t="shared" si="222"/>
        <v>14.09</v>
      </c>
      <c r="AT133" s="12">
        <f t="shared" si="222"/>
        <v>48.7</v>
      </c>
      <c r="AU133" s="12">
        <f t="shared" si="222"/>
        <v>13.7</v>
      </c>
      <c r="AV133" s="12">
        <f t="shared" si="222"/>
        <v>78</v>
      </c>
      <c r="AW133" s="12">
        <f t="shared" si="222"/>
        <v>18.600000000000001</v>
      </c>
      <c r="AX133" s="12">
        <f t="shared" si="222"/>
        <v>15.2</v>
      </c>
      <c r="AY133" s="12">
        <f t="shared" si="222"/>
        <v>73.599999999999994</v>
      </c>
      <c r="AZ133" s="12">
        <f t="shared" si="222"/>
        <v>10.83</v>
      </c>
      <c r="BA133" s="12">
        <f t="shared" si="222"/>
        <v>81.900000000000006</v>
      </c>
      <c r="BB133" s="12">
        <f t="shared" si="223"/>
        <v>3.6</v>
      </c>
      <c r="BC133" s="12">
        <f t="shared" si="223"/>
        <v>35.18</v>
      </c>
      <c r="BD133" s="12">
        <f t="shared" si="223"/>
        <v>7.7</v>
      </c>
      <c r="BE133" s="12">
        <f t="shared" si="223"/>
        <v>7.1</v>
      </c>
      <c r="BF133" s="12">
        <f t="shared" si="223"/>
        <v>0.8</v>
      </c>
      <c r="BG133" s="12">
        <f t="shared" si="223"/>
        <v>11.36</v>
      </c>
      <c r="BH133" s="12">
        <f t="shared" si="223"/>
        <v>10.1</v>
      </c>
      <c r="BI133" s="12">
        <f t="shared" si="223"/>
        <v>70.599999999999994</v>
      </c>
      <c r="BJ133" s="12">
        <f t="shared" si="223"/>
        <v>21.950000000000003</v>
      </c>
      <c r="BK133" s="12">
        <f t="shared" si="223"/>
        <v>60.677618069815203</v>
      </c>
      <c r="BL133" s="12">
        <f t="shared" si="224"/>
        <v>30.2</v>
      </c>
      <c r="BM133" s="12">
        <f t="shared" si="224"/>
        <v>9.1</v>
      </c>
      <c r="BN133" s="12">
        <f t="shared" si="224"/>
        <v>36.1</v>
      </c>
      <c r="BO133" s="12">
        <f t="shared" si="224"/>
        <v>24.9</v>
      </c>
      <c r="BP133" s="12">
        <f t="shared" si="224"/>
        <v>1.54</v>
      </c>
      <c r="BQ133" s="12">
        <f t="shared" si="224"/>
        <v>18.5</v>
      </c>
      <c r="BR133" s="12">
        <f t="shared" si="224"/>
        <v>21.08</v>
      </c>
      <c r="BS133" s="12">
        <f t="shared" si="224"/>
        <v>4.5999999999999996</v>
      </c>
      <c r="BT133" s="12">
        <f t="shared" si="224"/>
        <v>39.6</v>
      </c>
      <c r="BU133" s="12">
        <f t="shared" si="224"/>
        <v>26.97</v>
      </c>
      <c r="BV133" s="12">
        <f t="shared" si="225"/>
        <v>0.54700000000000004</v>
      </c>
      <c r="BW133" s="12">
        <f t="shared" si="225"/>
        <v>10.91</v>
      </c>
      <c r="BX133" s="12">
        <f t="shared" si="225"/>
        <v>46.9</v>
      </c>
      <c r="BY133" s="12">
        <f t="shared" si="225"/>
        <v>17.3</v>
      </c>
      <c r="BZ133" s="12">
        <f t="shared" si="225"/>
        <v>75.900000000000006</v>
      </c>
      <c r="CA133" s="12">
        <f t="shared" si="225"/>
        <v>19.100000000000001</v>
      </c>
      <c r="CB133" s="12">
        <f t="shared" si="225"/>
        <v>15.1</v>
      </c>
      <c r="CC133" s="12">
        <f t="shared" si="225"/>
        <v>66.7</v>
      </c>
      <c r="CD133" s="12">
        <f t="shared" si="225"/>
        <v>13.43</v>
      </c>
      <c r="CE133" s="12">
        <f t="shared" si="225"/>
        <v>81.400000000000006</v>
      </c>
      <c r="CF133" s="12">
        <f t="shared" si="226"/>
        <v>9.9</v>
      </c>
      <c r="CG133" s="12">
        <f t="shared" si="226"/>
        <v>41.08</v>
      </c>
      <c r="CH133" s="12">
        <f t="shared" si="226"/>
        <v>17.7</v>
      </c>
      <c r="CI133" s="12">
        <f t="shared" si="226"/>
        <v>6.1</v>
      </c>
      <c r="CJ133" s="12">
        <f t="shared" si="226"/>
        <v>-0.1</v>
      </c>
      <c r="CK133" s="12">
        <f t="shared" si="226"/>
        <v>11.44</v>
      </c>
      <c r="CL133" s="12">
        <f t="shared" si="226"/>
        <v>11.9</v>
      </c>
      <c r="CM133" s="12">
        <f t="shared" si="226"/>
        <v>70.099999999999994</v>
      </c>
      <c r="CN133" s="12">
        <f t="shared" si="226"/>
        <v>19.500000000000007</v>
      </c>
      <c r="CO133" s="12">
        <f t="shared" si="226"/>
        <v>60.9808102345416</v>
      </c>
    </row>
    <row r="134" spans="1:93" x14ac:dyDescent="0.3">
      <c r="A134" s="6" t="s">
        <v>2</v>
      </c>
      <c r="B134" s="3">
        <v>4</v>
      </c>
      <c r="C134" s="13" t="s">
        <v>6</v>
      </c>
      <c r="D134" s="14">
        <v>67</v>
      </c>
      <c r="E134" s="38">
        <f>G135</f>
        <v>26.086956521739129</v>
      </c>
      <c r="F134" s="39">
        <v>6</v>
      </c>
      <c r="G134" s="38">
        <f t="shared" si="234"/>
        <v>35.294117647058826</v>
      </c>
      <c r="H134" s="39">
        <v>17</v>
      </c>
      <c r="I134" s="40">
        <f t="shared" si="235"/>
        <v>1</v>
      </c>
      <c r="J134" s="39">
        <v>13</v>
      </c>
      <c r="K134" s="39">
        <v>16</v>
      </c>
      <c r="L134" s="39">
        <v>6</v>
      </c>
      <c r="M134" s="39">
        <f>Q135</f>
        <v>32.200000000000003</v>
      </c>
      <c r="N134" s="39">
        <v>30</v>
      </c>
      <c r="O134" s="41">
        <f t="shared" si="236"/>
        <v>0.39897698209718674</v>
      </c>
      <c r="P134" s="39">
        <v>5</v>
      </c>
      <c r="Q134" s="39">
        <v>43.4</v>
      </c>
      <c r="R134" s="39">
        <v>15</v>
      </c>
      <c r="S134" s="38">
        <f t="shared" si="237"/>
        <v>88.888888888888886</v>
      </c>
      <c r="T134" s="39">
        <v>27</v>
      </c>
      <c r="U134" s="39">
        <v>24</v>
      </c>
      <c r="V134" s="39">
        <f>X135</f>
        <v>59</v>
      </c>
      <c r="W134" s="39">
        <v>10</v>
      </c>
      <c r="X134" s="39">
        <v>76</v>
      </c>
      <c r="Y134" s="39">
        <f>Z134-Z135</f>
        <v>6</v>
      </c>
      <c r="Z134" s="39">
        <f t="shared" si="238"/>
        <v>40</v>
      </c>
      <c r="AA134" s="39">
        <f t="shared" si="239"/>
        <v>17</v>
      </c>
      <c r="AB134" s="39">
        <v>8</v>
      </c>
      <c r="AC134" s="39">
        <f t="shared" si="240"/>
        <v>-1</v>
      </c>
      <c r="AD134" s="39">
        <f>AE135</f>
        <v>12</v>
      </c>
      <c r="AE134" s="39">
        <v>13</v>
      </c>
      <c r="AF134" s="46">
        <f t="shared" si="242"/>
        <v>68.820391705069127</v>
      </c>
      <c r="AG134" s="51">
        <f t="shared" ref="AG134" si="246">AVERAGE(AF134,AF135)</f>
        <v>68.663301442596662</v>
      </c>
      <c r="AH134" s="12">
        <f t="shared" si="221"/>
        <v>30.2</v>
      </c>
      <c r="AI134" s="12">
        <f t="shared" si="221"/>
        <v>9.1</v>
      </c>
      <c r="AJ134" s="12">
        <f t="shared" si="221"/>
        <v>36.1</v>
      </c>
      <c r="AK134" s="12">
        <f t="shared" si="221"/>
        <v>24.9</v>
      </c>
      <c r="AL134" s="12">
        <f t="shared" si="221"/>
        <v>1.54</v>
      </c>
      <c r="AM134" s="12">
        <f t="shared" si="221"/>
        <v>18.5</v>
      </c>
      <c r="AN134" s="12">
        <f t="shared" si="221"/>
        <v>21.08</v>
      </c>
      <c r="AO134" s="12">
        <f t="shared" si="221"/>
        <v>4.5999999999999996</v>
      </c>
      <c r="AP134" s="12">
        <f t="shared" si="221"/>
        <v>39.6</v>
      </c>
      <c r="AQ134" s="12">
        <f t="shared" si="221"/>
        <v>26.97</v>
      </c>
      <c r="AR134" s="12">
        <f t="shared" si="222"/>
        <v>0.54700000000000004</v>
      </c>
      <c r="AS134" s="12">
        <f t="shared" si="222"/>
        <v>10.91</v>
      </c>
      <c r="AT134" s="12">
        <f t="shared" si="222"/>
        <v>46.9</v>
      </c>
      <c r="AU134" s="12">
        <f t="shared" si="222"/>
        <v>17.3</v>
      </c>
      <c r="AV134" s="12">
        <f t="shared" si="222"/>
        <v>75.900000000000006</v>
      </c>
      <c r="AW134" s="12">
        <f t="shared" si="222"/>
        <v>19.100000000000001</v>
      </c>
      <c r="AX134" s="12">
        <f t="shared" si="222"/>
        <v>15.1</v>
      </c>
      <c r="AY134" s="12">
        <f t="shared" si="222"/>
        <v>66.7</v>
      </c>
      <c r="AZ134" s="12">
        <f t="shared" si="222"/>
        <v>13.43</v>
      </c>
      <c r="BA134" s="12">
        <f t="shared" si="222"/>
        <v>81.400000000000006</v>
      </c>
      <c r="BB134" s="12">
        <f t="shared" si="223"/>
        <v>9.9</v>
      </c>
      <c r="BC134" s="12">
        <f t="shared" si="223"/>
        <v>41.08</v>
      </c>
      <c r="BD134" s="12">
        <f t="shared" si="223"/>
        <v>17.7</v>
      </c>
      <c r="BE134" s="12">
        <f t="shared" si="223"/>
        <v>6.1</v>
      </c>
      <c r="BF134" s="12">
        <f t="shared" si="223"/>
        <v>-0.1</v>
      </c>
      <c r="BG134" s="12">
        <f t="shared" si="223"/>
        <v>11.44</v>
      </c>
      <c r="BH134" s="12">
        <f t="shared" si="223"/>
        <v>11.9</v>
      </c>
      <c r="BI134" s="12">
        <f t="shared" si="223"/>
        <v>70.099999999999994</v>
      </c>
      <c r="BJ134" s="12">
        <f t="shared" si="223"/>
        <v>19.500000000000007</v>
      </c>
      <c r="BK134" s="12">
        <f t="shared" si="223"/>
        <v>60.9808102345416</v>
      </c>
      <c r="BL134" s="12">
        <f t="shared" si="224"/>
        <v>30</v>
      </c>
      <c r="BM134" s="12">
        <f t="shared" si="224"/>
        <v>7.1</v>
      </c>
      <c r="BN134" s="12">
        <f t="shared" si="224"/>
        <v>35.200000000000003</v>
      </c>
      <c r="BO134" s="12">
        <f t="shared" si="224"/>
        <v>20.399999999999999</v>
      </c>
      <c r="BP134" s="12">
        <f t="shared" si="224"/>
        <v>1.26</v>
      </c>
      <c r="BQ134" s="12">
        <f t="shared" si="224"/>
        <v>13.1</v>
      </c>
      <c r="BR134" s="12">
        <f t="shared" si="224"/>
        <v>30.06</v>
      </c>
      <c r="BS134" s="12">
        <f t="shared" si="224"/>
        <v>3.9</v>
      </c>
      <c r="BT134" s="12">
        <f t="shared" si="224"/>
        <v>41.4</v>
      </c>
      <c r="BU134" s="12">
        <f t="shared" si="224"/>
        <v>25.67</v>
      </c>
      <c r="BV134" s="12">
        <f t="shared" si="225"/>
        <v>0.501</v>
      </c>
      <c r="BW134" s="12">
        <f t="shared" si="225"/>
        <v>8</v>
      </c>
      <c r="BX134" s="12">
        <f t="shared" si="225"/>
        <v>44</v>
      </c>
      <c r="BY134" s="12">
        <f t="shared" si="225"/>
        <v>16.3</v>
      </c>
      <c r="BZ134" s="12">
        <f t="shared" si="225"/>
        <v>72</v>
      </c>
      <c r="CA134" s="12">
        <f t="shared" si="225"/>
        <v>19.5</v>
      </c>
      <c r="CB134" s="12">
        <f t="shared" si="225"/>
        <v>14.6</v>
      </c>
      <c r="CC134" s="12">
        <f t="shared" si="225"/>
        <v>64.099999999999994</v>
      </c>
      <c r="CD134" s="12">
        <f t="shared" si="225"/>
        <v>11.24</v>
      </c>
      <c r="CE134" s="12">
        <f t="shared" si="225"/>
        <v>73.599999999999994</v>
      </c>
      <c r="CF134" s="12">
        <f t="shared" si="226"/>
        <v>4.7</v>
      </c>
      <c r="CG134" s="12">
        <f t="shared" si="226"/>
        <v>37.65</v>
      </c>
      <c r="CH134" s="12">
        <f t="shared" si="226"/>
        <v>8.6</v>
      </c>
      <c r="CI134" s="12">
        <f t="shared" si="226"/>
        <v>6.6</v>
      </c>
      <c r="CJ134" s="12">
        <f t="shared" si="226"/>
        <v>0.6</v>
      </c>
      <c r="CK134" s="12">
        <f t="shared" si="226"/>
        <v>11.54</v>
      </c>
      <c r="CL134" s="12">
        <f t="shared" si="226"/>
        <v>10.6</v>
      </c>
      <c r="CM134" s="12">
        <f t="shared" si="226"/>
        <v>68.3</v>
      </c>
      <c r="CN134" s="12">
        <f t="shared" si="226"/>
        <v>18.849999999999998</v>
      </c>
      <c r="CO134" s="12">
        <f t="shared" si="226"/>
        <v>58.97727272727272</v>
      </c>
    </row>
    <row r="135" spans="1:93" x14ac:dyDescent="0.3">
      <c r="A135" s="6" t="s">
        <v>6</v>
      </c>
      <c r="B135" s="3">
        <v>5</v>
      </c>
      <c r="C135" s="13" t="s">
        <v>2</v>
      </c>
      <c r="D135" s="14">
        <v>67</v>
      </c>
      <c r="E135" s="38">
        <f>G134</f>
        <v>35.294117647058826</v>
      </c>
      <c r="F135" s="39">
        <v>6</v>
      </c>
      <c r="G135" s="38">
        <f t="shared" si="234"/>
        <v>26.086956521739129</v>
      </c>
      <c r="H135" s="39">
        <v>23</v>
      </c>
      <c r="I135" s="40">
        <f t="shared" si="235"/>
        <v>0.58333333333333337</v>
      </c>
      <c r="J135" s="39">
        <v>7</v>
      </c>
      <c r="K135" s="39">
        <v>10</v>
      </c>
      <c r="L135" s="39">
        <v>2</v>
      </c>
      <c r="M135" s="39">
        <f>Q134</f>
        <v>43.4</v>
      </c>
      <c r="N135" s="39">
        <v>22</v>
      </c>
      <c r="O135" s="41">
        <f t="shared" si="236"/>
        <v>0.30205949656750575</v>
      </c>
      <c r="P135" s="39">
        <v>4</v>
      </c>
      <c r="Q135" s="39">
        <v>32.200000000000003</v>
      </c>
      <c r="R135" s="39">
        <v>20</v>
      </c>
      <c r="S135" s="38">
        <f t="shared" si="237"/>
        <v>75</v>
      </c>
      <c r="T135" s="39">
        <v>20</v>
      </c>
      <c r="U135" s="39">
        <v>15</v>
      </c>
      <c r="V135" s="39">
        <f>X134</f>
        <v>76</v>
      </c>
      <c r="W135" s="39">
        <v>12</v>
      </c>
      <c r="X135" s="39">
        <v>59</v>
      </c>
      <c r="Y135" s="39">
        <f>Z135-Z134</f>
        <v>-6</v>
      </c>
      <c r="Z135" s="39">
        <f t="shared" si="238"/>
        <v>34</v>
      </c>
      <c r="AA135" s="39">
        <f t="shared" si="239"/>
        <v>-17</v>
      </c>
      <c r="AB135" s="39">
        <v>7</v>
      </c>
      <c r="AC135" s="39">
        <f t="shared" si="240"/>
        <v>1</v>
      </c>
      <c r="AD135" s="39">
        <f>AE134</f>
        <v>13</v>
      </c>
      <c r="AE135" s="39">
        <v>12</v>
      </c>
      <c r="AF135" s="46">
        <f t="shared" si="242"/>
        <v>68.506211180124211</v>
      </c>
      <c r="AG135" s="51">
        <f t="shared" ref="AG135" si="247">AVERAGE(AF134,AF135)</f>
        <v>68.663301442596662</v>
      </c>
      <c r="AH135" s="12">
        <f t="shared" si="221"/>
        <v>30</v>
      </c>
      <c r="AI135" s="12">
        <f t="shared" si="221"/>
        <v>7.1</v>
      </c>
      <c r="AJ135" s="12">
        <f t="shared" si="221"/>
        <v>35.200000000000003</v>
      </c>
      <c r="AK135" s="12">
        <f t="shared" si="221"/>
        <v>20.399999999999999</v>
      </c>
      <c r="AL135" s="12">
        <f t="shared" si="221"/>
        <v>1.26</v>
      </c>
      <c r="AM135" s="12">
        <f t="shared" si="221"/>
        <v>13.1</v>
      </c>
      <c r="AN135" s="12">
        <f t="shared" si="221"/>
        <v>30.06</v>
      </c>
      <c r="AO135" s="12">
        <f t="shared" si="221"/>
        <v>3.9</v>
      </c>
      <c r="AP135" s="12">
        <f t="shared" si="221"/>
        <v>41.4</v>
      </c>
      <c r="AQ135" s="12">
        <f t="shared" si="221"/>
        <v>25.67</v>
      </c>
      <c r="AR135" s="12">
        <f t="shared" si="222"/>
        <v>0.501</v>
      </c>
      <c r="AS135" s="12">
        <f t="shared" si="222"/>
        <v>8</v>
      </c>
      <c r="AT135" s="12">
        <f t="shared" si="222"/>
        <v>44</v>
      </c>
      <c r="AU135" s="12">
        <f t="shared" si="222"/>
        <v>16.3</v>
      </c>
      <c r="AV135" s="12">
        <f t="shared" si="222"/>
        <v>72</v>
      </c>
      <c r="AW135" s="12">
        <f t="shared" si="222"/>
        <v>19.5</v>
      </c>
      <c r="AX135" s="12">
        <f t="shared" si="222"/>
        <v>14.6</v>
      </c>
      <c r="AY135" s="12">
        <f t="shared" si="222"/>
        <v>64.099999999999994</v>
      </c>
      <c r="AZ135" s="12">
        <f t="shared" si="222"/>
        <v>11.24</v>
      </c>
      <c r="BA135" s="12">
        <f t="shared" si="222"/>
        <v>73.599999999999994</v>
      </c>
      <c r="BB135" s="12">
        <f t="shared" si="223"/>
        <v>4.7</v>
      </c>
      <c r="BC135" s="12">
        <f t="shared" si="223"/>
        <v>37.65</v>
      </c>
      <c r="BD135" s="12">
        <f t="shared" si="223"/>
        <v>8.6</v>
      </c>
      <c r="BE135" s="12">
        <f t="shared" si="223"/>
        <v>6.6</v>
      </c>
      <c r="BF135" s="12">
        <f t="shared" si="223"/>
        <v>0.6</v>
      </c>
      <c r="BG135" s="12">
        <f t="shared" si="223"/>
        <v>11.54</v>
      </c>
      <c r="BH135" s="12">
        <f t="shared" si="223"/>
        <v>10.6</v>
      </c>
      <c r="BI135" s="12">
        <f t="shared" si="223"/>
        <v>68.3</v>
      </c>
      <c r="BJ135" s="12">
        <f t="shared" si="223"/>
        <v>18.849999999999998</v>
      </c>
      <c r="BK135" s="12">
        <f t="shared" si="223"/>
        <v>58.97727272727272</v>
      </c>
      <c r="BL135" s="12">
        <f t="shared" si="224"/>
        <v>30.2</v>
      </c>
      <c r="BM135" s="12">
        <f t="shared" si="224"/>
        <v>9.1</v>
      </c>
      <c r="BN135" s="12">
        <f t="shared" si="224"/>
        <v>36.1</v>
      </c>
      <c r="BO135" s="12">
        <f t="shared" si="224"/>
        <v>24.9</v>
      </c>
      <c r="BP135" s="12">
        <f t="shared" si="224"/>
        <v>1.54</v>
      </c>
      <c r="BQ135" s="12">
        <f t="shared" si="224"/>
        <v>18.5</v>
      </c>
      <c r="BR135" s="12">
        <f t="shared" si="224"/>
        <v>21.08</v>
      </c>
      <c r="BS135" s="12">
        <f t="shared" si="224"/>
        <v>4.5999999999999996</v>
      </c>
      <c r="BT135" s="12">
        <f t="shared" si="224"/>
        <v>39.6</v>
      </c>
      <c r="BU135" s="12">
        <f t="shared" si="224"/>
        <v>26.97</v>
      </c>
      <c r="BV135" s="12">
        <f t="shared" si="225"/>
        <v>0.54700000000000004</v>
      </c>
      <c r="BW135" s="12">
        <f t="shared" si="225"/>
        <v>10.91</v>
      </c>
      <c r="BX135" s="12">
        <f t="shared" si="225"/>
        <v>46.9</v>
      </c>
      <c r="BY135" s="12">
        <f t="shared" si="225"/>
        <v>17.3</v>
      </c>
      <c r="BZ135" s="12">
        <f t="shared" si="225"/>
        <v>75.900000000000006</v>
      </c>
      <c r="CA135" s="12">
        <f t="shared" si="225"/>
        <v>19.100000000000001</v>
      </c>
      <c r="CB135" s="12">
        <f t="shared" si="225"/>
        <v>15.1</v>
      </c>
      <c r="CC135" s="12">
        <f t="shared" si="225"/>
        <v>66.7</v>
      </c>
      <c r="CD135" s="12">
        <f t="shared" si="225"/>
        <v>13.43</v>
      </c>
      <c r="CE135" s="12">
        <f t="shared" si="225"/>
        <v>81.400000000000006</v>
      </c>
      <c r="CF135" s="12">
        <f t="shared" si="226"/>
        <v>9.9</v>
      </c>
      <c r="CG135" s="12">
        <f t="shared" si="226"/>
        <v>41.08</v>
      </c>
      <c r="CH135" s="12">
        <f t="shared" si="226"/>
        <v>17.7</v>
      </c>
      <c r="CI135" s="12">
        <f t="shared" si="226"/>
        <v>6.1</v>
      </c>
      <c r="CJ135" s="12">
        <f t="shared" si="226"/>
        <v>-0.1</v>
      </c>
      <c r="CK135" s="12">
        <f t="shared" si="226"/>
        <v>11.44</v>
      </c>
      <c r="CL135" s="12">
        <f t="shared" si="226"/>
        <v>11.9</v>
      </c>
      <c r="CM135" s="12">
        <f t="shared" si="226"/>
        <v>70.099999999999994</v>
      </c>
      <c r="CN135" s="12">
        <f t="shared" si="226"/>
        <v>19.500000000000007</v>
      </c>
      <c r="CO135" s="12">
        <f t="shared" si="226"/>
        <v>60.9808102345416</v>
      </c>
    </row>
    <row r="136" spans="1:93" s="21" customFormat="1" ht="15" thickBot="1" x14ac:dyDescent="0.35"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42"/>
      <c r="Y136" s="35"/>
      <c r="Z136" s="35"/>
      <c r="AA136" s="35"/>
      <c r="AB136" s="35"/>
      <c r="AC136" s="35"/>
      <c r="AD136" s="35"/>
      <c r="AE136" s="35"/>
      <c r="AF136" s="47"/>
      <c r="AG136" s="52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</row>
    <row r="137" spans="1:93" s="21" customFormat="1" thickTop="1" thickBot="1" x14ac:dyDescent="0.35"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42"/>
      <c r="Y137" s="35"/>
      <c r="Z137" s="35"/>
      <c r="AA137" s="35"/>
      <c r="AB137" s="35"/>
      <c r="AC137" s="35"/>
      <c r="AD137" s="35"/>
      <c r="AE137" s="35"/>
      <c r="AF137" s="47"/>
      <c r="AG137" s="52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</row>
    <row r="138" spans="1:93" s="21" customFormat="1" thickTop="1" thickBot="1" x14ac:dyDescent="0.35"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42"/>
      <c r="Y138" s="35"/>
      <c r="Z138" s="35"/>
      <c r="AA138" s="35"/>
      <c r="AB138" s="35"/>
      <c r="AC138" s="35"/>
      <c r="AD138" s="35"/>
      <c r="AE138" s="35"/>
      <c r="AF138" s="47"/>
      <c r="AG138" s="52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</row>
    <row r="139" spans="1:93" s="21" customFormat="1" thickTop="1" thickBot="1" x14ac:dyDescent="0.35"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42"/>
      <c r="Y139" s="35"/>
      <c r="Z139" s="35"/>
      <c r="AA139" s="35"/>
      <c r="AB139" s="35"/>
      <c r="AC139" s="35"/>
      <c r="AD139" s="35"/>
      <c r="AE139" s="35"/>
      <c r="AF139" s="47"/>
      <c r="AG139" s="52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</row>
    <row r="140" spans="1:93" s="21" customFormat="1" hidden="1" thickTop="1" thickBot="1" x14ac:dyDescent="0.35"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42"/>
      <c r="Y140" s="35"/>
      <c r="Z140" s="35"/>
      <c r="AA140" s="35"/>
      <c r="AB140" s="35"/>
      <c r="AC140" s="35"/>
      <c r="AD140" s="35"/>
      <c r="AE140" s="35"/>
      <c r="AF140" s="47"/>
      <c r="AG140" s="52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</row>
    <row r="141" spans="1:93" s="21" customFormat="1" hidden="1" thickTop="1" thickBot="1" x14ac:dyDescent="0.35"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42"/>
      <c r="Y141" s="35"/>
      <c r="Z141" s="35"/>
      <c r="AA141" s="35"/>
      <c r="AB141" s="35"/>
      <c r="AC141" s="35"/>
      <c r="AD141" s="35"/>
      <c r="AE141" s="35"/>
      <c r="AF141" s="47"/>
      <c r="AG141" s="52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</row>
    <row r="142" spans="1:93" s="21" customFormat="1" thickTop="1" thickBot="1" x14ac:dyDescent="0.35"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42"/>
      <c r="Y142" s="35"/>
      <c r="Z142" s="35"/>
      <c r="AA142" s="35"/>
      <c r="AB142" s="35"/>
      <c r="AC142" s="35"/>
      <c r="AD142" s="35"/>
      <c r="AE142" s="35"/>
      <c r="AF142" s="47"/>
      <c r="AG142" s="52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</row>
    <row r="143" spans="1:93" s="21" customFormat="1" thickTop="1" thickBot="1" x14ac:dyDescent="0.35"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42"/>
      <c r="Y143" s="35"/>
      <c r="Z143" s="35"/>
      <c r="AA143" s="35"/>
      <c r="AB143" s="35"/>
      <c r="AC143" s="35"/>
      <c r="AD143" s="35"/>
      <c r="AE143" s="35"/>
      <c r="AF143" s="47"/>
      <c r="AG143" s="52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</row>
    <row r="144" spans="1:93" s="21" customFormat="1" thickTop="1" thickBot="1" x14ac:dyDescent="0.35"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42"/>
      <c r="Y144" s="35"/>
      <c r="Z144" s="35"/>
      <c r="AA144" s="35"/>
      <c r="AB144" s="35"/>
      <c r="AC144" s="35"/>
      <c r="AD144" s="35"/>
      <c r="AE144" s="35"/>
      <c r="AF144" s="47"/>
      <c r="AG144" s="52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</row>
    <row r="145" spans="5:93" s="21" customFormat="1" thickTop="1" thickBot="1" x14ac:dyDescent="0.35"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42"/>
      <c r="Y145" s="35"/>
      <c r="Z145" s="35"/>
      <c r="AA145" s="35"/>
      <c r="AB145" s="35"/>
      <c r="AC145" s="35"/>
      <c r="AD145" s="35"/>
      <c r="AE145" s="35"/>
      <c r="AF145" s="47"/>
      <c r="AG145" s="52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</row>
    <row r="146" spans="5:93" s="21" customFormat="1" thickTop="1" thickBot="1" x14ac:dyDescent="0.35"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42"/>
      <c r="Y146" s="35"/>
      <c r="Z146" s="35"/>
      <c r="AA146" s="35"/>
      <c r="AB146" s="35"/>
      <c r="AC146" s="35"/>
      <c r="AD146" s="35"/>
      <c r="AE146" s="35"/>
      <c r="AF146" s="47"/>
      <c r="AG146" s="52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</row>
    <row r="147" spans="5:93" s="21" customFormat="1" thickTop="1" thickBot="1" x14ac:dyDescent="0.35"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42"/>
      <c r="Y147" s="35"/>
      <c r="Z147" s="35"/>
      <c r="AA147" s="35"/>
      <c r="AB147" s="35"/>
      <c r="AC147" s="35"/>
      <c r="AD147" s="35"/>
      <c r="AE147" s="35"/>
      <c r="AF147" s="47"/>
      <c r="AG147" s="52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</row>
    <row r="148" spans="5:93" s="21" customFormat="1" hidden="1" thickTop="1" thickBot="1" x14ac:dyDescent="0.35"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42"/>
      <c r="Y148" s="35"/>
      <c r="Z148" s="35"/>
      <c r="AA148" s="35"/>
      <c r="AB148" s="35"/>
      <c r="AC148" s="35"/>
      <c r="AD148" s="35"/>
      <c r="AE148" s="35"/>
      <c r="AF148" s="47"/>
      <c r="AG148" s="52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</row>
    <row r="149" spans="5:93" s="21" customFormat="1" hidden="1" thickTop="1" thickBot="1" x14ac:dyDescent="0.35"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42"/>
      <c r="Y149" s="35"/>
      <c r="Z149" s="35"/>
      <c r="AA149" s="35"/>
      <c r="AB149" s="35"/>
      <c r="AC149" s="35"/>
      <c r="AD149" s="35"/>
      <c r="AE149" s="35"/>
      <c r="AF149" s="47"/>
      <c r="AG149" s="52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</row>
    <row r="150" spans="5:93" s="21" customFormat="1" thickTop="1" thickBot="1" x14ac:dyDescent="0.35"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42"/>
      <c r="Y150" s="35"/>
      <c r="Z150" s="35"/>
      <c r="AA150" s="35"/>
      <c r="AB150" s="35"/>
      <c r="AC150" s="35"/>
      <c r="AD150" s="35"/>
      <c r="AE150" s="35"/>
      <c r="AF150" s="47"/>
      <c r="AG150" s="52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</row>
    <row r="151" spans="5:93" s="21" customFormat="1" thickTop="1" thickBot="1" x14ac:dyDescent="0.35"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42"/>
      <c r="Y151" s="35"/>
      <c r="Z151" s="35"/>
      <c r="AA151" s="35"/>
      <c r="AB151" s="35"/>
      <c r="AC151" s="35"/>
      <c r="AD151" s="35"/>
      <c r="AE151" s="35"/>
      <c r="AF151" s="47"/>
      <c r="AG151" s="52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</row>
    <row r="152" spans="5:93" s="21" customFormat="1" thickTop="1" thickBot="1" x14ac:dyDescent="0.35"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42"/>
      <c r="Y152" s="35"/>
      <c r="Z152" s="35"/>
      <c r="AA152" s="35"/>
      <c r="AB152" s="35"/>
      <c r="AC152" s="35"/>
      <c r="AD152" s="35"/>
      <c r="AE152" s="35"/>
      <c r="AF152" s="47"/>
      <c r="AG152" s="52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</row>
    <row r="153" spans="5:93" ht="16.2" thickTop="1" x14ac:dyDescent="0.3"/>
  </sheetData>
  <sortState xmlns:xlrd2="http://schemas.microsoft.com/office/spreadsheetml/2017/richdata2" ref="A2:CO153">
    <sortCondition ref="D1:D153"/>
  </sortState>
  <conditionalFormatting sqref="C2:C133 D17 D25:D28 D31 D39:D41 D46:D48 D51:D55 D57:D60 D62:D64 D66:D68 D70:D78 D80:D81 D83:D87 D89:D92 D95 D97:D105 D107:D115 D117:D119 D121:D122 D124:D130 D132:D133 C134:D134 C135 C153:C1048576">
    <cfRule type="cellIs" dxfId="8" priority="43" operator="equal">
      <formula>"SEASON"</formula>
    </cfRule>
  </conditionalFormatting>
  <conditionalFormatting sqref="G2:G1048576">
    <cfRule type="cellIs" dxfId="7" priority="36" operator="greaterThan">
      <formula>100</formula>
    </cfRule>
  </conditionalFormatting>
  <conditionalFormatting sqref="O2:O1048576">
    <cfRule type="cellIs" dxfId="6" priority="35" operator="greaterThan">
      <formula>1</formula>
    </cfRule>
  </conditionalFormatting>
  <conditionalFormatting sqref="S2:S1048576">
    <cfRule type="cellIs" dxfId="5" priority="34" operator="greaterThan">
      <formula>100</formula>
    </cfRule>
  </conditionalFormatting>
  <conditionalFormatting sqref="AF136:AF13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138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139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142">
    <cfRule type="colorScale" priority="11">
      <colorScale>
        <cfvo type="min"/>
        <cfvo type="max"/>
        <color rgb="FFFCFCFF"/>
        <color rgb="FFF8696B"/>
      </colorScale>
    </cfRule>
  </conditionalFormatting>
  <conditionalFormatting sqref="AF143">
    <cfRule type="colorScale" priority="10">
      <colorScale>
        <cfvo type="min"/>
        <cfvo type="max"/>
        <color rgb="FFFCFCFF"/>
        <color rgb="FFF8696B"/>
      </colorScale>
    </cfRule>
  </conditionalFormatting>
  <conditionalFormatting sqref="AF14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136:AG13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13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13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142">
    <cfRule type="colorScale" priority="4">
      <colorScale>
        <cfvo type="min"/>
        <cfvo type="max"/>
        <color rgb="FFFCFCFF"/>
        <color rgb="FFF8696B"/>
      </colorScale>
    </cfRule>
  </conditionalFormatting>
  <conditionalFormatting sqref="AG143">
    <cfRule type="colorScale" priority="3">
      <colorScale>
        <cfvo type="min"/>
        <cfvo type="max"/>
        <color rgb="FFFCFCFF"/>
        <color rgb="FFF8696B"/>
      </colorScale>
    </cfRule>
  </conditionalFormatting>
  <conditionalFormatting sqref="AG1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6:XFD137 A136:D137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8:XFD138 A138:AE138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9:XFD139 A139:AE13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42:XFD142 A142:AE142">
    <cfRule type="colorScale" priority="40">
      <colorScale>
        <cfvo type="min"/>
        <cfvo type="max"/>
        <color rgb="FFFCFCFF"/>
        <color rgb="FFF8696B"/>
      </colorScale>
    </cfRule>
  </conditionalFormatting>
  <conditionalFormatting sqref="AH143:XFD143 A143:AE143">
    <cfRule type="colorScale" priority="39">
      <colorScale>
        <cfvo type="min"/>
        <cfvo type="max"/>
        <color rgb="FFFCFCFF"/>
        <color rgb="FFF8696B"/>
      </colorScale>
    </cfRule>
  </conditionalFormatting>
  <conditionalFormatting sqref="AH145:XFD145 A145:D145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53"/>
  <sheetViews>
    <sheetView tabSelected="1" zoomScale="60" zoomScaleNormal="60" workbookViewId="0">
      <pane xSplit="1" ySplit="1" topLeftCell="BE87" activePane="bottomRight" state="frozen"/>
      <selection pane="topRight" activeCell="B1" sqref="B1"/>
      <selection pane="bottomLeft" activeCell="A2" sqref="A2"/>
      <selection pane="bottomRight" activeCell="BN118" sqref="BN118"/>
    </sheetView>
  </sheetViews>
  <sheetFormatPr defaultColWidth="8.77734375" defaultRowHeight="15.6" x14ac:dyDescent="0.3"/>
  <cols>
    <col min="1" max="1" width="8.77734375" style="11"/>
    <col min="2" max="2" width="8.77734375" style="3" customWidth="1"/>
    <col min="3" max="3" width="8.77734375" style="15" customWidth="1"/>
    <col min="4" max="4" width="9.77734375" style="14" customWidth="1"/>
    <col min="5" max="31" width="5.77734375" style="28" customWidth="1"/>
    <col min="32" max="32" width="8.77734375" style="48" customWidth="1"/>
    <col min="33" max="33" width="8.77734375" style="53" customWidth="1"/>
    <col min="34" max="93" width="8.77734375" style="12"/>
    <col min="94" max="16384" width="8.77734375" style="2"/>
  </cols>
  <sheetData>
    <row r="1" spans="1:93" s="20" customFormat="1" ht="16.2" thickBot="1" x14ac:dyDescent="0.35">
      <c r="A1" s="16" t="s">
        <v>0</v>
      </c>
      <c r="B1" s="17" t="s">
        <v>1</v>
      </c>
      <c r="C1" s="18" t="s">
        <v>403</v>
      </c>
      <c r="D1" s="19" t="s">
        <v>405</v>
      </c>
      <c r="E1" s="22" t="s">
        <v>185</v>
      </c>
      <c r="F1" s="22" t="s">
        <v>186</v>
      </c>
      <c r="G1" s="22" t="s">
        <v>187</v>
      </c>
      <c r="H1" s="22" t="s">
        <v>188</v>
      </c>
      <c r="I1" s="22" t="s">
        <v>189</v>
      </c>
      <c r="J1" s="22" t="s">
        <v>190</v>
      </c>
      <c r="K1" s="22" t="s">
        <v>191</v>
      </c>
      <c r="L1" s="22" t="s">
        <v>193</v>
      </c>
      <c r="M1" s="22" t="s">
        <v>194</v>
      </c>
      <c r="N1" s="22" t="s">
        <v>195</v>
      </c>
      <c r="O1" s="22" t="s">
        <v>196</v>
      </c>
      <c r="P1" s="22" t="s">
        <v>197</v>
      </c>
      <c r="Q1" s="22" t="s">
        <v>198</v>
      </c>
      <c r="R1" s="22" t="s">
        <v>199</v>
      </c>
      <c r="S1" s="22" t="s">
        <v>200</v>
      </c>
      <c r="T1" s="22" t="s">
        <v>201</v>
      </c>
      <c r="U1" s="22" t="s">
        <v>202</v>
      </c>
      <c r="V1" s="22" t="s">
        <v>203</v>
      </c>
      <c r="W1" s="22" t="s">
        <v>204</v>
      </c>
      <c r="X1" s="22" t="s">
        <v>205</v>
      </c>
      <c r="Y1" s="22" t="s">
        <v>206</v>
      </c>
      <c r="Z1" s="22" t="s">
        <v>207</v>
      </c>
      <c r="AA1" s="22" t="s">
        <v>208</v>
      </c>
      <c r="AB1" s="22" t="s">
        <v>209</v>
      </c>
      <c r="AC1" s="22" t="s">
        <v>210</v>
      </c>
      <c r="AD1" s="22" t="s">
        <v>211</v>
      </c>
      <c r="AE1" s="22" t="s">
        <v>212</v>
      </c>
      <c r="AF1" s="45" t="s">
        <v>591</v>
      </c>
      <c r="AG1" s="43" t="s">
        <v>592</v>
      </c>
      <c r="AH1" s="49" t="str">
        <f>CONCATENATE("T1_",'Overall 2024 Reference'!E1)</f>
        <v>T1_3PD%</v>
      </c>
      <c r="AI1" s="49" t="str">
        <f>CONCATENATE("T1_",'Overall 2024 Reference'!F1)</f>
        <v>T1_3PPG</v>
      </c>
      <c r="AJ1" s="49" t="str">
        <f>CONCATENATE("T1_",'Overall 2024 Reference'!G1)</f>
        <v>T1_3PT%</v>
      </c>
      <c r="AK1" s="49" t="str">
        <f>CONCATENATE("T1_",'Overall 2024 Reference'!H1)</f>
        <v>T1_3PTA</v>
      </c>
      <c r="AL1" s="49" t="str">
        <f>CONCATENATE("T1_",'Overall 2024 Reference'!I1)</f>
        <v>T1_A:T</v>
      </c>
      <c r="AM1" s="49" t="str">
        <f>CONCATENATE("T1_",'Overall 2024 Reference'!J1)</f>
        <v>T1_APG</v>
      </c>
      <c r="AN1" s="49" t="str">
        <f>CONCATENATE("T1_",'Overall 2024 Reference'!K1)</f>
        <v>T1_Bench</v>
      </c>
      <c r="AO1" s="49" t="str">
        <f>CONCATENATE("T1_",'Overall 2024 Reference'!L1)</f>
        <v>T1_BPG</v>
      </c>
      <c r="AP1" s="49" t="str">
        <f>CONCATENATE("T1_",'Overall 2024 Reference'!M1)</f>
        <v>T1_DFG%</v>
      </c>
      <c r="AQ1" s="49" t="str">
        <f>CONCATENATE("T1_",'Overall 2024 Reference'!N1)</f>
        <v>T1_DRPG</v>
      </c>
      <c r="AR1" s="49" t="str">
        <f>CONCATENATE("T1_",'Overall 2024 Reference'!O1)</f>
        <v>T1_EFG%</v>
      </c>
      <c r="AS1" s="49" t="str">
        <f>CONCATENATE("T1_",'Overall 2024 Reference'!P1)</f>
        <v>T1_FB</v>
      </c>
      <c r="AT1" s="49" t="str">
        <f>CONCATENATE("T1_",'Overall 2024 Reference'!Q1)</f>
        <v>T1_FG%</v>
      </c>
      <c r="AU1" s="49" t="str">
        <f>CONCATENATE("T1_",'Overall 2024 Reference'!R1)</f>
        <v>T1_FPG</v>
      </c>
      <c r="AV1" s="49" t="str">
        <f>CONCATENATE("T1_",'Overall 2024 Reference'!S1)</f>
        <v>T1_FT%</v>
      </c>
      <c r="AW1" s="49" t="str">
        <f>CONCATENATE("T1_",'Overall 2024 Reference'!T1)</f>
        <v>T1_FTA</v>
      </c>
      <c r="AX1" s="49" t="str">
        <f>CONCATENATE("T1_",'Overall 2024 Reference'!U1)</f>
        <v>T1_FTPG</v>
      </c>
      <c r="AY1" s="49" t="str">
        <f>CONCATENATE("T1_",'Overall 2024 Reference'!V1)</f>
        <v>T1_OPPG</v>
      </c>
      <c r="AZ1" s="49" t="str">
        <f>CONCATENATE("T1_",'Overall 2024 Reference'!W1)</f>
        <v>T1_ORPG</v>
      </c>
      <c r="BA1" s="49" t="str">
        <f>CONCATENATE("T1_",'Overall 2024 Reference'!X1)</f>
        <v>T1_PPG</v>
      </c>
      <c r="BB1" s="49" t="str">
        <f>CONCATENATE("T1_",'Overall 2024 Reference'!Y1)</f>
        <v>T1_RM</v>
      </c>
      <c r="BC1" s="49" t="str">
        <f>CONCATENATE("T1_",'Overall 2024 Reference'!Z1)</f>
        <v>T1_RPG</v>
      </c>
      <c r="BD1" s="49" t="str">
        <f>CONCATENATE("T1_",'Overall 2024 Reference'!AA1)</f>
        <v>T1_SM</v>
      </c>
      <c r="BE1" s="49" t="str">
        <f>CONCATENATE("T1_",'Overall 2024 Reference'!AB1)</f>
        <v>T1_SPG</v>
      </c>
      <c r="BF1" s="49" t="str">
        <f>CONCATENATE("T1_",'Overall 2024 Reference'!AC1)</f>
        <v>T1_TM</v>
      </c>
      <c r="BG1" s="49" t="str">
        <f>CONCATENATE("T1_",'Overall 2024 Reference'!AD1)</f>
        <v>T1_TOF</v>
      </c>
      <c r="BH1" s="49" t="str">
        <f>CONCATENATE("T1_",'Overall 2024 Reference'!AE1)</f>
        <v>T1_TPG</v>
      </c>
      <c r="BI1" s="49" t="str">
        <f>CONCATENATE("T1_",'Overall 2024 Reference'!AF1)</f>
        <v>T1_TEMPO</v>
      </c>
      <c r="BJ1" s="49" t="str">
        <f>CONCATENATE("T1_",'Overall 2024 Reference'!AG1)</f>
        <v>T1_2PT FGM</v>
      </c>
      <c r="BK1" s="49" t="str">
        <f>CONCATENATE("T1_",'Overall 2024 Reference'!AH1)</f>
        <v>T1_FGA</v>
      </c>
      <c r="BL1" s="49" t="str">
        <f>CONCATENATE("T2_",'Overall 2024 Reference'!E1)</f>
        <v>T2_3PD%</v>
      </c>
      <c r="BM1" s="49" t="str">
        <f>CONCATENATE("T2_",'Overall 2024 Reference'!F1)</f>
        <v>T2_3PPG</v>
      </c>
      <c r="BN1" s="49" t="str">
        <f>CONCATENATE("T2_",'Overall 2024 Reference'!G1)</f>
        <v>T2_3PT%</v>
      </c>
      <c r="BO1" s="49" t="str">
        <f>CONCATENATE("T2_",'Overall 2024 Reference'!H1)</f>
        <v>T2_3PTA</v>
      </c>
      <c r="BP1" s="49" t="str">
        <f>CONCATENATE("T2_",'Overall 2024 Reference'!I1)</f>
        <v>T2_A:T</v>
      </c>
      <c r="BQ1" s="49" t="str">
        <f>CONCATENATE("T2_",'Overall 2024 Reference'!J1)</f>
        <v>T2_APG</v>
      </c>
      <c r="BR1" s="49" t="str">
        <f>CONCATENATE("T2_",'Overall 2024 Reference'!K1)</f>
        <v>T2_Bench</v>
      </c>
      <c r="BS1" s="49" t="str">
        <f>CONCATENATE("T2_",'Overall 2024 Reference'!L1)</f>
        <v>T2_BPG</v>
      </c>
      <c r="BT1" s="49" t="str">
        <f>CONCATENATE("T2_",'Overall 2024 Reference'!M1)</f>
        <v>T2_DFG%</v>
      </c>
      <c r="BU1" s="49" t="str">
        <f>CONCATENATE("T2_",'Overall 2024 Reference'!N1)</f>
        <v>T2_DRPG</v>
      </c>
      <c r="BV1" s="49" t="str">
        <f>CONCATENATE("T2_",'Overall 2024 Reference'!O1)</f>
        <v>T2_EFG%</v>
      </c>
      <c r="BW1" s="49" t="str">
        <f>CONCATENATE("T2_",'Overall 2024 Reference'!P1)</f>
        <v>T2_FB</v>
      </c>
      <c r="BX1" s="49" t="str">
        <f>CONCATENATE("T2_",'Overall 2024 Reference'!Q1)</f>
        <v>T2_FG%</v>
      </c>
      <c r="BY1" s="49" t="str">
        <f>CONCATENATE("T2_",'Overall 2024 Reference'!R1)</f>
        <v>T2_FPG</v>
      </c>
      <c r="BZ1" s="49" t="str">
        <f>CONCATENATE("T2_",'Overall 2024 Reference'!S1)</f>
        <v>T2_FT%</v>
      </c>
      <c r="CA1" s="49" t="str">
        <f>CONCATENATE("T2_",'Overall 2024 Reference'!T1)</f>
        <v>T2_FTA</v>
      </c>
      <c r="CB1" s="49" t="str">
        <f>CONCATENATE("T2_",'Overall 2024 Reference'!U1)</f>
        <v>T2_FTPG</v>
      </c>
      <c r="CC1" s="49" t="str">
        <f>CONCATENATE("T2_",'Overall 2024 Reference'!V1)</f>
        <v>T2_OPPG</v>
      </c>
      <c r="CD1" s="49" t="str">
        <f>CONCATENATE("T2_",'Overall 2024 Reference'!W1)</f>
        <v>T2_ORPG</v>
      </c>
      <c r="CE1" s="49" t="str">
        <f>CONCATENATE("T2_",'Overall 2024 Reference'!X1)</f>
        <v>T2_PPG</v>
      </c>
      <c r="CF1" s="49" t="str">
        <f>CONCATENATE("T2_",'Overall 2024 Reference'!Y1)</f>
        <v>T2_RM</v>
      </c>
      <c r="CG1" s="49" t="str">
        <f>CONCATENATE("T2_",'Overall 2024 Reference'!Z1)</f>
        <v>T2_RPG</v>
      </c>
      <c r="CH1" s="49" t="str">
        <f>CONCATENATE("T2_",'Overall 2024 Reference'!AA1)</f>
        <v>T2_SM</v>
      </c>
      <c r="CI1" s="49" t="str">
        <f>CONCATENATE("T2_",'Overall 2024 Reference'!AB1)</f>
        <v>T2_SPG</v>
      </c>
      <c r="CJ1" s="49" t="str">
        <f>CONCATENATE("T2_",'Overall 2024 Reference'!AC1)</f>
        <v>T2_TM</v>
      </c>
      <c r="CK1" s="49" t="str">
        <f>CONCATENATE("T2_",'Overall 2024 Reference'!AD1)</f>
        <v>T2_TOF</v>
      </c>
      <c r="CL1" s="49" t="str">
        <f>CONCATENATE("T2_",'Overall 2024 Reference'!AE1)</f>
        <v>T2_TPG</v>
      </c>
      <c r="CM1" s="49" t="str">
        <f>CONCATENATE("T2_",'Overall 2024 Reference'!AF1)</f>
        <v>T2_TEMPO</v>
      </c>
      <c r="CN1" s="49" t="str">
        <f>CONCATENATE("T2_",'Overall 2024 Reference'!AG1)</f>
        <v>T2_2PT FGM</v>
      </c>
      <c r="CO1" s="49" t="str">
        <f>CONCATENATE("T2_",'Overall 2024 Reference'!AH1)</f>
        <v>T2_FGA</v>
      </c>
    </row>
    <row r="2" spans="1:93" x14ac:dyDescent="0.3">
      <c r="A2" s="6" t="s">
        <v>32</v>
      </c>
      <c r="B2" s="3">
        <v>16</v>
      </c>
      <c r="C2" s="13" t="s">
        <v>33</v>
      </c>
      <c r="D2" s="14">
        <v>1</v>
      </c>
      <c r="E2" s="23">
        <v>47.058823529411761</v>
      </c>
      <c r="F2" s="24">
        <v>7</v>
      </c>
      <c r="G2" s="23">
        <v>29.166666666666668</v>
      </c>
      <c r="H2" s="24">
        <v>24</v>
      </c>
      <c r="I2" s="25">
        <v>1.625</v>
      </c>
      <c r="J2" s="24">
        <v>13</v>
      </c>
      <c r="K2" s="24">
        <v>10</v>
      </c>
      <c r="L2" s="24">
        <v>1</v>
      </c>
      <c r="M2" s="24">
        <v>52.7</v>
      </c>
      <c r="N2" s="24">
        <v>25</v>
      </c>
      <c r="O2" s="26">
        <v>0.44740909090909092</v>
      </c>
      <c r="P2" s="24">
        <v>15</v>
      </c>
      <c r="Q2" s="24">
        <v>38.6</v>
      </c>
      <c r="R2" s="24">
        <v>12</v>
      </c>
      <c r="S2" s="23">
        <v>80.952380952380949</v>
      </c>
      <c r="T2" s="24">
        <v>21</v>
      </c>
      <c r="U2" s="24">
        <v>17</v>
      </c>
      <c r="V2" s="24">
        <v>71</v>
      </c>
      <c r="W2" s="24">
        <v>11</v>
      </c>
      <c r="X2" s="24">
        <v>68</v>
      </c>
      <c r="Y2" s="24">
        <v>8</v>
      </c>
      <c r="Z2" s="24">
        <v>36</v>
      </c>
      <c r="AA2" s="24">
        <v>-3</v>
      </c>
      <c r="AB2" s="24">
        <v>5</v>
      </c>
      <c r="AC2" s="24">
        <v>0</v>
      </c>
      <c r="AD2" s="24">
        <v>8</v>
      </c>
      <c r="AE2" s="24">
        <v>8</v>
      </c>
      <c r="AF2" s="46">
        <f>(ROUND(((X2-U2-3*F2)/2),0)+F2)/Q2*100-W2+AE2+T2*0.475</f>
        <v>63.969818652849746</v>
      </c>
      <c r="AG2" s="51">
        <f>AVERAGE(AF2,AF3)</f>
        <v>64.136640825476107</v>
      </c>
      <c r="AH2" s="12">
        <f t="shared" ref="AH2:AQ11" si="0">INDEX(ovrTable,MATCH(INDEX(teamCol,ROW()),ovrTeamCol,0),MATCH(MID(INDEX(headerRow,1,COLUMN()),4,LEN(INDEX(headerRow,1,COLUMN()))),ovrHeaderRow,0))</f>
        <v>34</v>
      </c>
      <c r="AI2" s="12">
        <f t="shared" si="0"/>
        <v>8</v>
      </c>
      <c r="AJ2" s="12">
        <f t="shared" si="0"/>
        <v>37.1</v>
      </c>
      <c r="AK2" s="12">
        <f t="shared" si="0"/>
        <v>21.6</v>
      </c>
      <c r="AL2" s="12">
        <f t="shared" si="0"/>
        <v>0.9</v>
      </c>
      <c r="AM2" s="12">
        <f t="shared" si="0"/>
        <v>13.9</v>
      </c>
      <c r="AN2" s="12">
        <f t="shared" si="0"/>
        <v>15.8</v>
      </c>
      <c r="AO2" s="12">
        <f t="shared" si="0"/>
        <v>2.8</v>
      </c>
      <c r="AP2" s="12">
        <f t="shared" si="0"/>
        <v>44.9</v>
      </c>
      <c r="AQ2" s="12">
        <f t="shared" si="0"/>
        <v>24.63</v>
      </c>
      <c r="AR2" s="12">
        <f t="shared" ref="AR2:BA11" si="1">INDEX(ovrTable,MATCH(INDEX(teamCol,ROW()),ovrTeamCol,0),MATCH(MID(INDEX(headerRow,1,COLUMN()),4,LEN(INDEX(headerRow,1,COLUMN()))),ovrHeaderRow,0))</f>
        <v>0.52200000000000002</v>
      </c>
      <c r="AS2" s="12">
        <f t="shared" si="1"/>
        <v>9.0299999999999994</v>
      </c>
      <c r="AT2" s="12">
        <f t="shared" si="1"/>
        <v>44.9</v>
      </c>
      <c r="AU2" s="12">
        <f t="shared" si="1"/>
        <v>18.899999999999999</v>
      </c>
      <c r="AV2" s="12">
        <f t="shared" si="1"/>
        <v>75.099999999999994</v>
      </c>
      <c r="AW2" s="12">
        <f t="shared" si="1"/>
        <v>23.1</v>
      </c>
      <c r="AX2" s="12">
        <f t="shared" si="1"/>
        <v>17.3</v>
      </c>
      <c r="AY2" s="12">
        <f t="shared" si="1"/>
        <v>74.3</v>
      </c>
      <c r="AZ2" s="12">
        <f t="shared" si="1"/>
        <v>11.29</v>
      </c>
      <c r="BA2" s="12">
        <f t="shared" si="1"/>
        <v>74.900000000000006</v>
      </c>
      <c r="BB2" s="12">
        <f t="shared" ref="BB2:BK11" si="2">INDEX(ovrTable,MATCH(INDEX(teamCol,ROW()),ovrTeamCol,0),MATCH(MID(INDEX(headerRow,1,COLUMN()),4,LEN(INDEX(headerRow,1,COLUMN()))),ovrHeaderRow,0))</f>
        <v>3.8</v>
      </c>
      <c r="BC2" s="12">
        <f t="shared" si="2"/>
        <v>35.909999999999997</v>
      </c>
      <c r="BD2" s="12">
        <f t="shared" si="2"/>
        <v>0.7</v>
      </c>
      <c r="BE2" s="12">
        <f t="shared" si="2"/>
        <v>6.1</v>
      </c>
      <c r="BF2" s="12">
        <f t="shared" si="2"/>
        <v>-3.2</v>
      </c>
      <c r="BG2" s="12">
        <f t="shared" si="2"/>
        <v>12.23</v>
      </c>
      <c r="BH2" s="12">
        <f t="shared" si="2"/>
        <v>15.5</v>
      </c>
      <c r="BI2" s="12">
        <f t="shared" si="2"/>
        <v>71.7</v>
      </c>
      <c r="BJ2" s="12">
        <f t="shared" si="2"/>
        <v>16.800000000000004</v>
      </c>
      <c r="BK2" s="12">
        <f t="shared" si="2"/>
        <v>55.233853006681528</v>
      </c>
      <c r="BL2" s="12">
        <f>INDEX(ovrTable,MATCH(INDEX(oppCol24,ROW()),ovrTeamCol,0),MATCH(MID(INDEX(headerRow,1,COLUMN()),4,LEN(INDEX(headerRow,1,COLUMN()))),ovrHeaderRow,0))</f>
        <v>30</v>
      </c>
      <c r="BM2" s="12">
        <f>INDEX(ovrTable,MATCH(INDEX(oppCol24,ROW()),ovrTeamCol,0),MATCH(MID(INDEX(headerRow,1,COLUMN()),4,LEN(INDEX(headerRow,1,COLUMN()))),ovrHeaderRow,0))</f>
        <v>7.2</v>
      </c>
      <c r="BN2" s="12">
        <f>INDEX(ovrTable,MATCH(INDEX(oppCol24,ROW()),ovrTeamCol,0),MATCH(MID(INDEX(headerRow,1,COLUMN()),4,LEN(INDEX(headerRow,1,COLUMN()))),ovrHeaderRow,0))</f>
        <v>32.700000000000003</v>
      </c>
      <c r="BO2" s="12">
        <f>INDEX(ovrTable,MATCH(INDEX(oppCol24,ROW()),ovrTeamCol,0),MATCH(MID(INDEX(headerRow,1,COLUMN()),4,LEN(INDEX(headerRow,1,COLUMN()))),ovrHeaderRow,0))</f>
        <v>22</v>
      </c>
      <c r="BP2" s="12">
        <f>INDEX(ovrTable,MATCH(INDEX(oppCol24,ROW()),ovrTeamCol,0),MATCH(MID(INDEX(headerRow,1,COLUMN()),4,LEN(INDEX(headerRow,1,COLUMN()))),ovrHeaderRow,0))</f>
        <v>1.29</v>
      </c>
      <c r="BQ2" s="12">
        <f>INDEX(ovrTable,MATCH(INDEX(oppCol24,ROW()),ovrTeamCol,0),MATCH(MID(INDEX(headerRow,1,COLUMN()),4,LEN(INDEX(headerRow,1,COLUMN()))),ovrHeaderRow,0))</f>
        <v>12.8</v>
      </c>
      <c r="BR2" s="12">
        <f>INDEX(ovrTable,MATCH(INDEX(oppCol24,ROW()),ovrTeamCol,0),MATCH(MID(INDEX(headerRow,1,COLUMN()),4,LEN(INDEX(headerRow,1,COLUMN()))),ovrHeaderRow,0))</f>
        <v>15.36</v>
      </c>
      <c r="BS2" s="12">
        <f>INDEX(ovrTable,MATCH(INDEX(oppCol24,ROW()),ovrTeamCol,0),MATCH(MID(INDEX(headerRow,1,COLUMN()),4,LEN(INDEX(headerRow,1,COLUMN()))),ovrHeaderRow,0))</f>
        <v>2.2999999999999998</v>
      </c>
      <c r="BT2" s="12">
        <f>INDEX(ovrTable,MATCH(INDEX(oppCol24,ROW()),ovrTeamCol,0),MATCH(MID(INDEX(headerRow,1,COLUMN()),4,LEN(INDEX(headerRow,1,COLUMN()))),ovrHeaderRow,0))</f>
        <v>42.2</v>
      </c>
      <c r="BU2" s="12">
        <f>INDEX(ovrTable,MATCH(INDEX(oppCol24,ROW()),ovrTeamCol,0),MATCH(MID(INDEX(headerRow,1,COLUMN()),4,LEN(INDEX(headerRow,1,COLUMN()))),ovrHeaderRow,0))</f>
        <v>24.67</v>
      </c>
      <c r="BV2" s="12">
        <f>INDEX(ovrTable,MATCH(INDEX(oppCol24,ROW()),ovrTeamCol,0),MATCH(MID(INDEX(headerRow,1,COLUMN()),4,LEN(INDEX(headerRow,1,COLUMN()))),ovrHeaderRow,0))</f>
        <v>0.45800000000000002</v>
      </c>
      <c r="BW2" s="12">
        <f>INDEX(ovrTable,MATCH(INDEX(oppCol24,ROW()),ovrTeamCol,0),MATCH(MID(INDEX(headerRow,1,COLUMN()),4,LEN(INDEX(headerRow,1,COLUMN()))),ovrHeaderRow,0))</f>
        <v>10.7</v>
      </c>
      <c r="BX2" s="12">
        <f>INDEX(ovrTable,MATCH(INDEX(oppCol24,ROW()),ovrTeamCol,0),MATCH(MID(INDEX(headerRow,1,COLUMN()),4,LEN(INDEX(headerRow,1,COLUMN()))),ovrHeaderRow,0))</f>
        <v>39.6</v>
      </c>
      <c r="BY2" s="12">
        <f>INDEX(ovrTable,MATCH(INDEX(oppCol24,ROW()),ovrTeamCol,0),MATCH(MID(INDEX(headerRow,1,COLUMN()),4,LEN(INDEX(headerRow,1,COLUMN()))),ovrHeaderRow,0))</f>
        <v>15.4</v>
      </c>
      <c r="BZ2" s="12">
        <f>INDEX(ovrTable,MATCH(INDEX(oppCol24,ROW()),ovrTeamCol,0),MATCH(MID(INDEX(headerRow,1,COLUMN()),4,LEN(INDEX(headerRow,1,COLUMN()))),ovrHeaderRow,0))</f>
        <v>70.400000000000006</v>
      </c>
      <c r="CA2" s="12">
        <f>INDEX(ovrTable,MATCH(INDEX(oppCol24,ROW()),ovrTeamCol,0),MATCH(MID(INDEX(headerRow,1,COLUMN()),4,LEN(INDEX(headerRow,1,COLUMN()))),ovrHeaderRow,0))</f>
        <v>15</v>
      </c>
      <c r="CB2" s="12">
        <f>INDEX(ovrTable,MATCH(INDEX(oppCol24,ROW()),ovrTeamCol,0),MATCH(MID(INDEX(headerRow,1,COLUMN()),4,LEN(INDEX(headerRow,1,COLUMN()))),ovrHeaderRow,0))</f>
        <v>10.6</v>
      </c>
      <c r="CC2" s="12">
        <f>INDEX(ovrTable,MATCH(INDEX(oppCol24,ROW()),ovrTeamCol,0),MATCH(MID(INDEX(headerRow,1,COLUMN()),4,LEN(INDEX(headerRow,1,COLUMN()))),ovrHeaderRow,0))</f>
        <v>63.1</v>
      </c>
      <c r="CD2" s="12">
        <f>INDEX(ovrTable,MATCH(INDEX(oppCol24,ROW()),ovrTeamCol,0),MATCH(MID(INDEX(headerRow,1,COLUMN()),4,LEN(INDEX(headerRow,1,COLUMN()))),ovrHeaderRow,0))</f>
        <v>11.18</v>
      </c>
      <c r="CE2" s="12">
        <f>INDEX(ovrTable,MATCH(INDEX(oppCol24,ROW()),ovrTeamCol,0),MATCH(MID(INDEX(headerRow,1,COLUMN()),4,LEN(INDEX(headerRow,1,COLUMN()))),ovrHeaderRow,0))</f>
        <v>63.7</v>
      </c>
      <c r="CF2" s="12">
        <f>INDEX(ovrTable,MATCH(INDEX(oppCol24,ROW()),ovrTeamCol,0),MATCH(MID(INDEX(headerRow,1,COLUMN()),4,LEN(INDEX(headerRow,1,COLUMN()))),ovrHeaderRow,0))</f>
        <v>0.6</v>
      </c>
      <c r="CG2" s="12">
        <f>INDEX(ovrTable,MATCH(INDEX(oppCol24,ROW()),ovrTeamCol,0),MATCH(MID(INDEX(headerRow,1,COLUMN()),4,LEN(INDEX(headerRow,1,COLUMN()))),ovrHeaderRow,0))</f>
        <v>35.85</v>
      </c>
      <c r="CH2" s="12">
        <f>INDEX(ovrTable,MATCH(INDEX(oppCol24,ROW()),ovrTeamCol,0),MATCH(MID(INDEX(headerRow,1,COLUMN()),4,LEN(INDEX(headerRow,1,COLUMN()))),ovrHeaderRow,0))</f>
        <v>0.6</v>
      </c>
      <c r="CI2" s="12">
        <f>INDEX(ovrTable,MATCH(INDEX(oppCol24,ROW()),ovrTeamCol,0),MATCH(MID(INDEX(headerRow,1,COLUMN()),4,LEN(INDEX(headerRow,1,COLUMN()))),ovrHeaderRow,0))</f>
        <v>5.9</v>
      </c>
      <c r="CJ2" s="12">
        <f>INDEX(ovrTable,MATCH(INDEX(oppCol24,ROW()),ovrTeamCol,0),MATCH(MID(INDEX(headerRow,1,COLUMN()),4,LEN(INDEX(headerRow,1,COLUMN()))),ovrHeaderRow,0))</f>
        <v>1.2</v>
      </c>
      <c r="CK2" s="12">
        <f>INDEX(ovrTable,MATCH(INDEX(oppCol24,ROW()),ovrTeamCol,0),MATCH(MID(INDEX(headerRow,1,COLUMN()),4,LEN(INDEX(headerRow,1,COLUMN()))),ovrHeaderRow,0))</f>
        <v>11.12</v>
      </c>
      <c r="CL2" s="12">
        <f>INDEX(ovrTable,MATCH(INDEX(oppCol24,ROW()),ovrTeamCol,0),MATCH(MID(INDEX(headerRow,1,COLUMN()),4,LEN(INDEX(headerRow,1,COLUMN()))),ovrHeaderRow,0))</f>
        <v>9.9</v>
      </c>
      <c r="CM2" s="12">
        <f>INDEX(ovrTable,MATCH(INDEX(oppCol24,ROW()),ovrTeamCol,0),MATCH(MID(INDEX(headerRow,1,COLUMN()),4,LEN(INDEX(headerRow,1,COLUMN()))),ovrHeaderRow,0))</f>
        <v>65</v>
      </c>
      <c r="CN2" s="12">
        <f>INDEX(ovrTable,MATCH(INDEX(oppCol24,ROW()),ovrTeamCol,0),MATCH(MID(INDEX(headerRow,1,COLUMN()),4,LEN(INDEX(headerRow,1,COLUMN()))),ovrHeaderRow,0))</f>
        <v>15.75</v>
      </c>
      <c r="CO2" s="12">
        <f>INDEX(ovrTable,MATCH(INDEX(oppCol24,ROW()),ovrTeamCol,0),MATCH(MID(INDEX(headerRow,1,COLUMN()),4,LEN(INDEX(headerRow,1,COLUMN()))),ovrHeaderRow,0))</f>
        <v>57.954545454545453</v>
      </c>
    </row>
    <row r="3" spans="1:93" x14ac:dyDescent="0.3">
      <c r="A3" s="6" t="s">
        <v>33</v>
      </c>
      <c r="B3" s="3">
        <v>16</v>
      </c>
      <c r="C3" s="13" t="s">
        <v>32</v>
      </c>
      <c r="D3" s="14">
        <v>1</v>
      </c>
      <c r="E3" s="23">
        <v>29.166666666666668</v>
      </c>
      <c r="F3" s="24">
        <v>8</v>
      </c>
      <c r="G3" s="23">
        <v>47.058823529411761</v>
      </c>
      <c r="H3" s="24">
        <v>17</v>
      </c>
      <c r="I3" s="25">
        <v>2</v>
      </c>
      <c r="J3" s="24">
        <v>16</v>
      </c>
      <c r="K3" s="24">
        <v>9</v>
      </c>
      <c r="L3" s="24">
        <v>5</v>
      </c>
      <c r="M3" s="24">
        <v>38.6</v>
      </c>
      <c r="N3" s="24">
        <v>25</v>
      </c>
      <c r="O3" s="26">
        <v>0.5996896551724139</v>
      </c>
      <c r="P3" s="24">
        <v>14</v>
      </c>
      <c r="Q3" s="24">
        <v>52.7</v>
      </c>
      <c r="R3" s="24">
        <v>16</v>
      </c>
      <c r="S3" s="23">
        <v>55.555555555555557</v>
      </c>
      <c r="T3" s="24">
        <v>9</v>
      </c>
      <c r="U3" s="24">
        <v>5</v>
      </c>
      <c r="V3" s="24">
        <v>68</v>
      </c>
      <c r="W3" s="24">
        <v>3</v>
      </c>
      <c r="X3" s="24">
        <v>71</v>
      </c>
      <c r="Y3" s="24">
        <v>-8</v>
      </c>
      <c r="Z3" s="24">
        <v>28</v>
      </c>
      <c r="AA3" s="24">
        <v>3</v>
      </c>
      <c r="AB3" s="24">
        <v>5</v>
      </c>
      <c r="AC3" s="24">
        <v>0</v>
      </c>
      <c r="AD3" s="24">
        <v>8</v>
      </c>
      <c r="AE3" s="24">
        <v>8</v>
      </c>
      <c r="AF3" s="46">
        <f t="shared" ref="AF3:AF66" si="3">(ROUND(((X3-U3-3*F3)/2),0)+F3)/Q3*100-W3+AE3+T3*0.475</f>
        <v>64.303462998102475</v>
      </c>
      <c r="AG3" s="51">
        <f>AVERAGE(AF2,AF3)</f>
        <v>64.136640825476107</v>
      </c>
      <c r="AH3" s="12">
        <f t="shared" si="0"/>
        <v>30</v>
      </c>
      <c r="AI3" s="12">
        <f t="shared" si="0"/>
        <v>7.2</v>
      </c>
      <c r="AJ3" s="12">
        <f t="shared" si="0"/>
        <v>32.700000000000003</v>
      </c>
      <c r="AK3" s="12">
        <f t="shared" si="0"/>
        <v>22</v>
      </c>
      <c r="AL3" s="12">
        <f t="shared" si="0"/>
        <v>1.29</v>
      </c>
      <c r="AM3" s="12">
        <f t="shared" si="0"/>
        <v>12.8</v>
      </c>
      <c r="AN3" s="12">
        <f t="shared" si="0"/>
        <v>15.36</v>
      </c>
      <c r="AO3" s="12">
        <f t="shared" si="0"/>
        <v>2.2999999999999998</v>
      </c>
      <c r="AP3" s="12">
        <f t="shared" si="0"/>
        <v>42.2</v>
      </c>
      <c r="AQ3" s="12">
        <f t="shared" si="0"/>
        <v>24.67</v>
      </c>
      <c r="AR3" s="12">
        <f t="shared" si="1"/>
        <v>0.45800000000000002</v>
      </c>
      <c r="AS3" s="12">
        <f t="shared" si="1"/>
        <v>10.7</v>
      </c>
      <c r="AT3" s="12">
        <f t="shared" si="1"/>
        <v>39.6</v>
      </c>
      <c r="AU3" s="12">
        <f t="shared" si="1"/>
        <v>15.4</v>
      </c>
      <c r="AV3" s="12">
        <f t="shared" si="1"/>
        <v>70.400000000000006</v>
      </c>
      <c r="AW3" s="12">
        <f t="shared" si="1"/>
        <v>15</v>
      </c>
      <c r="AX3" s="12">
        <f t="shared" si="1"/>
        <v>10.6</v>
      </c>
      <c r="AY3" s="12">
        <f t="shared" si="1"/>
        <v>63.1</v>
      </c>
      <c r="AZ3" s="12">
        <f t="shared" si="1"/>
        <v>11.18</v>
      </c>
      <c r="BA3" s="12">
        <f t="shared" si="1"/>
        <v>63.7</v>
      </c>
      <c r="BB3" s="12">
        <f t="shared" si="2"/>
        <v>0.6</v>
      </c>
      <c r="BC3" s="12">
        <f t="shared" si="2"/>
        <v>35.85</v>
      </c>
      <c r="BD3" s="12">
        <f t="shared" si="2"/>
        <v>0.6</v>
      </c>
      <c r="BE3" s="12">
        <f t="shared" si="2"/>
        <v>5.9</v>
      </c>
      <c r="BF3" s="12">
        <f t="shared" si="2"/>
        <v>1.2</v>
      </c>
      <c r="BG3" s="12">
        <f t="shared" si="2"/>
        <v>11.12</v>
      </c>
      <c r="BH3" s="12">
        <f t="shared" si="2"/>
        <v>9.9</v>
      </c>
      <c r="BI3" s="12">
        <f t="shared" si="2"/>
        <v>65</v>
      </c>
      <c r="BJ3" s="12">
        <f t="shared" si="2"/>
        <v>15.75</v>
      </c>
      <c r="BK3" s="12">
        <f t="shared" si="2"/>
        <v>57.954545454545453</v>
      </c>
      <c r="BL3" s="12">
        <f>INDEX(ovrTable,MATCH(INDEX(oppCol24,ROW()),ovrTeamCol,0),MATCH(MID(INDEX(headerRow,1,COLUMN()),4,LEN(INDEX(headerRow,1,COLUMN()))),ovrHeaderRow,0))</f>
        <v>34</v>
      </c>
      <c r="BM3" s="12">
        <f>INDEX(ovrTable,MATCH(INDEX(oppCol24,ROW()),ovrTeamCol,0),MATCH(MID(INDEX(headerRow,1,COLUMN()),4,LEN(INDEX(headerRow,1,COLUMN()))),ovrHeaderRow,0))</f>
        <v>8</v>
      </c>
      <c r="BN3" s="12">
        <f>INDEX(ovrTable,MATCH(INDEX(oppCol24,ROW()),ovrTeamCol,0),MATCH(MID(INDEX(headerRow,1,COLUMN()),4,LEN(INDEX(headerRow,1,COLUMN()))),ovrHeaderRow,0))</f>
        <v>37.1</v>
      </c>
      <c r="BO3" s="12">
        <f>INDEX(ovrTable,MATCH(INDEX(oppCol24,ROW()),ovrTeamCol,0),MATCH(MID(INDEX(headerRow,1,COLUMN()),4,LEN(INDEX(headerRow,1,COLUMN()))),ovrHeaderRow,0))</f>
        <v>21.6</v>
      </c>
      <c r="BP3" s="12">
        <f>INDEX(ovrTable,MATCH(INDEX(oppCol24,ROW()),ovrTeamCol,0),MATCH(MID(INDEX(headerRow,1,COLUMN()),4,LEN(INDEX(headerRow,1,COLUMN()))),ovrHeaderRow,0))</f>
        <v>0.9</v>
      </c>
      <c r="BQ3" s="12">
        <f>INDEX(ovrTable,MATCH(INDEX(oppCol24,ROW()),ovrTeamCol,0),MATCH(MID(INDEX(headerRow,1,COLUMN()),4,LEN(INDEX(headerRow,1,COLUMN()))),ovrHeaderRow,0))</f>
        <v>13.9</v>
      </c>
      <c r="BR3" s="12">
        <f>INDEX(ovrTable,MATCH(INDEX(oppCol24,ROW()),ovrTeamCol,0),MATCH(MID(INDEX(headerRow,1,COLUMN()),4,LEN(INDEX(headerRow,1,COLUMN()))),ovrHeaderRow,0))</f>
        <v>15.8</v>
      </c>
      <c r="BS3" s="12">
        <f>INDEX(ovrTable,MATCH(INDEX(oppCol24,ROW()),ovrTeamCol,0),MATCH(MID(INDEX(headerRow,1,COLUMN()),4,LEN(INDEX(headerRow,1,COLUMN()))),ovrHeaderRow,0))</f>
        <v>2.8</v>
      </c>
      <c r="BT3" s="12">
        <f>INDEX(ovrTable,MATCH(INDEX(oppCol24,ROW()),ovrTeamCol,0),MATCH(MID(INDEX(headerRow,1,COLUMN()),4,LEN(INDEX(headerRow,1,COLUMN()))),ovrHeaderRow,0))</f>
        <v>44.9</v>
      </c>
      <c r="BU3" s="12">
        <f>INDEX(ovrTable,MATCH(INDEX(oppCol24,ROW()),ovrTeamCol,0),MATCH(MID(INDEX(headerRow,1,COLUMN()),4,LEN(INDEX(headerRow,1,COLUMN()))),ovrHeaderRow,0))</f>
        <v>24.63</v>
      </c>
      <c r="BV3" s="12">
        <f>INDEX(ovrTable,MATCH(INDEX(oppCol24,ROW()),ovrTeamCol,0),MATCH(MID(INDEX(headerRow,1,COLUMN()),4,LEN(INDEX(headerRow,1,COLUMN()))),ovrHeaderRow,0))</f>
        <v>0.52200000000000002</v>
      </c>
      <c r="BW3" s="12">
        <f>INDEX(ovrTable,MATCH(INDEX(oppCol24,ROW()),ovrTeamCol,0),MATCH(MID(INDEX(headerRow,1,COLUMN()),4,LEN(INDEX(headerRow,1,COLUMN()))),ovrHeaderRow,0))</f>
        <v>9.0299999999999994</v>
      </c>
      <c r="BX3" s="12">
        <f>INDEX(ovrTable,MATCH(INDEX(oppCol24,ROW()),ovrTeamCol,0),MATCH(MID(INDEX(headerRow,1,COLUMN()),4,LEN(INDEX(headerRow,1,COLUMN()))),ovrHeaderRow,0))</f>
        <v>44.9</v>
      </c>
      <c r="BY3" s="12">
        <f>INDEX(ovrTable,MATCH(INDEX(oppCol24,ROW()),ovrTeamCol,0),MATCH(MID(INDEX(headerRow,1,COLUMN()),4,LEN(INDEX(headerRow,1,COLUMN()))),ovrHeaderRow,0))</f>
        <v>18.899999999999999</v>
      </c>
      <c r="BZ3" s="12">
        <f>INDEX(ovrTable,MATCH(INDEX(oppCol24,ROW()),ovrTeamCol,0),MATCH(MID(INDEX(headerRow,1,COLUMN()),4,LEN(INDEX(headerRow,1,COLUMN()))),ovrHeaderRow,0))</f>
        <v>75.099999999999994</v>
      </c>
      <c r="CA3" s="12">
        <f>INDEX(ovrTable,MATCH(INDEX(oppCol24,ROW()),ovrTeamCol,0),MATCH(MID(INDEX(headerRow,1,COLUMN()),4,LEN(INDEX(headerRow,1,COLUMN()))),ovrHeaderRow,0))</f>
        <v>23.1</v>
      </c>
      <c r="CB3" s="12">
        <f>INDEX(ovrTable,MATCH(INDEX(oppCol24,ROW()),ovrTeamCol,0),MATCH(MID(INDEX(headerRow,1,COLUMN()),4,LEN(INDEX(headerRow,1,COLUMN()))),ovrHeaderRow,0))</f>
        <v>17.3</v>
      </c>
      <c r="CC3" s="12">
        <f>INDEX(ovrTable,MATCH(INDEX(oppCol24,ROW()),ovrTeamCol,0),MATCH(MID(INDEX(headerRow,1,COLUMN()),4,LEN(INDEX(headerRow,1,COLUMN()))),ovrHeaderRow,0))</f>
        <v>74.3</v>
      </c>
      <c r="CD3" s="12">
        <f>INDEX(ovrTable,MATCH(INDEX(oppCol24,ROW()),ovrTeamCol,0),MATCH(MID(INDEX(headerRow,1,COLUMN()),4,LEN(INDEX(headerRow,1,COLUMN()))),ovrHeaderRow,0))</f>
        <v>11.29</v>
      </c>
      <c r="CE3" s="12">
        <f>INDEX(ovrTable,MATCH(INDEX(oppCol24,ROW()),ovrTeamCol,0),MATCH(MID(INDEX(headerRow,1,COLUMN()),4,LEN(INDEX(headerRow,1,COLUMN()))),ovrHeaderRow,0))</f>
        <v>74.900000000000006</v>
      </c>
      <c r="CF3" s="12">
        <f>INDEX(ovrTable,MATCH(INDEX(oppCol24,ROW()),ovrTeamCol,0),MATCH(MID(INDEX(headerRow,1,COLUMN()),4,LEN(INDEX(headerRow,1,COLUMN()))),ovrHeaderRow,0))</f>
        <v>3.8</v>
      </c>
      <c r="CG3" s="12">
        <f>INDEX(ovrTable,MATCH(INDEX(oppCol24,ROW()),ovrTeamCol,0),MATCH(MID(INDEX(headerRow,1,COLUMN()),4,LEN(INDEX(headerRow,1,COLUMN()))),ovrHeaderRow,0))</f>
        <v>35.909999999999997</v>
      </c>
      <c r="CH3" s="12">
        <f>INDEX(ovrTable,MATCH(INDEX(oppCol24,ROW()),ovrTeamCol,0),MATCH(MID(INDEX(headerRow,1,COLUMN()),4,LEN(INDEX(headerRow,1,COLUMN()))),ovrHeaderRow,0))</f>
        <v>0.7</v>
      </c>
      <c r="CI3" s="12">
        <f>INDEX(ovrTable,MATCH(INDEX(oppCol24,ROW()),ovrTeamCol,0),MATCH(MID(INDEX(headerRow,1,COLUMN()),4,LEN(INDEX(headerRow,1,COLUMN()))),ovrHeaderRow,0))</f>
        <v>6.1</v>
      </c>
      <c r="CJ3" s="12">
        <f>INDEX(ovrTable,MATCH(INDEX(oppCol24,ROW()),ovrTeamCol,0),MATCH(MID(INDEX(headerRow,1,COLUMN()),4,LEN(INDEX(headerRow,1,COLUMN()))),ovrHeaderRow,0))</f>
        <v>-3.2</v>
      </c>
      <c r="CK3" s="12">
        <f>INDEX(ovrTable,MATCH(INDEX(oppCol24,ROW()),ovrTeamCol,0),MATCH(MID(INDEX(headerRow,1,COLUMN()),4,LEN(INDEX(headerRow,1,COLUMN()))),ovrHeaderRow,0))</f>
        <v>12.23</v>
      </c>
      <c r="CL3" s="12">
        <f>INDEX(ovrTable,MATCH(INDEX(oppCol24,ROW()),ovrTeamCol,0),MATCH(MID(INDEX(headerRow,1,COLUMN()),4,LEN(INDEX(headerRow,1,COLUMN()))),ovrHeaderRow,0))</f>
        <v>15.5</v>
      </c>
      <c r="CM3" s="12">
        <f>INDEX(ovrTable,MATCH(INDEX(oppCol24,ROW()),ovrTeamCol,0),MATCH(MID(INDEX(headerRow,1,COLUMN()),4,LEN(INDEX(headerRow,1,COLUMN()))),ovrHeaderRow,0))</f>
        <v>71.7</v>
      </c>
      <c r="CN3" s="12">
        <f>INDEX(ovrTable,MATCH(INDEX(oppCol24,ROW()),ovrTeamCol,0),MATCH(MID(INDEX(headerRow,1,COLUMN()),4,LEN(INDEX(headerRow,1,COLUMN()))),ovrHeaderRow,0))</f>
        <v>16.800000000000004</v>
      </c>
      <c r="CO3" s="12">
        <f>INDEX(ovrTable,MATCH(INDEX(oppCol24,ROW()),ovrTeamCol,0),MATCH(MID(INDEX(headerRow,1,COLUMN()),4,LEN(INDEX(headerRow,1,COLUMN()))),ovrHeaderRow,0))</f>
        <v>55.233853006681528</v>
      </c>
    </row>
    <row r="4" spans="1:93" x14ac:dyDescent="0.3">
      <c r="A4" s="6" t="s">
        <v>63</v>
      </c>
      <c r="B4" s="3">
        <v>10</v>
      </c>
      <c r="C4" s="13" t="s">
        <v>64</v>
      </c>
      <c r="D4" s="14">
        <v>2</v>
      </c>
      <c r="E4" s="23">
        <v>35.714285714285715</v>
      </c>
      <c r="F4" s="24">
        <v>3</v>
      </c>
      <c r="G4" s="23">
        <v>17.647058823529413</v>
      </c>
      <c r="H4" s="24">
        <v>17</v>
      </c>
      <c r="I4" s="25">
        <v>1.5</v>
      </c>
      <c r="J4" s="24">
        <v>6</v>
      </c>
      <c r="K4" s="24">
        <v>9</v>
      </c>
      <c r="L4" s="24">
        <v>1</v>
      </c>
      <c r="M4" s="24">
        <v>55.3</v>
      </c>
      <c r="N4" s="24">
        <v>17</v>
      </c>
      <c r="O4" s="26">
        <v>0.27678571428571425</v>
      </c>
      <c r="P4" s="24">
        <v>3</v>
      </c>
      <c r="Q4" s="24">
        <v>25</v>
      </c>
      <c r="R4" s="24">
        <v>15</v>
      </c>
      <c r="S4" s="23">
        <v>64.705882352941174</v>
      </c>
      <c r="T4" s="24">
        <v>17</v>
      </c>
      <c r="U4" s="24">
        <v>11</v>
      </c>
      <c r="V4" s="24">
        <v>67</v>
      </c>
      <c r="W4" s="24">
        <v>7</v>
      </c>
      <c r="X4" s="24">
        <v>42</v>
      </c>
      <c r="Y4" s="24">
        <v>-19</v>
      </c>
      <c r="Z4" s="24">
        <v>24</v>
      </c>
      <c r="AA4" s="24">
        <v>-25</v>
      </c>
      <c r="AB4" s="24">
        <v>4</v>
      </c>
      <c r="AC4" s="24">
        <v>9</v>
      </c>
      <c r="AD4" s="24">
        <v>13</v>
      </c>
      <c r="AE4" s="24">
        <v>4</v>
      </c>
      <c r="AF4" s="46">
        <f t="shared" si="3"/>
        <v>61.075000000000003</v>
      </c>
      <c r="AG4" s="51">
        <f t="shared" ref="AG4" si="4">AVERAGE(AF4,AF5)</f>
        <v>60.870637432188069</v>
      </c>
      <c r="AH4" s="12">
        <f t="shared" si="0"/>
        <v>30.5</v>
      </c>
      <c r="AI4" s="12">
        <f t="shared" si="0"/>
        <v>6.5</v>
      </c>
      <c r="AJ4" s="12">
        <f t="shared" si="0"/>
        <v>35.799999999999997</v>
      </c>
      <c r="AK4" s="12">
        <f t="shared" si="0"/>
        <v>18.100000000000001</v>
      </c>
      <c r="AL4" s="12">
        <f t="shared" si="0"/>
        <v>1.86</v>
      </c>
      <c r="AM4" s="12">
        <f t="shared" si="0"/>
        <v>15</v>
      </c>
      <c r="AN4" s="12">
        <f t="shared" si="0"/>
        <v>17.12</v>
      </c>
      <c r="AO4" s="12">
        <f t="shared" si="0"/>
        <v>5</v>
      </c>
      <c r="AP4" s="12">
        <f t="shared" si="0"/>
        <v>40.6</v>
      </c>
      <c r="AQ4" s="12">
        <f t="shared" si="0"/>
        <v>23.79</v>
      </c>
      <c r="AR4" s="12">
        <f t="shared" si="1"/>
        <v>0.48599999999999999</v>
      </c>
      <c r="AS4" s="12">
        <f t="shared" si="1"/>
        <v>5.29</v>
      </c>
      <c r="AT4" s="12">
        <f t="shared" si="1"/>
        <v>42.8</v>
      </c>
      <c r="AU4" s="12">
        <f t="shared" si="1"/>
        <v>13.5</v>
      </c>
      <c r="AV4" s="12">
        <f t="shared" si="1"/>
        <v>63.7</v>
      </c>
      <c r="AW4" s="12">
        <f t="shared" si="1"/>
        <v>14</v>
      </c>
      <c r="AX4" s="12">
        <f t="shared" si="1"/>
        <v>8.9</v>
      </c>
      <c r="AY4" s="12">
        <f t="shared" si="1"/>
        <v>59.7</v>
      </c>
      <c r="AZ4" s="12">
        <f t="shared" si="1"/>
        <v>8.76</v>
      </c>
      <c r="BA4" s="12">
        <f t="shared" si="1"/>
        <v>62.9</v>
      </c>
      <c r="BB4" s="12">
        <f t="shared" si="2"/>
        <v>-2.2000000000000002</v>
      </c>
      <c r="BC4" s="12">
        <f t="shared" si="2"/>
        <v>32.56</v>
      </c>
      <c r="BD4" s="12">
        <f t="shared" si="2"/>
        <v>3.2</v>
      </c>
      <c r="BE4" s="12">
        <f t="shared" si="2"/>
        <v>7</v>
      </c>
      <c r="BF4" s="12">
        <f t="shared" si="2"/>
        <v>3.9</v>
      </c>
      <c r="BG4" s="12">
        <f t="shared" si="2"/>
        <v>12</v>
      </c>
      <c r="BH4" s="12">
        <f t="shared" si="2"/>
        <v>8.1</v>
      </c>
      <c r="BI4" s="12">
        <f t="shared" si="2"/>
        <v>63.3</v>
      </c>
      <c r="BJ4" s="12">
        <f t="shared" si="2"/>
        <v>17.25</v>
      </c>
      <c r="BK4" s="12">
        <f t="shared" si="2"/>
        <v>55.490654205607477</v>
      </c>
      <c r="BL4" s="12">
        <f>INDEX(ovrTable,MATCH(INDEX(oppCol24,ROW()),ovrTeamCol,0),MATCH(MID(INDEX(headerRow,1,COLUMN()),4,LEN(INDEX(headerRow,1,COLUMN()))),ovrHeaderRow,0))</f>
        <v>32.200000000000003</v>
      </c>
      <c r="BM4" s="12">
        <f>INDEX(ovrTable,MATCH(INDEX(oppCol24,ROW()),ovrTeamCol,0),MATCH(MID(INDEX(headerRow,1,COLUMN()),4,LEN(INDEX(headerRow,1,COLUMN()))),ovrHeaderRow,0))</f>
        <v>7.3</v>
      </c>
      <c r="BN4" s="12">
        <f>INDEX(ovrTable,MATCH(INDEX(oppCol24,ROW()),ovrTeamCol,0),MATCH(MID(INDEX(headerRow,1,COLUMN()),4,LEN(INDEX(headerRow,1,COLUMN()))),ovrHeaderRow,0))</f>
        <v>33.799999999999997</v>
      </c>
      <c r="BO4" s="12">
        <f>INDEX(ovrTable,MATCH(INDEX(oppCol24,ROW()),ovrTeamCol,0),MATCH(MID(INDEX(headerRow,1,COLUMN()),4,LEN(INDEX(headerRow,1,COLUMN()))),ovrHeaderRow,0))</f>
        <v>21.7</v>
      </c>
      <c r="BP4" s="12">
        <f>INDEX(ovrTable,MATCH(INDEX(oppCol24,ROW()),ovrTeamCol,0),MATCH(MID(INDEX(headerRow,1,COLUMN()),4,LEN(INDEX(headerRow,1,COLUMN()))),ovrHeaderRow,0))</f>
        <v>1.72</v>
      </c>
      <c r="BQ4" s="12">
        <f>INDEX(ovrTable,MATCH(INDEX(oppCol24,ROW()),ovrTeamCol,0),MATCH(MID(INDEX(headerRow,1,COLUMN()),4,LEN(INDEX(headerRow,1,COLUMN()))),ovrHeaderRow,0))</f>
        <v>18</v>
      </c>
      <c r="BR4" s="12">
        <f>INDEX(ovrTable,MATCH(INDEX(oppCol24,ROW()),ovrTeamCol,0),MATCH(MID(INDEX(headerRow,1,COLUMN()),4,LEN(INDEX(headerRow,1,COLUMN()))),ovrHeaderRow,0))</f>
        <v>17.420000000000002</v>
      </c>
      <c r="BS4" s="12">
        <f>INDEX(ovrTable,MATCH(INDEX(oppCol24,ROW()),ovrTeamCol,0),MATCH(MID(INDEX(headerRow,1,COLUMN()),4,LEN(INDEX(headerRow,1,COLUMN()))),ovrHeaderRow,0))</f>
        <v>3.1</v>
      </c>
      <c r="BT4" s="12">
        <f>INDEX(ovrTable,MATCH(INDEX(oppCol24,ROW()),ovrTeamCol,0),MATCH(MID(INDEX(headerRow,1,COLUMN()),4,LEN(INDEX(headerRow,1,COLUMN()))),ovrHeaderRow,0))</f>
        <v>42.6</v>
      </c>
      <c r="BU4" s="12">
        <f>INDEX(ovrTable,MATCH(INDEX(oppCol24,ROW()),ovrTeamCol,0),MATCH(MID(INDEX(headerRow,1,COLUMN()),4,LEN(INDEX(headerRow,1,COLUMN()))),ovrHeaderRow,0))</f>
        <v>25.56</v>
      </c>
      <c r="BV4" s="12">
        <f>INDEX(ovrTable,MATCH(INDEX(oppCol24,ROW()),ovrTeamCol,0),MATCH(MID(INDEX(headerRow,1,COLUMN()),4,LEN(INDEX(headerRow,1,COLUMN()))),ovrHeaderRow,0))</f>
        <v>0.54900000000000004</v>
      </c>
      <c r="BW4" s="12">
        <f>INDEX(ovrTable,MATCH(INDEX(oppCol24,ROW()),ovrTeamCol,0),MATCH(MID(INDEX(headerRow,1,COLUMN()),4,LEN(INDEX(headerRow,1,COLUMN()))),ovrHeaderRow,0))</f>
        <v>11.78</v>
      </c>
      <c r="BX4" s="12">
        <f>INDEX(ovrTable,MATCH(INDEX(oppCol24,ROW()),ovrTeamCol,0),MATCH(MID(INDEX(headerRow,1,COLUMN()),4,LEN(INDEX(headerRow,1,COLUMN()))),ovrHeaderRow,0))</f>
        <v>48.4</v>
      </c>
      <c r="BY4" s="12">
        <f>INDEX(ovrTable,MATCH(INDEX(oppCol24,ROW()),ovrTeamCol,0),MATCH(MID(INDEX(headerRow,1,COLUMN()),4,LEN(INDEX(headerRow,1,COLUMN()))),ovrHeaderRow,0))</f>
        <v>17</v>
      </c>
      <c r="BZ4" s="12">
        <f>INDEX(ovrTable,MATCH(INDEX(oppCol24,ROW()),ovrTeamCol,0),MATCH(MID(INDEX(headerRow,1,COLUMN()),4,LEN(INDEX(headerRow,1,COLUMN()))),ovrHeaderRow,0))</f>
        <v>75.2</v>
      </c>
      <c r="CA4" s="12">
        <f>INDEX(ovrTable,MATCH(INDEX(oppCol24,ROW()),ovrTeamCol,0),MATCH(MID(INDEX(headerRow,1,COLUMN()),4,LEN(INDEX(headerRow,1,COLUMN()))),ovrHeaderRow,0))</f>
        <v>17.8</v>
      </c>
      <c r="CB4" s="12">
        <f>INDEX(ovrTable,MATCH(INDEX(oppCol24,ROW()),ovrTeamCol,0),MATCH(MID(INDEX(headerRow,1,COLUMN()),4,LEN(INDEX(headerRow,1,COLUMN()))),ovrHeaderRow,0))</f>
        <v>13.4</v>
      </c>
      <c r="CC4" s="12">
        <f>INDEX(ovrTable,MATCH(INDEX(oppCol24,ROW()),ovrTeamCol,0),MATCH(MID(INDEX(headerRow,1,COLUMN()),4,LEN(INDEX(headerRow,1,COLUMN()))),ovrHeaderRow,0))</f>
        <v>67.3</v>
      </c>
      <c r="CD4" s="12">
        <f>INDEX(ovrTable,MATCH(INDEX(oppCol24,ROW()),ovrTeamCol,0),MATCH(MID(INDEX(headerRow,1,COLUMN()),4,LEN(INDEX(headerRow,1,COLUMN()))),ovrHeaderRow,0))</f>
        <v>7.86</v>
      </c>
      <c r="CE4" s="12">
        <f>INDEX(ovrTable,MATCH(INDEX(oppCol24,ROW()),ovrTeamCol,0),MATCH(MID(INDEX(headerRow,1,COLUMN()),4,LEN(INDEX(headerRow,1,COLUMN()))),ovrHeaderRow,0))</f>
        <v>75.2</v>
      </c>
      <c r="CF4" s="12">
        <f>INDEX(ovrTable,MATCH(INDEX(oppCol24,ROW()),ovrTeamCol,0),MATCH(MID(INDEX(headerRow,1,COLUMN()),4,LEN(INDEX(headerRow,1,COLUMN()))),ovrHeaderRow,0))</f>
        <v>0.6</v>
      </c>
      <c r="CG4" s="12">
        <f>INDEX(ovrTable,MATCH(INDEX(oppCol24,ROW()),ovrTeamCol,0),MATCH(MID(INDEX(headerRow,1,COLUMN()),4,LEN(INDEX(headerRow,1,COLUMN()))),ovrHeaderRow,0))</f>
        <v>33.42</v>
      </c>
      <c r="CH4" s="12">
        <f>INDEX(ovrTable,MATCH(INDEX(oppCol24,ROW()),ovrTeamCol,0),MATCH(MID(INDEX(headerRow,1,COLUMN()),4,LEN(INDEX(headerRow,1,COLUMN()))),ovrHeaderRow,0))</f>
        <v>7.9</v>
      </c>
      <c r="CI4" s="12">
        <f>INDEX(ovrTable,MATCH(INDEX(oppCol24,ROW()),ovrTeamCol,0),MATCH(MID(INDEX(headerRow,1,COLUMN()),4,LEN(INDEX(headerRow,1,COLUMN()))),ovrHeaderRow,0))</f>
        <v>6.3</v>
      </c>
      <c r="CJ4" s="12">
        <f>INDEX(ovrTable,MATCH(INDEX(oppCol24,ROW()),ovrTeamCol,0),MATCH(MID(INDEX(headerRow,1,COLUMN()),4,LEN(INDEX(headerRow,1,COLUMN()))),ovrHeaderRow,0))</f>
        <v>1.1000000000000001</v>
      </c>
      <c r="CK4" s="12">
        <f>INDEX(ovrTable,MATCH(INDEX(oppCol24,ROW()),ovrTeamCol,0),MATCH(MID(INDEX(headerRow,1,COLUMN()),4,LEN(INDEX(headerRow,1,COLUMN()))),ovrHeaderRow,0))</f>
        <v>11.53</v>
      </c>
      <c r="CL4" s="12">
        <f>INDEX(ovrTable,MATCH(INDEX(oppCol24,ROW()),ovrTeamCol,0),MATCH(MID(INDEX(headerRow,1,COLUMN()),4,LEN(INDEX(headerRow,1,COLUMN()))),ovrHeaderRow,0))</f>
        <v>10.4</v>
      </c>
      <c r="CM4" s="12">
        <f>INDEX(ovrTable,MATCH(INDEX(oppCol24,ROW()),ovrTeamCol,0),MATCH(MID(INDEX(headerRow,1,COLUMN()),4,LEN(INDEX(headerRow,1,COLUMN()))),ovrHeaderRow,0))</f>
        <v>67.900000000000006</v>
      </c>
      <c r="CN4" s="12">
        <f>INDEX(ovrTable,MATCH(INDEX(oppCol24,ROW()),ovrTeamCol,0),MATCH(MID(INDEX(headerRow,1,COLUMN()),4,LEN(INDEX(headerRow,1,COLUMN()))),ovrHeaderRow,0))</f>
        <v>19.950000000000003</v>
      </c>
      <c r="CO4" s="12">
        <f>INDEX(ovrTable,MATCH(INDEX(oppCol24,ROW()),ovrTeamCol,0),MATCH(MID(INDEX(headerRow,1,COLUMN()),4,LEN(INDEX(headerRow,1,COLUMN()))),ovrHeaderRow,0))</f>
        <v>56.301652892561997</v>
      </c>
    </row>
    <row r="5" spans="1:93" x14ac:dyDescent="0.3">
      <c r="A5" s="6" t="s">
        <v>64</v>
      </c>
      <c r="B5" s="3">
        <v>10</v>
      </c>
      <c r="C5" s="13" t="s">
        <v>63</v>
      </c>
      <c r="D5" s="14">
        <v>2</v>
      </c>
      <c r="E5" s="23">
        <v>17.647058823529413</v>
      </c>
      <c r="F5" s="24">
        <v>5</v>
      </c>
      <c r="G5" s="23">
        <v>35.714285714285715</v>
      </c>
      <c r="H5" s="24">
        <v>14</v>
      </c>
      <c r="I5" s="25">
        <v>1</v>
      </c>
      <c r="J5" s="24">
        <v>13</v>
      </c>
      <c r="K5" s="24">
        <v>10</v>
      </c>
      <c r="L5" s="24">
        <v>1</v>
      </c>
      <c r="M5" s="24">
        <v>25</v>
      </c>
      <c r="N5" s="24">
        <v>37</v>
      </c>
      <c r="O5" s="26">
        <v>0.60617307692307687</v>
      </c>
      <c r="P5" s="24">
        <v>2</v>
      </c>
      <c r="Q5" s="24">
        <v>55.3</v>
      </c>
      <c r="R5" s="24">
        <v>15</v>
      </c>
      <c r="S5" s="23">
        <v>71.428571428571431</v>
      </c>
      <c r="T5" s="24">
        <v>14</v>
      </c>
      <c r="U5" s="24">
        <v>10</v>
      </c>
      <c r="V5" s="24">
        <v>42</v>
      </c>
      <c r="W5" s="24">
        <v>6</v>
      </c>
      <c r="X5" s="24">
        <v>67</v>
      </c>
      <c r="Y5" s="24">
        <v>19</v>
      </c>
      <c r="Z5" s="24">
        <v>43</v>
      </c>
      <c r="AA5" s="24">
        <v>25</v>
      </c>
      <c r="AB5" s="24">
        <v>1</v>
      </c>
      <c r="AC5" s="24">
        <v>-9</v>
      </c>
      <c r="AD5" s="24">
        <v>4</v>
      </c>
      <c r="AE5" s="24">
        <v>13</v>
      </c>
      <c r="AF5" s="46">
        <f t="shared" si="3"/>
        <v>60.666274864376135</v>
      </c>
      <c r="AG5" s="51">
        <f t="shared" ref="AG5" si="5">AVERAGE(AF4,AF5)</f>
        <v>60.870637432188069</v>
      </c>
      <c r="AH5" s="12">
        <f t="shared" si="0"/>
        <v>32.200000000000003</v>
      </c>
      <c r="AI5" s="12">
        <f t="shared" si="0"/>
        <v>7.3</v>
      </c>
      <c r="AJ5" s="12">
        <f t="shared" si="0"/>
        <v>33.799999999999997</v>
      </c>
      <c r="AK5" s="12">
        <f t="shared" si="0"/>
        <v>21.7</v>
      </c>
      <c r="AL5" s="12">
        <f t="shared" si="0"/>
        <v>1.72</v>
      </c>
      <c r="AM5" s="12">
        <f t="shared" si="0"/>
        <v>18</v>
      </c>
      <c r="AN5" s="12">
        <f t="shared" si="0"/>
        <v>17.420000000000002</v>
      </c>
      <c r="AO5" s="12">
        <f t="shared" si="0"/>
        <v>3.1</v>
      </c>
      <c r="AP5" s="12">
        <f t="shared" si="0"/>
        <v>42.6</v>
      </c>
      <c r="AQ5" s="12">
        <f t="shared" si="0"/>
        <v>25.56</v>
      </c>
      <c r="AR5" s="12">
        <f t="shared" si="1"/>
        <v>0.54900000000000004</v>
      </c>
      <c r="AS5" s="12">
        <f t="shared" si="1"/>
        <v>11.78</v>
      </c>
      <c r="AT5" s="12">
        <f t="shared" si="1"/>
        <v>48.4</v>
      </c>
      <c r="AU5" s="12">
        <f t="shared" si="1"/>
        <v>17</v>
      </c>
      <c r="AV5" s="12">
        <f t="shared" si="1"/>
        <v>75.2</v>
      </c>
      <c r="AW5" s="12">
        <f t="shared" si="1"/>
        <v>17.8</v>
      </c>
      <c r="AX5" s="12">
        <f t="shared" si="1"/>
        <v>13.4</v>
      </c>
      <c r="AY5" s="12">
        <f t="shared" si="1"/>
        <v>67.3</v>
      </c>
      <c r="AZ5" s="12">
        <f t="shared" si="1"/>
        <v>7.86</v>
      </c>
      <c r="BA5" s="12">
        <f t="shared" si="1"/>
        <v>75.2</v>
      </c>
      <c r="BB5" s="12">
        <f t="shared" si="2"/>
        <v>0.6</v>
      </c>
      <c r="BC5" s="12">
        <f t="shared" si="2"/>
        <v>33.42</v>
      </c>
      <c r="BD5" s="12">
        <f t="shared" si="2"/>
        <v>7.9</v>
      </c>
      <c r="BE5" s="12">
        <f t="shared" si="2"/>
        <v>6.3</v>
      </c>
      <c r="BF5" s="12">
        <f t="shared" si="2"/>
        <v>1.1000000000000001</v>
      </c>
      <c r="BG5" s="12">
        <f t="shared" si="2"/>
        <v>11.53</v>
      </c>
      <c r="BH5" s="12">
        <f t="shared" si="2"/>
        <v>10.4</v>
      </c>
      <c r="BI5" s="12">
        <f t="shared" si="2"/>
        <v>67.900000000000006</v>
      </c>
      <c r="BJ5" s="12">
        <f t="shared" si="2"/>
        <v>19.950000000000003</v>
      </c>
      <c r="BK5" s="12">
        <f t="shared" si="2"/>
        <v>56.301652892561997</v>
      </c>
      <c r="BL5" s="12">
        <f>INDEX(ovrTable,MATCH(INDEX(oppCol24,ROW()),ovrTeamCol,0),MATCH(MID(INDEX(headerRow,1,COLUMN()),4,LEN(INDEX(headerRow,1,COLUMN()))),ovrHeaderRow,0))</f>
        <v>30.5</v>
      </c>
      <c r="BM5" s="12">
        <f>INDEX(ovrTable,MATCH(INDEX(oppCol24,ROW()),ovrTeamCol,0),MATCH(MID(INDEX(headerRow,1,COLUMN()),4,LEN(INDEX(headerRow,1,COLUMN()))),ovrHeaderRow,0))</f>
        <v>6.5</v>
      </c>
      <c r="BN5" s="12">
        <f>INDEX(ovrTable,MATCH(INDEX(oppCol24,ROW()),ovrTeamCol,0),MATCH(MID(INDEX(headerRow,1,COLUMN()),4,LEN(INDEX(headerRow,1,COLUMN()))),ovrHeaderRow,0))</f>
        <v>35.799999999999997</v>
      </c>
      <c r="BO5" s="12">
        <f>INDEX(ovrTable,MATCH(INDEX(oppCol24,ROW()),ovrTeamCol,0),MATCH(MID(INDEX(headerRow,1,COLUMN()),4,LEN(INDEX(headerRow,1,COLUMN()))),ovrHeaderRow,0))</f>
        <v>18.100000000000001</v>
      </c>
      <c r="BP5" s="12">
        <f>INDEX(ovrTable,MATCH(INDEX(oppCol24,ROW()),ovrTeamCol,0),MATCH(MID(INDEX(headerRow,1,COLUMN()),4,LEN(INDEX(headerRow,1,COLUMN()))),ovrHeaderRow,0))</f>
        <v>1.86</v>
      </c>
      <c r="BQ5" s="12">
        <f>INDEX(ovrTable,MATCH(INDEX(oppCol24,ROW()),ovrTeamCol,0),MATCH(MID(INDEX(headerRow,1,COLUMN()),4,LEN(INDEX(headerRow,1,COLUMN()))),ovrHeaderRow,0))</f>
        <v>15</v>
      </c>
      <c r="BR5" s="12">
        <f>INDEX(ovrTable,MATCH(INDEX(oppCol24,ROW()),ovrTeamCol,0),MATCH(MID(INDEX(headerRow,1,COLUMN()),4,LEN(INDEX(headerRow,1,COLUMN()))),ovrHeaderRow,0))</f>
        <v>17.12</v>
      </c>
      <c r="BS5" s="12">
        <f>INDEX(ovrTable,MATCH(INDEX(oppCol24,ROW()),ovrTeamCol,0),MATCH(MID(INDEX(headerRow,1,COLUMN()),4,LEN(INDEX(headerRow,1,COLUMN()))),ovrHeaderRow,0))</f>
        <v>5</v>
      </c>
      <c r="BT5" s="12">
        <f>INDEX(ovrTable,MATCH(INDEX(oppCol24,ROW()),ovrTeamCol,0),MATCH(MID(INDEX(headerRow,1,COLUMN()),4,LEN(INDEX(headerRow,1,COLUMN()))),ovrHeaderRow,0))</f>
        <v>40.6</v>
      </c>
      <c r="BU5" s="12">
        <f>INDEX(ovrTable,MATCH(INDEX(oppCol24,ROW()),ovrTeamCol,0),MATCH(MID(INDEX(headerRow,1,COLUMN()),4,LEN(INDEX(headerRow,1,COLUMN()))),ovrHeaderRow,0))</f>
        <v>23.79</v>
      </c>
      <c r="BV5" s="12">
        <f>INDEX(ovrTable,MATCH(INDEX(oppCol24,ROW()),ovrTeamCol,0),MATCH(MID(INDEX(headerRow,1,COLUMN()),4,LEN(INDEX(headerRow,1,COLUMN()))),ovrHeaderRow,0))</f>
        <v>0.48599999999999999</v>
      </c>
      <c r="BW5" s="12">
        <f>INDEX(ovrTable,MATCH(INDEX(oppCol24,ROW()),ovrTeamCol,0),MATCH(MID(INDEX(headerRow,1,COLUMN()),4,LEN(INDEX(headerRow,1,COLUMN()))),ovrHeaderRow,0))</f>
        <v>5.29</v>
      </c>
      <c r="BX5" s="12">
        <f>INDEX(ovrTable,MATCH(INDEX(oppCol24,ROW()),ovrTeamCol,0),MATCH(MID(INDEX(headerRow,1,COLUMN()),4,LEN(INDEX(headerRow,1,COLUMN()))),ovrHeaderRow,0))</f>
        <v>42.8</v>
      </c>
      <c r="BY5" s="12">
        <f>INDEX(ovrTable,MATCH(INDEX(oppCol24,ROW()),ovrTeamCol,0),MATCH(MID(INDEX(headerRow,1,COLUMN()),4,LEN(INDEX(headerRow,1,COLUMN()))),ovrHeaderRow,0))</f>
        <v>13.5</v>
      </c>
      <c r="BZ5" s="12">
        <f>INDEX(ovrTable,MATCH(INDEX(oppCol24,ROW()),ovrTeamCol,0),MATCH(MID(INDEX(headerRow,1,COLUMN()),4,LEN(INDEX(headerRow,1,COLUMN()))),ovrHeaderRow,0))</f>
        <v>63.7</v>
      </c>
      <c r="CA5" s="12">
        <f>INDEX(ovrTable,MATCH(INDEX(oppCol24,ROW()),ovrTeamCol,0),MATCH(MID(INDEX(headerRow,1,COLUMN()),4,LEN(INDEX(headerRow,1,COLUMN()))),ovrHeaderRow,0))</f>
        <v>14</v>
      </c>
      <c r="CB5" s="12">
        <f>INDEX(ovrTable,MATCH(INDEX(oppCol24,ROW()),ovrTeamCol,0),MATCH(MID(INDEX(headerRow,1,COLUMN()),4,LEN(INDEX(headerRow,1,COLUMN()))),ovrHeaderRow,0))</f>
        <v>8.9</v>
      </c>
      <c r="CC5" s="12">
        <f>INDEX(ovrTable,MATCH(INDEX(oppCol24,ROW()),ovrTeamCol,0),MATCH(MID(INDEX(headerRow,1,COLUMN()),4,LEN(INDEX(headerRow,1,COLUMN()))),ovrHeaderRow,0))</f>
        <v>59.7</v>
      </c>
      <c r="CD5" s="12">
        <f>INDEX(ovrTable,MATCH(INDEX(oppCol24,ROW()),ovrTeamCol,0),MATCH(MID(INDEX(headerRow,1,COLUMN()),4,LEN(INDEX(headerRow,1,COLUMN()))),ovrHeaderRow,0))</f>
        <v>8.76</v>
      </c>
      <c r="CE5" s="12">
        <f>INDEX(ovrTable,MATCH(INDEX(oppCol24,ROW()),ovrTeamCol,0),MATCH(MID(INDEX(headerRow,1,COLUMN()),4,LEN(INDEX(headerRow,1,COLUMN()))),ovrHeaderRow,0))</f>
        <v>62.9</v>
      </c>
      <c r="CF5" s="12">
        <f>INDEX(ovrTable,MATCH(INDEX(oppCol24,ROW()),ovrTeamCol,0),MATCH(MID(INDEX(headerRow,1,COLUMN()),4,LEN(INDEX(headerRow,1,COLUMN()))),ovrHeaderRow,0))</f>
        <v>-2.2000000000000002</v>
      </c>
      <c r="CG5" s="12">
        <f>INDEX(ovrTable,MATCH(INDEX(oppCol24,ROW()),ovrTeamCol,0),MATCH(MID(INDEX(headerRow,1,COLUMN()),4,LEN(INDEX(headerRow,1,COLUMN()))),ovrHeaderRow,0))</f>
        <v>32.56</v>
      </c>
      <c r="CH5" s="12">
        <f>INDEX(ovrTable,MATCH(INDEX(oppCol24,ROW()),ovrTeamCol,0),MATCH(MID(INDEX(headerRow,1,COLUMN()),4,LEN(INDEX(headerRow,1,COLUMN()))),ovrHeaderRow,0))</f>
        <v>3.2</v>
      </c>
      <c r="CI5" s="12">
        <f>INDEX(ovrTable,MATCH(INDEX(oppCol24,ROW()),ovrTeamCol,0),MATCH(MID(INDEX(headerRow,1,COLUMN()),4,LEN(INDEX(headerRow,1,COLUMN()))),ovrHeaderRow,0))</f>
        <v>7</v>
      </c>
      <c r="CJ5" s="12">
        <f>INDEX(ovrTable,MATCH(INDEX(oppCol24,ROW()),ovrTeamCol,0),MATCH(MID(INDEX(headerRow,1,COLUMN()),4,LEN(INDEX(headerRow,1,COLUMN()))),ovrHeaderRow,0))</f>
        <v>3.9</v>
      </c>
      <c r="CK5" s="12">
        <f>INDEX(ovrTable,MATCH(INDEX(oppCol24,ROW()),ovrTeamCol,0),MATCH(MID(INDEX(headerRow,1,COLUMN()),4,LEN(INDEX(headerRow,1,COLUMN()))),ovrHeaderRow,0))</f>
        <v>12</v>
      </c>
      <c r="CL5" s="12">
        <f>INDEX(ovrTable,MATCH(INDEX(oppCol24,ROW()),ovrTeamCol,0),MATCH(MID(INDEX(headerRow,1,COLUMN()),4,LEN(INDEX(headerRow,1,COLUMN()))),ovrHeaderRow,0))</f>
        <v>8.1</v>
      </c>
      <c r="CM5" s="12">
        <f>INDEX(ovrTable,MATCH(INDEX(oppCol24,ROW()),ovrTeamCol,0),MATCH(MID(INDEX(headerRow,1,COLUMN()),4,LEN(INDEX(headerRow,1,COLUMN()))),ovrHeaderRow,0))</f>
        <v>63.3</v>
      </c>
      <c r="CN5" s="12">
        <f>INDEX(ovrTable,MATCH(INDEX(oppCol24,ROW()),ovrTeamCol,0),MATCH(MID(INDEX(headerRow,1,COLUMN()),4,LEN(INDEX(headerRow,1,COLUMN()))),ovrHeaderRow,0))</f>
        <v>17.25</v>
      </c>
      <c r="CO5" s="12">
        <f>INDEX(ovrTable,MATCH(INDEX(oppCol24,ROW()),ovrTeamCol,0),MATCH(MID(INDEX(headerRow,1,COLUMN()),4,LEN(INDEX(headerRow,1,COLUMN()))),ovrHeaderRow,0))</f>
        <v>55.490654205607477</v>
      </c>
    </row>
    <row r="6" spans="1:93" x14ac:dyDescent="0.3">
      <c r="A6" s="6" t="s">
        <v>53</v>
      </c>
      <c r="B6" s="3">
        <v>16</v>
      </c>
      <c r="C6" s="13" t="s">
        <v>52</v>
      </c>
      <c r="D6" s="14">
        <v>3</v>
      </c>
      <c r="E6" s="23">
        <v>40</v>
      </c>
      <c r="F6" s="24">
        <v>13</v>
      </c>
      <c r="G6" s="23">
        <v>43.333333333333336</v>
      </c>
      <c r="H6" s="24">
        <v>30</v>
      </c>
      <c r="I6" s="25">
        <v>1.5</v>
      </c>
      <c r="J6" s="24">
        <v>18</v>
      </c>
      <c r="K6" s="24">
        <v>16</v>
      </c>
      <c r="L6" s="24">
        <v>3</v>
      </c>
      <c r="M6" s="24">
        <v>50</v>
      </c>
      <c r="N6" s="24">
        <v>22</v>
      </c>
      <c r="O6" s="26">
        <v>0.62901666666666667</v>
      </c>
      <c r="P6" s="24">
        <v>4</v>
      </c>
      <c r="Q6" s="24">
        <v>51.7</v>
      </c>
      <c r="R6" s="24">
        <v>18</v>
      </c>
      <c r="S6" s="23">
        <v>53.333333333333336</v>
      </c>
      <c r="T6" s="24">
        <v>15</v>
      </c>
      <c r="U6" s="24">
        <v>8</v>
      </c>
      <c r="V6" s="24">
        <v>88</v>
      </c>
      <c r="W6" s="24">
        <v>5</v>
      </c>
      <c r="X6" s="24">
        <v>81</v>
      </c>
      <c r="Y6" s="24">
        <v>-14</v>
      </c>
      <c r="Z6" s="24">
        <v>27</v>
      </c>
      <c r="AA6" s="24">
        <v>-7</v>
      </c>
      <c r="AB6" s="24">
        <v>9</v>
      </c>
      <c r="AC6" s="24">
        <v>-1</v>
      </c>
      <c r="AD6" s="24">
        <v>11</v>
      </c>
      <c r="AE6" s="24">
        <v>12</v>
      </c>
      <c r="AF6" s="46">
        <f t="shared" si="3"/>
        <v>72.152079303675038</v>
      </c>
      <c r="AG6" s="51">
        <f t="shared" ref="AG6" si="6">AVERAGE(AF6,AF7)</f>
        <v>73.53853965183751</v>
      </c>
      <c r="AH6" s="12">
        <f t="shared" si="0"/>
        <v>33.5</v>
      </c>
      <c r="AI6" s="12">
        <f t="shared" si="0"/>
        <v>9.1</v>
      </c>
      <c r="AJ6" s="12">
        <f t="shared" si="0"/>
        <v>37</v>
      </c>
      <c r="AK6" s="12">
        <f t="shared" si="0"/>
        <v>24.7</v>
      </c>
      <c r="AL6" s="12">
        <f t="shared" si="0"/>
        <v>1.1299999999999999</v>
      </c>
      <c r="AM6" s="12">
        <f t="shared" si="0"/>
        <v>13.2</v>
      </c>
      <c r="AN6" s="12">
        <f t="shared" si="0"/>
        <v>15.86</v>
      </c>
      <c r="AO6" s="12">
        <f t="shared" si="0"/>
        <v>2.4</v>
      </c>
      <c r="AP6" s="12">
        <f t="shared" si="0"/>
        <v>46.7</v>
      </c>
      <c r="AQ6" s="12">
        <f t="shared" si="0"/>
        <v>23.74</v>
      </c>
      <c r="AR6" s="12">
        <f t="shared" si="1"/>
        <v>0.54700000000000004</v>
      </c>
      <c r="AS6" s="12">
        <f t="shared" si="1"/>
        <v>9.0299999999999994</v>
      </c>
      <c r="AT6" s="12">
        <f t="shared" si="1"/>
        <v>46.8</v>
      </c>
      <c r="AU6" s="12">
        <f t="shared" si="1"/>
        <v>18.5</v>
      </c>
      <c r="AV6" s="12">
        <f t="shared" si="1"/>
        <v>72.8</v>
      </c>
      <c r="AW6" s="12">
        <f t="shared" si="1"/>
        <v>17</v>
      </c>
      <c r="AX6" s="12">
        <f t="shared" si="1"/>
        <v>12.4</v>
      </c>
      <c r="AY6" s="12">
        <f t="shared" si="1"/>
        <v>74.5</v>
      </c>
      <c r="AZ6" s="12">
        <f t="shared" si="1"/>
        <v>6.77</v>
      </c>
      <c r="BA6" s="12">
        <f t="shared" si="1"/>
        <v>75.3</v>
      </c>
      <c r="BB6" s="12">
        <f t="shared" si="2"/>
        <v>-4.7</v>
      </c>
      <c r="BC6" s="12">
        <f t="shared" si="2"/>
        <v>30.51</v>
      </c>
      <c r="BD6" s="12">
        <f t="shared" si="2"/>
        <v>0.8</v>
      </c>
      <c r="BE6" s="12">
        <f t="shared" si="2"/>
        <v>8.3000000000000007</v>
      </c>
      <c r="BF6" s="12">
        <f t="shared" si="2"/>
        <v>1.9</v>
      </c>
      <c r="BG6" s="12">
        <f t="shared" si="2"/>
        <v>13.54</v>
      </c>
      <c r="BH6" s="12">
        <f t="shared" si="2"/>
        <v>11.7</v>
      </c>
      <c r="BI6" s="12">
        <f t="shared" si="2"/>
        <v>69.599999999999994</v>
      </c>
      <c r="BJ6" s="12">
        <f t="shared" si="2"/>
        <v>17.8</v>
      </c>
      <c r="BK6" s="12">
        <f t="shared" si="2"/>
        <v>57.478632478632484</v>
      </c>
      <c r="BL6" s="12">
        <f>INDEX(ovrTable,MATCH(INDEX(oppCol24,ROW()),ovrTeamCol,0),MATCH(MID(INDEX(headerRow,1,COLUMN()),4,LEN(INDEX(headerRow,1,COLUMN()))),ovrHeaderRow,0))</f>
        <v>34.4</v>
      </c>
      <c r="BM6" s="12">
        <f>INDEX(ovrTable,MATCH(INDEX(oppCol24,ROW()),ovrTeamCol,0),MATCH(MID(INDEX(headerRow,1,COLUMN()),4,LEN(INDEX(headerRow,1,COLUMN()))),ovrHeaderRow,0))</f>
        <v>5.0999999999999996</v>
      </c>
      <c r="BN6" s="12">
        <f>INDEX(ovrTable,MATCH(INDEX(oppCol24,ROW()),ovrTeamCol,0),MATCH(MID(INDEX(headerRow,1,COLUMN()),4,LEN(INDEX(headerRow,1,COLUMN()))),ovrHeaderRow,0))</f>
        <v>33.799999999999997</v>
      </c>
      <c r="BO6" s="12">
        <f>INDEX(ovrTable,MATCH(INDEX(oppCol24,ROW()),ovrTeamCol,0),MATCH(MID(INDEX(headerRow,1,COLUMN()),4,LEN(INDEX(headerRow,1,COLUMN()))),ovrHeaderRow,0))</f>
        <v>15.2</v>
      </c>
      <c r="BP6" s="12">
        <f>INDEX(ovrTable,MATCH(INDEX(oppCol24,ROW()),ovrTeamCol,0),MATCH(MID(INDEX(headerRow,1,COLUMN()),4,LEN(INDEX(headerRow,1,COLUMN()))),ovrHeaderRow,0))</f>
        <v>0.75</v>
      </c>
      <c r="BQ6" s="12">
        <f>INDEX(ovrTable,MATCH(INDEX(oppCol24,ROW()),ovrTeamCol,0),MATCH(MID(INDEX(headerRow,1,COLUMN()),4,LEN(INDEX(headerRow,1,COLUMN()))),ovrHeaderRow,0))</f>
        <v>9.8000000000000007</v>
      </c>
      <c r="BR6" s="12">
        <f>INDEX(ovrTable,MATCH(INDEX(oppCol24,ROW()),ovrTeamCol,0),MATCH(MID(INDEX(headerRow,1,COLUMN()),4,LEN(INDEX(headerRow,1,COLUMN()))),ovrHeaderRow,0))</f>
        <v>21.67</v>
      </c>
      <c r="BS6" s="12">
        <f>INDEX(ovrTable,MATCH(INDEX(oppCol24,ROW()),ovrTeamCol,0),MATCH(MID(INDEX(headerRow,1,COLUMN()),4,LEN(INDEX(headerRow,1,COLUMN()))),ovrHeaderRow,0))</f>
        <v>3.2</v>
      </c>
      <c r="BT6" s="12">
        <f>INDEX(ovrTable,MATCH(INDEX(oppCol24,ROW()),ovrTeamCol,0),MATCH(MID(INDEX(headerRow,1,COLUMN()),4,LEN(INDEX(headerRow,1,COLUMN()))),ovrHeaderRow,0))</f>
        <v>43.6</v>
      </c>
      <c r="BU6" s="12">
        <f>INDEX(ovrTable,MATCH(INDEX(oppCol24,ROW()),ovrTeamCol,0),MATCH(MID(INDEX(headerRow,1,COLUMN()),4,LEN(INDEX(headerRow,1,COLUMN()))),ovrHeaderRow,0))</f>
        <v>22.56</v>
      </c>
      <c r="BV6" s="12">
        <f>INDEX(ovrTable,MATCH(INDEX(oppCol24,ROW()),ovrTeamCol,0),MATCH(MID(INDEX(headerRow,1,COLUMN()),4,LEN(INDEX(headerRow,1,COLUMN()))),ovrHeaderRow,0))</f>
        <v>0.48699999999999999</v>
      </c>
      <c r="BW6" s="12">
        <f>INDEX(ovrTable,MATCH(INDEX(oppCol24,ROW()),ovrTeamCol,0),MATCH(MID(INDEX(headerRow,1,COLUMN()),4,LEN(INDEX(headerRow,1,COLUMN()))),ovrHeaderRow,0))</f>
        <v>10.42</v>
      </c>
      <c r="BX6" s="12">
        <f>INDEX(ovrTable,MATCH(INDEX(oppCol24,ROW()),ovrTeamCol,0),MATCH(MID(INDEX(headerRow,1,COLUMN()),4,LEN(INDEX(headerRow,1,COLUMN()))),ovrHeaderRow,0))</f>
        <v>44</v>
      </c>
      <c r="BY6" s="12">
        <f>INDEX(ovrTable,MATCH(INDEX(oppCol24,ROW()),ovrTeamCol,0),MATCH(MID(INDEX(headerRow,1,COLUMN()),4,LEN(INDEX(headerRow,1,COLUMN()))),ovrHeaderRow,0))</f>
        <v>16</v>
      </c>
      <c r="BZ6" s="12">
        <f>INDEX(ovrTable,MATCH(INDEX(oppCol24,ROW()),ovrTeamCol,0),MATCH(MID(INDEX(headerRow,1,COLUMN()),4,LEN(INDEX(headerRow,1,COLUMN()))),ovrHeaderRow,0))</f>
        <v>70.8</v>
      </c>
      <c r="CA6" s="12">
        <f>INDEX(ovrTable,MATCH(INDEX(oppCol24,ROW()),ovrTeamCol,0),MATCH(MID(INDEX(headerRow,1,COLUMN()),4,LEN(INDEX(headerRow,1,COLUMN()))),ovrHeaderRow,0))</f>
        <v>20.8</v>
      </c>
      <c r="CB6" s="12">
        <f>INDEX(ovrTable,MATCH(INDEX(oppCol24,ROW()),ovrTeamCol,0),MATCH(MID(INDEX(headerRow,1,COLUMN()),4,LEN(INDEX(headerRow,1,COLUMN()))),ovrHeaderRow,0))</f>
        <v>14.8</v>
      </c>
      <c r="CC6" s="12">
        <f>INDEX(ovrTable,MATCH(INDEX(oppCol24,ROW()),ovrTeamCol,0),MATCH(MID(INDEX(headerRow,1,COLUMN()),4,LEN(INDEX(headerRow,1,COLUMN()))),ovrHeaderRow,0))</f>
        <v>69.599999999999994</v>
      </c>
      <c r="CD6" s="12">
        <f>INDEX(ovrTable,MATCH(INDEX(oppCol24,ROW()),ovrTeamCol,0),MATCH(MID(INDEX(headerRow,1,COLUMN()),4,LEN(INDEX(headerRow,1,COLUMN()))),ovrHeaderRow,0))</f>
        <v>9.61</v>
      </c>
      <c r="CE6" s="12">
        <f>INDEX(ovrTable,MATCH(INDEX(oppCol24,ROW()),ovrTeamCol,0),MATCH(MID(INDEX(headerRow,1,COLUMN()),4,LEN(INDEX(headerRow,1,COLUMN()))),ovrHeaderRow,0))</f>
        <v>67.7</v>
      </c>
      <c r="CF6" s="12">
        <f>INDEX(ovrTable,MATCH(INDEX(oppCol24,ROW()),ovrTeamCol,0),MATCH(MID(INDEX(headerRow,1,COLUMN()),4,LEN(INDEX(headerRow,1,COLUMN()))),ovrHeaderRow,0))</f>
        <v>-1.3</v>
      </c>
      <c r="CG6" s="12">
        <f>INDEX(ovrTable,MATCH(INDEX(oppCol24,ROW()),ovrTeamCol,0),MATCH(MID(INDEX(headerRow,1,COLUMN()),4,LEN(INDEX(headerRow,1,COLUMN()))),ovrHeaderRow,0))</f>
        <v>32.17</v>
      </c>
      <c r="CH6" s="12">
        <f>INDEX(ovrTable,MATCH(INDEX(oppCol24,ROW()),ovrTeamCol,0),MATCH(MID(INDEX(headerRow,1,COLUMN()),4,LEN(INDEX(headerRow,1,COLUMN()))),ovrHeaderRow,0))</f>
        <v>-1.9</v>
      </c>
      <c r="CI6" s="12">
        <f>INDEX(ovrTable,MATCH(INDEX(oppCol24,ROW()),ovrTeamCol,0),MATCH(MID(INDEX(headerRow,1,COLUMN()),4,LEN(INDEX(headerRow,1,COLUMN()))),ovrHeaderRow,0))</f>
        <v>7.4</v>
      </c>
      <c r="CJ6" s="12">
        <f>INDEX(ovrTable,MATCH(INDEX(oppCol24,ROW()),ovrTeamCol,0),MATCH(MID(INDEX(headerRow,1,COLUMN()),4,LEN(INDEX(headerRow,1,COLUMN()))),ovrHeaderRow,0))</f>
        <v>-0.3</v>
      </c>
      <c r="CK6" s="12">
        <f>INDEX(ovrTable,MATCH(INDEX(oppCol24,ROW()),ovrTeamCol,0),MATCH(MID(INDEX(headerRow,1,COLUMN()),4,LEN(INDEX(headerRow,1,COLUMN()))),ovrHeaderRow,0))</f>
        <v>12.81</v>
      </c>
      <c r="CL6" s="12">
        <f>INDEX(ovrTable,MATCH(INDEX(oppCol24,ROW()),ovrTeamCol,0),MATCH(MID(INDEX(headerRow,1,COLUMN()),4,LEN(INDEX(headerRow,1,COLUMN()))),ovrHeaderRow,0))</f>
        <v>13.1</v>
      </c>
      <c r="CM6" s="12">
        <f>INDEX(ovrTable,MATCH(INDEX(oppCol24,ROW()),ovrTeamCol,0),MATCH(MID(INDEX(headerRow,1,COLUMN()),4,LEN(INDEX(headerRow,1,COLUMN()))),ovrHeaderRow,0))</f>
        <v>68.2</v>
      </c>
      <c r="CN6" s="12">
        <f>INDEX(ovrTable,MATCH(INDEX(oppCol24,ROW()),ovrTeamCol,0),MATCH(MID(INDEX(headerRow,1,COLUMN()),4,LEN(INDEX(headerRow,1,COLUMN()))),ovrHeaderRow,0))</f>
        <v>18.800000000000004</v>
      </c>
      <c r="CO6" s="12">
        <f>INDEX(ovrTable,MATCH(INDEX(oppCol24,ROW()),ovrTeamCol,0),MATCH(MID(INDEX(headerRow,1,COLUMN()),4,LEN(INDEX(headerRow,1,COLUMN()))),ovrHeaderRow,0))</f>
        <v>54.318181818181827</v>
      </c>
    </row>
    <row r="7" spans="1:93" x14ac:dyDescent="0.3">
      <c r="A7" s="6" t="s">
        <v>52</v>
      </c>
      <c r="B7" s="3">
        <v>16</v>
      </c>
      <c r="C7" s="13" t="s">
        <v>53</v>
      </c>
      <c r="D7" s="14">
        <v>3</v>
      </c>
      <c r="E7" s="23">
        <v>43.333333333333336</v>
      </c>
      <c r="F7" s="24">
        <v>4</v>
      </c>
      <c r="G7" s="23">
        <v>40</v>
      </c>
      <c r="H7" s="24">
        <v>10</v>
      </c>
      <c r="I7" s="25">
        <v>1</v>
      </c>
      <c r="J7" s="24">
        <v>11</v>
      </c>
      <c r="K7" s="24">
        <v>35</v>
      </c>
      <c r="L7" s="24">
        <v>4</v>
      </c>
      <c r="M7" s="24">
        <v>51.7</v>
      </c>
      <c r="N7" s="24">
        <v>28</v>
      </c>
      <c r="O7" s="26">
        <v>0.53030303030303028</v>
      </c>
      <c r="P7" s="24">
        <v>3</v>
      </c>
      <c r="Q7" s="24">
        <v>50</v>
      </c>
      <c r="R7" s="24">
        <v>14</v>
      </c>
      <c r="S7" s="23">
        <v>78.260869565217391</v>
      </c>
      <c r="T7" s="24">
        <v>23</v>
      </c>
      <c r="U7" s="24">
        <v>18</v>
      </c>
      <c r="V7" s="24">
        <v>81</v>
      </c>
      <c r="W7" s="24">
        <v>13</v>
      </c>
      <c r="X7" s="24">
        <v>88</v>
      </c>
      <c r="Y7" s="24">
        <v>14</v>
      </c>
      <c r="Z7" s="24">
        <v>41</v>
      </c>
      <c r="AA7" s="24">
        <v>7</v>
      </c>
      <c r="AB7" s="24">
        <v>6</v>
      </c>
      <c r="AC7" s="24">
        <v>1</v>
      </c>
      <c r="AD7" s="24">
        <v>12</v>
      </c>
      <c r="AE7" s="24">
        <v>11</v>
      </c>
      <c r="AF7" s="46">
        <f t="shared" si="3"/>
        <v>74.924999999999997</v>
      </c>
      <c r="AG7" s="51">
        <f t="shared" ref="AG7" si="7">AVERAGE(AF6,AF7)</f>
        <v>73.53853965183751</v>
      </c>
      <c r="AH7" s="12">
        <f t="shared" si="0"/>
        <v>34.4</v>
      </c>
      <c r="AI7" s="12">
        <f t="shared" si="0"/>
        <v>5.0999999999999996</v>
      </c>
      <c r="AJ7" s="12">
        <f t="shared" si="0"/>
        <v>33.799999999999997</v>
      </c>
      <c r="AK7" s="12">
        <f t="shared" si="0"/>
        <v>15.2</v>
      </c>
      <c r="AL7" s="12">
        <f t="shared" si="0"/>
        <v>0.75</v>
      </c>
      <c r="AM7" s="12">
        <f t="shared" si="0"/>
        <v>9.8000000000000007</v>
      </c>
      <c r="AN7" s="12">
        <f t="shared" si="0"/>
        <v>21.67</v>
      </c>
      <c r="AO7" s="12">
        <f t="shared" si="0"/>
        <v>3.2</v>
      </c>
      <c r="AP7" s="12">
        <f t="shared" si="0"/>
        <v>43.6</v>
      </c>
      <c r="AQ7" s="12">
        <f t="shared" si="0"/>
        <v>22.56</v>
      </c>
      <c r="AR7" s="12">
        <f t="shared" si="1"/>
        <v>0.48699999999999999</v>
      </c>
      <c r="AS7" s="12">
        <f t="shared" si="1"/>
        <v>10.42</v>
      </c>
      <c r="AT7" s="12">
        <f t="shared" si="1"/>
        <v>44</v>
      </c>
      <c r="AU7" s="12">
        <f t="shared" si="1"/>
        <v>16</v>
      </c>
      <c r="AV7" s="12">
        <f t="shared" si="1"/>
        <v>70.8</v>
      </c>
      <c r="AW7" s="12">
        <f t="shared" si="1"/>
        <v>20.8</v>
      </c>
      <c r="AX7" s="12">
        <f t="shared" si="1"/>
        <v>14.8</v>
      </c>
      <c r="AY7" s="12">
        <f t="shared" si="1"/>
        <v>69.599999999999994</v>
      </c>
      <c r="AZ7" s="12">
        <f t="shared" si="1"/>
        <v>9.61</v>
      </c>
      <c r="BA7" s="12">
        <f t="shared" si="1"/>
        <v>67.7</v>
      </c>
      <c r="BB7" s="12">
        <f t="shared" si="2"/>
        <v>-1.3</v>
      </c>
      <c r="BC7" s="12">
        <f t="shared" si="2"/>
        <v>32.17</v>
      </c>
      <c r="BD7" s="12">
        <f t="shared" si="2"/>
        <v>-1.9</v>
      </c>
      <c r="BE7" s="12">
        <f t="shared" si="2"/>
        <v>7.4</v>
      </c>
      <c r="BF7" s="12">
        <f t="shared" si="2"/>
        <v>-0.3</v>
      </c>
      <c r="BG7" s="12">
        <f t="shared" si="2"/>
        <v>12.81</v>
      </c>
      <c r="BH7" s="12">
        <f t="shared" si="2"/>
        <v>13.1</v>
      </c>
      <c r="BI7" s="12">
        <f t="shared" si="2"/>
        <v>68.2</v>
      </c>
      <c r="BJ7" s="12">
        <f t="shared" si="2"/>
        <v>18.800000000000004</v>
      </c>
      <c r="BK7" s="12">
        <f t="shared" si="2"/>
        <v>54.318181818181827</v>
      </c>
      <c r="BL7" s="12">
        <f>INDEX(ovrTable,MATCH(INDEX(oppCol24,ROW()),ovrTeamCol,0),MATCH(MID(INDEX(headerRow,1,COLUMN()),4,LEN(INDEX(headerRow,1,COLUMN()))),ovrHeaderRow,0))</f>
        <v>33.5</v>
      </c>
      <c r="BM7" s="12">
        <f>INDEX(ovrTable,MATCH(INDEX(oppCol24,ROW()),ovrTeamCol,0),MATCH(MID(INDEX(headerRow,1,COLUMN()),4,LEN(INDEX(headerRow,1,COLUMN()))),ovrHeaderRow,0))</f>
        <v>9.1</v>
      </c>
      <c r="BN7" s="12">
        <f>INDEX(ovrTable,MATCH(INDEX(oppCol24,ROW()),ovrTeamCol,0),MATCH(MID(INDEX(headerRow,1,COLUMN()),4,LEN(INDEX(headerRow,1,COLUMN()))),ovrHeaderRow,0))</f>
        <v>37</v>
      </c>
      <c r="BO7" s="12">
        <f>INDEX(ovrTable,MATCH(INDEX(oppCol24,ROW()),ovrTeamCol,0),MATCH(MID(INDEX(headerRow,1,COLUMN()),4,LEN(INDEX(headerRow,1,COLUMN()))),ovrHeaderRow,0))</f>
        <v>24.7</v>
      </c>
      <c r="BP7" s="12">
        <f>INDEX(ovrTable,MATCH(INDEX(oppCol24,ROW()),ovrTeamCol,0),MATCH(MID(INDEX(headerRow,1,COLUMN()),4,LEN(INDEX(headerRow,1,COLUMN()))),ovrHeaderRow,0))</f>
        <v>1.1299999999999999</v>
      </c>
      <c r="BQ7" s="12">
        <f>INDEX(ovrTable,MATCH(INDEX(oppCol24,ROW()),ovrTeamCol,0),MATCH(MID(INDEX(headerRow,1,COLUMN()),4,LEN(INDEX(headerRow,1,COLUMN()))),ovrHeaderRow,0))</f>
        <v>13.2</v>
      </c>
      <c r="BR7" s="12">
        <f>INDEX(ovrTable,MATCH(INDEX(oppCol24,ROW()),ovrTeamCol,0),MATCH(MID(INDEX(headerRow,1,COLUMN()),4,LEN(INDEX(headerRow,1,COLUMN()))),ovrHeaderRow,0))</f>
        <v>15.86</v>
      </c>
      <c r="BS7" s="12">
        <f>INDEX(ovrTable,MATCH(INDEX(oppCol24,ROW()),ovrTeamCol,0),MATCH(MID(INDEX(headerRow,1,COLUMN()),4,LEN(INDEX(headerRow,1,COLUMN()))),ovrHeaderRow,0))</f>
        <v>2.4</v>
      </c>
      <c r="BT7" s="12">
        <f>INDEX(ovrTable,MATCH(INDEX(oppCol24,ROW()),ovrTeamCol,0),MATCH(MID(INDEX(headerRow,1,COLUMN()),4,LEN(INDEX(headerRow,1,COLUMN()))),ovrHeaderRow,0))</f>
        <v>46.7</v>
      </c>
      <c r="BU7" s="12">
        <f>INDEX(ovrTable,MATCH(INDEX(oppCol24,ROW()),ovrTeamCol,0),MATCH(MID(INDEX(headerRow,1,COLUMN()),4,LEN(INDEX(headerRow,1,COLUMN()))),ovrHeaderRow,0))</f>
        <v>23.74</v>
      </c>
      <c r="BV7" s="12">
        <f>INDEX(ovrTable,MATCH(INDEX(oppCol24,ROW()),ovrTeamCol,0),MATCH(MID(INDEX(headerRow,1,COLUMN()),4,LEN(INDEX(headerRow,1,COLUMN()))),ovrHeaderRow,0))</f>
        <v>0.54700000000000004</v>
      </c>
      <c r="BW7" s="12">
        <f>INDEX(ovrTable,MATCH(INDEX(oppCol24,ROW()),ovrTeamCol,0),MATCH(MID(INDEX(headerRow,1,COLUMN()),4,LEN(INDEX(headerRow,1,COLUMN()))),ovrHeaderRow,0))</f>
        <v>9.0299999999999994</v>
      </c>
      <c r="BX7" s="12">
        <f>INDEX(ovrTable,MATCH(INDEX(oppCol24,ROW()),ovrTeamCol,0),MATCH(MID(INDEX(headerRow,1,COLUMN()),4,LEN(INDEX(headerRow,1,COLUMN()))),ovrHeaderRow,0))</f>
        <v>46.8</v>
      </c>
      <c r="BY7" s="12">
        <f>INDEX(ovrTable,MATCH(INDEX(oppCol24,ROW()),ovrTeamCol,0),MATCH(MID(INDEX(headerRow,1,COLUMN()),4,LEN(INDEX(headerRow,1,COLUMN()))),ovrHeaderRow,0))</f>
        <v>18.5</v>
      </c>
      <c r="BZ7" s="12">
        <f>INDEX(ovrTable,MATCH(INDEX(oppCol24,ROW()),ovrTeamCol,0),MATCH(MID(INDEX(headerRow,1,COLUMN()),4,LEN(INDEX(headerRow,1,COLUMN()))),ovrHeaderRow,0))</f>
        <v>72.8</v>
      </c>
      <c r="CA7" s="12">
        <f>INDEX(ovrTable,MATCH(INDEX(oppCol24,ROW()),ovrTeamCol,0),MATCH(MID(INDEX(headerRow,1,COLUMN()),4,LEN(INDEX(headerRow,1,COLUMN()))),ovrHeaderRow,0))</f>
        <v>17</v>
      </c>
      <c r="CB7" s="12">
        <f>INDEX(ovrTable,MATCH(INDEX(oppCol24,ROW()),ovrTeamCol,0),MATCH(MID(INDEX(headerRow,1,COLUMN()),4,LEN(INDEX(headerRow,1,COLUMN()))),ovrHeaderRow,0))</f>
        <v>12.4</v>
      </c>
      <c r="CC7" s="12">
        <f>INDEX(ovrTable,MATCH(INDEX(oppCol24,ROW()),ovrTeamCol,0),MATCH(MID(INDEX(headerRow,1,COLUMN()),4,LEN(INDEX(headerRow,1,COLUMN()))),ovrHeaderRow,0))</f>
        <v>74.5</v>
      </c>
      <c r="CD7" s="12">
        <f>INDEX(ovrTable,MATCH(INDEX(oppCol24,ROW()),ovrTeamCol,0),MATCH(MID(INDEX(headerRow,1,COLUMN()),4,LEN(INDEX(headerRow,1,COLUMN()))),ovrHeaderRow,0))</f>
        <v>6.77</v>
      </c>
      <c r="CE7" s="12">
        <f>INDEX(ovrTable,MATCH(INDEX(oppCol24,ROW()),ovrTeamCol,0),MATCH(MID(INDEX(headerRow,1,COLUMN()),4,LEN(INDEX(headerRow,1,COLUMN()))),ovrHeaderRow,0))</f>
        <v>75.3</v>
      </c>
      <c r="CF7" s="12">
        <f>INDEX(ovrTable,MATCH(INDEX(oppCol24,ROW()),ovrTeamCol,0),MATCH(MID(INDEX(headerRow,1,COLUMN()),4,LEN(INDEX(headerRow,1,COLUMN()))),ovrHeaderRow,0))</f>
        <v>-4.7</v>
      </c>
      <c r="CG7" s="12">
        <f>INDEX(ovrTable,MATCH(INDEX(oppCol24,ROW()),ovrTeamCol,0),MATCH(MID(INDEX(headerRow,1,COLUMN()),4,LEN(INDEX(headerRow,1,COLUMN()))),ovrHeaderRow,0))</f>
        <v>30.51</v>
      </c>
      <c r="CH7" s="12">
        <f>INDEX(ovrTable,MATCH(INDEX(oppCol24,ROW()),ovrTeamCol,0),MATCH(MID(INDEX(headerRow,1,COLUMN()),4,LEN(INDEX(headerRow,1,COLUMN()))),ovrHeaderRow,0))</f>
        <v>0.8</v>
      </c>
      <c r="CI7" s="12">
        <f>INDEX(ovrTable,MATCH(INDEX(oppCol24,ROW()),ovrTeamCol,0),MATCH(MID(INDEX(headerRow,1,COLUMN()),4,LEN(INDEX(headerRow,1,COLUMN()))),ovrHeaderRow,0))</f>
        <v>8.3000000000000007</v>
      </c>
      <c r="CJ7" s="12">
        <f>INDEX(ovrTable,MATCH(INDEX(oppCol24,ROW()),ovrTeamCol,0),MATCH(MID(INDEX(headerRow,1,COLUMN()),4,LEN(INDEX(headerRow,1,COLUMN()))),ovrHeaderRow,0))</f>
        <v>1.9</v>
      </c>
      <c r="CK7" s="12">
        <f>INDEX(ovrTable,MATCH(INDEX(oppCol24,ROW()),ovrTeamCol,0),MATCH(MID(INDEX(headerRow,1,COLUMN()),4,LEN(INDEX(headerRow,1,COLUMN()))),ovrHeaderRow,0))</f>
        <v>13.54</v>
      </c>
      <c r="CL7" s="12">
        <f>INDEX(ovrTable,MATCH(INDEX(oppCol24,ROW()),ovrTeamCol,0),MATCH(MID(INDEX(headerRow,1,COLUMN()),4,LEN(INDEX(headerRow,1,COLUMN()))),ovrHeaderRow,0))</f>
        <v>11.7</v>
      </c>
      <c r="CM7" s="12">
        <f>INDEX(ovrTable,MATCH(INDEX(oppCol24,ROW()),ovrTeamCol,0),MATCH(MID(INDEX(headerRow,1,COLUMN()),4,LEN(INDEX(headerRow,1,COLUMN()))),ovrHeaderRow,0))</f>
        <v>69.599999999999994</v>
      </c>
      <c r="CN7" s="12">
        <f>INDEX(ovrTable,MATCH(INDEX(oppCol24,ROW()),ovrTeamCol,0),MATCH(MID(INDEX(headerRow,1,COLUMN()),4,LEN(INDEX(headerRow,1,COLUMN()))),ovrHeaderRow,0))</f>
        <v>17.8</v>
      </c>
      <c r="CO7" s="12">
        <f>INDEX(ovrTable,MATCH(INDEX(oppCol24,ROW()),ovrTeamCol,0),MATCH(MID(INDEX(headerRow,1,COLUMN()),4,LEN(INDEX(headerRow,1,COLUMN()))),ovrHeaderRow,0))</f>
        <v>57.478632478632484</v>
      </c>
    </row>
    <row r="8" spans="1:93" x14ac:dyDescent="0.3">
      <c r="A8" s="6" t="s">
        <v>42</v>
      </c>
      <c r="B8" s="3">
        <v>10</v>
      </c>
      <c r="C8" s="13" t="s">
        <v>40</v>
      </c>
      <c r="D8" s="14">
        <v>4</v>
      </c>
      <c r="E8" s="23">
        <v>26.666666666666668</v>
      </c>
      <c r="F8" s="24">
        <v>2</v>
      </c>
      <c r="G8" s="23">
        <v>11.111111111111111</v>
      </c>
      <c r="H8" s="24">
        <v>18</v>
      </c>
      <c r="I8" s="25">
        <v>0.44444444444444442</v>
      </c>
      <c r="J8" s="24">
        <v>4</v>
      </c>
      <c r="K8" s="24">
        <v>10</v>
      </c>
      <c r="L8" s="24">
        <v>1</v>
      </c>
      <c r="M8" s="24">
        <v>43.8</v>
      </c>
      <c r="N8" s="24">
        <v>22</v>
      </c>
      <c r="O8" s="26">
        <v>0.35791304347826086</v>
      </c>
      <c r="P8" s="24">
        <v>2</v>
      </c>
      <c r="Q8" s="24">
        <v>34.299999999999997</v>
      </c>
      <c r="R8" s="24">
        <v>17</v>
      </c>
      <c r="S8" s="23">
        <v>83.333333333333343</v>
      </c>
      <c r="T8" s="24">
        <v>6</v>
      </c>
      <c r="U8" s="24">
        <v>5</v>
      </c>
      <c r="V8" s="24">
        <v>60</v>
      </c>
      <c r="W8" s="24">
        <v>19</v>
      </c>
      <c r="X8" s="24">
        <v>53</v>
      </c>
      <c r="Y8" s="24">
        <v>10</v>
      </c>
      <c r="Z8" s="24">
        <v>41</v>
      </c>
      <c r="AA8" s="24">
        <v>-7</v>
      </c>
      <c r="AB8" s="24">
        <v>5</v>
      </c>
      <c r="AC8" s="24">
        <v>3</v>
      </c>
      <c r="AD8" s="24">
        <v>12</v>
      </c>
      <c r="AE8" s="24">
        <v>9</v>
      </c>
      <c r="AF8" s="46">
        <f t="shared" si="3"/>
        <v>59.905393586005836</v>
      </c>
      <c r="AG8" s="51">
        <f t="shared" ref="AG8" si="8">AVERAGE(AF8,AF9)</f>
        <v>60.487799532728943</v>
      </c>
      <c r="AH8" s="12">
        <f t="shared" si="0"/>
        <v>31</v>
      </c>
      <c r="AI8" s="12">
        <f t="shared" si="0"/>
        <v>7.8</v>
      </c>
      <c r="AJ8" s="12">
        <f t="shared" si="0"/>
        <v>34</v>
      </c>
      <c r="AK8" s="12">
        <f t="shared" si="0"/>
        <v>23</v>
      </c>
      <c r="AL8" s="12">
        <f t="shared" si="0"/>
        <v>1.1000000000000001</v>
      </c>
      <c r="AM8" s="12">
        <f t="shared" si="0"/>
        <v>12.2</v>
      </c>
      <c r="AN8" s="12">
        <f t="shared" si="0"/>
        <v>13.97</v>
      </c>
      <c r="AO8" s="12">
        <f t="shared" si="0"/>
        <v>2.4</v>
      </c>
      <c r="AP8" s="12">
        <f t="shared" si="0"/>
        <v>43.8</v>
      </c>
      <c r="AQ8" s="12">
        <f t="shared" si="0"/>
        <v>25.67</v>
      </c>
      <c r="AR8" s="12">
        <f t="shared" si="1"/>
        <v>0.51600000000000001</v>
      </c>
      <c r="AS8" s="12">
        <f t="shared" si="1"/>
        <v>6.61</v>
      </c>
      <c r="AT8" s="12">
        <f t="shared" si="1"/>
        <v>44.9</v>
      </c>
      <c r="AU8" s="12">
        <f t="shared" si="1"/>
        <v>16.7</v>
      </c>
      <c r="AV8" s="12">
        <f t="shared" si="1"/>
        <v>73.599999999999994</v>
      </c>
      <c r="AW8" s="12">
        <f t="shared" si="1"/>
        <v>20.8</v>
      </c>
      <c r="AX8" s="12">
        <f t="shared" si="1"/>
        <v>15.3</v>
      </c>
      <c r="AY8" s="12">
        <f t="shared" si="1"/>
        <v>67.3</v>
      </c>
      <c r="AZ8" s="12">
        <f t="shared" si="1"/>
        <v>11.64</v>
      </c>
      <c r="BA8" s="12">
        <f t="shared" si="1"/>
        <v>75.099999999999994</v>
      </c>
      <c r="BB8" s="12">
        <f t="shared" si="2"/>
        <v>7.5</v>
      </c>
      <c r="BC8" s="12">
        <f t="shared" si="2"/>
        <v>37.299999999999997</v>
      </c>
      <c r="BD8" s="12">
        <f t="shared" si="2"/>
        <v>7.8</v>
      </c>
      <c r="BE8" s="12">
        <f t="shared" si="2"/>
        <v>5.7</v>
      </c>
      <c r="BF8" s="12">
        <f t="shared" si="2"/>
        <v>0.3</v>
      </c>
      <c r="BG8" s="12">
        <f t="shared" si="2"/>
        <v>11.42</v>
      </c>
      <c r="BH8" s="12">
        <f t="shared" si="2"/>
        <v>11.1</v>
      </c>
      <c r="BI8" s="12">
        <f t="shared" si="2"/>
        <v>68.3</v>
      </c>
      <c r="BJ8" s="12">
        <f t="shared" si="2"/>
        <v>18.2</v>
      </c>
      <c r="BK8" s="12">
        <f t="shared" si="2"/>
        <v>57.906458797327396</v>
      </c>
      <c r="BL8" s="12">
        <f>INDEX(ovrTable,MATCH(INDEX(oppCol24,ROW()),ovrTeamCol,0),MATCH(MID(INDEX(headerRow,1,COLUMN()),4,LEN(INDEX(headerRow,1,COLUMN()))),ovrHeaderRow,0))</f>
        <v>32</v>
      </c>
      <c r="BM8" s="12">
        <f>INDEX(ovrTable,MATCH(INDEX(oppCol24,ROW()),ovrTeamCol,0),MATCH(MID(INDEX(headerRow,1,COLUMN()),4,LEN(INDEX(headerRow,1,COLUMN()))),ovrHeaderRow,0))</f>
        <v>6.9</v>
      </c>
      <c r="BN8" s="12">
        <f>INDEX(ovrTable,MATCH(INDEX(oppCol24,ROW()),ovrTeamCol,0),MATCH(MID(INDEX(headerRow,1,COLUMN()),4,LEN(INDEX(headerRow,1,COLUMN()))),ovrHeaderRow,0))</f>
        <v>39.1</v>
      </c>
      <c r="BO8" s="12">
        <f>INDEX(ovrTable,MATCH(INDEX(oppCol24,ROW()),ovrTeamCol,0),MATCH(MID(INDEX(headerRow,1,COLUMN()),4,LEN(INDEX(headerRow,1,COLUMN()))),ovrHeaderRow,0))</f>
        <v>17.5</v>
      </c>
      <c r="BP8" s="12">
        <f>INDEX(ovrTable,MATCH(INDEX(oppCol24,ROW()),ovrTeamCol,0),MATCH(MID(INDEX(headerRow,1,COLUMN()),4,LEN(INDEX(headerRow,1,COLUMN()))),ovrHeaderRow,0))</f>
        <v>1.28</v>
      </c>
      <c r="BQ8" s="12">
        <f>INDEX(ovrTable,MATCH(INDEX(oppCol24,ROW()),ovrTeamCol,0),MATCH(MID(INDEX(headerRow,1,COLUMN()),4,LEN(INDEX(headerRow,1,COLUMN()))),ovrHeaderRow,0))</f>
        <v>16.2</v>
      </c>
      <c r="BR8" s="12">
        <f>INDEX(ovrTable,MATCH(INDEX(oppCol24,ROW()),ovrTeamCol,0),MATCH(MID(INDEX(headerRow,1,COLUMN()),4,LEN(INDEX(headerRow,1,COLUMN()))),ovrHeaderRow,0))</f>
        <v>11.27</v>
      </c>
      <c r="BS8" s="12">
        <f>INDEX(ovrTable,MATCH(INDEX(oppCol24,ROW()),ovrTeamCol,0),MATCH(MID(INDEX(headerRow,1,COLUMN()),4,LEN(INDEX(headerRow,1,COLUMN()))),ovrHeaderRow,0))</f>
        <v>2.2000000000000002</v>
      </c>
      <c r="BT8" s="12">
        <f>INDEX(ovrTable,MATCH(INDEX(oppCol24,ROW()),ovrTeamCol,0),MATCH(MID(INDEX(headerRow,1,COLUMN()),4,LEN(INDEX(headerRow,1,COLUMN()))),ovrHeaderRow,0))</f>
        <v>44</v>
      </c>
      <c r="BU8" s="12">
        <f>INDEX(ovrTable,MATCH(INDEX(oppCol24,ROW()),ovrTeamCol,0),MATCH(MID(INDEX(headerRow,1,COLUMN()),4,LEN(INDEX(headerRow,1,COLUMN()))),ovrHeaderRow,0))</f>
        <v>27</v>
      </c>
      <c r="BV8" s="12">
        <f>INDEX(ovrTable,MATCH(INDEX(oppCol24,ROW()),ovrTeamCol,0),MATCH(MID(INDEX(headerRow,1,COLUMN()),4,LEN(INDEX(headerRow,1,COLUMN()))),ovrHeaderRow,0))</f>
        <v>0.55400000000000005</v>
      </c>
      <c r="BW8" s="12">
        <f>INDEX(ovrTable,MATCH(INDEX(oppCol24,ROW()),ovrTeamCol,0),MATCH(MID(INDEX(headerRow,1,COLUMN()),4,LEN(INDEX(headerRow,1,COLUMN()))),ovrHeaderRow,0))</f>
        <v>11.97</v>
      </c>
      <c r="BX8" s="12">
        <f>INDEX(ovrTable,MATCH(INDEX(oppCol24,ROW()),ovrTeamCol,0),MATCH(MID(INDEX(headerRow,1,COLUMN()),4,LEN(INDEX(headerRow,1,COLUMN()))),ovrHeaderRow,0))</f>
        <v>49.5</v>
      </c>
      <c r="BY8" s="12">
        <f>INDEX(ovrTable,MATCH(INDEX(oppCol24,ROW()),ovrTeamCol,0),MATCH(MID(INDEX(headerRow,1,COLUMN()),4,LEN(INDEX(headerRow,1,COLUMN()))),ovrHeaderRow,0))</f>
        <v>14.8</v>
      </c>
      <c r="BZ8" s="12">
        <f>INDEX(ovrTable,MATCH(INDEX(oppCol24,ROW()),ovrTeamCol,0),MATCH(MID(INDEX(headerRow,1,COLUMN()),4,LEN(INDEX(headerRow,1,COLUMN()))),ovrHeaderRow,0))</f>
        <v>78.400000000000006</v>
      </c>
      <c r="CA8" s="12">
        <f>INDEX(ovrTable,MATCH(INDEX(oppCol24,ROW()),ovrTeamCol,0),MATCH(MID(INDEX(headerRow,1,COLUMN()),4,LEN(INDEX(headerRow,1,COLUMN()))),ovrHeaderRow,0))</f>
        <v>20.100000000000001</v>
      </c>
      <c r="CB8" s="12">
        <f>INDEX(ovrTable,MATCH(INDEX(oppCol24,ROW()),ovrTeamCol,0),MATCH(MID(INDEX(headerRow,1,COLUMN()),4,LEN(INDEX(headerRow,1,COLUMN()))),ovrHeaderRow,0))</f>
        <v>15.8</v>
      </c>
      <c r="CC8" s="12">
        <f>INDEX(ovrTable,MATCH(INDEX(oppCol24,ROW()),ovrTeamCol,0),MATCH(MID(INDEX(headerRow,1,COLUMN()),4,LEN(INDEX(headerRow,1,COLUMN()))),ovrHeaderRow,0))</f>
        <v>71.7</v>
      </c>
      <c r="CD8" s="12">
        <f>INDEX(ovrTable,MATCH(INDEX(oppCol24,ROW()),ovrTeamCol,0),MATCH(MID(INDEX(headerRow,1,COLUMN()),4,LEN(INDEX(headerRow,1,COLUMN()))),ovrHeaderRow,0))</f>
        <v>9.9499999999999993</v>
      </c>
      <c r="CE8" s="12">
        <f>INDEX(ovrTable,MATCH(INDEX(oppCol24,ROW()),ovrTeamCol,0),MATCH(MID(INDEX(headerRow,1,COLUMN()),4,LEN(INDEX(headerRow,1,COLUMN()))),ovrHeaderRow,0))</f>
        <v>79.3</v>
      </c>
      <c r="CF8" s="12">
        <f>INDEX(ovrTable,MATCH(INDEX(oppCol24,ROW()),ovrTeamCol,0),MATCH(MID(INDEX(headerRow,1,COLUMN()),4,LEN(INDEX(headerRow,1,COLUMN()))),ovrHeaderRow,0))</f>
        <v>6.8</v>
      </c>
      <c r="CG8" s="12">
        <f>INDEX(ovrTable,MATCH(INDEX(oppCol24,ROW()),ovrTeamCol,0),MATCH(MID(INDEX(headerRow,1,COLUMN()),4,LEN(INDEX(headerRow,1,COLUMN()))),ovrHeaderRow,0))</f>
        <v>36.950000000000003</v>
      </c>
      <c r="CH8" s="12">
        <f>INDEX(ovrTable,MATCH(INDEX(oppCol24,ROW()),ovrTeamCol,0),MATCH(MID(INDEX(headerRow,1,COLUMN()),4,LEN(INDEX(headerRow,1,COLUMN()))),ovrHeaderRow,0))</f>
        <v>7.6</v>
      </c>
      <c r="CI8" s="12">
        <f>INDEX(ovrTable,MATCH(INDEX(oppCol24,ROW()),ovrTeamCol,0),MATCH(MID(INDEX(headerRow,1,COLUMN()),4,LEN(INDEX(headerRow,1,COLUMN()))),ovrHeaderRow,0))</f>
        <v>6</v>
      </c>
      <c r="CJ8" s="12">
        <f>INDEX(ovrTable,MATCH(INDEX(oppCol24,ROW()),ovrTeamCol,0),MATCH(MID(INDEX(headerRow,1,COLUMN()),4,LEN(INDEX(headerRow,1,COLUMN()))),ovrHeaderRow,0))</f>
        <v>-2</v>
      </c>
      <c r="CK8" s="12">
        <f>INDEX(ovrTable,MATCH(INDEX(oppCol24,ROW()),ovrTeamCol,0),MATCH(MID(INDEX(headerRow,1,COLUMN()),4,LEN(INDEX(headerRow,1,COLUMN()))),ovrHeaderRow,0))</f>
        <v>10.59</v>
      </c>
      <c r="CL8" s="12">
        <f>INDEX(ovrTable,MATCH(INDEX(oppCol24,ROW()),ovrTeamCol,0),MATCH(MID(INDEX(headerRow,1,COLUMN()),4,LEN(INDEX(headerRow,1,COLUMN()))),ovrHeaderRow,0))</f>
        <v>12.6</v>
      </c>
      <c r="CM8" s="12">
        <f>INDEX(ovrTable,MATCH(INDEX(oppCol24,ROW()),ovrTeamCol,0),MATCH(MID(INDEX(headerRow,1,COLUMN()),4,LEN(INDEX(headerRow,1,COLUMN()))),ovrHeaderRow,0))</f>
        <v>71.3</v>
      </c>
      <c r="CN8" s="12">
        <f>INDEX(ovrTable,MATCH(INDEX(oppCol24,ROW()),ovrTeamCol,0),MATCH(MID(INDEX(headerRow,1,COLUMN()),4,LEN(INDEX(headerRow,1,COLUMN()))),ovrHeaderRow,0))</f>
        <v>21.4</v>
      </c>
      <c r="CO8" s="12">
        <f>INDEX(ovrTable,MATCH(INDEX(oppCol24,ROW()),ovrTeamCol,0),MATCH(MID(INDEX(headerRow,1,COLUMN()),4,LEN(INDEX(headerRow,1,COLUMN()))),ovrHeaderRow,0))</f>
        <v>57.171717171717162</v>
      </c>
    </row>
    <row r="9" spans="1:93" x14ac:dyDescent="0.3">
      <c r="A9" s="6" t="s">
        <v>40</v>
      </c>
      <c r="B9" s="3">
        <v>10</v>
      </c>
      <c r="C9" s="13" t="s">
        <v>42</v>
      </c>
      <c r="D9" s="14">
        <v>4</v>
      </c>
      <c r="E9" s="23">
        <v>11.111111111111111</v>
      </c>
      <c r="F9" s="24">
        <v>4</v>
      </c>
      <c r="G9" s="23">
        <v>26.666666666666668</v>
      </c>
      <c r="H9" s="24">
        <v>15</v>
      </c>
      <c r="I9" s="25">
        <v>1</v>
      </c>
      <c r="J9" s="24">
        <v>12</v>
      </c>
      <c r="K9" s="24">
        <v>1</v>
      </c>
      <c r="L9" s="24">
        <v>3</v>
      </c>
      <c r="M9" s="24">
        <v>34.299999999999997</v>
      </c>
      <c r="N9" s="24">
        <v>25</v>
      </c>
      <c r="O9" s="26">
        <v>0.4797142857142857</v>
      </c>
      <c r="P9" s="24">
        <v>2</v>
      </c>
      <c r="Q9" s="24">
        <v>43.8</v>
      </c>
      <c r="R9" s="24">
        <v>13</v>
      </c>
      <c r="S9" s="23">
        <v>93.333333333333329</v>
      </c>
      <c r="T9" s="24">
        <v>15</v>
      </c>
      <c r="U9" s="24">
        <v>14</v>
      </c>
      <c r="V9" s="24">
        <v>53</v>
      </c>
      <c r="W9" s="24">
        <v>6</v>
      </c>
      <c r="X9" s="24">
        <v>60</v>
      </c>
      <c r="Y9" s="24">
        <v>-10</v>
      </c>
      <c r="Z9" s="24">
        <v>31</v>
      </c>
      <c r="AA9" s="24">
        <v>7</v>
      </c>
      <c r="AB9" s="24">
        <v>5</v>
      </c>
      <c r="AC9" s="24">
        <v>-3</v>
      </c>
      <c r="AD9" s="24">
        <v>9</v>
      </c>
      <c r="AE9" s="24">
        <v>12</v>
      </c>
      <c r="AF9" s="46">
        <f t="shared" si="3"/>
        <v>61.070205479452056</v>
      </c>
      <c r="AG9" s="51">
        <f t="shared" ref="AG9" si="9">AVERAGE(AF8,AF9)</f>
        <v>60.487799532728943</v>
      </c>
      <c r="AH9" s="12">
        <f t="shared" si="0"/>
        <v>32</v>
      </c>
      <c r="AI9" s="12">
        <f t="shared" si="0"/>
        <v>6.9</v>
      </c>
      <c r="AJ9" s="12">
        <f t="shared" si="0"/>
        <v>39.1</v>
      </c>
      <c r="AK9" s="12">
        <f t="shared" si="0"/>
        <v>17.5</v>
      </c>
      <c r="AL9" s="12">
        <f t="shared" si="0"/>
        <v>1.28</v>
      </c>
      <c r="AM9" s="12">
        <f t="shared" si="0"/>
        <v>16.2</v>
      </c>
      <c r="AN9" s="12">
        <f t="shared" si="0"/>
        <v>11.27</v>
      </c>
      <c r="AO9" s="12">
        <f t="shared" si="0"/>
        <v>2.2000000000000002</v>
      </c>
      <c r="AP9" s="12">
        <f t="shared" si="0"/>
        <v>44</v>
      </c>
      <c r="AQ9" s="12">
        <f t="shared" si="0"/>
        <v>27</v>
      </c>
      <c r="AR9" s="12">
        <f t="shared" si="1"/>
        <v>0.55400000000000005</v>
      </c>
      <c r="AS9" s="12">
        <f t="shared" si="1"/>
        <v>11.97</v>
      </c>
      <c r="AT9" s="12">
        <f t="shared" si="1"/>
        <v>49.5</v>
      </c>
      <c r="AU9" s="12">
        <f t="shared" si="1"/>
        <v>14.8</v>
      </c>
      <c r="AV9" s="12">
        <f t="shared" si="1"/>
        <v>78.400000000000006</v>
      </c>
      <c r="AW9" s="12">
        <f t="shared" si="1"/>
        <v>20.100000000000001</v>
      </c>
      <c r="AX9" s="12">
        <f t="shared" si="1"/>
        <v>15.8</v>
      </c>
      <c r="AY9" s="12">
        <f t="shared" si="1"/>
        <v>71.7</v>
      </c>
      <c r="AZ9" s="12">
        <f t="shared" si="1"/>
        <v>9.9499999999999993</v>
      </c>
      <c r="BA9" s="12">
        <f t="shared" si="1"/>
        <v>79.3</v>
      </c>
      <c r="BB9" s="12">
        <f t="shared" si="2"/>
        <v>6.8</v>
      </c>
      <c r="BC9" s="12">
        <f t="shared" si="2"/>
        <v>36.950000000000003</v>
      </c>
      <c r="BD9" s="12">
        <f t="shared" si="2"/>
        <v>7.6</v>
      </c>
      <c r="BE9" s="12">
        <f t="shared" si="2"/>
        <v>6</v>
      </c>
      <c r="BF9" s="12">
        <f t="shared" si="2"/>
        <v>-2</v>
      </c>
      <c r="BG9" s="12">
        <f t="shared" si="2"/>
        <v>10.59</v>
      </c>
      <c r="BH9" s="12">
        <f t="shared" si="2"/>
        <v>12.6</v>
      </c>
      <c r="BI9" s="12">
        <f t="shared" si="2"/>
        <v>71.3</v>
      </c>
      <c r="BJ9" s="12">
        <f t="shared" si="2"/>
        <v>21.4</v>
      </c>
      <c r="BK9" s="12">
        <f t="shared" si="2"/>
        <v>57.171717171717162</v>
      </c>
      <c r="BL9" s="12">
        <f>INDEX(ovrTable,MATCH(INDEX(oppCol24,ROW()),ovrTeamCol,0),MATCH(MID(INDEX(headerRow,1,COLUMN()),4,LEN(INDEX(headerRow,1,COLUMN()))),ovrHeaderRow,0))</f>
        <v>31</v>
      </c>
      <c r="BM9" s="12">
        <f>INDEX(ovrTable,MATCH(INDEX(oppCol24,ROW()),ovrTeamCol,0),MATCH(MID(INDEX(headerRow,1,COLUMN()),4,LEN(INDEX(headerRow,1,COLUMN()))),ovrHeaderRow,0))</f>
        <v>7.8</v>
      </c>
      <c r="BN9" s="12">
        <f>INDEX(ovrTable,MATCH(INDEX(oppCol24,ROW()),ovrTeamCol,0),MATCH(MID(INDEX(headerRow,1,COLUMN()),4,LEN(INDEX(headerRow,1,COLUMN()))),ovrHeaderRow,0))</f>
        <v>34</v>
      </c>
      <c r="BO9" s="12">
        <f>INDEX(ovrTable,MATCH(INDEX(oppCol24,ROW()),ovrTeamCol,0),MATCH(MID(INDEX(headerRow,1,COLUMN()),4,LEN(INDEX(headerRow,1,COLUMN()))),ovrHeaderRow,0))</f>
        <v>23</v>
      </c>
      <c r="BP9" s="12">
        <f>INDEX(ovrTable,MATCH(INDEX(oppCol24,ROW()),ovrTeamCol,0),MATCH(MID(INDEX(headerRow,1,COLUMN()),4,LEN(INDEX(headerRow,1,COLUMN()))),ovrHeaderRow,0))</f>
        <v>1.1000000000000001</v>
      </c>
      <c r="BQ9" s="12">
        <f>INDEX(ovrTable,MATCH(INDEX(oppCol24,ROW()),ovrTeamCol,0),MATCH(MID(INDEX(headerRow,1,COLUMN()),4,LEN(INDEX(headerRow,1,COLUMN()))),ovrHeaderRow,0))</f>
        <v>12.2</v>
      </c>
      <c r="BR9" s="12">
        <f>INDEX(ovrTable,MATCH(INDEX(oppCol24,ROW()),ovrTeamCol,0),MATCH(MID(INDEX(headerRow,1,COLUMN()),4,LEN(INDEX(headerRow,1,COLUMN()))),ovrHeaderRow,0))</f>
        <v>13.97</v>
      </c>
      <c r="BS9" s="12">
        <f>INDEX(ovrTable,MATCH(INDEX(oppCol24,ROW()),ovrTeamCol,0),MATCH(MID(INDEX(headerRow,1,COLUMN()),4,LEN(INDEX(headerRow,1,COLUMN()))),ovrHeaderRow,0))</f>
        <v>2.4</v>
      </c>
      <c r="BT9" s="12">
        <f>INDEX(ovrTable,MATCH(INDEX(oppCol24,ROW()),ovrTeamCol,0),MATCH(MID(INDEX(headerRow,1,COLUMN()),4,LEN(INDEX(headerRow,1,COLUMN()))),ovrHeaderRow,0))</f>
        <v>43.8</v>
      </c>
      <c r="BU9" s="12">
        <f>INDEX(ovrTable,MATCH(INDEX(oppCol24,ROW()),ovrTeamCol,0),MATCH(MID(INDEX(headerRow,1,COLUMN()),4,LEN(INDEX(headerRow,1,COLUMN()))),ovrHeaderRow,0))</f>
        <v>25.67</v>
      </c>
      <c r="BV9" s="12">
        <f>INDEX(ovrTable,MATCH(INDEX(oppCol24,ROW()),ovrTeamCol,0),MATCH(MID(INDEX(headerRow,1,COLUMN()),4,LEN(INDEX(headerRow,1,COLUMN()))),ovrHeaderRow,0))</f>
        <v>0.51600000000000001</v>
      </c>
      <c r="BW9" s="12">
        <f>INDEX(ovrTable,MATCH(INDEX(oppCol24,ROW()),ovrTeamCol,0),MATCH(MID(INDEX(headerRow,1,COLUMN()),4,LEN(INDEX(headerRow,1,COLUMN()))),ovrHeaderRow,0))</f>
        <v>6.61</v>
      </c>
      <c r="BX9" s="12">
        <f>INDEX(ovrTable,MATCH(INDEX(oppCol24,ROW()),ovrTeamCol,0),MATCH(MID(INDEX(headerRow,1,COLUMN()),4,LEN(INDEX(headerRow,1,COLUMN()))),ovrHeaderRow,0))</f>
        <v>44.9</v>
      </c>
      <c r="BY9" s="12">
        <f>INDEX(ovrTable,MATCH(INDEX(oppCol24,ROW()),ovrTeamCol,0),MATCH(MID(INDEX(headerRow,1,COLUMN()),4,LEN(INDEX(headerRow,1,COLUMN()))),ovrHeaderRow,0))</f>
        <v>16.7</v>
      </c>
      <c r="BZ9" s="12">
        <f>INDEX(ovrTable,MATCH(INDEX(oppCol24,ROW()),ovrTeamCol,0),MATCH(MID(INDEX(headerRow,1,COLUMN()),4,LEN(INDEX(headerRow,1,COLUMN()))),ovrHeaderRow,0))</f>
        <v>73.599999999999994</v>
      </c>
      <c r="CA9" s="12">
        <f>INDEX(ovrTable,MATCH(INDEX(oppCol24,ROW()),ovrTeamCol,0),MATCH(MID(INDEX(headerRow,1,COLUMN()),4,LEN(INDEX(headerRow,1,COLUMN()))),ovrHeaderRow,0))</f>
        <v>20.8</v>
      </c>
      <c r="CB9" s="12">
        <f>INDEX(ovrTable,MATCH(INDEX(oppCol24,ROW()),ovrTeamCol,0),MATCH(MID(INDEX(headerRow,1,COLUMN()),4,LEN(INDEX(headerRow,1,COLUMN()))),ovrHeaderRow,0))</f>
        <v>15.3</v>
      </c>
      <c r="CC9" s="12">
        <f>INDEX(ovrTable,MATCH(INDEX(oppCol24,ROW()),ovrTeamCol,0),MATCH(MID(INDEX(headerRow,1,COLUMN()),4,LEN(INDEX(headerRow,1,COLUMN()))),ovrHeaderRow,0))</f>
        <v>67.3</v>
      </c>
      <c r="CD9" s="12">
        <f>INDEX(ovrTable,MATCH(INDEX(oppCol24,ROW()),ovrTeamCol,0),MATCH(MID(INDEX(headerRow,1,COLUMN()),4,LEN(INDEX(headerRow,1,COLUMN()))),ovrHeaderRow,0))</f>
        <v>11.64</v>
      </c>
      <c r="CE9" s="12">
        <f>INDEX(ovrTable,MATCH(INDEX(oppCol24,ROW()),ovrTeamCol,0),MATCH(MID(INDEX(headerRow,1,COLUMN()),4,LEN(INDEX(headerRow,1,COLUMN()))),ovrHeaderRow,0))</f>
        <v>75.099999999999994</v>
      </c>
      <c r="CF9" s="12">
        <f>INDEX(ovrTable,MATCH(INDEX(oppCol24,ROW()),ovrTeamCol,0),MATCH(MID(INDEX(headerRow,1,COLUMN()),4,LEN(INDEX(headerRow,1,COLUMN()))),ovrHeaderRow,0))</f>
        <v>7.5</v>
      </c>
      <c r="CG9" s="12">
        <f>INDEX(ovrTable,MATCH(INDEX(oppCol24,ROW()),ovrTeamCol,0),MATCH(MID(INDEX(headerRow,1,COLUMN()),4,LEN(INDEX(headerRow,1,COLUMN()))),ovrHeaderRow,0))</f>
        <v>37.299999999999997</v>
      </c>
      <c r="CH9" s="12">
        <f>INDEX(ovrTable,MATCH(INDEX(oppCol24,ROW()),ovrTeamCol,0),MATCH(MID(INDEX(headerRow,1,COLUMN()),4,LEN(INDEX(headerRow,1,COLUMN()))),ovrHeaderRow,0))</f>
        <v>7.8</v>
      </c>
      <c r="CI9" s="12">
        <f>INDEX(ovrTable,MATCH(INDEX(oppCol24,ROW()),ovrTeamCol,0),MATCH(MID(INDEX(headerRow,1,COLUMN()),4,LEN(INDEX(headerRow,1,COLUMN()))),ovrHeaderRow,0))</f>
        <v>5.7</v>
      </c>
      <c r="CJ9" s="12">
        <f>INDEX(ovrTable,MATCH(INDEX(oppCol24,ROW()),ovrTeamCol,0),MATCH(MID(INDEX(headerRow,1,COLUMN()),4,LEN(INDEX(headerRow,1,COLUMN()))),ovrHeaderRow,0))</f>
        <v>0.3</v>
      </c>
      <c r="CK9" s="12">
        <f>INDEX(ovrTable,MATCH(INDEX(oppCol24,ROW()),ovrTeamCol,0),MATCH(MID(INDEX(headerRow,1,COLUMN()),4,LEN(INDEX(headerRow,1,COLUMN()))),ovrHeaderRow,0))</f>
        <v>11.42</v>
      </c>
      <c r="CL9" s="12">
        <f>INDEX(ovrTable,MATCH(INDEX(oppCol24,ROW()),ovrTeamCol,0),MATCH(MID(INDEX(headerRow,1,COLUMN()),4,LEN(INDEX(headerRow,1,COLUMN()))),ovrHeaderRow,0))</f>
        <v>11.1</v>
      </c>
      <c r="CM9" s="12">
        <f>INDEX(ovrTable,MATCH(INDEX(oppCol24,ROW()),ovrTeamCol,0),MATCH(MID(INDEX(headerRow,1,COLUMN()),4,LEN(INDEX(headerRow,1,COLUMN()))),ovrHeaderRow,0))</f>
        <v>68.3</v>
      </c>
      <c r="CN9" s="12">
        <f>INDEX(ovrTable,MATCH(INDEX(oppCol24,ROW()),ovrTeamCol,0),MATCH(MID(INDEX(headerRow,1,COLUMN()),4,LEN(INDEX(headerRow,1,COLUMN()))),ovrHeaderRow,0))</f>
        <v>18.2</v>
      </c>
      <c r="CO9" s="12">
        <f>INDEX(ovrTable,MATCH(INDEX(oppCol24,ROW()),ovrTeamCol,0),MATCH(MID(INDEX(headerRow,1,COLUMN()),4,LEN(INDEX(headerRow,1,COLUMN()))),ovrHeaderRow,0))</f>
        <v>57.906458797327396</v>
      </c>
    </row>
    <row r="10" spans="1:93" x14ac:dyDescent="0.3">
      <c r="A10" s="6" t="s">
        <v>17</v>
      </c>
      <c r="B10" s="3">
        <v>16</v>
      </c>
      <c r="C10" s="13" t="s">
        <v>2</v>
      </c>
      <c r="D10" s="14">
        <v>5</v>
      </c>
      <c r="E10" s="23">
        <v>37.5</v>
      </c>
      <c r="F10" s="24">
        <v>3</v>
      </c>
      <c r="G10" s="23">
        <v>15</v>
      </c>
      <c r="H10" s="24">
        <v>20</v>
      </c>
      <c r="I10" s="25">
        <v>0.42857142857142855</v>
      </c>
      <c r="J10" s="24">
        <v>6</v>
      </c>
      <c r="K10" s="24">
        <v>4</v>
      </c>
      <c r="L10" s="24">
        <v>4</v>
      </c>
      <c r="M10" s="24">
        <v>52.9</v>
      </c>
      <c r="N10" s="24">
        <v>20</v>
      </c>
      <c r="O10" s="26">
        <v>0.33626470588235291</v>
      </c>
      <c r="P10" s="24">
        <v>6</v>
      </c>
      <c r="Q10" s="24">
        <v>30.9</v>
      </c>
      <c r="R10" s="24">
        <v>12</v>
      </c>
      <c r="S10" s="23">
        <v>75</v>
      </c>
      <c r="T10" s="24">
        <v>20</v>
      </c>
      <c r="U10" s="24">
        <v>15</v>
      </c>
      <c r="V10" s="24">
        <v>91</v>
      </c>
      <c r="W10" s="24">
        <v>10</v>
      </c>
      <c r="X10" s="24">
        <v>52</v>
      </c>
      <c r="Y10" s="24">
        <v>-15</v>
      </c>
      <c r="Z10" s="24">
        <v>30</v>
      </c>
      <c r="AA10" s="24">
        <v>-39</v>
      </c>
      <c r="AB10" s="24">
        <v>6</v>
      </c>
      <c r="AC10" s="24">
        <v>-5</v>
      </c>
      <c r="AD10" s="24">
        <v>9</v>
      </c>
      <c r="AE10" s="24">
        <v>14</v>
      </c>
      <c r="AF10" s="46">
        <f t="shared" si="3"/>
        <v>68.516181229773466</v>
      </c>
      <c r="AG10" s="51">
        <f t="shared" ref="AG10" si="10">AVERAGE(AF10,AF11)</f>
        <v>69.104735227363108</v>
      </c>
      <c r="AH10" s="12">
        <f t="shared" si="0"/>
        <v>33.5</v>
      </c>
      <c r="AI10" s="12">
        <f t="shared" si="0"/>
        <v>8.9</v>
      </c>
      <c r="AJ10" s="12">
        <f t="shared" si="0"/>
        <v>36.5</v>
      </c>
      <c r="AK10" s="12">
        <f t="shared" si="0"/>
        <v>24.5</v>
      </c>
      <c r="AL10" s="12">
        <f t="shared" si="0"/>
        <v>1.26</v>
      </c>
      <c r="AM10" s="12">
        <f t="shared" si="0"/>
        <v>13.3</v>
      </c>
      <c r="AN10" s="12">
        <f t="shared" si="0"/>
        <v>12.97</v>
      </c>
      <c r="AO10" s="12">
        <f t="shared" si="0"/>
        <v>3.1</v>
      </c>
      <c r="AP10" s="12">
        <f t="shared" si="0"/>
        <v>44.1</v>
      </c>
      <c r="AQ10" s="12">
        <f t="shared" si="0"/>
        <v>25.06</v>
      </c>
      <c r="AR10" s="12">
        <f t="shared" si="1"/>
        <v>0.53900000000000003</v>
      </c>
      <c r="AS10" s="12">
        <f t="shared" si="1"/>
        <v>9.74</v>
      </c>
      <c r="AT10" s="12">
        <f t="shared" si="1"/>
        <v>46.3</v>
      </c>
      <c r="AU10" s="12">
        <f t="shared" si="1"/>
        <v>14.7</v>
      </c>
      <c r="AV10" s="12">
        <f t="shared" si="1"/>
        <v>76.599999999999994</v>
      </c>
      <c r="AW10" s="12">
        <f t="shared" si="1"/>
        <v>17.7</v>
      </c>
      <c r="AX10" s="12">
        <f t="shared" si="1"/>
        <v>13.5</v>
      </c>
      <c r="AY10" s="12">
        <f t="shared" si="1"/>
        <v>73.3</v>
      </c>
      <c r="AZ10" s="12">
        <f t="shared" si="1"/>
        <v>9.69</v>
      </c>
      <c r="BA10" s="12">
        <f t="shared" si="1"/>
        <v>76.8</v>
      </c>
      <c r="BB10" s="12">
        <f t="shared" si="2"/>
        <v>0.1</v>
      </c>
      <c r="BC10" s="12">
        <f t="shared" si="2"/>
        <v>34.74</v>
      </c>
      <c r="BD10" s="12">
        <f t="shared" si="2"/>
        <v>3.5</v>
      </c>
      <c r="BE10" s="12">
        <f t="shared" si="2"/>
        <v>5.3</v>
      </c>
      <c r="BF10" s="12">
        <f t="shared" si="2"/>
        <v>-1</v>
      </c>
      <c r="BG10" s="12">
        <f t="shared" si="2"/>
        <v>9.57</v>
      </c>
      <c r="BH10" s="12">
        <f t="shared" si="2"/>
        <v>10.5</v>
      </c>
      <c r="BI10" s="12">
        <f t="shared" si="2"/>
        <v>68.3</v>
      </c>
      <c r="BJ10" s="12">
        <f t="shared" si="2"/>
        <v>18.299999999999997</v>
      </c>
      <c r="BK10" s="12">
        <f t="shared" si="2"/>
        <v>58.747300215982712</v>
      </c>
      <c r="BL10" s="12">
        <f>INDEX(ovrTable,MATCH(INDEX(oppCol24,ROW()),ovrTeamCol,0),MATCH(MID(INDEX(headerRow,1,COLUMN()),4,LEN(INDEX(headerRow,1,COLUMN()))),ovrHeaderRow,0))</f>
        <v>31.2</v>
      </c>
      <c r="BM10" s="12">
        <f>INDEX(ovrTable,MATCH(INDEX(oppCol24,ROW()),ovrTeamCol,0),MATCH(MID(INDEX(headerRow,1,COLUMN()),4,LEN(INDEX(headerRow,1,COLUMN()))),ovrHeaderRow,0))</f>
        <v>8.5</v>
      </c>
      <c r="BN10" s="12">
        <f>INDEX(ovrTable,MATCH(INDEX(oppCol24,ROW()),ovrTeamCol,0),MATCH(MID(INDEX(headerRow,1,COLUMN()),4,LEN(INDEX(headerRow,1,COLUMN()))),ovrHeaderRow,0))</f>
        <v>35.799999999999997</v>
      </c>
      <c r="BO10" s="12">
        <f>INDEX(ovrTable,MATCH(INDEX(oppCol24,ROW()),ovrTeamCol,0),MATCH(MID(INDEX(headerRow,1,COLUMN()),4,LEN(INDEX(headerRow,1,COLUMN()))),ovrHeaderRow,0))</f>
        <v>23.8</v>
      </c>
      <c r="BP10" s="12">
        <f>INDEX(ovrTable,MATCH(INDEX(oppCol24,ROW()),ovrTeamCol,0),MATCH(MID(INDEX(headerRow,1,COLUMN()),4,LEN(INDEX(headerRow,1,COLUMN()))),ovrHeaderRow,0))</f>
        <v>1.95</v>
      </c>
      <c r="BQ10" s="12">
        <f>INDEX(ovrTable,MATCH(INDEX(oppCol24,ROW()),ovrTeamCol,0),MATCH(MID(INDEX(headerRow,1,COLUMN()),4,LEN(INDEX(headerRow,1,COLUMN()))),ovrHeaderRow,0))</f>
        <v>18.7</v>
      </c>
      <c r="BR10" s="12">
        <f>INDEX(ovrTable,MATCH(INDEX(oppCol24,ROW()),ovrTeamCol,0),MATCH(MID(INDEX(headerRow,1,COLUMN()),4,LEN(INDEX(headerRow,1,COLUMN()))),ovrHeaderRow,0))</f>
        <v>16.149999999999999</v>
      </c>
      <c r="BS10" s="12">
        <f>INDEX(ovrTable,MATCH(INDEX(oppCol24,ROW()),ovrTeamCol,0),MATCH(MID(INDEX(headerRow,1,COLUMN()),4,LEN(INDEX(headerRow,1,COLUMN()))),ovrHeaderRow,0))</f>
        <v>5.4</v>
      </c>
      <c r="BT10" s="12">
        <f>INDEX(ovrTable,MATCH(INDEX(oppCol24,ROW()),ovrTeamCol,0),MATCH(MID(INDEX(headerRow,1,COLUMN()),4,LEN(INDEX(headerRow,1,COLUMN()))),ovrHeaderRow,0))</f>
        <v>39.200000000000003</v>
      </c>
      <c r="BU10" s="12">
        <f>INDEX(ovrTable,MATCH(INDEX(oppCol24,ROW()),ovrTeamCol,0),MATCH(MID(INDEX(headerRow,1,COLUMN()),4,LEN(INDEX(headerRow,1,COLUMN()))),ovrHeaderRow,0))</f>
        <v>27.1</v>
      </c>
      <c r="BV10" s="12">
        <f>INDEX(ovrTable,MATCH(INDEX(oppCol24,ROW()),ovrTeamCol,0),MATCH(MID(INDEX(headerRow,1,COLUMN()),4,LEN(INDEX(headerRow,1,COLUMN()))),ovrHeaderRow,0))</f>
        <v>0.56899999999999995</v>
      </c>
      <c r="BW10" s="12">
        <f>INDEX(ovrTable,MATCH(INDEX(oppCol24,ROW()),ovrTeamCol,0),MATCH(MID(INDEX(headerRow,1,COLUMN()),4,LEN(INDEX(headerRow,1,COLUMN()))),ovrHeaderRow,0))</f>
        <v>11.95</v>
      </c>
      <c r="BX10" s="12">
        <f>INDEX(ovrTable,MATCH(INDEX(oppCol24,ROW()),ovrTeamCol,0),MATCH(MID(INDEX(headerRow,1,COLUMN()),4,LEN(INDEX(headerRow,1,COLUMN()))),ovrHeaderRow,0))</f>
        <v>49.7</v>
      </c>
      <c r="BY10" s="12">
        <f>INDEX(ovrTable,MATCH(INDEX(oppCol24,ROW()),ovrTeamCol,0),MATCH(MID(INDEX(headerRow,1,COLUMN()),4,LEN(INDEX(headerRow,1,COLUMN()))),ovrHeaderRow,0))</f>
        <v>16.3</v>
      </c>
      <c r="BZ10" s="12">
        <f>INDEX(ovrTable,MATCH(INDEX(oppCol24,ROW()),ovrTeamCol,0),MATCH(MID(INDEX(headerRow,1,COLUMN()),4,LEN(INDEX(headerRow,1,COLUMN()))),ovrHeaderRow,0))</f>
        <v>74.3</v>
      </c>
      <c r="CA10" s="12">
        <f>INDEX(ovrTable,MATCH(INDEX(oppCol24,ROW()),ovrTeamCol,0),MATCH(MID(INDEX(headerRow,1,COLUMN()),4,LEN(INDEX(headerRow,1,COLUMN()))),ovrHeaderRow,0))</f>
        <v>18.899999999999999</v>
      </c>
      <c r="CB10" s="12">
        <f>INDEX(ovrTable,MATCH(INDEX(oppCol24,ROW()),ovrTeamCol,0),MATCH(MID(INDEX(headerRow,1,COLUMN()),4,LEN(INDEX(headerRow,1,COLUMN()))),ovrHeaderRow,0))</f>
        <v>14.1</v>
      </c>
      <c r="CC10" s="12">
        <f>INDEX(ovrTable,MATCH(INDEX(oppCol24,ROW()),ovrTeamCol,0),MATCH(MID(INDEX(headerRow,1,COLUMN()),4,LEN(INDEX(headerRow,1,COLUMN()))),ovrHeaderRow,0))</f>
        <v>63.4</v>
      </c>
      <c r="CD10" s="12">
        <f>INDEX(ovrTable,MATCH(INDEX(oppCol24,ROW()),ovrTeamCol,0),MATCH(MID(INDEX(headerRow,1,COLUMN()),4,LEN(INDEX(headerRow,1,COLUMN()))),ovrHeaderRow,0))</f>
        <v>11.73</v>
      </c>
      <c r="CE10" s="12">
        <f>INDEX(ovrTable,MATCH(INDEX(oppCol24,ROW()),ovrTeamCol,0),MATCH(MID(INDEX(headerRow,1,COLUMN()),4,LEN(INDEX(headerRow,1,COLUMN()))),ovrHeaderRow,0))</f>
        <v>81.400000000000006</v>
      </c>
      <c r="CF10" s="12">
        <f>INDEX(ovrTable,MATCH(INDEX(oppCol24,ROW()),ovrTeamCol,0),MATCH(MID(INDEX(headerRow,1,COLUMN()),4,LEN(INDEX(headerRow,1,COLUMN()))),ovrHeaderRow,0))</f>
        <v>8.6999999999999993</v>
      </c>
      <c r="CG10" s="12">
        <f>INDEX(ovrTable,MATCH(INDEX(oppCol24,ROW()),ovrTeamCol,0),MATCH(MID(INDEX(headerRow,1,COLUMN()),4,LEN(INDEX(headerRow,1,COLUMN()))),ovrHeaderRow,0))</f>
        <v>38.83</v>
      </c>
      <c r="CH10" s="12">
        <f>INDEX(ovrTable,MATCH(INDEX(oppCol24,ROW()),ovrTeamCol,0),MATCH(MID(INDEX(headerRow,1,COLUMN()),4,LEN(INDEX(headerRow,1,COLUMN()))),ovrHeaderRow,0))</f>
        <v>18</v>
      </c>
      <c r="CI10" s="12">
        <f>INDEX(ovrTable,MATCH(INDEX(oppCol24,ROW()),ovrTeamCol,0),MATCH(MID(INDEX(headerRow,1,COLUMN()),4,LEN(INDEX(headerRow,1,COLUMN()))),ovrHeaderRow,0))</f>
        <v>6.2</v>
      </c>
      <c r="CJ10" s="12">
        <f>INDEX(ovrTable,MATCH(INDEX(oppCol24,ROW()),ovrTeamCol,0),MATCH(MID(INDEX(headerRow,1,COLUMN()),4,LEN(INDEX(headerRow,1,COLUMN()))),ovrHeaderRow,0))</f>
        <v>1</v>
      </c>
      <c r="CK10" s="12">
        <f>INDEX(ovrTable,MATCH(INDEX(oppCol24,ROW()),ovrTeamCol,0),MATCH(MID(INDEX(headerRow,1,COLUMN()),4,LEN(INDEX(headerRow,1,COLUMN()))),ovrHeaderRow,0))</f>
        <v>10.55</v>
      </c>
      <c r="CL10" s="12">
        <f>INDEX(ovrTable,MATCH(INDEX(oppCol24,ROW()),ovrTeamCol,0),MATCH(MID(INDEX(headerRow,1,COLUMN()),4,LEN(INDEX(headerRow,1,COLUMN()))),ovrHeaderRow,0))</f>
        <v>9.6</v>
      </c>
      <c r="CM10" s="12">
        <f>INDEX(ovrTable,MATCH(INDEX(oppCol24,ROW()),ovrTeamCol,0),MATCH(MID(INDEX(headerRow,1,COLUMN()),4,LEN(INDEX(headerRow,1,COLUMN()))),ovrHeaderRow,0))</f>
        <v>67.900000000000006</v>
      </c>
      <c r="CN10" s="12">
        <f>INDEX(ovrTable,MATCH(INDEX(oppCol24,ROW()),ovrTeamCol,0),MATCH(MID(INDEX(headerRow,1,COLUMN()),4,LEN(INDEX(headerRow,1,COLUMN()))),ovrHeaderRow,0))</f>
        <v>20.900000000000006</v>
      </c>
      <c r="CO10" s="12">
        <f>INDEX(ovrTable,MATCH(INDEX(oppCol24,ROW()),ovrTeamCol,0),MATCH(MID(INDEX(headerRow,1,COLUMN()),4,LEN(INDEX(headerRow,1,COLUMN()))),ovrHeaderRow,0))</f>
        <v>59.154929577464792</v>
      </c>
    </row>
    <row r="11" spans="1:93" x14ac:dyDescent="0.3">
      <c r="A11" s="6" t="s">
        <v>2</v>
      </c>
      <c r="B11" s="3">
        <v>1</v>
      </c>
      <c r="C11" s="13" t="s">
        <v>17</v>
      </c>
      <c r="D11" s="14">
        <v>5</v>
      </c>
      <c r="E11" s="23">
        <v>15</v>
      </c>
      <c r="F11" s="24">
        <v>9</v>
      </c>
      <c r="G11" s="23">
        <v>37.5</v>
      </c>
      <c r="H11" s="24">
        <v>24</v>
      </c>
      <c r="I11" s="25">
        <v>2.4444444444444446</v>
      </c>
      <c r="J11" s="24">
        <v>22</v>
      </c>
      <c r="K11" s="24">
        <v>18</v>
      </c>
      <c r="L11" s="24">
        <v>2</v>
      </c>
      <c r="M11" s="24">
        <v>30.9</v>
      </c>
      <c r="N11" s="24">
        <v>31</v>
      </c>
      <c r="O11" s="26">
        <v>0.59333783783783778</v>
      </c>
      <c r="P11" s="24">
        <v>7</v>
      </c>
      <c r="Q11" s="24">
        <v>52.9</v>
      </c>
      <c r="R11" s="24">
        <v>19</v>
      </c>
      <c r="S11" s="23">
        <v>80</v>
      </c>
      <c r="T11" s="24">
        <v>10</v>
      </c>
      <c r="U11" s="24">
        <v>8</v>
      </c>
      <c r="V11" s="24">
        <v>52</v>
      </c>
      <c r="W11" s="24">
        <v>14</v>
      </c>
      <c r="X11" s="24">
        <v>91</v>
      </c>
      <c r="Y11" s="24">
        <v>15</v>
      </c>
      <c r="Z11" s="24">
        <v>45</v>
      </c>
      <c r="AA11" s="24">
        <v>39</v>
      </c>
      <c r="AB11" s="24">
        <v>6</v>
      </c>
      <c r="AC11" s="24">
        <v>5</v>
      </c>
      <c r="AD11" s="24">
        <v>14</v>
      </c>
      <c r="AE11" s="24">
        <v>9</v>
      </c>
      <c r="AF11" s="46">
        <f t="shared" si="3"/>
        <v>69.693289224952736</v>
      </c>
      <c r="AG11" s="51">
        <f t="shared" ref="AG11" si="11">AVERAGE(AF10,AF11)</f>
        <v>69.104735227363108</v>
      </c>
      <c r="AH11" s="12">
        <f t="shared" si="0"/>
        <v>31.2</v>
      </c>
      <c r="AI11" s="12">
        <f t="shared" si="0"/>
        <v>8.5</v>
      </c>
      <c r="AJ11" s="12">
        <f t="shared" si="0"/>
        <v>35.799999999999997</v>
      </c>
      <c r="AK11" s="12">
        <f t="shared" si="0"/>
        <v>23.8</v>
      </c>
      <c r="AL11" s="12">
        <f t="shared" si="0"/>
        <v>1.95</v>
      </c>
      <c r="AM11" s="12">
        <f t="shared" si="0"/>
        <v>18.7</v>
      </c>
      <c r="AN11" s="12">
        <f t="shared" si="0"/>
        <v>16.149999999999999</v>
      </c>
      <c r="AO11" s="12">
        <f t="shared" si="0"/>
        <v>5.4</v>
      </c>
      <c r="AP11" s="12">
        <f t="shared" si="0"/>
        <v>39.200000000000003</v>
      </c>
      <c r="AQ11" s="12">
        <f t="shared" si="0"/>
        <v>27.1</v>
      </c>
      <c r="AR11" s="12">
        <f t="shared" si="1"/>
        <v>0.56899999999999995</v>
      </c>
      <c r="AS11" s="12">
        <f t="shared" si="1"/>
        <v>11.95</v>
      </c>
      <c r="AT11" s="12">
        <f t="shared" si="1"/>
        <v>49.7</v>
      </c>
      <c r="AU11" s="12">
        <f t="shared" si="1"/>
        <v>16.3</v>
      </c>
      <c r="AV11" s="12">
        <f t="shared" si="1"/>
        <v>74.3</v>
      </c>
      <c r="AW11" s="12">
        <f t="shared" si="1"/>
        <v>18.899999999999999</v>
      </c>
      <c r="AX11" s="12">
        <f t="shared" si="1"/>
        <v>14.1</v>
      </c>
      <c r="AY11" s="12">
        <f t="shared" si="1"/>
        <v>63.4</v>
      </c>
      <c r="AZ11" s="12">
        <f t="shared" si="1"/>
        <v>11.73</v>
      </c>
      <c r="BA11" s="12">
        <f t="shared" si="1"/>
        <v>81.400000000000006</v>
      </c>
      <c r="BB11" s="12">
        <f t="shared" si="2"/>
        <v>8.6999999999999993</v>
      </c>
      <c r="BC11" s="12">
        <f t="shared" si="2"/>
        <v>38.83</v>
      </c>
      <c r="BD11" s="12">
        <f t="shared" si="2"/>
        <v>18</v>
      </c>
      <c r="BE11" s="12">
        <f t="shared" si="2"/>
        <v>6.2</v>
      </c>
      <c r="BF11" s="12">
        <f t="shared" si="2"/>
        <v>1</v>
      </c>
      <c r="BG11" s="12">
        <f t="shared" si="2"/>
        <v>10.55</v>
      </c>
      <c r="BH11" s="12">
        <f t="shared" si="2"/>
        <v>9.6</v>
      </c>
      <c r="BI11" s="12">
        <f t="shared" si="2"/>
        <v>67.900000000000006</v>
      </c>
      <c r="BJ11" s="12">
        <f t="shared" si="2"/>
        <v>20.900000000000006</v>
      </c>
      <c r="BK11" s="12">
        <f t="shared" si="2"/>
        <v>59.154929577464792</v>
      </c>
      <c r="BL11" s="12">
        <f>INDEX(ovrTable,MATCH(INDEX(oppCol24,ROW()),ovrTeamCol,0),MATCH(MID(INDEX(headerRow,1,COLUMN()),4,LEN(INDEX(headerRow,1,COLUMN()))),ovrHeaderRow,0))</f>
        <v>33.5</v>
      </c>
      <c r="BM11" s="12">
        <f>INDEX(ovrTable,MATCH(INDEX(oppCol24,ROW()),ovrTeamCol,0),MATCH(MID(INDEX(headerRow,1,COLUMN()),4,LEN(INDEX(headerRow,1,COLUMN()))),ovrHeaderRow,0))</f>
        <v>8.9</v>
      </c>
      <c r="BN11" s="12">
        <f>INDEX(ovrTable,MATCH(INDEX(oppCol24,ROW()),ovrTeamCol,0),MATCH(MID(INDEX(headerRow,1,COLUMN()),4,LEN(INDEX(headerRow,1,COLUMN()))),ovrHeaderRow,0))</f>
        <v>36.5</v>
      </c>
      <c r="BO11" s="12">
        <f>INDEX(ovrTable,MATCH(INDEX(oppCol24,ROW()),ovrTeamCol,0),MATCH(MID(INDEX(headerRow,1,COLUMN()),4,LEN(INDEX(headerRow,1,COLUMN()))),ovrHeaderRow,0))</f>
        <v>24.5</v>
      </c>
      <c r="BP11" s="12">
        <f>INDEX(ovrTable,MATCH(INDEX(oppCol24,ROW()),ovrTeamCol,0),MATCH(MID(INDEX(headerRow,1,COLUMN()),4,LEN(INDEX(headerRow,1,COLUMN()))),ovrHeaderRow,0))</f>
        <v>1.26</v>
      </c>
      <c r="BQ11" s="12">
        <f>INDEX(ovrTable,MATCH(INDEX(oppCol24,ROW()),ovrTeamCol,0),MATCH(MID(INDEX(headerRow,1,COLUMN()),4,LEN(INDEX(headerRow,1,COLUMN()))),ovrHeaderRow,0))</f>
        <v>13.3</v>
      </c>
      <c r="BR11" s="12">
        <f>INDEX(ovrTable,MATCH(INDEX(oppCol24,ROW()),ovrTeamCol,0),MATCH(MID(INDEX(headerRow,1,COLUMN()),4,LEN(INDEX(headerRow,1,COLUMN()))),ovrHeaderRow,0))</f>
        <v>12.97</v>
      </c>
      <c r="BS11" s="12">
        <f>INDEX(ovrTable,MATCH(INDEX(oppCol24,ROW()),ovrTeamCol,0),MATCH(MID(INDEX(headerRow,1,COLUMN()),4,LEN(INDEX(headerRow,1,COLUMN()))),ovrHeaderRow,0))</f>
        <v>3.1</v>
      </c>
      <c r="BT11" s="12">
        <f>INDEX(ovrTable,MATCH(INDEX(oppCol24,ROW()),ovrTeamCol,0),MATCH(MID(INDEX(headerRow,1,COLUMN()),4,LEN(INDEX(headerRow,1,COLUMN()))),ovrHeaderRow,0))</f>
        <v>44.1</v>
      </c>
      <c r="BU11" s="12">
        <f>INDEX(ovrTable,MATCH(INDEX(oppCol24,ROW()),ovrTeamCol,0),MATCH(MID(INDEX(headerRow,1,COLUMN()),4,LEN(INDEX(headerRow,1,COLUMN()))),ovrHeaderRow,0))</f>
        <v>25.06</v>
      </c>
      <c r="BV11" s="12">
        <f>INDEX(ovrTable,MATCH(INDEX(oppCol24,ROW()),ovrTeamCol,0),MATCH(MID(INDEX(headerRow,1,COLUMN()),4,LEN(INDEX(headerRow,1,COLUMN()))),ovrHeaderRow,0))</f>
        <v>0.53900000000000003</v>
      </c>
      <c r="BW11" s="12">
        <f>INDEX(ovrTable,MATCH(INDEX(oppCol24,ROW()),ovrTeamCol,0),MATCH(MID(INDEX(headerRow,1,COLUMN()),4,LEN(INDEX(headerRow,1,COLUMN()))),ovrHeaderRow,0))</f>
        <v>9.74</v>
      </c>
      <c r="BX11" s="12">
        <f>INDEX(ovrTable,MATCH(INDEX(oppCol24,ROW()),ovrTeamCol,0),MATCH(MID(INDEX(headerRow,1,COLUMN()),4,LEN(INDEX(headerRow,1,COLUMN()))),ovrHeaderRow,0))</f>
        <v>46.3</v>
      </c>
      <c r="BY11" s="12">
        <f>INDEX(ovrTable,MATCH(INDEX(oppCol24,ROW()),ovrTeamCol,0),MATCH(MID(INDEX(headerRow,1,COLUMN()),4,LEN(INDEX(headerRow,1,COLUMN()))),ovrHeaderRow,0))</f>
        <v>14.7</v>
      </c>
      <c r="BZ11" s="12">
        <f>INDEX(ovrTable,MATCH(INDEX(oppCol24,ROW()),ovrTeamCol,0),MATCH(MID(INDEX(headerRow,1,COLUMN()),4,LEN(INDEX(headerRow,1,COLUMN()))),ovrHeaderRow,0))</f>
        <v>76.599999999999994</v>
      </c>
      <c r="CA11" s="12">
        <f>INDEX(ovrTable,MATCH(INDEX(oppCol24,ROW()),ovrTeamCol,0),MATCH(MID(INDEX(headerRow,1,COLUMN()),4,LEN(INDEX(headerRow,1,COLUMN()))),ovrHeaderRow,0))</f>
        <v>17.7</v>
      </c>
      <c r="CB11" s="12">
        <f>INDEX(ovrTable,MATCH(INDEX(oppCol24,ROW()),ovrTeamCol,0),MATCH(MID(INDEX(headerRow,1,COLUMN()),4,LEN(INDEX(headerRow,1,COLUMN()))),ovrHeaderRow,0))</f>
        <v>13.5</v>
      </c>
      <c r="CC11" s="12">
        <f>INDEX(ovrTable,MATCH(INDEX(oppCol24,ROW()),ovrTeamCol,0),MATCH(MID(INDEX(headerRow,1,COLUMN()),4,LEN(INDEX(headerRow,1,COLUMN()))),ovrHeaderRow,0))</f>
        <v>73.3</v>
      </c>
      <c r="CD11" s="12">
        <f>INDEX(ovrTable,MATCH(INDEX(oppCol24,ROW()),ovrTeamCol,0),MATCH(MID(INDEX(headerRow,1,COLUMN()),4,LEN(INDEX(headerRow,1,COLUMN()))),ovrHeaderRow,0))</f>
        <v>9.69</v>
      </c>
      <c r="CE11" s="12">
        <f>INDEX(ovrTable,MATCH(INDEX(oppCol24,ROW()),ovrTeamCol,0),MATCH(MID(INDEX(headerRow,1,COLUMN()),4,LEN(INDEX(headerRow,1,COLUMN()))),ovrHeaderRow,0))</f>
        <v>76.8</v>
      </c>
      <c r="CF11" s="12">
        <f>INDEX(ovrTable,MATCH(INDEX(oppCol24,ROW()),ovrTeamCol,0),MATCH(MID(INDEX(headerRow,1,COLUMN()),4,LEN(INDEX(headerRow,1,COLUMN()))),ovrHeaderRow,0))</f>
        <v>0.1</v>
      </c>
      <c r="CG11" s="12">
        <f>INDEX(ovrTable,MATCH(INDEX(oppCol24,ROW()),ovrTeamCol,0),MATCH(MID(INDEX(headerRow,1,COLUMN()),4,LEN(INDEX(headerRow,1,COLUMN()))),ovrHeaderRow,0))</f>
        <v>34.74</v>
      </c>
      <c r="CH11" s="12">
        <f>INDEX(ovrTable,MATCH(INDEX(oppCol24,ROW()),ovrTeamCol,0),MATCH(MID(INDEX(headerRow,1,COLUMN()),4,LEN(INDEX(headerRow,1,COLUMN()))),ovrHeaderRow,0))</f>
        <v>3.5</v>
      </c>
      <c r="CI11" s="12">
        <f>INDEX(ovrTable,MATCH(INDEX(oppCol24,ROW()),ovrTeamCol,0),MATCH(MID(INDEX(headerRow,1,COLUMN()),4,LEN(INDEX(headerRow,1,COLUMN()))),ovrHeaderRow,0))</f>
        <v>5.3</v>
      </c>
      <c r="CJ11" s="12">
        <f>INDEX(ovrTable,MATCH(INDEX(oppCol24,ROW()),ovrTeamCol,0),MATCH(MID(INDEX(headerRow,1,COLUMN()),4,LEN(INDEX(headerRow,1,COLUMN()))),ovrHeaderRow,0))</f>
        <v>-1</v>
      </c>
      <c r="CK11" s="12">
        <f>INDEX(ovrTable,MATCH(INDEX(oppCol24,ROW()),ovrTeamCol,0),MATCH(MID(INDEX(headerRow,1,COLUMN()),4,LEN(INDEX(headerRow,1,COLUMN()))),ovrHeaderRow,0))</f>
        <v>9.57</v>
      </c>
      <c r="CL11" s="12">
        <f>INDEX(ovrTable,MATCH(INDEX(oppCol24,ROW()),ovrTeamCol,0),MATCH(MID(INDEX(headerRow,1,COLUMN()),4,LEN(INDEX(headerRow,1,COLUMN()))),ovrHeaderRow,0))</f>
        <v>10.5</v>
      </c>
      <c r="CM11" s="12">
        <f>INDEX(ovrTable,MATCH(INDEX(oppCol24,ROW()),ovrTeamCol,0),MATCH(MID(INDEX(headerRow,1,COLUMN()),4,LEN(INDEX(headerRow,1,COLUMN()))),ovrHeaderRow,0))</f>
        <v>68.3</v>
      </c>
      <c r="CN11" s="12">
        <f>INDEX(ovrTable,MATCH(INDEX(oppCol24,ROW()),ovrTeamCol,0),MATCH(MID(INDEX(headerRow,1,COLUMN()),4,LEN(INDEX(headerRow,1,COLUMN()))),ovrHeaderRow,0))</f>
        <v>18.299999999999997</v>
      </c>
      <c r="CO11" s="12">
        <f>INDEX(ovrTable,MATCH(INDEX(oppCol24,ROW()),ovrTeamCol,0),MATCH(MID(INDEX(headerRow,1,COLUMN()),4,LEN(INDEX(headerRow,1,COLUMN()))),ovrHeaderRow,0))</f>
        <v>58.747300215982712</v>
      </c>
    </row>
    <row r="12" spans="1:93" x14ac:dyDescent="0.3">
      <c r="A12" s="6" t="s">
        <v>9</v>
      </c>
      <c r="B12" s="3">
        <v>8</v>
      </c>
      <c r="C12" s="13" t="s">
        <v>10</v>
      </c>
      <c r="D12" s="14">
        <v>6</v>
      </c>
      <c r="E12" s="23">
        <v>34.782608695652172</v>
      </c>
      <c r="F12" s="24">
        <v>5</v>
      </c>
      <c r="G12" s="23">
        <v>18.518518518518519</v>
      </c>
      <c r="H12" s="24">
        <v>27</v>
      </c>
      <c r="I12" s="25">
        <v>0.47619047619047616</v>
      </c>
      <c r="J12" s="24">
        <v>10</v>
      </c>
      <c r="K12" s="24">
        <v>12</v>
      </c>
      <c r="L12" s="24">
        <v>5</v>
      </c>
      <c r="M12" s="24">
        <v>42</v>
      </c>
      <c r="N12" s="24">
        <v>29</v>
      </c>
      <c r="O12" s="26">
        <v>0.42986363636363639</v>
      </c>
      <c r="P12" s="24">
        <v>4</v>
      </c>
      <c r="Q12" s="24">
        <v>38.6</v>
      </c>
      <c r="R12" s="24">
        <v>17</v>
      </c>
      <c r="S12" s="23">
        <v>76.19047619047619</v>
      </c>
      <c r="T12" s="24">
        <v>21</v>
      </c>
      <c r="U12" s="24">
        <v>16</v>
      </c>
      <c r="V12" s="24">
        <v>77</v>
      </c>
      <c r="W12" s="24">
        <v>9</v>
      </c>
      <c r="X12" s="24">
        <v>65</v>
      </c>
      <c r="Y12" s="24">
        <v>-3</v>
      </c>
      <c r="Z12" s="24">
        <v>38</v>
      </c>
      <c r="AA12" s="24">
        <v>-12</v>
      </c>
      <c r="AB12" s="24">
        <v>9</v>
      </c>
      <c r="AC12" s="24">
        <v>-9</v>
      </c>
      <c r="AD12" s="24">
        <v>12</v>
      </c>
      <c r="AE12" s="24">
        <v>21</v>
      </c>
      <c r="AF12" s="46">
        <f t="shared" si="3"/>
        <v>78.969818652849739</v>
      </c>
      <c r="AG12" s="51">
        <f t="shared" ref="AG12" si="12">AVERAGE(AF12,AF13)</f>
        <v>77.071218850234402</v>
      </c>
      <c r="AH12" s="12">
        <f t="shared" ref="AH12:AQ21" si="13">INDEX(ovrTable,MATCH(INDEX(teamCol,ROW()),ovrTeamCol,0),MATCH(MID(INDEX(headerRow,1,COLUMN()),4,LEN(INDEX(headerRow,1,COLUMN()))),ovrHeaderRow,0))</f>
        <v>33.700000000000003</v>
      </c>
      <c r="AI12" s="12">
        <f t="shared" si="13"/>
        <v>8.4</v>
      </c>
      <c r="AJ12" s="12">
        <f t="shared" si="13"/>
        <v>35.1</v>
      </c>
      <c r="AK12" s="12">
        <f t="shared" si="13"/>
        <v>23.8</v>
      </c>
      <c r="AL12" s="12">
        <f t="shared" si="13"/>
        <v>1.3</v>
      </c>
      <c r="AM12" s="12">
        <f t="shared" si="13"/>
        <v>14.9</v>
      </c>
      <c r="AN12" s="12">
        <f t="shared" si="13"/>
        <v>20.18</v>
      </c>
      <c r="AO12" s="12">
        <f t="shared" si="13"/>
        <v>3.1</v>
      </c>
      <c r="AP12" s="12">
        <f t="shared" si="13"/>
        <v>43.5</v>
      </c>
      <c r="AQ12" s="12">
        <f t="shared" si="13"/>
        <v>26.41</v>
      </c>
      <c r="AR12" s="12">
        <f t="shared" ref="AR12:BA21" si="14">INDEX(ovrTable,MATCH(INDEX(teamCol,ROW()),ovrTeamCol,0),MATCH(MID(INDEX(headerRow,1,COLUMN()),4,LEN(INDEX(headerRow,1,COLUMN()))),ovrHeaderRow,0))</f>
        <v>0.54700000000000004</v>
      </c>
      <c r="AS12" s="12">
        <f t="shared" si="14"/>
        <v>13.03</v>
      </c>
      <c r="AT12" s="12">
        <f t="shared" si="14"/>
        <v>47.8</v>
      </c>
      <c r="AU12" s="12">
        <f t="shared" si="14"/>
        <v>16.100000000000001</v>
      </c>
      <c r="AV12" s="12">
        <f t="shared" si="14"/>
        <v>72</v>
      </c>
      <c r="AW12" s="12">
        <f t="shared" si="14"/>
        <v>21.3</v>
      </c>
      <c r="AX12" s="12">
        <f t="shared" si="14"/>
        <v>15.3</v>
      </c>
      <c r="AY12" s="12">
        <f t="shared" si="14"/>
        <v>73.400000000000006</v>
      </c>
      <c r="AZ12" s="12">
        <f t="shared" si="14"/>
        <v>11.65</v>
      </c>
      <c r="BA12" s="12">
        <f t="shared" si="14"/>
        <v>82</v>
      </c>
      <c r="BB12" s="12">
        <f t="shared" ref="BB12:BK21" si="15">INDEX(ovrTable,MATCH(INDEX(teamCol,ROW()),ovrTeamCol,0),MATCH(MID(INDEX(headerRow,1,COLUMN()),4,LEN(INDEX(headerRow,1,COLUMN()))),ovrHeaderRow,0))</f>
        <v>4</v>
      </c>
      <c r="BC12" s="12">
        <f t="shared" si="15"/>
        <v>38.06</v>
      </c>
      <c r="BD12" s="12">
        <f t="shared" si="15"/>
        <v>8.6</v>
      </c>
      <c r="BE12" s="12">
        <f t="shared" si="15"/>
        <v>7.2</v>
      </c>
      <c r="BF12" s="12">
        <f t="shared" si="15"/>
        <v>0.2</v>
      </c>
      <c r="BG12" s="12">
        <f t="shared" si="15"/>
        <v>11.59</v>
      </c>
      <c r="BH12" s="12">
        <f t="shared" si="15"/>
        <v>11.4</v>
      </c>
      <c r="BI12" s="12">
        <f t="shared" si="15"/>
        <v>72.3</v>
      </c>
      <c r="BJ12" s="12">
        <f t="shared" si="15"/>
        <v>20.75</v>
      </c>
      <c r="BK12" s="12">
        <f t="shared" si="15"/>
        <v>60.98326359832636</v>
      </c>
      <c r="BL12" s="12">
        <f>INDEX(ovrTable,MATCH(INDEX(oppCol24,ROW()),ovrTeamCol,0),MATCH(MID(INDEX(headerRow,1,COLUMN()),4,LEN(INDEX(headerRow,1,COLUMN()))),ovrHeaderRow,0))</f>
        <v>34.4</v>
      </c>
      <c r="BM12" s="12">
        <f>INDEX(ovrTable,MATCH(INDEX(oppCol24,ROW()),ovrTeamCol,0),MATCH(MID(INDEX(headerRow,1,COLUMN()),4,LEN(INDEX(headerRow,1,COLUMN()))),ovrHeaderRow,0))</f>
        <v>8.1999999999999993</v>
      </c>
      <c r="BN12" s="12">
        <f>INDEX(ovrTable,MATCH(INDEX(oppCol24,ROW()),ovrTeamCol,0),MATCH(MID(INDEX(headerRow,1,COLUMN()),4,LEN(INDEX(headerRow,1,COLUMN()))),ovrHeaderRow,0))</f>
        <v>39</v>
      </c>
      <c r="BO12" s="12">
        <f>INDEX(ovrTable,MATCH(INDEX(oppCol24,ROW()),ovrTeamCol,0),MATCH(MID(INDEX(headerRow,1,COLUMN()),4,LEN(INDEX(headerRow,1,COLUMN()))),ovrHeaderRow,0))</f>
        <v>21</v>
      </c>
      <c r="BP12" s="12">
        <f>INDEX(ovrTable,MATCH(INDEX(oppCol24,ROW()),ovrTeamCol,0),MATCH(MID(INDEX(headerRow,1,COLUMN()),4,LEN(INDEX(headerRow,1,COLUMN()))),ovrHeaderRow,0))</f>
        <v>1.77</v>
      </c>
      <c r="BQ12" s="12">
        <f>INDEX(ovrTable,MATCH(INDEX(oppCol24,ROW()),ovrTeamCol,0),MATCH(MID(INDEX(headerRow,1,COLUMN()),4,LEN(INDEX(headerRow,1,COLUMN()))),ovrHeaderRow,0))</f>
        <v>15.6</v>
      </c>
      <c r="BR12" s="12">
        <f>INDEX(ovrTable,MATCH(INDEX(oppCol24,ROW()),ovrTeamCol,0),MATCH(MID(INDEX(headerRow,1,COLUMN()),4,LEN(INDEX(headerRow,1,COLUMN()))),ovrHeaderRow,0))</f>
        <v>10.76</v>
      </c>
      <c r="BS12" s="12">
        <f>INDEX(ovrTable,MATCH(INDEX(oppCol24,ROW()),ovrTeamCol,0),MATCH(MID(INDEX(headerRow,1,COLUMN()),4,LEN(INDEX(headerRow,1,COLUMN()))),ovrHeaderRow,0))</f>
        <v>3.1</v>
      </c>
      <c r="BT12" s="12">
        <f>INDEX(ovrTable,MATCH(INDEX(oppCol24,ROW()),ovrTeamCol,0),MATCH(MID(INDEX(headerRow,1,COLUMN()),4,LEN(INDEX(headerRow,1,COLUMN()))),ovrHeaderRow,0))</f>
        <v>45.1</v>
      </c>
      <c r="BU12" s="12">
        <f>INDEX(ovrTable,MATCH(INDEX(oppCol24,ROW()),ovrTeamCol,0),MATCH(MID(INDEX(headerRow,1,COLUMN()),4,LEN(INDEX(headerRow,1,COLUMN()))),ovrHeaderRow,0))</f>
        <v>22.88</v>
      </c>
      <c r="BV12" s="12">
        <f>INDEX(ovrTable,MATCH(INDEX(oppCol24,ROW()),ovrTeamCol,0),MATCH(MID(INDEX(headerRow,1,COLUMN()),4,LEN(INDEX(headerRow,1,COLUMN()))),ovrHeaderRow,0))</f>
        <v>0.52600000000000002</v>
      </c>
      <c r="BW12" s="12">
        <f>INDEX(ovrTable,MATCH(INDEX(oppCol24,ROW()),ovrTeamCol,0),MATCH(MID(INDEX(headerRow,1,COLUMN()),4,LEN(INDEX(headerRow,1,COLUMN()))),ovrHeaderRow,0))</f>
        <v>6</v>
      </c>
      <c r="BX12" s="12">
        <f>INDEX(ovrTable,MATCH(INDEX(oppCol24,ROW()),ovrTeamCol,0),MATCH(MID(INDEX(headerRow,1,COLUMN()),4,LEN(INDEX(headerRow,1,COLUMN()))),ovrHeaderRow,0))</f>
        <v>45.5</v>
      </c>
      <c r="BY12" s="12">
        <f>INDEX(ovrTable,MATCH(INDEX(oppCol24,ROW()),ovrTeamCol,0),MATCH(MID(INDEX(headerRow,1,COLUMN()),4,LEN(INDEX(headerRow,1,COLUMN()))),ovrHeaderRow,0))</f>
        <v>17.600000000000001</v>
      </c>
      <c r="BZ12" s="12">
        <f>INDEX(ovrTable,MATCH(INDEX(oppCol24,ROW()),ovrTeamCol,0),MATCH(MID(INDEX(headerRow,1,COLUMN()),4,LEN(INDEX(headerRow,1,COLUMN()))),ovrHeaderRow,0))</f>
        <v>75.2</v>
      </c>
      <c r="CA12" s="12">
        <f>INDEX(ovrTable,MATCH(INDEX(oppCol24,ROW()),ovrTeamCol,0),MATCH(MID(INDEX(headerRow,1,COLUMN()),4,LEN(INDEX(headerRow,1,COLUMN()))),ovrHeaderRow,0))</f>
        <v>16.899999999999999</v>
      </c>
      <c r="CB12" s="12">
        <f>INDEX(ovrTable,MATCH(INDEX(oppCol24,ROW()),ovrTeamCol,0),MATCH(MID(INDEX(headerRow,1,COLUMN()),4,LEN(INDEX(headerRow,1,COLUMN()))),ovrHeaderRow,0))</f>
        <v>12.7</v>
      </c>
      <c r="CC12" s="12">
        <f>INDEX(ovrTable,MATCH(INDEX(oppCol24,ROW()),ovrTeamCol,0),MATCH(MID(INDEX(headerRow,1,COLUMN()),4,LEN(INDEX(headerRow,1,COLUMN()))),ovrHeaderRow,0))</f>
        <v>69.099999999999994</v>
      </c>
      <c r="CD12" s="12">
        <f>INDEX(ovrTable,MATCH(INDEX(oppCol24,ROW()),ovrTeamCol,0),MATCH(MID(INDEX(headerRow,1,COLUMN()),4,LEN(INDEX(headerRow,1,COLUMN()))),ovrHeaderRow,0))</f>
        <v>8.5299999999999994</v>
      </c>
      <c r="CE12" s="12">
        <f>INDEX(ovrTable,MATCH(INDEX(oppCol24,ROW()),ovrTeamCol,0),MATCH(MID(INDEX(headerRow,1,COLUMN()),4,LEN(INDEX(headerRow,1,COLUMN()))),ovrHeaderRow,0))</f>
        <v>73.3</v>
      </c>
      <c r="CF12" s="12">
        <f>INDEX(ovrTable,MATCH(INDEX(oppCol24,ROW()),ovrTeamCol,0),MATCH(MID(INDEX(headerRow,1,COLUMN()),4,LEN(INDEX(headerRow,1,COLUMN()))),ovrHeaderRow,0))</f>
        <v>-2</v>
      </c>
      <c r="CG12" s="12">
        <f>INDEX(ovrTable,MATCH(INDEX(oppCol24,ROW()),ovrTeamCol,0),MATCH(MID(INDEX(headerRow,1,COLUMN()),4,LEN(INDEX(headerRow,1,COLUMN()))),ovrHeaderRow,0))</f>
        <v>31.41</v>
      </c>
      <c r="CH12" s="12">
        <f>INDEX(ovrTable,MATCH(INDEX(oppCol24,ROW()),ovrTeamCol,0),MATCH(MID(INDEX(headerRow,1,COLUMN()),4,LEN(INDEX(headerRow,1,COLUMN()))),ovrHeaderRow,0))</f>
        <v>4.3</v>
      </c>
      <c r="CI12" s="12">
        <f>INDEX(ovrTable,MATCH(INDEX(oppCol24,ROW()),ovrTeamCol,0),MATCH(MID(INDEX(headerRow,1,COLUMN()),4,LEN(INDEX(headerRow,1,COLUMN()))),ovrHeaderRow,0))</f>
        <v>7</v>
      </c>
      <c r="CJ12" s="12">
        <f>INDEX(ovrTable,MATCH(INDEX(oppCol24,ROW()),ovrTeamCol,0),MATCH(MID(INDEX(headerRow,1,COLUMN()),4,LEN(INDEX(headerRow,1,COLUMN()))),ovrHeaderRow,0))</f>
        <v>3.6</v>
      </c>
      <c r="CK12" s="12">
        <f>INDEX(ovrTable,MATCH(INDEX(oppCol24,ROW()),ovrTeamCol,0),MATCH(MID(INDEX(headerRow,1,COLUMN()),4,LEN(INDEX(headerRow,1,COLUMN()))),ovrHeaderRow,0))</f>
        <v>12.41</v>
      </c>
      <c r="CL12" s="12">
        <f>INDEX(ovrTable,MATCH(INDEX(oppCol24,ROW()),ovrTeamCol,0),MATCH(MID(INDEX(headerRow,1,COLUMN()),4,LEN(INDEX(headerRow,1,COLUMN()))),ovrHeaderRow,0))</f>
        <v>8.8000000000000007</v>
      </c>
      <c r="CM12" s="12">
        <f>INDEX(ovrTable,MATCH(INDEX(oppCol24,ROW()),ovrTeamCol,0),MATCH(MID(INDEX(headerRow,1,COLUMN()),4,LEN(INDEX(headerRow,1,COLUMN()))),ovrHeaderRow,0))</f>
        <v>67.3</v>
      </c>
      <c r="CN12" s="12">
        <f>INDEX(ovrTable,MATCH(INDEX(oppCol24,ROW()),ovrTeamCol,0),MATCH(MID(INDEX(headerRow,1,COLUMN()),4,LEN(INDEX(headerRow,1,COLUMN()))),ovrHeaderRow,0))</f>
        <v>18</v>
      </c>
      <c r="CO12" s="12">
        <f>INDEX(ovrTable,MATCH(INDEX(oppCol24,ROW()),ovrTeamCol,0),MATCH(MID(INDEX(headerRow,1,COLUMN()),4,LEN(INDEX(headerRow,1,COLUMN()))),ovrHeaderRow,0))</f>
        <v>57.582417582417584</v>
      </c>
    </row>
    <row r="13" spans="1:93" x14ac:dyDescent="0.3">
      <c r="A13" s="6" t="s">
        <v>10</v>
      </c>
      <c r="B13" s="3">
        <v>9</v>
      </c>
      <c r="C13" s="13" t="s">
        <v>9</v>
      </c>
      <c r="D13" s="14">
        <v>6</v>
      </c>
      <c r="E13" s="23">
        <v>18.518518518518519</v>
      </c>
      <c r="F13" s="24">
        <v>8</v>
      </c>
      <c r="G13" s="23">
        <v>34.782608695652172</v>
      </c>
      <c r="H13" s="24">
        <v>23</v>
      </c>
      <c r="I13" s="25">
        <v>1.6666666666666667</v>
      </c>
      <c r="J13" s="24">
        <v>20</v>
      </c>
      <c r="K13" s="24">
        <v>3</v>
      </c>
      <c r="L13" s="24">
        <v>1</v>
      </c>
      <c r="M13" s="24">
        <v>38.6</v>
      </c>
      <c r="N13" s="24">
        <v>28</v>
      </c>
      <c r="O13" s="26">
        <v>0.47793103448275864</v>
      </c>
      <c r="P13" s="24">
        <v>4</v>
      </c>
      <c r="Q13" s="24">
        <v>42</v>
      </c>
      <c r="R13" s="24">
        <v>13</v>
      </c>
      <c r="S13" s="23">
        <v>73.333333333333329</v>
      </c>
      <c r="T13" s="24">
        <v>15</v>
      </c>
      <c r="U13" s="24">
        <v>11</v>
      </c>
      <c r="V13" s="24">
        <v>65</v>
      </c>
      <c r="W13" s="24">
        <v>13</v>
      </c>
      <c r="X13" s="24">
        <v>77</v>
      </c>
      <c r="Y13" s="24">
        <v>3</v>
      </c>
      <c r="Z13" s="24">
        <v>41</v>
      </c>
      <c r="AA13" s="24">
        <v>12</v>
      </c>
      <c r="AB13" s="24">
        <v>12</v>
      </c>
      <c r="AC13" s="24">
        <v>9</v>
      </c>
      <c r="AD13" s="24">
        <v>21</v>
      </c>
      <c r="AE13" s="24">
        <v>12</v>
      </c>
      <c r="AF13" s="46">
        <f t="shared" si="3"/>
        <v>75.172619047619051</v>
      </c>
      <c r="AG13" s="51">
        <f t="shared" ref="AG13" si="16">AVERAGE(AF12,AF13)</f>
        <v>77.071218850234402</v>
      </c>
      <c r="AH13" s="12">
        <f t="shared" si="13"/>
        <v>34.4</v>
      </c>
      <c r="AI13" s="12">
        <f t="shared" si="13"/>
        <v>8.1999999999999993</v>
      </c>
      <c r="AJ13" s="12">
        <f t="shared" si="13"/>
        <v>39</v>
      </c>
      <c r="AK13" s="12">
        <f t="shared" si="13"/>
        <v>21</v>
      </c>
      <c r="AL13" s="12">
        <f t="shared" si="13"/>
        <v>1.77</v>
      </c>
      <c r="AM13" s="12">
        <f t="shared" si="13"/>
        <v>15.6</v>
      </c>
      <c r="AN13" s="12">
        <f t="shared" si="13"/>
        <v>10.76</v>
      </c>
      <c r="AO13" s="12">
        <f t="shared" si="13"/>
        <v>3.1</v>
      </c>
      <c r="AP13" s="12">
        <f t="shared" si="13"/>
        <v>45.1</v>
      </c>
      <c r="AQ13" s="12">
        <f t="shared" si="13"/>
        <v>22.88</v>
      </c>
      <c r="AR13" s="12">
        <f t="shared" si="14"/>
        <v>0.52600000000000002</v>
      </c>
      <c r="AS13" s="12">
        <f t="shared" si="14"/>
        <v>6</v>
      </c>
      <c r="AT13" s="12">
        <f t="shared" si="14"/>
        <v>45.5</v>
      </c>
      <c r="AU13" s="12">
        <f t="shared" si="14"/>
        <v>17.600000000000001</v>
      </c>
      <c r="AV13" s="12">
        <f t="shared" si="14"/>
        <v>75.2</v>
      </c>
      <c r="AW13" s="12">
        <f t="shared" si="14"/>
        <v>16.899999999999999</v>
      </c>
      <c r="AX13" s="12">
        <f t="shared" si="14"/>
        <v>12.7</v>
      </c>
      <c r="AY13" s="12">
        <f t="shared" si="14"/>
        <v>69.099999999999994</v>
      </c>
      <c r="AZ13" s="12">
        <f t="shared" si="14"/>
        <v>8.5299999999999994</v>
      </c>
      <c r="BA13" s="12">
        <f t="shared" si="14"/>
        <v>73.3</v>
      </c>
      <c r="BB13" s="12">
        <f t="shared" si="15"/>
        <v>-2</v>
      </c>
      <c r="BC13" s="12">
        <f t="shared" si="15"/>
        <v>31.41</v>
      </c>
      <c r="BD13" s="12">
        <f t="shared" si="15"/>
        <v>4.3</v>
      </c>
      <c r="BE13" s="12">
        <f t="shared" si="15"/>
        <v>7</v>
      </c>
      <c r="BF13" s="12">
        <f t="shared" si="15"/>
        <v>3.6</v>
      </c>
      <c r="BG13" s="12">
        <f t="shared" si="15"/>
        <v>12.41</v>
      </c>
      <c r="BH13" s="12">
        <f t="shared" si="15"/>
        <v>8.8000000000000007</v>
      </c>
      <c r="BI13" s="12">
        <f t="shared" si="15"/>
        <v>67.3</v>
      </c>
      <c r="BJ13" s="12">
        <f t="shared" si="15"/>
        <v>18</v>
      </c>
      <c r="BK13" s="12">
        <f t="shared" si="15"/>
        <v>57.582417582417584</v>
      </c>
      <c r="BL13" s="12">
        <f>INDEX(ovrTable,MATCH(INDEX(oppCol24,ROW()),ovrTeamCol,0),MATCH(MID(INDEX(headerRow,1,COLUMN()),4,LEN(INDEX(headerRow,1,COLUMN()))),ovrHeaderRow,0))</f>
        <v>33.700000000000003</v>
      </c>
      <c r="BM13" s="12">
        <f>INDEX(ovrTable,MATCH(INDEX(oppCol24,ROW()),ovrTeamCol,0),MATCH(MID(INDEX(headerRow,1,COLUMN()),4,LEN(INDEX(headerRow,1,COLUMN()))),ovrHeaderRow,0))</f>
        <v>8.4</v>
      </c>
      <c r="BN13" s="12">
        <f>INDEX(ovrTable,MATCH(INDEX(oppCol24,ROW()),ovrTeamCol,0),MATCH(MID(INDEX(headerRow,1,COLUMN()),4,LEN(INDEX(headerRow,1,COLUMN()))),ovrHeaderRow,0))</f>
        <v>35.1</v>
      </c>
      <c r="BO13" s="12">
        <f>INDEX(ovrTable,MATCH(INDEX(oppCol24,ROW()),ovrTeamCol,0),MATCH(MID(INDEX(headerRow,1,COLUMN()),4,LEN(INDEX(headerRow,1,COLUMN()))),ovrHeaderRow,0))</f>
        <v>23.8</v>
      </c>
      <c r="BP13" s="12">
        <f>INDEX(ovrTable,MATCH(INDEX(oppCol24,ROW()),ovrTeamCol,0),MATCH(MID(INDEX(headerRow,1,COLUMN()),4,LEN(INDEX(headerRow,1,COLUMN()))),ovrHeaderRow,0))</f>
        <v>1.3</v>
      </c>
      <c r="BQ13" s="12">
        <f>INDEX(ovrTable,MATCH(INDEX(oppCol24,ROW()),ovrTeamCol,0),MATCH(MID(INDEX(headerRow,1,COLUMN()),4,LEN(INDEX(headerRow,1,COLUMN()))),ovrHeaderRow,0))</f>
        <v>14.9</v>
      </c>
      <c r="BR13" s="12">
        <f>INDEX(ovrTable,MATCH(INDEX(oppCol24,ROW()),ovrTeamCol,0),MATCH(MID(INDEX(headerRow,1,COLUMN()),4,LEN(INDEX(headerRow,1,COLUMN()))),ovrHeaderRow,0))</f>
        <v>20.18</v>
      </c>
      <c r="BS13" s="12">
        <f>INDEX(ovrTable,MATCH(INDEX(oppCol24,ROW()),ovrTeamCol,0),MATCH(MID(INDEX(headerRow,1,COLUMN()),4,LEN(INDEX(headerRow,1,COLUMN()))),ovrHeaderRow,0))</f>
        <v>3.1</v>
      </c>
      <c r="BT13" s="12">
        <f>INDEX(ovrTable,MATCH(INDEX(oppCol24,ROW()),ovrTeamCol,0),MATCH(MID(INDEX(headerRow,1,COLUMN()),4,LEN(INDEX(headerRow,1,COLUMN()))),ovrHeaderRow,0))</f>
        <v>43.5</v>
      </c>
      <c r="BU13" s="12">
        <f>INDEX(ovrTable,MATCH(INDEX(oppCol24,ROW()),ovrTeamCol,0),MATCH(MID(INDEX(headerRow,1,COLUMN()),4,LEN(INDEX(headerRow,1,COLUMN()))),ovrHeaderRow,0))</f>
        <v>26.41</v>
      </c>
      <c r="BV13" s="12">
        <f>INDEX(ovrTable,MATCH(INDEX(oppCol24,ROW()),ovrTeamCol,0),MATCH(MID(INDEX(headerRow,1,COLUMN()),4,LEN(INDEX(headerRow,1,COLUMN()))),ovrHeaderRow,0))</f>
        <v>0.54700000000000004</v>
      </c>
      <c r="BW13" s="12">
        <f>INDEX(ovrTable,MATCH(INDEX(oppCol24,ROW()),ovrTeamCol,0),MATCH(MID(INDEX(headerRow,1,COLUMN()),4,LEN(INDEX(headerRow,1,COLUMN()))),ovrHeaderRow,0))</f>
        <v>13.03</v>
      </c>
      <c r="BX13" s="12">
        <f>INDEX(ovrTable,MATCH(INDEX(oppCol24,ROW()),ovrTeamCol,0),MATCH(MID(INDEX(headerRow,1,COLUMN()),4,LEN(INDEX(headerRow,1,COLUMN()))),ovrHeaderRow,0))</f>
        <v>47.8</v>
      </c>
      <c r="BY13" s="12">
        <f>INDEX(ovrTable,MATCH(INDEX(oppCol24,ROW()),ovrTeamCol,0),MATCH(MID(INDEX(headerRow,1,COLUMN()),4,LEN(INDEX(headerRow,1,COLUMN()))),ovrHeaderRow,0))</f>
        <v>16.100000000000001</v>
      </c>
      <c r="BZ13" s="12">
        <f>INDEX(ovrTable,MATCH(INDEX(oppCol24,ROW()),ovrTeamCol,0),MATCH(MID(INDEX(headerRow,1,COLUMN()),4,LEN(INDEX(headerRow,1,COLUMN()))),ovrHeaderRow,0))</f>
        <v>72</v>
      </c>
      <c r="CA13" s="12">
        <f>INDEX(ovrTable,MATCH(INDEX(oppCol24,ROW()),ovrTeamCol,0),MATCH(MID(INDEX(headerRow,1,COLUMN()),4,LEN(INDEX(headerRow,1,COLUMN()))),ovrHeaderRow,0))</f>
        <v>21.3</v>
      </c>
      <c r="CB13" s="12">
        <f>INDEX(ovrTable,MATCH(INDEX(oppCol24,ROW()),ovrTeamCol,0),MATCH(MID(INDEX(headerRow,1,COLUMN()),4,LEN(INDEX(headerRow,1,COLUMN()))),ovrHeaderRow,0))</f>
        <v>15.3</v>
      </c>
      <c r="CC13" s="12">
        <f>INDEX(ovrTable,MATCH(INDEX(oppCol24,ROW()),ovrTeamCol,0),MATCH(MID(INDEX(headerRow,1,COLUMN()),4,LEN(INDEX(headerRow,1,COLUMN()))),ovrHeaderRow,0))</f>
        <v>73.400000000000006</v>
      </c>
      <c r="CD13" s="12">
        <f>INDEX(ovrTable,MATCH(INDEX(oppCol24,ROW()),ovrTeamCol,0),MATCH(MID(INDEX(headerRow,1,COLUMN()),4,LEN(INDEX(headerRow,1,COLUMN()))),ovrHeaderRow,0))</f>
        <v>11.65</v>
      </c>
      <c r="CE13" s="12">
        <f>INDEX(ovrTable,MATCH(INDEX(oppCol24,ROW()),ovrTeamCol,0),MATCH(MID(INDEX(headerRow,1,COLUMN()),4,LEN(INDEX(headerRow,1,COLUMN()))),ovrHeaderRow,0))</f>
        <v>82</v>
      </c>
      <c r="CF13" s="12">
        <f>INDEX(ovrTable,MATCH(INDEX(oppCol24,ROW()),ovrTeamCol,0),MATCH(MID(INDEX(headerRow,1,COLUMN()),4,LEN(INDEX(headerRow,1,COLUMN()))),ovrHeaderRow,0))</f>
        <v>4</v>
      </c>
      <c r="CG13" s="12">
        <f>INDEX(ovrTable,MATCH(INDEX(oppCol24,ROW()),ovrTeamCol,0),MATCH(MID(INDEX(headerRow,1,COLUMN()),4,LEN(INDEX(headerRow,1,COLUMN()))),ovrHeaderRow,0))</f>
        <v>38.06</v>
      </c>
      <c r="CH13" s="12">
        <f>INDEX(ovrTable,MATCH(INDEX(oppCol24,ROW()),ovrTeamCol,0),MATCH(MID(INDEX(headerRow,1,COLUMN()),4,LEN(INDEX(headerRow,1,COLUMN()))),ovrHeaderRow,0))</f>
        <v>8.6</v>
      </c>
      <c r="CI13" s="12">
        <f>INDEX(ovrTable,MATCH(INDEX(oppCol24,ROW()),ovrTeamCol,0),MATCH(MID(INDEX(headerRow,1,COLUMN()),4,LEN(INDEX(headerRow,1,COLUMN()))),ovrHeaderRow,0))</f>
        <v>7.2</v>
      </c>
      <c r="CJ13" s="12">
        <f>INDEX(ovrTable,MATCH(INDEX(oppCol24,ROW()),ovrTeamCol,0),MATCH(MID(INDEX(headerRow,1,COLUMN()),4,LEN(INDEX(headerRow,1,COLUMN()))),ovrHeaderRow,0))</f>
        <v>0.2</v>
      </c>
      <c r="CK13" s="12">
        <f>INDEX(ovrTable,MATCH(INDEX(oppCol24,ROW()),ovrTeamCol,0),MATCH(MID(INDEX(headerRow,1,COLUMN()),4,LEN(INDEX(headerRow,1,COLUMN()))),ovrHeaderRow,0))</f>
        <v>11.59</v>
      </c>
      <c r="CL13" s="12">
        <f>INDEX(ovrTable,MATCH(INDEX(oppCol24,ROW()),ovrTeamCol,0),MATCH(MID(INDEX(headerRow,1,COLUMN()),4,LEN(INDEX(headerRow,1,COLUMN()))),ovrHeaderRow,0))</f>
        <v>11.4</v>
      </c>
      <c r="CM13" s="12">
        <f>INDEX(ovrTable,MATCH(INDEX(oppCol24,ROW()),ovrTeamCol,0),MATCH(MID(INDEX(headerRow,1,COLUMN()),4,LEN(INDEX(headerRow,1,COLUMN()))),ovrHeaderRow,0))</f>
        <v>72.3</v>
      </c>
      <c r="CN13" s="12">
        <f>INDEX(ovrTable,MATCH(INDEX(oppCol24,ROW()),ovrTeamCol,0),MATCH(MID(INDEX(headerRow,1,COLUMN()),4,LEN(INDEX(headerRow,1,COLUMN()))),ovrHeaderRow,0))</f>
        <v>20.75</v>
      </c>
      <c r="CO13" s="12">
        <f>INDEX(ovrTable,MATCH(INDEX(oppCol24,ROW()),ovrTeamCol,0),MATCH(MID(INDEX(headerRow,1,COLUMN()),4,LEN(INDEX(headerRow,1,COLUMN()))),ovrHeaderRow,0))</f>
        <v>60.98326359832636</v>
      </c>
    </row>
    <row r="14" spans="1:93" x14ac:dyDescent="0.3">
      <c r="A14" s="6" t="s">
        <v>13</v>
      </c>
      <c r="B14" s="3">
        <v>12</v>
      </c>
      <c r="C14" s="13" t="s">
        <v>6</v>
      </c>
      <c r="D14" s="14">
        <v>7</v>
      </c>
      <c r="E14" s="23">
        <v>27.777777777777779</v>
      </c>
      <c r="F14" s="24">
        <v>7</v>
      </c>
      <c r="G14" s="23">
        <v>35</v>
      </c>
      <c r="H14" s="24">
        <v>20</v>
      </c>
      <c r="I14" s="25">
        <v>0.7142857142857143</v>
      </c>
      <c r="J14" s="24">
        <v>10</v>
      </c>
      <c r="K14" s="24">
        <v>12</v>
      </c>
      <c r="L14" s="24">
        <v>2</v>
      </c>
      <c r="M14" s="24">
        <v>43.6</v>
      </c>
      <c r="N14" s="24">
        <v>19</v>
      </c>
      <c r="O14" s="26">
        <v>0.44297500000000001</v>
      </c>
      <c r="P14" s="24">
        <v>6</v>
      </c>
      <c r="Q14" s="24">
        <v>37.700000000000003</v>
      </c>
      <c r="R14" s="24">
        <v>18</v>
      </c>
      <c r="S14" s="23">
        <v>75</v>
      </c>
      <c r="T14" s="24">
        <v>24</v>
      </c>
      <c r="U14" s="24">
        <v>18</v>
      </c>
      <c r="V14" s="24">
        <v>69</v>
      </c>
      <c r="W14" s="24">
        <v>14</v>
      </c>
      <c r="X14" s="24">
        <v>65</v>
      </c>
      <c r="Y14" s="24">
        <v>-2</v>
      </c>
      <c r="Z14" s="24">
        <v>33</v>
      </c>
      <c r="AA14" s="24">
        <v>-4</v>
      </c>
      <c r="AB14" s="24">
        <v>7</v>
      </c>
      <c r="AC14" s="24">
        <v>-1</v>
      </c>
      <c r="AD14" s="24">
        <v>13</v>
      </c>
      <c r="AE14" s="24">
        <v>14</v>
      </c>
      <c r="AF14" s="46">
        <f t="shared" si="3"/>
        <v>64.450397877984074</v>
      </c>
      <c r="AG14" s="51">
        <f t="shared" ref="AG14" si="17">AVERAGE(AF14,AF15)</f>
        <v>63.998134718808551</v>
      </c>
      <c r="AH14" s="12">
        <f t="shared" si="13"/>
        <v>34.4</v>
      </c>
      <c r="AI14" s="12">
        <f t="shared" si="13"/>
        <v>6.1</v>
      </c>
      <c r="AJ14" s="12">
        <f t="shared" si="13"/>
        <v>32.700000000000003</v>
      </c>
      <c r="AK14" s="12">
        <f t="shared" si="13"/>
        <v>18.8</v>
      </c>
      <c r="AL14" s="12">
        <f t="shared" si="13"/>
        <v>1.17</v>
      </c>
      <c r="AM14" s="12">
        <f t="shared" si="13"/>
        <v>13.5</v>
      </c>
      <c r="AN14" s="12">
        <f t="shared" si="13"/>
        <v>22.46</v>
      </c>
      <c r="AO14" s="12">
        <f t="shared" si="13"/>
        <v>4.5</v>
      </c>
      <c r="AP14" s="12">
        <f t="shared" si="13"/>
        <v>44.4</v>
      </c>
      <c r="AQ14" s="12">
        <f t="shared" si="13"/>
        <v>25.09</v>
      </c>
      <c r="AR14" s="12">
        <f t="shared" si="14"/>
        <v>0.501</v>
      </c>
      <c r="AS14" s="12">
        <f t="shared" si="14"/>
        <v>12.74</v>
      </c>
      <c r="AT14" s="12">
        <f t="shared" si="14"/>
        <v>44.9</v>
      </c>
      <c r="AU14" s="12">
        <f t="shared" si="14"/>
        <v>15.9</v>
      </c>
      <c r="AV14" s="12">
        <f t="shared" si="14"/>
        <v>74.599999999999994</v>
      </c>
      <c r="AW14" s="12">
        <f t="shared" si="14"/>
        <v>23.8</v>
      </c>
      <c r="AX14" s="12">
        <f t="shared" si="14"/>
        <v>17.8</v>
      </c>
      <c r="AY14" s="12">
        <f t="shared" si="14"/>
        <v>75.099999999999994</v>
      </c>
      <c r="AZ14" s="12">
        <f t="shared" si="14"/>
        <v>12.89</v>
      </c>
      <c r="BA14" s="12">
        <f t="shared" si="14"/>
        <v>77.5</v>
      </c>
      <c r="BB14" s="12">
        <f t="shared" si="15"/>
        <v>3.3</v>
      </c>
      <c r="BC14" s="12">
        <f t="shared" si="15"/>
        <v>37.97</v>
      </c>
      <c r="BD14" s="12">
        <f t="shared" si="15"/>
        <v>2.4</v>
      </c>
      <c r="BE14" s="12">
        <f t="shared" si="15"/>
        <v>6.7</v>
      </c>
      <c r="BF14" s="12">
        <f t="shared" si="15"/>
        <v>-0.1</v>
      </c>
      <c r="BG14" s="12">
        <f t="shared" si="15"/>
        <v>11.51</v>
      </c>
      <c r="BH14" s="12">
        <f t="shared" si="15"/>
        <v>11.6</v>
      </c>
      <c r="BI14" s="12">
        <f t="shared" si="15"/>
        <v>71.7</v>
      </c>
      <c r="BJ14" s="12">
        <f t="shared" si="15"/>
        <v>20.700000000000003</v>
      </c>
      <c r="BK14" s="12">
        <f t="shared" si="15"/>
        <v>59.688195991091327</v>
      </c>
      <c r="BL14" s="12">
        <f>INDEX(ovrTable,MATCH(INDEX(oppCol24,ROW()),ovrTeamCol,0),MATCH(MID(INDEX(headerRow,1,COLUMN()),4,LEN(INDEX(headerRow,1,COLUMN()))),ovrHeaderRow,0))</f>
        <v>31</v>
      </c>
      <c r="BM14" s="12">
        <f>INDEX(ovrTable,MATCH(INDEX(oppCol24,ROW()),ovrTeamCol,0),MATCH(MID(INDEX(headerRow,1,COLUMN()),4,LEN(INDEX(headerRow,1,COLUMN()))),ovrHeaderRow,0))</f>
        <v>7</v>
      </c>
      <c r="BN14" s="12">
        <f>INDEX(ovrTable,MATCH(INDEX(oppCol24,ROW()),ovrTeamCol,0),MATCH(MID(INDEX(headerRow,1,COLUMN()),4,LEN(INDEX(headerRow,1,COLUMN()))),ovrHeaderRow,0))</f>
        <v>31.5</v>
      </c>
      <c r="BO14" s="12">
        <f>INDEX(ovrTable,MATCH(INDEX(oppCol24,ROW()),ovrTeamCol,0),MATCH(MID(INDEX(headerRow,1,COLUMN()),4,LEN(INDEX(headerRow,1,COLUMN()))),ovrHeaderRow,0))</f>
        <v>22.2</v>
      </c>
      <c r="BP14" s="12">
        <f>INDEX(ovrTable,MATCH(INDEX(oppCol24,ROW()),ovrTeamCol,0),MATCH(MID(INDEX(headerRow,1,COLUMN()),4,LEN(INDEX(headerRow,1,COLUMN()))),ovrHeaderRow,0))</f>
        <v>1.1599999999999999</v>
      </c>
      <c r="BQ14" s="12">
        <f>INDEX(ovrTable,MATCH(INDEX(oppCol24,ROW()),ovrTeamCol,0),MATCH(MID(INDEX(headerRow,1,COLUMN()),4,LEN(INDEX(headerRow,1,COLUMN()))),ovrHeaderRow,0))</f>
        <v>13</v>
      </c>
      <c r="BR14" s="12">
        <f>INDEX(ovrTable,MATCH(INDEX(oppCol24,ROW()),ovrTeamCol,0),MATCH(MID(INDEX(headerRow,1,COLUMN()),4,LEN(INDEX(headerRow,1,COLUMN()))),ovrHeaderRow,0))</f>
        <v>18.239999999999998</v>
      </c>
      <c r="BS14" s="12">
        <f>INDEX(ovrTable,MATCH(INDEX(oppCol24,ROW()),ovrTeamCol,0),MATCH(MID(INDEX(headerRow,1,COLUMN()),4,LEN(INDEX(headerRow,1,COLUMN()))),ovrHeaderRow,0))</f>
        <v>4</v>
      </c>
      <c r="BT14" s="12">
        <f>INDEX(ovrTable,MATCH(INDEX(oppCol24,ROW()),ovrTeamCol,0),MATCH(MID(INDEX(headerRow,1,COLUMN()),4,LEN(INDEX(headerRow,1,COLUMN()))),ovrHeaderRow,0))</f>
        <v>40.5</v>
      </c>
      <c r="BU14" s="12">
        <f>INDEX(ovrTable,MATCH(INDEX(oppCol24,ROW()),ovrTeamCol,0),MATCH(MID(INDEX(headerRow,1,COLUMN()),4,LEN(INDEX(headerRow,1,COLUMN()))),ovrHeaderRow,0))</f>
        <v>26.11</v>
      </c>
      <c r="BV14" s="12">
        <f>INDEX(ovrTable,MATCH(INDEX(oppCol24,ROW()),ovrTeamCol,0),MATCH(MID(INDEX(headerRow,1,COLUMN()),4,LEN(INDEX(headerRow,1,COLUMN()))),ovrHeaderRow,0))</f>
        <v>0.5</v>
      </c>
      <c r="BW14" s="12">
        <f>INDEX(ovrTable,MATCH(INDEX(oppCol24,ROW()),ovrTeamCol,0),MATCH(MID(INDEX(headerRow,1,COLUMN()),4,LEN(INDEX(headerRow,1,COLUMN()))),ovrHeaderRow,0))</f>
        <v>8.76</v>
      </c>
      <c r="BX14" s="12">
        <f>INDEX(ovrTable,MATCH(INDEX(oppCol24,ROW()),ovrTeamCol,0),MATCH(MID(INDEX(headerRow,1,COLUMN()),4,LEN(INDEX(headerRow,1,COLUMN()))),ovrHeaderRow,0))</f>
        <v>44</v>
      </c>
      <c r="BY14" s="12">
        <f>INDEX(ovrTable,MATCH(INDEX(oppCol24,ROW()),ovrTeamCol,0),MATCH(MID(INDEX(headerRow,1,COLUMN()),4,LEN(INDEX(headerRow,1,COLUMN()))),ovrHeaderRow,0))</f>
        <v>17.5</v>
      </c>
      <c r="BZ14" s="12">
        <f>INDEX(ovrTable,MATCH(INDEX(oppCol24,ROW()),ovrTeamCol,0),MATCH(MID(INDEX(headerRow,1,COLUMN()),4,LEN(INDEX(headerRow,1,COLUMN()))),ovrHeaderRow,0))</f>
        <v>73.3</v>
      </c>
      <c r="CA14" s="12">
        <f>INDEX(ovrTable,MATCH(INDEX(oppCol24,ROW()),ovrTeamCol,0),MATCH(MID(INDEX(headerRow,1,COLUMN()),4,LEN(INDEX(headerRow,1,COLUMN()))),ovrHeaderRow,0))</f>
        <v>21.2</v>
      </c>
      <c r="CB14" s="12">
        <f>INDEX(ovrTable,MATCH(INDEX(oppCol24,ROW()),ovrTeamCol,0),MATCH(MID(INDEX(headerRow,1,COLUMN()),4,LEN(INDEX(headerRow,1,COLUMN()))),ovrHeaderRow,0))</f>
        <v>15.5</v>
      </c>
      <c r="CC14" s="12">
        <f>INDEX(ovrTable,MATCH(INDEX(oppCol24,ROW()),ovrTeamCol,0),MATCH(MID(INDEX(headerRow,1,COLUMN()),4,LEN(INDEX(headerRow,1,COLUMN()))),ovrHeaderRow,0))</f>
        <v>66.7</v>
      </c>
      <c r="CD14" s="12">
        <f>INDEX(ovrTable,MATCH(INDEX(oppCol24,ROW()),ovrTeamCol,0),MATCH(MID(INDEX(headerRow,1,COLUMN()),4,LEN(INDEX(headerRow,1,COLUMN()))),ovrHeaderRow,0))</f>
        <v>11.68</v>
      </c>
      <c r="CE14" s="12">
        <f>INDEX(ovrTable,MATCH(INDEX(oppCol24,ROW()),ovrTeamCol,0),MATCH(MID(INDEX(headerRow,1,COLUMN()),4,LEN(INDEX(headerRow,1,COLUMN()))),ovrHeaderRow,0))</f>
        <v>74.099999999999994</v>
      </c>
      <c r="CF14" s="12">
        <f>INDEX(ovrTable,MATCH(INDEX(oppCol24,ROW()),ovrTeamCol,0),MATCH(MID(INDEX(headerRow,1,COLUMN()),4,LEN(INDEX(headerRow,1,COLUMN()))),ovrHeaderRow,0))</f>
        <v>4.0999999999999996</v>
      </c>
      <c r="CG14" s="12">
        <f>INDEX(ovrTable,MATCH(INDEX(oppCol24,ROW()),ovrTeamCol,0),MATCH(MID(INDEX(headerRow,1,COLUMN()),4,LEN(INDEX(headerRow,1,COLUMN()))),ovrHeaderRow,0))</f>
        <v>37.78</v>
      </c>
      <c r="CH14" s="12">
        <f>INDEX(ovrTable,MATCH(INDEX(oppCol24,ROW()),ovrTeamCol,0),MATCH(MID(INDEX(headerRow,1,COLUMN()),4,LEN(INDEX(headerRow,1,COLUMN()))),ovrHeaderRow,0))</f>
        <v>7.4</v>
      </c>
      <c r="CI14" s="12">
        <f>INDEX(ovrTable,MATCH(INDEX(oppCol24,ROW()),ovrTeamCol,0),MATCH(MID(INDEX(headerRow,1,COLUMN()),4,LEN(INDEX(headerRow,1,COLUMN()))),ovrHeaderRow,0))</f>
        <v>7.4</v>
      </c>
      <c r="CJ14" s="12">
        <f>INDEX(ovrTable,MATCH(INDEX(oppCol24,ROW()),ovrTeamCol,0),MATCH(MID(INDEX(headerRow,1,COLUMN()),4,LEN(INDEX(headerRow,1,COLUMN()))),ovrHeaderRow,0))</f>
        <v>1.3</v>
      </c>
      <c r="CK14" s="12">
        <f>INDEX(ovrTable,MATCH(INDEX(oppCol24,ROW()),ovrTeamCol,0),MATCH(MID(INDEX(headerRow,1,COLUMN()),4,LEN(INDEX(headerRow,1,COLUMN()))),ovrHeaderRow,0))</f>
        <v>12.43</v>
      </c>
      <c r="CL14" s="12">
        <f>INDEX(ovrTable,MATCH(INDEX(oppCol24,ROW()),ovrTeamCol,0),MATCH(MID(INDEX(headerRow,1,COLUMN()),4,LEN(INDEX(headerRow,1,COLUMN()))),ovrHeaderRow,0))</f>
        <v>11.2</v>
      </c>
      <c r="CM14" s="12">
        <f>INDEX(ovrTable,MATCH(INDEX(oppCol24,ROW()),ovrTeamCol,0),MATCH(MID(INDEX(headerRow,1,COLUMN()),4,LEN(INDEX(headerRow,1,COLUMN()))),ovrHeaderRow,0))</f>
        <v>69.599999999999994</v>
      </c>
      <c r="CN14" s="12">
        <f>INDEX(ovrTable,MATCH(INDEX(oppCol24,ROW()),ovrTeamCol,0),MATCH(MID(INDEX(headerRow,1,COLUMN()),4,LEN(INDEX(headerRow,1,COLUMN()))),ovrHeaderRow,0))</f>
        <v>18.799999999999997</v>
      </c>
      <c r="CO14" s="12">
        <f>INDEX(ovrTable,MATCH(INDEX(oppCol24,ROW()),ovrTeamCol,0),MATCH(MID(INDEX(headerRow,1,COLUMN()),4,LEN(INDEX(headerRow,1,COLUMN()))),ovrHeaderRow,0))</f>
        <v>58.636363636363626</v>
      </c>
    </row>
    <row r="15" spans="1:93" x14ac:dyDescent="0.3">
      <c r="A15" s="6" t="s">
        <v>6</v>
      </c>
      <c r="B15" s="3">
        <v>5</v>
      </c>
      <c r="C15" s="13" t="s">
        <v>13</v>
      </c>
      <c r="D15" s="14">
        <v>7</v>
      </c>
      <c r="E15" s="23">
        <v>35</v>
      </c>
      <c r="F15" s="24">
        <v>5</v>
      </c>
      <c r="G15" s="23">
        <v>27.777777777777779</v>
      </c>
      <c r="H15" s="24">
        <v>18</v>
      </c>
      <c r="I15" s="25">
        <v>0.76923076923076927</v>
      </c>
      <c r="J15" s="24">
        <v>10</v>
      </c>
      <c r="K15" s="24">
        <v>14</v>
      </c>
      <c r="L15" s="24">
        <v>5</v>
      </c>
      <c r="M15" s="24">
        <v>37.700000000000003</v>
      </c>
      <c r="N15" s="24">
        <v>21</v>
      </c>
      <c r="O15" s="26">
        <v>0.48141666666666671</v>
      </c>
      <c r="P15" s="24">
        <v>13</v>
      </c>
      <c r="Q15" s="24">
        <v>43.6</v>
      </c>
      <c r="R15" s="24">
        <v>20</v>
      </c>
      <c r="S15" s="23">
        <v>80</v>
      </c>
      <c r="T15" s="24">
        <v>20</v>
      </c>
      <c r="U15" s="24">
        <v>16</v>
      </c>
      <c r="V15" s="24">
        <v>65</v>
      </c>
      <c r="W15" s="24">
        <v>14</v>
      </c>
      <c r="X15" s="24">
        <v>69</v>
      </c>
      <c r="Y15" s="24">
        <v>2</v>
      </c>
      <c r="Z15" s="24">
        <v>35</v>
      </c>
      <c r="AA15" s="24">
        <v>4</v>
      </c>
      <c r="AB15" s="24">
        <v>11</v>
      </c>
      <c r="AC15" s="24">
        <v>1</v>
      </c>
      <c r="AD15" s="24">
        <v>14</v>
      </c>
      <c r="AE15" s="24">
        <v>13</v>
      </c>
      <c r="AF15" s="46">
        <f t="shared" si="3"/>
        <v>63.545871559633028</v>
      </c>
      <c r="AG15" s="51">
        <f t="shared" ref="AG15" si="18">AVERAGE(AF14,AF15)</f>
        <v>63.998134718808551</v>
      </c>
      <c r="AH15" s="12">
        <f t="shared" si="13"/>
        <v>31</v>
      </c>
      <c r="AI15" s="12">
        <f t="shared" si="13"/>
        <v>7</v>
      </c>
      <c r="AJ15" s="12">
        <f t="shared" si="13"/>
        <v>31.5</v>
      </c>
      <c r="AK15" s="12">
        <f t="shared" si="13"/>
        <v>22.2</v>
      </c>
      <c r="AL15" s="12">
        <f t="shared" si="13"/>
        <v>1.1599999999999999</v>
      </c>
      <c r="AM15" s="12">
        <f t="shared" si="13"/>
        <v>13</v>
      </c>
      <c r="AN15" s="12">
        <f t="shared" si="13"/>
        <v>18.239999999999998</v>
      </c>
      <c r="AO15" s="12">
        <f t="shared" si="13"/>
        <v>4</v>
      </c>
      <c r="AP15" s="12">
        <f t="shared" si="13"/>
        <v>40.5</v>
      </c>
      <c r="AQ15" s="12">
        <f t="shared" si="13"/>
        <v>26.11</v>
      </c>
      <c r="AR15" s="12">
        <f t="shared" si="14"/>
        <v>0.5</v>
      </c>
      <c r="AS15" s="12">
        <f t="shared" si="14"/>
        <v>8.76</v>
      </c>
      <c r="AT15" s="12">
        <f t="shared" si="14"/>
        <v>44</v>
      </c>
      <c r="AU15" s="12">
        <f t="shared" si="14"/>
        <v>17.5</v>
      </c>
      <c r="AV15" s="12">
        <f t="shared" si="14"/>
        <v>73.3</v>
      </c>
      <c r="AW15" s="12">
        <f t="shared" si="14"/>
        <v>21.2</v>
      </c>
      <c r="AX15" s="12">
        <f t="shared" si="14"/>
        <v>15.5</v>
      </c>
      <c r="AY15" s="12">
        <f t="shared" si="14"/>
        <v>66.7</v>
      </c>
      <c r="AZ15" s="12">
        <f t="shared" si="14"/>
        <v>11.68</v>
      </c>
      <c r="BA15" s="12">
        <f t="shared" si="14"/>
        <v>74.099999999999994</v>
      </c>
      <c r="BB15" s="12">
        <f t="shared" si="15"/>
        <v>4.0999999999999996</v>
      </c>
      <c r="BC15" s="12">
        <f t="shared" si="15"/>
        <v>37.78</v>
      </c>
      <c r="BD15" s="12">
        <f t="shared" si="15"/>
        <v>7.4</v>
      </c>
      <c r="BE15" s="12">
        <f t="shared" si="15"/>
        <v>7.4</v>
      </c>
      <c r="BF15" s="12">
        <f t="shared" si="15"/>
        <v>1.3</v>
      </c>
      <c r="BG15" s="12">
        <f t="shared" si="15"/>
        <v>12.43</v>
      </c>
      <c r="BH15" s="12">
        <f t="shared" si="15"/>
        <v>11.2</v>
      </c>
      <c r="BI15" s="12">
        <f t="shared" si="15"/>
        <v>69.599999999999994</v>
      </c>
      <c r="BJ15" s="12">
        <f t="shared" si="15"/>
        <v>18.799999999999997</v>
      </c>
      <c r="BK15" s="12">
        <f t="shared" si="15"/>
        <v>58.636363636363626</v>
      </c>
      <c r="BL15" s="12">
        <f>INDEX(ovrTable,MATCH(INDEX(oppCol24,ROW()),ovrTeamCol,0),MATCH(MID(INDEX(headerRow,1,COLUMN()),4,LEN(INDEX(headerRow,1,COLUMN()))),ovrHeaderRow,0))</f>
        <v>34.4</v>
      </c>
      <c r="BM15" s="12">
        <f>INDEX(ovrTable,MATCH(INDEX(oppCol24,ROW()),ovrTeamCol,0),MATCH(MID(INDEX(headerRow,1,COLUMN()),4,LEN(INDEX(headerRow,1,COLUMN()))),ovrHeaderRow,0))</f>
        <v>6.1</v>
      </c>
      <c r="BN15" s="12">
        <f>INDEX(ovrTable,MATCH(INDEX(oppCol24,ROW()),ovrTeamCol,0),MATCH(MID(INDEX(headerRow,1,COLUMN()),4,LEN(INDEX(headerRow,1,COLUMN()))),ovrHeaderRow,0))</f>
        <v>32.700000000000003</v>
      </c>
      <c r="BO15" s="12">
        <f>INDEX(ovrTable,MATCH(INDEX(oppCol24,ROW()),ovrTeamCol,0),MATCH(MID(INDEX(headerRow,1,COLUMN()),4,LEN(INDEX(headerRow,1,COLUMN()))),ovrHeaderRow,0))</f>
        <v>18.8</v>
      </c>
      <c r="BP15" s="12">
        <f>INDEX(ovrTable,MATCH(INDEX(oppCol24,ROW()),ovrTeamCol,0),MATCH(MID(INDEX(headerRow,1,COLUMN()),4,LEN(INDEX(headerRow,1,COLUMN()))),ovrHeaderRow,0))</f>
        <v>1.17</v>
      </c>
      <c r="BQ15" s="12">
        <f>INDEX(ovrTable,MATCH(INDEX(oppCol24,ROW()),ovrTeamCol,0),MATCH(MID(INDEX(headerRow,1,COLUMN()),4,LEN(INDEX(headerRow,1,COLUMN()))),ovrHeaderRow,0))</f>
        <v>13.5</v>
      </c>
      <c r="BR15" s="12">
        <f>INDEX(ovrTable,MATCH(INDEX(oppCol24,ROW()),ovrTeamCol,0),MATCH(MID(INDEX(headerRow,1,COLUMN()),4,LEN(INDEX(headerRow,1,COLUMN()))),ovrHeaderRow,0))</f>
        <v>22.46</v>
      </c>
      <c r="BS15" s="12">
        <f>INDEX(ovrTable,MATCH(INDEX(oppCol24,ROW()),ovrTeamCol,0),MATCH(MID(INDEX(headerRow,1,COLUMN()),4,LEN(INDEX(headerRow,1,COLUMN()))),ovrHeaderRow,0))</f>
        <v>4.5</v>
      </c>
      <c r="BT15" s="12">
        <f>INDEX(ovrTable,MATCH(INDEX(oppCol24,ROW()),ovrTeamCol,0),MATCH(MID(INDEX(headerRow,1,COLUMN()),4,LEN(INDEX(headerRow,1,COLUMN()))),ovrHeaderRow,0))</f>
        <v>44.4</v>
      </c>
      <c r="BU15" s="12">
        <f>INDEX(ovrTable,MATCH(INDEX(oppCol24,ROW()),ovrTeamCol,0),MATCH(MID(INDEX(headerRow,1,COLUMN()),4,LEN(INDEX(headerRow,1,COLUMN()))),ovrHeaderRow,0))</f>
        <v>25.09</v>
      </c>
      <c r="BV15" s="12">
        <f>INDEX(ovrTable,MATCH(INDEX(oppCol24,ROW()),ovrTeamCol,0),MATCH(MID(INDEX(headerRow,1,COLUMN()),4,LEN(INDEX(headerRow,1,COLUMN()))),ovrHeaderRow,0))</f>
        <v>0.501</v>
      </c>
      <c r="BW15" s="12">
        <f>INDEX(ovrTable,MATCH(INDEX(oppCol24,ROW()),ovrTeamCol,0),MATCH(MID(INDEX(headerRow,1,COLUMN()),4,LEN(INDEX(headerRow,1,COLUMN()))),ovrHeaderRow,0))</f>
        <v>12.74</v>
      </c>
      <c r="BX15" s="12">
        <f>INDEX(ovrTable,MATCH(INDEX(oppCol24,ROW()),ovrTeamCol,0),MATCH(MID(INDEX(headerRow,1,COLUMN()),4,LEN(INDEX(headerRow,1,COLUMN()))),ovrHeaderRow,0))</f>
        <v>44.9</v>
      </c>
      <c r="BY15" s="12">
        <f>INDEX(ovrTable,MATCH(INDEX(oppCol24,ROW()),ovrTeamCol,0),MATCH(MID(INDEX(headerRow,1,COLUMN()),4,LEN(INDEX(headerRow,1,COLUMN()))),ovrHeaderRow,0))</f>
        <v>15.9</v>
      </c>
      <c r="BZ15" s="12">
        <f>INDEX(ovrTable,MATCH(INDEX(oppCol24,ROW()),ovrTeamCol,0),MATCH(MID(INDEX(headerRow,1,COLUMN()),4,LEN(INDEX(headerRow,1,COLUMN()))),ovrHeaderRow,0))</f>
        <v>74.599999999999994</v>
      </c>
      <c r="CA15" s="12">
        <f>INDEX(ovrTable,MATCH(INDEX(oppCol24,ROW()),ovrTeamCol,0),MATCH(MID(INDEX(headerRow,1,COLUMN()),4,LEN(INDEX(headerRow,1,COLUMN()))),ovrHeaderRow,0))</f>
        <v>23.8</v>
      </c>
      <c r="CB15" s="12">
        <f>INDEX(ovrTable,MATCH(INDEX(oppCol24,ROW()),ovrTeamCol,0),MATCH(MID(INDEX(headerRow,1,COLUMN()),4,LEN(INDEX(headerRow,1,COLUMN()))),ovrHeaderRow,0))</f>
        <v>17.8</v>
      </c>
      <c r="CC15" s="12">
        <f>INDEX(ovrTable,MATCH(INDEX(oppCol24,ROW()),ovrTeamCol,0),MATCH(MID(INDEX(headerRow,1,COLUMN()),4,LEN(INDEX(headerRow,1,COLUMN()))),ovrHeaderRow,0))</f>
        <v>75.099999999999994</v>
      </c>
      <c r="CD15" s="12">
        <f>INDEX(ovrTable,MATCH(INDEX(oppCol24,ROW()),ovrTeamCol,0),MATCH(MID(INDEX(headerRow,1,COLUMN()),4,LEN(INDEX(headerRow,1,COLUMN()))),ovrHeaderRow,0))</f>
        <v>12.89</v>
      </c>
      <c r="CE15" s="12">
        <f>INDEX(ovrTable,MATCH(INDEX(oppCol24,ROW()),ovrTeamCol,0),MATCH(MID(INDEX(headerRow,1,COLUMN()),4,LEN(INDEX(headerRow,1,COLUMN()))),ovrHeaderRow,0))</f>
        <v>77.5</v>
      </c>
      <c r="CF15" s="12">
        <f>INDEX(ovrTable,MATCH(INDEX(oppCol24,ROW()),ovrTeamCol,0),MATCH(MID(INDEX(headerRow,1,COLUMN()),4,LEN(INDEX(headerRow,1,COLUMN()))),ovrHeaderRow,0))</f>
        <v>3.3</v>
      </c>
      <c r="CG15" s="12">
        <f>INDEX(ovrTable,MATCH(INDEX(oppCol24,ROW()),ovrTeamCol,0),MATCH(MID(INDEX(headerRow,1,COLUMN()),4,LEN(INDEX(headerRow,1,COLUMN()))),ovrHeaderRow,0))</f>
        <v>37.97</v>
      </c>
      <c r="CH15" s="12">
        <f>INDEX(ovrTable,MATCH(INDEX(oppCol24,ROW()),ovrTeamCol,0),MATCH(MID(INDEX(headerRow,1,COLUMN()),4,LEN(INDEX(headerRow,1,COLUMN()))),ovrHeaderRow,0))</f>
        <v>2.4</v>
      </c>
      <c r="CI15" s="12">
        <f>INDEX(ovrTable,MATCH(INDEX(oppCol24,ROW()),ovrTeamCol,0),MATCH(MID(INDEX(headerRow,1,COLUMN()),4,LEN(INDEX(headerRow,1,COLUMN()))),ovrHeaderRow,0))</f>
        <v>6.7</v>
      </c>
      <c r="CJ15" s="12">
        <f>INDEX(ovrTable,MATCH(INDEX(oppCol24,ROW()),ovrTeamCol,0),MATCH(MID(INDEX(headerRow,1,COLUMN()),4,LEN(INDEX(headerRow,1,COLUMN()))),ovrHeaderRow,0))</f>
        <v>-0.1</v>
      </c>
      <c r="CK15" s="12">
        <f>INDEX(ovrTable,MATCH(INDEX(oppCol24,ROW()),ovrTeamCol,0),MATCH(MID(INDEX(headerRow,1,COLUMN()),4,LEN(INDEX(headerRow,1,COLUMN()))),ovrHeaderRow,0))</f>
        <v>11.51</v>
      </c>
      <c r="CL15" s="12">
        <f>INDEX(ovrTable,MATCH(INDEX(oppCol24,ROW()),ovrTeamCol,0),MATCH(MID(INDEX(headerRow,1,COLUMN()),4,LEN(INDEX(headerRow,1,COLUMN()))),ovrHeaderRow,0))</f>
        <v>11.6</v>
      </c>
      <c r="CM15" s="12">
        <f>INDEX(ovrTable,MATCH(INDEX(oppCol24,ROW()),ovrTeamCol,0),MATCH(MID(INDEX(headerRow,1,COLUMN()),4,LEN(INDEX(headerRow,1,COLUMN()))),ovrHeaderRow,0))</f>
        <v>71.7</v>
      </c>
      <c r="CN15" s="12">
        <f>INDEX(ovrTable,MATCH(INDEX(oppCol24,ROW()),ovrTeamCol,0),MATCH(MID(INDEX(headerRow,1,COLUMN()),4,LEN(INDEX(headerRow,1,COLUMN()))),ovrHeaderRow,0))</f>
        <v>20.700000000000003</v>
      </c>
      <c r="CO15" s="12">
        <f>INDEX(ovrTable,MATCH(INDEX(oppCol24,ROW()),ovrTeamCol,0),MATCH(MID(INDEX(headerRow,1,COLUMN()),4,LEN(INDEX(headerRow,1,COLUMN()))),ovrHeaderRow,0))</f>
        <v>59.688195991091327</v>
      </c>
    </row>
    <row r="16" spans="1:93" x14ac:dyDescent="0.3">
      <c r="A16" s="6" t="s">
        <v>5</v>
      </c>
      <c r="B16" s="3">
        <v>4</v>
      </c>
      <c r="C16" s="13" t="s">
        <v>14</v>
      </c>
      <c r="D16" s="14">
        <v>8</v>
      </c>
      <c r="E16" s="23">
        <v>45</v>
      </c>
      <c r="F16" s="24">
        <v>7</v>
      </c>
      <c r="G16" s="23">
        <v>35</v>
      </c>
      <c r="H16" s="24">
        <v>20</v>
      </c>
      <c r="I16" s="25">
        <v>0.7857142857142857</v>
      </c>
      <c r="J16" s="24">
        <v>11</v>
      </c>
      <c r="K16" s="24">
        <v>22</v>
      </c>
      <c r="L16" s="24">
        <v>3</v>
      </c>
      <c r="M16" s="24">
        <v>46.2</v>
      </c>
      <c r="N16" s="24">
        <v>26</v>
      </c>
      <c r="O16" s="26">
        <v>0.57498148148148143</v>
      </c>
      <c r="P16" s="24">
        <v>11</v>
      </c>
      <c r="Q16" s="24">
        <v>50.9</v>
      </c>
      <c r="R16" s="24">
        <v>25</v>
      </c>
      <c r="S16" s="23">
        <v>68.181818181818173</v>
      </c>
      <c r="T16" s="24">
        <v>22</v>
      </c>
      <c r="U16" s="24">
        <v>15</v>
      </c>
      <c r="V16" s="24">
        <v>78</v>
      </c>
      <c r="W16" s="24">
        <v>9</v>
      </c>
      <c r="X16" s="24">
        <v>76</v>
      </c>
      <c r="Y16" s="24">
        <v>5</v>
      </c>
      <c r="Z16" s="24">
        <v>35</v>
      </c>
      <c r="AA16" s="24">
        <v>-2</v>
      </c>
      <c r="AB16" s="24">
        <v>6</v>
      </c>
      <c r="AC16" s="24">
        <v>-3</v>
      </c>
      <c r="AD16" s="24">
        <v>11</v>
      </c>
      <c r="AE16" s="24">
        <v>14</v>
      </c>
      <c r="AF16" s="46">
        <f t="shared" si="3"/>
        <v>68.495186640471502</v>
      </c>
      <c r="AG16" s="51">
        <f t="shared" ref="AG16" si="19">AVERAGE(AF16,AF17)</f>
        <v>68.584119294261711</v>
      </c>
      <c r="AH16" s="12">
        <f t="shared" si="13"/>
        <v>30.2</v>
      </c>
      <c r="AI16" s="12">
        <f t="shared" si="13"/>
        <v>8</v>
      </c>
      <c r="AJ16" s="12">
        <f t="shared" si="13"/>
        <v>35.200000000000003</v>
      </c>
      <c r="AK16" s="12">
        <f t="shared" si="13"/>
        <v>22.7</v>
      </c>
      <c r="AL16" s="12">
        <f t="shared" si="13"/>
        <v>1.66</v>
      </c>
      <c r="AM16" s="12">
        <f t="shared" si="13"/>
        <v>17.8</v>
      </c>
      <c r="AN16" s="12">
        <f t="shared" si="13"/>
        <v>33.71</v>
      </c>
      <c r="AO16" s="12">
        <f t="shared" si="13"/>
        <v>6.1</v>
      </c>
      <c r="AP16" s="12">
        <f t="shared" si="13"/>
        <v>38.6</v>
      </c>
      <c r="AQ16" s="12">
        <f t="shared" si="13"/>
        <v>26.57</v>
      </c>
      <c r="AR16" s="12">
        <f t="shared" si="14"/>
        <v>0.54200000000000004</v>
      </c>
      <c r="AS16" s="12">
        <f t="shared" si="14"/>
        <v>13.57</v>
      </c>
      <c r="AT16" s="12">
        <f t="shared" si="14"/>
        <v>47.6</v>
      </c>
      <c r="AU16" s="12">
        <f t="shared" si="14"/>
        <v>19.399999999999999</v>
      </c>
      <c r="AV16" s="12">
        <f t="shared" si="14"/>
        <v>75</v>
      </c>
      <c r="AW16" s="12">
        <f t="shared" si="14"/>
        <v>23.2</v>
      </c>
      <c r="AX16" s="12">
        <f t="shared" si="14"/>
        <v>17.399999999999999</v>
      </c>
      <c r="AY16" s="12">
        <f t="shared" si="14"/>
        <v>68.3</v>
      </c>
      <c r="AZ16" s="12">
        <f t="shared" si="14"/>
        <v>11.23</v>
      </c>
      <c r="BA16" s="12">
        <f t="shared" si="14"/>
        <v>83.1</v>
      </c>
      <c r="BB16" s="12">
        <f t="shared" si="15"/>
        <v>3.3</v>
      </c>
      <c r="BC16" s="12">
        <f t="shared" si="15"/>
        <v>37.799999999999997</v>
      </c>
      <c r="BD16" s="12">
        <f t="shared" si="15"/>
        <v>14.8</v>
      </c>
      <c r="BE16" s="12">
        <f t="shared" si="15"/>
        <v>7.4</v>
      </c>
      <c r="BF16" s="12">
        <f t="shared" si="15"/>
        <v>2.1</v>
      </c>
      <c r="BG16" s="12">
        <f t="shared" si="15"/>
        <v>12.83</v>
      </c>
      <c r="BH16" s="12">
        <f t="shared" si="15"/>
        <v>10.7</v>
      </c>
      <c r="BI16" s="12">
        <f t="shared" si="15"/>
        <v>72.5</v>
      </c>
      <c r="BJ16" s="12">
        <f t="shared" si="15"/>
        <v>20.849999999999994</v>
      </c>
      <c r="BK16" s="12">
        <f t="shared" si="15"/>
        <v>60.609243697478981</v>
      </c>
      <c r="BL16" s="12">
        <f>INDEX(ovrTable,MATCH(INDEX(oppCol24,ROW()),ovrTeamCol,0),MATCH(MID(INDEX(headerRow,1,COLUMN()),4,LEN(INDEX(headerRow,1,COLUMN()))),ovrHeaderRow,0))</f>
        <v>33.799999999999997</v>
      </c>
      <c r="BM16" s="12">
        <f>INDEX(ovrTable,MATCH(INDEX(oppCol24,ROW()),ovrTeamCol,0),MATCH(MID(INDEX(headerRow,1,COLUMN()),4,LEN(INDEX(headerRow,1,COLUMN()))),ovrHeaderRow,0))</f>
        <v>7.3</v>
      </c>
      <c r="BN16" s="12">
        <f>INDEX(ovrTable,MATCH(INDEX(oppCol24,ROW()),ovrTeamCol,0),MATCH(MID(INDEX(headerRow,1,COLUMN()),4,LEN(INDEX(headerRow,1,COLUMN()))),ovrHeaderRow,0))</f>
        <v>35.1</v>
      </c>
      <c r="BO16" s="12">
        <f>INDEX(ovrTable,MATCH(INDEX(oppCol24,ROW()),ovrTeamCol,0),MATCH(MID(INDEX(headerRow,1,COLUMN()),4,LEN(INDEX(headerRow,1,COLUMN()))),ovrHeaderRow,0))</f>
        <v>20.8</v>
      </c>
      <c r="BP16" s="12">
        <f>INDEX(ovrTable,MATCH(INDEX(oppCol24,ROW()),ovrTeamCol,0),MATCH(MID(INDEX(headerRow,1,COLUMN()),4,LEN(INDEX(headerRow,1,COLUMN()))),ovrHeaderRow,0))</f>
        <v>1.57</v>
      </c>
      <c r="BQ16" s="12">
        <f>INDEX(ovrTable,MATCH(INDEX(oppCol24,ROW()),ovrTeamCol,0),MATCH(MID(INDEX(headerRow,1,COLUMN()),4,LEN(INDEX(headerRow,1,COLUMN()))),ovrHeaderRow,0))</f>
        <v>15</v>
      </c>
      <c r="BR16" s="12">
        <f>INDEX(ovrTable,MATCH(INDEX(oppCol24,ROW()),ovrTeamCol,0),MATCH(MID(INDEX(headerRow,1,COLUMN()),4,LEN(INDEX(headerRow,1,COLUMN()))),ovrHeaderRow,0))</f>
        <v>15.03</v>
      </c>
      <c r="BS16" s="12">
        <f>INDEX(ovrTable,MATCH(INDEX(oppCol24,ROW()),ovrTeamCol,0),MATCH(MID(INDEX(headerRow,1,COLUMN()),4,LEN(INDEX(headerRow,1,COLUMN()))),ovrHeaderRow,0))</f>
        <v>3.2</v>
      </c>
      <c r="BT16" s="12">
        <f>INDEX(ovrTable,MATCH(INDEX(oppCol24,ROW()),ovrTeamCol,0),MATCH(MID(INDEX(headerRow,1,COLUMN()),4,LEN(INDEX(headerRow,1,COLUMN()))),ovrHeaderRow,0))</f>
        <v>42.1</v>
      </c>
      <c r="BU16" s="12">
        <f>INDEX(ovrTable,MATCH(INDEX(oppCol24,ROW()),ovrTeamCol,0),MATCH(MID(INDEX(headerRow,1,COLUMN()),4,LEN(INDEX(headerRow,1,COLUMN()))),ovrHeaderRow,0))</f>
        <v>26.64</v>
      </c>
      <c r="BV16" s="12">
        <f>INDEX(ovrTable,MATCH(INDEX(oppCol24,ROW()),ovrTeamCol,0),MATCH(MID(INDEX(headerRow,1,COLUMN()),4,LEN(INDEX(headerRow,1,COLUMN()))),ovrHeaderRow,0))</f>
        <v>0.52800000000000002</v>
      </c>
      <c r="BW16" s="12">
        <f>INDEX(ovrTable,MATCH(INDEX(oppCol24,ROW()),ovrTeamCol,0),MATCH(MID(INDEX(headerRow,1,COLUMN()),4,LEN(INDEX(headerRow,1,COLUMN()))),ovrHeaderRow,0))</f>
        <v>9.39</v>
      </c>
      <c r="BX16" s="12">
        <f>INDEX(ovrTable,MATCH(INDEX(oppCol24,ROW()),ovrTeamCol,0),MATCH(MID(INDEX(headerRow,1,COLUMN()),4,LEN(INDEX(headerRow,1,COLUMN()))),ovrHeaderRow,0))</f>
        <v>46.7</v>
      </c>
      <c r="BY16" s="12">
        <f>INDEX(ovrTable,MATCH(INDEX(oppCol24,ROW()),ovrTeamCol,0),MATCH(MID(INDEX(headerRow,1,COLUMN()),4,LEN(INDEX(headerRow,1,COLUMN()))),ovrHeaderRow,0))</f>
        <v>15.1</v>
      </c>
      <c r="BZ16" s="12">
        <f>INDEX(ovrTable,MATCH(INDEX(oppCol24,ROW()),ovrTeamCol,0),MATCH(MID(INDEX(headerRow,1,COLUMN()),4,LEN(INDEX(headerRow,1,COLUMN()))),ovrHeaderRow,0))</f>
        <v>70.7</v>
      </c>
      <c r="CA16" s="12">
        <f>INDEX(ovrTable,MATCH(INDEX(oppCol24,ROW()),ovrTeamCol,0),MATCH(MID(INDEX(headerRow,1,COLUMN()),4,LEN(INDEX(headerRow,1,COLUMN()))),ovrHeaderRow,0))</f>
        <v>16.5</v>
      </c>
      <c r="CB16" s="12">
        <f>INDEX(ovrTable,MATCH(INDEX(oppCol24,ROW()),ovrTeamCol,0),MATCH(MID(INDEX(headerRow,1,COLUMN()),4,LEN(INDEX(headerRow,1,COLUMN()))),ovrHeaderRow,0))</f>
        <v>11.7</v>
      </c>
      <c r="CC16" s="12">
        <f>INDEX(ovrTable,MATCH(INDEX(oppCol24,ROW()),ovrTeamCol,0),MATCH(MID(INDEX(headerRow,1,COLUMN()),4,LEN(INDEX(headerRow,1,COLUMN()))),ovrHeaderRow,0))</f>
        <v>67.5</v>
      </c>
      <c r="CD16" s="12">
        <f>INDEX(ovrTable,MATCH(INDEX(oppCol24,ROW()),ovrTeamCol,0),MATCH(MID(INDEX(headerRow,1,COLUMN()),4,LEN(INDEX(headerRow,1,COLUMN()))),ovrHeaderRow,0))</f>
        <v>9.8800000000000008</v>
      </c>
      <c r="CE16" s="12">
        <f>INDEX(ovrTable,MATCH(INDEX(oppCol24,ROW()),ovrTeamCol,0),MATCH(MID(INDEX(headerRow,1,COLUMN()),4,LEN(INDEX(headerRow,1,COLUMN()))),ovrHeaderRow,0))</f>
        <v>74.7</v>
      </c>
      <c r="CF16" s="12">
        <f>INDEX(ovrTable,MATCH(INDEX(oppCol24,ROW()),ovrTeamCol,0),MATCH(MID(INDEX(headerRow,1,COLUMN()),4,LEN(INDEX(headerRow,1,COLUMN()))),ovrHeaderRow,0))</f>
        <v>3.9</v>
      </c>
      <c r="CG16" s="12">
        <f>INDEX(ovrTable,MATCH(INDEX(oppCol24,ROW()),ovrTeamCol,0),MATCH(MID(INDEX(headerRow,1,COLUMN()),4,LEN(INDEX(headerRow,1,COLUMN()))),ovrHeaderRow,0))</f>
        <v>36.520000000000003</v>
      </c>
      <c r="CH16" s="12">
        <f>INDEX(ovrTable,MATCH(INDEX(oppCol24,ROW()),ovrTeamCol,0),MATCH(MID(INDEX(headerRow,1,COLUMN()),4,LEN(INDEX(headerRow,1,COLUMN()))),ovrHeaderRow,0))</f>
        <v>7.2</v>
      </c>
      <c r="CI16" s="12">
        <f>INDEX(ovrTable,MATCH(INDEX(oppCol24,ROW()),ovrTeamCol,0),MATCH(MID(INDEX(headerRow,1,COLUMN()),4,LEN(INDEX(headerRow,1,COLUMN()))),ovrHeaderRow,0))</f>
        <v>6.2</v>
      </c>
      <c r="CJ16" s="12">
        <f>INDEX(ovrTable,MATCH(INDEX(oppCol24,ROW()),ovrTeamCol,0),MATCH(MID(INDEX(headerRow,1,COLUMN()),4,LEN(INDEX(headerRow,1,COLUMN()))),ovrHeaderRow,0))</f>
        <v>1.5</v>
      </c>
      <c r="CK16" s="12">
        <f>INDEX(ovrTable,MATCH(INDEX(oppCol24,ROW()),ovrTeamCol,0),MATCH(MID(INDEX(headerRow,1,COLUMN()),4,LEN(INDEX(headerRow,1,COLUMN()))),ovrHeaderRow,0))</f>
        <v>11.06</v>
      </c>
      <c r="CL16" s="12">
        <f>INDEX(ovrTable,MATCH(INDEX(oppCol24,ROW()),ovrTeamCol,0),MATCH(MID(INDEX(headerRow,1,COLUMN()),4,LEN(INDEX(headerRow,1,COLUMN()))),ovrHeaderRow,0))</f>
        <v>9.6</v>
      </c>
      <c r="CM16" s="12">
        <f>INDEX(ovrTable,MATCH(INDEX(oppCol24,ROW()),ovrTeamCol,0),MATCH(MID(INDEX(headerRow,1,COLUMN()),4,LEN(INDEX(headerRow,1,COLUMN()))),ovrHeaderRow,0))</f>
        <v>68.3</v>
      </c>
      <c r="CN16" s="12">
        <f>INDEX(ovrTable,MATCH(INDEX(oppCol24,ROW()),ovrTeamCol,0),MATCH(MID(INDEX(headerRow,1,COLUMN()),4,LEN(INDEX(headerRow,1,COLUMN()))),ovrHeaderRow,0))</f>
        <v>20.55</v>
      </c>
      <c r="CO16" s="12">
        <f>INDEX(ovrTable,MATCH(INDEX(oppCol24,ROW()),ovrTeamCol,0),MATCH(MID(INDEX(headerRow,1,COLUMN()),4,LEN(INDEX(headerRow,1,COLUMN()))),ovrHeaderRow,0))</f>
        <v>59.635974304068519</v>
      </c>
    </row>
    <row r="17" spans="1:93" x14ac:dyDescent="0.3">
      <c r="A17" s="6" t="s">
        <v>14</v>
      </c>
      <c r="B17" s="3">
        <v>13</v>
      </c>
      <c r="C17" s="13" t="s">
        <v>5</v>
      </c>
      <c r="D17" s="14">
        <v>8</v>
      </c>
      <c r="E17" s="23">
        <v>35</v>
      </c>
      <c r="F17" s="24">
        <v>9</v>
      </c>
      <c r="G17" s="23">
        <v>45</v>
      </c>
      <c r="H17" s="24">
        <v>20</v>
      </c>
      <c r="I17" s="25">
        <v>0.90909090909090906</v>
      </c>
      <c r="J17" s="24">
        <v>10</v>
      </c>
      <c r="K17" s="24">
        <v>11</v>
      </c>
      <c r="L17" s="24">
        <v>2</v>
      </c>
      <c r="M17" s="24">
        <v>50.9</v>
      </c>
      <c r="N17" s="24">
        <v>21</v>
      </c>
      <c r="O17" s="26">
        <v>0.54862500000000003</v>
      </c>
      <c r="P17" s="24">
        <v>19</v>
      </c>
      <c r="Q17" s="24">
        <v>46.2</v>
      </c>
      <c r="R17" s="24">
        <v>19</v>
      </c>
      <c r="S17" s="23">
        <v>67.741935483870961</v>
      </c>
      <c r="T17" s="24">
        <v>31</v>
      </c>
      <c r="U17" s="24">
        <v>21</v>
      </c>
      <c r="V17" s="24">
        <v>76</v>
      </c>
      <c r="W17" s="24">
        <v>9</v>
      </c>
      <c r="X17" s="24">
        <v>78</v>
      </c>
      <c r="Y17" s="24">
        <v>-5</v>
      </c>
      <c r="Z17" s="24">
        <v>30</v>
      </c>
      <c r="AA17" s="24">
        <v>2</v>
      </c>
      <c r="AB17" s="24">
        <v>10</v>
      </c>
      <c r="AC17" s="24">
        <v>3</v>
      </c>
      <c r="AD17" s="24">
        <v>14</v>
      </c>
      <c r="AE17" s="24">
        <v>11</v>
      </c>
      <c r="AF17" s="46">
        <f t="shared" si="3"/>
        <v>68.673051948051935</v>
      </c>
      <c r="AG17" s="51">
        <f t="shared" ref="AG17" si="20">AVERAGE(AF16,AF17)</f>
        <v>68.584119294261711</v>
      </c>
      <c r="AH17" s="12">
        <f t="shared" si="13"/>
        <v>33.799999999999997</v>
      </c>
      <c r="AI17" s="12">
        <f t="shared" si="13"/>
        <v>7.3</v>
      </c>
      <c r="AJ17" s="12">
        <f t="shared" si="13"/>
        <v>35.1</v>
      </c>
      <c r="AK17" s="12">
        <f t="shared" si="13"/>
        <v>20.8</v>
      </c>
      <c r="AL17" s="12">
        <f t="shared" si="13"/>
        <v>1.57</v>
      </c>
      <c r="AM17" s="12">
        <f t="shared" si="13"/>
        <v>15</v>
      </c>
      <c r="AN17" s="12">
        <f t="shared" si="13"/>
        <v>15.03</v>
      </c>
      <c r="AO17" s="12">
        <f t="shared" si="13"/>
        <v>3.2</v>
      </c>
      <c r="AP17" s="12">
        <f t="shared" si="13"/>
        <v>42.1</v>
      </c>
      <c r="AQ17" s="12">
        <f t="shared" si="13"/>
        <v>26.64</v>
      </c>
      <c r="AR17" s="12">
        <f t="shared" si="14"/>
        <v>0.52800000000000002</v>
      </c>
      <c r="AS17" s="12">
        <f t="shared" si="14"/>
        <v>9.39</v>
      </c>
      <c r="AT17" s="12">
        <f t="shared" si="14"/>
        <v>46.7</v>
      </c>
      <c r="AU17" s="12">
        <f t="shared" si="14"/>
        <v>15.1</v>
      </c>
      <c r="AV17" s="12">
        <f t="shared" si="14"/>
        <v>70.7</v>
      </c>
      <c r="AW17" s="12">
        <f t="shared" si="14"/>
        <v>16.5</v>
      </c>
      <c r="AX17" s="12">
        <f t="shared" si="14"/>
        <v>11.7</v>
      </c>
      <c r="AY17" s="12">
        <f t="shared" si="14"/>
        <v>67.5</v>
      </c>
      <c r="AZ17" s="12">
        <f t="shared" si="14"/>
        <v>9.8800000000000008</v>
      </c>
      <c r="BA17" s="12">
        <f t="shared" si="14"/>
        <v>74.7</v>
      </c>
      <c r="BB17" s="12">
        <f t="shared" si="15"/>
        <v>3.9</v>
      </c>
      <c r="BC17" s="12">
        <f t="shared" si="15"/>
        <v>36.520000000000003</v>
      </c>
      <c r="BD17" s="12">
        <f t="shared" si="15"/>
        <v>7.2</v>
      </c>
      <c r="BE17" s="12">
        <f t="shared" si="15"/>
        <v>6.2</v>
      </c>
      <c r="BF17" s="12">
        <f t="shared" si="15"/>
        <v>1.5</v>
      </c>
      <c r="BG17" s="12">
        <f t="shared" si="15"/>
        <v>11.06</v>
      </c>
      <c r="BH17" s="12">
        <f t="shared" si="15"/>
        <v>9.6</v>
      </c>
      <c r="BI17" s="12">
        <f t="shared" si="15"/>
        <v>68.3</v>
      </c>
      <c r="BJ17" s="12">
        <f t="shared" si="15"/>
        <v>20.55</v>
      </c>
      <c r="BK17" s="12">
        <f t="shared" si="15"/>
        <v>59.635974304068519</v>
      </c>
      <c r="BL17" s="12">
        <f>INDEX(ovrTable,MATCH(INDEX(oppCol24,ROW()),ovrTeamCol,0),MATCH(MID(INDEX(headerRow,1,COLUMN()),4,LEN(INDEX(headerRow,1,COLUMN()))),ovrHeaderRow,0))</f>
        <v>30.2</v>
      </c>
      <c r="BM17" s="12">
        <f>INDEX(ovrTable,MATCH(INDEX(oppCol24,ROW()),ovrTeamCol,0),MATCH(MID(INDEX(headerRow,1,COLUMN()),4,LEN(INDEX(headerRow,1,COLUMN()))),ovrHeaderRow,0))</f>
        <v>8</v>
      </c>
      <c r="BN17" s="12">
        <f>INDEX(ovrTable,MATCH(INDEX(oppCol24,ROW()),ovrTeamCol,0),MATCH(MID(INDEX(headerRow,1,COLUMN()),4,LEN(INDEX(headerRow,1,COLUMN()))),ovrHeaderRow,0))</f>
        <v>35.200000000000003</v>
      </c>
      <c r="BO17" s="12">
        <f>INDEX(ovrTable,MATCH(INDEX(oppCol24,ROW()),ovrTeamCol,0),MATCH(MID(INDEX(headerRow,1,COLUMN()),4,LEN(INDEX(headerRow,1,COLUMN()))),ovrHeaderRow,0))</f>
        <v>22.7</v>
      </c>
      <c r="BP17" s="12">
        <f>INDEX(ovrTable,MATCH(INDEX(oppCol24,ROW()),ovrTeamCol,0),MATCH(MID(INDEX(headerRow,1,COLUMN()),4,LEN(INDEX(headerRow,1,COLUMN()))),ovrHeaderRow,0))</f>
        <v>1.66</v>
      </c>
      <c r="BQ17" s="12">
        <f>INDEX(ovrTable,MATCH(INDEX(oppCol24,ROW()),ovrTeamCol,0),MATCH(MID(INDEX(headerRow,1,COLUMN()),4,LEN(INDEX(headerRow,1,COLUMN()))),ovrHeaderRow,0))</f>
        <v>17.8</v>
      </c>
      <c r="BR17" s="12">
        <f>INDEX(ovrTable,MATCH(INDEX(oppCol24,ROW()),ovrTeamCol,0),MATCH(MID(INDEX(headerRow,1,COLUMN()),4,LEN(INDEX(headerRow,1,COLUMN()))),ovrHeaderRow,0))</f>
        <v>33.71</v>
      </c>
      <c r="BS17" s="12">
        <f>INDEX(ovrTable,MATCH(INDEX(oppCol24,ROW()),ovrTeamCol,0),MATCH(MID(INDEX(headerRow,1,COLUMN()),4,LEN(INDEX(headerRow,1,COLUMN()))),ovrHeaderRow,0))</f>
        <v>6.1</v>
      </c>
      <c r="BT17" s="12">
        <f>INDEX(ovrTable,MATCH(INDEX(oppCol24,ROW()),ovrTeamCol,0),MATCH(MID(INDEX(headerRow,1,COLUMN()),4,LEN(INDEX(headerRow,1,COLUMN()))),ovrHeaderRow,0))</f>
        <v>38.6</v>
      </c>
      <c r="BU17" s="12">
        <f>INDEX(ovrTable,MATCH(INDEX(oppCol24,ROW()),ovrTeamCol,0),MATCH(MID(INDEX(headerRow,1,COLUMN()),4,LEN(INDEX(headerRow,1,COLUMN()))),ovrHeaderRow,0))</f>
        <v>26.57</v>
      </c>
      <c r="BV17" s="12">
        <f>INDEX(ovrTable,MATCH(INDEX(oppCol24,ROW()),ovrTeamCol,0),MATCH(MID(INDEX(headerRow,1,COLUMN()),4,LEN(INDEX(headerRow,1,COLUMN()))),ovrHeaderRow,0))</f>
        <v>0.54200000000000004</v>
      </c>
      <c r="BW17" s="12">
        <f>INDEX(ovrTable,MATCH(INDEX(oppCol24,ROW()),ovrTeamCol,0),MATCH(MID(INDEX(headerRow,1,COLUMN()),4,LEN(INDEX(headerRow,1,COLUMN()))),ovrHeaderRow,0))</f>
        <v>13.57</v>
      </c>
      <c r="BX17" s="12">
        <f>INDEX(ovrTable,MATCH(INDEX(oppCol24,ROW()),ovrTeamCol,0),MATCH(MID(INDEX(headerRow,1,COLUMN()),4,LEN(INDEX(headerRow,1,COLUMN()))),ovrHeaderRow,0))</f>
        <v>47.6</v>
      </c>
      <c r="BY17" s="12">
        <f>INDEX(ovrTable,MATCH(INDEX(oppCol24,ROW()),ovrTeamCol,0),MATCH(MID(INDEX(headerRow,1,COLUMN()),4,LEN(INDEX(headerRow,1,COLUMN()))),ovrHeaderRow,0))</f>
        <v>19.399999999999999</v>
      </c>
      <c r="BZ17" s="12">
        <f>INDEX(ovrTable,MATCH(INDEX(oppCol24,ROW()),ovrTeamCol,0),MATCH(MID(INDEX(headerRow,1,COLUMN()),4,LEN(INDEX(headerRow,1,COLUMN()))),ovrHeaderRow,0))</f>
        <v>75</v>
      </c>
      <c r="CA17" s="12">
        <f>INDEX(ovrTable,MATCH(INDEX(oppCol24,ROW()),ovrTeamCol,0),MATCH(MID(INDEX(headerRow,1,COLUMN()),4,LEN(INDEX(headerRow,1,COLUMN()))),ovrHeaderRow,0))</f>
        <v>23.2</v>
      </c>
      <c r="CB17" s="12">
        <f>INDEX(ovrTable,MATCH(INDEX(oppCol24,ROW()),ovrTeamCol,0),MATCH(MID(INDEX(headerRow,1,COLUMN()),4,LEN(INDEX(headerRow,1,COLUMN()))),ovrHeaderRow,0))</f>
        <v>17.399999999999999</v>
      </c>
      <c r="CC17" s="12">
        <f>INDEX(ovrTable,MATCH(INDEX(oppCol24,ROW()),ovrTeamCol,0),MATCH(MID(INDEX(headerRow,1,COLUMN()),4,LEN(INDEX(headerRow,1,COLUMN()))),ovrHeaderRow,0))</f>
        <v>68.3</v>
      </c>
      <c r="CD17" s="12">
        <f>INDEX(ovrTable,MATCH(INDEX(oppCol24,ROW()),ovrTeamCol,0),MATCH(MID(INDEX(headerRow,1,COLUMN()),4,LEN(INDEX(headerRow,1,COLUMN()))),ovrHeaderRow,0))</f>
        <v>11.23</v>
      </c>
      <c r="CE17" s="12">
        <f>INDEX(ovrTable,MATCH(INDEX(oppCol24,ROW()),ovrTeamCol,0),MATCH(MID(INDEX(headerRow,1,COLUMN()),4,LEN(INDEX(headerRow,1,COLUMN()))),ovrHeaderRow,0))</f>
        <v>83.1</v>
      </c>
      <c r="CF17" s="12">
        <f>INDEX(ovrTable,MATCH(INDEX(oppCol24,ROW()),ovrTeamCol,0),MATCH(MID(INDEX(headerRow,1,COLUMN()),4,LEN(INDEX(headerRow,1,COLUMN()))),ovrHeaderRow,0))</f>
        <v>3.3</v>
      </c>
      <c r="CG17" s="12">
        <f>INDEX(ovrTable,MATCH(INDEX(oppCol24,ROW()),ovrTeamCol,0),MATCH(MID(INDEX(headerRow,1,COLUMN()),4,LEN(INDEX(headerRow,1,COLUMN()))),ovrHeaderRow,0))</f>
        <v>37.799999999999997</v>
      </c>
      <c r="CH17" s="12">
        <f>INDEX(ovrTable,MATCH(INDEX(oppCol24,ROW()),ovrTeamCol,0),MATCH(MID(INDEX(headerRow,1,COLUMN()),4,LEN(INDEX(headerRow,1,COLUMN()))),ovrHeaderRow,0))</f>
        <v>14.8</v>
      </c>
      <c r="CI17" s="12">
        <f>INDEX(ovrTable,MATCH(INDEX(oppCol24,ROW()),ovrTeamCol,0),MATCH(MID(INDEX(headerRow,1,COLUMN()),4,LEN(INDEX(headerRow,1,COLUMN()))),ovrHeaderRow,0))</f>
        <v>7.4</v>
      </c>
      <c r="CJ17" s="12">
        <f>INDEX(ovrTable,MATCH(INDEX(oppCol24,ROW()),ovrTeamCol,0),MATCH(MID(INDEX(headerRow,1,COLUMN()),4,LEN(INDEX(headerRow,1,COLUMN()))),ovrHeaderRow,0))</f>
        <v>2.1</v>
      </c>
      <c r="CK17" s="12">
        <f>INDEX(ovrTable,MATCH(INDEX(oppCol24,ROW()),ovrTeamCol,0),MATCH(MID(INDEX(headerRow,1,COLUMN()),4,LEN(INDEX(headerRow,1,COLUMN()))),ovrHeaderRow,0))</f>
        <v>12.83</v>
      </c>
      <c r="CL17" s="12">
        <f>INDEX(ovrTable,MATCH(INDEX(oppCol24,ROW()),ovrTeamCol,0),MATCH(MID(INDEX(headerRow,1,COLUMN()),4,LEN(INDEX(headerRow,1,COLUMN()))),ovrHeaderRow,0))</f>
        <v>10.7</v>
      </c>
      <c r="CM17" s="12">
        <f>INDEX(ovrTable,MATCH(INDEX(oppCol24,ROW()),ovrTeamCol,0),MATCH(MID(INDEX(headerRow,1,COLUMN()),4,LEN(INDEX(headerRow,1,COLUMN()))),ovrHeaderRow,0))</f>
        <v>72.5</v>
      </c>
      <c r="CN17" s="12">
        <f>INDEX(ovrTable,MATCH(INDEX(oppCol24,ROW()),ovrTeamCol,0),MATCH(MID(INDEX(headerRow,1,COLUMN()),4,LEN(INDEX(headerRow,1,COLUMN()))),ovrHeaderRow,0))</f>
        <v>20.849999999999994</v>
      </c>
      <c r="CO17" s="12">
        <f>INDEX(ovrTable,MATCH(INDEX(oppCol24,ROW()),ovrTeamCol,0),MATCH(MID(INDEX(headerRow,1,COLUMN()),4,LEN(INDEX(headerRow,1,COLUMN()))),ovrHeaderRow,0))</f>
        <v>60.609243697478981</v>
      </c>
    </row>
    <row r="18" spans="1:93" x14ac:dyDescent="0.3">
      <c r="A18" s="6" t="s">
        <v>7</v>
      </c>
      <c r="B18" s="3">
        <v>6</v>
      </c>
      <c r="C18" s="13" t="s">
        <v>12</v>
      </c>
      <c r="D18" s="14">
        <v>9</v>
      </c>
      <c r="E18" s="23">
        <v>38.888888888888893</v>
      </c>
      <c r="F18" s="24">
        <v>8</v>
      </c>
      <c r="G18" s="23">
        <v>33.333333333333329</v>
      </c>
      <c r="H18" s="24">
        <v>24</v>
      </c>
      <c r="I18" s="25">
        <v>1.3333333333333333</v>
      </c>
      <c r="J18" s="24">
        <v>16</v>
      </c>
      <c r="K18" s="24">
        <v>40</v>
      </c>
      <c r="L18" s="24">
        <v>2</v>
      </c>
      <c r="M18" s="24">
        <v>46.4</v>
      </c>
      <c r="N18" s="24">
        <v>24</v>
      </c>
      <c r="O18" s="26">
        <v>0.45618181818181819</v>
      </c>
      <c r="P18" s="24">
        <v>13</v>
      </c>
      <c r="Q18" s="24">
        <v>38.6</v>
      </c>
      <c r="R18" s="24">
        <v>18</v>
      </c>
      <c r="S18" s="23">
        <v>88.235294117647058</v>
      </c>
      <c r="T18" s="24">
        <v>17</v>
      </c>
      <c r="U18" s="24">
        <v>15</v>
      </c>
      <c r="V18" s="24">
        <v>67</v>
      </c>
      <c r="W18" s="24">
        <v>11</v>
      </c>
      <c r="X18" s="24">
        <v>71</v>
      </c>
      <c r="Y18" s="24">
        <v>6</v>
      </c>
      <c r="Z18" s="24">
        <v>35</v>
      </c>
      <c r="AA18" s="24">
        <v>4</v>
      </c>
      <c r="AB18" s="24">
        <v>6</v>
      </c>
      <c r="AC18" s="24">
        <v>-1</v>
      </c>
      <c r="AD18" s="24">
        <v>11</v>
      </c>
      <c r="AE18" s="24">
        <v>12</v>
      </c>
      <c r="AF18" s="46">
        <f t="shared" si="3"/>
        <v>71.251165803108805</v>
      </c>
      <c r="AG18" s="51">
        <f t="shared" ref="AG18" si="21">AVERAGE(AF18,AF19)</f>
        <v>67.787651867071645</v>
      </c>
      <c r="AH18" s="12">
        <f t="shared" si="13"/>
        <v>32</v>
      </c>
      <c r="AI18" s="12">
        <f t="shared" si="13"/>
        <v>11.1</v>
      </c>
      <c r="AJ18" s="12">
        <f t="shared" si="13"/>
        <v>34.799999999999997</v>
      </c>
      <c r="AK18" s="12">
        <f t="shared" si="13"/>
        <v>32</v>
      </c>
      <c r="AL18" s="12">
        <f t="shared" si="13"/>
        <v>1.73</v>
      </c>
      <c r="AM18" s="12">
        <f t="shared" si="13"/>
        <v>18.5</v>
      </c>
      <c r="AN18" s="12">
        <f t="shared" si="13"/>
        <v>33.5</v>
      </c>
      <c r="AO18" s="12">
        <f t="shared" si="13"/>
        <v>3</v>
      </c>
      <c r="AP18" s="12">
        <f t="shared" si="13"/>
        <v>42.7</v>
      </c>
      <c r="AQ18" s="12">
        <f t="shared" si="13"/>
        <v>27.59</v>
      </c>
      <c r="AR18" s="12">
        <f t="shared" si="14"/>
        <v>0.54800000000000004</v>
      </c>
      <c r="AS18" s="12">
        <f t="shared" si="14"/>
        <v>12.21</v>
      </c>
      <c r="AT18" s="12">
        <f t="shared" si="14"/>
        <v>46</v>
      </c>
      <c r="AU18" s="12">
        <f t="shared" si="14"/>
        <v>17.7</v>
      </c>
      <c r="AV18" s="12">
        <f t="shared" si="14"/>
        <v>74.2</v>
      </c>
      <c r="AW18" s="12">
        <f t="shared" si="14"/>
        <v>16.100000000000001</v>
      </c>
      <c r="AX18" s="12">
        <f t="shared" si="14"/>
        <v>11.9</v>
      </c>
      <c r="AY18" s="12">
        <f t="shared" si="14"/>
        <v>69.900000000000006</v>
      </c>
      <c r="AZ18" s="12">
        <f t="shared" si="14"/>
        <v>11.91</v>
      </c>
      <c r="BA18" s="12">
        <f t="shared" si="14"/>
        <v>81.400000000000006</v>
      </c>
      <c r="BB18" s="12">
        <f t="shared" si="15"/>
        <v>6.1</v>
      </c>
      <c r="BC18" s="12">
        <f t="shared" si="15"/>
        <v>39.5</v>
      </c>
      <c r="BD18" s="12">
        <f t="shared" si="15"/>
        <v>11.5</v>
      </c>
      <c r="BE18" s="12">
        <f t="shared" si="15"/>
        <v>5.9</v>
      </c>
      <c r="BF18" s="12">
        <f t="shared" si="15"/>
        <v>0.5</v>
      </c>
      <c r="BG18" s="12">
        <f t="shared" si="15"/>
        <v>11.21</v>
      </c>
      <c r="BH18" s="12">
        <f t="shared" si="15"/>
        <v>10.7</v>
      </c>
      <c r="BI18" s="12">
        <f t="shared" si="15"/>
        <v>71.900000000000006</v>
      </c>
      <c r="BJ18" s="12">
        <f t="shared" si="15"/>
        <v>18.100000000000001</v>
      </c>
      <c r="BK18" s="12">
        <f t="shared" si="15"/>
        <v>63.478260869565226</v>
      </c>
      <c r="BL18" s="12">
        <f>INDEX(ovrTable,MATCH(INDEX(oppCol24,ROW()),ovrTeamCol,0),MATCH(MID(INDEX(headerRow,1,COLUMN()),4,LEN(INDEX(headerRow,1,COLUMN()))),ovrHeaderRow,0))</f>
        <v>31.8</v>
      </c>
      <c r="BM18" s="12">
        <f>INDEX(ovrTable,MATCH(INDEX(oppCol24,ROW()),ovrTeamCol,0),MATCH(MID(INDEX(headerRow,1,COLUMN()),4,LEN(INDEX(headerRow,1,COLUMN()))),ovrHeaderRow,0))</f>
        <v>7.5</v>
      </c>
      <c r="BN18" s="12">
        <f>INDEX(ovrTable,MATCH(INDEX(oppCol24,ROW()),ovrTeamCol,0),MATCH(MID(INDEX(headerRow,1,COLUMN()),4,LEN(INDEX(headerRow,1,COLUMN()))),ovrHeaderRow,0))</f>
        <v>34</v>
      </c>
      <c r="BO18" s="12">
        <f>INDEX(ovrTable,MATCH(INDEX(oppCol24,ROW()),ovrTeamCol,0),MATCH(MID(INDEX(headerRow,1,COLUMN()),4,LEN(INDEX(headerRow,1,COLUMN()))),ovrHeaderRow,0))</f>
        <v>22.2</v>
      </c>
      <c r="BP18" s="12">
        <f>INDEX(ovrTable,MATCH(INDEX(oppCol24,ROW()),ovrTeamCol,0),MATCH(MID(INDEX(headerRow,1,COLUMN()),4,LEN(INDEX(headerRow,1,COLUMN()))),ovrHeaderRow,0))</f>
        <v>1.1499999999999999</v>
      </c>
      <c r="BQ18" s="12">
        <f>INDEX(ovrTable,MATCH(INDEX(oppCol24,ROW()),ovrTeamCol,0),MATCH(MID(INDEX(headerRow,1,COLUMN()),4,LEN(INDEX(headerRow,1,COLUMN()))),ovrHeaderRow,0))</f>
        <v>13.4</v>
      </c>
      <c r="BR18" s="12">
        <f>INDEX(ovrTable,MATCH(INDEX(oppCol24,ROW()),ovrTeamCol,0),MATCH(MID(INDEX(headerRow,1,COLUMN()),4,LEN(INDEX(headerRow,1,COLUMN()))),ovrHeaderRow,0))</f>
        <v>23.24</v>
      </c>
      <c r="BS18" s="12">
        <f>INDEX(ovrTable,MATCH(INDEX(oppCol24,ROW()),ovrTeamCol,0),MATCH(MID(INDEX(headerRow,1,COLUMN()),4,LEN(INDEX(headerRow,1,COLUMN()))),ovrHeaderRow,0))</f>
        <v>4.3</v>
      </c>
      <c r="BT18" s="12">
        <f>INDEX(ovrTable,MATCH(INDEX(oppCol24,ROW()),ovrTeamCol,0),MATCH(MID(INDEX(headerRow,1,COLUMN()),4,LEN(INDEX(headerRow,1,COLUMN()))),ovrHeaderRow,0))</f>
        <v>42.3</v>
      </c>
      <c r="BU18" s="12">
        <f>INDEX(ovrTable,MATCH(INDEX(oppCol24,ROW()),ovrTeamCol,0),MATCH(MID(INDEX(headerRow,1,COLUMN()),4,LEN(INDEX(headerRow,1,COLUMN()))),ovrHeaderRow,0))</f>
        <v>24.3</v>
      </c>
      <c r="BV18" s="12">
        <f>INDEX(ovrTable,MATCH(INDEX(oppCol24,ROW()),ovrTeamCol,0),MATCH(MID(INDEX(headerRow,1,COLUMN()),4,LEN(INDEX(headerRow,1,COLUMN()))),ovrHeaderRow,0))</f>
        <v>0.503</v>
      </c>
      <c r="BW18" s="12">
        <f>INDEX(ovrTable,MATCH(INDEX(oppCol24,ROW()),ovrTeamCol,0),MATCH(MID(INDEX(headerRow,1,COLUMN()),4,LEN(INDEX(headerRow,1,COLUMN()))),ovrHeaderRow,0))</f>
        <v>11.86</v>
      </c>
      <c r="BX18" s="12">
        <f>INDEX(ovrTable,MATCH(INDEX(oppCol24,ROW()),ovrTeamCol,0),MATCH(MID(INDEX(headerRow,1,COLUMN()),4,LEN(INDEX(headerRow,1,COLUMN()))),ovrHeaderRow,0))</f>
        <v>43.6</v>
      </c>
      <c r="BY18" s="12">
        <f>INDEX(ovrTable,MATCH(INDEX(oppCol24,ROW()),ovrTeamCol,0),MATCH(MID(INDEX(headerRow,1,COLUMN()),4,LEN(INDEX(headerRow,1,COLUMN()))),ovrHeaderRow,0))</f>
        <v>17.100000000000001</v>
      </c>
      <c r="BZ18" s="12">
        <f>INDEX(ovrTable,MATCH(INDEX(oppCol24,ROW()),ovrTeamCol,0),MATCH(MID(INDEX(headerRow,1,COLUMN()),4,LEN(INDEX(headerRow,1,COLUMN()))),ovrHeaderRow,0))</f>
        <v>72</v>
      </c>
      <c r="CA18" s="12">
        <f>INDEX(ovrTable,MATCH(INDEX(oppCol24,ROW()),ovrTeamCol,0),MATCH(MID(INDEX(headerRow,1,COLUMN()),4,LEN(INDEX(headerRow,1,COLUMN()))),ovrHeaderRow,0))</f>
        <v>18.399999999999999</v>
      </c>
      <c r="CB18" s="12">
        <f>INDEX(ovrTable,MATCH(INDEX(oppCol24,ROW()),ovrTeamCol,0),MATCH(MID(INDEX(headerRow,1,COLUMN()),4,LEN(INDEX(headerRow,1,COLUMN()))),ovrHeaderRow,0))</f>
        <v>13.2</v>
      </c>
      <c r="CC18" s="12">
        <f>INDEX(ovrTable,MATCH(INDEX(oppCol24,ROW()),ovrTeamCol,0),MATCH(MID(INDEX(headerRow,1,COLUMN()),4,LEN(INDEX(headerRow,1,COLUMN()))),ovrHeaderRow,0))</f>
        <v>66.7</v>
      </c>
      <c r="CD18" s="12">
        <f>INDEX(ovrTable,MATCH(INDEX(oppCol24,ROW()),ovrTeamCol,0),MATCH(MID(INDEX(headerRow,1,COLUMN()),4,LEN(INDEX(headerRow,1,COLUMN()))),ovrHeaderRow,0))</f>
        <v>10.51</v>
      </c>
      <c r="CE18" s="12">
        <f>INDEX(ovrTable,MATCH(INDEX(oppCol24,ROW()),ovrTeamCol,0),MATCH(MID(INDEX(headerRow,1,COLUMN()),4,LEN(INDEX(headerRow,1,COLUMN()))),ovrHeaderRow,0))</f>
        <v>70.599999999999994</v>
      </c>
      <c r="CF18" s="12">
        <f>INDEX(ovrTable,MATCH(INDEX(oppCol24,ROW()),ovrTeamCol,0),MATCH(MID(INDEX(headerRow,1,COLUMN()),4,LEN(INDEX(headerRow,1,COLUMN()))),ovrHeaderRow,0))</f>
        <v>0.5</v>
      </c>
      <c r="CG18" s="12">
        <f>INDEX(ovrTable,MATCH(INDEX(oppCol24,ROW()),ovrTeamCol,0),MATCH(MID(INDEX(headerRow,1,COLUMN()),4,LEN(INDEX(headerRow,1,COLUMN()))),ovrHeaderRow,0))</f>
        <v>34.81</v>
      </c>
      <c r="CH18" s="12">
        <f>INDEX(ovrTable,MATCH(INDEX(oppCol24,ROW()),ovrTeamCol,0),MATCH(MID(INDEX(headerRow,1,COLUMN()),4,LEN(INDEX(headerRow,1,COLUMN()))),ovrHeaderRow,0))</f>
        <v>3.9</v>
      </c>
      <c r="CI18" s="12">
        <f>INDEX(ovrTable,MATCH(INDEX(oppCol24,ROW()),ovrTeamCol,0),MATCH(MID(INDEX(headerRow,1,COLUMN()),4,LEN(INDEX(headerRow,1,COLUMN()))),ovrHeaderRow,0))</f>
        <v>7.5</v>
      </c>
      <c r="CJ18" s="12">
        <f>INDEX(ovrTable,MATCH(INDEX(oppCol24,ROW()),ovrTeamCol,0),MATCH(MID(INDEX(headerRow,1,COLUMN()),4,LEN(INDEX(headerRow,1,COLUMN()))),ovrHeaderRow,0))</f>
        <v>1.4</v>
      </c>
      <c r="CK18" s="12">
        <f>INDEX(ovrTable,MATCH(INDEX(oppCol24,ROW()),ovrTeamCol,0),MATCH(MID(INDEX(headerRow,1,COLUMN()),4,LEN(INDEX(headerRow,1,COLUMN()))),ovrHeaderRow,0))</f>
        <v>13.11</v>
      </c>
      <c r="CL18" s="12">
        <f>INDEX(ovrTable,MATCH(INDEX(oppCol24,ROW()),ovrTeamCol,0),MATCH(MID(INDEX(headerRow,1,COLUMN()),4,LEN(INDEX(headerRow,1,COLUMN()))),ovrHeaderRow,0))</f>
        <v>11.7</v>
      </c>
      <c r="CM18" s="12">
        <f>INDEX(ovrTable,MATCH(INDEX(oppCol24,ROW()),ovrTeamCol,0),MATCH(MID(INDEX(headerRow,1,COLUMN()),4,LEN(INDEX(headerRow,1,COLUMN()))),ovrHeaderRow,0))</f>
        <v>68.400000000000006</v>
      </c>
      <c r="CN18" s="12">
        <f>INDEX(ovrTable,MATCH(INDEX(oppCol24,ROW()),ovrTeamCol,0),MATCH(MID(INDEX(headerRow,1,COLUMN()),4,LEN(INDEX(headerRow,1,COLUMN()))),ovrHeaderRow,0))</f>
        <v>17.449999999999996</v>
      </c>
      <c r="CO18" s="12">
        <f>INDEX(ovrTable,MATCH(INDEX(oppCol24,ROW()),ovrTeamCol,0),MATCH(MID(INDEX(headerRow,1,COLUMN()),4,LEN(INDEX(headerRow,1,COLUMN()))),ovrHeaderRow,0))</f>
        <v>57.224770642201825</v>
      </c>
    </row>
    <row r="19" spans="1:93" x14ac:dyDescent="0.3">
      <c r="A19" s="6" t="s">
        <v>12</v>
      </c>
      <c r="B19" s="3">
        <v>11</v>
      </c>
      <c r="C19" s="13" t="s">
        <v>7</v>
      </c>
      <c r="D19" s="14">
        <v>9</v>
      </c>
      <c r="E19" s="23">
        <v>33.333333333333329</v>
      </c>
      <c r="F19" s="24">
        <v>7</v>
      </c>
      <c r="G19" s="23">
        <v>38.888888888888893</v>
      </c>
      <c r="H19" s="24">
        <v>18</v>
      </c>
      <c r="I19" s="25">
        <v>1.1818181818181819</v>
      </c>
      <c r="J19" s="24">
        <v>13</v>
      </c>
      <c r="K19" s="24">
        <v>18</v>
      </c>
      <c r="L19" s="24">
        <v>7</v>
      </c>
      <c r="M19" s="24">
        <v>38.6</v>
      </c>
      <c r="N19" s="24">
        <v>23</v>
      </c>
      <c r="O19" s="26">
        <v>0.52646153846153843</v>
      </c>
      <c r="P19" s="24">
        <v>20</v>
      </c>
      <c r="Q19" s="24">
        <v>46.4</v>
      </c>
      <c r="R19" s="24">
        <v>17</v>
      </c>
      <c r="S19" s="23">
        <v>75</v>
      </c>
      <c r="T19" s="24">
        <v>16</v>
      </c>
      <c r="U19" s="24">
        <v>12</v>
      </c>
      <c r="V19" s="24">
        <v>71</v>
      </c>
      <c r="W19" s="24">
        <v>6</v>
      </c>
      <c r="X19" s="24">
        <v>67</v>
      </c>
      <c r="Y19" s="24">
        <v>-6</v>
      </c>
      <c r="Z19" s="24">
        <v>29</v>
      </c>
      <c r="AA19" s="24">
        <v>-4</v>
      </c>
      <c r="AB19" s="24">
        <v>7</v>
      </c>
      <c r="AC19" s="24">
        <v>1</v>
      </c>
      <c r="AD19" s="24">
        <v>12</v>
      </c>
      <c r="AE19" s="24">
        <v>11</v>
      </c>
      <c r="AF19" s="46">
        <f t="shared" si="3"/>
        <v>64.324137931034485</v>
      </c>
      <c r="AG19" s="51">
        <f t="shared" ref="AG19" si="22">AVERAGE(AF18,AF19)</f>
        <v>67.787651867071645</v>
      </c>
      <c r="AH19" s="12">
        <f t="shared" si="13"/>
        <v>31.8</v>
      </c>
      <c r="AI19" s="12">
        <f t="shared" si="13"/>
        <v>7.5</v>
      </c>
      <c r="AJ19" s="12">
        <f t="shared" si="13"/>
        <v>34</v>
      </c>
      <c r="AK19" s="12">
        <f t="shared" si="13"/>
        <v>22.2</v>
      </c>
      <c r="AL19" s="12">
        <f t="shared" si="13"/>
        <v>1.1499999999999999</v>
      </c>
      <c r="AM19" s="12">
        <f t="shared" si="13"/>
        <v>13.4</v>
      </c>
      <c r="AN19" s="12">
        <f t="shared" si="13"/>
        <v>23.24</v>
      </c>
      <c r="AO19" s="12">
        <f t="shared" si="13"/>
        <v>4.3</v>
      </c>
      <c r="AP19" s="12">
        <f t="shared" si="13"/>
        <v>42.3</v>
      </c>
      <c r="AQ19" s="12">
        <f t="shared" si="13"/>
        <v>24.3</v>
      </c>
      <c r="AR19" s="12">
        <f t="shared" si="14"/>
        <v>0.503</v>
      </c>
      <c r="AS19" s="12">
        <f t="shared" si="14"/>
        <v>11.86</v>
      </c>
      <c r="AT19" s="12">
        <f t="shared" si="14"/>
        <v>43.6</v>
      </c>
      <c r="AU19" s="12">
        <f t="shared" si="14"/>
        <v>17.100000000000001</v>
      </c>
      <c r="AV19" s="12">
        <f t="shared" si="14"/>
        <v>72</v>
      </c>
      <c r="AW19" s="12">
        <f t="shared" si="14"/>
        <v>18.399999999999999</v>
      </c>
      <c r="AX19" s="12">
        <f t="shared" si="14"/>
        <v>13.2</v>
      </c>
      <c r="AY19" s="12">
        <f t="shared" si="14"/>
        <v>66.7</v>
      </c>
      <c r="AZ19" s="12">
        <f t="shared" si="14"/>
        <v>10.51</v>
      </c>
      <c r="BA19" s="12">
        <f t="shared" si="14"/>
        <v>70.599999999999994</v>
      </c>
      <c r="BB19" s="12">
        <f t="shared" si="15"/>
        <v>0.5</v>
      </c>
      <c r="BC19" s="12">
        <f t="shared" si="15"/>
        <v>34.81</v>
      </c>
      <c r="BD19" s="12">
        <f t="shared" si="15"/>
        <v>3.9</v>
      </c>
      <c r="BE19" s="12">
        <f t="shared" si="15"/>
        <v>7.5</v>
      </c>
      <c r="BF19" s="12">
        <f t="shared" si="15"/>
        <v>1.4</v>
      </c>
      <c r="BG19" s="12">
        <f t="shared" si="15"/>
        <v>13.11</v>
      </c>
      <c r="BH19" s="12">
        <f t="shared" si="15"/>
        <v>11.7</v>
      </c>
      <c r="BI19" s="12">
        <f t="shared" si="15"/>
        <v>68.400000000000006</v>
      </c>
      <c r="BJ19" s="12">
        <f t="shared" si="15"/>
        <v>17.449999999999996</v>
      </c>
      <c r="BK19" s="12">
        <f t="shared" si="15"/>
        <v>57.224770642201825</v>
      </c>
      <c r="BL19" s="12">
        <f>INDEX(ovrTable,MATCH(INDEX(oppCol24,ROW()),ovrTeamCol,0),MATCH(MID(INDEX(headerRow,1,COLUMN()),4,LEN(INDEX(headerRow,1,COLUMN()))),ovrHeaderRow,0))</f>
        <v>32</v>
      </c>
      <c r="BM19" s="12">
        <f>INDEX(ovrTable,MATCH(INDEX(oppCol24,ROW()),ovrTeamCol,0),MATCH(MID(INDEX(headerRow,1,COLUMN()),4,LEN(INDEX(headerRow,1,COLUMN()))),ovrHeaderRow,0))</f>
        <v>11.1</v>
      </c>
      <c r="BN19" s="12">
        <f>INDEX(ovrTable,MATCH(INDEX(oppCol24,ROW()),ovrTeamCol,0),MATCH(MID(INDEX(headerRow,1,COLUMN()),4,LEN(INDEX(headerRow,1,COLUMN()))),ovrHeaderRow,0))</f>
        <v>34.799999999999997</v>
      </c>
      <c r="BO19" s="12">
        <f>INDEX(ovrTable,MATCH(INDEX(oppCol24,ROW()),ovrTeamCol,0),MATCH(MID(INDEX(headerRow,1,COLUMN()),4,LEN(INDEX(headerRow,1,COLUMN()))),ovrHeaderRow,0))</f>
        <v>32</v>
      </c>
      <c r="BP19" s="12">
        <f>INDEX(ovrTable,MATCH(INDEX(oppCol24,ROW()),ovrTeamCol,0),MATCH(MID(INDEX(headerRow,1,COLUMN()),4,LEN(INDEX(headerRow,1,COLUMN()))),ovrHeaderRow,0))</f>
        <v>1.73</v>
      </c>
      <c r="BQ19" s="12">
        <f>INDEX(ovrTable,MATCH(INDEX(oppCol24,ROW()),ovrTeamCol,0),MATCH(MID(INDEX(headerRow,1,COLUMN()),4,LEN(INDEX(headerRow,1,COLUMN()))),ovrHeaderRow,0))</f>
        <v>18.5</v>
      </c>
      <c r="BR19" s="12">
        <f>INDEX(ovrTable,MATCH(INDEX(oppCol24,ROW()),ovrTeamCol,0),MATCH(MID(INDEX(headerRow,1,COLUMN()),4,LEN(INDEX(headerRow,1,COLUMN()))),ovrHeaderRow,0))</f>
        <v>33.5</v>
      </c>
      <c r="BS19" s="12">
        <f>INDEX(ovrTable,MATCH(INDEX(oppCol24,ROW()),ovrTeamCol,0),MATCH(MID(INDEX(headerRow,1,COLUMN()),4,LEN(INDEX(headerRow,1,COLUMN()))),ovrHeaderRow,0))</f>
        <v>3</v>
      </c>
      <c r="BT19" s="12">
        <f>INDEX(ovrTable,MATCH(INDEX(oppCol24,ROW()),ovrTeamCol,0),MATCH(MID(INDEX(headerRow,1,COLUMN()),4,LEN(INDEX(headerRow,1,COLUMN()))),ovrHeaderRow,0))</f>
        <v>42.7</v>
      </c>
      <c r="BU19" s="12">
        <f>INDEX(ovrTable,MATCH(INDEX(oppCol24,ROW()),ovrTeamCol,0),MATCH(MID(INDEX(headerRow,1,COLUMN()),4,LEN(INDEX(headerRow,1,COLUMN()))),ovrHeaderRow,0))</f>
        <v>27.59</v>
      </c>
      <c r="BV19" s="12">
        <f>INDEX(ovrTable,MATCH(INDEX(oppCol24,ROW()),ovrTeamCol,0),MATCH(MID(INDEX(headerRow,1,COLUMN()),4,LEN(INDEX(headerRow,1,COLUMN()))),ovrHeaderRow,0))</f>
        <v>0.54800000000000004</v>
      </c>
      <c r="BW19" s="12">
        <f>INDEX(ovrTable,MATCH(INDEX(oppCol24,ROW()),ovrTeamCol,0),MATCH(MID(INDEX(headerRow,1,COLUMN()),4,LEN(INDEX(headerRow,1,COLUMN()))),ovrHeaderRow,0))</f>
        <v>12.21</v>
      </c>
      <c r="BX19" s="12">
        <f>INDEX(ovrTable,MATCH(INDEX(oppCol24,ROW()),ovrTeamCol,0),MATCH(MID(INDEX(headerRow,1,COLUMN()),4,LEN(INDEX(headerRow,1,COLUMN()))),ovrHeaderRow,0))</f>
        <v>46</v>
      </c>
      <c r="BY19" s="12">
        <f>INDEX(ovrTable,MATCH(INDEX(oppCol24,ROW()),ovrTeamCol,0),MATCH(MID(INDEX(headerRow,1,COLUMN()),4,LEN(INDEX(headerRow,1,COLUMN()))),ovrHeaderRow,0))</f>
        <v>17.7</v>
      </c>
      <c r="BZ19" s="12">
        <f>INDEX(ovrTable,MATCH(INDEX(oppCol24,ROW()),ovrTeamCol,0),MATCH(MID(INDEX(headerRow,1,COLUMN()),4,LEN(INDEX(headerRow,1,COLUMN()))),ovrHeaderRow,0))</f>
        <v>74.2</v>
      </c>
      <c r="CA19" s="12">
        <f>INDEX(ovrTable,MATCH(INDEX(oppCol24,ROW()),ovrTeamCol,0),MATCH(MID(INDEX(headerRow,1,COLUMN()),4,LEN(INDEX(headerRow,1,COLUMN()))),ovrHeaderRow,0))</f>
        <v>16.100000000000001</v>
      </c>
      <c r="CB19" s="12">
        <f>INDEX(ovrTable,MATCH(INDEX(oppCol24,ROW()),ovrTeamCol,0),MATCH(MID(INDEX(headerRow,1,COLUMN()),4,LEN(INDEX(headerRow,1,COLUMN()))),ovrHeaderRow,0))</f>
        <v>11.9</v>
      </c>
      <c r="CC19" s="12">
        <f>INDEX(ovrTable,MATCH(INDEX(oppCol24,ROW()),ovrTeamCol,0),MATCH(MID(INDEX(headerRow,1,COLUMN()),4,LEN(INDEX(headerRow,1,COLUMN()))),ovrHeaderRow,0))</f>
        <v>69.900000000000006</v>
      </c>
      <c r="CD19" s="12">
        <f>INDEX(ovrTable,MATCH(INDEX(oppCol24,ROW()),ovrTeamCol,0),MATCH(MID(INDEX(headerRow,1,COLUMN()),4,LEN(INDEX(headerRow,1,COLUMN()))),ovrHeaderRow,0))</f>
        <v>11.91</v>
      </c>
      <c r="CE19" s="12">
        <f>INDEX(ovrTable,MATCH(INDEX(oppCol24,ROW()),ovrTeamCol,0),MATCH(MID(INDEX(headerRow,1,COLUMN()),4,LEN(INDEX(headerRow,1,COLUMN()))),ovrHeaderRow,0))</f>
        <v>81.400000000000006</v>
      </c>
      <c r="CF19" s="12">
        <f>INDEX(ovrTable,MATCH(INDEX(oppCol24,ROW()),ovrTeamCol,0),MATCH(MID(INDEX(headerRow,1,COLUMN()),4,LEN(INDEX(headerRow,1,COLUMN()))),ovrHeaderRow,0))</f>
        <v>6.1</v>
      </c>
      <c r="CG19" s="12">
        <f>INDEX(ovrTable,MATCH(INDEX(oppCol24,ROW()),ovrTeamCol,0),MATCH(MID(INDEX(headerRow,1,COLUMN()),4,LEN(INDEX(headerRow,1,COLUMN()))),ovrHeaderRow,0))</f>
        <v>39.5</v>
      </c>
      <c r="CH19" s="12">
        <f>INDEX(ovrTable,MATCH(INDEX(oppCol24,ROW()),ovrTeamCol,0),MATCH(MID(INDEX(headerRow,1,COLUMN()),4,LEN(INDEX(headerRow,1,COLUMN()))),ovrHeaderRow,0))</f>
        <v>11.5</v>
      </c>
      <c r="CI19" s="12">
        <f>INDEX(ovrTable,MATCH(INDEX(oppCol24,ROW()),ovrTeamCol,0),MATCH(MID(INDEX(headerRow,1,COLUMN()),4,LEN(INDEX(headerRow,1,COLUMN()))),ovrHeaderRow,0))</f>
        <v>5.9</v>
      </c>
      <c r="CJ19" s="12">
        <f>INDEX(ovrTable,MATCH(INDEX(oppCol24,ROW()),ovrTeamCol,0),MATCH(MID(INDEX(headerRow,1,COLUMN()),4,LEN(INDEX(headerRow,1,COLUMN()))),ovrHeaderRow,0))</f>
        <v>0.5</v>
      </c>
      <c r="CK19" s="12">
        <f>INDEX(ovrTable,MATCH(INDEX(oppCol24,ROW()),ovrTeamCol,0),MATCH(MID(INDEX(headerRow,1,COLUMN()),4,LEN(INDEX(headerRow,1,COLUMN()))),ovrHeaderRow,0))</f>
        <v>11.21</v>
      </c>
      <c r="CL19" s="12">
        <f>INDEX(ovrTable,MATCH(INDEX(oppCol24,ROW()),ovrTeamCol,0),MATCH(MID(INDEX(headerRow,1,COLUMN()),4,LEN(INDEX(headerRow,1,COLUMN()))),ovrHeaderRow,0))</f>
        <v>10.7</v>
      </c>
      <c r="CM19" s="12">
        <f>INDEX(ovrTable,MATCH(INDEX(oppCol24,ROW()),ovrTeamCol,0),MATCH(MID(INDEX(headerRow,1,COLUMN()),4,LEN(INDEX(headerRow,1,COLUMN()))),ovrHeaderRow,0))</f>
        <v>71.900000000000006</v>
      </c>
      <c r="CN19" s="12">
        <f>INDEX(ovrTable,MATCH(INDEX(oppCol24,ROW()),ovrTeamCol,0),MATCH(MID(INDEX(headerRow,1,COLUMN()),4,LEN(INDEX(headerRow,1,COLUMN()))),ovrHeaderRow,0))</f>
        <v>18.100000000000001</v>
      </c>
      <c r="CO19" s="12">
        <f>INDEX(ovrTable,MATCH(INDEX(oppCol24,ROW()),ovrTeamCol,0),MATCH(MID(INDEX(headerRow,1,COLUMN()),4,LEN(INDEX(headerRow,1,COLUMN()))),ovrHeaderRow,0))</f>
        <v>63.478260869565226</v>
      </c>
    </row>
    <row r="20" spans="1:93" x14ac:dyDescent="0.3">
      <c r="A20" s="6" t="s">
        <v>15</v>
      </c>
      <c r="B20" s="3">
        <v>14</v>
      </c>
      <c r="C20" s="13" t="s">
        <v>4</v>
      </c>
      <c r="D20" s="14">
        <v>10</v>
      </c>
      <c r="E20" s="23">
        <v>46.153846153846153</v>
      </c>
      <c r="F20" s="24">
        <v>11</v>
      </c>
      <c r="G20" s="23">
        <v>36.666666666666664</v>
      </c>
      <c r="H20" s="24">
        <v>30</v>
      </c>
      <c r="I20" s="25">
        <v>2.3333333333333335</v>
      </c>
      <c r="J20" s="24">
        <v>14</v>
      </c>
      <c r="K20" s="24">
        <v>3</v>
      </c>
      <c r="L20" s="24">
        <v>0</v>
      </c>
      <c r="M20" s="24">
        <v>54.2</v>
      </c>
      <c r="N20" s="24">
        <v>20</v>
      </c>
      <c r="O20" s="26">
        <v>0.48461538461538461</v>
      </c>
      <c r="P20" s="24">
        <v>10</v>
      </c>
      <c r="Q20" s="24">
        <v>40</v>
      </c>
      <c r="R20" s="24">
        <v>13</v>
      </c>
      <c r="S20" s="23">
        <v>75</v>
      </c>
      <c r="T20" s="24">
        <v>8</v>
      </c>
      <c r="U20" s="24">
        <v>6</v>
      </c>
      <c r="V20" s="24">
        <v>85</v>
      </c>
      <c r="W20" s="24">
        <v>12</v>
      </c>
      <c r="X20" s="24">
        <v>69</v>
      </c>
      <c r="Y20" s="24">
        <v>-5</v>
      </c>
      <c r="Z20" s="24">
        <v>32</v>
      </c>
      <c r="AA20" s="24">
        <v>-16</v>
      </c>
      <c r="AB20" s="24">
        <v>7</v>
      </c>
      <c r="AC20" s="24">
        <v>3</v>
      </c>
      <c r="AD20" s="24">
        <v>9</v>
      </c>
      <c r="AE20" s="24">
        <v>6</v>
      </c>
      <c r="AF20" s="46">
        <f t="shared" si="3"/>
        <v>62.8</v>
      </c>
      <c r="AG20" s="51">
        <f t="shared" ref="AG20" si="23">AVERAGE(AF20,AF21)</f>
        <v>63.770295202952028</v>
      </c>
      <c r="AH20" s="12">
        <f t="shared" si="13"/>
        <v>30.2</v>
      </c>
      <c r="AI20" s="12">
        <f t="shared" si="13"/>
        <v>9.4</v>
      </c>
      <c r="AJ20" s="12">
        <f t="shared" si="13"/>
        <v>36.1</v>
      </c>
      <c r="AK20" s="12">
        <f t="shared" si="13"/>
        <v>26.1</v>
      </c>
      <c r="AL20" s="12">
        <f t="shared" si="13"/>
        <v>1.27</v>
      </c>
      <c r="AM20" s="12">
        <f t="shared" si="13"/>
        <v>15</v>
      </c>
      <c r="AN20" s="12">
        <f t="shared" si="13"/>
        <v>12.71</v>
      </c>
      <c r="AO20" s="12">
        <f t="shared" si="13"/>
        <v>4.5999999999999996</v>
      </c>
      <c r="AP20" s="12">
        <f t="shared" si="13"/>
        <v>39.299999999999997</v>
      </c>
      <c r="AQ20" s="12">
        <f t="shared" si="13"/>
        <v>27.57</v>
      </c>
      <c r="AR20" s="12">
        <f t="shared" si="14"/>
        <v>0.54800000000000004</v>
      </c>
      <c r="AS20" s="12">
        <f t="shared" si="14"/>
        <v>7.09</v>
      </c>
      <c r="AT20" s="12">
        <f t="shared" si="14"/>
        <v>46.7</v>
      </c>
      <c r="AU20" s="12">
        <f t="shared" si="14"/>
        <v>15.8</v>
      </c>
      <c r="AV20" s="12">
        <f t="shared" si="14"/>
        <v>70.599999999999994</v>
      </c>
      <c r="AW20" s="12">
        <f t="shared" si="14"/>
        <v>16.899999999999999</v>
      </c>
      <c r="AX20" s="12">
        <f t="shared" si="14"/>
        <v>11.9</v>
      </c>
      <c r="AY20" s="12">
        <f t="shared" si="14"/>
        <v>63.4</v>
      </c>
      <c r="AZ20" s="12">
        <f t="shared" si="14"/>
        <v>11.63</v>
      </c>
      <c r="BA20" s="12">
        <f t="shared" si="14"/>
        <v>75.3</v>
      </c>
      <c r="BB20" s="12">
        <f t="shared" si="15"/>
        <v>8.5</v>
      </c>
      <c r="BC20" s="12">
        <f t="shared" si="15"/>
        <v>39.200000000000003</v>
      </c>
      <c r="BD20" s="12">
        <f t="shared" si="15"/>
        <v>11.9</v>
      </c>
      <c r="BE20" s="12">
        <f t="shared" si="15"/>
        <v>5.9</v>
      </c>
      <c r="BF20" s="12">
        <f t="shared" si="15"/>
        <v>-1.3</v>
      </c>
      <c r="BG20" s="12">
        <f t="shared" si="15"/>
        <v>10.49</v>
      </c>
      <c r="BH20" s="12">
        <f t="shared" si="15"/>
        <v>11.8</v>
      </c>
      <c r="BI20" s="12">
        <f t="shared" si="15"/>
        <v>67.3</v>
      </c>
      <c r="BJ20" s="12">
        <f t="shared" si="15"/>
        <v>17.599999999999998</v>
      </c>
      <c r="BK20" s="12">
        <f t="shared" si="15"/>
        <v>57.815845824411134</v>
      </c>
      <c r="BL20" s="12">
        <f>INDEX(ovrTable,MATCH(INDEX(oppCol24,ROW()),ovrTeamCol,0),MATCH(MID(INDEX(headerRow,1,COLUMN()),4,LEN(INDEX(headerRow,1,COLUMN()))),ovrHeaderRow,0))</f>
        <v>34.1</v>
      </c>
      <c r="BM20" s="12">
        <f>INDEX(ovrTable,MATCH(INDEX(oppCol24,ROW()),ovrTeamCol,0),MATCH(MID(INDEX(headerRow,1,COLUMN()),4,LEN(INDEX(headerRow,1,COLUMN()))),ovrHeaderRow,0))</f>
        <v>8.3000000000000007</v>
      </c>
      <c r="BN20" s="12">
        <f>INDEX(ovrTable,MATCH(INDEX(oppCol24,ROW()),ovrTeamCol,0),MATCH(MID(INDEX(headerRow,1,COLUMN()),4,LEN(INDEX(headerRow,1,COLUMN()))),ovrHeaderRow,0))</f>
        <v>34.9</v>
      </c>
      <c r="BO20" s="12">
        <f>INDEX(ovrTable,MATCH(INDEX(oppCol24,ROW()),ovrTeamCol,0),MATCH(MID(INDEX(headerRow,1,COLUMN()),4,LEN(INDEX(headerRow,1,COLUMN()))),ovrHeaderRow,0))</f>
        <v>23.9</v>
      </c>
      <c r="BP20" s="12">
        <f>INDEX(ovrTable,MATCH(INDEX(oppCol24,ROW()),ovrTeamCol,0),MATCH(MID(INDEX(headerRow,1,COLUMN()),4,LEN(INDEX(headerRow,1,COLUMN()))),ovrHeaderRow,0))</f>
        <v>1.26</v>
      </c>
      <c r="BQ20" s="12">
        <f>INDEX(ovrTable,MATCH(INDEX(oppCol24,ROW()),ovrTeamCol,0),MATCH(MID(INDEX(headerRow,1,COLUMN()),4,LEN(INDEX(headerRow,1,COLUMN()))),ovrHeaderRow,0))</f>
        <v>13.3</v>
      </c>
      <c r="BR20" s="12">
        <f>INDEX(ovrTable,MATCH(INDEX(oppCol24,ROW()),ovrTeamCol,0),MATCH(MID(INDEX(headerRow,1,COLUMN()),4,LEN(INDEX(headerRow,1,COLUMN()))),ovrHeaderRow,0))</f>
        <v>19.18</v>
      </c>
      <c r="BS20" s="12">
        <f>INDEX(ovrTable,MATCH(INDEX(oppCol24,ROW()),ovrTeamCol,0),MATCH(MID(INDEX(headerRow,1,COLUMN()),4,LEN(INDEX(headerRow,1,COLUMN()))),ovrHeaderRow,0))</f>
        <v>3.8</v>
      </c>
      <c r="BT20" s="12">
        <f>INDEX(ovrTable,MATCH(INDEX(oppCol24,ROW()),ovrTeamCol,0),MATCH(MID(INDEX(headerRow,1,COLUMN()),4,LEN(INDEX(headerRow,1,COLUMN()))),ovrHeaderRow,0))</f>
        <v>43.2</v>
      </c>
      <c r="BU20" s="12">
        <f>INDEX(ovrTable,MATCH(INDEX(oppCol24,ROW()),ovrTeamCol,0),MATCH(MID(INDEX(headerRow,1,COLUMN()),4,LEN(INDEX(headerRow,1,COLUMN()))),ovrHeaderRow,0))</f>
        <v>28.11</v>
      </c>
      <c r="BV20" s="12">
        <f>INDEX(ovrTable,MATCH(INDEX(oppCol24,ROW()),ovrTeamCol,0),MATCH(MID(INDEX(headerRow,1,COLUMN()),4,LEN(INDEX(headerRow,1,COLUMN()))),ovrHeaderRow,0))</f>
        <v>0.53600000000000003</v>
      </c>
      <c r="BW20" s="12">
        <f>INDEX(ovrTable,MATCH(INDEX(oppCol24,ROW()),ovrTeamCol,0),MATCH(MID(INDEX(headerRow,1,COLUMN()),4,LEN(INDEX(headerRow,1,COLUMN()))),ovrHeaderRow,0))</f>
        <v>11.47</v>
      </c>
      <c r="BX20" s="12">
        <f>INDEX(ovrTable,MATCH(INDEX(oppCol24,ROW()),ovrTeamCol,0),MATCH(MID(INDEX(headerRow,1,COLUMN()),4,LEN(INDEX(headerRow,1,COLUMN()))),ovrHeaderRow,0))</f>
        <v>46.9</v>
      </c>
      <c r="BY20" s="12">
        <f>INDEX(ovrTable,MATCH(INDEX(oppCol24,ROW()),ovrTeamCol,0),MATCH(MID(INDEX(headerRow,1,COLUMN()),4,LEN(INDEX(headerRow,1,COLUMN()))),ovrHeaderRow,0))</f>
        <v>15.2</v>
      </c>
      <c r="BZ20" s="12">
        <f>INDEX(ovrTable,MATCH(INDEX(oppCol24,ROW()),ovrTeamCol,0),MATCH(MID(INDEX(headerRow,1,COLUMN()),4,LEN(INDEX(headerRow,1,COLUMN()))),ovrHeaderRow,0))</f>
        <v>73.599999999999994</v>
      </c>
      <c r="CA20" s="12">
        <f>INDEX(ovrTable,MATCH(INDEX(oppCol24,ROW()),ovrTeamCol,0),MATCH(MID(INDEX(headerRow,1,COLUMN()),4,LEN(INDEX(headerRow,1,COLUMN()))),ovrHeaderRow,0))</f>
        <v>23</v>
      </c>
      <c r="CB20" s="12">
        <f>INDEX(ovrTable,MATCH(INDEX(oppCol24,ROW()),ovrTeamCol,0),MATCH(MID(INDEX(headerRow,1,COLUMN()),4,LEN(INDEX(headerRow,1,COLUMN()))),ovrHeaderRow,0))</f>
        <v>16.899999999999999</v>
      </c>
      <c r="CC20" s="12">
        <f>INDEX(ovrTable,MATCH(INDEX(oppCol24,ROW()),ovrTeamCol,0),MATCH(MID(INDEX(headerRow,1,COLUMN()),4,LEN(INDEX(headerRow,1,COLUMN()))),ovrHeaderRow,0))</f>
        <v>73.3</v>
      </c>
      <c r="CD20" s="12">
        <f>INDEX(ovrTable,MATCH(INDEX(oppCol24,ROW()),ovrTeamCol,0),MATCH(MID(INDEX(headerRow,1,COLUMN()),4,LEN(INDEX(headerRow,1,COLUMN()))),ovrHeaderRow,0))</f>
        <v>12.79</v>
      </c>
      <c r="CE20" s="12">
        <f>INDEX(ovrTable,MATCH(INDEX(oppCol24,ROW()),ovrTeamCol,0),MATCH(MID(INDEX(headerRow,1,COLUMN()),4,LEN(INDEX(headerRow,1,COLUMN()))),ovrHeaderRow,0))</f>
        <v>83.4</v>
      </c>
      <c r="CF20" s="12">
        <f>INDEX(ovrTable,MATCH(INDEX(oppCol24,ROW()),ovrTeamCol,0),MATCH(MID(INDEX(headerRow,1,COLUMN()),4,LEN(INDEX(headerRow,1,COLUMN()))),ovrHeaderRow,0))</f>
        <v>7.8</v>
      </c>
      <c r="CG20" s="12">
        <f>INDEX(ovrTable,MATCH(INDEX(oppCol24,ROW()),ovrTeamCol,0),MATCH(MID(INDEX(headerRow,1,COLUMN()),4,LEN(INDEX(headerRow,1,COLUMN()))),ovrHeaderRow,0))</f>
        <v>40.89</v>
      </c>
      <c r="CH20" s="12">
        <f>INDEX(ovrTable,MATCH(INDEX(oppCol24,ROW()),ovrTeamCol,0),MATCH(MID(INDEX(headerRow,1,COLUMN()),4,LEN(INDEX(headerRow,1,COLUMN()))),ovrHeaderRow,0))</f>
        <v>10</v>
      </c>
      <c r="CI20" s="12">
        <f>INDEX(ovrTable,MATCH(INDEX(oppCol24,ROW()),ovrTeamCol,0),MATCH(MID(INDEX(headerRow,1,COLUMN()),4,LEN(INDEX(headerRow,1,COLUMN()))),ovrHeaderRow,0))</f>
        <v>4.4000000000000004</v>
      </c>
      <c r="CJ20" s="12">
        <f>INDEX(ovrTable,MATCH(INDEX(oppCol24,ROW()),ovrTeamCol,0),MATCH(MID(INDEX(headerRow,1,COLUMN()),4,LEN(INDEX(headerRow,1,COLUMN()))),ovrHeaderRow,0))</f>
        <v>-1.8</v>
      </c>
      <c r="CK20" s="12">
        <f>INDEX(ovrTable,MATCH(INDEX(oppCol24,ROW()),ovrTeamCol,0),MATCH(MID(INDEX(headerRow,1,COLUMN()),4,LEN(INDEX(headerRow,1,COLUMN()))),ovrHeaderRow,0))</f>
        <v>8.7100000000000009</v>
      </c>
      <c r="CL20" s="12">
        <f>INDEX(ovrTable,MATCH(INDEX(oppCol24,ROW()),ovrTeamCol,0),MATCH(MID(INDEX(headerRow,1,COLUMN()),4,LEN(INDEX(headerRow,1,COLUMN()))),ovrHeaderRow,0))</f>
        <v>10.6</v>
      </c>
      <c r="CM20" s="12">
        <f>INDEX(ovrTable,MATCH(INDEX(oppCol24,ROW()),ovrTeamCol,0),MATCH(MID(INDEX(headerRow,1,COLUMN()),4,LEN(INDEX(headerRow,1,COLUMN()))),ovrHeaderRow,0))</f>
        <v>72.3</v>
      </c>
      <c r="CN20" s="12">
        <f>INDEX(ovrTable,MATCH(INDEX(oppCol24,ROW()),ovrTeamCol,0),MATCH(MID(INDEX(headerRow,1,COLUMN()),4,LEN(INDEX(headerRow,1,COLUMN()))),ovrHeaderRow,0))</f>
        <v>20.799999999999997</v>
      </c>
      <c r="CO20" s="12">
        <f>INDEX(ovrTable,MATCH(INDEX(oppCol24,ROW()),ovrTeamCol,0),MATCH(MID(INDEX(headerRow,1,COLUMN()),4,LEN(INDEX(headerRow,1,COLUMN()))),ovrHeaderRow,0))</f>
        <v>62.046908315565034</v>
      </c>
    </row>
    <row r="21" spans="1:93" x14ac:dyDescent="0.3">
      <c r="A21" s="6" t="s">
        <v>4</v>
      </c>
      <c r="B21" s="3">
        <v>3</v>
      </c>
      <c r="C21" s="13" t="s">
        <v>15</v>
      </c>
      <c r="D21" s="14">
        <v>10</v>
      </c>
      <c r="E21" s="23">
        <v>36.666666666666664</v>
      </c>
      <c r="F21" s="24">
        <v>12</v>
      </c>
      <c r="G21" s="23">
        <v>46.153846153846153</v>
      </c>
      <c r="H21" s="24">
        <v>26</v>
      </c>
      <c r="I21" s="25">
        <v>2.6666666666666665</v>
      </c>
      <c r="J21" s="24">
        <v>24</v>
      </c>
      <c r="K21" s="24">
        <v>37</v>
      </c>
      <c r="L21" s="24">
        <v>7</v>
      </c>
      <c r="M21" s="24">
        <v>40</v>
      </c>
      <c r="N21" s="24">
        <v>28</v>
      </c>
      <c r="O21" s="26">
        <v>0.643625</v>
      </c>
      <c r="P21" s="24">
        <v>14</v>
      </c>
      <c r="Q21" s="24">
        <v>54.2</v>
      </c>
      <c r="R21" s="24">
        <v>9</v>
      </c>
      <c r="S21" s="23">
        <v>75</v>
      </c>
      <c r="T21" s="24">
        <v>12</v>
      </c>
      <c r="U21" s="24">
        <v>9</v>
      </c>
      <c r="V21" s="24">
        <v>69</v>
      </c>
      <c r="W21" s="24">
        <v>9</v>
      </c>
      <c r="X21" s="24">
        <v>85</v>
      </c>
      <c r="Y21" s="24">
        <v>5</v>
      </c>
      <c r="Z21" s="24">
        <v>37</v>
      </c>
      <c r="AA21" s="24">
        <v>16</v>
      </c>
      <c r="AB21" s="24">
        <v>5</v>
      </c>
      <c r="AC21" s="24">
        <v>-3</v>
      </c>
      <c r="AD21" s="24">
        <v>6</v>
      </c>
      <c r="AE21" s="24">
        <v>9</v>
      </c>
      <c r="AF21" s="46">
        <f t="shared" si="3"/>
        <v>64.740590405904058</v>
      </c>
      <c r="AG21" s="51">
        <f t="shared" ref="AG21" si="24">AVERAGE(AF20,AF21)</f>
        <v>63.770295202952028</v>
      </c>
      <c r="AH21" s="12">
        <f t="shared" si="13"/>
        <v>34.1</v>
      </c>
      <c r="AI21" s="12">
        <f t="shared" si="13"/>
        <v>8.3000000000000007</v>
      </c>
      <c r="AJ21" s="12">
        <f t="shared" si="13"/>
        <v>34.9</v>
      </c>
      <c r="AK21" s="12">
        <f t="shared" si="13"/>
        <v>23.9</v>
      </c>
      <c r="AL21" s="12">
        <f t="shared" si="13"/>
        <v>1.26</v>
      </c>
      <c r="AM21" s="12">
        <f t="shared" si="13"/>
        <v>13.3</v>
      </c>
      <c r="AN21" s="12">
        <f t="shared" si="13"/>
        <v>19.18</v>
      </c>
      <c r="AO21" s="12">
        <f t="shared" si="13"/>
        <v>3.8</v>
      </c>
      <c r="AP21" s="12">
        <f t="shared" si="13"/>
        <v>43.2</v>
      </c>
      <c r="AQ21" s="12">
        <f t="shared" si="13"/>
        <v>28.11</v>
      </c>
      <c r="AR21" s="12">
        <f t="shared" si="14"/>
        <v>0.53600000000000003</v>
      </c>
      <c r="AS21" s="12">
        <f t="shared" si="14"/>
        <v>11.47</v>
      </c>
      <c r="AT21" s="12">
        <f t="shared" si="14"/>
        <v>46.9</v>
      </c>
      <c r="AU21" s="12">
        <f t="shared" si="14"/>
        <v>15.2</v>
      </c>
      <c r="AV21" s="12">
        <f t="shared" si="14"/>
        <v>73.599999999999994</v>
      </c>
      <c r="AW21" s="12">
        <f t="shared" si="14"/>
        <v>23</v>
      </c>
      <c r="AX21" s="12">
        <f t="shared" si="14"/>
        <v>16.899999999999999</v>
      </c>
      <c r="AY21" s="12">
        <f t="shared" si="14"/>
        <v>73.3</v>
      </c>
      <c r="AZ21" s="12">
        <f t="shared" si="14"/>
        <v>12.79</v>
      </c>
      <c r="BA21" s="12">
        <f t="shared" si="14"/>
        <v>83.4</v>
      </c>
      <c r="BB21" s="12">
        <f t="shared" si="15"/>
        <v>7.8</v>
      </c>
      <c r="BC21" s="12">
        <f t="shared" si="15"/>
        <v>40.89</v>
      </c>
      <c r="BD21" s="12">
        <f t="shared" si="15"/>
        <v>10</v>
      </c>
      <c r="BE21" s="12">
        <f t="shared" si="15"/>
        <v>4.4000000000000004</v>
      </c>
      <c r="BF21" s="12">
        <f t="shared" si="15"/>
        <v>-1.8</v>
      </c>
      <c r="BG21" s="12">
        <f t="shared" si="15"/>
        <v>8.7100000000000009</v>
      </c>
      <c r="BH21" s="12">
        <f t="shared" si="15"/>
        <v>10.6</v>
      </c>
      <c r="BI21" s="12">
        <f t="shared" si="15"/>
        <v>72.3</v>
      </c>
      <c r="BJ21" s="12">
        <f t="shared" si="15"/>
        <v>20.799999999999997</v>
      </c>
      <c r="BK21" s="12">
        <f t="shared" si="15"/>
        <v>62.046908315565034</v>
      </c>
      <c r="BL21" s="12">
        <f>INDEX(ovrTable,MATCH(INDEX(oppCol24,ROW()),ovrTeamCol,0),MATCH(MID(INDEX(headerRow,1,COLUMN()),4,LEN(INDEX(headerRow,1,COLUMN()))),ovrHeaderRow,0))</f>
        <v>30.2</v>
      </c>
      <c r="BM21" s="12">
        <f>INDEX(ovrTable,MATCH(INDEX(oppCol24,ROW()),ovrTeamCol,0),MATCH(MID(INDEX(headerRow,1,COLUMN()),4,LEN(INDEX(headerRow,1,COLUMN()))),ovrHeaderRow,0))</f>
        <v>9.4</v>
      </c>
      <c r="BN21" s="12">
        <f>INDEX(ovrTable,MATCH(INDEX(oppCol24,ROW()),ovrTeamCol,0),MATCH(MID(INDEX(headerRow,1,COLUMN()),4,LEN(INDEX(headerRow,1,COLUMN()))),ovrHeaderRow,0))</f>
        <v>36.1</v>
      </c>
      <c r="BO21" s="12">
        <f>INDEX(ovrTable,MATCH(INDEX(oppCol24,ROW()),ovrTeamCol,0),MATCH(MID(INDEX(headerRow,1,COLUMN()),4,LEN(INDEX(headerRow,1,COLUMN()))),ovrHeaderRow,0))</f>
        <v>26.1</v>
      </c>
      <c r="BP21" s="12">
        <f>INDEX(ovrTable,MATCH(INDEX(oppCol24,ROW()),ovrTeamCol,0),MATCH(MID(INDEX(headerRow,1,COLUMN()),4,LEN(INDEX(headerRow,1,COLUMN()))),ovrHeaderRow,0))</f>
        <v>1.27</v>
      </c>
      <c r="BQ21" s="12">
        <f>INDEX(ovrTable,MATCH(INDEX(oppCol24,ROW()),ovrTeamCol,0),MATCH(MID(INDEX(headerRow,1,COLUMN()),4,LEN(INDEX(headerRow,1,COLUMN()))),ovrHeaderRow,0))</f>
        <v>15</v>
      </c>
      <c r="BR21" s="12">
        <f>INDEX(ovrTable,MATCH(INDEX(oppCol24,ROW()),ovrTeamCol,0),MATCH(MID(INDEX(headerRow,1,COLUMN()),4,LEN(INDEX(headerRow,1,COLUMN()))),ovrHeaderRow,0))</f>
        <v>12.71</v>
      </c>
      <c r="BS21" s="12">
        <f>INDEX(ovrTable,MATCH(INDEX(oppCol24,ROW()),ovrTeamCol,0),MATCH(MID(INDEX(headerRow,1,COLUMN()),4,LEN(INDEX(headerRow,1,COLUMN()))),ovrHeaderRow,0))</f>
        <v>4.5999999999999996</v>
      </c>
      <c r="BT21" s="12">
        <f>INDEX(ovrTable,MATCH(INDEX(oppCol24,ROW()),ovrTeamCol,0),MATCH(MID(INDEX(headerRow,1,COLUMN()),4,LEN(INDEX(headerRow,1,COLUMN()))),ovrHeaderRow,0))</f>
        <v>39.299999999999997</v>
      </c>
      <c r="BU21" s="12">
        <f>INDEX(ovrTable,MATCH(INDEX(oppCol24,ROW()),ovrTeamCol,0),MATCH(MID(INDEX(headerRow,1,COLUMN()),4,LEN(INDEX(headerRow,1,COLUMN()))),ovrHeaderRow,0))</f>
        <v>27.57</v>
      </c>
      <c r="BV21" s="12">
        <f>INDEX(ovrTable,MATCH(INDEX(oppCol24,ROW()),ovrTeamCol,0),MATCH(MID(INDEX(headerRow,1,COLUMN()),4,LEN(INDEX(headerRow,1,COLUMN()))),ovrHeaderRow,0))</f>
        <v>0.54800000000000004</v>
      </c>
      <c r="BW21" s="12">
        <f>INDEX(ovrTable,MATCH(INDEX(oppCol24,ROW()),ovrTeamCol,0),MATCH(MID(INDEX(headerRow,1,COLUMN()),4,LEN(INDEX(headerRow,1,COLUMN()))),ovrHeaderRow,0))</f>
        <v>7.09</v>
      </c>
      <c r="BX21" s="12">
        <f>INDEX(ovrTable,MATCH(INDEX(oppCol24,ROW()),ovrTeamCol,0),MATCH(MID(INDEX(headerRow,1,COLUMN()),4,LEN(INDEX(headerRow,1,COLUMN()))),ovrHeaderRow,0))</f>
        <v>46.7</v>
      </c>
      <c r="BY21" s="12">
        <f>INDEX(ovrTable,MATCH(INDEX(oppCol24,ROW()),ovrTeamCol,0),MATCH(MID(INDEX(headerRow,1,COLUMN()),4,LEN(INDEX(headerRow,1,COLUMN()))),ovrHeaderRow,0))</f>
        <v>15.8</v>
      </c>
      <c r="BZ21" s="12">
        <f>INDEX(ovrTable,MATCH(INDEX(oppCol24,ROW()),ovrTeamCol,0),MATCH(MID(INDEX(headerRow,1,COLUMN()),4,LEN(INDEX(headerRow,1,COLUMN()))),ovrHeaderRow,0))</f>
        <v>70.599999999999994</v>
      </c>
      <c r="CA21" s="12">
        <f>INDEX(ovrTable,MATCH(INDEX(oppCol24,ROW()),ovrTeamCol,0),MATCH(MID(INDEX(headerRow,1,COLUMN()),4,LEN(INDEX(headerRow,1,COLUMN()))),ovrHeaderRow,0))</f>
        <v>16.899999999999999</v>
      </c>
      <c r="CB21" s="12">
        <f>INDEX(ovrTable,MATCH(INDEX(oppCol24,ROW()),ovrTeamCol,0),MATCH(MID(INDEX(headerRow,1,COLUMN()),4,LEN(INDEX(headerRow,1,COLUMN()))),ovrHeaderRow,0))</f>
        <v>11.9</v>
      </c>
      <c r="CC21" s="12">
        <f>INDEX(ovrTable,MATCH(INDEX(oppCol24,ROW()),ovrTeamCol,0),MATCH(MID(INDEX(headerRow,1,COLUMN()),4,LEN(INDEX(headerRow,1,COLUMN()))),ovrHeaderRow,0))</f>
        <v>63.4</v>
      </c>
      <c r="CD21" s="12">
        <f>INDEX(ovrTable,MATCH(INDEX(oppCol24,ROW()),ovrTeamCol,0),MATCH(MID(INDEX(headerRow,1,COLUMN()),4,LEN(INDEX(headerRow,1,COLUMN()))),ovrHeaderRow,0))</f>
        <v>11.63</v>
      </c>
      <c r="CE21" s="12">
        <f>INDEX(ovrTable,MATCH(INDEX(oppCol24,ROW()),ovrTeamCol,0),MATCH(MID(INDEX(headerRow,1,COLUMN()),4,LEN(INDEX(headerRow,1,COLUMN()))),ovrHeaderRow,0))</f>
        <v>75.3</v>
      </c>
      <c r="CF21" s="12">
        <f>INDEX(ovrTable,MATCH(INDEX(oppCol24,ROW()),ovrTeamCol,0),MATCH(MID(INDEX(headerRow,1,COLUMN()),4,LEN(INDEX(headerRow,1,COLUMN()))),ovrHeaderRow,0))</f>
        <v>8.5</v>
      </c>
      <c r="CG21" s="12">
        <f>INDEX(ovrTable,MATCH(INDEX(oppCol24,ROW()),ovrTeamCol,0),MATCH(MID(INDEX(headerRow,1,COLUMN()),4,LEN(INDEX(headerRow,1,COLUMN()))),ovrHeaderRow,0))</f>
        <v>39.200000000000003</v>
      </c>
      <c r="CH21" s="12">
        <f>INDEX(ovrTable,MATCH(INDEX(oppCol24,ROW()),ovrTeamCol,0),MATCH(MID(INDEX(headerRow,1,COLUMN()),4,LEN(INDEX(headerRow,1,COLUMN()))),ovrHeaderRow,0))</f>
        <v>11.9</v>
      </c>
      <c r="CI21" s="12">
        <f>INDEX(ovrTable,MATCH(INDEX(oppCol24,ROW()),ovrTeamCol,0),MATCH(MID(INDEX(headerRow,1,COLUMN()),4,LEN(INDEX(headerRow,1,COLUMN()))),ovrHeaderRow,0))</f>
        <v>5.9</v>
      </c>
      <c r="CJ21" s="12">
        <f>INDEX(ovrTable,MATCH(INDEX(oppCol24,ROW()),ovrTeamCol,0),MATCH(MID(INDEX(headerRow,1,COLUMN()),4,LEN(INDEX(headerRow,1,COLUMN()))),ovrHeaderRow,0))</f>
        <v>-1.3</v>
      </c>
      <c r="CK21" s="12">
        <f>INDEX(ovrTable,MATCH(INDEX(oppCol24,ROW()),ovrTeamCol,0),MATCH(MID(INDEX(headerRow,1,COLUMN()),4,LEN(INDEX(headerRow,1,COLUMN()))),ovrHeaderRow,0))</f>
        <v>10.49</v>
      </c>
      <c r="CL21" s="12">
        <f>INDEX(ovrTable,MATCH(INDEX(oppCol24,ROW()),ovrTeamCol,0),MATCH(MID(INDEX(headerRow,1,COLUMN()),4,LEN(INDEX(headerRow,1,COLUMN()))),ovrHeaderRow,0))</f>
        <v>11.8</v>
      </c>
      <c r="CM21" s="12">
        <f>INDEX(ovrTable,MATCH(INDEX(oppCol24,ROW()),ovrTeamCol,0),MATCH(MID(INDEX(headerRow,1,COLUMN()),4,LEN(INDEX(headerRow,1,COLUMN()))),ovrHeaderRow,0))</f>
        <v>67.3</v>
      </c>
      <c r="CN21" s="12">
        <f>INDEX(ovrTable,MATCH(INDEX(oppCol24,ROW()),ovrTeamCol,0),MATCH(MID(INDEX(headerRow,1,COLUMN()),4,LEN(INDEX(headerRow,1,COLUMN()))),ovrHeaderRow,0))</f>
        <v>17.599999999999998</v>
      </c>
      <c r="CO21" s="12">
        <f>INDEX(ovrTable,MATCH(INDEX(oppCol24,ROW()),ovrTeamCol,0),MATCH(MID(INDEX(headerRow,1,COLUMN()),4,LEN(INDEX(headerRow,1,COLUMN()))),ovrHeaderRow,0))</f>
        <v>57.815845824411134</v>
      </c>
    </row>
    <row r="22" spans="1:93" x14ac:dyDescent="0.3">
      <c r="A22" s="6" t="s">
        <v>11</v>
      </c>
      <c r="B22" s="3">
        <v>10</v>
      </c>
      <c r="C22" s="13" t="s">
        <v>8</v>
      </c>
      <c r="D22" s="14">
        <v>11</v>
      </c>
      <c r="E22" s="23">
        <v>50</v>
      </c>
      <c r="F22" s="24">
        <v>5</v>
      </c>
      <c r="G22" s="23">
        <v>33.333333333333329</v>
      </c>
      <c r="H22" s="24">
        <v>15</v>
      </c>
      <c r="I22" s="25">
        <v>2.25</v>
      </c>
      <c r="J22" s="24">
        <v>18</v>
      </c>
      <c r="K22" s="24">
        <v>4</v>
      </c>
      <c r="L22" s="24">
        <v>3</v>
      </c>
      <c r="M22" s="24">
        <v>38.200000000000003</v>
      </c>
      <c r="N22" s="24">
        <v>24</v>
      </c>
      <c r="O22" s="26">
        <v>0.46639999999999998</v>
      </c>
      <c r="P22" s="24">
        <v>9</v>
      </c>
      <c r="Q22" s="24">
        <v>42.4</v>
      </c>
      <c r="R22" s="24">
        <v>21</v>
      </c>
      <c r="S22" s="23">
        <v>42.857142857142854</v>
      </c>
      <c r="T22" s="24">
        <v>14</v>
      </c>
      <c r="U22" s="24">
        <v>6</v>
      </c>
      <c r="V22" s="24">
        <v>66</v>
      </c>
      <c r="W22" s="24">
        <v>8</v>
      </c>
      <c r="X22" s="24">
        <v>61</v>
      </c>
      <c r="Y22" s="24">
        <v>-8</v>
      </c>
      <c r="Z22" s="24">
        <v>32</v>
      </c>
      <c r="AA22" s="24">
        <v>-5</v>
      </c>
      <c r="AB22" s="24">
        <v>7</v>
      </c>
      <c r="AC22" s="24">
        <v>5</v>
      </c>
      <c r="AD22" s="24">
        <v>13</v>
      </c>
      <c r="AE22" s="24">
        <v>8</v>
      </c>
      <c r="AF22" s="46">
        <f t="shared" si="3"/>
        <v>65.612264150943403</v>
      </c>
      <c r="AG22" s="51">
        <f t="shared" ref="AG22" si="25">AVERAGE(AF22,AF23)</f>
        <v>66.018043070236104</v>
      </c>
      <c r="AH22" s="12">
        <f t="shared" ref="AH22:AQ31" si="26">INDEX(ovrTable,MATCH(INDEX(teamCol,ROW()),ovrTeamCol,0),MATCH(MID(INDEX(headerRow,1,COLUMN()),4,LEN(INDEX(headerRow,1,COLUMN()))),ovrHeaderRow,0))</f>
        <v>33.200000000000003</v>
      </c>
      <c r="AI22" s="12">
        <f t="shared" si="26"/>
        <v>8.6</v>
      </c>
      <c r="AJ22" s="12">
        <f t="shared" si="26"/>
        <v>36.6</v>
      </c>
      <c r="AK22" s="12">
        <f t="shared" si="26"/>
        <v>23.4</v>
      </c>
      <c r="AL22" s="12">
        <f t="shared" si="26"/>
        <v>1.66</v>
      </c>
      <c r="AM22" s="12">
        <f t="shared" si="26"/>
        <v>16</v>
      </c>
      <c r="AN22" s="12">
        <f t="shared" si="26"/>
        <v>15.14</v>
      </c>
      <c r="AO22" s="12">
        <f t="shared" si="26"/>
        <v>1.6</v>
      </c>
      <c r="AP22" s="12">
        <f t="shared" si="26"/>
        <v>44.3</v>
      </c>
      <c r="AQ22" s="12">
        <f t="shared" si="26"/>
        <v>26.4</v>
      </c>
      <c r="AR22" s="12">
        <f t="shared" ref="AR22:BA31" si="27">INDEX(ovrTable,MATCH(INDEX(teamCol,ROW()),ovrTeamCol,0),MATCH(MID(INDEX(headerRow,1,COLUMN()),4,LEN(INDEX(headerRow,1,COLUMN()))),ovrHeaderRow,0))</f>
        <v>0.54900000000000004</v>
      </c>
      <c r="AS22" s="12">
        <f t="shared" si="27"/>
        <v>10.029999999999999</v>
      </c>
      <c r="AT22" s="12">
        <f t="shared" si="27"/>
        <v>47.7</v>
      </c>
      <c r="AU22" s="12">
        <f t="shared" si="27"/>
        <v>16.3</v>
      </c>
      <c r="AV22" s="12">
        <f t="shared" si="27"/>
        <v>75.3</v>
      </c>
      <c r="AW22" s="12">
        <f t="shared" si="27"/>
        <v>19.5</v>
      </c>
      <c r="AX22" s="12">
        <f t="shared" si="27"/>
        <v>14.7</v>
      </c>
      <c r="AY22" s="12">
        <f t="shared" si="27"/>
        <v>70.400000000000006</v>
      </c>
      <c r="AZ22" s="12">
        <f t="shared" si="27"/>
        <v>7.94</v>
      </c>
      <c r="BA22" s="12">
        <f t="shared" si="27"/>
        <v>79.900000000000006</v>
      </c>
      <c r="BB22" s="12">
        <f t="shared" ref="BB22:BK31" si="28">INDEX(ovrTable,MATCH(INDEX(teamCol,ROW()),ovrTeamCol,0),MATCH(MID(INDEX(headerRow,1,COLUMN()),4,LEN(INDEX(headerRow,1,COLUMN()))),ovrHeaderRow,0))</f>
        <v>1.6</v>
      </c>
      <c r="BC22" s="12">
        <f t="shared" si="28"/>
        <v>34.340000000000003</v>
      </c>
      <c r="BD22" s="12">
        <f t="shared" si="28"/>
        <v>9.5</v>
      </c>
      <c r="BE22" s="12">
        <f t="shared" si="28"/>
        <v>6.5</v>
      </c>
      <c r="BF22" s="12">
        <f t="shared" si="28"/>
        <v>2.7</v>
      </c>
      <c r="BG22" s="12">
        <f t="shared" si="28"/>
        <v>12.31</v>
      </c>
      <c r="BH22" s="12">
        <f t="shared" si="28"/>
        <v>9.6</v>
      </c>
      <c r="BI22" s="12">
        <f t="shared" si="28"/>
        <v>71.3</v>
      </c>
      <c r="BJ22" s="12">
        <f t="shared" si="28"/>
        <v>19.700000000000003</v>
      </c>
      <c r="BK22" s="12">
        <f t="shared" si="28"/>
        <v>59.329140461215935</v>
      </c>
      <c r="BL22" s="12">
        <f>INDEX(ovrTable,MATCH(INDEX(oppCol24,ROW()),ovrTeamCol,0),MATCH(MID(INDEX(headerRow,1,COLUMN()),4,LEN(INDEX(headerRow,1,COLUMN()))),ovrHeaderRow,0))</f>
        <v>32.5</v>
      </c>
      <c r="BM22" s="12">
        <f>INDEX(ovrTable,MATCH(INDEX(oppCol24,ROW()),ovrTeamCol,0),MATCH(MID(INDEX(headerRow,1,COLUMN()),4,LEN(INDEX(headerRow,1,COLUMN()))),ovrHeaderRow,0))</f>
        <v>6.4</v>
      </c>
      <c r="BN22" s="12">
        <f>INDEX(ovrTable,MATCH(INDEX(oppCol24,ROW()),ovrTeamCol,0),MATCH(MID(INDEX(headerRow,1,COLUMN()),4,LEN(INDEX(headerRow,1,COLUMN()))),ovrHeaderRow,0))</f>
        <v>33.9</v>
      </c>
      <c r="BO22" s="12">
        <f>INDEX(ovrTable,MATCH(INDEX(oppCol24,ROW()),ovrTeamCol,0),MATCH(MID(INDEX(headerRow,1,COLUMN()),4,LEN(INDEX(headerRow,1,COLUMN()))),ovrHeaderRow,0))</f>
        <v>18.8</v>
      </c>
      <c r="BP22" s="12">
        <f>INDEX(ovrTable,MATCH(INDEX(oppCol24,ROW()),ovrTeamCol,0),MATCH(MID(INDEX(headerRow,1,COLUMN()),4,LEN(INDEX(headerRow,1,COLUMN()))),ovrHeaderRow,0))</f>
        <v>1.1399999999999999</v>
      </c>
      <c r="BQ22" s="12">
        <f>INDEX(ovrTable,MATCH(INDEX(oppCol24,ROW()),ovrTeamCol,0),MATCH(MID(INDEX(headerRow,1,COLUMN()),4,LEN(INDEX(headerRow,1,COLUMN()))),ovrHeaderRow,0))</f>
        <v>12.4</v>
      </c>
      <c r="BR22" s="12">
        <f>INDEX(ovrTable,MATCH(INDEX(oppCol24,ROW()),ovrTeamCol,0),MATCH(MID(INDEX(headerRow,1,COLUMN()),4,LEN(INDEX(headerRow,1,COLUMN()))),ovrHeaderRow,0))</f>
        <v>17.97</v>
      </c>
      <c r="BS22" s="12">
        <f>INDEX(ovrTable,MATCH(INDEX(oppCol24,ROW()),ovrTeamCol,0),MATCH(MID(INDEX(headerRow,1,COLUMN()),4,LEN(INDEX(headerRow,1,COLUMN()))),ovrHeaderRow,0))</f>
        <v>4.9000000000000004</v>
      </c>
      <c r="BT22" s="12">
        <f>INDEX(ovrTable,MATCH(INDEX(oppCol24,ROW()),ovrTeamCol,0),MATCH(MID(INDEX(headerRow,1,COLUMN()),4,LEN(INDEX(headerRow,1,COLUMN()))),ovrHeaderRow,0))</f>
        <v>42.1</v>
      </c>
      <c r="BU22" s="12">
        <f>INDEX(ovrTable,MATCH(INDEX(oppCol24,ROW()),ovrTeamCol,0),MATCH(MID(INDEX(headerRow,1,COLUMN()),4,LEN(INDEX(headerRow,1,COLUMN()))),ovrHeaderRow,0))</f>
        <v>26.46</v>
      </c>
      <c r="BV22" s="12">
        <f>INDEX(ovrTable,MATCH(INDEX(oppCol24,ROW()),ovrTeamCol,0),MATCH(MID(INDEX(headerRow,1,COLUMN()),4,LEN(INDEX(headerRow,1,COLUMN()))),ovrHeaderRow,0))</f>
        <v>0.51800000000000002</v>
      </c>
      <c r="BW22" s="12">
        <f>INDEX(ovrTable,MATCH(INDEX(oppCol24,ROW()),ovrTeamCol,0),MATCH(MID(INDEX(headerRow,1,COLUMN()),4,LEN(INDEX(headerRow,1,COLUMN()))),ovrHeaderRow,0))</f>
        <v>8.11</v>
      </c>
      <c r="BX22" s="12">
        <f>INDEX(ovrTable,MATCH(INDEX(oppCol24,ROW()),ovrTeamCol,0),MATCH(MID(INDEX(headerRow,1,COLUMN()),4,LEN(INDEX(headerRow,1,COLUMN()))),ovrHeaderRow,0))</f>
        <v>46.3</v>
      </c>
      <c r="BY22" s="12">
        <f>INDEX(ovrTable,MATCH(INDEX(oppCol24,ROW()),ovrTeamCol,0),MATCH(MID(INDEX(headerRow,1,COLUMN()),4,LEN(INDEX(headerRow,1,COLUMN()))),ovrHeaderRow,0))</f>
        <v>16.600000000000001</v>
      </c>
      <c r="BZ22" s="12">
        <f>INDEX(ovrTable,MATCH(INDEX(oppCol24,ROW()),ovrTeamCol,0),MATCH(MID(INDEX(headerRow,1,COLUMN()),4,LEN(INDEX(headerRow,1,COLUMN()))),ovrHeaderRow,0))</f>
        <v>70.400000000000006</v>
      </c>
      <c r="CA22" s="12">
        <f>INDEX(ovrTable,MATCH(INDEX(oppCol24,ROW()),ovrTeamCol,0),MATCH(MID(INDEX(headerRow,1,COLUMN()),4,LEN(INDEX(headerRow,1,COLUMN()))),ovrHeaderRow,0))</f>
        <v>18.5</v>
      </c>
      <c r="CB22" s="12">
        <f>INDEX(ovrTable,MATCH(INDEX(oppCol24,ROW()),ovrTeamCol,0),MATCH(MID(INDEX(headerRow,1,COLUMN()),4,LEN(INDEX(headerRow,1,COLUMN()))),ovrHeaderRow,0))</f>
        <v>13</v>
      </c>
      <c r="CC22" s="12">
        <f>INDEX(ovrTable,MATCH(INDEX(oppCol24,ROW()),ovrTeamCol,0),MATCH(MID(INDEX(headerRow,1,COLUMN()),4,LEN(INDEX(headerRow,1,COLUMN()))),ovrHeaderRow,0))</f>
        <v>66.7</v>
      </c>
      <c r="CD22" s="12">
        <f>INDEX(ovrTable,MATCH(INDEX(oppCol24,ROW()),ovrTeamCol,0),MATCH(MID(INDEX(headerRow,1,COLUMN()),4,LEN(INDEX(headerRow,1,COLUMN()))),ovrHeaderRow,0))</f>
        <v>11.17</v>
      </c>
      <c r="CE22" s="12">
        <f>INDEX(ovrTable,MATCH(INDEX(oppCol24,ROW()),ovrTeamCol,0),MATCH(MID(INDEX(headerRow,1,COLUMN()),4,LEN(INDEX(headerRow,1,COLUMN()))),ovrHeaderRow,0))</f>
        <v>73.5</v>
      </c>
      <c r="CF22" s="12">
        <f>INDEX(ovrTable,MATCH(INDEX(oppCol24,ROW()),ovrTeamCol,0),MATCH(MID(INDEX(headerRow,1,COLUMN()),4,LEN(INDEX(headerRow,1,COLUMN()))),ovrHeaderRow,0))</f>
        <v>6</v>
      </c>
      <c r="CG22" s="12">
        <f>INDEX(ovrTable,MATCH(INDEX(oppCol24,ROW()),ovrTeamCol,0),MATCH(MID(INDEX(headerRow,1,COLUMN()),4,LEN(INDEX(headerRow,1,COLUMN()))),ovrHeaderRow,0))</f>
        <v>37.630000000000003</v>
      </c>
      <c r="CH22" s="12">
        <f>INDEX(ovrTable,MATCH(INDEX(oppCol24,ROW()),ovrTeamCol,0),MATCH(MID(INDEX(headerRow,1,COLUMN()),4,LEN(INDEX(headerRow,1,COLUMN()))),ovrHeaderRow,0))</f>
        <v>6.8</v>
      </c>
      <c r="CI22" s="12">
        <f>INDEX(ovrTable,MATCH(INDEX(oppCol24,ROW()),ovrTeamCol,0),MATCH(MID(INDEX(headerRow,1,COLUMN()),4,LEN(INDEX(headerRow,1,COLUMN()))),ovrHeaderRow,0))</f>
        <v>5.2</v>
      </c>
      <c r="CJ22" s="12">
        <f>INDEX(ovrTable,MATCH(INDEX(oppCol24,ROW()),ovrTeamCol,0),MATCH(MID(INDEX(headerRow,1,COLUMN()),4,LEN(INDEX(headerRow,1,COLUMN()))),ovrHeaderRow,0))</f>
        <v>-0.5</v>
      </c>
      <c r="CK22" s="12">
        <f>INDEX(ovrTable,MATCH(INDEX(oppCol24,ROW()),ovrTeamCol,0),MATCH(MID(INDEX(headerRow,1,COLUMN()),4,LEN(INDEX(headerRow,1,COLUMN()))),ovrHeaderRow,0))</f>
        <v>10.43</v>
      </c>
      <c r="CL22" s="12">
        <f>INDEX(ovrTable,MATCH(INDEX(oppCol24,ROW()),ovrTeamCol,0),MATCH(MID(INDEX(headerRow,1,COLUMN()),4,LEN(INDEX(headerRow,1,COLUMN()))),ovrHeaderRow,0))</f>
        <v>10.9</v>
      </c>
      <c r="CM22" s="12">
        <f>INDEX(ovrTable,MATCH(INDEX(oppCol24,ROW()),ovrTeamCol,0),MATCH(MID(INDEX(headerRow,1,COLUMN()),4,LEN(INDEX(headerRow,1,COLUMN()))),ovrHeaderRow,0))</f>
        <v>68.5</v>
      </c>
      <c r="CN22" s="12">
        <f>INDEX(ovrTable,MATCH(INDEX(oppCol24,ROW()),ovrTeamCol,0),MATCH(MID(INDEX(headerRow,1,COLUMN()),4,LEN(INDEX(headerRow,1,COLUMN()))),ovrHeaderRow,0))</f>
        <v>20.65</v>
      </c>
      <c r="CO22" s="12">
        <f>INDEX(ovrTable,MATCH(INDEX(oppCol24,ROW()),ovrTeamCol,0),MATCH(MID(INDEX(headerRow,1,COLUMN()),4,LEN(INDEX(headerRow,1,COLUMN()))),ovrHeaderRow,0))</f>
        <v>58.423326133909278</v>
      </c>
    </row>
    <row r="23" spans="1:93" x14ac:dyDescent="0.3">
      <c r="A23" s="6" t="s">
        <v>8</v>
      </c>
      <c r="B23" s="3">
        <v>7</v>
      </c>
      <c r="C23" s="13" t="s">
        <v>11</v>
      </c>
      <c r="D23" s="14">
        <v>11</v>
      </c>
      <c r="E23" s="23">
        <v>33.333333333333329</v>
      </c>
      <c r="F23" s="24">
        <v>7</v>
      </c>
      <c r="G23" s="23">
        <v>50</v>
      </c>
      <c r="H23" s="24">
        <v>14</v>
      </c>
      <c r="I23" s="25">
        <v>0.92307692307692313</v>
      </c>
      <c r="J23" s="24">
        <v>12</v>
      </c>
      <c r="K23" s="24">
        <v>9</v>
      </c>
      <c r="L23" s="24">
        <v>4</v>
      </c>
      <c r="M23" s="24">
        <v>42.4</v>
      </c>
      <c r="N23" s="24">
        <v>28</v>
      </c>
      <c r="O23" s="26">
        <v>0.44566666666666671</v>
      </c>
      <c r="P23" s="24">
        <v>16</v>
      </c>
      <c r="Q23" s="24">
        <v>38.200000000000003</v>
      </c>
      <c r="R23" s="24">
        <v>13</v>
      </c>
      <c r="S23" s="23">
        <v>77.272727272727266</v>
      </c>
      <c r="T23" s="24">
        <v>22</v>
      </c>
      <c r="U23" s="24">
        <v>17</v>
      </c>
      <c r="V23" s="24">
        <v>61</v>
      </c>
      <c r="W23" s="24">
        <v>12</v>
      </c>
      <c r="X23" s="24">
        <v>66</v>
      </c>
      <c r="Y23" s="24">
        <v>8</v>
      </c>
      <c r="Z23" s="24">
        <v>40</v>
      </c>
      <c r="AA23" s="24">
        <v>5</v>
      </c>
      <c r="AB23" s="24">
        <v>5</v>
      </c>
      <c r="AC23" s="24">
        <v>-5</v>
      </c>
      <c r="AD23" s="24">
        <v>8</v>
      </c>
      <c r="AE23" s="24">
        <v>13</v>
      </c>
      <c r="AF23" s="46">
        <f t="shared" si="3"/>
        <v>66.42382198952879</v>
      </c>
      <c r="AG23" s="51">
        <f t="shared" ref="AG23" si="29">AVERAGE(AF22,AF23)</f>
        <v>66.018043070236104</v>
      </c>
      <c r="AH23" s="12">
        <f t="shared" si="26"/>
        <v>32.5</v>
      </c>
      <c r="AI23" s="12">
        <f t="shared" si="26"/>
        <v>6.4</v>
      </c>
      <c r="AJ23" s="12">
        <f t="shared" si="26"/>
        <v>33.9</v>
      </c>
      <c r="AK23" s="12">
        <f t="shared" si="26"/>
        <v>18.8</v>
      </c>
      <c r="AL23" s="12">
        <f t="shared" si="26"/>
        <v>1.1399999999999999</v>
      </c>
      <c r="AM23" s="12">
        <f t="shared" si="26"/>
        <v>12.4</v>
      </c>
      <c r="AN23" s="12">
        <f t="shared" si="26"/>
        <v>17.97</v>
      </c>
      <c r="AO23" s="12">
        <f t="shared" si="26"/>
        <v>4.9000000000000004</v>
      </c>
      <c r="AP23" s="12">
        <f t="shared" si="26"/>
        <v>42.1</v>
      </c>
      <c r="AQ23" s="12">
        <f t="shared" si="26"/>
        <v>26.46</v>
      </c>
      <c r="AR23" s="12">
        <f t="shared" si="27"/>
        <v>0.51800000000000002</v>
      </c>
      <c r="AS23" s="12">
        <f t="shared" si="27"/>
        <v>8.11</v>
      </c>
      <c r="AT23" s="12">
        <f t="shared" si="27"/>
        <v>46.3</v>
      </c>
      <c r="AU23" s="12">
        <f t="shared" si="27"/>
        <v>16.600000000000001</v>
      </c>
      <c r="AV23" s="12">
        <f t="shared" si="27"/>
        <v>70.400000000000006</v>
      </c>
      <c r="AW23" s="12">
        <f t="shared" si="27"/>
        <v>18.5</v>
      </c>
      <c r="AX23" s="12">
        <f t="shared" si="27"/>
        <v>13</v>
      </c>
      <c r="AY23" s="12">
        <f t="shared" si="27"/>
        <v>66.7</v>
      </c>
      <c r="AZ23" s="12">
        <f t="shared" si="27"/>
        <v>11.17</v>
      </c>
      <c r="BA23" s="12">
        <f t="shared" si="27"/>
        <v>73.5</v>
      </c>
      <c r="BB23" s="12">
        <f t="shared" si="28"/>
        <v>6</v>
      </c>
      <c r="BC23" s="12">
        <f t="shared" si="28"/>
        <v>37.630000000000003</v>
      </c>
      <c r="BD23" s="12">
        <f t="shared" si="28"/>
        <v>6.8</v>
      </c>
      <c r="BE23" s="12">
        <f t="shared" si="28"/>
        <v>5.2</v>
      </c>
      <c r="BF23" s="12">
        <f t="shared" si="28"/>
        <v>-0.5</v>
      </c>
      <c r="BG23" s="12">
        <f t="shared" si="28"/>
        <v>10.43</v>
      </c>
      <c r="BH23" s="12">
        <f t="shared" si="28"/>
        <v>10.9</v>
      </c>
      <c r="BI23" s="12">
        <f t="shared" si="28"/>
        <v>68.5</v>
      </c>
      <c r="BJ23" s="12">
        <f t="shared" si="28"/>
        <v>20.65</v>
      </c>
      <c r="BK23" s="12">
        <f t="shared" si="28"/>
        <v>58.423326133909278</v>
      </c>
      <c r="BL23" s="12">
        <f>INDEX(ovrTable,MATCH(INDEX(oppCol24,ROW()),ovrTeamCol,0),MATCH(MID(INDEX(headerRow,1,COLUMN()),4,LEN(INDEX(headerRow,1,COLUMN()))),ovrHeaderRow,0))</f>
        <v>33.200000000000003</v>
      </c>
      <c r="BM23" s="12">
        <f>INDEX(ovrTable,MATCH(INDEX(oppCol24,ROW()),ovrTeamCol,0),MATCH(MID(INDEX(headerRow,1,COLUMN()),4,LEN(INDEX(headerRow,1,COLUMN()))),ovrHeaderRow,0))</f>
        <v>8.6</v>
      </c>
      <c r="BN23" s="12">
        <f>INDEX(ovrTable,MATCH(INDEX(oppCol24,ROW()),ovrTeamCol,0),MATCH(MID(INDEX(headerRow,1,COLUMN()),4,LEN(INDEX(headerRow,1,COLUMN()))),ovrHeaderRow,0))</f>
        <v>36.6</v>
      </c>
      <c r="BO23" s="12">
        <f>INDEX(ovrTable,MATCH(INDEX(oppCol24,ROW()),ovrTeamCol,0),MATCH(MID(INDEX(headerRow,1,COLUMN()),4,LEN(INDEX(headerRow,1,COLUMN()))),ovrHeaderRow,0))</f>
        <v>23.4</v>
      </c>
      <c r="BP23" s="12">
        <f>INDEX(ovrTable,MATCH(INDEX(oppCol24,ROW()),ovrTeamCol,0),MATCH(MID(INDEX(headerRow,1,COLUMN()),4,LEN(INDEX(headerRow,1,COLUMN()))),ovrHeaderRow,0))</f>
        <v>1.66</v>
      </c>
      <c r="BQ23" s="12">
        <f>INDEX(ovrTable,MATCH(INDEX(oppCol24,ROW()),ovrTeamCol,0),MATCH(MID(INDEX(headerRow,1,COLUMN()),4,LEN(INDEX(headerRow,1,COLUMN()))),ovrHeaderRow,0))</f>
        <v>16</v>
      </c>
      <c r="BR23" s="12">
        <f>INDEX(ovrTable,MATCH(INDEX(oppCol24,ROW()),ovrTeamCol,0),MATCH(MID(INDEX(headerRow,1,COLUMN()),4,LEN(INDEX(headerRow,1,COLUMN()))),ovrHeaderRow,0))</f>
        <v>15.14</v>
      </c>
      <c r="BS23" s="12">
        <f>INDEX(ovrTable,MATCH(INDEX(oppCol24,ROW()),ovrTeamCol,0),MATCH(MID(INDEX(headerRow,1,COLUMN()),4,LEN(INDEX(headerRow,1,COLUMN()))),ovrHeaderRow,0))</f>
        <v>1.6</v>
      </c>
      <c r="BT23" s="12">
        <f>INDEX(ovrTable,MATCH(INDEX(oppCol24,ROW()),ovrTeamCol,0),MATCH(MID(INDEX(headerRow,1,COLUMN()),4,LEN(INDEX(headerRow,1,COLUMN()))),ovrHeaderRow,0))</f>
        <v>44.3</v>
      </c>
      <c r="BU23" s="12">
        <f>INDEX(ovrTable,MATCH(INDEX(oppCol24,ROW()),ovrTeamCol,0),MATCH(MID(INDEX(headerRow,1,COLUMN()),4,LEN(INDEX(headerRow,1,COLUMN()))),ovrHeaderRow,0))</f>
        <v>26.4</v>
      </c>
      <c r="BV23" s="12">
        <f>INDEX(ovrTable,MATCH(INDEX(oppCol24,ROW()),ovrTeamCol,0),MATCH(MID(INDEX(headerRow,1,COLUMN()),4,LEN(INDEX(headerRow,1,COLUMN()))),ovrHeaderRow,0))</f>
        <v>0.54900000000000004</v>
      </c>
      <c r="BW23" s="12">
        <f>INDEX(ovrTable,MATCH(INDEX(oppCol24,ROW()),ovrTeamCol,0),MATCH(MID(INDEX(headerRow,1,COLUMN()),4,LEN(INDEX(headerRow,1,COLUMN()))),ovrHeaderRow,0))</f>
        <v>10.029999999999999</v>
      </c>
      <c r="BX23" s="12">
        <f>INDEX(ovrTable,MATCH(INDEX(oppCol24,ROW()),ovrTeamCol,0),MATCH(MID(INDEX(headerRow,1,COLUMN()),4,LEN(INDEX(headerRow,1,COLUMN()))),ovrHeaderRow,0))</f>
        <v>47.7</v>
      </c>
      <c r="BY23" s="12">
        <f>INDEX(ovrTable,MATCH(INDEX(oppCol24,ROW()),ovrTeamCol,0),MATCH(MID(INDEX(headerRow,1,COLUMN()),4,LEN(INDEX(headerRow,1,COLUMN()))),ovrHeaderRow,0))</f>
        <v>16.3</v>
      </c>
      <c r="BZ23" s="12">
        <f>INDEX(ovrTable,MATCH(INDEX(oppCol24,ROW()),ovrTeamCol,0),MATCH(MID(INDEX(headerRow,1,COLUMN()),4,LEN(INDEX(headerRow,1,COLUMN()))),ovrHeaderRow,0))</f>
        <v>75.3</v>
      </c>
      <c r="CA23" s="12">
        <f>INDEX(ovrTable,MATCH(INDEX(oppCol24,ROW()),ovrTeamCol,0),MATCH(MID(INDEX(headerRow,1,COLUMN()),4,LEN(INDEX(headerRow,1,COLUMN()))),ovrHeaderRow,0))</f>
        <v>19.5</v>
      </c>
      <c r="CB23" s="12">
        <f>INDEX(ovrTable,MATCH(INDEX(oppCol24,ROW()),ovrTeamCol,0),MATCH(MID(INDEX(headerRow,1,COLUMN()),4,LEN(INDEX(headerRow,1,COLUMN()))),ovrHeaderRow,0))</f>
        <v>14.7</v>
      </c>
      <c r="CC23" s="12">
        <f>INDEX(ovrTable,MATCH(INDEX(oppCol24,ROW()),ovrTeamCol,0),MATCH(MID(INDEX(headerRow,1,COLUMN()),4,LEN(INDEX(headerRow,1,COLUMN()))),ovrHeaderRow,0))</f>
        <v>70.400000000000006</v>
      </c>
      <c r="CD23" s="12">
        <f>INDEX(ovrTable,MATCH(INDEX(oppCol24,ROW()),ovrTeamCol,0),MATCH(MID(INDEX(headerRow,1,COLUMN()),4,LEN(INDEX(headerRow,1,COLUMN()))),ovrHeaderRow,0))</f>
        <v>7.94</v>
      </c>
      <c r="CE23" s="12">
        <f>INDEX(ovrTable,MATCH(INDEX(oppCol24,ROW()),ovrTeamCol,0),MATCH(MID(INDEX(headerRow,1,COLUMN()),4,LEN(INDEX(headerRow,1,COLUMN()))),ovrHeaderRow,0))</f>
        <v>79.900000000000006</v>
      </c>
      <c r="CF23" s="12">
        <f>INDEX(ovrTable,MATCH(INDEX(oppCol24,ROW()),ovrTeamCol,0),MATCH(MID(INDEX(headerRow,1,COLUMN()),4,LEN(INDEX(headerRow,1,COLUMN()))),ovrHeaderRow,0))</f>
        <v>1.6</v>
      </c>
      <c r="CG23" s="12">
        <f>INDEX(ovrTable,MATCH(INDEX(oppCol24,ROW()),ovrTeamCol,0),MATCH(MID(INDEX(headerRow,1,COLUMN()),4,LEN(INDEX(headerRow,1,COLUMN()))),ovrHeaderRow,0))</f>
        <v>34.340000000000003</v>
      </c>
      <c r="CH23" s="12">
        <f>INDEX(ovrTable,MATCH(INDEX(oppCol24,ROW()),ovrTeamCol,0),MATCH(MID(INDEX(headerRow,1,COLUMN()),4,LEN(INDEX(headerRow,1,COLUMN()))),ovrHeaderRow,0))</f>
        <v>9.5</v>
      </c>
      <c r="CI23" s="12">
        <f>INDEX(ovrTable,MATCH(INDEX(oppCol24,ROW()),ovrTeamCol,0),MATCH(MID(INDEX(headerRow,1,COLUMN()),4,LEN(INDEX(headerRow,1,COLUMN()))),ovrHeaderRow,0))</f>
        <v>6.5</v>
      </c>
      <c r="CJ23" s="12">
        <f>INDEX(ovrTable,MATCH(INDEX(oppCol24,ROW()),ovrTeamCol,0),MATCH(MID(INDEX(headerRow,1,COLUMN()),4,LEN(INDEX(headerRow,1,COLUMN()))),ovrHeaderRow,0))</f>
        <v>2.7</v>
      </c>
      <c r="CK23" s="12">
        <f>INDEX(ovrTable,MATCH(INDEX(oppCol24,ROW()),ovrTeamCol,0),MATCH(MID(INDEX(headerRow,1,COLUMN()),4,LEN(INDEX(headerRow,1,COLUMN()))),ovrHeaderRow,0))</f>
        <v>12.31</v>
      </c>
      <c r="CL23" s="12">
        <f>INDEX(ovrTable,MATCH(INDEX(oppCol24,ROW()),ovrTeamCol,0),MATCH(MID(INDEX(headerRow,1,COLUMN()),4,LEN(INDEX(headerRow,1,COLUMN()))),ovrHeaderRow,0))</f>
        <v>9.6</v>
      </c>
      <c r="CM23" s="12">
        <f>INDEX(ovrTable,MATCH(INDEX(oppCol24,ROW()),ovrTeamCol,0),MATCH(MID(INDEX(headerRow,1,COLUMN()),4,LEN(INDEX(headerRow,1,COLUMN()))),ovrHeaderRow,0))</f>
        <v>71.3</v>
      </c>
      <c r="CN23" s="12">
        <f>INDEX(ovrTable,MATCH(INDEX(oppCol24,ROW()),ovrTeamCol,0),MATCH(MID(INDEX(headerRow,1,COLUMN()),4,LEN(INDEX(headerRow,1,COLUMN()))),ovrHeaderRow,0))</f>
        <v>19.700000000000003</v>
      </c>
      <c r="CO23" s="12">
        <f>INDEX(ovrTable,MATCH(INDEX(oppCol24,ROW()),ovrTeamCol,0),MATCH(MID(INDEX(headerRow,1,COLUMN()),4,LEN(INDEX(headerRow,1,COLUMN()))),ovrHeaderRow,0))</f>
        <v>59.329140461215935</v>
      </c>
    </row>
    <row r="24" spans="1:93" x14ac:dyDescent="0.3">
      <c r="A24" s="6" t="s">
        <v>16</v>
      </c>
      <c r="B24" s="3">
        <v>15</v>
      </c>
      <c r="C24" s="13" t="s">
        <v>3</v>
      </c>
      <c r="D24" s="14">
        <v>12</v>
      </c>
      <c r="E24" s="23">
        <v>47.826086956521742</v>
      </c>
      <c r="F24" s="24">
        <v>10</v>
      </c>
      <c r="G24" s="23">
        <v>41.666666666666671</v>
      </c>
      <c r="H24" s="24">
        <v>24</v>
      </c>
      <c r="I24" s="25">
        <v>1</v>
      </c>
      <c r="J24" s="24">
        <v>15</v>
      </c>
      <c r="K24" s="24">
        <v>6</v>
      </c>
      <c r="L24" s="24">
        <v>2</v>
      </c>
      <c r="M24" s="24">
        <v>57.9</v>
      </c>
      <c r="N24" s="24">
        <v>21</v>
      </c>
      <c r="O24" s="26">
        <v>0.52834782608695652</v>
      </c>
      <c r="P24" s="24">
        <v>3</v>
      </c>
      <c r="Q24" s="24">
        <v>43.4</v>
      </c>
      <c r="R24" s="24">
        <v>13</v>
      </c>
      <c r="S24" s="23">
        <v>81.818181818181827</v>
      </c>
      <c r="T24" s="24">
        <v>11</v>
      </c>
      <c r="U24" s="24">
        <v>9</v>
      </c>
      <c r="V24" s="24">
        <v>82</v>
      </c>
      <c r="W24" s="24">
        <v>7</v>
      </c>
      <c r="X24" s="24">
        <v>65</v>
      </c>
      <c r="Y24" s="24">
        <v>0</v>
      </c>
      <c r="Z24" s="24">
        <v>28</v>
      </c>
      <c r="AA24" s="24">
        <v>-17</v>
      </c>
      <c r="AB24" s="24">
        <v>4</v>
      </c>
      <c r="AC24" s="24">
        <v>-6</v>
      </c>
      <c r="AD24" s="24">
        <v>9</v>
      </c>
      <c r="AE24" s="24">
        <v>15</v>
      </c>
      <c r="AF24" s="46">
        <f t="shared" si="3"/>
        <v>66.220391705069119</v>
      </c>
      <c r="AG24" s="51">
        <f t="shared" ref="AG24" si="30">AVERAGE(AF24,AF25)</f>
        <v>65.507605178959437</v>
      </c>
      <c r="AH24" s="12">
        <f t="shared" si="26"/>
        <v>34.9</v>
      </c>
      <c r="AI24" s="12">
        <f t="shared" si="26"/>
        <v>8.6</v>
      </c>
      <c r="AJ24" s="12">
        <f t="shared" si="26"/>
        <v>36.5</v>
      </c>
      <c r="AK24" s="12">
        <f t="shared" si="26"/>
        <v>23.5</v>
      </c>
      <c r="AL24" s="12">
        <f t="shared" si="26"/>
        <v>1.1399999999999999</v>
      </c>
      <c r="AM24" s="12">
        <f t="shared" si="26"/>
        <v>12.9</v>
      </c>
      <c r="AN24" s="12">
        <f t="shared" si="26"/>
        <v>15.43</v>
      </c>
      <c r="AO24" s="12">
        <f t="shared" si="26"/>
        <v>3.2</v>
      </c>
      <c r="AP24" s="12">
        <f t="shared" si="26"/>
        <v>42.1</v>
      </c>
      <c r="AQ24" s="12">
        <f t="shared" si="26"/>
        <v>27.17</v>
      </c>
      <c r="AR24" s="12">
        <f t="shared" si="27"/>
        <v>0.55500000000000005</v>
      </c>
      <c r="AS24" s="12">
        <f t="shared" si="27"/>
        <v>7.46</v>
      </c>
      <c r="AT24" s="12">
        <f t="shared" si="27"/>
        <v>48.2</v>
      </c>
      <c r="AU24" s="12">
        <f t="shared" si="27"/>
        <v>14.3</v>
      </c>
      <c r="AV24" s="12">
        <f t="shared" si="27"/>
        <v>71</v>
      </c>
      <c r="AW24" s="12">
        <f t="shared" si="27"/>
        <v>16.899999999999999</v>
      </c>
      <c r="AX24" s="12">
        <f t="shared" si="27"/>
        <v>12</v>
      </c>
      <c r="AY24" s="12">
        <f t="shared" si="27"/>
        <v>71.099999999999994</v>
      </c>
      <c r="AZ24" s="12">
        <f t="shared" si="27"/>
        <v>8.26</v>
      </c>
      <c r="BA24" s="12">
        <f t="shared" si="27"/>
        <v>76.400000000000006</v>
      </c>
      <c r="BB24" s="12">
        <f t="shared" si="28"/>
        <v>1.9</v>
      </c>
      <c r="BC24" s="12">
        <f t="shared" si="28"/>
        <v>35.43</v>
      </c>
      <c r="BD24" s="12">
        <f t="shared" si="28"/>
        <v>5.3</v>
      </c>
      <c r="BE24" s="12">
        <f t="shared" si="28"/>
        <v>6.1</v>
      </c>
      <c r="BF24" s="12">
        <f t="shared" si="28"/>
        <v>0</v>
      </c>
      <c r="BG24" s="12">
        <f t="shared" si="28"/>
        <v>11.29</v>
      </c>
      <c r="BH24" s="12">
        <f t="shared" si="28"/>
        <v>11.3</v>
      </c>
      <c r="BI24" s="12">
        <f t="shared" si="28"/>
        <v>69.8</v>
      </c>
      <c r="BJ24" s="12">
        <f t="shared" si="28"/>
        <v>19.300000000000004</v>
      </c>
      <c r="BK24" s="12">
        <f t="shared" si="28"/>
        <v>57.8838174273859</v>
      </c>
      <c r="BL24" s="12">
        <f>INDEX(ovrTable,MATCH(INDEX(oppCol24,ROW()),ovrTeamCol,0),MATCH(MID(INDEX(headerRow,1,COLUMN()),4,LEN(INDEX(headerRow,1,COLUMN()))),ovrHeaderRow,0))</f>
        <v>31.5</v>
      </c>
      <c r="BM24" s="12">
        <f>INDEX(ovrTable,MATCH(INDEX(oppCol24,ROW()),ovrTeamCol,0),MATCH(MID(INDEX(headerRow,1,COLUMN()),4,LEN(INDEX(headerRow,1,COLUMN()))),ovrHeaderRow,0))</f>
        <v>6.6</v>
      </c>
      <c r="BN24" s="12">
        <f>INDEX(ovrTable,MATCH(INDEX(oppCol24,ROW()),ovrTeamCol,0),MATCH(MID(INDEX(headerRow,1,COLUMN()),4,LEN(INDEX(headerRow,1,COLUMN()))),ovrHeaderRow,0))</f>
        <v>35.799999999999997</v>
      </c>
      <c r="BO24" s="12">
        <f>INDEX(ovrTable,MATCH(INDEX(oppCol24,ROW()),ovrTeamCol,0),MATCH(MID(INDEX(headerRow,1,COLUMN()),4,LEN(INDEX(headerRow,1,COLUMN()))),ovrHeaderRow,0))</f>
        <v>18.600000000000001</v>
      </c>
      <c r="BP24" s="12">
        <f>INDEX(ovrTable,MATCH(INDEX(oppCol24,ROW()),ovrTeamCol,0),MATCH(MID(INDEX(headerRow,1,COLUMN()),4,LEN(INDEX(headerRow,1,COLUMN()))),ovrHeaderRow,0))</f>
        <v>1.5</v>
      </c>
      <c r="BQ24" s="12">
        <f>INDEX(ovrTable,MATCH(INDEX(oppCol24,ROW()),ovrTeamCol,0),MATCH(MID(INDEX(headerRow,1,COLUMN()),4,LEN(INDEX(headerRow,1,COLUMN()))),ovrHeaderRow,0))</f>
        <v>15.7</v>
      </c>
      <c r="BR24" s="12">
        <f>INDEX(ovrTable,MATCH(INDEX(oppCol24,ROW()),ovrTeamCol,0),MATCH(MID(INDEX(headerRow,1,COLUMN()),4,LEN(INDEX(headerRow,1,COLUMN()))),ovrHeaderRow,0))</f>
        <v>21.86</v>
      </c>
      <c r="BS24" s="12">
        <f>INDEX(ovrTable,MATCH(INDEX(oppCol24,ROW()),ovrTeamCol,0),MATCH(MID(INDEX(headerRow,1,COLUMN()),4,LEN(INDEX(headerRow,1,COLUMN()))),ovrHeaderRow,0))</f>
        <v>3.1</v>
      </c>
      <c r="BT24" s="12">
        <f>INDEX(ovrTable,MATCH(INDEX(oppCol24,ROW()),ovrTeamCol,0),MATCH(MID(INDEX(headerRow,1,COLUMN()),4,LEN(INDEX(headerRow,1,COLUMN()))),ovrHeaderRow,0))</f>
        <v>40.200000000000003</v>
      </c>
      <c r="BU24" s="12">
        <f>INDEX(ovrTable,MATCH(INDEX(oppCol24,ROW()),ovrTeamCol,0),MATCH(MID(INDEX(headerRow,1,COLUMN()),4,LEN(INDEX(headerRow,1,COLUMN()))),ovrHeaderRow,0))</f>
        <v>23.27</v>
      </c>
      <c r="BV24" s="12">
        <f>INDEX(ovrTable,MATCH(INDEX(oppCol24,ROW()),ovrTeamCol,0),MATCH(MID(INDEX(headerRow,1,COLUMN()),4,LEN(INDEX(headerRow,1,COLUMN()))),ovrHeaderRow,0))</f>
        <v>0.52</v>
      </c>
      <c r="BW24" s="12">
        <f>INDEX(ovrTable,MATCH(INDEX(oppCol24,ROW()),ovrTeamCol,0),MATCH(MID(INDEX(headerRow,1,COLUMN()),4,LEN(INDEX(headerRow,1,COLUMN()))),ovrHeaderRow,0))</f>
        <v>10.62</v>
      </c>
      <c r="BX24" s="12">
        <f>INDEX(ovrTable,MATCH(INDEX(oppCol24,ROW()),ovrTeamCol,0),MATCH(MID(INDEX(headerRow,1,COLUMN()),4,LEN(INDEX(headerRow,1,COLUMN()))),ovrHeaderRow,0))</f>
        <v>46.3</v>
      </c>
      <c r="BY24" s="12">
        <f>INDEX(ovrTable,MATCH(INDEX(oppCol24,ROW()),ovrTeamCol,0),MATCH(MID(INDEX(headerRow,1,COLUMN()),4,LEN(INDEX(headerRow,1,COLUMN()))),ovrHeaderRow,0))</f>
        <v>16.5</v>
      </c>
      <c r="BZ24" s="12">
        <f>INDEX(ovrTable,MATCH(INDEX(oppCol24,ROW()),ovrTeamCol,0),MATCH(MID(INDEX(headerRow,1,COLUMN()),4,LEN(INDEX(headerRow,1,COLUMN()))),ovrHeaderRow,0))</f>
        <v>70.2</v>
      </c>
      <c r="CA24" s="12">
        <f>INDEX(ovrTable,MATCH(INDEX(oppCol24,ROW()),ovrTeamCol,0),MATCH(MID(INDEX(headerRow,1,COLUMN()),4,LEN(INDEX(headerRow,1,COLUMN()))),ovrHeaderRow,0))</f>
        <v>20.7</v>
      </c>
      <c r="CB24" s="12">
        <f>INDEX(ovrTable,MATCH(INDEX(oppCol24,ROW()),ovrTeamCol,0),MATCH(MID(INDEX(headerRow,1,COLUMN()),4,LEN(INDEX(headerRow,1,COLUMN()))),ovrHeaderRow,0))</f>
        <v>14.5</v>
      </c>
      <c r="CC24" s="12">
        <f>INDEX(ovrTable,MATCH(INDEX(oppCol24,ROW()),ovrTeamCol,0),MATCH(MID(INDEX(headerRow,1,COLUMN()),4,LEN(INDEX(headerRow,1,COLUMN()))),ovrHeaderRow,0))</f>
        <v>61.5</v>
      </c>
      <c r="CD24" s="12">
        <f>INDEX(ovrTable,MATCH(INDEX(oppCol24,ROW()),ovrTeamCol,0),MATCH(MID(INDEX(headerRow,1,COLUMN()),4,LEN(INDEX(headerRow,1,COLUMN()))),ovrHeaderRow,0))</f>
        <v>10.62</v>
      </c>
      <c r="CE24" s="12">
        <f>INDEX(ovrTable,MATCH(INDEX(oppCol24,ROW()),ovrTeamCol,0),MATCH(MID(INDEX(headerRow,1,COLUMN()),4,LEN(INDEX(headerRow,1,COLUMN()))),ovrHeaderRow,0))</f>
        <v>75.3</v>
      </c>
      <c r="CF24" s="12">
        <f>INDEX(ovrTable,MATCH(INDEX(oppCol24,ROW()),ovrTeamCol,0),MATCH(MID(INDEX(headerRow,1,COLUMN()),4,LEN(INDEX(headerRow,1,COLUMN()))),ovrHeaderRow,0))</f>
        <v>0.7</v>
      </c>
      <c r="CG24" s="12">
        <f>INDEX(ovrTable,MATCH(INDEX(oppCol24,ROW()),ovrTeamCol,0),MATCH(MID(INDEX(headerRow,1,COLUMN()),4,LEN(INDEX(headerRow,1,COLUMN()))),ovrHeaderRow,0))</f>
        <v>33.89</v>
      </c>
      <c r="CH24" s="12">
        <f>INDEX(ovrTable,MATCH(INDEX(oppCol24,ROW()),ovrTeamCol,0),MATCH(MID(INDEX(headerRow,1,COLUMN()),4,LEN(INDEX(headerRow,1,COLUMN()))),ovrHeaderRow,0))</f>
        <v>13.8</v>
      </c>
      <c r="CI24" s="12">
        <f>INDEX(ovrTable,MATCH(INDEX(oppCol24,ROW()),ovrTeamCol,0),MATCH(MID(INDEX(headerRow,1,COLUMN()),4,LEN(INDEX(headerRow,1,COLUMN()))),ovrHeaderRow,0))</f>
        <v>10.3</v>
      </c>
      <c r="CJ24" s="12">
        <f>INDEX(ovrTable,MATCH(INDEX(oppCol24,ROW()),ovrTeamCol,0),MATCH(MID(INDEX(headerRow,1,COLUMN()),4,LEN(INDEX(headerRow,1,COLUMN()))),ovrHeaderRow,0))</f>
        <v>6.7</v>
      </c>
      <c r="CK24" s="12">
        <f>INDEX(ovrTable,MATCH(INDEX(oppCol24,ROW()),ovrTeamCol,0),MATCH(MID(INDEX(headerRow,1,COLUMN()),4,LEN(INDEX(headerRow,1,COLUMN()))),ovrHeaderRow,0))</f>
        <v>17.190000000000001</v>
      </c>
      <c r="CL24" s="12">
        <f>INDEX(ovrTable,MATCH(INDEX(oppCol24,ROW()),ovrTeamCol,0),MATCH(MID(INDEX(headerRow,1,COLUMN()),4,LEN(INDEX(headerRow,1,COLUMN()))),ovrHeaderRow,0))</f>
        <v>10.5</v>
      </c>
      <c r="CM24" s="12">
        <f>INDEX(ovrTable,MATCH(INDEX(oppCol24,ROW()),ovrTeamCol,0),MATCH(MID(INDEX(headerRow,1,COLUMN()),4,LEN(INDEX(headerRow,1,COLUMN()))),ovrHeaderRow,0))</f>
        <v>69</v>
      </c>
      <c r="CN24" s="12">
        <f>INDEX(ovrTable,MATCH(INDEX(oppCol24,ROW()),ovrTeamCol,0),MATCH(MID(INDEX(headerRow,1,COLUMN()),4,LEN(INDEX(headerRow,1,COLUMN()))),ovrHeaderRow,0))</f>
        <v>20.5</v>
      </c>
      <c r="CO24" s="12">
        <f>INDEX(ovrTable,MATCH(INDEX(oppCol24,ROW()),ovrTeamCol,0),MATCH(MID(INDEX(headerRow,1,COLUMN()),4,LEN(INDEX(headerRow,1,COLUMN()))),ovrHeaderRow,0))</f>
        <v>58.531317494600437</v>
      </c>
    </row>
    <row r="25" spans="1:93" x14ac:dyDescent="0.3">
      <c r="A25" s="6" t="s">
        <v>3</v>
      </c>
      <c r="B25" s="3">
        <v>2</v>
      </c>
      <c r="C25" s="13" t="s">
        <v>16</v>
      </c>
      <c r="D25" s="14">
        <v>12</v>
      </c>
      <c r="E25" s="23">
        <v>41.666666666666671</v>
      </c>
      <c r="F25" s="24">
        <v>11</v>
      </c>
      <c r="G25" s="23">
        <v>47.826086956521742</v>
      </c>
      <c r="H25" s="24">
        <v>23</v>
      </c>
      <c r="I25" s="25">
        <v>2.5555555555555554</v>
      </c>
      <c r="J25" s="24">
        <v>23</v>
      </c>
      <c r="K25" s="24">
        <v>24</v>
      </c>
      <c r="L25" s="24">
        <v>4</v>
      </c>
      <c r="M25" s="24">
        <v>43.4</v>
      </c>
      <c r="N25" s="24">
        <v>23</v>
      </c>
      <c r="O25" s="26">
        <v>0.67549999999999999</v>
      </c>
      <c r="P25" s="24">
        <v>17</v>
      </c>
      <c r="Q25" s="24">
        <v>57.9</v>
      </c>
      <c r="R25" s="24">
        <v>15</v>
      </c>
      <c r="S25" s="23">
        <v>62.5</v>
      </c>
      <c r="T25" s="24">
        <v>8</v>
      </c>
      <c r="U25" s="24">
        <v>5</v>
      </c>
      <c r="V25" s="24">
        <v>65</v>
      </c>
      <c r="W25" s="24">
        <v>5</v>
      </c>
      <c r="X25" s="24">
        <v>82</v>
      </c>
      <c r="Y25" s="24">
        <v>0</v>
      </c>
      <c r="Z25" s="24">
        <v>28</v>
      </c>
      <c r="AA25" s="24">
        <v>17</v>
      </c>
      <c r="AB25" s="24">
        <v>11</v>
      </c>
      <c r="AC25" s="24">
        <v>6</v>
      </c>
      <c r="AD25" s="24">
        <v>15</v>
      </c>
      <c r="AE25" s="24">
        <v>9</v>
      </c>
      <c r="AF25" s="46">
        <f t="shared" si="3"/>
        <v>64.794818652849742</v>
      </c>
      <c r="AG25" s="51">
        <f t="shared" ref="AG25" si="31">AVERAGE(AF24,AF25)</f>
        <v>65.507605178959437</v>
      </c>
      <c r="AH25" s="12">
        <f t="shared" si="26"/>
        <v>31.5</v>
      </c>
      <c r="AI25" s="12">
        <f t="shared" si="26"/>
        <v>6.6</v>
      </c>
      <c r="AJ25" s="12">
        <f t="shared" si="26"/>
        <v>35.799999999999997</v>
      </c>
      <c r="AK25" s="12">
        <f t="shared" si="26"/>
        <v>18.600000000000001</v>
      </c>
      <c r="AL25" s="12">
        <f t="shared" si="26"/>
        <v>1.5</v>
      </c>
      <c r="AM25" s="12">
        <f t="shared" si="26"/>
        <v>15.7</v>
      </c>
      <c r="AN25" s="12">
        <f t="shared" si="26"/>
        <v>21.86</v>
      </c>
      <c r="AO25" s="12">
        <f t="shared" si="26"/>
        <v>3.1</v>
      </c>
      <c r="AP25" s="12">
        <f t="shared" si="26"/>
        <v>40.200000000000003</v>
      </c>
      <c r="AQ25" s="12">
        <f t="shared" si="26"/>
        <v>23.27</v>
      </c>
      <c r="AR25" s="12">
        <f t="shared" si="27"/>
        <v>0.52</v>
      </c>
      <c r="AS25" s="12">
        <f t="shared" si="27"/>
        <v>10.62</v>
      </c>
      <c r="AT25" s="12">
        <f t="shared" si="27"/>
        <v>46.3</v>
      </c>
      <c r="AU25" s="12">
        <f t="shared" si="27"/>
        <v>16.5</v>
      </c>
      <c r="AV25" s="12">
        <f t="shared" si="27"/>
        <v>70.2</v>
      </c>
      <c r="AW25" s="12">
        <f t="shared" si="27"/>
        <v>20.7</v>
      </c>
      <c r="AX25" s="12">
        <f t="shared" si="27"/>
        <v>14.5</v>
      </c>
      <c r="AY25" s="12">
        <f t="shared" si="27"/>
        <v>61.5</v>
      </c>
      <c r="AZ25" s="12">
        <f t="shared" si="27"/>
        <v>10.62</v>
      </c>
      <c r="BA25" s="12">
        <f t="shared" si="27"/>
        <v>75.3</v>
      </c>
      <c r="BB25" s="12">
        <f t="shared" si="28"/>
        <v>0.7</v>
      </c>
      <c r="BC25" s="12">
        <f t="shared" si="28"/>
        <v>33.89</v>
      </c>
      <c r="BD25" s="12">
        <f t="shared" si="28"/>
        <v>13.8</v>
      </c>
      <c r="BE25" s="12">
        <f t="shared" si="28"/>
        <v>10.3</v>
      </c>
      <c r="BF25" s="12">
        <f t="shared" si="28"/>
        <v>6.7</v>
      </c>
      <c r="BG25" s="12">
        <f t="shared" si="28"/>
        <v>17.190000000000001</v>
      </c>
      <c r="BH25" s="12">
        <f t="shared" si="28"/>
        <v>10.5</v>
      </c>
      <c r="BI25" s="12">
        <f t="shared" si="28"/>
        <v>69</v>
      </c>
      <c r="BJ25" s="12">
        <f t="shared" si="28"/>
        <v>20.5</v>
      </c>
      <c r="BK25" s="12">
        <f t="shared" si="28"/>
        <v>58.531317494600437</v>
      </c>
      <c r="BL25" s="12">
        <f>INDEX(ovrTable,MATCH(INDEX(oppCol24,ROW()),ovrTeamCol,0),MATCH(MID(INDEX(headerRow,1,COLUMN()),4,LEN(INDEX(headerRow,1,COLUMN()))),ovrHeaderRow,0))</f>
        <v>34.9</v>
      </c>
      <c r="BM25" s="12">
        <f>INDEX(ovrTable,MATCH(INDEX(oppCol24,ROW()),ovrTeamCol,0),MATCH(MID(INDEX(headerRow,1,COLUMN()),4,LEN(INDEX(headerRow,1,COLUMN()))),ovrHeaderRow,0))</f>
        <v>8.6</v>
      </c>
      <c r="BN25" s="12">
        <f>INDEX(ovrTable,MATCH(INDEX(oppCol24,ROW()),ovrTeamCol,0),MATCH(MID(INDEX(headerRow,1,COLUMN()),4,LEN(INDEX(headerRow,1,COLUMN()))),ovrHeaderRow,0))</f>
        <v>36.5</v>
      </c>
      <c r="BO25" s="12">
        <f>INDEX(ovrTable,MATCH(INDEX(oppCol24,ROW()),ovrTeamCol,0),MATCH(MID(INDEX(headerRow,1,COLUMN()),4,LEN(INDEX(headerRow,1,COLUMN()))),ovrHeaderRow,0))</f>
        <v>23.5</v>
      </c>
      <c r="BP25" s="12">
        <f>INDEX(ovrTable,MATCH(INDEX(oppCol24,ROW()),ovrTeamCol,0),MATCH(MID(INDEX(headerRow,1,COLUMN()),4,LEN(INDEX(headerRow,1,COLUMN()))),ovrHeaderRow,0))</f>
        <v>1.1399999999999999</v>
      </c>
      <c r="BQ25" s="12">
        <f>INDEX(ovrTable,MATCH(INDEX(oppCol24,ROW()),ovrTeamCol,0),MATCH(MID(INDEX(headerRow,1,COLUMN()),4,LEN(INDEX(headerRow,1,COLUMN()))),ovrHeaderRow,0))</f>
        <v>12.9</v>
      </c>
      <c r="BR25" s="12">
        <f>INDEX(ovrTable,MATCH(INDEX(oppCol24,ROW()),ovrTeamCol,0),MATCH(MID(INDEX(headerRow,1,COLUMN()),4,LEN(INDEX(headerRow,1,COLUMN()))),ovrHeaderRow,0))</f>
        <v>15.43</v>
      </c>
      <c r="BS25" s="12">
        <f>INDEX(ovrTable,MATCH(INDEX(oppCol24,ROW()),ovrTeamCol,0),MATCH(MID(INDEX(headerRow,1,COLUMN()),4,LEN(INDEX(headerRow,1,COLUMN()))),ovrHeaderRow,0))</f>
        <v>3.2</v>
      </c>
      <c r="BT25" s="12">
        <f>INDEX(ovrTable,MATCH(INDEX(oppCol24,ROW()),ovrTeamCol,0),MATCH(MID(INDEX(headerRow,1,COLUMN()),4,LEN(INDEX(headerRow,1,COLUMN()))),ovrHeaderRow,0))</f>
        <v>42.1</v>
      </c>
      <c r="BU25" s="12">
        <f>INDEX(ovrTable,MATCH(INDEX(oppCol24,ROW()),ovrTeamCol,0),MATCH(MID(INDEX(headerRow,1,COLUMN()),4,LEN(INDEX(headerRow,1,COLUMN()))),ovrHeaderRow,0))</f>
        <v>27.17</v>
      </c>
      <c r="BV25" s="12">
        <f>INDEX(ovrTable,MATCH(INDEX(oppCol24,ROW()),ovrTeamCol,0),MATCH(MID(INDEX(headerRow,1,COLUMN()),4,LEN(INDEX(headerRow,1,COLUMN()))),ovrHeaderRow,0))</f>
        <v>0.55500000000000005</v>
      </c>
      <c r="BW25" s="12">
        <f>INDEX(ovrTable,MATCH(INDEX(oppCol24,ROW()),ovrTeamCol,0),MATCH(MID(INDEX(headerRow,1,COLUMN()),4,LEN(INDEX(headerRow,1,COLUMN()))),ovrHeaderRow,0))</f>
        <v>7.46</v>
      </c>
      <c r="BX25" s="12">
        <f>INDEX(ovrTable,MATCH(INDEX(oppCol24,ROW()),ovrTeamCol,0),MATCH(MID(INDEX(headerRow,1,COLUMN()),4,LEN(INDEX(headerRow,1,COLUMN()))),ovrHeaderRow,0))</f>
        <v>48.2</v>
      </c>
      <c r="BY25" s="12">
        <f>INDEX(ovrTable,MATCH(INDEX(oppCol24,ROW()),ovrTeamCol,0),MATCH(MID(INDEX(headerRow,1,COLUMN()),4,LEN(INDEX(headerRow,1,COLUMN()))),ovrHeaderRow,0))</f>
        <v>14.3</v>
      </c>
      <c r="BZ25" s="12">
        <f>INDEX(ovrTable,MATCH(INDEX(oppCol24,ROW()),ovrTeamCol,0),MATCH(MID(INDEX(headerRow,1,COLUMN()),4,LEN(INDEX(headerRow,1,COLUMN()))),ovrHeaderRow,0))</f>
        <v>71</v>
      </c>
      <c r="CA25" s="12">
        <f>INDEX(ovrTable,MATCH(INDEX(oppCol24,ROW()),ovrTeamCol,0),MATCH(MID(INDEX(headerRow,1,COLUMN()),4,LEN(INDEX(headerRow,1,COLUMN()))),ovrHeaderRow,0))</f>
        <v>16.899999999999999</v>
      </c>
      <c r="CB25" s="12">
        <f>INDEX(ovrTable,MATCH(INDEX(oppCol24,ROW()),ovrTeamCol,0),MATCH(MID(INDEX(headerRow,1,COLUMN()),4,LEN(INDEX(headerRow,1,COLUMN()))),ovrHeaderRow,0))</f>
        <v>12</v>
      </c>
      <c r="CC25" s="12">
        <f>INDEX(ovrTable,MATCH(INDEX(oppCol24,ROW()),ovrTeamCol,0),MATCH(MID(INDEX(headerRow,1,COLUMN()),4,LEN(INDEX(headerRow,1,COLUMN()))),ovrHeaderRow,0))</f>
        <v>71.099999999999994</v>
      </c>
      <c r="CD25" s="12">
        <f>INDEX(ovrTable,MATCH(INDEX(oppCol24,ROW()),ovrTeamCol,0),MATCH(MID(INDEX(headerRow,1,COLUMN()),4,LEN(INDEX(headerRow,1,COLUMN()))),ovrHeaderRow,0))</f>
        <v>8.26</v>
      </c>
      <c r="CE25" s="12">
        <f>INDEX(ovrTable,MATCH(INDEX(oppCol24,ROW()),ovrTeamCol,0),MATCH(MID(INDEX(headerRow,1,COLUMN()),4,LEN(INDEX(headerRow,1,COLUMN()))),ovrHeaderRow,0))</f>
        <v>76.400000000000006</v>
      </c>
      <c r="CF25" s="12">
        <f>INDEX(ovrTable,MATCH(INDEX(oppCol24,ROW()),ovrTeamCol,0),MATCH(MID(INDEX(headerRow,1,COLUMN()),4,LEN(INDEX(headerRow,1,COLUMN()))),ovrHeaderRow,0))</f>
        <v>1.9</v>
      </c>
      <c r="CG25" s="12">
        <f>INDEX(ovrTable,MATCH(INDEX(oppCol24,ROW()),ovrTeamCol,0),MATCH(MID(INDEX(headerRow,1,COLUMN()),4,LEN(INDEX(headerRow,1,COLUMN()))),ovrHeaderRow,0))</f>
        <v>35.43</v>
      </c>
      <c r="CH25" s="12">
        <f>INDEX(ovrTable,MATCH(INDEX(oppCol24,ROW()),ovrTeamCol,0),MATCH(MID(INDEX(headerRow,1,COLUMN()),4,LEN(INDEX(headerRow,1,COLUMN()))),ovrHeaderRow,0))</f>
        <v>5.3</v>
      </c>
      <c r="CI25" s="12">
        <f>INDEX(ovrTable,MATCH(INDEX(oppCol24,ROW()),ovrTeamCol,0),MATCH(MID(INDEX(headerRow,1,COLUMN()),4,LEN(INDEX(headerRow,1,COLUMN()))),ovrHeaderRow,0))</f>
        <v>6.1</v>
      </c>
      <c r="CJ25" s="12">
        <f>INDEX(ovrTable,MATCH(INDEX(oppCol24,ROW()),ovrTeamCol,0),MATCH(MID(INDEX(headerRow,1,COLUMN()),4,LEN(INDEX(headerRow,1,COLUMN()))),ovrHeaderRow,0))</f>
        <v>0</v>
      </c>
      <c r="CK25" s="12">
        <f>INDEX(ovrTable,MATCH(INDEX(oppCol24,ROW()),ovrTeamCol,0),MATCH(MID(INDEX(headerRow,1,COLUMN()),4,LEN(INDEX(headerRow,1,COLUMN()))),ovrHeaderRow,0))</f>
        <v>11.29</v>
      </c>
      <c r="CL25" s="12">
        <f>INDEX(ovrTable,MATCH(INDEX(oppCol24,ROW()),ovrTeamCol,0),MATCH(MID(INDEX(headerRow,1,COLUMN()),4,LEN(INDEX(headerRow,1,COLUMN()))),ovrHeaderRow,0))</f>
        <v>11.3</v>
      </c>
      <c r="CM25" s="12">
        <f>INDEX(ovrTable,MATCH(INDEX(oppCol24,ROW()),ovrTeamCol,0),MATCH(MID(INDEX(headerRow,1,COLUMN()),4,LEN(INDEX(headerRow,1,COLUMN()))),ovrHeaderRow,0))</f>
        <v>69.8</v>
      </c>
      <c r="CN25" s="12">
        <f>INDEX(ovrTable,MATCH(INDEX(oppCol24,ROW()),ovrTeamCol,0),MATCH(MID(INDEX(headerRow,1,COLUMN()),4,LEN(INDEX(headerRow,1,COLUMN()))),ovrHeaderRow,0))</f>
        <v>19.300000000000004</v>
      </c>
      <c r="CO25" s="12">
        <f>INDEX(ovrTable,MATCH(INDEX(oppCol24,ROW()),ovrTeamCol,0),MATCH(MID(INDEX(headerRow,1,COLUMN()),4,LEN(INDEX(headerRow,1,COLUMN()))),ovrHeaderRow,0))</f>
        <v>57.8838174273859</v>
      </c>
    </row>
    <row r="26" spans="1:93" x14ac:dyDescent="0.3">
      <c r="A26" s="6" t="s">
        <v>33</v>
      </c>
      <c r="B26" s="3">
        <v>16</v>
      </c>
      <c r="C26" s="13" t="s">
        <v>18</v>
      </c>
      <c r="D26" s="14">
        <v>13</v>
      </c>
      <c r="E26" s="23">
        <v>50</v>
      </c>
      <c r="F26" s="24">
        <v>7</v>
      </c>
      <c r="G26" s="23">
        <v>38.888888888888893</v>
      </c>
      <c r="H26" s="24">
        <v>18</v>
      </c>
      <c r="I26" s="25">
        <v>1</v>
      </c>
      <c r="J26" s="24">
        <v>8</v>
      </c>
      <c r="K26" s="24">
        <v>6</v>
      </c>
      <c r="L26" s="24">
        <v>2</v>
      </c>
      <c r="M26" s="24">
        <v>55</v>
      </c>
      <c r="N26" s="24">
        <v>16</v>
      </c>
      <c r="O26" s="26">
        <v>0.45741304347826095</v>
      </c>
      <c r="P26" s="24">
        <v>4</v>
      </c>
      <c r="Q26" s="24">
        <v>39.700000000000003</v>
      </c>
      <c r="R26" s="24">
        <v>13</v>
      </c>
      <c r="S26" s="23">
        <v>60</v>
      </c>
      <c r="T26" s="24">
        <v>15</v>
      </c>
      <c r="U26" s="24">
        <v>9</v>
      </c>
      <c r="V26" s="24">
        <v>90</v>
      </c>
      <c r="W26" s="24">
        <v>8</v>
      </c>
      <c r="X26" s="24">
        <v>62</v>
      </c>
      <c r="Y26" s="24">
        <v>-19</v>
      </c>
      <c r="Z26" s="24">
        <v>24</v>
      </c>
      <c r="AA26" s="24">
        <v>-28</v>
      </c>
      <c r="AB26" s="24">
        <v>5</v>
      </c>
      <c r="AC26" s="24">
        <v>1</v>
      </c>
      <c r="AD26" s="24">
        <v>9</v>
      </c>
      <c r="AE26" s="24">
        <v>8</v>
      </c>
      <c r="AF26" s="46">
        <f t="shared" si="3"/>
        <v>65.059508816120896</v>
      </c>
      <c r="AG26" s="51">
        <f t="shared" ref="AG26" si="32">AVERAGE(AF26,AF27)</f>
        <v>65.042254408060444</v>
      </c>
      <c r="AH26" s="12">
        <f t="shared" si="26"/>
        <v>30</v>
      </c>
      <c r="AI26" s="12">
        <f t="shared" si="26"/>
        <v>7.2</v>
      </c>
      <c r="AJ26" s="12">
        <f t="shared" si="26"/>
        <v>32.700000000000003</v>
      </c>
      <c r="AK26" s="12">
        <f t="shared" si="26"/>
        <v>22</v>
      </c>
      <c r="AL26" s="12">
        <f t="shared" si="26"/>
        <v>1.29</v>
      </c>
      <c r="AM26" s="12">
        <f t="shared" si="26"/>
        <v>12.8</v>
      </c>
      <c r="AN26" s="12">
        <f t="shared" si="26"/>
        <v>15.36</v>
      </c>
      <c r="AO26" s="12">
        <f t="shared" si="26"/>
        <v>2.2999999999999998</v>
      </c>
      <c r="AP26" s="12">
        <f t="shared" si="26"/>
        <v>42.2</v>
      </c>
      <c r="AQ26" s="12">
        <f t="shared" si="26"/>
        <v>24.67</v>
      </c>
      <c r="AR26" s="12">
        <f t="shared" si="27"/>
        <v>0.45800000000000002</v>
      </c>
      <c r="AS26" s="12">
        <f t="shared" si="27"/>
        <v>10.7</v>
      </c>
      <c r="AT26" s="12">
        <f t="shared" si="27"/>
        <v>39.6</v>
      </c>
      <c r="AU26" s="12">
        <f t="shared" si="27"/>
        <v>15.4</v>
      </c>
      <c r="AV26" s="12">
        <f t="shared" si="27"/>
        <v>70.400000000000006</v>
      </c>
      <c r="AW26" s="12">
        <f t="shared" si="27"/>
        <v>15</v>
      </c>
      <c r="AX26" s="12">
        <f t="shared" si="27"/>
        <v>10.6</v>
      </c>
      <c r="AY26" s="12">
        <f t="shared" si="27"/>
        <v>63.1</v>
      </c>
      <c r="AZ26" s="12">
        <f t="shared" si="27"/>
        <v>11.18</v>
      </c>
      <c r="BA26" s="12">
        <f t="shared" si="27"/>
        <v>63.7</v>
      </c>
      <c r="BB26" s="12">
        <f t="shared" si="28"/>
        <v>0.6</v>
      </c>
      <c r="BC26" s="12">
        <f t="shared" si="28"/>
        <v>35.85</v>
      </c>
      <c r="BD26" s="12">
        <f t="shared" si="28"/>
        <v>0.6</v>
      </c>
      <c r="BE26" s="12">
        <f t="shared" si="28"/>
        <v>5.9</v>
      </c>
      <c r="BF26" s="12">
        <f t="shared" si="28"/>
        <v>1.2</v>
      </c>
      <c r="BG26" s="12">
        <f t="shared" si="28"/>
        <v>11.12</v>
      </c>
      <c r="BH26" s="12">
        <f t="shared" si="28"/>
        <v>9.9</v>
      </c>
      <c r="BI26" s="12">
        <f t="shared" si="28"/>
        <v>65</v>
      </c>
      <c r="BJ26" s="12">
        <f t="shared" si="28"/>
        <v>15.75</v>
      </c>
      <c r="BK26" s="12">
        <f t="shared" si="28"/>
        <v>57.954545454545453</v>
      </c>
      <c r="BL26" s="12">
        <f>INDEX(ovrTable,MATCH(INDEX(oppCol24,ROW()),ovrTeamCol,0),MATCH(MID(INDEX(headerRow,1,COLUMN()),4,LEN(INDEX(headerRow,1,COLUMN()))),ovrHeaderRow,0))</f>
        <v>32.1</v>
      </c>
      <c r="BM26" s="12">
        <f>INDEX(ovrTable,MATCH(INDEX(oppCol24,ROW()),ovrTeamCol,0),MATCH(MID(INDEX(headerRow,1,COLUMN()),4,LEN(INDEX(headerRow,1,COLUMN()))),ovrHeaderRow,0))</f>
        <v>8.1</v>
      </c>
      <c r="BN26" s="12">
        <f>INDEX(ovrTable,MATCH(INDEX(oppCol24,ROW()),ovrTeamCol,0),MATCH(MID(INDEX(headerRow,1,COLUMN()),4,LEN(INDEX(headerRow,1,COLUMN()))),ovrHeaderRow,0))</f>
        <v>35.9</v>
      </c>
      <c r="BO26" s="12">
        <f>INDEX(ovrTable,MATCH(INDEX(oppCol24,ROW()),ovrTeamCol,0),MATCH(MID(INDEX(headerRow,1,COLUMN()),4,LEN(INDEX(headerRow,1,COLUMN()))),ovrHeaderRow,0))</f>
        <v>22.7</v>
      </c>
      <c r="BP26" s="12">
        <f>INDEX(ovrTable,MATCH(INDEX(oppCol24,ROW()),ovrTeamCol,0),MATCH(MID(INDEX(headerRow,1,COLUMN()),4,LEN(INDEX(headerRow,1,COLUMN()))),ovrHeaderRow,0))</f>
        <v>1.44</v>
      </c>
      <c r="BQ26" s="12">
        <f>INDEX(ovrTable,MATCH(INDEX(oppCol24,ROW()),ovrTeamCol,0),MATCH(MID(INDEX(headerRow,1,COLUMN()),4,LEN(INDEX(headerRow,1,COLUMN()))),ovrHeaderRow,0))</f>
        <v>14.5</v>
      </c>
      <c r="BR26" s="12">
        <f>INDEX(ovrTable,MATCH(INDEX(oppCol24,ROW()),ovrTeamCol,0),MATCH(MID(INDEX(headerRow,1,COLUMN()),4,LEN(INDEX(headerRow,1,COLUMN()))),ovrHeaderRow,0))</f>
        <v>17.3</v>
      </c>
      <c r="BS26" s="12">
        <f>INDEX(ovrTable,MATCH(INDEX(oppCol24,ROW()),ovrTeamCol,0),MATCH(MID(INDEX(headerRow,1,COLUMN()),4,LEN(INDEX(headerRow,1,COLUMN()))),ovrHeaderRow,0))</f>
        <v>4.0999999999999996</v>
      </c>
      <c r="BT26" s="12">
        <f>INDEX(ovrTable,MATCH(INDEX(oppCol24,ROW()),ovrTeamCol,0),MATCH(MID(INDEX(headerRow,1,COLUMN()),4,LEN(INDEX(headerRow,1,COLUMN()))),ovrHeaderRow,0))</f>
        <v>41</v>
      </c>
      <c r="BU26" s="12">
        <f>INDEX(ovrTable,MATCH(INDEX(oppCol24,ROW()),ovrTeamCol,0),MATCH(MID(INDEX(headerRow,1,COLUMN()),4,LEN(INDEX(headerRow,1,COLUMN()))),ovrHeaderRow,0))</f>
        <v>28.86</v>
      </c>
      <c r="BV26" s="12">
        <f>INDEX(ovrTable,MATCH(INDEX(oppCol24,ROW()),ovrTeamCol,0),MATCH(MID(INDEX(headerRow,1,COLUMN()),4,LEN(INDEX(headerRow,1,COLUMN()))),ovrHeaderRow,0))</f>
        <v>0.51500000000000001</v>
      </c>
      <c r="BW26" s="12">
        <f>INDEX(ovrTable,MATCH(INDEX(oppCol24,ROW()),ovrTeamCol,0),MATCH(MID(INDEX(headerRow,1,COLUMN()),4,LEN(INDEX(headerRow,1,COLUMN()))),ovrHeaderRow,0))</f>
        <v>12.41</v>
      </c>
      <c r="BX26" s="12">
        <f>INDEX(ovrTable,MATCH(INDEX(oppCol24,ROW()),ovrTeamCol,0),MATCH(MID(INDEX(headerRow,1,COLUMN()),4,LEN(INDEX(headerRow,1,COLUMN()))),ovrHeaderRow,0))</f>
        <v>45</v>
      </c>
      <c r="BY26" s="12">
        <f>INDEX(ovrTable,MATCH(INDEX(oppCol24,ROW()),ovrTeamCol,0),MATCH(MID(INDEX(headerRow,1,COLUMN()),4,LEN(INDEX(headerRow,1,COLUMN()))),ovrHeaderRow,0))</f>
        <v>16.5</v>
      </c>
      <c r="BZ26" s="12">
        <f>INDEX(ovrTable,MATCH(INDEX(oppCol24,ROW()),ovrTeamCol,0),MATCH(MID(INDEX(headerRow,1,COLUMN()),4,LEN(INDEX(headerRow,1,COLUMN()))),ovrHeaderRow,0))</f>
        <v>75.900000000000006</v>
      </c>
      <c r="CA26" s="12">
        <f>INDEX(ovrTable,MATCH(INDEX(oppCol24,ROW()),ovrTeamCol,0),MATCH(MID(INDEX(headerRow,1,COLUMN()),4,LEN(INDEX(headerRow,1,COLUMN()))),ovrHeaderRow,0))</f>
        <v>22.8</v>
      </c>
      <c r="CB26" s="12">
        <f>INDEX(ovrTable,MATCH(INDEX(oppCol24,ROW()),ovrTeamCol,0),MATCH(MID(INDEX(headerRow,1,COLUMN()),4,LEN(INDEX(headerRow,1,COLUMN()))),ovrHeaderRow,0))</f>
        <v>17.3</v>
      </c>
      <c r="CC26" s="12">
        <f>INDEX(ovrTable,MATCH(INDEX(oppCol24,ROW()),ovrTeamCol,0),MATCH(MID(INDEX(headerRow,1,COLUMN()),4,LEN(INDEX(headerRow,1,COLUMN()))),ovrHeaderRow,0))</f>
        <v>70.5</v>
      </c>
      <c r="CD26" s="12">
        <f>INDEX(ovrTable,MATCH(INDEX(oppCol24,ROW()),ovrTeamCol,0),MATCH(MID(INDEX(headerRow,1,COLUMN()),4,LEN(INDEX(headerRow,1,COLUMN()))),ovrHeaderRow,0))</f>
        <v>12.22</v>
      </c>
      <c r="CE26" s="12">
        <f>INDEX(ovrTable,MATCH(INDEX(oppCol24,ROW()),ovrTeamCol,0),MATCH(MID(INDEX(headerRow,1,COLUMN()),4,LEN(INDEX(headerRow,1,COLUMN()))),ovrHeaderRow,0))</f>
        <v>81.900000000000006</v>
      </c>
      <c r="CF26" s="12">
        <f>INDEX(ovrTable,MATCH(INDEX(oppCol24,ROW()),ovrTeamCol,0),MATCH(MID(INDEX(headerRow,1,COLUMN()),4,LEN(INDEX(headerRow,1,COLUMN()))),ovrHeaderRow,0))</f>
        <v>7.3</v>
      </c>
      <c r="CG26" s="12">
        <f>INDEX(ovrTable,MATCH(INDEX(oppCol24,ROW()),ovrTeamCol,0),MATCH(MID(INDEX(headerRow,1,COLUMN()),4,LEN(INDEX(headerRow,1,COLUMN()))),ovrHeaderRow,0))</f>
        <v>41.08</v>
      </c>
      <c r="CH26" s="12">
        <f>INDEX(ovrTable,MATCH(INDEX(oppCol24,ROW()),ovrTeamCol,0),MATCH(MID(INDEX(headerRow,1,COLUMN()),4,LEN(INDEX(headerRow,1,COLUMN()))),ovrHeaderRow,0))</f>
        <v>11.5</v>
      </c>
      <c r="CI26" s="12">
        <f>INDEX(ovrTable,MATCH(INDEX(oppCol24,ROW()),ovrTeamCol,0),MATCH(MID(INDEX(headerRow,1,COLUMN()),4,LEN(INDEX(headerRow,1,COLUMN()))),ovrHeaderRow,0))</f>
        <v>5.8</v>
      </c>
      <c r="CJ26" s="12">
        <f>INDEX(ovrTable,MATCH(INDEX(oppCol24,ROW()),ovrTeamCol,0),MATCH(MID(INDEX(headerRow,1,COLUMN()),4,LEN(INDEX(headerRow,1,COLUMN()))),ovrHeaderRow,0))</f>
        <v>0.5</v>
      </c>
      <c r="CK26" s="12">
        <f>INDEX(ovrTable,MATCH(INDEX(oppCol24,ROW()),ovrTeamCol,0),MATCH(MID(INDEX(headerRow,1,COLUMN()),4,LEN(INDEX(headerRow,1,COLUMN()))),ovrHeaderRow,0))</f>
        <v>10.59</v>
      </c>
      <c r="CL26" s="12">
        <f>INDEX(ovrTable,MATCH(INDEX(oppCol24,ROW()),ovrTeamCol,0),MATCH(MID(INDEX(headerRow,1,COLUMN()),4,LEN(INDEX(headerRow,1,COLUMN()))),ovrHeaderRow,0))</f>
        <v>10.1</v>
      </c>
      <c r="CM26" s="12">
        <f>INDEX(ovrTable,MATCH(INDEX(oppCol24,ROW()),ovrTeamCol,0),MATCH(MID(INDEX(headerRow,1,COLUMN()),4,LEN(INDEX(headerRow,1,COLUMN()))),ovrHeaderRow,0))</f>
        <v>73.3</v>
      </c>
      <c r="CN26" s="12">
        <f>INDEX(ovrTable,MATCH(INDEX(oppCol24,ROW()),ovrTeamCol,0),MATCH(MID(INDEX(headerRow,1,COLUMN()),4,LEN(INDEX(headerRow,1,COLUMN()))),ovrHeaderRow,0))</f>
        <v>20.150000000000006</v>
      </c>
      <c r="CO26" s="12">
        <f>INDEX(ovrTable,MATCH(INDEX(oppCol24,ROW()),ovrTeamCol,0),MATCH(MID(INDEX(headerRow,1,COLUMN()),4,LEN(INDEX(headerRow,1,COLUMN()))),ovrHeaderRow,0))</f>
        <v>62.7777777777778</v>
      </c>
    </row>
    <row r="27" spans="1:93" x14ac:dyDescent="0.3">
      <c r="A27" s="6" t="s">
        <v>18</v>
      </c>
      <c r="B27" s="3">
        <v>1</v>
      </c>
      <c r="C27" s="13" t="s">
        <v>33</v>
      </c>
      <c r="D27" s="14">
        <v>13</v>
      </c>
      <c r="E27" s="23">
        <v>38.888888888888893</v>
      </c>
      <c r="F27" s="24">
        <v>9</v>
      </c>
      <c r="G27" s="23">
        <v>50</v>
      </c>
      <c r="H27" s="24">
        <v>18</v>
      </c>
      <c r="I27" s="25">
        <v>1.5555555555555556</v>
      </c>
      <c r="J27" s="24">
        <v>14</v>
      </c>
      <c r="K27" s="24">
        <v>26</v>
      </c>
      <c r="L27" s="24">
        <v>3</v>
      </c>
      <c r="M27" s="24">
        <v>39.700000000000003</v>
      </c>
      <c r="N27" s="24">
        <v>30</v>
      </c>
      <c r="O27" s="26">
        <v>0.625</v>
      </c>
      <c r="P27" s="24">
        <v>14</v>
      </c>
      <c r="Q27" s="24">
        <v>55</v>
      </c>
      <c r="R27" s="24">
        <v>13</v>
      </c>
      <c r="S27" s="23">
        <v>78.94736842105263</v>
      </c>
      <c r="T27" s="24">
        <v>19</v>
      </c>
      <c r="U27" s="24">
        <v>15</v>
      </c>
      <c r="V27" s="24">
        <v>62</v>
      </c>
      <c r="W27" s="24">
        <v>13</v>
      </c>
      <c r="X27" s="24">
        <v>90</v>
      </c>
      <c r="Y27" s="24">
        <v>19</v>
      </c>
      <c r="Z27" s="24">
        <v>43</v>
      </c>
      <c r="AA27" s="24">
        <v>28</v>
      </c>
      <c r="AB27" s="24">
        <v>4</v>
      </c>
      <c r="AC27" s="24">
        <v>-1</v>
      </c>
      <c r="AD27" s="24">
        <v>8</v>
      </c>
      <c r="AE27" s="24">
        <v>9</v>
      </c>
      <c r="AF27" s="46">
        <f t="shared" si="3"/>
        <v>65.025000000000006</v>
      </c>
      <c r="AG27" s="51">
        <f t="shared" ref="AG27" si="33">AVERAGE(AF26,AF27)</f>
        <v>65.042254408060444</v>
      </c>
      <c r="AH27" s="12">
        <f t="shared" si="26"/>
        <v>32.1</v>
      </c>
      <c r="AI27" s="12">
        <f t="shared" si="26"/>
        <v>8.1</v>
      </c>
      <c r="AJ27" s="12">
        <f t="shared" si="26"/>
        <v>35.9</v>
      </c>
      <c r="AK27" s="12">
        <f t="shared" si="26"/>
        <v>22.7</v>
      </c>
      <c r="AL27" s="12">
        <f t="shared" si="26"/>
        <v>1.44</v>
      </c>
      <c r="AM27" s="12">
        <f t="shared" si="26"/>
        <v>14.5</v>
      </c>
      <c r="AN27" s="12">
        <f t="shared" si="26"/>
        <v>17.3</v>
      </c>
      <c r="AO27" s="12">
        <f t="shared" si="26"/>
        <v>4.0999999999999996</v>
      </c>
      <c r="AP27" s="12">
        <f t="shared" si="26"/>
        <v>41</v>
      </c>
      <c r="AQ27" s="12">
        <f t="shared" si="26"/>
        <v>28.86</v>
      </c>
      <c r="AR27" s="12">
        <f t="shared" si="27"/>
        <v>0.51500000000000001</v>
      </c>
      <c r="AS27" s="12">
        <f t="shared" si="27"/>
        <v>12.41</v>
      </c>
      <c r="AT27" s="12">
        <f t="shared" si="27"/>
        <v>45</v>
      </c>
      <c r="AU27" s="12">
        <f t="shared" si="27"/>
        <v>16.5</v>
      </c>
      <c r="AV27" s="12">
        <f t="shared" si="27"/>
        <v>75.900000000000006</v>
      </c>
      <c r="AW27" s="12">
        <f t="shared" si="27"/>
        <v>22.8</v>
      </c>
      <c r="AX27" s="12">
        <f t="shared" si="27"/>
        <v>17.3</v>
      </c>
      <c r="AY27" s="12">
        <f t="shared" si="27"/>
        <v>70.5</v>
      </c>
      <c r="AZ27" s="12">
        <f t="shared" si="27"/>
        <v>12.22</v>
      </c>
      <c r="BA27" s="12">
        <f t="shared" si="27"/>
        <v>81.900000000000006</v>
      </c>
      <c r="BB27" s="12">
        <f t="shared" si="28"/>
        <v>7.3</v>
      </c>
      <c r="BC27" s="12">
        <f t="shared" si="28"/>
        <v>41.08</v>
      </c>
      <c r="BD27" s="12">
        <f t="shared" si="28"/>
        <v>11.5</v>
      </c>
      <c r="BE27" s="12">
        <f t="shared" si="28"/>
        <v>5.8</v>
      </c>
      <c r="BF27" s="12">
        <f t="shared" si="28"/>
        <v>0.5</v>
      </c>
      <c r="BG27" s="12">
        <f t="shared" si="28"/>
        <v>10.59</v>
      </c>
      <c r="BH27" s="12">
        <f t="shared" si="28"/>
        <v>10.1</v>
      </c>
      <c r="BI27" s="12">
        <f t="shared" si="28"/>
        <v>73.3</v>
      </c>
      <c r="BJ27" s="12">
        <f t="shared" si="28"/>
        <v>20.150000000000006</v>
      </c>
      <c r="BK27" s="12">
        <f t="shared" si="28"/>
        <v>62.7777777777778</v>
      </c>
      <c r="BL27" s="12">
        <f>INDEX(ovrTable,MATCH(INDEX(oppCol24,ROW()),ovrTeamCol,0),MATCH(MID(INDEX(headerRow,1,COLUMN()),4,LEN(INDEX(headerRow,1,COLUMN()))),ovrHeaderRow,0))</f>
        <v>30</v>
      </c>
      <c r="BM27" s="12">
        <f>INDEX(ovrTable,MATCH(INDEX(oppCol24,ROW()),ovrTeamCol,0),MATCH(MID(INDEX(headerRow,1,COLUMN()),4,LEN(INDEX(headerRow,1,COLUMN()))),ovrHeaderRow,0))</f>
        <v>7.2</v>
      </c>
      <c r="BN27" s="12">
        <f>INDEX(ovrTable,MATCH(INDEX(oppCol24,ROW()),ovrTeamCol,0),MATCH(MID(INDEX(headerRow,1,COLUMN()),4,LEN(INDEX(headerRow,1,COLUMN()))),ovrHeaderRow,0))</f>
        <v>32.700000000000003</v>
      </c>
      <c r="BO27" s="12">
        <f>INDEX(ovrTable,MATCH(INDEX(oppCol24,ROW()),ovrTeamCol,0),MATCH(MID(INDEX(headerRow,1,COLUMN()),4,LEN(INDEX(headerRow,1,COLUMN()))),ovrHeaderRow,0))</f>
        <v>22</v>
      </c>
      <c r="BP27" s="12">
        <f>INDEX(ovrTable,MATCH(INDEX(oppCol24,ROW()),ovrTeamCol,0),MATCH(MID(INDEX(headerRow,1,COLUMN()),4,LEN(INDEX(headerRow,1,COLUMN()))),ovrHeaderRow,0))</f>
        <v>1.29</v>
      </c>
      <c r="BQ27" s="12">
        <f>INDEX(ovrTable,MATCH(INDEX(oppCol24,ROW()),ovrTeamCol,0),MATCH(MID(INDEX(headerRow,1,COLUMN()),4,LEN(INDEX(headerRow,1,COLUMN()))),ovrHeaderRow,0))</f>
        <v>12.8</v>
      </c>
      <c r="BR27" s="12">
        <f>INDEX(ovrTable,MATCH(INDEX(oppCol24,ROW()),ovrTeamCol,0),MATCH(MID(INDEX(headerRow,1,COLUMN()),4,LEN(INDEX(headerRow,1,COLUMN()))),ovrHeaderRow,0))</f>
        <v>15.36</v>
      </c>
      <c r="BS27" s="12">
        <f>INDEX(ovrTable,MATCH(INDEX(oppCol24,ROW()),ovrTeamCol,0),MATCH(MID(INDEX(headerRow,1,COLUMN()),4,LEN(INDEX(headerRow,1,COLUMN()))),ovrHeaderRow,0))</f>
        <v>2.2999999999999998</v>
      </c>
      <c r="BT27" s="12">
        <f>INDEX(ovrTable,MATCH(INDEX(oppCol24,ROW()),ovrTeamCol,0),MATCH(MID(INDEX(headerRow,1,COLUMN()),4,LEN(INDEX(headerRow,1,COLUMN()))),ovrHeaderRow,0))</f>
        <v>42.2</v>
      </c>
      <c r="BU27" s="12">
        <f>INDEX(ovrTable,MATCH(INDEX(oppCol24,ROW()),ovrTeamCol,0),MATCH(MID(INDEX(headerRow,1,COLUMN()),4,LEN(INDEX(headerRow,1,COLUMN()))),ovrHeaderRow,0))</f>
        <v>24.67</v>
      </c>
      <c r="BV27" s="12">
        <f>INDEX(ovrTable,MATCH(INDEX(oppCol24,ROW()),ovrTeamCol,0),MATCH(MID(INDEX(headerRow,1,COLUMN()),4,LEN(INDEX(headerRow,1,COLUMN()))),ovrHeaderRow,0))</f>
        <v>0.45800000000000002</v>
      </c>
      <c r="BW27" s="12">
        <f>INDEX(ovrTable,MATCH(INDEX(oppCol24,ROW()),ovrTeamCol,0),MATCH(MID(INDEX(headerRow,1,COLUMN()),4,LEN(INDEX(headerRow,1,COLUMN()))),ovrHeaderRow,0))</f>
        <v>10.7</v>
      </c>
      <c r="BX27" s="12">
        <f>INDEX(ovrTable,MATCH(INDEX(oppCol24,ROW()),ovrTeamCol,0),MATCH(MID(INDEX(headerRow,1,COLUMN()),4,LEN(INDEX(headerRow,1,COLUMN()))),ovrHeaderRow,0))</f>
        <v>39.6</v>
      </c>
      <c r="BY27" s="12">
        <f>INDEX(ovrTable,MATCH(INDEX(oppCol24,ROW()),ovrTeamCol,0),MATCH(MID(INDEX(headerRow,1,COLUMN()),4,LEN(INDEX(headerRow,1,COLUMN()))),ovrHeaderRow,0))</f>
        <v>15.4</v>
      </c>
      <c r="BZ27" s="12">
        <f>INDEX(ovrTable,MATCH(INDEX(oppCol24,ROW()),ovrTeamCol,0),MATCH(MID(INDEX(headerRow,1,COLUMN()),4,LEN(INDEX(headerRow,1,COLUMN()))),ovrHeaderRow,0))</f>
        <v>70.400000000000006</v>
      </c>
      <c r="CA27" s="12">
        <f>INDEX(ovrTable,MATCH(INDEX(oppCol24,ROW()),ovrTeamCol,0),MATCH(MID(INDEX(headerRow,1,COLUMN()),4,LEN(INDEX(headerRow,1,COLUMN()))),ovrHeaderRow,0))</f>
        <v>15</v>
      </c>
      <c r="CB27" s="12">
        <f>INDEX(ovrTable,MATCH(INDEX(oppCol24,ROW()),ovrTeamCol,0),MATCH(MID(INDEX(headerRow,1,COLUMN()),4,LEN(INDEX(headerRow,1,COLUMN()))),ovrHeaderRow,0))</f>
        <v>10.6</v>
      </c>
      <c r="CC27" s="12">
        <f>INDEX(ovrTable,MATCH(INDEX(oppCol24,ROW()),ovrTeamCol,0),MATCH(MID(INDEX(headerRow,1,COLUMN()),4,LEN(INDEX(headerRow,1,COLUMN()))),ovrHeaderRow,0))</f>
        <v>63.1</v>
      </c>
      <c r="CD27" s="12">
        <f>INDEX(ovrTable,MATCH(INDEX(oppCol24,ROW()),ovrTeamCol,0),MATCH(MID(INDEX(headerRow,1,COLUMN()),4,LEN(INDEX(headerRow,1,COLUMN()))),ovrHeaderRow,0))</f>
        <v>11.18</v>
      </c>
      <c r="CE27" s="12">
        <f>INDEX(ovrTable,MATCH(INDEX(oppCol24,ROW()),ovrTeamCol,0),MATCH(MID(INDEX(headerRow,1,COLUMN()),4,LEN(INDEX(headerRow,1,COLUMN()))),ovrHeaderRow,0))</f>
        <v>63.7</v>
      </c>
      <c r="CF27" s="12">
        <f>INDEX(ovrTable,MATCH(INDEX(oppCol24,ROW()),ovrTeamCol,0),MATCH(MID(INDEX(headerRow,1,COLUMN()),4,LEN(INDEX(headerRow,1,COLUMN()))),ovrHeaderRow,0))</f>
        <v>0.6</v>
      </c>
      <c r="CG27" s="12">
        <f>INDEX(ovrTable,MATCH(INDEX(oppCol24,ROW()),ovrTeamCol,0),MATCH(MID(INDEX(headerRow,1,COLUMN()),4,LEN(INDEX(headerRow,1,COLUMN()))),ovrHeaderRow,0))</f>
        <v>35.85</v>
      </c>
      <c r="CH27" s="12">
        <f>INDEX(ovrTable,MATCH(INDEX(oppCol24,ROW()),ovrTeamCol,0),MATCH(MID(INDEX(headerRow,1,COLUMN()),4,LEN(INDEX(headerRow,1,COLUMN()))),ovrHeaderRow,0))</f>
        <v>0.6</v>
      </c>
      <c r="CI27" s="12">
        <f>INDEX(ovrTable,MATCH(INDEX(oppCol24,ROW()),ovrTeamCol,0),MATCH(MID(INDEX(headerRow,1,COLUMN()),4,LEN(INDEX(headerRow,1,COLUMN()))),ovrHeaderRow,0))</f>
        <v>5.9</v>
      </c>
      <c r="CJ27" s="12">
        <f>INDEX(ovrTable,MATCH(INDEX(oppCol24,ROW()),ovrTeamCol,0),MATCH(MID(INDEX(headerRow,1,COLUMN()),4,LEN(INDEX(headerRow,1,COLUMN()))),ovrHeaderRow,0))</f>
        <v>1.2</v>
      </c>
      <c r="CK27" s="12">
        <f>INDEX(ovrTable,MATCH(INDEX(oppCol24,ROW()),ovrTeamCol,0),MATCH(MID(INDEX(headerRow,1,COLUMN()),4,LEN(INDEX(headerRow,1,COLUMN()))),ovrHeaderRow,0))</f>
        <v>11.12</v>
      </c>
      <c r="CL27" s="12">
        <f>INDEX(ovrTable,MATCH(INDEX(oppCol24,ROW()),ovrTeamCol,0),MATCH(MID(INDEX(headerRow,1,COLUMN()),4,LEN(INDEX(headerRow,1,COLUMN()))),ovrHeaderRow,0))</f>
        <v>9.9</v>
      </c>
      <c r="CM27" s="12">
        <f>INDEX(ovrTable,MATCH(INDEX(oppCol24,ROW()),ovrTeamCol,0),MATCH(MID(INDEX(headerRow,1,COLUMN()),4,LEN(INDEX(headerRow,1,COLUMN()))),ovrHeaderRow,0))</f>
        <v>65</v>
      </c>
      <c r="CN27" s="12">
        <f>INDEX(ovrTable,MATCH(INDEX(oppCol24,ROW()),ovrTeamCol,0),MATCH(MID(INDEX(headerRow,1,COLUMN()),4,LEN(INDEX(headerRow,1,COLUMN()))),ovrHeaderRow,0))</f>
        <v>15.75</v>
      </c>
      <c r="CO27" s="12">
        <f>INDEX(ovrTable,MATCH(INDEX(oppCol24,ROW()),ovrTeamCol,0),MATCH(MID(INDEX(headerRow,1,COLUMN()),4,LEN(INDEX(headerRow,1,COLUMN()))),ovrHeaderRow,0))</f>
        <v>57.954545454545453</v>
      </c>
    </row>
    <row r="28" spans="1:93" x14ac:dyDescent="0.3">
      <c r="A28" s="6" t="s">
        <v>25</v>
      </c>
      <c r="B28" s="3">
        <v>8</v>
      </c>
      <c r="C28" s="13" t="s">
        <v>34</v>
      </c>
      <c r="D28" s="14">
        <v>14</v>
      </c>
      <c r="E28" s="23">
        <v>43.478260869565219</v>
      </c>
      <c r="F28" s="24">
        <v>6</v>
      </c>
      <c r="G28" s="23">
        <v>22.222222222222221</v>
      </c>
      <c r="H28" s="24">
        <v>27</v>
      </c>
      <c r="I28" s="25">
        <v>0.8666666666666667</v>
      </c>
      <c r="J28" s="24">
        <v>13</v>
      </c>
      <c r="K28" s="24">
        <v>7</v>
      </c>
      <c r="L28" s="24">
        <v>2</v>
      </c>
      <c r="M28" s="24">
        <v>50</v>
      </c>
      <c r="N28" s="24">
        <v>16</v>
      </c>
      <c r="O28" s="26">
        <v>0.42549999999999999</v>
      </c>
      <c r="P28" s="24">
        <v>11</v>
      </c>
      <c r="Q28" s="24">
        <v>37</v>
      </c>
      <c r="R28" s="24">
        <v>11</v>
      </c>
      <c r="S28" s="23">
        <v>50</v>
      </c>
      <c r="T28" s="24">
        <v>10</v>
      </c>
      <c r="U28" s="24">
        <v>5</v>
      </c>
      <c r="V28" s="24">
        <v>69</v>
      </c>
      <c r="W28" s="24">
        <v>13</v>
      </c>
      <c r="X28" s="24">
        <v>51</v>
      </c>
      <c r="Y28" s="24">
        <v>-6</v>
      </c>
      <c r="Z28" s="24">
        <v>29</v>
      </c>
      <c r="AA28" s="24">
        <v>-18</v>
      </c>
      <c r="AB28" s="24">
        <v>9</v>
      </c>
      <c r="AC28" s="24">
        <v>1</v>
      </c>
      <c r="AD28" s="24">
        <v>16</v>
      </c>
      <c r="AE28" s="24">
        <v>15</v>
      </c>
      <c r="AF28" s="46">
        <f t="shared" si="3"/>
        <v>60.804054054054056</v>
      </c>
      <c r="AG28" s="51">
        <f t="shared" ref="AG28" si="34">AVERAGE(AF28,AF29)</f>
        <v>61.327027027027029</v>
      </c>
      <c r="AH28" s="12">
        <f t="shared" si="26"/>
        <v>29.8</v>
      </c>
      <c r="AI28" s="12">
        <f t="shared" si="26"/>
        <v>7.2</v>
      </c>
      <c r="AJ28" s="12">
        <f t="shared" si="26"/>
        <v>32.1</v>
      </c>
      <c r="AK28" s="12">
        <f t="shared" si="26"/>
        <v>22.3</v>
      </c>
      <c r="AL28" s="12">
        <f t="shared" si="26"/>
        <v>1.08</v>
      </c>
      <c r="AM28" s="12">
        <f t="shared" si="26"/>
        <v>14</v>
      </c>
      <c r="AN28" s="12">
        <f t="shared" si="26"/>
        <v>25.57</v>
      </c>
      <c r="AO28" s="12">
        <f t="shared" si="26"/>
        <v>3.1</v>
      </c>
      <c r="AP28" s="12">
        <f t="shared" si="26"/>
        <v>41.9</v>
      </c>
      <c r="AQ28" s="12">
        <f t="shared" si="26"/>
        <v>25.63</v>
      </c>
      <c r="AR28" s="12">
        <f t="shared" si="27"/>
        <v>0.51400000000000001</v>
      </c>
      <c r="AS28" s="12">
        <f t="shared" si="27"/>
        <v>9.74</v>
      </c>
      <c r="AT28" s="12">
        <f t="shared" si="27"/>
        <v>45.2</v>
      </c>
      <c r="AU28" s="12">
        <f t="shared" si="27"/>
        <v>16.600000000000001</v>
      </c>
      <c r="AV28" s="12">
        <f t="shared" si="27"/>
        <v>67</v>
      </c>
      <c r="AW28" s="12">
        <f t="shared" si="27"/>
        <v>21.7</v>
      </c>
      <c r="AX28" s="12">
        <f t="shared" si="27"/>
        <v>14.5</v>
      </c>
      <c r="AY28" s="12">
        <f t="shared" si="27"/>
        <v>69.099999999999994</v>
      </c>
      <c r="AZ28" s="12">
        <f t="shared" si="27"/>
        <v>12.46</v>
      </c>
      <c r="BA28" s="12">
        <f t="shared" si="27"/>
        <v>74.099999999999994</v>
      </c>
      <c r="BB28" s="12">
        <f t="shared" si="28"/>
        <v>5.5</v>
      </c>
      <c r="BC28" s="12">
        <f t="shared" si="28"/>
        <v>38.090000000000003</v>
      </c>
      <c r="BD28" s="12">
        <f t="shared" si="28"/>
        <v>5</v>
      </c>
      <c r="BE28" s="12">
        <f t="shared" si="28"/>
        <v>8.1</v>
      </c>
      <c r="BF28" s="12">
        <f t="shared" si="28"/>
        <v>-0.3</v>
      </c>
      <c r="BG28" s="12">
        <f t="shared" si="28"/>
        <v>12.66</v>
      </c>
      <c r="BH28" s="12">
        <f t="shared" si="28"/>
        <v>13</v>
      </c>
      <c r="BI28" s="12">
        <f t="shared" si="28"/>
        <v>70.599999999999994</v>
      </c>
      <c r="BJ28" s="12">
        <f t="shared" si="28"/>
        <v>18.999999999999996</v>
      </c>
      <c r="BK28" s="12">
        <f t="shared" si="28"/>
        <v>57.964601769911489</v>
      </c>
      <c r="BL28" s="12">
        <f>INDEX(ovrTable,MATCH(INDEX(oppCol24,ROW()),ovrTeamCol,0),MATCH(MID(INDEX(headerRow,1,COLUMN()),4,LEN(INDEX(headerRow,1,COLUMN()))),ovrHeaderRow,0))</f>
        <v>32.6</v>
      </c>
      <c r="BM28" s="12">
        <f>INDEX(ovrTable,MATCH(INDEX(oppCol24,ROW()),ovrTeamCol,0),MATCH(MID(INDEX(headerRow,1,COLUMN()),4,LEN(INDEX(headerRow,1,COLUMN()))),ovrHeaderRow,0))</f>
        <v>6.5</v>
      </c>
      <c r="BN28" s="12">
        <f>INDEX(ovrTable,MATCH(INDEX(oppCol24,ROW()),ovrTeamCol,0),MATCH(MID(INDEX(headerRow,1,COLUMN()),4,LEN(INDEX(headerRow,1,COLUMN()))),ovrHeaderRow,0))</f>
        <v>36.299999999999997</v>
      </c>
      <c r="BO28" s="12">
        <f>INDEX(ovrTable,MATCH(INDEX(oppCol24,ROW()),ovrTeamCol,0),MATCH(MID(INDEX(headerRow,1,COLUMN()),4,LEN(INDEX(headerRow,1,COLUMN()))),ovrHeaderRow,0))</f>
        <v>17.899999999999999</v>
      </c>
      <c r="BP28" s="12">
        <f>INDEX(ovrTable,MATCH(INDEX(oppCol24,ROW()),ovrTeamCol,0),MATCH(MID(INDEX(headerRow,1,COLUMN()),4,LEN(INDEX(headerRow,1,COLUMN()))),ovrHeaderRow,0))</f>
        <v>1.59</v>
      </c>
      <c r="BQ28" s="12">
        <f>INDEX(ovrTable,MATCH(INDEX(oppCol24,ROW()),ovrTeamCol,0),MATCH(MID(INDEX(headerRow,1,COLUMN()),4,LEN(INDEX(headerRow,1,COLUMN()))),ovrHeaderRow,0))</f>
        <v>15.9</v>
      </c>
      <c r="BR28" s="12">
        <f>INDEX(ovrTable,MATCH(INDEX(oppCol24,ROW()),ovrTeamCol,0),MATCH(MID(INDEX(headerRow,1,COLUMN()),4,LEN(INDEX(headerRow,1,COLUMN()))),ovrHeaderRow,0))</f>
        <v>17.71</v>
      </c>
      <c r="BS28" s="12">
        <f>INDEX(ovrTable,MATCH(INDEX(oppCol24,ROW()),ovrTeamCol,0),MATCH(MID(INDEX(headerRow,1,COLUMN()),4,LEN(INDEX(headerRow,1,COLUMN()))),ovrHeaderRow,0))</f>
        <v>3.8</v>
      </c>
      <c r="BT28" s="12">
        <f>INDEX(ovrTable,MATCH(INDEX(oppCol24,ROW()),ovrTeamCol,0),MATCH(MID(INDEX(headerRow,1,COLUMN()),4,LEN(INDEX(headerRow,1,COLUMN()))),ovrHeaderRow,0))</f>
        <v>41.3</v>
      </c>
      <c r="BU28" s="12">
        <f>INDEX(ovrTable,MATCH(INDEX(oppCol24,ROW()),ovrTeamCol,0),MATCH(MID(INDEX(headerRow,1,COLUMN()),4,LEN(INDEX(headerRow,1,COLUMN()))),ovrHeaderRow,0))</f>
        <v>24.63</v>
      </c>
      <c r="BV28" s="12">
        <f>INDEX(ovrTable,MATCH(INDEX(oppCol24,ROW()),ovrTeamCol,0),MATCH(MID(INDEX(headerRow,1,COLUMN()),4,LEN(INDEX(headerRow,1,COLUMN()))),ovrHeaderRow,0))</f>
        <v>0.51600000000000001</v>
      </c>
      <c r="BW28" s="12">
        <f>INDEX(ovrTable,MATCH(INDEX(oppCol24,ROW()),ovrTeamCol,0),MATCH(MID(INDEX(headerRow,1,COLUMN()),4,LEN(INDEX(headerRow,1,COLUMN()))),ovrHeaderRow,0))</f>
        <v>14.09</v>
      </c>
      <c r="BX28" s="12">
        <f>INDEX(ovrTable,MATCH(INDEX(oppCol24,ROW()),ovrTeamCol,0),MATCH(MID(INDEX(headerRow,1,COLUMN()),4,LEN(INDEX(headerRow,1,COLUMN()))),ovrHeaderRow,0))</f>
        <v>46.1</v>
      </c>
      <c r="BY28" s="12">
        <f>INDEX(ovrTable,MATCH(INDEX(oppCol24,ROW()),ovrTeamCol,0),MATCH(MID(INDEX(headerRow,1,COLUMN()),4,LEN(INDEX(headerRow,1,COLUMN()))),ovrHeaderRow,0))</f>
        <v>16.600000000000001</v>
      </c>
      <c r="BZ28" s="12">
        <f>INDEX(ovrTable,MATCH(INDEX(oppCol24,ROW()),ovrTeamCol,0),MATCH(MID(INDEX(headerRow,1,COLUMN()),4,LEN(INDEX(headerRow,1,COLUMN()))),ovrHeaderRow,0))</f>
        <v>70.8</v>
      </c>
      <c r="CA28" s="12">
        <f>INDEX(ovrTable,MATCH(INDEX(oppCol24,ROW()),ovrTeamCol,0),MATCH(MID(INDEX(headerRow,1,COLUMN()),4,LEN(INDEX(headerRow,1,COLUMN()))),ovrHeaderRow,0))</f>
        <v>17.2</v>
      </c>
      <c r="CB28" s="12">
        <f>INDEX(ovrTable,MATCH(INDEX(oppCol24,ROW()),ovrTeamCol,0),MATCH(MID(INDEX(headerRow,1,COLUMN()),4,LEN(INDEX(headerRow,1,COLUMN()))),ovrHeaderRow,0))</f>
        <v>12.2</v>
      </c>
      <c r="CC28" s="12">
        <f>INDEX(ovrTable,MATCH(INDEX(oppCol24,ROW()),ovrTeamCol,0),MATCH(MID(INDEX(headerRow,1,COLUMN()),4,LEN(INDEX(headerRow,1,COLUMN()))),ovrHeaderRow,0))</f>
        <v>66.099999999999994</v>
      </c>
      <c r="CD28" s="12">
        <f>INDEX(ovrTable,MATCH(INDEX(oppCol24,ROW()),ovrTeamCol,0),MATCH(MID(INDEX(headerRow,1,COLUMN()),4,LEN(INDEX(headerRow,1,COLUMN()))),ovrHeaderRow,0))</f>
        <v>10.09</v>
      </c>
      <c r="CE28" s="12">
        <f>INDEX(ovrTable,MATCH(INDEX(oppCol24,ROW()),ovrTeamCol,0),MATCH(MID(INDEX(headerRow,1,COLUMN()),4,LEN(INDEX(headerRow,1,COLUMN()))),ovrHeaderRow,0))</f>
        <v>72.900000000000006</v>
      </c>
      <c r="CF28" s="12">
        <f>INDEX(ovrTable,MATCH(INDEX(oppCol24,ROW()),ovrTeamCol,0),MATCH(MID(INDEX(headerRow,1,COLUMN()),4,LEN(INDEX(headerRow,1,COLUMN()))),ovrHeaderRow,0))</f>
        <v>1.1000000000000001</v>
      </c>
      <c r="CG28" s="12">
        <f>INDEX(ovrTable,MATCH(INDEX(oppCol24,ROW()),ovrTeamCol,0),MATCH(MID(INDEX(headerRow,1,COLUMN()),4,LEN(INDEX(headerRow,1,COLUMN()))),ovrHeaderRow,0))</f>
        <v>34.71</v>
      </c>
      <c r="CH28" s="12">
        <f>INDEX(ovrTable,MATCH(INDEX(oppCol24,ROW()),ovrTeamCol,0),MATCH(MID(INDEX(headerRow,1,COLUMN()),4,LEN(INDEX(headerRow,1,COLUMN()))),ovrHeaderRow,0))</f>
        <v>6.8</v>
      </c>
      <c r="CI28" s="12">
        <f>INDEX(ovrTable,MATCH(INDEX(oppCol24,ROW()),ovrTeamCol,0),MATCH(MID(INDEX(headerRow,1,COLUMN()),4,LEN(INDEX(headerRow,1,COLUMN()))),ovrHeaderRow,0))</f>
        <v>7.1</v>
      </c>
      <c r="CJ28" s="12">
        <f>INDEX(ovrTable,MATCH(INDEX(oppCol24,ROW()),ovrTeamCol,0),MATCH(MID(INDEX(headerRow,1,COLUMN()),4,LEN(INDEX(headerRow,1,COLUMN()))),ovrHeaderRow,0))</f>
        <v>2.2999999999999998</v>
      </c>
      <c r="CK28" s="12">
        <f>INDEX(ovrTable,MATCH(INDEX(oppCol24,ROW()),ovrTeamCol,0),MATCH(MID(INDEX(headerRow,1,COLUMN()),4,LEN(INDEX(headerRow,1,COLUMN()))),ovrHeaderRow,0))</f>
        <v>12.34</v>
      </c>
      <c r="CL28" s="12">
        <f>INDEX(ovrTable,MATCH(INDEX(oppCol24,ROW()),ovrTeamCol,0),MATCH(MID(INDEX(headerRow,1,COLUMN()),4,LEN(INDEX(headerRow,1,COLUMN()))),ovrHeaderRow,0))</f>
        <v>10</v>
      </c>
      <c r="CM28" s="12">
        <f>INDEX(ovrTable,MATCH(INDEX(oppCol24,ROW()),ovrTeamCol,0),MATCH(MID(INDEX(headerRow,1,COLUMN()),4,LEN(INDEX(headerRow,1,COLUMN()))),ovrHeaderRow,0))</f>
        <v>68.3</v>
      </c>
      <c r="CN28" s="12">
        <f>INDEX(ovrTable,MATCH(INDEX(oppCol24,ROW()),ovrTeamCol,0),MATCH(MID(INDEX(headerRow,1,COLUMN()),4,LEN(INDEX(headerRow,1,COLUMN()))),ovrHeaderRow,0))</f>
        <v>20.6</v>
      </c>
      <c r="CO28" s="12">
        <f>INDEX(ovrTable,MATCH(INDEX(oppCol24,ROW()),ovrTeamCol,0),MATCH(MID(INDEX(headerRow,1,COLUMN()),4,LEN(INDEX(headerRow,1,COLUMN()))),ovrHeaderRow,0))</f>
        <v>58.785249457700651</v>
      </c>
    </row>
    <row r="29" spans="1:93" x14ac:dyDescent="0.3">
      <c r="A29" s="6" t="s">
        <v>34</v>
      </c>
      <c r="B29" s="3">
        <v>9</v>
      </c>
      <c r="C29" s="13" t="s">
        <v>25</v>
      </c>
      <c r="D29" s="14">
        <v>14</v>
      </c>
      <c r="E29" s="23">
        <v>22.222222222222221</v>
      </c>
      <c r="F29" s="24">
        <v>10</v>
      </c>
      <c r="G29" s="23">
        <v>43.478260869565219</v>
      </c>
      <c r="H29" s="24">
        <v>23</v>
      </c>
      <c r="I29" s="25">
        <v>0.875</v>
      </c>
      <c r="J29" s="24">
        <v>14</v>
      </c>
      <c r="K29" s="24">
        <v>17</v>
      </c>
      <c r="L29" s="24">
        <v>3</v>
      </c>
      <c r="M29" s="24">
        <v>37</v>
      </c>
      <c r="N29" s="24">
        <v>24</v>
      </c>
      <c r="O29" s="26">
        <v>0.59259259259259256</v>
      </c>
      <c r="P29" s="24">
        <v>10</v>
      </c>
      <c r="Q29" s="24">
        <v>50</v>
      </c>
      <c r="R29" s="24">
        <v>15</v>
      </c>
      <c r="S29" s="23">
        <v>83.333333333333343</v>
      </c>
      <c r="T29" s="24">
        <v>6</v>
      </c>
      <c r="U29" s="24">
        <v>5</v>
      </c>
      <c r="V29" s="24">
        <v>51</v>
      </c>
      <c r="W29" s="24">
        <v>11</v>
      </c>
      <c r="X29" s="24">
        <v>69</v>
      </c>
      <c r="Y29" s="24">
        <v>6</v>
      </c>
      <c r="Z29" s="24">
        <v>35</v>
      </c>
      <c r="AA29" s="24">
        <v>18</v>
      </c>
      <c r="AB29" s="24">
        <v>7</v>
      </c>
      <c r="AC29" s="24">
        <v>-1</v>
      </c>
      <c r="AD29" s="24">
        <v>15</v>
      </c>
      <c r="AE29" s="24">
        <v>16</v>
      </c>
      <c r="AF29" s="46">
        <f t="shared" si="3"/>
        <v>61.85</v>
      </c>
      <c r="AG29" s="51">
        <f t="shared" ref="AG29" si="35">AVERAGE(AF28,AF29)</f>
        <v>61.327027027027029</v>
      </c>
      <c r="AH29" s="12">
        <f t="shared" si="26"/>
        <v>32.6</v>
      </c>
      <c r="AI29" s="12">
        <f t="shared" si="26"/>
        <v>6.5</v>
      </c>
      <c r="AJ29" s="12">
        <f t="shared" si="26"/>
        <v>36.299999999999997</v>
      </c>
      <c r="AK29" s="12">
        <f t="shared" si="26"/>
        <v>17.899999999999999</v>
      </c>
      <c r="AL29" s="12">
        <f t="shared" si="26"/>
        <v>1.59</v>
      </c>
      <c r="AM29" s="12">
        <f t="shared" si="26"/>
        <v>15.9</v>
      </c>
      <c r="AN29" s="12">
        <f t="shared" si="26"/>
        <v>17.71</v>
      </c>
      <c r="AO29" s="12">
        <f t="shared" si="26"/>
        <v>3.8</v>
      </c>
      <c r="AP29" s="12">
        <f t="shared" si="26"/>
        <v>41.3</v>
      </c>
      <c r="AQ29" s="12">
        <f t="shared" si="26"/>
        <v>24.63</v>
      </c>
      <c r="AR29" s="12">
        <f t="shared" si="27"/>
        <v>0.51600000000000001</v>
      </c>
      <c r="AS29" s="12">
        <f t="shared" si="27"/>
        <v>14.09</v>
      </c>
      <c r="AT29" s="12">
        <f t="shared" si="27"/>
        <v>46.1</v>
      </c>
      <c r="AU29" s="12">
        <f t="shared" si="27"/>
        <v>16.600000000000001</v>
      </c>
      <c r="AV29" s="12">
        <f t="shared" si="27"/>
        <v>70.8</v>
      </c>
      <c r="AW29" s="12">
        <f t="shared" si="27"/>
        <v>17.2</v>
      </c>
      <c r="AX29" s="12">
        <f t="shared" si="27"/>
        <v>12.2</v>
      </c>
      <c r="AY29" s="12">
        <f t="shared" si="27"/>
        <v>66.099999999999994</v>
      </c>
      <c r="AZ29" s="12">
        <f t="shared" si="27"/>
        <v>10.09</v>
      </c>
      <c r="BA29" s="12">
        <f t="shared" si="27"/>
        <v>72.900000000000006</v>
      </c>
      <c r="BB29" s="12">
        <f t="shared" si="28"/>
        <v>1.1000000000000001</v>
      </c>
      <c r="BC29" s="12">
        <f t="shared" si="28"/>
        <v>34.71</v>
      </c>
      <c r="BD29" s="12">
        <f t="shared" si="28"/>
        <v>6.8</v>
      </c>
      <c r="BE29" s="12">
        <f t="shared" si="28"/>
        <v>7.1</v>
      </c>
      <c r="BF29" s="12">
        <f t="shared" si="28"/>
        <v>2.2999999999999998</v>
      </c>
      <c r="BG29" s="12">
        <f t="shared" si="28"/>
        <v>12.34</v>
      </c>
      <c r="BH29" s="12">
        <f t="shared" si="28"/>
        <v>10</v>
      </c>
      <c r="BI29" s="12">
        <f t="shared" si="28"/>
        <v>68.3</v>
      </c>
      <c r="BJ29" s="12">
        <f t="shared" si="28"/>
        <v>20.6</v>
      </c>
      <c r="BK29" s="12">
        <f t="shared" si="28"/>
        <v>58.785249457700651</v>
      </c>
      <c r="BL29" s="12">
        <f>INDEX(ovrTable,MATCH(INDEX(oppCol24,ROW()),ovrTeamCol,0),MATCH(MID(INDEX(headerRow,1,COLUMN()),4,LEN(INDEX(headerRow,1,COLUMN()))),ovrHeaderRow,0))</f>
        <v>29.8</v>
      </c>
      <c r="BM29" s="12">
        <f>INDEX(ovrTable,MATCH(INDEX(oppCol24,ROW()),ovrTeamCol,0),MATCH(MID(INDEX(headerRow,1,COLUMN()),4,LEN(INDEX(headerRow,1,COLUMN()))),ovrHeaderRow,0))</f>
        <v>7.2</v>
      </c>
      <c r="BN29" s="12">
        <f>INDEX(ovrTable,MATCH(INDEX(oppCol24,ROW()),ovrTeamCol,0),MATCH(MID(INDEX(headerRow,1,COLUMN()),4,LEN(INDEX(headerRow,1,COLUMN()))),ovrHeaderRow,0))</f>
        <v>32.1</v>
      </c>
      <c r="BO29" s="12">
        <f>INDEX(ovrTable,MATCH(INDEX(oppCol24,ROW()),ovrTeamCol,0),MATCH(MID(INDEX(headerRow,1,COLUMN()),4,LEN(INDEX(headerRow,1,COLUMN()))),ovrHeaderRow,0))</f>
        <v>22.3</v>
      </c>
      <c r="BP29" s="12">
        <f>INDEX(ovrTable,MATCH(INDEX(oppCol24,ROW()),ovrTeamCol,0),MATCH(MID(INDEX(headerRow,1,COLUMN()),4,LEN(INDEX(headerRow,1,COLUMN()))),ovrHeaderRow,0))</f>
        <v>1.08</v>
      </c>
      <c r="BQ29" s="12">
        <f>INDEX(ovrTable,MATCH(INDEX(oppCol24,ROW()),ovrTeamCol,0),MATCH(MID(INDEX(headerRow,1,COLUMN()),4,LEN(INDEX(headerRow,1,COLUMN()))),ovrHeaderRow,0))</f>
        <v>14</v>
      </c>
      <c r="BR29" s="12">
        <f>INDEX(ovrTable,MATCH(INDEX(oppCol24,ROW()),ovrTeamCol,0),MATCH(MID(INDEX(headerRow,1,COLUMN()),4,LEN(INDEX(headerRow,1,COLUMN()))),ovrHeaderRow,0))</f>
        <v>25.57</v>
      </c>
      <c r="BS29" s="12">
        <f>INDEX(ovrTable,MATCH(INDEX(oppCol24,ROW()),ovrTeamCol,0),MATCH(MID(INDEX(headerRow,1,COLUMN()),4,LEN(INDEX(headerRow,1,COLUMN()))),ovrHeaderRow,0))</f>
        <v>3.1</v>
      </c>
      <c r="BT29" s="12">
        <f>INDEX(ovrTable,MATCH(INDEX(oppCol24,ROW()),ovrTeamCol,0),MATCH(MID(INDEX(headerRow,1,COLUMN()),4,LEN(INDEX(headerRow,1,COLUMN()))),ovrHeaderRow,0))</f>
        <v>41.9</v>
      </c>
      <c r="BU29" s="12">
        <f>INDEX(ovrTable,MATCH(INDEX(oppCol24,ROW()),ovrTeamCol,0),MATCH(MID(INDEX(headerRow,1,COLUMN()),4,LEN(INDEX(headerRow,1,COLUMN()))),ovrHeaderRow,0))</f>
        <v>25.63</v>
      </c>
      <c r="BV29" s="12">
        <f>INDEX(ovrTable,MATCH(INDEX(oppCol24,ROW()),ovrTeamCol,0),MATCH(MID(INDEX(headerRow,1,COLUMN()),4,LEN(INDEX(headerRow,1,COLUMN()))),ovrHeaderRow,0))</f>
        <v>0.51400000000000001</v>
      </c>
      <c r="BW29" s="12">
        <f>INDEX(ovrTable,MATCH(INDEX(oppCol24,ROW()),ovrTeamCol,0),MATCH(MID(INDEX(headerRow,1,COLUMN()),4,LEN(INDEX(headerRow,1,COLUMN()))),ovrHeaderRow,0))</f>
        <v>9.74</v>
      </c>
      <c r="BX29" s="12">
        <f>INDEX(ovrTable,MATCH(INDEX(oppCol24,ROW()),ovrTeamCol,0),MATCH(MID(INDEX(headerRow,1,COLUMN()),4,LEN(INDEX(headerRow,1,COLUMN()))),ovrHeaderRow,0))</f>
        <v>45.2</v>
      </c>
      <c r="BY29" s="12">
        <f>INDEX(ovrTable,MATCH(INDEX(oppCol24,ROW()),ovrTeamCol,0),MATCH(MID(INDEX(headerRow,1,COLUMN()),4,LEN(INDEX(headerRow,1,COLUMN()))),ovrHeaderRow,0))</f>
        <v>16.600000000000001</v>
      </c>
      <c r="BZ29" s="12">
        <f>INDEX(ovrTable,MATCH(INDEX(oppCol24,ROW()),ovrTeamCol,0),MATCH(MID(INDEX(headerRow,1,COLUMN()),4,LEN(INDEX(headerRow,1,COLUMN()))),ovrHeaderRow,0))</f>
        <v>67</v>
      </c>
      <c r="CA29" s="12">
        <f>INDEX(ovrTable,MATCH(INDEX(oppCol24,ROW()),ovrTeamCol,0),MATCH(MID(INDEX(headerRow,1,COLUMN()),4,LEN(INDEX(headerRow,1,COLUMN()))),ovrHeaderRow,0))</f>
        <v>21.7</v>
      </c>
      <c r="CB29" s="12">
        <f>INDEX(ovrTable,MATCH(INDEX(oppCol24,ROW()),ovrTeamCol,0),MATCH(MID(INDEX(headerRow,1,COLUMN()),4,LEN(INDEX(headerRow,1,COLUMN()))),ovrHeaderRow,0))</f>
        <v>14.5</v>
      </c>
      <c r="CC29" s="12">
        <f>INDEX(ovrTable,MATCH(INDEX(oppCol24,ROW()),ovrTeamCol,0),MATCH(MID(INDEX(headerRow,1,COLUMN()),4,LEN(INDEX(headerRow,1,COLUMN()))),ovrHeaderRow,0))</f>
        <v>69.099999999999994</v>
      </c>
      <c r="CD29" s="12">
        <f>INDEX(ovrTable,MATCH(INDEX(oppCol24,ROW()),ovrTeamCol,0),MATCH(MID(INDEX(headerRow,1,COLUMN()),4,LEN(INDEX(headerRow,1,COLUMN()))),ovrHeaderRow,0))</f>
        <v>12.46</v>
      </c>
      <c r="CE29" s="12">
        <f>INDEX(ovrTable,MATCH(INDEX(oppCol24,ROW()),ovrTeamCol,0),MATCH(MID(INDEX(headerRow,1,COLUMN()),4,LEN(INDEX(headerRow,1,COLUMN()))),ovrHeaderRow,0))</f>
        <v>74.099999999999994</v>
      </c>
      <c r="CF29" s="12">
        <f>INDEX(ovrTable,MATCH(INDEX(oppCol24,ROW()),ovrTeamCol,0),MATCH(MID(INDEX(headerRow,1,COLUMN()),4,LEN(INDEX(headerRow,1,COLUMN()))),ovrHeaderRow,0))</f>
        <v>5.5</v>
      </c>
      <c r="CG29" s="12">
        <f>INDEX(ovrTable,MATCH(INDEX(oppCol24,ROW()),ovrTeamCol,0),MATCH(MID(INDEX(headerRow,1,COLUMN()),4,LEN(INDEX(headerRow,1,COLUMN()))),ovrHeaderRow,0))</f>
        <v>38.090000000000003</v>
      </c>
      <c r="CH29" s="12">
        <f>INDEX(ovrTable,MATCH(INDEX(oppCol24,ROW()),ovrTeamCol,0),MATCH(MID(INDEX(headerRow,1,COLUMN()),4,LEN(INDEX(headerRow,1,COLUMN()))),ovrHeaderRow,0))</f>
        <v>5</v>
      </c>
      <c r="CI29" s="12">
        <f>INDEX(ovrTable,MATCH(INDEX(oppCol24,ROW()),ovrTeamCol,0),MATCH(MID(INDEX(headerRow,1,COLUMN()),4,LEN(INDEX(headerRow,1,COLUMN()))),ovrHeaderRow,0))</f>
        <v>8.1</v>
      </c>
      <c r="CJ29" s="12">
        <f>INDEX(ovrTable,MATCH(INDEX(oppCol24,ROW()),ovrTeamCol,0),MATCH(MID(INDEX(headerRow,1,COLUMN()),4,LEN(INDEX(headerRow,1,COLUMN()))),ovrHeaderRow,0))</f>
        <v>-0.3</v>
      </c>
      <c r="CK29" s="12">
        <f>INDEX(ovrTable,MATCH(INDEX(oppCol24,ROW()),ovrTeamCol,0),MATCH(MID(INDEX(headerRow,1,COLUMN()),4,LEN(INDEX(headerRow,1,COLUMN()))),ovrHeaderRow,0))</f>
        <v>12.66</v>
      </c>
      <c r="CL29" s="12">
        <f>INDEX(ovrTable,MATCH(INDEX(oppCol24,ROW()),ovrTeamCol,0),MATCH(MID(INDEX(headerRow,1,COLUMN()),4,LEN(INDEX(headerRow,1,COLUMN()))),ovrHeaderRow,0))</f>
        <v>13</v>
      </c>
      <c r="CM29" s="12">
        <f>INDEX(ovrTable,MATCH(INDEX(oppCol24,ROW()),ovrTeamCol,0),MATCH(MID(INDEX(headerRow,1,COLUMN()),4,LEN(INDEX(headerRow,1,COLUMN()))),ovrHeaderRow,0))</f>
        <v>70.599999999999994</v>
      </c>
      <c r="CN29" s="12">
        <f>INDEX(ovrTable,MATCH(INDEX(oppCol24,ROW()),ovrTeamCol,0),MATCH(MID(INDEX(headerRow,1,COLUMN()),4,LEN(INDEX(headerRow,1,COLUMN()))),ovrHeaderRow,0))</f>
        <v>18.999999999999996</v>
      </c>
      <c r="CO29" s="12">
        <f>INDEX(ovrTable,MATCH(INDEX(oppCol24,ROW()),ovrTeamCol,0),MATCH(MID(INDEX(headerRow,1,COLUMN()),4,LEN(INDEX(headerRow,1,COLUMN()))),ovrHeaderRow,0))</f>
        <v>57.964601769911489</v>
      </c>
    </row>
    <row r="30" spans="1:93" x14ac:dyDescent="0.3">
      <c r="A30" s="6" t="s">
        <v>22</v>
      </c>
      <c r="B30" s="3">
        <v>5</v>
      </c>
      <c r="C30" s="13" t="s">
        <v>28</v>
      </c>
      <c r="D30" s="14">
        <v>15</v>
      </c>
      <c r="E30" s="23">
        <v>27.777777777777779</v>
      </c>
      <c r="F30" s="24">
        <v>7</v>
      </c>
      <c r="G30" s="23">
        <v>28.000000000000004</v>
      </c>
      <c r="H30" s="24">
        <v>25</v>
      </c>
      <c r="I30" s="25">
        <v>1.2307692307692308</v>
      </c>
      <c r="J30" s="24">
        <v>16</v>
      </c>
      <c r="K30" s="24">
        <v>15</v>
      </c>
      <c r="L30" s="24">
        <v>1</v>
      </c>
      <c r="M30" s="24">
        <v>42.9</v>
      </c>
      <c r="N30" s="24">
        <v>26</v>
      </c>
      <c r="O30" s="26">
        <v>0.4402307692307692</v>
      </c>
      <c r="P30" s="24">
        <v>5</v>
      </c>
      <c r="Q30" s="24">
        <v>38.799999999999997</v>
      </c>
      <c r="R30" s="24">
        <v>21</v>
      </c>
      <c r="S30" s="23">
        <v>58.333333333333336</v>
      </c>
      <c r="T30" s="24">
        <v>12</v>
      </c>
      <c r="U30" s="24">
        <v>7</v>
      </c>
      <c r="V30" s="24">
        <v>75</v>
      </c>
      <c r="W30" s="24">
        <v>14</v>
      </c>
      <c r="X30" s="24">
        <v>66</v>
      </c>
      <c r="Y30" s="24">
        <v>6</v>
      </c>
      <c r="Z30" s="24">
        <v>40</v>
      </c>
      <c r="AA30" s="24">
        <v>-9</v>
      </c>
      <c r="AB30" s="24">
        <v>7</v>
      </c>
      <c r="AC30" s="24">
        <v>-2</v>
      </c>
      <c r="AD30" s="24">
        <v>11</v>
      </c>
      <c r="AE30" s="24">
        <v>13</v>
      </c>
      <c r="AF30" s="46">
        <f t="shared" si="3"/>
        <v>71.710309278350522</v>
      </c>
      <c r="AG30" s="51">
        <f t="shared" ref="AG30" si="36">AVERAGE(AF30,AF31)</f>
        <v>71.380679114699745</v>
      </c>
      <c r="AH30" s="12">
        <f t="shared" si="26"/>
        <v>31.4</v>
      </c>
      <c r="AI30" s="12">
        <f t="shared" si="26"/>
        <v>7.6</v>
      </c>
      <c r="AJ30" s="12">
        <f t="shared" si="26"/>
        <v>35.200000000000003</v>
      </c>
      <c r="AK30" s="12">
        <f t="shared" si="26"/>
        <v>21.6</v>
      </c>
      <c r="AL30" s="12">
        <f t="shared" si="26"/>
        <v>1.59</v>
      </c>
      <c r="AM30" s="12">
        <f t="shared" si="26"/>
        <v>16.2</v>
      </c>
      <c r="AN30" s="12">
        <f t="shared" si="26"/>
        <v>16.440000000000001</v>
      </c>
      <c r="AO30" s="12">
        <f t="shared" si="26"/>
        <v>3.8</v>
      </c>
      <c r="AP30" s="12">
        <f t="shared" si="26"/>
        <v>39.6</v>
      </c>
      <c r="AQ30" s="12">
        <f t="shared" si="26"/>
        <v>26.38</v>
      </c>
      <c r="AR30" s="12">
        <f t="shared" si="27"/>
        <v>0.53100000000000003</v>
      </c>
      <c r="AS30" s="12">
        <f t="shared" si="27"/>
        <v>6.24</v>
      </c>
      <c r="AT30" s="12">
        <f t="shared" si="27"/>
        <v>46.6</v>
      </c>
      <c r="AU30" s="12">
        <f t="shared" si="27"/>
        <v>16.399999999999999</v>
      </c>
      <c r="AV30" s="12">
        <f t="shared" si="27"/>
        <v>67.599999999999994</v>
      </c>
      <c r="AW30" s="12">
        <f t="shared" si="27"/>
        <v>16.8</v>
      </c>
      <c r="AX30" s="12">
        <f t="shared" si="27"/>
        <v>11.4</v>
      </c>
      <c r="AY30" s="12">
        <f t="shared" si="27"/>
        <v>59.2</v>
      </c>
      <c r="AZ30" s="12">
        <f t="shared" si="27"/>
        <v>13.18</v>
      </c>
      <c r="BA30" s="12">
        <f t="shared" si="27"/>
        <v>74</v>
      </c>
      <c r="BB30" s="12">
        <f t="shared" si="28"/>
        <v>11.9</v>
      </c>
      <c r="BC30" s="12">
        <f t="shared" si="28"/>
        <v>39.56</v>
      </c>
      <c r="BD30" s="12">
        <f t="shared" si="28"/>
        <v>14.8</v>
      </c>
      <c r="BE30" s="12">
        <f t="shared" si="28"/>
        <v>6.6</v>
      </c>
      <c r="BF30" s="12">
        <f t="shared" si="28"/>
        <v>0.6</v>
      </c>
      <c r="BG30" s="12">
        <f t="shared" si="28"/>
        <v>10.85</v>
      </c>
      <c r="BH30" s="12">
        <f t="shared" si="28"/>
        <v>10.199999999999999</v>
      </c>
      <c r="BI30" s="12">
        <f t="shared" si="28"/>
        <v>66</v>
      </c>
      <c r="BJ30" s="12">
        <f t="shared" si="28"/>
        <v>19.900000000000002</v>
      </c>
      <c r="BK30" s="12">
        <f t="shared" si="28"/>
        <v>59.012875536480685</v>
      </c>
      <c r="BL30" s="12">
        <f>INDEX(ovrTable,MATCH(INDEX(oppCol24,ROW()),ovrTeamCol,0),MATCH(MID(INDEX(headerRow,1,COLUMN()),4,LEN(INDEX(headerRow,1,COLUMN()))),ovrHeaderRow,0))</f>
        <v>32</v>
      </c>
      <c r="BM30" s="12">
        <f>INDEX(ovrTable,MATCH(INDEX(oppCol24,ROW()),ovrTeamCol,0),MATCH(MID(INDEX(headerRow,1,COLUMN()),4,LEN(INDEX(headerRow,1,COLUMN()))),ovrHeaderRow,0))</f>
        <v>7</v>
      </c>
      <c r="BN30" s="12">
        <f>INDEX(ovrTable,MATCH(INDEX(oppCol24,ROW()),ovrTeamCol,0),MATCH(MID(INDEX(headerRow,1,COLUMN()),4,LEN(INDEX(headerRow,1,COLUMN()))),ovrHeaderRow,0))</f>
        <v>33.6</v>
      </c>
      <c r="BO30" s="12">
        <f>INDEX(ovrTable,MATCH(INDEX(oppCol24,ROW()),ovrTeamCol,0),MATCH(MID(INDEX(headerRow,1,COLUMN()),4,LEN(INDEX(headerRow,1,COLUMN()))),ovrHeaderRow,0))</f>
        <v>20.8</v>
      </c>
      <c r="BP30" s="12">
        <f>INDEX(ovrTable,MATCH(INDEX(oppCol24,ROW()),ovrTeamCol,0),MATCH(MID(INDEX(headerRow,1,COLUMN()),4,LEN(INDEX(headerRow,1,COLUMN()))),ovrHeaderRow,0))</f>
        <v>0.99</v>
      </c>
      <c r="BQ30" s="12">
        <f>INDEX(ovrTable,MATCH(INDEX(oppCol24,ROW()),ovrTeamCol,0),MATCH(MID(INDEX(headerRow,1,COLUMN()),4,LEN(INDEX(headerRow,1,COLUMN()))),ovrHeaderRow,0))</f>
        <v>12.1</v>
      </c>
      <c r="BR30" s="12">
        <f>INDEX(ovrTable,MATCH(INDEX(oppCol24,ROW()),ovrTeamCol,0),MATCH(MID(INDEX(headerRow,1,COLUMN()),4,LEN(INDEX(headerRow,1,COLUMN()))),ovrHeaderRow,0))</f>
        <v>17.46</v>
      </c>
      <c r="BS30" s="12">
        <f>INDEX(ovrTable,MATCH(INDEX(oppCol24,ROW()),ovrTeamCol,0),MATCH(MID(INDEX(headerRow,1,COLUMN()),4,LEN(INDEX(headerRow,1,COLUMN()))),ovrHeaderRow,0))</f>
        <v>5.5</v>
      </c>
      <c r="BT30" s="12">
        <f>INDEX(ovrTable,MATCH(INDEX(oppCol24,ROW()),ovrTeamCol,0),MATCH(MID(INDEX(headerRow,1,COLUMN()),4,LEN(INDEX(headerRow,1,COLUMN()))),ovrHeaderRow,0))</f>
        <v>40.299999999999997</v>
      </c>
      <c r="BU30" s="12">
        <f>INDEX(ovrTable,MATCH(INDEX(oppCol24,ROW()),ovrTeamCol,0),MATCH(MID(INDEX(headerRow,1,COLUMN()),4,LEN(INDEX(headerRow,1,COLUMN()))),ovrHeaderRow,0))</f>
        <v>26.37</v>
      </c>
      <c r="BV30" s="12">
        <f>INDEX(ovrTable,MATCH(INDEX(oppCol24,ROW()),ovrTeamCol,0),MATCH(MID(INDEX(headerRow,1,COLUMN()),4,LEN(INDEX(headerRow,1,COLUMN()))),ovrHeaderRow,0))</f>
        <v>0.52100000000000002</v>
      </c>
      <c r="BW30" s="12">
        <f>INDEX(ovrTable,MATCH(INDEX(oppCol24,ROW()),ovrTeamCol,0),MATCH(MID(INDEX(headerRow,1,COLUMN()),4,LEN(INDEX(headerRow,1,COLUMN()))),ovrHeaderRow,0))</f>
        <v>11</v>
      </c>
      <c r="BX30" s="12">
        <f>INDEX(ovrTable,MATCH(INDEX(oppCol24,ROW()),ovrTeamCol,0),MATCH(MID(INDEX(headerRow,1,COLUMN()),4,LEN(INDEX(headerRow,1,COLUMN()))),ovrHeaderRow,0))</f>
        <v>46</v>
      </c>
      <c r="BY30" s="12">
        <f>INDEX(ovrTable,MATCH(INDEX(oppCol24,ROW()),ovrTeamCol,0),MATCH(MID(INDEX(headerRow,1,COLUMN()),4,LEN(INDEX(headerRow,1,COLUMN()))),ovrHeaderRow,0))</f>
        <v>17.899999999999999</v>
      </c>
      <c r="BZ30" s="12">
        <f>INDEX(ovrTable,MATCH(INDEX(oppCol24,ROW()),ovrTeamCol,0),MATCH(MID(INDEX(headerRow,1,COLUMN()),4,LEN(INDEX(headerRow,1,COLUMN()))),ovrHeaderRow,0))</f>
        <v>74.900000000000006</v>
      </c>
      <c r="CA30" s="12">
        <f>INDEX(ovrTable,MATCH(INDEX(oppCol24,ROW()),ovrTeamCol,0),MATCH(MID(INDEX(headerRow,1,COLUMN()),4,LEN(INDEX(headerRow,1,COLUMN()))),ovrHeaderRow,0))</f>
        <v>25.8</v>
      </c>
      <c r="CB30" s="12">
        <f>INDEX(ovrTable,MATCH(INDEX(oppCol24,ROW()),ovrTeamCol,0),MATCH(MID(INDEX(headerRow,1,COLUMN()),4,LEN(INDEX(headerRow,1,COLUMN()))),ovrHeaderRow,0))</f>
        <v>19.3</v>
      </c>
      <c r="CC30" s="12">
        <f>INDEX(ovrTable,MATCH(INDEX(oppCol24,ROW()),ovrTeamCol,0),MATCH(MID(INDEX(headerRow,1,COLUMN()),4,LEN(INDEX(headerRow,1,COLUMN()))),ovrHeaderRow,0))</f>
        <v>67</v>
      </c>
      <c r="CD30" s="12">
        <f>INDEX(ovrTable,MATCH(INDEX(oppCol24,ROW()),ovrTeamCol,0),MATCH(MID(INDEX(headerRow,1,COLUMN()),4,LEN(INDEX(headerRow,1,COLUMN()))),ovrHeaderRow,0))</f>
        <v>11.77</v>
      </c>
      <c r="CE30" s="12">
        <f>INDEX(ovrTable,MATCH(INDEX(oppCol24,ROW()),ovrTeamCol,0),MATCH(MID(INDEX(headerRow,1,COLUMN()),4,LEN(INDEX(headerRow,1,COLUMN()))),ovrHeaderRow,0))</f>
        <v>79.099999999999994</v>
      </c>
      <c r="CF30" s="12">
        <f>INDEX(ovrTable,MATCH(INDEX(oppCol24,ROW()),ovrTeamCol,0),MATCH(MID(INDEX(headerRow,1,COLUMN()),4,LEN(INDEX(headerRow,1,COLUMN()))),ovrHeaderRow,0))</f>
        <v>4.4000000000000004</v>
      </c>
      <c r="CG30" s="12">
        <f>INDEX(ovrTable,MATCH(INDEX(oppCol24,ROW()),ovrTeamCol,0),MATCH(MID(INDEX(headerRow,1,COLUMN()),4,LEN(INDEX(headerRow,1,COLUMN()))),ovrHeaderRow,0))</f>
        <v>38.14</v>
      </c>
      <c r="CH30" s="12">
        <f>INDEX(ovrTable,MATCH(INDEX(oppCol24,ROW()),ovrTeamCol,0),MATCH(MID(INDEX(headerRow,1,COLUMN()),4,LEN(INDEX(headerRow,1,COLUMN()))),ovrHeaderRow,0))</f>
        <v>12.1</v>
      </c>
      <c r="CI30" s="12">
        <f>INDEX(ovrTable,MATCH(INDEX(oppCol24,ROW()),ovrTeamCol,0),MATCH(MID(INDEX(headerRow,1,COLUMN()),4,LEN(INDEX(headerRow,1,COLUMN()))),ovrHeaderRow,0))</f>
        <v>8.3000000000000007</v>
      </c>
      <c r="CJ30" s="12">
        <f>INDEX(ovrTable,MATCH(INDEX(oppCol24,ROW()),ovrTeamCol,0),MATCH(MID(INDEX(headerRow,1,COLUMN()),4,LEN(INDEX(headerRow,1,COLUMN()))),ovrHeaderRow,0))</f>
        <v>1.6</v>
      </c>
      <c r="CK30" s="12">
        <f>INDEX(ovrTable,MATCH(INDEX(oppCol24,ROW()),ovrTeamCol,0),MATCH(MID(INDEX(headerRow,1,COLUMN()),4,LEN(INDEX(headerRow,1,COLUMN()))),ovrHeaderRow,0))</f>
        <v>13.91</v>
      </c>
      <c r="CL30" s="12">
        <f>INDEX(ovrTable,MATCH(INDEX(oppCol24,ROW()),ovrTeamCol,0),MATCH(MID(INDEX(headerRow,1,COLUMN()),4,LEN(INDEX(headerRow,1,COLUMN()))),ovrHeaderRow,0))</f>
        <v>12.3</v>
      </c>
      <c r="CM30" s="12">
        <f>INDEX(ovrTable,MATCH(INDEX(oppCol24,ROW()),ovrTeamCol,0),MATCH(MID(INDEX(headerRow,1,COLUMN()),4,LEN(INDEX(headerRow,1,COLUMN()))),ovrHeaderRow,0))</f>
        <v>71.8</v>
      </c>
      <c r="CN30" s="12">
        <f>INDEX(ovrTable,MATCH(INDEX(oppCol24,ROW()),ovrTeamCol,0),MATCH(MID(INDEX(headerRow,1,COLUMN()),4,LEN(INDEX(headerRow,1,COLUMN()))),ovrHeaderRow,0))</f>
        <v>19.399999999999999</v>
      </c>
      <c r="CO30" s="12">
        <f>INDEX(ovrTable,MATCH(INDEX(oppCol24,ROW()),ovrTeamCol,0),MATCH(MID(INDEX(headerRow,1,COLUMN()),4,LEN(INDEX(headerRow,1,COLUMN()))),ovrHeaderRow,0))</f>
        <v>57.391304347826086</v>
      </c>
    </row>
    <row r="31" spans="1:93" x14ac:dyDescent="0.3">
      <c r="A31" s="6" t="s">
        <v>28</v>
      </c>
      <c r="B31" s="3">
        <v>12</v>
      </c>
      <c r="C31" s="13" t="s">
        <v>22</v>
      </c>
      <c r="D31" s="14">
        <v>15</v>
      </c>
      <c r="E31" s="23">
        <v>28.000000000000004</v>
      </c>
      <c r="F31" s="24">
        <v>5</v>
      </c>
      <c r="G31" s="23">
        <v>27.777777777777779</v>
      </c>
      <c r="H31" s="24">
        <v>18</v>
      </c>
      <c r="I31" s="25">
        <v>0.90909090909090906</v>
      </c>
      <c r="J31" s="24">
        <v>10</v>
      </c>
      <c r="K31" s="24">
        <v>10</v>
      </c>
      <c r="L31" s="24">
        <v>9</v>
      </c>
      <c r="M31" s="24">
        <v>38.799999999999997</v>
      </c>
      <c r="N31" s="24">
        <v>28</v>
      </c>
      <c r="O31" s="26">
        <v>0.48007142857142854</v>
      </c>
      <c r="P31" s="24">
        <v>12</v>
      </c>
      <c r="Q31" s="24">
        <v>42.9</v>
      </c>
      <c r="R31" s="24">
        <v>13</v>
      </c>
      <c r="S31" s="23">
        <v>77.777777777777786</v>
      </c>
      <c r="T31" s="24">
        <v>36</v>
      </c>
      <c r="U31" s="24">
        <v>28</v>
      </c>
      <c r="V31" s="24">
        <v>66</v>
      </c>
      <c r="W31" s="24">
        <v>6</v>
      </c>
      <c r="X31" s="24">
        <v>75</v>
      </c>
      <c r="Y31" s="24">
        <v>-6</v>
      </c>
      <c r="Z31" s="24">
        <v>34</v>
      </c>
      <c r="AA31" s="24">
        <v>9</v>
      </c>
      <c r="AB31" s="24">
        <v>8</v>
      </c>
      <c r="AC31" s="24">
        <v>2</v>
      </c>
      <c r="AD31" s="24">
        <v>13</v>
      </c>
      <c r="AE31" s="24">
        <v>11</v>
      </c>
      <c r="AF31" s="46">
        <f t="shared" si="3"/>
        <v>71.051048951048955</v>
      </c>
      <c r="AG31" s="51">
        <f t="shared" ref="AG31" si="37">AVERAGE(AF30,AF31)</f>
        <v>71.380679114699745</v>
      </c>
      <c r="AH31" s="12">
        <f t="shared" si="26"/>
        <v>32</v>
      </c>
      <c r="AI31" s="12">
        <f t="shared" si="26"/>
        <v>7</v>
      </c>
      <c r="AJ31" s="12">
        <f t="shared" si="26"/>
        <v>33.6</v>
      </c>
      <c r="AK31" s="12">
        <f t="shared" si="26"/>
        <v>20.8</v>
      </c>
      <c r="AL31" s="12">
        <f t="shared" si="26"/>
        <v>0.99</v>
      </c>
      <c r="AM31" s="12">
        <f t="shared" si="26"/>
        <v>12.1</v>
      </c>
      <c r="AN31" s="12">
        <f t="shared" si="26"/>
        <v>17.46</v>
      </c>
      <c r="AO31" s="12">
        <f t="shared" si="26"/>
        <v>5.5</v>
      </c>
      <c r="AP31" s="12">
        <f t="shared" si="26"/>
        <v>40.299999999999997</v>
      </c>
      <c r="AQ31" s="12">
        <f t="shared" si="26"/>
        <v>26.37</v>
      </c>
      <c r="AR31" s="12">
        <f t="shared" si="27"/>
        <v>0.52100000000000002</v>
      </c>
      <c r="AS31" s="12">
        <f t="shared" si="27"/>
        <v>11</v>
      </c>
      <c r="AT31" s="12">
        <f t="shared" si="27"/>
        <v>46</v>
      </c>
      <c r="AU31" s="12">
        <f t="shared" si="27"/>
        <v>17.899999999999999</v>
      </c>
      <c r="AV31" s="12">
        <f t="shared" si="27"/>
        <v>74.900000000000006</v>
      </c>
      <c r="AW31" s="12">
        <f t="shared" si="27"/>
        <v>25.8</v>
      </c>
      <c r="AX31" s="12">
        <f t="shared" si="27"/>
        <v>19.3</v>
      </c>
      <c r="AY31" s="12">
        <f t="shared" si="27"/>
        <v>67</v>
      </c>
      <c r="AZ31" s="12">
        <f t="shared" si="27"/>
        <v>11.77</v>
      </c>
      <c r="BA31" s="12">
        <f t="shared" si="27"/>
        <v>79.099999999999994</v>
      </c>
      <c r="BB31" s="12">
        <f t="shared" si="28"/>
        <v>4.4000000000000004</v>
      </c>
      <c r="BC31" s="12">
        <f t="shared" si="28"/>
        <v>38.14</v>
      </c>
      <c r="BD31" s="12">
        <f t="shared" si="28"/>
        <v>12.1</v>
      </c>
      <c r="BE31" s="12">
        <f t="shared" si="28"/>
        <v>8.3000000000000007</v>
      </c>
      <c r="BF31" s="12">
        <f t="shared" si="28"/>
        <v>1.6</v>
      </c>
      <c r="BG31" s="12">
        <f t="shared" si="28"/>
        <v>13.91</v>
      </c>
      <c r="BH31" s="12">
        <f t="shared" si="28"/>
        <v>12.3</v>
      </c>
      <c r="BI31" s="12">
        <f t="shared" si="28"/>
        <v>71.8</v>
      </c>
      <c r="BJ31" s="12">
        <f t="shared" si="28"/>
        <v>19.399999999999999</v>
      </c>
      <c r="BK31" s="12">
        <f t="shared" si="28"/>
        <v>57.391304347826086</v>
      </c>
      <c r="BL31" s="12">
        <f>INDEX(ovrTable,MATCH(INDEX(oppCol24,ROW()),ovrTeamCol,0),MATCH(MID(INDEX(headerRow,1,COLUMN()),4,LEN(INDEX(headerRow,1,COLUMN()))),ovrHeaderRow,0))</f>
        <v>31.4</v>
      </c>
      <c r="BM31" s="12">
        <f>INDEX(ovrTable,MATCH(INDEX(oppCol24,ROW()),ovrTeamCol,0),MATCH(MID(INDEX(headerRow,1,COLUMN()),4,LEN(INDEX(headerRow,1,COLUMN()))),ovrHeaderRow,0))</f>
        <v>7.6</v>
      </c>
      <c r="BN31" s="12">
        <f>INDEX(ovrTable,MATCH(INDEX(oppCol24,ROW()),ovrTeamCol,0),MATCH(MID(INDEX(headerRow,1,COLUMN()),4,LEN(INDEX(headerRow,1,COLUMN()))),ovrHeaderRow,0))</f>
        <v>35.200000000000003</v>
      </c>
      <c r="BO31" s="12">
        <f>INDEX(ovrTable,MATCH(INDEX(oppCol24,ROW()),ovrTeamCol,0),MATCH(MID(INDEX(headerRow,1,COLUMN()),4,LEN(INDEX(headerRow,1,COLUMN()))),ovrHeaderRow,0))</f>
        <v>21.6</v>
      </c>
      <c r="BP31" s="12">
        <f>INDEX(ovrTable,MATCH(INDEX(oppCol24,ROW()),ovrTeamCol,0),MATCH(MID(INDEX(headerRow,1,COLUMN()),4,LEN(INDEX(headerRow,1,COLUMN()))),ovrHeaderRow,0))</f>
        <v>1.59</v>
      </c>
      <c r="BQ31" s="12">
        <f>INDEX(ovrTable,MATCH(INDEX(oppCol24,ROW()),ovrTeamCol,0),MATCH(MID(INDEX(headerRow,1,COLUMN()),4,LEN(INDEX(headerRow,1,COLUMN()))),ovrHeaderRow,0))</f>
        <v>16.2</v>
      </c>
      <c r="BR31" s="12">
        <f>INDEX(ovrTable,MATCH(INDEX(oppCol24,ROW()),ovrTeamCol,0),MATCH(MID(INDEX(headerRow,1,COLUMN()),4,LEN(INDEX(headerRow,1,COLUMN()))),ovrHeaderRow,0))</f>
        <v>16.440000000000001</v>
      </c>
      <c r="BS31" s="12">
        <f>INDEX(ovrTable,MATCH(INDEX(oppCol24,ROW()),ovrTeamCol,0),MATCH(MID(INDEX(headerRow,1,COLUMN()),4,LEN(INDEX(headerRow,1,COLUMN()))),ovrHeaderRow,0))</f>
        <v>3.8</v>
      </c>
      <c r="BT31" s="12">
        <f>INDEX(ovrTable,MATCH(INDEX(oppCol24,ROW()),ovrTeamCol,0),MATCH(MID(INDEX(headerRow,1,COLUMN()),4,LEN(INDEX(headerRow,1,COLUMN()))),ovrHeaderRow,0))</f>
        <v>39.6</v>
      </c>
      <c r="BU31" s="12">
        <f>INDEX(ovrTable,MATCH(INDEX(oppCol24,ROW()),ovrTeamCol,0),MATCH(MID(INDEX(headerRow,1,COLUMN()),4,LEN(INDEX(headerRow,1,COLUMN()))),ovrHeaderRow,0))</f>
        <v>26.38</v>
      </c>
      <c r="BV31" s="12">
        <f>INDEX(ovrTable,MATCH(INDEX(oppCol24,ROW()),ovrTeamCol,0),MATCH(MID(INDEX(headerRow,1,COLUMN()),4,LEN(INDEX(headerRow,1,COLUMN()))),ovrHeaderRow,0))</f>
        <v>0.53100000000000003</v>
      </c>
      <c r="BW31" s="12">
        <f>INDEX(ovrTable,MATCH(INDEX(oppCol24,ROW()),ovrTeamCol,0),MATCH(MID(INDEX(headerRow,1,COLUMN()),4,LEN(INDEX(headerRow,1,COLUMN()))),ovrHeaderRow,0))</f>
        <v>6.24</v>
      </c>
      <c r="BX31" s="12">
        <f>INDEX(ovrTable,MATCH(INDEX(oppCol24,ROW()),ovrTeamCol,0),MATCH(MID(INDEX(headerRow,1,COLUMN()),4,LEN(INDEX(headerRow,1,COLUMN()))),ovrHeaderRow,0))</f>
        <v>46.6</v>
      </c>
      <c r="BY31" s="12">
        <f>INDEX(ovrTable,MATCH(INDEX(oppCol24,ROW()),ovrTeamCol,0),MATCH(MID(INDEX(headerRow,1,COLUMN()),4,LEN(INDEX(headerRow,1,COLUMN()))),ovrHeaderRow,0))</f>
        <v>16.399999999999999</v>
      </c>
      <c r="BZ31" s="12">
        <f>INDEX(ovrTable,MATCH(INDEX(oppCol24,ROW()),ovrTeamCol,0),MATCH(MID(INDEX(headerRow,1,COLUMN()),4,LEN(INDEX(headerRow,1,COLUMN()))),ovrHeaderRow,0))</f>
        <v>67.599999999999994</v>
      </c>
      <c r="CA31" s="12">
        <f>INDEX(ovrTable,MATCH(INDEX(oppCol24,ROW()),ovrTeamCol,0),MATCH(MID(INDEX(headerRow,1,COLUMN()),4,LEN(INDEX(headerRow,1,COLUMN()))),ovrHeaderRow,0))</f>
        <v>16.8</v>
      </c>
      <c r="CB31" s="12">
        <f>INDEX(ovrTable,MATCH(INDEX(oppCol24,ROW()),ovrTeamCol,0),MATCH(MID(INDEX(headerRow,1,COLUMN()),4,LEN(INDEX(headerRow,1,COLUMN()))),ovrHeaderRow,0))</f>
        <v>11.4</v>
      </c>
      <c r="CC31" s="12">
        <f>INDEX(ovrTable,MATCH(INDEX(oppCol24,ROW()),ovrTeamCol,0),MATCH(MID(INDEX(headerRow,1,COLUMN()),4,LEN(INDEX(headerRow,1,COLUMN()))),ovrHeaderRow,0))</f>
        <v>59.2</v>
      </c>
      <c r="CD31" s="12">
        <f>INDEX(ovrTable,MATCH(INDEX(oppCol24,ROW()),ovrTeamCol,0),MATCH(MID(INDEX(headerRow,1,COLUMN()),4,LEN(INDEX(headerRow,1,COLUMN()))),ovrHeaderRow,0))</f>
        <v>13.18</v>
      </c>
      <c r="CE31" s="12">
        <f>INDEX(ovrTable,MATCH(INDEX(oppCol24,ROW()),ovrTeamCol,0),MATCH(MID(INDEX(headerRow,1,COLUMN()),4,LEN(INDEX(headerRow,1,COLUMN()))),ovrHeaderRow,0))</f>
        <v>74</v>
      </c>
      <c r="CF31" s="12">
        <f>INDEX(ovrTable,MATCH(INDEX(oppCol24,ROW()),ovrTeamCol,0),MATCH(MID(INDEX(headerRow,1,COLUMN()),4,LEN(INDEX(headerRow,1,COLUMN()))),ovrHeaderRow,0))</f>
        <v>11.9</v>
      </c>
      <c r="CG31" s="12">
        <f>INDEX(ovrTable,MATCH(INDEX(oppCol24,ROW()),ovrTeamCol,0),MATCH(MID(INDEX(headerRow,1,COLUMN()),4,LEN(INDEX(headerRow,1,COLUMN()))),ovrHeaderRow,0))</f>
        <v>39.56</v>
      </c>
      <c r="CH31" s="12">
        <f>INDEX(ovrTable,MATCH(INDEX(oppCol24,ROW()),ovrTeamCol,0),MATCH(MID(INDEX(headerRow,1,COLUMN()),4,LEN(INDEX(headerRow,1,COLUMN()))),ovrHeaderRow,0))</f>
        <v>14.8</v>
      </c>
      <c r="CI31" s="12">
        <f>INDEX(ovrTable,MATCH(INDEX(oppCol24,ROW()),ovrTeamCol,0),MATCH(MID(INDEX(headerRow,1,COLUMN()),4,LEN(INDEX(headerRow,1,COLUMN()))),ovrHeaderRow,0))</f>
        <v>6.6</v>
      </c>
      <c r="CJ31" s="12">
        <f>INDEX(ovrTable,MATCH(INDEX(oppCol24,ROW()),ovrTeamCol,0),MATCH(MID(INDEX(headerRow,1,COLUMN()),4,LEN(INDEX(headerRow,1,COLUMN()))),ovrHeaderRow,0))</f>
        <v>0.6</v>
      </c>
      <c r="CK31" s="12">
        <f>INDEX(ovrTable,MATCH(INDEX(oppCol24,ROW()),ovrTeamCol,0),MATCH(MID(INDEX(headerRow,1,COLUMN()),4,LEN(INDEX(headerRow,1,COLUMN()))),ovrHeaderRow,0))</f>
        <v>10.85</v>
      </c>
      <c r="CL31" s="12">
        <f>INDEX(ovrTable,MATCH(INDEX(oppCol24,ROW()),ovrTeamCol,0),MATCH(MID(INDEX(headerRow,1,COLUMN()),4,LEN(INDEX(headerRow,1,COLUMN()))),ovrHeaderRow,0))</f>
        <v>10.199999999999999</v>
      </c>
      <c r="CM31" s="12">
        <f>INDEX(ovrTable,MATCH(INDEX(oppCol24,ROW()),ovrTeamCol,0),MATCH(MID(INDEX(headerRow,1,COLUMN()),4,LEN(INDEX(headerRow,1,COLUMN()))),ovrHeaderRow,0))</f>
        <v>66</v>
      </c>
      <c r="CN31" s="12">
        <f>INDEX(ovrTable,MATCH(INDEX(oppCol24,ROW()),ovrTeamCol,0),MATCH(MID(INDEX(headerRow,1,COLUMN()),4,LEN(INDEX(headerRow,1,COLUMN()))),ovrHeaderRow,0))</f>
        <v>19.900000000000002</v>
      </c>
      <c r="CO31" s="12">
        <f>INDEX(ovrTable,MATCH(INDEX(oppCol24,ROW()),ovrTeamCol,0),MATCH(MID(INDEX(headerRow,1,COLUMN()),4,LEN(INDEX(headerRow,1,COLUMN()))),ovrHeaderRow,0))</f>
        <v>59.012875536480685</v>
      </c>
    </row>
    <row r="32" spans="1:93" x14ac:dyDescent="0.3">
      <c r="A32" s="6" t="s">
        <v>29</v>
      </c>
      <c r="B32" s="3">
        <v>13</v>
      </c>
      <c r="C32" s="13" t="s">
        <v>21</v>
      </c>
      <c r="D32" s="14">
        <v>16</v>
      </c>
      <c r="E32" s="23">
        <v>56.521739130434781</v>
      </c>
      <c r="F32" s="24">
        <v>10</v>
      </c>
      <c r="G32" s="23">
        <v>30.303030303030305</v>
      </c>
      <c r="H32" s="24">
        <v>33</v>
      </c>
      <c r="I32" s="25">
        <v>1.6</v>
      </c>
      <c r="J32" s="24">
        <v>16</v>
      </c>
      <c r="K32" s="24">
        <v>31</v>
      </c>
      <c r="L32" s="24">
        <v>3</v>
      </c>
      <c r="M32" s="24">
        <v>60</v>
      </c>
      <c r="N32" s="24">
        <v>25</v>
      </c>
      <c r="O32" s="26">
        <v>0.4740625</v>
      </c>
      <c r="P32" s="24">
        <v>10</v>
      </c>
      <c r="Q32" s="24">
        <v>41</v>
      </c>
      <c r="R32" s="24">
        <v>22</v>
      </c>
      <c r="S32" s="23">
        <v>75.862068965517238</v>
      </c>
      <c r="T32" s="24">
        <v>29</v>
      </c>
      <c r="U32" s="24">
        <v>22</v>
      </c>
      <c r="V32" s="24">
        <v>109</v>
      </c>
      <c r="W32" s="24">
        <v>17</v>
      </c>
      <c r="X32" s="24">
        <v>96</v>
      </c>
      <c r="Y32" s="24">
        <v>8</v>
      </c>
      <c r="Z32" s="24">
        <v>42</v>
      </c>
      <c r="AA32" s="24">
        <v>-13</v>
      </c>
      <c r="AB32" s="24">
        <v>8</v>
      </c>
      <c r="AC32" s="24">
        <v>0</v>
      </c>
      <c r="AD32" s="24">
        <v>10</v>
      </c>
      <c r="AE32" s="24">
        <v>10</v>
      </c>
      <c r="AF32" s="46">
        <f t="shared" si="3"/>
        <v>84.823780487804868</v>
      </c>
      <c r="AG32" s="51">
        <f t="shared" ref="AG32" si="38">AVERAGE(AF32,AF33)</f>
        <v>83.199390243902428</v>
      </c>
      <c r="AH32" s="12">
        <f t="shared" ref="AH32:AQ41" si="39">INDEX(ovrTable,MATCH(INDEX(teamCol,ROW()),ovrTeamCol,0),MATCH(MID(INDEX(headerRow,1,COLUMN()),4,LEN(INDEX(headerRow,1,COLUMN()))),ovrHeaderRow,0))</f>
        <v>34.299999999999997</v>
      </c>
      <c r="AI32" s="12">
        <f t="shared" si="39"/>
        <v>10.5</v>
      </c>
      <c r="AJ32" s="12">
        <f t="shared" si="39"/>
        <v>34.299999999999997</v>
      </c>
      <c r="AK32" s="12">
        <f t="shared" si="39"/>
        <v>30.6</v>
      </c>
      <c r="AL32" s="12">
        <f t="shared" si="39"/>
        <v>1.54</v>
      </c>
      <c r="AM32" s="12">
        <f t="shared" si="39"/>
        <v>15.3</v>
      </c>
      <c r="AN32" s="12">
        <f t="shared" si="39"/>
        <v>30.06</v>
      </c>
      <c r="AO32" s="12">
        <f t="shared" si="39"/>
        <v>3.1</v>
      </c>
      <c r="AP32" s="12">
        <f t="shared" si="39"/>
        <v>44.5</v>
      </c>
      <c r="AQ32" s="12">
        <f t="shared" si="39"/>
        <v>26.71</v>
      </c>
      <c r="AR32" s="12">
        <f t="shared" ref="AR32:BA41" si="40">INDEX(ovrTable,MATCH(INDEX(teamCol,ROW()),ovrTeamCol,0),MATCH(MID(INDEX(headerRow,1,COLUMN()),4,LEN(INDEX(headerRow,1,COLUMN()))),ovrHeaderRow,0))</f>
        <v>0.52200000000000002</v>
      </c>
      <c r="AS32" s="12">
        <f t="shared" si="40"/>
        <v>9.1999999999999993</v>
      </c>
      <c r="AT32" s="12">
        <f t="shared" si="40"/>
        <v>44.2</v>
      </c>
      <c r="AU32" s="12">
        <f t="shared" si="40"/>
        <v>15.9</v>
      </c>
      <c r="AV32" s="12">
        <f t="shared" si="40"/>
        <v>72.2</v>
      </c>
      <c r="AW32" s="12">
        <f t="shared" si="40"/>
        <v>17.899999999999999</v>
      </c>
      <c r="AX32" s="12">
        <f t="shared" si="40"/>
        <v>12.9</v>
      </c>
      <c r="AY32" s="12">
        <f t="shared" si="40"/>
        <v>73.599999999999994</v>
      </c>
      <c r="AZ32" s="12">
        <f t="shared" si="40"/>
        <v>13.06</v>
      </c>
      <c r="BA32" s="12">
        <f t="shared" si="40"/>
        <v>80.900000000000006</v>
      </c>
      <c r="BB32" s="12">
        <f t="shared" ref="BB32:BK41" si="41">INDEX(ovrTable,MATCH(INDEX(teamCol,ROW()),ovrTeamCol,0),MATCH(MID(INDEX(headerRow,1,COLUMN()),4,LEN(INDEX(headerRow,1,COLUMN()))),ovrHeaderRow,0))</f>
        <v>4.5999999999999996</v>
      </c>
      <c r="BC32" s="12">
        <f t="shared" si="41"/>
        <v>39.770000000000003</v>
      </c>
      <c r="BD32" s="12">
        <f t="shared" si="41"/>
        <v>7.3</v>
      </c>
      <c r="BE32" s="12">
        <f t="shared" si="41"/>
        <v>6.3</v>
      </c>
      <c r="BF32" s="12">
        <f t="shared" si="41"/>
        <v>1.6</v>
      </c>
      <c r="BG32" s="12">
        <f t="shared" si="41"/>
        <v>11.51</v>
      </c>
      <c r="BH32" s="12">
        <f t="shared" si="41"/>
        <v>9.9</v>
      </c>
      <c r="BI32" s="12">
        <f t="shared" si="41"/>
        <v>72.099999999999994</v>
      </c>
      <c r="BJ32" s="12">
        <f t="shared" si="41"/>
        <v>18.25</v>
      </c>
      <c r="BK32" s="12">
        <f t="shared" si="41"/>
        <v>65.045248868778273</v>
      </c>
      <c r="BL32" s="12">
        <f>INDEX(ovrTable,MATCH(INDEX(oppCol24,ROW()),ovrTeamCol,0),MATCH(MID(INDEX(headerRow,1,COLUMN()),4,LEN(INDEX(headerRow,1,COLUMN()))),ovrHeaderRow,0))</f>
        <v>31.7</v>
      </c>
      <c r="BM32" s="12">
        <f>INDEX(ovrTable,MATCH(INDEX(oppCol24,ROW()),ovrTeamCol,0),MATCH(MID(INDEX(headerRow,1,COLUMN()),4,LEN(INDEX(headerRow,1,COLUMN()))),ovrHeaderRow,0))</f>
        <v>11.2</v>
      </c>
      <c r="BN32" s="12">
        <f>INDEX(ovrTable,MATCH(INDEX(oppCol24,ROW()),ovrTeamCol,0),MATCH(MID(INDEX(headerRow,1,COLUMN()),4,LEN(INDEX(headerRow,1,COLUMN()))),ovrHeaderRow,0))</f>
        <v>37.299999999999997</v>
      </c>
      <c r="BO32" s="12">
        <f>INDEX(ovrTable,MATCH(INDEX(oppCol24,ROW()),ovrTeamCol,0),MATCH(MID(INDEX(headerRow,1,COLUMN()),4,LEN(INDEX(headerRow,1,COLUMN()))),ovrHeaderRow,0))</f>
        <v>29.9</v>
      </c>
      <c r="BP32" s="12">
        <f>INDEX(ovrTable,MATCH(INDEX(oppCol24,ROW()),ovrTeamCol,0),MATCH(MID(INDEX(headerRow,1,COLUMN()),4,LEN(INDEX(headerRow,1,COLUMN()))),ovrHeaderRow,0))</f>
        <v>1.34</v>
      </c>
      <c r="BQ32" s="12">
        <f>INDEX(ovrTable,MATCH(INDEX(oppCol24,ROW()),ovrTeamCol,0),MATCH(MID(INDEX(headerRow,1,COLUMN()),4,LEN(INDEX(headerRow,1,COLUMN()))),ovrHeaderRow,0))</f>
        <v>15.9</v>
      </c>
      <c r="BR32" s="12">
        <f>INDEX(ovrTable,MATCH(INDEX(oppCol24,ROW()),ovrTeamCol,0),MATCH(MID(INDEX(headerRow,1,COLUMN()),4,LEN(INDEX(headerRow,1,COLUMN()))),ovrHeaderRow,0))</f>
        <v>25.11</v>
      </c>
      <c r="BS32" s="12">
        <f>INDEX(ovrTable,MATCH(INDEX(oppCol24,ROW()),ovrTeamCol,0),MATCH(MID(INDEX(headerRow,1,COLUMN()),4,LEN(INDEX(headerRow,1,COLUMN()))),ovrHeaderRow,0))</f>
        <v>4.4000000000000004</v>
      </c>
      <c r="BT32" s="12">
        <f>INDEX(ovrTable,MATCH(INDEX(oppCol24,ROW()),ovrTeamCol,0),MATCH(MID(INDEX(headerRow,1,COLUMN()),4,LEN(INDEX(headerRow,1,COLUMN()))),ovrHeaderRow,0))</f>
        <v>43.7</v>
      </c>
      <c r="BU32" s="12">
        <f>INDEX(ovrTable,MATCH(INDEX(oppCol24,ROW()),ovrTeamCol,0),MATCH(MID(INDEX(headerRow,1,COLUMN()),4,LEN(INDEX(headerRow,1,COLUMN()))),ovrHeaderRow,0))</f>
        <v>26.89</v>
      </c>
      <c r="BV32" s="12">
        <f>INDEX(ovrTable,MATCH(INDEX(oppCol24,ROW()),ovrTeamCol,0),MATCH(MID(INDEX(headerRow,1,COLUMN()),4,LEN(INDEX(headerRow,1,COLUMN()))),ovrHeaderRow,0))</f>
        <v>0.56299999999999994</v>
      </c>
      <c r="BW32" s="12">
        <f>INDEX(ovrTable,MATCH(INDEX(oppCol24,ROW()),ovrTeamCol,0),MATCH(MID(INDEX(headerRow,1,COLUMN()),4,LEN(INDEX(headerRow,1,COLUMN()))),ovrHeaderRow,0))</f>
        <v>13.7</v>
      </c>
      <c r="BX32" s="12">
        <f>INDEX(ovrTable,MATCH(INDEX(oppCol24,ROW()),ovrTeamCol,0),MATCH(MID(INDEX(headerRow,1,COLUMN()),4,LEN(INDEX(headerRow,1,COLUMN()))),ovrHeaderRow,0))</f>
        <v>47.6</v>
      </c>
      <c r="BY32" s="12">
        <f>INDEX(ovrTable,MATCH(INDEX(oppCol24,ROW()),ovrTeamCol,0),MATCH(MID(INDEX(headerRow,1,COLUMN()),4,LEN(INDEX(headerRow,1,COLUMN()))),ovrHeaderRow,0))</f>
        <v>19.8</v>
      </c>
      <c r="BZ32" s="12">
        <f>INDEX(ovrTable,MATCH(INDEX(oppCol24,ROW()),ovrTeamCol,0),MATCH(MID(INDEX(headerRow,1,COLUMN()),4,LEN(INDEX(headerRow,1,COLUMN()))),ovrHeaderRow,0))</f>
        <v>77.2</v>
      </c>
      <c r="CA32" s="12">
        <f>INDEX(ovrTable,MATCH(INDEX(oppCol24,ROW()),ovrTeamCol,0),MATCH(MID(INDEX(headerRow,1,COLUMN()),4,LEN(INDEX(headerRow,1,COLUMN()))),ovrHeaderRow,0))</f>
        <v>22.8</v>
      </c>
      <c r="CB32" s="12">
        <f>INDEX(ovrTable,MATCH(INDEX(oppCol24,ROW()),ovrTeamCol,0),MATCH(MID(INDEX(headerRow,1,COLUMN()),4,LEN(INDEX(headerRow,1,COLUMN()))),ovrHeaderRow,0))</f>
        <v>17.600000000000001</v>
      </c>
      <c r="CC32" s="12">
        <f>INDEX(ovrTable,MATCH(INDEX(oppCol24,ROW()),ovrTeamCol,0),MATCH(MID(INDEX(headerRow,1,COLUMN()),4,LEN(INDEX(headerRow,1,COLUMN()))),ovrHeaderRow,0))</f>
        <v>81.2</v>
      </c>
      <c r="CD32" s="12">
        <f>INDEX(ovrTable,MATCH(INDEX(oppCol24,ROW()),ovrTeamCol,0),MATCH(MID(INDEX(headerRow,1,COLUMN()),4,LEN(INDEX(headerRow,1,COLUMN()))),ovrHeaderRow,0))</f>
        <v>12.76</v>
      </c>
      <c r="CE32" s="12">
        <f>INDEX(ovrTable,MATCH(INDEX(oppCol24,ROW()),ovrTeamCol,0),MATCH(MID(INDEX(headerRow,1,COLUMN()),4,LEN(INDEX(headerRow,1,COLUMN()))),ovrHeaderRow,0))</f>
        <v>90.1</v>
      </c>
      <c r="CF32" s="12">
        <f>INDEX(ovrTable,MATCH(INDEX(oppCol24,ROW()),ovrTeamCol,0),MATCH(MID(INDEX(headerRow,1,COLUMN()),4,LEN(INDEX(headerRow,1,COLUMN()))),ovrHeaderRow,0))</f>
        <v>3.9</v>
      </c>
      <c r="CG32" s="12">
        <f>INDEX(ovrTable,MATCH(INDEX(oppCol24,ROW()),ovrTeamCol,0),MATCH(MID(INDEX(headerRow,1,COLUMN()),4,LEN(INDEX(headerRow,1,COLUMN()))),ovrHeaderRow,0))</f>
        <v>39.65</v>
      </c>
      <c r="CH32" s="12">
        <f>INDEX(ovrTable,MATCH(INDEX(oppCol24,ROW()),ovrTeamCol,0),MATCH(MID(INDEX(headerRow,1,COLUMN()),4,LEN(INDEX(headerRow,1,COLUMN()))),ovrHeaderRow,0))</f>
        <v>8.9</v>
      </c>
      <c r="CI32" s="12">
        <f>INDEX(ovrTable,MATCH(INDEX(oppCol24,ROW()),ovrTeamCol,0),MATCH(MID(INDEX(headerRow,1,COLUMN()),4,LEN(INDEX(headerRow,1,COLUMN()))),ovrHeaderRow,0))</f>
        <v>6.9</v>
      </c>
      <c r="CJ32" s="12">
        <f>INDEX(ovrTable,MATCH(INDEX(oppCol24,ROW()),ovrTeamCol,0),MATCH(MID(INDEX(headerRow,1,COLUMN()),4,LEN(INDEX(headerRow,1,COLUMN()))),ovrHeaderRow,0))</f>
        <v>-0.5</v>
      </c>
      <c r="CK32" s="12">
        <f>INDEX(ovrTable,MATCH(INDEX(oppCol24,ROW()),ovrTeamCol,0),MATCH(MID(INDEX(headerRow,1,COLUMN()),4,LEN(INDEX(headerRow,1,COLUMN()))),ovrHeaderRow,0))</f>
        <v>11.3</v>
      </c>
      <c r="CL32" s="12">
        <f>INDEX(ovrTable,MATCH(INDEX(oppCol24,ROW()),ovrTeamCol,0),MATCH(MID(INDEX(headerRow,1,COLUMN()),4,LEN(INDEX(headerRow,1,COLUMN()))),ovrHeaderRow,0))</f>
        <v>11.8</v>
      </c>
      <c r="CM32" s="12">
        <f>INDEX(ovrTable,MATCH(INDEX(oppCol24,ROW()),ovrTeamCol,0),MATCH(MID(INDEX(headerRow,1,COLUMN()),4,LEN(INDEX(headerRow,1,COLUMN()))),ovrHeaderRow,0))</f>
        <v>76.3</v>
      </c>
      <c r="CN32" s="12">
        <f>INDEX(ovrTable,MATCH(INDEX(oppCol24,ROW()),ovrTeamCol,0),MATCH(MID(INDEX(headerRow,1,COLUMN()),4,LEN(INDEX(headerRow,1,COLUMN()))),ovrHeaderRow,0))</f>
        <v>19.450000000000003</v>
      </c>
      <c r="CO32" s="12">
        <f>INDEX(ovrTable,MATCH(INDEX(oppCol24,ROW()),ovrTeamCol,0),MATCH(MID(INDEX(headerRow,1,COLUMN()),4,LEN(INDEX(headerRow,1,COLUMN()))),ovrHeaderRow,0))</f>
        <v>64.390756302521012</v>
      </c>
    </row>
    <row r="33" spans="1:93" x14ac:dyDescent="0.3">
      <c r="A33" s="6" t="s">
        <v>21</v>
      </c>
      <c r="B33" s="3">
        <v>4</v>
      </c>
      <c r="C33" s="13" t="s">
        <v>29</v>
      </c>
      <c r="D33" s="14">
        <v>16</v>
      </c>
      <c r="E33" s="23">
        <v>30.303030303030305</v>
      </c>
      <c r="F33" s="24">
        <v>13</v>
      </c>
      <c r="G33" s="23">
        <v>56.521739130434781</v>
      </c>
      <c r="H33" s="24">
        <v>23</v>
      </c>
      <c r="I33" s="25">
        <v>1.7</v>
      </c>
      <c r="J33" s="24">
        <v>17</v>
      </c>
      <c r="K33" s="24">
        <v>37</v>
      </c>
      <c r="L33" s="24">
        <v>2</v>
      </c>
      <c r="M33" s="24">
        <v>41</v>
      </c>
      <c r="N33" s="24">
        <v>28</v>
      </c>
      <c r="O33" s="26">
        <v>0.70833333333333326</v>
      </c>
      <c r="P33" s="24">
        <v>25</v>
      </c>
      <c r="Q33" s="24">
        <v>60</v>
      </c>
      <c r="R33" s="24">
        <v>22</v>
      </c>
      <c r="S33" s="23">
        <v>64.86486486486487</v>
      </c>
      <c r="T33" s="24">
        <v>37</v>
      </c>
      <c r="U33" s="24">
        <v>24</v>
      </c>
      <c r="V33" s="24">
        <v>96</v>
      </c>
      <c r="W33" s="24">
        <v>6</v>
      </c>
      <c r="X33" s="24">
        <v>109</v>
      </c>
      <c r="Y33" s="24">
        <v>-8</v>
      </c>
      <c r="Z33" s="24">
        <v>34</v>
      </c>
      <c r="AA33" s="24">
        <v>13</v>
      </c>
      <c r="AB33" s="24">
        <v>5</v>
      </c>
      <c r="AC33" s="24">
        <v>0</v>
      </c>
      <c r="AD33" s="24">
        <v>10</v>
      </c>
      <c r="AE33" s="24">
        <v>10</v>
      </c>
      <c r="AF33" s="46">
        <f t="shared" si="3"/>
        <v>81.575000000000003</v>
      </c>
      <c r="AG33" s="51">
        <f t="shared" ref="AG33" si="42">AVERAGE(AF32,AF33)</f>
        <v>83.199390243902428</v>
      </c>
      <c r="AH33" s="12">
        <f t="shared" si="39"/>
        <v>31.7</v>
      </c>
      <c r="AI33" s="12">
        <f t="shared" si="39"/>
        <v>11.2</v>
      </c>
      <c r="AJ33" s="12">
        <f t="shared" si="39"/>
        <v>37.299999999999997</v>
      </c>
      <c r="AK33" s="12">
        <f t="shared" si="39"/>
        <v>29.9</v>
      </c>
      <c r="AL33" s="12">
        <f t="shared" si="39"/>
        <v>1.34</v>
      </c>
      <c r="AM33" s="12">
        <f t="shared" si="39"/>
        <v>15.9</v>
      </c>
      <c r="AN33" s="12">
        <f t="shared" si="39"/>
        <v>25.11</v>
      </c>
      <c r="AO33" s="12">
        <f t="shared" si="39"/>
        <v>4.4000000000000004</v>
      </c>
      <c r="AP33" s="12">
        <f t="shared" si="39"/>
        <v>43.7</v>
      </c>
      <c r="AQ33" s="12">
        <f t="shared" si="39"/>
        <v>26.89</v>
      </c>
      <c r="AR33" s="12">
        <f t="shared" si="40"/>
        <v>0.56299999999999994</v>
      </c>
      <c r="AS33" s="12">
        <f t="shared" si="40"/>
        <v>13.7</v>
      </c>
      <c r="AT33" s="12">
        <f t="shared" si="40"/>
        <v>47.6</v>
      </c>
      <c r="AU33" s="12">
        <f t="shared" si="40"/>
        <v>19.8</v>
      </c>
      <c r="AV33" s="12">
        <f t="shared" si="40"/>
        <v>77.2</v>
      </c>
      <c r="AW33" s="12">
        <f t="shared" si="40"/>
        <v>22.8</v>
      </c>
      <c r="AX33" s="12">
        <f t="shared" si="40"/>
        <v>17.600000000000001</v>
      </c>
      <c r="AY33" s="12">
        <f t="shared" si="40"/>
        <v>81.2</v>
      </c>
      <c r="AZ33" s="12">
        <f t="shared" si="40"/>
        <v>12.76</v>
      </c>
      <c r="BA33" s="12">
        <f t="shared" si="40"/>
        <v>90.1</v>
      </c>
      <c r="BB33" s="12">
        <f t="shared" si="41"/>
        <v>3.9</v>
      </c>
      <c r="BC33" s="12">
        <f t="shared" si="41"/>
        <v>39.65</v>
      </c>
      <c r="BD33" s="12">
        <f t="shared" si="41"/>
        <v>8.9</v>
      </c>
      <c r="BE33" s="12">
        <f t="shared" si="41"/>
        <v>6.9</v>
      </c>
      <c r="BF33" s="12">
        <f t="shared" si="41"/>
        <v>-0.5</v>
      </c>
      <c r="BG33" s="12">
        <f t="shared" si="41"/>
        <v>11.3</v>
      </c>
      <c r="BH33" s="12">
        <f t="shared" si="41"/>
        <v>11.8</v>
      </c>
      <c r="BI33" s="12">
        <f t="shared" si="41"/>
        <v>76.3</v>
      </c>
      <c r="BJ33" s="12">
        <f t="shared" si="41"/>
        <v>19.450000000000003</v>
      </c>
      <c r="BK33" s="12">
        <f t="shared" si="41"/>
        <v>64.390756302521012</v>
      </c>
      <c r="BL33" s="12">
        <f>INDEX(ovrTable,MATCH(INDEX(oppCol24,ROW()),ovrTeamCol,0),MATCH(MID(INDEX(headerRow,1,COLUMN()),4,LEN(INDEX(headerRow,1,COLUMN()))),ovrHeaderRow,0))</f>
        <v>34.299999999999997</v>
      </c>
      <c r="BM33" s="12">
        <f>INDEX(ovrTable,MATCH(INDEX(oppCol24,ROW()),ovrTeamCol,0),MATCH(MID(INDEX(headerRow,1,COLUMN()),4,LEN(INDEX(headerRow,1,COLUMN()))),ovrHeaderRow,0))</f>
        <v>10.5</v>
      </c>
      <c r="BN33" s="12">
        <f>INDEX(ovrTable,MATCH(INDEX(oppCol24,ROW()),ovrTeamCol,0),MATCH(MID(INDEX(headerRow,1,COLUMN()),4,LEN(INDEX(headerRow,1,COLUMN()))),ovrHeaderRow,0))</f>
        <v>34.299999999999997</v>
      </c>
      <c r="BO33" s="12">
        <f>INDEX(ovrTable,MATCH(INDEX(oppCol24,ROW()),ovrTeamCol,0),MATCH(MID(INDEX(headerRow,1,COLUMN()),4,LEN(INDEX(headerRow,1,COLUMN()))),ovrHeaderRow,0))</f>
        <v>30.6</v>
      </c>
      <c r="BP33" s="12">
        <f>INDEX(ovrTable,MATCH(INDEX(oppCol24,ROW()),ovrTeamCol,0),MATCH(MID(INDEX(headerRow,1,COLUMN()),4,LEN(INDEX(headerRow,1,COLUMN()))),ovrHeaderRow,0))</f>
        <v>1.54</v>
      </c>
      <c r="BQ33" s="12">
        <f>INDEX(ovrTable,MATCH(INDEX(oppCol24,ROW()),ovrTeamCol,0),MATCH(MID(INDEX(headerRow,1,COLUMN()),4,LEN(INDEX(headerRow,1,COLUMN()))),ovrHeaderRow,0))</f>
        <v>15.3</v>
      </c>
      <c r="BR33" s="12">
        <f>INDEX(ovrTable,MATCH(INDEX(oppCol24,ROW()),ovrTeamCol,0),MATCH(MID(INDEX(headerRow,1,COLUMN()),4,LEN(INDEX(headerRow,1,COLUMN()))),ovrHeaderRow,0))</f>
        <v>30.06</v>
      </c>
      <c r="BS33" s="12">
        <f>INDEX(ovrTable,MATCH(INDEX(oppCol24,ROW()),ovrTeamCol,0),MATCH(MID(INDEX(headerRow,1,COLUMN()),4,LEN(INDEX(headerRow,1,COLUMN()))),ovrHeaderRow,0))</f>
        <v>3.1</v>
      </c>
      <c r="BT33" s="12">
        <f>INDEX(ovrTable,MATCH(INDEX(oppCol24,ROW()),ovrTeamCol,0),MATCH(MID(INDEX(headerRow,1,COLUMN()),4,LEN(INDEX(headerRow,1,COLUMN()))),ovrHeaderRow,0))</f>
        <v>44.5</v>
      </c>
      <c r="BU33" s="12">
        <f>INDEX(ovrTable,MATCH(INDEX(oppCol24,ROW()),ovrTeamCol,0),MATCH(MID(INDEX(headerRow,1,COLUMN()),4,LEN(INDEX(headerRow,1,COLUMN()))),ovrHeaderRow,0))</f>
        <v>26.71</v>
      </c>
      <c r="BV33" s="12">
        <f>INDEX(ovrTable,MATCH(INDEX(oppCol24,ROW()),ovrTeamCol,0),MATCH(MID(INDEX(headerRow,1,COLUMN()),4,LEN(INDEX(headerRow,1,COLUMN()))),ovrHeaderRow,0))</f>
        <v>0.52200000000000002</v>
      </c>
      <c r="BW33" s="12">
        <f>INDEX(ovrTable,MATCH(INDEX(oppCol24,ROW()),ovrTeamCol,0),MATCH(MID(INDEX(headerRow,1,COLUMN()),4,LEN(INDEX(headerRow,1,COLUMN()))),ovrHeaderRow,0))</f>
        <v>9.1999999999999993</v>
      </c>
      <c r="BX33" s="12">
        <f>INDEX(ovrTable,MATCH(INDEX(oppCol24,ROW()),ovrTeamCol,0),MATCH(MID(INDEX(headerRow,1,COLUMN()),4,LEN(INDEX(headerRow,1,COLUMN()))),ovrHeaderRow,0))</f>
        <v>44.2</v>
      </c>
      <c r="BY33" s="12">
        <f>INDEX(ovrTable,MATCH(INDEX(oppCol24,ROW()),ovrTeamCol,0),MATCH(MID(INDEX(headerRow,1,COLUMN()),4,LEN(INDEX(headerRow,1,COLUMN()))),ovrHeaderRow,0))</f>
        <v>15.9</v>
      </c>
      <c r="BZ33" s="12">
        <f>INDEX(ovrTable,MATCH(INDEX(oppCol24,ROW()),ovrTeamCol,0),MATCH(MID(INDEX(headerRow,1,COLUMN()),4,LEN(INDEX(headerRow,1,COLUMN()))),ovrHeaderRow,0))</f>
        <v>72.2</v>
      </c>
      <c r="CA33" s="12">
        <f>INDEX(ovrTable,MATCH(INDEX(oppCol24,ROW()),ovrTeamCol,0),MATCH(MID(INDEX(headerRow,1,COLUMN()),4,LEN(INDEX(headerRow,1,COLUMN()))),ovrHeaderRow,0))</f>
        <v>17.899999999999999</v>
      </c>
      <c r="CB33" s="12">
        <f>INDEX(ovrTable,MATCH(INDEX(oppCol24,ROW()),ovrTeamCol,0),MATCH(MID(INDEX(headerRow,1,COLUMN()),4,LEN(INDEX(headerRow,1,COLUMN()))),ovrHeaderRow,0))</f>
        <v>12.9</v>
      </c>
      <c r="CC33" s="12">
        <f>INDEX(ovrTable,MATCH(INDEX(oppCol24,ROW()),ovrTeamCol,0),MATCH(MID(INDEX(headerRow,1,COLUMN()),4,LEN(INDEX(headerRow,1,COLUMN()))),ovrHeaderRow,0))</f>
        <v>73.599999999999994</v>
      </c>
      <c r="CD33" s="12">
        <f>INDEX(ovrTable,MATCH(INDEX(oppCol24,ROW()),ovrTeamCol,0),MATCH(MID(INDEX(headerRow,1,COLUMN()),4,LEN(INDEX(headerRow,1,COLUMN()))),ovrHeaderRow,0))</f>
        <v>13.06</v>
      </c>
      <c r="CE33" s="12">
        <f>INDEX(ovrTable,MATCH(INDEX(oppCol24,ROW()),ovrTeamCol,0),MATCH(MID(INDEX(headerRow,1,COLUMN()),4,LEN(INDEX(headerRow,1,COLUMN()))),ovrHeaderRow,0))</f>
        <v>80.900000000000006</v>
      </c>
      <c r="CF33" s="12">
        <f>INDEX(ovrTable,MATCH(INDEX(oppCol24,ROW()),ovrTeamCol,0),MATCH(MID(INDEX(headerRow,1,COLUMN()),4,LEN(INDEX(headerRow,1,COLUMN()))),ovrHeaderRow,0))</f>
        <v>4.5999999999999996</v>
      </c>
      <c r="CG33" s="12">
        <f>INDEX(ovrTable,MATCH(INDEX(oppCol24,ROW()),ovrTeamCol,0),MATCH(MID(INDEX(headerRow,1,COLUMN()),4,LEN(INDEX(headerRow,1,COLUMN()))),ovrHeaderRow,0))</f>
        <v>39.770000000000003</v>
      </c>
      <c r="CH33" s="12">
        <f>INDEX(ovrTable,MATCH(INDEX(oppCol24,ROW()),ovrTeamCol,0),MATCH(MID(INDEX(headerRow,1,COLUMN()),4,LEN(INDEX(headerRow,1,COLUMN()))),ovrHeaderRow,0))</f>
        <v>7.3</v>
      </c>
      <c r="CI33" s="12">
        <f>INDEX(ovrTable,MATCH(INDEX(oppCol24,ROW()),ovrTeamCol,0),MATCH(MID(INDEX(headerRow,1,COLUMN()),4,LEN(INDEX(headerRow,1,COLUMN()))),ovrHeaderRow,0))</f>
        <v>6.3</v>
      </c>
      <c r="CJ33" s="12">
        <f>INDEX(ovrTable,MATCH(INDEX(oppCol24,ROW()),ovrTeamCol,0),MATCH(MID(INDEX(headerRow,1,COLUMN()),4,LEN(INDEX(headerRow,1,COLUMN()))),ovrHeaderRow,0))</f>
        <v>1.6</v>
      </c>
      <c r="CK33" s="12">
        <f>INDEX(ovrTable,MATCH(INDEX(oppCol24,ROW()),ovrTeamCol,0),MATCH(MID(INDEX(headerRow,1,COLUMN()),4,LEN(INDEX(headerRow,1,COLUMN()))),ovrHeaderRow,0))</f>
        <v>11.51</v>
      </c>
      <c r="CL33" s="12">
        <f>INDEX(ovrTable,MATCH(INDEX(oppCol24,ROW()),ovrTeamCol,0),MATCH(MID(INDEX(headerRow,1,COLUMN()),4,LEN(INDEX(headerRow,1,COLUMN()))),ovrHeaderRow,0))</f>
        <v>9.9</v>
      </c>
      <c r="CM33" s="12">
        <f>INDEX(ovrTable,MATCH(INDEX(oppCol24,ROW()),ovrTeamCol,0),MATCH(MID(INDEX(headerRow,1,COLUMN()),4,LEN(INDEX(headerRow,1,COLUMN()))),ovrHeaderRow,0))</f>
        <v>72.099999999999994</v>
      </c>
      <c r="CN33" s="12">
        <f>INDEX(ovrTable,MATCH(INDEX(oppCol24,ROW()),ovrTeamCol,0),MATCH(MID(INDEX(headerRow,1,COLUMN()),4,LEN(INDEX(headerRow,1,COLUMN()))),ovrHeaderRow,0))</f>
        <v>18.25</v>
      </c>
      <c r="CO33" s="12">
        <f>INDEX(ovrTable,MATCH(INDEX(oppCol24,ROW()),ovrTeamCol,0),MATCH(MID(INDEX(headerRow,1,COLUMN()),4,LEN(INDEX(headerRow,1,COLUMN()))),ovrHeaderRow,0))</f>
        <v>65.045248868778273</v>
      </c>
    </row>
    <row r="34" spans="1:93" x14ac:dyDescent="0.3">
      <c r="A34" s="6" t="s">
        <v>27</v>
      </c>
      <c r="B34" s="3">
        <v>11</v>
      </c>
      <c r="C34" s="13" t="s">
        <v>23</v>
      </c>
      <c r="D34" s="14">
        <v>17</v>
      </c>
      <c r="E34" s="23">
        <v>33.333333333333329</v>
      </c>
      <c r="F34" s="24">
        <v>3</v>
      </c>
      <c r="G34" s="23">
        <v>13.043478260869565</v>
      </c>
      <c r="H34" s="24">
        <v>23</v>
      </c>
      <c r="I34" s="25">
        <v>1.2307692307692308</v>
      </c>
      <c r="J34" s="24">
        <v>16</v>
      </c>
      <c r="K34" s="24">
        <v>12</v>
      </c>
      <c r="L34" s="24">
        <v>4</v>
      </c>
      <c r="M34" s="24">
        <v>44.4</v>
      </c>
      <c r="N34" s="24">
        <v>25</v>
      </c>
      <c r="O34" s="26">
        <v>0.32044736842105265</v>
      </c>
      <c r="P34" s="24">
        <v>9</v>
      </c>
      <c r="Q34" s="24">
        <v>29.7</v>
      </c>
      <c r="R34" s="24">
        <v>16</v>
      </c>
      <c r="S34" s="23">
        <v>65.217391304347828</v>
      </c>
      <c r="T34" s="24">
        <v>23</v>
      </c>
      <c r="U34" s="24">
        <v>15</v>
      </c>
      <c r="V34" s="24">
        <v>77</v>
      </c>
      <c r="W34" s="24">
        <v>17</v>
      </c>
      <c r="X34" s="24">
        <v>56</v>
      </c>
      <c r="Y34" s="24">
        <v>1</v>
      </c>
      <c r="Z34" s="24">
        <v>42</v>
      </c>
      <c r="AA34" s="24">
        <v>-21</v>
      </c>
      <c r="AB34" s="24">
        <v>4</v>
      </c>
      <c r="AC34" s="24">
        <v>-4</v>
      </c>
      <c r="AD34" s="24">
        <v>9</v>
      </c>
      <c r="AE34" s="24">
        <v>13</v>
      </c>
      <c r="AF34" s="46">
        <f t="shared" si="3"/>
        <v>70.898063973063969</v>
      </c>
      <c r="AG34" s="51">
        <f t="shared" ref="AG34" si="43">AVERAGE(AF34,AF35)</f>
        <v>70.993063518063508</v>
      </c>
      <c r="AH34" s="12">
        <f t="shared" si="39"/>
        <v>30.4</v>
      </c>
      <c r="AI34" s="12">
        <f t="shared" si="39"/>
        <v>6.5</v>
      </c>
      <c r="AJ34" s="12">
        <f t="shared" si="39"/>
        <v>32.799999999999997</v>
      </c>
      <c r="AK34" s="12">
        <f t="shared" si="39"/>
        <v>19.8</v>
      </c>
      <c r="AL34" s="12">
        <f t="shared" si="39"/>
        <v>1.45</v>
      </c>
      <c r="AM34" s="12">
        <f t="shared" si="39"/>
        <v>14.6</v>
      </c>
      <c r="AN34" s="12">
        <f t="shared" si="39"/>
        <v>18.36</v>
      </c>
      <c r="AO34" s="12">
        <f t="shared" si="39"/>
        <v>4.9000000000000004</v>
      </c>
      <c r="AP34" s="12">
        <f t="shared" si="39"/>
        <v>42.2</v>
      </c>
      <c r="AQ34" s="12">
        <f t="shared" si="39"/>
        <v>26.86</v>
      </c>
      <c r="AR34" s="12">
        <f t="shared" si="40"/>
        <v>0.505</v>
      </c>
      <c r="AS34" s="12">
        <f t="shared" si="40"/>
        <v>14.64</v>
      </c>
      <c r="AT34" s="12">
        <f t="shared" si="40"/>
        <v>45.5</v>
      </c>
      <c r="AU34" s="12">
        <f t="shared" si="40"/>
        <v>17.600000000000001</v>
      </c>
      <c r="AV34" s="12">
        <f t="shared" si="40"/>
        <v>70.7</v>
      </c>
      <c r="AW34" s="12">
        <f t="shared" si="40"/>
        <v>21.6</v>
      </c>
      <c r="AX34" s="12">
        <f t="shared" si="40"/>
        <v>15.3</v>
      </c>
      <c r="AY34" s="12">
        <f t="shared" si="40"/>
        <v>70.7</v>
      </c>
      <c r="AZ34" s="12">
        <f t="shared" si="40"/>
        <v>12.83</v>
      </c>
      <c r="BA34" s="12">
        <f t="shared" si="40"/>
        <v>81</v>
      </c>
      <c r="BB34" s="12">
        <f t="shared" si="41"/>
        <v>4.3</v>
      </c>
      <c r="BC34" s="12">
        <f t="shared" si="41"/>
        <v>39.69</v>
      </c>
      <c r="BD34" s="12">
        <f t="shared" si="41"/>
        <v>10.3</v>
      </c>
      <c r="BE34" s="12">
        <f t="shared" si="41"/>
        <v>8.6999999999999993</v>
      </c>
      <c r="BF34" s="12">
        <f t="shared" si="41"/>
        <v>4</v>
      </c>
      <c r="BG34" s="12">
        <f t="shared" si="41"/>
        <v>14</v>
      </c>
      <c r="BH34" s="12">
        <f t="shared" si="41"/>
        <v>10</v>
      </c>
      <c r="BI34" s="12">
        <f t="shared" si="41"/>
        <v>74.2</v>
      </c>
      <c r="BJ34" s="12">
        <f t="shared" si="41"/>
        <v>23.1</v>
      </c>
      <c r="BK34" s="12">
        <f t="shared" si="41"/>
        <v>65.054945054945051</v>
      </c>
      <c r="BL34" s="12">
        <f>INDEX(ovrTable,MATCH(INDEX(oppCol24,ROW()),ovrTeamCol,0),MATCH(MID(INDEX(headerRow,1,COLUMN()),4,LEN(INDEX(headerRow,1,COLUMN()))),ovrHeaderRow,0))</f>
        <v>33.1</v>
      </c>
      <c r="BM34" s="12">
        <f>INDEX(ovrTable,MATCH(INDEX(oppCol24,ROW()),ovrTeamCol,0),MATCH(MID(INDEX(headerRow,1,COLUMN()),4,LEN(INDEX(headerRow,1,COLUMN()))),ovrHeaderRow,0))</f>
        <v>8.1999999999999993</v>
      </c>
      <c r="BN34" s="12">
        <f>INDEX(ovrTable,MATCH(INDEX(oppCol24,ROW()),ovrTeamCol,0),MATCH(MID(INDEX(headerRow,1,COLUMN()),4,LEN(INDEX(headerRow,1,COLUMN()))),ovrHeaderRow,0))</f>
        <v>35.1</v>
      </c>
      <c r="BO34" s="12">
        <f>INDEX(ovrTable,MATCH(INDEX(oppCol24,ROW()),ovrTeamCol,0),MATCH(MID(INDEX(headerRow,1,COLUMN()),4,LEN(INDEX(headerRow,1,COLUMN()))),ovrHeaderRow,0))</f>
        <v>23.4</v>
      </c>
      <c r="BP34" s="12">
        <f>INDEX(ovrTable,MATCH(INDEX(oppCol24,ROW()),ovrTeamCol,0),MATCH(MID(INDEX(headerRow,1,COLUMN()),4,LEN(INDEX(headerRow,1,COLUMN()))),ovrHeaderRow,0))</f>
        <v>1.47</v>
      </c>
      <c r="BQ34" s="12">
        <f>INDEX(ovrTable,MATCH(INDEX(oppCol24,ROW()),ovrTeamCol,0),MATCH(MID(INDEX(headerRow,1,COLUMN()),4,LEN(INDEX(headerRow,1,COLUMN()))),ovrHeaderRow,0))</f>
        <v>14.8</v>
      </c>
      <c r="BR34" s="12">
        <f>INDEX(ovrTable,MATCH(INDEX(oppCol24,ROW()),ovrTeamCol,0),MATCH(MID(INDEX(headerRow,1,COLUMN()),4,LEN(INDEX(headerRow,1,COLUMN()))),ovrHeaderRow,0))</f>
        <v>14.19</v>
      </c>
      <c r="BS34" s="12">
        <f>INDEX(ovrTable,MATCH(INDEX(oppCol24,ROW()),ovrTeamCol,0),MATCH(MID(INDEX(headerRow,1,COLUMN()),4,LEN(INDEX(headerRow,1,COLUMN()))),ovrHeaderRow,0))</f>
        <v>3.8</v>
      </c>
      <c r="BT34" s="12">
        <f>INDEX(ovrTable,MATCH(INDEX(oppCol24,ROW()),ovrTeamCol,0),MATCH(MID(INDEX(headerRow,1,COLUMN()),4,LEN(INDEX(headerRow,1,COLUMN()))),ovrHeaderRow,0))</f>
        <v>41.4</v>
      </c>
      <c r="BU34" s="12">
        <f>INDEX(ovrTable,MATCH(INDEX(oppCol24,ROW()),ovrTeamCol,0),MATCH(MID(INDEX(headerRow,1,COLUMN()),4,LEN(INDEX(headerRow,1,COLUMN()))),ovrHeaderRow,0))</f>
        <v>27.28</v>
      </c>
      <c r="BV34" s="12">
        <f>INDEX(ovrTable,MATCH(INDEX(oppCol24,ROW()),ovrTeamCol,0),MATCH(MID(INDEX(headerRow,1,COLUMN()),4,LEN(INDEX(headerRow,1,COLUMN()))),ovrHeaderRow,0))</f>
        <v>0.53900000000000003</v>
      </c>
      <c r="BW34" s="12">
        <f>INDEX(ovrTable,MATCH(INDEX(oppCol24,ROW()),ovrTeamCol,0),MATCH(MID(INDEX(headerRow,1,COLUMN()),4,LEN(INDEX(headerRow,1,COLUMN()))),ovrHeaderRow,0))</f>
        <v>6.39</v>
      </c>
      <c r="BX34" s="12">
        <f>INDEX(ovrTable,MATCH(INDEX(oppCol24,ROW()),ovrTeamCol,0),MATCH(MID(INDEX(headerRow,1,COLUMN()),4,LEN(INDEX(headerRow,1,COLUMN()))),ovrHeaderRow,0))</f>
        <v>46.9</v>
      </c>
      <c r="BY34" s="12">
        <f>INDEX(ovrTable,MATCH(INDEX(oppCol24,ROW()),ovrTeamCol,0),MATCH(MID(INDEX(headerRow,1,COLUMN()),4,LEN(INDEX(headerRow,1,COLUMN()))),ovrHeaderRow,0))</f>
        <v>16.3</v>
      </c>
      <c r="BZ34" s="12">
        <f>INDEX(ovrTable,MATCH(INDEX(oppCol24,ROW()),ovrTeamCol,0),MATCH(MID(INDEX(headerRow,1,COLUMN()),4,LEN(INDEX(headerRow,1,COLUMN()))),ovrHeaderRow,0))</f>
        <v>78</v>
      </c>
      <c r="CA34" s="12">
        <f>INDEX(ovrTable,MATCH(INDEX(oppCol24,ROW()),ovrTeamCol,0),MATCH(MID(INDEX(headerRow,1,COLUMN()),4,LEN(INDEX(headerRow,1,COLUMN()))),ovrHeaderRow,0))</f>
        <v>18.100000000000001</v>
      </c>
      <c r="CB34" s="12">
        <f>INDEX(ovrTable,MATCH(INDEX(oppCol24,ROW()),ovrTeamCol,0),MATCH(MID(INDEX(headerRow,1,COLUMN()),4,LEN(INDEX(headerRow,1,COLUMN()))),ovrHeaderRow,0))</f>
        <v>14.1</v>
      </c>
      <c r="CC34" s="12">
        <f>INDEX(ovrTable,MATCH(INDEX(oppCol24,ROW()),ovrTeamCol,0),MATCH(MID(INDEX(headerRow,1,COLUMN()),4,LEN(INDEX(headerRow,1,COLUMN()))),ovrHeaderRow,0))</f>
        <v>71.2</v>
      </c>
      <c r="CD34" s="12">
        <f>INDEX(ovrTable,MATCH(INDEX(oppCol24,ROW()),ovrTeamCol,0),MATCH(MID(INDEX(headerRow,1,COLUMN()),4,LEN(INDEX(headerRow,1,COLUMN()))),ovrHeaderRow,0))</f>
        <v>9.06</v>
      </c>
      <c r="CE34" s="12">
        <f>INDEX(ovrTable,MATCH(INDEX(oppCol24,ROW()),ovrTeamCol,0),MATCH(MID(INDEX(headerRow,1,COLUMN()),4,LEN(INDEX(headerRow,1,COLUMN()))),ovrHeaderRow,0))</f>
        <v>77.400000000000006</v>
      </c>
      <c r="CF34" s="12">
        <f>INDEX(ovrTable,MATCH(INDEX(oppCol24,ROW()),ovrTeamCol,0),MATCH(MID(INDEX(headerRow,1,COLUMN()),4,LEN(INDEX(headerRow,1,COLUMN()))),ovrHeaderRow,0))</f>
        <v>2.2999999999999998</v>
      </c>
      <c r="CG34" s="12">
        <f>INDEX(ovrTable,MATCH(INDEX(oppCol24,ROW()),ovrTeamCol,0),MATCH(MID(INDEX(headerRow,1,COLUMN()),4,LEN(INDEX(headerRow,1,COLUMN()))),ovrHeaderRow,0))</f>
        <v>36.33</v>
      </c>
      <c r="CH34" s="12">
        <f>INDEX(ovrTable,MATCH(INDEX(oppCol24,ROW()),ovrTeamCol,0),MATCH(MID(INDEX(headerRow,1,COLUMN()),4,LEN(INDEX(headerRow,1,COLUMN()))),ovrHeaderRow,0))</f>
        <v>6.2</v>
      </c>
      <c r="CI34" s="12">
        <f>INDEX(ovrTable,MATCH(INDEX(oppCol24,ROW()),ovrTeamCol,0),MATCH(MID(INDEX(headerRow,1,COLUMN()),4,LEN(INDEX(headerRow,1,COLUMN()))),ovrHeaderRow,0))</f>
        <v>4.5999999999999996</v>
      </c>
      <c r="CJ34" s="12">
        <f>INDEX(ovrTable,MATCH(INDEX(oppCol24,ROW()),ovrTeamCol,0),MATCH(MID(INDEX(headerRow,1,COLUMN()),4,LEN(INDEX(headerRow,1,COLUMN()))),ovrHeaderRow,0))</f>
        <v>-0.6</v>
      </c>
      <c r="CK34" s="12">
        <f>INDEX(ovrTable,MATCH(INDEX(oppCol24,ROW()),ovrTeamCol,0),MATCH(MID(INDEX(headerRow,1,COLUMN()),4,LEN(INDEX(headerRow,1,COLUMN()))),ovrHeaderRow,0))</f>
        <v>9.4700000000000006</v>
      </c>
      <c r="CL34" s="12">
        <f>INDEX(ovrTable,MATCH(INDEX(oppCol24,ROW()),ovrTeamCol,0),MATCH(MID(INDEX(headerRow,1,COLUMN()),4,LEN(INDEX(headerRow,1,COLUMN()))),ovrHeaderRow,0))</f>
        <v>10.1</v>
      </c>
      <c r="CM34" s="12">
        <f>INDEX(ovrTable,MATCH(INDEX(oppCol24,ROW()),ovrTeamCol,0),MATCH(MID(INDEX(headerRow,1,COLUMN()),4,LEN(INDEX(headerRow,1,COLUMN()))),ovrHeaderRow,0))</f>
        <v>69.7</v>
      </c>
      <c r="CN34" s="12">
        <f>INDEX(ovrTable,MATCH(INDEX(oppCol24,ROW()),ovrTeamCol,0),MATCH(MID(INDEX(headerRow,1,COLUMN()),4,LEN(INDEX(headerRow,1,COLUMN()))),ovrHeaderRow,0))</f>
        <v>19.350000000000001</v>
      </c>
      <c r="CO34" s="12">
        <f>INDEX(ovrTable,MATCH(INDEX(oppCol24,ROW()),ovrTeamCol,0),MATCH(MID(INDEX(headerRow,1,COLUMN()),4,LEN(INDEX(headerRow,1,COLUMN()))),ovrHeaderRow,0))</f>
        <v>58.742004264392328</v>
      </c>
    </row>
    <row r="35" spans="1:93" x14ac:dyDescent="0.3">
      <c r="A35" s="6" t="s">
        <v>23</v>
      </c>
      <c r="B35" s="3">
        <v>6</v>
      </c>
      <c r="C35" s="13" t="s">
        <v>27</v>
      </c>
      <c r="D35" s="14">
        <v>17</v>
      </c>
      <c r="E35" s="23">
        <v>13.043478260869565</v>
      </c>
      <c r="F35" s="24">
        <v>7</v>
      </c>
      <c r="G35" s="23">
        <v>33.333333333333329</v>
      </c>
      <c r="H35" s="24">
        <v>21</v>
      </c>
      <c r="I35" s="25">
        <v>0.66666666666666663</v>
      </c>
      <c r="J35" s="24">
        <v>6</v>
      </c>
      <c r="K35" s="24">
        <v>13</v>
      </c>
      <c r="L35" s="24">
        <v>2</v>
      </c>
      <c r="M35" s="24">
        <v>29.7</v>
      </c>
      <c r="N35" s="24">
        <v>31</v>
      </c>
      <c r="O35" s="26">
        <v>0.49949999999999994</v>
      </c>
      <c r="P35" s="24">
        <v>8</v>
      </c>
      <c r="Q35" s="24">
        <v>44.4</v>
      </c>
      <c r="R35" s="24">
        <v>20</v>
      </c>
      <c r="S35" s="23">
        <v>73.68421052631578</v>
      </c>
      <c r="T35" s="24">
        <v>19</v>
      </c>
      <c r="U35" s="24">
        <v>14</v>
      </c>
      <c r="V35" s="24">
        <v>56</v>
      </c>
      <c r="W35" s="24">
        <v>10</v>
      </c>
      <c r="X35" s="24">
        <v>77</v>
      </c>
      <c r="Y35" s="24">
        <v>-1</v>
      </c>
      <c r="Z35" s="24">
        <v>41</v>
      </c>
      <c r="AA35" s="24">
        <v>21</v>
      </c>
      <c r="AB35" s="24">
        <v>7</v>
      </c>
      <c r="AC35" s="24">
        <v>4</v>
      </c>
      <c r="AD35" s="24">
        <v>13</v>
      </c>
      <c r="AE35" s="24">
        <v>9</v>
      </c>
      <c r="AF35" s="46">
        <f t="shared" si="3"/>
        <v>71.088063063063061</v>
      </c>
      <c r="AG35" s="51">
        <f t="shared" ref="AG35" si="44">AVERAGE(AF34,AF35)</f>
        <v>70.993063518063508</v>
      </c>
      <c r="AH35" s="12">
        <f t="shared" si="39"/>
        <v>33.1</v>
      </c>
      <c r="AI35" s="12">
        <f t="shared" si="39"/>
        <v>8.1999999999999993</v>
      </c>
      <c r="AJ35" s="12">
        <f t="shared" si="39"/>
        <v>35.1</v>
      </c>
      <c r="AK35" s="12">
        <f t="shared" si="39"/>
        <v>23.4</v>
      </c>
      <c r="AL35" s="12">
        <f t="shared" si="39"/>
        <v>1.47</v>
      </c>
      <c r="AM35" s="12">
        <f t="shared" si="39"/>
        <v>14.8</v>
      </c>
      <c r="AN35" s="12">
        <f t="shared" si="39"/>
        <v>14.19</v>
      </c>
      <c r="AO35" s="12">
        <f t="shared" si="39"/>
        <v>3.8</v>
      </c>
      <c r="AP35" s="12">
        <f t="shared" si="39"/>
        <v>41.4</v>
      </c>
      <c r="AQ35" s="12">
        <f t="shared" si="39"/>
        <v>27.28</v>
      </c>
      <c r="AR35" s="12">
        <f t="shared" si="40"/>
        <v>0.53900000000000003</v>
      </c>
      <c r="AS35" s="12">
        <f t="shared" si="40"/>
        <v>6.39</v>
      </c>
      <c r="AT35" s="12">
        <f t="shared" si="40"/>
        <v>46.9</v>
      </c>
      <c r="AU35" s="12">
        <f t="shared" si="40"/>
        <v>16.3</v>
      </c>
      <c r="AV35" s="12">
        <f t="shared" si="40"/>
        <v>78</v>
      </c>
      <c r="AW35" s="12">
        <f t="shared" si="40"/>
        <v>18.100000000000001</v>
      </c>
      <c r="AX35" s="12">
        <f t="shared" si="40"/>
        <v>14.1</v>
      </c>
      <c r="AY35" s="12">
        <f t="shared" si="40"/>
        <v>71.2</v>
      </c>
      <c r="AZ35" s="12">
        <f t="shared" si="40"/>
        <v>9.06</v>
      </c>
      <c r="BA35" s="12">
        <f t="shared" si="40"/>
        <v>77.400000000000006</v>
      </c>
      <c r="BB35" s="12">
        <f t="shared" si="41"/>
        <v>2.2999999999999998</v>
      </c>
      <c r="BC35" s="12">
        <f t="shared" si="41"/>
        <v>36.33</v>
      </c>
      <c r="BD35" s="12">
        <f t="shared" si="41"/>
        <v>6.2</v>
      </c>
      <c r="BE35" s="12">
        <f t="shared" si="41"/>
        <v>4.5999999999999996</v>
      </c>
      <c r="BF35" s="12">
        <f t="shared" si="41"/>
        <v>-0.6</v>
      </c>
      <c r="BG35" s="12">
        <f t="shared" si="41"/>
        <v>9.4700000000000006</v>
      </c>
      <c r="BH35" s="12">
        <f t="shared" si="41"/>
        <v>10.1</v>
      </c>
      <c r="BI35" s="12">
        <f t="shared" si="41"/>
        <v>69.7</v>
      </c>
      <c r="BJ35" s="12">
        <f t="shared" si="41"/>
        <v>19.350000000000001</v>
      </c>
      <c r="BK35" s="12">
        <f t="shared" si="41"/>
        <v>58.742004264392328</v>
      </c>
      <c r="BL35" s="12">
        <f>INDEX(ovrTable,MATCH(INDEX(oppCol24,ROW()),ovrTeamCol,0),MATCH(MID(INDEX(headerRow,1,COLUMN()),4,LEN(INDEX(headerRow,1,COLUMN()))),ovrHeaderRow,0))</f>
        <v>30.4</v>
      </c>
      <c r="BM35" s="12">
        <f>INDEX(ovrTable,MATCH(INDEX(oppCol24,ROW()),ovrTeamCol,0),MATCH(MID(INDEX(headerRow,1,COLUMN()),4,LEN(INDEX(headerRow,1,COLUMN()))),ovrHeaderRow,0))</f>
        <v>6.5</v>
      </c>
      <c r="BN35" s="12">
        <f>INDEX(ovrTable,MATCH(INDEX(oppCol24,ROW()),ovrTeamCol,0),MATCH(MID(INDEX(headerRow,1,COLUMN()),4,LEN(INDEX(headerRow,1,COLUMN()))),ovrHeaderRow,0))</f>
        <v>32.799999999999997</v>
      </c>
      <c r="BO35" s="12">
        <f>INDEX(ovrTable,MATCH(INDEX(oppCol24,ROW()),ovrTeamCol,0),MATCH(MID(INDEX(headerRow,1,COLUMN()),4,LEN(INDEX(headerRow,1,COLUMN()))),ovrHeaderRow,0))</f>
        <v>19.8</v>
      </c>
      <c r="BP35" s="12">
        <f>INDEX(ovrTable,MATCH(INDEX(oppCol24,ROW()),ovrTeamCol,0),MATCH(MID(INDEX(headerRow,1,COLUMN()),4,LEN(INDEX(headerRow,1,COLUMN()))),ovrHeaderRow,0))</f>
        <v>1.45</v>
      </c>
      <c r="BQ35" s="12">
        <f>INDEX(ovrTable,MATCH(INDEX(oppCol24,ROW()),ovrTeamCol,0),MATCH(MID(INDEX(headerRow,1,COLUMN()),4,LEN(INDEX(headerRow,1,COLUMN()))),ovrHeaderRow,0))</f>
        <v>14.6</v>
      </c>
      <c r="BR35" s="12">
        <f>INDEX(ovrTable,MATCH(INDEX(oppCol24,ROW()),ovrTeamCol,0),MATCH(MID(INDEX(headerRow,1,COLUMN()),4,LEN(INDEX(headerRow,1,COLUMN()))),ovrHeaderRow,0))</f>
        <v>18.36</v>
      </c>
      <c r="BS35" s="12">
        <f>INDEX(ovrTable,MATCH(INDEX(oppCol24,ROW()),ovrTeamCol,0),MATCH(MID(INDEX(headerRow,1,COLUMN()),4,LEN(INDEX(headerRow,1,COLUMN()))),ovrHeaderRow,0))</f>
        <v>4.9000000000000004</v>
      </c>
      <c r="BT35" s="12">
        <f>INDEX(ovrTable,MATCH(INDEX(oppCol24,ROW()),ovrTeamCol,0),MATCH(MID(INDEX(headerRow,1,COLUMN()),4,LEN(INDEX(headerRow,1,COLUMN()))),ovrHeaderRow,0))</f>
        <v>42.2</v>
      </c>
      <c r="BU35" s="12">
        <f>INDEX(ovrTable,MATCH(INDEX(oppCol24,ROW()),ovrTeamCol,0),MATCH(MID(INDEX(headerRow,1,COLUMN()),4,LEN(INDEX(headerRow,1,COLUMN()))),ovrHeaderRow,0))</f>
        <v>26.86</v>
      </c>
      <c r="BV35" s="12">
        <f>INDEX(ovrTable,MATCH(INDEX(oppCol24,ROW()),ovrTeamCol,0),MATCH(MID(INDEX(headerRow,1,COLUMN()),4,LEN(INDEX(headerRow,1,COLUMN()))),ovrHeaderRow,0))</f>
        <v>0.505</v>
      </c>
      <c r="BW35" s="12">
        <f>INDEX(ovrTable,MATCH(INDEX(oppCol24,ROW()),ovrTeamCol,0),MATCH(MID(INDEX(headerRow,1,COLUMN()),4,LEN(INDEX(headerRow,1,COLUMN()))),ovrHeaderRow,0))</f>
        <v>14.64</v>
      </c>
      <c r="BX35" s="12">
        <f>INDEX(ovrTable,MATCH(INDEX(oppCol24,ROW()),ovrTeamCol,0),MATCH(MID(INDEX(headerRow,1,COLUMN()),4,LEN(INDEX(headerRow,1,COLUMN()))),ovrHeaderRow,0))</f>
        <v>45.5</v>
      </c>
      <c r="BY35" s="12">
        <f>INDEX(ovrTable,MATCH(INDEX(oppCol24,ROW()),ovrTeamCol,0),MATCH(MID(INDEX(headerRow,1,COLUMN()),4,LEN(INDEX(headerRow,1,COLUMN()))),ovrHeaderRow,0))</f>
        <v>17.600000000000001</v>
      </c>
      <c r="BZ35" s="12">
        <f>INDEX(ovrTable,MATCH(INDEX(oppCol24,ROW()),ovrTeamCol,0),MATCH(MID(INDEX(headerRow,1,COLUMN()),4,LEN(INDEX(headerRow,1,COLUMN()))),ovrHeaderRow,0))</f>
        <v>70.7</v>
      </c>
      <c r="CA35" s="12">
        <f>INDEX(ovrTable,MATCH(INDEX(oppCol24,ROW()),ovrTeamCol,0),MATCH(MID(INDEX(headerRow,1,COLUMN()),4,LEN(INDEX(headerRow,1,COLUMN()))),ovrHeaderRow,0))</f>
        <v>21.6</v>
      </c>
      <c r="CB35" s="12">
        <f>INDEX(ovrTable,MATCH(INDEX(oppCol24,ROW()),ovrTeamCol,0),MATCH(MID(INDEX(headerRow,1,COLUMN()),4,LEN(INDEX(headerRow,1,COLUMN()))),ovrHeaderRow,0))</f>
        <v>15.3</v>
      </c>
      <c r="CC35" s="12">
        <f>INDEX(ovrTable,MATCH(INDEX(oppCol24,ROW()),ovrTeamCol,0),MATCH(MID(INDEX(headerRow,1,COLUMN()),4,LEN(INDEX(headerRow,1,COLUMN()))),ovrHeaderRow,0))</f>
        <v>70.7</v>
      </c>
      <c r="CD35" s="12">
        <f>INDEX(ovrTable,MATCH(INDEX(oppCol24,ROW()),ovrTeamCol,0),MATCH(MID(INDEX(headerRow,1,COLUMN()),4,LEN(INDEX(headerRow,1,COLUMN()))),ovrHeaderRow,0))</f>
        <v>12.83</v>
      </c>
      <c r="CE35" s="12">
        <f>INDEX(ovrTable,MATCH(INDEX(oppCol24,ROW()),ovrTeamCol,0),MATCH(MID(INDEX(headerRow,1,COLUMN()),4,LEN(INDEX(headerRow,1,COLUMN()))),ovrHeaderRow,0))</f>
        <v>81</v>
      </c>
      <c r="CF35" s="12">
        <f>INDEX(ovrTable,MATCH(INDEX(oppCol24,ROW()),ovrTeamCol,0),MATCH(MID(INDEX(headerRow,1,COLUMN()),4,LEN(INDEX(headerRow,1,COLUMN()))),ovrHeaderRow,0))</f>
        <v>4.3</v>
      </c>
      <c r="CG35" s="12">
        <f>INDEX(ovrTable,MATCH(INDEX(oppCol24,ROW()),ovrTeamCol,0),MATCH(MID(INDEX(headerRow,1,COLUMN()),4,LEN(INDEX(headerRow,1,COLUMN()))),ovrHeaderRow,0))</f>
        <v>39.69</v>
      </c>
      <c r="CH35" s="12">
        <f>INDEX(ovrTable,MATCH(INDEX(oppCol24,ROW()),ovrTeamCol,0),MATCH(MID(INDEX(headerRow,1,COLUMN()),4,LEN(INDEX(headerRow,1,COLUMN()))),ovrHeaderRow,0))</f>
        <v>10.3</v>
      </c>
      <c r="CI35" s="12">
        <f>INDEX(ovrTable,MATCH(INDEX(oppCol24,ROW()),ovrTeamCol,0),MATCH(MID(INDEX(headerRow,1,COLUMN()),4,LEN(INDEX(headerRow,1,COLUMN()))),ovrHeaderRow,0))</f>
        <v>8.6999999999999993</v>
      </c>
      <c r="CJ35" s="12">
        <f>INDEX(ovrTable,MATCH(INDEX(oppCol24,ROW()),ovrTeamCol,0),MATCH(MID(INDEX(headerRow,1,COLUMN()),4,LEN(INDEX(headerRow,1,COLUMN()))),ovrHeaderRow,0))</f>
        <v>4</v>
      </c>
      <c r="CK35" s="12">
        <f>INDEX(ovrTable,MATCH(INDEX(oppCol24,ROW()),ovrTeamCol,0),MATCH(MID(INDEX(headerRow,1,COLUMN()),4,LEN(INDEX(headerRow,1,COLUMN()))),ovrHeaderRow,0))</f>
        <v>14</v>
      </c>
      <c r="CL35" s="12">
        <f>INDEX(ovrTable,MATCH(INDEX(oppCol24,ROW()),ovrTeamCol,0),MATCH(MID(INDEX(headerRow,1,COLUMN()),4,LEN(INDEX(headerRow,1,COLUMN()))),ovrHeaderRow,0))</f>
        <v>10</v>
      </c>
      <c r="CM35" s="12">
        <f>INDEX(ovrTable,MATCH(INDEX(oppCol24,ROW()),ovrTeamCol,0),MATCH(MID(INDEX(headerRow,1,COLUMN()),4,LEN(INDEX(headerRow,1,COLUMN()))),ovrHeaderRow,0))</f>
        <v>74.2</v>
      </c>
      <c r="CN35" s="12">
        <f>INDEX(ovrTable,MATCH(INDEX(oppCol24,ROW()),ovrTeamCol,0),MATCH(MID(INDEX(headerRow,1,COLUMN()),4,LEN(INDEX(headerRow,1,COLUMN()))),ovrHeaderRow,0))</f>
        <v>23.1</v>
      </c>
      <c r="CO35" s="12">
        <f>INDEX(ovrTable,MATCH(INDEX(oppCol24,ROW()),ovrTeamCol,0),MATCH(MID(INDEX(headerRow,1,COLUMN()),4,LEN(INDEX(headerRow,1,COLUMN()))),ovrHeaderRow,0))</f>
        <v>65.054945054945051</v>
      </c>
    </row>
    <row r="36" spans="1:93" x14ac:dyDescent="0.3">
      <c r="A36" s="6" t="s">
        <v>30</v>
      </c>
      <c r="B36" s="3">
        <v>14</v>
      </c>
      <c r="C36" s="13" t="s">
        <v>20</v>
      </c>
      <c r="D36" s="14">
        <v>18</v>
      </c>
      <c r="E36" s="23">
        <v>53.333333333333336</v>
      </c>
      <c r="F36" s="24">
        <v>5</v>
      </c>
      <c r="G36" s="23">
        <v>27.777777777777779</v>
      </c>
      <c r="H36" s="24">
        <v>18</v>
      </c>
      <c r="I36" s="25">
        <v>1.375</v>
      </c>
      <c r="J36" s="24">
        <v>11</v>
      </c>
      <c r="K36" s="24">
        <v>26</v>
      </c>
      <c r="L36" s="24">
        <v>3</v>
      </c>
      <c r="M36" s="24">
        <v>57.9</v>
      </c>
      <c r="N36" s="24">
        <v>15</v>
      </c>
      <c r="O36" s="26">
        <v>0.49984615384615388</v>
      </c>
      <c r="P36" s="24">
        <v>7</v>
      </c>
      <c r="Q36" s="24">
        <v>45.6</v>
      </c>
      <c r="R36" s="24">
        <v>12</v>
      </c>
      <c r="S36" s="23">
        <v>71.428571428571431</v>
      </c>
      <c r="T36" s="24">
        <v>14</v>
      </c>
      <c r="U36" s="24">
        <v>10</v>
      </c>
      <c r="V36" s="24">
        <v>92</v>
      </c>
      <c r="W36" s="24">
        <v>9</v>
      </c>
      <c r="X36" s="24">
        <v>67</v>
      </c>
      <c r="Y36" s="24">
        <v>-9</v>
      </c>
      <c r="Z36" s="24">
        <v>24</v>
      </c>
      <c r="AA36" s="24">
        <v>-25</v>
      </c>
      <c r="AB36" s="24">
        <v>10</v>
      </c>
      <c r="AC36" s="24">
        <v>4</v>
      </c>
      <c r="AD36" s="24">
        <v>12</v>
      </c>
      <c r="AE36" s="24">
        <v>8</v>
      </c>
      <c r="AF36" s="46">
        <f t="shared" si="3"/>
        <v>62.667543859649122</v>
      </c>
      <c r="AG36" s="51">
        <f t="shared" ref="AG36" si="45">AVERAGE(AF36,AF37)</f>
        <v>63.65618125624944</v>
      </c>
      <c r="AH36" s="12">
        <f t="shared" si="39"/>
        <v>30.7</v>
      </c>
      <c r="AI36" s="12">
        <f t="shared" si="39"/>
        <v>7.8</v>
      </c>
      <c r="AJ36" s="12">
        <f t="shared" si="39"/>
        <v>35.9</v>
      </c>
      <c r="AK36" s="12">
        <f t="shared" si="39"/>
        <v>21.6</v>
      </c>
      <c r="AL36" s="12">
        <f t="shared" si="39"/>
        <v>1.43</v>
      </c>
      <c r="AM36" s="12">
        <f t="shared" si="39"/>
        <v>15</v>
      </c>
      <c r="AN36" s="12">
        <f t="shared" si="39"/>
        <v>24.49</v>
      </c>
      <c r="AO36" s="12">
        <f t="shared" si="39"/>
        <v>3.5</v>
      </c>
      <c r="AP36" s="12">
        <f t="shared" si="39"/>
        <v>41.3</v>
      </c>
      <c r="AQ36" s="12">
        <f t="shared" si="39"/>
        <v>27.4</v>
      </c>
      <c r="AR36" s="12">
        <f t="shared" si="40"/>
        <v>0.53800000000000003</v>
      </c>
      <c r="AS36" s="12">
        <f t="shared" si="40"/>
        <v>8.91</v>
      </c>
      <c r="AT36" s="12">
        <f t="shared" si="40"/>
        <v>46.9</v>
      </c>
      <c r="AU36" s="12">
        <f t="shared" si="40"/>
        <v>13.4</v>
      </c>
      <c r="AV36" s="12">
        <f t="shared" si="40"/>
        <v>68.099999999999994</v>
      </c>
      <c r="AW36" s="12">
        <f t="shared" si="40"/>
        <v>15.4</v>
      </c>
      <c r="AX36" s="12">
        <f t="shared" si="40"/>
        <v>10.5</v>
      </c>
      <c r="AY36" s="12">
        <f t="shared" si="40"/>
        <v>64.099999999999994</v>
      </c>
      <c r="AZ36" s="12">
        <f t="shared" si="40"/>
        <v>8.17</v>
      </c>
      <c r="BA36" s="12">
        <f t="shared" si="40"/>
        <v>71.400000000000006</v>
      </c>
      <c r="BB36" s="12">
        <f t="shared" si="41"/>
        <v>2.5</v>
      </c>
      <c r="BC36" s="12">
        <f t="shared" si="41"/>
        <v>35.57</v>
      </c>
      <c r="BD36" s="12">
        <f t="shared" si="41"/>
        <v>7.3</v>
      </c>
      <c r="BE36" s="12">
        <f t="shared" si="41"/>
        <v>6.5</v>
      </c>
      <c r="BF36" s="12">
        <f t="shared" si="41"/>
        <v>0.7</v>
      </c>
      <c r="BG36" s="12">
        <f t="shared" si="41"/>
        <v>11.23</v>
      </c>
      <c r="BH36" s="12">
        <f t="shared" si="41"/>
        <v>10.5</v>
      </c>
      <c r="BI36" s="12">
        <f t="shared" si="41"/>
        <v>67.3</v>
      </c>
      <c r="BJ36" s="12">
        <f t="shared" si="41"/>
        <v>18.750000000000004</v>
      </c>
      <c r="BK36" s="12">
        <f t="shared" si="41"/>
        <v>56.609808102345426</v>
      </c>
      <c r="BL36" s="12">
        <f>INDEX(ovrTable,MATCH(INDEX(oppCol24,ROW()),ovrTeamCol,0),MATCH(MID(INDEX(headerRow,1,COLUMN()),4,LEN(INDEX(headerRow,1,COLUMN()))),ovrHeaderRow,0))</f>
        <v>33.6</v>
      </c>
      <c r="BM36" s="12">
        <f>INDEX(ovrTable,MATCH(INDEX(oppCol24,ROW()),ovrTeamCol,0),MATCH(MID(INDEX(headerRow,1,COLUMN()),4,LEN(INDEX(headerRow,1,COLUMN()))),ovrHeaderRow,0))</f>
        <v>8.6</v>
      </c>
      <c r="BN36" s="12">
        <f>INDEX(ovrTable,MATCH(INDEX(oppCol24,ROW()),ovrTeamCol,0),MATCH(MID(INDEX(headerRow,1,COLUMN()),4,LEN(INDEX(headerRow,1,COLUMN()))),ovrHeaderRow,0))</f>
        <v>38.9</v>
      </c>
      <c r="BO36" s="12">
        <f>INDEX(ovrTable,MATCH(INDEX(oppCol24,ROW()),ovrTeamCol,0),MATCH(MID(INDEX(headerRow,1,COLUMN()),4,LEN(INDEX(headerRow,1,COLUMN()))),ovrHeaderRow,0))</f>
        <v>22.1</v>
      </c>
      <c r="BP36" s="12">
        <f>INDEX(ovrTable,MATCH(INDEX(oppCol24,ROW()),ovrTeamCol,0),MATCH(MID(INDEX(headerRow,1,COLUMN()),4,LEN(INDEX(headerRow,1,COLUMN()))),ovrHeaderRow,0))</f>
        <v>1.22</v>
      </c>
      <c r="BQ36" s="12">
        <f>INDEX(ovrTable,MATCH(INDEX(oppCol24,ROW()),ovrTeamCol,0),MATCH(MID(INDEX(headerRow,1,COLUMN()),4,LEN(INDEX(headerRow,1,COLUMN()))),ovrHeaderRow,0))</f>
        <v>14.7</v>
      </c>
      <c r="BR36" s="12">
        <f>INDEX(ovrTable,MATCH(INDEX(oppCol24,ROW()),ovrTeamCol,0),MATCH(MID(INDEX(headerRow,1,COLUMN()),4,LEN(INDEX(headerRow,1,COLUMN()))),ovrHeaderRow,0))</f>
        <v>19.54</v>
      </c>
      <c r="BS36" s="12">
        <f>INDEX(ovrTable,MATCH(INDEX(oppCol24,ROW()),ovrTeamCol,0),MATCH(MID(INDEX(headerRow,1,COLUMN()),4,LEN(INDEX(headerRow,1,COLUMN()))),ovrHeaderRow,0))</f>
        <v>3.1</v>
      </c>
      <c r="BT36" s="12">
        <f>INDEX(ovrTable,MATCH(INDEX(oppCol24,ROW()),ovrTeamCol,0),MATCH(MID(INDEX(headerRow,1,COLUMN()),4,LEN(INDEX(headerRow,1,COLUMN()))),ovrHeaderRow,0))</f>
        <v>45.5</v>
      </c>
      <c r="BU36" s="12">
        <f>INDEX(ovrTable,MATCH(INDEX(oppCol24,ROW()),ovrTeamCol,0),MATCH(MID(INDEX(headerRow,1,COLUMN()),4,LEN(INDEX(headerRow,1,COLUMN()))),ovrHeaderRow,0))</f>
        <v>23.71</v>
      </c>
      <c r="BV36" s="12">
        <f>INDEX(ovrTable,MATCH(INDEX(oppCol24,ROW()),ovrTeamCol,0),MATCH(MID(INDEX(headerRow,1,COLUMN()),4,LEN(INDEX(headerRow,1,COLUMN()))),ovrHeaderRow,0))</f>
        <v>0.55800000000000005</v>
      </c>
      <c r="BW36" s="12">
        <f>INDEX(ovrTable,MATCH(INDEX(oppCol24,ROW()),ovrTeamCol,0),MATCH(MID(INDEX(headerRow,1,COLUMN()),4,LEN(INDEX(headerRow,1,COLUMN()))),ovrHeaderRow,0))</f>
        <v>8.7100000000000009</v>
      </c>
      <c r="BX36" s="12">
        <f>INDEX(ovrTable,MATCH(INDEX(oppCol24,ROW()),ovrTeamCol,0),MATCH(MID(INDEX(headerRow,1,COLUMN()),4,LEN(INDEX(headerRow,1,COLUMN()))),ovrHeaderRow,0))</f>
        <v>48.3</v>
      </c>
      <c r="BY36" s="12">
        <f>INDEX(ovrTable,MATCH(INDEX(oppCol24,ROW()),ovrTeamCol,0),MATCH(MID(INDEX(headerRow,1,COLUMN()),4,LEN(INDEX(headerRow,1,COLUMN()))),ovrHeaderRow,0))</f>
        <v>16.5</v>
      </c>
      <c r="BZ36" s="12">
        <f>INDEX(ovrTable,MATCH(INDEX(oppCol24,ROW()),ovrTeamCol,0),MATCH(MID(INDEX(headerRow,1,COLUMN()),4,LEN(INDEX(headerRow,1,COLUMN()))),ovrHeaderRow,0))</f>
        <v>73.2</v>
      </c>
      <c r="CA36" s="12">
        <f>INDEX(ovrTable,MATCH(INDEX(oppCol24,ROW()),ovrTeamCol,0),MATCH(MID(INDEX(headerRow,1,COLUMN()),4,LEN(INDEX(headerRow,1,COLUMN()))),ovrHeaderRow,0))</f>
        <v>22.6</v>
      </c>
      <c r="CB36" s="12">
        <f>INDEX(ovrTable,MATCH(INDEX(oppCol24,ROW()),ovrTeamCol,0),MATCH(MID(INDEX(headerRow,1,COLUMN()),4,LEN(INDEX(headerRow,1,COLUMN()))),ovrHeaderRow,0))</f>
        <v>16.5</v>
      </c>
      <c r="CC36" s="12">
        <f>INDEX(ovrTable,MATCH(INDEX(oppCol24,ROW()),ovrTeamCol,0),MATCH(MID(INDEX(headerRow,1,COLUMN()),4,LEN(INDEX(headerRow,1,COLUMN()))),ovrHeaderRow,0))</f>
        <v>71.099999999999994</v>
      </c>
      <c r="CD36" s="12">
        <f>INDEX(ovrTable,MATCH(INDEX(oppCol24,ROW()),ovrTeamCol,0),MATCH(MID(INDEX(headerRow,1,COLUMN()),4,LEN(INDEX(headerRow,1,COLUMN()))),ovrHeaderRow,0))</f>
        <v>11.4</v>
      </c>
      <c r="CE36" s="12">
        <f>INDEX(ovrTable,MATCH(INDEX(oppCol24,ROW()),ovrTeamCol,0),MATCH(MID(INDEX(headerRow,1,COLUMN()),4,LEN(INDEX(headerRow,1,COLUMN()))),ovrHeaderRow,0))</f>
        <v>80.400000000000006</v>
      </c>
      <c r="CF36" s="12">
        <f>INDEX(ovrTable,MATCH(INDEX(oppCol24,ROW()),ovrTeamCol,0),MATCH(MID(INDEX(headerRow,1,COLUMN()),4,LEN(INDEX(headerRow,1,COLUMN()))),ovrHeaderRow,0))</f>
        <v>5.9</v>
      </c>
      <c r="CG36" s="12">
        <f>INDEX(ovrTable,MATCH(INDEX(oppCol24,ROW()),ovrTeamCol,0),MATCH(MID(INDEX(headerRow,1,COLUMN()),4,LEN(INDEX(headerRow,1,COLUMN()))),ovrHeaderRow,0))</f>
        <v>35.11</v>
      </c>
      <c r="CH36" s="12">
        <f>INDEX(ovrTable,MATCH(INDEX(oppCol24,ROW()),ovrTeamCol,0),MATCH(MID(INDEX(headerRow,1,COLUMN()),4,LEN(INDEX(headerRow,1,COLUMN()))),ovrHeaderRow,0))</f>
        <v>9.3000000000000007</v>
      </c>
      <c r="CI36" s="12">
        <f>INDEX(ovrTable,MATCH(INDEX(oppCol24,ROW()),ovrTeamCol,0),MATCH(MID(INDEX(headerRow,1,COLUMN()),4,LEN(INDEX(headerRow,1,COLUMN()))),ovrHeaderRow,0))</f>
        <v>6.7</v>
      </c>
      <c r="CJ36" s="12">
        <f>INDEX(ovrTable,MATCH(INDEX(oppCol24,ROW()),ovrTeamCol,0),MATCH(MID(INDEX(headerRow,1,COLUMN()),4,LEN(INDEX(headerRow,1,COLUMN()))),ovrHeaderRow,0))</f>
        <v>-0.2</v>
      </c>
      <c r="CK36" s="12">
        <f>INDEX(ovrTable,MATCH(INDEX(oppCol24,ROW()),ovrTeamCol,0),MATCH(MID(INDEX(headerRow,1,COLUMN()),4,LEN(INDEX(headerRow,1,COLUMN()))),ovrHeaderRow,0))</f>
        <v>11.83</v>
      </c>
      <c r="CL36" s="12">
        <f>INDEX(ovrTable,MATCH(INDEX(oppCol24,ROW()),ovrTeamCol,0),MATCH(MID(INDEX(headerRow,1,COLUMN()),4,LEN(INDEX(headerRow,1,COLUMN()))),ovrHeaderRow,0))</f>
        <v>12</v>
      </c>
      <c r="CM36" s="12">
        <f>INDEX(ovrTable,MATCH(INDEX(oppCol24,ROW()),ovrTeamCol,0),MATCH(MID(INDEX(headerRow,1,COLUMN()),4,LEN(INDEX(headerRow,1,COLUMN()))),ovrHeaderRow,0))</f>
        <v>69.5</v>
      </c>
      <c r="CN36" s="12">
        <f>INDEX(ovrTable,MATCH(INDEX(oppCol24,ROW()),ovrTeamCol,0),MATCH(MID(INDEX(headerRow,1,COLUMN()),4,LEN(INDEX(headerRow,1,COLUMN()))),ovrHeaderRow,0))</f>
        <v>19.050000000000004</v>
      </c>
      <c r="CO36" s="12">
        <f>INDEX(ovrTable,MATCH(INDEX(oppCol24,ROW()),ovrTeamCol,0),MATCH(MID(INDEX(headerRow,1,COLUMN()),4,LEN(INDEX(headerRow,1,COLUMN()))),ovrHeaderRow,0))</f>
        <v>57.246376811594217</v>
      </c>
    </row>
    <row r="37" spans="1:93" x14ac:dyDescent="0.3">
      <c r="A37" s="6" t="s">
        <v>20</v>
      </c>
      <c r="B37" s="3">
        <v>3</v>
      </c>
      <c r="C37" s="13" t="s">
        <v>30</v>
      </c>
      <c r="D37" s="14">
        <v>18</v>
      </c>
      <c r="E37" s="23">
        <v>27.777777777777779</v>
      </c>
      <c r="F37" s="24">
        <v>16</v>
      </c>
      <c r="G37" s="23">
        <v>53.333333333333336</v>
      </c>
      <c r="H37" s="24">
        <v>30</v>
      </c>
      <c r="I37" s="25">
        <v>1.4166666666666667</v>
      </c>
      <c r="J37" s="24">
        <v>17</v>
      </c>
      <c r="K37" s="24">
        <v>16</v>
      </c>
      <c r="L37" s="24">
        <v>2</v>
      </c>
      <c r="M37" s="24">
        <v>45.6</v>
      </c>
      <c r="N37" s="24">
        <v>22</v>
      </c>
      <c r="O37" s="26">
        <v>0.71936363636363643</v>
      </c>
      <c r="P37" s="24">
        <v>10</v>
      </c>
      <c r="Q37" s="24">
        <v>57.9</v>
      </c>
      <c r="R37" s="24">
        <v>15</v>
      </c>
      <c r="S37" s="23">
        <v>71.428571428571431</v>
      </c>
      <c r="T37" s="24">
        <v>14</v>
      </c>
      <c r="U37" s="24">
        <v>10</v>
      </c>
      <c r="V37" s="24">
        <v>67</v>
      </c>
      <c r="W37" s="24">
        <v>11</v>
      </c>
      <c r="X37" s="24">
        <v>92</v>
      </c>
      <c r="Y37" s="24">
        <v>9</v>
      </c>
      <c r="Z37" s="24">
        <v>33</v>
      </c>
      <c r="AA37" s="24">
        <v>25</v>
      </c>
      <c r="AB37" s="24">
        <v>6</v>
      </c>
      <c r="AC37" s="24">
        <v>-4</v>
      </c>
      <c r="AD37" s="24">
        <v>8</v>
      </c>
      <c r="AE37" s="24">
        <v>12</v>
      </c>
      <c r="AF37" s="46">
        <f t="shared" si="3"/>
        <v>64.64481865284975</v>
      </c>
      <c r="AG37" s="51">
        <f t="shared" ref="AG37" si="46">AVERAGE(AF36,AF37)</f>
        <v>63.65618125624944</v>
      </c>
      <c r="AH37" s="12">
        <f t="shared" si="39"/>
        <v>33.6</v>
      </c>
      <c r="AI37" s="12">
        <f t="shared" si="39"/>
        <v>8.6</v>
      </c>
      <c r="AJ37" s="12">
        <f t="shared" si="39"/>
        <v>38.9</v>
      </c>
      <c r="AK37" s="12">
        <f t="shared" si="39"/>
        <v>22.1</v>
      </c>
      <c r="AL37" s="12">
        <f t="shared" si="39"/>
        <v>1.22</v>
      </c>
      <c r="AM37" s="12">
        <f t="shared" si="39"/>
        <v>14.7</v>
      </c>
      <c r="AN37" s="12">
        <f t="shared" si="39"/>
        <v>19.54</v>
      </c>
      <c r="AO37" s="12">
        <f t="shared" si="39"/>
        <v>3.1</v>
      </c>
      <c r="AP37" s="12">
        <f t="shared" si="39"/>
        <v>45.5</v>
      </c>
      <c r="AQ37" s="12">
        <f t="shared" si="39"/>
        <v>23.71</v>
      </c>
      <c r="AR37" s="12">
        <f t="shared" si="40"/>
        <v>0.55800000000000005</v>
      </c>
      <c r="AS37" s="12">
        <f t="shared" si="40"/>
        <v>8.7100000000000009</v>
      </c>
      <c r="AT37" s="12">
        <f t="shared" si="40"/>
        <v>48.3</v>
      </c>
      <c r="AU37" s="12">
        <f t="shared" si="40"/>
        <v>16.5</v>
      </c>
      <c r="AV37" s="12">
        <f t="shared" si="40"/>
        <v>73.2</v>
      </c>
      <c r="AW37" s="12">
        <f t="shared" si="40"/>
        <v>22.6</v>
      </c>
      <c r="AX37" s="12">
        <f t="shared" si="40"/>
        <v>16.5</v>
      </c>
      <c r="AY37" s="12">
        <f t="shared" si="40"/>
        <v>71.099999999999994</v>
      </c>
      <c r="AZ37" s="12">
        <f t="shared" si="40"/>
        <v>11.4</v>
      </c>
      <c r="BA37" s="12">
        <f t="shared" si="40"/>
        <v>80.400000000000006</v>
      </c>
      <c r="BB37" s="12">
        <f t="shared" si="41"/>
        <v>5.9</v>
      </c>
      <c r="BC37" s="12">
        <f t="shared" si="41"/>
        <v>35.11</v>
      </c>
      <c r="BD37" s="12">
        <f t="shared" si="41"/>
        <v>9.3000000000000007</v>
      </c>
      <c r="BE37" s="12">
        <f t="shared" si="41"/>
        <v>6.7</v>
      </c>
      <c r="BF37" s="12">
        <f t="shared" si="41"/>
        <v>-0.2</v>
      </c>
      <c r="BG37" s="12">
        <f t="shared" si="41"/>
        <v>11.83</v>
      </c>
      <c r="BH37" s="12">
        <f t="shared" si="41"/>
        <v>12</v>
      </c>
      <c r="BI37" s="12">
        <f t="shared" si="41"/>
        <v>69.5</v>
      </c>
      <c r="BJ37" s="12">
        <f t="shared" si="41"/>
        <v>19.050000000000004</v>
      </c>
      <c r="BK37" s="12">
        <f t="shared" si="41"/>
        <v>57.246376811594217</v>
      </c>
      <c r="BL37" s="12">
        <f>INDEX(ovrTable,MATCH(INDEX(oppCol24,ROW()),ovrTeamCol,0),MATCH(MID(INDEX(headerRow,1,COLUMN()),4,LEN(INDEX(headerRow,1,COLUMN()))),ovrHeaderRow,0))</f>
        <v>30.7</v>
      </c>
      <c r="BM37" s="12">
        <f>INDEX(ovrTable,MATCH(INDEX(oppCol24,ROW()),ovrTeamCol,0),MATCH(MID(INDEX(headerRow,1,COLUMN()),4,LEN(INDEX(headerRow,1,COLUMN()))),ovrHeaderRow,0))</f>
        <v>7.8</v>
      </c>
      <c r="BN37" s="12">
        <f>INDEX(ovrTable,MATCH(INDEX(oppCol24,ROW()),ovrTeamCol,0),MATCH(MID(INDEX(headerRow,1,COLUMN()),4,LEN(INDEX(headerRow,1,COLUMN()))),ovrHeaderRow,0))</f>
        <v>35.9</v>
      </c>
      <c r="BO37" s="12">
        <f>INDEX(ovrTable,MATCH(INDEX(oppCol24,ROW()),ovrTeamCol,0),MATCH(MID(INDEX(headerRow,1,COLUMN()),4,LEN(INDEX(headerRow,1,COLUMN()))),ovrHeaderRow,0))</f>
        <v>21.6</v>
      </c>
      <c r="BP37" s="12">
        <f>INDEX(ovrTable,MATCH(INDEX(oppCol24,ROW()),ovrTeamCol,0),MATCH(MID(INDEX(headerRow,1,COLUMN()),4,LEN(INDEX(headerRow,1,COLUMN()))),ovrHeaderRow,0))</f>
        <v>1.43</v>
      </c>
      <c r="BQ37" s="12">
        <f>INDEX(ovrTable,MATCH(INDEX(oppCol24,ROW()),ovrTeamCol,0),MATCH(MID(INDEX(headerRow,1,COLUMN()),4,LEN(INDEX(headerRow,1,COLUMN()))),ovrHeaderRow,0))</f>
        <v>15</v>
      </c>
      <c r="BR37" s="12">
        <f>INDEX(ovrTable,MATCH(INDEX(oppCol24,ROW()),ovrTeamCol,0),MATCH(MID(INDEX(headerRow,1,COLUMN()),4,LEN(INDEX(headerRow,1,COLUMN()))),ovrHeaderRow,0))</f>
        <v>24.49</v>
      </c>
      <c r="BS37" s="12">
        <f>INDEX(ovrTable,MATCH(INDEX(oppCol24,ROW()),ovrTeamCol,0),MATCH(MID(INDEX(headerRow,1,COLUMN()),4,LEN(INDEX(headerRow,1,COLUMN()))),ovrHeaderRow,0))</f>
        <v>3.5</v>
      </c>
      <c r="BT37" s="12">
        <f>INDEX(ovrTable,MATCH(INDEX(oppCol24,ROW()),ovrTeamCol,0),MATCH(MID(INDEX(headerRow,1,COLUMN()),4,LEN(INDEX(headerRow,1,COLUMN()))),ovrHeaderRow,0))</f>
        <v>41.3</v>
      </c>
      <c r="BU37" s="12">
        <f>INDEX(ovrTable,MATCH(INDEX(oppCol24,ROW()),ovrTeamCol,0),MATCH(MID(INDEX(headerRow,1,COLUMN()),4,LEN(INDEX(headerRow,1,COLUMN()))),ovrHeaderRow,0))</f>
        <v>27.4</v>
      </c>
      <c r="BV37" s="12">
        <f>INDEX(ovrTable,MATCH(INDEX(oppCol24,ROW()),ovrTeamCol,0),MATCH(MID(INDEX(headerRow,1,COLUMN()),4,LEN(INDEX(headerRow,1,COLUMN()))),ovrHeaderRow,0))</f>
        <v>0.53800000000000003</v>
      </c>
      <c r="BW37" s="12">
        <f>INDEX(ovrTable,MATCH(INDEX(oppCol24,ROW()),ovrTeamCol,0),MATCH(MID(INDEX(headerRow,1,COLUMN()),4,LEN(INDEX(headerRow,1,COLUMN()))),ovrHeaderRow,0))</f>
        <v>8.91</v>
      </c>
      <c r="BX37" s="12">
        <f>INDEX(ovrTable,MATCH(INDEX(oppCol24,ROW()),ovrTeamCol,0),MATCH(MID(INDEX(headerRow,1,COLUMN()),4,LEN(INDEX(headerRow,1,COLUMN()))),ovrHeaderRow,0))</f>
        <v>46.9</v>
      </c>
      <c r="BY37" s="12">
        <f>INDEX(ovrTable,MATCH(INDEX(oppCol24,ROW()),ovrTeamCol,0),MATCH(MID(INDEX(headerRow,1,COLUMN()),4,LEN(INDEX(headerRow,1,COLUMN()))),ovrHeaderRow,0))</f>
        <v>13.4</v>
      </c>
      <c r="BZ37" s="12">
        <f>INDEX(ovrTable,MATCH(INDEX(oppCol24,ROW()),ovrTeamCol,0),MATCH(MID(INDEX(headerRow,1,COLUMN()),4,LEN(INDEX(headerRow,1,COLUMN()))),ovrHeaderRow,0))</f>
        <v>68.099999999999994</v>
      </c>
      <c r="CA37" s="12">
        <f>INDEX(ovrTable,MATCH(INDEX(oppCol24,ROW()),ovrTeamCol,0),MATCH(MID(INDEX(headerRow,1,COLUMN()),4,LEN(INDEX(headerRow,1,COLUMN()))),ovrHeaderRow,0))</f>
        <v>15.4</v>
      </c>
      <c r="CB37" s="12">
        <f>INDEX(ovrTable,MATCH(INDEX(oppCol24,ROW()),ovrTeamCol,0),MATCH(MID(INDEX(headerRow,1,COLUMN()),4,LEN(INDEX(headerRow,1,COLUMN()))),ovrHeaderRow,0))</f>
        <v>10.5</v>
      </c>
      <c r="CC37" s="12">
        <f>INDEX(ovrTable,MATCH(INDEX(oppCol24,ROW()),ovrTeamCol,0),MATCH(MID(INDEX(headerRow,1,COLUMN()),4,LEN(INDEX(headerRow,1,COLUMN()))),ovrHeaderRow,0))</f>
        <v>64.099999999999994</v>
      </c>
      <c r="CD37" s="12">
        <f>INDEX(ovrTable,MATCH(INDEX(oppCol24,ROW()),ovrTeamCol,0),MATCH(MID(INDEX(headerRow,1,COLUMN()),4,LEN(INDEX(headerRow,1,COLUMN()))),ovrHeaderRow,0))</f>
        <v>8.17</v>
      </c>
      <c r="CE37" s="12">
        <f>INDEX(ovrTable,MATCH(INDEX(oppCol24,ROW()),ovrTeamCol,0),MATCH(MID(INDEX(headerRow,1,COLUMN()),4,LEN(INDEX(headerRow,1,COLUMN()))),ovrHeaderRow,0))</f>
        <v>71.400000000000006</v>
      </c>
      <c r="CF37" s="12">
        <f>INDEX(ovrTable,MATCH(INDEX(oppCol24,ROW()),ovrTeamCol,0),MATCH(MID(INDEX(headerRow,1,COLUMN()),4,LEN(INDEX(headerRow,1,COLUMN()))),ovrHeaderRow,0))</f>
        <v>2.5</v>
      </c>
      <c r="CG37" s="12">
        <f>INDEX(ovrTable,MATCH(INDEX(oppCol24,ROW()),ovrTeamCol,0),MATCH(MID(INDEX(headerRow,1,COLUMN()),4,LEN(INDEX(headerRow,1,COLUMN()))),ovrHeaderRow,0))</f>
        <v>35.57</v>
      </c>
      <c r="CH37" s="12">
        <f>INDEX(ovrTable,MATCH(INDEX(oppCol24,ROW()),ovrTeamCol,0),MATCH(MID(INDEX(headerRow,1,COLUMN()),4,LEN(INDEX(headerRow,1,COLUMN()))),ovrHeaderRow,0))</f>
        <v>7.3</v>
      </c>
      <c r="CI37" s="12">
        <f>INDEX(ovrTable,MATCH(INDEX(oppCol24,ROW()),ovrTeamCol,0),MATCH(MID(INDEX(headerRow,1,COLUMN()),4,LEN(INDEX(headerRow,1,COLUMN()))),ovrHeaderRow,0))</f>
        <v>6.5</v>
      </c>
      <c r="CJ37" s="12">
        <f>INDEX(ovrTable,MATCH(INDEX(oppCol24,ROW()),ovrTeamCol,0),MATCH(MID(INDEX(headerRow,1,COLUMN()),4,LEN(INDEX(headerRow,1,COLUMN()))),ovrHeaderRow,0))</f>
        <v>0.7</v>
      </c>
      <c r="CK37" s="12">
        <f>INDEX(ovrTable,MATCH(INDEX(oppCol24,ROW()),ovrTeamCol,0),MATCH(MID(INDEX(headerRow,1,COLUMN()),4,LEN(INDEX(headerRow,1,COLUMN()))),ovrHeaderRow,0))</f>
        <v>11.23</v>
      </c>
      <c r="CL37" s="12">
        <f>INDEX(ovrTable,MATCH(INDEX(oppCol24,ROW()),ovrTeamCol,0),MATCH(MID(INDEX(headerRow,1,COLUMN()),4,LEN(INDEX(headerRow,1,COLUMN()))),ovrHeaderRow,0))</f>
        <v>10.5</v>
      </c>
      <c r="CM37" s="12">
        <f>INDEX(ovrTable,MATCH(INDEX(oppCol24,ROW()),ovrTeamCol,0),MATCH(MID(INDEX(headerRow,1,COLUMN()),4,LEN(INDEX(headerRow,1,COLUMN()))),ovrHeaderRow,0))</f>
        <v>67.3</v>
      </c>
      <c r="CN37" s="12">
        <f>INDEX(ovrTable,MATCH(INDEX(oppCol24,ROW()),ovrTeamCol,0),MATCH(MID(INDEX(headerRow,1,COLUMN()),4,LEN(INDEX(headerRow,1,COLUMN()))),ovrHeaderRow,0))</f>
        <v>18.750000000000004</v>
      </c>
      <c r="CO37" s="12">
        <f>INDEX(ovrTable,MATCH(INDEX(oppCol24,ROW()),ovrTeamCol,0),MATCH(MID(INDEX(headerRow,1,COLUMN()),4,LEN(INDEX(headerRow,1,COLUMN()))),ovrHeaderRow,0))</f>
        <v>56.609808102345426</v>
      </c>
    </row>
    <row r="38" spans="1:93" x14ac:dyDescent="0.3">
      <c r="A38" s="6" t="s">
        <v>26</v>
      </c>
      <c r="B38" s="3">
        <v>10</v>
      </c>
      <c r="C38" s="13" t="s">
        <v>24</v>
      </c>
      <c r="D38" s="14">
        <v>19</v>
      </c>
      <c r="E38" s="23">
        <v>42.105263157894733</v>
      </c>
      <c r="F38" s="24">
        <v>7</v>
      </c>
      <c r="G38" s="23">
        <v>31.818181818181817</v>
      </c>
      <c r="H38" s="24">
        <v>22</v>
      </c>
      <c r="I38" s="25">
        <v>1.0833333333333333</v>
      </c>
      <c r="J38" s="24">
        <v>13</v>
      </c>
      <c r="K38" s="24">
        <v>4</v>
      </c>
      <c r="L38" s="24">
        <v>2</v>
      </c>
      <c r="M38" s="24">
        <v>45.7</v>
      </c>
      <c r="N38" s="24">
        <v>22</v>
      </c>
      <c r="O38" s="26">
        <v>0.49134000000000005</v>
      </c>
      <c r="P38" s="24">
        <v>8</v>
      </c>
      <c r="Q38" s="24">
        <v>43.1</v>
      </c>
      <c r="R38" s="24">
        <v>14</v>
      </c>
      <c r="S38" s="23">
        <v>50</v>
      </c>
      <c r="T38" s="24">
        <v>6</v>
      </c>
      <c r="U38" s="24">
        <v>3</v>
      </c>
      <c r="V38" s="24">
        <v>63</v>
      </c>
      <c r="W38" s="24">
        <v>8</v>
      </c>
      <c r="X38" s="24">
        <v>60</v>
      </c>
      <c r="Y38" s="24">
        <v>0</v>
      </c>
      <c r="Z38" s="24">
        <v>30</v>
      </c>
      <c r="AA38" s="24">
        <v>-3</v>
      </c>
      <c r="AB38" s="24">
        <v>8</v>
      </c>
      <c r="AC38" s="24">
        <v>0</v>
      </c>
      <c r="AD38" s="24">
        <v>12</v>
      </c>
      <c r="AE38" s="24">
        <v>12</v>
      </c>
      <c r="AF38" s="46">
        <f t="shared" si="3"/>
        <v>64.854640371229692</v>
      </c>
      <c r="AG38" s="51">
        <f t="shared" ref="AG38" si="47">AVERAGE(AF38,AF39)</f>
        <v>63.465750163733006</v>
      </c>
      <c r="AH38" s="12">
        <f t="shared" si="39"/>
        <v>32.1</v>
      </c>
      <c r="AI38" s="12">
        <f t="shared" si="39"/>
        <v>6.7</v>
      </c>
      <c r="AJ38" s="12">
        <f t="shared" si="39"/>
        <v>36.299999999999997</v>
      </c>
      <c r="AK38" s="12">
        <f t="shared" si="39"/>
        <v>18.399999999999999</v>
      </c>
      <c r="AL38" s="12">
        <f t="shared" si="39"/>
        <v>1.49</v>
      </c>
      <c r="AM38" s="12">
        <f t="shared" si="39"/>
        <v>15</v>
      </c>
      <c r="AN38" s="12">
        <f t="shared" si="39"/>
        <v>16.59</v>
      </c>
      <c r="AO38" s="12">
        <f t="shared" si="39"/>
        <v>3.6</v>
      </c>
      <c r="AP38" s="12">
        <f t="shared" si="39"/>
        <v>41.8</v>
      </c>
      <c r="AQ38" s="12">
        <f t="shared" si="39"/>
        <v>25.44</v>
      </c>
      <c r="AR38" s="12">
        <f t="shared" si="40"/>
        <v>0.53500000000000003</v>
      </c>
      <c r="AS38" s="12">
        <f t="shared" si="40"/>
        <v>7.74</v>
      </c>
      <c r="AT38" s="12">
        <f t="shared" si="40"/>
        <v>47.4</v>
      </c>
      <c r="AU38" s="12">
        <f t="shared" si="40"/>
        <v>17.600000000000001</v>
      </c>
      <c r="AV38" s="12">
        <f t="shared" si="40"/>
        <v>72</v>
      </c>
      <c r="AW38" s="12">
        <f t="shared" si="40"/>
        <v>24.2</v>
      </c>
      <c r="AX38" s="12">
        <f t="shared" si="40"/>
        <v>17.399999999999999</v>
      </c>
      <c r="AY38" s="12">
        <f t="shared" si="40"/>
        <v>66.900000000000006</v>
      </c>
      <c r="AZ38" s="12">
        <f t="shared" si="40"/>
        <v>8.8800000000000008</v>
      </c>
      <c r="BA38" s="12">
        <f t="shared" si="40"/>
        <v>75.900000000000006</v>
      </c>
      <c r="BB38" s="12">
        <f t="shared" si="41"/>
        <v>1.7</v>
      </c>
      <c r="BC38" s="12">
        <f t="shared" si="41"/>
        <v>34.32</v>
      </c>
      <c r="BD38" s="12">
        <f t="shared" si="41"/>
        <v>9</v>
      </c>
      <c r="BE38" s="12">
        <f t="shared" si="41"/>
        <v>6.3</v>
      </c>
      <c r="BF38" s="12">
        <f t="shared" si="41"/>
        <v>1.9</v>
      </c>
      <c r="BG38" s="12">
        <f t="shared" si="41"/>
        <v>11.91</v>
      </c>
      <c r="BH38" s="12">
        <f t="shared" si="41"/>
        <v>10.1</v>
      </c>
      <c r="BI38" s="12">
        <f t="shared" si="41"/>
        <v>68.5</v>
      </c>
      <c r="BJ38" s="12">
        <f t="shared" si="41"/>
        <v>19.200000000000003</v>
      </c>
      <c r="BK38" s="12">
        <f t="shared" si="41"/>
        <v>54.641350210970465</v>
      </c>
      <c r="BL38" s="12">
        <f>INDEX(ovrTable,MATCH(INDEX(oppCol24,ROW()),ovrTeamCol,0),MATCH(MID(INDEX(headerRow,1,COLUMN()),4,LEN(INDEX(headerRow,1,COLUMN()))),ovrHeaderRow,0))</f>
        <v>32</v>
      </c>
      <c r="BM38" s="12">
        <f>INDEX(ovrTable,MATCH(INDEX(oppCol24,ROW()),ovrTeamCol,0),MATCH(MID(INDEX(headerRow,1,COLUMN()),4,LEN(INDEX(headerRow,1,COLUMN()))),ovrHeaderRow,0))</f>
        <v>9.4</v>
      </c>
      <c r="BN38" s="12">
        <f>INDEX(ovrTable,MATCH(INDEX(oppCol24,ROW()),ovrTeamCol,0),MATCH(MID(INDEX(headerRow,1,COLUMN()),4,LEN(INDEX(headerRow,1,COLUMN()))),ovrHeaderRow,0))</f>
        <v>39.9</v>
      </c>
      <c r="BO38" s="12">
        <f>INDEX(ovrTable,MATCH(INDEX(oppCol24,ROW()),ovrTeamCol,0),MATCH(MID(INDEX(headerRow,1,COLUMN()),4,LEN(INDEX(headerRow,1,COLUMN()))),ovrHeaderRow,0))</f>
        <v>23.5</v>
      </c>
      <c r="BP38" s="12">
        <f>INDEX(ovrTable,MATCH(INDEX(oppCol24,ROW()),ovrTeamCol,0),MATCH(MID(INDEX(headerRow,1,COLUMN()),4,LEN(INDEX(headerRow,1,COLUMN()))),ovrHeaderRow,0))</f>
        <v>1.41</v>
      </c>
      <c r="BQ38" s="12">
        <f>INDEX(ovrTable,MATCH(INDEX(oppCol24,ROW()),ovrTeamCol,0),MATCH(MID(INDEX(headerRow,1,COLUMN()),4,LEN(INDEX(headerRow,1,COLUMN()))),ovrHeaderRow,0))</f>
        <v>14.6</v>
      </c>
      <c r="BR38" s="12">
        <f>INDEX(ovrTable,MATCH(INDEX(oppCol24,ROW()),ovrTeamCol,0),MATCH(MID(INDEX(headerRow,1,COLUMN()),4,LEN(INDEX(headerRow,1,COLUMN()))),ovrHeaderRow,0))</f>
        <v>15.09</v>
      </c>
      <c r="BS38" s="12">
        <f>INDEX(ovrTable,MATCH(INDEX(oppCol24,ROW()),ovrTeamCol,0),MATCH(MID(INDEX(headerRow,1,COLUMN()),4,LEN(INDEX(headerRow,1,COLUMN()))),ovrHeaderRow,0))</f>
        <v>3.9</v>
      </c>
      <c r="BT38" s="12">
        <f>INDEX(ovrTable,MATCH(INDEX(oppCol24,ROW()),ovrTeamCol,0),MATCH(MID(INDEX(headerRow,1,COLUMN()),4,LEN(INDEX(headerRow,1,COLUMN()))),ovrHeaderRow,0))</f>
        <v>41.9</v>
      </c>
      <c r="BU38" s="12">
        <f>INDEX(ovrTable,MATCH(INDEX(oppCol24,ROW()),ovrTeamCol,0),MATCH(MID(INDEX(headerRow,1,COLUMN()),4,LEN(INDEX(headerRow,1,COLUMN()))),ovrHeaderRow,0))</f>
        <v>25.52</v>
      </c>
      <c r="BV38" s="12">
        <f>INDEX(ovrTable,MATCH(INDEX(oppCol24,ROW()),ovrTeamCol,0),MATCH(MID(INDEX(headerRow,1,COLUMN()),4,LEN(INDEX(headerRow,1,COLUMN()))),ovrHeaderRow,0))</f>
        <v>0.56299999999999994</v>
      </c>
      <c r="BW38" s="12">
        <f>INDEX(ovrTable,MATCH(INDEX(oppCol24,ROW()),ovrTeamCol,0),MATCH(MID(INDEX(headerRow,1,COLUMN()),4,LEN(INDEX(headerRow,1,COLUMN()))),ovrHeaderRow,0))</f>
        <v>7.24</v>
      </c>
      <c r="BX38" s="12">
        <f>INDEX(ovrTable,MATCH(INDEX(oppCol24,ROW()),ovrTeamCol,0),MATCH(MID(INDEX(headerRow,1,COLUMN()),4,LEN(INDEX(headerRow,1,COLUMN()))),ovrHeaderRow,0))</f>
        <v>47.4</v>
      </c>
      <c r="BY38" s="12">
        <f>INDEX(ovrTable,MATCH(INDEX(oppCol24,ROW()),ovrTeamCol,0),MATCH(MID(INDEX(headerRow,1,COLUMN()),4,LEN(INDEX(headerRow,1,COLUMN()))),ovrHeaderRow,0))</f>
        <v>13.5</v>
      </c>
      <c r="BZ38" s="12">
        <f>INDEX(ovrTable,MATCH(INDEX(oppCol24,ROW()),ovrTeamCol,0),MATCH(MID(INDEX(headerRow,1,COLUMN()),4,LEN(INDEX(headerRow,1,COLUMN()))),ovrHeaderRow,0))</f>
        <v>74</v>
      </c>
      <c r="CA38" s="12">
        <f>INDEX(ovrTable,MATCH(INDEX(oppCol24,ROW()),ovrTeamCol,0),MATCH(MID(INDEX(headerRow,1,COLUMN()),4,LEN(INDEX(headerRow,1,COLUMN()))),ovrHeaderRow,0))</f>
        <v>19.5</v>
      </c>
      <c r="CB38" s="12">
        <f>INDEX(ovrTable,MATCH(INDEX(oppCol24,ROW()),ovrTeamCol,0),MATCH(MID(INDEX(headerRow,1,COLUMN()),4,LEN(INDEX(headerRow,1,COLUMN()))),ovrHeaderRow,0))</f>
        <v>14.4</v>
      </c>
      <c r="CC38" s="12">
        <f>INDEX(ovrTable,MATCH(INDEX(oppCol24,ROW()),ovrTeamCol,0),MATCH(MID(INDEX(headerRow,1,COLUMN()),4,LEN(INDEX(headerRow,1,COLUMN()))),ovrHeaderRow,0))</f>
        <v>66.5</v>
      </c>
      <c r="CD38" s="12">
        <f>INDEX(ovrTable,MATCH(INDEX(oppCol24,ROW()),ovrTeamCol,0),MATCH(MID(INDEX(headerRow,1,COLUMN()),4,LEN(INDEX(headerRow,1,COLUMN()))),ovrHeaderRow,0))</f>
        <v>8.0299999999999994</v>
      </c>
      <c r="CE38" s="12">
        <f>INDEX(ovrTable,MATCH(INDEX(oppCol24,ROW()),ovrTeamCol,0),MATCH(MID(INDEX(headerRow,1,COLUMN()),4,LEN(INDEX(headerRow,1,COLUMN()))),ovrHeaderRow,0))</f>
        <v>74.2</v>
      </c>
      <c r="CF38" s="12">
        <f>INDEX(ovrTable,MATCH(INDEX(oppCol24,ROW()),ovrTeamCol,0),MATCH(MID(INDEX(headerRow,1,COLUMN()),4,LEN(INDEX(headerRow,1,COLUMN()))),ovrHeaderRow,0))</f>
        <v>0.8</v>
      </c>
      <c r="CG38" s="12">
        <f>INDEX(ovrTable,MATCH(INDEX(oppCol24,ROW()),ovrTeamCol,0),MATCH(MID(INDEX(headerRow,1,COLUMN()),4,LEN(INDEX(headerRow,1,COLUMN()))),ovrHeaderRow,0))</f>
        <v>33.549999999999997</v>
      </c>
      <c r="CH38" s="12">
        <f>INDEX(ovrTable,MATCH(INDEX(oppCol24,ROW()),ovrTeamCol,0),MATCH(MID(INDEX(headerRow,1,COLUMN()),4,LEN(INDEX(headerRow,1,COLUMN()))),ovrHeaderRow,0))</f>
        <v>7.7</v>
      </c>
      <c r="CI38" s="12">
        <f>INDEX(ovrTable,MATCH(INDEX(oppCol24,ROW()),ovrTeamCol,0),MATCH(MID(INDEX(headerRow,1,COLUMN()),4,LEN(INDEX(headerRow,1,COLUMN()))),ovrHeaderRow,0))</f>
        <v>5.5</v>
      </c>
      <c r="CJ38" s="12">
        <f>INDEX(ovrTable,MATCH(INDEX(oppCol24,ROW()),ovrTeamCol,0),MATCH(MID(INDEX(headerRow,1,COLUMN()),4,LEN(INDEX(headerRow,1,COLUMN()))),ovrHeaderRow,0))</f>
        <v>0</v>
      </c>
      <c r="CK38" s="12">
        <f>INDEX(ovrTable,MATCH(INDEX(oppCol24,ROW()),ovrTeamCol,0),MATCH(MID(INDEX(headerRow,1,COLUMN()),4,LEN(INDEX(headerRow,1,COLUMN()))),ovrHeaderRow,0))</f>
        <v>10.36</v>
      </c>
      <c r="CL38" s="12">
        <f>INDEX(ovrTable,MATCH(INDEX(oppCol24,ROW()),ovrTeamCol,0),MATCH(MID(INDEX(headerRow,1,COLUMN()),4,LEN(INDEX(headerRow,1,COLUMN()))),ovrHeaderRow,0))</f>
        <v>10.4</v>
      </c>
      <c r="CM38" s="12">
        <f>INDEX(ovrTable,MATCH(INDEX(oppCol24,ROW()),ovrTeamCol,0),MATCH(MID(INDEX(headerRow,1,COLUMN()),4,LEN(INDEX(headerRow,1,COLUMN()))),ovrHeaderRow,0))</f>
        <v>66.5</v>
      </c>
      <c r="CN38" s="12">
        <f>INDEX(ovrTable,MATCH(INDEX(oppCol24,ROW()),ovrTeamCol,0),MATCH(MID(INDEX(headerRow,1,COLUMN()),4,LEN(INDEX(headerRow,1,COLUMN()))),ovrHeaderRow,0))</f>
        <v>15.8</v>
      </c>
      <c r="CO38" s="12">
        <f>INDEX(ovrTable,MATCH(INDEX(oppCol24,ROW()),ovrTeamCol,0),MATCH(MID(INDEX(headerRow,1,COLUMN()),4,LEN(INDEX(headerRow,1,COLUMN()))),ovrHeaderRow,0))</f>
        <v>53.16455696202533</v>
      </c>
    </row>
    <row r="39" spans="1:93" x14ac:dyDescent="0.3">
      <c r="A39" s="6" t="s">
        <v>24</v>
      </c>
      <c r="B39" s="3">
        <v>7</v>
      </c>
      <c r="C39" s="13" t="s">
        <v>26</v>
      </c>
      <c r="D39" s="14">
        <v>19</v>
      </c>
      <c r="E39" s="23">
        <v>31.818181818181817</v>
      </c>
      <c r="F39" s="24">
        <v>8</v>
      </c>
      <c r="G39" s="23">
        <v>42.105263157894733</v>
      </c>
      <c r="H39" s="24">
        <v>19</v>
      </c>
      <c r="I39" s="25">
        <v>1.3333333333333333</v>
      </c>
      <c r="J39" s="24">
        <v>16</v>
      </c>
      <c r="K39" s="24">
        <v>11</v>
      </c>
      <c r="L39" s="24">
        <v>2</v>
      </c>
      <c r="M39" s="24">
        <v>43.1</v>
      </c>
      <c r="N39" s="24">
        <v>27</v>
      </c>
      <c r="O39" s="26">
        <v>0.544047619047619</v>
      </c>
      <c r="P39" s="24">
        <v>7</v>
      </c>
      <c r="Q39" s="24">
        <v>45.7</v>
      </c>
      <c r="R39" s="24">
        <v>14</v>
      </c>
      <c r="S39" s="23">
        <v>86.666666666666671</v>
      </c>
      <c r="T39" s="24">
        <v>15</v>
      </c>
      <c r="U39" s="24">
        <v>13</v>
      </c>
      <c r="V39" s="24">
        <v>60</v>
      </c>
      <c r="W39" s="24">
        <v>3</v>
      </c>
      <c r="X39" s="24">
        <v>63</v>
      </c>
      <c r="Y39" s="24">
        <v>0</v>
      </c>
      <c r="Z39" s="24">
        <v>30</v>
      </c>
      <c r="AA39" s="24">
        <v>3</v>
      </c>
      <c r="AB39" s="24">
        <v>7</v>
      </c>
      <c r="AC39" s="24">
        <v>0</v>
      </c>
      <c r="AD39" s="24">
        <v>12</v>
      </c>
      <c r="AE39" s="24">
        <v>12</v>
      </c>
      <c r="AF39" s="46">
        <f t="shared" si="3"/>
        <v>62.076859956236319</v>
      </c>
      <c r="AG39" s="51">
        <f t="shared" ref="AG39" si="48">AVERAGE(AF38,AF39)</f>
        <v>63.465750163733006</v>
      </c>
      <c r="AH39" s="12">
        <f t="shared" si="39"/>
        <v>32</v>
      </c>
      <c r="AI39" s="12">
        <f t="shared" si="39"/>
        <v>9.4</v>
      </c>
      <c r="AJ39" s="12">
        <f t="shared" si="39"/>
        <v>39.9</v>
      </c>
      <c r="AK39" s="12">
        <f t="shared" si="39"/>
        <v>23.5</v>
      </c>
      <c r="AL39" s="12">
        <f t="shared" si="39"/>
        <v>1.41</v>
      </c>
      <c r="AM39" s="12">
        <f t="shared" si="39"/>
        <v>14.6</v>
      </c>
      <c r="AN39" s="12">
        <f t="shared" si="39"/>
        <v>15.09</v>
      </c>
      <c r="AO39" s="12">
        <f t="shared" si="39"/>
        <v>3.9</v>
      </c>
      <c r="AP39" s="12">
        <f t="shared" si="39"/>
        <v>41.9</v>
      </c>
      <c r="AQ39" s="12">
        <f t="shared" si="39"/>
        <v>25.52</v>
      </c>
      <c r="AR39" s="12">
        <f t="shared" si="40"/>
        <v>0.56299999999999994</v>
      </c>
      <c r="AS39" s="12">
        <f t="shared" si="40"/>
        <v>7.24</v>
      </c>
      <c r="AT39" s="12">
        <f t="shared" si="40"/>
        <v>47.4</v>
      </c>
      <c r="AU39" s="12">
        <f t="shared" si="40"/>
        <v>13.5</v>
      </c>
      <c r="AV39" s="12">
        <f t="shared" si="40"/>
        <v>74</v>
      </c>
      <c r="AW39" s="12">
        <f t="shared" si="40"/>
        <v>19.5</v>
      </c>
      <c r="AX39" s="12">
        <f t="shared" si="40"/>
        <v>14.4</v>
      </c>
      <c r="AY39" s="12">
        <f t="shared" si="40"/>
        <v>66.5</v>
      </c>
      <c r="AZ39" s="12">
        <f t="shared" si="40"/>
        <v>8.0299999999999994</v>
      </c>
      <c r="BA39" s="12">
        <f t="shared" si="40"/>
        <v>74.2</v>
      </c>
      <c r="BB39" s="12">
        <f t="shared" si="41"/>
        <v>0.8</v>
      </c>
      <c r="BC39" s="12">
        <f t="shared" si="41"/>
        <v>33.549999999999997</v>
      </c>
      <c r="BD39" s="12">
        <f t="shared" si="41"/>
        <v>7.7</v>
      </c>
      <c r="BE39" s="12">
        <f t="shared" si="41"/>
        <v>5.5</v>
      </c>
      <c r="BF39" s="12">
        <f t="shared" si="41"/>
        <v>0</v>
      </c>
      <c r="BG39" s="12">
        <f t="shared" si="41"/>
        <v>10.36</v>
      </c>
      <c r="BH39" s="12">
        <f t="shared" si="41"/>
        <v>10.4</v>
      </c>
      <c r="BI39" s="12">
        <f t="shared" si="41"/>
        <v>66.5</v>
      </c>
      <c r="BJ39" s="12">
        <f t="shared" si="41"/>
        <v>15.8</v>
      </c>
      <c r="BK39" s="12">
        <f t="shared" si="41"/>
        <v>53.16455696202533</v>
      </c>
      <c r="BL39" s="12">
        <f>INDEX(ovrTable,MATCH(INDEX(oppCol24,ROW()),ovrTeamCol,0),MATCH(MID(INDEX(headerRow,1,COLUMN()),4,LEN(INDEX(headerRow,1,COLUMN()))),ovrHeaderRow,0))</f>
        <v>32.1</v>
      </c>
      <c r="BM39" s="12">
        <f>INDEX(ovrTable,MATCH(INDEX(oppCol24,ROW()),ovrTeamCol,0),MATCH(MID(INDEX(headerRow,1,COLUMN()),4,LEN(INDEX(headerRow,1,COLUMN()))),ovrHeaderRow,0))</f>
        <v>6.7</v>
      </c>
      <c r="BN39" s="12">
        <f>INDEX(ovrTable,MATCH(INDEX(oppCol24,ROW()),ovrTeamCol,0),MATCH(MID(INDEX(headerRow,1,COLUMN()),4,LEN(INDEX(headerRow,1,COLUMN()))),ovrHeaderRow,0))</f>
        <v>36.299999999999997</v>
      </c>
      <c r="BO39" s="12">
        <f>INDEX(ovrTable,MATCH(INDEX(oppCol24,ROW()),ovrTeamCol,0),MATCH(MID(INDEX(headerRow,1,COLUMN()),4,LEN(INDEX(headerRow,1,COLUMN()))),ovrHeaderRow,0))</f>
        <v>18.399999999999999</v>
      </c>
      <c r="BP39" s="12">
        <f>INDEX(ovrTable,MATCH(INDEX(oppCol24,ROW()),ovrTeamCol,0),MATCH(MID(INDEX(headerRow,1,COLUMN()),4,LEN(INDEX(headerRow,1,COLUMN()))),ovrHeaderRow,0))</f>
        <v>1.49</v>
      </c>
      <c r="BQ39" s="12">
        <f>INDEX(ovrTable,MATCH(INDEX(oppCol24,ROW()),ovrTeamCol,0),MATCH(MID(INDEX(headerRow,1,COLUMN()),4,LEN(INDEX(headerRow,1,COLUMN()))),ovrHeaderRow,0))</f>
        <v>15</v>
      </c>
      <c r="BR39" s="12">
        <f>INDEX(ovrTable,MATCH(INDEX(oppCol24,ROW()),ovrTeamCol,0),MATCH(MID(INDEX(headerRow,1,COLUMN()),4,LEN(INDEX(headerRow,1,COLUMN()))),ovrHeaderRow,0))</f>
        <v>16.59</v>
      </c>
      <c r="BS39" s="12">
        <f>INDEX(ovrTable,MATCH(INDEX(oppCol24,ROW()),ovrTeamCol,0),MATCH(MID(INDEX(headerRow,1,COLUMN()),4,LEN(INDEX(headerRow,1,COLUMN()))),ovrHeaderRow,0))</f>
        <v>3.6</v>
      </c>
      <c r="BT39" s="12">
        <f>INDEX(ovrTable,MATCH(INDEX(oppCol24,ROW()),ovrTeamCol,0),MATCH(MID(INDEX(headerRow,1,COLUMN()),4,LEN(INDEX(headerRow,1,COLUMN()))),ovrHeaderRow,0))</f>
        <v>41.8</v>
      </c>
      <c r="BU39" s="12">
        <f>INDEX(ovrTable,MATCH(INDEX(oppCol24,ROW()),ovrTeamCol,0),MATCH(MID(INDEX(headerRow,1,COLUMN()),4,LEN(INDEX(headerRow,1,COLUMN()))),ovrHeaderRow,0))</f>
        <v>25.44</v>
      </c>
      <c r="BV39" s="12">
        <f>INDEX(ovrTable,MATCH(INDEX(oppCol24,ROW()),ovrTeamCol,0),MATCH(MID(INDEX(headerRow,1,COLUMN()),4,LEN(INDEX(headerRow,1,COLUMN()))),ovrHeaderRow,0))</f>
        <v>0.53500000000000003</v>
      </c>
      <c r="BW39" s="12">
        <f>INDEX(ovrTable,MATCH(INDEX(oppCol24,ROW()),ovrTeamCol,0),MATCH(MID(INDEX(headerRow,1,COLUMN()),4,LEN(INDEX(headerRow,1,COLUMN()))),ovrHeaderRow,0))</f>
        <v>7.74</v>
      </c>
      <c r="BX39" s="12">
        <f>INDEX(ovrTable,MATCH(INDEX(oppCol24,ROW()),ovrTeamCol,0),MATCH(MID(INDEX(headerRow,1,COLUMN()),4,LEN(INDEX(headerRow,1,COLUMN()))),ovrHeaderRow,0))</f>
        <v>47.4</v>
      </c>
      <c r="BY39" s="12">
        <f>INDEX(ovrTable,MATCH(INDEX(oppCol24,ROW()),ovrTeamCol,0),MATCH(MID(INDEX(headerRow,1,COLUMN()),4,LEN(INDEX(headerRow,1,COLUMN()))),ovrHeaderRow,0))</f>
        <v>17.600000000000001</v>
      </c>
      <c r="BZ39" s="12">
        <f>INDEX(ovrTable,MATCH(INDEX(oppCol24,ROW()),ovrTeamCol,0),MATCH(MID(INDEX(headerRow,1,COLUMN()),4,LEN(INDEX(headerRow,1,COLUMN()))),ovrHeaderRow,0))</f>
        <v>72</v>
      </c>
      <c r="CA39" s="12">
        <f>INDEX(ovrTable,MATCH(INDEX(oppCol24,ROW()),ovrTeamCol,0),MATCH(MID(INDEX(headerRow,1,COLUMN()),4,LEN(INDEX(headerRow,1,COLUMN()))),ovrHeaderRow,0))</f>
        <v>24.2</v>
      </c>
      <c r="CB39" s="12">
        <f>INDEX(ovrTable,MATCH(INDEX(oppCol24,ROW()),ovrTeamCol,0),MATCH(MID(INDEX(headerRow,1,COLUMN()),4,LEN(INDEX(headerRow,1,COLUMN()))),ovrHeaderRow,0))</f>
        <v>17.399999999999999</v>
      </c>
      <c r="CC39" s="12">
        <f>INDEX(ovrTable,MATCH(INDEX(oppCol24,ROW()),ovrTeamCol,0),MATCH(MID(INDEX(headerRow,1,COLUMN()),4,LEN(INDEX(headerRow,1,COLUMN()))),ovrHeaderRow,0))</f>
        <v>66.900000000000006</v>
      </c>
      <c r="CD39" s="12">
        <f>INDEX(ovrTable,MATCH(INDEX(oppCol24,ROW()),ovrTeamCol,0),MATCH(MID(INDEX(headerRow,1,COLUMN()),4,LEN(INDEX(headerRow,1,COLUMN()))),ovrHeaderRow,0))</f>
        <v>8.8800000000000008</v>
      </c>
      <c r="CE39" s="12">
        <f>INDEX(ovrTable,MATCH(INDEX(oppCol24,ROW()),ovrTeamCol,0),MATCH(MID(INDEX(headerRow,1,COLUMN()),4,LEN(INDEX(headerRow,1,COLUMN()))),ovrHeaderRow,0))</f>
        <v>75.900000000000006</v>
      </c>
      <c r="CF39" s="12">
        <f>INDEX(ovrTable,MATCH(INDEX(oppCol24,ROW()),ovrTeamCol,0),MATCH(MID(INDEX(headerRow,1,COLUMN()),4,LEN(INDEX(headerRow,1,COLUMN()))),ovrHeaderRow,0))</f>
        <v>1.7</v>
      </c>
      <c r="CG39" s="12">
        <f>INDEX(ovrTable,MATCH(INDEX(oppCol24,ROW()),ovrTeamCol,0),MATCH(MID(INDEX(headerRow,1,COLUMN()),4,LEN(INDEX(headerRow,1,COLUMN()))),ovrHeaderRow,0))</f>
        <v>34.32</v>
      </c>
      <c r="CH39" s="12">
        <f>INDEX(ovrTable,MATCH(INDEX(oppCol24,ROW()),ovrTeamCol,0),MATCH(MID(INDEX(headerRow,1,COLUMN()),4,LEN(INDEX(headerRow,1,COLUMN()))),ovrHeaderRow,0))</f>
        <v>9</v>
      </c>
      <c r="CI39" s="12">
        <f>INDEX(ovrTable,MATCH(INDEX(oppCol24,ROW()),ovrTeamCol,0),MATCH(MID(INDEX(headerRow,1,COLUMN()),4,LEN(INDEX(headerRow,1,COLUMN()))),ovrHeaderRow,0))</f>
        <v>6.3</v>
      </c>
      <c r="CJ39" s="12">
        <f>INDEX(ovrTable,MATCH(INDEX(oppCol24,ROW()),ovrTeamCol,0),MATCH(MID(INDEX(headerRow,1,COLUMN()),4,LEN(INDEX(headerRow,1,COLUMN()))),ovrHeaderRow,0))</f>
        <v>1.9</v>
      </c>
      <c r="CK39" s="12">
        <f>INDEX(ovrTable,MATCH(INDEX(oppCol24,ROW()),ovrTeamCol,0),MATCH(MID(INDEX(headerRow,1,COLUMN()),4,LEN(INDEX(headerRow,1,COLUMN()))),ovrHeaderRow,0))</f>
        <v>11.91</v>
      </c>
      <c r="CL39" s="12">
        <f>INDEX(ovrTable,MATCH(INDEX(oppCol24,ROW()),ovrTeamCol,0),MATCH(MID(INDEX(headerRow,1,COLUMN()),4,LEN(INDEX(headerRow,1,COLUMN()))),ovrHeaderRow,0))</f>
        <v>10.1</v>
      </c>
      <c r="CM39" s="12">
        <f>INDEX(ovrTable,MATCH(INDEX(oppCol24,ROW()),ovrTeamCol,0),MATCH(MID(INDEX(headerRow,1,COLUMN()),4,LEN(INDEX(headerRow,1,COLUMN()))),ovrHeaderRow,0))</f>
        <v>68.5</v>
      </c>
      <c r="CN39" s="12">
        <f>INDEX(ovrTable,MATCH(INDEX(oppCol24,ROW()),ovrTeamCol,0),MATCH(MID(INDEX(headerRow,1,COLUMN()),4,LEN(INDEX(headerRow,1,COLUMN()))),ovrHeaderRow,0))</f>
        <v>19.200000000000003</v>
      </c>
      <c r="CO39" s="12">
        <f>INDEX(ovrTable,MATCH(INDEX(oppCol24,ROW()),ovrTeamCol,0),MATCH(MID(INDEX(headerRow,1,COLUMN()),4,LEN(INDEX(headerRow,1,COLUMN()))),ovrHeaderRow,0))</f>
        <v>54.641350210970465</v>
      </c>
    </row>
    <row r="40" spans="1:93" x14ac:dyDescent="0.3">
      <c r="A40" s="6" t="s">
        <v>31</v>
      </c>
      <c r="B40" s="3">
        <v>15</v>
      </c>
      <c r="C40" s="13" t="s">
        <v>19</v>
      </c>
      <c r="D40" s="14">
        <v>20</v>
      </c>
      <c r="E40" s="23">
        <v>37.142857142857146</v>
      </c>
      <c r="F40" s="24">
        <v>3</v>
      </c>
      <c r="G40" s="23">
        <v>17.647058823529413</v>
      </c>
      <c r="H40" s="24">
        <v>17</v>
      </c>
      <c r="I40" s="25">
        <v>0.84615384615384615</v>
      </c>
      <c r="J40" s="24">
        <v>11</v>
      </c>
      <c r="K40" s="24">
        <v>27</v>
      </c>
      <c r="L40" s="24">
        <v>3</v>
      </c>
      <c r="M40" s="24">
        <v>41.7</v>
      </c>
      <c r="N40" s="24">
        <v>33</v>
      </c>
      <c r="O40" s="26">
        <v>0.35381250000000003</v>
      </c>
      <c r="P40" s="24">
        <v>14</v>
      </c>
      <c r="Q40" s="24">
        <v>33.299999999999997</v>
      </c>
      <c r="R40" s="24">
        <v>14</v>
      </c>
      <c r="S40" s="23">
        <v>63.636363636363633</v>
      </c>
      <c r="T40" s="24">
        <v>22</v>
      </c>
      <c r="U40" s="24">
        <v>14</v>
      </c>
      <c r="V40" s="24">
        <v>85</v>
      </c>
      <c r="W40" s="24">
        <v>17</v>
      </c>
      <c r="X40" s="24">
        <v>65</v>
      </c>
      <c r="Y40" s="24">
        <v>3</v>
      </c>
      <c r="Z40" s="24">
        <v>50</v>
      </c>
      <c r="AA40" s="24">
        <v>-20</v>
      </c>
      <c r="AB40" s="24">
        <v>6</v>
      </c>
      <c r="AC40" s="24">
        <v>-4</v>
      </c>
      <c r="AD40" s="24">
        <v>9</v>
      </c>
      <c r="AE40" s="24">
        <v>13</v>
      </c>
      <c r="AF40" s="46">
        <f t="shared" si="3"/>
        <v>78.522072072072078</v>
      </c>
      <c r="AG40" s="51">
        <f t="shared" ref="AG40" si="49">AVERAGE(AF40,AF41)</f>
        <v>78.269759057618771</v>
      </c>
      <c r="AH40" s="12">
        <f t="shared" si="39"/>
        <v>34.6</v>
      </c>
      <c r="AI40" s="12">
        <f t="shared" si="39"/>
        <v>5.4</v>
      </c>
      <c r="AJ40" s="12">
        <f t="shared" si="39"/>
        <v>30.5</v>
      </c>
      <c r="AK40" s="12">
        <f t="shared" si="39"/>
        <v>17.7</v>
      </c>
      <c r="AL40" s="12">
        <f t="shared" si="39"/>
        <v>1.21</v>
      </c>
      <c r="AM40" s="12">
        <f t="shared" si="39"/>
        <v>15.3</v>
      </c>
      <c r="AN40" s="12">
        <f t="shared" si="39"/>
        <v>21.31</v>
      </c>
      <c r="AO40" s="12">
        <f t="shared" si="39"/>
        <v>4.2</v>
      </c>
      <c r="AP40" s="12">
        <f t="shared" si="39"/>
        <v>43.1</v>
      </c>
      <c r="AQ40" s="12">
        <f t="shared" si="39"/>
        <v>26.36</v>
      </c>
      <c r="AR40" s="12">
        <f t="shared" si="40"/>
        <v>0.48699999999999999</v>
      </c>
      <c r="AS40" s="12">
        <f t="shared" si="40"/>
        <v>13.03</v>
      </c>
      <c r="AT40" s="12">
        <f t="shared" si="40"/>
        <v>44.4</v>
      </c>
      <c r="AU40" s="12">
        <f t="shared" si="40"/>
        <v>17.2</v>
      </c>
      <c r="AV40" s="12">
        <f t="shared" si="40"/>
        <v>70.900000000000006</v>
      </c>
      <c r="AW40" s="12">
        <f t="shared" si="40"/>
        <v>23.8</v>
      </c>
      <c r="AX40" s="12">
        <f t="shared" si="40"/>
        <v>16.8</v>
      </c>
      <c r="AY40" s="12">
        <f t="shared" si="40"/>
        <v>76</v>
      </c>
      <c r="AZ40" s="12">
        <f t="shared" si="40"/>
        <v>12.5</v>
      </c>
      <c r="BA40" s="12">
        <f t="shared" si="40"/>
        <v>77.400000000000006</v>
      </c>
      <c r="BB40" s="12">
        <f t="shared" si="41"/>
        <v>3.1</v>
      </c>
      <c r="BC40" s="12">
        <f t="shared" si="41"/>
        <v>38.86</v>
      </c>
      <c r="BD40" s="12">
        <f t="shared" si="41"/>
        <v>1.4</v>
      </c>
      <c r="BE40" s="12">
        <f t="shared" si="41"/>
        <v>7.9</v>
      </c>
      <c r="BF40" s="12">
        <f t="shared" si="41"/>
        <v>1</v>
      </c>
      <c r="BG40" s="12">
        <f t="shared" si="41"/>
        <v>13.64</v>
      </c>
      <c r="BH40" s="12">
        <f t="shared" si="41"/>
        <v>12.6</v>
      </c>
      <c r="BI40" s="12">
        <f t="shared" si="41"/>
        <v>74.599999999999994</v>
      </c>
      <c r="BJ40" s="12">
        <f t="shared" si="41"/>
        <v>22.200000000000003</v>
      </c>
      <c r="BK40" s="12">
        <f t="shared" si="41"/>
        <v>62.162162162162161</v>
      </c>
      <c r="BL40" s="12">
        <f>INDEX(ovrTable,MATCH(INDEX(oppCol24,ROW()),ovrTeamCol,0),MATCH(MID(INDEX(headerRow,1,COLUMN()),4,LEN(INDEX(headerRow,1,COLUMN()))),ovrHeaderRow,0))</f>
        <v>32.9</v>
      </c>
      <c r="BM40" s="12">
        <f>INDEX(ovrTable,MATCH(INDEX(oppCol24,ROW()),ovrTeamCol,0),MATCH(MID(INDEX(headerRow,1,COLUMN()),4,LEN(INDEX(headerRow,1,COLUMN()))),ovrHeaderRow,0))</f>
        <v>7.9</v>
      </c>
      <c r="BN40" s="12">
        <f>INDEX(ovrTable,MATCH(INDEX(oppCol24,ROW()),ovrTeamCol,0),MATCH(MID(INDEX(headerRow,1,COLUMN()),4,LEN(INDEX(headerRow,1,COLUMN()))),ovrHeaderRow,0))</f>
        <v>36.6</v>
      </c>
      <c r="BO40" s="12">
        <f>INDEX(ovrTable,MATCH(INDEX(oppCol24,ROW()),ovrTeamCol,0),MATCH(MID(INDEX(headerRow,1,COLUMN()),4,LEN(INDEX(headerRow,1,COLUMN()))),ovrHeaderRow,0))</f>
        <v>21.6</v>
      </c>
      <c r="BP40" s="12">
        <f>INDEX(ovrTable,MATCH(INDEX(oppCol24,ROW()),ovrTeamCol,0),MATCH(MID(INDEX(headerRow,1,COLUMN()),4,LEN(INDEX(headerRow,1,COLUMN()))),ovrHeaderRow,0))</f>
        <v>1.55</v>
      </c>
      <c r="BQ40" s="12">
        <f>INDEX(ovrTable,MATCH(INDEX(oppCol24,ROW()),ovrTeamCol,0),MATCH(MID(INDEX(headerRow,1,COLUMN()),4,LEN(INDEX(headerRow,1,COLUMN()))),ovrHeaderRow,0))</f>
        <v>18.5</v>
      </c>
      <c r="BR40" s="12">
        <f>INDEX(ovrTable,MATCH(INDEX(oppCol24,ROW()),ovrTeamCol,0),MATCH(MID(INDEX(headerRow,1,COLUMN()),4,LEN(INDEX(headerRow,1,COLUMN()))),ovrHeaderRow,0))</f>
        <v>22.86</v>
      </c>
      <c r="BS40" s="12">
        <f>INDEX(ovrTable,MATCH(INDEX(oppCol24,ROW()),ovrTeamCol,0),MATCH(MID(INDEX(headerRow,1,COLUMN()),4,LEN(INDEX(headerRow,1,COLUMN()))),ovrHeaderRow,0))</f>
        <v>3.7</v>
      </c>
      <c r="BT40" s="12">
        <f>INDEX(ovrTable,MATCH(INDEX(oppCol24,ROW()),ovrTeamCol,0),MATCH(MID(INDEX(headerRow,1,COLUMN()),4,LEN(INDEX(headerRow,1,COLUMN()))),ovrHeaderRow,0))</f>
        <v>42.1</v>
      </c>
      <c r="BU40" s="12">
        <f>INDEX(ovrTable,MATCH(INDEX(oppCol24,ROW()),ovrTeamCol,0),MATCH(MID(INDEX(headerRow,1,COLUMN()),4,LEN(INDEX(headerRow,1,COLUMN()))),ovrHeaderRow,0))</f>
        <v>29.5</v>
      </c>
      <c r="BV40" s="12">
        <f>INDEX(ovrTable,MATCH(INDEX(oppCol24,ROW()),ovrTeamCol,0),MATCH(MID(INDEX(headerRow,1,COLUMN()),4,LEN(INDEX(headerRow,1,COLUMN()))),ovrHeaderRow,0))</f>
        <v>0.54500000000000004</v>
      </c>
      <c r="BW40" s="12">
        <f>INDEX(ovrTable,MATCH(INDEX(oppCol24,ROW()),ovrTeamCol,0),MATCH(MID(INDEX(headerRow,1,COLUMN()),4,LEN(INDEX(headerRow,1,COLUMN()))),ovrHeaderRow,0))</f>
        <v>16.440000000000001</v>
      </c>
      <c r="BX40" s="12">
        <f>INDEX(ovrTable,MATCH(INDEX(oppCol24,ROW()),ovrTeamCol,0),MATCH(MID(INDEX(headerRow,1,COLUMN()),4,LEN(INDEX(headerRow,1,COLUMN()))),ovrHeaderRow,0))</f>
        <v>48.4</v>
      </c>
      <c r="BY40" s="12">
        <f>INDEX(ovrTable,MATCH(INDEX(oppCol24,ROW()),ovrTeamCol,0),MATCH(MID(INDEX(headerRow,1,COLUMN()),4,LEN(INDEX(headerRow,1,COLUMN()))),ovrHeaderRow,0))</f>
        <v>16.399999999999999</v>
      </c>
      <c r="BZ40" s="12">
        <f>INDEX(ovrTable,MATCH(INDEX(oppCol24,ROW()),ovrTeamCol,0),MATCH(MID(INDEX(headerRow,1,COLUMN()),4,LEN(INDEX(headerRow,1,COLUMN()))),ovrHeaderRow,0))</f>
        <v>71.7</v>
      </c>
      <c r="CA40" s="12">
        <f>INDEX(ovrTable,MATCH(INDEX(oppCol24,ROW()),ovrTeamCol,0),MATCH(MID(INDEX(headerRow,1,COLUMN()),4,LEN(INDEX(headerRow,1,COLUMN()))),ovrHeaderRow,0))</f>
        <v>23.4</v>
      </c>
      <c r="CB40" s="12">
        <f>INDEX(ovrTable,MATCH(INDEX(oppCol24,ROW()),ovrTeamCol,0),MATCH(MID(INDEX(headerRow,1,COLUMN()),4,LEN(INDEX(headerRow,1,COLUMN()))),ovrHeaderRow,0))</f>
        <v>16.8</v>
      </c>
      <c r="CC40" s="12">
        <f>INDEX(ovrTable,MATCH(INDEX(oppCol24,ROW()),ovrTeamCol,0),MATCH(MID(INDEX(headerRow,1,COLUMN()),4,LEN(INDEX(headerRow,1,COLUMN()))),ovrHeaderRow,0))</f>
        <v>72.099999999999994</v>
      </c>
      <c r="CD40" s="12">
        <f>INDEX(ovrTable,MATCH(INDEX(oppCol24,ROW()),ovrTeamCol,0),MATCH(MID(INDEX(headerRow,1,COLUMN()),4,LEN(INDEX(headerRow,1,COLUMN()))),ovrHeaderRow,0))</f>
        <v>13.08</v>
      </c>
      <c r="CE40" s="12">
        <f>INDEX(ovrTable,MATCH(INDEX(oppCol24,ROW()),ovrTeamCol,0),MATCH(MID(INDEX(headerRow,1,COLUMN()),4,LEN(INDEX(headerRow,1,COLUMN()))),ovrHeaderRow,0))</f>
        <v>87.1</v>
      </c>
      <c r="CF40" s="12">
        <f>INDEX(ovrTable,MATCH(INDEX(oppCol24,ROW()),ovrTeamCol,0),MATCH(MID(INDEX(headerRow,1,COLUMN()),4,LEN(INDEX(headerRow,1,COLUMN()))),ovrHeaderRow,0))</f>
        <v>9.9</v>
      </c>
      <c r="CG40" s="12">
        <f>INDEX(ovrTable,MATCH(INDEX(oppCol24,ROW()),ovrTeamCol,0),MATCH(MID(INDEX(headerRow,1,COLUMN()),4,LEN(INDEX(headerRow,1,COLUMN()))),ovrHeaderRow,0))</f>
        <v>42.58</v>
      </c>
      <c r="CH40" s="12">
        <f>INDEX(ovrTable,MATCH(INDEX(oppCol24,ROW()),ovrTeamCol,0),MATCH(MID(INDEX(headerRow,1,COLUMN()),4,LEN(INDEX(headerRow,1,COLUMN()))),ovrHeaderRow,0))</f>
        <v>15.1</v>
      </c>
      <c r="CI40" s="12">
        <f>INDEX(ovrTable,MATCH(INDEX(oppCol24,ROW()),ovrTeamCol,0),MATCH(MID(INDEX(headerRow,1,COLUMN()),4,LEN(INDEX(headerRow,1,COLUMN()))),ovrHeaderRow,0))</f>
        <v>8.3000000000000007</v>
      </c>
      <c r="CJ40" s="12">
        <f>INDEX(ovrTable,MATCH(INDEX(oppCol24,ROW()),ovrTeamCol,0),MATCH(MID(INDEX(headerRow,1,COLUMN()),4,LEN(INDEX(headerRow,1,COLUMN()))),ovrHeaderRow,0))</f>
        <v>1.5</v>
      </c>
      <c r="CK40" s="12">
        <f>INDEX(ovrTable,MATCH(INDEX(oppCol24,ROW()),ovrTeamCol,0),MATCH(MID(INDEX(headerRow,1,COLUMN()),4,LEN(INDEX(headerRow,1,COLUMN()))),ovrHeaderRow,0))</f>
        <v>13.42</v>
      </c>
      <c r="CL40" s="12">
        <f>INDEX(ovrTable,MATCH(INDEX(oppCol24,ROW()),ovrTeamCol,0),MATCH(MID(INDEX(headerRow,1,COLUMN()),4,LEN(INDEX(headerRow,1,COLUMN()))),ovrHeaderRow,0))</f>
        <v>11.9</v>
      </c>
      <c r="CM40" s="12">
        <f>INDEX(ovrTable,MATCH(INDEX(oppCol24,ROW()),ovrTeamCol,0),MATCH(MID(INDEX(headerRow,1,COLUMN()),4,LEN(INDEX(headerRow,1,COLUMN()))),ovrHeaderRow,0))</f>
        <v>76.3</v>
      </c>
      <c r="CN40" s="12">
        <f>INDEX(ovrTable,MATCH(INDEX(oppCol24,ROW()),ovrTeamCol,0),MATCH(MID(INDEX(headerRow,1,COLUMN()),4,LEN(INDEX(headerRow,1,COLUMN()))),ovrHeaderRow,0))</f>
        <v>23.299999999999997</v>
      </c>
      <c r="CO40" s="12">
        <f>INDEX(ovrTable,MATCH(INDEX(oppCol24,ROW()),ovrTeamCol,0),MATCH(MID(INDEX(headerRow,1,COLUMN()),4,LEN(INDEX(headerRow,1,COLUMN()))),ovrHeaderRow,0))</f>
        <v>64.462809917355358</v>
      </c>
    </row>
    <row r="41" spans="1:93" x14ac:dyDescent="0.3">
      <c r="A41" s="6" t="s">
        <v>19</v>
      </c>
      <c r="B41" s="3">
        <v>2</v>
      </c>
      <c r="C41" s="13" t="s">
        <v>31</v>
      </c>
      <c r="D41" s="14">
        <v>20</v>
      </c>
      <c r="E41" s="23">
        <v>17.647058823529413</v>
      </c>
      <c r="F41" s="24">
        <v>13</v>
      </c>
      <c r="G41" s="23">
        <v>37.142857142857146</v>
      </c>
      <c r="H41" s="24">
        <v>35</v>
      </c>
      <c r="I41" s="25">
        <v>2.1111111111111112</v>
      </c>
      <c r="J41" s="24">
        <v>19</v>
      </c>
      <c r="K41" s="24">
        <v>8</v>
      </c>
      <c r="L41" s="24">
        <v>8</v>
      </c>
      <c r="M41" s="24">
        <v>33.299999999999997</v>
      </c>
      <c r="N41" s="24">
        <v>36</v>
      </c>
      <c r="O41" s="26">
        <v>0.50735000000000008</v>
      </c>
      <c r="P41" s="24">
        <v>21</v>
      </c>
      <c r="Q41" s="24">
        <v>41.7</v>
      </c>
      <c r="R41" s="24">
        <v>17</v>
      </c>
      <c r="S41" s="23">
        <v>70.588235294117652</v>
      </c>
      <c r="T41" s="24">
        <v>17</v>
      </c>
      <c r="U41" s="24">
        <v>12</v>
      </c>
      <c r="V41" s="24">
        <v>65</v>
      </c>
      <c r="W41" s="24">
        <v>11</v>
      </c>
      <c r="X41" s="24">
        <v>85</v>
      </c>
      <c r="Y41" s="24">
        <v>-3</v>
      </c>
      <c r="Z41" s="24">
        <v>47</v>
      </c>
      <c r="AA41" s="24">
        <v>20</v>
      </c>
      <c r="AB41" s="24">
        <v>10</v>
      </c>
      <c r="AC41" s="24">
        <v>4</v>
      </c>
      <c r="AD41" s="24">
        <v>13</v>
      </c>
      <c r="AE41" s="24">
        <v>9</v>
      </c>
      <c r="AF41" s="46">
        <f t="shared" si="3"/>
        <v>78.017446043165464</v>
      </c>
      <c r="AG41" s="51">
        <f t="shared" ref="AG41" si="50">AVERAGE(AF40,AF41)</f>
        <v>78.269759057618771</v>
      </c>
      <c r="AH41" s="12">
        <f t="shared" si="39"/>
        <v>32.9</v>
      </c>
      <c r="AI41" s="12">
        <f t="shared" si="39"/>
        <v>7.9</v>
      </c>
      <c r="AJ41" s="12">
        <f t="shared" si="39"/>
        <v>36.6</v>
      </c>
      <c r="AK41" s="12">
        <f t="shared" si="39"/>
        <v>21.6</v>
      </c>
      <c r="AL41" s="12">
        <f t="shared" si="39"/>
        <v>1.55</v>
      </c>
      <c r="AM41" s="12">
        <f t="shared" si="39"/>
        <v>18.5</v>
      </c>
      <c r="AN41" s="12">
        <f t="shared" si="39"/>
        <v>22.86</v>
      </c>
      <c r="AO41" s="12">
        <f t="shared" si="39"/>
        <v>3.7</v>
      </c>
      <c r="AP41" s="12">
        <f t="shared" si="39"/>
        <v>42.1</v>
      </c>
      <c r="AQ41" s="12">
        <f t="shared" si="39"/>
        <v>29.5</v>
      </c>
      <c r="AR41" s="12">
        <f t="shared" si="40"/>
        <v>0.54500000000000004</v>
      </c>
      <c r="AS41" s="12">
        <f t="shared" si="40"/>
        <v>16.440000000000001</v>
      </c>
      <c r="AT41" s="12">
        <f t="shared" si="40"/>
        <v>48.4</v>
      </c>
      <c r="AU41" s="12">
        <f t="shared" si="40"/>
        <v>16.399999999999999</v>
      </c>
      <c r="AV41" s="12">
        <f t="shared" si="40"/>
        <v>71.7</v>
      </c>
      <c r="AW41" s="12">
        <f t="shared" si="40"/>
        <v>23.4</v>
      </c>
      <c r="AX41" s="12">
        <f t="shared" si="40"/>
        <v>16.8</v>
      </c>
      <c r="AY41" s="12">
        <f t="shared" si="40"/>
        <v>72.099999999999994</v>
      </c>
      <c r="AZ41" s="12">
        <f t="shared" si="40"/>
        <v>13.08</v>
      </c>
      <c r="BA41" s="12">
        <f t="shared" si="40"/>
        <v>87.1</v>
      </c>
      <c r="BB41" s="12">
        <f t="shared" si="41"/>
        <v>9.9</v>
      </c>
      <c r="BC41" s="12">
        <f t="shared" si="41"/>
        <v>42.58</v>
      </c>
      <c r="BD41" s="12">
        <f t="shared" si="41"/>
        <v>15.1</v>
      </c>
      <c r="BE41" s="12">
        <f t="shared" si="41"/>
        <v>8.3000000000000007</v>
      </c>
      <c r="BF41" s="12">
        <f t="shared" si="41"/>
        <v>1.5</v>
      </c>
      <c r="BG41" s="12">
        <f t="shared" si="41"/>
        <v>13.42</v>
      </c>
      <c r="BH41" s="12">
        <f t="shared" si="41"/>
        <v>11.9</v>
      </c>
      <c r="BI41" s="12">
        <f t="shared" si="41"/>
        <v>76.3</v>
      </c>
      <c r="BJ41" s="12">
        <f t="shared" si="41"/>
        <v>23.299999999999997</v>
      </c>
      <c r="BK41" s="12">
        <f t="shared" si="41"/>
        <v>64.462809917355358</v>
      </c>
      <c r="BL41" s="12">
        <f>INDEX(ovrTable,MATCH(INDEX(oppCol24,ROW()),ovrTeamCol,0),MATCH(MID(INDEX(headerRow,1,COLUMN()),4,LEN(INDEX(headerRow,1,COLUMN()))),ovrHeaderRow,0))</f>
        <v>34.6</v>
      </c>
      <c r="BM41" s="12">
        <f>INDEX(ovrTable,MATCH(INDEX(oppCol24,ROW()),ovrTeamCol,0),MATCH(MID(INDEX(headerRow,1,COLUMN()),4,LEN(INDEX(headerRow,1,COLUMN()))),ovrHeaderRow,0))</f>
        <v>5.4</v>
      </c>
      <c r="BN41" s="12">
        <f>INDEX(ovrTable,MATCH(INDEX(oppCol24,ROW()),ovrTeamCol,0),MATCH(MID(INDEX(headerRow,1,COLUMN()),4,LEN(INDEX(headerRow,1,COLUMN()))),ovrHeaderRow,0))</f>
        <v>30.5</v>
      </c>
      <c r="BO41" s="12">
        <f>INDEX(ovrTable,MATCH(INDEX(oppCol24,ROW()),ovrTeamCol,0),MATCH(MID(INDEX(headerRow,1,COLUMN()),4,LEN(INDEX(headerRow,1,COLUMN()))),ovrHeaderRow,0))</f>
        <v>17.7</v>
      </c>
      <c r="BP41" s="12">
        <f>INDEX(ovrTable,MATCH(INDEX(oppCol24,ROW()),ovrTeamCol,0),MATCH(MID(INDEX(headerRow,1,COLUMN()),4,LEN(INDEX(headerRow,1,COLUMN()))),ovrHeaderRow,0))</f>
        <v>1.21</v>
      </c>
      <c r="BQ41" s="12">
        <f>INDEX(ovrTable,MATCH(INDEX(oppCol24,ROW()),ovrTeamCol,0),MATCH(MID(INDEX(headerRow,1,COLUMN()),4,LEN(INDEX(headerRow,1,COLUMN()))),ovrHeaderRow,0))</f>
        <v>15.3</v>
      </c>
      <c r="BR41" s="12">
        <f>INDEX(ovrTable,MATCH(INDEX(oppCol24,ROW()),ovrTeamCol,0),MATCH(MID(INDEX(headerRow,1,COLUMN()),4,LEN(INDEX(headerRow,1,COLUMN()))),ovrHeaderRow,0))</f>
        <v>21.31</v>
      </c>
      <c r="BS41" s="12">
        <f>INDEX(ovrTable,MATCH(INDEX(oppCol24,ROW()),ovrTeamCol,0),MATCH(MID(INDEX(headerRow,1,COLUMN()),4,LEN(INDEX(headerRow,1,COLUMN()))),ovrHeaderRow,0))</f>
        <v>4.2</v>
      </c>
      <c r="BT41" s="12">
        <f>INDEX(ovrTable,MATCH(INDEX(oppCol24,ROW()),ovrTeamCol,0),MATCH(MID(INDEX(headerRow,1,COLUMN()),4,LEN(INDEX(headerRow,1,COLUMN()))),ovrHeaderRow,0))</f>
        <v>43.1</v>
      </c>
      <c r="BU41" s="12">
        <f>INDEX(ovrTable,MATCH(INDEX(oppCol24,ROW()),ovrTeamCol,0),MATCH(MID(INDEX(headerRow,1,COLUMN()),4,LEN(INDEX(headerRow,1,COLUMN()))),ovrHeaderRow,0))</f>
        <v>26.36</v>
      </c>
      <c r="BV41" s="12">
        <f>INDEX(ovrTable,MATCH(INDEX(oppCol24,ROW()),ovrTeamCol,0),MATCH(MID(INDEX(headerRow,1,COLUMN()),4,LEN(INDEX(headerRow,1,COLUMN()))),ovrHeaderRow,0))</f>
        <v>0.48699999999999999</v>
      </c>
      <c r="BW41" s="12">
        <f>INDEX(ovrTable,MATCH(INDEX(oppCol24,ROW()),ovrTeamCol,0),MATCH(MID(INDEX(headerRow,1,COLUMN()),4,LEN(INDEX(headerRow,1,COLUMN()))),ovrHeaderRow,0))</f>
        <v>13.03</v>
      </c>
      <c r="BX41" s="12">
        <f>INDEX(ovrTable,MATCH(INDEX(oppCol24,ROW()),ovrTeamCol,0),MATCH(MID(INDEX(headerRow,1,COLUMN()),4,LEN(INDEX(headerRow,1,COLUMN()))),ovrHeaderRow,0))</f>
        <v>44.4</v>
      </c>
      <c r="BY41" s="12">
        <f>INDEX(ovrTable,MATCH(INDEX(oppCol24,ROW()),ovrTeamCol,0),MATCH(MID(INDEX(headerRow,1,COLUMN()),4,LEN(INDEX(headerRow,1,COLUMN()))),ovrHeaderRow,0))</f>
        <v>17.2</v>
      </c>
      <c r="BZ41" s="12">
        <f>INDEX(ovrTable,MATCH(INDEX(oppCol24,ROW()),ovrTeamCol,0),MATCH(MID(INDEX(headerRow,1,COLUMN()),4,LEN(INDEX(headerRow,1,COLUMN()))),ovrHeaderRow,0))</f>
        <v>70.900000000000006</v>
      </c>
      <c r="CA41" s="12">
        <f>INDEX(ovrTable,MATCH(INDEX(oppCol24,ROW()),ovrTeamCol,0),MATCH(MID(INDEX(headerRow,1,COLUMN()),4,LEN(INDEX(headerRow,1,COLUMN()))),ovrHeaderRow,0))</f>
        <v>23.8</v>
      </c>
      <c r="CB41" s="12">
        <f>INDEX(ovrTable,MATCH(INDEX(oppCol24,ROW()),ovrTeamCol,0),MATCH(MID(INDEX(headerRow,1,COLUMN()),4,LEN(INDEX(headerRow,1,COLUMN()))),ovrHeaderRow,0))</f>
        <v>16.8</v>
      </c>
      <c r="CC41" s="12">
        <f>INDEX(ovrTable,MATCH(INDEX(oppCol24,ROW()),ovrTeamCol,0),MATCH(MID(INDEX(headerRow,1,COLUMN()),4,LEN(INDEX(headerRow,1,COLUMN()))),ovrHeaderRow,0))</f>
        <v>76</v>
      </c>
      <c r="CD41" s="12">
        <f>INDEX(ovrTable,MATCH(INDEX(oppCol24,ROW()),ovrTeamCol,0),MATCH(MID(INDEX(headerRow,1,COLUMN()),4,LEN(INDEX(headerRow,1,COLUMN()))),ovrHeaderRow,0))</f>
        <v>12.5</v>
      </c>
      <c r="CE41" s="12">
        <f>INDEX(ovrTable,MATCH(INDEX(oppCol24,ROW()),ovrTeamCol,0),MATCH(MID(INDEX(headerRow,1,COLUMN()),4,LEN(INDEX(headerRow,1,COLUMN()))),ovrHeaderRow,0))</f>
        <v>77.400000000000006</v>
      </c>
      <c r="CF41" s="12">
        <f>INDEX(ovrTable,MATCH(INDEX(oppCol24,ROW()),ovrTeamCol,0),MATCH(MID(INDEX(headerRow,1,COLUMN()),4,LEN(INDEX(headerRow,1,COLUMN()))),ovrHeaderRow,0))</f>
        <v>3.1</v>
      </c>
      <c r="CG41" s="12">
        <f>INDEX(ovrTable,MATCH(INDEX(oppCol24,ROW()),ovrTeamCol,0),MATCH(MID(INDEX(headerRow,1,COLUMN()),4,LEN(INDEX(headerRow,1,COLUMN()))),ovrHeaderRow,0))</f>
        <v>38.86</v>
      </c>
      <c r="CH41" s="12">
        <f>INDEX(ovrTable,MATCH(INDEX(oppCol24,ROW()),ovrTeamCol,0),MATCH(MID(INDEX(headerRow,1,COLUMN()),4,LEN(INDEX(headerRow,1,COLUMN()))),ovrHeaderRow,0))</f>
        <v>1.4</v>
      </c>
      <c r="CI41" s="12">
        <f>INDEX(ovrTable,MATCH(INDEX(oppCol24,ROW()),ovrTeamCol,0),MATCH(MID(INDEX(headerRow,1,COLUMN()),4,LEN(INDEX(headerRow,1,COLUMN()))),ovrHeaderRow,0))</f>
        <v>7.9</v>
      </c>
      <c r="CJ41" s="12">
        <f>INDEX(ovrTable,MATCH(INDEX(oppCol24,ROW()),ovrTeamCol,0),MATCH(MID(INDEX(headerRow,1,COLUMN()),4,LEN(INDEX(headerRow,1,COLUMN()))),ovrHeaderRow,0))</f>
        <v>1</v>
      </c>
      <c r="CK41" s="12">
        <f>INDEX(ovrTable,MATCH(INDEX(oppCol24,ROW()),ovrTeamCol,0),MATCH(MID(INDEX(headerRow,1,COLUMN()),4,LEN(INDEX(headerRow,1,COLUMN()))),ovrHeaderRow,0))</f>
        <v>13.64</v>
      </c>
      <c r="CL41" s="12">
        <f>INDEX(ovrTable,MATCH(INDEX(oppCol24,ROW()),ovrTeamCol,0),MATCH(MID(INDEX(headerRow,1,COLUMN()),4,LEN(INDEX(headerRow,1,COLUMN()))),ovrHeaderRow,0))</f>
        <v>12.6</v>
      </c>
      <c r="CM41" s="12">
        <f>INDEX(ovrTable,MATCH(INDEX(oppCol24,ROW()),ovrTeamCol,0),MATCH(MID(INDEX(headerRow,1,COLUMN()),4,LEN(INDEX(headerRow,1,COLUMN()))),ovrHeaderRow,0))</f>
        <v>74.599999999999994</v>
      </c>
      <c r="CN41" s="12">
        <f>INDEX(ovrTable,MATCH(INDEX(oppCol24,ROW()),ovrTeamCol,0),MATCH(MID(INDEX(headerRow,1,COLUMN()),4,LEN(INDEX(headerRow,1,COLUMN()))),ovrHeaderRow,0))</f>
        <v>22.200000000000003</v>
      </c>
      <c r="CO41" s="12">
        <f>INDEX(ovrTable,MATCH(INDEX(oppCol24,ROW()),ovrTeamCol,0),MATCH(MID(INDEX(headerRow,1,COLUMN()),4,LEN(INDEX(headerRow,1,COLUMN()))),ovrHeaderRow,0))</f>
        <v>62.162162162162161</v>
      </c>
    </row>
    <row r="42" spans="1:93" x14ac:dyDescent="0.3">
      <c r="A42" s="6" t="s">
        <v>35</v>
      </c>
      <c r="B42" s="3">
        <v>16</v>
      </c>
      <c r="C42" s="13" t="s">
        <v>51</v>
      </c>
      <c r="D42" s="14">
        <v>21</v>
      </c>
      <c r="E42" s="23">
        <v>47.826086956521742</v>
      </c>
      <c r="F42" s="24">
        <v>3</v>
      </c>
      <c r="G42" s="23">
        <v>23.076923076923077</v>
      </c>
      <c r="H42" s="24">
        <v>13</v>
      </c>
      <c r="I42" s="25">
        <v>0.5</v>
      </c>
      <c r="J42" s="24">
        <v>9</v>
      </c>
      <c r="K42" s="24">
        <v>24</v>
      </c>
      <c r="L42" s="24">
        <v>1</v>
      </c>
      <c r="M42" s="24">
        <v>58.5</v>
      </c>
      <c r="N42" s="24">
        <v>13</v>
      </c>
      <c r="O42" s="26">
        <v>0.37753571428571431</v>
      </c>
      <c r="P42" s="24">
        <v>2</v>
      </c>
      <c r="Q42" s="24">
        <v>34.1</v>
      </c>
      <c r="R42" s="24">
        <v>16</v>
      </c>
      <c r="S42" s="23">
        <v>93.75</v>
      </c>
      <c r="T42" s="24">
        <v>16</v>
      </c>
      <c r="U42" s="24">
        <v>15</v>
      </c>
      <c r="V42" s="24">
        <v>86</v>
      </c>
      <c r="W42" s="24">
        <v>5</v>
      </c>
      <c r="X42" s="24">
        <v>46</v>
      </c>
      <c r="Y42" s="24">
        <v>-11</v>
      </c>
      <c r="Z42" s="24">
        <v>18</v>
      </c>
      <c r="AA42" s="24">
        <v>-40</v>
      </c>
      <c r="AB42" s="24">
        <v>4</v>
      </c>
      <c r="AC42" s="24">
        <v>-10</v>
      </c>
      <c r="AD42" s="24">
        <v>8</v>
      </c>
      <c r="AE42" s="24">
        <v>18</v>
      </c>
      <c r="AF42" s="46">
        <f t="shared" si="3"/>
        <v>61.655718475073314</v>
      </c>
      <c r="AG42" s="51">
        <f t="shared" ref="AG42" si="51">AVERAGE(AF42,AF43)</f>
        <v>61.548585733263153</v>
      </c>
      <c r="AH42" s="12">
        <f t="shared" ref="AH42:AQ51" si="52">INDEX(ovrTable,MATCH(INDEX(teamCol,ROW()),ovrTeamCol,0),MATCH(MID(INDEX(headerRow,1,COLUMN()),4,LEN(INDEX(headerRow,1,COLUMN()))),ovrHeaderRow,0))</f>
        <v>34.700000000000003</v>
      </c>
      <c r="AI42" s="12">
        <f t="shared" si="52"/>
        <v>5.7</v>
      </c>
      <c r="AJ42" s="12">
        <f t="shared" si="52"/>
        <v>34.1</v>
      </c>
      <c r="AK42" s="12">
        <f t="shared" si="52"/>
        <v>16.899999999999999</v>
      </c>
      <c r="AL42" s="12">
        <f t="shared" si="52"/>
        <v>1</v>
      </c>
      <c r="AM42" s="12">
        <f t="shared" si="52"/>
        <v>12.7</v>
      </c>
      <c r="AN42" s="12">
        <f t="shared" si="52"/>
        <v>26.91</v>
      </c>
      <c r="AO42" s="12">
        <f t="shared" si="52"/>
        <v>2.5</v>
      </c>
      <c r="AP42" s="12">
        <f t="shared" si="52"/>
        <v>44</v>
      </c>
      <c r="AQ42" s="12">
        <f t="shared" si="52"/>
        <v>24.94</v>
      </c>
      <c r="AR42" s="12">
        <f t="shared" ref="AR42:BA51" si="53">INDEX(ovrTable,MATCH(INDEX(teamCol,ROW()),ovrTeamCol,0),MATCH(MID(INDEX(headerRow,1,COLUMN()),4,LEN(INDEX(headerRow,1,COLUMN()))),ovrHeaderRow,0))</f>
        <v>0.502</v>
      </c>
      <c r="AS42" s="12">
        <f t="shared" si="53"/>
        <v>9.26</v>
      </c>
      <c r="AT42" s="12">
        <f t="shared" si="53"/>
        <v>45.3</v>
      </c>
      <c r="AU42" s="12">
        <f t="shared" si="53"/>
        <v>18.3</v>
      </c>
      <c r="AV42" s="12">
        <f t="shared" si="53"/>
        <v>68.7</v>
      </c>
      <c r="AW42" s="12">
        <f t="shared" si="53"/>
        <v>23</v>
      </c>
      <c r="AX42" s="12">
        <f t="shared" si="53"/>
        <v>15.8</v>
      </c>
      <c r="AY42" s="12">
        <f t="shared" si="53"/>
        <v>68.5</v>
      </c>
      <c r="AZ42" s="12">
        <f t="shared" si="53"/>
        <v>13.43</v>
      </c>
      <c r="BA42" s="12">
        <f t="shared" si="53"/>
        <v>74.7</v>
      </c>
      <c r="BB42" s="12">
        <f t="shared" ref="BB42:BK51" si="54">INDEX(ovrTable,MATCH(INDEX(teamCol,ROW()),ovrTeamCol,0),MATCH(MID(INDEX(headerRow,1,COLUMN()),4,LEN(INDEX(headerRow,1,COLUMN()))),ovrHeaderRow,0))</f>
        <v>8.6</v>
      </c>
      <c r="BC42" s="12">
        <f t="shared" si="54"/>
        <v>38.369999999999997</v>
      </c>
      <c r="BD42" s="12">
        <f t="shared" si="54"/>
        <v>6.3</v>
      </c>
      <c r="BE42" s="12">
        <f t="shared" si="54"/>
        <v>7</v>
      </c>
      <c r="BF42" s="12">
        <f t="shared" si="54"/>
        <v>0.9</v>
      </c>
      <c r="BG42" s="12">
        <f t="shared" si="54"/>
        <v>13.63</v>
      </c>
      <c r="BH42" s="12">
        <f t="shared" si="54"/>
        <v>12.7</v>
      </c>
      <c r="BI42" s="12">
        <f t="shared" si="54"/>
        <v>68.599999999999994</v>
      </c>
      <c r="BJ42" s="12">
        <f t="shared" si="54"/>
        <v>20.900000000000002</v>
      </c>
      <c r="BK42" s="12">
        <f t="shared" si="54"/>
        <v>58.719646799117001</v>
      </c>
      <c r="BL42" s="12">
        <f>INDEX(ovrTable,MATCH(INDEX(oppCol24,ROW()),ovrTeamCol,0),MATCH(MID(INDEX(headerRow,1,COLUMN()),4,LEN(INDEX(headerRow,1,COLUMN()))),ovrHeaderRow,0))</f>
        <v>30.1</v>
      </c>
      <c r="BM42" s="12">
        <f>INDEX(ovrTable,MATCH(INDEX(oppCol24,ROW()),ovrTeamCol,0),MATCH(MID(INDEX(headerRow,1,COLUMN()),4,LEN(INDEX(headerRow,1,COLUMN()))),ovrHeaderRow,0))</f>
        <v>7.7</v>
      </c>
      <c r="BN42" s="12">
        <f>INDEX(ovrTable,MATCH(INDEX(oppCol24,ROW()),ovrTeamCol,0),MATCH(MID(INDEX(headerRow,1,COLUMN()),4,LEN(INDEX(headerRow,1,COLUMN()))),ovrHeaderRow,0))</f>
        <v>34.799999999999997</v>
      </c>
      <c r="BO42" s="12">
        <f>INDEX(ovrTable,MATCH(INDEX(oppCol24,ROW()),ovrTeamCol,0),MATCH(MID(INDEX(headerRow,1,COLUMN()),4,LEN(INDEX(headerRow,1,COLUMN()))),ovrHeaderRow,0))</f>
        <v>22.2</v>
      </c>
      <c r="BP42" s="12">
        <f>INDEX(ovrTable,MATCH(INDEX(oppCol24,ROW()),ovrTeamCol,0),MATCH(MID(INDEX(headerRow,1,COLUMN()),4,LEN(INDEX(headerRow,1,COLUMN()))),ovrHeaderRow,0))</f>
        <v>1.47</v>
      </c>
      <c r="BQ42" s="12">
        <f>INDEX(ovrTable,MATCH(INDEX(oppCol24,ROW()),ovrTeamCol,0),MATCH(MID(INDEX(headerRow,1,COLUMN()),4,LEN(INDEX(headerRow,1,COLUMN()))),ovrHeaderRow,0))</f>
        <v>13.1</v>
      </c>
      <c r="BR42" s="12">
        <f>INDEX(ovrTable,MATCH(INDEX(oppCol24,ROW()),ovrTeamCol,0),MATCH(MID(INDEX(headerRow,1,COLUMN()),4,LEN(INDEX(headerRow,1,COLUMN()))),ovrHeaderRow,0))</f>
        <v>17.46</v>
      </c>
      <c r="BS42" s="12">
        <f>INDEX(ovrTable,MATCH(INDEX(oppCol24,ROW()),ovrTeamCol,0),MATCH(MID(INDEX(headerRow,1,COLUMN()),4,LEN(INDEX(headerRow,1,COLUMN()))),ovrHeaderRow,0))</f>
        <v>4.8</v>
      </c>
      <c r="BT42" s="12">
        <f>INDEX(ovrTable,MATCH(INDEX(oppCol24,ROW()),ovrTeamCol,0),MATCH(MID(INDEX(headerRow,1,COLUMN()),4,LEN(INDEX(headerRow,1,COLUMN()))),ovrHeaderRow,0))</f>
        <v>37.9</v>
      </c>
      <c r="BU42" s="12">
        <f>INDEX(ovrTable,MATCH(INDEX(oppCol24,ROW()),ovrTeamCol,0),MATCH(MID(INDEX(headerRow,1,COLUMN()),4,LEN(INDEX(headerRow,1,COLUMN()))),ovrHeaderRow,0))</f>
        <v>23.7</v>
      </c>
      <c r="BV42" s="12">
        <f>INDEX(ovrTable,MATCH(INDEX(oppCol24,ROW()),ovrTeamCol,0),MATCH(MID(INDEX(headerRow,1,COLUMN()),4,LEN(INDEX(headerRow,1,COLUMN()))),ovrHeaderRow,0))</f>
        <v>0.503</v>
      </c>
      <c r="BW42" s="12">
        <f>INDEX(ovrTable,MATCH(INDEX(oppCol24,ROW()),ovrTeamCol,0),MATCH(MID(INDEX(headerRow,1,COLUMN()),4,LEN(INDEX(headerRow,1,COLUMN()))),ovrHeaderRow,0))</f>
        <v>9.16</v>
      </c>
      <c r="BX42" s="12">
        <f>INDEX(ovrTable,MATCH(INDEX(oppCol24,ROW()),ovrTeamCol,0),MATCH(MID(INDEX(headerRow,1,COLUMN()),4,LEN(INDEX(headerRow,1,COLUMN()))),ovrHeaderRow,0))</f>
        <v>43.9</v>
      </c>
      <c r="BY42" s="12">
        <f>INDEX(ovrTable,MATCH(INDEX(oppCol24,ROW()),ovrTeamCol,0),MATCH(MID(INDEX(headerRow,1,COLUMN()),4,LEN(INDEX(headerRow,1,COLUMN()))),ovrHeaderRow,0))</f>
        <v>17.8</v>
      </c>
      <c r="BZ42" s="12">
        <f>INDEX(ovrTable,MATCH(INDEX(oppCol24,ROW()),ovrTeamCol,0),MATCH(MID(INDEX(headerRow,1,COLUMN()),4,LEN(INDEX(headerRow,1,COLUMN()))),ovrHeaderRow,0))</f>
        <v>68.7</v>
      </c>
      <c r="CA42" s="12">
        <f>INDEX(ovrTable,MATCH(INDEX(oppCol24,ROW()),ovrTeamCol,0),MATCH(MID(INDEX(headerRow,1,COLUMN()),4,LEN(INDEX(headerRow,1,COLUMN()))),ovrHeaderRow,0))</f>
        <v>18.600000000000001</v>
      </c>
      <c r="CB42" s="12">
        <f>INDEX(ovrTable,MATCH(INDEX(oppCol24,ROW()),ovrTeamCol,0),MATCH(MID(INDEX(headerRow,1,COLUMN()),4,LEN(INDEX(headerRow,1,COLUMN()))),ovrHeaderRow,0))</f>
        <v>12.8</v>
      </c>
      <c r="CC42" s="12">
        <f>INDEX(ovrTable,MATCH(INDEX(oppCol24,ROW()),ovrTeamCol,0),MATCH(MID(INDEX(headerRow,1,COLUMN()),4,LEN(INDEX(headerRow,1,COLUMN()))),ovrHeaderRow,0))</f>
        <v>57.6</v>
      </c>
      <c r="CD42" s="12">
        <f>INDEX(ovrTable,MATCH(INDEX(oppCol24,ROW()),ovrTeamCol,0),MATCH(MID(INDEX(headerRow,1,COLUMN()),4,LEN(INDEX(headerRow,1,COLUMN()))),ovrHeaderRow,0))</f>
        <v>13.43</v>
      </c>
      <c r="CE42" s="12">
        <f>INDEX(ovrTable,MATCH(INDEX(oppCol24,ROW()),ovrTeamCol,0),MATCH(MID(INDEX(headerRow,1,COLUMN()),4,LEN(INDEX(headerRow,1,COLUMN()))),ovrHeaderRow,0))</f>
        <v>73.5</v>
      </c>
      <c r="CF42" s="12">
        <f>INDEX(ovrTable,MATCH(INDEX(oppCol24,ROW()),ovrTeamCol,0),MATCH(MID(INDEX(headerRow,1,COLUMN()),4,LEN(INDEX(headerRow,1,COLUMN()))),ovrHeaderRow,0))</f>
        <v>3.3</v>
      </c>
      <c r="CG42" s="12">
        <f>INDEX(ovrTable,MATCH(INDEX(oppCol24,ROW()),ovrTeamCol,0),MATCH(MID(INDEX(headerRow,1,COLUMN()),4,LEN(INDEX(headerRow,1,COLUMN()))),ovrHeaderRow,0))</f>
        <v>37.14</v>
      </c>
      <c r="CH42" s="12">
        <f>INDEX(ovrTable,MATCH(INDEX(oppCol24,ROW()),ovrTeamCol,0),MATCH(MID(INDEX(headerRow,1,COLUMN()),4,LEN(INDEX(headerRow,1,COLUMN()))),ovrHeaderRow,0))</f>
        <v>15.9</v>
      </c>
      <c r="CI42" s="12">
        <f>INDEX(ovrTable,MATCH(INDEX(oppCol24,ROW()),ovrTeamCol,0),MATCH(MID(INDEX(headerRow,1,COLUMN()),4,LEN(INDEX(headerRow,1,COLUMN()))),ovrHeaderRow,0))</f>
        <v>9.8000000000000007</v>
      </c>
      <c r="CJ42" s="12">
        <f>INDEX(ovrTable,MATCH(INDEX(oppCol24,ROW()),ovrTeamCol,0),MATCH(MID(INDEX(headerRow,1,COLUMN()),4,LEN(INDEX(headerRow,1,COLUMN()))),ovrHeaderRow,0))</f>
        <v>6.9</v>
      </c>
      <c r="CK42" s="12">
        <f>INDEX(ovrTable,MATCH(INDEX(oppCol24,ROW()),ovrTeamCol,0),MATCH(MID(INDEX(headerRow,1,COLUMN()),4,LEN(INDEX(headerRow,1,COLUMN()))),ovrHeaderRow,0))</f>
        <v>15.81</v>
      </c>
      <c r="CL42" s="12">
        <f>INDEX(ovrTable,MATCH(INDEX(oppCol24,ROW()),ovrTeamCol,0),MATCH(MID(INDEX(headerRow,1,COLUMN()),4,LEN(INDEX(headerRow,1,COLUMN()))),ovrHeaderRow,0))</f>
        <v>8.9</v>
      </c>
      <c r="CM42" s="12">
        <f>INDEX(ovrTable,MATCH(INDEX(oppCol24,ROW()),ovrTeamCol,0),MATCH(MID(INDEX(headerRow,1,COLUMN()),4,LEN(INDEX(headerRow,1,COLUMN()))),ovrHeaderRow,0))</f>
        <v>66.400000000000006</v>
      </c>
      <c r="CN42" s="12">
        <f>INDEX(ovrTable,MATCH(INDEX(oppCol24,ROW()),ovrTeamCol,0),MATCH(MID(INDEX(headerRow,1,COLUMN()),4,LEN(INDEX(headerRow,1,COLUMN()))),ovrHeaderRow,0))</f>
        <v>18.8</v>
      </c>
      <c r="CO42" s="12">
        <f>INDEX(ovrTable,MATCH(INDEX(oppCol24,ROW()),ovrTeamCol,0),MATCH(MID(INDEX(headerRow,1,COLUMN()),4,LEN(INDEX(headerRow,1,COLUMN()))),ovrHeaderRow,0))</f>
        <v>60.364464692482919</v>
      </c>
    </row>
    <row r="43" spans="1:93" x14ac:dyDescent="0.3">
      <c r="A43" s="6" t="s">
        <v>51</v>
      </c>
      <c r="B43" s="3">
        <v>1</v>
      </c>
      <c r="C43" s="13" t="s">
        <v>35</v>
      </c>
      <c r="D43" s="14">
        <v>21</v>
      </c>
      <c r="E43" s="23">
        <v>23.076923076923077</v>
      </c>
      <c r="F43" s="24">
        <v>11</v>
      </c>
      <c r="G43" s="23">
        <v>47.826086956521742</v>
      </c>
      <c r="H43" s="24">
        <v>23</v>
      </c>
      <c r="I43" s="25">
        <v>2</v>
      </c>
      <c r="J43" s="24">
        <v>16</v>
      </c>
      <c r="K43" s="24">
        <v>30</v>
      </c>
      <c r="L43" s="24">
        <v>5</v>
      </c>
      <c r="M43" s="24">
        <v>34.1</v>
      </c>
      <c r="N43" s="24">
        <v>19</v>
      </c>
      <c r="O43" s="26">
        <v>0.6887903225806451</v>
      </c>
      <c r="P43" s="24">
        <v>10</v>
      </c>
      <c r="Q43" s="24">
        <v>58.5</v>
      </c>
      <c r="R43" s="24">
        <v>13</v>
      </c>
      <c r="S43" s="23">
        <v>59.090909090909093</v>
      </c>
      <c r="T43" s="24">
        <v>22</v>
      </c>
      <c r="U43" s="24">
        <v>13</v>
      </c>
      <c r="V43" s="24">
        <v>46</v>
      </c>
      <c r="W43" s="24">
        <v>10</v>
      </c>
      <c r="X43" s="24">
        <v>86</v>
      </c>
      <c r="Y43" s="24">
        <v>11</v>
      </c>
      <c r="Z43" s="24">
        <v>29</v>
      </c>
      <c r="AA43" s="24">
        <v>40</v>
      </c>
      <c r="AB43" s="24">
        <v>12</v>
      </c>
      <c r="AC43" s="24">
        <v>10</v>
      </c>
      <c r="AD43" s="24">
        <v>18</v>
      </c>
      <c r="AE43" s="24">
        <v>8</v>
      </c>
      <c r="AF43" s="46">
        <f t="shared" si="3"/>
        <v>61.441452991452991</v>
      </c>
      <c r="AG43" s="51">
        <f t="shared" ref="AG43" si="55">AVERAGE(AF42,AF43)</f>
        <v>61.548585733263153</v>
      </c>
      <c r="AH43" s="12">
        <f t="shared" si="52"/>
        <v>30.1</v>
      </c>
      <c r="AI43" s="12">
        <f t="shared" si="52"/>
        <v>7.7</v>
      </c>
      <c r="AJ43" s="12">
        <f t="shared" si="52"/>
        <v>34.799999999999997</v>
      </c>
      <c r="AK43" s="12">
        <f t="shared" si="52"/>
        <v>22.2</v>
      </c>
      <c r="AL43" s="12">
        <f t="shared" si="52"/>
        <v>1.47</v>
      </c>
      <c r="AM43" s="12">
        <f t="shared" si="52"/>
        <v>13.1</v>
      </c>
      <c r="AN43" s="12">
        <f t="shared" si="52"/>
        <v>17.46</v>
      </c>
      <c r="AO43" s="12">
        <f t="shared" si="52"/>
        <v>4.8</v>
      </c>
      <c r="AP43" s="12">
        <f t="shared" si="52"/>
        <v>37.9</v>
      </c>
      <c r="AQ43" s="12">
        <f t="shared" si="52"/>
        <v>23.7</v>
      </c>
      <c r="AR43" s="12">
        <f t="shared" si="53"/>
        <v>0.503</v>
      </c>
      <c r="AS43" s="12">
        <f t="shared" si="53"/>
        <v>9.16</v>
      </c>
      <c r="AT43" s="12">
        <f t="shared" si="53"/>
        <v>43.9</v>
      </c>
      <c r="AU43" s="12">
        <f t="shared" si="53"/>
        <v>17.8</v>
      </c>
      <c r="AV43" s="12">
        <f t="shared" si="53"/>
        <v>68.7</v>
      </c>
      <c r="AW43" s="12">
        <f t="shared" si="53"/>
        <v>18.600000000000001</v>
      </c>
      <c r="AX43" s="12">
        <f t="shared" si="53"/>
        <v>12.8</v>
      </c>
      <c r="AY43" s="12">
        <f t="shared" si="53"/>
        <v>57.6</v>
      </c>
      <c r="AZ43" s="12">
        <f t="shared" si="53"/>
        <v>13.43</v>
      </c>
      <c r="BA43" s="12">
        <f t="shared" si="53"/>
        <v>73.5</v>
      </c>
      <c r="BB43" s="12">
        <f t="shared" si="54"/>
        <v>3.3</v>
      </c>
      <c r="BC43" s="12">
        <f t="shared" si="54"/>
        <v>37.14</v>
      </c>
      <c r="BD43" s="12">
        <f t="shared" si="54"/>
        <v>15.9</v>
      </c>
      <c r="BE43" s="12">
        <f t="shared" si="54"/>
        <v>9.8000000000000007</v>
      </c>
      <c r="BF43" s="12">
        <f t="shared" si="54"/>
        <v>6.9</v>
      </c>
      <c r="BG43" s="12">
        <f t="shared" si="54"/>
        <v>15.81</v>
      </c>
      <c r="BH43" s="12">
        <f t="shared" si="54"/>
        <v>8.9</v>
      </c>
      <c r="BI43" s="12">
        <f t="shared" si="54"/>
        <v>66.400000000000006</v>
      </c>
      <c r="BJ43" s="12">
        <f t="shared" si="54"/>
        <v>18.8</v>
      </c>
      <c r="BK43" s="12">
        <f t="shared" si="54"/>
        <v>60.364464692482919</v>
      </c>
      <c r="BL43" s="12">
        <f>INDEX(ovrTable,MATCH(INDEX(oppCol24,ROW()),ovrTeamCol,0),MATCH(MID(INDEX(headerRow,1,COLUMN()),4,LEN(INDEX(headerRow,1,COLUMN()))),ovrHeaderRow,0))</f>
        <v>34.700000000000003</v>
      </c>
      <c r="BM43" s="12">
        <f>INDEX(ovrTable,MATCH(INDEX(oppCol24,ROW()),ovrTeamCol,0),MATCH(MID(INDEX(headerRow,1,COLUMN()),4,LEN(INDEX(headerRow,1,COLUMN()))),ovrHeaderRow,0))</f>
        <v>5.7</v>
      </c>
      <c r="BN43" s="12">
        <f>INDEX(ovrTable,MATCH(INDEX(oppCol24,ROW()),ovrTeamCol,0),MATCH(MID(INDEX(headerRow,1,COLUMN()),4,LEN(INDEX(headerRow,1,COLUMN()))),ovrHeaderRow,0))</f>
        <v>34.1</v>
      </c>
      <c r="BO43" s="12">
        <f>INDEX(ovrTable,MATCH(INDEX(oppCol24,ROW()),ovrTeamCol,0),MATCH(MID(INDEX(headerRow,1,COLUMN()),4,LEN(INDEX(headerRow,1,COLUMN()))),ovrHeaderRow,0))</f>
        <v>16.899999999999999</v>
      </c>
      <c r="BP43" s="12">
        <f>INDEX(ovrTable,MATCH(INDEX(oppCol24,ROW()),ovrTeamCol,0),MATCH(MID(INDEX(headerRow,1,COLUMN()),4,LEN(INDEX(headerRow,1,COLUMN()))),ovrHeaderRow,0))</f>
        <v>1</v>
      </c>
      <c r="BQ43" s="12">
        <f>INDEX(ovrTable,MATCH(INDEX(oppCol24,ROW()),ovrTeamCol,0),MATCH(MID(INDEX(headerRow,1,COLUMN()),4,LEN(INDEX(headerRow,1,COLUMN()))),ovrHeaderRow,0))</f>
        <v>12.7</v>
      </c>
      <c r="BR43" s="12">
        <f>INDEX(ovrTable,MATCH(INDEX(oppCol24,ROW()),ovrTeamCol,0),MATCH(MID(INDEX(headerRow,1,COLUMN()),4,LEN(INDEX(headerRow,1,COLUMN()))),ovrHeaderRow,0))</f>
        <v>26.91</v>
      </c>
      <c r="BS43" s="12">
        <f>INDEX(ovrTable,MATCH(INDEX(oppCol24,ROW()),ovrTeamCol,0),MATCH(MID(INDEX(headerRow,1,COLUMN()),4,LEN(INDEX(headerRow,1,COLUMN()))),ovrHeaderRow,0))</f>
        <v>2.5</v>
      </c>
      <c r="BT43" s="12">
        <f>INDEX(ovrTable,MATCH(INDEX(oppCol24,ROW()),ovrTeamCol,0),MATCH(MID(INDEX(headerRow,1,COLUMN()),4,LEN(INDEX(headerRow,1,COLUMN()))),ovrHeaderRow,0))</f>
        <v>44</v>
      </c>
      <c r="BU43" s="12">
        <f>INDEX(ovrTable,MATCH(INDEX(oppCol24,ROW()),ovrTeamCol,0),MATCH(MID(INDEX(headerRow,1,COLUMN()),4,LEN(INDEX(headerRow,1,COLUMN()))),ovrHeaderRow,0))</f>
        <v>24.94</v>
      </c>
      <c r="BV43" s="12">
        <f>INDEX(ovrTable,MATCH(INDEX(oppCol24,ROW()),ovrTeamCol,0),MATCH(MID(INDEX(headerRow,1,COLUMN()),4,LEN(INDEX(headerRow,1,COLUMN()))),ovrHeaderRow,0))</f>
        <v>0.502</v>
      </c>
      <c r="BW43" s="12">
        <f>INDEX(ovrTable,MATCH(INDEX(oppCol24,ROW()),ovrTeamCol,0),MATCH(MID(INDEX(headerRow,1,COLUMN()),4,LEN(INDEX(headerRow,1,COLUMN()))),ovrHeaderRow,0))</f>
        <v>9.26</v>
      </c>
      <c r="BX43" s="12">
        <f>INDEX(ovrTable,MATCH(INDEX(oppCol24,ROW()),ovrTeamCol,0),MATCH(MID(INDEX(headerRow,1,COLUMN()),4,LEN(INDEX(headerRow,1,COLUMN()))),ovrHeaderRow,0))</f>
        <v>45.3</v>
      </c>
      <c r="BY43" s="12">
        <f>INDEX(ovrTable,MATCH(INDEX(oppCol24,ROW()),ovrTeamCol,0),MATCH(MID(INDEX(headerRow,1,COLUMN()),4,LEN(INDEX(headerRow,1,COLUMN()))),ovrHeaderRow,0))</f>
        <v>18.3</v>
      </c>
      <c r="BZ43" s="12">
        <f>INDEX(ovrTable,MATCH(INDEX(oppCol24,ROW()),ovrTeamCol,0),MATCH(MID(INDEX(headerRow,1,COLUMN()),4,LEN(INDEX(headerRow,1,COLUMN()))),ovrHeaderRow,0))</f>
        <v>68.7</v>
      </c>
      <c r="CA43" s="12">
        <f>INDEX(ovrTable,MATCH(INDEX(oppCol24,ROW()),ovrTeamCol,0),MATCH(MID(INDEX(headerRow,1,COLUMN()),4,LEN(INDEX(headerRow,1,COLUMN()))),ovrHeaderRow,0))</f>
        <v>23</v>
      </c>
      <c r="CB43" s="12">
        <f>INDEX(ovrTable,MATCH(INDEX(oppCol24,ROW()),ovrTeamCol,0),MATCH(MID(INDEX(headerRow,1,COLUMN()),4,LEN(INDEX(headerRow,1,COLUMN()))),ovrHeaderRow,0))</f>
        <v>15.8</v>
      </c>
      <c r="CC43" s="12">
        <f>INDEX(ovrTable,MATCH(INDEX(oppCol24,ROW()),ovrTeamCol,0),MATCH(MID(INDEX(headerRow,1,COLUMN()),4,LEN(INDEX(headerRow,1,COLUMN()))),ovrHeaderRow,0))</f>
        <v>68.5</v>
      </c>
      <c r="CD43" s="12">
        <f>INDEX(ovrTable,MATCH(INDEX(oppCol24,ROW()),ovrTeamCol,0),MATCH(MID(INDEX(headerRow,1,COLUMN()),4,LEN(INDEX(headerRow,1,COLUMN()))),ovrHeaderRow,0))</f>
        <v>13.43</v>
      </c>
      <c r="CE43" s="12">
        <f>INDEX(ovrTable,MATCH(INDEX(oppCol24,ROW()),ovrTeamCol,0),MATCH(MID(INDEX(headerRow,1,COLUMN()),4,LEN(INDEX(headerRow,1,COLUMN()))),ovrHeaderRow,0))</f>
        <v>74.7</v>
      </c>
      <c r="CF43" s="12">
        <f>INDEX(ovrTable,MATCH(INDEX(oppCol24,ROW()),ovrTeamCol,0),MATCH(MID(INDEX(headerRow,1,COLUMN()),4,LEN(INDEX(headerRow,1,COLUMN()))),ovrHeaderRow,0))</f>
        <v>8.6</v>
      </c>
      <c r="CG43" s="12">
        <f>INDEX(ovrTable,MATCH(INDEX(oppCol24,ROW()),ovrTeamCol,0),MATCH(MID(INDEX(headerRow,1,COLUMN()),4,LEN(INDEX(headerRow,1,COLUMN()))),ovrHeaderRow,0))</f>
        <v>38.369999999999997</v>
      </c>
      <c r="CH43" s="12">
        <f>INDEX(ovrTable,MATCH(INDEX(oppCol24,ROW()),ovrTeamCol,0),MATCH(MID(INDEX(headerRow,1,COLUMN()),4,LEN(INDEX(headerRow,1,COLUMN()))),ovrHeaderRow,0))</f>
        <v>6.3</v>
      </c>
      <c r="CI43" s="12">
        <f>INDEX(ovrTable,MATCH(INDEX(oppCol24,ROW()),ovrTeamCol,0),MATCH(MID(INDEX(headerRow,1,COLUMN()),4,LEN(INDEX(headerRow,1,COLUMN()))),ovrHeaderRow,0))</f>
        <v>7</v>
      </c>
      <c r="CJ43" s="12">
        <f>INDEX(ovrTable,MATCH(INDEX(oppCol24,ROW()),ovrTeamCol,0),MATCH(MID(INDEX(headerRow,1,COLUMN()),4,LEN(INDEX(headerRow,1,COLUMN()))),ovrHeaderRow,0))</f>
        <v>0.9</v>
      </c>
      <c r="CK43" s="12">
        <f>INDEX(ovrTable,MATCH(INDEX(oppCol24,ROW()),ovrTeamCol,0),MATCH(MID(INDEX(headerRow,1,COLUMN()),4,LEN(INDEX(headerRow,1,COLUMN()))),ovrHeaderRow,0))</f>
        <v>13.63</v>
      </c>
      <c r="CL43" s="12">
        <f>INDEX(ovrTable,MATCH(INDEX(oppCol24,ROW()),ovrTeamCol,0),MATCH(MID(INDEX(headerRow,1,COLUMN()),4,LEN(INDEX(headerRow,1,COLUMN()))),ovrHeaderRow,0))</f>
        <v>12.7</v>
      </c>
      <c r="CM43" s="12">
        <f>INDEX(ovrTable,MATCH(INDEX(oppCol24,ROW()),ovrTeamCol,0),MATCH(MID(INDEX(headerRow,1,COLUMN()),4,LEN(INDEX(headerRow,1,COLUMN()))),ovrHeaderRow,0))</f>
        <v>68.599999999999994</v>
      </c>
      <c r="CN43" s="12">
        <f>INDEX(ovrTable,MATCH(INDEX(oppCol24,ROW()),ovrTeamCol,0),MATCH(MID(INDEX(headerRow,1,COLUMN()),4,LEN(INDEX(headerRow,1,COLUMN()))),ovrHeaderRow,0))</f>
        <v>20.900000000000002</v>
      </c>
      <c r="CO43" s="12">
        <f>INDEX(ovrTable,MATCH(INDEX(oppCol24,ROW()),ovrTeamCol,0),MATCH(MID(INDEX(headerRow,1,COLUMN()),4,LEN(INDEX(headerRow,1,COLUMN()))),ovrHeaderRow,0))</f>
        <v>58.719646799117001</v>
      </c>
    </row>
    <row r="44" spans="1:93" x14ac:dyDescent="0.3">
      <c r="A44" s="6" t="s">
        <v>44</v>
      </c>
      <c r="B44" s="3">
        <v>8</v>
      </c>
      <c r="C44" s="13" t="s">
        <v>43</v>
      </c>
      <c r="D44" s="14">
        <v>22</v>
      </c>
      <c r="E44" s="23">
        <v>56.521739130434781</v>
      </c>
      <c r="F44" s="24">
        <v>7</v>
      </c>
      <c r="G44" s="23">
        <v>31.818181818181817</v>
      </c>
      <c r="H44" s="24">
        <v>22</v>
      </c>
      <c r="I44" s="25">
        <v>1.5</v>
      </c>
      <c r="J44" s="24">
        <v>15</v>
      </c>
      <c r="K44" s="24">
        <v>8</v>
      </c>
      <c r="L44" s="24">
        <v>2</v>
      </c>
      <c r="M44" s="24">
        <v>49.3</v>
      </c>
      <c r="N44" s="24">
        <v>21</v>
      </c>
      <c r="O44" s="26">
        <v>0.51737037037037037</v>
      </c>
      <c r="P44" s="24">
        <v>17</v>
      </c>
      <c r="Q44" s="24">
        <v>45.8</v>
      </c>
      <c r="R44" s="24">
        <v>17</v>
      </c>
      <c r="S44" s="23">
        <v>91.666666666666657</v>
      </c>
      <c r="T44" s="24">
        <v>24</v>
      </c>
      <c r="U44" s="24">
        <v>22</v>
      </c>
      <c r="V44" s="24">
        <v>98</v>
      </c>
      <c r="W44" s="24">
        <v>7</v>
      </c>
      <c r="X44" s="24">
        <v>83</v>
      </c>
      <c r="Y44" s="24">
        <v>-12</v>
      </c>
      <c r="Z44" s="24">
        <v>28</v>
      </c>
      <c r="AA44" s="24">
        <v>-15</v>
      </c>
      <c r="AB44" s="24">
        <v>5</v>
      </c>
      <c r="AC44" s="24">
        <v>-2</v>
      </c>
      <c r="AD44" s="24">
        <v>8</v>
      </c>
      <c r="AE44" s="24">
        <v>10</v>
      </c>
      <c r="AF44" s="46">
        <f t="shared" si="3"/>
        <v>73.351965065502185</v>
      </c>
      <c r="AG44" s="51">
        <f t="shared" ref="AG44" si="56">AVERAGE(AF44,AF45)</f>
        <v>73.922939936402202</v>
      </c>
      <c r="AH44" s="12">
        <f t="shared" si="52"/>
        <v>32.5</v>
      </c>
      <c r="AI44" s="12">
        <f t="shared" si="52"/>
        <v>9.4</v>
      </c>
      <c r="AJ44" s="12">
        <f t="shared" si="52"/>
        <v>35.700000000000003</v>
      </c>
      <c r="AK44" s="12">
        <f t="shared" si="52"/>
        <v>26.3</v>
      </c>
      <c r="AL44" s="12">
        <f t="shared" si="52"/>
        <v>1.38</v>
      </c>
      <c r="AM44" s="12">
        <f t="shared" si="52"/>
        <v>15.3</v>
      </c>
      <c r="AN44" s="12">
        <f t="shared" si="52"/>
        <v>21.47</v>
      </c>
      <c r="AO44" s="12">
        <f t="shared" si="52"/>
        <v>2.6</v>
      </c>
      <c r="AP44" s="12">
        <f t="shared" si="52"/>
        <v>40</v>
      </c>
      <c r="AQ44" s="12">
        <f t="shared" si="52"/>
        <v>28.06</v>
      </c>
      <c r="AR44" s="12">
        <f t="shared" si="53"/>
        <v>0.53100000000000003</v>
      </c>
      <c r="AS44" s="12">
        <f t="shared" si="53"/>
        <v>9.94</v>
      </c>
      <c r="AT44" s="12">
        <f t="shared" si="53"/>
        <v>45.2</v>
      </c>
      <c r="AU44" s="12">
        <f t="shared" si="53"/>
        <v>15.9</v>
      </c>
      <c r="AV44" s="12">
        <f t="shared" si="53"/>
        <v>76</v>
      </c>
      <c r="AW44" s="12">
        <f t="shared" si="53"/>
        <v>19.399999999999999</v>
      </c>
      <c r="AX44" s="12">
        <f t="shared" si="53"/>
        <v>14.7</v>
      </c>
      <c r="AY44" s="12">
        <f t="shared" si="53"/>
        <v>70.900000000000006</v>
      </c>
      <c r="AZ44" s="12">
        <f t="shared" si="53"/>
        <v>9.59</v>
      </c>
      <c r="BA44" s="12">
        <f t="shared" si="53"/>
        <v>77.7</v>
      </c>
      <c r="BB44" s="12">
        <f t="shared" si="54"/>
        <v>0.4</v>
      </c>
      <c r="BC44" s="12">
        <f t="shared" si="54"/>
        <v>37.65</v>
      </c>
      <c r="BD44" s="12">
        <f t="shared" si="54"/>
        <v>6.8</v>
      </c>
      <c r="BE44" s="12">
        <f t="shared" si="54"/>
        <v>6.3</v>
      </c>
      <c r="BF44" s="12">
        <f t="shared" si="54"/>
        <v>0.3</v>
      </c>
      <c r="BG44" s="12">
        <f t="shared" si="54"/>
        <v>11.38</v>
      </c>
      <c r="BH44" s="12">
        <f t="shared" si="54"/>
        <v>11.1</v>
      </c>
      <c r="BI44" s="12">
        <f t="shared" si="54"/>
        <v>71.599999999999994</v>
      </c>
      <c r="BJ44" s="12">
        <f t="shared" si="54"/>
        <v>17.399999999999999</v>
      </c>
      <c r="BK44" s="12">
        <f t="shared" si="54"/>
        <v>59.292035398230077</v>
      </c>
      <c r="BL44" s="12">
        <f>INDEX(ovrTable,MATCH(INDEX(oppCol24,ROW()),ovrTeamCol,0),MATCH(MID(INDEX(headerRow,1,COLUMN()),4,LEN(INDEX(headerRow,1,COLUMN()))),ovrHeaderRow,0))</f>
        <v>33.799999999999997</v>
      </c>
      <c r="BM44" s="12">
        <f>INDEX(ovrTable,MATCH(INDEX(oppCol24,ROW()),ovrTeamCol,0),MATCH(MID(INDEX(headerRow,1,COLUMN()),4,LEN(INDEX(headerRow,1,COLUMN()))),ovrHeaderRow,0))</f>
        <v>7.1</v>
      </c>
      <c r="BN44" s="12">
        <f>INDEX(ovrTable,MATCH(INDEX(oppCol24,ROW()),ovrTeamCol,0),MATCH(MID(INDEX(headerRow,1,COLUMN()),4,LEN(INDEX(headerRow,1,COLUMN()))),ovrHeaderRow,0))</f>
        <v>29.3</v>
      </c>
      <c r="BO44" s="12">
        <f>INDEX(ovrTable,MATCH(INDEX(oppCol24,ROW()),ovrTeamCol,0),MATCH(MID(INDEX(headerRow,1,COLUMN()),4,LEN(INDEX(headerRow,1,COLUMN()))),ovrHeaderRow,0))</f>
        <v>24.1</v>
      </c>
      <c r="BP44" s="12">
        <f>INDEX(ovrTable,MATCH(INDEX(oppCol24,ROW()),ovrTeamCol,0),MATCH(MID(INDEX(headerRow,1,COLUMN()),4,LEN(INDEX(headerRow,1,COLUMN()))),ovrHeaderRow,0))</f>
        <v>1.19</v>
      </c>
      <c r="BQ44" s="12">
        <f>INDEX(ovrTable,MATCH(INDEX(oppCol24,ROW()),ovrTeamCol,0),MATCH(MID(INDEX(headerRow,1,COLUMN()),4,LEN(INDEX(headerRow,1,COLUMN()))),ovrHeaderRow,0))</f>
        <v>11.4</v>
      </c>
      <c r="BR44" s="12">
        <f>INDEX(ovrTable,MATCH(INDEX(oppCol24,ROW()),ovrTeamCol,0),MATCH(MID(INDEX(headerRow,1,COLUMN()),4,LEN(INDEX(headerRow,1,COLUMN()))),ovrHeaderRow,0))</f>
        <v>19.059999999999999</v>
      </c>
      <c r="BS44" s="12">
        <f>INDEX(ovrTable,MATCH(INDEX(oppCol24,ROW()),ovrTeamCol,0),MATCH(MID(INDEX(headerRow,1,COLUMN()),4,LEN(INDEX(headerRow,1,COLUMN()))),ovrHeaderRow,0))</f>
        <v>3</v>
      </c>
      <c r="BT44" s="12">
        <f>INDEX(ovrTable,MATCH(INDEX(oppCol24,ROW()),ovrTeamCol,0),MATCH(MID(INDEX(headerRow,1,COLUMN()),4,LEN(INDEX(headerRow,1,COLUMN()))),ovrHeaderRow,0))</f>
        <v>42.9</v>
      </c>
      <c r="BU44" s="12">
        <f>INDEX(ovrTable,MATCH(INDEX(oppCol24,ROW()),ovrTeamCol,0),MATCH(MID(INDEX(headerRow,1,COLUMN()),4,LEN(INDEX(headerRow,1,COLUMN()))),ovrHeaderRow,0))</f>
        <v>25.39</v>
      </c>
      <c r="BV44" s="12">
        <f>INDEX(ovrTable,MATCH(INDEX(oppCol24,ROW()),ovrTeamCol,0),MATCH(MID(INDEX(headerRow,1,COLUMN()),4,LEN(INDEX(headerRow,1,COLUMN()))),ovrHeaderRow,0))</f>
        <v>0.45700000000000002</v>
      </c>
      <c r="BW44" s="12">
        <f>INDEX(ovrTable,MATCH(INDEX(oppCol24,ROW()),ovrTeamCol,0),MATCH(MID(INDEX(headerRow,1,COLUMN()),4,LEN(INDEX(headerRow,1,COLUMN()))),ovrHeaderRow,0))</f>
        <v>7.25</v>
      </c>
      <c r="BX44" s="12">
        <f>INDEX(ovrTable,MATCH(INDEX(oppCol24,ROW()),ovrTeamCol,0),MATCH(MID(INDEX(headerRow,1,COLUMN()),4,LEN(INDEX(headerRow,1,COLUMN()))),ovrHeaderRow,0))</f>
        <v>40.200000000000003</v>
      </c>
      <c r="BY44" s="12">
        <f>INDEX(ovrTable,MATCH(INDEX(oppCol24,ROW()),ovrTeamCol,0),MATCH(MID(INDEX(headerRow,1,COLUMN()),4,LEN(INDEX(headerRow,1,COLUMN()))),ovrHeaderRow,0))</f>
        <v>17</v>
      </c>
      <c r="BZ44" s="12">
        <f>INDEX(ovrTable,MATCH(INDEX(oppCol24,ROW()),ovrTeamCol,0),MATCH(MID(INDEX(headerRow,1,COLUMN()),4,LEN(INDEX(headerRow,1,COLUMN()))),ovrHeaderRow,0))</f>
        <v>70.7</v>
      </c>
      <c r="CA44" s="12">
        <f>INDEX(ovrTable,MATCH(INDEX(oppCol24,ROW()),ovrTeamCol,0),MATCH(MID(INDEX(headerRow,1,COLUMN()),4,LEN(INDEX(headerRow,1,COLUMN()))),ovrHeaderRow,0))</f>
        <v>24.7</v>
      </c>
      <c r="CB44" s="12">
        <f>INDEX(ovrTable,MATCH(INDEX(oppCol24,ROW()),ovrTeamCol,0),MATCH(MID(INDEX(headerRow,1,COLUMN()),4,LEN(INDEX(headerRow,1,COLUMN()))),ovrHeaderRow,0))</f>
        <v>17.5</v>
      </c>
      <c r="CC44" s="12">
        <f>INDEX(ovrTable,MATCH(INDEX(oppCol24,ROW()),ovrTeamCol,0),MATCH(MID(INDEX(headerRow,1,COLUMN()),4,LEN(INDEX(headerRow,1,COLUMN()))),ovrHeaderRow,0))</f>
        <v>72</v>
      </c>
      <c r="CD44" s="12">
        <f>INDEX(ovrTable,MATCH(INDEX(oppCol24,ROW()),ovrTeamCol,0),MATCH(MID(INDEX(headerRow,1,COLUMN()),4,LEN(INDEX(headerRow,1,COLUMN()))),ovrHeaderRow,0))</f>
        <v>17.420000000000002</v>
      </c>
      <c r="CE44" s="12">
        <f>INDEX(ovrTable,MATCH(INDEX(oppCol24,ROW()),ovrTeamCol,0),MATCH(MID(INDEX(headerRow,1,COLUMN()),4,LEN(INDEX(headerRow,1,COLUMN()))),ovrHeaderRow,0))</f>
        <v>76</v>
      </c>
      <c r="CF44" s="12">
        <f>INDEX(ovrTable,MATCH(INDEX(oppCol24,ROW()),ovrTeamCol,0),MATCH(MID(INDEX(headerRow,1,COLUMN()),4,LEN(INDEX(headerRow,1,COLUMN()))),ovrHeaderRow,0))</f>
        <v>9.1</v>
      </c>
      <c r="CG44" s="12">
        <f>INDEX(ovrTable,MATCH(INDEX(oppCol24,ROW()),ovrTeamCol,0),MATCH(MID(INDEX(headerRow,1,COLUMN()),4,LEN(INDEX(headerRow,1,COLUMN()))),ovrHeaderRow,0))</f>
        <v>42.81</v>
      </c>
      <c r="CH44" s="12">
        <f>INDEX(ovrTable,MATCH(INDEX(oppCol24,ROW()),ovrTeamCol,0),MATCH(MID(INDEX(headerRow,1,COLUMN()),4,LEN(INDEX(headerRow,1,COLUMN()))),ovrHeaderRow,0))</f>
        <v>4</v>
      </c>
      <c r="CI44" s="12">
        <f>INDEX(ovrTable,MATCH(INDEX(oppCol24,ROW()),ovrTeamCol,0),MATCH(MID(INDEX(headerRow,1,COLUMN()),4,LEN(INDEX(headerRow,1,COLUMN()))),ovrHeaderRow,0))</f>
        <v>6.9</v>
      </c>
      <c r="CJ44" s="12">
        <f>INDEX(ovrTable,MATCH(INDEX(oppCol24,ROW()),ovrTeamCol,0),MATCH(MID(INDEX(headerRow,1,COLUMN()),4,LEN(INDEX(headerRow,1,COLUMN()))),ovrHeaderRow,0))</f>
        <v>1.8</v>
      </c>
      <c r="CK44" s="12">
        <f>INDEX(ovrTable,MATCH(INDEX(oppCol24,ROW()),ovrTeamCol,0),MATCH(MID(INDEX(headerRow,1,COLUMN()),4,LEN(INDEX(headerRow,1,COLUMN()))),ovrHeaderRow,0))</f>
        <v>11.36</v>
      </c>
      <c r="CL44" s="12">
        <f>INDEX(ovrTable,MATCH(INDEX(oppCol24,ROW()),ovrTeamCol,0),MATCH(MID(INDEX(headerRow,1,COLUMN()),4,LEN(INDEX(headerRow,1,COLUMN()))),ovrHeaderRow,0))</f>
        <v>9.6</v>
      </c>
      <c r="CM44" s="12">
        <f>INDEX(ovrTable,MATCH(INDEX(oppCol24,ROW()),ovrTeamCol,0),MATCH(MID(INDEX(headerRow,1,COLUMN()),4,LEN(INDEX(headerRow,1,COLUMN()))),ovrHeaderRow,0))</f>
        <v>70</v>
      </c>
      <c r="CN44" s="12">
        <f>INDEX(ovrTable,MATCH(INDEX(oppCol24,ROW()),ovrTeamCol,0),MATCH(MID(INDEX(headerRow,1,COLUMN()),4,LEN(INDEX(headerRow,1,COLUMN()))),ovrHeaderRow,0))</f>
        <v>18.600000000000001</v>
      </c>
      <c r="CO44" s="12">
        <f>INDEX(ovrTable,MATCH(INDEX(oppCol24,ROW()),ovrTeamCol,0),MATCH(MID(INDEX(headerRow,1,COLUMN()),4,LEN(INDEX(headerRow,1,COLUMN()))),ovrHeaderRow,0))</f>
        <v>63.930348258706474</v>
      </c>
    </row>
    <row r="45" spans="1:93" x14ac:dyDescent="0.3">
      <c r="A45" s="6" t="s">
        <v>43</v>
      </c>
      <c r="B45" s="3">
        <v>9</v>
      </c>
      <c r="C45" s="13" t="s">
        <v>44</v>
      </c>
      <c r="D45" s="14">
        <v>22</v>
      </c>
      <c r="E45" s="23">
        <v>31.818181818181817</v>
      </c>
      <c r="F45" s="24">
        <v>13</v>
      </c>
      <c r="G45" s="23">
        <v>56.521739130434781</v>
      </c>
      <c r="H45" s="24">
        <v>23</v>
      </c>
      <c r="I45" s="25">
        <v>2</v>
      </c>
      <c r="J45" s="24">
        <v>16</v>
      </c>
      <c r="K45" s="24">
        <v>23</v>
      </c>
      <c r="L45" s="24">
        <v>6</v>
      </c>
      <c r="M45" s="24">
        <v>45.8</v>
      </c>
      <c r="N45" s="24">
        <v>26</v>
      </c>
      <c r="O45" s="26">
        <v>0.58455714285714278</v>
      </c>
      <c r="P45" s="24">
        <v>9</v>
      </c>
      <c r="Q45" s="24">
        <v>49.3</v>
      </c>
      <c r="R45" s="24">
        <v>21</v>
      </c>
      <c r="S45" s="23">
        <v>75</v>
      </c>
      <c r="T45" s="24">
        <v>20</v>
      </c>
      <c r="U45" s="24">
        <v>15</v>
      </c>
      <c r="V45" s="24">
        <v>83</v>
      </c>
      <c r="W45" s="24">
        <v>14</v>
      </c>
      <c r="X45" s="24">
        <v>98</v>
      </c>
      <c r="Y45" s="24">
        <v>12</v>
      </c>
      <c r="Z45" s="24">
        <v>40</v>
      </c>
      <c r="AA45" s="24">
        <v>15</v>
      </c>
      <c r="AB45" s="24">
        <v>3</v>
      </c>
      <c r="AC45" s="24">
        <v>2</v>
      </c>
      <c r="AD45" s="24">
        <v>10</v>
      </c>
      <c r="AE45" s="24">
        <v>8</v>
      </c>
      <c r="AF45" s="46">
        <f t="shared" si="3"/>
        <v>74.493914807302232</v>
      </c>
      <c r="AG45" s="51">
        <f t="shared" ref="AG45" si="57">AVERAGE(AF44,AF45)</f>
        <v>73.922939936402202</v>
      </c>
      <c r="AH45" s="12">
        <f t="shared" si="52"/>
        <v>33.799999999999997</v>
      </c>
      <c r="AI45" s="12">
        <f t="shared" si="52"/>
        <v>7.1</v>
      </c>
      <c r="AJ45" s="12">
        <f t="shared" si="52"/>
        <v>29.3</v>
      </c>
      <c r="AK45" s="12">
        <f t="shared" si="52"/>
        <v>24.1</v>
      </c>
      <c r="AL45" s="12">
        <f t="shared" si="52"/>
        <v>1.19</v>
      </c>
      <c r="AM45" s="12">
        <f t="shared" si="52"/>
        <v>11.4</v>
      </c>
      <c r="AN45" s="12">
        <f t="shared" si="52"/>
        <v>19.059999999999999</v>
      </c>
      <c r="AO45" s="12">
        <f t="shared" si="52"/>
        <v>3</v>
      </c>
      <c r="AP45" s="12">
        <f t="shared" si="52"/>
        <v>42.9</v>
      </c>
      <c r="AQ45" s="12">
        <f t="shared" si="52"/>
        <v>25.39</v>
      </c>
      <c r="AR45" s="12">
        <f t="shared" si="53"/>
        <v>0.45700000000000002</v>
      </c>
      <c r="AS45" s="12">
        <f t="shared" si="53"/>
        <v>7.25</v>
      </c>
      <c r="AT45" s="12">
        <f t="shared" si="53"/>
        <v>40.200000000000003</v>
      </c>
      <c r="AU45" s="12">
        <f t="shared" si="53"/>
        <v>17</v>
      </c>
      <c r="AV45" s="12">
        <f t="shared" si="53"/>
        <v>70.7</v>
      </c>
      <c r="AW45" s="12">
        <f t="shared" si="53"/>
        <v>24.7</v>
      </c>
      <c r="AX45" s="12">
        <f t="shared" si="53"/>
        <v>17.5</v>
      </c>
      <c r="AY45" s="12">
        <f t="shared" si="53"/>
        <v>72</v>
      </c>
      <c r="AZ45" s="12">
        <f t="shared" si="53"/>
        <v>17.420000000000002</v>
      </c>
      <c r="BA45" s="12">
        <f t="shared" si="53"/>
        <v>76</v>
      </c>
      <c r="BB45" s="12">
        <f t="shared" si="54"/>
        <v>9.1</v>
      </c>
      <c r="BC45" s="12">
        <f t="shared" si="54"/>
        <v>42.81</v>
      </c>
      <c r="BD45" s="12">
        <f t="shared" si="54"/>
        <v>4</v>
      </c>
      <c r="BE45" s="12">
        <f t="shared" si="54"/>
        <v>6.9</v>
      </c>
      <c r="BF45" s="12">
        <f t="shared" si="54"/>
        <v>1.8</v>
      </c>
      <c r="BG45" s="12">
        <f t="shared" si="54"/>
        <v>11.36</v>
      </c>
      <c r="BH45" s="12">
        <f t="shared" si="54"/>
        <v>9.6</v>
      </c>
      <c r="BI45" s="12">
        <f t="shared" si="54"/>
        <v>70</v>
      </c>
      <c r="BJ45" s="12">
        <f t="shared" si="54"/>
        <v>18.600000000000001</v>
      </c>
      <c r="BK45" s="12">
        <f t="shared" si="54"/>
        <v>63.930348258706474</v>
      </c>
      <c r="BL45" s="12">
        <f>INDEX(ovrTable,MATCH(INDEX(oppCol24,ROW()),ovrTeamCol,0),MATCH(MID(INDEX(headerRow,1,COLUMN()),4,LEN(INDEX(headerRow,1,COLUMN()))),ovrHeaderRow,0))</f>
        <v>32.5</v>
      </c>
      <c r="BM45" s="12">
        <f>INDEX(ovrTable,MATCH(INDEX(oppCol24,ROW()),ovrTeamCol,0),MATCH(MID(INDEX(headerRow,1,COLUMN()),4,LEN(INDEX(headerRow,1,COLUMN()))),ovrHeaderRow,0))</f>
        <v>9.4</v>
      </c>
      <c r="BN45" s="12">
        <f>INDEX(ovrTable,MATCH(INDEX(oppCol24,ROW()),ovrTeamCol,0),MATCH(MID(INDEX(headerRow,1,COLUMN()),4,LEN(INDEX(headerRow,1,COLUMN()))),ovrHeaderRow,0))</f>
        <v>35.700000000000003</v>
      </c>
      <c r="BO45" s="12">
        <f>INDEX(ovrTable,MATCH(INDEX(oppCol24,ROW()),ovrTeamCol,0),MATCH(MID(INDEX(headerRow,1,COLUMN()),4,LEN(INDEX(headerRow,1,COLUMN()))),ovrHeaderRow,0))</f>
        <v>26.3</v>
      </c>
      <c r="BP45" s="12">
        <f>INDEX(ovrTable,MATCH(INDEX(oppCol24,ROW()),ovrTeamCol,0),MATCH(MID(INDEX(headerRow,1,COLUMN()),4,LEN(INDEX(headerRow,1,COLUMN()))),ovrHeaderRow,0))</f>
        <v>1.38</v>
      </c>
      <c r="BQ45" s="12">
        <f>INDEX(ovrTable,MATCH(INDEX(oppCol24,ROW()),ovrTeamCol,0),MATCH(MID(INDEX(headerRow,1,COLUMN()),4,LEN(INDEX(headerRow,1,COLUMN()))),ovrHeaderRow,0))</f>
        <v>15.3</v>
      </c>
      <c r="BR45" s="12">
        <f>INDEX(ovrTable,MATCH(INDEX(oppCol24,ROW()),ovrTeamCol,0),MATCH(MID(INDEX(headerRow,1,COLUMN()),4,LEN(INDEX(headerRow,1,COLUMN()))),ovrHeaderRow,0))</f>
        <v>21.47</v>
      </c>
      <c r="BS45" s="12">
        <f>INDEX(ovrTable,MATCH(INDEX(oppCol24,ROW()),ovrTeamCol,0),MATCH(MID(INDEX(headerRow,1,COLUMN()),4,LEN(INDEX(headerRow,1,COLUMN()))),ovrHeaderRow,0))</f>
        <v>2.6</v>
      </c>
      <c r="BT45" s="12">
        <f>INDEX(ovrTable,MATCH(INDEX(oppCol24,ROW()),ovrTeamCol,0),MATCH(MID(INDEX(headerRow,1,COLUMN()),4,LEN(INDEX(headerRow,1,COLUMN()))),ovrHeaderRow,0))</f>
        <v>40</v>
      </c>
      <c r="BU45" s="12">
        <f>INDEX(ovrTable,MATCH(INDEX(oppCol24,ROW()),ovrTeamCol,0),MATCH(MID(INDEX(headerRow,1,COLUMN()),4,LEN(INDEX(headerRow,1,COLUMN()))),ovrHeaderRow,0))</f>
        <v>28.06</v>
      </c>
      <c r="BV45" s="12">
        <f>INDEX(ovrTable,MATCH(INDEX(oppCol24,ROW()),ovrTeamCol,0),MATCH(MID(INDEX(headerRow,1,COLUMN()),4,LEN(INDEX(headerRow,1,COLUMN()))),ovrHeaderRow,0))</f>
        <v>0.53100000000000003</v>
      </c>
      <c r="BW45" s="12">
        <f>INDEX(ovrTable,MATCH(INDEX(oppCol24,ROW()),ovrTeamCol,0),MATCH(MID(INDEX(headerRow,1,COLUMN()),4,LEN(INDEX(headerRow,1,COLUMN()))),ovrHeaderRow,0))</f>
        <v>9.94</v>
      </c>
      <c r="BX45" s="12">
        <f>INDEX(ovrTable,MATCH(INDEX(oppCol24,ROW()),ovrTeamCol,0),MATCH(MID(INDEX(headerRow,1,COLUMN()),4,LEN(INDEX(headerRow,1,COLUMN()))),ovrHeaderRow,0))</f>
        <v>45.2</v>
      </c>
      <c r="BY45" s="12">
        <f>INDEX(ovrTable,MATCH(INDEX(oppCol24,ROW()),ovrTeamCol,0),MATCH(MID(INDEX(headerRow,1,COLUMN()),4,LEN(INDEX(headerRow,1,COLUMN()))),ovrHeaderRow,0))</f>
        <v>15.9</v>
      </c>
      <c r="BZ45" s="12">
        <f>INDEX(ovrTable,MATCH(INDEX(oppCol24,ROW()),ovrTeamCol,0),MATCH(MID(INDEX(headerRow,1,COLUMN()),4,LEN(INDEX(headerRow,1,COLUMN()))),ovrHeaderRow,0))</f>
        <v>76</v>
      </c>
      <c r="CA45" s="12">
        <f>INDEX(ovrTable,MATCH(INDEX(oppCol24,ROW()),ovrTeamCol,0),MATCH(MID(INDEX(headerRow,1,COLUMN()),4,LEN(INDEX(headerRow,1,COLUMN()))),ovrHeaderRow,0))</f>
        <v>19.399999999999999</v>
      </c>
      <c r="CB45" s="12">
        <f>INDEX(ovrTable,MATCH(INDEX(oppCol24,ROW()),ovrTeamCol,0),MATCH(MID(INDEX(headerRow,1,COLUMN()),4,LEN(INDEX(headerRow,1,COLUMN()))),ovrHeaderRow,0))</f>
        <v>14.7</v>
      </c>
      <c r="CC45" s="12">
        <f>INDEX(ovrTable,MATCH(INDEX(oppCol24,ROW()),ovrTeamCol,0),MATCH(MID(INDEX(headerRow,1,COLUMN()),4,LEN(INDEX(headerRow,1,COLUMN()))),ovrHeaderRow,0))</f>
        <v>70.900000000000006</v>
      </c>
      <c r="CD45" s="12">
        <f>INDEX(ovrTable,MATCH(INDEX(oppCol24,ROW()),ovrTeamCol,0),MATCH(MID(INDEX(headerRow,1,COLUMN()),4,LEN(INDEX(headerRow,1,COLUMN()))),ovrHeaderRow,0))</f>
        <v>9.59</v>
      </c>
      <c r="CE45" s="12">
        <f>INDEX(ovrTable,MATCH(INDEX(oppCol24,ROW()),ovrTeamCol,0),MATCH(MID(INDEX(headerRow,1,COLUMN()),4,LEN(INDEX(headerRow,1,COLUMN()))),ovrHeaderRow,0))</f>
        <v>77.7</v>
      </c>
      <c r="CF45" s="12">
        <f>INDEX(ovrTable,MATCH(INDEX(oppCol24,ROW()),ovrTeamCol,0),MATCH(MID(INDEX(headerRow,1,COLUMN()),4,LEN(INDEX(headerRow,1,COLUMN()))),ovrHeaderRow,0))</f>
        <v>0.4</v>
      </c>
      <c r="CG45" s="12">
        <f>INDEX(ovrTable,MATCH(INDEX(oppCol24,ROW()),ovrTeamCol,0),MATCH(MID(INDEX(headerRow,1,COLUMN()),4,LEN(INDEX(headerRow,1,COLUMN()))),ovrHeaderRow,0))</f>
        <v>37.65</v>
      </c>
      <c r="CH45" s="12">
        <f>INDEX(ovrTable,MATCH(INDEX(oppCol24,ROW()),ovrTeamCol,0),MATCH(MID(INDEX(headerRow,1,COLUMN()),4,LEN(INDEX(headerRow,1,COLUMN()))),ovrHeaderRow,0))</f>
        <v>6.8</v>
      </c>
      <c r="CI45" s="12">
        <f>INDEX(ovrTable,MATCH(INDEX(oppCol24,ROW()),ovrTeamCol,0),MATCH(MID(INDEX(headerRow,1,COLUMN()),4,LEN(INDEX(headerRow,1,COLUMN()))),ovrHeaderRow,0))</f>
        <v>6.3</v>
      </c>
      <c r="CJ45" s="12">
        <f>INDEX(ovrTable,MATCH(INDEX(oppCol24,ROW()),ovrTeamCol,0),MATCH(MID(INDEX(headerRow,1,COLUMN()),4,LEN(INDEX(headerRow,1,COLUMN()))),ovrHeaderRow,0))</f>
        <v>0.3</v>
      </c>
      <c r="CK45" s="12">
        <f>INDEX(ovrTable,MATCH(INDEX(oppCol24,ROW()),ovrTeamCol,0),MATCH(MID(INDEX(headerRow,1,COLUMN()),4,LEN(INDEX(headerRow,1,COLUMN()))),ovrHeaderRow,0))</f>
        <v>11.38</v>
      </c>
      <c r="CL45" s="12">
        <f>INDEX(ovrTable,MATCH(INDEX(oppCol24,ROW()),ovrTeamCol,0),MATCH(MID(INDEX(headerRow,1,COLUMN()),4,LEN(INDEX(headerRow,1,COLUMN()))),ovrHeaderRow,0))</f>
        <v>11.1</v>
      </c>
      <c r="CM45" s="12">
        <f>INDEX(ovrTable,MATCH(INDEX(oppCol24,ROW()),ovrTeamCol,0),MATCH(MID(INDEX(headerRow,1,COLUMN()),4,LEN(INDEX(headerRow,1,COLUMN()))),ovrHeaderRow,0))</f>
        <v>71.599999999999994</v>
      </c>
      <c r="CN45" s="12">
        <f>INDEX(ovrTable,MATCH(INDEX(oppCol24,ROW()),ovrTeamCol,0),MATCH(MID(INDEX(headerRow,1,COLUMN()),4,LEN(INDEX(headerRow,1,COLUMN()))),ovrHeaderRow,0))</f>
        <v>17.399999999999999</v>
      </c>
      <c r="CO45" s="12">
        <f>INDEX(ovrTable,MATCH(INDEX(oppCol24,ROW()),ovrTeamCol,0),MATCH(MID(INDEX(headerRow,1,COLUMN()),4,LEN(INDEX(headerRow,1,COLUMN()))),ovrHeaderRow,0))</f>
        <v>59.292035398230077</v>
      </c>
    </row>
    <row r="46" spans="1:93" x14ac:dyDescent="0.3">
      <c r="A46" s="6" t="s">
        <v>47</v>
      </c>
      <c r="B46" s="3">
        <v>5</v>
      </c>
      <c r="C46" s="13" t="s">
        <v>41</v>
      </c>
      <c r="D46" s="14">
        <v>23</v>
      </c>
      <c r="E46" s="23">
        <v>29.411764705882355</v>
      </c>
      <c r="F46" s="24">
        <v>8</v>
      </c>
      <c r="G46" s="23">
        <v>38.095238095238095</v>
      </c>
      <c r="H46" s="24">
        <v>21</v>
      </c>
      <c r="I46" s="25">
        <v>0.68421052631578949</v>
      </c>
      <c r="J46" s="24">
        <v>13</v>
      </c>
      <c r="K46" s="24">
        <v>7</v>
      </c>
      <c r="L46" s="24">
        <v>3</v>
      </c>
      <c r="M46" s="24">
        <v>41.1</v>
      </c>
      <c r="N46" s="24">
        <v>28</v>
      </c>
      <c r="O46" s="26">
        <v>0.45152631578947366</v>
      </c>
      <c r="P46" s="24">
        <v>9</v>
      </c>
      <c r="Q46" s="24">
        <v>37.299999999999997</v>
      </c>
      <c r="R46" s="24">
        <v>19</v>
      </c>
      <c r="S46" s="23">
        <v>65.217391304347828</v>
      </c>
      <c r="T46" s="24">
        <v>23</v>
      </c>
      <c r="U46" s="24">
        <v>15</v>
      </c>
      <c r="V46" s="24">
        <v>72</v>
      </c>
      <c r="W46" s="24">
        <v>8</v>
      </c>
      <c r="X46" s="24">
        <v>61</v>
      </c>
      <c r="Y46" s="24">
        <v>-1</v>
      </c>
      <c r="Z46" s="24">
        <v>36</v>
      </c>
      <c r="AA46" s="24">
        <v>-11</v>
      </c>
      <c r="AB46" s="24">
        <v>6</v>
      </c>
      <c r="AC46" s="24">
        <v>-7</v>
      </c>
      <c r="AD46" s="24">
        <v>12</v>
      </c>
      <c r="AE46" s="24">
        <v>19</v>
      </c>
      <c r="AF46" s="46">
        <f t="shared" si="3"/>
        <v>72.86333780160858</v>
      </c>
      <c r="AG46" s="51">
        <f t="shared" ref="AG46" si="58">AVERAGE(AF46,AF47)</f>
        <v>73.037204180609649</v>
      </c>
      <c r="AH46" s="12">
        <f t="shared" si="52"/>
        <v>36.9</v>
      </c>
      <c r="AI46" s="12">
        <f t="shared" si="52"/>
        <v>7.1</v>
      </c>
      <c r="AJ46" s="12">
        <f t="shared" si="52"/>
        <v>34.9</v>
      </c>
      <c r="AK46" s="12">
        <f t="shared" si="52"/>
        <v>20.399999999999999</v>
      </c>
      <c r="AL46" s="12">
        <f t="shared" si="52"/>
        <v>1.28</v>
      </c>
      <c r="AM46" s="12">
        <f t="shared" si="52"/>
        <v>12.7</v>
      </c>
      <c r="AN46" s="12">
        <f t="shared" si="52"/>
        <v>17.079999999999998</v>
      </c>
      <c r="AO46" s="12">
        <f t="shared" si="52"/>
        <v>1.6</v>
      </c>
      <c r="AP46" s="12">
        <f t="shared" si="52"/>
        <v>45.7</v>
      </c>
      <c r="AQ46" s="12">
        <f t="shared" si="52"/>
        <v>23.94</v>
      </c>
      <c r="AR46" s="12">
        <f t="shared" si="53"/>
        <v>0.52200000000000002</v>
      </c>
      <c r="AS46" s="12">
        <f t="shared" si="53"/>
        <v>5.64</v>
      </c>
      <c r="AT46" s="12">
        <f t="shared" si="53"/>
        <v>46.1</v>
      </c>
      <c r="AU46" s="12">
        <f t="shared" si="53"/>
        <v>16.5</v>
      </c>
      <c r="AV46" s="12">
        <f t="shared" si="53"/>
        <v>75.5</v>
      </c>
      <c r="AW46" s="12">
        <f t="shared" si="53"/>
        <v>19.399999999999999</v>
      </c>
      <c r="AX46" s="12">
        <f t="shared" si="53"/>
        <v>14.7</v>
      </c>
      <c r="AY46" s="12">
        <f t="shared" si="53"/>
        <v>70</v>
      </c>
      <c r="AZ46" s="12">
        <f t="shared" si="53"/>
        <v>10.06</v>
      </c>
      <c r="BA46" s="12">
        <f t="shared" si="53"/>
        <v>74.7</v>
      </c>
      <c r="BB46" s="12">
        <f t="shared" si="54"/>
        <v>3.1</v>
      </c>
      <c r="BC46" s="12">
        <f t="shared" si="54"/>
        <v>34</v>
      </c>
      <c r="BD46" s="12">
        <f t="shared" si="54"/>
        <v>4.7</v>
      </c>
      <c r="BE46" s="12">
        <f t="shared" si="54"/>
        <v>6.2</v>
      </c>
      <c r="BF46" s="12">
        <f t="shared" si="54"/>
        <v>1.3</v>
      </c>
      <c r="BG46" s="12">
        <f t="shared" si="54"/>
        <v>11.28</v>
      </c>
      <c r="BH46" s="12">
        <f t="shared" si="54"/>
        <v>9.9</v>
      </c>
      <c r="BI46" s="12">
        <f t="shared" si="54"/>
        <v>68</v>
      </c>
      <c r="BJ46" s="12">
        <f t="shared" si="54"/>
        <v>19.350000000000001</v>
      </c>
      <c r="BK46" s="12">
        <f t="shared" si="54"/>
        <v>57.375271149674631</v>
      </c>
      <c r="BL46" s="12">
        <f>INDEX(ovrTable,MATCH(INDEX(oppCol24,ROW()),ovrTeamCol,0),MATCH(MID(INDEX(headerRow,1,COLUMN()),4,LEN(INDEX(headerRow,1,COLUMN()))),ovrHeaderRow,0))</f>
        <v>29.9</v>
      </c>
      <c r="BM46" s="12">
        <f>INDEX(ovrTable,MATCH(INDEX(oppCol24,ROW()),ovrTeamCol,0),MATCH(MID(INDEX(headerRow,1,COLUMN()),4,LEN(INDEX(headerRow,1,COLUMN()))),ovrHeaderRow,0))</f>
        <v>8.5</v>
      </c>
      <c r="BN46" s="12">
        <f>INDEX(ovrTable,MATCH(INDEX(oppCol24,ROW()),ovrTeamCol,0),MATCH(MID(INDEX(headerRow,1,COLUMN()),4,LEN(INDEX(headerRow,1,COLUMN()))),ovrHeaderRow,0))</f>
        <v>36</v>
      </c>
      <c r="BO46" s="12">
        <f>INDEX(ovrTable,MATCH(INDEX(oppCol24,ROW()),ovrTeamCol,0),MATCH(MID(INDEX(headerRow,1,COLUMN()),4,LEN(INDEX(headerRow,1,COLUMN()))),ovrHeaderRow,0))</f>
        <v>23.7</v>
      </c>
      <c r="BP46" s="12">
        <f>INDEX(ovrTable,MATCH(INDEX(oppCol24,ROW()),ovrTeamCol,0),MATCH(MID(INDEX(headerRow,1,COLUMN()),4,LEN(INDEX(headerRow,1,COLUMN()))),ovrHeaderRow,0))</f>
        <v>1.47</v>
      </c>
      <c r="BQ46" s="12">
        <f>INDEX(ovrTable,MATCH(INDEX(oppCol24,ROW()),ovrTeamCol,0),MATCH(MID(INDEX(headerRow,1,COLUMN()),4,LEN(INDEX(headerRow,1,COLUMN()))),ovrHeaderRow,0))</f>
        <v>16</v>
      </c>
      <c r="BR46" s="12">
        <f>INDEX(ovrTable,MATCH(INDEX(oppCol24,ROW()),ovrTeamCol,0),MATCH(MID(INDEX(headerRow,1,COLUMN()),4,LEN(INDEX(headerRow,1,COLUMN()))),ovrHeaderRow,0))</f>
        <v>23.75</v>
      </c>
      <c r="BS46" s="12">
        <f>INDEX(ovrTable,MATCH(INDEX(oppCol24,ROW()),ovrTeamCol,0),MATCH(MID(INDEX(headerRow,1,COLUMN()),4,LEN(INDEX(headerRow,1,COLUMN()))),ovrHeaderRow,0))</f>
        <v>3.1</v>
      </c>
      <c r="BT46" s="12">
        <f>INDEX(ovrTable,MATCH(INDEX(oppCol24,ROW()),ovrTeamCol,0),MATCH(MID(INDEX(headerRow,1,COLUMN()),4,LEN(INDEX(headerRow,1,COLUMN()))),ovrHeaderRow,0))</f>
        <v>41.6</v>
      </c>
      <c r="BU46" s="12">
        <f>INDEX(ovrTable,MATCH(INDEX(oppCol24,ROW()),ovrTeamCol,0),MATCH(MID(INDEX(headerRow,1,COLUMN()),4,LEN(INDEX(headerRow,1,COLUMN()))),ovrHeaderRow,0))</f>
        <v>27.08</v>
      </c>
      <c r="BV46" s="12">
        <f>INDEX(ovrTable,MATCH(INDEX(oppCol24,ROW()),ovrTeamCol,0),MATCH(MID(INDEX(headerRow,1,COLUMN()),4,LEN(INDEX(headerRow,1,COLUMN()))),ovrHeaderRow,0))</f>
        <v>0.54400000000000004</v>
      </c>
      <c r="BW46" s="12">
        <f>INDEX(ovrTable,MATCH(INDEX(oppCol24,ROW()),ovrTeamCol,0),MATCH(MID(INDEX(headerRow,1,COLUMN()),4,LEN(INDEX(headerRow,1,COLUMN()))),ovrHeaderRow,0))</f>
        <v>11.03</v>
      </c>
      <c r="BX46" s="12">
        <f>INDEX(ovrTable,MATCH(INDEX(oppCol24,ROW()),ovrTeamCol,0),MATCH(MID(INDEX(headerRow,1,COLUMN()),4,LEN(INDEX(headerRow,1,COLUMN()))),ovrHeaderRow,0))</f>
        <v>47.6</v>
      </c>
      <c r="BY46" s="12">
        <f>INDEX(ovrTable,MATCH(INDEX(oppCol24,ROW()),ovrTeamCol,0),MATCH(MID(INDEX(headerRow,1,COLUMN()),4,LEN(INDEX(headerRow,1,COLUMN()))),ovrHeaderRow,0))</f>
        <v>17.3</v>
      </c>
      <c r="BZ46" s="12">
        <f>INDEX(ovrTable,MATCH(INDEX(oppCol24,ROW()),ovrTeamCol,0),MATCH(MID(INDEX(headerRow,1,COLUMN()),4,LEN(INDEX(headerRow,1,COLUMN()))),ovrHeaderRow,0))</f>
        <v>70.3</v>
      </c>
      <c r="CA46" s="12">
        <f>INDEX(ovrTable,MATCH(INDEX(oppCol24,ROW()),ovrTeamCol,0),MATCH(MID(INDEX(headerRow,1,COLUMN()),4,LEN(INDEX(headerRow,1,COLUMN()))),ovrHeaderRow,0))</f>
        <v>21.4</v>
      </c>
      <c r="CB46" s="12">
        <f>INDEX(ovrTable,MATCH(INDEX(oppCol24,ROW()),ovrTeamCol,0),MATCH(MID(INDEX(headerRow,1,COLUMN()),4,LEN(INDEX(headerRow,1,COLUMN()))),ovrHeaderRow,0))</f>
        <v>15.1</v>
      </c>
      <c r="CC46" s="12">
        <f>INDEX(ovrTable,MATCH(INDEX(oppCol24,ROW()),ovrTeamCol,0),MATCH(MID(INDEX(headerRow,1,COLUMN()),4,LEN(INDEX(headerRow,1,COLUMN()))),ovrHeaderRow,0))</f>
        <v>69.599999999999994</v>
      </c>
      <c r="CD46" s="12">
        <f>INDEX(ovrTable,MATCH(INDEX(oppCol24,ROW()),ovrTeamCol,0),MATCH(MID(INDEX(headerRow,1,COLUMN()),4,LEN(INDEX(headerRow,1,COLUMN()))),ovrHeaderRow,0))</f>
        <v>11.53</v>
      </c>
      <c r="CE46" s="12">
        <f>INDEX(ovrTable,MATCH(INDEX(oppCol24,ROW()),ovrTeamCol,0),MATCH(MID(INDEX(headerRow,1,COLUMN()),4,LEN(INDEX(headerRow,1,COLUMN()))),ovrHeaderRow,0))</f>
        <v>83.2</v>
      </c>
      <c r="CF46" s="12">
        <f>INDEX(ovrTable,MATCH(INDEX(oppCol24,ROW()),ovrTeamCol,0),MATCH(MID(INDEX(headerRow,1,COLUMN()),4,LEN(INDEX(headerRow,1,COLUMN()))),ovrHeaderRow,0))</f>
        <v>4.7</v>
      </c>
      <c r="CG46" s="12">
        <f>INDEX(ovrTable,MATCH(INDEX(oppCol24,ROW()),ovrTeamCol,0),MATCH(MID(INDEX(headerRow,1,COLUMN()),4,LEN(INDEX(headerRow,1,COLUMN()))),ovrHeaderRow,0))</f>
        <v>38.61</v>
      </c>
      <c r="CH46" s="12">
        <f>INDEX(ovrTable,MATCH(INDEX(oppCol24,ROW()),ovrTeamCol,0),MATCH(MID(INDEX(headerRow,1,COLUMN()),4,LEN(INDEX(headerRow,1,COLUMN()))),ovrHeaderRow,0))</f>
        <v>13.6</v>
      </c>
      <c r="CI46" s="12">
        <f>INDEX(ovrTable,MATCH(INDEX(oppCol24,ROW()),ovrTeamCol,0),MATCH(MID(INDEX(headerRow,1,COLUMN()),4,LEN(INDEX(headerRow,1,COLUMN()))),ovrHeaderRow,0))</f>
        <v>9</v>
      </c>
      <c r="CJ46" s="12">
        <f>INDEX(ovrTable,MATCH(INDEX(oppCol24,ROW()),ovrTeamCol,0),MATCH(MID(INDEX(headerRow,1,COLUMN()),4,LEN(INDEX(headerRow,1,COLUMN()))),ovrHeaderRow,0))</f>
        <v>3.4</v>
      </c>
      <c r="CK46" s="12">
        <f>INDEX(ovrTable,MATCH(INDEX(oppCol24,ROW()),ovrTeamCol,0),MATCH(MID(INDEX(headerRow,1,COLUMN()),4,LEN(INDEX(headerRow,1,COLUMN()))),ovrHeaderRow,0))</f>
        <v>14.33</v>
      </c>
      <c r="CL46" s="12">
        <f>INDEX(ovrTable,MATCH(INDEX(oppCol24,ROW()),ovrTeamCol,0),MATCH(MID(INDEX(headerRow,1,COLUMN()),4,LEN(INDEX(headerRow,1,COLUMN()))),ovrHeaderRow,0))</f>
        <v>10.9</v>
      </c>
      <c r="CM46" s="12">
        <f>INDEX(ovrTable,MATCH(INDEX(oppCol24,ROW()),ovrTeamCol,0),MATCH(MID(INDEX(headerRow,1,COLUMN()),4,LEN(INDEX(headerRow,1,COLUMN()))),ovrHeaderRow,0))</f>
        <v>73.599999999999994</v>
      </c>
      <c r="CN46" s="12">
        <f>INDEX(ovrTable,MATCH(INDEX(oppCol24,ROW()),ovrTeamCol,0),MATCH(MID(INDEX(headerRow,1,COLUMN()),4,LEN(INDEX(headerRow,1,COLUMN()))),ovrHeaderRow,0))</f>
        <v>21.300000000000004</v>
      </c>
      <c r="CO46" s="12">
        <f>INDEX(ovrTable,MATCH(INDEX(oppCol24,ROW()),ovrTeamCol,0),MATCH(MID(INDEX(headerRow,1,COLUMN()),4,LEN(INDEX(headerRow,1,COLUMN()))),ovrHeaderRow,0))</f>
        <v>62.605042016806728</v>
      </c>
    </row>
    <row r="47" spans="1:93" x14ac:dyDescent="0.3">
      <c r="A47" s="6" t="s">
        <v>41</v>
      </c>
      <c r="B47" s="3">
        <v>12</v>
      </c>
      <c r="C47" s="13" t="s">
        <v>47</v>
      </c>
      <c r="D47" s="14">
        <v>23</v>
      </c>
      <c r="E47" s="23">
        <v>38.095238095238095</v>
      </c>
      <c r="F47" s="24">
        <v>5</v>
      </c>
      <c r="G47" s="23">
        <v>29.411764705882355</v>
      </c>
      <c r="H47" s="24">
        <v>17</v>
      </c>
      <c r="I47" s="25">
        <v>1</v>
      </c>
      <c r="J47" s="24">
        <v>12</v>
      </c>
      <c r="K47" s="24">
        <v>21</v>
      </c>
      <c r="L47" s="24">
        <v>4</v>
      </c>
      <c r="M47" s="24">
        <v>37.299999999999997</v>
      </c>
      <c r="N47" s="24">
        <v>28</v>
      </c>
      <c r="O47" s="26">
        <v>0.45567391304347821</v>
      </c>
      <c r="P47" s="24">
        <v>14</v>
      </c>
      <c r="Q47" s="24">
        <v>41.1</v>
      </c>
      <c r="R47" s="24">
        <v>20</v>
      </c>
      <c r="S47" s="23">
        <v>70</v>
      </c>
      <c r="T47" s="24">
        <v>30</v>
      </c>
      <c r="U47" s="24">
        <v>21</v>
      </c>
      <c r="V47" s="24">
        <v>61</v>
      </c>
      <c r="W47" s="24">
        <v>9</v>
      </c>
      <c r="X47" s="24">
        <v>72</v>
      </c>
      <c r="Y47" s="24">
        <v>1</v>
      </c>
      <c r="Z47" s="24">
        <v>37</v>
      </c>
      <c r="AA47" s="24">
        <v>11</v>
      </c>
      <c r="AB47" s="24">
        <v>14</v>
      </c>
      <c r="AC47" s="24">
        <v>7</v>
      </c>
      <c r="AD47" s="24">
        <v>19</v>
      </c>
      <c r="AE47" s="24">
        <v>12</v>
      </c>
      <c r="AF47" s="46">
        <f t="shared" si="3"/>
        <v>73.211070559610704</v>
      </c>
      <c r="AG47" s="51">
        <f t="shared" ref="AG47" si="59">AVERAGE(AF46,AF47)</f>
        <v>73.037204180609649</v>
      </c>
      <c r="AH47" s="12">
        <f t="shared" si="52"/>
        <v>29.9</v>
      </c>
      <c r="AI47" s="12">
        <f t="shared" si="52"/>
        <v>8.5</v>
      </c>
      <c r="AJ47" s="12">
        <f t="shared" si="52"/>
        <v>36</v>
      </c>
      <c r="AK47" s="12">
        <f t="shared" si="52"/>
        <v>23.7</v>
      </c>
      <c r="AL47" s="12">
        <f t="shared" si="52"/>
        <v>1.47</v>
      </c>
      <c r="AM47" s="12">
        <f t="shared" si="52"/>
        <v>16</v>
      </c>
      <c r="AN47" s="12">
        <f t="shared" si="52"/>
        <v>23.75</v>
      </c>
      <c r="AO47" s="12">
        <f t="shared" si="52"/>
        <v>3.1</v>
      </c>
      <c r="AP47" s="12">
        <f t="shared" si="52"/>
        <v>41.6</v>
      </c>
      <c r="AQ47" s="12">
        <f t="shared" si="52"/>
        <v>27.08</v>
      </c>
      <c r="AR47" s="12">
        <f t="shared" si="53"/>
        <v>0.54400000000000004</v>
      </c>
      <c r="AS47" s="12">
        <f t="shared" si="53"/>
        <v>11.03</v>
      </c>
      <c r="AT47" s="12">
        <f t="shared" si="53"/>
        <v>47.6</v>
      </c>
      <c r="AU47" s="12">
        <f t="shared" si="53"/>
        <v>17.3</v>
      </c>
      <c r="AV47" s="12">
        <f t="shared" si="53"/>
        <v>70.3</v>
      </c>
      <c r="AW47" s="12">
        <f t="shared" si="53"/>
        <v>21.4</v>
      </c>
      <c r="AX47" s="12">
        <f t="shared" si="53"/>
        <v>15.1</v>
      </c>
      <c r="AY47" s="12">
        <f t="shared" si="53"/>
        <v>69.599999999999994</v>
      </c>
      <c r="AZ47" s="12">
        <f t="shared" si="53"/>
        <v>11.53</v>
      </c>
      <c r="BA47" s="12">
        <f t="shared" si="53"/>
        <v>83.2</v>
      </c>
      <c r="BB47" s="12">
        <f t="shared" si="54"/>
        <v>4.7</v>
      </c>
      <c r="BC47" s="12">
        <f t="shared" si="54"/>
        <v>38.61</v>
      </c>
      <c r="BD47" s="12">
        <f t="shared" si="54"/>
        <v>13.6</v>
      </c>
      <c r="BE47" s="12">
        <f t="shared" si="54"/>
        <v>9</v>
      </c>
      <c r="BF47" s="12">
        <f t="shared" si="54"/>
        <v>3.4</v>
      </c>
      <c r="BG47" s="12">
        <f t="shared" si="54"/>
        <v>14.33</v>
      </c>
      <c r="BH47" s="12">
        <f t="shared" si="54"/>
        <v>10.9</v>
      </c>
      <c r="BI47" s="12">
        <f t="shared" si="54"/>
        <v>73.599999999999994</v>
      </c>
      <c r="BJ47" s="12">
        <f t="shared" si="54"/>
        <v>21.300000000000004</v>
      </c>
      <c r="BK47" s="12">
        <f t="shared" si="54"/>
        <v>62.605042016806728</v>
      </c>
      <c r="BL47" s="12">
        <f>INDEX(ovrTable,MATCH(INDEX(oppCol24,ROW()),ovrTeamCol,0),MATCH(MID(INDEX(headerRow,1,COLUMN()),4,LEN(INDEX(headerRow,1,COLUMN()))),ovrHeaderRow,0))</f>
        <v>36.9</v>
      </c>
      <c r="BM47" s="12">
        <f>INDEX(ovrTable,MATCH(INDEX(oppCol24,ROW()),ovrTeamCol,0),MATCH(MID(INDEX(headerRow,1,COLUMN()),4,LEN(INDEX(headerRow,1,COLUMN()))),ovrHeaderRow,0))</f>
        <v>7.1</v>
      </c>
      <c r="BN47" s="12">
        <f>INDEX(ovrTable,MATCH(INDEX(oppCol24,ROW()),ovrTeamCol,0),MATCH(MID(INDEX(headerRow,1,COLUMN()),4,LEN(INDEX(headerRow,1,COLUMN()))),ovrHeaderRow,0))</f>
        <v>34.9</v>
      </c>
      <c r="BO47" s="12">
        <f>INDEX(ovrTable,MATCH(INDEX(oppCol24,ROW()),ovrTeamCol,0),MATCH(MID(INDEX(headerRow,1,COLUMN()),4,LEN(INDEX(headerRow,1,COLUMN()))),ovrHeaderRow,0))</f>
        <v>20.399999999999999</v>
      </c>
      <c r="BP47" s="12">
        <f>INDEX(ovrTable,MATCH(INDEX(oppCol24,ROW()),ovrTeamCol,0),MATCH(MID(INDEX(headerRow,1,COLUMN()),4,LEN(INDEX(headerRow,1,COLUMN()))),ovrHeaderRow,0))</f>
        <v>1.28</v>
      </c>
      <c r="BQ47" s="12">
        <f>INDEX(ovrTable,MATCH(INDEX(oppCol24,ROW()),ovrTeamCol,0),MATCH(MID(INDEX(headerRow,1,COLUMN()),4,LEN(INDEX(headerRow,1,COLUMN()))),ovrHeaderRow,0))</f>
        <v>12.7</v>
      </c>
      <c r="BR47" s="12">
        <f>INDEX(ovrTable,MATCH(INDEX(oppCol24,ROW()),ovrTeamCol,0),MATCH(MID(INDEX(headerRow,1,COLUMN()),4,LEN(INDEX(headerRow,1,COLUMN()))),ovrHeaderRow,0))</f>
        <v>17.079999999999998</v>
      </c>
      <c r="BS47" s="12">
        <f>INDEX(ovrTable,MATCH(INDEX(oppCol24,ROW()),ovrTeamCol,0),MATCH(MID(INDEX(headerRow,1,COLUMN()),4,LEN(INDEX(headerRow,1,COLUMN()))),ovrHeaderRow,0))</f>
        <v>1.6</v>
      </c>
      <c r="BT47" s="12">
        <f>INDEX(ovrTable,MATCH(INDEX(oppCol24,ROW()),ovrTeamCol,0),MATCH(MID(INDEX(headerRow,1,COLUMN()),4,LEN(INDEX(headerRow,1,COLUMN()))),ovrHeaderRow,0))</f>
        <v>45.7</v>
      </c>
      <c r="BU47" s="12">
        <f>INDEX(ovrTable,MATCH(INDEX(oppCol24,ROW()),ovrTeamCol,0),MATCH(MID(INDEX(headerRow,1,COLUMN()),4,LEN(INDEX(headerRow,1,COLUMN()))),ovrHeaderRow,0))</f>
        <v>23.94</v>
      </c>
      <c r="BV47" s="12">
        <f>INDEX(ovrTable,MATCH(INDEX(oppCol24,ROW()),ovrTeamCol,0),MATCH(MID(INDEX(headerRow,1,COLUMN()),4,LEN(INDEX(headerRow,1,COLUMN()))),ovrHeaderRow,0))</f>
        <v>0.52200000000000002</v>
      </c>
      <c r="BW47" s="12">
        <f>INDEX(ovrTable,MATCH(INDEX(oppCol24,ROW()),ovrTeamCol,0),MATCH(MID(INDEX(headerRow,1,COLUMN()),4,LEN(INDEX(headerRow,1,COLUMN()))),ovrHeaderRow,0))</f>
        <v>5.64</v>
      </c>
      <c r="BX47" s="12">
        <f>INDEX(ovrTable,MATCH(INDEX(oppCol24,ROW()),ovrTeamCol,0),MATCH(MID(INDEX(headerRow,1,COLUMN()),4,LEN(INDEX(headerRow,1,COLUMN()))),ovrHeaderRow,0))</f>
        <v>46.1</v>
      </c>
      <c r="BY47" s="12">
        <f>INDEX(ovrTable,MATCH(INDEX(oppCol24,ROW()),ovrTeamCol,0),MATCH(MID(INDEX(headerRow,1,COLUMN()),4,LEN(INDEX(headerRow,1,COLUMN()))),ovrHeaderRow,0))</f>
        <v>16.5</v>
      </c>
      <c r="BZ47" s="12">
        <f>INDEX(ovrTable,MATCH(INDEX(oppCol24,ROW()),ovrTeamCol,0),MATCH(MID(INDEX(headerRow,1,COLUMN()),4,LEN(INDEX(headerRow,1,COLUMN()))),ovrHeaderRow,0))</f>
        <v>75.5</v>
      </c>
      <c r="CA47" s="12">
        <f>INDEX(ovrTable,MATCH(INDEX(oppCol24,ROW()),ovrTeamCol,0),MATCH(MID(INDEX(headerRow,1,COLUMN()),4,LEN(INDEX(headerRow,1,COLUMN()))),ovrHeaderRow,0))</f>
        <v>19.399999999999999</v>
      </c>
      <c r="CB47" s="12">
        <f>INDEX(ovrTable,MATCH(INDEX(oppCol24,ROW()),ovrTeamCol,0),MATCH(MID(INDEX(headerRow,1,COLUMN()),4,LEN(INDEX(headerRow,1,COLUMN()))),ovrHeaderRow,0))</f>
        <v>14.7</v>
      </c>
      <c r="CC47" s="12">
        <f>INDEX(ovrTable,MATCH(INDEX(oppCol24,ROW()),ovrTeamCol,0),MATCH(MID(INDEX(headerRow,1,COLUMN()),4,LEN(INDEX(headerRow,1,COLUMN()))),ovrHeaderRow,0))</f>
        <v>70</v>
      </c>
      <c r="CD47" s="12">
        <f>INDEX(ovrTable,MATCH(INDEX(oppCol24,ROW()),ovrTeamCol,0),MATCH(MID(INDEX(headerRow,1,COLUMN()),4,LEN(INDEX(headerRow,1,COLUMN()))),ovrHeaderRow,0))</f>
        <v>10.06</v>
      </c>
      <c r="CE47" s="12">
        <f>INDEX(ovrTable,MATCH(INDEX(oppCol24,ROW()),ovrTeamCol,0),MATCH(MID(INDEX(headerRow,1,COLUMN()),4,LEN(INDEX(headerRow,1,COLUMN()))),ovrHeaderRow,0))</f>
        <v>74.7</v>
      </c>
      <c r="CF47" s="12">
        <f>INDEX(ovrTable,MATCH(INDEX(oppCol24,ROW()),ovrTeamCol,0),MATCH(MID(INDEX(headerRow,1,COLUMN()),4,LEN(INDEX(headerRow,1,COLUMN()))),ovrHeaderRow,0))</f>
        <v>3.1</v>
      </c>
      <c r="CG47" s="12">
        <f>INDEX(ovrTable,MATCH(INDEX(oppCol24,ROW()),ovrTeamCol,0),MATCH(MID(INDEX(headerRow,1,COLUMN()),4,LEN(INDEX(headerRow,1,COLUMN()))),ovrHeaderRow,0))</f>
        <v>34</v>
      </c>
      <c r="CH47" s="12">
        <f>INDEX(ovrTable,MATCH(INDEX(oppCol24,ROW()),ovrTeamCol,0),MATCH(MID(INDEX(headerRow,1,COLUMN()),4,LEN(INDEX(headerRow,1,COLUMN()))),ovrHeaderRow,0))</f>
        <v>4.7</v>
      </c>
      <c r="CI47" s="12">
        <f>INDEX(ovrTable,MATCH(INDEX(oppCol24,ROW()),ovrTeamCol,0),MATCH(MID(INDEX(headerRow,1,COLUMN()),4,LEN(INDEX(headerRow,1,COLUMN()))),ovrHeaderRow,0))</f>
        <v>6.2</v>
      </c>
      <c r="CJ47" s="12">
        <f>INDEX(ovrTable,MATCH(INDEX(oppCol24,ROW()),ovrTeamCol,0),MATCH(MID(INDEX(headerRow,1,COLUMN()),4,LEN(INDEX(headerRow,1,COLUMN()))),ovrHeaderRow,0))</f>
        <v>1.3</v>
      </c>
      <c r="CK47" s="12">
        <f>INDEX(ovrTable,MATCH(INDEX(oppCol24,ROW()),ovrTeamCol,0),MATCH(MID(INDEX(headerRow,1,COLUMN()),4,LEN(INDEX(headerRow,1,COLUMN()))),ovrHeaderRow,0))</f>
        <v>11.28</v>
      </c>
      <c r="CL47" s="12">
        <f>INDEX(ovrTable,MATCH(INDEX(oppCol24,ROW()),ovrTeamCol,0),MATCH(MID(INDEX(headerRow,1,COLUMN()),4,LEN(INDEX(headerRow,1,COLUMN()))),ovrHeaderRow,0))</f>
        <v>9.9</v>
      </c>
      <c r="CM47" s="12">
        <f>INDEX(ovrTable,MATCH(INDEX(oppCol24,ROW()),ovrTeamCol,0),MATCH(MID(INDEX(headerRow,1,COLUMN()),4,LEN(INDEX(headerRow,1,COLUMN()))),ovrHeaderRow,0))</f>
        <v>68</v>
      </c>
      <c r="CN47" s="12">
        <f>INDEX(ovrTable,MATCH(INDEX(oppCol24,ROW()),ovrTeamCol,0),MATCH(MID(INDEX(headerRow,1,COLUMN()),4,LEN(INDEX(headerRow,1,COLUMN()))),ovrHeaderRow,0))</f>
        <v>19.350000000000001</v>
      </c>
      <c r="CO47" s="12">
        <f>INDEX(ovrTable,MATCH(INDEX(oppCol24,ROW()),ovrTeamCol,0),MATCH(MID(INDEX(headerRow,1,COLUMN()),4,LEN(INDEX(headerRow,1,COLUMN()))),ovrHeaderRow,0))</f>
        <v>57.375271149674631</v>
      </c>
    </row>
    <row r="48" spans="1:93" x14ac:dyDescent="0.3">
      <c r="A48" s="6" t="s">
        <v>38</v>
      </c>
      <c r="B48" s="3">
        <v>13</v>
      </c>
      <c r="C48" s="13" t="s">
        <v>48</v>
      </c>
      <c r="D48" s="14">
        <v>24</v>
      </c>
      <c r="E48" s="23">
        <v>33.333333333333329</v>
      </c>
      <c r="F48" s="24">
        <v>5</v>
      </c>
      <c r="G48" s="23">
        <v>25</v>
      </c>
      <c r="H48" s="24">
        <v>20</v>
      </c>
      <c r="I48" s="25">
        <v>1</v>
      </c>
      <c r="J48" s="24">
        <v>12</v>
      </c>
      <c r="K48" s="24">
        <v>7</v>
      </c>
      <c r="L48" s="24">
        <v>3</v>
      </c>
      <c r="M48" s="24">
        <v>42.2</v>
      </c>
      <c r="N48" s="24">
        <v>20</v>
      </c>
      <c r="O48" s="26">
        <v>0.43312499999999998</v>
      </c>
      <c r="P48" s="24">
        <v>3</v>
      </c>
      <c r="Q48" s="24">
        <v>38.5</v>
      </c>
      <c r="R48" s="24">
        <v>19</v>
      </c>
      <c r="S48" s="23">
        <v>33.333333333333329</v>
      </c>
      <c r="T48" s="24">
        <v>6</v>
      </c>
      <c r="U48" s="24">
        <v>2</v>
      </c>
      <c r="V48" s="24">
        <v>64</v>
      </c>
      <c r="W48" s="24">
        <v>6</v>
      </c>
      <c r="X48" s="24">
        <v>47</v>
      </c>
      <c r="Y48" s="24">
        <v>-12</v>
      </c>
      <c r="Z48" s="24">
        <v>26</v>
      </c>
      <c r="AA48" s="24">
        <v>-17</v>
      </c>
      <c r="AB48" s="24">
        <v>8</v>
      </c>
      <c r="AC48" s="24">
        <v>-3</v>
      </c>
      <c r="AD48" s="24">
        <v>9</v>
      </c>
      <c r="AE48" s="24">
        <v>12</v>
      </c>
      <c r="AF48" s="46">
        <f t="shared" si="3"/>
        <v>60.798051948051942</v>
      </c>
      <c r="AG48" s="51">
        <f t="shared" ref="AG48" si="60">AVERAGE(AF48,AF49)</f>
        <v>59.798374315258201</v>
      </c>
      <c r="AH48" s="12">
        <f t="shared" si="52"/>
        <v>31.4</v>
      </c>
      <c r="AI48" s="12">
        <f t="shared" si="52"/>
        <v>8.6</v>
      </c>
      <c r="AJ48" s="12">
        <f t="shared" si="52"/>
        <v>34.200000000000003</v>
      </c>
      <c r="AK48" s="12">
        <f t="shared" si="52"/>
        <v>25.1</v>
      </c>
      <c r="AL48" s="12">
        <f t="shared" si="52"/>
        <v>1.48</v>
      </c>
      <c r="AM48" s="12">
        <f t="shared" si="52"/>
        <v>13.7</v>
      </c>
      <c r="AN48" s="12">
        <f t="shared" si="52"/>
        <v>22.71</v>
      </c>
      <c r="AO48" s="12">
        <f t="shared" si="52"/>
        <v>3.9</v>
      </c>
      <c r="AP48" s="12">
        <f t="shared" si="52"/>
        <v>40.6</v>
      </c>
      <c r="AQ48" s="12">
        <f t="shared" si="52"/>
        <v>26.97</v>
      </c>
      <c r="AR48" s="12">
        <f t="shared" si="53"/>
        <v>0.53</v>
      </c>
      <c r="AS48" s="12">
        <f t="shared" si="53"/>
        <v>5.89</v>
      </c>
      <c r="AT48" s="12">
        <f t="shared" si="53"/>
        <v>45.5</v>
      </c>
      <c r="AU48" s="12">
        <f t="shared" si="53"/>
        <v>13.9</v>
      </c>
      <c r="AV48" s="12">
        <f t="shared" si="53"/>
        <v>71.599999999999994</v>
      </c>
      <c r="AW48" s="12">
        <f t="shared" si="53"/>
        <v>16.2</v>
      </c>
      <c r="AX48" s="12">
        <f t="shared" si="53"/>
        <v>11.6</v>
      </c>
      <c r="AY48" s="12">
        <f t="shared" si="53"/>
        <v>63</v>
      </c>
      <c r="AZ48" s="12">
        <f t="shared" si="53"/>
        <v>7.66</v>
      </c>
      <c r="BA48" s="12">
        <f t="shared" si="53"/>
        <v>71.599999999999994</v>
      </c>
      <c r="BB48" s="12">
        <f t="shared" si="54"/>
        <v>0.8</v>
      </c>
      <c r="BC48" s="12">
        <f t="shared" si="54"/>
        <v>34.630000000000003</v>
      </c>
      <c r="BD48" s="12">
        <f t="shared" si="54"/>
        <v>8.6</v>
      </c>
      <c r="BE48" s="12">
        <f t="shared" si="54"/>
        <v>5.9</v>
      </c>
      <c r="BF48" s="12">
        <f t="shared" si="54"/>
        <v>0.8</v>
      </c>
      <c r="BG48" s="12">
        <f t="shared" si="54"/>
        <v>10.029999999999999</v>
      </c>
      <c r="BH48" s="12">
        <f t="shared" si="54"/>
        <v>9.1999999999999993</v>
      </c>
      <c r="BI48" s="12">
        <f t="shared" si="54"/>
        <v>66.7</v>
      </c>
      <c r="BJ48" s="12">
        <f t="shared" si="54"/>
        <v>17.099999999999998</v>
      </c>
      <c r="BK48" s="12">
        <f t="shared" si="54"/>
        <v>56.483516483516475</v>
      </c>
      <c r="BL48" s="12">
        <f>INDEX(ovrTable,MATCH(INDEX(oppCol24,ROW()),ovrTeamCol,0),MATCH(MID(INDEX(headerRow,1,COLUMN()),4,LEN(INDEX(headerRow,1,COLUMN()))),ovrHeaderRow,0))</f>
        <v>31.8</v>
      </c>
      <c r="BM48" s="12">
        <f>INDEX(ovrTable,MATCH(INDEX(oppCol24,ROW()),ovrTeamCol,0),MATCH(MID(INDEX(headerRow,1,COLUMN()),4,LEN(INDEX(headerRow,1,COLUMN()))),ovrHeaderRow,0))</f>
        <v>8.3000000000000007</v>
      </c>
      <c r="BN48" s="12">
        <f>INDEX(ovrTable,MATCH(INDEX(oppCol24,ROW()),ovrTeamCol,0),MATCH(MID(INDEX(headerRow,1,COLUMN()),4,LEN(INDEX(headerRow,1,COLUMN()))),ovrHeaderRow,0))</f>
        <v>37.700000000000003</v>
      </c>
      <c r="BO48" s="12">
        <f>INDEX(ovrTable,MATCH(INDEX(oppCol24,ROW()),ovrTeamCol,0),MATCH(MID(INDEX(headerRow,1,COLUMN()),4,LEN(INDEX(headerRow,1,COLUMN()))),ovrHeaderRow,0))</f>
        <v>22</v>
      </c>
      <c r="BP48" s="12">
        <f>INDEX(ovrTable,MATCH(INDEX(oppCol24,ROW()),ovrTeamCol,0),MATCH(MID(INDEX(headerRow,1,COLUMN()),4,LEN(INDEX(headerRow,1,COLUMN()))),ovrHeaderRow,0))</f>
        <v>1.58</v>
      </c>
      <c r="BQ48" s="12">
        <f>INDEX(ovrTable,MATCH(INDEX(oppCol24,ROW()),ovrTeamCol,0),MATCH(MID(INDEX(headerRow,1,COLUMN()),4,LEN(INDEX(headerRow,1,COLUMN()))),ovrHeaderRow,0))</f>
        <v>15.3</v>
      </c>
      <c r="BR48" s="12">
        <f>INDEX(ovrTable,MATCH(INDEX(oppCol24,ROW()),ovrTeamCol,0),MATCH(MID(INDEX(headerRow,1,COLUMN()),4,LEN(INDEX(headerRow,1,COLUMN()))),ovrHeaderRow,0))</f>
        <v>14.22</v>
      </c>
      <c r="BS48" s="12">
        <f>INDEX(ovrTable,MATCH(INDEX(oppCol24,ROW()),ovrTeamCol,0),MATCH(MID(INDEX(headerRow,1,COLUMN()),4,LEN(INDEX(headerRow,1,COLUMN()))),ovrHeaderRow,0))</f>
        <v>3.7</v>
      </c>
      <c r="BT48" s="12">
        <f>INDEX(ovrTable,MATCH(INDEX(oppCol24,ROW()),ovrTeamCol,0),MATCH(MID(INDEX(headerRow,1,COLUMN()),4,LEN(INDEX(headerRow,1,COLUMN()))),ovrHeaderRow,0))</f>
        <v>43</v>
      </c>
      <c r="BU48" s="12">
        <f>INDEX(ovrTable,MATCH(INDEX(oppCol24,ROW()),ovrTeamCol,0),MATCH(MID(INDEX(headerRow,1,COLUMN()),4,LEN(INDEX(headerRow,1,COLUMN()))),ovrHeaderRow,0))</f>
        <v>26</v>
      </c>
      <c r="BV48" s="12">
        <f>INDEX(ovrTable,MATCH(INDEX(oppCol24,ROW()),ovrTeamCol,0),MATCH(MID(INDEX(headerRow,1,COLUMN()),4,LEN(INDEX(headerRow,1,COLUMN()))),ovrHeaderRow,0))</f>
        <v>0.54600000000000004</v>
      </c>
      <c r="BW48" s="12">
        <f>INDEX(ovrTable,MATCH(INDEX(oppCol24,ROW()),ovrTeamCol,0),MATCH(MID(INDEX(headerRow,1,COLUMN()),4,LEN(INDEX(headerRow,1,COLUMN()))),ovrHeaderRow,0))</f>
        <v>10.72</v>
      </c>
      <c r="BX48" s="12">
        <f>INDEX(ovrTable,MATCH(INDEX(oppCol24,ROW()),ovrTeamCol,0),MATCH(MID(INDEX(headerRow,1,COLUMN()),4,LEN(INDEX(headerRow,1,COLUMN()))),ovrHeaderRow,0))</f>
        <v>47.5</v>
      </c>
      <c r="BY48" s="12">
        <f>INDEX(ovrTable,MATCH(INDEX(oppCol24,ROW()),ovrTeamCol,0),MATCH(MID(INDEX(headerRow,1,COLUMN()),4,LEN(INDEX(headerRow,1,COLUMN()))),ovrHeaderRow,0))</f>
        <v>15.9</v>
      </c>
      <c r="BZ48" s="12">
        <f>INDEX(ovrTable,MATCH(INDEX(oppCol24,ROW()),ovrTeamCol,0),MATCH(MID(INDEX(headerRow,1,COLUMN()),4,LEN(INDEX(headerRow,1,COLUMN()))),ovrHeaderRow,0))</f>
        <v>72.3</v>
      </c>
      <c r="CA48" s="12">
        <f>INDEX(ovrTable,MATCH(INDEX(oppCol24,ROW()),ovrTeamCol,0),MATCH(MID(INDEX(headerRow,1,COLUMN()),4,LEN(INDEX(headerRow,1,COLUMN()))),ovrHeaderRow,0))</f>
        <v>20.100000000000001</v>
      </c>
      <c r="CB48" s="12">
        <f>INDEX(ovrTable,MATCH(INDEX(oppCol24,ROW()),ovrTeamCol,0),MATCH(MID(INDEX(headerRow,1,COLUMN()),4,LEN(INDEX(headerRow,1,COLUMN()))),ovrHeaderRow,0))</f>
        <v>14.6</v>
      </c>
      <c r="CC48" s="12">
        <f>INDEX(ovrTable,MATCH(INDEX(oppCol24,ROW()),ovrTeamCol,0),MATCH(MID(INDEX(headerRow,1,COLUMN()),4,LEN(INDEX(headerRow,1,COLUMN()))),ovrHeaderRow,0))</f>
        <v>66.3</v>
      </c>
      <c r="CD48" s="12">
        <f>INDEX(ovrTable,MATCH(INDEX(oppCol24,ROW()),ovrTeamCol,0),MATCH(MID(INDEX(headerRow,1,COLUMN()),4,LEN(INDEX(headerRow,1,COLUMN()))),ovrHeaderRow,0))</f>
        <v>10.64</v>
      </c>
      <c r="CE48" s="12">
        <f>INDEX(ovrTable,MATCH(INDEX(oppCol24,ROW()),ovrTeamCol,0),MATCH(MID(INDEX(headerRow,1,COLUMN()),4,LEN(INDEX(headerRow,1,COLUMN()))),ovrHeaderRow,0))</f>
        <v>78.599999999999994</v>
      </c>
      <c r="CF48" s="12">
        <f>INDEX(ovrTable,MATCH(INDEX(oppCol24,ROW()),ovrTeamCol,0),MATCH(MID(INDEX(headerRow,1,COLUMN()),4,LEN(INDEX(headerRow,1,COLUMN()))),ovrHeaderRow,0))</f>
        <v>5.0999999999999996</v>
      </c>
      <c r="CG48" s="12">
        <f>INDEX(ovrTable,MATCH(INDEX(oppCol24,ROW()),ovrTeamCol,0),MATCH(MID(INDEX(headerRow,1,COLUMN()),4,LEN(INDEX(headerRow,1,COLUMN()))),ovrHeaderRow,0))</f>
        <v>36.64</v>
      </c>
      <c r="CH48" s="12">
        <f>INDEX(ovrTable,MATCH(INDEX(oppCol24,ROW()),ovrTeamCol,0),MATCH(MID(INDEX(headerRow,1,COLUMN()),4,LEN(INDEX(headerRow,1,COLUMN()))),ovrHeaderRow,0))</f>
        <v>12.3</v>
      </c>
      <c r="CI48" s="12">
        <f>INDEX(ovrTable,MATCH(INDEX(oppCol24,ROW()),ovrTeamCol,0),MATCH(MID(INDEX(headerRow,1,COLUMN()),4,LEN(INDEX(headerRow,1,COLUMN()))),ovrHeaderRow,0))</f>
        <v>6.5</v>
      </c>
      <c r="CJ48" s="12">
        <f>INDEX(ovrTable,MATCH(INDEX(oppCol24,ROW()),ovrTeamCol,0),MATCH(MID(INDEX(headerRow,1,COLUMN()),4,LEN(INDEX(headerRow,1,COLUMN()))),ovrHeaderRow,0))</f>
        <v>1.6</v>
      </c>
      <c r="CK48" s="12">
        <f>INDEX(ovrTable,MATCH(INDEX(oppCol24,ROW()),ovrTeamCol,0),MATCH(MID(INDEX(headerRow,1,COLUMN()),4,LEN(INDEX(headerRow,1,COLUMN()))),ovrHeaderRow,0))</f>
        <v>11.31</v>
      </c>
      <c r="CL48" s="12">
        <f>INDEX(ovrTable,MATCH(INDEX(oppCol24,ROW()),ovrTeamCol,0),MATCH(MID(INDEX(headerRow,1,COLUMN()),4,LEN(INDEX(headerRow,1,COLUMN()))),ovrHeaderRow,0))</f>
        <v>9.6999999999999993</v>
      </c>
      <c r="CM48" s="12">
        <f>INDEX(ovrTable,MATCH(INDEX(oppCol24,ROW()),ovrTeamCol,0),MATCH(MID(INDEX(headerRow,1,COLUMN()),4,LEN(INDEX(headerRow,1,COLUMN()))),ovrHeaderRow,0))</f>
        <v>68.599999999999994</v>
      </c>
      <c r="CN48" s="12">
        <f>INDEX(ovrTable,MATCH(INDEX(oppCol24,ROW()),ovrTeamCol,0),MATCH(MID(INDEX(headerRow,1,COLUMN()),4,LEN(INDEX(headerRow,1,COLUMN()))),ovrHeaderRow,0))</f>
        <v>19.549999999999997</v>
      </c>
      <c r="CO48" s="12">
        <f>INDEX(ovrTable,MATCH(INDEX(oppCol24,ROW()),ovrTeamCol,0),MATCH(MID(INDEX(headerRow,1,COLUMN()),4,LEN(INDEX(headerRow,1,COLUMN()))),ovrHeaderRow,0))</f>
        <v>58.631578947368418</v>
      </c>
    </row>
    <row r="49" spans="1:93" x14ac:dyDescent="0.3">
      <c r="A49" s="6" t="s">
        <v>48</v>
      </c>
      <c r="B49" s="3">
        <v>4</v>
      </c>
      <c r="C49" s="13" t="s">
        <v>38</v>
      </c>
      <c r="D49" s="14">
        <v>24</v>
      </c>
      <c r="E49" s="23">
        <v>25</v>
      </c>
      <c r="F49" s="24">
        <v>6</v>
      </c>
      <c r="G49" s="23">
        <v>33.333333333333329</v>
      </c>
      <c r="H49" s="24">
        <v>18</v>
      </c>
      <c r="I49" s="25">
        <v>1.2222222222222223</v>
      </c>
      <c r="J49" s="24">
        <v>11</v>
      </c>
      <c r="K49" s="24">
        <v>4</v>
      </c>
      <c r="L49" s="24">
        <v>5</v>
      </c>
      <c r="M49" s="24">
        <v>38.5</v>
      </c>
      <c r="N49" s="24">
        <v>29</v>
      </c>
      <c r="O49" s="26">
        <v>0.48863157894736842</v>
      </c>
      <c r="P49" s="24">
        <v>7</v>
      </c>
      <c r="Q49" s="24">
        <v>42.2</v>
      </c>
      <c r="R49" s="24">
        <v>13</v>
      </c>
      <c r="S49" s="23">
        <v>68.965517241379317</v>
      </c>
      <c r="T49" s="24">
        <v>29</v>
      </c>
      <c r="U49" s="24">
        <v>20</v>
      </c>
      <c r="V49" s="24">
        <v>47</v>
      </c>
      <c r="W49" s="24">
        <v>9</v>
      </c>
      <c r="X49" s="24">
        <v>64</v>
      </c>
      <c r="Y49" s="24">
        <v>12</v>
      </c>
      <c r="Z49" s="24">
        <v>38</v>
      </c>
      <c r="AA49" s="24">
        <v>17</v>
      </c>
      <c r="AB49" s="24">
        <v>9</v>
      </c>
      <c r="AC49" s="24">
        <v>3</v>
      </c>
      <c r="AD49" s="24">
        <v>12</v>
      </c>
      <c r="AE49" s="24">
        <v>9</v>
      </c>
      <c r="AF49" s="46">
        <f t="shared" si="3"/>
        <v>58.798696682464453</v>
      </c>
      <c r="AG49" s="51">
        <f t="shared" ref="AG49" si="61">AVERAGE(AF48,AF49)</f>
        <v>59.798374315258201</v>
      </c>
      <c r="AH49" s="12">
        <f t="shared" si="52"/>
        <v>31.8</v>
      </c>
      <c r="AI49" s="12">
        <f t="shared" si="52"/>
        <v>8.3000000000000007</v>
      </c>
      <c r="AJ49" s="12">
        <f t="shared" si="52"/>
        <v>37.700000000000003</v>
      </c>
      <c r="AK49" s="12">
        <f t="shared" si="52"/>
        <v>22</v>
      </c>
      <c r="AL49" s="12">
        <f t="shared" si="52"/>
        <v>1.58</v>
      </c>
      <c r="AM49" s="12">
        <f t="shared" si="52"/>
        <v>15.3</v>
      </c>
      <c r="AN49" s="12">
        <f t="shared" si="52"/>
        <v>14.22</v>
      </c>
      <c r="AO49" s="12">
        <f t="shared" si="52"/>
        <v>3.7</v>
      </c>
      <c r="AP49" s="12">
        <f t="shared" si="52"/>
        <v>43</v>
      </c>
      <c r="AQ49" s="12">
        <f t="shared" si="52"/>
        <v>26</v>
      </c>
      <c r="AR49" s="12">
        <f t="shared" si="53"/>
        <v>0.54600000000000004</v>
      </c>
      <c r="AS49" s="12">
        <f t="shared" si="53"/>
        <v>10.72</v>
      </c>
      <c r="AT49" s="12">
        <f t="shared" si="53"/>
        <v>47.5</v>
      </c>
      <c r="AU49" s="12">
        <f t="shared" si="53"/>
        <v>15.9</v>
      </c>
      <c r="AV49" s="12">
        <f t="shared" si="53"/>
        <v>72.3</v>
      </c>
      <c r="AW49" s="12">
        <f t="shared" si="53"/>
        <v>20.100000000000001</v>
      </c>
      <c r="AX49" s="12">
        <f t="shared" si="53"/>
        <v>14.6</v>
      </c>
      <c r="AY49" s="12">
        <f t="shared" si="53"/>
        <v>66.3</v>
      </c>
      <c r="AZ49" s="12">
        <f t="shared" si="53"/>
        <v>10.64</v>
      </c>
      <c r="BA49" s="12">
        <f t="shared" si="53"/>
        <v>78.599999999999994</v>
      </c>
      <c r="BB49" s="12">
        <f t="shared" si="54"/>
        <v>5.0999999999999996</v>
      </c>
      <c r="BC49" s="12">
        <f t="shared" si="54"/>
        <v>36.64</v>
      </c>
      <c r="BD49" s="12">
        <f t="shared" si="54"/>
        <v>12.3</v>
      </c>
      <c r="BE49" s="12">
        <f t="shared" si="54"/>
        <v>6.5</v>
      </c>
      <c r="BF49" s="12">
        <f t="shared" si="54"/>
        <v>1.6</v>
      </c>
      <c r="BG49" s="12">
        <f t="shared" si="54"/>
        <v>11.31</v>
      </c>
      <c r="BH49" s="12">
        <f t="shared" si="54"/>
        <v>9.6999999999999993</v>
      </c>
      <c r="BI49" s="12">
        <f t="shared" si="54"/>
        <v>68.599999999999994</v>
      </c>
      <c r="BJ49" s="12">
        <f t="shared" si="54"/>
        <v>19.549999999999997</v>
      </c>
      <c r="BK49" s="12">
        <f t="shared" si="54"/>
        <v>58.631578947368418</v>
      </c>
      <c r="BL49" s="12">
        <f>INDEX(ovrTable,MATCH(INDEX(oppCol24,ROW()),ovrTeamCol,0),MATCH(MID(INDEX(headerRow,1,COLUMN()),4,LEN(INDEX(headerRow,1,COLUMN()))),ovrHeaderRow,0))</f>
        <v>31.4</v>
      </c>
      <c r="BM49" s="12">
        <f>INDEX(ovrTable,MATCH(INDEX(oppCol24,ROW()),ovrTeamCol,0),MATCH(MID(INDEX(headerRow,1,COLUMN()),4,LEN(INDEX(headerRow,1,COLUMN()))),ovrHeaderRow,0))</f>
        <v>8.6</v>
      </c>
      <c r="BN49" s="12">
        <f>INDEX(ovrTable,MATCH(INDEX(oppCol24,ROW()),ovrTeamCol,0),MATCH(MID(INDEX(headerRow,1,COLUMN()),4,LEN(INDEX(headerRow,1,COLUMN()))),ovrHeaderRow,0))</f>
        <v>34.200000000000003</v>
      </c>
      <c r="BO49" s="12">
        <f>INDEX(ovrTable,MATCH(INDEX(oppCol24,ROW()),ovrTeamCol,0),MATCH(MID(INDEX(headerRow,1,COLUMN()),4,LEN(INDEX(headerRow,1,COLUMN()))),ovrHeaderRow,0))</f>
        <v>25.1</v>
      </c>
      <c r="BP49" s="12">
        <f>INDEX(ovrTable,MATCH(INDEX(oppCol24,ROW()),ovrTeamCol,0),MATCH(MID(INDEX(headerRow,1,COLUMN()),4,LEN(INDEX(headerRow,1,COLUMN()))),ovrHeaderRow,0))</f>
        <v>1.48</v>
      </c>
      <c r="BQ49" s="12">
        <f>INDEX(ovrTable,MATCH(INDEX(oppCol24,ROW()),ovrTeamCol,0),MATCH(MID(INDEX(headerRow,1,COLUMN()),4,LEN(INDEX(headerRow,1,COLUMN()))),ovrHeaderRow,0))</f>
        <v>13.7</v>
      </c>
      <c r="BR49" s="12">
        <f>INDEX(ovrTable,MATCH(INDEX(oppCol24,ROW()),ovrTeamCol,0),MATCH(MID(INDEX(headerRow,1,COLUMN()),4,LEN(INDEX(headerRow,1,COLUMN()))),ovrHeaderRow,0))</f>
        <v>22.71</v>
      </c>
      <c r="BS49" s="12">
        <f>INDEX(ovrTable,MATCH(INDEX(oppCol24,ROW()),ovrTeamCol,0),MATCH(MID(INDEX(headerRow,1,COLUMN()),4,LEN(INDEX(headerRow,1,COLUMN()))),ovrHeaderRow,0))</f>
        <v>3.9</v>
      </c>
      <c r="BT49" s="12">
        <f>INDEX(ovrTable,MATCH(INDEX(oppCol24,ROW()),ovrTeamCol,0),MATCH(MID(INDEX(headerRow,1,COLUMN()),4,LEN(INDEX(headerRow,1,COLUMN()))),ovrHeaderRow,0))</f>
        <v>40.6</v>
      </c>
      <c r="BU49" s="12">
        <f>INDEX(ovrTable,MATCH(INDEX(oppCol24,ROW()),ovrTeamCol,0),MATCH(MID(INDEX(headerRow,1,COLUMN()),4,LEN(INDEX(headerRow,1,COLUMN()))),ovrHeaderRow,0))</f>
        <v>26.97</v>
      </c>
      <c r="BV49" s="12">
        <f>INDEX(ovrTable,MATCH(INDEX(oppCol24,ROW()),ovrTeamCol,0),MATCH(MID(INDEX(headerRow,1,COLUMN()),4,LEN(INDEX(headerRow,1,COLUMN()))),ovrHeaderRow,0))</f>
        <v>0.53</v>
      </c>
      <c r="BW49" s="12">
        <f>INDEX(ovrTable,MATCH(INDEX(oppCol24,ROW()),ovrTeamCol,0),MATCH(MID(INDEX(headerRow,1,COLUMN()),4,LEN(INDEX(headerRow,1,COLUMN()))),ovrHeaderRow,0))</f>
        <v>5.89</v>
      </c>
      <c r="BX49" s="12">
        <f>INDEX(ovrTable,MATCH(INDEX(oppCol24,ROW()),ovrTeamCol,0),MATCH(MID(INDEX(headerRow,1,COLUMN()),4,LEN(INDEX(headerRow,1,COLUMN()))),ovrHeaderRow,0))</f>
        <v>45.5</v>
      </c>
      <c r="BY49" s="12">
        <f>INDEX(ovrTable,MATCH(INDEX(oppCol24,ROW()),ovrTeamCol,0),MATCH(MID(INDEX(headerRow,1,COLUMN()),4,LEN(INDEX(headerRow,1,COLUMN()))),ovrHeaderRow,0))</f>
        <v>13.9</v>
      </c>
      <c r="BZ49" s="12">
        <f>INDEX(ovrTable,MATCH(INDEX(oppCol24,ROW()),ovrTeamCol,0),MATCH(MID(INDEX(headerRow,1,COLUMN()),4,LEN(INDEX(headerRow,1,COLUMN()))),ovrHeaderRow,0))</f>
        <v>71.599999999999994</v>
      </c>
      <c r="CA49" s="12">
        <f>INDEX(ovrTable,MATCH(INDEX(oppCol24,ROW()),ovrTeamCol,0),MATCH(MID(INDEX(headerRow,1,COLUMN()),4,LEN(INDEX(headerRow,1,COLUMN()))),ovrHeaderRow,0))</f>
        <v>16.2</v>
      </c>
      <c r="CB49" s="12">
        <f>INDEX(ovrTable,MATCH(INDEX(oppCol24,ROW()),ovrTeamCol,0),MATCH(MID(INDEX(headerRow,1,COLUMN()),4,LEN(INDEX(headerRow,1,COLUMN()))),ovrHeaderRow,0))</f>
        <v>11.6</v>
      </c>
      <c r="CC49" s="12">
        <f>INDEX(ovrTable,MATCH(INDEX(oppCol24,ROW()),ovrTeamCol,0),MATCH(MID(INDEX(headerRow,1,COLUMN()),4,LEN(INDEX(headerRow,1,COLUMN()))),ovrHeaderRow,0))</f>
        <v>63</v>
      </c>
      <c r="CD49" s="12">
        <f>INDEX(ovrTable,MATCH(INDEX(oppCol24,ROW()),ovrTeamCol,0),MATCH(MID(INDEX(headerRow,1,COLUMN()),4,LEN(INDEX(headerRow,1,COLUMN()))),ovrHeaderRow,0))</f>
        <v>7.66</v>
      </c>
      <c r="CE49" s="12">
        <f>INDEX(ovrTable,MATCH(INDEX(oppCol24,ROW()),ovrTeamCol,0),MATCH(MID(INDEX(headerRow,1,COLUMN()),4,LEN(INDEX(headerRow,1,COLUMN()))),ovrHeaderRow,0))</f>
        <v>71.599999999999994</v>
      </c>
      <c r="CF49" s="12">
        <f>INDEX(ovrTable,MATCH(INDEX(oppCol24,ROW()),ovrTeamCol,0),MATCH(MID(INDEX(headerRow,1,COLUMN()),4,LEN(INDEX(headerRow,1,COLUMN()))),ovrHeaderRow,0))</f>
        <v>0.8</v>
      </c>
      <c r="CG49" s="12">
        <f>INDEX(ovrTable,MATCH(INDEX(oppCol24,ROW()),ovrTeamCol,0),MATCH(MID(INDEX(headerRow,1,COLUMN()),4,LEN(INDEX(headerRow,1,COLUMN()))),ovrHeaderRow,0))</f>
        <v>34.630000000000003</v>
      </c>
      <c r="CH49" s="12">
        <f>INDEX(ovrTable,MATCH(INDEX(oppCol24,ROW()),ovrTeamCol,0),MATCH(MID(INDEX(headerRow,1,COLUMN()),4,LEN(INDEX(headerRow,1,COLUMN()))),ovrHeaderRow,0))</f>
        <v>8.6</v>
      </c>
      <c r="CI49" s="12">
        <f>INDEX(ovrTable,MATCH(INDEX(oppCol24,ROW()),ovrTeamCol,0),MATCH(MID(INDEX(headerRow,1,COLUMN()),4,LEN(INDEX(headerRow,1,COLUMN()))),ovrHeaderRow,0))</f>
        <v>5.9</v>
      </c>
      <c r="CJ49" s="12">
        <f>INDEX(ovrTable,MATCH(INDEX(oppCol24,ROW()),ovrTeamCol,0),MATCH(MID(INDEX(headerRow,1,COLUMN()),4,LEN(INDEX(headerRow,1,COLUMN()))),ovrHeaderRow,0))</f>
        <v>0.8</v>
      </c>
      <c r="CK49" s="12">
        <f>INDEX(ovrTable,MATCH(INDEX(oppCol24,ROW()),ovrTeamCol,0),MATCH(MID(INDEX(headerRow,1,COLUMN()),4,LEN(INDEX(headerRow,1,COLUMN()))),ovrHeaderRow,0))</f>
        <v>10.029999999999999</v>
      </c>
      <c r="CL49" s="12">
        <f>INDEX(ovrTable,MATCH(INDEX(oppCol24,ROW()),ovrTeamCol,0),MATCH(MID(INDEX(headerRow,1,COLUMN()),4,LEN(INDEX(headerRow,1,COLUMN()))),ovrHeaderRow,0))</f>
        <v>9.1999999999999993</v>
      </c>
      <c r="CM49" s="12">
        <f>INDEX(ovrTable,MATCH(INDEX(oppCol24,ROW()),ovrTeamCol,0),MATCH(MID(INDEX(headerRow,1,COLUMN()),4,LEN(INDEX(headerRow,1,COLUMN()))),ovrHeaderRow,0))</f>
        <v>66.7</v>
      </c>
      <c r="CN49" s="12">
        <f>INDEX(ovrTable,MATCH(INDEX(oppCol24,ROW()),ovrTeamCol,0),MATCH(MID(INDEX(headerRow,1,COLUMN()),4,LEN(INDEX(headerRow,1,COLUMN()))),ovrHeaderRow,0))</f>
        <v>17.099999999999998</v>
      </c>
      <c r="CO49" s="12">
        <f>INDEX(ovrTable,MATCH(INDEX(oppCol24,ROW()),ovrTeamCol,0),MATCH(MID(INDEX(headerRow,1,COLUMN()),4,LEN(INDEX(headerRow,1,COLUMN()))),ovrHeaderRow,0))</f>
        <v>56.483516483516475</v>
      </c>
    </row>
    <row r="50" spans="1:93" x14ac:dyDescent="0.3">
      <c r="A50" s="6" t="s">
        <v>46</v>
      </c>
      <c r="B50" s="3">
        <v>6</v>
      </c>
      <c r="C50" s="13" t="s">
        <v>39</v>
      </c>
      <c r="D50" s="14">
        <v>25</v>
      </c>
      <c r="E50" s="23">
        <v>38.461538461538467</v>
      </c>
      <c r="F50" s="24">
        <v>7</v>
      </c>
      <c r="G50" s="23">
        <v>22.58064516129032</v>
      </c>
      <c r="H50" s="24">
        <v>31</v>
      </c>
      <c r="I50" s="25">
        <v>1.5</v>
      </c>
      <c r="J50" s="24">
        <v>15</v>
      </c>
      <c r="K50" s="24">
        <v>14</v>
      </c>
      <c r="L50" s="24">
        <v>2</v>
      </c>
      <c r="M50" s="24">
        <v>50.9</v>
      </c>
      <c r="N50" s="24">
        <v>21</v>
      </c>
      <c r="O50" s="26">
        <v>0.44343749999999998</v>
      </c>
      <c r="P50" s="24">
        <v>6</v>
      </c>
      <c r="Q50" s="24">
        <v>38.700000000000003</v>
      </c>
      <c r="R50" s="24">
        <v>20</v>
      </c>
      <c r="S50" s="23">
        <v>85.714285714285708</v>
      </c>
      <c r="T50" s="24">
        <v>14</v>
      </c>
      <c r="U50" s="24">
        <v>12</v>
      </c>
      <c r="V50" s="24">
        <v>80</v>
      </c>
      <c r="W50" s="24">
        <v>12</v>
      </c>
      <c r="X50" s="24">
        <v>67</v>
      </c>
      <c r="Y50" s="24">
        <v>0</v>
      </c>
      <c r="Z50" s="24">
        <v>33</v>
      </c>
      <c r="AA50" s="24">
        <v>-13</v>
      </c>
      <c r="AB50" s="24">
        <v>3</v>
      </c>
      <c r="AC50" s="24">
        <v>0</v>
      </c>
      <c r="AD50" s="24">
        <v>10</v>
      </c>
      <c r="AE50" s="24">
        <v>10</v>
      </c>
      <c r="AF50" s="46">
        <f t="shared" si="3"/>
        <v>66.665503875968994</v>
      </c>
      <c r="AG50" s="51">
        <f t="shared" ref="AG50" si="62">AVERAGE(AF50,AF51)</f>
        <v>67.030345258220251</v>
      </c>
      <c r="AH50" s="12">
        <f t="shared" si="52"/>
        <v>32.200000000000003</v>
      </c>
      <c r="AI50" s="12">
        <f t="shared" si="52"/>
        <v>8.5</v>
      </c>
      <c r="AJ50" s="12">
        <f t="shared" si="52"/>
        <v>35.9</v>
      </c>
      <c r="AK50" s="12">
        <f t="shared" si="52"/>
        <v>23.6</v>
      </c>
      <c r="AL50" s="12">
        <f t="shared" si="52"/>
        <v>1.33</v>
      </c>
      <c r="AM50" s="12">
        <f t="shared" si="52"/>
        <v>14.7</v>
      </c>
      <c r="AN50" s="12">
        <f t="shared" si="52"/>
        <v>17.260000000000002</v>
      </c>
      <c r="AO50" s="12">
        <f t="shared" si="52"/>
        <v>2.5</v>
      </c>
      <c r="AP50" s="12">
        <f t="shared" si="52"/>
        <v>43</v>
      </c>
      <c r="AQ50" s="12">
        <f t="shared" si="52"/>
        <v>25</v>
      </c>
      <c r="AR50" s="12">
        <f t="shared" si="53"/>
        <v>0.52600000000000002</v>
      </c>
      <c r="AS50" s="12">
        <f t="shared" si="53"/>
        <v>7.82</v>
      </c>
      <c r="AT50" s="12">
        <f t="shared" si="53"/>
        <v>45.1</v>
      </c>
      <c r="AU50" s="12">
        <f t="shared" si="53"/>
        <v>14.9</v>
      </c>
      <c r="AV50" s="12">
        <f t="shared" si="53"/>
        <v>78</v>
      </c>
      <c r="AW50" s="12">
        <f t="shared" si="53"/>
        <v>19.5</v>
      </c>
      <c r="AX50" s="12">
        <f t="shared" si="53"/>
        <v>15.2</v>
      </c>
      <c r="AY50" s="12">
        <f t="shared" si="53"/>
        <v>69.599999999999994</v>
      </c>
      <c r="AZ50" s="12">
        <f t="shared" si="53"/>
        <v>9.94</v>
      </c>
      <c r="BA50" s="12">
        <f t="shared" si="53"/>
        <v>75.3</v>
      </c>
      <c r="BB50" s="12">
        <f t="shared" si="54"/>
        <v>1.2</v>
      </c>
      <c r="BC50" s="12">
        <f t="shared" si="54"/>
        <v>34.94</v>
      </c>
      <c r="BD50" s="12">
        <f t="shared" si="54"/>
        <v>5.7</v>
      </c>
      <c r="BE50" s="12">
        <f t="shared" si="54"/>
        <v>6</v>
      </c>
      <c r="BF50" s="12">
        <f t="shared" si="54"/>
        <v>0.3</v>
      </c>
      <c r="BG50" s="12">
        <f t="shared" si="54"/>
        <v>11.44</v>
      </c>
      <c r="BH50" s="12">
        <f t="shared" si="54"/>
        <v>11.1</v>
      </c>
      <c r="BI50" s="12">
        <f t="shared" si="54"/>
        <v>68.8</v>
      </c>
      <c r="BJ50" s="12">
        <f t="shared" si="54"/>
        <v>17.299999999999997</v>
      </c>
      <c r="BK50" s="12">
        <f t="shared" si="54"/>
        <v>57.206208425720611</v>
      </c>
      <c r="BL50" s="12">
        <f>INDEX(ovrTable,MATCH(INDEX(oppCol24,ROW()),ovrTeamCol,0),MATCH(MID(INDEX(headerRow,1,COLUMN()),4,LEN(INDEX(headerRow,1,COLUMN()))),ovrHeaderRow,0))</f>
        <v>33.5</v>
      </c>
      <c r="BM50" s="12">
        <f>INDEX(ovrTable,MATCH(INDEX(oppCol24,ROW()),ovrTeamCol,0),MATCH(MID(INDEX(headerRow,1,COLUMN()),4,LEN(INDEX(headerRow,1,COLUMN()))),ovrHeaderRow,0))</f>
        <v>7</v>
      </c>
      <c r="BN50" s="12">
        <f>INDEX(ovrTable,MATCH(INDEX(oppCol24,ROW()),ovrTeamCol,0),MATCH(MID(INDEX(headerRow,1,COLUMN()),4,LEN(INDEX(headerRow,1,COLUMN()))),ovrHeaderRow,0))</f>
        <v>34.5</v>
      </c>
      <c r="BO50" s="12">
        <f>INDEX(ovrTable,MATCH(INDEX(oppCol24,ROW()),ovrTeamCol,0),MATCH(MID(INDEX(headerRow,1,COLUMN()),4,LEN(INDEX(headerRow,1,COLUMN()))),ovrHeaderRow,0))</f>
        <v>20.2</v>
      </c>
      <c r="BP50" s="12">
        <f>INDEX(ovrTable,MATCH(INDEX(oppCol24,ROW()),ovrTeamCol,0),MATCH(MID(INDEX(headerRow,1,COLUMN()),4,LEN(INDEX(headerRow,1,COLUMN()))),ovrHeaderRow,0))</f>
        <v>1.37</v>
      </c>
      <c r="BQ50" s="12">
        <f>INDEX(ovrTable,MATCH(INDEX(oppCol24,ROW()),ovrTeamCol,0),MATCH(MID(INDEX(headerRow,1,COLUMN()),4,LEN(INDEX(headerRow,1,COLUMN()))),ovrHeaderRow,0))</f>
        <v>13.1</v>
      </c>
      <c r="BR50" s="12">
        <f>INDEX(ovrTable,MATCH(INDEX(oppCol24,ROW()),ovrTeamCol,0),MATCH(MID(INDEX(headerRow,1,COLUMN()),4,LEN(INDEX(headerRow,1,COLUMN()))),ovrHeaderRow,0))</f>
        <v>18.8</v>
      </c>
      <c r="BS50" s="12">
        <f>INDEX(ovrTable,MATCH(INDEX(oppCol24,ROW()),ovrTeamCol,0),MATCH(MID(INDEX(headerRow,1,COLUMN()),4,LEN(INDEX(headerRow,1,COLUMN()))),ovrHeaderRow,0))</f>
        <v>3.6</v>
      </c>
      <c r="BT50" s="12">
        <f>INDEX(ovrTable,MATCH(INDEX(oppCol24,ROW()),ovrTeamCol,0),MATCH(MID(INDEX(headerRow,1,COLUMN()),4,LEN(INDEX(headerRow,1,COLUMN()))),ovrHeaderRow,0))</f>
        <v>43.3</v>
      </c>
      <c r="BU50" s="12">
        <f>INDEX(ovrTable,MATCH(INDEX(oppCol24,ROW()),ovrTeamCol,0),MATCH(MID(INDEX(headerRow,1,COLUMN()),4,LEN(INDEX(headerRow,1,COLUMN()))),ovrHeaderRow,0))</f>
        <v>25.17</v>
      </c>
      <c r="BV50" s="12">
        <f>INDEX(ovrTable,MATCH(INDEX(oppCol24,ROW()),ovrTeamCol,0),MATCH(MID(INDEX(headerRow,1,COLUMN()),4,LEN(INDEX(headerRow,1,COLUMN()))),ovrHeaderRow,0))</f>
        <v>0.50700000000000001</v>
      </c>
      <c r="BW50" s="12">
        <f>INDEX(ovrTable,MATCH(INDEX(oppCol24,ROW()),ovrTeamCol,0),MATCH(MID(INDEX(headerRow,1,COLUMN()),4,LEN(INDEX(headerRow,1,COLUMN()))),ovrHeaderRow,0))</f>
        <v>11.98</v>
      </c>
      <c r="BX50" s="12">
        <f>INDEX(ovrTable,MATCH(INDEX(oppCol24,ROW()),ovrTeamCol,0),MATCH(MID(INDEX(headerRow,1,COLUMN()),4,LEN(INDEX(headerRow,1,COLUMN()))),ovrHeaderRow,0))</f>
        <v>45</v>
      </c>
      <c r="BY50" s="12">
        <f>INDEX(ovrTable,MATCH(INDEX(oppCol24,ROW()),ovrTeamCol,0),MATCH(MID(INDEX(headerRow,1,COLUMN()),4,LEN(INDEX(headerRow,1,COLUMN()))),ovrHeaderRow,0))</f>
        <v>16.2</v>
      </c>
      <c r="BZ50" s="12">
        <f>INDEX(ovrTable,MATCH(INDEX(oppCol24,ROW()),ovrTeamCol,0),MATCH(MID(INDEX(headerRow,1,COLUMN()),4,LEN(INDEX(headerRow,1,COLUMN()))),ovrHeaderRow,0))</f>
        <v>73.3</v>
      </c>
      <c r="CA50" s="12">
        <f>INDEX(ovrTable,MATCH(INDEX(oppCol24,ROW()),ovrTeamCol,0),MATCH(MID(INDEX(headerRow,1,COLUMN()),4,LEN(INDEX(headerRow,1,COLUMN()))),ovrHeaderRow,0))</f>
        <v>19.399999999999999</v>
      </c>
      <c r="CB50" s="12">
        <f>INDEX(ovrTable,MATCH(INDEX(oppCol24,ROW()),ovrTeamCol,0),MATCH(MID(INDEX(headerRow,1,COLUMN()),4,LEN(INDEX(headerRow,1,COLUMN()))),ovrHeaderRow,0))</f>
        <v>14.2</v>
      </c>
      <c r="CC50" s="12">
        <f>INDEX(ovrTable,MATCH(INDEX(oppCol24,ROW()),ovrTeamCol,0),MATCH(MID(INDEX(headerRow,1,COLUMN()),4,LEN(INDEX(headerRow,1,COLUMN()))),ovrHeaderRow,0))</f>
        <v>71.8</v>
      </c>
      <c r="CD50" s="12">
        <f>INDEX(ovrTable,MATCH(INDEX(oppCol24,ROW()),ovrTeamCol,0),MATCH(MID(INDEX(headerRow,1,COLUMN()),4,LEN(INDEX(headerRow,1,COLUMN()))),ovrHeaderRow,0))</f>
        <v>10.119999999999999</v>
      </c>
      <c r="CE50" s="12">
        <f>INDEX(ovrTable,MATCH(INDEX(oppCol24,ROW()),ovrTeamCol,0),MATCH(MID(INDEX(headerRow,1,COLUMN()),4,LEN(INDEX(headerRow,1,COLUMN()))),ovrHeaderRow,0))</f>
        <v>75.599999999999994</v>
      </c>
      <c r="CF50" s="12">
        <f>INDEX(ovrTable,MATCH(INDEX(oppCol24,ROW()),ovrTeamCol,0),MATCH(MID(INDEX(headerRow,1,COLUMN()),4,LEN(INDEX(headerRow,1,COLUMN()))),ovrHeaderRow,0))</f>
        <v>-0.9</v>
      </c>
      <c r="CG50" s="12">
        <f>INDEX(ovrTable,MATCH(INDEX(oppCol24,ROW()),ovrTeamCol,0),MATCH(MID(INDEX(headerRow,1,COLUMN()),4,LEN(INDEX(headerRow,1,COLUMN()))),ovrHeaderRow,0))</f>
        <v>35.29</v>
      </c>
      <c r="CH50" s="12">
        <f>INDEX(ovrTable,MATCH(INDEX(oppCol24,ROW()),ovrTeamCol,0),MATCH(MID(INDEX(headerRow,1,COLUMN()),4,LEN(INDEX(headerRow,1,COLUMN()))),ovrHeaderRow,0))</f>
        <v>3.9</v>
      </c>
      <c r="CI50" s="12">
        <f>INDEX(ovrTable,MATCH(INDEX(oppCol24,ROW()),ovrTeamCol,0),MATCH(MID(INDEX(headerRow,1,COLUMN()),4,LEN(INDEX(headerRow,1,COLUMN()))),ovrHeaderRow,0))</f>
        <v>7.2</v>
      </c>
      <c r="CJ50" s="12">
        <f>INDEX(ovrTable,MATCH(INDEX(oppCol24,ROW()),ovrTeamCol,0),MATCH(MID(INDEX(headerRow,1,COLUMN()),4,LEN(INDEX(headerRow,1,COLUMN()))),ovrHeaderRow,0))</f>
        <v>2.7</v>
      </c>
      <c r="CK50" s="12">
        <f>INDEX(ovrTable,MATCH(INDEX(oppCol24,ROW()),ovrTeamCol,0),MATCH(MID(INDEX(headerRow,1,COLUMN()),4,LEN(INDEX(headerRow,1,COLUMN()))),ovrHeaderRow,0))</f>
        <v>12.22</v>
      </c>
      <c r="CL50" s="12">
        <f>INDEX(ovrTable,MATCH(INDEX(oppCol24,ROW()),ovrTeamCol,0),MATCH(MID(INDEX(headerRow,1,COLUMN()),4,LEN(INDEX(headerRow,1,COLUMN()))),ovrHeaderRow,0))</f>
        <v>9.6</v>
      </c>
      <c r="CM50" s="12">
        <f>INDEX(ovrTable,MATCH(INDEX(oppCol24,ROW()),ovrTeamCol,0),MATCH(MID(INDEX(headerRow,1,COLUMN()),4,LEN(INDEX(headerRow,1,COLUMN()))),ovrHeaderRow,0))</f>
        <v>70.8</v>
      </c>
      <c r="CN50" s="12">
        <f>INDEX(ovrTable,MATCH(INDEX(oppCol24,ROW()),ovrTeamCol,0),MATCH(MID(INDEX(headerRow,1,COLUMN()),4,LEN(INDEX(headerRow,1,COLUMN()))),ovrHeaderRow,0))</f>
        <v>20.199999999999996</v>
      </c>
      <c r="CO50" s="12">
        <f>INDEX(ovrTable,MATCH(INDEX(oppCol24,ROW()),ovrTeamCol,0),MATCH(MID(INDEX(headerRow,1,COLUMN()),4,LEN(INDEX(headerRow,1,COLUMN()))),ovrHeaderRow,0))</f>
        <v>60.444444444444436</v>
      </c>
    </row>
    <row r="51" spans="1:93" x14ac:dyDescent="0.3">
      <c r="A51" s="6" t="s">
        <v>39</v>
      </c>
      <c r="B51" s="3">
        <v>11</v>
      </c>
      <c r="C51" s="13" t="s">
        <v>46</v>
      </c>
      <c r="D51" s="14">
        <v>25</v>
      </c>
      <c r="E51" s="23">
        <v>22.58064516129032</v>
      </c>
      <c r="F51" s="24">
        <v>5</v>
      </c>
      <c r="G51" s="23">
        <v>38.461538461538467</v>
      </c>
      <c r="H51" s="24">
        <v>13</v>
      </c>
      <c r="I51" s="25">
        <v>1.5</v>
      </c>
      <c r="J51" s="24">
        <v>15</v>
      </c>
      <c r="K51" s="24">
        <v>23</v>
      </c>
      <c r="L51" s="24">
        <v>5</v>
      </c>
      <c r="M51" s="24">
        <v>38.700000000000003</v>
      </c>
      <c r="N51" s="24">
        <v>25</v>
      </c>
      <c r="O51" s="26">
        <v>0.55612962962962964</v>
      </c>
      <c r="P51" s="24">
        <v>9</v>
      </c>
      <c r="Q51" s="24">
        <v>50.9</v>
      </c>
      <c r="R51" s="24">
        <v>14</v>
      </c>
      <c r="S51" s="23">
        <v>80.769230769230774</v>
      </c>
      <c r="T51" s="24">
        <v>26</v>
      </c>
      <c r="U51" s="24">
        <v>21</v>
      </c>
      <c r="V51" s="24">
        <v>67</v>
      </c>
      <c r="W51" s="24">
        <v>8</v>
      </c>
      <c r="X51" s="24">
        <v>80</v>
      </c>
      <c r="Y51" s="24">
        <v>0</v>
      </c>
      <c r="Z51" s="24">
        <v>33</v>
      </c>
      <c r="AA51" s="24">
        <v>13</v>
      </c>
      <c r="AB51" s="24">
        <v>8</v>
      </c>
      <c r="AC51" s="24">
        <v>0</v>
      </c>
      <c r="AD51" s="24">
        <v>10</v>
      </c>
      <c r="AE51" s="24">
        <v>10</v>
      </c>
      <c r="AF51" s="46">
        <f t="shared" si="3"/>
        <v>67.395186640471508</v>
      </c>
      <c r="AG51" s="51">
        <f t="shared" ref="AG51" si="63">AVERAGE(AF50,AF51)</f>
        <v>67.030345258220251</v>
      </c>
      <c r="AH51" s="12">
        <f t="shared" si="52"/>
        <v>33.5</v>
      </c>
      <c r="AI51" s="12">
        <f t="shared" si="52"/>
        <v>7</v>
      </c>
      <c r="AJ51" s="12">
        <f t="shared" si="52"/>
        <v>34.5</v>
      </c>
      <c r="AK51" s="12">
        <f t="shared" si="52"/>
        <v>20.2</v>
      </c>
      <c r="AL51" s="12">
        <f t="shared" si="52"/>
        <v>1.37</v>
      </c>
      <c r="AM51" s="12">
        <f t="shared" si="52"/>
        <v>13.1</v>
      </c>
      <c r="AN51" s="12">
        <f t="shared" si="52"/>
        <v>18.8</v>
      </c>
      <c r="AO51" s="12">
        <f t="shared" si="52"/>
        <v>3.6</v>
      </c>
      <c r="AP51" s="12">
        <f t="shared" si="52"/>
        <v>43.3</v>
      </c>
      <c r="AQ51" s="12">
        <f t="shared" si="52"/>
        <v>25.17</v>
      </c>
      <c r="AR51" s="12">
        <f t="shared" si="53"/>
        <v>0.50700000000000001</v>
      </c>
      <c r="AS51" s="12">
        <f t="shared" si="53"/>
        <v>11.98</v>
      </c>
      <c r="AT51" s="12">
        <f t="shared" si="53"/>
        <v>45</v>
      </c>
      <c r="AU51" s="12">
        <f t="shared" si="53"/>
        <v>16.2</v>
      </c>
      <c r="AV51" s="12">
        <f t="shared" si="53"/>
        <v>73.3</v>
      </c>
      <c r="AW51" s="12">
        <f t="shared" si="53"/>
        <v>19.399999999999999</v>
      </c>
      <c r="AX51" s="12">
        <f t="shared" si="53"/>
        <v>14.2</v>
      </c>
      <c r="AY51" s="12">
        <f t="shared" si="53"/>
        <v>71.8</v>
      </c>
      <c r="AZ51" s="12">
        <f t="shared" si="53"/>
        <v>10.119999999999999</v>
      </c>
      <c r="BA51" s="12">
        <f t="shared" si="53"/>
        <v>75.599999999999994</v>
      </c>
      <c r="BB51" s="12">
        <f t="shared" si="54"/>
        <v>-0.9</v>
      </c>
      <c r="BC51" s="12">
        <f t="shared" si="54"/>
        <v>35.29</v>
      </c>
      <c r="BD51" s="12">
        <f t="shared" si="54"/>
        <v>3.9</v>
      </c>
      <c r="BE51" s="12">
        <f t="shared" si="54"/>
        <v>7.2</v>
      </c>
      <c r="BF51" s="12">
        <f t="shared" si="54"/>
        <v>2.7</v>
      </c>
      <c r="BG51" s="12">
        <f t="shared" si="54"/>
        <v>12.22</v>
      </c>
      <c r="BH51" s="12">
        <f t="shared" si="54"/>
        <v>9.6</v>
      </c>
      <c r="BI51" s="12">
        <f t="shared" si="54"/>
        <v>70.8</v>
      </c>
      <c r="BJ51" s="12">
        <f t="shared" si="54"/>
        <v>20.199999999999996</v>
      </c>
      <c r="BK51" s="12">
        <f t="shared" si="54"/>
        <v>60.444444444444436</v>
      </c>
      <c r="BL51" s="12">
        <f>INDEX(ovrTable,MATCH(INDEX(oppCol24,ROW()),ovrTeamCol,0),MATCH(MID(INDEX(headerRow,1,COLUMN()),4,LEN(INDEX(headerRow,1,COLUMN()))),ovrHeaderRow,0))</f>
        <v>32.200000000000003</v>
      </c>
      <c r="BM51" s="12">
        <f>INDEX(ovrTable,MATCH(INDEX(oppCol24,ROW()),ovrTeamCol,0),MATCH(MID(INDEX(headerRow,1,COLUMN()),4,LEN(INDEX(headerRow,1,COLUMN()))),ovrHeaderRow,0))</f>
        <v>8.5</v>
      </c>
      <c r="BN51" s="12">
        <f>INDEX(ovrTable,MATCH(INDEX(oppCol24,ROW()),ovrTeamCol,0),MATCH(MID(INDEX(headerRow,1,COLUMN()),4,LEN(INDEX(headerRow,1,COLUMN()))),ovrHeaderRow,0))</f>
        <v>35.9</v>
      </c>
      <c r="BO51" s="12">
        <f>INDEX(ovrTable,MATCH(INDEX(oppCol24,ROW()),ovrTeamCol,0),MATCH(MID(INDEX(headerRow,1,COLUMN()),4,LEN(INDEX(headerRow,1,COLUMN()))),ovrHeaderRow,0))</f>
        <v>23.6</v>
      </c>
      <c r="BP51" s="12">
        <f>INDEX(ovrTable,MATCH(INDEX(oppCol24,ROW()),ovrTeamCol,0),MATCH(MID(INDEX(headerRow,1,COLUMN()),4,LEN(INDEX(headerRow,1,COLUMN()))),ovrHeaderRow,0))</f>
        <v>1.33</v>
      </c>
      <c r="BQ51" s="12">
        <f>INDEX(ovrTable,MATCH(INDEX(oppCol24,ROW()),ovrTeamCol,0),MATCH(MID(INDEX(headerRow,1,COLUMN()),4,LEN(INDEX(headerRow,1,COLUMN()))),ovrHeaderRow,0))</f>
        <v>14.7</v>
      </c>
      <c r="BR51" s="12">
        <f>INDEX(ovrTable,MATCH(INDEX(oppCol24,ROW()),ovrTeamCol,0),MATCH(MID(INDEX(headerRow,1,COLUMN()),4,LEN(INDEX(headerRow,1,COLUMN()))),ovrHeaderRow,0))</f>
        <v>17.260000000000002</v>
      </c>
      <c r="BS51" s="12">
        <f>INDEX(ovrTable,MATCH(INDEX(oppCol24,ROW()),ovrTeamCol,0),MATCH(MID(INDEX(headerRow,1,COLUMN()),4,LEN(INDEX(headerRow,1,COLUMN()))),ovrHeaderRow,0))</f>
        <v>2.5</v>
      </c>
      <c r="BT51" s="12">
        <f>INDEX(ovrTable,MATCH(INDEX(oppCol24,ROW()),ovrTeamCol,0),MATCH(MID(INDEX(headerRow,1,COLUMN()),4,LEN(INDEX(headerRow,1,COLUMN()))),ovrHeaderRow,0))</f>
        <v>43</v>
      </c>
      <c r="BU51" s="12">
        <f>INDEX(ovrTable,MATCH(INDEX(oppCol24,ROW()),ovrTeamCol,0),MATCH(MID(INDEX(headerRow,1,COLUMN()),4,LEN(INDEX(headerRow,1,COLUMN()))),ovrHeaderRow,0))</f>
        <v>25</v>
      </c>
      <c r="BV51" s="12">
        <f>INDEX(ovrTable,MATCH(INDEX(oppCol24,ROW()),ovrTeamCol,0),MATCH(MID(INDEX(headerRow,1,COLUMN()),4,LEN(INDEX(headerRow,1,COLUMN()))),ovrHeaderRow,0))</f>
        <v>0.52600000000000002</v>
      </c>
      <c r="BW51" s="12">
        <f>INDEX(ovrTable,MATCH(INDEX(oppCol24,ROW()),ovrTeamCol,0),MATCH(MID(INDEX(headerRow,1,COLUMN()),4,LEN(INDEX(headerRow,1,COLUMN()))),ovrHeaderRow,0))</f>
        <v>7.82</v>
      </c>
      <c r="BX51" s="12">
        <f>INDEX(ovrTable,MATCH(INDEX(oppCol24,ROW()),ovrTeamCol,0),MATCH(MID(INDEX(headerRow,1,COLUMN()),4,LEN(INDEX(headerRow,1,COLUMN()))),ovrHeaderRow,0))</f>
        <v>45.1</v>
      </c>
      <c r="BY51" s="12">
        <f>INDEX(ovrTable,MATCH(INDEX(oppCol24,ROW()),ovrTeamCol,0),MATCH(MID(INDEX(headerRow,1,COLUMN()),4,LEN(INDEX(headerRow,1,COLUMN()))),ovrHeaderRow,0))</f>
        <v>14.9</v>
      </c>
      <c r="BZ51" s="12">
        <f>INDEX(ovrTable,MATCH(INDEX(oppCol24,ROW()),ovrTeamCol,0),MATCH(MID(INDEX(headerRow,1,COLUMN()),4,LEN(INDEX(headerRow,1,COLUMN()))),ovrHeaderRow,0))</f>
        <v>78</v>
      </c>
      <c r="CA51" s="12">
        <f>INDEX(ovrTable,MATCH(INDEX(oppCol24,ROW()),ovrTeamCol,0),MATCH(MID(INDEX(headerRow,1,COLUMN()),4,LEN(INDEX(headerRow,1,COLUMN()))),ovrHeaderRow,0))</f>
        <v>19.5</v>
      </c>
      <c r="CB51" s="12">
        <f>INDEX(ovrTable,MATCH(INDEX(oppCol24,ROW()),ovrTeamCol,0),MATCH(MID(INDEX(headerRow,1,COLUMN()),4,LEN(INDEX(headerRow,1,COLUMN()))),ovrHeaderRow,0))</f>
        <v>15.2</v>
      </c>
      <c r="CC51" s="12">
        <f>INDEX(ovrTable,MATCH(INDEX(oppCol24,ROW()),ovrTeamCol,0),MATCH(MID(INDEX(headerRow,1,COLUMN()),4,LEN(INDEX(headerRow,1,COLUMN()))),ovrHeaderRow,0))</f>
        <v>69.599999999999994</v>
      </c>
      <c r="CD51" s="12">
        <f>INDEX(ovrTable,MATCH(INDEX(oppCol24,ROW()),ovrTeamCol,0),MATCH(MID(INDEX(headerRow,1,COLUMN()),4,LEN(INDEX(headerRow,1,COLUMN()))),ovrHeaderRow,0))</f>
        <v>9.94</v>
      </c>
      <c r="CE51" s="12">
        <f>INDEX(ovrTable,MATCH(INDEX(oppCol24,ROW()),ovrTeamCol,0),MATCH(MID(INDEX(headerRow,1,COLUMN()),4,LEN(INDEX(headerRow,1,COLUMN()))),ovrHeaderRow,0))</f>
        <v>75.3</v>
      </c>
      <c r="CF51" s="12">
        <f>INDEX(ovrTable,MATCH(INDEX(oppCol24,ROW()),ovrTeamCol,0),MATCH(MID(INDEX(headerRow,1,COLUMN()),4,LEN(INDEX(headerRow,1,COLUMN()))),ovrHeaderRow,0))</f>
        <v>1.2</v>
      </c>
      <c r="CG51" s="12">
        <f>INDEX(ovrTable,MATCH(INDEX(oppCol24,ROW()),ovrTeamCol,0),MATCH(MID(INDEX(headerRow,1,COLUMN()),4,LEN(INDEX(headerRow,1,COLUMN()))),ovrHeaderRow,0))</f>
        <v>34.94</v>
      </c>
      <c r="CH51" s="12">
        <f>INDEX(ovrTable,MATCH(INDEX(oppCol24,ROW()),ovrTeamCol,0),MATCH(MID(INDEX(headerRow,1,COLUMN()),4,LEN(INDEX(headerRow,1,COLUMN()))),ovrHeaderRow,0))</f>
        <v>5.7</v>
      </c>
      <c r="CI51" s="12">
        <f>INDEX(ovrTable,MATCH(INDEX(oppCol24,ROW()),ovrTeamCol,0),MATCH(MID(INDEX(headerRow,1,COLUMN()),4,LEN(INDEX(headerRow,1,COLUMN()))),ovrHeaderRow,0))</f>
        <v>6</v>
      </c>
      <c r="CJ51" s="12">
        <f>INDEX(ovrTable,MATCH(INDEX(oppCol24,ROW()),ovrTeamCol,0),MATCH(MID(INDEX(headerRow,1,COLUMN()),4,LEN(INDEX(headerRow,1,COLUMN()))),ovrHeaderRow,0))</f>
        <v>0.3</v>
      </c>
      <c r="CK51" s="12">
        <f>INDEX(ovrTable,MATCH(INDEX(oppCol24,ROW()),ovrTeamCol,0),MATCH(MID(INDEX(headerRow,1,COLUMN()),4,LEN(INDEX(headerRow,1,COLUMN()))),ovrHeaderRow,0))</f>
        <v>11.44</v>
      </c>
      <c r="CL51" s="12">
        <f>INDEX(ovrTable,MATCH(INDEX(oppCol24,ROW()),ovrTeamCol,0),MATCH(MID(INDEX(headerRow,1,COLUMN()),4,LEN(INDEX(headerRow,1,COLUMN()))),ovrHeaderRow,0))</f>
        <v>11.1</v>
      </c>
      <c r="CM51" s="12">
        <f>INDEX(ovrTable,MATCH(INDEX(oppCol24,ROW()),ovrTeamCol,0),MATCH(MID(INDEX(headerRow,1,COLUMN()),4,LEN(INDEX(headerRow,1,COLUMN()))),ovrHeaderRow,0))</f>
        <v>68.8</v>
      </c>
      <c r="CN51" s="12">
        <f>INDEX(ovrTable,MATCH(INDEX(oppCol24,ROW()),ovrTeamCol,0),MATCH(MID(INDEX(headerRow,1,COLUMN()),4,LEN(INDEX(headerRow,1,COLUMN()))),ovrHeaderRow,0))</f>
        <v>17.299999999999997</v>
      </c>
      <c r="CO51" s="12">
        <f>INDEX(ovrTable,MATCH(INDEX(oppCol24,ROW()),ovrTeamCol,0),MATCH(MID(INDEX(headerRow,1,COLUMN()),4,LEN(INDEX(headerRow,1,COLUMN()))),ovrHeaderRow,0))</f>
        <v>57.206208425720611</v>
      </c>
    </row>
    <row r="52" spans="1:93" x14ac:dyDescent="0.3">
      <c r="A52" s="6" t="s">
        <v>49</v>
      </c>
      <c r="B52" s="3">
        <v>3</v>
      </c>
      <c r="C52" s="13" t="s">
        <v>37</v>
      </c>
      <c r="D52" s="14">
        <v>26</v>
      </c>
      <c r="E52" s="23">
        <v>48.387096774193552</v>
      </c>
      <c r="F52" s="24">
        <v>9</v>
      </c>
      <c r="G52" s="23">
        <v>32.142857142857146</v>
      </c>
      <c r="H52" s="24">
        <v>28</v>
      </c>
      <c r="I52" s="25">
        <v>1.5454545454545454</v>
      </c>
      <c r="J52" s="24">
        <v>17</v>
      </c>
      <c r="K52" s="24">
        <v>21</v>
      </c>
      <c r="L52" s="24">
        <v>6</v>
      </c>
      <c r="M52" s="24">
        <v>41.3</v>
      </c>
      <c r="N52" s="24">
        <v>28</v>
      </c>
      <c r="O52" s="26">
        <v>0.49973076923076926</v>
      </c>
      <c r="P52" s="24">
        <v>8</v>
      </c>
      <c r="Q52" s="24">
        <v>42.6</v>
      </c>
      <c r="R52" s="24">
        <v>18</v>
      </c>
      <c r="S52" s="23">
        <v>75</v>
      </c>
      <c r="T52" s="24">
        <v>20</v>
      </c>
      <c r="U52" s="24">
        <v>15</v>
      </c>
      <c r="V52" s="24">
        <v>80</v>
      </c>
      <c r="W52" s="24">
        <v>11</v>
      </c>
      <c r="X52" s="24">
        <v>76</v>
      </c>
      <c r="Y52" s="24">
        <v>-1</v>
      </c>
      <c r="Z52" s="24">
        <v>39</v>
      </c>
      <c r="AA52" s="24">
        <v>-4</v>
      </c>
      <c r="AB52" s="24">
        <v>2</v>
      </c>
      <c r="AC52" s="24">
        <v>-4</v>
      </c>
      <c r="AD52" s="24">
        <v>7</v>
      </c>
      <c r="AE52" s="24">
        <v>11</v>
      </c>
      <c r="AF52" s="46">
        <f t="shared" si="3"/>
        <v>70.532863849765249</v>
      </c>
      <c r="AG52" s="51">
        <f t="shared" ref="AG52" si="64">AVERAGE(AF52,AF53)</f>
        <v>68.705929503575121</v>
      </c>
      <c r="AH52" s="12">
        <f t="shared" ref="AH52:AQ61" si="65">INDEX(ovrTable,MATCH(INDEX(teamCol,ROW()),ovrTeamCol,0),MATCH(MID(INDEX(headerRow,1,COLUMN()),4,LEN(INDEX(headerRow,1,COLUMN()))),ovrHeaderRow,0))</f>
        <v>33.200000000000003</v>
      </c>
      <c r="AI52" s="12">
        <f t="shared" si="65"/>
        <v>9.9</v>
      </c>
      <c r="AJ52" s="12">
        <f t="shared" si="65"/>
        <v>40.9</v>
      </c>
      <c r="AK52" s="12">
        <f t="shared" si="65"/>
        <v>24.2</v>
      </c>
      <c r="AL52" s="12">
        <f t="shared" si="65"/>
        <v>1.64</v>
      </c>
      <c r="AM52" s="12">
        <f t="shared" si="65"/>
        <v>17.5</v>
      </c>
      <c r="AN52" s="12">
        <f t="shared" si="65"/>
        <v>32.61</v>
      </c>
      <c r="AO52" s="12">
        <f t="shared" si="65"/>
        <v>6.3</v>
      </c>
      <c r="AP52" s="12">
        <f t="shared" si="65"/>
        <v>42.9</v>
      </c>
      <c r="AQ52" s="12">
        <f t="shared" si="65"/>
        <v>27.55</v>
      </c>
      <c r="AR52" s="12">
        <f t="shared" ref="AR52:BA61" si="66">INDEX(ovrTable,MATCH(INDEX(teamCol,ROW()),ovrTeamCol,0),MATCH(MID(INDEX(headerRow,1,COLUMN()),4,LEN(INDEX(headerRow,1,COLUMN()))),ovrHeaderRow,0))</f>
        <v>0.57199999999999995</v>
      </c>
      <c r="AS52" s="12">
        <f t="shared" si="66"/>
        <v>15.42</v>
      </c>
      <c r="AT52" s="12">
        <f t="shared" si="66"/>
        <v>49.5</v>
      </c>
      <c r="AU52" s="12">
        <f t="shared" si="66"/>
        <v>17.5</v>
      </c>
      <c r="AV52" s="12">
        <f t="shared" si="66"/>
        <v>77.2</v>
      </c>
      <c r="AW52" s="12">
        <f t="shared" si="66"/>
        <v>19.7</v>
      </c>
      <c r="AX52" s="12">
        <f t="shared" si="66"/>
        <v>15.2</v>
      </c>
      <c r="AY52" s="12">
        <f t="shared" si="66"/>
        <v>79.7</v>
      </c>
      <c r="AZ52" s="12">
        <f t="shared" si="66"/>
        <v>10.06</v>
      </c>
      <c r="BA52" s="12">
        <f t="shared" si="66"/>
        <v>89</v>
      </c>
      <c r="BB52" s="12">
        <f t="shared" ref="BB52:BK61" si="67">INDEX(ovrTable,MATCH(INDEX(teamCol,ROW()),ovrTeamCol,0),MATCH(MID(INDEX(headerRow,1,COLUMN()),4,LEN(INDEX(headerRow,1,COLUMN()))),ovrHeaderRow,0))</f>
        <v>0.8</v>
      </c>
      <c r="BC52" s="12">
        <f t="shared" si="67"/>
        <v>37.61</v>
      </c>
      <c r="BD52" s="12">
        <f t="shared" si="67"/>
        <v>9.3000000000000007</v>
      </c>
      <c r="BE52" s="12">
        <f t="shared" si="67"/>
        <v>7.5</v>
      </c>
      <c r="BF52" s="12">
        <f t="shared" si="67"/>
        <v>1.2</v>
      </c>
      <c r="BG52" s="12">
        <f t="shared" si="67"/>
        <v>11.85</v>
      </c>
      <c r="BH52" s="12">
        <f t="shared" si="67"/>
        <v>10.7</v>
      </c>
      <c r="BI52" s="12">
        <f t="shared" si="67"/>
        <v>76.7</v>
      </c>
      <c r="BJ52" s="12">
        <f t="shared" si="67"/>
        <v>22.049999999999997</v>
      </c>
      <c r="BK52" s="12">
        <f t="shared" si="67"/>
        <v>64.545454545454533</v>
      </c>
      <c r="BL52" s="12">
        <f>INDEX(ovrTable,MATCH(INDEX(oppCol24,ROW()),ovrTeamCol,0),MATCH(MID(INDEX(headerRow,1,COLUMN()),4,LEN(INDEX(headerRow,1,COLUMN()))),ovrHeaderRow,0))</f>
        <v>33.9</v>
      </c>
      <c r="BM52" s="12">
        <f>INDEX(ovrTable,MATCH(INDEX(oppCol24,ROW()),ovrTeamCol,0),MATCH(MID(INDEX(headerRow,1,COLUMN()),4,LEN(INDEX(headerRow,1,COLUMN()))),ovrHeaderRow,0))</f>
        <v>8.8000000000000007</v>
      </c>
      <c r="BN52" s="12">
        <f>INDEX(ovrTable,MATCH(INDEX(oppCol24,ROW()),ovrTeamCol,0),MATCH(MID(INDEX(headerRow,1,COLUMN()),4,LEN(INDEX(headerRow,1,COLUMN()))),ovrHeaderRow,0))</f>
        <v>35.5</v>
      </c>
      <c r="BO52" s="12">
        <f>INDEX(ovrTable,MATCH(INDEX(oppCol24,ROW()),ovrTeamCol,0),MATCH(MID(INDEX(headerRow,1,COLUMN()),4,LEN(INDEX(headerRow,1,COLUMN()))),ovrHeaderRow,0))</f>
        <v>24.9</v>
      </c>
      <c r="BP52" s="12">
        <f>INDEX(ovrTable,MATCH(INDEX(oppCol24,ROW()),ovrTeamCol,0),MATCH(MID(INDEX(headerRow,1,COLUMN()),4,LEN(INDEX(headerRow,1,COLUMN()))),ovrHeaderRow,0))</f>
        <v>1.32</v>
      </c>
      <c r="BQ52" s="12">
        <f>INDEX(ovrTable,MATCH(INDEX(oppCol24,ROW()),ovrTeamCol,0),MATCH(MID(INDEX(headerRow,1,COLUMN()),4,LEN(INDEX(headerRow,1,COLUMN()))),ovrHeaderRow,0))</f>
        <v>14.5</v>
      </c>
      <c r="BR52" s="12">
        <f>INDEX(ovrTable,MATCH(INDEX(oppCol24,ROW()),ovrTeamCol,0),MATCH(MID(INDEX(headerRow,1,COLUMN()),4,LEN(INDEX(headerRow,1,COLUMN()))),ovrHeaderRow,0))</f>
        <v>21.08</v>
      </c>
      <c r="BS52" s="12">
        <f>INDEX(ovrTable,MATCH(INDEX(oppCol24,ROW()),ovrTeamCol,0),MATCH(MID(INDEX(headerRow,1,COLUMN()),4,LEN(INDEX(headerRow,1,COLUMN()))),ovrHeaderRow,0))</f>
        <v>2.8</v>
      </c>
      <c r="BT52" s="12">
        <f>INDEX(ovrTable,MATCH(INDEX(oppCol24,ROW()),ovrTeamCol,0),MATCH(MID(INDEX(headerRow,1,COLUMN()),4,LEN(INDEX(headerRow,1,COLUMN()))),ovrHeaderRow,0))</f>
        <v>43.7</v>
      </c>
      <c r="BU52" s="12">
        <f>INDEX(ovrTable,MATCH(INDEX(oppCol24,ROW()),ovrTeamCol,0),MATCH(MID(INDEX(headerRow,1,COLUMN()),4,LEN(INDEX(headerRow,1,COLUMN()))),ovrHeaderRow,0))</f>
        <v>25.25</v>
      </c>
      <c r="BV52" s="12">
        <f>INDEX(ovrTable,MATCH(INDEX(oppCol24,ROW()),ovrTeamCol,0),MATCH(MID(INDEX(headerRow,1,COLUMN()),4,LEN(INDEX(headerRow,1,COLUMN()))),ovrHeaderRow,0))</f>
        <v>0.51900000000000002</v>
      </c>
      <c r="BW52" s="12">
        <f>INDEX(ovrTable,MATCH(INDEX(oppCol24,ROW()),ovrTeamCol,0),MATCH(MID(INDEX(headerRow,1,COLUMN()),4,LEN(INDEX(headerRow,1,COLUMN()))),ovrHeaderRow,0))</f>
        <v>7.47</v>
      </c>
      <c r="BX52" s="12">
        <f>INDEX(ovrTable,MATCH(INDEX(oppCol24,ROW()),ovrTeamCol,0),MATCH(MID(INDEX(headerRow,1,COLUMN()),4,LEN(INDEX(headerRow,1,COLUMN()))),ovrHeaderRow,0))</f>
        <v>44.6</v>
      </c>
      <c r="BY52" s="12">
        <f>INDEX(ovrTable,MATCH(INDEX(oppCol24,ROW()),ovrTeamCol,0),MATCH(MID(INDEX(headerRow,1,COLUMN()),4,LEN(INDEX(headerRow,1,COLUMN()))),ovrHeaderRow,0))</f>
        <v>15.1</v>
      </c>
      <c r="BZ52" s="12">
        <f>INDEX(ovrTable,MATCH(INDEX(oppCol24,ROW()),ovrTeamCol,0),MATCH(MID(INDEX(headerRow,1,COLUMN()),4,LEN(INDEX(headerRow,1,COLUMN()))),ovrHeaderRow,0))</f>
        <v>75.099999999999994</v>
      </c>
      <c r="CA52" s="12">
        <f>INDEX(ovrTable,MATCH(INDEX(oppCol24,ROW()),ovrTeamCol,0),MATCH(MID(INDEX(headerRow,1,COLUMN()),4,LEN(INDEX(headerRow,1,COLUMN()))),ovrHeaderRow,0))</f>
        <v>18.5</v>
      </c>
      <c r="CB52" s="12">
        <f>INDEX(ovrTable,MATCH(INDEX(oppCol24,ROW()),ovrTeamCol,0),MATCH(MID(INDEX(headerRow,1,COLUMN()),4,LEN(INDEX(headerRow,1,COLUMN()))),ovrHeaderRow,0))</f>
        <v>13.9</v>
      </c>
      <c r="CC52" s="12">
        <f>INDEX(ovrTable,MATCH(INDEX(oppCol24,ROW()),ovrTeamCol,0),MATCH(MID(INDEX(headerRow,1,COLUMN()),4,LEN(INDEX(headerRow,1,COLUMN()))),ovrHeaderRow,0))</f>
        <v>73.2</v>
      </c>
      <c r="CD52" s="12">
        <f>INDEX(ovrTable,MATCH(INDEX(oppCol24,ROW()),ovrTeamCol,0),MATCH(MID(INDEX(headerRow,1,COLUMN()),4,LEN(INDEX(headerRow,1,COLUMN()))),ovrHeaderRow,0))</f>
        <v>10.64</v>
      </c>
      <c r="CE52" s="12">
        <f>INDEX(ovrTable,MATCH(INDEX(oppCol24,ROW()),ovrTeamCol,0),MATCH(MID(INDEX(headerRow,1,COLUMN()),4,LEN(INDEX(headerRow,1,COLUMN()))),ovrHeaderRow,0))</f>
        <v>76.400000000000006</v>
      </c>
      <c r="CF52" s="12">
        <f>INDEX(ovrTable,MATCH(INDEX(oppCol24,ROW()),ovrTeamCol,0),MATCH(MID(INDEX(headerRow,1,COLUMN()),4,LEN(INDEX(headerRow,1,COLUMN()))),ovrHeaderRow,0))</f>
        <v>1.2</v>
      </c>
      <c r="CG52" s="12">
        <f>INDEX(ovrTable,MATCH(INDEX(oppCol24,ROW()),ovrTeamCol,0),MATCH(MID(INDEX(headerRow,1,COLUMN()),4,LEN(INDEX(headerRow,1,COLUMN()))),ovrHeaderRow,0))</f>
        <v>35.89</v>
      </c>
      <c r="CH52" s="12">
        <f>INDEX(ovrTable,MATCH(INDEX(oppCol24,ROW()),ovrTeamCol,0),MATCH(MID(INDEX(headerRow,1,COLUMN()),4,LEN(INDEX(headerRow,1,COLUMN()))),ovrHeaderRow,0))</f>
        <v>3.3</v>
      </c>
      <c r="CI52" s="12">
        <f>INDEX(ovrTable,MATCH(INDEX(oppCol24,ROW()),ovrTeamCol,0),MATCH(MID(INDEX(headerRow,1,COLUMN()),4,LEN(INDEX(headerRow,1,COLUMN()))),ovrHeaderRow,0))</f>
        <v>6.6</v>
      </c>
      <c r="CJ52" s="12">
        <f>INDEX(ovrTable,MATCH(INDEX(oppCol24,ROW()),ovrTeamCol,0),MATCH(MID(INDEX(headerRow,1,COLUMN()),4,LEN(INDEX(headerRow,1,COLUMN()))),ovrHeaderRow,0))</f>
        <v>0.2</v>
      </c>
      <c r="CK52" s="12">
        <f>INDEX(ovrTable,MATCH(INDEX(oppCol24,ROW()),ovrTeamCol,0),MATCH(MID(INDEX(headerRow,1,COLUMN()),4,LEN(INDEX(headerRow,1,COLUMN()))),ovrHeaderRow,0))</f>
        <v>11.19</v>
      </c>
      <c r="CL52" s="12">
        <f>INDEX(ovrTable,MATCH(INDEX(oppCol24,ROW()),ovrTeamCol,0),MATCH(MID(INDEX(headerRow,1,COLUMN()),4,LEN(INDEX(headerRow,1,COLUMN()))),ovrHeaderRow,0))</f>
        <v>11</v>
      </c>
      <c r="CM52" s="12">
        <f>INDEX(ovrTable,MATCH(INDEX(oppCol24,ROW()),ovrTeamCol,0),MATCH(MID(INDEX(headerRow,1,COLUMN()),4,LEN(INDEX(headerRow,1,COLUMN()))),ovrHeaderRow,0))</f>
        <v>68.599999999999994</v>
      </c>
      <c r="CN52" s="12">
        <f>INDEX(ovrTable,MATCH(INDEX(oppCol24,ROW()),ovrTeamCol,0),MATCH(MID(INDEX(headerRow,1,COLUMN()),4,LEN(INDEX(headerRow,1,COLUMN()))),ovrHeaderRow,0))</f>
        <v>18.050000000000004</v>
      </c>
      <c r="CO52" s="12">
        <f>INDEX(ovrTable,MATCH(INDEX(oppCol24,ROW()),ovrTeamCol,0),MATCH(MID(INDEX(headerRow,1,COLUMN()),4,LEN(INDEX(headerRow,1,COLUMN()))),ovrHeaderRow,0))</f>
        <v>60.201793721973104</v>
      </c>
    </row>
    <row r="53" spans="1:93" x14ac:dyDescent="0.3">
      <c r="A53" s="6" t="s">
        <v>37</v>
      </c>
      <c r="B53" s="3">
        <v>14</v>
      </c>
      <c r="C53" s="13" t="s">
        <v>49</v>
      </c>
      <c r="D53" s="14">
        <v>26</v>
      </c>
      <c r="E53" s="23">
        <v>32.142857142857146</v>
      </c>
      <c r="F53" s="24">
        <v>15</v>
      </c>
      <c r="G53" s="23">
        <v>48.387096774193552</v>
      </c>
      <c r="H53" s="24">
        <v>31</v>
      </c>
      <c r="I53" s="25">
        <v>2.2857142857142856</v>
      </c>
      <c r="J53" s="24">
        <v>16</v>
      </c>
      <c r="K53" s="24">
        <v>40</v>
      </c>
      <c r="L53" s="24">
        <v>1</v>
      </c>
      <c r="M53" s="24">
        <v>42.6</v>
      </c>
      <c r="N53" s="24">
        <v>26</v>
      </c>
      <c r="O53" s="26">
        <v>0.53213461538461537</v>
      </c>
      <c r="P53" s="24">
        <v>4</v>
      </c>
      <c r="Q53" s="24">
        <v>41.3</v>
      </c>
      <c r="R53" s="24">
        <v>18</v>
      </c>
      <c r="S53" s="23">
        <v>56.521739130434781</v>
      </c>
      <c r="T53" s="24">
        <v>23</v>
      </c>
      <c r="U53" s="24">
        <v>13</v>
      </c>
      <c r="V53" s="24">
        <v>76</v>
      </c>
      <c r="W53" s="24">
        <v>14</v>
      </c>
      <c r="X53" s="24">
        <v>80</v>
      </c>
      <c r="Y53" s="24">
        <v>1</v>
      </c>
      <c r="Z53" s="24">
        <v>40</v>
      </c>
      <c r="AA53" s="24">
        <v>4</v>
      </c>
      <c r="AB53" s="24">
        <v>5</v>
      </c>
      <c r="AC53" s="24">
        <v>4</v>
      </c>
      <c r="AD53" s="24">
        <v>11</v>
      </c>
      <c r="AE53" s="24">
        <v>7</v>
      </c>
      <c r="AF53" s="46">
        <f t="shared" si="3"/>
        <v>66.878995157384992</v>
      </c>
      <c r="AG53" s="51">
        <f t="shared" ref="AG53" si="68">AVERAGE(AF52,AF53)</f>
        <v>68.705929503575121</v>
      </c>
      <c r="AH53" s="12">
        <f t="shared" si="65"/>
        <v>33.9</v>
      </c>
      <c r="AI53" s="12">
        <f t="shared" si="65"/>
        <v>8.8000000000000007</v>
      </c>
      <c r="AJ53" s="12">
        <f t="shared" si="65"/>
        <v>35.5</v>
      </c>
      <c r="AK53" s="12">
        <f t="shared" si="65"/>
        <v>24.9</v>
      </c>
      <c r="AL53" s="12">
        <f t="shared" si="65"/>
        <v>1.32</v>
      </c>
      <c r="AM53" s="12">
        <f t="shared" si="65"/>
        <v>14.5</v>
      </c>
      <c r="AN53" s="12">
        <f t="shared" si="65"/>
        <v>21.08</v>
      </c>
      <c r="AO53" s="12">
        <f t="shared" si="65"/>
        <v>2.8</v>
      </c>
      <c r="AP53" s="12">
        <f t="shared" si="65"/>
        <v>43.7</v>
      </c>
      <c r="AQ53" s="12">
        <f t="shared" si="65"/>
        <v>25.25</v>
      </c>
      <c r="AR53" s="12">
        <f t="shared" si="66"/>
        <v>0.51900000000000002</v>
      </c>
      <c r="AS53" s="12">
        <f t="shared" si="66"/>
        <v>7.47</v>
      </c>
      <c r="AT53" s="12">
        <f t="shared" si="66"/>
        <v>44.6</v>
      </c>
      <c r="AU53" s="12">
        <f t="shared" si="66"/>
        <v>15.1</v>
      </c>
      <c r="AV53" s="12">
        <f t="shared" si="66"/>
        <v>75.099999999999994</v>
      </c>
      <c r="AW53" s="12">
        <f t="shared" si="66"/>
        <v>18.5</v>
      </c>
      <c r="AX53" s="12">
        <f t="shared" si="66"/>
        <v>13.9</v>
      </c>
      <c r="AY53" s="12">
        <f t="shared" si="66"/>
        <v>73.2</v>
      </c>
      <c r="AZ53" s="12">
        <f t="shared" si="66"/>
        <v>10.64</v>
      </c>
      <c r="BA53" s="12">
        <f t="shared" si="66"/>
        <v>76.400000000000006</v>
      </c>
      <c r="BB53" s="12">
        <f t="shared" si="67"/>
        <v>1.2</v>
      </c>
      <c r="BC53" s="12">
        <f t="shared" si="67"/>
        <v>35.89</v>
      </c>
      <c r="BD53" s="12">
        <f t="shared" si="67"/>
        <v>3.3</v>
      </c>
      <c r="BE53" s="12">
        <f t="shared" si="67"/>
        <v>6.6</v>
      </c>
      <c r="BF53" s="12">
        <f t="shared" si="67"/>
        <v>0.2</v>
      </c>
      <c r="BG53" s="12">
        <f t="shared" si="67"/>
        <v>11.19</v>
      </c>
      <c r="BH53" s="12">
        <f t="shared" si="67"/>
        <v>11</v>
      </c>
      <c r="BI53" s="12">
        <f t="shared" si="67"/>
        <v>68.599999999999994</v>
      </c>
      <c r="BJ53" s="12">
        <f t="shared" si="67"/>
        <v>18.050000000000004</v>
      </c>
      <c r="BK53" s="12">
        <f t="shared" si="67"/>
        <v>60.201793721973104</v>
      </c>
      <c r="BL53" s="12">
        <f>INDEX(ovrTable,MATCH(INDEX(oppCol24,ROW()),ovrTeamCol,0),MATCH(MID(INDEX(headerRow,1,COLUMN()),4,LEN(INDEX(headerRow,1,COLUMN()))),ovrHeaderRow,0))</f>
        <v>33.200000000000003</v>
      </c>
      <c r="BM53" s="12">
        <f>INDEX(ovrTable,MATCH(INDEX(oppCol24,ROW()),ovrTeamCol,0),MATCH(MID(INDEX(headerRow,1,COLUMN()),4,LEN(INDEX(headerRow,1,COLUMN()))),ovrHeaderRow,0))</f>
        <v>9.9</v>
      </c>
      <c r="BN53" s="12">
        <f>INDEX(ovrTable,MATCH(INDEX(oppCol24,ROW()),ovrTeamCol,0),MATCH(MID(INDEX(headerRow,1,COLUMN()),4,LEN(INDEX(headerRow,1,COLUMN()))),ovrHeaderRow,0))</f>
        <v>40.9</v>
      </c>
      <c r="BO53" s="12">
        <f>INDEX(ovrTable,MATCH(INDEX(oppCol24,ROW()),ovrTeamCol,0),MATCH(MID(INDEX(headerRow,1,COLUMN()),4,LEN(INDEX(headerRow,1,COLUMN()))),ovrHeaderRow,0))</f>
        <v>24.2</v>
      </c>
      <c r="BP53" s="12">
        <f>INDEX(ovrTable,MATCH(INDEX(oppCol24,ROW()),ovrTeamCol,0),MATCH(MID(INDEX(headerRow,1,COLUMN()),4,LEN(INDEX(headerRow,1,COLUMN()))),ovrHeaderRow,0))</f>
        <v>1.64</v>
      </c>
      <c r="BQ53" s="12">
        <f>INDEX(ovrTable,MATCH(INDEX(oppCol24,ROW()),ovrTeamCol,0),MATCH(MID(INDEX(headerRow,1,COLUMN()),4,LEN(INDEX(headerRow,1,COLUMN()))),ovrHeaderRow,0))</f>
        <v>17.5</v>
      </c>
      <c r="BR53" s="12">
        <f>INDEX(ovrTable,MATCH(INDEX(oppCol24,ROW()),ovrTeamCol,0),MATCH(MID(INDEX(headerRow,1,COLUMN()),4,LEN(INDEX(headerRow,1,COLUMN()))),ovrHeaderRow,0))</f>
        <v>32.61</v>
      </c>
      <c r="BS53" s="12">
        <f>INDEX(ovrTable,MATCH(INDEX(oppCol24,ROW()),ovrTeamCol,0),MATCH(MID(INDEX(headerRow,1,COLUMN()),4,LEN(INDEX(headerRow,1,COLUMN()))),ovrHeaderRow,0))</f>
        <v>6.3</v>
      </c>
      <c r="BT53" s="12">
        <f>INDEX(ovrTable,MATCH(INDEX(oppCol24,ROW()),ovrTeamCol,0),MATCH(MID(INDEX(headerRow,1,COLUMN()),4,LEN(INDEX(headerRow,1,COLUMN()))),ovrHeaderRow,0))</f>
        <v>42.9</v>
      </c>
      <c r="BU53" s="12">
        <f>INDEX(ovrTable,MATCH(INDEX(oppCol24,ROW()),ovrTeamCol,0),MATCH(MID(INDEX(headerRow,1,COLUMN()),4,LEN(INDEX(headerRow,1,COLUMN()))),ovrHeaderRow,0))</f>
        <v>27.55</v>
      </c>
      <c r="BV53" s="12">
        <f>INDEX(ovrTable,MATCH(INDEX(oppCol24,ROW()),ovrTeamCol,0),MATCH(MID(INDEX(headerRow,1,COLUMN()),4,LEN(INDEX(headerRow,1,COLUMN()))),ovrHeaderRow,0))</f>
        <v>0.57199999999999995</v>
      </c>
      <c r="BW53" s="12">
        <f>INDEX(ovrTable,MATCH(INDEX(oppCol24,ROW()),ovrTeamCol,0),MATCH(MID(INDEX(headerRow,1,COLUMN()),4,LEN(INDEX(headerRow,1,COLUMN()))),ovrHeaderRow,0))</f>
        <v>15.42</v>
      </c>
      <c r="BX53" s="12">
        <f>INDEX(ovrTable,MATCH(INDEX(oppCol24,ROW()),ovrTeamCol,0),MATCH(MID(INDEX(headerRow,1,COLUMN()),4,LEN(INDEX(headerRow,1,COLUMN()))),ovrHeaderRow,0))</f>
        <v>49.5</v>
      </c>
      <c r="BY53" s="12">
        <f>INDEX(ovrTable,MATCH(INDEX(oppCol24,ROW()),ovrTeamCol,0),MATCH(MID(INDEX(headerRow,1,COLUMN()),4,LEN(INDEX(headerRow,1,COLUMN()))),ovrHeaderRow,0))</f>
        <v>17.5</v>
      </c>
      <c r="BZ53" s="12">
        <f>INDEX(ovrTable,MATCH(INDEX(oppCol24,ROW()),ovrTeamCol,0),MATCH(MID(INDEX(headerRow,1,COLUMN()),4,LEN(INDEX(headerRow,1,COLUMN()))),ovrHeaderRow,0))</f>
        <v>77.2</v>
      </c>
      <c r="CA53" s="12">
        <f>INDEX(ovrTable,MATCH(INDEX(oppCol24,ROW()),ovrTeamCol,0),MATCH(MID(INDEX(headerRow,1,COLUMN()),4,LEN(INDEX(headerRow,1,COLUMN()))),ovrHeaderRow,0))</f>
        <v>19.7</v>
      </c>
      <c r="CB53" s="12">
        <f>INDEX(ovrTable,MATCH(INDEX(oppCol24,ROW()),ovrTeamCol,0),MATCH(MID(INDEX(headerRow,1,COLUMN()),4,LEN(INDEX(headerRow,1,COLUMN()))),ovrHeaderRow,0))</f>
        <v>15.2</v>
      </c>
      <c r="CC53" s="12">
        <f>INDEX(ovrTable,MATCH(INDEX(oppCol24,ROW()),ovrTeamCol,0),MATCH(MID(INDEX(headerRow,1,COLUMN()),4,LEN(INDEX(headerRow,1,COLUMN()))),ovrHeaderRow,0))</f>
        <v>79.7</v>
      </c>
      <c r="CD53" s="12">
        <f>INDEX(ovrTable,MATCH(INDEX(oppCol24,ROW()),ovrTeamCol,0),MATCH(MID(INDEX(headerRow,1,COLUMN()),4,LEN(INDEX(headerRow,1,COLUMN()))),ovrHeaderRow,0))</f>
        <v>10.06</v>
      </c>
      <c r="CE53" s="12">
        <f>INDEX(ovrTable,MATCH(INDEX(oppCol24,ROW()),ovrTeamCol,0),MATCH(MID(INDEX(headerRow,1,COLUMN()),4,LEN(INDEX(headerRow,1,COLUMN()))),ovrHeaderRow,0))</f>
        <v>89</v>
      </c>
      <c r="CF53" s="12">
        <f>INDEX(ovrTable,MATCH(INDEX(oppCol24,ROW()),ovrTeamCol,0),MATCH(MID(INDEX(headerRow,1,COLUMN()),4,LEN(INDEX(headerRow,1,COLUMN()))),ovrHeaderRow,0))</f>
        <v>0.8</v>
      </c>
      <c r="CG53" s="12">
        <f>INDEX(ovrTable,MATCH(INDEX(oppCol24,ROW()),ovrTeamCol,0),MATCH(MID(INDEX(headerRow,1,COLUMN()),4,LEN(INDEX(headerRow,1,COLUMN()))),ovrHeaderRow,0))</f>
        <v>37.61</v>
      </c>
      <c r="CH53" s="12">
        <f>INDEX(ovrTable,MATCH(INDEX(oppCol24,ROW()),ovrTeamCol,0),MATCH(MID(INDEX(headerRow,1,COLUMN()),4,LEN(INDEX(headerRow,1,COLUMN()))),ovrHeaderRow,0))</f>
        <v>9.3000000000000007</v>
      </c>
      <c r="CI53" s="12">
        <f>INDEX(ovrTable,MATCH(INDEX(oppCol24,ROW()),ovrTeamCol,0),MATCH(MID(INDEX(headerRow,1,COLUMN()),4,LEN(INDEX(headerRow,1,COLUMN()))),ovrHeaderRow,0))</f>
        <v>7.5</v>
      </c>
      <c r="CJ53" s="12">
        <f>INDEX(ovrTable,MATCH(INDEX(oppCol24,ROW()),ovrTeamCol,0),MATCH(MID(INDEX(headerRow,1,COLUMN()),4,LEN(INDEX(headerRow,1,COLUMN()))),ovrHeaderRow,0))</f>
        <v>1.2</v>
      </c>
      <c r="CK53" s="12">
        <f>INDEX(ovrTable,MATCH(INDEX(oppCol24,ROW()),ovrTeamCol,0),MATCH(MID(INDEX(headerRow,1,COLUMN()),4,LEN(INDEX(headerRow,1,COLUMN()))),ovrHeaderRow,0))</f>
        <v>11.85</v>
      </c>
      <c r="CL53" s="12">
        <f>INDEX(ovrTable,MATCH(INDEX(oppCol24,ROW()),ovrTeamCol,0),MATCH(MID(INDEX(headerRow,1,COLUMN()),4,LEN(INDEX(headerRow,1,COLUMN()))),ovrHeaderRow,0))</f>
        <v>10.7</v>
      </c>
      <c r="CM53" s="12">
        <f>INDEX(ovrTable,MATCH(INDEX(oppCol24,ROW()),ovrTeamCol,0),MATCH(MID(INDEX(headerRow,1,COLUMN()),4,LEN(INDEX(headerRow,1,COLUMN()))),ovrHeaderRow,0))</f>
        <v>76.7</v>
      </c>
      <c r="CN53" s="12">
        <f>INDEX(ovrTable,MATCH(INDEX(oppCol24,ROW()),ovrTeamCol,0),MATCH(MID(INDEX(headerRow,1,COLUMN()),4,LEN(INDEX(headerRow,1,COLUMN()))),ovrHeaderRow,0))</f>
        <v>22.049999999999997</v>
      </c>
      <c r="CO53" s="12">
        <f>INDEX(ovrTable,MATCH(INDEX(oppCol24,ROW()),ovrTeamCol,0),MATCH(MID(INDEX(headerRow,1,COLUMN()),4,LEN(INDEX(headerRow,1,COLUMN()))),ovrHeaderRow,0))</f>
        <v>64.545454545454533</v>
      </c>
    </row>
    <row r="54" spans="1:93" x14ac:dyDescent="0.3">
      <c r="A54" s="6" t="s">
        <v>45</v>
      </c>
      <c r="B54" s="3">
        <v>7</v>
      </c>
      <c r="C54" s="13" t="s">
        <v>40</v>
      </c>
      <c r="D54" s="14">
        <v>27</v>
      </c>
      <c r="E54" s="23">
        <v>60</v>
      </c>
      <c r="F54" s="24">
        <v>11</v>
      </c>
      <c r="G54" s="23">
        <v>44</v>
      </c>
      <c r="H54" s="24">
        <v>25</v>
      </c>
      <c r="I54" s="25">
        <v>2.75</v>
      </c>
      <c r="J54" s="24">
        <v>22</v>
      </c>
      <c r="K54" s="24">
        <v>22</v>
      </c>
      <c r="L54" s="24">
        <v>5</v>
      </c>
      <c r="M54" s="24">
        <v>63</v>
      </c>
      <c r="N54" s="24">
        <v>18</v>
      </c>
      <c r="O54" s="26">
        <v>0.59592857142857136</v>
      </c>
      <c r="P54" s="24">
        <v>12</v>
      </c>
      <c r="Q54" s="24">
        <v>51.5</v>
      </c>
      <c r="R54" s="24">
        <v>23</v>
      </c>
      <c r="S54" s="23">
        <v>86.36363636363636</v>
      </c>
      <c r="T54" s="24">
        <v>22</v>
      </c>
      <c r="U54" s="24">
        <v>19</v>
      </c>
      <c r="V54" s="24">
        <v>102</v>
      </c>
      <c r="W54" s="24">
        <v>10</v>
      </c>
      <c r="X54" s="24">
        <v>100</v>
      </c>
      <c r="Y54" s="24">
        <v>-1</v>
      </c>
      <c r="Z54" s="24">
        <v>28</v>
      </c>
      <c r="AA54" s="24">
        <v>-2</v>
      </c>
      <c r="AB54" s="24">
        <v>8</v>
      </c>
      <c r="AC54" s="24">
        <v>4</v>
      </c>
      <c r="AD54" s="24">
        <v>12</v>
      </c>
      <c r="AE54" s="24">
        <v>8</v>
      </c>
      <c r="AF54" s="46">
        <f t="shared" si="3"/>
        <v>76.411165048543694</v>
      </c>
      <c r="AG54" s="51">
        <f t="shared" ref="AG54" si="69">AVERAGE(AF54,AF55)</f>
        <v>76.52720950839884</v>
      </c>
      <c r="AH54" s="12">
        <f t="shared" si="65"/>
        <v>32.6</v>
      </c>
      <c r="AI54" s="12">
        <f t="shared" si="65"/>
        <v>7.8</v>
      </c>
      <c r="AJ54" s="12">
        <f t="shared" si="65"/>
        <v>34.5</v>
      </c>
      <c r="AK54" s="12">
        <f t="shared" si="65"/>
        <v>22.6</v>
      </c>
      <c r="AL54" s="12">
        <f t="shared" si="65"/>
        <v>1.3</v>
      </c>
      <c r="AM54" s="12">
        <f t="shared" si="65"/>
        <v>15.2</v>
      </c>
      <c r="AN54" s="12">
        <f t="shared" si="65"/>
        <v>21.92</v>
      </c>
      <c r="AO54" s="12">
        <f t="shared" si="65"/>
        <v>5.3</v>
      </c>
      <c r="AP54" s="12">
        <f t="shared" si="65"/>
        <v>44</v>
      </c>
      <c r="AQ54" s="12">
        <f t="shared" si="65"/>
        <v>27.64</v>
      </c>
      <c r="AR54" s="12">
        <f t="shared" si="66"/>
        <v>0.51800000000000002</v>
      </c>
      <c r="AS54" s="12">
        <f t="shared" si="66"/>
        <v>14.28</v>
      </c>
      <c r="AT54" s="12">
        <f t="shared" si="66"/>
        <v>45.8</v>
      </c>
      <c r="AU54" s="12">
        <f t="shared" si="66"/>
        <v>18.399999999999999</v>
      </c>
      <c r="AV54" s="12">
        <f t="shared" si="66"/>
        <v>71.5</v>
      </c>
      <c r="AW54" s="12">
        <f t="shared" si="66"/>
        <v>25.1</v>
      </c>
      <c r="AX54" s="12">
        <f t="shared" si="66"/>
        <v>17.899999999999999</v>
      </c>
      <c r="AY54" s="12">
        <f t="shared" si="66"/>
        <v>79.2</v>
      </c>
      <c r="AZ54" s="12">
        <f t="shared" si="66"/>
        <v>14.64</v>
      </c>
      <c r="BA54" s="12">
        <f t="shared" si="66"/>
        <v>85.6</v>
      </c>
      <c r="BB54" s="12">
        <f t="shared" si="67"/>
        <v>6.5</v>
      </c>
      <c r="BC54" s="12">
        <f t="shared" si="67"/>
        <v>42.28</v>
      </c>
      <c r="BD54" s="12">
        <f t="shared" si="67"/>
        <v>6.4</v>
      </c>
      <c r="BE54" s="12">
        <f t="shared" si="67"/>
        <v>6.7</v>
      </c>
      <c r="BF54" s="12">
        <f t="shared" si="67"/>
        <v>-0.9</v>
      </c>
      <c r="BG54" s="12">
        <f t="shared" si="67"/>
        <v>10.81</v>
      </c>
      <c r="BH54" s="12">
        <f t="shared" si="67"/>
        <v>11.7</v>
      </c>
      <c r="BI54" s="12">
        <f t="shared" si="67"/>
        <v>76</v>
      </c>
      <c r="BJ54" s="12">
        <f t="shared" si="67"/>
        <v>22.149999999999995</v>
      </c>
      <c r="BK54" s="12">
        <f t="shared" si="67"/>
        <v>65.393013100436676</v>
      </c>
      <c r="BL54" s="12">
        <f>INDEX(ovrTable,MATCH(INDEX(oppCol24,ROW()),ovrTeamCol,0),MATCH(MID(INDEX(headerRow,1,COLUMN()),4,LEN(INDEX(headerRow,1,COLUMN()))),ovrHeaderRow,0))</f>
        <v>32</v>
      </c>
      <c r="BM54" s="12">
        <f>INDEX(ovrTable,MATCH(INDEX(oppCol24,ROW()),ovrTeamCol,0),MATCH(MID(INDEX(headerRow,1,COLUMN()),4,LEN(INDEX(headerRow,1,COLUMN()))),ovrHeaderRow,0))</f>
        <v>6.9</v>
      </c>
      <c r="BN54" s="12">
        <f>INDEX(ovrTable,MATCH(INDEX(oppCol24,ROW()),ovrTeamCol,0),MATCH(MID(INDEX(headerRow,1,COLUMN()),4,LEN(INDEX(headerRow,1,COLUMN()))),ovrHeaderRow,0))</f>
        <v>39.1</v>
      </c>
      <c r="BO54" s="12">
        <f>INDEX(ovrTable,MATCH(INDEX(oppCol24,ROW()),ovrTeamCol,0),MATCH(MID(INDEX(headerRow,1,COLUMN()),4,LEN(INDEX(headerRow,1,COLUMN()))),ovrHeaderRow,0))</f>
        <v>17.5</v>
      </c>
      <c r="BP54" s="12">
        <f>INDEX(ovrTable,MATCH(INDEX(oppCol24,ROW()),ovrTeamCol,0),MATCH(MID(INDEX(headerRow,1,COLUMN()),4,LEN(INDEX(headerRow,1,COLUMN()))),ovrHeaderRow,0))</f>
        <v>1.28</v>
      </c>
      <c r="BQ54" s="12">
        <f>INDEX(ovrTable,MATCH(INDEX(oppCol24,ROW()),ovrTeamCol,0),MATCH(MID(INDEX(headerRow,1,COLUMN()),4,LEN(INDEX(headerRow,1,COLUMN()))),ovrHeaderRow,0))</f>
        <v>16.2</v>
      </c>
      <c r="BR54" s="12">
        <f>INDEX(ovrTable,MATCH(INDEX(oppCol24,ROW()),ovrTeamCol,0),MATCH(MID(INDEX(headerRow,1,COLUMN()),4,LEN(INDEX(headerRow,1,COLUMN()))),ovrHeaderRow,0))</f>
        <v>11.27</v>
      </c>
      <c r="BS54" s="12">
        <f>INDEX(ovrTable,MATCH(INDEX(oppCol24,ROW()),ovrTeamCol,0),MATCH(MID(INDEX(headerRow,1,COLUMN()),4,LEN(INDEX(headerRow,1,COLUMN()))),ovrHeaderRow,0))</f>
        <v>2.2000000000000002</v>
      </c>
      <c r="BT54" s="12">
        <f>INDEX(ovrTable,MATCH(INDEX(oppCol24,ROW()),ovrTeamCol,0),MATCH(MID(INDEX(headerRow,1,COLUMN()),4,LEN(INDEX(headerRow,1,COLUMN()))),ovrHeaderRow,0))</f>
        <v>44</v>
      </c>
      <c r="BU54" s="12">
        <f>INDEX(ovrTable,MATCH(INDEX(oppCol24,ROW()),ovrTeamCol,0),MATCH(MID(INDEX(headerRow,1,COLUMN()),4,LEN(INDEX(headerRow,1,COLUMN()))),ovrHeaderRow,0))</f>
        <v>27</v>
      </c>
      <c r="BV54" s="12">
        <f>INDEX(ovrTable,MATCH(INDEX(oppCol24,ROW()),ovrTeamCol,0),MATCH(MID(INDEX(headerRow,1,COLUMN()),4,LEN(INDEX(headerRow,1,COLUMN()))),ovrHeaderRow,0))</f>
        <v>0.55400000000000005</v>
      </c>
      <c r="BW54" s="12">
        <f>INDEX(ovrTable,MATCH(INDEX(oppCol24,ROW()),ovrTeamCol,0),MATCH(MID(INDEX(headerRow,1,COLUMN()),4,LEN(INDEX(headerRow,1,COLUMN()))),ovrHeaderRow,0))</f>
        <v>11.97</v>
      </c>
      <c r="BX54" s="12">
        <f>INDEX(ovrTable,MATCH(INDEX(oppCol24,ROW()),ovrTeamCol,0),MATCH(MID(INDEX(headerRow,1,COLUMN()),4,LEN(INDEX(headerRow,1,COLUMN()))),ovrHeaderRow,0))</f>
        <v>49.5</v>
      </c>
      <c r="BY54" s="12">
        <f>INDEX(ovrTable,MATCH(INDEX(oppCol24,ROW()),ovrTeamCol,0),MATCH(MID(INDEX(headerRow,1,COLUMN()),4,LEN(INDEX(headerRow,1,COLUMN()))),ovrHeaderRow,0))</f>
        <v>14.8</v>
      </c>
      <c r="BZ54" s="12">
        <f>INDEX(ovrTable,MATCH(INDEX(oppCol24,ROW()),ovrTeamCol,0),MATCH(MID(INDEX(headerRow,1,COLUMN()),4,LEN(INDEX(headerRow,1,COLUMN()))),ovrHeaderRow,0))</f>
        <v>78.400000000000006</v>
      </c>
      <c r="CA54" s="12">
        <f>INDEX(ovrTable,MATCH(INDEX(oppCol24,ROW()),ovrTeamCol,0),MATCH(MID(INDEX(headerRow,1,COLUMN()),4,LEN(INDEX(headerRow,1,COLUMN()))),ovrHeaderRow,0))</f>
        <v>20.100000000000001</v>
      </c>
      <c r="CB54" s="12">
        <f>INDEX(ovrTable,MATCH(INDEX(oppCol24,ROW()),ovrTeamCol,0),MATCH(MID(INDEX(headerRow,1,COLUMN()),4,LEN(INDEX(headerRow,1,COLUMN()))),ovrHeaderRow,0))</f>
        <v>15.8</v>
      </c>
      <c r="CC54" s="12">
        <f>INDEX(ovrTable,MATCH(INDEX(oppCol24,ROW()),ovrTeamCol,0),MATCH(MID(INDEX(headerRow,1,COLUMN()),4,LEN(INDEX(headerRow,1,COLUMN()))),ovrHeaderRow,0))</f>
        <v>71.7</v>
      </c>
      <c r="CD54" s="12">
        <f>INDEX(ovrTable,MATCH(INDEX(oppCol24,ROW()),ovrTeamCol,0),MATCH(MID(INDEX(headerRow,1,COLUMN()),4,LEN(INDEX(headerRow,1,COLUMN()))),ovrHeaderRow,0))</f>
        <v>9.9499999999999993</v>
      </c>
      <c r="CE54" s="12">
        <f>INDEX(ovrTable,MATCH(INDEX(oppCol24,ROW()),ovrTeamCol,0),MATCH(MID(INDEX(headerRow,1,COLUMN()),4,LEN(INDEX(headerRow,1,COLUMN()))),ovrHeaderRow,0))</f>
        <v>79.3</v>
      </c>
      <c r="CF54" s="12">
        <f>INDEX(ovrTable,MATCH(INDEX(oppCol24,ROW()),ovrTeamCol,0),MATCH(MID(INDEX(headerRow,1,COLUMN()),4,LEN(INDEX(headerRow,1,COLUMN()))),ovrHeaderRow,0))</f>
        <v>6.8</v>
      </c>
      <c r="CG54" s="12">
        <f>INDEX(ovrTable,MATCH(INDEX(oppCol24,ROW()),ovrTeamCol,0),MATCH(MID(INDEX(headerRow,1,COLUMN()),4,LEN(INDEX(headerRow,1,COLUMN()))),ovrHeaderRow,0))</f>
        <v>36.950000000000003</v>
      </c>
      <c r="CH54" s="12">
        <f>INDEX(ovrTable,MATCH(INDEX(oppCol24,ROW()),ovrTeamCol,0),MATCH(MID(INDEX(headerRow,1,COLUMN()),4,LEN(INDEX(headerRow,1,COLUMN()))),ovrHeaderRow,0))</f>
        <v>7.6</v>
      </c>
      <c r="CI54" s="12">
        <f>INDEX(ovrTable,MATCH(INDEX(oppCol24,ROW()),ovrTeamCol,0),MATCH(MID(INDEX(headerRow,1,COLUMN()),4,LEN(INDEX(headerRow,1,COLUMN()))),ovrHeaderRow,0))</f>
        <v>6</v>
      </c>
      <c r="CJ54" s="12">
        <f>INDEX(ovrTable,MATCH(INDEX(oppCol24,ROW()),ovrTeamCol,0),MATCH(MID(INDEX(headerRow,1,COLUMN()),4,LEN(INDEX(headerRow,1,COLUMN()))),ovrHeaderRow,0))</f>
        <v>-2</v>
      </c>
      <c r="CK54" s="12">
        <f>INDEX(ovrTable,MATCH(INDEX(oppCol24,ROW()),ovrTeamCol,0),MATCH(MID(INDEX(headerRow,1,COLUMN()),4,LEN(INDEX(headerRow,1,COLUMN()))),ovrHeaderRow,0))</f>
        <v>10.59</v>
      </c>
      <c r="CL54" s="12">
        <f>INDEX(ovrTable,MATCH(INDEX(oppCol24,ROW()),ovrTeamCol,0),MATCH(MID(INDEX(headerRow,1,COLUMN()),4,LEN(INDEX(headerRow,1,COLUMN()))),ovrHeaderRow,0))</f>
        <v>12.6</v>
      </c>
      <c r="CM54" s="12">
        <f>INDEX(ovrTable,MATCH(INDEX(oppCol24,ROW()),ovrTeamCol,0),MATCH(MID(INDEX(headerRow,1,COLUMN()),4,LEN(INDEX(headerRow,1,COLUMN()))),ovrHeaderRow,0))</f>
        <v>71.3</v>
      </c>
      <c r="CN54" s="12">
        <f>INDEX(ovrTable,MATCH(INDEX(oppCol24,ROW()),ovrTeamCol,0),MATCH(MID(INDEX(headerRow,1,COLUMN()),4,LEN(INDEX(headerRow,1,COLUMN()))),ovrHeaderRow,0))</f>
        <v>21.4</v>
      </c>
      <c r="CO54" s="12">
        <f>INDEX(ovrTable,MATCH(INDEX(oppCol24,ROW()),ovrTeamCol,0),MATCH(MID(INDEX(headerRow,1,COLUMN()),4,LEN(INDEX(headerRow,1,COLUMN()))),ovrHeaderRow,0))</f>
        <v>57.171717171717162</v>
      </c>
    </row>
    <row r="55" spans="1:93" x14ac:dyDescent="0.3">
      <c r="A55" s="6" t="s">
        <v>40</v>
      </c>
      <c r="B55" s="3">
        <v>10</v>
      </c>
      <c r="C55" s="13" t="s">
        <v>45</v>
      </c>
      <c r="D55" s="14">
        <v>27</v>
      </c>
      <c r="E55" s="23">
        <v>44</v>
      </c>
      <c r="F55" s="24">
        <v>6</v>
      </c>
      <c r="G55" s="23">
        <v>60</v>
      </c>
      <c r="H55" s="24">
        <v>10</v>
      </c>
      <c r="I55" s="25">
        <v>2.25</v>
      </c>
      <c r="J55" s="24">
        <v>27</v>
      </c>
      <c r="K55" s="24">
        <v>11</v>
      </c>
      <c r="L55" s="24">
        <v>1</v>
      </c>
      <c r="M55" s="24">
        <v>51.5</v>
      </c>
      <c r="N55" s="24">
        <v>24</v>
      </c>
      <c r="O55" s="26">
        <v>0.68558823529411772</v>
      </c>
      <c r="P55" s="24">
        <v>8</v>
      </c>
      <c r="Q55" s="24">
        <v>63</v>
      </c>
      <c r="R55" s="24">
        <v>19</v>
      </c>
      <c r="S55" s="23">
        <v>84.848484848484844</v>
      </c>
      <c r="T55" s="24">
        <v>33</v>
      </c>
      <c r="U55" s="24">
        <v>28</v>
      </c>
      <c r="V55" s="24">
        <v>100</v>
      </c>
      <c r="W55" s="24">
        <v>5</v>
      </c>
      <c r="X55" s="24">
        <v>102</v>
      </c>
      <c r="Y55" s="24">
        <v>1</v>
      </c>
      <c r="Z55" s="24">
        <v>29</v>
      </c>
      <c r="AA55" s="24">
        <v>2</v>
      </c>
      <c r="AB55" s="24">
        <v>6</v>
      </c>
      <c r="AC55" s="24">
        <v>-4</v>
      </c>
      <c r="AD55" s="24">
        <v>8</v>
      </c>
      <c r="AE55" s="24">
        <v>12</v>
      </c>
      <c r="AF55" s="46">
        <f t="shared" si="3"/>
        <v>76.643253968253973</v>
      </c>
      <c r="AG55" s="51">
        <f t="shared" ref="AG55" si="70">AVERAGE(AF54,AF55)</f>
        <v>76.52720950839884</v>
      </c>
      <c r="AH55" s="12">
        <f t="shared" si="65"/>
        <v>32</v>
      </c>
      <c r="AI55" s="12">
        <f t="shared" si="65"/>
        <v>6.9</v>
      </c>
      <c r="AJ55" s="12">
        <f t="shared" si="65"/>
        <v>39.1</v>
      </c>
      <c r="AK55" s="12">
        <f t="shared" si="65"/>
        <v>17.5</v>
      </c>
      <c r="AL55" s="12">
        <f t="shared" si="65"/>
        <v>1.28</v>
      </c>
      <c r="AM55" s="12">
        <f t="shared" si="65"/>
        <v>16.2</v>
      </c>
      <c r="AN55" s="12">
        <f t="shared" si="65"/>
        <v>11.27</v>
      </c>
      <c r="AO55" s="12">
        <f t="shared" si="65"/>
        <v>2.2000000000000002</v>
      </c>
      <c r="AP55" s="12">
        <f t="shared" si="65"/>
        <v>44</v>
      </c>
      <c r="AQ55" s="12">
        <f t="shared" si="65"/>
        <v>27</v>
      </c>
      <c r="AR55" s="12">
        <f t="shared" si="66"/>
        <v>0.55400000000000005</v>
      </c>
      <c r="AS55" s="12">
        <f t="shared" si="66"/>
        <v>11.97</v>
      </c>
      <c r="AT55" s="12">
        <f t="shared" si="66"/>
        <v>49.5</v>
      </c>
      <c r="AU55" s="12">
        <f t="shared" si="66"/>
        <v>14.8</v>
      </c>
      <c r="AV55" s="12">
        <f t="shared" si="66"/>
        <v>78.400000000000006</v>
      </c>
      <c r="AW55" s="12">
        <f t="shared" si="66"/>
        <v>20.100000000000001</v>
      </c>
      <c r="AX55" s="12">
        <f t="shared" si="66"/>
        <v>15.8</v>
      </c>
      <c r="AY55" s="12">
        <f t="shared" si="66"/>
        <v>71.7</v>
      </c>
      <c r="AZ55" s="12">
        <f t="shared" si="66"/>
        <v>9.9499999999999993</v>
      </c>
      <c r="BA55" s="12">
        <f t="shared" si="66"/>
        <v>79.3</v>
      </c>
      <c r="BB55" s="12">
        <f t="shared" si="67"/>
        <v>6.8</v>
      </c>
      <c r="BC55" s="12">
        <f t="shared" si="67"/>
        <v>36.950000000000003</v>
      </c>
      <c r="BD55" s="12">
        <f t="shared" si="67"/>
        <v>7.6</v>
      </c>
      <c r="BE55" s="12">
        <f t="shared" si="67"/>
        <v>6</v>
      </c>
      <c r="BF55" s="12">
        <f t="shared" si="67"/>
        <v>-2</v>
      </c>
      <c r="BG55" s="12">
        <f t="shared" si="67"/>
        <v>10.59</v>
      </c>
      <c r="BH55" s="12">
        <f t="shared" si="67"/>
        <v>12.6</v>
      </c>
      <c r="BI55" s="12">
        <f t="shared" si="67"/>
        <v>71.3</v>
      </c>
      <c r="BJ55" s="12">
        <f t="shared" si="67"/>
        <v>21.4</v>
      </c>
      <c r="BK55" s="12">
        <f t="shared" si="67"/>
        <v>57.171717171717162</v>
      </c>
      <c r="BL55" s="12">
        <f>INDEX(ovrTable,MATCH(INDEX(oppCol24,ROW()),ovrTeamCol,0),MATCH(MID(INDEX(headerRow,1,COLUMN()),4,LEN(INDEX(headerRow,1,COLUMN()))),ovrHeaderRow,0))</f>
        <v>32.6</v>
      </c>
      <c r="BM55" s="12">
        <f>INDEX(ovrTable,MATCH(INDEX(oppCol24,ROW()),ovrTeamCol,0),MATCH(MID(INDEX(headerRow,1,COLUMN()),4,LEN(INDEX(headerRow,1,COLUMN()))),ovrHeaderRow,0))</f>
        <v>7.8</v>
      </c>
      <c r="BN55" s="12">
        <f>INDEX(ovrTable,MATCH(INDEX(oppCol24,ROW()),ovrTeamCol,0),MATCH(MID(INDEX(headerRow,1,COLUMN()),4,LEN(INDEX(headerRow,1,COLUMN()))),ovrHeaderRow,0))</f>
        <v>34.5</v>
      </c>
      <c r="BO55" s="12">
        <f>INDEX(ovrTable,MATCH(INDEX(oppCol24,ROW()),ovrTeamCol,0),MATCH(MID(INDEX(headerRow,1,COLUMN()),4,LEN(INDEX(headerRow,1,COLUMN()))),ovrHeaderRow,0))</f>
        <v>22.6</v>
      </c>
      <c r="BP55" s="12">
        <f>INDEX(ovrTable,MATCH(INDEX(oppCol24,ROW()),ovrTeamCol,0),MATCH(MID(INDEX(headerRow,1,COLUMN()),4,LEN(INDEX(headerRow,1,COLUMN()))),ovrHeaderRow,0))</f>
        <v>1.3</v>
      </c>
      <c r="BQ55" s="12">
        <f>INDEX(ovrTable,MATCH(INDEX(oppCol24,ROW()),ovrTeamCol,0),MATCH(MID(INDEX(headerRow,1,COLUMN()),4,LEN(INDEX(headerRow,1,COLUMN()))),ovrHeaderRow,0))</f>
        <v>15.2</v>
      </c>
      <c r="BR55" s="12">
        <f>INDEX(ovrTable,MATCH(INDEX(oppCol24,ROW()),ovrTeamCol,0),MATCH(MID(INDEX(headerRow,1,COLUMN()),4,LEN(INDEX(headerRow,1,COLUMN()))),ovrHeaderRow,0))</f>
        <v>21.92</v>
      </c>
      <c r="BS55" s="12">
        <f>INDEX(ovrTable,MATCH(INDEX(oppCol24,ROW()),ovrTeamCol,0),MATCH(MID(INDEX(headerRow,1,COLUMN()),4,LEN(INDEX(headerRow,1,COLUMN()))),ovrHeaderRow,0))</f>
        <v>5.3</v>
      </c>
      <c r="BT55" s="12">
        <f>INDEX(ovrTable,MATCH(INDEX(oppCol24,ROW()),ovrTeamCol,0),MATCH(MID(INDEX(headerRow,1,COLUMN()),4,LEN(INDEX(headerRow,1,COLUMN()))),ovrHeaderRow,0))</f>
        <v>44</v>
      </c>
      <c r="BU55" s="12">
        <f>INDEX(ovrTable,MATCH(INDEX(oppCol24,ROW()),ovrTeamCol,0),MATCH(MID(INDEX(headerRow,1,COLUMN()),4,LEN(INDEX(headerRow,1,COLUMN()))),ovrHeaderRow,0))</f>
        <v>27.64</v>
      </c>
      <c r="BV55" s="12">
        <f>INDEX(ovrTable,MATCH(INDEX(oppCol24,ROW()),ovrTeamCol,0),MATCH(MID(INDEX(headerRow,1,COLUMN()),4,LEN(INDEX(headerRow,1,COLUMN()))),ovrHeaderRow,0))</f>
        <v>0.51800000000000002</v>
      </c>
      <c r="BW55" s="12">
        <f>INDEX(ovrTable,MATCH(INDEX(oppCol24,ROW()),ovrTeamCol,0),MATCH(MID(INDEX(headerRow,1,COLUMN()),4,LEN(INDEX(headerRow,1,COLUMN()))),ovrHeaderRow,0))</f>
        <v>14.28</v>
      </c>
      <c r="BX55" s="12">
        <f>INDEX(ovrTable,MATCH(INDEX(oppCol24,ROW()),ovrTeamCol,0),MATCH(MID(INDEX(headerRow,1,COLUMN()),4,LEN(INDEX(headerRow,1,COLUMN()))),ovrHeaderRow,0))</f>
        <v>45.8</v>
      </c>
      <c r="BY55" s="12">
        <f>INDEX(ovrTable,MATCH(INDEX(oppCol24,ROW()),ovrTeamCol,0),MATCH(MID(INDEX(headerRow,1,COLUMN()),4,LEN(INDEX(headerRow,1,COLUMN()))),ovrHeaderRow,0))</f>
        <v>18.399999999999999</v>
      </c>
      <c r="BZ55" s="12">
        <f>INDEX(ovrTable,MATCH(INDEX(oppCol24,ROW()),ovrTeamCol,0),MATCH(MID(INDEX(headerRow,1,COLUMN()),4,LEN(INDEX(headerRow,1,COLUMN()))),ovrHeaderRow,0))</f>
        <v>71.5</v>
      </c>
      <c r="CA55" s="12">
        <f>INDEX(ovrTable,MATCH(INDEX(oppCol24,ROW()),ovrTeamCol,0),MATCH(MID(INDEX(headerRow,1,COLUMN()),4,LEN(INDEX(headerRow,1,COLUMN()))),ovrHeaderRow,0))</f>
        <v>25.1</v>
      </c>
      <c r="CB55" s="12">
        <f>INDEX(ovrTable,MATCH(INDEX(oppCol24,ROW()),ovrTeamCol,0),MATCH(MID(INDEX(headerRow,1,COLUMN()),4,LEN(INDEX(headerRow,1,COLUMN()))),ovrHeaderRow,0))</f>
        <v>17.899999999999999</v>
      </c>
      <c r="CC55" s="12">
        <f>INDEX(ovrTable,MATCH(INDEX(oppCol24,ROW()),ovrTeamCol,0),MATCH(MID(INDEX(headerRow,1,COLUMN()),4,LEN(INDEX(headerRow,1,COLUMN()))),ovrHeaderRow,0))</f>
        <v>79.2</v>
      </c>
      <c r="CD55" s="12">
        <f>INDEX(ovrTable,MATCH(INDEX(oppCol24,ROW()),ovrTeamCol,0),MATCH(MID(INDEX(headerRow,1,COLUMN()),4,LEN(INDEX(headerRow,1,COLUMN()))),ovrHeaderRow,0))</f>
        <v>14.64</v>
      </c>
      <c r="CE55" s="12">
        <f>INDEX(ovrTable,MATCH(INDEX(oppCol24,ROW()),ovrTeamCol,0),MATCH(MID(INDEX(headerRow,1,COLUMN()),4,LEN(INDEX(headerRow,1,COLUMN()))),ovrHeaderRow,0))</f>
        <v>85.6</v>
      </c>
      <c r="CF55" s="12">
        <f>INDEX(ovrTable,MATCH(INDEX(oppCol24,ROW()),ovrTeamCol,0),MATCH(MID(INDEX(headerRow,1,COLUMN()),4,LEN(INDEX(headerRow,1,COLUMN()))),ovrHeaderRow,0))</f>
        <v>6.5</v>
      </c>
      <c r="CG55" s="12">
        <f>INDEX(ovrTable,MATCH(INDEX(oppCol24,ROW()),ovrTeamCol,0),MATCH(MID(INDEX(headerRow,1,COLUMN()),4,LEN(INDEX(headerRow,1,COLUMN()))),ovrHeaderRow,0))</f>
        <v>42.28</v>
      </c>
      <c r="CH55" s="12">
        <f>INDEX(ovrTable,MATCH(INDEX(oppCol24,ROW()),ovrTeamCol,0),MATCH(MID(INDEX(headerRow,1,COLUMN()),4,LEN(INDEX(headerRow,1,COLUMN()))),ovrHeaderRow,0))</f>
        <v>6.4</v>
      </c>
      <c r="CI55" s="12">
        <f>INDEX(ovrTable,MATCH(INDEX(oppCol24,ROW()),ovrTeamCol,0),MATCH(MID(INDEX(headerRow,1,COLUMN()),4,LEN(INDEX(headerRow,1,COLUMN()))),ovrHeaderRow,0))</f>
        <v>6.7</v>
      </c>
      <c r="CJ55" s="12">
        <f>INDEX(ovrTable,MATCH(INDEX(oppCol24,ROW()),ovrTeamCol,0),MATCH(MID(INDEX(headerRow,1,COLUMN()),4,LEN(INDEX(headerRow,1,COLUMN()))),ovrHeaderRow,0))</f>
        <v>-0.9</v>
      </c>
      <c r="CK55" s="12">
        <f>INDEX(ovrTable,MATCH(INDEX(oppCol24,ROW()),ovrTeamCol,0),MATCH(MID(INDEX(headerRow,1,COLUMN()),4,LEN(INDEX(headerRow,1,COLUMN()))),ovrHeaderRow,0))</f>
        <v>10.81</v>
      </c>
      <c r="CL55" s="12">
        <f>INDEX(ovrTable,MATCH(INDEX(oppCol24,ROW()),ovrTeamCol,0),MATCH(MID(INDEX(headerRow,1,COLUMN()),4,LEN(INDEX(headerRow,1,COLUMN()))),ovrHeaderRow,0))</f>
        <v>11.7</v>
      </c>
      <c r="CM55" s="12">
        <f>INDEX(ovrTable,MATCH(INDEX(oppCol24,ROW()),ovrTeamCol,0),MATCH(MID(INDEX(headerRow,1,COLUMN()),4,LEN(INDEX(headerRow,1,COLUMN()))),ovrHeaderRow,0))</f>
        <v>76</v>
      </c>
      <c r="CN55" s="12">
        <f>INDEX(ovrTable,MATCH(INDEX(oppCol24,ROW()),ovrTeamCol,0),MATCH(MID(INDEX(headerRow,1,COLUMN()),4,LEN(INDEX(headerRow,1,COLUMN()))),ovrHeaderRow,0))</f>
        <v>22.149999999999995</v>
      </c>
      <c r="CO55" s="12">
        <f>INDEX(ovrTable,MATCH(INDEX(oppCol24,ROW()),ovrTeamCol,0),MATCH(MID(INDEX(headerRow,1,COLUMN()),4,LEN(INDEX(headerRow,1,COLUMN()))),ovrHeaderRow,0))</f>
        <v>65.393013100436676</v>
      </c>
    </row>
    <row r="56" spans="1:93" x14ac:dyDescent="0.3">
      <c r="A56" s="6" t="s">
        <v>36</v>
      </c>
      <c r="B56" s="3">
        <v>15</v>
      </c>
      <c r="C56" s="13" t="s">
        <v>50</v>
      </c>
      <c r="D56" s="14">
        <v>28</v>
      </c>
      <c r="E56" s="23">
        <v>36.111111111111107</v>
      </c>
      <c r="F56" s="24">
        <v>8</v>
      </c>
      <c r="G56" s="23">
        <v>33.333333333333329</v>
      </c>
      <c r="H56" s="24">
        <v>24</v>
      </c>
      <c r="I56" s="25">
        <v>0.94444444444444442</v>
      </c>
      <c r="J56" s="24">
        <v>17</v>
      </c>
      <c r="K56" s="24">
        <v>24</v>
      </c>
      <c r="L56" s="24">
        <v>4</v>
      </c>
      <c r="M56" s="24">
        <v>47.8</v>
      </c>
      <c r="N56" s="24">
        <v>30</v>
      </c>
      <c r="O56" s="26">
        <v>0.46399999999999997</v>
      </c>
      <c r="P56" s="24">
        <v>4</v>
      </c>
      <c r="Q56" s="24">
        <v>40.6</v>
      </c>
      <c r="R56" s="24">
        <v>15</v>
      </c>
      <c r="S56" s="23">
        <v>83.333333333333343</v>
      </c>
      <c r="T56" s="24">
        <v>6</v>
      </c>
      <c r="U56" s="24">
        <v>5</v>
      </c>
      <c r="V56" s="24">
        <v>87</v>
      </c>
      <c r="W56" s="24">
        <v>14</v>
      </c>
      <c r="X56" s="24">
        <v>69</v>
      </c>
      <c r="Y56" s="24">
        <v>7</v>
      </c>
      <c r="Z56" s="24">
        <v>44</v>
      </c>
      <c r="AA56" s="24">
        <v>-18</v>
      </c>
      <c r="AB56" s="24">
        <v>5</v>
      </c>
      <c r="AC56" s="24">
        <v>-8</v>
      </c>
      <c r="AD56" s="24">
        <v>10</v>
      </c>
      <c r="AE56" s="24">
        <v>18</v>
      </c>
      <c r="AF56" s="46">
        <f t="shared" si="3"/>
        <v>75.815517241379297</v>
      </c>
      <c r="AG56" s="51">
        <f t="shared" ref="AG56" si="71">AVERAGE(AF56,AF57)</f>
        <v>75.489087072572488</v>
      </c>
      <c r="AH56" s="12">
        <f t="shared" si="65"/>
        <v>31.8</v>
      </c>
      <c r="AI56" s="12">
        <f t="shared" si="65"/>
        <v>6.9</v>
      </c>
      <c r="AJ56" s="12">
        <f t="shared" si="65"/>
        <v>34</v>
      </c>
      <c r="AK56" s="12">
        <f t="shared" si="65"/>
        <v>20.2</v>
      </c>
      <c r="AL56" s="12">
        <f t="shared" si="65"/>
        <v>0.97</v>
      </c>
      <c r="AM56" s="12">
        <f t="shared" si="65"/>
        <v>13.4</v>
      </c>
      <c r="AN56" s="12">
        <f t="shared" si="65"/>
        <v>28.79</v>
      </c>
      <c r="AO56" s="12">
        <f t="shared" si="65"/>
        <v>3.2</v>
      </c>
      <c r="AP56" s="12">
        <f t="shared" si="65"/>
        <v>41.5</v>
      </c>
      <c r="AQ56" s="12">
        <f t="shared" si="65"/>
        <v>29.32</v>
      </c>
      <c r="AR56" s="12">
        <f t="shared" si="66"/>
        <v>0.52</v>
      </c>
      <c r="AS56" s="12">
        <f t="shared" si="66"/>
        <v>13.41</v>
      </c>
      <c r="AT56" s="12">
        <f t="shared" si="66"/>
        <v>46.6</v>
      </c>
      <c r="AU56" s="12">
        <f t="shared" si="66"/>
        <v>18.399999999999999</v>
      </c>
      <c r="AV56" s="12">
        <f t="shared" si="66"/>
        <v>72</v>
      </c>
      <c r="AW56" s="12">
        <f t="shared" si="66"/>
        <v>20.6</v>
      </c>
      <c r="AX56" s="12">
        <f t="shared" si="66"/>
        <v>14.8</v>
      </c>
      <c r="AY56" s="12">
        <f t="shared" si="66"/>
        <v>74.400000000000006</v>
      </c>
      <c r="AZ56" s="12">
        <f t="shared" si="66"/>
        <v>10.62</v>
      </c>
      <c r="BA56" s="12">
        <f t="shared" si="66"/>
        <v>80.2</v>
      </c>
      <c r="BB56" s="12">
        <f t="shared" si="67"/>
        <v>3.4</v>
      </c>
      <c r="BC56" s="12">
        <f t="shared" si="67"/>
        <v>39.94</v>
      </c>
      <c r="BD56" s="12">
        <f t="shared" si="67"/>
        <v>5.8</v>
      </c>
      <c r="BE56" s="12">
        <f t="shared" si="67"/>
        <v>7.6</v>
      </c>
      <c r="BF56" s="12">
        <f t="shared" si="67"/>
        <v>0.3</v>
      </c>
      <c r="BG56" s="12">
        <f t="shared" si="67"/>
        <v>14.12</v>
      </c>
      <c r="BH56" s="12">
        <f t="shared" si="67"/>
        <v>13.8</v>
      </c>
      <c r="BI56" s="12">
        <f t="shared" si="67"/>
        <v>77.2</v>
      </c>
      <c r="BJ56" s="12">
        <f t="shared" si="67"/>
        <v>22.35</v>
      </c>
      <c r="BK56" s="12">
        <f t="shared" si="67"/>
        <v>62.768240343347635</v>
      </c>
      <c r="BL56" s="12">
        <f>INDEX(ovrTable,MATCH(INDEX(oppCol24,ROW()),ovrTeamCol,0),MATCH(MID(INDEX(headerRow,1,COLUMN()),4,LEN(INDEX(headerRow,1,COLUMN()))),ovrHeaderRow,0))</f>
        <v>33.700000000000003</v>
      </c>
      <c r="BM56" s="12">
        <f>INDEX(ovrTable,MATCH(INDEX(oppCol24,ROW()),ovrTeamCol,0),MATCH(MID(INDEX(headerRow,1,COLUMN()),4,LEN(INDEX(headerRow,1,COLUMN()))),ovrHeaderRow,0))</f>
        <v>8.8000000000000007</v>
      </c>
      <c r="BN56" s="12">
        <f>INDEX(ovrTable,MATCH(INDEX(oppCol24,ROW()),ovrTeamCol,0),MATCH(MID(INDEX(headerRow,1,COLUMN()),4,LEN(INDEX(headerRow,1,COLUMN()))),ovrHeaderRow,0))</f>
        <v>35.200000000000003</v>
      </c>
      <c r="BO56" s="12">
        <f>INDEX(ovrTable,MATCH(INDEX(oppCol24,ROW()),ovrTeamCol,0),MATCH(MID(INDEX(headerRow,1,COLUMN()),4,LEN(INDEX(headerRow,1,COLUMN()))),ovrHeaderRow,0))</f>
        <v>25.1</v>
      </c>
      <c r="BP56" s="12">
        <f>INDEX(ovrTable,MATCH(INDEX(oppCol24,ROW()),ovrTeamCol,0),MATCH(MID(INDEX(headerRow,1,COLUMN()),4,LEN(INDEX(headerRow,1,COLUMN()))),ovrHeaderRow,0))</f>
        <v>1.59</v>
      </c>
      <c r="BQ56" s="12">
        <f>INDEX(ovrTable,MATCH(INDEX(oppCol24,ROW()),ovrTeamCol,0),MATCH(MID(INDEX(headerRow,1,COLUMN()),4,LEN(INDEX(headerRow,1,COLUMN()))),ovrHeaderRow,0))</f>
        <v>15.9</v>
      </c>
      <c r="BR56" s="12">
        <f>INDEX(ovrTable,MATCH(INDEX(oppCol24,ROW()),ovrTeamCol,0),MATCH(MID(INDEX(headerRow,1,COLUMN()),4,LEN(INDEX(headerRow,1,COLUMN()))),ovrHeaderRow,0))</f>
        <v>14.89</v>
      </c>
      <c r="BS56" s="12">
        <f>INDEX(ovrTable,MATCH(INDEX(oppCol24,ROW()),ovrTeamCol,0),MATCH(MID(INDEX(headerRow,1,COLUMN()),4,LEN(INDEX(headerRow,1,COLUMN()))),ovrHeaderRow,0))</f>
        <v>3.5</v>
      </c>
      <c r="BT56" s="12">
        <f>INDEX(ovrTable,MATCH(INDEX(oppCol24,ROW()),ovrTeamCol,0),MATCH(MID(INDEX(headerRow,1,COLUMN()),4,LEN(INDEX(headerRow,1,COLUMN()))),ovrHeaderRow,0))</f>
        <v>42.6</v>
      </c>
      <c r="BU56" s="12">
        <f>INDEX(ovrTable,MATCH(INDEX(oppCol24,ROW()),ovrTeamCol,0),MATCH(MID(INDEX(headerRow,1,COLUMN()),4,LEN(INDEX(headerRow,1,COLUMN()))),ovrHeaderRow,0))</f>
        <v>24.05</v>
      </c>
      <c r="BV56" s="12">
        <f>INDEX(ovrTable,MATCH(INDEX(oppCol24,ROW()),ovrTeamCol,0),MATCH(MID(INDEX(headerRow,1,COLUMN()),4,LEN(INDEX(headerRow,1,COLUMN()))),ovrHeaderRow,0))</f>
        <v>0.55000000000000004</v>
      </c>
      <c r="BW56" s="12">
        <f>INDEX(ovrTable,MATCH(INDEX(oppCol24,ROW()),ovrTeamCol,0),MATCH(MID(INDEX(headerRow,1,COLUMN()),4,LEN(INDEX(headerRow,1,COLUMN()))),ovrHeaderRow,0))</f>
        <v>12.86</v>
      </c>
      <c r="BX56" s="12">
        <f>INDEX(ovrTable,MATCH(INDEX(oppCol24,ROW()),ovrTeamCol,0),MATCH(MID(INDEX(headerRow,1,COLUMN()),4,LEN(INDEX(headerRow,1,COLUMN()))),ovrHeaderRow,0))</f>
        <v>47.8</v>
      </c>
      <c r="BY56" s="12">
        <f>INDEX(ovrTable,MATCH(INDEX(oppCol24,ROW()),ovrTeamCol,0),MATCH(MID(INDEX(headerRow,1,COLUMN()),4,LEN(INDEX(headerRow,1,COLUMN()))),ovrHeaderRow,0))</f>
        <v>15</v>
      </c>
      <c r="BZ56" s="12">
        <f>INDEX(ovrTable,MATCH(INDEX(oppCol24,ROW()),ovrTeamCol,0),MATCH(MID(INDEX(headerRow,1,COLUMN()),4,LEN(INDEX(headerRow,1,COLUMN()))),ovrHeaderRow,0))</f>
        <v>70.3</v>
      </c>
      <c r="CA56" s="12">
        <f>INDEX(ovrTable,MATCH(INDEX(oppCol24,ROW()),ovrTeamCol,0),MATCH(MID(INDEX(headerRow,1,COLUMN()),4,LEN(INDEX(headerRow,1,COLUMN()))),ovrHeaderRow,0))</f>
        <v>15.6</v>
      </c>
      <c r="CB56" s="12">
        <f>INDEX(ovrTable,MATCH(INDEX(oppCol24,ROW()),ovrTeamCol,0),MATCH(MID(INDEX(headerRow,1,COLUMN()),4,LEN(INDEX(headerRow,1,COLUMN()))),ovrHeaderRow,0))</f>
        <v>10.9</v>
      </c>
      <c r="CC56" s="12">
        <f>INDEX(ovrTable,MATCH(INDEX(oppCol24,ROW()),ovrTeamCol,0),MATCH(MID(INDEX(headerRow,1,COLUMN()),4,LEN(INDEX(headerRow,1,COLUMN()))),ovrHeaderRow,0))</f>
        <v>69.8</v>
      </c>
      <c r="CD56" s="12">
        <f>INDEX(ovrTable,MATCH(INDEX(oppCol24,ROW()),ovrTeamCol,0),MATCH(MID(INDEX(headerRow,1,COLUMN()),4,LEN(INDEX(headerRow,1,COLUMN()))),ovrHeaderRow,0))</f>
        <v>8.6999999999999993</v>
      </c>
      <c r="CE56" s="12">
        <f>INDEX(ovrTable,MATCH(INDEX(oppCol24,ROW()),ovrTeamCol,0),MATCH(MID(INDEX(headerRow,1,COLUMN()),4,LEN(INDEX(headerRow,1,COLUMN()))),ovrHeaderRow,0))</f>
        <v>78.099999999999994</v>
      </c>
      <c r="CF56" s="12">
        <f>INDEX(ovrTable,MATCH(INDEX(oppCol24,ROW()),ovrTeamCol,0),MATCH(MID(INDEX(headerRow,1,COLUMN()),4,LEN(INDEX(headerRow,1,COLUMN()))),ovrHeaderRow,0))</f>
        <v>-3.1</v>
      </c>
      <c r="CG56" s="12">
        <f>INDEX(ovrTable,MATCH(INDEX(oppCol24,ROW()),ovrTeamCol,0),MATCH(MID(INDEX(headerRow,1,COLUMN()),4,LEN(INDEX(headerRow,1,COLUMN()))),ovrHeaderRow,0))</f>
        <v>32.76</v>
      </c>
      <c r="CH56" s="12">
        <f>INDEX(ovrTable,MATCH(INDEX(oppCol24,ROW()),ovrTeamCol,0),MATCH(MID(INDEX(headerRow,1,COLUMN()),4,LEN(INDEX(headerRow,1,COLUMN()))),ovrHeaderRow,0))</f>
        <v>8.1999999999999993</v>
      </c>
      <c r="CI56" s="12">
        <f>INDEX(ovrTable,MATCH(INDEX(oppCol24,ROW()),ovrTeamCol,0),MATCH(MID(INDEX(headerRow,1,COLUMN()),4,LEN(INDEX(headerRow,1,COLUMN()))),ovrHeaderRow,0))</f>
        <v>8.6</v>
      </c>
      <c r="CJ56" s="12">
        <f>INDEX(ovrTable,MATCH(INDEX(oppCol24,ROW()),ovrTeamCol,0),MATCH(MID(INDEX(headerRow,1,COLUMN()),4,LEN(INDEX(headerRow,1,COLUMN()))),ovrHeaderRow,0))</f>
        <v>4.7</v>
      </c>
      <c r="CK56" s="12">
        <f>INDEX(ovrTable,MATCH(INDEX(oppCol24,ROW()),ovrTeamCol,0),MATCH(MID(INDEX(headerRow,1,COLUMN()),4,LEN(INDEX(headerRow,1,COLUMN()))),ovrHeaderRow,0))</f>
        <v>14.7</v>
      </c>
      <c r="CL56" s="12">
        <f>INDEX(ovrTable,MATCH(INDEX(oppCol24,ROW()),ovrTeamCol,0),MATCH(MID(INDEX(headerRow,1,COLUMN()),4,LEN(INDEX(headerRow,1,COLUMN()))),ovrHeaderRow,0))</f>
        <v>10</v>
      </c>
      <c r="CM56" s="12">
        <f>INDEX(ovrTable,MATCH(INDEX(oppCol24,ROW()),ovrTeamCol,0),MATCH(MID(INDEX(headerRow,1,COLUMN()),4,LEN(INDEX(headerRow,1,COLUMN()))),ovrHeaderRow,0))</f>
        <v>71</v>
      </c>
      <c r="CN56" s="12">
        <f>INDEX(ovrTable,MATCH(INDEX(oppCol24,ROW()),ovrTeamCol,0),MATCH(MID(INDEX(headerRow,1,COLUMN()),4,LEN(INDEX(headerRow,1,COLUMN()))),ovrHeaderRow,0))</f>
        <v>20.399999999999991</v>
      </c>
      <c r="CO56" s="12">
        <f>INDEX(ovrTable,MATCH(INDEX(oppCol24,ROW()),ovrTeamCol,0),MATCH(MID(INDEX(headerRow,1,COLUMN()),4,LEN(INDEX(headerRow,1,COLUMN()))),ovrHeaderRow,0))</f>
        <v>61.087866108786592</v>
      </c>
    </row>
    <row r="57" spans="1:93" x14ac:dyDescent="0.3">
      <c r="A57" s="6" t="s">
        <v>50</v>
      </c>
      <c r="B57" s="3">
        <v>2</v>
      </c>
      <c r="C57" s="13" t="s">
        <v>36</v>
      </c>
      <c r="D57" s="14">
        <v>28</v>
      </c>
      <c r="E57" s="23">
        <v>33.333333333333329</v>
      </c>
      <c r="F57" s="24">
        <v>13</v>
      </c>
      <c r="G57" s="23">
        <v>36.111111111111107</v>
      </c>
      <c r="H57" s="24">
        <v>36</v>
      </c>
      <c r="I57" s="25">
        <v>2.2999999999999998</v>
      </c>
      <c r="J57" s="24">
        <v>23</v>
      </c>
      <c r="K57" s="24">
        <v>8</v>
      </c>
      <c r="L57" s="24">
        <v>11</v>
      </c>
      <c r="M57" s="24">
        <v>40.6</v>
      </c>
      <c r="N57" s="24">
        <v>26</v>
      </c>
      <c r="O57" s="26">
        <v>0.57215151515151508</v>
      </c>
      <c r="P57" s="24">
        <v>17</v>
      </c>
      <c r="Q57" s="24">
        <v>47.8</v>
      </c>
      <c r="R57" s="24">
        <v>9</v>
      </c>
      <c r="S57" s="23">
        <v>53.333333333333336</v>
      </c>
      <c r="T57" s="24">
        <v>15</v>
      </c>
      <c r="U57" s="24">
        <v>8</v>
      </c>
      <c r="V57" s="24">
        <v>69</v>
      </c>
      <c r="W57" s="24">
        <v>11</v>
      </c>
      <c r="X57" s="24">
        <v>87</v>
      </c>
      <c r="Y57" s="24">
        <v>-7</v>
      </c>
      <c r="Z57" s="24">
        <v>37</v>
      </c>
      <c r="AA57" s="24">
        <v>18</v>
      </c>
      <c r="AB57" s="24">
        <v>9</v>
      </c>
      <c r="AC57" s="24">
        <v>8</v>
      </c>
      <c r="AD57" s="24">
        <v>18</v>
      </c>
      <c r="AE57" s="24">
        <v>10</v>
      </c>
      <c r="AF57" s="46">
        <f t="shared" si="3"/>
        <v>75.162656903765694</v>
      </c>
      <c r="AG57" s="51">
        <f t="shared" ref="AG57" si="72">AVERAGE(AF56,AF57)</f>
        <v>75.489087072572488</v>
      </c>
      <c r="AH57" s="12">
        <f t="shared" si="65"/>
        <v>33.700000000000003</v>
      </c>
      <c r="AI57" s="12">
        <f t="shared" si="65"/>
        <v>8.8000000000000007</v>
      </c>
      <c r="AJ57" s="12">
        <f t="shared" si="65"/>
        <v>35.200000000000003</v>
      </c>
      <c r="AK57" s="12">
        <f t="shared" si="65"/>
        <v>25.1</v>
      </c>
      <c r="AL57" s="12">
        <f t="shared" si="65"/>
        <v>1.59</v>
      </c>
      <c r="AM57" s="12">
        <f t="shared" si="65"/>
        <v>15.9</v>
      </c>
      <c r="AN57" s="12">
        <f t="shared" si="65"/>
        <v>14.89</v>
      </c>
      <c r="AO57" s="12">
        <f t="shared" si="65"/>
        <v>3.5</v>
      </c>
      <c r="AP57" s="12">
        <f t="shared" si="65"/>
        <v>42.6</v>
      </c>
      <c r="AQ57" s="12">
        <f t="shared" si="65"/>
        <v>24.05</v>
      </c>
      <c r="AR57" s="12">
        <f t="shared" si="66"/>
        <v>0.55000000000000004</v>
      </c>
      <c r="AS57" s="12">
        <f t="shared" si="66"/>
        <v>12.86</v>
      </c>
      <c r="AT57" s="12">
        <f t="shared" si="66"/>
        <v>47.8</v>
      </c>
      <c r="AU57" s="12">
        <f t="shared" si="66"/>
        <v>15</v>
      </c>
      <c r="AV57" s="12">
        <f t="shared" si="66"/>
        <v>70.3</v>
      </c>
      <c r="AW57" s="12">
        <f t="shared" si="66"/>
        <v>15.6</v>
      </c>
      <c r="AX57" s="12">
        <f t="shared" si="66"/>
        <v>10.9</v>
      </c>
      <c r="AY57" s="12">
        <f t="shared" si="66"/>
        <v>69.8</v>
      </c>
      <c r="AZ57" s="12">
        <f t="shared" si="66"/>
        <v>8.6999999999999993</v>
      </c>
      <c r="BA57" s="12">
        <f t="shared" si="66"/>
        <v>78.099999999999994</v>
      </c>
      <c r="BB57" s="12">
        <f t="shared" si="67"/>
        <v>-3.1</v>
      </c>
      <c r="BC57" s="12">
        <f t="shared" si="67"/>
        <v>32.76</v>
      </c>
      <c r="BD57" s="12">
        <f t="shared" si="67"/>
        <v>8.1999999999999993</v>
      </c>
      <c r="BE57" s="12">
        <f t="shared" si="67"/>
        <v>8.6</v>
      </c>
      <c r="BF57" s="12">
        <f t="shared" si="67"/>
        <v>4.7</v>
      </c>
      <c r="BG57" s="12">
        <f t="shared" si="67"/>
        <v>14.7</v>
      </c>
      <c r="BH57" s="12">
        <f t="shared" si="67"/>
        <v>10</v>
      </c>
      <c r="BI57" s="12">
        <f t="shared" si="67"/>
        <v>71</v>
      </c>
      <c r="BJ57" s="12">
        <f t="shared" si="67"/>
        <v>20.399999999999991</v>
      </c>
      <c r="BK57" s="12">
        <f t="shared" si="67"/>
        <v>61.087866108786592</v>
      </c>
      <c r="BL57" s="12">
        <f>INDEX(ovrTable,MATCH(INDEX(oppCol24,ROW()),ovrTeamCol,0),MATCH(MID(INDEX(headerRow,1,COLUMN()),4,LEN(INDEX(headerRow,1,COLUMN()))),ovrHeaderRow,0))</f>
        <v>31.8</v>
      </c>
      <c r="BM57" s="12">
        <f>INDEX(ovrTable,MATCH(INDEX(oppCol24,ROW()),ovrTeamCol,0),MATCH(MID(INDEX(headerRow,1,COLUMN()),4,LEN(INDEX(headerRow,1,COLUMN()))),ovrHeaderRow,0))</f>
        <v>6.9</v>
      </c>
      <c r="BN57" s="12">
        <f>INDEX(ovrTable,MATCH(INDEX(oppCol24,ROW()),ovrTeamCol,0),MATCH(MID(INDEX(headerRow,1,COLUMN()),4,LEN(INDEX(headerRow,1,COLUMN()))),ovrHeaderRow,0))</f>
        <v>34</v>
      </c>
      <c r="BO57" s="12">
        <f>INDEX(ovrTable,MATCH(INDEX(oppCol24,ROW()),ovrTeamCol,0),MATCH(MID(INDEX(headerRow,1,COLUMN()),4,LEN(INDEX(headerRow,1,COLUMN()))),ovrHeaderRow,0))</f>
        <v>20.2</v>
      </c>
      <c r="BP57" s="12">
        <f>INDEX(ovrTable,MATCH(INDEX(oppCol24,ROW()),ovrTeamCol,0),MATCH(MID(INDEX(headerRow,1,COLUMN()),4,LEN(INDEX(headerRow,1,COLUMN()))),ovrHeaderRow,0))</f>
        <v>0.97</v>
      </c>
      <c r="BQ57" s="12">
        <f>INDEX(ovrTable,MATCH(INDEX(oppCol24,ROW()),ovrTeamCol,0),MATCH(MID(INDEX(headerRow,1,COLUMN()),4,LEN(INDEX(headerRow,1,COLUMN()))),ovrHeaderRow,0))</f>
        <v>13.4</v>
      </c>
      <c r="BR57" s="12">
        <f>INDEX(ovrTable,MATCH(INDEX(oppCol24,ROW()),ovrTeamCol,0),MATCH(MID(INDEX(headerRow,1,COLUMN()),4,LEN(INDEX(headerRow,1,COLUMN()))),ovrHeaderRow,0))</f>
        <v>28.79</v>
      </c>
      <c r="BS57" s="12">
        <f>INDEX(ovrTable,MATCH(INDEX(oppCol24,ROW()),ovrTeamCol,0),MATCH(MID(INDEX(headerRow,1,COLUMN()),4,LEN(INDEX(headerRow,1,COLUMN()))),ovrHeaderRow,0))</f>
        <v>3.2</v>
      </c>
      <c r="BT57" s="12">
        <f>INDEX(ovrTable,MATCH(INDEX(oppCol24,ROW()),ovrTeamCol,0),MATCH(MID(INDEX(headerRow,1,COLUMN()),4,LEN(INDEX(headerRow,1,COLUMN()))),ovrHeaderRow,0))</f>
        <v>41.5</v>
      </c>
      <c r="BU57" s="12">
        <f>INDEX(ovrTable,MATCH(INDEX(oppCol24,ROW()),ovrTeamCol,0),MATCH(MID(INDEX(headerRow,1,COLUMN()),4,LEN(INDEX(headerRow,1,COLUMN()))),ovrHeaderRow,0))</f>
        <v>29.32</v>
      </c>
      <c r="BV57" s="12">
        <f>INDEX(ovrTable,MATCH(INDEX(oppCol24,ROW()),ovrTeamCol,0),MATCH(MID(INDEX(headerRow,1,COLUMN()),4,LEN(INDEX(headerRow,1,COLUMN()))),ovrHeaderRow,0))</f>
        <v>0.52</v>
      </c>
      <c r="BW57" s="12">
        <f>INDEX(ovrTable,MATCH(INDEX(oppCol24,ROW()),ovrTeamCol,0),MATCH(MID(INDEX(headerRow,1,COLUMN()),4,LEN(INDEX(headerRow,1,COLUMN()))),ovrHeaderRow,0))</f>
        <v>13.41</v>
      </c>
      <c r="BX57" s="12">
        <f>INDEX(ovrTable,MATCH(INDEX(oppCol24,ROW()),ovrTeamCol,0),MATCH(MID(INDEX(headerRow,1,COLUMN()),4,LEN(INDEX(headerRow,1,COLUMN()))),ovrHeaderRow,0))</f>
        <v>46.6</v>
      </c>
      <c r="BY57" s="12">
        <f>INDEX(ovrTable,MATCH(INDEX(oppCol24,ROW()),ovrTeamCol,0),MATCH(MID(INDEX(headerRow,1,COLUMN()),4,LEN(INDEX(headerRow,1,COLUMN()))),ovrHeaderRow,0))</f>
        <v>18.399999999999999</v>
      </c>
      <c r="BZ57" s="12">
        <f>INDEX(ovrTable,MATCH(INDEX(oppCol24,ROW()),ovrTeamCol,0),MATCH(MID(INDEX(headerRow,1,COLUMN()),4,LEN(INDEX(headerRow,1,COLUMN()))),ovrHeaderRow,0))</f>
        <v>72</v>
      </c>
      <c r="CA57" s="12">
        <f>INDEX(ovrTable,MATCH(INDEX(oppCol24,ROW()),ovrTeamCol,0),MATCH(MID(INDEX(headerRow,1,COLUMN()),4,LEN(INDEX(headerRow,1,COLUMN()))),ovrHeaderRow,0))</f>
        <v>20.6</v>
      </c>
      <c r="CB57" s="12">
        <f>INDEX(ovrTable,MATCH(INDEX(oppCol24,ROW()),ovrTeamCol,0),MATCH(MID(INDEX(headerRow,1,COLUMN()),4,LEN(INDEX(headerRow,1,COLUMN()))),ovrHeaderRow,0))</f>
        <v>14.8</v>
      </c>
      <c r="CC57" s="12">
        <f>INDEX(ovrTable,MATCH(INDEX(oppCol24,ROW()),ovrTeamCol,0),MATCH(MID(INDEX(headerRow,1,COLUMN()),4,LEN(INDEX(headerRow,1,COLUMN()))),ovrHeaderRow,0))</f>
        <v>74.400000000000006</v>
      </c>
      <c r="CD57" s="12">
        <f>INDEX(ovrTable,MATCH(INDEX(oppCol24,ROW()),ovrTeamCol,0),MATCH(MID(INDEX(headerRow,1,COLUMN()),4,LEN(INDEX(headerRow,1,COLUMN()))),ovrHeaderRow,0))</f>
        <v>10.62</v>
      </c>
      <c r="CE57" s="12">
        <f>INDEX(ovrTable,MATCH(INDEX(oppCol24,ROW()),ovrTeamCol,0),MATCH(MID(INDEX(headerRow,1,COLUMN()),4,LEN(INDEX(headerRow,1,COLUMN()))),ovrHeaderRow,0))</f>
        <v>80.2</v>
      </c>
      <c r="CF57" s="12">
        <f>INDEX(ovrTable,MATCH(INDEX(oppCol24,ROW()),ovrTeamCol,0),MATCH(MID(INDEX(headerRow,1,COLUMN()),4,LEN(INDEX(headerRow,1,COLUMN()))),ovrHeaderRow,0))</f>
        <v>3.4</v>
      </c>
      <c r="CG57" s="12">
        <f>INDEX(ovrTable,MATCH(INDEX(oppCol24,ROW()),ovrTeamCol,0),MATCH(MID(INDEX(headerRow,1,COLUMN()),4,LEN(INDEX(headerRow,1,COLUMN()))),ovrHeaderRow,0))</f>
        <v>39.94</v>
      </c>
      <c r="CH57" s="12">
        <f>INDEX(ovrTable,MATCH(INDEX(oppCol24,ROW()),ovrTeamCol,0),MATCH(MID(INDEX(headerRow,1,COLUMN()),4,LEN(INDEX(headerRow,1,COLUMN()))),ovrHeaderRow,0))</f>
        <v>5.8</v>
      </c>
      <c r="CI57" s="12">
        <f>INDEX(ovrTable,MATCH(INDEX(oppCol24,ROW()),ovrTeamCol,0),MATCH(MID(INDEX(headerRow,1,COLUMN()),4,LEN(INDEX(headerRow,1,COLUMN()))),ovrHeaderRow,0))</f>
        <v>7.6</v>
      </c>
      <c r="CJ57" s="12">
        <f>INDEX(ovrTable,MATCH(INDEX(oppCol24,ROW()),ovrTeamCol,0),MATCH(MID(INDEX(headerRow,1,COLUMN()),4,LEN(INDEX(headerRow,1,COLUMN()))),ovrHeaderRow,0))</f>
        <v>0.3</v>
      </c>
      <c r="CK57" s="12">
        <f>INDEX(ovrTable,MATCH(INDEX(oppCol24,ROW()),ovrTeamCol,0),MATCH(MID(INDEX(headerRow,1,COLUMN()),4,LEN(INDEX(headerRow,1,COLUMN()))),ovrHeaderRow,0))</f>
        <v>14.12</v>
      </c>
      <c r="CL57" s="12">
        <f>INDEX(ovrTable,MATCH(INDEX(oppCol24,ROW()),ovrTeamCol,0),MATCH(MID(INDEX(headerRow,1,COLUMN()),4,LEN(INDEX(headerRow,1,COLUMN()))),ovrHeaderRow,0))</f>
        <v>13.8</v>
      </c>
      <c r="CM57" s="12">
        <f>INDEX(ovrTable,MATCH(INDEX(oppCol24,ROW()),ovrTeamCol,0),MATCH(MID(INDEX(headerRow,1,COLUMN()),4,LEN(INDEX(headerRow,1,COLUMN()))),ovrHeaderRow,0))</f>
        <v>77.2</v>
      </c>
      <c r="CN57" s="12">
        <f>INDEX(ovrTable,MATCH(INDEX(oppCol24,ROW()),ovrTeamCol,0),MATCH(MID(INDEX(headerRow,1,COLUMN()),4,LEN(INDEX(headerRow,1,COLUMN()))),ovrHeaderRow,0))</f>
        <v>22.35</v>
      </c>
      <c r="CO57" s="12">
        <f>INDEX(ovrTable,MATCH(INDEX(oppCol24,ROW()),ovrTeamCol,0),MATCH(MID(INDEX(headerRow,1,COLUMN()),4,LEN(INDEX(headerRow,1,COLUMN()))),ovrHeaderRow,0))</f>
        <v>62.768240343347635</v>
      </c>
    </row>
    <row r="58" spans="1:93" x14ac:dyDescent="0.3">
      <c r="A58" s="6" t="s">
        <v>52</v>
      </c>
      <c r="B58" s="3">
        <v>16</v>
      </c>
      <c r="C58" s="13" t="s">
        <v>54</v>
      </c>
      <c r="D58" s="14">
        <v>29</v>
      </c>
      <c r="E58" s="23">
        <v>37.5</v>
      </c>
      <c r="F58" s="24">
        <v>3</v>
      </c>
      <c r="G58" s="23">
        <v>25</v>
      </c>
      <c r="H58" s="24">
        <v>12</v>
      </c>
      <c r="I58" s="25">
        <v>1.8333333333333333</v>
      </c>
      <c r="J58" s="24">
        <v>11</v>
      </c>
      <c r="K58" s="24">
        <v>8</v>
      </c>
      <c r="L58" s="24">
        <v>6</v>
      </c>
      <c r="M58" s="24">
        <v>47.5</v>
      </c>
      <c r="N58" s="24">
        <v>18</v>
      </c>
      <c r="O58" s="26">
        <v>0.39130000000000004</v>
      </c>
      <c r="P58" s="24">
        <v>7</v>
      </c>
      <c r="Q58" s="24">
        <v>36.4</v>
      </c>
      <c r="R58" s="24">
        <v>19</v>
      </c>
      <c r="S58" s="23">
        <v>70</v>
      </c>
      <c r="T58" s="24">
        <v>10</v>
      </c>
      <c r="U58" s="24">
        <v>7</v>
      </c>
      <c r="V58" s="24">
        <v>78</v>
      </c>
      <c r="W58" s="24">
        <v>5</v>
      </c>
      <c r="X58" s="24">
        <v>50</v>
      </c>
      <c r="Y58" s="24">
        <v>-25</v>
      </c>
      <c r="Z58" s="24">
        <v>23</v>
      </c>
      <c r="AA58" s="24">
        <v>-28</v>
      </c>
      <c r="AB58" s="24">
        <v>8</v>
      </c>
      <c r="AC58" s="24">
        <v>4</v>
      </c>
      <c r="AD58" s="24">
        <v>10</v>
      </c>
      <c r="AE58" s="24">
        <v>6</v>
      </c>
      <c r="AF58" s="46">
        <f t="shared" si="3"/>
        <v>60.695054945054949</v>
      </c>
      <c r="AG58" s="51">
        <f t="shared" ref="AG58" si="73">AVERAGE(AF58,AF59)</f>
        <v>61.046211683053784</v>
      </c>
      <c r="AH58" s="12">
        <f t="shared" si="65"/>
        <v>34.4</v>
      </c>
      <c r="AI58" s="12">
        <f t="shared" si="65"/>
        <v>5.0999999999999996</v>
      </c>
      <c r="AJ58" s="12">
        <f t="shared" si="65"/>
        <v>33.799999999999997</v>
      </c>
      <c r="AK58" s="12">
        <f t="shared" si="65"/>
        <v>15.2</v>
      </c>
      <c r="AL58" s="12">
        <f t="shared" si="65"/>
        <v>0.75</v>
      </c>
      <c r="AM58" s="12">
        <f t="shared" si="65"/>
        <v>9.8000000000000007</v>
      </c>
      <c r="AN58" s="12">
        <f t="shared" si="65"/>
        <v>21.67</v>
      </c>
      <c r="AO58" s="12">
        <f t="shared" si="65"/>
        <v>3.2</v>
      </c>
      <c r="AP58" s="12">
        <f t="shared" si="65"/>
        <v>43.6</v>
      </c>
      <c r="AQ58" s="12">
        <f t="shared" si="65"/>
        <v>22.56</v>
      </c>
      <c r="AR58" s="12">
        <f t="shared" si="66"/>
        <v>0.48699999999999999</v>
      </c>
      <c r="AS58" s="12">
        <f t="shared" si="66"/>
        <v>10.42</v>
      </c>
      <c r="AT58" s="12">
        <f t="shared" si="66"/>
        <v>44</v>
      </c>
      <c r="AU58" s="12">
        <f t="shared" si="66"/>
        <v>16</v>
      </c>
      <c r="AV58" s="12">
        <f t="shared" si="66"/>
        <v>70.8</v>
      </c>
      <c r="AW58" s="12">
        <f t="shared" si="66"/>
        <v>20.8</v>
      </c>
      <c r="AX58" s="12">
        <f t="shared" si="66"/>
        <v>14.8</v>
      </c>
      <c r="AY58" s="12">
        <f t="shared" si="66"/>
        <v>69.599999999999994</v>
      </c>
      <c r="AZ58" s="12">
        <f t="shared" si="66"/>
        <v>9.61</v>
      </c>
      <c r="BA58" s="12">
        <f t="shared" si="66"/>
        <v>67.7</v>
      </c>
      <c r="BB58" s="12">
        <f t="shared" si="67"/>
        <v>-1.3</v>
      </c>
      <c r="BC58" s="12">
        <f t="shared" si="67"/>
        <v>32.17</v>
      </c>
      <c r="BD58" s="12">
        <f t="shared" si="67"/>
        <v>-1.9</v>
      </c>
      <c r="BE58" s="12">
        <f t="shared" si="67"/>
        <v>7.4</v>
      </c>
      <c r="BF58" s="12">
        <f t="shared" si="67"/>
        <v>-0.3</v>
      </c>
      <c r="BG58" s="12">
        <f t="shared" si="67"/>
        <v>12.81</v>
      </c>
      <c r="BH58" s="12">
        <f t="shared" si="67"/>
        <v>13.1</v>
      </c>
      <c r="BI58" s="12">
        <f t="shared" si="67"/>
        <v>68.2</v>
      </c>
      <c r="BJ58" s="12">
        <f t="shared" si="67"/>
        <v>18.800000000000004</v>
      </c>
      <c r="BK58" s="12">
        <f t="shared" si="67"/>
        <v>54.318181818181827</v>
      </c>
      <c r="BL58" s="12">
        <f>INDEX(ovrTable,MATCH(INDEX(oppCol24,ROW()),ovrTeamCol,0),MATCH(MID(INDEX(headerRow,1,COLUMN()),4,LEN(INDEX(headerRow,1,COLUMN()))),ovrHeaderRow,0))</f>
        <v>31.5</v>
      </c>
      <c r="BM58" s="12">
        <f>INDEX(ovrTable,MATCH(INDEX(oppCol24,ROW()),ovrTeamCol,0),MATCH(MID(INDEX(headerRow,1,COLUMN()),4,LEN(INDEX(headerRow,1,COLUMN()))),ovrHeaderRow,0))</f>
        <v>8.1999999999999993</v>
      </c>
      <c r="BN58" s="12">
        <f>INDEX(ovrTable,MATCH(INDEX(oppCol24,ROW()),ovrTeamCol,0),MATCH(MID(INDEX(headerRow,1,COLUMN()),4,LEN(INDEX(headerRow,1,COLUMN()))),ovrHeaderRow,0))</f>
        <v>40.4</v>
      </c>
      <c r="BO58" s="12">
        <f>INDEX(ovrTable,MATCH(INDEX(oppCol24,ROW()),ovrTeamCol,0),MATCH(MID(INDEX(headerRow,1,COLUMN()),4,LEN(INDEX(headerRow,1,COLUMN()))),ovrHeaderRow,0))</f>
        <v>20.2</v>
      </c>
      <c r="BP58" s="12">
        <f>INDEX(ovrTable,MATCH(INDEX(oppCol24,ROW()),ovrTeamCol,0),MATCH(MID(INDEX(headerRow,1,COLUMN()),4,LEN(INDEX(headerRow,1,COLUMN()))),ovrHeaderRow,0))</f>
        <v>1.63</v>
      </c>
      <c r="BQ58" s="12">
        <f>INDEX(ovrTable,MATCH(INDEX(oppCol24,ROW()),ovrTeamCol,0),MATCH(MID(INDEX(headerRow,1,COLUMN()),4,LEN(INDEX(headerRow,1,COLUMN()))),ovrHeaderRow,0))</f>
        <v>18.5</v>
      </c>
      <c r="BR58" s="12">
        <f>INDEX(ovrTable,MATCH(INDEX(oppCol24,ROW()),ovrTeamCol,0),MATCH(MID(INDEX(headerRow,1,COLUMN()),4,LEN(INDEX(headerRow,1,COLUMN()))),ovrHeaderRow,0))</f>
        <v>16.72</v>
      </c>
      <c r="BS58" s="12">
        <f>INDEX(ovrTable,MATCH(INDEX(oppCol24,ROW()),ovrTeamCol,0),MATCH(MID(INDEX(headerRow,1,COLUMN()),4,LEN(INDEX(headerRow,1,COLUMN()))),ovrHeaderRow,0))</f>
        <v>3.6</v>
      </c>
      <c r="BT58" s="12">
        <f>INDEX(ovrTable,MATCH(INDEX(oppCol24,ROW()),ovrTeamCol,0),MATCH(MID(INDEX(headerRow,1,COLUMN()),4,LEN(INDEX(headerRow,1,COLUMN()))),ovrHeaderRow,0))</f>
        <v>41.7</v>
      </c>
      <c r="BU58" s="12">
        <f>INDEX(ovrTable,MATCH(INDEX(oppCol24,ROW()),ovrTeamCol,0),MATCH(MID(INDEX(headerRow,1,COLUMN()),4,LEN(INDEX(headerRow,1,COLUMN()))),ovrHeaderRow,0))</f>
        <v>28.23</v>
      </c>
      <c r="BV58" s="12">
        <f>INDEX(ovrTable,MATCH(INDEX(oppCol24,ROW()),ovrTeamCol,0),MATCH(MID(INDEX(headerRow,1,COLUMN()),4,LEN(INDEX(headerRow,1,COLUMN()))),ovrHeaderRow,0))</f>
        <v>0.55800000000000005</v>
      </c>
      <c r="BW58" s="12">
        <f>INDEX(ovrTable,MATCH(INDEX(oppCol24,ROW()),ovrTeamCol,0),MATCH(MID(INDEX(headerRow,1,COLUMN()),4,LEN(INDEX(headerRow,1,COLUMN()))),ovrHeaderRow,0))</f>
        <v>7</v>
      </c>
      <c r="BX58" s="12">
        <f>INDEX(ovrTable,MATCH(INDEX(oppCol24,ROW()),ovrTeamCol,0),MATCH(MID(INDEX(headerRow,1,COLUMN()),4,LEN(INDEX(headerRow,1,COLUMN()))),ovrHeaderRow,0))</f>
        <v>48.8</v>
      </c>
      <c r="BY58" s="12">
        <f>INDEX(ovrTable,MATCH(INDEX(oppCol24,ROW()),ovrTeamCol,0),MATCH(MID(INDEX(headerRow,1,COLUMN()),4,LEN(INDEX(headerRow,1,COLUMN()))),ovrHeaderRow,0))</f>
        <v>13.7</v>
      </c>
      <c r="BZ58" s="12">
        <f>INDEX(ovrTable,MATCH(INDEX(oppCol24,ROW()),ovrTeamCol,0),MATCH(MID(INDEX(headerRow,1,COLUMN()),4,LEN(INDEX(headerRow,1,COLUMN()))),ovrHeaderRow,0))</f>
        <v>72</v>
      </c>
      <c r="CA58" s="12">
        <f>INDEX(ovrTable,MATCH(INDEX(oppCol24,ROW()),ovrTeamCol,0),MATCH(MID(INDEX(headerRow,1,COLUMN()),4,LEN(INDEX(headerRow,1,COLUMN()))),ovrHeaderRow,0))</f>
        <v>24.1</v>
      </c>
      <c r="CB58" s="12">
        <f>INDEX(ovrTable,MATCH(INDEX(oppCol24,ROW()),ovrTeamCol,0),MATCH(MID(INDEX(headerRow,1,COLUMN()),4,LEN(INDEX(headerRow,1,COLUMN()))),ovrHeaderRow,0))</f>
        <v>17.3</v>
      </c>
      <c r="CC58" s="12">
        <f>INDEX(ovrTable,MATCH(INDEX(oppCol24,ROW()),ovrTeamCol,0),MATCH(MID(INDEX(headerRow,1,COLUMN()),4,LEN(INDEX(headerRow,1,COLUMN()))),ovrHeaderRow,0))</f>
        <v>68.900000000000006</v>
      </c>
      <c r="CD58" s="12">
        <f>INDEX(ovrTable,MATCH(INDEX(oppCol24,ROW()),ovrTeamCol,0),MATCH(MID(INDEX(headerRow,1,COLUMN()),4,LEN(INDEX(headerRow,1,COLUMN()))),ovrHeaderRow,0))</f>
        <v>12.21</v>
      </c>
      <c r="CE58" s="12">
        <f>INDEX(ovrTable,MATCH(INDEX(oppCol24,ROW()),ovrTeamCol,0),MATCH(MID(INDEX(headerRow,1,COLUMN()),4,LEN(INDEX(headerRow,1,COLUMN()))),ovrHeaderRow,0))</f>
        <v>82.3</v>
      </c>
      <c r="CF58" s="12">
        <f>INDEX(ovrTable,MATCH(INDEX(oppCol24,ROW()),ovrTeamCol,0),MATCH(MID(INDEX(headerRow,1,COLUMN()),4,LEN(INDEX(headerRow,1,COLUMN()))),ovrHeaderRow,0))</f>
        <v>11.2</v>
      </c>
      <c r="CG58" s="12">
        <f>INDEX(ovrTable,MATCH(INDEX(oppCol24,ROW()),ovrTeamCol,0),MATCH(MID(INDEX(headerRow,1,COLUMN()),4,LEN(INDEX(headerRow,1,COLUMN()))),ovrHeaderRow,0))</f>
        <v>40.44</v>
      </c>
      <c r="CH58" s="12">
        <f>INDEX(ovrTable,MATCH(INDEX(oppCol24,ROW()),ovrTeamCol,0),MATCH(MID(INDEX(headerRow,1,COLUMN()),4,LEN(INDEX(headerRow,1,COLUMN()))),ovrHeaderRow,0))</f>
        <v>13.4</v>
      </c>
      <c r="CI58" s="12">
        <f>INDEX(ovrTable,MATCH(INDEX(oppCol24,ROW()),ovrTeamCol,0),MATCH(MID(INDEX(headerRow,1,COLUMN()),4,LEN(INDEX(headerRow,1,COLUMN()))),ovrHeaderRow,0))</f>
        <v>5.4</v>
      </c>
      <c r="CJ58" s="12">
        <f>INDEX(ovrTable,MATCH(INDEX(oppCol24,ROW()),ovrTeamCol,0),MATCH(MID(INDEX(headerRow,1,COLUMN()),4,LEN(INDEX(headerRow,1,COLUMN()))),ovrHeaderRow,0))</f>
        <v>-1.9</v>
      </c>
      <c r="CK58" s="12">
        <f>INDEX(ovrTable,MATCH(INDEX(oppCol24,ROW()),ovrTeamCol,0),MATCH(MID(INDEX(headerRow,1,COLUMN()),4,LEN(INDEX(headerRow,1,COLUMN()))),ovrHeaderRow,0))</f>
        <v>9.44</v>
      </c>
      <c r="CL58" s="12">
        <f>INDEX(ovrTable,MATCH(INDEX(oppCol24,ROW()),ovrTeamCol,0),MATCH(MID(INDEX(headerRow,1,COLUMN()),4,LEN(INDEX(headerRow,1,COLUMN()))),ovrHeaderRow,0))</f>
        <v>11.3</v>
      </c>
      <c r="CM58" s="12">
        <f>INDEX(ovrTable,MATCH(INDEX(oppCol24,ROW()),ovrTeamCol,0),MATCH(MID(INDEX(headerRow,1,COLUMN()),4,LEN(INDEX(headerRow,1,COLUMN()))),ovrHeaderRow,0))</f>
        <v>70.099999999999994</v>
      </c>
      <c r="CN58" s="12">
        <f>INDEX(ovrTable,MATCH(INDEX(oppCol24,ROW()),ovrTeamCol,0),MATCH(MID(INDEX(headerRow,1,COLUMN()),4,LEN(INDEX(headerRow,1,COLUMN()))),ovrHeaderRow,0))</f>
        <v>20.200000000000003</v>
      </c>
      <c r="CO58" s="12">
        <f>INDEX(ovrTable,MATCH(INDEX(oppCol24,ROW()),ovrTeamCol,0),MATCH(MID(INDEX(headerRow,1,COLUMN()),4,LEN(INDEX(headerRow,1,COLUMN()))),ovrHeaderRow,0))</f>
        <v>58.196721311475414</v>
      </c>
    </row>
    <row r="59" spans="1:93" x14ac:dyDescent="0.3">
      <c r="A59" s="6" t="s">
        <v>54</v>
      </c>
      <c r="B59" s="3">
        <v>1</v>
      </c>
      <c r="C59" s="13" t="s">
        <v>52</v>
      </c>
      <c r="D59" s="14">
        <v>29</v>
      </c>
      <c r="E59" s="23">
        <v>25</v>
      </c>
      <c r="F59" s="24">
        <v>9</v>
      </c>
      <c r="G59" s="23">
        <v>37.5</v>
      </c>
      <c r="H59" s="24">
        <v>24</v>
      </c>
      <c r="I59" s="25">
        <v>2.2999999999999998</v>
      </c>
      <c r="J59" s="24">
        <v>23</v>
      </c>
      <c r="K59" s="24">
        <v>12</v>
      </c>
      <c r="L59" s="24">
        <v>5</v>
      </c>
      <c r="M59" s="24">
        <v>36.4</v>
      </c>
      <c r="N59" s="24">
        <v>30</v>
      </c>
      <c r="O59" s="26">
        <v>0.5513392857142857</v>
      </c>
      <c r="P59" s="24">
        <v>7</v>
      </c>
      <c r="Q59" s="24">
        <v>47.5</v>
      </c>
      <c r="R59" s="24">
        <v>6</v>
      </c>
      <c r="S59" s="23">
        <v>59.090909090909093</v>
      </c>
      <c r="T59" s="24">
        <v>22</v>
      </c>
      <c r="U59" s="24">
        <v>13</v>
      </c>
      <c r="V59" s="24">
        <v>50</v>
      </c>
      <c r="W59" s="24">
        <v>18</v>
      </c>
      <c r="X59" s="24">
        <v>78</v>
      </c>
      <c r="Y59" s="24">
        <v>25</v>
      </c>
      <c r="Z59" s="24">
        <v>48</v>
      </c>
      <c r="AA59" s="24">
        <v>28</v>
      </c>
      <c r="AB59" s="24">
        <v>4</v>
      </c>
      <c r="AC59" s="24">
        <v>-4</v>
      </c>
      <c r="AD59" s="24">
        <v>6</v>
      </c>
      <c r="AE59" s="24">
        <v>10</v>
      </c>
      <c r="AF59" s="46">
        <f t="shared" si="3"/>
        <v>61.397368421052619</v>
      </c>
      <c r="AG59" s="51">
        <f t="shared" ref="AG59" si="74">AVERAGE(AF58,AF59)</f>
        <v>61.046211683053784</v>
      </c>
      <c r="AH59" s="12">
        <f t="shared" si="65"/>
        <v>31.5</v>
      </c>
      <c r="AI59" s="12">
        <f t="shared" si="65"/>
        <v>8.1999999999999993</v>
      </c>
      <c r="AJ59" s="12">
        <f t="shared" si="65"/>
        <v>40.4</v>
      </c>
      <c r="AK59" s="12">
        <f t="shared" si="65"/>
        <v>20.2</v>
      </c>
      <c r="AL59" s="12">
        <f t="shared" si="65"/>
        <v>1.63</v>
      </c>
      <c r="AM59" s="12">
        <f t="shared" si="65"/>
        <v>18.5</v>
      </c>
      <c r="AN59" s="12">
        <f t="shared" si="65"/>
        <v>16.72</v>
      </c>
      <c r="AO59" s="12">
        <f t="shared" si="65"/>
        <v>3.6</v>
      </c>
      <c r="AP59" s="12">
        <f t="shared" si="65"/>
        <v>41.7</v>
      </c>
      <c r="AQ59" s="12">
        <f t="shared" si="65"/>
        <v>28.23</v>
      </c>
      <c r="AR59" s="12">
        <f t="shared" si="66"/>
        <v>0.55800000000000005</v>
      </c>
      <c r="AS59" s="12">
        <f t="shared" si="66"/>
        <v>7</v>
      </c>
      <c r="AT59" s="12">
        <f t="shared" si="66"/>
        <v>48.8</v>
      </c>
      <c r="AU59" s="12">
        <f t="shared" si="66"/>
        <v>13.7</v>
      </c>
      <c r="AV59" s="12">
        <f t="shared" si="66"/>
        <v>72</v>
      </c>
      <c r="AW59" s="12">
        <f t="shared" si="66"/>
        <v>24.1</v>
      </c>
      <c r="AX59" s="12">
        <f t="shared" si="66"/>
        <v>17.3</v>
      </c>
      <c r="AY59" s="12">
        <f t="shared" si="66"/>
        <v>68.900000000000006</v>
      </c>
      <c r="AZ59" s="12">
        <f t="shared" si="66"/>
        <v>12.21</v>
      </c>
      <c r="BA59" s="12">
        <f t="shared" si="66"/>
        <v>82.3</v>
      </c>
      <c r="BB59" s="12">
        <f t="shared" si="67"/>
        <v>11.2</v>
      </c>
      <c r="BC59" s="12">
        <f t="shared" si="67"/>
        <v>40.44</v>
      </c>
      <c r="BD59" s="12">
        <f t="shared" si="67"/>
        <v>13.4</v>
      </c>
      <c r="BE59" s="12">
        <f t="shared" si="67"/>
        <v>5.4</v>
      </c>
      <c r="BF59" s="12">
        <f t="shared" si="67"/>
        <v>-1.9</v>
      </c>
      <c r="BG59" s="12">
        <f t="shared" si="67"/>
        <v>9.44</v>
      </c>
      <c r="BH59" s="12">
        <f t="shared" si="67"/>
        <v>11.3</v>
      </c>
      <c r="BI59" s="12">
        <f t="shared" si="67"/>
        <v>70.099999999999994</v>
      </c>
      <c r="BJ59" s="12">
        <f t="shared" si="67"/>
        <v>20.200000000000003</v>
      </c>
      <c r="BK59" s="12">
        <f t="shared" si="67"/>
        <v>58.196721311475414</v>
      </c>
      <c r="BL59" s="12">
        <f>INDEX(ovrTable,MATCH(INDEX(oppCol24,ROW()),ovrTeamCol,0),MATCH(MID(INDEX(headerRow,1,COLUMN()),4,LEN(INDEX(headerRow,1,COLUMN()))),ovrHeaderRow,0))</f>
        <v>34.4</v>
      </c>
      <c r="BM59" s="12">
        <f>INDEX(ovrTable,MATCH(INDEX(oppCol24,ROW()),ovrTeamCol,0),MATCH(MID(INDEX(headerRow,1,COLUMN()),4,LEN(INDEX(headerRow,1,COLUMN()))),ovrHeaderRow,0))</f>
        <v>5.0999999999999996</v>
      </c>
      <c r="BN59" s="12">
        <f>INDEX(ovrTable,MATCH(INDEX(oppCol24,ROW()),ovrTeamCol,0),MATCH(MID(INDEX(headerRow,1,COLUMN()),4,LEN(INDEX(headerRow,1,COLUMN()))),ovrHeaderRow,0))</f>
        <v>33.799999999999997</v>
      </c>
      <c r="BO59" s="12">
        <f>INDEX(ovrTable,MATCH(INDEX(oppCol24,ROW()),ovrTeamCol,0),MATCH(MID(INDEX(headerRow,1,COLUMN()),4,LEN(INDEX(headerRow,1,COLUMN()))),ovrHeaderRow,0))</f>
        <v>15.2</v>
      </c>
      <c r="BP59" s="12">
        <f>INDEX(ovrTable,MATCH(INDEX(oppCol24,ROW()),ovrTeamCol,0),MATCH(MID(INDEX(headerRow,1,COLUMN()),4,LEN(INDEX(headerRow,1,COLUMN()))),ovrHeaderRow,0))</f>
        <v>0.75</v>
      </c>
      <c r="BQ59" s="12">
        <f>INDEX(ovrTable,MATCH(INDEX(oppCol24,ROW()),ovrTeamCol,0),MATCH(MID(INDEX(headerRow,1,COLUMN()),4,LEN(INDEX(headerRow,1,COLUMN()))),ovrHeaderRow,0))</f>
        <v>9.8000000000000007</v>
      </c>
      <c r="BR59" s="12">
        <f>INDEX(ovrTable,MATCH(INDEX(oppCol24,ROW()),ovrTeamCol,0),MATCH(MID(INDEX(headerRow,1,COLUMN()),4,LEN(INDEX(headerRow,1,COLUMN()))),ovrHeaderRow,0))</f>
        <v>21.67</v>
      </c>
      <c r="BS59" s="12">
        <f>INDEX(ovrTable,MATCH(INDEX(oppCol24,ROW()),ovrTeamCol,0),MATCH(MID(INDEX(headerRow,1,COLUMN()),4,LEN(INDEX(headerRow,1,COLUMN()))),ovrHeaderRow,0))</f>
        <v>3.2</v>
      </c>
      <c r="BT59" s="12">
        <f>INDEX(ovrTable,MATCH(INDEX(oppCol24,ROW()),ovrTeamCol,0),MATCH(MID(INDEX(headerRow,1,COLUMN()),4,LEN(INDEX(headerRow,1,COLUMN()))),ovrHeaderRow,0))</f>
        <v>43.6</v>
      </c>
      <c r="BU59" s="12">
        <f>INDEX(ovrTable,MATCH(INDEX(oppCol24,ROW()),ovrTeamCol,0),MATCH(MID(INDEX(headerRow,1,COLUMN()),4,LEN(INDEX(headerRow,1,COLUMN()))),ovrHeaderRow,0))</f>
        <v>22.56</v>
      </c>
      <c r="BV59" s="12">
        <f>INDEX(ovrTable,MATCH(INDEX(oppCol24,ROW()),ovrTeamCol,0),MATCH(MID(INDEX(headerRow,1,COLUMN()),4,LEN(INDEX(headerRow,1,COLUMN()))),ovrHeaderRow,0))</f>
        <v>0.48699999999999999</v>
      </c>
      <c r="BW59" s="12">
        <f>INDEX(ovrTable,MATCH(INDEX(oppCol24,ROW()),ovrTeamCol,0),MATCH(MID(INDEX(headerRow,1,COLUMN()),4,LEN(INDEX(headerRow,1,COLUMN()))),ovrHeaderRow,0))</f>
        <v>10.42</v>
      </c>
      <c r="BX59" s="12">
        <f>INDEX(ovrTable,MATCH(INDEX(oppCol24,ROW()),ovrTeamCol,0),MATCH(MID(INDEX(headerRow,1,COLUMN()),4,LEN(INDEX(headerRow,1,COLUMN()))),ovrHeaderRow,0))</f>
        <v>44</v>
      </c>
      <c r="BY59" s="12">
        <f>INDEX(ovrTable,MATCH(INDEX(oppCol24,ROW()),ovrTeamCol,0),MATCH(MID(INDEX(headerRow,1,COLUMN()),4,LEN(INDEX(headerRow,1,COLUMN()))),ovrHeaderRow,0))</f>
        <v>16</v>
      </c>
      <c r="BZ59" s="12">
        <f>INDEX(ovrTable,MATCH(INDEX(oppCol24,ROW()),ovrTeamCol,0),MATCH(MID(INDEX(headerRow,1,COLUMN()),4,LEN(INDEX(headerRow,1,COLUMN()))),ovrHeaderRow,0))</f>
        <v>70.8</v>
      </c>
      <c r="CA59" s="12">
        <f>INDEX(ovrTable,MATCH(INDEX(oppCol24,ROW()),ovrTeamCol,0),MATCH(MID(INDEX(headerRow,1,COLUMN()),4,LEN(INDEX(headerRow,1,COLUMN()))),ovrHeaderRow,0))</f>
        <v>20.8</v>
      </c>
      <c r="CB59" s="12">
        <f>INDEX(ovrTable,MATCH(INDEX(oppCol24,ROW()),ovrTeamCol,0),MATCH(MID(INDEX(headerRow,1,COLUMN()),4,LEN(INDEX(headerRow,1,COLUMN()))),ovrHeaderRow,0))</f>
        <v>14.8</v>
      </c>
      <c r="CC59" s="12">
        <f>INDEX(ovrTable,MATCH(INDEX(oppCol24,ROW()),ovrTeamCol,0),MATCH(MID(INDEX(headerRow,1,COLUMN()),4,LEN(INDEX(headerRow,1,COLUMN()))),ovrHeaderRow,0))</f>
        <v>69.599999999999994</v>
      </c>
      <c r="CD59" s="12">
        <f>INDEX(ovrTable,MATCH(INDEX(oppCol24,ROW()),ovrTeamCol,0),MATCH(MID(INDEX(headerRow,1,COLUMN()),4,LEN(INDEX(headerRow,1,COLUMN()))),ovrHeaderRow,0))</f>
        <v>9.61</v>
      </c>
      <c r="CE59" s="12">
        <f>INDEX(ovrTable,MATCH(INDEX(oppCol24,ROW()),ovrTeamCol,0),MATCH(MID(INDEX(headerRow,1,COLUMN()),4,LEN(INDEX(headerRow,1,COLUMN()))),ovrHeaderRow,0))</f>
        <v>67.7</v>
      </c>
      <c r="CF59" s="12">
        <f>INDEX(ovrTable,MATCH(INDEX(oppCol24,ROW()),ovrTeamCol,0),MATCH(MID(INDEX(headerRow,1,COLUMN()),4,LEN(INDEX(headerRow,1,COLUMN()))),ovrHeaderRow,0))</f>
        <v>-1.3</v>
      </c>
      <c r="CG59" s="12">
        <f>INDEX(ovrTable,MATCH(INDEX(oppCol24,ROW()),ovrTeamCol,0),MATCH(MID(INDEX(headerRow,1,COLUMN()),4,LEN(INDEX(headerRow,1,COLUMN()))),ovrHeaderRow,0))</f>
        <v>32.17</v>
      </c>
      <c r="CH59" s="12">
        <f>INDEX(ovrTable,MATCH(INDEX(oppCol24,ROW()),ovrTeamCol,0),MATCH(MID(INDEX(headerRow,1,COLUMN()),4,LEN(INDEX(headerRow,1,COLUMN()))),ovrHeaderRow,0))</f>
        <v>-1.9</v>
      </c>
      <c r="CI59" s="12">
        <f>INDEX(ovrTable,MATCH(INDEX(oppCol24,ROW()),ovrTeamCol,0),MATCH(MID(INDEX(headerRow,1,COLUMN()),4,LEN(INDEX(headerRow,1,COLUMN()))),ovrHeaderRow,0))</f>
        <v>7.4</v>
      </c>
      <c r="CJ59" s="12">
        <f>INDEX(ovrTable,MATCH(INDEX(oppCol24,ROW()),ovrTeamCol,0),MATCH(MID(INDEX(headerRow,1,COLUMN()),4,LEN(INDEX(headerRow,1,COLUMN()))),ovrHeaderRow,0))</f>
        <v>-0.3</v>
      </c>
      <c r="CK59" s="12">
        <f>INDEX(ovrTable,MATCH(INDEX(oppCol24,ROW()),ovrTeamCol,0),MATCH(MID(INDEX(headerRow,1,COLUMN()),4,LEN(INDEX(headerRow,1,COLUMN()))),ovrHeaderRow,0))</f>
        <v>12.81</v>
      </c>
      <c r="CL59" s="12">
        <f>INDEX(ovrTable,MATCH(INDEX(oppCol24,ROW()),ovrTeamCol,0),MATCH(MID(INDEX(headerRow,1,COLUMN()),4,LEN(INDEX(headerRow,1,COLUMN()))),ovrHeaderRow,0))</f>
        <v>13.1</v>
      </c>
      <c r="CM59" s="12">
        <f>INDEX(ovrTable,MATCH(INDEX(oppCol24,ROW()),ovrTeamCol,0),MATCH(MID(INDEX(headerRow,1,COLUMN()),4,LEN(INDEX(headerRow,1,COLUMN()))),ovrHeaderRow,0))</f>
        <v>68.2</v>
      </c>
      <c r="CN59" s="12">
        <f>INDEX(ovrTable,MATCH(INDEX(oppCol24,ROW()),ovrTeamCol,0),MATCH(MID(INDEX(headerRow,1,COLUMN()),4,LEN(INDEX(headerRow,1,COLUMN()))),ovrHeaderRow,0))</f>
        <v>18.800000000000004</v>
      </c>
      <c r="CO59" s="12">
        <f>INDEX(ovrTable,MATCH(INDEX(oppCol24,ROW()),ovrTeamCol,0),MATCH(MID(INDEX(headerRow,1,COLUMN()),4,LEN(INDEX(headerRow,1,COLUMN()))),ovrHeaderRow,0))</f>
        <v>54.318181818181827</v>
      </c>
    </row>
    <row r="60" spans="1:93" x14ac:dyDescent="0.3">
      <c r="A60" s="6" t="s">
        <v>62</v>
      </c>
      <c r="B60" s="3">
        <v>9</v>
      </c>
      <c r="C60" s="13" t="s">
        <v>61</v>
      </c>
      <c r="D60" s="14">
        <v>30</v>
      </c>
      <c r="E60" s="23">
        <v>42.105263157894733</v>
      </c>
      <c r="F60" s="24">
        <v>7</v>
      </c>
      <c r="G60" s="23">
        <v>31.818181818181817</v>
      </c>
      <c r="H60" s="24">
        <v>22</v>
      </c>
      <c r="I60" s="25">
        <v>0.9285714285714286</v>
      </c>
      <c r="J60" s="24">
        <v>13</v>
      </c>
      <c r="K60" s="24">
        <v>35</v>
      </c>
      <c r="L60" s="24">
        <v>4</v>
      </c>
      <c r="M60" s="24">
        <v>55</v>
      </c>
      <c r="N60" s="24">
        <v>20</v>
      </c>
      <c r="O60" s="26">
        <v>0.41020833333333329</v>
      </c>
      <c r="P60" s="24">
        <v>9</v>
      </c>
      <c r="Q60" s="24">
        <v>35.799999999999997</v>
      </c>
      <c r="R60" s="24">
        <v>13</v>
      </c>
      <c r="S60" s="23">
        <v>77.272727272727266</v>
      </c>
      <c r="T60" s="24">
        <v>22</v>
      </c>
      <c r="U60" s="24">
        <v>17</v>
      </c>
      <c r="V60" s="24">
        <v>88</v>
      </c>
      <c r="W60" s="24">
        <v>21</v>
      </c>
      <c r="X60" s="24">
        <v>72</v>
      </c>
      <c r="Y60" s="24">
        <v>11</v>
      </c>
      <c r="Z60" s="24">
        <v>41</v>
      </c>
      <c r="AA60" s="24">
        <v>-16</v>
      </c>
      <c r="AB60" s="24">
        <v>6</v>
      </c>
      <c r="AC60" s="24">
        <v>-5</v>
      </c>
      <c r="AD60" s="24">
        <v>9</v>
      </c>
      <c r="AE60" s="24">
        <v>14</v>
      </c>
      <c r="AF60" s="46">
        <f t="shared" si="3"/>
        <v>70.489106145251412</v>
      </c>
      <c r="AG60" s="51">
        <f t="shared" ref="AG60" si="75">AVERAGE(AF60,AF61)</f>
        <v>70.807053072625706</v>
      </c>
      <c r="AH60" s="12">
        <f t="shared" si="65"/>
        <v>33</v>
      </c>
      <c r="AI60" s="12">
        <f t="shared" si="65"/>
        <v>6.6</v>
      </c>
      <c r="AJ60" s="12">
        <f t="shared" si="65"/>
        <v>35.4</v>
      </c>
      <c r="AK60" s="12">
        <f t="shared" si="65"/>
        <v>18.600000000000001</v>
      </c>
      <c r="AL60" s="12">
        <f t="shared" si="65"/>
        <v>1.31</v>
      </c>
      <c r="AM60" s="12">
        <f t="shared" si="65"/>
        <v>16.899999999999999</v>
      </c>
      <c r="AN60" s="12">
        <f t="shared" si="65"/>
        <v>26.94</v>
      </c>
      <c r="AO60" s="12">
        <f t="shared" si="65"/>
        <v>3.8</v>
      </c>
      <c r="AP60" s="12">
        <f t="shared" si="65"/>
        <v>44.9</v>
      </c>
      <c r="AQ60" s="12">
        <f t="shared" si="65"/>
        <v>24.41</v>
      </c>
      <c r="AR60" s="12">
        <f t="shared" si="66"/>
        <v>0.51500000000000001</v>
      </c>
      <c r="AS60" s="12">
        <f t="shared" si="66"/>
        <v>17.79</v>
      </c>
      <c r="AT60" s="12">
        <f t="shared" si="66"/>
        <v>46.1</v>
      </c>
      <c r="AU60" s="12">
        <f t="shared" si="66"/>
        <v>17.399999999999999</v>
      </c>
      <c r="AV60" s="12">
        <f t="shared" si="66"/>
        <v>73.099999999999994</v>
      </c>
      <c r="AW60" s="12">
        <f t="shared" si="66"/>
        <v>21.5</v>
      </c>
      <c r="AX60" s="12">
        <f t="shared" si="66"/>
        <v>15.7</v>
      </c>
      <c r="AY60" s="12">
        <f t="shared" si="66"/>
        <v>71.7</v>
      </c>
      <c r="AZ60" s="12">
        <f t="shared" si="66"/>
        <v>12.74</v>
      </c>
      <c r="BA60" s="12">
        <f t="shared" si="66"/>
        <v>79</v>
      </c>
      <c r="BB60" s="12">
        <f t="shared" si="67"/>
        <v>4.7</v>
      </c>
      <c r="BC60" s="12">
        <f t="shared" si="67"/>
        <v>37.15</v>
      </c>
      <c r="BD60" s="12">
        <f t="shared" si="67"/>
        <v>7.3</v>
      </c>
      <c r="BE60" s="12">
        <f t="shared" si="67"/>
        <v>9</v>
      </c>
      <c r="BF60" s="12">
        <f t="shared" si="67"/>
        <v>1.9</v>
      </c>
      <c r="BG60" s="12">
        <f t="shared" si="67"/>
        <v>14.74</v>
      </c>
      <c r="BH60" s="12">
        <f t="shared" si="67"/>
        <v>12.9</v>
      </c>
      <c r="BI60" s="12">
        <f t="shared" si="67"/>
        <v>73.400000000000006</v>
      </c>
      <c r="BJ60" s="12">
        <f t="shared" si="67"/>
        <v>21.75</v>
      </c>
      <c r="BK60" s="12">
        <f t="shared" si="67"/>
        <v>61.49674620390455</v>
      </c>
      <c r="BL60" s="12">
        <f>INDEX(ovrTable,MATCH(INDEX(oppCol24,ROW()),ovrTeamCol,0),MATCH(MID(INDEX(headerRow,1,COLUMN()),4,LEN(INDEX(headerRow,1,COLUMN()))),ovrHeaderRow,0))</f>
        <v>29.3</v>
      </c>
      <c r="BM60" s="12">
        <f>INDEX(ovrTable,MATCH(INDEX(oppCol24,ROW()),ovrTeamCol,0),MATCH(MID(INDEX(headerRow,1,COLUMN()),4,LEN(INDEX(headerRow,1,COLUMN()))),ovrHeaderRow,0))</f>
        <v>6.5</v>
      </c>
      <c r="BN60" s="12">
        <f>INDEX(ovrTable,MATCH(INDEX(oppCol24,ROW()),ovrTeamCol,0),MATCH(MID(INDEX(headerRow,1,COLUMN()),4,LEN(INDEX(headerRow,1,COLUMN()))),ovrHeaderRow,0))</f>
        <v>33.299999999999997</v>
      </c>
      <c r="BO60" s="12">
        <f>INDEX(ovrTable,MATCH(INDEX(oppCol24,ROW()),ovrTeamCol,0),MATCH(MID(INDEX(headerRow,1,COLUMN()),4,LEN(INDEX(headerRow,1,COLUMN()))),ovrHeaderRow,0))</f>
        <v>19.399999999999999</v>
      </c>
      <c r="BP60" s="12">
        <f>INDEX(ovrTable,MATCH(INDEX(oppCol24,ROW()),ovrTeamCol,0),MATCH(MID(INDEX(headerRow,1,COLUMN()),4,LEN(INDEX(headerRow,1,COLUMN()))),ovrHeaderRow,0))</f>
        <v>1.49</v>
      </c>
      <c r="BQ60" s="12">
        <f>INDEX(ovrTable,MATCH(INDEX(oppCol24,ROW()),ovrTeamCol,0),MATCH(MID(INDEX(headerRow,1,COLUMN()),4,LEN(INDEX(headerRow,1,COLUMN()))),ovrHeaderRow,0))</f>
        <v>16.3</v>
      </c>
      <c r="BR60" s="12">
        <f>INDEX(ovrTable,MATCH(INDEX(oppCol24,ROW()),ovrTeamCol,0),MATCH(MID(INDEX(headerRow,1,COLUMN()),4,LEN(INDEX(headerRow,1,COLUMN()))),ovrHeaderRow,0))</f>
        <v>18.11</v>
      </c>
      <c r="BS60" s="12">
        <f>INDEX(ovrTable,MATCH(INDEX(oppCol24,ROW()),ovrTeamCol,0),MATCH(MID(INDEX(headerRow,1,COLUMN()),4,LEN(INDEX(headerRow,1,COLUMN()))),ovrHeaderRow,0))</f>
        <v>4.2</v>
      </c>
      <c r="BT60" s="12">
        <f>INDEX(ovrTable,MATCH(INDEX(oppCol24,ROW()),ovrTeamCol,0),MATCH(MID(INDEX(headerRow,1,COLUMN()),4,LEN(INDEX(headerRow,1,COLUMN()))),ovrHeaderRow,0))</f>
        <v>43.8</v>
      </c>
      <c r="BU60" s="12">
        <f>INDEX(ovrTable,MATCH(INDEX(oppCol24,ROW()),ovrTeamCol,0),MATCH(MID(INDEX(headerRow,1,COLUMN()),4,LEN(INDEX(headerRow,1,COLUMN()))),ovrHeaderRow,0))</f>
        <v>26.34</v>
      </c>
      <c r="BV60" s="12">
        <f>INDEX(ovrTable,MATCH(INDEX(oppCol24,ROW()),ovrTeamCol,0),MATCH(MID(INDEX(headerRow,1,COLUMN()),4,LEN(INDEX(headerRow,1,COLUMN()))),ovrHeaderRow,0))</f>
        <v>0.54600000000000004</v>
      </c>
      <c r="BW60" s="12">
        <f>INDEX(ovrTable,MATCH(INDEX(oppCol24,ROW()),ovrTeamCol,0),MATCH(MID(INDEX(headerRow,1,COLUMN()),4,LEN(INDEX(headerRow,1,COLUMN()))),ovrHeaderRow,0))</f>
        <v>10.91</v>
      </c>
      <c r="BX60" s="12">
        <f>INDEX(ovrTable,MATCH(INDEX(oppCol24,ROW()),ovrTeamCol,0),MATCH(MID(INDEX(headerRow,1,COLUMN()),4,LEN(INDEX(headerRow,1,COLUMN()))),ovrHeaderRow,0))</f>
        <v>49.1</v>
      </c>
      <c r="BY60" s="12">
        <f>INDEX(ovrTable,MATCH(INDEX(oppCol24,ROW()),ovrTeamCol,0),MATCH(MID(INDEX(headerRow,1,COLUMN()),4,LEN(INDEX(headerRow,1,COLUMN()))),ovrHeaderRow,0))</f>
        <v>17</v>
      </c>
      <c r="BZ60" s="12">
        <f>INDEX(ovrTable,MATCH(INDEX(oppCol24,ROW()),ovrTeamCol,0),MATCH(MID(INDEX(headerRow,1,COLUMN()),4,LEN(INDEX(headerRow,1,COLUMN()))),ovrHeaderRow,0))</f>
        <v>72</v>
      </c>
      <c r="CA60" s="12">
        <f>INDEX(ovrTable,MATCH(INDEX(oppCol24,ROW()),ovrTeamCol,0),MATCH(MID(INDEX(headerRow,1,COLUMN()),4,LEN(INDEX(headerRow,1,COLUMN()))),ovrHeaderRow,0))</f>
        <v>22.4</v>
      </c>
      <c r="CB60" s="12">
        <f>INDEX(ovrTable,MATCH(INDEX(oppCol24,ROW()),ovrTeamCol,0),MATCH(MID(INDEX(headerRow,1,COLUMN()),4,LEN(INDEX(headerRow,1,COLUMN()))),ovrHeaderRow,0))</f>
        <v>16.100000000000001</v>
      </c>
      <c r="CC60" s="12">
        <f>INDEX(ovrTable,MATCH(INDEX(oppCol24,ROW()),ovrTeamCol,0),MATCH(MID(INDEX(headerRow,1,COLUMN()),4,LEN(INDEX(headerRow,1,COLUMN()))),ovrHeaderRow,0))</f>
        <v>71.3</v>
      </c>
      <c r="CD60" s="12">
        <f>INDEX(ovrTable,MATCH(INDEX(oppCol24,ROW()),ovrTeamCol,0),MATCH(MID(INDEX(headerRow,1,COLUMN()),4,LEN(INDEX(headerRow,1,COLUMN()))),ovrHeaderRow,0))</f>
        <v>9.49</v>
      </c>
      <c r="CE60" s="12">
        <f>INDEX(ovrTable,MATCH(INDEX(oppCol24,ROW()),ovrTeamCol,0),MATCH(MID(INDEX(headerRow,1,COLUMN()),4,LEN(INDEX(headerRow,1,COLUMN()))),ovrHeaderRow,0))</f>
        <v>79.7</v>
      </c>
      <c r="CF60" s="12">
        <f>INDEX(ovrTable,MATCH(INDEX(oppCol24,ROW()),ovrTeamCol,0),MATCH(MID(INDEX(headerRow,1,COLUMN()),4,LEN(INDEX(headerRow,1,COLUMN()))),ovrHeaderRow,0))</f>
        <v>2.8</v>
      </c>
      <c r="CG60" s="12">
        <f>INDEX(ovrTable,MATCH(INDEX(oppCol24,ROW()),ovrTeamCol,0),MATCH(MID(INDEX(headerRow,1,COLUMN()),4,LEN(INDEX(headerRow,1,COLUMN()))),ovrHeaderRow,0))</f>
        <v>35.83</v>
      </c>
      <c r="CH60" s="12">
        <f>INDEX(ovrTable,MATCH(INDEX(oppCol24,ROW()),ovrTeamCol,0),MATCH(MID(INDEX(headerRow,1,COLUMN()),4,LEN(INDEX(headerRow,1,COLUMN()))),ovrHeaderRow,0))</f>
        <v>8.3000000000000007</v>
      </c>
      <c r="CI60" s="12">
        <f>INDEX(ovrTable,MATCH(INDEX(oppCol24,ROW()),ovrTeamCol,0),MATCH(MID(INDEX(headerRow,1,COLUMN()),4,LEN(INDEX(headerRow,1,COLUMN()))),ovrHeaderRow,0))</f>
        <v>6.8</v>
      </c>
      <c r="CJ60" s="12">
        <f>INDEX(ovrTable,MATCH(INDEX(oppCol24,ROW()),ovrTeamCol,0),MATCH(MID(INDEX(headerRow,1,COLUMN()),4,LEN(INDEX(headerRow,1,COLUMN()))),ovrHeaderRow,0))</f>
        <v>0.9</v>
      </c>
      <c r="CK60" s="12">
        <f>INDEX(ovrTable,MATCH(INDEX(oppCol24,ROW()),ovrTeamCol,0),MATCH(MID(INDEX(headerRow,1,COLUMN()),4,LEN(INDEX(headerRow,1,COLUMN()))),ovrHeaderRow,0))</f>
        <v>11.91</v>
      </c>
      <c r="CL60" s="12">
        <f>INDEX(ovrTable,MATCH(INDEX(oppCol24,ROW()),ovrTeamCol,0),MATCH(MID(INDEX(headerRow,1,COLUMN()),4,LEN(INDEX(headerRow,1,COLUMN()))),ovrHeaderRow,0))</f>
        <v>11</v>
      </c>
      <c r="CM60" s="12">
        <f>INDEX(ovrTable,MATCH(INDEX(oppCol24,ROW()),ovrTeamCol,0),MATCH(MID(INDEX(headerRow,1,COLUMN()),4,LEN(INDEX(headerRow,1,COLUMN()))),ovrHeaderRow,0))</f>
        <v>71.900000000000006</v>
      </c>
      <c r="CN60" s="12">
        <f>INDEX(ovrTable,MATCH(INDEX(oppCol24,ROW()),ovrTeamCol,0),MATCH(MID(INDEX(headerRow,1,COLUMN()),4,LEN(INDEX(headerRow,1,COLUMN()))),ovrHeaderRow,0))</f>
        <v>22.05</v>
      </c>
      <c r="CO60" s="12">
        <f>INDEX(ovrTable,MATCH(INDEX(oppCol24,ROW()),ovrTeamCol,0),MATCH(MID(INDEX(headerRow,1,COLUMN()),4,LEN(INDEX(headerRow,1,COLUMN()))),ovrHeaderRow,0))</f>
        <v>58.146639511201627</v>
      </c>
    </row>
    <row r="61" spans="1:93" x14ac:dyDescent="0.3">
      <c r="A61" s="6" t="s">
        <v>61</v>
      </c>
      <c r="B61" s="3">
        <v>8</v>
      </c>
      <c r="C61" s="13" t="s">
        <v>62</v>
      </c>
      <c r="D61" s="14">
        <v>30</v>
      </c>
      <c r="E61" s="23">
        <v>31.818181818181817</v>
      </c>
      <c r="F61" s="24">
        <v>8</v>
      </c>
      <c r="G61" s="23">
        <v>42.105263157894733</v>
      </c>
      <c r="H61" s="24">
        <v>19</v>
      </c>
      <c r="I61" s="25">
        <v>2.4444444444444446</v>
      </c>
      <c r="J61" s="24">
        <v>22</v>
      </c>
      <c r="K61" s="24">
        <v>17</v>
      </c>
      <c r="L61" s="24">
        <v>9</v>
      </c>
      <c r="M61" s="24">
        <v>35.799999999999997</v>
      </c>
      <c r="N61" s="24">
        <v>25</v>
      </c>
      <c r="O61" s="26">
        <v>0.6166666666666667</v>
      </c>
      <c r="P61" s="24">
        <v>8</v>
      </c>
      <c r="Q61" s="24">
        <v>55</v>
      </c>
      <c r="R61" s="24">
        <v>13</v>
      </c>
      <c r="S61" s="23">
        <v>93.333333333333329</v>
      </c>
      <c r="T61" s="24">
        <v>15</v>
      </c>
      <c r="U61" s="24">
        <v>14</v>
      </c>
      <c r="V61" s="24">
        <v>72</v>
      </c>
      <c r="W61" s="24">
        <v>5</v>
      </c>
      <c r="X61" s="24">
        <v>88</v>
      </c>
      <c r="Y61" s="24">
        <v>-11</v>
      </c>
      <c r="Z61" s="24">
        <v>30</v>
      </c>
      <c r="AA61" s="24">
        <v>16</v>
      </c>
      <c r="AB61" s="24">
        <v>10</v>
      </c>
      <c r="AC61" s="24">
        <v>5</v>
      </c>
      <c r="AD61" s="24">
        <v>14</v>
      </c>
      <c r="AE61" s="24">
        <v>9</v>
      </c>
      <c r="AF61" s="46">
        <f t="shared" si="3"/>
        <v>71.125</v>
      </c>
      <c r="AG61" s="51">
        <f t="shared" ref="AG61" si="76">AVERAGE(AF60,AF61)</f>
        <v>70.807053072625706</v>
      </c>
      <c r="AH61" s="12">
        <f t="shared" si="65"/>
        <v>29.3</v>
      </c>
      <c r="AI61" s="12">
        <f t="shared" si="65"/>
        <v>6.5</v>
      </c>
      <c r="AJ61" s="12">
        <f t="shared" si="65"/>
        <v>33.299999999999997</v>
      </c>
      <c r="AK61" s="12">
        <f t="shared" si="65"/>
        <v>19.399999999999999</v>
      </c>
      <c r="AL61" s="12">
        <f t="shared" si="65"/>
        <v>1.49</v>
      </c>
      <c r="AM61" s="12">
        <f t="shared" si="65"/>
        <v>16.3</v>
      </c>
      <c r="AN61" s="12">
        <f t="shared" si="65"/>
        <v>18.11</v>
      </c>
      <c r="AO61" s="12">
        <f t="shared" si="65"/>
        <v>4.2</v>
      </c>
      <c r="AP61" s="12">
        <f t="shared" si="65"/>
        <v>43.8</v>
      </c>
      <c r="AQ61" s="12">
        <f t="shared" si="65"/>
        <v>26.34</v>
      </c>
      <c r="AR61" s="12">
        <f t="shared" si="66"/>
        <v>0.54600000000000004</v>
      </c>
      <c r="AS61" s="12">
        <f t="shared" si="66"/>
        <v>10.91</v>
      </c>
      <c r="AT61" s="12">
        <f t="shared" si="66"/>
        <v>49.1</v>
      </c>
      <c r="AU61" s="12">
        <f t="shared" si="66"/>
        <v>17</v>
      </c>
      <c r="AV61" s="12">
        <f t="shared" si="66"/>
        <v>72</v>
      </c>
      <c r="AW61" s="12">
        <f t="shared" si="66"/>
        <v>22.4</v>
      </c>
      <c r="AX61" s="12">
        <f t="shared" si="66"/>
        <v>16.100000000000001</v>
      </c>
      <c r="AY61" s="12">
        <f t="shared" si="66"/>
        <v>71.3</v>
      </c>
      <c r="AZ61" s="12">
        <f t="shared" si="66"/>
        <v>9.49</v>
      </c>
      <c r="BA61" s="12">
        <f t="shared" si="66"/>
        <v>79.7</v>
      </c>
      <c r="BB61" s="12">
        <f t="shared" si="67"/>
        <v>2.8</v>
      </c>
      <c r="BC61" s="12">
        <f t="shared" si="67"/>
        <v>35.83</v>
      </c>
      <c r="BD61" s="12">
        <f t="shared" si="67"/>
        <v>8.3000000000000007</v>
      </c>
      <c r="BE61" s="12">
        <f t="shared" si="67"/>
        <v>6.8</v>
      </c>
      <c r="BF61" s="12">
        <f t="shared" si="67"/>
        <v>0.9</v>
      </c>
      <c r="BG61" s="12">
        <f t="shared" si="67"/>
        <v>11.91</v>
      </c>
      <c r="BH61" s="12">
        <f t="shared" si="67"/>
        <v>11</v>
      </c>
      <c r="BI61" s="12">
        <f t="shared" si="67"/>
        <v>71.900000000000006</v>
      </c>
      <c r="BJ61" s="12">
        <f t="shared" si="67"/>
        <v>22.05</v>
      </c>
      <c r="BK61" s="12">
        <f t="shared" si="67"/>
        <v>58.146639511201627</v>
      </c>
      <c r="BL61" s="12">
        <f>INDEX(ovrTable,MATCH(INDEX(oppCol24,ROW()),ovrTeamCol,0),MATCH(MID(INDEX(headerRow,1,COLUMN()),4,LEN(INDEX(headerRow,1,COLUMN()))),ovrHeaderRow,0))</f>
        <v>33</v>
      </c>
      <c r="BM61" s="12">
        <f>INDEX(ovrTable,MATCH(INDEX(oppCol24,ROW()),ovrTeamCol,0),MATCH(MID(INDEX(headerRow,1,COLUMN()),4,LEN(INDEX(headerRow,1,COLUMN()))),ovrHeaderRow,0))</f>
        <v>6.6</v>
      </c>
      <c r="BN61" s="12">
        <f>INDEX(ovrTable,MATCH(INDEX(oppCol24,ROW()),ovrTeamCol,0),MATCH(MID(INDEX(headerRow,1,COLUMN()),4,LEN(INDEX(headerRow,1,COLUMN()))),ovrHeaderRow,0))</f>
        <v>35.4</v>
      </c>
      <c r="BO61" s="12">
        <f>INDEX(ovrTable,MATCH(INDEX(oppCol24,ROW()),ovrTeamCol,0),MATCH(MID(INDEX(headerRow,1,COLUMN()),4,LEN(INDEX(headerRow,1,COLUMN()))),ovrHeaderRow,0))</f>
        <v>18.600000000000001</v>
      </c>
      <c r="BP61" s="12">
        <f>INDEX(ovrTable,MATCH(INDEX(oppCol24,ROW()),ovrTeamCol,0),MATCH(MID(INDEX(headerRow,1,COLUMN()),4,LEN(INDEX(headerRow,1,COLUMN()))),ovrHeaderRow,0))</f>
        <v>1.31</v>
      </c>
      <c r="BQ61" s="12">
        <f>INDEX(ovrTable,MATCH(INDEX(oppCol24,ROW()),ovrTeamCol,0),MATCH(MID(INDEX(headerRow,1,COLUMN()),4,LEN(INDEX(headerRow,1,COLUMN()))),ovrHeaderRow,0))</f>
        <v>16.899999999999999</v>
      </c>
      <c r="BR61" s="12">
        <f>INDEX(ovrTable,MATCH(INDEX(oppCol24,ROW()),ovrTeamCol,0),MATCH(MID(INDEX(headerRow,1,COLUMN()),4,LEN(INDEX(headerRow,1,COLUMN()))),ovrHeaderRow,0))</f>
        <v>26.94</v>
      </c>
      <c r="BS61" s="12">
        <f>INDEX(ovrTable,MATCH(INDEX(oppCol24,ROW()),ovrTeamCol,0),MATCH(MID(INDEX(headerRow,1,COLUMN()),4,LEN(INDEX(headerRow,1,COLUMN()))),ovrHeaderRow,0))</f>
        <v>3.8</v>
      </c>
      <c r="BT61" s="12">
        <f>INDEX(ovrTable,MATCH(INDEX(oppCol24,ROW()),ovrTeamCol,0),MATCH(MID(INDEX(headerRow,1,COLUMN()),4,LEN(INDEX(headerRow,1,COLUMN()))),ovrHeaderRow,0))</f>
        <v>44.9</v>
      </c>
      <c r="BU61" s="12">
        <f>INDEX(ovrTable,MATCH(INDEX(oppCol24,ROW()),ovrTeamCol,0),MATCH(MID(INDEX(headerRow,1,COLUMN()),4,LEN(INDEX(headerRow,1,COLUMN()))),ovrHeaderRow,0))</f>
        <v>24.41</v>
      </c>
      <c r="BV61" s="12">
        <f>INDEX(ovrTable,MATCH(INDEX(oppCol24,ROW()),ovrTeamCol,0),MATCH(MID(INDEX(headerRow,1,COLUMN()),4,LEN(INDEX(headerRow,1,COLUMN()))),ovrHeaderRow,0))</f>
        <v>0.51500000000000001</v>
      </c>
      <c r="BW61" s="12">
        <f>INDEX(ovrTable,MATCH(INDEX(oppCol24,ROW()),ovrTeamCol,0),MATCH(MID(INDEX(headerRow,1,COLUMN()),4,LEN(INDEX(headerRow,1,COLUMN()))),ovrHeaderRow,0))</f>
        <v>17.79</v>
      </c>
      <c r="BX61" s="12">
        <f>INDEX(ovrTable,MATCH(INDEX(oppCol24,ROW()),ovrTeamCol,0),MATCH(MID(INDEX(headerRow,1,COLUMN()),4,LEN(INDEX(headerRow,1,COLUMN()))),ovrHeaderRow,0))</f>
        <v>46.1</v>
      </c>
      <c r="BY61" s="12">
        <f>INDEX(ovrTable,MATCH(INDEX(oppCol24,ROW()),ovrTeamCol,0),MATCH(MID(INDEX(headerRow,1,COLUMN()),4,LEN(INDEX(headerRow,1,COLUMN()))),ovrHeaderRow,0))</f>
        <v>17.399999999999999</v>
      </c>
      <c r="BZ61" s="12">
        <f>INDEX(ovrTable,MATCH(INDEX(oppCol24,ROW()),ovrTeamCol,0),MATCH(MID(INDEX(headerRow,1,COLUMN()),4,LEN(INDEX(headerRow,1,COLUMN()))),ovrHeaderRow,0))</f>
        <v>73.099999999999994</v>
      </c>
      <c r="CA61" s="12">
        <f>INDEX(ovrTable,MATCH(INDEX(oppCol24,ROW()),ovrTeamCol,0),MATCH(MID(INDEX(headerRow,1,COLUMN()),4,LEN(INDEX(headerRow,1,COLUMN()))),ovrHeaderRow,0))</f>
        <v>21.5</v>
      </c>
      <c r="CB61" s="12">
        <f>INDEX(ovrTable,MATCH(INDEX(oppCol24,ROW()),ovrTeamCol,0),MATCH(MID(INDEX(headerRow,1,COLUMN()),4,LEN(INDEX(headerRow,1,COLUMN()))),ovrHeaderRow,0))</f>
        <v>15.7</v>
      </c>
      <c r="CC61" s="12">
        <f>INDEX(ovrTable,MATCH(INDEX(oppCol24,ROW()),ovrTeamCol,0),MATCH(MID(INDEX(headerRow,1,COLUMN()),4,LEN(INDEX(headerRow,1,COLUMN()))),ovrHeaderRow,0))</f>
        <v>71.7</v>
      </c>
      <c r="CD61" s="12">
        <f>INDEX(ovrTable,MATCH(INDEX(oppCol24,ROW()),ovrTeamCol,0),MATCH(MID(INDEX(headerRow,1,COLUMN()),4,LEN(INDEX(headerRow,1,COLUMN()))),ovrHeaderRow,0))</f>
        <v>12.74</v>
      </c>
      <c r="CE61" s="12">
        <f>INDEX(ovrTable,MATCH(INDEX(oppCol24,ROW()),ovrTeamCol,0),MATCH(MID(INDEX(headerRow,1,COLUMN()),4,LEN(INDEX(headerRow,1,COLUMN()))),ovrHeaderRow,0))</f>
        <v>79</v>
      </c>
      <c r="CF61" s="12">
        <f>INDEX(ovrTable,MATCH(INDEX(oppCol24,ROW()),ovrTeamCol,0),MATCH(MID(INDEX(headerRow,1,COLUMN()),4,LEN(INDEX(headerRow,1,COLUMN()))),ovrHeaderRow,0))</f>
        <v>4.7</v>
      </c>
      <c r="CG61" s="12">
        <f>INDEX(ovrTable,MATCH(INDEX(oppCol24,ROW()),ovrTeamCol,0),MATCH(MID(INDEX(headerRow,1,COLUMN()),4,LEN(INDEX(headerRow,1,COLUMN()))),ovrHeaderRow,0))</f>
        <v>37.15</v>
      </c>
      <c r="CH61" s="12">
        <f>INDEX(ovrTable,MATCH(INDEX(oppCol24,ROW()),ovrTeamCol,0),MATCH(MID(INDEX(headerRow,1,COLUMN()),4,LEN(INDEX(headerRow,1,COLUMN()))),ovrHeaderRow,0))</f>
        <v>7.3</v>
      </c>
      <c r="CI61" s="12">
        <f>INDEX(ovrTable,MATCH(INDEX(oppCol24,ROW()),ovrTeamCol,0),MATCH(MID(INDEX(headerRow,1,COLUMN()),4,LEN(INDEX(headerRow,1,COLUMN()))),ovrHeaderRow,0))</f>
        <v>9</v>
      </c>
      <c r="CJ61" s="12">
        <f>INDEX(ovrTable,MATCH(INDEX(oppCol24,ROW()),ovrTeamCol,0),MATCH(MID(INDEX(headerRow,1,COLUMN()),4,LEN(INDEX(headerRow,1,COLUMN()))),ovrHeaderRow,0))</f>
        <v>1.9</v>
      </c>
      <c r="CK61" s="12">
        <f>INDEX(ovrTable,MATCH(INDEX(oppCol24,ROW()),ovrTeamCol,0),MATCH(MID(INDEX(headerRow,1,COLUMN()),4,LEN(INDEX(headerRow,1,COLUMN()))),ovrHeaderRow,0))</f>
        <v>14.74</v>
      </c>
      <c r="CL61" s="12">
        <f>INDEX(ovrTable,MATCH(INDEX(oppCol24,ROW()),ovrTeamCol,0),MATCH(MID(INDEX(headerRow,1,COLUMN()),4,LEN(INDEX(headerRow,1,COLUMN()))),ovrHeaderRow,0))</f>
        <v>12.9</v>
      </c>
      <c r="CM61" s="12">
        <f>INDEX(ovrTable,MATCH(INDEX(oppCol24,ROW()),ovrTeamCol,0),MATCH(MID(INDEX(headerRow,1,COLUMN()),4,LEN(INDEX(headerRow,1,COLUMN()))),ovrHeaderRow,0))</f>
        <v>73.400000000000006</v>
      </c>
      <c r="CN61" s="12">
        <f>INDEX(ovrTable,MATCH(INDEX(oppCol24,ROW()),ovrTeamCol,0),MATCH(MID(INDEX(headerRow,1,COLUMN()),4,LEN(INDEX(headerRow,1,COLUMN()))),ovrHeaderRow,0))</f>
        <v>21.75</v>
      </c>
      <c r="CO61" s="12">
        <f>INDEX(ovrTable,MATCH(INDEX(oppCol24,ROW()),ovrTeamCol,0),MATCH(MID(INDEX(headerRow,1,COLUMN()),4,LEN(INDEX(headerRow,1,COLUMN()))),ovrHeaderRow,0))</f>
        <v>61.49674620390455</v>
      </c>
    </row>
    <row r="62" spans="1:93" x14ac:dyDescent="0.3">
      <c r="A62" s="6" t="s">
        <v>66</v>
      </c>
      <c r="B62" s="3">
        <v>12</v>
      </c>
      <c r="C62" s="13" t="s">
        <v>58</v>
      </c>
      <c r="D62" s="14">
        <v>31</v>
      </c>
      <c r="E62" s="23">
        <v>47.619047619047613</v>
      </c>
      <c r="F62" s="24">
        <v>5</v>
      </c>
      <c r="G62" s="23">
        <v>22.727272727272727</v>
      </c>
      <c r="H62" s="24">
        <v>22</v>
      </c>
      <c r="I62" s="25">
        <v>1.6666666666666667</v>
      </c>
      <c r="J62" s="24">
        <v>10</v>
      </c>
      <c r="K62" s="24">
        <v>22</v>
      </c>
      <c r="L62" s="24">
        <v>2</v>
      </c>
      <c r="M62" s="24">
        <v>51.7</v>
      </c>
      <c r="N62" s="24">
        <v>20</v>
      </c>
      <c r="O62" s="26">
        <v>0.36919565217391304</v>
      </c>
      <c r="P62" s="24">
        <v>5</v>
      </c>
      <c r="Q62" s="24">
        <v>33.299999999999997</v>
      </c>
      <c r="R62" s="24">
        <v>16</v>
      </c>
      <c r="S62" s="23">
        <v>73.68421052631578</v>
      </c>
      <c r="T62" s="24">
        <v>19</v>
      </c>
      <c r="U62" s="24">
        <v>14</v>
      </c>
      <c r="V62" s="24">
        <v>86</v>
      </c>
      <c r="W62" s="24">
        <v>14</v>
      </c>
      <c r="X62" s="24">
        <v>65</v>
      </c>
      <c r="Y62" s="24">
        <v>-12</v>
      </c>
      <c r="Z62" s="24">
        <v>34</v>
      </c>
      <c r="AA62" s="24">
        <v>-21</v>
      </c>
      <c r="AB62" s="24">
        <v>7</v>
      </c>
      <c r="AC62" s="24">
        <v>7</v>
      </c>
      <c r="AD62" s="24">
        <v>13</v>
      </c>
      <c r="AE62" s="24">
        <v>6</v>
      </c>
      <c r="AF62" s="46">
        <f t="shared" si="3"/>
        <v>70.094069069069079</v>
      </c>
      <c r="AG62" s="51">
        <f t="shared" ref="AG62" si="77">AVERAGE(AF62,AF63)</f>
        <v>69.802692174766648</v>
      </c>
      <c r="AH62" s="12">
        <f t="shared" ref="AH62:AQ71" si="78">INDEX(ovrTable,MATCH(INDEX(teamCol,ROW()),ovrTeamCol,0),MATCH(MID(INDEX(headerRow,1,COLUMN()),4,LEN(INDEX(headerRow,1,COLUMN()))),ovrHeaderRow,0))</f>
        <v>31.7</v>
      </c>
      <c r="AI62" s="12">
        <f t="shared" si="78"/>
        <v>7.6</v>
      </c>
      <c r="AJ62" s="12">
        <f t="shared" si="78"/>
        <v>38.299999999999997</v>
      </c>
      <c r="AK62" s="12">
        <f t="shared" si="78"/>
        <v>19.7</v>
      </c>
      <c r="AL62" s="12">
        <f t="shared" si="78"/>
        <v>1.54</v>
      </c>
      <c r="AM62" s="12">
        <f t="shared" si="78"/>
        <v>14.9</v>
      </c>
      <c r="AN62" s="12">
        <f t="shared" si="78"/>
        <v>25.65</v>
      </c>
      <c r="AO62" s="12">
        <f t="shared" si="78"/>
        <v>3.4</v>
      </c>
      <c r="AP62" s="12">
        <f t="shared" si="78"/>
        <v>38.9</v>
      </c>
      <c r="AQ62" s="12">
        <f t="shared" si="78"/>
        <v>24.82</v>
      </c>
      <c r="AR62" s="12">
        <f t="shared" ref="AR62:BA71" si="79">INDEX(ovrTable,MATCH(INDEX(teamCol,ROW()),ovrTeamCol,0),MATCH(MID(INDEX(headerRow,1,COLUMN()),4,LEN(INDEX(headerRow,1,COLUMN()))),ovrHeaderRow,0))</f>
        <v>0.55200000000000005</v>
      </c>
      <c r="AS62" s="12">
        <f t="shared" si="79"/>
        <v>13.44</v>
      </c>
      <c r="AT62" s="12">
        <f t="shared" si="79"/>
        <v>48.7</v>
      </c>
      <c r="AU62" s="12">
        <f t="shared" si="79"/>
        <v>17.3</v>
      </c>
      <c r="AV62" s="12">
        <f t="shared" si="79"/>
        <v>69.3</v>
      </c>
      <c r="AW62" s="12">
        <f t="shared" si="79"/>
        <v>21.9</v>
      </c>
      <c r="AX62" s="12">
        <f t="shared" si="79"/>
        <v>15.2</v>
      </c>
      <c r="AY62" s="12">
        <f t="shared" si="79"/>
        <v>62.2</v>
      </c>
      <c r="AZ62" s="12">
        <f t="shared" si="79"/>
        <v>11.24</v>
      </c>
      <c r="BA62" s="12">
        <f t="shared" si="79"/>
        <v>80</v>
      </c>
      <c r="BB62" s="12">
        <f t="shared" ref="BB62:BK71" si="80">INDEX(ovrTable,MATCH(INDEX(teamCol,ROW()),ovrTeamCol,0),MATCH(MID(INDEX(headerRow,1,COLUMN()),4,LEN(INDEX(headerRow,1,COLUMN()))),ovrHeaderRow,0))</f>
        <v>3.1</v>
      </c>
      <c r="BC62" s="12">
        <f t="shared" si="80"/>
        <v>36.06</v>
      </c>
      <c r="BD62" s="12">
        <f t="shared" si="80"/>
        <v>17.7</v>
      </c>
      <c r="BE62" s="12">
        <f t="shared" si="80"/>
        <v>10.3</v>
      </c>
      <c r="BF62" s="12">
        <f t="shared" si="80"/>
        <v>6.7</v>
      </c>
      <c r="BG62" s="12">
        <f t="shared" si="80"/>
        <v>16.350000000000001</v>
      </c>
      <c r="BH62" s="12">
        <f t="shared" si="80"/>
        <v>9.6999999999999993</v>
      </c>
      <c r="BI62" s="12">
        <f t="shared" si="80"/>
        <v>68.099999999999994</v>
      </c>
      <c r="BJ62" s="12">
        <f t="shared" si="80"/>
        <v>21</v>
      </c>
      <c r="BK62" s="12">
        <f t="shared" si="80"/>
        <v>58.726899383983572</v>
      </c>
      <c r="BL62" s="12">
        <f>INDEX(ovrTable,MATCH(INDEX(oppCol24,ROW()),ovrTeamCol,0),MATCH(MID(INDEX(headerRow,1,COLUMN()),4,LEN(INDEX(headerRow,1,COLUMN()))),ovrHeaderRow,0))</f>
        <v>33.6</v>
      </c>
      <c r="BM62" s="12">
        <f>INDEX(ovrTable,MATCH(INDEX(oppCol24,ROW()),ovrTeamCol,0),MATCH(MID(INDEX(headerRow,1,COLUMN()),4,LEN(INDEX(headerRow,1,COLUMN()))),ovrHeaderRow,0))</f>
        <v>6.9</v>
      </c>
      <c r="BN62" s="12">
        <f>INDEX(ovrTable,MATCH(INDEX(oppCol24,ROW()),ovrTeamCol,0),MATCH(MID(INDEX(headerRow,1,COLUMN()),4,LEN(INDEX(headerRow,1,COLUMN()))),ovrHeaderRow,0))</f>
        <v>36.1</v>
      </c>
      <c r="BO62" s="12">
        <f>INDEX(ovrTable,MATCH(INDEX(oppCol24,ROW()),ovrTeamCol,0),MATCH(MID(INDEX(headerRow,1,COLUMN()),4,LEN(INDEX(headerRow,1,COLUMN()))),ovrHeaderRow,0))</f>
        <v>19.3</v>
      </c>
      <c r="BP62" s="12">
        <f>INDEX(ovrTable,MATCH(INDEX(oppCol24,ROW()),ovrTeamCol,0),MATCH(MID(INDEX(headerRow,1,COLUMN()),4,LEN(INDEX(headerRow,1,COLUMN()))),ovrHeaderRow,0))</f>
        <v>1.71</v>
      </c>
      <c r="BQ62" s="12">
        <f>INDEX(ovrTable,MATCH(INDEX(oppCol24,ROW()),ovrTeamCol,0),MATCH(MID(INDEX(headerRow,1,COLUMN()),4,LEN(INDEX(headerRow,1,COLUMN()))),ovrHeaderRow,0))</f>
        <v>16.7</v>
      </c>
      <c r="BR62" s="12">
        <f>INDEX(ovrTable,MATCH(INDEX(oppCol24,ROW()),ovrTeamCol,0),MATCH(MID(INDEX(headerRow,1,COLUMN()),4,LEN(INDEX(headerRow,1,COLUMN()))),ovrHeaderRow,0))</f>
        <v>18.71</v>
      </c>
      <c r="BS62" s="12">
        <f>INDEX(ovrTable,MATCH(INDEX(oppCol24,ROW()),ovrTeamCol,0),MATCH(MID(INDEX(headerRow,1,COLUMN()),4,LEN(INDEX(headerRow,1,COLUMN()))),ovrHeaderRow,0))</f>
        <v>3.9</v>
      </c>
      <c r="BT62" s="12">
        <f>INDEX(ovrTable,MATCH(INDEX(oppCol24,ROW()),ovrTeamCol,0),MATCH(MID(INDEX(headerRow,1,COLUMN()),4,LEN(INDEX(headerRow,1,COLUMN()))),ovrHeaderRow,0))</f>
        <v>40.700000000000003</v>
      </c>
      <c r="BU62" s="12">
        <f>INDEX(ovrTable,MATCH(INDEX(oppCol24,ROW()),ovrTeamCol,0),MATCH(MID(INDEX(headerRow,1,COLUMN()),4,LEN(INDEX(headerRow,1,COLUMN()))),ovrHeaderRow,0))</f>
        <v>27.89</v>
      </c>
      <c r="BV62" s="12">
        <f>INDEX(ovrTable,MATCH(INDEX(oppCol24,ROW()),ovrTeamCol,0),MATCH(MID(INDEX(headerRow,1,COLUMN()),4,LEN(INDEX(headerRow,1,COLUMN()))),ovrHeaderRow,0))</f>
        <v>0.57399999999999995</v>
      </c>
      <c r="BW62" s="12">
        <f>INDEX(ovrTable,MATCH(INDEX(oppCol24,ROW()),ovrTeamCol,0),MATCH(MID(INDEX(headerRow,1,COLUMN()),4,LEN(INDEX(headerRow,1,COLUMN()))),ovrHeaderRow,0))</f>
        <v>13.91</v>
      </c>
      <c r="BX62" s="12">
        <f>INDEX(ovrTable,MATCH(INDEX(oppCol24,ROW()),ovrTeamCol,0),MATCH(MID(INDEX(headerRow,1,COLUMN()),4,LEN(INDEX(headerRow,1,COLUMN()))),ovrHeaderRow,0))</f>
        <v>51.8</v>
      </c>
      <c r="BY62" s="12">
        <f>INDEX(ovrTable,MATCH(INDEX(oppCol24,ROW()),ovrTeamCol,0),MATCH(MID(INDEX(headerRow,1,COLUMN()),4,LEN(INDEX(headerRow,1,COLUMN()))),ovrHeaderRow,0))</f>
        <v>15.6</v>
      </c>
      <c r="BZ62" s="12">
        <f>INDEX(ovrTable,MATCH(INDEX(oppCol24,ROW()),ovrTeamCol,0),MATCH(MID(INDEX(headerRow,1,COLUMN()),4,LEN(INDEX(headerRow,1,COLUMN()))),ovrHeaderRow,0))</f>
        <v>72.099999999999994</v>
      </c>
      <c r="CA62" s="12">
        <f>INDEX(ovrTable,MATCH(INDEX(oppCol24,ROW()),ovrTeamCol,0),MATCH(MID(INDEX(headerRow,1,COLUMN()),4,LEN(INDEX(headerRow,1,COLUMN()))),ovrHeaderRow,0))</f>
        <v>18.899999999999999</v>
      </c>
      <c r="CB62" s="12">
        <f>INDEX(ovrTable,MATCH(INDEX(oppCol24,ROW()),ovrTeamCol,0),MATCH(MID(INDEX(headerRow,1,COLUMN()),4,LEN(INDEX(headerRow,1,COLUMN()))),ovrHeaderRow,0))</f>
        <v>13.6</v>
      </c>
      <c r="CC62" s="12">
        <f>INDEX(ovrTable,MATCH(INDEX(oppCol24,ROW()),ovrTeamCol,0),MATCH(MID(INDEX(headerRow,1,COLUMN()),4,LEN(INDEX(headerRow,1,COLUMN()))),ovrHeaderRow,0))</f>
        <v>69.099999999999994</v>
      </c>
      <c r="CD62" s="12">
        <f>INDEX(ovrTable,MATCH(INDEX(oppCol24,ROW()),ovrTeamCol,0),MATCH(MID(INDEX(headerRow,1,COLUMN()),4,LEN(INDEX(headerRow,1,COLUMN()))),ovrHeaderRow,0))</f>
        <v>10.83</v>
      </c>
      <c r="CE62" s="12">
        <f>INDEX(ovrTable,MATCH(INDEX(oppCol24,ROW()),ovrTeamCol,0),MATCH(MID(INDEX(headerRow,1,COLUMN()),4,LEN(INDEX(headerRow,1,COLUMN()))),ovrHeaderRow,0))</f>
        <v>84.5</v>
      </c>
      <c r="CF62" s="12">
        <f>INDEX(ovrTable,MATCH(INDEX(oppCol24,ROW()),ovrTeamCol,0),MATCH(MID(INDEX(headerRow,1,COLUMN()),4,LEN(INDEX(headerRow,1,COLUMN()))),ovrHeaderRow,0))</f>
        <v>7</v>
      </c>
      <c r="CG62" s="12">
        <f>INDEX(ovrTable,MATCH(INDEX(oppCol24,ROW()),ovrTeamCol,0),MATCH(MID(INDEX(headerRow,1,COLUMN()),4,LEN(INDEX(headerRow,1,COLUMN()))),ovrHeaderRow,0))</f>
        <v>38.71</v>
      </c>
      <c r="CH62" s="12">
        <f>INDEX(ovrTable,MATCH(INDEX(oppCol24,ROW()),ovrTeamCol,0),MATCH(MID(INDEX(headerRow,1,COLUMN()),4,LEN(INDEX(headerRow,1,COLUMN()))),ovrHeaderRow,0))</f>
        <v>15.4</v>
      </c>
      <c r="CI62" s="12">
        <f>INDEX(ovrTable,MATCH(INDEX(oppCol24,ROW()),ovrTeamCol,0),MATCH(MID(INDEX(headerRow,1,COLUMN()),4,LEN(INDEX(headerRow,1,COLUMN()))),ovrHeaderRow,0))</f>
        <v>6.7</v>
      </c>
      <c r="CJ62" s="12">
        <f>INDEX(ovrTable,MATCH(INDEX(oppCol24,ROW()),ovrTeamCol,0),MATCH(MID(INDEX(headerRow,1,COLUMN()),4,LEN(INDEX(headerRow,1,COLUMN()))),ovrHeaderRow,0))</f>
        <v>1.4</v>
      </c>
      <c r="CK62" s="12">
        <f>INDEX(ovrTable,MATCH(INDEX(oppCol24,ROW()),ovrTeamCol,0),MATCH(MID(INDEX(headerRow,1,COLUMN()),4,LEN(INDEX(headerRow,1,COLUMN()))),ovrHeaderRow,0))</f>
        <v>11.2</v>
      </c>
      <c r="CL62" s="12">
        <f>INDEX(ovrTable,MATCH(INDEX(oppCol24,ROW()),ovrTeamCol,0),MATCH(MID(INDEX(headerRow,1,COLUMN()),4,LEN(INDEX(headerRow,1,COLUMN()))),ovrHeaderRow,0))</f>
        <v>9.8000000000000007</v>
      </c>
      <c r="CM62" s="12">
        <f>INDEX(ovrTable,MATCH(INDEX(oppCol24,ROW()),ovrTeamCol,0),MATCH(MID(INDEX(headerRow,1,COLUMN()),4,LEN(INDEX(headerRow,1,COLUMN()))),ovrHeaderRow,0))</f>
        <v>70.7</v>
      </c>
      <c r="CN62" s="12">
        <f>INDEX(ovrTable,MATCH(INDEX(oppCol24,ROW()),ovrTeamCol,0),MATCH(MID(INDEX(headerRow,1,COLUMN()),4,LEN(INDEX(headerRow,1,COLUMN()))),ovrHeaderRow,0))</f>
        <v>25.1</v>
      </c>
      <c r="CO62" s="12">
        <f>INDEX(ovrTable,MATCH(INDEX(oppCol24,ROW()),ovrTeamCol,0),MATCH(MID(INDEX(headerRow,1,COLUMN()),4,LEN(INDEX(headerRow,1,COLUMN()))),ovrHeaderRow,0))</f>
        <v>61.776061776061781</v>
      </c>
    </row>
    <row r="63" spans="1:93" x14ac:dyDescent="0.3">
      <c r="A63" s="6" t="s">
        <v>58</v>
      </c>
      <c r="B63" s="3">
        <v>5</v>
      </c>
      <c r="C63" s="13" t="s">
        <v>66</v>
      </c>
      <c r="D63" s="14">
        <v>31</v>
      </c>
      <c r="E63" s="23">
        <v>22.727272727272727</v>
      </c>
      <c r="F63" s="24">
        <v>10</v>
      </c>
      <c r="G63" s="23">
        <v>47.619047619047613</v>
      </c>
      <c r="H63" s="24">
        <v>21</v>
      </c>
      <c r="I63" s="25">
        <v>1.6923076923076923</v>
      </c>
      <c r="J63" s="24">
        <v>22</v>
      </c>
      <c r="K63" s="24">
        <v>26</v>
      </c>
      <c r="L63" s="24">
        <v>2</v>
      </c>
      <c r="M63" s="24">
        <v>33.299999999999997</v>
      </c>
      <c r="N63" s="24">
        <v>34</v>
      </c>
      <c r="O63" s="26">
        <v>0.60038709677419355</v>
      </c>
      <c r="P63" s="24">
        <v>14</v>
      </c>
      <c r="Q63" s="24">
        <v>51.7</v>
      </c>
      <c r="R63" s="24">
        <v>16</v>
      </c>
      <c r="S63" s="23">
        <v>77.777777777777786</v>
      </c>
      <c r="T63" s="24">
        <v>18</v>
      </c>
      <c r="U63" s="24">
        <v>14</v>
      </c>
      <c r="V63" s="24">
        <v>65</v>
      </c>
      <c r="W63" s="24">
        <v>12</v>
      </c>
      <c r="X63" s="24">
        <v>86</v>
      </c>
      <c r="Y63" s="24">
        <v>12</v>
      </c>
      <c r="Z63" s="24">
        <v>46</v>
      </c>
      <c r="AA63" s="24">
        <v>21</v>
      </c>
      <c r="AB63" s="24">
        <v>4</v>
      </c>
      <c r="AC63" s="24">
        <v>-7</v>
      </c>
      <c r="AD63" s="24">
        <v>6</v>
      </c>
      <c r="AE63" s="24">
        <v>13</v>
      </c>
      <c r="AF63" s="46">
        <f t="shared" si="3"/>
        <v>69.511315280464217</v>
      </c>
      <c r="AG63" s="51">
        <f t="shared" ref="AG63" si="81">AVERAGE(AF62,AF63)</f>
        <v>69.802692174766648</v>
      </c>
      <c r="AH63" s="12">
        <f t="shared" si="78"/>
        <v>33.6</v>
      </c>
      <c r="AI63" s="12">
        <f t="shared" si="78"/>
        <v>6.9</v>
      </c>
      <c r="AJ63" s="12">
        <f t="shared" si="78"/>
        <v>36.1</v>
      </c>
      <c r="AK63" s="12">
        <f t="shared" si="78"/>
        <v>19.3</v>
      </c>
      <c r="AL63" s="12">
        <f t="shared" si="78"/>
        <v>1.71</v>
      </c>
      <c r="AM63" s="12">
        <f t="shared" si="78"/>
        <v>16.7</v>
      </c>
      <c r="AN63" s="12">
        <f t="shared" si="78"/>
        <v>18.71</v>
      </c>
      <c r="AO63" s="12">
        <f t="shared" si="78"/>
        <v>3.9</v>
      </c>
      <c r="AP63" s="12">
        <f t="shared" si="78"/>
        <v>40.700000000000003</v>
      </c>
      <c r="AQ63" s="12">
        <f t="shared" si="78"/>
        <v>27.89</v>
      </c>
      <c r="AR63" s="12">
        <f t="shared" si="79"/>
        <v>0.57399999999999995</v>
      </c>
      <c r="AS63" s="12">
        <f t="shared" si="79"/>
        <v>13.91</v>
      </c>
      <c r="AT63" s="12">
        <f t="shared" si="79"/>
        <v>51.8</v>
      </c>
      <c r="AU63" s="12">
        <f t="shared" si="79"/>
        <v>15.6</v>
      </c>
      <c r="AV63" s="12">
        <f t="shared" si="79"/>
        <v>72.099999999999994</v>
      </c>
      <c r="AW63" s="12">
        <f t="shared" si="79"/>
        <v>18.899999999999999</v>
      </c>
      <c r="AX63" s="12">
        <f t="shared" si="79"/>
        <v>13.6</v>
      </c>
      <c r="AY63" s="12">
        <f t="shared" si="79"/>
        <v>69.099999999999994</v>
      </c>
      <c r="AZ63" s="12">
        <f t="shared" si="79"/>
        <v>10.83</v>
      </c>
      <c r="BA63" s="12">
        <f t="shared" si="79"/>
        <v>84.5</v>
      </c>
      <c r="BB63" s="12">
        <f t="shared" si="80"/>
        <v>7</v>
      </c>
      <c r="BC63" s="12">
        <f t="shared" si="80"/>
        <v>38.71</v>
      </c>
      <c r="BD63" s="12">
        <f t="shared" si="80"/>
        <v>15.4</v>
      </c>
      <c r="BE63" s="12">
        <f t="shared" si="80"/>
        <v>6.7</v>
      </c>
      <c r="BF63" s="12">
        <f t="shared" si="80"/>
        <v>1.4</v>
      </c>
      <c r="BG63" s="12">
        <f t="shared" si="80"/>
        <v>11.2</v>
      </c>
      <c r="BH63" s="12">
        <f t="shared" si="80"/>
        <v>9.8000000000000007</v>
      </c>
      <c r="BI63" s="12">
        <f t="shared" si="80"/>
        <v>70.7</v>
      </c>
      <c r="BJ63" s="12">
        <f t="shared" si="80"/>
        <v>25.1</v>
      </c>
      <c r="BK63" s="12">
        <f t="shared" si="80"/>
        <v>61.776061776061781</v>
      </c>
      <c r="BL63" s="12">
        <f>INDEX(ovrTable,MATCH(INDEX(oppCol24,ROW()),ovrTeamCol,0),MATCH(MID(INDEX(headerRow,1,COLUMN()),4,LEN(INDEX(headerRow,1,COLUMN()))),ovrHeaderRow,0))</f>
        <v>31.7</v>
      </c>
      <c r="BM63" s="12">
        <f>INDEX(ovrTable,MATCH(INDEX(oppCol24,ROW()),ovrTeamCol,0),MATCH(MID(INDEX(headerRow,1,COLUMN()),4,LEN(INDEX(headerRow,1,COLUMN()))),ovrHeaderRow,0))</f>
        <v>7.6</v>
      </c>
      <c r="BN63" s="12">
        <f>INDEX(ovrTable,MATCH(INDEX(oppCol24,ROW()),ovrTeamCol,0),MATCH(MID(INDEX(headerRow,1,COLUMN()),4,LEN(INDEX(headerRow,1,COLUMN()))),ovrHeaderRow,0))</f>
        <v>38.299999999999997</v>
      </c>
      <c r="BO63" s="12">
        <f>INDEX(ovrTable,MATCH(INDEX(oppCol24,ROW()),ovrTeamCol,0),MATCH(MID(INDEX(headerRow,1,COLUMN()),4,LEN(INDEX(headerRow,1,COLUMN()))),ovrHeaderRow,0))</f>
        <v>19.7</v>
      </c>
      <c r="BP63" s="12">
        <f>INDEX(ovrTable,MATCH(INDEX(oppCol24,ROW()),ovrTeamCol,0),MATCH(MID(INDEX(headerRow,1,COLUMN()),4,LEN(INDEX(headerRow,1,COLUMN()))),ovrHeaderRow,0))</f>
        <v>1.54</v>
      </c>
      <c r="BQ63" s="12">
        <f>INDEX(ovrTable,MATCH(INDEX(oppCol24,ROW()),ovrTeamCol,0),MATCH(MID(INDEX(headerRow,1,COLUMN()),4,LEN(INDEX(headerRow,1,COLUMN()))),ovrHeaderRow,0))</f>
        <v>14.9</v>
      </c>
      <c r="BR63" s="12">
        <f>INDEX(ovrTable,MATCH(INDEX(oppCol24,ROW()),ovrTeamCol,0),MATCH(MID(INDEX(headerRow,1,COLUMN()),4,LEN(INDEX(headerRow,1,COLUMN()))),ovrHeaderRow,0))</f>
        <v>25.65</v>
      </c>
      <c r="BS63" s="12">
        <f>INDEX(ovrTable,MATCH(INDEX(oppCol24,ROW()),ovrTeamCol,0),MATCH(MID(INDEX(headerRow,1,COLUMN()),4,LEN(INDEX(headerRow,1,COLUMN()))),ovrHeaderRow,0))</f>
        <v>3.4</v>
      </c>
      <c r="BT63" s="12">
        <f>INDEX(ovrTable,MATCH(INDEX(oppCol24,ROW()),ovrTeamCol,0),MATCH(MID(INDEX(headerRow,1,COLUMN()),4,LEN(INDEX(headerRow,1,COLUMN()))),ovrHeaderRow,0))</f>
        <v>38.9</v>
      </c>
      <c r="BU63" s="12">
        <f>INDEX(ovrTable,MATCH(INDEX(oppCol24,ROW()),ovrTeamCol,0),MATCH(MID(INDEX(headerRow,1,COLUMN()),4,LEN(INDEX(headerRow,1,COLUMN()))),ovrHeaderRow,0))</f>
        <v>24.82</v>
      </c>
      <c r="BV63" s="12">
        <f>INDEX(ovrTable,MATCH(INDEX(oppCol24,ROW()),ovrTeamCol,0),MATCH(MID(INDEX(headerRow,1,COLUMN()),4,LEN(INDEX(headerRow,1,COLUMN()))),ovrHeaderRow,0))</f>
        <v>0.55200000000000005</v>
      </c>
      <c r="BW63" s="12">
        <f>INDEX(ovrTable,MATCH(INDEX(oppCol24,ROW()),ovrTeamCol,0),MATCH(MID(INDEX(headerRow,1,COLUMN()),4,LEN(INDEX(headerRow,1,COLUMN()))),ovrHeaderRow,0))</f>
        <v>13.44</v>
      </c>
      <c r="BX63" s="12">
        <f>INDEX(ovrTable,MATCH(INDEX(oppCol24,ROW()),ovrTeamCol,0),MATCH(MID(INDEX(headerRow,1,COLUMN()),4,LEN(INDEX(headerRow,1,COLUMN()))),ovrHeaderRow,0))</f>
        <v>48.7</v>
      </c>
      <c r="BY63" s="12">
        <f>INDEX(ovrTable,MATCH(INDEX(oppCol24,ROW()),ovrTeamCol,0),MATCH(MID(INDEX(headerRow,1,COLUMN()),4,LEN(INDEX(headerRow,1,COLUMN()))),ovrHeaderRow,0))</f>
        <v>17.3</v>
      </c>
      <c r="BZ63" s="12">
        <f>INDEX(ovrTable,MATCH(INDEX(oppCol24,ROW()),ovrTeamCol,0),MATCH(MID(INDEX(headerRow,1,COLUMN()),4,LEN(INDEX(headerRow,1,COLUMN()))),ovrHeaderRow,0))</f>
        <v>69.3</v>
      </c>
      <c r="CA63" s="12">
        <f>INDEX(ovrTable,MATCH(INDEX(oppCol24,ROW()),ovrTeamCol,0),MATCH(MID(INDEX(headerRow,1,COLUMN()),4,LEN(INDEX(headerRow,1,COLUMN()))),ovrHeaderRow,0))</f>
        <v>21.9</v>
      </c>
      <c r="CB63" s="12">
        <f>INDEX(ovrTable,MATCH(INDEX(oppCol24,ROW()),ovrTeamCol,0),MATCH(MID(INDEX(headerRow,1,COLUMN()),4,LEN(INDEX(headerRow,1,COLUMN()))),ovrHeaderRow,0))</f>
        <v>15.2</v>
      </c>
      <c r="CC63" s="12">
        <f>INDEX(ovrTable,MATCH(INDEX(oppCol24,ROW()),ovrTeamCol,0),MATCH(MID(INDEX(headerRow,1,COLUMN()),4,LEN(INDEX(headerRow,1,COLUMN()))),ovrHeaderRow,0))</f>
        <v>62.2</v>
      </c>
      <c r="CD63" s="12">
        <f>INDEX(ovrTable,MATCH(INDEX(oppCol24,ROW()),ovrTeamCol,0),MATCH(MID(INDEX(headerRow,1,COLUMN()),4,LEN(INDEX(headerRow,1,COLUMN()))),ovrHeaderRow,0))</f>
        <v>11.24</v>
      </c>
      <c r="CE63" s="12">
        <f>INDEX(ovrTable,MATCH(INDEX(oppCol24,ROW()),ovrTeamCol,0),MATCH(MID(INDEX(headerRow,1,COLUMN()),4,LEN(INDEX(headerRow,1,COLUMN()))),ovrHeaderRow,0))</f>
        <v>80</v>
      </c>
      <c r="CF63" s="12">
        <f>INDEX(ovrTable,MATCH(INDEX(oppCol24,ROW()),ovrTeamCol,0),MATCH(MID(INDEX(headerRow,1,COLUMN()),4,LEN(INDEX(headerRow,1,COLUMN()))),ovrHeaderRow,0))</f>
        <v>3.1</v>
      </c>
      <c r="CG63" s="12">
        <f>INDEX(ovrTable,MATCH(INDEX(oppCol24,ROW()),ovrTeamCol,0),MATCH(MID(INDEX(headerRow,1,COLUMN()),4,LEN(INDEX(headerRow,1,COLUMN()))),ovrHeaderRow,0))</f>
        <v>36.06</v>
      </c>
      <c r="CH63" s="12">
        <f>INDEX(ovrTable,MATCH(INDEX(oppCol24,ROW()),ovrTeamCol,0),MATCH(MID(INDEX(headerRow,1,COLUMN()),4,LEN(INDEX(headerRow,1,COLUMN()))),ovrHeaderRow,0))</f>
        <v>17.7</v>
      </c>
      <c r="CI63" s="12">
        <f>INDEX(ovrTable,MATCH(INDEX(oppCol24,ROW()),ovrTeamCol,0),MATCH(MID(INDEX(headerRow,1,COLUMN()),4,LEN(INDEX(headerRow,1,COLUMN()))),ovrHeaderRow,0))</f>
        <v>10.3</v>
      </c>
      <c r="CJ63" s="12">
        <f>INDEX(ovrTable,MATCH(INDEX(oppCol24,ROW()),ovrTeamCol,0),MATCH(MID(INDEX(headerRow,1,COLUMN()),4,LEN(INDEX(headerRow,1,COLUMN()))),ovrHeaderRow,0))</f>
        <v>6.7</v>
      </c>
      <c r="CK63" s="12">
        <f>INDEX(ovrTable,MATCH(INDEX(oppCol24,ROW()),ovrTeamCol,0),MATCH(MID(INDEX(headerRow,1,COLUMN()),4,LEN(INDEX(headerRow,1,COLUMN()))),ovrHeaderRow,0))</f>
        <v>16.350000000000001</v>
      </c>
      <c r="CL63" s="12">
        <f>INDEX(ovrTable,MATCH(INDEX(oppCol24,ROW()),ovrTeamCol,0),MATCH(MID(INDEX(headerRow,1,COLUMN()),4,LEN(INDEX(headerRow,1,COLUMN()))),ovrHeaderRow,0))</f>
        <v>9.6999999999999993</v>
      </c>
      <c r="CM63" s="12">
        <f>INDEX(ovrTable,MATCH(INDEX(oppCol24,ROW()),ovrTeamCol,0),MATCH(MID(INDEX(headerRow,1,COLUMN()),4,LEN(INDEX(headerRow,1,COLUMN()))),ovrHeaderRow,0))</f>
        <v>68.099999999999994</v>
      </c>
      <c r="CN63" s="12">
        <f>INDEX(ovrTable,MATCH(INDEX(oppCol24,ROW()),ovrTeamCol,0),MATCH(MID(INDEX(headerRow,1,COLUMN()),4,LEN(INDEX(headerRow,1,COLUMN()))),ovrHeaderRow,0))</f>
        <v>21</v>
      </c>
      <c r="CO63" s="12">
        <f>INDEX(ovrTable,MATCH(INDEX(oppCol24,ROW()),ovrTeamCol,0),MATCH(MID(INDEX(headerRow,1,COLUMN()),4,LEN(INDEX(headerRow,1,COLUMN()))),ovrHeaderRow,0))</f>
        <v>58.726899383983572</v>
      </c>
    </row>
    <row r="64" spans="1:93" x14ac:dyDescent="0.3">
      <c r="A64" s="6" t="s">
        <v>67</v>
      </c>
      <c r="B64" s="3">
        <v>13</v>
      </c>
      <c r="C64" s="13" t="s">
        <v>57</v>
      </c>
      <c r="D64" s="14">
        <v>32</v>
      </c>
      <c r="E64" s="23">
        <v>33.333333333333329</v>
      </c>
      <c r="F64" s="24">
        <v>16</v>
      </c>
      <c r="G64" s="23">
        <v>43.243243243243242</v>
      </c>
      <c r="H64" s="24">
        <v>37</v>
      </c>
      <c r="I64" s="25">
        <v>3.2857142857142856</v>
      </c>
      <c r="J64" s="24">
        <v>23</v>
      </c>
      <c r="K64" s="24">
        <v>35</v>
      </c>
      <c r="L64" s="24">
        <v>1</v>
      </c>
      <c r="M64" s="24">
        <v>60.3</v>
      </c>
      <c r="N64" s="24">
        <v>21</v>
      </c>
      <c r="O64" s="26">
        <v>0.52059999999999995</v>
      </c>
      <c r="P64" s="24">
        <v>17</v>
      </c>
      <c r="Q64" s="24">
        <v>41.1</v>
      </c>
      <c r="R64" s="24">
        <v>21</v>
      </c>
      <c r="S64" s="23">
        <v>56.521739130434781</v>
      </c>
      <c r="T64" s="24">
        <v>23</v>
      </c>
      <c r="U64" s="24">
        <v>13</v>
      </c>
      <c r="V64" s="24">
        <v>93</v>
      </c>
      <c r="W64" s="24">
        <v>14</v>
      </c>
      <c r="X64" s="24">
        <v>89</v>
      </c>
      <c r="Y64" s="24">
        <v>-9</v>
      </c>
      <c r="Z64" s="24">
        <v>35</v>
      </c>
      <c r="AA64" s="24">
        <v>-4</v>
      </c>
      <c r="AB64" s="24">
        <v>7</v>
      </c>
      <c r="AC64" s="24">
        <v>11</v>
      </c>
      <c r="AD64" s="24">
        <v>18</v>
      </c>
      <c r="AE64" s="24">
        <v>7</v>
      </c>
      <c r="AF64" s="46">
        <f t="shared" si="3"/>
        <v>76.917700729927006</v>
      </c>
      <c r="AG64" s="51">
        <f t="shared" ref="AG64" si="82">AVERAGE(AF64,AF65)</f>
        <v>78.89290923726864</v>
      </c>
      <c r="AH64" s="12">
        <f t="shared" si="78"/>
        <v>33.799999999999997</v>
      </c>
      <c r="AI64" s="12">
        <f t="shared" si="78"/>
        <v>10</v>
      </c>
      <c r="AJ64" s="12">
        <f t="shared" si="78"/>
        <v>39.5</v>
      </c>
      <c r="AK64" s="12">
        <f t="shared" si="78"/>
        <v>25.4</v>
      </c>
      <c r="AL64" s="12">
        <f t="shared" si="78"/>
        <v>1.36</v>
      </c>
      <c r="AM64" s="12">
        <f t="shared" si="78"/>
        <v>17.7</v>
      </c>
      <c r="AN64" s="12">
        <f t="shared" si="78"/>
        <v>33.29</v>
      </c>
      <c r="AO64" s="12">
        <f t="shared" si="78"/>
        <v>3.7</v>
      </c>
      <c r="AP64" s="12">
        <f t="shared" si="78"/>
        <v>43.4</v>
      </c>
      <c r="AQ64" s="12">
        <f t="shared" si="78"/>
        <v>25.17</v>
      </c>
      <c r="AR64" s="12">
        <f t="shared" si="79"/>
        <v>0.57099999999999995</v>
      </c>
      <c r="AS64" s="12">
        <f t="shared" si="79"/>
        <v>15.2</v>
      </c>
      <c r="AT64" s="12">
        <f t="shared" si="79"/>
        <v>49</v>
      </c>
      <c r="AU64" s="12">
        <f t="shared" si="79"/>
        <v>19.100000000000001</v>
      </c>
      <c r="AV64" s="12">
        <f t="shared" si="79"/>
        <v>72.3</v>
      </c>
      <c r="AW64" s="12">
        <f t="shared" si="79"/>
        <v>21.9</v>
      </c>
      <c r="AX64" s="12">
        <f t="shared" si="79"/>
        <v>15.8</v>
      </c>
      <c r="AY64" s="12">
        <f t="shared" si="79"/>
        <v>74.5</v>
      </c>
      <c r="AZ64" s="12">
        <f t="shared" si="79"/>
        <v>10.6</v>
      </c>
      <c r="BA64" s="12">
        <f t="shared" si="79"/>
        <v>86.1</v>
      </c>
      <c r="BB64" s="12">
        <f t="shared" si="80"/>
        <v>-0.1</v>
      </c>
      <c r="BC64" s="12">
        <f t="shared" si="80"/>
        <v>35.770000000000003</v>
      </c>
      <c r="BD64" s="12">
        <f t="shared" si="80"/>
        <v>11.6</v>
      </c>
      <c r="BE64" s="12">
        <f t="shared" si="80"/>
        <v>9.9</v>
      </c>
      <c r="BF64" s="12">
        <f t="shared" si="80"/>
        <v>3.7</v>
      </c>
      <c r="BG64" s="12">
        <f t="shared" si="80"/>
        <v>16.66</v>
      </c>
      <c r="BH64" s="12">
        <f t="shared" si="80"/>
        <v>13</v>
      </c>
      <c r="BI64" s="12">
        <f t="shared" si="80"/>
        <v>75.7</v>
      </c>
      <c r="BJ64" s="12">
        <f t="shared" si="80"/>
        <v>20.149999999999999</v>
      </c>
      <c r="BK64" s="12">
        <f t="shared" si="80"/>
        <v>61.530612244897959</v>
      </c>
      <c r="BL64" s="12">
        <f>INDEX(ovrTable,MATCH(INDEX(oppCol24,ROW()),ovrTeamCol,0),MATCH(MID(INDEX(headerRow,1,COLUMN()),4,LEN(INDEX(headerRow,1,COLUMN()))),ovrHeaderRow,0))</f>
        <v>34</v>
      </c>
      <c r="BM64" s="12">
        <f>INDEX(ovrTable,MATCH(INDEX(oppCol24,ROW()),ovrTeamCol,0),MATCH(MID(INDEX(headerRow,1,COLUMN()),4,LEN(INDEX(headerRow,1,COLUMN()))),ovrHeaderRow,0))</f>
        <v>5.7</v>
      </c>
      <c r="BN64" s="12">
        <f>INDEX(ovrTable,MATCH(INDEX(oppCol24,ROW()),ovrTeamCol,0),MATCH(MID(INDEX(headerRow,1,COLUMN()),4,LEN(INDEX(headerRow,1,COLUMN()))),ovrHeaderRow,0))</f>
        <v>33.200000000000003</v>
      </c>
      <c r="BO64" s="12">
        <f>INDEX(ovrTable,MATCH(INDEX(oppCol24,ROW()),ovrTeamCol,0),MATCH(MID(INDEX(headerRow,1,COLUMN()),4,LEN(INDEX(headerRow,1,COLUMN()))),ovrHeaderRow,0))</f>
        <v>17.3</v>
      </c>
      <c r="BP64" s="12">
        <f>INDEX(ovrTable,MATCH(INDEX(oppCol24,ROW()),ovrTeamCol,0),MATCH(MID(INDEX(headerRow,1,COLUMN()),4,LEN(INDEX(headerRow,1,COLUMN()))),ovrHeaderRow,0))</f>
        <v>1.63</v>
      </c>
      <c r="BQ64" s="12">
        <f>INDEX(ovrTable,MATCH(INDEX(oppCol24,ROW()),ovrTeamCol,0),MATCH(MID(INDEX(headerRow,1,COLUMN()),4,LEN(INDEX(headerRow,1,COLUMN()))),ovrHeaderRow,0))</f>
        <v>19</v>
      </c>
      <c r="BR64" s="12">
        <f>INDEX(ovrTable,MATCH(INDEX(oppCol24,ROW()),ovrTeamCol,0),MATCH(MID(INDEX(headerRow,1,COLUMN()),4,LEN(INDEX(headerRow,1,COLUMN()))),ovrHeaderRow,0))</f>
        <v>11.79</v>
      </c>
      <c r="BS64" s="12">
        <f>INDEX(ovrTable,MATCH(INDEX(oppCol24,ROW()),ovrTeamCol,0),MATCH(MID(INDEX(headerRow,1,COLUMN()),4,LEN(INDEX(headerRow,1,COLUMN()))),ovrHeaderRow,0))</f>
        <v>3.9</v>
      </c>
      <c r="BT64" s="12">
        <f>INDEX(ovrTable,MATCH(INDEX(oppCol24,ROW()),ovrTeamCol,0),MATCH(MID(INDEX(headerRow,1,COLUMN()),4,LEN(INDEX(headerRow,1,COLUMN()))),ovrHeaderRow,0))</f>
        <v>41</v>
      </c>
      <c r="BU64" s="12">
        <f>INDEX(ovrTable,MATCH(INDEX(oppCol24,ROW()),ovrTeamCol,0),MATCH(MID(INDEX(headerRow,1,COLUMN()),4,LEN(INDEX(headerRow,1,COLUMN()))),ovrHeaderRow,0))</f>
        <v>27.88</v>
      </c>
      <c r="BV64" s="12">
        <f>INDEX(ovrTable,MATCH(INDEX(oppCol24,ROW()),ovrTeamCol,0),MATCH(MID(INDEX(headerRow,1,COLUMN()),4,LEN(INDEX(headerRow,1,COLUMN()))),ovrHeaderRow,0))</f>
        <v>0.53800000000000003</v>
      </c>
      <c r="BW64" s="12">
        <f>INDEX(ovrTable,MATCH(INDEX(oppCol24,ROW()),ovrTeamCol,0),MATCH(MID(INDEX(headerRow,1,COLUMN()),4,LEN(INDEX(headerRow,1,COLUMN()))),ovrHeaderRow,0))</f>
        <v>12.82</v>
      </c>
      <c r="BX64" s="12">
        <f>INDEX(ovrTable,MATCH(INDEX(oppCol24,ROW()),ovrTeamCol,0),MATCH(MID(INDEX(headerRow,1,COLUMN()),4,LEN(INDEX(headerRow,1,COLUMN()))),ovrHeaderRow,0))</f>
        <v>48.8</v>
      </c>
      <c r="BY64" s="12">
        <f>INDEX(ovrTable,MATCH(INDEX(oppCol24,ROW()),ovrTeamCol,0),MATCH(MID(INDEX(headerRow,1,COLUMN()),4,LEN(INDEX(headerRow,1,COLUMN()))),ovrHeaderRow,0))</f>
        <v>14.8</v>
      </c>
      <c r="BZ64" s="12">
        <f>INDEX(ovrTable,MATCH(INDEX(oppCol24,ROW()),ovrTeamCol,0),MATCH(MID(INDEX(headerRow,1,COLUMN()),4,LEN(INDEX(headerRow,1,COLUMN()))),ovrHeaderRow,0))</f>
        <v>72.099999999999994</v>
      </c>
      <c r="CA64" s="12">
        <f>INDEX(ovrTable,MATCH(INDEX(oppCol24,ROW()),ovrTeamCol,0),MATCH(MID(INDEX(headerRow,1,COLUMN()),4,LEN(INDEX(headerRow,1,COLUMN()))),ovrHeaderRow,0))</f>
        <v>18.5</v>
      </c>
      <c r="CB64" s="12">
        <f>INDEX(ovrTable,MATCH(INDEX(oppCol24,ROW()),ovrTeamCol,0),MATCH(MID(INDEX(headerRow,1,COLUMN()),4,LEN(INDEX(headerRow,1,COLUMN()))),ovrHeaderRow,0))</f>
        <v>13.4</v>
      </c>
      <c r="CC64" s="12">
        <f>INDEX(ovrTable,MATCH(INDEX(oppCol24,ROW()),ovrTeamCol,0),MATCH(MID(INDEX(headerRow,1,COLUMN()),4,LEN(INDEX(headerRow,1,COLUMN()))),ovrHeaderRow,0))</f>
        <v>69.900000000000006</v>
      </c>
      <c r="CD64" s="12">
        <f>INDEX(ovrTable,MATCH(INDEX(oppCol24,ROW()),ovrTeamCol,0),MATCH(MID(INDEX(headerRow,1,COLUMN()),4,LEN(INDEX(headerRow,1,COLUMN()))),ovrHeaderRow,0))</f>
        <v>8.24</v>
      </c>
      <c r="CE64" s="12">
        <f>INDEX(ovrTable,MATCH(INDEX(oppCol24,ROW()),ovrTeamCol,0),MATCH(MID(INDEX(headerRow,1,COLUMN()),4,LEN(INDEX(headerRow,1,COLUMN()))),ovrHeaderRow,0))</f>
        <v>75.599999999999994</v>
      </c>
      <c r="CF64" s="12">
        <f>INDEX(ovrTable,MATCH(INDEX(oppCol24,ROW()),ovrTeamCol,0),MATCH(MID(INDEX(headerRow,1,COLUMN()),4,LEN(INDEX(headerRow,1,COLUMN()))),ovrHeaderRow,0))</f>
        <v>2.4</v>
      </c>
      <c r="CG64" s="12">
        <f>INDEX(ovrTable,MATCH(INDEX(oppCol24,ROW()),ovrTeamCol,0),MATCH(MID(INDEX(headerRow,1,COLUMN()),4,LEN(INDEX(headerRow,1,COLUMN()))),ovrHeaderRow,0))</f>
        <v>36.119999999999997</v>
      </c>
      <c r="CH64" s="12">
        <f>INDEX(ovrTable,MATCH(INDEX(oppCol24,ROW()),ovrTeamCol,0),MATCH(MID(INDEX(headerRow,1,COLUMN()),4,LEN(INDEX(headerRow,1,COLUMN()))),ovrHeaderRow,0))</f>
        <v>5.7</v>
      </c>
      <c r="CI64" s="12">
        <f>INDEX(ovrTable,MATCH(INDEX(oppCol24,ROW()),ovrTeamCol,0),MATCH(MID(INDEX(headerRow,1,COLUMN()),4,LEN(INDEX(headerRow,1,COLUMN()))),ovrHeaderRow,0))</f>
        <v>7.1</v>
      </c>
      <c r="CJ64" s="12">
        <f>INDEX(ovrTable,MATCH(INDEX(oppCol24,ROW()),ovrTeamCol,0),MATCH(MID(INDEX(headerRow,1,COLUMN()),4,LEN(INDEX(headerRow,1,COLUMN()))),ovrHeaderRow,0))</f>
        <v>-0.1</v>
      </c>
      <c r="CK64" s="12">
        <f>INDEX(ovrTable,MATCH(INDEX(oppCol24,ROW()),ovrTeamCol,0),MATCH(MID(INDEX(headerRow,1,COLUMN()),4,LEN(INDEX(headerRow,1,COLUMN()))),ovrHeaderRow,0))</f>
        <v>11.62</v>
      </c>
      <c r="CL64" s="12">
        <f>INDEX(ovrTable,MATCH(INDEX(oppCol24,ROW()),ovrTeamCol,0),MATCH(MID(INDEX(headerRow,1,COLUMN()),4,LEN(INDEX(headerRow,1,COLUMN()))),ovrHeaderRow,0))</f>
        <v>11.7</v>
      </c>
      <c r="CM64" s="12">
        <f>INDEX(ovrTable,MATCH(INDEX(oppCol24,ROW()),ovrTeamCol,0),MATCH(MID(INDEX(headerRow,1,COLUMN()),4,LEN(INDEX(headerRow,1,COLUMN()))),ovrHeaderRow,0))</f>
        <v>71.400000000000006</v>
      </c>
      <c r="CN64" s="12">
        <f>INDEX(ovrTable,MATCH(INDEX(oppCol24,ROW()),ovrTeamCol,0),MATCH(MID(INDEX(headerRow,1,COLUMN()),4,LEN(INDEX(headerRow,1,COLUMN()))),ovrHeaderRow,0))</f>
        <v>22.549999999999997</v>
      </c>
      <c r="CO64" s="12">
        <f>INDEX(ovrTable,MATCH(INDEX(oppCol24,ROW()),ovrTeamCol,0),MATCH(MID(INDEX(headerRow,1,COLUMN()),4,LEN(INDEX(headerRow,1,COLUMN()))),ovrHeaderRow,0))</f>
        <v>57.889344262295076</v>
      </c>
    </row>
    <row r="65" spans="1:93" x14ac:dyDescent="0.3">
      <c r="A65" s="6" t="s">
        <v>57</v>
      </c>
      <c r="B65" s="3">
        <v>4</v>
      </c>
      <c r="C65" s="13" t="s">
        <v>67</v>
      </c>
      <c r="D65" s="14">
        <v>32</v>
      </c>
      <c r="E65" s="23">
        <v>43.243243243243242</v>
      </c>
      <c r="F65" s="24">
        <v>6</v>
      </c>
      <c r="G65" s="23">
        <v>33.333333333333329</v>
      </c>
      <c r="H65" s="24">
        <v>18</v>
      </c>
      <c r="I65" s="25">
        <v>1.3888888888888888</v>
      </c>
      <c r="J65" s="24">
        <v>25</v>
      </c>
      <c r="K65" s="24">
        <v>6</v>
      </c>
      <c r="L65" s="24">
        <v>7</v>
      </c>
      <c r="M65" s="24">
        <v>41.1</v>
      </c>
      <c r="N65" s="24">
        <v>36</v>
      </c>
      <c r="O65" s="26">
        <v>0.65468571428571432</v>
      </c>
      <c r="P65" s="24">
        <v>24</v>
      </c>
      <c r="Q65" s="24">
        <v>60.3</v>
      </c>
      <c r="R65" s="24">
        <v>21</v>
      </c>
      <c r="S65" s="23">
        <v>62.962962962962962</v>
      </c>
      <c r="T65" s="24">
        <v>27</v>
      </c>
      <c r="U65" s="24">
        <v>17</v>
      </c>
      <c r="V65" s="24">
        <v>89</v>
      </c>
      <c r="W65" s="24">
        <v>8</v>
      </c>
      <c r="X65" s="24">
        <v>93</v>
      </c>
      <c r="Y65" s="24">
        <v>9</v>
      </c>
      <c r="Z65" s="24">
        <v>44</v>
      </c>
      <c r="AA65" s="24">
        <v>4</v>
      </c>
      <c r="AB65" s="24">
        <v>5</v>
      </c>
      <c r="AC65" s="24">
        <v>-11</v>
      </c>
      <c r="AD65" s="24">
        <v>7</v>
      </c>
      <c r="AE65" s="24">
        <v>18</v>
      </c>
      <c r="AF65" s="46">
        <f t="shared" si="3"/>
        <v>80.868117744610288</v>
      </c>
      <c r="AG65" s="51">
        <f t="shared" ref="AG65" si="83">AVERAGE(AF64,AF65)</f>
        <v>78.89290923726864</v>
      </c>
      <c r="AH65" s="12">
        <f t="shared" si="78"/>
        <v>34</v>
      </c>
      <c r="AI65" s="12">
        <f t="shared" si="78"/>
        <v>5.7</v>
      </c>
      <c r="AJ65" s="12">
        <f t="shared" si="78"/>
        <v>33.200000000000003</v>
      </c>
      <c r="AK65" s="12">
        <f t="shared" si="78"/>
        <v>17.3</v>
      </c>
      <c r="AL65" s="12">
        <f t="shared" si="78"/>
        <v>1.63</v>
      </c>
      <c r="AM65" s="12">
        <f t="shared" si="78"/>
        <v>19</v>
      </c>
      <c r="AN65" s="12">
        <f t="shared" si="78"/>
        <v>11.79</v>
      </c>
      <c r="AO65" s="12">
        <f t="shared" si="78"/>
        <v>3.9</v>
      </c>
      <c r="AP65" s="12">
        <f t="shared" si="78"/>
        <v>41</v>
      </c>
      <c r="AQ65" s="12">
        <f t="shared" si="78"/>
        <v>27.88</v>
      </c>
      <c r="AR65" s="12">
        <f t="shared" si="79"/>
        <v>0.53800000000000003</v>
      </c>
      <c r="AS65" s="12">
        <f t="shared" si="79"/>
        <v>12.82</v>
      </c>
      <c r="AT65" s="12">
        <f t="shared" si="79"/>
        <v>48.8</v>
      </c>
      <c r="AU65" s="12">
        <f t="shared" si="79"/>
        <v>14.8</v>
      </c>
      <c r="AV65" s="12">
        <f t="shared" si="79"/>
        <v>72.099999999999994</v>
      </c>
      <c r="AW65" s="12">
        <f t="shared" si="79"/>
        <v>18.5</v>
      </c>
      <c r="AX65" s="12">
        <f t="shared" si="79"/>
        <v>13.4</v>
      </c>
      <c r="AY65" s="12">
        <f t="shared" si="79"/>
        <v>69.900000000000006</v>
      </c>
      <c r="AZ65" s="12">
        <f t="shared" si="79"/>
        <v>8.24</v>
      </c>
      <c r="BA65" s="12">
        <f t="shared" si="79"/>
        <v>75.599999999999994</v>
      </c>
      <c r="BB65" s="12">
        <f t="shared" si="80"/>
        <v>2.4</v>
      </c>
      <c r="BC65" s="12">
        <f t="shared" si="80"/>
        <v>36.119999999999997</v>
      </c>
      <c r="BD65" s="12">
        <f t="shared" si="80"/>
        <v>5.7</v>
      </c>
      <c r="BE65" s="12">
        <f t="shared" si="80"/>
        <v>7.1</v>
      </c>
      <c r="BF65" s="12">
        <f t="shared" si="80"/>
        <v>-0.1</v>
      </c>
      <c r="BG65" s="12">
        <f t="shared" si="80"/>
        <v>11.62</v>
      </c>
      <c r="BH65" s="12">
        <f t="shared" si="80"/>
        <v>11.7</v>
      </c>
      <c r="BI65" s="12">
        <f t="shared" si="80"/>
        <v>71.400000000000006</v>
      </c>
      <c r="BJ65" s="12">
        <f t="shared" si="80"/>
        <v>22.549999999999997</v>
      </c>
      <c r="BK65" s="12">
        <f t="shared" si="80"/>
        <v>57.889344262295076</v>
      </c>
      <c r="BL65" s="12">
        <f>INDEX(ovrTable,MATCH(INDEX(oppCol24,ROW()),ovrTeamCol,0),MATCH(MID(INDEX(headerRow,1,COLUMN()),4,LEN(INDEX(headerRow,1,COLUMN()))),ovrHeaderRow,0))</f>
        <v>33.799999999999997</v>
      </c>
      <c r="BM65" s="12">
        <f>INDEX(ovrTable,MATCH(INDEX(oppCol24,ROW()),ovrTeamCol,0),MATCH(MID(INDEX(headerRow,1,COLUMN()),4,LEN(INDEX(headerRow,1,COLUMN()))),ovrHeaderRow,0))</f>
        <v>10</v>
      </c>
      <c r="BN65" s="12">
        <f>INDEX(ovrTable,MATCH(INDEX(oppCol24,ROW()),ovrTeamCol,0),MATCH(MID(INDEX(headerRow,1,COLUMN()),4,LEN(INDEX(headerRow,1,COLUMN()))),ovrHeaderRow,0))</f>
        <v>39.5</v>
      </c>
      <c r="BO65" s="12">
        <f>INDEX(ovrTable,MATCH(INDEX(oppCol24,ROW()),ovrTeamCol,0),MATCH(MID(INDEX(headerRow,1,COLUMN()),4,LEN(INDEX(headerRow,1,COLUMN()))),ovrHeaderRow,0))</f>
        <v>25.4</v>
      </c>
      <c r="BP65" s="12">
        <f>INDEX(ovrTable,MATCH(INDEX(oppCol24,ROW()),ovrTeamCol,0),MATCH(MID(INDEX(headerRow,1,COLUMN()),4,LEN(INDEX(headerRow,1,COLUMN()))),ovrHeaderRow,0))</f>
        <v>1.36</v>
      </c>
      <c r="BQ65" s="12">
        <f>INDEX(ovrTable,MATCH(INDEX(oppCol24,ROW()),ovrTeamCol,0),MATCH(MID(INDEX(headerRow,1,COLUMN()),4,LEN(INDEX(headerRow,1,COLUMN()))),ovrHeaderRow,0))</f>
        <v>17.7</v>
      </c>
      <c r="BR65" s="12">
        <f>INDEX(ovrTable,MATCH(INDEX(oppCol24,ROW()),ovrTeamCol,0),MATCH(MID(INDEX(headerRow,1,COLUMN()),4,LEN(INDEX(headerRow,1,COLUMN()))),ovrHeaderRow,0))</f>
        <v>33.29</v>
      </c>
      <c r="BS65" s="12">
        <f>INDEX(ovrTable,MATCH(INDEX(oppCol24,ROW()),ovrTeamCol,0),MATCH(MID(INDEX(headerRow,1,COLUMN()),4,LEN(INDEX(headerRow,1,COLUMN()))),ovrHeaderRow,0))</f>
        <v>3.7</v>
      </c>
      <c r="BT65" s="12">
        <f>INDEX(ovrTable,MATCH(INDEX(oppCol24,ROW()),ovrTeamCol,0),MATCH(MID(INDEX(headerRow,1,COLUMN()),4,LEN(INDEX(headerRow,1,COLUMN()))),ovrHeaderRow,0))</f>
        <v>43.4</v>
      </c>
      <c r="BU65" s="12">
        <f>INDEX(ovrTable,MATCH(INDEX(oppCol24,ROW()),ovrTeamCol,0),MATCH(MID(INDEX(headerRow,1,COLUMN()),4,LEN(INDEX(headerRow,1,COLUMN()))),ovrHeaderRow,0))</f>
        <v>25.17</v>
      </c>
      <c r="BV65" s="12">
        <f>INDEX(ovrTable,MATCH(INDEX(oppCol24,ROW()),ovrTeamCol,0),MATCH(MID(INDEX(headerRow,1,COLUMN()),4,LEN(INDEX(headerRow,1,COLUMN()))),ovrHeaderRow,0))</f>
        <v>0.57099999999999995</v>
      </c>
      <c r="BW65" s="12">
        <f>INDEX(ovrTable,MATCH(INDEX(oppCol24,ROW()),ovrTeamCol,0),MATCH(MID(INDEX(headerRow,1,COLUMN()),4,LEN(INDEX(headerRow,1,COLUMN()))),ovrHeaderRow,0))</f>
        <v>15.2</v>
      </c>
      <c r="BX65" s="12">
        <f>INDEX(ovrTable,MATCH(INDEX(oppCol24,ROW()),ovrTeamCol,0),MATCH(MID(INDEX(headerRow,1,COLUMN()),4,LEN(INDEX(headerRow,1,COLUMN()))),ovrHeaderRow,0))</f>
        <v>49</v>
      </c>
      <c r="BY65" s="12">
        <f>INDEX(ovrTable,MATCH(INDEX(oppCol24,ROW()),ovrTeamCol,0),MATCH(MID(INDEX(headerRow,1,COLUMN()),4,LEN(INDEX(headerRow,1,COLUMN()))),ovrHeaderRow,0))</f>
        <v>19.100000000000001</v>
      </c>
      <c r="BZ65" s="12">
        <f>INDEX(ovrTable,MATCH(INDEX(oppCol24,ROW()),ovrTeamCol,0),MATCH(MID(INDEX(headerRow,1,COLUMN()),4,LEN(INDEX(headerRow,1,COLUMN()))),ovrHeaderRow,0))</f>
        <v>72.3</v>
      </c>
      <c r="CA65" s="12">
        <f>INDEX(ovrTable,MATCH(INDEX(oppCol24,ROW()),ovrTeamCol,0),MATCH(MID(INDEX(headerRow,1,COLUMN()),4,LEN(INDEX(headerRow,1,COLUMN()))),ovrHeaderRow,0))</f>
        <v>21.9</v>
      </c>
      <c r="CB65" s="12">
        <f>INDEX(ovrTable,MATCH(INDEX(oppCol24,ROW()),ovrTeamCol,0),MATCH(MID(INDEX(headerRow,1,COLUMN()),4,LEN(INDEX(headerRow,1,COLUMN()))),ovrHeaderRow,0))</f>
        <v>15.8</v>
      </c>
      <c r="CC65" s="12">
        <f>INDEX(ovrTable,MATCH(INDEX(oppCol24,ROW()),ovrTeamCol,0),MATCH(MID(INDEX(headerRow,1,COLUMN()),4,LEN(INDEX(headerRow,1,COLUMN()))),ovrHeaderRow,0))</f>
        <v>74.5</v>
      </c>
      <c r="CD65" s="12">
        <f>INDEX(ovrTable,MATCH(INDEX(oppCol24,ROW()),ovrTeamCol,0),MATCH(MID(INDEX(headerRow,1,COLUMN()),4,LEN(INDEX(headerRow,1,COLUMN()))),ovrHeaderRow,0))</f>
        <v>10.6</v>
      </c>
      <c r="CE65" s="12">
        <f>INDEX(ovrTable,MATCH(INDEX(oppCol24,ROW()),ovrTeamCol,0),MATCH(MID(INDEX(headerRow,1,COLUMN()),4,LEN(INDEX(headerRow,1,COLUMN()))),ovrHeaderRow,0))</f>
        <v>86.1</v>
      </c>
      <c r="CF65" s="12">
        <f>INDEX(ovrTable,MATCH(INDEX(oppCol24,ROW()),ovrTeamCol,0),MATCH(MID(INDEX(headerRow,1,COLUMN()),4,LEN(INDEX(headerRow,1,COLUMN()))),ovrHeaderRow,0))</f>
        <v>-0.1</v>
      </c>
      <c r="CG65" s="12">
        <f>INDEX(ovrTable,MATCH(INDEX(oppCol24,ROW()),ovrTeamCol,0),MATCH(MID(INDEX(headerRow,1,COLUMN()),4,LEN(INDEX(headerRow,1,COLUMN()))),ovrHeaderRow,0))</f>
        <v>35.770000000000003</v>
      </c>
      <c r="CH65" s="12">
        <f>INDEX(ovrTable,MATCH(INDEX(oppCol24,ROW()),ovrTeamCol,0),MATCH(MID(INDEX(headerRow,1,COLUMN()),4,LEN(INDEX(headerRow,1,COLUMN()))),ovrHeaderRow,0))</f>
        <v>11.6</v>
      </c>
      <c r="CI65" s="12">
        <f>INDEX(ovrTable,MATCH(INDEX(oppCol24,ROW()),ovrTeamCol,0),MATCH(MID(INDEX(headerRow,1,COLUMN()),4,LEN(INDEX(headerRow,1,COLUMN()))),ovrHeaderRow,0))</f>
        <v>9.9</v>
      </c>
      <c r="CJ65" s="12">
        <f>INDEX(ovrTable,MATCH(INDEX(oppCol24,ROW()),ovrTeamCol,0),MATCH(MID(INDEX(headerRow,1,COLUMN()),4,LEN(INDEX(headerRow,1,COLUMN()))),ovrHeaderRow,0))</f>
        <v>3.7</v>
      </c>
      <c r="CK65" s="12">
        <f>INDEX(ovrTable,MATCH(INDEX(oppCol24,ROW()),ovrTeamCol,0),MATCH(MID(INDEX(headerRow,1,COLUMN()),4,LEN(INDEX(headerRow,1,COLUMN()))),ovrHeaderRow,0))</f>
        <v>16.66</v>
      </c>
      <c r="CL65" s="12">
        <f>INDEX(ovrTable,MATCH(INDEX(oppCol24,ROW()),ovrTeamCol,0),MATCH(MID(INDEX(headerRow,1,COLUMN()),4,LEN(INDEX(headerRow,1,COLUMN()))),ovrHeaderRow,0))</f>
        <v>13</v>
      </c>
      <c r="CM65" s="12">
        <f>INDEX(ovrTable,MATCH(INDEX(oppCol24,ROW()),ovrTeamCol,0),MATCH(MID(INDEX(headerRow,1,COLUMN()),4,LEN(INDEX(headerRow,1,COLUMN()))),ovrHeaderRow,0))</f>
        <v>75.7</v>
      </c>
      <c r="CN65" s="12">
        <f>INDEX(ovrTable,MATCH(INDEX(oppCol24,ROW()),ovrTeamCol,0),MATCH(MID(INDEX(headerRow,1,COLUMN()),4,LEN(INDEX(headerRow,1,COLUMN()))),ovrHeaderRow,0))</f>
        <v>20.149999999999999</v>
      </c>
      <c r="CO65" s="12">
        <f>INDEX(ovrTable,MATCH(INDEX(oppCol24,ROW()),ovrTeamCol,0),MATCH(MID(INDEX(headerRow,1,COLUMN()),4,LEN(INDEX(headerRow,1,COLUMN()))),ovrHeaderRow,0))</f>
        <v>61.530612244897959</v>
      </c>
    </row>
    <row r="66" spans="1:93" x14ac:dyDescent="0.3">
      <c r="A66" s="6" t="s">
        <v>59</v>
      </c>
      <c r="B66" s="3">
        <v>6</v>
      </c>
      <c r="C66" s="13" t="s">
        <v>65</v>
      </c>
      <c r="D66" s="14">
        <v>33</v>
      </c>
      <c r="E66" s="23">
        <v>43.75</v>
      </c>
      <c r="F66" s="24">
        <v>11</v>
      </c>
      <c r="G66" s="23">
        <v>45.833333333333329</v>
      </c>
      <c r="H66" s="24">
        <v>24</v>
      </c>
      <c r="I66" s="25">
        <v>1.5454545454545454</v>
      </c>
      <c r="J66" s="24">
        <v>17</v>
      </c>
      <c r="K66" s="24">
        <v>9</v>
      </c>
      <c r="L66" s="24">
        <v>3</v>
      </c>
      <c r="M66" s="24">
        <v>59.6</v>
      </c>
      <c r="N66" s="24">
        <v>18</v>
      </c>
      <c r="O66" s="26">
        <v>0.54411999999999994</v>
      </c>
      <c r="P66" s="24">
        <v>5</v>
      </c>
      <c r="Q66" s="24">
        <v>44.6</v>
      </c>
      <c r="R66" s="24">
        <v>22</v>
      </c>
      <c r="S66" s="23">
        <v>63.157894736842103</v>
      </c>
      <c r="T66" s="24">
        <v>19</v>
      </c>
      <c r="U66" s="24">
        <v>12</v>
      </c>
      <c r="V66" s="24">
        <v>87</v>
      </c>
      <c r="W66" s="24">
        <v>8</v>
      </c>
      <c r="X66" s="24">
        <v>73</v>
      </c>
      <c r="Y66" s="24">
        <v>-6</v>
      </c>
      <c r="Z66" s="24">
        <v>26</v>
      </c>
      <c r="AA66" s="24">
        <v>-14</v>
      </c>
      <c r="AB66" s="24">
        <v>3</v>
      </c>
      <c r="AC66" s="24">
        <v>-1</v>
      </c>
      <c r="AD66" s="24">
        <v>10</v>
      </c>
      <c r="AE66" s="24">
        <v>11</v>
      </c>
      <c r="AF66" s="46">
        <f t="shared" si="3"/>
        <v>68.078811659192823</v>
      </c>
      <c r="AG66" s="51">
        <f t="shared" ref="AG66" si="84">AVERAGE(AF66,AF67)</f>
        <v>67.154338715502462</v>
      </c>
      <c r="AH66" s="12">
        <f t="shared" si="78"/>
        <v>33.9</v>
      </c>
      <c r="AI66" s="12">
        <f t="shared" si="78"/>
        <v>8.1</v>
      </c>
      <c r="AJ66" s="12">
        <f t="shared" si="78"/>
        <v>33.9</v>
      </c>
      <c r="AK66" s="12">
        <f t="shared" si="78"/>
        <v>23.8</v>
      </c>
      <c r="AL66" s="12">
        <f t="shared" si="78"/>
        <v>1.52</v>
      </c>
      <c r="AM66" s="12">
        <f t="shared" si="78"/>
        <v>15.4</v>
      </c>
      <c r="AN66" s="12">
        <f t="shared" si="78"/>
        <v>17.760000000000002</v>
      </c>
      <c r="AO66" s="12">
        <f t="shared" si="78"/>
        <v>3.2</v>
      </c>
      <c r="AP66" s="12">
        <f t="shared" si="78"/>
        <v>43.1</v>
      </c>
      <c r="AQ66" s="12">
        <f t="shared" si="78"/>
        <v>24.21</v>
      </c>
      <c r="AR66" s="12">
        <f t="shared" si="79"/>
        <v>0.50900000000000001</v>
      </c>
      <c r="AS66" s="12">
        <f t="shared" si="79"/>
        <v>5.0599999999999996</v>
      </c>
      <c r="AT66" s="12">
        <f t="shared" si="79"/>
        <v>43.9</v>
      </c>
      <c r="AU66" s="12">
        <f t="shared" si="79"/>
        <v>16.2</v>
      </c>
      <c r="AV66" s="12">
        <f t="shared" si="79"/>
        <v>71.099999999999994</v>
      </c>
      <c r="AW66" s="12">
        <f t="shared" si="79"/>
        <v>18.399999999999999</v>
      </c>
      <c r="AX66" s="12">
        <f t="shared" si="79"/>
        <v>13.1</v>
      </c>
      <c r="AY66" s="12">
        <f t="shared" si="79"/>
        <v>67.599999999999994</v>
      </c>
      <c r="AZ66" s="12">
        <f t="shared" si="79"/>
        <v>11.38</v>
      </c>
      <c r="BA66" s="12">
        <f t="shared" si="79"/>
        <v>72.099999999999994</v>
      </c>
      <c r="BB66" s="12">
        <f t="shared" si="80"/>
        <v>2.9</v>
      </c>
      <c r="BC66" s="12">
        <f t="shared" si="80"/>
        <v>35.590000000000003</v>
      </c>
      <c r="BD66" s="12">
        <f t="shared" si="80"/>
        <v>4.5</v>
      </c>
      <c r="BE66" s="12">
        <f t="shared" si="80"/>
        <v>4.8</v>
      </c>
      <c r="BF66" s="12">
        <f t="shared" si="80"/>
        <v>-0.4</v>
      </c>
      <c r="BG66" s="12">
        <f t="shared" si="80"/>
        <v>9.76</v>
      </c>
      <c r="BH66" s="12">
        <f t="shared" si="80"/>
        <v>10.1</v>
      </c>
      <c r="BI66" s="12">
        <f t="shared" si="80"/>
        <v>67.2</v>
      </c>
      <c r="BJ66" s="12">
        <f t="shared" si="80"/>
        <v>17.349999999999998</v>
      </c>
      <c r="BK66" s="12">
        <f t="shared" si="80"/>
        <v>57.972665148063776</v>
      </c>
      <c r="BL66" s="12">
        <f>INDEX(ovrTable,MATCH(INDEX(oppCol24,ROW()),ovrTeamCol,0),MATCH(MID(INDEX(headerRow,1,COLUMN()),4,LEN(INDEX(headerRow,1,COLUMN()))),ovrHeaderRow,0))</f>
        <v>35</v>
      </c>
      <c r="BM66" s="12">
        <f>INDEX(ovrTable,MATCH(INDEX(oppCol24,ROW()),ovrTeamCol,0),MATCH(MID(INDEX(headerRow,1,COLUMN()),4,LEN(INDEX(headerRow,1,COLUMN()))),ovrHeaderRow,0))</f>
        <v>7.3</v>
      </c>
      <c r="BN66" s="12">
        <f>INDEX(ovrTable,MATCH(INDEX(oppCol24,ROW()),ovrTeamCol,0),MATCH(MID(INDEX(headerRow,1,COLUMN()),4,LEN(INDEX(headerRow,1,COLUMN()))),ovrHeaderRow,0))</f>
        <v>33.799999999999997</v>
      </c>
      <c r="BO66" s="12">
        <f>INDEX(ovrTable,MATCH(INDEX(oppCol24,ROW()),ovrTeamCol,0),MATCH(MID(INDEX(headerRow,1,COLUMN()),4,LEN(INDEX(headerRow,1,COLUMN()))),ovrHeaderRow,0))</f>
        <v>21.6</v>
      </c>
      <c r="BP66" s="12">
        <f>INDEX(ovrTable,MATCH(INDEX(oppCol24,ROW()),ovrTeamCol,0),MATCH(MID(INDEX(headerRow,1,COLUMN()),4,LEN(INDEX(headerRow,1,COLUMN()))),ovrHeaderRow,0))</f>
        <v>1.36</v>
      </c>
      <c r="BQ66" s="12">
        <f>INDEX(ovrTable,MATCH(INDEX(oppCol24,ROW()),ovrTeamCol,0),MATCH(MID(INDEX(headerRow,1,COLUMN()),4,LEN(INDEX(headerRow,1,COLUMN()))),ovrHeaderRow,0))</f>
        <v>13.8</v>
      </c>
      <c r="BR66" s="12">
        <f>INDEX(ovrTable,MATCH(INDEX(oppCol24,ROW()),ovrTeamCol,0),MATCH(MID(INDEX(headerRow,1,COLUMN()),4,LEN(INDEX(headerRow,1,COLUMN()))),ovrHeaderRow,0))</f>
        <v>18.25</v>
      </c>
      <c r="BS66" s="12">
        <f>INDEX(ovrTable,MATCH(INDEX(oppCol24,ROW()),ovrTeamCol,0),MATCH(MID(INDEX(headerRow,1,COLUMN()),4,LEN(INDEX(headerRow,1,COLUMN()))),ovrHeaderRow,0))</f>
        <v>3.6</v>
      </c>
      <c r="BT66" s="12">
        <f>INDEX(ovrTable,MATCH(INDEX(oppCol24,ROW()),ovrTeamCol,0),MATCH(MID(INDEX(headerRow,1,COLUMN()),4,LEN(INDEX(headerRow,1,COLUMN()))),ovrHeaderRow,0))</f>
        <v>45.1</v>
      </c>
      <c r="BU66" s="12">
        <f>INDEX(ovrTable,MATCH(INDEX(oppCol24,ROW()),ovrTeamCol,0),MATCH(MID(INDEX(headerRow,1,COLUMN()),4,LEN(INDEX(headerRow,1,COLUMN()))),ovrHeaderRow,0))</f>
        <v>24.47</v>
      </c>
      <c r="BV66" s="12">
        <f>INDEX(ovrTable,MATCH(INDEX(oppCol24,ROW()),ovrTeamCol,0),MATCH(MID(INDEX(headerRow,1,COLUMN()),4,LEN(INDEX(headerRow,1,COLUMN()))),ovrHeaderRow,0))</f>
        <v>0.51900000000000002</v>
      </c>
      <c r="BW66" s="12">
        <f>INDEX(ovrTable,MATCH(INDEX(oppCol24,ROW()),ovrTeamCol,0),MATCH(MID(INDEX(headerRow,1,COLUMN()),4,LEN(INDEX(headerRow,1,COLUMN()))),ovrHeaderRow,0))</f>
        <v>9.7200000000000006</v>
      </c>
      <c r="BX66" s="12">
        <f>INDEX(ovrTable,MATCH(INDEX(oppCol24,ROW()),ovrTeamCol,0),MATCH(MID(INDEX(headerRow,1,COLUMN()),4,LEN(INDEX(headerRow,1,COLUMN()))),ovrHeaderRow,0))</f>
        <v>45.8</v>
      </c>
      <c r="BY66" s="12">
        <f>INDEX(ovrTable,MATCH(INDEX(oppCol24,ROW()),ovrTeamCol,0),MATCH(MID(INDEX(headerRow,1,COLUMN()),4,LEN(INDEX(headerRow,1,COLUMN()))),ovrHeaderRow,0))</f>
        <v>16.399999999999999</v>
      </c>
      <c r="BZ66" s="12">
        <f>INDEX(ovrTable,MATCH(INDEX(oppCol24,ROW()),ovrTeamCol,0),MATCH(MID(INDEX(headerRow,1,COLUMN()),4,LEN(INDEX(headerRow,1,COLUMN()))),ovrHeaderRow,0))</f>
        <v>71.900000000000006</v>
      </c>
      <c r="CA66" s="12">
        <f>INDEX(ovrTable,MATCH(INDEX(oppCol24,ROW()),ovrTeamCol,0),MATCH(MID(INDEX(headerRow,1,COLUMN()),4,LEN(INDEX(headerRow,1,COLUMN()))),ovrHeaderRow,0))</f>
        <v>19.100000000000001</v>
      </c>
      <c r="CB66" s="12">
        <f>INDEX(ovrTable,MATCH(INDEX(oppCol24,ROW()),ovrTeamCol,0),MATCH(MID(INDEX(headerRow,1,COLUMN()),4,LEN(INDEX(headerRow,1,COLUMN()))),ovrHeaderRow,0))</f>
        <v>13.7</v>
      </c>
      <c r="CC66" s="12">
        <f>INDEX(ovrTable,MATCH(INDEX(oppCol24,ROW()),ovrTeamCol,0),MATCH(MID(INDEX(headerRow,1,COLUMN()),4,LEN(INDEX(headerRow,1,COLUMN()))),ovrHeaderRow,0))</f>
        <v>72.3</v>
      </c>
      <c r="CD66" s="12">
        <f>INDEX(ovrTable,MATCH(INDEX(oppCol24,ROW()),ovrTeamCol,0),MATCH(MID(INDEX(headerRow,1,COLUMN()),4,LEN(INDEX(headerRow,1,COLUMN()))),ovrHeaderRow,0))</f>
        <v>9.92</v>
      </c>
      <c r="CE66" s="12">
        <f>INDEX(ovrTable,MATCH(INDEX(oppCol24,ROW()),ovrTeamCol,0),MATCH(MID(INDEX(headerRow,1,COLUMN()),4,LEN(INDEX(headerRow,1,COLUMN()))),ovrHeaderRow,0))</f>
        <v>75.599999999999994</v>
      </c>
      <c r="CF66" s="12">
        <f>INDEX(ovrTable,MATCH(INDEX(oppCol24,ROW()),ovrTeamCol,0),MATCH(MID(INDEX(headerRow,1,COLUMN()),4,LEN(INDEX(headerRow,1,COLUMN()))),ovrHeaderRow,0))</f>
        <v>0.5</v>
      </c>
      <c r="CG66" s="12">
        <f>INDEX(ovrTable,MATCH(INDEX(oppCol24,ROW()),ovrTeamCol,0),MATCH(MID(INDEX(headerRow,1,COLUMN()),4,LEN(INDEX(headerRow,1,COLUMN()))),ovrHeaderRow,0))</f>
        <v>34.39</v>
      </c>
      <c r="CH66" s="12">
        <f>INDEX(ovrTable,MATCH(INDEX(oppCol24,ROW()),ovrTeamCol,0),MATCH(MID(INDEX(headerRow,1,COLUMN()),4,LEN(INDEX(headerRow,1,COLUMN()))),ovrHeaderRow,0))</f>
        <v>3.3</v>
      </c>
      <c r="CI66" s="12">
        <f>INDEX(ovrTable,MATCH(INDEX(oppCol24,ROW()),ovrTeamCol,0),MATCH(MID(INDEX(headerRow,1,COLUMN()),4,LEN(INDEX(headerRow,1,COLUMN()))),ovrHeaderRow,0))</f>
        <v>7.2</v>
      </c>
      <c r="CJ66" s="12">
        <f>INDEX(ovrTable,MATCH(INDEX(oppCol24,ROW()),ovrTeamCol,0),MATCH(MID(INDEX(headerRow,1,COLUMN()),4,LEN(INDEX(headerRow,1,COLUMN()))),ovrHeaderRow,0))</f>
        <v>2.1</v>
      </c>
      <c r="CK66" s="12">
        <f>INDEX(ovrTable,MATCH(INDEX(oppCol24,ROW()),ovrTeamCol,0),MATCH(MID(INDEX(headerRow,1,COLUMN()),4,LEN(INDEX(headerRow,1,COLUMN()))),ovrHeaderRow,0))</f>
        <v>12.28</v>
      </c>
      <c r="CL66" s="12">
        <f>INDEX(ovrTable,MATCH(INDEX(oppCol24,ROW()),ovrTeamCol,0),MATCH(MID(INDEX(headerRow,1,COLUMN()),4,LEN(INDEX(headerRow,1,COLUMN()))),ovrHeaderRow,0))</f>
        <v>10.199999999999999</v>
      </c>
      <c r="CM66" s="12">
        <f>INDEX(ovrTable,MATCH(INDEX(oppCol24,ROW()),ovrTeamCol,0),MATCH(MID(INDEX(headerRow,1,COLUMN()),4,LEN(INDEX(headerRow,1,COLUMN()))),ovrHeaderRow,0))</f>
        <v>70.599999999999994</v>
      </c>
      <c r="CN66" s="12">
        <f>INDEX(ovrTable,MATCH(INDEX(oppCol24,ROW()),ovrTeamCol,0),MATCH(MID(INDEX(headerRow,1,COLUMN()),4,LEN(INDEX(headerRow,1,COLUMN()))),ovrHeaderRow,0))</f>
        <v>19.999999999999996</v>
      </c>
      <c r="CO66" s="12">
        <f>INDEX(ovrTable,MATCH(INDEX(oppCol24,ROW()),ovrTeamCol,0),MATCH(MID(INDEX(headerRow,1,COLUMN()),4,LEN(INDEX(headerRow,1,COLUMN()))),ovrHeaderRow,0))</f>
        <v>59.60698689956331</v>
      </c>
    </row>
    <row r="67" spans="1:93" x14ac:dyDescent="0.3">
      <c r="A67" s="6" t="s">
        <v>65</v>
      </c>
      <c r="B67" s="3">
        <v>11</v>
      </c>
      <c r="C67" s="13" t="s">
        <v>59</v>
      </c>
      <c r="D67" s="14">
        <v>33</v>
      </c>
      <c r="E67" s="23">
        <v>45.833333333333329</v>
      </c>
      <c r="F67" s="24">
        <v>7</v>
      </c>
      <c r="G67" s="23">
        <v>43.75</v>
      </c>
      <c r="H67" s="24">
        <v>16</v>
      </c>
      <c r="I67" s="25">
        <v>1.6</v>
      </c>
      <c r="J67" s="24">
        <v>16</v>
      </c>
      <c r="K67" s="24">
        <v>2</v>
      </c>
      <c r="L67" s="24">
        <v>6</v>
      </c>
      <c r="M67" s="24">
        <v>44.6</v>
      </c>
      <c r="N67" s="24">
        <v>27</v>
      </c>
      <c r="O67" s="26">
        <v>0.67049999999999998</v>
      </c>
      <c r="P67" s="24">
        <v>7</v>
      </c>
      <c r="Q67" s="24">
        <v>59.6</v>
      </c>
      <c r="R67" s="24">
        <v>15</v>
      </c>
      <c r="S67" s="23">
        <v>80</v>
      </c>
      <c r="T67" s="24">
        <v>30</v>
      </c>
      <c r="U67" s="24">
        <v>24</v>
      </c>
      <c r="V67" s="24">
        <v>73</v>
      </c>
      <c r="W67" s="24">
        <v>5</v>
      </c>
      <c r="X67" s="24">
        <v>87</v>
      </c>
      <c r="Y67" s="24">
        <v>6</v>
      </c>
      <c r="Z67" s="24">
        <v>32</v>
      </c>
      <c r="AA67" s="24">
        <v>14</v>
      </c>
      <c r="AB67" s="24">
        <v>8</v>
      </c>
      <c r="AC67" s="24">
        <v>1</v>
      </c>
      <c r="AD67" s="24">
        <v>11</v>
      </c>
      <c r="AE67" s="24">
        <v>10</v>
      </c>
      <c r="AF67" s="46">
        <f t="shared" ref="AF67:AF130" si="85">(ROUND(((X67-U67-3*F67)/2),0)+F67)/Q67*100-W67+AE67+T67*0.475</f>
        <v>66.229865771812086</v>
      </c>
      <c r="AG67" s="51">
        <f t="shared" ref="AG67" si="86">AVERAGE(AF66,AF67)</f>
        <v>67.154338715502462</v>
      </c>
      <c r="AH67" s="12">
        <f t="shared" si="78"/>
        <v>35</v>
      </c>
      <c r="AI67" s="12">
        <f t="shared" si="78"/>
        <v>7.3</v>
      </c>
      <c r="AJ67" s="12">
        <f t="shared" si="78"/>
        <v>33.799999999999997</v>
      </c>
      <c r="AK67" s="12">
        <f t="shared" si="78"/>
        <v>21.6</v>
      </c>
      <c r="AL67" s="12">
        <f t="shared" si="78"/>
        <v>1.36</v>
      </c>
      <c r="AM67" s="12">
        <f t="shared" si="78"/>
        <v>13.8</v>
      </c>
      <c r="AN67" s="12">
        <f t="shared" si="78"/>
        <v>18.25</v>
      </c>
      <c r="AO67" s="12">
        <f t="shared" si="78"/>
        <v>3.6</v>
      </c>
      <c r="AP67" s="12">
        <f t="shared" si="78"/>
        <v>45.1</v>
      </c>
      <c r="AQ67" s="12">
        <f t="shared" si="78"/>
        <v>24.47</v>
      </c>
      <c r="AR67" s="12">
        <f t="shared" si="79"/>
        <v>0.51900000000000002</v>
      </c>
      <c r="AS67" s="12">
        <f t="shared" si="79"/>
        <v>9.7200000000000006</v>
      </c>
      <c r="AT67" s="12">
        <f t="shared" si="79"/>
        <v>45.8</v>
      </c>
      <c r="AU67" s="12">
        <f t="shared" si="79"/>
        <v>16.399999999999999</v>
      </c>
      <c r="AV67" s="12">
        <f t="shared" si="79"/>
        <v>71.900000000000006</v>
      </c>
      <c r="AW67" s="12">
        <f t="shared" si="79"/>
        <v>19.100000000000001</v>
      </c>
      <c r="AX67" s="12">
        <f t="shared" si="79"/>
        <v>13.7</v>
      </c>
      <c r="AY67" s="12">
        <f t="shared" si="79"/>
        <v>72.3</v>
      </c>
      <c r="AZ67" s="12">
        <f t="shared" si="79"/>
        <v>9.92</v>
      </c>
      <c r="BA67" s="12">
        <f t="shared" si="79"/>
        <v>75.599999999999994</v>
      </c>
      <c r="BB67" s="12">
        <f t="shared" si="80"/>
        <v>0.5</v>
      </c>
      <c r="BC67" s="12">
        <f t="shared" si="80"/>
        <v>34.39</v>
      </c>
      <c r="BD67" s="12">
        <f t="shared" si="80"/>
        <v>3.3</v>
      </c>
      <c r="BE67" s="12">
        <f t="shared" si="80"/>
        <v>7.2</v>
      </c>
      <c r="BF67" s="12">
        <f t="shared" si="80"/>
        <v>2.1</v>
      </c>
      <c r="BG67" s="12">
        <f t="shared" si="80"/>
        <v>12.28</v>
      </c>
      <c r="BH67" s="12">
        <f t="shared" si="80"/>
        <v>10.199999999999999</v>
      </c>
      <c r="BI67" s="12">
        <f t="shared" si="80"/>
        <v>70.599999999999994</v>
      </c>
      <c r="BJ67" s="12">
        <f t="shared" si="80"/>
        <v>19.999999999999996</v>
      </c>
      <c r="BK67" s="12">
        <f t="shared" si="80"/>
        <v>59.60698689956331</v>
      </c>
      <c r="BL67" s="12">
        <f>INDEX(ovrTable,MATCH(INDEX(oppCol24,ROW()),ovrTeamCol,0),MATCH(MID(INDEX(headerRow,1,COLUMN()),4,LEN(INDEX(headerRow,1,COLUMN()))),ovrHeaderRow,0))</f>
        <v>33.9</v>
      </c>
      <c r="BM67" s="12">
        <f>INDEX(ovrTable,MATCH(INDEX(oppCol24,ROW()),ovrTeamCol,0),MATCH(MID(INDEX(headerRow,1,COLUMN()),4,LEN(INDEX(headerRow,1,COLUMN()))),ovrHeaderRow,0))</f>
        <v>8.1</v>
      </c>
      <c r="BN67" s="12">
        <f>INDEX(ovrTable,MATCH(INDEX(oppCol24,ROW()),ovrTeamCol,0),MATCH(MID(INDEX(headerRow,1,COLUMN()),4,LEN(INDEX(headerRow,1,COLUMN()))),ovrHeaderRow,0))</f>
        <v>33.9</v>
      </c>
      <c r="BO67" s="12">
        <f>INDEX(ovrTable,MATCH(INDEX(oppCol24,ROW()),ovrTeamCol,0),MATCH(MID(INDEX(headerRow,1,COLUMN()),4,LEN(INDEX(headerRow,1,COLUMN()))),ovrHeaderRow,0))</f>
        <v>23.8</v>
      </c>
      <c r="BP67" s="12">
        <f>INDEX(ovrTable,MATCH(INDEX(oppCol24,ROW()),ovrTeamCol,0),MATCH(MID(INDEX(headerRow,1,COLUMN()),4,LEN(INDEX(headerRow,1,COLUMN()))),ovrHeaderRow,0))</f>
        <v>1.52</v>
      </c>
      <c r="BQ67" s="12">
        <f>INDEX(ovrTable,MATCH(INDEX(oppCol24,ROW()),ovrTeamCol,0),MATCH(MID(INDEX(headerRow,1,COLUMN()),4,LEN(INDEX(headerRow,1,COLUMN()))),ovrHeaderRow,0))</f>
        <v>15.4</v>
      </c>
      <c r="BR67" s="12">
        <f>INDEX(ovrTable,MATCH(INDEX(oppCol24,ROW()),ovrTeamCol,0),MATCH(MID(INDEX(headerRow,1,COLUMN()),4,LEN(INDEX(headerRow,1,COLUMN()))),ovrHeaderRow,0))</f>
        <v>17.760000000000002</v>
      </c>
      <c r="BS67" s="12">
        <f>INDEX(ovrTable,MATCH(INDEX(oppCol24,ROW()),ovrTeamCol,0),MATCH(MID(INDEX(headerRow,1,COLUMN()),4,LEN(INDEX(headerRow,1,COLUMN()))),ovrHeaderRow,0))</f>
        <v>3.2</v>
      </c>
      <c r="BT67" s="12">
        <f>INDEX(ovrTable,MATCH(INDEX(oppCol24,ROW()),ovrTeamCol,0),MATCH(MID(INDEX(headerRow,1,COLUMN()),4,LEN(INDEX(headerRow,1,COLUMN()))),ovrHeaderRow,0))</f>
        <v>43.1</v>
      </c>
      <c r="BU67" s="12">
        <f>INDEX(ovrTable,MATCH(INDEX(oppCol24,ROW()),ovrTeamCol,0),MATCH(MID(INDEX(headerRow,1,COLUMN()),4,LEN(INDEX(headerRow,1,COLUMN()))),ovrHeaderRow,0))</f>
        <v>24.21</v>
      </c>
      <c r="BV67" s="12">
        <f>INDEX(ovrTable,MATCH(INDEX(oppCol24,ROW()),ovrTeamCol,0),MATCH(MID(INDEX(headerRow,1,COLUMN()),4,LEN(INDEX(headerRow,1,COLUMN()))),ovrHeaderRow,0))</f>
        <v>0.50900000000000001</v>
      </c>
      <c r="BW67" s="12">
        <f>INDEX(ovrTable,MATCH(INDEX(oppCol24,ROW()),ovrTeamCol,0),MATCH(MID(INDEX(headerRow,1,COLUMN()),4,LEN(INDEX(headerRow,1,COLUMN()))),ovrHeaderRow,0))</f>
        <v>5.0599999999999996</v>
      </c>
      <c r="BX67" s="12">
        <f>INDEX(ovrTable,MATCH(INDEX(oppCol24,ROW()),ovrTeamCol,0),MATCH(MID(INDEX(headerRow,1,COLUMN()),4,LEN(INDEX(headerRow,1,COLUMN()))),ovrHeaderRow,0))</f>
        <v>43.9</v>
      </c>
      <c r="BY67" s="12">
        <f>INDEX(ovrTable,MATCH(INDEX(oppCol24,ROW()),ovrTeamCol,0),MATCH(MID(INDEX(headerRow,1,COLUMN()),4,LEN(INDEX(headerRow,1,COLUMN()))),ovrHeaderRow,0))</f>
        <v>16.2</v>
      </c>
      <c r="BZ67" s="12">
        <f>INDEX(ovrTable,MATCH(INDEX(oppCol24,ROW()),ovrTeamCol,0),MATCH(MID(INDEX(headerRow,1,COLUMN()),4,LEN(INDEX(headerRow,1,COLUMN()))),ovrHeaderRow,0))</f>
        <v>71.099999999999994</v>
      </c>
      <c r="CA67" s="12">
        <f>INDEX(ovrTable,MATCH(INDEX(oppCol24,ROW()),ovrTeamCol,0),MATCH(MID(INDEX(headerRow,1,COLUMN()),4,LEN(INDEX(headerRow,1,COLUMN()))),ovrHeaderRow,0))</f>
        <v>18.399999999999999</v>
      </c>
      <c r="CB67" s="12">
        <f>INDEX(ovrTable,MATCH(INDEX(oppCol24,ROW()),ovrTeamCol,0),MATCH(MID(INDEX(headerRow,1,COLUMN()),4,LEN(INDEX(headerRow,1,COLUMN()))),ovrHeaderRow,0))</f>
        <v>13.1</v>
      </c>
      <c r="CC67" s="12">
        <f>INDEX(ovrTable,MATCH(INDEX(oppCol24,ROW()),ovrTeamCol,0),MATCH(MID(INDEX(headerRow,1,COLUMN()),4,LEN(INDEX(headerRow,1,COLUMN()))),ovrHeaderRow,0))</f>
        <v>67.599999999999994</v>
      </c>
      <c r="CD67" s="12">
        <f>INDEX(ovrTable,MATCH(INDEX(oppCol24,ROW()),ovrTeamCol,0),MATCH(MID(INDEX(headerRow,1,COLUMN()),4,LEN(INDEX(headerRow,1,COLUMN()))),ovrHeaderRow,0))</f>
        <v>11.38</v>
      </c>
      <c r="CE67" s="12">
        <f>INDEX(ovrTable,MATCH(INDEX(oppCol24,ROW()),ovrTeamCol,0),MATCH(MID(INDEX(headerRow,1,COLUMN()),4,LEN(INDEX(headerRow,1,COLUMN()))),ovrHeaderRow,0))</f>
        <v>72.099999999999994</v>
      </c>
      <c r="CF67" s="12">
        <f>INDEX(ovrTable,MATCH(INDEX(oppCol24,ROW()),ovrTeamCol,0),MATCH(MID(INDEX(headerRow,1,COLUMN()),4,LEN(INDEX(headerRow,1,COLUMN()))),ovrHeaderRow,0))</f>
        <v>2.9</v>
      </c>
      <c r="CG67" s="12">
        <f>INDEX(ovrTable,MATCH(INDEX(oppCol24,ROW()),ovrTeamCol,0),MATCH(MID(INDEX(headerRow,1,COLUMN()),4,LEN(INDEX(headerRow,1,COLUMN()))),ovrHeaderRow,0))</f>
        <v>35.590000000000003</v>
      </c>
      <c r="CH67" s="12">
        <f>INDEX(ovrTable,MATCH(INDEX(oppCol24,ROW()),ovrTeamCol,0),MATCH(MID(INDEX(headerRow,1,COLUMN()),4,LEN(INDEX(headerRow,1,COLUMN()))),ovrHeaderRow,0))</f>
        <v>4.5</v>
      </c>
      <c r="CI67" s="12">
        <f>INDEX(ovrTable,MATCH(INDEX(oppCol24,ROW()),ovrTeamCol,0),MATCH(MID(INDEX(headerRow,1,COLUMN()),4,LEN(INDEX(headerRow,1,COLUMN()))),ovrHeaderRow,0))</f>
        <v>4.8</v>
      </c>
      <c r="CJ67" s="12">
        <f>INDEX(ovrTable,MATCH(INDEX(oppCol24,ROW()),ovrTeamCol,0),MATCH(MID(INDEX(headerRow,1,COLUMN()),4,LEN(INDEX(headerRow,1,COLUMN()))),ovrHeaderRow,0))</f>
        <v>-0.4</v>
      </c>
      <c r="CK67" s="12">
        <f>INDEX(ovrTable,MATCH(INDEX(oppCol24,ROW()),ovrTeamCol,0),MATCH(MID(INDEX(headerRow,1,COLUMN()),4,LEN(INDEX(headerRow,1,COLUMN()))),ovrHeaderRow,0))</f>
        <v>9.76</v>
      </c>
      <c r="CL67" s="12">
        <f>INDEX(ovrTable,MATCH(INDEX(oppCol24,ROW()),ovrTeamCol,0),MATCH(MID(INDEX(headerRow,1,COLUMN()),4,LEN(INDEX(headerRow,1,COLUMN()))),ovrHeaderRow,0))</f>
        <v>10.1</v>
      </c>
      <c r="CM67" s="12">
        <f>INDEX(ovrTable,MATCH(INDEX(oppCol24,ROW()),ovrTeamCol,0),MATCH(MID(INDEX(headerRow,1,COLUMN()),4,LEN(INDEX(headerRow,1,COLUMN()))),ovrHeaderRow,0))</f>
        <v>67.2</v>
      </c>
      <c r="CN67" s="12">
        <f>INDEX(ovrTable,MATCH(INDEX(oppCol24,ROW()),ovrTeamCol,0),MATCH(MID(INDEX(headerRow,1,COLUMN()),4,LEN(INDEX(headerRow,1,COLUMN()))),ovrHeaderRow,0))</f>
        <v>17.349999999999998</v>
      </c>
      <c r="CO67" s="12">
        <f>INDEX(ovrTable,MATCH(INDEX(oppCol24,ROW()),ovrTeamCol,0),MATCH(MID(INDEX(headerRow,1,COLUMN()),4,LEN(INDEX(headerRow,1,COLUMN()))),ovrHeaderRow,0))</f>
        <v>57.972665148063776</v>
      </c>
    </row>
    <row r="68" spans="1:93" x14ac:dyDescent="0.3">
      <c r="A68" s="6" t="s">
        <v>68</v>
      </c>
      <c r="B68" s="3">
        <v>14</v>
      </c>
      <c r="C68" s="13" t="s">
        <v>56</v>
      </c>
      <c r="D68" s="14">
        <v>34</v>
      </c>
      <c r="E68" s="23">
        <v>58.82352941176471</v>
      </c>
      <c r="F68" s="24">
        <v>6</v>
      </c>
      <c r="G68" s="23">
        <v>21.428571428571427</v>
      </c>
      <c r="H68" s="24">
        <v>28</v>
      </c>
      <c r="I68" s="25">
        <v>1.6</v>
      </c>
      <c r="J68" s="24">
        <v>8</v>
      </c>
      <c r="K68" s="24">
        <v>7</v>
      </c>
      <c r="L68" s="24">
        <v>1</v>
      </c>
      <c r="M68" s="24">
        <v>56.5</v>
      </c>
      <c r="N68" s="24">
        <v>17</v>
      </c>
      <c r="O68" s="26">
        <v>0.42448000000000002</v>
      </c>
      <c r="P68" s="24">
        <v>2</v>
      </c>
      <c r="Q68" s="24">
        <v>37.9</v>
      </c>
      <c r="R68" s="24">
        <v>20</v>
      </c>
      <c r="S68" s="23">
        <v>66.666666666666657</v>
      </c>
      <c r="T68" s="24">
        <v>6</v>
      </c>
      <c r="U68" s="24">
        <v>4</v>
      </c>
      <c r="V68" s="24">
        <v>77</v>
      </c>
      <c r="W68" s="24">
        <v>9</v>
      </c>
      <c r="X68" s="24">
        <v>60</v>
      </c>
      <c r="Y68" s="24">
        <v>-12</v>
      </c>
      <c r="Z68" s="24">
        <v>26</v>
      </c>
      <c r="AA68" s="24">
        <v>-17</v>
      </c>
      <c r="AB68" s="24">
        <v>5</v>
      </c>
      <c r="AC68" s="24">
        <v>9</v>
      </c>
      <c r="AD68" s="24">
        <v>14</v>
      </c>
      <c r="AE68" s="24">
        <v>5</v>
      </c>
      <c r="AF68" s="46">
        <f t="shared" si="85"/>
        <v>64.813060686015817</v>
      </c>
      <c r="AG68" s="51">
        <f t="shared" ref="AG68" si="87">AVERAGE(AF68,AF69)</f>
        <v>64.665379900530041</v>
      </c>
      <c r="AH68" s="12">
        <f t="shared" si="78"/>
        <v>30.4</v>
      </c>
      <c r="AI68" s="12">
        <f t="shared" si="78"/>
        <v>8</v>
      </c>
      <c r="AJ68" s="12">
        <f t="shared" si="78"/>
        <v>32.4</v>
      </c>
      <c r="AK68" s="12">
        <f t="shared" si="78"/>
        <v>24.7</v>
      </c>
      <c r="AL68" s="12">
        <f t="shared" si="78"/>
        <v>1.1499999999999999</v>
      </c>
      <c r="AM68" s="12">
        <f t="shared" si="78"/>
        <v>13</v>
      </c>
      <c r="AN68" s="12">
        <f t="shared" si="78"/>
        <v>16.66</v>
      </c>
      <c r="AO68" s="12">
        <f t="shared" si="78"/>
        <v>2.9</v>
      </c>
      <c r="AP68" s="12">
        <f t="shared" si="78"/>
        <v>43</v>
      </c>
      <c r="AQ68" s="12">
        <f t="shared" si="78"/>
        <v>26.14</v>
      </c>
      <c r="AR68" s="12">
        <f t="shared" si="79"/>
        <v>0.52300000000000002</v>
      </c>
      <c r="AS68" s="12">
        <f t="shared" si="79"/>
        <v>8</v>
      </c>
      <c r="AT68" s="12">
        <f t="shared" si="79"/>
        <v>45.3</v>
      </c>
      <c r="AU68" s="12">
        <f t="shared" si="79"/>
        <v>16.7</v>
      </c>
      <c r="AV68" s="12">
        <f t="shared" si="79"/>
        <v>72.7</v>
      </c>
      <c r="AW68" s="12">
        <f t="shared" si="79"/>
        <v>18.3</v>
      </c>
      <c r="AX68" s="12">
        <f t="shared" si="79"/>
        <v>13.3</v>
      </c>
      <c r="AY68" s="12">
        <f t="shared" si="79"/>
        <v>66.2</v>
      </c>
      <c r="AZ68" s="12">
        <f t="shared" si="79"/>
        <v>10.37</v>
      </c>
      <c r="BA68" s="12">
        <f t="shared" si="79"/>
        <v>73.599999999999994</v>
      </c>
      <c r="BB68" s="12">
        <f t="shared" si="80"/>
        <v>4.0999999999999996</v>
      </c>
      <c r="BC68" s="12">
        <f t="shared" si="80"/>
        <v>36.51</v>
      </c>
      <c r="BD68" s="12">
        <f t="shared" si="80"/>
        <v>7.5</v>
      </c>
      <c r="BE68" s="12">
        <f t="shared" si="80"/>
        <v>5.6</v>
      </c>
      <c r="BF68" s="12">
        <f t="shared" si="80"/>
        <v>0.3</v>
      </c>
      <c r="BG68" s="12">
        <f t="shared" si="80"/>
        <v>11.54</v>
      </c>
      <c r="BH68" s="12">
        <f t="shared" si="80"/>
        <v>11.3</v>
      </c>
      <c r="BI68" s="12">
        <f t="shared" si="80"/>
        <v>68.400000000000006</v>
      </c>
      <c r="BJ68" s="12">
        <f t="shared" si="80"/>
        <v>18.149999999999999</v>
      </c>
      <c r="BK68" s="12">
        <f t="shared" si="80"/>
        <v>57.726269315673292</v>
      </c>
      <c r="BL68" s="12">
        <f>INDEX(ovrTable,MATCH(INDEX(oppCol24,ROW()),ovrTeamCol,0),MATCH(MID(INDEX(headerRow,1,COLUMN()),4,LEN(INDEX(headerRow,1,COLUMN()))),ovrHeaderRow,0))</f>
        <v>32.299999999999997</v>
      </c>
      <c r="BM68" s="12">
        <f>INDEX(ovrTable,MATCH(INDEX(oppCol24,ROW()),ovrTeamCol,0),MATCH(MID(INDEX(headerRow,1,COLUMN()),4,LEN(INDEX(headerRow,1,COLUMN()))),ovrHeaderRow,0))</f>
        <v>10.7</v>
      </c>
      <c r="BN68" s="12">
        <f>INDEX(ovrTable,MATCH(INDEX(oppCol24,ROW()),ovrTeamCol,0),MATCH(MID(INDEX(headerRow,1,COLUMN()),4,LEN(INDEX(headerRow,1,COLUMN()))),ovrHeaderRow,0))</f>
        <v>36.799999999999997</v>
      </c>
      <c r="BO68" s="12">
        <f>INDEX(ovrTable,MATCH(INDEX(oppCol24,ROW()),ovrTeamCol,0),MATCH(MID(INDEX(headerRow,1,COLUMN()),4,LEN(INDEX(headerRow,1,COLUMN()))),ovrHeaderRow,0))</f>
        <v>29.1</v>
      </c>
      <c r="BP68" s="12">
        <f>INDEX(ovrTable,MATCH(INDEX(oppCol24,ROW()),ovrTeamCol,0),MATCH(MID(INDEX(headerRow,1,COLUMN()),4,LEN(INDEX(headerRow,1,COLUMN()))),ovrHeaderRow,0))</f>
        <v>1.58</v>
      </c>
      <c r="BQ68" s="12">
        <f>INDEX(ovrTable,MATCH(INDEX(oppCol24,ROW()),ovrTeamCol,0),MATCH(MID(INDEX(headerRow,1,COLUMN()),4,LEN(INDEX(headerRow,1,COLUMN()))),ovrHeaderRow,0))</f>
        <v>16.8</v>
      </c>
      <c r="BR68" s="12">
        <f>INDEX(ovrTable,MATCH(INDEX(oppCol24,ROW()),ovrTeamCol,0),MATCH(MID(INDEX(headerRow,1,COLUMN()),4,LEN(INDEX(headerRow,1,COLUMN()))),ovrHeaderRow,0))</f>
        <v>10.49</v>
      </c>
      <c r="BS68" s="12">
        <f>INDEX(ovrTable,MATCH(INDEX(oppCol24,ROW()),ovrTeamCol,0),MATCH(MID(INDEX(headerRow,1,COLUMN()),4,LEN(INDEX(headerRow,1,COLUMN()))),ovrHeaderRow,0))</f>
        <v>4.0999999999999996</v>
      </c>
      <c r="BT68" s="12">
        <f>INDEX(ovrTable,MATCH(INDEX(oppCol24,ROW()),ovrTeamCol,0),MATCH(MID(INDEX(headerRow,1,COLUMN()),4,LEN(INDEX(headerRow,1,COLUMN()))),ovrHeaderRow,0))</f>
        <v>41.8</v>
      </c>
      <c r="BU68" s="12">
        <f>INDEX(ovrTable,MATCH(INDEX(oppCol24,ROW()),ovrTeamCol,0),MATCH(MID(INDEX(headerRow,1,COLUMN()),4,LEN(INDEX(headerRow,1,COLUMN()))),ovrHeaderRow,0))</f>
        <v>29.71</v>
      </c>
      <c r="BV68" s="12">
        <f>INDEX(ovrTable,MATCH(INDEX(oppCol24,ROW()),ovrTeamCol,0),MATCH(MID(INDEX(headerRow,1,COLUMN()),4,LEN(INDEX(headerRow,1,COLUMN()))),ovrHeaderRow,0))</f>
        <v>0.57299999999999995</v>
      </c>
      <c r="BW68" s="12">
        <f>INDEX(ovrTable,MATCH(INDEX(oppCol24,ROW()),ovrTeamCol,0),MATCH(MID(INDEX(headerRow,1,COLUMN()),4,LEN(INDEX(headerRow,1,COLUMN()))),ovrHeaderRow,0))</f>
        <v>9.69</v>
      </c>
      <c r="BX68" s="12">
        <f>INDEX(ovrTable,MATCH(INDEX(oppCol24,ROW()),ovrTeamCol,0),MATCH(MID(INDEX(headerRow,1,COLUMN()),4,LEN(INDEX(headerRow,1,COLUMN()))),ovrHeaderRow,0))</f>
        <v>48.4</v>
      </c>
      <c r="BY68" s="12">
        <f>INDEX(ovrTable,MATCH(INDEX(oppCol24,ROW()),ovrTeamCol,0),MATCH(MID(INDEX(headerRow,1,COLUMN()),4,LEN(INDEX(headerRow,1,COLUMN()))),ovrHeaderRow,0))</f>
        <v>11.5</v>
      </c>
      <c r="BZ68" s="12">
        <f>INDEX(ovrTable,MATCH(INDEX(oppCol24,ROW()),ovrTeamCol,0),MATCH(MID(INDEX(headerRow,1,COLUMN()),4,LEN(INDEX(headerRow,1,COLUMN()))),ovrHeaderRow,0))</f>
        <v>78.8</v>
      </c>
      <c r="CA68" s="12">
        <f>INDEX(ovrTable,MATCH(INDEX(oppCol24,ROW()),ovrTeamCol,0),MATCH(MID(INDEX(headerRow,1,COLUMN()),4,LEN(INDEX(headerRow,1,COLUMN()))),ovrHeaderRow,0))</f>
        <v>14.8</v>
      </c>
      <c r="CB68" s="12">
        <f>INDEX(ovrTable,MATCH(INDEX(oppCol24,ROW()),ovrTeamCol,0),MATCH(MID(INDEX(headerRow,1,COLUMN()),4,LEN(INDEX(headerRow,1,COLUMN()))),ovrHeaderRow,0))</f>
        <v>11.7</v>
      </c>
      <c r="CC68" s="12">
        <f>INDEX(ovrTable,MATCH(INDEX(oppCol24,ROW()),ovrTeamCol,0),MATCH(MID(INDEX(headerRow,1,COLUMN()),4,LEN(INDEX(headerRow,1,COLUMN()))),ovrHeaderRow,0))</f>
        <v>69.900000000000006</v>
      </c>
      <c r="CD68" s="12">
        <f>INDEX(ovrTable,MATCH(INDEX(oppCol24,ROW()),ovrTeamCol,0),MATCH(MID(INDEX(headerRow,1,COLUMN()),4,LEN(INDEX(headerRow,1,COLUMN()))),ovrHeaderRow,0))</f>
        <v>8.4</v>
      </c>
      <c r="CE68" s="12">
        <f>INDEX(ovrTable,MATCH(INDEX(oppCol24,ROW()),ovrTeamCol,0),MATCH(MID(INDEX(headerRow,1,COLUMN()),4,LEN(INDEX(headerRow,1,COLUMN()))),ovrHeaderRow,0))</f>
        <v>80.400000000000006</v>
      </c>
      <c r="CF68" s="12">
        <f>INDEX(ovrTable,MATCH(INDEX(oppCol24,ROW()),ovrTeamCol,0),MATCH(MID(INDEX(headerRow,1,COLUMN()),4,LEN(INDEX(headerRow,1,COLUMN()))),ovrHeaderRow,0))</f>
        <v>4.5</v>
      </c>
      <c r="CG68" s="12">
        <f>INDEX(ovrTable,MATCH(INDEX(oppCol24,ROW()),ovrTeamCol,0),MATCH(MID(INDEX(headerRow,1,COLUMN()),4,LEN(INDEX(headerRow,1,COLUMN()))),ovrHeaderRow,0))</f>
        <v>38.11</v>
      </c>
      <c r="CH68" s="12">
        <f>INDEX(ovrTable,MATCH(INDEX(oppCol24,ROW()),ovrTeamCol,0),MATCH(MID(INDEX(headerRow,1,COLUMN()),4,LEN(INDEX(headerRow,1,COLUMN()))),ovrHeaderRow,0))</f>
        <v>10.5</v>
      </c>
      <c r="CI68" s="12">
        <f>INDEX(ovrTable,MATCH(INDEX(oppCol24,ROW()),ovrTeamCol,0),MATCH(MID(INDEX(headerRow,1,COLUMN()),4,LEN(INDEX(headerRow,1,COLUMN()))),ovrHeaderRow,0))</f>
        <v>3.8</v>
      </c>
      <c r="CJ68" s="12">
        <f>INDEX(ovrTable,MATCH(INDEX(oppCol24,ROW()),ovrTeamCol,0),MATCH(MID(INDEX(headerRow,1,COLUMN()),4,LEN(INDEX(headerRow,1,COLUMN()))),ovrHeaderRow,0))</f>
        <v>-3</v>
      </c>
      <c r="CK68" s="12">
        <f>INDEX(ovrTable,MATCH(INDEX(oppCol24,ROW()),ovrTeamCol,0),MATCH(MID(INDEX(headerRow,1,COLUMN()),4,LEN(INDEX(headerRow,1,COLUMN()))),ovrHeaderRow,0))</f>
        <v>7.6</v>
      </c>
      <c r="CL68" s="12">
        <f>INDEX(ovrTable,MATCH(INDEX(oppCol24,ROW()),ovrTeamCol,0),MATCH(MID(INDEX(headerRow,1,COLUMN()),4,LEN(INDEX(headerRow,1,COLUMN()))),ovrHeaderRow,0))</f>
        <v>10.6</v>
      </c>
      <c r="CM68" s="12">
        <f>INDEX(ovrTable,MATCH(INDEX(oppCol24,ROW()),ovrTeamCol,0),MATCH(MID(INDEX(headerRow,1,COLUMN()),4,LEN(INDEX(headerRow,1,COLUMN()))),ovrHeaderRow,0))</f>
        <v>70.5</v>
      </c>
      <c r="CN68" s="12">
        <f>INDEX(ovrTable,MATCH(INDEX(oppCol24,ROW()),ovrTeamCol,0),MATCH(MID(INDEX(headerRow,1,COLUMN()),4,LEN(INDEX(headerRow,1,COLUMN()))),ovrHeaderRow,0))</f>
        <v>18.300000000000004</v>
      </c>
      <c r="CO68" s="12">
        <f>INDEX(ovrTable,MATCH(INDEX(oppCol24,ROW()),ovrTeamCol,0),MATCH(MID(INDEX(headerRow,1,COLUMN()),4,LEN(INDEX(headerRow,1,COLUMN()))),ovrHeaderRow,0))</f>
        <v>59.91735537190084</v>
      </c>
    </row>
    <row r="69" spans="1:93" x14ac:dyDescent="0.3">
      <c r="A69" s="6" t="s">
        <v>56</v>
      </c>
      <c r="B69" s="3">
        <v>3</v>
      </c>
      <c r="C69" s="13" t="s">
        <v>68</v>
      </c>
      <c r="D69" s="14">
        <v>34</v>
      </c>
      <c r="E69" s="23">
        <v>21.428571428571427</v>
      </c>
      <c r="F69" s="24">
        <v>10</v>
      </c>
      <c r="G69" s="23">
        <v>58.82352941176471</v>
      </c>
      <c r="H69" s="24">
        <v>17</v>
      </c>
      <c r="I69" s="25">
        <v>0.7857142857142857</v>
      </c>
      <c r="J69" s="24">
        <v>11</v>
      </c>
      <c r="K69" s="24">
        <v>0</v>
      </c>
      <c r="L69" s="24">
        <v>4</v>
      </c>
      <c r="M69" s="24">
        <v>37.9</v>
      </c>
      <c r="N69" s="24">
        <v>33</v>
      </c>
      <c r="O69" s="26">
        <v>0.67365384615384616</v>
      </c>
      <c r="P69" s="24">
        <v>13</v>
      </c>
      <c r="Q69" s="24">
        <v>56.5</v>
      </c>
      <c r="R69" s="24">
        <v>12</v>
      </c>
      <c r="S69" s="23">
        <v>75</v>
      </c>
      <c r="T69" s="24">
        <v>20</v>
      </c>
      <c r="U69" s="24">
        <v>15</v>
      </c>
      <c r="V69" s="24">
        <v>60</v>
      </c>
      <c r="W69" s="24">
        <v>5</v>
      </c>
      <c r="X69" s="24">
        <v>77</v>
      </c>
      <c r="Y69" s="24">
        <v>12</v>
      </c>
      <c r="Z69" s="24">
        <v>38</v>
      </c>
      <c r="AA69" s="24">
        <v>17</v>
      </c>
      <c r="AB69" s="24">
        <v>0</v>
      </c>
      <c r="AC69" s="24">
        <v>-9</v>
      </c>
      <c r="AD69" s="24">
        <v>5</v>
      </c>
      <c r="AE69" s="24">
        <v>14</v>
      </c>
      <c r="AF69" s="46">
        <f t="shared" si="85"/>
        <v>64.517699115044252</v>
      </c>
      <c r="AG69" s="51">
        <f t="shared" ref="AG69" si="88">AVERAGE(AF68,AF69)</f>
        <v>64.665379900530041</v>
      </c>
      <c r="AH69" s="12">
        <f t="shared" si="78"/>
        <v>32.299999999999997</v>
      </c>
      <c r="AI69" s="12">
        <f t="shared" si="78"/>
        <v>10.7</v>
      </c>
      <c r="AJ69" s="12">
        <f t="shared" si="78"/>
        <v>36.799999999999997</v>
      </c>
      <c r="AK69" s="12">
        <f t="shared" si="78"/>
        <v>29.1</v>
      </c>
      <c r="AL69" s="12">
        <f t="shared" si="78"/>
        <v>1.58</v>
      </c>
      <c r="AM69" s="12">
        <f t="shared" si="78"/>
        <v>16.8</v>
      </c>
      <c r="AN69" s="12">
        <f t="shared" si="78"/>
        <v>10.49</v>
      </c>
      <c r="AO69" s="12">
        <f t="shared" si="78"/>
        <v>4.0999999999999996</v>
      </c>
      <c r="AP69" s="12">
        <f t="shared" si="78"/>
        <v>41.8</v>
      </c>
      <c r="AQ69" s="12">
        <f t="shared" si="78"/>
        <v>29.71</v>
      </c>
      <c r="AR69" s="12">
        <f t="shared" si="79"/>
        <v>0.57299999999999995</v>
      </c>
      <c r="AS69" s="12">
        <f t="shared" si="79"/>
        <v>9.69</v>
      </c>
      <c r="AT69" s="12">
        <f t="shared" si="79"/>
        <v>48.4</v>
      </c>
      <c r="AU69" s="12">
        <f t="shared" si="79"/>
        <v>11.5</v>
      </c>
      <c r="AV69" s="12">
        <f t="shared" si="79"/>
        <v>78.8</v>
      </c>
      <c r="AW69" s="12">
        <f t="shared" si="79"/>
        <v>14.8</v>
      </c>
      <c r="AX69" s="12">
        <f t="shared" si="79"/>
        <v>11.7</v>
      </c>
      <c r="AY69" s="12">
        <f t="shared" si="79"/>
        <v>69.900000000000006</v>
      </c>
      <c r="AZ69" s="12">
        <f t="shared" si="79"/>
        <v>8.4</v>
      </c>
      <c r="BA69" s="12">
        <f t="shared" si="79"/>
        <v>80.400000000000006</v>
      </c>
      <c r="BB69" s="12">
        <f t="shared" si="80"/>
        <v>4.5</v>
      </c>
      <c r="BC69" s="12">
        <f t="shared" si="80"/>
        <v>38.11</v>
      </c>
      <c r="BD69" s="12">
        <f t="shared" si="80"/>
        <v>10.5</v>
      </c>
      <c r="BE69" s="12">
        <f t="shared" si="80"/>
        <v>3.8</v>
      </c>
      <c r="BF69" s="12">
        <f t="shared" si="80"/>
        <v>-3</v>
      </c>
      <c r="BG69" s="12">
        <f t="shared" si="80"/>
        <v>7.6</v>
      </c>
      <c r="BH69" s="12">
        <f t="shared" si="80"/>
        <v>10.6</v>
      </c>
      <c r="BI69" s="12">
        <f t="shared" si="80"/>
        <v>70.5</v>
      </c>
      <c r="BJ69" s="12">
        <f t="shared" si="80"/>
        <v>18.300000000000004</v>
      </c>
      <c r="BK69" s="12">
        <f t="shared" si="80"/>
        <v>59.91735537190084</v>
      </c>
      <c r="BL69" s="12">
        <f>INDEX(ovrTable,MATCH(INDEX(oppCol24,ROW()),ovrTeamCol,0),MATCH(MID(INDEX(headerRow,1,COLUMN()),4,LEN(INDEX(headerRow,1,COLUMN()))),ovrHeaderRow,0))</f>
        <v>30.4</v>
      </c>
      <c r="BM69" s="12">
        <f>INDEX(ovrTable,MATCH(INDEX(oppCol24,ROW()),ovrTeamCol,0),MATCH(MID(INDEX(headerRow,1,COLUMN()),4,LEN(INDEX(headerRow,1,COLUMN()))),ovrHeaderRow,0))</f>
        <v>8</v>
      </c>
      <c r="BN69" s="12">
        <f>INDEX(ovrTable,MATCH(INDEX(oppCol24,ROW()),ovrTeamCol,0),MATCH(MID(INDEX(headerRow,1,COLUMN()),4,LEN(INDEX(headerRow,1,COLUMN()))),ovrHeaderRow,0))</f>
        <v>32.4</v>
      </c>
      <c r="BO69" s="12">
        <f>INDEX(ovrTable,MATCH(INDEX(oppCol24,ROW()),ovrTeamCol,0),MATCH(MID(INDEX(headerRow,1,COLUMN()),4,LEN(INDEX(headerRow,1,COLUMN()))),ovrHeaderRow,0))</f>
        <v>24.7</v>
      </c>
      <c r="BP69" s="12">
        <f>INDEX(ovrTable,MATCH(INDEX(oppCol24,ROW()),ovrTeamCol,0),MATCH(MID(INDEX(headerRow,1,COLUMN()),4,LEN(INDEX(headerRow,1,COLUMN()))),ovrHeaderRow,0))</f>
        <v>1.1499999999999999</v>
      </c>
      <c r="BQ69" s="12">
        <f>INDEX(ovrTable,MATCH(INDEX(oppCol24,ROW()),ovrTeamCol,0),MATCH(MID(INDEX(headerRow,1,COLUMN()),4,LEN(INDEX(headerRow,1,COLUMN()))),ovrHeaderRow,0))</f>
        <v>13</v>
      </c>
      <c r="BR69" s="12">
        <f>INDEX(ovrTable,MATCH(INDEX(oppCol24,ROW()),ovrTeamCol,0),MATCH(MID(INDEX(headerRow,1,COLUMN()),4,LEN(INDEX(headerRow,1,COLUMN()))),ovrHeaderRow,0))</f>
        <v>16.66</v>
      </c>
      <c r="BS69" s="12">
        <f>INDEX(ovrTable,MATCH(INDEX(oppCol24,ROW()),ovrTeamCol,0),MATCH(MID(INDEX(headerRow,1,COLUMN()),4,LEN(INDEX(headerRow,1,COLUMN()))),ovrHeaderRow,0))</f>
        <v>2.9</v>
      </c>
      <c r="BT69" s="12">
        <f>INDEX(ovrTable,MATCH(INDEX(oppCol24,ROW()),ovrTeamCol,0),MATCH(MID(INDEX(headerRow,1,COLUMN()),4,LEN(INDEX(headerRow,1,COLUMN()))),ovrHeaderRow,0))</f>
        <v>43</v>
      </c>
      <c r="BU69" s="12">
        <f>INDEX(ovrTable,MATCH(INDEX(oppCol24,ROW()),ovrTeamCol,0),MATCH(MID(INDEX(headerRow,1,COLUMN()),4,LEN(INDEX(headerRow,1,COLUMN()))),ovrHeaderRow,0))</f>
        <v>26.14</v>
      </c>
      <c r="BV69" s="12">
        <f>INDEX(ovrTable,MATCH(INDEX(oppCol24,ROW()),ovrTeamCol,0),MATCH(MID(INDEX(headerRow,1,COLUMN()),4,LEN(INDEX(headerRow,1,COLUMN()))),ovrHeaderRow,0))</f>
        <v>0.52300000000000002</v>
      </c>
      <c r="BW69" s="12">
        <f>INDEX(ovrTable,MATCH(INDEX(oppCol24,ROW()),ovrTeamCol,0),MATCH(MID(INDEX(headerRow,1,COLUMN()),4,LEN(INDEX(headerRow,1,COLUMN()))),ovrHeaderRow,0))</f>
        <v>8</v>
      </c>
      <c r="BX69" s="12">
        <f>INDEX(ovrTable,MATCH(INDEX(oppCol24,ROW()),ovrTeamCol,0),MATCH(MID(INDEX(headerRow,1,COLUMN()),4,LEN(INDEX(headerRow,1,COLUMN()))),ovrHeaderRow,0))</f>
        <v>45.3</v>
      </c>
      <c r="BY69" s="12">
        <f>INDEX(ovrTable,MATCH(INDEX(oppCol24,ROW()),ovrTeamCol,0),MATCH(MID(INDEX(headerRow,1,COLUMN()),4,LEN(INDEX(headerRow,1,COLUMN()))),ovrHeaderRow,0))</f>
        <v>16.7</v>
      </c>
      <c r="BZ69" s="12">
        <f>INDEX(ovrTable,MATCH(INDEX(oppCol24,ROW()),ovrTeamCol,0),MATCH(MID(INDEX(headerRow,1,COLUMN()),4,LEN(INDEX(headerRow,1,COLUMN()))),ovrHeaderRow,0))</f>
        <v>72.7</v>
      </c>
      <c r="CA69" s="12">
        <f>INDEX(ovrTable,MATCH(INDEX(oppCol24,ROW()),ovrTeamCol,0),MATCH(MID(INDEX(headerRow,1,COLUMN()),4,LEN(INDEX(headerRow,1,COLUMN()))),ovrHeaderRow,0))</f>
        <v>18.3</v>
      </c>
      <c r="CB69" s="12">
        <f>INDEX(ovrTable,MATCH(INDEX(oppCol24,ROW()),ovrTeamCol,0),MATCH(MID(INDEX(headerRow,1,COLUMN()),4,LEN(INDEX(headerRow,1,COLUMN()))),ovrHeaderRow,0))</f>
        <v>13.3</v>
      </c>
      <c r="CC69" s="12">
        <f>INDEX(ovrTable,MATCH(INDEX(oppCol24,ROW()),ovrTeamCol,0),MATCH(MID(INDEX(headerRow,1,COLUMN()),4,LEN(INDEX(headerRow,1,COLUMN()))),ovrHeaderRow,0))</f>
        <v>66.2</v>
      </c>
      <c r="CD69" s="12">
        <f>INDEX(ovrTable,MATCH(INDEX(oppCol24,ROW()),ovrTeamCol,0),MATCH(MID(INDEX(headerRow,1,COLUMN()),4,LEN(INDEX(headerRow,1,COLUMN()))),ovrHeaderRow,0))</f>
        <v>10.37</v>
      </c>
      <c r="CE69" s="12">
        <f>INDEX(ovrTable,MATCH(INDEX(oppCol24,ROW()),ovrTeamCol,0),MATCH(MID(INDEX(headerRow,1,COLUMN()),4,LEN(INDEX(headerRow,1,COLUMN()))),ovrHeaderRow,0))</f>
        <v>73.599999999999994</v>
      </c>
      <c r="CF69" s="12">
        <f>INDEX(ovrTable,MATCH(INDEX(oppCol24,ROW()),ovrTeamCol,0),MATCH(MID(INDEX(headerRow,1,COLUMN()),4,LEN(INDEX(headerRow,1,COLUMN()))),ovrHeaderRow,0))</f>
        <v>4.0999999999999996</v>
      </c>
      <c r="CG69" s="12">
        <f>INDEX(ovrTable,MATCH(INDEX(oppCol24,ROW()),ovrTeamCol,0),MATCH(MID(INDEX(headerRow,1,COLUMN()),4,LEN(INDEX(headerRow,1,COLUMN()))),ovrHeaderRow,0))</f>
        <v>36.51</v>
      </c>
      <c r="CH69" s="12">
        <f>INDEX(ovrTable,MATCH(INDEX(oppCol24,ROW()),ovrTeamCol,0),MATCH(MID(INDEX(headerRow,1,COLUMN()),4,LEN(INDEX(headerRow,1,COLUMN()))),ovrHeaderRow,0))</f>
        <v>7.5</v>
      </c>
      <c r="CI69" s="12">
        <f>INDEX(ovrTable,MATCH(INDEX(oppCol24,ROW()),ovrTeamCol,0),MATCH(MID(INDEX(headerRow,1,COLUMN()),4,LEN(INDEX(headerRow,1,COLUMN()))),ovrHeaderRow,0))</f>
        <v>5.6</v>
      </c>
      <c r="CJ69" s="12">
        <f>INDEX(ovrTable,MATCH(INDEX(oppCol24,ROW()),ovrTeamCol,0),MATCH(MID(INDEX(headerRow,1,COLUMN()),4,LEN(INDEX(headerRow,1,COLUMN()))),ovrHeaderRow,0))</f>
        <v>0.3</v>
      </c>
      <c r="CK69" s="12">
        <f>INDEX(ovrTable,MATCH(INDEX(oppCol24,ROW()),ovrTeamCol,0),MATCH(MID(INDEX(headerRow,1,COLUMN()),4,LEN(INDEX(headerRow,1,COLUMN()))),ovrHeaderRow,0))</f>
        <v>11.54</v>
      </c>
      <c r="CL69" s="12">
        <f>INDEX(ovrTable,MATCH(INDEX(oppCol24,ROW()),ovrTeamCol,0),MATCH(MID(INDEX(headerRow,1,COLUMN()),4,LEN(INDEX(headerRow,1,COLUMN()))),ovrHeaderRow,0))</f>
        <v>11.3</v>
      </c>
      <c r="CM69" s="12">
        <f>INDEX(ovrTable,MATCH(INDEX(oppCol24,ROW()),ovrTeamCol,0),MATCH(MID(INDEX(headerRow,1,COLUMN()),4,LEN(INDEX(headerRow,1,COLUMN()))),ovrHeaderRow,0))</f>
        <v>68.400000000000006</v>
      </c>
      <c r="CN69" s="12">
        <f>INDEX(ovrTable,MATCH(INDEX(oppCol24,ROW()),ovrTeamCol,0),MATCH(MID(INDEX(headerRow,1,COLUMN()),4,LEN(INDEX(headerRow,1,COLUMN()))),ovrHeaderRow,0))</f>
        <v>18.149999999999999</v>
      </c>
      <c r="CO69" s="12">
        <f>INDEX(ovrTable,MATCH(INDEX(oppCol24,ROW()),ovrTeamCol,0),MATCH(MID(INDEX(headerRow,1,COLUMN()),4,LEN(INDEX(headerRow,1,COLUMN()))),ovrHeaderRow,0))</f>
        <v>57.726269315673292</v>
      </c>
    </row>
    <row r="70" spans="1:93" x14ac:dyDescent="0.3">
      <c r="A70" s="6" t="s">
        <v>64</v>
      </c>
      <c r="B70" s="3">
        <v>10</v>
      </c>
      <c r="C70" s="13" t="s">
        <v>60</v>
      </c>
      <c r="D70" s="14">
        <v>35</v>
      </c>
      <c r="E70" s="23">
        <v>7.1428571428571423</v>
      </c>
      <c r="F70" s="24">
        <v>6</v>
      </c>
      <c r="G70" s="23">
        <v>25</v>
      </c>
      <c r="H70" s="24">
        <v>24</v>
      </c>
      <c r="I70" s="25">
        <v>0.42105263157894735</v>
      </c>
      <c r="J70" s="24">
        <v>8</v>
      </c>
      <c r="K70" s="24">
        <v>6</v>
      </c>
      <c r="L70" s="24">
        <v>3</v>
      </c>
      <c r="M70" s="24">
        <v>40</v>
      </c>
      <c r="N70" s="24">
        <v>29</v>
      </c>
      <c r="O70" s="26">
        <v>0.34470588235294114</v>
      </c>
      <c r="P70" s="24">
        <v>0</v>
      </c>
      <c r="Q70" s="24">
        <v>29.3</v>
      </c>
      <c r="R70" s="24">
        <v>18</v>
      </c>
      <c r="S70" s="23">
        <v>66.666666666666657</v>
      </c>
      <c r="T70" s="24">
        <v>6</v>
      </c>
      <c r="U70" s="24">
        <v>4</v>
      </c>
      <c r="V70" s="24">
        <v>56</v>
      </c>
      <c r="W70" s="24">
        <v>13</v>
      </c>
      <c r="X70" s="24">
        <v>44</v>
      </c>
      <c r="Y70" s="24">
        <v>5</v>
      </c>
      <c r="Z70" s="24">
        <v>42</v>
      </c>
      <c r="AA70" s="24">
        <v>-12</v>
      </c>
      <c r="AB70" s="24">
        <v>3</v>
      </c>
      <c r="AC70" s="24">
        <v>-7</v>
      </c>
      <c r="AD70" s="24">
        <v>12</v>
      </c>
      <c r="AE70" s="24">
        <v>19</v>
      </c>
      <c r="AF70" s="46">
        <f t="shared" si="85"/>
        <v>66.870477815699644</v>
      </c>
      <c r="AG70" s="51">
        <f t="shared" ref="AG70" si="89">AVERAGE(AF70,AF71)</f>
        <v>66.972738907849816</v>
      </c>
      <c r="AH70" s="12">
        <f t="shared" si="78"/>
        <v>32.200000000000003</v>
      </c>
      <c r="AI70" s="12">
        <f t="shared" si="78"/>
        <v>7.3</v>
      </c>
      <c r="AJ70" s="12">
        <f t="shared" si="78"/>
        <v>33.799999999999997</v>
      </c>
      <c r="AK70" s="12">
        <f t="shared" si="78"/>
        <v>21.7</v>
      </c>
      <c r="AL70" s="12">
        <f t="shared" si="78"/>
        <v>1.72</v>
      </c>
      <c r="AM70" s="12">
        <f t="shared" si="78"/>
        <v>18</v>
      </c>
      <c r="AN70" s="12">
        <f t="shared" si="78"/>
        <v>17.420000000000002</v>
      </c>
      <c r="AO70" s="12">
        <f t="shared" si="78"/>
        <v>3.1</v>
      </c>
      <c r="AP70" s="12">
        <f t="shared" si="78"/>
        <v>42.6</v>
      </c>
      <c r="AQ70" s="12">
        <f t="shared" si="78"/>
        <v>25.56</v>
      </c>
      <c r="AR70" s="12">
        <f t="shared" si="79"/>
        <v>0.54900000000000004</v>
      </c>
      <c r="AS70" s="12">
        <f t="shared" si="79"/>
        <v>11.78</v>
      </c>
      <c r="AT70" s="12">
        <f t="shared" si="79"/>
        <v>48.4</v>
      </c>
      <c r="AU70" s="12">
        <f t="shared" si="79"/>
        <v>17</v>
      </c>
      <c r="AV70" s="12">
        <f t="shared" si="79"/>
        <v>75.2</v>
      </c>
      <c r="AW70" s="12">
        <f t="shared" si="79"/>
        <v>17.8</v>
      </c>
      <c r="AX70" s="12">
        <f t="shared" si="79"/>
        <v>13.4</v>
      </c>
      <c r="AY70" s="12">
        <f t="shared" si="79"/>
        <v>67.3</v>
      </c>
      <c r="AZ70" s="12">
        <f t="shared" si="79"/>
        <v>7.86</v>
      </c>
      <c r="BA70" s="12">
        <f t="shared" si="79"/>
        <v>75.2</v>
      </c>
      <c r="BB70" s="12">
        <f t="shared" si="80"/>
        <v>0.6</v>
      </c>
      <c r="BC70" s="12">
        <f t="shared" si="80"/>
        <v>33.42</v>
      </c>
      <c r="BD70" s="12">
        <f t="shared" si="80"/>
        <v>7.9</v>
      </c>
      <c r="BE70" s="12">
        <f t="shared" si="80"/>
        <v>6.3</v>
      </c>
      <c r="BF70" s="12">
        <f t="shared" si="80"/>
        <v>1.1000000000000001</v>
      </c>
      <c r="BG70" s="12">
        <f t="shared" si="80"/>
        <v>11.53</v>
      </c>
      <c r="BH70" s="12">
        <f t="shared" si="80"/>
        <v>10.4</v>
      </c>
      <c r="BI70" s="12">
        <f t="shared" si="80"/>
        <v>67.900000000000006</v>
      </c>
      <c r="BJ70" s="12">
        <f t="shared" si="80"/>
        <v>19.950000000000003</v>
      </c>
      <c r="BK70" s="12">
        <f t="shared" si="80"/>
        <v>56.301652892561997</v>
      </c>
      <c r="BL70" s="12">
        <f>INDEX(ovrTable,MATCH(INDEX(oppCol24,ROW()),ovrTeamCol,0),MATCH(MID(INDEX(headerRow,1,COLUMN()),4,LEN(INDEX(headerRow,1,COLUMN()))),ovrHeaderRow,0))</f>
        <v>33.6</v>
      </c>
      <c r="BM70" s="12">
        <f>INDEX(ovrTable,MATCH(INDEX(oppCol24,ROW()),ovrTeamCol,0),MATCH(MID(INDEX(headerRow,1,COLUMN()),4,LEN(INDEX(headerRow,1,COLUMN()))),ovrHeaderRow,0))</f>
        <v>7.2</v>
      </c>
      <c r="BN70" s="12">
        <f>INDEX(ovrTable,MATCH(INDEX(oppCol24,ROW()),ovrTeamCol,0),MATCH(MID(INDEX(headerRow,1,COLUMN()),4,LEN(INDEX(headerRow,1,COLUMN()))),ovrHeaderRow,0))</f>
        <v>35.5</v>
      </c>
      <c r="BO70" s="12">
        <f>INDEX(ovrTable,MATCH(INDEX(oppCol24,ROW()),ovrTeamCol,0),MATCH(MID(INDEX(headerRow,1,COLUMN()),4,LEN(INDEX(headerRow,1,COLUMN()))),ovrHeaderRow,0))</f>
        <v>20.3</v>
      </c>
      <c r="BP70" s="12">
        <f>INDEX(ovrTable,MATCH(INDEX(oppCol24,ROW()),ovrTeamCol,0),MATCH(MID(INDEX(headerRow,1,COLUMN()),4,LEN(INDEX(headerRow,1,COLUMN()))),ovrHeaderRow,0))</f>
        <v>1.3</v>
      </c>
      <c r="BQ70" s="12">
        <f>INDEX(ovrTable,MATCH(INDEX(oppCol24,ROW()),ovrTeamCol,0),MATCH(MID(INDEX(headerRow,1,COLUMN()),4,LEN(INDEX(headerRow,1,COLUMN()))),ovrHeaderRow,0))</f>
        <v>15.1</v>
      </c>
      <c r="BR70" s="12">
        <f>INDEX(ovrTable,MATCH(INDEX(oppCol24,ROW()),ovrTeamCol,0),MATCH(MID(INDEX(headerRow,1,COLUMN()),4,LEN(INDEX(headerRow,1,COLUMN()))),ovrHeaderRow,0))</f>
        <v>17.59</v>
      </c>
      <c r="BS70" s="12">
        <f>INDEX(ovrTable,MATCH(INDEX(oppCol24,ROW()),ovrTeamCol,0),MATCH(MID(INDEX(headerRow,1,COLUMN()),4,LEN(INDEX(headerRow,1,COLUMN()))),ovrHeaderRow,0))</f>
        <v>4.4000000000000004</v>
      </c>
      <c r="BT70" s="12">
        <f>INDEX(ovrTable,MATCH(INDEX(oppCol24,ROW()),ovrTeamCol,0),MATCH(MID(INDEX(headerRow,1,COLUMN()),4,LEN(INDEX(headerRow,1,COLUMN()))),ovrHeaderRow,0))</f>
        <v>42.6</v>
      </c>
      <c r="BU70" s="12">
        <f>INDEX(ovrTable,MATCH(INDEX(oppCol24,ROW()),ovrTeamCol,0),MATCH(MID(INDEX(headerRow,1,COLUMN()),4,LEN(INDEX(headerRow,1,COLUMN()))),ovrHeaderRow,0))</f>
        <v>24.71</v>
      </c>
      <c r="BV70" s="12">
        <f>INDEX(ovrTable,MATCH(INDEX(oppCol24,ROW()),ovrTeamCol,0),MATCH(MID(INDEX(headerRow,1,COLUMN()),4,LEN(INDEX(headerRow,1,COLUMN()))),ovrHeaderRow,0))</f>
        <v>0.53</v>
      </c>
      <c r="BW70" s="12">
        <f>INDEX(ovrTable,MATCH(INDEX(oppCol24,ROW()),ovrTeamCol,0),MATCH(MID(INDEX(headerRow,1,COLUMN()),4,LEN(INDEX(headerRow,1,COLUMN()))),ovrHeaderRow,0))</f>
        <v>12.18</v>
      </c>
      <c r="BX70" s="12">
        <f>INDEX(ovrTable,MATCH(INDEX(oppCol24,ROW()),ovrTeamCol,0),MATCH(MID(INDEX(headerRow,1,COLUMN()),4,LEN(INDEX(headerRow,1,COLUMN()))),ovrHeaderRow,0))</f>
        <v>46.9</v>
      </c>
      <c r="BY70" s="12">
        <f>INDEX(ovrTable,MATCH(INDEX(oppCol24,ROW()),ovrTeamCol,0),MATCH(MID(INDEX(headerRow,1,COLUMN()),4,LEN(INDEX(headerRow,1,COLUMN()))),ovrHeaderRow,0))</f>
        <v>17.3</v>
      </c>
      <c r="BZ70" s="12">
        <f>INDEX(ovrTable,MATCH(INDEX(oppCol24,ROW()),ovrTeamCol,0),MATCH(MID(INDEX(headerRow,1,COLUMN()),4,LEN(INDEX(headerRow,1,COLUMN()))),ovrHeaderRow,0))</f>
        <v>75.7</v>
      </c>
      <c r="CA70" s="12">
        <f>INDEX(ovrTable,MATCH(INDEX(oppCol24,ROW()),ovrTeamCol,0),MATCH(MID(INDEX(headerRow,1,COLUMN()),4,LEN(INDEX(headerRow,1,COLUMN()))),ovrHeaderRow,0))</f>
        <v>17.600000000000001</v>
      </c>
      <c r="CB70" s="12">
        <f>INDEX(ovrTable,MATCH(INDEX(oppCol24,ROW()),ovrTeamCol,0),MATCH(MID(INDEX(headerRow,1,COLUMN()),4,LEN(INDEX(headerRow,1,COLUMN()))),ovrHeaderRow,0))</f>
        <v>13.4</v>
      </c>
      <c r="CC70" s="12">
        <f>INDEX(ovrTable,MATCH(INDEX(oppCol24,ROW()),ovrTeamCol,0),MATCH(MID(INDEX(headerRow,1,COLUMN()),4,LEN(INDEX(headerRow,1,COLUMN()))),ovrHeaderRow,0))</f>
        <v>68.900000000000006</v>
      </c>
      <c r="CD70" s="12">
        <f>INDEX(ovrTable,MATCH(INDEX(oppCol24,ROW()),ovrTeamCol,0),MATCH(MID(INDEX(headerRow,1,COLUMN()),4,LEN(INDEX(headerRow,1,COLUMN()))),ovrHeaderRow,0))</f>
        <v>9.9700000000000006</v>
      </c>
      <c r="CE70" s="12">
        <f>INDEX(ovrTable,MATCH(INDEX(oppCol24,ROW()),ovrTeamCol,0),MATCH(MID(INDEX(headerRow,1,COLUMN()),4,LEN(INDEX(headerRow,1,COLUMN()))),ovrHeaderRow,0))</f>
        <v>75.400000000000006</v>
      </c>
      <c r="CF70" s="12">
        <f>INDEX(ovrTable,MATCH(INDEX(oppCol24,ROW()),ovrTeamCol,0),MATCH(MID(INDEX(headerRow,1,COLUMN()),4,LEN(INDEX(headerRow,1,COLUMN()))),ovrHeaderRow,0))</f>
        <v>0.6</v>
      </c>
      <c r="CG70" s="12">
        <f>INDEX(ovrTable,MATCH(INDEX(oppCol24,ROW()),ovrTeamCol,0),MATCH(MID(INDEX(headerRow,1,COLUMN()),4,LEN(INDEX(headerRow,1,COLUMN()))),ovrHeaderRow,0))</f>
        <v>34.68</v>
      </c>
      <c r="CH70" s="12">
        <f>INDEX(ovrTable,MATCH(INDEX(oppCol24,ROW()),ovrTeamCol,0),MATCH(MID(INDEX(headerRow,1,COLUMN()),4,LEN(INDEX(headerRow,1,COLUMN()))),ovrHeaderRow,0))</f>
        <v>6.5</v>
      </c>
      <c r="CI70" s="12">
        <f>INDEX(ovrTable,MATCH(INDEX(oppCol24,ROW()),ovrTeamCol,0),MATCH(MID(INDEX(headerRow,1,COLUMN()),4,LEN(INDEX(headerRow,1,COLUMN()))),ovrHeaderRow,0))</f>
        <v>7.2</v>
      </c>
      <c r="CJ70" s="12">
        <f>INDEX(ovrTable,MATCH(INDEX(oppCol24,ROW()),ovrTeamCol,0),MATCH(MID(INDEX(headerRow,1,COLUMN()),4,LEN(INDEX(headerRow,1,COLUMN()))),ovrHeaderRow,0))</f>
        <v>1.3</v>
      </c>
      <c r="CK70" s="12">
        <f>INDEX(ovrTable,MATCH(INDEX(oppCol24,ROW()),ovrTeamCol,0),MATCH(MID(INDEX(headerRow,1,COLUMN()),4,LEN(INDEX(headerRow,1,COLUMN()))),ovrHeaderRow,0))</f>
        <v>12.88</v>
      </c>
      <c r="CL70" s="12">
        <f>INDEX(ovrTable,MATCH(INDEX(oppCol24,ROW()),ovrTeamCol,0),MATCH(MID(INDEX(headerRow,1,COLUMN()),4,LEN(INDEX(headerRow,1,COLUMN()))),ovrHeaderRow,0))</f>
        <v>11.6</v>
      </c>
      <c r="CM70" s="12">
        <f>INDEX(ovrTable,MATCH(INDEX(oppCol24,ROW()),ovrTeamCol,0),MATCH(MID(INDEX(headerRow,1,COLUMN()),4,LEN(INDEX(headerRow,1,COLUMN()))),ovrHeaderRow,0))</f>
        <v>70.3</v>
      </c>
      <c r="CN70" s="12">
        <f>INDEX(ovrTable,MATCH(INDEX(oppCol24,ROW()),ovrTeamCol,0),MATCH(MID(INDEX(headerRow,1,COLUMN()),4,LEN(INDEX(headerRow,1,COLUMN()))),ovrHeaderRow,0))</f>
        <v>20.200000000000003</v>
      </c>
      <c r="CO70" s="12">
        <f>INDEX(ovrTable,MATCH(INDEX(oppCol24,ROW()),ovrTeamCol,0),MATCH(MID(INDEX(headerRow,1,COLUMN()),4,LEN(INDEX(headerRow,1,COLUMN()))),ovrHeaderRow,0))</f>
        <v>58.42217484008529</v>
      </c>
    </row>
    <row r="71" spans="1:93" x14ac:dyDescent="0.3">
      <c r="A71" s="6" t="s">
        <v>60</v>
      </c>
      <c r="B71" s="3">
        <v>7</v>
      </c>
      <c r="C71" s="13" t="s">
        <v>64</v>
      </c>
      <c r="D71" s="14">
        <v>35</v>
      </c>
      <c r="E71" s="23">
        <v>25</v>
      </c>
      <c r="F71" s="24">
        <v>1</v>
      </c>
      <c r="G71" s="23">
        <v>7.1428571428571423</v>
      </c>
      <c r="H71" s="24">
        <v>14</v>
      </c>
      <c r="I71" s="25">
        <v>0.25</v>
      </c>
      <c r="J71" s="24">
        <v>3</v>
      </c>
      <c r="K71" s="24">
        <v>20</v>
      </c>
      <c r="L71" s="24">
        <v>2</v>
      </c>
      <c r="M71" s="24">
        <v>29.3</v>
      </c>
      <c r="N71" s="24">
        <v>29</v>
      </c>
      <c r="O71" s="26">
        <v>0.40909090909090906</v>
      </c>
      <c r="P71" s="24">
        <v>4</v>
      </c>
      <c r="Q71" s="24">
        <v>40</v>
      </c>
      <c r="R71" s="24">
        <v>12</v>
      </c>
      <c r="S71" s="23">
        <v>64.705882352941174</v>
      </c>
      <c r="T71" s="24">
        <v>17</v>
      </c>
      <c r="U71" s="24">
        <v>11</v>
      </c>
      <c r="V71" s="24">
        <v>44</v>
      </c>
      <c r="W71" s="24">
        <v>8</v>
      </c>
      <c r="X71" s="24">
        <v>56</v>
      </c>
      <c r="Y71" s="24">
        <v>-5</v>
      </c>
      <c r="Z71" s="24">
        <v>37</v>
      </c>
      <c r="AA71" s="24">
        <v>12</v>
      </c>
      <c r="AB71" s="24">
        <v>9</v>
      </c>
      <c r="AC71" s="24">
        <v>7</v>
      </c>
      <c r="AD71" s="24">
        <v>19</v>
      </c>
      <c r="AE71" s="24">
        <v>12</v>
      </c>
      <c r="AF71" s="46">
        <f t="shared" si="85"/>
        <v>67.075000000000003</v>
      </c>
      <c r="AG71" s="51">
        <f t="shared" ref="AG71" si="90">AVERAGE(AF70,AF71)</f>
        <v>66.972738907849816</v>
      </c>
      <c r="AH71" s="12">
        <f t="shared" si="78"/>
        <v>33.6</v>
      </c>
      <c r="AI71" s="12">
        <f t="shared" si="78"/>
        <v>7.2</v>
      </c>
      <c r="AJ71" s="12">
        <f t="shared" si="78"/>
        <v>35.5</v>
      </c>
      <c r="AK71" s="12">
        <f t="shared" si="78"/>
        <v>20.3</v>
      </c>
      <c r="AL71" s="12">
        <f t="shared" si="78"/>
        <v>1.3</v>
      </c>
      <c r="AM71" s="12">
        <f t="shared" si="78"/>
        <v>15.1</v>
      </c>
      <c r="AN71" s="12">
        <f t="shared" si="78"/>
        <v>17.59</v>
      </c>
      <c r="AO71" s="12">
        <f t="shared" si="78"/>
        <v>4.4000000000000004</v>
      </c>
      <c r="AP71" s="12">
        <f t="shared" si="78"/>
        <v>42.6</v>
      </c>
      <c r="AQ71" s="12">
        <f t="shared" si="78"/>
        <v>24.71</v>
      </c>
      <c r="AR71" s="12">
        <f t="shared" si="79"/>
        <v>0.53</v>
      </c>
      <c r="AS71" s="12">
        <f t="shared" si="79"/>
        <v>12.18</v>
      </c>
      <c r="AT71" s="12">
        <f t="shared" si="79"/>
        <v>46.9</v>
      </c>
      <c r="AU71" s="12">
        <f t="shared" si="79"/>
        <v>17.3</v>
      </c>
      <c r="AV71" s="12">
        <f t="shared" si="79"/>
        <v>75.7</v>
      </c>
      <c r="AW71" s="12">
        <f t="shared" si="79"/>
        <v>17.600000000000001</v>
      </c>
      <c r="AX71" s="12">
        <f t="shared" si="79"/>
        <v>13.4</v>
      </c>
      <c r="AY71" s="12">
        <f t="shared" si="79"/>
        <v>68.900000000000006</v>
      </c>
      <c r="AZ71" s="12">
        <f t="shared" si="79"/>
        <v>9.9700000000000006</v>
      </c>
      <c r="BA71" s="12">
        <f t="shared" si="79"/>
        <v>75.400000000000006</v>
      </c>
      <c r="BB71" s="12">
        <f t="shared" si="80"/>
        <v>0.6</v>
      </c>
      <c r="BC71" s="12">
        <f t="shared" si="80"/>
        <v>34.68</v>
      </c>
      <c r="BD71" s="12">
        <f t="shared" si="80"/>
        <v>6.5</v>
      </c>
      <c r="BE71" s="12">
        <f t="shared" si="80"/>
        <v>7.2</v>
      </c>
      <c r="BF71" s="12">
        <f t="shared" si="80"/>
        <v>1.3</v>
      </c>
      <c r="BG71" s="12">
        <f t="shared" si="80"/>
        <v>12.88</v>
      </c>
      <c r="BH71" s="12">
        <f t="shared" si="80"/>
        <v>11.6</v>
      </c>
      <c r="BI71" s="12">
        <f t="shared" si="80"/>
        <v>70.3</v>
      </c>
      <c r="BJ71" s="12">
        <f t="shared" si="80"/>
        <v>20.200000000000003</v>
      </c>
      <c r="BK71" s="12">
        <f t="shared" si="80"/>
        <v>58.42217484008529</v>
      </c>
      <c r="BL71" s="12">
        <f>INDEX(ovrTable,MATCH(INDEX(oppCol24,ROW()),ovrTeamCol,0),MATCH(MID(INDEX(headerRow,1,COLUMN()),4,LEN(INDEX(headerRow,1,COLUMN()))),ovrHeaderRow,0))</f>
        <v>32.200000000000003</v>
      </c>
      <c r="BM71" s="12">
        <f>INDEX(ovrTable,MATCH(INDEX(oppCol24,ROW()),ovrTeamCol,0),MATCH(MID(INDEX(headerRow,1,COLUMN()),4,LEN(INDEX(headerRow,1,COLUMN()))),ovrHeaderRow,0))</f>
        <v>7.3</v>
      </c>
      <c r="BN71" s="12">
        <f>INDEX(ovrTable,MATCH(INDEX(oppCol24,ROW()),ovrTeamCol,0),MATCH(MID(INDEX(headerRow,1,COLUMN()),4,LEN(INDEX(headerRow,1,COLUMN()))),ovrHeaderRow,0))</f>
        <v>33.799999999999997</v>
      </c>
      <c r="BO71" s="12">
        <f>INDEX(ovrTable,MATCH(INDEX(oppCol24,ROW()),ovrTeamCol,0),MATCH(MID(INDEX(headerRow,1,COLUMN()),4,LEN(INDEX(headerRow,1,COLUMN()))),ovrHeaderRow,0))</f>
        <v>21.7</v>
      </c>
      <c r="BP71" s="12">
        <f>INDEX(ovrTable,MATCH(INDEX(oppCol24,ROW()),ovrTeamCol,0),MATCH(MID(INDEX(headerRow,1,COLUMN()),4,LEN(INDEX(headerRow,1,COLUMN()))),ovrHeaderRow,0))</f>
        <v>1.72</v>
      </c>
      <c r="BQ71" s="12">
        <f>INDEX(ovrTable,MATCH(INDEX(oppCol24,ROW()),ovrTeamCol,0),MATCH(MID(INDEX(headerRow,1,COLUMN()),4,LEN(INDEX(headerRow,1,COLUMN()))),ovrHeaderRow,0))</f>
        <v>18</v>
      </c>
      <c r="BR71" s="12">
        <f>INDEX(ovrTable,MATCH(INDEX(oppCol24,ROW()),ovrTeamCol,0),MATCH(MID(INDEX(headerRow,1,COLUMN()),4,LEN(INDEX(headerRow,1,COLUMN()))),ovrHeaderRow,0))</f>
        <v>17.420000000000002</v>
      </c>
      <c r="BS71" s="12">
        <f>INDEX(ovrTable,MATCH(INDEX(oppCol24,ROW()),ovrTeamCol,0),MATCH(MID(INDEX(headerRow,1,COLUMN()),4,LEN(INDEX(headerRow,1,COLUMN()))),ovrHeaderRow,0))</f>
        <v>3.1</v>
      </c>
      <c r="BT71" s="12">
        <f>INDEX(ovrTable,MATCH(INDEX(oppCol24,ROW()),ovrTeamCol,0),MATCH(MID(INDEX(headerRow,1,COLUMN()),4,LEN(INDEX(headerRow,1,COLUMN()))),ovrHeaderRow,0))</f>
        <v>42.6</v>
      </c>
      <c r="BU71" s="12">
        <f>INDEX(ovrTable,MATCH(INDEX(oppCol24,ROW()),ovrTeamCol,0),MATCH(MID(INDEX(headerRow,1,COLUMN()),4,LEN(INDEX(headerRow,1,COLUMN()))),ovrHeaderRow,0))</f>
        <v>25.56</v>
      </c>
      <c r="BV71" s="12">
        <f>INDEX(ovrTable,MATCH(INDEX(oppCol24,ROW()),ovrTeamCol,0),MATCH(MID(INDEX(headerRow,1,COLUMN()),4,LEN(INDEX(headerRow,1,COLUMN()))),ovrHeaderRow,0))</f>
        <v>0.54900000000000004</v>
      </c>
      <c r="BW71" s="12">
        <f>INDEX(ovrTable,MATCH(INDEX(oppCol24,ROW()),ovrTeamCol,0),MATCH(MID(INDEX(headerRow,1,COLUMN()),4,LEN(INDEX(headerRow,1,COLUMN()))),ovrHeaderRow,0))</f>
        <v>11.78</v>
      </c>
      <c r="BX71" s="12">
        <f>INDEX(ovrTable,MATCH(INDEX(oppCol24,ROW()),ovrTeamCol,0),MATCH(MID(INDEX(headerRow,1,COLUMN()),4,LEN(INDEX(headerRow,1,COLUMN()))),ovrHeaderRow,0))</f>
        <v>48.4</v>
      </c>
      <c r="BY71" s="12">
        <f>INDEX(ovrTable,MATCH(INDEX(oppCol24,ROW()),ovrTeamCol,0),MATCH(MID(INDEX(headerRow,1,COLUMN()),4,LEN(INDEX(headerRow,1,COLUMN()))),ovrHeaderRow,0))</f>
        <v>17</v>
      </c>
      <c r="BZ71" s="12">
        <f>INDEX(ovrTable,MATCH(INDEX(oppCol24,ROW()),ovrTeamCol,0),MATCH(MID(INDEX(headerRow,1,COLUMN()),4,LEN(INDEX(headerRow,1,COLUMN()))),ovrHeaderRow,0))</f>
        <v>75.2</v>
      </c>
      <c r="CA71" s="12">
        <f>INDEX(ovrTable,MATCH(INDEX(oppCol24,ROW()),ovrTeamCol,0),MATCH(MID(INDEX(headerRow,1,COLUMN()),4,LEN(INDEX(headerRow,1,COLUMN()))),ovrHeaderRow,0))</f>
        <v>17.8</v>
      </c>
      <c r="CB71" s="12">
        <f>INDEX(ovrTable,MATCH(INDEX(oppCol24,ROW()),ovrTeamCol,0),MATCH(MID(INDEX(headerRow,1,COLUMN()),4,LEN(INDEX(headerRow,1,COLUMN()))),ovrHeaderRow,0))</f>
        <v>13.4</v>
      </c>
      <c r="CC71" s="12">
        <f>INDEX(ovrTable,MATCH(INDEX(oppCol24,ROW()),ovrTeamCol,0),MATCH(MID(INDEX(headerRow,1,COLUMN()),4,LEN(INDEX(headerRow,1,COLUMN()))),ovrHeaderRow,0))</f>
        <v>67.3</v>
      </c>
      <c r="CD71" s="12">
        <f>INDEX(ovrTable,MATCH(INDEX(oppCol24,ROW()),ovrTeamCol,0),MATCH(MID(INDEX(headerRow,1,COLUMN()),4,LEN(INDEX(headerRow,1,COLUMN()))),ovrHeaderRow,0))</f>
        <v>7.86</v>
      </c>
      <c r="CE71" s="12">
        <f>INDEX(ovrTable,MATCH(INDEX(oppCol24,ROW()),ovrTeamCol,0),MATCH(MID(INDEX(headerRow,1,COLUMN()),4,LEN(INDEX(headerRow,1,COLUMN()))),ovrHeaderRow,0))</f>
        <v>75.2</v>
      </c>
      <c r="CF71" s="12">
        <f>INDEX(ovrTable,MATCH(INDEX(oppCol24,ROW()),ovrTeamCol,0),MATCH(MID(INDEX(headerRow,1,COLUMN()),4,LEN(INDEX(headerRow,1,COLUMN()))),ovrHeaderRow,0))</f>
        <v>0.6</v>
      </c>
      <c r="CG71" s="12">
        <f>INDEX(ovrTable,MATCH(INDEX(oppCol24,ROW()),ovrTeamCol,0),MATCH(MID(INDEX(headerRow,1,COLUMN()),4,LEN(INDEX(headerRow,1,COLUMN()))),ovrHeaderRow,0))</f>
        <v>33.42</v>
      </c>
      <c r="CH71" s="12">
        <f>INDEX(ovrTable,MATCH(INDEX(oppCol24,ROW()),ovrTeamCol,0),MATCH(MID(INDEX(headerRow,1,COLUMN()),4,LEN(INDEX(headerRow,1,COLUMN()))),ovrHeaderRow,0))</f>
        <v>7.9</v>
      </c>
      <c r="CI71" s="12">
        <f>INDEX(ovrTable,MATCH(INDEX(oppCol24,ROW()),ovrTeamCol,0),MATCH(MID(INDEX(headerRow,1,COLUMN()),4,LEN(INDEX(headerRow,1,COLUMN()))),ovrHeaderRow,0))</f>
        <v>6.3</v>
      </c>
      <c r="CJ71" s="12">
        <f>INDEX(ovrTable,MATCH(INDEX(oppCol24,ROW()),ovrTeamCol,0),MATCH(MID(INDEX(headerRow,1,COLUMN()),4,LEN(INDEX(headerRow,1,COLUMN()))),ovrHeaderRow,0))</f>
        <v>1.1000000000000001</v>
      </c>
      <c r="CK71" s="12">
        <f>INDEX(ovrTable,MATCH(INDEX(oppCol24,ROW()),ovrTeamCol,0),MATCH(MID(INDEX(headerRow,1,COLUMN()),4,LEN(INDEX(headerRow,1,COLUMN()))),ovrHeaderRow,0))</f>
        <v>11.53</v>
      </c>
      <c r="CL71" s="12">
        <f>INDEX(ovrTable,MATCH(INDEX(oppCol24,ROW()),ovrTeamCol,0),MATCH(MID(INDEX(headerRow,1,COLUMN()),4,LEN(INDEX(headerRow,1,COLUMN()))),ovrHeaderRow,0))</f>
        <v>10.4</v>
      </c>
      <c r="CM71" s="12">
        <f>INDEX(ovrTable,MATCH(INDEX(oppCol24,ROW()),ovrTeamCol,0),MATCH(MID(INDEX(headerRow,1,COLUMN()),4,LEN(INDEX(headerRow,1,COLUMN()))),ovrHeaderRow,0))</f>
        <v>67.900000000000006</v>
      </c>
      <c r="CN71" s="12">
        <f>INDEX(ovrTable,MATCH(INDEX(oppCol24,ROW()),ovrTeamCol,0),MATCH(MID(INDEX(headerRow,1,COLUMN()),4,LEN(INDEX(headerRow,1,COLUMN()))),ovrHeaderRow,0))</f>
        <v>19.950000000000003</v>
      </c>
      <c r="CO71" s="12">
        <f>INDEX(ovrTable,MATCH(INDEX(oppCol24,ROW()),ovrTeamCol,0),MATCH(MID(INDEX(headerRow,1,COLUMN()),4,LEN(INDEX(headerRow,1,COLUMN()))),ovrHeaderRow,0))</f>
        <v>56.301652892561997</v>
      </c>
    </row>
    <row r="72" spans="1:93" x14ac:dyDescent="0.3">
      <c r="A72" s="6" t="s">
        <v>69</v>
      </c>
      <c r="B72" s="3">
        <v>15</v>
      </c>
      <c r="C72" s="13" t="s">
        <v>55</v>
      </c>
      <c r="D72" s="14">
        <v>36</v>
      </c>
      <c r="E72" s="23">
        <v>45.833333333333329</v>
      </c>
      <c r="F72" s="24">
        <v>4</v>
      </c>
      <c r="G72" s="23">
        <v>16.666666666666664</v>
      </c>
      <c r="H72" s="24">
        <v>24</v>
      </c>
      <c r="I72" s="25">
        <v>0.5</v>
      </c>
      <c r="J72" s="24">
        <v>3</v>
      </c>
      <c r="K72" s="24">
        <v>13</v>
      </c>
      <c r="L72" s="24">
        <v>1</v>
      </c>
      <c r="M72" s="24">
        <v>50.9</v>
      </c>
      <c r="N72" s="24">
        <v>13</v>
      </c>
      <c r="O72" s="26">
        <v>0.32737500000000003</v>
      </c>
      <c r="P72" s="24">
        <v>6</v>
      </c>
      <c r="Q72" s="24">
        <v>29.1</v>
      </c>
      <c r="R72" s="24">
        <v>22</v>
      </c>
      <c r="S72" s="23">
        <v>68.421052631578945</v>
      </c>
      <c r="T72" s="24">
        <v>19</v>
      </c>
      <c r="U72" s="24">
        <v>13</v>
      </c>
      <c r="V72" s="24">
        <v>83</v>
      </c>
      <c r="W72" s="24">
        <v>8</v>
      </c>
      <c r="X72" s="24">
        <v>49</v>
      </c>
      <c r="Y72" s="24">
        <v>-26</v>
      </c>
      <c r="Z72" s="24">
        <v>21</v>
      </c>
      <c r="AA72" s="24">
        <v>-34</v>
      </c>
      <c r="AB72" s="24">
        <v>4</v>
      </c>
      <c r="AC72" s="24">
        <v>9</v>
      </c>
      <c r="AD72" s="24">
        <v>15</v>
      </c>
      <c r="AE72" s="24">
        <v>6</v>
      </c>
      <c r="AF72" s="46">
        <f t="shared" si="85"/>
        <v>62.007817869415803</v>
      </c>
      <c r="AG72" s="51">
        <f t="shared" ref="AG72" si="91">AVERAGE(AF72,AF73)</f>
        <v>64.464002254943665</v>
      </c>
      <c r="AH72" s="12">
        <f t="shared" ref="AH72:AQ81" si="92">INDEX(ovrTable,MATCH(INDEX(teamCol,ROW()),ovrTeamCol,0),MATCH(MID(INDEX(headerRow,1,COLUMN()),4,LEN(INDEX(headerRow,1,COLUMN()))),ovrHeaderRow,0))</f>
        <v>32.700000000000003</v>
      </c>
      <c r="AI72" s="12">
        <f t="shared" si="92"/>
        <v>5.8</v>
      </c>
      <c r="AJ72" s="12">
        <f t="shared" si="92"/>
        <v>32.5</v>
      </c>
      <c r="AK72" s="12">
        <f t="shared" si="92"/>
        <v>17.899999999999999</v>
      </c>
      <c r="AL72" s="12">
        <f t="shared" si="92"/>
        <v>0.85</v>
      </c>
      <c r="AM72" s="12">
        <f t="shared" si="92"/>
        <v>10.6</v>
      </c>
      <c r="AN72" s="12">
        <f t="shared" si="92"/>
        <v>19.18</v>
      </c>
      <c r="AO72" s="12">
        <f t="shared" si="92"/>
        <v>4.2</v>
      </c>
      <c r="AP72" s="12">
        <f t="shared" si="92"/>
        <v>41.7</v>
      </c>
      <c r="AQ72" s="12">
        <f t="shared" si="92"/>
        <v>22.73</v>
      </c>
      <c r="AR72" s="12">
        <f t="shared" ref="AR72:BA81" si="93">INDEX(ovrTable,MATCH(INDEX(teamCol,ROW()),ovrTeamCol,0),MATCH(MID(INDEX(headerRow,1,COLUMN()),4,LEN(INDEX(headerRow,1,COLUMN()))),ovrHeaderRow,0))</f>
        <v>0.44600000000000001</v>
      </c>
      <c r="AS72" s="12">
        <f t="shared" si="93"/>
        <v>9.33</v>
      </c>
      <c r="AT72" s="12">
        <f t="shared" si="93"/>
        <v>39.299999999999997</v>
      </c>
      <c r="AU72" s="12">
        <f t="shared" si="93"/>
        <v>19.399999999999999</v>
      </c>
      <c r="AV72" s="12">
        <f t="shared" si="93"/>
        <v>71.2</v>
      </c>
      <c r="AW72" s="12">
        <f t="shared" si="93"/>
        <v>21.6</v>
      </c>
      <c r="AX72" s="12">
        <f t="shared" si="93"/>
        <v>15.4</v>
      </c>
      <c r="AY72" s="12">
        <f t="shared" si="93"/>
        <v>64</v>
      </c>
      <c r="AZ72" s="12">
        <f t="shared" si="93"/>
        <v>12.45</v>
      </c>
      <c r="BA72" s="12">
        <f t="shared" si="93"/>
        <v>64.8</v>
      </c>
      <c r="BB72" s="12">
        <f t="shared" ref="BB72:BK81" si="94">INDEX(ovrTable,MATCH(INDEX(teamCol,ROW()),ovrTeamCol,0),MATCH(MID(INDEX(headerRow,1,COLUMN()),4,LEN(INDEX(headerRow,1,COLUMN()))),ovrHeaderRow,0))</f>
        <v>1.7</v>
      </c>
      <c r="BC72" s="12">
        <f t="shared" si="94"/>
        <v>35.18</v>
      </c>
      <c r="BD72" s="12">
        <f t="shared" si="94"/>
        <v>0.8</v>
      </c>
      <c r="BE72" s="12">
        <f t="shared" si="94"/>
        <v>7.1</v>
      </c>
      <c r="BF72" s="12">
        <f t="shared" si="94"/>
        <v>1.1000000000000001</v>
      </c>
      <c r="BG72" s="12">
        <f t="shared" si="94"/>
        <v>13.61</v>
      </c>
      <c r="BH72" s="12">
        <f t="shared" si="94"/>
        <v>12.5</v>
      </c>
      <c r="BI72" s="12">
        <f t="shared" si="94"/>
        <v>67.400000000000006</v>
      </c>
      <c r="BJ72" s="12">
        <f t="shared" si="94"/>
        <v>16</v>
      </c>
      <c r="BK72" s="12">
        <f t="shared" si="94"/>
        <v>55.470737913486012</v>
      </c>
      <c r="BL72" s="12">
        <f>INDEX(ovrTable,MATCH(INDEX(oppCol24,ROW()),ovrTeamCol,0),MATCH(MID(INDEX(headerRow,1,COLUMN()),4,LEN(INDEX(headerRow,1,COLUMN()))),ovrHeaderRow,0))</f>
        <v>31.2</v>
      </c>
      <c r="BM72" s="12">
        <f>INDEX(ovrTable,MATCH(INDEX(oppCol24,ROW()),ovrTeamCol,0),MATCH(MID(INDEX(headerRow,1,COLUMN()),4,LEN(INDEX(headerRow,1,COLUMN()))),ovrHeaderRow,0))</f>
        <v>8.8000000000000007</v>
      </c>
      <c r="BN72" s="12">
        <f>INDEX(ovrTable,MATCH(INDEX(oppCol24,ROW()),ovrTeamCol,0),MATCH(MID(INDEX(headerRow,1,COLUMN()),4,LEN(INDEX(headerRow,1,COLUMN()))),ovrHeaderRow,0))</f>
        <v>34.4</v>
      </c>
      <c r="BO72" s="12">
        <f>INDEX(ovrTable,MATCH(INDEX(oppCol24,ROW()),ovrTeamCol,0),MATCH(MID(INDEX(headerRow,1,COLUMN()),4,LEN(INDEX(headerRow,1,COLUMN()))),ovrHeaderRow,0))</f>
        <v>25.4</v>
      </c>
      <c r="BP72" s="12">
        <f>INDEX(ovrTable,MATCH(INDEX(oppCol24,ROW()),ovrTeamCol,0),MATCH(MID(INDEX(headerRow,1,COLUMN()),4,LEN(INDEX(headerRow,1,COLUMN()))),ovrHeaderRow,0))</f>
        <v>1.63</v>
      </c>
      <c r="BQ72" s="12">
        <f>INDEX(ovrTable,MATCH(INDEX(oppCol24,ROW()),ovrTeamCol,0),MATCH(MID(INDEX(headerRow,1,COLUMN()),4,LEN(INDEX(headerRow,1,COLUMN()))),ovrHeaderRow,0))</f>
        <v>16.7</v>
      </c>
      <c r="BR72" s="12">
        <f>INDEX(ovrTable,MATCH(INDEX(oppCol24,ROW()),ovrTeamCol,0),MATCH(MID(INDEX(headerRow,1,COLUMN()),4,LEN(INDEX(headerRow,1,COLUMN()))),ovrHeaderRow,0))</f>
        <v>18.86</v>
      </c>
      <c r="BS72" s="12">
        <f>INDEX(ovrTable,MATCH(INDEX(oppCol24,ROW()),ovrTeamCol,0),MATCH(MID(INDEX(headerRow,1,COLUMN()),4,LEN(INDEX(headerRow,1,COLUMN()))),ovrHeaderRow,0))</f>
        <v>4.5999999999999996</v>
      </c>
      <c r="BT72" s="12">
        <f>INDEX(ovrTable,MATCH(INDEX(oppCol24,ROW()),ovrTeamCol,0),MATCH(MID(INDEX(headerRow,1,COLUMN()),4,LEN(INDEX(headerRow,1,COLUMN()))),ovrHeaderRow,0))</f>
        <v>38.9</v>
      </c>
      <c r="BU72" s="12">
        <f>INDEX(ovrTable,MATCH(INDEX(oppCol24,ROW()),ovrTeamCol,0),MATCH(MID(INDEX(headerRow,1,COLUMN()),4,LEN(INDEX(headerRow,1,COLUMN()))),ovrHeaderRow,0))</f>
        <v>27.06</v>
      </c>
      <c r="BV72" s="12">
        <f>INDEX(ovrTable,MATCH(INDEX(oppCol24,ROW()),ovrTeamCol,0),MATCH(MID(INDEX(headerRow,1,COLUMN()),4,LEN(INDEX(headerRow,1,COLUMN()))),ovrHeaderRow,0))</f>
        <v>0.51100000000000001</v>
      </c>
      <c r="BW72" s="12">
        <f>INDEX(ovrTable,MATCH(INDEX(oppCol24,ROW()),ovrTeamCol,0),MATCH(MID(INDEX(headerRow,1,COLUMN()),4,LEN(INDEX(headerRow,1,COLUMN()))),ovrHeaderRow,0))</f>
        <v>12.19</v>
      </c>
      <c r="BX72" s="12">
        <f>INDEX(ovrTable,MATCH(INDEX(oppCol24,ROW()),ovrTeamCol,0),MATCH(MID(INDEX(headerRow,1,COLUMN()),4,LEN(INDEX(headerRow,1,COLUMN()))),ovrHeaderRow,0))</f>
        <v>44</v>
      </c>
      <c r="BY72" s="12">
        <f>INDEX(ovrTable,MATCH(INDEX(oppCol24,ROW()),ovrTeamCol,0),MATCH(MID(INDEX(headerRow,1,COLUMN()),4,LEN(INDEX(headerRow,1,COLUMN()))),ovrHeaderRow,0))</f>
        <v>17.5</v>
      </c>
      <c r="BZ72" s="12">
        <f>INDEX(ovrTable,MATCH(INDEX(oppCol24,ROW()),ovrTeamCol,0),MATCH(MID(INDEX(headerRow,1,COLUMN()),4,LEN(INDEX(headerRow,1,COLUMN()))),ovrHeaderRow,0))</f>
        <v>75.099999999999994</v>
      </c>
      <c r="CA72" s="12">
        <f>INDEX(ovrTable,MATCH(INDEX(oppCol24,ROW()),ovrTeamCol,0),MATCH(MID(INDEX(headerRow,1,COLUMN()),4,LEN(INDEX(headerRow,1,COLUMN()))),ovrHeaderRow,0))</f>
        <v>20.8</v>
      </c>
      <c r="CB72" s="12">
        <f>INDEX(ovrTable,MATCH(INDEX(oppCol24,ROW()),ovrTeamCol,0),MATCH(MID(INDEX(headerRow,1,COLUMN()),4,LEN(INDEX(headerRow,1,COLUMN()))),ovrHeaderRow,0))</f>
        <v>15.6</v>
      </c>
      <c r="CC72" s="12">
        <f>INDEX(ovrTable,MATCH(INDEX(oppCol24,ROW()),ovrTeamCol,0),MATCH(MID(INDEX(headerRow,1,COLUMN()),4,LEN(INDEX(headerRow,1,COLUMN()))),ovrHeaderRow,0))</f>
        <v>67.400000000000006</v>
      </c>
      <c r="CD72" s="12">
        <f>INDEX(ovrTable,MATCH(INDEX(oppCol24,ROW()),ovrTeamCol,0),MATCH(MID(INDEX(headerRow,1,COLUMN()),4,LEN(INDEX(headerRow,1,COLUMN()))),ovrHeaderRow,0))</f>
        <v>11.64</v>
      </c>
      <c r="CE72" s="12">
        <f>INDEX(ovrTable,MATCH(INDEX(oppCol24,ROW()),ovrTeamCol,0),MATCH(MID(INDEX(headerRow,1,COLUMN()),4,LEN(INDEX(headerRow,1,COLUMN()))),ovrHeaderRow,0))</f>
        <v>78.8</v>
      </c>
      <c r="CF72" s="12">
        <f>INDEX(ovrTable,MATCH(INDEX(oppCol24,ROW()),ovrTeamCol,0),MATCH(MID(INDEX(headerRow,1,COLUMN()),4,LEN(INDEX(headerRow,1,COLUMN()))),ovrHeaderRow,0))</f>
        <v>3.6</v>
      </c>
      <c r="CG72" s="12">
        <f>INDEX(ovrTable,MATCH(INDEX(oppCol24,ROW()),ovrTeamCol,0),MATCH(MID(INDEX(headerRow,1,COLUMN()),4,LEN(INDEX(headerRow,1,COLUMN()))),ovrHeaderRow,0))</f>
        <v>38.69</v>
      </c>
      <c r="CH72" s="12">
        <f>INDEX(ovrTable,MATCH(INDEX(oppCol24,ROW()),ovrTeamCol,0),MATCH(MID(INDEX(headerRow,1,COLUMN()),4,LEN(INDEX(headerRow,1,COLUMN()))),ovrHeaderRow,0))</f>
        <v>11.4</v>
      </c>
      <c r="CI72" s="12">
        <f>INDEX(ovrTable,MATCH(INDEX(oppCol24,ROW()),ovrTeamCol,0),MATCH(MID(INDEX(headerRow,1,COLUMN()),4,LEN(INDEX(headerRow,1,COLUMN()))),ovrHeaderRow,0))</f>
        <v>7.8</v>
      </c>
      <c r="CJ72" s="12">
        <f>INDEX(ovrTable,MATCH(INDEX(oppCol24,ROW()),ovrTeamCol,0),MATCH(MID(INDEX(headerRow,1,COLUMN()),4,LEN(INDEX(headerRow,1,COLUMN()))),ovrHeaderRow,0))</f>
        <v>2.8</v>
      </c>
      <c r="CK72" s="12">
        <f>INDEX(ovrTable,MATCH(INDEX(oppCol24,ROW()),ovrTeamCol,0),MATCH(MID(INDEX(headerRow,1,COLUMN()),4,LEN(INDEX(headerRow,1,COLUMN()))),ovrHeaderRow,0))</f>
        <v>13.03</v>
      </c>
      <c r="CL72" s="12">
        <f>INDEX(ovrTable,MATCH(INDEX(oppCol24,ROW()),ovrTeamCol,0),MATCH(MID(INDEX(headerRow,1,COLUMN()),4,LEN(INDEX(headerRow,1,COLUMN()))),ovrHeaderRow,0))</f>
        <v>10.199999999999999</v>
      </c>
      <c r="CM72" s="12">
        <f>INDEX(ovrTable,MATCH(INDEX(oppCol24,ROW()),ovrTeamCol,0),MATCH(MID(INDEX(headerRow,1,COLUMN()),4,LEN(INDEX(headerRow,1,COLUMN()))),ovrHeaderRow,0))</f>
        <v>71.599999999999994</v>
      </c>
      <c r="CN72" s="12">
        <f>INDEX(ovrTable,MATCH(INDEX(oppCol24,ROW()),ovrTeamCol,0),MATCH(MID(INDEX(headerRow,1,COLUMN()),4,LEN(INDEX(headerRow,1,COLUMN()))),ovrHeaderRow,0))</f>
        <v>18.399999999999999</v>
      </c>
      <c r="CO72" s="12">
        <f>INDEX(ovrTable,MATCH(INDEX(oppCol24,ROW()),ovrTeamCol,0),MATCH(MID(INDEX(headerRow,1,COLUMN()),4,LEN(INDEX(headerRow,1,COLUMN()))),ovrHeaderRow,0))</f>
        <v>61.81818181818182</v>
      </c>
    </row>
    <row r="73" spans="1:93" x14ac:dyDescent="0.3">
      <c r="A73" s="6" t="s">
        <v>55</v>
      </c>
      <c r="B73" s="3">
        <v>2</v>
      </c>
      <c r="C73" s="13" t="s">
        <v>69</v>
      </c>
      <c r="D73" s="14">
        <v>36</v>
      </c>
      <c r="E73" s="23">
        <v>16.666666666666664</v>
      </c>
      <c r="F73" s="24">
        <v>11</v>
      </c>
      <c r="G73" s="23">
        <v>45.833333333333329</v>
      </c>
      <c r="H73" s="24">
        <v>24</v>
      </c>
      <c r="I73" s="25">
        <v>1.2666666666666666</v>
      </c>
      <c r="J73" s="24">
        <v>19</v>
      </c>
      <c r="K73" s="24">
        <v>28</v>
      </c>
      <c r="L73" s="24">
        <v>5</v>
      </c>
      <c r="M73" s="24">
        <v>29.1</v>
      </c>
      <c r="N73" s="24">
        <v>34</v>
      </c>
      <c r="O73" s="26">
        <v>0.61268518518518522</v>
      </c>
      <c r="P73" s="24">
        <v>9</v>
      </c>
      <c r="Q73" s="24">
        <v>50.9</v>
      </c>
      <c r="R73" s="24">
        <v>17</v>
      </c>
      <c r="S73" s="23">
        <v>72</v>
      </c>
      <c r="T73" s="24">
        <v>25</v>
      </c>
      <c r="U73" s="24">
        <v>18</v>
      </c>
      <c r="V73" s="24">
        <v>49</v>
      </c>
      <c r="W73" s="24">
        <v>13</v>
      </c>
      <c r="X73" s="24">
        <v>83</v>
      </c>
      <c r="Y73" s="24">
        <v>26</v>
      </c>
      <c r="Z73" s="24">
        <v>47</v>
      </c>
      <c r="AA73" s="24">
        <v>34</v>
      </c>
      <c r="AB73" s="24">
        <v>4</v>
      </c>
      <c r="AC73" s="24">
        <v>-9</v>
      </c>
      <c r="AD73" s="24">
        <v>6</v>
      </c>
      <c r="AE73" s="24">
        <v>15</v>
      </c>
      <c r="AF73" s="46">
        <f t="shared" si="85"/>
        <v>66.920186640471513</v>
      </c>
      <c r="AG73" s="51">
        <f t="shared" ref="AG73" si="95">AVERAGE(AF72,AF73)</f>
        <v>64.464002254943665</v>
      </c>
      <c r="AH73" s="12">
        <f t="shared" si="92"/>
        <v>31.2</v>
      </c>
      <c r="AI73" s="12">
        <f t="shared" si="92"/>
        <v>8.8000000000000007</v>
      </c>
      <c r="AJ73" s="12">
        <f t="shared" si="92"/>
        <v>34.4</v>
      </c>
      <c r="AK73" s="12">
        <f t="shared" si="92"/>
        <v>25.4</v>
      </c>
      <c r="AL73" s="12">
        <f t="shared" si="92"/>
        <v>1.63</v>
      </c>
      <c r="AM73" s="12">
        <f t="shared" si="92"/>
        <v>16.7</v>
      </c>
      <c r="AN73" s="12">
        <f t="shared" si="92"/>
        <v>18.86</v>
      </c>
      <c r="AO73" s="12">
        <f t="shared" si="92"/>
        <v>4.5999999999999996</v>
      </c>
      <c r="AP73" s="12">
        <f t="shared" si="92"/>
        <v>38.9</v>
      </c>
      <c r="AQ73" s="12">
        <f t="shared" si="92"/>
        <v>27.06</v>
      </c>
      <c r="AR73" s="12">
        <f t="shared" si="93"/>
        <v>0.51100000000000001</v>
      </c>
      <c r="AS73" s="12">
        <f t="shared" si="93"/>
        <v>12.19</v>
      </c>
      <c r="AT73" s="12">
        <f t="shared" si="93"/>
        <v>44</v>
      </c>
      <c r="AU73" s="12">
        <f t="shared" si="93"/>
        <v>17.5</v>
      </c>
      <c r="AV73" s="12">
        <f t="shared" si="93"/>
        <v>75.099999999999994</v>
      </c>
      <c r="AW73" s="12">
        <f t="shared" si="93"/>
        <v>20.8</v>
      </c>
      <c r="AX73" s="12">
        <f t="shared" si="93"/>
        <v>15.6</v>
      </c>
      <c r="AY73" s="12">
        <f t="shared" si="93"/>
        <v>67.400000000000006</v>
      </c>
      <c r="AZ73" s="12">
        <f t="shared" si="93"/>
        <v>11.64</v>
      </c>
      <c r="BA73" s="12">
        <f t="shared" si="93"/>
        <v>78.8</v>
      </c>
      <c r="BB73" s="12">
        <f t="shared" si="94"/>
        <v>3.6</v>
      </c>
      <c r="BC73" s="12">
        <f t="shared" si="94"/>
        <v>38.69</v>
      </c>
      <c r="BD73" s="12">
        <f t="shared" si="94"/>
        <v>11.4</v>
      </c>
      <c r="BE73" s="12">
        <f t="shared" si="94"/>
        <v>7.8</v>
      </c>
      <c r="BF73" s="12">
        <f t="shared" si="94"/>
        <v>2.8</v>
      </c>
      <c r="BG73" s="12">
        <f t="shared" si="94"/>
        <v>13.03</v>
      </c>
      <c r="BH73" s="12">
        <f t="shared" si="94"/>
        <v>10.199999999999999</v>
      </c>
      <c r="BI73" s="12">
        <f t="shared" si="94"/>
        <v>71.599999999999994</v>
      </c>
      <c r="BJ73" s="12">
        <f t="shared" si="94"/>
        <v>18.399999999999999</v>
      </c>
      <c r="BK73" s="12">
        <f t="shared" si="94"/>
        <v>61.81818181818182</v>
      </c>
      <c r="BL73" s="12">
        <f>INDEX(ovrTable,MATCH(INDEX(oppCol24,ROW()),ovrTeamCol,0),MATCH(MID(INDEX(headerRow,1,COLUMN()),4,LEN(INDEX(headerRow,1,COLUMN()))),ovrHeaderRow,0))</f>
        <v>32.700000000000003</v>
      </c>
      <c r="BM73" s="12">
        <f>INDEX(ovrTable,MATCH(INDEX(oppCol24,ROW()),ovrTeamCol,0),MATCH(MID(INDEX(headerRow,1,COLUMN()),4,LEN(INDEX(headerRow,1,COLUMN()))),ovrHeaderRow,0))</f>
        <v>5.8</v>
      </c>
      <c r="BN73" s="12">
        <f>INDEX(ovrTable,MATCH(INDEX(oppCol24,ROW()),ovrTeamCol,0),MATCH(MID(INDEX(headerRow,1,COLUMN()),4,LEN(INDEX(headerRow,1,COLUMN()))),ovrHeaderRow,0))</f>
        <v>32.5</v>
      </c>
      <c r="BO73" s="12">
        <f>INDEX(ovrTable,MATCH(INDEX(oppCol24,ROW()),ovrTeamCol,0),MATCH(MID(INDEX(headerRow,1,COLUMN()),4,LEN(INDEX(headerRow,1,COLUMN()))),ovrHeaderRow,0))</f>
        <v>17.899999999999999</v>
      </c>
      <c r="BP73" s="12">
        <f>INDEX(ovrTable,MATCH(INDEX(oppCol24,ROW()),ovrTeamCol,0),MATCH(MID(INDEX(headerRow,1,COLUMN()),4,LEN(INDEX(headerRow,1,COLUMN()))),ovrHeaderRow,0))</f>
        <v>0.85</v>
      </c>
      <c r="BQ73" s="12">
        <f>INDEX(ovrTable,MATCH(INDEX(oppCol24,ROW()),ovrTeamCol,0),MATCH(MID(INDEX(headerRow,1,COLUMN()),4,LEN(INDEX(headerRow,1,COLUMN()))),ovrHeaderRow,0))</f>
        <v>10.6</v>
      </c>
      <c r="BR73" s="12">
        <f>INDEX(ovrTable,MATCH(INDEX(oppCol24,ROW()),ovrTeamCol,0),MATCH(MID(INDEX(headerRow,1,COLUMN()),4,LEN(INDEX(headerRow,1,COLUMN()))),ovrHeaderRow,0))</f>
        <v>19.18</v>
      </c>
      <c r="BS73" s="12">
        <f>INDEX(ovrTable,MATCH(INDEX(oppCol24,ROW()),ovrTeamCol,0),MATCH(MID(INDEX(headerRow,1,COLUMN()),4,LEN(INDEX(headerRow,1,COLUMN()))),ovrHeaderRow,0))</f>
        <v>4.2</v>
      </c>
      <c r="BT73" s="12">
        <f>INDEX(ovrTable,MATCH(INDEX(oppCol24,ROW()),ovrTeamCol,0),MATCH(MID(INDEX(headerRow,1,COLUMN()),4,LEN(INDEX(headerRow,1,COLUMN()))),ovrHeaderRow,0))</f>
        <v>41.7</v>
      </c>
      <c r="BU73" s="12">
        <f>INDEX(ovrTable,MATCH(INDEX(oppCol24,ROW()),ovrTeamCol,0),MATCH(MID(INDEX(headerRow,1,COLUMN()),4,LEN(INDEX(headerRow,1,COLUMN()))),ovrHeaderRow,0))</f>
        <v>22.73</v>
      </c>
      <c r="BV73" s="12">
        <f>INDEX(ovrTable,MATCH(INDEX(oppCol24,ROW()),ovrTeamCol,0),MATCH(MID(INDEX(headerRow,1,COLUMN()),4,LEN(INDEX(headerRow,1,COLUMN()))),ovrHeaderRow,0))</f>
        <v>0.44600000000000001</v>
      </c>
      <c r="BW73" s="12">
        <f>INDEX(ovrTable,MATCH(INDEX(oppCol24,ROW()),ovrTeamCol,0),MATCH(MID(INDEX(headerRow,1,COLUMN()),4,LEN(INDEX(headerRow,1,COLUMN()))),ovrHeaderRow,0))</f>
        <v>9.33</v>
      </c>
      <c r="BX73" s="12">
        <f>INDEX(ovrTable,MATCH(INDEX(oppCol24,ROW()),ovrTeamCol,0),MATCH(MID(INDEX(headerRow,1,COLUMN()),4,LEN(INDEX(headerRow,1,COLUMN()))),ovrHeaderRow,0))</f>
        <v>39.299999999999997</v>
      </c>
      <c r="BY73" s="12">
        <f>INDEX(ovrTable,MATCH(INDEX(oppCol24,ROW()),ovrTeamCol,0),MATCH(MID(INDEX(headerRow,1,COLUMN()),4,LEN(INDEX(headerRow,1,COLUMN()))),ovrHeaderRow,0))</f>
        <v>19.399999999999999</v>
      </c>
      <c r="BZ73" s="12">
        <f>INDEX(ovrTable,MATCH(INDEX(oppCol24,ROW()),ovrTeamCol,0),MATCH(MID(INDEX(headerRow,1,COLUMN()),4,LEN(INDEX(headerRow,1,COLUMN()))),ovrHeaderRow,0))</f>
        <v>71.2</v>
      </c>
      <c r="CA73" s="12">
        <f>INDEX(ovrTable,MATCH(INDEX(oppCol24,ROW()),ovrTeamCol,0),MATCH(MID(INDEX(headerRow,1,COLUMN()),4,LEN(INDEX(headerRow,1,COLUMN()))),ovrHeaderRow,0))</f>
        <v>21.6</v>
      </c>
      <c r="CB73" s="12">
        <f>INDEX(ovrTable,MATCH(INDEX(oppCol24,ROW()),ovrTeamCol,0),MATCH(MID(INDEX(headerRow,1,COLUMN()),4,LEN(INDEX(headerRow,1,COLUMN()))),ovrHeaderRow,0))</f>
        <v>15.4</v>
      </c>
      <c r="CC73" s="12">
        <f>INDEX(ovrTable,MATCH(INDEX(oppCol24,ROW()),ovrTeamCol,0),MATCH(MID(INDEX(headerRow,1,COLUMN()),4,LEN(INDEX(headerRow,1,COLUMN()))),ovrHeaderRow,0))</f>
        <v>64</v>
      </c>
      <c r="CD73" s="12">
        <f>INDEX(ovrTable,MATCH(INDEX(oppCol24,ROW()),ovrTeamCol,0),MATCH(MID(INDEX(headerRow,1,COLUMN()),4,LEN(INDEX(headerRow,1,COLUMN()))),ovrHeaderRow,0))</f>
        <v>12.45</v>
      </c>
      <c r="CE73" s="12">
        <f>INDEX(ovrTable,MATCH(INDEX(oppCol24,ROW()),ovrTeamCol,0),MATCH(MID(INDEX(headerRow,1,COLUMN()),4,LEN(INDEX(headerRow,1,COLUMN()))),ovrHeaderRow,0))</f>
        <v>64.8</v>
      </c>
      <c r="CF73" s="12">
        <f>INDEX(ovrTable,MATCH(INDEX(oppCol24,ROW()),ovrTeamCol,0),MATCH(MID(INDEX(headerRow,1,COLUMN()),4,LEN(INDEX(headerRow,1,COLUMN()))),ovrHeaderRow,0))</f>
        <v>1.7</v>
      </c>
      <c r="CG73" s="12">
        <f>INDEX(ovrTable,MATCH(INDEX(oppCol24,ROW()),ovrTeamCol,0),MATCH(MID(INDEX(headerRow,1,COLUMN()),4,LEN(INDEX(headerRow,1,COLUMN()))),ovrHeaderRow,0))</f>
        <v>35.18</v>
      </c>
      <c r="CH73" s="12">
        <f>INDEX(ovrTable,MATCH(INDEX(oppCol24,ROW()),ovrTeamCol,0),MATCH(MID(INDEX(headerRow,1,COLUMN()),4,LEN(INDEX(headerRow,1,COLUMN()))),ovrHeaderRow,0))</f>
        <v>0.8</v>
      </c>
      <c r="CI73" s="12">
        <f>INDEX(ovrTable,MATCH(INDEX(oppCol24,ROW()),ovrTeamCol,0),MATCH(MID(INDEX(headerRow,1,COLUMN()),4,LEN(INDEX(headerRow,1,COLUMN()))),ovrHeaderRow,0))</f>
        <v>7.1</v>
      </c>
      <c r="CJ73" s="12">
        <f>INDEX(ovrTable,MATCH(INDEX(oppCol24,ROW()),ovrTeamCol,0),MATCH(MID(INDEX(headerRow,1,COLUMN()),4,LEN(INDEX(headerRow,1,COLUMN()))),ovrHeaderRow,0))</f>
        <v>1.1000000000000001</v>
      </c>
      <c r="CK73" s="12">
        <f>INDEX(ovrTable,MATCH(INDEX(oppCol24,ROW()),ovrTeamCol,0),MATCH(MID(INDEX(headerRow,1,COLUMN()),4,LEN(INDEX(headerRow,1,COLUMN()))),ovrHeaderRow,0))</f>
        <v>13.61</v>
      </c>
      <c r="CL73" s="12">
        <f>INDEX(ovrTable,MATCH(INDEX(oppCol24,ROW()),ovrTeamCol,0),MATCH(MID(INDEX(headerRow,1,COLUMN()),4,LEN(INDEX(headerRow,1,COLUMN()))),ovrHeaderRow,0))</f>
        <v>12.5</v>
      </c>
      <c r="CM73" s="12">
        <f>INDEX(ovrTable,MATCH(INDEX(oppCol24,ROW()),ovrTeamCol,0),MATCH(MID(INDEX(headerRow,1,COLUMN()),4,LEN(INDEX(headerRow,1,COLUMN()))),ovrHeaderRow,0))</f>
        <v>67.400000000000006</v>
      </c>
      <c r="CN73" s="12">
        <f>INDEX(ovrTable,MATCH(INDEX(oppCol24,ROW()),ovrTeamCol,0),MATCH(MID(INDEX(headerRow,1,COLUMN()),4,LEN(INDEX(headerRow,1,COLUMN()))),ovrHeaderRow,0))</f>
        <v>16</v>
      </c>
      <c r="CO73" s="12">
        <f>INDEX(ovrTable,MATCH(INDEX(oppCol24,ROW()),ovrTeamCol,0),MATCH(MID(INDEX(headerRow,1,COLUMN()),4,LEN(INDEX(headerRow,1,COLUMN()))),ovrHeaderRow,0))</f>
        <v>55.470737913486012</v>
      </c>
    </row>
    <row r="74" spans="1:93" x14ac:dyDescent="0.3">
      <c r="A74" s="6" t="s">
        <v>10</v>
      </c>
      <c r="B74" s="3">
        <v>9</v>
      </c>
      <c r="C74" s="13" t="s">
        <v>2</v>
      </c>
      <c r="D74" s="14">
        <v>37</v>
      </c>
      <c r="E74" s="23">
        <v>13.636363636363635</v>
      </c>
      <c r="F74" s="24">
        <v>4</v>
      </c>
      <c r="G74" s="23">
        <v>26.666666666666668</v>
      </c>
      <c r="H74" s="24">
        <v>15</v>
      </c>
      <c r="I74" s="25">
        <v>1</v>
      </c>
      <c r="J74" s="24">
        <v>8</v>
      </c>
      <c r="K74" s="24">
        <v>4</v>
      </c>
      <c r="L74" s="24">
        <v>0</v>
      </c>
      <c r="M74" s="24">
        <v>53.7</v>
      </c>
      <c r="N74" s="24">
        <v>22</v>
      </c>
      <c r="O74" s="26">
        <v>0.40690909090909089</v>
      </c>
      <c r="P74" s="24">
        <v>8</v>
      </c>
      <c r="Q74" s="24">
        <v>37.299999999999997</v>
      </c>
      <c r="R74" s="24">
        <v>17</v>
      </c>
      <c r="S74" s="23">
        <v>100</v>
      </c>
      <c r="T74" s="24">
        <v>10</v>
      </c>
      <c r="U74" s="24">
        <v>10</v>
      </c>
      <c r="V74" s="24">
        <v>75</v>
      </c>
      <c r="W74" s="24">
        <v>8</v>
      </c>
      <c r="X74" s="24">
        <v>58</v>
      </c>
      <c r="Y74" s="24">
        <v>-3</v>
      </c>
      <c r="Z74" s="24">
        <v>30</v>
      </c>
      <c r="AA74" s="24">
        <v>-17</v>
      </c>
      <c r="AB74" s="24">
        <v>5</v>
      </c>
      <c r="AC74" s="24">
        <v>-1</v>
      </c>
      <c r="AD74" s="24">
        <v>7</v>
      </c>
      <c r="AE74" s="24">
        <v>8</v>
      </c>
      <c r="AF74" s="46">
        <f t="shared" si="85"/>
        <v>63.731233243967836</v>
      </c>
      <c r="AG74" s="51">
        <f t="shared" ref="AG74" si="96">AVERAGE(AF74,AF75)</f>
        <v>64.617478819376842</v>
      </c>
      <c r="AH74" s="12">
        <f t="shared" si="92"/>
        <v>34.4</v>
      </c>
      <c r="AI74" s="12">
        <f t="shared" si="92"/>
        <v>8.1999999999999993</v>
      </c>
      <c r="AJ74" s="12">
        <f t="shared" si="92"/>
        <v>39</v>
      </c>
      <c r="AK74" s="12">
        <f t="shared" si="92"/>
        <v>21</v>
      </c>
      <c r="AL74" s="12">
        <f t="shared" si="92"/>
        <v>1.77</v>
      </c>
      <c r="AM74" s="12">
        <f t="shared" si="92"/>
        <v>15.6</v>
      </c>
      <c r="AN74" s="12">
        <f t="shared" si="92"/>
        <v>10.76</v>
      </c>
      <c r="AO74" s="12">
        <f t="shared" si="92"/>
        <v>3.1</v>
      </c>
      <c r="AP74" s="12">
        <f t="shared" si="92"/>
        <v>45.1</v>
      </c>
      <c r="AQ74" s="12">
        <f t="shared" si="92"/>
        <v>22.88</v>
      </c>
      <c r="AR74" s="12">
        <f t="shared" si="93"/>
        <v>0.52600000000000002</v>
      </c>
      <c r="AS74" s="12">
        <f t="shared" si="93"/>
        <v>6</v>
      </c>
      <c r="AT74" s="12">
        <f t="shared" si="93"/>
        <v>45.5</v>
      </c>
      <c r="AU74" s="12">
        <f t="shared" si="93"/>
        <v>17.600000000000001</v>
      </c>
      <c r="AV74" s="12">
        <f t="shared" si="93"/>
        <v>75.2</v>
      </c>
      <c r="AW74" s="12">
        <f t="shared" si="93"/>
        <v>16.899999999999999</v>
      </c>
      <c r="AX74" s="12">
        <f t="shared" si="93"/>
        <v>12.7</v>
      </c>
      <c r="AY74" s="12">
        <f t="shared" si="93"/>
        <v>69.099999999999994</v>
      </c>
      <c r="AZ74" s="12">
        <f t="shared" si="93"/>
        <v>8.5299999999999994</v>
      </c>
      <c r="BA74" s="12">
        <f t="shared" si="93"/>
        <v>73.3</v>
      </c>
      <c r="BB74" s="12">
        <f t="shared" si="94"/>
        <v>-2</v>
      </c>
      <c r="BC74" s="12">
        <f t="shared" si="94"/>
        <v>31.41</v>
      </c>
      <c r="BD74" s="12">
        <f t="shared" si="94"/>
        <v>4.3</v>
      </c>
      <c r="BE74" s="12">
        <f t="shared" si="94"/>
        <v>7</v>
      </c>
      <c r="BF74" s="12">
        <f t="shared" si="94"/>
        <v>3.6</v>
      </c>
      <c r="BG74" s="12">
        <f t="shared" si="94"/>
        <v>12.41</v>
      </c>
      <c r="BH74" s="12">
        <f t="shared" si="94"/>
        <v>8.8000000000000007</v>
      </c>
      <c r="BI74" s="12">
        <f t="shared" si="94"/>
        <v>67.3</v>
      </c>
      <c r="BJ74" s="12">
        <f t="shared" si="94"/>
        <v>18</v>
      </c>
      <c r="BK74" s="12">
        <f t="shared" si="94"/>
        <v>57.582417582417584</v>
      </c>
      <c r="BL74" s="12">
        <f>INDEX(ovrTable,MATCH(INDEX(oppCol24,ROW()),ovrTeamCol,0),MATCH(MID(INDEX(headerRow,1,COLUMN()),4,LEN(INDEX(headerRow,1,COLUMN()))),ovrHeaderRow,0))</f>
        <v>31.2</v>
      </c>
      <c r="BM74" s="12">
        <f>INDEX(ovrTable,MATCH(INDEX(oppCol24,ROW()),ovrTeamCol,0),MATCH(MID(INDEX(headerRow,1,COLUMN()),4,LEN(INDEX(headerRow,1,COLUMN()))),ovrHeaderRow,0))</f>
        <v>8.5</v>
      </c>
      <c r="BN74" s="12">
        <f>INDEX(ovrTable,MATCH(INDEX(oppCol24,ROW()),ovrTeamCol,0),MATCH(MID(INDEX(headerRow,1,COLUMN()),4,LEN(INDEX(headerRow,1,COLUMN()))),ovrHeaderRow,0))</f>
        <v>35.799999999999997</v>
      </c>
      <c r="BO74" s="12">
        <f>INDEX(ovrTable,MATCH(INDEX(oppCol24,ROW()),ovrTeamCol,0),MATCH(MID(INDEX(headerRow,1,COLUMN()),4,LEN(INDEX(headerRow,1,COLUMN()))),ovrHeaderRow,0))</f>
        <v>23.8</v>
      </c>
      <c r="BP74" s="12">
        <f>INDEX(ovrTable,MATCH(INDEX(oppCol24,ROW()),ovrTeamCol,0),MATCH(MID(INDEX(headerRow,1,COLUMN()),4,LEN(INDEX(headerRow,1,COLUMN()))),ovrHeaderRow,0))</f>
        <v>1.95</v>
      </c>
      <c r="BQ74" s="12">
        <f>INDEX(ovrTable,MATCH(INDEX(oppCol24,ROW()),ovrTeamCol,0),MATCH(MID(INDEX(headerRow,1,COLUMN()),4,LEN(INDEX(headerRow,1,COLUMN()))),ovrHeaderRow,0))</f>
        <v>18.7</v>
      </c>
      <c r="BR74" s="12">
        <f>INDEX(ovrTable,MATCH(INDEX(oppCol24,ROW()),ovrTeamCol,0),MATCH(MID(INDEX(headerRow,1,COLUMN()),4,LEN(INDEX(headerRow,1,COLUMN()))),ovrHeaderRow,0))</f>
        <v>16.149999999999999</v>
      </c>
      <c r="BS74" s="12">
        <f>INDEX(ovrTable,MATCH(INDEX(oppCol24,ROW()),ovrTeamCol,0),MATCH(MID(INDEX(headerRow,1,COLUMN()),4,LEN(INDEX(headerRow,1,COLUMN()))),ovrHeaderRow,0))</f>
        <v>5.4</v>
      </c>
      <c r="BT74" s="12">
        <f>INDEX(ovrTable,MATCH(INDEX(oppCol24,ROW()),ovrTeamCol,0),MATCH(MID(INDEX(headerRow,1,COLUMN()),4,LEN(INDEX(headerRow,1,COLUMN()))),ovrHeaderRow,0))</f>
        <v>39.200000000000003</v>
      </c>
      <c r="BU74" s="12">
        <f>INDEX(ovrTable,MATCH(INDEX(oppCol24,ROW()),ovrTeamCol,0),MATCH(MID(INDEX(headerRow,1,COLUMN()),4,LEN(INDEX(headerRow,1,COLUMN()))),ovrHeaderRow,0))</f>
        <v>27.1</v>
      </c>
      <c r="BV74" s="12">
        <f>INDEX(ovrTable,MATCH(INDEX(oppCol24,ROW()),ovrTeamCol,0),MATCH(MID(INDEX(headerRow,1,COLUMN()),4,LEN(INDEX(headerRow,1,COLUMN()))),ovrHeaderRow,0))</f>
        <v>0.56899999999999995</v>
      </c>
      <c r="BW74" s="12">
        <f>INDEX(ovrTable,MATCH(INDEX(oppCol24,ROW()),ovrTeamCol,0),MATCH(MID(INDEX(headerRow,1,COLUMN()),4,LEN(INDEX(headerRow,1,COLUMN()))),ovrHeaderRow,0))</f>
        <v>11.95</v>
      </c>
      <c r="BX74" s="12">
        <f>INDEX(ovrTable,MATCH(INDEX(oppCol24,ROW()),ovrTeamCol,0),MATCH(MID(INDEX(headerRow,1,COLUMN()),4,LEN(INDEX(headerRow,1,COLUMN()))),ovrHeaderRow,0))</f>
        <v>49.7</v>
      </c>
      <c r="BY74" s="12">
        <f>INDEX(ovrTable,MATCH(INDEX(oppCol24,ROW()),ovrTeamCol,0),MATCH(MID(INDEX(headerRow,1,COLUMN()),4,LEN(INDEX(headerRow,1,COLUMN()))),ovrHeaderRow,0))</f>
        <v>16.3</v>
      </c>
      <c r="BZ74" s="12">
        <f>INDEX(ovrTable,MATCH(INDEX(oppCol24,ROW()),ovrTeamCol,0),MATCH(MID(INDEX(headerRow,1,COLUMN()),4,LEN(INDEX(headerRow,1,COLUMN()))),ovrHeaderRow,0))</f>
        <v>74.3</v>
      </c>
      <c r="CA74" s="12">
        <f>INDEX(ovrTable,MATCH(INDEX(oppCol24,ROW()),ovrTeamCol,0),MATCH(MID(INDEX(headerRow,1,COLUMN()),4,LEN(INDEX(headerRow,1,COLUMN()))),ovrHeaderRow,0))</f>
        <v>18.899999999999999</v>
      </c>
      <c r="CB74" s="12">
        <f>INDEX(ovrTable,MATCH(INDEX(oppCol24,ROW()),ovrTeamCol,0),MATCH(MID(INDEX(headerRow,1,COLUMN()),4,LEN(INDEX(headerRow,1,COLUMN()))),ovrHeaderRow,0))</f>
        <v>14.1</v>
      </c>
      <c r="CC74" s="12">
        <f>INDEX(ovrTable,MATCH(INDEX(oppCol24,ROW()),ovrTeamCol,0),MATCH(MID(INDEX(headerRow,1,COLUMN()),4,LEN(INDEX(headerRow,1,COLUMN()))),ovrHeaderRow,0))</f>
        <v>63.4</v>
      </c>
      <c r="CD74" s="12">
        <f>INDEX(ovrTable,MATCH(INDEX(oppCol24,ROW()),ovrTeamCol,0),MATCH(MID(INDEX(headerRow,1,COLUMN()),4,LEN(INDEX(headerRow,1,COLUMN()))),ovrHeaderRow,0))</f>
        <v>11.73</v>
      </c>
      <c r="CE74" s="12">
        <f>INDEX(ovrTable,MATCH(INDEX(oppCol24,ROW()),ovrTeamCol,0),MATCH(MID(INDEX(headerRow,1,COLUMN()),4,LEN(INDEX(headerRow,1,COLUMN()))),ovrHeaderRow,0))</f>
        <v>81.400000000000006</v>
      </c>
      <c r="CF74" s="12">
        <f>INDEX(ovrTable,MATCH(INDEX(oppCol24,ROW()),ovrTeamCol,0),MATCH(MID(INDEX(headerRow,1,COLUMN()),4,LEN(INDEX(headerRow,1,COLUMN()))),ovrHeaderRow,0))</f>
        <v>8.6999999999999993</v>
      </c>
      <c r="CG74" s="12">
        <f>INDEX(ovrTable,MATCH(INDEX(oppCol24,ROW()),ovrTeamCol,0),MATCH(MID(INDEX(headerRow,1,COLUMN()),4,LEN(INDEX(headerRow,1,COLUMN()))),ovrHeaderRow,0))</f>
        <v>38.83</v>
      </c>
      <c r="CH74" s="12">
        <f>INDEX(ovrTable,MATCH(INDEX(oppCol24,ROW()),ovrTeamCol,0),MATCH(MID(INDEX(headerRow,1,COLUMN()),4,LEN(INDEX(headerRow,1,COLUMN()))),ovrHeaderRow,0))</f>
        <v>18</v>
      </c>
      <c r="CI74" s="12">
        <f>INDEX(ovrTable,MATCH(INDEX(oppCol24,ROW()),ovrTeamCol,0),MATCH(MID(INDEX(headerRow,1,COLUMN()),4,LEN(INDEX(headerRow,1,COLUMN()))),ovrHeaderRow,0))</f>
        <v>6.2</v>
      </c>
      <c r="CJ74" s="12">
        <f>INDEX(ovrTable,MATCH(INDEX(oppCol24,ROW()),ovrTeamCol,0),MATCH(MID(INDEX(headerRow,1,COLUMN()),4,LEN(INDEX(headerRow,1,COLUMN()))),ovrHeaderRow,0))</f>
        <v>1</v>
      </c>
      <c r="CK74" s="12">
        <f>INDEX(ovrTable,MATCH(INDEX(oppCol24,ROW()),ovrTeamCol,0),MATCH(MID(INDEX(headerRow,1,COLUMN()),4,LEN(INDEX(headerRow,1,COLUMN()))),ovrHeaderRow,0))</f>
        <v>10.55</v>
      </c>
      <c r="CL74" s="12">
        <f>INDEX(ovrTable,MATCH(INDEX(oppCol24,ROW()),ovrTeamCol,0),MATCH(MID(INDEX(headerRow,1,COLUMN()),4,LEN(INDEX(headerRow,1,COLUMN()))),ovrHeaderRow,0))</f>
        <v>9.6</v>
      </c>
      <c r="CM74" s="12">
        <f>INDEX(ovrTable,MATCH(INDEX(oppCol24,ROW()),ovrTeamCol,0),MATCH(MID(INDEX(headerRow,1,COLUMN()),4,LEN(INDEX(headerRow,1,COLUMN()))),ovrHeaderRow,0))</f>
        <v>67.900000000000006</v>
      </c>
      <c r="CN74" s="12">
        <f>INDEX(ovrTable,MATCH(INDEX(oppCol24,ROW()),ovrTeamCol,0),MATCH(MID(INDEX(headerRow,1,COLUMN()),4,LEN(INDEX(headerRow,1,COLUMN()))),ovrHeaderRow,0))</f>
        <v>20.900000000000006</v>
      </c>
      <c r="CO74" s="12">
        <f>INDEX(ovrTable,MATCH(INDEX(oppCol24,ROW()),ovrTeamCol,0),MATCH(MID(INDEX(headerRow,1,COLUMN()),4,LEN(INDEX(headerRow,1,COLUMN()))),ovrHeaderRow,0))</f>
        <v>59.154929577464792</v>
      </c>
    </row>
    <row r="75" spans="1:93" x14ac:dyDescent="0.3">
      <c r="A75" s="6" t="s">
        <v>2</v>
      </c>
      <c r="B75" s="3">
        <v>1</v>
      </c>
      <c r="C75" s="13" t="s">
        <v>10</v>
      </c>
      <c r="D75" s="14">
        <v>37</v>
      </c>
      <c r="E75" s="23">
        <v>26.666666666666668</v>
      </c>
      <c r="F75" s="24">
        <v>3</v>
      </c>
      <c r="G75" s="23">
        <v>13.636363636363635</v>
      </c>
      <c r="H75" s="24">
        <v>22</v>
      </c>
      <c r="I75" s="25">
        <v>2.8571428571428572</v>
      </c>
      <c r="J75" s="24">
        <v>20</v>
      </c>
      <c r="K75" s="24">
        <v>14</v>
      </c>
      <c r="L75" s="24">
        <v>9</v>
      </c>
      <c r="M75" s="24">
        <v>37.299999999999997</v>
      </c>
      <c r="N75" s="24">
        <v>28</v>
      </c>
      <c r="O75" s="26">
        <v>0.56477586206896557</v>
      </c>
      <c r="P75" s="24">
        <v>18</v>
      </c>
      <c r="Q75" s="24">
        <v>53.7</v>
      </c>
      <c r="R75" s="24">
        <v>13</v>
      </c>
      <c r="S75" s="23">
        <v>70</v>
      </c>
      <c r="T75" s="24">
        <v>20</v>
      </c>
      <c r="U75" s="24">
        <v>14</v>
      </c>
      <c r="V75" s="24">
        <v>58</v>
      </c>
      <c r="W75" s="24">
        <v>5</v>
      </c>
      <c r="X75" s="24">
        <v>75</v>
      </c>
      <c r="Y75" s="24">
        <v>3</v>
      </c>
      <c r="Z75" s="24">
        <v>33</v>
      </c>
      <c r="AA75" s="24">
        <v>17</v>
      </c>
      <c r="AB75" s="24">
        <v>6</v>
      </c>
      <c r="AC75" s="24">
        <v>1</v>
      </c>
      <c r="AD75" s="24">
        <v>8</v>
      </c>
      <c r="AE75" s="24">
        <v>7</v>
      </c>
      <c r="AF75" s="46">
        <f t="shared" si="85"/>
        <v>65.503724394785849</v>
      </c>
      <c r="AG75" s="51">
        <f t="shared" ref="AG75" si="97">AVERAGE(AF74,AF75)</f>
        <v>64.617478819376842</v>
      </c>
      <c r="AH75" s="12">
        <f t="shared" si="92"/>
        <v>31.2</v>
      </c>
      <c r="AI75" s="12">
        <f t="shared" si="92"/>
        <v>8.5</v>
      </c>
      <c r="AJ75" s="12">
        <f t="shared" si="92"/>
        <v>35.799999999999997</v>
      </c>
      <c r="AK75" s="12">
        <f t="shared" si="92"/>
        <v>23.8</v>
      </c>
      <c r="AL75" s="12">
        <f t="shared" si="92"/>
        <v>1.95</v>
      </c>
      <c r="AM75" s="12">
        <f t="shared" si="92"/>
        <v>18.7</v>
      </c>
      <c r="AN75" s="12">
        <f t="shared" si="92"/>
        <v>16.149999999999999</v>
      </c>
      <c r="AO75" s="12">
        <f t="shared" si="92"/>
        <v>5.4</v>
      </c>
      <c r="AP75" s="12">
        <f t="shared" si="92"/>
        <v>39.200000000000003</v>
      </c>
      <c r="AQ75" s="12">
        <f t="shared" si="92"/>
        <v>27.1</v>
      </c>
      <c r="AR75" s="12">
        <f t="shared" si="93"/>
        <v>0.56899999999999995</v>
      </c>
      <c r="AS75" s="12">
        <f t="shared" si="93"/>
        <v>11.95</v>
      </c>
      <c r="AT75" s="12">
        <f t="shared" si="93"/>
        <v>49.7</v>
      </c>
      <c r="AU75" s="12">
        <f t="shared" si="93"/>
        <v>16.3</v>
      </c>
      <c r="AV75" s="12">
        <f t="shared" si="93"/>
        <v>74.3</v>
      </c>
      <c r="AW75" s="12">
        <f t="shared" si="93"/>
        <v>18.899999999999999</v>
      </c>
      <c r="AX75" s="12">
        <f t="shared" si="93"/>
        <v>14.1</v>
      </c>
      <c r="AY75" s="12">
        <f t="shared" si="93"/>
        <v>63.4</v>
      </c>
      <c r="AZ75" s="12">
        <f t="shared" si="93"/>
        <v>11.73</v>
      </c>
      <c r="BA75" s="12">
        <f t="shared" si="93"/>
        <v>81.400000000000006</v>
      </c>
      <c r="BB75" s="12">
        <f t="shared" si="94"/>
        <v>8.6999999999999993</v>
      </c>
      <c r="BC75" s="12">
        <f t="shared" si="94"/>
        <v>38.83</v>
      </c>
      <c r="BD75" s="12">
        <f t="shared" si="94"/>
        <v>18</v>
      </c>
      <c r="BE75" s="12">
        <f t="shared" si="94"/>
        <v>6.2</v>
      </c>
      <c r="BF75" s="12">
        <f t="shared" si="94"/>
        <v>1</v>
      </c>
      <c r="BG75" s="12">
        <f t="shared" si="94"/>
        <v>10.55</v>
      </c>
      <c r="BH75" s="12">
        <f t="shared" si="94"/>
        <v>9.6</v>
      </c>
      <c r="BI75" s="12">
        <f t="shared" si="94"/>
        <v>67.900000000000006</v>
      </c>
      <c r="BJ75" s="12">
        <f t="shared" si="94"/>
        <v>20.900000000000006</v>
      </c>
      <c r="BK75" s="12">
        <f t="shared" si="94"/>
        <v>59.154929577464792</v>
      </c>
      <c r="BL75" s="12">
        <f>INDEX(ovrTable,MATCH(INDEX(oppCol24,ROW()),ovrTeamCol,0),MATCH(MID(INDEX(headerRow,1,COLUMN()),4,LEN(INDEX(headerRow,1,COLUMN()))),ovrHeaderRow,0))</f>
        <v>34.4</v>
      </c>
      <c r="BM75" s="12">
        <f>INDEX(ovrTable,MATCH(INDEX(oppCol24,ROW()),ovrTeamCol,0),MATCH(MID(INDEX(headerRow,1,COLUMN()),4,LEN(INDEX(headerRow,1,COLUMN()))),ovrHeaderRow,0))</f>
        <v>8.1999999999999993</v>
      </c>
      <c r="BN75" s="12">
        <f>INDEX(ovrTable,MATCH(INDEX(oppCol24,ROW()),ovrTeamCol,0),MATCH(MID(INDEX(headerRow,1,COLUMN()),4,LEN(INDEX(headerRow,1,COLUMN()))),ovrHeaderRow,0))</f>
        <v>39</v>
      </c>
      <c r="BO75" s="12">
        <f>INDEX(ovrTable,MATCH(INDEX(oppCol24,ROW()),ovrTeamCol,0),MATCH(MID(INDEX(headerRow,1,COLUMN()),4,LEN(INDEX(headerRow,1,COLUMN()))),ovrHeaderRow,0))</f>
        <v>21</v>
      </c>
      <c r="BP75" s="12">
        <f>INDEX(ovrTable,MATCH(INDEX(oppCol24,ROW()),ovrTeamCol,0),MATCH(MID(INDEX(headerRow,1,COLUMN()),4,LEN(INDEX(headerRow,1,COLUMN()))),ovrHeaderRow,0))</f>
        <v>1.77</v>
      </c>
      <c r="BQ75" s="12">
        <f>INDEX(ovrTable,MATCH(INDEX(oppCol24,ROW()),ovrTeamCol,0),MATCH(MID(INDEX(headerRow,1,COLUMN()),4,LEN(INDEX(headerRow,1,COLUMN()))),ovrHeaderRow,0))</f>
        <v>15.6</v>
      </c>
      <c r="BR75" s="12">
        <f>INDEX(ovrTable,MATCH(INDEX(oppCol24,ROW()),ovrTeamCol,0),MATCH(MID(INDEX(headerRow,1,COLUMN()),4,LEN(INDEX(headerRow,1,COLUMN()))),ovrHeaderRow,0))</f>
        <v>10.76</v>
      </c>
      <c r="BS75" s="12">
        <f>INDEX(ovrTable,MATCH(INDEX(oppCol24,ROW()),ovrTeamCol,0),MATCH(MID(INDEX(headerRow,1,COLUMN()),4,LEN(INDEX(headerRow,1,COLUMN()))),ovrHeaderRow,0))</f>
        <v>3.1</v>
      </c>
      <c r="BT75" s="12">
        <f>INDEX(ovrTable,MATCH(INDEX(oppCol24,ROW()),ovrTeamCol,0),MATCH(MID(INDEX(headerRow,1,COLUMN()),4,LEN(INDEX(headerRow,1,COLUMN()))),ovrHeaderRow,0))</f>
        <v>45.1</v>
      </c>
      <c r="BU75" s="12">
        <f>INDEX(ovrTable,MATCH(INDEX(oppCol24,ROW()),ovrTeamCol,0),MATCH(MID(INDEX(headerRow,1,COLUMN()),4,LEN(INDEX(headerRow,1,COLUMN()))),ovrHeaderRow,0))</f>
        <v>22.88</v>
      </c>
      <c r="BV75" s="12">
        <f>INDEX(ovrTable,MATCH(INDEX(oppCol24,ROW()),ovrTeamCol,0),MATCH(MID(INDEX(headerRow,1,COLUMN()),4,LEN(INDEX(headerRow,1,COLUMN()))),ovrHeaderRow,0))</f>
        <v>0.52600000000000002</v>
      </c>
      <c r="BW75" s="12">
        <f>INDEX(ovrTable,MATCH(INDEX(oppCol24,ROW()),ovrTeamCol,0),MATCH(MID(INDEX(headerRow,1,COLUMN()),4,LEN(INDEX(headerRow,1,COLUMN()))),ovrHeaderRow,0))</f>
        <v>6</v>
      </c>
      <c r="BX75" s="12">
        <f>INDEX(ovrTable,MATCH(INDEX(oppCol24,ROW()),ovrTeamCol,0),MATCH(MID(INDEX(headerRow,1,COLUMN()),4,LEN(INDEX(headerRow,1,COLUMN()))),ovrHeaderRow,0))</f>
        <v>45.5</v>
      </c>
      <c r="BY75" s="12">
        <f>INDEX(ovrTable,MATCH(INDEX(oppCol24,ROW()),ovrTeamCol,0),MATCH(MID(INDEX(headerRow,1,COLUMN()),4,LEN(INDEX(headerRow,1,COLUMN()))),ovrHeaderRow,0))</f>
        <v>17.600000000000001</v>
      </c>
      <c r="BZ75" s="12">
        <f>INDEX(ovrTable,MATCH(INDEX(oppCol24,ROW()),ovrTeamCol,0),MATCH(MID(INDEX(headerRow,1,COLUMN()),4,LEN(INDEX(headerRow,1,COLUMN()))),ovrHeaderRow,0))</f>
        <v>75.2</v>
      </c>
      <c r="CA75" s="12">
        <f>INDEX(ovrTable,MATCH(INDEX(oppCol24,ROW()),ovrTeamCol,0),MATCH(MID(INDEX(headerRow,1,COLUMN()),4,LEN(INDEX(headerRow,1,COLUMN()))),ovrHeaderRow,0))</f>
        <v>16.899999999999999</v>
      </c>
      <c r="CB75" s="12">
        <f>INDEX(ovrTable,MATCH(INDEX(oppCol24,ROW()),ovrTeamCol,0),MATCH(MID(INDEX(headerRow,1,COLUMN()),4,LEN(INDEX(headerRow,1,COLUMN()))),ovrHeaderRow,0))</f>
        <v>12.7</v>
      </c>
      <c r="CC75" s="12">
        <f>INDEX(ovrTable,MATCH(INDEX(oppCol24,ROW()),ovrTeamCol,0),MATCH(MID(INDEX(headerRow,1,COLUMN()),4,LEN(INDEX(headerRow,1,COLUMN()))),ovrHeaderRow,0))</f>
        <v>69.099999999999994</v>
      </c>
      <c r="CD75" s="12">
        <f>INDEX(ovrTable,MATCH(INDEX(oppCol24,ROW()),ovrTeamCol,0),MATCH(MID(INDEX(headerRow,1,COLUMN()),4,LEN(INDEX(headerRow,1,COLUMN()))),ovrHeaderRow,0))</f>
        <v>8.5299999999999994</v>
      </c>
      <c r="CE75" s="12">
        <f>INDEX(ovrTable,MATCH(INDEX(oppCol24,ROW()),ovrTeamCol,0),MATCH(MID(INDEX(headerRow,1,COLUMN()),4,LEN(INDEX(headerRow,1,COLUMN()))),ovrHeaderRow,0))</f>
        <v>73.3</v>
      </c>
      <c r="CF75" s="12">
        <f>INDEX(ovrTable,MATCH(INDEX(oppCol24,ROW()),ovrTeamCol,0),MATCH(MID(INDEX(headerRow,1,COLUMN()),4,LEN(INDEX(headerRow,1,COLUMN()))),ovrHeaderRow,0))</f>
        <v>-2</v>
      </c>
      <c r="CG75" s="12">
        <f>INDEX(ovrTable,MATCH(INDEX(oppCol24,ROW()),ovrTeamCol,0),MATCH(MID(INDEX(headerRow,1,COLUMN()),4,LEN(INDEX(headerRow,1,COLUMN()))),ovrHeaderRow,0))</f>
        <v>31.41</v>
      </c>
      <c r="CH75" s="12">
        <f>INDEX(ovrTable,MATCH(INDEX(oppCol24,ROW()),ovrTeamCol,0),MATCH(MID(INDEX(headerRow,1,COLUMN()),4,LEN(INDEX(headerRow,1,COLUMN()))),ovrHeaderRow,0))</f>
        <v>4.3</v>
      </c>
      <c r="CI75" s="12">
        <f>INDEX(ovrTable,MATCH(INDEX(oppCol24,ROW()),ovrTeamCol,0),MATCH(MID(INDEX(headerRow,1,COLUMN()),4,LEN(INDEX(headerRow,1,COLUMN()))),ovrHeaderRow,0))</f>
        <v>7</v>
      </c>
      <c r="CJ75" s="12">
        <f>INDEX(ovrTable,MATCH(INDEX(oppCol24,ROW()),ovrTeamCol,0),MATCH(MID(INDEX(headerRow,1,COLUMN()),4,LEN(INDEX(headerRow,1,COLUMN()))),ovrHeaderRow,0))</f>
        <v>3.6</v>
      </c>
      <c r="CK75" s="12">
        <f>INDEX(ovrTable,MATCH(INDEX(oppCol24,ROW()),ovrTeamCol,0),MATCH(MID(INDEX(headerRow,1,COLUMN()),4,LEN(INDEX(headerRow,1,COLUMN()))),ovrHeaderRow,0))</f>
        <v>12.41</v>
      </c>
      <c r="CL75" s="12">
        <f>INDEX(ovrTable,MATCH(INDEX(oppCol24,ROW()),ovrTeamCol,0),MATCH(MID(INDEX(headerRow,1,COLUMN()),4,LEN(INDEX(headerRow,1,COLUMN()))),ovrHeaderRow,0))</f>
        <v>8.8000000000000007</v>
      </c>
      <c r="CM75" s="12">
        <f>INDEX(ovrTable,MATCH(INDEX(oppCol24,ROW()),ovrTeamCol,0),MATCH(MID(INDEX(headerRow,1,COLUMN()),4,LEN(INDEX(headerRow,1,COLUMN()))),ovrHeaderRow,0))</f>
        <v>67.3</v>
      </c>
      <c r="CN75" s="12">
        <f>INDEX(ovrTable,MATCH(INDEX(oppCol24,ROW()),ovrTeamCol,0),MATCH(MID(INDEX(headerRow,1,COLUMN()),4,LEN(INDEX(headerRow,1,COLUMN()))),ovrHeaderRow,0))</f>
        <v>18</v>
      </c>
      <c r="CO75" s="12">
        <f>INDEX(ovrTable,MATCH(INDEX(oppCol24,ROW()),ovrTeamCol,0),MATCH(MID(INDEX(headerRow,1,COLUMN()),4,LEN(INDEX(headerRow,1,COLUMN()))),ovrHeaderRow,0))</f>
        <v>57.582417582417584</v>
      </c>
    </row>
    <row r="76" spans="1:93" x14ac:dyDescent="0.3">
      <c r="A76" s="6" t="s">
        <v>14</v>
      </c>
      <c r="B76" s="3">
        <v>13</v>
      </c>
      <c r="C76" s="13" t="s">
        <v>6</v>
      </c>
      <c r="D76" s="14">
        <v>38</v>
      </c>
      <c r="E76" s="23">
        <v>48.148148148148145</v>
      </c>
      <c r="F76" s="24">
        <v>7</v>
      </c>
      <c r="G76" s="23">
        <v>36.84210526315789</v>
      </c>
      <c r="H76" s="24">
        <v>19</v>
      </c>
      <c r="I76" s="25">
        <v>1.0833333333333333</v>
      </c>
      <c r="J76" s="24">
        <v>13</v>
      </c>
      <c r="K76" s="24">
        <v>9</v>
      </c>
      <c r="L76" s="24">
        <v>0</v>
      </c>
      <c r="M76" s="24">
        <v>52.7</v>
      </c>
      <c r="N76" s="24">
        <v>20</v>
      </c>
      <c r="O76" s="26">
        <v>0.43475000000000003</v>
      </c>
      <c r="P76" s="24">
        <v>3</v>
      </c>
      <c r="Q76" s="24">
        <v>37</v>
      </c>
      <c r="R76" s="24">
        <v>14</v>
      </c>
      <c r="S76" s="23">
        <v>71.428571428571431</v>
      </c>
      <c r="T76" s="24">
        <v>14</v>
      </c>
      <c r="U76" s="24">
        <v>10</v>
      </c>
      <c r="V76" s="24">
        <v>85</v>
      </c>
      <c r="W76" s="24">
        <v>5</v>
      </c>
      <c r="X76" s="24">
        <v>57</v>
      </c>
      <c r="Y76" s="24">
        <v>-14</v>
      </c>
      <c r="Z76" s="24">
        <v>25</v>
      </c>
      <c r="AA76" s="24">
        <v>-28</v>
      </c>
      <c r="AB76" s="24">
        <v>8</v>
      </c>
      <c r="AC76" s="24">
        <v>0</v>
      </c>
      <c r="AD76" s="24">
        <v>12</v>
      </c>
      <c r="AE76" s="24">
        <v>12</v>
      </c>
      <c r="AF76" s="46">
        <f t="shared" si="85"/>
        <v>67.704054054054055</v>
      </c>
      <c r="AG76" s="51">
        <f t="shared" ref="AG76" si="98">AVERAGE(AF76,AF77)</f>
        <v>67.903758526078263</v>
      </c>
      <c r="AH76" s="12">
        <f t="shared" si="92"/>
        <v>33.799999999999997</v>
      </c>
      <c r="AI76" s="12">
        <f t="shared" si="92"/>
        <v>7.3</v>
      </c>
      <c r="AJ76" s="12">
        <f t="shared" si="92"/>
        <v>35.1</v>
      </c>
      <c r="AK76" s="12">
        <f t="shared" si="92"/>
        <v>20.8</v>
      </c>
      <c r="AL76" s="12">
        <f t="shared" si="92"/>
        <v>1.57</v>
      </c>
      <c r="AM76" s="12">
        <f t="shared" si="92"/>
        <v>15</v>
      </c>
      <c r="AN76" s="12">
        <f t="shared" si="92"/>
        <v>15.03</v>
      </c>
      <c r="AO76" s="12">
        <f t="shared" si="92"/>
        <v>3.2</v>
      </c>
      <c r="AP76" s="12">
        <f t="shared" si="92"/>
        <v>42.1</v>
      </c>
      <c r="AQ76" s="12">
        <f t="shared" si="92"/>
        <v>26.64</v>
      </c>
      <c r="AR76" s="12">
        <f t="shared" si="93"/>
        <v>0.52800000000000002</v>
      </c>
      <c r="AS76" s="12">
        <f t="shared" si="93"/>
        <v>9.39</v>
      </c>
      <c r="AT76" s="12">
        <f t="shared" si="93"/>
        <v>46.7</v>
      </c>
      <c r="AU76" s="12">
        <f t="shared" si="93"/>
        <v>15.1</v>
      </c>
      <c r="AV76" s="12">
        <f t="shared" si="93"/>
        <v>70.7</v>
      </c>
      <c r="AW76" s="12">
        <f t="shared" si="93"/>
        <v>16.5</v>
      </c>
      <c r="AX76" s="12">
        <f t="shared" si="93"/>
        <v>11.7</v>
      </c>
      <c r="AY76" s="12">
        <f t="shared" si="93"/>
        <v>67.5</v>
      </c>
      <c r="AZ76" s="12">
        <f t="shared" si="93"/>
        <v>9.8800000000000008</v>
      </c>
      <c r="BA76" s="12">
        <f t="shared" si="93"/>
        <v>74.7</v>
      </c>
      <c r="BB76" s="12">
        <f t="shared" si="94"/>
        <v>3.9</v>
      </c>
      <c r="BC76" s="12">
        <f t="shared" si="94"/>
        <v>36.520000000000003</v>
      </c>
      <c r="BD76" s="12">
        <f t="shared" si="94"/>
        <v>7.2</v>
      </c>
      <c r="BE76" s="12">
        <f t="shared" si="94"/>
        <v>6.2</v>
      </c>
      <c r="BF76" s="12">
        <f t="shared" si="94"/>
        <v>1.5</v>
      </c>
      <c r="BG76" s="12">
        <f t="shared" si="94"/>
        <v>11.06</v>
      </c>
      <c r="BH76" s="12">
        <f t="shared" si="94"/>
        <v>9.6</v>
      </c>
      <c r="BI76" s="12">
        <f t="shared" si="94"/>
        <v>68.3</v>
      </c>
      <c r="BJ76" s="12">
        <f t="shared" si="94"/>
        <v>20.55</v>
      </c>
      <c r="BK76" s="12">
        <f t="shared" si="94"/>
        <v>59.635974304068519</v>
      </c>
      <c r="BL76" s="12">
        <f>INDEX(ovrTable,MATCH(INDEX(oppCol24,ROW()),ovrTeamCol,0),MATCH(MID(INDEX(headerRow,1,COLUMN()),4,LEN(INDEX(headerRow,1,COLUMN()))),ovrHeaderRow,0))</f>
        <v>31</v>
      </c>
      <c r="BM76" s="12">
        <f>INDEX(ovrTable,MATCH(INDEX(oppCol24,ROW()),ovrTeamCol,0),MATCH(MID(INDEX(headerRow,1,COLUMN()),4,LEN(INDEX(headerRow,1,COLUMN()))),ovrHeaderRow,0))</f>
        <v>7</v>
      </c>
      <c r="BN76" s="12">
        <f>INDEX(ovrTable,MATCH(INDEX(oppCol24,ROW()),ovrTeamCol,0),MATCH(MID(INDEX(headerRow,1,COLUMN()),4,LEN(INDEX(headerRow,1,COLUMN()))),ovrHeaderRow,0))</f>
        <v>31.5</v>
      </c>
      <c r="BO76" s="12">
        <f>INDEX(ovrTable,MATCH(INDEX(oppCol24,ROW()),ovrTeamCol,0),MATCH(MID(INDEX(headerRow,1,COLUMN()),4,LEN(INDEX(headerRow,1,COLUMN()))),ovrHeaderRow,0))</f>
        <v>22.2</v>
      </c>
      <c r="BP76" s="12">
        <f>INDEX(ovrTable,MATCH(INDEX(oppCol24,ROW()),ovrTeamCol,0),MATCH(MID(INDEX(headerRow,1,COLUMN()),4,LEN(INDEX(headerRow,1,COLUMN()))),ovrHeaderRow,0))</f>
        <v>1.1599999999999999</v>
      </c>
      <c r="BQ76" s="12">
        <f>INDEX(ovrTable,MATCH(INDEX(oppCol24,ROW()),ovrTeamCol,0),MATCH(MID(INDEX(headerRow,1,COLUMN()),4,LEN(INDEX(headerRow,1,COLUMN()))),ovrHeaderRow,0))</f>
        <v>13</v>
      </c>
      <c r="BR76" s="12">
        <f>INDEX(ovrTable,MATCH(INDEX(oppCol24,ROW()),ovrTeamCol,0),MATCH(MID(INDEX(headerRow,1,COLUMN()),4,LEN(INDEX(headerRow,1,COLUMN()))),ovrHeaderRow,0))</f>
        <v>18.239999999999998</v>
      </c>
      <c r="BS76" s="12">
        <f>INDEX(ovrTable,MATCH(INDEX(oppCol24,ROW()),ovrTeamCol,0),MATCH(MID(INDEX(headerRow,1,COLUMN()),4,LEN(INDEX(headerRow,1,COLUMN()))),ovrHeaderRow,0))</f>
        <v>4</v>
      </c>
      <c r="BT76" s="12">
        <f>INDEX(ovrTable,MATCH(INDEX(oppCol24,ROW()),ovrTeamCol,0),MATCH(MID(INDEX(headerRow,1,COLUMN()),4,LEN(INDEX(headerRow,1,COLUMN()))),ovrHeaderRow,0))</f>
        <v>40.5</v>
      </c>
      <c r="BU76" s="12">
        <f>INDEX(ovrTable,MATCH(INDEX(oppCol24,ROW()),ovrTeamCol,0),MATCH(MID(INDEX(headerRow,1,COLUMN()),4,LEN(INDEX(headerRow,1,COLUMN()))),ovrHeaderRow,0))</f>
        <v>26.11</v>
      </c>
      <c r="BV76" s="12">
        <f>INDEX(ovrTable,MATCH(INDEX(oppCol24,ROW()),ovrTeamCol,0),MATCH(MID(INDEX(headerRow,1,COLUMN()),4,LEN(INDEX(headerRow,1,COLUMN()))),ovrHeaderRow,0))</f>
        <v>0.5</v>
      </c>
      <c r="BW76" s="12">
        <f>INDEX(ovrTable,MATCH(INDEX(oppCol24,ROW()),ovrTeamCol,0),MATCH(MID(INDEX(headerRow,1,COLUMN()),4,LEN(INDEX(headerRow,1,COLUMN()))),ovrHeaderRow,0))</f>
        <v>8.76</v>
      </c>
      <c r="BX76" s="12">
        <f>INDEX(ovrTable,MATCH(INDEX(oppCol24,ROW()),ovrTeamCol,0),MATCH(MID(INDEX(headerRow,1,COLUMN()),4,LEN(INDEX(headerRow,1,COLUMN()))),ovrHeaderRow,0))</f>
        <v>44</v>
      </c>
      <c r="BY76" s="12">
        <f>INDEX(ovrTable,MATCH(INDEX(oppCol24,ROW()),ovrTeamCol,0),MATCH(MID(INDEX(headerRow,1,COLUMN()),4,LEN(INDEX(headerRow,1,COLUMN()))),ovrHeaderRow,0))</f>
        <v>17.5</v>
      </c>
      <c r="BZ76" s="12">
        <f>INDEX(ovrTable,MATCH(INDEX(oppCol24,ROW()),ovrTeamCol,0),MATCH(MID(INDEX(headerRow,1,COLUMN()),4,LEN(INDEX(headerRow,1,COLUMN()))),ovrHeaderRow,0))</f>
        <v>73.3</v>
      </c>
      <c r="CA76" s="12">
        <f>INDEX(ovrTable,MATCH(INDEX(oppCol24,ROW()),ovrTeamCol,0),MATCH(MID(INDEX(headerRow,1,COLUMN()),4,LEN(INDEX(headerRow,1,COLUMN()))),ovrHeaderRow,0))</f>
        <v>21.2</v>
      </c>
      <c r="CB76" s="12">
        <f>INDEX(ovrTable,MATCH(INDEX(oppCol24,ROW()),ovrTeamCol,0),MATCH(MID(INDEX(headerRow,1,COLUMN()),4,LEN(INDEX(headerRow,1,COLUMN()))),ovrHeaderRow,0))</f>
        <v>15.5</v>
      </c>
      <c r="CC76" s="12">
        <f>INDEX(ovrTable,MATCH(INDEX(oppCol24,ROW()),ovrTeamCol,0),MATCH(MID(INDEX(headerRow,1,COLUMN()),4,LEN(INDEX(headerRow,1,COLUMN()))),ovrHeaderRow,0))</f>
        <v>66.7</v>
      </c>
      <c r="CD76" s="12">
        <f>INDEX(ovrTable,MATCH(INDEX(oppCol24,ROW()),ovrTeamCol,0),MATCH(MID(INDEX(headerRow,1,COLUMN()),4,LEN(INDEX(headerRow,1,COLUMN()))),ovrHeaderRow,0))</f>
        <v>11.68</v>
      </c>
      <c r="CE76" s="12">
        <f>INDEX(ovrTable,MATCH(INDEX(oppCol24,ROW()),ovrTeamCol,0),MATCH(MID(INDEX(headerRow,1,COLUMN()),4,LEN(INDEX(headerRow,1,COLUMN()))),ovrHeaderRow,0))</f>
        <v>74.099999999999994</v>
      </c>
      <c r="CF76" s="12">
        <f>INDEX(ovrTable,MATCH(INDEX(oppCol24,ROW()),ovrTeamCol,0),MATCH(MID(INDEX(headerRow,1,COLUMN()),4,LEN(INDEX(headerRow,1,COLUMN()))),ovrHeaderRow,0))</f>
        <v>4.0999999999999996</v>
      </c>
      <c r="CG76" s="12">
        <f>INDEX(ovrTable,MATCH(INDEX(oppCol24,ROW()),ovrTeamCol,0),MATCH(MID(INDEX(headerRow,1,COLUMN()),4,LEN(INDEX(headerRow,1,COLUMN()))),ovrHeaderRow,0))</f>
        <v>37.78</v>
      </c>
      <c r="CH76" s="12">
        <f>INDEX(ovrTable,MATCH(INDEX(oppCol24,ROW()),ovrTeamCol,0),MATCH(MID(INDEX(headerRow,1,COLUMN()),4,LEN(INDEX(headerRow,1,COLUMN()))),ovrHeaderRow,0))</f>
        <v>7.4</v>
      </c>
      <c r="CI76" s="12">
        <f>INDEX(ovrTable,MATCH(INDEX(oppCol24,ROW()),ovrTeamCol,0),MATCH(MID(INDEX(headerRow,1,COLUMN()),4,LEN(INDEX(headerRow,1,COLUMN()))),ovrHeaderRow,0))</f>
        <v>7.4</v>
      </c>
      <c r="CJ76" s="12">
        <f>INDEX(ovrTable,MATCH(INDEX(oppCol24,ROW()),ovrTeamCol,0),MATCH(MID(INDEX(headerRow,1,COLUMN()),4,LEN(INDEX(headerRow,1,COLUMN()))),ovrHeaderRow,0))</f>
        <v>1.3</v>
      </c>
      <c r="CK76" s="12">
        <f>INDEX(ovrTable,MATCH(INDEX(oppCol24,ROW()),ovrTeamCol,0),MATCH(MID(INDEX(headerRow,1,COLUMN()),4,LEN(INDEX(headerRow,1,COLUMN()))),ovrHeaderRow,0))</f>
        <v>12.43</v>
      </c>
      <c r="CL76" s="12">
        <f>INDEX(ovrTable,MATCH(INDEX(oppCol24,ROW()),ovrTeamCol,0),MATCH(MID(INDEX(headerRow,1,COLUMN()),4,LEN(INDEX(headerRow,1,COLUMN()))),ovrHeaderRow,0))</f>
        <v>11.2</v>
      </c>
      <c r="CM76" s="12">
        <f>INDEX(ovrTable,MATCH(INDEX(oppCol24,ROW()),ovrTeamCol,0),MATCH(MID(INDEX(headerRow,1,COLUMN()),4,LEN(INDEX(headerRow,1,COLUMN()))),ovrHeaderRow,0))</f>
        <v>69.599999999999994</v>
      </c>
      <c r="CN76" s="12">
        <f>INDEX(ovrTable,MATCH(INDEX(oppCol24,ROW()),ovrTeamCol,0),MATCH(MID(INDEX(headerRow,1,COLUMN()),4,LEN(INDEX(headerRow,1,COLUMN()))),ovrHeaderRow,0))</f>
        <v>18.799999999999997</v>
      </c>
      <c r="CO76" s="12">
        <f>INDEX(ovrTable,MATCH(INDEX(oppCol24,ROW()),ovrTeamCol,0),MATCH(MID(INDEX(headerRow,1,COLUMN()),4,LEN(INDEX(headerRow,1,COLUMN()))),ovrHeaderRow,0))</f>
        <v>58.636363636363626</v>
      </c>
    </row>
    <row r="77" spans="1:93" x14ac:dyDescent="0.3">
      <c r="A77" s="6" t="s">
        <v>6</v>
      </c>
      <c r="B77" s="3">
        <v>5</v>
      </c>
      <c r="C77" s="13" t="s">
        <v>14</v>
      </c>
      <c r="D77" s="14">
        <v>38</v>
      </c>
      <c r="E77" s="23">
        <v>36.84210526315789</v>
      </c>
      <c r="F77" s="24">
        <v>13</v>
      </c>
      <c r="G77" s="23">
        <v>48.148148148148145</v>
      </c>
      <c r="H77" s="24">
        <v>27</v>
      </c>
      <c r="I77" s="25">
        <v>1.3333333333333333</v>
      </c>
      <c r="J77" s="24">
        <v>16</v>
      </c>
      <c r="K77" s="24">
        <v>23</v>
      </c>
      <c r="L77" s="24">
        <v>3</v>
      </c>
      <c r="M77" s="24">
        <v>37</v>
      </c>
      <c r="N77" s="24">
        <v>32</v>
      </c>
      <c r="O77" s="26">
        <v>0.64512068965517244</v>
      </c>
      <c r="P77" s="24">
        <v>8</v>
      </c>
      <c r="Q77" s="24">
        <v>52.7</v>
      </c>
      <c r="R77" s="24">
        <v>15</v>
      </c>
      <c r="S77" s="23">
        <v>82.35294117647058</v>
      </c>
      <c r="T77" s="24">
        <v>17</v>
      </c>
      <c r="U77" s="24">
        <v>14</v>
      </c>
      <c r="V77" s="24">
        <v>57</v>
      </c>
      <c r="W77" s="24">
        <v>7</v>
      </c>
      <c r="X77" s="24">
        <v>85</v>
      </c>
      <c r="Y77" s="24">
        <v>14</v>
      </c>
      <c r="Z77" s="24">
        <v>39</v>
      </c>
      <c r="AA77" s="24">
        <v>28</v>
      </c>
      <c r="AB77" s="24">
        <v>8</v>
      </c>
      <c r="AC77" s="24">
        <v>0</v>
      </c>
      <c r="AD77" s="24">
        <v>12</v>
      </c>
      <c r="AE77" s="24">
        <v>12</v>
      </c>
      <c r="AF77" s="46">
        <f t="shared" si="85"/>
        <v>68.103462998102472</v>
      </c>
      <c r="AG77" s="51">
        <f t="shared" ref="AG77" si="99">AVERAGE(AF76,AF77)</f>
        <v>67.903758526078263</v>
      </c>
      <c r="AH77" s="12">
        <f t="shared" si="92"/>
        <v>31</v>
      </c>
      <c r="AI77" s="12">
        <f t="shared" si="92"/>
        <v>7</v>
      </c>
      <c r="AJ77" s="12">
        <f t="shared" si="92"/>
        <v>31.5</v>
      </c>
      <c r="AK77" s="12">
        <f t="shared" si="92"/>
        <v>22.2</v>
      </c>
      <c r="AL77" s="12">
        <f t="shared" si="92"/>
        <v>1.1599999999999999</v>
      </c>
      <c r="AM77" s="12">
        <f t="shared" si="92"/>
        <v>13</v>
      </c>
      <c r="AN77" s="12">
        <f t="shared" si="92"/>
        <v>18.239999999999998</v>
      </c>
      <c r="AO77" s="12">
        <f t="shared" si="92"/>
        <v>4</v>
      </c>
      <c r="AP77" s="12">
        <f t="shared" si="92"/>
        <v>40.5</v>
      </c>
      <c r="AQ77" s="12">
        <f t="shared" si="92"/>
        <v>26.11</v>
      </c>
      <c r="AR77" s="12">
        <f t="shared" si="93"/>
        <v>0.5</v>
      </c>
      <c r="AS77" s="12">
        <f t="shared" si="93"/>
        <v>8.76</v>
      </c>
      <c r="AT77" s="12">
        <f t="shared" si="93"/>
        <v>44</v>
      </c>
      <c r="AU77" s="12">
        <f t="shared" si="93"/>
        <v>17.5</v>
      </c>
      <c r="AV77" s="12">
        <f t="shared" si="93"/>
        <v>73.3</v>
      </c>
      <c r="AW77" s="12">
        <f t="shared" si="93"/>
        <v>21.2</v>
      </c>
      <c r="AX77" s="12">
        <f t="shared" si="93"/>
        <v>15.5</v>
      </c>
      <c r="AY77" s="12">
        <f t="shared" si="93"/>
        <v>66.7</v>
      </c>
      <c r="AZ77" s="12">
        <f t="shared" si="93"/>
        <v>11.68</v>
      </c>
      <c r="BA77" s="12">
        <f t="shared" si="93"/>
        <v>74.099999999999994</v>
      </c>
      <c r="BB77" s="12">
        <f t="shared" si="94"/>
        <v>4.0999999999999996</v>
      </c>
      <c r="BC77" s="12">
        <f t="shared" si="94"/>
        <v>37.78</v>
      </c>
      <c r="BD77" s="12">
        <f t="shared" si="94"/>
        <v>7.4</v>
      </c>
      <c r="BE77" s="12">
        <f t="shared" si="94"/>
        <v>7.4</v>
      </c>
      <c r="BF77" s="12">
        <f t="shared" si="94"/>
        <v>1.3</v>
      </c>
      <c r="BG77" s="12">
        <f t="shared" si="94"/>
        <v>12.43</v>
      </c>
      <c r="BH77" s="12">
        <f t="shared" si="94"/>
        <v>11.2</v>
      </c>
      <c r="BI77" s="12">
        <f t="shared" si="94"/>
        <v>69.599999999999994</v>
      </c>
      <c r="BJ77" s="12">
        <f t="shared" si="94"/>
        <v>18.799999999999997</v>
      </c>
      <c r="BK77" s="12">
        <f t="shared" si="94"/>
        <v>58.636363636363626</v>
      </c>
      <c r="BL77" s="12">
        <f>INDEX(ovrTable,MATCH(INDEX(oppCol24,ROW()),ovrTeamCol,0),MATCH(MID(INDEX(headerRow,1,COLUMN()),4,LEN(INDEX(headerRow,1,COLUMN()))),ovrHeaderRow,0))</f>
        <v>33.799999999999997</v>
      </c>
      <c r="BM77" s="12">
        <f>INDEX(ovrTable,MATCH(INDEX(oppCol24,ROW()),ovrTeamCol,0),MATCH(MID(INDEX(headerRow,1,COLUMN()),4,LEN(INDEX(headerRow,1,COLUMN()))),ovrHeaderRow,0))</f>
        <v>7.3</v>
      </c>
      <c r="BN77" s="12">
        <f>INDEX(ovrTable,MATCH(INDEX(oppCol24,ROW()),ovrTeamCol,0),MATCH(MID(INDEX(headerRow,1,COLUMN()),4,LEN(INDEX(headerRow,1,COLUMN()))),ovrHeaderRow,0))</f>
        <v>35.1</v>
      </c>
      <c r="BO77" s="12">
        <f>INDEX(ovrTable,MATCH(INDEX(oppCol24,ROW()),ovrTeamCol,0),MATCH(MID(INDEX(headerRow,1,COLUMN()),4,LEN(INDEX(headerRow,1,COLUMN()))),ovrHeaderRow,0))</f>
        <v>20.8</v>
      </c>
      <c r="BP77" s="12">
        <f>INDEX(ovrTable,MATCH(INDEX(oppCol24,ROW()),ovrTeamCol,0),MATCH(MID(INDEX(headerRow,1,COLUMN()),4,LEN(INDEX(headerRow,1,COLUMN()))),ovrHeaderRow,0))</f>
        <v>1.57</v>
      </c>
      <c r="BQ77" s="12">
        <f>INDEX(ovrTable,MATCH(INDEX(oppCol24,ROW()),ovrTeamCol,0),MATCH(MID(INDEX(headerRow,1,COLUMN()),4,LEN(INDEX(headerRow,1,COLUMN()))),ovrHeaderRow,0))</f>
        <v>15</v>
      </c>
      <c r="BR77" s="12">
        <f>INDEX(ovrTable,MATCH(INDEX(oppCol24,ROW()),ovrTeamCol,0),MATCH(MID(INDEX(headerRow,1,COLUMN()),4,LEN(INDEX(headerRow,1,COLUMN()))),ovrHeaderRow,0))</f>
        <v>15.03</v>
      </c>
      <c r="BS77" s="12">
        <f>INDEX(ovrTable,MATCH(INDEX(oppCol24,ROW()),ovrTeamCol,0),MATCH(MID(INDEX(headerRow,1,COLUMN()),4,LEN(INDEX(headerRow,1,COLUMN()))),ovrHeaderRow,0))</f>
        <v>3.2</v>
      </c>
      <c r="BT77" s="12">
        <f>INDEX(ovrTable,MATCH(INDEX(oppCol24,ROW()),ovrTeamCol,0),MATCH(MID(INDEX(headerRow,1,COLUMN()),4,LEN(INDEX(headerRow,1,COLUMN()))),ovrHeaderRow,0))</f>
        <v>42.1</v>
      </c>
      <c r="BU77" s="12">
        <f>INDEX(ovrTable,MATCH(INDEX(oppCol24,ROW()),ovrTeamCol,0),MATCH(MID(INDEX(headerRow,1,COLUMN()),4,LEN(INDEX(headerRow,1,COLUMN()))),ovrHeaderRow,0))</f>
        <v>26.64</v>
      </c>
      <c r="BV77" s="12">
        <f>INDEX(ovrTable,MATCH(INDEX(oppCol24,ROW()),ovrTeamCol,0),MATCH(MID(INDEX(headerRow,1,COLUMN()),4,LEN(INDEX(headerRow,1,COLUMN()))),ovrHeaderRow,0))</f>
        <v>0.52800000000000002</v>
      </c>
      <c r="BW77" s="12">
        <f>INDEX(ovrTable,MATCH(INDEX(oppCol24,ROW()),ovrTeamCol,0),MATCH(MID(INDEX(headerRow,1,COLUMN()),4,LEN(INDEX(headerRow,1,COLUMN()))),ovrHeaderRow,0))</f>
        <v>9.39</v>
      </c>
      <c r="BX77" s="12">
        <f>INDEX(ovrTable,MATCH(INDEX(oppCol24,ROW()),ovrTeamCol,0),MATCH(MID(INDEX(headerRow,1,COLUMN()),4,LEN(INDEX(headerRow,1,COLUMN()))),ovrHeaderRow,0))</f>
        <v>46.7</v>
      </c>
      <c r="BY77" s="12">
        <f>INDEX(ovrTable,MATCH(INDEX(oppCol24,ROW()),ovrTeamCol,0),MATCH(MID(INDEX(headerRow,1,COLUMN()),4,LEN(INDEX(headerRow,1,COLUMN()))),ovrHeaderRow,0))</f>
        <v>15.1</v>
      </c>
      <c r="BZ77" s="12">
        <f>INDEX(ovrTable,MATCH(INDEX(oppCol24,ROW()),ovrTeamCol,0),MATCH(MID(INDEX(headerRow,1,COLUMN()),4,LEN(INDEX(headerRow,1,COLUMN()))),ovrHeaderRow,0))</f>
        <v>70.7</v>
      </c>
      <c r="CA77" s="12">
        <f>INDEX(ovrTable,MATCH(INDEX(oppCol24,ROW()),ovrTeamCol,0),MATCH(MID(INDEX(headerRow,1,COLUMN()),4,LEN(INDEX(headerRow,1,COLUMN()))),ovrHeaderRow,0))</f>
        <v>16.5</v>
      </c>
      <c r="CB77" s="12">
        <f>INDEX(ovrTable,MATCH(INDEX(oppCol24,ROW()),ovrTeamCol,0),MATCH(MID(INDEX(headerRow,1,COLUMN()),4,LEN(INDEX(headerRow,1,COLUMN()))),ovrHeaderRow,0))</f>
        <v>11.7</v>
      </c>
      <c r="CC77" s="12">
        <f>INDEX(ovrTable,MATCH(INDEX(oppCol24,ROW()),ovrTeamCol,0),MATCH(MID(INDEX(headerRow,1,COLUMN()),4,LEN(INDEX(headerRow,1,COLUMN()))),ovrHeaderRow,0))</f>
        <v>67.5</v>
      </c>
      <c r="CD77" s="12">
        <f>INDEX(ovrTable,MATCH(INDEX(oppCol24,ROW()),ovrTeamCol,0),MATCH(MID(INDEX(headerRow,1,COLUMN()),4,LEN(INDEX(headerRow,1,COLUMN()))),ovrHeaderRow,0))</f>
        <v>9.8800000000000008</v>
      </c>
      <c r="CE77" s="12">
        <f>INDEX(ovrTable,MATCH(INDEX(oppCol24,ROW()),ovrTeamCol,0),MATCH(MID(INDEX(headerRow,1,COLUMN()),4,LEN(INDEX(headerRow,1,COLUMN()))),ovrHeaderRow,0))</f>
        <v>74.7</v>
      </c>
      <c r="CF77" s="12">
        <f>INDEX(ovrTable,MATCH(INDEX(oppCol24,ROW()),ovrTeamCol,0),MATCH(MID(INDEX(headerRow,1,COLUMN()),4,LEN(INDEX(headerRow,1,COLUMN()))),ovrHeaderRow,0))</f>
        <v>3.9</v>
      </c>
      <c r="CG77" s="12">
        <f>INDEX(ovrTable,MATCH(INDEX(oppCol24,ROW()),ovrTeamCol,0),MATCH(MID(INDEX(headerRow,1,COLUMN()),4,LEN(INDEX(headerRow,1,COLUMN()))),ovrHeaderRow,0))</f>
        <v>36.520000000000003</v>
      </c>
      <c r="CH77" s="12">
        <f>INDEX(ovrTable,MATCH(INDEX(oppCol24,ROW()),ovrTeamCol,0),MATCH(MID(INDEX(headerRow,1,COLUMN()),4,LEN(INDEX(headerRow,1,COLUMN()))),ovrHeaderRow,0))</f>
        <v>7.2</v>
      </c>
      <c r="CI77" s="12">
        <f>INDEX(ovrTable,MATCH(INDEX(oppCol24,ROW()),ovrTeamCol,0),MATCH(MID(INDEX(headerRow,1,COLUMN()),4,LEN(INDEX(headerRow,1,COLUMN()))),ovrHeaderRow,0))</f>
        <v>6.2</v>
      </c>
      <c r="CJ77" s="12">
        <f>INDEX(ovrTable,MATCH(INDEX(oppCol24,ROW()),ovrTeamCol,0),MATCH(MID(INDEX(headerRow,1,COLUMN()),4,LEN(INDEX(headerRow,1,COLUMN()))),ovrHeaderRow,0))</f>
        <v>1.5</v>
      </c>
      <c r="CK77" s="12">
        <f>INDEX(ovrTable,MATCH(INDEX(oppCol24,ROW()),ovrTeamCol,0),MATCH(MID(INDEX(headerRow,1,COLUMN()),4,LEN(INDEX(headerRow,1,COLUMN()))),ovrHeaderRow,0))</f>
        <v>11.06</v>
      </c>
      <c r="CL77" s="12">
        <f>INDEX(ovrTable,MATCH(INDEX(oppCol24,ROW()),ovrTeamCol,0),MATCH(MID(INDEX(headerRow,1,COLUMN()),4,LEN(INDEX(headerRow,1,COLUMN()))),ovrHeaderRow,0))</f>
        <v>9.6</v>
      </c>
      <c r="CM77" s="12">
        <f>INDEX(ovrTable,MATCH(INDEX(oppCol24,ROW()),ovrTeamCol,0),MATCH(MID(INDEX(headerRow,1,COLUMN()),4,LEN(INDEX(headerRow,1,COLUMN()))),ovrHeaderRow,0))</f>
        <v>68.3</v>
      </c>
      <c r="CN77" s="12">
        <f>INDEX(ovrTable,MATCH(INDEX(oppCol24,ROW()),ovrTeamCol,0),MATCH(MID(INDEX(headerRow,1,COLUMN()),4,LEN(INDEX(headerRow,1,COLUMN()))),ovrHeaderRow,0))</f>
        <v>20.55</v>
      </c>
      <c r="CO77" s="12">
        <f>INDEX(ovrTable,MATCH(INDEX(oppCol24,ROW()),ovrTeamCol,0),MATCH(MID(INDEX(headerRow,1,COLUMN()),4,LEN(INDEX(headerRow,1,COLUMN()))),ovrHeaderRow,0))</f>
        <v>59.635974304068519</v>
      </c>
    </row>
    <row r="78" spans="1:93" x14ac:dyDescent="0.3">
      <c r="A78" s="6" t="s">
        <v>12</v>
      </c>
      <c r="B78" s="3">
        <v>11</v>
      </c>
      <c r="C78" s="13" t="s">
        <v>4</v>
      </c>
      <c r="D78" s="14">
        <v>39</v>
      </c>
      <c r="E78" s="23">
        <v>33.333333333333329</v>
      </c>
      <c r="F78" s="24">
        <v>5</v>
      </c>
      <c r="G78" s="23">
        <v>29.411764705882355</v>
      </c>
      <c r="H78" s="24">
        <v>17</v>
      </c>
      <c r="I78" s="25">
        <v>1.5555555555555556</v>
      </c>
      <c r="J78" s="24">
        <v>14</v>
      </c>
      <c r="K78" s="24">
        <v>17</v>
      </c>
      <c r="L78" s="24">
        <v>1</v>
      </c>
      <c r="M78" s="24">
        <v>59.3</v>
      </c>
      <c r="N78" s="24">
        <v>15</v>
      </c>
      <c r="O78" s="26">
        <v>0.45100000000000001</v>
      </c>
      <c r="P78" s="24">
        <v>5</v>
      </c>
      <c r="Q78" s="24">
        <v>41</v>
      </c>
      <c r="R78" s="24">
        <v>17</v>
      </c>
      <c r="S78" s="23">
        <v>80</v>
      </c>
      <c r="T78" s="24">
        <v>10</v>
      </c>
      <c r="U78" s="24">
        <v>8</v>
      </c>
      <c r="V78" s="24">
        <v>89</v>
      </c>
      <c r="W78" s="24">
        <v>13</v>
      </c>
      <c r="X78" s="24">
        <v>63</v>
      </c>
      <c r="Y78" s="24">
        <v>-7</v>
      </c>
      <c r="Z78" s="24">
        <v>28</v>
      </c>
      <c r="AA78" s="24">
        <v>-26</v>
      </c>
      <c r="AB78" s="24">
        <v>4</v>
      </c>
      <c r="AC78" s="24">
        <v>-2</v>
      </c>
      <c r="AD78" s="24">
        <v>7</v>
      </c>
      <c r="AE78" s="24">
        <v>9</v>
      </c>
      <c r="AF78" s="46">
        <f t="shared" si="85"/>
        <v>61.725609756097562</v>
      </c>
      <c r="AG78" s="51">
        <f t="shared" ref="AG78" si="100">AVERAGE(AF78,AF79)</f>
        <v>62.411266092214049</v>
      </c>
      <c r="AH78" s="12">
        <f t="shared" si="92"/>
        <v>31.8</v>
      </c>
      <c r="AI78" s="12">
        <f t="shared" si="92"/>
        <v>7.5</v>
      </c>
      <c r="AJ78" s="12">
        <f t="shared" si="92"/>
        <v>34</v>
      </c>
      <c r="AK78" s="12">
        <f t="shared" si="92"/>
        <v>22.2</v>
      </c>
      <c r="AL78" s="12">
        <f t="shared" si="92"/>
        <v>1.1499999999999999</v>
      </c>
      <c r="AM78" s="12">
        <f t="shared" si="92"/>
        <v>13.4</v>
      </c>
      <c r="AN78" s="12">
        <f t="shared" si="92"/>
        <v>23.24</v>
      </c>
      <c r="AO78" s="12">
        <f t="shared" si="92"/>
        <v>4.3</v>
      </c>
      <c r="AP78" s="12">
        <f t="shared" si="92"/>
        <v>42.3</v>
      </c>
      <c r="AQ78" s="12">
        <f t="shared" si="92"/>
        <v>24.3</v>
      </c>
      <c r="AR78" s="12">
        <f t="shared" si="93"/>
        <v>0.503</v>
      </c>
      <c r="AS78" s="12">
        <f t="shared" si="93"/>
        <v>11.86</v>
      </c>
      <c r="AT78" s="12">
        <f t="shared" si="93"/>
        <v>43.6</v>
      </c>
      <c r="AU78" s="12">
        <f t="shared" si="93"/>
        <v>17.100000000000001</v>
      </c>
      <c r="AV78" s="12">
        <f t="shared" si="93"/>
        <v>72</v>
      </c>
      <c r="AW78" s="12">
        <f t="shared" si="93"/>
        <v>18.399999999999999</v>
      </c>
      <c r="AX78" s="12">
        <f t="shared" si="93"/>
        <v>13.2</v>
      </c>
      <c r="AY78" s="12">
        <f t="shared" si="93"/>
        <v>66.7</v>
      </c>
      <c r="AZ78" s="12">
        <f t="shared" si="93"/>
        <v>10.51</v>
      </c>
      <c r="BA78" s="12">
        <f t="shared" si="93"/>
        <v>70.599999999999994</v>
      </c>
      <c r="BB78" s="12">
        <f t="shared" si="94"/>
        <v>0.5</v>
      </c>
      <c r="BC78" s="12">
        <f t="shared" si="94"/>
        <v>34.81</v>
      </c>
      <c r="BD78" s="12">
        <f t="shared" si="94"/>
        <v>3.9</v>
      </c>
      <c r="BE78" s="12">
        <f t="shared" si="94"/>
        <v>7.5</v>
      </c>
      <c r="BF78" s="12">
        <f t="shared" si="94"/>
        <v>1.4</v>
      </c>
      <c r="BG78" s="12">
        <f t="shared" si="94"/>
        <v>13.11</v>
      </c>
      <c r="BH78" s="12">
        <f t="shared" si="94"/>
        <v>11.7</v>
      </c>
      <c r="BI78" s="12">
        <f t="shared" si="94"/>
        <v>68.400000000000006</v>
      </c>
      <c r="BJ78" s="12">
        <f t="shared" si="94"/>
        <v>17.449999999999996</v>
      </c>
      <c r="BK78" s="12">
        <f t="shared" si="94"/>
        <v>57.224770642201825</v>
      </c>
      <c r="BL78" s="12">
        <f>INDEX(ovrTable,MATCH(INDEX(oppCol24,ROW()),ovrTeamCol,0),MATCH(MID(INDEX(headerRow,1,COLUMN()),4,LEN(INDEX(headerRow,1,COLUMN()))),ovrHeaderRow,0))</f>
        <v>34.1</v>
      </c>
      <c r="BM78" s="12">
        <f>INDEX(ovrTable,MATCH(INDEX(oppCol24,ROW()),ovrTeamCol,0),MATCH(MID(INDEX(headerRow,1,COLUMN()),4,LEN(INDEX(headerRow,1,COLUMN()))),ovrHeaderRow,0))</f>
        <v>8.3000000000000007</v>
      </c>
      <c r="BN78" s="12">
        <f>INDEX(ovrTable,MATCH(INDEX(oppCol24,ROW()),ovrTeamCol,0),MATCH(MID(INDEX(headerRow,1,COLUMN()),4,LEN(INDEX(headerRow,1,COLUMN()))),ovrHeaderRow,0))</f>
        <v>34.9</v>
      </c>
      <c r="BO78" s="12">
        <f>INDEX(ovrTable,MATCH(INDEX(oppCol24,ROW()),ovrTeamCol,0),MATCH(MID(INDEX(headerRow,1,COLUMN()),4,LEN(INDEX(headerRow,1,COLUMN()))),ovrHeaderRow,0))</f>
        <v>23.9</v>
      </c>
      <c r="BP78" s="12">
        <f>INDEX(ovrTable,MATCH(INDEX(oppCol24,ROW()),ovrTeamCol,0),MATCH(MID(INDEX(headerRow,1,COLUMN()),4,LEN(INDEX(headerRow,1,COLUMN()))),ovrHeaderRow,0))</f>
        <v>1.26</v>
      </c>
      <c r="BQ78" s="12">
        <f>INDEX(ovrTable,MATCH(INDEX(oppCol24,ROW()),ovrTeamCol,0),MATCH(MID(INDEX(headerRow,1,COLUMN()),4,LEN(INDEX(headerRow,1,COLUMN()))),ovrHeaderRow,0))</f>
        <v>13.3</v>
      </c>
      <c r="BR78" s="12">
        <f>INDEX(ovrTable,MATCH(INDEX(oppCol24,ROW()),ovrTeamCol,0),MATCH(MID(INDEX(headerRow,1,COLUMN()),4,LEN(INDEX(headerRow,1,COLUMN()))),ovrHeaderRow,0))</f>
        <v>19.18</v>
      </c>
      <c r="BS78" s="12">
        <f>INDEX(ovrTable,MATCH(INDEX(oppCol24,ROW()),ovrTeamCol,0),MATCH(MID(INDEX(headerRow,1,COLUMN()),4,LEN(INDEX(headerRow,1,COLUMN()))),ovrHeaderRow,0))</f>
        <v>3.8</v>
      </c>
      <c r="BT78" s="12">
        <f>INDEX(ovrTable,MATCH(INDEX(oppCol24,ROW()),ovrTeamCol,0),MATCH(MID(INDEX(headerRow,1,COLUMN()),4,LEN(INDEX(headerRow,1,COLUMN()))),ovrHeaderRow,0))</f>
        <v>43.2</v>
      </c>
      <c r="BU78" s="12">
        <f>INDEX(ovrTable,MATCH(INDEX(oppCol24,ROW()),ovrTeamCol,0),MATCH(MID(INDEX(headerRow,1,COLUMN()),4,LEN(INDEX(headerRow,1,COLUMN()))),ovrHeaderRow,0))</f>
        <v>28.11</v>
      </c>
      <c r="BV78" s="12">
        <f>INDEX(ovrTable,MATCH(INDEX(oppCol24,ROW()),ovrTeamCol,0),MATCH(MID(INDEX(headerRow,1,COLUMN()),4,LEN(INDEX(headerRow,1,COLUMN()))),ovrHeaderRow,0))</f>
        <v>0.53600000000000003</v>
      </c>
      <c r="BW78" s="12">
        <f>INDEX(ovrTable,MATCH(INDEX(oppCol24,ROW()),ovrTeamCol,0),MATCH(MID(INDEX(headerRow,1,COLUMN()),4,LEN(INDEX(headerRow,1,COLUMN()))),ovrHeaderRow,0))</f>
        <v>11.47</v>
      </c>
      <c r="BX78" s="12">
        <f>INDEX(ovrTable,MATCH(INDEX(oppCol24,ROW()),ovrTeamCol,0),MATCH(MID(INDEX(headerRow,1,COLUMN()),4,LEN(INDEX(headerRow,1,COLUMN()))),ovrHeaderRow,0))</f>
        <v>46.9</v>
      </c>
      <c r="BY78" s="12">
        <f>INDEX(ovrTable,MATCH(INDEX(oppCol24,ROW()),ovrTeamCol,0),MATCH(MID(INDEX(headerRow,1,COLUMN()),4,LEN(INDEX(headerRow,1,COLUMN()))),ovrHeaderRow,0))</f>
        <v>15.2</v>
      </c>
      <c r="BZ78" s="12">
        <f>INDEX(ovrTable,MATCH(INDEX(oppCol24,ROW()),ovrTeamCol,0),MATCH(MID(INDEX(headerRow,1,COLUMN()),4,LEN(INDEX(headerRow,1,COLUMN()))),ovrHeaderRow,0))</f>
        <v>73.599999999999994</v>
      </c>
      <c r="CA78" s="12">
        <f>INDEX(ovrTable,MATCH(INDEX(oppCol24,ROW()),ovrTeamCol,0),MATCH(MID(INDEX(headerRow,1,COLUMN()),4,LEN(INDEX(headerRow,1,COLUMN()))),ovrHeaderRow,0))</f>
        <v>23</v>
      </c>
      <c r="CB78" s="12">
        <f>INDEX(ovrTable,MATCH(INDEX(oppCol24,ROW()),ovrTeamCol,0),MATCH(MID(INDEX(headerRow,1,COLUMN()),4,LEN(INDEX(headerRow,1,COLUMN()))),ovrHeaderRow,0))</f>
        <v>16.899999999999999</v>
      </c>
      <c r="CC78" s="12">
        <f>INDEX(ovrTable,MATCH(INDEX(oppCol24,ROW()),ovrTeamCol,0),MATCH(MID(INDEX(headerRow,1,COLUMN()),4,LEN(INDEX(headerRow,1,COLUMN()))),ovrHeaderRow,0))</f>
        <v>73.3</v>
      </c>
      <c r="CD78" s="12">
        <f>INDEX(ovrTable,MATCH(INDEX(oppCol24,ROW()),ovrTeamCol,0),MATCH(MID(INDEX(headerRow,1,COLUMN()),4,LEN(INDEX(headerRow,1,COLUMN()))),ovrHeaderRow,0))</f>
        <v>12.79</v>
      </c>
      <c r="CE78" s="12">
        <f>INDEX(ovrTable,MATCH(INDEX(oppCol24,ROW()),ovrTeamCol,0),MATCH(MID(INDEX(headerRow,1,COLUMN()),4,LEN(INDEX(headerRow,1,COLUMN()))),ovrHeaderRow,0))</f>
        <v>83.4</v>
      </c>
      <c r="CF78" s="12">
        <f>INDEX(ovrTable,MATCH(INDEX(oppCol24,ROW()),ovrTeamCol,0),MATCH(MID(INDEX(headerRow,1,COLUMN()),4,LEN(INDEX(headerRow,1,COLUMN()))),ovrHeaderRow,0))</f>
        <v>7.8</v>
      </c>
      <c r="CG78" s="12">
        <f>INDEX(ovrTable,MATCH(INDEX(oppCol24,ROW()),ovrTeamCol,0),MATCH(MID(INDEX(headerRow,1,COLUMN()),4,LEN(INDEX(headerRow,1,COLUMN()))),ovrHeaderRow,0))</f>
        <v>40.89</v>
      </c>
      <c r="CH78" s="12">
        <f>INDEX(ovrTable,MATCH(INDEX(oppCol24,ROW()),ovrTeamCol,0),MATCH(MID(INDEX(headerRow,1,COLUMN()),4,LEN(INDEX(headerRow,1,COLUMN()))),ovrHeaderRow,0))</f>
        <v>10</v>
      </c>
      <c r="CI78" s="12">
        <f>INDEX(ovrTable,MATCH(INDEX(oppCol24,ROW()),ovrTeamCol,0),MATCH(MID(INDEX(headerRow,1,COLUMN()),4,LEN(INDEX(headerRow,1,COLUMN()))),ovrHeaderRow,0))</f>
        <v>4.4000000000000004</v>
      </c>
      <c r="CJ78" s="12">
        <f>INDEX(ovrTable,MATCH(INDEX(oppCol24,ROW()),ovrTeamCol,0),MATCH(MID(INDEX(headerRow,1,COLUMN()),4,LEN(INDEX(headerRow,1,COLUMN()))),ovrHeaderRow,0))</f>
        <v>-1.8</v>
      </c>
      <c r="CK78" s="12">
        <f>INDEX(ovrTable,MATCH(INDEX(oppCol24,ROW()),ovrTeamCol,0),MATCH(MID(INDEX(headerRow,1,COLUMN()),4,LEN(INDEX(headerRow,1,COLUMN()))),ovrHeaderRow,0))</f>
        <v>8.7100000000000009</v>
      </c>
      <c r="CL78" s="12">
        <f>INDEX(ovrTable,MATCH(INDEX(oppCol24,ROW()),ovrTeamCol,0),MATCH(MID(INDEX(headerRow,1,COLUMN()),4,LEN(INDEX(headerRow,1,COLUMN()))),ovrHeaderRow,0))</f>
        <v>10.6</v>
      </c>
      <c r="CM78" s="12">
        <f>INDEX(ovrTable,MATCH(INDEX(oppCol24,ROW()),ovrTeamCol,0),MATCH(MID(INDEX(headerRow,1,COLUMN()),4,LEN(INDEX(headerRow,1,COLUMN()))),ovrHeaderRow,0))</f>
        <v>72.3</v>
      </c>
      <c r="CN78" s="12">
        <f>INDEX(ovrTable,MATCH(INDEX(oppCol24,ROW()),ovrTeamCol,0),MATCH(MID(INDEX(headerRow,1,COLUMN()),4,LEN(INDEX(headerRow,1,COLUMN()))),ovrHeaderRow,0))</f>
        <v>20.799999999999997</v>
      </c>
      <c r="CO78" s="12">
        <f>INDEX(ovrTable,MATCH(INDEX(oppCol24,ROW()),ovrTeamCol,0),MATCH(MID(INDEX(headerRow,1,COLUMN()),4,LEN(INDEX(headerRow,1,COLUMN()))),ovrHeaderRow,0))</f>
        <v>62.046908315565034</v>
      </c>
    </row>
    <row r="79" spans="1:93" x14ac:dyDescent="0.3">
      <c r="A79" s="6" t="s">
        <v>4</v>
      </c>
      <c r="B79" s="3">
        <v>3</v>
      </c>
      <c r="C79" s="13" t="s">
        <v>12</v>
      </c>
      <c r="D79" s="14">
        <v>39</v>
      </c>
      <c r="E79" s="23">
        <v>29.411764705882355</v>
      </c>
      <c r="F79" s="24">
        <v>7</v>
      </c>
      <c r="G79" s="23">
        <v>33.333333333333329</v>
      </c>
      <c r="H79" s="24">
        <v>21</v>
      </c>
      <c r="I79" s="25">
        <v>2.4285714285714284</v>
      </c>
      <c r="J79" s="24">
        <v>17</v>
      </c>
      <c r="K79" s="24">
        <v>14</v>
      </c>
      <c r="L79" s="24">
        <v>1</v>
      </c>
      <c r="M79" s="24">
        <v>41</v>
      </c>
      <c r="N79" s="24">
        <v>24</v>
      </c>
      <c r="O79" s="26">
        <v>0.65229999999999988</v>
      </c>
      <c r="P79" s="24">
        <v>16</v>
      </c>
      <c r="Q79" s="24">
        <v>59.3</v>
      </c>
      <c r="R79" s="24">
        <v>12</v>
      </c>
      <c r="S79" s="23">
        <v>70.588235294117652</v>
      </c>
      <c r="T79" s="24">
        <v>17</v>
      </c>
      <c r="U79" s="24">
        <v>12</v>
      </c>
      <c r="V79" s="24">
        <v>63</v>
      </c>
      <c r="W79" s="24">
        <v>11</v>
      </c>
      <c r="X79" s="24">
        <v>89</v>
      </c>
      <c r="Y79" s="24">
        <v>7</v>
      </c>
      <c r="Z79" s="24">
        <v>35</v>
      </c>
      <c r="AA79" s="24">
        <v>26</v>
      </c>
      <c r="AB79" s="24">
        <v>6</v>
      </c>
      <c r="AC79" s="24">
        <v>2</v>
      </c>
      <c r="AD79" s="24">
        <v>9</v>
      </c>
      <c r="AE79" s="24">
        <v>7</v>
      </c>
      <c r="AF79" s="46">
        <f t="shared" si="85"/>
        <v>63.096922428330529</v>
      </c>
      <c r="AG79" s="51">
        <f t="shared" ref="AG79" si="101">AVERAGE(AF78,AF79)</f>
        <v>62.411266092214049</v>
      </c>
      <c r="AH79" s="12">
        <f t="shared" si="92"/>
        <v>34.1</v>
      </c>
      <c r="AI79" s="12">
        <f t="shared" si="92"/>
        <v>8.3000000000000007</v>
      </c>
      <c r="AJ79" s="12">
        <f t="shared" si="92"/>
        <v>34.9</v>
      </c>
      <c r="AK79" s="12">
        <f t="shared" si="92"/>
        <v>23.9</v>
      </c>
      <c r="AL79" s="12">
        <f t="shared" si="92"/>
        <v>1.26</v>
      </c>
      <c r="AM79" s="12">
        <f t="shared" si="92"/>
        <v>13.3</v>
      </c>
      <c r="AN79" s="12">
        <f t="shared" si="92"/>
        <v>19.18</v>
      </c>
      <c r="AO79" s="12">
        <f t="shared" si="92"/>
        <v>3.8</v>
      </c>
      <c r="AP79" s="12">
        <f t="shared" si="92"/>
        <v>43.2</v>
      </c>
      <c r="AQ79" s="12">
        <f t="shared" si="92"/>
        <v>28.11</v>
      </c>
      <c r="AR79" s="12">
        <f t="shared" si="93"/>
        <v>0.53600000000000003</v>
      </c>
      <c r="AS79" s="12">
        <f t="shared" si="93"/>
        <v>11.47</v>
      </c>
      <c r="AT79" s="12">
        <f t="shared" si="93"/>
        <v>46.9</v>
      </c>
      <c r="AU79" s="12">
        <f t="shared" si="93"/>
        <v>15.2</v>
      </c>
      <c r="AV79" s="12">
        <f t="shared" si="93"/>
        <v>73.599999999999994</v>
      </c>
      <c r="AW79" s="12">
        <f t="shared" si="93"/>
        <v>23</v>
      </c>
      <c r="AX79" s="12">
        <f t="shared" si="93"/>
        <v>16.899999999999999</v>
      </c>
      <c r="AY79" s="12">
        <f t="shared" si="93"/>
        <v>73.3</v>
      </c>
      <c r="AZ79" s="12">
        <f t="shared" si="93"/>
        <v>12.79</v>
      </c>
      <c r="BA79" s="12">
        <f t="shared" si="93"/>
        <v>83.4</v>
      </c>
      <c r="BB79" s="12">
        <f t="shared" si="94"/>
        <v>7.8</v>
      </c>
      <c r="BC79" s="12">
        <f t="shared" si="94"/>
        <v>40.89</v>
      </c>
      <c r="BD79" s="12">
        <f t="shared" si="94"/>
        <v>10</v>
      </c>
      <c r="BE79" s="12">
        <f t="shared" si="94"/>
        <v>4.4000000000000004</v>
      </c>
      <c r="BF79" s="12">
        <f t="shared" si="94"/>
        <v>-1.8</v>
      </c>
      <c r="BG79" s="12">
        <f t="shared" si="94"/>
        <v>8.7100000000000009</v>
      </c>
      <c r="BH79" s="12">
        <f t="shared" si="94"/>
        <v>10.6</v>
      </c>
      <c r="BI79" s="12">
        <f t="shared" si="94"/>
        <v>72.3</v>
      </c>
      <c r="BJ79" s="12">
        <f t="shared" si="94"/>
        <v>20.799999999999997</v>
      </c>
      <c r="BK79" s="12">
        <f t="shared" si="94"/>
        <v>62.046908315565034</v>
      </c>
      <c r="BL79" s="12">
        <f>INDEX(ovrTable,MATCH(INDEX(oppCol24,ROW()),ovrTeamCol,0),MATCH(MID(INDEX(headerRow,1,COLUMN()),4,LEN(INDEX(headerRow,1,COLUMN()))),ovrHeaderRow,0))</f>
        <v>31.8</v>
      </c>
      <c r="BM79" s="12">
        <f>INDEX(ovrTable,MATCH(INDEX(oppCol24,ROW()),ovrTeamCol,0),MATCH(MID(INDEX(headerRow,1,COLUMN()),4,LEN(INDEX(headerRow,1,COLUMN()))),ovrHeaderRow,0))</f>
        <v>7.5</v>
      </c>
      <c r="BN79" s="12">
        <f>INDEX(ovrTable,MATCH(INDEX(oppCol24,ROW()),ovrTeamCol,0),MATCH(MID(INDEX(headerRow,1,COLUMN()),4,LEN(INDEX(headerRow,1,COLUMN()))),ovrHeaderRow,0))</f>
        <v>34</v>
      </c>
      <c r="BO79" s="12">
        <f>INDEX(ovrTable,MATCH(INDEX(oppCol24,ROW()),ovrTeamCol,0),MATCH(MID(INDEX(headerRow,1,COLUMN()),4,LEN(INDEX(headerRow,1,COLUMN()))),ovrHeaderRow,0))</f>
        <v>22.2</v>
      </c>
      <c r="BP79" s="12">
        <f>INDEX(ovrTable,MATCH(INDEX(oppCol24,ROW()),ovrTeamCol,0),MATCH(MID(INDEX(headerRow,1,COLUMN()),4,LEN(INDEX(headerRow,1,COLUMN()))),ovrHeaderRow,0))</f>
        <v>1.1499999999999999</v>
      </c>
      <c r="BQ79" s="12">
        <f>INDEX(ovrTable,MATCH(INDEX(oppCol24,ROW()),ovrTeamCol,0),MATCH(MID(INDEX(headerRow,1,COLUMN()),4,LEN(INDEX(headerRow,1,COLUMN()))),ovrHeaderRow,0))</f>
        <v>13.4</v>
      </c>
      <c r="BR79" s="12">
        <f>INDEX(ovrTable,MATCH(INDEX(oppCol24,ROW()),ovrTeamCol,0),MATCH(MID(INDEX(headerRow,1,COLUMN()),4,LEN(INDEX(headerRow,1,COLUMN()))),ovrHeaderRow,0))</f>
        <v>23.24</v>
      </c>
      <c r="BS79" s="12">
        <f>INDEX(ovrTable,MATCH(INDEX(oppCol24,ROW()),ovrTeamCol,0),MATCH(MID(INDEX(headerRow,1,COLUMN()),4,LEN(INDEX(headerRow,1,COLUMN()))),ovrHeaderRow,0))</f>
        <v>4.3</v>
      </c>
      <c r="BT79" s="12">
        <f>INDEX(ovrTable,MATCH(INDEX(oppCol24,ROW()),ovrTeamCol,0),MATCH(MID(INDEX(headerRow,1,COLUMN()),4,LEN(INDEX(headerRow,1,COLUMN()))),ovrHeaderRow,0))</f>
        <v>42.3</v>
      </c>
      <c r="BU79" s="12">
        <f>INDEX(ovrTable,MATCH(INDEX(oppCol24,ROW()),ovrTeamCol,0),MATCH(MID(INDEX(headerRow,1,COLUMN()),4,LEN(INDEX(headerRow,1,COLUMN()))),ovrHeaderRow,0))</f>
        <v>24.3</v>
      </c>
      <c r="BV79" s="12">
        <f>INDEX(ovrTable,MATCH(INDEX(oppCol24,ROW()),ovrTeamCol,0),MATCH(MID(INDEX(headerRow,1,COLUMN()),4,LEN(INDEX(headerRow,1,COLUMN()))),ovrHeaderRow,0))</f>
        <v>0.503</v>
      </c>
      <c r="BW79" s="12">
        <f>INDEX(ovrTable,MATCH(INDEX(oppCol24,ROW()),ovrTeamCol,0),MATCH(MID(INDEX(headerRow,1,COLUMN()),4,LEN(INDEX(headerRow,1,COLUMN()))),ovrHeaderRow,0))</f>
        <v>11.86</v>
      </c>
      <c r="BX79" s="12">
        <f>INDEX(ovrTable,MATCH(INDEX(oppCol24,ROW()),ovrTeamCol,0),MATCH(MID(INDEX(headerRow,1,COLUMN()),4,LEN(INDEX(headerRow,1,COLUMN()))),ovrHeaderRow,0))</f>
        <v>43.6</v>
      </c>
      <c r="BY79" s="12">
        <f>INDEX(ovrTable,MATCH(INDEX(oppCol24,ROW()),ovrTeamCol,0),MATCH(MID(INDEX(headerRow,1,COLUMN()),4,LEN(INDEX(headerRow,1,COLUMN()))),ovrHeaderRow,0))</f>
        <v>17.100000000000001</v>
      </c>
      <c r="BZ79" s="12">
        <f>INDEX(ovrTable,MATCH(INDEX(oppCol24,ROW()),ovrTeamCol,0),MATCH(MID(INDEX(headerRow,1,COLUMN()),4,LEN(INDEX(headerRow,1,COLUMN()))),ovrHeaderRow,0))</f>
        <v>72</v>
      </c>
      <c r="CA79" s="12">
        <f>INDEX(ovrTable,MATCH(INDEX(oppCol24,ROW()),ovrTeamCol,0),MATCH(MID(INDEX(headerRow,1,COLUMN()),4,LEN(INDEX(headerRow,1,COLUMN()))),ovrHeaderRow,0))</f>
        <v>18.399999999999999</v>
      </c>
      <c r="CB79" s="12">
        <f>INDEX(ovrTable,MATCH(INDEX(oppCol24,ROW()),ovrTeamCol,0),MATCH(MID(INDEX(headerRow,1,COLUMN()),4,LEN(INDEX(headerRow,1,COLUMN()))),ovrHeaderRow,0))</f>
        <v>13.2</v>
      </c>
      <c r="CC79" s="12">
        <f>INDEX(ovrTable,MATCH(INDEX(oppCol24,ROW()),ovrTeamCol,0),MATCH(MID(INDEX(headerRow,1,COLUMN()),4,LEN(INDEX(headerRow,1,COLUMN()))),ovrHeaderRow,0))</f>
        <v>66.7</v>
      </c>
      <c r="CD79" s="12">
        <f>INDEX(ovrTable,MATCH(INDEX(oppCol24,ROW()),ovrTeamCol,0),MATCH(MID(INDEX(headerRow,1,COLUMN()),4,LEN(INDEX(headerRow,1,COLUMN()))),ovrHeaderRow,0))</f>
        <v>10.51</v>
      </c>
      <c r="CE79" s="12">
        <f>INDEX(ovrTable,MATCH(INDEX(oppCol24,ROW()),ovrTeamCol,0),MATCH(MID(INDEX(headerRow,1,COLUMN()),4,LEN(INDEX(headerRow,1,COLUMN()))),ovrHeaderRow,0))</f>
        <v>70.599999999999994</v>
      </c>
      <c r="CF79" s="12">
        <f>INDEX(ovrTable,MATCH(INDEX(oppCol24,ROW()),ovrTeamCol,0),MATCH(MID(INDEX(headerRow,1,COLUMN()),4,LEN(INDEX(headerRow,1,COLUMN()))),ovrHeaderRow,0))</f>
        <v>0.5</v>
      </c>
      <c r="CG79" s="12">
        <f>INDEX(ovrTable,MATCH(INDEX(oppCol24,ROW()),ovrTeamCol,0),MATCH(MID(INDEX(headerRow,1,COLUMN()),4,LEN(INDEX(headerRow,1,COLUMN()))),ovrHeaderRow,0))</f>
        <v>34.81</v>
      </c>
      <c r="CH79" s="12">
        <f>INDEX(ovrTable,MATCH(INDEX(oppCol24,ROW()),ovrTeamCol,0),MATCH(MID(INDEX(headerRow,1,COLUMN()),4,LEN(INDEX(headerRow,1,COLUMN()))),ovrHeaderRow,0))</f>
        <v>3.9</v>
      </c>
      <c r="CI79" s="12">
        <f>INDEX(ovrTable,MATCH(INDEX(oppCol24,ROW()),ovrTeamCol,0),MATCH(MID(INDEX(headerRow,1,COLUMN()),4,LEN(INDEX(headerRow,1,COLUMN()))),ovrHeaderRow,0))</f>
        <v>7.5</v>
      </c>
      <c r="CJ79" s="12">
        <f>INDEX(ovrTable,MATCH(INDEX(oppCol24,ROW()),ovrTeamCol,0),MATCH(MID(INDEX(headerRow,1,COLUMN()),4,LEN(INDEX(headerRow,1,COLUMN()))),ovrHeaderRow,0))</f>
        <v>1.4</v>
      </c>
      <c r="CK79" s="12">
        <f>INDEX(ovrTable,MATCH(INDEX(oppCol24,ROW()),ovrTeamCol,0),MATCH(MID(INDEX(headerRow,1,COLUMN()),4,LEN(INDEX(headerRow,1,COLUMN()))),ovrHeaderRow,0))</f>
        <v>13.11</v>
      </c>
      <c r="CL79" s="12">
        <f>INDEX(ovrTable,MATCH(INDEX(oppCol24,ROW()),ovrTeamCol,0),MATCH(MID(INDEX(headerRow,1,COLUMN()),4,LEN(INDEX(headerRow,1,COLUMN()))),ovrHeaderRow,0))</f>
        <v>11.7</v>
      </c>
      <c r="CM79" s="12">
        <f>INDEX(ovrTable,MATCH(INDEX(oppCol24,ROW()),ovrTeamCol,0),MATCH(MID(INDEX(headerRow,1,COLUMN()),4,LEN(INDEX(headerRow,1,COLUMN()))),ovrHeaderRow,0))</f>
        <v>68.400000000000006</v>
      </c>
      <c r="CN79" s="12">
        <f>INDEX(ovrTable,MATCH(INDEX(oppCol24,ROW()),ovrTeamCol,0),MATCH(MID(INDEX(headerRow,1,COLUMN()),4,LEN(INDEX(headerRow,1,COLUMN()))),ovrHeaderRow,0))</f>
        <v>17.449999999999996</v>
      </c>
      <c r="CO79" s="12">
        <f>INDEX(ovrTable,MATCH(INDEX(oppCol24,ROW()),ovrTeamCol,0),MATCH(MID(INDEX(headerRow,1,COLUMN()),4,LEN(INDEX(headerRow,1,COLUMN()))),ovrHeaderRow,0))</f>
        <v>57.224770642201825</v>
      </c>
    </row>
    <row r="80" spans="1:93" x14ac:dyDescent="0.3">
      <c r="A80" s="6" t="s">
        <v>8</v>
      </c>
      <c r="B80" s="3">
        <v>7</v>
      </c>
      <c r="C80" s="13" t="s">
        <v>3</v>
      </c>
      <c r="D80" s="14">
        <v>40</v>
      </c>
      <c r="E80" s="23">
        <v>50</v>
      </c>
      <c r="F80" s="24">
        <v>5</v>
      </c>
      <c r="G80" s="23">
        <v>21.739130434782609</v>
      </c>
      <c r="H80" s="24">
        <v>23</v>
      </c>
      <c r="I80" s="25">
        <v>0.69230769230769229</v>
      </c>
      <c r="J80" s="24">
        <v>9</v>
      </c>
      <c r="K80" s="24">
        <v>10</v>
      </c>
      <c r="L80" s="24">
        <v>8</v>
      </c>
      <c r="M80" s="24">
        <v>40.4</v>
      </c>
      <c r="N80" s="24">
        <v>24</v>
      </c>
      <c r="O80" s="26">
        <v>0.47997727272727275</v>
      </c>
      <c r="P80" s="24">
        <v>1</v>
      </c>
      <c r="Q80" s="24">
        <v>43.1</v>
      </c>
      <c r="R80" s="24">
        <v>16</v>
      </c>
      <c r="S80" s="23">
        <v>77.777777777777786</v>
      </c>
      <c r="T80" s="24">
        <v>9</v>
      </c>
      <c r="U80" s="24">
        <v>7</v>
      </c>
      <c r="V80" s="24">
        <v>67</v>
      </c>
      <c r="W80" s="24">
        <v>10</v>
      </c>
      <c r="X80" s="24">
        <v>56</v>
      </c>
      <c r="Y80" s="24">
        <v>2</v>
      </c>
      <c r="Z80" s="24">
        <v>34</v>
      </c>
      <c r="AA80" s="24">
        <v>-11</v>
      </c>
      <c r="AB80" s="24">
        <v>3</v>
      </c>
      <c r="AC80" s="24">
        <v>-7</v>
      </c>
      <c r="AD80" s="24">
        <v>6</v>
      </c>
      <c r="AE80" s="24">
        <v>13</v>
      </c>
      <c r="AF80" s="46">
        <f t="shared" si="85"/>
        <v>58.319083526682135</v>
      </c>
      <c r="AG80" s="51">
        <f t="shared" ref="AG80" si="102">AVERAGE(AF80,AF81)</f>
        <v>58.662388297994539</v>
      </c>
      <c r="AH80" s="12">
        <f t="shared" si="92"/>
        <v>32.5</v>
      </c>
      <c r="AI80" s="12">
        <f t="shared" si="92"/>
        <v>6.4</v>
      </c>
      <c r="AJ80" s="12">
        <f t="shared" si="92"/>
        <v>33.9</v>
      </c>
      <c r="AK80" s="12">
        <f t="shared" si="92"/>
        <v>18.8</v>
      </c>
      <c r="AL80" s="12">
        <f t="shared" si="92"/>
        <v>1.1399999999999999</v>
      </c>
      <c r="AM80" s="12">
        <f t="shared" si="92"/>
        <v>12.4</v>
      </c>
      <c r="AN80" s="12">
        <f t="shared" si="92"/>
        <v>17.97</v>
      </c>
      <c r="AO80" s="12">
        <f t="shared" si="92"/>
        <v>4.9000000000000004</v>
      </c>
      <c r="AP80" s="12">
        <f t="shared" si="92"/>
        <v>42.1</v>
      </c>
      <c r="AQ80" s="12">
        <f t="shared" si="92"/>
        <v>26.46</v>
      </c>
      <c r="AR80" s="12">
        <f t="shared" si="93"/>
        <v>0.51800000000000002</v>
      </c>
      <c r="AS80" s="12">
        <f t="shared" si="93"/>
        <v>8.11</v>
      </c>
      <c r="AT80" s="12">
        <f t="shared" si="93"/>
        <v>46.3</v>
      </c>
      <c r="AU80" s="12">
        <f t="shared" si="93"/>
        <v>16.600000000000001</v>
      </c>
      <c r="AV80" s="12">
        <f t="shared" si="93"/>
        <v>70.400000000000006</v>
      </c>
      <c r="AW80" s="12">
        <f t="shared" si="93"/>
        <v>18.5</v>
      </c>
      <c r="AX80" s="12">
        <f t="shared" si="93"/>
        <v>13</v>
      </c>
      <c r="AY80" s="12">
        <f t="shared" si="93"/>
        <v>66.7</v>
      </c>
      <c r="AZ80" s="12">
        <f t="shared" si="93"/>
        <v>11.17</v>
      </c>
      <c r="BA80" s="12">
        <f t="shared" si="93"/>
        <v>73.5</v>
      </c>
      <c r="BB80" s="12">
        <f t="shared" si="94"/>
        <v>6</v>
      </c>
      <c r="BC80" s="12">
        <f t="shared" si="94"/>
        <v>37.630000000000003</v>
      </c>
      <c r="BD80" s="12">
        <f t="shared" si="94"/>
        <v>6.8</v>
      </c>
      <c r="BE80" s="12">
        <f t="shared" si="94"/>
        <v>5.2</v>
      </c>
      <c r="BF80" s="12">
        <f t="shared" si="94"/>
        <v>-0.5</v>
      </c>
      <c r="BG80" s="12">
        <f t="shared" si="94"/>
        <v>10.43</v>
      </c>
      <c r="BH80" s="12">
        <f t="shared" si="94"/>
        <v>10.9</v>
      </c>
      <c r="BI80" s="12">
        <f t="shared" si="94"/>
        <v>68.5</v>
      </c>
      <c r="BJ80" s="12">
        <f t="shared" si="94"/>
        <v>20.65</v>
      </c>
      <c r="BK80" s="12">
        <f t="shared" si="94"/>
        <v>58.423326133909278</v>
      </c>
      <c r="BL80" s="12">
        <f>INDEX(ovrTable,MATCH(INDEX(oppCol24,ROW()),ovrTeamCol,0),MATCH(MID(INDEX(headerRow,1,COLUMN()),4,LEN(INDEX(headerRow,1,COLUMN()))),ovrHeaderRow,0))</f>
        <v>31.5</v>
      </c>
      <c r="BM80" s="12">
        <f>INDEX(ovrTable,MATCH(INDEX(oppCol24,ROW()),ovrTeamCol,0),MATCH(MID(INDEX(headerRow,1,COLUMN()),4,LEN(INDEX(headerRow,1,COLUMN()))),ovrHeaderRow,0))</f>
        <v>6.6</v>
      </c>
      <c r="BN80" s="12">
        <f>INDEX(ovrTable,MATCH(INDEX(oppCol24,ROW()),ovrTeamCol,0),MATCH(MID(INDEX(headerRow,1,COLUMN()),4,LEN(INDEX(headerRow,1,COLUMN()))),ovrHeaderRow,0))</f>
        <v>35.799999999999997</v>
      </c>
      <c r="BO80" s="12">
        <f>INDEX(ovrTable,MATCH(INDEX(oppCol24,ROW()),ovrTeamCol,0),MATCH(MID(INDEX(headerRow,1,COLUMN()),4,LEN(INDEX(headerRow,1,COLUMN()))),ovrHeaderRow,0))</f>
        <v>18.600000000000001</v>
      </c>
      <c r="BP80" s="12">
        <f>INDEX(ovrTable,MATCH(INDEX(oppCol24,ROW()),ovrTeamCol,0),MATCH(MID(INDEX(headerRow,1,COLUMN()),4,LEN(INDEX(headerRow,1,COLUMN()))),ovrHeaderRow,0))</f>
        <v>1.5</v>
      </c>
      <c r="BQ80" s="12">
        <f>INDEX(ovrTable,MATCH(INDEX(oppCol24,ROW()),ovrTeamCol,0),MATCH(MID(INDEX(headerRow,1,COLUMN()),4,LEN(INDEX(headerRow,1,COLUMN()))),ovrHeaderRow,0))</f>
        <v>15.7</v>
      </c>
      <c r="BR80" s="12">
        <f>INDEX(ovrTable,MATCH(INDEX(oppCol24,ROW()),ovrTeamCol,0),MATCH(MID(INDEX(headerRow,1,COLUMN()),4,LEN(INDEX(headerRow,1,COLUMN()))),ovrHeaderRow,0))</f>
        <v>21.86</v>
      </c>
      <c r="BS80" s="12">
        <f>INDEX(ovrTable,MATCH(INDEX(oppCol24,ROW()),ovrTeamCol,0),MATCH(MID(INDEX(headerRow,1,COLUMN()),4,LEN(INDEX(headerRow,1,COLUMN()))),ovrHeaderRow,0))</f>
        <v>3.1</v>
      </c>
      <c r="BT80" s="12">
        <f>INDEX(ovrTable,MATCH(INDEX(oppCol24,ROW()),ovrTeamCol,0),MATCH(MID(INDEX(headerRow,1,COLUMN()),4,LEN(INDEX(headerRow,1,COLUMN()))),ovrHeaderRow,0))</f>
        <v>40.200000000000003</v>
      </c>
      <c r="BU80" s="12">
        <f>INDEX(ovrTable,MATCH(INDEX(oppCol24,ROW()),ovrTeamCol,0),MATCH(MID(INDEX(headerRow,1,COLUMN()),4,LEN(INDEX(headerRow,1,COLUMN()))),ovrHeaderRow,0))</f>
        <v>23.27</v>
      </c>
      <c r="BV80" s="12">
        <f>INDEX(ovrTable,MATCH(INDEX(oppCol24,ROW()),ovrTeamCol,0),MATCH(MID(INDEX(headerRow,1,COLUMN()),4,LEN(INDEX(headerRow,1,COLUMN()))),ovrHeaderRow,0))</f>
        <v>0.52</v>
      </c>
      <c r="BW80" s="12">
        <f>INDEX(ovrTable,MATCH(INDEX(oppCol24,ROW()),ovrTeamCol,0),MATCH(MID(INDEX(headerRow,1,COLUMN()),4,LEN(INDEX(headerRow,1,COLUMN()))),ovrHeaderRow,0))</f>
        <v>10.62</v>
      </c>
      <c r="BX80" s="12">
        <f>INDEX(ovrTable,MATCH(INDEX(oppCol24,ROW()),ovrTeamCol,0),MATCH(MID(INDEX(headerRow,1,COLUMN()),4,LEN(INDEX(headerRow,1,COLUMN()))),ovrHeaderRow,0))</f>
        <v>46.3</v>
      </c>
      <c r="BY80" s="12">
        <f>INDEX(ovrTable,MATCH(INDEX(oppCol24,ROW()),ovrTeamCol,0),MATCH(MID(INDEX(headerRow,1,COLUMN()),4,LEN(INDEX(headerRow,1,COLUMN()))),ovrHeaderRow,0))</f>
        <v>16.5</v>
      </c>
      <c r="BZ80" s="12">
        <f>INDEX(ovrTable,MATCH(INDEX(oppCol24,ROW()),ovrTeamCol,0),MATCH(MID(INDEX(headerRow,1,COLUMN()),4,LEN(INDEX(headerRow,1,COLUMN()))),ovrHeaderRow,0))</f>
        <v>70.2</v>
      </c>
      <c r="CA80" s="12">
        <f>INDEX(ovrTable,MATCH(INDEX(oppCol24,ROW()),ovrTeamCol,0),MATCH(MID(INDEX(headerRow,1,COLUMN()),4,LEN(INDEX(headerRow,1,COLUMN()))),ovrHeaderRow,0))</f>
        <v>20.7</v>
      </c>
      <c r="CB80" s="12">
        <f>INDEX(ovrTable,MATCH(INDEX(oppCol24,ROW()),ovrTeamCol,0),MATCH(MID(INDEX(headerRow,1,COLUMN()),4,LEN(INDEX(headerRow,1,COLUMN()))),ovrHeaderRow,0))</f>
        <v>14.5</v>
      </c>
      <c r="CC80" s="12">
        <f>INDEX(ovrTable,MATCH(INDEX(oppCol24,ROW()),ovrTeamCol,0),MATCH(MID(INDEX(headerRow,1,COLUMN()),4,LEN(INDEX(headerRow,1,COLUMN()))),ovrHeaderRow,0))</f>
        <v>61.5</v>
      </c>
      <c r="CD80" s="12">
        <f>INDEX(ovrTable,MATCH(INDEX(oppCol24,ROW()),ovrTeamCol,0),MATCH(MID(INDEX(headerRow,1,COLUMN()),4,LEN(INDEX(headerRow,1,COLUMN()))),ovrHeaderRow,0))</f>
        <v>10.62</v>
      </c>
      <c r="CE80" s="12">
        <f>INDEX(ovrTable,MATCH(INDEX(oppCol24,ROW()),ovrTeamCol,0),MATCH(MID(INDEX(headerRow,1,COLUMN()),4,LEN(INDEX(headerRow,1,COLUMN()))),ovrHeaderRow,0))</f>
        <v>75.3</v>
      </c>
      <c r="CF80" s="12">
        <f>INDEX(ovrTable,MATCH(INDEX(oppCol24,ROW()),ovrTeamCol,0),MATCH(MID(INDEX(headerRow,1,COLUMN()),4,LEN(INDEX(headerRow,1,COLUMN()))),ovrHeaderRow,0))</f>
        <v>0.7</v>
      </c>
      <c r="CG80" s="12">
        <f>INDEX(ovrTable,MATCH(INDEX(oppCol24,ROW()),ovrTeamCol,0),MATCH(MID(INDEX(headerRow,1,COLUMN()),4,LEN(INDEX(headerRow,1,COLUMN()))),ovrHeaderRow,0))</f>
        <v>33.89</v>
      </c>
      <c r="CH80" s="12">
        <f>INDEX(ovrTable,MATCH(INDEX(oppCol24,ROW()),ovrTeamCol,0),MATCH(MID(INDEX(headerRow,1,COLUMN()),4,LEN(INDEX(headerRow,1,COLUMN()))),ovrHeaderRow,0))</f>
        <v>13.8</v>
      </c>
      <c r="CI80" s="12">
        <f>INDEX(ovrTable,MATCH(INDEX(oppCol24,ROW()),ovrTeamCol,0),MATCH(MID(INDEX(headerRow,1,COLUMN()),4,LEN(INDEX(headerRow,1,COLUMN()))),ovrHeaderRow,0))</f>
        <v>10.3</v>
      </c>
      <c r="CJ80" s="12">
        <f>INDEX(ovrTable,MATCH(INDEX(oppCol24,ROW()),ovrTeamCol,0),MATCH(MID(INDEX(headerRow,1,COLUMN()),4,LEN(INDEX(headerRow,1,COLUMN()))),ovrHeaderRow,0))</f>
        <v>6.7</v>
      </c>
      <c r="CK80" s="12">
        <f>INDEX(ovrTable,MATCH(INDEX(oppCol24,ROW()),ovrTeamCol,0),MATCH(MID(INDEX(headerRow,1,COLUMN()),4,LEN(INDEX(headerRow,1,COLUMN()))),ovrHeaderRow,0))</f>
        <v>17.190000000000001</v>
      </c>
      <c r="CL80" s="12">
        <f>INDEX(ovrTable,MATCH(INDEX(oppCol24,ROW()),ovrTeamCol,0),MATCH(MID(INDEX(headerRow,1,COLUMN()),4,LEN(INDEX(headerRow,1,COLUMN()))),ovrHeaderRow,0))</f>
        <v>10.5</v>
      </c>
      <c r="CM80" s="12">
        <f>INDEX(ovrTable,MATCH(INDEX(oppCol24,ROW()),ovrTeamCol,0),MATCH(MID(INDEX(headerRow,1,COLUMN()),4,LEN(INDEX(headerRow,1,COLUMN()))),ovrHeaderRow,0))</f>
        <v>69</v>
      </c>
      <c r="CN80" s="12">
        <f>INDEX(ovrTable,MATCH(INDEX(oppCol24,ROW()),ovrTeamCol,0),MATCH(MID(INDEX(headerRow,1,COLUMN()),4,LEN(INDEX(headerRow,1,COLUMN()))),ovrHeaderRow,0))</f>
        <v>20.5</v>
      </c>
      <c r="CO80" s="12">
        <f>INDEX(ovrTable,MATCH(INDEX(oppCol24,ROW()),ovrTeamCol,0),MATCH(MID(INDEX(headerRow,1,COLUMN()),4,LEN(INDEX(headerRow,1,COLUMN()))),ovrHeaderRow,0))</f>
        <v>58.531317494600437</v>
      </c>
    </row>
    <row r="81" spans="1:93" x14ac:dyDescent="0.3">
      <c r="A81" s="6" t="s">
        <v>3</v>
      </c>
      <c r="B81" s="3">
        <v>2</v>
      </c>
      <c r="C81" s="13" t="s">
        <v>8</v>
      </c>
      <c r="D81" s="14">
        <v>40</v>
      </c>
      <c r="E81" s="23">
        <v>21.739130434782609</v>
      </c>
      <c r="F81" s="24">
        <v>7</v>
      </c>
      <c r="G81" s="23">
        <v>50</v>
      </c>
      <c r="H81" s="24">
        <v>14</v>
      </c>
      <c r="I81" s="25">
        <v>2.3333333333333335</v>
      </c>
      <c r="J81" s="24">
        <v>14</v>
      </c>
      <c r="K81" s="24">
        <v>21</v>
      </c>
      <c r="L81" s="24">
        <v>2</v>
      </c>
      <c r="M81" s="24">
        <v>43.1</v>
      </c>
      <c r="N81" s="24">
        <v>20</v>
      </c>
      <c r="O81" s="26">
        <v>0.46547826086956517</v>
      </c>
      <c r="P81" s="24">
        <v>10</v>
      </c>
      <c r="Q81" s="24">
        <v>40.4</v>
      </c>
      <c r="R81" s="24">
        <v>12</v>
      </c>
      <c r="S81" s="23">
        <v>82.35294117647058</v>
      </c>
      <c r="T81" s="24">
        <v>17</v>
      </c>
      <c r="U81" s="24">
        <v>14</v>
      </c>
      <c r="V81" s="24">
        <v>56</v>
      </c>
      <c r="W81" s="24">
        <v>12</v>
      </c>
      <c r="X81" s="24">
        <v>67</v>
      </c>
      <c r="Y81" s="24">
        <v>-2</v>
      </c>
      <c r="Z81" s="24">
        <v>32</v>
      </c>
      <c r="AA81" s="24">
        <v>11</v>
      </c>
      <c r="AB81" s="24">
        <v>5</v>
      </c>
      <c r="AC81" s="24">
        <v>7</v>
      </c>
      <c r="AD81" s="24">
        <v>13</v>
      </c>
      <c r="AE81" s="24">
        <v>6</v>
      </c>
      <c r="AF81" s="46">
        <f t="shared" si="85"/>
        <v>59.005693069306943</v>
      </c>
      <c r="AG81" s="51">
        <f t="shared" ref="AG81" si="103">AVERAGE(AF80,AF81)</f>
        <v>58.662388297994539</v>
      </c>
      <c r="AH81" s="12">
        <f t="shared" si="92"/>
        <v>31.5</v>
      </c>
      <c r="AI81" s="12">
        <f t="shared" si="92"/>
        <v>6.6</v>
      </c>
      <c r="AJ81" s="12">
        <f t="shared" si="92"/>
        <v>35.799999999999997</v>
      </c>
      <c r="AK81" s="12">
        <f t="shared" si="92"/>
        <v>18.600000000000001</v>
      </c>
      <c r="AL81" s="12">
        <f t="shared" si="92"/>
        <v>1.5</v>
      </c>
      <c r="AM81" s="12">
        <f t="shared" si="92"/>
        <v>15.7</v>
      </c>
      <c r="AN81" s="12">
        <f t="shared" si="92"/>
        <v>21.86</v>
      </c>
      <c r="AO81" s="12">
        <f t="shared" si="92"/>
        <v>3.1</v>
      </c>
      <c r="AP81" s="12">
        <f t="shared" si="92"/>
        <v>40.200000000000003</v>
      </c>
      <c r="AQ81" s="12">
        <f t="shared" si="92"/>
        <v>23.27</v>
      </c>
      <c r="AR81" s="12">
        <f t="shared" si="93"/>
        <v>0.52</v>
      </c>
      <c r="AS81" s="12">
        <f t="shared" si="93"/>
        <v>10.62</v>
      </c>
      <c r="AT81" s="12">
        <f t="shared" si="93"/>
        <v>46.3</v>
      </c>
      <c r="AU81" s="12">
        <f t="shared" si="93"/>
        <v>16.5</v>
      </c>
      <c r="AV81" s="12">
        <f t="shared" si="93"/>
        <v>70.2</v>
      </c>
      <c r="AW81" s="12">
        <f t="shared" si="93"/>
        <v>20.7</v>
      </c>
      <c r="AX81" s="12">
        <f t="shared" si="93"/>
        <v>14.5</v>
      </c>
      <c r="AY81" s="12">
        <f t="shared" si="93"/>
        <v>61.5</v>
      </c>
      <c r="AZ81" s="12">
        <f t="shared" si="93"/>
        <v>10.62</v>
      </c>
      <c r="BA81" s="12">
        <f t="shared" si="93"/>
        <v>75.3</v>
      </c>
      <c r="BB81" s="12">
        <f t="shared" si="94"/>
        <v>0.7</v>
      </c>
      <c r="BC81" s="12">
        <f t="shared" si="94"/>
        <v>33.89</v>
      </c>
      <c r="BD81" s="12">
        <f t="shared" si="94"/>
        <v>13.8</v>
      </c>
      <c r="BE81" s="12">
        <f t="shared" si="94"/>
        <v>10.3</v>
      </c>
      <c r="BF81" s="12">
        <f t="shared" si="94"/>
        <v>6.7</v>
      </c>
      <c r="BG81" s="12">
        <f t="shared" si="94"/>
        <v>17.190000000000001</v>
      </c>
      <c r="BH81" s="12">
        <f t="shared" si="94"/>
        <v>10.5</v>
      </c>
      <c r="BI81" s="12">
        <f t="shared" si="94"/>
        <v>69</v>
      </c>
      <c r="BJ81" s="12">
        <f t="shared" si="94"/>
        <v>20.5</v>
      </c>
      <c r="BK81" s="12">
        <f t="shared" si="94"/>
        <v>58.531317494600437</v>
      </c>
      <c r="BL81" s="12">
        <f>INDEX(ovrTable,MATCH(INDEX(oppCol24,ROW()),ovrTeamCol,0),MATCH(MID(INDEX(headerRow,1,COLUMN()),4,LEN(INDEX(headerRow,1,COLUMN()))),ovrHeaderRow,0))</f>
        <v>32.5</v>
      </c>
      <c r="BM81" s="12">
        <f>INDEX(ovrTable,MATCH(INDEX(oppCol24,ROW()),ovrTeamCol,0),MATCH(MID(INDEX(headerRow,1,COLUMN()),4,LEN(INDEX(headerRow,1,COLUMN()))),ovrHeaderRow,0))</f>
        <v>6.4</v>
      </c>
      <c r="BN81" s="12">
        <f>INDEX(ovrTable,MATCH(INDEX(oppCol24,ROW()),ovrTeamCol,0),MATCH(MID(INDEX(headerRow,1,COLUMN()),4,LEN(INDEX(headerRow,1,COLUMN()))),ovrHeaderRow,0))</f>
        <v>33.9</v>
      </c>
      <c r="BO81" s="12">
        <f>INDEX(ovrTable,MATCH(INDEX(oppCol24,ROW()),ovrTeamCol,0),MATCH(MID(INDEX(headerRow,1,COLUMN()),4,LEN(INDEX(headerRow,1,COLUMN()))),ovrHeaderRow,0))</f>
        <v>18.8</v>
      </c>
      <c r="BP81" s="12">
        <f>INDEX(ovrTable,MATCH(INDEX(oppCol24,ROW()),ovrTeamCol,0),MATCH(MID(INDEX(headerRow,1,COLUMN()),4,LEN(INDEX(headerRow,1,COLUMN()))),ovrHeaderRow,0))</f>
        <v>1.1399999999999999</v>
      </c>
      <c r="BQ81" s="12">
        <f>INDEX(ovrTable,MATCH(INDEX(oppCol24,ROW()),ovrTeamCol,0),MATCH(MID(INDEX(headerRow,1,COLUMN()),4,LEN(INDEX(headerRow,1,COLUMN()))),ovrHeaderRow,0))</f>
        <v>12.4</v>
      </c>
      <c r="BR81" s="12">
        <f>INDEX(ovrTable,MATCH(INDEX(oppCol24,ROW()),ovrTeamCol,0),MATCH(MID(INDEX(headerRow,1,COLUMN()),4,LEN(INDEX(headerRow,1,COLUMN()))),ovrHeaderRow,0))</f>
        <v>17.97</v>
      </c>
      <c r="BS81" s="12">
        <f>INDEX(ovrTable,MATCH(INDEX(oppCol24,ROW()),ovrTeamCol,0),MATCH(MID(INDEX(headerRow,1,COLUMN()),4,LEN(INDEX(headerRow,1,COLUMN()))),ovrHeaderRow,0))</f>
        <v>4.9000000000000004</v>
      </c>
      <c r="BT81" s="12">
        <f>INDEX(ovrTable,MATCH(INDEX(oppCol24,ROW()),ovrTeamCol,0),MATCH(MID(INDEX(headerRow,1,COLUMN()),4,LEN(INDEX(headerRow,1,COLUMN()))),ovrHeaderRow,0))</f>
        <v>42.1</v>
      </c>
      <c r="BU81" s="12">
        <f>INDEX(ovrTable,MATCH(INDEX(oppCol24,ROW()),ovrTeamCol,0),MATCH(MID(INDEX(headerRow,1,COLUMN()),4,LEN(INDEX(headerRow,1,COLUMN()))),ovrHeaderRow,0))</f>
        <v>26.46</v>
      </c>
      <c r="BV81" s="12">
        <f>INDEX(ovrTable,MATCH(INDEX(oppCol24,ROW()),ovrTeamCol,0),MATCH(MID(INDEX(headerRow,1,COLUMN()),4,LEN(INDEX(headerRow,1,COLUMN()))),ovrHeaderRow,0))</f>
        <v>0.51800000000000002</v>
      </c>
      <c r="BW81" s="12">
        <f>INDEX(ovrTable,MATCH(INDEX(oppCol24,ROW()),ovrTeamCol,0),MATCH(MID(INDEX(headerRow,1,COLUMN()),4,LEN(INDEX(headerRow,1,COLUMN()))),ovrHeaderRow,0))</f>
        <v>8.11</v>
      </c>
      <c r="BX81" s="12">
        <f>INDEX(ovrTable,MATCH(INDEX(oppCol24,ROW()),ovrTeamCol,0),MATCH(MID(INDEX(headerRow,1,COLUMN()),4,LEN(INDEX(headerRow,1,COLUMN()))),ovrHeaderRow,0))</f>
        <v>46.3</v>
      </c>
      <c r="BY81" s="12">
        <f>INDEX(ovrTable,MATCH(INDEX(oppCol24,ROW()),ovrTeamCol,0),MATCH(MID(INDEX(headerRow,1,COLUMN()),4,LEN(INDEX(headerRow,1,COLUMN()))),ovrHeaderRow,0))</f>
        <v>16.600000000000001</v>
      </c>
      <c r="BZ81" s="12">
        <f>INDEX(ovrTable,MATCH(INDEX(oppCol24,ROW()),ovrTeamCol,0),MATCH(MID(INDEX(headerRow,1,COLUMN()),4,LEN(INDEX(headerRow,1,COLUMN()))),ovrHeaderRow,0))</f>
        <v>70.400000000000006</v>
      </c>
      <c r="CA81" s="12">
        <f>INDEX(ovrTable,MATCH(INDEX(oppCol24,ROW()),ovrTeamCol,0),MATCH(MID(INDEX(headerRow,1,COLUMN()),4,LEN(INDEX(headerRow,1,COLUMN()))),ovrHeaderRow,0))</f>
        <v>18.5</v>
      </c>
      <c r="CB81" s="12">
        <f>INDEX(ovrTable,MATCH(INDEX(oppCol24,ROW()),ovrTeamCol,0),MATCH(MID(INDEX(headerRow,1,COLUMN()),4,LEN(INDEX(headerRow,1,COLUMN()))),ovrHeaderRow,0))</f>
        <v>13</v>
      </c>
      <c r="CC81" s="12">
        <f>INDEX(ovrTable,MATCH(INDEX(oppCol24,ROW()),ovrTeamCol,0),MATCH(MID(INDEX(headerRow,1,COLUMN()),4,LEN(INDEX(headerRow,1,COLUMN()))),ovrHeaderRow,0))</f>
        <v>66.7</v>
      </c>
      <c r="CD81" s="12">
        <f>INDEX(ovrTable,MATCH(INDEX(oppCol24,ROW()),ovrTeamCol,0),MATCH(MID(INDEX(headerRow,1,COLUMN()),4,LEN(INDEX(headerRow,1,COLUMN()))),ovrHeaderRow,0))</f>
        <v>11.17</v>
      </c>
      <c r="CE81" s="12">
        <f>INDEX(ovrTable,MATCH(INDEX(oppCol24,ROW()),ovrTeamCol,0),MATCH(MID(INDEX(headerRow,1,COLUMN()),4,LEN(INDEX(headerRow,1,COLUMN()))),ovrHeaderRow,0))</f>
        <v>73.5</v>
      </c>
      <c r="CF81" s="12">
        <f>INDEX(ovrTable,MATCH(INDEX(oppCol24,ROW()),ovrTeamCol,0),MATCH(MID(INDEX(headerRow,1,COLUMN()),4,LEN(INDEX(headerRow,1,COLUMN()))),ovrHeaderRow,0))</f>
        <v>6</v>
      </c>
      <c r="CG81" s="12">
        <f>INDEX(ovrTable,MATCH(INDEX(oppCol24,ROW()),ovrTeamCol,0),MATCH(MID(INDEX(headerRow,1,COLUMN()),4,LEN(INDEX(headerRow,1,COLUMN()))),ovrHeaderRow,0))</f>
        <v>37.630000000000003</v>
      </c>
      <c r="CH81" s="12">
        <f>INDEX(ovrTable,MATCH(INDEX(oppCol24,ROW()),ovrTeamCol,0),MATCH(MID(INDEX(headerRow,1,COLUMN()),4,LEN(INDEX(headerRow,1,COLUMN()))),ovrHeaderRow,0))</f>
        <v>6.8</v>
      </c>
      <c r="CI81" s="12">
        <f>INDEX(ovrTable,MATCH(INDEX(oppCol24,ROW()),ovrTeamCol,0),MATCH(MID(INDEX(headerRow,1,COLUMN()),4,LEN(INDEX(headerRow,1,COLUMN()))),ovrHeaderRow,0))</f>
        <v>5.2</v>
      </c>
      <c r="CJ81" s="12">
        <f>INDEX(ovrTable,MATCH(INDEX(oppCol24,ROW()),ovrTeamCol,0),MATCH(MID(INDEX(headerRow,1,COLUMN()),4,LEN(INDEX(headerRow,1,COLUMN()))),ovrHeaderRow,0))</f>
        <v>-0.5</v>
      </c>
      <c r="CK81" s="12">
        <f>INDEX(ovrTable,MATCH(INDEX(oppCol24,ROW()),ovrTeamCol,0),MATCH(MID(INDEX(headerRow,1,COLUMN()),4,LEN(INDEX(headerRow,1,COLUMN()))),ovrHeaderRow,0))</f>
        <v>10.43</v>
      </c>
      <c r="CL81" s="12">
        <f>INDEX(ovrTable,MATCH(INDEX(oppCol24,ROW()),ovrTeamCol,0),MATCH(MID(INDEX(headerRow,1,COLUMN()),4,LEN(INDEX(headerRow,1,COLUMN()))),ovrHeaderRow,0))</f>
        <v>10.9</v>
      </c>
      <c r="CM81" s="12">
        <f>INDEX(ovrTable,MATCH(INDEX(oppCol24,ROW()),ovrTeamCol,0),MATCH(MID(INDEX(headerRow,1,COLUMN()),4,LEN(INDEX(headerRow,1,COLUMN()))),ovrHeaderRow,0))</f>
        <v>68.5</v>
      </c>
      <c r="CN81" s="12">
        <f>INDEX(ovrTable,MATCH(INDEX(oppCol24,ROW()),ovrTeamCol,0),MATCH(MID(INDEX(headerRow,1,COLUMN()),4,LEN(INDEX(headerRow,1,COLUMN()))),ovrHeaderRow,0))</f>
        <v>20.65</v>
      </c>
      <c r="CO81" s="12">
        <f>INDEX(ovrTable,MATCH(INDEX(oppCol24,ROW()),ovrTeamCol,0),MATCH(MID(INDEX(headerRow,1,COLUMN()),4,LEN(INDEX(headerRow,1,COLUMN()))),ovrHeaderRow,0))</f>
        <v>58.423326133909278</v>
      </c>
    </row>
    <row r="82" spans="1:93" x14ac:dyDescent="0.3">
      <c r="A82" s="6" t="s">
        <v>34</v>
      </c>
      <c r="B82" s="3">
        <v>9</v>
      </c>
      <c r="C82" s="13" t="s">
        <v>18</v>
      </c>
      <c r="D82" s="14">
        <v>41</v>
      </c>
      <c r="E82" s="23">
        <v>38.461538461538467</v>
      </c>
      <c r="F82" s="24">
        <v>6</v>
      </c>
      <c r="G82" s="23">
        <v>37.5</v>
      </c>
      <c r="H82" s="24">
        <v>16</v>
      </c>
      <c r="I82" s="25">
        <v>0.54545454545454541</v>
      </c>
      <c r="J82" s="24">
        <v>6</v>
      </c>
      <c r="K82" s="24">
        <v>14</v>
      </c>
      <c r="L82" s="24">
        <v>1</v>
      </c>
      <c r="M82" s="24">
        <v>46.7</v>
      </c>
      <c r="N82" s="24">
        <v>31</v>
      </c>
      <c r="O82" s="26">
        <v>0.49188461538461536</v>
      </c>
      <c r="P82" s="24">
        <v>9</v>
      </c>
      <c r="Q82" s="24">
        <v>44.1</v>
      </c>
      <c r="R82" s="24">
        <v>20</v>
      </c>
      <c r="S82" s="23">
        <v>73.333333333333329</v>
      </c>
      <c r="T82" s="24">
        <v>15</v>
      </c>
      <c r="U82" s="24">
        <v>11</v>
      </c>
      <c r="V82" s="24">
        <v>85</v>
      </c>
      <c r="W82" s="24">
        <v>6</v>
      </c>
      <c r="X82" s="24">
        <v>69</v>
      </c>
      <c r="Y82" s="24">
        <v>5</v>
      </c>
      <c r="Z82" s="24">
        <v>37</v>
      </c>
      <c r="AA82" s="24">
        <v>-16</v>
      </c>
      <c r="AB82" s="24">
        <v>3</v>
      </c>
      <c r="AC82" s="24">
        <v>-6</v>
      </c>
      <c r="AD82" s="24">
        <v>5</v>
      </c>
      <c r="AE82" s="24">
        <v>11</v>
      </c>
      <c r="AF82" s="46">
        <f t="shared" si="85"/>
        <v>71.081916099773238</v>
      </c>
      <c r="AG82" s="51">
        <f t="shared" ref="AG82" si="104">AVERAGE(AF82,AF83)</f>
        <v>70.98204477365536</v>
      </c>
      <c r="AH82" s="12">
        <f t="shared" ref="AH82:AQ91" si="105">INDEX(ovrTable,MATCH(INDEX(teamCol,ROW()),ovrTeamCol,0),MATCH(MID(INDEX(headerRow,1,COLUMN()),4,LEN(INDEX(headerRow,1,COLUMN()))),ovrHeaderRow,0))</f>
        <v>32.6</v>
      </c>
      <c r="AI82" s="12">
        <f t="shared" si="105"/>
        <v>6.5</v>
      </c>
      <c r="AJ82" s="12">
        <f t="shared" si="105"/>
        <v>36.299999999999997</v>
      </c>
      <c r="AK82" s="12">
        <f t="shared" si="105"/>
        <v>17.899999999999999</v>
      </c>
      <c r="AL82" s="12">
        <f t="shared" si="105"/>
        <v>1.59</v>
      </c>
      <c r="AM82" s="12">
        <f t="shared" si="105"/>
        <v>15.9</v>
      </c>
      <c r="AN82" s="12">
        <f t="shared" si="105"/>
        <v>17.71</v>
      </c>
      <c r="AO82" s="12">
        <f t="shared" si="105"/>
        <v>3.8</v>
      </c>
      <c r="AP82" s="12">
        <f t="shared" si="105"/>
        <v>41.3</v>
      </c>
      <c r="AQ82" s="12">
        <f t="shared" si="105"/>
        <v>24.63</v>
      </c>
      <c r="AR82" s="12">
        <f t="shared" ref="AR82:BA91" si="106">INDEX(ovrTable,MATCH(INDEX(teamCol,ROW()),ovrTeamCol,0),MATCH(MID(INDEX(headerRow,1,COLUMN()),4,LEN(INDEX(headerRow,1,COLUMN()))),ovrHeaderRow,0))</f>
        <v>0.51600000000000001</v>
      </c>
      <c r="AS82" s="12">
        <f t="shared" si="106"/>
        <v>14.09</v>
      </c>
      <c r="AT82" s="12">
        <f t="shared" si="106"/>
        <v>46.1</v>
      </c>
      <c r="AU82" s="12">
        <f t="shared" si="106"/>
        <v>16.600000000000001</v>
      </c>
      <c r="AV82" s="12">
        <f t="shared" si="106"/>
        <v>70.8</v>
      </c>
      <c r="AW82" s="12">
        <f t="shared" si="106"/>
        <v>17.2</v>
      </c>
      <c r="AX82" s="12">
        <f t="shared" si="106"/>
        <v>12.2</v>
      </c>
      <c r="AY82" s="12">
        <f t="shared" si="106"/>
        <v>66.099999999999994</v>
      </c>
      <c r="AZ82" s="12">
        <f t="shared" si="106"/>
        <v>10.09</v>
      </c>
      <c r="BA82" s="12">
        <f t="shared" si="106"/>
        <v>72.900000000000006</v>
      </c>
      <c r="BB82" s="12">
        <f t="shared" ref="BB82:BK91" si="107">INDEX(ovrTable,MATCH(INDEX(teamCol,ROW()),ovrTeamCol,0),MATCH(MID(INDEX(headerRow,1,COLUMN()),4,LEN(INDEX(headerRow,1,COLUMN()))),ovrHeaderRow,0))</f>
        <v>1.1000000000000001</v>
      </c>
      <c r="BC82" s="12">
        <f t="shared" si="107"/>
        <v>34.71</v>
      </c>
      <c r="BD82" s="12">
        <f t="shared" si="107"/>
        <v>6.8</v>
      </c>
      <c r="BE82" s="12">
        <f t="shared" si="107"/>
        <v>7.1</v>
      </c>
      <c r="BF82" s="12">
        <f t="shared" si="107"/>
        <v>2.2999999999999998</v>
      </c>
      <c r="BG82" s="12">
        <f t="shared" si="107"/>
        <v>12.34</v>
      </c>
      <c r="BH82" s="12">
        <f t="shared" si="107"/>
        <v>10</v>
      </c>
      <c r="BI82" s="12">
        <f t="shared" si="107"/>
        <v>68.3</v>
      </c>
      <c r="BJ82" s="12">
        <f t="shared" si="107"/>
        <v>20.6</v>
      </c>
      <c r="BK82" s="12">
        <f t="shared" si="107"/>
        <v>58.785249457700651</v>
      </c>
      <c r="BL82" s="12">
        <f>INDEX(ovrTable,MATCH(INDEX(oppCol24,ROW()),ovrTeamCol,0),MATCH(MID(INDEX(headerRow,1,COLUMN()),4,LEN(INDEX(headerRow,1,COLUMN()))),ovrHeaderRow,0))</f>
        <v>32.1</v>
      </c>
      <c r="BM82" s="12">
        <f>INDEX(ovrTable,MATCH(INDEX(oppCol24,ROW()),ovrTeamCol,0),MATCH(MID(INDEX(headerRow,1,COLUMN()),4,LEN(INDEX(headerRow,1,COLUMN()))),ovrHeaderRow,0))</f>
        <v>8.1</v>
      </c>
      <c r="BN82" s="12">
        <f>INDEX(ovrTable,MATCH(INDEX(oppCol24,ROW()),ovrTeamCol,0),MATCH(MID(INDEX(headerRow,1,COLUMN()),4,LEN(INDEX(headerRow,1,COLUMN()))),ovrHeaderRow,0))</f>
        <v>35.9</v>
      </c>
      <c r="BO82" s="12">
        <f>INDEX(ovrTable,MATCH(INDEX(oppCol24,ROW()),ovrTeamCol,0),MATCH(MID(INDEX(headerRow,1,COLUMN()),4,LEN(INDEX(headerRow,1,COLUMN()))),ovrHeaderRow,0))</f>
        <v>22.7</v>
      </c>
      <c r="BP82" s="12">
        <f>INDEX(ovrTable,MATCH(INDEX(oppCol24,ROW()),ovrTeamCol,0),MATCH(MID(INDEX(headerRow,1,COLUMN()),4,LEN(INDEX(headerRow,1,COLUMN()))),ovrHeaderRow,0))</f>
        <v>1.44</v>
      </c>
      <c r="BQ82" s="12">
        <f>INDEX(ovrTable,MATCH(INDEX(oppCol24,ROW()),ovrTeamCol,0),MATCH(MID(INDEX(headerRow,1,COLUMN()),4,LEN(INDEX(headerRow,1,COLUMN()))),ovrHeaderRow,0))</f>
        <v>14.5</v>
      </c>
      <c r="BR82" s="12">
        <f>INDEX(ovrTable,MATCH(INDEX(oppCol24,ROW()),ovrTeamCol,0),MATCH(MID(INDEX(headerRow,1,COLUMN()),4,LEN(INDEX(headerRow,1,COLUMN()))),ovrHeaderRow,0))</f>
        <v>17.3</v>
      </c>
      <c r="BS82" s="12">
        <f>INDEX(ovrTable,MATCH(INDEX(oppCol24,ROW()),ovrTeamCol,0),MATCH(MID(INDEX(headerRow,1,COLUMN()),4,LEN(INDEX(headerRow,1,COLUMN()))),ovrHeaderRow,0))</f>
        <v>4.0999999999999996</v>
      </c>
      <c r="BT82" s="12">
        <f>INDEX(ovrTable,MATCH(INDEX(oppCol24,ROW()),ovrTeamCol,0),MATCH(MID(INDEX(headerRow,1,COLUMN()),4,LEN(INDEX(headerRow,1,COLUMN()))),ovrHeaderRow,0))</f>
        <v>41</v>
      </c>
      <c r="BU82" s="12">
        <f>INDEX(ovrTable,MATCH(INDEX(oppCol24,ROW()),ovrTeamCol,0),MATCH(MID(INDEX(headerRow,1,COLUMN()),4,LEN(INDEX(headerRow,1,COLUMN()))),ovrHeaderRow,0))</f>
        <v>28.86</v>
      </c>
      <c r="BV82" s="12">
        <f>INDEX(ovrTable,MATCH(INDEX(oppCol24,ROW()),ovrTeamCol,0),MATCH(MID(INDEX(headerRow,1,COLUMN()),4,LEN(INDEX(headerRow,1,COLUMN()))),ovrHeaderRow,0))</f>
        <v>0.51500000000000001</v>
      </c>
      <c r="BW82" s="12">
        <f>INDEX(ovrTable,MATCH(INDEX(oppCol24,ROW()),ovrTeamCol,0),MATCH(MID(INDEX(headerRow,1,COLUMN()),4,LEN(INDEX(headerRow,1,COLUMN()))),ovrHeaderRow,0))</f>
        <v>12.41</v>
      </c>
      <c r="BX82" s="12">
        <f>INDEX(ovrTable,MATCH(INDEX(oppCol24,ROW()),ovrTeamCol,0),MATCH(MID(INDEX(headerRow,1,COLUMN()),4,LEN(INDEX(headerRow,1,COLUMN()))),ovrHeaderRow,0))</f>
        <v>45</v>
      </c>
      <c r="BY82" s="12">
        <f>INDEX(ovrTable,MATCH(INDEX(oppCol24,ROW()),ovrTeamCol,0),MATCH(MID(INDEX(headerRow,1,COLUMN()),4,LEN(INDEX(headerRow,1,COLUMN()))),ovrHeaderRow,0))</f>
        <v>16.5</v>
      </c>
      <c r="BZ82" s="12">
        <f>INDEX(ovrTable,MATCH(INDEX(oppCol24,ROW()),ovrTeamCol,0),MATCH(MID(INDEX(headerRow,1,COLUMN()),4,LEN(INDEX(headerRow,1,COLUMN()))),ovrHeaderRow,0))</f>
        <v>75.900000000000006</v>
      </c>
      <c r="CA82" s="12">
        <f>INDEX(ovrTable,MATCH(INDEX(oppCol24,ROW()),ovrTeamCol,0),MATCH(MID(INDEX(headerRow,1,COLUMN()),4,LEN(INDEX(headerRow,1,COLUMN()))),ovrHeaderRow,0))</f>
        <v>22.8</v>
      </c>
      <c r="CB82" s="12">
        <f>INDEX(ovrTable,MATCH(INDEX(oppCol24,ROW()),ovrTeamCol,0),MATCH(MID(INDEX(headerRow,1,COLUMN()),4,LEN(INDEX(headerRow,1,COLUMN()))),ovrHeaderRow,0))</f>
        <v>17.3</v>
      </c>
      <c r="CC82" s="12">
        <f>INDEX(ovrTable,MATCH(INDEX(oppCol24,ROW()),ovrTeamCol,0),MATCH(MID(INDEX(headerRow,1,COLUMN()),4,LEN(INDEX(headerRow,1,COLUMN()))),ovrHeaderRow,0))</f>
        <v>70.5</v>
      </c>
      <c r="CD82" s="12">
        <f>INDEX(ovrTable,MATCH(INDEX(oppCol24,ROW()),ovrTeamCol,0),MATCH(MID(INDEX(headerRow,1,COLUMN()),4,LEN(INDEX(headerRow,1,COLUMN()))),ovrHeaderRow,0))</f>
        <v>12.22</v>
      </c>
      <c r="CE82" s="12">
        <f>INDEX(ovrTable,MATCH(INDEX(oppCol24,ROW()),ovrTeamCol,0),MATCH(MID(INDEX(headerRow,1,COLUMN()),4,LEN(INDEX(headerRow,1,COLUMN()))),ovrHeaderRow,0))</f>
        <v>81.900000000000006</v>
      </c>
      <c r="CF82" s="12">
        <f>INDEX(ovrTable,MATCH(INDEX(oppCol24,ROW()),ovrTeamCol,0),MATCH(MID(INDEX(headerRow,1,COLUMN()),4,LEN(INDEX(headerRow,1,COLUMN()))),ovrHeaderRow,0))</f>
        <v>7.3</v>
      </c>
      <c r="CG82" s="12">
        <f>INDEX(ovrTable,MATCH(INDEX(oppCol24,ROW()),ovrTeamCol,0),MATCH(MID(INDEX(headerRow,1,COLUMN()),4,LEN(INDEX(headerRow,1,COLUMN()))),ovrHeaderRow,0))</f>
        <v>41.08</v>
      </c>
      <c r="CH82" s="12">
        <f>INDEX(ovrTable,MATCH(INDEX(oppCol24,ROW()),ovrTeamCol,0),MATCH(MID(INDEX(headerRow,1,COLUMN()),4,LEN(INDEX(headerRow,1,COLUMN()))),ovrHeaderRow,0))</f>
        <v>11.5</v>
      </c>
      <c r="CI82" s="12">
        <f>INDEX(ovrTable,MATCH(INDEX(oppCol24,ROW()),ovrTeamCol,0),MATCH(MID(INDEX(headerRow,1,COLUMN()),4,LEN(INDEX(headerRow,1,COLUMN()))),ovrHeaderRow,0))</f>
        <v>5.8</v>
      </c>
      <c r="CJ82" s="12">
        <f>INDEX(ovrTable,MATCH(INDEX(oppCol24,ROW()),ovrTeamCol,0),MATCH(MID(INDEX(headerRow,1,COLUMN()),4,LEN(INDEX(headerRow,1,COLUMN()))),ovrHeaderRow,0))</f>
        <v>0.5</v>
      </c>
      <c r="CK82" s="12">
        <f>INDEX(ovrTable,MATCH(INDEX(oppCol24,ROW()),ovrTeamCol,0),MATCH(MID(INDEX(headerRow,1,COLUMN()),4,LEN(INDEX(headerRow,1,COLUMN()))),ovrHeaderRow,0))</f>
        <v>10.59</v>
      </c>
      <c r="CL82" s="12">
        <f>INDEX(ovrTable,MATCH(INDEX(oppCol24,ROW()),ovrTeamCol,0),MATCH(MID(INDEX(headerRow,1,COLUMN()),4,LEN(INDEX(headerRow,1,COLUMN()))),ovrHeaderRow,0))</f>
        <v>10.1</v>
      </c>
      <c r="CM82" s="12">
        <f>INDEX(ovrTable,MATCH(INDEX(oppCol24,ROW()),ovrTeamCol,0),MATCH(MID(INDEX(headerRow,1,COLUMN()),4,LEN(INDEX(headerRow,1,COLUMN()))),ovrHeaderRow,0))</f>
        <v>73.3</v>
      </c>
      <c r="CN82" s="12">
        <f>INDEX(ovrTable,MATCH(INDEX(oppCol24,ROW()),ovrTeamCol,0),MATCH(MID(INDEX(headerRow,1,COLUMN()),4,LEN(INDEX(headerRow,1,COLUMN()))),ovrHeaderRow,0))</f>
        <v>20.150000000000006</v>
      </c>
      <c r="CO82" s="12">
        <f>INDEX(ovrTable,MATCH(INDEX(oppCol24,ROW()),ovrTeamCol,0),MATCH(MID(INDEX(headerRow,1,COLUMN()),4,LEN(INDEX(headerRow,1,COLUMN()))),ovrHeaderRow,0))</f>
        <v>62.7777777777778</v>
      </c>
    </row>
    <row r="83" spans="1:93" x14ac:dyDescent="0.3">
      <c r="A83" s="6" t="s">
        <v>18</v>
      </c>
      <c r="B83" s="3">
        <v>1</v>
      </c>
      <c r="C83" s="13" t="s">
        <v>34</v>
      </c>
      <c r="D83" s="14">
        <v>41</v>
      </c>
      <c r="E83" s="23">
        <v>37.5</v>
      </c>
      <c r="F83" s="24">
        <v>10</v>
      </c>
      <c r="G83" s="23">
        <v>38.461538461538467</v>
      </c>
      <c r="H83" s="24">
        <v>26</v>
      </c>
      <c r="I83" s="25">
        <v>2.4</v>
      </c>
      <c r="J83" s="24">
        <v>12</v>
      </c>
      <c r="K83" s="24">
        <v>10</v>
      </c>
      <c r="L83" s="24">
        <v>6</v>
      </c>
      <c r="M83" s="24">
        <v>44.1</v>
      </c>
      <c r="N83" s="24">
        <v>27</v>
      </c>
      <c r="O83" s="26">
        <v>0.55039285714285713</v>
      </c>
      <c r="P83" s="24">
        <v>9</v>
      </c>
      <c r="Q83" s="24">
        <v>46.7</v>
      </c>
      <c r="R83" s="24">
        <v>14</v>
      </c>
      <c r="S83" s="23">
        <v>82.608695652173907</v>
      </c>
      <c r="T83" s="24">
        <v>23</v>
      </c>
      <c r="U83" s="24">
        <v>19</v>
      </c>
      <c r="V83" s="24">
        <v>69</v>
      </c>
      <c r="W83" s="24">
        <v>5</v>
      </c>
      <c r="X83" s="24">
        <v>85</v>
      </c>
      <c r="Y83" s="24">
        <v>-5</v>
      </c>
      <c r="Z83" s="24">
        <v>32</v>
      </c>
      <c r="AA83" s="24">
        <v>16</v>
      </c>
      <c r="AB83" s="24">
        <v>5</v>
      </c>
      <c r="AC83" s="24">
        <v>6</v>
      </c>
      <c r="AD83" s="24">
        <v>11</v>
      </c>
      <c r="AE83" s="24">
        <v>5</v>
      </c>
      <c r="AF83" s="46">
        <f t="shared" si="85"/>
        <v>70.882173447537468</v>
      </c>
      <c r="AG83" s="51">
        <f t="shared" ref="AG83" si="108">AVERAGE(AF82,AF83)</f>
        <v>70.98204477365536</v>
      </c>
      <c r="AH83" s="12">
        <f t="shared" si="105"/>
        <v>32.1</v>
      </c>
      <c r="AI83" s="12">
        <f t="shared" si="105"/>
        <v>8.1</v>
      </c>
      <c r="AJ83" s="12">
        <f t="shared" si="105"/>
        <v>35.9</v>
      </c>
      <c r="AK83" s="12">
        <f t="shared" si="105"/>
        <v>22.7</v>
      </c>
      <c r="AL83" s="12">
        <f t="shared" si="105"/>
        <v>1.44</v>
      </c>
      <c r="AM83" s="12">
        <f t="shared" si="105"/>
        <v>14.5</v>
      </c>
      <c r="AN83" s="12">
        <f t="shared" si="105"/>
        <v>17.3</v>
      </c>
      <c r="AO83" s="12">
        <f t="shared" si="105"/>
        <v>4.0999999999999996</v>
      </c>
      <c r="AP83" s="12">
        <f t="shared" si="105"/>
        <v>41</v>
      </c>
      <c r="AQ83" s="12">
        <f t="shared" si="105"/>
        <v>28.86</v>
      </c>
      <c r="AR83" s="12">
        <f t="shared" si="106"/>
        <v>0.51500000000000001</v>
      </c>
      <c r="AS83" s="12">
        <f t="shared" si="106"/>
        <v>12.41</v>
      </c>
      <c r="AT83" s="12">
        <f t="shared" si="106"/>
        <v>45</v>
      </c>
      <c r="AU83" s="12">
        <f t="shared" si="106"/>
        <v>16.5</v>
      </c>
      <c r="AV83" s="12">
        <f t="shared" si="106"/>
        <v>75.900000000000006</v>
      </c>
      <c r="AW83" s="12">
        <f t="shared" si="106"/>
        <v>22.8</v>
      </c>
      <c r="AX83" s="12">
        <f t="shared" si="106"/>
        <v>17.3</v>
      </c>
      <c r="AY83" s="12">
        <f t="shared" si="106"/>
        <v>70.5</v>
      </c>
      <c r="AZ83" s="12">
        <f t="shared" si="106"/>
        <v>12.22</v>
      </c>
      <c r="BA83" s="12">
        <f t="shared" si="106"/>
        <v>81.900000000000006</v>
      </c>
      <c r="BB83" s="12">
        <f t="shared" si="107"/>
        <v>7.3</v>
      </c>
      <c r="BC83" s="12">
        <f t="shared" si="107"/>
        <v>41.08</v>
      </c>
      <c r="BD83" s="12">
        <f t="shared" si="107"/>
        <v>11.5</v>
      </c>
      <c r="BE83" s="12">
        <f t="shared" si="107"/>
        <v>5.8</v>
      </c>
      <c r="BF83" s="12">
        <f t="shared" si="107"/>
        <v>0.5</v>
      </c>
      <c r="BG83" s="12">
        <f t="shared" si="107"/>
        <v>10.59</v>
      </c>
      <c r="BH83" s="12">
        <f t="shared" si="107"/>
        <v>10.1</v>
      </c>
      <c r="BI83" s="12">
        <f t="shared" si="107"/>
        <v>73.3</v>
      </c>
      <c r="BJ83" s="12">
        <f t="shared" si="107"/>
        <v>20.150000000000006</v>
      </c>
      <c r="BK83" s="12">
        <f t="shared" si="107"/>
        <v>62.7777777777778</v>
      </c>
      <c r="BL83" s="12">
        <f>INDEX(ovrTable,MATCH(INDEX(oppCol24,ROW()),ovrTeamCol,0),MATCH(MID(INDEX(headerRow,1,COLUMN()),4,LEN(INDEX(headerRow,1,COLUMN()))),ovrHeaderRow,0))</f>
        <v>32.6</v>
      </c>
      <c r="BM83" s="12">
        <f>INDEX(ovrTable,MATCH(INDEX(oppCol24,ROW()),ovrTeamCol,0),MATCH(MID(INDEX(headerRow,1,COLUMN()),4,LEN(INDEX(headerRow,1,COLUMN()))),ovrHeaderRow,0))</f>
        <v>6.5</v>
      </c>
      <c r="BN83" s="12">
        <f>INDEX(ovrTable,MATCH(INDEX(oppCol24,ROW()),ovrTeamCol,0),MATCH(MID(INDEX(headerRow,1,COLUMN()),4,LEN(INDEX(headerRow,1,COLUMN()))),ovrHeaderRow,0))</f>
        <v>36.299999999999997</v>
      </c>
      <c r="BO83" s="12">
        <f>INDEX(ovrTable,MATCH(INDEX(oppCol24,ROW()),ovrTeamCol,0),MATCH(MID(INDEX(headerRow,1,COLUMN()),4,LEN(INDEX(headerRow,1,COLUMN()))),ovrHeaderRow,0))</f>
        <v>17.899999999999999</v>
      </c>
      <c r="BP83" s="12">
        <f>INDEX(ovrTable,MATCH(INDEX(oppCol24,ROW()),ovrTeamCol,0),MATCH(MID(INDEX(headerRow,1,COLUMN()),4,LEN(INDEX(headerRow,1,COLUMN()))),ovrHeaderRow,0))</f>
        <v>1.59</v>
      </c>
      <c r="BQ83" s="12">
        <f>INDEX(ovrTable,MATCH(INDEX(oppCol24,ROW()),ovrTeamCol,0),MATCH(MID(INDEX(headerRow,1,COLUMN()),4,LEN(INDEX(headerRow,1,COLUMN()))),ovrHeaderRow,0))</f>
        <v>15.9</v>
      </c>
      <c r="BR83" s="12">
        <f>INDEX(ovrTable,MATCH(INDEX(oppCol24,ROW()),ovrTeamCol,0),MATCH(MID(INDEX(headerRow,1,COLUMN()),4,LEN(INDEX(headerRow,1,COLUMN()))),ovrHeaderRow,0))</f>
        <v>17.71</v>
      </c>
      <c r="BS83" s="12">
        <f>INDEX(ovrTable,MATCH(INDEX(oppCol24,ROW()),ovrTeamCol,0),MATCH(MID(INDEX(headerRow,1,COLUMN()),4,LEN(INDEX(headerRow,1,COLUMN()))),ovrHeaderRow,0))</f>
        <v>3.8</v>
      </c>
      <c r="BT83" s="12">
        <f>INDEX(ovrTable,MATCH(INDEX(oppCol24,ROW()),ovrTeamCol,0),MATCH(MID(INDEX(headerRow,1,COLUMN()),4,LEN(INDEX(headerRow,1,COLUMN()))),ovrHeaderRow,0))</f>
        <v>41.3</v>
      </c>
      <c r="BU83" s="12">
        <f>INDEX(ovrTable,MATCH(INDEX(oppCol24,ROW()),ovrTeamCol,0),MATCH(MID(INDEX(headerRow,1,COLUMN()),4,LEN(INDEX(headerRow,1,COLUMN()))),ovrHeaderRow,0))</f>
        <v>24.63</v>
      </c>
      <c r="BV83" s="12">
        <f>INDEX(ovrTable,MATCH(INDEX(oppCol24,ROW()),ovrTeamCol,0),MATCH(MID(INDEX(headerRow,1,COLUMN()),4,LEN(INDEX(headerRow,1,COLUMN()))),ovrHeaderRow,0))</f>
        <v>0.51600000000000001</v>
      </c>
      <c r="BW83" s="12">
        <f>INDEX(ovrTable,MATCH(INDEX(oppCol24,ROW()),ovrTeamCol,0),MATCH(MID(INDEX(headerRow,1,COLUMN()),4,LEN(INDEX(headerRow,1,COLUMN()))),ovrHeaderRow,0))</f>
        <v>14.09</v>
      </c>
      <c r="BX83" s="12">
        <f>INDEX(ovrTable,MATCH(INDEX(oppCol24,ROW()),ovrTeamCol,0),MATCH(MID(INDEX(headerRow,1,COLUMN()),4,LEN(INDEX(headerRow,1,COLUMN()))),ovrHeaderRow,0))</f>
        <v>46.1</v>
      </c>
      <c r="BY83" s="12">
        <f>INDEX(ovrTable,MATCH(INDEX(oppCol24,ROW()),ovrTeamCol,0),MATCH(MID(INDEX(headerRow,1,COLUMN()),4,LEN(INDEX(headerRow,1,COLUMN()))),ovrHeaderRow,0))</f>
        <v>16.600000000000001</v>
      </c>
      <c r="BZ83" s="12">
        <f>INDEX(ovrTable,MATCH(INDEX(oppCol24,ROW()),ovrTeamCol,0),MATCH(MID(INDEX(headerRow,1,COLUMN()),4,LEN(INDEX(headerRow,1,COLUMN()))),ovrHeaderRow,0))</f>
        <v>70.8</v>
      </c>
      <c r="CA83" s="12">
        <f>INDEX(ovrTable,MATCH(INDEX(oppCol24,ROW()),ovrTeamCol,0),MATCH(MID(INDEX(headerRow,1,COLUMN()),4,LEN(INDEX(headerRow,1,COLUMN()))),ovrHeaderRow,0))</f>
        <v>17.2</v>
      </c>
      <c r="CB83" s="12">
        <f>INDEX(ovrTable,MATCH(INDEX(oppCol24,ROW()),ovrTeamCol,0),MATCH(MID(INDEX(headerRow,1,COLUMN()),4,LEN(INDEX(headerRow,1,COLUMN()))),ovrHeaderRow,0))</f>
        <v>12.2</v>
      </c>
      <c r="CC83" s="12">
        <f>INDEX(ovrTable,MATCH(INDEX(oppCol24,ROW()),ovrTeamCol,0),MATCH(MID(INDEX(headerRow,1,COLUMN()),4,LEN(INDEX(headerRow,1,COLUMN()))),ovrHeaderRow,0))</f>
        <v>66.099999999999994</v>
      </c>
      <c r="CD83" s="12">
        <f>INDEX(ovrTable,MATCH(INDEX(oppCol24,ROW()),ovrTeamCol,0),MATCH(MID(INDEX(headerRow,1,COLUMN()),4,LEN(INDEX(headerRow,1,COLUMN()))),ovrHeaderRow,0))</f>
        <v>10.09</v>
      </c>
      <c r="CE83" s="12">
        <f>INDEX(ovrTable,MATCH(INDEX(oppCol24,ROW()),ovrTeamCol,0),MATCH(MID(INDEX(headerRow,1,COLUMN()),4,LEN(INDEX(headerRow,1,COLUMN()))),ovrHeaderRow,0))</f>
        <v>72.900000000000006</v>
      </c>
      <c r="CF83" s="12">
        <f>INDEX(ovrTable,MATCH(INDEX(oppCol24,ROW()),ovrTeamCol,0),MATCH(MID(INDEX(headerRow,1,COLUMN()),4,LEN(INDEX(headerRow,1,COLUMN()))),ovrHeaderRow,0))</f>
        <v>1.1000000000000001</v>
      </c>
      <c r="CG83" s="12">
        <f>INDEX(ovrTable,MATCH(INDEX(oppCol24,ROW()),ovrTeamCol,0),MATCH(MID(INDEX(headerRow,1,COLUMN()),4,LEN(INDEX(headerRow,1,COLUMN()))),ovrHeaderRow,0))</f>
        <v>34.71</v>
      </c>
      <c r="CH83" s="12">
        <f>INDEX(ovrTable,MATCH(INDEX(oppCol24,ROW()),ovrTeamCol,0),MATCH(MID(INDEX(headerRow,1,COLUMN()),4,LEN(INDEX(headerRow,1,COLUMN()))),ovrHeaderRow,0))</f>
        <v>6.8</v>
      </c>
      <c r="CI83" s="12">
        <f>INDEX(ovrTable,MATCH(INDEX(oppCol24,ROW()),ovrTeamCol,0),MATCH(MID(INDEX(headerRow,1,COLUMN()),4,LEN(INDEX(headerRow,1,COLUMN()))),ovrHeaderRow,0))</f>
        <v>7.1</v>
      </c>
      <c r="CJ83" s="12">
        <f>INDEX(ovrTable,MATCH(INDEX(oppCol24,ROW()),ovrTeamCol,0),MATCH(MID(INDEX(headerRow,1,COLUMN()),4,LEN(INDEX(headerRow,1,COLUMN()))),ovrHeaderRow,0))</f>
        <v>2.2999999999999998</v>
      </c>
      <c r="CK83" s="12">
        <f>INDEX(ovrTable,MATCH(INDEX(oppCol24,ROW()),ovrTeamCol,0),MATCH(MID(INDEX(headerRow,1,COLUMN()),4,LEN(INDEX(headerRow,1,COLUMN()))),ovrHeaderRow,0))</f>
        <v>12.34</v>
      </c>
      <c r="CL83" s="12">
        <f>INDEX(ovrTable,MATCH(INDEX(oppCol24,ROW()),ovrTeamCol,0),MATCH(MID(INDEX(headerRow,1,COLUMN()),4,LEN(INDEX(headerRow,1,COLUMN()))),ovrHeaderRow,0))</f>
        <v>10</v>
      </c>
      <c r="CM83" s="12">
        <f>INDEX(ovrTable,MATCH(INDEX(oppCol24,ROW()),ovrTeamCol,0),MATCH(MID(INDEX(headerRow,1,COLUMN()),4,LEN(INDEX(headerRow,1,COLUMN()))),ovrHeaderRow,0))</f>
        <v>68.3</v>
      </c>
      <c r="CN83" s="12">
        <f>INDEX(ovrTable,MATCH(INDEX(oppCol24,ROW()),ovrTeamCol,0),MATCH(MID(INDEX(headerRow,1,COLUMN()),4,LEN(INDEX(headerRow,1,COLUMN()))),ovrHeaderRow,0))</f>
        <v>20.6</v>
      </c>
      <c r="CO83" s="12">
        <f>INDEX(ovrTable,MATCH(INDEX(oppCol24,ROW()),ovrTeamCol,0),MATCH(MID(INDEX(headerRow,1,COLUMN()),4,LEN(INDEX(headerRow,1,COLUMN()))),ovrHeaderRow,0))</f>
        <v>58.785249457700651</v>
      </c>
    </row>
    <row r="84" spans="1:93" x14ac:dyDescent="0.3">
      <c r="A84" s="6" t="s">
        <v>28</v>
      </c>
      <c r="B84" s="3">
        <v>12</v>
      </c>
      <c r="C84" s="13" t="s">
        <v>21</v>
      </c>
      <c r="D84" s="14">
        <v>42</v>
      </c>
      <c r="E84" s="23">
        <v>25.806451612903224</v>
      </c>
      <c r="F84" s="24">
        <v>2</v>
      </c>
      <c r="G84" s="23">
        <v>10</v>
      </c>
      <c r="H84" s="24">
        <v>20</v>
      </c>
      <c r="I84" s="25">
        <v>0.35714285714285715</v>
      </c>
      <c r="J84" s="24">
        <v>5</v>
      </c>
      <c r="K84" s="24">
        <v>2</v>
      </c>
      <c r="L84" s="24">
        <v>8</v>
      </c>
      <c r="M84" s="24">
        <v>36.9</v>
      </c>
      <c r="N84" s="24">
        <v>26</v>
      </c>
      <c r="O84" s="26">
        <v>0.33883333333333332</v>
      </c>
      <c r="P84" s="24">
        <v>15</v>
      </c>
      <c r="Q84" s="24">
        <v>32.1</v>
      </c>
      <c r="R84" s="24">
        <v>21</v>
      </c>
      <c r="S84" s="23">
        <v>62.162162162162161</v>
      </c>
      <c r="T84" s="24">
        <v>37</v>
      </c>
      <c r="U84" s="24">
        <v>23</v>
      </c>
      <c r="V84" s="24">
        <v>72</v>
      </c>
      <c r="W84" s="24">
        <v>15</v>
      </c>
      <c r="X84" s="24">
        <v>61</v>
      </c>
      <c r="Y84" s="24">
        <v>-9</v>
      </c>
      <c r="Z84" s="24">
        <v>41</v>
      </c>
      <c r="AA84" s="24">
        <v>-11</v>
      </c>
      <c r="AB84" s="24">
        <v>10</v>
      </c>
      <c r="AC84" s="24">
        <v>-1</v>
      </c>
      <c r="AD84" s="24">
        <v>13</v>
      </c>
      <c r="AE84" s="24">
        <v>14</v>
      </c>
      <c r="AF84" s="46">
        <f t="shared" si="85"/>
        <v>72.649766355140187</v>
      </c>
      <c r="AG84" s="51">
        <f t="shared" ref="AG84" si="109">AVERAGE(AF84,AF85)</f>
        <v>70.570208380822123</v>
      </c>
      <c r="AH84" s="12">
        <f t="shared" si="105"/>
        <v>32</v>
      </c>
      <c r="AI84" s="12">
        <f t="shared" si="105"/>
        <v>7</v>
      </c>
      <c r="AJ84" s="12">
        <f t="shared" si="105"/>
        <v>33.6</v>
      </c>
      <c r="AK84" s="12">
        <f t="shared" si="105"/>
        <v>20.8</v>
      </c>
      <c r="AL84" s="12">
        <f t="shared" si="105"/>
        <v>0.99</v>
      </c>
      <c r="AM84" s="12">
        <f t="shared" si="105"/>
        <v>12.1</v>
      </c>
      <c r="AN84" s="12">
        <f t="shared" si="105"/>
        <v>17.46</v>
      </c>
      <c r="AO84" s="12">
        <f t="shared" si="105"/>
        <v>5.5</v>
      </c>
      <c r="AP84" s="12">
        <f t="shared" si="105"/>
        <v>40.299999999999997</v>
      </c>
      <c r="AQ84" s="12">
        <f t="shared" si="105"/>
        <v>26.37</v>
      </c>
      <c r="AR84" s="12">
        <f t="shared" si="106"/>
        <v>0.52100000000000002</v>
      </c>
      <c r="AS84" s="12">
        <f t="shared" si="106"/>
        <v>11</v>
      </c>
      <c r="AT84" s="12">
        <f t="shared" si="106"/>
        <v>46</v>
      </c>
      <c r="AU84" s="12">
        <f t="shared" si="106"/>
        <v>17.899999999999999</v>
      </c>
      <c r="AV84" s="12">
        <f t="shared" si="106"/>
        <v>74.900000000000006</v>
      </c>
      <c r="AW84" s="12">
        <f t="shared" si="106"/>
        <v>25.8</v>
      </c>
      <c r="AX84" s="12">
        <f t="shared" si="106"/>
        <v>19.3</v>
      </c>
      <c r="AY84" s="12">
        <f t="shared" si="106"/>
        <v>67</v>
      </c>
      <c r="AZ84" s="12">
        <f t="shared" si="106"/>
        <v>11.77</v>
      </c>
      <c r="BA84" s="12">
        <f t="shared" si="106"/>
        <v>79.099999999999994</v>
      </c>
      <c r="BB84" s="12">
        <f t="shared" si="107"/>
        <v>4.4000000000000004</v>
      </c>
      <c r="BC84" s="12">
        <f t="shared" si="107"/>
        <v>38.14</v>
      </c>
      <c r="BD84" s="12">
        <f t="shared" si="107"/>
        <v>12.1</v>
      </c>
      <c r="BE84" s="12">
        <f t="shared" si="107"/>
        <v>8.3000000000000007</v>
      </c>
      <c r="BF84" s="12">
        <f t="shared" si="107"/>
        <v>1.6</v>
      </c>
      <c r="BG84" s="12">
        <f t="shared" si="107"/>
        <v>13.91</v>
      </c>
      <c r="BH84" s="12">
        <f t="shared" si="107"/>
        <v>12.3</v>
      </c>
      <c r="BI84" s="12">
        <f t="shared" si="107"/>
        <v>71.8</v>
      </c>
      <c r="BJ84" s="12">
        <f t="shared" si="107"/>
        <v>19.399999999999999</v>
      </c>
      <c r="BK84" s="12">
        <f t="shared" si="107"/>
        <v>57.391304347826086</v>
      </c>
      <c r="BL84" s="12">
        <f>INDEX(ovrTable,MATCH(INDEX(oppCol24,ROW()),ovrTeamCol,0),MATCH(MID(INDEX(headerRow,1,COLUMN()),4,LEN(INDEX(headerRow,1,COLUMN()))),ovrHeaderRow,0))</f>
        <v>31.7</v>
      </c>
      <c r="BM84" s="12">
        <f>INDEX(ovrTable,MATCH(INDEX(oppCol24,ROW()),ovrTeamCol,0),MATCH(MID(INDEX(headerRow,1,COLUMN()),4,LEN(INDEX(headerRow,1,COLUMN()))),ovrHeaderRow,0))</f>
        <v>11.2</v>
      </c>
      <c r="BN84" s="12">
        <f>INDEX(ovrTable,MATCH(INDEX(oppCol24,ROW()),ovrTeamCol,0),MATCH(MID(INDEX(headerRow,1,COLUMN()),4,LEN(INDEX(headerRow,1,COLUMN()))),ovrHeaderRow,0))</f>
        <v>37.299999999999997</v>
      </c>
      <c r="BO84" s="12">
        <f>INDEX(ovrTable,MATCH(INDEX(oppCol24,ROW()),ovrTeamCol,0),MATCH(MID(INDEX(headerRow,1,COLUMN()),4,LEN(INDEX(headerRow,1,COLUMN()))),ovrHeaderRow,0))</f>
        <v>29.9</v>
      </c>
      <c r="BP84" s="12">
        <f>INDEX(ovrTable,MATCH(INDEX(oppCol24,ROW()),ovrTeamCol,0),MATCH(MID(INDEX(headerRow,1,COLUMN()),4,LEN(INDEX(headerRow,1,COLUMN()))),ovrHeaderRow,0))</f>
        <v>1.34</v>
      </c>
      <c r="BQ84" s="12">
        <f>INDEX(ovrTable,MATCH(INDEX(oppCol24,ROW()),ovrTeamCol,0),MATCH(MID(INDEX(headerRow,1,COLUMN()),4,LEN(INDEX(headerRow,1,COLUMN()))),ovrHeaderRow,0))</f>
        <v>15.9</v>
      </c>
      <c r="BR84" s="12">
        <f>INDEX(ovrTable,MATCH(INDEX(oppCol24,ROW()),ovrTeamCol,0),MATCH(MID(INDEX(headerRow,1,COLUMN()),4,LEN(INDEX(headerRow,1,COLUMN()))),ovrHeaderRow,0))</f>
        <v>25.11</v>
      </c>
      <c r="BS84" s="12">
        <f>INDEX(ovrTable,MATCH(INDEX(oppCol24,ROW()),ovrTeamCol,0),MATCH(MID(INDEX(headerRow,1,COLUMN()),4,LEN(INDEX(headerRow,1,COLUMN()))),ovrHeaderRow,0))</f>
        <v>4.4000000000000004</v>
      </c>
      <c r="BT84" s="12">
        <f>INDEX(ovrTable,MATCH(INDEX(oppCol24,ROW()),ovrTeamCol,0),MATCH(MID(INDEX(headerRow,1,COLUMN()),4,LEN(INDEX(headerRow,1,COLUMN()))),ovrHeaderRow,0))</f>
        <v>43.7</v>
      </c>
      <c r="BU84" s="12">
        <f>INDEX(ovrTable,MATCH(INDEX(oppCol24,ROW()),ovrTeamCol,0),MATCH(MID(INDEX(headerRow,1,COLUMN()),4,LEN(INDEX(headerRow,1,COLUMN()))),ovrHeaderRow,0))</f>
        <v>26.89</v>
      </c>
      <c r="BV84" s="12">
        <f>INDEX(ovrTable,MATCH(INDEX(oppCol24,ROW()),ovrTeamCol,0),MATCH(MID(INDEX(headerRow,1,COLUMN()),4,LEN(INDEX(headerRow,1,COLUMN()))),ovrHeaderRow,0))</f>
        <v>0.56299999999999994</v>
      </c>
      <c r="BW84" s="12">
        <f>INDEX(ovrTable,MATCH(INDEX(oppCol24,ROW()),ovrTeamCol,0),MATCH(MID(INDEX(headerRow,1,COLUMN()),4,LEN(INDEX(headerRow,1,COLUMN()))),ovrHeaderRow,0))</f>
        <v>13.7</v>
      </c>
      <c r="BX84" s="12">
        <f>INDEX(ovrTable,MATCH(INDEX(oppCol24,ROW()),ovrTeamCol,0),MATCH(MID(INDEX(headerRow,1,COLUMN()),4,LEN(INDEX(headerRow,1,COLUMN()))),ovrHeaderRow,0))</f>
        <v>47.6</v>
      </c>
      <c r="BY84" s="12">
        <f>INDEX(ovrTable,MATCH(INDEX(oppCol24,ROW()),ovrTeamCol,0),MATCH(MID(INDEX(headerRow,1,COLUMN()),4,LEN(INDEX(headerRow,1,COLUMN()))),ovrHeaderRow,0))</f>
        <v>19.8</v>
      </c>
      <c r="BZ84" s="12">
        <f>INDEX(ovrTable,MATCH(INDEX(oppCol24,ROW()),ovrTeamCol,0),MATCH(MID(INDEX(headerRow,1,COLUMN()),4,LEN(INDEX(headerRow,1,COLUMN()))),ovrHeaderRow,0))</f>
        <v>77.2</v>
      </c>
      <c r="CA84" s="12">
        <f>INDEX(ovrTable,MATCH(INDEX(oppCol24,ROW()),ovrTeamCol,0),MATCH(MID(INDEX(headerRow,1,COLUMN()),4,LEN(INDEX(headerRow,1,COLUMN()))),ovrHeaderRow,0))</f>
        <v>22.8</v>
      </c>
      <c r="CB84" s="12">
        <f>INDEX(ovrTable,MATCH(INDEX(oppCol24,ROW()),ovrTeamCol,0),MATCH(MID(INDEX(headerRow,1,COLUMN()),4,LEN(INDEX(headerRow,1,COLUMN()))),ovrHeaderRow,0))</f>
        <v>17.600000000000001</v>
      </c>
      <c r="CC84" s="12">
        <f>INDEX(ovrTable,MATCH(INDEX(oppCol24,ROW()),ovrTeamCol,0),MATCH(MID(INDEX(headerRow,1,COLUMN()),4,LEN(INDEX(headerRow,1,COLUMN()))),ovrHeaderRow,0))</f>
        <v>81.2</v>
      </c>
      <c r="CD84" s="12">
        <f>INDEX(ovrTable,MATCH(INDEX(oppCol24,ROW()),ovrTeamCol,0),MATCH(MID(INDEX(headerRow,1,COLUMN()),4,LEN(INDEX(headerRow,1,COLUMN()))),ovrHeaderRow,0))</f>
        <v>12.76</v>
      </c>
      <c r="CE84" s="12">
        <f>INDEX(ovrTable,MATCH(INDEX(oppCol24,ROW()),ovrTeamCol,0),MATCH(MID(INDEX(headerRow,1,COLUMN()),4,LEN(INDEX(headerRow,1,COLUMN()))),ovrHeaderRow,0))</f>
        <v>90.1</v>
      </c>
      <c r="CF84" s="12">
        <f>INDEX(ovrTable,MATCH(INDEX(oppCol24,ROW()),ovrTeamCol,0),MATCH(MID(INDEX(headerRow,1,COLUMN()),4,LEN(INDEX(headerRow,1,COLUMN()))),ovrHeaderRow,0))</f>
        <v>3.9</v>
      </c>
      <c r="CG84" s="12">
        <f>INDEX(ovrTable,MATCH(INDEX(oppCol24,ROW()),ovrTeamCol,0),MATCH(MID(INDEX(headerRow,1,COLUMN()),4,LEN(INDEX(headerRow,1,COLUMN()))),ovrHeaderRow,0))</f>
        <v>39.65</v>
      </c>
      <c r="CH84" s="12">
        <f>INDEX(ovrTable,MATCH(INDEX(oppCol24,ROW()),ovrTeamCol,0),MATCH(MID(INDEX(headerRow,1,COLUMN()),4,LEN(INDEX(headerRow,1,COLUMN()))),ovrHeaderRow,0))</f>
        <v>8.9</v>
      </c>
      <c r="CI84" s="12">
        <f>INDEX(ovrTable,MATCH(INDEX(oppCol24,ROW()),ovrTeamCol,0),MATCH(MID(INDEX(headerRow,1,COLUMN()),4,LEN(INDEX(headerRow,1,COLUMN()))),ovrHeaderRow,0))</f>
        <v>6.9</v>
      </c>
      <c r="CJ84" s="12">
        <f>INDEX(ovrTable,MATCH(INDEX(oppCol24,ROW()),ovrTeamCol,0),MATCH(MID(INDEX(headerRow,1,COLUMN()),4,LEN(INDEX(headerRow,1,COLUMN()))),ovrHeaderRow,0))</f>
        <v>-0.5</v>
      </c>
      <c r="CK84" s="12">
        <f>INDEX(ovrTable,MATCH(INDEX(oppCol24,ROW()),ovrTeamCol,0),MATCH(MID(INDEX(headerRow,1,COLUMN()),4,LEN(INDEX(headerRow,1,COLUMN()))),ovrHeaderRow,0))</f>
        <v>11.3</v>
      </c>
      <c r="CL84" s="12">
        <f>INDEX(ovrTable,MATCH(INDEX(oppCol24,ROW()),ovrTeamCol,0),MATCH(MID(INDEX(headerRow,1,COLUMN()),4,LEN(INDEX(headerRow,1,COLUMN()))),ovrHeaderRow,0))</f>
        <v>11.8</v>
      </c>
      <c r="CM84" s="12">
        <f>INDEX(ovrTable,MATCH(INDEX(oppCol24,ROW()),ovrTeamCol,0),MATCH(MID(INDEX(headerRow,1,COLUMN()),4,LEN(INDEX(headerRow,1,COLUMN()))),ovrHeaderRow,0))</f>
        <v>76.3</v>
      </c>
      <c r="CN84" s="12">
        <f>INDEX(ovrTable,MATCH(INDEX(oppCol24,ROW()),ovrTeamCol,0),MATCH(MID(INDEX(headerRow,1,COLUMN()),4,LEN(INDEX(headerRow,1,COLUMN()))),ovrHeaderRow,0))</f>
        <v>19.450000000000003</v>
      </c>
      <c r="CO84" s="12">
        <f>INDEX(ovrTable,MATCH(INDEX(oppCol24,ROW()),ovrTeamCol,0),MATCH(MID(INDEX(headerRow,1,COLUMN()),4,LEN(INDEX(headerRow,1,COLUMN()))),ovrHeaderRow,0))</f>
        <v>64.390756302521012</v>
      </c>
    </row>
    <row r="85" spans="1:93" x14ac:dyDescent="0.3">
      <c r="A85" s="6" t="s">
        <v>21</v>
      </c>
      <c r="B85" s="3">
        <v>4</v>
      </c>
      <c r="C85" s="13" t="s">
        <v>28</v>
      </c>
      <c r="D85" s="14">
        <v>42</v>
      </c>
      <c r="E85" s="23">
        <v>10</v>
      </c>
      <c r="F85" s="24">
        <v>8</v>
      </c>
      <c r="G85" s="23">
        <v>25.806451612903224</v>
      </c>
      <c r="H85" s="24">
        <v>31</v>
      </c>
      <c r="I85" s="25">
        <v>1</v>
      </c>
      <c r="J85" s="24">
        <v>13</v>
      </c>
      <c r="K85" s="24">
        <v>20</v>
      </c>
      <c r="L85" s="24">
        <v>9</v>
      </c>
      <c r="M85" s="24">
        <v>32.1</v>
      </c>
      <c r="N85" s="24">
        <v>30</v>
      </c>
      <c r="O85" s="26">
        <v>0.43050000000000005</v>
      </c>
      <c r="P85" s="24">
        <v>13</v>
      </c>
      <c r="Q85" s="24">
        <v>36.9</v>
      </c>
      <c r="R85" s="24">
        <v>26</v>
      </c>
      <c r="S85" s="23">
        <v>72.727272727272734</v>
      </c>
      <c r="T85" s="24">
        <v>22</v>
      </c>
      <c r="U85" s="24">
        <v>16</v>
      </c>
      <c r="V85" s="24">
        <v>61</v>
      </c>
      <c r="W85" s="24">
        <v>20</v>
      </c>
      <c r="X85" s="24">
        <v>72</v>
      </c>
      <c r="Y85" s="24">
        <v>9</v>
      </c>
      <c r="Z85" s="24">
        <v>50</v>
      </c>
      <c r="AA85" s="24">
        <v>11</v>
      </c>
      <c r="AB85" s="24">
        <v>10</v>
      </c>
      <c r="AC85" s="24">
        <v>1</v>
      </c>
      <c r="AD85" s="24">
        <v>14</v>
      </c>
      <c r="AE85" s="24">
        <v>13</v>
      </c>
      <c r="AF85" s="46">
        <f t="shared" si="85"/>
        <v>68.490650406504059</v>
      </c>
      <c r="AG85" s="51">
        <f t="shared" ref="AG85" si="110">AVERAGE(AF84,AF85)</f>
        <v>70.570208380822123</v>
      </c>
      <c r="AH85" s="12">
        <f t="shared" si="105"/>
        <v>31.7</v>
      </c>
      <c r="AI85" s="12">
        <f t="shared" si="105"/>
        <v>11.2</v>
      </c>
      <c r="AJ85" s="12">
        <f t="shared" si="105"/>
        <v>37.299999999999997</v>
      </c>
      <c r="AK85" s="12">
        <f t="shared" si="105"/>
        <v>29.9</v>
      </c>
      <c r="AL85" s="12">
        <f t="shared" si="105"/>
        <v>1.34</v>
      </c>
      <c r="AM85" s="12">
        <f t="shared" si="105"/>
        <v>15.9</v>
      </c>
      <c r="AN85" s="12">
        <f t="shared" si="105"/>
        <v>25.11</v>
      </c>
      <c r="AO85" s="12">
        <f t="shared" si="105"/>
        <v>4.4000000000000004</v>
      </c>
      <c r="AP85" s="12">
        <f t="shared" si="105"/>
        <v>43.7</v>
      </c>
      <c r="AQ85" s="12">
        <f t="shared" si="105"/>
        <v>26.89</v>
      </c>
      <c r="AR85" s="12">
        <f t="shared" si="106"/>
        <v>0.56299999999999994</v>
      </c>
      <c r="AS85" s="12">
        <f t="shared" si="106"/>
        <v>13.7</v>
      </c>
      <c r="AT85" s="12">
        <f t="shared" si="106"/>
        <v>47.6</v>
      </c>
      <c r="AU85" s="12">
        <f t="shared" si="106"/>
        <v>19.8</v>
      </c>
      <c r="AV85" s="12">
        <f t="shared" si="106"/>
        <v>77.2</v>
      </c>
      <c r="AW85" s="12">
        <f t="shared" si="106"/>
        <v>22.8</v>
      </c>
      <c r="AX85" s="12">
        <f t="shared" si="106"/>
        <v>17.600000000000001</v>
      </c>
      <c r="AY85" s="12">
        <f t="shared" si="106"/>
        <v>81.2</v>
      </c>
      <c r="AZ85" s="12">
        <f t="shared" si="106"/>
        <v>12.76</v>
      </c>
      <c r="BA85" s="12">
        <f t="shared" si="106"/>
        <v>90.1</v>
      </c>
      <c r="BB85" s="12">
        <f t="shared" si="107"/>
        <v>3.9</v>
      </c>
      <c r="BC85" s="12">
        <f t="shared" si="107"/>
        <v>39.65</v>
      </c>
      <c r="BD85" s="12">
        <f t="shared" si="107"/>
        <v>8.9</v>
      </c>
      <c r="BE85" s="12">
        <f t="shared" si="107"/>
        <v>6.9</v>
      </c>
      <c r="BF85" s="12">
        <f t="shared" si="107"/>
        <v>-0.5</v>
      </c>
      <c r="BG85" s="12">
        <f t="shared" si="107"/>
        <v>11.3</v>
      </c>
      <c r="BH85" s="12">
        <f t="shared" si="107"/>
        <v>11.8</v>
      </c>
      <c r="BI85" s="12">
        <f t="shared" si="107"/>
        <v>76.3</v>
      </c>
      <c r="BJ85" s="12">
        <f t="shared" si="107"/>
        <v>19.450000000000003</v>
      </c>
      <c r="BK85" s="12">
        <f t="shared" si="107"/>
        <v>64.390756302521012</v>
      </c>
      <c r="BL85" s="12">
        <f>INDEX(ovrTable,MATCH(INDEX(oppCol24,ROW()),ovrTeamCol,0),MATCH(MID(INDEX(headerRow,1,COLUMN()),4,LEN(INDEX(headerRow,1,COLUMN()))),ovrHeaderRow,0))</f>
        <v>32</v>
      </c>
      <c r="BM85" s="12">
        <f>INDEX(ovrTable,MATCH(INDEX(oppCol24,ROW()),ovrTeamCol,0),MATCH(MID(INDEX(headerRow,1,COLUMN()),4,LEN(INDEX(headerRow,1,COLUMN()))),ovrHeaderRow,0))</f>
        <v>7</v>
      </c>
      <c r="BN85" s="12">
        <f>INDEX(ovrTable,MATCH(INDEX(oppCol24,ROW()),ovrTeamCol,0),MATCH(MID(INDEX(headerRow,1,COLUMN()),4,LEN(INDEX(headerRow,1,COLUMN()))),ovrHeaderRow,0))</f>
        <v>33.6</v>
      </c>
      <c r="BO85" s="12">
        <f>INDEX(ovrTable,MATCH(INDEX(oppCol24,ROW()),ovrTeamCol,0),MATCH(MID(INDEX(headerRow,1,COLUMN()),4,LEN(INDEX(headerRow,1,COLUMN()))),ovrHeaderRow,0))</f>
        <v>20.8</v>
      </c>
      <c r="BP85" s="12">
        <f>INDEX(ovrTable,MATCH(INDEX(oppCol24,ROW()),ovrTeamCol,0),MATCH(MID(INDEX(headerRow,1,COLUMN()),4,LEN(INDEX(headerRow,1,COLUMN()))),ovrHeaderRow,0))</f>
        <v>0.99</v>
      </c>
      <c r="BQ85" s="12">
        <f>INDEX(ovrTable,MATCH(INDEX(oppCol24,ROW()),ovrTeamCol,0),MATCH(MID(INDEX(headerRow,1,COLUMN()),4,LEN(INDEX(headerRow,1,COLUMN()))),ovrHeaderRow,0))</f>
        <v>12.1</v>
      </c>
      <c r="BR85" s="12">
        <f>INDEX(ovrTable,MATCH(INDEX(oppCol24,ROW()),ovrTeamCol,0),MATCH(MID(INDEX(headerRow,1,COLUMN()),4,LEN(INDEX(headerRow,1,COLUMN()))),ovrHeaderRow,0))</f>
        <v>17.46</v>
      </c>
      <c r="BS85" s="12">
        <f>INDEX(ovrTable,MATCH(INDEX(oppCol24,ROW()),ovrTeamCol,0),MATCH(MID(INDEX(headerRow,1,COLUMN()),4,LEN(INDEX(headerRow,1,COLUMN()))),ovrHeaderRow,0))</f>
        <v>5.5</v>
      </c>
      <c r="BT85" s="12">
        <f>INDEX(ovrTable,MATCH(INDEX(oppCol24,ROW()),ovrTeamCol,0),MATCH(MID(INDEX(headerRow,1,COLUMN()),4,LEN(INDEX(headerRow,1,COLUMN()))),ovrHeaderRow,0))</f>
        <v>40.299999999999997</v>
      </c>
      <c r="BU85" s="12">
        <f>INDEX(ovrTable,MATCH(INDEX(oppCol24,ROW()),ovrTeamCol,0),MATCH(MID(INDEX(headerRow,1,COLUMN()),4,LEN(INDEX(headerRow,1,COLUMN()))),ovrHeaderRow,0))</f>
        <v>26.37</v>
      </c>
      <c r="BV85" s="12">
        <f>INDEX(ovrTable,MATCH(INDEX(oppCol24,ROW()),ovrTeamCol,0),MATCH(MID(INDEX(headerRow,1,COLUMN()),4,LEN(INDEX(headerRow,1,COLUMN()))),ovrHeaderRow,0))</f>
        <v>0.52100000000000002</v>
      </c>
      <c r="BW85" s="12">
        <f>INDEX(ovrTable,MATCH(INDEX(oppCol24,ROW()),ovrTeamCol,0),MATCH(MID(INDEX(headerRow,1,COLUMN()),4,LEN(INDEX(headerRow,1,COLUMN()))),ovrHeaderRow,0))</f>
        <v>11</v>
      </c>
      <c r="BX85" s="12">
        <f>INDEX(ovrTable,MATCH(INDEX(oppCol24,ROW()),ovrTeamCol,0),MATCH(MID(INDEX(headerRow,1,COLUMN()),4,LEN(INDEX(headerRow,1,COLUMN()))),ovrHeaderRow,0))</f>
        <v>46</v>
      </c>
      <c r="BY85" s="12">
        <f>INDEX(ovrTable,MATCH(INDEX(oppCol24,ROW()),ovrTeamCol,0),MATCH(MID(INDEX(headerRow,1,COLUMN()),4,LEN(INDEX(headerRow,1,COLUMN()))),ovrHeaderRow,0))</f>
        <v>17.899999999999999</v>
      </c>
      <c r="BZ85" s="12">
        <f>INDEX(ovrTable,MATCH(INDEX(oppCol24,ROW()),ovrTeamCol,0),MATCH(MID(INDEX(headerRow,1,COLUMN()),4,LEN(INDEX(headerRow,1,COLUMN()))),ovrHeaderRow,0))</f>
        <v>74.900000000000006</v>
      </c>
      <c r="CA85" s="12">
        <f>INDEX(ovrTable,MATCH(INDEX(oppCol24,ROW()),ovrTeamCol,0),MATCH(MID(INDEX(headerRow,1,COLUMN()),4,LEN(INDEX(headerRow,1,COLUMN()))),ovrHeaderRow,0))</f>
        <v>25.8</v>
      </c>
      <c r="CB85" s="12">
        <f>INDEX(ovrTable,MATCH(INDEX(oppCol24,ROW()),ovrTeamCol,0),MATCH(MID(INDEX(headerRow,1,COLUMN()),4,LEN(INDEX(headerRow,1,COLUMN()))),ovrHeaderRow,0))</f>
        <v>19.3</v>
      </c>
      <c r="CC85" s="12">
        <f>INDEX(ovrTable,MATCH(INDEX(oppCol24,ROW()),ovrTeamCol,0),MATCH(MID(INDEX(headerRow,1,COLUMN()),4,LEN(INDEX(headerRow,1,COLUMN()))),ovrHeaderRow,0))</f>
        <v>67</v>
      </c>
      <c r="CD85" s="12">
        <f>INDEX(ovrTable,MATCH(INDEX(oppCol24,ROW()),ovrTeamCol,0),MATCH(MID(INDEX(headerRow,1,COLUMN()),4,LEN(INDEX(headerRow,1,COLUMN()))),ovrHeaderRow,0))</f>
        <v>11.77</v>
      </c>
      <c r="CE85" s="12">
        <f>INDEX(ovrTable,MATCH(INDEX(oppCol24,ROW()),ovrTeamCol,0),MATCH(MID(INDEX(headerRow,1,COLUMN()),4,LEN(INDEX(headerRow,1,COLUMN()))),ovrHeaderRow,0))</f>
        <v>79.099999999999994</v>
      </c>
      <c r="CF85" s="12">
        <f>INDEX(ovrTable,MATCH(INDEX(oppCol24,ROW()),ovrTeamCol,0),MATCH(MID(INDEX(headerRow,1,COLUMN()),4,LEN(INDEX(headerRow,1,COLUMN()))),ovrHeaderRow,0))</f>
        <v>4.4000000000000004</v>
      </c>
      <c r="CG85" s="12">
        <f>INDEX(ovrTable,MATCH(INDEX(oppCol24,ROW()),ovrTeamCol,0),MATCH(MID(INDEX(headerRow,1,COLUMN()),4,LEN(INDEX(headerRow,1,COLUMN()))),ovrHeaderRow,0))</f>
        <v>38.14</v>
      </c>
      <c r="CH85" s="12">
        <f>INDEX(ovrTable,MATCH(INDEX(oppCol24,ROW()),ovrTeamCol,0),MATCH(MID(INDEX(headerRow,1,COLUMN()),4,LEN(INDEX(headerRow,1,COLUMN()))),ovrHeaderRow,0))</f>
        <v>12.1</v>
      </c>
      <c r="CI85" s="12">
        <f>INDEX(ovrTable,MATCH(INDEX(oppCol24,ROW()),ovrTeamCol,0),MATCH(MID(INDEX(headerRow,1,COLUMN()),4,LEN(INDEX(headerRow,1,COLUMN()))),ovrHeaderRow,0))</f>
        <v>8.3000000000000007</v>
      </c>
      <c r="CJ85" s="12">
        <f>INDEX(ovrTable,MATCH(INDEX(oppCol24,ROW()),ovrTeamCol,0),MATCH(MID(INDEX(headerRow,1,COLUMN()),4,LEN(INDEX(headerRow,1,COLUMN()))),ovrHeaderRow,0))</f>
        <v>1.6</v>
      </c>
      <c r="CK85" s="12">
        <f>INDEX(ovrTable,MATCH(INDEX(oppCol24,ROW()),ovrTeamCol,0),MATCH(MID(INDEX(headerRow,1,COLUMN()),4,LEN(INDEX(headerRow,1,COLUMN()))),ovrHeaderRow,0))</f>
        <v>13.91</v>
      </c>
      <c r="CL85" s="12">
        <f>INDEX(ovrTable,MATCH(INDEX(oppCol24,ROW()),ovrTeamCol,0),MATCH(MID(INDEX(headerRow,1,COLUMN()),4,LEN(INDEX(headerRow,1,COLUMN()))),ovrHeaderRow,0))</f>
        <v>12.3</v>
      </c>
      <c r="CM85" s="12">
        <f>INDEX(ovrTable,MATCH(INDEX(oppCol24,ROW()),ovrTeamCol,0),MATCH(MID(INDEX(headerRow,1,COLUMN()),4,LEN(INDEX(headerRow,1,COLUMN()))),ovrHeaderRow,0))</f>
        <v>71.8</v>
      </c>
      <c r="CN85" s="12">
        <f>INDEX(ovrTable,MATCH(INDEX(oppCol24,ROW()),ovrTeamCol,0),MATCH(MID(INDEX(headerRow,1,COLUMN()),4,LEN(INDEX(headerRow,1,COLUMN()))),ovrHeaderRow,0))</f>
        <v>19.399999999999999</v>
      </c>
      <c r="CO85" s="12">
        <f>INDEX(ovrTable,MATCH(INDEX(oppCol24,ROW()),ovrTeamCol,0),MATCH(MID(INDEX(headerRow,1,COLUMN()),4,LEN(INDEX(headerRow,1,COLUMN()))),ovrHeaderRow,0))</f>
        <v>57.391304347826086</v>
      </c>
    </row>
    <row r="86" spans="1:93" x14ac:dyDescent="0.3">
      <c r="A86" s="6" t="s">
        <v>20</v>
      </c>
      <c r="B86" s="3">
        <v>3</v>
      </c>
      <c r="C86" s="13" t="s">
        <v>23</v>
      </c>
      <c r="D86" s="14">
        <v>43</v>
      </c>
      <c r="E86" s="23">
        <v>35.294117647058826</v>
      </c>
      <c r="F86" s="24">
        <v>6</v>
      </c>
      <c r="G86" s="23">
        <v>25</v>
      </c>
      <c r="H86" s="24">
        <v>24</v>
      </c>
      <c r="I86" s="25">
        <v>0.7</v>
      </c>
      <c r="J86" s="24">
        <v>7</v>
      </c>
      <c r="K86" s="24">
        <v>2</v>
      </c>
      <c r="L86" s="24">
        <v>2</v>
      </c>
      <c r="M86" s="24">
        <v>48.9</v>
      </c>
      <c r="N86" s="24">
        <v>22</v>
      </c>
      <c r="O86" s="26">
        <v>0.44457142857142856</v>
      </c>
      <c r="P86" s="24">
        <v>7</v>
      </c>
      <c r="Q86" s="24">
        <v>38.9</v>
      </c>
      <c r="R86" s="24">
        <v>16</v>
      </c>
      <c r="S86" s="23">
        <v>61.53846153846154</v>
      </c>
      <c r="T86" s="24">
        <v>26</v>
      </c>
      <c r="U86" s="24">
        <v>16</v>
      </c>
      <c r="V86" s="24">
        <v>72</v>
      </c>
      <c r="W86" s="24">
        <v>11</v>
      </c>
      <c r="X86" s="24">
        <v>64</v>
      </c>
      <c r="Y86" s="24">
        <v>1</v>
      </c>
      <c r="Z86" s="24">
        <v>33</v>
      </c>
      <c r="AA86" s="24">
        <v>-8</v>
      </c>
      <c r="AB86" s="24">
        <v>8</v>
      </c>
      <c r="AC86" s="24">
        <v>1</v>
      </c>
      <c r="AD86" s="24">
        <v>11</v>
      </c>
      <c r="AE86" s="24">
        <v>10</v>
      </c>
      <c r="AF86" s="46">
        <f t="shared" si="85"/>
        <v>65.334575835475576</v>
      </c>
      <c r="AG86" s="51">
        <f t="shared" ref="AG86" si="111">AVERAGE(AF86,AF87)</f>
        <v>65.884670330825713</v>
      </c>
      <c r="AH86" s="12">
        <f t="shared" si="105"/>
        <v>33.6</v>
      </c>
      <c r="AI86" s="12">
        <f t="shared" si="105"/>
        <v>8.6</v>
      </c>
      <c r="AJ86" s="12">
        <f t="shared" si="105"/>
        <v>38.9</v>
      </c>
      <c r="AK86" s="12">
        <f t="shared" si="105"/>
        <v>22.1</v>
      </c>
      <c r="AL86" s="12">
        <f t="shared" si="105"/>
        <v>1.22</v>
      </c>
      <c r="AM86" s="12">
        <f t="shared" si="105"/>
        <v>14.7</v>
      </c>
      <c r="AN86" s="12">
        <f t="shared" si="105"/>
        <v>19.54</v>
      </c>
      <c r="AO86" s="12">
        <f t="shared" si="105"/>
        <v>3.1</v>
      </c>
      <c r="AP86" s="12">
        <f t="shared" si="105"/>
        <v>45.5</v>
      </c>
      <c r="AQ86" s="12">
        <f t="shared" si="105"/>
        <v>23.71</v>
      </c>
      <c r="AR86" s="12">
        <f t="shared" si="106"/>
        <v>0.55800000000000005</v>
      </c>
      <c r="AS86" s="12">
        <f t="shared" si="106"/>
        <v>8.7100000000000009</v>
      </c>
      <c r="AT86" s="12">
        <f t="shared" si="106"/>
        <v>48.3</v>
      </c>
      <c r="AU86" s="12">
        <f t="shared" si="106"/>
        <v>16.5</v>
      </c>
      <c r="AV86" s="12">
        <f t="shared" si="106"/>
        <v>73.2</v>
      </c>
      <c r="AW86" s="12">
        <f t="shared" si="106"/>
        <v>22.6</v>
      </c>
      <c r="AX86" s="12">
        <f t="shared" si="106"/>
        <v>16.5</v>
      </c>
      <c r="AY86" s="12">
        <f t="shared" si="106"/>
        <v>71.099999999999994</v>
      </c>
      <c r="AZ86" s="12">
        <f t="shared" si="106"/>
        <v>11.4</v>
      </c>
      <c r="BA86" s="12">
        <f t="shared" si="106"/>
        <v>80.400000000000006</v>
      </c>
      <c r="BB86" s="12">
        <f t="shared" si="107"/>
        <v>5.9</v>
      </c>
      <c r="BC86" s="12">
        <f t="shared" si="107"/>
        <v>35.11</v>
      </c>
      <c r="BD86" s="12">
        <f t="shared" si="107"/>
        <v>9.3000000000000007</v>
      </c>
      <c r="BE86" s="12">
        <f t="shared" si="107"/>
        <v>6.7</v>
      </c>
      <c r="BF86" s="12">
        <f t="shared" si="107"/>
        <v>-0.2</v>
      </c>
      <c r="BG86" s="12">
        <f t="shared" si="107"/>
        <v>11.83</v>
      </c>
      <c r="BH86" s="12">
        <f t="shared" si="107"/>
        <v>12</v>
      </c>
      <c r="BI86" s="12">
        <f t="shared" si="107"/>
        <v>69.5</v>
      </c>
      <c r="BJ86" s="12">
        <f t="shared" si="107"/>
        <v>19.050000000000004</v>
      </c>
      <c r="BK86" s="12">
        <f t="shared" si="107"/>
        <v>57.246376811594217</v>
      </c>
      <c r="BL86" s="12">
        <f>INDEX(ovrTable,MATCH(INDEX(oppCol24,ROW()),ovrTeamCol,0),MATCH(MID(INDEX(headerRow,1,COLUMN()),4,LEN(INDEX(headerRow,1,COLUMN()))),ovrHeaderRow,0))</f>
        <v>33.1</v>
      </c>
      <c r="BM86" s="12">
        <f>INDEX(ovrTable,MATCH(INDEX(oppCol24,ROW()),ovrTeamCol,0),MATCH(MID(INDEX(headerRow,1,COLUMN()),4,LEN(INDEX(headerRow,1,COLUMN()))),ovrHeaderRow,0))</f>
        <v>8.1999999999999993</v>
      </c>
      <c r="BN86" s="12">
        <f>INDEX(ovrTable,MATCH(INDEX(oppCol24,ROW()),ovrTeamCol,0),MATCH(MID(INDEX(headerRow,1,COLUMN()),4,LEN(INDEX(headerRow,1,COLUMN()))),ovrHeaderRow,0))</f>
        <v>35.1</v>
      </c>
      <c r="BO86" s="12">
        <f>INDEX(ovrTable,MATCH(INDEX(oppCol24,ROW()),ovrTeamCol,0),MATCH(MID(INDEX(headerRow,1,COLUMN()),4,LEN(INDEX(headerRow,1,COLUMN()))),ovrHeaderRow,0))</f>
        <v>23.4</v>
      </c>
      <c r="BP86" s="12">
        <f>INDEX(ovrTable,MATCH(INDEX(oppCol24,ROW()),ovrTeamCol,0),MATCH(MID(INDEX(headerRow,1,COLUMN()),4,LEN(INDEX(headerRow,1,COLUMN()))),ovrHeaderRow,0))</f>
        <v>1.47</v>
      </c>
      <c r="BQ86" s="12">
        <f>INDEX(ovrTable,MATCH(INDEX(oppCol24,ROW()),ovrTeamCol,0),MATCH(MID(INDEX(headerRow,1,COLUMN()),4,LEN(INDEX(headerRow,1,COLUMN()))),ovrHeaderRow,0))</f>
        <v>14.8</v>
      </c>
      <c r="BR86" s="12">
        <f>INDEX(ovrTable,MATCH(INDEX(oppCol24,ROW()),ovrTeamCol,0),MATCH(MID(INDEX(headerRow,1,COLUMN()),4,LEN(INDEX(headerRow,1,COLUMN()))),ovrHeaderRow,0))</f>
        <v>14.19</v>
      </c>
      <c r="BS86" s="12">
        <f>INDEX(ovrTable,MATCH(INDEX(oppCol24,ROW()),ovrTeamCol,0),MATCH(MID(INDEX(headerRow,1,COLUMN()),4,LEN(INDEX(headerRow,1,COLUMN()))),ovrHeaderRow,0))</f>
        <v>3.8</v>
      </c>
      <c r="BT86" s="12">
        <f>INDEX(ovrTable,MATCH(INDEX(oppCol24,ROW()),ovrTeamCol,0),MATCH(MID(INDEX(headerRow,1,COLUMN()),4,LEN(INDEX(headerRow,1,COLUMN()))),ovrHeaderRow,0))</f>
        <v>41.4</v>
      </c>
      <c r="BU86" s="12">
        <f>INDEX(ovrTable,MATCH(INDEX(oppCol24,ROW()),ovrTeamCol,0),MATCH(MID(INDEX(headerRow,1,COLUMN()),4,LEN(INDEX(headerRow,1,COLUMN()))),ovrHeaderRow,0))</f>
        <v>27.28</v>
      </c>
      <c r="BV86" s="12">
        <f>INDEX(ovrTable,MATCH(INDEX(oppCol24,ROW()),ovrTeamCol,0),MATCH(MID(INDEX(headerRow,1,COLUMN()),4,LEN(INDEX(headerRow,1,COLUMN()))),ovrHeaderRow,0))</f>
        <v>0.53900000000000003</v>
      </c>
      <c r="BW86" s="12">
        <f>INDEX(ovrTable,MATCH(INDEX(oppCol24,ROW()),ovrTeamCol,0),MATCH(MID(INDEX(headerRow,1,COLUMN()),4,LEN(INDEX(headerRow,1,COLUMN()))),ovrHeaderRow,0))</f>
        <v>6.39</v>
      </c>
      <c r="BX86" s="12">
        <f>INDEX(ovrTable,MATCH(INDEX(oppCol24,ROW()),ovrTeamCol,0),MATCH(MID(INDEX(headerRow,1,COLUMN()),4,LEN(INDEX(headerRow,1,COLUMN()))),ovrHeaderRow,0))</f>
        <v>46.9</v>
      </c>
      <c r="BY86" s="12">
        <f>INDEX(ovrTable,MATCH(INDEX(oppCol24,ROW()),ovrTeamCol,0),MATCH(MID(INDEX(headerRow,1,COLUMN()),4,LEN(INDEX(headerRow,1,COLUMN()))),ovrHeaderRow,0))</f>
        <v>16.3</v>
      </c>
      <c r="BZ86" s="12">
        <f>INDEX(ovrTable,MATCH(INDEX(oppCol24,ROW()),ovrTeamCol,0),MATCH(MID(INDEX(headerRow,1,COLUMN()),4,LEN(INDEX(headerRow,1,COLUMN()))),ovrHeaderRow,0))</f>
        <v>78</v>
      </c>
      <c r="CA86" s="12">
        <f>INDEX(ovrTable,MATCH(INDEX(oppCol24,ROW()),ovrTeamCol,0),MATCH(MID(INDEX(headerRow,1,COLUMN()),4,LEN(INDEX(headerRow,1,COLUMN()))),ovrHeaderRow,0))</f>
        <v>18.100000000000001</v>
      </c>
      <c r="CB86" s="12">
        <f>INDEX(ovrTable,MATCH(INDEX(oppCol24,ROW()),ovrTeamCol,0),MATCH(MID(INDEX(headerRow,1,COLUMN()),4,LEN(INDEX(headerRow,1,COLUMN()))),ovrHeaderRow,0))</f>
        <v>14.1</v>
      </c>
      <c r="CC86" s="12">
        <f>INDEX(ovrTable,MATCH(INDEX(oppCol24,ROW()),ovrTeamCol,0),MATCH(MID(INDEX(headerRow,1,COLUMN()),4,LEN(INDEX(headerRow,1,COLUMN()))),ovrHeaderRow,0))</f>
        <v>71.2</v>
      </c>
      <c r="CD86" s="12">
        <f>INDEX(ovrTable,MATCH(INDEX(oppCol24,ROW()),ovrTeamCol,0),MATCH(MID(INDEX(headerRow,1,COLUMN()),4,LEN(INDEX(headerRow,1,COLUMN()))),ovrHeaderRow,0))</f>
        <v>9.06</v>
      </c>
      <c r="CE86" s="12">
        <f>INDEX(ovrTable,MATCH(INDEX(oppCol24,ROW()),ovrTeamCol,0),MATCH(MID(INDEX(headerRow,1,COLUMN()),4,LEN(INDEX(headerRow,1,COLUMN()))),ovrHeaderRow,0))</f>
        <v>77.400000000000006</v>
      </c>
      <c r="CF86" s="12">
        <f>INDEX(ovrTable,MATCH(INDEX(oppCol24,ROW()),ovrTeamCol,0),MATCH(MID(INDEX(headerRow,1,COLUMN()),4,LEN(INDEX(headerRow,1,COLUMN()))),ovrHeaderRow,0))</f>
        <v>2.2999999999999998</v>
      </c>
      <c r="CG86" s="12">
        <f>INDEX(ovrTable,MATCH(INDEX(oppCol24,ROW()),ovrTeamCol,0),MATCH(MID(INDEX(headerRow,1,COLUMN()),4,LEN(INDEX(headerRow,1,COLUMN()))),ovrHeaderRow,0))</f>
        <v>36.33</v>
      </c>
      <c r="CH86" s="12">
        <f>INDEX(ovrTable,MATCH(INDEX(oppCol24,ROW()),ovrTeamCol,0),MATCH(MID(INDEX(headerRow,1,COLUMN()),4,LEN(INDEX(headerRow,1,COLUMN()))),ovrHeaderRow,0))</f>
        <v>6.2</v>
      </c>
      <c r="CI86" s="12">
        <f>INDEX(ovrTable,MATCH(INDEX(oppCol24,ROW()),ovrTeamCol,0),MATCH(MID(INDEX(headerRow,1,COLUMN()),4,LEN(INDEX(headerRow,1,COLUMN()))),ovrHeaderRow,0))</f>
        <v>4.5999999999999996</v>
      </c>
      <c r="CJ86" s="12">
        <f>INDEX(ovrTable,MATCH(INDEX(oppCol24,ROW()),ovrTeamCol,0),MATCH(MID(INDEX(headerRow,1,COLUMN()),4,LEN(INDEX(headerRow,1,COLUMN()))),ovrHeaderRow,0))</f>
        <v>-0.6</v>
      </c>
      <c r="CK86" s="12">
        <f>INDEX(ovrTable,MATCH(INDEX(oppCol24,ROW()),ovrTeamCol,0),MATCH(MID(INDEX(headerRow,1,COLUMN()),4,LEN(INDEX(headerRow,1,COLUMN()))),ovrHeaderRow,0))</f>
        <v>9.4700000000000006</v>
      </c>
      <c r="CL86" s="12">
        <f>INDEX(ovrTable,MATCH(INDEX(oppCol24,ROW()),ovrTeamCol,0),MATCH(MID(INDEX(headerRow,1,COLUMN()),4,LEN(INDEX(headerRow,1,COLUMN()))),ovrHeaderRow,0))</f>
        <v>10.1</v>
      </c>
      <c r="CM86" s="12">
        <f>INDEX(ovrTable,MATCH(INDEX(oppCol24,ROW()),ovrTeamCol,0),MATCH(MID(INDEX(headerRow,1,COLUMN()),4,LEN(INDEX(headerRow,1,COLUMN()))),ovrHeaderRow,0))</f>
        <v>69.7</v>
      </c>
      <c r="CN86" s="12">
        <f>INDEX(ovrTable,MATCH(INDEX(oppCol24,ROW()),ovrTeamCol,0),MATCH(MID(INDEX(headerRow,1,COLUMN()),4,LEN(INDEX(headerRow,1,COLUMN()))),ovrHeaderRow,0))</f>
        <v>19.350000000000001</v>
      </c>
      <c r="CO86" s="12">
        <f>INDEX(ovrTable,MATCH(INDEX(oppCol24,ROW()),ovrTeamCol,0),MATCH(MID(INDEX(headerRow,1,COLUMN()),4,LEN(INDEX(headerRow,1,COLUMN()))),ovrHeaderRow,0))</f>
        <v>58.742004264392328</v>
      </c>
    </row>
    <row r="87" spans="1:93" x14ac:dyDescent="0.3">
      <c r="A87" s="6" t="s">
        <v>23</v>
      </c>
      <c r="B87" s="3">
        <v>6</v>
      </c>
      <c r="C87" s="13" t="s">
        <v>20</v>
      </c>
      <c r="D87" s="14">
        <v>43</v>
      </c>
      <c r="E87" s="23">
        <v>25</v>
      </c>
      <c r="F87" s="24">
        <v>6</v>
      </c>
      <c r="G87" s="23">
        <v>35.294117647058826</v>
      </c>
      <c r="H87" s="24">
        <v>17</v>
      </c>
      <c r="I87" s="25">
        <v>1.4545454545454546</v>
      </c>
      <c r="J87" s="24">
        <v>16</v>
      </c>
      <c r="K87" s="24">
        <v>10</v>
      </c>
      <c r="L87" s="24">
        <v>4</v>
      </c>
      <c r="M87" s="24">
        <v>38.9</v>
      </c>
      <c r="N87" s="24">
        <v>29</v>
      </c>
      <c r="O87" s="26">
        <v>0.5527826086956521</v>
      </c>
      <c r="P87" s="24">
        <v>7</v>
      </c>
      <c r="Q87" s="24">
        <v>48.9</v>
      </c>
      <c r="R87" s="24">
        <v>21</v>
      </c>
      <c r="S87" s="23">
        <v>83.333333333333343</v>
      </c>
      <c r="T87" s="24">
        <v>24</v>
      </c>
      <c r="U87" s="24">
        <v>20</v>
      </c>
      <c r="V87" s="24">
        <v>64</v>
      </c>
      <c r="W87" s="24">
        <v>3</v>
      </c>
      <c r="X87" s="24">
        <v>72</v>
      </c>
      <c r="Y87" s="24">
        <v>-1</v>
      </c>
      <c r="Z87" s="24">
        <v>32</v>
      </c>
      <c r="AA87" s="24">
        <v>8</v>
      </c>
      <c r="AB87" s="24">
        <v>4</v>
      </c>
      <c r="AC87" s="24">
        <v>-1</v>
      </c>
      <c r="AD87" s="24">
        <v>10</v>
      </c>
      <c r="AE87" s="24">
        <v>11</v>
      </c>
      <c r="AF87" s="46">
        <f t="shared" si="85"/>
        <v>66.434764826175865</v>
      </c>
      <c r="AG87" s="51">
        <f t="shared" ref="AG87" si="112">AVERAGE(AF86,AF87)</f>
        <v>65.884670330825713</v>
      </c>
      <c r="AH87" s="12">
        <f t="shared" si="105"/>
        <v>33.1</v>
      </c>
      <c r="AI87" s="12">
        <f t="shared" si="105"/>
        <v>8.1999999999999993</v>
      </c>
      <c r="AJ87" s="12">
        <f t="shared" si="105"/>
        <v>35.1</v>
      </c>
      <c r="AK87" s="12">
        <f t="shared" si="105"/>
        <v>23.4</v>
      </c>
      <c r="AL87" s="12">
        <f t="shared" si="105"/>
        <v>1.47</v>
      </c>
      <c r="AM87" s="12">
        <f t="shared" si="105"/>
        <v>14.8</v>
      </c>
      <c r="AN87" s="12">
        <f t="shared" si="105"/>
        <v>14.19</v>
      </c>
      <c r="AO87" s="12">
        <f t="shared" si="105"/>
        <v>3.8</v>
      </c>
      <c r="AP87" s="12">
        <f t="shared" si="105"/>
        <v>41.4</v>
      </c>
      <c r="AQ87" s="12">
        <f t="shared" si="105"/>
        <v>27.28</v>
      </c>
      <c r="AR87" s="12">
        <f t="shared" si="106"/>
        <v>0.53900000000000003</v>
      </c>
      <c r="AS87" s="12">
        <f t="shared" si="106"/>
        <v>6.39</v>
      </c>
      <c r="AT87" s="12">
        <f t="shared" si="106"/>
        <v>46.9</v>
      </c>
      <c r="AU87" s="12">
        <f t="shared" si="106"/>
        <v>16.3</v>
      </c>
      <c r="AV87" s="12">
        <f t="shared" si="106"/>
        <v>78</v>
      </c>
      <c r="AW87" s="12">
        <f t="shared" si="106"/>
        <v>18.100000000000001</v>
      </c>
      <c r="AX87" s="12">
        <f t="shared" si="106"/>
        <v>14.1</v>
      </c>
      <c r="AY87" s="12">
        <f t="shared" si="106"/>
        <v>71.2</v>
      </c>
      <c r="AZ87" s="12">
        <f t="shared" si="106"/>
        <v>9.06</v>
      </c>
      <c r="BA87" s="12">
        <f t="shared" si="106"/>
        <v>77.400000000000006</v>
      </c>
      <c r="BB87" s="12">
        <f t="shared" si="107"/>
        <v>2.2999999999999998</v>
      </c>
      <c r="BC87" s="12">
        <f t="shared" si="107"/>
        <v>36.33</v>
      </c>
      <c r="BD87" s="12">
        <f t="shared" si="107"/>
        <v>6.2</v>
      </c>
      <c r="BE87" s="12">
        <f t="shared" si="107"/>
        <v>4.5999999999999996</v>
      </c>
      <c r="BF87" s="12">
        <f t="shared" si="107"/>
        <v>-0.6</v>
      </c>
      <c r="BG87" s="12">
        <f t="shared" si="107"/>
        <v>9.4700000000000006</v>
      </c>
      <c r="BH87" s="12">
        <f t="shared" si="107"/>
        <v>10.1</v>
      </c>
      <c r="BI87" s="12">
        <f t="shared" si="107"/>
        <v>69.7</v>
      </c>
      <c r="BJ87" s="12">
        <f t="shared" si="107"/>
        <v>19.350000000000001</v>
      </c>
      <c r="BK87" s="12">
        <f t="shared" si="107"/>
        <v>58.742004264392328</v>
      </c>
      <c r="BL87" s="12">
        <f>INDEX(ovrTable,MATCH(INDEX(oppCol24,ROW()),ovrTeamCol,0),MATCH(MID(INDEX(headerRow,1,COLUMN()),4,LEN(INDEX(headerRow,1,COLUMN()))),ovrHeaderRow,0))</f>
        <v>33.6</v>
      </c>
      <c r="BM87" s="12">
        <f>INDEX(ovrTable,MATCH(INDEX(oppCol24,ROW()),ovrTeamCol,0),MATCH(MID(INDEX(headerRow,1,COLUMN()),4,LEN(INDEX(headerRow,1,COLUMN()))),ovrHeaderRow,0))</f>
        <v>8.6</v>
      </c>
      <c r="BN87" s="12">
        <f>INDEX(ovrTable,MATCH(INDEX(oppCol24,ROW()),ovrTeamCol,0),MATCH(MID(INDEX(headerRow,1,COLUMN()),4,LEN(INDEX(headerRow,1,COLUMN()))),ovrHeaderRow,0))</f>
        <v>38.9</v>
      </c>
      <c r="BO87" s="12">
        <f>INDEX(ovrTable,MATCH(INDEX(oppCol24,ROW()),ovrTeamCol,0),MATCH(MID(INDEX(headerRow,1,COLUMN()),4,LEN(INDEX(headerRow,1,COLUMN()))),ovrHeaderRow,0))</f>
        <v>22.1</v>
      </c>
      <c r="BP87" s="12">
        <f>INDEX(ovrTable,MATCH(INDEX(oppCol24,ROW()),ovrTeamCol,0),MATCH(MID(INDEX(headerRow,1,COLUMN()),4,LEN(INDEX(headerRow,1,COLUMN()))),ovrHeaderRow,0))</f>
        <v>1.22</v>
      </c>
      <c r="BQ87" s="12">
        <f>INDEX(ovrTable,MATCH(INDEX(oppCol24,ROW()),ovrTeamCol,0),MATCH(MID(INDEX(headerRow,1,COLUMN()),4,LEN(INDEX(headerRow,1,COLUMN()))),ovrHeaderRow,0))</f>
        <v>14.7</v>
      </c>
      <c r="BR87" s="12">
        <f>INDEX(ovrTable,MATCH(INDEX(oppCol24,ROW()),ovrTeamCol,0),MATCH(MID(INDEX(headerRow,1,COLUMN()),4,LEN(INDEX(headerRow,1,COLUMN()))),ovrHeaderRow,0))</f>
        <v>19.54</v>
      </c>
      <c r="BS87" s="12">
        <f>INDEX(ovrTable,MATCH(INDEX(oppCol24,ROW()),ovrTeamCol,0),MATCH(MID(INDEX(headerRow,1,COLUMN()),4,LEN(INDEX(headerRow,1,COLUMN()))),ovrHeaderRow,0))</f>
        <v>3.1</v>
      </c>
      <c r="BT87" s="12">
        <f>INDEX(ovrTable,MATCH(INDEX(oppCol24,ROW()),ovrTeamCol,0),MATCH(MID(INDEX(headerRow,1,COLUMN()),4,LEN(INDEX(headerRow,1,COLUMN()))),ovrHeaderRow,0))</f>
        <v>45.5</v>
      </c>
      <c r="BU87" s="12">
        <f>INDEX(ovrTable,MATCH(INDEX(oppCol24,ROW()),ovrTeamCol,0),MATCH(MID(INDEX(headerRow,1,COLUMN()),4,LEN(INDEX(headerRow,1,COLUMN()))),ovrHeaderRow,0))</f>
        <v>23.71</v>
      </c>
      <c r="BV87" s="12">
        <f>INDEX(ovrTable,MATCH(INDEX(oppCol24,ROW()),ovrTeamCol,0),MATCH(MID(INDEX(headerRow,1,COLUMN()),4,LEN(INDEX(headerRow,1,COLUMN()))),ovrHeaderRow,0))</f>
        <v>0.55800000000000005</v>
      </c>
      <c r="BW87" s="12">
        <f>INDEX(ovrTable,MATCH(INDEX(oppCol24,ROW()),ovrTeamCol,0),MATCH(MID(INDEX(headerRow,1,COLUMN()),4,LEN(INDEX(headerRow,1,COLUMN()))),ovrHeaderRow,0))</f>
        <v>8.7100000000000009</v>
      </c>
      <c r="BX87" s="12">
        <f>INDEX(ovrTable,MATCH(INDEX(oppCol24,ROW()),ovrTeamCol,0),MATCH(MID(INDEX(headerRow,1,COLUMN()),4,LEN(INDEX(headerRow,1,COLUMN()))),ovrHeaderRow,0))</f>
        <v>48.3</v>
      </c>
      <c r="BY87" s="12">
        <f>INDEX(ovrTable,MATCH(INDEX(oppCol24,ROW()),ovrTeamCol,0),MATCH(MID(INDEX(headerRow,1,COLUMN()),4,LEN(INDEX(headerRow,1,COLUMN()))),ovrHeaderRow,0))</f>
        <v>16.5</v>
      </c>
      <c r="BZ87" s="12">
        <f>INDEX(ovrTable,MATCH(INDEX(oppCol24,ROW()),ovrTeamCol,0),MATCH(MID(INDEX(headerRow,1,COLUMN()),4,LEN(INDEX(headerRow,1,COLUMN()))),ovrHeaderRow,0))</f>
        <v>73.2</v>
      </c>
      <c r="CA87" s="12">
        <f>INDEX(ovrTable,MATCH(INDEX(oppCol24,ROW()),ovrTeamCol,0),MATCH(MID(INDEX(headerRow,1,COLUMN()),4,LEN(INDEX(headerRow,1,COLUMN()))),ovrHeaderRow,0))</f>
        <v>22.6</v>
      </c>
      <c r="CB87" s="12">
        <f>INDEX(ovrTable,MATCH(INDEX(oppCol24,ROW()),ovrTeamCol,0),MATCH(MID(INDEX(headerRow,1,COLUMN()),4,LEN(INDEX(headerRow,1,COLUMN()))),ovrHeaderRow,0))</f>
        <v>16.5</v>
      </c>
      <c r="CC87" s="12">
        <f>INDEX(ovrTable,MATCH(INDEX(oppCol24,ROW()),ovrTeamCol,0),MATCH(MID(INDEX(headerRow,1,COLUMN()),4,LEN(INDEX(headerRow,1,COLUMN()))),ovrHeaderRow,0))</f>
        <v>71.099999999999994</v>
      </c>
      <c r="CD87" s="12">
        <f>INDEX(ovrTable,MATCH(INDEX(oppCol24,ROW()),ovrTeamCol,0),MATCH(MID(INDEX(headerRow,1,COLUMN()),4,LEN(INDEX(headerRow,1,COLUMN()))),ovrHeaderRow,0))</f>
        <v>11.4</v>
      </c>
      <c r="CE87" s="12">
        <f>INDEX(ovrTable,MATCH(INDEX(oppCol24,ROW()),ovrTeamCol,0),MATCH(MID(INDEX(headerRow,1,COLUMN()),4,LEN(INDEX(headerRow,1,COLUMN()))),ovrHeaderRow,0))</f>
        <v>80.400000000000006</v>
      </c>
      <c r="CF87" s="12">
        <f>INDEX(ovrTable,MATCH(INDEX(oppCol24,ROW()),ovrTeamCol,0),MATCH(MID(INDEX(headerRow,1,COLUMN()),4,LEN(INDEX(headerRow,1,COLUMN()))),ovrHeaderRow,0))</f>
        <v>5.9</v>
      </c>
      <c r="CG87" s="12">
        <f>INDEX(ovrTable,MATCH(INDEX(oppCol24,ROW()),ovrTeamCol,0),MATCH(MID(INDEX(headerRow,1,COLUMN()),4,LEN(INDEX(headerRow,1,COLUMN()))),ovrHeaderRow,0))</f>
        <v>35.11</v>
      </c>
      <c r="CH87" s="12">
        <f>INDEX(ovrTable,MATCH(INDEX(oppCol24,ROW()),ovrTeamCol,0),MATCH(MID(INDEX(headerRow,1,COLUMN()),4,LEN(INDEX(headerRow,1,COLUMN()))),ovrHeaderRow,0))</f>
        <v>9.3000000000000007</v>
      </c>
      <c r="CI87" s="12">
        <f>INDEX(ovrTable,MATCH(INDEX(oppCol24,ROW()),ovrTeamCol,0),MATCH(MID(INDEX(headerRow,1,COLUMN()),4,LEN(INDEX(headerRow,1,COLUMN()))),ovrHeaderRow,0))</f>
        <v>6.7</v>
      </c>
      <c r="CJ87" s="12">
        <f>INDEX(ovrTable,MATCH(INDEX(oppCol24,ROW()),ovrTeamCol,0),MATCH(MID(INDEX(headerRow,1,COLUMN()),4,LEN(INDEX(headerRow,1,COLUMN()))),ovrHeaderRow,0))</f>
        <v>-0.2</v>
      </c>
      <c r="CK87" s="12">
        <f>INDEX(ovrTable,MATCH(INDEX(oppCol24,ROW()),ovrTeamCol,0),MATCH(MID(INDEX(headerRow,1,COLUMN()),4,LEN(INDEX(headerRow,1,COLUMN()))),ovrHeaderRow,0))</f>
        <v>11.83</v>
      </c>
      <c r="CL87" s="12">
        <f>INDEX(ovrTable,MATCH(INDEX(oppCol24,ROW()),ovrTeamCol,0),MATCH(MID(INDEX(headerRow,1,COLUMN()),4,LEN(INDEX(headerRow,1,COLUMN()))),ovrHeaderRow,0))</f>
        <v>12</v>
      </c>
      <c r="CM87" s="12">
        <f>INDEX(ovrTable,MATCH(INDEX(oppCol24,ROW()),ovrTeamCol,0),MATCH(MID(INDEX(headerRow,1,COLUMN()),4,LEN(INDEX(headerRow,1,COLUMN()))),ovrHeaderRow,0))</f>
        <v>69.5</v>
      </c>
      <c r="CN87" s="12">
        <f>INDEX(ovrTable,MATCH(INDEX(oppCol24,ROW()),ovrTeamCol,0),MATCH(MID(INDEX(headerRow,1,COLUMN()),4,LEN(INDEX(headerRow,1,COLUMN()))),ovrHeaderRow,0))</f>
        <v>19.050000000000004</v>
      </c>
      <c r="CO87" s="12">
        <f>INDEX(ovrTable,MATCH(INDEX(oppCol24,ROW()),ovrTeamCol,0),MATCH(MID(INDEX(headerRow,1,COLUMN()),4,LEN(INDEX(headerRow,1,COLUMN()))),ovrHeaderRow,0))</f>
        <v>57.246376811594217</v>
      </c>
    </row>
    <row r="88" spans="1:93" x14ac:dyDescent="0.3">
      <c r="A88" s="6" t="s">
        <v>24</v>
      </c>
      <c r="B88" s="3">
        <v>7</v>
      </c>
      <c r="C88" s="13" t="s">
        <v>19</v>
      </c>
      <c r="D88" s="14">
        <v>44</v>
      </c>
      <c r="E88" s="23">
        <v>44.444444444444443</v>
      </c>
      <c r="F88" s="24">
        <v>7</v>
      </c>
      <c r="G88" s="23">
        <v>29.166666666666668</v>
      </c>
      <c r="H88" s="24">
        <v>24</v>
      </c>
      <c r="I88" s="25">
        <v>0.6428571428571429</v>
      </c>
      <c r="J88" s="24">
        <v>9</v>
      </c>
      <c r="K88" s="24">
        <v>2</v>
      </c>
      <c r="L88" s="24">
        <v>3</v>
      </c>
      <c r="M88" s="24">
        <v>52.8</v>
      </c>
      <c r="N88" s="24">
        <v>23</v>
      </c>
      <c r="O88" s="26">
        <v>0.46635416666666663</v>
      </c>
      <c r="P88" s="24">
        <v>6</v>
      </c>
      <c r="Q88" s="24">
        <v>40.700000000000003</v>
      </c>
      <c r="R88" s="24">
        <v>17</v>
      </c>
      <c r="S88" s="23">
        <v>86.666666666666671</v>
      </c>
      <c r="T88" s="24">
        <v>15</v>
      </c>
      <c r="U88" s="24">
        <v>13</v>
      </c>
      <c r="V88" s="24">
        <v>78</v>
      </c>
      <c r="W88" s="24">
        <v>8</v>
      </c>
      <c r="X88" s="24">
        <v>68</v>
      </c>
      <c r="Y88" s="24">
        <v>-4</v>
      </c>
      <c r="Z88" s="24">
        <v>31</v>
      </c>
      <c r="AA88" s="24">
        <v>-10</v>
      </c>
      <c r="AB88" s="24">
        <v>8</v>
      </c>
      <c r="AC88" s="24">
        <v>1</v>
      </c>
      <c r="AD88" s="24">
        <v>15</v>
      </c>
      <c r="AE88" s="24">
        <v>14</v>
      </c>
      <c r="AF88" s="46">
        <f t="shared" si="85"/>
        <v>72.093058968058969</v>
      </c>
      <c r="AG88" s="51">
        <f t="shared" ref="AG88" si="113">AVERAGE(AF88,AF89)</f>
        <v>71.811680999180993</v>
      </c>
      <c r="AH88" s="12">
        <f t="shared" si="105"/>
        <v>32</v>
      </c>
      <c r="AI88" s="12">
        <f t="shared" si="105"/>
        <v>9.4</v>
      </c>
      <c r="AJ88" s="12">
        <f t="shared" si="105"/>
        <v>39.9</v>
      </c>
      <c r="AK88" s="12">
        <f t="shared" si="105"/>
        <v>23.5</v>
      </c>
      <c r="AL88" s="12">
        <f t="shared" si="105"/>
        <v>1.41</v>
      </c>
      <c r="AM88" s="12">
        <f t="shared" si="105"/>
        <v>14.6</v>
      </c>
      <c r="AN88" s="12">
        <f t="shared" si="105"/>
        <v>15.09</v>
      </c>
      <c r="AO88" s="12">
        <f t="shared" si="105"/>
        <v>3.9</v>
      </c>
      <c r="AP88" s="12">
        <f t="shared" si="105"/>
        <v>41.9</v>
      </c>
      <c r="AQ88" s="12">
        <f t="shared" si="105"/>
        <v>25.52</v>
      </c>
      <c r="AR88" s="12">
        <f t="shared" si="106"/>
        <v>0.56299999999999994</v>
      </c>
      <c r="AS88" s="12">
        <f t="shared" si="106"/>
        <v>7.24</v>
      </c>
      <c r="AT88" s="12">
        <f t="shared" si="106"/>
        <v>47.4</v>
      </c>
      <c r="AU88" s="12">
        <f t="shared" si="106"/>
        <v>13.5</v>
      </c>
      <c r="AV88" s="12">
        <f t="shared" si="106"/>
        <v>74</v>
      </c>
      <c r="AW88" s="12">
        <f t="shared" si="106"/>
        <v>19.5</v>
      </c>
      <c r="AX88" s="12">
        <f t="shared" si="106"/>
        <v>14.4</v>
      </c>
      <c r="AY88" s="12">
        <f t="shared" si="106"/>
        <v>66.5</v>
      </c>
      <c r="AZ88" s="12">
        <f t="shared" si="106"/>
        <v>8.0299999999999994</v>
      </c>
      <c r="BA88" s="12">
        <f t="shared" si="106"/>
        <v>74.2</v>
      </c>
      <c r="BB88" s="12">
        <f t="shared" si="107"/>
        <v>0.8</v>
      </c>
      <c r="BC88" s="12">
        <f t="shared" si="107"/>
        <v>33.549999999999997</v>
      </c>
      <c r="BD88" s="12">
        <f t="shared" si="107"/>
        <v>7.7</v>
      </c>
      <c r="BE88" s="12">
        <f t="shared" si="107"/>
        <v>5.5</v>
      </c>
      <c r="BF88" s="12">
        <f t="shared" si="107"/>
        <v>0</v>
      </c>
      <c r="BG88" s="12">
        <f t="shared" si="107"/>
        <v>10.36</v>
      </c>
      <c r="BH88" s="12">
        <f t="shared" si="107"/>
        <v>10.4</v>
      </c>
      <c r="BI88" s="12">
        <f t="shared" si="107"/>
        <v>66.5</v>
      </c>
      <c r="BJ88" s="12">
        <f t="shared" si="107"/>
        <v>15.8</v>
      </c>
      <c r="BK88" s="12">
        <f t="shared" si="107"/>
        <v>53.16455696202533</v>
      </c>
      <c r="BL88" s="12">
        <f>INDEX(ovrTable,MATCH(INDEX(oppCol24,ROW()),ovrTeamCol,0),MATCH(MID(INDEX(headerRow,1,COLUMN()),4,LEN(INDEX(headerRow,1,COLUMN()))),ovrHeaderRow,0))</f>
        <v>32.9</v>
      </c>
      <c r="BM88" s="12">
        <f>INDEX(ovrTable,MATCH(INDEX(oppCol24,ROW()),ovrTeamCol,0),MATCH(MID(INDEX(headerRow,1,COLUMN()),4,LEN(INDEX(headerRow,1,COLUMN()))),ovrHeaderRow,0))</f>
        <v>7.9</v>
      </c>
      <c r="BN88" s="12">
        <f>INDEX(ovrTable,MATCH(INDEX(oppCol24,ROW()),ovrTeamCol,0),MATCH(MID(INDEX(headerRow,1,COLUMN()),4,LEN(INDEX(headerRow,1,COLUMN()))),ovrHeaderRow,0))</f>
        <v>36.6</v>
      </c>
      <c r="BO88" s="12">
        <f>INDEX(ovrTable,MATCH(INDEX(oppCol24,ROW()),ovrTeamCol,0),MATCH(MID(INDEX(headerRow,1,COLUMN()),4,LEN(INDEX(headerRow,1,COLUMN()))),ovrHeaderRow,0))</f>
        <v>21.6</v>
      </c>
      <c r="BP88" s="12">
        <f>INDEX(ovrTable,MATCH(INDEX(oppCol24,ROW()),ovrTeamCol,0),MATCH(MID(INDEX(headerRow,1,COLUMN()),4,LEN(INDEX(headerRow,1,COLUMN()))),ovrHeaderRow,0))</f>
        <v>1.55</v>
      </c>
      <c r="BQ88" s="12">
        <f>INDEX(ovrTable,MATCH(INDEX(oppCol24,ROW()),ovrTeamCol,0),MATCH(MID(INDEX(headerRow,1,COLUMN()),4,LEN(INDEX(headerRow,1,COLUMN()))),ovrHeaderRow,0))</f>
        <v>18.5</v>
      </c>
      <c r="BR88" s="12">
        <f>INDEX(ovrTable,MATCH(INDEX(oppCol24,ROW()),ovrTeamCol,0),MATCH(MID(INDEX(headerRow,1,COLUMN()),4,LEN(INDEX(headerRow,1,COLUMN()))),ovrHeaderRow,0))</f>
        <v>22.86</v>
      </c>
      <c r="BS88" s="12">
        <f>INDEX(ovrTable,MATCH(INDEX(oppCol24,ROW()),ovrTeamCol,0),MATCH(MID(INDEX(headerRow,1,COLUMN()),4,LEN(INDEX(headerRow,1,COLUMN()))),ovrHeaderRow,0))</f>
        <v>3.7</v>
      </c>
      <c r="BT88" s="12">
        <f>INDEX(ovrTable,MATCH(INDEX(oppCol24,ROW()),ovrTeamCol,0),MATCH(MID(INDEX(headerRow,1,COLUMN()),4,LEN(INDEX(headerRow,1,COLUMN()))),ovrHeaderRow,0))</f>
        <v>42.1</v>
      </c>
      <c r="BU88" s="12">
        <f>INDEX(ovrTable,MATCH(INDEX(oppCol24,ROW()),ovrTeamCol,0),MATCH(MID(INDEX(headerRow,1,COLUMN()),4,LEN(INDEX(headerRow,1,COLUMN()))),ovrHeaderRow,0))</f>
        <v>29.5</v>
      </c>
      <c r="BV88" s="12">
        <f>INDEX(ovrTable,MATCH(INDEX(oppCol24,ROW()),ovrTeamCol,0),MATCH(MID(INDEX(headerRow,1,COLUMN()),4,LEN(INDEX(headerRow,1,COLUMN()))),ovrHeaderRow,0))</f>
        <v>0.54500000000000004</v>
      </c>
      <c r="BW88" s="12">
        <f>INDEX(ovrTable,MATCH(INDEX(oppCol24,ROW()),ovrTeamCol,0),MATCH(MID(INDEX(headerRow,1,COLUMN()),4,LEN(INDEX(headerRow,1,COLUMN()))),ovrHeaderRow,0))</f>
        <v>16.440000000000001</v>
      </c>
      <c r="BX88" s="12">
        <f>INDEX(ovrTable,MATCH(INDEX(oppCol24,ROW()),ovrTeamCol,0),MATCH(MID(INDEX(headerRow,1,COLUMN()),4,LEN(INDEX(headerRow,1,COLUMN()))),ovrHeaderRow,0))</f>
        <v>48.4</v>
      </c>
      <c r="BY88" s="12">
        <f>INDEX(ovrTable,MATCH(INDEX(oppCol24,ROW()),ovrTeamCol,0),MATCH(MID(INDEX(headerRow,1,COLUMN()),4,LEN(INDEX(headerRow,1,COLUMN()))),ovrHeaderRow,0))</f>
        <v>16.399999999999999</v>
      </c>
      <c r="BZ88" s="12">
        <f>INDEX(ovrTable,MATCH(INDEX(oppCol24,ROW()),ovrTeamCol,0),MATCH(MID(INDEX(headerRow,1,COLUMN()),4,LEN(INDEX(headerRow,1,COLUMN()))),ovrHeaderRow,0))</f>
        <v>71.7</v>
      </c>
      <c r="CA88" s="12">
        <f>INDEX(ovrTable,MATCH(INDEX(oppCol24,ROW()),ovrTeamCol,0),MATCH(MID(INDEX(headerRow,1,COLUMN()),4,LEN(INDEX(headerRow,1,COLUMN()))),ovrHeaderRow,0))</f>
        <v>23.4</v>
      </c>
      <c r="CB88" s="12">
        <f>INDEX(ovrTable,MATCH(INDEX(oppCol24,ROW()),ovrTeamCol,0),MATCH(MID(INDEX(headerRow,1,COLUMN()),4,LEN(INDEX(headerRow,1,COLUMN()))),ovrHeaderRow,0))</f>
        <v>16.8</v>
      </c>
      <c r="CC88" s="12">
        <f>INDEX(ovrTable,MATCH(INDEX(oppCol24,ROW()),ovrTeamCol,0),MATCH(MID(INDEX(headerRow,1,COLUMN()),4,LEN(INDEX(headerRow,1,COLUMN()))),ovrHeaderRow,0))</f>
        <v>72.099999999999994</v>
      </c>
      <c r="CD88" s="12">
        <f>INDEX(ovrTable,MATCH(INDEX(oppCol24,ROW()),ovrTeamCol,0),MATCH(MID(INDEX(headerRow,1,COLUMN()),4,LEN(INDEX(headerRow,1,COLUMN()))),ovrHeaderRow,0))</f>
        <v>13.08</v>
      </c>
      <c r="CE88" s="12">
        <f>INDEX(ovrTable,MATCH(INDEX(oppCol24,ROW()),ovrTeamCol,0),MATCH(MID(INDEX(headerRow,1,COLUMN()),4,LEN(INDEX(headerRow,1,COLUMN()))),ovrHeaderRow,0))</f>
        <v>87.1</v>
      </c>
      <c r="CF88" s="12">
        <f>INDEX(ovrTable,MATCH(INDEX(oppCol24,ROW()),ovrTeamCol,0),MATCH(MID(INDEX(headerRow,1,COLUMN()),4,LEN(INDEX(headerRow,1,COLUMN()))),ovrHeaderRow,0))</f>
        <v>9.9</v>
      </c>
      <c r="CG88" s="12">
        <f>INDEX(ovrTable,MATCH(INDEX(oppCol24,ROW()),ovrTeamCol,0),MATCH(MID(INDEX(headerRow,1,COLUMN()),4,LEN(INDEX(headerRow,1,COLUMN()))),ovrHeaderRow,0))</f>
        <v>42.58</v>
      </c>
      <c r="CH88" s="12">
        <f>INDEX(ovrTable,MATCH(INDEX(oppCol24,ROW()),ovrTeamCol,0),MATCH(MID(INDEX(headerRow,1,COLUMN()),4,LEN(INDEX(headerRow,1,COLUMN()))),ovrHeaderRow,0))</f>
        <v>15.1</v>
      </c>
      <c r="CI88" s="12">
        <f>INDEX(ovrTable,MATCH(INDEX(oppCol24,ROW()),ovrTeamCol,0),MATCH(MID(INDEX(headerRow,1,COLUMN()),4,LEN(INDEX(headerRow,1,COLUMN()))),ovrHeaderRow,0))</f>
        <v>8.3000000000000007</v>
      </c>
      <c r="CJ88" s="12">
        <f>INDEX(ovrTable,MATCH(INDEX(oppCol24,ROW()),ovrTeamCol,0),MATCH(MID(INDEX(headerRow,1,COLUMN()),4,LEN(INDEX(headerRow,1,COLUMN()))),ovrHeaderRow,0))</f>
        <v>1.5</v>
      </c>
      <c r="CK88" s="12">
        <f>INDEX(ovrTable,MATCH(INDEX(oppCol24,ROW()),ovrTeamCol,0),MATCH(MID(INDEX(headerRow,1,COLUMN()),4,LEN(INDEX(headerRow,1,COLUMN()))),ovrHeaderRow,0))</f>
        <v>13.42</v>
      </c>
      <c r="CL88" s="12">
        <f>INDEX(ovrTable,MATCH(INDEX(oppCol24,ROW()),ovrTeamCol,0),MATCH(MID(INDEX(headerRow,1,COLUMN()),4,LEN(INDEX(headerRow,1,COLUMN()))),ovrHeaderRow,0))</f>
        <v>11.9</v>
      </c>
      <c r="CM88" s="12">
        <f>INDEX(ovrTable,MATCH(INDEX(oppCol24,ROW()),ovrTeamCol,0),MATCH(MID(INDEX(headerRow,1,COLUMN()),4,LEN(INDEX(headerRow,1,COLUMN()))),ovrHeaderRow,0))</f>
        <v>76.3</v>
      </c>
      <c r="CN88" s="12">
        <f>INDEX(ovrTable,MATCH(INDEX(oppCol24,ROW()),ovrTeamCol,0),MATCH(MID(INDEX(headerRow,1,COLUMN()),4,LEN(INDEX(headerRow,1,COLUMN()))),ovrHeaderRow,0))</f>
        <v>23.299999999999997</v>
      </c>
      <c r="CO88" s="12">
        <f>INDEX(ovrTable,MATCH(INDEX(oppCol24,ROW()),ovrTeamCol,0),MATCH(MID(INDEX(headerRow,1,COLUMN()),4,LEN(INDEX(headerRow,1,COLUMN()))),ovrHeaderRow,0))</f>
        <v>64.462809917355358</v>
      </c>
    </row>
    <row r="89" spans="1:93" x14ac:dyDescent="0.3">
      <c r="A89" s="6" t="s">
        <v>19</v>
      </c>
      <c r="B89" s="3">
        <v>2</v>
      </c>
      <c r="C89" s="13" t="s">
        <v>24</v>
      </c>
      <c r="D89" s="14">
        <v>44</v>
      </c>
      <c r="E89" s="23">
        <v>29.166666666666668</v>
      </c>
      <c r="F89" s="24">
        <v>8</v>
      </c>
      <c r="G89" s="23">
        <v>44.444444444444443</v>
      </c>
      <c r="H89" s="24">
        <v>18</v>
      </c>
      <c r="I89" s="25">
        <v>1.1333333333333333</v>
      </c>
      <c r="J89" s="24">
        <v>17</v>
      </c>
      <c r="K89" s="24">
        <v>23</v>
      </c>
      <c r="L89" s="24">
        <v>6</v>
      </c>
      <c r="M89" s="24">
        <v>40.700000000000003</v>
      </c>
      <c r="N89" s="24">
        <v>29</v>
      </c>
      <c r="O89" s="26">
        <v>0.60342857142857143</v>
      </c>
      <c r="P89" s="24">
        <v>7</v>
      </c>
      <c r="Q89" s="24">
        <v>52.8</v>
      </c>
      <c r="R89" s="24">
        <v>18</v>
      </c>
      <c r="S89" s="23">
        <v>70</v>
      </c>
      <c r="T89" s="24">
        <v>20</v>
      </c>
      <c r="U89" s="24">
        <v>14</v>
      </c>
      <c r="V89" s="24">
        <v>68</v>
      </c>
      <c r="W89" s="24">
        <v>6</v>
      </c>
      <c r="X89" s="24">
        <v>78</v>
      </c>
      <c r="Y89" s="24">
        <v>4</v>
      </c>
      <c r="Z89" s="24">
        <v>35</v>
      </c>
      <c r="AA89" s="24">
        <v>10</v>
      </c>
      <c r="AB89" s="24">
        <v>9</v>
      </c>
      <c r="AC89" s="24">
        <v>-1</v>
      </c>
      <c r="AD89" s="24">
        <v>14</v>
      </c>
      <c r="AE89" s="24">
        <v>15</v>
      </c>
      <c r="AF89" s="46">
        <f t="shared" si="85"/>
        <v>71.530303030303031</v>
      </c>
      <c r="AG89" s="51">
        <f t="shared" ref="AG89" si="114">AVERAGE(AF88,AF89)</f>
        <v>71.811680999180993</v>
      </c>
      <c r="AH89" s="12">
        <f t="shared" si="105"/>
        <v>32.9</v>
      </c>
      <c r="AI89" s="12">
        <f t="shared" si="105"/>
        <v>7.9</v>
      </c>
      <c r="AJ89" s="12">
        <f t="shared" si="105"/>
        <v>36.6</v>
      </c>
      <c r="AK89" s="12">
        <f t="shared" si="105"/>
        <v>21.6</v>
      </c>
      <c r="AL89" s="12">
        <f t="shared" si="105"/>
        <v>1.55</v>
      </c>
      <c r="AM89" s="12">
        <f t="shared" si="105"/>
        <v>18.5</v>
      </c>
      <c r="AN89" s="12">
        <f t="shared" si="105"/>
        <v>22.86</v>
      </c>
      <c r="AO89" s="12">
        <f t="shared" si="105"/>
        <v>3.7</v>
      </c>
      <c r="AP89" s="12">
        <f t="shared" si="105"/>
        <v>42.1</v>
      </c>
      <c r="AQ89" s="12">
        <f t="shared" si="105"/>
        <v>29.5</v>
      </c>
      <c r="AR89" s="12">
        <f t="shared" si="106"/>
        <v>0.54500000000000004</v>
      </c>
      <c r="AS89" s="12">
        <f t="shared" si="106"/>
        <v>16.440000000000001</v>
      </c>
      <c r="AT89" s="12">
        <f t="shared" si="106"/>
        <v>48.4</v>
      </c>
      <c r="AU89" s="12">
        <f t="shared" si="106"/>
        <v>16.399999999999999</v>
      </c>
      <c r="AV89" s="12">
        <f t="shared" si="106"/>
        <v>71.7</v>
      </c>
      <c r="AW89" s="12">
        <f t="shared" si="106"/>
        <v>23.4</v>
      </c>
      <c r="AX89" s="12">
        <f t="shared" si="106"/>
        <v>16.8</v>
      </c>
      <c r="AY89" s="12">
        <f t="shared" si="106"/>
        <v>72.099999999999994</v>
      </c>
      <c r="AZ89" s="12">
        <f t="shared" si="106"/>
        <v>13.08</v>
      </c>
      <c r="BA89" s="12">
        <f t="shared" si="106"/>
        <v>87.1</v>
      </c>
      <c r="BB89" s="12">
        <f t="shared" si="107"/>
        <v>9.9</v>
      </c>
      <c r="BC89" s="12">
        <f t="shared" si="107"/>
        <v>42.58</v>
      </c>
      <c r="BD89" s="12">
        <f t="shared" si="107"/>
        <v>15.1</v>
      </c>
      <c r="BE89" s="12">
        <f t="shared" si="107"/>
        <v>8.3000000000000007</v>
      </c>
      <c r="BF89" s="12">
        <f t="shared" si="107"/>
        <v>1.5</v>
      </c>
      <c r="BG89" s="12">
        <f t="shared" si="107"/>
        <v>13.42</v>
      </c>
      <c r="BH89" s="12">
        <f t="shared" si="107"/>
        <v>11.9</v>
      </c>
      <c r="BI89" s="12">
        <f t="shared" si="107"/>
        <v>76.3</v>
      </c>
      <c r="BJ89" s="12">
        <f t="shared" si="107"/>
        <v>23.299999999999997</v>
      </c>
      <c r="BK89" s="12">
        <f t="shared" si="107"/>
        <v>64.462809917355358</v>
      </c>
      <c r="BL89" s="12">
        <f>INDEX(ovrTable,MATCH(INDEX(oppCol24,ROW()),ovrTeamCol,0),MATCH(MID(INDEX(headerRow,1,COLUMN()),4,LEN(INDEX(headerRow,1,COLUMN()))),ovrHeaderRow,0))</f>
        <v>32</v>
      </c>
      <c r="BM89" s="12">
        <f>INDEX(ovrTable,MATCH(INDEX(oppCol24,ROW()),ovrTeamCol,0),MATCH(MID(INDEX(headerRow,1,COLUMN()),4,LEN(INDEX(headerRow,1,COLUMN()))),ovrHeaderRow,0))</f>
        <v>9.4</v>
      </c>
      <c r="BN89" s="12">
        <f>INDEX(ovrTable,MATCH(INDEX(oppCol24,ROW()),ovrTeamCol,0),MATCH(MID(INDEX(headerRow,1,COLUMN()),4,LEN(INDEX(headerRow,1,COLUMN()))),ovrHeaderRow,0))</f>
        <v>39.9</v>
      </c>
      <c r="BO89" s="12">
        <f>INDEX(ovrTable,MATCH(INDEX(oppCol24,ROW()),ovrTeamCol,0),MATCH(MID(INDEX(headerRow,1,COLUMN()),4,LEN(INDEX(headerRow,1,COLUMN()))),ovrHeaderRow,0))</f>
        <v>23.5</v>
      </c>
      <c r="BP89" s="12">
        <f>INDEX(ovrTable,MATCH(INDEX(oppCol24,ROW()),ovrTeamCol,0),MATCH(MID(INDEX(headerRow,1,COLUMN()),4,LEN(INDEX(headerRow,1,COLUMN()))),ovrHeaderRow,0))</f>
        <v>1.41</v>
      </c>
      <c r="BQ89" s="12">
        <f>INDEX(ovrTable,MATCH(INDEX(oppCol24,ROW()),ovrTeamCol,0),MATCH(MID(INDEX(headerRow,1,COLUMN()),4,LEN(INDEX(headerRow,1,COLUMN()))),ovrHeaderRow,0))</f>
        <v>14.6</v>
      </c>
      <c r="BR89" s="12">
        <f>INDEX(ovrTable,MATCH(INDEX(oppCol24,ROW()),ovrTeamCol,0),MATCH(MID(INDEX(headerRow,1,COLUMN()),4,LEN(INDEX(headerRow,1,COLUMN()))),ovrHeaderRow,0))</f>
        <v>15.09</v>
      </c>
      <c r="BS89" s="12">
        <f>INDEX(ovrTable,MATCH(INDEX(oppCol24,ROW()),ovrTeamCol,0),MATCH(MID(INDEX(headerRow,1,COLUMN()),4,LEN(INDEX(headerRow,1,COLUMN()))),ovrHeaderRow,0))</f>
        <v>3.9</v>
      </c>
      <c r="BT89" s="12">
        <f>INDEX(ovrTable,MATCH(INDEX(oppCol24,ROW()),ovrTeamCol,0),MATCH(MID(INDEX(headerRow,1,COLUMN()),4,LEN(INDEX(headerRow,1,COLUMN()))),ovrHeaderRow,0))</f>
        <v>41.9</v>
      </c>
      <c r="BU89" s="12">
        <f>INDEX(ovrTable,MATCH(INDEX(oppCol24,ROW()),ovrTeamCol,0),MATCH(MID(INDEX(headerRow,1,COLUMN()),4,LEN(INDEX(headerRow,1,COLUMN()))),ovrHeaderRow,0))</f>
        <v>25.52</v>
      </c>
      <c r="BV89" s="12">
        <f>INDEX(ovrTable,MATCH(INDEX(oppCol24,ROW()),ovrTeamCol,0),MATCH(MID(INDEX(headerRow,1,COLUMN()),4,LEN(INDEX(headerRow,1,COLUMN()))),ovrHeaderRow,0))</f>
        <v>0.56299999999999994</v>
      </c>
      <c r="BW89" s="12">
        <f>INDEX(ovrTable,MATCH(INDEX(oppCol24,ROW()),ovrTeamCol,0),MATCH(MID(INDEX(headerRow,1,COLUMN()),4,LEN(INDEX(headerRow,1,COLUMN()))),ovrHeaderRow,0))</f>
        <v>7.24</v>
      </c>
      <c r="BX89" s="12">
        <f>INDEX(ovrTable,MATCH(INDEX(oppCol24,ROW()),ovrTeamCol,0),MATCH(MID(INDEX(headerRow,1,COLUMN()),4,LEN(INDEX(headerRow,1,COLUMN()))),ovrHeaderRow,0))</f>
        <v>47.4</v>
      </c>
      <c r="BY89" s="12">
        <f>INDEX(ovrTable,MATCH(INDEX(oppCol24,ROW()),ovrTeamCol,0),MATCH(MID(INDEX(headerRow,1,COLUMN()),4,LEN(INDEX(headerRow,1,COLUMN()))),ovrHeaderRow,0))</f>
        <v>13.5</v>
      </c>
      <c r="BZ89" s="12">
        <f>INDEX(ovrTable,MATCH(INDEX(oppCol24,ROW()),ovrTeamCol,0),MATCH(MID(INDEX(headerRow,1,COLUMN()),4,LEN(INDEX(headerRow,1,COLUMN()))),ovrHeaderRow,0))</f>
        <v>74</v>
      </c>
      <c r="CA89" s="12">
        <f>INDEX(ovrTable,MATCH(INDEX(oppCol24,ROW()),ovrTeamCol,0),MATCH(MID(INDEX(headerRow,1,COLUMN()),4,LEN(INDEX(headerRow,1,COLUMN()))),ovrHeaderRow,0))</f>
        <v>19.5</v>
      </c>
      <c r="CB89" s="12">
        <f>INDEX(ovrTable,MATCH(INDEX(oppCol24,ROW()),ovrTeamCol,0),MATCH(MID(INDEX(headerRow,1,COLUMN()),4,LEN(INDEX(headerRow,1,COLUMN()))),ovrHeaderRow,0))</f>
        <v>14.4</v>
      </c>
      <c r="CC89" s="12">
        <f>INDEX(ovrTable,MATCH(INDEX(oppCol24,ROW()),ovrTeamCol,0),MATCH(MID(INDEX(headerRow,1,COLUMN()),4,LEN(INDEX(headerRow,1,COLUMN()))),ovrHeaderRow,0))</f>
        <v>66.5</v>
      </c>
      <c r="CD89" s="12">
        <f>INDEX(ovrTable,MATCH(INDEX(oppCol24,ROW()),ovrTeamCol,0),MATCH(MID(INDEX(headerRow,1,COLUMN()),4,LEN(INDEX(headerRow,1,COLUMN()))),ovrHeaderRow,0))</f>
        <v>8.0299999999999994</v>
      </c>
      <c r="CE89" s="12">
        <f>INDEX(ovrTable,MATCH(INDEX(oppCol24,ROW()),ovrTeamCol,0),MATCH(MID(INDEX(headerRow,1,COLUMN()),4,LEN(INDEX(headerRow,1,COLUMN()))),ovrHeaderRow,0))</f>
        <v>74.2</v>
      </c>
      <c r="CF89" s="12">
        <f>INDEX(ovrTable,MATCH(INDEX(oppCol24,ROW()),ovrTeamCol,0),MATCH(MID(INDEX(headerRow,1,COLUMN()),4,LEN(INDEX(headerRow,1,COLUMN()))),ovrHeaderRow,0))</f>
        <v>0.8</v>
      </c>
      <c r="CG89" s="12">
        <f>INDEX(ovrTable,MATCH(INDEX(oppCol24,ROW()),ovrTeamCol,0),MATCH(MID(INDEX(headerRow,1,COLUMN()),4,LEN(INDEX(headerRow,1,COLUMN()))),ovrHeaderRow,0))</f>
        <v>33.549999999999997</v>
      </c>
      <c r="CH89" s="12">
        <f>INDEX(ovrTable,MATCH(INDEX(oppCol24,ROW()),ovrTeamCol,0),MATCH(MID(INDEX(headerRow,1,COLUMN()),4,LEN(INDEX(headerRow,1,COLUMN()))),ovrHeaderRow,0))</f>
        <v>7.7</v>
      </c>
      <c r="CI89" s="12">
        <f>INDEX(ovrTable,MATCH(INDEX(oppCol24,ROW()),ovrTeamCol,0),MATCH(MID(INDEX(headerRow,1,COLUMN()),4,LEN(INDEX(headerRow,1,COLUMN()))),ovrHeaderRow,0))</f>
        <v>5.5</v>
      </c>
      <c r="CJ89" s="12">
        <f>INDEX(ovrTable,MATCH(INDEX(oppCol24,ROW()),ovrTeamCol,0),MATCH(MID(INDEX(headerRow,1,COLUMN()),4,LEN(INDEX(headerRow,1,COLUMN()))),ovrHeaderRow,0))</f>
        <v>0</v>
      </c>
      <c r="CK89" s="12">
        <f>INDEX(ovrTable,MATCH(INDEX(oppCol24,ROW()),ovrTeamCol,0),MATCH(MID(INDEX(headerRow,1,COLUMN()),4,LEN(INDEX(headerRow,1,COLUMN()))),ovrHeaderRow,0))</f>
        <v>10.36</v>
      </c>
      <c r="CL89" s="12">
        <f>INDEX(ovrTable,MATCH(INDEX(oppCol24,ROW()),ovrTeamCol,0),MATCH(MID(INDEX(headerRow,1,COLUMN()),4,LEN(INDEX(headerRow,1,COLUMN()))),ovrHeaderRow,0))</f>
        <v>10.4</v>
      </c>
      <c r="CM89" s="12">
        <f>INDEX(ovrTable,MATCH(INDEX(oppCol24,ROW()),ovrTeamCol,0),MATCH(MID(INDEX(headerRow,1,COLUMN()),4,LEN(INDEX(headerRow,1,COLUMN()))),ovrHeaderRow,0))</f>
        <v>66.5</v>
      </c>
      <c r="CN89" s="12">
        <f>INDEX(ovrTable,MATCH(INDEX(oppCol24,ROW()),ovrTeamCol,0),MATCH(MID(INDEX(headerRow,1,COLUMN()),4,LEN(INDEX(headerRow,1,COLUMN()))),ovrHeaderRow,0))</f>
        <v>15.8</v>
      </c>
      <c r="CO89" s="12">
        <f>INDEX(ovrTable,MATCH(INDEX(oppCol24,ROW()),ovrTeamCol,0),MATCH(MID(INDEX(headerRow,1,COLUMN()),4,LEN(INDEX(headerRow,1,COLUMN()))),ovrHeaderRow,0))</f>
        <v>53.16455696202533</v>
      </c>
    </row>
    <row r="90" spans="1:93" x14ac:dyDescent="0.3">
      <c r="A90" s="6" t="s">
        <v>43</v>
      </c>
      <c r="B90" s="3">
        <v>9</v>
      </c>
      <c r="C90" s="13" t="s">
        <v>51</v>
      </c>
      <c r="D90" s="14">
        <v>45</v>
      </c>
      <c r="E90" s="23">
        <v>32.352941176470587</v>
      </c>
      <c r="F90" s="24">
        <v>8</v>
      </c>
      <c r="G90" s="23">
        <v>34.782608695652172</v>
      </c>
      <c r="H90" s="24">
        <v>23</v>
      </c>
      <c r="I90" s="25">
        <v>1.0909090909090908</v>
      </c>
      <c r="J90" s="24">
        <v>12</v>
      </c>
      <c r="K90" s="24">
        <v>22</v>
      </c>
      <c r="L90" s="24">
        <v>4</v>
      </c>
      <c r="M90" s="24">
        <v>51.5</v>
      </c>
      <c r="N90" s="24">
        <v>23</v>
      </c>
      <c r="O90" s="26">
        <v>0.44037931034482758</v>
      </c>
      <c r="P90" s="24">
        <v>5</v>
      </c>
      <c r="Q90" s="24">
        <v>38.700000000000003</v>
      </c>
      <c r="R90" s="24">
        <v>24</v>
      </c>
      <c r="S90" s="23">
        <v>64.444444444444443</v>
      </c>
      <c r="T90" s="24">
        <v>45</v>
      </c>
      <c r="U90" s="24">
        <v>29</v>
      </c>
      <c r="V90" s="24">
        <v>100</v>
      </c>
      <c r="W90" s="24">
        <v>26</v>
      </c>
      <c r="X90" s="24">
        <v>95</v>
      </c>
      <c r="Y90" s="24">
        <v>14</v>
      </c>
      <c r="Z90" s="24">
        <v>49</v>
      </c>
      <c r="AA90" s="24">
        <v>-5</v>
      </c>
      <c r="AB90" s="24">
        <v>5</v>
      </c>
      <c r="AC90" s="24">
        <v>-1</v>
      </c>
      <c r="AD90" s="24">
        <v>10</v>
      </c>
      <c r="AE90" s="24">
        <v>11</v>
      </c>
      <c r="AF90" s="46">
        <f t="shared" si="85"/>
        <v>81.310400516795852</v>
      </c>
      <c r="AG90" s="51">
        <f t="shared" ref="AG90" si="115">AVERAGE(AF90,AF91)</f>
        <v>80.289908996262</v>
      </c>
      <c r="AH90" s="12">
        <f t="shared" si="105"/>
        <v>33.799999999999997</v>
      </c>
      <c r="AI90" s="12">
        <f t="shared" si="105"/>
        <v>7.1</v>
      </c>
      <c r="AJ90" s="12">
        <f t="shared" si="105"/>
        <v>29.3</v>
      </c>
      <c r="AK90" s="12">
        <f t="shared" si="105"/>
        <v>24.1</v>
      </c>
      <c r="AL90" s="12">
        <f t="shared" si="105"/>
        <v>1.19</v>
      </c>
      <c r="AM90" s="12">
        <f t="shared" si="105"/>
        <v>11.4</v>
      </c>
      <c r="AN90" s="12">
        <f t="shared" si="105"/>
        <v>19.059999999999999</v>
      </c>
      <c r="AO90" s="12">
        <f t="shared" si="105"/>
        <v>3</v>
      </c>
      <c r="AP90" s="12">
        <f t="shared" si="105"/>
        <v>42.9</v>
      </c>
      <c r="AQ90" s="12">
        <f t="shared" si="105"/>
        <v>25.39</v>
      </c>
      <c r="AR90" s="12">
        <f t="shared" si="106"/>
        <v>0.45700000000000002</v>
      </c>
      <c r="AS90" s="12">
        <f t="shared" si="106"/>
        <v>7.25</v>
      </c>
      <c r="AT90" s="12">
        <f t="shared" si="106"/>
        <v>40.200000000000003</v>
      </c>
      <c r="AU90" s="12">
        <f t="shared" si="106"/>
        <v>17</v>
      </c>
      <c r="AV90" s="12">
        <f t="shared" si="106"/>
        <v>70.7</v>
      </c>
      <c r="AW90" s="12">
        <f t="shared" si="106"/>
        <v>24.7</v>
      </c>
      <c r="AX90" s="12">
        <f t="shared" si="106"/>
        <v>17.5</v>
      </c>
      <c r="AY90" s="12">
        <f t="shared" si="106"/>
        <v>72</v>
      </c>
      <c r="AZ90" s="12">
        <f t="shared" si="106"/>
        <v>17.420000000000002</v>
      </c>
      <c r="BA90" s="12">
        <f t="shared" si="106"/>
        <v>76</v>
      </c>
      <c r="BB90" s="12">
        <f t="shared" si="107"/>
        <v>9.1</v>
      </c>
      <c r="BC90" s="12">
        <f t="shared" si="107"/>
        <v>42.81</v>
      </c>
      <c r="BD90" s="12">
        <f t="shared" si="107"/>
        <v>4</v>
      </c>
      <c r="BE90" s="12">
        <f t="shared" si="107"/>
        <v>6.9</v>
      </c>
      <c r="BF90" s="12">
        <f t="shared" si="107"/>
        <v>1.8</v>
      </c>
      <c r="BG90" s="12">
        <f t="shared" si="107"/>
        <v>11.36</v>
      </c>
      <c r="BH90" s="12">
        <f t="shared" si="107"/>
        <v>9.6</v>
      </c>
      <c r="BI90" s="12">
        <f t="shared" si="107"/>
        <v>70</v>
      </c>
      <c r="BJ90" s="12">
        <f t="shared" si="107"/>
        <v>18.600000000000001</v>
      </c>
      <c r="BK90" s="12">
        <f t="shared" si="107"/>
        <v>63.930348258706474</v>
      </c>
      <c r="BL90" s="12">
        <f>INDEX(ovrTable,MATCH(INDEX(oppCol24,ROW()),ovrTeamCol,0),MATCH(MID(INDEX(headerRow,1,COLUMN()),4,LEN(INDEX(headerRow,1,COLUMN()))),ovrHeaderRow,0))</f>
        <v>30.1</v>
      </c>
      <c r="BM90" s="12">
        <f>INDEX(ovrTable,MATCH(INDEX(oppCol24,ROW()),ovrTeamCol,0),MATCH(MID(INDEX(headerRow,1,COLUMN()),4,LEN(INDEX(headerRow,1,COLUMN()))),ovrHeaderRow,0))</f>
        <v>7.7</v>
      </c>
      <c r="BN90" s="12">
        <f>INDEX(ovrTable,MATCH(INDEX(oppCol24,ROW()),ovrTeamCol,0),MATCH(MID(INDEX(headerRow,1,COLUMN()),4,LEN(INDEX(headerRow,1,COLUMN()))),ovrHeaderRow,0))</f>
        <v>34.799999999999997</v>
      </c>
      <c r="BO90" s="12">
        <f>INDEX(ovrTable,MATCH(INDEX(oppCol24,ROW()),ovrTeamCol,0),MATCH(MID(INDEX(headerRow,1,COLUMN()),4,LEN(INDEX(headerRow,1,COLUMN()))),ovrHeaderRow,0))</f>
        <v>22.2</v>
      </c>
      <c r="BP90" s="12">
        <f>INDEX(ovrTable,MATCH(INDEX(oppCol24,ROW()),ovrTeamCol,0),MATCH(MID(INDEX(headerRow,1,COLUMN()),4,LEN(INDEX(headerRow,1,COLUMN()))),ovrHeaderRow,0))</f>
        <v>1.47</v>
      </c>
      <c r="BQ90" s="12">
        <f>INDEX(ovrTable,MATCH(INDEX(oppCol24,ROW()),ovrTeamCol,0),MATCH(MID(INDEX(headerRow,1,COLUMN()),4,LEN(INDEX(headerRow,1,COLUMN()))),ovrHeaderRow,0))</f>
        <v>13.1</v>
      </c>
      <c r="BR90" s="12">
        <f>INDEX(ovrTable,MATCH(INDEX(oppCol24,ROW()),ovrTeamCol,0),MATCH(MID(INDEX(headerRow,1,COLUMN()),4,LEN(INDEX(headerRow,1,COLUMN()))),ovrHeaderRow,0))</f>
        <v>17.46</v>
      </c>
      <c r="BS90" s="12">
        <f>INDEX(ovrTable,MATCH(INDEX(oppCol24,ROW()),ovrTeamCol,0),MATCH(MID(INDEX(headerRow,1,COLUMN()),4,LEN(INDEX(headerRow,1,COLUMN()))),ovrHeaderRow,0))</f>
        <v>4.8</v>
      </c>
      <c r="BT90" s="12">
        <f>INDEX(ovrTable,MATCH(INDEX(oppCol24,ROW()),ovrTeamCol,0),MATCH(MID(INDEX(headerRow,1,COLUMN()),4,LEN(INDEX(headerRow,1,COLUMN()))),ovrHeaderRow,0))</f>
        <v>37.9</v>
      </c>
      <c r="BU90" s="12">
        <f>INDEX(ovrTable,MATCH(INDEX(oppCol24,ROW()),ovrTeamCol,0),MATCH(MID(INDEX(headerRow,1,COLUMN()),4,LEN(INDEX(headerRow,1,COLUMN()))),ovrHeaderRow,0))</f>
        <v>23.7</v>
      </c>
      <c r="BV90" s="12">
        <f>INDEX(ovrTable,MATCH(INDEX(oppCol24,ROW()),ovrTeamCol,0),MATCH(MID(INDEX(headerRow,1,COLUMN()),4,LEN(INDEX(headerRow,1,COLUMN()))),ovrHeaderRow,0))</f>
        <v>0.503</v>
      </c>
      <c r="BW90" s="12">
        <f>INDEX(ovrTable,MATCH(INDEX(oppCol24,ROW()),ovrTeamCol,0),MATCH(MID(INDEX(headerRow,1,COLUMN()),4,LEN(INDEX(headerRow,1,COLUMN()))),ovrHeaderRow,0))</f>
        <v>9.16</v>
      </c>
      <c r="BX90" s="12">
        <f>INDEX(ovrTable,MATCH(INDEX(oppCol24,ROW()),ovrTeamCol,0),MATCH(MID(INDEX(headerRow,1,COLUMN()),4,LEN(INDEX(headerRow,1,COLUMN()))),ovrHeaderRow,0))</f>
        <v>43.9</v>
      </c>
      <c r="BY90" s="12">
        <f>INDEX(ovrTable,MATCH(INDEX(oppCol24,ROW()),ovrTeamCol,0),MATCH(MID(INDEX(headerRow,1,COLUMN()),4,LEN(INDEX(headerRow,1,COLUMN()))),ovrHeaderRow,0))</f>
        <v>17.8</v>
      </c>
      <c r="BZ90" s="12">
        <f>INDEX(ovrTable,MATCH(INDEX(oppCol24,ROW()),ovrTeamCol,0),MATCH(MID(INDEX(headerRow,1,COLUMN()),4,LEN(INDEX(headerRow,1,COLUMN()))),ovrHeaderRow,0))</f>
        <v>68.7</v>
      </c>
      <c r="CA90" s="12">
        <f>INDEX(ovrTable,MATCH(INDEX(oppCol24,ROW()),ovrTeamCol,0),MATCH(MID(INDEX(headerRow,1,COLUMN()),4,LEN(INDEX(headerRow,1,COLUMN()))),ovrHeaderRow,0))</f>
        <v>18.600000000000001</v>
      </c>
      <c r="CB90" s="12">
        <f>INDEX(ovrTable,MATCH(INDEX(oppCol24,ROW()),ovrTeamCol,0),MATCH(MID(INDEX(headerRow,1,COLUMN()),4,LEN(INDEX(headerRow,1,COLUMN()))),ovrHeaderRow,0))</f>
        <v>12.8</v>
      </c>
      <c r="CC90" s="12">
        <f>INDEX(ovrTable,MATCH(INDEX(oppCol24,ROW()),ovrTeamCol,0),MATCH(MID(INDEX(headerRow,1,COLUMN()),4,LEN(INDEX(headerRow,1,COLUMN()))),ovrHeaderRow,0))</f>
        <v>57.6</v>
      </c>
      <c r="CD90" s="12">
        <f>INDEX(ovrTable,MATCH(INDEX(oppCol24,ROW()),ovrTeamCol,0),MATCH(MID(INDEX(headerRow,1,COLUMN()),4,LEN(INDEX(headerRow,1,COLUMN()))),ovrHeaderRow,0))</f>
        <v>13.43</v>
      </c>
      <c r="CE90" s="12">
        <f>INDEX(ovrTable,MATCH(INDEX(oppCol24,ROW()),ovrTeamCol,0),MATCH(MID(INDEX(headerRow,1,COLUMN()),4,LEN(INDEX(headerRow,1,COLUMN()))),ovrHeaderRow,0))</f>
        <v>73.5</v>
      </c>
      <c r="CF90" s="12">
        <f>INDEX(ovrTable,MATCH(INDEX(oppCol24,ROW()),ovrTeamCol,0),MATCH(MID(INDEX(headerRow,1,COLUMN()),4,LEN(INDEX(headerRow,1,COLUMN()))),ovrHeaderRow,0))</f>
        <v>3.3</v>
      </c>
      <c r="CG90" s="12">
        <f>INDEX(ovrTable,MATCH(INDEX(oppCol24,ROW()),ovrTeamCol,0),MATCH(MID(INDEX(headerRow,1,COLUMN()),4,LEN(INDEX(headerRow,1,COLUMN()))),ovrHeaderRow,0))</f>
        <v>37.14</v>
      </c>
      <c r="CH90" s="12">
        <f>INDEX(ovrTable,MATCH(INDEX(oppCol24,ROW()),ovrTeamCol,0),MATCH(MID(INDEX(headerRow,1,COLUMN()),4,LEN(INDEX(headerRow,1,COLUMN()))),ovrHeaderRow,0))</f>
        <v>15.9</v>
      </c>
      <c r="CI90" s="12">
        <f>INDEX(ovrTable,MATCH(INDEX(oppCol24,ROW()),ovrTeamCol,0),MATCH(MID(INDEX(headerRow,1,COLUMN()),4,LEN(INDEX(headerRow,1,COLUMN()))),ovrHeaderRow,0))</f>
        <v>9.8000000000000007</v>
      </c>
      <c r="CJ90" s="12">
        <f>INDEX(ovrTable,MATCH(INDEX(oppCol24,ROW()),ovrTeamCol,0),MATCH(MID(INDEX(headerRow,1,COLUMN()),4,LEN(INDEX(headerRow,1,COLUMN()))),ovrHeaderRow,0))</f>
        <v>6.9</v>
      </c>
      <c r="CK90" s="12">
        <f>INDEX(ovrTable,MATCH(INDEX(oppCol24,ROW()),ovrTeamCol,0),MATCH(MID(INDEX(headerRow,1,COLUMN()),4,LEN(INDEX(headerRow,1,COLUMN()))),ovrHeaderRow,0))</f>
        <v>15.81</v>
      </c>
      <c r="CL90" s="12">
        <f>INDEX(ovrTable,MATCH(INDEX(oppCol24,ROW()),ovrTeamCol,0),MATCH(MID(INDEX(headerRow,1,COLUMN()),4,LEN(INDEX(headerRow,1,COLUMN()))),ovrHeaderRow,0))</f>
        <v>8.9</v>
      </c>
      <c r="CM90" s="12">
        <f>INDEX(ovrTable,MATCH(INDEX(oppCol24,ROW()),ovrTeamCol,0),MATCH(MID(INDEX(headerRow,1,COLUMN()),4,LEN(INDEX(headerRow,1,COLUMN()))),ovrHeaderRow,0))</f>
        <v>66.400000000000006</v>
      </c>
      <c r="CN90" s="12">
        <f>INDEX(ovrTable,MATCH(INDEX(oppCol24,ROW()),ovrTeamCol,0),MATCH(MID(INDEX(headerRow,1,COLUMN()),4,LEN(INDEX(headerRow,1,COLUMN()))),ovrHeaderRow,0))</f>
        <v>18.8</v>
      </c>
      <c r="CO90" s="12">
        <f>INDEX(ovrTable,MATCH(INDEX(oppCol24,ROW()),ovrTeamCol,0),MATCH(MID(INDEX(headerRow,1,COLUMN()),4,LEN(INDEX(headerRow,1,COLUMN()))),ovrHeaderRow,0))</f>
        <v>60.364464692482919</v>
      </c>
    </row>
    <row r="91" spans="1:93" x14ac:dyDescent="0.3">
      <c r="A91" s="6" t="s">
        <v>51</v>
      </c>
      <c r="B91" s="3">
        <v>1</v>
      </c>
      <c r="C91" s="13" t="s">
        <v>43</v>
      </c>
      <c r="D91" s="14">
        <v>45</v>
      </c>
      <c r="E91" s="23">
        <v>34.782608695652172</v>
      </c>
      <c r="F91" s="24">
        <v>11</v>
      </c>
      <c r="G91" s="23">
        <v>32.352941176470587</v>
      </c>
      <c r="H91" s="24">
        <v>34</v>
      </c>
      <c r="I91" s="25">
        <v>1.8</v>
      </c>
      <c r="J91" s="24">
        <v>18</v>
      </c>
      <c r="K91" s="24">
        <v>16</v>
      </c>
      <c r="L91" s="24">
        <v>8</v>
      </c>
      <c r="M91" s="24">
        <v>38.700000000000003</v>
      </c>
      <c r="N91" s="24">
        <v>24</v>
      </c>
      <c r="O91" s="26">
        <v>0.59830882352941173</v>
      </c>
      <c r="P91" s="24">
        <v>4</v>
      </c>
      <c r="Q91" s="24">
        <v>51.5</v>
      </c>
      <c r="R91" s="24">
        <v>28</v>
      </c>
      <c r="S91" s="23">
        <v>70</v>
      </c>
      <c r="T91" s="24">
        <v>30</v>
      </c>
      <c r="U91" s="24">
        <v>21</v>
      </c>
      <c r="V91" s="24">
        <v>95</v>
      </c>
      <c r="W91" s="24">
        <v>11</v>
      </c>
      <c r="X91" s="24">
        <v>100</v>
      </c>
      <c r="Y91" s="24">
        <v>-14</v>
      </c>
      <c r="Z91" s="24">
        <v>35</v>
      </c>
      <c r="AA91" s="24">
        <v>5</v>
      </c>
      <c r="AB91" s="24">
        <v>6</v>
      </c>
      <c r="AC91" s="24">
        <v>1</v>
      </c>
      <c r="AD91" s="24">
        <v>11</v>
      </c>
      <c r="AE91" s="24">
        <v>10</v>
      </c>
      <c r="AF91" s="46">
        <f t="shared" si="85"/>
        <v>79.269417475728162</v>
      </c>
      <c r="AG91" s="51">
        <f t="shared" ref="AG91" si="116">AVERAGE(AF90,AF91)</f>
        <v>80.289908996262</v>
      </c>
      <c r="AH91" s="12">
        <f t="shared" si="105"/>
        <v>30.1</v>
      </c>
      <c r="AI91" s="12">
        <f t="shared" si="105"/>
        <v>7.7</v>
      </c>
      <c r="AJ91" s="12">
        <f t="shared" si="105"/>
        <v>34.799999999999997</v>
      </c>
      <c r="AK91" s="12">
        <f t="shared" si="105"/>
        <v>22.2</v>
      </c>
      <c r="AL91" s="12">
        <f t="shared" si="105"/>
        <v>1.47</v>
      </c>
      <c r="AM91" s="12">
        <f t="shared" si="105"/>
        <v>13.1</v>
      </c>
      <c r="AN91" s="12">
        <f t="shared" si="105"/>
        <v>17.46</v>
      </c>
      <c r="AO91" s="12">
        <f t="shared" si="105"/>
        <v>4.8</v>
      </c>
      <c r="AP91" s="12">
        <f t="shared" si="105"/>
        <v>37.9</v>
      </c>
      <c r="AQ91" s="12">
        <f t="shared" si="105"/>
        <v>23.7</v>
      </c>
      <c r="AR91" s="12">
        <f t="shared" si="106"/>
        <v>0.503</v>
      </c>
      <c r="AS91" s="12">
        <f t="shared" si="106"/>
        <v>9.16</v>
      </c>
      <c r="AT91" s="12">
        <f t="shared" si="106"/>
        <v>43.9</v>
      </c>
      <c r="AU91" s="12">
        <f t="shared" si="106"/>
        <v>17.8</v>
      </c>
      <c r="AV91" s="12">
        <f t="shared" si="106"/>
        <v>68.7</v>
      </c>
      <c r="AW91" s="12">
        <f t="shared" si="106"/>
        <v>18.600000000000001</v>
      </c>
      <c r="AX91" s="12">
        <f t="shared" si="106"/>
        <v>12.8</v>
      </c>
      <c r="AY91" s="12">
        <f t="shared" si="106"/>
        <v>57.6</v>
      </c>
      <c r="AZ91" s="12">
        <f t="shared" si="106"/>
        <v>13.43</v>
      </c>
      <c r="BA91" s="12">
        <f t="shared" si="106"/>
        <v>73.5</v>
      </c>
      <c r="BB91" s="12">
        <f t="shared" si="107"/>
        <v>3.3</v>
      </c>
      <c r="BC91" s="12">
        <f t="shared" si="107"/>
        <v>37.14</v>
      </c>
      <c r="BD91" s="12">
        <f t="shared" si="107"/>
        <v>15.9</v>
      </c>
      <c r="BE91" s="12">
        <f t="shared" si="107"/>
        <v>9.8000000000000007</v>
      </c>
      <c r="BF91" s="12">
        <f t="shared" si="107"/>
        <v>6.9</v>
      </c>
      <c r="BG91" s="12">
        <f t="shared" si="107"/>
        <v>15.81</v>
      </c>
      <c r="BH91" s="12">
        <f t="shared" si="107"/>
        <v>8.9</v>
      </c>
      <c r="BI91" s="12">
        <f t="shared" si="107"/>
        <v>66.400000000000006</v>
      </c>
      <c r="BJ91" s="12">
        <f t="shared" si="107"/>
        <v>18.8</v>
      </c>
      <c r="BK91" s="12">
        <f t="shared" si="107"/>
        <v>60.364464692482919</v>
      </c>
      <c r="BL91" s="12">
        <f>INDEX(ovrTable,MATCH(INDEX(oppCol24,ROW()),ovrTeamCol,0),MATCH(MID(INDEX(headerRow,1,COLUMN()),4,LEN(INDEX(headerRow,1,COLUMN()))),ovrHeaderRow,0))</f>
        <v>33.799999999999997</v>
      </c>
      <c r="BM91" s="12">
        <f>INDEX(ovrTable,MATCH(INDEX(oppCol24,ROW()),ovrTeamCol,0),MATCH(MID(INDEX(headerRow,1,COLUMN()),4,LEN(INDEX(headerRow,1,COLUMN()))),ovrHeaderRow,0))</f>
        <v>7.1</v>
      </c>
      <c r="BN91" s="12">
        <f>INDEX(ovrTable,MATCH(INDEX(oppCol24,ROW()),ovrTeamCol,0),MATCH(MID(INDEX(headerRow,1,COLUMN()),4,LEN(INDEX(headerRow,1,COLUMN()))),ovrHeaderRow,0))</f>
        <v>29.3</v>
      </c>
      <c r="BO91" s="12">
        <f>INDEX(ovrTable,MATCH(INDEX(oppCol24,ROW()),ovrTeamCol,0),MATCH(MID(INDEX(headerRow,1,COLUMN()),4,LEN(INDEX(headerRow,1,COLUMN()))),ovrHeaderRow,0))</f>
        <v>24.1</v>
      </c>
      <c r="BP91" s="12">
        <f>INDEX(ovrTable,MATCH(INDEX(oppCol24,ROW()),ovrTeamCol,0),MATCH(MID(INDEX(headerRow,1,COLUMN()),4,LEN(INDEX(headerRow,1,COLUMN()))),ovrHeaderRow,0))</f>
        <v>1.19</v>
      </c>
      <c r="BQ91" s="12">
        <f>INDEX(ovrTable,MATCH(INDEX(oppCol24,ROW()),ovrTeamCol,0),MATCH(MID(INDEX(headerRow,1,COLUMN()),4,LEN(INDEX(headerRow,1,COLUMN()))),ovrHeaderRow,0))</f>
        <v>11.4</v>
      </c>
      <c r="BR91" s="12">
        <f>INDEX(ovrTable,MATCH(INDEX(oppCol24,ROW()),ovrTeamCol,0),MATCH(MID(INDEX(headerRow,1,COLUMN()),4,LEN(INDEX(headerRow,1,COLUMN()))),ovrHeaderRow,0))</f>
        <v>19.059999999999999</v>
      </c>
      <c r="BS91" s="12">
        <f>INDEX(ovrTable,MATCH(INDEX(oppCol24,ROW()),ovrTeamCol,0),MATCH(MID(INDEX(headerRow,1,COLUMN()),4,LEN(INDEX(headerRow,1,COLUMN()))),ovrHeaderRow,0))</f>
        <v>3</v>
      </c>
      <c r="BT91" s="12">
        <f>INDEX(ovrTable,MATCH(INDEX(oppCol24,ROW()),ovrTeamCol,0),MATCH(MID(INDEX(headerRow,1,COLUMN()),4,LEN(INDEX(headerRow,1,COLUMN()))),ovrHeaderRow,0))</f>
        <v>42.9</v>
      </c>
      <c r="BU91" s="12">
        <f>INDEX(ovrTable,MATCH(INDEX(oppCol24,ROW()),ovrTeamCol,0),MATCH(MID(INDEX(headerRow,1,COLUMN()),4,LEN(INDEX(headerRow,1,COLUMN()))),ovrHeaderRow,0))</f>
        <v>25.39</v>
      </c>
      <c r="BV91" s="12">
        <f>INDEX(ovrTable,MATCH(INDEX(oppCol24,ROW()),ovrTeamCol,0),MATCH(MID(INDEX(headerRow,1,COLUMN()),4,LEN(INDEX(headerRow,1,COLUMN()))),ovrHeaderRow,0))</f>
        <v>0.45700000000000002</v>
      </c>
      <c r="BW91" s="12">
        <f>INDEX(ovrTable,MATCH(INDEX(oppCol24,ROW()),ovrTeamCol,0),MATCH(MID(INDEX(headerRow,1,COLUMN()),4,LEN(INDEX(headerRow,1,COLUMN()))),ovrHeaderRow,0))</f>
        <v>7.25</v>
      </c>
      <c r="BX91" s="12">
        <f>INDEX(ovrTable,MATCH(INDEX(oppCol24,ROW()),ovrTeamCol,0),MATCH(MID(INDEX(headerRow,1,COLUMN()),4,LEN(INDEX(headerRow,1,COLUMN()))),ovrHeaderRow,0))</f>
        <v>40.200000000000003</v>
      </c>
      <c r="BY91" s="12">
        <f>INDEX(ovrTable,MATCH(INDEX(oppCol24,ROW()),ovrTeamCol,0),MATCH(MID(INDEX(headerRow,1,COLUMN()),4,LEN(INDEX(headerRow,1,COLUMN()))),ovrHeaderRow,0))</f>
        <v>17</v>
      </c>
      <c r="BZ91" s="12">
        <f>INDEX(ovrTable,MATCH(INDEX(oppCol24,ROW()),ovrTeamCol,0),MATCH(MID(INDEX(headerRow,1,COLUMN()),4,LEN(INDEX(headerRow,1,COLUMN()))),ovrHeaderRow,0))</f>
        <v>70.7</v>
      </c>
      <c r="CA91" s="12">
        <f>INDEX(ovrTable,MATCH(INDEX(oppCol24,ROW()),ovrTeamCol,0),MATCH(MID(INDEX(headerRow,1,COLUMN()),4,LEN(INDEX(headerRow,1,COLUMN()))),ovrHeaderRow,0))</f>
        <v>24.7</v>
      </c>
      <c r="CB91" s="12">
        <f>INDEX(ovrTable,MATCH(INDEX(oppCol24,ROW()),ovrTeamCol,0),MATCH(MID(INDEX(headerRow,1,COLUMN()),4,LEN(INDEX(headerRow,1,COLUMN()))),ovrHeaderRow,0))</f>
        <v>17.5</v>
      </c>
      <c r="CC91" s="12">
        <f>INDEX(ovrTable,MATCH(INDEX(oppCol24,ROW()),ovrTeamCol,0),MATCH(MID(INDEX(headerRow,1,COLUMN()),4,LEN(INDEX(headerRow,1,COLUMN()))),ovrHeaderRow,0))</f>
        <v>72</v>
      </c>
      <c r="CD91" s="12">
        <f>INDEX(ovrTable,MATCH(INDEX(oppCol24,ROW()),ovrTeamCol,0),MATCH(MID(INDEX(headerRow,1,COLUMN()),4,LEN(INDEX(headerRow,1,COLUMN()))),ovrHeaderRow,0))</f>
        <v>17.420000000000002</v>
      </c>
      <c r="CE91" s="12">
        <f>INDEX(ovrTable,MATCH(INDEX(oppCol24,ROW()),ovrTeamCol,0),MATCH(MID(INDEX(headerRow,1,COLUMN()),4,LEN(INDEX(headerRow,1,COLUMN()))),ovrHeaderRow,0))</f>
        <v>76</v>
      </c>
      <c r="CF91" s="12">
        <f>INDEX(ovrTable,MATCH(INDEX(oppCol24,ROW()),ovrTeamCol,0),MATCH(MID(INDEX(headerRow,1,COLUMN()),4,LEN(INDEX(headerRow,1,COLUMN()))),ovrHeaderRow,0))</f>
        <v>9.1</v>
      </c>
      <c r="CG91" s="12">
        <f>INDEX(ovrTable,MATCH(INDEX(oppCol24,ROW()),ovrTeamCol,0),MATCH(MID(INDEX(headerRow,1,COLUMN()),4,LEN(INDEX(headerRow,1,COLUMN()))),ovrHeaderRow,0))</f>
        <v>42.81</v>
      </c>
      <c r="CH91" s="12">
        <f>INDEX(ovrTable,MATCH(INDEX(oppCol24,ROW()),ovrTeamCol,0),MATCH(MID(INDEX(headerRow,1,COLUMN()),4,LEN(INDEX(headerRow,1,COLUMN()))),ovrHeaderRow,0))</f>
        <v>4</v>
      </c>
      <c r="CI91" s="12">
        <f>INDEX(ovrTable,MATCH(INDEX(oppCol24,ROW()),ovrTeamCol,0),MATCH(MID(INDEX(headerRow,1,COLUMN()),4,LEN(INDEX(headerRow,1,COLUMN()))),ovrHeaderRow,0))</f>
        <v>6.9</v>
      </c>
      <c r="CJ91" s="12">
        <f>INDEX(ovrTable,MATCH(INDEX(oppCol24,ROW()),ovrTeamCol,0),MATCH(MID(INDEX(headerRow,1,COLUMN()),4,LEN(INDEX(headerRow,1,COLUMN()))),ovrHeaderRow,0))</f>
        <v>1.8</v>
      </c>
      <c r="CK91" s="12">
        <f>INDEX(ovrTable,MATCH(INDEX(oppCol24,ROW()),ovrTeamCol,0),MATCH(MID(INDEX(headerRow,1,COLUMN()),4,LEN(INDEX(headerRow,1,COLUMN()))),ovrHeaderRow,0))</f>
        <v>11.36</v>
      </c>
      <c r="CL91" s="12">
        <f>INDEX(ovrTable,MATCH(INDEX(oppCol24,ROW()),ovrTeamCol,0),MATCH(MID(INDEX(headerRow,1,COLUMN()),4,LEN(INDEX(headerRow,1,COLUMN()))),ovrHeaderRow,0))</f>
        <v>9.6</v>
      </c>
      <c r="CM91" s="12">
        <f>INDEX(ovrTable,MATCH(INDEX(oppCol24,ROW()),ovrTeamCol,0),MATCH(MID(INDEX(headerRow,1,COLUMN()),4,LEN(INDEX(headerRow,1,COLUMN()))),ovrHeaderRow,0))</f>
        <v>70</v>
      </c>
      <c r="CN91" s="12">
        <f>INDEX(ovrTable,MATCH(INDEX(oppCol24,ROW()),ovrTeamCol,0),MATCH(MID(INDEX(headerRow,1,COLUMN()),4,LEN(INDEX(headerRow,1,COLUMN()))),ovrHeaderRow,0))</f>
        <v>18.600000000000001</v>
      </c>
      <c r="CO91" s="12">
        <f>INDEX(ovrTable,MATCH(INDEX(oppCol24,ROW()),ovrTeamCol,0),MATCH(MID(INDEX(headerRow,1,COLUMN()),4,LEN(INDEX(headerRow,1,COLUMN()))),ovrHeaderRow,0))</f>
        <v>63.930348258706474</v>
      </c>
    </row>
    <row r="92" spans="1:93" x14ac:dyDescent="0.3">
      <c r="A92" s="6" t="s">
        <v>41</v>
      </c>
      <c r="B92" s="3">
        <v>12</v>
      </c>
      <c r="C92" s="13" t="s">
        <v>48</v>
      </c>
      <c r="D92" s="14">
        <v>46</v>
      </c>
      <c r="E92" s="23">
        <v>50</v>
      </c>
      <c r="F92" s="24">
        <v>4</v>
      </c>
      <c r="G92" s="23">
        <v>22.222222222222221</v>
      </c>
      <c r="H92" s="24">
        <v>18</v>
      </c>
      <c r="I92" s="25">
        <v>0.5</v>
      </c>
      <c r="J92" s="24">
        <v>7</v>
      </c>
      <c r="K92" s="24">
        <v>15</v>
      </c>
      <c r="L92" s="24">
        <v>6</v>
      </c>
      <c r="M92" s="24">
        <v>52.4</v>
      </c>
      <c r="N92" s="24">
        <v>20</v>
      </c>
      <c r="O92" s="26">
        <v>0.42</v>
      </c>
      <c r="P92" s="24">
        <v>9</v>
      </c>
      <c r="Q92" s="24">
        <v>38</v>
      </c>
      <c r="R92" s="24">
        <v>17</v>
      </c>
      <c r="S92" s="23">
        <v>56.521739130434781</v>
      </c>
      <c r="T92" s="24">
        <v>23</v>
      </c>
      <c r="U92" s="24">
        <v>13</v>
      </c>
      <c r="V92" s="24">
        <v>93</v>
      </c>
      <c r="W92" s="24">
        <v>12</v>
      </c>
      <c r="X92" s="24">
        <v>55</v>
      </c>
      <c r="Y92" s="24">
        <v>-5</v>
      </c>
      <c r="Z92" s="24">
        <v>32</v>
      </c>
      <c r="AA92" s="24">
        <v>-38</v>
      </c>
      <c r="AB92" s="24">
        <v>5</v>
      </c>
      <c r="AC92" s="24">
        <v>-8</v>
      </c>
      <c r="AD92" s="24">
        <v>6</v>
      </c>
      <c r="AE92" s="24">
        <v>14</v>
      </c>
      <c r="AF92" s="46">
        <f t="shared" si="85"/>
        <v>62.924999999999997</v>
      </c>
      <c r="AG92" s="51">
        <f t="shared" ref="AG92" si="117">AVERAGE(AF92,AF93)</f>
        <v>64.226049618320616</v>
      </c>
      <c r="AH92" s="12">
        <f t="shared" ref="AH92:AQ101" si="118">INDEX(ovrTable,MATCH(INDEX(teamCol,ROW()),ovrTeamCol,0),MATCH(MID(INDEX(headerRow,1,COLUMN()),4,LEN(INDEX(headerRow,1,COLUMN()))),ovrHeaderRow,0))</f>
        <v>29.9</v>
      </c>
      <c r="AI92" s="12">
        <f t="shared" si="118"/>
        <v>8.5</v>
      </c>
      <c r="AJ92" s="12">
        <f t="shared" si="118"/>
        <v>36</v>
      </c>
      <c r="AK92" s="12">
        <f t="shared" si="118"/>
        <v>23.7</v>
      </c>
      <c r="AL92" s="12">
        <f t="shared" si="118"/>
        <v>1.47</v>
      </c>
      <c r="AM92" s="12">
        <f t="shared" si="118"/>
        <v>16</v>
      </c>
      <c r="AN92" s="12">
        <f t="shared" si="118"/>
        <v>23.75</v>
      </c>
      <c r="AO92" s="12">
        <f t="shared" si="118"/>
        <v>3.1</v>
      </c>
      <c r="AP92" s="12">
        <f t="shared" si="118"/>
        <v>41.6</v>
      </c>
      <c r="AQ92" s="12">
        <f t="shared" si="118"/>
        <v>27.08</v>
      </c>
      <c r="AR92" s="12">
        <f t="shared" ref="AR92:BA101" si="119">INDEX(ovrTable,MATCH(INDEX(teamCol,ROW()),ovrTeamCol,0),MATCH(MID(INDEX(headerRow,1,COLUMN()),4,LEN(INDEX(headerRow,1,COLUMN()))),ovrHeaderRow,0))</f>
        <v>0.54400000000000004</v>
      </c>
      <c r="AS92" s="12">
        <f t="shared" si="119"/>
        <v>11.03</v>
      </c>
      <c r="AT92" s="12">
        <f t="shared" si="119"/>
        <v>47.6</v>
      </c>
      <c r="AU92" s="12">
        <f t="shared" si="119"/>
        <v>17.3</v>
      </c>
      <c r="AV92" s="12">
        <f t="shared" si="119"/>
        <v>70.3</v>
      </c>
      <c r="AW92" s="12">
        <f t="shared" si="119"/>
        <v>21.4</v>
      </c>
      <c r="AX92" s="12">
        <f t="shared" si="119"/>
        <v>15.1</v>
      </c>
      <c r="AY92" s="12">
        <f t="shared" si="119"/>
        <v>69.599999999999994</v>
      </c>
      <c r="AZ92" s="12">
        <f t="shared" si="119"/>
        <v>11.53</v>
      </c>
      <c r="BA92" s="12">
        <f t="shared" si="119"/>
        <v>83.2</v>
      </c>
      <c r="BB92" s="12">
        <f t="shared" ref="BB92:BK101" si="120">INDEX(ovrTable,MATCH(INDEX(teamCol,ROW()),ovrTeamCol,0),MATCH(MID(INDEX(headerRow,1,COLUMN()),4,LEN(INDEX(headerRow,1,COLUMN()))),ovrHeaderRow,0))</f>
        <v>4.7</v>
      </c>
      <c r="BC92" s="12">
        <f t="shared" si="120"/>
        <v>38.61</v>
      </c>
      <c r="BD92" s="12">
        <f t="shared" si="120"/>
        <v>13.6</v>
      </c>
      <c r="BE92" s="12">
        <f t="shared" si="120"/>
        <v>9</v>
      </c>
      <c r="BF92" s="12">
        <f t="shared" si="120"/>
        <v>3.4</v>
      </c>
      <c r="BG92" s="12">
        <f t="shared" si="120"/>
        <v>14.33</v>
      </c>
      <c r="BH92" s="12">
        <f t="shared" si="120"/>
        <v>10.9</v>
      </c>
      <c r="BI92" s="12">
        <f t="shared" si="120"/>
        <v>73.599999999999994</v>
      </c>
      <c r="BJ92" s="12">
        <f t="shared" si="120"/>
        <v>21.300000000000004</v>
      </c>
      <c r="BK92" s="12">
        <f t="shared" si="120"/>
        <v>62.605042016806728</v>
      </c>
      <c r="BL92" s="12">
        <f>INDEX(ovrTable,MATCH(INDEX(oppCol24,ROW()),ovrTeamCol,0),MATCH(MID(INDEX(headerRow,1,COLUMN()),4,LEN(INDEX(headerRow,1,COLUMN()))),ovrHeaderRow,0))</f>
        <v>31.8</v>
      </c>
      <c r="BM92" s="12">
        <f>INDEX(ovrTable,MATCH(INDEX(oppCol24,ROW()),ovrTeamCol,0),MATCH(MID(INDEX(headerRow,1,COLUMN()),4,LEN(INDEX(headerRow,1,COLUMN()))),ovrHeaderRow,0))</f>
        <v>8.3000000000000007</v>
      </c>
      <c r="BN92" s="12">
        <f>INDEX(ovrTable,MATCH(INDEX(oppCol24,ROW()),ovrTeamCol,0),MATCH(MID(INDEX(headerRow,1,COLUMN()),4,LEN(INDEX(headerRow,1,COLUMN()))),ovrHeaderRow,0))</f>
        <v>37.700000000000003</v>
      </c>
      <c r="BO92" s="12">
        <f>INDEX(ovrTable,MATCH(INDEX(oppCol24,ROW()),ovrTeamCol,0),MATCH(MID(INDEX(headerRow,1,COLUMN()),4,LEN(INDEX(headerRow,1,COLUMN()))),ovrHeaderRow,0))</f>
        <v>22</v>
      </c>
      <c r="BP92" s="12">
        <f>INDEX(ovrTable,MATCH(INDEX(oppCol24,ROW()),ovrTeamCol,0),MATCH(MID(INDEX(headerRow,1,COLUMN()),4,LEN(INDEX(headerRow,1,COLUMN()))),ovrHeaderRow,0))</f>
        <v>1.58</v>
      </c>
      <c r="BQ92" s="12">
        <f>INDEX(ovrTable,MATCH(INDEX(oppCol24,ROW()),ovrTeamCol,0),MATCH(MID(INDEX(headerRow,1,COLUMN()),4,LEN(INDEX(headerRow,1,COLUMN()))),ovrHeaderRow,0))</f>
        <v>15.3</v>
      </c>
      <c r="BR92" s="12">
        <f>INDEX(ovrTable,MATCH(INDEX(oppCol24,ROW()),ovrTeamCol,0),MATCH(MID(INDEX(headerRow,1,COLUMN()),4,LEN(INDEX(headerRow,1,COLUMN()))),ovrHeaderRow,0))</f>
        <v>14.22</v>
      </c>
      <c r="BS92" s="12">
        <f>INDEX(ovrTable,MATCH(INDEX(oppCol24,ROW()),ovrTeamCol,0),MATCH(MID(INDEX(headerRow,1,COLUMN()),4,LEN(INDEX(headerRow,1,COLUMN()))),ovrHeaderRow,0))</f>
        <v>3.7</v>
      </c>
      <c r="BT92" s="12">
        <f>INDEX(ovrTable,MATCH(INDEX(oppCol24,ROW()),ovrTeamCol,0),MATCH(MID(INDEX(headerRow,1,COLUMN()),4,LEN(INDEX(headerRow,1,COLUMN()))),ovrHeaderRow,0))</f>
        <v>43</v>
      </c>
      <c r="BU92" s="12">
        <f>INDEX(ovrTable,MATCH(INDEX(oppCol24,ROW()),ovrTeamCol,0),MATCH(MID(INDEX(headerRow,1,COLUMN()),4,LEN(INDEX(headerRow,1,COLUMN()))),ovrHeaderRow,0))</f>
        <v>26</v>
      </c>
      <c r="BV92" s="12">
        <f>INDEX(ovrTable,MATCH(INDEX(oppCol24,ROW()),ovrTeamCol,0),MATCH(MID(INDEX(headerRow,1,COLUMN()),4,LEN(INDEX(headerRow,1,COLUMN()))),ovrHeaderRow,0))</f>
        <v>0.54600000000000004</v>
      </c>
      <c r="BW92" s="12">
        <f>INDEX(ovrTable,MATCH(INDEX(oppCol24,ROW()),ovrTeamCol,0),MATCH(MID(INDEX(headerRow,1,COLUMN()),4,LEN(INDEX(headerRow,1,COLUMN()))),ovrHeaderRow,0))</f>
        <v>10.72</v>
      </c>
      <c r="BX92" s="12">
        <f>INDEX(ovrTable,MATCH(INDEX(oppCol24,ROW()),ovrTeamCol,0),MATCH(MID(INDEX(headerRow,1,COLUMN()),4,LEN(INDEX(headerRow,1,COLUMN()))),ovrHeaderRow,0))</f>
        <v>47.5</v>
      </c>
      <c r="BY92" s="12">
        <f>INDEX(ovrTable,MATCH(INDEX(oppCol24,ROW()),ovrTeamCol,0),MATCH(MID(INDEX(headerRow,1,COLUMN()),4,LEN(INDEX(headerRow,1,COLUMN()))),ovrHeaderRow,0))</f>
        <v>15.9</v>
      </c>
      <c r="BZ92" s="12">
        <f>INDEX(ovrTable,MATCH(INDEX(oppCol24,ROW()),ovrTeamCol,0),MATCH(MID(INDEX(headerRow,1,COLUMN()),4,LEN(INDEX(headerRow,1,COLUMN()))),ovrHeaderRow,0))</f>
        <v>72.3</v>
      </c>
      <c r="CA92" s="12">
        <f>INDEX(ovrTable,MATCH(INDEX(oppCol24,ROW()),ovrTeamCol,0),MATCH(MID(INDEX(headerRow,1,COLUMN()),4,LEN(INDEX(headerRow,1,COLUMN()))),ovrHeaderRow,0))</f>
        <v>20.100000000000001</v>
      </c>
      <c r="CB92" s="12">
        <f>INDEX(ovrTable,MATCH(INDEX(oppCol24,ROW()),ovrTeamCol,0),MATCH(MID(INDEX(headerRow,1,COLUMN()),4,LEN(INDEX(headerRow,1,COLUMN()))),ovrHeaderRow,0))</f>
        <v>14.6</v>
      </c>
      <c r="CC92" s="12">
        <f>INDEX(ovrTable,MATCH(INDEX(oppCol24,ROW()),ovrTeamCol,0),MATCH(MID(INDEX(headerRow,1,COLUMN()),4,LEN(INDEX(headerRow,1,COLUMN()))),ovrHeaderRow,0))</f>
        <v>66.3</v>
      </c>
      <c r="CD92" s="12">
        <f>INDEX(ovrTable,MATCH(INDEX(oppCol24,ROW()),ovrTeamCol,0),MATCH(MID(INDEX(headerRow,1,COLUMN()),4,LEN(INDEX(headerRow,1,COLUMN()))),ovrHeaderRow,0))</f>
        <v>10.64</v>
      </c>
      <c r="CE92" s="12">
        <f>INDEX(ovrTable,MATCH(INDEX(oppCol24,ROW()),ovrTeamCol,0),MATCH(MID(INDEX(headerRow,1,COLUMN()),4,LEN(INDEX(headerRow,1,COLUMN()))),ovrHeaderRow,0))</f>
        <v>78.599999999999994</v>
      </c>
      <c r="CF92" s="12">
        <f>INDEX(ovrTable,MATCH(INDEX(oppCol24,ROW()),ovrTeamCol,0),MATCH(MID(INDEX(headerRow,1,COLUMN()),4,LEN(INDEX(headerRow,1,COLUMN()))),ovrHeaderRow,0))</f>
        <v>5.0999999999999996</v>
      </c>
      <c r="CG92" s="12">
        <f>INDEX(ovrTable,MATCH(INDEX(oppCol24,ROW()),ovrTeamCol,0),MATCH(MID(INDEX(headerRow,1,COLUMN()),4,LEN(INDEX(headerRow,1,COLUMN()))),ovrHeaderRow,0))</f>
        <v>36.64</v>
      </c>
      <c r="CH92" s="12">
        <f>INDEX(ovrTable,MATCH(INDEX(oppCol24,ROW()),ovrTeamCol,0),MATCH(MID(INDEX(headerRow,1,COLUMN()),4,LEN(INDEX(headerRow,1,COLUMN()))),ovrHeaderRow,0))</f>
        <v>12.3</v>
      </c>
      <c r="CI92" s="12">
        <f>INDEX(ovrTable,MATCH(INDEX(oppCol24,ROW()),ovrTeamCol,0),MATCH(MID(INDEX(headerRow,1,COLUMN()),4,LEN(INDEX(headerRow,1,COLUMN()))),ovrHeaderRow,0))</f>
        <v>6.5</v>
      </c>
      <c r="CJ92" s="12">
        <f>INDEX(ovrTable,MATCH(INDEX(oppCol24,ROW()),ovrTeamCol,0),MATCH(MID(INDEX(headerRow,1,COLUMN()),4,LEN(INDEX(headerRow,1,COLUMN()))),ovrHeaderRow,0))</f>
        <v>1.6</v>
      </c>
      <c r="CK92" s="12">
        <f>INDEX(ovrTable,MATCH(INDEX(oppCol24,ROW()),ovrTeamCol,0),MATCH(MID(INDEX(headerRow,1,COLUMN()),4,LEN(INDEX(headerRow,1,COLUMN()))),ovrHeaderRow,0))</f>
        <v>11.31</v>
      </c>
      <c r="CL92" s="12">
        <f>INDEX(ovrTable,MATCH(INDEX(oppCol24,ROW()),ovrTeamCol,0),MATCH(MID(INDEX(headerRow,1,COLUMN()),4,LEN(INDEX(headerRow,1,COLUMN()))),ovrHeaderRow,0))</f>
        <v>9.6999999999999993</v>
      </c>
      <c r="CM92" s="12">
        <f>INDEX(ovrTable,MATCH(INDEX(oppCol24,ROW()),ovrTeamCol,0),MATCH(MID(INDEX(headerRow,1,COLUMN()),4,LEN(INDEX(headerRow,1,COLUMN()))),ovrHeaderRow,0))</f>
        <v>68.599999999999994</v>
      </c>
      <c r="CN92" s="12">
        <f>INDEX(ovrTable,MATCH(INDEX(oppCol24,ROW()),ovrTeamCol,0),MATCH(MID(INDEX(headerRow,1,COLUMN()),4,LEN(INDEX(headerRow,1,COLUMN()))),ovrHeaderRow,0))</f>
        <v>19.549999999999997</v>
      </c>
      <c r="CO92" s="12">
        <f>INDEX(ovrTable,MATCH(INDEX(oppCol24,ROW()),ovrTeamCol,0),MATCH(MID(INDEX(headerRow,1,COLUMN()),4,LEN(INDEX(headerRow,1,COLUMN()))),ovrHeaderRow,0))</f>
        <v>58.631578947368418</v>
      </c>
    </row>
    <row r="93" spans="1:93" x14ac:dyDescent="0.3">
      <c r="A93" s="6" t="s">
        <v>48</v>
      </c>
      <c r="B93" s="3">
        <v>4</v>
      </c>
      <c r="C93" s="13" t="s">
        <v>41</v>
      </c>
      <c r="D93" s="14">
        <v>46</v>
      </c>
      <c r="E93" s="23">
        <v>22.222222222222221</v>
      </c>
      <c r="F93" s="24">
        <v>14</v>
      </c>
      <c r="G93" s="23">
        <v>50</v>
      </c>
      <c r="H93" s="24">
        <v>28</v>
      </c>
      <c r="I93" s="25">
        <v>3.6666666666666665</v>
      </c>
      <c r="J93" s="24">
        <v>22</v>
      </c>
      <c r="K93" s="24">
        <v>14</v>
      </c>
      <c r="L93" s="24">
        <v>4</v>
      </c>
      <c r="M93" s="24">
        <v>38</v>
      </c>
      <c r="N93" s="24">
        <v>25</v>
      </c>
      <c r="O93" s="26">
        <v>0.63515151515151513</v>
      </c>
      <c r="P93" s="24">
        <v>10</v>
      </c>
      <c r="Q93" s="24">
        <v>52.4</v>
      </c>
      <c r="R93" s="24">
        <v>16</v>
      </c>
      <c r="S93" s="23">
        <v>72.222222222222214</v>
      </c>
      <c r="T93" s="24">
        <v>18</v>
      </c>
      <c r="U93" s="24">
        <v>13</v>
      </c>
      <c r="V93" s="24">
        <v>55</v>
      </c>
      <c r="W93" s="24">
        <v>12</v>
      </c>
      <c r="X93" s="24">
        <v>93</v>
      </c>
      <c r="Y93" s="24">
        <v>5</v>
      </c>
      <c r="Z93" s="24">
        <v>37</v>
      </c>
      <c r="AA93" s="24">
        <v>38</v>
      </c>
      <c r="AB93" s="24">
        <v>12</v>
      </c>
      <c r="AC93" s="24">
        <v>8</v>
      </c>
      <c r="AD93" s="24">
        <v>14</v>
      </c>
      <c r="AE93" s="24">
        <v>6</v>
      </c>
      <c r="AF93" s="46">
        <f t="shared" si="85"/>
        <v>65.52709923664122</v>
      </c>
      <c r="AG93" s="51">
        <f t="shared" ref="AG93" si="121">AVERAGE(AF92,AF93)</f>
        <v>64.226049618320616</v>
      </c>
      <c r="AH93" s="12">
        <f t="shared" si="118"/>
        <v>31.8</v>
      </c>
      <c r="AI93" s="12">
        <f t="shared" si="118"/>
        <v>8.3000000000000007</v>
      </c>
      <c r="AJ93" s="12">
        <f t="shared" si="118"/>
        <v>37.700000000000003</v>
      </c>
      <c r="AK93" s="12">
        <f t="shared" si="118"/>
        <v>22</v>
      </c>
      <c r="AL93" s="12">
        <f t="shared" si="118"/>
        <v>1.58</v>
      </c>
      <c r="AM93" s="12">
        <f t="shared" si="118"/>
        <v>15.3</v>
      </c>
      <c r="AN93" s="12">
        <f t="shared" si="118"/>
        <v>14.22</v>
      </c>
      <c r="AO93" s="12">
        <f t="shared" si="118"/>
        <v>3.7</v>
      </c>
      <c r="AP93" s="12">
        <f t="shared" si="118"/>
        <v>43</v>
      </c>
      <c r="AQ93" s="12">
        <f t="shared" si="118"/>
        <v>26</v>
      </c>
      <c r="AR93" s="12">
        <f t="shared" si="119"/>
        <v>0.54600000000000004</v>
      </c>
      <c r="AS93" s="12">
        <f t="shared" si="119"/>
        <v>10.72</v>
      </c>
      <c r="AT93" s="12">
        <f t="shared" si="119"/>
        <v>47.5</v>
      </c>
      <c r="AU93" s="12">
        <f t="shared" si="119"/>
        <v>15.9</v>
      </c>
      <c r="AV93" s="12">
        <f t="shared" si="119"/>
        <v>72.3</v>
      </c>
      <c r="AW93" s="12">
        <f t="shared" si="119"/>
        <v>20.100000000000001</v>
      </c>
      <c r="AX93" s="12">
        <f t="shared" si="119"/>
        <v>14.6</v>
      </c>
      <c r="AY93" s="12">
        <f t="shared" si="119"/>
        <v>66.3</v>
      </c>
      <c r="AZ93" s="12">
        <f t="shared" si="119"/>
        <v>10.64</v>
      </c>
      <c r="BA93" s="12">
        <f t="shared" si="119"/>
        <v>78.599999999999994</v>
      </c>
      <c r="BB93" s="12">
        <f t="shared" si="120"/>
        <v>5.0999999999999996</v>
      </c>
      <c r="BC93" s="12">
        <f t="shared" si="120"/>
        <v>36.64</v>
      </c>
      <c r="BD93" s="12">
        <f t="shared" si="120"/>
        <v>12.3</v>
      </c>
      <c r="BE93" s="12">
        <f t="shared" si="120"/>
        <v>6.5</v>
      </c>
      <c r="BF93" s="12">
        <f t="shared" si="120"/>
        <v>1.6</v>
      </c>
      <c r="BG93" s="12">
        <f t="shared" si="120"/>
        <v>11.31</v>
      </c>
      <c r="BH93" s="12">
        <f t="shared" si="120"/>
        <v>9.6999999999999993</v>
      </c>
      <c r="BI93" s="12">
        <f t="shared" si="120"/>
        <v>68.599999999999994</v>
      </c>
      <c r="BJ93" s="12">
        <f t="shared" si="120"/>
        <v>19.549999999999997</v>
      </c>
      <c r="BK93" s="12">
        <f t="shared" si="120"/>
        <v>58.631578947368418</v>
      </c>
      <c r="BL93" s="12">
        <f>INDEX(ovrTable,MATCH(INDEX(oppCol24,ROW()),ovrTeamCol,0),MATCH(MID(INDEX(headerRow,1,COLUMN()),4,LEN(INDEX(headerRow,1,COLUMN()))),ovrHeaderRow,0))</f>
        <v>29.9</v>
      </c>
      <c r="BM93" s="12">
        <f>INDEX(ovrTable,MATCH(INDEX(oppCol24,ROW()),ovrTeamCol,0),MATCH(MID(INDEX(headerRow,1,COLUMN()),4,LEN(INDEX(headerRow,1,COLUMN()))),ovrHeaderRow,0))</f>
        <v>8.5</v>
      </c>
      <c r="BN93" s="12">
        <f>INDEX(ovrTable,MATCH(INDEX(oppCol24,ROW()),ovrTeamCol,0),MATCH(MID(INDEX(headerRow,1,COLUMN()),4,LEN(INDEX(headerRow,1,COLUMN()))),ovrHeaderRow,0))</f>
        <v>36</v>
      </c>
      <c r="BO93" s="12">
        <f>INDEX(ovrTable,MATCH(INDEX(oppCol24,ROW()),ovrTeamCol,0),MATCH(MID(INDEX(headerRow,1,COLUMN()),4,LEN(INDEX(headerRow,1,COLUMN()))),ovrHeaderRow,0))</f>
        <v>23.7</v>
      </c>
      <c r="BP93" s="12">
        <f>INDEX(ovrTable,MATCH(INDEX(oppCol24,ROW()),ovrTeamCol,0),MATCH(MID(INDEX(headerRow,1,COLUMN()),4,LEN(INDEX(headerRow,1,COLUMN()))),ovrHeaderRow,0))</f>
        <v>1.47</v>
      </c>
      <c r="BQ93" s="12">
        <f>INDEX(ovrTable,MATCH(INDEX(oppCol24,ROW()),ovrTeamCol,0),MATCH(MID(INDEX(headerRow,1,COLUMN()),4,LEN(INDEX(headerRow,1,COLUMN()))),ovrHeaderRow,0))</f>
        <v>16</v>
      </c>
      <c r="BR93" s="12">
        <f>INDEX(ovrTable,MATCH(INDEX(oppCol24,ROW()),ovrTeamCol,0),MATCH(MID(INDEX(headerRow,1,COLUMN()),4,LEN(INDEX(headerRow,1,COLUMN()))),ovrHeaderRow,0))</f>
        <v>23.75</v>
      </c>
      <c r="BS93" s="12">
        <f>INDEX(ovrTable,MATCH(INDEX(oppCol24,ROW()),ovrTeamCol,0),MATCH(MID(INDEX(headerRow,1,COLUMN()),4,LEN(INDEX(headerRow,1,COLUMN()))),ovrHeaderRow,0))</f>
        <v>3.1</v>
      </c>
      <c r="BT93" s="12">
        <f>INDEX(ovrTable,MATCH(INDEX(oppCol24,ROW()),ovrTeamCol,0),MATCH(MID(INDEX(headerRow,1,COLUMN()),4,LEN(INDEX(headerRow,1,COLUMN()))),ovrHeaderRow,0))</f>
        <v>41.6</v>
      </c>
      <c r="BU93" s="12">
        <f>INDEX(ovrTable,MATCH(INDEX(oppCol24,ROW()),ovrTeamCol,0),MATCH(MID(INDEX(headerRow,1,COLUMN()),4,LEN(INDEX(headerRow,1,COLUMN()))),ovrHeaderRow,0))</f>
        <v>27.08</v>
      </c>
      <c r="BV93" s="12">
        <f>INDEX(ovrTable,MATCH(INDEX(oppCol24,ROW()),ovrTeamCol,0),MATCH(MID(INDEX(headerRow,1,COLUMN()),4,LEN(INDEX(headerRow,1,COLUMN()))),ovrHeaderRow,0))</f>
        <v>0.54400000000000004</v>
      </c>
      <c r="BW93" s="12">
        <f>INDEX(ovrTable,MATCH(INDEX(oppCol24,ROW()),ovrTeamCol,0),MATCH(MID(INDEX(headerRow,1,COLUMN()),4,LEN(INDEX(headerRow,1,COLUMN()))),ovrHeaderRow,0))</f>
        <v>11.03</v>
      </c>
      <c r="BX93" s="12">
        <f>INDEX(ovrTable,MATCH(INDEX(oppCol24,ROW()),ovrTeamCol,0),MATCH(MID(INDEX(headerRow,1,COLUMN()),4,LEN(INDEX(headerRow,1,COLUMN()))),ovrHeaderRow,0))</f>
        <v>47.6</v>
      </c>
      <c r="BY93" s="12">
        <f>INDEX(ovrTable,MATCH(INDEX(oppCol24,ROW()),ovrTeamCol,0),MATCH(MID(INDEX(headerRow,1,COLUMN()),4,LEN(INDEX(headerRow,1,COLUMN()))),ovrHeaderRow,0))</f>
        <v>17.3</v>
      </c>
      <c r="BZ93" s="12">
        <f>INDEX(ovrTable,MATCH(INDEX(oppCol24,ROW()),ovrTeamCol,0),MATCH(MID(INDEX(headerRow,1,COLUMN()),4,LEN(INDEX(headerRow,1,COLUMN()))),ovrHeaderRow,0))</f>
        <v>70.3</v>
      </c>
      <c r="CA93" s="12">
        <f>INDEX(ovrTable,MATCH(INDEX(oppCol24,ROW()),ovrTeamCol,0),MATCH(MID(INDEX(headerRow,1,COLUMN()),4,LEN(INDEX(headerRow,1,COLUMN()))),ovrHeaderRow,0))</f>
        <v>21.4</v>
      </c>
      <c r="CB93" s="12">
        <f>INDEX(ovrTable,MATCH(INDEX(oppCol24,ROW()),ovrTeamCol,0),MATCH(MID(INDEX(headerRow,1,COLUMN()),4,LEN(INDEX(headerRow,1,COLUMN()))),ovrHeaderRow,0))</f>
        <v>15.1</v>
      </c>
      <c r="CC93" s="12">
        <f>INDEX(ovrTable,MATCH(INDEX(oppCol24,ROW()),ovrTeamCol,0),MATCH(MID(INDEX(headerRow,1,COLUMN()),4,LEN(INDEX(headerRow,1,COLUMN()))),ovrHeaderRow,0))</f>
        <v>69.599999999999994</v>
      </c>
      <c r="CD93" s="12">
        <f>INDEX(ovrTable,MATCH(INDEX(oppCol24,ROW()),ovrTeamCol,0),MATCH(MID(INDEX(headerRow,1,COLUMN()),4,LEN(INDEX(headerRow,1,COLUMN()))),ovrHeaderRow,0))</f>
        <v>11.53</v>
      </c>
      <c r="CE93" s="12">
        <f>INDEX(ovrTable,MATCH(INDEX(oppCol24,ROW()),ovrTeamCol,0),MATCH(MID(INDEX(headerRow,1,COLUMN()),4,LEN(INDEX(headerRow,1,COLUMN()))),ovrHeaderRow,0))</f>
        <v>83.2</v>
      </c>
      <c r="CF93" s="12">
        <f>INDEX(ovrTable,MATCH(INDEX(oppCol24,ROW()),ovrTeamCol,0),MATCH(MID(INDEX(headerRow,1,COLUMN()),4,LEN(INDEX(headerRow,1,COLUMN()))),ovrHeaderRow,0))</f>
        <v>4.7</v>
      </c>
      <c r="CG93" s="12">
        <f>INDEX(ovrTable,MATCH(INDEX(oppCol24,ROW()),ovrTeamCol,0),MATCH(MID(INDEX(headerRow,1,COLUMN()),4,LEN(INDEX(headerRow,1,COLUMN()))),ovrHeaderRow,0))</f>
        <v>38.61</v>
      </c>
      <c r="CH93" s="12">
        <f>INDEX(ovrTable,MATCH(INDEX(oppCol24,ROW()),ovrTeamCol,0),MATCH(MID(INDEX(headerRow,1,COLUMN()),4,LEN(INDEX(headerRow,1,COLUMN()))),ovrHeaderRow,0))</f>
        <v>13.6</v>
      </c>
      <c r="CI93" s="12">
        <f>INDEX(ovrTable,MATCH(INDEX(oppCol24,ROW()),ovrTeamCol,0),MATCH(MID(INDEX(headerRow,1,COLUMN()),4,LEN(INDEX(headerRow,1,COLUMN()))),ovrHeaderRow,0))</f>
        <v>9</v>
      </c>
      <c r="CJ93" s="12">
        <f>INDEX(ovrTable,MATCH(INDEX(oppCol24,ROW()),ovrTeamCol,0),MATCH(MID(INDEX(headerRow,1,COLUMN()),4,LEN(INDEX(headerRow,1,COLUMN()))),ovrHeaderRow,0))</f>
        <v>3.4</v>
      </c>
      <c r="CK93" s="12">
        <f>INDEX(ovrTable,MATCH(INDEX(oppCol24,ROW()),ovrTeamCol,0),MATCH(MID(INDEX(headerRow,1,COLUMN()),4,LEN(INDEX(headerRow,1,COLUMN()))),ovrHeaderRow,0))</f>
        <v>14.33</v>
      </c>
      <c r="CL93" s="12">
        <f>INDEX(ovrTable,MATCH(INDEX(oppCol24,ROW()),ovrTeamCol,0),MATCH(MID(INDEX(headerRow,1,COLUMN()),4,LEN(INDEX(headerRow,1,COLUMN()))),ovrHeaderRow,0))</f>
        <v>10.9</v>
      </c>
      <c r="CM93" s="12">
        <f>INDEX(ovrTable,MATCH(INDEX(oppCol24,ROW()),ovrTeamCol,0),MATCH(MID(INDEX(headerRow,1,COLUMN()),4,LEN(INDEX(headerRow,1,COLUMN()))),ovrHeaderRow,0))</f>
        <v>73.599999999999994</v>
      </c>
      <c r="CN93" s="12">
        <f>INDEX(ovrTable,MATCH(INDEX(oppCol24,ROW()),ovrTeamCol,0),MATCH(MID(INDEX(headerRow,1,COLUMN()),4,LEN(INDEX(headerRow,1,COLUMN()))),ovrHeaderRow,0))</f>
        <v>21.300000000000004</v>
      </c>
      <c r="CO93" s="12">
        <f>INDEX(ovrTable,MATCH(INDEX(oppCol24,ROW()),ovrTeamCol,0),MATCH(MID(INDEX(headerRow,1,COLUMN()),4,LEN(INDEX(headerRow,1,COLUMN()))),ovrHeaderRow,0))</f>
        <v>62.605042016806728</v>
      </c>
    </row>
    <row r="94" spans="1:93" x14ac:dyDescent="0.3">
      <c r="A94" s="6" t="s">
        <v>37</v>
      </c>
      <c r="B94" s="3">
        <v>14</v>
      </c>
      <c r="C94" s="13" t="s">
        <v>39</v>
      </c>
      <c r="D94" s="14">
        <v>47</v>
      </c>
      <c r="E94" s="23">
        <v>34.615384615384613</v>
      </c>
      <c r="F94" s="24">
        <v>12</v>
      </c>
      <c r="G94" s="23">
        <v>34.285714285714285</v>
      </c>
      <c r="H94" s="24">
        <v>35</v>
      </c>
      <c r="I94" s="25">
        <v>1.8571428571428572</v>
      </c>
      <c r="J94" s="24">
        <v>13</v>
      </c>
      <c r="K94" s="24">
        <v>24</v>
      </c>
      <c r="L94" s="24">
        <v>3</v>
      </c>
      <c r="M94" s="24">
        <v>45.3</v>
      </c>
      <c r="N94" s="24">
        <v>23</v>
      </c>
      <c r="O94" s="26">
        <v>0.45632</v>
      </c>
      <c r="P94" s="24">
        <v>7</v>
      </c>
      <c r="Q94" s="24">
        <v>36.799999999999997</v>
      </c>
      <c r="R94" s="24">
        <v>13</v>
      </c>
      <c r="S94" s="23">
        <v>73.333333333333329</v>
      </c>
      <c r="T94" s="24">
        <v>15</v>
      </c>
      <c r="U94" s="24">
        <v>11</v>
      </c>
      <c r="V94" s="24">
        <v>79</v>
      </c>
      <c r="W94" s="24">
        <v>11</v>
      </c>
      <c r="X94" s="24">
        <v>73</v>
      </c>
      <c r="Y94" s="24">
        <v>-12</v>
      </c>
      <c r="Z94" s="24">
        <v>34</v>
      </c>
      <c r="AA94" s="24">
        <v>-6</v>
      </c>
      <c r="AB94" s="24">
        <v>4</v>
      </c>
      <c r="AC94" s="24">
        <v>1</v>
      </c>
      <c r="AD94" s="24">
        <v>8</v>
      </c>
      <c r="AE94" s="24">
        <v>7</v>
      </c>
      <c r="AF94" s="46">
        <f t="shared" si="85"/>
        <v>71.059782608695656</v>
      </c>
      <c r="AG94" s="51">
        <f t="shared" ref="AG94" si="122">AVERAGE(AF94,AF95)</f>
        <v>69.338721326422885</v>
      </c>
      <c r="AH94" s="12">
        <f t="shared" si="118"/>
        <v>33.9</v>
      </c>
      <c r="AI94" s="12">
        <f t="shared" si="118"/>
        <v>8.8000000000000007</v>
      </c>
      <c r="AJ94" s="12">
        <f t="shared" si="118"/>
        <v>35.5</v>
      </c>
      <c r="AK94" s="12">
        <f t="shared" si="118"/>
        <v>24.9</v>
      </c>
      <c r="AL94" s="12">
        <f t="shared" si="118"/>
        <v>1.32</v>
      </c>
      <c r="AM94" s="12">
        <f t="shared" si="118"/>
        <v>14.5</v>
      </c>
      <c r="AN94" s="12">
        <f t="shared" si="118"/>
        <v>21.08</v>
      </c>
      <c r="AO94" s="12">
        <f t="shared" si="118"/>
        <v>2.8</v>
      </c>
      <c r="AP94" s="12">
        <f t="shared" si="118"/>
        <v>43.7</v>
      </c>
      <c r="AQ94" s="12">
        <f t="shared" si="118"/>
        <v>25.25</v>
      </c>
      <c r="AR94" s="12">
        <f t="shared" si="119"/>
        <v>0.51900000000000002</v>
      </c>
      <c r="AS94" s="12">
        <f t="shared" si="119"/>
        <v>7.47</v>
      </c>
      <c r="AT94" s="12">
        <f t="shared" si="119"/>
        <v>44.6</v>
      </c>
      <c r="AU94" s="12">
        <f t="shared" si="119"/>
        <v>15.1</v>
      </c>
      <c r="AV94" s="12">
        <f t="shared" si="119"/>
        <v>75.099999999999994</v>
      </c>
      <c r="AW94" s="12">
        <f t="shared" si="119"/>
        <v>18.5</v>
      </c>
      <c r="AX94" s="12">
        <f t="shared" si="119"/>
        <v>13.9</v>
      </c>
      <c r="AY94" s="12">
        <f t="shared" si="119"/>
        <v>73.2</v>
      </c>
      <c r="AZ94" s="12">
        <f t="shared" si="119"/>
        <v>10.64</v>
      </c>
      <c r="BA94" s="12">
        <f t="shared" si="119"/>
        <v>76.400000000000006</v>
      </c>
      <c r="BB94" s="12">
        <f t="shared" si="120"/>
        <v>1.2</v>
      </c>
      <c r="BC94" s="12">
        <f t="shared" si="120"/>
        <v>35.89</v>
      </c>
      <c r="BD94" s="12">
        <f t="shared" si="120"/>
        <v>3.3</v>
      </c>
      <c r="BE94" s="12">
        <f t="shared" si="120"/>
        <v>6.6</v>
      </c>
      <c r="BF94" s="12">
        <f t="shared" si="120"/>
        <v>0.2</v>
      </c>
      <c r="BG94" s="12">
        <f t="shared" si="120"/>
        <v>11.19</v>
      </c>
      <c r="BH94" s="12">
        <f t="shared" si="120"/>
        <v>11</v>
      </c>
      <c r="BI94" s="12">
        <f t="shared" si="120"/>
        <v>68.599999999999994</v>
      </c>
      <c r="BJ94" s="12">
        <f t="shared" si="120"/>
        <v>18.050000000000004</v>
      </c>
      <c r="BK94" s="12">
        <f t="shared" si="120"/>
        <v>60.201793721973104</v>
      </c>
      <c r="BL94" s="12">
        <f>INDEX(ovrTable,MATCH(INDEX(oppCol24,ROW()),ovrTeamCol,0),MATCH(MID(INDEX(headerRow,1,COLUMN()),4,LEN(INDEX(headerRow,1,COLUMN()))),ovrHeaderRow,0))</f>
        <v>33.5</v>
      </c>
      <c r="BM94" s="12">
        <f>INDEX(ovrTable,MATCH(INDEX(oppCol24,ROW()),ovrTeamCol,0),MATCH(MID(INDEX(headerRow,1,COLUMN()),4,LEN(INDEX(headerRow,1,COLUMN()))),ovrHeaderRow,0))</f>
        <v>7</v>
      </c>
      <c r="BN94" s="12">
        <f>INDEX(ovrTable,MATCH(INDEX(oppCol24,ROW()),ovrTeamCol,0),MATCH(MID(INDEX(headerRow,1,COLUMN()),4,LEN(INDEX(headerRow,1,COLUMN()))),ovrHeaderRow,0))</f>
        <v>34.5</v>
      </c>
      <c r="BO94" s="12">
        <f>INDEX(ovrTable,MATCH(INDEX(oppCol24,ROW()),ovrTeamCol,0),MATCH(MID(INDEX(headerRow,1,COLUMN()),4,LEN(INDEX(headerRow,1,COLUMN()))),ovrHeaderRow,0))</f>
        <v>20.2</v>
      </c>
      <c r="BP94" s="12">
        <f>INDEX(ovrTable,MATCH(INDEX(oppCol24,ROW()),ovrTeamCol,0),MATCH(MID(INDEX(headerRow,1,COLUMN()),4,LEN(INDEX(headerRow,1,COLUMN()))),ovrHeaderRow,0))</f>
        <v>1.37</v>
      </c>
      <c r="BQ94" s="12">
        <f>INDEX(ovrTable,MATCH(INDEX(oppCol24,ROW()),ovrTeamCol,0),MATCH(MID(INDEX(headerRow,1,COLUMN()),4,LEN(INDEX(headerRow,1,COLUMN()))),ovrHeaderRow,0))</f>
        <v>13.1</v>
      </c>
      <c r="BR94" s="12">
        <f>INDEX(ovrTable,MATCH(INDEX(oppCol24,ROW()),ovrTeamCol,0),MATCH(MID(INDEX(headerRow,1,COLUMN()),4,LEN(INDEX(headerRow,1,COLUMN()))),ovrHeaderRow,0))</f>
        <v>18.8</v>
      </c>
      <c r="BS94" s="12">
        <f>INDEX(ovrTable,MATCH(INDEX(oppCol24,ROW()),ovrTeamCol,0),MATCH(MID(INDEX(headerRow,1,COLUMN()),4,LEN(INDEX(headerRow,1,COLUMN()))),ovrHeaderRow,0))</f>
        <v>3.6</v>
      </c>
      <c r="BT94" s="12">
        <f>INDEX(ovrTable,MATCH(INDEX(oppCol24,ROW()),ovrTeamCol,0),MATCH(MID(INDEX(headerRow,1,COLUMN()),4,LEN(INDEX(headerRow,1,COLUMN()))),ovrHeaderRow,0))</f>
        <v>43.3</v>
      </c>
      <c r="BU94" s="12">
        <f>INDEX(ovrTable,MATCH(INDEX(oppCol24,ROW()),ovrTeamCol,0),MATCH(MID(INDEX(headerRow,1,COLUMN()),4,LEN(INDEX(headerRow,1,COLUMN()))),ovrHeaderRow,0))</f>
        <v>25.17</v>
      </c>
      <c r="BV94" s="12">
        <f>INDEX(ovrTable,MATCH(INDEX(oppCol24,ROW()),ovrTeamCol,0),MATCH(MID(INDEX(headerRow,1,COLUMN()),4,LEN(INDEX(headerRow,1,COLUMN()))),ovrHeaderRow,0))</f>
        <v>0.50700000000000001</v>
      </c>
      <c r="BW94" s="12">
        <f>INDEX(ovrTable,MATCH(INDEX(oppCol24,ROW()),ovrTeamCol,0),MATCH(MID(INDEX(headerRow,1,COLUMN()),4,LEN(INDEX(headerRow,1,COLUMN()))),ovrHeaderRow,0))</f>
        <v>11.98</v>
      </c>
      <c r="BX94" s="12">
        <f>INDEX(ovrTable,MATCH(INDEX(oppCol24,ROW()),ovrTeamCol,0),MATCH(MID(INDEX(headerRow,1,COLUMN()),4,LEN(INDEX(headerRow,1,COLUMN()))),ovrHeaderRow,0))</f>
        <v>45</v>
      </c>
      <c r="BY94" s="12">
        <f>INDEX(ovrTable,MATCH(INDEX(oppCol24,ROW()),ovrTeamCol,0),MATCH(MID(INDEX(headerRow,1,COLUMN()),4,LEN(INDEX(headerRow,1,COLUMN()))),ovrHeaderRow,0))</f>
        <v>16.2</v>
      </c>
      <c r="BZ94" s="12">
        <f>INDEX(ovrTable,MATCH(INDEX(oppCol24,ROW()),ovrTeamCol,0),MATCH(MID(INDEX(headerRow,1,COLUMN()),4,LEN(INDEX(headerRow,1,COLUMN()))),ovrHeaderRow,0))</f>
        <v>73.3</v>
      </c>
      <c r="CA94" s="12">
        <f>INDEX(ovrTable,MATCH(INDEX(oppCol24,ROW()),ovrTeamCol,0),MATCH(MID(INDEX(headerRow,1,COLUMN()),4,LEN(INDEX(headerRow,1,COLUMN()))),ovrHeaderRow,0))</f>
        <v>19.399999999999999</v>
      </c>
      <c r="CB94" s="12">
        <f>INDEX(ovrTable,MATCH(INDEX(oppCol24,ROW()),ovrTeamCol,0),MATCH(MID(INDEX(headerRow,1,COLUMN()),4,LEN(INDEX(headerRow,1,COLUMN()))),ovrHeaderRow,0))</f>
        <v>14.2</v>
      </c>
      <c r="CC94" s="12">
        <f>INDEX(ovrTable,MATCH(INDEX(oppCol24,ROW()),ovrTeamCol,0),MATCH(MID(INDEX(headerRow,1,COLUMN()),4,LEN(INDEX(headerRow,1,COLUMN()))),ovrHeaderRow,0))</f>
        <v>71.8</v>
      </c>
      <c r="CD94" s="12">
        <f>INDEX(ovrTable,MATCH(INDEX(oppCol24,ROW()),ovrTeamCol,0),MATCH(MID(INDEX(headerRow,1,COLUMN()),4,LEN(INDEX(headerRow,1,COLUMN()))),ovrHeaderRow,0))</f>
        <v>10.119999999999999</v>
      </c>
      <c r="CE94" s="12">
        <f>INDEX(ovrTable,MATCH(INDEX(oppCol24,ROW()),ovrTeamCol,0),MATCH(MID(INDEX(headerRow,1,COLUMN()),4,LEN(INDEX(headerRow,1,COLUMN()))),ovrHeaderRow,0))</f>
        <v>75.599999999999994</v>
      </c>
      <c r="CF94" s="12">
        <f>INDEX(ovrTable,MATCH(INDEX(oppCol24,ROW()),ovrTeamCol,0),MATCH(MID(INDEX(headerRow,1,COLUMN()),4,LEN(INDEX(headerRow,1,COLUMN()))),ovrHeaderRow,0))</f>
        <v>-0.9</v>
      </c>
      <c r="CG94" s="12">
        <f>INDEX(ovrTable,MATCH(INDEX(oppCol24,ROW()),ovrTeamCol,0),MATCH(MID(INDEX(headerRow,1,COLUMN()),4,LEN(INDEX(headerRow,1,COLUMN()))),ovrHeaderRow,0))</f>
        <v>35.29</v>
      </c>
      <c r="CH94" s="12">
        <f>INDEX(ovrTable,MATCH(INDEX(oppCol24,ROW()),ovrTeamCol,0),MATCH(MID(INDEX(headerRow,1,COLUMN()),4,LEN(INDEX(headerRow,1,COLUMN()))),ovrHeaderRow,0))</f>
        <v>3.9</v>
      </c>
      <c r="CI94" s="12">
        <f>INDEX(ovrTable,MATCH(INDEX(oppCol24,ROW()),ovrTeamCol,0),MATCH(MID(INDEX(headerRow,1,COLUMN()),4,LEN(INDEX(headerRow,1,COLUMN()))),ovrHeaderRow,0))</f>
        <v>7.2</v>
      </c>
      <c r="CJ94" s="12">
        <f>INDEX(ovrTable,MATCH(INDEX(oppCol24,ROW()),ovrTeamCol,0),MATCH(MID(INDEX(headerRow,1,COLUMN()),4,LEN(INDEX(headerRow,1,COLUMN()))),ovrHeaderRow,0))</f>
        <v>2.7</v>
      </c>
      <c r="CK94" s="12">
        <f>INDEX(ovrTable,MATCH(INDEX(oppCol24,ROW()),ovrTeamCol,0),MATCH(MID(INDEX(headerRow,1,COLUMN()),4,LEN(INDEX(headerRow,1,COLUMN()))),ovrHeaderRow,0))</f>
        <v>12.22</v>
      </c>
      <c r="CL94" s="12">
        <f>INDEX(ovrTable,MATCH(INDEX(oppCol24,ROW()),ovrTeamCol,0),MATCH(MID(INDEX(headerRow,1,COLUMN()),4,LEN(INDEX(headerRow,1,COLUMN()))),ovrHeaderRow,0))</f>
        <v>9.6</v>
      </c>
      <c r="CM94" s="12">
        <f>INDEX(ovrTable,MATCH(INDEX(oppCol24,ROW()),ovrTeamCol,0),MATCH(MID(INDEX(headerRow,1,COLUMN()),4,LEN(INDEX(headerRow,1,COLUMN()))),ovrHeaderRow,0))</f>
        <v>70.8</v>
      </c>
      <c r="CN94" s="12">
        <f>INDEX(ovrTable,MATCH(INDEX(oppCol24,ROW()),ovrTeamCol,0),MATCH(MID(INDEX(headerRow,1,COLUMN()),4,LEN(INDEX(headerRow,1,COLUMN()))),ovrHeaderRow,0))</f>
        <v>20.199999999999996</v>
      </c>
      <c r="CO94" s="12">
        <f>INDEX(ovrTable,MATCH(INDEX(oppCol24,ROW()),ovrTeamCol,0),MATCH(MID(INDEX(headerRow,1,COLUMN()),4,LEN(INDEX(headerRow,1,COLUMN()))),ovrHeaderRow,0))</f>
        <v>60.444444444444436</v>
      </c>
    </row>
    <row r="95" spans="1:93" x14ac:dyDescent="0.3">
      <c r="A95" s="6" t="s">
        <v>39</v>
      </c>
      <c r="B95" s="3">
        <v>11</v>
      </c>
      <c r="C95" s="13" t="s">
        <v>37</v>
      </c>
      <c r="D95" s="14">
        <v>47</v>
      </c>
      <c r="E95" s="23">
        <v>34.285714285714285</v>
      </c>
      <c r="F95" s="24">
        <v>9</v>
      </c>
      <c r="G95" s="23">
        <v>34.615384615384613</v>
      </c>
      <c r="H95" s="24">
        <v>26</v>
      </c>
      <c r="I95" s="25">
        <v>2.375</v>
      </c>
      <c r="J95" s="24">
        <v>19</v>
      </c>
      <c r="K95" s="24">
        <v>10</v>
      </c>
      <c r="L95" s="24">
        <v>5</v>
      </c>
      <c r="M95" s="24">
        <v>36.799999999999997</v>
      </c>
      <c r="N95" s="24">
        <v>34</v>
      </c>
      <c r="O95" s="26">
        <v>0.52329310344827584</v>
      </c>
      <c r="P95" s="24">
        <v>7</v>
      </c>
      <c r="Q95" s="24">
        <v>45.3</v>
      </c>
      <c r="R95" s="24">
        <v>16</v>
      </c>
      <c r="S95" s="23">
        <v>75</v>
      </c>
      <c r="T95" s="24">
        <v>16</v>
      </c>
      <c r="U95" s="24">
        <v>12</v>
      </c>
      <c r="V95" s="24">
        <v>73</v>
      </c>
      <c r="W95" s="24">
        <v>12</v>
      </c>
      <c r="X95" s="24">
        <v>79</v>
      </c>
      <c r="Y95" s="24">
        <v>12</v>
      </c>
      <c r="Z95" s="24">
        <v>46</v>
      </c>
      <c r="AA95" s="24">
        <v>6</v>
      </c>
      <c r="AB95" s="24">
        <v>4</v>
      </c>
      <c r="AC95" s="24">
        <v>-1</v>
      </c>
      <c r="AD95" s="24">
        <v>7</v>
      </c>
      <c r="AE95" s="24">
        <v>8</v>
      </c>
      <c r="AF95" s="46">
        <f t="shared" si="85"/>
        <v>67.617660044150114</v>
      </c>
      <c r="AG95" s="51">
        <f t="shared" ref="AG95" si="123">AVERAGE(AF94,AF95)</f>
        <v>69.338721326422885</v>
      </c>
      <c r="AH95" s="12">
        <f t="shared" si="118"/>
        <v>33.5</v>
      </c>
      <c r="AI95" s="12">
        <f t="shared" si="118"/>
        <v>7</v>
      </c>
      <c r="AJ95" s="12">
        <f t="shared" si="118"/>
        <v>34.5</v>
      </c>
      <c r="AK95" s="12">
        <f t="shared" si="118"/>
        <v>20.2</v>
      </c>
      <c r="AL95" s="12">
        <f t="shared" si="118"/>
        <v>1.37</v>
      </c>
      <c r="AM95" s="12">
        <f t="shared" si="118"/>
        <v>13.1</v>
      </c>
      <c r="AN95" s="12">
        <f t="shared" si="118"/>
        <v>18.8</v>
      </c>
      <c r="AO95" s="12">
        <f t="shared" si="118"/>
        <v>3.6</v>
      </c>
      <c r="AP95" s="12">
        <f t="shared" si="118"/>
        <v>43.3</v>
      </c>
      <c r="AQ95" s="12">
        <f t="shared" si="118"/>
        <v>25.17</v>
      </c>
      <c r="AR95" s="12">
        <f t="shared" si="119"/>
        <v>0.50700000000000001</v>
      </c>
      <c r="AS95" s="12">
        <f t="shared" si="119"/>
        <v>11.98</v>
      </c>
      <c r="AT95" s="12">
        <f t="shared" si="119"/>
        <v>45</v>
      </c>
      <c r="AU95" s="12">
        <f t="shared" si="119"/>
        <v>16.2</v>
      </c>
      <c r="AV95" s="12">
        <f t="shared" si="119"/>
        <v>73.3</v>
      </c>
      <c r="AW95" s="12">
        <f t="shared" si="119"/>
        <v>19.399999999999999</v>
      </c>
      <c r="AX95" s="12">
        <f t="shared" si="119"/>
        <v>14.2</v>
      </c>
      <c r="AY95" s="12">
        <f t="shared" si="119"/>
        <v>71.8</v>
      </c>
      <c r="AZ95" s="12">
        <f t="shared" si="119"/>
        <v>10.119999999999999</v>
      </c>
      <c r="BA95" s="12">
        <f t="shared" si="119"/>
        <v>75.599999999999994</v>
      </c>
      <c r="BB95" s="12">
        <f t="shared" si="120"/>
        <v>-0.9</v>
      </c>
      <c r="BC95" s="12">
        <f t="shared" si="120"/>
        <v>35.29</v>
      </c>
      <c r="BD95" s="12">
        <f t="shared" si="120"/>
        <v>3.9</v>
      </c>
      <c r="BE95" s="12">
        <f t="shared" si="120"/>
        <v>7.2</v>
      </c>
      <c r="BF95" s="12">
        <f t="shared" si="120"/>
        <v>2.7</v>
      </c>
      <c r="BG95" s="12">
        <f t="shared" si="120"/>
        <v>12.22</v>
      </c>
      <c r="BH95" s="12">
        <f t="shared" si="120"/>
        <v>9.6</v>
      </c>
      <c r="BI95" s="12">
        <f t="shared" si="120"/>
        <v>70.8</v>
      </c>
      <c r="BJ95" s="12">
        <f t="shared" si="120"/>
        <v>20.199999999999996</v>
      </c>
      <c r="BK95" s="12">
        <f t="shared" si="120"/>
        <v>60.444444444444436</v>
      </c>
      <c r="BL95" s="12">
        <f>INDEX(ovrTable,MATCH(INDEX(oppCol24,ROW()),ovrTeamCol,0),MATCH(MID(INDEX(headerRow,1,COLUMN()),4,LEN(INDEX(headerRow,1,COLUMN()))),ovrHeaderRow,0))</f>
        <v>33.9</v>
      </c>
      <c r="BM95" s="12">
        <f>INDEX(ovrTable,MATCH(INDEX(oppCol24,ROW()),ovrTeamCol,0),MATCH(MID(INDEX(headerRow,1,COLUMN()),4,LEN(INDEX(headerRow,1,COLUMN()))),ovrHeaderRow,0))</f>
        <v>8.8000000000000007</v>
      </c>
      <c r="BN95" s="12">
        <f>INDEX(ovrTable,MATCH(INDEX(oppCol24,ROW()),ovrTeamCol,0),MATCH(MID(INDEX(headerRow,1,COLUMN()),4,LEN(INDEX(headerRow,1,COLUMN()))),ovrHeaderRow,0))</f>
        <v>35.5</v>
      </c>
      <c r="BO95" s="12">
        <f>INDEX(ovrTable,MATCH(INDEX(oppCol24,ROW()),ovrTeamCol,0),MATCH(MID(INDEX(headerRow,1,COLUMN()),4,LEN(INDEX(headerRow,1,COLUMN()))),ovrHeaderRow,0))</f>
        <v>24.9</v>
      </c>
      <c r="BP95" s="12">
        <f>INDEX(ovrTable,MATCH(INDEX(oppCol24,ROW()),ovrTeamCol,0),MATCH(MID(INDEX(headerRow,1,COLUMN()),4,LEN(INDEX(headerRow,1,COLUMN()))),ovrHeaderRow,0))</f>
        <v>1.32</v>
      </c>
      <c r="BQ95" s="12">
        <f>INDEX(ovrTable,MATCH(INDEX(oppCol24,ROW()),ovrTeamCol,0),MATCH(MID(INDEX(headerRow,1,COLUMN()),4,LEN(INDEX(headerRow,1,COLUMN()))),ovrHeaderRow,0))</f>
        <v>14.5</v>
      </c>
      <c r="BR95" s="12">
        <f>INDEX(ovrTable,MATCH(INDEX(oppCol24,ROW()),ovrTeamCol,0),MATCH(MID(INDEX(headerRow,1,COLUMN()),4,LEN(INDEX(headerRow,1,COLUMN()))),ovrHeaderRow,0))</f>
        <v>21.08</v>
      </c>
      <c r="BS95" s="12">
        <f>INDEX(ovrTable,MATCH(INDEX(oppCol24,ROW()),ovrTeamCol,0),MATCH(MID(INDEX(headerRow,1,COLUMN()),4,LEN(INDEX(headerRow,1,COLUMN()))),ovrHeaderRow,0))</f>
        <v>2.8</v>
      </c>
      <c r="BT95" s="12">
        <f>INDEX(ovrTable,MATCH(INDEX(oppCol24,ROW()),ovrTeamCol,0),MATCH(MID(INDEX(headerRow,1,COLUMN()),4,LEN(INDEX(headerRow,1,COLUMN()))),ovrHeaderRow,0))</f>
        <v>43.7</v>
      </c>
      <c r="BU95" s="12">
        <f>INDEX(ovrTable,MATCH(INDEX(oppCol24,ROW()),ovrTeamCol,0),MATCH(MID(INDEX(headerRow,1,COLUMN()),4,LEN(INDEX(headerRow,1,COLUMN()))),ovrHeaderRow,0))</f>
        <v>25.25</v>
      </c>
      <c r="BV95" s="12">
        <f>INDEX(ovrTable,MATCH(INDEX(oppCol24,ROW()),ovrTeamCol,0),MATCH(MID(INDEX(headerRow,1,COLUMN()),4,LEN(INDEX(headerRow,1,COLUMN()))),ovrHeaderRow,0))</f>
        <v>0.51900000000000002</v>
      </c>
      <c r="BW95" s="12">
        <f>INDEX(ovrTable,MATCH(INDEX(oppCol24,ROW()),ovrTeamCol,0),MATCH(MID(INDEX(headerRow,1,COLUMN()),4,LEN(INDEX(headerRow,1,COLUMN()))),ovrHeaderRow,0))</f>
        <v>7.47</v>
      </c>
      <c r="BX95" s="12">
        <f>INDEX(ovrTable,MATCH(INDEX(oppCol24,ROW()),ovrTeamCol,0),MATCH(MID(INDEX(headerRow,1,COLUMN()),4,LEN(INDEX(headerRow,1,COLUMN()))),ovrHeaderRow,0))</f>
        <v>44.6</v>
      </c>
      <c r="BY95" s="12">
        <f>INDEX(ovrTable,MATCH(INDEX(oppCol24,ROW()),ovrTeamCol,0),MATCH(MID(INDEX(headerRow,1,COLUMN()),4,LEN(INDEX(headerRow,1,COLUMN()))),ovrHeaderRow,0))</f>
        <v>15.1</v>
      </c>
      <c r="BZ95" s="12">
        <f>INDEX(ovrTable,MATCH(INDEX(oppCol24,ROW()),ovrTeamCol,0),MATCH(MID(INDEX(headerRow,1,COLUMN()),4,LEN(INDEX(headerRow,1,COLUMN()))),ovrHeaderRow,0))</f>
        <v>75.099999999999994</v>
      </c>
      <c r="CA95" s="12">
        <f>INDEX(ovrTable,MATCH(INDEX(oppCol24,ROW()),ovrTeamCol,0),MATCH(MID(INDEX(headerRow,1,COLUMN()),4,LEN(INDEX(headerRow,1,COLUMN()))),ovrHeaderRow,0))</f>
        <v>18.5</v>
      </c>
      <c r="CB95" s="12">
        <f>INDEX(ovrTable,MATCH(INDEX(oppCol24,ROW()),ovrTeamCol,0),MATCH(MID(INDEX(headerRow,1,COLUMN()),4,LEN(INDEX(headerRow,1,COLUMN()))),ovrHeaderRow,0))</f>
        <v>13.9</v>
      </c>
      <c r="CC95" s="12">
        <f>INDEX(ovrTable,MATCH(INDEX(oppCol24,ROW()),ovrTeamCol,0),MATCH(MID(INDEX(headerRow,1,COLUMN()),4,LEN(INDEX(headerRow,1,COLUMN()))),ovrHeaderRow,0))</f>
        <v>73.2</v>
      </c>
      <c r="CD95" s="12">
        <f>INDEX(ovrTable,MATCH(INDEX(oppCol24,ROW()),ovrTeamCol,0),MATCH(MID(INDEX(headerRow,1,COLUMN()),4,LEN(INDEX(headerRow,1,COLUMN()))),ovrHeaderRow,0))</f>
        <v>10.64</v>
      </c>
      <c r="CE95" s="12">
        <f>INDEX(ovrTable,MATCH(INDEX(oppCol24,ROW()),ovrTeamCol,0),MATCH(MID(INDEX(headerRow,1,COLUMN()),4,LEN(INDEX(headerRow,1,COLUMN()))),ovrHeaderRow,0))</f>
        <v>76.400000000000006</v>
      </c>
      <c r="CF95" s="12">
        <f>INDEX(ovrTable,MATCH(INDEX(oppCol24,ROW()),ovrTeamCol,0),MATCH(MID(INDEX(headerRow,1,COLUMN()),4,LEN(INDEX(headerRow,1,COLUMN()))),ovrHeaderRow,0))</f>
        <v>1.2</v>
      </c>
      <c r="CG95" s="12">
        <f>INDEX(ovrTable,MATCH(INDEX(oppCol24,ROW()),ovrTeamCol,0),MATCH(MID(INDEX(headerRow,1,COLUMN()),4,LEN(INDEX(headerRow,1,COLUMN()))),ovrHeaderRow,0))</f>
        <v>35.89</v>
      </c>
      <c r="CH95" s="12">
        <f>INDEX(ovrTable,MATCH(INDEX(oppCol24,ROW()),ovrTeamCol,0),MATCH(MID(INDEX(headerRow,1,COLUMN()),4,LEN(INDEX(headerRow,1,COLUMN()))),ovrHeaderRow,0))</f>
        <v>3.3</v>
      </c>
      <c r="CI95" s="12">
        <f>INDEX(ovrTable,MATCH(INDEX(oppCol24,ROW()),ovrTeamCol,0),MATCH(MID(INDEX(headerRow,1,COLUMN()),4,LEN(INDEX(headerRow,1,COLUMN()))),ovrHeaderRow,0))</f>
        <v>6.6</v>
      </c>
      <c r="CJ95" s="12">
        <f>INDEX(ovrTable,MATCH(INDEX(oppCol24,ROW()),ovrTeamCol,0),MATCH(MID(INDEX(headerRow,1,COLUMN()),4,LEN(INDEX(headerRow,1,COLUMN()))),ovrHeaderRow,0))</f>
        <v>0.2</v>
      </c>
      <c r="CK95" s="12">
        <f>INDEX(ovrTable,MATCH(INDEX(oppCol24,ROW()),ovrTeamCol,0),MATCH(MID(INDEX(headerRow,1,COLUMN()),4,LEN(INDEX(headerRow,1,COLUMN()))),ovrHeaderRow,0))</f>
        <v>11.19</v>
      </c>
      <c r="CL95" s="12">
        <f>INDEX(ovrTable,MATCH(INDEX(oppCol24,ROW()),ovrTeamCol,0),MATCH(MID(INDEX(headerRow,1,COLUMN()),4,LEN(INDEX(headerRow,1,COLUMN()))),ovrHeaderRow,0))</f>
        <v>11</v>
      </c>
      <c r="CM95" s="12">
        <f>INDEX(ovrTable,MATCH(INDEX(oppCol24,ROW()),ovrTeamCol,0),MATCH(MID(INDEX(headerRow,1,COLUMN()),4,LEN(INDEX(headerRow,1,COLUMN()))),ovrHeaderRow,0))</f>
        <v>68.599999999999994</v>
      </c>
      <c r="CN95" s="12">
        <f>INDEX(ovrTable,MATCH(INDEX(oppCol24,ROW()),ovrTeamCol,0),MATCH(MID(INDEX(headerRow,1,COLUMN()),4,LEN(INDEX(headerRow,1,COLUMN()))),ovrHeaderRow,0))</f>
        <v>18.050000000000004</v>
      </c>
      <c r="CO95" s="12">
        <f>INDEX(ovrTable,MATCH(INDEX(oppCol24,ROW()),ovrTeamCol,0),MATCH(MID(INDEX(headerRow,1,COLUMN()),4,LEN(INDEX(headerRow,1,COLUMN()))),ovrHeaderRow,0))</f>
        <v>60.201793721973104</v>
      </c>
    </row>
    <row r="96" spans="1:93" x14ac:dyDescent="0.3">
      <c r="A96" s="6" t="s">
        <v>40</v>
      </c>
      <c r="B96" s="3">
        <v>10</v>
      </c>
      <c r="C96" s="13" t="s">
        <v>50</v>
      </c>
      <c r="D96" s="14">
        <v>48</v>
      </c>
      <c r="E96" s="23">
        <v>42.857142857142854</v>
      </c>
      <c r="F96" s="24">
        <v>10</v>
      </c>
      <c r="G96" s="23">
        <v>33.333333333333329</v>
      </c>
      <c r="H96" s="24">
        <v>30</v>
      </c>
      <c r="I96" s="25">
        <v>1.75</v>
      </c>
      <c r="J96" s="24">
        <v>21</v>
      </c>
      <c r="K96" s="24">
        <v>15</v>
      </c>
      <c r="L96" s="24">
        <v>3</v>
      </c>
      <c r="M96" s="24">
        <v>61.8</v>
      </c>
      <c r="N96" s="24">
        <v>18</v>
      </c>
      <c r="O96" s="26">
        <v>0.5458064516129032</v>
      </c>
      <c r="P96" s="24">
        <v>8</v>
      </c>
      <c r="Q96" s="24">
        <v>47</v>
      </c>
      <c r="R96" s="24">
        <v>11</v>
      </c>
      <c r="S96" s="23">
        <v>71.428571428571431</v>
      </c>
      <c r="T96" s="24">
        <v>7</v>
      </c>
      <c r="U96" s="24">
        <v>5</v>
      </c>
      <c r="V96" s="24">
        <v>81</v>
      </c>
      <c r="W96" s="24">
        <v>12</v>
      </c>
      <c r="X96" s="24">
        <v>77</v>
      </c>
      <c r="Y96" s="24">
        <v>5</v>
      </c>
      <c r="Z96" s="24">
        <v>30</v>
      </c>
      <c r="AA96" s="24">
        <v>-4</v>
      </c>
      <c r="AB96" s="24">
        <v>8</v>
      </c>
      <c r="AC96" s="24">
        <v>0</v>
      </c>
      <c r="AD96" s="24">
        <v>12</v>
      </c>
      <c r="AE96" s="24">
        <v>12</v>
      </c>
      <c r="AF96" s="46">
        <f t="shared" si="85"/>
        <v>69.282446808510642</v>
      </c>
      <c r="AG96" s="51">
        <f t="shared" ref="AG96" si="124">AVERAGE(AF96,AF97)</f>
        <v>68.549314019142059</v>
      </c>
      <c r="AH96" s="12">
        <f t="shared" si="118"/>
        <v>32</v>
      </c>
      <c r="AI96" s="12">
        <f t="shared" si="118"/>
        <v>6.9</v>
      </c>
      <c r="AJ96" s="12">
        <f t="shared" si="118"/>
        <v>39.1</v>
      </c>
      <c r="AK96" s="12">
        <f t="shared" si="118"/>
        <v>17.5</v>
      </c>
      <c r="AL96" s="12">
        <f t="shared" si="118"/>
        <v>1.28</v>
      </c>
      <c r="AM96" s="12">
        <f t="shared" si="118"/>
        <v>16.2</v>
      </c>
      <c r="AN96" s="12">
        <f t="shared" si="118"/>
        <v>11.27</v>
      </c>
      <c r="AO96" s="12">
        <f t="shared" si="118"/>
        <v>2.2000000000000002</v>
      </c>
      <c r="AP96" s="12">
        <f t="shared" si="118"/>
        <v>44</v>
      </c>
      <c r="AQ96" s="12">
        <f t="shared" si="118"/>
        <v>27</v>
      </c>
      <c r="AR96" s="12">
        <f t="shared" si="119"/>
        <v>0.55400000000000005</v>
      </c>
      <c r="AS96" s="12">
        <f t="shared" si="119"/>
        <v>11.97</v>
      </c>
      <c r="AT96" s="12">
        <f t="shared" si="119"/>
        <v>49.5</v>
      </c>
      <c r="AU96" s="12">
        <f t="shared" si="119"/>
        <v>14.8</v>
      </c>
      <c r="AV96" s="12">
        <f t="shared" si="119"/>
        <v>78.400000000000006</v>
      </c>
      <c r="AW96" s="12">
        <f t="shared" si="119"/>
        <v>20.100000000000001</v>
      </c>
      <c r="AX96" s="12">
        <f t="shared" si="119"/>
        <v>15.8</v>
      </c>
      <c r="AY96" s="12">
        <f t="shared" si="119"/>
        <v>71.7</v>
      </c>
      <c r="AZ96" s="12">
        <f t="shared" si="119"/>
        <v>9.9499999999999993</v>
      </c>
      <c r="BA96" s="12">
        <f t="shared" si="119"/>
        <v>79.3</v>
      </c>
      <c r="BB96" s="12">
        <f t="shared" si="120"/>
        <v>6.8</v>
      </c>
      <c r="BC96" s="12">
        <f t="shared" si="120"/>
        <v>36.950000000000003</v>
      </c>
      <c r="BD96" s="12">
        <f t="shared" si="120"/>
        <v>7.6</v>
      </c>
      <c r="BE96" s="12">
        <f t="shared" si="120"/>
        <v>6</v>
      </c>
      <c r="BF96" s="12">
        <f t="shared" si="120"/>
        <v>-2</v>
      </c>
      <c r="BG96" s="12">
        <f t="shared" si="120"/>
        <v>10.59</v>
      </c>
      <c r="BH96" s="12">
        <f t="shared" si="120"/>
        <v>12.6</v>
      </c>
      <c r="BI96" s="12">
        <f t="shared" si="120"/>
        <v>71.3</v>
      </c>
      <c r="BJ96" s="12">
        <f t="shared" si="120"/>
        <v>21.4</v>
      </c>
      <c r="BK96" s="12">
        <f t="shared" si="120"/>
        <v>57.171717171717162</v>
      </c>
      <c r="BL96" s="12">
        <f>INDEX(ovrTable,MATCH(INDEX(oppCol24,ROW()),ovrTeamCol,0),MATCH(MID(INDEX(headerRow,1,COLUMN()),4,LEN(INDEX(headerRow,1,COLUMN()))),ovrHeaderRow,0))</f>
        <v>33.700000000000003</v>
      </c>
      <c r="BM96" s="12">
        <f>INDEX(ovrTable,MATCH(INDEX(oppCol24,ROW()),ovrTeamCol,0),MATCH(MID(INDEX(headerRow,1,COLUMN()),4,LEN(INDEX(headerRow,1,COLUMN()))),ovrHeaderRow,0))</f>
        <v>8.8000000000000007</v>
      </c>
      <c r="BN96" s="12">
        <f>INDEX(ovrTable,MATCH(INDEX(oppCol24,ROW()),ovrTeamCol,0),MATCH(MID(INDEX(headerRow,1,COLUMN()),4,LEN(INDEX(headerRow,1,COLUMN()))),ovrHeaderRow,0))</f>
        <v>35.200000000000003</v>
      </c>
      <c r="BO96" s="12">
        <f>INDEX(ovrTable,MATCH(INDEX(oppCol24,ROW()),ovrTeamCol,0),MATCH(MID(INDEX(headerRow,1,COLUMN()),4,LEN(INDEX(headerRow,1,COLUMN()))),ovrHeaderRow,0))</f>
        <v>25.1</v>
      </c>
      <c r="BP96" s="12">
        <f>INDEX(ovrTable,MATCH(INDEX(oppCol24,ROW()),ovrTeamCol,0),MATCH(MID(INDEX(headerRow,1,COLUMN()),4,LEN(INDEX(headerRow,1,COLUMN()))),ovrHeaderRow,0))</f>
        <v>1.59</v>
      </c>
      <c r="BQ96" s="12">
        <f>INDEX(ovrTable,MATCH(INDEX(oppCol24,ROW()),ovrTeamCol,0),MATCH(MID(INDEX(headerRow,1,COLUMN()),4,LEN(INDEX(headerRow,1,COLUMN()))),ovrHeaderRow,0))</f>
        <v>15.9</v>
      </c>
      <c r="BR96" s="12">
        <f>INDEX(ovrTable,MATCH(INDEX(oppCol24,ROW()),ovrTeamCol,0),MATCH(MID(INDEX(headerRow,1,COLUMN()),4,LEN(INDEX(headerRow,1,COLUMN()))),ovrHeaderRow,0))</f>
        <v>14.89</v>
      </c>
      <c r="BS96" s="12">
        <f>INDEX(ovrTable,MATCH(INDEX(oppCol24,ROW()),ovrTeamCol,0),MATCH(MID(INDEX(headerRow,1,COLUMN()),4,LEN(INDEX(headerRow,1,COLUMN()))),ovrHeaderRow,0))</f>
        <v>3.5</v>
      </c>
      <c r="BT96" s="12">
        <f>INDEX(ovrTable,MATCH(INDEX(oppCol24,ROW()),ovrTeamCol,0),MATCH(MID(INDEX(headerRow,1,COLUMN()),4,LEN(INDEX(headerRow,1,COLUMN()))),ovrHeaderRow,0))</f>
        <v>42.6</v>
      </c>
      <c r="BU96" s="12">
        <f>INDEX(ovrTable,MATCH(INDEX(oppCol24,ROW()),ovrTeamCol,0),MATCH(MID(INDEX(headerRow,1,COLUMN()),4,LEN(INDEX(headerRow,1,COLUMN()))),ovrHeaderRow,0))</f>
        <v>24.05</v>
      </c>
      <c r="BV96" s="12">
        <f>INDEX(ovrTable,MATCH(INDEX(oppCol24,ROW()),ovrTeamCol,0),MATCH(MID(INDEX(headerRow,1,COLUMN()),4,LEN(INDEX(headerRow,1,COLUMN()))),ovrHeaderRow,0))</f>
        <v>0.55000000000000004</v>
      </c>
      <c r="BW96" s="12">
        <f>INDEX(ovrTable,MATCH(INDEX(oppCol24,ROW()),ovrTeamCol,0),MATCH(MID(INDEX(headerRow,1,COLUMN()),4,LEN(INDEX(headerRow,1,COLUMN()))),ovrHeaderRow,0))</f>
        <v>12.86</v>
      </c>
      <c r="BX96" s="12">
        <f>INDEX(ovrTable,MATCH(INDEX(oppCol24,ROW()),ovrTeamCol,0),MATCH(MID(INDEX(headerRow,1,COLUMN()),4,LEN(INDEX(headerRow,1,COLUMN()))),ovrHeaderRow,0))</f>
        <v>47.8</v>
      </c>
      <c r="BY96" s="12">
        <f>INDEX(ovrTable,MATCH(INDEX(oppCol24,ROW()),ovrTeamCol,0),MATCH(MID(INDEX(headerRow,1,COLUMN()),4,LEN(INDEX(headerRow,1,COLUMN()))),ovrHeaderRow,0))</f>
        <v>15</v>
      </c>
      <c r="BZ96" s="12">
        <f>INDEX(ovrTable,MATCH(INDEX(oppCol24,ROW()),ovrTeamCol,0),MATCH(MID(INDEX(headerRow,1,COLUMN()),4,LEN(INDEX(headerRow,1,COLUMN()))),ovrHeaderRow,0))</f>
        <v>70.3</v>
      </c>
      <c r="CA96" s="12">
        <f>INDEX(ovrTable,MATCH(INDEX(oppCol24,ROW()),ovrTeamCol,0),MATCH(MID(INDEX(headerRow,1,COLUMN()),4,LEN(INDEX(headerRow,1,COLUMN()))),ovrHeaderRow,0))</f>
        <v>15.6</v>
      </c>
      <c r="CB96" s="12">
        <f>INDEX(ovrTable,MATCH(INDEX(oppCol24,ROW()),ovrTeamCol,0),MATCH(MID(INDEX(headerRow,1,COLUMN()),4,LEN(INDEX(headerRow,1,COLUMN()))),ovrHeaderRow,0))</f>
        <v>10.9</v>
      </c>
      <c r="CC96" s="12">
        <f>INDEX(ovrTable,MATCH(INDEX(oppCol24,ROW()),ovrTeamCol,0),MATCH(MID(INDEX(headerRow,1,COLUMN()),4,LEN(INDEX(headerRow,1,COLUMN()))),ovrHeaderRow,0))</f>
        <v>69.8</v>
      </c>
      <c r="CD96" s="12">
        <f>INDEX(ovrTable,MATCH(INDEX(oppCol24,ROW()),ovrTeamCol,0),MATCH(MID(INDEX(headerRow,1,COLUMN()),4,LEN(INDEX(headerRow,1,COLUMN()))),ovrHeaderRow,0))</f>
        <v>8.6999999999999993</v>
      </c>
      <c r="CE96" s="12">
        <f>INDEX(ovrTable,MATCH(INDEX(oppCol24,ROW()),ovrTeamCol,0),MATCH(MID(INDEX(headerRow,1,COLUMN()),4,LEN(INDEX(headerRow,1,COLUMN()))),ovrHeaderRow,0))</f>
        <v>78.099999999999994</v>
      </c>
      <c r="CF96" s="12">
        <f>INDEX(ovrTable,MATCH(INDEX(oppCol24,ROW()),ovrTeamCol,0),MATCH(MID(INDEX(headerRow,1,COLUMN()),4,LEN(INDEX(headerRow,1,COLUMN()))),ovrHeaderRow,0))</f>
        <v>-3.1</v>
      </c>
      <c r="CG96" s="12">
        <f>INDEX(ovrTable,MATCH(INDEX(oppCol24,ROW()),ovrTeamCol,0),MATCH(MID(INDEX(headerRow,1,COLUMN()),4,LEN(INDEX(headerRow,1,COLUMN()))),ovrHeaderRow,0))</f>
        <v>32.76</v>
      </c>
      <c r="CH96" s="12">
        <f>INDEX(ovrTable,MATCH(INDEX(oppCol24,ROW()),ovrTeamCol,0),MATCH(MID(INDEX(headerRow,1,COLUMN()),4,LEN(INDEX(headerRow,1,COLUMN()))),ovrHeaderRow,0))</f>
        <v>8.1999999999999993</v>
      </c>
      <c r="CI96" s="12">
        <f>INDEX(ovrTable,MATCH(INDEX(oppCol24,ROW()),ovrTeamCol,0),MATCH(MID(INDEX(headerRow,1,COLUMN()),4,LEN(INDEX(headerRow,1,COLUMN()))),ovrHeaderRow,0))</f>
        <v>8.6</v>
      </c>
      <c r="CJ96" s="12">
        <f>INDEX(ovrTable,MATCH(INDEX(oppCol24,ROW()),ovrTeamCol,0),MATCH(MID(INDEX(headerRow,1,COLUMN()),4,LEN(INDEX(headerRow,1,COLUMN()))),ovrHeaderRow,0))</f>
        <v>4.7</v>
      </c>
      <c r="CK96" s="12">
        <f>INDEX(ovrTable,MATCH(INDEX(oppCol24,ROW()),ovrTeamCol,0),MATCH(MID(INDEX(headerRow,1,COLUMN()),4,LEN(INDEX(headerRow,1,COLUMN()))),ovrHeaderRow,0))</f>
        <v>14.7</v>
      </c>
      <c r="CL96" s="12">
        <f>INDEX(ovrTable,MATCH(INDEX(oppCol24,ROW()),ovrTeamCol,0),MATCH(MID(INDEX(headerRow,1,COLUMN()),4,LEN(INDEX(headerRow,1,COLUMN()))),ovrHeaderRow,0))</f>
        <v>10</v>
      </c>
      <c r="CM96" s="12">
        <f>INDEX(ovrTable,MATCH(INDEX(oppCol24,ROW()),ovrTeamCol,0),MATCH(MID(INDEX(headerRow,1,COLUMN()),4,LEN(INDEX(headerRow,1,COLUMN()))),ovrHeaderRow,0))</f>
        <v>71</v>
      </c>
      <c r="CN96" s="12">
        <f>INDEX(ovrTable,MATCH(INDEX(oppCol24,ROW()),ovrTeamCol,0),MATCH(MID(INDEX(headerRow,1,COLUMN()),4,LEN(INDEX(headerRow,1,COLUMN()))),ovrHeaderRow,0))</f>
        <v>20.399999999999991</v>
      </c>
      <c r="CO96" s="12">
        <f>INDEX(ovrTable,MATCH(INDEX(oppCol24,ROW()),ovrTeamCol,0),MATCH(MID(INDEX(headerRow,1,COLUMN()),4,LEN(INDEX(headerRow,1,COLUMN()))),ovrHeaderRow,0))</f>
        <v>61.087866108786592</v>
      </c>
    </row>
    <row r="97" spans="1:93" x14ac:dyDescent="0.3">
      <c r="A97" s="6" t="s">
        <v>50</v>
      </c>
      <c r="B97" s="3">
        <v>2</v>
      </c>
      <c r="C97" s="13" t="s">
        <v>40</v>
      </c>
      <c r="D97" s="14">
        <v>48</v>
      </c>
      <c r="E97" s="23">
        <v>33.333333333333329</v>
      </c>
      <c r="F97" s="24">
        <v>9</v>
      </c>
      <c r="G97" s="23">
        <v>42.857142857142854</v>
      </c>
      <c r="H97" s="24">
        <v>21</v>
      </c>
      <c r="I97" s="25">
        <v>1.5</v>
      </c>
      <c r="J97" s="24">
        <v>18</v>
      </c>
      <c r="K97" s="24">
        <v>12</v>
      </c>
      <c r="L97" s="24">
        <v>4</v>
      </c>
      <c r="M97" s="24">
        <v>47</v>
      </c>
      <c r="N97" s="24">
        <v>22</v>
      </c>
      <c r="O97" s="26">
        <v>0.69979411764705868</v>
      </c>
      <c r="P97" s="24">
        <v>11</v>
      </c>
      <c r="Q97" s="24">
        <v>61.8</v>
      </c>
      <c r="R97" s="24">
        <v>10</v>
      </c>
      <c r="S97" s="23">
        <v>50</v>
      </c>
      <c r="T97" s="24">
        <v>8</v>
      </c>
      <c r="U97" s="24">
        <v>4</v>
      </c>
      <c r="V97" s="24">
        <v>77</v>
      </c>
      <c r="W97" s="24">
        <v>3</v>
      </c>
      <c r="X97" s="24">
        <v>81</v>
      </c>
      <c r="Y97" s="24">
        <v>-5</v>
      </c>
      <c r="Z97" s="24">
        <v>25</v>
      </c>
      <c r="AA97" s="24">
        <v>4</v>
      </c>
      <c r="AB97" s="24">
        <v>10</v>
      </c>
      <c r="AC97" s="24">
        <v>0</v>
      </c>
      <c r="AD97" s="24">
        <v>12</v>
      </c>
      <c r="AE97" s="24">
        <v>12</v>
      </c>
      <c r="AF97" s="46">
        <f t="shared" si="85"/>
        <v>67.816181229773463</v>
      </c>
      <c r="AG97" s="51">
        <f t="shared" ref="AG97" si="125">AVERAGE(AF96,AF97)</f>
        <v>68.549314019142059</v>
      </c>
      <c r="AH97" s="12">
        <f t="shared" si="118"/>
        <v>33.700000000000003</v>
      </c>
      <c r="AI97" s="12">
        <f t="shared" si="118"/>
        <v>8.8000000000000007</v>
      </c>
      <c r="AJ97" s="12">
        <f t="shared" si="118"/>
        <v>35.200000000000003</v>
      </c>
      <c r="AK97" s="12">
        <f t="shared" si="118"/>
        <v>25.1</v>
      </c>
      <c r="AL97" s="12">
        <f t="shared" si="118"/>
        <v>1.59</v>
      </c>
      <c r="AM97" s="12">
        <f t="shared" si="118"/>
        <v>15.9</v>
      </c>
      <c r="AN97" s="12">
        <f t="shared" si="118"/>
        <v>14.89</v>
      </c>
      <c r="AO97" s="12">
        <f t="shared" si="118"/>
        <v>3.5</v>
      </c>
      <c r="AP97" s="12">
        <f t="shared" si="118"/>
        <v>42.6</v>
      </c>
      <c r="AQ97" s="12">
        <f t="shared" si="118"/>
        <v>24.05</v>
      </c>
      <c r="AR97" s="12">
        <f t="shared" si="119"/>
        <v>0.55000000000000004</v>
      </c>
      <c r="AS97" s="12">
        <f t="shared" si="119"/>
        <v>12.86</v>
      </c>
      <c r="AT97" s="12">
        <f t="shared" si="119"/>
        <v>47.8</v>
      </c>
      <c r="AU97" s="12">
        <f t="shared" si="119"/>
        <v>15</v>
      </c>
      <c r="AV97" s="12">
        <f t="shared" si="119"/>
        <v>70.3</v>
      </c>
      <c r="AW97" s="12">
        <f t="shared" si="119"/>
        <v>15.6</v>
      </c>
      <c r="AX97" s="12">
        <f t="shared" si="119"/>
        <v>10.9</v>
      </c>
      <c r="AY97" s="12">
        <f t="shared" si="119"/>
        <v>69.8</v>
      </c>
      <c r="AZ97" s="12">
        <f t="shared" si="119"/>
        <v>8.6999999999999993</v>
      </c>
      <c r="BA97" s="12">
        <f t="shared" si="119"/>
        <v>78.099999999999994</v>
      </c>
      <c r="BB97" s="12">
        <f t="shared" si="120"/>
        <v>-3.1</v>
      </c>
      <c r="BC97" s="12">
        <f t="shared" si="120"/>
        <v>32.76</v>
      </c>
      <c r="BD97" s="12">
        <f t="shared" si="120"/>
        <v>8.1999999999999993</v>
      </c>
      <c r="BE97" s="12">
        <f t="shared" si="120"/>
        <v>8.6</v>
      </c>
      <c r="BF97" s="12">
        <f t="shared" si="120"/>
        <v>4.7</v>
      </c>
      <c r="BG97" s="12">
        <f t="shared" si="120"/>
        <v>14.7</v>
      </c>
      <c r="BH97" s="12">
        <f t="shared" si="120"/>
        <v>10</v>
      </c>
      <c r="BI97" s="12">
        <f t="shared" si="120"/>
        <v>71</v>
      </c>
      <c r="BJ97" s="12">
        <f t="shared" si="120"/>
        <v>20.399999999999991</v>
      </c>
      <c r="BK97" s="12">
        <f t="shared" si="120"/>
        <v>61.087866108786592</v>
      </c>
      <c r="BL97" s="12">
        <f>INDEX(ovrTable,MATCH(INDEX(oppCol24,ROW()),ovrTeamCol,0),MATCH(MID(INDEX(headerRow,1,COLUMN()),4,LEN(INDEX(headerRow,1,COLUMN()))),ovrHeaderRow,0))</f>
        <v>32</v>
      </c>
      <c r="BM97" s="12">
        <f>INDEX(ovrTable,MATCH(INDEX(oppCol24,ROW()),ovrTeamCol,0),MATCH(MID(INDEX(headerRow,1,COLUMN()),4,LEN(INDEX(headerRow,1,COLUMN()))),ovrHeaderRow,0))</f>
        <v>6.9</v>
      </c>
      <c r="BN97" s="12">
        <f>INDEX(ovrTable,MATCH(INDEX(oppCol24,ROW()),ovrTeamCol,0),MATCH(MID(INDEX(headerRow,1,COLUMN()),4,LEN(INDEX(headerRow,1,COLUMN()))),ovrHeaderRow,0))</f>
        <v>39.1</v>
      </c>
      <c r="BO97" s="12">
        <f>INDEX(ovrTable,MATCH(INDEX(oppCol24,ROW()),ovrTeamCol,0),MATCH(MID(INDEX(headerRow,1,COLUMN()),4,LEN(INDEX(headerRow,1,COLUMN()))),ovrHeaderRow,0))</f>
        <v>17.5</v>
      </c>
      <c r="BP97" s="12">
        <f>INDEX(ovrTable,MATCH(INDEX(oppCol24,ROW()),ovrTeamCol,0),MATCH(MID(INDEX(headerRow,1,COLUMN()),4,LEN(INDEX(headerRow,1,COLUMN()))),ovrHeaderRow,0))</f>
        <v>1.28</v>
      </c>
      <c r="BQ97" s="12">
        <f>INDEX(ovrTable,MATCH(INDEX(oppCol24,ROW()),ovrTeamCol,0),MATCH(MID(INDEX(headerRow,1,COLUMN()),4,LEN(INDEX(headerRow,1,COLUMN()))),ovrHeaderRow,0))</f>
        <v>16.2</v>
      </c>
      <c r="BR97" s="12">
        <f>INDEX(ovrTable,MATCH(INDEX(oppCol24,ROW()),ovrTeamCol,0),MATCH(MID(INDEX(headerRow,1,COLUMN()),4,LEN(INDEX(headerRow,1,COLUMN()))),ovrHeaderRow,0))</f>
        <v>11.27</v>
      </c>
      <c r="BS97" s="12">
        <f>INDEX(ovrTable,MATCH(INDEX(oppCol24,ROW()),ovrTeamCol,0),MATCH(MID(INDEX(headerRow,1,COLUMN()),4,LEN(INDEX(headerRow,1,COLUMN()))),ovrHeaderRow,0))</f>
        <v>2.2000000000000002</v>
      </c>
      <c r="BT97" s="12">
        <f>INDEX(ovrTable,MATCH(INDEX(oppCol24,ROW()),ovrTeamCol,0),MATCH(MID(INDEX(headerRow,1,COLUMN()),4,LEN(INDEX(headerRow,1,COLUMN()))),ovrHeaderRow,0))</f>
        <v>44</v>
      </c>
      <c r="BU97" s="12">
        <f>INDEX(ovrTable,MATCH(INDEX(oppCol24,ROW()),ovrTeamCol,0),MATCH(MID(INDEX(headerRow,1,COLUMN()),4,LEN(INDEX(headerRow,1,COLUMN()))),ovrHeaderRow,0))</f>
        <v>27</v>
      </c>
      <c r="BV97" s="12">
        <f>INDEX(ovrTable,MATCH(INDEX(oppCol24,ROW()),ovrTeamCol,0),MATCH(MID(INDEX(headerRow,1,COLUMN()),4,LEN(INDEX(headerRow,1,COLUMN()))),ovrHeaderRow,0))</f>
        <v>0.55400000000000005</v>
      </c>
      <c r="BW97" s="12">
        <f>INDEX(ovrTable,MATCH(INDEX(oppCol24,ROW()),ovrTeamCol,0),MATCH(MID(INDEX(headerRow,1,COLUMN()),4,LEN(INDEX(headerRow,1,COLUMN()))),ovrHeaderRow,0))</f>
        <v>11.97</v>
      </c>
      <c r="BX97" s="12">
        <f>INDEX(ovrTable,MATCH(INDEX(oppCol24,ROW()),ovrTeamCol,0),MATCH(MID(INDEX(headerRow,1,COLUMN()),4,LEN(INDEX(headerRow,1,COLUMN()))),ovrHeaderRow,0))</f>
        <v>49.5</v>
      </c>
      <c r="BY97" s="12">
        <f>INDEX(ovrTable,MATCH(INDEX(oppCol24,ROW()),ovrTeamCol,0),MATCH(MID(INDEX(headerRow,1,COLUMN()),4,LEN(INDEX(headerRow,1,COLUMN()))),ovrHeaderRow,0))</f>
        <v>14.8</v>
      </c>
      <c r="BZ97" s="12">
        <f>INDEX(ovrTable,MATCH(INDEX(oppCol24,ROW()),ovrTeamCol,0),MATCH(MID(INDEX(headerRow,1,COLUMN()),4,LEN(INDEX(headerRow,1,COLUMN()))),ovrHeaderRow,0))</f>
        <v>78.400000000000006</v>
      </c>
      <c r="CA97" s="12">
        <f>INDEX(ovrTable,MATCH(INDEX(oppCol24,ROW()),ovrTeamCol,0),MATCH(MID(INDEX(headerRow,1,COLUMN()),4,LEN(INDEX(headerRow,1,COLUMN()))),ovrHeaderRow,0))</f>
        <v>20.100000000000001</v>
      </c>
      <c r="CB97" s="12">
        <f>INDEX(ovrTable,MATCH(INDEX(oppCol24,ROW()),ovrTeamCol,0),MATCH(MID(INDEX(headerRow,1,COLUMN()),4,LEN(INDEX(headerRow,1,COLUMN()))),ovrHeaderRow,0))</f>
        <v>15.8</v>
      </c>
      <c r="CC97" s="12">
        <f>INDEX(ovrTable,MATCH(INDEX(oppCol24,ROW()),ovrTeamCol,0),MATCH(MID(INDEX(headerRow,1,COLUMN()),4,LEN(INDEX(headerRow,1,COLUMN()))),ovrHeaderRow,0))</f>
        <v>71.7</v>
      </c>
      <c r="CD97" s="12">
        <f>INDEX(ovrTable,MATCH(INDEX(oppCol24,ROW()),ovrTeamCol,0),MATCH(MID(INDEX(headerRow,1,COLUMN()),4,LEN(INDEX(headerRow,1,COLUMN()))),ovrHeaderRow,0))</f>
        <v>9.9499999999999993</v>
      </c>
      <c r="CE97" s="12">
        <f>INDEX(ovrTable,MATCH(INDEX(oppCol24,ROW()),ovrTeamCol,0),MATCH(MID(INDEX(headerRow,1,COLUMN()),4,LEN(INDEX(headerRow,1,COLUMN()))),ovrHeaderRow,0))</f>
        <v>79.3</v>
      </c>
      <c r="CF97" s="12">
        <f>INDEX(ovrTable,MATCH(INDEX(oppCol24,ROW()),ovrTeamCol,0),MATCH(MID(INDEX(headerRow,1,COLUMN()),4,LEN(INDEX(headerRow,1,COLUMN()))),ovrHeaderRow,0))</f>
        <v>6.8</v>
      </c>
      <c r="CG97" s="12">
        <f>INDEX(ovrTable,MATCH(INDEX(oppCol24,ROW()),ovrTeamCol,0),MATCH(MID(INDEX(headerRow,1,COLUMN()),4,LEN(INDEX(headerRow,1,COLUMN()))),ovrHeaderRow,0))</f>
        <v>36.950000000000003</v>
      </c>
      <c r="CH97" s="12">
        <f>INDEX(ovrTable,MATCH(INDEX(oppCol24,ROW()),ovrTeamCol,0),MATCH(MID(INDEX(headerRow,1,COLUMN()),4,LEN(INDEX(headerRow,1,COLUMN()))),ovrHeaderRow,0))</f>
        <v>7.6</v>
      </c>
      <c r="CI97" s="12">
        <f>INDEX(ovrTable,MATCH(INDEX(oppCol24,ROW()),ovrTeamCol,0),MATCH(MID(INDEX(headerRow,1,COLUMN()),4,LEN(INDEX(headerRow,1,COLUMN()))),ovrHeaderRow,0))</f>
        <v>6</v>
      </c>
      <c r="CJ97" s="12">
        <f>INDEX(ovrTable,MATCH(INDEX(oppCol24,ROW()),ovrTeamCol,0),MATCH(MID(INDEX(headerRow,1,COLUMN()),4,LEN(INDEX(headerRow,1,COLUMN()))),ovrHeaderRow,0))</f>
        <v>-2</v>
      </c>
      <c r="CK97" s="12">
        <f>INDEX(ovrTable,MATCH(INDEX(oppCol24,ROW()),ovrTeamCol,0),MATCH(MID(INDEX(headerRow,1,COLUMN()),4,LEN(INDEX(headerRow,1,COLUMN()))),ovrHeaderRow,0))</f>
        <v>10.59</v>
      </c>
      <c r="CL97" s="12">
        <f>INDEX(ovrTable,MATCH(INDEX(oppCol24,ROW()),ovrTeamCol,0),MATCH(MID(INDEX(headerRow,1,COLUMN()),4,LEN(INDEX(headerRow,1,COLUMN()))),ovrHeaderRow,0))</f>
        <v>12.6</v>
      </c>
      <c r="CM97" s="12">
        <f>INDEX(ovrTable,MATCH(INDEX(oppCol24,ROW()),ovrTeamCol,0),MATCH(MID(INDEX(headerRow,1,COLUMN()),4,LEN(INDEX(headerRow,1,COLUMN()))),ovrHeaderRow,0))</f>
        <v>71.3</v>
      </c>
      <c r="CN97" s="12">
        <f>INDEX(ovrTable,MATCH(INDEX(oppCol24,ROW()),ovrTeamCol,0),MATCH(MID(INDEX(headerRow,1,COLUMN()),4,LEN(INDEX(headerRow,1,COLUMN()))),ovrHeaderRow,0))</f>
        <v>21.4</v>
      </c>
      <c r="CO97" s="12">
        <f>INDEX(ovrTable,MATCH(INDEX(oppCol24,ROW()),ovrTeamCol,0),MATCH(MID(INDEX(headerRow,1,COLUMN()),4,LEN(INDEX(headerRow,1,COLUMN()))),ovrHeaderRow,0))</f>
        <v>57.171717171717162</v>
      </c>
    </row>
    <row r="98" spans="1:93" x14ac:dyDescent="0.3">
      <c r="A98" s="6" t="s">
        <v>61</v>
      </c>
      <c r="B98" s="3">
        <v>8</v>
      </c>
      <c r="C98" s="13" t="s">
        <v>54</v>
      </c>
      <c r="D98" s="14">
        <v>49</v>
      </c>
      <c r="E98" s="23">
        <v>47.826086956521742</v>
      </c>
      <c r="F98" s="24">
        <v>9</v>
      </c>
      <c r="G98" s="23">
        <v>33.333333333333329</v>
      </c>
      <c r="H98" s="24">
        <v>27</v>
      </c>
      <c r="I98" s="25">
        <v>1.125</v>
      </c>
      <c r="J98" s="24">
        <v>9</v>
      </c>
      <c r="K98" s="24">
        <v>7</v>
      </c>
      <c r="L98" s="24">
        <v>4</v>
      </c>
      <c r="M98" s="24">
        <v>55.9</v>
      </c>
      <c r="N98" s="24">
        <v>19</v>
      </c>
      <c r="O98" s="26">
        <v>0.42923913043478257</v>
      </c>
      <c r="P98" s="24">
        <v>12</v>
      </c>
      <c r="Q98" s="24">
        <v>35.9</v>
      </c>
      <c r="R98" s="24">
        <v>20</v>
      </c>
      <c r="S98" s="23">
        <v>75</v>
      </c>
      <c r="T98" s="24">
        <v>16</v>
      </c>
      <c r="U98" s="24">
        <v>12</v>
      </c>
      <c r="V98" s="24">
        <v>106</v>
      </c>
      <c r="W98" s="24">
        <v>7</v>
      </c>
      <c r="X98" s="24">
        <v>67</v>
      </c>
      <c r="Y98" s="24">
        <v>-23</v>
      </c>
      <c r="Z98" s="24">
        <v>26</v>
      </c>
      <c r="AA98" s="24">
        <v>-39</v>
      </c>
      <c r="AB98" s="24">
        <v>5</v>
      </c>
      <c r="AC98" s="24">
        <v>1</v>
      </c>
      <c r="AD98" s="24">
        <v>9</v>
      </c>
      <c r="AE98" s="24">
        <v>8</v>
      </c>
      <c r="AF98" s="46">
        <f t="shared" si="85"/>
        <v>72.666852367688008</v>
      </c>
      <c r="AG98" s="51">
        <f t="shared" ref="AG98" si="126">AVERAGE(AF98,AF99)</f>
        <v>73.785192731250078</v>
      </c>
      <c r="AH98" s="12">
        <f t="shared" si="118"/>
        <v>29.3</v>
      </c>
      <c r="AI98" s="12">
        <f t="shared" si="118"/>
        <v>6.5</v>
      </c>
      <c r="AJ98" s="12">
        <f t="shared" si="118"/>
        <v>33.299999999999997</v>
      </c>
      <c r="AK98" s="12">
        <f t="shared" si="118"/>
        <v>19.399999999999999</v>
      </c>
      <c r="AL98" s="12">
        <f t="shared" si="118"/>
        <v>1.49</v>
      </c>
      <c r="AM98" s="12">
        <f t="shared" si="118"/>
        <v>16.3</v>
      </c>
      <c r="AN98" s="12">
        <f t="shared" si="118"/>
        <v>18.11</v>
      </c>
      <c r="AO98" s="12">
        <f t="shared" si="118"/>
        <v>4.2</v>
      </c>
      <c r="AP98" s="12">
        <f t="shared" si="118"/>
        <v>43.8</v>
      </c>
      <c r="AQ98" s="12">
        <f t="shared" si="118"/>
        <v>26.34</v>
      </c>
      <c r="AR98" s="12">
        <f t="shared" si="119"/>
        <v>0.54600000000000004</v>
      </c>
      <c r="AS98" s="12">
        <f t="shared" si="119"/>
        <v>10.91</v>
      </c>
      <c r="AT98" s="12">
        <f t="shared" si="119"/>
        <v>49.1</v>
      </c>
      <c r="AU98" s="12">
        <f t="shared" si="119"/>
        <v>17</v>
      </c>
      <c r="AV98" s="12">
        <f t="shared" si="119"/>
        <v>72</v>
      </c>
      <c r="AW98" s="12">
        <f t="shared" si="119"/>
        <v>22.4</v>
      </c>
      <c r="AX98" s="12">
        <f t="shared" si="119"/>
        <v>16.100000000000001</v>
      </c>
      <c r="AY98" s="12">
        <f t="shared" si="119"/>
        <v>71.3</v>
      </c>
      <c r="AZ98" s="12">
        <f t="shared" si="119"/>
        <v>9.49</v>
      </c>
      <c r="BA98" s="12">
        <f t="shared" si="119"/>
        <v>79.7</v>
      </c>
      <c r="BB98" s="12">
        <f t="shared" si="120"/>
        <v>2.8</v>
      </c>
      <c r="BC98" s="12">
        <f t="shared" si="120"/>
        <v>35.83</v>
      </c>
      <c r="BD98" s="12">
        <f t="shared" si="120"/>
        <v>8.3000000000000007</v>
      </c>
      <c r="BE98" s="12">
        <f t="shared" si="120"/>
        <v>6.8</v>
      </c>
      <c r="BF98" s="12">
        <f t="shared" si="120"/>
        <v>0.9</v>
      </c>
      <c r="BG98" s="12">
        <f t="shared" si="120"/>
        <v>11.91</v>
      </c>
      <c r="BH98" s="12">
        <f t="shared" si="120"/>
        <v>11</v>
      </c>
      <c r="BI98" s="12">
        <f t="shared" si="120"/>
        <v>71.900000000000006</v>
      </c>
      <c r="BJ98" s="12">
        <f t="shared" si="120"/>
        <v>22.05</v>
      </c>
      <c r="BK98" s="12">
        <f t="shared" si="120"/>
        <v>58.146639511201627</v>
      </c>
      <c r="BL98" s="12">
        <f>INDEX(ovrTable,MATCH(INDEX(oppCol24,ROW()),ovrTeamCol,0),MATCH(MID(INDEX(headerRow,1,COLUMN()),4,LEN(INDEX(headerRow,1,COLUMN()))),ovrHeaderRow,0))</f>
        <v>31.5</v>
      </c>
      <c r="BM98" s="12">
        <f>INDEX(ovrTable,MATCH(INDEX(oppCol24,ROW()),ovrTeamCol,0),MATCH(MID(INDEX(headerRow,1,COLUMN()),4,LEN(INDEX(headerRow,1,COLUMN()))),ovrHeaderRow,0))</f>
        <v>8.1999999999999993</v>
      </c>
      <c r="BN98" s="12">
        <f>INDEX(ovrTable,MATCH(INDEX(oppCol24,ROW()),ovrTeamCol,0),MATCH(MID(INDEX(headerRow,1,COLUMN()),4,LEN(INDEX(headerRow,1,COLUMN()))),ovrHeaderRow,0))</f>
        <v>40.4</v>
      </c>
      <c r="BO98" s="12">
        <f>INDEX(ovrTable,MATCH(INDEX(oppCol24,ROW()),ovrTeamCol,0),MATCH(MID(INDEX(headerRow,1,COLUMN()),4,LEN(INDEX(headerRow,1,COLUMN()))),ovrHeaderRow,0))</f>
        <v>20.2</v>
      </c>
      <c r="BP98" s="12">
        <f>INDEX(ovrTable,MATCH(INDEX(oppCol24,ROW()),ovrTeamCol,0),MATCH(MID(INDEX(headerRow,1,COLUMN()),4,LEN(INDEX(headerRow,1,COLUMN()))),ovrHeaderRow,0))</f>
        <v>1.63</v>
      </c>
      <c r="BQ98" s="12">
        <f>INDEX(ovrTable,MATCH(INDEX(oppCol24,ROW()),ovrTeamCol,0),MATCH(MID(INDEX(headerRow,1,COLUMN()),4,LEN(INDEX(headerRow,1,COLUMN()))),ovrHeaderRow,0))</f>
        <v>18.5</v>
      </c>
      <c r="BR98" s="12">
        <f>INDEX(ovrTable,MATCH(INDEX(oppCol24,ROW()),ovrTeamCol,0),MATCH(MID(INDEX(headerRow,1,COLUMN()),4,LEN(INDEX(headerRow,1,COLUMN()))),ovrHeaderRow,0))</f>
        <v>16.72</v>
      </c>
      <c r="BS98" s="12">
        <f>INDEX(ovrTable,MATCH(INDEX(oppCol24,ROW()),ovrTeamCol,0),MATCH(MID(INDEX(headerRow,1,COLUMN()),4,LEN(INDEX(headerRow,1,COLUMN()))),ovrHeaderRow,0))</f>
        <v>3.6</v>
      </c>
      <c r="BT98" s="12">
        <f>INDEX(ovrTable,MATCH(INDEX(oppCol24,ROW()),ovrTeamCol,0),MATCH(MID(INDEX(headerRow,1,COLUMN()),4,LEN(INDEX(headerRow,1,COLUMN()))),ovrHeaderRow,0))</f>
        <v>41.7</v>
      </c>
      <c r="BU98" s="12">
        <f>INDEX(ovrTable,MATCH(INDEX(oppCol24,ROW()),ovrTeamCol,0),MATCH(MID(INDEX(headerRow,1,COLUMN()),4,LEN(INDEX(headerRow,1,COLUMN()))),ovrHeaderRow,0))</f>
        <v>28.23</v>
      </c>
      <c r="BV98" s="12">
        <f>INDEX(ovrTable,MATCH(INDEX(oppCol24,ROW()),ovrTeamCol,0),MATCH(MID(INDEX(headerRow,1,COLUMN()),4,LEN(INDEX(headerRow,1,COLUMN()))),ovrHeaderRow,0))</f>
        <v>0.55800000000000005</v>
      </c>
      <c r="BW98" s="12">
        <f>INDEX(ovrTable,MATCH(INDEX(oppCol24,ROW()),ovrTeamCol,0),MATCH(MID(INDEX(headerRow,1,COLUMN()),4,LEN(INDEX(headerRow,1,COLUMN()))),ovrHeaderRow,0))</f>
        <v>7</v>
      </c>
      <c r="BX98" s="12">
        <f>INDEX(ovrTable,MATCH(INDEX(oppCol24,ROW()),ovrTeamCol,0),MATCH(MID(INDEX(headerRow,1,COLUMN()),4,LEN(INDEX(headerRow,1,COLUMN()))),ovrHeaderRow,0))</f>
        <v>48.8</v>
      </c>
      <c r="BY98" s="12">
        <f>INDEX(ovrTable,MATCH(INDEX(oppCol24,ROW()),ovrTeamCol,0),MATCH(MID(INDEX(headerRow,1,COLUMN()),4,LEN(INDEX(headerRow,1,COLUMN()))),ovrHeaderRow,0))</f>
        <v>13.7</v>
      </c>
      <c r="BZ98" s="12">
        <f>INDEX(ovrTable,MATCH(INDEX(oppCol24,ROW()),ovrTeamCol,0),MATCH(MID(INDEX(headerRow,1,COLUMN()),4,LEN(INDEX(headerRow,1,COLUMN()))),ovrHeaderRow,0))</f>
        <v>72</v>
      </c>
      <c r="CA98" s="12">
        <f>INDEX(ovrTable,MATCH(INDEX(oppCol24,ROW()),ovrTeamCol,0),MATCH(MID(INDEX(headerRow,1,COLUMN()),4,LEN(INDEX(headerRow,1,COLUMN()))),ovrHeaderRow,0))</f>
        <v>24.1</v>
      </c>
      <c r="CB98" s="12">
        <f>INDEX(ovrTable,MATCH(INDEX(oppCol24,ROW()),ovrTeamCol,0),MATCH(MID(INDEX(headerRow,1,COLUMN()),4,LEN(INDEX(headerRow,1,COLUMN()))),ovrHeaderRow,0))</f>
        <v>17.3</v>
      </c>
      <c r="CC98" s="12">
        <f>INDEX(ovrTable,MATCH(INDEX(oppCol24,ROW()),ovrTeamCol,0),MATCH(MID(INDEX(headerRow,1,COLUMN()),4,LEN(INDEX(headerRow,1,COLUMN()))),ovrHeaderRow,0))</f>
        <v>68.900000000000006</v>
      </c>
      <c r="CD98" s="12">
        <f>INDEX(ovrTable,MATCH(INDEX(oppCol24,ROW()),ovrTeamCol,0),MATCH(MID(INDEX(headerRow,1,COLUMN()),4,LEN(INDEX(headerRow,1,COLUMN()))),ovrHeaderRow,0))</f>
        <v>12.21</v>
      </c>
      <c r="CE98" s="12">
        <f>INDEX(ovrTable,MATCH(INDEX(oppCol24,ROW()),ovrTeamCol,0),MATCH(MID(INDEX(headerRow,1,COLUMN()),4,LEN(INDEX(headerRow,1,COLUMN()))),ovrHeaderRow,0))</f>
        <v>82.3</v>
      </c>
      <c r="CF98" s="12">
        <f>INDEX(ovrTable,MATCH(INDEX(oppCol24,ROW()),ovrTeamCol,0),MATCH(MID(INDEX(headerRow,1,COLUMN()),4,LEN(INDEX(headerRow,1,COLUMN()))),ovrHeaderRow,0))</f>
        <v>11.2</v>
      </c>
      <c r="CG98" s="12">
        <f>INDEX(ovrTable,MATCH(INDEX(oppCol24,ROW()),ovrTeamCol,0),MATCH(MID(INDEX(headerRow,1,COLUMN()),4,LEN(INDEX(headerRow,1,COLUMN()))),ovrHeaderRow,0))</f>
        <v>40.44</v>
      </c>
      <c r="CH98" s="12">
        <f>INDEX(ovrTable,MATCH(INDEX(oppCol24,ROW()),ovrTeamCol,0),MATCH(MID(INDEX(headerRow,1,COLUMN()),4,LEN(INDEX(headerRow,1,COLUMN()))),ovrHeaderRow,0))</f>
        <v>13.4</v>
      </c>
      <c r="CI98" s="12">
        <f>INDEX(ovrTable,MATCH(INDEX(oppCol24,ROW()),ovrTeamCol,0),MATCH(MID(INDEX(headerRow,1,COLUMN()),4,LEN(INDEX(headerRow,1,COLUMN()))),ovrHeaderRow,0))</f>
        <v>5.4</v>
      </c>
      <c r="CJ98" s="12">
        <f>INDEX(ovrTable,MATCH(INDEX(oppCol24,ROW()),ovrTeamCol,0),MATCH(MID(INDEX(headerRow,1,COLUMN()),4,LEN(INDEX(headerRow,1,COLUMN()))),ovrHeaderRow,0))</f>
        <v>-1.9</v>
      </c>
      <c r="CK98" s="12">
        <f>INDEX(ovrTable,MATCH(INDEX(oppCol24,ROW()),ovrTeamCol,0),MATCH(MID(INDEX(headerRow,1,COLUMN()),4,LEN(INDEX(headerRow,1,COLUMN()))),ovrHeaderRow,0))</f>
        <v>9.44</v>
      </c>
      <c r="CL98" s="12">
        <f>INDEX(ovrTable,MATCH(INDEX(oppCol24,ROW()),ovrTeamCol,0),MATCH(MID(INDEX(headerRow,1,COLUMN()),4,LEN(INDEX(headerRow,1,COLUMN()))),ovrHeaderRow,0))</f>
        <v>11.3</v>
      </c>
      <c r="CM98" s="12">
        <f>INDEX(ovrTable,MATCH(INDEX(oppCol24,ROW()),ovrTeamCol,0),MATCH(MID(INDEX(headerRow,1,COLUMN()),4,LEN(INDEX(headerRow,1,COLUMN()))),ovrHeaderRow,0))</f>
        <v>70.099999999999994</v>
      </c>
      <c r="CN98" s="12">
        <f>INDEX(ovrTable,MATCH(INDEX(oppCol24,ROW()),ovrTeamCol,0),MATCH(MID(INDEX(headerRow,1,COLUMN()),4,LEN(INDEX(headerRow,1,COLUMN()))),ovrHeaderRow,0))</f>
        <v>20.200000000000003</v>
      </c>
      <c r="CO98" s="12">
        <f>INDEX(ovrTable,MATCH(INDEX(oppCol24,ROW()),ovrTeamCol,0),MATCH(MID(INDEX(headerRow,1,COLUMN()),4,LEN(INDEX(headerRow,1,COLUMN()))),ovrHeaderRow,0))</f>
        <v>58.196721311475414</v>
      </c>
    </row>
    <row r="99" spans="1:93" x14ac:dyDescent="0.3">
      <c r="A99" s="6" t="s">
        <v>54</v>
      </c>
      <c r="B99" s="3">
        <v>1</v>
      </c>
      <c r="C99" s="13" t="s">
        <v>61</v>
      </c>
      <c r="D99" s="14">
        <v>49</v>
      </c>
      <c r="E99" s="23">
        <v>33.333333333333329</v>
      </c>
      <c r="F99" s="24">
        <v>11</v>
      </c>
      <c r="G99" s="23">
        <v>47.826086956521742</v>
      </c>
      <c r="H99" s="24">
        <v>23</v>
      </c>
      <c r="I99" s="25">
        <v>3.2222222222222223</v>
      </c>
      <c r="J99" s="24">
        <v>29</v>
      </c>
      <c r="K99" s="24">
        <v>36</v>
      </c>
      <c r="L99" s="24">
        <v>5</v>
      </c>
      <c r="M99" s="24">
        <v>35.9</v>
      </c>
      <c r="N99" s="24">
        <v>36</v>
      </c>
      <c r="O99" s="26">
        <v>0.63990789473684206</v>
      </c>
      <c r="P99" s="24">
        <v>8</v>
      </c>
      <c r="Q99" s="24">
        <v>55.9</v>
      </c>
      <c r="R99" s="24">
        <v>10</v>
      </c>
      <c r="S99" s="23">
        <v>82.608695652173907</v>
      </c>
      <c r="T99" s="24">
        <v>23</v>
      </c>
      <c r="U99" s="24">
        <v>19</v>
      </c>
      <c r="V99" s="24">
        <v>67</v>
      </c>
      <c r="W99" s="24">
        <v>13</v>
      </c>
      <c r="X99" s="24">
        <v>106</v>
      </c>
      <c r="Y99" s="24">
        <v>23</v>
      </c>
      <c r="Z99" s="24">
        <v>49</v>
      </c>
      <c r="AA99" s="24">
        <v>39</v>
      </c>
      <c r="AB99" s="24">
        <v>5</v>
      </c>
      <c r="AC99" s="24">
        <v>-1</v>
      </c>
      <c r="AD99" s="24">
        <v>8</v>
      </c>
      <c r="AE99" s="24">
        <v>9</v>
      </c>
      <c r="AF99" s="46">
        <f t="shared" si="85"/>
        <v>74.903533094812161</v>
      </c>
      <c r="AG99" s="51">
        <f t="shared" ref="AG99" si="127">AVERAGE(AF98,AF99)</f>
        <v>73.785192731250078</v>
      </c>
      <c r="AH99" s="12">
        <f t="shared" si="118"/>
        <v>31.5</v>
      </c>
      <c r="AI99" s="12">
        <f t="shared" si="118"/>
        <v>8.1999999999999993</v>
      </c>
      <c r="AJ99" s="12">
        <f t="shared" si="118"/>
        <v>40.4</v>
      </c>
      <c r="AK99" s="12">
        <f t="shared" si="118"/>
        <v>20.2</v>
      </c>
      <c r="AL99" s="12">
        <f t="shared" si="118"/>
        <v>1.63</v>
      </c>
      <c r="AM99" s="12">
        <f t="shared" si="118"/>
        <v>18.5</v>
      </c>
      <c r="AN99" s="12">
        <f t="shared" si="118"/>
        <v>16.72</v>
      </c>
      <c r="AO99" s="12">
        <f t="shared" si="118"/>
        <v>3.6</v>
      </c>
      <c r="AP99" s="12">
        <f t="shared" si="118"/>
        <v>41.7</v>
      </c>
      <c r="AQ99" s="12">
        <f t="shared" si="118"/>
        <v>28.23</v>
      </c>
      <c r="AR99" s="12">
        <f t="shared" si="119"/>
        <v>0.55800000000000005</v>
      </c>
      <c r="AS99" s="12">
        <f t="shared" si="119"/>
        <v>7</v>
      </c>
      <c r="AT99" s="12">
        <f t="shared" si="119"/>
        <v>48.8</v>
      </c>
      <c r="AU99" s="12">
        <f t="shared" si="119"/>
        <v>13.7</v>
      </c>
      <c r="AV99" s="12">
        <f t="shared" si="119"/>
        <v>72</v>
      </c>
      <c r="AW99" s="12">
        <f t="shared" si="119"/>
        <v>24.1</v>
      </c>
      <c r="AX99" s="12">
        <f t="shared" si="119"/>
        <v>17.3</v>
      </c>
      <c r="AY99" s="12">
        <f t="shared" si="119"/>
        <v>68.900000000000006</v>
      </c>
      <c r="AZ99" s="12">
        <f t="shared" si="119"/>
        <v>12.21</v>
      </c>
      <c r="BA99" s="12">
        <f t="shared" si="119"/>
        <v>82.3</v>
      </c>
      <c r="BB99" s="12">
        <f t="shared" si="120"/>
        <v>11.2</v>
      </c>
      <c r="BC99" s="12">
        <f t="shared" si="120"/>
        <v>40.44</v>
      </c>
      <c r="BD99" s="12">
        <f t="shared" si="120"/>
        <v>13.4</v>
      </c>
      <c r="BE99" s="12">
        <f t="shared" si="120"/>
        <v>5.4</v>
      </c>
      <c r="BF99" s="12">
        <f t="shared" si="120"/>
        <v>-1.9</v>
      </c>
      <c r="BG99" s="12">
        <f t="shared" si="120"/>
        <v>9.44</v>
      </c>
      <c r="BH99" s="12">
        <f t="shared" si="120"/>
        <v>11.3</v>
      </c>
      <c r="BI99" s="12">
        <f t="shared" si="120"/>
        <v>70.099999999999994</v>
      </c>
      <c r="BJ99" s="12">
        <f t="shared" si="120"/>
        <v>20.200000000000003</v>
      </c>
      <c r="BK99" s="12">
        <f t="shared" si="120"/>
        <v>58.196721311475414</v>
      </c>
      <c r="BL99" s="12">
        <f>INDEX(ovrTable,MATCH(INDEX(oppCol24,ROW()),ovrTeamCol,0),MATCH(MID(INDEX(headerRow,1,COLUMN()),4,LEN(INDEX(headerRow,1,COLUMN()))),ovrHeaderRow,0))</f>
        <v>29.3</v>
      </c>
      <c r="BM99" s="12">
        <f>INDEX(ovrTable,MATCH(INDEX(oppCol24,ROW()),ovrTeamCol,0),MATCH(MID(INDEX(headerRow,1,COLUMN()),4,LEN(INDEX(headerRow,1,COLUMN()))),ovrHeaderRow,0))</f>
        <v>6.5</v>
      </c>
      <c r="BN99" s="12">
        <f>INDEX(ovrTable,MATCH(INDEX(oppCol24,ROW()),ovrTeamCol,0),MATCH(MID(INDEX(headerRow,1,COLUMN()),4,LEN(INDEX(headerRow,1,COLUMN()))),ovrHeaderRow,0))</f>
        <v>33.299999999999997</v>
      </c>
      <c r="BO99" s="12">
        <f>INDEX(ovrTable,MATCH(INDEX(oppCol24,ROW()),ovrTeamCol,0),MATCH(MID(INDEX(headerRow,1,COLUMN()),4,LEN(INDEX(headerRow,1,COLUMN()))),ovrHeaderRow,0))</f>
        <v>19.399999999999999</v>
      </c>
      <c r="BP99" s="12">
        <f>INDEX(ovrTable,MATCH(INDEX(oppCol24,ROW()),ovrTeamCol,0),MATCH(MID(INDEX(headerRow,1,COLUMN()),4,LEN(INDEX(headerRow,1,COLUMN()))),ovrHeaderRow,0))</f>
        <v>1.49</v>
      </c>
      <c r="BQ99" s="12">
        <f>INDEX(ovrTable,MATCH(INDEX(oppCol24,ROW()),ovrTeamCol,0),MATCH(MID(INDEX(headerRow,1,COLUMN()),4,LEN(INDEX(headerRow,1,COLUMN()))),ovrHeaderRow,0))</f>
        <v>16.3</v>
      </c>
      <c r="BR99" s="12">
        <f>INDEX(ovrTable,MATCH(INDEX(oppCol24,ROW()),ovrTeamCol,0),MATCH(MID(INDEX(headerRow,1,COLUMN()),4,LEN(INDEX(headerRow,1,COLUMN()))),ovrHeaderRow,0))</f>
        <v>18.11</v>
      </c>
      <c r="BS99" s="12">
        <f>INDEX(ovrTable,MATCH(INDEX(oppCol24,ROW()),ovrTeamCol,0),MATCH(MID(INDEX(headerRow,1,COLUMN()),4,LEN(INDEX(headerRow,1,COLUMN()))),ovrHeaderRow,0))</f>
        <v>4.2</v>
      </c>
      <c r="BT99" s="12">
        <f>INDEX(ovrTable,MATCH(INDEX(oppCol24,ROW()),ovrTeamCol,0),MATCH(MID(INDEX(headerRow,1,COLUMN()),4,LEN(INDEX(headerRow,1,COLUMN()))),ovrHeaderRow,0))</f>
        <v>43.8</v>
      </c>
      <c r="BU99" s="12">
        <f>INDEX(ovrTable,MATCH(INDEX(oppCol24,ROW()),ovrTeamCol,0),MATCH(MID(INDEX(headerRow,1,COLUMN()),4,LEN(INDEX(headerRow,1,COLUMN()))),ovrHeaderRow,0))</f>
        <v>26.34</v>
      </c>
      <c r="BV99" s="12">
        <f>INDEX(ovrTable,MATCH(INDEX(oppCol24,ROW()),ovrTeamCol,0),MATCH(MID(INDEX(headerRow,1,COLUMN()),4,LEN(INDEX(headerRow,1,COLUMN()))),ovrHeaderRow,0))</f>
        <v>0.54600000000000004</v>
      </c>
      <c r="BW99" s="12">
        <f>INDEX(ovrTable,MATCH(INDEX(oppCol24,ROW()),ovrTeamCol,0),MATCH(MID(INDEX(headerRow,1,COLUMN()),4,LEN(INDEX(headerRow,1,COLUMN()))),ovrHeaderRow,0))</f>
        <v>10.91</v>
      </c>
      <c r="BX99" s="12">
        <f>INDEX(ovrTable,MATCH(INDEX(oppCol24,ROW()),ovrTeamCol,0),MATCH(MID(INDEX(headerRow,1,COLUMN()),4,LEN(INDEX(headerRow,1,COLUMN()))),ovrHeaderRow,0))</f>
        <v>49.1</v>
      </c>
      <c r="BY99" s="12">
        <f>INDEX(ovrTable,MATCH(INDEX(oppCol24,ROW()),ovrTeamCol,0),MATCH(MID(INDEX(headerRow,1,COLUMN()),4,LEN(INDEX(headerRow,1,COLUMN()))),ovrHeaderRow,0))</f>
        <v>17</v>
      </c>
      <c r="BZ99" s="12">
        <f>INDEX(ovrTable,MATCH(INDEX(oppCol24,ROW()),ovrTeamCol,0),MATCH(MID(INDEX(headerRow,1,COLUMN()),4,LEN(INDEX(headerRow,1,COLUMN()))),ovrHeaderRow,0))</f>
        <v>72</v>
      </c>
      <c r="CA99" s="12">
        <f>INDEX(ovrTable,MATCH(INDEX(oppCol24,ROW()),ovrTeamCol,0),MATCH(MID(INDEX(headerRow,1,COLUMN()),4,LEN(INDEX(headerRow,1,COLUMN()))),ovrHeaderRow,0))</f>
        <v>22.4</v>
      </c>
      <c r="CB99" s="12">
        <f>INDEX(ovrTable,MATCH(INDEX(oppCol24,ROW()),ovrTeamCol,0),MATCH(MID(INDEX(headerRow,1,COLUMN()),4,LEN(INDEX(headerRow,1,COLUMN()))),ovrHeaderRow,0))</f>
        <v>16.100000000000001</v>
      </c>
      <c r="CC99" s="12">
        <f>INDEX(ovrTable,MATCH(INDEX(oppCol24,ROW()),ovrTeamCol,0),MATCH(MID(INDEX(headerRow,1,COLUMN()),4,LEN(INDEX(headerRow,1,COLUMN()))),ovrHeaderRow,0))</f>
        <v>71.3</v>
      </c>
      <c r="CD99" s="12">
        <f>INDEX(ovrTable,MATCH(INDEX(oppCol24,ROW()),ovrTeamCol,0),MATCH(MID(INDEX(headerRow,1,COLUMN()),4,LEN(INDEX(headerRow,1,COLUMN()))),ovrHeaderRow,0))</f>
        <v>9.49</v>
      </c>
      <c r="CE99" s="12">
        <f>INDEX(ovrTable,MATCH(INDEX(oppCol24,ROW()),ovrTeamCol,0),MATCH(MID(INDEX(headerRow,1,COLUMN()),4,LEN(INDEX(headerRow,1,COLUMN()))),ovrHeaderRow,0))</f>
        <v>79.7</v>
      </c>
      <c r="CF99" s="12">
        <f>INDEX(ovrTable,MATCH(INDEX(oppCol24,ROW()),ovrTeamCol,0),MATCH(MID(INDEX(headerRow,1,COLUMN()),4,LEN(INDEX(headerRow,1,COLUMN()))),ovrHeaderRow,0))</f>
        <v>2.8</v>
      </c>
      <c r="CG99" s="12">
        <f>INDEX(ovrTable,MATCH(INDEX(oppCol24,ROW()),ovrTeamCol,0),MATCH(MID(INDEX(headerRow,1,COLUMN()),4,LEN(INDEX(headerRow,1,COLUMN()))),ovrHeaderRow,0))</f>
        <v>35.83</v>
      </c>
      <c r="CH99" s="12">
        <f>INDEX(ovrTable,MATCH(INDEX(oppCol24,ROW()),ovrTeamCol,0),MATCH(MID(INDEX(headerRow,1,COLUMN()),4,LEN(INDEX(headerRow,1,COLUMN()))),ovrHeaderRow,0))</f>
        <v>8.3000000000000007</v>
      </c>
      <c r="CI99" s="12">
        <f>INDEX(ovrTable,MATCH(INDEX(oppCol24,ROW()),ovrTeamCol,0),MATCH(MID(INDEX(headerRow,1,COLUMN()),4,LEN(INDEX(headerRow,1,COLUMN()))),ovrHeaderRow,0))</f>
        <v>6.8</v>
      </c>
      <c r="CJ99" s="12">
        <f>INDEX(ovrTable,MATCH(INDEX(oppCol24,ROW()),ovrTeamCol,0),MATCH(MID(INDEX(headerRow,1,COLUMN()),4,LEN(INDEX(headerRow,1,COLUMN()))),ovrHeaderRow,0))</f>
        <v>0.9</v>
      </c>
      <c r="CK99" s="12">
        <f>INDEX(ovrTable,MATCH(INDEX(oppCol24,ROW()),ovrTeamCol,0),MATCH(MID(INDEX(headerRow,1,COLUMN()),4,LEN(INDEX(headerRow,1,COLUMN()))),ovrHeaderRow,0))</f>
        <v>11.91</v>
      </c>
      <c r="CL99" s="12">
        <f>INDEX(ovrTable,MATCH(INDEX(oppCol24,ROW()),ovrTeamCol,0),MATCH(MID(INDEX(headerRow,1,COLUMN()),4,LEN(INDEX(headerRow,1,COLUMN()))),ovrHeaderRow,0))</f>
        <v>11</v>
      </c>
      <c r="CM99" s="12">
        <f>INDEX(ovrTable,MATCH(INDEX(oppCol24,ROW()),ovrTeamCol,0),MATCH(MID(INDEX(headerRow,1,COLUMN()),4,LEN(INDEX(headerRow,1,COLUMN()))),ovrHeaderRow,0))</f>
        <v>71.900000000000006</v>
      </c>
      <c r="CN99" s="12">
        <f>INDEX(ovrTable,MATCH(INDEX(oppCol24,ROW()),ovrTeamCol,0),MATCH(MID(INDEX(headerRow,1,COLUMN()),4,LEN(INDEX(headerRow,1,COLUMN()))),ovrHeaderRow,0))</f>
        <v>22.05</v>
      </c>
      <c r="CO99" s="12">
        <f>INDEX(ovrTable,MATCH(INDEX(oppCol24,ROW()),ovrTeamCol,0),MATCH(MID(INDEX(headerRow,1,COLUMN()),4,LEN(INDEX(headerRow,1,COLUMN()))),ovrHeaderRow,0))</f>
        <v>58.146639511201627</v>
      </c>
    </row>
    <row r="100" spans="1:93" x14ac:dyDescent="0.3">
      <c r="A100" s="6" t="s">
        <v>57</v>
      </c>
      <c r="B100" s="3">
        <v>4</v>
      </c>
      <c r="C100" s="13" t="s">
        <v>58</v>
      </c>
      <c r="D100" s="14">
        <v>50</v>
      </c>
      <c r="E100" s="23">
        <v>53.333333333333336</v>
      </c>
      <c r="F100" s="24">
        <v>9</v>
      </c>
      <c r="G100" s="23">
        <v>40.909090909090914</v>
      </c>
      <c r="H100" s="24">
        <v>22</v>
      </c>
      <c r="I100" s="25">
        <v>2.5</v>
      </c>
      <c r="J100" s="24">
        <v>20</v>
      </c>
      <c r="K100" s="24">
        <v>15</v>
      </c>
      <c r="L100" s="24">
        <v>2</v>
      </c>
      <c r="M100" s="24">
        <v>38.6</v>
      </c>
      <c r="N100" s="24">
        <v>18</v>
      </c>
      <c r="O100" s="26">
        <v>0.7034999999999999</v>
      </c>
      <c r="P100" s="24">
        <v>6</v>
      </c>
      <c r="Q100" s="24">
        <v>60.3</v>
      </c>
      <c r="R100" s="24">
        <v>14</v>
      </c>
      <c r="S100" s="23">
        <v>55.555555555555557</v>
      </c>
      <c r="T100" s="24">
        <v>9</v>
      </c>
      <c r="U100" s="24">
        <v>5</v>
      </c>
      <c r="V100" s="24">
        <v>89</v>
      </c>
      <c r="W100" s="24">
        <v>15</v>
      </c>
      <c r="X100" s="24">
        <v>68</v>
      </c>
      <c r="Y100" s="24">
        <v>-5</v>
      </c>
      <c r="Z100" s="24">
        <v>33</v>
      </c>
      <c r="AA100" s="24">
        <v>-21</v>
      </c>
      <c r="AB100" s="24">
        <v>5</v>
      </c>
      <c r="AC100" s="24">
        <v>2</v>
      </c>
      <c r="AD100" s="24">
        <v>10</v>
      </c>
      <c r="AE100" s="24">
        <v>8</v>
      </c>
      <c r="AF100" s="46">
        <f t="shared" si="85"/>
        <v>42.051119402985073</v>
      </c>
      <c r="AG100" s="51">
        <f t="shared" ref="AG100" si="128">AVERAGE(AF100,AF101)</f>
        <v>70.924847266259377</v>
      </c>
      <c r="AH100" s="12">
        <f t="shared" si="118"/>
        <v>34</v>
      </c>
      <c r="AI100" s="12">
        <f t="shared" si="118"/>
        <v>5.7</v>
      </c>
      <c r="AJ100" s="12">
        <f t="shared" si="118"/>
        <v>33.200000000000003</v>
      </c>
      <c r="AK100" s="12">
        <f t="shared" si="118"/>
        <v>17.3</v>
      </c>
      <c r="AL100" s="12">
        <f t="shared" si="118"/>
        <v>1.63</v>
      </c>
      <c r="AM100" s="12">
        <f t="shared" si="118"/>
        <v>19</v>
      </c>
      <c r="AN100" s="12">
        <f t="shared" si="118"/>
        <v>11.79</v>
      </c>
      <c r="AO100" s="12">
        <f t="shared" si="118"/>
        <v>3.9</v>
      </c>
      <c r="AP100" s="12">
        <f t="shared" si="118"/>
        <v>41</v>
      </c>
      <c r="AQ100" s="12">
        <f t="shared" si="118"/>
        <v>27.88</v>
      </c>
      <c r="AR100" s="12">
        <f t="shared" si="119"/>
        <v>0.53800000000000003</v>
      </c>
      <c r="AS100" s="12">
        <f t="shared" si="119"/>
        <v>12.82</v>
      </c>
      <c r="AT100" s="12">
        <f t="shared" si="119"/>
        <v>48.8</v>
      </c>
      <c r="AU100" s="12">
        <f t="shared" si="119"/>
        <v>14.8</v>
      </c>
      <c r="AV100" s="12">
        <f t="shared" si="119"/>
        <v>72.099999999999994</v>
      </c>
      <c r="AW100" s="12">
        <f t="shared" si="119"/>
        <v>18.5</v>
      </c>
      <c r="AX100" s="12">
        <f t="shared" si="119"/>
        <v>13.4</v>
      </c>
      <c r="AY100" s="12">
        <f t="shared" si="119"/>
        <v>69.900000000000006</v>
      </c>
      <c r="AZ100" s="12">
        <f t="shared" si="119"/>
        <v>8.24</v>
      </c>
      <c r="BA100" s="12">
        <f t="shared" si="119"/>
        <v>75.599999999999994</v>
      </c>
      <c r="BB100" s="12">
        <f t="shared" si="120"/>
        <v>2.4</v>
      </c>
      <c r="BC100" s="12">
        <f t="shared" si="120"/>
        <v>36.119999999999997</v>
      </c>
      <c r="BD100" s="12">
        <f t="shared" si="120"/>
        <v>5.7</v>
      </c>
      <c r="BE100" s="12">
        <f t="shared" si="120"/>
        <v>7.1</v>
      </c>
      <c r="BF100" s="12">
        <f t="shared" si="120"/>
        <v>-0.1</v>
      </c>
      <c r="BG100" s="12">
        <f t="shared" si="120"/>
        <v>11.62</v>
      </c>
      <c r="BH100" s="12">
        <f t="shared" si="120"/>
        <v>11.7</v>
      </c>
      <c r="BI100" s="12">
        <f t="shared" si="120"/>
        <v>71.400000000000006</v>
      </c>
      <c r="BJ100" s="12">
        <f t="shared" si="120"/>
        <v>22.549999999999997</v>
      </c>
      <c r="BK100" s="12">
        <f t="shared" si="120"/>
        <v>57.889344262295076</v>
      </c>
      <c r="BL100" s="12">
        <f>INDEX(ovrTable,MATCH(INDEX(oppCol24,ROW()),ovrTeamCol,0),MATCH(MID(INDEX(headerRow,1,COLUMN()),4,LEN(INDEX(headerRow,1,COLUMN()))),ovrHeaderRow,0))</f>
        <v>33.6</v>
      </c>
      <c r="BM100" s="12">
        <f>INDEX(ovrTable,MATCH(INDEX(oppCol24,ROW()),ovrTeamCol,0),MATCH(MID(INDEX(headerRow,1,COLUMN()),4,LEN(INDEX(headerRow,1,COLUMN()))),ovrHeaderRow,0))</f>
        <v>6.9</v>
      </c>
      <c r="BN100" s="12">
        <f>INDEX(ovrTable,MATCH(INDEX(oppCol24,ROW()),ovrTeamCol,0),MATCH(MID(INDEX(headerRow,1,COLUMN()),4,LEN(INDEX(headerRow,1,COLUMN()))),ovrHeaderRow,0))</f>
        <v>36.1</v>
      </c>
      <c r="BO100" s="12">
        <f>INDEX(ovrTable,MATCH(INDEX(oppCol24,ROW()),ovrTeamCol,0),MATCH(MID(INDEX(headerRow,1,COLUMN()),4,LEN(INDEX(headerRow,1,COLUMN()))),ovrHeaderRow,0))</f>
        <v>19.3</v>
      </c>
      <c r="BP100" s="12">
        <f>INDEX(ovrTable,MATCH(INDEX(oppCol24,ROW()),ovrTeamCol,0),MATCH(MID(INDEX(headerRow,1,COLUMN()),4,LEN(INDEX(headerRow,1,COLUMN()))),ovrHeaderRow,0))</f>
        <v>1.71</v>
      </c>
      <c r="BQ100" s="12">
        <f>INDEX(ovrTable,MATCH(INDEX(oppCol24,ROW()),ovrTeamCol,0),MATCH(MID(INDEX(headerRow,1,COLUMN()),4,LEN(INDEX(headerRow,1,COLUMN()))),ovrHeaderRow,0))</f>
        <v>16.7</v>
      </c>
      <c r="BR100" s="12">
        <f>INDEX(ovrTable,MATCH(INDEX(oppCol24,ROW()),ovrTeamCol,0),MATCH(MID(INDEX(headerRow,1,COLUMN()),4,LEN(INDEX(headerRow,1,COLUMN()))),ovrHeaderRow,0))</f>
        <v>18.71</v>
      </c>
      <c r="BS100" s="12">
        <f>INDEX(ovrTable,MATCH(INDEX(oppCol24,ROW()),ovrTeamCol,0),MATCH(MID(INDEX(headerRow,1,COLUMN()),4,LEN(INDEX(headerRow,1,COLUMN()))),ovrHeaderRow,0))</f>
        <v>3.9</v>
      </c>
      <c r="BT100" s="12">
        <f>INDEX(ovrTable,MATCH(INDEX(oppCol24,ROW()),ovrTeamCol,0),MATCH(MID(INDEX(headerRow,1,COLUMN()),4,LEN(INDEX(headerRow,1,COLUMN()))),ovrHeaderRow,0))</f>
        <v>40.700000000000003</v>
      </c>
      <c r="BU100" s="12">
        <f>INDEX(ovrTable,MATCH(INDEX(oppCol24,ROW()),ovrTeamCol,0),MATCH(MID(INDEX(headerRow,1,COLUMN()),4,LEN(INDEX(headerRow,1,COLUMN()))),ovrHeaderRow,0))</f>
        <v>27.89</v>
      </c>
      <c r="BV100" s="12">
        <f>INDEX(ovrTable,MATCH(INDEX(oppCol24,ROW()),ovrTeamCol,0),MATCH(MID(INDEX(headerRow,1,COLUMN()),4,LEN(INDEX(headerRow,1,COLUMN()))),ovrHeaderRow,0))</f>
        <v>0.57399999999999995</v>
      </c>
      <c r="BW100" s="12">
        <f>INDEX(ovrTable,MATCH(INDEX(oppCol24,ROW()),ovrTeamCol,0),MATCH(MID(INDEX(headerRow,1,COLUMN()),4,LEN(INDEX(headerRow,1,COLUMN()))),ovrHeaderRow,0))</f>
        <v>13.91</v>
      </c>
      <c r="BX100" s="12">
        <f>INDEX(ovrTable,MATCH(INDEX(oppCol24,ROW()),ovrTeamCol,0),MATCH(MID(INDEX(headerRow,1,COLUMN()),4,LEN(INDEX(headerRow,1,COLUMN()))),ovrHeaderRow,0))</f>
        <v>51.8</v>
      </c>
      <c r="BY100" s="12">
        <f>INDEX(ovrTable,MATCH(INDEX(oppCol24,ROW()),ovrTeamCol,0),MATCH(MID(INDEX(headerRow,1,COLUMN()),4,LEN(INDEX(headerRow,1,COLUMN()))),ovrHeaderRow,0))</f>
        <v>15.6</v>
      </c>
      <c r="BZ100" s="12">
        <f>INDEX(ovrTable,MATCH(INDEX(oppCol24,ROW()),ovrTeamCol,0),MATCH(MID(INDEX(headerRow,1,COLUMN()),4,LEN(INDEX(headerRow,1,COLUMN()))),ovrHeaderRow,0))</f>
        <v>72.099999999999994</v>
      </c>
      <c r="CA100" s="12">
        <f>INDEX(ovrTable,MATCH(INDEX(oppCol24,ROW()),ovrTeamCol,0),MATCH(MID(INDEX(headerRow,1,COLUMN()),4,LEN(INDEX(headerRow,1,COLUMN()))),ovrHeaderRow,0))</f>
        <v>18.899999999999999</v>
      </c>
      <c r="CB100" s="12">
        <f>INDEX(ovrTable,MATCH(INDEX(oppCol24,ROW()),ovrTeamCol,0),MATCH(MID(INDEX(headerRow,1,COLUMN()),4,LEN(INDEX(headerRow,1,COLUMN()))),ovrHeaderRow,0))</f>
        <v>13.6</v>
      </c>
      <c r="CC100" s="12">
        <f>INDEX(ovrTable,MATCH(INDEX(oppCol24,ROW()),ovrTeamCol,0),MATCH(MID(INDEX(headerRow,1,COLUMN()),4,LEN(INDEX(headerRow,1,COLUMN()))),ovrHeaderRow,0))</f>
        <v>69.099999999999994</v>
      </c>
      <c r="CD100" s="12">
        <f>INDEX(ovrTable,MATCH(INDEX(oppCol24,ROW()),ovrTeamCol,0),MATCH(MID(INDEX(headerRow,1,COLUMN()),4,LEN(INDEX(headerRow,1,COLUMN()))),ovrHeaderRow,0))</f>
        <v>10.83</v>
      </c>
      <c r="CE100" s="12">
        <f>INDEX(ovrTable,MATCH(INDEX(oppCol24,ROW()),ovrTeamCol,0),MATCH(MID(INDEX(headerRow,1,COLUMN()),4,LEN(INDEX(headerRow,1,COLUMN()))),ovrHeaderRow,0))</f>
        <v>84.5</v>
      </c>
      <c r="CF100" s="12">
        <f>INDEX(ovrTable,MATCH(INDEX(oppCol24,ROW()),ovrTeamCol,0),MATCH(MID(INDEX(headerRow,1,COLUMN()),4,LEN(INDEX(headerRow,1,COLUMN()))),ovrHeaderRow,0))</f>
        <v>7</v>
      </c>
      <c r="CG100" s="12">
        <f>INDEX(ovrTable,MATCH(INDEX(oppCol24,ROW()),ovrTeamCol,0),MATCH(MID(INDEX(headerRow,1,COLUMN()),4,LEN(INDEX(headerRow,1,COLUMN()))),ovrHeaderRow,0))</f>
        <v>38.71</v>
      </c>
      <c r="CH100" s="12">
        <f>INDEX(ovrTable,MATCH(INDEX(oppCol24,ROW()),ovrTeamCol,0),MATCH(MID(INDEX(headerRow,1,COLUMN()),4,LEN(INDEX(headerRow,1,COLUMN()))),ovrHeaderRow,0))</f>
        <v>15.4</v>
      </c>
      <c r="CI100" s="12">
        <f>INDEX(ovrTable,MATCH(INDEX(oppCol24,ROW()),ovrTeamCol,0),MATCH(MID(INDEX(headerRow,1,COLUMN()),4,LEN(INDEX(headerRow,1,COLUMN()))),ovrHeaderRow,0))</f>
        <v>6.7</v>
      </c>
      <c r="CJ100" s="12">
        <f>INDEX(ovrTable,MATCH(INDEX(oppCol24,ROW()),ovrTeamCol,0),MATCH(MID(INDEX(headerRow,1,COLUMN()),4,LEN(INDEX(headerRow,1,COLUMN()))),ovrHeaderRow,0))</f>
        <v>1.4</v>
      </c>
      <c r="CK100" s="12">
        <f>INDEX(ovrTable,MATCH(INDEX(oppCol24,ROW()),ovrTeamCol,0),MATCH(MID(INDEX(headerRow,1,COLUMN()),4,LEN(INDEX(headerRow,1,COLUMN()))),ovrHeaderRow,0))</f>
        <v>11.2</v>
      </c>
      <c r="CL100" s="12">
        <f>INDEX(ovrTable,MATCH(INDEX(oppCol24,ROW()),ovrTeamCol,0),MATCH(MID(INDEX(headerRow,1,COLUMN()),4,LEN(INDEX(headerRow,1,COLUMN()))),ovrHeaderRow,0))</f>
        <v>9.8000000000000007</v>
      </c>
      <c r="CM100" s="12">
        <f>INDEX(ovrTable,MATCH(INDEX(oppCol24,ROW()),ovrTeamCol,0),MATCH(MID(INDEX(headerRow,1,COLUMN()),4,LEN(INDEX(headerRow,1,COLUMN()))),ovrHeaderRow,0))</f>
        <v>70.7</v>
      </c>
      <c r="CN100" s="12">
        <f>INDEX(ovrTable,MATCH(INDEX(oppCol24,ROW()),ovrTeamCol,0),MATCH(MID(INDEX(headerRow,1,COLUMN()),4,LEN(INDEX(headerRow,1,COLUMN()))),ovrHeaderRow,0))</f>
        <v>25.1</v>
      </c>
      <c r="CO100" s="12">
        <f>INDEX(ovrTable,MATCH(INDEX(oppCol24,ROW()),ovrTeamCol,0),MATCH(MID(INDEX(headerRow,1,COLUMN()),4,LEN(INDEX(headerRow,1,COLUMN()))),ovrHeaderRow,0))</f>
        <v>61.776061776061781</v>
      </c>
    </row>
    <row r="101" spans="1:93" x14ac:dyDescent="0.3">
      <c r="A101" s="6" t="s">
        <v>58</v>
      </c>
      <c r="B101" s="3">
        <v>5</v>
      </c>
      <c r="C101" s="13" t="s">
        <v>57</v>
      </c>
      <c r="D101" s="14">
        <v>50</v>
      </c>
      <c r="E101" s="23">
        <v>40.909090909090914</v>
      </c>
      <c r="F101" s="24">
        <v>8</v>
      </c>
      <c r="G101" s="23">
        <v>53.333333333333336</v>
      </c>
      <c r="H101" s="24">
        <v>15</v>
      </c>
      <c r="I101" s="25">
        <v>1.9</v>
      </c>
      <c r="J101" s="24">
        <v>19</v>
      </c>
      <c r="K101" s="24">
        <v>16</v>
      </c>
      <c r="L101" s="24">
        <v>5</v>
      </c>
      <c r="M101" s="24">
        <v>60.3</v>
      </c>
      <c r="N101" s="24">
        <v>30</v>
      </c>
      <c r="O101" s="26">
        <v>0.43011428571428573</v>
      </c>
      <c r="P101" s="24">
        <v>6</v>
      </c>
      <c r="Q101" s="24">
        <v>38.6</v>
      </c>
      <c r="R101" s="24">
        <v>12</v>
      </c>
      <c r="S101" s="23">
        <v>73.333333333333329</v>
      </c>
      <c r="T101" s="24">
        <v>15</v>
      </c>
      <c r="U101" s="24">
        <v>11</v>
      </c>
      <c r="V101" s="24">
        <v>68</v>
      </c>
      <c r="W101" s="24">
        <v>8</v>
      </c>
      <c r="X101" s="24">
        <v>89</v>
      </c>
      <c r="Y101" s="24">
        <v>5</v>
      </c>
      <c r="Z101" s="24">
        <v>38</v>
      </c>
      <c r="AA101" s="24">
        <v>21</v>
      </c>
      <c r="AB101" s="24">
        <v>2</v>
      </c>
      <c r="AC101" s="24">
        <v>-2</v>
      </c>
      <c r="AD101" s="24">
        <v>8</v>
      </c>
      <c r="AE101" s="24">
        <v>10</v>
      </c>
      <c r="AF101" s="46">
        <f t="shared" si="85"/>
        <v>99.798575129533674</v>
      </c>
      <c r="AG101" s="51">
        <f t="shared" ref="AG101" si="129">AVERAGE(AF100,AF101)</f>
        <v>70.924847266259377</v>
      </c>
      <c r="AH101" s="12">
        <f t="shared" si="118"/>
        <v>33.6</v>
      </c>
      <c r="AI101" s="12">
        <f t="shared" si="118"/>
        <v>6.9</v>
      </c>
      <c r="AJ101" s="12">
        <f t="shared" si="118"/>
        <v>36.1</v>
      </c>
      <c r="AK101" s="12">
        <f t="shared" si="118"/>
        <v>19.3</v>
      </c>
      <c r="AL101" s="12">
        <f t="shared" si="118"/>
        <v>1.71</v>
      </c>
      <c r="AM101" s="12">
        <f t="shared" si="118"/>
        <v>16.7</v>
      </c>
      <c r="AN101" s="12">
        <f t="shared" si="118"/>
        <v>18.71</v>
      </c>
      <c r="AO101" s="12">
        <f t="shared" si="118"/>
        <v>3.9</v>
      </c>
      <c r="AP101" s="12">
        <f t="shared" si="118"/>
        <v>40.700000000000003</v>
      </c>
      <c r="AQ101" s="12">
        <f t="shared" si="118"/>
        <v>27.89</v>
      </c>
      <c r="AR101" s="12">
        <f t="shared" si="119"/>
        <v>0.57399999999999995</v>
      </c>
      <c r="AS101" s="12">
        <f t="shared" si="119"/>
        <v>13.91</v>
      </c>
      <c r="AT101" s="12">
        <f t="shared" si="119"/>
        <v>51.8</v>
      </c>
      <c r="AU101" s="12">
        <f t="shared" si="119"/>
        <v>15.6</v>
      </c>
      <c r="AV101" s="12">
        <f t="shared" si="119"/>
        <v>72.099999999999994</v>
      </c>
      <c r="AW101" s="12">
        <f t="shared" si="119"/>
        <v>18.899999999999999</v>
      </c>
      <c r="AX101" s="12">
        <f t="shared" si="119"/>
        <v>13.6</v>
      </c>
      <c r="AY101" s="12">
        <f t="shared" si="119"/>
        <v>69.099999999999994</v>
      </c>
      <c r="AZ101" s="12">
        <f t="shared" si="119"/>
        <v>10.83</v>
      </c>
      <c r="BA101" s="12">
        <f t="shared" si="119"/>
        <v>84.5</v>
      </c>
      <c r="BB101" s="12">
        <f t="shared" si="120"/>
        <v>7</v>
      </c>
      <c r="BC101" s="12">
        <f t="shared" si="120"/>
        <v>38.71</v>
      </c>
      <c r="BD101" s="12">
        <f t="shared" si="120"/>
        <v>15.4</v>
      </c>
      <c r="BE101" s="12">
        <f t="shared" si="120"/>
        <v>6.7</v>
      </c>
      <c r="BF101" s="12">
        <f t="shared" si="120"/>
        <v>1.4</v>
      </c>
      <c r="BG101" s="12">
        <f t="shared" si="120"/>
        <v>11.2</v>
      </c>
      <c r="BH101" s="12">
        <f t="shared" si="120"/>
        <v>9.8000000000000007</v>
      </c>
      <c r="BI101" s="12">
        <f t="shared" si="120"/>
        <v>70.7</v>
      </c>
      <c r="BJ101" s="12">
        <f t="shared" si="120"/>
        <v>25.1</v>
      </c>
      <c r="BK101" s="12">
        <f t="shared" si="120"/>
        <v>61.776061776061781</v>
      </c>
      <c r="BL101" s="12">
        <f>INDEX(ovrTable,MATCH(INDEX(oppCol24,ROW()),ovrTeamCol,0),MATCH(MID(INDEX(headerRow,1,COLUMN()),4,LEN(INDEX(headerRow,1,COLUMN()))),ovrHeaderRow,0))</f>
        <v>34</v>
      </c>
      <c r="BM101" s="12">
        <f>INDEX(ovrTable,MATCH(INDEX(oppCol24,ROW()),ovrTeamCol,0),MATCH(MID(INDEX(headerRow,1,COLUMN()),4,LEN(INDEX(headerRow,1,COLUMN()))),ovrHeaderRow,0))</f>
        <v>5.7</v>
      </c>
      <c r="BN101" s="12">
        <f>INDEX(ovrTable,MATCH(INDEX(oppCol24,ROW()),ovrTeamCol,0),MATCH(MID(INDEX(headerRow,1,COLUMN()),4,LEN(INDEX(headerRow,1,COLUMN()))),ovrHeaderRow,0))</f>
        <v>33.200000000000003</v>
      </c>
      <c r="BO101" s="12">
        <f>INDEX(ovrTable,MATCH(INDEX(oppCol24,ROW()),ovrTeamCol,0),MATCH(MID(INDEX(headerRow,1,COLUMN()),4,LEN(INDEX(headerRow,1,COLUMN()))),ovrHeaderRow,0))</f>
        <v>17.3</v>
      </c>
      <c r="BP101" s="12">
        <f>INDEX(ovrTable,MATCH(INDEX(oppCol24,ROW()),ovrTeamCol,0),MATCH(MID(INDEX(headerRow,1,COLUMN()),4,LEN(INDEX(headerRow,1,COLUMN()))),ovrHeaderRow,0))</f>
        <v>1.63</v>
      </c>
      <c r="BQ101" s="12">
        <f>INDEX(ovrTable,MATCH(INDEX(oppCol24,ROW()),ovrTeamCol,0),MATCH(MID(INDEX(headerRow,1,COLUMN()),4,LEN(INDEX(headerRow,1,COLUMN()))),ovrHeaderRow,0))</f>
        <v>19</v>
      </c>
      <c r="BR101" s="12">
        <f>INDEX(ovrTable,MATCH(INDEX(oppCol24,ROW()),ovrTeamCol,0),MATCH(MID(INDEX(headerRow,1,COLUMN()),4,LEN(INDEX(headerRow,1,COLUMN()))),ovrHeaderRow,0))</f>
        <v>11.79</v>
      </c>
      <c r="BS101" s="12">
        <f>INDEX(ovrTable,MATCH(INDEX(oppCol24,ROW()),ovrTeamCol,0),MATCH(MID(INDEX(headerRow,1,COLUMN()),4,LEN(INDEX(headerRow,1,COLUMN()))),ovrHeaderRow,0))</f>
        <v>3.9</v>
      </c>
      <c r="BT101" s="12">
        <f>INDEX(ovrTable,MATCH(INDEX(oppCol24,ROW()),ovrTeamCol,0),MATCH(MID(INDEX(headerRow,1,COLUMN()),4,LEN(INDEX(headerRow,1,COLUMN()))),ovrHeaderRow,0))</f>
        <v>41</v>
      </c>
      <c r="BU101" s="12">
        <f>INDEX(ovrTable,MATCH(INDEX(oppCol24,ROW()),ovrTeamCol,0),MATCH(MID(INDEX(headerRow,1,COLUMN()),4,LEN(INDEX(headerRow,1,COLUMN()))),ovrHeaderRow,0))</f>
        <v>27.88</v>
      </c>
      <c r="BV101" s="12">
        <f>INDEX(ovrTable,MATCH(INDEX(oppCol24,ROW()),ovrTeamCol,0),MATCH(MID(INDEX(headerRow,1,COLUMN()),4,LEN(INDEX(headerRow,1,COLUMN()))),ovrHeaderRow,0))</f>
        <v>0.53800000000000003</v>
      </c>
      <c r="BW101" s="12">
        <f>INDEX(ovrTable,MATCH(INDEX(oppCol24,ROW()),ovrTeamCol,0),MATCH(MID(INDEX(headerRow,1,COLUMN()),4,LEN(INDEX(headerRow,1,COLUMN()))),ovrHeaderRow,0))</f>
        <v>12.82</v>
      </c>
      <c r="BX101" s="12">
        <f>INDEX(ovrTable,MATCH(INDEX(oppCol24,ROW()),ovrTeamCol,0),MATCH(MID(INDEX(headerRow,1,COLUMN()),4,LEN(INDEX(headerRow,1,COLUMN()))),ovrHeaderRow,0))</f>
        <v>48.8</v>
      </c>
      <c r="BY101" s="12">
        <f>INDEX(ovrTable,MATCH(INDEX(oppCol24,ROW()),ovrTeamCol,0),MATCH(MID(INDEX(headerRow,1,COLUMN()),4,LEN(INDEX(headerRow,1,COLUMN()))),ovrHeaderRow,0))</f>
        <v>14.8</v>
      </c>
      <c r="BZ101" s="12">
        <f>INDEX(ovrTable,MATCH(INDEX(oppCol24,ROW()),ovrTeamCol,0),MATCH(MID(INDEX(headerRow,1,COLUMN()),4,LEN(INDEX(headerRow,1,COLUMN()))),ovrHeaderRow,0))</f>
        <v>72.099999999999994</v>
      </c>
      <c r="CA101" s="12">
        <f>INDEX(ovrTable,MATCH(INDEX(oppCol24,ROW()),ovrTeamCol,0),MATCH(MID(INDEX(headerRow,1,COLUMN()),4,LEN(INDEX(headerRow,1,COLUMN()))),ovrHeaderRow,0))</f>
        <v>18.5</v>
      </c>
      <c r="CB101" s="12">
        <f>INDEX(ovrTable,MATCH(INDEX(oppCol24,ROW()),ovrTeamCol,0),MATCH(MID(INDEX(headerRow,1,COLUMN()),4,LEN(INDEX(headerRow,1,COLUMN()))),ovrHeaderRow,0))</f>
        <v>13.4</v>
      </c>
      <c r="CC101" s="12">
        <f>INDEX(ovrTable,MATCH(INDEX(oppCol24,ROW()),ovrTeamCol,0),MATCH(MID(INDEX(headerRow,1,COLUMN()),4,LEN(INDEX(headerRow,1,COLUMN()))),ovrHeaderRow,0))</f>
        <v>69.900000000000006</v>
      </c>
      <c r="CD101" s="12">
        <f>INDEX(ovrTable,MATCH(INDEX(oppCol24,ROW()),ovrTeamCol,0),MATCH(MID(INDEX(headerRow,1,COLUMN()),4,LEN(INDEX(headerRow,1,COLUMN()))),ovrHeaderRow,0))</f>
        <v>8.24</v>
      </c>
      <c r="CE101" s="12">
        <f>INDEX(ovrTable,MATCH(INDEX(oppCol24,ROW()),ovrTeamCol,0),MATCH(MID(INDEX(headerRow,1,COLUMN()),4,LEN(INDEX(headerRow,1,COLUMN()))),ovrHeaderRow,0))</f>
        <v>75.599999999999994</v>
      </c>
      <c r="CF101" s="12">
        <f>INDEX(ovrTable,MATCH(INDEX(oppCol24,ROW()),ovrTeamCol,0),MATCH(MID(INDEX(headerRow,1,COLUMN()),4,LEN(INDEX(headerRow,1,COLUMN()))),ovrHeaderRow,0))</f>
        <v>2.4</v>
      </c>
      <c r="CG101" s="12">
        <f>INDEX(ovrTable,MATCH(INDEX(oppCol24,ROW()),ovrTeamCol,0),MATCH(MID(INDEX(headerRow,1,COLUMN()),4,LEN(INDEX(headerRow,1,COLUMN()))),ovrHeaderRow,0))</f>
        <v>36.119999999999997</v>
      </c>
      <c r="CH101" s="12">
        <f>INDEX(ovrTable,MATCH(INDEX(oppCol24,ROW()),ovrTeamCol,0),MATCH(MID(INDEX(headerRow,1,COLUMN()),4,LEN(INDEX(headerRow,1,COLUMN()))),ovrHeaderRow,0))</f>
        <v>5.7</v>
      </c>
      <c r="CI101" s="12">
        <f>INDEX(ovrTable,MATCH(INDEX(oppCol24,ROW()),ovrTeamCol,0),MATCH(MID(INDEX(headerRow,1,COLUMN()),4,LEN(INDEX(headerRow,1,COLUMN()))),ovrHeaderRow,0))</f>
        <v>7.1</v>
      </c>
      <c r="CJ101" s="12">
        <f>INDEX(ovrTable,MATCH(INDEX(oppCol24,ROW()),ovrTeamCol,0),MATCH(MID(INDEX(headerRow,1,COLUMN()),4,LEN(INDEX(headerRow,1,COLUMN()))),ovrHeaderRow,0))</f>
        <v>-0.1</v>
      </c>
      <c r="CK101" s="12">
        <f>INDEX(ovrTable,MATCH(INDEX(oppCol24,ROW()),ovrTeamCol,0),MATCH(MID(INDEX(headerRow,1,COLUMN()),4,LEN(INDEX(headerRow,1,COLUMN()))),ovrHeaderRow,0))</f>
        <v>11.62</v>
      </c>
      <c r="CL101" s="12">
        <f>INDEX(ovrTable,MATCH(INDEX(oppCol24,ROW()),ovrTeamCol,0),MATCH(MID(INDEX(headerRow,1,COLUMN()),4,LEN(INDEX(headerRow,1,COLUMN()))),ovrHeaderRow,0))</f>
        <v>11.7</v>
      </c>
      <c r="CM101" s="12">
        <f>INDEX(ovrTable,MATCH(INDEX(oppCol24,ROW()),ovrTeamCol,0),MATCH(MID(INDEX(headerRow,1,COLUMN()),4,LEN(INDEX(headerRow,1,COLUMN()))),ovrHeaderRow,0))</f>
        <v>71.400000000000006</v>
      </c>
      <c r="CN101" s="12">
        <f>INDEX(ovrTable,MATCH(INDEX(oppCol24,ROW()),ovrTeamCol,0),MATCH(MID(INDEX(headerRow,1,COLUMN()),4,LEN(INDEX(headerRow,1,COLUMN()))),ovrHeaderRow,0))</f>
        <v>22.549999999999997</v>
      </c>
      <c r="CO101" s="12">
        <f>INDEX(ovrTable,MATCH(INDEX(oppCol24,ROW()),ovrTeamCol,0),MATCH(MID(INDEX(headerRow,1,COLUMN()),4,LEN(INDEX(headerRow,1,COLUMN()))),ovrHeaderRow,0))</f>
        <v>57.889344262295076</v>
      </c>
    </row>
    <row r="102" spans="1:93" x14ac:dyDescent="0.3">
      <c r="A102" s="6" t="s">
        <v>65</v>
      </c>
      <c r="B102" s="3">
        <v>11</v>
      </c>
      <c r="C102" s="13" t="s">
        <v>65</v>
      </c>
      <c r="D102" s="14">
        <v>51</v>
      </c>
      <c r="E102" s="23">
        <v>38.461538461538467</v>
      </c>
      <c r="F102" s="24">
        <v>7</v>
      </c>
      <c r="G102" s="23">
        <v>33.333333333333329</v>
      </c>
      <c r="H102" s="24">
        <v>21</v>
      </c>
      <c r="I102" s="25">
        <v>1.4444444444444444</v>
      </c>
      <c r="J102" s="24">
        <v>13</v>
      </c>
      <c r="K102" s="24">
        <v>0</v>
      </c>
      <c r="L102" s="24">
        <v>4</v>
      </c>
      <c r="M102" s="24">
        <v>38.700000000000003</v>
      </c>
      <c r="N102" s="24">
        <v>29</v>
      </c>
      <c r="O102" s="26">
        <v>0.44849999999999995</v>
      </c>
      <c r="P102" s="24">
        <v>4</v>
      </c>
      <c r="Q102" s="24">
        <v>40.299999999999997</v>
      </c>
      <c r="R102" s="24">
        <v>14</v>
      </c>
      <c r="S102" s="23">
        <v>80</v>
      </c>
      <c r="T102" s="24">
        <v>5</v>
      </c>
      <c r="U102" s="24">
        <v>4</v>
      </c>
      <c r="V102" s="24">
        <v>86</v>
      </c>
      <c r="W102" s="24">
        <v>14</v>
      </c>
      <c r="X102" s="24">
        <v>73</v>
      </c>
      <c r="Y102" s="24">
        <v>-5</v>
      </c>
      <c r="Z102" s="24">
        <v>43</v>
      </c>
      <c r="AA102" s="24">
        <v>-13</v>
      </c>
      <c r="AB102" s="24">
        <v>4</v>
      </c>
      <c r="AC102" s="24">
        <v>2</v>
      </c>
      <c r="AD102" s="24">
        <v>11</v>
      </c>
      <c r="AE102" s="24">
        <v>9</v>
      </c>
      <c r="AF102" s="46">
        <f t="shared" si="85"/>
        <v>74.298076923076934</v>
      </c>
      <c r="AG102" s="51">
        <f t="shared" ref="AG102" si="130">AVERAGE(AF102,AF103)</f>
        <v>75.441738719936396</v>
      </c>
      <c r="AH102" s="12">
        <f t="shared" ref="AH102:AQ111" si="131">INDEX(ovrTable,MATCH(INDEX(teamCol,ROW()),ovrTeamCol,0),MATCH(MID(INDEX(headerRow,1,COLUMN()),4,LEN(INDEX(headerRow,1,COLUMN()))),ovrHeaderRow,0))</f>
        <v>35</v>
      </c>
      <c r="AI102" s="12">
        <f t="shared" si="131"/>
        <v>7.3</v>
      </c>
      <c r="AJ102" s="12">
        <f t="shared" si="131"/>
        <v>33.799999999999997</v>
      </c>
      <c r="AK102" s="12">
        <f t="shared" si="131"/>
        <v>21.6</v>
      </c>
      <c r="AL102" s="12">
        <f t="shared" si="131"/>
        <v>1.36</v>
      </c>
      <c r="AM102" s="12">
        <f t="shared" si="131"/>
        <v>13.8</v>
      </c>
      <c r="AN102" s="12">
        <f t="shared" si="131"/>
        <v>18.25</v>
      </c>
      <c r="AO102" s="12">
        <f t="shared" si="131"/>
        <v>3.6</v>
      </c>
      <c r="AP102" s="12">
        <f t="shared" si="131"/>
        <v>45.1</v>
      </c>
      <c r="AQ102" s="12">
        <f t="shared" si="131"/>
        <v>24.47</v>
      </c>
      <c r="AR102" s="12">
        <f t="shared" ref="AR102:BA111" si="132">INDEX(ovrTable,MATCH(INDEX(teamCol,ROW()),ovrTeamCol,0),MATCH(MID(INDEX(headerRow,1,COLUMN()),4,LEN(INDEX(headerRow,1,COLUMN()))),ovrHeaderRow,0))</f>
        <v>0.51900000000000002</v>
      </c>
      <c r="AS102" s="12">
        <f t="shared" si="132"/>
        <v>9.7200000000000006</v>
      </c>
      <c r="AT102" s="12">
        <f t="shared" si="132"/>
        <v>45.8</v>
      </c>
      <c r="AU102" s="12">
        <f t="shared" si="132"/>
        <v>16.399999999999999</v>
      </c>
      <c r="AV102" s="12">
        <f t="shared" si="132"/>
        <v>71.900000000000006</v>
      </c>
      <c r="AW102" s="12">
        <f t="shared" si="132"/>
        <v>19.100000000000001</v>
      </c>
      <c r="AX102" s="12">
        <f t="shared" si="132"/>
        <v>13.7</v>
      </c>
      <c r="AY102" s="12">
        <f t="shared" si="132"/>
        <v>72.3</v>
      </c>
      <c r="AZ102" s="12">
        <f t="shared" si="132"/>
        <v>9.92</v>
      </c>
      <c r="BA102" s="12">
        <f t="shared" si="132"/>
        <v>75.599999999999994</v>
      </c>
      <c r="BB102" s="12">
        <f t="shared" ref="BB102:BK111" si="133">INDEX(ovrTable,MATCH(INDEX(teamCol,ROW()),ovrTeamCol,0),MATCH(MID(INDEX(headerRow,1,COLUMN()),4,LEN(INDEX(headerRow,1,COLUMN()))),ovrHeaderRow,0))</f>
        <v>0.5</v>
      </c>
      <c r="BC102" s="12">
        <f t="shared" si="133"/>
        <v>34.39</v>
      </c>
      <c r="BD102" s="12">
        <f t="shared" si="133"/>
        <v>3.3</v>
      </c>
      <c r="BE102" s="12">
        <f t="shared" si="133"/>
        <v>7.2</v>
      </c>
      <c r="BF102" s="12">
        <f t="shared" si="133"/>
        <v>2.1</v>
      </c>
      <c r="BG102" s="12">
        <f t="shared" si="133"/>
        <v>12.28</v>
      </c>
      <c r="BH102" s="12">
        <f t="shared" si="133"/>
        <v>10.199999999999999</v>
      </c>
      <c r="BI102" s="12">
        <f t="shared" si="133"/>
        <v>70.599999999999994</v>
      </c>
      <c r="BJ102" s="12">
        <f t="shared" si="133"/>
        <v>19.999999999999996</v>
      </c>
      <c r="BK102" s="12">
        <f t="shared" si="133"/>
        <v>59.60698689956331</v>
      </c>
      <c r="BL102" s="12">
        <f>INDEX(ovrTable,MATCH(INDEX(oppCol24,ROW()),ovrTeamCol,0),MATCH(MID(INDEX(headerRow,1,COLUMN()),4,LEN(INDEX(headerRow,1,COLUMN()))),ovrHeaderRow,0))</f>
        <v>35</v>
      </c>
      <c r="BM102" s="12">
        <f>INDEX(ovrTable,MATCH(INDEX(oppCol24,ROW()),ovrTeamCol,0),MATCH(MID(INDEX(headerRow,1,COLUMN()),4,LEN(INDEX(headerRow,1,COLUMN()))),ovrHeaderRow,0))</f>
        <v>7.3</v>
      </c>
      <c r="BN102" s="12">
        <f>INDEX(ovrTable,MATCH(INDEX(oppCol24,ROW()),ovrTeamCol,0),MATCH(MID(INDEX(headerRow,1,COLUMN()),4,LEN(INDEX(headerRow,1,COLUMN()))),ovrHeaderRow,0))</f>
        <v>33.799999999999997</v>
      </c>
      <c r="BO102" s="12">
        <f>INDEX(ovrTable,MATCH(INDEX(oppCol24,ROW()),ovrTeamCol,0),MATCH(MID(INDEX(headerRow,1,COLUMN()),4,LEN(INDEX(headerRow,1,COLUMN()))),ovrHeaderRow,0))</f>
        <v>21.6</v>
      </c>
      <c r="BP102" s="12">
        <f>INDEX(ovrTable,MATCH(INDEX(oppCol24,ROW()),ovrTeamCol,0),MATCH(MID(INDEX(headerRow,1,COLUMN()),4,LEN(INDEX(headerRow,1,COLUMN()))),ovrHeaderRow,0))</f>
        <v>1.36</v>
      </c>
      <c r="BQ102" s="12">
        <f>INDEX(ovrTable,MATCH(INDEX(oppCol24,ROW()),ovrTeamCol,0),MATCH(MID(INDEX(headerRow,1,COLUMN()),4,LEN(INDEX(headerRow,1,COLUMN()))),ovrHeaderRow,0))</f>
        <v>13.8</v>
      </c>
      <c r="BR102" s="12">
        <f>INDEX(ovrTable,MATCH(INDEX(oppCol24,ROW()),ovrTeamCol,0),MATCH(MID(INDEX(headerRow,1,COLUMN()),4,LEN(INDEX(headerRow,1,COLUMN()))),ovrHeaderRow,0))</f>
        <v>18.25</v>
      </c>
      <c r="BS102" s="12">
        <f>INDEX(ovrTable,MATCH(INDEX(oppCol24,ROW()),ovrTeamCol,0),MATCH(MID(INDEX(headerRow,1,COLUMN()),4,LEN(INDEX(headerRow,1,COLUMN()))),ovrHeaderRow,0))</f>
        <v>3.6</v>
      </c>
      <c r="BT102" s="12">
        <f>INDEX(ovrTable,MATCH(INDEX(oppCol24,ROW()),ovrTeamCol,0),MATCH(MID(INDEX(headerRow,1,COLUMN()),4,LEN(INDEX(headerRow,1,COLUMN()))),ovrHeaderRow,0))</f>
        <v>45.1</v>
      </c>
      <c r="BU102" s="12">
        <f>INDEX(ovrTable,MATCH(INDEX(oppCol24,ROW()),ovrTeamCol,0),MATCH(MID(INDEX(headerRow,1,COLUMN()),4,LEN(INDEX(headerRow,1,COLUMN()))),ovrHeaderRow,0))</f>
        <v>24.47</v>
      </c>
      <c r="BV102" s="12">
        <f>INDEX(ovrTable,MATCH(INDEX(oppCol24,ROW()),ovrTeamCol,0),MATCH(MID(INDEX(headerRow,1,COLUMN()),4,LEN(INDEX(headerRow,1,COLUMN()))),ovrHeaderRow,0))</f>
        <v>0.51900000000000002</v>
      </c>
      <c r="BW102" s="12">
        <f>INDEX(ovrTable,MATCH(INDEX(oppCol24,ROW()),ovrTeamCol,0),MATCH(MID(INDEX(headerRow,1,COLUMN()),4,LEN(INDEX(headerRow,1,COLUMN()))),ovrHeaderRow,0))</f>
        <v>9.7200000000000006</v>
      </c>
      <c r="BX102" s="12">
        <f>INDEX(ovrTable,MATCH(INDEX(oppCol24,ROW()),ovrTeamCol,0),MATCH(MID(INDEX(headerRow,1,COLUMN()),4,LEN(INDEX(headerRow,1,COLUMN()))),ovrHeaderRow,0))</f>
        <v>45.8</v>
      </c>
      <c r="BY102" s="12">
        <f>INDEX(ovrTable,MATCH(INDEX(oppCol24,ROW()),ovrTeamCol,0),MATCH(MID(INDEX(headerRow,1,COLUMN()),4,LEN(INDEX(headerRow,1,COLUMN()))),ovrHeaderRow,0))</f>
        <v>16.399999999999999</v>
      </c>
      <c r="BZ102" s="12">
        <f>INDEX(ovrTable,MATCH(INDEX(oppCol24,ROW()),ovrTeamCol,0),MATCH(MID(INDEX(headerRow,1,COLUMN()),4,LEN(INDEX(headerRow,1,COLUMN()))),ovrHeaderRow,0))</f>
        <v>71.900000000000006</v>
      </c>
      <c r="CA102" s="12">
        <f>INDEX(ovrTable,MATCH(INDEX(oppCol24,ROW()),ovrTeamCol,0),MATCH(MID(INDEX(headerRow,1,COLUMN()),4,LEN(INDEX(headerRow,1,COLUMN()))),ovrHeaderRow,0))</f>
        <v>19.100000000000001</v>
      </c>
      <c r="CB102" s="12">
        <f>INDEX(ovrTable,MATCH(INDEX(oppCol24,ROW()),ovrTeamCol,0),MATCH(MID(INDEX(headerRow,1,COLUMN()),4,LEN(INDEX(headerRow,1,COLUMN()))),ovrHeaderRow,0))</f>
        <v>13.7</v>
      </c>
      <c r="CC102" s="12">
        <f>INDEX(ovrTable,MATCH(INDEX(oppCol24,ROW()),ovrTeamCol,0),MATCH(MID(INDEX(headerRow,1,COLUMN()),4,LEN(INDEX(headerRow,1,COLUMN()))),ovrHeaderRow,0))</f>
        <v>72.3</v>
      </c>
      <c r="CD102" s="12">
        <f>INDEX(ovrTable,MATCH(INDEX(oppCol24,ROW()),ovrTeamCol,0),MATCH(MID(INDEX(headerRow,1,COLUMN()),4,LEN(INDEX(headerRow,1,COLUMN()))),ovrHeaderRow,0))</f>
        <v>9.92</v>
      </c>
      <c r="CE102" s="12">
        <f>INDEX(ovrTable,MATCH(INDEX(oppCol24,ROW()),ovrTeamCol,0),MATCH(MID(INDEX(headerRow,1,COLUMN()),4,LEN(INDEX(headerRow,1,COLUMN()))),ovrHeaderRow,0))</f>
        <v>75.599999999999994</v>
      </c>
      <c r="CF102" s="12">
        <f>INDEX(ovrTable,MATCH(INDEX(oppCol24,ROW()),ovrTeamCol,0),MATCH(MID(INDEX(headerRow,1,COLUMN()),4,LEN(INDEX(headerRow,1,COLUMN()))),ovrHeaderRow,0))</f>
        <v>0.5</v>
      </c>
      <c r="CG102" s="12">
        <f>INDEX(ovrTable,MATCH(INDEX(oppCol24,ROW()),ovrTeamCol,0),MATCH(MID(INDEX(headerRow,1,COLUMN()),4,LEN(INDEX(headerRow,1,COLUMN()))),ovrHeaderRow,0))</f>
        <v>34.39</v>
      </c>
      <c r="CH102" s="12">
        <f>INDEX(ovrTable,MATCH(INDEX(oppCol24,ROW()),ovrTeamCol,0),MATCH(MID(INDEX(headerRow,1,COLUMN()),4,LEN(INDEX(headerRow,1,COLUMN()))),ovrHeaderRow,0))</f>
        <v>3.3</v>
      </c>
      <c r="CI102" s="12">
        <f>INDEX(ovrTable,MATCH(INDEX(oppCol24,ROW()),ovrTeamCol,0),MATCH(MID(INDEX(headerRow,1,COLUMN()),4,LEN(INDEX(headerRow,1,COLUMN()))),ovrHeaderRow,0))</f>
        <v>7.2</v>
      </c>
      <c r="CJ102" s="12">
        <f>INDEX(ovrTable,MATCH(INDEX(oppCol24,ROW()),ovrTeamCol,0),MATCH(MID(INDEX(headerRow,1,COLUMN()),4,LEN(INDEX(headerRow,1,COLUMN()))),ovrHeaderRow,0))</f>
        <v>2.1</v>
      </c>
      <c r="CK102" s="12">
        <f>INDEX(ovrTable,MATCH(INDEX(oppCol24,ROW()),ovrTeamCol,0),MATCH(MID(INDEX(headerRow,1,COLUMN()),4,LEN(INDEX(headerRow,1,COLUMN()))),ovrHeaderRow,0))</f>
        <v>12.28</v>
      </c>
      <c r="CL102" s="12">
        <f>INDEX(ovrTable,MATCH(INDEX(oppCol24,ROW()),ovrTeamCol,0),MATCH(MID(INDEX(headerRow,1,COLUMN()),4,LEN(INDEX(headerRow,1,COLUMN()))),ovrHeaderRow,0))</f>
        <v>10.199999999999999</v>
      </c>
      <c r="CM102" s="12">
        <f>INDEX(ovrTable,MATCH(INDEX(oppCol24,ROW()),ovrTeamCol,0),MATCH(MID(INDEX(headerRow,1,COLUMN()),4,LEN(INDEX(headerRow,1,COLUMN()))),ovrHeaderRow,0))</f>
        <v>70.599999999999994</v>
      </c>
      <c r="CN102" s="12">
        <f>INDEX(ovrTable,MATCH(INDEX(oppCol24,ROW()),ovrTeamCol,0),MATCH(MID(INDEX(headerRow,1,COLUMN()),4,LEN(INDEX(headerRow,1,COLUMN()))),ovrHeaderRow,0))</f>
        <v>19.999999999999996</v>
      </c>
      <c r="CO102" s="12">
        <f>INDEX(ovrTable,MATCH(INDEX(oppCol24,ROW()),ovrTeamCol,0),MATCH(MID(INDEX(headerRow,1,COLUMN()),4,LEN(INDEX(headerRow,1,COLUMN()))),ovrHeaderRow,0))</f>
        <v>59.60698689956331</v>
      </c>
    </row>
    <row r="103" spans="1:93" x14ac:dyDescent="0.3">
      <c r="A103" s="6" t="s">
        <v>56</v>
      </c>
      <c r="B103" s="3">
        <v>3</v>
      </c>
      <c r="C103" s="13" t="s">
        <v>65</v>
      </c>
      <c r="D103" s="14">
        <v>51</v>
      </c>
      <c r="E103" s="23">
        <v>33.333333333333329</v>
      </c>
      <c r="F103" s="24">
        <v>15</v>
      </c>
      <c r="G103" s="23">
        <v>38.461538461538467</v>
      </c>
      <c r="H103" s="24">
        <v>39</v>
      </c>
      <c r="I103" s="25">
        <v>1.4545454545454546</v>
      </c>
      <c r="J103" s="24">
        <v>16</v>
      </c>
      <c r="K103" s="24">
        <v>7</v>
      </c>
      <c r="L103" s="24">
        <v>5</v>
      </c>
      <c r="M103" s="24">
        <v>40.299999999999997</v>
      </c>
      <c r="N103" s="24">
        <v>32</v>
      </c>
      <c r="O103" s="26">
        <v>0.4870862068965518</v>
      </c>
      <c r="P103" s="24">
        <v>5</v>
      </c>
      <c r="Q103" s="24">
        <v>38.700000000000003</v>
      </c>
      <c r="R103" s="24">
        <v>12</v>
      </c>
      <c r="S103" s="23">
        <v>92.857142857142861</v>
      </c>
      <c r="T103" s="24">
        <v>14</v>
      </c>
      <c r="U103" s="24">
        <v>13</v>
      </c>
      <c r="V103" s="24">
        <v>73</v>
      </c>
      <c r="W103" s="24">
        <v>16</v>
      </c>
      <c r="X103" s="24">
        <v>86</v>
      </c>
      <c r="Y103" s="24">
        <v>5</v>
      </c>
      <c r="Z103" s="24">
        <v>48</v>
      </c>
      <c r="AA103" s="24">
        <v>13</v>
      </c>
      <c r="AB103" s="24">
        <v>6</v>
      </c>
      <c r="AC103" s="24">
        <v>-2</v>
      </c>
      <c r="AD103" s="24">
        <v>9</v>
      </c>
      <c r="AE103" s="24">
        <v>11</v>
      </c>
      <c r="AF103" s="46">
        <f t="shared" si="85"/>
        <v>76.585400516795858</v>
      </c>
      <c r="AG103" s="51">
        <f t="shared" ref="AG103" si="134">AVERAGE(AF102,AF103)</f>
        <v>75.441738719936396</v>
      </c>
      <c r="AH103" s="12">
        <f t="shared" si="131"/>
        <v>32.299999999999997</v>
      </c>
      <c r="AI103" s="12">
        <f t="shared" si="131"/>
        <v>10.7</v>
      </c>
      <c r="AJ103" s="12">
        <f t="shared" si="131"/>
        <v>36.799999999999997</v>
      </c>
      <c r="AK103" s="12">
        <f t="shared" si="131"/>
        <v>29.1</v>
      </c>
      <c r="AL103" s="12">
        <f t="shared" si="131"/>
        <v>1.58</v>
      </c>
      <c r="AM103" s="12">
        <f t="shared" si="131"/>
        <v>16.8</v>
      </c>
      <c r="AN103" s="12">
        <f t="shared" si="131"/>
        <v>10.49</v>
      </c>
      <c r="AO103" s="12">
        <f t="shared" si="131"/>
        <v>4.0999999999999996</v>
      </c>
      <c r="AP103" s="12">
        <f t="shared" si="131"/>
        <v>41.8</v>
      </c>
      <c r="AQ103" s="12">
        <f t="shared" si="131"/>
        <v>29.71</v>
      </c>
      <c r="AR103" s="12">
        <f t="shared" si="132"/>
        <v>0.57299999999999995</v>
      </c>
      <c r="AS103" s="12">
        <f t="shared" si="132"/>
        <v>9.69</v>
      </c>
      <c r="AT103" s="12">
        <f t="shared" si="132"/>
        <v>48.4</v>
      </c>
      <c r="AU103" s="12">
        <f t="shared" si="132"/>
        <v>11.5</v>
      </c>
      <c r="AV103" s="12">
        <f t="shared" si="132"/>
        <v>78.8</v>
      </c>
      <c r="AW103" s="12">
        <f t="shared" si="132"/>
        <v>14.8</v>
      </c>
      <c r="AX103" s="12">
        <f t="shared" si="132"/>
        <v>11.7</v>
      </c>
      <c r="AY103" s="12">
        <f t="shared" si="132"/>
        <v>69.900000000000006</v>
      </c>
      <c r="AZ103" s="12">
        <f t="shared" si="132"/>
        <v>8.4</v>
      </c>
      <c r="BA103" s="12">
        <f t="shared" si="132"/>
        <v>80.400000000000006</v>
      </c>
      <c r="BB103" s="12">
        <f t="shared" si="133"/>
        <v>4.5</v>
      </c>
      <c r="BC103" s="12">
        <f t="shared" si="133"/>
        <v>38.11</v>
      </c>
      <c r="BD103" s="12">
        <f t="shared" si="133"/>
        <v>10.5</v>
      </c>
      <c r="BE103" s="12">
        <f t="shared" si="133"/>
        <v>3.8</v>
      </c>
      <c r="BF103" s="12">
        <f t="shared" si="133"/>
        <v>-3</v>
      </c>
      <c r="BG103" s="12">
        <f t="shared" si="133"/>
        <v>7.6</v>
      </c>
      <c r="BH103" s="12">
        <f t="shared" si="133"/>
        <v>10.6</v>
      </c>
      <c r="BI103" s="12">
        <f t="shared" si="133"/>
        <v>70.5</v>
      </c>
      <c r="BJ103" s="12">
        <f t="shared" si="133"/>
        <v>18.300000000000004</v>
      </c>
      <c r="BK103" s="12">
        <f t="shared" si="133"/>
        <v>59.91735537190084</v>
      </c>
      <c r="BL103" s="12">
        <f>INDEX(ovrTable,MATCH(INDEX(oppCol24,ROW()),ovrTeamCol,0),MATCH(MID(INDEX(headerRow,1,COLUMN()),4,LEN(INDEX(headerRow,1,COLUMN()))),ovrHeaderRow,0))</f>
        <v>35</v>
      </c>
      <c r="BM103" s="12">
        <f>INDEX(ovrTable,MATCH(INDEX(oppCol24,ROW()),ovrTeamCol,0),MATCH(MID(INDEX(headerRow,1,COLUMN()),4,LEN(INDEX(headerRow,1,COLUMN()))),ovrHeaderRow,0))</f>
        <v>7.3</v>
      </c>
      <c r="BN103" s="12">
        <f>INDEX(ovrTable,MATCH(INDEX(oppCol24,ROW()),ovrTeamCol,0),MATCH(MID(INDEX(headerRow,1,COLUMN()),4,LEN(INDEX(headerRow,1,COLUMN()))),ovrHeaderRow,0))</f>
        <v>33.799999999999997</v>
      </c>
      <c r="BO103" s="12">
        <f>INDEX(ovrTable,MATCH(INDEX(oppCol24,ROW()),ovrTeamCol,0),MATCH(MID(INDEX(headerRow,1,COLUMN()),4,LEN(INDEX(headerRow,1,COLUMN()))),ovrHeaderRow,0))</f>
        <v>21.6</v>
      </c>
      <c r="BP103" s="12">
        <f>INDEX(ovrTable,MATCH(INDEX(oppCol24,ROW()),ovrTeamCol,0),MATCH(MID(INDEX(headerRow,1,COLUMN()),4,LEN(INDEX(headerRow,1,COLUMN()))),ovrHeaderRow,0))</f>
        <v>1.36</v>
      </c>
      <c r="BQ103" s="12">
        <f>INDEX(ovrTable,MATCH(INDEX(oppCol24,ROW()),ovrTeamCol,0),MATCH(MID(INDEX(headerRow,1,COLUMN()),4,LEN(INDEX(headerRow,1,COLUMN()))),ovrHeaderRow,0))</f>
        <v>13.8</v>
      </c>
      <c r="BR103" s="12">
        <f>INDEX(ovrTable,MATCH(INDEX(oppCol24,ROW()),ovrTeamCol,0),MATCH(MID(INDEX(headerRow,1,COLUMN()),4,LEN(INDEX(headerRow,1,COLUMN()))),ovrHeaderRow,0))</f>
        <v>18.25</v>
      </c>
      <c r="BS103" s="12">
        <f>INDEX(ovrTable,MATCH(INDEX(oppCol24,ROW()),ovrTeamCol,0),MATCH(MID(INDEX(headerRow,1,COLUMN()),4,LEN(INDEX(headerRow,1,COLUMN()))),ovrHeaderRow,0))</f>
        <v>3.6</v>
      </c>
      <c r="BT103" s="12">
        <f>INDEX(ovrTable,MATCH(INDEX(oppCol24,ROW()),ovrTeamCol,0),MATCH(MID(INDEX(headerRow,1,COLUMN()),4,LEN(INDEX(headerRow,1,COLUMN()))),ovrHeaderRow,0))</f>
        <v>45.1</v>
      </c>
      <c r="BU103" s="12">
        <f>INDEX(ovrTable,MATCH(INDEX(oppCol24,ROW()),ovrTeamCol,0),MATCH(MID(INDEX(headerRow,1,COLUMN()),4,LEN(INDEX(headerRow,1,COLUMN()))),ovrHeaderRow,0))</f>
        <v>24.47</v>
      </c>
      <c r="BV103" s="12">
        <f>INDEX(ovrTable,MATCH(INDEX(oppCol24,ROW()),ovrTeamCol,0),MATCH(MID(INDEX(headerRow,1,COLUMN()),4,LEN(INDEX(headerRow,1,COLUMN()))),ovrHeaderRow,0))</f>
        <v>0.51900000000000002</v>
      </c>
      <c r="BW103" s="12">
        <f>INDEX(ovrTable,MATCH(INDEX(oppCol24,ROW()),ovrTeamCol,0),MATCH(MID(INDEX(headerRow,1,COLUMN()),4,LEN(INDEX(headerRow,1,COLUMN()))),ovrHeaderRow,0))</f>
        <v>9.7200000000000006</v>
      </c>
      <c r="BX103" s="12">
        <f>INDEX(ovrTable,MATCH(INDEX(oppCol24,ROW()),ovrTeamCol,0),MATCH(MID(INDEX(headerRow,1,COLUMN()),4,LEN(INDEX(headerRow,1,COLUMN()))),ovrHeaderRow,0))</f>
        <v>45.8</v>
      </c>
      <c r="BY103" s="12">
        <f>INDEX(ovrTable,MATCH(INDEX(oppCol24,ROW()),ovrTeamCol,0),MATCH(MID(INDEX(headerRow,1,COLUMN()),4,LEN(INDEX(headerRow,1,COLUMN()))),ovrHeaderRow,0))</f>
        <v>16.399999999999999</v>
      </c>
      <c r="BZ103" s="12">
        <f>INDEX(ovrTable,MATCH(INDEX(oppCol24,ROW()),ovrTeamCol,0),MATCH(MID(INDEX(headerRow,1,COLUMN()),4,LEN(INDEX(headerRow,1,COLUMN()))),ovrHeaderRow,0))</f>
        <v>71.900000000000006</v>
      </c>
      <c r="CA103" s="12">
        <f>INDEX(ovrTable,MATCH(INDEX(oppCol24,ROW()),ovrTeamCol,0),MATCH(MID(INDEX(headerRow,1,COLUMN()),4,LEN(INDEX(headerRow,1,COLUMN()))),ovrHeaderRow,0))</f>
        <v>19.100000000000001</v>
      </c>
      <c r="CB103" s="12">
        <f>INDEX(ovrTable,MATCH(INDEX(oppCol24,ROW()),ovrTeamCol,0),MATCH(MID(INDEX(headerRow,1,COLUMN()),4,LEN(INDEX(headerRow,1,COLUMN()))),ovrHeaderRow,0))</f>
        <v>13.7</v>
      </c>
      <c r="CC103" s="12">
        <f>INDEX(ovrTable,MATCH(INDEX(oppCol24,ROW()),ovrTeamCol,0),MATCH(MID(INDEX(headerRow,1,COLUMN()),4,LEN(INDEX(headerRow,1,COLUMN()))),ovrHeaderRow,0))</f>
        <v>72.3</v>
      </c>
      <c r="CD103" s="12">
        <f>INDEX(ovrTable,MATCH(INDEX(oppCol24,ROW()),ovrTeamCol,0),MATCH(MID(INDEX(headerRow,1,COLUMN()),4,LEN(INDEX(headerRow,1,COLUMN()))),ovrHeaderRow,0))</f>
        <v>9.92</v>
      </c>
      <c r="CE103" s="12">
        <f>INDEX(ovrTable,MATCH(INDEX(oppCol24,ROW()),ovrTeamCol,0),MATCH(MID(INDEX(headerRow,1,COLUMN()),4,LEN(INDEX(headerRow,1,COLUMN()))),ovrHeaderRow,0))</f>
        <v>75.599999999999994</v>
      </c>
      <c r="CF103" s="12">
        <f>INDEX(ovrTable,MATCH(INDEX(oppCol24,ROW()),ovrTeamCol,0),MATCH(MID(INDEX(headerRow,1,COLUMN()),4,LEN(INDEX(headerRow,1,COLUMN()))),ovrHeaderRow,0))</f>
        <v>0.5</v>
      </c>
      <c r="CG103" s="12">
        <f>INDEX(ovrTable,MATCH(INDEX(oppCol24,ROW()),ovrTeamCol,0),MATCH(MID(INDEX(headerRow,1,COLUMN()),4,LEN(INDEX(headerRow,1,COLUMN()))),ovrHeaderRow,0))</f>
        <v>34.39</v>
      </c>
      <c r="CH103" s="12">
        <f>INDEX(ovrTable,MATCH(INDEX(oppCol24,ROW()),ovrTeamCol,0),MATCH(MID(INDEX(headerRow,1,COLUMN()),4,LEN(INDEX(headerRow,1,COLUMN()))),ovrHeaderRow,0))</f>
        <v>3.3</v>
      </c>
      <c r="CI103" s="12">
        <f>INDEX(ovrTable,MATCH(INDEX(oppCol24,ROW()),ovrTeamCol,0),MATCH(MID(INDEX(headerRow,1,COLUMN()),4,LEN(INDEX(headerRow,1,COLUMN()))),ovrHeaderRow,0))</f>
        <v>7.2</v>
      </c>
      <c r="CJ103" s="12">
        <f>INDEX(ovrTable,MATCH(INDEX(oppCol24,ROW()),ovrTeamCol,0),MATCH(MID(INDEX(headerRow,1,COLUMN()),4,LEN(INDEX(headerRow,1,COLUMN()))),ovrHeaderRow,0))</f>
        <v>2.1</v>
      </c>
      <c r="CK103" s="12">
        <f>INDEX(ovrTable,MATCH(INDEX(oppCol24,ROW()),ovrTeamCol,0),MATCH(MID(INDEX(headerRow,1,COLUMN()),4,LEN(INDEX(headerRow,1,COLUMN()))),ovrHeaderRow,0))</f>
        <v>12.28</v>
      </c>
      <c r="CL103" s="12">
        <f>INDEX(ovrTable,MATCH(INDEX(oppCol24,ROW()),ovrTeamCol,0),MATCH(MID(INDEX(headerRow,1,COLUMN()),4,LEN(INDEX(headerRow,1,COLUMN()))),ovrHeaderRow,0))</f>
        <v>10.199999999999999</v>
      </c>
      <c r="CM103" s="12">
        <f>INDEX(ovrTable,MATCH(INDEX(oppCol24,ROW()),ovrTeamCol,0),MATCH(MID(INDEX(headerRow,1,COLUMN()),4,LEN(INDEX(headerRow,1,COLUMN()))),ovrHeaderRow,0))</f>
        <v>70.599999999999994</v>
      </c>
      <c r="CN103" s="12">
        <f>INDEX(ovrTable,MATCH(INDEX(oppCol24,ROW()),ovrTeamCol,0),MATCH(MID(INDEX(headerRow,1,COLUMN()),4,LEN(INDEX(headerRow,1,COLUMN()))),ovrHeaderRow,0))</f>
        <v>19.999999999999996</v>
      </c>
      <c r="CO103" s="12">
        <f>INDEX(ovrTable,MATCH(INDEX(oppCol24,ROW()),ovrTeamCol,0),MATCH(MID(INDEX(headerRow,1,COLUMN()),4,LEN(INDEX(headerRow,1,COLUMN()))),ovrHeaderRow,0))</f>
        <v>59.60698689956331</v>
      </c>
    </row>
    <row r="104" spans="1:93" x14ac:dyDescent="0.3">
      <c r="A104" s="6" t="s">
        <v>60</v>
      </c>
      <c r="B104" s="3">
        <v>7</v>
      </c>
      <c r="C104" s="13" t="s">
        <v>55</v>
      </c>
      <c r="D104" s="14">
        <v>52</v>
      </c>
      <c r="E104" s="23">
        <v>12</v>
      </c>
      <c r="F104" s="24">
        <v>7</v>
      </c>
      <c r="G104" s="23">
        <v>30.434782608695656</v>
      </c>
      <c r="H104" s="24">
        <v>23</v>
      </c>
      <c r="I104" s="25">
        <v>0.35294117647058826</v>
      </c>
      <c r="J104" s="24">
        <v>6</v>
      </c>
      <c r="K104" s="24">
        <v>19</v>
      </c>
      <c r="L104" s="24">
        <v>3</v>
      </c>
      <c r="M104" s="24">
        <v>33.799999999999997</v>
      </c>
      <c r="N104" s="24">
        <v>29</v>
      </c>
      <c r="O104" s="26">
        <v>0.42769999999999997</v>
      </c>
      <c r="P104" s="24">
        <v>11</v>
      </c>
      <c r="Q104" s="24">
        <v>36.4</v>
      </c>
      <c r="R104" s="24">
        <v>16</v>
      </c>
      <c r="S104" s="23">
        <v>91.666666666666657</v>
      </c>
      <c r="T104" s="24">
        <v>12</v>
      </c>
      <c r="U104" s="24">
        <v>11</v>
      </c>
      <c r="V104" s="24">
        <v>62</v>
      </c>
      <c r="W104" s="24">
        <v>7</v>
      </c>
      <c r="X104" s="24">
        <v>58</v>
      </c>
      <c r="Y104" s="24">
        <v>-6</v>
      </c>
      <c r="Z104" s="24">
        <v>36</v>
      </c>
      <c r="AA104" s="24">
        <v>-4</v>
      </c>
      <c r="AB104" s="24">
        <v>5</v>
      </c>
      <c r="AC104" s="24">
        <v>-5</v>
      </c>
      <c r="AD104" s="24">
        <v>12</v>
      </c>
      <c r="AE104" s="24">
        <v>17</v>
      </c>
      <c r="AF104" s="46">
        <f t="shared" si="85"/>
        <v>70.645054945054952</v>
      </c>
      <c r="AG104" s="51">
        <f t="shared" ref="AG104" si="135">AVERAGE(AF104,AF105)</f>
        <v>71.141906170752321</v>
      </c>
      <c r="AH104" s="12">
        <f t="shared" si="131"/>
        <v>33.6</v>
      </c>
      <c r="AI104" s="12">
        <f t="shared" si="131"/>
        <v>7.2</v>
      </c>
      <c r="AJ104" s="12">
        <f t="shared" si="131"/>
        <v>35.5</v>
      </c>
      <c r="AK104" s="12">
        <f t="shared" si="131"/>
        <v>20.3</v>
      </c>
      <c r="AL104" s="12">
        <f t="shared" si="131"/>
        <v>1.3</v>
      </c>
      <c r="AM104" s="12">
        <f t="shared" si="131"/>
        <v>15.1</v>
      </c>
      <c r="AN104" s="12">
        <f t="shared" si="131"/>
        <v>17.59</v>
      </c>
      <c r="AO104" s="12">
        <f t="shared" si="131"/>
        <v>4.4000000000000004</v>
      </c>
      <c r="AP104" s="12">
        <f t="shared" si="131"/>
        <v>42.6</v>
      </c>
      <c r="AQ104" s="12">
        <f t="shared" si="131"/>
        <v>24.71</v>
      </c>
      <c r="AR104" s="12">
        <f t="shared" si="132"/>
        <v>0.53</v>
      </c>
      <c r="AS104" s="12">
        <f t="shared" si="132"/>
        <v>12.18</v>
      </c>
      <c r="AT104" s="12">
        <f t="shared" si="132"/>
        <v>46.9</v>
      </c>
      <c r="AU104" s="12">
        <f t="shared" si="132"/>
        <v>17.3</v>
      </c>
      <c r="AV104" s="12">
        <f t="shared" si="132"/>
        <v>75.7</v>
      </c>
      <c r="AW104" s="12">
        <f t="shared" si="132"/>
        <v>17.600000000000001</v>
      </c>
      <c r="AX104" s="12">
        <f t="shared" si="132"/>
        <v>13.4</v>
      </c>
      <c r="AY104" s="12">
        <f t="shared" si="132"/>
        <v>68.900000000000006</v>
      </c>
      <c r="AZ104" s="12">
        <f t="shared" si="132"/>
        <v>9.9700000000000006</v>
      </c>
      <c r="BA104" s="12">
        <f t="shared" si="132"/>
        <v>75.400000000000006</v>
      </c>
      <c r="BB104" s="12">
        <f t="shared" si="133"/>
        <v>0.6</v>
      </c>
      <c r="BC104" s="12">
        <f t="shared" si="133"/>
        <v>34.68</v>
      </c>
      <c r="BD104" s="12">
        <f t="shared" si="133"/>
        <v>6.5</v>
      </c>
      <c r="BE104" s="12">
        <f t="shared" si="133"/>
        <v>7.2</v>
      </c>
      <c r="BF104" s="12">
        <f t="shared" si="133"/>
        <v>1.3</v>
      </c>
      <c r="BG104" s="12">
        <f t="shared" si="133"/>
        <v>12.88</v>
      </c>
      <c r="BH104" s="12">
        <f t="shared" si="133"/>
        <v>11.6</v>
      </c>
      <c r="BI104" s="12">
        <f t="shared" si="133"/>
        <v>70.3</v>
      </c>
      <c r="BJ104" s="12">
        <f t="shared" si="133"/>
        <v>20.200000000000003</v>
      </c>
      <c r="BK104" s="12">
        <f t="shared" si="133"/>
        <v>58.42217484008529</v>
      </c>
      <c r="BL104" s="12">
        <f>INDEX(ovrTable,MATCH(INDEX(oppCol24,ROW()),ovrTeamCol,0),MATCH(MID(INDEX(headerRow,1,COLUMN()),4,LEN(INDEX(headerRow,1,COLUMN()))),ovrHeaderRow,0))</f>
        <v>31.2</v>
      </c>
      <c r="BM104" s="12">
        <f>INDEX(ovrTable,MATCH(INDEX(oppCol24,ROW()),ovrTeamCol,0),MATCH(MID(INDEX(headerRow,1,COLUMN()),4,LEN(INDEX(headerRow,1,COLUMN()))),ovrHeaderRow,0))</f>
        <v>8.8000000000000007</v>
      </c>
      <c r="BN104" s="12">
        <f>INDEX(ovrTable,MATCH(INDEX(oppCol24,ROW()),ovrTeamCol,0),MATCH(MID(INDEX(headerRow,1,COLUMN()),4,LEN(INDEX(headerRow,1,COLUMN()))),ovrHeaderRow,0))</f>
        <v>34.4</v>
      </c>
      <c r="BO104" s="12">
        <f>INDEX(ovrTable,MATCH(INDEX(oppCol24,ROW()),ovrTeamCol,0),MATCH(MID(INDEX(headerRow,1,COLUMN()),4,LEN(INDEX(headerRow,1,COLUMN()))),ovrHeaderRow,0))</f>
        <v>25.4</v>
      </c>
      <c r="BP104" s="12">
        <f>INDEX(ovrTable,MATCH(INDEX(oppCol24,ROW()),ovrTeamCol,0),MATCH(MID(INDEX(headerRow,1,COLUMN()),4,LEN(INDEX(headerRow,1,COLUMN()))),ovrHeaderRow,0))</f>
        <v>1.63</v>
      </c>
      <c r="BQ104" s="12">
        <f>INDEX(ovrTable,MATCH(INDEX(oppCol24,ROW()),ovrTeamCol,0),MATCH(MID(INDEX(headerRow,1,COLUMN()),4,LEN(INDEX(headerRow,1,COLUMN()))),ovrHeaderRow,0))</f>
        <v>16.7</v>
      </c>
      <c r="BR104" s="12">
        <f>INDEX(ovrTable,MATCH(INDEX(oppCol24,ROW()),ovrTeamCol,0),MATCH(MID(INDEX(headerRow,1,COLUMN()),4,LEN(INDEX(headerRow,1,COLUMN()))),ovrHeaderRow,0))</f>
        <v>18.86</v>
      </c>
      <c r="BS104" s="12">
        <f>INDEX(ovrTable,MATCH(INDEX(oppCol24,ROW()),ovrTeamCol,0),MATCH(MID(INDEX(headerRow,1,COLUMN()),4,LEN(INDEX(headerRow,1,COLUMN()))),ovrHeaderRow,0))</f>
        <v>4.5999999999999996</v>
      </c>
      <c r="BT104" s="12">
        <f>INDEX(ovrTable,MATCH(INDEX(oppCol24,ROW()),ovrTeamCol,0),MATCH(MID(INDEX(headerRow,1,COLUMN()),4,LEN(INDEX(headerRow,1,COLUMN()))),ovrHeaderRow,0))</f>
        <v>38.9</v>
      </c>
      <c r="BU104" s="12">
        <f>INDEX(ovrTable,MATCH(INDEX(oppCol24,ROW()),ovrTeamCol,0),MATCH(MID(INDEX(headerRow,1,COLUMN()),4,LEN(INDEX(headerRow,1,COLUMN()))),ovrHeaderRow,0))</f>
        <v>27.06</v>
      </c>
      <c r="BV104" s="12">
        <f>INDEX(ovrTable,MATCH(INDEX(oppCol24,ROW()),ovrTeamCol,0),MATCH(MID(INDEX(headerRow,1,COLUMN()),4,LEN(INDEX(headerRow,1,COLUMN()))),ovrHeaderRow,0))</f>
        <v>0.51100000000000001</v>
      </c>
      <c r="BW104" s="12">
        <f>INDEX(ovrTable,MATCH(INDEX(oppCol24,ROW()),ovrTeamCol,0),MATCH(MID(INDEX(headerRow,1,COLUMN()),4,LEN(INDEX(headerRow,1,COLUMN()))),ovrHeaderRow,0))</f>
        <v>12.19</v>
      </c>
      <c r="BX104" s="12">
        <f>INDEX(ovrTable,MATCH(INDEX(oppCol24,ROW()),ovrTeamCol,0),MATCH(MID(INDEX(headerRow,1,COLUMN()),4,LEN(INDEX(headerRow,1,COLUMN()))),ovrHeaderRow,0))</f>
        <v>44</v>
      </c>
      <c r="BY104" s="12">
        <f>INDEX(ovrTable,MATCH(INDEX(oppCol24,ROW()),ovrTeamCol,0),MATCH(MID(INDEX(headerRow,1,COLUMN()),4,LEN(INDEX(headerRow,1,COLUMN()))),ovrHeaderRow,0))</f>
        <v>17.5</v>
      </c>
      <c r="BZ104" s="12">
        <f>INDEX(ovrTable,MATCH(INDEX(oppCol24,ROW()),ovrTeamCol,0),MATCH(MID(INDEX(headerRow,1,COLUMN()),4,LEN(INDEX(headerRow,1,COLUMN()))),ovrHeaderRow,0))</f>
        <v>75.099999999999994</v>
      </c>
      <c r="CA104" s="12">
        <f>INDEX(ovrTable,MATCH(INDEX(oppCol24,ROW()),ovrTeamCol,0),MATCH(MID(INDEX(headerRow,1,COLUMN()),4,LEN(INDEX(headerRow,1,COLUMN()))),ovrHeaderRow,0))</f>
        <v>20.8</v>
      </c>
      <c r="CB104" s="12">
        <f>INDEX(ovrTable,MATCH(INDEX(oppCol24,ROW()),ovrTeamCol,0),MATCH(MID(INDEX(headerRow,1,COLUMN()),4,LEN(INDEX(headerRow,1,COLUMN()))),ovrHeaderRow,0))</f>
        <v>15.6</v>
      </c>
      <c r="CC104" s="12">
        <f>INDEX(ovrTable,MATCH(INDEX(oppCol24,ROW()),ovrTeamCol,0),MATCH(MID(INDEX(headerRow,1,COLUMN()),4,LEN(INDEX(headerRow,1,COLUMN()))),ovrHeaderRow,0))</f>
        <v>67.400000000000006</v>
      </c>
      <c r="CD104" s="12">
        <f>INDEX(ovrTable,MATCH(INDEX(oppCol24,ROW()),ovrTeamCol,0),MATCH(MID(INDEX(headerRow,1,COLUMN()),4,LEN(INDEX(headerRow,1,COLUMN()))),ovrHeaderRow,0))</f>
        <v>11.64</v>
      </c>
      <c r="CE104" s="12">
        <f>INDEX(ovrTable,MATCH(INDEX(oppCol24,ROW()),ovrTeamCol,0),MATCH(MID(INDEX(headerRow,1,COLUMN()),4,LEN(INDEX(headerRow,1,COLUMN()))),ovrHeaderRow,0))</f>
        <v>78.8</v>
      </c>
      <c r="CF104" s="12">
        <f>INDEX(ovrTable,MATCH(INDEX(oppCol24,ROW()),ovrTeamCol,0),MATCH(MID(INDEX(headerRow,1,COLUMN()),4,LEN(INDEX(headerRow,1,COLUMN()))),ovrHeaderRow,0))</f>
        <v>3.6</v>
      </c>
      <c r="CG104" s="12">
        <f>INDEX(ovrTable,MATCH(INDEX(oppCol24,ROW()),ovrTeamCol,0),MATCH(MID(INDEX(headerRow,1,COLUMN()),4,LEN(INDEX(headerRow,1,COLUMN()))),ovrHeaderRow,0))</f>
        <v>38.69</v>
      </c>
      <c r="CH104" s="12">
        <f>INDEX(ovrTable,MATCH(INDEX(oppCol24,ROW()),ovrTeamCol,0),MATCH(MID(INDEX(headerRow,1,COLUMN()),4,LEN(INDEX(headerRow,1,COLUMN()))),ovrHeaderRow,0))</f>
        <v>11.4</v>
      </c>
      <c r="CI104" s="12">
        <f>INDEX(ovrTable,MATCH(INDEX(oppCol24,ROW()),ovrTeamCol,0),MATCH(MID(INDEX(headerRow,1,COLUMN()),4,LEN(INDEX(headerRow,1,COLUMN()))),ovrHeaderRow,0))</f>
        <v>7.8</v>
      </c>
      <c r="CJ104" s="12">
        <f>INDEX(ovrTable,MATCH(INDEX(oppCol24,ROW()),ovrTeamCol,0),MATCH(MID(INDEX(headerRow,1,COLUMN()),4,LEN(INDEX(headerRow,1,COLUMN()))),ovrHeaderRow,0))</f>
        <v>2.8</v>
      </c>
      <c r="CK104" s="12">
        <f>INDEX(ovrTable,MATCH(INDEX(oppCol24,ROW()),ovrTeamCol,0),MATCH(MID(INDEX(headerRow,1,COLUMN()),4,LEN(INDEX(headerRow,1,COLUMN()))),ovrHeaderRow,0))</f>
        <v>13.03</v>
      </c>
      <c r="CL104" s="12">
        <f>INDEX(ovrTable,MATCH(INDEX(oppCol24,ROW()),ovrTeamCol,0),MATCH(MID(INDEX(headerRow,1,COLUMN()),4,LEN(INDEX(headerRow,1,COLUMN()))),ovrHeaderRow,0))</f>
        <v>10.199999999999999</v>
      </c>
      <c r="CM104" s="12">
        <f>INDEX(ovrTable,MATCH(INDEX(oppCol24,ROW()),ovrTeamCol,0),MATCH(MID(INDEX(headerRow,1,COLUMN()),4,LEN(INDEX(headerRow,1,COLUMN()))),ovrHeaderRow,0))</f>
        <v>71.599999999999994</v>
      </c>
      <c r="CN104" s="12">
        <f>INDEX(ovrTable,MATCH(INDEX(oppCol24,ROW()),ovrTeamCol,0),MATCH(MID(INDEX(headerRow,1,COLUMN()),4,LEN(INDEX(headerRow,1,COLUMN()))),ovrHeaderRow,0))</f>
        <v>18.399999999999999</v>
      </c>
      <c r="CO104" s="12">
        <f>INDEX(ovrTable,MATCH(INDEX(oppCol24,ROW()),ovrTeamCol,0),MATCH(MID(INDEX(headerRow,1,COLUMN()),4,LEN(INDEX(headerRow,1,COLUMN()))),ovrHeaderRow,0))</f>
        <v>61.81818181818182</v>
      </c>
    </row>
    <row r="105" spans="1:93" x14ac:dyDescent="0.3">
      <c r="A105" s="6" t="s">
        <v>55</v>
      </c>
      <c r="B105" s="3">
        <v>2</v>
      </c>
      <c r="C105" s="13" t="s">
        <v>60</v>
      </c>
      <c r="D105" s="14">
        <v>52</v>
      </c>
      <c r="E105" s="23">
        <v>30.434782608695656</v>
      </c>
      <c r="F105" s="24">
        <v>3</v>
      </c>
      <c r="G105" s="23">
        <v>12</v>
      </c>
      <c r="H105" s="24">
        <v>25</v>
      </c>
      <c r="I105" s="25">
        <v>0.91666666666666663</v>
      </c>
      <c r="J105" s="24">
        <v>11</v>
      </c>
      <c r="K105" s="24">
        <v>16</v>
      </c>
      <c r="L105" s="24">
        <v>3</v>
      </c>
      <c r="M105" s="24">
        <v>36.4</v>
      </c>
      <c r="N105" s="24">
        <v>28</v>
      </c>
      <c r="O105" s="26">
        <v>0.3610454545454545</v>
      </c>
      <c r="P105" s="24">
        <v>4</v>
      </c>
      <c r="Q105" s="24">
        <v>33.799999999999997</v>
      </c>
      <c r="R105" s="24">
        <v>15</v>
      </c>
      <c r="S105" s="23">
        <v>83.333333333333343</v>
      </c>
      <c r="T105" s="24">
        <v>18</v>
      </c>
      <c r="U105" s="24">
        <v>15</v>
      </c>
      <c r="V105" s="24">
        <v>58</v>
      </c>
      <c r="W105" s="24">
        <v>14</v>
      </c>
      <c r="X105" s="24">
        <v>62</v>
      </c>
      <c r="Y105" s="24">
        <v>6</v>
      </c>
      <c r="Z105" s="24">
        <v>42</v>
      </c>
      <c r="AA105" s="24">
        <v>4</v>
      </c>
      <c r="AB105" s="24">
        <v>9</v>
      </c>
      <c r="AC105" s="24">
        <v>5</v>
      </c>
      <c r="AD105" s="24">
        <v>17</v>
      </c>
      <c r="AE105" s="24">
        <v>12</v>
      </c>
      <c r="AF105" s="46">
        <f t="shared" si="85"/>
        <v>71.638757396449705</v>
      </c>
      <c r="AG105" s="51">
        <f t="shared" ref="AG105" si="136">AVERAGE(AF104,AF105)</f>
        <v>71.141906170752321</v>
      </c>
      <c r="AH105" s="12">
        <f t="shared" si="131"/>
        <v>31.2</v>
      </c>
      <c r="AI105" s="12">
        <f t="shared" si="131"/>
        <v>8.8000000000000007</v>
      </c>
      <c r="AJ105" s="12">
        <f t="shared" si="131"/>
        <v>34.4</v>
      </c>
      <c r="AK105" s="12">
        <f t="shared" si="131"/>
        <v>25.4</v>
      </c>
      <c r="AL105" s="12">
        <f t="shared" si="131"/>
        <v>1.63</v>
      </c>
      <c r="AM105" s="12">
        <f t="shared" si="131"/>
        <v>16.7</v>
      </c>
      <c r="AN105" s="12">
        <f t="shared" si="131"/>
        <v>18.86</v>
      </c>
      <c r="AO105" s="12">
        <f t="shared" si="131"/>
        <v>4.5999999999999996</v>
      </c>
      <c r="AP105" s="12">
        <f t="shared" si="131"/>
        <v>38.9</v>
      </c>
      <c r="AQ105" s="12">
        <f t="shared" si="131"/>
        <v>27.06</v>
      </c>
      <c r="AR105" s="12">
        <f t="shared" si="132"/>
        <v>0.51100000000000001</v>
      </c>
      <c r="AS105" s="12">
        <f t="shared" si="132"/>
        <v>12.19</v>
      </c>
      <c r="AT105" s="12">
        <f t="shared" si="132"/>
        <v>44</v>
      </c>
      <c r="AU105" s="12">
        <f t="shared" si="132"/>
        <v>17.5</v>
      </c>
      <c r="AV105" s="12">
        <f t="shared" si="132"/>
        <v>75.099999999999994</v>
      </c>
      <c r="AW105" s="12">
        <f t="shared" si="132"/>
        <v>20.8</v>
      </c>
      <c r="AX105" s="12">
        <f t="shared" si="132"/>
        <v>15.6</v>
      </c>
      <c r="AY105" s="12">
        <f t="shared" si="132"/>
        <v>67.400000000000006</v>
      </c>
      <c r="AZ105" s="12">
        <f t="shared" si="132"/>
        <v>11.64</v>
      </c>
      <c r="BA105" s="12">
        <f t="shared" si="132"/>
        <v>78.8</v>
      </c>
      <c r="BB105" s="12">
        <f t="shared" si="133"/>
        <v>3.6</v>
      </c>
      <c r="BC105" s="12">
        <f t="shared" si="133"/>
        <v>38.69</v>
      </c>
      <c r="BD105" s="12">
        <f t="shared" si="133"/>
        <v>11.4</v>
      </c>
      <c r="BE105" s="12">
        <f t="shared" si="133"/>
        <v>7.8</v>
      </c>
      <c r="BF105" s="12">
        <f t="shared" si="133"/>
        <v>2.8</v>
      </c>
      <c r="BG105" s="12">
        <f t="shared" si="133"/>
        <v>13.03</v>
      </c>
      <c r="BH105" s="12">
        <f t="shared" si="133"/>
        <v>10.199999999999999</v>
      </c>
      <c r="BI105" s="12">
        <f t="shared" si="133"/>
        <v>71.599999999999994</v>
      </c>
      <c r="BJ105" s="12">
        <f t="shared" si="133"/>
        <v>18.399999999999999</v>
      </c>
      <c r="BK105" s="12">
        <f t="shared" si="133"/>
        <v>61.81818181818182</v>
      </c>
      <c r="BL105" s="12">
        <f>INDEX(ovrTable,MATCH(INDEX(oppCol24,ROW()),ovrTeamCol,0),MATCH(MID(INDEX(headerRow,1,COLUMN()),4,LEN(INDEX(headerRow,1,COLUMN()))),ovrHeaderRow,0))</f>
        <v>33.6</v>
      </c>
      <c r="BM105" s="12">
        <f>INDEX(ovrTable,MATCH(INDEX(oppCol24,ROW()),ovrTeamCol,0),MATCH(MID(INDEX(headerRow,1,COLUMN()),4,LEN(INDEX(headerRow,1,COLUMN()))),ovrHeaderRow,0))</f>
        <v>7.2</v>
      </c>
      <c r="BN105" s="12">
        <f>INDEX(ovrTable,MATCH(INDEX(oppCol24,ROW()),ovrTeamCol,0),MATCH(MID(INDEX(headerRow,1,COLUMN()),4,LEN(INDEX(headerRow,1,COLUMN()))),ovrHeaderRow,0))</f>
        <v>35.5</v>
      </c>
      <c r="BO105" s="12">
        <f>INDEX(ovrTable,MATCH(INDEX(oppCol24,ROW()),ovrTeamCol,0),MATCH(MID(INDEX(headerRow,1,COLUMN()),4,LEN(INDEX(headerRow,1,COLUMN()))),ovrHeaderRow,0))</f>
        <v>20.3</v>
      </c>
      <c r="BP105" s="12">
        <f>INDEX(ovrTable,MATCH(INDEX(oppCol24,ROW()),ovrTeamCol,0),MATCH(MID(INDEX(headerRow,1,COLUMN()),4,LEN(INDEX(headerRow,1,COLUMN()))),ovrHeaderRow,0))</f>
        <v>1.3</v>
      </c>
      <c r="BQ105" s="12">
        <f>INDEX(ovrTable,MATCH(INDEX(oppCol24,ROW()),ovrTeamCol,0),MATCH(MID(INDEX(headerRow,1,COLUMN()),4,LEN(INDEX(headerRow,1,COLUMN()))),ovrHeaderRow,0))</f>
        <v>15.1</v>
      </c>
      <c r="BR105" s="12">
        <f>INDEX(ovrTable,MATCH(INDEX(oppCol24,ROW()),ovrTeamCol,0),MATCH(MID(INDEX(headerRow,1,COLUMN()),4,LEN(INDEX(headerRow,1,COLUMN()))),ovrHeaderRow,0))</f>
        <v>17.59</v>
      </c>
      <c r="BS105" s="12">
        <f>INDEX(ovrTable,MATCH(INDEX(oppCol24,ROW()),ovrTeamCol,0),MATCH(MID(INDEX(headerRow,1,COLUMN()),4,LEN(INDEX(headerRow,1,COLUMN()))),ovrHeaderRow,0))</f>
        <v>4.4000000000000004</v>
      </c>
      <c r="BT105" s="12">
        <f>INDEX(ovrTable,MATCH(INDEX(oppCol24,ROW()),ovrTeamCol,0),MATCH(MID(INDEX(headerRow,1,COLUMN()),4,LEN(INDEX(headerRow,1,COLUMN()))),ovrHeaderRow,0))</f>
        <v>42.6</v>
      </c>
      <c r="BU105" s="12">
        <f>INDEX(ovrTable,MATCH(INDEX(oppCol24,ROW()),ovrTeamCol,0),MATCH(MID(INDEX(headerRow,1,COLUMN()),4,LEN(INDEX(headerRow,1,COLUMN()))),ovrHeaderRow,0))</f>
        <v>24.71</v>
      </c>
      <c r="BV105" s="12">
        <f>INDEX(ovrTable,MATCH(INDEX(oppCol24,ROW()),ovrTeamCol,0),MATCH(MID(INDEX(headerRow,1,COLUMN()),4,LEN(INDEX(headerRow,1,COLUMN()))),ovrHeaderRow,0))</f>
        <v>0.53</v>
      </c>
      <c r="BW105" s="12">
        <f>INDEX(ovrTable,MATCH(INDEX(oppCol24,ROW()),ovrTeamCol,0),MATCH(MID(INDEX(headerRow,1,COLUMN()),4,LEN(INDEX(headerRow,1,COLUMN()))),ovrHeaderRow,0))</f>
        <v>12.18</v>
      </c>
      <c r="BX105" s="12">
        <f>INDEX(ovrTable,MATCH(INDEX(oppCol24,ROW()),ovrTeamCol,0),MATCH(MID(INDEX(headerRow,1,COLUMN()),4,LEN(INDEX(headerRow,1,COLUMN()))),ovrHeaderRow,0))</f>
        <v>46.9</v>
      </c>
      <c r="BY105" s="12">
        <f>INDEX(ovrTable,MATCH(INDEX(oppCol24,ROW()),ovrTeamCol,0),MATCH(MID(INDEX(headerRow,1,COLUMN()),4,LEN(INDEX(headerRow,1,COLUMN()))),ovrHeaderRow,0))</f>
        <v>17.3</v>
      </c>
      <c r="BZ105" s="12">
        <f>INDEX(ovrTable,MATCH(INDEX(oppCol24,ROW()),ovrTeamCol,0),MATCH(MID(INDEX(headerRow,1,COLUMN()),4,LEN(INDEX(headerRow,1,COLUMN()))),ovrHeaderRow,0))</f>
        <v>75.7</v>
      </c>
      <c r="CA105" s="12">
        <f>INDEX(ovrTable,MATCH(INDEX(oppCol24,ROW()),ovrTeamCol,0),MATCH(MID(INDEX(headerRow,1,COLUMN()),4,LEN(INDEX(headerRow,1,COLUMN()))),ovrHeaderRow,0))</f>
        <v>17.600000000000001</v>
      </c>
      <c r="CB105" s="12">
        <f>INDEX(ovrTable,MATCH(INDEX(oppCol24,ROW()),ovrTeamCol,0),MATCH(MID(INDEX(headerRow,1,COLUMN()),4,LEN(INDEX(headerRow,1,COLUMN()))),ovrHeaderRow,0))</f>
        <v>13.4</v>
      </c>
      <c r="CC105" s="12">
        <f>INDEX(ovrTable,MATCH(INDEX(oppCol24,ROW()),ovrTeamCol,0),MATCH(MID(INDEX(headerRow,1,COLUMN()),4,LEN(INDEX(headerRow,1,COLUMN()))),ovrHeaderRow,0))</f>
        <v>68.900000000000006</v>
      </c>
      <c r="CD105" s="12">
        <f>INDEX(ovrTable,MATCH(INDEX(oppCol24,ROW()),ovrTeamCol,0),MATCH(MID(INDEX(headerRow,1,COLUMN()),4,LEN(INDEX(headerRow,1,COLUMN()))),ovrHeaderRow,0))</f>
        <v>9.9700000000000006</v>
      </c>
      <c r="CE105" s="12">
        <f>INDEX(ovrTable,MATCH(INDEX(oppCol24,ROW()),ovrTeamCol,0),MATCH(MID(INDEX(headerRow,1,COLUMN()),4,LEN(INDEX(headerRow,1,COLUMN()))),ovrHeaderRow,0))</f>
        <v>75.400000000000006</v>
      </c>
      <c r="CF105" s="12">
        <f>INDEX(ovrTable,MATCH(INDEX(oppCol24,ROW()),ovrTeamCol,0),MATCH(MID(INDEX(headerRow,1,COLUMN()),4,LEN(INDEX(headerRow,1,COLUMN()))),ovrHeaderRow,0))</f>
        <v>0.6</v>
      </c>
      <c r="CG105" s="12">
        <f>INDEX(ovrTable,MATCH(INDEX(oppCol24,ROW()),ovrTeamCol,0),MATCH(MID(INDEX(headerRow,1,COLUMN()),4,LEN(INDEX(headerRow,1,COLUMN()))),ovrHeaderRow,0))</f>
        <v>34.68</v>
      </c>
      <c r="CH105" s="12">
        <f>INDEX(ovrTable,MATCH(INDEX(oppCol24,ROW()),ovrTeamCol,0),MATCH(MID(INDEX(headerRow,1,COLUMN()),4,LEN(INDEX(headerRow,1,COLUMN()))),ovrHeaderRow,0))</f>
        <v>6.5</v>
      </c>
      <c r="CI105" s="12">
        <f>INDEX(ovrTable,MATCH(INDEX(oppCol24,ROW()),ovrTeamCol,0),MATCH(MID(INDEX(headerRow,1,COLUMN()),4,LEN(INDEX(headerRow,1,COLUMN()))),ovrHeaderRow,0))</f>
        <v>7.2</v>
      </c>
      <c r="CJ105" s="12">
        <f>INDEX(ovrTable,MATCH(INDEX(oppCol24,ROW()),ovrTeamCol,0),MATCH(MID(INDEX(headerRow,1,COLUMN()),4,LEN(INDEX(headerRow,1,COLUMN()))),ovrHeaderRow,0))</f>
        <v>1.3</v>
      </c>
      <c r="CK105" s="12">
        <f>INDEX(ovrTable,MATCH(INDEX(oppCol24,ROW()),ovrTeamCol,0),MATCH(MID(INDEX(headerRow,1,COLUMN()),4,LEN(INDEX(headerRow,1,COLUMN()))),ovrHeaderRow,0))</f>
        <v>12.88</v>
      </c>
      <c r="CL105" s="12">
        <f>INDEX(ovrTable,MATCH(INDEX(oppCol24,ROW()),ovrTeamCol,0),MATCH(MID(INDEX(headerRow,1,COLUMN()),4,LEN(INDEX(headerRow,1,COLUMN()))),ovrHeaderRow,0))</f>
        <v>11.6</v>
      </c>
      <c r="CM105" s="12">
        <f>INDEX(ovrTable,MATCH(INDEX(oppCol24,ROW()),ovrTeamCol,0),MATCH(MID(INDEX(headerRow,1,COLUMN()),4,LEN(INDEX(headerRow,1,COLUMN()))),ovrHeaderRow,0))</f>
        <v>70.3</v>
      </c>
      <c r="CN105" s="12">
        <f>INDEX(ovrTable,MATCH(INDEX(oppCol24,ROW()),ovrTeamCol,0),MATCH(MID(INDEX(headerRow,1,COLUMN()),4,LEN(INDEX(headerRow,1,COLUMN()))),ovrHeaderRow,0))</f>
        <v>20.200000000000003</v>
      </c>
      <c r="CO105" s="12">
        <f>INDEX(ovrTable,MATCH(INDEX(oppCol24,ROW()),ovrTeamCol,0),MATCH(MID(INDEX(headerRow,1,COLUMN()),4,LEN(INDEX(headerRow,1,COLUMN()))),ovrHeaderRow,0))</f>
        <v>58.42217484008529</v>
      </c>
    </row>
    <row r="106" spans="1:93" x14ac:dyDescent="0.3">
      <c r="A106" s="6" t="s">
        <v>6</v>
      </c>
      <c r="B106" s="3">
        <v>5</v>
      </c>
      <c r="C106" s="13" t="s">
        <v>2</v>
      </c>
      <c r="D106" s="14">
        <v>53</v>
      </c>
      <c r="E106" s="23">
        <v>38.461538461538467</v>
      </c>
      <c r="F106" s="24">
        <v>5</v>
      </c>
      <c r="G106" s="23">
        <v>22.727272727272727</v>
      </c>
      <c r="H106" s="24">
        <v>22</v>
      </c>
      <c r="I106" s="25">
        <v>0.75</v>
      </c>
      <c r="J106" s="24">
        <v>9</v>
      </c>
      <c r="K106" s="24">
        <v>9</v>
      </c>
      <c r="L106" s="24">
        <v>4</v>
      </c>
      <c r="M106" s="24">
        <v>46.2</v>
      </c>
      <c r="N106" s="24">
        <v>17</v>
      </c>
      <c r="O106" s="26">
        <v>0.40509523809523812</v>
      </c>
      <c r="P106" s="24">
        <v>5</v>
      </c>
      <c r="Q106" s="24">
        <v>36.200000000000003</v>
      </c>
      <c r="R106" s="24">
        <v>16</v>
      </c>
      <c r="S106" s="23">
        <v>50</v>
      </c>
      <c r="T106" s="24">
        <v>10</v>
      </c>
      <c r="U106" s="24">
        <v>5</v>
      </c>
      <c r="V106" s="24">
        <v>82</v>
      </c>
      <c r="W106" s="24">
        <v>12</v>
      </c>
      <c r="X106" s="24">
        <v>52</v>
      </c>
      <c r="Y106" s="24">
        <v>-21</v>
      </c>
      <c r="Z106" s="24">
        <v>29</v>
      </c>
      <c r="AA106" s="24">
        <v>-30</v>
      </c>
      <c r="AB106" s="24">
        <v>8</v>
      </c>
      <c r="AC106" s="24">
        <v>-1</v>
      </c>
      <c r="AD106" s="24">
        <v>11</v>
      </c>
      <c r="AE106" s="24">
        <v>12</v>
      </c>
      <c r="AF106" s="46">
        <f t="shared" si="85"/>
        <v>62.761049723756905</v>
      </c>
      <c r="AG106" s="51">
        <f t="shared" ref="AG106" si="137">AVERAGE(AF106,AF107)</f>
        <v>62.648057329410918</v>
      </c>
      <c r="AH106" s="12">
        <f t="shared" si="131"/>
        <v>31</v>
      </c>
      <c r="AI106" s="12">
        <f t="shared" si="131"/>
        <v>7</v>
      </c>
      <c r="AJ106" s="12">
        <f t="shared" si="131"/>
        <v>31.5</v>
      </c>
      <c r="AK106" s="12">
        <f t="shared" si="131"/>
        <v>22.2</v>
      </c>
      <c r="AL106" s="12">
        <f t="shared" si="131"/>
        <v>1.1599999999999999</v>
      </c>
      <c r="AM106" s="12">
        <f t="shared" si="131"/>
        <v>13</v>
      </c>
      <c r="AN106" s="12">
        <f t="shared" si="131"/>
        <v>18.239999999999998</v>
      </c>
      <c r="AO106" s="12">
        <f t="shared" si="131"/>
        <v>4</v>
      </c>
      <c r="AP106" s="12">
        <f t="shared" si="131"/>
        <v>40.5</v>
      </c>
      <c r="AQ106" s="12">
        <f t="shared" si="131"/>
        <v>26.11</v>
      </c>
      <c r="AR106" s="12">
        <f t="shared" si="132"/>
        <v>0.5</v>
      </c>
      <c r="AS106" s="12">
        <f t="shared" si="132"/>
        <v>8.76</v>
      </c>
      <c r="AT106" s="12">
        <f t="shared" si="132"/>
        <v>44</v>
      </c>
      <c r="AU106" s="12">
        <f t="shared" si="132"/>
        <v>17.5</v>
      </c>
      <c r="AV106" s="12">
        <f t="shared" si="132"/>
        <v>73.3</v>
      </c>
      <c r="AW106" s="12">
        <f t="shared" si="132"/>
        <v>21.2</v>
      </c>
      <c r="AX106" s="12">
        <f t="shared" si="132"/>
        <v>15.5</v>
      </c>
      <c r="AY106" s="12">
        <f t="shared" si="132"/>
        <v>66.7</v>
      </c>
      <c r="AZ106" s="12">
        <f t="shared" si="132"/>
        <v>11.68</v>
      </c>
      <c r="BA106" s="12">
        <f t="shared" si="132"/>
        <v>74.099999999999994</v>
      </c>
      <c r="BB106" s="12">
        <f t="shared" si="133"/>
        <v>4.0999999999999996</v>
      </c>
      <c r="BC106" s="12">
        <f t="shared" si="133"/>
        <v>37.78</v>
      </c>
      <c r="BD106" s="12">
        <f t="shared" si="133"/>
        <v>7.4</v>
      </c>
      <c r="BE106" s="12">
        <f t="shared" si="133"/>
        <v>7.4</v>
      </c>
      <c r="BF106" s="12">
        <f t="shared" si="133"/>
        <v>1.3</v>
      </c>
      <c r="BG106" s="12">
        <f t="shared" si="133"/>
        <v>12.43</v>
      </c>
      <c r="BH106" s="12">
        <f t="shared" si="133"/>
        <v>11.2</v>
      </c>
      <c r="BI106" s="12">
        <f t="shared" si="133"/>
        <v>69.599999999999994</v>
      </c>
      <c r="BJ106" s="12">
        <f t="shared" si="133"/>
        <v>18.799999999999997</v>
      </c>
      <c r="BK106" s="12">
        <f t="shared" si="133"/>
        <v>58.636363636363626</v>
      </c>
      <c r="BL106" s="12">
        <f>INDEX(ovrTable,MATCH(INDEX(oppCol24,ROW()),ovrTeamCol,0),MATCH(MID(INDEX(headerRow,1,COLUMN()),4,LEN(INDEX(headerRow,1,COLUMN()))),ovrHeaderRow,0))</f>
        <v>31.2</v>
      </c>
      <c r="BM106" s="12">
        <f>INDEX(ovrTable,MATCH(INDEX(oppCol24,ROW()),ovrTeamCol,0),MATCH(MID(INDEX(headerRow,1,COLUMN()),4,LEN(INDEX(headerRow,1,COLUMN()))),ovrHeaderRow,0))</f>
        <v>8.5</v>
      </c>
      <c r="BN106" s="12">
        <f>INDEX(ovrTable,MATCH(INDEX(oppCol24,ROW()),ovrTeamCol,0),MATCH(MID(INDEX(headerRow,1,COLUMN()),4,LEN(INDEX(headerRow,1,COLUMN()))),ovrHeaderRow,0))</f>
        <v>35.799999999999997</v>
      </c>
      <c r="BO106" s="12">
        <f>INDEX(ovrTable,MATCH(INDEX(oppCol24,ROW()),ovrTeamCol,0),MATCH(MID(INDEX(headerRow,1,COLUMN()),4,LEN(INDEX(headerRow,1,COLUMN()))),ovrHeaderRow,0))</f>
        <v>23.8</v>
      </c>
      <c r="BP106" s="12">
        <f>INDEX(ovrTable,MATCH(INDEX(oppCol24,ROW()),ovrTeamCol,0),MATCH(MID(INDEX(headerRow,1,COLUMN()),4,LEN(INDEX(headerRow,1,COLUMN()))),ovrHeaderRow,0))</f>
        <v>1.95</v>
      </c>
      <c r="BQ106" s="12">
        <f>INDEX(ovrTable,MATCH(INDEX(oppCol24,ROW()),ovrTeamCol,0),MATCH(MID(INDEX(headerRow,1,COLUMN()),4,LEN(INDEX(headerRow,1,COLUMN()))),ovrHeaderRow,0))</f>
        <v>18.7</v>
      </c>
      <c r="BR106" s="12">
        <f>INDEX(ovrTable,MATCH(INDEX(oppCol24,ROW()),ovrTeamCol,0),MATCH(MID(INDEX(headerRow,1,COLUMN()),4,LEN(INDEX(headerRow,1,COLUMN()))),ovrHeaderRow,0))</f>
        <v>16.149999999999999</v>
      </c>
      <c r="BS106" s="12">
        <f>INDEX(ovrTable,MATCH(INDEX(oppCol24,ROW()),ovrTeamCol,0),MATCH(MID(INDEX(headerRow,1,COLUMN()),4,LEN(INDEX(headerRow,1,COLUMN()))),ovrHeaderRow,0))</f>
        <v>5.4</v>
      </c>
      <c r="BT106" s="12">
        <f>INDEX(ovrTable,MATCH(INDEX(oppCol24,ROW()),ovrTeamCol,0),MATCH(MID(INDEX(headerRow,1,COLUMN()),4,LEN(INDEX(headerRow,1,COLUMN()))),ovrHeaderRow,0))</f>
        <v>39.200000000000003</v>
      </c>
      <c r="BU106" s="12">
        <f>INDEX(ovrTable,MATCH(INDEX(oppCol24,ROW()),ovrTeamCol,0),MATCH(MID(INDEX(headerRow,1,COLUMN()),4,LEN(INDEX(headerRow,1,COLUMN()))),ovrHeaderRow,0))</f>
        <v>27.1</v>
      </c>
      <c r="BV106" s="12">
        <f>INDEX(ovrTable,MATCH(INDEX(oppCol24,ROW()),ovrTeamCol,0),MATCH(MID(INDEX(headerRow,1,COLUMN()),4,LEN(INDEX(headerRow,1,COLUMN()))),ovrHeaderRow,0))</f>
        <v>0.56899999999999995</v>
      </c>
      <c r="BW106" s="12">
        <f>INDEX(ovrTable,MATCH(INDEX(oppCol24,ROW()),ovrTeamCol,0),MATCH(MID(INDEX(headerRow,1,COLUMN()),4,LEN(INDEX(headerRow,1,COLUMN()))),ovrHeaderRow,0))</f>
        <v>11.95</v>
      </c>
      <c r="BX106" s="12">
        <f>INDEX(ovrTable,MATCH(INDEX(oppCol24,ROW()),ovrTeamCol,0),MATCH(MID(INDEX(headerRow,1,COLUMN()),4,LEN(INDEX(headerRow,1,COLUMN()))),ovrHeaderRow,0))</f>
        <v>49.7</v>
      </c>
      <c r="BY106" s="12">
        <f>INDEX(ovrTable,MATCH(INDEX(oppCol24,ROW()),ovrTeamCol,0),MATCH(MID(INDEX(headerRow,1,COLUMN()),4,LEN(INDEX(headerRow,1,COLUMN()))),ovrHeaderRow,0))</f>
        <v>16.3</v>
      </c>
      <c r="BZ106" s="12">
        <f>INDEX(ovrTable,MATCH(INDEX(oppCol24,ROW()),ovrTeamCol,0),MATCH(MID(INDEX(headerRow,1,COLUMN()),4,LEN(INDEX(headerRow,1,COLUMN()))),ovrHeaderRow,0))</f>
        <v>74.3</v>
      </c>
      <c r="CA106" s="12">
        <f>INDEX(ovrTable,MATCH(INDEX(oppCol24,ROW()),ovrTeamCol,0),MATCH(MID(INDEX(headerRow,1,COLUMN()),4,LEN(INDEX(headerRow,1,COLUMN()))),ovrHeaderRow,0))</f>
        <v>18.899999999999999</v>
      </c>
      <c r="CB106" s="12">
        <f>INDEX(ovrTable,MATCH(INDEX(oppCol24,ROW()),ovrTeamCol,0),MATCH(MID(INDEX(headerRow,1,COLUMN()),4,LEN(INDEX(headerRow,1,COLUMN()))),ovrHeaderRow,0))</f>
        <v>14.1</v>
      </c>
      <c r="CC106" s="12">
        <f>INDEX(ovrTable,MATCH(INDEX(oppCol24,ROW()),ovrTeamCol,0),MATCH(MID(INDEX(headerRow,1,COLUMN()),4,LEN(INDEX(headerRow,1,COLUMN()))),ovrHeaderRow,0))</f>
        <v>63.4</v>
      </c>
      <c r="CD106" s="12">
        <f>INDEX(ovrTable,MATCH(INDEX(oppCol24,ROW()),ovrTeamCol,0),MATCH(MID(INDEX(headerRow,1,COLUMN()),4,LEN(INDEX(headerRow,1,COLUMN()))),ovrHeaderRow,0))</f>
        <v>11.73</v>
      </c>
      <c r="CE106" s="12">
        <f>INDEX(ovrTable,MATCH(INDEX(oppCol24,ROW()),ovrTeamCol,0),MATCH(MID(INDEX(headerRow,1,COLUMN()),4,LEN(INDEX(headerRow,1,COLUMN()))),ovrHeaderRow,0))</f>
        <v>81.400000000000006</v>
      </c>
      <c r="CF106" s="12">
        <f>INDEX(ovrTable,MATCH(INDEX(oppCol24,ROW()),ovrTeamCol,0),MATCH(MID(INDEX(headerRow,1,COLUMN()),4,LEN(INDEX(headerRow,1,COLUMN()))),ovrHeaderRow,0))</f>
        <v>8.6999999999999993</v>
      </c>
      <c r="CG106" s="12">
        <f>INDEX(ovrTable,MATCH(INDEX(oppCol24,ROW()),ovrTeamCol,0),MATCH(MID(INDEX(headerRow,1,COLUMN()),4,LEN(INDEX(headerRow,1,COLUMN()))),ovrHeaderRow,0))</f>
        <v>38.83</v>
      </c>
      <c r="CH106" s="12">
        <f>INDEX(ovrTable,MATCH(INDEX(oppCol24,ROW()),ovrTeamCol,0),MATCH(MID(INDEX(headerRow,1,COLUMN()),4,LEN(INDEX(headerRow,1,COLUMN()))),ovrHeaderRow,0))</f>
        <v>18</v>
      </c>
      <c r="CI106" s="12">
        <f>INDEX(ovrTable,MATCH(INDEX(oppCol24,ROW()),ovrTeamCol,0),MATCH(MID(INDEX(headerRow,1,COLUMN()),4,LEN(INDEX(headerRow,1,COLUMN()))),ovrHeaderRow,0))</f>
        <v>6.2</v>
      </c>
      <c r="CJ106" s="12">
        <f>INDEX(ovrTable,MATCH(INDEX(oppCol24,ROW()),ovrTeamCol,0),MATCH(MID(INDEX(headerRow,1,COLUMN()),4,LEN(INDEX(headerRow,1,COLUMN()))),ovrHeaderRow,0))</f>
        <v>1</v>
      </c>
      <c r="CK106" s="12">
        <f>INDEX(ovrTable,MATCH(INDEX(oppCol24,ROW()),ovrTeamCol,0),MATCH(MID(INDEX(headerRow,1,COLUMN()),4,LEN(INDEX(headerRow,1,COLUMN()))),ovrHeaderRow,0))</f>
        <v>10.55</v>
      </c>
      <c r="CL106" s="12">
        <f>INDEX(ovrTable,MATCH(INDEX(oppCol24,ROW()),ovrTeamCol,0),MATCH(MID(INDEX(headerRow,1,COLUMN()),4,LEN(INDEX(headerRow,1,COLUMN()))),ovrHeaderRow,0))</f>
        <v>9.6</v>
      </c>
      <c r="CM106" s="12">
        <f>INDEX(ovrTable,MATCH(INDEX(oppCol24,ROW()),ovrTeamCol,0),MATCH(MID(INDEX(headerRow,1,COLUMN()),4,LEN(INDEX(headerRow,1,COLUMN()))),ovrHeaderRow,0))</f>
        <v>67.900000000000006</v>
      </c>
      <c r="CN106" s="12">
        <f>INDEX(ovrTable,MATCH(INDEX(oppCol24,ROW()),ovrTeamCol,0),MATCH(MID(INDEX(headerRow,1,COLUMN()),4,LEN(INDEX(headerRow,1,COLUMN()))),ovrHeaderRow,0))</f>
        <v>20.900000000000006</v>
      </c>
      <c r="CO106" s="12">
        <f>INDEX(ovrTable,MATCH(INDEX(oppCol24,ROW()),ovrTeamCol,0),MATCH(MID(INDEX(headerRow,1,COLUMN()),4,LEN(INDEX(headerRow,1,COLUMN()))),ovrHeaderRow,0))</f>
        <v>59.154929577464792</v>
      </c>
    </row>
    <row r="107" spans="1:93" x14ac:dyDescent="0.3">
      <c r="A107" s="6" t="s">
        <v>2</v>
      </c>
      <c r="B107" s="3">
        <v>1</v>
      </c>
      <c r="C107" s="13" t="s">
        <v>6</v>
      </c>
      <c r="D107" s="14">
        <v>53</v>
      </c>
      <c r="E107" s="23">
        <v>22.727272727272727</v>
      </c>
      <c r="F107" s="24">
        <v>10</v>
      </c>
      <c r="G107" s="23">
        <v>38.461538461538467</v>
      </c>
      <c r="H107" s="24">
        <v>26</v>
      </c>
      <c r="I107" s="25">
        <v>1.5454545454545454</v>
      </c>
      <c r="J107" s="24">
        <v>17</v>
      </c>
      <c r="K107" s="24">
        <v>15</v>
      </c>
      <c r="L107" s="24">
        <v>1</v>
      </c>
      <c r="M107" s="24">
        <v>36.200000000000003</v>
      </c>
      <c r="N107" s="24">
        <v>29</v>
      </c>
      <c r="O107" s="26">
        <v>0.53900000000000003</v>
      </c>
      <c r="P107" s="24">
        <v>7</v>
      </c>
      <c r="Q107" s="24">
        <v>46.2</v>
      </c>
      <c r="R107" s="24">
        <v>14</v>
      </c>
      <c r="S107" s="23">
        <v>75</v>
      </c>
      <c r="T107" s="24">
        <v>16</v>
      </c>
      <c r="U107" s="24">
        <v>12</v>
      </c>
      <c r="V107" s="24">
        <v>52</v>
      </c>
      <c r="W107" s="24">
        <v>21</v>
      </c>
      <c r="X107" s="24">
        <v>82</v>
      </c>
      <c r="Y107" s="24">
        <v>21</v>
      </c>
      <c r="Z107" s="24">
        <v>50</v>
      </c>
      <c r="AA107" s="24">
        <v>30</v>
      </c>
      <c r="AB107" s="24">
        <v>10</v>
      </c>
      <c r="AC107" s="24">
        <v>1</v>
      </c>
      <c r="AD107" s="24">
        <v>12</v>
      </c>
      <c r="AE107" s="24">
        <v>11</v>
      </c>
      <c r="AF107" s="46">
        <f t="shared" si="85"/>
        <v>62.535064935064931</v>
      </c>
      <c r="AG107" s="51">
        <f t="shared" ref="AG107" si="138">AVERAGE(AF106,AF107)</f>
        <v>62.648057329410918</v>
      </c>
      <c r="AH107" s="12">
        <f t="shared" si="131"/>
        <v>31.2</v>
      </c>
      <c r="AI107" s="12">
        <f t="shared" si="131"/>
        <v>8.5</v>
      </c>
      <c r="AJ107" s="12">
        <f t="shared" si="131"/>
        <v>35.799999999999997</v>
      </c>
      <c r="AK107" s="12">
        <f t="shared" si="131"/>
        <v>23.8</v>
      </c>
      <c r="AL107" s="12">
        <f t="shared" si="131"/>
        <v>1.95</v>
      </c>
      <c r="AM107" s="12">
        <f t="shared" si="131"/>
        <v>18.7</v>
      </c>
      <c r="AN107" s="12">
        <f t="shared" si="131"/>
        <v>16.149999999999999</v>
      </c>
      <c r="AO107" s="12">
        <f t="shared" si="131"/>
        <v>5.4</v>
      </c>
      <c r="AP107" s="12">
        <f t="shared" si="131"/>
        <v>39.200000000000003</v>
      </c>
      <c r="AQ107" s="12">
        <f t="shared" si="131"/>
        <v>27.1</v>
      </c>
      <c r="AR107" s="12">
        <f t="shared" si="132"/>
        <v>0.56899999999999995</v>
      </c>
      <c r="AS107" s="12">
        <f t="shared" si="132"/>
        <v>11.95</v>
      </c>
      <c r="AT107" s="12">
        <f t="shared" si="132"/>
        <v>49.7</v>
      </c>
      <c r="AU107" s="12">
        <f t="shared" si="132"/>
        <v>16.3</v>
      </c>
      <c r="AV107" s="12">
        <f t="shared" si="132"/>
        <v>74.3</v>
      </c>
      <c r="AW107" s="12">
        <f t="shared" si="132"/>
        <v>18.899999999999999</v>
      </c>
      <c r="AX107" s="12">
        <f t="shared" si="132"/>
        <v>14.1</v>
      </c>
      <c r="AY107" s="12">
        <f t="shared" si="132"/>
        <v>63.4</v>
      </c>
      <c r="AZ107" s="12">
        <f t="shared" si="132"/>
        <v>11.73</v>
      </c>
      <c r="BA107" s="12">
        <f t="shared" si="132"/>
        <v>81.400000000000006</v>
      </c>
      <c r="BB107" s="12">
        <f t="shared" si="133"/>
        <v>8.6999999999999993</v>
      </c>
      <c r="BC107" s="12">
        <f t="shared" si="133"/>
        <v>38.83</v>
      </c>
      <c r="BD107" s="12">
        <f t="shared" si="133"/>
        <v>18</v>
      </c>
      <c r="BE107" s="12">
        <f t="shared" si="133"/>
        <v>6.2</v>
      </c>
      <c r="BF107" s="12">
        <f t="shared" si="133"/>
        <v>1</v>
      </c>
      <c r="BG107" s="12">
        <f t="shared" si="133"/>
        <v>10.55</v>
      </c>
      <c r="BH107" s="12">
        <f t="shared" si="133"/>
        <v>9.6</v>
      </c>
      <c r="BI107" s="12">
        <f t="shared" si="133"/>
        <v>67.900000000000006</v>
      </c>
      <c r="BJ107" s="12">
        <f t="shared" si="133"/>
        <v>20.900000000000006</v>
      </c>
      <c r="BK107" s="12">
        <f t="shared" si="133"/>
        <v>59.154929577464792</v>
      </c>
      <c r="BL107" s="12">
        <f>INDEX(ovrTable,MATCH(INDEX(oppCol24,ROW()),ovrTeamCol,0),MATCH(MID(INDEX(headerRow,1,COLUMN()),4,LEN(INDEX(headerRow,1,COLUMN()))),ovrHeaderRow,0))</f>
        <v>31</v>
      </c>
      <c r="BM107" s="12">
        <f>INDEX(ovrTable,MATCH(INDEX(oppCol24,ROW()),ovrTeamCol,0),MATCH(MID(INDEX(headerRow,1,COLUMN()),4,LEN(INDEX(headerRow,1,COLUMN()))),ovrHeaderRow,0))</f>
        <v>7</v>
      </c>
      <c r="BN107" s="12">
        <f>INDEX(ovrTable,MATCH(INDEX(oppCol24,ROW()),ovrTeamCol,0),MATCH(MID(INDEX(headerRow,1,COLUMN()),4,LEN(INDEX(headerRow,1,COLUMN()))),ovrHeaderRow,0))</f>
        <v>31.5</v>
      </c>
      <c r="BO107" s="12">
        <f>INDEX(ovrTable,MATCH(INDEX(oppCol24,ROW()),ovrTeamCol,0),MATCH(MID(INDEX(headerRow,1,COLUMN()),4,LEN(INDEX(headerRow,1,COLUMN()))),ovrHeaderRow,0))</f>
        <v>22.2</v>
      </c>
      <c r="BP107" s="12">
        <f>INDEX(ovrTable,MATCH(INDEX(oppCol24,ROW()),ovrTeamCol,0),MATCH(MID(INDEX(headerRow,1,COLUMN()),4,LEN(INDEX(headerRow,1,COLUMN()))),ovrHeaderRow,0))</f>
        <v>1.1599999999999999</v>
      </c>
      <c r="BQ107" s="12">
        <f>INDEX(ovrTable,MATCH(INDEX(oppCol24,ROW()),ovrTeamCol,0),MATCH(MID(INDEX(headerRow,1,COLUMN()),4,LEN(INDEX(headerRow,1,COLUMN()))),ovrHeaderRow,0))</f>
        <v>13</v>
      </c>
      <c r="BR107" s="12">
        <f>INDEX(ovrTable,MATCH(INDEX(oppCol24,ROW()),ovrTeamCol,0),MATCH(MID(INDEX(headerRow,1,COLUMN()),4,LEN(INDEX(headerRow,1,COLUMN()))),ovrHeaderRow,0))</f>
        <v>18.239999999999998</v>
      </c>
      <c r="BS107" s="12">
        <f>INDEX(ovrTable,MATCH(INDEX(oppCol24,ROW()),ovrTeamCol,0),MATCH(MID(INDEX(headerRow,1,COLUMN()),4,LEN(INDEX(headerRow,1,COLUMN()))),ovrHeaderRow,0))</f>
        <v>4</v>
      </c>
      <c r="BT107" s="12">
        <f>INDEX(ovrTable,MATCH(INDEX(oppCol24,ROW()),ovrTeamCol,0),MATCH(MID(INDEX(headerRow,1,COLUMN()),4,LEN(INDEX(headerRow,1,COLUMN()))),ovrHeaderRow,0))</f>
        <v>40.5</v>
      </c>
      <c r="BU107" s="12">
        <f>INDEX(ovrTable,MATCH(INDEX(oppCol24,ROW()),ovrTeamCol,0),MATCH(MID(INDEX(headerRow,1,COLUMN()),4,LEN(INDEX(headerRow,1,COLUMN()))),ovrHeaderRow,0))</f>
        <v>26.11</v>
      </c>
      <c r="BV107" s="12">
        <f>INDEX(ovrTable,MATCH(INDEX(oppCol24,ROW()),ovrTeamCol,0),MATCH(MID(INDEX(headerRow,1,COLUMN()),4,LEN(INDEX(headerRow,1,COLUMN()))),ovrHeaderRow,0))</f>
        <v>0.5</v>
      </c>
      <c r="BW107" s="12">
        <f>INDEX(ovrTable,MATCH(INDEX(oppCol24,ROW()),ovrTeamCol,0),MATCH(MID(INDEX(headerRow,1,COLUMN()),4,LEN(INDEX(headerRow,1,COLUMN()))),ovrHeaderRow,0))</f>
        <v>8.76</v>
      </c>
      <c r="BX107" s="12">
        <f>INDEX(ovrTable,MATCH(INDEX(oppCol24,ROW()),ovrTeamCol,0),MATCH(MID(INDEX(headerRow,1,COLUMN()),4,LEN(INDEX(headerRow,1,COLUMN()))),ovrHeaderRow,0))</f>
        <v>44</v>
      </c>
      <c r="BY107" s="12">
        <f>INDEX(ovrTable,MATCH(INDEX(oppCol24,ROW()),ovrTeamCol,0),MATCH(MID(INDEX(headerRow,1,COLUMN()),4,LEN(INDEX(headerRow,1,COLUMN()))),ovrHeaderRow,0))</f>
        <v>17.5</v>
      </c>
      <c r="BZ107" s="12">
        <f>INDEX(ovrTable,MATCH(INDEX(oppCol24,ROW()),ovrTeamCol,0),MATCH(MID(INDEX(headerRow,1,COLUMN()),4,LEN(INDEX(headerRow,1,COLUMN()))),ovrHeaderRow,0))</f>
        <v>73.3</v>
      </c>
      <c r="CA107" s="12">
        <f>INDEX(ovrTable,MATCH(INDEX(oppCol24,ROW()),ovrTeamCol,0),MATCH(MID(INDEX(headerRow,1,COLUMN()),4,LEN(INDEX(headerRow,1,COLUMN()))),ovrHeaderRow,0))</f>
        <v>21.2</v>
      </c>
      <c r="CB107" s="12">
        <f>INDEX(ovrTable,MATCH(INDEX(oppCol24,ROW()),ovrTeamCol,0),MATCH(MID(INDEX(headerRow,1,COLUMN()),4,LEN(INDEX(headerRow,1,COLUMN()))),ovrHeaderRow,0))</f>
        <v>15.5</v>
      </c>
      <c r="CC107" s="12">
        <f>INDEX(ovrTable,MATCH(INDEX(oppCol24,ROW()),ovrTeamCol,0),MATCH(MID(INDEX(headerRow,1,COLUMN()),4,LEN(INDEX(headerRow,1,COLUMN()))),ovrHeaderRow,0))</f>
        <v>66.7</v>
      </c>
      <c r="CD107" s="12">
        <f>INDEX(ovrTable,MATCH(INDEX(oppCol24,ROW()),ovrTeamCol,0),MATCH(MID(INDEX(headerRow,1,COLUMN()),4,LEN(INDEX(headerRow,1,COLUMN()))),ovrHeaderRow,0))</f>
        <v>11.68</v>
      </c>
      <c r="CE107" s="12">
        <f>INDEX(ovrTable,MATCH(INDEX(oppCol24,ROW()),ovrTeamCol,0),MATCH(MID(INDEX(headerRow,1,COLUMN()),4,LEN(INDEX(headerRow,1,COLUMN()))),ovrHeaderRow,0))</f>
        <v>74.099999999999994</v>
      </c>
      <c r="CF107" s="12">
        <f>INDEX(ovrTable,MATCH(INDEX(oppCol24,ROW()),ovrTeamCol,0),MATCH(MID(INDEX(headerRow,1,COLUMN()),4,LEN(INDEX(headerRow,1,COLUMN()))),ovrHeaderRow,0))</f>
        <v>4.0999999999999996</v>
      </c>
      <c r="CG107" s="12">
        <f>INDEX(ovrTable,MATCH(INDEX(oppCol24,ROW()),ovrTeamCol,0),MATCH(MID(INDEX(headerRow,1,COLUMN()),4,LEN(INDEX(headerRow,1,COLUMN()))),ovrHeaderRow,0))</f>
        <v>37.78</v>
      </c>
      <c r="CH107" s="12">
        <f>INDEX(ovrTable,MATCH(INDEX(oppCol24,ROW()),ovrTeamCol,0),MATCH(MID(INDEX(headerRow,1,COLUMN()),4,LEN(INDEX(headerRow,1,COLUMN()))),ovrHeaderRow,0))</f>
        <v>7.4</v>
      </c>
      <c r="CI107" s="12">
        <f>INDEX(ovrTable,MATCH(INDEX(oppCol24,ROW()),ovrTeamCol,0),MATCH(MID(INDEX(headerRow,1,COLUMN()),4,LEN(INDEX(headerRow,1,COLUMN()))),ovrHeaderRow,0))</f>
        <v>7.4</v>
      </c>
      <c r="CJ107" s="12">
        <f>INDEX(ovrTable,MATCH(INDEX(oppCol24,ROW()),ovrTeamCol,0),MATCH(MID(INDEX(headerRow,1,COLUMN()),4,LEN(INDEX(headerRow,1,COLUMN()))),ovrHeaderRow,0))</f>
        <v>1.3</v>
      </c>
      <c r="CK107" s="12">
        <f>INDEX(ovrTable,MATCH(INDEX(oppCol24,ROW()),ovrTeamCol,0),MATCH(MID(INDEX(headerRow,1,COLUMN()),4,LEN(INDEX(headerRow,1,COLUMN()))),ovrHeaderRow,0))</f>
        <v>12.43</v>
      </c>
      <c r="CL107" s="12">
        <f>INDEX(ovrTable,MATCH(INDEX(oppCol24,ROW()),ovrTeamCol,0),MATCH(MID(INDEX(headerRow,1,COLUMN()),4,LEN(INDEX(headerRow,1,COLUMN()))),ovrHeaderRow,0))</f>
        <v>11.2</v>
      </c>
      <c r="CM107" s="12">
        <f>INDEX(ovrTable,MATCH(INDEX(oppCol24,ROW()),ovrTeamCol,0),MATCH(MID(INDEX(headerRow,1,COLUMN()),4,LEN(INDEX(headerRow,1,COLUMN()))),ovrHeaderRow,0))</f>
        <v>69.599999999999994</v>
      </c>
      <c r="CN107" s="12">
        <f>INDEX(ovrTable,MATCH(INDEX(oppCol24,ROW()),ovrTeamCol,0),MATCH(MID(INDEX(headerRow,1,COLUMN()),4,LEN(INDEX(headerRow,1,COLUMN()))),ovrHeaderRow,0))</f>
        <v>18.799999999999997</v>
      </c>
      <c r="CO107" s="12">
        <f>INDEX(ovrTable,MATCH(INDEX(oppCol24,ROW()),ovrTeamCol,0),MATCH(MID(INDEX(headerRow,1,COLUMN()),4,LEN(INDEX(headerRow,1,COLUMN()))),ovrHeaderRow,0))</f>
        <v>58.636363636363626</v>
      </c>
    </row>
    <row r="108" spans="1:93" x14ac:dyDescent="0.3">
      <c r="A108" s="6" t="s">
        <v>3</v>
      </c>
      <c r="B108" s="3">
        <v>2</v>
      </c>
      <c r="C108" s="13" t="s">
        <v>4</v>
      </c>
      <c r="D108" s="14">
        <v>54</v>
      </c>
      <c r="E108" s="23">
        <v>51.724137931034484</v>
      </c>
      <c r="F108" s="24">
        <v>17</v>
      </c>
      <c r="G108" s="23">
        <v>80.952380952380949</v>
      </c>
      <c r="H108" s="24">
        <v>21</v>
      </c>
      <c r="I108" s="25">
        <v>1</v>
      </c>
      <c r="J108" s="24">
        <v>9</v>
      </c>
      <c r="K108" s="24">
        <v>28</v>
      </c>
      <c r="L108" s="24">
        <v>3</v>
      </c>
      <c r="M108" s="24">
        <v>42.1</v>
      </c>
      <c r="N108" s="24">
        <v>29</v>
      </c>
      <c r="O108" s="26">
        <v>0.58982857142857137</v>
      </c>
      <c r="P108" s="24">
        <v>9</v>
      </c>
      <c r="Q108" s="24">
        <v>39.700000000000003</v>
      </c>
      <c r="R108" s="24">
        <v>23</v>
      </c>
      <c r="S108" s="23">
        <v>80.952380952380949</v>
      </c>
      <c r="T108" s="24">
        <v>21</v>
      </c>
      <c r="U108" s="24">
        <v>17</v>
      </c>
      <c r="V108" s="24">
        <v>72</v>
      </c>
      <c r="W108" s="24">
        <v>8</v>
      </c>
      <c r="X108" s="24">
        <v>69</v>
      </c>
      <c r="Y108" s="24">
        <v>-4</v>
      </c>
      <c r="Z108" s="24">
        <v>37</v>
      </c>
      <c r="AA108" s="24">
        <v>-3</v>
      </c>
      <c r="AB108" s="24">
        <v>11</v>
      </c>
      <c r="AC108" s="24">
        <v>3</v>
      </c>
      <c r="AD108" s="24">
        <v>12</v>
      </c>
      <c r="AE108" s="24">
        <v>9</v>
      </c>
      <c r="AF108" s="46">
        <f t="shared" si="85"/>
        <v>56.315050377833749</v>
      </c>
      <c r="AG108" s="51">
        <f t="shared" ref="AG108" si="139">AVERAGE(AF108,AF109)</f>
        <v>59.985642766114026</v>
      </c>
      <c r="AH108" s="12">
        <f t="shared" si="131"/>
        <v>31.5</v>
      </c>
      <c r="AI108" s="12">
        <f t="shared" si="131"/>
        <v>6.6</v>
      </c>
      <c r="AJ108" s="12">
        <f t="shared" si="131"/>
        <v>35.799999999999997</v>
      </c>
      <c r="AK108" s="12">
        <f t="shared" si="131"/>
        <v>18.600000000000001</v>
      </c>
      <c r="AL108" s="12">
        <f t="shared" si="131"/>
        <v>1.5</v>
      </c>
      <c r="AM108" s="12">
        <f t="shared" si="131"/>
        <v>15.7</v>
      </c>
      <c r="AN108" s="12">
        <f t="shared" si="131"/>
        <v>21.86</v>
      </c>
      <c r="AO108" s="12">
        <f t="shared" si="131"/>
        <v>3.1</v>
      </c>
      <c r="AP108" s="12">
        <f t="shared" si="131"/>
        <v>40.200000000000003</v>
      </c>
      <c r="AQ108" s="12">
        <f t="shared" si="131"/>
        <v>23.27</v>
      </c>
      <c r="AR108" s="12">
        <f t="shared" si="132"/>
        <v>0.52</v>
      </c>
      <c r="AS108" s="12">
        <f t="shared" si="132"/>
        <v>10.62</v>
      </c>
      <c r="AT108" s="12">
        <f t="shared" si="132"/>
        <v>46.3</v>
      </c>
      <c r="AU108" s="12">
        <f t="shared" si="132"/>
        <v>16.5</v>
      </c>
      <c r="AV108" s="12">
        <f t="shared" si="132"/>
        <v>70.2</v>
      </c>
      <c r="AW108" s="12">
        <f t="shared" si="132"/>
        <v>20.7</v>
      </c>
      <c r="AX108" s="12">
        <f t="shared" si="132"/>
        <v>14.5</v>
      </c>
      <c r="AY108" s="12">
        <f t="shared" si="132"/>
        <v>61.5</v>
      </c>
      <c r="AZ108" s="12">
        <f t="shared" si="132"/>
        <v>10.62</v>
      </c>
      <c r="BA108" s="12">
        <f t="shared" si="132"/>
        <v>75.3</v>
      </c>
      <c r="BB108" s="12">
        <f t="shared" si="133"/>
        <v>0.7</v>
      </c>
      <c r="BC108" s="12">
        <f t="shared" si="133"/>
        <v>33.89</v>
      </c>
      <c r="BD108" s="12">
        <f t="shared" si="133"/>
        <v>13.8</v>
      </c>
      <c r="BE108" s="12">
        <f t="shared" si="133"/>
        <v>10.3</v>
      </c>
      <c r="BF108" s="12">
        <f t="shared" si="133"/>
        <v>6.7</v>
      </c>
      <c r="BG108" s="12">
        <f t="shared" si="133"/>
        <v>17.190000000000001</v>
      </c>
      <c r="BH108" s="12">
        <f t="shared" si="133"/>
        <v>10.5</v>
      </c>
      <c r="BI108" s="12">
        <f t="shared" si="133"/>
        <v>69</v>
      </c>
      <c r="BJ108" s="12">
        <f t="shared" si="133"/>
        <v>20.5</v>
      </c>
      <c r="BK108" s="12">
        <f t="shared" si="133"/>
        <v>58.531317494600437</v>
      </c>
      <c r="BL108" s="12">
        <f>INDEX(ovrTable,MATCH(INDEX(oppCol24,ROW()),ovrTeamCol,0),MATCH(MID(INDEX(headerRow,1,COLUMN()),4,LEN(INDEX(headerRow,1,COLUMN()))),ovrHeaderRow,0))</f>
        <v>34.1</v>
      </c>
      <c r="BM108" s="12">
        <f>INDEX(ovrTable,MATCH(INDEX(oppCol24,ROW()),ovrTeamCol,0),MATCH(MID(INDEX(headerRow,1,COLUMN()),4,LEN(INDEX(headerRow,1,COLUMN()))),ovrHeaderRow,0))</f>
        <v>8.3000000000000007</v>
      </c>
      <c r="BN108" s="12">
        <f>INDEX(ovrTable,MATCH(INDEX(oppCol24,ROW()),ovrTeamCol,0),MATCH(MID(INDEX(headerRow,1,COLUMN()),4,LEN(INDEX(headerRow,1,COLUMN()))),ovrHeaderRow,0))</f>
        <v>34.9</v>
      </c>
      <c r="BO108" s="12">
        <f>INDEX(ovrTable,MATCH(INDEX(oppCol24,ROW()),ovrTeamCol,0),MATCH(MID(INDEX(headerRow,1,COLUMN()),4,LEN(INDEX(headerRow,1,COLUMN()))),ovrHeaderRow,0))</f>
        <v>23.9</v>
      </c>
      <c r="BP108" s="12">
        <f>INDEX(ovrTable,MATCH(INDEX(oppCol24,ROW()),ovrTeamCol,0),MATCH(MID(INDEX(headerRow,1,COLUMN()),4,LEN(INDEX(headerRow,1,COLUMN()))),ovrHeaderRow,0))</f>
        <v>1.26</v>
      </c>
      <c r="BQ108" s="12">
        <f>INDEX(ovrTable,MATCH(INDEX(oppCol24,ROW()),ovrTeamCol,0),MATCH(MID(INDEX(headerRow,1,COLUMN()),4,LEN(INDEX(headerRow,1,COLUMN()))),ovrHeaderRow,0))</f>
        <v>13.3</v>
      </c>
      <c r="BR108" s="12">
        <f>INDEX(ovrTable,MATCH(INDEX(oppCol24,ROW()),ovrTeamCol,0),MATCH(MID(INDEX(headerRow,1,COLUMN()),4,LEN(INDEX(headerRow,1,COLUMN()))),ovrHeaderRow,0))</f>
        <v>19.18</v>
      </c>
      <c r="BS108" s="12">
        <f>INDEX(ovrTable,MATCH(INDEX(oppCol24,ROW()),ovrTeamCol,0),MATCH(MID(INDEX(headerRow,1,COLUMN()),4,LEN(INDEX(headerRow,1,COLUMN()))),ovrHeaderRow,0))</f>
        <v>3.8</v>
      </c>
      <c r="BT108" s="12">
        <f>INDEX(ovrTable,MATCH(INDEX(oppCol24,ROW()),ovrTeamCol,0),MATCH(MID(INDEX(headerRow,1,COLUMN()),4,LEN(INDEX(headerRow,1,COLUMN()))),ovrHeaderRow,0))</f>
        <v>43.2</v>
      </c>
      <c r="BU108" s="12">
        <f>INDEX(ovrTable,MATCH(INDEX(oppCol24,ROW()),ovrTeamCol,0),MATCH(MID(INDEX(headerRow,1,COLUMN()),4,LEN(INDEX(headerRow,1,COLUMN()))),ovrHeaderRow,0))</f>
        <v>28.11</v>
      </c>
      <c r="BV108" s="12">
        <f>INDEX(ovrTable,MATCH(INDEX(oppCol24,ROW()),ovrTeamCol,0),MATCH(MID(INDEX(headerRow,1,COLUMN()),4,LEN(INDEX(headerRow,1,COLUMN()))),ovrHeaderRow,0))</f>
        <v>0.53600000000000003</v>
      </c>
      <c r="BW108" s="12">
        <f>INDEX(ovrTable,MATCH(INDEX(oppCol24,ROW()),ovrTeamCol,0),MATCH(MID(INDEX(headerRow,1,COLUMN()),4,LEN(INDEX(headerRow,1,COLUMN()))),ovrHeaderRow,0))</f>
        <v>11.47</v>
      </c>
      <c r="BX108" s="12">
        <f>INDEX(ovrTable,MATCH(INDEX(oppCol24,ROW()),ovrTeamCol,0),MATCH(MID(INDEX(headerRow,1,COLUMN()),4,LEN(INDEX(headerRow,1,COLUMN()))),ovrHeaderRow,0))</f>
        <v>46.9</v>
      </c>
      <c r="BY108" s="12">
        <f>INDEX(ovrTable,MATCH(INDEX(oppCol24,ROW()),ovrTeamCol,0),MATCH(MID(INDEX(headerRow,1,COLUMN()),4,LEN(INDEX(headerRow,1,COLUMN()))),ovrHeaderRow,0))</f>
        <v>15.2</v>
      </c>
      <c r="BZ108" s="12">
        <f>INDEX(ovrTable,MATCH(INDEX(oppCol24,ROW()),ovrTeamCol,0),MATCH(MID(INDEX(headerRow,1,COLUMN()),4,LEN(INDEX(headerRow,1,COLUMN()))),ovrHeaderRow,0))</f>
        <v>73.599999999999994</v>
      </c>
      <c r="CA108" s="12">
        <f>INDEX(ovrTable,MATCH(INDEX(oppCol24,ROW()),ovrTeamCol,0),MATCH(MID(INDEX(headerRow,1,COLUMN()),4,LEN(INDEX(headerRow,1,COLUMN()))),ovrHeaderRow,0))</f>
        <v>23</v>
      </c>
      <c r="CB108" s="12">
        <f>INDEX(ovrTable,MATCH(INDEX(oppCol24,ROW()),ovrTeamCol,0),MATCH(MID(INDEX(headerRow,1,COLUMN()),4,LEN(INDEX(headerRow,1,COLUMN()))),ovrHeaderRow,0))</f>
        <v>16.899999999999999</v>
      </c>
      <c r="CC108" s="12">
        <f>INDEX(ovrTable,MATCH(INDEX(oppCol24,ROW()),ovrTeamCol,0),MATCH(MID(INDEX(headerRow,1,COLUMN()),4,LEN(INDEX(headerRow,1,COLUMN()))),ovrHeaderRow,0))</f>
        <v>73.3</v>
      </c>
      <c r="CD108" s="12">
        <f>INDEX(ovrTable,MATCH(INDEX(oppCol24,ROW()),ovrTeamCol,0),MATCH(MID(INDEX(headerRow,1,COLUMN()),4,LEN(INDEX(headerRow,1,COLUMN()))),ovrHeaderRow,0))</f>
        <v>12.79</v>
      </c>
      <c r="CE108" s="12">
        <f>INDEX(ovrTable,MATCH(INDEX(oppCol24,ROW()),ovrTeamCol,0),MATCH(MID(INDEX(headerRow,1,COLUMN()),4,LEN(INDEX(headerRow,1,COLUMN()))),ovrHeaderRow,0))</f>
        <v>83.4</v>
      </c>
      <c r="CF108" s="12">
        <f>INDEX(ovrTable,MATCH(INDEX(oppCol24,ROW()),ovrTeamCol,0),MATCH(MID(INDEX(headerRow,1,COLUMN()),4,LEN(INDEX(headerRow,1,COLUMN()))),ovrHeaderRow,0))</f>
        <v>7.8</v>
      </c>
      <c r="CG108" s="12">
        <f>INDEX(ovrTable,MATCH(INDEX(oppCol24,ROW()),ovrTeamCol,0),MATCH(MID(INDEX(headerRow,1,COLUMN()),4,LEN(INDEX(headerRow,1,COLUMN()))),ovrHeaderRow,0))</f>
        <v>40.89</v>
      </c>
      <c r="CH108" s="12">
        <f>INDEX(ovrTable,MATCH(INDEX(oppCol24,ROW()),ovrTeamCol,0),MATCH(MID(INDEX(headerRow,1,COLUMN()),4,LEN(INDEX(headerRow,1,COLUMN()))),ovrHeaderRow,0))</f>
        <v>10</v>
      </c>
      <c r="CI108" s="12">
        <f>INDEX(ovrTable,MATCH(INDEX(oppCol24,ROW()),ovrTeamCol,0),MATCH(MID(INDEX(headerRow,1,COLUMN()),4,LEN(INDEX(headerRow,1,COLUMN()))),ovrHeaderRow,0))</f>
        <v>4.4000000000000004</v>
      </c>
      <c r="CJ108" s="12">
        <f>INDEX(ovrTable,MATCH(INDEX(oppCol24,ROW()),ovrTeamCol,0),MATCH(MID(INDEX(headerRow,1,COLUMN()),4,LEN(INDEX(headerRow,1,COLUMN()))),ovrHeaderRow,0))</f>
        <v>-1.8</v>
      </c>
      <c r="CK108" s="12">
        <f>INDEX(ovrTable,MATCH(INDEX(oppCol24,ROW()),ovrTeamCol,0),MATCH(MID(INDEX(headerRow,1,COLUMN()),4,LEN(INDEX(headerRow,1,COLUMN()))),ovrHeaderRow,0))</f>
        <v>8.7100000000000009</v>
      </c>
      <c r="CL108" s="12">
        <f>INDEX(ovrTable,MATCH(INDEX(oppCol24,ROW()),ovrTeamCol,0),MATCH(MID(INDEX(headerRow,1,COLUMN()),4,LEN(INDEX(headerRow,1,COLUMN()))),ovrHeaderRow,0))</f>
        <v>10.6</v>
      </c>
      <c r="CM108" s="12">
        <f>INDEX(ovrTable,MATCH(INDEX(oppCol24,ROW()),ovrTeamCol,0),MATCH(MID(INDEX(headerRow,1,COLUMN()),4,LEN(INDEX(headerRow,1,COLUMN()))),ovrHeaderRow,0))</f>
        <v>72.3</v>
      </c>
      <c r="CN108" s="12">
        <f>INDEX(ovrTable,MATCH(INDEX(oppCol24,ROW()),ovrTeamCol,0),MATCH(MID(INDEX(headerRow,1,COLUMN()),4,LEN(INDEX(headerRow,1,COLUMN()))),ovrHeaderRow,0))</f>
        <v>20.799999999999997</v>
      </c>
      <c r="CO108" s="12">
        <f>INDEX(ovrTable,MATCH(INDEX(oppCol24,ROW()),ovrTeamCol,0),MATCH(MID(INDEX(headerRow,1,COLUMN()),4,LEN(INDEX(headerRow,1,COLUMN()))),ovrHeaderRow,0))</f>
        <v>62.046908315565034</v>
      </c>
    </row>
    <row r="109" spans="1:93" x14ac:dyDescent="0.3">
      <c r="A109" s="6" t="s">
        <v>4</v>
      </c>
      <c r="B109" s="3">
        <v>3</v>
      </c>
      <c r="C109" s="13" t="s">
        <v>3</v>
      </c>
      <c r="D109" s="14">
        <v>54</v>
      </c>
      <c r="E109" s="23">
        <v>80.952380952380949</v>
      </c>
      <c r="F109" s="24">
        <v>15</v>
      </c>
      <c r="G109" s="23">
        <v>51.724137931034484</v>
      </c>
      <c r="H109" s="24">
        <v>29</v>
      </c>
      <c r="I109" s="25">
        <v>1.3333333333333333</v>
      </c>
      <c r="J109" s="24">
        <v>16</v>
      </c>
      <c r="K109" s="24">
        <v>15</v>
      </c>
      <c r="L109" s="24">
        <v>2</v>
      </c>
      <c r="M109" s="24">
        <v>39.700000000000003</v>
      </c>
      <c r="N109" s="24">
        <v>29</v>
      </c>
      <c r="O109" s="26">
        <v>0.5713571428571429</v>
      </c>
      <c r="P109" s="24">
        <v>16</v>
      </c>
      <c r="Q109" s="24">
        <v>42.1</v>
      </c>
      <c r="R109" s="24">
        <v>18</v>
      </c>
      <c r="S109" s="23">
        <v>51.724137931034484</v>
      </c>
      <c r="T109" s="24">
        <v>29</v>
      </c>
      <c r="U109" s="24">
        <v>15</v>
      </c>
      <c r="V109" s="24">
        <v>69</v>
      </c>
      <c r="W109" s="24">
        <v>12</v>
      </c>
      <c r="X109" s="24">
        <v>72</v>
      </c>
      <c r="Y109" s="24">
        <v>4</v>
      </c>
      <c r="Z109" s="24">
        <v>41</v>
      </c>
      <c r="AA109" s="24">
        <v>3</v>
      </c>
      <c r="AB109" s="24">
        <v>8</v>
      </c>
      <c r="AC109" s="24">
        <v>-3</v>
      </c>
      <c r="AD109" s="24">
        <v>9</v>
      </c>
      <c r="AE109" s="24">
        <v>12</v>
      </c>
      <c r="AF109" s="46">
        <f t="shared" si="85"/>
        <v>63.656235154394295</v>
      </c>
      <c r="AG109" s="51">
        <f t="shared" ref="AG109" si="140">AVERAGE(AF108,AF109)</f>
        <v>59.985642766114026</v>
      </c>
      <c r="AH109" s="12">
        <f t="shared" si="131"/>
        <v>34.1</v>
      </c>
      <c r="AI109" s="12">
        <f t="shared" si="131"/>
        <v>8.3000000000000007</v>
      </c>
      <c r="AJ109" s="12">
        <f t="shared" si="131"/>
        <v>34.9</v>
      </c>
      <c r="AK109" s="12">
        <f t="shared" si="131"/>
        <v>23.9</v>
      </c>
      <c r="AL109" s="12">
        <f t="shared" si="131"/>
        <v>1.26</v>
      </c>
      <c r="AM109" s="12">
        <f t="shared" si="131"/>
        <v>13.3</v>
      </c>
      <c r="AN109" s="12">
        <f t="shared" si="131"/>
        <v>19.18</v>
      </c>
      <c r="AO109" s="12">
        <f t="shared" si="131"/>
        <v>3.8</v>
      </c>
      <c r="AP109" s="12">
        <f t="shared" si="131"/>
        <v>43.2</v>
      </c>
      <c r="AQ109" s="12">
        <f t="shared" si="131"/>
        <v>28.11</v>
      </c>
      <c r="AR109" s="12">
        <f t="shared" si="132"/>
        <v>0.53600000000000003</v>
      </c>
      <c r="AS109" s="12">
        <f t="shared" si="132"/>
        <v>11.47</v>
      </c>
      <c r="AT109" s="12">
        <f t="shared" si="132"/>
        <v>46.9</v>
      </c>
      <c r="AU109" s="12">
        <f t="shared" si="132"/>
        <v>15.2</v>
      </c>
      <c r="AV109" s="12">
        <f t="shared" si="132"/>
        <v>73.599999999999994</v>
      </c>
      <c r="AW109" s="12">
        <f t="shared" si="132"/>
        <v>23</v>
      </c>
      <c r="AX109" s="12">
        <f t="shared" si="132"/>
        <v>16.899999999999999</v>
      </c>
      <c r="AY109" s="12">
        <f t="shared" si="132"/>
        <v>73.3</v>
      </c>
      <c r="AZ109" s="12">
        <f t="shared" si="132"/>
        <v>12.79</v>
      </c>
      <c r="BA109" s="12">
        <f t="shared" si="132"/>
        <v>83.4</v>
      </c>
      <c r="BB109" s="12">
        <f t="shared" si="133"/>
        <v>7.8</v>
      </c>
      <c r="BC109" s="12">
        <f t="shared" si="133"/>
        <v>40.89</v>
      </c>
      <c r="BD109" s="12">
        <f t="shared" si="133"/>
        <v>10</v>
      </c>
      <c r="BE109" s="12">
        <f t="shared" si="133"/>
        <v>4.4000000000000004</v>
      </c>
      <c r="BF109" s="12">
        <f t="shared" si="133"/>
        <v>-1.8</v>
      </c>
      <c r="BG109" s="12">
        <f t="shared" si="133"/>
        <v>8.7100000000000009</v>
      </c>
      <c r="BH109" s="12">
        <f t="shared" si="133"/>
        <v>10.6</v>
      </c>
      <c r="BI109" s="12">
        <f t="shared" si="133"/>
        <v>72.3</v>
      </c>
      <c r="BJ109" s="12">
        <f t="shared" si="133"/>
        <v>20.799999999999997</v>
      </c>
      <c r="BK109" s="12">
        <f t="shared" si="133"/>
        <v>62.046908315565034</v>
      </c>
      <c r="BL109" s="12">
        <f>INDEX(ovrTable,MATCH(INDEX(oppCol24,ROW()),ovrTeamCol,0),MATCH(MID(INDEX(headerRow,1,COLUMN()),4,LEN(INDEX(headerRow,1,COLUMN()))),ovrHeaderRow,0))</f>
        <v>31.5</v>
      </c>
      <c r="BM109" s="12">
        <f>INDEX(ovrTable,MATCH(INDEX(oppCol24,ROW()),ovrTeamCol,0),MATCH(MID(INDEX(headerRow,1,COLUMN()),4,LEN(INDEX(headerRow,1,COLUMN()))),ovrHeaderRow,0))</f>
        <v>6.6</v>
      </c>
      <c r="BN109" s="12">
        <f>INDEX(ovrTable,MATCH(INDEX(oppCol24,ROW()),ovrTeamCol,0),MATCH(MID(INDEX(headerRow,1,COLUMN()),4,LEN(INDEX(headerRow,1,COLUMN()))),ovrHeaderRow,0))</f>
        <v>35.799999999999997</v>
      </c>
      <c r="BO109" s="12">
        <f>INDEX(ovrTable,MATCH(INDEX(oppCol24,ROW()),ovrTeamCol,0),MATCH(MID(INDEX(headerRow,1,COLUMN()),4,LEN(INDEX(headerRow,1,COLUMN()))),ovrHeaderRow,0))</f>
        <v>18.600000000000001</v>
      </c>
      <c r="BP109" s="12">
        <f>INDEX(ovrTable,MATCH(INDEX(oppCol24,ROW()),ovrTeamCol,0),MATCH(MID(INDEX(headerRow,1,COLUMN()),4,LEN(INDEX(headerRow,1,COLUMN()))),ovrHeaderRow,0))</f>
        <v>1.5</v>
      </c>
      <c r="BQ109" s="12">
        <f>INDEX(ovrTable,MATCH(INDEX(oppCol24,ROW()),ovrTeamCol,0),MATCH(MID(INDEX(headerRow,1,COLUMN()),4,LEN(INDEX(headerRow,1,COLUMN()))),ovrHeaderRow,0))</f>
        <v>15.7</v>
      </c>
      <c r="BR109" s="12">
        <f>INDEX(ovrTable,MATCH(INDEX(oppCol24,ROW()),ovrTeamCol,0),MATCH(MID(INDEX(headerRow,1,COLUMN()),4,LEN(INDEX(headerRow,1,COLUMN()))),ovrHeaderRow,0))</f>
        <v>21.86</v>
      </c>
      <c r="BS109" s="12">
        <f>INDEX(ovrTable,MATCH(INDEX(oppCol24,ROW()),ovrTeamCol,0),MATCH(MID(INDEX(headerRow,1,COLUMN()),4,LEN(INDEX(headerRow,1,COLUMN()))),ovrHeaderRow,0))</f>
        <v>3.1</v>
      </c>
      <c r="BT109" s="12">
        <f>INDEX(ovrTable,MATCH(INDEX(oppCol24,ROW()),ovrTeamCol,0),MATCH(MID(INDEX(headerRow,1,COLUMN()),4,LEN(INDEX(headerRow,1,COLUMN()))),ovrHeaderRow,0))</f>
        <v>40.200000000000003</v>
      </c>
      <c r="BU109" s="12">
        <f>INDEX(ovrTable,MATCH(INDEX(oppCol24,ROW()),ovrTeamCol,0),MATCH(MID(INDEX(headerRow,1,COLUMN()),4,LEN(INDEX(headerRow,1,COLUMN()))),ovrHeaderRow,0))</f>
        <v>23.27</v>
      </c>
      <c r="BV109" s="12">
        <f>INDEX(ovrTable,MATCH(INDEX(oppCol24,ROW()),ovrTeamCol,0),MATCH(MID(INDEX(headerRow,1,COLUMN()),4,LEN(INDEX(headerRow,1,COLUMN()))),ovrHeaderRow,0))</f>
        <v>0.52</v>
      </c>
      <c r="BW109" s="12">
        <f>INDEX(ovrTable,MATCH(INDEX(oppCol24,ROW()),ovrTeamCol,0),MATCH(MID(INDEX(headerRow,1,COLUMN()),4,LEN(INDEX(headerRow,1,COLUMN()))),ovrHeaderRow,0))</f>
        <v>10.62</v>
      </c>
      <c r="BX109" s="12">
        <f>INDEX(ovrTable,MATCH(INDEX(oppCol24,ROW()),ovrTeamCol,0),MATCH(MID(INDEX(headerRow,1,COLUMN()),4,LEN(INDEX(headerRow,1,COLUMN()))),ovrHeaderRow,0))</f>
        <v>46.3</v>
      </c>
      <c r="BY109" s="12">
        <f>INDEX(ovrTable,MATCH(INDEX(oppCol24,ROW()),ovrTeamCol,0),MATCH(MID(INDEX(headerRow,1,COLUMN()),4,LEN(INDEX(headerRow,1,COLUMN()))),ovrHeaderRow,0))</f>
        <v>16.5</v>
      </c>
      <c r="BZ109" s="12">
        <f>INDEX(ovrTable,MATCH(INDEX(oppCol24,ROW()),ovrTeamCol,0),MATCH(MID(INDEX(headerRow,1,COLUMN()),4,LEN(INDEX(headerRow,1,COLUMN()))),ovrHeaderRow,0))</f>
        <v>70.2</v>
      </c>
      <c r="CA109" s="12">
        <f>INDEX(ovrTable,MATCH(INDEX(oppCol24,ROW()),ovrTeamCol,0),MATCH(MID(INDEX(headerRow,1,COLUMN()),4,LEN(INDEX(headerRow,1,COLUMN()))),ovrHeaderRow,0))</f>
        <v>20.7</v>
      </c>
      <c r="CB109" s="12">
        <f>INDEX(ovrTable,MATCH(INDEX(oppCol24,ROW()),ovrTeamCol,0),MATCH(MID(INDEX(headerRow,1,COLUMN()),4,LEN(INDEX(headerRow,1,COLUMN()))),ovrHeaderRow,0))</f>
        <v>14.5</v>
      </c>
      <c r="CC109" s="12">
        <f>INDEX(ovrTable,MATCH(INDEX(oppCol24,ROW()),ovrTeamCol,0),MATCH(MID(INDEX(headerRow,1,COLUMN()),4,LEN(INDEX(headerRow,1,COLUMN()))),ovrHeaderRow,0))</f>
        <v>61.5</v>
      </c>
      <c r="CD109" s="12">
        <f>INDEX(ovrTable,MATCH(INDEX(oppCol24,ROW()),ovrTeamCol,0),MATCH(MID(INDEX(headerRow,1,COLUMN()),4,LEN(INDEX(headerRow,1,COLUMN()))),ovrHeaderRow,0))</f>
        <v>10.62</v>
      </c>
      <c r="CE109" s="12">
        <f>INDEX(ovrTable,MATCH(INDEX(oppCol24,ROW()),ovrTeamCol,0),MATCH(MID(INDEX(headerRow,1,COLUMN()),4,LEN(INDEX(headerRow,1,COLUMN()))),ovrHeaderRow,0))</f>
        <v>75.3</v>
      </c>
      <c r="CF109" s="12">
        <f>INDEX(ovrTable,MATCH(INDEX(oppCol24,ROW()),ovrTeamCol,0),MATCH(MID(INDEX(headerRow,1,COLUMN()),4,LEN(INDEX(headerRow,1,COLUMN()))),ovrHeaderRow,0))</f>
        <v>0.7</v>
      </c>
      <c r="CG109" s="12">
        <f>INDEX(ovrTable,MATCH(INDEX(oppCol24,ROW()),ovrTeamCol,0),MATCH(MID(INDEX(headerRow,1,COLUMN()),4,LEN(INDEX(headerRow,1,COLUMN()))),ovrHeaderRow,0))</f>
        <v>33.89</v>
      </c>
      <c r="CH109" s="12">
        <f>INDEX(ovrTable,MATCH(INDEX(oppCol24,ROW()),ovrTeamCol,0),MATCH(MID(INDEX(headerRow,1,COLUMN()),4,LEN(INDEX(headerRow,1,COLUMN()))),ovrHeaderRow,0))</f>
        <v>13.8</v>
      </c>
      <c r="CI109" s="12">
        <f>INDEX(ovrTable,MATCH(INDEX(oppCol24,ROW()),ovrTeamCol,0),MATCH(MID(INDEX(headerRow,1,COLUMN()),4,LEN(INDEX(headerRow,1,COLUMN()))),ovrHeaderRow,0))</f>
        <v>10.3</v>
      </c>
      <c r="CJ109" s="12">
        <f>INDEX(ovrTable,MATCH(INDEX(oppCol24,ROW()),ovrTeamCol,0),MATCH(MID(INDEX(headerRow,1,COLUMN()),4,LEN(INDEX(headerRow,1,COLUMN()))),ovrHeaderRow,0))</f>
        <v>6.7</v>
      </c>
      <c r="CK109" s="12">
        <f>INDEX(ovrTable,MATCH(INDEX(oppCol24,ROW()),ovrTeamCol,0),MATCH(MID(INDEX(headerRow,1,COLUMN()),4,LEN(INDEX(headerRow,1,COLUMN()))),ovrHeaderRow,0))</f>
        <v>17.190000000000001</v>
      </c>
      <c r="CL109" s="12">
        <f>INDEX(ovrTable,MATCH(INDEX(oppCol24,ROW()),ovrTeamCol,0),MATCH(MID(INDEX(headerRow,1,COLUMN()),4,LEN(INDEX(headerRow,1,COLUMN()))),ovrHeaderRow,0))</f>
        <v>10.5</v>
      </c>
      <c r="CM109" s="12">
        <f>INDEX(ovrTable,MATCH(INDEX(oppCol24,ROW()),ovrTeamCol,0),MATCH(MID(INDEX(headerRow,1,COLUMN()),4,LEN(INDEX(headerRow,1,COLUMN()))),ovrHeaderRow,0))</f>
        <v>69</v>
      </c>
      <c r="CN109" s="12">
        <f>INDEX(ovrTable,MATCH(INDEX(oppCol24,ROW()),ovrTeamCol,0),MATCH(MID(INDEX(headerRow,1,COLUMN()),4,LEN(INDEX(headerRow,1,COLUMN()))),ovrHeaderRow,0))</f>
        <v>20.5</v>
      </c>
      <c r="CO109" s="12">
        <f>INDEX(ovrTable,MATCH(INDEX(oppCol24,ROW()),ovrTeamCol,0),MATCH(MID(INDEX(headerRow,1,COLUMN()),4,LEN(INDEX(headerRow,1,COLUMN()))),ovrHeaderRow,0))</f>
        <v>58.531317494600437</v>
      </c>
    </row>
    <row r="110" spans="1:93" x14ac:dyDescent="0.3">
      <c r="A110" s="6" t="s">
        <v>18</v>
      </c>
      <c r="B110" s="3">
        <v>1</v>
      </c>
      <c r="C110" s="13" t="s">
        <v>21</v>
      </c>
      <c r="D110" s="14">
        <v>55</v>
      </c>
      <c r="E110" s="23">
        <v>42.307692307692307</v>
      </c>
      <c r="F110" s="24">
        <v>12</v>
      </c>
      <c r="G110" s="23">
        <v>37.5</v>
      </c>
      <c r="H110" s="24">
        <v>32</v>
      </c>
      <c r="I110" s="25">
        <v>2.125</v>
      </c>
      <c r="J110" s="24">
        <v>17</v>
      </c>
      <c r="K110" s="24">
        <v>15</v>
      </c>
      <c r="L110" s="24">
        <v>3</v>
      </c>
      <c r="M110" s="24">
        <v>47.8</v>
      </c>
      <c r="N110" s="24">
        <v>24</v>
      </c>
      <c r="O110" s="26">
        <v>0.46200000000000002</v>
      </c>
      <c r="P110" s="24">
        <v>4</v>
      </c>
      <c r="Q110" s="24">
        <v>38.5</v>
      </c>
      <c r="R110" s="24">
        <v>18</v>
      </c>
      <c r="S110" s="23">
        <v>88.235294117647058</v>
      </c>
      <c r="T110" s="24">
        <v>17</v>
      </c>
      <c r="U110" s="24">
        <v>15</v>
      </c>
      <c r="V110" s="24">
        <v>89</v>
      </c>
      <c r="W110" s="24">
        <v>22</v>
      </c>
      <c r="X110" s="24">
        <v>87</v>
      </c>
      <c r="Y110" s="24">
        <v>3</v>
      </c>
      <c r="Z110" s="24">
        <v>46</v>
      </c>
      <c r="AA110" s="24">
        <v>-2</v>
      </c>
      <c r="AB110" s="24">
        <v>8</v>
      </c>
      <c r="AC110" s="24">
        <v>2</v>
      </c>
      <c r="AD110" s="24">
        <v>10</v>
      </c>
      <c r="AE110" s="24">
        <v>8</v>
      </c>
      <c r="AF110" s="46">
        <f t="shared" si="85"/>
        <v>71.997077922077935</v>
      </c>
      <c r="AG110" s="51">
        <f t="shared" ref="AG110" si="141">AVERAGE(AF110,AF111)</f>
        <v>71.721342308319308</v>
      </c>
      <c r="AH110" s="12">
        <f t="shared" si="131"/>
        <v>32.1</v>
      </c>
      <c r="AI110" s="12">
        <f t="shared" si="131"/>
        <v>8.1</v>
      </c>
      <c r="AJ110" s="12">
        <f t="shared" si="131"/>
        <v>35.9</v>
      </c>
      <c r="AK110" s="12">
        <f t="shared" si="131"/>
        <v>22.7</v>
      </c>
      <c r="AL110" s="12">
        <f t="shared" si="131"/>
        <v>1.44</v>
      </c>
      <c r="AM110" s="12">
        <f t="shared" si="131"/>
        <v>14.5</v>
      </c>
      <c r="AN110" s="12">
        <f t="shared" si="131"/>
        <v>17.3</v>
      </c>
      <c r="AO110" s="12">
        <f t="shared" si="131"/>
        <v>4.0999999999999996</v>
      </c>
      <c r="AP110" s="12">
        <f t="shared" si="131"/>
        <v>41</v>
      </c>
      <c r="AQ110" s="12">
        <f t="shared" si="131"/>
        <v>28.86</v>
      </c>
      <c r="AR110" s="12">
        <f t="shared" si="132"/>
        <v>0.51500000000000001</v>
      </c>
      <c r="AS110" s="12">
        <f t="shared" si="132"/>
        <v>12.41</v>
      </c>
      <c r="AT110" s="12">
        <f t="shared" si="132"/>
        <v>45</v>
      </c>
      <c r="AU110" s="12">
        <f t="shared" si="132"/>
        <v>16.5</v>
      </c>
      <c r="AV110" s="12">
        <f t="shared" si="132"/>
        <v>75.900000000000006</v>
      </c>
      <c r="AW110" s="12">
        <f t="shared" si="132"/>
        <v>22.8</v>
      </c>
      <c r="AX110" s="12">
        <f t="shared" si="132"/>
        <v>17.3</v>
      </c>
      <c r="AY110" s="12">
        <f t="shared" si="132"/>
        <v>70.5</v>
      </c>
      <c r="AZ110" s="12">
        <f t="shared" si="132"/>
        <v>12.22</v>
      </c>
      <c r="BA110" s="12">
        <f t="shared" si="132"/>
        <v>81.900000000000006</v>
      </c>
      <c r="BB110" s="12">
        <f t="shared" si="133"/>
        <v>7.3</v>
      </c>
      <c r="BC110" s="12">
        <f t="shared" si="133"/>
        <v>41.08</v>
      </c>
      <c r="BD110" s="12">
        <f t="shared" si="133"/>
        <v>11.5</v>
      </c>
      <c r="BE110" s="12">
        <f t="shared" si="133"/>
        <v>5.8</v>
      </c>
      <c r="BF110" s="12">
        <f t="shared" si="133"/>
        <v>0.5</v>
      </c>
      <c r="BG110" s="12">
        <f t="shared" si="133"/>
        <v>10.59</v>
      </c>
      <c r="BH110" s="12">
        <f t="shared" si="133"/>
        <v>10.1</v>
      </c>
      <c r="BI110" s="12">
        <f t="shared" si="133"/>
        <v>73.3</v>
      </c>
      <c r="BJ110" s="12">
        <f t="shared" si="133"/>
        <v>20.150000000000006</v>
      </c>
      <c r="BK110" s="12">
        <f t="shared" si="133"/>
        <v>62.7777777777778</v>
      </c>
      <c r="BL110" s="12">
        <f>INDEX(ovrTable,MATCH(INDEX(oppCol24,ROW()),ovrTeamCol,0),MATCH(MID(INDEX(headerRow,1,COLUMN()),4,LEN(INDEX(headerRow,1,COLUMN()))),ovrHeaderRow,0))</f>
        <v>31.7</v>
      </c>
      <c r="BM110" s="12">
        <f>INDEX(ovrTable,MATCH(INDEX(oppCol24,ROW()),ovrTeamCol,0),MATCH(MID(INDEX(headerRow,1,COLUMN()),4,LEN(INDEX(headerRow,1,COLUMN()))),ovrHeaderRow,0))</f>
        <v>11.2</v>
      </c>
      <c r="BN110" s="12">
        <f>INDEX(ovrTable,MATCH(INDEX(oppCol24,ROW()),ovrTeamCol,0),MATCH(MID(INDEX(headerRow,1,COLUMN()),4,LEN(INDEX(headerRow,1,COLUMN()))),ovrHeaderRow,0))</f>
        <v>37.299999999999997</v>
      </c>
      <c r="BO110" s="12">
        <f>INDEX(ovrTable,MATCH(INDEX(oppCol24,ROW()),ovrTeamCol,0),MATCH(MID(INDEX(headerRow,1,COLUMN()),4,LEN(INDEX(headerRow,1,COLUMN()))),ovrHeaderRow,0))</f>
        <v>29.9</v>
      </c>
      <c r="BP110" s="12">
        <f>INDEX(ovrTable,MATCH(INDEX(oppCol24,ROW()),ovrTeamCol,0),MATCH(MID(INDEX(headerRow,1,COLUMN()),4,LEN(INDEX(headerRow,1,COLUMN()))),ovrHeaderRow,0))</f>
        <v>1.34</v>
      </c>
      <c r="BQ110" s="12">
        <f>INDEX(ovrTable,MATCH(INDEX(oppCol24,ROW()),ovrTeamCol,0),MATCH(MID(INDEX(headerRow,1,COLUMN()),4,LEN(INDEX(headerRow,1,COLUMN()))),ovrHeaderRow,0))</f>
        <v>15.9</v>
      </c>
      <c r="BR110" s="12">
        <f>INDEX(ovrTable,MATCH(INDEX(oppCol24,ROW()),ovrTeamCol,0),MATCH(MID(INDEX(headerRow,1,COLUMN()),4,LEN(INDEX(headerRow,1,COLUMN()))),ovrHeaderRow,0))</f>
        <v>25.11</v>
      </c>
      <c r="BS110" s="12">
        <f>INDEX(ovrTable,MATCH(INDEX(oppCol24,ROW()),ovrTeamCol,0),MATCH(MID(INDEX(headerRow,1,COLUMN()),4,LEN(INDEX(headerRow,1,COLUMN()))),ovrHeaderRow,0))</f>
        <v>4.4000000000000004</v>
      </c>
      <c r="BT110" s="12">
        <f>INDEX(ovrTable,MATCH(INDEX(oppCol24,ROW()),ovrTeamCol,0),MATCH(MID(INDEX(headerRow,1,COLUMN()),4,LEN(INDEX(headerRow,1,COLUMN()))),ovrHeaderRow,0))</f>
        <v>43.7</v>
      </c>
      <c r="BU110" s="12">
        <f>INDEX(ovrTable,MATCH(INDEX(oppCol24,ROW()),ovrTeamCol,0),MATCH(MID(INDEX(headerRow,1,COLUMN()),4,LEN(INDEX(headerRow,1,COLUMN()))),ovrHeaderRow,0))</f>
        <v>26.89</v>
      </c>
      <c r="BV110" s="12">
        <f>INDEX(ovrTable,MATCH(INDEX(oppCol24,ROW()),ovrTeamCol,0),MATCH(MID(INDEX(headerRow,1,COLUMN()),4,LEN(INDEX(headerRow,1,COLUMN()))),ovrHeaderRow,0))</f>
        <v>0.56299999999999994</v>
      </c>
      <c r="BW110" s="12">
        <f>INDEX(ovrTable,MATCH(INDEX(oppCol24,ROW()),ovrTeamCol,0),MATCH(MID(INDEX(headerRow,1,COLUMN()),4,LEN(INDEX(headerRow,1,COLUMN()))),ovrHeaderRow,0))</f>
        <v>13.7</v>
      </c>
      <c r="BX110" s="12">
        <f>INDEX(ovrTable,MATCH(INDEX(oppCol24,ROW()),ovrTeamCol,0),MATCH(MID(INDEX(headerRow,1,COLUMN()),4,LEN(INDEX(headerRow,1,COLUMN()))),ovrHeaderRow,0))</f>
        <v>47.6</v>
      </c>
      <c r="BY110" s="12">
        <f>INDEX(ovrTable,MATCH(INDEX(oppCol24,ROW()),ovrTeamCol,0),MATCH(MID(INDEX(headerRow,1,COLUMN()),4,LEN(INDEX(headerRow,1,COLUMN()))),ovrHeaderRow,0))</f>
        <v>19.8</v>
      </c>
      <c r="BZ110" s="12">
        <f>INDEX(ovrTable,MATCH(INDEX(oppCol24,ROW()),ovrTeamCol,0),MATCH(MID(INDEX(headerRow,1,COLUMN()),4,LEN(INDEX(headerRow,1,COLUMN()))),ovrHeaderRow,0))</f>
        <v>77.2</v>
      </c>
      <c r="CA110" s="12">
        <f>INDEX(ovrTable,MATCH(INDEX(oppCol24,ROW()),ovrTeamCol,0),MATCH(MID(INDEX(headerRow,1,COLUMN()),4,LEN(INDEX(headerRow,1,COLUMN()))),ovrHeaderRow,0))</f>
        <v>22.8</v>
      </c>
      <c r="CB110" s="12">
        <f>INDEX(ovrTable,MATCH(INDEX(oppCol24,ROW()),ovrTeamCol,0),MATCH(MID(INDEX(headerRow,1,COLUMN()),4,LEN(INDEX(headerRow,1,COLUMN()))),ovrHeaderRow,0))</f>
        <v>17.600000000000001</v>
      </c>
      <c r="CC110" s="12">
        <f>INDEX(ovrTable,MATCH(INDEX(oppCol24,ROW()),ovrTeamCol,0),MATCH(MID(INDEX(headerRow,1,COLUMN()),4,LEN(INDEX(headerRow,1,COLUMN()))),ovrHeaderRow,0))</f>
        <v>81.2</v>
      </c>
      <c r="CD110" s="12">
        <f>INDEX(ovrTable,MATCH(INDEX(oppCol24,ROW()),ovrTeamCol,0),MATCH(MID(INDEX(headerRow,1,COLUMN()),4,LEN(INDEX(headerRow,1,COLUMN()))),ovrHeaderRow,0))</f>
        <v>12.76</v>
      </c>
      <c r="CE110" s="12">
        <f>INDEX(ovrTable,MATCH(INDEX(oppCol24,ROW()),ovrTeamCol,0),MATCH(MID(INDEX(headerRow,1,COLUMN()),4,LEN(INDEX(headerRow,1,COLUMN()))),ovrHeaderRow,0))</f>
        <v>90.1</v>
      </c>
      <c r="CF110" s="12">
        <f>INDEX(ovrTable,MATCH(INDEX(oppCol24,ROW()),ovrTeamCol,0),MATCH(MID(INDEX(headerRow,1,COLUMN()),4,LEN(INDEX(headerRow,1,COLUMN()))),ovrHeaderRow,0))</f>
        <v>3.9</v>
      </c>
      <c r="CG110" s="12">
        <f>INDEX(ovrTable,MATCH(INDEX(oppCol24,ROW()),ovrTeamCol,0),MATCH(MID(INDEX(headerRow,1,COLUMN()),4,LEN(INDEX(headerRow,1,COLUMN()))),ovrHeaderRow,0))</f>
        <v>39.65</v>
      </c>
      <c r="CH110" s="12">
        <f>INDEX(ovrTable,MATCH(INDEX(oppCol24,ROW()),ovrTeamCol,0),MATCH(MID(INDEX(headerRow,1,COLUMN()),4,LEN(INDEX(headerRow,1,COLUMN()))),ovrHeaderRow,0))</f>
        <v>8.9</v>
      </c>
      <c r="CI110" s="12">
        <f>INDEX(ovrTable,MATCH(INDEX(oppCol24,ROW()),ovrTeamCol,0),MATCH(MID(INDEX(headerRow,1,COLUMN()),4,LEN(INDEX(headerRow,1,COLUMN()))),ovrHeaderRow,0))</f>
        <v>6.9</v>
      </c>
      <c r="CJ110" s="12">
        <f>INDEX(ovrTable,MATCH(INDEX(oppCol24,ROW()),ovrTeamCol,0),MATCH(MID(INDEX(headerRow,1,COLUMN()),4,LEN(INDEX(headerRow,1,COLUMN()))),ovrHeaderRow,0))</f>
        <v>-0.5</v>
      </c>
      <c r="CK110" s="12">
        <f>INDEX(ovrTable,MATCH(INDEX(oppCol24,ROW()),ovrTeamCol,0),MATCH(MID(INDEX(headerRow,1,COLUMN()),4,LEN(INDEX(headerRow,1,COLUMN()))),ovrHeaderRow,0))</f>
        <v>11.3</v>
      </c>
      <c r="CL110" s="12">
        <f>INDEX(ovrTable,MATCH(INDEX(oppCol24,ROW()),ovrTeamCol,0),MATCH(MID(INDEX(headerRow,1,COLUMN()),4,LEN(INDEX(headerRow,1,COLUMN()))),ovrHeaderRow,0))</f>
        <v>11.8</v>
      </c>
      <c r="CM110" s="12">
        <f>INDEX(ovrTable,MATCH(INDEX(oppCol24,ROW()),ovrTeamCol,0),MATCH(MID(INDEX(headerRow,1,COLUMN()),4,LEN(INDEX(headerRow,1,COLUMN()))),ovrHeaderRow,0))</f>
        <v>76.3</v>
      </c>
      <c r="CN110" s="12">
        <f>INDEX(ovrTable,MATCH(INDEX(oppCol24,ROW()),ovrTeamCol,0),MATCH(MID(INDEX(headerRow,1,COLUMN()),4,LEN(INDEX(headerRow,1,COLUMN()))),ovrHeaderRow,0))</f>
        <v>19.450000000000003</v>
      </c>
      <c r="CO110" s="12">
        <f>INDEX(ovrTable,MATCH(INDEX(oppCol24,ROW()),ovrTeamCol,0),MATCH(MID(INDEX(headerRow,1,COLUMN()),4,LEN(INDEX(headerRow,1,COLUMN()))),ovrHeaderRow,0))</f>
        <v>64.390756302521012</v>
      </c>
    </row>
    <row r="111" spans="1:93" x14ac:dyDescent="0.3">
      <c r="A111" s="6" t="s">
        <v>21</v>
      </c>
      <c r="B111" s="3">
        <v>4</v>
      </c>
      <c r="C111" s="13" t="s">
        <v>18</v>
      </c>
      <c r="D111" s="14">
        <v>55</v>
      </c>
      <c r="E111" s="23">
        <v>37.5</v>
      </c>
      <c r="F111" s="24">
        <v>11</v>
      </c>
      <c r="G111" s="23">
        <v>42.307692307692307</v>
      </c>
      <c r="H111" s="24">
        <v>26</v>
      </c>
      <c r="I111" s="25">
        <v>1.3</v>
      </c>
      <c r="J111" s="24">
        <v>13</v>
      </c>
      <c r="K111" s="24">
        <v>7</v>
      </c>
      <c r="L111" s="24">
        <v>7</v>
      </c>
      <c r="M111" s="24">
        <v>38.5</v>
      </c>
      <c r="N111" s="24">
        <v>28</v>
      </c>
      <c r="O111" s="26">
        <v>0.56015625000000002</v>
      </c>
      <c r="P111" s="24">
        <v>8</v>
      </c>
      <c r="Q111" s="24">
        <v>47.8</v>
      </c>
      <c r="R111" s="24">
        <v>18</v>
      </c>
      <c r="S111" s="23">
        <v>70</v>
      </c>
      <c r="T111" s="24">
        <v>20</v>
      </c>
      <c r="U111" s="24">
        <v>14</v>
      </c>
      <c r="V111" s="24">
        <v>87</v>
      </c>
      <c r="W111" s="24">
        <v>15</v>
      </c>
      <c r="X111" s="24">
        <v>89</v>
      </c>
      <c r="Y111" s="24">
        <v>-3</v>
      </c>
      <c r="Z111" s="24">
        <v>43</v>
      </c>
      <c r="AA111" s="24">
        <v>2</v>
      </c>
      <c r="AB111" s="24">
        <v>4</v>
      </c>
      <c r="AC111" s="24">
        <v>-2</v>
      </c>
      <c r="AD111" s="24">
        <v>8</v>
      </c>
      <c r="AE111" s="24">
        <v>10</v>
      </c>
      <c r="AF111" s="46">
        <f t="shared" si="85"/>
        <v>71.445606694560681</v>
      </c>
      <c r="AG111" s="51">
        <f t="shared" ref="AG111" si="142">AVERAGE(AF110,AF111)</f>
        <v>71.721342308319308</v>
      </c>
      <c r="AH111" s="12">
        <f t="shared" si="131"/>
        <v>31.7</v>
      </c>
      <c r="AI111" s="12">
        <f t="shared" si="131"/>
        <v>11.2</v>
      </c>
      <c r="AJ111" s="12">
        <f t="shared" si="131"/>
        <v>37.299999999999997</v>
      </c>
      <c r="AK111" s="12">
        <f t="shared" si="131"/>
        <v>29.9</v>
      </c>
      <c r="AL111" s="12">
        <f t="shared" si="131"/>
        <v>1.34</v>
      </c>
      <c r="AM111" s="12">
        <f t="shared" si="131"/>
        <v>15.9</v>
      </c>
      <c r="AN111" s="12">
        <f t="shared" si="131"/>
        <v>25.11</v>
      </c>
      <c r="AO111" s="12">
        <f t="shared" si="131"/>
        <v>4.4000000000000004</v>
      </c>
      <c r="AP111" s="12">
        <f t="shared" si="131"/>
        <v>43.7</v>
      </c>
      <c r="AQ111" s="12">
        <f t="shared" si="131"/>
        <v>26.89</v>
      </c>
      <c r="AR111" s="12">
        <f t="shared" si="132"/>
        <v>0.56299999999999994</v>
      </c>
      <c r="AS111" s="12">
        <f t="shared" si="132"/>
        <v>13.7</v>
      </c>
      <c r="AT111" s="12">
        <f t="shared" si="132"/>
        <v>47.6</v>
      </c>
      <c r="AU111" s="12">
        <f t="shared" si="132"/>
        <v>19.8</v>
      </c>
      <c r="AV111" s="12">
        <f t="shared" si="132"/>
        <v>77.2</v>
      </c>
      <c r="AW111" s="12">
        <f t="shared" si="132"/>
        <v>22.8</v>
      </c>
      <c r="AX111" s="12">
        <f t="shared" si="132"/>
        <v>17.600000000000001</v>
      </c>
      <c r="AY111" s="12">
        <f t="shared" si="132"/>
        <v>81.2</v>
      </c>
      <c r="AZ111" s="12">
        <f t="shared" si="132"/>
        <v>12.76</v>
      </c>
      <c r="BA111" s="12">
        <f t="shared" si="132"/>
        <v>90.1</v>
      </c>
      <c r="BB111" s="12">
        <f t="shared" si="133"/>
        <v>3.9</v>
      </c>
      <c r="BC111" s="12">
        <f t="shared" si="133"/>
        <v>39.65</v>
      </c>
      <c r="BD111" s="12">
        <f t="shared" si="133"/>
        <v>8.9</v>
      </c>
      <c r="BE111" s="12">
        <f t="shared" si="133"/>
        <v>6.9</v>
      </c>
      <c r="BF111" s="12">
        <f t="shared" si="133"/>
        <v>-0.5</v>
      </c>
      <c r="BG111" s="12">
        <f t="shared" si="133"/>
        <v>11.3</v>
      </c>
      <c r="BH111" s="12">
        <f t="shared" si="133"/>
        <v>11.8</v>
      </c>
      <c r="BI111" s="12">
        <f t="shared" si="133"/>
        <v>76.3</v>
      </c>
      <c r="BJ111" s="12">
        <f t="shared" si="133"/>
        <v>19.450000000000003</v>
      </c>
      <c r="BK111" s="12">
        <f t="shared" si="133"/>
        <v>64.390756302521012</v>
      </c>
      <c r="BL111" s="12">
        <f>INDEX(ovrTable,MATCH(INDEX(oppCol24,ROW()),ovrTeamCol,0),MATCH(MID(INDEX(headerRow,1,COLUMN()),4,LEN(INDEX(headerRow,1,COLUMN()))),ovrHeaderRow,0))</f>
        <v>32.1</v>
      </c>
      <c r="BM111" s="12">
        <f>INDEX(ovrTable,MATCH(INDEX(oppCol24,ROW()),ovrTeamCol,0),MATCH(MID(INDEX(headerRow,1,COLUMN()),4,LEN(INDEX(headerRow,1,COLUMN()))),ovrHeaderRow,0))</f>
        <v>8.1</v>
      </c>
      <c r="BN111" s="12">
        <f>INDEX(ovrTable,MATCH(INDEX(oppCol24,ROW()),ovrTeamCol,0),MATCH(MID(INDEX(headerRow,1,COLUMN()),4,LEN(INDEX(headerRow,1,COLUMN()))),ovrHeaderRow,0))</f>
        <v>35.9</v>
      </c>
      <c r="BO111" s="12">
        <f>INDEX(ovrTable,MATCH(INDEX(oppCol24,ROW()),ovrTeamCol,0),MATCH(MID(INDEX(headerRow,1,COLUMN()),4,LEN(INDEX(headerRow,1,COLUMN()))),ovrHeaderRow,0))</f>
        <v>22.7</v>
      </c>
      <c r="BP111" s="12">
        <f>INDEX(ovrTable,MATCH(INDEX(oppCol24,ROW()),ovrTeamCol,0),MATCH(MID(INDEX(headerRow,1,COLUMN()),4,LEN(INDEX(headerRow,1,COLUMN()))),ovrHeaderRow,0))</f>
        <v>1.44</v>
      </c>
      <c r="BQ111" s="12">
        <f>INDEX(ovrTable,MATCH(INDEX(oppCol24,ROW()),ovrTeamCol,0),MATCH(MID(INDEX(headerRow,1,COLUMN()),4,LEN(INDEX(headerRow,1,COLUMN()))),ovrHeaderRow,0))</f>
        <v>14.5</v>
      </c>
      <c r="BR111" s="12">
        <f>INDEX(ovrTable,MATCH(INDEX(oppCol24,ROW()),ovrTeamCol,0),MATCH(MID(INDEX(headerRow,1,COLUMN()),4,LEN(INDEX(headerRow,1,COLUMN()))),ovrHeaderRow,0))</f>
        <v>17.3</v>
      </c>
      <c r="BS111" s="12">
        <f>INDEX(ovrTable,MATCH(INDEX(oppCol24,ROW()),ovrTeamCol,0),MATCH(MID(INDEX(headerRow,1,COLUMN()),4,LEN(INDEX(headerRow,1,COLUMN()))),ovrHeaderRow,0))</f>
        <v>4.0999999999999996</v>
      </c>
      <c r="BT111" s="12">
        <f>INDEX(ovrTable,MATCH(INDEX(oppCol24,ROW()),ovrTeamCol,0),MATCH(MID(INDEX(headerRow,1,COLUMN()),4,LEN(INDEX(headerRow,1,COLUMN()))),ovrHeaderRow,0))</f>
        <v>41</v>
      </c>
      <c r="BU111" s="12">
        <f>INDEX(ovrTable,MATCH(INDEX(oppCol24,ROW()),ovrTeamCol,0),MATCH(MID(INDEX(headerRow,1,COLUMN()),4,LEN(INDEX(headerRow,1,COLUMN()))),ovrHeaderRow,0))</f>
        <v>28.86</v>
      </c>
      <c r="BV111" s="12">
        <f>INDEX(ovrTable,MATCH(INDEX(oppCol24,ROW()),ovrTeamCol,0),MATCH(MID(INDEX(headerRow,1,COLUMN()),4,LEN(INDEX(headerRow,1,COLUMN()))),ovrHeaderRow,0))</f>
        <v>0.51500000000000001</v>
      </c>
      <c r="BW111" s="12">
        <f>INDEX(ovrTable,MATCH(INDEX(oppCol24,ROW()),ovrTeamCol,0),MATCH(MID(INDEX(headerRow,1,COLUMN()),4,LEN(INDEX(headerRow,1,COLUMN()))),ovrHeaderRow,0))</f>
        <v>12.41</v>
      </c>
      <c r="BX111" s="12">
        <f>INDEX(ovrTable,MATCH(INDEX(oppCol24,ROW()),ovrTeamCol,0),MATCH(MID(INDEX(headerRow,1,COLUMN()),4,LEN(INDEX(headerRow,1,COLUMN()))),ovrHeaderRow,0))</f>
        <v>45</v>
      </c>
      <c r="BY111" s="12">
        <f>INDEX(ovrTable,MATCH(INDEX(oppCol24,ROW()),ovrTeamCol,0),MATCH(MID(INDEX(headerRow,1,COLUMN()),4,LEN(INDEX(headerRow,1,COLUMN()))),ovrHeaderRow,0))</f>
        <v>16.5</v>
      </c>
      <c r="BZ111" s="12">
        <f>INDEX(ovrTable,MATCH(INDEX(oppCol24,ROW()),ovrTeamCol,0),MATCH(MID(INDEX(headerRow,1,COLUMN()),4,LEN(INDEX(headerRow,1,COLUMN()))),ovrHeaderRow,0))</f>
        <v>75.900000000000006</v>
      </c>
      <c r="CA111" s="12">
        <f>INDEX(ovrTable,MATCH(INDEX(oppCol24,ROW()),ovrTeamCol,0),MATCH(MID(INDEX(headerRow,1,COLUMN()),4,LEN(INDEX(headerRow,1,COLUMN()))),ovrHeaderRow,0))</f>
        <v>22.8</v>
      </c>
      <c r="CB111" s="12">
        <f>INDEX(ovrTable,MATCH(INDEX(oppCol24,ROW()),ovrTeamCol,0),MATCH(MID(INDEX(headerRow,1,COLUMN()),4,LEN(INDEX(headerRow,1,COLUMN()))),ovrHeaderRow,0))</f>
        <v>17.3</v>
      </c>
      <c r="CC111" s="12">
        <f>INDEX(ovrTable,MATCH(INDEX(oppCol24,ROW()),ovrTeamCol,0),MATCH(MID(INDEX(headerRow,1,COLUMN()),4,LEN(INDEX(headerRow,1,COLUMN()))),ovrHeaderRow,0))</f>
        <v>70.5</v>
      </c>
      <c r="CD111" s="12">
        <f>INDEX(ovrTable,MATCH(INDEX(oppCol24,ROW()),ovrTeamCol,0),MATCH(MID(INDEX(headerRow,1,COLUMN()),4,LEN(INDEX(headerRow,1,COLUMN()))),ovrHeaderRow,0))</f>
        <v>12.22</v>
      </c>
      <c r="CE111" s="12">
        <f>INDEX(ovrTable,MATCH(INDEX(oppCol24,ROW()),ovrTeamCol,0),MATCH(MID(INDEX(headerRow,1,COLUMN()),4,LEN(INDEX(headerRow,1,COLUMN()))),ovrHeaderRow,0))</f>
        <v>81.900000000000006</v>
      </c>
      <c r="CF111" s="12">
        <f>INDEX(ovrTable,MATCH(INDEX(oppCol24,ROW()),ovrTeamCol,0),MATCH(MID(INDEX(headerRow,1,COLUMN()),4,LEN(INDEX(headerRow,1,COLUMN()))),ovrHeaderRow,0))</f>
        <v>7.3</v>
      </c>
      <c r="CG111" s="12">
        <f>INDEX(ovrTable,MATCH(INDEX(oppCol24,ROW()),ovrTeamCol,0),MATCH(MID(INDEX(headerRow,1,COLUMN()),4,LEN(INDEX(headerRow,1,COLUMN()))),ovrHeaderRow,0))</f>
        <v>41.08</v>
      </c>
      <c r="CH111" s="12">
        <f>INDEX(ovrTable,MATCH(INDEX(oppCol24,ROW()),ovrTeamCol,0),MATCH(MID(INDEX(headerRow,1,COLUMN()),4,LEN(INDEX(headerRow,1,COLUMN()))),ovrHeaderRow,0))</f>
        <v>11.5</v>
      </c>
      <c r="CI111" s="12">
        <f>INDEX(ovrTable,MATCH(INDEX(oppCol24,ROW()),ovrTeamCol,0),MATCH(MID(INDEX(headerRow,1,COLUMN()),4,LEN(INDEX(headerRow,1,COLUMN()))),ovrHeaderRow,0))</f>
        <v>5.8</v>
      </c>
      <c r="CJ111" s="12">
        <f>INDEX(ovrTable,MATCH(INDEX(oppCol24,ROW()),ovrTeamCol,0),MATCH(MID(INDEX(headerRow,1,COLUMN()),4,LEN(INDEX(headerRow,1,COLUMN()))),ovrHeaderRow,0))</f>
        <v>0.5</v>
      </c>
      <c r="CK111" s="12">
        <f>INDEX(ovrTable,MATCH(INDEX(oppCol24,ROW()),ovrTeamCol,0),MATCH(MID(INDEX(headerRow,1,COLUMN()),4,LEN(INDEX(headerRow,1,COLUMN()))),ovrHeaderRow,0))</f>
        <v>10.59</v>
      </c>
      <c r="CL111" s="12">
        <f>INDEX(ovrTable,MATCH(INDEX(oppCol24,ROW()),ovrTeamCol,0),MATCH(MID(INDEX(headerRow,1,COLUMN()),4,LEN(INDEX(headerRow,1,COLUMN()))),ovrHeaderRow,0))</f>
        <v>10.1</v>
      </c>
      <c r="CM111" s="12">
        <f>INDEX(ovrTable,MATCH(INDEX(oppCol24,ROW()),ovrTeamCol,0),MATCH(MID(INDEX(headerRow,1,COLUMN()),4,LEN(INDEX(headerRow,1,COLUMN()))),ovrHeaderRow,0))</f>
        <v>73.3</v>
      </c>
      <c r="CN111" s="12">
        <f>INDEX(ovrTable,MATCH(INDEX(oppCol24,ROW()),ovrTeamCol,0),MATCH(MID(INDEX(headerRow,1,COLUMN()),4,LEN(INDEX(headerRow,1,COLUMN()))),ovrHeaderRow,0))</f>
        <v>20.150000000000006</v>
      </c>
      <c r="CO111" s="12">
        <f>INDEX(ovrTable,MATCH(INDEX(oppCol24,ROW()),ovrTeamCol,0),MATCH(MID(INDEX(headerRow,1,COLUMN()),4,LEN(INDEX(headerRow,1,COLUMN()))),ovrHeaderRow,0))</f>
        <v>62.7777777777778</v>
      </c>
    </row>
    <row r="112" spans="1:93" x14ac:dyDescent="0.3">
      <c r="A112" s="6" t="s">
        <v>19</v>
      </c>
      <c r="B112" s="3">
        <v>2</v>
      </c>
      <c r="C112" s="13" t="s">
        <v>23</v>
      </c>
      <c r="D112" s="14">
        <v>56</v>
      </c>
      <c r="E112" s="23">
        <v>32</v>
      </c>
      <c r="F112" s="24">
        <v>5</v>
      </c>
      <c r="G112" s="23">
        <v>17.857142857142858</v>
      </c>
      <c r="H112" s="24">
        <v>28</v>
      </c>
      <c r="I112" s="25">
        <v>1.5555555555555556</v>
      </c>
      <c r="J112" s="24">
        <v>14</v>
      </c>
      <c r="K112" s="24">
        <v>27</v>
      </c>
      <c r="L112" s="24">
        <v>4</v>
      </c>
      <c r="M112" s="24">
        <v>49.2</v>
      </c>
      <c r="N112" s="24">
        <v>27</v>
      </c>
      <c r="O112" s="26">
        <v>0.4103</v>
      </c>
      <c r="P112" s="24">
        <v>22</v>
      </c>
      <c r="Q112" s="24">
        <v>37.299999999999997</v>
      </c>
      <c r="R112" s="24">
        <v>14</v>
      </c>
      <c r="S112" s="23">
        <v>68</v>
      </c>
      <c r="T112" s="24">
        <v>25</v>
      </c>
      <c r="U112" s="24">
        <v>17</v>
      </c>
      <c r="V112" s="24">
        <v>77</v>
      </c>
      <c r="W112" s="24">
        <v>17</v>
      </c>
      <c r="X112" s="24">
        <v>72</v>
      </c>
      <c r="Y112" s="24">
        <v>8</v>
      </c>
      <c r="Z112" s="24">
        <v>44</v>
      </c>
      <c r="AA112" s="24">
        <v>-5</v>
      </c>
      <c r="AB112" s="24">
        <v>8</v>
      </c>
      <c r="AC112" s="24">
        <v>1</v>
      </c>
      <c r="AD112" s="24">
        <v>10</v>
      </c>
      <c r="AE112" s="24">
        <v>9</v>
      </c>
      <c r="AF112" s="46">
        <f t="shared" si="85"/>
        <v>70.899128686327074</v>
      </c>
      <c r="AG112" s="51">
        <f t="shared" ref="AG112" si="143">AVERAGE(AF112,AF113)</f>
        <v>70.721109058610693</v>
      </c>
      <c r="AH112" s="12">
        <f t="shared" ref="AH112:AQ121" si="144">INDEX(ovrTable,MATCH(INDEX(teamCol,ROW()),ovrTeamCol,0),MATCH(MID(INDEX(headerRow,1,COLUMN()),4,LEN(INDEX(headerRow,1,COLUMN()))),ovrHeaderRow,0))</f>
        <v>32.9</v>
      </c>
      <c r="AI112" s="12">
        <f t="shared" si="144"/>
        <v>7.9</v>
      </c>
      <c r="AJ112" s="12">
        <f t="shared" si="144"/>
        <v>36.6</v>
      </c>
      <c r="AK112" s="12">
        <f t="shared" si="144"/>
        <v>21.6</v>
      </c>
      <c r="AL112" s="12">
        <f t="shared" si="144"/>
        <v>1.55</v>
      </c>
      <c r="AM112" s="12">
        <f t="shared" si="144"/>
        <v>18.5</v>
      </c>
      <c r="AN112" s="12">
        <f t="shared" si="144"/>
        <v>22.86</v>
      </c>
      <c r="AO112" s="12">
        <f t="shared" si="144"/>
        <v>3.7</v>
      </c>
      <c r="AP112" s="12">
        <f t="shared" si="144"/>
        <v>42.1</v>
      </c>
      <c r="AQ112" s="12">
        <f t="shared" si="144"/>
        <v>29.5</v>
      </c>
      <c r="AR112" s="12">
        <f t="shared" ref="AR112:BA121" si="145">INDEX(ovrTable,MATCH(INDEX(teamCol,ROW()),ovrTeamCol,0),MATCH(MID(INDEX(headerRow,1,COLUMN()),4,LEN(INDEX(headerRow,1,COLUMN()))),ovrHeaderRow,0))</f>
        <v>0.54500000000000004</v>
      </c>
      <c r="AS112" s="12">
        <f t="shared" si="145"/>
        <v>16.440000000000001</v>
      </c>
      <c r="AT112" s="12">
        <f t="shared" si="145"/>
        <v>48.4</v>
      </c>
      <c r="AU112" s="12">
        <f t="shared" si="145"/>
        <v>16.399999999999999</v>
      </c>
      <c r="AV112" s="12">
        <f t="shared" si="145"/>
        <v>71.7</v>
      </c>
      <c r="AW112" s="12">
        <f t="shared" si="145"/>
        <v>23.4</v>
      </c>
      <c r="AX112" s="12">
        <f t="shared" si="145"/>
        <v>16.8</v>
      </c>
      <c r="AY112" s="12">
        <f t="shared" si="145"/>
        <v>72.099999999999994</v>
      </c>
      <c r="AZ112" s="12">
        <f t="shared" si="145"/>
        <v>13.08</v>
      </c>
      <c r="BA112" s="12">
        <f t="shared" si="145"/>
        <v>87.1</v>
      </c>
      <c r="BB112" s="12">
        <f t="shared" ref="BB112:BK121" si="146">INDEX(ovrTable,MATCH(INDEX(teamCol,ROW()),ovrTeamCol,0),MATCH(MID(INDEX(headerRow,1,COLUMN()),4,LEN(INDEX(headerRow,1,COLUMN()))),ovrHeaderRow,0))</f>
        <v>9.9</v>
      </c>
      <c r="BC112" s="12">
        <f t="shared" si="146"/>
        <v>42.58</v>
      </c>
      <c r="BD112" s="12">
        <f t="shared" si="146"/>
        <v>15.1</v>
      </c>
      <c r="BE112" s="12">
        <f t="shared" si="146"/>
        <v>8.3000000000000007</v>
      </c>
      <c r="BF112" s="12">
        <f t="shared" si="146"/>
        <v>1.5</v>
      </c>
      <c r="BG112" s="12">
        <f t="shared" si="146"/>
        <v>13.42</v>
      </c>
      <c r="BH112" s="12">
        <f t="shared" si="146"/>
        <v>11.9</v>
      </c>
      <c r="BI112" s="12">
        <f t="shared" si="146"/>
        <v>76.3</v>
      </c>
      <c r="BJ112" s="12">
        <f t="shared" si="146"/>
        <v>23.299999999999997</v>
      </c>
      <c r="BK112" s="12">
        <f t="shared" si="146"/>
        <v>64.462809917355358</v>
      </c>
      <c r="BL112" s="12">
        <f>INDEX(ovrTable,MATCH(INDEX(oppCol24,ROW()),ovrTeamCol,0),MATCH(MID(INDEX(headerRow,1,COLUMN()),4,LEN(INDEX(headerRow,1,COLUMN()))),ovrHeaderRow,0))</f>
        <v>33.1</v>
      </c>
      <c r="BM112" s="12">
        <f>INDEX(ovrTable,MATCH(INDEX(oppCol24,ROW()),ovrTeamCol,0),MATCH(MID(INDEX(headerRow,1,COLUMN()),4,LEN(INDEX(headerRow,1,COLUMN()))),ovrHeaderRow,0))</f>
        <v>8.1999999999999993</v>
      </c>
      <c r="BN112" s="12">
        <f>INDEX(ovrTable,MATCH(INDEX(oppCol24,ROW()),ovrTeamCol,0),MATCH(MID(INDEX(headerRow,1,COLUMN()),4,LEN(INDEX(headerRow,1,COLUMN()))),ovrHeaderRow,0))</f>
        <v>35.1</v>
      </c>
      <c r="BO112" s="12">
        <f>INDEX(ovrTable,MATCH(INDEX(oppCol24,ROW()),ovrTeamCol,0),MATCH(MID(INDEX(headerRow,1,COLUMN()),4,LEN(INDEX(headerRow,1,COLUMN()))),ovrHeaderRow,0))</f>
        <v>23.4</v>
      </c>
      <c r="BP112" s="12">
        <f>INDEX(ovrTable,MATCH(INDEX(oppCol24,ROW()),ovrTeamCol,0),MATCH(MID(INDEX(headerRow,1,COLUMN()),4,LEN(INDEX(headerRow,1,COLUMN()))),ovrHeaderRow,0))</f>
        <v>1.47</v>
      </c>
      <c r="BQ112" s="12">
        <f>INDEX(ovrTable,MATCH(INDEX(oppCol24,ROW()),ovrTeamCol,0),MATCH(MID(INDEX(headerRow,1,COLUMN()),4,LEN(INDEX(headerRow,1,COLUMN()))),ovrHeaderRow,0))</f>
        <v>14.8</v>
      </c>
      <c r="BR112" s="12">
        <f>INDEX(ovrTable,MATCH(INDEX(oppCol24,ROW()),ovrTeamCol,0),MATCH(MID(INDEX(headerRow,1,COLUMN()),4,LEN(INDEX(headerRow,1,COLUMN()))),ovrHeaderRow,0))</f>
        <v>14.19</v>
      </c>
      <c r="BS112" s="12">
        <f>INDEX(ovrTable,MATCH(INDEX(oppCol24,ROW()),ovrTeamCol,0),MATCH(MID(INDEX(headerRow,1,COLUMN()),4,LEN(INDEX(headerRow,1,COLUMN()))),ovrHeaderRow,0))</f>
        <v>3.8</v>
      </c>
      <c r="BT112" s="12">
        <f>INDEX(ovrTable,MATCH(INDEX(oppCol24,ROW()),ovrTeamCol,0),MATCH(MID(INDEX(headerRow,1,COLUMN()),4,LEN(INDEX(headerRow,1,COLUMN()))),ovrHeaderRow,0))</f>
        <v>41.4</v>
      </c>
      <c r="BU112" s="12">
        <f>INDEX(ovrTable,MATCH(INDEX(oppCol24,ROW()),ovrTeamCol,0),MATCH(MID(INDEX(headerRow,1,COLUMN()),4,LEN(INDEX(headerRow,1,COLUMN()))),ovrHeaderRow,0))</f>
        <v>27.28</v>
      </c>
      <c r="BV112" s="12">
        <f>INDEX(ovrTable,MATCH(INDEX(oppCol24,ROW()),ovrTeamCol,0),MATCH(MID(INDEX(headerRow,1,COLUMN()),4,LEN(INDEX(headerRow,1,COLUMN()))),ovrHeaderRow,0))</f>
        <v>0.53900000000000003</v>
      </c>
      <c r="BW112" s="12">
        <f>INDEX(ovrTable,MATCH(INDEX(oppCol24,ROW()),ovrTeamCol,0),MATCH(MID(INDEX(headerRow,1,COLUMN()),4,LEN(INDEX(headerRow,1,COLUMN()))),ovrHeaderRow,0))</f>
        <v>6.39</v>
      </c>
      <c r="BX112" s="12">
        <f>INDEX(ovrTable,MATCH(INDEX(oppCol24,ROW()),ovrTeamCol,0),MATCH(MID(INDEX(headerRow,1,COLUMN()),4,LEN(INDEX(headerRow,1,COLUMN()))),ovrHeaderRow,0))</f>
        <v>46.9</v>
      </c>
      <c r="BY112" s="12">
        <f>INDEX(ovrTable,MATCH(INDEX(oppCol24,ROW()),ovrTeamCol,0),MATCH(MID(INDEX(headerRow,1,COLUMN()),4,LEN(INDEX(headerRow,1,COLUMN()))),ovrHeaderRow,0))</f>
        <v>16.3</v>
      </c>
      <c r="BZ112" s="12">
        <f>INDEX(ovrTable,MATCH(INDEX(oppCol24,ROW()),ovrTeamCol,0),MATCH(MID(INDEX(headerRow,1,COLUMN()),4,LEN(INDEX(headerRow,1,COLUMN()))),ovrHeaderRow,0))</f>
        <v>78</v>
      </c>
      <c r="CA112" s="12">
        <f>INDEX(ovrTable,MATCH(INDEX(oppCol24,ROW()),ovrTeamCol,0),MATCH(MID(INDEX(headerRow,1,COLUMN()),4,LEN(INDEX(headerRow,1,COLUMN()))),ovrHeaderRow,0))</f>
        <v>18.100000000000001</v>
      </c>
      <c r="CB112" s="12">
        <f>INDEX(ovrTable,MATCH(INDEX(oppCol24,ROW()),ovrTeamCol,0),MATCH(MID(INDEX(headerRow,1,COLUMN()),4,LEN(INDEX(headerRow,1,COLUMN()))),ovrHeaderRow,0))</f>
        <v>14.1</v>
      </c>
      <c r="CC112" s="12">
        <f>INDEX(ovrTable,MATCH(INDEX(oppCol24,ROW()),ovrTeamCol,0),MATCH(MID(INDEX(headerRow,1,COLUMN()),4,LEN(INDEX(headerRow,1,COLUMN()))),ovrHeaderRow,0))</f>
        <v>71.2</v>
      </c>
      <c r="CD112" s="12">
        <f>INDEX(ovrTable,MATCH(INDEX(oppCol24,ROW()),ovrTeamCol,0),MATCH(MID(INDEX(headerRow,1,COLUMN()),4,LEN(INDEX(headerRow,1,COLUMN()))),ovrHeaderRow,0))</f>
        <v>9.06</v>
      </c>
      <c r="CE112" s="12">
        <f>INDEX(ovrTable,MATCH(INDEX(oppCol24,ROW()),ovrTeamCol,0),MATCH(MID(INDEX(headerRow,1,COLUMN()),4,LEN(INDEX(headerRow,1,COLUMN()))),ovrHeaderRow,0))</f>
        <v>77.400000000000006</v>
      </c>
      <c r="CF112" s="12">
        <f>INDEX(ovrTable,MATCH(INDEX(oppCol24,ROW()),ovrTeamCol,0),MATCH(MID(INDEX(headerRow,1,COLUMN()),4,LEN(INDEX(headerRow,1,COLUMN()))),ovrHeaderRow,0))</f>
        <v>2.2999999999999998</v>
      </c>
      <c r="CG112" s="12">
        <f>INDEX(ovrTable,MATCH(INDEX(oppCol24,ROW()),ovrTeamCol,0),MATCH(MID(INDEX(headerRow,1,COLUMN()),4,LEN(INDEX(headerRow,1,COLUMN()))),ovrHeaderRow,0))</f>
        <v>36.33</v>
      </c>
      <c r="CH112" s="12">
        <f>INDEX(ovrTable,MATCH(INDEX(oppCol24,ROW()),ovrTeamCol,0),MATCH(MID(INDEX(headerRow,1,COLUMN()),4,LEN(INDEX(headerRow,1,COLUMN()))),ovrHeaderRow,0))</f>
        <v>6.2</v>
      </c>
      <c r="CI112" s="12">
        <f>INDEX(ovrTable,MATCH(INDEX(oppCol24,ROW()),ovrTeamCol,0),MATCH(MID(INDEX(headerRow,1,COLUMN()),4,LEN(INDEX(headerRow,1,COLUMN()))),ovrHeaderRow,0))</f>
        <v>4.5999999999999996</v>
      </c>
      <c r="CJ112" s="12">
        <f>INDEX(ovrTable,MATCH(INDEX(oppCol24,ROW()),ovrTeamCol,0),MATCH(MID(INDEX(headerRow,1,COLUMN()),4,LEN(INDEX(headerRow,1,COLUMN()))),ovrHeaderRow,0))</f>
        <v>-0.6</v>
      </c>
      <c r="CK112" s="12">
        <f>INDEX(ovrTable,MATCH(INDEX(oppCol24,ROW()),ovrTeamCol,0),MATCH(MID(INDEX(headerRow,1,COLUMN()),4,LEN(INDEX(headerRow,1,COLUMN()))),ovrHeaderRow,0))</f>
        <v>9.4700000000000006</v>
      </c>
      <c r="CL112" s="12">
        <f>INDEX(ovrTable,MATCH(INDEX(oppCol24,ROW()),ovrTeamCol,0),MATCH(MID(INDEX(headerRow,1,COLUMN()),4,LEN(INDEX(headerRow,1,COLUMN()))),ovrHeaderRow,0))</f>
        <v>10.1</v>
      </c>
      <c r="CM112" s="12">
        <f>INDEX(ovrTable,MATCH(INDEX(oppCol24,ROW()),ovrTeamCol,0),MATCH(MID(INDEX(headerRow,1,COLUMN()),4,LEN(INDEX(headerRow,1,COLUMN()))),ovrHeaderRow,0))</f>
        <v>69.7</v>
      </c>
      <c r="CN112" s="12">
        <f>INDEX(ovrTable,MATCH(INDEX(oppCol24,ROW()),ovrTeamCol,0),MATCH(MID(INDEX(headerRow,1,COLUMN()),4,LEN(INDEX(headerRow,1,COLUMN()))),ovrHeaderRow,0))</f>
        <v>19.350000000000001</v>
      </c>
      <c r="CO112" s="12">
        <f>INDEX(ovrTable,MATCH(INDEX(oppCol24,ROW()),ovrTeamCol,0),MATCH(MID(INDEX(headerRow,1,COLUMN()),4,LEN(INDEX(headerRow,1,COLUMN()))),ovrHeaderRow,0))</f>
        <v>58.742004264392328</v>
      </c>
    </row>
    <row r="113" spans="1:93" x14ac:dyDescent="0.3">
      <c r="A113" s="6" t="s">
        <v>23</v>
      </c>
      <c r="B113" s="3">
        <v>6</v>
      </c>
      <c r="C113" s="13" t="s">
        <v>19</v>
      </c>
      <c r="D113" s="14">
        <v>56</v>
      </c>
      <c r="E113" s="23">
        <v>17.857142857142858</v>
      </c>
      <c r="F113" s="24">
        <v>8</v>
      </c>
      <c r="G113" s="23">
        <v>32</v>
      </c>
      <c r="H113" s="24">
        <v>25</v>
      </c>
      <c r="I113" s="25">
        <v>1.7</v>
      </c>
      <c r="J113" s="24">
        <v>17</v>
      </c>
      <c r="K113" s="24">
        <v>17</v>
      </c>
      <c r="L113" s="24">
        <v>2</v>
      </c>
      <c r="M113" s="24">
        <v>37.299999999999997</v>
      </c>
      <c r="N113" s="24">
        <v>30</v>
      </c>
      <c r="O113" s="26">
        <v>0.55986206896551727</v>
      </c>
      <c r="P113" s="24">
        <v>5</v>
      </c>
      <c r="Q113" s="24">
        <v>49.2</v>
      </c>
      <c r="R113" s="24">
        <v>19</v>
      </c>
      <c r="S113" s="23">
        <v>68.75</v>
      </c>
      <c r="T113" s="24">
        <v>16</v>
      </c>
      <c r="U113" s="24">
        <v>11</v>
      </c>
      <c r="V113" s="24">
        <v>72</v>
      </c>
      <c r="W113" s="24">
        <v>6</v>
      </c>
      <c r="X113" s="24">
        <v>77</v>
      </c>
      <c r="Y113" s="24">
        <v>-8</v>
      </c>
      <c r="Z113" s="24">
        <v>36</v>
      </c>
      <c r="AA113" s="24">
        <v>5</v>
      </c>
      <c r="AB113" s="24">
        <v>4</v>
      </c>
      <c r="AC113" s="24">
        <v>-1</v>
      </c>
      <c r="AD113" s="24">
        <v>9</v>
      </c>
      <c r="AE113" s="24">
        <v>10</v>
      </c>
      <c r="AF113" s="46">
        <f t="shared" si="85"/>
        <v>70.543089430894298</v>
      </c>
      <c r="AG113" s="51">
        <f t="shared" ref="AG113" si="147">AVERAGE(AF112,AF113)</f>
        <v>70.721109058610693</v>
      </c>
      <c r="AH113" s="12">
        <f t="shared" si="144"/>
        <v>33.1</v>
      </c>
      <c r="AI113" s="12">
        <f t="shared" si="144"/>
        <v>8.1999999999999993</v>
      </c>
      <c r="AJ113" s="12">
        <f t="shared" si="144"/>
        <v>35.1</v>
      </c>
      <c r="AK113" s="12">
        <f t="shared" si="144"/>
        <v>23.4</v>
      </c>
      <c r="AL113" s="12">
        <f t="shared" si="144"/>
        <v>1.47</v>
      </c>
      <c r="AM113" s="12">
        <f t="shared" si="144"/>
        <v>14.8</v>
      </c>
      <c r="AN113" s="12">
        <f t="shared" si="144"/>
        <v>14.19</v>
      </c>
      <c r="AO113" s="12">
        <f t="shared" si="144"/>
        <v>3.8</v>
      </c>
      <c r="AP113" s="12">
        <f t="shared" si="144"/>
        <v>41.4</v>
      </c>
      <c r="AQ113" s="12">
        <f t="shared" si="144"/>
        <v>27.28</v>
      </c>
      <c r="AR113" s="12">
        <f t="shared" si="145"/>
        <v>0.53900000000000003</v>
      </c>
      <c r="AS113" s="12">
        <f t="shared" si="145"/>
        <v>6.39</v>
      </c>
      <c r="AT113" s="12">
        <f t="shared" si="145"/>
        <v>46.9</v>
      </c>
      <c r="AU113" s="12">
        <f t="shared" si="145"/>
        <v>16.3</v>
      </c>
      <c r="AV113" s="12">
        <f t="shared" si="145"/>
        <v>78</v>
      </c>
      <c r="AW113" s="12">
        <f t="shared" si="145"/>
        <v>18.100000000000001</v>
      </c>
      <c r="AX113" s="12">
        <f t="shared" si="145"/>
        <v>14.1</v>
      </c>
      <c r="AY113" s="12">
        <f t="shared" si="145"/>
        <v>71.2</v>
      </c>
      <c r="AZ113" s="12">
        <f t="shared" si="145"/>
        <v>9.06</v>
      </c>
      <c r="BA113" s="12">
        <f t="shared" si="145"/>
        <v>77.400000000000006</v>
      </c>
      <c r="BB113" s="12">
        <f t="shared" si="146"/>
        <v>2.2999999999999998</v>
      </c>
      <c r="BC113" s="12">
        <f t="shared" si="146"/>
        <v>36.33</v>
      </c>
      <c r="BD113" s="12">
        <f t="shared" si="146"/>
        <v>6.2</v>
      </c>
      <c r="BE113" s="12">
        <f t="shared" si="146"/>
        <v>4.5999999999999996</v>
      </c>
      <c r="BF113" s="12">
        <f t="shared" si="146"/>
        <v>-0.6</v>
      </c>
      <c r="BG113" s="12">
        <f t="shared" si="146"/>
        <v>9.4700000000000006</v>
      </c>
      <c r="BH113" s="12">
        <f t="shared" si="146"/>
        <v>10.1</v>
      </c>
      <c r="BI113" s="12">
        <f t="shared" si="146"/>
        <v>69.7</v>
      </c>
      <c r="BJ113" s="12">
        <f t="shared" si="146"/>
        <v>19.350000000000001</v>
      </c>
      <c r="BK113" s="12">
        <f t="shared" si="146"/>
        <v>58.742004264392328</v>
      </c>
      <c r="BL113" s="12">
        <f>INDEX(ovrTable,MATCH(INDEX(oppCol24,ROW()),ovrTeamCol,0),MATCH(MID(INDEX(headerRow,1,COLUMN()),4,LEN(INDEX(headerRow,1,COLUMN()))),ovrHeaderRow,0))</f>
        <v>32.9</v>
      </c>
      <c r="BM113" s="12">
        <f>INDEX(ovrTable,MATCH(INDEX(oppCol24,ROW()),ovrTeamCol,0),MATCH(MID(INDEX(headerRow,1,COLUMN()),4,LEN(INDEX(headerRow,1,COLUMN()))),ovrHeaderRow,0))</f>
        <v>7.9</v>
      </c>
      <c r="BN113" s="12">
        <f>INDEX(ovrTable,MATCH(INDEX(oppCol24,ROW()),ovrTeamCol,0),MATCH(MID(INDEX(headerRow,1,COLUMN()),4,LEN(INDEX(headerRow,1,COLUMN()))),ovrHeaderRow,0))</f>
        <v>36.6</v>
      </c>
      <c r="BO113" s="12">
        <f>INDEX(ovrTable,MATCH(INDEX(oppCol24,ROW()),ovrTeamCol,0),MATCH(MID(INDEX(headerRow,1,COLUMN()),4,LEN(INDEX(headerRow,1,COLUMN()))),ovrHeaderRow,0))</f>
        <v>21.6</v>
      </c>
      <c r="BP113" s="12">
        <f>INDEX(ovrTable,MATCH(INDEX(oppCol24,ROW()),ovrTeamCol,0),MATCH(MID(INDEX(headerRow,1,COLUMN()),4,LEN(INDEX(headerRow,1,COLUMN()))),ovrHeaderRow,0))</f>
        <v>1.55</v>
      </c>
      <c r="BQ113" s="12">
        <f>INDEX(ovrTable,MATCH(INDEX(oppCol24,ROW()),ovrTeamCol,0),MATCH(MID(INDEX(headerRow,1,COLUMN()),4,LEN(INDEX(headerRow,1,COLUMN()))),ovrHeaderRow,0))</f>
        <v>18.5</v>
      </c>
      <c r="BR113" s="12">
        <f>INDEX(ovrTable,MATCH(INDEX(oppCol24,ROW()),ovrTeamCol,0),MATCH(MID(INDEX(headerRow,1,COLUMN()),4,LEN(INDEX(headerRow,1,COLUMN()))),ovrHeaderRow,0))</f>
        <v>22.86</v>
      </c>
      <c r="BS113" s="12">
        <f>INDEX(ovrTable,MATCH(INDEX(oppCol24,ROW()),ovrTeamCol,0),MATCH(MID(INDEX(headerRow,1,COLUMN()),4,LEN(INDEX(headerRow,1,COLUMN()))),ovrHeaderRow,0))</f>
        <v>3.7</v>
      </c>
      <c r="BT113" s="12">
        <f>INDEX(ovrTable,MATCH(INDEX(oppCol24,ROW()),ovrTeamCol,0),MATCH(MID(INDEX(headerRow,1,COLUMN()),4,LEN(INDEX(headerRow,1,COLUMN()))),ovrHeaderRow,0))</f>
        <v>42.1</v>
      </c>
      <c r="BU113" s="12">
        <f>INDEX(ovrTable,MATCH(INDEX(oppCol24,ROW()),ovrTeamCol,0),MATCH(MID(INDEX(headerRow,1,COLUMN()),4,LEN(INDEX(headerRow,1,COLUMN()))),ovrHeaderRow,0))</f>
        <v>29.5</v>
      </c>
      <c r="BV113" s="12">
        <f>INDEX(ovrTable,MATCH(INDEX(oppCol24,ROW()),ovrTeamCol,0),MATCH(MID(INDEX(headerRow,1,COLUMN()),4,LEN(INDEX(headerRow,1,COLUMN()))),ovrHeaderRow,0))</f>
        <v>0.54500000000000004</v>
      </c>
      <c r="BW113" s="12">
        <f>INDEX(ovrTable,MATCH(INDEX(oppCol24,ROW()),ovrTeamCol,0),MATCH(MID(INDEX(headerRow,1,COLUMN()),4,LEN(INDEX(headerRow,1,COLUMN()))),ovrHeaderRow,0))</f>
        <v>16.440000000000001</v>
      </c>
      <c r="BX113" s="12">
        <f>INDEX(ovrTable,MATCH(INDEX(oppCol24,ROW()),ovrTeamCol,0),MATCH(MID(INDEX(headerRow,1,COLUMN()),4,LEN(INDEX(headerRow,1,COLUMN()))),ovrHeaderRow,0))</f>
        <v>48.4</v>
      </c>
      <c r="BY113" s="12">
        <f>INDEX(ovrTable,MATCH(INDEX(oppCol24,ROW()),ovrTeamCol,0),MATCH(MID(INDEX(headerRow,1,COLUMN()),4,LEN(INDEX(headerRow,1,COLUMN()))),ovrHeaderRow,0))</f>
        <v>16.399999999999999</v>
      </c>
      <c r="BZ113" s="12">
        <f>INDEX(ovrTable,MATCH(INDEX(oppCol24,ROW()),ovrTeamCol,0),MATCH(MID(INDEX(headerRow,1,COLUMN()),4,LEN(INDEX(headerRow,1,COLUMN()))),ovrHeaderRow,0))</f>
        <v>71.7</v>
      </c>
      <c r="CA113" s="12">
        <f>INDEX(ovrTable,MATCH(INDEX(oppCol24,ROW()),ovrTeamCol,0),MATCH(MID(INDEX(headerRow,1,COLUMN()),4,LEN(INDEX(headerRow,1,COLUMN()))),ovrHeaderRow,0))</f>
        <v>23.4</v>
      </c>
      <c r="CB113" s="12">
        <f>INDEX(ovrTable,MATCH(INDEX(oppCol24,ROW()),ovrTeamCol,0),MATCH(MID(INDEX(headerRow,1,COLUMN()),4,LEN(INDEX(headerRow,1,COLUMN()))),ovrHeaderRow,0))</f>
        <v>16.8</v>
      </c>
      <c r="CC113" s="12">
        <f>INDEX(ovrTable,MATCH(INDEX(oppCol24,ROW()),ovrTeamCol,0),MATCH(MID(INDEX(headerRow,1,COLUMN()),4,LEN(INDEX(headerRow,1,COLUMN()))),ovrHeaderRow,0))</f>
        <v>72.099999999999994</v>
      </c>
      <c r="CD113" s="12">
        <f>INDEX(ovrTable,MATCH(INDEX(oppCol24,ROW()),ovrTeamCol,0),MATCH(MID(INDEX(headerRow,1,COLUMN()),4,LEN(INDEX(headerRow,1,COLUMN()))),ovrHeaderRow,0))</f>
        <v>13.08</v>
      </c>
      <c r="CE113" s="12">
        <f>INDEX(ovrTable,MATCH(INDEX(oppCol24,ROW()),ovrTeamCol,0),MATCH(MID(INDEX(headerRow,1,COLUMN()),4,LEN(INDEX(headerRow,1,COLUMN()))),ovrHeaderRow,0))</f>
        <v>87.1</v>
      </c>
      <c r="CF113" s="12">
        <f>INDEX(ovrTable,MATCH(INDEX(oppCol24,ROW()),ovrTeamCol,0),MATCH(MID(INDEX(headerRow,1,COLUMN()),4,LEN(INDEX(headerRow,1,COLUMN()))),ovrHeaderRow,0))</f>
        <v>9.9</v>
      </c>
      <c r="CG113" s="12">
        <f>INDEX(ovrTable,MATCH(INDEX(oppCol24,ROW()),ovrTeamCol,0),MATCH(MID(INDEX(headerRow,1,COLUMN()),4,LEN(INDEX(headerRow,1,COLUMN()))),ovrHeaderRow,0))</f>
        <v>42.58</v>
      </c>
      <c r="CH113" s="12">
        <f>INDEX(ovrTable,MATCH(INDEX(oppCol24,ROW()),ovrTeamCol,0),MATCH(MID(INDEX(headerRow,1,COLUMN()),4,LEN(INDEX(headerRow,1,COLUMN()))),ovrHeaderRow,0))</f>
        <v>15.1</v>
      </c>
      <c r="CI113" s="12">
        <f>INDEX(ovrTable,MATCH(INDEX(oppCol24,ROW()),ovrTeamCol,0),MATCH(MID(INDEX(headerRow,1,COLUMN()),4,LEN(INDEX(headerRow,1,COLUMN()))),ovrHeaderRow,0))</f>
        <v>8.3000000000000007</v>
      </c>
      <c r="CJ113" s="12">
        <f>INDEX(ovrTable,MATCH(INDEX(oppCol24,ROW()),ovrTeamCol,0),MATCH(MID(INDEX(headerRow,1,COLUMN()),4,LEN(INDEX(headerRow,1,COLUMN()))),ovrHeaderRow,0))</f>
        <v>1.5</v>
      </c>
      <c r="CK113" s="12">
        <f>INDEX(ovrTable,MATCH(INDEX(oppCol24,ROW()),ovrTeamCol,0),MATCH(MID(INDEX(headerRow,1,COLUMN()),4,LEN(INDEX(headerRow,1,COLUMN()))),ovrHeaderRow,0))</f>
        <v>13.42</v>
      </c>
      <c r="CL113" s="12">
        <f>INDEX(ovrTable,MATCH(INDEX(oppCol24,ROW()),ovrTeamCol,0),MATCH(MID(INDEX(headerRow,1,COLUMN()),4,LEN(INDEX(headerRow,1,COLUMN()))),ovrHeaderRow,0))</f>
        <v>11.9</v>
      </c>
      <c r="CM113" s="12">
        <f>INDEX(ovrTable,MATCH(INDEX(oppCol24,ROW()),ovrTeamCol,0),MATCH(MID(INDEX(headerRow,1,COLUMN()),4,LEN(INDEX(headerRow,1,COLUMN()))),ovrHeaderRow,0))</f>
        <v>76.3</v>
      </c>
      <c r="CN113" s="12">
        <f>INDEX(ovrTable,MATCH(INDEX(oppCol24,ROW()),ovrTeamCol,0),MATCH(MID(INDEX(headerRow,1,COLUMN()),4,LEN(INDEX(headerRow,1,COLUMN()))),ovrHeaderRow,0))</f>
        <v>23.299999999999997</v>
      </c>
      <c r="CO113" s="12">
        <f>INDEX(ovrTable,MATCH(INDEX(oppCol24,ROW()),ovrTeamCol,0),MATCH(MID(INDEX(headerRow,1,COLUMN()),4,LEN(INDEX(headerRow,1,COLUMN()))),ovrHeaderRow,0))</f>
        <v>64.462809917355358</v>
      </c>
    </row>
    <row r="114" spans="1:93" x14ac:dyDescent="0.3">
      <c r="A114" s="6" t="s">
        <v>51</v>
      </c>
      <c r="B114" s="3">
        <v>1</v>
      </c>
      <c r="C114" s="13" t="s">
        <v>48</v>
      </c>
      <c r="D114" s="14">
        <v>57</v>
      </c>
      <c r="E114" s="23">
        <v>35.294117647058826</v>
      </c>
      <c r="F114" s="24">
        <v>2</v>
      </c>
      <c r="G114" s="23">
        <v>25</v>
      </c>
      <c r="H114" s="24">
        <v>8</v>
      </c>
      <c r="I114" s="25">
        <v>1</v>
      </c>
      <c r="J114" s="24">
        <v>10</v>
      </c>
      <c r="K114" s="24">
        <v>7</v>
      </c>
      <c r="L114" s="24">
        <v>4</v>
      </c>
      <c r="M114" s="24">
        <v>40.799999999999997</v>
      </c>
      <c r="N114" s="24">
        <v>19</v>
      </c>
      <c r="O114" s="26">
        <v>0.42839999999999995</v>
      </c>
      <c r="P114" s="24">
        <v>2</v>
      </c>
      <c r="Q114" s="24">
        <v>40.799999999999997</v>
      </c>
      <c r="R114" s="24">
        <v>12</v>
      </c>
      <c r="S114" s="23">
        <v>52.941176470588239</v>
      </c>
      <c r="T114" s="24">
        <v>17</v>
      </c>
      <c r="U114" s="24">
        <v>9</v>
      </c>
      <c r="V114" s="24">
        <v>54</v>
      </c>
      <c r="W114" s="24">
        <v>11</v>
      </c>
      <c r="X114" s="24">
        <v>51</v>
      </c>
      <c r="Y114" s="24">
        <v>-4</v>
      </c>
      <c r="Z114" s="24">
        <v>30</v>
      </c>
      <c r="AA114" s="24">
        <v>-3</v>
      </c>
      <c r="AB114" s="24">
        <v>4</v>
      </c>
      <c r="AC114" s="24">
        <v>4</v>
      </c>
      <c r="AD114" s="24">
        <v>14</v>
      </c>
      <c r="AE114" s="24">
        <v>10</v>
      </c>
      <c r="AF114" s="46">
        <f t="shared" si="85"/>
        <v>56.094607843137254</v>
      </c>
      <c r="AG114" s="51">
        <f t="shared" ref="AG114" si="148">AVERAGE(AF114,AF115)</f>
        <v>55.907107843137254</v>
      </c>
      <c r="AH114" s="12">
        <f t="shared" si="144"/>
        <v>30.1</v>
      </c>
      <c r="AI114" s="12">
        <f t="shared" si="144"/>
        <v>7.7</v>
      </c>
      <c r="AJ114" s="12">
        <f t="shared" si="144"/>
        <v>34.799999999999997</v>
      </c>
      <c r="AK114" s="12">
        <f t="shared" si="144"/>
        <v>22.2</v>
      </c>
      <c r="AL114" s="12">
        <f t="shared" si="144"/>
        <v>1.47</v>
      </c>
      <c r="AM114" s="12">
        <f t="shared" si="144"/>
        <v>13.1</v>
      </c>
      <c r="AN114" s="12">
        <f t="shared" si="144"/>
        <v>17.46</v>
      </c>
      <c r="AO114" s="12">
        <f t="shared" si="144"/>
        <v>4.8</v>
      </c>
      <c r="AP114" s="12">
        <f t="shared" si="144"/>
        <v>37.9</v>
      </c>
      <c r="AQ114" s="12">
        <f t="shared" si="144"/>
        <v>23.7</v>
      </c>
      <c r="AR114" s="12">
        <f t="shared" si="145"/>
        <v>0.503</v>
      </c>
      <c r="AS114" s="12">
        <f t="shared" si="145"/>
        <v>9.16</v>
      </c>
      <c r="AT114" s="12">
        <f t="shared" si="145"/>
        <v>43.9</v>
      </c>
      <c r="AU114" s="12">
        <f t="shared" si="145"/>
        <v>17.8</v>
      </c>
      <c r="AV114" s="12">
        <f t="shared" si="145"/>
        <v>68.7</v>
      </c>
      <c r="AW114" s="12">
        <f t="shared" si="145"/>
        <v>18.600000000000001</v>
      </c>
      <c r="AX114" s="12">
        <f t="shared" si="145"/>
        <v>12.8</v>
      </c>
      <c r="AY114" s="12">
        <f t="shared" si="145"/>
        <v>57.6</v>
      </c>
      <c r="AZ114" s="12">
        <f t="shared" si="145"/>
        <v>13.43</v>
      </c>
      <c r="BA114" s="12">
        <f t="shared" si="145"/>
        <v>73.5</v>
      </c>
      <c r="BB114" s="12">
        <f t="shared" si="146"/>
        <v>3.3</v>
      </c>
      <c r="BC114" s="12">
        <f t="shared" si="146"/>
        <v>37.14</v>
      </c>
      <c r="BD114" s="12">
        <f t="shared" si="146"/>
        <v>15.9</v>
      </c>
      <c r="BE114" s="12">
        <f t="shared" si="146"/>
        <v>9.8000000000000007</v>
      </c>
      <c r="BF114" s="12">
        <f t="shared" si="146"/>
        <v>6.9</v>
      </c>
      <c r="BG114" s="12">
        <f t="shared" si="146"/>
        <v>15.81</v>
      </c>
      <c r="BH114" s="12">
        <f t="shared" si="146"/>
        <v>8.9</v>
      </c>
      <c r="BI114" s="12">
        <f t="shared" si="146"/>
        <v>66.400000000000006</v>
      </c>
      <c r="BJ114" s="12">
        <f t="shared" si="146"/>
        <v>18.8</v>
      </c>
      <c r="BK114" s="12">
        <f t="shared" si="146"/>
        <v>60.364464692482919</v>
      </c>
      <c r="BL114" s="12">
        <f>INDEX(ovrTable,MATCH(INDEX(oppCol24,ROW()),ovrTeamCol,0),MATCH(MID(INDEX(headerRow,1,COLUMN()),4,LEN(INDEX(headerRow,1,COLUMN()))),ovrHeaderRow,0))</f>
        <v>31.8</v>
      </c>
      <c r="BM114" s="12">
        <f>INDEX(ovrTable,MATCH(INDEX(oppCol24,ROW()),ovrTeamCol,0),MATCH(MID(INDEX(headerRow,1,COLUMN()),4,LEN(INDEX(headerRow,1,COLUMN()))),ovrHeaderRow,0))</f>
        <v>8.3000000000000007</v>
      </c>
      <c r="BN114" s="12">
        <f>INDEX(ovrTable,MATCH(INDEX(oppCol24,ROW()),ovrTeamCol,0),MATCH(MID(INDEX(headerRow,1,COLUMN()),4,LEN(INDEX(headerRow,1,COLUMN()))),ovrHeaderRow,0))</f>
        <v>37.700000000000003</v>
      </c>
      <c r="BO114" s="12">
        <f>INDEX(ovrTable,MATCH(INDEX(oppCol24,ROW()),ovrTeamCol,0),MATCH(MID(INDEX(headerRow,1,COLUMN()),4,LEN(INDEX(headerRow,1,COLUMN()))),ovrHeaderRow,0))</f>
        <v>22</v>
      </c>
      <c r="BP114" s="12">
        <f>INDEX(ovrTable,MATCH(INDEX(oppCol24,ROW()),ovrTeamCol,0),MATCH(MID(INDEX(headerRow,1,COLUMN()),4,LEN(INDEX(headerRow,1,COLUMN()))),ovrHeaderRow,0))</f>
        <v>1.58</v>
      </c>
      <c r="BQ114" s="12">
        <f>INDEX(ovrTable,MATCH(INDEX(oppCol24,ROW()),ovrTeamCol,0),MATCH(MID(INDEX(headerRow,1,COLUMN()),4,LEN(INDEX(headerRow,1,COLUMN()))),ovrHeaderRow,0))</f>
        <v>15.3</v>
      </c>
      <c r="BR114" s="12">
        <f>INDEX(ovrTable,MATCH(INDEX(oppCol24,ROW()),ovrTeamCol,0),MATCH(MID(INDEX(headerRow,1,COLUMN()),4,LEN(INDEX(headerRow,1,COLUMN()))),ovrHeaderRow,0))</f>
        <v>14.22</v>
      </c>
      <c r="BS114" s="12">
        <f>INDEX(ovrTable,MATCH(INDEX(oppCol24,ROW()),ovrTeamCol,0),MATCH(MID(INDEX(headerRow,1,COLUMN()),4,LEN(INDEX(headerRow,1,COLUMN()))),ovrHeaderRow,0))</f>
        <v>3.7</v>
      </c>
      <c r="BT114" s="12">
        <f>INDEX(ovrTable,MATCH(INDEX(oppCol24,ROW()),ovrTeamCol,0),MATCH(MID(INDEX(headerRow,1,COLUMN()),4,LEN(INDEX(headerRow,1,COLUMN()))),ovrHeaderRow,0))</f>
        <v>43</v>
      </c>
      <c r="BU114" s="12">
        <f>INDEX(ovrTable,MATCH(INDEX(oppCol24,ROW()),ovrTeamCol,0),MATCH(MID(INDEX(headerRow,1,COLUMN()),4,LEN(INDEX(headerRow,1,COLUMN()))),ovrHeaderRow,0))</f>
        <v>26</v>
      </c>
      <c r="BV114" s="12">
        <f>INDEX(ovrTable,MATCH(INDEX(oppCol24,ROW()),ovrTeamCol,0),MATCH(MID(INDEX(headerRow,1,COLUMN()),4,LEN(INDEX(headerRow,1,COLUMN()))),ovrHeaderRow,0))</f>
        <v>0.54600000000000004</v>
      </c>
      <c r="BW114" s="12">
        <f>INDEX(ovrTable,MATCH(INDEX(oppCol24,ROW()),ovrTeamCol,0),MATCH(MID(INDEX(headerRow,1,COLUMN()),4,LEN(INDEX(headerRow,1,COLUMN()))),ovrHeaderRow,0))</f>
        <v>10.72</v>
      </c>
      <c r="BX114" s="12">
        <f>INDEX(ovrTable,MATCH(INDEX(oppCol24,ROW()),ovrTeamCol,0),MATCH(MID(INDEX(headerRow,1,COLUMN()),4,LEN(INDEX(headerRow,1,COLUMN()))),ovrHeaderRow,0))</f>
        <v>47.5</v>
      </c>
      <c r="BY114" s="12">
        <f>INDEX(ovrTable,MATCH(INDEX(oppCol24,ROW()),ovrTeamCol,0),MATCH(MID(INDEX(headerRow,1,COLUMN()),4,LEN(INDEX(headerRow,1,COLUMN()))),ovrHeaderRow,0))</f>
        <v>15.9</v>
      </c>
      <c r="BZ114" s="12">
        <f>INDEX(ovrTable,MATCH(INDEX(oppCol24,ROW()),ovrTeamCol,0),MATCH(MID(INDEX(headerRow,1,COLUMN()),4,LEN(INDEX(headerRow,1,COLUMN()))),ovrHeaderRow,0))</f>
        <v>72.3</v>
      </c>
      <c r="CA114" s="12">
        <f>INDEX(ovrTable,MATCH(INDEX(oppCol24,ROW()),ovrTeamCol,0),MATCH(MID(INDEX(headerRow,1,COLUMN()),4,LEN(INDEX(headerRow,1,COLUMN()))),ovrHeaderRow,0))</f>
        <v>20.100000000000001</v>
      </c>
      <c r="CB114" s="12">
        <f>INDEX(ovrTable,MATCH(INDEX(oppCol24,ROW()),ovrTeamCol,0),MATCH(MID(INDEX(headerRow,1,COLUMN()),4,LEN(INDEX(headerRow,1,COLUMN()))),ovrHeaderRow,0))</f>
        <v>14.6</v>
      </c>
      <c r="CC114" s="12">
        <f>INDEX(ovrTable,MATCH(INDEX(oppCol24,ROW()),ovrTeamCol,0),MATCH(MID(INDEX(headerRow,1,COLUMN()),4,LEN(INDEX(headerRow,1,COLUMN()))),ovrHeaderRow,0))</f>
        <v>66.3</v>
      </c>
      <c r="CD114" s="12">
        <f>INDEX(ovrTable,MATCH(INDEX(oppCol24,ROW()),ovrTeamCol,0),MATCH(MID(INDEX(headerRow,1,COLUMN()),4,LEN(INDEX(headerRow,1,COLUMN()))),ovrHeaderRow,0))</f>
        <v>10.64</v>
      </c>
      <c r="CE114" s="12">
        <f>INDEX(ovrTable,MATCH(INDEX(oppCol24,ROW()),ovrTeamCol,0),MATCH(MID(INDEX(headerRow,1,COLUMN()),4,LEN(INDEX(headerRow,1,COLUMN()))),ovrHeaderRow,0))</f>
        <v>78.599999999999994</v>
      </c>
      <c r="CF114" s="12">
        <f>INDEX(ovrTable,MATCH(INDEX(oppCol24,ROW()),ovrTeamCol,0),MATCH(MID(INDEX(headerRow,1,COLUMN()),4,LEN(INDEX(headerRow,1,COLUMN()))),ovrHeaderRow,0))</f>
        <v>5.0999999999999996</v>
      </c>
      <c r="CG114" s="12">
        <f>INDEX(ovrTable,MATCH(INDEX(oppCol24,ROW()),ovrTeamCol,0),MATCH(MID(INDEX(headerRow,1,COLUMN()),4,LEN(INDEX(headerRow,1,COLUMN()))),ovrHeaderRow,0))</f>
        <v>36.64</v>
      </c>
      <c r="CH114" s="12">
        <f>INDEX(ovrTable,MATCH(INDEX(oppCol24,ROW()),ovrTeamCol,0),MATCH(MID(INDEX(headerRow,1,COLUMN()),4,LEN(INDEX(headerRow,1,COLUMN()))),ovrHeaderRow,0))</f>
        <v>12.3</v>
      </c>
      <c r="CI114" s="12">
        <f>INDEX(ovrTable,MATCH(INDEX(oppCol24,ROW()),ovrTeamCol,0),MATCH(MID(INDEX(headerRow,1,COLUMN()),4,LEN(INDEX(headerRow,1,COLUMN()))),ovrHeaderRow,0))</f>
        <v>6.5</v>
      </c>
      <c r="CJ114" s="12">
        <f>INDEX(ovrTable,MATCH(INDEX(oppCol24,ROW()),ovrTeamCol,0),MATCH(MID(INDEX(headerRow,1,COLUMN()),4,LEN(INDEX(headerRow,1,COLUMN()))),ovrHeaderRow,0))</f>
        <v>1.6</v>
      </c>
      <c r="CK114" s="12">
        <f>INDEX(ovrTable,MATCH(INDEX(oppCol24,ROW()),ovrTeamCol,0),MATCH(MID(INDEX(headerRow,1,COLUMN()),4,LEN(INDEX(headerRow,1,COLUMN()))),ovrHeaderRow,0))</f>
        <v>11.31</v>
      </c>
      <c r="CL114" s="12">
        <f>INDEX(ovrTable,MATCH(INDEX(oppCol24,ROW()),ovrTeamCol,0),MATCH(MID(INDEX(headerRow,1,COLUMN()),4,LEN(INDEX(headerRow,1,COLUMN()))),ovrHeaderRow,0))</f>
        <v>9.6999999999999993</v>
      </c>
      <c r="CM114" s="12">
        <f>INDEX(ovrTable,MATCH(INDEX(oppCol24,ROW()),ovrTeamCol,0),MATCH(MID(INDEX(headerRow,1,COLUMN()),4,LEN(INDEX(headerRow,1,COLUMN()))),ovrHeaderRow,0))</f>
        <v>68.599999999999994</v>
      </c>
      <c r="CN114" s="12">
        <f>INDEX(ovrTable,MATCH(INDEX(oppCol24,ROW()),ovrTeamCol,0),MATCH(MID(INDEX(headerRow,1,COLUMN()),4,LEN(INDEX(headerRow,1,COLUMN()))),ovrHeaderRow,0))</f>
        <v>19.549999999999997</v>
      </c>
      <c r="CO114" s="12">
        <f>INDEX(ovrTable,MATCH(INDEX(oppCol24,ROW()),ovrTeamCol,0),MATCH(MID(INDEX(headerRow,1,COLUMN()),4,LEN(INDEX(headerRow,1,COLUMN()))),ovrHeaderRow,0))</f>
        <v>58.631578947368418</v>
      </c>
    </row>
    <row r="115" spans="1:93" x14ac:dyDescent="0.3">
      <c r="A115" s="6" t="s">
        <v>48</v>
      </c>
      <c r="B115" s="3">
        <v>4</v>
      </c>
      <c r="C115" s="13" t="s">
        <v>51</v>
      </c>
      <c r="D115" s="14">
        <v>57</v>
      </c>
      <c r="E115" s="23">
        <v>25</v>
      </c>
      <c r="F115" s="24">
        <v>6</v>
      </c>
      <c r="G115" s="23">
        <v>35.294117647058826</v>
      </c>
      <c r="H115" s="24">
        <v>17</v>
      </c>
      <c r="I115" s="25">
        <v>1</v>
      </c>
      <c r="J115" s="24">
        <v>14</v>
      </c>
      <c r="K115" s="24">
        <v>6</v>
      </c>
      <c r="L115" s="24">
        <v>0</v>
      </c>
      <c r="M115" s="24">
        <v>40.799999999999997</v>
      </c>
      <c r="N115" s="24">
        <v>21</v>
      </c>
      <c r="O115" s="26">
        <v>0.46920000000000001</v>
      </c>
      <c r="P115" s="24">
        <v>0</v>
      </c>
      <c r="Q115" s="24">
        <v>40.799999999999997</v>
      </c>
      <c r="R115" s="24">
        <v>14</v>
      </c>
      <c r="S115" s="23">
        <v>66.666666666666657</v>
      </c>
      <c r="T115" s="24">
        <v>12</v>
      </c>
      <c r="U115" s="24">
        <v>8</v>
      </c>
      <c r="V115" s="24">
        <v>51</v>
      </c>
      <c r="W115" s="24">
        <v>13</v>
      </c>
      <c r="X115" s="24">
        <v>54</v>
      </c>
      <c r="Y115" s="24">
        <v>4</v>
      </c>
      <c r="Z115" s="24">
        <v>34</v>
      </c>
      <c r="AA115" s="24">
        <v>3</v>
      </c>
      <c r="AB115" s="24">
        <v>4</v>
      </c>
      <c r="AC115" s="24">
        <v>-4</v>
      </c>
      <c r="AD115" s="24">
        <v>10</v>
      </c>
      <c r="AE115" s="24">
        <v>14</v>
      </c>
      <c r="AF115" s="46">
        <f t="shared" si="85"/>
        <v>55.719607843137254</v>
      </c>
      <c r="AG115" s="51">
        <f t="shared" ref="AG115" si="149">AVERAGE(AF114,AF115)</f>
        <v>55.907107843137254</v>
      </c>
      <c r="AH115" s="12">
        <f t="shared" si="144"/>
        <v>31.8</v>
      </c>
      <c r="AI115" s="12">
        <f t="shared" si="144"/>
        <v>8.3000000000000007</v>
      </c>
      <c r="AJ115" s="12">
        <f t="shared" si="144"/>
        <v>37.700000000000003</v>
      </c>
      <c r="AK115" s="12">
        <f t="shared" si="144"/>
        <v>22</v>
      </c>
      <c r="AL115" s="12">
        <f t="shared" si="144"/>
        <v>1.58</v>
      </c>
      <c r="AM115" s="12">
        <f t="shared" si="144"/>
        <v>15.3</v>
      </c>
      <c r="AN115" s="12">
        <f t="shared" si="144"/>
        <v>14.22</v>
      </c>
      <c r="AO115" s="12">
        <f t="shared" si="144"/>
        <v>3.7</v>
      </c>
      <c r="AP115" s="12">
        <f t="shared" si="144"/>
        <v>43</v>
      </c>
      <c r="AQ115" s="12">
        <f t="shared" si="144"/>
        <v>26</v>
      </c>
      <c r="AR115" s="12">
        <f t="shared" si="145"/>
        <v>0.54600000000000004</v>
      </c>
      <c r="AS115" s="12">
        <f t="shared" si="145"/>
        <v>10.72</v>
      </c>
      <c r="AT115" s="12">
        <f t="shared" si="145"/>
        <v>47.5</v>
      </c>
      <c r="AU115" s="12">
        <f t="shared" si="145"/>
        <v>15.9</v>
      </c>
      <c r="AV115" s="12">
        <f t="shared" si="145"/>
        <v>72.3</v>
      </c>
      <c r="AW115" s="12">
        <f t="shared" si="145"/>
        <v>20.100000000000001</v>
      </c>
      <c r="AX115" s="12">
        <f t="shared" si="145"/>
        <v>14.6</v>
      </c>
      <c r="AY115" s="12">
        <f t="shared" si="145"/>
        <v>66.3</v>
      </c>
      <c r="AZ115" s="12">
        <f t="shared" si="145"/>
        <v>10.64</v>
      </c>
      <c r="BA115" s="12">
        <f t="shared" si="145"/>
        <v>78.599999999999994</v>
      </c>
      <c r="BB115" s="12">
        <f t="shared" si="146"/>
        <v>5.0999999999999996</v>
      </c>
      <c r="BC115" s="12">
        <f t="shared" si="146"/>
        <v>36.64</v>
      </c>
      <c r="BD115" s="12">
        <f t="shared" si="146"/>
        <v>12.3</v>
      </c>
      <c r="BE115" s="12">
        <f t="shared" si="146"/>
        <v>6.5</v>
      </c>
      <c r="BF115" s="12">
        <f t="shared" si="146"/>
        <v>1.6</v>
      </c>
      <c r="BG115" s="12">
        <f t="shared" si="146"/>
        <v>11.31</v>
      </c>
      <c r="BH115" s="12">
        <f t="shared" si="146"/>
        <v>9.6999999999999993</v>
      </c>
      <c r="BI115" s="12">
        <f t="shared" si="146"/>
        <v>68.599999999999994</v>
      </c>
      <c r="BJ115" s="12">
        <f t="shared" si="146"/>
        <v>19.549999999999997</v>
      </c>
      <c r="BK115" s="12">
        <f t="shared" si="146"/>
        <v>58.631578947368418</v>
      </c>
      <c r="BL115" s="12">
        <f>INDEX(ovrTable,MATCH(INDEX(oppCol24,ROW()),ovrTeamCol,0),MATCH(MID(INDEX(headerRow,1,COLUMN()),4,LEN(INDEX(headerRow,1,COLUMN()))),ovrHeaderRow,0))</f>
        <v>30.1</v>
      </c>
      <c r="BM115" s="12">
        <f>INDEX(ovrTable,MATCH(INDEX(oppCol24,ROW()),ovrTeamCol,0),MATCH(MID(INDEX(headerRow,1,COLUMN()),4,LEN(INDEX(headerRow,1,COLUMN()))),ovrHeaderRow,0))</f>
        <v>7.7</v>
      </c>
      <c r="BN115" s="12">
        <f>INDEX(ovrTable,MATCH(INDEX(oppCol24,ROW()),ovrTeamCol,0),MATCH(MID(INDEX(headerRow,1,COLUMN()),4,LEN(INDEX(headerRow,1,COLUMN()))),ovrHeaderRow,0))</f>
        <v>34.799999999999997</v>
      </c>
      <c r="BO115" s="12">
        <f>INDEX(ovrTable,MATCH(INDEX(oppCol24,ROW()),ovrTeamCol,0),MATCH(MID(INDEX(headerRow,1,COLUMN()),4,LEN(INDEX(headerRow,1,COLUMN()))),ovrHeaderRow,0))</f>
        <v>22.2</v>
      </c>
      <c r="BP115" s="12">
        <f>INDEX(ovrTable,MATCH(INDEX(oppCol24,ROW()),ovrTeamCol,0),MATCH(MID(INDEX(headerRow,1,COLUMN()),4,LEN(INDEX(headerRow,1,COLUMN()))),ovrHeaderRow,0))</f>
        <v>1.47</v>
      </c>
      <c r="BQ115" s="12">
        <f>INDEX(ovrTable,MATCH(INDEX(oppCol24,ROW()),ovrTeamCol,0),MATCH(MID(INDEX(headerRow,1,COLUMN()),4,LEN(INDEX(headerRow,1,COLUMN()))),ovrHeaderRow,0))</f>
        <v>13.1</v>
      </c>
      <c r="BR115" s="12">
        <f>INDEX(ovrTable,MATCH(INDEX(oppCol24,ROW()),ovrTeamCol,0),MATCH(MID(INDEX(headerRow,1,COLUMN()),4,LEN(INDEX(headerRow,1,COLUMN()))),ovrHeaderRow,0))</f>
        <v>17.46</v>
      </c>
      <c r="BS115" s="12">
        <f>INDEX(ovrTable,MATCH(INDEX(oppCol24,ROW()),ovrTeamCol,0),MATCH(MID(INDEX(headerRow,1,COLUMN()),4,LEN(INDEX(headerRow,1,COLUMN()))),ovrHeaderRow,0))</f>
        <v>4.8</v>
      </c>
      <c r="BT115" s="12">
        <f>INDEX(ovrTable,MATCH(INDEX(oppCol24,ROW()),ovrTeamCol,0),MATCH(MID(INDEX(headerRow,1,COLUMN()),4,LEN(INDEX(headerRow,1,COLUMN()))),ovrHeaderRow,0))</f>
        <v>37.9</v>
      </c>
      <c r="BU115" s="12">
        <f>INDEX(ovrTable,MATCH(INDEX(oppCol24,ROW()),ovrTeamCol,0),MATCH(MID(INDEX(headerRow,1,COLUMN()),4,LEN(INDEX(headerRow,1,COLUMN()))),ovrHeaderRow,0))</f>
        <v>23.7</v>
      </c>
      <c r="BV115" s="12">
        <f>INDEX(ovrTable,MATCH(INDEX(oppCol24,ROW()),ovrTeamCol,0),MATCH(MID(INDEX(headerRow,1,COLUMN()),4,LEN(INDEX(headerRow,1,COLUMN()))),ovrHeaderRow,0))</f>
        <v>0.503</v>
      </c>
      <c r="BW115" s="12">
        <f>INDEX(ovrTable,MATCH(INDEX(oppCol24,ROW()),ovrTeamCol,0),MATCH(MID(INDEX(headerRow,1,COLUMN()),4,LEN(INDEX(headerRow,1,COLUMN()))),ovrHeaderRow,0))</f>
        <v>9.16</v>
      </c>
      <c r="BX115" s="12">
        <f>INDEX(ovrTable,MATCH(INDEX(oppCol24,ROW()),ovrTeamCol,0),MATCH(MID(INDEX(headerRow,1,COLUMN()),4,LEN(INDEX(headerRow,1,COLUMN()))),ovrHeaderRow,0))</f>
        <v>43.9</v>
      </c>
      <c r="BY115" s="12">
        <f>INDEX(ovrTable,MATCH(INDEX(oppCol24,ROW()),ovrTeamCol,0),MATCH(MID(INDEX(headerRow,1,COLUMN()),4,LEN(INDEX(headerRow,1,COLUMN()))),ovrHeaderRow,0))</f>
        <v>17.8</v>
      </c>
      <c r="BZ115" s="12">
        <f>INDEX(ovrTable,MATCH(INDEX(oppCol24,ROW()),ovrTeamCol,0),MATCH(MID(INDEX(headerRow,1,COLUMN()),4,LEN(INDEX(headerRow,1,COLUMN()))),ovrHeaderRow,0))</f>
        <v>68.7</v>
      </c>
      <c r="CA115" s="12">
        <f>INDEX(ovrTable,MATCH(INDEX(oppCol24,ROW()),ovrTeamCol,0),MATCH(MID(INDEX(headerRow,1,COLUMN()),4,LEN(INDEX(headerRow,1,COLUMN()))),ovrHeaderRow,0))</f>
        <v>18.600000000000001</v>
      </c>
      <c r="CB115" s="12">
        <f>INDEX(ovrTable,MATCH(INDEX(oppCol24,ROW()),ovrTeamCol,0),MATCH(MID(INDEX(headerRow,1,COLUMN()),4,LEN(INDEX(headerRow,1,COLUMN()))),ovrHeaderRow,0))</f>
        <v>12.8</v>
      </c>
      <c r="CC115" s="12">
        <f>INDEX(ovrTable,MATCH(INDEX(oppCol24,ROW()),ovrTeamCol,0),MATCH(MID(INDEX(headerRow,1,COLUMN()),4,LEN(INDEX(headerRow,1,COLUMN()))),ovrHeaderRow,0))</f>
        <v>57.6</v>
      </c>
      <c r="CD115" s="12">
        <f>INDEX(ovrTable,MATCH(INDEX(oppCol24,ROW()),ovrTeamCol,0),MATCH(MID(INDEX(headerRow,1,COLUMN()),4,LEN(INDEX(headerRow,1,COLUMN()))),ovrHeaderRow,0))</f>
        <v>13.43</v>
      </c>
      <c r="CE115" s="12">
        <f>INDEX(ovrTable,MATCH(INDEX(oppCol24,ROW()),ovrTeamCol,0),MATCH(MID(INDEX(headerRow,1,COLUMN()),4,LEN(INDEX(headerRow,1,COLUMN()))),ovrHeaderRow,0))</f>
        <v>73.5</v>
      </c>
      <c r="CF115" s="12">
        <f>INDEX(ovrTable,MATCH(INDEX(oppCol24,ROW()),ovrTeamCol,0),MATCH(MID(INDEX(headerRow,1,COLUMN()),4,LEN(INDEX(headerRow,1,COLUMN()))),ovrHeaderRow,0))</f>
        <v>3.3</v>
      </c>
      <c r="CG115" s="12">
        <f>INDEX(ovrTable,MATCH(INDEX(oppCol24,ROW()),ovrTeamCol,0),MATCH(MID(INDEX(headerRow,1,COLUMN()),4,LEN(INDEX(headerRow,1,COLUMN()))),ovrHeaderRow,0))</f>
        <v>37.14</v>
      </c>
      <c r="CH115" s="12">
        <f>INDEX(ovrTable,MATCH(INDEX(oppCol24,ROW()),ovrTeamCol,0),MATCH(MID(INDEX(headerRow,1,COLUMN()),4,LEN(INDEX(headerRow,1,COLUMN()))),ovrHeaderRow,0))</f>
        <v>15.9</v>
      </c>
      <c r="CI115" s="12">
        <f>INDEX(ovrTable,MATCH(INDEX(oppCol24,ROW()),ovrTeamCol,0),MATCH(MID(INDEX(headerRow,1,COLUMN()),4,LEN(INDEX(headerRow,1,COLUMN()))),ovrHeaderRow,0))</f>
        <v>9.8000000000000007</v>
      </c>
      <c r="CJ115" s="12">
        <f>INDEX(ovrTable,MATCH(INDEX(oppCol24,ROW()),ovrTeamCol,0),MATCH(MID(INDEX(headerRow,1,COLUMN()),4,LEN(INDEX(headerRow,1,COLUMN()))),ovrHeaderRow,0))</f>
        <v>6.9</v>
      </c>
      <c r="CK115" s="12">
        <f>INDEX(ovrTable,MATCH(INDEX(oppCol24,ROW()),ovrTeamCol,0),MATCH(MID(INDEX(headerRow,1,COLUMN()),4,LEN(INDEX(headerRow,1,COLUMN()))),ovrHeaderRow,0))</f>
        <v>15.81</v>
      </c>
      <c r="CL115" s="12">
        <f>INDEX(ovrTable,MATCH(INDEX(oppCol24,ROW()),ovrTeamCol,0),MATCH(MID(INDEX(headerRow,1,COLUMN()),4,LEN(INDEX(headerRow,1,COLUMN()))),ovrHeaderRow,0))</f>
        <v>8.9</v>
      </c>
      <c r="CM115" s="12">
        <f>INDEX(ovrTable,MATCH(INDEX(oppCol24,ROW()),ovrTeamCol,0),MATCH(MID(INDEX(headerRow,1,COLUMN()),4,LEN(INDEX(headerRow,1,COLUMN()))),ovrHeaderRow,0))</f>
        <v>66.400000000000006</v>
      </c>
      <c r="CN115" s="12">
        <f>INDEX(ovrTable,MATCH(INDEX(oppCol24,ROW()),ovrTeamCol,0),MATCH(MID(INDEX(headerRow,1,COLUMN()),4,LEN(INDEX(headerRow,1,COLUMN()))),ovrHeaderRow,0))</f>
        <v>18.8</v>
      </c>
      <c r="CO115" s="12">
        <f>INDEX(ovrTable,MATCH(INDEX(oppCol24,ROW()),ovrTeamCol,0),MATCH(MID(INDEX(headerRow,1,COLUMN()),4,LEN(INDEX(headerRow,1,COLUMN()))),ovrHeaderRow,0))</f>
        <v>60.364464692482919</v>
      </c>
    </row>
    <row r="116" spans="1:93" x14ac:dyDescent="0.3">
      <c r="A116" s="6" t="s">
        <v>50</v>
      </c>
      <c r="B116" s="3">
        <v>2</v>
      </c>
      <c r="C116" s="13" t="s">
        <v>39</v>
      </c>
      <c r="D116" s="14">
        <v>58</v>
      </c>
      <c r="E116" s="23">
        <v>39.130434782608695</v>
      </c>
      <c r="F116" s="24">
        <v>4</v>
      </c>
      <c r="G116" s="23">
        <v>12.903225806451612</v>
      </c>
      <c r="H116" s="24">
        <v>31</v>
      </c>
      <c r="I116" s="25">
        <v>0.88888888888888884</v>
      </c>
      <c r="J116" s="24">
        <v>8</v>
      </c>
      <c r="K116" s="24">
        <v>3</v>
      </c>
      <c r="L116" s="24">
        <v>6</v>
      </c>
      <c r="M116" s="24">
        <v>46.4</v>
      </c>
      <c r="N116" s="24">
        <v>25</v>
      </c>
      <c r="O116" s="26">
        <v>0.36629999999999996</v>
      </c>
      <c r="P116" s="24">
        <v>4</v>
      </c>
      <c r="Q116" s="24">
        <v>33.299999999999997</v>
      </c>
      <c r="R116" s="24">
        <v>15</v>
      </c>
      <c r="S116" s="23">
        <v>60.869565217391312</v>
      </c>
      <c r="T116" s="24">
        <v>23</v>
      </c>
      <c r="U116" s="24">
        <v>14</v>
      </c>
      <c r="V116" s="24">
        <v>67</v>
      </c>
      <c r="W116" s="24">
        <v>10</v>
      </c>
      <c r="X116" s="24">
        <v>58</v>
      </c>
      <c r="Y116" s="24">
        <v>-7</v>
      </c>
      <c r="Z116" s="24">
        <v>35</v>
      </c>
      <c r="AA116" s="24">
        <v>-9</v>
      </c>
      <c r="AB116" s="24">
        <v>7</v>
      </c>
      <c r="AC116" s="24">
        <v>5</v>
      </c>
      <c r="AD116" s="24">
        <v>14</v>
      </c>
      <c r="AE116" s="24">
        <v>9</v>
      </c>
      <c r="AF116" s="46">
        <f t="shared" si="85"/>
        <v>69.985060060060064</v>
      </c>
      <c r="AG116" s="51">
        <f t="shared" ref="AG116" si="150">AVERAGE(AF116,AF117)</f>
        <v>68.859771409340382</v>
      </c>
      <c r="AH116" s="12">
        <f t="shared" si="144"/>
        <v>33.700000000000003</v>
      </c>
      <c r="AI116" s="12">
        <f t="shared" si="144"/>
        <v>8.8000000000000007</v>
      </c>
      <c r="AJ116" s="12">
        <f t="shared" si="144"/>
        <v>35.200000000000003</v>
      </c>
      <c r="AK116" s="12">
        <f t="shared" si="144"/>
        <v>25.1</v>
      </c>
      <c r="AL116" s="12">
        <f t="shared" si="144"/>
        <v>1.59</v>
      </c>
      <c r="AM116" s="12">
        <f t="shared" si="144"/>
        <v>15.9</v>
      </c>
      <c r="AN116" s="12">
        <f t="shared" si="144"/>
        <v>14.89</v>
      </c>
      <c r="AO116" s="12">
        <f t="shared" si="144"/>
        <v>3.5</v>
      </c>
      <c r="AP116" s="12">
        <f t="shared" si="144"/>
        <v>42.6</v>
      </c>
      <c r="AQ116" s="12">
        <f t="shared" si="144"/>
        <v>24.05</v>
      </c>
      <c r="AR116" s="12">
        <f t="shared" si="145"/>
        <v>0.55000000000000004</v>
      </c>
      <c r="AS116" s="12">
        <f t="shared" si="145"/>
        <v>12.86</v>
      </c>
      <c r="AT116" s="12">
        <f t="shared" si="145"/>
        <v>47.8</v>
      </c>
      <c r="AU116" s="12">
        <f t="shared" si="145"/>
        <v>15</v>
      </c>
      <c r="AV116" s="12">
        <f t="shared" si="145"/>
        <v>70.3</v>
      </c>
      <c r="AW116" s="12">
        <f t="shared" si="145"/>
        <v>15.6</v>
      </c>
      <c r="AX116" s="12">
        <f t="shared" si="145"/>
        <v>10.9</v>
      </c>
      <c r="AY116" s="12">
        <f t="shared" si="145"/>
        <v>69.8</v>
      </c>
      <c r="AZ116" s="12">
        <f t="shared" si="145"/>
        <v>8.6999999999999993</v>
      </c>
      <c r="BA116" s="12">
        <f t="shared" si="145"/>
        <v>78.099999999999994</v>
      </c>
      <c r="BB116" s="12">
        <f t="shared" si="146"/>
        <v>-3.1</v>
      </c>
      <c r="BC116" s="12">
        <f t="shared" si="146"/>
        <v>32.76</v>
      </c>
      <c r="BD116" s="12">
        <f t="shared" si="146"/>
        <v>8.1999999999999993</v>
      </c>
      <c r="BE116" s="12">
        <f t="shared" si="146"/>
        <v>8.6</v>
      </c>
      <c r="BF116" s="12">
        <f t="shared" si="146"/>
        <v>4.7</v>
      </c>
      <c r="BG116" s="12">
        <f t="shared" si="146"/>
        <v>14.7</v>
      </c>
      <c r="BH116" s="12">
        <f t="shared" si="146"/>
        <v>10</v>
      </c>
      <c r="BI116" s="12">
        <f t="shared" si="146"/>
        <v>71</v>
      </c>
      <c r="BJ116" s="12">
        <f t="shared" si="146"/>
        <v>20.399999999999991</v>
      </c>
      <c r="BK116" s="12">
        <f t="shared" si="146"/>
        <v>61.087866108786592</v>
      </c>
      <c r="BL116" s="12">
        <f>INDEX(ovrTable,MATCH(INDEX(oppCol24,ROW()),ovrTeamCol,0),MATCH(MID(INDEX(headerRow,1,COLUMN()),4,LEN(INDEX(headerRow,1,COLUMN()))),ovrHeaderRow,0))</f>
        <v>33.5</v>
      </c>
      <c r="BM116" s="12">
        <f>INDEX(ovrTable,MATCH(INDEX(oppCol24,ROW()),ovrTeamCol,0),MATCH(MID(INDEX(headerRow,1,COLUMN()),4,LEN(INDEX(headerRow,1,COLUMN()))),ovrHeaderRow,0))</f>
        <v>7</v>
      </c>
      <c r="BN116" s="12">
        <f>INDEX(ovrTable,MATCH(INDEX(oppCol24,ROW()),ovrTeamCol,0),MATCH(MID(INDEX(headerRow,1,COLUMN()),4,LEN(INDEX(headerRow,1,COLUMN()))),ovrHeaderRow,0))</f>
        <v>34.5</v>
      </c>
      <c r="BO116" s="12">
        <f>INDEX(ovrTable,MATCH(INDEX(oppCol24,ROW()),ovrTeamCol,0),MATCH(MID(INDEX(headerRow,1,COLUMN()),4,LEN(INDEX(headerRow,1,COLUMN()))),ovrHeaderRow,0))</f>
        <v>20.2</v>
      </c>
      <c r="BP116" s="12">
        <f>INDEX(ovrTable,MATCH(INDEX(oppCol24,ROW()),ovrTeamCol,0),MATCH(MID(INDEX(headerRow,1,COLUMN()),4,LEN(INDEX(headerRow,1,COLUMN()))),ovrHeaderRow,0))</f>
        <v>1.37</v>
      </c>
      <c r="BQ116" s="12">
        <f>INDEX(ovrTable,MATCH(INDEX(oppCol24,ROW()),ovrTeamCol,0),MATCH(MID(INDEX(headerRow,1,COLUMN()),4,LEN(INDEX(headerRow,1,COLUMN()))),ovrHeaderRow,0))</f>
        <v>13.1</v>
      </c>
      <c r="BR116" s="12">
        <f>INDEX(ovrTable,MATCH(INDEX(oppCol24,ROW()),ovrTeamCol,0),MATCH(MID(INDEX(headerRow,1,COLUMN()),4,LEN(INDEX(headerRow,1,COLUMN()))),ovrHeaderRow,0))</f>
        <v>18.8</v>
      </c>
      <c r="BS116" s="12">
        <f>INDEX(ovrTable,MATCH(INDEX(oppCol24,ROW()),ovrTeamCol,0),MATCH(MID(INDEX(headerRow,1,COLUMN()),4,LEN(INDEX(headerRow,1,COLUMN()))),ovrHeaderRow,0))</f>
        <v>3.6</v>
      </c>
      <c r="BT116" s="12">
        <f>INDEX(ovrTable,MATCH(INDEX(oppCol24,ROW()),ovrTeamCol,0),MATCH(MID(INDEX(headerRow,1,COLUMN()),4,LEN(INDEX(headerRow,1,COLUMN()))),ovrHeaderRow,0))</f>
        <v>43.3</v>
      </c>
      <c r="BU116" s="12">
        <f>INDEX(ovrTable,MATCH(INDEX(oppCol24,ROW()),ovrTeamCol,0),MATCH(MID(INDEX(headerRow,1,COLUMN()),4,LEN(INDEX(headerRow,1,COLUMN()))),ovrHeaderRow,0))</f>
        <v>25.17</v>
      </c>
      <c r="BV116" s="12">
        <f>INDEX(ovrTable,MATCH(INDEX(oppCol24,ROW()),ovrTeamCol,0),MATCH(MID(INDEX(headerRow,1,COLUMN()),4,LEN(INDEX(headerRow,1,COLUMN()))),ovrHeaderRow,0))</f>
        <v>0.50700000000000001</v>
      </c>
      <c r="BW116" s="12">
        <f>INDEX(ovrTable,MATCH(INDEX(oppCol24,ROW()),ovrTeamCol,0),MATCH(MID(INDEX(headerRow,1,COLUMN()),4,LEN(INDEX(headerRow,1,COLUMN()))),ovrHeaderRow,0))</f>
        <v>11.98</v>
      </c>
      <c r="BX116" s="12">
        <f>INDEX(ovrTable,MATCH(INDEX(oppCol24,ROW()),ovrTeamCol,0),MATCH(MID(INDEX(headerRow,1,COLUMN()),4,LEN(INDEX(headerRow,1,COLUMN()))),ovrHeaderRow,0))</f>
        <v>45</v>
      </c>
      <c r="BY116" s="12">
        <f>INDEX(ovrTable,MATCH(INDEX(oppCol24,ROW()),ovrTeamCol,0),MATCH(MID(INDEX(headerRow,1,COLUMN()),4,LEN(INDEX(headerRow,1,COLUMN()))),ovrHeaderRow,0))</f>
        <v>16.2</v>
      </c>
      <c r="BZ116" s="12">
        <f>INDEX(ovrTable,MATCH(INDEX(oppCol24,ROW()),ovrTeamCol,0),MATCH(MID(INDEX(headerRow,1,COLUMN()),4,LEN(INDEX(headerRow,1,COLUMN()))),ovrHeaderRow,0))</f>
        <v>73.3</v>
      </c>
      <c r="CA116" s="12">
        <f>INDEX(ovrTable,MATCH(INDEX(oppCol24,ROW()),ovrTeamCol,0),MATCH(MID(INDEX(headerRow,1,COLUMN()),4,LEN(INDEX(headerRow,1,COLUMN()))),ovrHeaderRow,0))</f>
        <v>19.399999999999999</v>
      </c>
      <c r="CB116" s="12">
        <f>INDEX(ovrTable,MATCH(INDEX(oppCol24,ROW()),ovrTeamCol,0),MATCH(MID(INDEX(headerRow,1,COLUMN()),4,LEN(INDEX(headerRow,1,COLUMN()))),ovrHeaderRow,0))</f>
        <v>14.2</v>
      </c>
      <c r="CC116" s="12">
        <f>INDEX(ovrTable,MATCH(INDEX(oppCol24,ROW()),ovrTeamCol,0),MATCH(MID(INDEX(headerRow,1,COLUMN()),4,LEN(INDEX(headerRow,1,COLUMN()))),ovrHeaderRow,0))</f>
        <v>71.8</v>
      </c>
      <c r="CD116" s="12">
        <f>INDEX(ovrTable,MATCH(INDEX(oppCol24,ROW()),ovrTeamCol,0),MATCH(MID(INDEX(headerRow,1,COLUMN()),4,LEN(INDEX(headerRow,1,COLUMN()))),ovrHeaderRow,0))</f>
        <v>10.119999999999999</v>
      </c>
      <c r="CE116" s="12">
        <f>INDEX(ovrTable,MATCH(INDEX(oppCol24,ROW()),ovrTeamCol,0),MATCH(MID(INDEX(headerRow,1,COLUMN()),4,LEN(INDEX(headerRow,1,COLUMN()))),ovrHeaderRow,0))</f>
        <v>75.599999999999994</v>
      </c>
      <c r="CF116" s="12">
        <f>INDEX(ovrTable,MATCH(INDEX(oppCol24,ROW()),ovrTeamCol,0),MATCH(MID(INDEX(headerRow,1,COLUMN()),4,LEN(INDEX(headerRow,1,COLUMN()))),ovrHeaderRow,0))</f>
        <v>-0.9</v>
      </c>
      <c r="CG116" s="12">
        <f>INDEX(ovrTable,MATCH(INDEX(oppCol24,ROW()),ovrTeamCol,0),MATCH(MID(INDEX(headerRow,1,COLUMN()),4,LEN(INDEX(headerRow,1,COLUMN()))),ovrHeaderRow,0))</f>
        <v>35.29</v>
      </c>
      <c r="CH116" s="12">
        <f>INDEX(ovrTable,MATCH(INDEX(oppCol24,ROW()),ovrTeamCol,0),MATCH(MID(INDEX(headerRow,1,COLUMN()),4,LEN(INDEX(headerRow,1,COLUMN()))),ovrHeaderRow,0))</f>
        <v>3.9</v>
      </c>
      <c r="CI116" s="12">
        <f>INDEX(ovrTable,MATCH(INDEX(oppCol24,ROW()),ovrTeamCol,0),MATCH(MID(INDEX(headerRow,1,COLUMN()),4,LEN(INDEX(headerRow,1,COLUMN()))),ovrHeaderRow,0))</f>
        <v>7.2</v>
      </c>
      <c r="CJ116" s="12">
        <f>INDEX(ovrTable,MATCH(INDEX(oppCol24,ROW()),ovrTeamCol,0),MATCH(MID(INDEX(headerRow,1,COLUMN()),4,LEN(INDEX(headerRow,1,COLUMN()))),ovrHeaderRow,0))</f>
        <v>2.7</v>
      </c>
      <c r="CK116" s="12">
        <f>INDEX(ovrTable,MATCH(INDEX(oppCol24,ROW()),ovrTeamCol,0),MATCH(MID(INDEX(headerRow,1,COLUMN()),4,LEN(INDEX(headerRow,1,COLUMN()))),ovrHeaderRow,0))</f>
        <v>12.22</v>
      </c>
      <c r="CL116" s="12">
        <f>INDEX(ovrTable,MATCH(INDEX(oppCol24,ROW()),ovrTeamCol,0),MATCH(MID(INDEX(headerRow,1,COLUMN()),4,LEN(INDEX(headerRow,1,COLUMN()))),ovrHeaderRow,0))</f>
        <v>9.6</v>
      </c>
      <c r="CM116" s="12">
        <f>INDEX(ovrTable,MATCH(INDEX(oppCol24,ROW()),ovrTeamCol,0),MATCH(MID(INDEX(headerRow,1,COLUMN()),4,LEN(INDEX(headerRow,1,COLUMN()))),ovrHeaderRow,0))</f>
        <v>70.8</v>
      </c>
      <c r="CN116" s="12">
        <f>INDEX(ovrTable,MATCH(INDEX(oppCol24,ROW()),ovrTeamCol,0),MATCH(MID(INDEX(headerRow,1,COLUMN()),4,LEN(INDEX(headerRow,1,COLUMN()))),ovrHeaderRow,0))</f>
        <v>20.199999999999996</v>
      </c>
      <c r="CO116" s="12">
        <f>INDEX(ovrTable,MATCH(INDEX(oppCol24,ROW()),ovrTeamCol,0),MATCH(MID(INDEX(headerRow,1,COLUMN()),4,LEN(INDEX(headerRow,1,COLUMN()))),ovrHeaderRow,0))</f>
        <v>60.444444444444436</v>
      </c>
    </row>
    <row r="117" spans="1:93" x14ac:dyDescent="0.3">
      <c r="A117" s="6" t="s">
        <v>39</v>
      </c>
      <c r="B117" s="3">
        <v>11</v>
      </c>
      <c r="C117" s="13" t="s">
        <v>50</v>
      </c>
      <c r="D117" s="14">
        <v>58</v>
      </c>
      <c r="E117" s="23">
        <v>12.903225806451612</v>
      </c>
      <c r="F117" s="24">
        <v>9</v>
      </c>
      <c r="G117" s="23">
        <v>39.130434782608695</v>
      </c>
      <c r="H117" s="24">
        <v>23</v>
      </c>
      <c r="I117" s="25">
        <v>1</v>
      </c>
      <c r="J117" s="24">
        <v>14</v>
      </c>
      <c r="K117" s="24">
        <v>10</v>
      </c>
      <c r="L117" s="24">
        <v>3</v>
      </c>
      <c r="M117" s="24">
        <v>33.299999999999997</v>
      </c>
      <c r="N117" s="24">
        <v>34</v>
      </c>
      <c r="O117" s="26">
        <v>0.54430769230769227</v>
      </c>
      <c r="P117" s="24">
        <v>8</v>
      </c>
      <c r="Q117" s="24">
        <v>46.4</v>
      </c>
      <c r="R117" s="24">
        <v>16</v>
      </c>
      <c r="S117" s="23">
        <v>50</v>
      </c>
      <c r="T117" s="24">
        <v>12</v>
      </c>
      <c r="U117" s="24">
        <v>6</v>
      </c>
      <c r="V117" s="24">
        <v>58</v>
      </c>
      <c r="W117" s="24">
        <v>8</v>
      </c>
      <c r="X117" s="24">
        <v>67</v>
      </c>
      <c r="Y117" s="24">
        <v>7</v>
      </c>
      <c r="Z117" s="24">
        <v>42</v>
      </c>
      <c r="AA117" s="24">
        <v>9</v>
      </c>
      <c r="AB117" s="24">
        <v>6</v>
      </c>
      <c r="AC117" s="24">
        <v>-5</v>
      </c>
      <c r="AD117" s="24">
        <v>9</v>
      </c>
      <c r="AE117" s="24">
        <v>14</v>
      </c>
      <c r="AF117" s="46">
        <f t="shared" si="85"/>
        <v>67.7344827586207</v>
      </c>
      <c r="AG117" s="51">
        <f t="shared" ref="AG117" si="151">AVERAGE(AF116,AF117)</f>
        <v>68.859771409340382</v>
      </c>
      <c r="AH117" s="12">
        <f t="shared" si="144"/>
        <v>33.5</v>
      </c>
      <c r="AI117" s="12">
        <f t="shared" si="144"/>
        <v>7</v>
      </c>
      <c r="AJ117" s="12">
        <f t="shared" si="144"/>
        <v>34.5</v>
      </c>
      <c r="AK117" s="12">
        <f t="shared" si="144"/>
        <v>20.2</v>
      </c>
      <c r="AL117" s="12">
        <f t="shared" si="144"/>
        <v>1.37</v>
      </c>
      <c r="AM117" s="12">
        <f t="shared" si="144"/>
        <v>13.1</v>
      </c>
      <c r="AN117" s="12">
        <f t="shared" si="144"/>
        <v>18.8</v>
      </c>
      <c r="AO117" s="12">
        <f t="shared" si="144"/>
        <v>3.6</v>
      </c>
      <c r="AP117" s="12">
        <f t="shared" si="144"/>
        <v>43.3</v>
      </c>
      <c r="AQ117" s="12">
        <f t="shared" si="144"/>
        <v>25.17</v>
      </c>
      <c r="AR117" s="12">
        <f t="shared" si="145"/>
        <v>0.50700000000000001</v>
      </c>
      <c r="AS117" s="12">
        <f t="shared" si="145"/>
        <v>11.98</v>
      </c>
      <c r="AT117" s="12">
        <f t="shared" si="145"/>
        <v>45</v>
      </c>
      <c r="AU117" s="12">
        <f t="shared" si="145"/>
        <v>16.2</v>
      </c>
      <c r="AV117" s="12">
        <f t="shared" si="145"/>
        <v>73.3</v>
      </c>
      <c r="AW117" s="12">
        <f t="shared" si="145"/>
        <v>19.399999999999999</v>
      </c>
      <c r="AX117" s="12">
        <f t="shared" si="145"/>
        <v>14.2</v>
      </c>
      <c r="AY117" s="12">
        <f t="shared" si="145"/>
        <v>71.8</v>
      </c>
      <c r="AZ117" s="12">
        <f t="shared" si="145"/>
        <v>10.119999999999999</v>
      </c>
      <c r="BA117" s="12">
        <f t="shared" si="145"/>
        <v>75.599999999999994</v>
      </c>
      <c r="BB117" s="12">
        <f t="shared" si="146"/>
        <v>-0.9</v>
      </c>
      <c r="BC117" s="12">
        <f t="shared" si="146"/>
        <v>35.29</v>
      </c>
      <c r="BD117" s="12">
        <f t="shared" si="146"/>
        <v>3.9</v>
      </c>
      <c r="BE117" s="12">
        <f t="shared" si="146"/>
        <v>7.2</v>
      </c>
      <c r="BF117" s="12">
        <f t="shared" si="146"/>
        <v>2.7</v>
      </c>
      <c r="BG117" s="12">
        <f t="shared" si="146"/>
        <v>12.22</v>
      </c>
      <c r="BH117" s="12">
        <f t="shared" si="146"/>
        <v>9.6</v>
      </c>
      <c r="BI117" s="12">
        <f t="shared" si="146"/>
        <v>70.8</v>
      </c>
      <c r="BJ117" s="12">
        <f t="shared" si="146"/>
        <v>20.199999999999996</v>
      </c>
      <c r="BK117" s="12">
        <f t="shared" si="146"/>
        <v>60.444444444444436</v>
      </c>
      <c r="BL117" s="12">
        <f>INDEX(ovrTable,MATCH(INDEX(oppCol24,ROW()),ovrTeamCol,0),MATCH(MID(INDEX(headerRow,1,COLUMN()),4,LEN(INDEX(headerRow,1,COLUMN()))),ovrHeaderRow,0))</f>
        <v>33.700000000000003</v>
      </c>
      <c r="BM117" s="12">
        <f>INDEX(ovrTable,MATCH(INDEX(oppCol24,ROW()),ovrTeamCol,0),MATCH(MID(INDEX(headerRow,1,COLUMN()),4,LEN(INDEX(headerRow,1,COLUMN()))),ovrHeaderRow,0))</f>
        <v>8.8000000000000007</v>
      </c>
      <c r="BN117" s="12">
        <f>INDEX(ovrTable,MATCH(INDEX(oppCol24,ROW()),ovrTeamCol,0),MATCH(MID(INDEX(headerRow,1,COLUMN()),4,LEN(INDEX(headerRow,1,COLUMN()))),ovrHeaderRow,0))</f>
        <v>35.200000000000003</v>
      </c>
      <c r="BO117" s="12">
        <f>INDEX(ovrTable,MATCH(INDEX(oppCol24,ROW()),ovrTeamCol,0),MATCH(MID(INDEX(headerRow,1,COLUMN()),4,LEN(INDEX(headerRow,1,COLUMN()))),ovrHeaderRow,0))</f>
        <v>25.1</v>
      </c>
      <c r="BP117" s="12">
        <f>INDEX(ovrTable,MATCH(INDEX(oppCol24,ROW()),ovrTeamCol,0),MATCH(MID(INDEX(headerRow,1,COLUMN()),4,LEN(INDEX(headerRow,1,COLUMN()))),ovrHeaderRow,0))</f>
        <v>1.59</v>
      </c>
      <c r="BQ117" s="12">
        <f>INDEX(ovrTable,MATCH(INDEX(oppCol24,ROW()),ovrTeamCol,0),MATCH(MID(INDEX(headerRow,1,COLUMN()),4,LEN(INDEX(headerRow,1,COLUMN()))),ovrHeaderRow,0))</f>
        <v>15.9</v>
      </c>
      <c r="BR117" s="12">
        <f>INDEX(ovrTable,MATCH(INDEX(oppCol24,ROW()),ovrTeamCol,0),MATCH(MID(INDEX(headerRow,1,COLUMN()),4,LEN(INDEX(headerRow,1,COLUMN()))),ovrHeaderRow,0))</f>
        <v>14.89</v>
      </c>
      <c r="BS117" s="12">
        <f>INDEX(ovrTable,MATCH(INDEX(oppCol24,ROW()),ovrTeamCol,0),MATCH(MID(INDEX(headerRow,1,COLUMN()),4,LEN(INDEX(headerRow,1,COLUMN()))),ovrHeaderRow,0))</f>
        <v>3.5</v>
      </c>
      <c r="BT117" s="12">
        <f>INDEX(ovrTable,MATCH(INDEX(oppCol24,ROW()),ovrTeamCol,0),MATCH(MID(INDEX(headerRow,1,COLUMN()),4,LEN(INDEX(headerRow,1,COLUMN()))),ovrHeaderRow,0))</f>
        <v>42.6</v>
      </c>
      <c r="BU117" s="12">
        <f>INDEX(ovrTable,MATCH(INDEX(oppCol24,ROW()),ovrTeamCol,0),MATCH(MID(INDEX(headerRow,1,COLUMN()),4,LEN(INDEX(headerRow,1,COLUMN()))),ovrHeaderRow,0))</f>
        <v>24.05</v>
      </c>
      <c r="BV117" s="12">
        <f>INDEX(ovrTable,MATCH(INDEX(oppCol24,ROW()),ovrTeamCol,0),MATCH(MID(INDEX(headerRow,1,COLUMN()),4,LEN(INDEX(headerRow,1,COLUMN()))),ovrHeaderRow,0))</f>
        <v>0.55000000000000004</v>
      </c>
      <c r="BW117" s="12">
        <f>INDEX(ovrTable,MATCH(INDEX(oppCol24,ROW()),ovrTeamCol,0),MATCH(MID(INDEX(headerRow,1,COLUMN()),4,LEN(INDEX(headerRow,1,COLUMN()))),ovrHeaderRow,0))</f>
        <v>12.86</v>
      </c>
      <c r="BX117" s="12">
        <f>INDEX(ovrTable,MATCH(INDEX(oppCol24,ROW()),ovrTeamCol,0),MATCH(MID(INDEX(headerRow,1,COLUMN()),4,LEN(INDEX(headerRow,1,COLUMN()))),ovrHeaderRow,0))</f>
        <v>47.8</v>
      </c>
      <c r="BY117" s="12">
        <f>INDEX(ovrTable,MATCH(INDEX(oppCol24,ROW()),ovrTeamCol,0),MATCH(MID(INDEX(headerRow,1,COLUMN()),4,LEN(INDEX(headerRow,1,COLUMN()))),ovrHeaderRow,0))</f>
        <v>15</v>
      </c>
      <c r="BZ117" s="12">
        <f>INDEX(ovrTable,MATCH(INDEX(oppCol24,ROW()),ovrTeamCol,0),MATCH(MID(INDEX(headerRow,1,COLUMN()),4,LEN(INDEX(headerRow,1,COLUMN()))),ovrHeaderRow,0))</f>
        <v>70.3</v>
      </c>
      <c r="CA117" s="12">
        <f>INDEX(ovrTable,MATCH(INDEX(oppCol24,ROW()),ovrTeamCol,0),MATCH(MID(INDEX(headerRow,1,COLUMN()),4,LEN(INDEX(headerRow,1,COLUMN()))),ovrHeaderRow,0))</f>
        <v>15.6</v>
      </c>
      <c r="CB117" s="12">
        <f>INDEX(ovrTable,MATCH(INDEX(oppCol24,ROW()),ovrTeamCol,0),MATCH(MID(INDEX(headerRow,1,COLUMN()),4,LEN(INDEX(headerRow,1,COLUMN()))),ovrHeaderRow,0))</f>
        <v>10.9</v>
      </c>
      <c r="CC117" s="12">
        <f>INDEX(ovrTable,MATCH(INDEX(oppCol24,ROW()),ovrTeamCol,0),MATCH(MID(INDEX(headerRow,1,COLUMN()),4,LEN(INDEX(headerRow,1,COLUMN()))),ovrHeaderRow,0))</f>
        <v>69.8</v>
      </c>
      <c r="CD117" s="12">
        <f>INDEX(ovrTable,MATCH(INDEX(oppCol24,ROW()),ovrTeamCol,0),MATCH(MID(INDEX(headerRow,1,COLUMN()),4,LEN(INDEX(headerRow,1,COLUMN()))),ovrHeaderRow,0))</f>
        <v>8.6999999999999993</v>
      </c>
      <c r="CE117" s="12">
        <f>INDEX(ovrTable,MATCH(INDEX(oppCol24,ROW()),ovrTeamCol,0),MATCH(MID(INDEX(headerRow,1,COLUMN()),4,LEN(INDEX(headerRow,1,COLUMN()))),ovrHeaderRow,0))</f>
        <v>78.099999999999994</v>
      </c>
      <c r="CF117" s="12">
        <f>INDEX(ovrTable,MATCH(INDEX(oppCol24,ROW()),ovrTeamCol,0),MATCH(MID(INDEX(headerRow,1,COLUMN()),4,LEN(INDEX(headerRow,1,COLUMN()))),ovrHeaderRow,0))</f>
        <v>-3.1</v>
      </c>
      <c r="CG117" s="12">
        <f>INDEX(ovrTable,MATCH(INDEX(oppCol24,ROW()),ovrTeamCol,0),MATCH(MID(INDEX(headerRow,1,COLUMN()),4,LEN(INDEX(headerRow,1,COLUMN()))),ovrHeaderRow,0))</f>
        <v>32.76</v>
      </c>
      <c r="CH117" s="12">
        <f>INDEX(ovrTable,MATCH(INDEX(oppCol24,ROW()),ovrTeamCol,0),MATCH(MID(INDEX(headerRow,1,COLUMN()),4,LEN(INDEX(headerRow,1,COLUMN()))),ovrHeaderRow,0))</f>
        <v>8.1999999999999993</v>
      </c>
      <c r="CI117" s="12">
        <f>INDEX(ovrTable,MATCH(INDEX(oppCol24,ROW()),ovrTeamCol,0),MATCH(MID(INDEX(headerRow,1,COLUMN()),4,LEN(INDEX(headerRow,1,COLUMN()))),ovrHeaderRow,0))</f>
        <v>8.6</v>
      </c>
      <c r="CJ117" s="12">
        <f>INDEX(ovrTable,MATCH(INDEX(oppCol24,ROW()),ovrTeamCol,0),MATCH(MID(INDEX(headerRow,1,COLUMN()),4,LEN(INDEX(headerRow,1,COLUMN()))),ovrHeaderRow,0))</f>
        <v>4.7</v>
      </c>
      <c r="CK117" s="12">
        <f>INDEX(ovrTable,MATCH(INDEX(oppCol24,ROW()),ovrTeamCol,0),MATCH(MID(INDEX(headerRow,1,COLUMN()),4,LEN(INDEX(headerRow,1,COLUMN()))),ovrHeaderRow,0))</f>
        <v>14.7</v>
      </c>
      <c r="CL117" s="12">
        <f>INDEX(ovrTable,MATCH(INDEX(oppCol24,ROW()),ovrTeamCol,0),MATCH(MID(INDEX(headerRow,1,COLUMN()),4,LEN(INDEX(headerRow,1,COLUMN()))),ovrHeaderRow,0))</f>
        <v>10</v>
      </c>
      <c r="CM117" s="12">
        <f>INDEX(ovrTable,MATCH(INDEX(oppCol24,ROW()),ovrTeamCol,0),MATCH(MID(INDEX(headerRow,1,COLUMN()),4,LEN(INDEX(headerRow,1,COLUMN()))),ovrHeaderRow,0))</f>
        <v>71</v>
      </c>
      <c r="CN117" s="12">
        <f>INDEX(ovrTable,MATCH(INDEX(oppCol24,ROW()),ovrTeamCol,0),MATCH(MID(INDEX(headerRow,1,COLUMN()),4,LEN(INDEX(headerRow,1,COLUMN()))),ovrHeaderRow,0))</f>
        <v>20.399999999999991</v>
      </c>
      <c r="CO117" s="12">
        <f>INDEX(ovrTable,MATCH(INDEX(oppCol24,ROW()),ovrTeamCol,0),MATCH(MID(INDEX(headerRow,1,COLUMN()),4,LEN(INDEX(headerRow,1,COLUMN()))),ovrHeaderRow,0))</f>
        <v>61.087866108786592</v>
      </c>
    </row>
    <row r="118" spans="1:93" x14ac:dyDescent="0.3">
      <c r="A118" s="6" t="s">
        <v>58</v>
      </c>
      <c r="B118" s="3">
        <v>5</v>
      </c>
      <c r="C118" s="13" t="s">
        <v>54</v>
      </c>
      <c r="D118" s="14">
        <v>59</v>
      </c>
      <c r="E118" s="23">
        <v>45</v>
      </c>
      <c r="F118" s="24">
        <v>6</v>
      </c>
      <c r="G118" s="23">
        <v>31.578947368421051</v>
      </c>
      <c r="H118" s="24">
        <v>19</v>
      </c>
      <c r="I118" s="25">
        <v>2.3333333333333335</v>
      </c>
      <c r="J118" s="24">
        <v>14</v>
      </c>
      <c r="K118" s="24">
        <v>4</v>
      </c>
      <c r="L118" s="24">
        <v>0</v>
      </c>
      <c r="M118" s="24">
        <v>57.1</v>
      </c>
      <c r="N118" s="24">
        <v>16</v>
      </c>
      <c r="O118" s="26">
        <v>0.54289655172413798</v>
      </c>
      <c r="P118" s="24">
        <v>5</v>
      </c>
      <c r="Q118" s="24">
        <v>49.2</v>
      </c>
      <c r="R118" s="24">
        <v>15</v>
      </c>
      <c r="S118" s="23">
        <v>57.142857142857139</v>
      </c>
      <c r="T118" s="24">
        <v>7</v>
      </c>
      <c r="U118" s="24">
        <v>4</v>
      </c>
      <c r="V118" s="24">
        <v>80</v>
      </c>
      <c r="W118" s="24">
        <v>9</v>
      </c>
      <c r="X118" s="24">
        <v>68</v>
      </c>
      <c r="Y118" s="24">
        <v>-7</v>
      </c>
      <c r="Z118" s="24">
        <v>25</v>
      </c>
      <c r="AA118" s="24">
        <v>-12</v>
      </c>
      <c r="AB118" s="24">
        <v>5</v>
      </c>
      <c r="AC118" s="24">
        <v>3</v>
      </c>
      <c r="AD118" s="24">
        <v>9</v>
      </c>
      <c r="AE118" s="24">
        <v>6</v>
      </c>
      <c r="AF118" s="46">
        <f t="shared" si="85"/>
        <v>59.268089430894307</v>
      </c>
      <c r="AG118" s="51">
        <f t="shared" ref="AG118" si="152">AVERAGE(AF118,AF119)</f>
        <v>59.03006047726852</v>
      </c>
      <c r="AH118" s="12">
        <f t="shared" si="144"/>
        <v>33.6</v>
      </c>
      <c r="AI118" s="12">
        <f t="shared" si="144"/>
        <v>6.9</v>
      </c>
      <c r="AJ118" s="12">
        <f t="shared" si="144"/>
        <v>36.1</v>
      </c>
      <c r="AK118" s="12">
        <f t="shared" si="144"/>
        <v>19.3</v>
      </c>
      <c r="AL118" s="12">
        <f t="shared" si="144"/>
        <v>1.71</v>
      </c>
      <c r="AM118" s="12">
        <f t="shared" si="144"/>
        <v>16.7</v>
      </c>
      <c r="AN118" s="12">
        <f t="shared" si="144"/>
        <v>18.71</v>
      </c>
      <c r="AO118" s="12">
        <f t="shared" si="144"/>
        <v>3.9</v>
      </c>
      <c r="AP118" s="12">
        <f t="shared" si="144"/>
        <v>40.700000000000003</v>
      </c>
      <c r="AQ118" s="12">
        <f t="shared" si="144"/>
        <v>27.89</v>
      </c>
      <c r="AR118" s="12">
        <f t="shared" si="145"/>
        <v>0.57399999999999995</v>
      </c>
      <c r="AS118" s="12">
        <f t="shared" si="145"/>
        <v>13.91</v>
      </c>
      <c r="AT118" s="12">
        <f t="shared" si="145"/>
        <v>51.8</v>
      </c>
      <c r="AU118" s="12">
        <f t="shared" si="145"/>
        <v>15.6</v>
      </c>
      <c r="AV118" s="12">
        <f t="shared" si="145"/>
        <v>72.099999999999994</v>
      </c>
      <c r="AW118" s="12">
        <f t="shared" si="145"/>
        <v>18.899999999999999</v>
      </c>
      <c r="AX118" s="12">
        <f t="shared" si="145"/>
        <v>13.6</v>
      </c>
      <c r="AY118" s="12">
        <f t="shared" si="145"/>
        <v>69.099999999999994</v>
      </c>
      <c r="AZ118" s="12">
        <f t="shared" si="145"/>
        <v>10.83</v>
      </c>
      <c r="BA118" s="12">
        <f t="shared" si="145"/>
        <v>84.5</v>
      </c>
      <c r="BB118" s="12">
        <f t="shared" si="146"/>
        <v>7</v>
      </c>
      <c r="BC118" s="12">
        <f t="shared" si="146"/>
        <v>38.71</v>
      </c>
      <c r="BD118" s="12">
        <f t="shared" si="146"/>
        <v>15.4</v>
      </c>
      <c r="BE118" s="12">
        <f t="shared" si="146"/>
        <v>6.7</v>
      </c>
      <c r="BF118" s="12">
        <f t="shared" si="146"/>
        <v>1.4</v>
      </c>
      <c r="BG118" s="12">
        <f t="shared" si="146"/>
        <v>11.2</v>
      </c>
      <c r="BH118" s="12">
        <f t="shared" si="146"/>
        <v>9.8000000000000007</v>
      </c>
      <c r="BI118" s="12">
        <f t="shared" si="146"/>
        <v>70.7</v>
      </c>
      <c r="BJ118" s="12">
        <f t="shared" si="146"/>
        <v>25.1</v>
      </c>
      <c r="BK118" s="12">
        <f t="shared" si="146"/>
        <v>61.776061776061781</v>
      </c>
      <c r="BL118" s="12">
        <f>INDEX(ovrTable,MATCH(INDEX(oppCol24,ROW()),ovrTeamCol,0),MATCH(MID(INDEX(headerRow,1,COLUMN()),4,LEN(INDEX(headerRow,1,COLUMN()))),ovrHeaderRow,0))</f>
        <v>31.5</v>
      </c>
      <c r="BM118" s="12">
        <f>INDEX(ovrTable,MATCH(INDEX(oppCol24,ROW()),ovrTeamCol,0),MATCH(MID(INDEX(headerRow,1,COLUMN()),4,LEN(INDEX(headerRow,1,COLUMN()))),ovrHeaderRow,0))</f>
        <v>8.1999999999999993</v>
      </c>
      <c r="BN118" s="12">
        <f>INDEX(ovrTable,MATCH(INDEX(oppCol24,ROW()),ovrTeamCol,0),MATCH(MID(INDEX(headerRow,1,COLUMN()),4,LEN(INDEX(headerRow,1,COLUMN()))),ovrHeaderRow,0))</f>
        <v>40.4</v>
      </c>
      <c r="BO118" s="12">
        <f>INDEX(ovrTable,MATCH(INDEX(oppCol24,ROW()),ovrTeamCol,0),MATCH(MID(INDEX(headerRow,1,COLUMN()),4,LEN(INDEX(headerRow,1,COLUMN()))),ovrHeaderRow,0))</f>
        <v>20.2</v>
      </c>
      <c r="BP118" s="12">
        <f>INDEX(ovrTable,MATCH(INDEX(oppCol24,ROW()),ovrTeamCol,0),MATCH(MID(INDEX(headerRow,1,COLUMN()),4,LEN(INDEX(headerRow,1,COLUMN()))),ovrHeaderRow,0))</f>
        <v>1.63</v>
      </c>
      <c r="BQ118" s="12">
        <f>INDEX(ovrTable,MATCH(INDEX(oppCol24,ROW()),ovrTeamCol,0),MATCH(MID(INDEX(headerRow,1,COLUMN()),4,LEN(INDEX(headerRow,1,COLUMN()))),ovrHeaderRow,0))</f>
        <v>18.5</v>
      </c>
      <c r="BR118" s="12">
        <f>INDEX(ovrTable,MATCH(INDEX(oppCol24,ROW()),ovrTeamCol,0),MATCH(MID(INDEX(headerRow,1,COLUMN()),4,LEN(INDEX(headerRow,1,COLUMN()))),ovrHeaderRow,0))</f>
        <v>16.72</v>
      </c>
      <c r="BS118" s="12">
        <f>INDEX(ovrTable,MATCH(INDEX(oppCol24,ROW()),ovrTeamCol,0),MATCH(MID(INDEX(headerRow,1,COLUMN()),4,LEN(INDEX(headerRow,1,COLUMN()))),ovrHeaderRow,0))</f>
        <v>3.6</v>
      </c>
      <c r="BT118" s="12">
        <f>INDEX(ovrTable,MATCH(INDEX(oppCol24,ROW()),ovrTeamCol,0),MATCH(MID(INDEX(headerRow,1,COLUMN()),4,LEN(INDEX(headerRow,1,COLUMN()))),ovrHeaderRow,0))</f>
        <v>41.7</v>
      </c>
      <c r="BU118" s="12">
        <f>INDEX(ovrTable,MATCH(INDEX(oppCol24,ROW()),ovrTeamCol,0),MATCH(MID(INDEX(headerRow,1,COLUMN()),4,LEN(INDEX(headerRow,1,COLUMN()))),ovrHeaderRow,0))</f>
        <v>28.23</v>
      </c>
      <c r="BV118" s="12">
        <f>INDEX(ovrTable,MATCH(INDEX(oppCol24,ROW()),ovrTeamCol,0),MATCH(MID(INDEX(headerRow,1,COLUMN()),4,LEN(INDEX(headerRow,1,COLUMN()))),ovrHeaderRow,0))</f>
        <v>0.55800000000000005</v>
      </c>
      <c r="BW118" s="12">
        <f>INDEX(ovrTable,MATCH(INDEX(oppCol24,ROW()),ovrTeamCol,0),MATCH(MID(INDEX(headerRow,1,COLUMN()),4,LEN(INDEX(headerRow,1,COLUMN()))),ovrHeaderRow,0))</f>
        <v>7</v>
      </c>
      <c r="BX118" s="12">
        <f>INDEX(ovrTable,MATCH(INDEX(oppCol24,ROW()),ovrTeamCol,0),MATCH(MID(INDEX(headerRow,1,COLUMN()),4,LEN(INDEX(headerRow,1,COLUMN()))),ovrHeaderRow,0))</f>
        <v>48.8</v>
      </c>
      <c r="BY118" s="12">
        <f>INDEX(ovrTable,MATCH(INDEX(oppCol24,ROW()),ovrTeamCol,0),MATCH(MID(INDEX(headerRow,1,COLUMN()),4,LEN(INDEX(headerRow,1,COLUMN()))),ovrHeaderRow,0))</f>
        <v>13.7</v>
      </c>
      <c r="BZ118" s="12">
        <f>INDEX(ovrTable,MATCH(INDEX(oppCol24,ROW()),ovrTeamCol,0),MATCH(MID(INDEX(headerRow,1,COLUMN()),4,LEN(INDEX(headerRow,1,COLUMN()))),ovrHeaderRow,0))</f>
        <v>72</v>
      </c>
      <c r="CA118" s="12">
        <f>INDEX(ovrTable,MATCH(INDEX(oppCol24,ROW()),ovrTeamCol,0),MATCH(MID(INDEX(headerRow,1,COLUMN()),4,LEN(INDEX(headerRow,1,COLUMN()))),ovrHeaderRow,0))</f>
        <v>24.1</v>
      </c>
      <c r="CB118" s="12">
        <f>INDEX(ovrTable,MATCH(INDEX(oppCol24,ROW()),ovrTeamCol,0),MATCH(MID(INDEX(headerRow,1,COLUMN()),4,LEN(INDEX(headerRow,1,COLUMN()))),ovrHeaderRow,0))</f>
        <v>17.3</v>
      </c>
      <c r="CC118" s="12">
        <f>INDEX(ovrTable,MATCH(INDEX(oppCol24,ROW()),ovrTeamCol,0),MATCH(MID(INDEX(headerRow,1,COLUMN()),4,LEN(INDEX(headerRow,1,COLUMN()))),ovrHeaderRow,0))</f>
        <v>68.900000000000006</v>
      </c>
      <c r="CD118" s="12">
        <f>INDEX(ovrTable,MATCH(INDEX(oppCol24,ROW()),ovrTeamCol,0),MATCH(MID(INDEX(headerRow,1,COLUMN()),4,LEN(INDEX(headerRow,1,COLUMN()))),ovrHeaderRow,0))</f>
        <v>12.21</v>
      </c>
      <c r="CE118" s="12">
        <f>INDEX(ovrTable,MATCH(INDEX(oppCol24,ROW()),ovrTeamCol,0),MATCH(MID(INDEX(headerRow,1,COLUMN()),4,LEN(INDEX(headerRow,1,COLUMN()))),ovrHeaderRow,0))</f>
        <v>82.3</v>
      </c>
      <c r="CF118" s="12">
        <f>INDEX(ovrTable,MATCH(INDEX(oppCol24,ROW()),ovrTeamCol,0),MATCH(MID(INDEX(headerRow,1,COLUMN()),4,LEN(INDEX(headerRow,1,COLUMN()))),ovrHeaderRow,0))</f>
        <v>11.2</v>
      </c>
      <c r="CG118" s="12">
        <f>INDEX(ovrTable,MATCH(INDEX(oppCol24,ROW()),ovrTeamCol,0),MATCH(MID(INDEX(headerRow,1,COLUMN()),4,LEN(INDEX(headerRow,1,COLUMN()))),ovrHeaderRow,0))</f>
        <v>40.44</v>
      </c>
      <c r="CH118" s="12">
        <f>INDEX(ovrTable,MATCH(INDEX(oppCol24,ROW()),ovrTeamCol,0),MATCH(MID(INDEX(headerRow,1,COLUMN()),4,LEN(INDEX(headerRow,1,COLUMN()))),ovrHeaderRow,0))</f>
        <v>13.4</v>
      </c>
      <c r="CI118" s="12">
        <f>INDEX(ovrTable,MATCH(INDEX(oppCol24,ROW()),ovrTeamCol,0),MATCH(MID(INDEX(headerRow,1,COLUMN()),4,LEN(INDEX(headerRow,1,COLUMN()))),ovrHeaderRow,0))</f>
        <v>5.4</v>
      </c>
      <c r="CJ118" s="12">
        <f>INDEX(ovrTable,MATCH(INDEX(oppCol24,ROW()),ovrTeamCol,0),MATCH(MID(INDEX(headerRow,1,COLUMN()),4,LEN(INDEX(headerRow,1,COLUMN()))),ovrHeaderRow,0))</f>
        <v>-1.9</v>
      </c>
      <c r="CK118" s="12">
        <f>INDEX(ovrTable,MATCH(INDEX(oppCol24,ROW()),ovrTeamCol,0),MATCH(MID(INDEX(headerRow,1,COLUMN()),4,LEN(INDEX(headerRow,1,COLUMN()))),ovrHeaderRow,0))</f>
        <v>9.44</v>
      </c>
      <c r="CL118" s="12">
        <f>INDEX(ovrTable,MATCH(INDEX(oppCol24,ROW()),ovrTeamCol,0),MATCH(MID(INDEX(headerRow,1,COLUMN()),4,LEN(INDEX(headerRow,1,COLUMN()))),ovrHeaderRow,0))</f>
        <v>11.3</v>
      </c>
      <c r="CM118" s="12">
        <f>INDEX(ovrTable,MATCH(INDEX(oppCol24,ROW()),ovrTeamCol,0),MATCH(MID(INDEX(headerRow,1,COLUMN()),4,LEN(INDEX(headerRow,1,COLUMN()))),ovrHeaderRow,0))</f>
        <v>70.099999999999994</v>
      </c>
      <c r="CN118" s="12">
        <f>INDEX(ovrTable,MATCH(INDEX(oppCol24,ROW()),ovrTeamCol,0),MATCH(MID(INDEX(headerRow,1,COLUMN()),4,LEN(INDEX(headerRow,1,COLUMN()))),ovrHeaderRow,0))</f>
        <v>20.200000000000003</v>
      </c>
      <c r="CO118" s="12">
        <f>INDEX(ovrTable,MATCH(INDEX(oppCol24,ROW()),ovrTeamCol,0),MATCH(MID(INDEX(headerRow,1,COLUMN()),4,LEN(INDEX(headerRow,1,COLUMN()))),ovrHeaderRow,0))</f>
        <v>58.196721311475414</v>
      </c>
    </row>
    <row r="119" spans="1:93" x14ac:dyDescent="0.3">
      <c r="A119" s="6" t="s">
        <v>54</v>
      </c>
      <c r="B119" s="3">
        <v>1</v>
      </c>
      <c r="C119" s="13" t="s">
        <v>58</v>
      </c>
      <c r="D119" s="14">
        <v>59</v>
      </c>
      <c r="E119" s="23">
        <v>31.578947368421051</v>
      </c>
      <c r="F119" s="24">
        <v>9</v>
      </c>
      <c r="G119" s="23">
        <v>45</v>
      </c>
      <c r="H119" s="24">
        <v>20</v>
      </c>
      <c r="I119" s="25">
        <v>2.6666666666666665</v>
      </c>
      <c r="J119" s="24">
        <v>24</v>
      </c>
      <c r="K119" s="24">
        <v>11</v>
      </c>
      <c r="L119" s="24">
        <v>0</v>
      </c>
      <c r="M119" s="24">
        <v>49.2</v>
      </c>
      <c r="N119" s="24">
        <v>21</v>
      </c>
      <c r="O119" s="26">
        <v>0.651296875</v>
      </c>
      <c r="P119" s="24">
        <v>5</v>
      </c>
      <c r="Q119" s="24">
        <v>57.1</v>
      </c>
      <c r="R119" s="24">
        <v>11</v>
      </c>
      <c r="S119" s="23">
        <v>70</v>
      </c>
      <c r="T119" s="24">
        <v>10</v>
      </c>
      <c r="U119" s="24">
        <v>7</v>
      </c>
      <c r="V119" s="24">
        <v>68</v>
      </c>
      <c r="W119" s="24">
        <v>11</v>
      </c>
      <c r="X119" s="24">
        <v>80</v>
      </c>
      <c r="Y119" s="24">
        <v>7</v>
      </c>
      <c r="Z119" s="24">
        <v>32</v>
      </c>
      <c r="AA119" s="24">
        <v>12</v>
      </c>
      <c r="AB119" s="24">
        <v>3</v>
      </c>
      <c r="AC119" s="24">
        <v>-3</v>
      </c>
      <c r="AD119" s="24">
        <v>6</v>
      </c>
      <c r="AE119" s="24">
        <v>9</v>
      </c>
      <c r="AF119" s="46">
        <f t="shared" si="85"/>
        <v>58.792031523642734</v>
      </c>
      <c r="AG119" s="51">
        <f t="shared" ref="AG119" si="153">AVERAGE(AF118,AF119)</f>
        <v>59.03006047726852</v>
      </c>
      <c r="AH119" s="12">
        <f t="shared" si="144"/>
        <v>31.5</v>
      </c>
      <c r="AI119" s="12">
        <f t="shared" si="144"/>
        <v>8.1999999999999993</v>
      </c>
      <c r="AJ119" s="12">
        <f t="shared" si="144"/>
        <v>40.4</v>
      </c>
      <c r="AK119" s="12">
        <f t="shared" si="144"/>
        <v>20.2</v>
      </c>
      <c r="AL119" s="12">
        <f t="shared" si="144"/>
        <v>1.63</v>
      </c>
      <c r="AM119" s="12">
        <f t="shared" si="144"/>
        <v>18.5</v>
      </c>
      <c r="AN119" s="12">
        <f t="shared" si="144"/>
        <v>16.72</v>
      </c>
      <c r="AO119" s="12">
        <f t="shared" si="144"/>
        <v>3.6</v>
      </c>
      <c r="AP119" s="12">
        <f t="shared" si="144"/>
        <v>41.7</v>
      </c>
      <c r="AQ119" s="12">
        <f t="shared" si="144"/>
        <v>28.23</v>
      </c>
      <c r="AR119" s="12">
        <f t="shared" si="145"/>
        <v>0.55800000000000005</v>
      </c>
      <c r="AS119" s="12">
        <f t="shared" si="145"/>
        <v>7</v>
      </c>
      <c r="AT119" s="12">
        <f t="shared" si="145"/>
        <v>48.8</v>
      </c>
      <c r="AU119" s="12">
        <f t="shared" si="145"/>
        <v>13.7</v>
      </c>
      <c r="AV119" s="12">
        <f t="shared" si="145"/>
        <v>72</v>
      </c>
      <c r="AW119" s="12">
        <f t="shared" si="145"/>
        <v>24.1</v>
      </c>
      <c r="AX119" s="12">
        <f t="shared" si="145"/>
        <v>17.3</v>
      </c>
      <c r="AY119" s="12">
        <f t="shared" si="145"/>
        <v>68.900000000000006</v>
      </c>
      <c r="AZ119" s="12">
        <f t="shared" si="145"/>
        <v>12.21</v>
      </c>
      <c r="BA119" s="12">
        <f t="shared" si="145"/>
        <v>82.3</v>
      </c>
      <c r="BB119" s="12">
        <f t="shared" si="146"/>
        <v>11.2</v>
      </c>
      <c r="BC119" s="12">
        <f t="shared" si="146"/>
        <v>40.44</v>
      </c>
      <c r="BD119" s="12">
        <f t="shared" si="146"/>
        <v>13.4</v>
      </c>
      <c r="BE119" s="12">
        <f t="shared" si="146"/>
        <v>5.4</v>
      </c>
      <c r="BF119" s="12">
        <f t="shared" si="146"/>
        <v>-1.9</v>
      </c>
      <c r="BG119" s="12">
        <f t="shared" si="146"/>
        <v>9.44</v>
      </c>
      <c r="BH119" s="12">
        <f t="shared" si="146"/>
        <v>11.3</v>
      </c>
      <c r="BI119" s="12">
        <f t="shared" si="146"/>
        <v>70.099999999999994</v>
      </c>
      <c r="BJ119" s="12">
        <f t="shared" si="146"/>
        <v>20.200000000000003</v>
      </c>
      <c r="BK119" s="12">
        <f t="shared" si="146"/>
        <v>58.196721311475414</v>
      </c>
      <c r="BL119" s="12">
        <f>INDEX(ovrTable,MATCH(INDEX(oppCol24,ROW()),ovrTeamCol,0),MATCH(MID(INDEX(headerRow,1,COLUMN()),4,LEN(INDEX(headerRow,1,COLUMN()))),ovrHeaderRow,0))</f>
        <v>33.6</v>
      </c>
      <c r="BM119" s="12">
        <f>INDEX(ovrTable,MATCH(INDEX(oppCol24,ROW()),ovrTeamCol,0),MATCH(MID(INDEX(headerRow,1,COLUMN()),4,LEN(INDEX(headerRow,1,COLUMN()))),ovrHeaderRow,0))</f>
        <v>6.9</v>
      </c>
      <c r="BN119" s="12">
        <f>INDEX(ovrTable,MATCH(INDEX(oppCol24,ROW()),ovrTeamCol,0),MATCH(MID(INDEX(headerRow,1,COLUMN()),4,LEN(INDEX(headerRow,1,COLUMN()))),ovrHeaderRow,0))</f>
        <v>36.1</v>
      </c>
      <c r="BO119" s="12">
        <f>INDEX(ovrTable,MATCH(INDEX(oppCol24,ROW()),ovrTeamCol,0),MATCH(MID(INDEX(headerRow,1,COLUMN()),4,LEN(INDEX(headerRow,1,COLUMN()))),ovrHeaderRow,0))</f>
        <v>19.3</v>
      </c>
      <c r="BP119" s="12">
        <f>INDEX(ovrTable,MATCH(INDEX(oppCol24,ROW()),ovrTeamCol,0),MATCH(MID(INDEX(headerRow,1,COLUMN()),4,LEN(INDEX(headerRow,1,COLUMN()))),ovrHeaderRow,0))</f>
        <v>1.71</v>
      </c>
      <c r="BQ119" s="12">
        <f>INDEX(ovrTable,MATCH(INDEX(oppCol24,ROW()),ovrTeamCol,0),MATCH(MID(INDEX(headerRow,1,COLUMN()),4,LEN(INDEX(headerRow,1,COLUMN()))),ovrHeaderRow,0))</f>
        <v>16.7</v>
      </c>
      <c r="BR119" s="12">
        <f>INDEX(ovrTable,MATCH(INDEX(oppCol24,ROW()),ovrTeamCol,0),MATCH(MID(INDEX(headerRow,1,COLUMN()),4,LEN(INDEX(headerRow,1,COLUMN()))),ovrHeaderRow,0))</f>
        <v>18.71</v>
      </c>
      <c r="BS119" s="12">
        <f>INDEX(ovrTable,MATCH(INDEX(oppCol24,ROW()),ovrTeamCol,0),MATCH(MID(INDEX(headerRow,1,COLUMN()),4,LEN(INDEX(headerRow,1,COLUMN()))),ovrHeaderRow,0))</f>
        <v>3.9</v>
      </c>
      <c r="BT119" s="12">
        <f>INDEX(ovrTable,MATCH(INDEX(oppCol24,ROW()),ovrTeamCol,0),MATCH(MID(INDEX(headerRow,1,COLUMN()),4,LEN(INDEX(headerRow,1,COLUMN()))),ovrHeaderRow,0))</f>
        <v>40.700000000000003</v>
      </c>
      <c r="BU119" s="12">
        <f>INDEX(ovrTable,MATCH(INDEX(oppCol24,ROW()),ovrTeamCol,0),MATCH(MID(INDEX(headerRow,1,COLUMN()),4,LEN(INDEX(headerRow,1,COLUMN()))),ovrHeaderRow,0))</f>
        <v>27.89</v>
      </c>
      <c r="BV119" s="12">
        <f>INDEX(ovrTable,MATCH(INDEX(oppCol24,ROW()),ovrTeamCol,0),MATCH(MID(INDEX(headerRow,1,COLUMN()),4,LEN(INDEX(headerRow,1,COLUMN()))),ovrHeaderRow,0))</f>
        <v>0.57399999999999995</v>
      </c>
      <c r="BW119" s="12">
        <f>INDEX(ovrTable,MATCH(INDEX(oppCol24,ROW()),ovrTeamCol,0),MATCH(MID(INDEX(headerRow,1,COLUMN()),4,LEN(INDEX(headerRow,1,COLUMN()))),ovrHeaderRow,0))</f>
        <v>13.91</v>
      </c>
      <c r="BX119" s="12">
        <f>INDEX(ovrTable,MATCH(INDEX(oppCol24,ROW()),ovrTeamCol,0),MATCH(MID(INDEX(headerRow,1,COLUMN()),4,LEN(INDEX(headerRow,1,COLUMN()))),ovrHeaderRow,0))</f>
        <v>51.8</v>
      </c>
      <c r="BY119" s="12">
        <f>INDEX(ovrTable,MATCH(INDEX(oppCol24,ROW()),ovrTeamCol,0),MATCH(MID(INDEX(headerRow,1,COLUMN()),4,LEN(INDEX(headerRow,1,COLUMN()))),ovrHeaderRow,0))</f>
        <v>15.6</v>
      </c>
      <c r="BZ119" s="12">
        <f>INDEX(ovrTable,MATCH(INDEX(oppCol24,ROW()),ovrTeamCol,0),MATCH(MID(INDEX(headerRow,1,COLUMN()),4,LEN(INDEX(headerRow,1,COLUMN()))),ovrHeaderRow,0))</f>
        <v>72.099999999999994</v>
      </c>
      <c r="CA119" s="12">
        <f>INDEX(ovrTable,MATCH(INDEX(oppCol24,ROW()),ovrTeamCol,0),MATCH(MID(INDEX(headerRow,1,COLUMN()),4,LEN(INDEX(headerRow,1,COLUMN()))),ovrHeaderRow,0))</f>
        <v>18.899999999999999</v>
      </c>
      <c r="CB119" s="12">
        <f>INDEX(ovrTable,MATCH(INDEX(oppCol24,ROW()),ovrTeamCol,0),MATCH(MID(INDEX(headerRow,1,COLUMN()),4,LEN(INDEX(headerRow,1,COLUMN()))),ovrHeaderRow,0))</f>
        <v>13.6</v>
      </c>
      <c r="CC119" s="12">
        <f>INDEX(ovrTable,MATCH(INDEX(oppCol24,ROW()),ovrTeamCol,0),MATCH(MID(INDEX(headerRow,1,COLUMN()),4,LEN(INDEX(headerRow,1,COLUMN()))),ovrHeaderRow,0))</f>
        <v>69.099999999999994</v>
      </c>
      <c r="CD119" s="12">
        <f>INDEX(ovrTable,MATCH(INDEX(oppCol24,ROW()),ovrTeamCol,0),MATCH(MID(INDEX(headerRow,1,COLUMN()),4,LEN(INDEX(headerRow,1,COLUMN()))),ovrHeaderRow,0))</f>
        <v>10.83</v>
      </c>
      <c r="CE119" s="12">
        <f>INDEX(ovrTable,MATCH(INDEX(oppCol24,ROW()),ovrTeamCol,0),MATCH(MID(INDEX(headerRow,1,COLUMN()),4,LEN(INDEX(headerRow,1,COLUMN()))),ovrHeaderRow,0))</f>
        <v>84.5</v>
      </c>
      <c r="CF119" s="12">
        <f>INDEX(ovrTable,MATCH(INDEX(oppCol24,ROW()),ovrTeamCol,0),MATCH(MID(INDEX(headerRow,1,COLUMN()),4,LEN(INDEX(headerRow,1,COLUMN()))),ovrHeaderRow,0))</f>
        <v>7</v>
      </c>
      <c r="CG119" s="12">
        <f>INDEX(ovrTable,MATCH(INDEX(oppCol24,ROW()),ovrTeamCol,0),MATCH(MID(INDEX(headerRow,1,COLUMN()),4,LEN(INDEX(headerRow,1,COLUMN()))),ovrHeaderRow,0))</f>
        <v>38.71</v>
      </c>
      <c r="CH119" s="12">
        <f>INDEX(ovrTable,MATCH(INDEX(oppCol24,ROW()),ovrTeamCol,0),MATCH(MID(INDEX(headerRow,1,COLUMN()),4,LEN(INDEX(headerRow,1,COLUMN()))),ovrHeaderRow,0))</f>
        <v>15.4</v>
      </c>
      <c r="CI119" s="12">
        <f>INDEX(ovrTable,MATCH(INDEX(oppCol24,ROW()),ovrTeamCol,0),MATCH(MID(INDEX(headerRow,1,COLUMN()),4,LEN(INDEX(headerRow,1,COLUMN()))),ovrHeaderRow,0))</f>
        <v>6.7</v>
      </c>
      <c r="CJ119" s="12">
        <f>INDEX(ovrTable,MATCH(INDEX(oppCol24,ROW()),ovrTeamCol,0),MATCH(MID(INDEX(headerRow,1,COLUMN()),4,LEN(INDEX(headerRow,1,COLUMN()))),ovrHeaderRow,0))</f>
        <v>1.4</v>
      </c>
      <c r="CK119" s="12">
        <f>INDEX(ovrTable,MATCH(INDEX(oppCol24,ROW()),ovrTeamCol,0),MATCH(MID(INDEX(headerRow,1,COLUMN()),4,LEN(INDEX(headerRow,1,COLUMN()))),ovrHeaderRow,0))</f>
        <v>11.2</v>
      </c>
      <c r="CL119" s="12">
        <f>INDEX(ovrTable,MATCH(INDEX(oppCol24,ROW()),ovrTeamCol,0),MATCH(MID(INDEX(headerRow,1,COLUMN()),4,LEN(INDEX(headerRow,1,COLUMN()))),ovrHeaderRow,0))</f>
        <v>9.8000000000000007</v>
      </c>
      <c r="CM119" s="12">
        <f>INDEX(ovrTable,MATCH(INDEX(oppCol24,ROW()),ovrTeamCol,0),MATCH(MID(INDEX(headerRow,1,COLUMN()),4,LEN(INDEX(headerRow,1,COLUMN()))),ovrHeaderRow,0))</f>
        <v>70.7</v>
      </c>
      <c r="CN119" s="12">
        <f>INDEX(ovrTable,MATCH(INDEX(oppCol24,ROW()),ovrTeamCol,0),MATCH(MID(INDEX(headerRow,1,COLUMN()),4,LEN(INDEX(headerRow,1,COLUMN()))),ovrHeaderRow,0))</f>
        <v>25.1</v>
      </c>
      <c r="CO119" s="12">
        <f>INDEX(ovrTable,MATCH(INDEX(oppCol24,ROW()),ovrTeamCol,0),MATCH(MID(INDEX(headerRow,1,COLUMN()),4,LEN(INDEX(headerRow,1,COLUMN()))),ovrHeaderRow,0))</f>
        <v>61.776061776061781</v>
      </c>
    </row>
    <row r="120" spans="1:93" x14ac:dyDescent="0.3">
      <c r="A120" s="6" t="s">
        <v>56</v>
      </c>
      <c r="B120" s="3">
        <v>3</v>
      </c>
      <c r="C120" s="13" t="s">
        <v>55</v>
      </c>
      <c r="D120" s="14">
        <v>60</v>
      </c>
      <c r="E120" s="23">
        <v>45.833333333333329</v>
      </c>
      <c r="F120" s="24">
        <v>11</v>
      </c>
      <c r="G120" s="23">
        <v>47.826086956521742</v>
      </c>
      <c r="H120" s="24">
        <v>23</v>
      </c>
      <c r="I120" s="25">
        <v>1.4444444444444444</v>
      </c>
      <c r="J120" s="24">
        <v>13</v>
      </c>
      <c r="K120" s="24">
        <v>4</v>
      </c>
      <c r="L120" s="24">
        <v>2</v>
      </c>
      <c r="M120" s="24">
        <v>41.8</v>
      </c>
      <c r="N120" s="24">
        <v>27</v>
      </c>
      <c r="O120" s="26">
        <v>0.54276923076923067</v>
      </c>
      <c r="P120" s="24">
        <v>5</v>
      </c>
      <c r="Q120" s="24">
        <v>44.8</v>
      </c>
      <c r="R120" s="24">
        <v>17</v>
      </c>
      <c r="S120" s="23">
        <v>92.307692307692307</v>
      </c>
      <c r="T120" s="24">
        <v>13</v>
      </c>
      <c r="U120" s="24">
        <v>12</v>
      </c>
      <c r="V120" s="24">
        <v>82</v>
      </c>
      <c r="W120" s="24">
        <v>7</v>
      </c>
      <c r="X120" s="24">
        <v>75</v>
      </c>
      <c r="Y120" s="24">
        <v>-2</v>
      </c>
      <c r="Z120" s="24">
        <v>34</v>
      </c>
      <c r="AA120" s="24">
        <v>-7</v>
      </c>
      <c r="AB120" s="24">
        <v>1</v>
      </c>
      <c r="AC120" s="24">
        <v>-5</v>
      </c>
      <c r="AD120" s="24">
        <v>4</v>
      </c>
      <c r="AE120" s="24">
        <v>9</v>
      </c>
      <c r="AF120" s="46">
        <f t="shared" si="85"/>
        <v>66.210714285714289</v>
      </c>
      <c r="AG120" s="51">
        <f t="shared" ref="AG120" si="154">AVERAGE(AF120,AF121)</f>
        <v>66.873180109364313</v>
      </c>
      <c r="AH120" s="12">
        <f t="shared" si="144"/>
        <v>32.299999999999997</v>
      </c>
      <c r="AI120" s="12">
        <f t="shared" si="144"/>
        <v>10.7</v>
      </c>
      <c r="AJ120" s="12">
        <f t="shared" si="144"/>
        <v>36.799999999999997</v>
      </c>
      <c r="AK120" s="12">
        <f t="shared" si="144"/>
        <v>29.1</v>
      </c>
      <c r="AL120" s="12">
        <f t="shared" si="144"/>
        <v>1.58</v>
      </c>
      <c r="AM120" s="12">
        <f t="shared" si="144"/>
        <v>16.8</v>
      </c>
      <c r="AN120" s="12">
        <f t="shared" si="144"/>
        <v>10.49</v>
      </c>
      <c r="AO120" s="12">
        <f t="shared" si="144"/>
        <v>4.0999999999999996</v>
      </c>
      <c r="AP120" s="12">
        <f t="shared" si="144"/>
        <v>41.8</v>
      </c>
      <c r="AQ120" s="12">
        <f t="shared" si="144"/>
        <v>29.71</v>
      </c>
      <c r="AR120" s="12">
        <f t="shared" si="145"/>
        <v>0.57299999999999995</v>
      </c>
      <c r="AS120" s="12">
        <f t="shared" si="145"/>
        <v>9.69</v>
      </c>
      <c r="AT120" s="12">
        <f t="shared" si="145"/>
        <v>48.4</v>
      </c>
      <c r="AU120" s="12">
        <f t="shared" si="145"/>
        <v>11.5</v>
      </c>
      <c r="AV120" s="12">
        <f t="shared" si="145"/>
        <v>78.8</v>
      </c>
      <c r="AW120" s="12">
        <f t="shared" si="145"/>
        <v>14.8</v>
      </c>
      <c r="AX120" s="12">
        <f t="shared" si="145"/>
        <v>11.7</v>
      </c>
      <c r="AY120" s="12">
        <f t="shared" si="145"/>
        <v>69.900000000000006</v>
      </c>
      <c r="AZ120" s="12">
        <f t="shared" si="145"/>
        <v>8.4</v>
      </c>
      <c r="BA120" s="12">
        <f t="shared" si="145"/>
        <v>80.400000000000006</v>
      </c>
      <c r="BB120" s="12">
        <f t="shared" si="146"/>
        <v>4.5</v>
      </c>
      <c r="BC120" s="12">
        <f t="shared" si="146"/>
        <v>38.11</v>
      </c>
      <c r="BD120" s="12">
        <f t="shared" si="146"/>
        <v>10.5</v>
      </c>
      <c r="BE120" s="12">
        <f t="shared" si="146"/>
        <v>3.8</v>
      </c>
      <c r="BF120" s="12">
        <f t="shared" si="146"/>
        <v>-3</v>
      </c>
      <c r="BG120" s="12">
        <f t="shared" si="146"/>
        <v>7.6</v>
      </c>
      <c r="BH120" s="12">
        <f t="shared" si="146"/>
        <v>10.6</v>
      </c>
      <c r="BI120" s="12">
        <f t="shared" si="146"/>
        <v>70.5</v>
      </c>
      <c r="BJ120" s="12">
        <f t="shared" si="146"/>
        <v>18.300000000000004</v>
      </c>
      <c r="BK120" s="12">
        <f t="shared" si="146"/>
        <v>59.91735537190084</v>
      </c>
      <c r="BL120" s="12">
        <f>INDEX(ovrTable,MATCH(INDEX(oppCol24,ROW()),ovrTeamCol,0),MATCH(MID(INDEX(headerRow,1,COLUMN()),4,LEN(INDEX(headerRow,1,COLUMN()))),ovrHeaderRow,0))</f>
        <v>31.2</v>
      </c>
      <c r="BM120" s="12">
        <f>INDEX(ovrTable,MATCH(INDEX(oppCol24,ROW()),ovrTeamCol,0),MATCH(MID(INDEX(headerRow,1,COLUMN()),4,LEN(INDEX(headerRow,1,COLUMN()))),ovrHeaderRow,0))</f>
        <v>8.8000000000000007</v>
      </c>
      <c r="BN120" s="12">
        <f>INDEX(ovrTable,MATCH(INDEX(oppCol24,ROW()),ovrTeamCol,0),MATCH(MID(INDEX(headerRow,1,COLUMN()),4,LEN(INDEX(headerRow,1,COLUMN()))),ovrHeaderRow,0))</f>
        <v>34.4</v>
      </c>
      <c r="BO120" s="12">
        <f>INDEX(ovrTable,MATCH(INDEX(oppCol24,ROW()),ovrTeamCol,0),MATCH(MID(INDEX(headerRow,1,COLUMN()),4,LEN(INDEX(headerRow,1,COLUMN()))),ovrHeaderRow,0))</f>
        <v>25.4</v>
      </c>
      <c r="BP120" s="12">
        <f>INDEX(ovrTable,MATCH(INDEX(oppCol24,ROW()),ovrTeamCol,0),MATCH(MID(INDEX(headerRow,1,COLUMN()),4,LEN(INDEX(headerRow,1,COLUMN()))),ovrHeaderRow,0))</f>
        <v>1.63</v>
      </c>
      <c r="BQ120" s="12">
        <f>INDEX(ovrTable,MATCH(INDEX(oppCol24,ROW()),ovrTeamCol,0),MATCH(MID(INDEX(headerRow,1,COLUMN()),4,LEN(INDEX(headerRow,1,COLUMN()))),ovrHeaderRow,0))</f>
        <v>16.7</v>
      </c>
      <c r="BR120" s="12">
        <f>INDEX(ovrTable,MATCH(INDEX(oppCol24,ROW()),ovrTeamCol,0),MATCH(MID(INDEX(headerRow,1,COLUMN()),4,LEN(INDEX(headerRow,1,COLUMN()))),ovrHeaderRow,0))</f>
        <v>18.86</v>
      </c>
      <c r="BS120" s="12">
        <f>INDEX(ovrTable,MATCH(INDEX(oppCol24,ROW()),ovrTeamCol,0),MATCH(MID(INDEX(headerRow,1,COLUMN()),4,LEN(INDEX(headerRow,1,COLUMN()))),ovrHeaderRow,0))</f>
        <v>4.5999999999999996</v>
      </c>
      <c r="BT120" s="12">
        <f>INDEX(ovrTable,MATCH(INDEX(oppCol24,ROW()),ovrTeamCol,0),MATCH(MID(INDEX(headerRow,1,COLUMN()),4,LEN(INDEX(headerRow,1,COLUMN()))),ovrHeaderRow,0))</f>
        <v>38.9</v>
      </c>
      <c r="BU120" s="12">
        <f>INDEX(ovrTable,MATCH(INDEX(oppCol24,ROW()),ovrTeamCol,0),MATCH(MID(INDEX(headerRow,1,COLUMN()),4,LEN(INDEX(headerRow,1,COLUMN()))),ovrHeaderRow,0))</f>
        <v>27.06</v>
      </c>
      <c r="BV120" s="12">
        <f>INDEX(ovrTable,MATCH(INDEX(oppCol24,ROW()),ovrTeamCol,0),MATCH(MID(INDEX(headerRow,1,COLUMN()),4,LEN(INDEX(headerRow,1,COLUMN()))),ovrHeaderRow,0))</f>
        <v>0.51100000000000001</v>
      </c>
      <c r="BW120" s="12">
        <f>INDEX(ovrTable,MATCH(INDEX(oppCol24,ROW()),ovrTeamCol,0),MATCH(MID(INDEX(headerRow,1,COLUMN()),4,LEN(INDEX(headerRow,1,COLUMN()))),ovrHeaderRow,0))</f>
        <v>12.19</v>
      </c>
      <c r="BX120" s="12">
        <f>INDEX(ovrTable,MATCH(INDEX(oppCol24,ROW()),ovrTeamCol,0),MATCH(MID(INDEX(headerRow,1,COLUMN()),4,LEN(INDEX(headerRow,1,COLUMN()))),ovrHeaderRow,0))</f>
        <v>44</v>
      </c>
      <c r="BY120" s="12">
        <f>INDEX(ovrTable,MATCH(INDEX(oppCol24,ROW()),ovrTeamCol,0),MATCH(MID(INDEX(headerRow,1,COLUMN()),4,LEN(INDEX(headerRow,1,COLUMN()))),ovrHeaderRow,0))</f>
        <v>17.5</v>
      </c>
      <c r="BZ120" s="12">
        <f>INDEX(ovrTable,MATCH(INDEX(oppCol24,ROW()),ovrTeamCol,0),MATCH(MID(INDEX(headerRow,1,COLUMN()),4,LEN(INDEX(headerRow,1,COLUMN()))),ovrHeaderRow,0))</f>
        <v>75.099999999999994</v>
      </c>
      <c r="CA120" s="12">
        <f>INDEX(ovrTable,MATCH(INDEX(oppCol24,ROW()),ovrTeamCol,0),MATCH(MID(INDEX(headerRow,1,COLUMN()),4,LEN(INDEX(headerRow,1,COLUMN()))),ovrHeaderRow,0))</f>
        <v>20.8</v>
      </c>
      <c r="CB120" s="12">
        <f>INDEX(ovrTable,MATCH(INDEX(oppCol24,ROW()),ovrTeamCol,0),MATCH(MID(INDEX(headerRow,1,COLUMN()),4,LEN(INDEX(headerRow,1,COLUMN()))),ovrHeaderRow,0))</f>
        <v>15.6</v>
      </c>
      <c r="CC120" s="12">
        <f>INDEX(ovrTable,MATCH(INDEX(oppCol24,ROW()),ovrTeamCol,0),MATCH(MID(INDEX(headerRow,1,COLUMN()),4,LEN(INDEX(headerRow,1,COLUMN()))),ovrHeaderRow,0))</f>
        <v>67.400000000000006</v>
      </c>
      <c r="CD120" s="12">
        <f>INDEX(ovrTable,MATCH(INDEX(oppCol24,ROW()),ovrTeamCol,0),MATCH(MID(INDEX(headerRow,1,COLUMN()),4,LEN(INDEX(headerRow,1,COLUMN()))),ovrHeaderRow,0))</f>
        <v>11.64</v>
      </c>
      <c r="CE120" s="12">
        <f>INDEX(ovrTable,MATCH(INDEX(oppCol24,ROW()),ovrTeamCol,0),MATCH(MID(INDEX(headerRow,1,COLUMN()),4,LEN(INDEX(headerRow,1,COLUMN()))),ovrHeaderRow,0))</f>
        <v>78.8</v>
      </c>
      <c r="CF120" s="12">
        <f>INDEX(ovrTable,MATCH(INDEX(oppCol24,ROW()),ovrTeamCol,0),MATCH(MID(INDEX(headerRow,1,COLUMN()),4,LEN(INDEX(headerRow,1,COLUMN()))),ovrHeaderRow,0))</f>
        <v>3.6</v>
      </c>
      <c r="CG120" s="12">
        <f>INDEX(ovrTable,MATCH(INDEX(oppCol24,ROW()),ovrTeamCol,0),MATCH(MID(INDEX(headerRow,1,COLUMN()),4,LEN(INDEX(headerRow,1,COLUMN()))),ovrHeaderRow,0))</f>
        <v>38.69</v>
      </c>
      <c r="CH120" s="12">
        <f>INDEX(ovrTable,MATCH(INDEX(oppCol24,ROW()),ovrTeamCol,0),MATCH(MID(INDEX(headerRow,1,COLUMN()),4,LEN(INDEX(headerRow,1,COLUMN()))),ovrHeaderRow,0))</f>
        <v>11.4</v>
      </c>
      <c r="CI120" s="12">
        <f>INDEX(ovrTable,MATCH(INDEX(oppCol24,ROW()),ovrTeamCol,0),MATCH(MID(INDEX(headerRow,1,COLUMN()),4,LEN(INDEX(headerRow,1,COLUMN()))),ovrHeaderRow,0))</f>
        <v>7.8</v>
      </c>
      <c r="CJ120" s="12">
        <f>INDEX(ovrTable,MATCH(INDEX(oppCol24,ROW()),ovrTeamCol,0),MATCH(MID(INDEX(headerRow,1,COLUMN()),4,LEN(INDEX(headerRow,1,COLUMN()))),ovrHeaderRow,0))</f>
        <v>2.8</v>
      </c>
      <c r="CK120" s="12">
        <f>INDEX(ovrTable,MATCH(INDEX(oppCol24,ROW()),ovrTeamCol,0),MATCH(MID(INDEX(headerRow,1,COLUMN()),4,LEN(INDEX(headerRow,1,COLUMN()))),ovrHeaderRow,0))</f>
        <v>13.03</v>
      </c>
      <c r="CL120" s="12">
        <f>INDEX(ovrTable,MATCH(INDEX(oppCol24,ROW()),ovrTeamCol,0),MATCH(MID(INDEX(headerRow,1,COLUMN()),4,LEN(INDEX(headerRow,1,COLUMN()))),ovrHeaderRow,0))</f>
        <v>10.199999999999999</v>
      </c>
      <c r="CM120" s="12">
        <f>INDEX(ovrTable,MATCH(INDEX(oppCol24,ROW()),ovrTeamCol,0),MATCH(MID(INDEX(headerRow,1,COLUMN()),4,LEN(INDEX(headerRow,1,COLUMN()))),ovrHeaderRow,0))</f>
        <v>71.599999999999994</v>
      </c>
      <c r="CN120" s="12">
        <f>INDEX(ovrTable,MATCH(INDEX(oppCol24,ROW()),ovrTeamCol,0),MATCH(MID(INDEX(headerRow,1,COLUMN()),4,LEN(INDEX(headerRow,1,COLUMN()))),ovrHeaderRow,0))</f>
        <v>18.399999999999999</v>
      </c>
      <c r="CO120" s="12">
        <f>INDEX(ovrTable,MATCH(INDEX(oppCol24,ROW()),ovrTeamCol,0),MATCH(MID(INDEX(headerRow,1,COLUMN()),4,LEN(INDEX(headerRow,1,COLUMN()))),ovrHeaderRow,0))</f>
        <v>61.81818181818182</v>
      </c>
    </row>
    <row r="121" spans="1:93" x14ac:dyDescent="0.3">
      <c r="A121" s="6" t="s">
        <v>55</v>
      </c>
      <c r="B121" s="3">
        <v>2</v>
      </c>
      <c r="C121" s="13" t="s">
        <v>56</v>
      </c>
      <c r="D121" s="14">
        <v>60</v>
      </c>
      <c r="E121" s="23">
        <v>47.826086956521742</v>
      </c>
      <c r="F121" s="24">
        <v>11</v>
      </c>
      <c r="G121" s="23">
        <v>45.833333333333329</v>
      </c>
      <c r="H121" s="24">
        <v>24</v>
      </c>
      <c r="I121" s="25">
        <v>4</v>
      </c>
      <c r="J121" s="24">
        <v>16</v>
      </c>
      <c r="K121" s="24">
        <v>15</v>
      </c>
      <c r="L121" s="24">
        <v>5</v>
      </c>
      <c r="M121" s="24">
        <v>44.8</v>
      </c>
      <c r="N121" s="24">
        <v>24</v>
      </c>
      <c r="O121" s="26">
        <v>0.50010714285714286</v>
      </c>
      <c r="P121" s="24">
        <v>18</v>
      </c>
      <c r="Q121" s="24">
        <v>41.8</v>
      </c>
      <c r="R121" s="24">
        <v>14</v>
      </c>
      <c r="S121" s="23">
        <v>83.333333333333343</v>
      </c>
      <c r="T121" s="24">
        <v>18</v>
      </c>
      <c r="U121" s="24">
        <v>15</v>
      </c>
      <c r="V121" s="24">
        <v>75</v>
      </c>
      <c r="W121" s="24">
        <v>12</v>
      </c>
      <c r="X121" s="24">
        <v>82</v>
      </c>
      <c r="Y121" s="24">
        <v>2</v>
      </c>
      <c r="Z121" s="24">
        <v>36</v>
      </c>
      <c r="AA121" s="24">
        <v>7</v>
      </c>
      <c r="AB121" s="24">
        <v>5</v>
      </c>
      <c r="AC121" s="24">
        <v>5</v>
      </c>
      <c r="AD121" s="24">
        <v>9</v>
      </c>
      <c r="AE121" s="24">
        <v>4</v>
      </c>
      <c r="AF121" s="46">
        <f t="shared" si="85"/>
        <v>67.535645933014351</v>
      </c>
      <c r="AG121" s="51">
        <f t="shared" ref="AG121" si="155">AVERAGE(AF120,AF121)</f>
        <v>66.873180109364313</v>
      </c>
      <c r="AH121" s="12">
        <f t="shared" si="144"/>
        <v>31.2</v>
      </c>
      <c r="AI121" s="12">
        <f t="shared" si="144"/>
        <v>8.8000000000000007</v>
      </c>
      <c r="AJ121" s="12">
        <f t="shared" si="144"/>
        <v>34.4</v>
      </c>
      <c r="AK121" s="12">
        <f t="shared" si="144"/>
        <v>25.4</v>
      </c>
      <c r="AL121" s="12">
        <f t="shared" si="144"/>
        <v>1.63</v>
      </c>
      <c r="AM121" s="12">
        <f t="shared" si="144"/>
        <v>16.7</v>
      </c>
      <c r="AN121" s="12">
        <f t="shared" si="144"/>
        <v>18.86</v>
      </c>
      <c r="AO121" s="12">
        <f t="shared" si="144"/>
        <v>4.5999999999999996</v>
      </c>
      <c r="AP121" s="12">
        <f t="shared" si="144"/>
        <v>38.9</v>
      </c>
      <c r="AQ121" s="12">
        <f t="shared" si="144"/>
        <v>27.06</v>
      </c>
      <c r="AR121" s="12">
        <f t="shared" si="145"/>
        <v>0.51100000000000001</v>
      </c>
      <c r="AS121" s="12">
        <f t="shared" si="145"/>
        <v>12.19</v>
      </c>
      <c r="AT121" s="12">
        <f t="shared" si="145"/>
        <v>44</v>
      </c>
      <c r="AU121" s="12">
        <f t="shared" si="145"/>
        <v>17.5</v>
      </c>
      <c r="AV121" s="12">
        <f t="shared" si="145"/>
        <v>75.099999999999994</v>
      </c>
      <c r="AW121" s="12">
        <f t="shared" si="145"/>
        <v>20.8</v>
      </c>
      <c r="AX121" s="12">
        <f t="shared" si="145"/>
        <v>15.6</v>
      </c>
      <c r="AY121" s="12">
        <f t="shared" si="145"/>
        <v>67.400000000000006</v>
      </c>
      <c r="AZ121" s="12">
        <f t="shared" si="145"/>
        <v>11.64</v>
      </c>
      <c r="BA121" s="12">
        <f t="shared" si="145"/>
        <v>78.8</v>
      </c>
      <c r="BB121" s="12">
        <f t="shared" si="146"/>
        <v>3.6</v>
      </c>
      <c r="BC121" s="12">
        <f t="shared" si="146"/>
        <v>38.69</v>
      </c>
      <c r="BD121" s="12">
        <f t="shared" si="146"/>
        <v>11.4</v>
      </c>
      <c r="BE121" s="12">
        <f t="shared" si="146"/>
        <v>7.8</v>
      </c>
      <c r="BF121" s="12">
        <f t="shared" si="146"/>
        <v>2.8</v>
      </c>
      <c r="BG121" s="12">
        <f t="shared" si="146"/>
        <v>13.03</v>
      </c>
      <c r="BH121" s="12">
        <f t="shared" si="146"/>
        <v>10.199999999999999</v>
      </c>
      <c r="BI121" s="12">
        <f t="shared" si="146"/>
        <v>71.599999999999994</v>
      </c>
      <c r="BJ121" s="12">
        <f t="shared" si="146"/>
        <v>18.399999999999999</v>
      </c>
      <c r="BK121" s="12">
        <f t="shared" si="146"/>
        <v>61.81818181818182</v>
      </c>
      <c r="BL121" s="12">
        <f>INDEX(ovrTable,MATCH(INDEX(oppCol24,ROW()),ovrTeamCol,0),MATCH(MID(INDEX(headerRow,1,COLUMN()),4,LEN(INDEX(headerRow,1,COLUMN()))),ovrHeaderRow,0))</f>
        <v>32.299999999999997</v>
      </c>
      <c r="BM121" s="12">
        <f>INDEX(ovrTable,MATCH(INDEX(oppCol24,ROW()),ovrTeamCol,0),MATCH(MID(INDEX(headerRow,1,COLUMN()),4,LEN(INDEX(headerRow,1,COLUMN()))),ovrHeaderRow,0))</f>
        <v>10.7</v>
      </c>
      <c r="BN121" s="12">
        <f>INDEX(ovrTable,MATCH(INDEX(oppCol24,ROW()),ovrTeamCol,0),MATCH(MID(INDEX(headerRow,1,COLUMN()),4,LEN(INDEX(headerRow,1,COLUMN()))),ovrHeaderRow,0))</f>
        <v>36.799999999999997</v>
      </c>
      <c r="BO121" s="12">
        <f>INDEX(ovrTable,MATCH(INDEX(oppCol24,ROW()),ovrTeamCol,0),MATCH(MID(INDEX(headerRow,1,COLUMN()),4,LEN(INDEX(headerRow,1,COLUMN()))),ovrHeaderRow,0))</f>
        <v>29.1</v>
      </c>
      <c r="BP121" s="12">
        <f>INDEX(ovrTable,MATCH(INDEX(oppCol24,ROW()),ovrTeamCol,0),MATCH(MID(INDEX(headerRow,1,COLUMN()),4,LEN(INDEX(headerRow,1,COLUMN()))),ovrHeaderRow,0))</f>
        <v>1.58</v>
      </c>
      <c r="BQ121" s="12">
        <f>INDEX(ovrTable,MATCH(INDEX(oppCol24,ROW()),ovrTeamCol,0),MATCH(MID(INDEX(headerRow,1,COLUMN()),4,LEN(INDEX(headerRow,1,COLUMN()))),ovrHeaderRow,0))</f>
        <v>16.8</v>
      </c>
      <c r="BR121" s="12">
        <f>INDEX(ovrTable,MATCH(INDEX(oppCol24,ROW()),ovrTeamCol,0),MATCH(MID(INDEX(headerRow,1,COLUMN()),4,LEN(INDEX(headerRow,1,COLUMN()))),ovrHeaderRow,0))</f>
        <v>10.49</v>
      </c>
      <c r="BS121" s="12">
        <f>INDEX(ovrTable,MATCH(INDEX(oppCol24,ROW()),ovrTeamCol,0),MATCH(MID(INDEX(headerRow,1,COLUMN()),4,LEN(INDEX(headerRow,1,COLUMN()))),ovrHeaderRow,0))</f>
        <v>4.0999999999999996</v>
      </c>
      <c r="BT121" s="12">
        <f>INDEX(ovrTable,MATCH(INDEX(oppCol24,ROW()),ovrTeamCol,0),MATCH(MID(INDEX(headerRow,1,COLUMN()),4,LEN(INDEX(headerRow,1,COLUMN()))),ovrHeaderRow,0))</f>
        <v>41.8</v>
      </c>
      <c r="BU121" s="12">
        <f>INDEX(ovrTable,MATCH(INDEX(oppCol24,ROW()),ovrTeamCol,0),MATCH(MID(INDEX(headerRow,1,COLUMN()),4,LEN(INDEX(headerRow,1,COLUMN()))),ovrHeaderRow,0))</f>
        <v>29.71</v>
      </c>
      <c r="BV121" s="12">
        <f>INDEX(ovrTable,MATCH(INDEX(oppCol24,ROW()),ovrTeamCol,0),MATCH(MID(INDEX(headerRow,1,COLUMN()),4,LEN(INDEX(headerRow,1,COLUMN()))),ovrHeaderRow,0))</f>
        <v>0.57299999999999995</v>
      </c>
      <c r="BW121" s="12">
        <f>INDEX(ovrTable,MATCH(INDEX(oppCol24,ROW()),ovrTeamCol,0),MATCH(MID(INDEX(headerRow,1,COLUMN()),4,LEN(INDEX(headerRow,1,COLUMN()))),ovrHeaderRow,0))</f>
        <v>9.69</v>
      </c>
      <c r="BX121" s="12">
        <f>INDEX(ovrTable,MATCH(INDEX(oppCol24,ROW()),ovrTeamCol,0),MATCH(MID(INDEX(headerRow,1,COLUMN()),4,LEN(INDEX(headerRow,1,COLUMN()))),ovrHeaderRow,0))</f>
        <v>48.4</v>
      </c>
      <c r="BY121" s="12">
        <f>INDEX(ovrTable,MATCH(INDEX(oppCol24,ROW()),ovrTeamCol,0),MATCH(MID(INDEX(headerRow,1,COLUMN()),4,LEN(INDEX(headerRow,1,COLUMN()))),ovrHeaderRow,0))</f>
        <v>11.5</v>
      </c>
      <c r="BZ121" s="12">
        <f>INDEX(ovrTable,MATCH(INDEX(oppCol24,ROW()),ovrTeamCol,0),MATCH(MID(INDEX(headerRow,1,COLUMN()),4,LEN(INDEX(headerRow,1,COLUMN()))),ovrHeaderRow,0))</f>
        <v>78.8</v>
      </c>
      <c r="CA121" s="12">
        <f>INDEX(ovrTable,MATCH(INDEX(oppCol24,ROW()),ovrTeamCol,0),MATCH(MID(INDEX(headerRow,1,COLUMN()),4,LEN(INDEX(headerRow,1,COLUMN()))),ovrHeaderRow,0))</f>
        <v>14.8</v>
      </c>
      <c r="CB121" s="12">
        <f>INDEX(ovrTable,MATCH(INDEX(oppCol24,ROW()),ovrTeamCol,0),MATCH(MID(INDEX(headerRow,1,COLUMN()),4,LEN(INDEX(headerRow,1,COLUMN()))),ovrHeaderRow,0))</f>
        <v>11.7</v>
      </c>
      <c r="CC121" s="12">
        <f>INDEX(ovrTable,MATCH(INDEX(oppCol24,ROW()),ovrTeamCol,0),MATCH(MID(INDEX(headerRow,1,COLUMN()),4,LEN(INDEX(headerRow,1,COLUMN()))),ovrHeaderRow,0))</f>
        <v>69.900000000000006</v>
      </c>
      <c r="CD121" s="12">
        <f>INDEX(ovrTable,MATCH(INDEX(oppCol24,ROW()),ovrTeamCol,0),MATCH(MID(INDEX(headerRow,1,COLUMN()),4,LEN(INDEX(headerRow,1,COLUMN()))),ovrHeaderRow,0))</f>
        <v>8.4</v>
      </c>
      <c r="CE121" s="12">
        <f>INDEX(ovrTable,MATCH(INDEX(oppCol24,ROW()),ovrTeamCol,0),MATCH(MID(INDEX(headerRow,1,COLUMN()),4,LEN(INDEX(headerRow,1,COLUMN()))),ovrHeaderRow,0))</f>
        <v>80.400000000000006</v>
      </c>
      <c r="CF121" s="12">
        <f>INDEX(ovrTable,MATCH(INDEX(oppCol24,ROW()),ovrTeamCol,0),MATCH(MID(INDEX(headerRow,1,COLUMN()),4,LEN(INDEX(headerRow,1,COLUMN()))),ovrHeaderRow,0))</f>
        <v>4.5</v>
      </c>
      <c r="CG121" s="12">
        <f>INDEX(ovrTable,MATCH(INDEX(oppCol24,ROW()),ovrTeamCol,0),MATCH(MID(INDEX(headerRow,1,COLUMN()),4,LEN(INDEX(headerRow,1,COLUMN()))),ovrHeaderRow,0))</f>
        <v>38.11</v>
      </c>
      <c r="CH121" s="12">
        <f>INDEX(ovrTable,MATCH(INDEX(oppCol24,ROW()),ovrTeamCol,0),MATCH(MID(INDEX(headerRow,1,COLUMN()),4,LEN(INDEX(headerRow,1,COLUMN()))),ovrHeaderRow,0))</f>
        <v>10.5</v>
      </c>
      <c r="CI121" s="12">
        <f>INDEX(ovrTable,MATCH(INDEX(oppCol24,ROW()),ovrTeamCol,0),MATCH(MID(INDEX(headerRow,1,COLUMN()),4,LEN(INDEX(headerRow,1,COLUMN()))),ovrHeaderRow,0))</f>
        <v>3.8</v>
      </c>
      <c r="CJ121" s="12">
        <f>INDEX(ovrTable,MATCH(INDEX(oppCol24,ROW()),ovrTeamCol,0),MATCH(MID(INDEX(headerRow,1,COLUMN()),4,LEN(INDEX(headerRow,1,COLUMN()))),ovrHeaderRow,0))</f>
        <v>-3</v>
      </c>
      <c r="CK121" s="12">
        <f>INDEX(ovrTable,MATCH(INDEX(oppCol24,ROW()),ovrTeamCol,0),MATCH(MID(INDEX(headerRow,1,COLUMN()),4,LEN(INDEX(headerRow,1,COLUMN()))),ovrHeaderRow,0))</f>
        <v>7.6</v>
      </c>
      <c r="CL121" s="12">
        <f>INDEX(ovrTable,MATCH(INDEX(oppCol24,ROW()),ovrTeamCol,0),MATCH(MID(INDEX(headerRow,1,COLUMN()),4,LEN(INDEX(headerRow,1,COLUMN()))),ovrHeaderRow,0))</f>
        <v>10.6</v>
      </c>
      <c r="CM121" s="12">
        <f>INDEX(ovrTable,MATCH(INDEX(oppCol24,ROW()),ovrTeamCol,0),MATCH(MID(INDEX(headerRow,1,COLUMN()),4,LEN(INDEX(headerRow,1,COLUMN()))),ovrHeaderRow,0))</f>
        <v>70.5</v>
      </c>
      <c r="CN121" s="12">
        <f>INDEX(ovrTable,MATCH(INDEX(oppCol24,ROW()),ovrTeamCol,0),MATCH(MID(INDEX(headerRow,1,COLUMN()),4,LEN(INDEX(headerRow,1,COLUMN()))),ovrHeaderRow,0))</f>
        <v>18.300000000000004</v>
      </c>
      <c r="CO121" s="12">
        <f>INDEX(ovrTable,MATCH(INDEX(oppCol24,ROW()),ovrTeamCol,0),MATCH(MID(INDEX(headerRow,1,COLUMN()),4,LEN(INDEX(headerRow,1,COLUMN()))),ovrHeaderRow,0))</f>
        <v>59.91735537190084</v>
      </c>
    </row>
    <row r="122" spans="1:93" x14ac:dyDescent="0.3">
      <c r="A122" s="6" t="s">
        <v>4</v>
      </c>
      <c r="B122" s="3">
        <v>3</v>
      </c>
      <c r="C122" s="13" t="s">
        <v>2</v>
      </c>
      <c r="D122" s="14">
        <v>61</v>
      </c>
      <c r="E122" s="23">
        <v>17.647058823529413</v>
      </c>
      <c r="F122" s="24">
        <v>6</v>
      </c>
      <c r="G122" s="23">
        <v>26.086956521739129</v>
      </c>
      <c r="H122" s="24">
        <v>23</v>
      </c>
      <c r="I122" s="25">
        <v>1</v>
      </c>
      <c r="J122" s="24">
        <v>7</v>
      </c>
      <c r="K122" s="24">
        <v>15</v>
      </c>
      <c r="L122" s="24">
        <v>4</v>
      </c>
      <c r="M122" s="24">
        <v>51.7</v>
      </c>
      <c r="N122" s="24">
        <v>22</v>
      </c>
      <c r="O122" s="26">
        <v>0.29882352941176471</v>
      </c>
      <c r="P122" s="24">
        <v>8</v>
      </c>
      <c r="Q122" s="24">
        <v>25.4</v>
      </c>
      <c r="R122" s="24">
        <v>15</v>
      </c>
      <c r="S122" s="23">
        <v>70.588235294117652</v>
      </c>
      <c r="T122" s="24">
        <v>17</v>
      </c>
      <c r="U122" s="24">
        <v>12</v>
      </c>
      <c r="V122" s="24">
        <v>77</v>
      </c>
      <c r="W122" s="24">
        <v>14</v>
      </c>
      <c r="X122" s="24">
        <v>52</v>
      </c>
      <c r="Y122" s="24">
        <v>-9</v>
      </c>
      <c r="Z122" s="24">
        <v>36</v>
      </c>
      <c r="AA122" s="24">
        <v>-25</v>
      </c>
      <c r="AB122" s="24">
        <v>3</v>
      </c>
      <c r="AC122" s="24">
        <v>2</v>
      </c>
      <c r="AD122" s="24">
        <v>9</v>
      </c>
      <c r="AE122" s="24">
        <v>7</v>
      </c>
      <c r="AF122" s="46">
        <f t="shared" si="85"/>
        <v>68.004133858267721</v>
      </c>
      <c r="AG122" s="51">
        <f t="shared" ref="AG122" si="156">AVERAGE(AF122,AF123)</f>
        <v>68.520224569365965</v>
      </c>
      <c r="AH122" s="12">
        <f t="shared" ref="AH122:AQ135" si="157">INDEX(ovrTable,MATCH(INDEX(teamCol,ROW()),ovrTeamCol,0),MATCH(MID(INDEX(headerRow,1,COLUMN()),4,LEN(INDEX(headerRow,1,COLUMN()))),ovrHeaderRow,0))</f>
        <v>34.1</v>
      </c>
      <c r="AI122" s="12">
        <f t="shared" si="157"/>
        <v>8.3000000000000007</v>
      </c>
      <c r="AJ122" s="12">
        <f t="shared" si="157"/>
        <v>34.9</v>
      </c>
      <c r="AK122" s="12">
        <f t="shared" si="157"/>
        <v>23.9</v>
      </c>
      <c r="AL122" s="12">
        <f t="shared" si="157"/>
        <v>1.26</v>
      </c>
      <c r="AM122" s="12">
        <f t="shared" si="157"/>
        <v>13.3</v>
      </c>
      <c r="AN122" s="12">
        <f t="shared" si="157"/>
        <v>19.18</v>
      </c>
      <c r="AO122" s="12">
        <f t="shared" si="157"/>
        <v>3.8</v>
      </c>
      <c r="AP122" s="12">
        <f t="shared" si="157"/>
        <v>43.2</v>
      </c>
      <c r="AQ122" s="12">
        <f t="shared" si="157"/>
        <v>28.11</v>
      </c>
      <c r="AR122" s="12">
        <f t="shared" ref="AR122:BA135" si="158">INDEX(ovrTable,MATCH(INDEX(teamCol,ROW()),ovrTeamCol,0),MATCH(MID(INDEX(headerRow,1,COLUMN()),4,LEN(INDEX(headerRow,1,COLUMN()))),ovrHeaderRow,0))</f>
        <v>0.53600000000000003</v>
      </c>
      <c r="AS122" s="12">
        <f t="shared" si="158"/>
        <v>11.47</v>
      </c>
      <c r="AT122" s="12">
        <f t="shared" si="158"/>
        <v>46.9</v>
      </c>
      <c r="AU122" s="12">
        <f t="shared" si="158"/>
        <v>15.2</v>
      </c>
      <c r="AV122" s="12">
        <f t="shared" si="158"/>
        <v>73.599999999999994</v>
      </c>
      <c r="AW122" s="12">
        <f t="shared" si="158"/>
        <v>23</v>
      </c>
      <c r="AX122" s="12">
        <f t="shared" si="158"/>
        <v>16.899999999999999</v>
      </c>
      <c r="AY122" s="12">
        <f t="shared" si="158"/>
        <v>73.3</v>
      </c>
      <c r="AZ122" s="12">
        <f t="shared" si="158"/>
        <v>12.79</v>
      </c>
      <c r="BA122" s="12">
        <f t="shared" si="158"/>
        <v>83.4</v>
      </c>
      <c r="BB122" s="12">
        <f t="shared" ref="BB122:BK135" si="159">INDEX(ovrTable,MATCH(INDEX(teamCol,ROW()),ovrTeamCol,0),MATCH(MID(INDEX(headerRow,1,COLUMN()),4,LEN(INDEX(headerRow,1,COLUMN()))),ovrHeaderRow,0))</f>
        <v>7.8</v>
      </c>
      <c r="BC122" s="12">
        <f t="shared" si="159"/>
        <v>40.89</v>
      </c>
      <c r="BD122" s="12">
        <f t="shared" si="159"/>
        <v>10</v>
      </c>
      <c r="BE122" s="12">
        <f t="shared" si="159"/>
        <v>4.4000000000000004</v>
      </c>
      <c r="BF122" s="12">
        <f t="shared" si="159"/>
        <v>-1.8</v>
      </c>
      <c r="BG122" s="12">
        <f t="shared" si="159"/>
        <v>8.7100000000000009</v>
      </c>
      <c r="BH122" s="12">
        <f t="shared" si="159"/>
        <v>10.6</v>
      </c>
      <c r="BI122" s="12">
        <f t="shared" si="159"/>
        <v>72.3</v>
      </c>
      <c r="BJ122" s="12">
        <f t="shared" si="159"/>
        <v>20.799999999999997</v>
      </c>
      <c r="BK122" s="12">
        <f t="shared" si="159"/>
        <v>62.046908315565034</v>
      </c>
      <c r="BL122" s="12">
        <f>INDEX(ovrTable,MATCH(INDEX(oppCol24,ROW()),ovrTeamCol,0),MATCH(MID(INDEX(headerRow,1,COLUMN()),4,LEN(INDEX(headerRow,1,COLUMN()))),ovrHeaderRow,0))</f>
        <v>31.2</v>
      </c>
      <c r="BM122" s="12">
        <f>INDEX(ovrTable,MATCH(INDEX(oppCol24,ROW()),ovrTeamCol,0),MATCH(MID(INDEX(headerRow,1,COLUMN()),4,LEN(INDEX(headerRow,1,COLUMN()))),ovrHeaderRow,0))</f>
        <v>8.5</v>
      </c>
      <c r="BN122" s="12">
        <f>INDEX(ovrTable,MATCH(INDEX(oppCol24,ROW()),ovrTeamCol,0),MATCH(MID(INDEX(headerRow,1,COLUMN()),4,LEN(INDEX(headerRow,1,COLUMN()))),ovrHeaderRow,0))</f>
        <v>35.799999999999997</v>
      </c>
      <c r="BO122" s="12">
        <f>INDEX(ovrTable,MATCH(INDEX(oppCol24,ROW()),ovrTeamCol,0),MATCH(MID(INDEX(headerRow,1,COLUMN()),4,LEN(INDEX(headerRow,1,COLUMN()))),ovrHeaderRow,0))</f>
        <v>23.8</v>
      </c>
      <c r="BP122" s="12">
        <f>INDEX(ovrTable,MATCH(INDEX(oppCol24,ROW()),ovrTeamCol,0),MATCH(MID(INDEX(headerRow,1,COLUMN()),4,LEN(INDEX(headerRow,1,COLUMN()))),ovrHeaderRow,0))</f>
        <v>1.95</v>
      </c>
      <c r="BQ122" s="12">
        <f>INDEX(ovrTable,MATCH(INDEX(oppCol24,ROW()),ovrTeamCol,0),MATCH(MID(INDEX(headerRow,1,COLUMN()),4,LEN(INDEX(headerRow,1,COLUMN()))),ovrHeaderRow,0))</f>
        <v>18.7</v>
      </c>
      <c r="BR122" s="12">
        <f>INDEX(ovrTable,MATCH(INDEX(oppCol24,ROW()),ovrTeamCol,0),MATCH(MID(INDEX(headerRow,1,COLUMN()),4,LEN(INDEX(headerRow,1,COLUMN()))),ovrHeaderRow,0))</f>
        <v>16.149999999999999</v>
      </c>
      <c r="BS122" s="12">
        <f>INDEX(ovrTable,MATCH(INDEX(oppCol24,ROW()),ovrTeamCol,0),MATCH(MID(INDEX(headerRow,1,COLUMN()),4,LEN(INDEX(headerRow,1,COLUMN()))),ovrHeaderRow,0))</f>
        <v>5.4</v>
      </c>
      <c r="BT122" s="12">
        <f>INDEX(ovrTable,MATCH(INDEX(oppCol24,ROW()),ovrTeamCol,0),MATCH(MID(INDEX(headerRow,1,COLUMN()),4,LEN(INDEX(headerRow,1,COLUMN()))),ovrHeaderRow,0))</f>
        <v>39.200000000000003</v>
      </c>
      <c r="BU122" s="12">
        <f>INDEX(ovrTable,MATCH(INDEX(oppCol24,ROW()),ovrTeamCol,0),MATCH(MID(INDEX(headerRow,1,COLUMN()),4,LEN(INDEX(headerRow,1,COLUMN()))),ovrHeaderRow,0))</f>
        <v>27.1</v>
      </c>
      <c r="BV122" s="12">
        <f>INDEX(ovrTable,MATCH(INDEX(oppCol24,ROW()),ovrTeamCol,0),MATCH(MID(INDEX(headerRow,1,COLUMN()),4,LEN(INDEX(headerRow,1,COLUMN()))),ovrHeaderRow,0))</f>
        <v>0.56899999999999995</v>
      </c>
      <c r="BW122" s="12">
        <f>INDEX(ovrTable,MATCH(INDEX(oppCol24,ROW()),ovrTeamCol,0),MATCH(MID(INDEX(headerRow,1,COLUMN()),4,LEN(INDEX(headerRow,1,COLUMN()))),ovrHeaderRow,0))</f>
        <v>11.95</v>
      </c>
      <c r="BX122" s="12">
        <f>INDEX(ovrTable,MATCH(INDEX(oppCol24,ROW()),ovrTeamCol,0),MATCH(MID(INDEX(headerRow,1,COLUMN()),4,LEN(INDEX(headerRow,1,COLUMN()))),ovrHeaderRow,0))</f>
        <v>49.7</v>
      </c>
      <c r="BY122" s="12">
        <f>INDEX(ovrTable,MATCH(INDEX(oppCol24,ROW()),ovrTeamCol,0),MATCH(MID(INDEX(headerRow,1,COLUMN()),4,LEN(INDEX(headerRow,1,COLUMN()))),ovrHeaderRow,0))</f>
        <v>16.3</v>
      </c>
      <c r="BZ122" s="12">
        <f>INDEX(ovrTable,MATCH(INDEX(oppCol24,ROW()),ovrTeamCol,0),MATCH(MID(INDEX(headerRow,1,COLUMN()),4,LEN(INDEX(headerRow,1,COLUMN()))),ovrHeaderRow,0))</f>
        <v>74.3</v>
      </c>
      <c r="CA122" s="12">
        <f>INDEX(ovrTable,MATCH(INDEX(oppCol24,ROW()),ovrTeamCol,0),MATCH(MID(INDEX(headerRow,1,COLUMN()),4,LEN(INDEX(headerRow,1,COLUMN()))),ovrHeaderRow,0))</f>
        <v>18.899999999999999</v>
      </c>
      <c r="CB122" s="12">
        <f>INDEX(ovrTable,MATCH(INDEX(oppCol24,ROW()),ovrTeamCol,0),MATCH(MID(INDEX(headerRow,1,COLUMN()),4,LEN(INDEX(headerRow,1,COLUMN()))),ovrHeaderRow,0))</f>
        <v>14.1</v>
      </c>
      <c r="CC122" s="12">
        <f>INDEX(ovrTable,MATCH(INDEX(oppCol24,ROW()),ovrTeamCol,0),MATCH(MID(INDEX(headerRow,1,COLUMN()),4,LEN(INDEX(headerRow,1,COLUMN()))),ovrHeaderRow,0))</f>
        <v>63.4</v>
      </c>
      <c r="CD122" s="12">
        <f>INDEX(ovrTable,MATCH(INDEX(oppCol24,ROW()),ovrTeamCol,0),MATCH(MID(INDEX(headerRow,1,COLUMN()),4,LEN(INDEX(headerRow,1,COLUMN()))),ovrHeaderRow,0))</f>
        <v>11.73</v>
      </c>
      <c r="CE122" s="12">
        <f>INDEX(ovrTable,MATCH(INDEX(oppCol24,ROW()),ovrTeamCol,0),MATCH(MID(INDEX(headerRow,1,COLUMN()),4,LEN(INDEX(headerRow,1,COLUMN()))),ovrHeaderRow,0))</f>
        <v>81.400000000000006</v>
      </c>
      <c r="CF122" s="12">
        <f>INDEX(ovrTable,MATCH(INDEX(oppCol24,ROW()),ovrTeamCol,0),MATCH(MID(INDEX(headerRow,1,COLUMN()),4,LEN(INDEX(headerRow,1,COLUMN()))),ovrHeaderRow,0))</f>
        <v>8.6999999999999993</v>
      </c>
      <c r="CG122" s="12">
        <f>INDEX(ovrTable,MATCH(INDEX(oppCol24,ROW()),ovrTeamCol,0),MATCH(MID(INDEX(headerRow,1,COLUMN()),4,LEN(INDEX(headerRow,1,COLUMN()))),ovrHeaderRow,0))</f>
        <v>38.83</v>
      </c>
      <c r="CH122" s="12">
        <f>INDEX(ovrTable,MATCH(INDEX(oppCol24,ROW()),ovrTeamCol,0),MATCH(MID(INDEX(headerRow,1,COLUMN()),4,LEN(INDEX(headerRow,1,COLUMN()))),ovrHeaderRow,0))</f>
        <v>18</v>
      </c>
      <c r="CI122" s="12">
        <f>INDEX(ovrTable,MATCH(INDEX(oppCol24,ROW()),ovrTeamCol,0),MATCH(MID(INDEX(headerRow,1,COLUMN()),4,LEN(INDEX(headerRow,1,COLUMN()))),ovrHeaderRow,0))</f>
        <v>6.2</v>
      </c>
      <c r="CJ122" s="12">
        <f>INDEX(ovrTable,MATCH(INDEX(oppCol24,ROW()),ovrTeamCol,0),MATCH(MID(INDEX(headerRow,1,COLUMN()),4,LEN(INDEX(headerRow,1,COLUMN()))),ovrHeaderRow,0))</f>
        <v>1</v>
      </c>
      <c r="CK122" s="12">
        <f>INDEX(ovrTable,MATCH(INDEX(oppCol24,ROW()),ovrTeamCol,0),MATCH(MID(INDEX(headerRow,1,COLUMN()),4,LEN(INDEX(headerRow,1,COLUMN()))),ovrHeaderRow,0))</f>
        <v>10.55</v>
      </c>
      <c r="CL122" s="12">
        <f>INDEX(ovrTable,MATCH(INDEX(oppCol24,ROW()),ovrTeamCol,0),MATCH(MID(INDEX(headerRow,1,COLUMN()),4,LEN(INDEX(headerRow,1,COLUMN()))),ovrHeaderRow,0))</f>
        <v>9.6</v>
      </c>
      <c r="CM122" s="12">
        <f>INDEX(ovrTable,MATCH(INDEX(oppCol24,ROW()),ovrTeamCol,0),MATCH(MID(INDEX(headerRow,1,COLUMN()),4,LEN(INDEX(headerRow,1,COLUMN()))),ovrHeaderRow,0))</f>
        <v>67.900000000000006</v>
      </c>
      <c r="CN122" s="12">
        <f>INDEX(ovrTable,MATCH(INDEX(oppCol24,ROW()),ovrTeamCol,0),MATCH(MID(INDEX(headerRow,1,COLUMN()),4,LEN(INDEX(headerRow,1,COLUMN()))),ovrHeaderRow,0))</f>
        <v>20.900000000000006</v>
      </c>
      <c r="CO122" s="12">
        <f>INDEX(ovrTable,MATCH(INDEX(oppCol24,ROW()),ovrTeamCol,0),MATCH(MID(INDEX(headerRow,1,COLUMN()),4,LEN(INDEX(headerRow,1,COLUMN()))),ovrHeaderRow,0))</f>
        <v>59.154929577464792</v>
      </c>
    </row>
    <row r="123" spans="1:93" x14ac:dyDescent="0.3">
      <c r="A123" s="6" t="s">
        <v>2</v>
      </c>
      <c r="B123" s="3">
        <v>1</v>
      </c>
      <c r="C123" s="13" t="s">
        <v>4</v>
      </c>
      <c r="D123" s="14">
        <v>61</v>
      </c>
      <c r="E123" s="23">
        <v>26.086956521739129</v>
      </c>
      <c r="F123" s="24">
        <v>3</v>
      </c>
      <c r="G123" s="23">
        <v>17.647058823529413</v>
      </c>
      <c r="H123" s="24">
        <v>17</v>
      </c>
      <c r="I123" s="25">
        <v>2.3333333333333335</v>
      </c>
      <c r="J123" s="24">
        <v>21</v>
      </c>
      <c r="K123" s="24">
        <v>14</v>
      </c>
      <c r="L123" s="24">
        <v>10</v>
      </c>
      <c r="M123" s="24">
        <v>25.4</v>
      </c>
      <c r="N123" s="24">
        <v>37</v>
      </c>
      <c r="O123" s="26">
        <v>0.54201612903225804</v>
      </c>
      <c r="P123" s="24">
        <v>13</v>
      </c>
      <c r="Q123" s="24">
        <v>51.7</v>
      </c>
      <c r="R123" s="24">
        <v>17</v>
      </c>
      <c r="S123" s="23">
        <v>70.588235294117652</v>
      </c>
      <c r="T123" s="24">
        <v>17</v>
      </c>
      <c r="U123" s="24">
        <v>12</v>
      </c>
      <c r="V123" s="24">
        <v>52</v>
      </c>
      <c r="W123" s="24">
        <v>8</v>
      </c>
      <c r="X123" s="24">
        <v>77</v>
      </c>
      <c r="Y123" s="24">
        <v>9</v>
      </c>
      <c r="Z123" s="24">
        <v>45</v>
      </c>
      <c r="AA123" s="24">
        <v>25</v>
      </c>
      <c r="AB123" s="24">
        <v>5</v>
      </c>
      <c r="AC123" s="24">
        <v>-2</v>
      </c>
      <c r="AD123" s="24">
        <v>7</v>
      </c>
      <c r="AE123" s="24">
        <v>9</v>
      </c>
      <c r="AF123" s="46">
        <f t="shared" si="85"/>
        <v>69.036315280464208</v>
      </c>
      <c r="AG123" s="51">
        <f t="shared" ref="AG123" si="160">AVERAGE(AF122,AF123)</f>
        <v>68.520224569365965</v>
      </c>
      <c r="AH123" s="12">
        <f t="shared" si="157"/>
        <v>31.2</v>
      </c>
      <c r="AI123" s="12">
        <f t="shared" si="157"/>
        <v>8.5</v>
      </c>
      <c r="AJ123" s="12">
        <f t="shared" si="157"/>
        <v>35.799999999999997</v>
      </c>
      <c r="AK123" s="12">
        <f t="shared" si="157"/>
        <v>23.8</v>
      </c>
      <c r="AL123" s="12">
        <f t="shared" si="157"/>
        <v>1.95</v>
      </c>
      <c r="AM123" s="12">
        <f t="shared" si="157"/>
        <v>18.7</v>
      </c>
      <c r="AN123" s="12">
        <f t="shared" si="157"/>
        <v>16.149999999999999</v>
      </c>
      <c r="AO123" s="12">
        <f t="shared" si="157"/>
        <v>5.4</v>
      </c>
      <c r="AP123" s="12">
        <f t="shared" si="157"/>
        <v>39.200000000000003</v>
      </c>
      <c r="AQ123" s="12">
        <f t="shared" si="157"/>
        <v>27.1</v>
      </c>
      <c r="AR123" s="12">
        <f t="shared" si="158"/>
        <v>0.56899999999999995</v>
      </c>
      <c r="AS123" s="12">
        <f t="shared" si="158"/>
        <v>11.95</v>
      </c>
      <c r="AT123" s="12">
        <f t="shared" si="158"/>
        <v>49.7</v>
      </c>
      <c r="AU123" s="12">
        <f t="shared" si="158"/>
        <v>16.3</v>
      </c>
      <c r="AV123" s="12">
        <f t="shared" si="158"/>
        <v>74.3</v>
      </c>
      <c r="AW123" s="12">
        <f t="shared" si="158"/>
        <v>18.899999999999999</v>
      </c>
      <c r="AX123" s="12">
        <f t="shared" si="158"/>
        <v>14.1</v>
      </c>
      <c r="AY123" s="12">
        <f t="shared" si="158"/>
        <v>63.4</v>
      </c>
      <c r="AZ123" s="12">
        <f t="shared" si="158"/>
        <v>11.73</v>
      </c>
      <c r="BA123" s="12">
        <f t="shared" si="158"/>
        <v>81.400000000000006</v>
      </c>
      <c r="BB123" s="12">
        <f t="shared" si="159"/>
        <v>8.6999999999999993</v>
      </c>
      <c r="BC123" s="12">
        <f t="shared" si="159"/>
        <v>38.83</v>
      </c>
      <c r="BD123" s="12">
        <f t="shared" si="159"/>
        <v>18</v>
      </c>
      <c r="BE123" s="12">
        <f t="shared" si="159"/>
        <v>6.2</v>
      </c>
      <c r="BF123" s="12">
        <f t="shared" si="159"/>
        <v>1</v>
      </c>
      <c r="BG123" s="12">
        <f t="shared" si="159"/>
        <v>10.55</v>
      </c>
      <c r="BH123" s="12">
        <f t="shared" si="159"/>
        <v>9.6</v>
      </c>
      <c r="BI123" s="12">
        <f t="shared" si="159"/>
        <v>67.900000000000006</v>
      </c>
      <c r="BJ123" s="12">
        <f t="shared" si="159"/>
        <v>20.900000000000006</v>
      </c>
      <c r="BK123" s="12">
        <f t="shared" si="159"/>
        <v>59.154929577464792</v>
      </c>
      <c r="BL123" s="12">
        <f>INDEX(ovrTable,MATCH(INDEX(oppCol24,ROW()),ovrTeamCol,0),MATCH(MID(INDEX(headerRow,1,COLUMN()),4,LEN(INDEX(headerRow,1,COLUMN()))),ovrHeaderRow,0))</f>
        <v>34.1</v>
      </c>
      <c r="BM123" s="12">
        <f>INDEX(ovrTable,MATCH(INDEX(oppCol24,ROW()),ovrTeamCol,0),MATCH(MID(INDEX(headerRow,1,COLUMN()),4,LEN(INDEX(headerRow,1,COLUMN()))),ovrHeaderRow,0))</f>
        <v>8.3000000000000007</v>
      </c>
      <c r="BN123" s="12">
        <f>INDEX(ovrTable,MATCH(INDEX(oppCol24,ROW()),ovrTeamCol,0),MATCH(MID(INDEX(headerRow,1,COLUMN()),4,LEN(INDEX(headerRow,1,COLUMN()))),ovrHeaderRow,0))</f>
        <v>34.9</v>
      </c>
      <c r="BO123" s="12">
        <f>INDEX(ovrTable,MATCH(INDEX(oppCol24,ROW()),ovrTeamCol,0),MATCH(MID(INDEX(headerRow,1,COLUMN()),4,LEN(INDEX(headerRow,1,COLUMN()))),ovrHeaderRow,0))</f>
        <v>23.9</v>
      </c>
      <c r="BP123" s="12">
        <f>INDEX(ovrTable,MATCH(INDEX(oppCol24,ROW()),ovrTeamCol,0),MATCH(MID(INDEX(headerRow,1,COLUMN()),4,LEN(INDEX(headerRow,1,COLUMN()))),ovrHeaderRow,0))</f>
        <v>1.26</v>
      </c>
      <c r="BQ123" s="12">
        <f>INDEX(ovrTable,MATCH(INDEX(oppCol24,ROW()),ovrTeamCol,0),MATCH(MID(INDEX(headerRow,1,COLUMN()),4,LEN(INDEX(headerRow,1,COLUMN()))),ovrHeaderRow,0))</f>
        <v>13.3</v>
      </c>
      <c r="BR123" s="12">
        <f>INDEX(ovrTable,MATCH(INDEX(oppCol24,ROW()),ovrTeamCol,0),MATCH(MID(INDEX(headerRow,1,COLUMN()),4,LEN(INDEX(headerRow,1,COLUMN()))),ovrHeaderRow,0))</f>
        <v>19.18</v>
      </c>
      <c r="BS123" s="12">
        <f>INDEX(ovrTable,MATCH(INDEX(oppCol24,ROW()),ovrTeamCol,0),MATCH(MID(INDEX(headerRow,1,COLUMN()),4,LEN(INDEX(headerRow,1,COLUMN()))),ovrHeaderRow,0))</f>
        <v>3.8</v>
      </c>
      <c r="BT123" s="12">
        <f>INDEX(ovrTable,MATCH(INDEX(oppCol24,ROW()),ovrTeamCol,0),MATCH(MID(INDEX(headerRow,1,COLUMN()),4,LEN(INDEX(headerRow,1,COLUMN()))),ovrHeaderRow,0))</f>
        <v>43.2</v>
      </c>
      <c r="BU123" s="12">
        <f>INDEX(ovrTable,MATCH(INDEX(oppCol24,ROW()),ovrTeamCol,0),MATCH(MID(INDEX(headerRow,1,COLUMN()),4,LEN(INDEX(headerRow,1,COLUMN()))),ovrHeaderRow,0))</f>
        <v>28.11</v>
      </c>
      <c r="BV123" s="12">
        <f>INDEX(ovrTable,MATCH(INDEX(oppCol24,ROW()),ovrTeamCol,0),MATCH(MID(INDEX(headerRow,1,COLUMN()),4,LEN(INDEX(headerRow,1,COLUMN()))),ovrHeaderRow,0))</f>
        <v>0.53600000000000003</v>
      </c>
      <c r="BW123" s="12">
        <f>INDEX(ovrTable,MATCH(INDEX(oppCol24,ROW()),ovrTeamCol,0),MATCH(MID(INDEX(headerRow,1,COLUMN()),4,LEN(INDEX(headerRow,1,COLUMN()))),ovrHeaderRow,0))</f>
        <v>11.47</v>
      </c>
      <c r="BX123" s="12">
        <f>INDEX(ovrTable,MATCH(INDEX(oppCol24,ROW()),ovrTeamCol,0),MATCH(MID(INDEX(headerRow,1,COLUMN()),4,LEN(INDEX(headerRow,1,COLUMN()))),ovrHeaderRow,0))</f>
        <v>46.9</v>
      </c>
      <c r="BY123" s="12">
        <f>INDEX(ovrTable,MATCH(INDEX(oppCol24,ROW()),ovrTeamCol,0),MATCH(MID(INDEX(headerRow,1,COLUMN()),4,LEN(INDEX(headerRow,1,COLUMN()))),ovrHeaderRow,0))</f>
        <v>15.2</v>
      </c>
      <c r="BZ123" s="12">
        <f>INDEX(ovrTable,MATCH(INDEX(oppCol24,ROW()),ovrTeamCol,0),MATCH(MID(INDEX(headerRow,1,COLUMN()),4,LEN(INDEX(headerRow,1,COLUMN()))),ovrHeaderRow,0))</f>
        <v>73.599999999999994</v>
      </c>
      <c r="CA123" s="12">
        <f>INDEX(ovrTable,MATCH(INDEX(oppCol24,ROW()),ovrTeamCol,0),MATCH(MID(INDEX(headerRow,1,COLUMN()),4,LEN(INDEX(headerRow,1,COLUMN()))),ovrHeaderRow,0))</f>
        <v>23</v>
      </c>
      <c r="CB123" s="12">
        <f>INDEX(ovrTable,MATCH(INDEX(oppCol24,ROW()),ovrTeamCol,0),MATCH(MID(INDEX(headerRow,1,COLUMN()),4,LEN(INDEX(headerRow,1,COLUMN()))),ovrHeaderRow,0))</f>
        <v>16.899999999999999</v>
      </c>
      <c r="CC123" s="12">
        <f>INDEX(ovrTable,MATCH(INDEX(oppCol24,ROW()),ovrTeamCol,0),MATCH(MID(INDEX(headerRow,1,COLUMN()),4,LEN(INDEX(headerRow,1,COLUMN()))),ovrHeaderRow,0))</f>
        <v>73.3</v>
      </c>
      <c r="CD123" s="12">
        <f>INDEX(ovrTable,MATCH(INDEX(oppCol24,ROW()),ovrTeamCol,0),MATCH(MID(INDEX(headerRow,1,COLUMN()),4,LEN(INDEX(headerRow,1,COLUMN()))),ovrHeaderRow,0))</f>
        <v>12.79</v>
      </c>
      <c r="CE123" s="12">
        <f>INDEX(ovrTable,MATCH(INDEX(oppCol24,ROW()),ovrTeamCol,0),MATCH(MID(INDEX(headerRow,1,COLUMN()),4,LEN(INDEX(headerRow,1,COLUMN()))),ovrHeaderRow,0))</f>
        <v>83.4</v>
      </c>
      <c r="CF123" s="12">
        <f>INDEX(ovrTable,MATCH(INDEX(oppCol24,ROW()),ovrTeamCol,0),MATCH(MID(INDEX(headerRow,1,COLUMN()),4,LEN(INDEX(headerRow,1,COLUMN()))),ovrHeaderRow,0))</f>
        <v>7.8</v>
      </c>
      <c r="CG123" s="12">
        <f>INDEX(ovrTable,MATCH(INDEX(oppCol24,ROW()),ovrTeamCol,0),MATCH(MID(INDEX(headerRow,1,COLUMN()),4,LEN(INDEX(headerRow,1,COLUMN()))),ovrHeaderRow,0))</f>
        <v>40.89</v>
      </c>
      <c r="CH123" s="12">
        <f>INDEX(ovrTable,MATCH(INDEX(oppCol24,ROW()),ovrTeamCol,0),MATCH(MID(INDEX(headerRow,1,COLUMN()),4,LEN(INDEX(headerRow,1,COLUMN()))),ovrHeaderRow,0))</f>
        <v>10</v>
      </c>
      <c r="CI123" s="12">
        <f>INDEX(ovrTable,MATCH(INDEX(oppCol24,ROW()),ovrTeamCol,0),MATCH(MID(INDEX(headerRow,1,COLUMN()),4,LEN(INDEX(headerRow,1,COLUMN()))),ovrHeaderRow,0))</f>
        <v>4.4000000000000004</v>
      </c>
      <c r="CJ123" s="12">
        <f>INDEX(ovrTable,MATCH(INDEX(oppCol24,ROW()),ovrTeamCol,0),MATCH(MID(INDEX(headerRow,1,COLUMN()),4,LEN(INDEX(headerRow,1,COLUMN()))),ovrHeaderRow,0))</f>
        <v>-1.8</v>
      </c>
      <c r="CK123" s="12">
        <f>INDEX(ovrTable,MATCH(INDEX(oppCol24,ROW()),ovrTeamCol,0),MATCH(MID(INDEX(headerRow,1,COLUMN()),4,LEN(INDEX(headerRow,1,COLUMN()))),ovrHeaderRow,0))</f>
        <v>8.7100000000000009</v>
      </c>
      <c r="CL123" s="12">
        <f>INDEX(ovrTable,MATCH(INDEX(oppCol24,ROW()),ovrTeamCol,0),MATCH(MID(INDEX(headerRow,1,COLUMN()),4,LEN(INDEX(headerRow,1,COLUMN()))),ovrHeaderRow,0))</f>
        <v>10.6</v>
      </c>
      <c r="CM123" s="12">
        <f>INDEX(ovrTable,MATCH(INDEX(oppCol24,ROW()),ovrTeamCol,0),MATCH(MID(INDEX(headerRow,1,COLUMN()),4,LEN(INDEX(headerRow,1,COLUMN()))),ovrHeaderRow,0))</f>
        <v>72.3</v>
      </c>
      <c r="CN123" s="12">
        <f>INDEX(ovrTable,MATCH(INDEX(oppCol24,ROW()),ovrTeamCol,0),MATCH(MID(INDEX(headerRow,1,COLUMN()),4,LEN(INDEX(headerRow,1,COLUMN()))),ovrHeaderRow,0))</f>
        <v>20.799999999999997</v>
      </c>
      <c r="CO123" s="12">
        <f>INDEX(ovrTable,MATCH(INDEX(oppCol24,ROW()),ovrTeamCol,0),MATCH(MID(INDEX(headerRow,1,COLUMN()),4,LEN(INDEX(headerRow,1,COLUMN()))),ovrHeaderRow,0))</f>
        <v>62.046908315565034</v>
      </c>
    </row>
    <row r="124" spans="1:93" x14ac:dyDescent="0.3">
      <c r="A124" s="6" t="s">
        <v>23</v>
      </c>
      <c r="B124" s="3">
        <v>6</v>
      </c>
      <c r="C124" s="13" t="s">
        <v>21</v>
      </c>
      <c r="D124" s="14">
        <v>62</v>
      </c>
      <c r="E124" s="23">
        <v>44.444444444444443</v>
      </c>
      <c r="F124" s="24">
        <v>8</v>
      </c>
      <c r="G124" s="23">
        <v>30.76923076923077</v>
      </c>
      <c r="H124" s="24">
        <v>26</v>
      </c>
      <c r="I124" s="25">
        <v>1.875</v>
      </c>
      <c r="J124" s="24">
        <v>15</v>
      </c>
      <c r="K124" s="24">
        <v>12</v>
      </c>
      <c r="L124" s="24">
        <v>2</v>
      </c>
      <c r="M124" s="24">
        <v>46.8</v>
      </c>
      <c r="N124" s="24">
        <v>21</v>
      </c>
      <c r="O124" s="26">
        <v>0.53593939393939394</v>
      </c>
      <c r="P124" s="24">
        <v>5</v>
      </c>
      <c r="Q124" s="24">
        <v>47.8</v>
      </c>
      <c r="R124" s="24">
        <v>20</v>
      </c>
      <c r="S124" s="23">
        <v>50</v>
      </c>
      <c r="T124" s="24">
        <v>16</v>
      </c>
      <c r="U124" s="24">
        <v>8</v>
      </c>
      <c r="V124" s="24">
        <v>89</v>
      </c>
      <c r="W124" s="24">
        <v>12</v>
      </c>
      <c r="X124" s="24">
        <v>82</v>
      </c>
      <c r="Y124" s="24">
        <v>-11</v>
      </c>
      <c r="Z124" s="24">
        <v>33</v>
      </c>
      <c r="AA124" s="24">
        <v>-7</v>
      </c>
      <c r="AB124" s="24">
        <v>6</v>
      </c>
      <c r="AC124" s="24">
        <v>5</v>
      </c>
      <c r="AD124" s="24">
        <v>13</v>
      </c>
      <c r="AE124" s="24">
        <v>8</v>
      </c>
      <c r="AF124" s="46">
        <f t="shared" si="85"/>
        <v>72.637656903765688</v>
      </c>
      <c r="AG124" s="51">
        <f t="shared" ref="AG124" si="161">AVERAGE(AF124,AF125)</f>
        <v>71.026734434788835</v>
      </c>
      <c r="AH124" s="12">
        <f t="shared" si="157"/>
        <v>33.1</v>
      </c>
      <c r="AI124" s="12">
        <f t="shared" si="157"/>
        <v>8.1999999999999993</v>
      </c>
      <c r="AJ124" s="12">
        <f t="shared" si="157"/>
        <v>35.1</v>
      </c>
      <c r="AK124" s="12">
        <f t="shared" si="157"/>
        <v>23.4</v>
      </c>
      <c r="AL124" s="12">
        <f t="shared" si="157"/>
        <v>1.47</v>
      </c>
      <c r="AM124" s="12">
        <f t="shared" si="157"/>
        <v>14.8</v>
      </c>
      <c r="AN124" s="12">
        <f t="shared" si="157"/>
        <v>14.19</v>
      </c>
      <c r="AO124" s="12">
        <f t="shared" si="157"/>
        <v>3.8</v>
      </c>
      <c r="AP124" s="12">
        <f t="shared" si="157"/>
        <v>41.4</v>
      </c>
      <c r="AQ124" s="12">
        <f t="shared" si="157"/>
        <v>27.28</v>
      </c>
      <c r="AR124" s="12">
        <f t="shared" si="158"/>
        <v>0.53900000000000003</v>
      </c>
      <c r="AS124" s="12">
        <f t="shared" si="158"/>
        <v>6.39</v>
      </c>
      <c r="AT124" s="12">
        <f t="shared" si="158"/>
        <v>46.9</v>
      </c>
      <c r="AU124" s="12">
        <f t="shared" si="158"/>
        <v>16.3</v>
      </c>
      <c r="AV124" s="12">
        <f t="shared" si="158"/>
        <v>78</v>
      </c>
      <c r="AW124" s="12">
        <f t="shared" si="158"/>
        <v>18.100000000000001</v>
      </c>
      <c r="AX124" s="12">
        <f t="shared" si="158"/>
        <v>14.1</v>
      </c>
      <c r="AY124" s="12">
        <f t="shared" si="158"/>
        <v>71.2</v>
      </c>
      <c r="AZ124" s="12">
        <f t="shared" si="158"/>
        <v>9.06</v>
      </c>
      <c r="BA124" s="12">
        <f t="shared" si="158"/>
        <v>77.400000000000006</v>
      </c>
      <c r="BB124" s="12">
        <f t="shared" si="159"/>
        <v>2.2999999999999998</v>
      </c>
      <c r="BC124" s="12">
        <f t="shared" si="159"/>
        <v>36.33</v>
      </c>
      <c r="BD124" s="12">
        <f t="shared" si="159"/>
        <v>6.2</v>
      </c>
      <c r="BE124" s="12">
        <f t="shared" si="159"/>
        <v>4.5999999999999996</v>
      </c>
      <c r="BF124" s="12">
        <f t="shared" si="159"/>
        <v>-0.6</v>
      </c>
      <c r="BG124" s="12">
        <f t="shared" si="159"/>
        <v>9.4700000000000006</v>
      </c>
      <c r="BH124" s="12">
        <f t="shared" si="159"/>
        <v>10.1</v>
      </c>
      <c r="BI124" s="12">
        <f t="shared" si="159"/>
        <v>69.7</v>
      </c>
      <c r="BJ124" s="12">
        <f t="shared" si="159"/>
        <v>19.350000000000001</v>
      </c>
      <c r="BK124" s="12">
        <f t="shared" si="159"/>
        <v>58.742004264392328</v>
      </c>
      <c r="BL124" s="12">
        <f>INDEX(ovrTable,MATCH(INDEX(oppCol24,ROW()),ovrTeamCol,0),MATCH(MID(INDEX(headerRow,1,COLUMN()),4,LEN(INDEX(headerRow,1,COLUMN()))),ovrHeaderRow,0))</f>
        <v>31.7</v>
      </c>
      <c r="BM124" s="12">
        <f>INDEX(ovrTable,MATCH(INDEX(oppCol24,ROW()),ovrTeamCol,0),MATCH(MID(INDEX(headerRow,1,COLUMN()),4,LEN(INDEX(headerRow,1,COLUMN()))),ovrHeaderRow,0))</f>
        <v>11.2</v>
      </c>
      <c r="BN124" s="12">
        <f>INDEX(ovrTable,MATCH(INDEX(oppCol24,ROW()),ovrTeamCol,0),MATCH(MID(INDEX(headerRow,1,COLUMN()),4,LEN(INDEX(headerRow,1,COLUMN()))),ovrHeaderRow,0))</f>
        <v>37.299999999999997</v>
      </c>
      <c r="BO124" s="12">
        <f>INDEX(ovrTable,MATCH(INDEX(oppCol24,ROW()),ovrTeamCol,0),MATCH(MID(INDEX(headerRow,1,COLUMN()),4,LEN(INDEX(headerRow,1,COLUMN()))),ovrHeaderRow,0))</f>
        <v>29.9</v>
      </c>
      <c r="BP124" s="12">
        <f>INDEX(ovrTable,MATCH(INDEX(oppCol24,ROW()),ovrTeamCol,0),MATCH(MID(INDEX(headerRow,1,COLUMN()),4,LEN(INDEX(headerRow,1,COLUMN()))),ovrHeaderRow,0))</f>
        <v>1.34</v>
      </c>
      <c r="BQ124" s="12">
        <f>INDEX(ovrTable,MATCH(INDEX(oppCol24,ROW()),ovrTeamCol,0),MATCH(MID(INDEX(headerRow,1,COLUMN()),4,LEN(INDEX(headerRow,1,COLUMN()))),ovrHeaderRow,0))</f>
        <v>15.9</v>
      </c>
      <c r="BR124" s="12">
        <f>INDEX(ovrTable,MATCH(INDEX(oppCol24,ROW()),ovrTeamCol,0),MATCH(MID(INDEX(headerRow,1,COLUMN()),4,LEN(INDEX(headerRow,1,COLUMN()))),ovrHeaderRow,0))</f>
        <v>25.11</v>
      </c>
      <c r="BS124" s="12">
        <f>INDEX(ovrTable,MATCH(INDEX(oppCol24,ROW()),ovrTeamCol,0),MATCH(MID(INDEX(headerRow,1,COLUMN()),4,LEN(INDEX(headerRow,1,COLUMN()))),ovrHeaderRow,0))</f>
        <v>4.4000000000000004</v>
      </c>
      <c r="BT124" s="12">
        <f>INDEX(ovrTable,MATCH(INDEX(oppCol24,ROW()),ovrTeamCol,0),MATCH(MID(INDEX(headerRow,1,COLUMN()),4,LEN(INDEX(headerRow,1,COLUMN()))),ovrHeaderRow,0))</f>
        <v>43.7</v>
      </c>
      <c r="BU124" s="12">
        <f>INDEX(ovrTable,MATCH(INDEX(oppCol24,ROW()),ovrTeamCol,0),MATCH(MID(INDEX(headerRow,1,COLUMN()),4,LEN(INDEX(headerRow,1,COLUMN()))),ovrHeaderRow,0))</f>
        <v>26.89</v>
      </c>
      <c r="BV124" s="12">
        <f>INDEX(ovrTable,MATCH(INDEX(oppCol24,ROW()),ovrTeamCol,0),MATCH(MID(INDEX(headerRow,1,COLUMN()),4,LEN(INDEX(headerRow,1,COLUMN()))),ovrHeaderRow,0))</f>
        <v>0.56299999999999994</v>
      </c>
      <c r="BW124" s="12">
        <f>INDEX(ovrTable,MATCH(INDEX(oppCol24,ROW()),ovrTeamCol,0),MATCH(MID(INDEX(headerRow,1,COLUMN()),4,LEN(INDEX(headerRow,1,COLUMN()))),ovrHeaderRow,0))</f>
        <v>13.7</v>
      </c>
      <c r="BX124" s="12">
        <f>INDEX(ovrTable,MATCH(INDEX(oppCol24,ROW()),ovrTeamCol,0),MATCH(MID(INDEX(headerRow,1,COLUMN()),4,LEN(INDEX(headerRow,1,COLUMN()))),ovrHeaderRow,0))</f>
        <v>47.6</v>
      </c>
      <c r="BY124" s="12">
        <f>INDEX(ovrTable,MATCH(INDEX(oppCol24,ROW()),ovrTeamCol,0),MATCH(MID(INDEX(headerRow,1,COLUMN()),4,LEN(INDEX(headerRow,1,COLUMN()))),ovrHeaderRow,0))</f>
        <v>19.8</v>
      </c>
      <c r="BZ124" s="12">
        <f>INDEX(ovrTable,MATCH(INDEX(oppCol24,ROW()),ovrTeamCol,0),MATCH(MID(INDEX(headerRow,1,COLUMN()),4,LEN(INDEX(headerRow,1,COLUMN()))),ovrHeaderRow,0))</f>
        <v>77.2</v>
      </c>
      <c r="CA124" s="12">
        <f>INDEX(ovrTable,MATCH(INDEX(oppCol24,ROW()),ovrTeamCol,0),MATCH(MID(INDEX(headerRow,1,COLUMN()),4,LEN(INDEX(headerRow,1,COLUMN()))),ovrHeaderRow,0))</f>
        <v>22.8</v>
      </c>
      <c r="CB124" s="12">
        <f>INDEX(ovrTable,MATCH(INDEX(oppCol24,ROW()),ovrTeamCol,0),MATCH(MID(INDEX(headerRow,1,COLUMN()),4,LEN(INDEX(headerRow,1,COLUMN()))),ovrHeaderRow,0))</f>
        <v>17.600000000000001</v>
      </c>
      <c r="CC124" s="12">
        <f>INDEX(ovrTable,MATCH(INDEX(oppCol24,ROW()),ovrTeamCol,0),MATCH(MID(INDEX(headerRow,1,COLUMN()),4,LEN(INDEX(headerRow,1,COLUMN()))),ovrHeaderRow,0))</f>
        <v>81.2</v>
      </c>
      <c r="CD124" s="12">
        <f>INDEX(ovrTable,MATCH(INDEX(oppCol24,ROW()),ovrTeamCol,0),MATCH(MID(INDEX(headerRow,1,COLUMN()),4,LEN(INDEX(headerRow,1,COLUMN()))),ovrHeaderRow,0))</f>
        <v>12.76</v>
      </c>
      <c r="CE124" s="12">
        <f>INDEX(ovrTable,MATCH(INDEX(oppCol24,ROW()),ovrTeamCol,0),MATCH(MID(INDEX(headerRow,1,COLUMN()),4,LEN(INDEX(headerRow,1,COLUMN()))),ovrHeaderRow,0))</f>
        <v>90.1</v>
      </c>
      <c r="CF124" s="12">
        <f>INDEX(ovrTable,MATCH(INDEX(oppCol24,ROW()),ovrTeamCol,0),MATCH(MID(INDEX(headerRow,1,COLUMN()),4,LEN(INDEX(headerRow,1,COLUMN()))),ovrHeaderRow,0))</f>
        <v>3.9</v>
      </c>
      <c r="CG124" s="12">
        <f>INDEX(ovrTable,MATCH(INDEX(oppCol24,ROW()),ovrTeamCol,0),MATCH(MID(INDEX(headerRow,1,COLUMN()),4,LEN(INDEX(headerRow,1,COLUMN()))),ovrHeaderRow,0))</f>
        <v>39.65</v>
      </c>
      <c r="CH124" s="12">
        <f>INDEX(ovrTable,MATCH(INDEX(oppCol24,ROW()),ovrTeamCol,0),MATCH(MID(INDEX(headerRow,1,COLUMN()),4,LEN(INDEX(headerRow,1,COLUMN()))),ovrHeaderRow,0))</f>
        <v>8.9</v>
      </c>
      <c r="CI124" s="12">
        <f>INDEX(ovrTable,MATCH(INDEX(oppCol24,ROW()),ovrTeamCol,0),MATCH(MID(INDEX(headerRow,1,COLUMN()),4,LEN(INDEX(headerRow,1,COLUMN()))),ovrHeaderRow,0))</f>
        <v>6.9</v>
      </c>
      <c r="CJ124" s="12">
        <f>INDEX(ovrTable,MATCH(INDEX(oppCol24,ROW()),ovrTeamCol,0),MATCH(MID(INDEX(headerRow,1,COLUMN()),4,LEN(INDEX(headerRow,1,COLUMN()))),ovrHeaderRow,0))</f>
        <v>-0.5</v>
      </c>
      <c r="CK124" s="12">
        <f>INDEX(ovrTable,MATCH(INDEX(oppCol24,ROW()),ovrTeamCol,0),MATCH(MID(INDEX(headerRow,1,COLUMN()),4,LEN(INDEX(headerRow,1,COLUMN()))),ovrHeaderRow,0))</f>
        <v>11.3</v>
      </c>
      <c r="CL124" s="12">
        <f>INDEX(ovrTable,MATCH(INDEX(oppCol24,ROW()),ovrTeamCol,0),MATCH(MID(INDEX(headerRow,1,COLUMN()),4,LEN(INDEX(headerRow,1,COLUMN()))),ovrHeaderRow,0))</f>
        <v>11.8</v>
      </c>
      <c r="CM124" s="12">
        <f>INDEX(ovrTable,MATCH(INDEX(oppCol24,ROW()),ovrTeamCol,0),MATCH(MID(INDEX(headerRow,1,COLUMN()),4,LEN(INDEX(headerRow,1,COLUMN()))),ovrHeaderRow,0))</f>
        <v>76.3</v>
      </c>
      <c r="CN124" s="12">
        <f>INDEX(ovrTable,MATCH(INDEX(oppCol24,ROW()),ovrTeamCol,0),MATCH(MID(INDEX(headerRow,1,COLUMN()),4,LEN(INDEX(headerRow,1,COLUMN()))),ovrHeaderRow,0))</f>
        <v>19.450000000000003</v>
      </c>
      <c r="CO124" s="12">
        <f>INDEX(ovrTable,MATCH(INDEX(oppCol24,ROW()),ovrTeamCol,0),MATCH(MID(INDEX(headerRow,1,COLUMN()),4,LEN(INDEX(headerRow,1,COLUMN()))),ovrHeaderRow,0))</f>
        <v>64.390756302521012</v>
      </c>
    </row>
    <row r="125" spans="1:93" x14ac:dyDescent="0.3">
      <c r="A125" s="6" t="s">
        <v>21</v>
      </c>
      <c r="B125" s="3">
        <v>4</v>
      </c>
      <c r="C125" s="13" t="s">
        <v>23</v>
      </c>
      <c r="D125" s="14">
        <v>62</v>
      </c>
      <c r="E125" s="23">
        <v>30.76923076923077</v>
      </c>
      <c r="F125" s="24">
        <v>16</v>
      </c>
      <c r="G125" s="23">
        <v>44.444444444444443</v>
      </c>
      <c r="H125" s="24">
        <v>36</v>
      </c>
      <c r="I125" s="25">
        <v>1.5384615384615385</v>
      </c>
      <c r="J125" s="24">
        <v>20</v>
      </c>
      <c r="K125" s="24">
        <v>19</v>
      </c>
      <c r="L125" s="24">
        <v>6</v>
      </c>
      <c r="M125" s="24">
        <v>47.8</v>
      </c>
      <c r="N125" s="24">
        <v>28</v>
      </c>
      <c r="O125" s="26">
        <v>0.59710344827586204</v>
      </c>
      <c r="P125" s="24">
        <v>8</v>
      </c>
      <c r="Q125" s="24">
        <v>46.8</v>
      </c>
      <c r="R125" s="24">
        <v>17</v>
      </c>
      <c r="S125" s="23">
        <v>68.181818181818173</v>
      </c>
      <c r="T125" s="24">
        <v>22</v>
      </c>
      <c r="U125" s="24">
        <v>15</v>
      </c>
      <c r="V125" s="24">
        <v>82</v>
      </c>
      <c r="W125" s="24">
        <v>16</v>
      </c>
      <c r="X125" s="24">
        <v>89</v>
      </c>
      <c r="Y125" s="24">
        <v>11</v>
      </c>
      <c r="Z125" s="24">
        <v>44</v>
      </c>
      <c r="AA125" s="24">
        <v>7</v>
      </c>
      <c r="AB125" s="24">
        <v>3</v>
      </c>
      <c r="AC125" s="24">
        <v>-5</v>
      </c>
      <c r="AD125" s="24">
        <v>8</v>
      </c>
      <c r="AE125" s="24">
        <v>13</v>
      </c>
      <c r="AF125" s="46">
        <f t="shared" si="85"/>
        <v>69.415811965811969</v>
      </c>
      <c r="AG125" s="51">
        <f t="shared" ref="AG125" si="162">AVERAGE(AF124,AF125)</f>
        <v>71.026734434788835</v>
      </c>
      <c r="AH125" s="12">
        <f t="shared" si="157"/>
        <v>31.7</v>
      </c>
      <c r="AI125" s="12">
        <f t="shared" si="157"/>
        <v>11.2</v>
      </c>
      <c r="AJ125" s="12">
        <f t="shared" si="157"/>
        <v>37.299999999999997</v>
      </c>
      <c r="AK125" s="12">
        <f t="shared" si="157"/>
        <v>29.9</v>
      </c>
      <c r="AL125" s="12">
        <f t="shared" si="157"/>
        <v>1.34</v>
      </c>
      <c r="AM125" s="12">
        <f t="shared" si="157"/>
        <v>15.9</v>
      </c>
      <c r="AN125" s="12">
        <f t="shared" si="157"/>
        <v>25.11</v>
      </c>
      <c r="AO125" s="12">
        <f t="shared" si="157"/>
        <v>4.4000000000000004</v>
      </c>
      <c r="AP125" s="12">
        <f t="shared" si="157"/>
        <v>43.7</v>
      </c>
      <c r="AQ125" s="12">
        <f t="shared" si="157"/>
        <v>26.89</v>
      </c>
      <c r="AR125" s="12">
        <f t="shared" si="158"/>
        <v>0.56299999999999994</v>
      </c>
      <c r="AS125" s="12">
        <f t="shared" si="158"/>
        <v>13.7</v>
      </c>
      <c r="AT125" s="12">
        <f t="shared" si="158"/>
        <v>47.6</v>
      </c>
      <c r="AU125" s="12">
        <f t="shared" si="158"/>
        <v>19.8</v>
      </c>
      <c r="AV125" s="12">
        <f t="shared" si="158"/>
        <v>77.2</v>
      </c>
      <c r="AW125" s="12">
        <f t="shared" si="158"/>
        <v>22.8</v>
      </c>
      <c r="AX125" s="12">
        <f t="shared" si="158"/>
        <v>17.600000000000001</v>
      </c>
      <c r="AY125" s="12">
        <f t="shared" si="158"/>
        <v>81.2</v>
      </c>
      <c r="AZ125" s="12">
        <f t="shared" si="158"/>
        <v>12.76</v>
      </c>
      <c r="BA125" s="12">
        <f t="shared" si="158"/>
        <v>90.1</v>
      </c>
      <c r="BB125" s="12">
        <f t="shared" si="159"/>
        <v>3.9</v>
      </c>
      <c r="BC125" s="12">
        <f t="shared" si="159"/>
        <v>39.65</v>
      </c>
      <c r="BD125" s="12">
        <f t="shared" si="159"/>
        <v>8.9</v>
      </c>
      <c r="BE125" s="12">
        <f t="shared" si="159"/>
        <v>6.9</v>
      </c>
      <c r="BF125" s="12">
        <f t="shared" si="159"/>
        <v>-0.5</v>
      </c>
      <c r="BG125" s="12">
        <f t="shared" si="159"/>
        <v>11.3</v>
      </c>
      <c r="BH125" s="12">
        <f t="shared" si="159"/>
        <v>11.8</v>
      </c>
      <c r="BI125" s="12">
        <f t="shared" si="159"/>
        <v>76.3</v>
      </c>
      <c r="BJ125" s="12">
        <f t="shared" si="159"/>
        <v>19.450000000000003</v>
      </c>
      <c r="BK125" s="12">
        <f t="shared" si="159"/>
        <v>64.390756302521012</v>
      </c>
      <c r="BL125" s="12">
        <f>INDEX(ovrTable,MATCH(INDEX(oppCol24,ROW()),ovrTeamCol,0),MATCH(MID(INDEX(headerRow,1,COLUMN()),4,LEN(INDEX(headerRow,1,COLUMN()))),ovrHeaderRow,0))</f>
        <v>33.1</v>
      </c>
      <c r="BM125" s="12">
        <f>INDEX(ovrTable,MATCH(INDEX(oppCol24,ROW()),ovrTeamCol,0),MATCH(MID(INDEX(headerRow,1,COLUMN()),4,LEN(INDEX(headerRow,1,COLUMN()))),ovrHeaderRow,0))</f>
        <v>8.1999999999999993</v>
      </c>
      <c r="BN125" s="12">
        <f>INDEX(ovrTable,MATCH(INDEX(oppCol24,ROW()),ovrTeamCol,0),MATCH(MID(INDEX(headerRow,1,COLUMN()),4,LEN(INDEX(headerRow,1,COLUMN()))),ovrHeaderRow,0))</f>
        <v>35.1</v>
      </c>
      <c r="BO125" s="12">
        <f>INDEX(ovrTable,MATCH(INDEX(oppCol24,ROW()),ovrTeamCol,0),MATCH(MID(INDEX(headerRow,1,COLUMN()),4,LEN(INDEX(headerRow,1,COLUMN()))),ovrHeaderRow,0))</f>
        <v>23.4</v>
      </c>
      <c r="BP125" s="12">
        <f>INDEX(ovrTable,MATCH(INDEX(oppCol24,ROW()),ovrTeamCol,0),MATCH(MID(INDEX(headerRow,1,COLUMN()),4,LEN(INDEX(headerRow,1,COLUMN()))),ovrHeaderRow,0))</f>
        <v>1.47</v>
      </c>
      <c r="BQ125" s="12">
        <f>INDEX(ovrTable,MATCH(INDEX(oppCol24,ROW()),ovrTeamCol,0),MATCH(MID(INDEX(headerRow,1,COLUMN()),4,LEN(INDEX(headerRow,1,COLUMN()))),ovrHeaderRow,0))</f>
        <v>14.8</v>
      </c>
      <c r="BR125" s="12">
        <f>INDEX(ovrTable,MATCH(INDEX(oppCol24,ROW()),ovrTeamCol,0),MATCH(MID(INDEX(headerRow,1,COLUMN()),4,LEN(INDEX(headerRow,1,COLUMN()))),ovrHeaderRow,0))</f>
        <v>14.19</v>
      </c>
      <c r="BS125" s="12">
        <f>INDEX(ovrTable,MATCH(INDEX(oppCol24,ROW()),ovrTeamCol,0),MATCH(MID(INDEX(headerRow,1,COLUMN()),4,LEN(INDEX(headerRow,1,COLUMN()))),ovrHeaderRow,0))</f>
        <v>3.8</v>
      </c>
      <c r="BT125" s="12">
        <f>INDEX(ovrTable,MATCH(INDEX(oppCol24,ROW()),ovrTeamCol,0),MATCH(MID(INDEX(headerRow,1,COLUMN()),4,LEN(INDEX(headerRow,1,COLUMN()))),ovrHeaderRow,0))</f>
        <v>41.4</v>
      </c>
      <c r="BU125" s="12">
        <f>INDEX(ovrTable,MATCH(INDEX(oppCol24,ROW()),ovrTeamCol,0),MATCH(MID(INDEX(headerRow,1,COLUMN()),4,LEN(INDEX(headerRow,1,COLUMN()))),ovrHeaderRow,0))</f>
        <v>27.28</v>
      </c>
      <c r="BV125" s="12">
        <f>INDEX(ovrTable,MATCH(INDEX(oppCol24,ROW()),ovrTeamCol,0),MATCH(MID(INDEX(headerRow,1,COLUMN()),4,LEN(INDEX(headerRow,1,COLUMN()))),ovrHeaderRow,0))</f>
        <v>0.53900000000000003</v>
      </c>
      <c r="BW125" s="12">
        <f>INDEX(ovrTable,MATCH(INDEX(oppCol24,ROW()),ovrTeamCol,0),MATCH(MID(INDEX(headerRow,1,COLUMN()),4,LEN(INDEX(headerRow,1,COLUMN()))),ovrHeaderRow,0))</f>
        <v>6.39</v>
      </c>
      <c r="BX125" s="12">
        <f>INDEX(ovrTable,MATCH(INDEX(oppCol24,ROW()),ovrTeamCol,0),MATCH(MID(INDEX(headerRow,1,COLUMN()),4,LEN(INDEX(headerRow,1,COLUMN()))),ovrHeaderRow,0))</f>
        <v>46.9</v>
      </c>
      <c r="BY125" s="12">
        <f>INDEX(ovrTable,MATCH(INDEX(oppCol24,ROW()),ovrTeamCol,0),MATCH(MID(INDEX(headerRow,1,COLUMN()),4,LEN(INDEX(headerRow,1,COLUMN()))),ovrHeaderRow,0))</f>
        <v>16.3</v>
      </c>
      <c r="BZ125" s="12">
        <f>INDEX(ovrTable,MATCH(INDEX(oppCol24,ROW()),ovrTeamCol,0),MATCH(MID(INDEX(headerRow,1,COLUMN()),4,LEN(INDEX(headerRow,1,COLUMN()))),ovrHeaderRow,0))</f>
        <v>78</v>
      </c>
      <c r="CA125" s="12">
        <f>INDEX(ovrTable,MATCH(INDEX(oppCol24,ROW()),ovrTeamCol,0),MATCH(MID(INDEX(headerRow,1,COLUMN()),4,LEN(INDEX(headerRow,1,COLUMN()))),ovrHeaderRow,0))</f>
        <v>18.100000000000001</v>
      </c>
      <c r="CB125" s="12">
        <f>INDEX(ovrTable,MATCH(INDEX(oppCol24,ROW()),ovrTeamCol,0),MATCH(MID(INDEX(headerRow,1,COLUMN()),4,LEN(INDEX(headerRow,1,COLUMN()))),ovrHeaderRow,0))</f>
        <v>14.1</v>
      </c>
      <c r="CC125" s="12">
        <f>INDEX(ovrTable,MATCH(INDEX(oppCol24,ROW()),ovrTeamCol,0),MATCH(MID(INDEX(headerRow,1,COLUMN()),4,LEN(INDEX(headerRow,1,COLUMN()))),ovrHeaderRow,0))</f>
        <v>71.2</v>
      </c>
      <c r="CD125" s="12">
        <f>INDEX(ovrTable,MATCH(INDEX(oppCol24,ROW()),ovrTeamCol,0),MATCH(MID(INDEX(headerRow,1,COLUMN()),4,LEN(INDEX(headerRow,1,COLUMN()))),ovrHeaderRow,0))</f>
        <v>9.06</v>
      </c>
      <c r="CE125" s="12">
        <f>INDEX(ovrTable,MATCH(INDEX(oppCol24,ROW()),ovrTeamCol,0),MATCH(MID(INDEX(headerRow,1,COLUMN()),4,LEN(INDEX(headerRow,1,COLUMN()))),ovrHeaderRow,0))</f>
        <v>77.400000000000006</v>
      </c>
      <c r="CF125" s="12">
        <f>INDEX(ovrTable,MATCH(INDEX(oppCol24,ROW()),ovrTeamCol,0),MATCH(MID(INDEX(headerRow,1,COLUMN()),4,LEN(INDEX(headerRow,1,COLUMN()))),ovrHeaderRow,0))</f>
        <v>2.2999999999999998</v>
      </c>
      <c r="CG125" s="12">
        <f>INDEX(ovrTable,MATCH(INDEX(oppCol24,ROW()),ovrTeamCol,0),MATCH(MID(INDEX(headerRow,1,COLUMN()),4,LEN(INDEX(headerRow,1,COLUMN()))),ovrHeaderRow,0))</f>
        <v>36.33</v>
      </c>
      <c r="CH125" s="12">
        <f>INDEX(ovrTable,MATCH(INDEX(oppCol24,ROW()),ovrTeamCol,0),MATCH(MID(INDEX(headerRow,1,COLUMN()),4,LEN(INDEX(headerRow,1,COLUMN()))),ovrHeaderRow,0))</f>
        <v>6.2</v>
      </c>
      <c r="CI125" s="12">
        <f>INDEX(ovrTable,MATCH(INDEX(oppCol24,ROW()),ovrTeamCol,0),MATCH(MID(INDEX(headerRow,1,COLUMN()),4,LEN(INDEX(headerRow,1,COLUMN()))),ovrHeaderRow,0))</f>
        <v>4.5999999999999996</v>
      </c>
      <c r="CJ125" s="12">
        <f>INDEX(ovrTable,MATCH(INDEX(oppCol24,ROW()),ovrTeamCol,0),MATCH(MID(INDEX(headerRow,1,COLUMN()),4,LEN(INDEX(headerRow,1,COLUMN()))),ovrHeaderRow,0))</f>
        <v>-0.6</v>
      </c>
      <c r="CK125" s="12">
        <f>INDEX(ovrTable,MATCH(INDEX(oppCol24,ROW()),ovrTeamCol,0),MATCH(MID(INDEX(headerRow,1,COLUMN()),4,LEN(INDEX(headerRow,1,COLUMN()))),ovrHeaderRow,0))</f>
        <v>9.4700000000000006</v>
      </c>
      <c r="CL125" s="12">
        <f>INDEX(ovrTable,MATCH(INDEX(oppCol24,ROW()),ovrTeamCol,0),MATCH(MID(INDEX(headerRow,1,COLUMN()),4,LEN(INDEX(headerRow,1,COLUMN()))),ovrHeaderRow,0))</f>
        <v>10.1</v>
      </c>
      <c r="CM125" s="12">
        <f>INDEX(ovrTable,MATCH(INDEX(oppCol24,ROW()),ovrTeamCol,0),MATCH(MID(INDEX(headerRow,1,COLUMN()),4,LEN(INDEX(headerRow,1,COLUMN()))),ovrHeaderRow,0))</f>
        <v>69.7</v>
      </c>
      <c r="CN125" s="12">
        <f>INDEX(ovrTable,MATCH(INDEX(oppCol24,ROW()),ovrTeamCol,0),MATCH(MID(INDEX(headerRow,1,COLUMN()),4,LEN(INDEX(headerRow,1,COLUMN()))),ovrHeaderRow,0))</f>
        <v>19.350000000000001</v>
      </c>
      <c r="CO125" s="12">
        <f>INDEX(ovrTable,MATCH(INDEX(oppCol24,ROW()),ovrTeamCol,0),MATCH(MID(INDEX(headerRow,1,COLUMN()),4,LEN(INDEX(headerRow,1,COLUMN()))),ovrHeaderRow,0))</f>
        <v>58.742004264392328</v>
      </c>
    </row>
    <row r="126" spans="1:93" x14ac:dyDescent="0.3">
      <c r="A126" s="6" t="s">
        <v>48</v>
      </c>
      <c r="B126" s="3">
        <v>4</v>
      </c>
      <c r="C126" s="13" t="s">
        <v>39</v>
      </c>
      <c r="D126" s="14">
        <v>63</v>
      </c>
      <c r="E126" s="23">
        <v>23.076923076923077</v>
      </c>
      <c r="F126" s="24">
        <v>5</v>
      </c>
      <c r="G126" s="23">
        <v>25</v>
      </c>
      <c r="H126" s="24">
        <v>20</v>
      </c>
      <c r="I126" s="25">
        <v>1.2222222222222223</v>
      </c>
      <c r="J126" s="24">
        <v>11</v>
      </c>
      <c r="K126" s="24">
        <v>2</v>
      </c>
      <c r="L126" s="24">
        <v>5</v>
      </c>
      <c r="M126" s="24">
        <v>46.7</v>
      </c>
      <c r="N126" s="24">
        <v>29</v>
      </c>
      <c r="O126" s="26">
        <v>0.36436842105263162</v>
      </c>
      <c r="P126" s="24">
        <v>6</v>
      </c>
      <c r="Q126" s="24">
        <v>32.200000000000003</v>
      </c>
      <c r="R126" s="24">
        <v>23</v>
      </c>
      <c r="S126" s="23">
        <v>80.769230769230774</v>
      </c>
      <c r="T126" s="24">
        <v>26</v>
      </c>
      <c r="U126" s="24">
        <v>21</v>
      </c>
      <c r="V126" s="24">
        <v>76</v>
      </c>
      <c r="W126" s="24">
        <v>12</v>
      </c>
      <c r="X126" s="24">
        <v>64</v>
      </c>
      <c r="Y126" s="24">
        <v>2</v>
      </c>
      <c r="Z126" s="24">
        <v>41</v>
      </c>
      <c r="AA126" s="24">
        <v>-12</v>
      </c>
      <c r="AB126" s="24">
        <v>4</v>
      </c>
      <c r="AC126" s="24">
        <v>-4</v>
      </c>
      <c r="AD126" s="24">
        <v>5</v>
      </c>
      <c r="AE126" s="24">
        <v>9</v>
      </c>
      <c r="AF126" s="46">
        <f t="shared" si="85"/>
        <v>68.356211180124205</v>
      </c>
      <c r="AG126" s="51">
        <f t="shared" ref="AG126" si="163">AVERAGE(AF126,AF127)</f>
        <v>68.119192313830837</v>
      </c>
      <c r="AH126" s="12">
        <f t="shared" si="157"/>
        <v>31.8</v>
      </c>
      <c r="AI126" s="12">
        <f t="shared" si="157"/>
        <v>8.3000000000000007</v>
      </c>
      <c r="AJ126" s="12">
        <f t="shared" si="157"/>
        <v>37.700000000000003</v>
      </c>
      <c r="AK126" s="12">
        <f t="shared" si="157"/>
        <v>22</v>
      </c>
      <c r="AL126" s="12">
        <f t="shared" si="157"/>
        <v>1.58</v>
      </c>
      <c r="AM126" s="12">
        <f t="shared" si="157"/>
        <v>15.3</v>
      </c>
      <c r="AN126" s="12">
        <f t="shared" si="157"/>
        <v>14.22</v>
      </c>
      <c r="AO126" s="12">
        <f t="shared" si="157"/>
        <v>3.7</v>
      </c>
      <c r="AP126" s="12">
        <f t="shared" si="157"/>
        <v>43</v>
      </c>
      <c r="AQ126" s="12">
        <f t="shared" si="157"/>
        <v>26</v>
      </c>
      <c r="AR126" s="12">
        <f t="shared" si="158"/>
        <v>0.54600000000000004</v>
      </c>
      <c r="AS126" s="12">
        <f t="shared" si="158"/>
        <v>10.72</v>
      </c>
      <c r="AT126" s="12">
        <f t="shared" si="158"/>
        <v>47.5</v>
      </c>
      <c r="AU126" s="12">
        <f t="shared" si="158"/>
        <v>15.9</v>
      </c>
      <c r="AV126" s="12">
        <f t="shared" si="158"/>
        <v>72.3</v>
      </c>
      <c r="AW126" s="12">
        <f t="shared" si="158"/>
        <v>20.100000000000001</v>
      </c>
      <c r="AX126" s="12">
        <f t="shared" si="158"/>
        <v>14.6</v>
      </c>
      <c r="AY126" s="12">
        <f t="shared" si="158"/>
        <v>66.3</v>
      </c>
      <c r="AZ126" s="12">
        <f t="shared" si="158"/>
        <v>10.64</v>
      </c>
      <c r="BA126" s="12">
        <f t="shared" si="158"/>
        <v>78.599999999999994</v>
      </c>
      <c r="BB126" s="12">
        <f t="shared" si="159"/>
        <v>5.0999999999999996</v>
      </c>
      <c r="BC126" s="12">
        <f t="shared" si="159"/>
        <v>36.64</v>
      </c>
      <c r="BD126" s="12">
        <f t="shared" si="159"/>
        <v>12.3</v>
      </c>
      <c r="BE126" s="12">
        <f t="shared" si="159"/>
        <v>6.5</v>
      </c>
      <c r="BF126" s="12">
        <f t="shared" si="159"/>
        <v>1.6</v>
      </c>
      <c r="BG126" s="12">
        <f t="shared" si="159"/>
        <v>11.31</v>
      </c>
      <c r="BH126" s="12">
        <f t="shared" si="159"/>
        <v>9.6999999999999993</v>
      </c>
      <c r="BI126" s="12">
        <f t="shared" si="159"/>
        <v>68.599999999999994</v>
      </c>
      <c r="BJ126" s="12">
        <f t="shared" si="159"/>
        <v>19.549999999999997</v>
      </c>
      <c r="BK126" s="12">
        <f t="shared" si="159"/>
        <v>58.631578947368418</v>
      </c>
      <c r="BL126" s="12">
        <f>INDEX(ovrTable,MATCH(INDEX(oppCol24,ROW()),ovrTeamCol,0),MATCH(MID(INDEX(headerRow,1,COLUMN()),4,LEN(INDEX(headerRow,1,COLUMN()))),ovrHeaderRow,0))</f>
        <v>33.5</v>
      </c>
      <c r="BM126" s="12">
        <f>INDEX(ovrTable,MATCH(INDEX(oppCol24,ROW()),ovrTeamCol,0),MATCH(MID(INDEX(headerRow,1,COLUMN()),4,LEN(INDEX(headerRow,1,COLUMN()))),ovrHeaderRow,0))</f>
        <v>7</v>
      </c>
      <c r="BN126" s="12">
        <f>INDEX(ovrTable,MATCH(INDEX(oppCol24,ROW()),ovrTeamCol,0),MATCH(MID(INDEX(headerRow,1,COLUMN()),4,LEN(INDEX(headerRow,1,COLUMN()))),ovrHeaderRow,0))</f>
        <v>34.5</v>
      </c>
      <c r="BO126" s="12">
        <f>INDEX(ovrTable,MATCH(INDEX(oppCol24,ROW()),ovrTeamCol,0),MATCH(MID(INDEX(headerRow,1,COLUMN()),4,LEN(INDEX(headerRow,1,COLUMN()))),ovrHeaderRow,0))</f>
        <v>20.2</v>
      </c>
      <c r="BP126" s="12">
        <f>INDEX(ovrTable,MATCH(INDEX(oppCol24,ROW()),ovrTeamCol,0),MATCH(MID(INDEX(headerRow,1,COLUMN()),4,LEN(INDEX(headerRow,1,COLUMN()))),ovrHeaderRow,0))</f>
        <v>1.37</v>
      </c>
      <c r="BQ126" s="12">
        <f>INDEX(ovrTable,MATCH(INDEX(oppCol24,ROW()),ovrTeamCol,0),MATCH(MID(INDEX(headerRow,1,COLUMN()),4,LEN(INDEX(headerRow,1,COLUMN()))),ovrHeaderRow,0))</f>
        <v>13.1</v>
      </c>
      <c r="BR126" s="12">
        <f>INDEX(ovrTable,MATCH(INDEX(oppCol24,ROW()),ovrTeamCol,0),MATCH(MID(INDEX(headerRow,1,COLUMN()),4,LEN(INDEX(headerRow,1,COLUMN()))),ovrHeaderRow,0))</f>
        <v>18.8</v>
      </c>
      <c r="BS126" s="12">
        <f>INDEX(ovrTable,MATCH(INDEX(oppCol24,ROW()),ovrTeamCol,0),MATCH(MID(INDEX(headerRow,1,COLUMN()),4,LEN(INDEX(headerRow,1,COLUMN()))),ovrHeaderRow,0))</f>
        <v>3.6</v>
      </c>
      <c r="BT126" s="12">
        <f>INDEX(ovrTable,MATCH(INDEX(oppCol24,ROW()),ovrTeamCol,0),MATCH(MID(INDEX(headerRow,1,COLUMN()),4,LEN(INDEX(headerRow,1,COLUMN()))),ovrHeaderRow,0))</f>
        <v>43.3</v>
      </c>
      <c r="BU126" s="12">
        <f>INDEX(ovrTable,MATCH(INDEX(oppCol24,ROW()),ovrTeamCol,0),MATCH(MID(INDEX(headerRow,1,COLUMN()),4,LEN(INDEX(headerRow,1,COLUMN()))),ovrHeaderRow,0))</f>
        <v>25.17</v>
      </c>
      <c r="BV126" s="12">
        <f>INDEX(ovrTable,MATCH(INDEX(oppCol24,ROW()),ovrTeamCol,0),MATCH(MID(INDEX(headerRow,1,COLUMN()),4,LEN(INDEX(headerRow,1,COLUMN()))),ovrHeaderRow,0))</f>
        <v>0.50700000000000001</v>
      </c>
      <c r="BW126" s="12">
        <f>INDEX(ovrTable,MATCH(INDEX(oppCol24,ROW()),ovrTeamCol,0),MATCH(MID(INDEX(headerRow,1,COLUMN()),4,LEN(INDEX(headerRow,1,COLUMN()))),ovrHeaderRow,0))</f>
        <v>11.98</v>
      </c>
      <c r="BX126" s="12">
        <f>INDEX(ovrTable,MATCH(INDEX(oppCol24,ROW()),ovrTeamCol,0),MATCH(MID(INDEX(headerRow,1,COLUMN()),4,LEN(INDEX(headerRow,1,COLUMN()))),ovrHeaderRow,0))</f>
        <v>45</v>
      </c>
      <c r="BY126" s="12">
        <f>INDEX(ovrTable,MATCH(INDEX(oppCol24,ROW()),ovrTeamCol,0),MATCH(MID(INDEX(headerRow,1,COLUMN()),4,LEN(INDEX(headerRow,1,COLUMN()))),ovrHeaderRow,0))</f>
        <v>16.2</v>
      </c>
      <c r="BZ126" s="12">
        <f>INDEX(ovrTable,MATCH(INDEX(oppCol24,ROW()),ovrTeamCol,0),MATCH(MID(INDEX(headerRow,1,COLUMN()),4,LEN(INDEX(headerRow,1,COLUMN()))),ovrHeaderRow,0))</f>
        <v>73.3</v>
      </c>
      <c r="CA126" s="12">
        <f>INDEX(ovrTable,MATCH(INDEX(oppCol24,ROW()),ovrTeamCol,0),MATCH(MID(INDEX(headerRow,1,COLUMN()),4,LEN(INDEX(headerRow,1,COLUMN()))),ovrHeaderRow,0))</f>
        <v>19.399999999999999</v>
      </c>
      <c r="CB126" s="12">
        <f>INDEX(ovrTable,MATCH(INDEX(oppCol24,ROW()),ovrTeamCol,0),MATCH(MID(INDEX(headerRow,1,COLUMN()),4,LEN(INDEX(headerRow,1,COLUMN()))),ovrHeaderRow,0))</f>
        <v>14.2</v>
      </c>
      <c r="CC126" s="12">
        <f>INDEX(ovrTable,MATCH(INDEX(oppCol24,ROW()),ovrTeamCol,0),MATCH(MID(INDEX(headerRow,1,COLUMN()),4,LEN(INDEX(headerRow,1,COLUMN()))),ovrHeaderRow,0))</f>
        <v>71.8</v>
      </c>
      <c r="CD126" s="12">
        <f>INDEX(ovrTable,MATCH(INDEX(oppCol24,ROW()),ovrTeamCol,0),MATCH(MID(INDEX(headerRow,1,COLUMN()),4,LEN(INDEX(headerRow,1,COLUMN()))),ovrHeaderRow,0))</f>
        <v>10.119999999999999</v>
      </c>
      <c r="CE126" s="12">
        <f>INDEX(ovrTable,MATCH(INDEX(oppCol24,ROW()),ovrTeamCol,0),MATCH(MID(INDEX(headerRow,1,COLUMN()),4,LEN(INDEX(headerRow,1,COLUMN()))),ovrHeaderRow,0))</f>
        <v>75.599999999999994</v>
      </c>
      <c r="CF126" s="12">
        <f>INDEX(ovrTable,MATCH(INDEX(oppCol24,ROW()),ovrTeamCol,0),MATCH(MID(INDEX(headerRow,1,COLUMN()),4,LEN(INDEX(headerRow,1,COLUMN()))),ovrHeaderRow,0))</f>
        <v>-0.9</v>
      </c>
      <c r="CG126" s="12">
        <f>INDEX(ovrTable,MATCH(INDEX(oppCol24,ROW()),ovrTeamCol,0),MATCH(MID(INDEX(headerRow,1,COLUMN()),4,LEN(INDEX(headerRow,1,COLUMN()))),ovrHeaderRow,0))</f>
        <v>35.29</v>
      </c>
      <c r="CH126" s="12">
        <f>INDEX(ovrTable,MATCH(INDEX(oppCol24,ROW()),ovrTeamCol,0),MATCH(MID(INDEX(headerRow,1,COLUMN()),4,LEN(INDEX(headerRow,1,COLUMN()))),ovrHeaderRow,0))</f>
        <v>3.9</v>
      </c>
      <c r="CI126" s="12">
        <f>INDEX(ovrTable,MATCH(INDEX(oppCol24,ROW()),ovrTeamCol,0),MATCH(MID(INDEX(headerRow,1,COLUMN()),4,LEN(INDEX(headerRow,1,COLUMN()))),ovrHeaderRow,0))</f>
        <v>7.2</v>
      </c>
      <c r="CJ126" s="12">
        <f>INDEX(ovrTable,MATCH(INDEX(oppCol24,ROW()),ovrTeamCol,0),MATCH(MID(INDEX(headerRow,1,COLUMN()),4,LEN(INDEX(headerRow,1,COLUMN()))),ovrHeaderRow,0))</f>
        <v>2.7</v>
      </c>
      <c r="CK126" s="12">
        <f>INDEX(ovrTable,MATCH(INDEX(oppCol24,ROW()),ovrTeamCol,0),MATCH(MID(INDEX(headerRow,1,COLUMN()),4,LEN(INDEX(headerRow,1,COLUMN()))),ovrHeaderRow,0))</f>
        <v>12.22</v>
      </c>
      <c r="CL126" s="12">
        <f>INDEX(ovrTable,MATCH(INDEX(oppCol24,ROW()),ovrTeamCol,0),MATCH(MID(INDEX(headerRow,1,COLUMN()),4,LEN(INDEX(headerRow,1,COLUMN()))),ovrHeaderRow,0))</f>
        <v>9.6</v>
      </c>
      <c r="CM126" s="12">
        <f>INDEX(ovrTable,MATCH(INDEX(oppCol24,ROW()),ovrTeamCol,0),MATCH(MID(INDEX(headerRow,1,COLUMN()),4,LEN(INDEX(headerRow,1,COLUMN()))),ovrHeaderRow,0))</f>
        <v>70.8</v>
      </c>
      <c r="CN126" s="12">
        <f>INDEX(ovrTable,MATCH(INDEX(oppCol24,ROW()),ovrTeamCol,0),MATCH(MID(INDEX(headerRow,1,COLUMN()),4,LEN(INDEX(headerRow,1,COLUMN()))),ovrHeaderRow,0))</f>
        <v>20.199999999999996</v>
      </c>
      <c r="CO126" s="12">
        <f>INDEX(ovrTable,MATCH(INDEX(oppCol24,ROW()),ovrTeamCol,0),MATCH(MID(INDEX(headerRow,1,COLUMN()),4,LEN(INDEX(headerRow,1,COLUMN()))),ovrHeaderRow,0))</f>
        <v>60.444444444444436</v>
      </c>
    </row>
    <row r="127" spans="1:93" x14ac:dyDescent="0.3">
      <c r="A127" s="6" t="s">
        <v>39</v>
      </c>
      <c r="B127" s="3">
        <v>11</v>
      </c>
      <c r="C127" s="13" t="s">
        <v>48</v>
      </c>
      <c r="D127" s="14">
        <v>63</v>
      </c>
      <c r="E127" s="23">
        <v>25</v>
      </c>
      <c r="F127" s="24">
        <v>3</v>
      </c>
      <c r="G127" s="23">
        <v>23.076923076923077</v>
      </c>
      <c r="H127" s="24">
        <v>13</v>
      </c>
      <c r="I127" s="25">
        <v>3.2</v>
      </c>
      <c r="J127" s="24">
        <v>16</v>
      </c>
      <c r="K127" s="24">
        <v>10</v>
      </c>
      <c r="L127" s="24">
        <v>6</v>
      </c>
      <c r="M127" s="24">
        <v>32.200000000000003</v>
      </c>
      <c r="N127" s="24">
        <v>31</v>
      </c>
      <c r="O127" s="26">
        <v>0.49201785714285717</v>
      </c>
      <c r="P127" s="24">
        <v>12</v>
      </c>
      <c r="Q127" s="24">
        <v>46.7</v>
      </c>
      <c r="R127" s="24">
        <v>17</v>
      </c>
      <c r="S127" s="23">
        <v>73.91304347826086</v>
      </c>
      <c r="T127" s="24">
        <v>23</v>
      </c>
      <c r="U127" s="24">
        <v>17</v>
      </c>
      <c r="V127" s="24">
        <v>64</v>
      </c>
      <c r="W127" s="24">
        <v>8</v>
      </c>
      <c r="X127" s="24">
        <v>76</v>
      </c>
      <c r="Y127" s="24">
        <v>-2</v>
      </c>
      <c r="Z127" s="24">
        <v>39</v>
      </c>
      <c r="AA127" s="24">
        <v>12</v>
      </c>
      <c r="AB127" s="24">
        <v>4</v>
      </c>
      <c r="AC127" s="24">
        <v>4</v>
      </c>
      <c r="AD127" s="24">
        <v>9</v>
      </c>
      <c r="AE127" s="24">
        <v>5</v>
      </c>
      <c r="AF127" s="46">
        <f t="shared" si="85"/>
        <v>67.882173447537468</v>
      </c>
      <c r="AG127" s="51">
        <f t="shared" ref="AG127" si="164">AVERAGE(AF126,AF127)</f>
        <v>68.119192313830837</v>
      </c>
      <c r="AH127" s="12">
        <f t="shared" si="157"/>
        <v>33.5</v>
      </c>
      <c r="AI127" s="12">
        <f t="shared" si="157"/>
        <v>7</v>
      </c>
      <c r="AJ127" s="12">
        <f t="shared" si="157"/>
        <v>34.5</v>
      </c>
      <c r="AK127" s="12">
        <f t="shared" si="157"/>
        <v>20.2</v>
      </c>
      <c r="AL127" s="12">
        <f t="shared" si="157"/>
        <v>1.37</v>
      </c>
      <c r="AM127" s="12">
        <f t="shared" si="157"/>
        <v>13.1</v>
      </c>
      <c r="AN127" s="12">
        <f t="shared" si="157"/>
        <v>18.8</v>
      </c>
      <c r="AO127" s="12">
        <f t="shared" si="157"/>
        <v>3.6</v>
      </c>
      <c r="AP127" s="12">
        <f t="shared" si="157"/>
        <v>43.3</v>
      </c>
      <c r="AQ127" s="12">
        <f t="shared" si="157"/>
        <v>25.17</v>
      </c>
      <c r="AR127" s="12">
        <f t="shared" si="158"/>
        <v>0.50700000000000001</v>
      </c>
      <c r="AS127" s="12">
        <f t="shared" si="158"/>
        <v>11.98</v>
      </c>
      <c r="AT127" s="12">
        <f t="shared" si="158"/>
        <v>45</v>
      </c>
      <c r="AU127" s="12">
        <f t="shared" si="158"/>
        <v>16.2</v>
      </c>
      <c r="AV127" s="12">
        <f t="shared" si="158"/>
        <v>73.3</v>
      </c>
      <c r="AW127" s="12">
        <f t="shared" si="158"/>
        <v>19.399999999999999</v>
      </c>
      <c r="AX127" s="12">
        <f t="shared" si="158"/>
        <v>14.2</v>
      </c>
      <c r="AY127" s="12">
        <f t="shared" si="158"/>
        <v>71.8</v>
      </c>
      <c r="AZ127" s="12">
        <f t="shared" si="158"/>
        <v>10.119999999999999</v>
      </c>
      <c r="BA127" s="12">
        <f t="shared" si="158"/>
        <v>75.599999999999994</v>
      </c>
      <c r="BB127" s="12">
        <f t="shared" si="159"/>
        <v>-0.9</v>
      </c>
      <c r="BC127" s="12">
        <f t="shared" si="159"/>
        <v>35.29</v>
      </c>
      <c r="BD127" s="12">
        <f t="shared" si="159"/>
        <v>3.9</v>
      </c>
      <c r="BE127" s="12">
        <f t="shared" si="159"/>
        <v>7.2</v>
      </c>
      <c r="BF127" s="12">
        <f t="shared" si="159"/>
        <v>2.7</v>
      </c>
      <c r="BG127" s="12">
        <f t="shared" si="159"/>
        <v>12.22</v>
      </c>
      <c r="BH127" s="12">
        <f t="shared" si="159"/>
        <v>9.6</v>
      </c>
      <c r="BI127" s="12">
        <f t="shared" si="159"/>
        <v>70.8</v>
      </c>
      <c r="BJ127" s="12">
        <f t="shared" si="159"/>
        <v>20.199999999999996</v>
      </c>
      <c r="BK127" s="12">
        <f t="shared" si="159"/>
        <v>60.444444444444436</v>
      </c>
      <c r="BL127" s="12">
        <f>INDEX(ovrTable,MATCH(INDEX(oppCol24,ROW()),ovrTeamCol,0),MATCH(MID(INDEX(headerRow,1,COLUMN()),4,LEN(INDEX(headerRow,1,COLUMN()))),ovrHeaderRow,0))</f>
        <v>31.8</v>
      </c>
      <c r="BM127" s="12">
        <f>INDEX(ovrTable,MATCH(INDEX(oppCol24,ROW()),ovrTeamCol,0),MATCH(MID(INDEX(headerRow,1,COLUMN()),4,LEN(INDEX(headerRow,1,COLUMN()))),ovrHeaderRow,0))</f>
        <v>8.3000000000000007</v>
      </c>
      <c r="BN127" s="12">
        <f>INDEX(ovrTable,MATCH(INDEX(oppCol24,ROW()),ovrTeamCol,0),MATCH(MID(INDEX(headerRow,1,COLUMN()),4,LEN(INDEX(headerRow,1,COLUMN()))),ovrHeaderRow,0))</f>
        <v>37.700000000000003</v>
      </c>
      <c r="BO127" s="12">
        <f>INDEX(ovrTable,MATCH(INDEX(oppCol24,ROW()),ovrTeamCol,0),MATCH(MID(INDEX(headerRow,1,COLUMN()),4,LEN(INDEX(headerRow,1,COLUMN()))),ovrHeaderRow,0))</f>
        <v>22</v>
      </c>
      <c r="BP127" s="12">
        <f>INDEX(ovrTable,MATCH(INDEX(oppCol24,ROW()),ovrTeamCol,0),MATCH(MID(INDEX(headerRow,1,COLUMN()),4,LEN(INDEX(headerRow,1,COLUMN()))),ovrHeaderRow,0))</f>
        <v>1.58</v>
      </c>
      <c r="BQ127" s="12">
        <f>INDEX(ovrTable,MATCH(INDEX(oppCol24,ROW()),ovrTeamCol,0),MATCH(MID(INDEX(headerRow,1,COLUMN()),4,LEN(INDEX(headerRow,1,COLUMN()))),ovrHeaderRow,0))</f>
        <v>15.3</v>
      </c>
      <c r="BR127" s="12">
        <f>INDEX(ovrTable,MATCH(INDEX(oppCol24,ROW()),ovrTeamCol,0),MATCH(MID(INDEX(headerRow,1,COLUMN()),4,LEN(INDEX(headerRow,1,COLUMN()))),ovrHeaderRow,0))</f>
        <v>14.22</v>
      </c>
      <c r="BS127" s="12">
        <f>INDEX(ovrTable,MATCH(INDEX(oppCol24,ROW()),ovrTeamCol,0),MATCH(MID(INDEX(headerRow,1,COLUMN()),4,LEN(INDEX(headerRow,1,COLUMN()))),ovrHeaderRow,0))</f>
        <v>3.7</v>
      </c>
      <c r="BT127" s="12">
        <f>INDEX(ovrTable,MATCH(INDEX(oppCol24,ROW()),ovrTeamCol,0),MATCH(MID(INDEX(headerRow,1,COLUMN()),4,LEN(INDEX(headerRow,1,COLUMN()))),ovrHeaderRow,0))</f>
        <v>43</v>
      </c>
      <c r="BU127" s="12">
        <f>INDEX(ovrTable,MATCH(INDEX(oppCol24,ROW()),ovrTeamCol,0),MATCH(MID(INDEX(headerRow,1,COLUMN()),4,LEN(INDEX(headerRow,1,COLUMN()))),ovrHeaderRow,0))</f>
        <v>26</v>
      </c>
      <c r="BV127" s="12">
        <f>INDEX(ovrTable,MATCH(INDEX(oppCol24,ROW()),ovrTeamCol,0),MATCH(MID(INDEX(headerRow,1,COLUMN()),4,LEN(INDEX(headerRow,1,COLUMN()))),ovrHeaderRow,0))</f>
        <v>0.54600000000000004</v>
      </c>
      <c r="BW127" s="12">
        <f>INDEX(ovrTable,MATCH(INDEX(oppCol24,ROW()),ovrTeamCol,0),MATCH(MID(INDEX(headerRow,1,COLUMN()),4,LEN(INDEX(headerRow,1,COLUMN()))),ovrHeaderRow,0))</f>
        <v>10.72</v>
      </c>
      <c r="BX127" s="12">
        <f>INDEX(ovrTable,MATCH(INDEX(oppCol24,ROW()),ovrTeamCol,0),MATCH(MID(INDEX(headerRow,1,COLUMN()),4,LEN(INDEX(headerRow,1,COLUMN()))),ovrHeaderRow,0))</f>
        <v>47.5</v>
      </c>
      <c r="BY127" s="12">
        <f>INDEX(ovrTable,MATCH(INDEX(oppCol24,ROW()),ovrTeamCol,0),MATCH(MID(INDEX(headerRow,1,COLUMN()),4,LEN(INDEX(headerRow,1,COLUMN()))),ovrHeaderRow,0))</f>
        <v>15.9</v>
      </c>
      <c r="BZ127" s="12">
        <f>INDEX(ovrTable,MATCH(INDEX(oppCol24,ROW()),ovrTeamCol,0),MATCH(MID(INDEX(headerRow,1,COLUMN()),4,LEN(INDEX(headerRow,1,COLUMN()))),ovrHeaderRow,0))</f>
        <v>72.3</v>
      </c>
      <c r="CA127" s="12">
        <f>INDEX(ovrTable,MATCH(INDEX(oppCol24,ROW()),ovrTeamCol,0),MATCH(MID(INDEX(headerRow,1,COLUMN()),4,LEN(INDEX(headerRow,1,COLUMN()))),ovrHeaderRow,0))</f>
        <v>20.100000000000001</v>
      </c>
      <c r="CB127" s="12">
        <f>INDEX(ovrTable,MATCH(INDEX(oppCol24,ROW()),ovrTeamCol,0),MATCH(MID(INDEX(headerRow,1,COLUMN()),4,LEN(INDEX(headerRow,1,COLUMN()))),ovrHeaderRow,0))</f>
        <v>14.6</v>
      </c>
      <c r="CC127" s="12">
        <f>INDEX(ovrTable,MATCH(INDEX(oppCol24,ROW()),ovrTeamCol,0),MATCH(MID(INDEX(headerRow,1,COLUMN()),4,LEN(INDEX(headerRow,1,COLUMN()))),ovrHeaderRow,0))</f>
        <v>66.3</v>
      </c>
      <c r="CD127" s="12">
        <f>INDEX(ovrTable,MATCH(INDEX(oppCol24,ROW()),ovrTeamCol,0),MATCH(MID(INDEX(headerRow,1,COLUMN()),4,LEN(INDEX(headerRow,1,COLUMN()))),ovrHeaderRow,0))</f>
        <v>10.64</v>
      </c>
      <c r="CE127" s="12">
        <f>INDEX(ovrTable,MATCH(INDEX(oppCol24,ROW()),ovrTeamCol,0),MATCH(MID(INDEX(headerRow,1,COLUMN()),4,LEN(INDEX(headerRow,1,COLUMN()))),ovrHeaderRow,0))</f>
        <v>78.599999999999994</v>
      </c>
      <c r="CF127" s="12">
        <f>INDEX(ovrTable,MATCH(INDEX(oppCol24,ROW()),ovrTeamCol,0),MATCH(MID(INDEX(headerRow,1,COLUMN()),4,LEN(INDEX(headerRow,1,COLUMN()))),ovrHeaderRow,0))</f>
        <v>5.0999999999999996</v>
      </c>
      <c r="CG127" s="12">
        <f>INDEX(ovrTable,MATCH(INDEX(oppCol24,ROW()),ovrTeamCol,0),MATCH(MID(INDEX(headerRow,1,COLUMN()),4,LEN(INDEX(headerRow,1,COLUMN()))),ovrHeaderRow,0))</f>
        <v>36.64</v>
      </c>
      <c r="CH127" s="12">
        <f>INDEX(ovrTable,MATCH(INDEX(oppCol24,ROW()),ovrTeamCol,0),MATCH(MID(INDEX(headerRow,1,COLUMN()),4,LEN(INDEX(headerRow,1,COLUMN()))),ovrHeaderRow,0))</f>
        <v>12.3</v>
      </c>
      <c r="CI127" s="12">
        <f>INDEX(ovrTable,MATCH(INDEX(oppCol24,ROW()),ovrTeamCol,0),MATCH(MID(INDEX(headerRow,1,COLUMN()),4,LEN(INDEX(headerRow,1,COLUMN()))),ovrHeaderRow,0))</f>
        <v>6.5</v>
      </c>
      <c r="CJ127" s="12">
        <f>INDEX(ovrTable,MATCH(INDEX(oppCol24,ROW()),ovrTeamCol,0),MATCH(MID(INDEX(headerRow,1,COLUMN()),4,LEN(INDEX(headerRow,1,COLUMN()))),ovrHeaderRow,0))</f>
        <v>1.6</v>
      </c>
      <c r="CK127" s="12">
        <f>INDEX(ovrTable,MATCH(INDEX(oppCol24,ROW()),ovrTeamCol,0),MATCH(MID(INDEX(headerRow,1,COLUMN()),4,LEN(INDEX(headerRow,1,COLUMN()))),ovrHeaderRow,0))</f>
        <v>11.31</v>
      </c>
      <c r="CL127" s="12">
        <f>INDEX(ovrTable,MATCH(INDEX(oppCol24,ROW()),ovrTeamCol,0),MATCH(MID(INDEX(headerRow,1,COLUMN()),4,LEN(INDEX(headerRow,1,COLUMN()))),ovrHeaderRow,0))</f>
        <v>9.6999999999999993</v>
      </c>
      <c r="CM127" s="12">
        <f>INDEX(ovrTable,MATCH(INDEX(oppCol24,ROW()),ovrTeamCol,0),MATCH(MID(INDEX(headerRow,1,COLUMN()),4,LEN(INDEX(headerRow,1,COLUMN()))),ovrHeaderRow,0))</f>
        <v>68.599999999999994</v>
      </c>
      <c r="CN127" s="12">
        <f>INDEX(ovrTable,MATCH(INDEX(oppCol24,ROW()),ovrTeamCol,0),MATCH(MID(INDEX(headerRow,1,COLUMN()),4,LEN(INDEX(headerRow,1,COLUMN()))),ovrHeaderRow,0))</f>
        <v>19.549999999999997</v>
      </c>
      <c r="CO127" s="12">
        <f>INDEX(ovrTable,MATCH(INDEX(oppCol24,ROW()),ovrTeamCol,0),MATCH(MID(INDEX(headerRow,1,COLUMN()),4,LEN(INDEX(headerRow,1,COLUMN()))),ovrHeaderRow,0))</f>
        <v>58.631578947368418</v>
      </c>
    </row>
    <row r="128" spans="1:93" x14ac:dyDescent="0.3">
      <c r="A128" s="6" t="s">
        <v>55</v>
      </c>
      <c r="B128" s="3">
        <v>2</v>
      </c>
      <c r="C128" s="13" t="s">
        <v>54</v>
      </c>
      <c r="D128" s="14">
        <v>64</v>
      </c>
      <c r="E128" s="23">
        <v>20</v>
      </c>
      <c r="F128" s="24">
        <v>11</v>
      </c>
      <c r="G128" s="23">
        <v>42.307692307692307</v>
      </c>
      <c r="H128" s="24">
        <v>26</v>
      </c>
      <c r="I128" s="25">
        <v>2.4285714285714284</v>
      </c>
      <c r="J128" s="24">
        <v>17</v>
      </c>
      <c r="K128" s="24">
        <v>10</v>
      </c>
      <c r="L128" s="24">
        <v>4</v>
      </c>
      <c r="M128" s="24">
        <v>45.3</v>
      </c>
      <c r="N128" s="24">
        <v>20</v>
      </c>
      <c r="O128" s="26">
        <v>0.47568750000000004</v>
      </c>
      <c r="P128" s="24">
        <v>13</v>
      </c>
      <c r="Q128" s="24">
        <v>38.700000000000003</v>
      </c>
      <c r="R128" s="24">
        <v>25</v>
      </c>
      <c r="S128" s="23">
        <v>63.636363636363633</v>
      </c>
      <c r="T128" s="24">
        <v>11</v>
      </c>
      <c r="U128" s="24">
        <v>7</v>
      </c>
      <c r="V128" s="24">
        <v>72</v>
      </c>
      <c r="W128" s="24">
        <v>6</v>
      </c>
      <c r="X128" s="24">
        <v>66</v>
      </c>
      <c r="Y128" s="24">
        <v>-21</v>
      </c>
      <c r="Z128" s="24">
        <v>26</v>
      </c>
      <c r="AA128" s="24">
        <v>-6</v>
      </c>
      <c r="AB128" s="24">
        <v>8</v>
      </c>
      <c r="AC128" s="24">
        <v>3</v>
      </c>
      <c r="AD128" s="24">
        <v>10</v>
      </c>
      <c r="AE128" s="24">
        <v>7</v>
      </c>
      <c r="AF128" s="46">
        <f t="shared" si="85"/>
        <v>68.240503875968983</v>
      </c>
      <c r="AG128" s="51">
        <f t="shared" ref="AG128" si="165">AVERAGE(AF128,AF129)</f>
        <v>66.94781816315006</v>
      </c>
      <c r="AH128" s="12">
        <f t="shared" si="157"/>
        <v>31.2</v>
      </c>
      <c r="AI128" s="12">
        <f t="shared" si="157"/>
        <v>8.8000000000000007</v>
      </c>
      <c r="AJ128" s="12">
        <f t="shared" si="157"/>
        <v>34.4</v>
      </c>
      <c r="AK128" s="12">
        <f t="shared" si="157"/>
        <v>25.4</v>
      </c>
      <c r="AL128" s="12">
        <f t="shared" si="157"/>
        <v>1.63</v>
      </c>
      <c r="AM128" s="12">
        <f t="shared" si="157"/>
        <v>16.7</v>
      </c>
      <c r="AN128" s="12">
        <f t="shared" si="157"/>
        <v>18.86</v>
      </c>
      <c r="AO128" s="12">
        <f t="shared" si="157"/>
        <v>4.5999999999999996</v>
      </c>
      <c r="AP128" s="12">
        <f t="shared" si="157"/>
        <v>38.9</v>
      </c>
      <c r="AQ128" s="12">
        <f t="shared" si="157"/>
        <v>27.06</v>
      </c>
      <c r="AR128" s="12">
        <f t="shared" si="158"/>
        <v>0.51100000000000001</v>
      </c>
      <c r="AS128" s="12">
        <f t="shared" si="158"/>
        <v>12.19</v>
      </c>
      <c r="AT128" s="12">
        <f t="shared" si="158"/>
        <v>44</v>
      </c>
      <c r="AU128" s="12">
        <f t="shared" si="158"/>
        <v>17.5</v>
      </c>
      <c r="AV128" s="12">
        <f t="shared" si="158"/>
        <v>75.099999999999994</v>
      </c>
      <c r="AW128" s="12">
        <f t="shared" si="158"/>
        <v>20.8</v>
      </c>
      <c r="AX128" s="12">
        <f t="shared" si="158"/>
        <v>15.6</v>
      </c>
      <c r="AY128" s="12">
        <f t="shared" si="158"/>
        <v>67.400000000000006</v>
      </c>
      <c r="AZ128" s="12">
        <f t="shared" si="158"/>
        <v>11.64</v>
      </c>
      <c r="BA128" s="12">
        <f t="shared" si="158"/>
        <v>78.8</v>
      </c>
      <c r="BB128" s="12">
        <f t="shared" si="159"/>
        <v>3.6</v>
      </c>
      <c r="BC128" s="12">
        <f t="shared" si="159"/>
        <v>38.69</v>
      </c>
      <c r="BD128" s="12">
        <f t="shared" si="159"/>
        <v>11.4</v>
      </c>
      <c r="BE128" s="12">
        <f t="shared" si="159"/>
        <v>7.8</v>
      </c>
      <c r="BF128" s="12">
        <f t="shared" si="159"/>
        <v>2.8</v>
      </c>
      <c r="BG128" s="12">
        <f t="shared" si="159"/>
        <v>13.03</v>
      </c>
      <c r="BH128" s="12">
        <f t="shared" si="159"/>
        <v>10.199999999999999</v>
      </c>
      <c r="BI128" s="12">
        <f t="shared" si="159"/>
        <v>71.599999999999994</v>
      </c>
      <c r="BJ128" s="12">
        <f t="shared" si="159"/>
        <v>18.399999999999999</v>
      </c>
      <c r="BK128" s="12">
        <f t="shared" si="159"/>
        <v>61.81818181818182</v>
      </c>
      <c r="BL128" s="12">
        <f>INDEX(ovrTable,MATCH(INDEX(oppCol24,ROW()),ovrTeamCol,0),MATCH(MID(INDEX(headerRow,1,COLUMN()),4,LEN(INDEX(headerRow,1,COLUMN()))),ovrHeaderRow,0))</f>
        <v>31.5</v>
      </c>
      <c r="BM128" s="12">
        <f>INDEX(ovrTable,MATCH(INDEX(oppCol24,ROW()),ovrTeamCol,0),MATCH(MID(INDEX(headerRow,1,COLUMN()),4,LEN(INDEX(headerRow,1,COLUMN()))),ovrHeaderRow,0))</f>
        <v>8.1999999999999993</v>
      </c>
      <c r="BN128" s="12">
        <f>INDEX(ovrTable,MATCH(INDEX(oppCol24,ROW()),ovrTeamCol,0),MATCH(MID(INDEX(headerRow,1,COLUMN()),4,LEN(INDEX(headerRow,1,COLUMN()))),ovrHeaderRow,0))</f>
        <v>40.4</v>
      </c>
      <c r="BO128" s="12">
        <f>INDEX(ovrTable,MATCH(INDEX(oppCol24,ROW()),ovrTeamCol,0),MATCH(MID(INDEX(headerRow,1,COLUMN()),4,LEN(INDEX(headerRow,1,COLUMN()))),ovrHeaderRow,0))</f>
        <v>20.2</v>
      </c>
      <c r="BP128" s="12">
        <f>INDEX(ovrTable,MATCH(INDEX(oppCol24,ROW()),ovrTeamCol,0),MATCH(MID(INDEX(headerRow,1,COLUMN()),4,LEN(INDEX(headerRow,1,COLUMN()))),ovrHeaderRow,0))</f>
        <v>1.63</v>
      </c>
      <c r="BQ128" s="12">
        <f>INDEX(ovrTable,MATCH(INDEX(oppCol24,ROW()),ovrTeamCol,0),MATCH(MID(INDEX(headerRow,1,COLUMN()),4,LEN(INDEX(headerRow,1,COLUMN()))),ovrHeaderRow,0))</f>
        <v>18.5</v>
      </c>
      <c r="BR128" s="12">
        <f>INDEX(ovrTable,MATCH(INDEX(oppCol24,ROW()),ovrTeamCol,0),MATCH(MID(INDEX(headerRow,1,COLUMN()),4,LEN(INDEX(headerRow,1,COLUMN()))),ovrHeaderRow,0))</f>
        <v>16.72</v>
      </c>
      <c r="BS128" s="12">
        <f>INDEX(ovrTable,MATCH(INDEX(oppCol24,ROW()),ovrTeamCol,0),MATCH(MID(INDEX(headerRow,1,COLUMN()),4,LEN(INDEX(headerRow,1,COLUMN()))),ovrHeaderRow,0))</f>
        <v>3.6</v>
      </c>
      <c r="BT128" s="12">
        <f>INDEX(ovrTable,MATCH(INDEX(oppCol24,ROW()),ovrTeamCol,0),MATCH(MID(INDEX(headerRow,1,COLUMN()),4,LEN(INDEX(headerRow,1,COLUMN()))),ovrHeaderRow,0))</f>
        <v>41.7</v>
      </c>
      <c r="BU128" s="12">
        <f>INDEX(ovrTable,MATCH(INDEX(oppCol24,ROW()),ovrTeamCol,0),MATCH(MID(INDEX(headerRow,1,COLUMN()),4,LEN(INDEX(headerRow,1,COLUMN()))),ovrHeaderRow,0))</f>
        <v>28.23</v>
      </c>
      <c r="BV128" s="12">
        <f>INDEX(ovrTable,MATCH(INDEX(oppCol24,ROW()),ovrTeamCol,0),MATCH(MID(INDEX(headerRow,1,COLUMN()),4,LEN(INDEX(headerRow,1,COLUMN()))),ovrHeaderRow,0))</f>
        <v>0.55800000000000005</v>
      </c>
      <c r="BW128" s="12">
        <f>INDEX(ovrTable,MATCH(INDEX(oppCol24,ROW()),ovrTeamCol,0),MATCH(MID(INDEX(headerRow,1,COLUMN()),4,LEN(INDEX(headerRow,1,COLUMN()))),ovrHeaderRow,0))</f>
        <v>7</v>
      </c>
      <c r="BX128" s="12">
        <f>INDEX(ovrTable,MATCH(INDEX(oppCol24,ROW()),ovrTeamCol,0),MATCH(MID(INDEX(headerRow,1,COLUMN()),4,LEN(INDEX(headerRow,1,COLUMN()))),ovrHeaderRow,0))</f>
        <v>48.8</v>
      </c>
      <c r="BY128" s="12">
        <f>INDEX(ovrTable,MATCH(INDEX(oppCol24,ROW()),ovrTeamCol,0),MATCH(MID(INDEX(headerRow,1,COLUMN()),4,LEN(INDEX(headerRow,1,COLUMN()))),ovrHeaderRow,0))</f>
        <v>13.7</v>
      </c>
      <c r="BZ128" s="12">
        <f>INDEX(ovrTable,MATCH(INDEX(oppCol24,ROW()),ovrTeamCol,0),MATCH(MID(INDEX(headerRow,1,COLUMN()),4,LEN(INDEX(headerRow,1,COLUMN()))),ovrHeaderRow,0))</f>
        <v>72</v>
      </c>
      <c r="CA128" s="12">
        <f>INDEX(ovrTable,MATCH(INDEX(oppCol24,ROW()),ovrTeamCol,0),MATCH(MID(INDEX(headerRow,1,COLUMN()),4,LEN(INDEX(headerRow,1,COLUMN()))),ovrHeaderRow,0))</f>
        <v>24.1</v>
      </c>
      <c r="CB128" s="12">
        <f>INDEX(ovrTable,MATCH(INDEX(oppCol24,ROW()),ovrTeamCol,0),MATCH(MID(INDEX(headerRow,1,COLUMN()),4,LEN(INDEX(headerRow,1,COLUMN()))),ovrHeaderRow,0))</f>
        <v>17.3</v>
      </c>
      <c r="CC128" s="12">
        <f>INDEX(ovrTable,MATCH(INDEX(oppCol24,ROW()),ovrTeamCol,0),MATCH(MID(INDEX(headerRow,1,COLUMN()),4,LEN(INDEX(headerRow,1,COLUMN()))),ovrHeaderRow,0))</f>
        <v>68.900000000000006</v>
      </c>
      <c r="CD128" s="12">
        <f>INDEX(ovrTable,MATCH(INDEX(oppCol24,ROW()),ovrTeamCol,0),MATCH(MID(INDEX(headerRow,1,COLUMN()),4,LEN(INDEX(headerRow,1,COLUMN()))),ovrHeaderRow,0))</f>
        <v>12.21</v>
      </c>
      <c r="CE128" s="12">
        <f>INDEX(ovrTable,MATCH(INDEX(oppCol24,ROW()),ovrTeamCol,0),MATCH(MID(INDEX(headerRow,1,COLUMN()),4,LEN(INDEX(headerRow,1,COLUMN()))),ovrHeaderRow,0))</f>
        <v>82.3</v>
      </c>
      <c r="CF128" s="12">
        <f>INDEX(ovrTable,MATCH(INDEX(oppCol24,ROW()),ovrTeamCol,0),MATCH(MID(INDEX(headerRow,1,COLUMN()),4,LEN(INDEX(headerRow,1,COLUMN()))),ovrHeaderRow,0))</f>
        <v>11.2</v>
      </c>
      <c r="CG128" s="12">
        <f>INDEX(ovrTable,MATCH(INDEX(oppCol24,ROW()),ovrTeamCol,0),MATCH(MID(INDEX(headerRow,1,COLUMN()),4,LEN(INDEX(headerRow,1,COLUMN()))),ovrHeaderRow,0))</f>
        <v>40.44</v>
      </c>
      <c r="CH128" s="12">
        <f>INDEX(ovrTable,MATCH(INDEX(oppCol24,ROW()),ovrTeamCol,0),MATCH(MID(INDEX(headerRow,1,COLUMN()),4,LEN(INDEX(headerRow,1,COLUMN()))),ovrHeaderRow,0))</f>
        <v>13.4</v>
      </c>
      <c r="CI128" s="12">
        <f>INDEX(ovrTable,MATCH(INDEX(oppCol24,ROW()),ovrTeamCol,0),MATCH(MID(INDEX(headerRow,1,COLUMN()),4,LEN(INDEX(headerRow,1,COLUMN()))),ovrHeaderRow,0))</f>
        <v>5.4</v>
      </c>
      <c r="CJ128" s="12">
        <f>INDEX(ovrTable,MATCH(INDEX(oppCol24,ROW()),ovrTeamCol,0),MATCH(MID(INDEX(headerRow,1,COLUMN()),4,LEN(INDEX(headerRow,1,COLUMN()))),ovrHeaderRow,0))</f>
        <v>-1.9</v>
      </c>
      <c r="CK128" s="12">
        <f>INDEX(ovrTable,MATCH(INDEX(oppCol24,ROW()),ovrTeamCol,0),MATCH(MID(INDEX(headerRow,1,COLUMN()),4,LEN(INDEX(headerRow,1,COLUMN()))),ovrHeaderRow,0))</f>
        <v>9.44</v>
      </c>
      <c r="CL128" s="12">
        <f>INDEX(ovrTable,MATCH(INDEX(oppCol24,ROW()),ovrTeamCol,0),MATCH(MID(INDEX(headerRow,1,COLUMN()),4,LEN(INDEX(headerRow,1,COLUMN()))),ovrHeaderRow,0))</f>
        <v>11.3</v>
      </c>
      <c r="CM128" s="12">
        <f>INDEX(ovrTable,MATCH(INDEX(oppCol24,ROW()),ovrTeamCol,0),MATCH(MID(INDEX(headerRow,1,COLUMN()),4,LEN(INDEX(headerRow,1,COLUMN()))),ovrHeaderRow,0))</f>
        <v>70.099999999999994</v>
      </c>
      <c r="CN128" s="12">
        <f>INDEX(ovrTable,MATCH(INDEX(oppCol24,ROW()),ovrTeamCol,0),MATCH(MID(INDEX(headerRow,1,COLUMN()),4,LEN(INDEX(headerRow,1,COLUMN()))),ovrHeaderRow,0))</f>
        <v>20.200000000000003</v>
      </c>
      <c r="CO128" s="12">
        <f>INDEX(ovrTable,MATCH(INDEX(oppCol24,ROW()),ovrTeamCol,0),MATCH(MID(INDEX(headerRow,1,COLUMN()),4,LEN(INDEX(headerRow,1,COLUMN()))),ovrHeaderRow,0))</f>
        <v>58.196721311475414</v>
      </c>
    </row>
    <row r="129" spans="1:93" x14ac:dyDescent="0.3">
      <c r="A129" s="6" t="s">
        <v>54</v>
      </c>
      <c r="B129" s="3">
        <v>1</v>
      </c>
      <c r="C129" s="13" t="s">
        <v>55</v>
      </c>
      <c r="D129" s="14">
        <v>64</v>
      </c>
      <c r="E129" s="23">
        <v>42.307692307692307</v>
      </c>
      <c r="F129" s="24">
        <v>3</v>
      </c>
      <c r="G129" s="23">
        <v>20</v>
      </c>
      <c r="H129" s="24">
        <v>15</v>
      </c>
      <c r="I129" s="25">
        <v>1.6</v>
      </c>
      <c r="J129" s="24">
        <v>16</v>
      </c>
      <c r="K129" s="24">
        <v>0</v>
      </c>
      <c r="L129" s="24">
        <v>2</v>
      </c>
      <c r="M129" s="24">
        <v>38.700000000000003</v>
      </c>
      <c r="N129" s="24">
        <v>34</v>
      </c>
      <c r="O129" s="26">
        <v>0.48131249999999992</v>
      </c>
      <c r="P129" s="24">
        <v>9</v>
      </c>
      <c r="Q129" s="24">
        <v>45.3</v>
      </c>
      <c r="R129" s="24">
        <v>12</v>
      </c>
      <c r="S129" s="23">
        <v>63.636363636363633</v>
      </c>
      <c r="T129" s="24">
        <v>33</v>
      </c>
      <c r="U129" s="24">
        <v>21</v>
      </c>
      <c r="V129" s="24">
        <v>66</v>
      </c>
      <c r="W129" s="24">
        <v>13</v>
      </c>
      <c r="X129" s="24">
        <v>72</v>
      </c>
      <c r="Y129" s="24">
        <v>21</v>
      </c>
      <c r="Z129" s="24">
        <v>47</v>
      </c>
      <c r="AA129" s="24">
        <v>6</v>
      </c>
      <c r="AB129" s="24">
        <v>5</v>
      </c>
      <c r="AC129" s="24">
        <v>-3</v>
      </c>
      <c r="AD129" s="24">
        <v>7</v>
      </c>
      <c r="AE129" s="24">
        <v>10</v>
      </c>
      <c r="AF129" s="46">
        <f t="shared" si="85"/>
        <v>65.655132450331124</v>
      </c>
      <c r="AG129" s="51">
        <f t="shared" ref="AG129" si="166">AVERAGE(AF128,AF129)</f>
        <v>66.94781816315006</v>
      </c>
      <c r="AH129" s="12">
        <f t="shared" si="157"/>
        <v>31.5</v>
      </c>
      <c r="AI129" s="12">
        <f t="shared" si="157"/>
        <v>8.1999999999999993</v>
      </c>
      <c r="AJ129" s="12">
        <f t="shared" si="157"/>
        <v>40.4</v>
      </c>
      <c r="AK129" s="12">
        <f t="shared" si="157"/>
        <v>20.2</v>
      </c>
      <c r="AL129" s="12">
        <f t="shared" si="157"/>
        <v>1.63</v>
      </c>
      <c r="AM129" s="12">
        <f t="shared" si="157"/>
        <v>18.5</v>
      </c>
      <c r="AN129" s="12">
        <f t="shared" si="157"/>
        <v>16.72</v>
      </c>
      <c r="AO129" s="12">
        <f t="shared" si="157"/>
        <v>3.6</v>
      </c>
      <c r="AP129" s="12">
        <f t="shared" si="157"/>
        <v>41.7</v>
      </c>
      <c r="AQ129" s="12">
        <f t="shared" si="157"/>
        <v>28.23</v>
      </c>
      <c r="AR129" s="12">
        <f t="shared" si="158"/>
        <v>0.55800000000000005</v>
      </c>
      <c r="AS129" s="12">
        <f t="shared" si="158"/>
        <v>7</v>
      </c>
      <c r="AT129" s="12">
        <f t="shared" si="158"/>
        <v>48.8</v>
      </c>
      <c r="AU129" s="12">
        <f t="shared" si="158"/>
        <v>13.7</v>
      </c>
      <c r="AV129" s="12">
        <f t="shared" si="158"/>
        <v>72</v>
      </c>
      <c r="AW129" s="12">
        <f t="shared" si="158"/>
        <v>24.1</v>
      </c>
      <c r="AX129" s="12">
        <f t="shared" si="158"/>
        <v>17.3</v>
      </c>
      <c r="AY129" s="12">
        <f t="shared" si="158"/>
        <v>68.900000000000006</v>
      </c>
      <c r="AZ129" s="12">
        <f t="shared" si="158"/>
        <v>12.21</v>
      </c>
      <c r="BA129" s="12">
        <f t="shared" si="158"/>
        <v>82.3</v>
      </c>
      <c r="BB129" s="12">
        <f t="shared" si="159"/>
        <v>11.2</v>
      </c>
      <c r="BC129" s="12">
        <f t="shared" si="159"/>
        <v>40.44</v>
      </c>
      <c r="BD129" s="12">
        <f t="shared" si="159"/>
        <v>13.4</v>
      </c>
      <c r="BE129" s="12">
        <f t="shared" si="159"/>
        <v>5.4</v>
      </c>
      <c r="BF129" s="12">
        <f t="shared" si="159"/>
        <v>-1.9</v>
      </c>
      <c r="BG129" s="12">
        <f t="shared" si="159"/>
        <v>9.44</v>
      </c>
      <c r="BH129" s="12">
        <f t="shared" si="159"/>
        <v>11.3</v>
      </c>
      <c r="BI129" s="12">
        <f t="shared" si="159"/>
        <v>70.099999999999994</v>
      </c>
      <c r="BJ129" s="12">
        <f t="shared" si="159"/>
        <v>20.200000000000003</v>
      </c>
      <c r="BK129" s="12">
        <f t="shared" si="159"/>
        <v>58.196721311475414</v>
      </c>
      <c r="BL129" s="12">
        <f>INDEX(ovrTable,MATCH(INDEX(oppCol24,ROW()),ovrTeamCol,0),MATCH(MID(INDEX(headerRow,1,COLUMN()),4,LEN(INDEX(headerRow,1,COLUMN()))),ovrHeaderRow,0))</f>
        <v>31.2</v>
      </c>
      <c r="BM129" s="12">
        <f>INDEX(ovrTable,MATCH(INDEX(oppCol24,ROW()),ovrTeamCol,0),MATCH(MID(INDEX(headerRow,1,COLUMN()),4,LEN(INDEX(headerRow,1,COLUMN()))),ovrHeaderRow,0))</f>
        <v>8.8000000000000007</v>
      </c>
      <c r="BN129" s="12">
        <f>INDEX(ovrTable,MATCH(INDEX(oppCol24,ROW()),ovrTeamCol,0),MATCH(MID(INDEX(headerRow,1,COLUMN()),4,LEN(INDEX(headerRow,1,COLUMN()))),ovrHeaderRow,0))</f>
        <v>34.4</v>
      </c>
      <c r="BO129" s="12">
        <f>INDEX(ovrTable,MATCH(INDEX(oppCol24,ROW()),ovrTeamCol,0),MATCH(MID(INDEX(headerRow,1,COLUMN()),4,LEN(INDEX(headerRow,1,COLUMN()))),ovrHeaderRow,0))</f>
        <v>25.4</v>
      </c>
      <c r="BP129" s="12">
        <f>INDEX(ovrTable,MATCH(INDEX(oppCol24,ROW()),ovrTeamCol,0),MATCH(MID(INDEX(headerRow,1,COLUMN()),4,LEN(INDEX(headerRow,1,COLUMN()))),ovrHeaderRow,0))</f>
        <v>1.63</v>
      </c>
      <c r="BQ129" s="12">
        <f>INDEX(ovrTable,MATCH(INDEX(oppCol24,ROW()),ovrTeamCol,0),MATCH(MID(INDEX(headerRow,1,COLUMN()),4,LEN(INDEX(headerRow,1,COLUMN()))),ovrHeaderRow,0))</f>
        <v>16.7</v>
      </c>
      <c r="BR129" s="12">
        <f>INDEX(ovrTable,MATCH(INDEX(oppCol24,ROW()),ovrTeamCol,0),MATCH(MID(INDEX(headerRow,1,COLUMN()),4,LEN(INDEX(headerRow,1,COLUMN()))),ovrHeaderRow,0))</f>
        <v>18.86</v>
      </c>
      <c r="BS129" s="12">
        <f>INDEX(ovrTable,MATCH(INDEX(oppCol24,ROW()),ovrTeamCol,0),MATCH(MID(INDEX(headerRow,1,COLUMN()),4,LEN(INDEX(headerRow,1,COLUMN()))),ovrHeaderRow,0))</f>
        <v>4.5999999999999996</v>
      </c>
      <c r="BT129" s="12">
        <f>INDEX(ovrTable,MATCH(INDEX(oppCol24,ROW()),ovrTeamCol,0),MATCH(MID(INDEX(headerRow,1,COLUMN()),4,LEN(INDEX(headerRow,1,COLUMN()))),ovrHeaderRow,0))</f>
        <v>38.9</v>
      </c>
      <c r="BU129" s="12">
        <f>INDEX(ovrTable,MATCH(INDEX(oppCol24,ROW()),ovrTeamCol,0),MATCH(MID(INDEX(headerRow,1,COLUMN()),4,LEN(INDEX(headerRow,1,COLUMN()))),ovrHeaderRow,0))</f>
        <v>27.06</v>
      </c>
      <c r="BV129" s="12">
        <f>INDEX(ovrTable,MATCH(INDEX(oppCol24,ROW()),ovrTeamCol,0),MATCH(MID(INDEX(headerRow,1,COLUMN()),4,LEN(INDEX(headerRow,1,COLUMN()))),ovrHeaderRow,0))</f>
        <v>0.51100000000000001</v>
      </c>
      <c r="BW129" s="12">
        <f>INDEX(ovrTable,MATCH(INDEX(oppCol24,ROW()),ovrTeamCol,0),MATCH(MID(INDEX(headerRow,1,COLUMN()),4,LEN(INDEX(headerRow,1,COLUMN()))),ovrHeaderRow,0))</f>
        <v>12.19</v>
      </c>
      <c r="BX129" s="12">
        <f>INDEX(ovrTable,MATCH(INDEX(oppCol24,ROW()),ovrTeamCol,0),MATCH(MID(INDEX(headerRow,1,COLUMN()),4,LEN(INDEX(headerRow,1,COLUMN()))),ovrHeaderRow,0))</f>
        <v>44</v>
      </c>
      <c r="BY129" s="12">
        <f>INDEX(ovrTable,MATCH(INDEX(oppCol24,ROW()),ovrTeamCol,0),MATCH(MID(INDEX(headerRow,1,COLUMN()),4,LEN(INDEX(headerRow,1,COLUMN()))),ovrHeaderRow,0))</f>
        <v>17.5</v>
      </c>
      <c r="BZ129" s="12">
        <f>INDEX(ovrTable,MATCH(INDEX(oppCol24,ROW()),ovrTeamCol,0),MATCH(MID(INDEX(headerRow,1,COLUMN()),4,LEN(INDEX(headerRow,1,COLUMN()))),ovrHeaderRow,0))</f>
        <v>75.099999999999994</v>
      </c>
      <c r="CA129" s="12">
        <f>INDEX(ovrTable,MATCH(INDEX(oppCol24,ROW()),ovrTeamCol,0),MATCH(MID(INDEX(headerRow,1,COLUMN()),4,LEN(INDEX(headerRow,1,COLUMN()))),ovrHeaderRow,0))</f>
        <v>20.8</v>
      </c>
      <c r="CB129" s="12">
        <f>INDEX(ovrTable,MATCH(INDEX(oppCol24,ROW()),ovrTeamCol,0),MATCH(MID(INDEX(headerRow,1,COLUMN()),4,LEN(INDEX(headerRow,1,COLUMN()))),ovrHeaderRow,0))</f>
        <v>15.6</v>
      </c>
      <c r="CC129" s="12">
        <f>INDEX(ovrTable,MATCH(INDEX(oppCol24,ROW()),ovrTeamCol,0),MATCH(MID(INDEX(headerRow,1,COLUMN()),4,LEN(INDEX(headerRow,1,COLUMN()))),ovrHeaderRow,0))</f>
        <v>67.400000000000006</v>
      </c>
      <c r="CD129" s="12">
        <f>INDEX(ovrTable,MATCH(INDEX(oppCol24,ROW()),ovrTeamCol,0),MATCH(MID(INDEX(headerRow,1,COLUMN()),4,LEN(INDEX(headerRow,1,COLUMN()))),ovrHeaderRow,0))</f>
        <v>11.64</v>
      </c>
      <c r="CE129" s="12">
        <f>INDEX(ovrTable,MATCH(INDEX(oppCol24,ROW()),ovrTeamCol,0),MATCH(MID(INDEX(headerRow,1,COLUMN()),4,LEN(INDEX(headerRow,1,COLUMN()))),ovrHeaderRow,0))</f>
        <v>78.8</v>
      </c>
      <c r="CF129" s="12">
        <f>INDEX(ovrTable,MATCH(INDEX(oppCol24,ROW()),ovrTeamCol,0),MATCH(MID(INDEX(headerRow,1,COLUMN()),4,LEN(INDEX(headerRow,1,COLUMN()))),ovrHeaderRow,0))</f>
        <v>3.6</v>
      </c>
      <c r="CG129" s="12">
        <f>INDEX(ovrTable,MATCH(INDEX(oppCol24,ROW()),ovrTeamCol,0),MATCH(MID(INDEX(headerRow,1,COLUMN()),4,LEN(INDEX(headerRow,1,COLUMN()))),ovrHeaderRow,0))</f>
        <v>38.69</v>
      </c>
      <c r="CH129" s="12">
        <f>INDEX(ovrTable,MATCH(INDEX(oppCol24,ROW()),ovrTeamCol,0),MATCH(MID(INDEX(headerRow,1,COLUMN()),4,LEN(INDEX(headerRow,1,COLUMN()))),ovrHeaderRow,0))</f>
        <v>11.4</v>
      </c>
      <c r="CI129" s="12">
        <f>INDEX(ovrTable,MATCH(INDEX(oppCol24,ROW()),ovrTeamCol,0),MATCH(MID(INDEX(headerRow,1,COLUMN()),4,LEN(INDEX(headerRow,1,COLUMN()))),ovrHeaderRow,0))</f>
        <v>7.8</v>
      </c>
      <c r="CJ129" s="12">
        <f>INDEX(ovrTable,MATCH(INDEX(oppCol24,ROW()),ovrTeamCol,0),MATCH(MID(INDEX(headerRow,1,COLUMN()),4,LEN(INDEX(headerRow,1,COLUMN()))),ovrHeaderRow,0))</f>
        <v>2.8</v>
      </c>
      <c r="CK129" s="12">
        <f>INDEX(ovrTable,MATCH(INDEX(oppCol24,ROW()),ovrTeamCol,0),MATCH(MID(INDEX(headerRow,1,COLUMN()),4,LEN(INDEX(headerRow,1,COLUMN()))),ovrHeaderRow,0))</f>
        <v>13.03</v>
      </c>
      <c r="CL129" s="12">
        <f>INDEX(ovrTable,MATCH(INDEX(oppCol24,ROW()),ovrTeamCol,0),MATCH(MID(INDEX(headerRow,1,COLUMN()),4,LEN(INDEX(headerRow,1,COLUMN()))),ovrHeaderRow,0))</f>
        <v>10.199999999999999</v>
      </c>
      <c r="CM129" s="12">
        <f>INDEX(ovrTable,MATCH(INDEX(oppCol24,ROW()),ovrTeamCol,0),MATCH(MID(INDEX(headerRow,1,COLUMN()),4,LEN(INDEX(headerRow,1,COLUMN()))),ovrHeaderRow,0))</f>
        <v>71.599999999999994</v>
      </c>
      <c r="CN129" s="12">
        <f>INDEX(ovrTable,MATCH(INDEX(oppCol24,ROW()),ovrTeamCol,0),MATCH(MID(INDEX(headerRow,1,COLUMN()),4,LEN(INDEX(headerRow,1,COLUMN()))),ovrHeaderRow,0))</f>
        <v>18.399999999999999</v>
      </c>
      <c r="CO129" s="12">
        <f>INDEX(ovrTable,MATCH(INDEX(oppCol24,ROW()),ovrTeamCol,0),MATCH(MID(INDEX(headerRow,1,COLUMN()),4,LEN(INDEX(headerRow,1,COLUMN()))),ovrHeaderRow,0))</f>
        <v>61.81818181818182</v>
      </c>
    </row>
    <row r="130" spans="1:93" x14ac:dyDescent="0.3">
      <c r="A130" s="6" t="s">
        <v>21</v>
      </c>
      <c r="B130" s="3">
        <v>4</v>
      </c>
      <c r="C130" s="13" t="s">
        <v>2</v>
      </c>
      <c r="D130" s="14">
        <v>65</v>
      </c>
      <c r="E130" s="23">
        <v>40</v>
      </c>
      <c r="F130" s="24">
        <v>11</v>
      </c>
      <c r="G130" s="23">
        <v>47.826086956521742</v>
      </c>
      <c r="H130" s="24">
        <v>23</v>
      </c>
      <c r="I130" s="25">
        <v>1.125</v>
      </c>
      <c r="J130" s="24">
        <v>9</v>
      </c>
      <c r="K130" s="24">
        <v>6</v>
      </c>
      <c r="L130" s="24">
        <v>5</v>
      </c>
      <c r="M130" s="24">
        <v>50</v>
      </c>
      <c r="N130" s="24">
        <v>21</v>
      </c>
      <c r="O130" s="26">
        <v>0.54276923076923067</v>
      </c>
      <c r="P130" s="24">
        <v>0</v>
      </c>
      <c r="Q130" s="24">
        <v>44.8</v>
      </c>
      <c r="R130" s="24">
        <v>15</v>
      </c>
      <c r="S130" s="23">
        <v>81.818181818181827</v>
      </c>
      <c r="T130" s="24">
        <v>11</v>
      </c>
      <c r="U130" s="24">
        <v>9</v>
      </c>
      <c r="V130" s="24">
        <v>86</v>
      </c>
      <c r="W130" s="24">
        <v>8</v>
      </c>
      <c r="X130" s="24">
        <v>72</v>
      </c>
      <c r="Y130" s="24">
        <v>-8</v>
      </c>
      <c r="Z130" s="24">
        <v>29</v>
      </c>
      <c r="AA130" s="24">
        <v>-14</v>
      </c>
      <c r="AB130" s="24">
        <v>2</v>
      </c>
      <c r="AC130" s="24">
        <v>-4</v>
      </c>
      <c r="AD130" s="24">
        <v>4</v>
      </c>
      <c r="AE130" s="24">
        <v>8</v>
      </c>
      <c r="AF130" s="46">
        <f t="shared" si="85"/>
        <v>63.260714285714293</v>
      </c>
      <c r="AG130" s="51">
        <f t="shared" ref="AG130" si="167">AVERAGE(AF130,AF131)</f>
        <v>62.905357142857142</v>
      </c>
      <c r="AH130" s="12">
        <f t="shared" si="157"/>
        <v>31.7</v>
      </c>
      <c r="AI130" s="12">
        <f t="shared" si="157"/>
        <v>11.2</v>
      </c>
      <c r="AJ130" s="12">
        <f t="shared" si="157"/>
        <v>37.299999999999997</v>
      </c>
      <c r="AK130" s="12">
        <f t="shared" si="157"/>
        <v>29.9</v>
      </c>
      <c r="AL130" s="12">
        <f t="shared" si="157"/>
        <v>1.34</v>
      </c>
      <c r="AM130" s="12">
        <f t="shared" si="157"/>
        <v>15.9</v>
      </c>
      <c r="AN130" s="12">
        <f t="shared" si="157"/>
        <v>25.11</v>
      </c>
      <c r="AO130" s="12">
        <f t="shared" si="157"/>
        <v>4.4000000000000004</v>
      </c>
      <c r="AP130" s="12">
        <f t="shared" si="157"/>
        <v>43.7</v>
      </c>
      <c r="AQ130" s="12">
        <f t="shared" si="157"/>
        <v>26.89</v>
      </c>
      <c r="AR130" s="12">
        <f t="shared" si="158"/>
        <v>0.56299999999999994</v>
      </c>
      <c r="AS130" s="12">
        <f t="shared" si="158"/>
        <v>13.7</v>
      </c>
      <c r="AT130" s="12">
        <f t="shared" si="158"/>
        <v>47.6</v>
      </c>
      <c r="AU130" s="12">
        <f t="shared" si="158"/>
        <v>19.8</v>
      </c>
      <c r="AV130" s="12">
        <f t="shared" si="158"/>
        <v>77.2</v>
      </c>
      <c r="AW130" s="12">
        <f t="shared" si="158"/>
        <v>22.8</v>
      </c>
      <c r="AX130" s="12">
        <f t="shared" si="158"/>
        <v>17.600000000000001</v>
      </c>
      <c r="AY130" s="12">
        <f t="shared" si="158"/>
        <v>81.2</v>
      </c>
      <c r="AZ130" s="12">
        <f t="shared" si="158"/>
        <v>12.76</v>
      </c>
      <c r="BA130" s="12">
        <f t="shared" si="158"/>
        <v>90.1</v>
      </c>
      <c r="BB130" s="12">
        <f t="shared" si="159"/>
        <v>3.9</v>
      </c>
      <c r="BC130" s="12">
        <f t="shared" si="159"/>
        <v>39.65</v>
      </c>
      <c r="BD130" s="12">
        <f t="shared" si="159"/>
        <v>8.9</v>
      </c>
      <c r="BE130" s="12">
        <f t="shared" si="159"/>
        <v>6.9</v>
      </c>
      <c r="BF130" s="12">
        <f t="shared" si="159"/>
        <v>-0.5</v>
      </c>
      <c r="BG130" s="12">
        <f t="shared" si="159"/>
        <v>11.3</v>
      </c>
      <c r="BH130" s="12">
        <f t="shared" si="159"/>
        <v>11.8</v>
      </c>
      <c r="BI130" s="12">
        <f t="shared" si="159"/>
        <v>76.3</v>
      </c>
      <c r="BJ130" s="12">
        <f t="shared" si="159"/>
        <v>19.450000000000003</v>
      </c>
      <c r="BK130" s="12">
        <f t="shared" si="159"/>
        <v>64.390756302521012</v>
      </c>
      <c r="BL130" s="12">
        <f>INDEX(ovrTable,MATCH(INDEX(oppCol24,ROW()),ovrTeamCol,0),MATCH(MID(INDEX(headerRow,1,COLUMN()),4,LEN(INDEX(headerRow,1,COLUMN()))),ovrHeaderRow,0))</f>
        <v>31.2</v>
      </c>
      <c r="BM130" s="12">
        <f>INDEX(ovrTable,MATCH(INDEX(oppCol24,ROW()),ovrTeamCol,0),MATCH(MID(INDEX(headerRow,1,COLUMN()),4,LEN(INDEX(headerRow,1,COLUMN()))),ovrHeaderRow,0))</f>
        <v>8.5</v>
      </c>
      <c r="BN130" s="12">
        <f>INDEX(ovrTable,MATCH(INDEX(oppCol24,ROW()),ovrTeamCol,0),MATCH(MID(INDEX(headerRow,1,COLUMN()),4,LEN(INDEX(headerRow,1,COLUMN()))),ovrHeaderRow,0))</f>
        <v>35.799999999999997</v>
      </c>
      <c r="BO130" s="12">
        <f>INDEX(ovrTable,MATCH(INDEX(oppCol24,ROW()),ovrTeamCol,0),MATCH(MID(INDEX(headerRow,1,COLUMN()),4,LEN(INDEX(headerRow,1,COLUMN()))),ovrHeaderRow,0))</f>
        <v>23.8</v>
      </c>
      <c r="BP130" s="12">
        <f>INDEX(ovrTable,MATCH(INDEX(oppCol24,ROW()),ovrTeamCol,0),MATCH(MID(INDEX(headerRow,1,COLUMN()),4,LEN(INDEX(headerRow,1,COLUMN()))),ovrHeaderRow,0))</f>
        <v>1.95</v>
      </c>
      <c r="BQ130" s="12">
        <f>INDEX(ovrTable,MATCH(INDEX(oppCol24,ROW()),ovrTeamCol,0),MATCH(MID(INDEX(headerRow,1,COLUMN()),4,LEN(INDEX(headerRow,1,COLUMN()))),ovrHeaderRow,0))</f>
        <v>18.7</v>
      </c>
      <c r="BR130" s="12">
        <f>INDEX(ovrTable,MATCH(INDEX(oppCol24,ROW()),ovrTeamCol,0),MATCH(MID(INDEX(headerRow,1,COLUMN()),4,LEN(INDEX(headerRow,1,COLUMN()))),ovrHeaderRow,0))</f>
        <v>16.149999999999999</v>
      </c>
      <c r="BS130" s="12">
        <f>INDEX(ovrTable,MATCH(INDEX(oppCol24,ROW()),ovrTeamCol,0),MATCH(MID(INDEX(headerRow,1,COLUMN()),4,LEN(INDEX(headerRow,1,COLUMN()))),ovrHeaderRow,0))</f>
        <v>5.4</v>
      </c>
      <c r="BT130" s="12">
        <f>INDEX(ovrTable,MATCH(INDEX(oppCol24,ROW()),ovrTeamCol,0),MATCH(MID(INDEX(headerRow,1,COLUMN()),4,LEN(INDEX(headerRow,1,COLUMN()))),ovrHeaderRow,0))</f>
        <v>39.200000000000003</v>
      </c>
      <c r="BU130" s="12">
        <f>INDEX(ovrTable,MATCH(INDEX(oppCol24,ROW()),ovrTeamCol,0),MATCH(MID(INDEX(headerRow,1,COLUMN()),4,LEN(INDEX(headerRow,1,COLUMN()))),ovrHeaderRow,0))</f>
        <v>27.1</v>
      </c>
      <c r="BV130" s="12">
        <f>INDEX(ovrTable,MATCH(INDEX(oppCol24,ROW()),ovrTeamCol,0),MATCH(MID(INDEX(headerRow,1,COLUMN()),4,LEN(INDEX(headerRow,1,COLUMN()))),ovrHeaderRow,0))</f>
        <v>0.56899999999999995</v>
      </c>
      <c r="BW130" s="12">
        <f>INDEX(ovrTable,MATCH(INDEX(oppCol24,ROW()),ovrTeamCol,0),MATCH(MID(INDEX(headerRow,1,COLUMN()),4,LEN(INDEX(headerRow,1,COLUMN()))),ovrHeaderRow,0))</f>
        <v>11.95</v>
      </c>
      <c r="BX130" s="12">
        <f>INDEX(ovrTable,MATCH(INDEX(oppCol24,ROW()),ovrTeamCol,0),MATCH(MID(INDEX(headerRow,1,COLUMN()),4,LEN(INDEX(headerRow,1,COLUMN()))),ovrHeaderRow,0))</f>
        <v>49.7</v>
      </c>
      <c r="BY130" s="12">
        <f>INDEX(ovrTable,MATCH(INDEX(oppCol24,ROW()),ovrTeamCol,0),MATCH(MID(INDEX(headerRow,1,COLUMN()),4,LEN(INDEX(headerRow,1,COLUMN()))),ovrHeaderRow,0))</f>
        <v>16.3</v>
      </c>
      <c r="BZ130" s="12">
        <f>INDEX(ovrTable,MATCH(INDEX(oppCol24,ROW()),ovrTeamCol,0),MATCH(MID(INDEX(headerRow,1,COLUMN()),4,LEN(INDEX(headerRow,1,COLUMN()))),ovrHeaderRow,0))</f>
        <v>74.3</v>
      </c>
      <c r="CA130" s="12">
        <f>INDEX(ovrTable,MATCH(INDEX(oppCol24,ROW()),ovrTeamCol,0),MATCH(MID(INDEX(headerRow,1,COLUMN()),4,LEN(INDEX(headerRow,1,COLUMN()))),ovrHeaderRow,0))</f>
        <v>18.899999999999999</v>
      </c>
      <c r="CB130" s="12">
        <f>INDEX(ovrTable,MATCH(INDEX(oppCol24,ROW()),ovrTeamCol,0),MATCH(MID(INDEX(headerRow,1,COLUMN()),4,LEN(INDEX(headerRow,1,COLUMN()))),ovrHeaderRow,0))</f>
        <v>14.1</v>
      </c>
      <c r="CC130" s="12">
        <f>INDEX(ovrTable,MATCH(INDEX(oppCol24,ROW()),ovrTeamCol,0),MATCH(MID(INDEX(headerRow,1,COLUMN()),4,LEN(INDEX(headerRow,1,COLUMN()))),ovrHeaderRow,0))</f>
        <v>63.4</v>
      </c>
      <c r="CD130" s="12">
        <f>INDEX(ovrTable,MATCH(INDEX(oppCol24,ROW()),ovrTeamCol,0),MATCH(MID(INDEX(headerRow,1,COLUMN()),4,LEN(INDEX(headerRow,1,COLUMN()))),ovrHeaderRow,0))</f>
        <v>11.73</v>
      </c>
      <c r="CE130" s="12">
        <f>INDEX(ovrTable,MATCH(INDEX(oppCol24,ROW()),ovrTeamCol,0),MATCH(MID(INDEX(headerRow,1,COLUMN()),4,LEN(INDEX(headerRow,1,COLUMN()))),ovrHeaderRow,0))</f>
        <v>81.400000000000006</v>
      </c>
      <c r="CF130" s="12">
        <f>INDEX(ovrTable,MATCH(INDEX(oppCol24,ROW()),ovrTeamCol,0),MATCH(MID(INDEX(headerRow,1,COLUMN()),4,LEN(INDEX(headerRow,1,COLUMN()))),ovrHeaderRow,0))</f>
        <v>8.6999999999999993</v>
      </c>
      <c r="CG130" s="12">
        <f>INDEX(ovrTable,MATCH(INDEX(oppCol24,ROW()),ovrTeamCol,0),MATCH(MID(INDEX(headerRow,1,COLUMN()),4,LEN(INDEX(headerRow,1,COLUMN()))),ovrHeaderRow,0))</f>
        <v>38.83</v>
      </c>
      <c r="CH130" s="12">
        <f>INDEX(ovrTable,MATCH(INDEX(oppCol24,ROW()),ovrTeamCol,0),MATCH(MID(INDEX(headerRow,1,COLUMN()),4,LEN(INDEX(headerRow,1,COLUMN()))),ovrHeaderRow,0))</f>
        <v>18</v>
      </c>
      <c r="CI130" s="12">
        <f>INDEX(ovrTable,MATCH(INDEX(oppCol24,ROW()),ovrTeamCol,0),MATCH(MID(INDEX(headerRow,1,COLUMN()),4,LEN(INDEX(headerRow,1,COLUMN()))),ovrHeaderRow,0))</f>
        <v>6.2</v>
      </c>
      <c r="CJ130" s="12">
        <f>INDEX(ovrTable,MATCH(INDEX(oppCol24,ROW()),ovrTeamCol,0),MATCH(MID(INDEX(headerRow,1,COLUMN()),4,LEN(INDEX(headerRow,1,COLUMN()))),ovrHeaderRow,0))</f>
        <v>1</v>
      </c>
      <c r="CK130" s="12">
        <f>INDEX(ovrTable,MATCH(INDEX(oppCol24,ROW()),ovrTeamCol,0),MATCH(MID(INDEX(headerRow,1,COLUMN()),4,LEN(INDEX(headerRow,1,COLUMN()))),ovrHeaderRow,0))</f>
        <v>10.55</v>
      </c>
      <c r="CL130" s="12">
        <f>INDEX(ovrTable,MATCH(INDEX(oppCol24,ROW()),ovrTeamCol,0),MATCH(MID(INDEX(headerRow,1,COLUMN()),4,LEN(INDEX(headerRow,1,COLUMN()))),ovrHeaderRow,0))</f>
        <v>9.6</v>
      </c>
      <c r="CM130" s="12">
        <f>INDEX(ovrTable,MATCH(INDEX(oppCol24,ROW()),ovrTeamCol,0),MATCH(MID(INDEX(headerRow,1,COLUMN()),4,LEN(INDEX(headerRow,1,COLUMN()))),ovrHeaderRow,0))</f>
        <v>67.900000000000006</v>
      </c>
      <c r="CN130" s="12">
        <f>INDEX(ovrTable,MATCH(INDEX(oppCol24,ROW()),ovrTeamCol,0),MATCH(MID(INDEX(headerRow,1,COLUMN()),4,LEN(INDEX(headerRow,1,COLUMN()))),ovrHeaderRow,0))</f>
        <v>20.900000000000006</v>
      </c>
      <c r="CO130" s="12">
        <f>INDEX(ovrTable,MATCH(INDEX(oppCol24,ROW()),ovrTeamCol,0),MATCH(MID(INDEX(headerRow,1,COLUMN()),4,LEN(INDEX(headerRow,1,COLUMN()))),ovrHeaderRow,0))</f>
        <v>59.154929577464792</v>
      </c>
    </row>
    <row r="131" spans="1:93" x14ac:dyDescent="0.3">
      <c r="A131" s="6" t="s">
        <v>2</v>
      </c>
      <c r="B131" s="3">
        <v>1</v>
      </c>
      <c r="C131" s="13" t="s">
        <v>21</v>
      </c>
      <c r="D131" s="14">
        <v>65</v>
      </c>
      <c r="E131" s="23">
        <v>47.826086956521742</v>
      </c>
      <c r="F131" s="24">
        <v>10</v>
      </c>
      <c r="G131" s="23">
        <v>40</v>
      </c>
      <c r="H131" s="24">
        <v>25</v>
      </c>
      <c r="I131" s="25">
        <v>5</v>
      </c>
      <c r="J131" s="24">
        <v>20</v>
      </c>
      <c r="K131" s="24">
        <v>7</v>
      </c>
      <c r="L131" s="24">
        <v>8</v>
      </c>
      <c r="M131" s="24">
        <v>44.8</v>
      </c>
      <c r="N131" s="24">
        <v>25</v>
      </c>
      <c r="O131" s="26">
        <v>0.58064516129032251</v>
      </c>
      <c r="P131" s="24">
        <v>2</v>
      </c>
      <c r="Q131" s="24">
        <v>50</v>
      </c>
      <c r="R131" s="24">
        <v>17</v>
      </c>
      <c r="S131" s="23">
        <v>77.777777777777786</v>
      </c>
      <c r="T131" s="24">
        <v>18</v>
      </c>
      <c r="U131" s="24">
        <v>14</v>
      </c>
      <c r="V131" s="24">
        <v>72</v>
      </c>
      <c r="W131" s="24">
        <v>12</v>
      </c>
      <c r="X131" s="24">
        <v>86</v>
      </c>
      <c r="Y131" s="24">
        <v>8</v>
      </c>
      <c r="Z131" s="24">
        <v>37</v>
      </c>
      <c r="AA131" s="24">
        <v>14</v>
      </c>
      <c r="AB131" s="24">
        <v>4</v>
      </c>
      <c r="AC131" s="24">
        <v>4</v>
      </c>
      <c r="AD131" s="24">
        <v>8</v>
      </c>
      <c r="AE131" s="24">
        <v>4</v>
      </c>
      <c r="AF131" s="46">
        <f t="shared" ref="AF131:AF135" si="168">(ROUND(((X131-U131-3*F131)/2),0)+F131)/Q131*100-W131+AE131+T131*0.475</f>
        <v>62.55</v>
      </c>
      <c r="AG131" s="51">
        <f t="shared" ref="AG131" si="169">AVERAGE(AF130,AF131)</f>
        <v>62.905357142857142</v>
      </c>
      <c r="AH131" s="12">
        <f t="shared" si="157"/>
        <v>31.2</v>
      </c>
      <c r="AI131" s="12">
        <f t="shared" si="157"/>
        <v>8.5</v>
      </c>
      <c r="AJ131" s="12">
        <f t="shared" si="157"/>
        <v>35.799999999999997</v>
      </c>
      <c r="AK131" s="12">
        <f t="shared" si="157"/>
        <v>23.8</v>
      </c>
      <c r="AL131" s="12">
        <f t="shared" si="157"/>
        <v>1.95</v>
      </c>
      <c r="AM131" s="12">
        <f t="shared" si="157"/>
        <v>18.7</v>
      </c>
      <c r="AN131" s="12">
        <f t="shared" si="157"/>
        <v>16.149999999999999</v>
      </c>
      <c r="AO131" s="12">
        <f t="shared" si="157"/>
        <v>5.4</v>
      </c>
      <c r="AP131" s="12">
        <f t="shared" si="157"/>
        <v>39.200000000000003</v>
      </c>
      <c r="AQ131" s="12">
        <f t="shared" si="157"/>
        <v>27.1</v>
      </c>
      <c r="AR131" s="12">
        <f t="shared" si="158"/>
        <v>0.56899999999999995</v>
      </c>
      <c r="AS131" s="12">
        <f t="shared" si="158"/>
        <v>11.95</v>
      </c>
      <c r="AT131" s="12">
        <f t="shared" si="158"/>
        <v>49.7</v>
      </c>
      <c r="AU131" s="12">
        <f t="shared" si="158"/>
        <v>16.3</v>
      </c>
      <c r="AV131" s="12">
        <f t="shared" si="158"/>
        <v>74.3</v>
      </c>
      <c r="AW131" s="12">
        <f t="shared" si="158"/>
        <v>18.899999999999999</v>
      </c>
      <c r="AX131" s="12">
        <f t="shared" si="158"/>
        <v>14.1</v>
      </c>
      <c r="AY131" s="12">
        <f t="shared" si="158"/>
        <v>63.4</v>
      </c>
      <c r="AZ131" s="12">
        <f t="shared" si="158"/>
        <v>11.73</v>
      </c>
      <c r="BA131" s="12">
        <f t="shared" si="158"/>
        <v>81.400000000000006</v>
      </c>
      <c r="BB131" s="12">
        <f t="shared" si="159"/>
        <v>8.6999999999999993</v>
      </c>
      <c r="BC131" s="12">
        <f t="shared" si="159"/>
        <v>38.83</v>
      </c>
      <c r="BD131" s="12">
        <f t="shared" si="159"/>
        <v>18</v>
      </c>
      <c r="BE131" s="12">
        <f t="shared" si="159"/>
        <v>6.2</v>
      </c>
      <c r="BF131" s="12">
        <f t="shared" si="159"/>
        <v>1</v>
      </c>
      <c r="BG131" s="12">
        <f t="shared" si="159"/>
        <v>10.55</v>
      </c>
      <c r="BH131" s="12">
        <f t="shared" si="159"/>
        <v>9.6</v>
      </c>
      <c r="BI131" s="12">
        <f t="shared" si="159"/>
        <v>67.900000000000006</v>
      </c>
      <c r="BJ131" s="12">
        <f t="shared" si="159"/>
        <v>20.900000000000006</v>
      </c>
      <c r="BK131" s="12">
        <f t="shared" si="159"/>
        <v>59.154929577464792</v>
      </c>
      <c r="BL131" s="12">
        <f>INDEX(ovrTable,MATCH(INDEX(oppCol24,ROW()),ovrTeamCol,0),MATCH(MID(INDEX(headerRow,1,COLUMN()),4,LEN(INDEX(headerRow,1,COLUMN()))),ovrHeaderRow,0))</f>
        <v>31.7</v>
      </c>
      <c r="BM131" s="12">
        <f>INDEX(ovrTable,MATCH(INDEX(oppCol24,ROW()),ovrTeamCol,0),MATCH(MID(INDEX(headerRow,1,COLUMN()),4,LEN(INDEX(headerRow,1,COLUMN()))),ovrHeaderRow,0))</f>
        <v>11.2</v>
      </c>
      <c r="BN131" s="12">
        <f>INDEX(ovrTable,MATCH(INDEX(oppCol24,ROW()),ovrTeamCol,0),MATCH(MID(INDEX(headerRow,1,COLUMN()),4,LEN(INDEX(headerRow,1,COLUMN()))),ovrHeaderRow,0))</f>
        <v>37.299999999999997</v>
      </c>
      <c r="BO131" s="12">
        <f>INDEX(ovrTable,MATCH(INDEX(oppCol24,ROW()),ovrTeamCol,0),MATCH(MID(INDEX(headerRow,1,COLUMN()),4,LEN(INDEX(headerRow,1,COLUMN()))),ovrHeaderRow,0))</f>
        <v>29.9</v>
      </c>
      <c r="BP131" s="12">
        <f>INDEX(ovrTable,MATCH(INDEX(oppCol24,ROW()),ovrTeamCol,0),MATCH(MID(INDEX(headerRow,1,COLUMN()),4,LEN(INDEX(headerRow,1,COLUMN()))),ovrHeaderRow,0))</f>
        <v>1.34</v>
      </c>
      <c r="BQ131" s="12">
        <f>INDEX(ovrTable,MATCH(INDEX(oppCol24,ROW()),ovrTeamCol,0),MATCH(MID(INDEX(headerRow,1,COLUMN()),4,LEN(INDEX(headerRow,1,COLUMN()))),ovrHeaderRow,0))</f>
        <v>15.9</v>
      </c>
      <c r="BR131" s="12">
        <f>INDEX(ovrTable,MATCH(INDEX(oppCol24,ROW()),ovrTeamCol,0),MATCH(MID(INDEX(headerRow,1,COLUMN()),4,LEN(INDEX(headerRow,1,COLUMN()))),ovrHeaderRow,0))</f>
        <v>25.11</v>
      </c>
      <c r="BS131" s="12">
        <f>INDEX(ovrTable,MATCH(INDEX(oppCol24,ROW()),ovrTeamCol,0),MATCH(MID(INDEX(headerRow,1,COLUMN()),4,LEN(INDEX(headerRow,1,COLUMN()))),ovrHeaderRow,0))</f>
        <v>4.4000000000000004</v>
      </c>
      <c r="BT131" s="12">
        <f>INDEX(ovrTable,MATCH(INDEX(oppCol24,ROW()),ovrTeamCol,0),MATCH(MID(INDEX(headerRow,1,COLUMN()),4,LEN(INDEX(headerRow,1,COLUMN()))),ovrHeaderRow,0))</f>
        <v>43.7</v>
      </c>
      <c r="BU131" s="12">
        <f>INDEX(ovrTable,MATCH(INDEX(oppCol24,ROW()),ovrTeamCol,0),MATCH(MID(INDEX(headerRow,1,COLUMN()),4,LEN(INDEX(headerRow,1,COLUMN()))),ovrHeaderRow,0))</f>
        <v>26.89</v>
      </c>
      <c r="BV131" s="12">
        <f>INDEX(ovrTable,MATCH(INDEX(oppCol24,ROW()),ovrTeamCol,0),MATCH(MID(INDEX(headerRow,1,COLUMN()),4,LEN(INDEX(headerRow,1,COLUMN()))),ovrHeaderRow,0))</f>
        <v>0.56299999999999994</v>
      </c>
      <c r="BW131" s="12">
        <f>INDEX(ovrTable,MATCH(INDEX(oppCol24,ROW()),ovrTeamCol,0),MATCH(MID(INDEX(headerRow,1,COLUMN()),4,LEN(INDEX(headerRow,1,COLUMN()))),ovrHeaderRow,0))</f>
        <v>13.7</v>
      </c>
      <c r="BX131" s="12">
        <f>INDEX(ovrTable,MATCH(INDEX(oppCol24,ROW()),ovrTeamCol,0),MATCH(MID(INDEX(headerRow,1,COLUMN()),4,LEN(INDEX(headerRow,1,COLUMN()))),ovrHeaderRow,0))</f>
        <v>47.6</v>
      </c>
      <c r="BY131" s="12">
        <f>INDEX(ovrTable,MATCH(INDEX(oppCol24,ROW()),ovrTeamCol,0),MATCH(MID(INDEX(headerRow,1,COLUMN()),4,LEN(INDEX(headerRow,1,COLUMN()))),ovrHeaderRow,0))</f>
        <v>19.8</v>
      </c>
      <c r="BZ131" s="12">
        <f>INDEX(ovrTable,MATCH(INDEX(oppCol24,ROW()),ovrTeamCol,0),MATCH(MID(INDEX(headerRow,1,COLUMN()),4,LEN(INDEX(headerRow,1,COLUMN()))),ovrHeaderRow,0))</f>
        <v>77.2</v>
      </c>
      <c r="CA131" s="12">
        <f>INDEX(ovrTable,MATCH(INDEX(oppCol24,ROW()),ovrTeamCol,0),MATCH(MID(INDEX(headerRow,1,COLUMN()),4,LEN(INDEX(headerRow,1,COLUMN()))),ovrHeaderRow,0))</f>
        <v>22.8</v>
      </c>
      <c r="CB131" s="12">
        <f>INDEX(ovrTable,MATCH(INDEX(oppCol24,ROW()),ovrTeamCol,0),MATCH(MID(INDEX(headerRow,1,COLUMN()),4,LEN(INDEX(headerRow,1,COLUMN()))),ovrHeaderRow,0))</f>
        <v>17.600000000000001</v>
      </c>
      <c r="CC131" s="12">
        <f>INDEX(ovrTable,MATCH(INDEX(oppCol24,ROW()),ovrTeamCol,0),MATCH(MID(INDEX(headerRow,1,COLUMN()),4,LEN(INDEX(headerRow,1,COLUMN()))),ovrHeaderRow,0))</f>
        <v>81.2</v>
      </c>
      <c r="CD131" s="12">
        <f>INDEX(ovrTable,MATCH(INDEX(oppCol24,ROW()),ovrTeamCol,0),MATCH(MID(INDEX(headerRow,1,COLUMN()),4,LEN(INDEX(headerRow,1,COLUMN()))),ovrHeaderRow,0))</f>
        <v>12.76</v>
      </c>
      <c r="CE131" s="12">
        <f>INDEX(ovrTable,MATCH(INDEX(oppCol24,ROW()),ovrTeamCol,0),MATCH(MID(INDEX(headerRow,1,COLUMN()),4,LEN(INDEX(headerRow,1,COLUMN()))),ovrHeaderRow,0))</f>
        <v>90.1</v>
      </c>
      <c r="CF131" s="12">
        <f>INDEX(ovrTable,MATCH(INDEX(oppCol24,ROW()),ovrTeamCol,0),MATCH(MID(INDEX(headerRow,1,COLUMN()),4,LEN(INDEX(headerRow,1,COLUMN()))),ovrHeaderRow,0))</f>
        <v>3.9</v>
      </c>
      <c r="CG131" s="12">
        <f>INDEX(ovrTable,MATCH(INDEX(oppCol24,ROW()),ovrTeamCol,0),MATCH(MID(INDEX(headerRow,1,COLUMN()),4,LEN(INDEX(headerRow,1,COLUMN()))),ovrHeaderRow,0))</f>
        <v>39.65</v>
      </c>
      <c r="CH131" s="12">
        <f>INDEX(ovrTable,MATCH(INDEX(oppCol24,ROW()),ovrTeamCol,0),MATCH(MID(INDEX(headerRow,1,COLUMN()),4,LEN(INDEX(headerRow,1,COLUMN()))),ovrHeaderRow,0))</f>
        <v>8.9</v>
      </c>
      <c r="CI131" s="12">
        <f>INDEX(ovrTable,MATCH(INDEX(oppCol24,ROW()),ovrTeamCol,0),MATCH(MID(INDEX(headerRow,1,COLUMN()),4,LEN(INDEX(headerRow,1,COLUMN()))),ovrHeaderRow,0))</f>
        <v>6.9</v>
      </c>
      <c r="CJ131" s="12">
        <f>INDEX(ovrTable,MATCH(INDEX(oppCol24,ROW()),ovrTeamCol,0),MATCH(MID(INDEX(headerRow,1,COLUMN()),4,LEN(INDEX(headerRow,1,COLUMN()))),ovrHeaderRow,0))</f>
        <v>-0.5</v>
      </c>
      <c r="CK131" s="12">
        <f>INDEX(ovrTable,MATCH(INDEX(oppCol24,ROW()),ovrTeamCol,0),MATCH(MID(INDEX(headerRow,1,COLUMN()),4,LEN(INDEX(headerRow,1,COLUMN()))),ovrHeaderRow,0))</f>
        <v>11.3</v>
      </c>
      <c r="CL131" s="12">
        <f>INDEX(ovrTable,MATCH(INDEX(oppCol24,ROW()),ovrTeamCol,0),MATCH(MID(INDEX(headerRow,1,COLUMN()),4,LEN(INDEX(headerRow,1,COLUMN()))),ovrHeaderRow,0))</f>
        <v>11.8</v>
      </c>
      <c r="CM131" s="12">
        <f>INDEX(ovrTable,MATCH(INDEX(oppCol24,ROW()),ovrTeamCol,0),MATCH(MID(INDEX(headerRow,1,COLUMN()),4,LEN(INDEX(headerRow,1,COLUMN()))),ovrHeaderRow,0))</f>
        <v>76.3</v>
      </c>
      <c r="CN131" s="12">
        <f>INDEX(ovrTable,MATCH(INDEX(oppCol24,ROW()),ovrTeamCol,0),MATCH(MID(INDEX(headerRow,1,COLUMN()),4,LEN(INDEX(headerRow,1,COLUMN()))),ovrHeaderRow,0))</f>
        <v>19.450000000000003</v>
      </c>
      <c r="CO131" s="12">
        <f>INDEX(ovrTable,MATCH(INDEX(oppCol24,ROW()),ovrTeamCol,0),MATCH(MID(INDEX(headerRow,1,COLUMN()),4,LEN(INDEX(headerRow,1,COLUMN()))),ovrHeaderRow,0))</f>
        <v>64.390756302521012</v>
      </c>
    </row>
    <row r="132" spans="1:93" x14ac:dyDescent="0.3">
      <c r="A132" s="6" t="s">
        <v>39</v>
      </c>
      <c r="B132" s="3">
        <v>11</v>
      </c>
      <c r="C132" s="13" t="s">
        <v>54</v>
      </c>
      <c r="D132" s="14">
        <v>66</v>
      </c>
      <c r="E132" s="23">
        <v>40</v>
      </c>
      <c r="F132" s="24">
        <v>5</v>
      </c>
      <c r="G132" s="23">
        <v>26.315789473684209</v>
      </c>
      <c r="H132" s="24">
        <v>19</v>
      </c>
      <c r="I132" s="25">
        <v>0.90909090909090906</v>
      </c>
      <c r="J132" s="24">
        <v>10</v>
      </c>
      <c r="K132" s="24">
        <v>17</v>
      </c>
      <c r="L132" s="24">
        <v>3</v>
      </c>
      <c r="M132" s="24">
        <v>40</v>
      </c>
      <c r="N132" s="24">
        <v>22</v>
      </c>
      <c r="O132" s="26">
        <v>0.40145454545454551</v>
      </c>
      <c r="P132" s="24">
        <v>2</v>
      </c>
      <c r="Q132" s="24">
        <v>36.799999999999997</v>
      </c>
      <c r="R132" s="24">
        <v>13</v>
      </c>
      <c r="S132" s="23">
        <v>75</v>
      </c>
      <c r="T132" s="24">
        <v>4</v>
      </c>
      <c r="U132" s="24">
        <v>3</v>
      </c>
      <c r="V132" s="24">
        <v>50</v>
      </c>
      <c r="W132" s="24">
        <v>6</v>
      </c>
      <c r="X132" s="24">
        <v>63</v>
      </c>
      <c r="Y132" s="24">
        <v>-13</v>
      </c>
      <c r="Z132" s="24">
        <v>28</v>
      </c>
      <c r="AA132" s="24">
        <v>13</v>
      </c>
      <c r="AB132" s="24">
        <v>8</v>
      </c>
      <c r="AC132" s="24">
        <v>5</v>
      </c>
      <c r="AD132" s="24">
        <v>16</v>
      </c>
      <c r="AE132" s="24">
        <v>11</v>
      </c>
      <c r="AF132" s="46">
        <f t="shared" si="168"/>
        <v>82.986956521739145</v>
      </c>
      <c r="AG132" s="51">
        <f t="shared" ref="AG132" si="170">AVERAGE(AF132,AF133)</f>
        <v>66.36847826086958</v>
      </c>
      <c r="AH132" s="12">
        <f t="shared" si="157"/>
        <v>33.5</v>
      </c>
      <c r="AI132" s="12">
        <f t="shared" si="157"/>
        <v>7</v>
      </c>
      <c r="AJ132" s="12">
        <f t="shared" si="157"/>
        <v>34.5</v>
      </c>
      <c r="AK132" s="12">
        <f t="shared" si="157"/>
        <v>20.2</v>
      </c>
      <c r="AL132" s="12">
        <f t="shared" si="157"/>
        <v>1.37</v>
      </c>
      <c r="AM132" s="12">
        <f t="shared" si="157"/>
        <v>13.1</v>
      </c>
      <c r="AN132" s="12">
        <f t="shared" si="157"/>
        <v>18.8</v>
      </c>
      <c r="AO132" s="12">
        <f t="shared" si="157"/>
        <v>3.6</v>
      </c>
      <c r="AP132" s="12">
        <f t="shared" si="157"/>
        <v>43.3</v>
      </c>
      <c r="AQ132" s="12">
        <f t="shared" si="157"/>
        <v>25.17</v>
      </c>
      <c r="AR132" s="12">
        <f t="shared" si="158"/>
        <v>0.50700000000000001</v>
      </c>
      <c r="AS132" s="12">
        <f t="shared" si="158"/>
        <v>11.98</v>
      </c>
      <c r="AT132" s="12">
        <f t="shared" si="158"/>
        <v>45</v>
      </c>
      <c r="AU132" s="12">
        <f t="shared" si="158"/>
        <v>16.2</v>
      </c>
      <c r="AV132" s="12">
        <f t="shared" si="158"/>
        <v>73.3</v>
      </c>
      <c r="AW132" s="12">
        <f t="shared" si="158"/>
        <v>19.399999999999999</v>
      </c>
      <c r="AX132" s="12">
        <f t="shared" si="158"/>
        <v>14.2</v>
      </c>
      <c r="AY132" s="12">
        <f t="shared" si="158"/>
        <v>71.8</v>
      </c>
      <c r="AZ132" s="12">
        <f t="shared" si="158"/>
        <v>10.119999999999999</v>
      </c>
      <c r="BA132" s="12">
        <f t="shared" si="158"/>
        <v>75.599999999999994</v>
      </c>
      <c r="BB132" s="12">
        <f t="shared" si="159"/>
        <v>-0.9</v>
      </c>
      <c r="BC132" s="12">
        <f t="shared" si="159"/>
        <v>35.29</v>
      </c>
      <c r="BD132" s="12">
        <f t="shared" si="159"/>
        <v>3.9</v>
      </c>
      <c r="BE132" s="12">
        <f t="shared" si="159"/>
        <v>7.2</v>
      </c>
      <c r="BF132" s="12">
        <f t="shared" si="159"/>
        <v>2.7</v>
      </c>
      <c r="BG132" s="12">
        <f t="shared" si="159"/>
        <v>12.22</v>
      </c>
      <c r="BH132" s="12">
        <f t="shared" si="159"/>
        <v>9.6</v>
      </c>
      <c r="BI132" s="12">
        <f t="shared" si="159"/>
        <v>70.8</v>
      </c>
      <c r="BJ132" s="12">
        <f t="shared" si="159"/>
        <v>20.199999999999996</v>
      </c>
      <c r="BK132" s="12">
        <f t="shared" si="159"/>
        <v>60.444444444444436</v>
      </c>
      <c r="BL132" s="12">
        <f>INDEX(ovrTable,MATCH(INDEX(oppCol24,ROW()),ovrTeamCol,0),MATCH(MID(INDEX(headerRow,1,COLUMN()),4,LEN(INDEX(headerRow,1,COLUMN()))),ovrHeaderRow,0))</f>
        <v>31.5</v>
      </c>
      <c r="BM132" s="12">
        <f>INDEX(ovrTable,MATCH(INDEX(oppCol24,ROW()),ovrTeamCol,0),MATCH(MID(INDEX(headerRow,1,COLUMN()),4,LEN(INDEX(headerRow,1,COLUMN()))),ovrHeaderRow,0))</f>
        <v>8.1999999999999993</v>
      </c>
      <c r="BN132" s="12">
        <f>INDEX(ovrTable,MATCH(INDEX(oppCol24,ROW()),ovrTeamCol,0),MATCH(MID(INDEX(headerRow,1,COLUMN()),4,LEN(INDEX(headerRow,1,COLUMN()))),ovrHeaderRow,0))</f>
        <v>40.4</v>
      </c>
      <c r="BO132" s="12">
        <f>INDEX(ovrTable,MATCH(INDEX(oppCol24,ROW()),ovrTeamCol,0),MATCH(MID(INDEX(headerRow,1,COLUMN()),4,LEN(INDEX(headerRow,1,COLUMN()))),ovrHeaderRow,0))</f>
        <v>20.2</v>
      </c>
      <c r="BP132" s="12">
        <f>INDEX(ovrTable,MATCH(INDEX(oppCol24,ROW()),ovrTeamCol,0),MATCH(MID(INDEX(headerRow,1,COLUMN()),4,LEN(INDEX(headerRow,1,COLUMN()))),ovrHeaderRow,0))</f>
        <v>1.63</v>
      </c>
      <c r="BQ132" s="12">
        <f>INDEX(ovrTable,MATCH(INDEX(oppCol24,ROW()),ovrTeamCol,0),MATCH(MID(INDEX(headerRow,1,COLUMN()),4,LEN(INDEX(headerRow,1,COLUMN()))),ovrHeaderRow,0))</f>
        <v>18.5</v>
      </c>
      <c r="BR132" s="12">
        <f>INDEX(ovrTable,MATCH(INDEX(oppCol24,ROW()),ovrTeamCol,0),MATCH(MID(INDEX(headerRow,1,COLUMN()),4,LEN(INDEX(headerRow,1,COLUMN()))),ovrHeaderRow,0))</f>
        <v>16.72</v>
      </c>
      <c r="BS132" s="12">
        <f>INDEX(ovrTable,MATCH(INDEX(oppCol24,ROW()),ovrTeamCol,0),MATCH(MID(INDEX(headerRow,1,COLUMN()),4,LEN(INDEX(headerRow,1,COLUMN()))),ovrHeaderRow,0))</f>
        <v>3.6</v>
      </c>
      <c r="BT132" s="12">
        <f>INDEX(ovrTable,MATCH(INDEX(oppCol24,ROW()),ovrTeamCol,0),MATCH(MID(INDEX(headerRow,1,COLUMN()),4,LEN(INDEX(headerRow,1,COLUMN()))),ovrHeaderRow,0))</f>
        <v>41.7</v>
      </c>
      <c r="BU132" s="12">
        <f>INDEX(ovrTable,MATCH(INDEX(oppCol24,ROW()),ovrTeamCol,0),MATCH(MID(INDEX(headerRow,1,COLUMN()),4,LEN(INDEX(headerRow,1,COLUMN()))),ovrHeaderRow,0))</f>
        <v>28.23</v>
      </c>
      <c r="BV132" s="12">
        <f>INDEX(ovrTable,MATCH(INDEX(oppCol24,ROW()),ovrTeamCol,0),MATCH(MID(INDEX(headerRow,1,COLUMN()),4,LEN(INDEX(headerRow,1,COLUMN()))),ovrHeaderRow,0))</f>
        <v>0.55800000000000005</v>
      </c>
      <c r="BW132" s="12">
        <f>INDEX(ovrTable,MATCH(INDEX(oppCol24,ROW()),ovrTeamCol,0),MATCH(MID(INDEX(headerRow,1,COLUMN()),4,LEN(INDEX(headerRow,1,COLUMN()))),ovrHeaderRow,0))</f>
        <v>7</v>
      </c>
      <c r="BX132" s="12">
        <f>INDEX(ovrTable,MATCH(INDEX(oppCol24,ROW()),ovrTeamCol,0),MATCH(MID(INDEX(headerRow,1,COLUMN()),4,LEN(INDEX(headerRow,1,COLUMN()))),ovrHeaderRow,0))</f>
        <v>48.8</v>
      </c>
      <c r="BY132" s="12">
        <f>INDEX(ovrTable,MATCH(INDEX(oppCol24,ROW()),ovrTeamCol,0),MATCH(MID(INDEX(headerRow,1,COLUMN()),4,LEN(INDEX(headerRow,1,COLUMN()))),ovrHeaderRow,0))</f>
        <v>13.7</v>
      </c>
      <c r="BZ132" s="12">
        <f>INDEX(ovrTable,MATCH(INDEX(oppCol24,ROW()),ovrTeamCol,0),MATCH(MID(INDEX(headerRow,1,COLUMN()),4,LEN(INDEX(headerRow,1,COLUMN()))),ovrHeaderRow,0))</f>
        <v>72</v>
      </c>
      <c r="CA132" s="12">
        <f>INDEX(ovrTable,MATCH(INDEX(oppCol24,ROW()),ovrTeamCol,0),MATCH(MID(INDEX(headerRow,1,COLUMN()),4,LEN(INDEX(headerRow,1,COLUMN()))),ovrHeaderRow,0))</f>
        <v>24.1</v>
      </c>
      <c r="CB132" s="12">
        <f>INDEX(ovrTable,MATCH(INDEX(oppCol24,ROW()),ovrTeamCol,0),MATCH(MID(INDEX(headerRow,1,COLUMN()),4,LEN(INDEX(headerRow,1,COLUMN()))),ovrHeaderRow,0))</f>
        <v>17.3</v>
      </c>
      <c r="CC132" s="12">
        <f>INDEX(ovrTable,MATCH(INDEX(oppCol24,ROW()),ovrTeamCol,0),MATCH(MID(INDEX(headerRow,1,COLUMN()),4,LEN(INDEX(headerRow,1,COLUMN()))),ovrHeaderRow,0))</f>
        <v>68.900000000000006</v>
      </c>
      <c r="CD132" s="12">
        <f>INDEX(ovrTable,MATCH(INDEX(oppCol24,ROW()),ovrTeamCol,0),MATCH(MID(INDEX(headerRow,1,COLUMN()),4,LEN(INDEX(headerRow,1,COLUMN()))),ovrHeaderRow,0))</f>
        <v>12.21</v>
      </c>
      <c r="CE132" s="12">
        <f>INDEX(ovrTable,MATCH(INDEX(oppCol24,ROW()),ovrTeamCol,0),MATCH(MID(INDEX(headerRow,1,COLUMN()),4,LEN(INDEX(headerRow,1,COLUMN()))),ovrHeaderRow,0))</f>
        <v>82.3</v>
      </c>
      <c r="CF132" s="12">
        <f>INDEX(ovrTable,MATCH(INDEX(oppCol24,ROW()),ovrTeamCol,0),MATCH(MID(INDEX(headerRow,1,COLUMN()),4,LEN(INDEX(headerRow,1,COLUMN()))),ovrHeaderRow,0))</f>
        <v>11.2</v>
      </c>
      <c r="CG132" s="12">
        <f>INDEX(ovrTable,MATCH(INDEX(oppCol24,ROW()),ovrTeamCol,0),MATCH(MID(INDEX(headerRow,1,COLUMN()),4,LEN(INDEX(headerRow,1,COLUMN()))),ovrHeaderRow,0))</f>
        <v>40.44</v>
      </c>
      <c r="CH132" s="12">
        <f>INDEX(ovrTable,MATCH(INDEX(oppCol24,ROW()),ovrTeamCol,0),MATCH(MID(INDEX(headerRow,1,COLUMN()),4,LEN(INDEX(headerRow,1,COLUMN()))),ovrHeaderRow,0))</f>
        <v>13.4</v>
      </c>
      <c r="CI132" s="12">
        <f>INDEX(ovrTable,MATCH(INDEX(oppCol24,ROW()),ovrTeamCol,0),MATCH(MID(INDEX(headerRow,1,COLUMN()),4,LEN(INDEX(headerRow,1,COLUMN()))),ovrHeaderRow,0))</f>
        <v>5.4</v>
      </c>
      <c r="CJ132" s="12">
        <f>INDEX(ovrTable,MATCH(INDEX(oppCol24,ROW()),ovrTeamCol,0),MATCH(MID(INDEX(headerRow,1,COLUMN()),4,LEN(INDEX(headerRow,1,COLUMN()))),ovrHeaderRow,0))</f>
        <v>-1.9</v>
      </c>
      <c r="CK132" s="12">
        <f>INDEX(ovrTable,MATCH(INDEX(oppCol24,ROW()),ovrTeamCol,0),MATCH(MID(INDEX(headerRow,1,COLUMN()),4,LEN(INDEX(headerRow,1,COLUMN()))),ovrHeaderRow,0))</f>
        <v>9.44</v>
      </c>
      <c r="CL132" s="12">
        <f>INDEX(ovrTable,MATCH(INDEX(oppCol24,ROW()),ovrTeamCol,0),MATCH(MID(INDEX(headerRow,1,COLUMN()),4,LEN(INDEX(headerRow,1,COLUMN()))),ovrHeaderRow,0))</f>
        <v>11.3</v>
      </c>
      <c r="CM132" s="12">
        <f>INDEX(ovrTable,MATCH(INDEX(oppCol24,ROW()),ovrTeamCol,0),MATCH(MID(INDEX(headerRow,1,COLUMN()),4,LEN(INDEX(headerRow,1,COLUMN()))),ovrHeaderRow,0))</f>
        <v>70.099999999999994</v>
      </c>
      <c r="CN132" s="12">
        <f>INDEX(ovrTable,MATCH(INDEX(oppCol24,ROW()),ovrTeamCol,0),MATCH(MID(INDEX(headerRow,1,COLUMN()),4,LEN(INDEX(headerRow,1,COLUMN()))),ovrHeaderRow,0))</f>
        <v>20.200000000000003</v>
      </c>
      <c r="CO132" s="12">
        <f>INDEX(ovrTable,MATCH(INDEX(oppCol24,ROW()),ovrTeamCol,0),MATCH(MID(INDEX(headerRow,1,COLUMN()),4,LEN(INDEX(headerRow,1,COLUMN()))),ovrHeaderRow,0))</f>
        <v>58.196721311475414</v>
      </c>
    </row>
    <row r="133" spans="1:93" x14ac:dyDescent="0.3">
      <c r="A133" s="6" t="s">
        <v>54</v>
      </c>
      <c r="B133" s="3">
        <v>1</v>
      </c>
      <c r="C133" s="13" t="s">
        <v>39</v>
      </c>
      <c r="D133" s="14">
        <v>66</v>
      </c>
      <c r="E133" s="23">
        <v>26.315789473684209</v>
      </c>
      <c r="F133" s="24">
        <v>10</v>
      </c>
      <c r="G133" s="23">
        <v>40</v>
      </c>
      <c r="H133" s="24">
        <v>25</v>
      </c>
      <c r="I133" s="25">
        <v>0.8125</v>
      </c>
      <c r="J133" s="24">
        <v>13</v>
      </c>
      <c r="K133" s="24">
        <v>8</v>
      </c>
      <c r="L133" s="24">
        <v>2</v>
      </c>
      <c r="M133" s="24">
        <v>36.799999999999997</v>
      </c>
      <c r="N133" s="24">
        <v>30</v>
      </c>
      <c r="O133" s="26">
        <v>0.52903225806451615</v>
      </c>
      <c r="P133" s="24">
        <v>0</v>
      </c>
      <c r="Q133" s="24">
        <v>40</v>
      </c>
      <c r="R133" s="24">
        <v>8</v>
      </c>
      <c r="S133" s="23">
        <v>90</v>
      </c>
      <c r="T133" s="24">
        <v>10</v>
      </c>
      <c r="U133" s="24">
        <v>9</v>
      </c>
      <c r="V133" s="24">
        <v>63</v>
      </c>
      <c r="W133" s="24">
        <v>11</v>
      </c>
      <c r="X133" s="24">
        <v>50</v>
      </c>
      <c r="Y133" s="24">
        <v>13</v>
      </c>
      <c r="Z133" s="24">
        <v>41</v>
      </c>
      <c r="AA133" s="24">
        <v>-13</v>
      </c>
      <c r="AB133" s="24">
        <v>5</v>
      </c>
      <c r="AC133" s="24">
        <v>-5</v>
      </c>
      <c r="AD133" s="24">
        <v>11</v>
      </c>
      <c r="AE133" s="24">
        <v>16</v>
      </c>
      <c r="AF133" s="46">
        <f t="shared" si="168"/>
        <v>49.75</v>
      </c>
      <c r="AG133" s="51">
        <f t="shared" ref="AG133" si="171">AVERAGE(AF132,AF133)</f>
        <v>66.36847826086958</v>
      </c>
      <c r="AH133" s="12">
        <f t="shared" si="157"/>
        <v>31.5</v>
      </c>
      <c r="AI133" s="12">
        <f t="shared" si="157"/>
        <v>8.1999999999999993</v>
      </c>
      <c r="AJ133" s="12">
        <f t="shared" si="157"/>
        <v>40.4</v>
      </c>
      <c r="AK133" s="12">
        <f t="shared" si="157"/>
        <v>20.2</v>
      </c>
      <c r="AL133" s="12">
        <f t="shared" si="157"/>
        <v>1.63</v>
      </c>
      <c r="AM133" s="12">
        <f t="shared" si="157"/>
        <v>18.5</v>
      </c>
      <c r="AN133" s="12">
        <f t="shared" si="157"/>
        <v>16.72</v>
      </c>
      <c r="AO133" s="12">
        <f t="shared" si="157"/>
        <v>3.6</v>
      </c>
      <c r="AP133" s="12">
        <f t="shared" si="157"/>
        <v>41.7</v>
      </c>
      <c r="AQ133" s="12">
        <f t="shared" si="157"/>
        <v>28.23</v>
      </c>
      <c r="AR133" s="12">
        <f t="shared" si="158"/>
        <v>0.55800000000000005</v>
      </c>
      <c r="AS133" s="12">
        <f t="shared" si="158"/>
        <v>7</v>
      </c>
      <c r="AT133" s="12">
        <f t="shared" si="158"/>
        <v>48.8</v>
      </c>
      <c r="AU133" s="12">
        <f t="shared" si="158"/>
        <v>13.7</v>
      </c>
      <c r="AV133" s="12">
        <f t="shared" si="158"/>
        <v>72</v>
      </c>
      <c r="AW133" s="12">
        <f t="shared" si="158"/>
        <v>24.1</v>
      </c>
      <c r="AX133" s="12">
        <f t="shared" si="158"/>
        <v>17.3</v>
      </c>
      <c r="AY133" s="12">
        <f t="shared" si="158"/>
        <v>68.900000000000006</v>
      </c>
      <c r="AZ133" s="12">
        <f t="shared" si="158"/>
        <v>12.21</v>
      </c>
      <c r="BA133" s="12">
        <f t="shared" si="158"/>
        <v>82.3</v>
      </c>
      <c r="BB133" s="12">
        <f t="shared" si="159"/>
        <v>11.2</v>
      </c>
      <c r="BC133" s="12">
        <f t="shared" si="159"/>
        <v>40.44</v>
      </c>
      <c r="BD133" s="12">
        <f t="shared" si="159"/>
        <v>13.4</v>
      </c>
      <c r="BE133" s="12">
        <f t="shared" si="159"/>
        <v>5.4</v>
      </c>
      <c r="BF133" s="12">
        <f t="shared" si="159"/>
        <v>-1.9</v>
      </c>
      <c r="BG133" s="12">
        <f t="shared" si="159"/>
        <v>9.44</v>
      </c>
      <c r="BH133" s="12">
        <f t="shared" si="159"/>
        <v>11.3</v>
      </c>
      <c r="BI133" s="12">
        <f t="shared" si="159"/>
        <v>70.099999999999994</v>
      </c>
      <c r="BJ133" s="12">
        <f t="shared" si="159"/>
        <v>20.200000000000003</v>
      </c>
      <c r="BK133" s="12">
        <f t="shared" si="159"/>
        <v>58.196721311475414</v>
      </c>
      <c r="BL133" s="12">
        <f>INDEX(ovrTable,MATCH(INDEX(oppCol24,ROW()),ovrTeamCol,0),MATCH(MID(INDEX(headerRow,1,COLUMN()),4,LEN(INDEX(headerRow,1,COLUMN()))),ovrHeaderRow,0))</f>
        <v>33.5</v>
      </c>
      <c r="BM133" s="12">
        <f>INDEX(ovrTable,MATCH(INDEX(oppCol24,ROW()),ovrTeamCol,0),MATCH(MID(INDEX(headerRow,1,COLUMN()),4,LEN(INDEX(headerRow,1,COLUMN()))),ovrHeaderRow,0))</f>
        <v>7</v>
      </c>
      <c r="BN133" s="12">
        <f>INDEX(ovrTable,MATCH(INDEX(oppCol24,ROW()),ovrTeamCol,0),MATCH(MID(INDEX(headerRow,1,COLUMN()),4,LEN(INDEX(headerRow,1,COLUMN()))),ovrHeaderRow,0))</f>
        <v>34.5</v>
      </c>
      <c r="BO133" s="12">
        <f>INDEX(ovrTable,MATCH(INDEX(oppCol24,ROW()),ovrTeamCol,0),MATCH(MID(INDEX(headerRow,1,COLUMN()),4,LEN(INDEX(headerRow,1,COLUMN()))),ovrHeaderRow,0))</f>
        <v>20.2</v>
      </c>
      <c r="BP133" s="12">
        <f>INDEX(ovrTable,MATCH(INDEX(oppCol24,ROW()),ovrTeamCol,0),MATCH(MID(INDEX(headerRow,1,COLUMN()),4,LEN(INDEX(headerRow,1,COLUMN()))),ovrHeaderRow,0))</f>
        <v>1.37</v>
      </c>
      <c r="BQ133" s="12">
        <f>INDEX(ovrTable,MATCH(INDEX(oppCol24,ROW()),ovrTeamCol,0),MATCH(MID(INDEX(headerRow,1,COLUMN()),4,LEN(INDEX(headerRow,1,COLUMN()))),ovrHeaderRow,0))</f>
        <v>13.1</v>
      </c>
      <c r="BR133" s="12">
        <f>INDEX(ovrTable,MATCH(INDEX(oppCol24,ROW()),ovrTeamCol,0),MATCH(MID(INDEX(headerRow,1,COLUMN()),4,LEN(INDEX(headerRow,1,COLUMN()))),ovrHeaderRow,0))</f>
        <v>18.8</v>
      </c>
      <c r="BS133" s="12">
        <f>INDEX(ovrTable,MATCH(INDEX(oppCol24,ROW()),ovrTeamCol,0),MATCH(MID(INDEX(headerRow,1,COLUMN()),4,LEN(INDEX(headerRow,1,COLUMN()))),ovrHeaderRow,0))</f>
        <v>3.6</v>
      </c>
      <c r="BT133" s="12">
        <f>INDEX(ovrTable,MATCH(INDEX(oppCol24,ROW()),ovrTeamCol,0),MATCH(MID(INDEX(headerRow,1,COLUMN()),4,LEN(INDEX(headerRow,1,COLUMN()))),ovrHeaderRow,0))</f>
        <v>43.3</v>
      </c>
      <c r="BU133" s="12">
        <f>INDEX(ovrTable,MATCH(INDEX(oppCol24,ROW()),ovrTeamCol,0),MATCH(MID(INDEX(headerRow,1,COLUMN()),4,LEN(INDEX(headerRow,1,COLUMN()))),ovrHeaderRow,0))</f>
        <v>25.17</v>
      </c>
      <c r="BV133" s="12">
        <f>INDEX(ovrTable,MATCH(INDEX(oppCol24,ROW()),ovrTeamCol,0),MATCH(MID(INDEX(headerRow,1,COLUMN()),4,LEN(INDEX(headerRow,1,COLUMN()))),ovrHeaderRow,0))</f>
        <v>0.50700000000000001</v>
      </c>
      <c r="BW133" s="12">
        <f>INDEX(ovrTable,MATCH(INDEX(oppCol24,ROW()),ovrTeamCol,0),MATCH(MID(INDEX(headerRow,1,COLUMN()),4,LEN(INDEX(headerRow,1,COLUMN()))),ovrHeaderRow,0))</f>
        <v>11.98</v>
      </c>
      <c r="BX133" s="12">
        <f>INDEX(ovrTable,MATCH(INDEX(oppCol24,ROW()),ovrTeamCol,0),MATCH(MID(INDEX(headerRow,1,COLUMN()),4,LEN(INDEX(headerRow,1,COLUMN()))),ovrHeaderRow,0))</f>
        <v>45</v>
      </c>
      <c r="BY133" s="12">
        <f>INDEX(ovrTable,MATCH(INDEX(oppCol24,ROW()),ovrTeamCol,0),MATCH(MID(INDEX(headerRow,1,COLUMN()),4,LEN(INDEX(headerRow,1,COLUMN()))),ovrHeaderRow,0))</f>
        <v>16.2</v>
      </c>
      <c r="BZ133" s="12">
        <f>INDEX(ovrTable,MATCH(INDEX(oppCol24,ROW()),ovrTeamCol,0),MATCH(MID(INDEX(headerRow,1,COLUMN()),4,LEN(INDEX(headerRow,1,COLUMN()))),ovrHeaderRow,0))</f>
        <v>73.3</v>
      </c>
      <c r="CA133" s="12">
        <f>INDEX(ovrTable,MATCH(INDEX(oppCol24,ROW()),ovrTeamCol,0),MATCH(MID(INDEX(headerRow,1,COLUMN()),4,LEN(INDEX(headerRow,1,COLUMN()))),ovrHeaderRow,0))</f>
        <v>19.399999999999999</v>
      </c>
      <c r="CB133" s="12">
        <f>INDEX(ovrTable,MATCH(INDEX(oppCol24,ROW()),ovrTeamCol,0),MATCH(MID(INDEX(headerRow,1,COLUMN()),4,LEN(INDEX(headerRow,1,COLUMN()))),ovrHeaderRow,0))</f>
        <v>14.2</v>
      </c>
      <c r="CC133" s="12">
        <f>INDEX(ovrTable,MATCH(INDEX(oppCol24,ROW()),ovrTeamCol,0),MATCH(MID(INDEX(headerRow,1,COLUMN()),4,LEN(INDEX(headerRow,1,COLUMN()))),ovrHeaderRow,0))</f>
        <v>71.8</v>
      </c>
      <c r="CD133" s="12">
        <f>INDEX(ovrTable,MATCH(INDEX(oppCol24,ROW()),ovrTeamCol,0),MATCH(MID(INDEX(headerRow,1,COLUMN()),4,LEN(INDEX(headerRow,1,COLUMN()))),ovrHeaderRow,0))</f>
        <v>10.119999999999999</v>
      </c>
      <c r="CE133" s="12">
        <f>INDEX(ovrTable,MATCH(INDEX(oppCol24,ROW()),ovrTeamCol,0),MATCH(MID(INDEX(headerRow,1,COLUMN()),4,LEN(INDEX(headerRow,1,COLUMN()))),ovrHeaderRow,0))</f>
        <v>75.599999999999994</v>
      </c>
      <c r="CF133" s="12">
        <f>INDEX(ovrTable,MATCH(INDEX(oppCol24,ROW()),ovrTeamCol,0),MATCH(MID(INDEX(headerRow,1,COLUMN()),4,LEN(INDEX(headerRow,1,COLUMN()))),ovrHeaderRow,0))</f>
        <v>-0.9</v>
      </c>
      <c r="CG133" s="12">
        <f>INDEX(ovrTable,MATCH(INDEX(oppCol24,ROW()),ovrTeamCol,0),MATCH(MID(INDEX(headerRow,1,COLUMN()),4,LEN(INDEX(headerRow,1,COLUMN()))),ovrHeaderRow,0))</f>
        <v>35.29</v>
      </c>
      <c r="CH133" s="12">
        <f>INDEX(ovrTable,MATCH(INDEX(oppCol24,ROW()),ovrTeamCol,0),MATCH(MID(INDEX(headerRow,1,COLUMN()),4,LEN(INDEX(headerRow,1,COLUMN()))),ovrHeaderRow,0))</f>
        <v>3.9</v>
      </c>
      <c r="CI133" s="12">
        <f>INDEX(ovrTable,MATCH(INDEX(oppCol24,ROW()),ovrTeamCol,0),MATCH(MID(INDEX(headerRow,1,COLUMN()),4,LEN(INDEX(headerRow,1,COLUMN()))),ovrHeaderRow,0))</f>
        <v>7.2</v>
      </c>
      <c r="CJ133" s="12">
        <f>INDEX(ovrTable,MATCH(INDEX(oppCol24,ROW()),ovrTeamCol,0),MATCH(MID(INDEX(headerRow,1,COLUMN()),4,LEN(INDEX(headerRow,1,COLUMN()))),ovrHeaderRow,0))</f>
        <v>2.7</v>
      </c>
      <c r="CK133" s="12">
        <f>INDEX(ovrTable,MATCH(INDEX(oppCol24,ROW()),ovrTeamCol,0),MATCH(MID(INDEX(headerRow,1,COLUMN()),4,LEN(INDEX(headerRow,1,COLUMN()))),ovrHeaderRow,0))</f>
        <v>12.22</v>
      </c>
      <c r="CL133" s="12">
        <f>INDEX(ovrTable,MATCH(INDEX(oppCol24,ROW()),ovrTeamCol,0),MATCH(MID(INDEX(headerRow,1,COLUMN()),4,LEN(INDEX(headerRow,1,COLUMN()))),ovrHeaderRow,0))</f>
        <v>9.6</v>
      </c>
      <c r="CM133" s="12">
        <f>INDEX(ovrTable,MATCH(INDEX(oppCol24,ROW()),ovrTeamCol,0),MATCH(MID(INDEX(headerRow,1,COLUMN()),4,LEN(INDEX(headerRow,1,COLUMN()))),ovrHeaderRow,0))</f>
        <v>70.8</v>
      </c>
      <c r="CN133" s="12">
        <f>INDEX(ovrTable,MATCH(INDEX(oppCol24,ROW()),ovrTeamCol,0),MATCH(MID(INDEX(headerRow,1,COLUMN()),4,LEN(INDEX(headerRow,1,COLUMN()))),ovrHeaderRow,0))</f>
        <v>20.199999999999996</v>
      </c>
      <c r="CO133" s="12">
        <f>INDEX(ovrTable,MATCH(INDEX(oppCol24,ROW()),ovrTeamCol,0),MATCH(MID(INDEX(headerRow,1,COLUMN()),4,LEN(INDEX(headerRow,1,COLUMN()))),ovrHeaderRow,0))</f>
        <v>60.444444444444436</v>
      </c>
    </row>
    <row r="134" spans="1:93" x14ac:dyDescent="0.3">
      <c r="A134" s="6" t="s">
        <v>2</v>
      </c>
      <c r="B134" s="3">
        <v>1</v>
      </c>
      <c r="C134" s="13" t="s">
        <v>54</v>
      </c>
      <c r="D134" s="14">
        <v>67</v>
      </c>
      <c r="E134" s="23">
        <v>14.285714285714285</v>
      </c>
      <c r="F134" s="24">
        <v>6</v>
      </c>
      <c r="G134" s="23">
        <v>27.27272727272727</v>
      </c>
      <c r="H134" s="24">
        <v>22</v>
      </c>
      <c r="I134" s="25">
        <v>2.25</v>
      </c>
      <c r="J134" s="24">
        <v>18</v>
      </c>
      <c r="K134" s="24">
        <v>13</v>
      </c>
      <c r="L134" s="24">
        <v>4</v>
      </c>
      <c r="M134" s="24">
        <v>44.4</v>
      </c>
      <c r="N134" s="24">
        <v>21</v>
      </c>
      <c r="O134" s="26">
        <v>0.53239999999999998</v>
      </c>
      <c r="P134" s="24">
        <v>2</v>
      </c>
      <c r="Q134" s="24">
        <v>48.4</v>
      </c>
      <c r="R134" s="24">
        <v>18</v>
      </c>
      <c r="S134" s="23">
        <v>81.818181818181827</v>
      </c>
      <c r="T134" s="24">
        <v>11</v>
      </c>
      <c r="U134" s="24">
        <v>9</v>
      </c>
      <c r="V134" s="24">
        <v>60</v>
      </c>
      <c r="W134" s="24">
        <v>14</v>
      </c>
      <c r="X134" s="24">
        <v>75</v>
      </c>
      <c r="Y134" s="24">
        <v>7</v>
      </c>
      <c r="Z134" s="24">
        <v>35</v>
      </c>
      <c r="AA134" s="24">
        <v>15</v>
      </c>
      <c r="AB134" s="24">
        <v>3</v>
      </c>
      <c r="AC134" s="24">
        <v>1</v>
      </c>
      <c r="AD134" s="24">
        <v>9</v>
      </c>
      <c r="AE134" s="24">
        <v>8</v>
      </c>
      <c r="AF134" s="46">
        <f t="shared" si="168"/>
        <v>61.208471074380171</v>
      </c>
      <c r="AG134" s="51">
        <f t="shared" ref="AG134" si="172">AVERAGE(AF134,AF135)</f>
        <v>61.19376256421711</v>
      </c>
      <c r="AH134" s="12">
        <f t="shared" si="157"/>
        <v>31.2</v>
      </c>
      <c r="AI134" s="12">
        <f t="shared" si="157"/>
        <v>8.5</v>
      </c>
      <c r="AJ134" s="12">
        <f t="shared" si="157"/>
        <v>35.799999999999997</v>
      </c>
      <c r="AK134" s="12">
        <f t="shared" si="157"/>
        <v>23.8</v>
      </c>
      <c r="AL134" s="12">
        <f t="shared" si="157"/>
        <v>1.95</v>
      </c>
      <c r="AM134" s="12">
        <f t="shared" si="157"/>
        <v>18.7</v>
      </c>
      <c r="AN134" s="12">
        <f t="shared" si="157"/>
        <v>16.149999999999999</v>
      </c>
      <c r="AO134" s="12">
        <f t="shared" si="157"/>
        <v>5.4</v>
      </c>
      <c r="AP134" s="12">
        <f t="shared" si="157"/>
        <v>39.200000000000003</v>
      </c>
      <c r="AQ134" s="12">
        <f t="shared" si="157"/>
        <v>27.1</v>
      </c>
      <c r="AR134" s="12">
        <f t="shared" si="158"/>
        <v>0.56899999999999995</v>
      </c>
      <c r="AS134" s="12">
        <f t="shared" si="158"/>
        <v>11.95</v>
      </c>
      <c r="AT134" s="12">
        <f t="shared" si="158"/>
        <v>49.7</v>
      </c>
      <c r="AU134" s="12">
        <f t="shared" si="158"/>
        <v>16.3</v>
      </c>
      <c r="AV134" s="12">
        <f t="shared" si="158"/>
        <v>74.3</v>
      </c>
      <c r="AW134" s="12">
        <f t="shared" si="158"/>
        <v>18.899999999999999</v>
      </c>
      <c r="AX134" s="12">
        <f t="shared" si="158"/>
        <v>14.1</v>
      </c>
      <c r="AY134" s="12">
        <f t="shared" si="158"/>
        <v>63.4</v>
      </c>
      <c r="AZ134" s="12">
        <f t="shared" si="158"/>
        <v>11.73</v>
      </c>
      <c r="BA134" s="12">
        <f t="shared" si="158"/>
        <v>81.400000000000006</v>
      </c>
      <c r="BB134" s="12">
        <f t="shared" si="159"/>
        <v>8.6999999999999993</v>
      </c>
      <c r="BC134" s="12">
        <f t="shared" si="159"/>
        <v>38.83</v>
      </c>
      <c r="BD134" s="12">
        <f t="shared" si="159"/>
        <v>18</v>
      </c>
      <c r="BE134" s="12">
        <f t="shared" si="159"/>
        <v>6.2</v>
      </c>
      <c r="BF134" s="12">
        <f t="shared" si="159"/>
        <v>1</v>
      </c>
      <c r="BG134" s="12">
        <f t="shared" si="159"/>
        <v>10.55</v>
      </c>
      <c r="BH134" s="12">
        <f t="shared" si="159"/>
        <v>9.6</v>
      </c>
      <c r="BI134" s="12">
        <f t="shared" si="159"/>
        <v>67.900000000000006</v>
      </c>
      <c r="BJ134" s="12">
        <f t="shared" si="159"/>
        <v>20.900000000000006</v>
      </c>
      <c r="BK134" s="12">
        <f t="shared" si="159"/>
        <v>59.154929577464792</v>
      </c>
      <c r="BL134" s="12">
        <f>INDEX(ovrTable,MATCH(INDEX(oppCol24,ROW()),ovrTeamCol,0),MATCH(MID(INDEX(headerRow,1,COLUMN()),4,LEN(INDEX(headerRow,1,COLUMN()))),ovrHeaderRow,0))</f>
        <v>31.5</v>
      </c>
      <c r="BM134" s="12">
        <f>INDEX(ovrTable,MATCH(INDEX(oppCol24,ROW()),ovrTeamCol,0),MATCH(MID(INDEX(headerRow,1,COLUMN()),4,LEN(INDEX(headerRow,1,COLUMN()))),ovrHeaderRow,0))</f>
        <v>8.1999999999999993</v>
      </c>
      <c r="BN134" s="12">
        <f>INDEX(ovrTable,MATCH(INDEX(oppCol24,ROW()),ovrTeamCol,0),MATCH(MID(INDEX(headerRow,1,COLUMN()),4,LEN(INDEX(headerRow,1,COLUMN()))),ovrHeaderRow,0))</f>
        <v>40.4</v>
      </c>
      <c r="BO134" s="12">
        <f>INDEX(ovrTable,MATCH(INDEX(oppCol24,ROW()),ovrTeamCol,0),MATCH(MID(INDEX(headerRow,1,COLUMN()),4,LEN(INDEX(headerRow,1,COLUMN()))),ovrHeaderRow,0))</f>
        <v>20.2</v>
      </c>
      <c r="BP134" s="12">
        <f>INDEX(ovrTable,MATCH(INDEX(oppCol24,ROW()),ovrTeamCol,0),MATCH(MID(INDEX(headerRow,1,COLUMN()),4,LEN(INDEX(headerRow,1,COLUMN()))),ovrHeaderRow,0))</f>
        <v>1.63</v>
      </c>
      <c r="BQ134" s="12">
        <f>INDEX(ovrTable,MATCH(INDEX(oppCol24,ROW()),ovrTeamCol,0),MATCH(MID(INDEX(headerRow,1,COLUMN()),4,LEN(INDEX(headerRow,1,COLUMN()))),ovrHeaderRow,0))</f>
        <v>18.5</v>
      </c>
      <c r="BR134" s="12">
        <f>INDEX(ovrTable,MATCH(INDEX(oppCol24,ROW()),ovrTeamCol,0),MATCH(MID(INDEX(headerRow,1,COLUMN()),4,LEN(INDEX(headerRow,1,COLUMN()))),ovrHeaderRow,0))</f>
        <v>16.72</v>
      </c>
      <c r="BS134" s="12">
        <f>INDEX(ovrTable,MATCH(INDEX(oppCol24,ROW()),ovrTeamCol,0),MATCH(MID(INDEX(headerRow,1,COLUMN()),4,LEN(INDEX(headerRow,1,COLUMN()))),ovrHeaderRow,0))</f>
        <v>3.6</v>
      </c>
      <c r="BT134" s="12">
        <f>INDEX(ovrTable,MATCH(INDEX(oppCol24,ROW()),ovrTeamCol,0),MATCH(MID(INDEX(headerRow,1,COLUMN()),4,LEN(INDEX(headerRow,1,COLUMN()))),ovrHeaderRow,0))</f>
        <v>41.7</v>
      </c>
      <c r="BU134" s="12">
        <f>INDEX(ovrTable,MATCH(INDEX(oppCol24,ROW()),ovrTeamCol,0),MATCH(MID(INDEX(headerRow,1,COLUMN()),4,LEN(INDEX(headerRow,1,COLUMN()))),ovrHeaderRow,0))</f>
        <v>28.23</v>
      </c>
      <c r="BV134" s="12">
        <f>INDEX(ovrTable,MATCH(INDEX(oppCol24,ROW()),ovrTeamCol,0),MATCH(MID(INDEX(headerRow,1,COLUMN()),4,LEN(INDEX(headerRow,1,COLUMN()))),ovrHeaderRow,0))</f>
        <v>0.55800000000000005</v>
      </c>
      <c r="BW134" s="12">
        <f>INDEX(ovrTable,MATCH(INDEX(oppCol24,ROW()),ovrTeamCol,0),MATCH(MID(INDEX(headerRow,1,COLUMN()),4,LEN(INDEX(headerRow,1,COLUMN()))),ovrHeaderRow,0))</f>
        <v>7</v>
      </c>
      <c r="BX134" s="12">
        <f>INDEX(ovrTable,MATCH(INDEX(oppCol24,ROW()),ovrTeamCol,0),MATCH(MID(INDEX(headerRow,1,COLUMN()),4,LEN(INDEX(headerRow,1,COLUMN()))),ovrHeaderRow,0))</f>
        <v>48.8</v>
      </c>
      <c r="BY134" s="12">
        <f>INDEX(ovrTable,MATCH(INDEX(oppCol24,ROW()),ovrTeamCol,0),MATCH(MID(INDEX(headerRow,1,COLUMN()),4,LEN(INDEX(headerRow,1,COLUMN()))),ovrHeaderRow,0))</f>
        <v>13.7</v>
      </c>
      <c r="BZ134" s="12">
        <f>INDEX(ovrTable,MATCH(INDEX(oppCol24,ROW()),ovrTeamCol,0),MATCH(MID(INDEX(headerRow,1,COLUMN()),4,LEN(INDEX(headerRow,1,COLUMN()))),ovrHeaderRow,0))</f>
        <v>72</v>
      </c>
      <c r="CA134" s="12">
        <f>INDEX(ovrTable,MATCH(INDEX(oppCol24,ROW()),ovrTeamCol,0),MATCH(MID(INDEX(headerRow,1,COLUMN()),4,LEN(INDEX(headerRow,1,COLUMN()))),ovrHeaderRow,0))</f>
        <v>24.1</v>
      </c>
      <c r="CB134" s="12">
        <f>INDEX(ovrTable,MATCH(INDEX(oppCol24,ROW()),ovrTeamCol,0),MATCH(MID(INDEX(headerRow,1,COLUMN()),4,LEN(INDEX(headerRow,1,COLUMN()))),ovrHeaderRow,0))</f>
        <v>17.3</v>
      </c>
      <c r="CC134" s="12">
        <f>INDEX(ovrTable,MATCH(INDEX(oppCol24,ROW()),ovrTeamCol,0),MATCH(MID(INDEX(headerRow,1,COLUMN()),4,LEN(INDEX(headerRow,1,COLUMN()))),ovrHeaderRow,0))</f>
        <v>68.900000000000006</v>
      </c>
      <c r="CD134" s="12">
        <f>INDEX(ovrTable,MATCH(INDEX(oppCol24,ROW()),ovrTeamCol,0),MATCH(MID(INDEX(headerRow,1,COLUMN()),4,LEN(INDEX(headerRow,1,COLUMN()))),ovrHeaderRow,0))</f>
        <v>12.21</v>
      </c>
      <c r="CE134" s="12">
        <f>INDEX(ovrTable,MATCH(INDEX(oppCol24,ROW()),ovrTeamCol,0),MATCH(MID(INDEX(headerRow,1,COLUMN()),4,LEN(INDEX(headerRow,1,COLUMN()))),ovrHeaderRow,0))</f>
        <v>82.3</v>
      </c>
      <c r="CF134" s="12">
        <f>INDEX(ovrTable,MATCH(INDEX(oppCol24,ROW()),ovrTeamCol,0),MATCH(MID(INDEX(headerRow,1,COLUMN()),4,LEN(INDEX(headerRow,1,COLUMN()))),ovrHeaderRow,0))</f>
        <v>11.2</v>
      </c>
      <c r="CG134" s="12">
        <f>INDEX(ovrTable,MATCH(INDEX(oppCol24,ROW()),ovrTeamCol,0),MATCH(MID(INDEX(headerRow,1,COLUMN()),4,LEN(INDEX(headerRow,1,COLUMN()))),ovrHeaderRow,0))</f>
        <v>40.44</v>
      </c>
      <c r="CH134" s="12">
        <f>INDEX(ovrTable,MATCH(INDEX(oppCol24,ROW()),ovrTeamCol,0),MATCH(MID(INDEX(headerRow,1,COLUMN()),4,LEN(INDEX(headerRow,1,COLUMN()))),ovrHeaderRow,0))</f>
        <v>13.4</v>
      </c>
      <c r="CI134" s="12">
        <f>INDEX(ovrTable,MATCH(INDEX(oppCol24,ROW()),ovrTeamCol,0),MATCH(MID(INDEX(headerRow,1,COLUMN()),4,LEN(INDEX(headerRow,1,COLUMN()))),ovrHeaderRow,0))</f>
        <v>5.4</v>
      </c>
      <c r="CJ134" s="12">
        <f>INDEX(ovrTable,MATCH(INDEX(oppCol24,ROW()),ovrTeamCol,0),MATCH(MID(INDEX(headerRow,1,COLUMN()),4,LEN(INDEX(headerRow,1,COLUMN()))),ovrHeaderRow,0))</f>
        <v>-1.9</v>
      </c>
      <c r="CK134" s="12">
        <f>INDEX(ovrTable,MATCH(INDEX(oppCol24,ROW()),ovrTeamCol,0),MATCH(MID(INDEX(headerRow,1,COLUMN()),4,LEN(INDEX(headerRow,1,COLUMN()))),ovrHeaderRow,0))</f>
        <v>9.44</v>
      </c>
      <c r="CL134" s="12">
        <f>INDEX(ovrTable,MATCH(INDEX(oppCol24,ROW()),ovrTeamCol,0),MATCH(MID(INDEX(headerRow,1,COLUMN()),4,LEN(INDEX(headerRow,1,COLUMN()))),ovrHeaderRow,0))</f>
        <v>11.3</v>
      </c>
      <c r="CM134" s="12">
        <f>INDEX(ovrTable,MATCH(INDEX(oppCol24,ROW()),ovrTeamCol,0),MATCH(MID(INDEX(headerRow,1,COLUMN()),4,LEN(INDEX(headerRow,1,COLUMN()))),ovrHeaderRow,0))</f>
        <v>70.099999999999994</v>
      </c>
      <c r="CN134" s="12">
        <f>INDEX(ovrTable,MATCH(INDEX(oppCol24,ROW()),ovrTeamCol,0),MATCH(MID(INDEX(headerRow,1,COLUMN()),4,LEN(INDEX(headerRow,1,COLUMN()))),ovrHeaderRow,0))</f>
        <v>20.200000000000003</v>
      </c>
      <c r="CO134" s="12">
        <f>INDEX(ovrTable,MATCH(INDEX(oppCol24,ROW()),ovrTeamCol,0),MATCH(MID(INDEX(headerRow,1,COLUMN()),4,LEN(INDEX(headerRow,1,COLUMN()))),ovrHeaderRow,0))</f>
        <v>58.196721311475414</v>
      </c>
    </row>
    <row r="135" spans="1:93" x14ac:dyDescent="0.3">
      <c r="A135" s="6" t="s">
        <v>54</v>
      </c>
      <c r="B135" s="3">
        <v>1</v>
      </c>
      <c r="C135" s="13" t="s">
        <v>2</v>
      </c>
      <c r="D135" s="14">
        <v>67</v>
      </c>
      <c r="E135" s="23">
        <v>27.27272727272727</v>
      </c>
      <c r="F135" s="24">
        <v>1</v>
      </c>
      <c r="G135" s="23">
        <v>14.285714285714285</v>
      </c>
      <c r="H135" s="24">
        <v>7</v>
      </c>
      <c r="I135" s="25">
        <v>0.88888888888888884</v>
      </c>
      <c r="J135" s="24">
        <v>8</v>
      </c>
      <c r="K135" s="24">
        <v>2</v>
      </c>
      <c r="L135" s="24">
        <v>3</v>
      </c>
      <c r="M135" s="24">
        <v>48.4</v>
      </c>
      <c r="N135" s="24">
        <v>19</v>
      </c>
      <c r="O135" s="26">
        <v>0.45324999999999993</v>
      </c>
      <c r="P135" s="24">
        <v>0</v>
      </c>
      <c r="Q135" s="24">
        <v>44.4</v>
      </c>
      <c r="R135" s="24">
        <v>15</v>
      </c>
      <c r="S135" s="23">
        <v>73.333333333333329</v>
      </c>
      <c r="T135" s="24">
        <v>15</v>
      </c>
      <c r="U135" s="24">
        <v>11</v>
      </c>
      <c r="V135" s="24">
        <v>75</v>
      </c>
      <c r="W135" s="24">
        <v>9</v>
      </c>
      <c r="X135" s="24">
        <v>60</v>
      </c>
      <c r="Y135" s="24">
        <v>-7</v>
      </c>
      <c r="Z135" s="24">
        <v>28</v>
      </c>
      <c r="AA135" s="24">
        <v>-15</v>
      </c>
      <c r="AB135" s="24">
        <v>3</v>
      </c>
      <c r="AC135" s="24">
        <v>-1</v>
      </c>
      <c r="AD135" s="24">
        <v>8</v>
      </c>
      <c r="AE135" s="24">
        <v>9</v>
      </c>
      <c r="AF135" s="46">
        <f t="shared" si="168"/>
        <v>61.179054054054056</v>
      </c>
      <c r="AG135" s="51">
        <f t="shared" ref="AG135" si="173">AVERAGE(AF134,AF135)</f>
        <v>61.19376256421711</v>
      </c>
      <c r="AH135" s="12">
        <f t="shared" si="157"/>
        <v>31.5</v>
      </c>
      <c r="AI135" s="12">
        <f t="shared" si="157"/>
        <v>8.1999999999999993</v>
      </c>
      <c r="AJ135" s="12">
        <f t="shared" si="157"/>
        <v>40.4</v>
      </c>
      <c r="AK135" s="12">
        <f t="shared" si="157"/>
        <v>20.2</v>
      </c>
      <c r="AL135" s="12">
        <f t="shared" si="157"/>
        <v>1.63</v>
      </c>
      <c r="AM135" s="12">
        <f t="shared" si="157"/>
        <v>18.5</v>
      </c>
      <c r="AN135" s="12">
        <f t="shared" si="157"/>
        <v>16.72</v>
      </c>
      <c r="AO135" s="12">
        <f t="shared" si="157"/>
        <v>3.6</v>
      </c>
      <c r="AP135" s="12">
        <f t="shared" si="157"/>
        <v>41.7</v>
      </c>
      <c r="AQ135" s="12">
        <f t="shared" si="157"/>
        <v>28.23</v>
      </c>
      <c r="AR135" s="12">
        <f t="shared" si="158"/>
        <v>0.55800000000000005</v>
      </c>
      <c r="AS135" s="12">
        <f t="shared" si="158"/>
        <v>7</v>
      </c>
      <c r="AT135" s="12">
        <f t="shared" si="158"/>
        <v>48.8</v>
      </c>
      <c r="AU135" s="12">
        <f t="shared" si="158"/>
        <v>13.7</v>
      </c>
      <c r="AV135" s="12">
        <f t="shared" si="158"/>
        <v>72</v>
      </c>
      <c r="AW135" s="12">
        <f t="shared" si="158"/>
        <v>24.1</v>
      </c>
      <c r="AX135" s="12">
        <f t="shared" si="158"/>
        <v>17.3</v>
      </c>
      <c r="AY135" s="12">
        <f t="shared" si="158"/>
        <v>68.900000000000006</v>
      </c>
      <c r="AZ135" s="12">
        <f t="shared" si="158"/>
        <v>12.21</v>
      </c>
      <c r="BA135" s="12">
        <f t="shared" si="158"/>
        <v>82.3</v>
      </c>
      <c r="BB135" s="12">
        <f t="shared" si="159"/>
        <v>11.2</v>
      </c>
      <c r="BC135" s="12">
        <f t="shared" si="159"/>
        <v>40.44</v>
      </c>
      <c r="BD135" s="12">
        <f t="shared" si="159"/>
        <v>13.4</v>
      </c>
      <c r="BE135" s="12">
        <f t="shared" si="159"/>
        <v>5.4</v>
      </c>
      <c r="BF135" s="12">
        <f t="shared" si="159"/>
        <v>-1.9</v>
      </c>
      <c r="BG135" s="12">
        <f t="shared" si="159"/>
        <v>9.44</v>
      </c>
      <c r="BH135" s="12">
        <f t="shared" si="159"/>
        <v>11.3</v>
      </c>
      <c r="BI135" s="12">
        <f t="shared" si="159"/>
        <v>70.099999999999994</v>
      </c>
      <c r="BJ135" s="12">
        <f t="shared" si="159"/>
        <v>20.200000000000003</v>
      </c>
      <c r="BK135" s="12">
        <f t="shared" si="159"/>
        <v>58.196721311475414</v>
      </c>
      <c r="BL135" s="12">
        <f>INDEX(ovrTable,MATCH(INDEX(oppCol24,ROW()),ovrTeamCol,0),MATCH(MID(INDEX(headerRow,1,COLUMN()),4,LEN(INDEX(headerRow,1,COLUMN()))),ovrHeaderRow,0))</f>
        <v>31.2</v>
      </c>
      <c r="BM135" s="12">
        <f>INDEX(ovrTable,MATCH(INDEX(oppCol24,ROW()),ovrTeamCol,0),MATCH(MID(INDEX(headerRow,1,COLUMN()),4,LEN(INDEX(headerRow,1,COLUMN()))),ovrHeaderRow,0))</f>
        <v>8.5</v>
      </c>
      <c r="BN135" s="12">
        <f>INDEX(ovrTable,MATCH(INDEX(oppCol24,ROW()),ovrTeamCol,0),MATCH(MID(INDEX(headerRow,1,COLUMN()),4,LEN(INDEX(headerRow,1,COLUMN()))),ovrHeaderRow,0))</f>
        <v>35.799999999999997</v>
      </c>
      <c r="BO135" s="12">
        <f>INDEX(ovrTable,MATCH(INDEX(oppCol24,ROW()),ovrTeamCol,0),MATCH(MID(INDEX(headerRow,1,COLUMN()),4,LEN(INDEX(headerRow,1,COLUMN()))),ovrHeaderRow,0))</f>
        <v>23.8</v>
      </c>
      <c r="BP135" s="12">
        <f>INDEX(ovrTable,MATCH(INDEX(oppCol24,ROW()),ovrTeamCol,0),MATCH(MID(INDEX(headerRow,1,COLUMN()),4,LEN(INDEX(headerRow,1,COLUMN()))),ovrHeaderRow,0))</f>
        <v>1.95</v>
      </c>
      <c r="BQ135" s="12">
        <f>INDEX(ovrTable,MATCH(INDEX(oppCol24,ROW()),ovrTeamCol,0),MATCH(MID(INDEX(headerRow,1,COLUMN()),4,LEN(INDEX(headerRow,1,COLUMN()))),ovrHeaderRow,0))</f>
        <v>18.7</v>
      </c>
      <c r="BR135" s="12">
        <f>INDEX(ovrTable,MATCH(INDEX(oppCol24,ROW()),ovrTeamCol,0),MATCH(MID(INDEX(headerRow,1,COLUMN()),4,LEN(INDEX(headerRow,1,COLUMN()))),ovrHeaderRow,0))</f>
        <v>16.149999999999999</v>
      </c>
      <c r="BS135" s="12">
        <f>INDEX(ovrTable,MATCH(INDEX(oppCol24,ROW()),ovrTeamCol,0),MATCH(MID(INDEX(headerRow,1,COLUMN()),4,LEN(INDEX(headerRow,1,COLUMN()))),ovrHeaderRow,0))</f>
        <v>5.4</v>
      </c>
      <c r="BT135" s="12">
        <f>INDEX(ovrTable,MATCH(INDEX(oppCol24,ROW()),ovrTeamCol,0),MATCH(MID(INDEX(headerRow,1,COLUMN()),4,LEN(INDEX(headerRow,1,COLUMN()))),ovrHeaderRow,0))</f>
        <v>39.200000000000003</v>
      </c>
      <c r="BU135" s="12">
        <f>INDEX(ovrTable,MATCH(INDEX(oppCol24,ROW()),ovrTeamCol,0),MATCH(MID(INDEX(headerRow,1,COLUMN()),4,LEN(INDEX(headerRow,1,COLUMN()))),ovrHeaderRow,0))</f>
        <v>27.1</v>
      </c>
      <c r="BV135" s="12">
        <f>INDEX(ovrTable,MATCH(INDEX(oppCol24,ROW()),ovrTeamCol,0),MATCH(MID(INDEX(headerRow,1,COLUMN()),4,LEN(INDEX(headerRow,1,COLUMN()))),ovrHeaderRow,0))</f>
        <v>0.56899999999999995</v>
      </c>
      <c r="BW135" s="12">
        <f>INDEX(ovrTable,MATCH(INDEX(oppCol24,ROW()),ovrTeamCol,0),MATCH(MID(INDEX(headerRow,1,COLUMN()),4,LEN(INDEX(headerRow,1,COLUMN()))),ovrHeaderRow,0))</f>
        <v>11.95</v>
      </c>
      <c r="BX135" s="12">
        <f>INDEX(ovrTable,MATCH(INDEX(oppCol24,ROW()),ovrTeamCol,0),MATCH(MID(INDEX(headerRow,1,COLUMN()),4,LEN(INDEX(headerRow,1,COLUMN()))),ovrHeaderRow,0))</f>
        <v>49.7</v>
      </c>
      <c r="BY135" s="12">
        <f>INDEX(ovrTable,MATCH(INDEX(oppCol24,ROW()),ovrTeamCol,0),MATCH(MID(INDEX(headerRow,1,COLUMN()),4,LEN(INDEX(headerRow,1,COLUMN()))),ovrHeaderRow,0))</f>
        <v>16.3</v>
      </c>
      <c r="BZ135" s="12">
        <f>INDEX(ovrTable,MATCH(INDEX(oppCol24,ROW()),ovrTeamCol,0),MATCH(MID(INDEX(headerRow,1,COLUMN()),4,LEN(INDEX(headerRow,1,COLUMN()))),ovrHeaderRow,0))</f>
        <v>74.3</v>
      </c>
      <c r="CA135" s="12">
        <f>INDEX(ovrTable,MATCH(INDEX(oppCol24,ROW()),ovrTeamCol,0),MATCH(MID(INDEX(headerRow,1,COLUMN()),4,LEN(INDEX(headerRow,1,COLUMN()))),ovrHeaderRow,0))</f>
        <v>18.899999999999999</v>
      </c>
      <c r="CB135" s="12">
        <f>INDEX(ovrTable,MATCH(INDEX(oppCol24,ROW()),ovrTeamCol,0),MATCH(MID(INDEX(headerRow,1,COLUMN()),4,LEN(INDEX(headerRow,1,COLUMN()))),ovrHeaderRow,0))</f>
        <v>14.1</v>
      </c>
      <c r="CC135" s="12">
        <f>INDEX(ovrTable,MATCH(INDEX(oppCol24,ROW()),ovrTeamCol,0),MATCH(MID(INDEX(headerRow,1,COLUMN()),4,LEN(INDEX(headerRow,1,COLUMN()))),ovrHeaderRow,0))</f>
        <v>63.4</v>
      </c>
      <c r="CD135" s="12">
        <f>INDEX(ovrTable,MATCH(INDEX(oppCol24,ROW()),ovrTeamCol,0),MATCH(MID(INDEX(headerRow,1,COLUMN()),4,LEN(INDEX(headerRow,1,COLUMN()))),ovrHeaderRow,0))</f>
        <v>11.73</v>
      </c>
      <c r="CE135" s="12">
        <f>INDEX(ovrTable,MATCH(INDEX(oppCol24,ROW()),ovrTeamCol,0),MATCH(MID(INDEX(headerRow,1,COLUMN()),4,LEN(INDEX(headerRow,1,COLUMN()))),ovrHeaderRow,0))</f>
        <v>81.400000000000006</v>
      </c>
      <c r="CF135" s="12">
        <f>INDEX(ovrTable,MATCH(INDEX(oppCol24,ROW()),ovrTeamCol,0),MATCH(MID(INDEX(headerRow,1,COLUMN()),4,LEN(INDEX(headerRow,1,COLUMN()))),ovrHeaderRow,0))</f>
        <v>8.6999999999999993</v>
      </c>
      <c r="CG135" s="12">
        <f>INDEX(ovrTable,MATCH(INDEX(oppCol24,ROW()),ovrTeamCol,0),MATCH(MID(INDEX(headerRow,1,COLUMN()),4,LEN(INDEX(headerRow,1,COLUMN()))),ovrHeaderRow,0))</f>
        <v>38.83</v>
      </c>
      <c r="CH135" s="12">
        <f>INDEX(ovrTable,MATCH(INDEX(oppCol24,ROW()),ovrTeamCol,0),MATCH(MID(INDEX(headerRow,1,COLUMN()),4,LEN(INDEX(headerRow,1,COLUMN()))),ovrHeaderRow,0))</f>
        <v>18</v>
      </c>
      <c r="CI135" s="12">
        <f>INDEX(ovrTable,MATCH(INDEX(oppCol24,ROW()),ovrTeamCol,0),MATCH(MID(INDEX(headerRow,1,COLUMN()),4,LEN(INDEX(headerRow,1,COLUMN()))),ovrHeaderRow,0))</f>
        <v>6.2</v>
      </c>
      <c r="CJ135" s="12">
        <f>INDEX(ovrTable,MATCH(INDEX(oppCol24,ROW()),ovrTeamCol,0),MATCH(MID(INDEX(headerRow,1,COLUMN()),4,LEN(INDEX(headerRow,1,COLUMN()))),ovrHeaderRow,0))</f>
        <v>1</v>
      </c>
      <c r="CK135" s="12">
        <f>INDEX(ovrTable,MATCH(INDEX(oppCol24,ROW()),ovrTeamCol,0),MATCH(MID(INDEX(headerRow,1,COLUMN()),4,LEN(INDEX(headerRow,1,COLUMN()))),ovrHeaderRow,0))</f>
        <v>10.55</v>
      </c>
      <c r="CL135" s="12">
        <f>INDEX(ovrTable,MATCH(INDEX(oppCol24,ROW()),ovrTeamCol,0),MATCH(MID(INDEX(headerRow,1,COLUMN()),4,LEN(INDEX(headerRow,1,COLUMN()))),ovrHeaderRow,0))</f>
        <v>9.6</v>
      </c>
      <c r="CM135" s="12">
        <f>INDEX(ovrTable,MATCH(INDEX(oppCol24,ROW()),ovrTeamCol,0),MATCH(MID(INDEX(headerRow,1,COLUMN()),4,LEN(INDEX(headerRow,1,COLUMN()))),ovrHeaderRow,0))</f>
        <v>67.900000000000006</v>
      </c>
      <c r="CN135" s="12">
        <f>INDEX(ovrTable,MATCH(INDEX(oppCol24,ROW()),ovrTeamCol,0),MATCH(MID(INDEX(headerRow,1,COLUMN()),4,LEN(INDEX(headerRow,1,COLUMN()))),ovrHeaderRow,0))</f>
        <v>20.900000000000006</v>
      </c>
      <c r="CO135" s="12">
        <f>INDEX(ovrTable,MATCH(INDEX(oppCol24,ROW()),ovrTeamCol,0),MATCH(MID(INDEX(headerRow,1,COLUMN()),4,LEN(INDEX(headerRow,1,COLUMN()))),ovrHeaderRow,0))</f>
        <v>59.154929577464792</v>
      </c>
    </row>
    <row r="136" spans="1:93" s="21" customFormat="1" ht="15" thickBot="1" x14ac:dyDescent="0.35"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47"/>
      <c r="AG136" s="52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</row>
    <row r="137" spans="1:93" s="21" customFormat="1" thickTop="1" thickBot="1" x14ac:dyDescent="0.35"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47"/>
      <c r="AG137" s="52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</row>
    <row r="138" spans="1:93" s="21" customFormat="1" thickTop="1" thickBot="1" x14ac:dyDescent="0.35"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47"/>
      <c r="AG138" s="52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</row>
    <row r="139" spans="1:93" s="21" customFormat="1" thickTop="1" thickBot="1" x14ac:dyDescent="0.35"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47"/>
      <c r="AG139" s="52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</row>
    <row r="140" spans="1:93" s="21" customFormat="1" hidden="1" thickTop="1" thickBot="1" x14ac:dyDescent="0.35"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47"/>
      <c r="AG140" s="52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</row>
    <row r="141" spans="1:93" s="21" customFormat="1" hidden="1" thickTop="1" thickBot="1" x14ac:dyDescent="0.35"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47"/>
      <c r="AG141" s="52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</row>
    <row r="142" spans="1:93" s="21" customFormat="1" thickTop="1" thickBot="1" x14ac:dyDescent="0.35"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47"/>
      <c r="AG142" s="52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</row>
    <row r="143" spans="1:93" s="21" customFormat="1" thickTop="1" thickBot="1" x14ac:dyDescent="0.35"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47"/>
      <c r="AG143" s="52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</row>
    <row r="144" spans="1:93" s="21" customFormat="1" thickTop="1" thickBot="1" x14ac:dyDescent="0.35"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47"/>
      <c r="AG144" s="52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</row>
    <row r="145" spans="5:93" s="21" customFormat="1" thickTop="1" thickBot="1" x14ac:dyDescent="0.35"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47"/>
      <c r="AG145" s="52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</row>
    <row r="146" spans="5:93" s="21" customFormat="1" thickTop="1" thickBot="1" x14ac:dyDescent="0.35"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47"/>
      <c r="AG146" s="52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</row>
    <row r="147" spans="5:93" s="21" customFormat="1" thickTop="1" thickBot="1" x14ac:dyDescent="0.35"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47"/>
      <c r="AG147" s="52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</row>
    <row r="148" spans="5:93" s="21" customFormat="1" hidden="1" thickTop="1" thickBot="1" x14ac:dyDescent="0.35"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47"/>
      <c r="AG148" s="52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</row>
    <row r="149" spans="5:93" s="21" customFormat="1" hidden="1" thickTop="1" thickBot="1" x14ac:dyDescent="0.35"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47"/>
      <c r="AG149" s="52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</row>
    <row r="150" spans="5:93" s="21" customFormat="1" thickTop="1" thickBot="1" x14ac:dyDescent="0.35"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47"/>
      <c r="AG150" s="52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</row>
    <row r="151" spans="5:93" s="21" customFormat="1" thickTop="1" thickBot="1" x14ac:dyDescent="0.35"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47"/>
      <c r="AG151" s="52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</row>
    <row r="152" spans="5:93" s="21" customFormat="1" thickTop="1" thickBot="1" x14ac:dyDescent="0.35"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47"/>
      <c r="AG152" s="52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</row>
    <row r="153" spans="5:93" ht="16.2" thickTop="1" x14ac:dyDescent="0.3"/>
  </sheetData>
  <sortState xmlns:xlrd2="http://schemas.microsoft.com/office/spreadsheetml/2017/richdata2" ref="A2:CO153">
    <sortCondition ref="D1:D153"/>
  </sortState>
  <conditionalFormatting sqref="C1:C135 D17 D25:D28 D31 D39:D41 D46:D48 D51:D55 D57:D60 D62:D64 D66:D68 D70:D78 D80:D81 D83:D87 D89:D92 D95 D97:D105 D107:D115 D117:D119 D121:D122 D124:D131 D133:D134 C153:C1048576">
    <cfRule type="cellIs" dxfId="4" priority="67" operator="equal">
      <formula>"SEASON"</formula>
    </cfRule>
  </conditionalFormatting>
  <conditionalFormatting sqref="C1:D1">
    <cfRule type="colorScale" priority="143">
      <colorScale>
        <cfvo type="min"/>
        <cfvo type="max"/>
        <color rgb="FFFCFCFF"/>
        <color rgb="FF63BE7B"/>
      </colorScale>
    </cfRule>
  </conditionalFormatting>
  <conditionalFormatting sqref="AF136:AG13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138:AG13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139:AG13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142:AG142">
    <cfRule type="colorScale" priority="5">
      <colorScale>
        <cfvo type="min"/>
        <cfvo type="max"/>
        <color rgb="FFFCFCFF"/>
        <color rgb="FFF8696B"/>
      </colorScale>
    </cfRule>
  </conditionalFormatting>
  <conditionalFormatting sqref="AF143:AG143">
    <cfRule type="colorScale" priority="4">
      <colorScale>
        <cfvo type="min"/>
        <cfvo type="max"/>
        <color rgb="FFFCFCFF"/>
        <color rgb="FFF8696B"/>
      </colorScale>
    </cfRule>
  </conditionalFormatting>
  <conditionalFormatting sqref="AF145:AG14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6:CO13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8:CO138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9:CO139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42:CO142">
    <cfRule type="colorScale" priority="11">
      <colorScale>
        <cfvo type="min"/>
        <cfvo type="max"/>
        <color rgb="FFFCFCFF"/>
        <color rgb="FFF8696B"/>
      </colorScale>
    </cfRule>
  </conditionalFormatting>
  <conditionalFormatting sqref="AH143:CO143">
    <cfRule type="colorScale" priority="10">
      <colorScale>
        <cfvo type="min"/>
        <cfvo type="max"/>
        <color rgb="FFFCFCFF"/>
        <color rgb="FFF8696B"/>
      </colorScale>
    </cfRule>
  </conditionalFormatting>
  <conditionalFormatting sqref="AH145:CO14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P136:XFD137 A136:D137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P138:XFD138 A138:AE138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P139:XFD139 A139:AE13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P142:XFD142 A142:AE142">
    <cfRule type="colorScale" priority="35">
      <colorScale>
        <cfvo type="min"/>
        <cfvo type="max"/>
        <color rgb="FFFCFCFF"/>
        <color rgb="FFF8696B"/>
      </colorScale>
    </cfRule>
  </conditionalFormatting>
  <conditionalFormatting sqref="CP143:XFD143 A143:AE143">
    <cfRule type="colorScale" priority="34">
      <colorScale>
        <cfvo type="min"/>
        <cfvo type="max"/>
        <color rgb="FFFCFCFF"/>
        <color rgb="FFF8696B"/>
      </colorScale>
    </cfRule>
  </conditionalFormatting>
  <conditionalFormatting sqref="CP145:XFD145 A145:D145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B414-1633-4B0E-B0FC-49108ED34DB3}">
  <dimension ref="A1:CZ153"/>
  <sheetViews>
    <sheetView zoomScale="80" zoomScaleNormal="80" workbookViewId="0">
      <pane xSplit="1" ySplit="1" topLeftCell="AN2" activePane="bottomRight" state="frozen"/>
      <selection activeCell="Z70" sqref="Z70:AB70"/>
      <selection pane="topRight" activeCell="Z70" sqref="Z70:AB70"/>
      <selection pane="bottomLeft" activeCell="Z70" sqref="Z70:AB70"/>
      <selection pane="bottomRight" activeCell="BO2" sqref="BO2"/>
    </sheetView>
  </sheetViews>
  <sheetFormatPr defaultColWidth="8.77734375" defaultRowHeight="15.6" x14ac:dyDescent="0.3"/>
  <cols>
    <col min="1" max="1" width="8.77734375" style="11"/>
    <col min="2" max="2" width="8.77734375" style="3" customWidth="1"/>
    <col min="3" max="3" width="8.77734375" style="15" customWidth="1"/>
    <col min="4" max="4" width="9.77734375" style="14" customWidth="1"/>
    <col min="5" max="5" width="5.77734375" style="28" bestFit="1" customWidth="1"/>
    <col min="6" max="30" width="5.44140625" style="28" customWidth="1"/>
    <col min="31" max="31" width="6.21875" style="28" customWidth="1"/>
    <col min="32" max="33" width="6.21875" style="34" customWidth="1"/>
    <col min="34" max="34" width="8.77734375" style="48" customWidth="1"/>
    <col min="35" max="35" width="8.77734375" style="53" customWidth="1"/>
    <col min="36" max="95" width="8.77734375" style="12"/>
    <col min="96" max="16384" width="8.77734375" style="2"/>
  </cols>
  <sheetData>
    <row r="1" spans="1:104" s="20" customFormat="1" ht="16.2" thickBot="1" x14ac:dyDescent="0.35">
      <c r="A1" s="16" t="s">
        <v>0</v>
      </c>
      <c r="B1" s="17" t="s">
        <v>1</v>
      </c>
      <c r="C1" s="18" t="s">
        <v>403</v>
      </c>
      <c r="D1" s="19" t="s">
        <v>405</v>
      </c>
      <c r="E1" s="22" t="s">
        <v>185</v>
      </c>
      <c r="F1" s="22" t="s">
        <v>198</v>
      </c>
      <c r="G1" s="22" t="s">
        <v>186</v>
      </c>
      <c r="H1" s="22" t="s">
        <v>187</v>
      </c>
      <c r="I1" s="22" t="s">
        <v>188</v>
      </c>
      <c r="J1" s="22" t="s">
        <v>189</v>
      </c>
      <c r="K1" s="22" t="s">
        <v>202</v>
      </c>
      <c r="L1" s="22" t="s">
        <v>201</v>
      </c>
      <c r="M1" s="22" t="s">
        <v>204</v>
      </c>
      <c r="N1" s="22" t="s">
        <v>195</v>
      </c>
      <c r="O1" s="22" t="s">
        <v>190</v>
      </c>
      <c r="P1" s="22" t="s">
        <v>209</v>
      </c>
      <c r="Q1" s="22" t="s">
        <v>193</v>
      </c>
      <c r="R1" s="22" t="s">
        <v>212</v>
      </c>
      <c r="S1" s="22" t="s">
        <v>197</v>
      </c>
      <c r="T1" s="22" t="s">
        <v>199</v>
      </c>
      <c r="U1" s="22" t="s">
        <v>191</v>
      </c>
      <c r="V1" s="22" t="s">
        <v>194</v>
      </c>
      <c r="W1" s="22" t="s">
        <v>196</v>
      </c>
      <c r="X1" s="22" t="s">
        <v>200</v>
      </c>
      <c r="Y1" s="22" t="s">
        <v>203</v>
      </c>
      <c r="Z1" s="22" t="s">
        <v>205</v>
      </c>
      <c r="AA1" s="22" t="s">
        <v>206</v>
      </c>
      <c r="AB1" s="22" t="s">
        <v>207</v>
      </c>
      <c r="AC1" s="22" t="s">
        <v>208</v>
      </c>
      <c r="AD1" s="22" t="s">
        <v>210</v>
      </c>
      <c r="AE1" s="22" t="s">
        <v>211</v>
      </c>
      <c r="AF1" s="33" t="s">
        <v>559</v>
      </c>
      <c r="AG1" s="33" t="s">
        <v>560</v>
      </c>
      <c r="AH1" s="45" t="s">
        <v>591</v>
      </c>
      <c r="AI1" s="43" t="s">
        <v>592</v>
      </c>
      <c r="AJ1" s="49" t="str">
        <f>CONCATENATE("T1_",'Overall 2025 Reference'!E1)</f>
        <v>T1_3PD%</v>
      </c>
      <c r="AK1" s="49" t="str">
        <f>CONCATENATE("T1_",'Overall 2025 Reference'!F1)</f>
        <v>T1_3PPG</v>
      </c>
      <c r="AL1" s="49" t="str">
        <f>CONCATENATE("T1_",'Overall 2025 Reference'!G1)</f>
        <v>T1_3PT%</v>
      </c>
      <c r="AM1" s="49" t="str">
        <f>CONCATENATE("T1_",'Overall 2025 Reference'!H1)</f>
        <v>T1_3PTA</v>
      </c>
      <c r="AN1" s="49" t="str">
        <f>CONCATENATE("T1_",'Overall 2025 Reference'!I1)</f>
        <v>T1_A:T</v>
      </c>
      <c r="AO1" s="49" t="str">
        <f>CONCATENATE("T1_",'Overall 2025 Reference'!J1)</f>
        <v>T1_APG</v>
      </c>
      <c r="AP1" s="49" t="str">
        <f>CONCATENATE("T1_",'Overall 2025 Reference'!K1)</f>
        <v>T1_Bench</v>
      </c>
      <c r="AQ1" s="49" t="str">
        <f>CONCATENATE("T1_",'Overall 2025 Reference'!L1)</f>
        <v>T1_BPG</v>
      </c>
      <c r="AR1" s="49" t="str">
        <f>CONCATENATE("T1_",'Overall 2025 Reference'!M1)</f>
        <v>T1_DFG%</v>
      </c>
      <c r="AS1" s="49" t="str">
        <f>CONCATENATE("T1_",'Overall 2025 Reference'!N1)</f>
        <v>T1_DRPG</v>
      </c>
      <c r="AT1" s="49" t="str">
        <f>CONCATENATE("T1_",'Overall 2025 Reference'!O1)</f>
        <v>T1_EFG%</v>
      </c>
      <c r="AU1" s="49" t="str">
        <f>CONCATENATE("T1_",'Overall 2025 Reference'!P1)</f>
        <v>T1_FB</v>
      </c>
      <c r="AV1" s="49" t="str">
        <f>CONCATENATE("T1_",'Overall 2025 Reference'!Q1)</f>
        <v>T1_FG%</v>
      </c>
      <c r="AW1" s="49" t="str">
        <f>CONCATENATE("T1_",'Overall 2025 Reference'!R1)</f>
        <v>T1_FPG</v>
      </c>
      <c r="AX1" s="49" t="str">
        <f>CONCATENATE("T1_",'Overall 2025 Reference'!S1)</f>
        <v>T1_FT%</v>
      </c>
      <c r="AY1" s="49" t="str">
        <f>CONCATENATE("T1_",'Overall 2025 Reference'!T1)</f>
        <v>T1_FTA</v>
      </c>
      <c r="AZ1" s="49" t="str">
        <f>CONCATENATE("T1_",'Overall 2025 Reference'!U1)</f>
        <v>T1_FTPG</v>
      </c>
      <c r="BA1" s="49" t="str">
        <f>CONCATENATE("T1_",'Overall 2025 Reference'!V1)</f>
        <v>T1_OPPG</v>
      </c>
      <c r="BB1" s="49" t="str">
        <f>CONCATENATE("T1_",'Overall 2025 Reference'!W1)</f>
        <v>T1_ORPG</v>
      </c>
      <c r="BC1" s="49" t="str">
        <f>CONCATENATE("T1_",'Overall 2025 Reference'!X1)</f>
        <v>T1_PPG</v>
      </c>
      <c r="BD1" s="49" t="str">
        <f>CONCATENATE("T1_",'Overall 2025 Reference'!Y1)</f>
        <v>T1_RM</v>
      </c>
      <c r="BE1" s="49" t="str">
        <f>CONCATENATE("T1_",'Overall 2025 Reference'!Z1)</f>
        <v>T1_RPG</v>
      </c>
      <c r="BF1" s="49" t="str">
        <f>CONCATENATE("T1_",'Overall 2025 Reference'!AA1)</f>
        <v>T1_SM</v>
      </c>
      <c r="BG1" s="49" t="str">
        <f>CONCATENATE("T1_",'Overall 2025 Reference'!AB1)</f>
        <v>T1_SPG</v>
      </c>
      <c r="BH1" s="49" t="str">
        <f>CONCATENATE("T1_",'Overall 2025 Reference'!AC1)</f>
        <v>T1_TM</v>
      </c>
      <c r="BI1" s="49" t="str">
        <f>CONCATENATE("T1_",'Overall 2025 Reference'!AD1)</f>
        <v>T1_TOF</v>
      </c>
      <c r="BJ1" s="49" t="str">
        <f>CONCATENATE("T1_",'Overall 2025 Reference'!AE1)</f>
        <v>T1_TPG</v>
      </c>
      <c r="BK1" s="49" t="str">
        <f>CONCATENATE("T1_",'Overall 2025 Reference'!AF1)</f>
        <v>T1_TEMPO</v>
      </c>
      <c r="BL1" s="49" t="str">
        <f>CONCATENATE("T1_",'Overall 2025 Reference'!AG1)</f>
        <v>T1_2PT FGM</v>
      </c>
      <c r="BM1" s="49" t="str">
        <f>CONCATENATE("T1_",'Overall 2025 Reference'!AH1)</f>
        <v>T1_FGA</v>
      </c>
      <c r="BN1" s="50" t="str">
        <f>CONCATENATE("T2_",'Overall 2025 Reference'!E1)</f>
        <v>T2_3PD%</v>
      </c>
      <c r="BO1" s="50" t="str">
        <f>CONCATENATE("T2_",'Overall 2025 Reference'!F1)</f>
        <v>T2_3PPG</v>
      </c>
      <c r="BP1" s="50" t="str">
        <f>CONCATENATE("T2_",'Overall 2025 Reference'!G1)</f>
        <v>T2_3PT%</v>
      </c>
      <c r="BQ1" s="50" t="str">
        <f>CONCATENATE("T2_",'Overall 2025 Reference'!H1)</f>
        <v>T2_3PTA</v>
      </c>
      <c r="BR1" s="50" t="str">
        <f>CONCATENATE("T2_",'Overall 2025 Reference'!I1)</f>
        <v>T2_A:T</v>
      </c>
      <c r="BS1" s="50" t="str">
        <f>CONCATENATE("T2_",'Overall 2025 Reference'!J1)</f>
        <v>T2_APG</v>
      </c>
      <c r="BT1" s="50" t="str">
        <f>CONCATENATE("T2_",'Overall 2025 Reference'!K1)</f>
        <v>T2_Bench</v>
      </c>
      <c r="BU1" s="50" t="str">
        <f>CONCATENATE("T2_",'Overall 2025 Reference'!L1)</f>
        <v>T2_BPG</v>
      </c>
      <c r="BV1" s="50" t="str">
        <f>CONCATENATE("T2_",'Overall 2025 Reference'!M1)</f>
        <v>T2_DFG%</v>
      </c>
      <c r="BW1" s="50" t="str">
        <f>CONCATENATE("T2_",'Overall 2025 Reference'!N1)</f>
        <v>T2_DRPG</v>
      </c>
      <c r="BX1" s="50" t="str">
        <f>CONCATENATE("T2_",'Overall 2025 Reference'!O1)</f>
        <v>T2_EFG%</v>
      </c>
      <c r="BY1" s="50" t="str">
        <f>CONCATENATE("T2_",'Overall 2025 Reference'!P1)</f>
        <v>T2_FB</v>
      </c>
      <c r="BZ1" s="50" t="str">
        <f>CONCATENATE("T2_",'Overall 2025 Reference'!Q1)</f>
        <v>T2_FG%</v>
      </c>
      <c r="CA1" s="50" t="str">
        <f>CONCATENATE("T2_",'Overall 2025 Reference'!R1)</f>
        <v>T2_FPG</v>
      </c>
      <c r="CB1" s="50" t="str">
        <f>CONCATENATE("T2_",'Overall 2025 Reference'!S1)</f>
        <v>T2_FT%</v>
      </c>
      <c r="CC1" s="50" t="str">
        <f>CONCATENATE("T2_",'Overall 2025 Reference'!T1)</f>
        <v>T2_FTA</v>
      </c>
      <c r="CD1" s="50" t="str">
        <f>CONCATENATE("T2_",'Overall 2025 Reference'!U1)</f>
        <v>T2_FTPG</v>
      </c>
      <c r="CE1" s="50" t="str">
        <f>CONCATENATE("T2_",'Overall 2025 Reference'!V1)</f>
        <v>T2_OPPG</v>
      </c>
      <c r="CF1" s="50" t="str">
        <f>CONCATENATE("T2_",'Overall 2025 Reference'!W1)</f>
        <v>T2_ORPG</v>
      </c>
      <c r="CG1" s="50" t="str">
        <f>CONCATENATE("T2_",'Overall 2025 Reference'!X1)</f>
        <v>T2_PPG</v>
      </c>
      <c r="CH1" s="50" t="str">
        <f>CONCATENATE("T2_",'Overall 2025 Reference'!Y1)</f>
        <v>T2_RM</v>
      </c>
      <c r="CI1" s="50" t="str">
        <f>CONCATENATE("T2_",'Overall 2025 Reference'!Z1)</f>
        <v>T2_RPG</v>
      </c>
      <c r="CJ1" s="50" t="str">
        <f>CONCATENATE("T2_",'Overall 2025 Reference'!AA1)</f>
        <v>T2_SM</v>
      </c>
      <c r="CK1" s="50" t="str">
        <f>CONCATENATE("T2_",'Overall 2025 Reference'!AB1)</f>
        <v>T2_SPG</v>
      </c>
      <c r="CL1" s="50" t="str">
        <f>CONCATENATE("T2_",'Overall 2025 Reference'!AC1)</f>
        <v>T2_TM</v>
      </c>
      <c r="CM1" s="50" t="str">
        <f>CONCATENATE("T2_",'Overall 2025 Reference'!AD1)</f>
        <v>T2_TOF</v>
      </c>
      <c r="CN1" s="50" t="str">
        <f>CONCATENATE("T2_",'Overall 2025 Reference'!AE1)</f>
        <v>T2_TPG</v>
      </c>
      <c r="CO1" s="50" t="str">
        <f>CONCATENATE("T2_",'Overall 2025 Reference'!AF1)</f>
        <v>T2_TEMPO</v>
      </c>
      <c r="CP1" s="50" t="str">
        <f>CONCATENATE("T2_",'Overall 2025 Reference'!AG1)</f>
        <v>T2_2PT FGM</v>
      </c>
      <c r="CQ1" s="50" t="str">
        <f>CONCATENATE("T2_",'Overall 2025 Reference'!AH1)</f>
        <v>T2_FGA</v>
      </c>
      <c r="CR1" s="36"/>
      <c r="CS1" s="36"/>
      <c r="CT1" s="36"/>
      <c r="CU1" s="36"/>
      <c r="CV1" s="36"/>
      <c r="CW1" s="36"/>
      <c r="CX1" s="36"/>
      <c r="CY1" s="36"/>
      <c r="CZ1" s="36"/>
    </row>
    <row r="2" spans="1:104" x14ac:dyDescent="0.3">
      <c r="A2" s="6" t="s">
        <v>514</v>
      </c>
      <c r="B2" s="3">
        <v>16</v>
      </c>
      <c r="C2" s="13" t="str">
        <f>A3</f>
        <v>SFPA</v>
      </c>
      <c r="D2" s="14">
        <v>1</v>
      </c>
      <c r="E2" s="23">
        <v>0.45454545454545453</v>
      </c>
      <c r="F2" s="24">
        <v>42.857142857142854</v>
      </c>
      <c r="G2" s="24">
        <v>9</v>
      </c>
      <c r="H2" s="23">
        <v>31.03448275862069</v>
      </c>
      <c r="I2" s="24">
        <v>29</v>
      </c>
      <c r="J2" s="25">
        <v>2</v>
      </c>
      <c r="K2" s="24">
        <v>1</v>
      </c>
      <c r="L2" s="24">
        <v>4</v>
      </c>
      <c r="M2" s="24">
        <v>12</v>
      </c>
      <c r="N2" s="24">
        <v>23</v>
      </c>
      <c r="O2" s="24">
        <v>12</v>
      </c>
      <c r="P2" s="24">
        <v>9</v>
      </c>
      <c r="Q2" s="24">
        <v>1</v>
      </c>
      <c r="R2" s="24">
        <v>6</v>
      </c>
      <c r="S2" s="24">
        <v>9</v>
      </c>
      <c r="T2" s="24">
        <v>15</v>
      </c>
      <c r="U2" s="24">
        <v>25</v>
      </c>
      <c r="V2" s="24">
        <v>0.5</v>
      </c>
      <c r="W2" s="26">
        <v>0.49285714285714288</v>
      </c>
      <c r="X2" s="23">
        <v>25</v>
      </c>
      <c r="Y2" s="24">
        <v>68</v>
      </c>
      <c r="Z2" s="24">
        <v>70</v>
      </c>
      <c r="AA2" s="24">
        <v>2</v>
      </c>
      <c r="AB2" s="24">
        <v>35</v>
      </c>
      <c r="AC2" s="24">
        <v>2</v>
      </c>
      <c r="AD2" s="24">
        <v>9</v>
      </c>
      <c r="AE2" s="24">
        <v>15</v>
      </c>
      <c r="AF2" s="34">
        <f t="shared" ref="AF2:AF33" si="0">(Z2-(3*G2)-K2)/2</f>
        <v>21</v>
      </c>
      <c r="AG2" s="34">
        <f t="shared" ref="AG2:AG33" si="1">(AF2+G2)/(F2/100)-I2</f>
        <v>41</v>
      </c>
      <c r="AH2" s="46">
        <f t="shared" ref="AH2:AH33" si="2">ROUND(((Z2-K2-3*G2)/2+G2)/(F2/100),0)-M2+R2+L2*0.475</f>
        <v>65.900000000000006</v>
      </c>
      <c r="AI2" s="51">
        <f>AVERAGE(AH2,AH3)</f>
        <v>66.275000000000006</v>
      </c>
      <c r="AJ2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K2" s="12">
        <f>INDEX(ovrTable25,MATCH(INDEX('Structured 2025'!teamCol,ROW()),ovrTeamCol25,0),MATCH(MID(INDEX('Structured 2025'!headerRow,1,COLUMN()),4,LEN(INDEX('Structured 2025'!headerRow,1,COLUMN()))),ovrHeaderRow25,0))</f>
        <v>8.9</v>
      </c>
      <c r="AL2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M2" s="12">
        <f>INDEX(ovrTable25,MATCH(INDEX('Structured 2025'!teamCol,ROW()),ovrTeamCol25,0),MATCH(MID(INDEX('Structured 2025'!headerRow,1,COLUMN()),4,LEN(INDEX('Structured 2025'!headerRow,1,COLUMN()))),ovrHeaderRow25,0))</f>
        <v>27.2</v>
      </c>
      <c r="AN2" s="12">
        <f>INDEX(ovrTable25,MATCH(INDEX('Structured 2025'!teamCol,ROW()),ovrTeamCol25,0),MATCH(MID(INDEX('Structured 2025'!headerRow,1,COLUMN()),4,LEN(INDEX('Structured 2025'!headerRow,1,COLUMN()))),ovrHeaderRow25,0))</f>
        <v>1.28</v>
      </c>
      <c r="AO2" s="12">
        <f>INDEX(ovrTable25,MATCH(INDEX('Structured 2025'!teamCol,ROW()),ovrTeamCol25,0),MATCH(MID(INDEX('Structured 2025'!headerRow,1,COLUMN()),4,LEN(INDEX('Structured 2025'!headerRow,1,COLUMN()))),ovrHeaderRow25,0))</f>
        <v>11.6</v>
      </c>
      <c r="AP2" s="12">
        <f>INDEX(ovrTable25,MATCH(INDEX('Structured 2025'!teamCol,ROW()),ovrTeamCol25,0),MATCH(MID(INDEX('Structured 2025'!headerRow,1,COLUMN()),4,LEN(INDEX('Structured 2025'!headerRow,1,COLUMN()))),ovrHeaderRow25,0))</f>
        <v>24.17</v>
      </c>
      <c r="AQ2" s="12">
        <f>INDEX(ovrTable25,MATCH(INDEX('Structured 2025'!teamCol,ROW()),ovrTeamCol25,0),MATCH(MID(INDEX('Structured 2025'!headerRow,1,COLUMN()),4,LEN(INDEX('Structured 2025'!headerRow,1,COLUMN()))),ovrHeaderRow25,0))</f>
        <v>2.8</v>
      </c>
      <c r="AR2" s="12">
        <f>INDEX(ovrTable25,MATCH(INDEX('Structured 2025'!teamCol,ROW()),ovrTeamCol25,0),MATCH(MID(INDEX('Structured 2025'!headerRow,1,COLUMN()),4,LEN(INDEX('Structured 2025'!headerRow,1,COLUMN()))),ovrHeaderRow25,0))</f>
        <v>43.7</v>
      </c>
      <c r="AS2" s="12">
        <f>INDEX(ovrTable25,MATCH(INDEX('Structured 2025'!teamCol,ROW()),ovrTeamCol25,0),MATCH(MID(INDEX('Structured 2025'!headerRow,1,COLUMN()),4,LEN(INDEX('Structured 2025'!headerRow,1,COLUMN()))),ovrHeaderRow25,0))</f>
        <v>24.61</v>
      </c>
      <c r="AT2" s="12">
        <f>INDEX(ovrTable25,MATCH(INDEX('Structured 2025'!teamCol,ROW()),ovrTeamCol25,0),MATCH(MID(INDEX('Structured 2025'!headerRow,1,COLUMN()),4,LEN(INDEX('Structured 2025'!headerRow,1,COLUMN()))),ovrHeaderRow25,0))</f>
        <v>0.47499999999999998</v>
      </c>
      <c r="AU2" s="12">
        <f>INDEX(ovrTable25,MATCH(INDEX('Structured 2025'!teamCol,ROW()),ovrTeamCol25,0),MATCH(MID(INDEX('Structured 2025'!headerRow,1,COLUMN()),4,LEN(INDEX('Structured 2025'!headerRow,1,COLUMN()))),ovrHeaderRow25,0))</f>
        <v>13.39</v>
      </c>
      <c r="AV2" s="12">
        <f>INDEX(ovrTable25,MATCH(INDEX('Structured 2025'!teamCol,ROW()),ovrTeamCol25,0),MATCH(MID(INDEX('Structured 2025'!headerRow,1,COLUMN()),4,LEN(INDEX('Structured 2025'!headerRow,1,COLUMN()))),ovrHeaderRow25,0))</f>
        <v>40.5</v>
      </c>
      <c r="AW2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AX2" s="12">
        <f>INDEX(ovrTable25,MATCH(INDEX('Structured 2025'!teamCol,ROW()),ovrTeamCol25,0),MATCH(MID(INDEX('Structured 2025'!headerRow,1,COLUMN()),4,LEN(INDEX('Structured 2025'!headerRow,1,COLUMN()))),ovrHeaderRow25,0))</f>
        <v>68.599999999999994</v>
      </c>
      <c r="AY2" s="12">
        <f>INDEX(ovrTable25,MATCH(INDEX('Structured 2025'!teamCol,ROW()),ovrTeamCol25,0),MATCH(MID(INDEX('Structured 2025'!headerRow,1,COLUMN()),4,LEN(INDEX('Structured 2025'!headerRow,1,COLUMN()))),ovrHeaderRow25,0))</f>
        <v>18.5</v>
      </c>
      <c r="AZ2" s="12">
        <f>INDEX(ovrTable25,MATCH(INDEX('Structured 2025'!teamCol,ROW()),ovrTeamCol25,0),MATCH(MID(INDEX('Structured 2025'!headerRow,1,COLUMN()),4,LEN(INDEX('Structured 2025'!headerRow,1,COLUMN()))),ovrHeaderRow25,0))</f>
        <v>12.7</v>
      </c>
      <c r="BA2" s="12">
        <f>INDEX(ovrTable25,MATCH(INDEX('Structured 2025'!teamCol,ROW()),ovrTeamCol25,0),MATCH(MID(INDEX('Structured 2025'!headerRow,1,COLUMN()),4,LEN(INDEX('Structured 2025'!headerRow,1,COLUMN()))),ovrHeaderRow25,0))</f>
        <v>72.400000000000006</v>
      </c>
      <c r="BB2" s="12">
        <f>INDEX(ovrTable25,MATCH(INDEX('Structured 2025'!teamCol,ROW()),ovrTeamCol25,0),MATCH(MID(INDEX('Structured 2025'!headerRow,1,COLUMN()),4,LEN(INDEX('Structured 2025'!headerRow,1,COLUMN()))),ovrHeaderRow25,0))</f>
        <v>11.58</v>
      </c>
      <c r="BC2" s="12">
        <f>INDEX(ovrTable25,MATCH(INDEX('Structured 2025'!teamCol,ROW()),ovrTeamCol25,0),MATCH(MID(INDEX('Structured 2025'!headerRow,1,COLUMN()),4,LEN(INDEX('Structured 2025'!headerRow,1,COLUMN()))),ovrHeaderRow25,0))</f>
        <v>73.099999999999994</v>
      </c>
      <c r="BD2" s="12">
        <f>INDEX(ovrTable25,MATCH(INDEX('Structured 2025'!teamCol,ROW()),ovrTeamCol25,0),MATCH(MID(INDEX('Structured 2025'!headerRow,1,COLUMN()),4,LEN(INDEX('Structured 2025'!headerRow,1,COLUMN()))),ovrHeaderRow25,0))</f>
        <v>-3.4</v>
      </c>
      <c r="BE2" s="12">
        <f>INDEX(ovrTable25,MATCH(INDEX('Structured 2025'!teamCol,ROW()),ovrTeamCol25,0),MATCH(MID(INDEX('Structured 2025'!headerRow,1,COLUMN()),4,LEN(INDEX('Structured 2025'!headerRow,1,COLUMN()))),ovrHeaderRow25,0))</f>
        <v>36.19</v>
      </c>
      <c r="BF2" s="12">
        <f>INDEX(ovrTable25,MATCH(INDEX('Structured 2025'!teamCol,ROW()),ovrTeamCol25,0),MATCH(MID(INDEX('Structured 2025'!headerRow,1,COLUMN()),4,LEN(INDEX('Structured 2025'!headerRow,1,COLUMN()))),ovrHeaderRow25,0))</f>
        <v>0.6</v>
      </c>
      <c r="BG2" s="12">
        <f>INDEX(ovrTable25,MATCH(INDEX('Structured 2025'!teamCol,ROW()),ovrTeamCol25,0),MATCH(MID(INDEX('Structured 2025'!headerRow,1,COLUMN()),4,LEN(INDEX('Structured 2025'!headerRow,1,COLUMN()))),ovrHeaderRow25,0))</f>
        <v>7.9</v>
      </c>
      <c r="BH2" s="12">
        <f>INDEX(ovrTable25,MATCH(INDEX('Structured 2025'!teamCol,ROW()),ovrTeamCol25,0),MATCH(MID(INDEX('Structured 2025'!headerRow,1,COLUMN()),4,LEN(INDEX('Structured 2025'!headerRow,1,COLUMN()))),ovrHeaderRow25,0))</f>
        <v>4.0999999999999996</v>
      </c>
      <c r="BI2" s="12">
        <f>INDEX(ovrTable25,MATCH(INDEX('Structured 2025'!teamCol,ROW()),ovrTeamCol25,0),MATCH(MID(INDEX('Structured 2025'!headerRow,1,COLUMN()),4,LEN(INDEX('Structured 2025'!headerRow,1,COLUMN()))),ovrHeaderRow25,0))</f>
        <v>13.17</v>
      </c>
      <c r="BJ2" s="12">
        <f>INDEX(ovrTable25,MATCH(INDEX('Structured 2025'!teamCol,ROW()),ovrTeamCol25,0),MATCH(MID(INDEX('Structured 2025'!headerRow,1,COLUMN()),4,LEN(INDEX('Structured 2025'!headerRow,1,COLUMN()))),ovrHeaderRow25,0))</f>
        <v>9.1</v>
      </c>
      <c r="BK2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2" s="12">
        <f>INDEX(ovrTable25,MATCH(INDEX('Structured 2025'!teamCol,ROW()),ovrTeamCol25,0),MATCH(MID(INDEX('Structured 2025'!headerRow,1,COLUMN()),4,LEN(INDEX('Structured 2025'!headerRow,1,COLUMN()))),ovrHeaderRow25,0))</f>
        <v>16.849999999999994</v>
      </c>
      <c r="BM2" s="12">
        <f>INDEX(ovrTable25,MATCH(INDEX('Structured 2025'!teamCol,ROW()),ovrTeamCol25,0),MATCH(MID(INDEX('Structured 2025'!headerRow,1,COLUMN()),4,LEN(INDEX('Structured 2025'!headerRow,1,COLUMN()))),ovrHeaderRow25,0))</f>
        <v>63.580246913580226</v>
      </c>
      <c r="BN2" s="12">
        <f>INDEX(ovrTable25,MATCH(INDEX(oppCol,ROW()),ovrTeamCol25,0),MATCH(MID(INDEX('Structured 2025'!headerRow,1,COLUMN()),4,LEN(INDEX('Structured 2025'!headerRow,1,COLUMN()))),ovrHeaderRow25,0))</f>
        <v>30.9</v>
      </c>
      <c r="BO2" s="12">
        <f>INDEX(ovrTable25,MATCH(INDEX(oppCol,ROW()),ovrTeamCol25,0),MATCH(MID(INDEX('Structured 2025'!headerRow,1,COLUMN()),4,LEN(INDEX('Structured 2025'!headerRow,1,COLUMN()))),ovrHeaderRow25,0))</f>
        <v>8.3000000000000007</v>
      </c>
      <c r="BP2" s="12">
        <f>INDEX(ovrTable25,MATCH(INDEX(oppCol,ROW()),ovrTeamCol25,0),MATCH(MID(INDEX('Structured 2025'!headerRow,1,COLUMN()),4,LEN(INDEX('Structured 2025'!headerRow,1,COLUMN()))),ovrHeaderRow25,0))</f>
        <v>34.200000000000003</v>
      </c>
      <c r="BQ2" s="12">
        <f>INDEX(ovrTable25,MATCH(INDEX(oppCol,ROW()),ovrTeamCol25,0),MATCH(MID(INDEX('Structured 2025'!headerRow,1,COLUMN()),4,LEN(INDEX('Structured 2025'!headerRow,1,COLUMN()))),ovrHeaderRow25,0))</f>
        <v>24.2</v>
      </c>
      <c r="BR2" s="12">
        <f>INDEX(ovrTable25,MATCH(INDEX(oppCol,ROW()),ovrTeamCol25,0),MATCH(MID(INDEX('Structured 2025'!headerRow,1,COLUMN()),4,LEN(INDEX('Structured 2025'!headerRow,1,COLUMN()))),ovrHeaderRow25,0))</f>
        <v>1.1000000000000001</v>
      </c>
      <c r="BS2" s="12">
        <f>INDEX(ovrTable25,MATCH(INDEX(oppCol,ROW()),ovrTeamCol25,0),MATCH(MID(INDEX('Structured 2025'!headerRow,1,COLUMN()),4,LEN(INDEX('Structured 2025'!headerRow,1,COLUMN()))),ovrHeaderRow25,0))</f>
        <v>14.2</v>
      </c>
      <c r="BT2" s="12">
        <f>INDEX(ovrTable25,MATCH(INDEX(oppCol,ROW()),ovrTeamCol25,0),MATCH(MID(INDEX('Structured 2025'!headerRow,1,COLUMN()),4,LEN(INDEX('Structured 2025'!headerRow,1,COLUMN()))),ovrHeaderRow25,0))</f>
        <v>19.03</v>
      </c>
      <c r="BU2" s="12">
        <f>INDEX(ovrTable25,MATCH(INDEX(oppCol,ROW()),ovrTeamCol25,0),MATCH(MID(INDEX('Structured 2025'!headerRow,1,COLUMN()),4,LEN(INDEX('Structured 2025'!headerRow,1,COLUMN()))),ovrHeaderRow25,0))</f>
        <v>2.5</v>
      </c>
      <c r="BV2" s="12">
        <f>INDEX(ovrTable25,MATCH(INDEX(oppCol,ROW()),ovrTeamCol25,0),MATCH(MID(INDEX('Structured 2025'!headerRow,1,COLUMN()),4,LEN(INDEX('Structured 2025'!headerRow,1,COLUMN()))),ovrHeaderRow25,0))</f>
        <v>43.2</v>
      </c>
      <c r="BW2" s="12">
        <f>INDEX(ovrTable25,MATCH(INDEX(oppCol,ROW()),ovrTeamCol25,0),MATCH(MID(INDEX('Structured 2025'!headerRow,1,COLUMN()),4,LEN(INDEX('Structured 2025'!headerRow,1,COLUMN()))),ovrHeaderRow25,0))</f>
        <v>25.44</v>
      </c>
      <c r="BX2" s="12">
        <f>INDEX(ovrTable25,MATCH(INDEX(oppCol,ROW()),ovrTeamCol25,0),MATCH(MID(INDEX('Structured 2025'!headerRow,1,COLUMN()),4,LEN(INDEX('Structured 2025'!headerRow,1,COLUMN()))),ovrHeaderRow25,0))</f>
        <v>0.53400000000000003</v>
      </c>
      <c r="BY2" s="12">
        <f>INDEX(ovrTable25,MATCH(INDEX(oppCol,ROW()),ovrTeamCol25,0),MATCH(MID(INDEX('Structured 2025'!headerRow,1,COLUMN()),4,LEN(INDEX('Structured 2025'!headerRow,1,COLUMN()))),ovrHeaderRow25,0))</f>
        <v>8.5299999999999994</v>
      </c>
      <c r="BZ2" s="12">
        <f>INDEX(ovrTable25,MATCH(INDEX(oppCol,ROW()),ovrTeamCol25,0),MATCH(MID(INDEX('Structured 2025'!headerRow,1,COLUMN()),4,LEN(INDEX('Structured 2025'!headerRow,1,COLUMN()))),ovrHeaderRow25,0))</f>
        <v>46.2</v>
      </c>
      <c r="CA2" s="12">
        <f>INDEX(ovrTable25,MATCH(INDEX(oppCol,ROW()),ovrTeamCol25,0),MATCH(MID(INDEX('Structured 2025'!headerRow,1,COLUMN()),4,LEN(INDEX('Structured 2025'!headerRow,1,COLUMN()))),ovrHeaderRow25,0))</f>
        <v>15.2</v>
      </c>
      <c r="CB2" s="12">
        <f>INDEX(ovrTable25,MATCH(INDEX(oppCol,ROW()),ovrTeamCol25,0),MATCH(MID(INDEX('Structured 2025'!headerRow,1,COLUMN()),4,LEN(INDEX('Structured 2025'!headerRow,1,COLUMN()))),ovrHeaderRow25,0))</f>
        <v>72.7</v>
      </c>
      <c r="CC2" s="12">
        <f>INDEX(ovrTable25,MATCH(INDEX(oppCol,ROW()),ovrTeamCol25,0),MATCH(MID(INDEX('Structured 2025'!headerRow,1,COLUMN()),4,LEN(INDEX('Structured 2025'!headerRow,1,COLUMN()))),ovrHeaderRow25,0))</f>
        <v>13.4</v>
      </c>
      <c r="CD2" s="12">
        <f>INDEX(ovrTable25,MATCH(INDEX(oppCol,ROW()),ovrTeamCol25,0),MATCH(MID(INDEX('Structured 2025'!headerRow,1,COLUMN()),4,LEN(INDEX('Structured 2025'!headerRow,1,COLUMN()))),ovrHeaderRow25,0))</f>
        <v>9.6999999999999993</v>
      </c>
      <c r="CE2" s="12">
        <f>INDEX(ovrTable25,MATCH(INDEX(oppCol,ROW()),ovrTeamCol25,0),MATCH(MID(INDEX('Structured 2025'!headerRow,1,COLUMN()),4,LEN(INDEX('Structured 2025'!headerRow,1,COLUMN()))),ovrHeaderRow25,0))</f>
        <v>71.599999999999994</v>
      </c>
      <c r="CF2" s="12">
        <f>INDEX(ovrTable25,MATCH(INDEX(oppCol,ROW()),ovrTeamCol25,0),MATCH(MID(INDEX('Structured 2025'!headerRow,1,COLUMN()),4,LEN(INDEX('Structured 2025'!headerRow,1,COLUMN()))),ovrHeaderRow25,0))</f>
        <v>8.5299999999999994</v>
      </c>
      <c r="CG2" s="12">
        <f>INDEX(ovrTable25,MATCH(INDEX(oppCol,ROW()),ovrTeamCol25,0),MATCH(MID(INDEX('Structured 2025'!headerRow,1,COLUMN()),4,LEN(INDEX('Structured 2025'!headerRow,1,COLUMN()))),ovrHeaderRow25,0))</f>
        <v>71</v>
      </c>
      <c r="CH2" s="12">
        <f>INDEX(ovrTable25,MATCH(INDEX(oppCol,ROW()),ovrTeamCol25,0),MATCH(MID(INDEX('Structured 2025'!headerRow,1,COLUMN()),4,LEN(INDEX('Structured 2025'!headerRow,1,COLUMN()))),ovrHeaderRow25,0))</f>
        <v>-0.4</v>
      </c>
      <c r="CI2" s="12">
        <f>INDEX(ovrTable25,MATCH(INDEX(oppCol,ROW()),ovrTeamCol25,0),MATCH(MID(INDEX('Structured 2025'!headerRow,1,COLUMN()),4,LEN(INDEX('Structured 2025'!headerRow,1,COLUMN()))),ovrHeaderRow25,0))</f>
        <v>33.97</v>
      </c>
      <c r="CJ2" s="12">
        <f>INDEX(ovrTable25,MATCH(INDEX(oppCol,ROW()),ovrTeamCol25,0),MATCH(MID(INDEX('Structured 2025'!headerRow,1,COLUMN()),4,LEN(INDEX('Structured 2025'!headerRow,1,COLUMN()))),ovrHeaderRow25,0))</f>
        <v>-0.5</v>
      </c>
      <c r="CK2" s="12">
        <f>INDEX(ovrTable25,MATCH(INDEX(oppCol,ROW()),ovrTeamCol25,0),MATCH(MID(INDEX('Structured 2025'!headerRow,1,COLUMN()),4,LEN(INDEX('Structured 2025'!headerRow,1,COLUMN()))),ovrHeaderRow25,0))</f>
        <v>6.2</v>
      </c>
      <c r="CL2" s="12">
        <f>INDEX(ovrTable25,MATCH(INDEX(oppCol,ROW()),ovrTeamCol25,0),MATCH(MID(INDEX('Structured 2025'!headerRow,1,COLUMN()),4,LEN(INDEX('Structured 2025'!headerRow,1,COLUMN()))),ovrHeaderRow25,0))</f>
        <v>-1.9</v>
      </c>
      <c r="CM2" s="12">
        <f>INDEX(ovrTable25,MATCH(INDEX(oppCol,ROW()),ovrTeamCol25,0),MATCH(MID(INDEX('Structured 2025'!headerRow,1,COLUMN()),4,LEN(INDEX('Structured 2025'!headerRow,1,COLUMN()))),ovrHeaderRow25,0))</f>
        <v>11.06</v>
      </c>
      <c r="CN2" s="12">
        <f>INDEX(ovrTable25,MATCH(INDEX(oppCol,ROW()),ovrTeamCol25,0),MATCH(MID(INDEX('Structured 2025'!headerRow,1,COLUMN()),4,LEN(INDEX('Structured 2025'!headerRow,1,COLUMN()))),ovrHeaderRow25,0))</f>
        <v>12.9</v>
      </c>
      <c r="CO2" s="12">
        <f>INDEX(ovrTable25,MATCH(INDEX(oppCol,ROW()),ovrTeamCol25,0),MATCH(MID(INDEX('Structured 2025'!headerRow,1,COLUMN()),4,LEN(INDEX('Structured 2025'!headerRow,1,COLUMN()))),ovrHeaderRow25,0))</f>
        <v>67.099999999999994</v>
      </c>
      <c r="CP2" s="12">
        <f>INDEX(ovrTable25,MATCH(INDEX(oppCol,ROW()),ovrTeamCol25,0),MATCH(MID(INDEX('Structured 2025'!headerRow,1,COLUMN()),4,LEN(INDEX('Structured 2025'!headerRow,1,COLUMN()))),ovrHeaderRow25,0))</f>
        <v>18.199999999999996</v>
      </c>
      <c r="CQ2" s="12">
        <f>INDEX(ovrTable25,MATCH(INDEX(oppCol,ROW()),ovrTeamCol25,0),MATCH(MID(INDEX('Structured 2025'!headerRow,1,COLUMN()),4,LEN(INDEX('Structured 2025'!headerRow,1,COLUMN()))),ovrHeaderRow25,0))</f>
        <v>57.359307359307344</v>
      </c>
    </row>
    <row r="3" spans="1:104" x14ac:dyDescent="0.3">
      <c r="A3" s="6" t="s">
        <v>511</v>
      </c>
      <c r="B3" s="3">
        <v>16</v>
      </c>
      <c r="C3" s="13" t="str">
        <f>A2</f>
        <v>ALST</v>
      </c>
      <c r="D3" s="14">
        <v>1</v>
      </c>
      <c r="E3" s="23">
        <v>0.31034482758620691</v>
      </c>
      <c r="F3" s="24">
        <v>50</v>
      </c>
      <c r="G3" s="24">
        <v>10</v>
      </c>
      <c r="H3" s="23">
        <v>45.454545454545453</v>
      </c>
      <c r="I3" s="24">
        <v>22</v>
      </c>
      <c r="J3" s="25">
        <v>1</v>
      </c>
      <c r="K3" s="24">
        <v>10</v>
      </c>
      <c r="L3" s="24">
        <v>14</v>
      </c>
      <c r="M3" s="24">
        <v>3</v>
      </c>
      <c r="N3" s="24">
        <v>30</v>
      </c>
      <c r="O3" s="24">
        <v>15</v>
      </c>
      <c r="P3" s="24">
        <v>3</v>
      </c>
      <c r="Q3" s="24">
        <v>6</v>
      </c>
      <c r="R3" s="24">
        <v>15</v>
      </c>
      <c r="S3" s="24">
        <v>9</v>
      </c>
      <c r="T3" s="24">
        <v>14</v>
      </c>
      <c r="U3" s="24">
        <v>7</v>
      </c>
      <c r="V3" s="24">
        <v>0.42857142857142855</v>
      </c>
      <c r="W3" s="26">
        <v>0.60416666666666663</v>
      </c>
      <c r="X3" s="23">
        <v>71.428571428571431</v>
      </c>
      <c r="Y3" s="24">
        <v>70</v>
      </c>
      <c r="Z3" s="24">
        <v>68</v>
      </c>
      <c r="AA3" s="24">
        <v>-2</v>
      </c>
      <c r="AB3" s="24">
        <v>33</v>
      </c>
      <c r="AC3" s="24">
        <v>-2</v>
      </c>
      <c r="AD3" s="24">
        <v>-9</v>
      </c>
      <c r="AE3" s="24">
        <v>6</v>
      </c>
      <c r="AF3" s="34">
        <f t="shared" si="0"/>
        <v>14</v>
      </c>
      <c r="AG3" s="34">
        <f t="shared" si="1"/>
        <v>26</v>
      </c>
      <c r="AH3" s="46">
        <f t="shared" si="2"/>
        <v>66.650000000000006</v>
      </c>
      <c r="AI3" s="51">
        <f>AVERAGE(AH2,AH3)</f>
        <v>66.275000000000006</v>
      </c>
      <c r="AJ3" s="12">
        <f>INDEX(ovrTable25,MATCH(INDEX('Structured 2025'!teamCol,ROW()),ovrTeamCol25,0),MATCH(MID(INDEX('Structured 2025'!headerRow,1,COLUMN()),4,LEN(INDEX('Structured 2025'!headerRow,1,COLUMN()))),ovrHeaderRow25,0))</f>
        <v>30.9</v>
      </c>
      <c r="AK3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3" s="12">
        <f>INDEX(ovrTable25,MATCH(INDEX('Structured 2025'!teamCol,ROW()),ovrTeamCol25,0),MATCH(MID(INDEX('Structured 2025'!headerRow,1,COLUMN()),4,LEN(INDEX('Structured 2025'!headerRow,1,COLUMN()))),ovrHeaderRow25,0))</f>
        <v>34.200000000000003</v>
      </c>
      <c r="AM3" s="12">
        <f>INDEX(ovrTable25,MATCH(INDEX('Structured 2025'!teamCol,ROW()),ovrTeamCol25,0),MATCH(MID(INDEX('Structured 2025'!headerRow,1,COLUMN()),4,LEN(INDEX('Structured 2025'!headerRow,1,COLUMN()))),ovrHeaderRow25,0))</f>
        <v>24.2</v>
      </c>
      <c r="AN3" s="12">
        <f>INDEX(ovrTable25,MATCH(INDEX('Structured 2025'!teamCol,ROW()),ovrTeamCol25,0),MATCH(MID(INDEX('Structured 2025'!headerRow,1,COLUMN()),4,LEN(INDEX('Structured 2025'!headerRow,1,COLUMN()))),ovrHeaderRow25,0))</f>
        <v>1.1000000000000001</v>
      </c>
      <c r="AO3" s="12">
        <f>INDEX(ovrTable25,MATCH(INDEX('Structured 2025'!teamCol,ROW()),ovrTeamCol25,0),MATCH(MID(INDEX('Structured 2025'!headerRow,1,COLUMN()),4,LEN(INDEX('Structured 2025'!headerRow,1,COLUMN()))),ovrHeaderRow25,0))</f>
        <v>14.2</v>
      </c>
      <c r="AP3" s="12">
        <f>INDEX(ovrTable25,MATCH(INDEX('Structured 2025'!teamCol,ROW()),ovrTeamCol25,0),MATCH(MID(INDEX('Structured 2025'!headerRow,1,COLUMN()),4,LEN(INDEX('Structured 2025'!headerRow,1,COLUMN()))),ovrHeaderRow25,0))</f>
        <v>19.03</v>
      </c>
      <c r="AQ3" s="12">
        <f>INDEX(ovrTable25,MATCH(INDEX('Structured 2025'!teamCol,ROW()),ovrTeamCol25,0),MATCH(MID(INDEX('Structured 2025'!headerRow,1,COLUMN()),4,LEN(INDEX('Structured 2025'!headerRow,1,COLUMN()))),ovrHeaderRow25,0))</f>
        <v>2.5</v>
      </c>
      <c r="AR3" s="12">
        <f>INDEX(ovrTable25,MATCH(INDEX('Structured 2025'!teamCol,ROW()),ovrTeamCol25,0),MATCH(MID(INDEX('Structured 2025'!headerRow,1,COLUMN()),4,LEN(INDEX('Structured 2025'!headerRow,1,COLUMN()))),ovrHeaderRow25,0))</f>
        <v>43.2</v>
      </c>
      <c r="AS3" s="12">
        <f>INDEX(ovrTable25,MATCH(INDEX('Structured 2025'!teamCol,ROW()),ovrTeamCol25,0),MATCH(MID(INDEX('Structured 2025'!headerRow,1,COLUMN()),4,LEN(INDEX('Structured 2025'!headerRow,1,COLUMN()))),ovrHeaderRow25,0))</f>
        <v>25.44</v>
      </c>
      <c r="AT3" s="12">
        <f>INDEX(ovrTable25,MATCH(INDEX('Structured 2025'!teamCol,ROW()),ovrTeamCol25,0),MATCH(MID(INDEX('Structured 2025'!headerRow,1,COLUMN()),4,LEN(INDEX('Structured 2025'!headerRow,1,COLUMN()))),ovrHeaderRow25,0))</f>
        <v>0.53400000000000003</v>
      </c>
      <c r="AU3" s="12">
        <f>INDEX(ovrTable25,MATCH(INDEX('Structured 2025'!teamCol,ROW()),ovrTeamCol25,0),MATCH(MID(INDEX('Structured 2025'!headerRow,1,COLUMN()),4,LEN(INDEX('Structured 2025'!headerRow,1,COLUMN()))),ovrHeaderRow25,0))</f>
        <v>8.5299999999999994</v>
      </c>
      <c r="AV3" s="12">
        <f>INDEX(ovrTable25,MATCH(INDEX('Structured 2025'!teamCol,ROW()),ovrTeamCol25,0),MATCH(MID(INDEX('Structured 2025'!headerRow,1,COLUMN()),4,LEN(INDEX('Structured 2025'!headerRow,1,COLUMN()))),ovrHeaderRow25,0))</f>
        <v>46.2</v>
      </c>
      <c r="AW3" s="12">
        <f>INDEX(ovrTable25,MATCH(INDEX('Structured 2025'!teamCol,ROW()),ovrTeamCol25,0),MATCH(MID(INDEX('Structured 2025'!headerRow,1,COLUMN()),4,LEN(INDEX('Structured 2025'!headerRow,1,COLUMN()))),ovrHeaderRow25,0))</f>
        <v>15.2</v>
      </c>
      <c r="AX3" s="12">
        <f>INDEX(ovrTable25,MATCH(INDEX('Structured 2025'!teamCol,ROW()),ovrTeamCol25,0),MATCH(MID(INDEX('Structured 2025'!headerRow,1,COLUMN()),4,LEN(INDEX('Structured 2025'!headerRow,1,COLUMN()))),ovrHeaderRow25,0))</f>
        <v>72.7</v>
      </c>
      <c r="AY3" s="12">
        <f>INDEX(ovrTable25,MATCH(INDEX('Structured 2025'!teamCol,ROW()),ovrTeamCol25,0),MATCH(MID(INDEX('Structured 2025'!headerRow,1,COLUMN()),4,LEN(INDEX('Structured 2025'!headerRow,1,COLUMN()))),ovrHeaderRow25,0))</f>
        <v>13.4</v>
      </c>
      <c r="AZ3" s="12">
        <f>INDEX(ovrTable25,MATCH(INDEX('Structured 2025'!teamCol,ROW()),ovrTeamCol25,0),MATCH(MID(INDEX('Structured 2025'!headerRow,1,COLUMN()),4,LEN(INDEX('Structured 2025'!headerRow,1,COLUMN()))),ovrHeaderRow25,0))</f>
        <v>9.6999999999999993</v>
      </c>
      <c r="BA3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BB3" s="12">
        <f>INDEX(ovrTable25,MATCH(INDEX('Structured 2025'!teamCol,ROW()),ovrTeamCol25,0),MATCH(MID(INDEX('Structured 2025'!headerRow,1,COLUMN()),4,LEN(INDEX('Structured 2025'!headerRow,1,COLUMN()))),ovrHeaderRow25,0))</f>
        <v>8.5299999999999994</v>
      </c>
      <c r="BC3" s="12">
        <f>INDEX(ovrTable25,MATCH(INDEX('Structured 2025'!teamCol,ROW()),ovrTeamCol25,0),MATCH(MID(INDEX('Structured 2025'!headerRow,1,COLUMN()),4,LEN(INDEX('Structured 2025'!headerRow,1,COLUMN()))),ovrHeaderRow25,0))</f>
        <v>71</v>
      </c>
      <c r="BD3" s="12">
        <f>INDEX(ovrTable25,MATCH(INDEX('Structured 2025'!teamCol,ROW()),ovrTeamCol25,0),MATCH(MID(INDEX('Structured 2025'!headerRow,1,COLUMN()),4,LEN(INDEX('Structured 2025'!headerRow,1,COLUMN()))),ovrHeaderRow25,0))</f>
        <v>-0.4</v>
      </c>
      <c r="BE3" s="12">
        <f>INDEX(ovrTable25,MATCH(INDEX('Structured 2025'!teamCol,ROW()),ovrTeamCol25,0),MATCH(MID(INDEX('Structured 2025'!headerRow,1,COLUMN()),4,LEN(INDEX('Structured 2025'!headerRow,1,COLUMN()))),ovrHeaderRow25,0))</f>
        <v>33.97</v>
      </c>
      <c r="BF3" s="12">
        <f>INDEX(ovrTable25,MATCH(INDEX('Structured 2025'!teamCol,ROW()),ovrTeamCol25,0),MATCH(MID(INDEX('Structured 2025'!headerRow,1,COLUMN()),4,LEN(INDEX('Structured 2025'!headerRow,1,COLUMN()))),ovrHeaderRow25,0))</f>
        <v>-0.5</v>
      </c>
      <c r="BG3" s="12">
        <f>INDEX(ovrTable25,MATCH(INDEX('Structured 2025'!teamCol,ROW()),ovrTeamCol25,0),MATCH(MID(INDEX('Structured 2025'!headerRow,1,COLUMN()),4,LEN(INDEX('Structured 2025'!headerRow,1,COLUMN()))),ovrHeaderRow25,0))</f>
        <v>6.2</v>
      </c>
      <c r="BH3" s="12">
        <f>INDEX(ovrTable25,MATCH(INDEX('Structured 2025'!teamCol,ROW()),ovrTeamCol25,0),MATCH(MID(INDEX('Structured 2025'!headerRow,1,COLUMN()),4,LEN(INDEX('Structured 2025'!headerRow,1,COLUMN()))),ovrHeaderRow25,0))</f>
        <v>-1.9</v>
      </c>
      <c r="BI3" s="12">
        <f>INDEX(ovrTable25,MATCH(INDEX('Structured 2025'!teamCol,ROW()),ovrTeamCol25,0),MATCH(MID(INDEX('Structured 2025'!headerRow,1,COLUMN()),4,LEN(INDEX('Structured 2025'!headerRow,1,COLUMN()))),ovrHeaderRow25,0))</f>
        <v>11.06</v>
      </c>
      <c r="BJ3" s="12">
        <f>INDEX(ovrTable25,MATCH(INDEX('Structured 2025'!teamCol,ROW()),ovrTeamCol25,0),MATCH(MID(INDEX('Structured 2025'!headerRow,1,COLUMN()),4,LEN(INDEX('Structured 2025'!headerRow,1,COLUMN()))),ovrHeaderRow25,0))</f>
        <v>12.9</v>
      </c>
      <c r="BK3" s="12">
        <f>INDEX(ovrTable25,MATCH(INDEX('Structured 2025'!teamCol,ROW()),ovrTeamCol25,0),MATCH(MID(INDEX('Structured 2025'!headerRow,1,COLUMN()),4,LEN(INDEX('Structured 2025'!headerRow,1,COLUMN()))),ovrHeaderRow25,0))</f>
        <v>67.099999999999994</v>
      </c>
      <c r="BL3" s="12">
        <f>INDEX(ovrTable25,MATCH(INDEX('Structured 2025'!teamCol,ROW()),ovrTeamCol25,0),MATCH(MID(INDEX('Structured 2025'!headerRow,1,COLUMN()),4,LEN(INDEX('Structured 2025'!headerRow,1,COLUMN()))),ovrHeaderRow25,0))</f>
        <v>18.199999999999996</v>
      </c>
      <c r="BM3" s="12">
        <f>INDEX(ovrTable25,MATCH(INDEX('Structured 2025'!teamCol,ROW()),ovrTeamCol25,0),MATCH(MID(INDEX('Structured 2025'!headerRow,1,COLUMN()),4,LEN(INDEX('Structured 2025'!headerRow,1,COLUMN()))),ovrHeaderRow25,0))</f>
        <v>57.359307359307344</v>
      </c>
      <c r="BN3" s="12">
        <f>INDEX(ovrTable25,MATCH(INDEX(oppCol,ROW()),ovrTeamCol25,0),MATCH(MID(INDEX('Structured 2025'!headerRow,1,COLUMN()),4,LEN(INDEX('Structured 2025'!headerRow,1,COLUMN()))),ovrHeaderRow25,0))</f>
        <v>33.299999999999997</v>
      </c>
      <c r="BO3" s="12">
        <f>INDEX(ovrTable25,MATCH(INDEX(oppCol,ROW()),ovrTeamCol25,0),MATCH(MID(INDEX('Structured 2025'!headerRow,1,COLUMN()),4,LEN(INDEX('Structured 2025'!headerRow,1,COLUMN()))),ovrHeaderRow25,0))</f>
        <v>8.9</v>
      </c>
      <c r="BP3" s="12">
        <f>INDEX(ovrTable25,MATCH(INDEX(oppCol,ROW()),ovrTeamCol25,0),MATCH(MID(INDEX('Structured 2025'!headerRow,1,COLUMN()),4,LEN(INDEX('Structured 2025'!headerRow,1,COLUMN()))),ovrHeaderRow25,0))</f>
        <v>32.700000000000003</v>
      </c>
      <c r="BQ3" s="12">
        <f>INDEX(ovrTable25,MATCH(INDEX(oppCol,ROW()),ovrTeamCol25,0),MATCH(MID(INDEX('Structured 2025'!headerRow,1,COLUMN()),4,LEN(INDEX('Structured 2025'!headerRow,1,COLUMN()))),ovrHeaderRow25,0))</f>
        <v>27.2</v>
      </c>
      <c r="BR3" s="12">
        <f>INDEX(ovrTable25,MATCH(INDEX(oppCol,ROW()),ovrTeamCol25,0),MATCH(MID(INDEX('Structured 2025'!headerRow,1,COLUMN()),4,LEN(INDEX('Structured 2025'!headerRow,1,COLUMN()))),ovrHeaderRow25,0))</f>
        <v>1.28</v>
      </c>
      <c r="BS3" s="12">
        <f>INDEX(ovrTable25,MATCH(INDEX(oppCol,ROW()),ovrTeamCol25,0),MATCH(MID(INDEX('Structured 2025'!headerRow,1,COLUMN()),4,LEN(INDEX('Structured 2025'!headerRow,1,COLUMN()))),ovrHeaderRow25,0))</f>
        <v>11.6</v>
      </c>
      <c r="BT3" s="12">
        <f>INDEX(ovrTable25,MATCH(INDEX(oppCol,ROW()),ovrTeamCol25,0),MATCH(MID(INDEX('Structured 2025'!headerRow,1,COLUMN()),4,LEN(INDEX('Structured 2025'!headerRow,1,COLUMN()))),ovrHeaderRow25,0))</f>
        <v>24.17</v>
      </c>
      <c r="BU3" s="12">
        <f>INDEX(ovrTable25,MATCH(INDEX(oppCol,ROW()),ovrTeamCol25,0),MATCH(MID(INDEX('Structured 2025'!headerRow,1,COLUMN()),4,LEN(INDEX('Structured 2025'!headerRow,1,COLUMN()))),ovrHeaderRow25,0))</f>
        <v>2.8</v>
      </c>
      <c r="BV3" s="12">
        <f>INDEX(ovrTable25,MATCH(INDEX(oppCol,ROW()),ovrTeamCol25,0),MATCH(MID(INDEX('Structured 2025'!headerRow,1,COLUMN()),4,LEN(INDEX('Structured 2025'!headerRow,1,COLUMN()))),ovrHeaderRow25,0))</f>
        <v>43.7</v>
      </c>
      <c r="BW3" s="12">
        <f>INDEX(ovrTable25,MATCH(INDEX(oppCol,ROW()),ovrTeamCol25,0),MATCH(MID(INDEX('Structured 2025'!headerRow,1,COLUMN()),4,LEN(INDEX('Structured 2025'!headerRow,1,COLUMN()))),ovrHeaderRow25,0))</f>
        <v>24.61</v>
      </c>
      <c r="BX3" s="12">
        <f>INDEX(ovrTable25,MATCH(INDEX(oppCol,ROW()),ovrTeamCol25,0),MATCH(MID(INDEX('Structured 2025'!headerRow,1,COLUMN()),4,LEN(INDEX('Structured 2025'!headerRow,1,COLUMN()))),ovrHeaderRow25,0))</f>
        <v>0.47499999999999998</v>
      </c>
      <c r="BY3" s="12">
        <f>INDEX(ovrTable25,MATCH(INDEX(oppCol,ROW()),ovrTeamCol25,0),MATCH(MID(INDEX('Structured 2025'!headerRow,1,COLUMN()),4,LEN(INDEX('Structured 2025'!headerRow,1,COLUMN()))),ovrHeaderRow25,0))</f>
        <v>13.39</v>
      </c>
      <c r="BZ3" s="12">
        <f>INDEX(ovrTable25,MATCH(INDEX(oppCol,ROW()),ovrTeamCol25,0),MATCH(MID(INDEX('Structured 2025'!headerRow,1,COLUMN()),4,LEN(INDEX('Structured 2025'!headerRow,1,COLUMN()))),ovrHeaderRow25,0))</f>
        <v>40.5</v>
      </c>
      <c r="CA3" s="12">
        <f>INDEX(ovrTable25,MATCH(INDEX(oppCol,ROW()),ovrTeamCol25,0),MATCH(MID(INDEX('Structured 2025'!headerRow,1,COLUMN()),4,LEN(INDEX('Structured 2025'!headerRow,1,COLUMN()))),ovrHeaderRow25,0))</f>
        <v>18.399999999999999</v>
      </c>
      <c r="CB3" s="12">
        <f>INDEX(ovrTable25,MATCH(INDEX(oppCol,ROW()),ovrTeamCol25,0),MATCH(MID(INDEX('Structured 2025'!headerRow,1,COLUMN()),4,LEN(INDEX('Structured 2025'!headerRow,1,COLUMN()))),ovrHeaderRow25,0))</f>
        <v>68.599999999999994</v>
      </c>
      <c r="CC3" s="12">
        <f>INDEX(ovrTable25,MATCH(INDEX(oppCol,ROW()),ovrTeamCol25,0),MATCH(MID(INDEX('Structured 2025'!headerRow,1,COLUMN()),4,LEN(INDEX('Structured 2025'!headerRow,1,COLUMN()))),ovrHeaderRow25,0))</f>
        <v>18.5</v>
      </c>
      <c r="CD3" s="12">
        <f>INDEX(ovrTable25,MATCH(INDEX(oppCol,ROW()),ovrTeamCol25,0),MATCH(MID(INDEX('Structured 2025'!headerRow,1,COLUMN()),4,LEN(INDEX('Structured 2025'!headerRow,1,COLUMN()))),ovrHeaderRow25,0))</f>
        <v>12.7</v>
      </c>
      <c r="CE3" s="12">
        <f>INDEX(ovrTable25,MATCH(INDEX(oppCol,ROW()),ovrTeamCol25,0),MATCH(MID(INDEX('Structured 2025'!headerRow,1,COLUMN()),4,LEN(INDEX('Structured 2025'!headerRow,1,COLUMN()))),ovrHeaderRow25,0))</f>
        <v>72.400000000000006</v>
      </c>
      <c r="CF3" s="12">
        <f>INDEX(ovrTable25,MATCH(INDEX(oppCol,ROW()),ovrTeamCol25,0),MATCH(MID(INDEX('Structured 2025'!headerRow,1,COLUMN()),4,LEN(INDEX('Structured 2025'!headerRow,1,COLUMN()))),ovrHeaderRow25,0))</f>
        <v>11.58</v>
      </c>
      <c r="CG3" s="12">
        <f>INDEX(ovrTable25,MATCH(INDEX(oppCol,ROW()),ovrTeamCol25,0),MATCH(MID(INDEX('Structured 2025'!headerRow,1,COLUMN()),4,LEN(INDEX('Structured 2025'!headerRow,1,COLUMN()))),ovrHeaderRow25,0))</f>
        <v>73.099999999999994</v>
      </c>
      <c r="CH3" s="12">
        <f>INDEX(ovrTable25,MATCH(INDEX(oppCol,ROW()),ovrTeamCol25,0),MATCH(MID(INDEX('Structured 2025'!headerRow,1,COLUMN()),4,LEN(INDEX('Structured 2025'!headerRow,1,COLUMN()))),ovrHeaderRow25,0))</f>
        <v>-3.4</v>
      </c>
      <c r="CI3" s="12">
        <f>INDEX(ovrTable25,MATCH(INDEX(oppCol,ROW()),ovrTeamCol25,0),MATCH(MID(INDEX('Structured 2025'!headerRow,1,COLUMN()),4,LEN(INDEX('Structured 2025'!headerRow,1,COLUMN()))),ovrHeaderRow25,0))</f>
        <v>36.19</v>
      </c>
      <c r="CJ3" s="12">
        <f>INDEX(ovrTable25,MATCH(INDEX(oppCol,ROW()),ovrTeamCol25,0),MATCH(MID(INDEX('Structured 2025'!headerRow,1,COLUMN()),4,LEN(INDEX('Structured 2025'!headerRow,1,COLUMN()))),ovrHeaderRow25,0))</f>
        <v>0.6</v>
      </c>
      <c r="CK3" s="12">
        <f>INDEX(ovrTable25,MATCH(INDEX(oppCol,ROW()),ovrTeamCol25,0),MATCH(MID(INDEX('Structured 2025'!headerRow,1,COLUMN()),4,LEN(INDEX('Structured 2025'!headerRow,1,COLUMN()))),ovrHeaderRow25,0))</f>
        <v>7.9</v>
      </c>
      <c r="CL3" s="12">
        <f>INDEX(ovrTable25,MATCH(INDEX(oppCol,ROW()),ovrTeamCol25,0),MATCH(MID(INDEX('Structured 2025'!headerRow,1,COLUMN()),4,LEN(INDEX('Structured 2025'!headerRow,1,COLUMN()))),ovrHeaderRow25,0))</f>
        <v>4.0999999999999996</v>
      </c>
      <c r="CM3" s="12">
        <f>INDEX(ovrTable25,MATCH(INDEX(oppCol,ROW()),ovrTeamCol25,0),MATCH(MID(INDEX('Structured 2025'!headerRow,1,COLUMN()),4,LEN(INDEX('Structured 2025'!headerRow,1,COLUMN()))),ovrHeaderRow25,0))</f>
        <v>13.17</v>
      </c>
      <c r="CN3" s="12">
        <f>INDEX(ovrTable25,MATCH(INDEX(oppCol,ROW()),ovrTeamCol25,0),MATCH(MID(INDEX('Structured 2025'!headerRow,1,COLUMN()),4,LEN(INDEX('Structured 2025'!headerRow,1,COLUMN()))),ovrHeaderRow25,0))</f>
        <v>9.1</v>
      </c>
      <c r="CO3" s="12">
        <f>INDEX(ovrTable25,MATCH(INDEX(oppCol,ROW()),ovrTeamCol25,0),MATCH(MID(INDEX('Structured 2025'!headerRow,1,COLUMN()),4,LEN(INDEX('Structured 2025'!headerRow,1,COLUMN()))),ovrHeaderRow25,0))</f>
        <v>68.099999999999994</v>
      </c>
      <c r="CP3" s="12">
        <f>INDEX(ovrTable25,MATCH(INDEX(oppCol,ROW()),ovrTeamCol25,0),MATCH(MID(INDEX('Structured 2025'!headerRow,1,COLUMN()),4,LEN(INDEX('Structured 2025'!headerRow,1,COLUMN()))),ovrHeaderRow25,0))</f>
        <v>16.849999999999994</v>
      </c>
      <c r="CQ3" s="12">
        <f>INDEX(ovrTable25,MATCH(INDEX(oppCol,ROW()),ovrTeamCol25,0),MATCH(MID(INDEX('Structured 2025'!headerRow,1,COLUMN()),4,LEN(INDEX('Structured 2025'!headerRow,1,COLUMN()))),ovrHeaderRow25,0))</f>
        <v>63.580246913580226</v>
      </c>
    </row>
    <row r="4" spans="1:104" x14ac:dyDescent="0.3">
      <c r="A4" s="6" t="s">
        <v>60</v>
      </c>
      <c r="B4" s="3">
        <v>11</v>
      </c>
      <c r="C4" s="13" t="str">
        <f>A5</f>
        <v>XAV</v>
      </c>
      <c r="D4" s="14">
        <v>2</v>
      </c>
      <c r="E4" s="23">
        <v>0.48</v>
      </c>
      <c r="F4" s="24">
        <v>49.090909090909093</v>
      </c>
      <c r="G4" s="24">
        <v>8</v>
      </c>
      <c r="H4" s="23">
        <v>47.058823529411761</v>
      </c>
      <c r="I4" s="24">
        <v>17</v>
      </c>
      <c r="J4" s="25">
        <v>1.1000000000000001</v>
      </c>
      <c r="K4" s="24">
        <v>18</v>
      </c>
      <c r="L4" s="24">
        <v>24</v>
      </c>
      <c r="M4" s="24">
        <v>9</v>
      </c>
      <c r="N4" s="24">
        <v>24</v>
      </c>
      <c r="O4" s="24">
        <v>11</v>
      </c>
      <c r="P4" s="24">
        <v>5</v>
      </c>
      <c r="Q4" s="24">
        <v>2</v>
      </c>
      <c r="R4" s="24">
        <v>10</v>
      </c>
      <c r="S4" s="24">
        <v>7</v>
      </c>
      <c r="T4" s="24">
        <v>13</v>
      </c>
      <c r="U4" s="24">
        <v>19</v>
      </c>
      <c r="V4" s="24">
        <v>0.55172413793103448</v>
      </c>
      <c r="W4" s="26">
        <v>0.5636363636363636</v>
      </c>
      <c r="X4" s="23">
        <v>75</v>
      </c>
      <c r="Y4" s="24">
        <v>86</v>
      </c>
      <c r="Z4" s="24">
        <v>80</v>
      </c>
      <c r="AA4" s="24">
        <v>5</v>
      </c>
      <c r="AB4" s="24">
        <v>33</v>
      </c>
      <c r="AC4" s="24">
        <v>-6</v>
      </c>
      <c r="AD4" s="24">
        <v>-3</v>
      </c>
      <c r="AE4" s="24">
        <v>7</v>
      </c>
      <c r="AF4" s="34">
        <f t="shared" si="0"/>
        <v>19</v>
      </c>
      <c r="AG4" s="34">
        <f t="shared" si="1"/>
        <v>37.999999999999993</v>
      </c>
      <c r="AH4" s="46">
        <f t="shared" si="2"/>
        <v>67.400000000000006</v>
      </c>
      <c r="AI4" s="51">
        <f t="shared" ref="AI4" si="3">AVERAGE(AH4,AH5)</f>
        <v>68</v>
      </c>
      <c r="AJ4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K4" s="12">
        <f>INDEX(ovrTable25,MATCH(INDEX('Structured 2025'!teamCol,ROW()),ovrTeamCol25,0),MATCH(MID(INDEX('Structured 2025'!headerRow,1,COLUMN()),4,LEN(INDEX('Structured 2025'!headerRow,1,COLUMN()))),ovrHeaderRow25,0))</f>
        <v>7.5</v>
      </c>
      <c r="AL4" s="12">
        <f>INDEX(ovrTable25,MATCH(INDEX('Structured 2025'!teamCol,ROW()),ovrTeamCol25,0),MATCH(MID(INDEX('Structured 2025'!headerRow,1,COLUMN()),4,LEN(INDEX('Structured 2025'!headerRow,1,COLUMN()))),ovrHeaderRow25,0))</f>
        <v>36.200000000000003</v>
      </c>
      <c r="AM4" s="12">
        <f>INDEX(ovrTable25,MATCH(INDEX('Structured 2025'!teamCol,ROW()),ovrTeamCol25,0),MATCH(MID(INDEX('Structured 2025'!headerRow,1,COLUMN()),4,LEN(INDEX('Structured 2025'!headerRow,1,COLUMN()))),ovrHeaderRow25,0))</f>
        <v>20.8</v>
      </c>
      <c r="AN4" s="12">
        <f>INDEX(ovrTable25,MATCH(INDEX('Structured 2025'!teamCol,ROW()),ovrTeamCol25,0),MATCH(MID(INDEX('Structured 2025'!headerRow,1,COLUMN()),4,LEN(INDEX('Structured 2025'!headerRow,1,COLUMN()))),ovrHeaderRow25,0))</f>
        <v>1.3</v>
      </c>
      <c r="AO4" s="12">
        <f>INDEX(ovrTable25,MATCH(INDEX('Structured 2025'!teamCol,ROW()),ovrTeamCol25,0),MATCH(MID(INDEX('Structured 2025'!headerRow,1,COLUMN()),4,LEN(INDEX('Structured 2025'!headerRow,1,COLUMN()))),ovrHeaderRow25,0))</f>
        <v>12.9</v>
      </c>
      <c r="AP4" s="12">
        <f>INDEX(ovrTable25,MATCH(INDEX('Structured 2025'!teamCol,ROW()),ovrTeamCol25,0),MATCH(MID(INDEX('Structured 2025'!headerRow,1,COLUMN()),4,LEN(INDEX('Structured 2025'!headerRow,1,COLUMN()))),ovrHeaderRow25,0))</f>
        <v>18.23</v>
      </c>
      <c r="AQ4" s="12">
        <f>INDEX(ovrTable25,MATCH(INDEX('Structured 2025'!teamCol,ROW()),ovrTeamCol25,0),MATCH(MID(INDEX('Structured 2025'!headerRow,1,COLUMN()),4,LEN(INDEX('Structured 2025'!headerRow,1,COLUMN()))),ovrHeaderRow25,0))</f>
        <v>4.3</v>
      </c>
      <c r="AR4" s="12">
        <f>INDEX(ovrTable25,MATCH(INDEX('Structured 2025'!teamCol,ROW()),ovrTeamCol25,0),MATCH(MID(INDEX('Structured 2025'!headerRow,1,COLUMN()),4,LEN(INDEX('Structured 2025'!headerRow,1,COLUMN()))),ovrHeaderRow25,0))</f>
        <v>42.7</v>
      </c>
      <c r="AS4" s="12">
        <f>INDEX(ovrTable25,MATCH(INDEX('Structured 2025'!teamCol,ROW()),ovrTeamCol25,0),MATCH(MID(INDEX('Structured 2025'!headerRow,1,COLUMN()),4,LEN(INDEX('Structured 2025'!headerRow,1,COLUMN()))),ovrHeaderRow25,0))</f>
        <v>25.49</v>
      </c>
      <c r="AT4" s="12">
        <f>INDEX(ovrTable25,MATCH(INDEX('Structured 2025'!teamCol,ROW()),ovrTeamCol25,0),MATCH(MID(INDEX('Structured 2025'!headerRow,1,COLUMN()),4,LEN(INDEX('Structured 2025'!headerRow,1,COLUMN()))),ovrHeaderRow25,0))</f>
        <v>0.52600000000000002</v>
      </c>
      <c r="AU4" s="12">
        <f>INDEX(ovrTable25,MATCH(INDEX('Structured 2025'!teamCol,ROW()),ovrTeamCol25,0),MATCH(MID(INDEX('Structured 2025'!headerRow,1,COLUMN()),4,LEN(INDEX('Structured 2025'!headerRow,1,COLUMN()))),ovrHeaderRow25,0))</f>
        <v>11.31</v>
      </c>
      <c r="AV4" s="12">
        <f>INDEX(ovrTable25,MATCH(INDEX('Structured 2025'!teamCol,ROW()),ovrTeamCol25,0),MATCH(MID(INDEX('Structured 2025'!headerRow,1,COLUMN()),4,LEN(INDEX('Structured 2025'!headerRow,1,COLUMN()))),ovrHeaderRow25,0))</f>
        <v>46.3</v>
      </c>
      <c r="AW4" s="12">
        <f>INDEX(ovrTable25,MATCH(INDEX('Structured 2025'!teamCol,ROW()),ovrTeamCol25,0),MATCH(MID(INDEX('Structured 2025'!headerRow,1,COLUMN()),4,LEN(INDEX('Structured 2025'!headerRow,1,COLUMN()))),ovrHeaderRow25,0))</f>
        <v>18.7</v>
      </c>
      <c r="AX4" s="12">
        <f>INDEX(ovrTable25,MATCH(INDEX('Structured 2025'!teamCol,ROW()),ovrTeamCol25,0),MATCH(MID(INDEX('Structured 2025'!headerRow,1,COLUMN()),4,LEN(INDEX('Structured 2025'!headerRow,1,COLUMN()))),ovrHeaderRow25,0))</f>
        <v>74.900000000000006</v>
      </c>
      <c r="AY4" s="12">
        <f>INDEX(ovrTable25,MATCH(INDEX('Structured 2025'!teamCol,ROW()),ovrTeamCol25,0),MATCH(MID(INDEX('Structured 2025'!headerRow,1,COLUMN()),4,LEN(INDEX('Structured 2025'!headerRow,1,COLUMN()))),ovrHeaderRow25,0))</f>
        <v>21.7</v>
      </c>
      <c r="AZ4" s="12">
        <f>INDEX(ovrTable25,MATCH(INDEX('Structured 2025'!teamCol,ROW()),ovrTeamCol25,0),MATCH(MID(INDEX('Structured 2025'!headerRow,1,COLUMN()),4,LEN(INDEX('Structured 2025'!headerRow,1,COLUMN()))),ovrHeaderRow25,0))</f>
        <v>16.3</v>
      </c>
      <c r="BA4" s="12">
        <f>INDEX(ovrTable25,MATCH(INDEX('Structured 2025'!teamCol,ROW()),ovrTeamCol25,0),MATCH(MID(INDEX('Structured 2025'!headerRow,1,COLUMN()),4,LEN(INDEX('Structured 2025'!headerRow,1,COLUMN()))),ovrHeaderRow25,0))</f>
        <v>72.599999999999994</v>
      </c>
      <c r="BB4" s="12">
        <f>INDEX(ovrTable25,MATCH(INDEX('Structured 2025'!teamCol,ROW()),ovrTeamCol25,0),MATCH(MID(INDEX('Structured 2025'!headerRow,1,COLUMN()),4,LEN(INDEX('Structured 2025'!headerRow,1,COLUMN()))),ovrHeaderRow25,0))</f>
        <v>10.17</v>
      </c>
      <c r="BC4" s="12">
        <f>INDEX(ovrTable25,MATCH(INDEX('Structured 2025'!teamCol,ROW()),ovrTeamCol25,0),MATCH(MID(INDEX('Structured 2025'!headerRow,1,COLUMN()),4,LEN(INDEX('Structured 2025'!headerRow,1,COLUMN()))),ovrHeaderRow25,0))</f>
        <v>78.400000000000006</v>
      </c>
      <c r="BD4" s="12">
        <f>INDEX(ovrTable25,MATCH(INDEX('Structured 2025'!teamCol,ROW()),ovrTeamCol25,0),MATCH(MID(INDEX('Structured 2025'!headerRow,1,COLUMN()),4,LEN(INDEX('Structured 2025'!headerRow,1,COLUMN()))),ovrHeaderRow25,0))</f>
        <v>1</v>
      </c>
      <c r="BE4" s="12">
        <f>INDEX(ovrTable25,MATCH(INDEX('Structured 2025'!teamCol,ROW()),ovrTeamCol25,0),MATCH(MID(INDEX('Structured 2025'!headerRow,1,COLUMN()),4,LEN(INDEX('Structured 2025'!headerRow,1,COLUMN()))),ovrHeaderRow25,0))</f>
        <v>35.659999999999997</v>
      </c>
      <c r="BF4" s="12">
        <f>INDEX(ovrTable25,MATCH(INDEX('Structured 2025'!teamCol,ROW()),ovrTeamCol25,0),MATCH(MID(INDEX('Structured 2025'!headerRow,1,COLUMN()),4,LEN(INDEX('Structured 2025'!headerRow,1,COLUMN()))),ovrHeaderRow25,0))</f>
        <v>5.8</v>
      </c>
      <c r="BG4" s="12">
        <f>INDEX(ovrTable25,MATCH(INDEX('Structured 2025'!teamCol,ROW()),ovrTeamCol25,0),MATCH(MID(INDEX('Structured 2025'!headerRow,1,COLUMN()),4,LEN(INDEX('Structured 2025'!headerRow,1,COLUMN()))),ovrHeaderRow25,0))</f>
        <v>6.3</v>
      </c>
      <c r="BH4" s="12">
        <f>INDEX(ovrTable25,MATCH(INDEX('Structured 2025'!teamCol,ROW()),ovrTeamCol25,0),MATCH(MID(INDEX('Structured 2025'!headerRow,1,COLUMN()),4,LEN(INDEX('Structured 2025'!headerRow,1,COLUMN()))),ovrHeaderRow25,0))</f>
        <v>1.4</v>
      </c>
      <c r="BI4" s="12">
        <f>INDEX(ovrTable25,MATCH(INDEX('Structured 2025'!teamCol,ROW()),ovrTeamCol25,0),MATCH(MID(INDEX('Structured 2025'!headerRow,1,COLUMN()),4,LEN(INDEX('Structured 2025'!headerRow,1,COLUMN()))),ovrHeaderRow25,0))</f>
        <v>11.37</v>
      </c>
      <c r="BJ4" s="12">
        <f>INDEX(ovrTable25,MATCH(INDEX('Structured 2025'!teamCol,ROW()),ovrTeamCol25,0),MATCH(MID(INDEX('Structured 2025'!headerRow,1,COLUMN()),4,LEN(INDEX('Structured 2025'!headerRow,1,COLUMN()))),ovrHeaderRow25,0))</f>
        <v>9.9</v>
      </c>
      <c r="BK4" s="12">
        <f>INDEX(ovrTable25,MATCH(INDEX('Structured 2025'!teamCol,ROW()),ovrTeamCol25,0),MATCH(MID(INDEX('Structured 2025'!headerRow,1,COLUMN()),4,LEN(INDEX('Structured 2025'!headerRow,1,COLUMN()))),ovrHeaderRow25,0))</f>
        <v>67.599999999999994</v>
      </c>
      <c r="BL4" s="12">
        <f>INDEX(ovrTable25,MATCH(INDEX('Structured 2025'!teamCol,ROW()),ovrTeamCol25,0),MATCH(MID(INDEX('Structured 2025'!headerRow,1,COLUMN()),4,LEN(INDEX('Structured 2025'!headerRow,1,COLUMN()))),ovrHeaderRow25,0))</f>
        <v>19.800000000000004</v>
      </c>
      <c r="BM4" s="12">
        <f>INDEX(ovrTable25,MATCH(INDEX('Structured 2025'!teamCol,ROW()),ovrTeamCol25,0),MATCH(MID(INDEX('Structured 2025'!headerRow,1,COLUMN()),4,LEN(INDEX('Structured 2025'!headerRow,1,COLUMN()))),ovrHeaderRow25,0))</f>
        <v>58.963282937365022</v>
      </c>
      <c r="BN4" s="12">
        <f>INDEX(ovrTable25,MATCH(INDEX(oppCol,ROW()),ovrTeamCol25,0),MATCH(MID(INDEX('Structured 2025'!headerRow,1,COLUMN()),4,LEN(INDEX('Structured 2025'!headerRow,1,COLUMN()))),ovrHeaderRow25,0))</f>
        <v>34.4</v>
      </c>
      <c r="BO4" s="12">
        <f>INDEX(ovrTable25,MATCH(INDEX(oppCol,ROW()),ovrTeamCol25,0),MATCH(MID(INDEX('Structured 2025'!headerRow,1,COLUMN()),4,LEN(INDEX('Structured 2025'!headerRow,1,COLUMN()))),ovrHeaderRow25,0))</f>
        <v>8.4</v>
      </c>
      <c r="BP4" s="12">
        <f>INDEX(ovrTable25,MATCH(INDEX(oppCol,ROW()),ovrTeamCol25,0),MATCH(MID(INDEX('Structured 2025'!headerRow,1,COLUMN()),4,LEN(INDEX('Structured 2025'!headerRow,1,COLUMN()))),ovrHeaderRow25,0))</f>
        <v>39.1</v>
      </c>
      <c r="BQ4" s="12">
        <f>INDEX(ovrTable25,MATCH(INDEX(oppCol,ROW()),ovrTeamCol25,0),MATCH(MID(INDEX('Structured 2025'!headerRow,1,COLUMN()),4,LEN(INDEX('Structured 2025'!headerRow,1,COLUMN()))),ovrHeaderRow25,0))</f>
        <v>21.4</v>
      </c>
      <c r="BR4" s="12">
        <f>INDEX(ovrTable25,MATCH(INDEX(oppCol,ROW()),ovrTeamCol25,0),MATCH(MID(INDEX('Structured 2025'!headerRow,1,COLUMN()),4,LEN(INDEX('Structured 2025'!headerRow,1,COLUMN()))),ovrHeaderRow25,0))</f>
        <v>1.53</v>
      </c>
      <c r="BS4" s="12">
        <f>INDEX(ovrTable25,MATCH(INDEX(oppCol,ROW()),ovrTeamCol25,0),MATCH(MID(INDEX('Structured 2025'!headerRow,1,COLUMN()),4,LEN(INDEX('Structured 2025'!headerRow,1,COLUMN()))),ovrHeaderRow25,0))</f>
        <v>16.7</v>
      </c>
      <c r="BT4" s="12">
        <f>INDEX(ovrTable25,MATCH(INDEX(oppCol,ROW()),ovrTeamCol25,0),MATCH(MID(INDEX('Structured 2025'!headerRow,1,COLUMN()),4,LEN(INDEX('Structured 2025'!headerRow,1,COLUMN()))),ovrHeaderRow25,0))</f>
        <v>19.38</v>
      </c>
      <c r="BU4" s="12">
        <f>INDEX(ovrTable25,MATCH(INDEX(oppCol,ROW()),ovrTeamCol25,0),MATCH(MID(INDEX('Structured 2025'!headerRow,1,COLUMN()),4,LEN(INDEX('Structured 2025'!headerRow,1,COLUMN()))),ovrHeaderRow25,0))</f>
        <v>2.5</v>
      </c>
      <c r="BV4" s="12">
        <f>INDEX(ovrTable25,MATCH(INDEX(oppCol,ROW()),ovrTeamCol25,0),MATCH(MID(INDEX('Structured 2025'!headerRow,1,COLUMN()),4,LEN(INDEX('Structured 2025'!headerRow,1,COLUMN()))),ovrHeaderRow25,0))</f>
        <v>44.6</v>
      </c>
      <c r="BW4" s="12">
        <f>INDEX(ovrTable25,MATCH(INDEX(oppCol,ROW()),ovrTeamCol25,0),MATCH(MID(INDEX('Structured 2025'!headerRow,1,COLUMN()),4,LEN(INDEX('Structured 2025'!headerRow,1,COLUMN()))),ovrHeaderRow25,0))</f>
        <v>25.5</v>
      </c>
      <c r="BX4" s="12">
        <f>INDEX(ovrTable25,MATCH(INDEX(oppCol,ROW()),ovrTeamCol25,0),MATCH(MID(INDEX('Structured 2025'!headerRow,1,COLUMN()),4,LEN(INDEX('Structured 2025'!headerRow,1,COLUMN()))),ovrHeaderRow25,0))</f>
        <v>0.54100000000000004</v>
      </c>
      <c r="BY4" s="12">
        <f>INDEX(ovrTable25,MATCH(INDEX(oppCol,ROW()),ovrTeamCol25,0),MATCH(MID(INDEX('Structured 2025'!headerRow,1,COLUMN()),4,LEN(INDEX('Structured 2025'!headerRow,1,COLUMN()))),ovrHeaderRow25,0))</f>
        <v>15.09</v>
      </c>
      <c r="BZ4" s="12">
        <f>INDEX(ovrTable25,MATCH(INDEX(oppCol,ROW()),ovrTeamCol25,0),MATCH(MID(INDEX('Structured 2025'!headerRow,1,COLUMN()),4,LEN(INDEX('Structured 2025'!headerRow,1,COLUMN()))),ovrHeaderRow25,0))</f>
        <v>46.7</v>
      </c>
      <c r="CA4" s="12">
        <f>INDEX(ovrTable25,MATCH(INDEX(oppCol,ROW()),ovrTeamCol25,0),MATCH(MID(INDEX('Structured 2025'!headerRow,1,COLUMN()),4,LEN(INDEX('Structured 2025'!headerRow,1,COLUMN()))),ovrHeaderRow25,0))</f>
        <v>15.7</v>
      </c>
      <c r="CB4" s="12">
        <f>INDEX(ovrTable25,MATCH(INDEX(oppCol,ROW()),ovrTeamCol25,0),MATCH(MID(INDEX('Structured 2025'!headerRow,1,COLUMN()),4,LEN(INDEX('Structured 2025'!headerRow,1,COLUMN()))),ovrHeaderRow25,0))</f>
        <v>78.900000000000006</v>
      </c>
      <c r="CC4" s="12">
        <f>INDEX(ovrTable25,MATCH(INDEX(oppCol,ROW()),ovrTeamCol25,0),MATCH(MID(INDEX('Structured 2025'!headerRow,1,COLUMN()),4,LEN(INDEX('Structured 2025'!headerRow,1,COLUMN()))),ovrHeaderRow25,0))</f>
        <v>20.9</v>
      </c>
      <c r="CD4" s="12">
        <f>INDEX(ovrTable25,MATCH(INDEX(oppCol,ROW()),ovrTeamCol25,0),MATCH(MID(INDEX('Structured 2025'!headerRow,1,COLUMN()),4,LEN(INDEX('Structured 2025'!headerRow,1,COLUMN()))),ovrHeaderRow25,0))</f>
        <v>16.5</v>
      </c>
      <c r="CE4" s="12">
        <f>INDEX(ovrTable25,MATCH(INDEX(oppCol,ROW()),ovrTeamCol25,0),MATCH(MID(INDEX('Structured 2025'!headerRow,1,COLUMN()),4,LEN(INDEX('Structured 2025'!headerRow,1,COLUMN()))),ovrHeaderRow25,0))</f>
        <v>71.599999999999994</v>
      </c>
      <c r="CF4" s="12">
        <f>INDEX(ovrTable25,MATCH(INDEX(oppCol,ROW()),ovrTeamCol25,0),MATCH(MID(INDEX('Structured 2025'!headerRow,1,COLUMN()),4,LEN(INDEX('Structured 2025'!headerRow,1,COLUMN()))),ovrHeaderRow25,0))</f>
        <v>7.76</v>
      </c>
      <c r="CG4" s="12">
        <f>INDEX(ovrTable25,MATCH(INDEX(oppCol,ROW()),ovrTeamCol25,0),MATCH(MID(INDEX('Structured 2025'!headerRow,1,COLUMN()),4,LEN(INDEX('Structured 2025'!headerRow,1,COLUMN()))),ovrHeaderRow25,0))</f>
        <v>78.099999999999994</v>
      </c>
      <c r="CH4" s="12">
        <f>INDEX(ovrTable25,MATCH(INDEX(oppCol,ROW()),ovrTeamCol25,0),MATCH(MID(INDEX('Structured 2025'!headerRow,1,COLUMN()),4,LEN(INDEX('Structured 2025'!headerRow,1,COLUMN()))),ovrHeaderRow25,0))</f>
        <v>0.6</v>
      </c>
      <c r="CI4" s="12">
        <f>INDEX(ovrTable25,MATCH(INDEX(oppCol,ROW()),ovrTeamCol25,0),MATCH(MID(INDEX('Structured 2025'!headerRow,1,COLUMN()),4,LEN(INDEX('Structured 2025'!headerRow,1,COLUMN()))),ovrHeaderRow25,0))</f>
        <v>33.26</v>
      </c>
      <c r="CJ4" s="12">
        <f>INDEX(ovrTable25,MATCH(INDEX(oppCol,ROW()),ovrTeamCol25,0),MATCH(MID(INDEX('Structured 2025'!headerRow,1,COLUMN()),4,LEN(INDEX('Structured 2025'!headerRow,1,COLUMN()))),ovrHeaderRow25,0))</f>
        <v>6.5</v>
      </c>
      <c r="CK4" s="12">
        <f>INDEX(ovrTable25,MATCH(INDEX(oppCol,ROW()),ovrTeamCol25,0),MATCH(MID(INDEX('Structured 2025'!headerRow,1,COLUMN()),4,LEN(INDEX('Structured 2025'!headerRow,1,COLUMN()))),ovrHeaderRow25,0))</f>
        <v>7.7</v>
      </c>
      <c r="CL4" s="12">
        <f>INDEX(ovrTable25,MATCH(INDEX(oppCol,ROW()),ovrTeamCol25,0),MATCH(MID(INDEX('Structured 2025'!headerRow,1,COLUMN()),4,LEN(INDEX('Structured 2025'!headerRow,1,COLUMN()))),ovrHeaderRow25,0))</f>
        <v>1.4</v>
      </c>
      <c r="CM4" s="12">
        <f>INDEX(ovrTable25,MATCH(INDEX(oppCol,ROW()),ovrTeamCol25,0),MATCH(MID(INDEX('Structured 2025'!headerRow,1,COLUMN()),4,LEN(INDEX('Structured 2025'!headerRow,1,COLUMN()))),ovrHeaderRow25,0))</f>
        <v>12.29</v>
      </c>
      <c r="CN4" s="12">
        <f>INDEX(ovrTable25,MATCH(INDEX(oppCol,ROW()),ovrTeamCol25,0),MATCH(MID(INDEX('Structured 2025'!headerRow,1,COLUMN()),4,LEN(INDEX('Structured 2025'!headerRow,1,COLUMN()))),ovrHeaderRow25,0))</f>
        <v>10.9</v>
      </c>
      <c r="CO4" s="12">
        <f>INDEX(ovrTable25,MATCH(INDEX(oppCol,ROW()),ovrTeamCol25,0),MATCH(MID(INDEX('Structured 2025'!headerRow,1,COLUMN()),4,LEN(INDEX('Structured 2025'!headerRow,1,COLUMN()))),ovrHeaderRow25,0))</f>
        <v>69.2</v>
      </c>
      <c r="CP4" s="12">
        <f>INDEX(ovrTable25,MATCH(INDEX(oppCol,ROW()),ovrTeamCol25,0),MATCH(MID(INDEX('Structured 2025'!headerRow,1,COLUMN()),4,LEN(INDEX('Structured 2025'!headerRow,1,COLUMN()))),ovrHeaderRow25,0))</f>
        <v>18.199999999999996</v>
      </c>
      <c r="CQ4" s="12">
        <f>INDEX(ovrTable25,MATCH(INDEX(oppCol,ROW()),ovrTeamCol25,0),MATCH(MID(INDEX('Structured 2025'!headerRow,1,COLUMN()),4,LEN(INDEX('Structured 2025'!headerRow,1,COLUMN()))),ovrHeaderRow25,0))</f>
        <v>56.959314775160585</v>
      </c>
    </row>
    <row r="5" spans="1:104" x14ac:dyDescent="0.3">
      <c r="A5" s="6" t="s">
        <v>346</v>
      </c>
      <c r="B5" s="3">
        <v>11</v>
      </c>
      <c r="C5" s="13" t="str">
        <f>A4</f>
        <v>TEX</v>
      </c>
      <c r="D5" s="14">
        <v>2</v>
      </c>
      <c r="E5" s="23">
        <v>0.47058823529411764</v>
      </c>
      <c r="F5" s="24">
        <v>55.172413793103445</v>
      </c>
      <c r="G5" s="24">
        <v>12</v>
      </c>
      <c r="H5" s="23">
        <v>48</v>
      </c>
      <c r="I5" s="24">
        <v>25</v>
      </c>
      <c r="J5" s="25">
        <v>2.4285714285714284</v>
      </c>
      <c r="K5" s="24">
        <v>10</v>
      </c>
      <c r="L5" s="24">
        <v>16</v>
      </c>
      <c r="M5" s="24">
        <v>4</v>
      </c>
      <c r="N5" s="24">
        <v>24</v>
      </c>
      <c r="O5" s="24">
        <v>17</v>
      </c>
      <c r="P5" s="24">
        <v>6</v>
      </c>
      <c r="Q5" s="24">
        <v>2</v>
      </c>
      <c r="R5" s="24">
        <v>7</v>
      </c>
      <c r="S5" s="24">
        <v>17</v>
      </c>
      <c r="T5" s="24">
        <v>18</v>
      </c>
      <c r="U5" s="24">
        <v>22</v>
      </c>
      <c r="V5" s="24">
        <v>0.49090909090909091</v>
      </c>
      <c r="W5" s="26">
        <v>0.65517241379310343</v>
      </c>
      <c r="X5" s="23">
        <v>62.5</v>
      </c>
      <c r="Y5" s="24">
        <v>80</v>
      </c>
      <c r="Z5" s="24">
        <v>86</v>
      </c>
      <c r="AA5" s="24">
        <v>-5</v>
      </c>
      <c r="AB5" s="24">
        <v>28</v>
      </c>
      <c r="AC5" s="24">
        <v>6</v>
      </c>
      <c r="AD5" s="24">
        <v>3</v>
      </c>
      <c r="AE5" s="24">
        <v>10</v>
      </c>
      <c r="AF5" s="34">
        <f t="shared" si="0"/>
        <v>20</v>
      </c>
      <c r="AG5" s="34">
        <f t="shared" si="1"/>
        <v>33</v>
      </c>
      <c r="AH5" s="46">
        <f t="shared" si="2"/>
        <v>68.599999999999994</v>
      </c>
      <c r="AI5" s="51">
        <f t="shared" ref="AI5" si="4">AVERAGE(AH4,AH5)</f>
        <v>68</v>
      </c>
      <c r="AJ5" s="12">
        <f>INDEX(ovrTable25,MATCH(INDEX('Structured 2025'!teamCol,ROW()),ovrTeamCol25,0),MATCH(MID(INDEX('Structured 2025'!headerRow,1,COLUMN()),4,LEN(INDEX('Structured 2025'!headerRow,1,COLUMN()))),ovrHeaderRow25,0))</f>
        <v>34.4</v>
      </c>
      <c r="AK5" s="12">
        <f>INDEX(ovrTable25,MATCH(INDEX('Structured 2025'!teamCol,ROW()),ovrTeamCol25,0),MATCH(MID(INDEX('Structured 2025'!headerRow,1,COLUMN()),4,LEN(INDEX('Structured 2025'!headerRow,1,COLUMN()))),ovrHeaderRow25,0))</f>
        <v>8.4</v>
      </c>
      <c r="AL5" s="12">
        <f>INDEX(ovrTable25,MATCH(INDEX('Structured 2025'!teamCol,ROW()),ovrTeamCol25,0),MATCH(MID(INDEX('Structured 2025'!headerRow,1,COLUMN()),4,LEN(INDEX('Structured 2025'!headerRow,1,COLUMN()))),ovrHeaderRow25,0))</f>
        <v>39.1</v>
      </c>
      <c r="AM5" s="12">
        <f>INDEX(ovrTable25,MATCH(INDEX('Structured 2025'!teamCol,ROW()),ovrTeamCol25,0),MATCH(MID(INDEX('Structured 2025'!headerRow,1,COLUMN()),4,LEN(INDEX('Structured 2025'!headerRow,1,COLUMN()))),ovrHeaderRow25,0))</f>
        <v>21.4</v>
      </c>
      <c r="AN5" s="12">
        <f>INDEX(ovrTable25,MATCH(INDEX('Structured 2025'!teamCol,ROW()),ovrTeamCol25,0),MATCH(MID(INDEX('Structured 2025'!headerRow,1,COLUMN()),4,LEN(INDEX('Structured 2025'!headerRow,1,COLUMN()))),ovrHeaderRow25,0))</f>
        <v>1.53</v>
      </c>
      <c r="AO5" s="12">
        <f>INDEX(ovrTable25,MATCH(INDEX('Structured 2025'!teamCol,ROW()),ovrTeamCol25,0),MATCH(MID(INDEX('Structured 2025'!headerRow,1,COLUMN()),4,LEN(INDEX('Structured 2025'!headerRow,1,COLUMN()))),ovrHeaderRow25,0))</f>
        <v>16.7</v>
      </c>
      <c r="AP5" s="12">
        <f>INDEX(ovrTable25,MATCH(INDEX('Structured 2025'!teamCol,ROW()),ovrTeamCol25,0),MATCH(MID(INDEX('Structured 2025'!headerRow,1,COLUMN()),4,LEN(INDEX('Structured 2025'!headerRow,1,COLUMN()))),ovrHeaderRow25,0))</f>
        <v>19.38</v>
      </c>
      <c r="AQ5" s="12">
        <f>INDEX(ovrTable25,MATCH(INDEX('Structured 2025'!teamCol,ROW()),ovrTeamCol25,0),MATCH(MID(INDEX('Structured 2025'!headerRow,1,COLUMN()),4,LEN(INDEX('Structured 2025'!headerRow,1,COLUMN()))),ovrHeaderRow25,0))</f>
        <v>2.5</v>
      </c>
      <c r="AR5" s="12">
        <f>INDEX(ovrTable25,MATCH(INDEX('Structured 2025'!teamCol,ROW()),ovrTeamCol25,0),MATCH(MID(INDEX('Structured 2025'!headerRow,1,COLUMN()),4,LEN(INDEX('Structured 2025'!headerRow,1,COLUMN()))),ovrHeaderRow25,0))</f>
        <v>44.6</v>
      </c>
      <c r="AS5" s="12">
        <f>INDEX(ovrTable25,MATCH(INDEX('Structured 2025'!teamCol,ROW()),ovrTeamCol25,0),MATCH(MID(INDEX('Structured 2025'!headerRow,1,COLUMN()),4,LEN(INDEX('Structured 2025'!headerRow,1,COLUMN()))),ovrHeaderRow25,0))</f>
        <v>25.5</v>
      </c>
      <c r="AT5" s="12">
        <f>INDEX(ovrTable25,MATCH(INDEX('Structured 2025'!teamCol,ROW()),ovrTeamCol25,0),MATCH(MID(INDEX('Structured 2025'!headerRow,1,COLUMN()),4,LEN(INDEX('Structured 2025'!headerRow,1,COLUMN()))),ovrHeaderRow25,0))</f>
        <v>0.54100000000000004</v>
      </c>
      <c r="AU5" s="12">
        <f>INDEX(ovrTable25,MATCH(INDEX('Structured 2025'!teamCol,ROW()),ovrTeamCol25,0),MATCH(MID(INDEX('Structured 2025'!headerRow,1,COLUMN()),4,LEN(INDEX('Structured 2025'!headerRow,1,COLUMN()))),ovrHeaderRow25,0))</f>
        <v>15.09</v>
      </c>
      <c r="AV5" s="12">
        <f>INDEX(ovrTable25,MATCH(INDEX('Structured 2025'!teamCol,ROW()),ovrTeamCol25,0),MATCH(MID(INDEX('Structured 2025'!headerRow,1,COLUMN()),4,LEN(INDEX('Structured 2025'!headerRow,1,COLUMN()))),ovrHeaderRow25,0))</f>
        <v>46.7</v>
      </c>
      <c r="AW5" s="12">
        <f>INDEX(ovrTable25,MATCH(INDEX('Structured 2025'!teamCol,ROW()),ovrTeamCol25,0),MATCH(MID(INDEX('Structured 2025'!headerRow,1,COLUMN()),4,LEN(INDEX('Structured 2025'!headerRow,1,COLUMN()))),ovrHeaderRow25,0))</f>
        <v>15.7</v>
      </c>
      <c r="AX5" s="12">
        <f>INDEX(ovrTable25,MATCH(INDEX('Structured 2025'!teamCol,ROW()),ovrTeamCol25,0),MATCH(MID(INDEX('Structured 2025'!headerRow,1,COLUMN()),4,LEN(INDEX('Structured 2025'!headerRow,1,COLUMN()))),ovrHeaderRow25,0))</f>
        <v>78.900000000000006</v>
      </c>
      <c r="AY5" s="12">
        <f>INDEX(ovrTable25,MATCH(INDEX('Structured 2025'!teamCol,ROW()),ovrTeamCol25,0),MATCH(MID(INDEX('Structured 2025'!headerRow,1,COLUMN()),4,LEN(INDEX('Structured 2025'!headerRow,1,COLUMN()))),ovrHeaderRow25,0))</f>
        <v>20.9</v>
      </c>
      <c r="AZ5" s="12">
        <f>INDEX(ovrTable25,MATCH(INDEX('Structured 2025'!teamCol,ROW()),ovrTeamCol25,0),MATCH(MID(INDEX('Structured 2025'!headerRow,1,COLUMN()),4,LEN(INDEX('Structured 2025'!headerRow,1,COLUMN()))),ovrHeaderRow25,0))</f>
        <v>16.5</v>
      </c>
      <c r="BA5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BB5" s="12">
        <f>INDEX(ovrTable25,MATCH(INDEX('Structured 2025'!teamCol,ROW()),ovrTeamCol25,0),MATCH(MID(INDEX('Structured 2025'!headerRow,1,COLUMN()),4,LEN(INDEX('Structured 2025'!headerRow,1,COLUMN()))),ovrHeaderRow25,0))</f>
        <v>7.76</v>
      </c>
      <c r="BC5" s="12">
        <f>INDEX(ovrTable25,MATCH(INDEX('Structured 2025'!teamCol,ROW()),ovrTeamCol25,0),MATCH(MID(INDEX('Structured 2025'!headerRow,1,COLUMN()),4,LEN(INDEX('Structured 2025'!headerRow,1,COLUMN()))),ovrHeaderRow25,0))</f>
        <v>78.099999999999994</v>
      </c>
      <c r="BD5" s="12">
        <f>INDEX(ovrTable25,MATCH(INDEX('Structured 2025'!teamCol,ROW()),ovrTeamCol25,0),MATCH(MID(INDEX('Structured 2025'!headerRow,1,COLUMN()),4,LEN(INDEX('Structured 2025'!headerRow,1,COLUMN()))),ovrHeaderRow25,0))</f>
        <v>0.6</v>
      </c>
      <c r="BE5" s="12">
        <f>INDEX(ovrTable25,MATCH(INDEX('Structured 2025'!teamCol,ROW()),ovrTeamCol25,0),MATCH(MID(INDEX('Structured 2025'!headerRow,1,COLUMN()),4,LEN(INDEX('Structured 2025'!headerRow,1,COLUMN()))),ovrHeaderRow25,0))</f>
        <v>33.26</v>
      </c>
      <c r="BF5" s="12">
        <f>INDEX(ovrTable25,MATCH(INDEX('Structured 2025'!teamCol,ROW()),ovrTeamCol25,0),MATCH(MID(INDEX('Structured 2025'!headerRow,1,COLUMN()),4,LEN(INDEX('Structured 2025'!headerRow,1,COLUMN()))),ovrHeaderRow25,0))</f>
        <v>6.5</v>
      </c>
      <c r="BG5" s="12">
        <f>INDEX(ovrTable25,MATCH(INDEX('Structured 2025'!teamCol,ROW()),ovrTeamCol25,0),MATCH(MID(INDEX('Structured 2025'!headerRow,1,COLUMN()),4,LEN(INDEX('Structured 2025'!headerRow,1,COLUMN()))),ovrHeaderRow25,0))</f>
        <v>7.7</v>
      </c>
      <c r="BH5" s="12">
        <f>INDEX(ovrTable25,MATCH(INDEX('Structured 2025'!teamCol,ROW()),ovrTeamCol25,0),MATCH(MID(INDEX('Structured 2025'!headerRow,1,COLUMN()),4,LEN(INDEX('Structured 2025'!headerRow,1,COLUMN()))),ovrHeaderRow25,0))</f>
        <v>1.4</v>
      </c>
      <c r="BI5" s="12">
        <f>INDEX(ovrTable25,MATCH(INDEX('Structured 2025'!teamCol,ROW()),ovrTeamCol25,0),MATCH(MID(INDEX('Structured 2025'!headerRow,1,COLUMN()),4,LEN(INDEX('Structured 2025'!headerRow,1,COLUMN()))),ovrHeaderRow25,0))</f>
        <v>12.29</v>
      </c>
      <c r="BJ5" s="12">
        <f>INDEX(ovrTable25,MATCH(INDEX('Structured 2025'!teamCol,ROW()),ovrTeamCol25,0),MATCH(MID(INDEX('Structured 2025'!headerRow,1,COLUMN()),4,LEN(INDEX('Structured 2025'!headerRow,1,COLUMN()))),ovrHeaderRow25,0))</f>
        <v>10.9</v>
      </c>
      <c r="BK5" s="12">
        <f>INDEX(ovrTable25,MATCH(INDEX('Structured 2025'!teamCol,ROW()),ovrTeamCol25,0),MATCH(MID(INDEX('Structured 2025'!headerRow,1,COLUMN()),4,LEN(INDEX('Structured 2025'!headerRow,1,COLUMN()))),ovrHeaderRow25,0))</f>
        <v>69.2</v>
      </c>
      <c r="BL5" s="12">
        <f>INDEX(ovrTable25,MATCH(INDEX('Structured 2025'!teamCol,ROW()),ovrTeamCol25,0),MATCH(MID(INDEX('Structured 2025'!headerRow,1,COLUMN()),4,LEN(INDEX('Structured 2025'!headerRow,1,COLUMN()))),ovrHeaderRow25,0))</f>
        <v>18.199999999999996</v>
      </c>
      <c r="BM5" s="12">
        <f>INDEX(ovrTable25,MATCH(INDEX('Structured 2025'!teamCol,ROW()),ovrTeamCol25,0),MATCH(MID(INDEX('Structured 2025'!headerRow,1,COLUMN()),4,LEN(INDEX('Structured 2025'!headerRow,1,COLUMN()))),ovrHeaderRow25,0))</f>
        <v>56.959314775160585</v>
      </c>
      <c r="BN5" s="12">
        <f>INDEX(ovrTable25,MATCH(INDEX(oppCol,ROW()),ovrTeamCol25,0),MATCH(MID(INDEX('Structured 2025'!headerRow,1,COLUMN()),4,LEN(INDEX('Structured 2025'!headerRow,1,COLUMN()))),ovrHeaderRow25,0))</f>
        <v>33.799999999999997</v>
      </c>
      <c r="BO5" s="12">
        <f>INDEX(ovrTable25,MATCH(INDEX(oppCol,ROW()),ovrTeamCol25,0),MATCH(MID(INDEX('Structured 2025'!headerRow,1,COLUMN()),4,LEN(INDEX('Structured 2025'!headerRow,1,COLUMN()))),ovrHeaderRow25,0))</f>
        <v>7.5</v>
      </c>
      <c r="BP5" s="12">
        <f>INDEX(ovrTable25,MATCH(INDEX(oppCol,ROW()),ovrTeamCol25,0),MATCH(MID(INDEX('Structured 2025'!headerRow,1,COLUMN()),4,LEN(INDEX('Structured 2025'!headerRow,1,COLUMN()))),ovrHeaderRow25,0))</f>
        <v>36.200000000000003</v>
      </c>
      <c r="BQ5" s="12">
        <f>INDEX(ovrTable25,MATCH(INDEX(oppCol,ROW()),ovrTeamCol25,0),MATCH(MID(INDEX('Structured 2025'!headerRow,1,COLUMN()),4,LEN(INDEX('Structured 2025'!headerRow,1,COLUMN()))),ovrHeaderRow25,0))</f>
        <v>20.8</v>
      </c>
      <c r="BR5" s="12">
        <f>INDEX(ovrTable25,MATCH(INDEX(oppCol,ROW()),ovrTeamCol25,0),MATCH(MID(INDEX('Structured 2025'!headerRow,1,COLUMN()),4,LEN(INDEX('Structured 2025'!headerRow,1,COLUMN()))),ovrHeaderRow25,0))</f>
        <v>1.3</v>
      </c>
      <c r="BS5" s="12">
        <f>INDEX(ovrTable25,MATCH(INDEX(oppCol,ROW()),ovrTeamCol25,0),MATCH(MID(INDEX('Structured 2025'!headerRow,1,COLUMN()),4,LEN(INDEX('Structured 2025'!headerRow,1,COLUMN()))),ovrHeaderRow25,0))</f>
        <v>12.9</v>
      </c>
      <c r="BT5" s="12">
        <f>INDEX(ovrTable25,MATCH(INDEX(oppCol,ROW()),ovrTeamCol25,0),MATCH(MID(INDEX('Structured 2025'!headerRow,1,COLUMN()),4,LEN(INDEX('Structured 2025'!headerRow,1,COLUMN()))),ovrHeaderRow25,0))</f>
        <v>18.23</v>
      </c>
      <c r="BU5" s="12">
        <f>INDEX(ovrTable25,MATCH(INDEX(oppCol,ROW()),ovrTeamCol25,0),MATCH(MID(INDEX('Structured 2025'!headerRow,1,COLUMN()),4,LEN(INDEX('Structured 2025'!headerRow,1,COLUMN()))),ovrHeaderRow25,0))</f>
        <v>4.3</v>
      </c>
      <c r="BV5" s="12">
        <f>INDEX(ovrTable25,MATCH(INDEX(oppCol,ROW()),ovrTeamCol25,0),MATCH(MID(INDEX('Structured 2025'!headerRow,1,COLUMN()),4,LEN(INDEX('Structured 2025'!headerRow,1,COLUMN()))),ovrHeaderRow25,0))</f>
        <v>42.7</v>
      </c>
      <c r="BW5" s="12">
        <f>INDEX(ovrTable25,MATCH(INDEX(oppCol,ROW()),ovrTeamCol25,0),MATCH(MID(INDEX('Structured 2025'!headerRow,1,COLUMN()),4,LEN(INDEX('Structured 2025'!headerRow,1,COLUMN()))),ovrHeaderRow25,0))</f>
        <v>25.49</v>
      </c>
      <c r="BX5" s="12">
        <f>INDEX(ovrTable25,MATCH(INDEX(oppCol,ROW()),ovrTeamCol25,0),MATCH(MID(INDEX('Structured 2025'!headerRow,1,COLUMN()),4,LEN(INDEX('Structured 2025'!headerRow,1,COLUMN()))),ovrHeaderRow25,0))</f>
        <v>0.52600000000000002</v>
      </c>
      <c r="BY5" s="12">
        <f>INDEX(ovrTable25,MATCH(INDEX(oppCol,ROW()),ovrTeamCol25,0),MATCH(MID(INDEX('Structured 2025'!headerRow,1,COLUMN()),4,LEN(INDEX('Structured 2025'!headerRow,1,COLUMN()))),ovrHeaderRow25,0))</f>
        <v>11.31</v>
      </c>
      <c r="BZ5" s="12">
        <f>INDEX(ovrTable25,MATCH(INDEX(oppCol,ROW()),ovrTeamCol25,0),MATCH(MID(INDEX('Structured 2025'!headerRow,1,COLUMN()),4,LEN(INDEX('Structured 2025'!headerRow,1,COLUMN()))),ovrHeaderRow25,0))</f>
        <v>46.3</v>
      </c>
      <c r="CA5" s="12">
        <f>INDEX(ovrTable25,MATCH(INDEX(oppCol,ROW()),ovrTeamCol25,0),MATCH(MID(INDEX('Structured 2025'!headerRow,1,COLUMN()),4,LEN(INDEX('Structured 2025'!headerRow,1,COLUMN()))),ovrHeaderRow25,0))</f>
        <v>18.7</v>
      </c>
      <c r="CB5" s="12">
        <f>INDEX(ovrTable25,MATCH(INDEX(oppCol,ROW()),ovrTeamCol25,0),MATCH(MID(INDEX('Structured 2025'!headerRow,1,COLUMN()),4,LEN(INDEX('Structured 2025'!headerRow,1,COLUMN()))),ovrHeaderRow25,0))</f>
        <v>74.900000000000006</v>
      </c>
      <c r="CC5" s="12">
        <f>INDEX(ovrTable25,MATCH(INDEX(oppCol,ROW()),ovrTeamCol25,0),MATCH(MID(INDEX('Structured 2025'!headerRow,1,COLUMN()),4,LEN(INDEX('Structured 2025'!headerRow,1,COLUMN()))),ovrHeaderRow25,0))</f>
        <v>21.7</v>
      </c>
      <c r="CD5" s="12">
        <f>INDEX(ovrTable25,MATCH(INDEX(oppCol,ROW()),ovrTeamCol25,0),MATCH(MID(INDEX('Structured 2025'!headerRow,1,COLUMN()),4,LEN(INDEX('Structured 2025'!headerRow,1,COLUMN()))),ovrHeaderRow25,0))</f>
        <v>16.3</v>
      </c>
      <c r="CE5" s="12">
        <f>INDEX(ovrTable25,MATCH(INDEX(oppCol,ROW()),ovrTeamCol25,0),MATCH(MID(INDEX('Structured 2025'!headerRow,1,COLUMN()),4,LEN(INDEX('Structured 2025'!headerRow,1,COLUMN()))),ovrHeaderRow25,0))</f>
        <v>72.599999999999994</v>
      </c>
      <c r="CF5" s="12">
        <f>INDEX(ovrTable25,MATCH(INDEX(oppCol,ROW()),ovrTeamCol25,0),MATCH(MID(INDEX('Structured 2025'!headerRow,1,COLUMN()),4,LEN(INDEX('Structured 2025'!headerRow,1,COLUMN()))),ovrHeaderRow25,0))</f>
        <v>10.17</v>
      </c>
      <c r="CG5" s="12">
        <f>INDEX(ovrTable25,MATCH(INDEX(oppCol,ROW()),ovrTeamCol25,0),MATCH(MID(INDEX('Structured 2025'!headerRow,1,COLUMN()),4,LEN(INDEX('Structured 2025'!headerRow,1,COLUMN()))),ovrHeaderRow25,0))</f>
        <v>78.400000000000006</v>
      </c>
      <c r="CH5" s="12">
        <f>INDEX(ovrTable25,MATCH(INDEX(oppCol,ROW()),ovrTeamCol25,0),MATCH(MID(INDEX('Structured 2025'!headerRow,1,COLUMN()),4,LEN(INDEX('Structured 2025'!headerRow,1,COLUMN()))),ovrHeaderRow25,0))</f>
        <v>1</v>
      </c>
      <c r="CI5" s="12">
        <f>INDEX(ovrTable25,MATCH(INDEX(oppCol,ROW()),ovrTeamCol25,0),MATCH(MID(INDEX('Structured 2025'!headerRow,1,COLUMN()),4,LEN(INDEX('Structured 2025'!headerRow,1,COLUMN()))),ovrHeaderRow25,0))</f>
        <v>35.659999999999997</v>
      </c>
      <c r="CJ5" s="12">
        <f>INDEX(ovrTable25,MATCH(INDEX(oppCol,ROW()),ovrTeamCol25,0),MATCH(MID(INDEX('Structured 2025'!headerRow,1,COLUMN()),4,LEN(INDEX('Structured 2025'!headerRow,1,COLUMN()))),ovrHeaderRow25,0))</f>
        <v>5.8</v>
      </c>
      <c r="CK5" s="12">
        <f>INDEX(ovrTable25,MATCH(INDEX(oppCol,ROW()),ovrTeamCol25,0),MATCH(MID(INDEX('Structured 2025'!headerRow,1,COLUMN()),4,LEN(INDEX('Structured 2025'!headerRow,1,COLUMN()))),ovrHeaderRow25,0))</f>
        <v>6.3</v>
      </c>
      <c r="CL5" s="12">
        <f>INDEX(ovrTable25,MATCH(INDEX(oppCol,ROW()),ovrTeamCol25,0),MATCH(MID(INDEX('Structured 2025'!headerRow,1,COLUMN()),4,LEN(INDEX('Structured 2025'!headerRow,1,COLUMN()))),ovrHeaderRow25,0))</f>
        <v>1.4</v>
      </c>
      <c r="CM5" s="12">
        <f>INDEX(ovrTable25,MATCH(INDEX(oppCol,ROW()),ovrTeamCol25,0),MATCH(MID(INDEX('Structured 2025'!headerRow,1,COLUMN()),4,LEN(INDEX('Structured 2025'!headerRow,1,COLUMN()))),ovrHeaderRow25,0))</f>
        <v>11.37</v>
      </c>
      <c r="CN5" s="12">
        <f>INDEX(ovrTable25,MATCH(INDEX(oppCol,ROW()),ovrTeamCol25,0),MATCH(MID(INDEX('Structured 2025'!headerRow,1,COLUMN()),4,LEN(INDEX('Structured 2025'!headerRow,1,COLUMN()))),ovrHeaderRow25,0))</f>
        <v>9.9</v>
      </c>
      <c r="CO5" s="12">
        <f>INDEX(ovrTable25,MATCH(INDEX(oppCol,ROW()),ovrTeamCol25,0),MATCH(MID(INDEX('Structured 2025'!headerRow,1,COLUMN()),4,LEN(INDEX('Structured 2025'!headerRow,1,COLUMN()))),ovrHeaderRow25,0))</f>
        <v>67.599999999999994</v>
      </c>
      <c r="CP5" s="12">
        <f>INDEX(ovrTable25,MATCH(INDEX(oppCol,ROW()),ovrTeamCol25,0),MATCH(MID(INDEX('Structured 2025'!headerRow,1,COLUMN()),4,LEN(INDEX('Structured 2025'!headerRow,1,COLUMN()))),ovrHeaderRow25,0))</f>
        <v>19.800000000000004</v>
      </c>
      <c r="CQ5" s="12">
        <f>INDEX(ovrTable25,MATCH(INDEX(oppCol,ROW()),ovrTeamCol25,0),MATCH(MID(INDEX('Structured 2025'!headerRow,1,COLUMN()),4,LEN(INDEX('Structured 2025'!headerRow,1,COLUMN()))),ovrHeaderRow25,0))</f>
        <v>58.963282937365022</v>
      </c>
    </row>
    <row r="6" spans="1:104" x14ac:dyDescent="0.3">
      <c r="A6" s="6" t="s">
        <v>508</v>
      </c>
      <c r="B6" s="3">
        <v>16</v>
      </c>
      <c r="C6" s="13" t="str">
        <f>A7</f>
        <v>MSM</v>
      </c>
      <c r="D6" s="14">
        <v>3</v>
      </c>
      <c r="E6" s="23">
        <v>0.40909090909090912</v>
      </c>
      <c r="F6" s="24">
        <v>47.368421052631575</v>
      </c>
      <c r="G6" s="24">
        <v>13</v>
      </c>
      <c r="H6" s="23">
        <v>37.142857142857146</v>
      </c>
      <c r="I6" s="24">
        <v>35</v>
      </c>
      <c r="J6" s="25">
        <v>1.1538461538461537</v>
      </c>
      <c r="K6" s="24">
        <v>5</v>
      </c>
      <c r="L6" s="24">
        <v>8</v>
      </c>
      <c r="M6" s="24">
        <v>8</v>
      </c>
      <c r="N6" s="24">
        <v>18</v>
      </c>
      <c r="O6" s="24">
        <v>15</v>
      </c>
      <c r="P6" s="24">
        <v>4</v>
      </c>
      <c r="Q6" s="24">
        <v>3</v>
      </c>
      <c r="R6" s="24">
        <v>13</v>
      </c>
      <c r="S6" s="24">
        <v>11</v>
      </c>
      <c r="T6" s="24">
        <v>19</v>
      </c>
      <c r="U6" s="24">
        <v>31</v>
      </c>
      <c r="V6" s="24">
        <v>0.57692307692307687</v>
      </c>
      <c r="W6" s="26">
        <v>0.58771929824561409</v>
      </c>
      <c r="X6" s="23">
        <v>62.5</v>
      </c>
      <c r="Y6" s="24">
        <v>83</v>
      </c>
      <c r="Z6" s="24">
        <v>72</v>
      </c>
      <c r="AA6" s="24">
        <v>-5</v>
      </c>
      <c r="AB6" s="24">
        <v>26</v>
      </c>
      <c r="AC6" s="24">
        <v>-11</v>
      </c>
      <c r="AD6" s="24">
        <v>-1</v>
      </c>
      <c r="AE6" s="24">
        <v>12</v>
      </c>
      <c r="AF6" s="34">
        <f t="shared" si="0"/>
        <v>14</v>
      </c>
      <c r="AG6" s="34">
        <f t="shared" si="1"/>
        <v>22</v>
      </c>
      <c r="AH6" s="46">
        <f t="shared" si="2"/>
        <v>65.8</v>
      </c>
      <c r="AI6" s="51">
        <f t="shared" ref="AI6" si="5">AVERAGE(AH6,AH7)</f>
        <v>65.4375</v>
      </c>
      <c r="AJ6" s="12">
        <f>INDEX(ovrTable25,MATCH(INDEX('Structured 2025'!teamCol,ROW()),ovrTeamCol25,0),MATCH(MID(INDEX('Structured 2025'!headerRow,1,COLUMN()),4,LEN(INDEX('Structured 2025'!headerRow,1,COLUMN()))),ovrHeaderRow25,0))</f>
        <v>33.1</v>
      </c>
      <c r="AK6" s="12">
        <f>INDEX(ovrTable25,MATCH(INDEX('Structured 2025'!teamCol,ROW()),ovrTeamCol25,0),MATCH(MID(INDEX('Structured 2025'!headerRow,1,COLUMN()),4,LEN(INDEX('Structured 2025'!headerRow,1,COLUMN()))),ovrHeaderRow25,0))</f>
        <v>8.5</v>
      </c>
      <c r="AL6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6" s="12">
        <f>INDEX(ovrTable25,MATCH(INDEX('Structured 2025'!teamCol,ROW()),ovrTeamCol25,0),MATCH(MID(INDEX('Structured 2025'!headerRow,1,COLUMN()),4,LEN(INDEX('Structured 2025'!headerRow,1,COLUMN()))),ovrHeaderRow25,0))</f>
        <v>24.5</v>
      </c>
      <c r="AN6" s="12">
        <f>INDEX(ovrTable25,MATCH(INDEX('Structured 2025'!teamCol,ROW()),ovrTeamCol25,0),MATCH(MID(INDEX('Structured 2025'!headerRow,1,COLUMN()),4,LEN(INDEX('Structured 2025'!headerRow,1,COLUMN()))),ovrHeaderRow25,0))</f>
        <v>1.1299999999999999</v>
      </c>
      <c r="AO6" s="12">
        <f>INDEX(ovrTable25,MATCH(INDEX('Structured 2025'!teamCol,ROW()),ovrTeamCol25,0),MATCH(MID(INDEX('Structured 2025'!headerRow,1,COLUMN()),4,LEN(INDEX('Structured 2025'!headerRow,1,COLUMN()))),ovrHeaderRow25,0))</f>
        <v>12.6</v>
      </c>
      <c r="AP6" s="12">
        <f>INDEX(ovrTable25,MATCH(INDEX('Structured 2025'!teamCol,ROW()),ovrTeamCol25,0),MATCH(MID(INDEX('Structured 2025'!headerRow,1,COLUMN()),4,LEN(INDEX('Structured 2025'!headerRow,1,COLUMN()))),ovrHeaderRow25,0))</f>
        <v>15.74</v>
      </c>
      <c r="AQ6" s="12">
        <f>INDEX(ovrTable25,MATCH(INDEX('Structured 2025'!teamCol,ROW()),ovrTeamCol25,0),MATCH(MID(INDEX('Structured 2025'!headerRow,1,COLUMN()),4,LEN(INDEX('Structured 2025'!headerRow,1,COLUMN()))),ovrHeaderRow25,0))</f>
        <v>1.9</v>
      </c>
      <c r="AR6" s="12">
        <f>INDEX(ovrTable25,MATCH(INDEX('Structured 2025'!teamCol,ROW()),ovrTeamCol25,0),MATCH(MID(INDEX('Structured 2025'!headerRow,1,COLUMN()),4,LEN(INDEX('Structured 2025'!headerRow,1,COLUMN()))),ovrHeaderRow25,0))</f>
        <v>45.7</v>
      </c>
      <c r="AS6" s="12">
        <f>INDEX(ovrTable25,MATCH(INDEX('Structured 2025'!teamCol,ROW()),ovrTeamCol25,0),MATCH(MID(INDEX('Structured 2025'!headerRow,1,COLUMN()),4,LEN(INDEX('Structured 2025'!headerRow,1,COLUMN()))),ovrHeaderRow25,0))</f>
        <v>22.49</v>
      </c>
      <c r="AT6" s="12">
        <f>INDEX(ovrTable25,MATCH(INDEX('Structured 2025'!teamCol,ROW()),ovrTeamCol25,0),MATCH(MID(INDEX('Structured 2025'!headerRow,1,COLUMN()),4,LEN(INDEX('Structured 2025'!headerRow,1,COLUMN()))),ovrHeaderRow25,0))</f>
        <v>0.52300000000000002</v>
      </c>
      <c r="AU6" s="12">
        <f>INDEX(ovrTable25,MATCH(INDEX('Structured 2025'!teamCol,ROW()),ovrTeamCol25,0),MATCH(MID(INDEX('Structured 2025'!headerRow,1,COLUMN()),4,LEN(INDEX('Structured 2025'!headerRow,1,COLUMN()))),ovrHeaderRow25,0))</f>
        <v>8.89</v>
      </c>
      <c r="AV6" s="12">
        <f>INDEX(ovrTable25,MATCH(INDEX('Structured 2025'!teamCol,ROW()),ovrTeamCol25,0),MATCH(MID(INDEX('Structured 2025'!headerRow,1,COLUMN()),4,LEN(INDEX('Structured 2025'!headerRow,1,COLUMN()))),ovrHeaderRow25,0))</f>
        <v>44.4</v>
      </c>
      <c r="AW6" s="12">
        <f>INDEX(ovrTable25,MATCH(INDEX('Structured 2025'!teamCol,ROW()),ovrTeamCol25,0),MATCH(MID(INDEX('Structured 2025'!headerRow,1,COLUMN()),4,LEN(INDEX('Structured 2025'!headerRow,1,COLUMN()))),ovrHeaderRow25,0))</f>
        <v>17.899999999999999</v>
      </c>
      <c r="AX6" s="12">
        <f>INDEX(ovrTable25,MATCH(INDEX('Structured 2025'!teamCol,ROW()),ovrTeamCol25,0),MATCH(MID(INDEX('Structured 2025'!headerRow,1,COLUMN()),4,LEN(INDEX('Structured 2025'!headerRow,1,COLUMN()))),ovrHeaderRow25,0))</f>
        <v>75.400000000000006</v>
      </c>
      <c r="AY6" s="12">
        <f>INDEX(ovrTable25,MATCH(INDEX('Structured 2025'!teamCol,ROW()),ovrTeamCol25,0),MATCH(MID(INDEX('Structured 2025'!headerRow,1,COLUMN()),4,LEN(INDEX('Structured 2025'!headerRow,1,COLUMN()))),ovrHeaderRow25,0))</f>
        <v>16.2</v>
      </c>
      <c r="AZ6" s="12">
        <f>INDEX(ovrTable25,MATCH(INDEX('Structured 2025'!teamCol,ROW()),ovrTeamCol25,0),MATCH(MID(INDEX('Structured 2025'!headerRow,1,COLUMN()),4,LEN(INDEX('Structured 2025'!headerRow,1,COLUMN()))),ovrHeaderRow25,0))</f>
        <v>12.2</v>
      </c>
      <c r="BA6" s="12">
        <f>INDEX(ovrTable25,MATCH(INDEX('Structured 2025'!teamCol,ROW()),ovrTeamCol25,0),MATCH(MID(INDEX('Structured 2025'!headerRow,1,COLUMN()),4,LEN(INDEX('Structured 2025'!headerRow,1,COLUMN()))),ovrHeaderRow25,0))</f>
        <v>67.7</v>
      </c>
      <c r="BB6" s="12">
        <f>INDEX(ovrTable25,MATCH(INDEX('Structured 2025'!teamCol,ROW()),ovrTeamCol25,0),MATCH(MID(INDEX('Structured 2025'!headerRow,1,COLUMN()),4,LEN(INDEX('Structured 2025'!headerRow,1,COLUMN()))),ovrHeaderRow25,0))</f>
        <v>7.71</v>
      </c>
      <c r="BC6" s="12">
        <f>INDEX(ovrTable25,MATCH(INDEX('Structured 2025'!teamCol,ROW()),ovrTeamCol25,0),MATCH(MID(INDEX('Structured 2025'!headerRow,1,COLUMN()),4,LEN(INDEX('Structured 2025'!headerRow,1,COLUMN()))),ovrHeaderRow25,0))</f>
        <v>68.7</v>
      </c>
      <c r="BD6" s="12">
        <f>INDEX(ovrTable25,MATCH(INDEX('Structured 2025'!teamCol,ROW()),ovrTeamCol25,0),MATCH(MID(INDEX('Structured 2025'!headerRow,1,COLUMN()),4,LEN(INDEX('Structured 2025'!headerRow,1,COLUMN()))),ovrHeaderRow25,0))</f>
        <v>-2.1</v>
      </c>
      <c r="BE6" s="12">
        <f>INDEX(ovrTable25,MATCH(INDEX('Structured 2025'!teamCol,ROW()),ovrTeamCol25,0),MATCH(MID(INDEX('Structured 2025'!headerRow,1,COLUMN()),4,LEN(INDEX('Structured 2025'!headerRow,1,COLUMN()))),ovrHeaderRow25,0))</f>
        <v>30.2</v>
      </c>
      <c r="BF6" s="12">
        <f>INDEX(ovrTable25,MATCH(INDEX('Structured 2025'!teamCol,ROW()),ovrTeamCol25,0),MATCH(MID(INDEX('Structured 2025'!headerRow,1,COLUMN()),4,LEN(INDEX('Structured 2025'!headerRow,1,COLUMN()))),ovrHeaderRow25,0))</f>
        <v>1</v>
      </c>
      <c r="BG6" s="12">
        <f>INDEX(ovrTable25,MATCH(INDEX('Structured 2025'!teamCol,ROW()),ovrTeamCol25,0),MATCH(MID(INDEX('Structured 2025'!headerRow,1,COLUMN()),4,LEN(INDEX('Structured 2025'!headerRow,1,COLUMN()))),ovrHeaderRow25,0))</f>
        <v>6.5</v>
      </c>
      <c r="BH6" s="12">
        <f>INDEX(ovrTable25,MATCH(INDEX('Structured 2025'!teamCol,ROW()),ovrTeamCol25,0),MATCH(MID(INDEX('Structured 2025'!headerRow,1,COLUMN()),4,LEN(INDEX('Structured 2025'!headerRow,1,COLUMN()))),ovrHeaderRow25,0))</f>
        <v>0.8</v>
      </c>
      <c r="BI6" s="12">
        <f>INDEX(ovrTable25,MATCH(INDEX('Structured 2025'!teamCol,ROW()),ovrTeamCol25,0),MATCH(MID(INDEX('Structured 2025'!headerRow,1,COLUMN()),4,LEN(INDEX('Structured 2025'!headerRow,1,COLUMN()))),ovrHeaderRow25,0))</f>
        <v>11.94</v>
      </c>
      <c r="BJ6" s="12">
        <f>INDEX(ovrTable25,MATCH(INDEX('Structured 2025'!teamCol,ROW()),ovrTeamCol25,0),MATCH(MID(INDEX('Structured 2025'!headerRow,1,COLUMN()),4,LEN(INDEX('Structured 2025'!headerRow,1,COLUMN()))),ovrHeaderRow25,0))</f>
        <v>11.1</v>
      </c>
      <c r="BK6" s="12">
        <f>INDEX(ovrTable25,MATCH(INDEX('Structured 2025'!teamCol,ROW()),ovrTeamCol25,0),MATCH(MID(INDEX('Structured 2025'!headerRow,1,COLUMN()),4,LEN(INDEX('Structured 2025'!headerRow,1,COLUMN()))),ovrHeaderRow25,0))</f>
        <v>63.8</v>
      </c>
      <c r="BL6" s="12">
        <f>INDEX(ovrTable25,MATCH(INDEX('Structured 2025'!teamCol,ROW()),ovrTeamCol25,0),MATCH(MID(INDEX('Structured 2025'!headerRow,1,COLUMN()),4,LEN(INDEX('Structured 2025'!headerRow,1,COLUMN()))),ovrHeaderRow25,0))</f>
        <v>15.5</v>
      </c>
      <c r="BM6" s="12">
        <f>INDEX(ovrTable25,MATCH(INDEX('Structured 2025'!teamCol,ROW()),ovrTeamCol25,0),MATCH(MID(INDEX('Structured 2025'!headerRow,1,COLUMN()),4,LEN(INDEX('Structured 2025'!headerRow,1,COLUMN()))),ovrHeaderRow25,0))</f>
        <v>54.054054054054056</v>
      </c>
      <c r="BN6" s="12">
        <f>INDEX(ovrTable25,MATCH(INDEX(oppCol,ROW()),ovrTeamCol25,0),MATCH(MID(INDEX('Structured 2025'!headerRow,1,COLUMN()),4,LEN(INDEX('Structured 2025'!headerRow,1,COLUMN()))),ovrHeaderRow25,0))</f>
        <v>31.6</v>
      </c>
      <c r="BO6" s="12">
        <f>INDEX(ovrTable25,MATCH(INDEX(oppCol,ROW()),ovrTeamCol25,0),MATCH(MID(INDEX('Structured 2025'!headerRow,1,COLUMN()),4,LEN(INDEX('Structured 2025'!headerRow,1,COLUMN()))),ovrHeaderRow25,0))</f>
        <v>7.9</v>
      </c>
      <c r="BP6" s="12">
        <f>INDEX(ovrTable25,MATCH(INDEX(oppCol,ROW()),ovrTeamCol25,0),MATCH(MID(INDEX('Structured 2025'!headerRow,1,COLUMN()),4,LEN(INDEX('Structured 2025'!headerRow,1,COLUMN()))),ovrHeaderRow25,0))</f>
        <v>34.5</v>
      </c>
      <c r="BQ6" s="12">
        <f>INDEX(ovrTable25,MATCH(INDEX(oppCol,ROW()),ovrTeamCol25,0),MATCH(MID(INDEX('Structured 2025'!headerRow,1,COLUMN()),4,LEN(INDEX('Structured 2025'!headerRow,1,COLUMN()))),ovrHeaderRow25,0))</f>
        <v>23</v>
      </c>
      <c r="BR6" s="12">
        <f>INDEX(ovrTable25,MATCH(INDEX(oppCol,ROW()),ovrTeamCol25,0),MATCH(MID(INDEX('Structured 2025'!headerRow,1,COLUMN()),4,LEN(INDEX('Structured 2025'!headerRow,1,COLUMN()))),ovrHeaderRow25,0))</f>
        <v>1</v>
      </c>
      <c r="BS6" s="12">
        <f>INDEX(ovrTable25,MATCH(INDEX(oppCol,ROW()),ovrTeamCol25,0),MATCH(MID(INDEX('Structured 2025'!headerRow,1,COLUMN()),4,LEN(INDEX('Structured 2025'!headerRow,1,COLUMN()))),ovrHeaderRow25,0))</f>
        <v>14.9</v>
      </c>
      <c r="BT6" s="12">
        <f>INDEX(ovrTable25,MATCH(INDEX(oppCol,ROW()),ovrTeamCol25,0),MATCH(MID(INDEX('Structured 2025'!headerRow,1,COLUMN()),4,LEN(INDEX('Structured 2025'!headerRow,1,COLUMN()))),ovrHeaderRow25,0))</f>
        <v>19.14</v>
      </c>
      <c r="BU6" s="12">
        <f>INDEX(ovrTable25,MATCH(INDEX(oppCol,ROW()),ovrTeamCol25,0),MATCH(MID(INDEX('Structured 2025'!headerRow,1,COLUMN()),4,LEN(INDEX('Structured 2025'!headerRow,1,COLUMN()))),ovrHeaderRow25,0))</f>
        <v>2.8</v>
      </c>
      <c r="BV6" s="12">
        <f>INDEX(ovrTable25,MATCH(INDEX(oppCol,ROW()),ovrTeamCol25,0),MATCH(MID(INDEX('Structured 2025'!headerRow,1,COLUMN()),4,LEN(INDEX('Structured 2025'!headerRow,1,COLUMN()))),ovrHeaderRow25,0))</f>
        <v>41.1</v>
      </c>
      <c r="BW6" s="12">
        <f>INDEX(ovrTable25,MATCH(INDEX(oppCol,ROW()),ovrTeamCol25,0),MATCH(MID(INDEX('Structured 2025'!headerRow,1,COLUMN()),4,LEN(INDEX('Structured 2025'!headerRow,1,COLUMN()))),ovrHeaderRow25,0))</f>
        <v>27.33</v>
      </c>
      <c r="BX6" s="12">
        <f>INDEX(ovrTable25,MATCH(INDEX(oppCol,ROW()),ovrTeamCol25,0),MATCH(MID(INDEX('Structured 2025'!headerRow,1,COLUMN()),4,LEN(INDEX('Structured 2025'!headerRow,1,COLUMN()))),ovrHeaderRow25,0))</f>
        <v>0.51200000000000001</v>
      </c>
      <c r="BY6" s="12">
        <f>INDEX(ovrTable25,MATCH(INDEX(oppCol,ROW()),ovrTeamCol25,0),MATCH(MID(INDEX('Structured 2025'!headerRow,1,COLUMN()),4,LEN(INDEX('Structured 2025'!headerRow,1,COLUMN()))),ovrHeaderRow25,0))</f>
        <v>7.97</v>
      </c>
      <c r="BZ6" s="12">
        <f>INDEX(ovrTable25,MATCH(INDEX(oppCol,ROW()),ovrTeamCol25,0),MATCH(MID(INDEX('Structured 2025'!headerRow,1,COLUMN()),4,LEN(INDEX('Structured 2025'!headerRow,1,COLUMN()))),ovrHeaderRow25,0))</f>
        <v>44.1</v>
      </c>
      <c r="CA6" s="12">
        <f>INDEX(ovrTable25,MATCH(INDEX(oppCol,ROW()),ovrTeamCol25,0),MATCH(MID(INDEX('Structured 2025'!headerRow,1,COLUMN()),4,LEN(INDEX('Structured 2025'!headerRow,1,COLUMN()))),ovrHeaderRow25,0))</f>
        <v>15.6</v>
      </c>
      <c r="CB6" s="12">
        <f>INDEX(ovrTable25,MATCH(INDEX(oppCol,ROW()),ovrTeamCol25,0),MATCH(MID(INDEX('Structured 2025'!headerRow,1,COLUMN()),4,LEN(INDEX('Structured 2025'!headerRow,1,COLUMN()))),ovrHeaderRow25,0))</f>
        <v>73.599999999999994</v>
      </c>
      <c r="CC6" s="12">
        <f>INDEX(ovrTable25,MATCH(INDEX(oppCol,ROW()),ovrTeamCol25,0),MATCH(MID(INDEX('Structured 2025'!headerRow,1,COLUMN()),4,LEN(INDEX('Structured 2025'!headerRow,1,COLUMN()))),ovrHeaderRow25,0))</f>
        <v>17.399999999999999</v>
      </c>
      <c r="CD6" s="12">
        <f>INDEX(ovrTable25,MATCH(INDEX(oppCol,ROW()),ovrTeamCol25,0),MATCH(MID(INDEX('Structured 2025'!headerRow,1,COLUMN()),4,LEN(INDEX('Structured 2025'!headerRow,1,COLUMN()))),ovrHeaderRow25,0))</f>
        <v>12.8</v>
      </c>
      <c r="CE6" s="12">
        <f>INDEX(ovrTable25,MATCH(INDEX(oppCol,ROW()),ovrTeamCol25,0),MATCH(MID(INDEX('Structured 2025'!headerRow,1,COLUMN()),4,LEN(INDEX('Structured 2025'!headerRow,1,COLUMN()))),ovrHeaderRow25,0))</f>
        <v>70.5</v>
      </c>
      <c r="CF6" s="12">
        <f>INDEX(ovrTable25,MATCH(INDEX(oppCol,ROW()),ovrTeamCol25,0),MATCH(MID(INDEX('Structured 2025'!headerRow,1,COLUMN()),4,LEN(INDEX('Structured 2025'!headerRow,1,COLUMN()))),ovrHeaderRow25,0))</f>
        <v>10.17</v>
      </c>
      <c r="CG6" s="12">
        <f>INDEX(ovrTable25,MATCH(INDEX(oppCol,ROW()),ovrTeamCol25,0),MATCH(MID(INDEX('Structured 2025'!headerRow,1,COLUMN()),4,LEN(INDEX('Structured 2025'!headerRow,1,COLUMN()))),ovrHeaderRow25,0))</f>
        <v>70.099999999999994</v>
      </c>
      <c r="CH6" s="12">
        <f>INDEX(ovrTable25,MATCH(INDEX(oppCol,ROW()),ovrTeamCol25,0),MATCH(MID(INDEX('Structured 2025'!headerRow,1,COLUMN()),4,LEN(INDEX('Structured 2025'!headerRow,1,COLUMN()))),ovrHeaderRow25,0))</f>
        <v>4.0999999999999996</v>
      </c>
      <c r="CI6" s="12">
        <f>INDEX(ovrTable25,MATCH(INDEX(oppCol,ROW()),ovrTeamCol25,0),MATCH(MID(INDEX('Structured 2025'!headerRow,1,COLUMN()),4,LEN(INDEX('Structured 2025'!headerRow,1,COLUMN()))),ovrHeaderRow25,0))</f>
        <v>37.5</v>
      </c>
      <c r="CJ6" s="12">
        <f>INDEX(ovrTable25,MATCH(INDEX(oppCol,ROW()),ovrTeamCol25,0),MATCH(MID(INDEX('Structured 2025'!headerRow,1,COLUMN()),4,LEN(INDEX('Structured 2025'!headerRow,1,COLUMN()))),ovrHeaderRow25,0))</f>
        <v>-0.4</v>
      </c>
      <c r="CK6" s="12">
        <f>INDEX(ovrTable25,MATCH(INDEX(oppCol,ROW()),ovrTeamCol25,0),MATCH(MID(INDEX('Structured 2025'!headerRow,1,COLUMN()),4,LEN(INDEX('Structured 2025'!headerRow,1,COLUMN()))),ovrHeaderRow25,0))</f>
        <v>6</v>
      </c>
      <c r="CL6" s="12">
        <f>INDEX(ovrTable25,MATCH(INDEX(oppCol,ROW()),ovrTeamCol25,0),MATCH(MID(INDEX('Structured 2025'!headerRow,1,COLUMN()),4,LEN(INDEX('Structured 2025'!headerRow,1,COLUMN()))),ovrHeaderRow25,0))</f>
        <v>-3.9</v>
      </c>
      <c r="CM6" s="12">
        <f>INDEX(ovrTable25,MATCH(INDEX(oppCol,ROW()),ovrTeamCol25,0),MATCH(MID(INDEX('Structured 2025'!headerRow,1,COLUMN()),4,LEN(INDEX('Structured 2025'!headerRow,1,COLUMN()))),ovrHeaderRow25,0))</f>
        <v>11</v>
      </c>
      <c r="CN6" s="12">
        <f>INDEX(ovrTable25,MATCH(INDEX(oppCol,ROW()),ovrTeamCol25,0),MATCH(MID(INDEX('Structured 2025'!headerRow,1,COLUMN()),4,LEN(INDEX('Structured 2025'!headerRow,1,COLUMN()))),ovrHeaderRow25,0))</f>
        <v>14.9</v>
      </c>
      <c r="CO6" s="12">
        <f>INDEX(ovrTable25,MATCH(INDEX(oppCol,ROW()),ovrTeamCol25,0),MATCH(MID(INDEX('Structured 2025'!headerRow,1,COLUMN()),4,LEN(INDEX('Structured 2025'!headerRow,1,COLUMN()))),ovrHeaderRow25,0))</f>
        <v>67.8</v>
      </c>
      <c r="CP6" s="12">
        <f>INDEX(ovrTable25,MATCH(INDEX(oppCol,ROW()),ovrTeamCol25,0),MATCH(MID(INDEX('Structured 2025'!headerRow,1,COLUMN()),4,LEN(INDEX('Structured 2025'!headerRow,1,COLUMN()))),ovrHeaderRow25,0))</f>
        <v>16.799999999999997</v>
      </c>
      <c r="CQ6" s="12">
        <f>INDEX(ovrTable25,MATCH(INDEX(oppCol,ROW()),ovrTeamCol25,0),MATCH(MID(INDEX('Structured 2025'!headerRow,1,COLUMN()),4,LEN(INDEX('Structured 2025'!headerRow,1,COLUMN()))),ovrHeaderRow25,0))</f>
        <v>56.009070294784571</v>
      </c>
    </row>
    <row r="7" spans="1:104" x14ac:dyDescent="0.3">
      <c r="A7" s="6" t="s">
        <v>513</v>
      </c>
      <c r="B7" s="3">
        <v>16</v>
      </c>
      <c r="C7" s="13" t="str">
        <f>A6</f>
        <v>AMER</v>
      </c>
      <c r="D7" s="14">
        <v>3</v>
      </c>
      <c r="E7" s="23">
        <v>0.37142857142857144</v>
      </c>
      <c r="F7" s="24">
        <v>57.692307692307686</v>
      </c>
      <c r="G7" s="24">
        <v>9</v>
      </c>
      <c r="H7" s="23">
        <v>40.909090909090914</v>
      </c>
      <c r="I7" s="24">
        <v>22</v>
      </c>
      <c r="J7" s="25">
        <v>1.4166666666666667</v>
      </c>
      <c r="K7" s="24">
        <v>14</v>
      </c>
      <c r="L7" s="24">
        <v>17</v>
      </c>
      <c r="M7" s="24">
        <v>7</v>
      </c>
      <c r="N7" s="24">
        <v>24</v>
      </c>
      <c r="O7" s="24">
        <v>17</v>
      </c>
      <c r="P7" s="24">
        <v>6</v>
      </c>
      <c r="Q7" s="24">
        <v>3</v>
      </c>
      <c r="R7" s="24">
        <v>12</v>
      </c>
      <c r="S7" s="24">
        <v>2</v>
      </c>
      <c r="T7" s="24">
        <v>13</v>
      </c>
      <c r="U7" s="24">
        <v>13</v>
      </c>
      <c r="V7" s="24">
        <v>0.47368421052631576</v>
      </c>
      <c r="W7" s="26">
        <v>0.66346153846153832</v>
      </c>
      <c r="X7" s="23">
        <v>82.35294117647058</v>
      </c>
      <c r="Y7" s="24">
        <v>72</v>
      </c>
      <c r="Z7" s="24">
        <v>83</v>
      </c>
      <c r="AA7" s="24">
        <v>5</v>
      </c>
      <c r="AB7" s="24">
        <v>31</v>
      </c>
      <c r="AC7" s="24">
        <v>11</v>
      </c>
      <c r="AD7" s="24">
        <v>1</v>
      </c>
      <c r="AE7" s="24">
        <v>13</v>
      </c>
      <c r="AF7" s="34">
        <f t="shared" si="0"/>
        <v>21</v>
      </c>
      <c r="AG7" s="34">
        <f t="shared" si="1"/>
        <v>30.000000000000007</v>
      </c>
      <c r="AH7" s="46">
        <f t="shared" si="2"/>
        <v>65.075000000000003</v>
      </c>
      <c r="AI7" s="51">
        <f t="shared" ref="AI7" si="6">AVERAGE(AH6,AH7)</f>
        <v>65.4375</v>
      </c>
      <c r="AJ7" s="12">
        <f>INDEX(ovrTable25,MATCH(INDEX('Structured 2025'!teamCol,ROW()),ovrTeamCol25,0),MATCH(MID(INDEX('Structured 2025'!headerRow,1,COLUMN()),4,LEN(INDEX('Structured 2025'!headerRow,1,COLUMN()))),ovrHeaderRow25,0))</f>
        <v>31.6</v>
      </c>
      <c r="AK7" s="12">
        <f>INDEX(ovrTable25,MATCH(INDEX('Structured 2025'!teamCol,ROW()),ovrTeamCol25,0),MATCH(MID(INDEX('Structured 2025'!headerRow,1,COLUMN()),4,LEN(INDEX('Structured 2025'!headerRow,1,COLUMN()))),ovrHeaderRow25,0))</f>
        <v>7.9</v>
      </c>
      <c r="AL7" s="12">
        <f>INDEX(ovrTable25,MATCH(INDEX('Structured 2025'!teamCol,ROW()),ovrTeamCol25,0),MATCH(MID(INDEX('Structured 2025'!headerRow,1,COLUMN()),4,LEN(INDEX('Structured 2025'!headerRow,1,COLUMN()))),ovrHeaderRow25,0))</f>
        <v>34.5</v>
      </c>
      <c r="AM7" s="12">
        <f>INDEX(ovrTable25,MATCH(INDEX('Structured 2025'!teamCol,ROW()),ovrTeamCol25,0),MATCH(MID(INDEX('Structured 2025'!headerRow,1,COLUMN()),4,LEN(INDEX('Structured 2025'!headerRow,1,COLUMN()))),ovrHeaderRow25,0))</f>
        <v>23</v>
      </c>
      <c r="AN7" s="12">
        <f>INDEX(ovrTable25,MATCH(INDEX('Structured 2025'!teamCol,ROW()),ovrTeamCol25,0),MATCH(MID(INDEX('Structured 2025'!headerRow,1,COLUMN()),4,LEN(INDEX('Structured 2025'!headerRow,1,COLUMN()))),ovrHeaderRow25,0))</f>
        <v>1</v>
      </c>
      <c r="AO7" s="12">
        <f>INDEX(ovrTable25,MATCH(INDEX('Structured 2025'!teamCol,ROW()),ovrTeamCol25,0),MATCH(MID(INDEX('Structured 2025'!headerRow,1,COLUMN()),4,LEN(INDEX('Structured 2025'!headerRow,1,COLUMN()))),ovrHeaderRow25,0))</f>
        <v>14.9</v>
      </c>
      <c r="AP7" s="12">
        <f>INDEX(ovrTable25,MATCH(INDEX('Structured 2025'!teamCol,ROW()),ovrTeamCol25,0),MATCH(MID(INDEX('Structured 2025'!headerRow,1,COLUMN()),4,LEN(INDEX('Structured 2025'!headerRow,1,COLUMN()))),ovrHeaderRow25,0))</f>
        <v>19.14</v>
      </c>
      <c r="AQ7" s="12">
        <f>INDEX(ovrTable25,MATCH(INDEX('Structured 2025'!teamCol,ROW()),ovrTeamCol25,0),MATCH(MID(INDEX('Structured 2025'!headerRow,1,COLUMN()),4,LEN(INDEX('Structured 2025'!headerRow,1,COLUMN()))),ovrHeaderRow25,0))</f>
        <v>2.8</v>
      </c>
      <c r="AR7" s="12">
        <f>INDEX(ovrTable25,MATCH(INDEX('Structured 2025'!teamCol,ROW()),ovrTeamCol25,0),MATCH(MID(INDEX('Structured 2025'!headerRow,1,COLUMN()),4,LEN(INDEX('Structured 2025'!headerRow,1,COLUMN()))),ovrHeaderRow25,0))</f>
        <v>41.1</v>
      </c>
      <c r="AS7" s="12">
        <f>INDEX(ovrTable25,MATCH(INDEX('Structured 2025'!teamCol,ROW()),ovrTeamCol25,0),MATCH(MID(INDEX('Structured 2025'!headerRow,1,COLUMN()),4,LEN(INDEX('Structured 2025'!headerRow,1,COLUMN()))),ovrHeaderRow25,0))</f>
        <v>27.33</v>
      </c>
      <c r="AT7" s="12">
        <f>INDEX(ovrTable25,MATCH(INDEX('Structured 2025'!teamCol,ROW()),ovrTeamCol25,0),MATCH(MID(INDEX('Structured 2025'!headerRow,1,COLUMN()),4,LEN(INDEX('Structured 2025'!headerRow,1,COLUMN()))),ovrHeaderRow25,0))</f>
        <v>0.51200000000000001</v>
      </c>
      <c r="AU7" s="12">
        <f>INDEX(ovrTable25,MATCH(INDEX('Structured 2025'!teamCol,ROW()),ovrTeamCol25,0),MATCH(MID(INDEX('Structured 2025'!headerRow,1,COLUMN()),4,LEN(INDEX('Structured 2025'!headerRow,1,COLUMN()))),ovrHeaderRow25,0))</f>
        <v>7.97</v>
      </c>
      <c r="AV7" s="12">
        <f>INDEX(ovrTable25,MATCH(INDEX('Structured 2025'!teamCol,ROW()),ovrTeamCol25,0),MATCH(MID(INDEX('Structured 2025'!headerRow,1,COLUMN()),4,LEN(INDEX('Structured 2025'!headerRow,1,COLUMN()))),ovrHeaderRow25,0))</f>
        <v>44.1</v>
      </c>
      <c r="AW7" s="12">
        <f>INDEX(ovrTable25,MATCH(INDEX('Structured 2025'!teamCol,ROW()),ovrTeamCol25,0),MATCH(MID(INDEX('Structured 2025'!headerRow,1,COLUMN()),4,LEN(INDEX('Structured 2025'!headerRow,1,COLUMN()))),ovrHeaderRow25,0))</f>
        <v>15.6</v>
      </c>
      <c r="AX7" s="12">
        <f>INDEX(ovrTable25,MATCH(INDEX('Structured 2025'!teamCol,ROW()),ovrTeamCol25,0),MATCH(MID(INDEX('Structured 2025'!headerRow,1,COLUMN()),4,LEN(INDEX('Structured 2025'!headerRow,1,COLUMN()))),ovrHeaderRow25,0))</f>
        <v>73.599999999999994</v>
      </c>
      <c r="AY7" s="12">
        <f>INDEX(ovrTable25,MATCH(INDEX('Structured 2025'!teamCol,ROW()),ovrTeamCol25,0),MATCH(MID(INDEX('Structured 2025'!headerRow,1,COLUMN()),4,LEN(INDEX('Structured 2025'!headerRow,1,COLUMN()))),ovrHeaderRow25,0))</f>
        <v>17.399999999999999</v>
      </c>
      <c r="AZ7" s="12">
        <f>INDEX(ovrTable25,MATCH(INDEX('Structured 2025'!teamCol,ROW()),ovrTeamCol25,0),MATCH(MID(INDEX('Structured 2025'!headerRow,1,COLUMN()),4,LEN(INDEX('Structured 2025'!headerRow,1,COLUMN()))),ovrHeaderRow25,0))</f>
        <v>12.8</v>
      </c>
      <c r="BA7" s="12">
        <f>INDEX(ovrTable25,MATCH(INDEX('Structured 2025'!teamCol,ROW()),ovrTeamCol25,0),MATCH(MID(INDEX('Structured 2025'!headerRow,1,COLUMN()),4,LEN(INDEX('Structured 2025'!headerRow,1,COLUMN()))),ovrHeaderRow25,0))</f>
        <v>70.5</v>
      </c>
      <c r="BB7" s="12">
        <f>INDEX(ovrTable25,MATCH(INDEX('Structured 2025'!teamCol,ROW()),ovrTeamCol25,0),MATCH(MID(INDEX('Structured 2025'!headerRow,1,COLUMN()),4,LEN(INDEX('Structured 2025'!headerRow,1,COLUMN()))),ovrHeaderRow25,0))</f>
        <v>10.17</v>
      </c>
      <c r="BC7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D7" s="12">
        <f>INDEX(ovrTable25,MATCH(INDEX('Structured 2025'!teamCol,ROW()),ovrTeamCol25,0),MATCH(MID(INDEX('Structured 2025'!headerRow,1,COLUMN()),4,LEN(INDEX('Structured 2025'!headerRow,1,COLUMN()))),ovrHeaderRow25,0))</f>
        <v>4.0999999999999996</v>
      </c>
      <c r="BE7" s="12">
        <f>INDEX(ovrTable25,MATCH(INDEX('Structured 2025'!teamCol,ROW()),ovrTeamCol25,0),MATCH(MID(INDEX('Structured 2025'!headerRow,1,COLUMN()),4,LEN(INDEX('Structured 2025'!headerRow,1,COLUMN()))),ovrHeaderRow25,0))</f>
        <v>37.5</v>
      </c>
      <c r="BF7" s="12">
        <f>INDEX(ovrTable25,MATCH(INDEX('Structured 2025'!teamCol,ROW()),ovrTeamCol25,0),MATCH(MID(INDEX('Structured 2025'!headerRow,1,COLUMN()),4,LEN(INDEX('Structured 2025'!headerRow,1,COLUMN()))),ovrHeaderRow25,0))</f>
        <v>-0.4</v>
      </c>
      <c r="BG7" s="12">
        <f>INDEX(ovrTable25,MATCH(INDEX('Structured 2025'!teamCol,ROW()),ovrTeamCol25,0),MATCH(MID(INDEX('Structured 2025'!headerRow,1,COLUMN()),4,LEN(INDEX('Structured 2025'!headerRow,1,COLUMN()))),ovrHeaderRow25,0))</f>
        <v>6</v>
      </c>
      <c r="BH7" s="12">
        <f>INDEX(ovrTable25,MATCH(INDEX('Structured 2025'!teamCol,ROW()),ovrTeamCol25,0),MATCH(MID(INDEX('Structured 2025'!headerRow,1,COLUMN()),4,LEN(INDEX('Structured 2025'!headerRow,1,COLUMN()))),ovrHeaderRow25,0))</f>
        <v>-3.9</v>
      </c>
      <c r="BI7" s="12">
        <f>INDEX(ovrTable25,MATCH(INDEX('Structured 2025'!teamCol,ROW()),ovrTeamCol25,0),MATCH(MID(INDEX('Structured 2025'!headerRow,1,COLUMN()),4,LEN(INDEX('Structured 2025'!headerRow,1,COLUMN()))),ovrHeaderRow25,0))</f>
        <v>11</v>
      </c>
      <c r="BJ7" s="12">
        <f>INDEX(ovrTable25,MATCH(INDEX('Structured 2025'!teamCol,ROW()),ovrTeamCol25,0),MATCH(MID(INDEX('Structured 2025'!headerRow,1,COLUMN()),4,LEN(INDEX('Structured 2025'!headerRow,1,COLUMN()))),ovrHeaderRow25,0))</f>
        <v>14.9</v>
      </c>
      <c r="BK7" s="12">
        <f>INDEX(ovrTable25,MATCH(INDEX('Structured 2025'!teamCol,ROW()),ovrTeamCol25,0),MATCH(MID(INDEX('Structured 2025'!headerRow,1,COLUMN()),4,LEN(INDEX('Structured 2025'!headerRow,1,COLUMN()))),ovrHeaderRow25,0))</f>
        <v>67.8</v>
      </c>
      <c r="BL7" s="12">
        <f>INDEX(ovrTable25,MATCH(INDEX('Structured 2025'!teamCol,ROW()),ovrTeamCol25,0),MATCH(MID(INDEX('Structured 2025'!headerRow,1,COLUMN()),4,LEN(INDEX('Structured 2025'!headerRow,1,COLUMN()))),ovrHeaderRow25,0))</f>
        <v>16.799999999999997</v>
      </c>
      <c r="BM7" s="12">
        <f>INDEX(ovrTable25,MATCH(INDEX('Structured 2025'!teamCol,ROW()),ovrTeamCol25,0),MATCH(MID(INDEX('Structured 2025'!headerRow,1,COLUMN()),4,LEN(INDEX('Structured 2025'!headerRow,1,COLUMN()))),ovrHeaderRow25,0))</f>
        <v>56.009070294784571</v>
      </c>
      <c r="BN7" s="12">
        <f>INDEX(ovrTable25,MATCH(INDEX(oppCol,ROW()),ovrTeamCol25,0),MATCH(MID(INDEX('Structured 2025'!headerRow,1,COLUMN()),4,LEN(INDEX('Structured 2025'!headerRow,1,COLUMN()))),ovrHeaderRow25,0))</f>
        <v>33.1</v>
      </c>
      <c r="BO7" s="12">
        <f>INDEX(ovrTable25,MATCH(INDEX(oppCol,ROW()),ovrTeamCol25,0),MATCH(MID(INDEX('Structured 2025'!headerRow,1,COLUMN()),4,LEN(INDEX('Structured 2025'!headerRow,1,COLUMN()))),ovrHeaderRow25,0))</f>
        <v>8.5</v>
      </c>
      <c r="BP7" s="12">
        <f>INDEX(ovrTable25,MATCH(INDEX(oppCol,ROW()),ovrTeamCol25,0),MATCH(MID(INDEX('Structured 2025'!headerRow,1,COLUMN()),4,LEN(INDEX('Structured 2025'!headerRow,1,COLUMN()))),ovrHeaderRow25,0))</f>
        <v>34.799999999999997</v>
      </c>
      <c r="BQ7" s="12">
        <f>INDEX(ovrTable25,MATCH(INDEX(oppCol,ROW()),ovrTeamCol25,0),MATCH(MID(INDEX('Structured 2025'!headerRow,1,COLUMN()),4,LEN(INDEX('Structured 2025'!headerRow,1,COLUMN()))),ovrHeaderRow25,0))</f>
        <v>24.5</v>
      </c>
      <c r="BR7" s="12">
        <f>INDEX(ovrTable25,MATCH(INDEX(oppCol,ROW()),ovrTeamCol25,0),MATCH(MID(INDEX('Structured 2025'!headerRow,1,COLUMN()),4,LEN(INDEX('Structured 2025'!headerRow,1,COLUMN()))),ovrHeaderRow25,0))</f>
        <v>1.1299999999999999</v>
      </c>
      <c r="BS7" s="12">
        <f>INDEX(ovrTable25,MATCH(INDEX(oppCol,ROW()),ovrTeamCol25,0),MATCH(MID(INDEX('Structured 2025'!headerRow,1,COLUMN()),4,LEN(INDEX('Structured 2025'!headerRow,1,COLUMN()))),ovrHeaderRow25,0))</f>
        <v>12.6</v>
      </c>
      <c r="BT7" s="12">
        <f>INDEX(ovrTable25,MATCH(INDEX(oppCol,ROW()),ovrTeamCol25,0),MATCH(MID(INDEX('Structured 2025'!headerRow,1,COLUMN()),4,LEN(INDEX('Structured 2025'!headerRow,1,COLUMN()))),ovrHeaderRow25,0))</f>
        <v>15.74</v>
      </c>
      <c r="BU7" s="12">
        <f>INDEX(ovrTable25,MATCH(INDEX(oppCol,ROW()),ovrTeamCol25,0),MATCH(MID(INDEX('Structured 2025'!headerRow,1,COLUMN()),4,LEN(INDEX('Structured 2025'!headerRow,1,COLUMN()))),ovrHeaderRow25,0))</f>
        <v>1.9</v>
      </c>
      <c r="BV7" s="12">
        <f>INDEX(ovrTable25,MATCH(INDEX(oppCol,ROW()),ovrTeamCol25,0),MATCH(MID(INDEX('Structured 2025'!headerRow,1,COLUMN()),4,LEN(INDEX('Structured 2025'!headerRow,1,COLUMN()))),ovrHeaderRow25,0))</f>
        <v>45.7</v>
      </c>
      <c r="BW7" s="12">
        <f>INDEX(ovrTable25,MATCH(INDEX(oppCol,ROW()),ovrTeamCol25,0),MATCH(MID(INDEX('Structured 2025'!headerRow,1,COLUMN()),4,LEN(INDEX('Structured 2025'!headerRow,1,COLUMN()))),ovrHeaderRow25,0))</f>
        <v>22.49</v>
      </c>
      <c r="BX7" s="12">
        <f>INDEX(ovrTable25,MATCH(INDEX(oppCol,ROW()),ovrTeamCol25,0),MATCH(MID(INDEX('Structured 2025'!headerRow,1,COLUMN()),4,LEN(INDEX('Structured 2025'!headerRow,1,COLUMN()))),ovrHeaderRow25,0))</f>
        <v>0.52300000000000002</v>
      </c>
      <c r="BY7" s="12">
        <f>INDEX(ovrTable25,MATCH(INDEX(oppCol,ROW()),ovrTeamCol25,0),MATCH(MID(INDEX('Structured 2025'!headerRow,1,COLUMN()),4,LEN(INDEX('Structured 2025'!headerRow,1,COLUMN()))),ovrHeaderRow25,0))</f>
        <v>8.89</v>
      </c>
      <c r="BZ7" s="12">
        <f>INDEX(ovrTable25,MATCH(INDEX(oppCol,ROW()),ovrTeamCol25,0),MATCH(MID(INDEX('Structured 2025'!headerRow,1,COLUMN()),4,LEN(INDEX('Structured 2025'!headerRow,1,COLUMN()))),ovrHeaderRow25,0))</f>
        <v>44.4</v>
      </c>
      <c r="CA7" s="12">
        <f>INDEX(ovrTable25,MATCH(INDEX(oppCol,ROW()),ovrTeamCol25,0),MATCH(MID(INDEX('Structured 2025'!headerRow,1,COLUMN()),4,LEN(INDEX('Structured 2025'!headerRow,1,COLUMN()))),ovrHeaderRow25,0))</f>
        <v>17.899999999999999</v>
      </c>
      <c r="CB7" s="12">
        <f>INDEX(ovrTable25,MATCH(INDEX(oppCol,ROW()),ovrTeamCol25,0),MATCH(MID(INDEX('Structured 2025'!headerRow,1,COLUMN()),4,LEN(INDEX('Structured 2025'!headerRow,1,COLUMN()))),ovrHeaderRow25,0))</f>
        <v>75.400000000000006</v>
      </c>
      <c r="CC7" s="12">
        <f>INDEX(ovrTable25,MATCH(INDEX(oppCol,ROW()),ovrTeamCol25,0),MATCH(MID(INDEX('Structured 2025'!headerRow,1,COLUMN()),4,LEN(INDEX('Structured 2025'!headerRow,1,COLUMN()))),ovrHeaderRow25,0))</f>
        <v>16.2</v>
      </c>
      <c r="CD7" s="12">
        <f>INDEX(ovrTable25,MATCH(INDEX(oppCol,ROW()),ovrTeamCol25,0),MATCH(MID(INDEX('Structured 2025'!headerRow,1,COLUMN()),4,LEN(INDEX('Structured 2025'!headerRow,1,COLUMN()))),ovrHeaderRow25,0))</f>
        <v>12.2</v>
      </c>
      <c r="CE7" s="12">
        <f>INDEX(ovrTable25,MATCH(INDEX(oppCol,ROW()),ovrTeamCol25,0),MATCH(MID(INDEX('Structured 2025'!headerRow,1,COLUMN()),4,LEN(INDEX('Structured 2025'!headerRow,1,COLUMN()))),ovrHeaderRow25,0))</f>
        <v>67.7</v>
      </c>
      <c r="CF7" s="12">
        <f>INDEX(ovrTable25,MATCH(INDEX(oppCol,ROW()),ovrTeamCol25,0),MATCH(MID(INDEX('Structured 2025'!headerRow,1,COLUMN()),4,LEN(INDEX('Structured 2025'!headerRow,1,COLUMN()))),ovrHeaderRow25,0))</f>
        <v>7.71</v>
      </c>
      <c r="CG7" s="12">
        <f>INDEX(ovrTable25,MATCH(INDEX(oppCol,ROW()),ovrTeamCol25,0),MATCH(MID(INDEX('Structured 2025'!headerRow,1,COLUMN()),4,LEN(INDEX('Structured 2025'!headerRow,1,COLUMN()))),ovrHeaderRow25,0))</f>
        <v>68.7</v>
      </c>
      <c r="CH7" s="12">
        <f>INDEX(ovrTable25,MATCH(INDEX(oppCol,ROW()),ovrTeamCol25,0),MATCH(MID(INDEX('Structured 2025'!headerRow,1,COLUMN()),4,LEN(INDEX('Structured 2025'!headerRow,1,COLUMN()))),ovrHeaderRow25,0))</f>
        <v>-2.1</v>
      </c>
      <c r="CI7" s="12">
        <f>INDEX(ovrTable25,MATCH(INDEX(oppCol,ROW()),ovrTeamCol25,0),MATCH(MID(INDEX('Structured 2025'!headerRow,1,COLUMN()),4,LEN(INDEX('Structured 2025'!headerRow,1,COLUMN()))),ovrHeaderRow25,0))</f>
        <v>30.2</v>
      </c>
      <c r="CJ7" s="12">
        <f>INDEX(ovrTable25,MATCH(INDEX(oppCol,ROW()),ovrTeamCol25,0),MATCH(MID(INDEX('Structured 2025'!headerRow,1,COLUMN()),4,LEN(INDEX('Structured 2025'!headerRow,1,COLUMN()))),ovrHeaderRow25,0))</f>
        <v>1</v>
      </c>
      <c r="CK7" s="12">
        <f>INDEX(ovrTable25,MATCH(INDEX(oppCol,ROW()),ovrTeamCol25,0),MATCH(MID(INDEX('Structured 2025'!headerRow,1,COLUMN()),4,LEN(INDEX('Structured 2025'!headerRow,1,COLUMN()))),ovrHeaderRow25,0))</f>
        <v>6.5</v>
      </c>
      <c r="CL7" s="12">
        <f>INDEX(ovrTable25,MATCH(INDEX(oppCol,ROW()),ovrTeamCol25,0),MATCH(MID(INDEX('Structured 2025'!headerRow,1,COLUMN()),4,LEN(INDEX('Structured 2025'!headerRow,1,COLUMN()))),ovrHeaderRow25,0))</f>
        <v>0.8</v>
      </c>
      <c r="CM7" s="12">
        <f>INDEX(ovrTable25,MATCH(INDEX(oppCol,ROW()),ovrTeamCol25,0),MATCH(MID(INDEX('Structured 2025'!headerRow,1,COLUMN()),4,LEN(INDEX('Structured 2025'!headerRow,1,COLUMN()))),ovrHeaderRow25,0))</f>
        <v>11.94</v>
      </c>
      <c r="CN7" s="12">
        <f>INDEX(ovrTable25,MATCH(INDEX(oppCol,ROW()),ovrTeamCol25,0),MATCH(MID(INDEX('Structured 2025'!headerRow,1,COLUMN()),4,LEN(INDEX('Structured 2025'!headerRow,1,COLUMN()))),ovrHeaderRow25,0))</f>
        <v>11.1</v>
      </c>
      <c r="CO7" s="12">
        <f>INDEX(ovrTable25,MATCH(INDEX(oppCol,ROW()),ovrTeamCol25,0),MATCH(MID(INDEX('Structured 2025'!headerRow,1,COLUMN()),4,LEN(INDEX('Structured 2025'!headerRow,1,COLUMN()))),ovrHeaderRow25,0))</f>
        <v>63.8</v>
      </c>
      <c r="CP7" s="12">
        <f>INDEX(ovrTable25,MATCH(INDEX(oppCol,ROW()),ovrTeamCol25,0),MATCH(MID(INDEX('Structured 2025'!headerRow,1,COLUMN()),4,LEN(INDEX('Structured 2025'!headerRow,1,COLUMN()))),ovrHeaderRow25,0))</f>
        <v>15.5</v>
      </c>
      <c r="CQ7" s="12">
        <f>INDEX(ovrTable25,MATCH(INDEX(oppCol,ROW()),ovrTeamCol25,0),MATCH(MID(INDEX('Structured 2025'!headerRow,1,COLUMN()),4,LEN(INDEX('Structured 2025'!headerRow,1,COLUMN()))),ovrHeaderRow25,0))</f>
        <v>54.054054054054056</v>
      </c>
    </row>
    <row r="8" spans="1:104" x14ac:dyDescent="0.3">
      <c r="A8" s="6" t="s">
        <v>6</v>
      </c>
      <c r="B8" s="3">
        <v>11</v>
      </c>
      <c r="C8" s="13" t="str">
        <f>A9</f>
        <v>UNC</v>
      </c>
      <c r="D8" s="14">
        <v>4</v>
      </c>
      <c r="E8" s="23">
        <v>0.58333333333333337</v>
      </c>
      <c r="F8" s="24">
        <v>39.655172413793103</v>
      </c>
      <c r="G8" s="24">
        <v>8</v>
      </c>
      <c r="H8" s="23">
        <v>29.629629629629626</v>
      </c>
      <c r="I8" s="24">
        <v>27</v>
      </c>
      <c r="J8" s="25">
        <v>1</v>
      </c>
      <c r="K8" s="24">
        <v>14</v>
      </c>
      <c r="L8" s="24">
        <v>23</v>
      </c>
      <c r="M8" s="24">
        <v>9</v>
      </c>
      <c r="N8" s="24">
        <v>19</v>
      </c>
      <c r="O8" s="24">
        <v>11</v>
      </c>
      <c r="P8" s="24">
        <v>7</v>
      </c>
      <c r="Q8" s="24">
        <v>5</v>
      </c>
      <c r="R8" s="24">
        <v>11</v>
      </c>
      <c r="S8" s="24">
        <v>9</v>
      </c>
      <c r="T8" s="24">
        <v>16</v>
      </c>
      <c r="U8" s="24">
        <v>28</v>
      </c>
      <c r="V8" s="24">
        <v>0.52631578947368418</v>
      </c>
      <c r="W8" s="26">
        <v>0.46551724137931033</v>
      </c>
      <c r="X8" s="23">
        <v>60.869565217391312</v>
      </c>
      <c r="Y8" s="24">
        <v>95</v>
      </c>
      <c r="Z8" s="24">
        <v>68</v>
      </c>
      <c r="AA8" s="24">
        <v>-11</v>
      </c>
      <c r="AB8" s="24">
        <v>28</v>
      </c>
      <c r="AC8" s="24">
        <v>-27</v>
      </c>
      <c r="AD8" s="24">
        <v>0</v>
      </c>
      <c r="AE8" s="24">
        <v>11</v>
      </c>
      <c r="AF8" s="34">
        <f t="shared" si="0"/>
        <v>15</v>
      </c>
      <c r="AG8" s="34">
        <f t="shared" si="1"/>
        <v>31</v>
      </c>
      <c r="AH8" s="46">
        <f t="shared" si="2"/>
        <v>70.924999999999997</v>
      </c>
      <c r="AI8" s="51">
        <f t="shared" ref="AI8" si="7">AVERAGE(AH8,AH9)</f>
        <v>70.162499999999994</v>
      </c>
      <c r="AJ8" s="12">
        <f>INDEX(ovrTable25,MATCH(INDEX('Structured 2025'!teamCol,ROW()),ovrTeamCol25,0),MATCH(MID(INDEX('Structured 2025'!headerRow,1,COLUMN()),4,LEN(INDEX('Structured 2025'!headerRow,1,COLUMN()))),ovrHeaderRow25,0))</f>
        <v>31.1</v>
      </c>
      <c r="AK8" s="12">
        <f>INDEX(ovrTable25,MATCH(INDEX('Structured 2025'!teamCol,ROW()),ovrTeamCol25,0),MATCH(MID(INDEX('Structured 2025'!headerRow,1,COLUMN()),4,LEN(INDEX('Structured 2025'!headerRow,1,COLUMN()))),ovrHeaderRow25,0))</f>
        <v>7.7</v>
      </c>
      <c r="AL8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M8" s="12">
        <f>INDEX(ovrTable25,MATCH(INDEX('Structured 2025'!teamCol,ROW()),ovrTeamCol25,0),MATCH(MID(INDEX('Structured 2025'!headerRow,1,COLUMN()),4,LEN(INDEX('Structured 2025'!headerRow,1,COLUMN()))),ovrHeaderRow25,0))</f>
        <v>23.1</v>
      </c>
      <c r="AN8" s="12">
        <f>INDEX(ovrTable25,MATCH(INDEX('Structured 2025'!teamCol,ROW()),ovrTeamCol25,0),MATCH(MID(INDEX('Structured 2025'!headerRow,1,COLUMN()),4,LEN(INDEX('Structured 2025'!headerRow,1,COLUMN()))),ovrHeaderRow25,0))</f>
        <v>1.19</v>
      </c>
      <c r="AO8" s="12">
        <f>INDEX(ovrTable25,MATCH(INDEX('Structured 2025'!teamCol,ROW()),ovrTeamCol25,0),MATCH(MID(INDEX('Structured 2025'!headerRow,1,COLUMN()),4,LEN(INDEX('Structured 2025'!headerRow,1,COLUMN()))),ovrHeaderRow25,0))</f>
        <v>13</v>
      </c>
      <c r="AP8" s="12">
        <f>INDEX(ovrTable25,MATCH(INDEX('Structured 2025'!teamCol,ROW()),ovrTeamCol25,0),MATCH(MID(INDEX('Structured 2025'!headerRow,1,COLUMN()),4,LEN(INDEX('Structured 2025'!headerRow,1,COLUMN()))),ovrHeaderRow25,0))</f>
        <v>20.52</v>
      </c>
      <c r="AQ8" s="12">
        <f>INDEX(ovrTable25,MATCH(INDEX('Structured 2025'!teamCol,ROW()),ovrTeamCol25,0),MATCH(MID(INDEX('Structured 2025'!headerRow,1,COLUMN()),4,LEN(INDEX('Structured 2025'!headerRow,1,COLUMN()))),ovrHeaderRow25,0))</f>
        <v>5.5</v>
      </c>
      <c r="AR8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S8" s="12">
        <f>INDEX(ovrTable25,MATCH(INDEX('Structured 2025'!teamCol,ROW()),ovrTeamCol25,0),MATCH(MID(INDEX('Structured 2025'!headerRow,1,COLUMN()),4,LEN(INDEX('Structured 2025'!headerRow,1,COLUMN()))),ovrHeaderRow25,0))</f>
        <v>25.03</v>
      </c>
      <c r="AT8" s="12">
        <f>INDEX(ovrTable25,MATCH(INDEX('Structured 2025'!teamCol,ROW()),ovrTeamCol25,0),MATCH(MID(INDEX('Structured 2025'!headerRow,1,COLUMN()),4,LEN(INDEX('Structured 2025'!headerRow,1,COLUMN()))),ovrHeaderRow25,0))</f>
        <v>0.50900000000000001</v>
      </c>
      <c r="AU8" s="12">
        <f>INDEX(ovrTable25,MATCH(INDEX('Structured 2025'!teamCol,ROW()),ovrTeamCol25,0),MATCH(MID(INDEX('Structured 2025'!headerRow,1,COLUMN()),4,LEN(INDEX('Structured 2025'!headerRow,1,COLUMN()))),ovrHeaderRow25,0))</f>
        <v>8.9700000000000006</v>
      </c>
      <c r="AV8" s="12">
        <f>INDEX(ovrTable25,MATCH(INDEX('Structured 2025'!teamCol,ROW()),ovrTeamCol25,0),MATCH(MID(INDEX('Structured 2025'!headerRow,1,COLUMN()),4,LEN(INDEX('Structured 2025'!headerRow,1,COLUMN()))),ovrHeaderRow25,0))</f>
        <v>44.2</v>
      </c>
      <c r="AW8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AX8" s="12">
        <f>INDEX(ovrTable25,MATCH(INDEX('Structured 2025'!teamCol,ROW()),ovrTeamCol25,0),MATCH(MID(INDEX('Structured 2025'!headerRow,1,COLUMN()),4,LEN(INDEX('Structured 2025'!headerRow,1,COLUMN()))),ovrHeaderRow25,0))</f>
        <v>66.400000000000006</v>
      </c>
      <c r="AY8" s="12">
        <f>INDEX(ovrTable25,MATCH(INDEX('Structured 2025'!teamCol,ROW()),ovrTeamCol25,0),MATCH(MID(INDEX('Structured 2025'!headerRow,1,COLUMN()),4,LEN(INDEX('Structured 2025'!headerRow,1,COLUMN()))),ovrHeaderRow25,0))</f>
        <v>18.2</v>
      </c>
      <c r="AZ8" s="12">
        <f>INDEX(ovrTable25,MATCH(INDEX('Structured 2025'!teamCol,ROW()),ovrTeamCol25,0),MATCH(MID(INDEX('Structured 2025'!headerRow,1,COLUMN()),4,LEN(INDEX('Structured 2025'!headerRow,1,COLUMN()))),ovrHeaderRow25,0))</f>
        <v>12.1</v>
      </c>
      <c r="BA8" s="12">
        <f>INDEX(ovrTable25,MATCH(INDEX('Structured 2025'!teamCol,ROW()),ovrTeamCol25,0),MATCH(MID(INDEX('Structured 2025'!headerRow,1,COLUMN()),4,LEN(INDEX('Structured 2025'!headerRow,1,COLUMN()))),ovrHeaderRow25,0))</f>
        <v>64.599999999999994</v>
      </c>
      <c r="BB8" s="12">
        <f>INDEX(ovrTable25,MATCH(INDEX('Structured 2025'!teamCol,ROW()),ovrTeamCol25,0),MATCH(MID(INDEX('Structured 2025'!headerRow,1,COLUMN()),4,LEN(INDEX('Structured 2025'!headerRow,1,COLUMN()))),ovrHeaderRow25,0))</f>
        <v>10.130000000000001</v>
      </c>
      <c r="BC8" s="12">
        <f>INDEX(ovrTable25,MATCH(INDEX('Structured 2025'!teamCol,ROW()),ovrTeamCol25,0),MATCH(MID(INDEX('Structured 2025'!headerRow,1,COLUMN()),4,LEN(INDEX('Structured 2025'!headerRow,1,COLUMN()))),ovrHeaderRow25,0))</f>
        <v>70.7</v>
      </c>
      <c r="BD8" s="12">
        <f>INDEX(ovrTable25,MATCH(INDEX('Structured 2025'!teamCol,ROW()),ovrTeamCol25,0),MATCH(MID(INDEX('Structured 2025'!headerRow,1,COLUMN()),4,LEN(INDEX('Structured 2025'!headerRow,1,COLUMN()))),ovrHeaderRow25,0))</f>
        <v>-0.3</v>
      </c>
      <c r="BE8" s="12">
        <f>INDEX(ovrTable25,MATCH(INDEX('Structured 2025'!teamCol,ROW()),ovrTeamCol25,0),MATCH(MID(INDEX('Structured 2025'!headerRow,1,COLUMN()),4,LEN(INDEX('Structured 2025'!headerRow,1,COLUMN()))),ovrHeaderRow25,0))</f>
        <v>35.159999999999997</v>
      </c>
      <c r="BF8" s="12">
        <f>INDEX(ovrTable25,MATCH(INDEX('Structured 2025'!teamCol,ROW()),ovrTeamCol25,0),MATCH(MID(INDEX('Structured 2025'!headerRow,1,COLUMN()),4,LEN(INDEX('Structured 2025'!headerRow,1,COLUMN()))),ovrHeaderRow25,0))</f>
        <v>6.1</v>
      </c>
      <c r="BG8" s="12">
        <f>INDEX(ovrTable25,MATCH(INDEX('Structured 2025'!teamCol,ROW()),ovrTeamCol25,0),MATCH(MID(INDEX('Structured 2025'!headerRow,1,COLUMN()),4,LEN(INDEX('Structured 2025'!headerRow,1,COLUMN()))),ovrHeaderRow25,0))</f>
        <v>7.6</v>
      </c>
      <c r="BH8" s="12">
        <f>INDEX(ovrTable25,MATCH(INDEX('Structured 2025'!teamCol,ROW()),ovrTeamCol25,0),MATCH(MID(INDEX('Structured 2025'!headerRow,1,COLUMN()),4,LEN(INDEX('Structured 2025'!headerRow,1,COLUMN()))),ovrHeaderRow25,0))</f>
        <v>2.2999999999999998</v>
      </c>
      <c r="BI8" s="12">
        <f>INDEX(ovrTable25,MATCH(INDEX('Structured 2025'!teamCol,ROW()),ovrTeamCol25,0),MATCH(MID(INDEX('Structured 2025'!headerRow,1,COLUMN()),4,LEN(INDEX('Structured 2025'!headerRow,1,COLUMN()))),ovrHeaderRow25,0))</f>
        <v>13.29</v>
      </c>
      <c r="BJ8" s="12">
        <f>INDEX(ovrTable25,MATCH(INDEX('Structured 2025'!teamCol,ROW()),ovrTeamCol25,0),MATCH(MID(INDEX('Structured 2025'!headerRow,1,COLUMN()),4,LEN(INDEX('Structured 2025'!headerRow,1,COLUMN()))),ovrHeaderRow25,0))</f>
        <v>11</v>
      </c>
      <c r="BK8" s="12">
        <f>INDEX(ovrTable25,MATCH(INDEX('Structured 2025'!teamCol,ROW()),ovrTeamCol25,0),MATCH(MID(INDEX('Structured 2025'!headerRow,1,COLUMN()),4,LEN(INDEX('Structured 2025'!headerRow,1,COLUMN()))),ovrHeaderRow25,0))</f>
        <v>66.3</v>
      </c>
      <c r="BL8" s="12">
        <f>INDEX(ovrTable25,MATCH(INDEX('Structured 2025'!teamCol,ROW()),ovrTeamCol25,0),MATCH(MID(INDEX('Structured 2025'!headerRow,1,COLUMN()),4,LEN(INDEX('Structured 2025'!headerRow,1,COLUMN()))),ovrHeaderRow25,0))</f>
        <v>17.75</v>
      </c>
      <c r="BM8" s="12">
        <f>INDEX(ovrTable25,MATCH(INDEX('Structured 2025'!teamCol,ROW()),ovrTeamCol25,0),MATCH(MID(INDEX('Structured 2025'!headerRow,1,COLUMN()),4,LEN(INDEX('Structured 2025'!headerRow,1,COLUMN()))),ovrHeaderRow25,0))</f>
        <v>57.579185520361989</v>
      </c>
      <c r="BN8" s="12">
        <f>INDEX(ovrTable25,MATCH(INDEX(oppCol,ROW()),ovrTeamCol25,0),MATCH(MID(INDEX('Structured 2025'!headerRow,1,COLUMN()),4,LEN(INDEX('Structured 2025'!headerRow,1,COLUMN()))),ovrHeaderRow25,0))</f>
        <v>33.5</v>
      </c>
      <c r="BO8" s="12">
        <f>INDEX(ovrTable25,MATCH(INDEX(oppCol,ROW()),ovrTeamCol25,0),MATCH(MID(INDEX('Structured 2025'!headerRow,1,COLUMN()),4,LEN(INDEX('Structured 2025'!headerRow,1,COLUMN()))),ovrHeaderRow25,0))</f>
        <v>8</v>
      </c>
      <c r="BP8" s="12">
        <f>INDEX(ovrTable25,MATCH(INDEX(oppCol,ROW()),ovrTeamCol25,0),MATCH(MID(INDEX('Structured 2025'!headerRow,1,COLUMN()),4,LEN(INDEX('Structured 2025'!headerRow,1,COLUMN()))),ovrHeaderRow25,0))</f>
        <v>35.6</v>
      </c>
      <c r="BQ8" s="12">
        <f>INDEX(ovrTable25,MATCH(INDEX(oppCol,ROW()),ovrTeamCol25,0),MATCH(MID(INDEX('Structured 2025'!headerRow,1,COLUMN()),4,LEN(INDEX('Structured 2025'!headerRow,1,COLUMN()))),ovrHeaderRow25,0))</f>
        <v>22.4</v>
      </c>
      <c r="BR8" s="12">
        <f>INDEX(ovrTable25,MATCH(INDEX(oppCol,ROW()),ovrTeamCol25,0),MATCH(MID(INDEX('Structured 2025'!headerRow,1,COLUMN()),4,LEN(INDEX('Structured 2025'!headerRow,1,COLUMN()))),ovrHeaderRow25,0))</f>
        <v>1.38</v>
      </c>
      <c r="BS8" s="12">
        <f>INDEX(ovrTable25,MATCH(INDEX(oppCol,ROW()),ovrTeamCol25,0),MATCH(MID(INDEX('Structured 2025'!headerRow,1,COLUMN()),4,LEN(INDEX('Structured 2025'!headerRow,1,COLUMN()))),ovrHeaderRow25,0))</f>
        <v>14.8</v>
      </c>
      <c r="BT8" s="12">
        <f>INDEX(ovrTable25,MATCH(INDEX(oppCol,ROW()),ovrTeamCol25,0),MATCH(MID(INDEX('Structured 2025'!headerRow,1,COLUMN()),4,LEN(INDEX('Structured 2025'!headerRow,1,COLUMN()))),ovrHeaderRow25,0))</f>
        <v>23.95</v>
      </c>
      <c r="BU8" s="12">
        <f>INDEX(ovrTable25,MATCH(INDEX(oppCol,ROW()),ovrTeamCol25,0),MATCH(MID(INDEX('Structured 2025'!headerRow,1,COLUMN()),4,LEN(INDEX('Structured 2025'!headerRow,1,COLUMN()))),ovrHeaderRow25,0))</f>
        <v>3.6</v>
      </c>
      <c r="BV8" s="12">
        <f>INDEX(ovrTable25,MATCH(INDEX(oppCol,ROW()),ovrTeamCol25,0),MATCH(MID(INDEX('Structured 2025'!headerRow,1,COLUMN()),4,LEN(INDEX('Structured 2025'!headerRow,1,COLUMN()))),ovrHeaderRow25,0))</f>
        <v>43.2</v>
      </c>
      <c r="BW8" s="12">
        <f>INDEX(ovrTable25,MATCH(INDEX(oppCol,ROW()),ovrTeamCol25,0),MATCH(MID(INDEX('Structured 2025'!headerRow,1,COLUMN()),4,LEN(INDEX('Structured 2025'!headerRow,1,COLUMN()))),ovrHeaderRow25,0))</f>
        <v>26.89</v>
      </c>
      <c r="BX8" s="12">
        <f>INDEX(ovrTable25,MATCH(INDEX(oppCol,ROW()),ovrTeamCol25,0),MATCH(MID(INDEX('Structured 2025'!headerRow,1,COLUMN()),4,LEN(INDEX('Structured 2025'!headerRow,1,COLUMN()))),ovrHeaderRow25,0))</f>
        <v>0.54100000000000004</v>
      </c>
      <c r="BY8" s="12">
        <f>INDEX(ovrTable25,MATCH(INDEX(oppCol,ROW()),ovrTeamCol25,0),MATCH(MID(INDEX('Structured 2025'!headerRow,1,COLUMN()),4,LEN(INDEX('Structured 2025'!headerRow,1,COLUMN()))),ovrHeaderRow25,0))</f>
        <v>12.95</v>
      </c>
      <c r="BZ8" s="12">
        <f>INDEX(ovrTable25,MATCH(INDEX(oppCol,ROW()),ovrTeamCol25,0),MATCH(MID(INDEX('Structured 2025'!headerRow,1,COLUMN()),4,LEN(INDEX('Structured 2025'!headerRow,1,COLUMN()))),ovrHeaderRow25,0))</f>
        <v>47.5</v>
      </c>
      <c r="CA8" s="12">
        <f>INDEX(ovrTable25,MATCH(INDEX(oppCol,ROW()),ovrTeamCol25,0),MATCH(MID(INDEX('Structured 2025'!headerRow,1,COLUMN()),4,LEN(INDEX('Structured 2025'!headerRow,1,COLUMN()))),ovrHeaderRow25,0))</f>
        <v>16.899999999999999</v>
      </c>
      <c r="CB8" s="12">
        <f>INDEX(ovrTable25,MATCH(INDEX(oppCol,ROW()),ovrTeamCol25,0),MATCH(MID(INDEX('Structured 2025'!headerRow,1,COLUMN()),4,LEN(INDEX('Structured 2025'!headerRow,1,COLUMN()))),ovrHeaderRow25,0))</f>
        <v>74.099999999999994</v>
      </c>
      <c r="CC8" s="12">
        <f>INDEX(ovrTable25,MATCH(INDEX(oppCol,ROW()),ovrTeamCol25,0),MATCH(MID(INDEX('Structured 2025'!headerRow,1,COLUMN()),4,LEN(INDEX('Structured 2025'!headerRow,1,COLUMN()))),ovrHeaderRow25,0))</f>
        <v>20.9</v>
      </c>
      <c r="CD8" s="12">
        <f>INDEX(ovrTable25,MATCH(INDEX(oppCol,ROW()),ovrTeamCol25,0),MATCH(MID(INDEX('Structured 2025'!headerRow,1,COLUMN()),4,LEN(INDEX('Structured 2025'!headerRow,1,COLUMN()))),ovrHeaderRow25,0))</f>
        <v>15.5</v>
      </c>
      <c r="CE8" s="12">
        <f>INDEX(ovrTable25,MATCH(INDEX(oppCol,ROW()),ovrTeamCol25,0),MATCH(MID(INDEX('Structured 2025'!headerRow,1,COLUMN()),4,LEN(INDEX('Structured 2025'!headerRow,1,COLUMN()))),ovrHeaderRow25,0))</f>
        <v>74.7</v>
      </c>
      <c r="CF8" s="12">
        <f>INDEX(ovrTable25,MATCH(INDEX(oppCol,ROW()),ovrTeamCol25,0),MATCH(MID(INDEX('Structured 2025'!headerRow,1,COLUMN()),4,LEN(INDEX('Structured 2025'!headerRow,1,COLUMN()))),ovrHeaderRow25,0))</f>
        <v>9.7799999999999994</v>
      </c>
      <c r="CG8" s="12">
        <f>INDEX(ovrTable25,MATCH(INDEX(oppCol,ROW()),ovrTeamCol25,0),MATCH(MID(INDEX('Structured 2025'!headerRow,1,COLUMN()),4,LEN(INDEX('Structured 2025'!headerRow,1,COLUMN()))),ovrHeaderRow25,0))</f>
        <v>80.7</v>
      </c>
      <c r="CH8" s="12">
        <f>INDEX(ovrTable25,MATCH(INDEX(oppCol,ROW()),ovrTeamCol25,0),MATCH(MID(INDEX('Structured 2025'!headerRow,1,COLUMN()),4,LEN(INDEX('Structured 2025'!headerRow,1,COLUMN()))),ovrHeaderRow25,0))</f>
        <v>2.9</v>
      </c>
      <c r="CI8" s="12">
        <f>INDEX(ovrTable25,MATCH(INDEX(oppCol,ROW()),ovrTeamCol25,0),MATCH(MID(INDEX('Structured 2025'!headerRow,1,COLUMN()),4,LEN(INDEX('Structured 2025'!headerRow,1,COLUMN()))),ovrHeaderRow25,0))</f>
        <v>36.68</v>
      </c>
      <c r="CJ8" s="12">
        <f>INDEX(ovrTable25,MATCH(INDEX(oppCol,ROW()),ovrTeamCol25,0),MATCH(MID(INDEX('Structured 2025'!headerRow,1,COLUMN()),4,LEN(INDEX('Structured 2025'!headerRow,1,COLUMN()))),ovrHeaderRow25,0))</f>
        <v>6.1</v>
      </c>
      <c r="CK8" s="12">
        <f>INDEX(ovrTable25,MATCH(INDEX(oppCol,ROW()),ovrTeamCol25,0),MATCH(MID(INDEX('Structured 2025'!headerRow,1,COLUMN()),4,LEN(INDEX('Structured 2025'!headerRow,1,COLUMN()))),ovrHeaderRow25,0))</f>
        <v>6</v>
      </c>
      <c r="CL8" s="12">
        <f>INDEX(ovrTable25,MATCH(INDEX(oppCol,ROW()),ovrTeamCol25,0),MATCH(MID(INDEX('Structured 2025'!headerRow,1,COLUMN()),4,LEN(INDEX('Structured 2025'!headerRow,1,COLUMN()))),ovrHeaderRow25,0))</f>
        <v>0.2</v>
      </c>
      <c r="CM8" s="12">
        <f>INDEX(ovrTable25,MATCH(INDEX(oppCol,ROW()),ovrTeamCol25,0),MATCH(MID(INDEX('Structured 2025'!headerRow,1,COLUMN()),4,LEN(INDEX('Structured 2025'!headerRow,1,COLUMN()))),ovrHeaderRow25,0))</f>
        <v>10.89</v>
      </c>
      <c r="CN8" s="12">
        <f>INDEX(ovrTable25,MATCH(INDEX(oppCol,ROW()),ovrTeamCol25,0),MATCH(MID(INDEX('Structured 2025'!headerRow,1,COLUMN()),4,LEN(INDEX('Structured 2025'!headerRow,1,COLUMN()))),ovrHeaderRow25,0))</f>
        <v>10.7</v>
      </c>
      <c r="CO8" s="12">
        <f>INDEX(ovrTable25,MATCH(INDEX(oppCol,ROW()),ovrTeamCol25,0),MATCH(MID(INDEX('Structured 2025'!headerRow,1,COLUMN()),4,LEN(INDEX('Structured 2025'!headerRow,1,COLUMN()))),ovrHeaderRow25,0))</f>
        <v>70.7</v>
      </c>
      <c r="CP8" s="12">
        <f>INDEX(ovrTable25,MATCH(INDEX(oppCol,ROW()),ovrTeamCol25,0),MATCH(MID(INDEX('Structured 2025'!headerRow,1,COLUMN()),4,LEN(INDEX('Structured 2025'!headerRow,1,COLUMN()))),ovrHeaderRow25,0))</f>
        <v>20.6</v>
      </c>
      <c r="CQ8" s="12">
        <f>INDEX(ovrTable25,MATCH(INDEX(oppCol,ROW()),ovrTeamCol25,0),MATCH(MID(INDEX('Structured 2025'!headerRow,1,COLUMN()),4,LEN(INDEX('Structured 2025'!headerRow,1,COLUMN()))),ovrHeaderRow25,0))</f>
        <v>60.210526315789473</v>
      </c>
    </row>
    <row r="9" spans="1:104" x14ac:dyDescent="0.3">
      <c r="A9" s="6" t="s">
        <v>18</v>
      </c>
      <c r="B9" s="3">
        <v>11</v>
      </c>
      <c r="C9" s="13" t="str">
        <f>A8</f>
        <v>SDSU</v>
      </c>
      <c r="D9" s="14">
        <v>4</v>
      </c>
      <c r="E9" s="23">
        <v>0.29629629629629628</v>
      </c>
      <c r="F9" s="24">
        <v>52.631578947368418</v>
      </c>
      <c r="G9" s="24">
        <v>14</v>
      </c>
      <c r="H9" s="23">
        <v>58.333333333333336</v>
      </c>
      <c r="I9" s="24">
        <v>24</v>
      </c>
      <c r="J9" s="25">
        <v>1.5454545454545454</v>
      </c>
      <c r="K9" s="24">
        <v>21</v>
      </c>
      <c r="L9" s="24">
        <v>24</v>
      </c>
      <c r="M9" s="24">
        <v>10</v>
      </c>
      <c r="N9" s="24">
        <v>29</v>
      </c>
      <c r="O9" s="24">
        <v>17</v>
      </c>
      <c r="P9" s="24">
        <v>6</v>
      </c>
      <c r="Q9" s="24">
        <v>2</v>
      </c>
      <c r="R9" s="24">
        <v>11</v>
      </c>
      <c r="S9" s="24">
        <v>18</v>
      </c>
      <c r="T9" s="24">
        <v>19</v>
      </c>
      <c r="U9" s="24">
        <v>32</v>
      </c>
      <c r="V9" s="24">
        <v>0.39655172413793105</v>
      </c>
      <c r="W9" s="26">
        <v>0.64912280701754388</v>
      </c>
      <c r="X9" s="23">
        <v>87.5</v>
      </c>
      <c r="Y9" s="24">
        <v>68</v>
      </c>
      <c r="Z9" s="24">
        <v>95</v>
      </c>
      <c r="AA9" s="24">
        <v>11</v>
      </c>
      <c r="AB9" s="24">
        <v>39</v>
      </c>
      <c r="AC9" s="24">
        <v>27</v>
      </c>
      <c r="AD9" s="24">
        <v>0</v>
      </c>
      <c r="AE9" s="24">
        <v>11</v>
      </c>
      <c r="AF9" s="34">
        <f t="shared" si="0"/>
        <v>16</v>
      </c>
      <c r="AG9" s="34">
        <f t="shared" si="1"/>
        <v>33</v>
      </c>
      <c r="AH9" s="46">
        <f t="shared" si="2"/>
        <v>69.400000000000006</v>
      </c>
      <c r="AI9" s="51">
        <f t="shared" ref="AI9" si="8">AVERAGE(AH8,AH9)</f>
        <v>70.162499999999994</v>
      </c>
      <c r="AJ9" s="12">
        <f>INDEX(ovrTable25,MATCH(INDEX('Structured 2025'!teamCol,ROW()),ovrTeamCol25,0),MATCH(MID(INDEX('Structured 2025'!headerRow,1,COLUMN()),4,LEN(INDEX('Structured 2025'!headerRow,1,COLUMN()))),ovrHeaderRow25,0))</f>
        <v>33.5</v>
      </c>
      <c r="AK9" s="12">
        <f>INDEX(ovrTable25,MATCH(INDEX('Structured 2025'!teamCol,ROW()),ovrTeamCol25,0),MATCH(MID(INDEX('Structured 2025'!headerRow,1,COLUMN()),4,LEN(INDEX('Structured 2025'!headerRow,1,COLUMN()))),ovrHeaderRow25,0))</f>
        <v>8</v>
      </c>
      <c r="AL9" s="12">
        <f>INDEX(ovrTable25,MATCH(INDEX('Structured 2025'!teamCol,ROW()),ovrTeamCol25,0),MATCH(MID(INDEX('Structured 2025'!headerRow,1,COLUMN()),4,LEN(INDEX('Structured 2025'!headerRow,1,COLUMN()))),ovrHeaderRow25,0))</f>
        <v>35.6</v>
      </c>
      <c r="AM9" s="12">
        <f>INDEX(ovrTable25,MATCH(INDEX('Structured 2025'!teamCol,ROW()),ovrTeamCol25,0),MATCH(MID(INDEX('Structured 2025'!headerRow,1,COLUMN()),4,LEN(INDEX('Structured 2025'!headerRow,1,COLUMN()))),ovrHeaderRow25,0))</f>
        <v>22.4</v>
      </c>
      <c r="AN9" s="12">
        <f>INDEX(ovrTable25,MATCH(INDEX('Structured 2025'!teamCol,ROW()),ovrTeamCol25,0),MATCH(MID(INDEX('Structured 2025'!headerRow,1,COLUMN()),4,LEN(INDEX('Structured 2025'!headerRow,1,COLUMN()))),ovrHeaderRow25,0))</f>
        <v>1.38</v>
      </c>
      <c r="AO9" s="12">
        <f>INDEX(ovrTable25,MATCH(INDEX('Structured 2025'!teamCol,ROW()),ovrTeamCol25,0),MATCH(MID(INDEX('Structured 2025'!headerRow,1,COLUMN()),4,LEN(INDEX('Structured 2025'!headerRow,1,COLUMN()))),ovrHeaderRow25,0))</f>
        <v>14.8</v>
      </c>
      <c r="AP9" s="12">
        <f>INDEX(ovrTable25,MATCH(INDEX('Structured 2025'!teamCol,ROW()),ovrTeamCol25,0),MATCH(MID(INDEX('Structured 2025'!headerRow,1,COLUMN()),4,LEN(INDEX('Structured 2025'!headerRow,1,COLUMN()))),ovrHeaderRow25,0))</f>
        <v>23.95</v>
      </c>
      <c r="AQ9" s="12">
        <f>INDEX(ovrTable25,MATCH(INDEX('Structured 2025'!teamCol,ROW()),ovrTeamCol25,0),MATCH(MID(INDEX('Structured 2025'!headerRow,1,COLUMN()),4,LEN(INDEX('Structured 2025'!headerRow,1,COLUMN()))),ovrHeaderRow25,0))</f>
        <v>3.6</v>
      </c>
      <c r="AR9" s="12">
        <f>INDEX(ovrTable25,MATCH(INDEX('Structured 2025'!teamCol,ROW()),ovrTeamCol25,0),MATCH(MID(INDEX('Structured 2025'!headerRow,1,COLUMN()),4,LEN(INDEX('Structured 2025'!headerRow,1,COLUMN()))),ovrHeaderRow25,0))</f>
        <v>43.2</v>
      </c>
      <c r="AS9" s="12">
        <f>INDEX(ovrTable25,MATCH(INDEX('Structured 2025'!teamCol,ROW()),ovrTeamCol25,0),MATCH(MID(INDEX('Structured 2025'!headerRow,1,COLUMN()),4,LEN(INDEX('Structured 2025'!headerRow,1,COLUMN()))),ovrHeaderRow25,0))</f>
        <v>26.89</v>
      </c>
      <c r="AT9" s="12">
        <f>INDEX(ovrTable25,MATCH(INDEX('Structured 2025'!teamCol,ROW()),ovrTeamCol25,0),MATCH(MID(INDEX('Structured 2025'!headerRow,1,COLUMN()),4,LEN(INDEX('Structured 2025'!headerRow,1,COLUMN()))),ovrHeaderRow25,0))</f>
        <v>0.54100000000000004</v>
      </c>
      <c r="AU9" s="12">
        <f>INDEX(ovrTable25,MATCH(INDEX('Structured 2025'!teamCol,ROW()),ovrTeamCol25,0),MATCH(MID(INDEX('Structured 2025'!headerRow,1,COLUMN()),4,LEN(INDEX('Structured 2025'!headerRow,1,COLUMN()))),ovrHeaderRow25,0))</f>
        <v>12.95</v>
      </c>
      <c r="AV9" s="12">
        <f>INDEX(ovrTable25,MATCH(INDEX('Structured 2025'!teamCol,ROW()),ovrTeamCol25,0),MATCH(MID(INDEX('Structured 2025'!headerRow,1,COLUMN()),4,LEN(INDEX('Structured 2025'!headerRow,1,COLUMN()))),ovrHeaderRow25,0))</f>
        <v>47.5</v>
      </c>
      <c r="AW9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X9" s="12">
        <f>INDEX(ovrTable25,MATCH(INDEX('Structured 2025'!teamCol,ROW()),ovrTeamCol25,0),MATCH(MID(INDEX('Structured 2025'!headerRow,1,COLUMN()),4,LEN(INDEX('Structured 2025'!headerRow,1,COLUMN()))),ovrHeaderRow25,0))</f>
        <v>74.099999999999994</v>
      </c>
      <c r="AY9" s="12">
        <f>INDEX(ovrTable25,MATCH(INDEX('Structured 2025'!teamCol,ROW()),ovrTeamCol25,0),MATCH(MID(INDEX('Structured 2025'!headerRow,1,COLUMN()),4,LEN(INDEX('Structured 2025'!headerRow,1,COLUMN()))),ovrHeaderRow25,0))</f>
        <v>20.9</v>
      </c>
      <c r="AZ9" s="12">
        <f>INDEX(ovrTable25,MATCH(INDEX('Structured 2025'!teamCol,ROW()),ovrTeamCol25,0),MATCH(MID(INDEX('Structured 2025'!headerRow,1,COLUMN()),4,LEN(INDEX('Structured 2025'!headerRow,1,COLUMN()))),ovrHeaderRow25,0))</f>
        <v>15.5</v>
      </c>
      <c r="BA9" s="12">
        <f>INDEX(ovrTable25,MATCH(INDEX('Structured 2025'!teamCol,ROW()),ovrTeamCol25,0),MATCH(MID(INDEX('Structured 2025'!headerRow,1,COLUMN()),4,LEN(INDEX('Structured 2025'!headerRow,1,COLUMN()))),ovrHeaderRow25,0))</f>
        <v>74.7</v>
      </c>
      <c r="BB9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9" s="12">
        <f>INDEX(ovrTable25,MATCH(INDEX('Structured 2025'!teamCol,ROW()),ovrTeamCol25,0),MATCH(MID(INDEX('Structured 2025'!headerRow,1,COLUMN()),4,LEN(INDEX('Structured 2025'!headerRow,1,COLUMN()))),ovrHeaderRow25,0))</f>
        <v>80.7</v>
      </c>
      <c r="BD9" s="12">
        <f>INDEX(ovrTable25,MATCH(INDEX('Structured 2025'!teamCol,ROW()),ovrTeamCol25,0),MATCH(MID(INDEX('Structured 2025'!headerRow,1,COLUMN()),4,LEN(INDEX('Structured 2025'!headerRow,1,COLUMN()))),ovrHeaderRow25,0))</f>
        <v>2.9</v>
      </c>
      <c r="BE9" s="12">
        <f>INDEX(ovrTable25,MATCH(INDEX('Structured 2025'!teamCol,ROW()),ovrTeamCol25,0),MATCH(MID(INDEX('Structured 2025'!headerRow,1,COLUMN()),4,LEN(INDEX('Structured 2025'!headerRow,1,COLUMN()))),ovrHeaderRow25,0))</f>
        <v>36.68</v>
      </c>
      <c r="BF9" s="12">
        <f>INDEX(ovrTable25,MATCH(INDEX('Structured 2025'!teamCol,ROW()),ovrTeamCol25,0),MATCH(MID(INDEX('Structured 2025'!headerRow,1,COLUMN()),4,LEN(INDEX('Structured 2025'!headerRow,1,COLUMN()))),ovrHeaderRow25,0))</f>
        <v>6.1</v>
      </c>
      <c r="BG9" s="12">
        <f>INDEX(ovrTable25,MATCH(INDEX('Structured 2025'!teamCol,ROW()),ovrTeamCol25,0),MATCH(MID(INDEX('Structured 2025'!headerRow,1,COLUMN()),4,LEN(INDEX('Structured 2025'!headerRow,1,COLUMN()))),ovrHeaderRow25,0))</f>
        <v>6</v>
      </c>
      <c r="BH9" s="12">
        <f>INDEX(ovrTable25,MATCH(INDEX('Structured 2025'!teamCol,ROW()),ovrTeamCol25,0),MATCH(MID(INDEX('Structured 2025'!headerRow,1,COLUMN()),4,LEN(INDEX('Structured 2025'!headerRow,1,COLUMN()))),ovrHeaderRow25,0))</f>
        <v>0.2</v>
      </c>
      <c r="BI9" s="12">
        <f>INDEX(ovrTable25,MATCH(INDEX('Structured 2025'!teamCol,ROW()),ovrTeamCol25,0),MATCH(MID(INDEX('Structured 2025'!headerRow,1,COLUMN()),4,LEN(INDEX('Structured 2025'!headerRow,1,COLUMN()))),ovrHeaderRow25,0))</f>
        <v>10.89</v>
      </c>
      <c r="BJ9" s="12">
        <f>INDEX(ovrTable25,MATCH(INDEX('Structured 2025'!teamCol,ROW()),ovrTeamCol25,0),MATCH(MID(INDEX('Structured 2025'!headerRow,1,COLUMN()),4,LEN(INDEX('Structured 2025'!headerRow,1,COLUMN()))),ovrHeaderRow25,0))</f>
        <v>10.7</v>
      </c>
      <c r="BK9" s="12">
        <f>INDEX(ovrTable25,MATCH(INDEX('Structured 2025'!teamCol,ROW()),ovrTeamCol25,0),MATCH(MID(INDEX('Structured 2025'!headerRow,1,COLUMN()),4,LEN(INDEX('Structured 2025'!headerRow,1,COLUMN()))),ovrHeaderRow25,0))</f>
        <v>70.7</v>
      </c>
      <c r="BL9" s="12">
        <f>INDEX(ovrTable25,MATCH(INDEX('Structured 2025'!teamCol,ROW()),ovrTeamCol25,0),MATCH(MID(INDEX('Structured 2025'!headerRow,1,COLUMN()),4,LEN(INDEX('Structured 2025'!headerRow,1,COLUMN()))),ovrHeaderRow25,0))</f>
        <v>20.6</v>
      </c>
      <c r="BM9" s="12">
        <f>INDEX(ovrTable25,MATCH(INDEX('Structured 2025'!teamCol,ROW()),ovrTeamCol25,0),MATCH(MID(INDEX('Structured 2025'!headerRow,1,COLUMN()),4,LEN(INDEX('Structured 2025'!headerRow,1,COLUMN()))),ovrHeaderRow25,0))</f>
        <v>60.210526315789473</v>
      </c>
      <c r="BN9" s="12">
        <f>INDEX(ovrTable25,MATCH(INDEX(oppCol,ROW()),ovrTeamCol25,0),MATCH(MID(INDEX('Structured 2025'!headerRow,1,COLUMN()),4,LEN(INDEX('Structured 2025'!headerRow,1,COLUMN()))),ovrHeaderRow25,0))</f>
        <v>31.1</v>
      </c>
      <c r="BO9" s="12">
        <f>INDEX(ovrTable25,MATCH(INDEX(oppCol,ROW()),ovrTeamCol25,0),MATCH(MID(INDEX('Structured 2025'!headerRow,1,COLUMN()),4,LEN(INDEX('Structured 2025'!headerRow,1,COLUMN()))),ovrHeaderRow25,0))</f>
        <v>7.7</v>
      </c>
      <c r="BP9" s="12">
        <f>INDEX(ovrTable25,MATCH(INDEX(oppCol,ROW()),ovrTeamCol25,0),MATCH(MID(INDEX('Structured 2025'!headerRow,1,COLUMN()),4,LEN(INDEX('Structured 2025'!headerRow,1,COLUMN()))),ovrHeaderRow25,0))</f>
        <v>33.299999999999997</v>
      </c>
      <c r="BQ9" s="12">
        <f>INDEX(ovrTable25,MATCH(INDEX(oppCol,ROW()),ovrTeamCol25,0),MATCH(MID(INDEX('Structured 2025'!headerRow,1,COLUMN()),4,LEN(INDEX('Structured 2025'!headerRow,1,COLUMN()))),ovrHeaderRow25,0))</f>
        <v>23.1</v>
      </c>
      <c r="BR9" s="12">
        <f>INDEX(ovrTable25,MATCH(INDEX(oppCol,ROW()),ovrTeamCol25,0),MATCH(MID(INDEX('Structured 2025'!headerRow,1,COLUMN()),4,LEN(INDEX('Structured 2025'!headerRow,1,COLUMN()))),ovrHeaderRow25,0))</f>
        <v>1.19</v>
      </c>
      <c r="BS9" s="12">
        <f>INDEX(ovrTable25,MATCH(INDEX(oppCol,ROW()),ovrTeamCol25,0),MATCH(MID(INDEX('Structured 2025'!headerRow,1,COLUMN()),4,LEN(INDEX('Structured 2025'!headerRow,1,COLUMN()))),ovrHeaderRow25,0))</f>
        <v>13</v>
      </c>
      <c r="BT9" s="12">
        <f>INDEX(ovrTable25,MATCH(INDEX(oppCol,ROW()),ovrTeamCol25,0),MATCH(MID(INDEX('Structured 2025'!headerRow,1,COLUMN()),4,LEN(INDEX('Structured 2025'!headerRow,1,COLUMN()))),ovrHeaderRow25,0))</f>
        <v>20.52</v>
      </c>
      <c r="BU9" s="12">
        <f>INDEX(ovrTable25,MATCH(INDEX(oppCol,ROW()),ovrTeamCol25,0),MATCH(MID(INDEX('Structured 2025'!headerRow,1,COLUMN()),4,LEN(INDEX('Structured 2025'!headerRow,1,COLUMN()))),ovrHeaderRow25,0))</f>
        <v>5.5</v>
      </c>
      <c r="BV9" s="12">
        <f>INDEX(ovrTable25,MATCH(INDEX(oppCol,ROW()),ovrTeamCol25,0),MATCH(MID(INDEX('Structured 2025'!headerRow,1,COLUMN()),4,LEN(INDEX('Structured 2025'!headerRow,1,COLUMN()))),ovrHeaderRow25,0))</f>
        <v>38.299999999999997</v>
      </c>
      <c r="BW9" s="12">
        <f>INDEX(ovrTable25,MATCH(INDEX(oppCol,ROW()),ovrTeamCol25,0),MATCH(MID(INDEX('Structured 2025'!headerRow,1,COLUMN()),4,LEN(INDEX('Structured 2025'!headerRow,1,COLUMN()))),ovrHeaderRow25,0))</f>
        <v>25.03</v>
      </c>
      <c r="BX9" s="12">
        <f>INDEX(ovrTable25,MATCH(INDEX(oppCol,ROW()),ovrTeamCol25,0),MATCH(MID(INDEX('Structured 2025'!headerRow,1,COLUMN()),4,LEN(INDEX('Structured 2025'!headerRow,1,COLUMN()))),ovrHeaderRow25,0))</f>
        <v>0.50900000000000001</v>
      </c>
      <c r="BY9" s="12">
        <f>INDEX(ovrTable25,MATCH(INDEX(oppCol,ROW()),ovrTeamCol25,0),MATCH(MID(INDEX('Structured 2025'!headerRow,1,COLUMN()),4,LEN(INDEX('Structured 2025'!headerRow,1,COLUMN()))),ovrHeaderRow25,0))</f>
        <v>8.9700000000000006</v>
      </c>
      <c r="BZ9" s="12">
        <f>INDEX(ovrTable25,MATCH(INDEX(oppCol,ROW()),ovrTeamCol25,0),MATCH(MID(INDEX('Structured 2025'!headerRow,1,COLUMN()),4,LEN(INDEX('Structured 2025'!headerRow,1,COLUMN()))),ovrHeaderRow25,0))</f>
        <v>44.2</v>
      </c>
      <c r="CA9" s="12">
        <f>INDEX(ovrTable25,MATCH(INDEX(oppCol,ROW()),ovrTeamCol25,0),MATCH(MID(INDEX('Structured 2025'!headerRow,1,COLUMN()),4,LEN(INDEX('Structured 2025'!headerRow,1,COLUMN()))),ovrHeaderRow25,0))</f>
        <v>18.399999999999999</v>
      </c>
      <c r="CB9" s="12">
        <f>INDEX(ovrTable25,MATCH(INDEX(oppCol,ROW()),ovrTeamCol25,0),MATCH(MID(INDEX('Structured 2025'!headerRow,1,COLUMN()),4,LEN(INDEX('Structured 2025'!headerRow,1,COLUMN()))),ovrHeaderRow25,0))</f>
        <v>66.400000000000006</v>
      </c>
      <c r="CC9" s="12">
        <f>INDEX(ovrTable25,MATCH(INDEX(oppCol,ROW()),ovrTeamCol25,0),MATCH(MID(INDEX('Structured 2025'!headerRow,1,COLUMN()),4,LEN(INDEX('Structured 2025'!headerRow,1,COLUMN()))),ovrHeaderRow25,0))</f>
        <v>18.2</v>
      </c>
      <c r="CD9" s="12">
        <f>INDEX(ovrTable25,MATCH(INDEX(oppCol,ROW()),ovrTeamCol25,0),MATCH(MID(INDEX('Structured 2025'!headerRow,1,COLUMN()),4,LEN(INDEX('Structured 2025'!headerRow,1,COLUMN()))),ovrHeaderRow25,0))</f>
        <v>12.1</v>
      </c>
      <c r="CE9" s="12">
        <f>INDEX(ovrTable25,MATCH(INDEX(oppCol,ROW()),ovrTeamCol25,0),MATCH(MID(INDEX('Structured 2025'!headerRow,1,COLUMN()),4,LEN(INDEX('Structured 2025'!headerRow,1,COLUMN()))),ovrHeaderRow25,0))</f>
        <v>64.599999999999994</v>
      </c>
      <c r="CF9" s="12">
        <f>INDEX(ovrTable25,MATCH(INDEX(oppCol,ROW()),ovrTeamCol25,0),MATCH(MID(INDEX('Structured 2025'!headerRow,1,COLUMN()),4,LEN(INDEX('Structured 2025'!headerRow,1,COLUMN()))),ovrHeaderRow25,0))</f>
        <v>10.130000000000001</v>
      </c>
      <c r="CG9" s="12">
        <f>INDEX(ovrTable25,MATCH(INDEX(oppCol,ROW()),ovrTeamCol25,0),MATCH(MID(INDEX('Structured 2025'!headerRow,1,COLUMN()),4,LEN(INDEX('Structured 2025'!headerRow,1,COLUMN()))),ovrHeaderRow25,0))</f>
        <v>70.7</v>
      </c>
      <c r="CH9" s="12">
        <f>INDEX(ovrTable25,MATCH(INDEX(oppCol,ROW()),ovrTeamCol25,0),MATCH(MID(INDEX('Structured 2025'!headerRow,1,COLUMN()),4,LEN(INDEX('Structured 2025'!headerRow,1,COLUMN()))),ovrHeaderRow25,0))</f>
        <v>-0.3</v>
      </c>
      <c r="CI9" s="12">
        <f>INDEX(ovrTable25,MATCH(INDEX(oppCol,ROW()),ovrTeamCol25,0),MATCH(MID(INDEX('Structured 2025'!headerRow,1,COLUMN()),4,LEN(INDEX('Structured 2025'!headerRow,1,COLUMN()))),ovrHeaderRow25,0))</f>
        <v>35.159999999999997</v>
      </c>
      <c r="CJ9" s="12">
        <f>INDEX(ovrTable25,MATCH(INDEX(oppCol,ROW()),ovrTeamCol25,0),MATCH(MID(INDEX('Structured 2025'!headerRow,1,COLUMN()),4,LEN(INDEX('Structured 2025'!headerRow,1,COLUMN()))),ovrHeaderRow25,0))</f>
        <v>6.1</v>
      </c>
      <c r="CK9" s="12">
        <f>INDEX(ovrTable25,MATCH(INDEX(oppCol,ROW()),ovrTeamCol25,0),MATCH(MID(INDEX('Structured 2025'!headerRow,1,COLUMN()),4,LEN(INDEX('Structured 2025'!headerRow,1,COLUMN()))),ovrHeaderRow25,0))</f>
        <v>7.6</v>
      </c>
      <c r="CL9" s="12">
        <f>INDEX(ovrTable25,MATCH(INDEX(oppCol,ROW()),ovrTeamCol25,0),MATCH(MID(INDEX('Structured 2025'!headerRow,1,COLUMN()),4,LEN(INDEX('Structured 2025'!headerRow,1,COLUMN()))),ovrHeaderRow25,0))</f>
        <v>2.2999999999999998</v>
      </c>
      <c r="CM9" s="12">
        <f>INDEX(ovrTable25,MATCH(INDEX(oppCol,ROW()),ovrTeamCol25,0),MATCH(MID(INDEX('Structured 2025'!headerRow,1,COLUMN()),4,LEN(INDEX('Structured 2025'!headerRow,1,COLUMN()))),ovrHeaderRow25,0))</f>
        <v>13.29</v>
      </c>
      <c r="CN9" s="12">
        <f>INDEX(ovrTable25,MATCH(INDEX(oppCol,ROW()),ovrTeamCol25,0),MATCH(MID(INDEX('Structured 2025'!headerRow,1,COLUMN()),4,LEN(INDEX('Structured 2025'!headerRow,1,COLUMN()))),ovrHeaderRow25,0))</f>
        <v>11</v>
      </c>
      <c r="CO9" s="12">
        <f>INDEX(ovrTable25,MATCH(INDEX(oppCol,ROW()),ovrTeamCol25,0),MATCH(MID(INDEX('Structured 2025'!headerRow,1,COLUMN()),4,LEN(INDEX('Structured 2025'!headerRow,1,COLUMN()))),ovrHeaderRow25,0))</f>
        <v>66.3</v>
      </c>
      <c r="CP9" s="12">
        <f>INDEX(ovrTable25,MATCH(INDEX(oppCol,ROW()),ovrTeamCol25,0),MATCH(MID(INDEX('Structured 2025'!headerRow,1,COLUMN()),4,LEN(INDEX('Structured 2025'!headerRow,1,COLUMN()))),ovrHeaderRow25,0))</f>
        <v>17.75</v>
      </c>
      <c r="CQ9" s="12">
        <f>INDEX(ovrTable25,MATCH(INDEX(oppCol,ROW()),ovrTeamCol25,0),MATCH(MID(INDEX('Structured 2025'!headerRow,1,COLUMN()),4,LEN(INDEX('Structured 2025'!headerRow,1,COLUMN()))),ovrHeaderRow25,0))</f>
        <v>57.579185520361989</v>
      </c>
    </row>
    <row r="10" spans="1:104" x14ac:dyDescent="0.3">
      <c r="A10" s="6" t="s">
        <v>5</v>
      </c>
      <c r="B10" s="3">
        <v>1</v>
      </c>
      <c r="C10" s="13" t="str">
        <f>A11</f>
        <v>ALST</v>
      </c>
      <c r="D10" s="14">
        <v>5</v>
      </c>
      <c r="E10" s="23">
        <v>0.24</v>
      </c>
      <c r="F10" s="24">
        <v>45</v>
      </c>
      <c r="G10" s="24">
        <v>11</v>
      </c>
      <c r="H10" s="23">
        <v>31.428571428571427</v>
      </c>
      <c r="I10" s="24">
        <v>35</v>
      </c>
      <c r="J10" s="25">
        <v>1.3333333333333333</v>
      </c>
      <c r="K10" s="24">
        <v>18</v>
      </c>
      <c r="L10" s="24">
        <v>32</v>
      </c>
      <c r="M10" s="24">
        <v>14</v>
      </c>
      <c r="N10" s="24">
        <v>32</v>
      </c>
      <c r="O10" s="24">
        <v>16</v>
      </c>
      <c r="P10" s="24">
        <v>2</v>
      </c>
      <c r="Q10" s="24">
        <v>3</v>
      </c>
      <c r="R10" s="24">
        <v>12</v>
      </c>
      <c r="S10" s="24">
        <v>8</v>
      </c>
      <c r="T10" s="24">
        <v>17</v>
      </c>
      <c r="U10" s="24">
        <v>30</v>
      </c>
      <c r="V10" s="24">
        <v>0.37096774193548387</v>
      </c>
      <c r="W10" s="26">
        <v>0.54166666666666663</v>
      </c>
      <c r="X10" s="23">
        <v>56.25</v>
      </c>
      <c r="Y10" s="24">
        <v>63</v>
      </c>
      <c r="Z10" s="24">
        <v>83</v>
      </c>
      <c r="AA10" s="24">
        <v>10</v>
      </c>
      <c r="AB10" s="24">
        <v>46</v>
      </c>
      <c r="AC10" s="24">
        <v>20</v>
      </c>
      <c r="AD10" s="24">
        <v>-2</v>
      </c>
      <c r="AE10" s="24">
        <v>10</v>
      </c>
      <c r="AF10" s="34">
        <f t="shared" si="0"/>
        <v>16</v>
      </c>
      <c r="AG10" s="34">
        <f t="shared" si="1"/>
        <v>25</v>
      </c>
      <c r="AH10" s="46">
        <f t="shared" si="2"/>
        <v>73.2</v>
      </c>
      <c r="AI10" s="51">
        <f t="shared" ref="AI10" si="9">AVERAGE(AH10,AH11)</f>
        <v>73.112500000000011</v>
      </c>
      <c r="AJ10" s="12">
        <f>INDEX(ovrTable25,MATCH(INDEX('Structured 2025'!teamCol,ROW()),ovrTeamCol25,0),MATCH(MID(INDEX('Structured 2025'!headerRow,1,COLUMN()),4,LEN(INDEX('Structured 2025'!headerRow,1,COLUMN()))),ovrHeaderRow25,0))</f>
        <v>35</v>
      </c>
      <c r="AK10" s="12">
        <f>INDEX(ovrTable25,MATCH(INDEX('Structured 2025'!teamCol,ROW()),ovrTeamCol25,0),MATCH(MID(INDEX('Structured 2025'!headerRow,1,COLUMN()),4,LEN(INDEX('Structured 2025'!headerRow,1,COLUMN()))),ovrHeaderRow25,0))</f>
        <v>8.5</v>
      </c>
      <c r="AL10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10" s="12">
        <f>INDEX(ovrTable25,MATCH(INDEX('Structured 2025'!teamCol,ROW()),ovrTeamCol25,0),MATCH(MID(INDEX('Structured 2025'!headerRow,1,COLUMN()),4,LEN(INDEX('Structured 2025'!headerRow,1,COLUMN()))),ovrHeaderRow25,0))</f>
        <v>24.5</v>
      </c>
      <c r="AN10" s="12">
        <f>INDEX(ovrTable25,MATCH(INDEX('Structured 2025'!teamCol,ROW()),ovrTeamCol25,0),MATCH(MID(INDEX('Structured 2025'!headerRow,1,COLUMN()),4,LEN(INDEX('Structured 2025'!headerRow,1,COLUMN()))),ovrHeaderRow25,0))</f>
        <v>1.56</v>
      </c>
      <c r="AO10" s="12">
        <f>INDEX(ovrTable25,MATCH(INDEX('Structured 2025'!teamCol,ROW()),ovrTeamCol25,0),MATCH(MID(INDEX('Structured 2025'!headerRow,1,COLUMN()),4,LEN(INDEX('Structured 2025'!headerRow,1,COLUMN()))),ovrHeaderRow25,0))</f>
        <v>17.3</v>
      </c>
      <c r="AP10" s="12">
        <f>INDEX(ovrTable25,MATCH(INDEX('Structured 2025'!teamCol,ROW()),ovrTeamCol25,0),MATCH(MID(INDEX('Structured 2025'!headerRow,1,COLUMN()),4,LEN(INDEX('Structured 2025'!headerRow,1,COLUMN()))),ovrHeaderRow25,0))</f>
        <v>20.74</v>
      </c>
      <c r="AQ10" s="12">
        <f>INDEX(ovrTable25,MATCH(INDEX('Structured 2025'!teamCol,ROW()),ovrTeamCol25,0),MATCH(MID(INDEX('Structured 2025'!headerRow,1,COLUMN()),4,LEN(INDEX('Structured 2025'!headerRow,1,COLUMN()))),ovrHeaderRow25,0))</f>
        <v>6.2</v>
      </c>
      <c r="AR10" s="12">
        <f>INDEX(ovrTable25,MATCH(INDEX('Structured 2025'!teamCol,ROW()),ovrTeamCol25,0),MATCH(MID(INDEX('Structured 2025'!headerRow,1,COLUMN()),4,LEN(INDEX('Structured 2025'!headerRow,1,COLUMN()))),ovrHeaderRow25,0))</f>
        <v>42.1</v>
      </c>
      <c r="AS10" s="12">
        <f>INDEX(ovrTable25,MATCH(INDEX('Structured 2025'!teamCol,ROW()),ovrTeamCol25,0),MATCH(MID(INDEX('Structured 2025'!headerRow,1,COLUMN()),4,LEN(INDEX('Structured 2025'!headerRow,1,COLUMN()))),ovrHeaderRow25,0))</f>
        <v>24.54</v>
      </c>
      <c r="AT10" s="12">
        <f>INDEX(ovrTable25,MATCH(INDEX('Structured 2025'!teamCol,ROW()),ovrTeamCol25,0),MATCH(MID(INDEX('Structured 2025'!headerRow,1,COLUMN()),4,LEN(INDEX('Structured 2025'!headerRow,1,COLUMN()))),ovrHeaderRow25,0))</f>
        <v>0.55000000000000004</v>
      </c>
      <c r="AU10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10" s="12">
        <f>INDEX(ovrTable25,MATCH(INDEX('Structured 2025'!teamCol,ROW()),ovrTeamCol25,0),MATCH(MID(INDEX('Structured 2025'!headerRow,1,COLUMN()),4,LEN(INDEX('Structured 2025'!headerRow,1,COLUMN()))),ovrHeaderRow25,0))</f>
        <v>47.5</v>
      </c>
      <c r="AW10" s="12">
        <f>INDEX(ovrTable25,MATCH(INDEX('Structured 2025'!teamCol,ROW()),ovrTeamCol25,0),MATCH(MID(INDEX('Structured 2025'!headerRow,1,COLUMN()),4,LEN(INDEX('Structured 2025'!headerRow,1,COLUMN()))),ovrHeaderRow25,0))</f>
        <v>18.3</v>
      </c>
      <c r="AX10" s="12">
        <f>INDEX(ovrTable25,MATCH(INDEX('Structured 2025'!teamCol,ROW()),ovrTeamCol25,0),MATCH(MID(INDEX('Structured 2025'!headerRow,1,COLUMN()),4,LEN(INDEX('Structured 2025'!headerRow,1,COLUMN()))),ovrHeaderRow25,0))</f>
        <v>79.099999999999994</v>
      </c>
      <c r="AY10" s="12">
        <f>INDEX(ovrTable25,MATCH(INDEX('Structured 2025'!teamCol,ROW()),ovrTeamCol25,0),MATCH(MID(INDEX('Structured 2025'!headerRow,1,COLUMN()),4,LEN(INDEX('Structured 2025'!headerRow,1,COLUMN()))),ovrHeaderRow25,0))</f>
        <v>17.7</v>
      </c>
      <c r="AZ10" s="12">
        <f>INDEX(ovrTable25,MATCH(INDEX('Structured 2025'!teamCol,ROW()),ovrTeamCol25,0),MATCH(MID(INDEX('Structured 2025'!headerRow,1,COLUMN()),4,LEN(INDEX('Structured 2025'!headerRow,1,COLUMN()))),ovrHeaderRow25,0))</f>
        <v>14</v>
      </c>
      <c r="BA10" s="12">
        <f>INDEX(ovrTable25,MATCH(INDEX('Structured 2025'!teamCol,ROW()),ovrTeamCol25,0),MATCH(MID(INDEX('Structured 2025'!headerRow,1,COLUMN()),4,LEN(INDEX('Structured 2025'!headerRow,1,COLUMN()))),ovrHeaderRow25,0))</f>
        <v>68</v>
      </c>
      <c r="BB10" s="12">
        <f>INDEX(ovrTable25,MATCH(INDEX('Structured 2025'!teamCol,ROW()),ovrTeamCol25,0),MATCH(MID(INDEX('Structured 2025'!headerRow,1,COLUMN()),4,LEN(INDEX('Structured 2025'!headerRow,1,COLUMN()))),ovrHeaderRow25,0))</f>
        <v>11.2</v>
      </c>
      <c r="BC10" s="12">
        <f>INDEX(ovrTable25,MATCH(INDEX('Structured 2025'!teamCol,ROW()),ovrTeamCol25,0),MATCH(MID(INDEX('Structured 2025'!headerRow,1,COLUMN()),4,LEN(INDEX('Structured 2025'!headerRow,1,COLUMN()))),ovrHeaderRow25,0))</f>
        <v>77</v>
      </c>
      <c r="BD10" s="12">
        <f>INDEX(ovrTable25,MATCH(INDEX('Structured 2025'!teamCol,ROW()),ovrTeamCol25,0),MATCH(MID(INDEX('Structured 2025'!headerRow,1,COLUMN()),4,LEN(INDEX('Structured 2025'!headerRow,1,COLUMN()))),ovrHeaderRow25,0))</f>
        <v>6</v>
      </c>
      <c r="BE10" s="12">
        <f>INDEX(ovrTable25,MATCH(INDEX('Structured 2025'!teamCol,ROW()),ovrTeamCol25,0),MATCH(MID(INDEX('Structured 2025'!headerRow,1,COLUMN()),4,LEN(INDEX('Structured 2025'!headerRow,1,COLUMN()))),ovrHeaderRow25,0))</f>
        <v>35.74</v>
      </c>
      <c r="BF10" s="12">
        <f>INDEX(ovrTable25,MATCH(INDEX('Structured 2025'!teamCol,ROW()),ovrTeamCol25,0),MATCH(MID(INDEX('Structured 2025'!headerRow,1,COLUMN()),4,LEN(INDEX('Structured 2025'!headerRow,1,COLUMN()))),ovrHeaderRow25,0))</f>
        <v>9</v>
      </c>
      <c r="BG10" s="12">
        <f>INDEX(ovrTable25,MATCH(INDEX('Structured 2025'!teamCol,ROW()),ovrTeamCol25,0),MATCH(MID(INDEX('Structured 2025'!headerRow,1,COLUMN()),4,LEN(INDEX('Structured 2025'!headerRow,1,COLUMN()))),ovrHeaderRow25,0))</f>
        <v>5.4</v>
      </c>
      <c r="BH10" s="12">
        <f>INDEX(ovrTable25,MATCH(INDEX('Structured 2025'!teamCol,ROW()),ovrTeamCol25,0),MATCH(MID(INDEX('Structured 2025'!headerRow,1,COLUMN()),4,LEN(INDEX('Structured 2025'!headerRow,1,COLUMN()))),ovrHeaderRow25,0))</f>
        <v>-0.9</v>
      </c>
      <c r="BI10" s="12">
        <f>INDEX(ovrTable25,MATCH(INDEX('Structured 2025'!teamCol,ROW()),ovrTeamCol25,0),MATCH(MID(INDEX('Structured 2025'!headerRow,1,COLUMN()),4,LEN(INDEX('Structured 2025'!headerRow,1,COLUMN()))),ovrHeaderRow25,0))</f>
        <v>10.26</v>
      </c>
      <c r="BJ10" s="12">
        <f>INDEX(ovrTable25,MATCH(INDEX('Structured 2025'!teamCol,ROW()),ovrTeamCol25,0),MATCH(MID(INDEX('Structured 2025'!headerRow,1,COLUMN()),4,LEN(INDEX('Structured 2025'!headerRow,1,COLUMN()))),ovrHeaderRow25,0))</f>
        <v>11.1</v>
      </c>
      <c r="BK10" s="12">
        <f>INDEX(ovrTable25,MATCH(INDEX('Structured 2025'!teamCol,ROW()),ovrTeamCol25,0),MATCH(MID(INDEX('Structured 2025'!headerRow,1,COLUMN()),4,LEN(INDEX('Structured 2025'!headerRow,1,COLUMN()))),ovrHeaderRow25,0))</f>
        <v>68.2</v>
      </c>
      <c r="BL10" s="12">
        <f>INDEX(ovrTable25,MATCH(INDEX('Structured 2025'!teamCol,ROW()),ovrTeamCol25,0),MATCH(MID(INDEX('Structured 2025'!headerRow,1,COLUMN()),4,LEN(INDEX('Structured 2025'!headerRow,1,COLUMN()))),ovrHeaderRow25,0))</f>
        <v>18.75</v>
      </c>
      <c r="BM10" s="12">
        <f>INDEX(ovrTable25,MATCH(INDEX('Structured 2025'!teamCol,ROW()),ovrTeamCol25,0),MATCH(MID(INDEX('Structured 2025'!headerRow,1,COLUMN()),4,LEN(INDEX('Structured 2025'!headerRow,1,COLUMN()))),ovrHeaderRow25,0))</f>
        <v>57.368421052631582</v>
      </c>
      <c r="BN10" s="12">
        <f>INDEX(ovrTable25,MATCH(INDEX(oppCol,ROW()),ovrTeamCol25,0),MATCH(MID(INDEX('Structured 2025'!headerRow,1,COLUMN()),4,LEN(INDEX('Structured 2025'!headerRow,1,COLUMN()))),ovrHeaderRow25,0))</f>
        <v>33.299999999999997</v>
      </c>
      <c r="BO10" s="12">
        <f>INDEX(ovrTable25,MATCH(INDEX(oppCol,ROW()),ovrTeamCol25,0),MATCH(MID(INDEX('Structured 2025'!headerRow,1,COLUMN()),4,LEN(INDEX('Structured 2025'!headerRow,1,COLUMN()))),ovrHeaderRow25,0))</f>
        <v>8.9</v>
      </c>
      <c r="BP10" s="12">
        <f>INDEX(ovrTable25,MATCH(INDEX(oppCol,ROW()),ovrTeamCol25,0),MATCH(MID(INDEX('Structured 2025'!headerRow,1,COLUMN()),4,LEN(INDEX('Structured 2025'!headerRow,1,COLUMN()))),ovrHeaderRow25,0))</f>
        <v>32.700000000000003</v>
      </c>
      <c r="BQ10" s="12">
        <f>INDEX(ovrTable25,MATCH(INDEX(oppCol,ROW()),ovrTeamCol25,0),MATCH(MID(INDEX('Structured 2025'!headerRow,1,COLUMN()),4,LEN(INDEX('Structured 2025'!headerRow,1,COLUMN()))),ovrHeaderRow25,0))</f>
        <v>27.2</v>
      </c>
      <c r="BR10" s="12">
        <f>INDEX(ovrTable25,MATCH(INDEX(oppCol,ROW()),ovrTeamCol25,0),MATCH(MID(INDEX('Structured 2025'!headerRow,1,COLUMN()),4,LEN(INDEX('Structured 2025'!headerRow,1,COLUMN()))),ovrHeaderRow25,0))</f>
        <v>1.28</v>
      </c>
      <c r="BS10" s="12">
        <f>INDEX(ovrTable25,MATCH(INDEX(oppCol,ROW()),ovrTeamCol25,0),MATCH(MID(INDEX('Structured 2025'!headerRow,1,COLUMN()),4,LEN(INDEX('Structured 2025'!headerRow,1,COLUMN()))),ovrHeaderRow25,0))</f>
        <v>11.6</v>
      </c>
      <c r="BT10" s="12">
        <f>INDEX(ovrTable25,MATCH(INDEX(oppCol,ROW()),ovrTeamCol25,0),MATCH(MID(INDEX('Structured 2025'!headerRow,1,COLUMN()),4,LEN(INDEX('Structured 2025'!headerRow,1,COLUMN()))),ovrHeaderRow25,0))</f>
        <v>24.17</v>
      </c>
      <c r="BU10" s="12">
        <f>INDEX(ovrTable25,MATCH(INDEX(oppCol,ROW()),ovrTeamCol25,0),MATCH(MID(INDEX('Structured 2025'!headerRow,1,COLUMN()),4,LEN(INDEX('Structured 2025'!headerRow,1,COLUMN()))),ovrHeaderRow25,0))</f>
        <v>2.8</v>
      </c>
      <c r="BV10" s="12">
        <f>INDEX(ovrTable25,MATCH(INDEX(oppCol,ROW()),ovrTeamCol25,0),MATCH(MID(INDEX('Structured 2025'!headerRow,1,COLUMN()),4,LEN(INDEX('Structured 2025'!headerRow,1,COLUMN()))),ovrHeaderRow25,0))</f>
        <v>43.7</v>
      </c>
      <c r="BW10" s="12">
        <f>INDEX(ovrTable25,MATCH(INDEX(oppCol,ROW()),ovrTeamCol25,0),MATCH(MID(INDEX('Structured 2025'!headerRow,1,COLUMN()),4,LEN(INDEX('Structured 2025'!headerRow,1,COLUMN()))),ovrHeaderRow25,0))</f>
        <v>24.61</v>
      </c>
      <c r="BX10" s="12">
        <f>INDEX(ovrTable25,MATCH(INDEX(oppCol,ROW()),ovrTeamCol25,0),MATCH(MID(INDEX('Structured 2025'!headerRow,1,COLUMN()),4,LEN(INDEX('Structured 2025'!headerRow,1,COLUMN()))),ovrHeaderRow25,0))</f>
        <v>0.47499999999999998</v>
      </c>
      <c r="BY10" s="12">
        <f>INDEX(ovrTable25,MATCH(INDEX(oppCol,ROW()),ovrTeamCol25,0),MATCH(MID(INDEX('Structured 2025'!headerRow,1,COLUMN()),4,LEN(INDEX('Structured 2025'!headerRow,1,COLUMN()))),ovrHeaderRow25,0))</f>
        <v>13.39</v>
      </c>
      <c r="BZ10" s="12">
        <f>INDEX(ovrTable25,MATCH(INDEX(oppCol,ROW()),ovrTeamCol25,0),MATCH(MID(INDEX('Structured 2025'!headerRow,1,COLUMN()),4,LEN(INDEX('Structured 2025'!headerRow,1,COLUMN()))),ovrHeaderRow25,0))</f>
        <v>40.5</v>
      </c>
      <c r="CA10" s="12">
        <f>INDEX(ovrTable25,MATCH(INDEX(oppCol,ROW()),ovrTeamCol25,0),MATCH(MID(INDEX('Structured 2025'!headerRow,1,COLUMN()),4,LEN(INDEX('Structured 2025'!headerRow,1,COLUMN()))),ovrHeaderRow25,0))</f>
        <v>18.399999999999999</v>
      </c>
      <c r="CB10" s="12">
        <f>INDEX(ovrTable25,MATCH(INDEX(oppCol,ROW()),ovrTeamCol25,0),MATCH(MID(INDEX('Structured 2025'!headerRow,1,COLUMN()),4,LEN(INDEX('Structured 2025'!headerRow,1,COLUMN()))),ovrHeaderRow25,0))</f>
        <v>68.599999999999994</v>
      </c>
      <c r="CC10" s="12">
        <f>INDEX(ovrTable25,MATCH(INDEX(oppCol,ROW()),ovrTeamCol25,0),MATCH(MID(INDEX('Structured 2025'!headerRow,1,COLUMN()),4,LEN(INDEX('Structured 2025'!headerRow,1,COLUMN()))),ovrHeaderRow25,0))</f>
        <v>18.5</v>
      </c>
      <c r="CD10" s="12">
        <f>INDEX(ovrTable25,MATCH(INDEX(oppCol,ROW()),ovrTeamCol25,0),MATCH(MID(INDEX('Structured 2025'!headerRow,1,COLUMN()),4,LEN(INDEX('Structured 2025'!headerRow,1,COLUMN()))),ovrHeaderRow25,0))</f>
        <v>12.7</v>
      </c>
      <c r="CE10" s="12">
        <f>INDEX(ovrTable25,MATCH(INDEX(oppCol,ROW()),ovrTeamCol25,0),MATCH(MID(INDEX('Structured 2025'!headerRow,1,COLUMN()),4,LEN(INDEX('Structured 2025'!headerRow,1,COLUMN()))),ovrHeaderRow25,0))</f>
        <v>72.400000000000006</v>
      </c>
      <c r="CF10" s="12">
        <f>INDEX(ovrTable25,MATCH(INDEX(oppCol,ROW()),ovrTeamCol25,0),MATCH(MID(INDEX('Structured 2025'!headerRow,1,COLUMN()),4,LEN(INDEX('Structured 2025'!headerRow,1,COLUMN()))),ovrHeaderRow25,0))</f>
        <v>11.58</v>
      </c>
      <c r="CG10" s="12">
        <f>INDEX(ovrTable25,MATCH(INDEX(oppCol,ROW()),ovrTeamCol25,0),MATCH(MID(INDEX('Structured 2025'!headerRow,1,COLUMN()),4,LEN(INDEX('Structured 2025'!headerRow,1,COLUMN()))),ovrHeaderRow25,0))</f>
        <v>73.099999999999994</v>
      </c>
      <c r="CH10" s="12">
        <f>INDEX(ovrTable25,MATCH(INDEX(oppCol,ROW()),ovrTeamCol25,0),MATCH(MID(INDEX('Structured 2025'!headerRow,1,COLUMN()),4,LEN(INDEX('Structured 2025'!headerRow,1,COLUMN()))),ovrHeaderRow25,0))</f>
        <v>-3.4</v>
      </c>
      <c r="CI10" s="12">
        <f>INDEX(ovrTable25,MATCH(INDEX(oppCol,ROW()),ovrTeamCol25,0),MATCH(MID(INDEX('Structured 2025'!headerRow,1,COLUMN()),4,LEN(INDEX('Structured 2025'!headerRow,1,COLUMN()))),ovrHeaderRow25,0))</f>
        <v>36.19</v>
      </c>
      <c r="CJ10" s="12">
        <f>INDEX(ovrTable25,MATCH(INDEX(oppCol,ROW()),ovrTeamCol25,0),MATCH(MID(INDEX('Structured 2025'!headerRow,1,COLUMN()),4,LEN(INDEX('Structured 2025'!headerRow,1,COLUMN()))),ovrHeaderRow25,0))</f>
        <v>0.6</v>
      </c>
      <c r="CK10" s="12">
        <f>INDEX(ovrTable25,MATCH(INDEX(oppCol,ROW()),ovrTeamCol25,0),MATCH(MID(INDEX('Structured 2025'!headerRow,1,COLUMN()),4,LEN(INDEX('Structured 2025'!headerRow,1,COLUMN()))),ovrHeaderRow25,0))</f>
        <v>7.9</v>
      </c>
      <c r="CL10" s="12">
        <f>INDEX(ovrTable25,MATCH(INDEX(oppCol,ROW()),ovrTeamCol25,0),MATCH(MID(INDEX('Structured 2025'!headerRow,1,COLUMN()),4,LEN(INDEX('Structured 2025'!headerRow,1,COLUMN()))),ovrHeaderRow25,0))</f>
        <v>4.0999999999999996</v>
      </c>
      <c r="CM10" s="12">
        <f>INDEX(ovrTable25,MATCH(INDEX(oppCol,ROW()),ovrTeamCol25,0),MATCH(MID(INDEX('Structured 2025'!headerRow,1,COLUMN()),4,LEN(INDEX('Structured 2025'!headerRow,1,COLUMN()))),ovrHeaderRow25,0))</f>
        <v>13.17</v>
      </c>
      <c r="CN10" s="12">
        <f>INDEX(ovrTable25,MATCH(INDEX(oppCol,ROW()),ovrTeamCol25,0),MATCH(MID(INDEX('Structured 2025'!headerRow,1,COLUMN()),4,LEN(INDEX('Structured 2025'!headerRow,1,COLUMN()))),ovrHeaderRow25,0))</f>
        <v>9.1</v>
      </c>
      <c r="CO10" s="12">
        <f>INDEX(ovrTable25,MATCH(INDEX(oppCol,ROW()),ovrTeamCol25,0),MATCH(MID(INDEX('Structured 2025'!headerRow,1,COLUMN()),4,LEN(INDEX('Structured 2025'!headerRow,1,COLUMN()))),ovrHeaderRow25,0))</f>
        <v>68.099999999999994</v>
      </c>
      <c r="CP10" s="12">
        <f>INDEX(ovrTable25,MATCH(INDEX(oppCol,ROW()),ovrTeamCol25,0),MATCH(MID(INDEX('Structured 2025'!headerRow,1,COLUMN()),4,LEN(INDEX('Structured 2025'!headerRow,1,COLUMN()))),ovrHeaderRow25,0))</f>
        <v>16.849999999999994</v>
      </c>
      <c r="CQ10" s="12">
        <f>INDEX(ovrTable25,MATCH(INDEX(oppCol,ROW()),ovrTeamCol25,0),MATCH(MID(INDEX('Structured 2025'!headerRow,1,COLUMN()),4,LEN(INDEX('Structured 2025'!headerRow,1,COLUMN()))),ovrHeaderRow25,0))</f>
        <v>63.580246913580226</v>
      </c>
    </row>
    <row r="11" spans="1:104" x14ac:dyDescent="0.3">
      <c r="A11" s="6" t="s">
        <v>514</v>
      </c>
      <c r="B11" s="3">
        <v>16</v>
      </c>
      <c r="C11" s="13" t="str">
        <f>A10</f>
        <v>AUB</v>
      </c>
      <c r="D11" s="14">
        <v>5</v>
      </c>
      <c r="E11" s="23">
        <v>0.31428571428571428</v>
      </c>
      <c r="F11" s="24">
        <v>37.096774193548384</v>
      </c>
      <c r="G11" s="24">
        <v>6</v>
      </c>
      <c r="H11" s="23">
        <v>24</v>
      </c>
      <c r="I11" s="24">
        <v>25</v>
      </c>
      <c r="J11" s="25">
        <v>0.6</v>
      </c>
      <c r="K11" s="24">
        <v>11</v>
      </c>
      <c r="L11" s="24">
        <v>19</v>
      </c>
      <c r="M11" s="24">
        <v>8</v>
      </c>
      <c r="N11" s="24">
        <v>28</v>
      </c>
      <c r="O11" s="24">
        <v>6</v>
      </c>
      <c r="P11" s="24">
        <v>10</v>
      </c>
      <c r="Q11" s="24">
        <v>3</v>
      </c>
      <c r="R11" s="24">
        <v>10</v>
      </c>
      <c r="S11" s="24">
        <v>10</v>
      </c>
      <c r="T11" s="24">
        <v>27</v>
      </c>
      <c r="U11" s="24">
        <v>14</v>
      </c>
      <c r="V11" s="24">
        <v>0.45</v>
      </c>
      <c r="W11" s="26">
        <v>0.41935483870967744</v>
      </c>
      <c r="X11" s="23">
        <v>57.894736842105267</v>
      </c>
      <c r="Y11" s="24">
        <v>83</v>
      </c>
      <c r="Z11" s="24">
        <v>63</v>
      </c>
      <c r="AA11" s="24">
        <v>-10</v>
      </c>
      <c r="AB11" s="24">
        <v>36</v>
      </c>
      <c r="AC11" s="24">
        <v>-20</v>
      </c>
      <c r="AD11" s="24">
        <v>2</v>
      </c>
      <c r="AE11" s="24">
        <v>12</v>
      </c>
      <c r="AF11" s="34">
        <f t="shared" si="0"/>
        <v>17</v>
      </c>
      <c r="AG11" s="34">
        <f t="shared" si="1"/>
        <v>37.000000000000007</v>
      </c>
      <c r="AH11" s="46">
        <f t="shared" si="2"/>
        <v>73.025000000000006</v>
      </c>
      <c r="AI11" s="51">
        <f t="shared" ref="AI11" si="10">AVERAGE(AH10,AH11)</f>
        <v>73.112500000000011</v>
      </c>
      <c r="AJ11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K11" s="12">
        <f>INDEX(ovrTable25,MATCH(INDEX('Structured 2025'!teamCol,ROW()),ovrTeamCol25,0),MATCH(MID(INDEX('Structured 2025'!headerRow,1,COLUMN()),4,LEN(INDEX('Structured 2025'!headerRow,1,COLUMN()))),ovrHeaderRow25,0))</f>
        <v>8.9</v>
      </c>
      <c r="AL11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M11" s="12">
        <f>INDEX(ovrTable25,MATCH(INDEX('Structured 2025'!teamCol,ROW()),ovrTeamCol25,0),MATCH(MID(INDEX('Structured 2025'!headerRow,1,COLUMN()),4,LEN(INDEX('Structured 2025'!headerRow,1,COLUMN()))),ovrHeaderRow25,0))</f>
        <v>27.2</v>
      </c>
      <c r="AN11" s="12">
        <f>INDEX(ovrTable25,MATCH(INDEX('Structured 2025'!teamCol,ROW()),ovrTeamCol25,0),MATCH(MID(INDEX('Structured 2025'!headerRow,1,COLUMN()),4,LEN(INDEX('Structured 2025'!headerRow,1,COLUMN()))),ovrHeaderRow25,0))</f>
        <v>1.28</v>
      </c>
      <c r="AO11" s="12">
        <f>INDEX(ovrTable25,MATCH(INDEX('Structured 2025'!teamCol,ROW()),ovrTeamCol25,0),MATCH(MID(INDEX('Structured 2025'!headerRow,1,COLUMN()),4,LEN(INDEX('Structured 2025'!headerRow,1,COLUMN()))),ovrHeaderRow25,0))</f>
        <v>11.6</v>
      </c>
      <c r="AP11" s="12">
        <f>INDEX(ovrTable25,MATCH(INDEX('Structured 2025'!teamCol,ROW()),ovrTeamCol25,0),MATCH(MID(INDEX('Structured 2025'!headerRow,1,COLUMN()),4,LEN(INDEX('Structured 2025'!headerRow,1,COLUMN()))),ovrHeaderRow25,0))</f>
        <v>24.17</v>
      </c>
      <c r="AQ11" s="12">
        <f>INDEX(ovrTable25,MATCH(INDEX('Structured 2025'!teamCol,ROW()),ovrTeamCol25,0),MATCH(MID(INDEX('Structured 2025'!headerRow,1,COLUMN()),4,LEN(INDEX('Structured 2025'!headerRow,1,COLUMN()))),ovrHeaderRow25,0))</f>
        <v>2.8</v>
      </c>
      <c r="AR11" s="12">
        <f>INDEX(ovrTable25,MATCH(INDEX('Structured 2025'!teamCol,ROW()),ovrTeamCol25,0),MATCH(MID(INDEX('Structured 2025'!headerRow,1,COLUMN()),4,LEN(INDEX('Structured 2025'!headerRow,1,COLUMN()))),ovrHeaderRow25,0))</f>
        <v>43.7</v>
      </c>
      <c r="AS11" s="12">
        <f>INDEX(ovrTable25,MATCH(INDEX('Structured 2025'!teamCol,ROW()),ovrTeamCol25,0),MATCH(MID(INDEX('Structured 2025'!headerRow,1,COLUMN()),4,LEN(INDEX('Structured 2025'!headerRow,1,COLUMN()))),ovrHeaderRow25,0))</f>
        <v>24.61</v>
      </c>
      <c r="AT11" s="12">
        <f>INDEX(ovrTable25,MATCH(INDEX('Structured 2025'!teamCol,ROW()),ovrTeamCol25,0),MATCH(MID(INDEX('Structured 2025'!headerRow,1,COLUMN()),4,LEN(INDEX('Structured 2025'!headerRow,1,COLUMN()))),ovrHeaderRow25,0))</f>
        <v>0.47499999999999998</v>
      </c>
      <c r="AU11" s="12">
        <f>INDEX(ovrTable25,MATCH(INDEX('Structured 2025'!teamCol,ROW()),ovrTeamCol25,0),MATCH(MID(INDEX('Structured 2025'!headerRow,1,COLUMN()),4,LEN(INDEX('Structured 2025'!headerRow,1,COLUMN()))),ovrHeaderRow25,0))</f>
        <v>13.39</v>
      </c>
      <c r="AV11" s="12">
        <f>INDEX(ovrTable25,MATCH(INDEX('Structured 2025'!teamCol,ROW()),ovrTeamCol25,0),MATCH(MID(INDEX('Structured 2025'!headerRow,1,COLUMN()),4,LEN(INDEX('Structured 2025'!headerRow,1,COLUMN()))),ovrHeaderRow25,0))</f>
        <v>40.5</v>
      </c>
      <c r="AW11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AX11" s="12">
        <f>INDEX(ovrTable25,MATCH(INDEX('Structured 2025'!teamCol,ROW()),ovrTeamCol25,0),MATCH(MID(INDEX('Structured 2025'!headerRow,1,COLUMN()),4,LEN(INDEX('Structured 2025'!headerRow,1,COLUMN()))),ovrHeaderRow25,0))</f>
        <v>68.599999999999994</v>
      </c>
      <c r="AY11" s="12">
        <f>INDEX(ovrTable25,MATCH(INDEX('Structured 2025'!teamCol,ROW()),ovrTeamCol25,0),MATCH(MID(INDEX('Structured 2025'!headerRow,1,COLUMN()),4,LEN(INDEX('Structured 2025'!headerRow,1,COLUMN()))),ovrHeaderRow25,0))</f>
        <v>18.5</v>
      </c>
      <c r="AZ11" s="12">
        <f>INDEX(ovrTable25,MATCH(INDEX('Structured 2025'!teamCol,ROW()),ovrTeamCol25,0),MATCH(MID(INDEX('Structured 2025'!headerRow,1,COLUMN()),4,LEN(INDEX('Structured 2025'!headerRow,1,COLUMN()))),ovrHeaderRow25,0))</f>
        <v>12.7</v>
      </c>
      <c r="BA11" s="12">
        <f>INDEX(ovrTable25,MATCH(INDEX('Structured 2025'!teamCol,ROW()),ovrTeamCol25,0),MATCH(MID(INDEX('Structured 2025'!headerRow,1,COLUMN()),4,LEN(INDEX('Structured 2025'!headerRow,1,COLUMN()))),ovrHeaderRow25,0))</f>
        <v>72.400000000000006</v>
      </c>
      <c r="BB11" s="12">
        <f>INDEX(ovrTable25,MATCH(INDEX('Structured 2025'!teamCol,ROW()),ovrTeamCol25,0),MATCH(MID(INDEX('Structured 2025'!headerRow,1,COLUMN()),4,LEN(INDEX('Structured 2025'!headerRow,1,COLUMN()))),ovrHeaderRow25,0))</f>
        <v>11.58</v>
      </c>
      <c r="BC11" s="12">
        <f>INDEX(ovrTable25,MATCH(INDEX('Structured 2025'!teamCol,ROW()),ovrTeamCol25,0),MATCH(MID(INDEX('Structured 2025'!headerRow,1,COLUMN()),4,LEN(INDEX('Structured 2025'!headerRow,1,COLUMN()))),ovrHeaderRow25,0))</f>
        <v>73.099999999999994</v>
      </c>
      <c r="BD11" s="12">
        <f>INDEX(ovrTable25,MATCH(INDEX('Structured 2025'!teamCol,ROW()),ovrTeamCol25,0),MATCH(MID(INDEX('Structured 2025'!headerRow,1,COLUMN()),4,LEN(INDEX('Structured 2025'!headerRow,1,COLUMN()))),ovrHeaderRow25,0))</f>
        <v>-3.4</v>
      </c>
      <c r="BE11" s="12">
        <f>INDEX(ovrTable25,MATCH(INDEX('Structured 2025'!teamCol,ROW()),ovrTeamCol25,0),MATCH(MID(INDEX('Structured 2025'!headerRow,1,COLUMN()),4,LEN(INDEX('Structured 2025'!headerRow,1,COLUMN()))),ovrHeaderRow25,0))</f>
        <v>36.19</v>
      </c>
      <c r="BF11" s="12">
        <f>INDEX(ovrTable25,MATCH(INDEX('Structured 2025'!teamCol,ROW()),ovrTeamCol25,0),MATCH(MID(INDEX('Structured 2025'!headerRow,1,COLUMN()),4,LEN(INDEX('Structured 2025'!headerRow,1,COLUMN()))),ovrHeaderRow25,0))</f>
        <v>0.6</v>
      </c>
      <c r="BG11" s="12">
        <f>INDEX(ovrTable25,MATCH(INDEX('Structured 2025'!teamCol,ROW()),ovrTeamCol25,0),MATCH(MID(INDEX('Structured 2025'!headerRow,1,COLUMN()),4,LEN(INDEX('Structured 2025'!headerRow,1,COLUMN()))),ovrHeaderRow25,0))</f>
        <v>7.9</v>
      </c>
      <c r="BH11" s="12">
        <f>INDEX(ovrTable25,MATCH(INDEX('Structured 2025'!teamCol,ROW()),ovrTeamCol25,0),MATCH(MID(INDEX('Structured 2025'!headerRow,1,COLUMN()),4,LEN(INDEX('Structured 2025'!headerRow,1,COLUMN()))),ovrHeaderRow25,0))</f>
        <v>4.0999999999999996</v>
      </c>
      <c r="BI11" s="12">
        <f>INDEX(ovrTable25,MATCH(INDEX('Structured 2025'!teamCol,ROW()),ovrTeamCol25,0),MATCH(MID(INDEX('Structured 2025'!headerRow,1,COLUMN()),4,LEN(INDEX('Structured 2025'!headerRow,1,COLUMN()))),ovrHeaderRow25,0))</f>
        <v>13.17</v>
      </c>
      <c r="BJ11" s="12">
        <f>INDEX(ovrTable25,MATCH(INDEX('Structured 2025'!teamCol,ROW()),ovrTeamCol25,0),MATCH(MID(INDEX('Structured 2025'!headerRow,1,COLUMN()),4,LEN(INDEX('Structured 2025'!headerRow,1,COLUMN()))),ovrHeaderRow25,0))</f>
        <v>9.1</v>
      </c>
      <c r="BK11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11" s="12">
        <f>INDEX(ovrTable25,MATCH(INDEX('Structured 2025'!teamCol,ROW()),ovrTeamCol25,0),MATCH(MID(INDEX('Structured 2025'!headerRow,1,COLUMN()),4,LEN(INDEX('Structured 2025'!headerRow,1,COLUMN()))),ovrHeaderRow25,0))</f>
        <v>16.849999999999994</v>
      </c>
      <c r="BM11" s="12">
        <f>INDEX(ovrTable25,MATCH(INDEX('Structured 2025'!teamCol,ROW()),ovrTeamCol25,0),MATCH(MID(INDEX('Structured 2025'!headerRow,1,COLUMN()),4,LEN(INDEX('Structured 2025'!headerRow,1,COLUMN()))),ovrHeaderRow25,0))</f>
        <v>63.580246913580226</v>
      </c>
      <c r="BN11" s="12">
        <f>INDEX(ovrTable25,MATCH(INDEX(oppCol,ROW()),ovrTeamCol25,0),MATCH(MID(INDEX('Structured 2025'!headerRow,1,COLUMN()),4,LEN(INDEX('Structured 2025'!headerRow,1,COLUMN()))),ovrHeaderRow25,0))</f>
        <v>35</v>
      </c>
      <c r="BO11" s="12">
        <f>INDEX(ovrTable25,MATCH(INDEX(oppCol,ROW()),ovrTeamCol25,0),MATCH(MID(INDEX('Structured 2025'!headerRow,1,COLUMN()),4,LEN(INDEX('Structured 2025'!headerRow,1,COLUMN()))),ovrHeaderRow25,0))</f>
        <v>8.5</v>
      </c>
      <c r="BP11" s="12">
        <f>INDEX(ovrTable25,MATCH(INDEX(oppCol,ROW()),ovrTeamCol25,0),MATCH(MID(INDEX('Structured 2025'!headerRow,1,COLUMN()),4,LEN(INDEX('Structured 2025'!headerRow,1,COLUMN()))),ovrHeaderRow25,0))</f>
        <v>34.799999999999997</v>
      </c>
      <c r="BQ11" s="12">
        <f>INDEX(ovrTable25,MATCH(INDEX(oppCol,ROW()),ovrTeamCol25,0),MATCH(MID(INDEX('Structured 2025'!headerRow,1,COLUMN()),4,LEN(INDEX('Structured 2025'!headerRow,1,COLUMN()))),ovrHeaderRow25,0))</f>
        <v>24.5</v>
      </c>
      <c r="BR11" s="12">
        <f>INDEX(ovrTable25,MATCH(INDEX(oppCol,ROW()),ovrTeamCol25,0),MATCH(MID(INDEX('Structured 2025'!headerRow,1,COLUMN()),4,LEN(INDEX('Structured 2025'!headerRow,1,COLUMN()))),ovrHeaderRow25,0))</f>
        <v>1.56</v>
      </c>
      <c r="BS11" s="12">
        <f>INDEX(ovrTable25,MATCH(INDEX(oppCol,ROW()),ovrTeamCol25,0),MATCH(MID(INDEX('Structured 2025'!headerRow,1,COLUMN()),4,LEN(INDEX('Structured 2025'!headerRow,1,COLUMN()))),ovrHeaderRow25,0))</f>
        <v>17.3</v>
      </c>
      <c r="BT11" s="12">
        <f>INDEX(ovrTable25,MATCH(INDEX(oppCol,ROW()),ovrTeamCol25,0),MATCH(MID(INDEX('Structured 2025'!headerRow,1,COLUMN()),4,LEN(INDEX('Structured 2025'!headerRow,1,COLUMN()))),ovrHeaderRow25,0))</f>
        <v>20.74</v>
      </c>
      <c r="BU11" s="12">
        <f>INDEX(ovrTable25,MATCH(INDEX(oppCol,ROW()),ovrTeamCol25,0),MATCH(MID(INDEX('Structured 2025'!headerRow,1,COLUMN()),4,LEN(INDEX('Structured 2025'!headerRow,1,COLUMN()))),ovrHeaderRow25,0))</f>
        <v>6.2</v>
      </c>
      <c r="BV11" s="12">
        <f>INDEX(ovrTable25,MATCH(INDEX(oppCol,ROW()),ovrTeamCol25,0),MATCH(MID(INDEX('Structured 2025'!headerRow,1,COLUMN()),4,LEN(INDEX('Structured 2025'!headerRow,1,COLUMN()))),ovrHeaderRow25,0))</f>
        <v>42.1</v>
      </c>
      <c r="BW11" s="12">
        <f>INDEX(ovrTable25,MATCH(INDEX(oppCol,ROW()),ovrTeamCol25,0),MATCH(MID(INDEX('Structured 2025'!headerRow,1,COLUMN()),4,LEN(INDEX('Structured 2025'!headerRow,1,COLUMN()))),ovrHeaderRow25,0))</f>
        <v>24.54</v>
      </c>
      <c r="BX11" s="12">
        <f>INDEX(ovrTable25,MATCH(INDEX(oppCol,ROW()),ovrTeamCol25,0),MATCH(MID(INDEX('Structured 2025'!headerRow,1,COLUMN()),4,LEN(INDEX('Structured 2025'!headerRow,1,COLUMN()))),ovrHeaderRow25,0))</f>
        <v>0.55000000000000004</v>
      </c>
      <c r="BY11" s="12">
        <f>INDEX(ovrTable25,MATCH(INDEX(oppCol,ROW()),ovrTeamCol25,0),MATCH(MID(INDEX('Structured 2025'!headerRow,1,COLUMN()),4,LEN(INDEX('Structured 2025'!headerRow,1,COLUMN()))),ovrHeaderRow25,0))</f>
        <v>8.6300000000000008</v>
      </c>
      <c r="BZ11" s="12">
        <f>INDEX(ovrTable25,MATCH(INDEX(oppCol,ROW()),ovrTeamCol25,0),MATCH(MID(INDEX('Structured 2025'!headerRow,1,COLUMN()),4,LEN(INDEX('Structured 2025'!headerRow,1,COLUMN()))),ovrHeaderRow25,0))</f>
        <v>47.5</v>
      </c>
      <c r="CA11" s="12">
        <f>INDEX(ovrTable25,MATCH(INDEX(oppCol,ROW()),ovrTeamCol25,0),MATCH(MID(INDEX('Structured 2025'!headerRow,1,COLUMN()),4,LEN(INDEX('Structured 2025'!headerRow,1,COLUMN()))),ovrHeaderRow25,0))</f>
        <v>18.3</v>
      </c>
      <c r="CB11" s="12">
        <f>INDEX(ovrTable25,MATCH(INDEX(oppCol,ROW()),ovrTeamCol25,0),MATCH(MID(INDEX('Structured 2025'!headerRow,1,COLUMN()),4,LEN(INDEX('Structured 2025'!headerRow,1,COLUMN()))),ovrHeaderRow25,0))</f>
        <v>79.099999999999994</v>
      </c>
      <c r="CC11" s="12">
        <f>INDEX(ovrTable25,MATCH(INDEX(oppCol,ROW()),ovrTeamCol25,0),MATCH(MID(INDEX('Structured 2025'!headerRow,1,COLUMN()),4,LEN(INDEX('Structured 2025'!headerRow,1,COLUMN()))),ovrHeaderRow25,0))</f>
        <v>17.7</v>
      </c>
      <c r="CD11" s="12">
        <f>INDEX(ovrTable25,MATCH(INDEX(oppCol,ROW()),ovrTeamCol25,0),MATCH(MID(INDEX('Structured 2025'!headerRow,1,COLUMN()),4,LEN(INDEX('Structured 2025'!headerRow,1,COLUMN()))),ovrHeaderRow25,0))</f>
        <v>14</v>
      </c>
      <c r="CE11" s="12">
        <f>INDEX(ovrTable25,MATCH(INDEX(oppCol,ROW()),ovrTeamCol25,0),MATCH(MID(INDEX('Structured 2025'!headerRow,1,COLUMN()),4,LEN(INDEX('Structured 2025'!headerRow,1,COLUMN()))),ovrHeaderRow25,0))</f>
        <v>68</v>
      </c>
      <c r="CF11" s="12">
        <f>INDEX(ovrTable25,MATCH(INDEX(oppCol,ROW()),ovrTeamCol25,0),MATCH(MID(INDEX('Structured 2025'!headerRow,1,COLUMN()),4,LEN(INDEX('Structured 2025'!headerRow,1,COLUMN()))),ovrHeaderRow25,0))</f>
        <v>11.2</v>
      </c>
      <c r="CG11" s="12">
        <f>INDEX(ovrTable25,MATCH(INDEX(oppCol,ROW()),ovrTeamCol25,0),MATCH(MID(INDEX('Structured 2025'!headerRow,1,COLUMN()),4,LEN(INDEX('Structured 2025'!headerRow,1,COLUMN()))),ovrHeaderRow25,0))</f>
        <v>77</v>
      </c>
      <c r="CH11" s="12">
        <f>INDEX(ovrTable25,MATCH(INDEX(oppCol,ROW()),ovrTeamCol25,0),MATCH(MID(INDEX('Structured 2025'!headerRow,1,COLUMN()),4,LEN(INDEX('Structured 2025'!headerRow,1,COLUMN()))),ovrHeaderRow25,0))</f>
        <v>6</v>
      </c>
      <c r="CI11" s="12">
        <f>INDEX(ovrTable25,MATCH(INDEX(oppCol,ROW()),ovrTeamCol25,0),MATCH(MID(INDEX('Structured 2025'!headerRow,1,COLUMN()),4,LEN(INDEX('Structured 2025'!headerRow,1,COLUMN()))),ovrHeaderRow25,0))</f>
        <v>35.74</v>
      </c>
      <c r="CJ11" s="12">
        <f>INDEX(ovrTable25,MATCH(INDEX(oppCol,ROW()),ovrTeamCol25,0),MATCH(MID(INDEX('Structured 2025'!headerRow,1,COLUMN()),4,LEN(INDEX('Structured 2025'!headerRow,1,COLUMN()))),ovrHeaderRow25,0))</f>
        <v>9</v>
      </c>
      <c r="CK11" s="12">
        <f>INDEX(ovrTable25,MATCH(INDEX(oppCol,ROW()),ovrTeamCol25,0),MATCH(MID(INDEX('Structured 2025'!headerRow,1,COLUMN()),4,LEN(INDEX('Structured 2025'!headerRow,1,COLUMN()))),ovrHeaderRow25,0))</f>
        <v>5.4</v>
      </c>
      <c r="CL11" s="12">
        <f>INDEX(ovrTable25,MATCH(INDEX(oppCol,ROW()),ovrTeamCol25,0),MATCH(MID(INDEX('Structured 2025'!headerRow,1,COLUMN()),4,LEN(INDEX('Structured 2025'!headerRow,1,COLUMN()))),ovrHeaderRow25,0))</f>
        <v>-0.9</v>
      </c>
      <c r="CM11" s="12">
        <f>INDEX(ovrTable25,MATCH(INDEX(oppCol,ROW()),ovrTeamCol25,0),MATCH(MID(INDEX('Structured 2025'!headerRow,1,COLUMN()),4,LEN(INDEX('Structured 2025'!headerRow,1,COLUMN()))),ovrHeaderRow25,0))</f>
        <v>10.26</v>
      </c>
      <c r="CN11" s="12">
        <f>INDEX(ovrTable25,MATCH(INDEX(oppCol,ROW()),ovrTeamCol25,0),MATCH(MID(INDEX('Structured 2025'!headerRow,1,COLUMN()),4,LEN(INDEX('Structured 2025'!headerRow,1,COLUMN()))),ovrHeaderRow25,0))</f>
        <v>11.1</v>
      </c>
      <c r="CO11" s="12">
        <f>INDEX(ovrTable25,MATCH(INDEX(oppCol,ROW()),ovrTeamCol25,0),MATCH(MID(INDEX('Structured 2025'!headerRow,1,COLUMN()),4,LEN(INDEX('Structured 2025'!headerRow,1,COLUMN()))),ovrHeaderRow25,0))</f>
        <v>68.2</v>
      </c>
      <c r="CP11" s="12">
        <f>INDEX(ovrTable25,MATCH(INDEX(oppCol,ROW()),ovrTeamCol25,0),MATCH(MID(INDEX('Structured 2025'!headerRow,1,COLUMN()),4,LEN(INDEX('Structured 2025'!headerRow,1,COLUMN()))),ovrHeaderRow25,0))</f>
        <v>18.75</v>
      </c>
      <c r="CQ11" s="12">
        <f>INDEX(ovrTable25,MATCH(INDEX(oppCol,ROW()),ovrTeamCol25,0),MATCH(MID(INDEX('Structured 2025'!headerRow,1,COLUMN()),4,LEN(INDEX('Structured 2025'!headerRow,1,COLUMN()))),ovrHeaderRow25,0))</f>
        <v>57.368421052631582</v>
      </c>
    </row>
    <row r="12" spans="1:104" x14ac:dyDescent="0.3">
      <c r="A12" s="6" t="s">
        <v>378</v>
      </c>
      <c r="B12" s="3">
        <v>8</v>
      </c>
      <c r="C12" s="13" t="str">
        <f>A13</f>
        <v>CREI</v>
      </c>
      <c r="D12" s="14">
        <v>6</v>
      </c>
      <c r="E12" s="23">
        <v>0.45833333333333331</v>
      </c>
      <c r="F12" s="24">
        <v>42.857142857142854</v>
      </c>
      <c r="G12" s="24">
        <v>8</v>
      </c>
      <c r="H12" s="23">
        <v>27.586206896551722</v>
      </c>
      <c r="I12" s="24">
        <v>29</v>
      </c>
      <c r="J12" s="25">
        <v>1.6666666666666667</v>
      </c>
      <c r="K12" s="24">
        <v>7</v>
      </c>
      <c r="L12" s="24">
        <v>8</v>
      </c>
      <c r="M12" s="24">
        <v>9</v>
      </c>
      <c r="N12" s="24">
        <v>23</v>
      </c>
      <c r="O12" s="24">
        <v>10</v>
      </c>
      <c r="P12" s="24">
        <v>5</v>
      </c>
      <c r="Q12" s="24">
        <v>3</v>
      </c>
      <c r="R12" s="24">
        <v>6</v>
      </c>
      <c r="S12" s="24">
        <v>15</v>
      </c>
      <c r="T12" s="24">
        <v>19</v>
      </c>
      <c r="U12" s="24">
        <v>11</v>
      </c>
      <c r="V12" s="24">
        <v>0.5714285714285714</v>
      </c>
      <c r="W12" s="26">
        <v>0.48571428571428571</v>
      </c>
      <c r="X12" s="23">
        <v>87.5</v>
      </c>
      <c r="Y12" s="24">
        <v>89</v>
      </c>
      <c r="Z12" s="24">
        <v>75</v>
      </c>
      <c r="AA12" s="24">
        <v>-5</v>
      </c>
      <c r="AB12" s="24">
        <v>32</v>
      </c>
      <c r="AC12" s="24">
        <v>-14</v>
      </c>
      <c r="AD12" s="24">
        <v>4</v>
      </c>
      <c r="AE12" s="24">
        <v>10</v>
      </c>
      <c r="AF12" s="34">
        <f t="shared" si="0"/>
        <v>22</v>
      </c>
      <c r="AG12" s="34">
        <f t="shared" si="1"/>
        <v>41</v>
      </c>
      <c r="AH12" s="46">
        <f t="shared" si="2"/>
        <v>70.8</v>
      </c>
      <c r="AI12" s="51">
        <f t="shared" ref="AI12" si="11">AVERAGE(AH12,AH13)</f>
        <v>70.387499999999989</v>
      </c>
      <c r="AJ12" s="12">
        <f>INDEX(ovrTable25,MATCH(INDEX('Structured 2025'!teamCol,ROW()),ovrTeamCol25,0),MATCH(MID(INDEX('Structured 2025'!headerRow,1,COLUMN()),4,LEN(INDEX('Structured 2025'!headerRow,1,COLUMN()))),ovrHeaderRow25,0))</f>
        <v>34.1</v>
      </c>
      <c r="AK12" s="12">
        <f>INDEX(ovrTable25,MATCH(INDEX('Structured 2025'!teamCol,ROW()),ovrTeamCol25,0),MATCH(MID(INDEX('Structured 2025'!headerRow,1,COLUMN()),4,LEN(INDEX('Structured 2025'!headerRow,1,COLUMN()))),ovrHeaderRow25,0))</f>
        <v>9.4</v>
      </c>
      <c r="AL12" s="12">
        <f>INDEX(ovrTable25,MATCH(INDEX('Structured 2025'!teamCol,ROW()),ovrTeamCol25,0),MATCH(MID(INDEX('Structured 2025'!headerRow,1,COLUMN()),4,LEN(INDEX('Structured 2025'!headerRow,1,COLUMN()))),ovrHeaderRow25,0))</f>
        <v>32.799999999999997</v>
      </c>
      <c r="AM12" s="12">
        <f>INDEX(ovrTable25,MATCH(INDEX('Structured 2025'!teamCol,ROW()),ovrTeamCol25,0),MATCH(MID(INDEX('Structured 2025'!headerRow,1,COLUMN()),4,LEN(INDEX('Structured 2025'!headerRow,1,COLUMN()))),ovrHeaderRow25,0))</f>
        <v>28.5</v>
      </c>
      <c r="AN12" s="12">
        <f>INDEX(ovrTable25,MATCH(INDEX('Structured 2025'!teamCol,ROW()),ovrTeamCol25,0),MATCH(MID(INDEX('Structured 2025'!headerRow,1,COLUMN()),4,LEN(INDEX('Structured 2025'!headerRow,1,COLUMN()))),ovrHeaderRow25,0))</f>
        <v>1.23</v>
      </c>
      <c r="AO12" s="12">
        <f>INDEX(ovrTable25,MATCH(INDEX('Structured 2025'!teamCol,ROW()),ovrTeamCol25,0),MATCH(MID(INDEX('Structured 2025'!headerRow,1,COLUMN()),4,LEN(INDEX('Structured 2025'!headerRow,1,COLUMN()))),ovrHeaderRow25,0))</f>
        <v>13.9</v>
      </c>
      <c r="AP12" s="12">
        <f>INDEX(ovrTable25,MATCH(INDEX('Structured 2025'!teamCol,ROW()),ovrTeamCol25,0),MATCH(MID(INDEX('Structured 2025'!headerRow,1,COLUMN()),4,LEN(INDEX('Structured 2025'!headerRow,1,COLUMN()))),ovrHeaderRow25,0))</f>
        <v>17</v>
      </c>
      <c r="AQ12" s="12">
        <f>INDEX(ovrTable25,MATCH(INDEX('Structured 2025'!teamCol,ROW()),ovrTeamCol25,0),MATCH(MID(INDEX('Structured 2025'!headerRow,1,COLUMN()),4,LEN(INDEX('Structured 2025'!headerRow,1,COLUMN()))),ovrHeaderRow25,0))</f>
        <v>2.9</v>
      </c>
      <c r="AR12" s="12">
        <f>INDEX(ovrTable25,MATCH(INDEX('Structured 2025'!teamCol,ROW()),ovrTeamCol25,0),MATCH(MID(INDEX('Structured 2025'!headerRow,1,COLUMN()),4,LEN(INDEX('Structured 2025'!headerRow,1,COLUMN()))),ovrHeaderRow25,0))</f>
        <v>42.9</v>
      </c>
      <c r="AS12" s="12">
        <f>INDEX(ovrTable25,MATCH(INDEX('Structured 2025'!teamCol,ROW()),ovrTeamCol25,0),MATCH(MID(INDEX('Structured 2025'!headerRow,1,COLUMN()),4,LEN(INDEX('Structured 2025'!headerRow,1,COLUMN()))),ovrHeaderRow25,0))</f>
        <v>26.17</v>
      </c>
      <c r="AT12" s="12">
        <f>INDEX(ovrTable25,MATCH(INDEX('Structured 2025'!teamCol,ROW()),ovrTeamCol25,0),MATCH(MID(INDEX('Structured 2025'!headerRow,1,COLUMN()),4,LEN(INDEX('Structured 2025'!headerRow,1,COLUMN()))),ovrHeaderRow25,0))</f>
        <v>0.53200000000000003</v>
      </c>
      <c r="AU12" s="12">
        <f>INDEX(ovrTable25,MATCH(INDEX('Structured 2025'!teamCol,ROW()),ovrTeamCol25,0),MATCH(MID(INDEX('Structured 2025'!headerRow,1,COLUMN()),4,LEN(INDEX('Structured 2025'!headerRow,1,COLUMN()))),ovrHeaderRow25,0))</f>
        <v>6.89</v>
      </c>
      <c r="AV12" s="12">
        <f>INDEX(ovrTable25,MATCH(INDEX('Structured 2025'!teamCol,ROW()),ovrTeamCol25,0),MATCH(MID(INDEX('Structured 2025'!headerRow,1,COLUMN()),4,LEN(INDEX('Structured 2025'!headerRow,1,COLUMN()))),ovrHeaderRow25,0))</f>
        <v>45.4</v>
      </c>
      <c r="AW12" s="12">
        <f>INDEX(ovrTable25,MATCH(INDEX('Structured 2025'!teamCol,ROW()),ovrTeamCol25,0),MATCH(MID(INDEX('Structured 2025'!headerRow,1,COLUMN()),4,LEN(INDEX('Structured 2025'!headerRow,1,COLUMN()))),ovrHeaderRow25,0))</f>
        <v>15.6</v>
      </c>
      <c r="AX12" s="12">
        <f>INDEX(ovrTable25,MATCH(INDEX('Structured 2025'!teamCol,ROW()),ovrTeamCol25,0),MATCH(MID(INDEX('Structured 2025'!headerRow,1,COLUMN()),4,LEN(INDEX('Structured 2025'!headerRow,1,COLUMN()))),ovrHeaderRow25,0))</f>
        <v>74.599999999999994</v>
      </c>
      <c r="AY12" s="12">
        <f>INDEX(ovrTable25,MATCH(INDEX('Structured 2025'!teamCol,ROW()),ovrTeamCol25,0),MATCH(MID(INDEX('Structured 2025'!headerRow,1,COLUMN()),4,LEN(INDEX('Structured 2025'!headerRow,1,COLUMN()))),ovrHeaderRow25,0))</f>
        <v>20.100000000000001</v>
      </c>
      <c r="AZ12" s="12">
        <f>INDEX(ovrTable25,MATCH(INDEX('Structured 2025'!teamCol,ROW()),ovrTeamCol25,0),MATCH(MID(INDEX('Structured 2025'!headerRow,1,COLUMN()),4,LEN(INDEX('Structured 2025'!headerRow,1,COLUMN()))),ovrHeaderRow25,0))</f>
        <v>15</v>
      </c>
      <c r="BA12" s="12">
        <f>INDEX(ovrTable25,MATCH(INDEX('Structured 2025'!teamCol,ROW()),ovrTeamCol25,0),MATCH(MID(INDEX('Structured 2025'!headerRow,1,COLUMN()),4,LEN(INDEX('Structured 2025'!headerRow,1,COLUMN()))),ovrHeaderRow25,0))</f>
        <v>69.5</v>
      </c>
      <c r="BB12" s="12">
        <f>INDEX(ovrTable25,MATCH(INDEX('Structured 2025'!teamCol,ROW()),ovrTeamCol25,0),MATCH(MID(INDEX('Structured 2025'!headerRow,1,COLUMN()),4,LEN(INDEX('Structured 2025'!headerRow,1,COLUMN()))),ovrHeaderRow25,0))</f>
        <v>11.11</v>
      </c>
      <c r="BC12" s="12">
        <f>INDEX(ovrTable25,MATCH(INDEX('Structured 2025'!teamCol,ROW()),ovrTeamCol25,0),MATCH(MID(INDEX('Structured 2025'!headerRow,1,COLUMN()),4,LEN(INDEX('Structured 2025'!headerRow,1,COLUMN()))),ovrHeaderRow25,0))</f>
        <v>78.5</v>
      </c>
      <c r="BD12" s="12">
        <f>INDEX(ovrTable25,MATCH(INDEX('Structured 2025'!teamCol,ROW()),ovrTeamCol25,0),MATCH(MID(INDEX('Structured 2025'!headerRow,1,COLUMN()),4,LEN(INDEX('Structured 2025'!headerRow,1,COLUMN()))),ovrHeaderRow25,0))</f>
        <v>3.9</v>
      </c>
      <c r="BE12" s="12">
        <f>INDEX(ovrTable25,MATCH(INDEX('Structured 2025'!teamCol,ROW()),ovrTeamCol25,0),MATCH(MID(INDEX('Structured 2025'!headerRow,1,COLUMN()),4,LEN(INDEX('Structured 2025'!headerRow,1,COLUMN()))),ovrHeaderRow25,0))</f>
        <v>37.29</v>
      </c>
      <c r="BF12" s="12">
        <f>INDEX(ovrTable25,MATCH(INDEX('Structured 2025'!teamCol,ROW()),ovrTeamCol25,0),MATCH(MID(INDEX('Structured 2025'!headerRow,1,COLUMN()),4,LEN(INDEX('Structured 2025'!headerRow,1,COLUMN()))),ovrHeaderRow25,0))</f>
        <v>9</v>
      </c>
      <c r="BG12" s="12">
        <f>INDEX(ovrTable25,MATCH(INDEX('Structured 2025'!teamCol,ROW()),ovrTeamCol25,0),MATCH(MID(INDEX('Structured 2025'!headerRow,1,COLUMN()),4,LEN(INDEX('Structured 2025'!headerRow,1,COLUMN()))),ovrHeaderRow25,0))</f>
        <v>6.4</v>
      </c>
      <c r="BH12" s="12">
        <f>INDEX(ovrTable25,MATCH(INDEX('Structured 2025'!teamCol,ROW()),ovrTeamCol25,0),MATCH(MID(INDEX('Structured 2025'!headerRow,1,COLUMN()),4,LEN(INDEX('Structured 2025'!headerRow,1,COLUMN()))),ovrHeaderRow25,0))</f>
        <v>1.5</v>
      </c>
      <c r="BI12" s="12">
        <f>INDEX(ovrTable25,MATCH(INDEX('Structured 2025'!teamCol,ROW()),ovrTeamCol25,0),MATCH(MID(INDEX('Structured 2025'!headerRow,1,COLUMN()),4,LEN(INDEX('Structured 2025'!headerRow,1,COLUMN()))),ovrHeaderRow25,0))</f>
        <v>12.8</v>
      </c>
      <c r="BJ12" s="12">
        <f>INDEX(ovrTable25,MATCH(INDEX('Structured 2025'!teamCol,ROW()),ovrTeamCol25,0),MATCH(MID(INDEX('Structured 2025'!headerRow,1,COLUMN()),4,LEN(INDEX('Structured 2025'!headerRow,1,COLUMN()))),ovrHeaderRow25,0))</f>
        <v>11.3</v>
      </c>
      <c r="BK12" s="12">
        <f>INDEX(ovrTable25,MATCH(INDEX('Structured 2025'!teamCol,ROW()),ovrTeamCol25,0),MATCH(MID(INDEX('Structured 2025'!headerRow,1,COLUMN()),4,LEN(INDEX('Structured 2025'!headerRow,1,COLUMN()))),ovrHeaderRow25,0))</f>
        <v>69.099999999999994</v>
      </c>
      <c r="BL12" s="12">
        <f>INDEX(ovrTable25,MATCH(INDEX('Structured 2025'!teamCol,ROW()),ovrTeamCol25,0),MATCH(MID(INDEX('Structured 2025'!headerRow,1,COLUMN()),4,LEN(INDEX('Structured 2025'!headerRow,1,COLUMN()))),ovrHeaderRow25,0))</f>
        <v>17.649999999999999</v>
      </c>
      <c r="BM12" s="12">
        <f>INDEX(ovrTable25,MATCH(INDEX('Structured 2025'!teamCol,ROW()),ovrTeamCol25,0),MATCH(MID(INDEX('Structured 2025'!headerRow,1,COLUMN()),4,LEN(INDEX('Structured 2025'!headerRow,1,COLUMN()))),ovrHeaderRow25,0))</f>
        <v>59.581497797356818</v>
      </c>
      <c r="BN12" s="12">
        <f>INDEX(ovrTable25,MATCH(INDEX(oppCol,ROW()),ovrTeamCol25,0),MATCH(MID(INDEX('Structured 2025'!headerRow,1,COLUMN()),4,LEN(INDEX('Structured 2025'!headerRow,1,COLUMN()))),ovrHeaderRow25,0))</f>
        <v>32.6</v>
      </c>
      <c r="BO12" s="12">
        <f>INDEX(ovrTable25,MATCH(INDEX(oppCol,ROW()),ovrTeamCol25,0),MATCH(MID(INDEX('Structured 2025'!headerRow,1,COLUMN()),4,LEN(INDEX('Structured 2025'!headerRow,1,COLUMN()))),ovrHeaderRow25,0))</f>
        <v>9.6</v>
      </c>
      <c r="BP12" s="12">
        <f>INDEX(ovrTable25,MATCH(INDEX(oppCol,ROW()),ovrTeamCol25,0),MATCH(MID(INDEX('Structured 2025'!headerRow,1,COLUMN()),4,LEN(INDEX('Structured 2025'!headerRow,1,COLUMN()))),ovrHeaderRow25,0))</f>
        <v>34.5</v>
      </c>
      <c r="BQ12" s="12">
        <f>INDEX(ovrTable25,MATCH(INDEX(oppCol,ROW()),ovrTeamCol25,0),MATCH(MID(INDEX('Structured 2025'!headerRow,1,COLUMN()),4,LEN(INDEX('Structured 2025'!headerRow,1,COLUMN()))),ovrHeaderRow25,0))</f>
        <v>27.7</v>
      </c>
      <c r="BR12" s="12">
        <f>INDEX(ovrTable25,MATCH(INDEX(oppCol,ROW()),ovrTeamCol25,0),MATCH(MID(INDEX('Structured 2025'!headerRow,1,COLUMN()),4,LEN(INDEX('Structured 2025'!headerRow,1,COLUMN()))),ovrHeaderRow25,0))</f>
        <v>1.4</v>
      </c>
      <c r="BS12" s="12">
        <f>INDEX(ovrTable25,MATCH(INDEX(oppCol,ROW()),ovrTeamCol25,0),MATCH(MID(INDEX('Structured 2025'!headerRow,1,COLUMN()),4,LEN(INDEX('Structured 2025'!headerRow,1,COLUMN()))),ovrHeaderRow25,0))</f>
        <v>17.100000000000001</v>
      </c>
      <c r="BT12" s="12">
        <f>INDEX(ovrTable25,MATCH(INDEX(oppCol,ROW()),ovrTeamCol25,0),MATCH(MID(INDEX('Structured 2025'!headerRow,1,COLUMN()),4,LEN(INDEX('Structured 2025'!headerRow,1,COLUMN()))),ovrHeaderRow25,0))</f>
        <v>13.31</v>
      </c>
      <c r="BU12" s="12">
        <f>INDEX(ovrTable25,MATCH(INDEX(oppCol,ROW()),ovrTeamCol25,0),MATCH(MID(INDEX('Structured 2025'!headerRow,1,COLUMN()),4,LEN(INDEX('Structured 2025'!headerRow,1,COLUMN()))),ovrHeaderRow25,0))</f>
        <v>4.5</v>
      </c>
      <c r="BV12" s="12">
        <f>INDEX(ovrTable25,MATCH(INDEX(oppCol,ROW()),ovrTeamCol25,0),MATCH(MID(INDEX('Structured 2025'!headerRow,1,COLUMN()),4,LEN(INDEX('Structured 2025'!headerRow,1,COLUMN()))),ovrHeaderRow25,0))</f>
        <v>41.4</v>
      </c>
      <c r="BW12" s="12">
        <f>INDEX(ovrTable25,MATCH(INDEX(oppCol,ROW()),ovrTeamCol25,0),MATCH(MID(INDEX('Structured 2025'!headerRow,1,COLUMN()),4,LEN(INDEX('Structured 2025'!headerRow,1,COLUMN()))),ovrHeaderRow25,0))</f>
        <v>28.97</v>
      </c>
      <c r="BX12" s="12">
        <f>INDEX(ovrTable25,MATCH(INDEX(oppCol,ROW()),ovrTeamCol25,0),MATCH(MID(INDEX('Structured 2025'!headerRow,1,COLUMN()),4,LEN(INDEX('Structured 2025'!headerRow,1,COLUMN()))),ovrHeaderRow25,0))</f>
        <v>0.56100000000000005</v>
      </c>
      <c r="BY12" s="12">
        <f>INDEX(ovrTable25,MATCH(INDEX(oppCol,ROW()),ovrTeamCol25,0),MATCH(MID(INDEX('Structured 2025'!headerRow,1,COLUMN()),4,LEN(INDEX('Structured 2025'!headerRow,1,COLUMN()))),ovrHeaderRow25,0))</f>
        <v>9.36</v>
      </c>
      <c r="BZ12" s="12">
        <f>INDEX(ovrTable25,MATCH(INDEX(oppCol,ROW()),ovrTeamCol25,0),MATCH(MID(INDEX('Structured 2025'!headerRow,1,COLUMN()),4,LEN(INDEX('Structured 2025'!headerRow,1,COLUMN()))),ovrHeaderRow25,0))</f>
        <v>47.7</v>
      </c>
      <c r="CA12" s="12">
        <f>INDEX(ovrTable25,MATCH(INDEX(oppCol,ROW()),ovrTeamCol25,0),MATCH(MID(INDEX('Structured 2025'!headerRow,1,COLUMN()),4,LEN(INDEX('Structured 2025'!headerRow,1,COLUMN()))),ovrHeaderRow25,0))</f>
        <v>11.1</v>
      </c>
      <c r="CB12" s="12">
        <f>INDEX(ovrTable25,MATCH(INDEX(oppCol,ROW()),ovrTeamCol25,0),MATCH(MID(INDEX('Structured 2025'!headerRow,1,COLUMN()),4,LEN(INDEX('Structured 2025'!headerRow,1,COLUMN()))),ovrHeaderRow25,0))</f>
        <v>72.8</v>
      </c>
      <c r="CC12" s="12">
        <f>INDEX(ovrTable25,MATCH(INDEX(oppCol,ROW()),ovrTeamCol25,0),MATCH(MID(INDEX('Structured 2025'!headerRow,1,COLUMN()),4,LEN(INDEX('Structured 2025'!headerRow,1,COLUMN()))),ovrHeaderRow25,0))</f>
        <v>16.2</v>
      </c>
      <c r="CD12" s="12">
        <f>INDEX(ovrTable25,MATCH(INDEX(oppCol,ROW()),ovrTeamCol25,0),MATCH(MID(INDEX('Structured 2025'!headerRow,1,COLUMN()),4,LEN(INDEX('Structured 2025'!headerRow,1,COLUMN()))),ovrHeaderRow25,0))</f>
        <v>11.8</v>
      </c>
      <c r="CE12" s="12">
        <f>INDEX(ovrTable25,MATCH(INDEX(oppCol,ROW()),ovrTeamCol25,0),MATCH(MID(INDEX('Structured 2025'!headerRow,1,COLUMN()),4,LEN(INDEX('Structured 2025'!headerRow,1,COLUMN()))),ovrHeaderRow25,0))</f>
        <v>70</v>
      </c>
      <c r="CF12" s="12">
        <f>INDEX(ovrTable25,MATCH(INDEX(oppCol,ROW()),ovrTeamCol25,0),MATCH(MID(INDEX('Structured 2025'!headerRow,1,COLUMN()),4,LEN(INDEX('Structured 2025'!headerRow,1,COLUMN()))),ovrHeaderRow25,0))</f>
        <v>8.42</v>
      </c>
      <c r="CG12" s="12">
        <f>INDEX(ovrTable25,MATCH(INDEX(oppCol,ROW()),ovrTeamCol25,0),MATCH(MID(INDEX('Structured 2025'!headerRow,1,COLUMN()),4,LEN(INDEX('Structured 2025'!headerRow,1,COLUMN()))),ovrHeaderRow25,0))</f>
        <v>75.5</v>
      </c>
      <c r="CH12" s="12">
        <f>INDEX(ovrTable25,MATCH(INDEX(oppCol,ROW()),ovrTeamCol25,0),MATCH(MID(INDEX('Structured 2025'!headerRow,1,COLUMN()),4,LEN(INDEX('Structured 2025'!headerRow,1,COLUMN()))),ovrHeaderRow25,0))</f>
        <v>3.1</v>
      </c>
      <c r="CI12" s="12">
        <f>INDEX(ovrTable25,MATCH(INDEX(oppCol,ROW()),ovrTeamCol25,0),MATCH(MID(INDEX('Structured 2025'!headerRow,1,COLUMN()),4,LEN(INDEX('Structured 2025'!headerRow,1,COLUMN()))),ovrHeaderRow25,0))</f>
        <v>37.39</v>
      </c>
      <c r="CJ12" s="12">
        <f>INDEX(ovrTable25,MATCH(INDEX(oppCol,ROW()),ovrTeamCol25,0),MATCH(MID(INDEX('Structured 2025'!headerRow,1,COLUMN()),4,LEN(INDEX('Structured 2025'!headerRow,1,COLUMN()))),ovrHeaderRow25,0))</f>
        <v>5.4</v>
      </c>
      <c r="CK12" s="12">
        <f>INDEX(ovrTable25,MATCH(INDEX(oppCol,ROW()),ovrTeamCol25,0),MATCH(MID(INDEX('Structured 2025'!headerRow,1,COLUMN()),4,LEN(INDEX('Structured 2025'!headerRow,1,COLUMN()))),ovrHeaderRow25,0))</f>
        <v>3.6</v>
      </c>
      <c r="CL12" s="12">
        <f>INDEX(ovrTable25,MATCH(INDEX(oppCol,ROW()),ovrTeamCol25,0),MATCH(MID(INDEX('Structured 2025'!headerRow,1,COLUMN()),4,LEN(INDEX('Structured 2025'!headerRow,1,COLUMN()))),ovrHeaderRow25,0))</f>
        <v>-4.3</v>
      </c>
      <c r="CM12" s="12">
        <f>INDEX(ovrTable25,MATCH(INDEX(oppCol,ROW()),ovrTeamCol25,0),MATCH(MID(INDEX('Structured 2025'!headerRow,1,COLUMN()),4,LEN(INDEX('Structured 2025'!headerRow,1,COLUMN()))),ovrHeaderRow25,0))</f>
        <v>7.92</v>
      </c>
      <c r="CN12" s="12">
        <f>INDEX(ovrTable25,MATCH(INDEX(oppCol,ROW()),ovrTeamCol25,0),MATCH(MID(INDEX('Structured 2025'!headerRow,1,COLUMN()),4,LEN(INDEX('Structured 2025'!headerRow,1,COLUMN()))),ovrHeaderRow25,0))</f>
        <v>12.2</v>
      </c>
      <c r="CO12" s="12">
        <f>INDEX(ovrTable25,MATCH(INDEX(oppCol,ROW()),ovrTeamCol25,0),MATCH(MID(INDEX('Structured 2025'!headerRow,1,COLUMN()),4,LEN(INDEX('Structured 2025'!headerRow,1,COLUMN()))),ovrHeaderRow25,0))</f>
        <v>67.3</v>
      </c>
      <c r="CP12" s="12">
        <f>INDEX(ovrTable25,MATCH(INDEX(oppCol,ROW()),ovrTeamCol25,0),MATCH(MID(INDEX('Structured 2025'!headerRow,1,COLUMN()),4,LEN(INDEX('Structured 2025'!headerRow,1,COLUMN()))),ovrHeaderRow25,0))</f>
        <v>17.450000000000003</v>
      </c>
      <c r="CQ12" s="12">
        <f>INDEX(ovrTable25,MATCH(INDEX(oppCol,ROW()),ovrTeamCol25,0),MATCH(MID(INDEX('Structured 2025'!headerRow,1,COLUMN()),4,LEN(INDEX('Structured 2025'!headerRow,1,COLUMN()))),ovrHeaderRow25,0))</f>
        <v>56.708595387840674</v>
      </c>
    </row>
    <row r="13" spans="1:104" x14ac:dyDescent="0.3">
      <c r="A13" s="6" t="s">
        <v>56</v>
      </c>
      <c r="B13" s="3">
        <v>9</v>
      </c>
      <c r="C13" s="13" t="str">
        <f>A12</f>
        <v>LOU</v>
      </c>
      <c r="D13" s="14">
        <v>6</v>
      </c>
      <c r="E13" s="23">
        <v>0.27586206896551724</v>
      </c>
      <c r="F13" s="24">
        <v>57.142857142857139</v>
      </c>
      <c r="G13" s="24">
        <v>11</v>
      </c>
      <c r="H13" s="23">
        <v>45.833333333333329</v>
      </c>
      <c r="I13" s="24">
        <v>24</v>
      </c>
      <c r="J13" s="25">
        <v>1.7</v>
      </c>
      <c r="K13" s="24">
        <v>14</v>
      </c>
      <c r="L13" s="24">
        <v>21</v>
      </c>
      <c r="M13" s="24">
        <v>6</v>
      </c>
      <c r="N13" s="24">
        <v>31</v>
      </c>
      <c r="O13" s="24">
        <v>17</v>
      </c>
      <c r="P13" s="24">
        <v>2</v>
      </c>
      <c r="Q13" s="24">
        <v>5</v>
      </c>
      <c r="R13" s="24">
        <v>10</v>
      </c>
      <c r="S13" s="24">
        <v>16</v>
      </c>
      <c r="T13" s="24">
        <v>11</v>
      </c>
      <c r="U13" s="24">
        <v>4</v>
      </c>
      <c r="V13" s="24">
        <v>0.42857142857142855</v>
      </c>
      <c r="W13" s="26">
        <v>0.6696428571428571</v>
      </c>
      <c r="X13" s="23">
        <v>66.666666666666657</v>
      </c>
      <c r="Y13" s="24">
        <v>75</v>
      </c>
      <c r="Z13" s="24">
        <v>89</v>
      </c>
      <c r="AA13" s="24">
        <v>5</v>
      </c>
      <c r="AB13" s="24">
        <v>37</v>
      </c>
      <c r="AC13" s="24">
        <v>14</v>
      </c>
      <c r="AD13" s="24">
        <v>-4</v>
      </c>
      <c r="AE13" s="24">
        <v>6</v>
      </c>
      <c r="AF13" s="34">
        <f t="shared" si="0"/>
        <v>21</v>
      </c>
      <c r="AG13" s="34">
        <f t="shared" si="1"/>
        <v>32</v>
      </c>
      <c r="AH13" s="46">
        <f t="shared" si="2"/>
        <v>69.974999999999994</v>
      </c>
      <c r="AI13" s="51">
        <f t="shared" ref="AI13" si="12">AVERAGE(AH12,AH13)</f>
        <v>70.387499999999989</v>
      </c>
      <c r="AJ13" s="12">
        <f>INDEX(ovrTable25,MATCH(INDEX('Structured 2025'!teamCol,ROW()),ovrTeamCol25,0),MATCH(MID(INDEX('Structured 2025'!headerRow,1,COLUMN()),4,LEN(INDEX('Structured 2025'!headerRow,1,COLUMN()))),ovrHeaderRow25,0))</f>
        <v>32.6</v>
      </c>
      <c r="AK13" s="12">
        <f>INDEX(ovrTable25,MATCH(INDEX('Structured 2025'!teamCol,ROW()),ovrTeamCol25,0),MATCH(MID(INDEX('Structured 2025'!headerRow,1,COLUMN()),4,LEN(INDEX('Structured 2025'!headerRow,1,COLUMN()))),ovrHeaderRow25,0))</f>
        <v>9.6</v>
      </c>
      <c r="AL13" s="12">
        <f>INDEX(ovrTable25,MATCH(INDEX('Structured 2025'!teamCol,ROW()),ovrTeamCol25,0),MATCH(MID(INDEX('Structured 2025'!headerRow,1,COLUMN()),4,LEN(INDEX('Structured 2025'!headerRow,1,COLUMN()))),ovrHeaderRow25,0))</f>
        <v>34.5</v>
      </c>
      <c r="AM13" s="12">
        <f>INDEX(ovrTable25,MATCH(INDEX('Structured 2025'!teamCol,ROW()),ovrTeamCol25,0),MATCH(MID(INDEX('Structured 2025'!headerRow,1,COLUMN()),4,LEN(INDEX('Structured 2025'!headerRow,1,COLUMN()))),ovrHeaderRow25,0))</f>
        <v>27.7</v>
      </c>
      <c r="AN13" s="12">
        <f>INDEX(ovrTable25,MATCH(INDEX('Structured 2025'!teamCol,ROW()),ovrTeamCol25,0),MATCH(MID(INDEX('Structured 2025'!headerRow,1,COLUMN()),4,LEN(INDEX('Structured 2025'!headerRow,1,COLUMN()))),ovrHeaderRow25,0))</f>
        <v>1.4</v>
      </c>
      <c r="AO13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P13" s="12">
        <f>INDEX(ovrTable25,MATCH(INDEX('Structured 2025'!teamCol,ROW()),ovrTeamCol25,0),MATCH(MID(INDEX('Structured 2025'!headerRow,1,COLUMN()),4,LEN(INDEX('Structured 2025'!headerRow,1,COLUMN()))),ovrHeaderRow25,0))</f>
        <v>13.31</v>
      </c>
      <c r="AQ13" s="12">
        <f>INDEX(ovrTable25,MATCH(INDEX('Structured 2025'!teamCol,ROW()),ovrTeamCol25,0),MATCH(MID(INDEX('Structured 2025'!headerRow,1,COLUMN()),4,LEN(INDEX('Structured 2025'!headerRow,1,COLUMN()))),ovrHeaderRow25,0))</f>
        <v>4.5</v>
      </c>
      <c r="AR13" s="12">
        <f>INDEX(ovrTable25,MATCH(INDEX('Structured 2025'!teamCol,ROW()),ovrTeamCol25,0),MATCH(MID(INDEX('Structured 2025'!headerRow,1,COLUMN()),4,LEN(INDEX('Structured 2025'!headerRow,1,COLUMN()))),ovrHeaderRow25,0))</f>
        <v>41.4</v>
      </c>
      <c r="AS13" s="12">
        <f>INDEX(ovrTable25,MATCH(INDEX('Structured 2025'!teamCol,ROW()),ovrTeamCol25,0),MATCH(MID(INDEX('Structured 2025'!headerRow,1,COLUMN()),4,LEN(INDEX('Structured 2025'!headerRow,1,COLUMN()))),ovrHeaderRow25,0))</f>
        <v>28.97</v>
      </c>
      <c r="AT13" s="12">
        <f>INDEX(ovrTable25,MATCH(INDEX('Structured 2025'!teamCol,ROW()),ovrTeamCol25,0),MATCH(MID(INDEX('Structured 2025'!headerRow,1,COLUMN()),4,LEN(INDEX('Structured 2025'!headerRow,1,COLUMN()))),ovrHeaderRow25,0))</f>
        <v>0.56100000000000005</v>
      </c>
      <c r="AU13" s="12">
        <f>INDEX(ovrTable25,MATCH(INDEX('Structured 2025'!teamCol,ROW()),ovrTeamCol25,0),MATCH(MID(INDEX('Structured 2025'!headerRow,1,COLUMN()),4,LEN(INDEX('Structured 2025'!headerRow,1,COLUMN()))),ovrHeaderRow25,0))</f>
        <v>9.36</v>
      </c>
      <c r="AV13" s="12">
        <f>INDEX(ovrTable25,MATCH(INDEX('Structured 2025'!teamCol,ROW()),ovrTeamCol25,0),MATCH(MID(INDEX('Structured 2025'!headerRow,1,COLUMN()),4,LEN(INDEX('Structured 2025'!headerRow,1,COLUMN()))),ovrHeaderRow25,0))</f>
        <v>47.7</v>
      </c>
      <c r="AW13" s="12">
        <f>INDEX(ovrTable25,MATCH(INDEX('Structured 2025'!teamCol,ROW()),ovrTeamCol25,0),MATCH(MID(INDEX('Structured 2025'!headerRow,1,COLUMN()),4,LEN(INDEX('Structured 2025'!headerRow,1,COLUMN()))),ovrHeaderRow25,0))</f>
        <v>11.1</v>
      </c>
      <c r="AX13" s="12">
        <f>INDEX(ovrTable25,MATCH(INDEX('Structured 2025'!teamCol,ROW()),ovrTeamCol25,0),MATCH(MID(INDEX('Structured 2025'!headerRow,1,COLUMN()),4,LEN(INDEX('Structured 2025'!headerRow,1,COLUMN()))),ovrHeaderRow25,0))</f>
        <v>72.8</v>
      </c>
      <c r="AY13" s="12">
        <f>INDEX(ovrTable25,MATCH(INDEX('Structured 2025'!teamCol,ROW()),ovrTeamCol25,0),MATCH(MID(INDEX('Structured 2025'!headerRow,1,COLUMN()),4,LEN(INDEX('Structured 2025'!headerRow,1,COLUMN()))),ovrHeaderRow25,0))</f>
        <v>16.2</v>
      </c>
      <c r="AZ13" s="12">
        <f>INDEX(ovrTable25,MATCH(INDEX('Structured 2025'!teamCol,ROW()),ovrTeamCol25,0),MATCH(MID(INDEX('Structured 2025'!headerRow,1,COLUMN()),4,LEN(INDEX('Structured 2025'!headerRow,1,COLUMN()))),ovrHeaderRow25,0))</f>
        <v>11.8</v>
      </c>
      <c r="BA13" s="12">
        <f>INDEX(ovrTable25,MATCH(INDEX('Structured 2025'!teamCol,ROW()),ovrTeamCol25,0),MATCH(MID(INDEX('Structured 2025'!headerRow,1,COLUMN()),4,LEN(INDEX('Structured 2025'!headerRow,1,COLUMN()))),ovrHeaderRow25,0))</f>
        <v>70</v>
      </c>
      <c r="BB13" s="12">
        <f>INDEX(ovrTable25,MATCH(INDEX('Structured 2025'!teamCol,ROW()),ovrTeamCol25,0),MATCH(MID(INDEX('Structured 2025'!headerRow,1,COLUMN()),4,LEN(INDEX('Structured 2025'!headerRow,1,COLUMN()))),ovrHeaderRow25,0))</f>
        <v>8.42</v>
      </c>
      <c r="BC13" s="12">
        <f>INDEX(ovrTable25,MATCH(INDEX('Structured 2025'!teamCol,ROW()),ovrTeamCol25,0),MATCH(MID(INDEX('Structured 2025'!headerRow,1,COLUMN()),4,LEN(INDEX('Structured 2025'!headerRow,1,COLUMN()))),ovrHeaderRow25,0))</f>
        <v>75.5</v>
      </c>
      <c r="BD13" s="12">
        <f>INDEX(ovrTable25,MATCH(INDEX('Structured 2025'!teamCol,ROW()),ovrTeamCol25,0),MATCH(MID(INDEX('Structured 2025'!headerRow,1,COLUMN()),4,LEN(INDEX('Structured 2025'!headerRow,1,COLUMN()))),ovrHeaderRow25,0))</f>
        <v>3.1</v>
      </c>
      <c r="BE13" s="12">
        <f>INDEX(ovrTable25,MATCH(INDEX('Structured 2025'!teamCol,ROW()),ovrTeamCol25,0),MATCH(MID(INDEX('Structured 2025'!headerRow,1,COLUMN()),4,LEN(INDEX('Structured 2025'!headerRow,1,COLUMN()))),ovrHeaderRow25,0))</f>
        <v>37.39</v>
      </c>
      <c r="BF13" s="12">
        <f>INDEX(ovrTable25,MATCH(INDEX('Structured 2025'!teamCol,ROW()),ovrTeamCol25,0),MATCH(MID(INDEX('Structured 2025'!headerRow,1,COLUMN()),4,LEN(INDEX('Structured 2025'!headerRow,1,COLUMN()))),ovrHeaderRow25,0))</f>
        <v>5.4</v>
      </c>
      <c r="BG13" s="12">
        <f>INDEX(ovrTable25,MATCH(INDEX('Structured 2025'!teamCol,ROW()),ovrTeamCol25,0),MATCH(MID(INDEX('Structured 2025'!headerRow,1,COLUMN()),4,LEN(INDEX('Structured 2025'!headerRow,1,COLUMN()))),ovrHeaderRow25,0))</f>
        <v>3.6</v>
      </c>
      <c r="BH13" s="12">
        <f>INDEX(ovrTable25,MATCH(INDEX('Structured 2025'!teamCol,ROW()),ovrTeamCol25,0),MATCH(MID(INDEX('Structured 2025'!headerRow,1,COLUMN()),4,LEN(INDEX('Structured 2025'!headerRow,1,COLUMN()))),ovrHeaderRow25,0))</f>
        <v>-4.3</v>
      </c>
      <c r="BI13" s="12">
        <f>INDEX(ovrTable25,MATCH(INDEX('Structured 2025'!teamCol,ROW()),ovrTeamCol25,0),MATCH(MID(INDEX('Structured 2025'!headerRow,1,COLUMN()),4,LEN(INDEX('Structured 2025'!headerRow,1,COLUMN()))),ovrHeaderRow25,0))</f>
        <v>7.92</v>
      </c>
      <c r="BJ13" s="12">
        <f>INDEX(ovrTable25,MATCH(INDEX('Structured 2025'!teamCol,ROW()),ovrTeamCol25,0),MATCH(MID(INDEX('Structured 2025'!headerRow,1,COLUMN()),4,LEN(INDEX('Structured 2025'!headerRow,1,COLUMN()))),ovrHeaderRow25,0))</f>
        <v>12.2</v>
      </c>
      <c r="BK13" s="12">
        <f>INDEX(ovrTable25,MATCH(INDEX('Structured 2025'!teamCol,ROW()),ovrTeamCol25,0),MATCH(MID(INDEX('Structured 2025'!headerRow,1,COLUMN()),4,LEN(INDEX('Structured 2025'!headerRow,1,COLUMN()))),ovrHeaderRow25,0))</f>
        <v>67.3</v>
      </c>
      <c r="BL13" s="12">
        <f>INDEX(ovrTable25,MATCH(INDEX('Structured 2025'!teamCol,ROW()),ovrTeamCol25,0),MATCH(MID(INDEX('Structured 2025'!headerRow,1,COLUMN()),4,LEN(INDEX('Structured 2025'!headerRow,1,COLUMN()))),ovrHeaderRow25,0))</f>
        <v>17.450000000000003</v>
      </c>
      <c r="BM13" s="12">
        <f>INDEX(ovrTable25,MATCH(INDEX('Structured 2025'!teamCol,ROW()),ovrTeamCol25,0),MATCH(MID(INDEX('Structured 2025'!headerRow,1,COLUMN()),4,LEN(INDEX('Structured 2025'!headerRow,1,COLUMN()))),ovrHeaderRow25,0))</f>
        <v>56.708595387840674</v>
      </c>
      <c r="BN13" s="12">
        <f>INDEX(ovrTable25,MATCH(INDEX(oppCol,ROW()),ovrTeamCol25,0),MATCH(MID(INDEX('Structured 2025'!headerRow,1,COLUMN()),4,LEN(INDEX('Structured 2025'!headerRow,1,COLUMN()))),ovrHeaderRow25,0))</f>
        <v>34.1</v>
      </c>
      <c r="BO13" s="12">
        <f>INDEX(ovrTable25,MATCH(INDEX(oppCol,ROW()),ovrTeamCol25,0),MATCH(MID(INDEX('Structured 2025'!headerRow,1,COLUMN()),4,LEN(INDEX('Structured 2025'!headerRow,1,COLUMN()))),ovrHeaderRow25,0))</f>
        <v>9.4</v>
      </c>
      <c r="BP13" s="12">
        <f>INDEX(ovrTable25,MATCH(INDEX(oppCol,ROW()),ovrTeamCol25,0),MATCH(MID(INDEX('Structured 2025'!headerRow,1,COLUMN()),4,LEN(INDEX('Structured 2025'!headerRow,1,COLUMN()))),ovrHeaderRow25,0))</f>
        <v>32.799999999999997</v>
      </c>
      <c r="BQ13" s="12">
        <f>INDEX(ovrTable25,MATCH(INDEX(oppCol,ROW()),ovrTeamCol25,0),MATCH(MID(INDEX('Structured 2025'!headerRow,1,COLUMN()),4,LEN(INDEX('Structured 2025'!headerRow,1,COLUMN()))),ovrHeaderRow25,0))</f>
        <v>28.5</v>
      </c>
      <c r="BR13" s="12">
        <f>INDEX(ovrTable25,MATCH(INDEX(oppCol,ROW()),ovrTeamCol25,0),MATCH(MID(INDEX('Structured 2025'!headerRow,1,COLUMN()),4,LEN(INDEX('Structured 2025'!headerRow,1,COLUMN()))),ovrHeaderRow25,0))</f>
        <v>1.23</v>
      </c>
      <c r="BS13" s="12">
        <f>INDEX(ovrTable25,MATCH(INDEX(oppCol,ROW()),ovrTeamCol25,0),MATCH(MID(INDEX('Structured 2025'!headerRow,1,COLUMN()),4,LEN(INDEX('Structured 2025'!headerRow,1,COLUMN()))),ovrHeaderRow25,0))</f>
        <v>13.9</v>
      </c>
      <c r="BT13" s="12">
        <f>INDEX(ovrTable25,MATCH(INDEX(oppCol,ROW()),ovrTeamCol25,0),MATCH(MID(INDEX('Structured 2025'!headerRow,1,COLUMN()),4,LEN(INDEX('Structured 2025'!headerRow,1,COLUMN()))),ovrHeaderRow25,0))</f>
        <v>17</v>
      </c>
      <c r="BU13" s="12">
        <f>INDEX(ovrTable25,MATCH(INDEX(oppCol,ROW()),ovrTeamCol25,0),MATCH(MID(INDEX('Structured 2025'!headerRow,1,COLUMN()),4,LEN(INDEX('Structured 2025'!headerRow,1,COLUMN()))),ovrHeaderRow25,0))</f>
        <v>2.9</v>
      </c>
      <c r="BV13" s="12">
        <f>INDEX(ovrTable25,MATCH(INDEX(oppCol,ROW()),ovrTeamCol25,0),MATCH(MID(INDEX('Structured 2025'!headerRow,1,COLUMN()),4,LEN(INDEX('Structured 2025'!headerRow,1,COLUMN()))),ovrHeaderRow25,0))</f>
        <v>42.9</v>
      </c>
      <c r="BW13" s="12">
        <f>INDEX(ovrTable25,MATCH(INDEX(oppCol,ROW()),ovrTeamCol25,0),MATCH(MID(INDEX('Structured 2025'!headerRow,1,COLUMN()),4,LEN(INDEX('Structured 2025'!headerRow,1,COLUMN()))),ovrHeaderRow25,0))</f>
        <v>26.17</v>
      </c>
      <c r="BX13" s="12">
        <f>INDEX(ovrTable25,MATCH(INDEX(oppCol,ROW()),ovrTeamCol25,0),MATCH(MID(INDEX('Structured 2025'!headerRow,1,COLUMN()),4,LEN(INDEX('Structured 2025'!headerRow,1,COLUMN()))),ovrHeaderRow25,0))</f>
        <v>0.53200000000000003</v>
      </c>
      <c r="BY13" s="12">
        <f>INDEX(ovrTable25,MATCH(INDEX(oppCol,ROW()),ovrTeamCol25,0),MATCH(MID(INDEX('Structured 2025'!headerRow,1,COLUMN()),4,LEN(INDEX('Structured 2025'!headerRow,1,COLUMN()))),ovrHeaderRow25,0))</f>
        <v>6.89</v>
      </c>
      <c r="BZ13" s="12">
        <f>INDEX(ovrTable25,MATCH(INDEX(oppCol,ROW()),ovrTeamCol25,0),MATCH(MID(INDEX('Structured 2025'!headerRow,1,COLUMN()),4,LEN(INDEX('Structured 2025'!headerRow,1,COLUMN()))),ovrHeaderRow25,0))</f>
        <v>45.4</v>
      </c>
      <c r="CA13" s="12">
        <f>INDEX(ovrTable25,MATCH(INDEX(oppCol,ROW()),ovrTeamCol25,0),MATCH(MID(INDEX('Structured 2025'!headerRow,1,COLUMN()),4,LEN(INDEX('Structured 2025'!headerRow,1,COLUMN()))),ovrHeaderRow25,0))</f>
        <v>15.6</v>
      </c>
      <c r="CB13" s="12">
        <f>INDEX(ovrTable25,MATCH(INDEX(oppCol,ROW()),ovrTeamCol25,0),MATCH(MID(INDEX('Structured 2025'!headerRow,1,COLUMN()),4,LEN(INDEX('Structured 2025'!headerRow,1,COLUMN()))),ovrHeaderRow25,0))</f>
        <v>74.599999999999994</v>
      </c>
      <c r="CC13" s="12">
        <f>INDEX(ovrTable25,MATCH(INDEX(oppCol,ROW()),ovrTeamCol25,0),MATCH(MID(INDEX('Structured 2025'!headerRow,1,COLUMN()),4,LEN(INDEX('Structured 2025'!headerRow,1,COLUMN()))),ovrHeaderRow25,0))</f>
        <v>20.100000000000001</v>
      </c>
      <c r="CD13" s="12">
        <f>INDEX(ovrTable25,MATCH(INDEX(oppCol,ROW()),ovrTeamCol25,0),MATCH(MID(INDEX('Structured 2025'!headerRow,1,COLUMN()),4,LEN(INDEX('Structured 2025'!headerRow,1,COLUMN()))),ovrHeaderRow25,0))</f>
        <v>15</v>
      </c>
      <c r="CE13" s="12">
        <f>INDEX(ovrTable25,MATCH(INDEX(oppCol,ROW()),ovrTeamCol25,0),MATCH(MID(INDEX('Structured 2025'!headerRow,1,COLUMN()),4,LEN(INDEX('Structured 2025'!headerRow,1,COLUMN()))),ovrHeaderRow25,0))</f>
        <v>69.5</v>
      </c>
      <c r="CF13" s="12">
        <f>INDEX(ovrTable25,MATCH(INDEX(oppCol,ROW()),ovrTeamCol25,0),MATCH(MID(INDEX('Structured 2025'!headerRow,1,COLUMN()),4,LEN(INDEX('Structured 2025'!headerRow,1,COLUMN()))),ovrHeaderRow25,0))</f>
        <v>11.11</v>
      </c>
      <c r="CG13" s="12">
        <f>INDEX(ovrTable25,MATCH(INDEX(oppCol,ROW()),ovrTeamCol25,0),MATCH(MID(INDEX('Structured 2025'!headerRow,1,COLUMN()),4,LEN(INDEX('Structured 2025'!headerRow,1,COLUMN()))),ovrHeaderRow25,0))</f>
        <v>78.5</v>
      </c>
      <c r="CH13" s="12">
        <f>INDEX(ovrTable25,MATCH(INDEX(oppCol,ROW()),ovrTeamCol25,0),MATCH(MID(INDEX('Structured 2025'!headerRow,1,COLUMN()),4,LEN(INDEX('Structured 2025'!headerRow,1,COLUMN()))),ovrHeaderRow25,0))</f>
        <v>3.9</v>
      </c>
      <c r="CI13" s="12">
        <f>INDEX(ovrTable25,MATCH(INDEX(oppCol,ROW()),ovrTeamCol25,0),MATCH(MID(INDEX('Structured 2025'!headerRow,1,COLUMN()),4,LEN(INDEX('Structured 2025'!headerRow,1,COLUMN()))),ovrHeaderRow25,0))</f>
        <v>37.29</v>
      </c>
      <c r="CJ13" s="12">
        <f>INDEX(ovrTable25,MATCH(INDEX(oppCol,ROW()),ovrTeamCol25,0),MATCH(MID(INDEX('Structured 2025'!headerRow,1,COLUMN()),4,LEN(INDEX('Structured 2025'!headerRow,1,COLUMN()))),ovrHeaderRow25,0))</f>
        <v>9</v>
      </c>
      <c r="CK13" s="12">
        <f>INDEX(ovrTable25,MATCH(INDEX(oppCol,ROW()),ovrTeamCol25,0),MATCH(MID(INDEX('Structured 2025'!headerRow,1,COLUMN()),4,LEN(INDEX('Structured 2025'!headerRow,1,COLUMN()))),ovrHeaderRow25,0))</f>
        <v>6.4</v>
      </c>
      <c r="CL13" s="12">
        <f>INDEX(ovrTable25,MATCH(INDEX(oppCol,ROW()),ovrTeamCol25,0),MATCH(MID(INDEX('Structured 2025'!headerRow,1,COLUMN()),4,LEN(INDEX('Structured 2025'!headerRow,1,COLUMN()))),ovrHeaderRow25,0))</f>
        <v>1.5</v>
      </c>
      <c r="CM13" s="12">
        <f>INDEX(ovrTable25,MATCH(INDEX(oppCol,ROW()),ovrTeamCol25,0),MATCH(MID(INDEX('Structured 2025'!headerRow,1,COLUMN()),4,LEN(INDEX('Structured 2025'!headerRow,1,COLUMN()))),ovrHeaderRow25,0))</f>
        <v>12.8</v>
      </c>
      <c r="CN13" s="12">
        <f>INDEX(ovrTable25,MATCH(INDEX(oppCol,ROW()),ovrTeamCol25,0),MATCH(MID(INDEX('Structured 2025'!headerRow,1,COLUMN()),4,LEN(INDEX('Structured 2025'!headerRow,1,COLUMN()))),ovrHeaderRow25,0))</f>
        <v>11.3</v>
      </c>
      <c r="CO13" s="12">
        <f>INDEX(ovrTable25,MATCH(INDEX(oppCol,ROW()),ovrTeamCol25,0),MATCH(MID(INDEX('Structured 2025'!headerRow,1,COLUMN()),4,LEN(INDEX('Structured 2025'!headerRow,1,COLUMN()))),ovrHeaderRow25,0))</f>
        <v>69.099999999999994</v>
      </c>
      <c r="CP13" s="12">
        <f>INDEX(ovrTable25,MATCH(INDEX(oppCol,ROW()),ovrTeamCol25,0),MATCH(MID(INDEX('Structured 2025'!headerRow,1,COLUMN()),4,LEN(INDEX('Structured 2025'!headerRow,1,COLUMN()))),ovrHeaderRow25,0))</f>
        <v>17.649999999999999</v>
      </c>
      <c r="CQ13" s="12">
        <f>INDEX(ovrTable25,MATCH(INDEX(oppCol,ROW()),ovrTeamCol25,0),MATCH(MID(INDEX('Structured 2025'!headerRow,1,COLUMN()),4,LEN(INDEX('Structured 2025'!headerRow,1,COLUMN()))),ovrHeaderRow25,0))</f>
        <v>59.581497797356818</v>
      </c>
    </row>
    <row r="14" spans="1:104" x14ac:dyDescent="0.3">
      <c r="A14" s="6" t="s">
        <v>348</v>
      </c>
      <c r="B14" s="3">
        <v>5</v>
      </c>
      <c r="C14" s="13" t="str">
        <f>A15</f>
        <v>UCSD</v>
      </c>
      <c r="D14" s="14">
        <v>7</v>
      </c>
      <c r="E14" s="23">
        <v>0.23333333333333334</v>
      </c>
      <c r="F14" s="24">
        <v>42.105263157894733</v>
      </c>
      <c r="G14" s="24">
        <v>9</v>
      </c>
      <c r="H14" s="23">
        <v>33.333333333333329</v>
      </c>
      <c r="I14" s="24">
        <v>27</v>
      </c>
      <c r="J14" s="25">
        <v>1</v>
      </c>
      <c r="K14" s="24">
        <v>11</v>
      </c>
      <c r="L14" s="24">
        <v>20</v>
      </c>
      <c r="M14" s="24">
        <v>14</v>
      </c>
      <c r="N14" s="24">
        <v>29</v>
      </c>
      <c r="O14" s="24">
        <v>14</v>
      </c>
      <c r="P14" s="24">
        <v>2</v>
      </c>
      <c r="Q14" s="24">
        <v>2</v>
      </c>
      <c r="R14" s="24">
        <v>14</v>
      </c>
      <c r="S14" s="24">
        <v>5</v>
      </c>
      <c r="T14" s="24">
        <v>15</v>
      </c>
      <c r="U14" s="24">
        <v>24</v>
      </c>
      <c r="V14" s="24">
        <v>0.38709677419354838</v>
      </c>
      <c r="W14" s="26">
        <v>0.5</v>
      </c>
      <c r="X14" s="23">
        <v>55.000000000000007</v>
      </c>
      <c r="Y14" s="24">
        <v>65</v>
      </c>
      <c r="Z14" s="24">
        <v>68</v>
      </c>
      <c r="AA14" s="24">
        <v>6</v>
      </c>
      <c r="AB14" s="24">
        <v>43</v>
      </c>
      <c r="AC14" s="24">
        <v>3</v>
      </c>
      <c r="AD14" s="24">
        <v>-6</v>
      </c>
      <c r="AE14" s="24">
        <v>8</v>
      </c>
      <c r="AF14" s="34">
        <f t="shared" si="0"/>
        <v>15</v>
      </c>
      <c r="AG14" s="34">
        <f t="shared" si="1"/>
        <v>30</v>
      </c>
      <c r="AH14" s="46">
        <f t="shared" si="2"/>
        <v>66.5</v>
      </c>
      <c r="AI14" s="51">
        <f t="shared" ref="AI14" si="13">AVERAGE(AH14,AH15)</f>
        <v>66.337500000000006</v>
      </c>
      <c r="AJ14" s="12">
        <f>INDEX(ovrTable25,MATCH(INDEX('Structured 2025'!teamCol,ROW()),ovrTeamCol25,0),MATCH(MID(INDEX('Structured 2025'!headerRow,1,COLUMN()),4,LEN(INDEX('Structured 2025'!headerRow,1,COLUMN()))),ovrHeaderRow25,0))</f>
        <v>30.8</v>
      </c>
      <c r="AK14" s="12">
        <f>INDEX(ovrTable25,MATCH(INDEX('Structured 2025'!teamCol,ROW()),ovrTeamCol25,0),MATCH(MID(INDEX('Structured 2025'!headerRow,1,COLUMN()),4,LEN(INDEX('Structured 2025'!headerRow,1,COLUMN()))),ovrHeaderRow25,0))</f>
        <v>8.1</v>
      </c>
      <c r="AL14" s="12">
        <f>INDEX(ovrTable25,MATCH(INDEX('Structured 2025'!teamCol,ROW()),ovrTeamCol25,0),MATCH(MID(INDEX('Structured 2025'!headerRow,1,COLUMN()),4,LEN(INDEX('Structured 2025'!headerRow,1,COLUMN()))),ovrHeaderRow25,0))</f>
        <v>33.200000000000003</v>
      </c>
      <c r="AM14" s="12">
        <f>INDEX(ovrTable25,MATCH(INDEX('Structured 2025'!teamCol,ROW()),ovrTeamCol25,0),MATCH(MID(INDEX('Structured 2025'!headerRow,1,COLUMN()),4,LEN(INDEX('Structured 2025'!headerRow,1,COLUMN()))),ovrHeaderRow25,0))</f>
        <v>24.5</v>
      </c>
      <c r="AN14" s="12">
        <f>INDEX(ovrTable25,MATCH(INDEX('Structured 2025'!teamCol,ROW()),ovrTeamCol25,0),MATCH(MID(INDEX('Structured 2025'!headerRow,1,COLUMN()),4,LEN(INDEX('Structured 2025'!headerRow,1,COLUMN()))),ovrHeaderRow25,0))</f>
        <v>1.1299999999999999</v>
      </c>
      <c r="AO14" s="12">
        <f>INDEX(ovrTable25,MATCH(INDEX('Structured 2025'!teamCol,ROW()),ovrTeamCol25,0),MATCH(MID(INDEX('Structured 2025'!headerRow,1,COLUMN()),4,LEN(INDEX('Structured 2025'!headerRow,1,COLUMN()))),ovrHeaderRow25,0))</f>
        <v>15.8</v>
      </c>
      <c r="AP14" s="12">
        <f>INDEX(ovrTable25,MATCH(INDEX('Structured 2025'!teamCol,ROW()),ovrTeamCol25,0),MATCH(MID(INDEX('Structured 2025'!headerRow,1,COLUMN()),4,LEN(INDEX('Structured 2025'!headerRow,1,COLUMN()))),ovrHeaderRow25,0))</f>
        <v>18.97</v>
      </c>
      <c r="AQ14" s="12">
        <f>INDEX(ovrTable25,MATCH(INDEX('Structured 2025'!teamCol,ROW()),ovrTeamCol25,0),MATCH(MID(INDEX('Structured 2025'!headerRow,1,COLUMN()),4,LEN(INDEX('Structured 2025'!headerRow,1,COLUMN()))),ovrHeaderRow25,0))</f>
        <v>3.6</v>
      </c>
      <c r="AR14" s="12">
        <f>INDEX(ovrTable25,MATCH(INDEX('Structured 2025'!teamCol,ROW()),ovrTeamCol25,0),MATCH(MID(INDEX('Structured 2025'!headerRow,1,COLUMN()),4,LEN(INDEX('Structured 2025'!headerRow,1,COLUMN()))),ovrHeaderRow25,0))</f>
        <v>40.1</v>
      </c>
      <c r="AS14" s="12">
        <f>INDEX(ovrTable25,MATCH(INDEX('Structured 2025'!teamCol,ROW()),ovrTeamCol25,0),MATCH(MID(INDEX('Structured 2025'!headerRow,1,COLUMN()),4,LEN(INDEX('Structured 2025'!headerRow,1,COLUMN()))),ovrHeaderRow25,0))</f>
        <v>27.38</v>
      </c>
      <c r="AT14" s="12">
        <f>INDEX(ovrTable25,MATCH(INDEX('Structured 2025'!teamCol,ROW()),ovrTeamCol25,0),MATCH(MID(INDEX('Structured 2025'!headerRow,1,COLUMN()),4,LEN(INDEX('Structured 2025'!headerRow,1,COLUMN()))),ovrHeaderRow25,0))</f>
        <v>0.53800000000000003</v>
      </c>
      <c r="AU14" s="12">
        <f>INDEX(ovrTable25,MATCH(INDEX('Structured 2025'!teamCol,ROW()),ovrTeamCol25,0),MATCH(MID(INDEX('Structured 2025'!headerRow,1,COLUMN()),4,LEN(INDEX('Structured 2025'!headerRow,1,COLUMN()))),ovrHeaderRow25,0))</f>
        <v>9.65</v>
      </c>
      <c r="AV14" s="12">
        <f>INDEX(ovrTable25,MATCH(INDEX('Structured 2025'!teamCol,ROW()),ovrTeamCol25,0),MATCH(MID(INDEX('Structured 2025'!headerRow,1,COLUMN()),4,LEN(INDEX('Structured 2025'!headerRow,1,COLUMN()))),ovrHeaderRow25,0))</f>
        <v>46.8</v>
      </c>
      <c r="AW14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14" s="12">
        <f>INDEX(ovrTable25,MATCH(INDEX('Structured 2025'!teamCol,ROW()),ovrTeamCol25,0),MATCH(MID(INDEX('Structured 2025'!headerRow,1,COLUMN()),4,LEN(INDEX('Structured 2025'!headerRow,1,COLUMN()))),ovrHeaderRow25,0))</f>
        <v>72.8</v>
      </c>
      <c r="AY14" s="12">
        <f>INDEX(ovrTable25,MATCH(INDEX('Structured 2025'!teamCol,ROW()),ovrTeamCol25,0),MATCH(MID(INDEX('Structured 2025'!headerRow,1,COLUMN()),4,LEN(INDEX('Structured 2025'!headerRow,1,COLUMN()))),ovrHeaderRow25,0))</f>
        <v>20.9</v>
      </c>
      <c r="AZ14" s="12">
        <f>INDEX(ovrTable25,MATCH(INDEX('Structured 2025'!teamCol,ROW()),ovrTeamCol25,0),MATCH(MID(INDEX('Structured 2025'!headerRow,1,COLUMN()),4,LEN(INDEX('Structured 2025'!headerRow,1,COLUMN()))),ovrHeaderRow25,0))</f>
        <v>15.2</v>
      </c>
      <c r="BA14" s="12">
        <f>INDEX(ovrTable25,MATCH(INDEX('Structured 2025'!teamCol,ROW()),ovrTeamCol25,0),MATCH(MID(INDEX('Structured 2025'!headerRow,1,COLUMN()),4,LEN(INDEX('Structured 2025'!headerRow,1,COLUMN()))),ovrHeaderRow25,0))</f>
        <v>71.5</v>
      </c>
      <c r="BB14" s="12">
        <f>INDEX(ovrTable25,MATCH(INDEX('Structured 2025'!teamCol,ROW()),ovrTeamCol25,0),MATCH(MID(INDEX('Structured 2025'!headerRow,1,COLUMN()),4,LEN(INDEX('Structured 2025'!headerRow,1,COLUMN()))),ovrHeaderRow25,0))</f>
        <v>11.05</v>
      </c>
      <c r="BC14" s="12">
        <f>INDEX(ovrTable25,MATCH(INDEX('Structured 2025'!teamCol,ROW()),ovrTeamCol25,0),MATCH(MID(INDEX('Structured 2025'!headerRow,1,COLUMN()),4,LEN(INDEX('Structured 2025'!headerRow,1,COLUMN()))),ovrHeaderRow25,0))</f>
        <v>78</v>
      </c>
      <c r="BD14" s="12">
        <f>INDEX(ovrTable25,MATCH(INDEX('Structured 2025'!teamCol,ROW()),ovrTeamCol25,0),MATCH(MID(INDEX('Structured 2025'!headerRow,1,COLUMN()),4,LEN(INDEX('Structured 2025'!headerRow,1,COLUMN()))),ovrHeaderRow25,0))</f>
        <v>4.3</v>
      </c>
      <c r="BE14" s="12">
        <f>INDEX(ovrTable25,MATCH(INDEX('Structured 2025'!teamCol,ROW()),ovrTeamCol25,0),MATCH(MID(INDEX('Structured 2025'!headerRow,1,COLUMN()),4,LEN(INDEX('Structured 2025'!headerRow,1,COLUMN()))),ovrHeaderRow25,0))</f>
        <v>38.43</v>
      </c>
      <c r="BF14" s="12">
        <f>INDEX(ovrTable25,MATCH(INDEX('Structured 2025'!teamCol,ROW()),ovrTeamCol25,0),MATCH(MID(INDEX('Structured 2025'!headerRow,1,COLUMN()),4,LEN(INDEX('Structured 2025'!headerRow,1,COLUMN()))),ovrHeaderRow25,0))</f>
        <v>6.5</v>
      </c>
      <c r="BG14" s="12">
        <f>INDEX(ovrTable25,MATCH(INDEX('Structured 2025'!teamCol,ROW()),ovrTeamCol25,0),MATCH(MID(INDEX('Structured 2025'!headerRow,1,COLUMN()),4,LEN(INDEX('Structured 2025'!headerRow,1,COLUMN()))),ovrHeaderRow25,0))</f>
        <v>5.4</v>
      </c>
      <c r="BH14" s="12">
        <f>INDEX(ovrTable25,MATCH(INDEX('Structured 2025'!teamCol,ROW()),ovrTeamCol25,0),MATCH(MID(INDEX('Structured 2025'!headerRow,1,COLUMN()),4,LEN(INDEX('Structured 2025'!headerRow,1,COLUMN()))),ovrHeaderRow25,0))</f>
        <v>-2.7</v>
      </c>
      <c r="BI14" s="12">
        <f>INDEX(ovrTable25,MATCH(INDEX('Structured 2025'!teamCol,ROW()),ovrTeamCol25,0),MATCH(MID(INDEX('Structured 2025'!headerRow,1,COLUMN()),4,LEN(INDEX('Structured 2025'!headerRow,1,COLUMN()))),ovrHeaderRow25,0))</f>
        <v>11.27</v>
      </c>
      <c r="BJ14" s="12">
        <f>INDEX(ovrTable25,MATCH(INDEX('Structured 2025'!teamCol,ROW()),ovrTeamCol25,0),MATCH(MID(INDEX('Structured 2025'!headerRow,1,COLUMN()),4,LEN(INDEX('Structured 2025'!headerRow,1,COLUMN()))),ovrHeaderRow25,0))</f>
        <v>14</v>
      </c>
      <c r="BK14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14" s="12">
        <f>INDEX(ovrTable25,MATCH(INDEX('Structured 2025'!teamCol,ROW()),ovrTeamCol25,0),MATCH(MID(INDEX('Structured 2025'!headerRow,1,COLUMN()),4,LEN(INDEX('Structured 2025'!headerRow,1,COLUMN()))),ovrHeaderRow25,0))</f>
        <v>19.25</v>
      </c>
      <c r="BM14" s="12">
        <f>INDEX(ovrTable25,MATCH(INDEX('Structured 2025'!teamCol,ROW()),ovrTeamCol25,0),MATCH(MID(INDEX('Structured 2025'!headerRow,1,COLUMN()),4,LEN(INDEX('Structured 2025'!headerRow,1,COLUMN()))),ovrHeaderRow25,0))</f>
        <v>58.440170940170944</v>
      </c>
      <c r="BN14" s="12">
        <f>INDEX(ovrTable25,MATCH(INDEX(oppCol,ROW()),ovrTeamCol25,0),MATCH(MID(INDEX('Structured 2025'!headerRow,1,COLUMN()),4,LEN(INDEX('Structured 2025'!headerRow,1,COLUMN()))),ovrHeaderRow25,0))</f>
        <v>32.9</v>
      </c>
      <c r="BO14" s="12">
        <f>INDEX(ovrTable25,MATCH(INDEX(oppCol,ROW()),ovrTeamCol25,0),MATCH(MID(INDEX('Structured 2025'!headerRow,1,COLUMN()),4,LEN(INDEX('Structured 2025'!headerRow,1,COLUMN()))),ovrHeaderRow25,0))</f>
        <v>10.7</v>
      </c>
      <c r="BP14" s="12">
        <f>INDEX(ovrTable25,MATCH(INDEX(oppCol,ROW()),ovrTeamCol25,0),MATCH(MID(INDEX('Structured 2025'!headerRow,1,COLUMN()),4,LEN(INDEX('Structured 2025'!headerRow,1,COLUMN()))),ovrHeaderRow25,0))</f>
        <v>36.200000000000003</v>
      </c>
      <c r="BQ14" s="12">
        <f>INDEX(ovrTable25,MATCH(INDEX(oppCol,ROW()),ovrTeamCol25,0),MATCH(MID(INDEX('Structured 2025'!headerRow,1,COLUMN()),4,LEN(INDEX('Structured 2025'!headerRow,1,COLUMN()))),ovrHeaderRow25,0))</f>
        <v>29.6</v>
      </c>
      <c r="BR14" s="12">
        <f>INDEX(ovrTable25,MATCH(INDEX(oppCol,ROW()),ovrTeamCol25,0),MATCH(MID(INDEX('Structured 2025'!headerRow,1,COLUMN()),4,LEN(INDEX('Structured 2025'!headerRow,1,COLUMN()))),ovrHeaderRow25,0))</f>
        <v>1.8</v>
      </c>
      <c r="BS14" s="12">
        <f>INDEX(ovrTable25,MATCH(INDEX(oppCol,ROW()),ovrTeamCol25,0),MATCH(MID(INDEX('Structured 2025'!headerRow,1,COLUMN()),4,LEN(INDEX('Structured 2025'!headerRow,1,COLUMN()))),ovrHeaderRow25,0))</f>
        <v>15.7</v>
      </c>
      <c r="BT14" s="12">
        <f>INDEX(ovrTable25,MATCH(INDEX(oppCol,ROW()),ovrTeamCol25,0),MATCH(MID(INDEX('Structured 2025'!headerRow,1,COLUMN()),4,LEN(INDEX('Structured 2025'!headerRow,1,COLUMN()))),ovrHeaderRow25,0))</f>
        <v>16.34</v>
      </c>
      <c r="BU14" s="12">
        <f>INDEX(ovrTable25,MATCH(INDEX(oppCol,ROW()),ovrTeamCol25,0),MATCH(MID(INDEX('Structured 2025'!headerRow,1,COLUMN()),4,LEN(INDEX('Structured 2025'!headerRow,1,COLUMN()))),ovrHeaderRow25,0))</f>
        <v>2.1</v>
      </c>
      <c r="BV14" s="12">
        <f>INDEX(ovrTable25,MATCH(INDEX(oppCol,ROW()),ovrTeamCol25,0),MATCH(MID(INDEX('Structured 2025'!headerRow,1,COLUMN()),4,LEN(INDEX('Structured 2025'!headerRow,1,COLUMN()))),ovrHeaderRow25,0))</f>
        <v>39.700000000000003</v>
      </c>
      <c r="BW14" s="12">
        <f>INDEX(ovrTable25,MATCH(INDEX(oppCol,ROW()),ovrTeamCol25,0),MATCH(MID(INDEX('Structured 2025'!headerRow,1,COLUMN()),4,LEN(INDEX('Structured 2025'!headerRow,1,COLUMN()))),ovrHeaderRow25,0))</f>
        <v>24.89</v>
      </c>
      <c r="BX14" s="12">
        <f>INDEX(ovrTable25,MATCH(INDEX(oppCol,ROW()),ovrTeamCol25,0),MATCH(MID(INDEX('Structured 2025'!headerRow,1,COLUMN()),4,LEN(INDEX('Structured 2025'!headerRow,1,COLUMN()))),ovrHeaderRow25,0))</f>
        <v>0.55500000000000005</v>
      </c>
      <c r="BY14" s="12">
        <f>INDEX(ovrTable25,MATCH(INDEX(oppCol,ROW()),ovrTeamCol25,0),MATCH(MID(INDEX('Structured 2025'!headerRow,1,COLUMN()),4,LEN(INDEX('Structured 2025'!headerRow,1,COLUMN()))),ovrHeaderRow25,0))</f>
        <v>13.03</v>
      </c>
      <c r="BZ14" s="12">
        <f>INDEX(ovrTable25,MATCH(INDEX(oppCol,ROW()),ovrTeamCol25,0),MATCH(MID(INDEX('Structured 2025'!headerRow,1,COLUMN()),4,LEN(INDEX('Structured 2025'!headerRow,1,COLUMN()))),ovrHeaderRow25,0))</f>
        <v>46.4</v>
      </c>
      <c r="CA14" s="12">
        <f>INDEX(ovrTable25,MATCH(INDEX(oppCol,ROW()),ovrTeamCol25,0),MATCH(MID(INDEX('Structured 2025'!headerRow,1,COLUMN()),4,LEN(INDEX('Structured 2025'!headerRow,1,COLUMN()))),ovrHeaderRow25,0))</f>
        <v>16.5</v>
      </c>
      <c r="CB14" s="12">
        <f>INDEX(ovrTable25,MATCH(INDEX(oppCol,ROW()),ovrTeamCol25,0),MATCH(MID(INDEX('Structured 2025'!headerRow,1,COLUMN()),4,LEN(INDEX('Structured 2025'!headerRow,1,COLUMN()))),ovrHeaderRow25,0))</f>
        <v>74.599999999999994</v>
      </c>
      <c r="CC14" s="12">
        <f>INDEX(ovrTable25,MATCH(INDEX(oppCol,ROW()),ovrTeamCol25,0),MATCH(MID(INDEX('Structured 2025'!headerRow,1,COLUMN()),4,LEN(INDEX('Structured 2025'!headerRow,1,COLUMN()))),ovrHeaderRow25,0))</f>
        <v>18.899999999999999</v>
      </c>
      <c r="CD14" s="12">
        <f>INDEX(ovrTable25,MATCH(INDEX(oppCol,ROW()),ovrTeamCol25,0),MATCH(MID(INDEX('Structured 2025'!headerRow,1,COLUMN()),4,LEN(INDEX('Structured 2025'!headerRow,1,COLUMN()))),ovrHeaderRow25,0))</f>
        <v>14.1</v>
      </c>
      <c r="CE14" s="12">
        <f>INDEX(ovrTable25,MATCH(INDEX(oppCol,ROW()),ovrTeamCol25,0),MATCH(MID(INDEX('Structured 2025'!headerRow,1,COLUMN()),4,LEN(INDEX('Structured 2025'!headerRow,1,COLUMN()))),ovrHeaderRow25,0))</f>
        <v>61.8</v>
      </c>
      <c r="CF14" s="12">
        <f>INDEX(ovrTable25,MATCH(INDEX(oppCol,ROW()),ovrTeamCol25,0),MATCH(MID(INDEX('Structured 2025'!headerRow,1,COLUMN()),4,LEN(INDEX('Structured 2025'!headerRow,1,COLUMN()))),ovrHeaderRow25,0))</f>
        <v>9.11</v>
      </c>
      <c r="CG14" s="12">
        <f>INDEX(ovrTable25,MATCH(INDEX(oppCol,ROW()),ovrTeamCol25,0),MATCH(MID(INDEX('Structured 2025'!headerRow,1,COLUMN()),4,LEN(INDEX('Structured 2025'!headerRow,1,COLUMN()))),ovrHeaderRow25,0))</f>
        <v>79.3</v>
      </c>
      <c r="CH14" s="12">
        <f>INDEX(ovrTable25,MATCH(INDEX(oppCol,ROW()),ovrTeamCol25,0),MATCH(MID(INDEX('Structured 2025'!headerRow,1,COLUMN()),4,LEN(INDEX('Structured 2025'!headerRow,1,COLUMN()))),ovrHeaderRow25,0))</f>
        <v>-0.4</v>
      </c>
      <c r="CI14" s="12">
        <f>INDEX(ovrTable25,MATCH(INDEX(oppCol,ROW()),ovrTeamCol25,0),MATCH(MID(INDEX('Structured 2025'!headerRow,1,COLUMN()),4,LEN(INDEX('Structured 2025'!headerRow,1,COLUMN()))),ovrHeaderRow25,0))</f>
        <v>34</v>
      </c>
      <c r="CJ14" s="12">
        <f>INDEX(ovrTable25,MATCH(INDEX(oppCol,ROW()),ovrTeamCol25,0),MATCH(MID(INDEX('Structured 2025'!headerRow,1,COLUMN()),4,LEN(INDEX('Structured 2025'!headerRow,1,COLUMN()))),ovrHeaderRow25,0))</f>
        <v>17.5</v>
      </c>
      <c r="CK14" s="12">
        <f>INDEX(ovrTable25,MATCH(INDEX(oppCol,ROW()),ovrTeamCol25,0),MATCH(MID(INDEX('Structured 2025'!headerRow,1,COLUMN()),4,LEN(INDEX('Structured 2025'!headerRow,1,COLUMN()))),ovrHeaderRow25,0))</f>
        <v>9.9</v>
      </c>
      <c r="CL14" s="12">
        <f>INDEX(ovrTable25,MATCH(INDEX(oppCol,ROW()),ovrTeamCol25,0),MATCH(MID(INDEX('Structured 2025'!headerRow,1,COLUMN()),4,LEN(INDEX('Structured 2025'!headerRow,1,COLUMN()))),ovrHeaderRow25,0))</f>
        <v>7.2</v>
      </c>
      <c r="CM14" s="12">
        <f>INDEX(ovrTable25,MATCH(INDEX(oppCol,ROW()),ovrTeamCol25,0),MATCH(MID(INDEX('Structured 2025'!headerRow,1,COLUMN()),4,LEN(INDEX('Structured 2025'!headerRow,1,COLUMN()))),ovrHeaderRow25,0))</f>
        <v>15.91</v>
      </c>
      <c r="CN14" s="12">
        <f>INDEX(ovrTable25,MATCH(INDEX(oppCol,ROW()),ovrTeamCol25,0),MATCH(MID(INDEX('Structured 2025'!headerRow,1,COLUMN()),4,LEN(INDEX('Structured 2025'!headerRow,1,COLUMN()))),ovrHeaderRow25,0))</f>
        <v>8.6999999999999993</v>
      </c>
      <c r="CO14" s="12">
        <f>INDEX(ovrTable25,MATCH(INDEX(oppCol,ROW()),ovrTeamCol25,0),MATCH(MID(INDEX('Structured 2025'!headerRow,1,COLUMN()),4,LEN(INDEX('Structured 2025'!headerRow,1,COLUMN()))),ovrHeaderRow25,0))</f>
        <v>65.8</v>
      </c>
      <c r="CP14" s="12">
        <f>INDEX(ovrTable25,MATCH(INDEX(oppCol,ROW()),ovrTeamCol25,0),MATCH(MID(INDEX('Structured 2025'!headerRow,1,COLUMN()),4,LEN(INDEX('Structured 2025'!headerRow,1,COLUMN()))),ovrHeaderRow25,0))</f>
        <v>16.550000000000004</v>
      </c>
      <c r="CQ14" s="12">
        <f>INDEX(ovrTable25,MATCH(INDEX(oppCol,ROW()),ovrTeamCol25,0),MATCH(MID(INDEX('Structured 2025'!headerRow,1,COLUMN()),4,LEN(INDEX('Structured 2025'!headerRow,1,COLUMN()))),ovrHeaderRow25,0))</f>
        <v>58.728448275862078</v>
      </c>
    </row>
    <row r="15" spans="1:104" x14ac:dyDescent="0.3">
      <c r="A15" s="6" t="s">
        <v>504</v>
      </c>
      <c r="B15" s="3">
        <v>12</v>
      </c>
      <c r="C15" s="13" t="str">
        <f>A14</f>
        <v>MICH</v>
      </c>
      <c r="D15" s="14">
        <v>7</v>
      </c>
      <c r="E15" s="23">
        <v>0.33333333333333331</v>
      </c>
      <c r="F15" s="24">
        <v>38.70967741935484</v>
      </c>
      <c r="G15" s="24">
        <v>7</v>
      </c>
      <c r="H15" s="23">
        <v>23.333333333333332</v>
      </c>
      <c r="I15" s="24">
        <v>30</v>
      </c>
      <c r="J15" s="25">
        <v>1</v>
      </c>
      <c r="K15" s="24">
        <v>10</v>
      </c>
      <c r="L15" s="24">
        <v>13</v>
      </c>
      <c r="M15" s="24">
        <v>10</v>
      </c>
      <c r="N15" s="24">
        <v>27</v>
      </c>
      <c r="O15" s="24">
        <v>8</v>
      </c>
      <c r="P15" s="24">
        <v>7</v>
      </c>
      <c r="Q15" s="24">
        <v>0</v>
      </c>
      <c r="R15" s="24">
        <v>8</v>
      </c>
      <c r="S15" s="24">
        <v>8</v>
      </c>
      <c r="T15" s="24">
        <v>20</v>
      </c>
      <c r="U15" s="24">
        <v>4</v>
      </c>
      <c r="V15" s="24">
        <v>0.42105263157894735</v>
      </c>
      <c r="W15" s="26">
        <v>0.44354838709677419</v>
      </c>
      <c r="X15" s="23">
        <v>76.923076923076934</v>
      </c>
      <c r="Y15" s="24">
        <v>68</v>
      </c>
      <c r="Z15" s="24">
        <v>65</v>
      </c>
      <c r="AA15" s="24">
        <v>-6</v>
      </c>
      <c r="AB15" s="24">
        <v>37</v>
      </c>
      <c r="AC15" s="24">
        <v>-3</v>
      </c>
      <c r="AD15" s="24">
        <v>6</v>
      </c>
      <c r="AE15" s="24">
        <v>14</v>
      </c>
      <c r="AF15" s="34">
        <f t="shared" si="0"/>
        <v>17</v>
      </c>
      <c r="AG15" s="34">
        <f t="shared" si="1"/>
        <v>32</v>
      </c>
      <c r="AH15" s="46">
        <f t="shared" si="2"/>
        <v>66.174999999999997</v>
      </c>
      <c r="AI15" s="51">
        <f t="shared" ref="AI15" si="14">AVERAGE(AH14,AH15)</f>
        <v>66.337500000000006</v>
      </c>
      <c r="AJ15" s="12">
        <f>INDEX(ovrTable25,MATCH(INDEX('Structured 2025'!teamCol,ROW()),ovrTeamCol25,0),MATCH(MID(INDEX('Structured 2025'!headerRow,1,COLUMN()),4,LEN(INDEX('Structured 2025'!headerRow,1,COLUMN()))),ovrHeaderRow25,0))</f>
        <v>32.9</v>
      </c>
      <c r="AK15" s="12">
        <f>INDEX(ovrTable25,MATCH(INDEX('Structured 2025'!teamCol,ROW()),ovrTeamCol25,0),MATCH(MID(INDEX('Structured 2025'!headerRow,1,COLUMN()),4,LEN(INDEX('Structured 2025'!headerRow,1,COLUMN()))),ovrHeaderRow25,0))</f>
        <v>10.7</v>
      </c>
      <c r="AL15" s="12">
        <f>INDEX(ovrTable25,MATCH(INDEX('Structured 2025'!teamCol,ROW()),ovrTeamCol25,0),MATCH(MID(INDEX('Structured 2025'!headerRow,1,COLUMN()),4,LEN(INDEX('Structured 2025'!headerRow,1,COLUMN()))),ovrHeaderRow25,0))</f>
        <v>36.200000000000003</v>
      </c>
      <c r="AM15" s="12">
        <f>INDEX(ovrTable25,MATCH(INDEX('Structured 2025'!teamCol,ROW()),ovrTeamCol25,0),MATCH(MID(INDEX('Structured 2025'!headerRow,1,COLUMN()),4,LEN(INDEX('Structured 2025'!headerRow,1,COLUMN()))),ovrHeaderRow25,0))</f>
        <v>29.6</v>
      </c>
      <c r="AN15" s="12">
        <f>INDEX(ovrTable25,MATCH(INDEX('Structured 2025'!teamCol,ROW()),ovrTeamCol25,0),MATCH(MID(INDEX('Structured 2025'!headerRow,1,COLUMN()),4,LEN(INDEX('Structured 2025'!headerRow,1,COLUMN()))),ovrHeaderRow25,0))</f>
        <v>1.8</v>
      </c>
      <c r="AO15" s="12">
        <f>INDEX(ovrTable25,MATCH(INDEX('Structured 2025'!teamCol,ROW()),ovrTeamCol25,0),MATCH(MID(INDEX('Structured 2025'!headerRow,1,COLUMN()),4,LEN(INDEX('Structured 2025'!headerRow,1,COLUMN()))),ovrHeaderRow25,0))</f>
        <v>15.7</v>
      </c>
      <c r="AP15" s="12">
        <f>INDEX(ovrTable25,MATCH(INDEX('Structured 2025'!teamCol,ROW()),ovrTeamCol25,0),MATCH(MID(INDEX('Structured 2025'!headerRow,1,COLUMN()),4,LEN(INDEX('Structured 2025'!headerRow,1,COLUMN()))),ovrHeaderRow25,0))</f>
        <v>16.34</v>
      </c>
      <c r="AQ15" s="12">
        <f>INDEX(ovrTable25,MATCH(INDEX('Structured 2025'!teamCol,ROW()),ovrTeamCol25,0),MATCH(MID(INDEX('Structured 2025'!headerRow,1,COLUMN()),4,LEN(INDEX('Structured 2025'!headerRow,1,COLUMN()))),ovrHeaderRow25,0))</f>
        <v>2.1</v>
      </c>
      <c r="AR15" s="12">
        <f>INDEX(ovrTable25,MATCH(INDEX('Structured 2025'!teamCol,ROW()),ovrTeamCol25,0),MATCH(MID(INDEX('Structured 2025'!headerRow,1,COLUMN()),4,LEN(INDEX('Structured 2025'!headerRow,1,COLUMN()))),ovrHeaderRow25,0))</f>
        <v>39.700000000000003</v>
      </c>
      <c r="AS15" s="12">
        <f>INDEX(ovrTable25,MATCH(INDEX('Structured 2025'!teamCol,ROW()),ovrTeamCol25,0),MATCH(MID(INDEX('Structured 2025'!headerRow,1,COLUMN()),4,LEN(INDEX('Structured 2025'!headerRow,1,COLUMN()))),ovrHeaderRow25,0))</f>
        <v>24.89</v>
      </c>
      <c r="AT15" s="12">
        <f>INDEX(ovrTable25,MATCH(INDEX('Structured 2025'!teamCol,ROW()),ovrTeamCol25,0),MATCH(MID(INDEX('Structured 2025'!headerRow,1,COLUMN()),4,LEN(INDEX('Structured 2025'!headerRow,1,COLUMN()))),ovrHeaderRow25,0))</f>
        <v>0.55500000000000005</v>
      </c>
      <c r="AU15" s="12">
        <f>INDEX(ovrTable25,MATCH(INDEX('Structured 2025'!teamCol,ROW()),ovrTeamCol25,0),MATCH(MID(INDEX('Structured 2025'!headerRow,1,COLUMN()),4,LEN(INDEX('Structured 2025'!headerRow,1,COLUMN()))),ovrHeaderRow25,0))</f>
        <v>13.03</v>
      </c>
      <c r="AV15" s="12">
        <f>INDEX(ovrTable25,MATCH(INDEX('Structured 2025'!teamCol,ROW()),ovrTeamCol25,0),MATCH(MID(INDEX('Structured 2025'!headerRow,1,COLUMN()),4,LEN(INDEX('Structured 2025'!headerRow,1,COLUMN()))),ovrHeaderRow25,0))</f>
        <v>46.4</v>
      </c>
      <c r="AW15" s="12">
        <f>INDEX(ovrTable25,MATCH(INDEX('Structured 2025'!teamCol,ROW()),ovrTeamCol25,0),MATCH(MID(INDEX('Structured 2025'!headerRow,1,COLUMN()),4,LEN(INDEX('Structured 2025'!headerRow,1,COLUMN()))),ovrHeaderRow25,0))</f>
        <v>16.5</v>
      </c>
      <c r="AX15" s="12">
        <f>INDEX(ovrTable25,MATCH(INDEX('Structured 2025'!teamCol,ROW()),ovrTeamCol25,0),MATCH(MID(INDEX('Structured 2025'!headerRow,1,COLUMN()),4,LEN(INDEX('Structured 2025'!headerRow,1,COLUMN()))),ovrHeaderRow25,0))</f>
        <v>74.599999999999994</v>
      </c>
      <c r="AY15" s="12">
        <f>INDEX(ovrTable25,MATCH(INDEX('Structured 2025'!teamCol,ROW()),ovrTeamCol25,0),MATCH(MID(INDEX('Structured 2025'!headerRow,1,COLUMN()),4,LEN(INDEX('Structured 2025'!headerRow,1,COLUMN()))),ovrHeaderRow25,0))</f>
        <v>18.899999999999999</v>
      </c>
      <c r="AZ15" s="12">
        <f>INDEX(ovrTable25,MATCH(INDEX('Structured 2025'!teamCol,ROW()),ovrTeamCol25,0),MATCH(MID(INDEX('Structured 2025'!headerRow,1,COLUMN()),4,LEN(INDEX('Structured 2025'!headerRow,1,COLUMN()))),ovrHeaderRow25,0))</f>
        <v>14.1</v>
      </c>
      <c r="BA15" s="12">
        <f>INDEX(ovrTable25,MATCH(INDEX('Structured 2025'!teamCol,ROW()),ovrTeamCol25,0),MATCH(MID(INDEX('Structured 2025'!headerRow,1,COLUMN()),4,LEN(INDEX('Structured 2025'!headerRow,1,COLUMN()))),ovrHeaderRow25,0))</f>
        <v>61.8</v>
      </c>
      <c r="BB15" s="12">
        <f>INDEX(ovrTable25,MATCH(INDEX('Structured 2025'!teamCol,ROW()),ovrTeamCol25,0),MATCH(MID(INDEX('Structured 2025'!headerRow,1,COLUMN()),4,LEN(INDEX('Structured 2025'!headerRow,1,COLUMN()))),ovrHeaderRow25,0))</f>
        <v>9.11</v>
      </c>
      <c r="BC15" s="12">
        <f>INDEX(ovrTable25,MATCH(INDEX('Structured 2025'!teamCol,ROW()),ovrTeamCol25,0),MATCH(MID(INDEX('Structured 2025'!headerRow,1,COLUMN()),4,LEN(INDEX('Structured 2025'!headerRow,1,COLUMN()))),ovrHeaderRow25,0))</f>
        <v>79.3</v>
      </c>
      <c r="BD15" s="12">
        <f>INDEX(ovrTable25,MATCH(INDEX('Structured 2025'!teamCol,ROW()),ovrTeamCol25,0),MATCH(MID(INDEX('Structured 2025'!headerRow,1,COLUMN()),4,LEN(INDEX('Structured 2025'!headerRow,1,COLUMN()))),ovrHeaderRow25,0))</f>
        <v>-0.4</v>
      </c>
      <c r="BE15" s="12">
        <f>INDEX(ovrTable25,MATCH(INDEX('Structured 2025'!teamCol,ROW()),ovrTeamCol25,0),MATCH(MID(INDEX('Structured 2025'!headerRow,1,COLUMN()),4,LEN(INDEX('Structured 2025'!headerRow,1,COLUMN()))),ovrHeaderRow25,0))</f>
        <v>34</v>
      </c>
      <c r="BF15" s="12">
        <f>INDEX(ovrTable25,MATCH(INDEX('Structured 2025'!teamCol,ROW()),ovrTeamCol25,0),MATCH(MID(INDEX('Structured 2025'!headerRow,1,COLUMN()),4,LEN(INDEX('Structured 2025'!headerRow,1,COLUMN()))),ovrHeaderRow25,0))</f>
        <v>17.5</v>
      </c>
      <c r="BG15" s="12">
        <f>INDEX(ovrTable25,MATCH(INDEX('Structured 2025'!teamCol,ROW()),ovrTeamCol25,0),MATCH(MID(INDEX('Structured 2025'!headerRow,1,COLUMN()),4,LEN(INDEX('Structured 2025'!headerRow,1,COLUMN()))),ovrHeaderRow25,0))</f>
        <v>9.9</v>
      </c>
      <c r="BH15" s="12">
        <f>INDEX(ovrTable25,MATCH(INDEX('Structured 2025'!teamCol,ROW()),ovrTeamCol25,0),MATCH(MID(INDEX('Structured 2025'!headerRow,1,COLUMN()),4,LEN(INDEX('Structured 2025'!headerRow,1,COLUMN()))),ovrHeaderRow25,0))</f>
        <v>7.2</v>
      </c>
      <c r="BI15" s="12">
        <f>INDEX(ovrTable25,MATCH(INDEX('Structured 2025'!teamCol,ROW()),ovrTeamCol25,0),MATCH(MID(INDEX('Structured 2025'!headerRow,1,COLUMN()),4,LEN(INDEX('Structured 2025'!headerRow,1,COLUMN()))),ovrHeaderRow25,0))</f>
        <v>15.91</v>
      </c>
      <c r="BJ15" s="12">
        <f>INDEX(ovrTable25,MATCH(INDEX('Structured 2025'!teamCol,ROW()),ovrTeamCol25,0),MATCH(MID(INDEX('Structured 2025'!headerRow,1,COLUMN()),4,LEN(INDEX('Structured 2025'!headerRow,1,COLUMN()))),ovrHeaderRow25,0))</f>
        <v>8.6999999999999993</v>
      </c>
      <c r="BK15" s="12">
        <f>INDEX(ovrTable25,MATCH(INDEX('Structured 2025'!teamCol,ROW()),ovrTeamCol25,0),MATCH(MID(INDEX('Structured 2025'!headerRow,1,COLUMN()),4,LEN(INDEX('Structured 2025'!headerRow,1,COLUMN()))),ovrHeaderRow25,0))</f>
        <v>65.8</v>
      </c>
      <c r="BL15" s="12">
        <f>INDEX(ovrTable25,MATCH(INDEX('Structured 2025'!teamCol,ROW()),ovrTeamCol25,0),MATCH(MID(INDEX('Structured 2025'!headerRow,1,COLUMN()),4,LEN(INDEX('Structured 2025'!headerRow,1,COLUMN()))),ovrHeaderRow25,0))</f>
        <v>16.550000000000004</v>
      </c>
      <c r="BM15" s="12">
        <f>INDEX(ovrTable25,MATCH(INDEX('Structured 2025'!teamCol,ROW()),ovrTeamCol25,0),MATCH(MID(INDEX('Structured 2025'!headerRow,1,COLUMN()),4,LEN(INDEX('Structured 2025'!headerRow,1,COLUMN()))),ovrHeaderRow25,0))</f>
        <v>58.728448275862078</v>
      </c>
      <c r="BN15" s="12">
        <f>INDEX(ovrTable25,MATCH(INDEX(oppCol,ROW()),ovrTeamCol25,0),MATCH(MID(INDEX('Structured 2025'!headerRow,1,COLUMN()),4,LEN(INDEX('Structured 2025'!headerRow,1,COLUMN()))),ovrHeaderRow25,0))</f>
        <v>30.8</v>
      </c>
      <c r="BO15" s="12">
        <f>INDEX(ovrTable25,MATCH(INDEX(oppCol,ROW()),ovrTeamCol25,0),MATCH(MID(INDEX('Structured 2025'!headerRow,1,COLUMN()),4,LEN(INDEX('Structured 2025'!headerRow,1,COLUMN()))),ovrHeaderRow25,0))</f>
        <v>8.1</v>
      </c>
      <c r="BP15" s="12">
        <f>INDEX(ovrTable25,MATCH(INDEX(oppCol,ROW()),ovrTeamCol25,0),MATCH(MID(INDEX('Structured 2025'!headerRow,1,COLUMN()),4,LEN(INDEX('Structured 2025'!headerRow,1,COLUMN()))),ovrHeaderRow25,0))</f>
        <v>33.200000000000003</v>
      </c>
      <c r="BQ15" s="12">
        <f>INDEX(ovrTable25,MATCH(INDEX(oppCol,ROW()),ovrTeamCol25,0),MATCH(MID(INDEX('Structured 2025'!headerRow,1,COLUMN()),4,LEN(INDEX('Structured 2025'!headerRow,1,COLUMN()))),ovrHeaderRow25,0))</f>
        <v>24.5</v>
      </c>
      <c r="BR15" s="12">
        <f>INDEX(ovrTable25,MATCH(INDEX(oppCol,ROW()),ovrTeamCol25,0),MATCH(MID(INDEX('Structured 2025'!headerRow,1,COLUMN()),4,LEN(INDEX('Structured 2025'!headerRow,1,COLUMN()))),ovrHeaderRow25,0))</f>
        <v>1.1299999999999999</v>
      </c>
      <c r="BS15" s="12">
        <f>INDEX(ovrTable25,MATCH(INDEX(oppCol,ROW()),ovrTeamCol25,0),MATCH(MID(INDEX('Structured 2025'!headerRow,1,COLUMN()),4,LEN(INDEX('Structured 2025'!headerRow,1,COLUMN()))),ovrHeaderRow25,0))</f>
        <v>15.8</v>
      </c>
      <c r="BT15" s="12">
        <f>INDEX(ovrTable25,MATCH(INDEX(oppCol,ROW()),ovrTeamCol25,0),MATCH(MID(INDEX('Structured 2025'!headerRow,1,COLUMN()),4,LEN(INDEX('Structured 2025'!headerRow,1,COLUMN()))),ovrHeaderRow25,0))</f>
        <v>18.97</v>
      </c>
      <c r="BU15" s="12">
        <f>INDEX(ovrTable25,MATCH(INDEX(oppCol,ROW()),ovrTeamCol25,0),MATCH(MID(INDEX('Structured 2025'!headerRow,1,COLUMN()),4,LEN(INDEX('Structured 2025'!headerRow,1,COLUMN()))),ovrHeaderRow25,0))</f>
        <v>3.6</v>
      </c>
      <c r="BV15" s="12">
        <f>INDEX(ovrTable25,MATCH(INDEX(oppCol,ROW()),ovrTeamCol25,0),MATCH(MID(INDEX('Structured 2025'!headerRow,1,COLUMN()),4,LEN(INDEX('Structured 2025'!headerRow,1,COLUMN()))),ovrHeaderRow25,0))</f>
        <v>40.1</v>
      </c>
      <c r="BW15" s="12">
        <f>INDEX(ovrTable25,MATCH(INDEX(oppCol,ROW()),ovrTeamCol25,0),MATCH(MID(INDEX('Structured 2025'!headerRow,1,COLUMN()),4,LEN(INDEX('Structured 2025'!headerRow,1,COLUMN()))),ovrHeaderRow25,0))</f>
        <v>27.38</v>
      </c>
      <c r="BX15" s="12">
        <f>INDEX(ovrTable25,MATCH(INDEX(oppCol,ROW()),ovrTeamCol25,0),MATCH(MID(INDEX('Structured 2025'!headerRow,1,COLUMN()),4,LEN(INDEX('Structured 2025'!headerRow,1,COLUMN()))),ovrHeaderRow25,0))</f>
        <v>0.53800000000000003</v>
      </c>
      <c r="BY15" s="12">
        <f>INDEX(ovrTable25,MATCH(INDEX(oppCol,ROW()),ovrTeamCol25,0),MATCH(MID(INDEX('Structured 2025'!headerRow,1,COLUMN()),4,LEN(INDEX('Structured 2025'!headerRow,1,COLUMN()))),ovrHeaderRow25,0))</f>
        <v>9.65</v>
      </c>
      <c r="BZ15" s="12">
        <f>INDEX(ovrTable25,MATCH(INDEX(oppCol,ROW()),ovrTeamCol25,0),MATCH(MID(INDEX('Structured 2025'!headerRow,1,COLUMN()),4,LEN(INDEX('Structured 2025'!headerRow,1,COLUMN()))),ovrHeaderRow25,0))</f>
        <v>46.8</v>
      </c>
      <c r="CA15" s="12">
        <f>INDEX(ovrTable25,MATCH(INDEX(oppCol,ROW()),ovrTeamCol25,0),MATCH(MID(INDEX('Structured 2025'!headerRow,1,COLUMN()),4,LEN(INDEX('Structured 2025'!headerRow,1,COLUMN()))),ovrHeaderRow25,0))</f>
        <v>17.100000000000001</v>
      </c>
      <c r="CB15" s="12">
        <f>INDEX(ovrTable25,MATCH(INDEX(oppCol,ROW()),ovrTeamCol25,0),MATCH(MID(INDEX('Structured 2025'!headerRow,1,COLUMN()),4,LEN(INDEX('Structured 2025'!headerRow,1,COLUMN()))),ovrHeaderRow25,0))</f>
        <v>72.8</v>
      </c>
      <c r="CC15" s="12">
        <f>INDEX(ovrTable25,MATCH(INDEX(oppCol,ROW()),ovrTeamCol25,0),MATCH(MID(INDEX('Structured 2025'!headerRow,1,COLUMN()),4,LEN(INDEX('Structured 2025'!headerRow,1,COLUMN()))),ovrHeaderRow25,0))</f>
        <v>20.9</v>
      </c>
      <c r="CD15" s="12">
        <f>INDEX(ovrTable25,MATCH(INDEX(oppCol,ROW()),ovrTeamCol25,0),MATCH(MID(INDEX('Structured 2025'!headerRow,1,COLUMN()),4,LEN(INDEX('Structured 2025'!headerRow,1,COLUMN()))),ovrHeaderRow25,0))</f>
        <v>15.2</v>
      </c>
      <c r="CE15" s="12">
        <f>INDEX(ovrTable25,MATCH(INDEX(oppCol,ROW()),ovrTeamCol25,0),MATCH(MID(INDEX('Structured 2025'!headerRow,1,COLUMN()),4,LEN(INDEX('Structured 2025'!headerRow,1,COLUMN()))),ovrHeaderRow25,0))</f>
        <v>71.5</v>
      </c>
      <c r="CF15" s="12">
        <f>INDEX(ovrTable25,MATCH(INDEX(oppCol,ROW()),ovrTeamCol25,0),MATCH(MID(INDEX('Structured 2025'!headerRow,1,COLUMN()),4,LEN(INDEX('Structured 2025'!headerRow,1,COLUMN()))),ovrHeaderRow25,0))</f>
        <v>11.05</v>
      </c>
      <c r="CG15" s="12">
        <f>INDEX(ovrTable25,MATCH(INDEX(oppCol,ROW()),ovrTeamCol25,0),MATCH(MID(INDEX('Structured 2025'!headerRow,1,COLUMN()),4,LEN(INDEX('Structured 2025'!headerRow,1,COLUMN()))),ovrHeaderRow25,0))</f>
        <v>78</v>
      </c>
      <c r="CH15" s="12">
        <f>INDEX(ovrTable25,MATCH(INDEX(oppCol,ROW()),ovrTeamCol25,0),MATCH(MID(INDEX('Structured 2025'!headerRow,1,COLUMN()),4,LEN(INDEX('Structured 2025'!headerRow,1,COLUMN()))),ovrHeaderRow25,0))</f>
        <v>4.3</v>
      </c>
      <c r="CI15" s="12">
        <f>INDEX(ovrTable25,MATCH(INDEX(oppCol,ROW()),ovrTeamCol25,0),MATCH(MID(INDEX('Structured 2025'!headerRow,1,COLUMN()),4,LEN(INDEX('Structured 2025'!headerRow,1,COLUMN()))),ovrHeaderRow25,0))</f>
        <v>38.43</v>
      </c>
      <c r="CJ15" s="12">
        <f>INDEX(ovrTable25,MATCH(INDEX(oppCol,ROW()),ovrTeamCol25,0),MATCH(MID(INDEX('Structured 2025'!headerRow,1,COLUMN()),4,LEN(INDEX('Structured 2025'!headerRow,1,COLUMN()))),ovrHeaderRow25,0))</f>
        <v>6.5</v>
      </c>
      <c r="CK15" s="12">
        <f>INDEX(ovrTable25,MATCH(INDEX(oppCol,ROW()),ovrTeamCol25,0),MATCH(MID(INDEX('Structured 2025'!headerRow,1,COLUMN()),4,LEN(INDEX('Structured 2025'!headerRow,1,COLUMN()))),ovrHeaderRow25,0))</f>
        <v>5.4</v>
      </c>
      <c r="CL15" s="12">
        <f>INDEX(ovrTable25,MATCH(INDEX(oppCol,ROW()),ovrTeamCol25,0),MATCH(MID(INDEX('Structured 2025'!headerRow,1,COLUMN()),4,LEN(INDEX('Structured 2025'!headerRow,1,COLUMN()))),ovrHeaderRow25,0))</f>
        <v>-2.7</v>
      </c>
      <c r="CM15" s="12">
        <f>INDEX(ovrTable25,MATCH(INDEX(oppCol,ROW()),ovrTeamCol25,0),MATCH(MID(INDEX('Structured 2025'!headerRow,1,COLUMN()),4,LEN(INDEX('Structured 2025'!headerRow,1,COLUMN()))),ovrHeaderRow25,0))</f>
        <v>11.27</v>
      </c>
      <c r="CN15" s="12">
        <f>INDEX(ovrTable25,MATCH(INDEX(oppCol,ROW()),ovrTeamCol25,0),MATCH(MID(INDEX('Structured 2025'!headerRow,1,COLUMN()),4,LEN(INDEX('Structured 2025'!headerRow,1,COLUMN()))),ovrHeaderRow25,0))</f>
        <v>14</v>
      </c>
      <c r="CO15" s="12">
        <f>INDEX(ovrTable25,MATCH(INDEX(oppCol,ROW()),ovrTeamCol25,0),MATCH(MID(INDEX('Structured 2025'!headerRow,1,COLUMN()),4,LEN(INDEX('Structured 2025'!headerRow,1,COLUMN()))),ovrHeaderRow25,0))</f>
        <v>70.099999999999994</v>
      </c>
      <c r="CP15" s="12">
        <f>INDEX(ovrTable25,MATCH(INDEX(oppCol,ROW()),ovrTeamCol25,0),MATCH(MID(INDEX('Structured 2025'!headerRow,1,COLUMN()),4,LEN(INDEX('Structured 2025'!headerRow,1,COLUMN()))),ovrHeaderRow25,0))</f>
        <v>19.25</v>
      </c>
      <c r="CQ15" s="12">
        <f>INDEX(ovrTable25,MATCH(INDEX(oppCol,ROW()),ovrTeamCol25,0),MATCH(MID(INDEX('Structured 2025'!headerRow,1,COLUMN()),4,LEN(INDEX('Structured 2025'!headerRow,1,COLUMN()))),ovrHeaderRow25,0))</f>
        <v>58.440170940170944</v>
      </c>
    </row>
    <row r="16" spans="1:104" x14ac:dyDescent="0.3">
      <c r="A16" s="6" t="s">
        <v>43</v>
      </c>
      <c r="B16" s="3">
        <v>4</v>
      </c>
      <c r="C16" s="13" t="str">
        <f>A17</f>
        <v>YALE</v>
      </c>
      <c r="D16" s="14">
        <v>8</v>
      </c>
      <c r="E16" s="23">
        <v>0.38095238095238093</v>
      </c>
      <c r="F16" s="24">
        <v>51.666666666666671</v>
      </c>
      <c r="G16" s="24">
        <v>6</v>
      </c>
      <c r="H16" s="23">
        <v>24</v>
      </c>
      <c r="I16" s="24">
        <v>25</v>
      </c>
      <c r="J16" s="25">
        <v>1</v>
      </c>
      <c r="K16" s="24">
        <v>12</v>
      </c>
      <c r="L16" s="24">
        <v>21</v>
      </c>
      <c r="M16" s="24">
        <v>10</v>
      </c>
      <c r="N16" s="24">
        <v>27</v>
      </c>
      <c r="O16" s="24">
        <v>11</v>
      </c>
      <c r="P16" s="24">
        <v>9</v>
      </c>
      <c r="Q16" s="24">
        <v>4</v>
      </c>
      <c r="R16" s="24">
        <v>11</v>
      </c>
      <c r="S16" s="24">
        <v>16</v>
      </c>
      <c r="T16" s="24">
        <v>16</v>
      </c>
      <c r="U16" s="24">
        <v>42</v>
      </c>
      <c r="V16" s="24">
        <v>0.46551724137931033</v>
      </c>
      <c r="W16" s="26">
        <v>0.56666666666666676</v>
      </c>
      <c r="X16" s="23">
        <v>57.142857142857139</v>
      </c>
      <c r="Y16" s="24">
        <v>71</v>
      </c>
      <c r="Z16" s="24">
        <v>80</v>
      </c>
      <c r="AA16" s="24">
        <v>8</v>
      </c>
      <c r="AB16" s="24">
        <v>37</v>
      </c>
      <c r="AC16" s="24">
        <v>9</v>
      </c>
      <c r="AD16" s="24">
        <v>2</v>
      </c>
      <c r="AE16" s="24">
        <v>13</v>
      </c>
      <c r="AF16" s="34">
        <f t="shared" si="0"/>
        <v>25</v>
      </c>
      <c r="AG16" s="34">
        <f t="shared" si="1"/>
        <v>34.999999999999993</v>
      </c>
      <c r="AH16" s="46">
        <f t="shared" si="2"/>
        <v>70.974999999999994</v>
      </c>
      <c r="AI16" s="51">
        <f t="shared" ref="AI16" si="15">AVERAGE(AH16,AH17)</f>
        <v>71.3125</v>
      </c>
      <c r="AJ16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K16" s="12">
        <f>INDEX(ovrTable25,MATCH(INDEX('Structured 2025'!teamCol,ROW()),ovrTeamCol25,0),MATCH(MID(INDEX('Structured 2025'!headerRow,1,COLUMN()),4,LEN(INDEX('Structured 2025'!headerRow,1,COLUMN()))),ovrHeaderRow25,0))</f>
        <v>7</v>
      </c>
      <c r="AL16" s="12">
        <f>INDEX(ovrTable25,MATCH(INDEX('Structured 2025'!teamCol,ROW()),ovrTeamCol25,0),MATCH(MID(INDEX('Structured 2025'!headerRow,1,COLUMN()),4,LEN(INDEX('Structured 2025'!headerRow,1,COLUMN()))),ovrHeaderRow25,0))</f>
        <v>30.7</v>
      </c>
      <c r="AM16" s="12">
        <f>INDEX(ovrTable25,MATCH(INDEX('Structured 2025'!teamCol,ROW()),ovrTeamCol25,0),MATCH(MID(INDEX('Structured 2025'!headerRow,1,COLUMN()),4,LEN(INDEX('Structured 2025'!headerRow,1,COLUMN()))),ovrHeaderRow25,0))</f>
        <v>22.7</v>
      </c>
      <c r="AN16" s="12">
        <f>INDEX(ovrTable25,MATCH(INDEX('Structured 2025'!teamCol,ROW()),ovrTeamCol25,0),MATCH(MID(INDEX('Structured 2025'!headerRow,1,COLUMN()),4,LEN(INDEX('Structured 2025'!headerRow,1,COLUMN()))),ovrHeaderRow25,0))</f>
        <v>0.98</v>
      </c>
      <c r="AO16" s="12">
        <f>INDEX(ovrTable25,MATCH(INDEX('Structured 2025'!teamCol,ROW()),ovrTeamCol25,0),MATCH(MID(INDEX('Structured 2025'!headerRow,1,COLUMN()),4,LEN(INDEX('Structured 2025'!headerRow,1,COLUMN()))),ovrHeaderRow25,0))</f>
        <v>11.9</v>
      </c>
      <c r="AP16" s="12">
        <f>INDEX(ovrTable25,MATCH(INDEX('Structured 2025'!teamCol,ROW()),ovrTeamCol25,0),MATCH(MID(INDEX('Structured 2025'!headerRow,1,COLUMN()),4,LEN(INDEX('Structured 2025'!headerRow,1,COLUMN()))),ovrHeaderRow25,0))</f>
        <v>27.38</v>
      </c>
      <c r="AQ16" s="12">
        <f>INDEX(ovrTable25,MATCH(INDEX('Structured 2025'!teamCol,ROW()),ovrTeamCol25,0),MATCH(MID(INDEX('Structured 2025'!headerRow,1,COLUMN()),4,LEN(INDEX('Structured 2025'!headerRow,1,COLUMN()))),ovrHeaderRow25,0))</f>
        <v>4</v>
      </c>
      <c r="AR16" s="12">
        <f>INDEX(ovrTable25,MATCH(INDEX('Structured 2025'!teamCol,ROW()),ovrTeamCol25,0),MATCH(MID(INDEX('Structured 2025'!headerRow,1,COLUMN()),4,LEN(INDEX('Structured 2025'!headerRow,1,COLUMN()))),ovrHeaderRow25,0))</f>
        <v>40.6</v>
      </c>
      <c r="AS16" s="12">
        <f>INDEX(ovrTable25,MATCH(INDEX('Structured 2025'!teamCol,ROW()),ovrTeamCol25,0),MATCH(MID(INDEX('Structured 2025'!headerRow,1,COLUMN()),4,LEN(INDEX('Structured 2025'!headerRow,1,COLUMN()))),ovrHeaderRow25,0))</f>
        <v>25.06</v>
      </c>
      <c r="AT16" s="12">
        <f>INDEX(ovrTable25,MATCH(INDEX('Structured 2025'!teamCol,ROW()),ovrTeamCol25,0),MATCH(MID(INDEX('Structured 2025'!headerRow,1,COLUMN()),4,LEN(INDEX('Structured 2025'!headerRow,1,COLUMN()))),ovrHeaderRow25,0))</f>
        <v>0.47599999999999998</v>
      </c>
      <c r="AU16" s="12">
        <f>INDEX(ovrTable25,MATCH(INDEX('Structured 2025'!teamCol,ROW()),ovrTeamCol25,0),MATCH(MID(INDEX('Structured 2025'!headerRow,1,COLUMN()),4,LEN(INDEX('Structured 2025'!headerRow,1,COLUMN()))),ovrHeaderRow25,0))</f>
        <v>8.7899999999999991</v>
      </c>
      <c r="AV16" s="12">
        <f>INDEX(ovrTable25,MATCH(INDEX('Structured 2025'!teamCol,ROW()),ovrTeamCol25,0),MATCH(MID(INDEX('Structured 2025'!headerRow,1,COLUMN()),4,LEN(INDEX('Structured 2025'!headerRow,1,COLUMN()))),ovrHeaderRow25,0))</f>
        <v>41.8</v>
      </c>
      <c r="AW16" s="12">
        <f>INDEX(ovrTable25,MATCH(INDEX('Structured 2025'!teamCol,ROW()),ovrTeamCol25,0),MATCH(MID(INDEX('Structured 2025'!headerRow,1,COLUMN()),4,LEN(INDEX('Structured 2025'!headerRow,1,COLUMN()))),ovrHeaderRow25,0))</f>
        <v>17.5</v>
      </c>
      <c r="AX16" s="12">
        <f>INDEX(ovrTable25,MATCH(INDEX('Structured 2025'!teamCol,ROW()),ovrTeamCol25,0),MATCH(MID(INDEX('Structured 2025'!headerRow,1,COLUMN()),4,LEN(INDEX('Structured 2025'!headerRow,1,COLUMN()))),ovrHeaderRow25,0))</f>
        <v>69.2</v>
      </c>
      <c r="AY16" s="12">
        <f>INDEX(ovrTable25,MATCH(INDEX('Structured 2025'!teamCol,ROW()),ovrTeamCol25,0),MATCH(MID(INDEX('Structured 2025'!headerRow,1,COLUMN()),4,LEN(INDEX('Structured 2025'!headerRow,1,COLUMN()))),ovrHeaderRow25,0))</f>
        <v>24.9</v>
      </c>
      <c r="AZ16" s="12">
        <f>INDEX(ovrTable25,MATCH(INDEX('Structured 2025'!teamCol,ROW()),ovrTeamCol25,0),MATCH(MID(INDEX('Structured 2025'!headerRow,1,COLUMN()),4,LEN(INDEX('Structured 2025'!headerRow,1,COLUMN()))),ovrHeaderRow25,0))</f>
        <v>17.2</v>
      </c>
      <c r="BA16" s="12">
        <f>INDEX(ovrTable25,MATCH(INDEX('Structured 2025'!teamCol,ROW()),ovrTeamCol25,0),MATCH(MID(INDEX('Structured 2025'!headerRow,1,COLUMN()),4,LEN(INDEX('Structured 2025'!headerRow,1,COLUMN()))),ovrHeaderRow25,0))</f>
        <v>68.7</v>
      </c>
      <c r="BB16" s="12">
        <f>INDEX(ovrTable25,MATCH(INDEX('Structured 2025'!teamCol,ROW()),ovrTeamCol25,0),MATCH(MID(INDEX('Structured 2025'!headerRow,1,COLUMN()),4,LEN(INDEX('Structured 2025'!headerRow,1,COLUMN()))),ovrHeaderRow25,0))</f>
        <v>15.97</v>
      </c>
      <c r="BC16" s="12">
        <f>INDEX(ovrTable25,MATCH(INDEX('Structured 2025'!teamCol,ROW()),ovrTeamCol25,0),MATCH(MID(INDEX('Structured 2025'!headerRow,1,COLUMN()),4,LEN(INDEX('Structured 2025'!headerRow,1,COLUMN()))),ovrHeaderRow25,0))</f>
        <v>74.599999999999994</v>
      </c>
      <c r="BD16" s="12">
        <f>INDEX(ovrTable25,MATCH(INDEX('Structured 2025'!teamCol,ROW()),ovrTeamCol25,0),MATCH(MID(INDEX('Structured 2025'!headerRow,1,COLUMN()),4,LEN(INDEX('Structured 2025'!headerRow,1,COLUMN()))),ovrHeaderRow25,0))</f>
        <v>8.6999999999999993</v>
      </c>
      <c r="BE16" s="12">
        <f>INDEX(ovrTable25,MATCH(INDEX('Structured 2025'!teamCol,ROW()),ovrTeamCol25,0),MATCH(MID(INDEX('Structured 2025'!headerRow,1,COLUMN()),4,LEN(INDEX('Structured 2025'!headerRow,1,COLUMN()))),ovrHeaderRow25,0))</f>
        <v>41.03</v>
      </c>
      <c r="BF16" s="12">
        <f>INDEX(ovrTable25,MATCH(INDEX('Structured 2025'!teamCol,ROW()),ovrTeamCol25,0),MATCH(MID(INDEX('Structured 2025'!headerRow,1,COLUMN()),4,LEN(INDEX('Structured 2025'!headerRow,1,COLUMN()))),ovrHeaderRow25,0))</f>
        <v>5.9</v>
      </c>
      <c r="BG16" s="12">
        <f>INDEX(ovrTable25,MATCH(INDEX('Structured 2025'!teamCol,ROW()),ovrTeamCol25,0),MATCH(MID(INDEX('Structured 2025'!headerRow,1,COLUMN()),4,LEN(INDEX('Structured 2025'!headerRow,1,COLUMN()))),ovrHeaderRow25,0))</f>
        <v>7.6</v>
      </c>
      <c r="BH16" s="12">
        <f>INDEX(ovrTable25,MATCH(INDEX('Structured 2025'!teamCol,ROW()),ovrTeamCol25,0),MATCH(MID(INDEX('Structured 2025'!headerRow,1,COLUMN()),4,LEN(INDEX('Structured 2025'!headerRow,1,COLUMN()))),ovrHeaderRow25,0))</f>
        <v>1.1000000000000001</v>
      </c>
      <c r="BI16" s="12">
        <f>INDEX(ovrTable25,MATCH(INDEX('Structured 2025'!teamCol,ROW()),ovrTeamCol25,0),MATCH(MID(INDEX('Structured 2025'!headerRow,1,COLUMN()),4,LEN(INDEX('Structured 2025'!headerRow,1,COLUMN()))),ovrHeaderRow25,0))</f>
        <v>13.26</v>
      </c>
      <c r="BJ16" s="12">
        <f>INDEX(ovrTable25,MATCH(INDEX('Structured 2025'!teamCol,ROW()),ovrTeamCol25,0),MATCH(MID(INDEX('Structured 2025'!headerRow,1,COLUMN()),4,LEN(INDEX('Structured 2025'!headerRow,1,COLUMN()))),ovrHeaderRow25,0))</f>
        <v>12.2</v>
      </c>
      <c r="BK16" s="12">
        <f>INDEX(ovrTable25,MATCH(INDEX('Structured 2025'!teamCol,ROW()),ovrTeamCol25,0),MATCH(MID(INDEX('Structured 2025'!headerRow,1,COLUMN()),4,LEN(INDEX('Structured 2025'!headerRow,1,COLUMN()))),ovrHeaderRow25,0))</f>
        <v>66.8</v>
      </c>
      <c r="BL16" s="12">
        <f>INDEX(ovrTable25,MATCH(INDEX('Structured 2025'!teamCol,ROW()),ovrTeamCol25,0),MATCH(MID(INDEX('Structured 2025'!headerRow,1,COLUMN()),4,LEN(INDEX('Structured 2025'!headerRow,1,COLUMN()))),ovrHeaderRow25,0))</f>
        <v>18.199999999999996</v>
      </c>
      <c r="BM16" s="12">
        <f>INDEX(ovrTable25,MATCH(INDEX('Structured 2025'!teamCol,ROW()),ovrTeamCol25,0),MATCH(MID(INDEX('Structured 2025'!headerRow,1,COLUMN()),4,LEN(INDEX('Structured 2025'!headerRow,1,COLUMN()))),ovrHeaderRow25,0))</f>
        <v>60.287081339712913</v>
      </c>
      <c r="BN16" s="12">
        <f>INDEX(ovrTable25,MATCH(INDEX(oppCol,ROW()),ovrTeamCol25,0),MATCH(MID(INDEX('Structured 2025'!headerRow,1,COLUMN()),4,LEN(INDEX('Structured 2025'!headerRow,1,COLUMN()))),ovrHeaderRow25,0))</f>
        <v>32.700000000000003</v>
      </c>
      <c r="BO16" s="12">
        <f>INDEX(ovrTable25,MATCH(INDEX(oppCol,ROW()),ovrTeamCol25,0),MATCH(MID(INDEX('Structured 2025'!headerRow,1,COLUMN()),4,LEN(INDEX('Structured 2025'!headerRow,1,COLUMN()))),ovrHeaderRow25,0))</f>
        <v>7.6</v>
      </c>
      <c r="BP16" s="12">
        <f>INDEX(ovrTable25,MATCH(INDEX(oppCol,ROW()),ovrTeamCol25,0),MATCH(MID(INDEX('Structured 2025'!headerRow,1,COLUMN()),4,LEN(INDEX('Structured 2025'!headerRow,1,COLUMN()))),ovrHeaderRow25,0))</f>
        <v>38.700000000000003</v>
      </c>
      <c r="BQ16" s="12">
        <f>INDEX(ovrTable25,MATCH(INDEX(oppCol,ROW()),ovrTeamCol25,0),MATCH(MID(INDEX('Structured 2025'!headerRow,1,COLUMN()),4,LEN(INDEX('Structured 2025'!headerRow,1,COLUMN()))),ovrHeaderRow25,0))</f>
        <v>19.7</v>
      </c>
      <c r="BR16" s="12">
        <f>INDEX(ovrTable25,MATCH(INDEX(oppCol,ROW()),ovrTeamCol25,0),MATCH(MID(INDEX('Structured 2025'!headerRow,1,COLUMN()),4,LEN(INDEX('Structured 2025'!headerRow,1,COLUMN()))),ovrHeaderRow25,0))</f>
        <v>1.63</v>
      </c>
      <c r="BS16" s="12">
        <f>INDEX(ovrTable25,MATCH(INDEX(oppCol,ROW()),ovrTeamCol25,0),MATCH(MID(INDEX('Structured 2025'!headerRow,1,COLUMN()),4,LEN(INDEX('Structured 2025'!headerRow,1,COLUMN()))),ovrHeaderRow25,0))</f>
        <v>16.399999999999999</v>
      </c>
      <c r="BT16" s="12">
        <f>INDEX(ovrTable25,MATCH(INDEX(oppCol,ROW()),ovrTeamCol25,0),MATCH(MID(INDEX('Structured 2025'!headerRow,1,COLUMN()),4,LEN(INDEX('Structured 2025'!headerRow,1,COLUMN()))),ovrHeaderRow25,0))</f>
        <v>18.8</v>
      </c>
      <c r="BU16" s="12">
        <f>INDEX(ovrTable25,MATCH(INDEX(oppCol,ROW()),ovrTeamCol25,0),MATCH(MID(INDEX('Structured 2025'!headerRow,1,COLUMN()),4,LEN(INDEX('Structured 2025'!headerRow,1,COLUMN()))),ovrHeaderRow25,0))</f>
        <v>3.6</v>
      </c>
      <c r="BV16" s="12">
        <f>INDEX(ovrTable25,MATCH(INDEX(oppCol,ROW()),ovrTeamCol25,0),MATCH(MID(INDEX('Structured 2025'!headerRow,1,COLUMN()),4,LEN(INDEX('Structured 2025'!headerRow,1,COLUMN()))),ovrHeaderRow25,0))</f>
        <v>40.9</v>
      </c>
      <c r="BW16" s="12">
        <f>INDEX(ovrTable25,MATCH(INDEX(oppCol,ROW()),ovrTeamCol25,0),MATCH(MID(INDEX('Structured 2025'!headerRow,1,COLUMN()),4,LEN(INDEX('Structured 2025'!headerRow,1,COLUMN()))),ovrHeaderRow25,0))</f>
        <v>27.4</v>
      </c>
      <c r="BX16" s="12">
        <f>INDEX(ovrTable25,MATCH(INDEX(oppCol,ROW()),ovrTeamCol25,0),MATCH(MID(INDEX('Structured 2025'!headerRow,1,COLUMN()),4,LEN(INDEX('Structured 2025'!headerRow,1,COLUMN()))),ovrHeaderRow25,0))</f>
        <v>0.55200000000000005</v>
      </c>
      <c r="BY16" s="12">
        <f>INDEX(ovrTable25,MATCH(INDEX(oppCol,ROW()),ovrTeamCol25,0),MATCH(MID(INDEX('Structured 2025'!headerRow,1,COLUMN()),4,LEN(INDEX('Structured 2025'!headerRow,1,COLUMN()))),ovrHeaderRow25,0))</f>
        <v>9.57</v>
      </c>
      <c r="BZ16" s="12">
        <f>INDEX(ovrTable25,MATCH(INDEX(oppCol,ROW()),ovrTeamCol25,0),MATCH(MID(INDEX('Structured 2025'!headerRow,1,COLUMN()),4,LEN(INDEX('Structured 2025'!headerRow,1,COLUMN()))),ovrHeaderRow25,0))</f>
        <v>49</v>
      </c>
      <c r="CA16" s="12">
        <f>INDEX(ovrTable25,MATCH(INDEX(oppCol,ROW()),ovrTeamCol25,0),MATCH(MID(INDEX('Structured 2025'!headerRow,1,COLUMN()),4,LEN(INDEX('Structured 2025'!headerRow,1,COLUMN()))),ovrHeaderRow25,0))</f>
        <v>16.3</v>
      </c>
      <c r="CB16" s="12">
        <f>INDEX(ovrTable25,MATCH(INDEX(oppCol,ROW()),ovrTeamCol25,0),MATCH(MID(INDEX('Structured 2025'!headerRow,1,COLUMN()),4,LEN(INDEX('Structured 2025'!headerRow,1,COLUMN()))),ovrHeaderRow25,0))</f>
        <v>72.900000000000006</v>
      </c>
      <c r="CC16" s="12">
        <f>INDEX(ovrTable25,MATCH(INDEX(oppCol,ROW()),ovrTeamCol25,0),MATCH(MID(INDEX('Structured 2025'!headerRow,1,COLUMN()),4,LEN(INDEX('Structured 2025'!headerRow,1,COLUMN()))),ovrHeaderRow25,0))</f>
        <v>19.100000000000001</v>
      </c>
      <c r="CD16" s="12">
        <f>INDEX(ovrTable25,MATCH(INDEX(oppCol,ROW()),ovrTeamCol25,0),MATCH(MID(INDEX('Structured 2025'!headerRow,1,COLUMN()),4,LEN(INDEX('Structured 2025'!headerRow,1,COLUMN()))),ovrHeaderRow25,0))</f>
        <v>13.9</v>
      </c>
      <c r="CE16" s="12">
        <f>INDEX(ovrTable25,MATCH(INDEX(oppCol,ROW()),ovrTeamCol25,0),MATCH(MID(INDEX('Structured 2025'!headerRow,1,COLUMN()),4,LEN(INDEX('Structured 2025'!headerRow,1,COLUMN()))),ovrHeaderRow25,0))</f>
        <v>70.099999999999994</v>
      </c>
      <c r="CF16" s="12">
        <f>INDEX(ovrTable25,MATCH(INDEX(oppCol,ROW()),ovrTeamCol25,0),MATCH(MID(INDEX('Structured 2025'!headerRow,1,COLUMN()),4,LEN(INDEX('Structured 2025'!headerRow,1,COLUMN()))),ovrHeaderRow25,0))</f>
        <v>10.97</v>
      </c>
      <c r="CG16" s="12">
        <f>INDEX(ovrTable25,MATCH(INDEX(oppCol,ROW()),ovrTeamCol25,0),MATCH(MID(INDEX('Structured 2025'!headerRow,1,COLUMN()),4,LEN(INDEX('Structured 2025'!headerRow,1,COLUMN()))),ovrHeaderRow25,0))</f>
        <v>81.3</v>
      </c>
      <c r="CH16" s="12">
        <f>INDEX(ovrTable25,MATCH(INDEX(oppCol,ROW()),ovrTeamCol25,0),MATCH(MID(INDEX('Structured 2025'!headerRow,1,COLUMN()),4,LEN(INDEX('Structured 2025'!headerRow,1,COLUMN()))),ovrHeaderRow25,0))</f>
        <v>6.7</v>
      </c>
      <c r="CI16" s="12">
        <f>INDEX(ovrTable25,MATCH(INDEX(oppCol,ROW()),ovrTeamCol25,0),MATCH(MID(INDEX('Structured 2025'!headerRow,1,COLUMN()),4,LEN(INDEX('Structured 2025'!headerRow,1,COLUMN()))),ovrHeaderRow25,0))</f>
        <v>38.369999999999997</v>
      </c>
      <c r="CJ16" s="12">
        <f>INDEX(ovrTable25,MATCH(INDEX(oppCol,ROW()),ovrTeamCol25,0),MATCH(MID(INDEX('Structured 2025'!headerRow,1,COLUMN()),4,LEN(INDEX('Structured 2025'!headerRow,1,COLUMN()))),ovrHeaderRow25,0))</f>
        <v>11.2</v>
      </c>
      <c r="CK16" s="12">
        <f>INDEX(ovrTable25,MATCH(INDEX(oppCol,ROW()),ovrTeamCol25,0),MATCH(MID(INDEX('Structured 2025'!headerRow,1,COLUMN()),4,LEN(INDEX('Structured 2025'!headerRow,1,COLUMN()))),ovrHeaderRow25,0))</f>
        <v>5.8</v>
      </c>
      <c r="CL16" s="12">
        <f>INDEX(ovrTable25,MATCH(INDEX(oppCol,ROW()),ovrTeamCol25,0),MATCH(MID(INDEX('Structured 2025'!headerRow,1,COLUMN()),4,LEN(INDEX('Structured 2025'!headerRow,1,COLUMN()))),ovrHeaderRow25,0))</f>
        <v>1.2</v>
      </c>
      <c r="CM16" s="12">
        <f>INDEX(ovrTable25,MATCH(INDEX(oppCol,ROW()),ovrTeamCol25,0),MATCH(MID(INDEX('Structured 2025'!headerRow,1,COLUMN()),4,LEN(INDEX('Structured 2025'!headerRow,1,COLUMN()))),ovrHeaderRow25,0))</f>
        <v>11.3</v>
      </c>
      <c r="CN16" s="12">
        <f>INDEX(ovrTable25,MATCH(INDEX(oppCol,ROW()),ovrTeamCol25,0),MATCH(MID(INDEX('Structured 2025'!headerRow,1,COLUMN()),4,LEN(INDEX('Structured 2025'!headerRow,1,COLUMN()))),ovrHeaderRow25,0))</f>
        <v>10.1</v>
      </c>
      <c r="CO16" s="12">
        <f>INDEX(ovrTable25,MATCH(INDEX(oppCol,ROW()),ovrTeamCol25,0),MATCH(MID(INDEX('Structured 2025'!headerRow,1,COLUMN()),4,LEN(INDEX('Structured 2025'!headerRow,1,COLUMN()))),ovrHeaderRow25,0))</f>
        <v>67.7</v>
      </c>
      <c r="CP16" s="12">
        <f>INDEX(ovrTable25,MATCH(INDEX(oppCol,ROW()),ovrTeamCol25,0),MATCH(MID(INDEX('Structured 2025'!headerRow,1,COLUMN()),4,LEN(INDEX('Structured 2025'!headerRow,1,COLUMN()))),ovrHeaderRow25,0))</f>
        <v>22.299999999999997</v>
      </c>
      <c r="CQ16" s="12">
        <f>INDEX(ovrTable25,MATCH(INDEX(oppCol,ROW()),ovrTeamCol25,0),MATCH(MID(INDEX('Structured 2025'!headerRow,1,COLUMN()),4,LEN(INDEX('Structured 2025'!headerRow,1,COLUMN()))),ovrHeaderRow25,0))</f>
        <v>61.020408163265309</v>
      </c>
    </row>
    <row r="17" spans="1:95" x14ac:dyDescent="0.3">
      <c r="A17" s="6" t="s">
        <v>14</v>
      </c>
      <c r="B17" s="3">
        <v>13</v>
      </c>
      <c r="C17" s="13" t="str">
        <f>A16</f>
        <v>TA&amp;M</v>
      </c>
      <c r="D17" s="14">
        <v>8</v>
      </c>
      <c r="E17" s="23">
        <v>0.24</v>
      </c>
      <c r="F17" s="24">
        <v>46.551724137931032</v>
      </c>
      <c r="G17" s="24">
        <v>8</v>
      </c>
      <c r="H17" s="23">
        <v>38.095238095238095</v>
      </c>
      <c r="I17" s="24">
        <v>21</v>
      </c>
      <c r="J17" s="25">
        <v>1.3846153846153846</v>
      </c>
      <c r="K17" s="24">
        <v>9</v>
      </c>
      <c r="L17" s="24">
        <v>14</v>
      </c>
      <c r="M17" s="24">
        <v>6</v>
      </c>
      <c r="N17" s="24">
        <v>23</v>
      </c>
      <c r="O17" s="24">
        <v>18</v>
      </c>
      <c r="P17" s="24">
        <v>6</v>
      </c>
      <c r="Q17" s="24">
        <v>1</v>
      </c>
      <c r="R17" s="24">
        <v>13</v>
      </c>
      <c r="S17" s="24">
        <v>8</v>
      </c>
      <c r="T17" s="24">
        <v>21</v>
      </c>
      <c r="U17" s="24">
        <v>18</v>
      </c>
      <c r="V17" s="24">
        <v>0.51666666666666672</v>
      </c>
      <c r="W17" s="26">
        <v>0.53448275862068961</v>
      </c>
      <c r="X17" s="23">
        <v>64.285714285714292</v>
      </c>
      <c r="Y17" s="24">
        <v>80</v>
      </c>
      <c r="Z17" s="24">
        <v>71</v>
      </c>
      <c r="AA17" s="24">
        <v>-8</v>
      </c>
      <c r="AB17" s="24">
        <v>29</v>
      </c>
      <c r="AC17" s="24">
        <v>-9</v>
      </c>
      <c r="AD17" s="24">
        <v>-2</v>
      </c>
      <c r="AE17" s="24">
        <v>11</v>
      </c>
      <c r="AF17" s="34">
        <f t="shared" si="0"/>
        <v>19</v>
      </c>
      <c r="AG17" s="34">
        <f t="shared" si="1"/>
        <v>37</v>
      </c>
      <c r="AH17" s="46">
        <f t="shared" si="2"/>
        <v>71.650000000000006</v>
      </c>
      <c r="AI17" s="51">
        <f t="shared" ref="AI17" si="16">AVERAGE(AH16,AH17)</f>
        <v>71.3125</v>
      </c>
      <c r="AJ17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K17" s="12">
        <f>INDEX(ovrTable25,MATCH(INDEX('Structured 2025'!teamCol,ROW()),ovrTeamCol25,0),MATCH(MID(INDEX('Structured 2025'!headerRow,1,COLUMN()),4,LEN(INDEX('Structured 2025'!headerRow,1,COLUMN()))),ovrHeaderRow25,0))</f>
        <v>7.6</v>
      </c>
      <c r="AL17" s="12">
        <f>INDEX(ovrTable25,MATCH(INDEX('Structured 2025'!teamCol,ROW()),ovrTeamCol25,0),MATCH(MID(INDEX('Structured 2025'!headerRow,1,COLUMN()),4,LEN(INDEX('Structured 2025'!headerRow,1,COLUMN()))),ovrHeaderRow25,0))</f>
        <v>38.700000000000003</v>
      </c>
      <c r="AM17" s="12">
        <f>INDEX(ovrTable25,MATCH(INDEX('Structured 2025'!teamCol,ROW()),ovrTeamCol25,0),MATCH(MID(INDEX('Structured 2025'!headerRow,1,COLUMN()),4,LEN(INDEX('Structured 2025'!headerRow,1,COLUMN()))),ovrHeaderRow25,0))</f>
        <v>19.7</v>
      </c>
      <c r="AN17" s="12">
        <f>INDEX(ovrTable25,MATCH(INDEX('Structured 2025'!teamCol,ROW()),ovrTeamCol25,0),MATCH(MID(INDEX('Structured 2025'!headerRow,1,COLUMN()),4,LEN(INDEX('Structured 2025'!headerRow,1,COLUMN()))),ovrHeaderRow25,0))</f>
        <v>1.63</v>
      </c>
      <c r="AO17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AP17" s="12">
        <f>INDEX(ovrTable25,MATCH(INDEX('Structured 2025'!teamCol,ROW()),ovrTeamCol25,0),MATCH(MID(INDEX('Structured 2025'!headerRow,1,COLUMN()),4,LEN(INDEX('Structured 2025'!headerRow,1,COLUMN()))),ovrHeaderRow25,0))</f>
        <v>18.8</v>
      </c>
      <c r="AQ17" s="12">
        <f>INDEX(ovrTable25,MATCH(INDEX('Structured 2025'!teamCol,ROW()),ovrTeamCol25,0),MATCH(MID(INDEX('Structured 2025'!headerRow,1,COLUMN()),4,LEN(INDEX('Structured 2025'!headerRow,1,COLUMN()))),ovrHeaderRow25,0))</f>
        <v>3.6</v>
      </c>
      <c r="AR17" s="12">
        <f>INDEX(ovrTable25,MATCH(INDEX('Structured 2025'!teamCol,ROW()),ovrTeamCol25,0),MATCH(MID(INDEX('Structured 2025'!headerRow,1,COLUMN()),4,LEN(INDEX('Structured 2025'!headerRow,1,COLUMN()))),ovrHeaderRow25,0))</f>
        <v>40.9</v>
      </c>
      <c r="AS17" s="12">
        <f>INDEX(ovrTable25,MATCH(INDEX('Structured 2025'!teamCol,ROW()),ovrTeamCol25,0),MATCH(MID(INDEX('Structured 2025'!headerRow,1,COLUMN()),4,LEN(INDEX('Structured 2025'!headerRow,1,COLUMN()))),ovrHeaderRow25,0))</f>
        <v>27.4</v>
      </c>
      <c r="AT17" s="12">
        <f>INDEX(ovrTable25,MATCH(INDEX('Structured 2025'!teamCol,ROW()),ovrTeamCol25,0),MATCH(MID(INDEX('Structured 2025'!headerRow,1,COLUMN()),4,LEN(INDEX('Structured 2025'!headerRow,1,COLUMN()))),ovrHeaderRow25,0))</f>
        <v>0.55200000000000005</v>
      </c>
      <c r="AU17" s="12">
        <f>INDEX(ovrTable25,MATCH(INDEX('Structured 2025'!teamCol,ROW()),ovrTeamCol25,0),MATCH(MID(INDEX('Structured 2025'!headerRow,1,COLUMN()),4,LEN(INDEX('Structured 2025'!headerRow,1,COLUMN()))),ovrHeaderRow25,0))</f>
        <v>9.57</v>
      </c>
      <c r="AV17" s="12">
        <f>INDEX(ovrTable25,MATCH(INDEX('Structured 2025'!teamCol,ROW()),ovrTeamCol25,0),MATCH(MID(INDEX('Structured 2025'!headerRow,1,COLUMN()),4,LEN(INDEX('Structured 2025'!headerRow,1,COLUMN()))),ovrHeaderRow25,0))</f>
        <v>49</v>
      </c>
      <c r="AW17" s="12">
        <f>INDEX(ovrTable25,MATCH(INDEX('Structured 2025'!teamCol,ROW()),ovrTeamCol25,0),MATCH(MID(INDEX('Structured 2025'!headerRow,1,COLUMN()),4,LEN(INDEX('Structured 2025'!headerRow,1,COLUMN()))),ovrHeaderRow25,0))</f>
        <v>16.3</v>
      </c>
      <c r="AX17" s="12">
        <f>INDEX(ovrTable25,MATCH(INDEX('Structured 2025'!teamCol,ROW()),ovrTeamCol25,0),MATCH(MID(INDEX('Structured 2025'!headerRow,1,COLUMN()),4,LEN(INDEX('Structured 2025'!headerRow,1,COLUMN()))),ovrHeaderRow25,0))</f>
        <v>72.900000000000006</v>
      </c>
      <c r="AY17" s="12">
        <f>INDEX(ovrTable25,MATCH(INDEX('Structured 2025'!teamCol,ROW()),ovrTeamCol25,0),MATCH(MID(INDEX('Structured 2025'!headerRow,1,COLUMN()),4,LEN(INDEX('Structured 2025'!headerRow,1,COLUMN()))),ovrHeaderRow25,0))</f>
        <v>19.100000000000001</v>
      </c>
      <c r="AZ17" s="12">
        <f>INDEX(ovrTable25,MATCH(INDEX('Structured 2025'!teamCol,ROW()),ovrTeamCol25,0),MATCH(MID(INDEX('Structured 2025'!headerRow,1,COLUMN()),4,LEN(INDEX('Structured 2025'!headerRow,1,COLUMN()))),ovrHeaderRow25,0))</f>
        <v>13.9</v>
      </c>
      <c r="BA17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B17" s="12">
        <f>INDEX(ovrTable25,MATCH(INDEX('Structured 2025'!teamCol,ROW()),ovrTeamCol25,0),MATCH(MID(INDEX('Structured 2025'!headerRow,1,COLUMN()),4,LEN(INDEX('Structured 2025'!headerRow,1,COLUMN()))),ovrHeaderRow25,0))</f>
        <v>10.97</v>
      </c>
      <c r="BC17" s="12">
        <f>INDEX(ovrTable25,MATCH(INDEX('Structured 2025'!teamCol,ROW()),ovrTeamCol25,0),MATCH(MID(INDEX('Structured 2025'!headerRow,1,COLUMN()),4,LEN(INDEX('Structured 2025'!headerRow,1,COLUMN()))),ovrHeaderRow25,0))</f>
        <v>81.3</v>
      </c>
      <c r="BD17" s="12">
        <f>INDEX(ovrTable25,MATCH(INDEX('Structured 2025'!teamCol,ROW()),ovrTeamCol25,0),MATCH(MID(INDEX('Structured 2025'!headerRow,1,COLUMN()),4,LEN(INDEX('Structured 2025'!headerRow,1,COLUMN()))),ovrHeaderRow25,0))</f>
        <v>6.7</v>
      </c>
      <c r="BE17" s="12">
        <f>INDEX(ovrTable25,MATCH(INDEX('Structured 2025'!teamCol,ROW()),ovrTeamCol25,0),MATCH(MID(INDEX('Structured 2025'!headerRow,1,COLUMN()),4,LEN(INDEX('Structured 2025'!headerRow,1,COLUMN()))),ovrHeaderRow25,0))</f>
        <v>38.369999999999997</v>
      </c>
      <c r="BF17" s="12">
        <f>INDEX(ovrTable25,MATCH(INDEX('Structured 2025'!teamCol,ROW()),ovrTeamCol25,0),MATCH(MID(INDEX('Structured 2025'!headerRow,1,COLUMN()),4,LEN(INDEX('Structured 2025'!headerRow,1,COLUMN()))),ovrHeaderRow25,0))</f>
        <v>11.2</v>
      </c>
      <c r="BG17" s="12">
        <f>INDEX(ovrTable25,MATCH(INDEX('Structured 2025'!teamCol,ROW()),ovrTeamCol25,0),MATCH(MID(INDEX('Structured 2025'!headerRow,1,COLUMN()),4,LEN(INDEX('Structured 2025'!headerRow,1,COLUMN()))),ovrHeaderRow25,0))</f>
        <v>5.8</v>
      </c>
      <c r="BH17" s="12">
        <f>INDEX(ovrTable25,MATCH(INDEX('Structured 2025'!teamCol,ROW()),ovrTeamCol25,0),MATCH(MID(INDEX('Structured 2025'!headerRow,1,COLUMN()),4,LEN(INDEX('Structured 2025'!headerRow,1,COLUMN()))),ovrHeaderRow25,0))</f>
        <v>1.2</v>
      </c>
      <c r="BI17" s="12">
        <f>INDEX(ovrTable25,MATCH(INDEX('Structured 2025'!teamCol,ROW()),ovrTeamCol25,0),MATCH(MID(INDEX('Structured 2025'!headerRow,1,COLUMN()),4,LEN(INDEX('Structured 2025'!headerRow,1,COLUMN()))),ovrHeaderRow25,0))</f>
        <v>11.3</v>
      </c>
      <c r="BJ17" s="12">
        <f>INDEX(ovrTable25,MATCH(INDEX('Structured 2025'!teamCol,ROW()),ovrTeamCol25,0),MATCH(MID(INDEX('Structured 2025'!headerRow,1,COLUMN()),4,LEN(INDEX('Structured 2025'!headerRow,1,COLUMN()))),ovrHeaderRow25,0))</f>
        <v>10.1</v>
      </c>
      <c r="BK17" s="12">
        <f>INDEX(ovrTable25,MATCH(INDEX('Structured 2025'!teamCol,ROW()),ovrTeamCol25,0),MATCH(MID(INDEX('Structured 2025'!headerRow,1,COLUMN()),4,LEN(INDEX('Structured 2025'!headerRow,1,COLUMN()))),ovrHeaderRow25,0))</f>
        <v>67.7</v>
      </c>
      <c r="BL17" s="12">
        <f>INDEX(ovrTable25,MATCH(INDEX('Structured 2025'!teamCol,ROW()),ovrTeamCol25,0),MATCH(MID(INDEX('Structured 2025'!headerRow,1,COLUMN()),4,LEN(INDEX('Structured 2025'!headerRow,1,COLUMN()))),ovrHeaderRow25,0))</f>
        <v>22.299999999999997</v>
      </c>
      <c r="BM17" s="12">
        <f>INDEX(ovrTable25,MATCH(INDEX('Structured 2025'!teamCol,ROW()),ovrTeamCol25,0),MATCH(MID(INDEX('Structured 2025'!headerRow,1,COLUMN()),4,LEN(INDEX('Structured 2025'!headerRow,1,COLUMN()))),ovrHeaderRow25,0))</f>
        <v>61.020408163265309</v>
      </c>
      <c r="BN17" s="12">
        <f>INDEX(ovrTable25,MATCH(INDEX(oppCol,ROW()),ovrTeamCol25,0),MATCH(MID(INDEX('Structured 2025'!headerRow,1,COLUMN()),4,LEN(INDEX('Structured 2025'!headerRow,1,COLUMN()))),ovrHeaderRow25,0))</f>
        <v>33.299999999999997</v>
      </c>
      <c r="BO17" s="12">
        <f>INDEX(ovrTable25,MATCH(INDEX(oppCol,ROW()),ovrTeamCol25,0),MATCH(MID(INDEX('Structured 2025'!headerRow,1,COLUMN()),4,LEN(INDEX('Structured 2025'!headerRow,1,COLUMN()))),ovrHeaderRow25,0))</f>
        <v>7</v>
      </c>
      <c r="BP17" s="12">
        <f>INDEX(ovrTable25,MATCH(INDEX(oppCol,ROW()),ovrTeamCol25,0),MATCH(MID(INDEX('Structured 2025'!headerRow,1,COLUMN()),4,LEN(INDEX('Structured 2025'!headerRow,1,COLUMN()))),ovrHeaderRow25,0))</f>
        <v>30.7</v>
      </c>
      <c r="BQ17" s="12">
        <f>INDEX(ovrTable25,MATCH(INDEX(oppCol,ROW()),ovrTeamCol25,0),MATCH(MID(INDEX('Structured 2025'!headerRow,1,COLUMN()),4,LEN(INDEX('Structured 2025'!headerRow,1,COLUMN()))),ovrHeaderRow25,0))</f>
        <v>22.7</v>
      </c>
      <c r="BR17" s="12">
        <f>INDEX(ovrTable25,MATCH(INDEX(oppCol,ROW()),ovrTeamCol25,0),MATCH(MID(INDEX('Structured 2025'!headerRow,1,COLUMN()),4,LEN(INDEX('Structured 2025'!headerRow,1,COLUMN()))),ovrHeaderRow25,0))</f>
        <v>0.98</v>
      </c>
      <c r="BS17" s="12">
        <f>INDEX(ovrTable25,MATCH(INDEX(oppCol,ROW()),ovrTeamCol25,0),MATCH(MID(INDEX('Structured 2025'!headerRow,1,COLUMN()),4,LEN(INDEX('Structured 2025'!headerRow,1,COLUMN()))),ovrHeaderRow25,0))</f>
        <v>11.9</v>
      </c>
      <c r="BT17" s="12">
        <f>INDEX(ovrTable25,MATCH(INDEX(oppCol,ROW()),ovrTeamCol25,0),MATCH(MID(INDEX('Structured 2025'!headerRow,1,COLUMN()),4,LEN(INDEX('Structured 2025'!headerRow,1,COLUMN()))),ovrHeaderRow25,0))</f>
        <v>27.38</v>
      </c>
      <c r="BU17" s="12">
        <f>INDEX(ovrTable25,MATCH(INDEX(oppCol,ROW()),ovrTeamCol25,0),MATCH(MID(INDEX('Structured 2025'!headerRow,1,COLUMN()),4,LEN(INDEX('Structured 2025'!headerRow,1,COLUMN()))),ovrHeaderRow25,0))</f>
        <v>4</v>
      </c>
      <c r="BV17" s="12">
        <f>INDEX(ovrTable25,MATCH(INDEX(oppCol,ROW()),ovrTeamCol25,0),MATCH(MID(INDEX('Structured 2025'!headerRow,1,COLUMN()),4,LEN(INDEX('Structured 2025'!headerRow,1,COLUMN()))),ovrHeaderRow25,0))</f>
        <v>40.6</v>
      </c>
      <c r="BW17" s="12">
        <f>INDEX(ovrTable25,MATCH(INDEX(oppCol,ROW()),ovrTeamCol25,0),MATCH(MID(INDEX('Structured 2025'!headerRow,1,COLUMN()),4,LEN(INDEX('Structured 2025'!headerRow,1,COLUMN()))),ovrHeaderRow25,0))</f>
        <v>25.06</v>
      </c>
      <c r="BX17" s="12">
        <f>INDEX(ovrTable25,MATCH(INDEX(oppCol,ROW()),ovrTeamCol25,0),MATCH(MID(INDEX('Structured 2025'!headerRow,1,COLUMN()),4,LEN(INDEX('Structured 2025'!headerRow,1,COLUMN()))),ovrHeaderRow25,0))</f>
        <v>0.47599999999999998</v>
      </c>
      <c r="BY17" s="12">
        <f>INDEX(ovrTable25,MATCH(INDEX(oppCol,ROW()),ovrTeamCol25,0),MATCH(MID(INDEX('Structured 2025'!headerRow,1,COLUMN()),4,LEN(INDEX('Structured 2025'!headerRow,1,COLUMN()))),ovrHeaderRow25,0))</f>
        <v>8.7899999999999991</v>
      </c>
      <c r="BZ17" s="12">
        <f>INDEX(ovrTable25,MATCH(INDEX(oppCol,ROW()),ovrTeamCol25,0),MATCH(MID(INDEX('Structured 2025'!headerRow,1,COLUMN()),4,LEN(INDEX('Structured 2025'!headerRow,1,COLUMN()))),ovrHeaderRow25,0))</f>
        <v>41.8</v>
      </c>
      <c r="CA17" s="12">
        <f>INDEX(ovrTable25,MATCH(INDEX(oppCol,ROW()),ovrTeamCol25,0),MATCH(MID(INDEX('Structured 2025'!headerRow,1,COLUMN()),4,LEN(INDEX('Structured 2025'!headerRow,1,COLUMN()))),ovrHeaderRow25,0))</f>
        <v>17.5</v>
      </c>
      <c r="CB17" s="12">
        <f>INDEX(ovrTable25,MATCH(INDEX(oppCol,ROW()),ovrTeamCol25,0),MATCH(MID(INDEX('Structured 2025'!headerRow,1,COLUMN()),4,LEN(INDEX('Structured 2025'!headerRow,1,COLUMN()))),ovrHeaderRow25,0))</f>
        <v>69.2</v>
      </c>
      <c r="CC17" s="12">
        <f>INDEX(ovrTable25,MATCH(INDEX(oppCol,ROW()),ovrTeamCol25,0),MATCH(MID(INDEX('Structured 2025'!headerRow,1,COLUMN()),4,LEN(INDEX('Structured 2025'!headerRow,1,COLUMN()))),ovrHeaderRow25,0))</f>
        <v>24.9</v>
      </c>
      <c r="CD17" s="12">
        <f>INDEX(ovrTable25,MATCH(INDEX(oppCol,ROW()),ovrTeamCol25,0),MATCH(MID(INDEX('Structured 2025'!headerRow,1,COLUMN()),4,LEN(INDEX('Structured 2025'!headerRow,1,COLUMN()))),ovrHeaderRow25,0))</f>
        <v>17.2</v>
      </c>
      <c r="CE17" s="12">
        <f>INDEX(ovrTable25,MATCH(INDEX(oppCol,ROW()),ovrTeamCol25,0),MATCH(MID(INDEX('Structured 2025'!headerRow,1,COLUMN()),4,LEN(INDEX('Structured 2025'!headerRow,1,COLUMN()))),ovrHeaderRow25,0))</f>
        <v>68.7</v>
      </c>
      <c r="CF17" s="12">
        <f>INDEX(ovrTable25,MATCH(INDEX(oppCol,ROW()),ovrTeamCol25,0),MATCH(MID(INDEX('Structured 2025'!headerRow,1,COLUMN()),4,LEN(INDEX('Structured 2025'!headerRow,1,COLUMN()))),ovrHeaderRow25,0))</f>
        <v>15.97</v>
      </c>
      <c r="CG17" s="12">
        <f>INDEX(ovrTable25,MATCH(INDEX(oppCol,ROW()),ovrTeamCol25,0),MATCH(MID(INDEX('Structured 2025'!headerRow,1,COLUMN()),4,LEN(INDEX('Structured 2025'!headerRow,1,COLUMN()))),ovrHeaderRow25,0))</f>
        <v>74.599999999999994</v>
      </c>
      <c r="CH17" s="12">
        <f>INDEX(ovrTable25,MATCH(INDEX(oppCol,ROW()),ovrTeamCol25,0),MATCH(MID(INDEX('Structured 2025'!headerRow,1,COLUMN()),4,LEN(INDEX('Structured 2025'!headerRow,1,COLUMN()))),ovrHeaderRow25,0))</f>
        <v>8.6999999999999993</v>
      </c>
      <c r="CI17" s="12">
        <f>INDEX(ovrTable25,MATCH(INDEX(oppCol,ROW()),ovrTeamCol25,0),MATCH(MID(INDEX('Structured 2025'!headerRow,1,COLUMN()),4,LEN(INDEX('Structured 2025'!headerRow,1,COLUMN()))),ovrHeaderRow25,0))</f>
        <v>41.03</v>
      </c>
      <c r="CJ17" s="12">
        <f>INDEX(ovrTable25,MATCH(INDEX(oppCol,ROW()),ovrTeamCol25,0),MATCH(MID(INDEX('Structured 2025'!headerRow,1,COLUMN()),4,LEN(INDEX('Structured 2025'!headerRow,1,COLUMN()))),ovrHeaderRow25,0))</f>
        <v>5.9</v>
      </c>
      <c r="CK17" s="12">
        <f>INDEX(ovrTable25,MATCH(INDEX(oppCol,ROW()),ovrTeamCol25,0),MATCH(MID(INDEX('Structured 2025'!headerRow,1,COLUMN()),4,LEN(INDEX('Structured 2025'!headerRow,1,COLUMN()))),ovrHeaderRow25,0))</f>
        <v>7.6</v>
      </c>
      <c r="CL17" s="12">
        <f>INDEX(ovrTable25,MATCH(INDEX(oppCol,ROW()),ovrTeamCol25,0),MATCH(MID(INDEX('Structured 2025'!headerRow,1,COLUMN()),4,LEN(INDEX('Structured 2025'!headerRow,1,COLUMN()))),ovrHeaderRow25,0))</f>
        <v>1.1000000000000001</v>
      </c>
      <c r="CM17" s="12">
        <f>INDEX(ovrTable25,MATCH(INDEX(oppCol,ROW()),ovrTeamCol25,0),MATCH(MID(INDEX('Structured 2025'!headerRow,1,COLUMN()),4,LEN(INDEX('Structured 2025'!headerRow,1,COLUMN()))),ovrHeaderRow25,0))</f>
        <v>13.26</v>
      </c>
      <c r="CN17" s="12">
        <f>INDEX(ovrTable25,MATCH(INDEX(oppCol,ROW()),ovrTeamCol25,0),MATCH(MID(INDEX('Structured 2025'!headerRow,1,COLUMN()),4,LEN(INDEX('Structured 2025'!headerRow,1,COLUMN()))),ovrHeaderRow25,0))</f>
        <v>12.2</v>
      </c>
      <c r="CO17" s="12">
        <f>INDEX(ovrTable25,MATCH(INDEX(oppCol,ROW()),ovrTeamCol25,0),MATCH(MID(INDEX('Structured 2025'!headerRow,1,COLUMN()),4,LEN(INDEX('Structured 2025'!headerRow,1,COLUMN()))),ovrHeaderRow25,0))</f>
        <v>66.8</v>
      </c>
      <c r="CP17" s="12">
        <f>INDEX(ovrTable25,MATCH(INDEX(oppCol,ROW()),ovrTeamCol25,0),MATCH(MID(INDEX('Structured 2025'!headerRow,1,COLUMN()),4,LEN(INDEX('Structured 2025'!headerRow,1,COLUMN()))),ovrHeaderRow25,0))</f>
        <v>18.199999999999996</v>
      </c>
      <c r="CQ17" s="12">
        <f>INDEX(ovrTable25,MATCH(INDEX(oppCol,ROW()),ovrTeamCol25,0),MATCH(MID(INDEX('Structured 2025'!headerRow,1,COLUMN()),4,LEN(INDEX('Structured 2025'!headerRow,1,COLUMN()))),ovrHeaderRow25,0))</f>
        <v>60.287081339712913</v>
      </c>
    </row>
    <row r="18" spans="1:95" x14ac:dyDescent="0.3">
      <c r="A18" s="6" t="s">
        <v>314</v>
      </c>
      <c r="B18" s="3">
        <v>6</v>
      </c>
      <c r="C18" s="13" t="str">
        <f>A19</f>
        <v>UNC</v>
      </c>
      <c r="D18" s="14">
        <v>9</v>
      </c>
      <c r="E18" s="23">
        <v>0.20833333333333334</v>
      </c>
      <c r="F18" s="24">
        <v>44.444444444444443</v>
      </c>
      <c r="G18" s="24">
        <v>8</v>
      </c>
      <c r="H18" s="23">
        <v>40</v>
      </c>
      <c r="I18" s="24">
        <v>20</v>
      </c>
      <c r="J18" s="25">
        <v>0.9285714285714286</v>
      </c>
      <c r="K18" s="24">
        <v>15</v>
      </c>
      <c r="L18" s="24">
        <v>23</v>
      </c>
      <c r="M18" s="24">
        <v>9</v>
      </c>
      <c r="N18" s="24">
        <v>31</v>
      </c>
      <c r="O18" s="24">
        <v>13</v>
      </c>
      <c r="P18" s="24">
        <v>6</v>
      </c>
      <c r="Q18" s="24">
        <v>3</v>
      </c>
      <c r="R18" s="24">
        <v>14</v>
      </c>
      <c r="S18" s="24">
        <v>4</v>
      </c>
      <c r="T18" s="24">
        <v>17</v>
      </c>
      <c r="U18" s="24">
        <v>13</v>
      </c>
      <c r="V18" s="24">
        <v>0.38095238095238093</v>
      </c>
      <c r="W18" s="26">
        <v>0.51851851851851849</v>
      </c>
      <c r="X18" s="23">
        <v>65.217391304347828</v>
      </c>
      <c r="Y18" s="24">
        <v>64</v>
      </c>
      <c r="Z18" s="24">
        <v>71</v>
      </c>
      <c r="AA18" s="24">
        <v>6</v>
      </c>
      <c r="AB18" s="24">
        <v>40</v>
      </c>
      <c r="AC18" s="24">
        <v>7</v>
      </c>
      <c r="AD18" s="24">
        <v>-5</v>
      </c>
      <c r="AE18" s="24">
        <v>9</v>
      </c>
      <c r="AF18" s="34">
        <f t="shared" si="0"/>
        <v>16</v>
      </c>
      <c r="AG18" s="34">
        <f t="shared" si="1"/>
        <v>34</v>
      </c>
      <c r="AH18" s="46">
        <f t="shared" si="2"/>
        <v>69.924999999999997</v>
      </c>
      <c r="AI18" s="51">
        <f t="shared" ref="AI18" si="17">AVERAGE(AH18,AH19)</f>
        <v>70.262499999999989</v>
      </c>
      <c r="AJ18" s="12">
        <f>INDEX(ovrTable25,MATCH(INDEX('Structured 2025'!teamCol,ROW()),ovrTeamCol25,0),MATCH(MID(INDEX('Structured 2025'!headerRow,1,COLUMN()),4,LEN(INDEX('Structured 2025'!headerRow,1,COLUMN()))),ovrHeaderRow25,0))</f>
        <v>32.5</v>
      </c>
      <c r="AK18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18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18" s="12">
        <f>INDEX(ovrTable25,MATCH(INDEX('Structured 2025'!teamCol,ROW()),ovrTeamCol25,0),MATCH(MID(INDEX('Structured 2025'!headerRow,1,COLUMN()),4,LEN(INDEX('Structured 2025'!headerRow,1,COLUMN()))),ovrHeaderRow25,0))</f>
        <v>24</v>
      </c>
      <c r="AN18" s="12">
        <f>INDEX(ovrTable25,MATCH(INDEX('Structured 2025'!teamCol,ROW()),ovrTeamCol25,0),MATCH(MID(INDEX('Structured 2025'!headerRow,1,COLUMN()),4,LEN(INDEX('Structured 2025'!headerRow,1,COLUMN()))),ovrHeaderRow25,0))</f>
        <v>1.57</v>
      </c>
      <c r="AO18" s="12">
        <f>INDEX(ovrTable25,MATCH(INDEX('Structured 2025'!teamCol,ROW()),ovrTeamCol25,0),MATCH(MID(INDEX('Structured 2025'!headerRow,1,COLUMN()),4,LEN(INDEX('Structured 2025'!headerRow,1,COLUMN()))),ovrHeaderRow25,0))</f>
        <v>14.2</v>
      </c>
      <c r="AP18" s="12">
        <f>INDEX(ovrTable25,MATCH(INDEX('Structured 2025'!teamCol,ROW()),ovrTeamCol25,0),MATCH(MID(INDEX('Structured 2025'!headerRow,1,COLUMN()),4,LEN(INDEX('Structured 2025'!headerRow,1,COLUMN()))),ovrHeaderRow25,0))</f>
        <v>20.72</v>
      </c>
      <c r="AQ18" s="12">
        <f>INDEX(ovrTable25,MATCH(INDEX('Structured 2025'!teamCol,ROW()),ovrTeamCol25,0),MATCH(MID(INDEX('Structured 2025'!headerRow,1,COLUMN()),4,LEN(INDEX('Structured 2025'!headerRow,1,COLUMN()))),ovrHeaderRow25,0))</f>
        <v>3.7</v>
      </c>
      <c r="AR18" s="12">
        <f>INDEX(ovrTable25,MATCH(INDEX('Structured 2025'!teamCol,ROW()),ovrTeamCol25,0),MATCH(MID(INDEX('Structured 2025'!headerRow,1,COLUMN()),4,LEN(INDEX('Structured 2025'!headerRow,1,COLUMN()))),ovrHeaderRow25,0))</f>
        <v>43.4</v>
      </c>
      <c r="AS18" s="12">
        <f>INDEX(ovrTable25,MATCH(INDEX('Structured 2025'!teamCol,ROW()),ovrTeamCol25,0),MATCH(MID(INDEX('Structured 2025'!headerRow,1,COLUMN()),4,LEN(INDEX('Structured 2025'!headerRow,1,COLUMN()))),ovrHeaderRow25,0))</f>
        <v>23.94</v>
      </c>
      <c r="AT18" s="12">
        <f>INDEX(ovrTable25,MATCH(INDEX('Structured 2025'!teamCol,ROW()),ovrTeamCol25,0),MATCH(MID(INDEX('Structured 2025'!headerRow,1,COLUMN()),4,LEN(INDEX('Structured 2025'!headerRow,1,COLUMN()))),ovrHeaderRow25,0))</f>
        <v>0.51400000000000001</v>
      </c>
      <c r="AU18" s="12">
        <f>INDEX(ovrTable25,MATCH(INDEX('Structured 2025'!teamCol,ROW()),ovrTeamCol25,0),MATCH(MID(INDEX('Structured 2025'!headerRow,1,COLUMN()),4,LEN(INDEX('Structured 2025'!headerRow,1,COLUMN()))),ovrHeaderRow25,0))</f>
        <v>10.75</v>
      </c>
      <c r="AV18" s="12">
        <f>INDEX(ovrTable25,MATCH(INDEX('Structured 2025'!teamCol,ROW()),ovrTeamCol25,0),MATCH(MID(INDEX('Structured 2025'!headerRow,1,COLUMN()),4,LEN(INDEX('Structured 2025'!headerRow,1,COLUMN()))),ovrHeaderRow25,0))</f>
        <v>44.5</v>
      </c>
      <c r="AW18" s="12">
        <f>INDEX(ovrTable25,MATCH(INDEX('Structured 2025'!teamCol,ROW()),ovrTeamCol25,0),MATCH(MID(INDEX('Structured 2025'!headerRow,1,COLUMN()),4,LEN(INDEX('Structured 2025'!headerRow,1,COLUMN()))),ovrHeaderRow25,0))</f>
        <v>18.3</v>
      </c>
      <c r="AX18" s="12">
        <f>INDEX(ovrTable25,MATCH(INDEX('Structured 2025'!teamCol,ROW()),ovrTeamCol25,0),MATCH(MID(INDEX('Structured 2025'!headerRow,1,COLUMN()),4,LEN(INDEX('Structured 2025'!headerRow,1,COLUMN()))),ovrHeaderRow25,0))</f>
        <v>73.8</v>
      </c>
      <c r="AY18" s="12">
        <f>INDEX(ovrTable25,MATCH(INDEX('Structured 2025'!teamCol,ROW()),ovrTeamCol25,0),MATCH(MID(INDEX('Structured 2025'!headerRow,1,COLUMN()),4,LEN(INDEX('Structured 2025'!headerRow,1,COLUMN()))),ovrHeaderRow25,0))</f>
        <v>21.1</v>
      </c>
      <c r="AZ18" s="12">
        <f>INDEX(ovrTable25,MATCH(INDEX('Structured 2025'!teamCol,ROW()),ovrTeamCol25,0),MATCH(MID(INDEX('Structured 2025'!headerRow,1,COLUMN()),4,LEN(INDEX('Structured 2025'!headerRow,1,COLUMN()))),ovrHeaderRow25,0))</f>
        <v>15.6</v>
      </c>
      <c r="BA18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BB18" s="12">
        <f>INDEX(ovrTable25,MATCH(INDEX('Structured 2025'!teamCol,ROW()),ovrTeamCol25,0),MATCH(MID(INDEX('Structured 2025'!headerRow,1,COLUMN()),4,LEN(INDEX('Structured 2025'!headerRow,1,COLUMN()))),ovrHeaderRow25,0))</f>
        <v>9.19</v>
      </c>
      <c r="BC18" s="12">
        <f>INDEX(ovrTable25,MATCH(INDEX('Structured 2025'!teamCol,ROW()),ovrTeamCol25,0),MATCH(MID(INDEX('Structured 2025'!headerRow,1,COLUMN()),4,LEN(INDEX('Structured 2025'!headerRow,1,COLUMN()))),ovrHeaderRow25,0))</f>
        <v>77.2</v>
      </c>
      <c r="BD18" s="12">
        <f>INDEX(ovrTable25,MATCH(INDEX('Structured 2025'!teamCol,ROW()),ovrTeamCol25,0),MATCH(MID(INDEX('Structured 2025'!headerRow,1,COLUMN()),4,LEN(INDEX('Structured 2025'!headerRow,1,COLUMN()))),ovrHeaderRow25,0))</f>
        <v>-4.0999999999999996</v>
      </c>
      <c r="BE18" s="12">
        <f>INDEX(ovrTable25,MATCH(INDEX('Structured 2025'!teamCol,ROW()),ovrTeamCol25,0),MATCH(MID(INDEX('Structured 2025'!headerRow,1,COLUMN()),4,LEN(INDEX('Structured 2025'!headerRow,1,COLUMN()))),ovrHeaderRow25,0))</f>
        <v>33.14</v>
      </c>
      <c r="BF18" s="12">
        <f>INDEX(ovrTable25,MATCH(INDEX('Structured 2025'!teamCol,ROW()),ovrTeamCol25,0),MATCH(MID(INDEX('Structured 2025'!headerRow,1,COLUMN()),4,LEN(INDEX('Structured 2025'!headerRow,1,COLUMN()))),ovrHeaderRow25,0))</f>
        <v>5.6</v>
      </c>
      <c r="BG18" s="12">
        <f>INDEX(ovrTable25,MATCH(INDEX('Structured 2025'!teamCol,ROW()),ovrTeamCol25,0),MATCH(MID(INDEX('Structured 2025'!headerRow,1,COLUMN()),4,LEN(INDEX('Structured 2025'!headerRow,1,COLUMN()))),ovrHeaderRow25,0))</f>
        <v>8.8000000000000007</v>
      </c>
      <c r="BH18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BI18" s="12">
        <f>INDEX(ovrTable25,MATCH(INDEX('Structured 2025'!teamCol,ROW()),ovrTeamCol25,0),MATCH(MID(INDEX('Structured 2025'!headerRow,1,COLUMN()),4,LEN(INDEX('Structured 2025'!headerRow,1,COLUMN()))),ovrHeaderRow25,0))</f>
        <v>14.08</v>
      </c>
      <c r="BJ18" s="12">
        <f>INDEX(ovrTable25,MATCH(INDEX('Structured 2025'!teamCol,ROW()),ovrTeamCol25,0),MATCH(MID(INDEX('Structured 2025'!headerRow,1,COLUMN()),4,LEN(INDEX('Structured 2025'!headerRow,1,COLUMN()))),ovrHeaderRow25,0))</f>
        <v>9</v>
      </c>
      <c r="BK18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18" s="12">
        <f>INDEX(ovrTable25,MATCH(INDEX('Structured 2025'!teamCol,ROW()),ovrTeamCol25,0),MATCH(MID(INDEX('Structured 2025'!headerRow,1,COLUMN()),4,LEN(INDEX('Structured 2025'!headerRow,1,COLUMN()))),ovrHeaderRow25,0))</f>
        <v>18.350000000000001</v>
      </c>
      <c r="BM18" s="12">
        <f>INDEX(ovrTable25,MATCH(INDEX('Structured 2025'!teamCol,ROW()),ovrTeamCol25,0),MATCH(MID(INDEX('Structured 2025'!headerRow,1,COLUMN()),4,LEN(INDEX('Structured 2025'!headerRow,1,COLUMN()))),ovrHeaderRow25,0))</f>
        <v>59.887640449438202</v>
      </c>
      <c r="BN18" s="12">
        <f>INDEX(ovrTable25,MATCH(INDEX(oppCol,ROW()),ovrTeamCol25,0),MATCH(MID(INDEX('Structured 2025'!headerRow,1,COLUMN()),4,LEN(INDEX('Structured 2025'!headerRow,1,COLUMN()))),ovrHeaderRow25,0))</f>
        <v>33.5</v>
      </c>
      <c r="BO18" s="12">
        <f>INDEX(ovrTable25,MATCH(INDEX(oppCol,ROW()),ovrTeamCol25,0),MATCH(MID(INDEX('Structured 2025'!headerRow,1,COLUMN()),4,LEN(INDEX('Structured 2025'!headerRow,1,COLUMN()))),ovrHeaderRow25,0))</f>
        <v>8</v>
      </c>
      <c r="BP18" s="12">
        <f>INDEX(ovrTable25,MATCH(INDEX(oppCol,ROW()),ovrTeamCol25,0),MATCH(MID(INDEX('Structured 2025'!headerRow,1,COLUMN()),4,LEN(INDEX('Structured 2025'!headerRow,1,COLUMN()))),ovrHeaderRow25,0))</f>
        <v>35.6</v>
      </c>
      <c r="BQ18" s="12">
        <f>INDEX(ovrTable25,MATCH(INDEX(oppCol,ROW()),ovrTeamCol25,0),MATCH(MID(INDEX('Structured 2025'!headerRow,1,COLUMN()),4,LEN(INDEX('Structured 2025'!headerRow,1,COLUMN()))),ovrHeaderRow25,0))</f>
        <v>22.4</v>
      </c>
      <c r="BR18" s="12">
        <f>INDEX(ovrTable25,MATCH(INDEX(oppCol,ROW()),ovrTeamCol25,0),MATCH(MID(INDEX('Structured 2025'!headerRow,1,COLUMN()),4,LEN(INDEX('Structured 2025'!headerRow,1,COLUMN()))),ovrHeaderRow25,0))</f>
        <v>1.38</v>
      </c>
      <c r="BS18" s="12">
        <f>INDEX(ovrTable25,MATCH(INDEX(oppCol,ROW()),ovrTeamCol25,0),MATCH(MID(INDEX('Structured 2025'!headerRow,1,COLUMN()),4,LEN(INDEX('Structured 2025'!headerRow,1,COLUMN()))),ovrHeaderRow25,0))</f>
        <v>14.8</v>
      </c>
      <c r="BT18" s="12">
        <f>INDEX(ovrTable25,MATCH(INDEX(oppCol,ROW()),ovrTeamCol25,0),MATCH(MID(INDEX('Structured 2025'!headerRow,1,COLUMN()),4,LEN(INDEX('Structured 2025'!headerRow,1,COLUMN()))),ovrHeaderRow25,0))</f>
        <v>23.95</v>
      </c>
      <c r="BU18" s="12">
        <f>INDEX(ovrTable25,MATCH(INDEX(oppCol,ROW()),ovrTeamCol25,0),MATCH(MID(INDEX('Structured 2025'!headerRow,1,COLUMN()),4,LEN(INDEX('Structured 2025'!headerRow,1,COLUMN()))),ovrHeaderRow25,0))</f>
        <v>3.6</v>
      </c>
      <c r="BV18" s="12">
        <f>INDEX(ovrTable25,MATCH(INDEX(oppCol,ROW()),ovrTeamCol25,0),MATCH(MID(INDEX('Structured 2025'!headerRow,1,COLUMN()),4,LEN(INDEX('Structured 2025'!headerRow,1,COLUMN()))),ovrHeaderRow25,0))</f>
        <v>43.2</v>
      </c>
      <c r="BW18" s="12">
        <f>INDEX(ovrTable25,MATCH(INDEX(oppCol,ROW()),ovrTeamCol25,0),MATCH(MID(INDEX('Structured 2025'!headerRow,1,COLUMN()),4,LEN(INDEX('Structured 2025'!headerRow,1,COLUMN()))),ovrHeaderRow25,0))</f>
        <v>26.89</v>
      </c>
      <c r="BX18" s="12">
        <f>INDEX(ovrTable25,MATCH(INDEX(oppCol,ROW()),ovrTeamCol25,0),MATCH(MID(INDEX('Structured 2025'!headerRow,1,COLUMN()),4,LEN(INDEX('Structured 2025'!headerRow,1,COLUMN()))),ovrHeaderRow25,0))</f>
        <v>0.54100000000000004</v>
      </c>
      <c r="BY18" s="12">
        <f>INDEX(ovrTable25,MATCH(INDEX(oppCol,ROW()),ovrTeamCol25,0),MATCH(MID(INDEX('Structured 2025'!headerRow,1,COLUMN()),4,LEN(INDEX('Structured 2025'!headerRow,1,COLUMN()))),ovrHeaderRow25,0))</f>
        <v>12.95</v>
      </c>
      <c r="BZ18" s="12">
        <f>INDEX(ovrTable25,MATCH(INDEX(oppCol,ROW()),ovrTeamCol25,0),MATCH(MID(INDEX('Structured 2025'!headerRow,1,COLUMN()),4,LEN(INDEX('Structured 2025'!headerRow,1,COLUMN()))),ovrHeaderRow25,0))</f>
        <v>47.5</v>
      </c>
      <c r="CA18" s="12">
        <f>INDEX(ovrTable25,MATCH(INDEX(oppCol,ROW()),ovrTeamCol25,0),MATCH(MID(INDEX('Structured 2025'!headerRow,1,COLUMN()),4,LEN(INDEX('Structured 2025'!headerRow,1,COLUMN()))),ovrHeaderRow25,0))</f>
        <v>16.899999999999999</v>
      </c>
      <c r="CB18" s="12">
        <f>INDEX(ovrTable25,MATCH(INDEX(oppCol,ROW()),ovrTeamCol25,0),MATCH(MID(INDEX('Structured 2025'!headerRow,1,COLUMN()),4,LEN(INDEX('Structured 2025'!headerRow,1,COLUMN()))),ovrHeaderRow25,0))</f>
        <v>74.099999999999994</v>
      </c>
      <c r="CC18" s="12">
        <f>INDEX(ovrTable25,MATCH(INDEX(oppCol,ROW()),ovrTeamCol25,0),MATCH(MID(INDEX('Structured 2025'!headerRow,1,COLUMN()),4,LEN(INDEX('Structured 2025'!headerRow,1,COLUMN()))),ovrHeaderRow25,0))</f>
        <v>20.9</v>
      </c>
      <c r="CD18" s="12">
        <f>INDEX(ovrTable25,MATCH(INDEX(oppCol,ROW()),ovrTeamCol25,0),MATCH(MID(INDEX('Structured 2025'!headerRow,1,COLUMN()),4,LEN(INDEX('Structured 2025'!headerRow,1,COLUMN()))),ovrHeaderRow25,0))</f>
        <v>15.5</v>
      </c>
      <c r="CE18" s="12">
        <f>INDEX(ovrTable25,MATCH(INDEX(oppCol,ROW()),ovrTeamCol25,0),MATCH(MID(INDEX('Structured 2025'!headerRow,1,COLUMN()),4,LEN(INDEX('Structured 2025'!headerRow,1,COLUMN()))),ovrHeaderRow25,0))</f>
        <v>74.7</v>
      </c>
      <c r="CF18" s="12">
        <f>INDEX(ovrTable25,MATCH(INDEX(oppCol,ROW()),ovrTeamCol25,0),MATCH(MID(INDEX('Structured 2025'!headerRow,1,COLUMN()),4,LEN(INDEX('Structured 2025'!headerRow,1,COLUMN()))),ovrHeaderRow25,0))</f>
        <v>9.7799999999999994</v>
      </c>
      <c r="CG18" s="12">
        <f>INDEX(ovrTable25,MATCH(INDEX(oppCol,ROW()),ovrTeamCol25,0),MATCH(MID(INDEX('Structured 2025'!headerRow,1,COLUMN()),4,LEN(INDEX('Structured 2025'!headerRow,1,COLUMN()))),ovrHeaderRow25,0))</f>
        <v>80.7</v>
      </c>
      <c r="CH18" s="12">
        <f>INDEX(ovrTable25,MATCH(INDEX(oppCol,ROW()),ovrTeamCol25,0),MATCH(MID(INDEX('Structured 2025'!headerRow,1,COLUMN()),4,LEN(INDEX('Structured 2025'!headerRow,1,COLUMN()))),ovrHeaderRow25,0))</f>
        <v>2.9</v>
      </c>
      <c r="CI18" s="12">
        <f>INDEX(ovrTable25,MATCH(INDEX(oppCol,ROW()),ovrTeamCol25,0),MATCH(MID(INDEX('Structured 2025'!headerRow,1,COLUMN()),4,LEN(INDEX('Structured 2025'!headerRow,1,COLUMN()))),ovrHeaderRow25,0))</f>
        <v>36.68</v>
      </c>
      <c r="CJ18" s="12">
        <f>INDEX(ovrTable25,MATCH(INDEX(oppCol,ROW()),ovrTeamCol25,0),MATCH(MID(INDEX('Structured 2025'!headerRow,1,COLUMN()),4,LEN(INDEX('Structured 2025'!headerRow,1,COLUMN()))),ovrHeaderRow25,0))</f>
        <v>6.1</v>
      </c>
      <c r="CK18" s="12">
        <f>INDEX(ovrTable25,MATCH(INDEX(oppCol,ROW()),ovrTeamCol25,0),MATCH(MID(INDEX('Structured 2025'!headerRow,1,COLUMN()),4,LEN(INDEX('Structured 2025'!headerRow,1,COLUMN()))),ovrHeaderRow25,0))</f>
        <v>6</v>
      </c>
      <c r="CL18" s="12">
        <f>INDEX(ovrTable25,MATCH(INDEX(oppCol,ROW()),ovrTeamCol25,0),MATCH(MID(INDEX('Structured 2025'!headerRow,1,COLUMN()),4,LEN(INDEX('Structured 2025'!headerRow,1,COLUMN()))),ovrHeaderRow25,0))</f>
        <v>0.2</v>
      </c>
      <c r="CM18" s="12">
        <f>INDEX(ovrTable25,MATCH(INDEX(oppCol,ROW()),ovrTeamCol25,0),MATCH(MID(INDEX('Structured 2025'!headerRow,1,COLUMN()),4,LEN(INDEX('Structured 2025'!headerRow,1,COLUMN()))),ovrHeaderRow25,0))</f>
        <v>10.89</v>
      </c>
      <c r="CN18" s="12">
        <f>INDEX(ovrTable25,MATCH(INDEX(oppCol,ROW()),ovrTeamCol25,0),MATCH(MID(INDEX('Structured 2025'!headerRow,1,COLUMN()),4,LEN(INDEX('Structured 2025'!headerRow,1,COLUMN()))),ovrHeaderRow25,0))</f>
        <v>10.7</v>
      </c>
      <c r="CO18" s="12">
        <f>INDEX(ovrTable25,MATCH(INDEX(oppCol,ROW()),ovrTeamCol25,0),MATCH(MID(INDEX('Structured 2025'!headerRow,1,COLUMN()),4,LEN(INDEX('Structured 2025'!headerRow,1,COLUMN()))),ovrHeaderRow25,0))</f>
        <v>70.7</v>
      </c>
      <c r="CP18" s="12">
        <f>INDEX(ovrTable25,MATCH(INDEX(oppCol,ROW()),ovrTeamCol25,0),MATCH(MID(INDEX('Structured 2025'!headerRow,1,COLUMN()),4,LEN(INDEX('Structured 2025'!headerRow,1,COLUMN()))),ovrHeaderRow25,0))</f>
        <v>20.6</v>
      </c>
      <c r="CQ18" s="12">
        <f>INDEX(ovrTable25,MATCH(INDEX(oppCol,ROW()),ovrTeamCol25,0),MATCH(MID(INDEX('Structured 2025'!headerRow,1,COLUMN()),4,LEN(INDEX('Structured 2025'!headerRow,1,COLUMN()))),ovrHeaderRow25,0))</f>
        <v>60.210526315789473</v>
      </c>
    </row>
    <row r="19" spans="1:95" x14ac:dyDescent="0.3">
      <c r="A19" s="6" t="s">
        <v>18</v>
      </c>
      <c r="B19" s="3">
        <v>11</v>
      </c>
      <c r="C19" s="13" t="str">
        <f>A18</f>
        <v>MISS</v>
      </c>
      <c r="D19" s="14">
        <v>9</v>
      </c>
      <c r="E19" s="23">
        <v>0.4</v>
      </c>
      <c r="F19" s="24">
        <v>38.095238095238095</v>
      </c>
      <c r="G19" s="24">
        <v>5</v>
      </c>
      <c r="H19" s="23">
        <v>20.833333333333336</v>
      </c>
      <c r="I19" s="24">
        <v>24</v>
      </c>
      <c r="J19" s="25">
        <v>1.8888888888888888</v>
      </c>
      <c r="K19" s="24">
        <v>11</v>
      </c>
      <c r="L19" s="24">
        <v>16</v>
      </c>
      <c r="M19" s="24">
        <v>9</v>
      </c>
      <c r="N19" s="24">
        <v>25</v>
      </c>
      <c r="O19" s="24">
        <v>17</v>
      </c>
      <c r="P19" s="24">
        <v>9</v>
      </c>
      <c r="Q19" s="24">
        <v>3</v>
      </c>
      <c r="R19" s="24">
        <v>9</v>
      </c>
      <c r="S19" s="24">
        <v>11</v>
      </c>
      <c r="T19" s="24">
        <v>19</v>
      </c>
      <c r="U19" s="24">
        <v>18</v>
      </c>
      <c r="V19" s="24">
        <v>0.44444444444444442</v>
      </c>
      <c r="W19" s="26">
        <v>0.42063492063492064</v>
      </c>
      <c r="X19" s="23">
        <v>68.75</v>
      </c>
      <c r="Y19" s="24">
        <v>71</v>
      </c>
      <c r="Z19" s="24">
        <v>64</v>
      </c>
      <c r="AA19" s="24">
        <v>-6</v>
      </c>
      <c r="AB19" s="24">
        <v>34</v>
      </c>
      <c r="AC19" s="24">
        <v>-7</v>
      </c>
      <c r="AD19" s="24">
        <v>5</v>
      </c>
      <c r="AE19" s="24">
        <v>14</v>
      </c>
      <c r="AF19" s="34">
        <f t="shared" si="0"/>
        <v>19</v>
      </c>
      <c r="AG19" s="34">
        <f t="shared" si="1"/>
        <v>39</v>
      </c>
      <c r="AH19" s="46">
        <f t="shared" si="2"/>
        <v>70.599999999999994</v>
      </c>
      <c r="AI19" s="51">
        <f t="shared" ref="AI19" si="18">AVERAGE(AH18,AH19)</f>
        <v>70.262499999999989</v>
      </c>
      <c r="AJ19" s="12">
        <f>INDEX(ovrTable25,MATCH(INDEX('Structured 2025'!teamCol,ROW()),ovrTeamCol25,0),MATCH(MID(INDEX('Structured 2025'!headerRow,1,COLUMN()),4,LEN(INDEX('Structured 2025'!headerRow,1,COLUMN()))),ovrHeaderRow25,0))</f>
        <v>33.5</v>
      </c>
      <c r="AK19" s="12">
        <f>INDEX(ovrTable25,MATCH(INDEX('Structured 2025'!teamCol,ROW()),ovrTeamCol25,0),MATCH(MID(INDEX('Structured 2025'!headerRow,1,COLUMN()),4,LEN(INDEX('Structured 2025'!headerRow,1,COLUMN()))),ovrHeaderRow25,0))</f>
        <v>8</v>
      </c>
      <c r="AL19" s="12">
        <f>INDEX(ovrTable25,MATCH(INDEX('Structured 2025'!teamCol,ROW()),ovrTeamCol25,0),MATCH(MID(INDEX('Structured 2025'!headerRow,1,COLUMN()),4,LEN(INDEX('Structured 2025'!headerRow,1,COLUMN()))),ovrHeaderRow25,0))</f>
        <v>35.6</v>
      </c>
      <c r="AM19" s="12">
        <f>INDEX(ovrTable25,MATCH(INDEX('Structured 2025'!teamCol,ROW()),ovrTeamCol25,0),MATCH(MID(INDEX('Structured 2025'!headerRow,1,COLUMN()),4,LEN(INDEX('Structured 2025'!headerRow,1,COLUMN()))),ovrHeaderRow25,0))</f>
        <v>22.4</v>
      </c>
      <c r="AN19" s="12">
        <f>INDEX(ovrTable25,MATCH(INDEX('Structured 2025'!teamCol,ROW()),ovrTeamCol25,0),MATCH(MID(INDEX('Structured 2025'!headerRow,1,COLUMN()),4,LEN(INDEX('Structured 2025'!headerRow,1,COLUMN()))),ovrHeaderRow25,0))</f>
        <v>1.38</v>
      </c>
      <c r="AO19" s="12">
        <f>INDEX(ovrTable25,MATCH(INDEX('Structured 2025'!teamCol,ROW()),ovrTeamCol25,0),MATCH(MID(INDEX('Structured 2025'!headerRow,1,COLUMN()),4,LEN(INDEX('Structured 2025'!headerRow,1,COLUMN()))),ovrHeaderRow25,0))</f>
        <v>14.8</v>
      </c>
      <c r="AP19" s="12">
        <f>INDEX(ovrTable25,MATCH(INDEX('Structured 2025'!teamCol,ROW()),ovrTeamCol25,0),MATCH(MID(INDEX('Structured 2025'!headerRow,1,COLUMN()),4,LEN(INDEX('Structured 2025'!headerRow,1,COLUMN()))),ovrHeaderRow25,0))</f>
        <v>23.95</v>
      </c>
      <c r="AQ19" s="12">
        <f>INDEX(ovrTable25,MATCH(INDEX('Structured 2025'!teamCol,ROW()),ovrTeamCol25,0),MATCH(MID(INDEX('Structured 2025'!headerRow,1,COLUMN()),4,LEN(INDEX('Structured 2025'!headerRow,1,COLUMN()))),ovrHeaderRow25,0))</f>
        <v>3.6</v>
      </c>
      <c r="AR19" s="12">
        <f>INDEX(ovrTable25,MATCH(INDEX('Structured 2025'!teamCol,ROW()),ovrTeamCol25,0),MATCH(MID(INDEX('Structured 2025'!headerRow,1,COLUMN()),4,LEN(INDEX('Structured 2025'!headerRow,1,COLUMN()))),ovrHeaderRow25,0))</f>
        <v>43.2</v>
      </c>
      <c r="AS19" s="12">
        <f>INDEX(ovrTable25,MATCH(INDEX('Structured 2025'!teamCol,ROW()),ovrTeamCol25,0),MATCH(MID(INDEX('Structured 2025'!headerRow,1,COLUMN()),4,LEN(INDEX('Structured 2025'!headerRow,1,COLUMN()))),ovrHeaderRow25,0))</f>
        <v>26.89</v>
      </c>
      <c r="AT19" s="12">
        <f>INDEX(ovrTable25,MATCH(INDEX('Structured 2025'!teamCol,ROW()),ovrTeamCol25,0),MATCH(MID(INDEX('Structured 2025'!headerRow,1,COLUMN()),4,LEN(INDEX('Structured 2025'!headerRow,1,COLUMN()))),ovrHeaderRow25,0))</f>
        <v>0.54100000000000004</v>
      </c>
      <c r="AU19" s="12">
        <f>INDEX(ovrTable25,MATCH(INDEX('Structured 2025'!teamCol,ROW()),ovrTeamCol25,0),MATCH(MID(INDEX('Structured 2025'!headerRow,1,COLUMN()),4,LEN(INDEX('Structured 2025'!headerRow,1,COLUMN()))),ovrHeaderRow25,0))</f>
        <v>12.95</v>
      </c>
      <c r="AV19" s="12">
        <f>INDEX(ovrTable25,MATCH(INDEX('Structured 2025'!teamCol,ROW()),ovrTeamCol25,0),MATCH(MID(INDEX('Structured 2025'!headerRow,1,COLUMN()),4,LEN(INDEX('Structured 2025'!headerRow,1,COLUMN()))),ovrHeaderRow25,0))</f>
        <v>47.5</v>
      </c>
      <c r="AW19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X19" s="12">
        <f>INDEX(ovrTable25,MATCH(INDEX('Structured 2025'!teamCol,ROW()),ovrTeamCol25,0),MATCH(MID(INDEX('Structured 2025'!headerRow,1,COLUMN()),4,LEN(INDEX('Structured 2025'!headerRow,1,COLUMN()))),ovrHeaderRow25,0))</f>
        <v>74.099999999999994</v>
      </c>
      <c r="AY19" s="12">
        <f>INDEX(ovrTable25,MATCH(INDEX('Structured 2025'!teamCol,ROW()),ovrTeamCol25,0),MATCH(MID(INDEX('Structured 2025'!headerRow,1,COLUMN()),4,LEN(INDEX('Structured 2025'!headerRow,1,COLUMN()))),ovrHeaderRow25,0))</f>
        <v>20.9</v>
      </c>
      <c r="AZ19" s="12">
        <f>INDEX(ovrTable25,MATCH(INDEX('Structured 2025'!teamCol,ROW()),ovrTeamCol25,0),MATCH(MID(INDEX('Structured 2025'!headerRow,1,COLUMN()),4,LEN(INDEX('Structured 2025'!headerRow,1,COLUMN()))),ovrHeaderRow25,0))</f>
        <v>15.5</v>
      </c>
      <c r="BA19" s="12">
        <f>INDEX(ovrTable25,MATCH(INDEX('Structured 2025'!teamCol,ROW()),ovrTeamCol25,0),MATCH(MID(INDEX('Structured 2025'!headerRow,1,COLUMN()),4,LEN(INDEX('Structured 2025'!headerRow,1,COLUMN()))),ovrHeaderRow25,0))</f>
        <v>74.7</v>
      </c>
      <c r="BB19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19" s="12">
        <f>INDEX(ovrTable25,MATCH(INDEX('Structured 2025'!teamCol,ROW()),ovrTeamCol25,0),MATCH(MID(INDEX('Structured 2025'!headerRow,1,COLUMN()),4,LEN(INDEX('Structured 2025'!headerRow,1,COLUMN()))),ovrHeaderRow25,0))</f>
        <v>80.7</v>
      </c>
      <c r="BD19" s="12">
        <f>INDEX(ovrTable25,MATCH(INDEX('Structured 2025'!teamCol,ROW()),ovrTeamCol25,0),MATCH(MID(INDEX('Structured 2025'!headerRow,1,COLUMN()),4,LEN(INDEX('Structured 2025'!headerRow,1,COLUMN()))),ovrHeaderRow25,0))</f>
        <v>2.9</v>
      </c>
      <c r="BE19" s="12">
        <f>INDEX(ovrTable25,MATCH(INDEX('Structured 2025'!teamCol,ROW()),ovrTeamCol25,0),MATCH(MID(INDEX('Structured 2025'!headerRow,1,COLUMN()),4,LEN(INDEX('Structured 2025'!headerRow,1,COLUMN()))),ovrHeaderRow25,0))</f>
        <v>36.68</v>
      </c>
      <c r="BF19" s="12">
        <f>INDEX(ovrTable25,MATCH(INDEX('Structured 2025'!teamCol,ROW()),ovrTeamCol25,0),MATCH(MID(INDEX('Structured 2025'!headerRow,1,COLUMN()),4,LEN(INDEX('Structured 2025'!headerRow,1,COLUMN()))),ovrHeaderRow25,0))</f>
        <v>6.1</v>
      </c>
      <c r="BG19" s="12">
        <f>INDEX(ovrTable25,MATCH(INDEX('Structured 2025'!teamCol,ROW()),ovrTeamCol25,0),MATCH(MID(INDEX('Structured 2025'!headerRow,1,COLUMN()),4,LEN(INDEX('Structured 2025'!headerRow,1,COLUMN()))),ovrHeaderRow25,0))</f>
        <v>6</v>
      </c>
      <c r="BH19" s="12">
        <f>INDEX(ovrTable25,MATCH(INDEX('Structured 2025'!teamCol,ROW()),ovrTeamCol25,0),MATCH(MID(INDEX('Structured 2025'!headerRow,1,COLUMN()),4,LEN(INDEX('Structured 2025'!headerRow,1,COLUMN()))),ovrHeaderRow25,0))</f>
        <v>0.2</v>
      </c>
      <c r="BI19" s="12">
        <f>INDEX(ovrTable25,MATCH(INDEX('Structured 2025'!teamCol,ROW()),ovrTeamCol25,0),MATCH(MID(INDEX('Structured 2025'!headerRow,1,COLUMN()),4,LEN(INDEX('Structured 2025'!headerRow,1,COLUMN()))),ovrHeaderRow25,0))</f>
        <v>10.89</v>
      </c>
      <c r="BJ19" s="12">
        <f>INDEX(ovrTable25,MATCH(INDEX('Structured 2025'!teamCol,ROW()),ovrTeamCol25,0),MATCH(MID(INDEX('Structured 2025'!headerRow,1,COLUMN()),4,LEN(INDEX('Structured 2025'!headerRow,1,COLUMN()))),ovrHeaderRow25,0))</f>
        <v>10.7</v>
      </c>
      <c r="BK19" s="12">
        <f>INDEX(ovrTable25,MATCH(INDEX('Structured 2025'!teamCol,ROW()),ovrTeamCol25,0),MATCH(MID(INDEX('Structured 2025'!headerRow,1,COLUMN()),4,LEN(INDEX('Structured 2025'!headerRow,1,COLUMN()))),ovrHeaderRow25,0))</f>
        <v>70.7</v>
      </c>
      <c r="BL19" s="12">
        <f>INDEX(ovrTable25,MATCH(INDEX('Structured 2025'!teamCol,ROW()),ovrTeamCol25,0),MATCH(MID(INDEX('Structured 2025'!headerRow,1,COLUMN()),4,LEN(INDEX('Structured 2025'!headerRow,1,COLUMN()))),ovrHeaderRow25,0))</f>
        <v>20.6</v>
      </c>
      <c r="BM19" s="12">
        <f>INDEX(ovrTable25,MATCH(INDEX('Structured 2025'!teamCol,ROW()),ovrTeamCol25,0),MATCH(MID(INDEX('Structured 2025'!headerRow,1,COLUMN()),4,LEN(INDEX('Structured 2025'!headerRow,1,COLUMN()))),ovrHeaderRow25,0))</f>
        <v>60.210526315789473</v>
      </c>
      <c r="BN19" s="12">
        <f>INDEX(ovrTable25,MATCH(INDEX(oppCol,ROW()),ovrTeamCol25,0),MATCH(MID(INDEX('Structured 2025'!headerRow,1,COLUMN()),4,LEN(INDEX('Structured 2025'!headerRow,1,COLUMN()))),ovrHeaderRow25,0))</f>
        <v>32.5</v>
      </c>
      <c r="BO19" s="12">
        <f>INDEX(ovrTable25,MATCH(INDEX(oppCol,ROW()),ovrTeamCol25,0),MATCH(MID(INDEX('Structured 2025'!headerRow,1,COLUMN()),4,LEN(INDEX('Structured 2025'!headerRow,1,COLUMN()))),ovrHeaderRow25,0))</f>
        <v>8.3000000000000007</v>
      </c>
      <c r="BP19" s="12">
        <f>INDEX(ovrTable25,MATCH(INDEX(oppCol,ROW()),ovrTeamCol25,0),MATCH(MID(INDEX('Structured 2025'!headerRow,1,COLUMN()),4,LEN(INDEX('Structured 2025'!headerRow,1,COLUMN()))),ovrHeaderRow25,0))</f>
        <v>34.799999999999997</v>
      </c>
      <c r="BQ19" s="12">
        <f>INDEX(ovrTable25,MATCH(INDEX(oppCol,ROW()),ovrTeamCol25,0),MATCH(MID(INDEX('Structured 2025'!headerRow,1,COLUMN()),4,LEN(INDEX('Structured 2025'!headerRow,1,COLUMN()))),ovrHeaderRow25,0))</f>
        <v>24</v>
      </c>
      <c r="BR19" s="12">
        <f>INDEX(ovrTable25,MATCH(INDEX(oppCol,ROW()),ovrTeamCol25,0),MATCH(MID(INDEX('Structured 2025'!headerRow,1,COLUMN()),4,LEN(INDEX('Structured 2025'!headerRow,1,COLUMN()))),ovrHeaderRow25,0))</f>
        <v>1.57</v>
      </c>
      <c r="BS19" s="12">
        <f>INDEX(ovrTable25,MATCH(INDEX(oppCol,ROW()),ovrTeamCol25,0),MATCH(MID(INDEX('Structured 2025'!headerRow,1,COLUMN()),4,LEN(INDEX('Structured 2025'!headerRow,1,COLUMN()))),ovrHeaderRow25,0))</f>
        <v>14.2</v>
      </c>
      <c r="BT19" s="12">
        <f>INDEX(ovrTable25,MATCH(INDEX(oppCol,ROW()),ovrTeamCol25,0),MATCH(MID(INDEX('Structured 2025'!headerRow,1,COLUMN()),4,LEN(INDEX('Structured 2025'!headerRow,1,COLUMN()))),ovrHeaderRow25,0))</f>
        <v>20.72</v>
      </c>
      <c r="BU19" s="12">
        <f>INDEX(ovrTable25,MATCH(INDEX(oppCol,ROW()),ovrTeamCol25,0),MATCH(MID(INDEX('Structured 2025'!headerRow,1,COLUMN()),4,LEN(INDEX('Structured 2025'!headerRow,1,COLUMN()))),ovrHeaderRow25,0))</f>
        <v>3.7</v>
      </c>
      <c r="BV19" s="12">
        <f>INDEX(ovrTable25,MATCH(INDEX(oppCol,ROW()),ovrTeamCol25,0),MATCH(MID(INDEX('Structured 2025'!headerRow,1,COLUMN()),4,LEN(INDEX('Structured 2025'!headerRow,1,COLUMN()))),ovrHeaderRow25,0))</f>
        <v>43.4</v>
      </c>
      <c r="BW19" s="12">
        <f>INDEX(ovrTable25,MATCH(INDEX(oppCol,ROW()),ovrTeamCol25,0),MATCH(MID(INDEX('Structured 2025'!headerRow,1,COLUMN()),4,LEN(INDEX('Structured 2025'!headerRow,1,COLUMN()))),ovrHeaderRow25,0))</f>
        <v>23.94</v>
      </c>
      <c r="BX19" s="12">
        <f>INDEX(ovrTable25,MATCH(INDEX(oppCol,ROW()),ovrTeamCol25,0),MATCH(MID(INDEX('Structured 2025'!headerRow,1,COLUMN()),4,LEN(INDEX('Structured 2025'!headerRow,1,COLUMN()))),ovrHeaderRow25,0))</f>
        <v>0.51400000000000001</v>
      </c>
      <c r="BY19" s="12">
        <f>INDEX(ovrTable25,MATCH(INDEX(oppCol,ROW()),ovrTeamCol25,0),MATCH(MID(INDEX('Structured 2025'!headerRow,1,COLUMN()),4,LEN(INDEX('Structured 2025'!headerRow,1,COLUMN()))),ovrHeaderRow25,0))</f>
        <v>10.75</v>
      </c>
      <c r="BZ19" s="12">
        <f>INDEX(ovrTable25,MATCH(INDEX(oppCol,ROW()),ovrTeamCol25,0),MATCH(MID(INDEX('Structured 2025'!headerRow,1,COLUMN()),4,LEN(INDEX('Structured 2025'!headerRow,1,COLUMN()))),ovrHeaderRow25,0))</f>
        <v>44.5</v>
      </c>
      <c r="CA19" s="12">
        <f>INDEX(ovrTable25,MATCH(INDEX(oppCol,ROW()),ovrTeamCol25,0),MATCH(MID(INDEX('Structured 2025'!headerRow,1,COLUMN()),4,LEN(INDEX('Structured 2025'!headerRow,1,COLUMN()))),ovrHeaderRow25,0))</f>
        <v>18.3</v>
      </c>
      <c r="CB19" s="12">
        <f>INDEX(ovrTable25,MATCH(INDEX(oppCol,ROW()),ovrTeamCol25,0),MATCH(MID(INDEX('Structured 2025'!headerRow,1,COLUMN()),4,LEN(INDEX('Structured 2025'!headerRow,1,COLUMN()))),ovrHeaderRow25,0))</f>
        <v>73.8</v>
      </c>
      <c r="CC19" s="12">
        <f>INDEX(ovrTable25,MATCH(INDEX(oppCol,ROW()),ovrTeamCol25,0),MATCH(MID(INDEX('Structured 2025'!headerRow,1,COLUMN()),4,LEN(INDEX('Structured 2025'!headerRow,1,COLUMN()))),ovrHeaderRow25,0))</f>
        <v>21.1</v>
      </c>
      <c r="CD19" s="12">
        <f>INDEX(ovrTable25,MATCH(INDEX(oppCol,ROW()),ovrTeamCol25,0),MATCH(MID(INDEX('Structured 2025'!headerRow,1,COLUMN()),4,LEN(INDEX('Structured 2025'!headerRow,1,COLUMN()))),ovrHeaderRow25,0))</f>
        <v>15.6</v>
      </c>
      <c r="CE19" s="12">
        <f>INDEX(ovrTable25,MATCH(INDEX(oppCol,ROW()),ovrTeamCol25,0),MATCH(MID(INDEX('Structured 2025'!headerRow,1,COLUMN()),4,LEN(INDEX('Structured 2025'!headerRow,1,COLUMN()))),ovrHeaderRow25,0))</f>
        <v>71.599999999999994</v>
      </c>
      <c r="CF19" s="12">
        <f>INDEX(ovrTable25,MATCH(INDEX(oppCol,ROW()),ovrTeamCol25,0),MATCH(MID(INDEX('Structured 2025'!headerRow,1,COLUMN()),4,LEN(INDEX('Structured 2025'!headerRow,1,COLUMN()))),ovrHeaderRow25,0))</f>
        <v>9.19</v>
      </c>
      <c r="CG19" s="12">
        <f>INDEX(ovrTable25,MATCH(INDEX(oppCol,ROW()),ovrTeamCol25,0),MATCH(MID(INDEX('Structured 2025'!headerRow,1,COLUMN()),4,LEN(INDEX('Structured 2025'!headerRow,1,COLUMN()))),ovrHeaderRow25,0))</f>
        <v>77.2</v>
      </c>
      <c r="CH19" s="12">
        <f>INDEX(ovrTable25,MATCH(INDEX(oppCol,ROW()),ovrTeamCol25,0),MATCH(MID(INDEX('Structured 2025'!headerRow,1,COLUMN()),4,LEN(INDEX('Structured 2025'!headerRow,1,COLUMN()))),ovrHeaderRow25,0))</f>
        <v>-4.0999999999999996</v>
      </c>
      <c r="CI19" s="12">
        <f>INDEX(ovrTable25,MATCH(INDEX(oppCol,ROW()),ovrTeamCol25,0),MATCH(MID(INDEX('Structured 2025'!headerRow,1,COLUMN()),4,LEN(INDEX('Structured 2025'!headerRow,1,COLUMN()))),ovrHeaderRow25,0))</f>
        <v>33.14</v>
      </c>
      <c r="CJ19" s="12">
        <f>INDEX(ovrTable25,MATCH(INDEX(oppCol,ROW()),ovrTeamCol25,0),MATCH(MID(INDEX('Structured 2025'!headerRow,1,COLUMN()),4,LEN(INDEX('Structured 2025'!headerRow,1,COLUMN()))),ovrHeaderRow25,0))</f>
        <v>5.6</v>
      </c>
      <c r="CK19" s="12">
        <f>INDEX(ovrTable25,MATCH(INDEX(oppCol,ROW()),ovrTeamCol25,0),MATCH(MID(INDEX('Structured 2025'!headerRow,1,COLUMN()),4,LEN(INDEX('Structured 2025'!headerRow,1,COLUMN()))),ovrHeaderRow25,0))</f>
        <v>8.8000000000000007</v>
      </c>
      <c r="CL19" s="12">
        <f>INDEX(ovrTable25,MATCH(INDEX(oppCol,ROW()),ovrTeamCol25,0),MATCH(MID(INDEX('Structured 2025'!headerRow,1,COLUMN()),4,LEN(INDEX('Structured 2025'!headerRow,1,COLUMN()))),ovrHeaderRow25,0))</f>
        <v>5.0999999999999996</v>
      </c>
      <c r="CM19" s="12">
        <f>INDEX(ovrTable25,MATCH(INDEX(oppCol,ROW()),ovrTeamCol25,0),MATCH(MID(INDEX('Structured 2025'!headerRow,1,COLUMN()),4,LEN(INDEX('Structured 2025'!headerRow,1,COLUMN()))),ovrHeaderRow25,0))</f>
        <v>14.08</v>
      </c>
      <c r="CN19" s="12">
        <f>INDEX(ovrTable25,MATCH(INDEX(oppCol,ROW()),ovrTeamCol25,0),MATCH(MID(INDEX('Structured 2025'!headerRow,1,COLUMN()),4,LEN(INDEX('Structured 2025'!headerRow,1,COLUMN()))),ovrHeaderRow25,0))</f>
        <v>9</v>
      </c>
      <c r="CO19" s="12">
        <f>INDEX(ovrTable25,MATCH(INDEX(oppCol,ROW()),ovrTeamCol25,0),MATCH(MID(INDEX('Structured 2025'!headerRow,1,COLUMN()),4,LEN(INDEX('Structured 2025'!headerRow,1,COLUMN()))),ovrHeaderRow25,0))</f>
        <v>68.099999999999994</v>
      </c>
      <c r="CP19" s="12">
        <f>INDEX(ovrTable25,MATCH(INDEX(oppCol,ROW()),ovrTeamCol25,0),MATCH(MID(INDEX('Structured 2025'!headerRow,1,COLUMN()),4,LEN(INDEX('Structured 2025'!headerRow,1,COLUMN()))),ovrHeaderRow25,0))</f>
        <v>18.350000000000001</v>
      </c>
      <c r="CQ19" s="12">
        <f>INDEX(ovrTable25,MATCH(INDEX(oppCol,ROW()),ovrTeamCol25,0),MATCH(MID(INDEX('Structured 2025'!headerRow,1,COLUMN()),4,LEN(INDEX('Structured 2025'!headerRow,1,COLUMN()))),ovrHeaderRow25,0))</f>
        <v>59.887640449438202</v>
      </c>
    </row>
    <row r="20" spans="1:95" x14ac:dyDescent="0.3">
      <c r="A20" s="6" t="s">
        <v>3</v>
      </c>
      <c r="B20" s="3">
        <v>3</v>
      </c>
      <c r="C20" s="13" t="str">
        <f>A21</f>
        <v>LIP</v>
      </c>
      <c r="D20" s="14">
        <v>10</v>
      </c>
      <c r="E20" s="23">
        <v>0.2857142857142857</v>
      </c>
      <c r="F20" s="24">
        <v>58.333333333333336</v>
      </c>
      <c r="G20" s="24">
        <v>7</v>
      </c>
      <c r="H20" s="23">
        <v>36.84210526315789</v>
      </c>
      <c r="I20" s="24">
        <v>19</v>
      </c>
      <c r="J20" s="25">
        <v>1.5833333333333333</v>
      </c>
      <c r="K20" s="24">
        <v>5</v>
      </c>
      <c r="L20" s="24">
        <v>8</v>
      </c>
      <c r="M20" s="24">
        <v>7</v>
      </c>
      <c r="N20" s="24">
        <v>28</v>
      </c>
      <c r="O20" s="24">
        <v>19</v>
      </c>
      <c r="P20" s="24">
        <v>11</v>
      </c>
      <c r="Q20" s="24">
        <v>5</v>
      </c>
      <c r="R20" s="24">
        <v>12</v>
      </c>
      <c r="S20" s="24">
        <v>15</v>
      </c>
      <c r="T20" s="24">
        <v>16</v>
      </c>
      <c r="U20" s="24">
        <v>29</v>
      </c>
      <c r="V20" s="24">
        <v>0.37254901960784315</v>
      </c>
      <c r="W20" s="26">
        <v>0.64166666666666672</v>
      </c>
      <c r="X20" s="23">
        <v>62.5</v>
      </c>
      <c r="Y20" s="24">
        <v>55</v>
      </c>
      <c r="Z20" s="24">
        <v>82</v>
      </c>
      <c r="AA20" s="24">
        <v>12</v>
      </c>
      <c r="AB20" s="24">
        <v>35</v>
      </c>
      <c r="AC20" s="24">
        <v>27</v>
      </c>
      <c r="AD20" s="24">
        <v>5</v>
      </c>
      <c r="AE20" s="24">
        <v>17</v>
      </c>
      <c r="AF20" s="34">
        <f t="shared" si="0"/>
        <v>28</v>
      </c>
      <c r="AG20" s="34">
        <f t="shared" si="1"/>
        <v>40.999999999999993</v>
      </c>
      <c r="AH20" s="46">
        <f t="shared" si="2"/>
        <v>68.8</v>
      </c>
      <c r="AI20" s="51">
        <f t="shared" ref="AI20" si="19">AVERAGE(AH20,AH21)</f>
        <v>68.75</v>
      </c>
      <c r="AJ20" s="12">
        <f>INDEX(ovrTable25,MATCH(INDEX('Structured 2025'!teamCol,ROW()),ovrTeamCol25,0),MATCH(MID(INDEX('Structured 2025'!headerRow,1,COLUMN()),4,LEN(INDEX('Structured 2025'!headerRow,1,COLUMN()))),ovrHeaderRow25,0))</f>
        <v>33.6</v>
      </c>
      <c r="AK20" s="12">
        <f>INDEX(ovrTable25,MATCH(INDEX('Structured 2025'!teamCol,ROW()),ovrTeamCol25,0),MATCH(MID(INDEX('Structured 2025'!headerRow,1,COLUMN()),4,LEN(INDEX('Structured 2025'!headerRow,1,COLUMN()))),ovrHeaderRow25,0))</f>
        <v>7.7</v>
      </c>
      <c r="AL20" s="12">
        <f>INDEX(ovrTable25,MATCH(INDEX('Structured 2025'!teamCol,ROW()),ovrTeamCol25,0),MATCH(MID(INDEX('Structured 2025'!headerRow,1,COLUMN()),4,LEN(INDEX('Structured 2025'!headerRow,1,COLUMN()))),ovrHeaderRow25,0))</f>
        <v>35.799999999999997</v>
      </c>
      <c r="AM20" s="12">
        <f>INDEX(ovrTable25,MATCH(INDEX('Structured 2025'!teamCol,ROW()),ovrTeamCol25,0),MATCH(MID(INDEX('Structured 2025'!headerRow,1,COLUMN()),4,LEN(INDEX('Structured 2025'!headerRow,1,COLUMN()))),ovrHeaderRow25,0))</f>
        <v>21.4</v>
      </c>
      <c r="AN20" s="12">
        <f>INDEX(ovrTable25,MATCH(INDEX('Structured 2025'!teamCol,ROW()),ovrTeamCol25,0),MATCH(MID(INDEX('Structured 2025'!headerRow,1,COLUMN()),4,LEN(INDEX('Structured 2025'!headerRow,1,COLUMN()))),ovrHeaderRow25,0))</f>
        <v>1.25</v>
      </c>
      <c r="AO20" s="12">
        <f>INDEX(ovrTable25,MATCH(INDEX('Structured 2025'!teamCol,ROW()),ovrTeamCol25,0),MATCH(MID(INDEX('Structured 2025'!headerRow,1,COLUMN()),4,LEN(INDEX('Structured 2025'!headerRow,1,COLUMN()))),ovrHeaderRow25,0))</f>
        <v>15</v>
      </c>
      <c r="AP20" s="12">
        <f>INDEX(ovrTable25,MATCH(INDEX('Structured 2025'!teamCol,ROW()),ovrTeamCol25,0),MATCH(MID(INDEX('Structured 2025'!headerRow,1,COLUMN()),4,LEN(INDEX('Structured 2025'!headerRow,1,COLUMN()))),ovrHeaderRow25,0))</f>
        <v>22.6</v>
      </c>
      <c r="AQ20" s="12">
        <f>INDEX(ovrTable25,MATCH(INDEX('Structured 2025'!teamCol,ROW()),ovrTeamCol25,0),MATCH(MID(INDEX('Structured 2025'!headerRow,1,COLUMN()),4,LEN(INDEX('Structured 2025'!headerRow,1,COLUMN()))),ovrHeaderRow25,0))</f>
        <v>3.4</v>
      </c>
      <c r="AR20" s="12">
        <f>INDEX(ovrTable25,MATCH(INDEX('Structured 2025'!teamCol,ROW()),ovrTeamCol25,0),MATCH(MID(INDEX('Structured 2025'!headerRow,1,COLUMN()),4,LEN(INDEX('Structured 2025'!headerRow,1,COLUMN()))),ovrHeaderRow25,0))</f>
        <v>42</v>
      </c>
      <c r="AS20" s="12">
        <f>INDEX(ovrTable25,MATCH(INDEX('Structured 2025'!teamCol,ROW()),ovrTeamCol25,0),MATCH(MID(INDEX('Structured 2025'!headerRow,1,COLUMN()),4,LEN(INDEX('Structured 2025'!headerRow,1,COLUMN()))),ovrHeaderRow25,0))</f>
        <v>25.06</v>
      </c>
      <c r="AT20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20" s="12">
        <f>INDEX(ovrTable25,MATCH(INDEX('Structured 2025'!teamCol,ROW()),ovrTeamCol25,0),MATCH(MID(INDEX('Structured 2025'!headerRow,1,COLUMN()),4,LEN(INDEX('Structured 2025'!headerRow,1,COLUMN()))),ovrHeaderRow25,0))</f>
        <v>11.94</v>
      </c>
      <c r="AV20" s="12">
        <f>INDEX(ovrTable25,MATCH(INDEX('Structured 2025'!teamCol,ROW()),ovrTeamCol25,0),MATCH(MID(INDEX('Structured 2025'!headerRow,1,COLUMN()),4,LEN(INDEX('Structured 2025'!headerRow,1,COLUMN()))),ovrHeaderRow25,0))</f>
        <v>48.3</v>
      </c>
      <c r="AW20" s="12">
        <f>INDEX(ovrTable25,MATCH(INDEX('Structured 2025'!teamCol,ROW()),ovrTeamCol25,0),MATCH(MID(INDEX('Structured 2025'!headerRow,1,COLUMN()),4,LEN(INDEX('Structured 2025'!headerRow,1,COLUMN()))),ovrHeaderRow25,0))</f>
        <v>16.2</v>
      </c>
      <c r="AX20" s="12">
        <f>INDEX(ovrTable25,MATCH(INDEX('Structured 2025'!teamCol,ROW()),ovrTeamCol25,0),MATCH(MID(INDEX('Structured 2025'!headerRow,1,COLUMN()),4,LEN(INDEX('Structured 2025'!headerRow,1,COLUMN()))),ovrHeaderRow25,0))</f>
        <v>75.3</v>
      </c>
      <c r="AY20" s="12">
        <f>INDEX(ovrTable25,MATCH(INDEX('Structured 2025'!teamCol,ROW()),ovrTeamCol25,0),MATCH(MID(INDEX('Structured 2025'!headerRow,1,COLUMN()),4,LEN(INDEX('Structured 2025'!headerRow,1,COLUMN()))),ovrHeaderRow25,0))</f>
        <v>22</v>
      </c>
      <c r="AZ20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BA20" s="12">
        <f>INDEX(ovrTable25,MATCH(INDEX('Structured 2025'!teamCol,ROW()),ovrTeamCol25,0),MATCH(MID(INDEX('Structured 2025'!headerRow,1,COLUMN()),4,LEN(INDEX('Structured 2025'!headerRow,1,COLUMN()))),ovrHeaderRow25,0))</f>
        <v>68.3</v>
      </c>
      <c r="BB20" s="12">
        <f>INDEX(ovrTable25,MATCH(INDEX('Structured 2025'!teamCol,ROW()),ovrTeamCol25,0),MATCH(MID(INDEX('Structured 2025'!headerRow,1,COLUMN()),4,LEN(INDEX('Structured 2025'!headerRow,1,COLUMN()))),ovrHeaderRow25,0))</f>
        <v>10.31</v>
      </c>
      <c r="BC20" s="12">
        <f>INDEX(ovrTable25,MATCH(INDEX('Structured 2025'!teamCol,ROW()),ovrTeamCol25,0),MATCH(MID(INDEX('Structured 2025'!headerRow,1,COLUMN()),4,LEN(INDEX('Structured 2025'!headerRow,1,COLUMN()))),ovrHeaderRow25,0))</f>
        <v>80.3</v>
      </c>
      <c r="BD20" s="12">
        <f>INDEX(ovrTable25,MATCH(INDEX('Structured 2025'!teamCol,ROW()),ovrTeamCol25,0),MATCH(MID(INDEX('Structured 2025'!headerRow,1,COLUMN()),4,LEN(INDEX('Structured 2025'!headerRow,1,COLUMN()))),ovrHeaderRow25,0))</f>
        <v>3.9</v>
      </c>
      <c r="BE20" s="12">
        <f>INDEX(ovrTable25,MATCH(INDEX('Structured 2025'!teamCol,ROW()),ovrTeamCol25,0),MATCH(MID(INDEX('Structured 2025'!headerRow,1,COLUMN()),4,LEN(INDEX('Structured 2025'!headerRow,1,COLUMN()))),ovrHeaderRow25,0))</f>
        <v>35.369999999999997</v>
      </c>
      <c r="BF20" s="12">
        <f>INDEX(ovrTable25,MATCH(INDEX('Structured 2025'!teamCol,ROW()),ovrTeamCol25,0),MATCH(MID(INDEX('Structured 2025'!headerRow,1,COLUMN()),4,LEN(INDEX('Structured 2025'!headerRow,1,COLUMN()))),ovrHeaderRow25,0))</f>
        <v>12</v>
      </c>
      <c r="BG20" s="12">
        <f>INDEX(ovrTable25,MATCH(INDEX('Structured 2025'!teamCol,ROW()),ovrTeamCol25,0),MATCH(MID(INDEX('Structured 2025'!headerRow,1,COLUMN()),4,LEN(INDEX('Structured 2025'!headerRow,1,COLUMN()))),ovrHeaderRow25,0))</f>
        <v>9.3000000000000007</v>
      </c>
      <c r="BH20" s="12">
        <f>INDEX(ovrTable25,MATCH(INDEX('Structured 2025'!teamCol,ROW()),ovrTeamCol25,0),MATCH(MID(INDEX('Structured 2025'!headerRow,1,COLUMN()),4,LEN(INDEX('Structured 2025'!headerRow,1,COLUMN()))),ovrHeaderRow25,0))</f>
        <v>3.2</v>
      </c>
      <c r="BI20" s="12">
        <f>INDEX(ovrTable25,MATCH(INDEX('Structured 2025'!teamCol,ROW()),ovrTeamCol25,0),MATCH(MID(INDEX('Structured 2025'!headerRow,1,COLUMN()),4,LEN(INDEX('Structured 2025'!headerRow,1,COLUMN()))),ovrHeaderRow25,0))</f>
        <v>15.23</v>
      </c>
      <c r="BJ20" s="12">
        <f>INDEX(ovrTable25,MATCH(INDEX('Structured 2025'!teamCol,ROW()),ovrTeamCol25,0),MATCH(MID(INDEX('Structured 2025'!headerRow,1,COLUMN()),4,LEN(INDEX('Structured 2025'!headerRow,1,COLUMN()))),ovrHeaderRow25,0))</f>
        <v>12</v>
      </c>
      <c r="BK20" s="12">
        <f>INDEX(ovrTable25,MATCH(INDEX('Structured 2025'!teamCol,ROW()),ovrTeamCol25,0),MATCH(MID(INDEX('Structured 2025'!headerRow,1,COLUMN()),4,LEN(INDEX('Structured 2025'!headerRow,1,COLUMN()))),ovrHeaderRow25,0))</f>
        <v>68.8</v>
      </c>
      <c r="BL20" s="12">
        <f>INDEX(ovrTable25,MATCH(INDEX('Structured 2025'!teamCol,ROW()),ovrTeamCol25,0),MATCH(MID(INDEX('Structured 2025'!headerRow,1,COLUMN()),4,LEN(INDEX('Structured 2025'!headerRow,1,COLUMN()))),ovrHeaderRow25,0))</f>
        <v>20.299999999999997</v>
      </c>
      <c r="BM20" s="12">
        <f>INDEX(ovrTable25,MATCH(INDEX('Structured 2025'!teamCol,ROW()),ovrTeamCol25,0),MATCH(MID(INDEX('Structured 2025'!headerRow,1,COLUMN()),4,LEN(INDEX('Structured 2025'!headerRow,1,COLUMN()))),ovrHeaderRow25,0))</f>
        <v>57.971014492753618</v>
      </c>
      <c r="BN20" s="12">
        <f>INDEX(ovrTable25,MATCH(INDEX(oppCol,ROW()),ovrTeamCol25,0),MATCH(MID(INDEX('Structured 2025'!headerRow,1,COLUMN()),4,LEN(INDEX('Structured 2025'!headerRow,1,COLUMN()))),ovrHeaderRow25,0))</f>
        <v>31</v>
      </c>
      <c r="BO20" s="12">
        <f>INDEX(ovrTable25,MATCH(INDEX(oppCol,ROW()),ovrTeamCol25,0),MATCH(MID(INDEX('Structured 2025'!headerRow,1,COLUMN()),4,LEN(INDEX('Structured 2025'!headerRow,1,COLUMN()))),ovrHeaderRow25,0))</f>
        <v>9.8000000000000007</v>
      </c>
      <c r="BP20" s="12">
        <f>INDEX(ovrTable25,MATCH(INDEX(oppCol,ROW()),ovrTeamCol25,0),MATCH(MID(INDEX('Structured 2025'!headerRow,1,COLUMN()),4,LEN(INDEX('Structured 2025'!headerRow,1,COLUMN()))),ovrHeaderRow25,0))</f>
        <v>35.700000000000003</v>
      </c>
      <c r="BQ20" s="12">
        <f>INDEX(ovrTable25,MATCH(INDEX(oppCol,ROW()),ovrTeamCol25,0),MATCH(MID(INDEX('Structured 2025'!headerRow,1,COLUMN()),4,LEN(INDEX('Structured 2025'!headerRow,1,COLUMN()))),ovrHeaderRow25,0))</f>
        <v>27.5</v>
      </c>
      <c r="BR20" s="12">
        <f>INDEX(ovrTable25,MATCH(INDEX(oppCol,ROW()),ovrTeamCol25,0),MATCH(MID(INDEX('Structured 2025'!headerRow,1,COLUMN()),4,LEN(INDEX('Structured 2025'!headerRow,1,COLUMN()))),ovrHeaderRow25,0))</f>
        <v>1.55</v>
      </c>
      <c r="BS20" s="12">
        <f>INDEX(ovrTable25,MATCH(INDEX(oppCol,ROW()),ovrTeamCol25,0),MATCH(MID(INDEX('Structured 2025'!headerRow,1,COLUMN()),4,LEN(INDEX('Structured 2025'!headerRow,1,COLUMN()))),ovrHeaderRow25,0))</f>
        <v>15.1</v>
      </c>
      <c r="BT20" s="12">
        <f>INDEX(ovrTable25,MATCH(INDEX(oppCol,ROW()),ovrTeamCol25,0),MATCH(MID(INDEX('Structured 2025'!headerRow,1,COLUMN()),4,LEN(INDEX('Structured 2025'!headerRow,1,COLUMN()))),ovrHeaderRow25,0))</f>
        <v>14.6</v>
      </c>
      <c r="BU20" s="12">
        <f>INDEX(ovrTable25,MATCH(INDEX(oppCol,ROW()),ovrTeamCol25,0),MATCH(MID(INDEX('Structured 2025'!headerRow,1,COLUMN()),4,LEN(INDEX('Structured 2025'!headerRow,1,COLUMN()))),ovrHeaderRow25,0))</f>
        <v>3</v>
      </c>
      <c r="BV20" s="12">
        <f>INDEX(ovrTable25,MATCH(INDEX(oppCol,ROW()),ovrTeamCol25,0),MATCH(MID(INDEX('Structured 2025'!headerRow,1,COLUMN()),4,LEN(INDEX('Structured 2025'!headerRow,1,COLUMN()))),ovrHeaderRow25,0))</f>
        <v>42.7</v>
      </c>
      <c r="BW20" s="12">
        <f>INDEX(ovrTable25,MATCH(INDEX(oppCol,ROW()),ovrTeamCol25,0),MATCH(MID(INDEX('Structured 2025'!headerRow,1,COLUMN()),4,LEN(INDEX('Structured 2025'!headerRow,1,COLUMN()))),ovrHeaderRow25,0))</f>
        <v>27.26</v>
      </c>
      <c r="BX20" s="12">
        <f>INDEX(ovrTable25,MATCH(INDEX(oppCol,ROW()),ovrTeamCol25,0),MATCH(MID(INDEX('Structured 2025'!headerRow,1,COLUMN()),4,LEN(INDEX('Structured 2025'!headerRow,1,COLUMN()))),ovrHeaderRow25,0))</f>
        <v>0.55500000000000005</v>
      </c>
      <c r="BY20" s="12">
        <f>INDEX(ovrTable25,MATCH(INDEX(oppCol,ROW()),ovrTeamCol25,0),MATCH(MID(INDEX('Structured 2025'!headerRow,1,COLUMN()),4,LEN(INDEX('Structured 2025'!headerRow,1,COLUMN()))),ovrHeaderRow25,0))</f>
        <v>8.23</v>
      </c>
      <c r="BZ20" s="12">
        <f>INDEX(ovrTable25,MATCH(INDEX(oppCol,ROW()),ovrTeamCol25,0),MATCH(MID(INDEX('Structured 2025'!headerRow,1,COLUMN()),4,LEN(INDEX('Structured 2025'!headerRow,1,COLUMN()))),ovrHeaderRow25,0))</f>
        <v>47.1</v>
      </c>
      <c r="CA20" s="12">
        <f>INDEX(ovrTable25,MATCH(INDEX(oppCol,ROW()),ovrTeamCol25,0),MATCH(MID(INDEX('Structured 2025'!headerRow,1,COLUMN()),4,LEN(INDEX('Structured 2025'!headerRow,1,COLUMN()))),ovrHeaderRow25,0))</f>
        <v>12.5</v>
      </c>
      <c r="CB20" s="12">
        <f>INDEX(ovrTable25,MATCH(INDEX(oppCol,ROW()),ovrTeamCol25,0),MATCH(MID(INDEX('Structured 2025'!headerRow,1,COLUMN()),4,LEN(INDEX('Structured 2025'!headerRow,1,COLUMN()))),ovrHeaderRow25,0))</f>
        <v>79.400000000000006</v>
      </c>
      <c r="CC20" s="12">
        <f>INDEX(ovrTable25,MATCH(INDEX(oppCol,ROW()),ovrTeamCol25,0),MATCH(MID(INDEX('Structured 2025'!headerRow,1,COLUMN()),4,LEN(INDEX('Structured 2025'!headerRow,1,COLUMN()))),ovrHeaderRow25,0))</f>
        <v>17.7</v>
      </c>
      <c r="CD20" s="12">
        <f>INDEX(ovrTable25,MATCH(INDEX(oppCol,ROW()),ovrTeamCol25,0),MATCH(MID(INDEX('Structured 2025'!headerRow,1,COLUMN()),4,LEN(INDEX('Structured 2025'!headerRow,1,COLUMN()))),ovrHeaderRow25,0))</f>
        <v>14.1</v>
      </c>
      <c r="CE20" s="12">
        <f>INDEX(ovrTable25,MATCH(INDEX(oppCol,ROW()),ovrTeamCol25,0),MATCH(MID(INDEX('Structured 2025'!headerRow,1,COLUMN()),4,LEN(INDEX('Structured 2025'!headerRow,1,COLUMN()))),ovrHeaderRow25,0))</f>
        <v>67.7</v>
      </c>
      <c r="CF20" s="12">
        <f>INDEX(ovrTable25,MATCH(INDEX(oppCol,ROW()),ovrTeamCol25,0),MATCH(MID(INDEX('Structured 2025'!headerRow,1,COLUMN()),4,LEN(INDEX('Structured 2025'!headerRow,1,COLUMN()))),ovrHeaderRow25,0))</f>
        <v>8.1999999999999993</v>
      </c>
      <c r="CG20" s="12">
        <f>INDEX(ovrTable25,MATCH(INDEX(oppCol,ROW()),ovrTeamCol25,0),MATCH(MID(INDEX('Structured 2025'!headerRow,1,COLUMN()),4,LEN(INDEX('Structured 2025'!headerRow,1,COLUMN()))),ovrHeaderRow25,0))</f>
        <v>78.599999999999994</v>
      </c>
      <c r="CH20" s="12">
        <f>INDEX(ovrTable25,MATCH(INDEX(oppCol,ROW()),ovrTeamCol25,0),MATCH(MID(INDEX('Structured 2025'!headerRow,1,COLUMN()),4,LEN(INDEX('Structured 2025'!headerRow,1,COLUMN()))),ovrHeaderRow25,0))</f>
        <v>1.5</v>
      </c>
      <c r="CI20" s="12">
        <f>INDEX(ovrTable25,MATCH(INDEX(oppCol,ROW()),ovrTeamCol25,0),MATCH(MID(INDEX('Structured 2025'!headerRow,1,COLUMN()),4,LEN(INDEX('Structured 2025'!headerRow,1,COLUMN()))),ovrHeaderRow25,0))</f>
        <v>35.46</v>
      </c>
      <c r="CJ20" s="12">
        <f>INDEX(ovrTable25,MATCH(INDEX(oppCol,ROW()),ovrTeamCol25,0),MATCH(MID(INDEX('Structured 2025'!headerRow,1,COLUMN()),4,LEN(INDEX('Structured 2025'!headerRow,1,COLUMN()))),ovrHeaderRow25,0))</f>
        <v>10.9</v>
      </c>
      <c r="CK20" s="12">
        <f>INDEX(ovrTable25,MATCH(INDEX(oppCol,ROW()),ovrTeamCol25,0),MATCH(MID(INDEX('Structured 2025'!headerRow,1,COLUMN()),4,LEN(INDEX('Structured 2025'!headerRow,1,COLUMN()))),ovrHeaderRow25,0))</f>
        <v>6.9</v>
      </c>
      <c r="CL20" s="12">
        <f>INDEX(ovrTable25,MATCH(INDEX(oppCol,ROW()),ovrTeamCol25,0),MATCH(MID(INDEX('Structured 2025'!headerRow,1,COLUMN()),4,LEN(INDEX('Structured 2025'!headerRow,1,COLUMN()))),ovrHeaderRow25,0))</f>
        <v>1.4</v>
      </c>
      <c r="CM20" s="12">
        <f>INDEX(ovrTable25,MATCH(INDEX(oppCol,ROW()),ovrTeamCol25,0),MATCH(MID(INDEX('Structured 2025'!headerRow,1,COLUMN()),4,LEN(INDEX('Structured 2025'!headerRow,1,COLUMN()))),ovrHeaderRow25,0))</f>
        <v>11.17</v>
      </c>
      <c r="CN20" s="12">
        <f>INDEX(ovrTable25,MATCH(INDEX(oppCol,ROW()),ovrTeamCol25,0),MATCH(MID(INDEX('Structured 2025'!headerRow,1,COLUMN()),4,LEN(INDEX('Structured 2025'!headerRow,1,COLUMN()))),ovrHeaderRow25,0))</f>
        <v>9.6999999999999993</v>
      </c>
      <c r="CO20" s="12">
        <f>INDEX(ovrTable25,MATCH(INDEX(oppCol,ROW()),ovrTeamCol25,0),MATCH(MID(INDEX('Structured 2025'!headerRow,1,COLUMN()),4,LEN(INDEX('Structured 2025'!headerRow,1,COLUMN()))),ovrHeaderRow25,0))</f>
        <v>66.2</v>
      </c>
      <c r="CP20" s="12">
        <f>INDEX(ovrTable25,MATCH(INDEX(oppCol,ROW()),ovrTeamCol25,0),MATCH(MID(INDEX('Structured 2025'!headerRow,1,COLUMN()),4,LEN(INDEX('Structured 2025'!headerRow,1,COLUMN()))),ovrHeaderRow25,0))</f>
        <v>17.549999999999997</v>
      </c>
      <c r="CQ20" s="12">
        <f>INDEX(ovrTable25,MATCH(INDEX(oppCol,ROW()),ovrTeamCol25,0),MATCH(MID(INDEX('Structured 2025'!headerRow,1,COLUMN()),4,LEN(INDEX('Structured 2025'!headerRow,1,COLUMN()))),ovrHeaderRow25,0))</f>
        <v>58.067940552016985</v>
      </c>
    </row>
    <row r="21" spans="1:95" x14ac:dyDescent="0.3">
      <c r="A21" s="6" t="s">
        <v>352</v>
      </c>
      <c r="B21" s="3">
        <v>14</v>
      </c>
      <c r="C21" s="13" t="str">
        <f>A20</f>
        <v>ISU</v>
      </c>
      <c r="D21" s="14">
        <v>10</v>
      </c>
      <c r="E21" s="23">
        <v>0.36842105263157893</v>
      </c>
      <c r="F21" s="24">
        <v>37.254901960784316</v>
      </c>
      <c r="G21" s="24">
        <v>8</v>
      </c>
      <c r="H21" s="23">
        <v>28.571428571428569</v>
      </c>
      <c r="I21" s="24">
        <v>28</v>
      </c>
      <c r="J21" s="25">
        <v>0.94117647058823528</v>
      </c>
      <c r="K21" s="24">
        <v>9</v>
      </c>
      <c r="L21" s="24">
        <v>12</v>
      </c>
      <c r="M21" s="24">
        <v>5</v>
      </c>
      <c r="N21" s="24">
        <v>18</v>
      </c>
      <c r="O21" s="24">
        <v>16</v>
      </c>
      <c r="P21" s="24">
        <v>6</v>
      </c>
      <c r="Q21" s="24">
        <v>0</v>
      </c>
      <c r="R21" s="24">
        <v>17</v>
      </c>
      <c r="S21" s="24">
        <v>7</v>
      </c>
      <c r="T21" s="24">
        <v>10</v>
      </c>
      <c r="U21" s="24">
        <v>13</v>
      </c>
      <c r="V21" s="24">
        <v>0.58333333333333337</v>
      </c>
      <c r="W21" s="26">
        <v>0.45098039215686275</v>
      </c>
      <c r="X21" s="23">
        <v>75</v>
      </c>
      <c r="Y21" s="24">
        <v>82</v>
      </c>
      <c r="Z21" s="24">
        <v>55</v>
      </c>
      <c r="AA21" s="24">
        <v>-12</v>
      </c>
      <c r="AB21" s="24">
        <v>23</v>
      </c>
      <c r="AC21" s="24">
        <v>-27</v>
      </c>
      <c r="AD21" s="24">
        <v>-5</v>
      </c>
      <c r="AE21" s="24">
        <v>12</v>
      </c>
      <c r="AF21" s="34">
        <f t="shared" si="0"/>
        <v>11</v>
      </c>
      <c r="AG21" s="34">
        <f t="shared" si="1"/>
        <v>23</v>
      </c>
      <c r="AH21" s="46">
        <f t="shared" si="2"/>
        <v>68.7</v>
      </c>
      <c r="AI21" s="51">
        <f t="shared" ref="AI21" si="20">AVERAGE(AH20,AH21)</f>
        <v>68.75</v>
      </c>
      <c r="AJ21" s="12">
        <f>INDEX(ovrTable25,MATCH(INDEX('Structured 2025'!teamCol,ROW()),ovrTeamCol25,0),MATCH(MID(INDEX('Structured 2025'!headerRow,1,COLUMN()),4,LEN(INDEX('Structured 2025'!headerRow,1,COLUMN()))),ovrHeaderRow25,0))</f>
        <v>31</v>
      </c>
      <c r="AK21" s="12">
        <f>INDEX(ovrTable25,MATCH(INDEX('Structured 2025'!teamCol,ROW()),ovrTeamCol25,0),MATCH(MID(INDEX('Structured 2025'!headerRow,1,COLUMN()),4,LEN(INDEX('Structured 2025'!headerRow,1,COLUMN()))),ovrHeaderRow25,0))</f>
        <v>9.8000000000000007</v>
      </c>
      <c r="AL21" s="12">
        <f>INDEX(ovrTable25,MATCH(INDEX('Structured 2025'!teamCol,ROW()),ovrTeamCol25,0),MATCH(MID(INDEX('Structured 2025'!headerRow,1,COLUMN()),4,LEN(INDEX('Structured 2025'!headerRow,1,COLUMN()))),ovrHeaderRow25,0))</f>
        <v>35.700000000000003</v>
      </c>
      <c r="AM21" s="12">
        <f>INDEX(ovrTable25,MATCH(INDEX('Structured 2025'!teamCol,ROW()),ovrTeamCol25,0),MATCH(MID(INDEX('Structured 2025'!headerRow,1,COLUMN()),4,LEN(INDEX('Structured 2025'!headerRow,1,COLUMN()))),ovrHeaderRow25,0))</f>
        <v>27.5</v>
      </c>
      <c r="AN21" s="12">
        <f>INDEX(ovrTable25,MATCH(INDEX('Structured 2025'!teamCol,ROW()),ovrTeamCol25,0),MATCH(MID(INDEX('Structured 2025'!headerRow,1,COLUMN()),4,LEN(INDEX('Structured 2025'!headerRow,1,COLUMN()))),ovrHeaderRow25,0))</f>
        <v>1.55</v>
      </c>
      <c r="AO21" s="12">
        <f>INDEX(ovrTable25,MATCH(INDEX('Structured 2025'!teamCol,ROW()),ovrTeamCol25,0),MATCH(MID(INDEX('Structured 2025'!headerRow,1,COLUMN()),4,LEN(INDEX('Structured 2025'!headerRow,1,COLUMN()))),ovrHeaderRow25,0))</f>
        <v>15.1</v>
      </c>
      <c r="AP21" s="12">
        <f>INDEX(ovrTable25,MATCH(INDEX('Structured 2025'!teamCol,ROW()),ovrTeamCol25,0),MATCH(MID(INDEX('Structured 2025'!headerRow,1,COLUMN()),4,LEN(INDEX('Structured 2025'!headerRow,1,COLUMN()))),ovrHeaderRow25,0))</f>
        <v>14.6</v>
      </c>
      <c r="AQ21" s="12">
        <f>INDEX(ovrTable25,MATCH(INDEX('Structured 2025'!teamCol,ROW()),ovrTeamCol25,0),MATCH(MID(INDEX('Structured 2025'!headerRow,1,COLUMN()),4,LEN(INDEX('Structured 2025'!headerRow,1,COLUMN()))),ovrHeaderRow25,0))</f>
        <v>3</v>
      </c>
      <c r="AR21" s="12">
        <f>INDEX(ovrTable25,MATCH(INDEX('Structured 2025'!teamCol,ROW()),ovrTeamCol25,0),MATCH(MID(INDEX('Structured 2025'!headerRow,1,COLUMN()),4,LEN(INDEX('Structured 2025'!headerRow,1,COLUMN()))),ovrHeaderRow25,0))</f>
        <v>42.7</v>
      </c>
      <c r="AS21" s="12">
        <f>INDEX(ovrTable25,MATCH(INDEX('Structured 2025'!teamCol,ROW()),ovrTeamCol25,0),MATCH(MID(INDEX('Structured 2025'!headerRow,1,COLUMN()),4,LEN(INDEX('Structured 2025'!headerRow,1,COLUMN()))),ovrHeaderRow25,0))</f>
        <v>27.26</v>
      </c>
      <c r="AT21" s="12">
        <f>INDEX(ovrTable25,MATCH(INDEX('Structured 2025'!teamCol,ROW()),ovrTeamCol25,0),MATCH(MID(INDEX('Structured 2025'!headerRow,1,COLUMN()),4,LEN(INDEX('Structured 2025'!headerRow,1,COLUMN()))),ovrHeaderRow25,0))</f>
        <v>0.55500000000000005</v>
      </c>
      <c r="AU21" s="12">
        <f>INDEX(ovrTable25,MATCH(INDEX('Structured 2025'!teamCol,ROW()),ovrTeamCol25,0),MATCH(MID(INDEX('Structured 2025'!headerRow,1,COLUMN()),4,LEN(INDEX('Structured 2025'!headerRow,1,COLUMN()))),ovrHeaderRow25,0))</f>
        <v>8.23</v>
      </c>
      <c r="AV21" s="12">
        <f>INDEX(ovrTable25,MATCH(INDEX('Structured 2025'!teamCol,ROW()),ovrTeamCol25,0),MATCH(MID(INDEX('Structured 2025'!headerRow,1,COLUMN()),4,LEN(INDEX('Structured 2025'!headerRow,1,COLUMN()))),ovrHeaderRow25,0))</f>
        <v>47.1</v>
      </c>
      <c r="AW21" s="12">
        <f>INDEX(ovrTable25,MATCH(INDEX('Structured 2025'!teamCol,ROW()),ovrTeamCol25,0),MATCH(MID(INDEX('Structured 2025'!headerRow,1,COLUMN()),4,LEN(INDEX('Structured 2025'!headerRow,1,COLUMN()))),ovrHeaderRow25,0))</f>
        <v>12.5</v>
      </c>
      <c r="AX21" s="12">
        <f>INDEX(ovrTable25,MATCH(INDEX('Structured 2025'!teamCol,ROW()),ovrTeamCol25,0),MATCH(MID(INDEX('Structured 2025'!headerRow,1,COLUMN()),4,LEN(INDEX('Structured 2025'!headerRow,1,COLUMN()))),ovrHeaderRow25,0))</f>
        <v>79.400000000000006</v>
      </c>
      <c r="AY21" s="12">
        <f>INDEX(ovrTable25,MATCH(INDEX('Structured 2025'!teamCol,ROW()),ovrTeamCol25,0),MATCH(MID(INDEX('Structured 2025'!headerRow,1,COLUMN()),4,LEN(INDEX('Structured 2025'!headerRow,1,COLUMN()))),ovrHeaderRow25,0))</f>
        <v>17.7</v>
      </c>
      <c r="AZ21" s="12">
        <f>INDEX(ovrTable25,MATCH(INDEX('Structured 2025'!teamCol,ROW()),ovrTeamCol25,0),MATCH(MID(INDEX('Structured 2025'!headerRow,1,COLUMN()),4,LEN(INDEX('Structured 2025'!headerRow,1,COLUMN()))),ovrHeaderRow25,0))</f>
        <v>14.1</v>
      </c>
      <c r="BA21" s="12">
        <f>INDEX(ovrTable25,MATCH(INDEX('Structured 2025'!teamCol,ROW()),ovrTeamCol25,0),MATCH(MID(INDEX('Structured 2025'!headerRow,1,COLUMN()),4,LEN(INDEX('Structured 2025'!headerRow,1,COLUMN()))),ovrHeaderRow25,0))</f>
        <v>67.7</v>
      </c>
      <c r="BB21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BC21" s="12">
        <f>INDEX(ovrTable25,MATCH(INDEX('Structured 2025'!teamCol,ROW()),ovrTeamCol25,0),MATCH(MID(INDEX('Structured 2025'!headerRow,1,COLUMN()),4,LEN(INDEX('Structured 2025'!headerRow,1,COLUMN()))),ovrHeaderRow25,0))</f>
        <v>78.599999999999994</v>
      </c>
      <c r="BD21" s="12">
        <f>INDEX(ovrTable25,MATCH(INDEX('Structured 2025'!teamCol,ROW()),ovrTeamCol25,0),MATCH(MID(INDEX('Structured 2025'!headerRow,1,COLUMN()),4,LEN(INDEX('Structured 2025'!headerRow,1,COLUMN()))),ovrHeaderRow25,0))</f>
        <v>1.5</v>
      </c>
      <c r="BE21" s="12">
        <f>INDEX(ovrTable25,MATCH(INDEX('Structured 2025'!teamCol,ROW()),ovrTeamCol25,0),MATCH(MID(INDEX('Structured 2025'!headerRow,1,COLUMN()),4,LEN(INDEX('Structured 2025'!headerRow,1,COLUMN()))),ovrHeaderRow25,0))</f>
        <v>35.46</v>
      </c>
      <c r="BF21" s="12">
        <f>INDEX(ovrTable25,MATCH(INDEX('Structured 2025'!teamCol,ROW()),ovrTeamCol25,0),MATCH(MID(INDEX('Structured 2025'!headerRow,1,COLUMN()),4,LEN(INDEX('Structured 2025'!headerRow,1,COLUMN()))),ovrHeaderRow25,0))</f>
        <v>10.9</v>
      </c>
      <c r="BG21" s="12">
        <f>INDEX(ovrTable25,MATCH(INDEX('Structured 2025'!teamCol,ROW()),ovrTeamCol25,0),MATCH(MID(INDEX('Structured 2025'!headerRow,1,COLUMN()),4,LEN(INDEX('Structured 2025'!headerRow,1,COLUMN()))),ovrHeaderRow25,0))</f>
        <v>6.9</v>
      </c>
      <c r="BH21" s="12">
        <f>INDEX(ovrTable25,MATCH(INDEX('Structured 2025'!teamCol,ROW()),ovrTeamCol25,0),MATCH(MID(INDEX('Structured 2025'!headerRow,1,COLUMN()),4,LEN(INDEX('Structured 2025'!headerRow,1,COLUMN()))),ovrHeaderRow25,0))</f>
        <v>1.4</v>
      </c>
      <c r="BI21" s="12">
        <f>INDEX(ovrTable25,MATCH(INDEX('Structured 2025'!teamCol,ROW()),ovrTeamCol25,0),MATCH(MID(INDEX('Structured 2025'!headerRow,1,COLUMN()),4,LEN(INDEX('Structured 2025'!headerRow,1,COLUMN()))),ovrHeaderRow25,0))</f>
        <v>11.17</v>
      </c>
      <c r="BJ21" s="12">
        <f>INDEX(ovrTable25,MATCH(INDEX('Structured 2025'!teamCol,ROW()),ovrTeamCol25,0),MATCH(MID(INDEX('Structured 2025'!headerRow,1,COLUMN()),4,LEN(INDEX('Structured 2025'!headerRow,1,COLUMN()))),ovrHeaderRow25,0))</f>
        <v>9.6999999999999993</v>
      </c>
      <c r="BK21" s="12">
        <f>INDEX(ovrTable25,MATCH(INDEX('Structured 2025'!teamCol,ROW()),ovrTeamCol25,0),MATCH(MID(INDEX('Structured 2025'!headerRow,1,COLUMN()),4,LEN(INDEX('Structured 2025'!headerRow,1,COLUMN()))),ovrHeaderRow25,0))</f>
        <v>66.2</v>
      </c>
      <c r="BL21" s="12">
        <f>INDEX(ovrTable25,MATCH(INDEX('Structured 2025'!teamCol,ROW()),ovrTeamCol25,0),MATCH(MID(INDEX('Structured 2025'!headerRow,1,COLUMN()),4,LEN(INDEX('Structured 2025'!headerRow,1,COLUMN()))),ovrHeaderRow25,0))</f>
        <v>17.549999999999997</v>
      </c>
      <c r="BM21" s="12">
        <f>INDEX(ovrTable25,MATCH(INDEX('Structured 2025'!teamCol,ROW()),ovrTeamCol25,0),MATCH(MID(INDEX('Structured 2025'!headerRow,1,COLUMN()),4,LEN(INDEX('Structured 2025'!headerRow,1,COLUMN()))),ovrHeaderRow25,0))</f>
        <v>58.067940552016985</v>
      </c>
      <c r="BN21" s="12">
        <f>INDEX(ovrTable25,MATCH(INDEX(oppCol,ROW()),ovrTeamCol25,0),MATCH(MID(INDEX('Structured 2025'!headerRow,1,COLUMN()),4,LEN(INDEX('Structured 2025'!headerRow,1,COLUMN()))),ovrHeaderRow25,0))</f>
        <v>33.6</v>
      </c>
      <c r="BO21" s="12">
        <f>INDEX(ovrTable25,MATCH(INDEX(oppCol,ROW()),ovrTeamCol25,0),MATCH(MID(INDEX('Structured 2025'!headerRow,1,COLUMN()),4,LEN(INDEX('Structured 2025'!headerRow,1,COLUMN()))),ovrHeaderRow25,0))</f>
        <v>7.7</v>
      </c>
      <c r="BP21" s="12">
        <f>INDEX(ovrTable25,MATCH(INDEX(oppCol,ROW()),ovrTeamCol25,0),MATCH(MID(INDEX('Structured 2025'!headerRow,1,COLUMN()),4,LEN(INDEX('Structured 2025'!headerRow,1,COLUMN()))),ovrHeaderRow25,0))</f>
        <v>35.799999999999997</v>
      </c>
      <c r="BQ21" s="12">
        <f>INDEX(ovrTable25,MATCH(INDEX(oppCol,ROW()),ovrTeamCol25,0),MATCH(MID(INDEX('Structured 2025'!headerRow,1,COLUMN()),4,LEN(INDEX('Structured 2025'!headerRow,1,COLUMN()))),ovrHeaderRow25,0))</f>
        <v>21.4</v>
      </c>
      <c r="BR21" s="12">
        <f>INDEX(ovrTable25,MATCH(INDEX(oppCol,ROW()),ovrTeamCol25,0),MATCH(MID(INDEX('Structured 2025'!headerRow,1,COLUMN()),4,LEN(INDEX('Structured 2025'!headerRow,1,COLUMN()))),ovrHeaderRow25,0))</f>
        <v>1.25</v>
      </c>
      <c r="BS21" s="12">
        <f>INDEX(ovrTable25,MATCH(INDEX(oppCol,ROW()),ovrTeamCol25,0),MATCH(MID(INDEX('Structured 2025'!headerRow,1,COLUMN()),4,LEN(INDEX('Structured 2025'!headerRow,1,COLUMN()))),ovrHeaderRow25,0))</f>
        <v>15</v>
      </c>
      <c r="BT21" s="12">
        <f>INDEX(ovrTable25,MATCH(INDEX(oppCol,ROW()),ovrTeamCol25,0),MATCH(MID(INDEX('Structured 2025'!headerRow,1,COLUMN()),4,LEN(INDEX('Structured 2025'!headerRow,1,COLUMN()))),ovrHeaderRow25,0))</f>
        <v>22.6</v>
      </c>
      <c r="BU21" s="12">
        <f>INDEX(ovrTable25,MATCH(INDEX(oppCol,ROW()),ovrTeamCol25,0),MATCH(MID(INDEX('Structured 2025'!headerRow,1,COLUMN()),4,LEN(INDEX('Structured 2025'!headerRow,1,COLUMN()))),ovrHeaderRow25,0))</f>
        <v>3.4</v>
      </c>
      <c r="BV21" s="12">
        <f>INDEX(ovrTable25,MATCH(INDEX(oppCol,ROW()),ovrTeamCol25,0),MATCH(MID(INDEX('Structured 2025'!headerRow,1,COLUMN()),4,LEN(INDEX('Structured 2025'!headerRow,1,COLUMN()))),ovrHeaderRow25,0))</f>
        <v>42</v>
      </c>
      <c r="BW21" s="12">
        <f>INDEX(ovrTable25,MATCH(INDEX(oppCol,ROW()),ovrTeamCol25,0),MATCH(MID(INDEX('Structured 2025'!headerRow,1,COLUMN()),4,LEN(INDEX('Structured 2025'!headerRow,1,COLUMN()))),ovrHeaderRow25,0))</f>
        <v>25.06</v>
      </c>
      <c r="BX21" s="12">
        <f>INDEX(ovrTable25,MATCH(INDEX(oppCol,ROW()),ovrTeamCol25,0),MATCH(MID(INDEX('Structured 2025'!headerRow,1,COLUMN()),4,LEN(INDEX('Structured 2025'!headerRow,1,COLUMN()))),ovrHeaderRow25,0))</f>
        <v>0.54900000000000004</v>
      </c>
      <c r="BY21" s="12">
        <f>INDEX(ovrTable25,MATCH(INDEX(oppCol,ROW()),ovrTeamCol25,0),MATCH(MID(INDEX('Structured 2025'!headerRow,1,COLUMN()),4,LEN(INDEX('Structured 2025'!headerRow,1,COLUMN()))),ovrHeaderRow25,0))</f>
        <v>11.94</v>
      </c>
      <c r="BZ21" s="12">
        <f>INDEX(ovrTable25,MATCH(INDEX(oppCol,ROW()),ovrTeamCol25,0),MATCH(MID(INDEX('Structured 2025'!headerRow,1,COLUMN()),4,LEN(INDEX('Structured 2025'!headerRow,1,COLUMN()))),ovrHeaderRow25,0))</f>
        <v>48.3</v>
      </c>
      <c r="CA21" s="12">
        <f>INDEX(ovrTable25,MATCH(INDEX(oppCol,ROW()),ovrTeamCol25,0),MATCH(MID(INDEX('Structured 2025'!headerRow,1,COLUMN()),4,LEN(INDEX('Structured 2025'!headerRow,1,COLUMN()))),ovrHeaderRow25,0))</f>
        <v>16.2</v>
      </c>
      <c r="CB21" s="12">
        <f>INDEX(ovrTable25,MATCH(INDEX(oppCol,ROW()),ovrTeamCol25,0),MATCH(MID(INDEX('Structured 2025'!headerRow,1,COLUMN()),4,LEN(INDEX('Structured 2025'!headerRow,1,COLUMN()))),ovrHeaderRow25,0))</f>
        <v>75.3</v>
      </c>
      <c r="CC21" s="12">
        <f>INDEX(ovrTable25,MATCH(INDEX(oppCol,ROW()),ovrTeamCol25,0),MATCH(MID(INDEX('Structured 2025'!headerRow,1,COLUMN()),4,LEN(INDEX('Structured 2025'!headerRow,1,COLUMN()))),ovrHeaderRow25,0))</f>
        <v>22</v>
      </c>
      <c r="CD21" s="12">
        <f>INDEX(ovrTable25,MATCH(INDEX(oppCol,ROW()),ovrTeamCol25,0),MATCH(MID(INDEX('Structured 2025'!headerRow,1,COLUMN()),4,LEN(INDEX('Structured 2025'!headerRow,1,COLUMN()))),ovrHeaderRow25,0))</f>
        <v>16.600000000000001</v>
      </c>
      <c r="CE21" s="12">
        <f>INDEX(ovrTable25,MATCH(INDEX(oppCol,ROW()),ovrTeamCol25,0),MATCH(MID(INDEX('Structured 2025'!headerRow,1,COLUMN()),4,LEN(INDEX('Structured 2025'!headerRow,1,COLUMN()))),ovrHeaderRow25,0))</f>
        <v>68.3</v>
      </c>
      <c r="CF21" s="12">
        <f>INDEX(ovrTable25,MATCH(INDEX(oppCol,ROW()),ovrTeamCol25,0),MATCH(MID(INDEX('Structured 2025'!headerRow,1,COLUMN()),4,LEN(INDEX('Structured 2025'!headerRow,1,COLUMN()))),ovrHeaderRow25,0))</f>
        <v>10.31</v>
      </c>
      <c r="CG21" s="12">
        <f>INDEX(ovrTable25,MATCH(INDEX(oppCol,ROW()),ovrTeamCol25,0),MATCH(MID(INDEX('Structured 2025'!headerRow,1,COLUMN()),4,LEN(INDEX('Structured 2025'!headerRow,1,COLUMN()))),ovrHeaderRow25,0))</f>
        <v>80.3</v>
      </c>
      <c r="CH21" s="12">
        <f>INDEX(ovrTable25,MATCH(INDEX(oppCol,ROW()),ovrTeamCol25,0),MATCH(MID(INDEX('Structured 2025'!headerRow,1,COLUMN()),4,LEN(INDEX('Structured 2025'!headerRow,1,COLUMN()))),ovrHeaderRow25,0))</f>
        <v>3.9</v>
      </c>
      <c r="CI21" s="12">
        <f>INDEX(ovrTable25,MATCH(INDEX(oppCol,ROW()),ovrTeamCol25,0),MATCH(MID(INDEX('Structured 2025'!headerRow,1,COLUMN()),4,LEN(INDEX('Structured 2025'!headerRow,1,COLUMN()))),ovrHeaderRow25,0))</f>
        <v>35.369999999999997</v>
      </c>
      <c r="CJ21" s="12">
        <f>INDEX(ovrTable25,MATCH(INDEX(oppCol,ROW()),ovrTeamCol25,0),MATCH(MID(INDEX('Structured 2025'!headerRow,1,COLUMN()),4,LEN(INDEX('Structured 2025'!headerRow,1,COLUMN()))),ovrHeaderRow25,0))</f>
        <v>12</v>
      </c>
      <c r="CK21" s="12">
        <f>INDEX(ovrTable25,MATCH(INDEX(oppCol,ROW()),ovrTeamCol25,0),MATCH(MID(INDEX('Structured 2025'!headerRow,1,COLUMN()),4,LEN(INDEX('Structured 2025'!headerRow,1,COLUMN()))),ovrHeaderRow25,0))</f>
        <v>9.3000000000000007</v>
      </c>
      <c r="CL21" s="12">
        <f>INDEX(ovrTable25,MATCH(INDEX(oppCol,ROW()),ovrTeamCol25,0),MATCH(MID(INDEX('Structured 2025'!headerRow,1,COLUMN()),4,LEN(INDEX('Structured 2025'!headerRow,1,COLUMN()))),ovrHeaderRow25,0))</f>
        <v>3.2</v>
      </c>
      <c r="CM21" s="12">
        <f>INDEX(ovrTable25,MATCH(INDEX(oppCol,ROW()),ovrTeamCol25,0),MATCH(MID(INDEX('Structured 2025'!headerRow,1,COLUMN()),4,LEN(INDEX('Structured 2025'!headerRow,1,COLUMN()))),ovrHeaderRow25,0))</f>
        <v>15.23</v>
      </c>
      <c r="CN21" s="12">
        <f>INDEX(ovrTable25,MATCH(INDEX(oppCol,ROW()),ovrTeamCol25,0),MATCH(MID(INDEX('Structured 2025'!headerRow,1,COLUMN()),4,LEN(INDEX('Structured 2025'!headerRow,1,COLUMN()))),ovrHeaderRow25,0))</f>
        <v>12</v>
      </c>
      <c r="CO21" s="12">
        <f>INDEX(ovrTable25,MATCH(INDEX(oppCol,ROW()),ovrTeamCol25,0),MATCH(MID(INDEX('Structured 2025'!headerRow,1,COLUMN()),4,LEN(INDEX('Structured 2025'!headerRow,1,COLUMN()))),ovrHeaderRow25,0))</f>
        <v>68.8</v>
      </c>
      <c r="CP21" s="12">
        <f>INDEX(ovrTable25,MATCH(INDEX(oppCol,ROW()),ovrTeamCol25,0),MATCH(MID(INDEX('Structured 2025'!headerRow,1,COLUMN()),4,LEN(INDEX('Structured 2025'!headerRow,1,COLUMN()))),ovrHeaderRow25,0))</f>
        <v>20.299999999999997</v>
      </c>
      <c r="CQ21" s="12">
        <f>INDEX(ovrTable25,MATCH(INDEX(oppCol,ROW()),ovrTeamCol25,0),MATCH(MID(INDEX('Structured 2025'!headerRow,1,COLUMN()),4,LEN(INDEX('Structured 2025'!headerRow,1,COLUMN()))),ovrHeaderRow25,0))</f>
        <v>57.971014492753618</v>
      </c>
    </row>
    <row r="22" spans="1:95" x14ac:dyDescent="0.3">
      <c r="A22" s="6" t="s">
        <v>50</v>
      </c>
      <c r="B22" s="3">
        <v>7</v>
      </c>
      <c r="C22" s="13" t="str">
        <f>A23</f>
        <v>UNM</v>
      </c>
      <c r="D22" s="14">
        <v>11</v>
      </c>
      <c r="E22" s="23">
        <v>0.35714285714285715</v>
      </c>
      <c r="F22" s="24">
        <v>40.677966101694921</v>
      </c>
      <c r="G22" s="24">
        <v>11</v>
      </c>
      <c r="H22" s="23">
        <v>36.666666666666664</v>
      </c>
      <c r="I22" s="24">
        <v>30</v>
      </c>
      <c r="J22" s="25">
        <v>1</v>
      </c>
      <c r="K22" s="24">
        <v>7</v>
      </c>
      <c r="L22" s="24">
        <v>12</v>
      </c>
      <c r="M22" s="24">
        <v>10</v>
      </c>
      <c r="N22" s="24">
        <v>20</v>
      </c>
      <c r="O22" s="24">
        <v>12</v>
      </c>
      <c r="P22" s="24">
        <v>7</v>
      </c>
      <c r="Q22" s="24">
        <v>2</v>
      </c>
      <c r="R22" s="24">
        <v>12</v>
      </c>
      <c r="S22" s="24">
        <v>4</v>
      </c>
      <c r="T22" s="24">
        <v>18</v>
      </c>
      <c r="U22" s="24">
        <v>6</v>
      </c>
      <c r="V22" s="24">
        <v>0.47272727272727272</v>
      </c>
      <c r="W22" s="26">
        <v>0.50000000000000011</v>
      </c>
      <c r="X22" s="23">
        <v>58.333333333333336</v>
      </c>
      <c r="Y22" s="24">
        <v>75</v>
      </c>
      <c r="Z22" s="24">
        <v>66</v>
      </c>
      <c r="AA22" s="24">
        <v>-6</v>
      </c>
      <c r="AB22" s="24">
        <v>30</v>
      </c>
      <c r="AC22" s="24">
        <v>-9</v>
      </c>
      <c r="AD22" s="24">
        <v>1</v>
      </c>
      <c r="AE22" s="24">
        <v>13</v>
      </c>
      <c r="AF22" s="34">
        <f t="shared" si="0"/>
        <v>13</v>
      </c>
      <c r="AG22" s="34">
        <f t="shared" si="1"/>
        <v>28.999999999999993</v>
      </c>
      <c r="AH22" s="46">
        <f t="shared" si="2"/>
        <v>66.7</v>
      </c>
      <c r="AI22" s="51">
        <f t="shared" ref="AI22" si="21">AVERAGE(AH22,AH23)</f>
        <v>67.837500000000006</v>
      </c>
      <c r="AJ22" s="12">
        <f>INDEX(ovrTable25,MATCH(INDEX('Structured 2025'!teamCol,ROW()),ovrTeamCol25,0),MATCH(MID(INDEX('Structured 2025'!headerRow,1,COLUMN()),4,LEN(INDEX('Structured 2025'!headerRow,1,COLUMN()))),ovrHeaderRow25,0))</f>
        <v>31.8</v>
      </c>
      <c r="AK22" s="12">
        <f>INDEX(ovrTable25,MATCH(INDEX('Structured 2025'!teamCol,ROW()),ovrTeamCol25,0),MATCH(MID(INDEX('Structured 2025'!headerRow,1,COLUMN()),4,LEN(INDEX('Structured 2025'!headerRow,1,COLUMN()))),ovrHeaderRow25,0))</f>
        <v>9.4</v>
      </c>
      <c r="AL22" s="12">
        <f>INDEX(ovrTable25,MATCH(INDEX('Structured 2025'!teamCol,ROW()),ovrTeamCol25,0),MATCH(MID(INDEX('Structured 2025'!headerRow,1,COLUMN()),4,LEN(INDEX('Structured 2025'!headerRow,1,COLUMN()))),ovrHeaderRow25,0))</f>
        <v>32.6</v>
      </c>
      <c r="AM22" s="12">
        <f>INDEX(ovrTable25,MATCH(INDEX('Structured 2025'!teamCol,ROW()),ovrTeamCol25,0),MATCH(MID(INDEX('Structured 2025'!headerRow,1,COLUMN()),4,LEN(INDEX('Structured 2025'!headerRow,1,COLUMN()))),ovrHeaderRow25,0))</f>
        <v>29</v>
      </c>
      <c r="AN22" s="12">
        <f>INDEX(ovrTable25,MATCH(INDEX('Structured 2025'!teamCol,ROW()),ovrTeamCol25,0),MATCH(MID(INDEX('Structured 2025'!headerRow,1,COLUMN()),4,LEN(INDEX('Structured 2025'!headerRow,1,COLUMN()))),ovrHeaderRow25,0))</f>
        <v>1.47</v>
      </c>
      <c r="AO22" s="12">
        <f>INDEX(ovrTable25,MATCH(INDEX('Structured 2025'!teamCol,ROW()),ovrTeamCol25,0),MATCH(MID(INDEX('Structured 2025'!headerRow,1,COLUMN()),4,LEN(INDEX('Structured 2025'!headerRow,1,COLUMN()))),ovrHeaderRow25,0))</f>
        <v>13.7</v>
      </c>
      <c r="AP22" s="12">
        <f>INDEX(ovrTable25,MATCH(INDEX('Structured 2025'!teamCol,ROW()),ovrTeamCol25,0),MATCH(MID(INDEX('Structured 2025'!headerRow,1,COLUMN()),4,LEN(INDEX('Structured 2025'!headerRow,1,COLUMN()))),ovrHeaderRow25,0))</f>
        <v>14.59</v>
      </c>
      <c r="AQ22" s="12">
        <f>INDEX(ovrTable25,MATCH(INDEX('Structured 2025'!teamCol,ROW()),ovrTeamCol25,0),MATCH(MID(INDEX('Structured 2025'!headerRow,1,COLUMN()),4,LEN(INDEX('Structured 2025'!headerRow,1,COLUMN()))),ovrHeaderRow25,0))</f>
        <v>3.6</v>
      </c>
      <c r="AR22" s="12">
        <f>INDEX(ovrTable25,MATCH(INDEX('Structured 2025'!teamCol,ROW()),ovrTeamCol25,0),MATCH(MID(INDEX('Structured 2025'!headerRow,1,COLUMN()),4,LEN(INDEX('Structured 2025'!headerRow,1,COLUMN()))),ovrHeaderRow25,0))</f>
        <v>43.6</v>
      </c>
      <c r="AS22" s="12">
        <f>INDEX(ovrTable25,MATCH(INDEX('Structured 2025'!teamCol,ROW()),ovrTeamCol25,0),MATCH(MID(INDEX('Structured 2025'!headerRow,1,COLUMN()),4,LEN(INDEX('Structured 2025'!headerRow,1,COLUMN()))),ovrHeaderRow25,0))</f>
        <v>23.15</v>
      </c>
      <c r="AT22" s="12">
        <f>INDEX(ovrTable25,MATCH(INDEX('Structured 2025'!teamCol,ROW()),ovrTeamCol25,0),MATCH(MID(INDEX('Structured 2025'!headerRow,1,COLUMN()),4,LEN(INDEX('Structured 2025'!headerRow,1,COLUMN()))),ovrHeaderRow25,0))</f>
        <v>0.52</v>
      </c>
      <c r="AU22" s="12">
        <f>INDEX(ovrTable25,MATCH(INDEX('Structured 2025'!teamCol,ROW()),ovrTeamCol25,0),MATCH(MID(INDEX('Structured 2025'!headerRow,1,COLUMN()),4,LEN(INDEX('Structured 2025'!headerRow,1,COLUMN()))),ovrHeaderRow25,0))</f>
        <v>12.35</v>
      </c>
      <c r="AV22" s="12">
        <f>INDEX(ovrTable25,MATCH(INDEX('Structured 2025'!teamCol,ROW()),ovrTeamCol25,0),MATCH(MID(INDEX('Structured 2025'!headerRow,1,COLUMN()),4,LEN(INDEX('Structured 2025'!headerRow,1,COLUMN()))),ovrHeaderRow25,0))</f>
        <v>44.4</v>
      </c>
      <c r="AW22" s="12">
        <f>INDEX(ovrTable25,MATCH(INDEX('Structured 2025'!teamCol,ROW()),ovrTeamCol25,0),MATCH(MID(INDEX('Structured 2025'!headerRow,1,COLUMN()),4,LEN(INDEX('Structured 2025'!headerRow,1,COLUMN()))),ovrHeaderRow25,0))</f>
        <v>16</v>
      </c>
      <c r="AX22" s="12">
        <f>INDEX(ovrTable25,MATCH(INDEX('Structured 2025'!teamCol,ROW()),ovrTeamCol25,0),MATCH(MID(INDEX('Structured 2025'!headerRow,1,COLUMN()),4,LEN(INDEX('Structured 2025'!headerRow,1,COLUMN()))),ovrHeaderRow25,0))</f>
        <v>72</v>
      </c>
      <c r="AY22" s="12">
        <f>INDEX(ovrTable25,MATCH(INDEX('Structured 2025'!teamCol,ROW()),ovrTeamCol25,0),MATCH(MID(INDEX('Structured 2025'!headerRow,1,COLUMN()),4,LEN(INDEX('Structured 2025'!headerRow,1,COLUMN()))),ovrHeaderRow25,0))</f>
        <v>16.2</v>
      </c>
      <c r="AZ22" s="12">
        <f>INDEX(ovrTable25,MATCH(INDEX('Structured 2025'!teamCol,ROW()),ovrTeamCol25,0),MATCH(MID(INDEX('Structured 2025'!headerRow,1,COLUMN()),4,LEN(INDEX('Structured 2025'!headerRow,1,COLUMN()))),ovrHeaderRow25,0))</f>
        <v>11.6</v>
      </c>
      <c r="BA22" s="12">
        <f>INDEX(ovrTable25,MATCH(INDEX('Structured 2025'!teamCol,ROW()),ovrTeamCol25,0),MATCH(MID(INDEX('Structured 2025'!headerRow,1,COLUMN()),4,LEN(INDEX('Structured 2025'!headerRow,1,COLUMN()))),ovrHeaderRow25,0))</f>
        <v>68.7</v>
      </c>
      <c r="BB22" s="12">
        <f>INDEX(ovrTable25,MATCH(INDEX('Structured 2025'!teamCol,ROW()),ovrTeamCol25,0),MATCH(MID(INDEX('Structured 2025'!headerRow,1,COLUMN()),4,LEN(INDEX('Structured 2025'!headerRow,1,COLUMN()))),ovrHeaderRow25,0))</f>
        <v>10.94</v>
      </c>
      <c r="BC22" s="12">
        <f>INDEX(ovrTable25,MATCH(INDEX('Structured 2025'!teamCol,ROW()),ovrTeamCol25,0),MATCH(MID(INDEX('Structured 2025'!headerRow,1,COLUMN()),4,LEN(INDEX('Structured 2025'!headerRow,1,COLUMN()))),ovrHeaderRow25,0))</f>
        <v>76.599999999999994</v>
      </c>
      <c r="BD22" s="12">
        <f>INDEX(ovrTable25,MATCH(INDEX('Structured 2025'!teamCol,ROW()),ovrTeamCol25,0),MATCH(MID(INDEX('Structured 2025'!headerRow,1,COLUMN()),4,LEN(INDEX('Structured 2025'!headerRow,1,COLUMN()))),ovrHeaderRow25,0))</f>
        <v>-1.8</v>
      </c>
      <c r="BE22" s="12">
        <f>INDEX(ovrTable25,MATCH(INDEX('Structured 2025'!teamCol,ROW()),ovrTeamCol25,0),MATCH(MID(INDEX('Structured 2025'!headerRow,1,COLUMN()),4,LEN(INDEX('Structured 2025'!headerRow,1,COLUMN()))),ovrHeaderRow25,0))</f>
        <v>34.090000000000003</v>
      </c>
      <c r="BF22" s="12">
        <f>INDEX(ovrTable25,MATCH(INDEX('Structured 2025'!teamCol,ROW()),ovrTeamCol25,0),MATCH(MID(INDEX('Structured 2025'!headerRow,1,COLUMN()),4,LEN(INDEX('Structured 2025'!headerRow,1,COLUMN()))),ovrHeaderRow25,0))</f>
        <v>7.8</v>
      </c>
      <c r="BG22" s="12">
        <f>INDEX(ovrTable25,MATCH(INDEX('Structured 2025'!teamCol,ROW()),ovrTeamCol25,0),MATCH(MID(INDEX('Structured 2025'!headerRow,1,COLUMN()),4,LEN(INDEX('Structured 2025'!headerRow,1,COLUMN()))),ovrHeaderRow25,0))</f>
        <v>9</v>
      </c>
      <c r="BH22" s="12">
        <f>INDEX(ovrTable25,MATCH(INDEX('Structured 2025'!teamCol,ROW()),ovrTeamCol25,0),MATCH(MID(INDEX('Structured 2025'!headerRow,1,COLUMN()),4,LEN(INDEX('Structured 2025'!headerRow,1,COLUMN()))),ovrHeaderRow25,0))</f>
        <v>5.4</v>
      </c>
      <c r="BI22" s="12">
        <f>INDEX(ovrTable25,MATCH(INDEX('Structured 2025'!teamCol,ROW()),ovrTeamCol25,0),MATCH(MID(INDEX('Structured 2025'!headerRow,1,COLUMN()),4,LEN(INDEX('Structured 2025'!headerRow,1,COLUMN()))),ovrHeaderRow25,0))</f>
        <v>14.71</v>
      </c>
      <c r="BJ22" s="12">
        <f>INDEX(ovrTable25,MATCH(INDEX('Structured 2025'!teamCol,ROW()),ovrTeamCol25,0),MATCH(MID(INDEX('Structured 2025'!headerRow,1,COLUMN()),4,LEN(INDEX('Structured 2025'!headerRow,1,COLUMN()))),ovrHeaderRow25,0))</f>
        <v>9.4</v>
      </c>
      <c r="BK22" s="12">
        <f>INDEX(ovrTable25,MATCH(INDEX('Structured 2025'!teamCol,ROW()),ovrTeamCol25,0),MATCH(MID(INDEX('Structured 2025'!headerRow,1,COLUMN()),4,LEN(INDEX('Structured 2025'!headerRow,1,COLUMN()))),ovrHeaderRow25,0))</f>
        <v>67.7</v>
      </c>
      <c r="BL22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BM22" s="12">
        <f>INDEX(ovrTable25,MATCH(INDEX('Structured 2025'!teamCol,ROW()),ovrTeamCol25,0),MATCH(MID(INDEX('Structured 2025'!headerRow,1,COLUMN()),4,LEN(INDEX('Structured 2025'!headerRow,1,COLUMN()))),ovrHeaderRow25,0))</f>
        <v>62.612612612612601</v>
      </c>
      <c r="BN22" s="12">
        <f>INDEX(ovrTable25,MATCH(INDEX(oppCol,ROW()),ovrTeamCol25,0),MATCH(MID(INDEX('Structured 2025'!headerRow,1,COLUMN()),4,LEN(INDEX('Structured 2025'!headerRow,1,COLUMN()))),ovrHeaderRow25,0))</f>
        <v>33.799999999999997</v>
      </c>
      <c r="BO22" s="12">
        <f>INDEX(ovrTable25,MATCH(INDEX(oppCol,ROW()),ovrTeamCol25,0),MATCH(MID(INDEX('Structured 2025'!headerRow,1,COLUMN()),4,LEN(INDEX('Structured 2025'!headerRow,1,COLUMN()))),ovrHeaderRow25,0))</f>
        <v>6.9</v>
      </c>
      <c r="BP22" s="12">
        <f>INDEX(ovrTable25,MATCH(INDEX(oppCol,ROW()),ovrTeamCol25,0),MATCH(MID(INDEX('Structured 2025'!headerRow,1,COLUMN()),4,LEN(INDEX('Structured 2025'!headerRow,1,COLUMN()))),ovrHeaderRow25,0))</f>
        <v>34.700000000000003</v>
      </c>
      <c r="BQ22" s="12">
        <f>INDEX(ovrTable25,MATCH(INDEX(oppCol,ROW()),ovrTeamCol25,0),MATCH(MID(INDEX('Structured 2025'!headerRow,1,COLUMN()),4,LEN(INDEX('Structured 2025'!headerRow,1,COLUMN()))),ovrHeaderRow25,0))</f>
        <v>20</v>
      </c>
      <c r="BR22" s="12">
        <f>INDEX(ovrTable25,MATCH(INDEX(oppCol,ROW()),ovrTeamCol25,0),MATCH(MID(INDEX('Structured 2025'!headerRow,1,COLUMN()),4,LEN(INDEX('Structured 2025'!headerRow,1,COLUMN()))),ovrHeaderRow25,0))</f>
        <v>1.3</v>
      </c>
      <c r="BS22" s="12">
        <f>INDEX(ovrTable25,MATCH(INDEX(oppCol,ROW()),ovrTeamCol25,0),MATCH(MID(INDEX('Structured 2025'!headerRow,1,COLUMN()),4,LEN(INDEX('Structured 2025'!headerRow,1,COLUMN()))),ovrHeaderRow25,0))</f>
        <v>14.9</v>
      </c>
      <c r="BT22" s="12">
        <f>INDEX(ovrTable25,MATCH(INDEX(oppCol,ROW()),ovrTeamCol25,0),MATCH(MID(INDEX('Structured 2025'!headerRow,1,COLUMN()),4,LEN(INDEX('Structured 2025'!headerRow,1,COLUMN()))),ovrHeaderRow25,0))</f>
        <v>18.510000000000002</v>
      </c>
      <c r="BU22" s="12">
        <f>INDEX(ovrTable25,MATCH(INDEX(oppCol,ROW()),ovrTeamCol25,0),MATCH(MID(INDEX('Structured 2025'!headerRow,1,COLUMN()),4,LEN(INDEX('Structured 2025'!headerRow,1,COLUMN()))),ovrHeaderRow25,0))</f>
        <v>5</v>
      </c>
      <c r="BV22" s="12">
        <f>INDEX(ovrTable25,MATCH(INDEX(oppCol,ROW()),ovrTeamCol25,0),MATCH(MID(INDEX('Structured 2025'!headerRow,1,COLUMN()),4,LEN(INDEX('Structured 2025'!headerRow,1,COLUMN()))),ovrHeaderRow25,0))</f>
        <v>42.8</v>
      </c>
      <c r="BW22" s="12">
        <f>INDEX(ovrTable25,MATCH(INDEX(oppCol,ROW()),ovrTeamCol25,0),MATCH(MID(INDEX('Structured 2025'!headerRow,1,COLUMN()),4,LEN(INDEX('Structured 2025'!headerRow,1,COLUMN()))),ovrHeaderRow25,0))</f>
        <v>26.91</v>
      </c>
      <c r="BX22" s="12">
        <f>INDEX(ovrTable25,MATCH(INDEX(oppCol,ROW()),ovrTeamCol25,0),MATCH(MID(INDEX('Structured 2025'!headerRow,1,COLUMN()),4,LEN(INDEX('Structured 2025'!headerRow,1,COLUMN()))),ovrHeaderRow25,0))</f>
        <v>0.51500000000000001</v>
      </c>
      <c r="BY22" s="12">
        <f>INDEX(ovrTable25,MATCH(INDEX(oppCol,ROW()),ovrTeamCol25,0),MATCH(MID(INDEX('Structured 2025'!headerRow,1,COLUMN()),4,LEN(INDEX('Structured 2025'!headerRow,1,COLUMN()))),ovrHeaderRow25,0))</f>
        <v>15.83</v>
      </c>
      <c r="BZ22" s="12">
        <f>INDEX(ovrTable25,MATCH(INDEX(oppCol,ROW()),ovrTeamCol25,0),MATCH(MID(INDEX('Structured 2025'!headerRow,1,COLUMN()),4,LEN(INDEX('Structured 2025'!headerRow,1,COLUMN()))),ovrHeaderRow25,0))</f>
        <v>46</v>
      </c>
      <c r="CA22" s="12">
        <f>INDEX(ovrTable25,MATCH(INDEX(oppCol,ROW()),ovrTeamCol25,0),MATCH(MID(INDEX('Structured 2025'!headerRow,1,COLUMN()),4,LEN(INDEX('Structured 2025'!headerRow,1,COLUMN()))),ovrHeaderRow25,0))</f>
        <v>17.5</v>
      </c>
      <c r="CB22" s="12">
        <f>INDEX(ovrTable25,MATCH(INDEX(oppCol,ROW()),ovrTeamCol25,0),MATCH(MID(INDEX('Structured 2025'!headerRow,1,COLUMN()),4,LEN(INDEX('Structured 2025'!headerRow,1,COLUMN()))),ovrHeaderRow25,0))</f>
        <v>68.900000000000006</v>
      </c>
      <c r="CC22" s="12">
        <f>INDEX(ovrTable25,MATCH(INDEX(oppCol,ROW()),ovrTeamCol25,0),MATCH(MID(INDEX('Structured 2025'!headerRow,1,COLUMN()),4,LEN(INDEX('Structured 2025'!headerRow,1,COLUMN()))),ovrHeaderRow25,0))</f>
        <v>23.1</v>
      </c>
      <c r="CD22" s="12">
        <f>INDEX(ovrTable25,MATCH(INDEX(oppCol,ROW()),ovrTeamCol25,0),MATCH(MID(INDEX('Structured 2025'!headerRow,1,COLUMN()),4,LEN(INDEX('Structured 2025'!headerRow,1,COLUMN()))),ovrHeaderRow25,0))</f>
        <v>15.9</v>
      </c>
      <c r="CE22" s="12">
        <f>INDEX(ovrTable25,MATCH(INDEX(oppCol,ROW()),ovrTeamCol25,0),MATCH(MID(INDEX('Structured 2025'!headerRow,1,COLUMN()),4,LEN(INDEX('Structured 2025'!headerRow,1,COLUMN()))),ovrHeaderRow25,0))</f>
        <v>70.599999999999994</v>
      </c>
      <c r="CF22" s="12">
        <f>INDEX(ovrTable25,MATCH(INDEX(oppCol,ROW()),ovrTeamCol25,0),MATCH(MID(INDEX('Structured 2025'!headerRow,1,COLUMN()),4,LEN(INDEX('Structured 2025'!headerRow,1,COLUMN()))),ovrHeaderRow25,0))</f>
        <v>11.97</v>
      </c>
      <c r="CG22" s="12">
        <f>INDEX(ovrTable25,MATCH(INDEX(oppCol,ROW()),ovrTeamCol25,0),MATCH(MID(INDEX('Structured 2025'!headerRow,1,COLUMN()),4,LEN(INDEX('Structured 2025'!headerRow,1,COLUMN()))),ovrHeaderRow25,0))</f>
        <v>80.5</v>
      </c>
      <c r="CH22" s="12">
        <f>INDEX(ovrTable25,MATCH(INDEX(oppCol,ROW()),ovrTeamCol25,0),MATCH(MID(INDEX('Structured 2025'!headerRow,1,COLUMN()),4,LEN(INDEX('Structured 2025'!headerRow,1,COLUMN()))),ovrHeaderRow25,0))</f>
        <v>3.7</v>
      </c>
      <c r="CI22" s="12">
        <f>INDEX(ovrTable25,MATCH(INDEX(oppCol,ROW()),ovrTeamCol25,0),MATCH(MID(INDEX('Structured 2025'!headerRow,1,COLUMN()),4,LEN(INDEX('Structured 2025'!headerRow,1,COLUMN()))),ovrHeaderRow25,0))</f>
        <v>38.89</v>
      </c>
      <c r="CJ22" s="12">
        <f>INDEX(ovrTable25,MATCH(INDEX(oppCol,ROW()),ovrTeamCol25,0),MATCH(MID(INDEX('Structured 2025'!headerRow,1,COLUMN()),4,LEN(INDEX('Structured 2025'!headerRow,1,COLUMN()))),ovrHeaderRow25,0))</f>
        <v>9.9</v>
      </c>
      <c r="CK22" s="12">
        <f>INDEX(ovrTable25,MATCH(INDEX(oppCol,ROW()),ovrTeamCol25,0),MATCH(MID(INDEX('Structured 2025'!headerRow,1,COLUMN()),4,LEN(INDEX('Structured 2025'!headerRow,1,COLUMN()))),ovrHeaderRow25,0))</f>
        <v>8.6999999999999993</v>
      </c>
      <c r="CL22" s="12">
        <f>INDEX(ovrTable25,MATCH(INDEX(oppCol,ROW()),ovrTeamCol25,0),MATCH(MID(INDEX('Structured 2025'!headerRow,1,COLUMN()),4,LEN(INDEX('Structured 2025'!headerRow,1,COLUMN()))),ovrHeaderRow25,0))</f>
        <v>3.6</v>
      </c>
      <c r="CM22" s="12">
        <f>INDEX(ovrTable25,MATCH(INDEX(oppCol,ROW()),ovrTeamCol25,0),MATCH(MID(INDEX('Structured 2025'!headerRow,1,COLUMN()),4,LEN(INDEX('Structured 2025'!headerRow,1,COLUMN()))),ovrHeaderRow25,0))</f>
        <v>15.06</v>
      </c>
      <c r="CN22" s="12">
        <f>INDEX(ovrTable25,MATCH(INDEX(oppCol,ROW()),ovrTeamCol25,0),MATCH(MID(INDEX('Structured 2025'!headerRow,1,COLUMN()),4,LEN(INDEX('Structured 2025'!headerRow,1,COLUMN()))),ovrHeaderRow25,0))</f>
        <v>11.4</v>
      </c>
      <c r="CO22" s="12">
        <f>INDEX(ovrTable25,MATCH(INDEX(oppCol,ROW()),ovrTeamCol25,0),MATCH(MID(INDEX('Structured 2025'!headerRow,1,COLUMN()),4,LEN(INDEX('Structured 2025'!headerRow,1,COLUMN()))),ovrHeaderRow25,0))</f>
        <v>72.5</v>
      </c>
      <c r="CP22" s="12">
        <f>INDEX(ovrTable25,MATCH(INDEX(oppCol,ROW()),ovrTeamCol25,0),MATCH(MID(INDEX('Structured 2025'!headerRow,1,COLUMN()),4,LEN(INDEX('Structured 2025'!headerRow,1,COLUMN()))),ovrHeaderRow25,0))</f>
        <v>21.949999999999996</v>
      </c>
      <c r="CQ22" s="12">
        <f>INDEX(ovrTable25,MATCH(INDEX(oppCol,ROW()),ovrTeamCol25,0),MATCH(MID(INDEX('Structured 2025'!headerRow,1,COLUMN()),4,LEN(INDEX('Structured 2025'!headerRow,1,COLUMN()))),ovrHeaderRow25,0))</f>
        <v>62.717391304347814</v>
      </c>
    </row>
    <row r="23" spans="1:95" x14ac:dyDescent="0.3">
      <c r="A23" s="6" t="s">
        <v>27</v>
      </c>
      <c r="B23" s="3">
        <v>10</v>
      </c>
      <c r="C23" s="13" t="str">
        <f>A22</f>
        <v>MARQ</v>
      </c>
      <c r="D23" s="14">
        <v>11</v>
      </c>
      <c r="E23" s="23">
        <v>0.36666666666666664</v>
      </c>
      <c r="F23" s="24">
        <v>47.272727272727273</v>
      </c>
      <c r="G23" s="24">
        <v>5</v>
      </c>
      <c r="H23" s="23">
        <v>35.714285714285715</v>
      </c>
      <c r="I23" s="24">
        <v>14</v>
      </c>
      <c r="J23" s="25">
        <v>1.0769230769230769</v>
      </c>
      <c r="K23" s="24">
        <v>18</v>
      </c>
      <c r="L23" s="24">
        <v>21</v>
      </c>
      <c r="M23" s="24">
        <v>9</v>
      </c>
      <c r="N23" s="24">
        <v>27</v>
      </c>
      <c r="O23" s="24">
        <v>14</v>
      </c>
      <c r="P23" s="24">
        <v>8</v>
      </c>
      <c r="Q23" s="24">
        <v>4</v>
      </c>
      <c r="R23" s="24">
        <v>13</v>
      </c>
      <c r="S23" s="24">
        <v>8</v>
      </c>
      <c r="T23" s="24">
        <v>13</v>
      </c>
      <c r="U23" s="24">
        <v>11</v>
      </c>
      <c r="V23" s="24">
        <v>0.40677966101694918</v>
      </c>
      <c r="W23" s="26">
        <v>0.51818181818181819</v>
      </c>
      <c r="X23" s="23">
        <v>85.714285714285708</v>
      </c>
      <c r="Y23" s="24">
        <v>66</v>
      </c>
      <c r="Z23" s="24">
        <v>75</v>
      </c>
      <c r="AA23" s="24">
        <v>6</v>
      </c>
      <c r="AB23" s="24">
        <v>36</v>
      </c>
      <c r="AC23" s="24">
        <v>9</v>
      </c>
      <c r="AD23" s="24">
        <v>-1</v>
      </c>
      <c r="AE23" s="24">
        <v>12</v>
      </c>
      <c r="AF23" s="34">
        <f t="shared" si="0"/>
        <v>21</v>
      </c>
      <c r="AG23" s="34">
        <f t="shared" si="1"/>
        <v>41</v>
      </c>
      <c r="AH23" s="46">
        <f t="shared" si="2"/>
        <v>68.974999999999994</v>
      </c>
      <c r="AI23" s="51">
        <f t="shared" ref="AI23" si="22">AVERAGE(AH22,AH23)</f>
        <v>67.837500000000006</v>
      </c>
      <c r="AJ23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K23" s="12">
        <f>INDEX(ovrTable25,MATCH(INDEX('Structured 2025'!teamCol,ROW()),ovrTeamCol25,0),MATCH(MID(INDEX('Structured 2025'!headerRow,1,COLUMN()),4,LEN(INDEX('Structured 2025'!headerRow,1,COLUMN()))),ovrHeaderRow25,0))</f>
        <v>6.9</v>
      </c>
      <c r="AL23" s="12">
        <f>INDEX(ovrTable25,MATCH(INDEX('Structured 2025'!teamCol,ROW()),ovrTeamCol25,0),MATCH(MID(INDEX('Structured 2025'!headerRow,1,COLUMN()),4,LEN(INDEX('Structured 2025'!headerRow,1,COLUMN()))),ovrHeaderRow25,0))</f>
        <v>34.700000000000003</v>
      </c>
      <c r="AM23" s="12">
        <f>INDEX(ovrTable25,MATCH(INDEX('Structured 2025'!teamCol,ROW()),ovrTeamCol25,0),MATCH(MID(INDEX('Structured 2025'!headerRow,1,COLUMN()),4,LEN(INDEX('Structured 2025'!headerRow,1,COLUMN()))),ovrHeaderRow25,0))</f>
        <v>20</v>
      </c>
      <c r="AN23" s="12">
        <f>INDEX(ovrTable25,MATCH(INDEX('Structured 2025'!teamCol,ROW()),ovrTeamCol25,0),MATCH(MID(INDEX('Structured 2025'!headerRow,1,COLUMN()),4,LEN(INDEX('Structured 2025'!headerRow,1,COLUMN()))),ovrHeaderRow25,0))</f>
        <v>1.3</v>
      </c>
      <c r="AO23" s="12">
        <f>INDEX(ovrTable25,MATCH(INDEX('Structured 2025'!teamCol,ROW()),ovrTeamCol25,0),MATCH(MID(INDEX('Structured 2025'!headerRow,1,COLUMN()),4,LEN(INDEX('Structured 2025'!headerRow,1,COLUMN()))),ovrHeaderRow25,0))</f>
        <v>14.9</v>
      </c>
      <c r="AP23" s="12">
        <f>INDEX(ovrTable25,MATCH(INDEX('Structured 2025'!teamCol,ROW()),ovrTeamCol25,0),MATCH(MID(INDEX('Structured 2025'!headerRow,1,COLUMN()),4,LEN(INDEX('Structured 2025'!headerRow,1,COLUMN()))),ovrHeaderRow25,0))</f>
        <v>18.510000000000002</v>
      </c>
      <c r="AQ23" s="12">
        <f>INDEX(ovrTable25,MATCH(INDEX('Structured 2025'!teamCol,ROW()),ovrTeamCol25,0),MATCH(MID(INDEX('Structured 2025'!headerRow,1,COLUMN()),4,LEN(INDEX('Structured 2025'!headerRow,1,COLUMN()))),ovrHeaderRow25,0))</f>
        <v>5</v>
      </c>
      <c r="AR23" s="12">
        <f>INDEX(ovrTable25,MATCH(INDEX('Structured 2025'!teamCol,ROW()),ovrTeamCol25,0),MATCH(MID(INDEX('Structured 2025'!headerRow,1,COLUMN()),4,LEN(INDEX('Structured 2025'!headerRow,1,COLUMN()))),ovrHeaderRow25,0))</f>
        <v>42.8</v>
      </c>
      <c r="AS23" s="12">
        <f>INDEX(ovrTable25,MATCH(INDEX('Structured 2025'!teamCol,ROW()),ovrTeamCol25,0),MATCH(MID(INDEX('Structured 2025'!headerRow,1,COLUMN()),4,LEN(INDEX('Structured 2025'!headerRow,1,COLUMN()))),ovrHeaderRow25,0))</f>
        <v>26.91</v>
      </c>
      <c r="AT23" s="12">
        <f>INDEX(ovrTable25,MATCH(INDEX('Structured 2025'!teamCol,ROW()),ovrTeamCol25,0),MATCH(MID(INDEX('Structured 2025'!headerRow,1,COLUMN()),4,LEN(INDEX('Structured 2025'!headerRow,1,COLUMN()))),ovrHeaderRow25,0))</f>
        <v>0.51500000000000001</v>
      </c>
      <c r="AU23" s="12">
        <f>INDEX(ovrTable25,MATCH(INDEX('Structured 2025'!teamCol,ROW()),ovrTeamCol25,0),MATCH(MID(INDEX('Structured 2025'!headerRow,1,COLUMN()),4,LEN(INDEX('Structured 2025'!headerRow,1,COLUMN()))),ovrHeaderRow25,0))</f>
        <v>15.83</v>
      </c>
      <c r="AV23" s="12">
        <f>INDEX(ovrTable25,MATCH(INDEX('Structured 2025'!teamCol,ROW()),ovrTeamCol25,0),MATCH(MID(INDEX('Structured 2025'!headerRow,1,COLUMN()),4,LEN(INDEX('Structured 2025'!headerRow,1,COLUMN()))),ovrHeaderRow25,0))</f>
        <v>46</v>
      </c>
      <c r="AW23" s="12">
        <f>INDEX(ovrTable25,MATCH(INDEX('Structured 2025'!teamCol,ROW()),ovrTeamCol25,0),MATCH(MID(INDEX('Structured 2025'!headerRow,1,COLUMN()),4,LEN(INDEX('Structured 2025'!headerRow,1,COLUMN()))),ovrHeaderRow25,0))</f>
        <v>17.5</v>
      </c>
      <c r="AX23" s="12">
        <f>INDEX(ovrTable25,MATCH(INDEX('Structured 2025'!teamCol,ROW()),ovrTeamCol25,0),MATCH(MID(INDEX('Structured 2025'!headerRow,1,COLUMN()),4,LEN(INDEX('Structured 2025'!headerRow,1,COLUMN()))),ovrHeaderRow25,0))</f>
        <v>68.900000000000006</v>
      </c>
      <c r="AY23" s="12">
        <f>INDEX(ovrTable25,MATCH(INDEX('Structured 2025'!teamCol,ROW()),ovrTeamCol25,0),MATCH(MID(INDEX('Structured 2025'!headerRow,1,COLUMN()),4,LEN(INDEX('Structured 2025'!headerRow,1,COLUMN()))),ovrHeaderRow25,0))</f>
        <v>23.1</v>
      </c>
      <c r="AZ23" s="12">
        <f>INDEX(ovrTable25,MATCH(INDEX('Structured 2025'!teamCol,ROW()),ovrTeamCol25,0),MATCH(MID(INDEX('Structured 2025'!headerRow,1,COLUMN()),4,LEN(INDEX('Structured 2025'!headerRow,1,COLUMN()))),ovrHeaderRow25,0))</f>
        <v>15.9</v>
      </c>
      <c r="BA23" s="12">
        <f>INDEX(ovrTable25,MATCH(INDEX('Structured 2025'!teamCol,ROW()),ovrTeamCol25,0),MATCH(MID(INDEX('Structured 2025'!headerRow,1,COLUMN()),4,LEN(INDEX('Structured 2025'!headerRow,1,COLUMN()))),ovrHeaderRow25,0))</f>
        <v>70.599999999999994</v>
      </c>
      <c r="BB23" s="12">
        <f>INDEX(ovrTable25,MATCH(INDEX('Structured 2025'!teamCol,ROW()),ovrTeamCol25,0),MATCH(MID(INDEX('Structured 2025'!headerRow,1,COLUMN()),4,LEN(INDEX('Structured 2025'!headerRow,1,COLUMN()))),ovrHeaderRow25,0))</f>
        <v>11.97</v>
      </c>
      <c r="BC23" s="12">
        <f>INDEX(ovrTable25,MATCH(INDEX('Structured 2025'!teamCol,ROW()),ovrTeamCol25,0),MATCH(MID(INDEX('Structured 2025'!headerRow,1,COLUMN()),4,LEN(INDEX('Structured 2025'!headerRow,1,COLUMN()))),ovrHeaderRow25,0))</f>
        <v>80.5</v>
      </c>
      <c r="BD23" s="12">
        <f>INDEX(ovrTable25,MATCH(INDEX('Structured 2025'!teamCol,ROW()),ovrTeamCol25,0),MATCH(MID(INDEX('Structured 2025'!headerRow,1,COLUMN()),4,LEN(INDEX('Structured 2025'!headerRow,1,COLUMN()))),ovrHeaderRow25,0))</f>
        <v>3.7</v>
      </c>
      <c r="BE23" s="12">
        <f>INDEX(ovrTable25,MATCH(INDEX('Structured 2025'!teamCol,ROW()),ovrTeamCol25,0),MATCH(MID(INDEX('Structured 2025'!headerRow,1,COLUMN()),4,LEN(INDEX('Structured 2025'!headerRow,1,COLUMN()))),ovrHeaderRow25,0))</f>
        <v>38.89</v>
      </c>
      <c r="BF23" s="12">
        <f>INDEX(ovrTable25,MATCH(INDEX('Structured 2025'!teamCol,ROW()),ovrTeamCol25,0),MATCH(MID(INDEX('Structured 2025'!headerRow,1,COLUMN()),4,LEN(INDEX('Structured 2025'!headerRow,1,COLUMN()))),ovrHeaderRow25,0))</f>
        <v>9.9</v>
      </c>
      <c r="BG23" s="12">
        <f>INDEX(ovrTable25,MATCH(INDEX('Structured 2025'!teamCol,ROW()),ovrTeamCol25,0),MATCH(MID(INDEX('Structured 2025'!headerRow,1,COLUMN()),4,LEN(INDEX('Structured 2025'!headerRow,1,COLUMN()))),ovrHeaderRow25,0))</f>
        <v>8.6999999999999993</v>
      </c>
      <c r="BH23" s="12">
        <f>INDEX(ovrTable25,MATCH(INDEX('Structured 2025'!teamCol,ROW()),ovrTeamCol25,0),MATCH(MID(INDEX('Structured 2025'!headerRow,1,COLUMN()),4,LEN(INDEX('Structured 2025'!headerRow,1,COLUMN()))),ovrHeaderRow25,0))</f>
        <v>3.6</v>
      </c>
      <c r="BI23" s="12">
        <f>INDEX(ovrTable25,MATCH(INDEX('Structured 2025'!teamCol,ROW()),ovrTeamCol25,0),MATCH(MID(INDEX('Structured 2025'!headerRow,1,COLUMN()),4,LEN(INDEX('Structured 2025'!headerRow,1,COLUMN()))),ovrHeaderRow25,0))</f>
        <v>15.06</v>
      </c>
      <c r="BJ23" s="12">
        <f>INDEX(ovrTable25,MATCH(INDEX('Structured 2025'!teamCol,ROW()),ovrTeamCol25,0),MATCH(MID(INDEX('Structured 2025'!headerRow,1,COLUMN()),4,LEN(INDEX('Structured 2025'!headerRow,1,COLUMN()))),ovrHeaderRow25,0))</f>
        <v>11.4</v>
      </c>
      <c r="BK23" s="12">
        <f>INDEX(ovrTable25,MATCH(INDEX('Structured 2025'!teamCol,ROW()),ovrTeamCol25,0),MATCH(MID(INDEX('Structured 2025'!headerRow,1,COLUMN()),4,LEN(INDEX('Structured 2025'!headerRow,1,COLUMN()))),ovrHeaderRow25,0))</f>
        <v>72.5</v>
      </c>
      <c r="BL23" s="12">
        <f>INDEX(ovrTable25,MATCH(INDEX('Structured 2025'!teamCol,ROW()),ovrTeamCol25,0),MATCH(MID(INDEX('Structured 2025'!headerRow,1,COLUMN()),4,LEN(INDEX('Structured 2025'!headerRow,1,COLUMN()))),ovrHeaderRow25,0))</f>
        <v>21.949999999999996</v>
      </c>
      <c r="BM23" s="12">
        <f>INDEX(ovrTable25,MATCH(INDEX('Structured 2025'!teamCol,ROW()),ovrTeamCol25,0),MATCH(MID(INDEX('Structured 2025'!headerRow,1,COLUMN()),4,LEN(INDEX('Structured 2025'!headerRow,1,COLUMN()))),ovrHeaderRow25,0))</f>
        <v>62.717391304347814</v>
      </c>
      <c r="BN23" s="12">
        <f>INDEX(ovrTable25,MATCH(INDEX(oppCol,ROW()),ovrTeamCol25,0),MATCH(MID(INDEX('Structured 2025'!headerRow,1,COLUMN()),4,LEN(INDEX('Structured 2025'!headerRow,1,COLUMN()))),ovrHeaderRow25,0))</f>
        <v>31.8</v>
      </c>
      <c r="BO23" s="12">
        <f>INDEX(ovrTable25,MATCH(INDEX(oppCol,ROW()),ovrTeamCol25,0),MATCH(MID(INDEX('Structured 2025'!headerRow,1,COLUMN()),4,LEN(INDEX('Structured 2025'!headerRow,1,COLUMN()))),ovrHeaderRow25,0))</f>
        <v>9.4</v>
      </c>
      <c r="BP23" s="12">
        <f>INDEX(ovrTable25,MATCH(INDEX(oppCol,ROW()),ovrTeamCol25,0),MATCH(MID(INDEX('Structured 2025'!headerRow,1,COLUMN()),4,LEN(INDEX('Structured 2025'!headerRow,1,COLUMN()))),ovrHeaderRow25,0))</f>
        <v>32.6</v>
      </c>
      <c r="BQ23" s="12">
        <f>INDEX(ovrTable25,MATCH(INDEX(oppCol,ROW()),ovrTeamCol25,0),MATCH(MID(INDEX('Structured 2025'!headerRow,1,COLUMN()),4,LEN(INDEX('Structured 2025'!headerRow,1,COLUMN()))),ovrHeaderRow25,0))</f>
        <v>29</v>
      </c>
      <c r="BR23" s="12">
        <f>INDEX(ovrTable25,MATCH(INDEX(oppCol,ROW()),ovrTeamCol25,0),MATCH(MID(INDEX('Structured 2025'!headerRow,1,COLUMN()),4,LEN(INDEX('Structured 2025'!headerRow,1,COLUMN()))),ovrHeaderRow25,0))</f>
        <v>1.47</v>
      </c>
      <c r="BS23" s="12">
        <f>INDEX(ovrTable25,MATCH(INDEX(oppCol,ROW()),ovrTeamCol25,0),MATCH(MID(INDEX('Structured 2025'!headerRow,1,COLUMN()),4,LEN(INDEX('Structured 2025'!headerRow,1,COLUMN()))),ovrHeaderRow25,0))</f>
        <v>13.7</v>
      </c>
      <c r="BT23" s="12">
        <f>INDEX(ovrTable25,MATCH(INDEX(oppCol,ROW()),ovrTeamCol25,0),MATCH(MID(INDEX('Structured 2025'!headerRow,1,COLUMN()),4,LEN(INDEX('Structured 2025'!headerRow,1,COLUMN()))),ovrHeaderRow25,0))</f>
        <v>14.59</v>
      </c>
      <c r="BU23" s="12">
        <f>INDEX(ovrTable25,MATCH(INDEX(oppCol,ROW()),ovrTeamCol25,0),MATCH(MID(INDEX('Structured 2025'!headerRow,1,COLUMN()),4,LEN(INDEX('Structured 2025'!headerRow,1,COLUMN()))),ovrHeaderRow25,0))</f>
        <v>3.6</v>
      </c>
      <c r="BV23" s="12">
        <f>INDEX(ovrTable25,MATCH(INDEX(oppCol,ROW()),ovrTeamCol25,0),MATCH(MID(INDEX('Structured 2025'!headerRow,1,COLUMN()),4,LEN(INDEX('Structured 2025'!headerRow,1,COLUMN()))),ovrHeaderRow25,0))</f>
        <v>43.6</v>
      </c>
      <c r="BW23" s="12">
        <f>INDEX(ovrTable25,MATCH(INDEX(oppCol,ROW()),ovrTeamCol25,0),MATCH(MID(INDEX('Structured 2025'!headerRow,1,COLUMN()),4,LEN(INDEX('Structured 2025'!headerRow,1,COLUMN()))),ovrHeaderRow25,0))</f>
        <v>23.15</v>
      </c>
      <c r="BX23" s="12">
        <f>INDEX(ovrTable25,MATCH(INDEX(oppCol,ROW()),ovrTeamCol25,0),MATCH(MID(INDEX('Structured 2025'!headerRow,1,COLUMN()),4,LEN(INDEX('Structured 2025'!headerRow,1,COLUMN()))),ovrHeaderRow25,0))</f>
        <v>0.52</v>
      </c>
      <c r="BY23" s="12">
        <f>INDEX(ovrTable25,MATCH(INDEX(oppCol,ROW()),ovrTeamCol25,0),MATCH(MID(INDEX('Structured 2025'!headerRow,1,COLUMN()),4,LEN(INDEX('Structured 2025'!headerRow,1,COLUMN()))),ovrHeaderRow25,0))</f>
        <v>12.35</v>
      </c>
      <c r="BZ23" s="12">
        <f>INDEX(ovrTable25,MATCH(INDEX(oppCol,ROW()),ovrTeamCol25,0),MATCH(MID(INDEX('Structured 2025'!headerRow,1,COLUMN()),4,LEN(INDEX('Structured 2025'!headerRow,1,COLUMN()))),ovrHeaderRow25,0))</f>
        <v>44.4</v>
      </c>
      <c r="CA23" s="12">
        <f>INDEX(ovrTable25,MATCH(INDEX(oppCol,ROW()),ovrTeamCol25,0),MATCH(MID(INDEX('Structured 2025'!headerRow,1,COLUMN()),4,LEN(INDEX('Structured 2025'!headerRow,1,COLUMN()))),ovrHeaderRow25,0))</f>
        <v>16</v>
      </c>
      <c r="CB23" s="12">
        <f>INDEX(ovrTable25,MATCH(INDEX(oppCol,ROW()),ovrTeamCol25,0),MATCH(MID(INDEX('Structured 2025'!headerRow,1,COLUMN()),4,LEN(INDEX('Structured 2025'!headerRow,1,COLUMN()))),ovrHeaderRow25,0))</f>
        <v>72</v>
      </c>
      <c r="CC23" s="12">
        <f>INDEX(ovrTable25,MATCH(INDEX(oppCol,ROW()),ovrTeamCol25,0),MATCH(MID(INDEX('Structured 2025'!headerRow,1,COLUMN()),4,LEN(INDEX('Structured 2025'!headerRow,1,COLUMN()))),ovrHeaderRow25,0))</f>
        <v>16.2</v>
      </c>
      <c r="CD23" s="12">
        <f>INDEX(ovrTable25,MATCH(INDEX(oppCol,ROW()),ovrTeamCol25,0),MATCH(MID(INDEX('Structured 2025'!headerRow,1,COLUMN()),4,LEN(INDEX('Structured 2025'!headerRow,1,COLUMN()))),ovrHeaderRow25,0))</f>
        <v>11.6</v>
      </c>
      <c r="CE23" s="12">
        <f>INDEX(ovrTable25,MATCH(INDEX(oppCol,ROW()),ovrTeamCol25,0),MATCH(MID(INDEX('Structured 2025'!headerRow,1,COLUMN()),4,LEN(INDEX('Structured 2025'!headerRow,1,COLUMN()))),ovrHeaderRow25,0))</f>
        <v>68.7</v>
      </c>
      <c r="CF23" s="12">
        <f>INDEX(ovrTable25,MATCH(INDEX(oppCol,ROW()),ovrTeamCol25,0),MATCH(MID(INDEX('Structured 2025'!headerRow,1,COLUMN()),4,LEN(INDEX('Structured 2025'!headerRow,1,COLUMN()))),ovrHeaderRow25,0))</f>
        <v>10.94</v>
      </c>
      <c r="CG23" s="12">
        <f>INDEX(ovrTable25,MATCH(INDEX(oppCol,ROW()),ovrTeamCol25,0),MATCH(MID(INDEX('Structured 2025'!headerRow,1,COLUMN()),4,LEN(INDEX('Structured 2025'!headerRow,1,COLUMN()))),ovrHeaderRow25,0))</f>
        <v>76.599999999999994</v>
      </c>
      <c r="CH23" s="12">
        <f>INDEX(ovrTable25,MATCH(INDEX(oppCol,ROW()),ovrTeamCol25,0),MATCH(MID(INDEX('Structured 2025'!headerRow,1,COLUMN()),4,LEN(INDEX('Structured 2025'!headerRow,1,COLUMN()))),ovrHeaderRow25,0))</f>
        <v>-1.8</v>
      </c>
      <c r="CI23" s="12">
        <f>INDEX(ovrTable25,MATCH(INDEX(oppCol,ROW()),ovrTeamCol25,0),MATCH(MID(INDEX('Structured 2025'!headerRow,1,COLUMN()),4,LEN(INDEX('Structured 2025'!headerRow,1,COLUMN()))),ovrHeaderRow25,0))</f>
        <v>34.090000000000003</v>
      </c>
      <c r="CJ23" s="12">
        <f>INDEX(ovrTable25,MATCH(INDEX(oppCol,ROW()),ovrTeamCol25,0),MATCH(MID(INDEX('Structured 2025'!headerRow,1,COLUMN()),4,LEN(INDEX('Structured 2025'!headerRow,1,COLUMN()))),ovrHeaderRow25,0))</f>
        <v>7.8</v>
      </c>
      <c r="CK23" s="12">
        <f>INDEX(ovrTable25,MATCH(INDEX(oppCol,ROW()),ovrTeamCol25,0),MATCH(MID(INDEX('Structured 2025'!headerRow,1,COLUMN()),4,LEN(INDEX('Structured 2025'!headerRow,1,COLUMN()))),ovrHeaderRow25,0))</f>
        <v>9</v>
      </c>
      <c r="CL23" s="12">
        <f>INDEX(ovrTable25,MATCH(INDEX(oppCol,ROW()),ovrTeamCol25,0),MATCH(MID(INDEX('Structured 2025'!headerRow,1,COLUMN()),4,LEN(INDEX('Structured 2025'!headerRow,1,COLUMN()))),ovrHeaderRow25,0))</f>
        <v>5.4</v>
      </c>
      <c r="CM23" s="12">
        <f>INDEX(ovrTable25,MATCH(INDEX(oppCol,ROW()),ovrTeamCol25,0),MATCH(MID(INDEX('Structured 2025'!headerRow,1,COLUMN()),4,LEN(INDEX('Structured 2025'!headerRow,1,COLUMN()))),ovrHeaderRow25,0))</f>
        <v>14.71</v>
      </c>
      <c r="CN23" s="12">
        <f>INDEX(ovrTable25,MATCH(INDEX(oppCol,ROW()),ovrTeamCol25,0),MATCH(MID(INDEX('Structured 2025'!headerRow,1,COLUMN()),4,LEN(INDEX('Structured 2025'!headerRow,1,COLUMN()))),ovrHeaderRow25,0))</f>
        <v>9.4</v>
      </c>
      <c r="CO23" s="12">
        <f>INDEX(ovrTable25,MATCH(INDEX(oppCol,ROW()),ovrTeamCol25,0),MATCH(MID(INDEX('Structured 2025'!headerRow,1,COLUMN()),4,LEN(INDEX('Structured 2025'!headerRow,1,COLUMN()))),ovrHeaderRow25,0))</f>
        <v>67.7</v>
      </c>
      <c r="CP23" s="12">
        <f>INDEX(ovrTable25,MATCH(INDEX(oppCol,ROW()),ovrTeamCol25,0),MATCH(MID(INDEX('Structured 2025'!headerRow,1,COLUMN()),4,LEN(INDEX('Structured 2025'!headerRow,1,COLUMN()))),ovrHeaderRow25,0))</f>
        <v>18.399999999999999</v>
      </c>
      <c r="CQ23" s="12">
        <f>INDEX(ovrTable25,MATCH(INDEX(oppCol,ROW()),ovrTeamCol25,0),MATCH(MID(INDEX('Structured 2025'!headerRow,1,COLUMN()),4,LEN(INDEX('Structured 2025'!headerRow,1,COLUMN()))),ovrHeaderRow25,0))</f>
        <v>62.612612612612601</v>
      </c>
    </row>
    <row r="24" spans="1:95" x14ac:dyDescent="0.3">
      <c r="A24" s="6" t="s">
        <v>34</v>
      </c>
      <c r="B24" s="3">
        <v>2</v>
      </c>
      <c r="C24" s="13" t="str">
        <f>A25</f>
        <v>BRY</v>
      </c>
      <c r="D24" s="14">
        <v>12</v>
      </c>
      <c r="E24" s="23">
        <v>0.20833333333333334</v>
      </c>
      <c r="F24" s="24">
        <v>44.285714285714285</v>
      </c>
      <c r="G24" s="24">
        <v>10</v>
      </c>
      <c r="H24" s="23">
        <v>38.461538461538467</v>
      </c>
      <c r="I24" s="24">
        <v>26</v>
      </c>
      <c r="J24" s="25">
        <v>1.4545454545454546</v>
      </c>
      <c r="K24" s="24">
        <v>15</v>
      </c>
      <c r="L24" s="24">
        <v>21</v>
      </c>
      <c r="M24" s="24">
        <v>21</v>
      </c>
      <c r="N24" s="24">
        <v>33</v>
      </c>
      <c r="O24" s="24">
        <v>16</v>
      </c>
      <c r="P24" s="24">
        <v>3</v>
      </c>
      <c r="Q24" s="24">
        <v>3</v>
      </c>
      <c r="R24" s="24">
        <v>11</v>
      </c>
      <c r="S24" s="24">
        <v>15</v>
      </c>
      <c r="T24" s="24">
        <v>15</v>
      </c>
      <c r="U24" s="24">
        <v>46</v>
      </c>
      <c r="V24" s="24">
        <v>0.37142857142857144</v>
      </c>
      <c r="W24" s="26">
        <v>0.51428571428571423</v>
      </c>
      <c r="X24" s="23">
        <v>71.428571428571431</v>
      </c>
      <c r="Y24" s="24">
        <v>62</v>
      </c>
      <c r="Z24" s="24">
        <v>87</v>
      </c>
      <c r="AA24" s="24">
        <v>25</v>
      </c>
      <c r="AB24" s="24">
        <v>54</v>
      </c>
      <c r="AC24" s="24">
        <v>25</v>
      </c>
      <c r="AD24" s="24">
        <v>-4</v>
      </c>
      <c r="AE24" s="24">
        <v>7</v>
      </c>
      <c r="AF24" s="34">
        <f t="shared" si="0"/>
        <v>21</v>
      </c>
      <c r="AG24" s="34">
        <f t="shared" si="1"/>
        <v>44</v>
      </c>
      <c r="AH24" s="46">
        <f t="shared" si="2"/>
        <v>69.974999999999994</v>
      </c>
      <c r="AI24" s="51">
        <f t="shared" ref="AI24" si="23">AVERAGE(AH24,AH25)</f>
        <v>71.125</v>
      </c>
      <c r="AJ24" s="12">
        <f>INDEX(ovrTable25,MATCH(INDEX('Structured 2025'!teamCol,ROW()),ovrTeamCol25,0),MATCH(MID(INDEX('Structured 2025'!headerRow,1,COLUMN()),4,LEN(INDEX('Structured 2025'!headerRow,1,COLUMN()))),ovrHeaderRow25,0))</f>
        <v>28</v>
      </c>
      <c r="AK24" s="12">
        <f>INDEX(ovrTable25,MATCH(INDEX('Structured 2025'!teamCol,ROW()),ovrTeamCol25,0),MATCH(MID(INDEX('Structured 2025'!headerRow,1,COLUMN()),4,LEN(INDEX('Structured 2025'!headerRow,1,COLUMN()))),ovrHeaderRow25,0))</f>
        <v>6.1</v>
      </c>
      <c r="AL24" s="12">
        <f>INDEX(ovrTable25,MATCH(INDEX('Structured 2025'!teamCol,ROW()),ovrTeamCol25,0),MATCH(MID(INDEX('Structured 2025'!headerRow,1,COLUMN()),4,LEN(INDEX('Structured 2025'!headerRow,1,COLUMN()))),ovrHeaderRow25,0))</f>
        <v>31.1</v>
      </c>
      <c r="AM24" s="12">
        <f>INDEX(ovrTable25,MATCH(INDEX('Structured 2025'!teamCol,ROW()),ovrTeamCol25,0),MATCH(MID(INDEX('Structured 2025'!headerRow,1,COLUMN()),4,LEN(INDEX('Structured 2025'!headerRow,1,COLUMN()))),ovrHeaderRow25,0))</f>
        <v>19.5</v>
      </c>
      <c r="AN24" s="12">
        <f>INDEX(ovrTable25,MATCH(INDEX('Structured 2025'!teamCol,ROW()),ovrTeamCol25,0),MATCH(MID(INDEX('Structured 2025'!headerRow,1,COLUMN()),4,LEN(INDEX('Structured 2025'!headerRow,1,COLUMN()))),ovrHeaderRow25,0))</f>
        <v>1.46</v>
      </c>
      <c r="AO24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AP24" s="12">
        <f>INDEX(ovrTable25,MATCH(INDEX('Structured 2025'!teamCol,ROW()),ovrTeamCol25,0),MATCH(MID(INDEX('Structured 2025'!headerRow,1,COLUMN()),4,LEN(INDEX('Structured 2025'!headerRow,1,COLUMN()))),ovrHeaderRow25,0))</f>
        <v>33.619999999999997</v>
      </c>
      <c r="AQ24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24" s="12">
        <f>INDEX(ovrTable25,MATCH(INDEX('Structured 2025'!teamCol,ROW()),ovrTeamCol25,0),MATCH(MID(INDEX('Structured 2025'!headerRow,1,COLUMN()),4,LEN(INDEX('Structured 2025'!headerRow,1,COLUMN()))),ovrHeaderRow25,0))</f>
        <v>40.5</v>
      </c>
      <c r="AS24" s="12">
        <f>INDEX(ovrTable25,MATCH(INDEX('Structured 2025'!teamCol,ROW()),ovrTeamCol25,0),MATCH(MID(INDEX('Structured 2025'!headerRow,1,COLUMN()),4,LEN(INDEX('Structured 2025'!headerRow,1,COLUMN()))),ovrHeaderRow25,0))</f>
        <v>27.89</v>
      </c>
      <c r="AT24" s="12">
        <f>INDEX(ovrTable25,MATCH(INDEX('Structured 2025'!teamCol,ROW()),ovrTeamCol25,0),MATCH(MID(INDEX('Structured 2025'!headerRow,1,COLUMN()),4,LEN(INDEX('Structured 2025'!headerRow,1,COLUMN()))),ovrHeaderRow25,0))</f>
        <v>0.50900000000000001</v>
      </c>
      <c r="AU24" s="12">
        <f>INDEX(ovrTable25,MATCH(INDEX('Structured 2025'!teamCol,ROW()),ovrTeamCol25,0),MATCH(MID(INDEX('Structured 2025'!headerRow,1,COLUMN()),4,LEN(INDEX('Structured 2025'!headerRow,1,COLUMN()))),ovrHeaderRow25,0))</f>
        <v>15.59</v>
      </c>
      <c r="AV24" s="12">
        <f>INDEX(ovrTable25,MATCH(INDEX('Structured 2025'!teamCol,ROW()),ovrTeamCol25,0),MATCH(MID(INDEX('Structured 2025'!headerRow,1,COLUMN()),4,LEN(INDEX('Structured 2025'!headerRow,1,COLUMN()))),ovrHeaderRow25,0))</f>
        <v>45.8</v>
      </c>
      <c r="AW24" s="12">
        <f>INDEX(ovrTable25,MATCH(INDEX('Structured 2025'!teamCol,ROW()),ovrTeamCol25,0),MATCH(MID(INDEX('Structured 2025'!headerRow,1,COLUMN()),4,LEN(INDEX('Structured 2025'!headerRow,1,COLUMN()))),ovrHeaderRow25,0))</f>
        <v>16.7</v>
      </c>
      <c r="AX24" s="12">
        <f>INDEX(ovrTable25,MATCH(INDEX('Structured 2025'!teamCol,ROW()),ovrTeamCol25,0),MATCH(MID(INDEX('Structured 2025'!headerRow,1,COLUMN()),4,LEN(INDEX('Structured 2025'!headerRow,1,COLUMN()))),ovrHeaderRow25,0))</f>
        <v>77.900000000000006</v>
      </c>
      <c r="AY24" s="12">
        <f>INDEX(ovrTable25,MATCH(INDEX('Structured 2025'!teamCol,ROW()),ovrTeamCol25,0),MATCH(MID(INDEX('Structured 2025'!headerRow,1,COLUMN()),4,LEN(INDEX('Structured 2025'!headerRow,1,COLUMN()))),ovrHeaderRow25,0))</f>
        <v>22.4</v>
      </c>
      <c r="AZ24" s="12">
        <f>INDEX(ovrTable25,MATCH(INDEX('Structured 2025'!teamCol,ROW()),ovrTeamCol25,0),MATCH(MID(INDEX('Structured 2025'!headerRow,1,COLUMN()),4,LEN(INDEX('Structured 2025'!headerRow,1,COLUMN()))),ovrHeaderRow25,0))</f>
        <v>17.399999999999999</v>
      </c>
      <c r="BA24" s="12">
        <f>INDEX(ovrTable25,MATCH(INDEX('Structured 2025'!teamCol,ROW()),ovrTeamCol25,0),MATCH(MID(INDEX('Structured 2025'!headerRow,1,COLUMN()),4,LEN(INDEX('Structured 2025'!headerRow,1,COLUMN()))),ovrHeaderRow25,0))</f>
        <v>67.099999999999994</v>
      </c>
      <c r="BB24" s="12">
        <f>INDEX(ovrTable25,MATCH(INDEX('Structured 2025'!teamCol,ROW()),ovrTeamCol25,0),MATCH(MID(INDEX('Structured 2025'!headerRow,1,COLUMN()),4,LEN(INDEX('Structured 2025'!headerRow,1,COLUMN()))),ovrHeaderRow25,0))</f>
        <v>11.89</v>
      </c>
      <c r="BC24" s="12">
        <f>INDEX(ovrTable25,MATCH(INDEX('Structured 2025'!teamCol,ROW()),ovrTeamCol25,0),MATCH(MID(INDEX('Structured 2025'!headerRow,1,COLUMN()),4,LEN(INDEX('Structured 2025'!headerRow,1,COLUMN()))),ovrHeaderRow25,0))</f>
        <v>77.7</v>
      </c>
      <c r="BD24" s="12">
        <f>INDEX(ovrTable25,MATCH(INDEX('Structured 2025'!teamCol,ROW()),ovrTeamCol25,0),MATCH(MID(INDEX('Structured 2025'!headerRow,1,COLUMN()),4,LEN(INDEX('Structured 2025'!headerRow,1,COLUMN()))),ovrHeaderRow25,0))</f>
        <v>8.9</v>
      </c>
      <c r="BE24" s="12">
        <f>INDEX(ovrTable25,MATCH(INDEX('Structured 2025'!teamCol,ROW()),ovrTeamCol25,0),MATCH(MID(INDEX('Structured 2025'!headerRow,1,COLUMN()),4,LEN(INDEX('Structured 2025'!headerRow,1,COLUMN()))),ovrHeaderRow25,0))</f>
        <v>39.78</v>
      </c>
      <c r="BF24" s="12">
        <f>INDEX(ovrTable25,MATCH(INDEX('Structured 2025'!teamCol,ROW()),ovrTeamCol25,0),MATCH(MID(INDEX('Structured 2025'!headerRow,1,COLUMN()),4,LEN(INDEX('Structured 2025'!headerRow,1,COLUMN()))),ovrHeaderRow25,0))</f>
        <v>10.5</v>
      </c>
      <c r="BG24" s="12">
        <f>INDEX(ovrTable25,MATCH(INDEX('Structured 2025'!teamCol,ROW()),ovrTeamCol25,0),MATCH(MID(INDEX('Structured 2025'!headerRow,1,COLUMN()),4,LEN(INDEX('Structured 2025'!headerRow,1,COLUMN()))),ovrHeaderRow25,0))</f>
        <v>5.3</v>
      </c>
      <c r="BH24" s="12">
        <f>INDEX(ovrTable25,MATCH(INDEX('Structured 2025'!teamCol,ROW()),ovrTeamCol25,0),MATCH(MID(INDEX('Structured 2025'!headerRow,1,COLUMN()),4,LEN(INDEX('Structured 2025'!headerRow,1,COLUMN()))),ovrHeaderRow25,0))</f>
        <v>-0.3</v>
      </c>
      <c r="BI24" s="12">
        <f>INDEX(ovrTable25,MATCH(INDEX('Structured 2025'!teamCol,ROW()),ovrTeamCol25,0),MATCH(MID(INDEX('Structured 2025'!headerRow,1,COLUMN()),4,LEN(INDEX('Structured 2025'!headerRow,1,COLUMN()))),ovrHeaderRow25,0))</f>
        <v>11.03</v>
      </c>
      <c r="BJ24" s="12">
        <f>INDEX(ovrTable25,MATCH(INDEX('Structured 2025'!teamCol,ROW()),ovrTeamCol25,0),MATCH(MID(INDEX('Structured 2025'!headerRow,1,COLUMN()),4,LEN(INDEX('Structured 2025'!headerRow,1,COLUMN()))),ovrHeaderRow25,0))</f>
        <v>11.4</v>
      </c>
      <c r="BK24" s="12">
        <f>INDEX(ovrTable25,MATCH(INDEX('Structured 2025'!teamCol,ROW()),ovrTeamCol25,0),MATCH(MID(INDEX('Structured 2025'!headerRow,1,COLUMN()),4,LEN(INDEX('Structured 2025'!headerRow,1,COLUMN()))),ovrHeaderRow25,0))</f>
        <v>67.5</v>
      </c>
      <c r="BL24" s="12">
        <f>INDEX(ovrTable25,MATCH(INDEX('Structured 2025'!teamCol,ROW()),ovrTeamCol25,0),MATCH(MID(INDEX('Structured 2025'!headerRow,1,COLUMN()),4,LEN(INDEX('Structured 2025'!headerRow,1,COLUMN()))),ovrHeaderRow25,0))</f>
        <v>21.000000000000004</v>
      </c>
      <c r="BM24" s="12">
        <f>INDEX(ovrTable25,MATCH(INDEX('Structured 2025'!teamCol,ROW()),ovrTeamCol25,0),MATCH(MID(INDEX('Structured 2025'!headerRow,1,COLUMN()),4,LEN(INDEX('Structured 2025'!headerRow,1,COLUMN()))),ovrHeaderRow25,0))</f>
        <v>59.170305676855897</v>
      </c>
      <c r="BN24" s="12">
        <f>INDEX(ovrTable25,MATCH(INDEX(oppCol,ROW()),ovrTeamCol25,0),MATCH(MID(INDEX('Structured 2025'!headerRow,1,COLUMN()),4,LEN(INDEX('Structured 2025'!headerRow,1,COLUMN()))),ovrHeaderRow25,0))</f>
        <v>32.6</v>
      </c>
      <c r="BO24" s="12">
        <f>INDEX(ovrTable25,MATCH(INDEX(oppCol,ROW()),ovrTeamCol25,0),MATCH(MID(INDEX('Structured 2025'!headerRow,1,COLUMN()),4,LEN(INDEX('Structured 2025'!headerRow,1,COLUMN()))),ovrHeaderRow25,0))</f>
        <v>7.7</v>
      </c>
      <c r="BP24" s="12">
        <f>INDEX(ovrTable25,MATCH(INDEX(oppCol,ROW()),ovrTeamCol25,0),MATCH(MID(INDEX('Structured 2025'!headerRow,1,COLUMN()),4,LEN(INDEX('Structured 2025'!headerRow,1,COLUMN()))),ovrHeaderRow25,0))</f>
        <v>33.299999999999997</v>
      </c>
      <c r="BQ24" s="12">
        <f>INDEX(ovrTable25,MATCH(INDEX(oppCol,ROW()),ovrTeamCol25,0),MATCH(MID(INDEX('Structured 2025'!headerRow,1,COLUMN()),4,LEN(INDEX('Structured 2025'!headerRow,1,COLUMN()))),ovrHeaderRow25,0))</f>
        <v>23.3</v>
      </c>
      <c r="BR24" s="12">
        <f>INDEX(ovrTable25,MATCH(INDEX(oppCol,ROW()),ovrTeamCol25,0),MATCH(MID(INDEX('Structured 2025'!headerRow,1,COLUMN()),4,LEN(INDEX('Structured 2025'!headerRow,1,COLUMN()))),ovrHeaderRow25,0))</f>
        <v>1.26</v>
      </c>
      <c r="BS24" s="12">
        <f>INDEX(ovrTable25,MATCH(INDEX(oppCol,ROW()),ovrTeamCol25,0),MATCH(MID(INDEX('Structured 2025'!headerRow,1,COLUMN()),4,LEN(INDEX('Structured 2025'!headerRow,1,COLUMN()))),ovrHeaderRow25,0))</f>
        <v>14.9</v>
      </c>
      <c r="BT24" s="12">
        <f>INDEX(ovrTable25,MATCH(INDEX(oppCol,ROW()),ovrTeamCol25,0),MATCH(MID(INDEX('Structured 2025'!headerRow,1,COLUMN()),4,LEN(INDEX('Structured 2025'!headerRow,1,COLUMN()))),ovrHeaderRow25,0))</f>
        <v>16.510000000000002</v>
      </c>
      <c r="BU24" s="12">
        <f>INDEX(ovrTable25,MATCH(INDEX(oppCol,ROW()),ovrTeamCol25,0),MATCH(MID(INDEX('Structured 2025'!headerRow,1,COLUMN()),4,LEN(INDEX('Structured 2025'!headerRow,1,COLUMN()))),ovrHeaderRow25,0))</f>
        <v>6</v>
      </c>
      <c r="BV24" s="12">
        <f>INDEX(ovrTable25,MATCH(INDEX(oppCol,ROW()),ovrTeamCol25,0),MATCH(MID(INDEX('Structured 2025'!headerRow,1,COLUMN()),4,LEN(INDEX('Structured 2025'!headerRow,1,COLUMN()))),ovrHeaderRow25,0))</f>
        <v>41.6</v>
      </c>
      <c r="BW24" s="12">
        <f>INDEX(ovrTable25,MATCH(INDEX(oppCol,ROW()),ovrTeamCol25,0),MATCH(MID(INDEX('Structured 2025'!headerRow,1,COLUMN()),4,LEN(INDEX('Structured 2025'!headerRow,1,COLUMN()))),ovrHeaderRow25,0))</f>
        <v>27.83</v>
      </c>
      <c r="BX24" s="12">
        <f>INDEX(ovrTable25,MATCH(INDEX(oppCol,ROW()),ovrTeamCol25,0),MATCH(MID(INDEX('Structured 2025'!headerRow,1,COLUMN()),4,LEN(INDEX('Structured 2025'!headerRow,1,COLUMN()))),ovrHeaderRow25,0))</f>
        <v>0.51600000000000001</v>
      </c>
      <c r="BY24" s="12">
        <f>INDEX(ovrTable25,MATCH(INDEX(oppCol,ROW()),ovrTeamCol25,0),MATCH(MID(INDEX('Structured 2025'!headerRow,1,COLUMN()),4,LEN(INDEX('Structured 2025'!headerRow,1,COLUMN()))),ovrHeaderRow25,0))</f>
        <v>11.94</v>
      </c>
      <c r="BZ24" s="12">
        <f>INDEX(ovrTable25,MATCH(INDEX(oppCol,ROW()),ovrTeamCol25,0),MATCH(MID(INDEX('Structured 2025'!headerRow,1,COLUMN()),4,LEN(INDEX('Structured 2025'!headerRow,1,COLUMN()))),ovrHeaderRow25,0))</f>
        <v>45.7</v>
      </c>
      <c r="CA24" s="12">
        <f>INDEX(ovrTable25,MATCH(INDEX(oppCol,ROW()),ovrTeamCol25,0),MATCH(MID(INDEX('Structured 2025'!headerRow,1,COLUMN()),4,LEN(INDEX('Structured 2025'!headerRow,1,COLUMN()))),ovrHeaderRow25,0))</f>
        <v>15.7</v>
      </c>
      <c r="CB24" s="12">
        <f>INDEX(ovrTable25,MATCH(INDEX(oppCol,ROW()),ovrTeamCol25,0),MATCH(MID(INDEX('Structured 2025'!headerRow,1,COLUMN()),4,LEN(INDEX('Structured 2025'!headerRow,1,COLUMN()))),ovrHeaderRow25,0))</f>
        <v>71.400000000000006</v>
      </c>
      <c r="CC24" s="12">
        <f>INDEX(ovrTable25,MATCH(INDEX(oppCol,ROW()),ovrTeamCol25,0),MATCH(MID(INDEX('Structured 2025'!headerRow,1,COLUMN()),4,LEN(INDEX('Structured 2025'!headerRow,1,COLUMN()))),ovrHeaderRow25,0))</f>
        <v>19.3</v>
      </c>
      <c r="CD24" s="12">
        <f>INDEX(ovrTable25,MATCH(INDEX(oppCol,ROW()),ovrTeamCol25,0),MATCH(MID(INDEX('Structured 2025'!headerRow,1,COLUMN()),4,LEN(INDEX('Structured 2025'!headerRow,1,COLUMN()))),ovrHeaderRow25,0))</f>
        <v>13.8</v>
      </c>
      <c r="CE24" s="12">
        <f>INDEX(ovrTable25,MATCH(INDEX(oppCol,ROW()),ovrTeamCol25,0),MATCH(MID(INDEX('Structured 2025'!headerRow,1,COLUMN()),4,LEN(INDEX('Structured 2025'!headerRow,1,COLUMN()))),ovrHeaderRow25,0))</f>
        <v>74.2</v>
      </c>
      <c r="CF24" s="12">
        <f>INDEX(ovrTable25,MATCH(INDEX(oppCol,ROW()),ovrTeamCol25,0),MATCH(MID(INDEX('Structured 2025'!headerRow,1,COLUMN()),4,LEN(INDEX('Structured 2025'!headerRow,1,COLUMN()))),ovrHeaderRow25,0))</f>
        <v>13.29</v>
      </c>
      <c r="CG24" s="12">
        <f>INDEX(ovrTable25,MATCH(INDEX(oppCol,ROW()),ovrTeamCol25,0),MATCH(MID(INDEX('Structured 2025'!headerRow,1,COLUMN()),4,LEN(INDEX('Structured 2025'!headerRow,1,COLUMN()))),ovrHeaderRow25,0))</f>
        <v>81.8</v>
      </c>
      <c r="CH24" s="12">
        <f>INDEX(ovrTable25,MATCH(INDEX(oppCol,ROW()),ovrTeamCol25,0),MATCH(MID(INDEX('Structured 2025'!headerRow,1,COLUMN()),4,LEN(INDEX('Structured 2025'!headerRow,1,COLUMN()))),ovrHeaderRow25,0))</f>
        <v>4.5</v>
      </c>
      <c r="CI24" s="12">
        <f>INDEX(ovrTable25,MATCH(INDEX(oppCol,ROW()),ovrTeamCol25,0),MATCH(MID(INDEX('Structured 2025'!headerRow,1,COLUMN()),4,LEN(INDEX('Structured 2025'!headerRow,1,COLUMN()))),ovrHeaderRow25,0))</f>
        <v>41.11</v>
      </c>
      <c r="CJ24" s="12">
        <f>INDEX(ovrTable25,MATCH(INDEX(oppCol,ROW()),ovrTeamCol25,0),MATCH(MID(INDEX('Structured 2025'!headerRow,1,COLUMN()),4,LEN(INDEX('Structured 2025'!headerRow,1,COLUMN()))),ovrHeaderRow25,0))</f>
        <v>7.5</v>
      </c>
      <c r="CK24" s="12">
        <f>INDEX(ovrTable25,MATCH(INDEX(oppCol,ROW()),ovrTeamCol25,0),MATCH(MID(INDEX('Structured 2025'!headerRow,1,COLUMN()),4,LEN(INDEX('Structured 2025'!headerRow,1,COLUMN()))),ovrHeaderRow25,0))</f>
        <v>6.7</v>
      </c>
      <c r="CL24" s="12">
        <f>INDEX(ovrTable25,MATCH(INDEX(oppCol,ROW()),ovrTeamCol25,0),MATCH(MID(INDEX('Structured 2025'!headerRow,1,COLUMN()),4,LEN(INDEX('Structured 2025'!headerRow,1,COLUMN()))),ovrHeaderRow25,0))</f>
        <v>0.3</v>
      </c>
      <c r="CM24" s="12">
        <f>INDEX(ovrTable25,MATCH(INDEX(oppCol,ROW()),ovrTeamCol25,0),MATCH(MID(INDEX('Structured 2025'!headerRow,1,COLUMN()),4,LEN(INDEX('Structured 2025'!headerRow,1,COLUMN()))),ovrHeaderRow25,0))</f>
        <v>12.11</v>
      </c>
      <c r="CN24" s="12">
        <f>INDEX(ovrTable25,MATCH(INDEX(oppCol,ROW()),ovrTeamCol25,0),MATCH(MID(INDEX('Structured 2025'!headerRow,1,COLUMN()),4,LEN(INDEX('Structured 2025'!headerRow,1,COLUMN()))),ovrHeaderRow25,0))</f>
        <v>11.9</v>
      </c>
      <c r="CO24" s="12">
        <f>INDEX(ovrTable25,MATCH(INDEX(oppCol,ROW()),ovrTeamCol25,0),MATCH(MID(INDEX('Structured 2025'!headerRow,1,COLUMN()),4,LEN(INDEX('Structured 2025'!headerRow,1,COLUMN()))),ovrHeaderRow25,0))</f>
        <v>72.7</v>
      </c>
      <c r="CP24" s="12">
        <f>INDEX(ovrTable25,MATCH(INDEX(oppCol,ROW()),ovrTeamCol25,0),MATCH(MID(INDEX('Structured 2025'!headerRow,1,COLUMN()),4,LEN(INDEX('Structured 2025'!headerRow,1,COLUMN()))),ovrHeaderRow25,0))</f>
        <v>22.45</v>
      </c>
      <c r="CQ24" s="12">
        <f>INDEX(ovrTable25,MATCH(INDEX(oppCol,ROW()),ovrTeamCol25,0),MATCH(MID(INDEX('Structured 2025'!headerRow,1,COLUMN()),4,LEN(INDEX('Structured 2025'!headerRow,1,COLUMN()))),ovrHeaderRow25,0))</f>
        <v>65.973741794310712</v>
      </c>
    </row>
    <row r="25" spans="1:95" x14ac:dyDescent="0.3">
      <c r="A25" s="6" t="s">
        <v>399</v>
      </c>
      <c r="B25" s="3">
        <v>15</v>
      </c>
      <c r="C25" s="13" t="str">
        <f>A24</f>
        <v>MSU</v>
      </c>
      <c r="D25" s="14">
        <v>12</v>
      </c>
      <c r="E25" s="23">
        <v>0.38461538461538464</v>
      </c>
      <c r="F25" s="24">
        <v>37.142857142857146</v>
      </c>
      <c r="G25" s="24">
        <v>5</v>
      </c>
      <c r="H25" s="23">
        <v>20.833333333333336</v>
      </c>
      <c r="I25" s="24">
        <v>24</v>
      </c>
      <c r="J25" s="25">
        <v>1.8571428571428572</v>
      </c>
      <c r="K25" s="24">
        <v>5</v>
      </c>
      <c r="L25" s="24">
        <v>9</v>
      </c>
      <c r="M25" s="24">
        <v>9</v>
      </c>
      <c r="N25" s="24">
        <v>20</v>
      </c>
      <c r="O25" s="24">
        <v>13</v>
      </c>
      <c r="P25" s="24">
        <v>5</v>
      </c>
      <c r="Q25" s="24">
        <v>5</v>
      </c>
      <c r="R25" s="24">
        <v>7</v>
      </c>
      <c r="S25" s="24">
        <v>0</v>
      </c>
      <c r="T25" s="24">
        <v>16</v>
      </c>
      <c r="U25" s="24">
        <v>8</v>
      </c>
      <c r="V25" s="24">
        <v>0.44285714285714284</v>
      </c>
      <c r="W25" s="26">
        <v>0.40714285714285714</v>
      </c>
      <c r="X25" s="23">
        <v>55.555555555555557</v>
      </c>
      <c r="Y25" s="24">
        <v>87</v>
      </c>
      <c r="Z25" s="24">
        <v>62</v>
      </c>
      <c r="AA25" s="24">
        <v>-25</v>
      </c>
      <c r="AB25" s="24">
        <v>29</v>
      </c>
      <c r="AC25" s="24">
        <v>-25</v>
      </c>
      <c r="AD25" s="24">
        <v>4</v>
      </c>
      <c r="AE25" s="24">
        <v>11</v>
      </c>
      <c r="AF25" s="34">
        <f t="shared" si="0"/>
        <v>21</v>
      </c>
      <c r="AG25" s="34">
        <f t="shared" si="1"/>
        <v>46</v>
      </c>
      <c r="AH25" s="46">
        <f t="shared" si="2"/>
        <v>72.275000000000006</v>
      </c>
      <c r="AI25" s="51">
        <f t="shared" ref="AI25" si="24">AVERAGE(AH24,AH25)</f>
        <v>71.125</v>
      </c>
      <c r="AJ25" s="12">
        <f>INDEX(ovrTable25,MATCH(INDEX('Structured 2025'!teamCol,ROW()),ovrTeamCol25,0),MATCH(MID(INDEX('Structured 2025'!headerRow,1,COLUMN()),4,LEN(INDEX('Structured 2025'!headerRow,1,COLUMN()))),ovrHeaderRow25,0))</f>
        <v>32.6</v>
      </c>
      <c r="AK25" s="12">
        <f>INDEX(ovrTable25,MATCH(INDEX('Structured 2025'!teamCol,ROW()),ovrTeamCol25,0),MATCH(MID(INDEX('Structured 2025'!headerRow,1,COLUMN()),4,LEN(INDEX('Structured 2025'!headerRow,1,COLUMN()))),ovrHeaderRow25,0))</f>
        <v>7.7</v>
      </c>
      <c r="AL25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M25" s="12">
        <f>INDEX(ovrTable25,MATCH(INDEX('Structured 2025'!teamCol,ROW()),ovrTeamCol25,0),MATCH(MID(INDEX('Structured 2025'!headerRow,1,COLUMN()),4,LEN(INDEX('Structured 2025'!headerRow,1,COLUMN()))),ovrHeaderRow25,0))</f>
        <v>23.3</v>
      </c>
      <c r="AN25" s="12">
        <f>INDEX(ovrTable25,MATCH(INDEX('Structured 2025'!teamCol,ROW()),ovrTeamCol25,0),MATCH(MID(INDEX('Structured 2025'!headerRow,1,COLUMN()),4,LEN(INDEX('Structured 2025'!headerRow,1,COLUMN()))),ovrHeaderRow25,0))</f>
        <v>1.26</v>
      </c>
      <c r="AO25" s="12">
        <f>INDEX(ovrTable25,MATCH(INDEX('Structured 2025'!teamCol,ROW()),ovrTeamCol25,0),MATCH(MID(INDEX('Structured 2025'!headerRow,1,COLUMN()),4,LEN(INDEX('Structured 2025'!headerRow,1,COLUMN()))),ovrHeaderRow25,0))</f>
        <v>14.9</v>
      </c>
      <c r="AP25" s="12">
        <f>INDEX(ovrTable25,MATCH(INDEX('Structured 2025'!teamCol,ROW()),ovrTeamCol25,0),MATCH(MID(INDEX('Structured 2025'!headerRow,1,COLUMN()),4,LEN(INDEX('Structured 2025'!headerRow,1,COLUMN()))),ovrHeaderRow25,0))</f>
        <v>16.510000000000002</v>
      </c>
      <c r="AQ25" s="12">
        <f>INDEX(ovrTable25,MATCH(INDEX('Structured 2025'!teamCol,ROW()),ovrTeamCol25,0),MATCH(MID(INDEX('Structured 2025'!headerRow,1,COLUMN()),4,LEN(INDEX('Structured 2025'!headerRow,1,COLUMN()))),ovrHeaderRow25,0))</f>
        <v>6</v>
      </c>
      <c r="AR25" s="12">
        <f>INDEX(ovrTable25,MATCH(INDEX('Structured 2025'!teamCol,ROW()),ovrTeamCol25,0),MATCH(MID(INDEX('Structured 2025'!headerRow,1,COLUMN()),4,LEN(INDEX('Structured 2025'!headerRow,1,COLUMN()))),ovrHeaderRow25,0))</f>
        <v>41.6</v>
      </c>
      <c r="AS25" s="12">
        <f>INDEX(ovrTable25,MATCH(INDEX('Structured 2025'!teamCol,ROW()),ovrTeamCol25,0),MATCH(MID(INDEX('Structured 2025'!headerRow,1,COLUMN()),4,LEN(INDEX('Structured 2025'!headerRow,1,COLUMN()))),ovrHeaderRow25,0))</f>
        <v>27.83</v>
      </c>
      <c r="AT25" s="12">
        <f>INDEX(ovrTable25,MATCH(INDEX('Structured 2025'!teamCol,ROW()),ovrTeamCol25,0),MATCH(MID(INDEX('Structured 2025'!headerRow,1,COLUMN()),4,LEN(INDEX('Structured 2025'!headerRow,1,COLUMN()))),ovrHeaderRow25,0))</f>
        <v>0.51600000000000001</v>
      </c>
      <c r="AU25" s="12">
        <f>INDEX(ovrTable25,MATCH(INDEX('Structured 2025'!teamCol,ROW()),ovrTeamCol25,0),MATCH(MID(INDEX('Structured 2025'!headerRow,1,COLUMN()),4,LEN(INDEX('Structured 2025'!headerRow,1,COLUMN()))),ovrHeaderRow25,0))</f>
        <v>11.94</v>
      </c>
      <c r="AV25" s="12">
        <f>INDEX(ovrTable25,MATCH(INDEX('Structured 2025'!teamCol,ROW()),ovrTeamCol25,0),MATCH(MID(INDEX('Structured 2025'!headerRow,1,COLUMN()),4,LEN(INDEX('Structured 2025'!headerRow,1,COLUMN()))),ovrHeaderRow25,0))</f>
        <v>45.7</v>
      </c>
      <c r="AW25" s="12">
        <f>INDEX(ovrTable25,MATCH(INDEX('Structured 2025'!teamCol,ROW()),ovrTeamCol25,0),MATCH(MID(INDEX('Structured 2025'!headerRow,1,COLUMN()),4,LEN(INDEX('Structured 2025'!headerRow,1,COLUMN()))),ovrHeaderRow25,0))</f>
        <v>15.7</v>
      </c>
      <c r="AX25" s="12">
        <f>INDEX(ovrTable25,MATCH(INDEX('Structured 2025'!teamCol,ROW()),ovrTeamCol25,0),MATCH(MID(INDEX('Structured 2025'!headerRow,1,COLUMN()),4,LEN(INDEX('Structured 2025'!headerRow,1,COLUMN()))),ovrHeaderRow25,0))</f>
        <v>71.400000000000006</v>
      </c>
      <c r="AY25" s="12">
        <f>INDEX(ovrTable25,MATCH(INDEX('Structured 2025'!teamCol,ROW()),ovrTeamCol25,0),MATCH(MID(INDEX('Structured 2025'!headerRow,1,COLUMN()),4,LEN(INDEX('Structured 2025'!headerRow,1,COLUMN()))),ovrHeaderRow25,0))</f>
        <v>19.3</v>
      </c>
      <c r="AZ25" s="12">
        <f>INDEX(ovrTable25,MATCH(INDEX('Structured 2025'!teamCol,ROW()),ovrTeamCol25,0),MATCH(MID(INDEX('Structured 2025'!headerRow,1,COLUMN()),4,LEN(INDEX('Structured 2025'!headerRow,1,COLUMN()))),ovrHeaderRow25,0))</f>
        <v>13.8</v>
      </c>
      <c r="BA25" s="12">
        <f>INDEX(ovrTable25,MATCH(INDEX('Structured 2025'!teamCol,ROW()),ovrTeamCol25,0),MATCH(MID(INDEX('Structured 2025'!headerRow,1,COLUMN()),4,LEN(INDEX('Structured 2025'!headerRow,1,COLUMN()))),ovrHeaderRow25,0))</f>
        <v>74.2</v>
      </c>
      <c r="BB25" s="12">
        <f>INDEX(ovrTable25,MATCH(INDEX('Structured 2025'!teamCol,ROW()),ovrTeamCol25,0),MATCH(MID(INDEX('Structured 2025'!headerRow,1,COLUMN()),4,LEN(INDEX('Structured 2025'!headerRow,1,COLUMN()))),ovrHeaderRow25,0))</f>
        <v>13.29</v>
      </c>
      <c r="BC25" s="12">
        <f>INDEX(ovrTable25,MATCH(INDEX('Structured 2025'!teamCol,ROW()),ovrTeamCol25,0),MATCH(MID(INDEX('Structured 2025'!headerRow,1,COLUMN()),4,LEN(INDEX('Structured 2025'!headerRow,1,COLUMN()))),ovrHeaderRow25,0))</f>
        <v>81.8</v>
      </c>
      <c r="BD25" s="12">
        <f>INDEX(ovrTable25,MATCH(INDEX('Structured 2025'!teamCol,ROW()),ovrTeamCol25,0),MATCH(MID(INDEX('Structured 2025'!headerRow,1,COLUMN()),4,LEN(INDEX('Structured 2025'!headerRow,1,COLUMN()))),ovrHeaderRow25,0))</f>
        <v>4.5</v>
      </c>
      <c r="BE25" s="12">
        <f>INDEX(ovrTable25,MATCH(INDEX('Structured 2025'!teamCol,ROW()),ovrTeamCol25,0),MATCH(MID(INDEX('Structured 2025'!headerRow,1,COLUMN()),4,LEN(INDEX('Structured 2025'!headerRow,1,COLUMN()))),ovrHeaderRow25,0))</f>
        <v>41.11</v>
      </c>
      <c r="BF25" s="12">
        <f>INDEX(ovrTable25,MATCH(INDEX('Structured 2025'!teamCol,ROW()),ovrTeamCol25,0),MATCH(MID(INDEX('Structured 2025'!headerRow,1,COLUMN()),4,LEN(INDEX('Structured 2025'!headerRow,1,COLUMN()))),ovrHeaderRow25,0))</f>
        <v>7.5</v>
      </c>
      <c r="BG25" s="12">
        <f>INDEX(ovrTable25,MATCH(INDEX('Structured 2025'!teamCol,ROW()),ovrTeamCol25,0),MATCH(MID(INDEX('Structured 2025'!headerRow,1,COLUMN()),4,LEN(INDEX('Structured 2025'!headerRow,1,COLUMN()))),ovrHeaderRow25,0))</f>
        <v>6.7</v>
      </c>
      <c r="BH25" s="12">
        <f>INDEX(ovrTable25,MATCH(INDEX('Structured 2025'!teamCol,ROW()),ovrTeamCol25,0),MATCH(MID(INDEX('Structured 2025'!headerRow,1,COLUMN()),4,LEN(INDEX('Structured 2025'!headerRow,1,COLUMN()))),ovrHeaderRow25,0))</f>
        <v>0.3</v>
      </c>
      <c r="BI25" s="12">
        <f>INDEX(ovrTable25,MATCH(INDEX('Structured 2025'!teamCol,ROW()),ovrTeamCol25,0),MATCH(MID(INDEX('Structured 2025'!headerRow,1,COLUMN()),4,LEN(INDEX('Structured 2025'!headerRow,1,COLUMN()))),ovrHeaderRow25,0))</f>
        <v>12.11</v>
      </c>
      <c r="BJ25" s="12">
        <f>INDEX(ovrTable25,MATCH(INDEX('Structured 2025'!teamCol,ROW()),ovrTeamCol25,0),MATCH(MID(INDEX('Structured 2025'!headerRow,1,COLUMN()),4,LEN(INDEX('Structured 2025'!headerRow,1,COLUMN()))),ovrHeaderRow25,0))</f>
        <v>11.9</v>
      </c>
      <c r="BK25" s="12">
        <f>INDEX(ovrTable25,MATCH(INDEX('Structured 2025'!teamCol,ROW()),ovrTeamCol25,0),MATCH(MID(INDEX('Structured 2025'!headerRow,1,COLUMN()),4,LEN(INDEX('Structured 2025'!headerRow,1,COLUMN()))),ovrHeaderRow25,0))</f>
        <v>72.7</v>
      </c>
      <c r="BL25" s="12">
        <f>INDEX(ovrTable25,MATCH(INDEX('Structured 2025'!teamCol,ROW()),ovrTeamCol25,0),MATCH(MID(INDEX('Structured 2025'!headerRow,1,COLUMN()),4,LEN(INDEX('Structured 2025'!headerRow,1,COLUMN()))),ovrHeaderRow25,0))</f>
        <v>22.45</v>
      </c>
      <c r="BM25" s="12">
        <f>INDEX(ovrTable25,MATCH(INDEX('Structured 2025'!teamCol,ROW()),ovrTeamCol25,0),MATCH(MID(INDEX('Structured 2025'!headerRow,1,COLUMN()),4,LEN(INDEX('Structured 2025'!headerRow,1,COLUMN()))),ovrHeaderRow25,0))</f>
        <v>65.973741794310712</v>
      </c>
      <c r="BN25" s="12">
        <f>INDEX(ovrTable25,MATCH(INDEX(oppCol,ROW()),ovrTeamCol25,0),MATCH(MID(INDEX('Structured 2025'!headerRow,1,COLUMN()),4,LEN(INDEX('Structured 2025'!headerRow,1,COLUMN()))),ovrHeaderRow25,0))</f>
        <v>28</v>
      </c>
      <c r="BO25" s="12">
        <f>INDEX(ovrTable25,MATCH(INDEX(oppCol,ROW()),ovrTeamCol25,0),MATCH(MID(INDEX('Structured 2025'!headerRow,1,COLUMN()),4,LEN(INDEX('Structured 2025'!headerRow,1,COLUMN()))),ovrHeaderRow25,0))</f>
        <v>6.1</v>
      </c>
      <c r="BP25" s="12">
        <f>INDEX(ovrTable25,MATCH(INDEX(oppCol,ROW()),ovrTeamCol25,0),MATCH(MID(INDEX('Structured 2025'!headerRow,1,COLUMN()),4,LEN(INDEX('Structured 2025'!headerRow,1,COLUMN()))),ovrHeaderRow25,0))</f>
        <v>31.1</v>
      </c>
      <c r="BQ25" s="12">
        <f>INDEX(ovrTable25,MATCH(INDEX(oppCol,ROW()),ovrTeamCol25,0),MATCH(MID(INDEX('Structured 2025'!headerRow,1,COLUMN()),4,LEN(INDEX('Structured 2025'!headerRow,1,COLUMN()))),ovrHeaderRow25,0))</f>
        <v>19.5</v>
      </c>
      <c r="BR25" s="12">
        <f>INDEX(ovrTable25,MATCH(INDEX(oppCol,ROW()),ovrTeamCol25,0),MATCH(MID(INDEX('Structured 2025'!headerRow,1,COLUMN()),4,LEN(INDEX('Structured 2025'!headerRow,1,COLUMN()))),ovrHeaderRow25,0))</f>
        <v>1.46</v>
      </c>
      <c r="BS25" s="12">
        <f>INDEX(ovrTable25,MATCH(INDEX(oppCol,ROW()),ovrTeamCol25,0),MATCH(MID(INDEX('Structured 2025'!headerRow,1,COLUMN()),4,LEN(INDEX('Structured 2025'!headerRow,1,COLUMN()))),ovrHeaderRow25,0))</f>
        <v>16.600000000000001</v>
      </c>
      <c r="BT25" s="12">
        <f>INDEX(ovrTable25,MATCH(INDEX(oppCol,ROW()),ovrTeamCol25,0),MATCH(MID(INDEX('Structured 2025'!headerRow,1,COLUMN()),4,LEN(INDEX('Structured 2025'!headerRow,1,COLUMN()))),ovrHeaderRow25,0))</f>
        <v>33.619999999999997</v>
      </c>
      <c r="BU25" s="12">
        <f>INDEX(ovrTable25,MATCH(INDEX(oppCol,ROW()),ovrTeamCol25,0),MATCH(MID(INDEX('Structured 2025'!headerRow,1,COLUMN()),4,LEN(INDEX('Structured 2025'!headerRow,1,COLUMN()))),ovrHeaderRow25,0))</f>
        <v>4.5999999999999996</v>
      </c>
      <c r="BV25" s="12">
        <f>INDEX(ovrTable25,MATCH(INDEX(oppCol,ROW()),ovrTeamCol25,0),MATCH(MID(INDEX('Structured 2025'!headerRow,1,COLUMN()),4,LEN(INDEX('Structured 2025'!headerRow,1,COLUMN()))),ovrHeaderRow25,0))</f>
        <v>40.5</v>
      </c>
      <c r="BW25" s="12">
        <f>INDEX(ovrTable25,MATCH(INDEX(oppCol,ROW()),ovrTeamCol25,0),MATCH(MID(INDEX('Structured 2025'!headerRow,1,COLUMN()),4,LEN(INDEX('Structured 2025'!headerRow,1,COLUMN()))),ovrHeaderRow25,0))</f>
        <v>27.89</v>
      </c>
      <c r="BX25" s="12">
        <f>INDEX(ovrTable25,MATCH(INDEX(oppCol,ROW()),ovrTeamCol25,0),MATCH(MID(INDEX('Structured 2025'!headerRow,1,COLUMN()),4,LEN(INDEX('Structured 2025'!headerRow,1,COLUMN()))),ovrHeaderRow25,0))</f>
        <v>0.50900000000000001</v>
      </c>
      <c r="BY25" s="12">
        <f>INDEX(ovrTable25,MATCH(INDEX(oppCol,ROW()),ovrTeamCol25,0),MATCH(MID(INDEX('Structured 2025'!headerRow,1,COLUMN()),4,LEN(INDEX('Structured 2025'!headerRow,1,COLUMN()))),ovrHeaderRow25,0))</f>
        <v>15.59</v>
      </c>
      <c r="BZ25" s="12">
        <f>INDEX(ovrTable25,MATCH(INDEX(oppCol,ROW()),ovrTeamCol25,0),MATCH(MID(INDEX('Structured 2025'!headerRow,1,COLUMN()),4,LEN(INDEX('Structured 2025'!headerRow,1,COLUMN()))),ovrHeaderRow25,0))</f>
        <v>45.8</v>
      </c>
      <c r="CA25" s="12">
        <f>INDEX(ovrTable25,MATCH(INDEX(oppCol,ROW()),ovrTeamCol25,0),MATCH(MID(INDEX('Structured 2025'!headerRow,1,COLUMN()),4,LEN(INDEX('Structured 2025'!headerRow,1,COLUMN()))),ovrHeaderRow25,0))</f>
        <v>16.7</v>
      </c>
      <c r="CB25" s="12">
        <f>INDEX(ovrTable25,MATCH(INDEX(oppCol,ROW()),ovrTeamCol25,0),MATCH(MID(INDEX('Structured 2025'!headerRow,1,COLUMN()),4,LEN(INDEX('Structured 2025'!headerRow,1,COLUMN()))),ovrHeaderRow25,0))</f>
        <v>77.900000000000006</v>
      </c>
      <c r="CC25" s="12">
        <f>INDEX(ovrTable25,MATCH(INDEX(oppCol,ROW()),ovrTeamCol25,0),MATCH(MID(INDEX('Structured 2025'!headerRow,1,COLUMN()),4,LEN(INDEX('Structured 2025'!headerRow,1,COLUMN()))),ovrHeaderRow25,0))</f>
        <v>22.4</v>
      </c>
      <c r="CD25" s="12">
        <f>INDEX(ovrTable25,MATCH(INDEX(oppCol,ROW()),ovrTeamCol25,0),MATCH(MID(INDEX('Structured 2025'!headerRow,1,COLUMN()),4,LEN(INDEX('Structured 2025'!headerRow,1,COLUMN()))),ovrHeaderRow25,0))</f>
        <v>17.399999999999999</v>
      </c>
      <c r="CE25" s="12">
        <f>INDEX(ovrTable25,MATCH(INDEX(oppCol,ROW()),ovrTeamCol25,0),MATCH(MID(INDEX('Structured 2025'!headerRow,1,COLUMN()),4,LEN(INDEX('Structured 2025'!headerRow,1,COLUMN()))),ovrHeaderRow25,0))</f>
        <v>67.099999999999994</v>
      </c>
      <c r="CF25" s="12">
        <f>INDEX(ovrTable25,MATCH(INDEX(oppCol,ROW()),ovrTeamCol25,0),MATCH(MID(INDEX('Structured 2025'!headerRow,1,COLUMN()),4,LEN(INDEX('Structured 2025'!headerRow,1,COLUMN()))),ovrHeaderRow25,0))</f>
        <v>11.89</v>
      </c>
      <c r="CG25" s="12">
        <f>INDEX(ovrTable25,MATCH(INDEX(oppCol,ROW()),ovrTeamCol25,0),MATCH(MID(INDEX('Structured 2025'!headerRow,1,COLUMN()),4,LEN(INDEX('Structured 2025'!headerRow,1,COLUMN()))),ovrHeaderRow25,0))</f>
        <v>77.7</v>
      </c>
      <c r="CH25" s="12">
        <f>INDEX(ovrTable25,MATCH(INDEX(oppCol,ROW()),ovrTeamCol25,0),MATCH(MID(INDEX('Structured 2025'!headerRow,1,COLUMN()),4,LEN(INDEX('Structured 2025'!headerRow,1,COLUMN()))),ovrHeaderRow25,0))</f>
        <v>8.9</v>
      </c>
      <c r="CI25" s="12">
        <f>INDEX(ovrTable25,MATCH(INDEX(oppCol,ROW()),ovrTeamCol25,0),MATCH(MID(INDEX('Structured 2025'!headerRow,1,COLUMN()),4,LEN(INDEX('Structured 2025'!headerRow,1,COLUMN()))),ovrHeaderRow25,0))</f>
        <v>39.78</v>
      </c>
      <c r="CJ25" s="12">
        <f>INDEX(ovrTable25,MATCH(INDEX(oppCol,ROW()),ovrTeamCol25,0),MATCH(MID(INDEX('Structured 2025'!headerRow,1,COLUMN()),4,LEN(INDEX('Structured 2025'!headerRow,1,COLUMN()))),ovrHeaderRow25,0))</f>
        <v>10.5</v>
      </c>
      <c r="CK25" s="12">
        <f>INDEX(ovrTable25,MATCH(INDEX(oppCol,ROW()),ovrTeamCol25,0),MATCH(MID(INDEX('Structured 2025'!headerRow,1,COLUMN()),4,LEN(INDEX('Structured 2025'!headerRow,1,COLUMN()))),ovrHeaderRow25,0))</f>
        <v>5.3</v>
      </c>
      <c r="CL25" s="12">
        <f>INDEX(ovrTable25,MATCH(INDEX(oppCol,ROW()),ovrTeamCol25,0),MATCH(MID(INDEX('Structured 2025'!headerRow,1,COLUMN()),4,LEN(INDEX('Structured 2025'!headerRow,1,COLUMN()))),ovrHeaderRow25,0))</f>
        <v>-0.3</v>
      </c>
      <c r="CM25" s="12">
        <f>INDEX(ovrTable25,MATCH(INDEX(oppCol,ROW()),ovrTeamCol25,0),MATCH(MID(INDEX('Structured 2025'!headerRow,1,COLUMN()),4,LEN(INDEX('Structured 2025'!headerRow,1,COLUMN()))),ovrHeaderRow25,0))</f>
        <v>11.03</v>
      </c>
      <c r="CN25" s="12">
        <f>INDEX(ovrTable25,MATCH(INDEX(oppCol,ROW()),ovrTeamCol25,0),MATCH(MID(INDEX('Structured 2025'!headerRow,1,COLUMN()),4,LEN(INDEX('Structured 2025'!headerRow,1,COLUMN()))),ovrHeaderRow25,0))</f>
        <v>11.4</v>
      </c>
      <c r="CO25" s="12">
        <f>INDEX(ovrTable25,MATCH(INDEX(oppCol,ROW()),ovrTeamCol25,0),MATCH(MID(INDEX('Structured 2025'!headerRow,1,COLUMN()),4,LEN(INDEX('Structured 2025'!headerRow,1,COLUMN()))),ovrHeaderRow25,0))</f>
        <v>67.5</v>
      </c>
      <c r="CP25" s="12">
        <f>INDEX(ovrTable25,MATCH(INDEX(oppCol,ROW()),ovrTeamCol25,0),MATCH(MID(INDEX('Structured 2025'!headerRow,1,COLUMN()),4,LEN(INDEX('Structured 2025'!headerRow,1,COLUMN()))),ovrHeaderRow25,0))</f>
        <v>21.000000000000004</v>
      </c>
      <c r="CQ25" s="12">
        <f>INDEX(ovrTable25,MATCH(INDEX(oppCol,ROW()),ovrTeamCol25,0),MATCH(MID(INDEX('Structured 2025'!headerRow,1,COLUMN()),4,LEN(INDEX('Structured 2025'!headerRow,1,COLUMN()))),ovrHeaderRow25,0))</f>
        <v>59.170305676855897</v>
      </c>
    </row>
    <row r="26" spans="1:95" x14ac:dyDescent="0.3">
      <c r="A26" s="6" t="s">
        <v>48</v>
      </c>
      <c r="B26" s="3">
        <v>1</v>
      </c>
      <c r="C26" s="13" t="str">
        <f>A27</f>
        <v>MSM</v>
      </c>
      <c r="D26" s="14">
        <f>D24+1</f>
        <v>13</v>
      </c>
      <c r="E26" s="23">
        <v>0.18518518518518517</v>
      </c>
      <c r="F26" s="24">
        <v>50</v>
      </c>
      <c r="G26" s="24">
        <v>14</v>
      </c>
      <c r="H26" s="23">
        <v>37.837837837837839</v>
      </c>
      <c r="I26" s="24">
        <v>37</v>
      </c>
      <c r="J26" s="25">
        <v>11</v>
      </c>
      <c r="K26" s="24">
        <v>9</v>
      </c>
      <c r="L26" s="24">
        <v>12</v>
      </c>
      <c r="M26" s="24">
        <v>7</v>
      </c>
      <c r="N26" s="24">
        <v>37</v>
      </c>
      <c r="O26" s="24">
        <v>22</v>
      </c>
      <c r="P26" s="24">
        <v>8</v>
      </c>
      <c r="Q26" s="24">
        <v>5</v>
      </c>
      <c r="R26" s="24">
        <v>2</v>
      </c>
      <c r="S26" s="24">
        <v>17</v>
      </c>
      <c r="T26" s="24">
        <v>11</v>
      </c>
      <c r="U26" s="24">
        <v>41</v>
      </c>
      <c r="V26" s="24">
        <v>0.30158730158730157</v>
      </c>
      <c r="W26" s="26">
        <v>0.6</v>
      </c>
      <c r="X26" s="23">
        <v>75</v>
      </c>
      <c r="Y26" s="24">
        <v>49</v>
      </c>
      <c r="Z26" s="24">
        <v>93</v>
      </c>
      <c r="AA26" s="24">
        <v>6</v>
      </c>
      <c r="AB26" s="24">
        <v>44</v>
      </c>
      <c r="AC26" s="24">
        <v>44</v>
      </c>
      <c r="AD26" s="24">
        <v>9</v>
      </c>
      <c r="AE26" s="24">
        <v>11</v>
      </c>
      <c r="AF26" s="34">
        <f t="shared" si="0"/>
        <v>21</v>
      </c>
      <c r="AG26" s="34">
        <f t="shared" si="1"/>
        <v>33</v>
      </c>
      <c r="AH26" s="46">
        <f t="shared" si="2"/>
        <v>70.7</v>
      </c>
      <c r="AI26" s="51">
        <f t="shared" ref="AI26" si="25">AVERAGE(AH26,AH27)</f>
        <v>70.25</v>
      </c>
      <c r="AJ26" s="12">
        <f>INDEX(ovrTable25,MATCH(INDEX('Structured 2025'!teamCol,ROW()),ovrTeamCol25,0),MATCH(MID(INDEX('Structured 2025'!headerRow,1,COLUMN()),4,LEN(INDEX('Structured 2025'!headerRow,1,COLUMN()))),ovrHeaderRow25,0))</f>
        <v>31.2</v>
      </c>
      <c r="AK26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26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26" s="12">
        <f>INDEX(ovrTable25,MATCH(INDEX('Structured 2025'!teamCol,ROW()),ovrTeamCol25,0),MATCH(MID(INDEX('Structured 2025'!headerRow,1,COLUMN()),4,LEN(INDEX('Structured 2025'!headerRow,1,COLUMN()))),ovrHeaderRow25,0))</f>
        <v>21.6</v>
      </c>
      <c r="AN26" s="12">
        <f>INDEX(ovrTable25,MATCH(INDEX('Structured 2025'!teamCol,ROW()),ovrTeamCol25,0),MATCH(MID(INDEX('Structured 2025'!headerRow,1,COLUMN()),4,LEN(INDEX('Structured 2025'!headerRow,1,COLUMN()))),ovrHeaderRow25,0))</f>
        <v>1.53</v>
      </c>
      <c r="AO26" s="12">
        <f>INDEX(ovrTable25,MATCH(INDEX('Structured 2025'!teamCol,ROW()),ovrTeamCol25,0),MATCH(MID(INDEX('Structured 2025'!headerRow,1,COLUMN()),4,LEN(INDEX('Structured 2025'!headerRow,1,COLUMN()))),ovrHeaderRow25,0))</f>
        <v>15.9</v>
      </c>
      <c r="AP26" s="12">
        <f>INDEX(ovrTable25,MATCH(INDEX('Structured 2025'!teamCol,ROW()),ovrTeamCol25,0),MATCH(MID(INDEX('Structured 2025'!headerRow,1,COLUMN()),4,LEN(INDEX('Structured 2025'!headerRow,1,COLUMN()))),ovrHeaderRow25,0))</f>
        <v>17.03</v>
      </c>
      <c r="AQ26" s="12">
        <f>INDEX(ovrTable25,MATCH(INDEX('Structured 2025'!teamCol,ROW()),ovrTeamCol25,0),MATCH(MID(INDEX('Structured 2025'!headerRow,1,COLUMN()),4,LEN(INDEX('Structured 2025'!headerRow,1,COLUMN()))),ovrHeaderRow25,0))</f>
        <v>1.6</v>
      </c>
      <c r="AR26" s="12">
        <f>INDEX(ovrTable25,MATCH(INDEX('Structured 2025'!teamCol,ROW()),ovrTeamCol25,0),MATCH(MID(INDEX('Structured 2025'!headerRow,1,COLUMN()),4,LEN(INDEX('Structured 2025'!headerRow,1,COLUMN()))),ovrHeaderRow25,0))</f>
        <v>45.2</v>
      </c>
      <c r="AS26" s="12">
        <f>INDEX(ovrTable25,MATCH(INDEX('Structured 2025'!teamCol,ROW()),ovrTeamCol25,0),MATCH(MID(INDEX('Structured 2025'!headerRow,1,COLUMN()),4,LEN(INDEX('Structured 2025'!headerRow,1,COLUMN()))),ovrHeaderRow25,0))</f>
        <v>23.08</v>
      </c>
      <c r="AT26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26" s="12">
        <f>INDEX(ovrTable25,MATCH(INDEX('Structured 2025'!teamCol,ROW()),ovrTeamCol25,0),MATCH(MID(INDEX('Structured 2025'!headerRow,1,COLUMN()),4,LEN(INDEX('Structured 2025'!headerRow,1,COLUMN()))),ovrHeaderRow25,0))</f>
        <v>7.83</v>
      </c>
      <c r="AV26" s="12">
        <f>INDEX(ovrTable25,MATCH(INDEX('Structured 2025'!teamCol,ROW()),ovrTeamCol25,0),MATCH(MID(INDEX('Structured 2025'!headerRow,1,COLUMN()),4,LEN(INDEX('Structured 2025'!headerRow,1,COLUMN()))),ovrHeaderRow25,0))</f>
        <v>48.6</v>
      </c>
      <c r="AW26" s="12">
        <f>INDEX(ovrTable25,MATCH(INDEX('Structured 2025'!teamCol,ROW()),ovrTeamCol25,0),MATCH(MID(INDEX('Structured 2025'!headerRow,1,COLUMN()),4,LEN(INDEX('Structured 2025'!headerRow,1,COLUMN()))),ovrHeaderRow25,0))</f>
        <v>15.8</v>
      </c>
      <c r="AX26" s="12">
        <f>INDEX(ovrTable25,MATCH(INDEX('Structured 2025'!teamCol,ROW()),ovrTeamCol25,0),MATCH(MID(INDEX('Structured 2025'!headerRow,1,COLUMN()),4,LEN(INDEX('Structured 2025'!headerRow,1,COLUMN()))),ovrHeaderRow25,0))</f>
        <v>73.2</v>
      </c>
      <c r="AY26" s="12">
        <f>INDEX(ovrTable25,MATCH(INDEX('Structured 2025'!teamCol,ROW()),ovrTeamCol25,0),MATCH(MID(INDEX('Structured 2025'!headerRow,1,COLUMN()),4,LEN(INDEX('Structured 2025'!headerRow,1,COLUMN()))),ovrHeaderRow25,0))</f>
        <v>19.5</v>
      </c>
      <c r="AZ26" s="12">
        <f>INDEX(ovrTable25,MATCH(INDEX('Structured 2025'!teamCol,ROW()),ovrTeamCol25,0),MATCH(MID(INDEX('Structured 2025'!headerRow,1,COLUMN()),4,LEN(INDEX('Structured 2025'!headerRow,1,COLUMN()))),ovrHeaderRow25,0))</f>
        <v>14.3</v>
      </c>
      <c r="BA26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26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26" s="12">
        <f>INDEX(ovrTable25,MATCH(INDEX('Structured 2025'!teamCol,ROW()),ovrTeamCol25,0),MATCH(MID(INDEX('Structured 2025'!headerRow,1,COLUMN()),4,LEN(INDEX('Structured 2025'!headerRow,1,COLUMN()))),ovrHeaderRow25,0))</f>
        <v>77.3</v>
      </c>
      <c r="BD26" s="12">
        <f>INDEX(ovrTable25,MATCH(INDEX('Structured 2025'!teamCol,ROW()),ovrTeamCol25,0),MATCH(MID(INDEX('Structured 2025'!headerRow,1,COLUMN()),4,LEN(INDEX('Structured 2025'!headerRow,1,COLUMN()))),ovrHeaderRow25,0))</f>
        <v>2.1</v>
      </c>
      <c r="BE26" s="12">
        <f>INDEX(ovrTable25,MATCH(INDEX('Structured 2025'!teamCol,ROW()),ovrTeamCol25,0),MATCH(MID(INDEX('Structured 2025'!headerRow,1,COLUMN()),4,LEN(INDEX('Structured 2025'!headerRow,1,COLUMN()))),ovrHeaderRow25,0))</f>
        <v>32.86</v>
      </c>
      <c r="BF26" s="12">
        <f>INDEX(ovrTable25,MATCH(INDEX('Structured 2025'!teamCol,ROW()),ovrTeamCol25,0),MATCH(MID(INDEX('Structured 2025'!headerRow,1,COLUMN()),4,LEN(INDEX('Structured 2025'!headerRow,1,COLUMN()))),ovrHeaderRow25,0))</f>
        <v>6.9</v>
      </c>
      <c r="BG26" s="12">
        <f>INDEX(ovrTable25,MATCH(INDEX('Structured 2025'!teamCol,ROW()),ovrTeamCol25,0),MATCH(MID(INDEX('Structured 2025'!headerRow,1,COLUMN()),4,LEN(INDEX('Structured 2025'!headerRow,1,COLUMN()))),ovrHeaderRow25,0))</f>
        <v>6.4</v>
      </c>
      <c r="BH26" s="12">
        <f>INDEX(ovrTable25,MATCH(INDEX('Structured 2025'!teamCol,ROW()),ovrTeamCol25,0),MATCH(MID(INDEX('Structured 2025'!headerRow,1,COLUMN()),4,LEN(INDEX('Structured 2025'!headerRow,1,COLUMN()))),ovrHeaderRow25,0))</f>
        <v>1.2</v>
      </c>
      <c r="BI26" s="12">
        <f>INDEX(ovrTable25,MATCH(INDEX('Structured 2025'!teamCol,ROW()),ovrTeamCol25,0),MATCH(MID(INDEX('Structured 2025'!headerRow,1,COLUMN()),4,LEN(INDEX('Structured 2025'!headerRow,1,COLUMN()))),ovrHeaderRow25,0))</f>
        <v>11.61</v>
      </c>
      <c r="BJ26" s="12">
        <f>INDEX(ovrTable25,MATCH(INDEX('Structured 2025'!teamCol,ROW()),ovrTeamCol25,0),MATCH(MID(INDEX('Structured 2025'!headerRow,1,COLUMN()),4,LEN(INDEX('Structured 2025'!headerRow,1,COLUMN()))),ovrHeaderRow25,0))</f>
        <v>10.4</v>
      </c>
      <c r="BK26" s="12">
        <f>INDEX(ovrTable25,MATCH(INDEX('Structured 2025'!teamCol,ROW()),ovrTeamCol25,0),MATCH(MID(INDEX('Structured 2025'!headerRow,1,COLUMN()),4,LEN(INDEX('Structured 2025'!headerRow,1,COLUMN()))),ovrHeaderRow25,0))</f>
        <v>66</v>
      </c>
      <c r="BL26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26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26" s="12">
        <f>INDEX(ovrTable25,MATCH(INDEX(oppCol,ROW()),ovrTeamCol25,0),MATCH(MID(INDEX('Structured 2025'!headerRow,1,COLUMN()),4,LEN(INDEX('Structured 2025'!headerRow,1,COLUMN()))),ovrHeaderRow25,0))</f>
        <v>31.6</v>
      </c>
      <c r="BO26" s="12">
        <f>INDEX(ovrTable25,MATCH(INDEX(oppCol,ROW()),ovrTeamCol25,0),MATCH(MID(INDEX('Structured 2025'!headerRow,1,COLUMN()),4,LEN(INDEX('Structured 2025'!headerRow,1,COLUMN()))),ovrHeaderRow25,0))</f>
        <v>7.9</v>
      </c>
      <c r="BP26" s="12">
        <f>INDEX(ovrTable25,MATCH(INDEX(oppCol,ROW()),ovrTeamCol25,0),MATCH(MID(INDEX('Structured 2025'!headerRow,1,COLUMN()),4,LEN(INDEX('Structured 2025'!headerRow,1,COLUMN()))),ovrHeaderRow25,0))</f>
        <v>34.5</v>
      </c>
      <c r="BQ26" s="12">
        <f>INDEX(ovrTable25,MATCH(INDEX(oppCol,ROW()),ovrTeamCol25,0),MATCH(MID(INDEX('Structured 2025'!headerRow,1,COLUMN()),4,LEN(INDEX('Structured 2025'!headerRow,1,COLUMN()))),ovrHeaderRow25,0))</f>
        <v>23</v>
      </c>
      <c r="BR26" s="12">
        <f>INDEX(ovrTable25,MATCH(INDEX(oppCol,ROW()),ovrTeamCol25,0),MATCH(MID(INDEX('Structured 2025'!headerRow,1,COLUMN()),4,LEN(INDEX('Structured 2025'!headerRow,1,COLUMN()))),ovrHeaderRow25,0))</f>
        <v>1</v>
      </c>
      <c r="BS26" s="12">
        <f>INDEX(ovrTable25,MATCH(INDEX(oppCol,ROW()),ovrTeamCol25,0),MATCH(MID(INDEX('Structured 2025'!headerRow,1,COLUMN()),4,LEN(INDEX('Structured 2025'!headerRow,1,COLUMN()))),ovrHeaderRow25,0))</f>
        <v>14.9</v>
      </c>
      <c r="BT26" s="12">
        <f>INDEX(ovrTable25,MATCH(INDEX(oppCol,ROW()),ovrTeamCol25,0),MATCH(MID(INDEX('Structured 2025'!headerRow,1,COLUMN()),4,LEN(INDEX('Structured 2025'!headerRow,1,COLUMN()))),ovrHeaderRow25,0))</f>
        <v>19.14</v>
      </c>
      <c r="BU26" s="12">
        <f>INDEX(ovrTable25,MATCH(INDEX(oppCol,ROW()),ovrTeamCol25,0),MATCH(MID(INDEX('Structured 2025'!headerRow,1,COLUMN()),4,LEN(INDEX('Structured 2025'!headerRow,1,COLUMN()))),ovrHeaderRow25,0))</f>
        <v>2.8</v>
      </c>
      <c r="BV26" s="12">
        <f>INDEX(ovrTable25,MATCH(INDEX(oppCol,ROW()),ovrTeamCol25,0),MATCH(MID(INDEX('Structured 2025'!headerRow,1,COLUMN()),4,LEN(INDEX('Structured 2025'!headerRow,1,COLUMN()))),ovrHeaderRow25,0))</f>
        <v>41.1</v>
      </c>
      <c r="BW26" s="12">
        <f>INDEX(ovrTable25,MATCH(INDEX(oppCol,ROW()),ovrTeamCol25,0),MATCH(MID(INDEX('Structured 2025'!headerRow,1,COLUMN()),4,LEN(INDEX('Structured 2025'!headerRow,1,COLUMN()))),ovrHeaderRow25,0))</f>
        <v>27.33</v>
      </c>
      <c r="BX26" s="12">
        <f>INDEX(ovrTable25,MATCH(INDEX(oppCol,ROW()),ovrTeamCol25,0),MATCH(MID(INDEX('Structured 2025'!headerRow,1,COLUMN()),4,LEN(INDEX('Structured 2025'!headerRow,1,COLUMN()))),ovrHeaderRow25,0))</f>
        <v>0.51200000000000001</v>
      </c>
      <c r="BY26" s="12">
        <f>INDEX(ovrTable25,MATCH(INDEX(oppCol,ROW()),ovrTeamCol25,0),MATCH(MID(INDEX('Structured 2025'!headerRow,1,COLUMN()),4,LEN(INDEX('Structured 2025'!headerRow,1,COLUMN()))),ovrHeaderRow25,0))</f>
        <v>7.97</v>
      </c>
      <c r="BZ26" s="12">
        <f>INDEX(ovrTable25,MATCH(INDEX(oppCol,ROW()),ovrTeamCol25,0),MATCH(MID(INDEX('Structured 2025'!headerRow,1,COLUMN()),4,LEN(INDEX('Structured 2025'!headerRow,1,COLUMN()))),ovrHeaderRow25,0))</f>
        <v>44.1</v>
      </c>
      <c r="CA26" s="12">
        <f>INDEX(ovrTable25,MATCH(INDEX(oppCol,ROW()),ovrTeamCol25,0),MATCH(MID(INDEX('Structured 2025'!headerRow,1,COLUMN()),4,LEN(INDEX('Structured 2025'!headerRow,1,COLUMN()))),ovrHeaderRow25,0))</f>
        <v>15.6</v>
      </c>
      <c r="CB26" s="12">
        <f>INDEX(ovrTable25,MATCH(INDEX(oppCol,ROW()),ovrTeamCol25,0),MATCH(MID(INDEX('Structured 2025'!headerRow,1,COLUMN()),4,LEN(INDEX('Structured 2025'!headerRow,1,COLUMN()))),ovrHeaderRow25,0))</f>
        <v>73.599999999999994</v>
      </c>
      <c r="CC26" s="12">
        <f>INDEX(ovrTable25,MATCH(INDEX(oppCol,ROW()),ovrTeamCol25,0),MATCH(MID(INDEX('Structured 2025'!headerRow,1,COLUMN()),4,LEN(INDEX('Structured 2025'!headerRow,1,COLUMN()))),ovrHeaderRow25,0))</f>
        <v>17.399999999999999</v>
      </c>
      <c r="CD26" s="12">
        <f>INDEX(ovrTable25,MATCH(INDEX(oppCol,ROW()),ovrTeamCol25,0),MATCH(MID(INDEX('Structured 2025'!headerRow,1,COLUMN()),4,LEN(INDEX('Structured 2025'!headerRow,1,COLUMN()))),ovrHeaderRow25,0))</f>
        <v>12.8</v>
      </c>
      <c r="CE26" s="12">
        <f>INDEX(ovrTable25,MATCH(INDEX(oppCol,ROW()),ovrTeamCol25,0),MATCH(MID(INDEX('Structured 2025'!headerRow,1,COLUMN()),4,LEN(INDEX('Structured 2025'!headerRow,1,COLUMN()))),ovrHeaderRow25,0))</f>
        <v>70.5</v>
      </c>
      <c r="CF26" s="12">
        <f>INDEX(ovrTable25,MATCH(INDEX(oppCol,ROW()),ovrTeamCol25,0),MATCH(MID(INDEX('Structured 2025'!headerRow,1,COLUMN()),4,LEN(INDEX('Structured 2025'!headerRow,1,COLUMN()))),ovrHeaderRow25,0))</f>
        <v>10.17</v>
      </c>
      <c r="CG26" s="12">
        <f>INDEX(ovrTable25,MATCH(INDEX(oppCol,ROW()),ovrTeamCol25,0),MATCH(MID(INDEX('Structured 2025'!headerRow,1,COLUMN()),4,LEN(INDEX('Structured 2025'!headerRow,1,COLUMN()))),ovrHeaderRow25,0))</f>
        <v>70.099999999999994</v>
      </c>
      <c r="CH26" s="12">
        <f>INDEX(ovrTable25,MATCH(INDEX(oppCol,ROW()),ovrTeamCol25,0),MATCH(MID(INDEX('Structured 2025'!headerRow,1,COLUMN()),4,LEN(INDEX('Structured 2025'!headerRow,1,COLUMN()))),ovrHeaderRow25,0))</f>
        <v>4.0999999999999996</v>
      </c>
      <c r="CI26" s="12">
        <f>INDEX(ovrTable25,MATCH(INDEX(oppCol,ROW()),ovrTeamCol25,0),MATCH(MID(INDEX('Structured 2025'!headerRow,1,COLUMN()),4,LEN(INDEX('Structured 2025'!headerRow,1,COLUMN()))),ovrHeaderRow25,0))</f>
        <v>37.5</v>
      </c>
      <c r="CJ26" s="12">
        <f>INDEX(ovrTable25,MATCH(INDEX(oppCol,ROW()),ovrTeamCol25,0),MATCH(MID(INDEX('Structured 2025'!headerRow,1,COLUMN()),4,LEN(INDEX('Structured 2025'!headerRow,1,COLUMN()))),ovrHeaderRow25,0))</f>
        <v>-0.4</v>
      </c>
      <c r="CK26" s="12">
        <f>INDEX(ovrTable25,MATCH(INDEX(oppCol,ROW()),ovrTeamCol25,0),MATCH(MID(INDEX('Structured 2025'!headerRow,1,COLUMN()),4,LEN(INDEX('Structured 2025'!headerRow,1,COLUMN()))),ovrHeaderRow25,0))</f>
        <v>6</v>
      </c>
      <c r="CL26" s="12">
        <f>INDEX(ovrTable25,MATCH(INDEX(oppCol,ROW()),ovrTeamCol25,0),MATCH(MID(INDEX('Structured 2025'!headerRow,1,COLUMN()),4,LEN(INDEX('Structured 2025'!headerRow,1,COLUMN()))),ovrHeaderRow25,0))</f>
        <v>-3.9</v>
      </c>
      <c r="CM26" s="12">
        <f>INDEX(ovrTable25,MATCH(INDEX(oppCol,ROW()),ovrTeamCol25,0),MATCH(MID(INDEX('Structured 2025'!headerRow,1,COLUMN()),4,LEN(INDEX('Structured 2025'!headerRow,1,COLUMN()))),ovrHeaderRow25,0))</f>
        <v>11</v>
      </c>
      <c r="CN26" s="12">
        <f>INDEX(ovrTable25,MATCH(INDEX(oppCol,ROW()),ovrTeamCol25,0),MATCH(MID(INDEX('Structured 2025'!headerRow,1,COLUMN()),4,LEN(INDEX('Structured 2025'!headerRow,1,COLUMN()))),ovrHeaderRow25,0))</f>
        <v>14.9</v>
      </c>
      <c r="CO26" s="12">
        <f>INDEX(ovrTable25,MATCH(INDEX(oppCol,ROW()),ovrTeamCol25,0),MATCH(MID(INDEX('Structured 2025'!headerRow,1,COLUMN()),4,LEN(INDEX('Structured 2025'!headerRow,1,COLUMN()))),ovrHeaderRow25,0))</f>
        <v>67.8</v>
      </c>
      <c r="CP26" s="12">
        <f>INDEX(ovrTable25,MATCH(INDEX(oppCol,ROW()),ovrTeamCol25,0),MATCH(MID(INDEX('Structured 2025'!headerRow,1,COLUMN()),4,LEN(INDEX('Structured 2025'!headerRow,1,COLUMN()))),ovrHeaderRow25,0))</f>
        <v>16.799999999999997</v>
      </c>
      <c r="CQ26" s="12">
        <f>INDEX(ovrTable25,MATCH(INDEX(oppCol,ROW()),ovrTeamCol25,0),MATCH(MID(INDEX('Structured 2025'!headerRow,1,COLUMN()),4,LEN(INDEX('Structured 2025'!headerRow,1,COLUMN()))),ovrHeaderRow25,0))</f>
        <v>56.009070294784571</v>
      </c>
    </row>
    <row r="27" spans="1:95" x14ac:dyDescent="0.3">
      <c r="A27" s="6" t="s">
        <v>513</v>
      </c>
      <c r="B27" s="3">
        <v>16</v>
      </c>
      <c r="C27" s="13" t="str">
        <f>A26</f>
        <v>DUKE</v>
      </c>
      <c r="D27" s="14">
        <f t="shared" ref="D27:D90" si="26">D25+1</f>
        <v>13</v>
      </c>
      <c r="E27" s="23">
        <v>0.3783783783783784</v>
      </c>
      <c r="F27" s="24">
        <v>30.158730158730158</v>
      </c>
      <c r="G27" s="24">
        <v>5</v>
      </c>
      <c r="H27" s="23">
        <v>18.518518518518519</v>
      </c>
      <c r="I27" s="24">
        <v>27</v>
      </c>
      <c r="J27" s="25">
        <v>0.90909090909090906</v>
      </c>
      <c r="K27" s="24">
        <v>6</v>
      </c>
      <c r="L27" s="24">
        <v>8</v>
      </c>
      <c r="M27" s="24">
        <v>8</v>
      </c>
      <c r="N27" s="24">
        <v>30</v>
      </c>
      <c r="O27" s="24">
        <v>10</v>
      </c>
      <c r="P27" s="24">
        <v>2</v>
      </c>
      <c r="Q27" s="24">
        <v>1</v>
      </c>
      <c r="R27" s="24">
        <v>11</v>
      </c>
      <c r="S27" s="24">
        <v>4</v>
      </c>
      <c r="T27" s="24">
        <v>13</v>
      </c>
      <c r="U27" s="24">
        <v>18</v>
      </c>
      <c r="V27" s="24">
        <v>0.5</v>
      </c>
      <c r="W27" s="26">
        <v>0.34126984126984128</v>
      </c>
      <c r="X27" s="23">
        <v>75</v>
      </c>
      <c r="Y27" s="24">
        <v>93</v>
      </c>
      <c r="Z27" s="24">
        <v>49</v>
      </c>
      <c r="AA27" s="24">
        <v>-6</v>
      </c>
      <c r="AB27" s="24">
        <v>38</v>
      </c>
      <c r="AC27" s="24">
        <v>-44</v>
      </c>
      <c r="AD27" s="24">
        <v>-9</v>
      </c>
      <c r="AE27" s="24">
        <v>2</v>
      </c>
      <c r="AF27" s="34">
        <f t="shared" si="0"/>
        <v>14</v>
      </c>
      <c r="AG27" s="34">
        <f t="shared" si="1"/>
        <v>36</v>
      </c>
      <c r="AH27" s="46">
        <f t="shared" si="2"/>
        <v>69.8</v>
      </c>
      <c r="AI27" s="51">
        <f t="shared" ref="AI27" si="27">AVERAGE(AH26,AH27)</f>
        <v>70.25</v>
      </c>
      <c r="AJ27" s="12">
        <f>INDEX(ovrTable25,MATCH(INDEX('Structured 2025'!teamCol,ROW()),ovrTeamCol25,0),MATCH(MID(INDEX('Structured 2025'!headerRow,1,COLUMN()),4,LEN(INDEX('Structured 2025'!headerRow,1,COLUMN()))),ovrHeaderRow25,0))</f>
        <v>31.6</v>
      </c>
      <c r="AK27" s="12">
        <f>INDEX(ovrTable25,MATCH(INDEX('Structured 2025'!teamCol,ROW()),ovrTeamCol25,0),MATCH(MID(INDEX('Structured 2025'!headerRow,1,COLUMN()),4,LEN(INDEX('Structured 2025'!headerRow,1,COLUMN()))),ovrHeaderRow25,0))</f>
        <v>7.9</v>
      </c>
      <c r="AL27" s="12">
        <f>INDEX(ovrTable25,MATCH(INDEX('Structured 2025'!teamCol,ROW()),ovrTeamCol25,0),MATCH(MID(INDEX('Structured 2025'!headerRow,1,COLUMN()),4,LEN(INDEX('Structured 2025'!headerRow,1,COLUMN()))),ovrHeaderRow25,0))</f>
        <v>34.5</v>
      </c>
      <c r="AM27" s="12">
        <f>INDEX(ovrTable25,MATCH(INDEX('Structured 2025'!teamCol,ROW()),ovrTeamCol25,0),MATCH(MID(INDEX('Structured 2025'!headerRow,1,COLUMN()),4,LEN(INDEX('Structured 2025'!headerRow,1,COLUMN()))),ovrHeaderRow25,0))</f>
        <v>23</v>
      </c>
      <c r="AN27" s="12">
        <f>INDEX(ovrTable25,MATCH(INDEX('Structured 2025'!teamCol,ROW()),ovrTeamCol25,0),MATCH(MID(INDEX('Structured 2025'!headerRow,1,COLUMN()),4,LEN(INDEX('Structured 2025'!headerRow,1,COLUMN()))),ovrHeaderRow25,0))</f>
        <v>1</v>
      </c>
      <c r="AO27" s="12">
        <f>INDEX(ovrTable25,MATCH(INDEX('Structured 2025'!teamCol,ROW()),ovrTeamCol25,0),MATCH(MID(INDEX('Structured 2025'!headerRow,1,COLUMN()),4,LEN(INDEX('Structured 2025'!headerRow,1,COLUMN()))),ovrHeaderRow25,0))</f>
        <v>14.9</v>
      </c>
      <c r="AP27" s="12">
        <f>INDEX(ovrTable25,MATCH(INDEX('Structured 2025'!teamCol,ROW()),ovrTeamCol25,0),MATCH(MID(INDEX('Structured 2025'!headerRow,1,COLUMN()),4,LEN(INDEX('Structured 2025'!headerRow,1,COLUMN()))),ovrHeaderRow25,0))</f>
        <v>19.14</v>
      </c>
      <c r="AQ27" s="12">
        <f>INDEX(ovrTable25,MATCH(INDEX('Structured 2025'!teamCol,ROW()),ovrTeamCol25,0),MATCH(MID(INDEX('Structured 2025'!headerRow,1,COLUMN()),4,LEN(INDEX('Structured 2025'!headerRow,1,COLUMN()))),ovrHeaderRow25,0))</f>
        <v>2.8</v>
      </c>
      <c r="AR27" s="12">
        <f>INDEX(ovrTable25,MATCH(INDEX('Structured 2025'!teamCol,ROW()),ovrTeamCol25,0),MATCH(MID(INDEX('Structured 2025'!headerRow,1,COLUMN()),4,LEN(INDEX('Structured 2025'!headerRow,1,COLUMN()))),ovrHeaderRow25,0))</f>
        <v>41.1</v>
      </c>
      <c r="AS27" s="12">
        <f>INDEX(ovrTable25,MATCH(INDEX('Structured 2025'!teamCol,ROW()),ovrTeamCol25,0),MATCH(MID(INDEX('Structured 2025'!headerRow,1,COLUMN()),4,LEN(INDEX('Structured 2025'!headerRow,1,COLUMN()))),ovrHeaderRow25,0))</f>
        <v>27.33</v>
      </c>
      <c r="AT27" s="12">
        <f>INDEX(ovrTable25,MATCH(INDEX('Structured 2025'!teamCol,ROW()),ovrTeamCol25,0),MATCH(MID(INDEX('Structured 2025'!headerRow,1,COLUMN()),4,LEN(INDEX('Structured 2025'!headerRow,1,COLUMN()))),ovrHeaderRow25,0))</f>
        <v>0.51200000000000001</v>
      </c>
      <c r="AU27" s="12">
        <f>INDEX(ovrTable25,MATCH(INDEX('Structured 2025'!teamCol,ROW()),ovrTeamCol25,0),MATCH(MID(INDEX('Structured 2025'!headerRow,1,COLUMN()),4,LEN(INDEX('Structured 2025'!headerRow,1,COLUMN()))),ovrHeaderRow25,0))</f>
        <v>7.97</v>
      </c>
      <c r="AV27" s="12">
        <f>INDEX(ovrTable25,MATCH(INDEX('Structured 2025'!teamCol,ROW()),ovrTeamCol25,0),MATCH(MID(INDEX('Structured 2025'!headerRow,1,COLUMN()),4,LEN(INDEX('Structured 2025'!headerRow,1,COLUMN()))),ovrHeaderRow25,0))</f>
        <v>44.1</v>
      </c>
      <c r="AW27" s="12">
        <f>INDEX(ovrTable25,MATCH(INDEX('Structured 2025'!teamCol,ROW()),ovrTeamCol25,0),MATCH(MID(INDEX('Structured 2025'!headerRow,1,COLUMN()),4,LEN(INDEX('Structured 2025'!headerRow,1,COLUMN()))),ovrHeaderRow25,0))</f>
        <v>15.6</v>
      </c>
      <c r="AX27" s="12">
        <f>INDEX(ovrTable25,MATCH(INDEX('Structured 2025'!teamCol,ROW()),ovrTeamCol25,0),MATCH(MID(INDEX('Structured 2025'!headerRow,1,COLUMN()),4,LEN(INDEX('Structured 2025'!headerRow,1,COLUMN()))),ovrHeaderRow25,0))</f>
        <v>73.599999999999994</v>
      </c>
      <c r="AY27" s="12">
        <f>INDEX(ovrTable25,MATCH(INDEX('Structured 2025'!teamCol,ROW()),ovrTeamCol25,0),MATCH(MID(INDEX('Structured 2025'!headerRow,1,COLUMN()),4,LEN(INDEX('Structured 2025'!headerRow,1,COLUMN()))),ovrHeaderRow25,0))</f>
        <v>17.399999999999999</v>
      </c>
      <c r="AZ27" s="12">
        <f>INDEX(ovrTable25,MATCH(INDEX('Structured 2025'!teamCol,ROW()),ovrTeamCol25,0),MATCH(MID(INDEX('Structured 2025'!headerRow,1,COLUMN()),4,LEN(INDEX('Structured 2025'!headerRow,1,COLUMN()))),ovrHeaderRow25,0))</f>
        <v>12.8</v>
      </c>
      <c r="BA27" s="12">
        <f>INDEX(ovrTable25,MATCH(INDEX('Structured 2025'!teamCol,ROW()),ovrTeamCol25,0),MATCH(MID(INDEX('Structured 2025'!headerRow,1,COLUMN()),4,LEN(INDEX('Structured 2025'!headerRow,1,COLUMN()))),ovrHeaderRow25,0))</f>
        <v>70.5</v>
      </c>
      <c r="BB27" s="12">
        <f>INDEX(ovrTable25,MATCH(INDEX('Structured 2025'!teamCol,ROW()),ovrTeamCol25,0),MATCH(MID(INDEX('Structured 2025'!headerRow,1,COLUMN()),4,LEN(INDEX('Structured 2025'!headerRow,1,COLUMN()))),ovrHeaderRow25,0))</f>
        <v>10.17</v>
      </c>
      <c r="BC27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D27" s="12">
        <f>INDEX(ovrTable25,MATCH(INDEX('Structured 2025'!teamCol,ROW()),ovrTeamCol25,0),MATCH(MID(INDEX('Structured 2025'!headerRow,1,COLUMN()),4,LEN(INDEX('Structured 2025'!headerRow,1,COLUMN()))),ovrHeaderRow25,0))</f>
        <v>4.0999999999999996</v>
      </c>
      <c r="BE27" s="12">
        <f>INDEX(ovrTable25,MATCH(INDEX('Structured 2025'!teamCol,ROW()),ovrTeamCol25,0),MATCH(MID(INDEX('Structured 2025'!headerRow,1,COLUMN()),4,LEN(INDEX('Structured 2025'!headerRow,1,COLUMN()))),ovrHeaderRow25,0))</f>
        <v>37.5</v>
      </c>
      <c r="BF27" s="12">
        <f>INDEX(ovrTable25,MATCH(INDEX('Structured 2025'!teamCol,ROW()),ovrTeamCol25,0),MATCH(MID(INDEX('Structured 2025'!headerRow,1,COLUMN()),4,LEN(INDEX('Structured 2025'!headerRow,1,COLUMN()))),ovrHeaderRow25,0))</f>
        <v>-0.4</v>
      </c>
      <c r="BG27" s="12">
        <f>INDEX(ovrTable25,MATCH(INDEX('Structured 2025'!teamCol,ROW()),ovrTeamCol25,0),MATCH(MID(INDEX('Structured 2025'!headerRow,1,COLUMN()),4,LEN(INDEX('Structured 2025'!headerRow,1,COLUMN()))),ovrHeaderRow25,0))</f>
        <v>6</v>
      </c>
      <c r="BH27" s="12">
        <f>INDEX(ovrTable25,MATCH(INDEX('Structured 2025'!teamCol,ROW()),ovrTeamCol25,0),MATCH(MID(INDEX('Structured 2025'!headerRow,1,COLUMN()),4,LEN(INDEX('Structured 2025'!headerRow,1,COLUMN()))),ovrHeaderRow25,0))</f>
        <v>-3.9</v>
      </c>
      <c r="BI27" s="12">
        <f>INDEX(ovrTable25,MATCH(INDEX('Structured 2025'!teamCol,ROW()),ovrTeamCol25,0),MATCH(MID(INDEX('Structured 2025'!headerRow,1,COLUMN()),4,LEN(INDEX('Structured 2025'!headerRow,1,COLUMN()))),ovrHeaderRow25,0))</f>
        <v>11</v>
      </c>
      <c r="BJ27" s="12">
        <f>INDEX(ovrTable25,MATCH(INDEX('Structured 2025'!teamCol,ROW()),ovrTeamCol25,0),MATCH(MID(INDEX('Structured 2025'!headerRow,1,COLUMN()),4,LEN(INDEX('Structured 2025'!headerRow,1,COLUMN()))),ovrHeaderRow25,0))</f>
        <v>14.9</v>
      </c>
      <c r="BK27" s="12">
        <f>INDEX(ovrTable25,MATCH(INDEX('Structured 2025'!teamCol,ROW()),ovrTeamCol25,0),MATCH(MID(INDEX('Structured 2025'!headerRow,1,COLUMN()),4,LEN(INDEX('Structured 2025'!headerRow,1,COLUMN()))),ovrHeaderRow25,0))</f>
        <v>67.8</v>
      </c>
      <c r="BL27" s="12">
        <f>INDEX(ovrTable25,MATCH(INDEX('Structured 2025'!teamCol,ROW()),ovrTeamCol25,0),MATCH(MID(INDEX('Structured 2025'!headerRow,1,COLUMN()),4,LEN(INDEX('Structured 2025'!headerRow,1,COLUMN()))),ovrHeaderRow25,0))</f>
        <v>16.799999999999997</v>
      </c>
      <c r="BM27" s="12">
        <f>INDEX(ovrTable25,MATCH(INDEX('Structured 2025'!teamCol,ROW()),ovrTeamCol25,0),MATCH(MID(INDEX('Structured 2025'!headerRow,1,COLUMN()),4,LEN(INDEX('Structured 2025'!headerRow,1,COLUMN()))),ovrHeaderRow25,0))</f>
        <v>56.009070294784571</v>
      </c>
      <c r="BN27" s="12">
        <f>INDEX(ovrTable25,MATCH(INDEX(oppCol,ROW()),ovrTeamCol25,0),MATCH(MID(INDEX('Structured 2025'!headerRow,1,COLUMN()),4,LEN(INDEX('Structured 2025'!headerRow,1,COLUMN()))),ovrHeaderRow25,0))</f>
        <v>31.2</v>
      </c>
      <c r="BO27" s="12">
        <f>INDEX(ovrTable25,MATCH(INDEX(oppCol,ROW()),ovrTeamCol25,0),MATCH(MID(INDEX('Structured 2025'!headerRow,1,COLUMN()),4,LEN(INDEX('Structured 2025'!headerRow,1,COLUMN()))),ovrHeaderRow25,0))</f>
        <v>8.3000000000000007</v>
      </c>
      <c r="BP27" s="12">
        <f>INDEX(ovrTable25,MATCH(INDEX(oppCol,ROW()),ovrTeamCol25,0),MATCH(MID(INDEX('Structured 2025'!headerRow,1,COLUMN()),4,LEN(INDEX('Structured 2025'!headerRow,1,COLUMN()))),ovrHeaderRow25,0))</f>
        <v>38.200000000000003</v>
      </c>
      <c r="BQ27" s="12">
        <f>INDEX(ovrTable25,MATCH(INDEX(oppCol,ROW()),ovrTeamCol25,0),MATCH(MID(INDEX('Structured 2025'!headerRow,1,COLUMN()),4,LEN(INDEX('Structured 2025'!headerRow,1,COLUMN()))),ovrHeaderRow25,0))</f>
        <v>21.6</v>
      </c>
      <c r="BR27" s="12">
        <f>INDEX(ovrTable25,MATCH(INDEX(oppCol,ROW()),ovrTeamCol25,0),MATCH(MID(INDEX('Structured 2025'!headerRow,1,COLUMN()),4,LEN(INDEX('Structured 2025'!headerRow,1,COLUMN()))),ovrHeaderRow25,0))</f>
        <v>1.53</v>
      </c>
      <c r="BS27" s="12">
        <f>INDEX(ovrTable25,MATCH(INDEX(oppCol,ROW()),ovrTeamCol25,0),MATCH(MID(INDEX('Structured 2025'!headerRow,1,COLUMN()),4,LEN(INDEX('Structured 2025'!headerRow,1,COLUMN()))),ovrHeaderRow25,0))</f>
        <v>15.9</v>
      </c>
      <c r="BT27" s="12">
        <f>INDEX(ovrTable25,MATCH(INDEX(oppCol,ROW()),ovrTeamCol25,0),MATCH(MID(INDEX('Structured 2025'!headerRow,1,COLUMN()),4,LEN(INDEX('Structured 2025'!headerRow,1,COLUMN()))),ovrHeaderRow25,0))</f>
        <v>17.03</v>
      </c>
      <c r="BU27" s="12">
        <f>INDEX(ovrTable25,MATCH(INDEX(oppCol,ROW()),ovrTeamCol25,0),MATCH(MID(INDEX('Structured 2025'!headerRow,1,COLUMN()),4,LEN(INDEX('Structured 2025'!headerRow,1,COLUMN()))),ovrHeaderRow25,0))</f>
        <v>1.6</v>
      </c>
      <c r="BV27" s="12">
        <f>INDEX(ovrTable25,MATCH(INDEX(oppCol,ROW()),ovrTeamCol25,0),MATCH(MID(INDEX('Structured 2025'!headerRow,1,COLUMN()),4,LEN(INDEX('Structured 2025'!headerRow,1,COLUMN()))),ovrHeaderRow25,0))</f>
        <v>45.2</v>
      </c>
      <c r="BW27" s="12">
        <f>INDEX(ovrTable25,MATCH(INDEX(oppCol,ROW()),ovrTeamCol25,0),MATCH(MID(INDEX('Structured 2025'!headerRow,1,COLUMN()),4,LEN(INDEX('Structured 2025'!headerRow,1,COLUMN()))),ovrHeaderRow25,0))</f>
        <v>23.08</v>
      </c>
      <c r="BX27" s="12">
        <f>INDEX(ovrTable25,MATCH(INDEX(oppCol,ROW()),ovrTeamCol25,0),MATCH(MID(INDEX('Structured 2025'!headerRow,1,COLUMN()),4,LEN(INDEX('Structured 2025'!headerRow,1,COLUMN()))),ovrHeaderRow25,0))</f>
        <v>0.55900000000000005</v>
      </c>
      <c r="BY27" s="12">
        <f>INDEX(ovrTable25,MATCH(INDEX(oppCol,ROW()),ovrTeamCol25,0),MATCH(MID(INDEX('Structured 2025'!headerRow,1,COLUMN()),4,LEN(INDEX('Structured 2025'!headerRow,1,COLUMN()))),ovrHeaderRow25,0))</f>
        <v>7.83</v>
      </c>
      <c r="BZ27" s="12">
        <f>INDEX(ovrTable25,MATCH(INDEX(oppCol,ROW()),ovrTeamCol25,0),MATCH(MID(INDEX('Structured 2025'!headerRow,1,COLUMN()),4,LEN(INDEX('Structured 2025'!headerRow,1,COLUMN()))),ovrHeaderRow25,0))</f>
        <v>48.6</v>
      </c>
      <c r="CA27" s="12">
        <f>INDEX(ovrTable25,MATCH(INDEX(oppCol,ROW()),ovrTeamCol25,0),MATCH(MID(INDEX('Structured 2025'!headerRow,1,COLUMN()),4,LEN(INDEX('Structured 2025'!headerRow,1,COLUMN()))),ovrHeaderRow25,0))</f>
        <v>15.8</v>
      </c>
      <c r="CB27" s="12">
        <f>INDEX(ovrTable25,MATCH(INDEX(oppCol,ROW()),ovrTeamCol25,0),MATCH(MID(INDEX('Structured 2025'!headerRow,1,COLUMN()),4,LEN(INDEX('Structured 2025'!headerRow,1,COLUMN()))),ovrHeaderRow25,0))</f>
        <v>73.2</v>
      </c>
      <c r="CC27" s="12">
        <f>INDEX(ovrTable25,MATCH(INDEX(oppCol,ROW()),ovrTeamCol25,0),MATCH(MID(INDEX('Structured 2025'!headerRow,1,COLUMN()),4,LEN(INDEX('Structured 2025'!headerRow,1,COLUMN()))),ovrHeaderRow25,0))</f>
        <v>19.5</v>
      </c>
      <c r="CD27" s="12">
        <f>INDEX(ovrTable25,MATCH(INDEX(oppCol,ROW()),ovrTeamCol25,0),MATCH(MID(INDEX('Structured 2025'!headerRow,1,COLUMN()),4,LEN(INDEX('Structured 2025'!headerRow,1,COLUMN()))),ovrHeaderRow25,0))</f>
        <v>14.3</v>
      </c>
      <c r="CE27" s="12">
        <f>INDEX(ovrTable25,MATCH(INDEX(oppCol,ROW()),ovrTeamCol25,0),MATCH(MID(INDEX('Structured 2025'!headerRow,1,COLUMN()),4,LEN(INDEX('Structured 2025'!headerRow,1,COLUMN()))),ovrHeaderRow25,0))</f>
        <v>70.400000000000006</v>
      </c>
      <c r="CF27" s="12">
        <f>INDEX(ovrTable25,MATCH(INDEX(oppCol,ROW()),ovrTeamCol25,0),MATCH(MID(INDEX('Structured 2025'!headerRow,1,COLUMN()),4,LEN(INDEX('Structured 2025'!headerRow,1,COLUMN()))),ovrHeaderRow25,0))</f>
        <v>9.7799999999999994</v>
      </c>
      <c r="CG27" s="12">
        <f>INDEX(ovrTable25,MATCH(INDEX(oppCol,ROW()),ovrTeamCol25,0),MATCH(MID(INDEX('Structured 2025'!headerRow,1,COLUMN()),4,LEN(INDEX('Structured 2025'!headerRow,1,COLUMN()))),ovrHeaderRow25,0))</f>
        <v>77.3</v>
      </c>
      <c r="CH27" s="12">
        <f>INDEX(ovrTable25,MATCH(INDEX(oppCol,ROW()),ovrTeamCol25,0),MATCH(MID(INDEX('Structured 2025'!headerRow,1,COLUMN()),4,LEN(INDEX('Structured 2025'!headerRow,1,COLUMN()))),ovrHeaderRow25,0))</f>
        <v>2.1</v>
      </c>
      <c r="CI27" s="12">
        <f>INDEX(ovrTable25,MATCH(INDEX(oppCol,ROW()),ovrTeamCol25,0),MATCH(MID(INDEX('Structured 2025'!headerRow,1,COLUMN()),4,LEN(INDEX('Structured 2025'!headerRow,1,COLUMN()))),ovrHeaderRow25,0))</f>
        <v>32.86</v>
      </c>
      <c r="CJ27" s="12">
        <f>INDEX(ovrTable25,MATCH(INDEX(oppCol,ROW()),ovrTeamCol25,0),MATCH(MID(INDEX('Structured 2025'!headerRow,1,COLUMN()),4,LEN(INDEX('Structured 2025'!headerRow,1,COLUMN()))),ovrHeaderRow25,0))</f>
        <v>6.9</v>
      </c>
      <c r="CK27" s="12">
        <f>INDEX(ovrTable25,MATCH(INDEX(oppCol,ROW()),ovrTeamCol25,0),MATCH(MID(INDEX('Structured 2025'!headerRow,1,COLUMN()),4,LEN(INDEX('Structured 2025'!headerRow,1,COLUMN()))),ovrHeaderRow25,0))</f>
        <v>6.4</v>
      </c>
      <c r="CL27" s="12">
        <f>INDEX(ovrTable25,MATCH(INDEX(oppCol,ROW()),ovrTeamCol25,0),MATCH(MID(INDEX('Structured 2025'!headerRow,1,COLUMN()),4,LEN(INDEX('Structured 2025'!headerRow,1,COLUMN()))),ovrHeaderRow25,0))</f>
        <v>1.2</v>
      </c>
      <c r="CM27" s="12">
        <f>INDEX(ovrTable25,MATCH(INDEX(oppCol,ROW()),ovrTeamCol25,0),MATCH(MID(INDEX('Structured 2025'!headerRow,1,COLUMN()),4,LEN(INDEX('Structured 2025'!headerRow,1,COLUMN()))),ovrHeaderRow25,0))</f>
        <v>11.61</v>
      </c>
      <c r="CN27" s="12">
        <f>INDEX(ovrTable25,MATCH(INDEX(oppCol,ROW()),ovrTeamCol25,0),MATCH(MID(INDEX('Structured 2025'!headerRow,1,COLUMN()),4,LEN(INDEX('Structured 2025'!headerRow,1,COLUMN()))),ovrHeaderRow25,0))</f>
        <v>10.4</v>
      </c>
      <c r="CO27" s="12">
        <f>INDEX(ovrTable25,MATCH(INDEX(oppCol,ROW()),ovrTeamCol25,0),MATCH(MID(INDEX('Structured 2025'!headerRow,1,COLUMN()),4,LEN(INDEX('Structured 2025'!headerRow,1,COLUMN()))),ovrHeaderRow25,0))</f>
        <v>66</v>
      </c>
      <c r="CP27" s="12">
        <f>INDEX(ovrTable25,MATCH(INDEX(oppCol,ROW()),ovrTeamCol25,0),MATCH(MID(INDEX('Structured 2025'!headerRow,1,COLUMN()),4,LEN(INDEX('Structured 2025'!headerRow,1,COLUMN()))),ovrHeaderRow25,0))</f>
        <v>19.049999999999997</v>
      </c>
      <c r="CQ27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28" spans="1:95" x14ac:dyDescent="0.3">
      <c r="A28" s="6" t="s">
        <v>25</v>
      </c>
      <c r="B28" s="3">
        <v>8</v>
      </c>
      <c r="C28" s="13" t="str">
        <f>A29</f>
        <v>BAY</v>
      </c>
      <c r="D28" s="14">
        <f t="shared" si="26"/>
        <v>14</v>
      </c>
      <c r="E28" s="23">
        <v>0.25</v>
      </c>
      <c r="F28" s="24">
        <v>50</v>
      </c>
      <c r="G28" s="24">
        <v>10</v>
      </c>
      <c r="H28" s="23">
        <v>33.333333333333329</v>
      </c>
      <c r="I28" s="24">
        <v>30</v>
      </c>
      <c r="J28" s="25">
        <v>0.9285714285714286</v>
      </c>
      <c r="K28" s="24">
        <v>10</v>
      </c>
      <c r="L28" s="24">
        <v>13</v>
      </c>
      <c r="M28" s="24">
        <v>7</v>
      </c>
      <c r="N28" s="24">
        <v>22</v>
      </c>
      <c r="O28" s="24">
        <v>13</v>
      </c>
      <c r="P28" s="24">
        <v>6</v>
      </c>
      <c r="Q28" s="24">
        <v>0</v>
      </c>
      <c r="R28" s="24">
        <v>14</v>
      </c>
      <c r="S28" s="24">
        <v>9</v>
      </c>
      <c r="T28" s="24">
        <v>18</v>
      </c>
      <c r="U28" s="24">
        <v>23</v>
      </c>
      <c r="V28" s="24">
        <v>0.43548387096774194</v>
      </c>
      <c r="W28" s="26">
        <v>0.59615384615384615</v>
      </c>
      <c r="X28" s="23">
        <v>76.923076923076934</v>
      </c>
      <c r="Y28" s="24">
        <v>75</v>
      </c>
      <c r="Z28" s="24">
        <v>72</v>
      </c>
      <c r="AA28" s="24">
        <v>-8</v>
      </c>
      <c r="AB28" s="24">
        <v>29</v>
      </c>
      <c r="AC28" s="24">
        <v>-3</v>
      </c>
      <c r="AD28" s="24">
        <v>-4</v>
      </c>
      <c r="AE28" s="24">
        <v>10</v>
      </c>
      <c r="AF28" s="34">
        <f t="shared" si="0"/>
        <v>16</v>
      </c>
      <c r="AG28" s="34">
        <f t="shared" si="1"/>
        <v>22</v>
      </c>
      <c r="AH28" s="46">
        <f t="shared" si="2"/>
        <v>65.174999999999997</v>
      </c>
      <c r="AI28" s="51">
        <f t="shared" ref="AI28" si="28">AVERAGE(AH28,AH29)</f>
        <v>65.099999999999994</v>
      </c>
      <c r="AJ28" s="12">
        <f>INDEX(ovrTable25,MATCH(INDEX('Structured 2025'!teamCol,ROW()),ovrTeamCol25,0),MATCH(MID(INDEX('Structured 2025'!headerRow,1,COLUMN()),4,LEN(INDEX('Structured 2025'!headerRow,1,COLUMN()))),ovrHeaderRow25,0))</f>
        <v>35.799999999999997</v>
      </c>
      <c r="AK28" s="12">
        <f>INDEX(ovrTable25,MATCH(INDEX('Structured 2025'!teamCol,ROW()),ovrTeamCol25,0),MATCH(MID(INDEX('Structured 2025'!headerRow,1,COLUMN()),4,LEN(INDEX('Structured 2025'!headerRow,1,COLUMN()))),ovrHeaderRow25,0))</f>
        <v>8.5</v>
      </c>
      <c r="AL28" s="12">
        <f>INDEX(ovrTable25,MATCH(INDEX('Structured 2025'!teamCol,ROW()),ovrTeamCol25,0),MATCH(MID(INDEX('Structured 2025'!headerRow,1,COLUMN()),4,LEN(INDEX('Structured 2025'!headerRow,1,COLUMN()))),ovrHeaderRow25,0))</f>
        <v>31.4</v>
      </c>
      <c r="AM28" s="12">
        <f>INDEX(ovrTable25,MATCH(INDEX('Structured 2025'!teamCol,ROW()),ovrTeamCol25,0),MATCH(MID(INDEX('Structured 2025'!headerRow,1,COLUMN()),4,LEN(INDEX('Structured 2025'!headerRow,1,COLUMN()))),ovrHeaderRow25,0))</f>
        <v>26.9</v>
      </c>
      <c r="AN28" s="12">
        <f>INDEX(ovrTable25,MATCH(INDEX('Structured 2025'!teamCol,ROW()),ovrTeamCol25,0),MATCH(MID(INDEX('Structured 2025'!headerRow,1,COLUMN()),4,LEN(INDEX('Structured 2025'!headerRow,1,COLUMN()))),ovrHeaderRow25,0))</f>
        <v>1.42</v>
      </c>
      <c r="AO28" s="12">
        <f>INDEX(ovrTable25,MATCH(INDEX('Structured 2025'!teamCol,ROW()),ovrTeamCol25,0),MATCH(MID(INDEX('Structured 2025'!headerRow,1,COLUMN()),4,LEN(INDEX('Structured 2025'!headerRow,1,COLUMN()))),ovrHeaderRow25,0))</f>
        <v>15.2</v>
      </c>
      <c r="AP28" s="12">
        <f>INDEX(ovrTable25,MATCH(INDEX('Structured 2025'!teamCol,ROW()),ovrTeamCol25,0),MATCH(MID(INDEX('Structured 2025'!headerRow,1,COLUMN()),4,LEN(INDEX('Structured 2025'!headerRow,1,COLUMN()))),ovrHeaderRow25,0))</f>
        <v>29.65</v>
      </c>
      <c r="AQ28" s="12">
        <f>INDEX(ovrTable25,MATCH(INDEX('Structured 2025'!teamCol,ROW()),ovrTeamCol25,0),MATCH(MID(INDEX('Structured 2025'!headerRow,1,COLUMN()),4,LEN(INDEX('Structured 2025'!headerRow,1,COLUMN()))),ovrHeaderRow25,0))</f>
        <v>4.5</v>
      </c>
      <c r="AR28" s="12">
        <f>INDEX(ovrTable25,MATCH(INDEX('Structured 2025'!teamCol,ROW()),ovrTeamCol25,0),MATCH(MID(INDEX('Structured 2025'!headerRow,1,COLUMN()),4,LEN(INDEX('Structured 2025'!headerRow,1,COLUMN()))),ovrHeaderRow25,0))</f>
        <v>43.9</v>
      </c>
      <c r="AS28" s="12">
        <f>INDEX(ovrTable25,MATCH(INDEX('Structured 2025'!teamCol,ROW()),ovrTeamCol25,0),MATCH(MID(INDEX('Structured 2025'!headerRow,1,COLUMN()),4,LEN(INDEX('Structured 2025'!headerRow,1,COLUMN()))),ovrHeaderRow25,0))</f>
        <v>25.09</v>
      </c>
      <c r="AT28" s="12">
        <f>INDEX(ovrTable25,MATCH(INDEX('Structured 2025'!teamCol,ROW()),ovrTeamCol25,0),MATCH(MID(INDEX('Structured 2025'!headerRow,1,COLUMN()),4,LEN(INDEX('Structured 2025'!headerRow,1,COLUMN()))),ovrHeaderRow25,0))</f>
        <v>0.51900000000000002</v>
      </c>
      <c r="AU28" s="12">
        <f>INDEX(ovrTable25,MATCH(INDEX('Structured 2025'!teamCol,ROW()),ovrTeamCol25,0),MATCH(MID(INDEX('Structured 2025'!headerRow,1,COLUMN()),4,LEN(INDEX('Structured 2025'!headerRow,1,COLUMN()))),ovrHeaderRow25,0))</f>
        <v>12.88</v>
      </c>
      <c r="AV28" s="12">
        <f>INDEX(ovrTable25,MATCH(INDEX('Structured 2025'!teamCol,ROW()),ovrTeamCol25,0),MATCH(MID(INDEX('Structured 2025'!headerRow,1,COLUMN()),4,LEN(INDEX('Structured 2025'!headerRow,1,COLUMN()))),ovrHeaderRow25,0))</f>
        <v>45.2</v>
      </c>
      <c r="AW28" s="12">
        <f>INDEX(ovrTable25,MATCH(INDEX('Structured 2025'!teamCol,ROW()),ovrTeamCol25,0),MATCH(MID(INDEX('Structured 2025'!headerRow,1,COLUMN()),4,LEN(INDEX('Structured 2025'!headerRow,1,COLUMN()))),ovrHeaderRow25,0))</f>
        <v>17.399999999999999</v>
      </c>
      <c r="AX28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AY28" s="12">
        <f>INDEX(ovrTable25,MATCH(INDEX('Structured 2025'!teamCol,ROW()),ovrTeamCol25,0),MATCH(MID(INDEX('Structured 2025'!headerRow,1,COLUMN()),4,LEN(INDEX('Structured 2025'!headerRow,1,COLUMN()))),ovrHeaderRow25,0))</f>
        <v>19.899999999999999</v>
      </c>
      <c r="AZ28" s="12">
        <f>INDEX(ovrTable25,MATCH(INDEX('Structured 2025'!teamCol,ROW()),ovrTeamCol25,0),MATCH(MID(INDEX('Structured 2025'!headerRow,1,COLUMN()),4,LEN(INDEX('Structured 2025'!headerRow,1,COLUMN()))),ovrHeaderRow25,0))</f>
        <v>13.9</v>
      </c>
      <c r="BA28" s="12">
        <f>INDEX(ovrTable25,MATCH(INDEX('Structured 2025'!teamCol,ROW()),ovrTeamCol25,0),MATCH(MID(INDEX('Structured 2025'!headerRow,1,COLUMN()),4,LEN(INDEX('Structured 2025'!headerRow,1,COLUMN()))),ovrHeaderRow25,0))</f>
        <v>74.2</v>
      </c>
      <c r="BB28" s="12">
        <f>INDEX(ovrTable25,MATCH(INDEX('Structured 2025'!teamCol,ROW()),ovrTeamCol25,0),MATCH(MID(INDEX('Structured 2025'!headerRow,1,COLUMN()),4,LEN(INDEX('Structured 2025'!headerRow,1,COLUMN()))),ovrHeaderRow25,0))</f>
        <v>12.79</v>
      </c>
      <c r="BC28" s="12">
        <f>INDEX(ovrTable25,MATCH(INDEX('Structured 2025'!teamCol,ROW()),ovrTeamCol25,0),MATCH(MID(INDEX('Structured 2025'!headerRow,1,COLUMN()),4,LEN(INDEX('Structured 2025'!headerRow,1,COLUMN()))),ovrHeaderRow25,0))</f>
        <v>79.5</v>
      </c>
      <c r="BD28" s="12">
        <f>INDEX(ovrTable25,MATCH(INDEX('Structured 2025'!teamCol,ROW()),ovrTeamCol25,0),MATCH(MID(INDEX('Structured 2025'!headerRow,1,COLUMN()),4,LEN(INDEX('Structured 2025'!headerRow,1,COLUMN()))),ovrHeaderRow25,0))</f>
        <v>2.2000000000000002</v>
      </c>
      <c r="BE28" s="12">
        <f>INDEX(ovrTable25,MATCH(INDEX('Structured 2025'!teamCol,ROW()),ovrTeamCol25,0),MATCH(MID(INDEX('Structured 2025'!headerRow,1,COLUMN()),4,LEN(INDEX('Structured 2025'!headerRow,1,COLUMN()))),ovrHeaderRow25,0))</f>
        <v>37.880000000000003</v>
      </c>
      <c r="BF28" s="12">
        <f>INDEX(ovrTable25,MATCH(INDEX('Structured 2025'!teamCol,ROW()),ovrTeamCol25,0),MATCH(MID(INDEX('Structured 2025'!headerRow,1,COLUMN()),4,LEN(INDEX('Structured 2025'!headerRow,1,COLUMN()))),ovrHeaderRow25,0))</f>
        <v>5.4</v>
      </c>
      <c r="BG28" s="12">
        <f>INDEX(ovrTable25,MATCH(INDEX('Structured 2025'!teamCol,ROW()),ovrTeamCol25,0),MATCH(MID(INDEX('Structured 2025'!headerRow,1,COLUMN()),4,LEN(INDEX('Structured 2025'!headerRow,1,COLUMN()))),ovrHeaderRow25,0))</f>
        <v>9.1</v>
      </c>
      <c r="BH28" s="12">
        <f>INDEX(ovrTable25,MATCH(INDEX('Structured 2025'!teamCol,ROW()),ovrTeamCol25,0),MATCH(MID(INDEX('Structured 2025'!headerRow,1,COLUMN()),4,LEN(INDEX('Structured 2025'!headerRow,1,COLUMN()))),ovrHeaderRow25,0))</f>
        <v>2.6</v>
      </c>
      <c r="BI28" s="12">
        <f>INDEX(ovrTable25,MATCH(INDEX('Structured 2025'!teamCol,ROW()),ovrTeamCol25,0),MATCH(MID(INDEX('Structured 2025'!headerRow,1,COLUMN()),4,LEN(INDEX('Structured 2025'!headerRow,1,COLUMN()))),ovrHeaderRow25,0))</f>
        <v>13.29</v>
      </c>
      <c r="BJ28" s="12">
        <f>INDEX(ovrTable25,MATCH(INDEX('Structured 2025'!teamCol,ROW()),ovrTeamCol25,0),MATCH(MID(INDEX('Structured 2025'!headerRow,1,COLUMN()),4,LEN(INDEX('Structured 2025'!headerRow,1,COLUMN()))),ovrHeaderRow25,0))</f>
        <v>10.7</v>
      </c>
      <c r="BK28" s="12">
        <f>INDEX(ovrTable25,MATCH(INDEX('Structured 2025'!teamCol,ROW()),ovrTeamCol25,0),MATCH(MID(INDEX('Structured 2025'!headerRow,1,COLUMN()),4,LEN(INDEX('Structured 2025'!headerRow,1,COLUMN()))),ovrHeaderRow25,0))</f>
        <v>68.3</v>
      </c>
      <c r="BL28" s="12">
        <f>INDEX(ovrTable25,MATCH(INDEX('Structured 2025'!teamCol,ROW()),ovrTeamCol25,0),MATCH(MID(INDEX('Structured 2025'!headerRow,1,COLUMN()),4,LEN(INDEX('Structured 2025'!headerRow,1,COLUMN()))),ovrHeaderRow25,0))</f>
        <v>20.049999999999997</v>
      </c>
      <c r="BM28" s="12">
        <f>INDEX(ovrTable25,MATCH(INDEX('Structured 2025'!teamCol,ROW()),ovrTeamCol25,0),MATCH(MID(INDEX('Structured 2025'!headerRow,1,COLUMN()),4,LEN(INDEX('Structured 2025'!headerRow,1,COLUMN()))),ovrHeaderRow25,0))</f>
        <v>63.16371681415928</v>
      </c>
      <c r="BN28" s="12">
        <f>INDEX(ovrTable25,MATCH(INDEX(oppCol,ROW()),ovrTeamCol25,0),MATCH(MID(INDEX('Structured 2025'!headerRow,1,COLUMN()),4,LEN(INDEX('Structured 2025'!headerRow,1,COLUMN()))),ovrHeaderRow25,0))</f>
        <v>35.5</v>
      </c>
      <c r="BO28" s="12">
        <f>INDEX(ovrTable25,MATCH(INDEX(oppCol,ROW()),ovrTeamCol25,0),MATCH(MID(INDEX('Structured 2025'!headerRow,1,COLUMN()),4,LEN(INDEX('Structured 2025'!headerRow,1,COLUMN()))),ovrHeaderRow25,0))</f>
        <v>8.4</v>
      </c>
      <c r="BP28" s="12">
        <f>INDEX(ovrTable25,MATCH(INDEX(oppCol,ROW()),ovrTeamCol25,0),MATCH(MID(INDEX('Structured 2025'!headerRow,1,COLUMN()),4,LEN(INDEX('Structured 2025'!headerRow,1,COLUMN()))),ovrHeaderRow25,0))</f>
        <v>34.799999999999997</v>
      </c>
      <c r="BQ28" s="12">
        <f>INDEX(ovrTable25,MATCH(INDEX(oppCol,ROW()),ovrTeamCol25,0),MATCH(MID(INDEX('Structured 2025'!headerRow,1,COLUMN()),4,LEN(INDEX('Structured 2025'!headerRow,1,COLUMN()))),ovrHeaderRow25,0))</f>
        <v>24.2</v>
      </c>
      <c r="BR28" s="12">
        <f>INDEX(ovrTable25,MATCH(INDEX(oppCol,ROW()),ovrTeamCol25,0),MATCH(MID(INDEX('Structured 2025'!headerRow,1,COLUMN()),4,LEN(INDEX('Structured 2025'!headerRow,1,COLUMN()))),ovrHeaderRow25,0))</f>
        <v>1.33</v>
      </c>
      <c r="BS28" s="12">
        <f>INDEX(ovrTable25,MATCH(INDEX(oppCol,ROW()),ovrTeamCol25,0),MATCH(MID(INDEX('Structured 2025'!headerRow,1,COLUMN()),4,LEN(INDEX('Structured 2025'!headerRow,1,COLUMN()))),ovrHeaderRow25,0))</f>
        <v>14.4</v>
      </c>
      <c r="BT28" s="12">
        <f>INDEX(ovrTable25,MATCH(INDEX(oppCol,ROW()),ovrTeamCol25,0),MATCH(MID(INDEX('Structured 2025'!headerRow,1,COLUMN()),4,LEN(INDEX('Structured 2025'!headerRow,1,COLUMN()))),ovrHeaderRow25,0))</f>
        <v>17.66</v>
      </c>
      <c r="BU28" s="12">
        <f>INDEX(ovrTable25,MATCH(INDEX(oppCol,ROW()),ovrTeamCol25,0),MATCH(MID(INDEX('Structured 2025'!headerRow,1,COLUMN()),4,LEN(INDEX('Structured 2025'!headerRow,1,COLUMN()))),ovrHeaderRow25,0))</f>
        <v>2.8</v>
      </c>
      <c r="BV28" s="12">
        <f>INDEX(ovrTable25,MATCH(INDEX(oppCol,ROW()),ovrTeamCol25,0),MATCH(MID(INDEX('Structured 2025'!headerRow,1,COLUMN()),4,LEN(INDEX('Structured 2025'!headerRow,1,COLUMN()))),ovrHeaderRow25,0))</f>
        <v>44</v>
      </c>
      <c r="BW28" s="12">
        <f>INDEX(ovrTable25,MATCH(INDEX(oppCol,ROW()),ovrTeamCol25,0),MATCH(MID(INDEX('Structured 2025'!headerRow,1,COLUMN()),4,LEN(INDEX('Structured 2025'!headerRow,1,COLUMN()))),ovrHeaderRow25,0))</f>
        <v>22.91</v>
      </c>
      <c r="BX28" s="12">
        <f>INDEX(ovrTable25,MATCH(INDEX(oppCol,ROW()),ovrTeamCol25,0),MATCH(MID(INDEX('Structured 2025'!headerRow,1,COLUMN()),4,LEN(INDEX('Structured 2025'!headerRow,1,COLUMN()))),ovrHeaderRow25,0))</f>
        <v>0.51400000000000001</v>
      </c>
      <c r="BY28" s="12">
        <f>INDEX(ovrTable25,MATCH(INDEX(oppCol,ROW()),ovrTeamCol25,0),MATCH(MID(INDEX('Structured 2025'!headerRow,1,COLUMN()),4,LEN(INDEX('Structured 2025'!headerRow,1,COLUMN()))),ovrHeaderRow25,0))</f>
        <v>10.029999999999999</v>
      </c>
      <c r="BZ28" s="12">
        <f>INDEX(ovrTable25,MATCH(INDEX(oppCol,ROW()),ovrTeamCol25,0),MATCH(MID(INDEX('Structured 2025'!headerRow,1,COLUMN()),4,LEN(INDEX('Structured 2025'!headerRow,1,COLUMN()))),ovrHeaderRow25,0))</f>
        <v>44.5</v>
      </c>
      <c r="CA28" s="12">
        <f>INDEX(ovrTable25,MATCH(INDEX(oppCol,ROW()),ovrTeamCol25,0),MATCH(MID(INDEX('Structured 2025'!headerRow,1,COLUMN()),4,LEN(INDEX('Structured 2025'!headerRow,1,COLUMN()))),ovrHeaderRow25,0))</f>
        <v>16.3</v>
      </c>
      <c r="CB28" s="12">
        <f>INDEX(ovrTable25,MATCH(INDEX(oppCol,ROW()),ovrTeamCol25,0),MATCH(MID(INDEX('Structured 2025'!headerRow,1,COLUMN()),4,LEN(INDEX('Structured 2025'!headerRow,1,COLUMN()))),ovrHeaderRow25,0))</f>
        <v>74.7</v>
      </c>
      <c r="CC28" s="12">
        <f>INDEX(ovrTable25,MATCH(INDEX(oppCol,ROW()),ovrTeamCol25,0),MATCH(MID(INDEX('Structured 2025'!headerRow,1,COLUMN()),4,LEN(INDEX('Structured 2025'!headerRow,1,COLUMN()))),ovrHeaderRow25,0))</f>
        <v>18.3</v>
      </c>
      <c r="CD28" s="12">
        <f>INDEX(ovrTable25,MATCH(INDEX(oppCol,ROW()),ovrTeamCol25,0),MATCH(MID(INDEX('Structured 2025'!headerRow,1,COLUMN()),4,LEN(INDEX('Structured 2025'!headerRow,1,COLUMN()))),ovrHeaderRow25,0))</f>
        <v>13.7</v>
      </c>
      <c r="CE28" s="12">
        <f>INDEX(ovrTable25,MATCH(INDEX(oppCol,ROW()),ovrTeamCol25,0),MATCH(MID(INDEX('Structured 2025'!headerRow,1,COLUMN()),4,LEN(INDEX('Structured 2025'!headerRow,1,COLUMN()))),ovrHeaderRow25,0))</f>
        <v>69.8</v>
      </c>
      <c r="CF28" s="12">
        <f>INDEX(ovrTable25,MATCH(INDEX(oppCol,ROW()),ovrTeamCol25,0),MATCH(MID(INDEX('Structured 2025'!headerRow,1,COLUMN()),4,LEN(INDEX('Structured 2025'!headerRow,1,COLUMN()))),ovrHeaderRow25,0))</f>
        <v>12.97</v>
      </c>
      <c r="CG28" s="12">
        <f>INDEX(ovrTable25,MATCH(INDEX(oppCol,ROW()),ovrTeamCol25,0),MATCH(MID(INDEX('Structured 2025'!headerRow,1,COLUMN()),4,LEN(INDEX('Structured 2025'!headerRow,1,COLUMN()))),ovrHeaderRow25,0))</f>
        <v>76.099999999999994</v>
      </c>
      <c r="CH28" s="12">
        <f>INDEX(ovrTable25,MATCH(INDEX(oppCol,ROW()),ovrTeamCol25,0),MATCH(MID(INDEX('Structured 2025'!headerRow,1,COLUMN()),4,LEN(INDEX('Structured 2025'!headerRow,1,COLUMN()))),ovrHeaderRow25,0))</f>
        <v>3.4</v>
      </c>
      <c r="CI28" s="12">
        <f>INDEX(ovrTable25,MATCH(INDEX(oppCol,ROW()),ovrTeamCol25,0),MATCH(MID(INDEX('Structured 2025'!headerRow,1,COLUMN()),4,LEN(INDEX('Structured 2025'!headerRow,1,COLUMN()))),ovrHeaderRow25,0))</f>
        <v>35.89</v>
      </c>
      <c r="CJ28" s="12">
        <f>INDEX(ovrTable25,MATCH(INDEX(oppCol,ROW()),ovrTeamCol25,0),MATCH(MID(INDEX('Structured 2025'!headerRow,1,COLUMN()),4,LEN(INDEX('Structured 2025'!headerRow,1,COLUMN()))),ovrHeaderRow25,0))</f>
        <v>6.3</v>
      </c>
      <c r="CK28" s="12">
        <f>INDEX(ovrTable25,MATCH(INDEX(oppCol,ROW()),ovrTeamCol25,0),MATCH(MID(INDEX('Structured 2025'!headerRow,1,COLUMN()),4,LEN(INDEX('Structured 2025'!headerRow,1,COLUMN()))),ovrHeaderRow25,0))</f>
        <v>7.5</v>
      </c>
      <c r="CL28" s="12">
        <f>INDEX(ovrTable25,MATCH(INDEX(oppCol,ROW()),ovrTeamCol25,0),MATCH(MID(INDEX('Structured 2025'!headerRow,1,COLUMN()),4,LEN(INDEX('Structured 2025'!headerRow,1,COLUMN()))),ovrHeaderRow25,0))</f>
        <v>1.8</v>
      </c>
      <c r="CM28" s="12">
        <f>INDEX(ovrTable25,MATCH(INDEX(oppCol,ROW()),ovrTeamCol25,0),MATCH(MID(INDEX('Structured 2025'!headerRow,1,COLUMN()),4,LEN(INDEX('Structured 2025'!headerRow,1,COLUMN()))),ovrHeaderRow25,0))</f>
        <v>12.57</v>
      </c>
      <c r="CN28" s="12">
        <f>INDEX(ovrTable25,MATCH(INDEX(oppCol,ROW()),ovrTeamCol25,0),MATCH(MID(INDEX('Structured 2025'!headerRow,1,COLUMN()),4,LEN(INDEX('Structured 2025'!headerRow,1,COLUMN()))),ovrHeaderRow25,0))</f>
        <v>10.8</v>
      </c>
      <c r="CO28" s="12">
        <f>INDEX(ovrTable25,MATCH(INDEX(oppCol,ROW()),ovrTeamCol25,0),MATCH(MID(INDEX('Structured 2025'!headerRow,1,COLUMN()),4,LEN(INDEX('Structured 2025'!headerRow,1,COLUMN()))),ovrHeaderRow25,0))</f>
        <v>64.599999999999994</v>
      </c>
      <c r="CP28" s="12">
        <f>INDEX(ovrTable25,MATCH(INDEX(oppCol,ROW()),ovrTeamCol25,0),MATCH(MID(INDEX('Structured 2025'!headerRow,1,COLUMN()),4,LEN(INDEX('Structured 2025'!headerRow,1,COLUMN()))),ovrHeaderRow25,0))</f>
        <v>18.599999999999994</v>
      </c>
      <c r="CQ28" s="12">
        <f>INDEX(ovrTable25,MATCH(INDEX(oppCol,ROW()),ovrTeamCol25,0),MATCH(MID(INDEX('Structured 2025'!headerRow,1,COLUMN()),4,LEN(INDEX('Structured 2025'!headerRow,1,COLUMN()))),ovrHeaderRow25,0))</f>
        <v>60.67415730337077</v>
      </c>
    </row>
    <row r="29" spans="1:95" x14ac:dyDescent="0.3">
      <c r="A29" s="6" t="s">
        <v>20</v>
      </c>
      <c r="B29" s="3">
        <v>9</v>
      </c>
      <c r="C29" s="13" t="str">
        <f>A28</f>
        <v>MSST</v>
      </c>
      <c r="D29" s="14">
        <f t="shared" si="26"/>
        <v>14</v>
      </c>
      <c r="E29" s="23">
        <v>0.33333333333333331</v>
      </c>
      <c r="F29" s="24">
        <v>43.548387096774192</v>
      </c>
      <c r="G29" s="24">
        <v>6</v>
      </c>
      <c r="H29" s="23">
        <v>25</v>
      </c>
      <c r="I29" s="24">
        <v>24</v>
      </c>
      <c r="J29" s="25">
        <v>1.3</v>
      </c>
      <c r="K29" s="24">
        <v>15</v>
      </c>
      <c r="L29" s="24">
        <v>19</v>
      </c>
      <c r="M29" s="24">
        <v>16</v>
      </c>
      <c r="N29" s="24">
        <v>21</v>
      </c>
      <c r="O29" s="24">
        <v>13</v>
      </c>
      <c r="P29" s="24">
        <v>10</v>
      </c>
      <c r="Q29" s="24">
        <v>3</v>
      </c>
      <c r="R29" s="24">
        <v>10</v>
      </c>
      <c r="S29" s="24">
        <v>9</v>
      </c>
      <c r="T29" s="24">
        <v>16</v>
      </c>
      <c r="U29" s="24">
        <v>9</v>
      </c>
      <c r="V29" s="24">
        <v>0.5</v>
      </c>
      <c r="W29" s="26">
        <v>0.4838709677419355</v>
      </c>
      <c r="X29" s="23">
        <v>78.94736842105263</v>
      </c>
      <c r="Y29" s="24">
        <v>72</v>
      </c>
      <c r="Z29" s="24">
        <v>75</v>
      </c>
      <c r="AA29" s="24">
        <v>8</v>
      </c>
      <c r="AB29" s="24">
        <v>37</v>
      </c>
      <c r="AC29" s="24">
        <v>3</v>
      </c>
      <c r="AD29" s="24">
        <v>4</v>
      </c>
      <c r="AE29" s="24">
        <v>14</v>
      </c>
      <c r="AF29" s="34">
        <f t="shared" si="0"/>
        <v>21</v>
      </c>
      <c r="AG29" s="34">
        <f t="shared" si="1"/>
        <v>38</v>
      </c>
      <c r="AH29" s="46">
        <f t="shared" si="2"/>
        <v>65.025000000000006</v>
      </c>
      <c r="AI29" s="51">
        <f t="shared" ref="AI29" si="29">AVERAGE(AH28,AH29)</f>
        <v>65.099999999999994</v>
      </c>
      <c r="AJ29" s="12">
        <f>INDEX(ovrTable25,MATCH(INDEX('Structured 2025'!teamCol,ROW()),ovrTeamCol25,0),MATCH(MID(INDEX('Structured 2025'!headerRow,1,COLUMN()),4,LEN(INDEX('Structured 2025'!headerRow,1,COLUMN()))),ovrHeaderRow25,0))</f>
        <v>35.5</v>
      </c>
      <c r="AK29" s="12">
        <f>INDEX(ovrTable25,MATCH(INDEX('Structured 2025'!teamCol,ROW()),ovrTeamCol25,0),MATCH(MID(INDEX('Structured 2025'!headerRow,1,COLUMN()),4,LEN(INDEX('Structured 2025'!headerRow,1,COLUMN()))),ovrHeaderRow25,0))</f>
        <v>8.4</v>
      </c>
      <c r="AL29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29" s="12">
        <f>INDEX(ovrTable25,MATCH(INDEX('Structured 2025'!teamCol,ROW()),ovrTeamCol25,0),MATCH(MID(INDEX('Structured 2025'!headerRow,1,COLUMN()),4,LEN(INDEX('Structured 2025'!headerRow,1,COLUMN()))),ovrHeaderRow25,0))</f>
        <v>24.2</v>
      </c>
      <c r="AN29" s="12">
        <f>INDEX(ovrTable25,MATCH(INDEX('Structured 2025'!teamCol,ROW()),ovrTeamCol25,0),MATCH(MID(INDEX('Structured 2025'!headerRow,1,COLUMN()),4,LEN(INDEX('Structured 2025'!headerRow,1,COLUMN()))),ovrHeaderRow25,0))</f>
        <v>1.33</v>
      </c>
      <c r="AO29" s="12">
        <f>INDEX(ovrTable25,MATCH(INDEX('Structured 2025'!teamCol,ROW()),ovrTeamCol25,0),MATCH(MID(INDEX('Structured 2025'!headerRow,1,COLUMN()),4,LEN(INDEX('Structured 2025'!headerRow,1,COLUMN()))),ovrHeaderRow25,0))</f>
        <v>14.4</v>
      </c>
      <c r="AP29" s="12">
        <f>INDEX(ovrTable25,MATCH(INDEX('Structured 2025'!teamCol,ROW()),ovrTeamCol25,0),MATCH(MID(INDEX('Structured 2025'!headerRow,1,COLUMN()),4,LEN(INDEX('Structured 2025'!headerRow,1,COLUMN()))),ovrHeaderRow25,0))</f>
        <v>17.66</v>
      </c>
      <c r="AQ29" s="12">
        <f>INDEX(ovrTable25,MATCH(INDEX('Structured 2025'!teamCol,ROW()),ovrTeamCol25,0),MATCH(MID(INDEX('Structured 2025'!headerRow,1,COLUMN()),4,LEN(INDEX('Structured 2025'!headerRow,1,COLUMN()))),ovrHeaderRow25,0))</f>
        <v>2.8</v>
      </c>
      <c r="AR29" s="12">
        <f>INDEX(ovrTable25,MATCH(INDEX('Structured 2025'!teamCol,ROW()),ovrTeamCol25,0),MATCH(MID(INDEX('Structured 2025'!headerRow,1,COLUMN()),4,LEN(INDEX('Structured 2025'!headerRow,1,COLUMN()))),ovrHeaderRow25,0))</f>
        <v>44</v>
      </c>
      <c r="AS29" s="12">
        <f>INDEX(ovrTable25,MATCH(INDEX('Structured 2025'!teamCol,ROW()),ovrTeamCol25,0),MATCH(MID(INDEX('Structured 2025'!headerRow,1,COLUMN()),4,LEN(INDEX('Structured 2025'!headerRow,1,COLUMN()))),ovrHeaderRow25,0))</f>
        <v>22.91</v>
      </c>
      <c r="AT29" s="12">
        <f>INDEX(ovrTable25,MATCH(INDEX('Structured 2025'!teamCol,ROW()),ovrTeamCol25,0),MATCH(MID(INDEX('Structured 2025'!headerRow,1,COLUMN()),4,LEN(INDEX('Structured 2025'!headerRow,1,COLUMN()))),ovrHeaderRow25,0))</f>
        <v>0.51400000000000001</v>
      </c>
      <c r="AU29" s="12">
        <f>INDEX(ovrTable25,MATCH(INDEX('Structured 2025'!teamCol,ROW()),ovrTeamCol25,0),MATCH(MID(INDEX('Structured 2025'!headerRow,1,COLUMN()),4,LEN(INDEX('Structured 2025'!headerRow,1,COLUMN()))),ovrHeaderRow25,0))</f>
        <v>10.029999999999999</v>
      </c>
      <c r="AV29" s="12">
        <f>INDEX(ovrTable25,MATCH(INDEX('Structured 2025'!teamCol,ROW()),ovrTeamCol25,0),MATCH(MID(INDEX('Structured 2025'!headerRow,1,COLUMN()),4,LEN(INDEX('Structured 2025'!headerRow,1,COLUMN()))),ovrHeaderRow25,0))</f>
        <v>44.5</v>
      </c>
      <c r="AW29" s="12">
        <f>INDEX(ovrTable25,MATCH(INDEX('Structured 2025'!teamCol,ROW()),ovrTeamCol25,0),MATCH(MID(INDEX('Structured 2025'!headerRow,1,COLUMN()),4,LEN(INDEX('Structured 2025'!headerRow,1,COLUMN()))),ovrHeaderRow25,0))</f>
        <v>16.3</v>
      </c>
      <c r="AX29" s="12">
        <f>INDEX(ovrTable25,MATCH(INDEX('Structured 2025'!teamCol,ROW()),ovrTeamCol25,0),MATCH(MID(INDEX('Structured 2025'!headerRow,1,COLUMN()),4,LEN(INDEX('Structured 2025'!headerRow,1,COLUMN()))),ovrHeaderRow25,0))</f>
        <v>74.7</v>
      </c>
      <c r="AY29" s="12">
        <f>INDEX(ovrTable25,MATCH(INDEX('Structured 2025'!teamCol,ROW()),ovrTeamCol25,0),MATCH(MID(INDEX('Structured 2025'!headerRow,1,COLUMN()),4,LEN(INDEX('Structured 2025'!headerRow,1,COLUMN()))),ovrHeaderRow25,0))</f>
        <v>18.3</v>
      </c>
      <c r="AZ29" s="12">
        <f>INDEX(ovrTable25,MATCH(INDEX('Structured 2025'!teamCol,ROW()),ovrTeamCol25,0),MATCH(MID(INDEX('Structured 2025'!headerRow,1,COLUMN()),4,LEN(INDEX('Structured 2025'!headerRow,1,COLUMN()))),ovrHeaderRow25,0))</f>
        <v>13.7</v>
      </c>
      <c r="BA29" s="12">
        <f>INDEX(ovrTable25,MATCH(INDEX('Structured 2025'!teamCol,ROW()),ovrTeamCol25,0),MATCH(MID(INDEX('Structured 2025'!headerRow,1,COLUMN()),4,LEN(INDEX('Structured 2025'!headerRow,1,COLUMN()))),ovrHeaderRow25,0))</f>
        <v>69.8</v>
      </c>
      <c r="BB29" s="12">
        <f>INDEX(ovrTable25,MATCH(INDEX('Structured 2025'!teamCol,ROW()),ovrTeamCol25,0),MATCH(MID(INDEX('Structured 2025'!headerRow,1,COLUMN()),4,LEN(INDEX('Structured 2025'!headerRow,1,COLUMN()))),ovrHeaderRow25,0))</f>
        <v>12.97</v>
      </c>
      <c r="BC29" s="12">
        <f>INDEX(ovrTable25,MATCH(INDEX('Structured 2025'!teamCol,ROW()),ovrTeamCol25,0),MATCH(MID(INDEX('Structured 2025'!headerRow,1,COLUMN()),4,LEN(INDEX('Structured 2025'!headerRow,1,COLUMN()))),ovrHeaderRow25,0))</f>
        <v>76.099999999999994</v>
      </c>
      <c r="BD29" s="12">
        <f>INDEX(ovrTable25,MATCH(INDEX('Structured 2025'!teamCol,ROW()),ovrTeamCol25,0),MATCH(MID(INDEX('Structured 2025'!headerRow,1,COLUMN()),4,LEN(INDEX('Structured 2025'!headerRow,1,COLUMN()))),ovrHeaderRow25,0))</f>
        <v>3.4</v>
      </c>
      <c r="BE29" s="12">
        <f>INDEX(ovrTable25,MATCH(INDEX('Structured 2025'!teamCol,ROW()),ovrTeamCol25,0),MATCH(MID(INDEX('Structured 2025'!headerRow,1,COLUMN()),4,LEN(INDEX('Structured 2025'!headerRow,1,COLUMN()))),ovrHeaderRow25,0))</f>
        <v>35.89</v>
      </c>
      <c r="BF29" s="12">
        <f>INDEX(ovrTable25,MATCH(INDEX('Structured 2025'!teamCol,ROW()),ovrTeamCol25,0),MATCH(MID(INDEX('Structured 2025'!headerRow,1,COLUMN()),4,LEN(INDEX('Structured 2025'!headerRow,1,COLUMN()))),ovrHeaderRow25,0))</f>
        <v>6.3</v>
      </c>
      <c r="BG29" s="12">
        <f>INDEX(ovrTable25,MATCH(INDEX('Structured 2025'!teamCol,ROW()),ovrTeamCol25,0),MATCH(MID(INDEX('Structured 2025'!headerRow,1,COLUMN()),4,LEN(INDEX('Structured 2025'!headerRow,1,COLUMN()))),ovrHeaderRow25,0))</f>
        <v>7.5</v>
      </c>
      <c r="BH29" s="12">
        <f>INDEX(ovrTable25,MATCH(INDEX('Structured 2025'!teamCol,ROW()),ovrTeamCol25,0),MATCH(MID(INDEX('Structured 2025'!headerRow,1,COLUMN()),4,LEN(INDEX('Structured 2025'!headerRow,1,COLUMN()))),ovrHeaderRow25,0))</f>
        <v>1.8</v>
      </c>
      <c r="BI29" s="12">
        <f>INDEX(ovrTable25,MATCH(INDEX('Structured 2025'!teamCol,ROW()),ovrTeamCol25,0),MATCH(MID(INDEX('Structured 2025'!headerRow,1,COLUMN()),4,LEN(INDEX('Structured 2025'!headerRow,1,COLUMN()))),ovrHeaderRow25,0))</f>
        <v>12.57</v>
      </c>
      <c r="BJ29" s="12">
        <f>INDEX(ovrTable25,MATCH(INDEX('Structured 2025'!teamCol,ROW()),ovrTeamCol25,0),MATCH(MID(INDEX('Structured 2025'!headerRow,1,COLUMN()),4,LEN(INDEX('Structured 2025'!headerRow,1,COLUMN()))),ovrHeaderRow25,0))</f>
        <v>10.8</v>
      </c>
      <c r="BK29" s="12">
        <f>INDEX(ovrTable25,MATCH(INDEX('Structured 2025'!teamCol,ROW()),ovrTeamCol25,0),MATCH(MID(INDEX('Structured 2025'!headerRow,1,COLUMN()),4,LEN(INDEX('Structured 2025'!headerRow,1,COLUMN()))),ovrHeaderRow25,0))</f>
        <v>64.599999999999994</v>
      </c>
      <c r="BL29" s="12">
        <f>INDEX(ovrTable25,MATCH(INDEX('Structured 2025'!teamCol,ROW()),ovrTeamCol25,0),MATCH(MID(INDEX('Structured 2025'!headerRow,1,COLUMN()),4,LEN(INDEX('Structured 2025'!headerRow,1,COLUMN()))),ovrHeaderRow25,0))</f>
        <v>18.599999999999994</v>
      </c>
      <c r="BM29" s="12">
        <f>INDEX(ovrTable25,MATCH(INDEX('Structured 2025'!teamCol,ROW()),ovrTeamCol25,0),MATCH(MID(INDEX('Structured 2025'!headerRow,1,COLUMN()),4,LEN(INDEX('Structured 2025'!headerRow,1,COLUMN()))),ovrHeaderRow25,0))</f>
        <v>60.67415730337077</v>
      </c>
      <c r="BN29" s="12">
        <f>INDEX(ovrTable25,MATCH(INDEX(oppCol,ROW()),ovrTeamCol25,0),MATCH(MID(INDEX('Structured 2025'!headerRow,1,COLUMN()),4,LEN(INDEX('Structured 2025'!headerRow,1,COLUMN()))),ovrHeaderRow25,0))</f>
        <v>35.799999999999997</v>
      </c>
      <c r="BO29" s="12">
        <f>INDEX(ovrTable25,MATCH(INDEX(oppCol,ROW()),ovrTeamCol25,0),MATCH(MID(INDEX('Structured 2025'!headerRow,1,COLUMN()),4,LEN(INDEX('Structured 2025'!headerRow,1,COLUMN()))),ovrHeaderRow25,0))</f>
        <v>8.5</v>
      </c>
      <c r="BP29" s="12">
        <f>INDEX(ovrTable25,MATCH(INDEX(oppCol,ROW()),ovrTeamCol25,0),MATCH(MID(INDEX('Structured 2025'!headerRow,1,COLUMN()),4,LEN(INDEX('Structured 2025'!headerRow,1,COLUMN()))),ovrHeaderRow25,0))</f>
        <v>31.4</v>
      </c>
      <c r="BQ29" s="12">
        <f>INDEX(ovrTable25,MATCH(INDEX(oppCol,ROW()),ovrTeamCol25,0),MATCH(MID(INDEX('Structured 2025'!headerRow,1,COLUMN()),4,LEN(INDEX('Structured 2025'!headerRow,1,COLUMN()))),ovrHeaderRow25,0))</f>
        <v>26.9</v>
      </c>
      <c r="BR29" s="12">
        <f>INDEX(ovrTable25,MATCH(INDEX(oppCol,ROW()),ovrTeamCol25,0),MATCH(MID(INDEX('Structured 2025'!headerRow,1,COLUMN()),4,LEN(INDEX('Structured 2025'!headerRow,1,COLUMN()))),ovrHeaderRow25,0))</f>
        <v>1.42</v>
      </c>
      <c r="BS29" s="12">
        <f>INDEX(ovrTable25,MATCH(INDEX(oppCol,ROW()),ovrTeamCol25,0),MATCH(MID(INDEX('Structured 2025'!headerRow,1,COLUMN()),4,LEN(INDEX('Structured 2025'!headerRow,1,COLUMN()))),ovrHeaderRow25,0))</f>
        <v>15.2</v>
      </c>
      <c r="BT29" s="12">
        <f>INDEX(ovrTable25,MATCH(INDEX(oppCol,ROW()),ovrTeamCol25,0),MATCH(MID(INDEX('Structured 2025'!headerRow,1,COLUMN()),4,LEN(INDEX('Structured 2025'!headerRow,1,COLUMN()))),ovrHeaderRow25,0))</f>
        <v>29.65</v>
      </c>
      <c r="BU29" s="12">
        <f>INDEX(ovrTable25,MATCH(INDEX(oppCol,ROW()),ovrTeamCol25,0),MATCH(MID(INDEX('Structured 2025'!headerRow,1,COLUMN()),4,LEN(INDEX('Structured 2025'!headerRow,1,COLUMN()))),ovrHeaderRow25,0))</f>
        <v>4.5</v>
      </c>
      <c r="BV29" s="12">
        <f>INDEX(ovrTable25,MATCH(INDEX(oppCol,ROW()),ovrTeamCol25,0),MATCH(MID(INDEX('Structured 2025'!headerRow,1,COLUMN()),4,LEN(INDEX('Structured 2025'!headerRow,1,COLUMN()))),ovrHeaderRow25,0))</f>
        <v>43.9</v>
      </c>
      <c r="BW29" s="12">
        <f>INDEX(ovrTable25,MATCH(INDEX(oppCol,ROW()),ovrTeamCol25,0),MATCH(MID(INDEX('Structured 2025'!headerRow,1,COLUMN()),4,LEN(INDEX('Structured 2025'!headerRow,1,COLUMN()))),ovrHeaderRow25,0))</f>
        <v>25.09</v>
      </c>
      <c r="BX29" s="12">
        <f>INDEX(ovrTable25,MATCH(INDEX(oppCol,ROW()),ovrTeamCol25,0),MATCH(MID(INDEX('Structured 2025'!headerRow,1,COLUMN()),4,LEN(INDEX('Structured 2025'!headerRow,1,COLUMN()))),ovrHeaderRow25,0))</f>
        <v>0.51900000000000002</v>
      </c>
      <c r="BY29" s="12">
        <f>INDEX(ovrTable25,MATCH(INDEX(oppCol,ROW()),ovrTeamCol25,0),MATCH(MID(INDEX('Structured 2025'!headerRow,1,COLUMN()),4,LEN(INDEX('Structured 2025'!headerRow,1,COLUMN()))),ovrHeaderRow25,0))</f>
        <v>12.88</v>
      </c>
      <c r="BZ29" s="12">
        <f>INDEX(ovrTable25,MATCH(INDEX(oppCol,ROW()),ovrTeamCol25,0),MATCH(MID(INDEX('Structured 2025'!headerRow,1,COLUMN()),4,LEN(INDEX('Structured 2025'!headerRow,1,COLUMN()))),ovrHeaderRow25,0))</f>
        <v>45.2</v>
      </c>
      <c r="CA29" s="12">
        <f>INDEX(ovrTable25,MATCH(INDEX(oppCol,ROW()),ovrTeamCol25,0),MATCH(MID(INDEX('Structured 2025'!headerRow,1,COLUMN()),4,LEN(INDEX('Structured 2025'!headerRow,1,COLUMN()))),ovrHeaderRow25,0))</f>
        <v>17.399999999999999</v>
      </c>
      <c r="CB29" s="12">
        <f>INDEX(ovrTable25,MATCH(INDEX(oppCol,ROW()),ovrTeamCol25,0),MATCH(MID(INDEX('Structured 2025'!headerRow,1,COLUMN()),4,LEN(INDEX('Structured 2025'!headerRow,1,COLUMN()))),ovrHeaderRow25,0))</f>
        <v>70.099999999999994</v>
      </c>
      <c r="CC29" s="12">
        <f>INDEX(ovrTable25,MATCH(INDEX(oppCol,ROW()),ovrTeamCol25,0),MATCH(MID(INDEX('Structured 2025'!headerRow,1,COLUMN()),4,LEN(INDEX('Structured 2025'!headerRow,1,COLUMN()))),ovrHeaderRow25,0))</f>
        <v>19.899999999999999</v>
      </c>
      <c r="CD29" s="12">
        <f>INDEX(ovrTable25,MATCH(INDEX(oppCol,ROW()),ovrTeamCol25,0),MATCH(MID(INDEX('Structured 2025'!headerRow,1,COLUMN()),4,LEN(INDEX('Structured 2025'!headerRow,1,COLUMN()))),ovrHeaderRow25,0))</f>
        <v>13.9</v>
      </c>
      <c r="CE29" s="12">
        <f>INDEX(ovrTable25,MATCH(INDEX(oppCol,ROW()),ovrTeamCol25,0),MATCH(MID(INDEX('Structured 2025'!headerRow,1,COLUMN()),4,LEN(INDEX('Structured 2025'!headerRow,1,COLUMN()))),ovrHeaderRow25,0))</f>
        <v>74.2</v>
      </c>
      <c r="CF29" s="12">
        <f>INDEX(ovrTable25,MATCH(INDEX(oppCol,ROW()),ovrTeamCol25,0),MATCH(MID(INDEX('Structured 2025'!headerRow,1,COLUMN()),4,LEN(INDEX('Structured 2025'!headerRow,1,COLUMN()))),ovrHeaderRow25,0))</f>
        <v>12.79</v>
      </c>
      <c r="CG29" s="12">
        <f>INDEX(ovrTable25,MATCH(INDEX(oppCol,ROW()),ovrTeamCol25,0),MATCH(MID(INDEX('Structured 2025'!headerRow,1,COLUMN()),4,LEN(INDEX('Structured 2025'!headerRow,1,COLUMN()))),ovrHeaderRow25,0))</f>
        <v>79.5</v>
      </c>
      <c r="CH29" s="12">
        <f>INDEX(ovrTable25,MATCH(INDEX(oppCol,ROW()),ovrTeamCol25,0),MATCH(MID(INDEX('Structured 2025'!headerRow,1,COLUMN()),4,LEN(INDEX('Structured 2025'!headerRow,1,COLUMN()))),ovrHeaderRow25,0))</f>
        <v>2.2000000000000002</v>
      </c>
      <c r="CI29" s="12">
        <f>INDEX(ovrTable25,MATCH(INDEX(oppCol,ROW()),ovrTeamCol25,0),MATCH(MID(INDEX('Structured 2025'!headerRow,1,COLUMN()),4,LEN(INDEX('Structured 2025'!headerRow,1,COLUMN()))),ovrHeaderRow25,0))</f>
        <v>37.880000000000003</v>
      </c>
      <c r="CJ29" s="12">
        <f>INDEX(ovrTable25,MATCH(INDEX(oppCol,ROW()),ovrTeamCol25,0),MATCH(MID(INDEX('Structured 2025'!headerRow,1,COLUMN()),4,LEN(INDEX('Structured 2025'!headerRow,1,COLUMN()))),ovrHeaderRow25,0))</f>
        <v>5.4</v>
      </c>
      <c r="CK29" s="12">
        <f>INDEX(ovrTable25,MATCH(INDEX(oppCol,ROW()),ovrTeamCol25,0),MATCH(MID(INDEX('Structured 2025'!headerRow,1,COLUMN()),4,LEN(INDEX('Structured 2025'!headerRow,1,COLUMN()))),ovrHeaderRow25,0))</f>
        <v>9.1</v>
      </c>
      <c r="CL29" s="12">
        <f>INDEX(ovrTable25,MATCH(INDEX(oppCol,ROW()),ovrTeamCol25,0),MATCH(MID(INDEX('Structured 2025'!headerRow,1,COLUMN()),4,LEN(INDEX('Structured 2025'!headerRow,1,COLUMN()))),ovrHeaderRow25,0))</f>
        <v>2.6</v>
      </c>
      <c r="CM29" s="12">
        <f>INDEX(ovrTable25,MATCH(INDEX(oppCol,ROW()),ovrTeamCol25,0),MATCH(MID(INDEX('Structured 2025'!headerRow,1,COLUMN()),4,LEN(INDEX('Structured 2025'!headerRow,1,COLUMN()))),ovrHeaderRow25,0))</f>
        <v>13.29</v>
      </c>
      <c r="CN29" s="12">
        <f>INDEX(ovrTable25,MATCH(INDEX(oppCol,ROW()),ovrTeamCol25,0),MATCH(MID(INDEX('Structured 2025'!headerRow,1,COLUMN()),4,LEN(INDEX('Structured 2025'!headerRow,1,COLUMN()))),ovrHeaderRow25,0))</f>
        <v>10.7</v>
      </c>
      <c r="CO29" s="12">
        <f>INDEX(ovrTable25,MATCH(INDEX(oppCol,ROW()),ovrTeamCol25,0),MATCH(MID(INDEX('Structured 2025'!headerRow,1,COLUMN()),4,LEN(INDEX('Structured 2025'!headerRow,1,COLUMN()))),ovrHeaderRow25,0))</f>
        <v>68.3</v>
      </c>
      <c r="CP29" s="12">
        <f>INDEX(ovrTable25,MATCH(INDEX(oppCol,ROW()),ovrTeamCol25,0),MATCH(MID(INDEX('Structured 2025'!headerRow,1,COLUMN()),4,LEN(INDEX('Structured 2025'!headerRow,1,COLUMN()))),ovrHeaderRow25,0))</f>
        <v>20.049999999999997</v>
      </c>
      <c r="CQ29" s="12">
        <f>INDEX(ovrTable25,MATCH(INDEX(oppCol,ROW()),ovrTeamCol25,0),MATCH(MID(INDEX('Structured 2025'!headerRow,1,COLUMN()),4,LEN(INDEX('Structured 2025'!headerRow,1,COLUMN()))),ovrHeaderRow25,0))</f>
        <v>63.16371681415928</v>
      </c>
    </row>
    <row r="30" spans="1:95" x14ac:dyDescent="0.3">
      <c r="A30" s="6" t="s">
        <v>65</v>
      </c>
      <c r="B30" s="3">
        <v>5</v>
      </c>
      <c r="C30" s="13" t="str">
        <f>A31</f>
        <v>LIB</v>
      </c>
      <c r="D30" s="14">
        <f t="shared" si="26"/>
        <v>15</v>
      </c>
      <c r="E30" s="23">
        <v>0.21621621621621623</v>
      </c>
      <c r="F30" s="24">
        <v>54.385964912280706</v>
      </c>
      <c r="G30" s="24">
        <v>10</v>
      </c>
      <c r="H30" s="23">
        <v>47.619047619047613</v>
      </c>
      <c r="I30" s="24">
        <v>21</v>
      </c>
      <c r="J30" s="25">
        <v>0.8571428571428571</v>
      </c>
      <c r="K30" s="24">
        <v>9</v>
      </c>
      <c r="L30" s="24">
        <v>11</v>
      </c>
      <c r="M30" s="24">
        <v>9</v>
      </c>
      <c r="N30" s="24">
        <v>34</v>
      </c>
      <c r="O30" s="24">
        <v>12</v>
      </c>
      <c r="P30" s="24">
        <v>11</v>
      </c>
      <c r="Q30" s="24">
        <v>2</v>
      </c>
      <c r="R30" s="24">
        <v>14</v>
      </c>
      <c r="S30" s="24">
        <v>11</v>
      </c>
      <c r="T30" s="24">
        <v>10</v>
      </c>
      <c r="U30" s="24">
        <v>29</v>
      </c>
      <c r="V30" s="24">
        <v>0.32786885245901637</v>
      </c>
      <c r="W30" s="26">
        <v>0.63157894736842102</v>
      </c>
      <c r="X30" s="23">
        <v>81.818181818181827</v>
      </c>
      <c r="Y30" s="24">
        <v>52</v>
      </c>
      <c r="Z30" s="24">
        <v>81</v>
      </c>
      <c r="AA30" s="24">
        <v>16</v>
      </c>
      <c r="AB30" s="24">
        <v>43</v>
      </c>
      <c r="AC30" s="24">
        <v>29</v>
      </c>
      <c r="AD30" s="24">
        <v>-2</v>
      </c>
      <c r="AE30" s="24">
        <v>12</v>
      </c>
      <c r="AF30" s="34">
        <f t="shared" si="0"/>
        <v>21</v>
      </c>
      <c r="AG30" s="34">
        <f t="shared" si="1"/>
        <v>36</v>
      </c>
      <c r="AH30" s="46">
        <f t="shared" si="2"/>
        <v>67.224999999999994</v>
      </c>
      <c r="AI30" s="51">
        <f t="shared" ref="AI30" si="30">AVERAGE(AH30,AH31)</f>
        <v>67.512499999999989</v>
      </c>
      <c r="AJ30" s="12">
        <f>INDEX(ovrTable25,MATCH(INDEX('Structured 2025'!teamCol,ROW()),ovrTeamCol25,0),MATCH(MID(INDEX('Structured 2025'!headerRow,1,COLUMN()),4,LEN(INDEX('Structured 2025'!headerRow,1,COLUMN()))),ovrHeaderRow25,0))</f>
        <v>31.7</v>
      </c>
      <c r="AK30" s="12">
        <f>INDEX(ovrTable25,MATCH(INDEX('Structured 2025'!teamCol,ROW()),ovrTeamCol25,0),MATCH(MID(INDEX('Structured 2025'!headerRow,1,COLUMN()),4,LEN(INDEX('Structured 2025'!headerRow,1,COLUMN()))),ovrHeaderRow25,0))</f>
        <v>7.7</v>
      </c>
      <c r="AL30" s="12">
        <f>INDEX(ovrTable25,MATCH(INDEX('Structured 2025'!teamCol,ROW()),ovrTeamCol25,0),MATCH(MID(INDEX('Structured 2025'!headerRow,1,COLUMN()),4,LEN(INDEX('Structured 2025'!headerRow,1,COLUMN()))),ovrHeaderRow25,0))</f>
        <v>34.4</v>
      </c>
      <c r="AM30" s="12">
        <f>INDEX(ovrTable25,MATCH(INDEX('Structured 2025'!teamCol,ROW()),ovrTeamCol25,0),MATCH(MID(INDEX('Structured 2025'!headerRow,1,COLUMN()),4,LEN(INDEX('Structured 2025'!headerRow,1,COLUMN()))),ovrHeaderRow25,0))</f>
        <v>22.5</v>
      </c>
      <c r="AN30" s="12">
        <f>INDEX(ovrTable25,MATCH(INDEX('Structured 2025'!teamCol,ROW()),ovrTeamCol25,0),MATCH(MID(INDEX('Structured 2025'!headerRow,1,COLUMN()),4,LEN(INDEX('Structured 2025'!headerRow,1,COLUMN()))),ovrHeaderRow25,0))</f>
        <v>1.27</v>
      </c>
      <c r="AO30" s="12">
        <f>INDEX(ovrTable25,MATCH(INDEX('Structured 2025'!teamCol,ROW()),ovrTeamCol25,0),MATCH(MID(INDEX('Structured 2025'!headerRow,1,COLUMN()),4,LEN(INDEX('Structured 2025'!headerRow,1,COLUMN()))),ovrHeaderRow25,0))</f>
        <v>14.3</v>
      </c>
      <c r="AP30" s="12">
        <f>INDEX(ovrTable25,MATCH(INDEX('Structured 2025'!teamCol,ROW()),ovrTeamCol25,0),MATCH(MID(INDEX('Structured 2025'!headerRow,1,COLUMN()),4,LEN(INDEX('Structured 2025'!headerRow,1,COLUMN()))),ovrHeaderRow25,0))</f>
        <v>21.94</v>
      </c>
      <c r="AQ30" s="12">
        <f>INDEX(ovrTable25,MATCH(INDEX('Structured 2025'!teamCol,ROW()),ovrTeamCol25,0),MATCH(MID(INDEX('Structured 2025'!headerRow,1,COLUMN()),4,LEN(INDEX('Structured 2025'!headerRow,1,COLUMN()))),ovrHeaderRow25,0))</f>
        <v>3.7</v>
      </c>
      <c r="AR30" s="12">
        <f>INDEX(ovrTable25,MATCH(INDEX('Structured 2025'!teamCol,ROW()),ovrTeamCol25,0),MATCH(MID(INDEX('Structured 2025'!headerRow,1,COLUMN()),4,LEN(INDEX('Structured 2025'!headerRow,1,COLUMN()))),ovrHeaderRow25,0))</f>
        <v>42.9</v>
      </c>
      <c r="AS30" s="12">
        <f>INDEX(ovrTable25,MATCH(INDEX('Structured 2025'!teamCol,ROW()),ovrTeamCol25,0),MATCH(MID(INDEX('Structured 2025'!headerRow,1,COLUMN()),4,LEN(INDEX('Structured 2025'!headerRow,1,COLUMN()))),ovrHeaderRow25,0))</f>
        <v>25.6</v>
      </c>
      <c r="AT30" s="12">
        <f>INDEX(ovrTable25,MATCH(INDEX('Structured 2025'!teamCol,ROW()),ovrTeamCol25,0),MATCH(MID(INDEX('Structured 2025'!headerRow,1,COLUMN()),4,LEN(INDEX('Structured 2025'!headerRow,1,COLUMN()))),ovrHeaderRow25,0))</f>
        <v>0.52500000000000002</v>
      </c>
      <c r="AU30" s="12">
        <f>INDEX(ovrTable25,MATCH(INDEX('Structured 2025'!teamCol,ROW()),ovrTeamCol25,0),MATCH(MID(INDEX('Structured 2025'!headerRow,1,COLUMN()),4,LEN(INDEX('Structured 2025'!headerRow,1,COLUMN()))),ovrHeaderRow25,0))</f>
        <v>11.91</v>
      </c>
      <c r="AV30" s="12">
        <f>INDEX(ovrTable25,MATCH(INDEX('Structured 2025'!teamCol,ROW()),ovrTeamCol25,0),MATCH(MID(INDEX('Structured 2025'!headerRow,1,COLUMN()),4,LEN(INDEX('Structured 2025'!headerRow,1,COLUMN()))),ovrHeaderRow25,0))</f>
        <v>46</v>
      </c>
      <c r="AW30" s="12">
        <f>INDEX(ovrTable25,MATCH(INDEX('Structured 2025'!teamCol,ROW()),ovrTeamCol25,0),MATCH(MID(INDEX('Structured 2025'!headerRow,1,COLUMN()),4,LEN(INDEX('Structured 2025'!headerRow,1,COLUMN()))),ovrHeaderRow25,0))</f>
        <v>16.3</v>
      </c>
      <c r="AX30" s="12">
        <f>INDEX(ovrTable25,MATCH(INDEX('Structured 2025'!teamCol,ROW()),ovrTeamCol25,0),MATCH(MID(INDEX('Structured 2025'!headerRow,1,COLUMN()),4,LEN(INDEX('Structured 2025'!headerRow,1,COLUMN()))),ovrHeaderRow25,0))</f>
        <v>75.7</v>
      </c>
      <c r="AY30" s="12">
        <f>INDEX(ovrTable25,MATCH(INDEX('Structured 2025'!teamCol,ROW()),ovrTeamCol25,0),MATCH(MID(INDEX('Structured 2025'!headerRow,1,COLUMN()),4,LEN(INDEX('Structured 2025'!headerRow,1,COLUMN()))),ovrHeaderRow25,0))</f>
        <v>19.399999999999999</v>
      </c>
      <c r="AZ30" s="12">
        <f>INDEX(ovrTable25,MATCH(INDEX('Structured 2025'!teamCol,ROW()),ovrTeamCol25,0),MATCH(MID(INDEX('Structured 2025'!headerRow,1,COLUMN()),4,LEN(INDEX('Structured 2025'!headerRow,1,COLUMN()))),ovrHeaderRow25,0))</f>
        <v>14.7</v>
      </c>
      <c r="BA30" s="12">
        <f>INDEX(ovrTable25,MATCH(INDEX('Structured 2025'!teamCol,ROW()),ovrTeamCol25,0),MATCH(MID(INDEX('Structured 2025'!headerRow,1,COLUMN()),4,LEN(INDEX('Structured 2025'!headerRow,1,COLUMN()))),ovrHeaderRow25,0))</f>
        <v>70.900000000000006</v>
      </c>
      <c r="BB30" s="12">
        <f>INDEX(ovrTable25,MATCH(INDEX('Structured 2025'!teamCol,ROW()),ovrTeamCol25,0),MATCH(MID(INDEX('Structured 2025'!headerRow,1,COLUMN()),4,LEN(INDEX('Structured 2025'!headerRow,1,COLUMN()))),ovrHeaderRow25,0))</f>
        <v>10.199999999999999</v>
      </c>
      <c r="BC30" s="12">
        <f>INDEX(ovrTable25,MATCH(INDEX('Structured 2025'!teamCol,ROW()),ovrTeamCol25,0),MATCH(MID(INDEX('Structured 2025'!headerRow,1,COLUMN()),4,LEN(INDEX('Structured 2025'!headerRow,1,COLUMN()))),ovrHeaderRow25,0))</f>
        <v>76.5</v>
      </c>
      <c r="BD30" s="12">
        <f>INDEX(ovrTable25,MATCH(INDEX('Structured 2025'!teamCol,ROW()),ovrTeamCol25,0),MATCH(MID(INDEX('Structured 2025'!headerRow,1,COLUMN()),4,LEN(INDEX('Structured 2025'!headerRow,1,COLUMN()))),ovrHeaderRow25,0))</f>
        <v>2</v>
      </c>
      <c r="BE30" s="12">
        <f>INDEX(ovrTable25,MATCH(INDEX('Structured 2025'!teamCol,ROW()),ovrTeamCol25,0),MATCH(MID(INDEX('Structured 2025'!headerRow,1,COLUMN()),4,LEN(INDEX('Structured 2025'!headerRow,1,COLUMN()))),ovrHeaderRow25,0))</f>
        <v>35.799999999999997</v>
      </c>
      <c r="BF30" s="12">
        <f>INDEX(ovrTable25,MATCH(INDEX('Structured 2025'!teamCol,ROW()),ovrTeamCol25,0),MATCH(MID(INDEX('Structured 2025'!headerRow,1,COLUMN()),4,LEN(INDEX('Structured 2025'!headerRow,1,COLUMN()))),ovrHeaderRow25,0))</f>
        <v>5.7</v>
      </c>
      <c r="BG30" s="12">
        <f>INDEX(ovrTable25,MATCH(INDEX('Structured 2025'!teamCol,ROW()),ovrTeamCol25,0),MATCH(MID(INDEX('Structured 2025'!headerRow,1,COLUMN()),4,LEN(INDEX('Structured 2025'!headerRow,1,COLUMN()))),ovrHeaderRow25,0))</f>
        <v>7.2</v>
      </c>
      <c r="BH30" s="12">
        <f>INDEX(ovrTable25,MATCH(INDEX('Structured 2025'!teamCol,ROW()),ovrTeamCol25,0),MATCH(MID(INDEX('Structured 2025'!headerRow,1,COLUMN()),4,LEN(INDEX('Structured 2025'!headerRow,1,COLUMN()))),ovrHeaderRow25,0))</f>
        <v>0.9</v>
      </c>
      <c r="BI30" s="12">
        <f>INDEX(ovrTable25,MATCH(INDEX('Structured 2025'!teamCol,ROW()),ovrTeamCol25,0),MATCH(MID(INDEX('Structured 2025'!headerRow,1,COLUMN()),4,LEN(INDEX('Structured 2025'!headerRow,1,COLUMN()))),ovrHeaderRow25,0))</f>
        <v>12.14</v>
      </c>
      <c r="BJ30" s="12">
        <f>INDEX(ovrTable25,MATCH(INDEX('Structured 2025'!teamCol,ROW()),ovrTeamCol25,0),MATCH(MID(INDEX('Structured 2025'!headerRow,1,COLUMN()),4,LEN(INDEX('Structured 2025'!headerRow,1,COLUMN()))),ovrHeaderRow25,0))</f>
        <v>11.3</v>
      </c>
      <c r="BK30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30" s="12">
        <f>INDEX(ovrTable25,MATCH(INDEX('Structured 2025'!teamCol,ROW()),ovrTeamCol25,0),MATCH(MID(INDEX('Structured 2025'!headerRow,1,COLUMN()),4,LEN(INDEX('Structured 2025'!headerRow,1,COLUMN()))),ovrHeaderRow25,0))</f>
        <v>19.349999999999998</v>
      </c>
      <c r="BM30" s="12">
        <f>INDEX(ovrTable25,MATCH(INDEX('Structured 2025'!teamCol,ROW()),ovrTeamCol25,0),MATCH(MID(INDEX('Structured 2025'!headerRow,1,COLUMN()),4,LEN(INDEX('Structured 2025'!headerRow,1,COLUMN()))),ovrHeaderRow25,0))</f>
        <v>58.804347826086946</v>
      </c>
      <c r="BN30" s="12">
        <f>INDEX(ovrTable25,MATCH(INDEX(oppCol,ROW()),ovrTeamCol25,0),MATCH(MID(INDEX('Structured 2025'!headerRow,1,COLUMN()),4,LEN(INDEX('Structured 2025'!headerRow,1,COLUMN()))),ovrHeaderRow25,0))</f>
        <v>28.8</v>
      </c>
      <c r="BO30" s="12">
        <f>INDEX(ovrTable25,MATCH(INDEX(oppCol,ROW()),ovrTeamCol25,0),MATCH(MID(INDEX('Structured 2025'!headerRow,1,COLUMN()),4,LEN(INDEX('Structured 2025'!headerRow,1,COLUMN()))),ovrHeaderRow25,0))</f>
        <v>10.5</v>
      </c>
      <c r="BP30" s="12">
        <f>INDEX(ovrTable25,MATCH(INDEX(oppCol,ROW()),ovrTeamCol25,0),MATCH(MID(INDEX('Structured 2025'!headerRow,1,COLUMN()),4,LEN(INDEX('Structured 2025'!headerRow,1,COLUMN()))),ovrHeaderRow25,0))</f>
        <v>38.299999999999997</v>
      </c>
      <c r="BQ30" s="12">
        <f>INDEX(ovrTable25,MATCH(INDEX(oppCol,ROW()),ovrTeamCol25,0),MATCH(MID(INDEX('Structured 2025'!headerRow,1,COLUMN()),4,LEN(INDEX('Structured 2025'!headerRow,1,COLUMN()))),ovrHeaderRow25,0))</f>
        <v>27.4</v>
      </c>
      <c r="BR30" s="12">
        <f>INDEX(ovrTable25,MATCH(INDEX(oppCol,ROW()),ovrTeamCol25,0),MATCH(MID(INDEX('Structured 2025'!headerRow,1,COLUMN()),4,LEN(INDEX('Structured 2025'!headerRow,1,COLUMN()))),ovrHeaderRow25,0))</f>
        <v>1.66</v>
      </c>
      <c r="BS30" s="12">
        <f>INDEX(ovrTable25,MATCH(INDEX(oppCol,ROW()),ovrTeamCol25,0),MATCH(MID(INDEX('Structured 2025'!headerRow,1,COLUMN()),4,LEN(INDEX('Structured 2025'!headerRow,1,COLUMN()))),ovrHeaderRow25,0))</f>
        <v>16.8</v>
      </c>
      <c r="BT30" s="12">
        <f>INDEX(ovrTable25,MATCH(INDEX(oppCol,ROW()),ovrTeamCol25,0),MATCH(MID(INDEX('Structured 2025'!headerRow,1,COLUMN()),4,LEN(INDEX('Structured 2025'!headerRow,1,COLUMN()))),ovrHeaderRow25,0))</f>
        <v>24.46</v>
      </c>
      <c r="BU30" s="12">
        <f>INDEX(ovrTable25,MATCH(INDEX(oppCol,ROW()),ovrTeamCol25,0),MATCH(MID(INDEX('Structured 2025'!headerRow,1,COLUMN()),4,LEN(INDEX('Structured 2025'!headerRow,1,COLUMN()))),ovrHeaderRow25,0))</f>
        <v>2.9</v>
      </c>
      <c r="BV30" s="12">
        <f>INDEX(ovrTable25,MATCH(INDEX(oppCol,ROW()),ovrTeamCol25,0),MATCH(MID(INDEX('Structured 2025'!headerRow,1,COLUMN()),4,LEN(INDEX('Structured 2025'!headerRow,1,COLUMN()))),ovrHeaderRow25,0))</f>
        <v>40.5</v>
      </c>
      <c r="BW30" s="12">
        <f>INDEX(ovrTable25,MATCH(INDEX(oppCol,ROW()),ovrTeamCol25,0),MATCH(MID(INDEX('Structured 2025'!headerRow,1,COLUMN()),4,LEN(INDEX('Structured 2025'!headerRow,1,COLUMN()))),ovrHeaderRow25,0))</f>
        <v>26.37</v>
      </c>
      <c r="BX30" s="12">
        <f>INDEX(ovrTable25,MATCH(INDEX(oppCol,ROW()),ovrTeamCol25,0),MATCH(MID(INDEX('Structured 2025'!headerRow,1,COLUMN()),4,LEN(INDEX('Structured 2025'!headerRow,1,COLUMN()))),ovrHeaderRow25,0))</f>
        <v>0.58299999999999996</v>
      </c>
      <c r="BY30" s="12">
        <f>INDEX(ovrTable25,MATCH(INDEX(oppCol,ROW()),ovrTeamCol25,0),MATCH(MID(INDEX('Structured 2025'!headerRow,1,COLUMN()),4,LEN(INDEX('Structured 2025'!headerRow,1,COLUMN()))),ovrHeaderRow25,0))</f>
        <v>7.74</v>
      </c>
      <c r="BZ30" s="12">
        <f>INDEX(ovrTable25,MATCH(INDEX(oppCol,ROW()),ovrTeamCol25,0),MATCH(MID(INDEX('Structured 2025'!headerRow,1,COLUMN()),4,LEN(INDEX('Structured 2025'!headerRow,1,COLUMN()))),ovrHeaderRow25,0))</f>
        <v>48.9</v>
      </c>
      <c r="CA30" s="12">
        <f>INDEX(ovrTable25,MATCH(INDEX(oppCol,ROW()),ovrTeamCol25,0),MATCH(MID(INDEX('Structured 2025'!headerRow,1,COLUMN()),4,LEN(INDEX('Structured 2025'!headerRow,1,COLUMN()))),ovrHeaderRow25,0))</f>
        <v>13.4</v>
      </c>
      <c r="CB30" s="12">
        <f>INDEX(ovrTable25,MATCH(INDEX(oppCol,ROW()),ovrTeamCol25,0),MATCH(MID(INDEX('Structured 2025'!headerRow,1,COLUMN()),4,LEN(INDEX('Structured 2025'!headerRow,1,COLUMN()))),ovrHeaderRow25,0))</f>
        <v>65.8</v>
      </c>
      <c r="CC30" s="12">
        <f>INDEX(ovrTable25,MATCH(INDEX(oppCol,ROW()),ovrTeamCol25,0),MATCH(MID(INDEX('Structured 2025'!headerRow,1,COLUMN()),4,LEN(INDEX('Structured 2025'!headerRow,1,COLUMN()))),ovrHeaderRow25,0))</f>
        <v>16.100000000000001</v>
      </c>
      <c r="CD30" s="12">
        <f>INDEX(ovrTable25,MATCH(INDEX(oppCol,ROW()),ovrTeamCol25,0),MATCH(MID(INDEX('Structured 2025'!headerRow,1,COLUMN()),4,LEN(INDEX('Structured 2025'!headerRow,1,COLUMN()))),ovrHeaderRow25,0))</f>
        <v>10.6</v>
      </c>
      <c r="CE30" s="12">
        <f>INDEX(ovrTable25,MATCH(INDEX(oppCol,ROW()),ovrTeamCol25,0),MATCH(MID(INDEX('Structured 2025'!headerRow,1,COLUMN()),4,LEN(INDEX('Structured 2025'!headerRow,1,COLUMN()))),ovrHeaderRow25,0))</f>
        <v>63.4</v>
      </c>
      <c r="CF30" s="12">
        <f>INDEX(ovrTable25,MATCH(INDEX(oppCol,ROW()),ovrTeamCol25,0),MATCH(MID(INDEX('Structured 2025'!headerRow,1,COLUMN()),4,LEN(INDEX('Structured 2025'!headerRow,1,COLUMN()))),ovrHeaderRow25,0))</f>
        <v>6.49</v>
      </c>
      <c r="CG30" s="12">
        <f>INDEX(ovrTable25,MATCH(INDEX(oppCol,ROW()),ovrTeamCol25,0),MATCH(MID(INDEX('Structured 2025'!headerRow,1,COLUMN()),4,LEN(INDEX('Structured 2025'!headerRow,1,COLUMN()))),ovrHeaderRow25,0))</f>
        <v>75.900000000000006</v>
      </c>
      <c r="CH30" s="12">
        <f>INDEX(ovrTable25,MATCH(INDEX(oppCol,ROW()),ovrTeamCol25,0),MATCH(MID(INDEX('Structured 2025'!headerRow,1,COLUMN()),4,LEN(INDEX('Structured 2025'!headerRow,1,COLUMN()))),ovrHeaderRow25,0))</f>
        <v>-1.5</v>
      </c>
      <c r="CI30" s="12">
        <f>INDEX(ovrTable25,MATCH(INDEX(oppCol,ROW()),ovrTeamCol25,0),MATCH(MID(INDEX('Structured 2025'!headerRow,1,COLUMN()),4,LEN(INDEX('Structured 2025'!headerRow,1,COLUMN()))),ovrHeaderRow25,0))</f>
        <v>32.86</v>
      </c>
      <c r="CJ30" s="12">
        <f>INDEX(ovrTable25,MATCH(INDEX(oppCol,ROW()),ovrTeamCol25,0),MATCH(MID(INDEX('Structured 2025'!headerRow,1,COLUMN()),4,LEN(INDEX('Structured 2025'!headerRow,1,COLUMN()))),ovrHeaderRow25,0))</f>
        <v>12.5</v>
      </c>
      <c r="CK30" s="12">
        <f>INDEX(ovrTable25,MATCH(INDEX(oppCol,ROW()),ovrTeamCol25,0),MATCH(MID(INDEX('Structured 2025'!headerRow,1,COLUMN()),4,LEN(INDEX('Structured 2025'!headerRow,1,COLUMN()))),ovrHeaderRow25,0))</f>
        <v>6.6</v>
      </c>
      <c r="CL30" s="12">
        <f>INDEX(ovrTable25,MATCH(INDEX(oppCol,ROW()),ovrTeamCol25,0),MATCH(MID(INDEX('Structured 2025'!headerRow,1,COLUMN()),4,LEN(INDEX('Structured 2025'!headerRow,1,COLUMN()))),ovrHeaderRow25,0))</f>
        <v>2</v>
      </c>
      <c r="CM30" s="12">
        <f>INDEX(ovrTable25,MATCH(INDEX(oppCol,ROW()),ovrTeamCol25,0),MATCH(MID(INDEX('Structured 2025'!headerRow,1,COLUMN()),4,LEN(INDEX('Structured 2025'!headerRow,1,COLUMN()))),ovrHeaderRow25,0))</f>
        <v>12.09</v>
      </c>
      <c r="CN30" s="12">
        <f>INDEX(ovrTable25,MATCH(INDEX(oppCol,ROW()),ovrTeamCol25,0),MATCH(MID(INDEX('Structured 2025'!headerRow,1,COLUMN()),4,LEN(INDEX('Structured 2025'!headerRow,1,COLUMN()))),ovrHeaderRow25,0))</f>
        <v>10.1</v>
      </c>
      <c r="CO30" s="12">
        <f>INDEX(ovrTable25,MATCH(INDEX(oppCol,ROW()),ovrTeamCol25,0),MATCH(MID(INDEX('Structured 2025'!headerRow,1,COLUMN()),4,LEN(INDEX('Structured 2025'!headerRow,1,COLUMN()))),ovrHeaderRow25,0))</f>
        <v>65.599999999999994</v>
      </c>
      <c r="CP30" s="12">
        <f>INDEX(ovrTable25,MATCH(INDEX(oppCol,ROW()),ovrTeamCol25,0),MATCH(MID(INDEX('Structured 2025'!headerRow,1,COLUMN()),4,LEN(INDEX('Structured 2025'!headerRow,1,COLUMN()))),ovrHeaderRow25,0))</f>
        <v>16.900000000000006</v>
      </c>
      <c r="CQ30" s="12">
        <f>INDEX(ovrTable25,MATCH(INDEX(oppCol,ROW()),ovrTeamCol25,0),MATCH(MID(INDEX('Structured 2025'!headerRow,1,COLUMN()),4,LEN(INDEX('Structured 2025'!headerRow,1,COLUMN()))),ovrHeaderRow25,0))</f>
        <v>56.03271983640083</v>
      </c>
    </row>
    <row r="31" spans="1:95" x14ac:dyDescent="0.3">
      <c r="A31" s="6" t="s">
        <v>334</v>
      </c>
      <c r="B31" s="3">
        <v>12</v>
      </c>
      <c r="C31" s="13" t="str">
        <f>A30</f>
        <v>ORE</v>
      </c>
      <c r="D31" s="14">
        <f t="shared" si="26"/>
        <v>15</v>
      </c>
      <c r="E31" s="23">
        <v>0.47619047619047616</v>
      </c>
      <c r="F31" s="24">
        <v>32.786885245901637</v>
      </c>
      <c r="G31" s="24">
        <v>8</v>
      </c>
      <c r="H31" s="23">
        <v>21.621621621621621</v>
      </c>
      <c r="I31" s="24">
        <v>37</v>
      </c>
      <c r="J31" s="25">
        <v>1.1666666666666667</v>
      </c>
      <c r="K31" s="24">
        <v>4</v>
      </c>
      <c r="L31" s="24">
        <v>8</v>
      </c>
      <c r="M31" s="24">
        <v>9</v>
      </c>
      <c r="N31" s="24">
        <v>18</v>
      </c>
      <c r="O31" s="24">
        <v>14</v>
      </c>
      <c r="P31" s="24">
        <v>6</v>
      </c>
      <c r="Q31" s="24">
        <v>4</v>
      </c>
      <c r="R31" s="24">
        <v>12</v>
      </c>
      <c r="S31" s="24">
        <v>2</v>
      </c>
      <c r="T31" s="24">
        <v>11</v>
      </c>
      <c r="U31" s="24">
        <v>21</v>
      </c>
      <c r="V31" s="24">
        <v>0.54385964912280704</v>
      </c>
      <c r="W31" s="26">
        <v>0.39344262295081961</v>
      </c>
      <c r="X31" s="23">
        <v>50</v>
      </c>
      <c r="Y31" s="24">
        <v>81</v>
      </c>
      <c r="Z31" s="24">
        <v>52</v>
      </c>
      <c r="AA31" s="24">
        <v>-16</v>
      </c>
      <c r="AB31" s="24">
        <v>27</v>
      </c>
      <c r="AC31" s="24">
        <v>-29</v>
      </c>
      <c r="AD31" s="24">
        <v>2</v>
      </c>
      <c r="AE31" s="24">
        <v>14</v>
      </c>
      <c r="AF31" s="34">
        <f t="shared" si="0"/>
        <v>12</v>
      </c>
      <c r="AG31" s="34">
        <f t="shared" si="1"/>
        <v>24.000000000000007</v>
      </c>
      <c r="AH31" s="46">
        <f t="shared" si="2"/>
        <v>67.8</v>
      </c>
      <c r="AI31" s="51">
        <f t="shared" ref="AI31" si="31">AVERAGE(AH30,AH31)</f>
        <v>67.512499999999989</v>
      </c>
      <c r="AJ31" s="12">
        <f>INDEX(ovrTable25,MATCH(INDEX('Structured 2025'!teamCol,ROW()),ovrTeamCol25,0),MATCH(MID(INDEX('Structured 2025'!headerRow,1,COLUMN()),4,LEN(INDEX('Structured 2025'!headerRow,1,COLUMN()))),ovrHeaderRow25,0))</f>
        <v>28.8</v>
      </c>
      <c r="AK31" s="12">
        <f>INDEX(ovrTable25,MATCH(INDEX('Structured 2025'!teamCol,ROW()),ovrTeamCol25,0),MATCH(MID(INDEX('Structured 2025'!headerRow,1,COLUMN()),4,LEN(INDEX('Structured 2025'!headerRow,1,COLUMN()))),ovrHeaderRow25,0))</f>
        <v>10.5</v>
      </c>
      <c r="AL31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M31" s="12">
        <f>INDEX(ovrTable25,MATCH(INDEX('Structured 2025'!teamCol,ROW()),ovrTeamCol25,0),MATCH(MID(INDEX('Structured 2025'!headerRow,1,COLUMN()),4,LEN(INDEX('Structured 2025'!headerRow,1,COLUMN()))),ovrHeaderRow25,0))</f>
        <v>27.4</v>
      </c>
      <c r="AN31" s="12">
        <f>INDEX(ovrTable25,MATCH(INDEX('Structured 2025'!teamCol,ROW()),ovrTeamCol25,0),MATCH(MID(INDEX('Structured 2025'!headerRow,1,COLUMN()),4,LEN(INDEX('Structured 2025'!headerRow,1,COLUMN()))),ovrHeaderRow25,0))</f>
        <v>1.66</v>
      </c>
      <c r="AO31" s="12">
        <f>INDEX(ovrTable25,MATCH(INDEX('Structured 2025'!teamCol,ROW()),ovrTeamCol25,0),MATCH(MID(INDEX('Structured 2025'!headerRow,1,COLUMN()),4,LEN(INDEX('Structured 2025'!headerRow,1,COLUMN()))),ovrHeaderRow25,0))</f>
        <v>16.8</v>
      </c>
      <c r="AP31" s="12">
        <f>INDEX(ovrTable25,MATCH(INDEX('Structured 2025'!teamCol,ROW()),ovrTeamCol25,0),MATCH(MID(INDEX('Structured 2025'!headerRow,1,COLUMN()),4,LEN(INDEX('Structured 2025'!headerRow,1,COLUMN()))),ovrHeaderRow25,0))</f>
        <v>24.46</v>
      </c>
      <c r="AQ31" s="12">
        <f>INDEX(ovrTable25,MATCH(INDEX('Structured 2025'!teamCol,ROW()),ovrTeamCol25,0),MATCH(MID(INDEX('Structured 2025'!headerRow,1,COLUMN()),4,LEN(INDEX('Structured 2025'!headerRow,1,COLUMN()))),ovrHeaderRow25,0))</f>
        <v>2.9</v>
      </c>
      <c r="AR31" s="12">
        <f>INDEX(ovrTable25,MATCH(INDEX('Structured 2025'!teamCol,ROW()),ovrTeamCol25,0),MATCH(MID(INDEX('Structured 2025'!headerRow,1,COLUMN()),4,LEN(INDEX('Structured 2025'!headerRow,1,COLUMN()))),ovrHeaderRow25,0))</f>
        <v>40.5</v>
      </c>
      <c r="AS31" s="12">
        <f>INDEX(ovrTable25,MATCH(INDEX('Structured 2025'!teamCol,ROW()),ovrTeamCol25,0),MATCH(MID(INDEX('Structured 2025'!headerRow,1,COLUMN()),4,LEN(INDEX('Structured 2025'!headerRow,1,COLUMN()))),ovrHeaderRow25,0))</f>
        <v>26.37</v>
      </c>
      <c r="AT31" s="12">
        <f>INDEX(ovrTable25,MATCH(INDEX('Structured 2025'!teamCol,ROW()),ovrTeamCol25,0),MATCH(MID(INDEX('Structured 2025'!headerRow,1,COLUMN()),4,LEN(INDEX('Structured 2025'!headerRow,1,COLUMN()))),ovrHeaderRow25,0))</f>
        <v>0.58299999999999996</v>
      </c>
      <c r="AU31" s="12">
        <f>INDEX(ovrTable25,MATCH(INDEX('Structured 2025'!teamCol,ROW()),ovrTeamCol25,0),MATCH(MID(INDEX('Structured 2025'!headerRow,1,COLUMN()),4,LEN(INDEX('Structured 2025'!headerRow,1,COLUMN()))),ovrHeaderRow25,0))</f>
        <v>7.74</v>
      </c>
      <c r="AV31" s="12">
        <f>INDEX(ovrTable25,MATCH(INDEX('Structured 2025'!teamCol,ROW()),ovrTeamCol25,0),MATCH(MID(INDEX('Structured 2025'!headerRow,1,COLUMN()),4,LEN(INDEX('Structured 2025'!headerRow,1,COLUMN()))),ovrHeaderRow25,0))</f>
        <v>48.9</v>
      </c>
      <c r="AW31" s="12">
        <f>INDEX(ovrTable25,MATCH(INDEX('Structured 2025'!teamCol,ROW()),ovrTeamCol25,0),MATCH(MID(INDEX('Structured 2025'!headerRow,1,COLUMN()),4,LEN(INDEX('Structured 2025'!headerRow,1,COLUMN()))),ovrHeaderRow25,0))</f>
        <v>13.4</v>
      </c>
      <c r="AX31" s="12">
        <f>INDEX(ovrTable25,MATCH(INDEX('Structured 2025'!teamCol,ROW()),ovrTeamCol25,0),MATCH(MID(INDEX('Structured 2025'!headerRow,1,COLUMN()),4,LEN(INDEX('Structured 2025'!headerRow,1,COLUMN()))),ovrHeaderRow25,0))</f>
        <v>65.8</v>
      </c>
      <c r="AY31" s="12">
        <f>INDEX(ovrTable25,MATCH(INDEX('Structured 2025'!teamCol,ROW()),ovrTeamCol25,0),MATCH(MID(INDEX('Structured 2025'!headerRow,1,COLUMN()),4,LEN(INDEX('Structured 2025'!headerRow,1,COLUMN()))),ovrHeaderRow25,0))</f>
        <v>16.100000000000001</v>
      </c>
      <c r="AZ31" s="12">
        <f>INDEX(ovrTable25,MATCH(INDEX('Structured 2025'!teamCol,ROW()),ovrTeamCol25,0),MATCH(MID(INDEX('Structured 2025'!headerRow,1,COLUMN()),4,LEN(INDEX('Structured 2025'!headerRow,1,COLUMN()))),ovrHeaderRow25,0))</f>
        <v>10.6</v>
      </c>
      <c r="BA31" s="12">
        <f>INDEX(ovrTable25,MATCH(INDEX('Structured 2025'!teamCol,ROW()),ovrTeamCol25,0),MATCH(MID(INDEX('Structured 2025'!headerRow,1,COLUMN()),4,LEN(INDEX('Structured 2025'!headerRow,1,COLUMN()))),ovrHeaderRow25,0))</f>
        <v>63.4</v>
      </c>
      <c r="BB31" s="12">
        <f>INDEX(ovrTable25,MATCH(INDEX('Structured 2025'!teamCol,ROW()),ovrTeamCol25,0),MATCH(MID(INDEX('Structured 2025'!headerRow,1,COLUMN()),4,LEN(INDEX('Structured 2025'!headerRow,1,COLUMN()))),ovrHeaderRow25,0))</f>
        <v>6.49</v>
      </c>
      <c r="BC31" s="12">
        <f>INDEX(ovrTable25,MATCH(INDEX('Structured 2025'!teamCol,ROW()),ovrTeamCol25,0),MATCH(MID(INDEX('Structured 2025'!headerRow,1,COLUMN()),4,LEN(INDEX('Structured 2025'!headerRow,1,COLUMN()))),ovrHeaderRow25,0))</f>
        <v>75.900000000000006</v>
      </c>
      <c r="BD31" s="12">
        <f>INDEX(ovrTable25,MATCH(INDEX('Structured 2025'!teamCol,ROW()),ovrTeamCol25,0),MATCH(MID(INDEX('Structured 2025'!headerRow,1,COLUMN()),4,LEN(INDEX('Structured 2025'!headerRow,1,COLUMN()))),ovrHeaderRow25,0))</f>
        <v>-1.5</v>
      </c>
      <c r="BE31" s="12">
        <f>INDEX(ovrTable25,MATCH(INDEX('Structured 2025'!teamCol,ROW()),ovrTeamCol25,0),MATCH(MID(INDEX('Structured 2025'!headerRow,1,COLUMN()),4,LEN(INDEX('Structured 2025'!headerRow,1,COLUMN()))),ovrHeaderRow25,0))</f>
        <v>32.86</v>
      </c>
      <c r="BF31" s="12">
        <f>INDEX(ovrTable25,MATCH(INDEX('Structured 2025'!teamCol,ROW()),ovrTeamCol25,0),MATCH(MID(INDEX('Structured 2025'!headerRow,1,COLUMN()),4,LEN(INDEX('Structured 2025'!headerRow,1,COLUMN()))),ovrHeaderRow25,0))</f>
        <v>12.5</v>
      </c>
      <c r="BG31" s="12">
        <f>INDEX(ovrTable25,MATCH(INDEX('Structured 2025'!teamCol,ROW()),ovrTeamCol25,0),MATCH(MID(INDEX('Structured 2025'!headerRow,1,COLUMN()),4,LEN(INDEX('Structured 2025'!headerRow,1,COLUMN()))),ovrHeaderRow25,0))</f>
        <v>6.6</v>
      </c>
      <c r="BH31" s="12">
        <f>INDEX(ovrTable25,MATCH(INDEX('Structured 2025'!teamCol,ROW()),ovrTeamCol25,0),MATCH(MID(INDEX('Structured 2025'!headerRow,1,COLUMN()),4,LEN(INDEX('Structured 2025'!headerRow,1,COLUMN()))),ovrHeaderRow25,0))</f>
        <v>2</v>
      </c>
      <c r="BI31" s="12">
        <f>INDEX(ovrTable25,MATCH(INDEX('Structured 2025'!teamCol,ROW()),ovrTeamCol25,0),MATCH(MID(INDEX('Structured 2025'!headerRow,1,COLUMN()),4,LEN(INDEX('Structured 2025'!headerRow,1,COLUMN()))),ovrHeaderRow25,0))</f>
        <v>12.09</v>
      </c>
      <c r="BJ31" s="12">
        <f>INDEX(ovrTable25,MATCH(INDEX('Structured 2025'!teamCol,ROW()),ovrTeamCol25,0),MATCH(MID(INDEX('Structured 2025'!headerRow,1,COLUMN()),4,LEN(INDEX('Structured 2025'!headerRow,1,COLUMN()))),ovrHeaderRow25,0))</f>
        <v>10.1</v>
      </c>
      <c r="BK31" s="12">
        <f>INDEX(ovrTable25,MATCH(INDEX('Structured 2025'!teamCol,ROW()),ovrTeamCol25,0),MATCH(MID(INDEX('Structured 2025'!headerRow,1,COLUMN()),4,LEN(INDEX('Structured 2025'!headerRow,1,COLUMN()))),ovrHeaderRow25,0))</f>
        <v>65.599999999999994</v>
      </c>
      <c r="BL31" s="12">
        <f>INDEX(ovrTable25,MATCH(INDEX('Structured 2025'!teamCol,ROW()),ovrTeamCol25,0),MATCH(MID(INDEX('Structured 2025'!headerRow,1,COLUMN()),4,LEN(INDEX('Structured 2025'!headerRow,1,COLUMN()))),ovrHeaderRow25,0))</f>
        <v>16.900000000000006</v>
      </c>
      <c r="BM31" s="12">
        <f>INDEX(ovrTable25,MATCH(INDEX('Structured 2025'!teamCol,ROW()),ovrTeamCol25,0),MATCH(MID(INDEX('Structured 2025'!headerRow,1,COLUMN()),4,LEN(INDEX('Structured 2025'!headerRow,1,COLUMN()))),ovrHeaderRow25,0))</f>
        <v>56.03271983640083</v>
      </c>
      <c r="BN31" s="12">
        <f>INDEX(ovrTable25,MATCH(INDEX(oppCol,ROW()),ovrTeamCol25,0),MATCH(MID(INDEX('Structured 2025'!headerRow,1,COLUMN()),4,LEN(INDEX('Structured 2025'!headerRow,1,COLUMN()))),ovrHeaderRow25,0))</f>
        <v>31.7</v>
      </c>
      <c r="BO31" s="12">
        <f>INDEX(ovrTable25,MATCH(INDEX(oppCol,ROW()),ovrTeamCol25,0),MATCH(MID(INDEX('Structured 2025'!headerRow,1,COLUMN()),4,LEN(INDEX('Structured 2025'!headerRow,1,COLUMN()))),ovrHeaderRow25,0))</f>
        <v>7.7</v>
      </c>
      <c r="BP31" s="12">
        <f>INDEX(ovrTable25,MATCH(INDEX(oppCol,ROW()),ovrTeamCol25,0),MATCH(MID(INDEX('Structured 2025'!headerRow,1,COLUMN()),4,LEN(INDEX('Structured 2025'!headerRow,1,COLUMN()))),ovrHeaderRow25,0))</f>
        <v>34.4</v>
      </c>
      <c r="BQ31" s="12">
        <f>INDEX(ovrTable25,MATCH(INDEX(oppCol,ROW()),ovrTeamCol25,0),MATCH(MID(INDEX('Structured 2025'!headerRow,1,COLUMN()),4,LEN(INDEX('Structured 2025'!headerRow,1,COLUMN()))),ovrHeaderRow25,0))</f>
        <v>22.5</v>
      </c>
      <c r="BR31" s="12">
        <f>INDEX(ovrTable25,MATCH(INDEX(oppCol,ROW()),ovrTeamCol25,0),MATCH(MID(INDEX('Structured 2025'!headerRow,1,COLUMN()),4,LEN(INDEX('Structured 2025'!headerRow,1,COLUMN()))),ovrHeaderRow25,0))</f>
        <v>1.27</v>
      </c>
      <c r="BS31" s="12">
        <f>INDEX(ovrTable25,MATCH(INDEX(oppCol,ROW()),ovrTeamCol25,0),MATCH(MID(INDEX('Structured 2025'!headerRow,1,COLUMN()),4,LEN(INDEX('Structured 2025'!headerRow,1,COLUMN()))),ovrHeaderRow25,0))</f>
        <v>14.3</v>
      </c>
      <c r="BT31" s="12">
        <f>INDEX(ovrTable25,MATCH(INDEX(oppCol,ROW()),ovrTeamCol25,0),MATCH(MID(INDEX('Structured 2025'!headerRow,1,COLUMN()),4,LEN(INDEX('Structured 2025'!headerRow,1,COLUMN()))),ovrHeaderRow25,0))</f>
        <v>21.94</v>
      </c>
      <c r="BU31" s="12">
        <f>INDEX(ovrTable25,MATCH(INDEX(oppCol,ROW()),ovrTeamCol25,0),MATCH(MID(INDEX('Structured 2025'!headerRow,1,COLUMN()),4,LEN(INDEX('Structured 2025'!headerRow,1,COLUMN()))),ovrHeaderRow25,0))</f>
        <v>3.7</v>
      </c>
      <c r="BV31" s="12">
        <f>INDEX(ovrTable25,MATCH(INDEX(oppCol,ROW()),ovrTeamCol25,0),MATCH(MID(INDEX('Structured 2025'!headerRow,1,COLUMN()),4,LEN(INDEX('Structured 2025'!headerRow,1,COLUMN()))),ovrHeaderRow25,0))</f>
        <v>42.9</v>
      </c>
      <c r="BW31" s="12">
        <f>INDEX(ovrTable25,MATCH(INDEX(oppCol,ROW()),ovrTeamCol25,0),MATCH(MID(INDEX('Structured 2025'!headerRow,1,COLUMN()),4,LEN(INDEX('Structured 2025'!headerRow,1,COLUMN()))),ovrHeaderRow25,0))</f>
        <v>25.6</v>
      </c>
      <c r="BX31" s="12">
        <f>INDEX(ovrTable25,MATCH(INDEX(oppCol,ROW()),ovrTeamCol25,0),MATCH(MID(INDEX('Structured 2025'!headerRow,1,COLUMN()),4,LEN(INDEX('Structured 2025'!headerRow,1,COLUMN()))),ovrHeaderRow25,0))</f>
        <v>0.52500000000000002</v>
      </c>
      <c r="BY31" s="12">
        <f>INDEX(ovrTable25,MATCH(INDEX(oppCol,ROW()),ovrTeamCol25,0),MATCH(MID(INDEX('Structured 2025'!headerRow,1,COLUMN()),4,LEN(INDEX('Structured 2025'!headerRow,1,COLUMN()))),ovrHeaderRow25,0))</f>
        <v>11.91</v>
      </c>
      <c r="BZ31" s="12">
        <f>INDEX(ovrTable25,MATCH(INDEX(oppCol,ROW()),ovrTeamCol25,0),MATCH(MID(INDEX('Structured 2025'!headerRow,1,COLUMN()),4,LEN(INDEX('Structured 2025'!headerRow,1,COLUMN()))),ovrHeaderRow25,0))</f>
        <v>46</v>
      </c>
      <c r="CA31" s="12">
        <f>INDEX(ovrTable25,MATCH(INDEX(oppCol,ROW()),ovrTeamCol25,0),MATCH(MID(INDEX('Structured 2025'!headerRow,1,COLUMN()),4,LEN(INDEX('Structured 2025'!headerRow,1,COLUMN()))),ovrHeaderRow25,0))</f>
        <v>16.3</v>
      </c>
      <c r="CB31" s="12">
        <f>INDEX(ovrTable25,MATCH(INDEX(oppCol,ROW()),ovrTeamCol25,0),MATCH(MID(INDEX('Structured 2025'!headerRow,1,COLUMN()),4,LEN(INDEX('Structured 2025'!headerRow,1,COLUMN()))),ovrHeaderRow25,0))</f>
        <v>75.7</v>
      </c>
      <c r="CC31" s="12">
        <f>INDEX(ovrTable25,MATCH(INDEX(oppCol,ROW()),ovrTeamCol25,0),MATCH(MID(INDEX('Structured 2025'!headerRow,1,COLUMN()),4,LEN(INDEX('Structured 2025'!headerRow,1,COLUMN()))),ovrHeaderRow25,0))</f>
        <v>19.399999999999999</v>
      </c>
      <c r="CD31" s="12">
        <f>INDEX(ovrTable25,MATCH(INDEX(oppCol,ROW()),ovrTeamCol25,0),MATCH(MID(INDEX('Structured 2025'!headerRow,1,COLUMN()),4,LEN(INDEX('Structured 2025'!headerRow,1,COLUMN()))),ovrHeaderRow25,0))</f>
        <v>14.7</v>
      </c>
      <c r="CE31" s="12">
        <f>INDEX(ovrTable25,MATCH(INDEX(oppCol,ROW()),ovrTeamCol25,0),MATCH(MID(INDEX('Structured 2025'!headerRow,1,COLUMN()),4,LEN(INDEX('Structured 2025'!headerRow,1,COLUMN()))),ovrHeaderRow25,0))</f>
        <v>70.900000000000006</v>
      </c>
      <c r="CF31" s="12">
        <f>INDEX(ovrTable25,MATCH(INDEX(oppCol,ROW()),ovrTeamCol25,0),MATCH(MID(INDEX('Structured 2025'!headerRow,1,COLUMN()),4,LEN(INDEX('Structured 2025'!headerRow,1,COLUMN()))),ovrHeaderRow25,0))</f>
        <v>10.199999999999999</v>
      </c>
      <c r="CG31" s="12">
        <f>INDEX(ovrTable25,MATCH(INDEX(oppCol,ROW()),ovrTeamCol25,0),MATCH(MID(INDEX('Structured 2025'!headerRow,1,COLUMN()),4,LEN(INDEX('Structured 2025'!headerRow,1,COLUMN()))),ovrHeaderRow25,0))</f>
        <v>76.5</v>
      </c>
      <c r="CH31" s="12">
        <f>INDEX(ovrTable25,MATCH(INDEX(oppCol,ROW()),ovrTeamCol25,0),MATCH(MID(INDEX('Structured 2025'!headerRow,1,COLUMN()),4,LEN(INDEX('Structured 2025'!headerRow,1,COLUMN()))),ovrHeaderRow25,0))</f>
        <v>2</v>
      </c>
      <c r="CI31" s="12">
        <f>INDEX(ovrTable25,MATCH(INDEX(oppCol,ROW()),ovrTeamCol25,0),MATCH(MID(INDEX('Structured 2025'!headerRow,1,COLUMN()),4,LEN(INDEX('Structured 2025'!headerRow,1,COLUMN()))),ovrHeaderRow25,0))</f>
        <v>35.799999999999997</v>
      </c>
      <c r="CJ31" s="12">
        <f>INDEX(ovrTable25,MATCH(INDEX(oppCol,ROW()),ovrTeamCol25,0),MATCH(MID(INDEX('Structured 2025'!headerRow,1,COLUMN()),4,LEN(INDEX('Structured 2025'!headerRow,1,COLUMN()))),ovrHeaderRow25,0))</f>
        <v>5.7</v>
      </c>
      <c r="CK31" s="12">
        <f>INDEX(ovrTable25,MATCH(INDEX(oppCol,ROW()),ovrTeamCol25,0),MATCH(MID(INDEX('Structured 2025'!headerRow,1,COLUMN()),4,LEN(INDEX('Structured 2025'!headerRow,1,COLUMN()))),ovrHeaderRow25,0))</f>
        <v>7.2</v>
      </c>
      <c r="CL31" s="12">
        <f>INDEX(ovrTable25,MATCH(INDEX(oppCol,ROW()),ovrTeamCol25,0),MATCH(MID(INDEX('Structured 2025'!headerRow,1,COLUMN()),4,LEN(INDEX('Structured 2025'!headerRow,1,COLUMN()))),ovrHeaderRow25,0))</f>
        <v>0.9</v>
      </c>
      <c r="CM31" s="12">
        <f>INDEX(ovrTable25,MATCH(INDEX(oppCol,ROW()),ovrTeamCol25,0),MATCH(MID(INDEX('Structured 2025'!headerRow,1,COLUMN()),4,LEN(INDEX('Structured 2025'!headerRow,1,COLUMN()))),ovrHeaderRow25,0))</f>
        <v>12.14</v>
      </c>
      <c r="CN31" s="12">
        <f>INDEX(ovrTable25,MATCH(INDEX(oppCol,ROW()),ovrTeamCol25,0),MATCH(MID(INDEX('Structured 2025'!headerRow,1,COLUMN()),4,LEN(INDEX('Structured 2025'!headerRow,1,COLUMN()))),ovrHeaderRow25,0))</f>
        <v>11.3</v>
      </c>
      <c r="CO31" s="12">
        <f>INDEX(ovrTable25,MATCH(INDEX(oppCol,ROW()),ovrTeamCol25,0),MATCH(MID(INDEX('Structured 2025'!headerRow,1,COLUMN()),4,LEN(INDEX('Structured 2025'!headerRow,1,COLUMN()))),ovrHeaderRow25,0))</f>
        <v>68.099999999999994</v>
      </c>
      <c r="CP31" s="12">
        <f>INDEX(ovrTable25,MATCH(INDEX(oppCol,ROW()),ovrTeamCol25,0),MATCH(MID(INDEX('Structured 2025'!headerRow,1,COLUMN()),4,LEN(INDEX('Structured 2025'!headerRow,1,COLUMN()))),ovrHeaderRow25,0))</f>
        <v>19.349999999999998</v>
      </c>
      <c r="CQ31" s="12">
        <f>INDEX(ovrTable25,MATCH(INDEX(oppCol,ROW()),ovrTeamCol25,0),MATCH(MID(INDEX('Structured 2025'!headerRow,1,COLUMN()),4,LEN(INDEX('Structured 2025'!headerRow,1,COLUMN()))),ovrHeaderRow25,0))</f>
        <v>58.804347826086946</v>
      </c>
    </row>
    <row r="32" spans="1:95" x14ac:dyDescent="0.3">
      <c r="A32" s="6" t="s">
        <v>19</v>
      </c>
      <c r="B32" s="3">
        <v>4</v>
      </c>
      <c r="C32" s="13" t="str">
        <f>A33</f>
        <v>AKR</v>
      </c>
      <c r="D32" s="14">
        <f t="shared" si="26"/>
        <v>16</v>
      </c>
      <c r="E32" s="23">
        <v>0.28000000000000003</v>
      </c>
      <c r="F32" s="24">
        <v>56.521739130434781</v>
      </c>
      <c r="G32" s="24">
        <v>12</v>
      </c>
      <c r="H32" s="23">
        <v>48</v>
      </c>
      <c r="I32" s="24">
        <v>25</v>
      </c>
      <c r="J32" s="25">
        <v>1.3125</v>
      </c>
      <c r="K32" s="24">
        <v>3</v>
      </c>
      <c r="L32" s="24">
        <v>10</v>
      </c>
      <c r="M32" s="24">
        <v>15</v>
      </c>
      <c r="N32" s="24">
        <v>38</v>
      </c>
      <c r="O32" s="24">
        <v>21</v>
      </c>
      <c r="P32" s="24">
        <v>5</v>
      </c>
      <c r="Q32" s="24">
        <v>9</v>
      </c>
      <c r="R32" s="24">
        <v>16</v>
      </c>
      <c r="S32" s="24">
        <v>11</v>
      </c>
      <c r="T32" s="24">
        <v>16</v>
      </c>
      <c r="U32" s="24">
        <v>35</v>
      </c>
      <c r="V32" s="24">
        <v>0.33333333333333331</v>
      </c>
      <c r="W32" s="26">
        <v>0.65217391304347827</v>
      </c>
      <c r="X32" s="23">
        <v>30</v>
      </c>
      <c r="Y32" s="24">
        <v>65</v>
      </c>
      <c r="Z32" s="24">
        <v>93</v>
      </c>
      <c r="AA32" s="24">
        <v>31</v>
      </c>
      <c r="AB32" s="24">
        <v>53</v>
      </c>
      <c r="AC32" s="24">
        <v>28</v>
      </c>
      <c r="AD32" s="24">
        <v>-9</v>
      </c>
      <c r="AE32" s="24">
        <v>7</v>
      </c>
      <c r="AF32" s="34">
        <f t="shared" si="0"/>
        <v>27</v>
      </c>
      <c r="AG32" s="34">
        <f t="shared" si="1"/>
        <v>44</v>
      </c>
      <c r="AH32" s="46">
        <f t="shared" si="2"/>
        <v>74.75</v>
      </c>
      <c r="AI32" s="51">
        <f t="shared" ref="AI32" si="32">AVERAGE(AH32,AH33)</f>
        <v>75.125</v>
      </c>
      <c r="AJ32" s="12">
        <f>INDEX(ovrTable25,MATCH(INDEX('Structured 2025'!teamCol,ROW()),ovrTeamCol25,0),MATCH(MID(INDEX('Structured 2025'!headerRow,1,COLUMN()),4,LEN(INDEX('Structured 2025'!headerRow,1,COLUMN()))),ovrHeaderRow25,0))</f>
        <v>34</v>
      </c>
      <c r="AK32" s="12">
        <f>INDEX(ovrTable25,MATCH(INDEX('Structured 2025'!teamCol,ROW()),ovrTeamCol25,0),MATCH(MID(INDEX('Structured 2025'!headerRow,1,COLUMN()),4,LEN(INDEX('Structured 2025'!headerRow,1,COLUMN()))),ovrHeaderRow25,0))</f>
        <v>7.2</v>
      </c>
      <c r="AL32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M32" s="12">
        <f>INDEX(ovrTable25,MATCH(INDEX('Structured 2025'!teamCol,ROW()),ovrTeamCol25,0),MATCH(MID(INDEX('Structured 2025'!headerRow,1,COLUMN()),4,LEN(INDEX('Structured 2025'!headerRow,1,COLUMN()))),ovrHeaderRow25,0))</f>
        <v>21.3</v>
      </c>
      <c r="AN32" s="12">
        <f>INDEX(ovrTable25,MATCH(INDEX('Structured 2025'!teamCol,ROW()),ovrTeamCol25,0),MATCH(MID(INDEX('Structured 2025'!headerRow,1,COLUMN()),4,LEN(INDEX('Structured 2025'!headerRow,1,COLUMN()))),ovrHeaderRow25,0))</f>
        <v>1.42</v>
      </c>
      <c r="AO32" s="12">
        <f>INDEX(ovrTable25,MATCH(INDEX('Structured 2025'!teamCol,ROW()),ovrTeamCol25,0),MATCH(MID(INDEX('Structured 2025'!headerRow,1,COLUMN()),4,LEN(INDEX('Structured 2025'!headerRow,1,COLUMN()))),ovrHeaderRow25,0))</f>
        <v>16.2</v>
      </c>
      <c r="AP32" s="12">
        <f>INDEX(ovrTable25,MATCH(INDEX('Structured 2025'!teamCol,ROW()),ovrTeamCol25,0),MATCH(MID(INDEX('Structured 2025'!headerRow,1,COLUMN()),4,LEN(INDEX('Structured 2025'!headerRow,1,COLUMN()))),ovrHeaderRow25,0))</f>
        <v>29.57</v>
      </c>
      <c r="AQ32" s="12">
        <f>INDEX(ovrTable25,MATCH(INDEX('Structured 2025'!teamCol,ROW()),ovrTeamCol25,0),MATCH(MID(INDEX('Structured 2025'!headerRow,1,COLUMN()),4,LEN(INDEX('Structured 2025'!headerRow,1,COLUMN()))),ovrHeaderRow25,0))</f>
        <v>4.4000000000000004</v>
      </c>
      <c r="AR32" s="12">
        <f>INDEX(ovrTable25,MATCH(INDEX('Structured 2025'!teamCol,ROW()),ovrTeamCol25,0),MATCH(MID(INDEX('Structured 2025'!headerRow,1,COLUMN()),4,LEN(INDEX('Structured 2025'!headerRow,1,COLUMN()))),ovrHeaderRow25,0))</f>
        <v>41.9</v>
      </c>
      <c r="AS32" s="12">
        <f>INDEX(ovrTable25,MATCH(INDEX('Structured 2025'!teamCol,ROW()),ovrTeamCol25,0),MATCH(MID(INDEX('Structured 2025'!headerRow,1,COLUMN()),4,LEN(INDEX('Structured 2025'!headerRow,1,COLUMN()))),ovrHeaderRow25,0))</f>
        <v>27.41</v>
      </c>
      <c r="AT32" s="12">
        <f>INDEX(ovrTable25,MATCH(INDEX('Structured 2025'!teamCol,ROW()),ovrTeamCol25,0),MATCH(MID(INDEX('Structured 2025'!headerRow,1,COLUMN()),4,LEN(INDEX('Structured 2025'!headerRow,1,COLUMN()))),ovrHeaderRow25,0))</f>
        <v>0.53300000000000003</v>
      </c>
      <c r="AU32" s="12">
        <f>INDEX(ovrTable25,MATCH(INDEX('Structured 2025'!teamCol,ROW()),ovrTeamCol25,0),MATCH(MID(INDEX('Structured 2025'!headerRow,1,COLUMN()),4,LEN(INDEX('Structured 2025'!headerRow,1,COLUMN()))),ovrHeaderRow25,0))</f>
        <v>13.76</v>
      </c>
      <c r="AV32" s="12">
        <f>INDEX(ovrTable25,MATCH(INDEX('Structured 2025'!teamCol,ROW()),ovrTeamCol25,0),MATCH(MID(INDEX('Structured 2025'!headerRow,1,COLUMN()),4,LEN(INDEX('Structured 2025'!headerRow,1,COLUMN()))),ovrHeaderRow25,0))</f>
        <v>47.4</v>
      </c>
      <c r="AW32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X32" s="12">
        <f>INDEX(ovrTable25,MATCH(INDEX('Structured 2025'!teamCol,ROW()),ovrTeamCol25,0),MATCH(MID(INDEX('Structured 2025'!headerRow,1,COLUMN()),4,LEN(INDEX('Structured 2025'!headerRow,1,COLUMN()))),ovrHeaderRow25,0))</f>
        <v>78</v>
      </c>
      <c r="AY32" s="12">
        <f>INDEX(ovrTable25,MATCH(INDEX('Structured 2025'!teamCol,ROW()),ovrTeamCol25,0),MATCH(MID(INDEX('Structured 2025'!headerRow,1,COLUMN()),4,LEN(INDEX('Structured 2025'!headerRow,1,COLUMN()))),ovrHeaderRow25,0))</f>
        <v>22</v>
      </c>
      <c r="AZ32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BA32" s="12">
        <f>INDEX(ovrTable25,MATCH(INDEX('Structured 2025'!teamCol,ROW()),ovrTeamCol25,0),MATCH(MID(INDEX('Structured 2025'!headerRow,1,COLUMN()),4,LEN(INDEX('Structured 2025'!headerRow,1,COLUMN()))),ovrHeaderRow25,0))</f>
        <v>73.3</v>
      </c>
      <c r="BB32" s="12">
        <f>INDEX(ovrTable25,MATCH(INDEX('Structured 2025'!teamCol,ROW()),ovrTeamCol25,0),MATCH(MID(INDEX('Structured 2025'!headerRow,1,COLUMN()),4,LEN(INDEX('Structured 2025'!headerRow,1,COLUMN()))),ovrHeaderRow25,0))</f>
        <v>12.32</v>
      </c>
      <c r="BC32" s="12">
        <f>INDEX(ovrTable25,MATCH(INDEX('Structured 2025'!teamCol,ROW()),ovrTeamCol25,0),MATCH(MID(INDEX('Structured 2025'!headerRow,1,COLUMN()),4,LEN(INDEX('Structured 2025'!headerRow,1,COLUMN()))),ovrHeaderRow25,0))</f>
        <v>82.5</v>
      </c>
      <c r="BD32" s="12">
        <f>INDEX(ovrTable25,MATCH(INDEX('Structured 2025'!teamCol,ROW()),ovrTeamCol25,0),MATCH(MID(INDEX('Structured 2025'!headerRow,1,COLUMN()),4,LEN(INDEX('Structured 2025'!headerRow,1,COLUMN()))),ovrHeaderRow25,0))</f>
        <v>7.2</v>
      </c>
      <c r="BE32" s="12">
        <f>INDEX(ovrTable25,MATCH(INDEX('Structured 2025'!teamCol,ROW()),ovrTeamCol25,0),MATCH(MID(INDEX('Structured 2025'!headerRow,1,COLUMN()),4,LEN(INDEX('Structured 2025'!headerRow,1,COLUMN()))),ovrHeaderRow25,0))</f>
        <v>39.729999999999997</v>
      </c>
      <c r="BF32" s="12">
        <f>INDEX(ovrTable25,MATCH(INDEX('Structured 2025'!teamCol,ROW()),ovrTeamCol25,0),MATCH(MID(INDEX('Structured 2025'!headerRow,1,COLUMN()),4,LEN(INDEX('Structured 2025'!headerRow,1,COLUMN()))),ovrHeaderRow25,0))</f>
        <v>9.1999999999999993</v>
      </c>
      <c r="BG32" s="12">
        <f>INDEX(ovrTable25,MATCH(INDEX('Structured 2025'!teamCol,ROW()),ovrTeamCol25,0),MATCH(MID(INDEX('Structured 2025'!headerRow,1,COLUMN()),4,LEN(INDEX('Structured 2025'!headerRow,1,COLUMN()))),ovrHeaderRow25,0))</f>
        <v>7.5</v>
      </c>
      <c r="BH32" s="12">
        <f>INDEX(ovrTable25,MATCH(INDEX('Structured 2025'!teamCol,ROW()),ovrTeamCol25,0),MATCH(MID(INDEX('Structured 2025'!headerRow,1,COLUMN()),4,LEN(INDEX('Structured 2025'!headerRow,1,COLUMN()))),ovrHeaderRow25,0))</f>
        <v>0.1</v>
      </c>
      <c r="BI32" s="12">
        <f>INDEX(ovrTable25,MATCH(INDEX('Structured 2025'!teamCol,ROW()),ovrTeamCol25,0),MATCH(MID(INDEX('Structured 2025'!headerRow,1,COLUMN()),4,LEN(INDEX('Structured 2025'!headerRow,1,COLUMN()))),ovrHeaderRow25,0))</f>
        <v>11.49</v>
      </c>
      <c r="BJ32" s="12">
        <f>INDEX(ovrTable25,MATCH(INDEX('Structured 2025'!teamCol,ROW()),ovrTeamCol25,0),MATCH(MID(INDEX('Structured 2025'!headerRow,1,COLUMN()),4,LEN(INDEX('Structured 2025'!headerRow,1,COLUMN()))),ovrHeaderRow25,0))</f>
        <v>11.4</v>
      </c>
      <c r="BK32" s="12">
        <f>INDEX(ovrTable25,MATCH(INDEX('Structured 2025'!teamCol,ROW()),ovrTeamCol25,0),MATCH(MID(INDEX('Structured 2025'!headerRow,1,COLUMN()),4,LEN(INDEX('Structured 2025'!headerRow,1,COLUMN()))),ovrHeaderRow25,0))</f>
        <v>70.3</v>
      </c>
      <c r="BL32" s="12">
        <f>INDEX(ovrTable25,MATCH(INDEX('Structured 2025'!teamCol,ROW()),ovrTeamCol25,0),MATCH(MID(INDEX('Structured 2025'!headerRow,1,COLUMN()),4,LEN(INDEX('Structured 2025'!headerRow,1,COLUMN()))),ovrHeaderRow25,0))</f>
        <v>21.900000000000002</v>
      </c>
      <c r="BM32" s="12">
        <f>INDEX(ovrTable25,MATCH(INDEX('Structured 2025'!teamCol,ROW()),ovrTeamCol25,0),MATCH(MID(INDEX('Structured 2025'!headerRow,1,COLUMN()),4,LEN(INDEX('Structured 2025'!headerRow,1,COLUMN()))),ovrHeaderRow25,0))</f>
        <v>61.392405063291143</v>
      </c>
      <c r="BN32" s="12">
        <f>INDEX(ovrTable25,MATCH(INDEX(oppCol,ROW()),ovrTeamCol25,0),MATCH(MID(INDEX('Structured 2025'!headerRow,1,COLUMN()),4,LEN(INDEX('Structured 2025'!headerRow,1,COLUMN()))),ovrHeaderRow25,0))</f>
        <v>31.9</v>
      </c>
      <c r="BO32" s="12">
        <f>INDEX(ovrTable25,MATCH(INDEX(oppCol,ROW()),ovrTeamCol25,0),MATCH(MID(INDEX('Structured 2025'!headerRow,1,COLUMN()),4,LEN(INDEX('Structured 2025'!headerRow,1,COLUMN()))),ovrHeaderRow25,0))</f>
        <v>10.7</v>
      </c>
      <c r="BP32" s="12">
        <f>INDEX(ovrTable25,MATCH(INDEX(oppCol,ROW()),ovrTeamCol25,0),MATCH(MID(INDEX('Structured 2025'!headerRow,1,COLUMN()),4,LEN(INDEX('Structured 2025'!headerRow,1,COLUMN()))),ovrHeaderRow25,0))</f>
        <v>36.200000000000003</v>
      </c>
      <c r="BQ32" s="12">
        <f>INDEX(ovrTable25,MATCH(INDEX(oppCol,ROW()),ovrTeamCol25,0),MATCH(MID(INDEX('Structured 2025'!headerRow,1,COLUMN()),4,LEN(INDEX('Structured 2025'!headerRow,1,COLUMN()))),ovrHeaderRow25,0))</f>
        <v>29.7</v>
      </c>
      <c r="BR32" s="12">
        <f>INDEX(ovrTable25,MATCH(INDEX(oppCol,ROW()),ovrTeamCol25,0),MATCH(MID(INDEX('Structured 2025'!headerRow,1,COLUMN()),4,LEN(INDEX('Structured 2025'!headerRow,1,COLUMN()))),ovrHeaderRow25,0))</f>
        <v>1.5</v>
      </c>
      <c r="BS32" s="12">
        <f>INDEX(ovrTable25,MATCH(INDEX(oppCol,ROW()),ovrTeamCol25,0),MATCH(MID(INDEX('Structured 2025'!headerRow,1,COLUMN()),4,LEN(INDEX('Structured 2025'!headerRow,1,COLUMN()))),ovrHeaderRow25,0))</f>
        <v>17.7</v>
      </c>
      <c r="BT32" s="12">
        <f>INDEX(ovrTable25,MATCH(INDEX(oppCol,ROW()),ovrTeamCol25,0),MATCH(MID(INDEX('Structured 2025'!headerRow,1,COLUMN()),4,LEN(INDEX('Structured 2025'!headerRow,1,COLUMN()))),ovrHeaderRow25,0))</f>
        <v>33.97</v>
      </c>
      <c r="BU32" s="12">
        <f>INDEX(ovrTable25,MATCH(INDEX(oppCol,ROW()),ovrTeamCol25,0),MATCH(MID(INDEX('Structured 2025'!headerRow,1,COLUMN()),4,LEN(INDEX('Structured 2025'!headerRow,1,COLUMN()))),ovrHeaderRow25,0))</f>
        <v>3.7</v>
      </c>
      <c r="BV32" s="12">
        <f>INDEX(ovrTable25,MATCH(INDEX(oppCol,ROW()),ovrTeamCol25,0),MATCH(MID(INDEX('Structured 2025'!headerRow,1,COLUMN()),4,LEN(INDEX('Structured 2025'!headerRow,1,COLUMN()))),ovrHeaderRow25,0))</f>
        <v>43.3</v>
      </c>
      <c r="BW32" s="12">
        <f>INDEX(ovrTable25,MATCH(INDEX(oppCol,ROW()),ovrTeamCol25,0),MATCH(MID(INDEX('Structured 2025'!headerRow,1,COLUMN()),4,LEN(INDEX('Structured 2025'!headerRow,1,COLUMN()))),ovrHeaderRow25,0))</f>
        <v>26.66</v>
      </c>
      <c r="BX32" s="12">
        <f>INDEX(ovrTable25,MATCH(INDEX(oppCol,ROW()),ovrTeamCol25,0),MATCH(MID(INDEX('Structured 2025'!headerRow,1,COLUMN()),4,LEN(INDEX('Structured 2025'!headerRow,1,COLUMN()))),ovrHeaderRow25,0))</f>
        <v>0.55200000000000005</v>
      </c>
      <c r="BY32" s="12">
        <f>INDEX(ovrTable25,MATCH(INDEX(oppCol,ROW()),ovrTeamCol25,0),MATCH(MID(INDEX('Structured 2025'!headerRow,1,COLUMN()),4,LEN(INDEX('Structured 2025'!headerRow,1,COLUMN()))),ovrHeaderRow25,0))</f>
        <v>13.2</v>
      </c>
      <c r="BZ32" s="12">
        <f>INDEX(ovrTable25,MATCH(INDEX(oppCol,ROW()),ovrTeamCol25,0),MATCH(MID(INDEX('Structured 2025'!headerRow,1,COLUMN()),4,LEN(INDEX('Structured 2025'!headerRow,1,COLUMN()))),ovrHeaderRow25,0))</f>
        <v>46.9</v>
      </c>
      <c r="CA32" s="12">
        <f>INDEX(ovrTable25,MATCH(INDEX(oppCol,ROW()),ovrTeamCol25,0),MATCH(MID(INDEX('Structured 2025'!headerRow,1,COLUMN()),4,LEN(INDEX('Structured 2025'!headerRow,1,COLUMN()))),ovrHeaderRow25,0))</f>
        <v>17.8</v>
      </c>
      <c r="CB32" s="12">
        <f>INDEX(ovrTable25,MATCH(INDEX(oppCol,ROW()),ovrTeamCol25,0),MATCH(MID(INDEX('Structured 2025'!headerRow,1,COLUMN()),4,LEN(INDEX('Structured 2025'!headerRow,1,COLUMN()))),ovrHeaderRow25,0))</f>
        <v>75.400000000000006</v>
      </c>
      <c r="CC32" s="12">
        <f>INDEX(ovrTable25,MATCH(INDEX(oppCol,ROW()),ovrTeamCol25,0),MATCH(MID(INDEX('Structured 2025'!headerRow,1,COLUMN()),4,LEN(INDEX('Structured 2025'!headerRow,1,COLUMN()))),ovrHeaderRow25,0))</f>
        <v>16.899999999999999</v>
      </c>
      <c r="CD32" s="12">
        <f>INDEX(ovrTable25,MATCH(INDEX(oppCol,ROW()),ovrTeamCol25,0),MATCH(MID(INDEX('Structured 2025'!headerRow,1,COLUMN()),4,LEN(INDEX('Structured 2025'!headerRow,1,COLUMN()))),ovrHeaderRow25,0))</f>
        <v>12.7</v>
      </c>
      <c r="CE32" s="12">
        <f>INDEX(ovrTable25,MATCH(INDEX(oppCol,ROW()),ovrTeamCol25,0),MATCH(MID(INDEX('Structured 2025'!headerRow,1,COLUMN()),4,LEN(INDEX('Structured 2025'!headerRow,1,COLUMN()))),ovrHeaderRow25,0))</f>
        <v>75.099999999999994</v>
      </c>
      <c r="CF32" s="12">
        <f>INDEX(ovrTable25,MATCH(INDEX(oppCol,ROW()),ovrTeamCol25,0),MATCH(MID(INDEX('Structured 2025'!headerRow,1,COLUMN()),4,LEN(INDEX('Structured 2025'!headerRow,1,COLUMN()))),ovrHeaderRow25,0))</f>
        <v>11.83</v>
      </c>
      <c r="CG32" s="12">
        <f>INDEX(ovrTable25,MATCH(INDEX(oppCol,ROW()),ovrTeamCol25,0),MATCH(MID(INDEX('Structured 2025'!headerRow,1,COLUMN()),4,LEN(INDEX('Structured 2025'!headerRow,1,COLUMN()))),ovrHeaderRow25,0))</f>
        <v>84</v>
      </c>
      <c r="CH32" s="12">
        <f>INDEX(ovrTable25,MATCH(INDEX(oppCol,ROW()),ovrTeamCol25,0),MATCH(MID(INDEX('Structured 2025'!headerRow,1,COLUMN()),4,LEN(INDEX('Structured 2025'!headerRow,1,COLUMN()))),ovrHeaderRow25,0))</f>
        <v>3.4</v>
      </c>
      <c r="CI32" s="12">
        <f>INDEX(ovrTable25,MATCH(INDEX(oppCol,ROW()),ovrTeamCol25,0),MATCH(MID(INDEX('Structured 2025'!headerRow,1,COLUMN()),4,LEN(INDEX('Structured 2025'!headerRow,1,COLUMN()))),ovrHeaderRow25,0))</f>
        <v>38.49</v>
      </c>
      <c r="CJ32" s="12">
        <f>INDEX(ovrTable25,MATCH(INDEX(oppCol,ROW()),ovrTeamCol25,0),MATCH(MID(INDEX('Structured 2025'!headerRow,1,COLUMN()),4,LEN(INDEX('Structured 2025'!headerRow,1,COLUMN()))),ovrHeaderRow25,0))</f>
        <v>9</v>
      </c>
      <c r="CK32" s="12">
        <f>INDEX(ovrTable25,MATCH(INDEX(oppCol,ROW()),ovrTeamCol25,0),MATCH(MID(INDEX('Structured 2025'!headerRow,1,COLUMN()),4,LEN(INDEX('Structured 2025'!headerRow,1,COLUMN()))),ovrHeaderRow25,0))</f>
        <v>7.6</v>
      </c>
      <c r="CL32" s="12">
        <f>INDEX(ovrTable25,MATCH(INDEX(oppCol,ROW()),ovrTeamCol25,0),MATCH(MID(INDEX('Structured 2025'!headerRow,1,COLUMN()),4,LEN(INDEX('Structured 2025'!headerRow,1,COLUMN()))),ovrHeaderRow25,0))</f>
        <v>0.9</v>
      </c>
      <c r="CM32" s="12">
        <f>INDEX(ovrTable25,MATCH(INDEX(oppCol,ROW()),ovrTeamCol25,0),MATCH(MID(INDEX('Structured 2025'!headerRow,1,COLUMN()),4,LEN(INDEX('Structured 2025'!headerRow,1,COLUMN()))),ovrHeaderRow25,0))</f>
        <v>12.69</v>
      </c>
      <c r="CN32" s="12">
        <f>INDEX(ovrTable25,MATCH(INDEX(oppCol,ROW()),ovrTeamCol25,0),MATCH(MID(INDEX('Structured 2025'!headerRow,1,COLUMN()),4,LEN(INDEX('Structured 2025'!headerRow,1,COLUMN()))),ovrHeaderRow25,0))</f>
        <v>11.8</v>
      </c>
      <c r="CO32" s="12">
        <f>INDEX(ovrTable25,MATCH(INDEX(oppCol,ROW()),ovrTeamCol25,0),MATCH(MID(INDEX('Structured 2025'!headerRow,1,COLUMN()),4,LEN(INDEX('Structured 2025'!headerRow,1,COLUMN()))),ovrHeaderRow25,0))</f>
        <v>71.7</v>
      </c>
      <c r="CP32" s="12">
        <f>INDEX(ovrTable25,MATCH(INDEX(oppCol,ROW()),ovrTeamCol25,0),MATCH(MID(INDEX('Structured 2025'!headerRow,1,COLUMN()),4,LEN(INDEX('Structured 2025'!headerRow,1,COLUMN()))),ovrHeaderRow25,0))</f>
        <v>19.600000000000001</v>
      </c>
      <c r="CQ32" s="12">
        <f>INDEX(ovrTable25,MATCH(INDEX(oppCol,ROW()),ovrTeamCol25,0),MATCH(MID(INDEX('Structured 2025'!headerRow,1,COLUMN()),4,LEN(INDEX('Structured 2025'!headerRow,1,COLUMN()))),ovrHeaderRow25,0))</f>
        <v>64.605543710021323</v>
      </c>
    </row>
    <row r="33" spans="1:95" x14ac:dyDescent="0.3">
      <c r="A33" s="6" t="s">
        <v>68</v>
      </c>
      <c r="B33" s="3">
        <v>13</v>
      </c>
      <c r="C33" s="13" t="str">
        <f>A32</f>
        <v>ARIZ</v>
      </c>
      <c r="D33" s="14">
        <f t="shared" si="26"/>
        <v>16</v>
      </c>
      <c r="E33" s="23">
        <v>0.48</v>
      </c>
      <c r="F33" s="24">
        <v>33.333333333333329</v>
      </c>
      <c r="G33" s="24">
        <v>7</v>
      </c>
      <c r="H33" s="23">
        <v>28.000000000000004</v>
      </c>
      <c r="I33" s="24">
        <v>25</v>
      </c>
      <c r="J33" s="25">
        <v>0.8571428571428571</v>
      </c>
      <c r="K33" s="24">
        <v>16</v>
      </c>
      <c r="L33" s="24">
        <v>20</v>
      </c>
      <c r="M33" s="24">
        <v>4</v>
      </c>
      <c r="N33" s="24">
        <v>18</v>
      </c>
      <c r="O33" s="24">
        <v>6</v>
      </c>
      <c r="P33" s="24">
        <v>5</v>
      </c>
      <c r="Q33" s="24">
        <v>4</v>
      </c>
      <c r="R33" s="24">
        <v>7</v>
      </c>
      <c r="S33" s="24">
        <v>4</v>
      </c>
      <c r="T33" s="24">
        <v>14</v>
      </c>
      <c r="U33" s="24">
        <v>21</v>
      </c>
      <c r="V33" s="24">
        <v>0.56521739130434778</v>
      </c>
      <c r="W33" s="26">
        <v>0.3888888888888889</v>
      </c>
      <c r="X33" s="23">
        <v>80</v>
      </c>
      <c r="Y33" s="24">
        <v>93</v>
      </c>
      <c r="Z33" s="24">
        <v>65</v>
      </c>
      <c r="AA33" s="24">
        <v>-31</v>
      </c>
      <c r="AB33" s="24">
        <v>22</v>
      </c>
      <c r="AC33" s="24">
        <v>-28</v>
      </c>
      <c r="AD33" s="24">
        <v>9</v>
      </c>
      <c r="AE33" s="24">
        <v>16</v>
      </c>
      <c r="AF33" s="34">
        <f t="shared" si="0"/>
        <v>14</v>
      </c>
      <c r="AG33" s="34">
        <f t="shared" si="1"/>
        <v>38.000000000000014</v>
      </c>
      <c r="AH33" s="46">
        <f t="shared" si="2"/>
        <v>75.5</v>
      </c>
      <c r="AI33" s="51">
        <f t="shared" ref="AI33" si="33">AVERAGE(AH32,AH33)</f>
        <v>75.125</v>
      </c>
      <c r="AJ33" s="12">
        <f>INDEX(ovrTable25,MATCH(INDEX('Structured 2025'!teamCol,ROW()),ovrTeamCol25,0),MATCH(MID(INDEX('Structured 2025'!headerRow,1,COLUMN()),4,LEN(INDEX('Structured 2025'!headerRow,1,COLUMN()))),ovrHeaderRow25,0))</f>
        <v>31.9</v>
      </c>
      <c r="AK33" s="12">
        <f>INDEX(ovrTable25,MATCH(INDEX('Structured 2025'!teamCol,ROW()),ovrTeamCol25,0),MATCH(MID(INDEX('Structured 2025'!headerRow,1,COLUMN()),4,LEN(INDEX('Structured 2025'!headerRow,1,COLUMN()))),ovrHeaderRow25,0))</f>
        <v>10.7</v>
      </c>
      <c r="AL33" s="12">
        <f>INDEX(ovrTable25,MATCH(INDEX('Structured 2025'!teamCol,ROW()),ovrTeamCol25,0),MATCH(MID(INDEX('Structured 2025'!headerRow,1,COLUMN()),4,LEN(INDEX('Structured 2025'!headerRow,1,COLUMN()))),ovrHeaderRow25,0))</f>
        <v>36.200000000000003</v>
      </c>
      <c r="AM33" s="12">
        <f>INDEX(ovrTable25,MATCH(INDEX('Structured 2025'!teamCol,ROW()),ovrTeamCol25,0),MATCH(MID(INDEX('Structured 2025'!headerRow,1,COLUMN()),4,LEN(INDEX('Structured 2025'!headerRow,1,COLUMN()))),ovrHeaderRow25,0))</f>
        <v>29.7</v>
      </c>
      <c r="AN33" s="12">
        <f>INDEX(ovrTable25,MATCH(INDEX('Structured 2025'!teamCol,ROW()),ovrTeamCol25,0),MATCH(MID(INDEX('Structured 2025'!headerRow,1,COLUMN()),4,LEN(INDEX('Structured 2025'!headerRow,1,COLUMN()))),ovrHeaderRow25,0))</f>
        <v>1.5</v>
      </c>
      <c r="AO33" s="12">
        <f>INDEX(ovrTable25,MATCH(INDEX('Structured 2025'!teamCol,ROW()),ovrTeamCol25,0),MATCH(MID(INDEX('Structured 2025'!headerRow,1,COLUMN()),4,LEN(INDEX('Structured 2025'!headerRow,1,COLUMN()))),ovrHeaderRow25,0))</f>
        <v>17.7</v>
      </c>
      <c r="AP33" s="12">
        <f>INDEX(ovrTable25,MATCH(INDEX('Structured 2025'!teamCol,ROW()),ovrTeamCol25,0),MATCH(MID(INDEX('Structured 2025'!headerRow,1,COLUMN()),4,LEN(INDEX('Structured 2025'!headerRow,1,COLUMN()))),ovrHeaderRow25,0))</f>
        <v>33.97</v>
      </c>
      <c r="AQ33" s="12">
        <f>INDEX(ovrTable25,MATCH(INDEX('Structured 2025'!teamCol,ROW()),ovrTeamCol25,0),MATCH(MID(INDEX('Structured 2025'!headerRow,1,COLUMN()),4,LEN(INDEX('Structured 2025'!headerRow,1,COLUMN()))),ovrHeaderRow25,0))</f>
        <v>3.7</v>
      </c>
      <c r="AR33" s="12">
        <f>INDEX(ovrTable25,MATCH(INDEX('Structured 2025'!teamCol,ROW()),ovrTeamCol25,0),MATCH(MID(INDEX('Structured 2025'!headerRow,1,COLUMN()),4,LEN(INDEX('Structured 2025'!headerRow,1,COLUMN()))),ovrHeaderRow25,0))</f>
        <v>43.3</v>
      </c>
      <c r="AS33" s="12">
        <f>INDEX(ovrTable25,MATCH(INDEX('Structured 2025'!teamCol,ROW()),ovrTeamCol25,0),MATCH(MID(INDEX('Structured 2025'!headerRow,1,COLUMN()),4,LEN(INDEX('Structured 2025'!headerRow,1,COLUMN()))),ovrHeaderRow25,0))</f>
        <v>26.66</v>
      </c>
      <c r="AT33" s="12">
        <f>INDEX(ovrTable25,MATCH(INDEX('Structured 2025'!teamCol,ROW()),ovrTeamCol25,0),MATCH(MID(INDEX('Structured 2025'!headerRow,1,COLUMN()),4,LEN(INDEX('Structured 2025'!headerRow,1,COLUMN()))),ovrHeaderRow25,0))</f>
        <v>0.55200000000000005</v>
      </c>
      <c r="AU33" s="12">
        <f>INDEX(ovrTable25,MATCH(INDEX('Structured 2025'!teamCol,ROW()),ovrTeamCol25,0),MATCH(MID(INDEX('Structured 2025'!headerRow,1,COLUMN()),4,LEN(INDEX('Structured 2025'!headerRow,1,COLUMN()))),ovrHeaderRow25,0))</f>
        <v>13.2</v>
      </c>
      <c r="AV33" s="12">
        <f>INDEX(ovrTable25,MATCH(INDEX('Structured 2025'!teamCol,ROW()),ovrTeamCol25,0),MATCH(MID(INDEX('Structured 2025'!headerRow,1,COLUMN()),4,LEN(INDEX('Structured 2025'!headerRow,1,COLUMN()))),ovrHeaderRow25,0))</f>
        <v>46.9</v>
      </c>
      <c r="AW33" s="12">
        <f>INDEX(ovrTable25,MATCH(INDEX('Structured 2025'!teamCol,ROW()),ovrTeamCol25,0),MATCH(MID(INDEX('Structured 2025'!headerRow,1,COLUMN()),4,LEN(INDEX('Structured 2025'!headerRow,1,COLUMN()))),ovrHeaderRow25,0))</f>
        <v>17.8</v>
      </c>
      <c r="AX33" s="12">
        <f>INDEX(ovrTable25,MATCH(INDEX('Structured 2025'!teamCol,ROW()),ovrTeamCol25,0),MATCH(MID(INDEX('Structured 2025'!headerRow,1,COLUMN()),4,LEN(INDEX('Structured 2025'!headerRow,1,COLUMN()))),ovrHeaderRow25,0))</f>
        <v>75.400000000000006</v>
      </c>
      <c r="AY33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Z33" s="12">
        <f>INDEX(ovrTable25,MATCH(INDEX('Structured 2025'!teamCol,ROW()),ovrTeamCol25,0),MATCH(MID(INDEX('Structured 2025'!headerRow,1,COLUMN()),4,LEN(INDEX('Structured 2025'!headerRow,1,COLUMN()))),ovrHeaderRow25,0))</f>
        <v>12.7</v>
      </c>
      <c r="BA33" s="12">
        <f>INDEX(ovrTable25,MATCH(INDEX('Structured 2025'!teamCol,ROW()),ovrTeamCol25,0),MATCH(MID(INDEX('Structured 2025'!headerRow,1,COLUMN()),4,LEN(INDEX('Structured 2025'!headerRow,1,COLUMN()))),ovrHeaderRow25,0))</f>
        <v>75.099999999999994</v>
      </c>
      <c r="BB33" s="12">
        <f>INDEX(ovrTable25,MATCH(INDEX('Structured 2025'!teamCol,ROW()),ovrTeamCol25,0),MATCH(MID(INDEX('Structured 2025'!headerRow,1,COLUMN()),4,LEN(INDEX('Structured 2025'!headerRow,1,COLUMN()))),ovrHeaderRow25,0))</f>
        <v>11.83</v>
      </c>
      <c r="BC33" s="12">
        <f>INDEX(ovrTable25,MATCH(INDEX('Structured 2025'!teamCol,ROW()),ovrTeamCol25,0),MATCH(MID(INDEX('Structured 2025'!headerRow,1,COLUMN()),4,LEN(INDEX('Structured 2025'!headerRow,1,COLUMN()))),ovrHeaderRow25,0))</f>
        <v>84</v>
      </c>
      <c r="BD33" s="12">
        <f>INDEX(ovrTable25,MATCH(INDEX('Structured 2025'!teamCol,ROW()),ovrTeamCol25,0),MATCH(MID(INDEX('Structured 2025'!headerRow,1,COLUMN()),4,LEN(INDEX('Structured 2025'!headerRow,1,COLUMN()))),ovrHeaderRow25,0))</f>
        <v>3.4</v>
      </c>
      <c r="BE33" s="12">
        <f>INDEX(ovrTable25,MATCH(INDEX('Structured 2025'!teamCol,ROW()),ovrTeamCol25,0),MATCH(MID(INDEX('Structured 2025'!headerRow,1,COLUMN()),4,LEN(INDEX('Structured 2025'!headerRow,1,COLUMN()))),ovrHeaderRow25,0))</f>
        <v>38.49</v>
      </c>
      <c r="BF33" s="12">
        <f>INDEX(ovrTable25,MATCH(INDEX('Structured 2025'!teamCol,ROW()),ovrTeamCol25,0),MATCH(MID(INDEX('Structured 2025'!headerRow,1,COLUMN()),4,LEN(INDEX('Structured 2025'!headerRow,1,COLUMN()))),ovrHeaderRow25,0))</f>
        <v>9</v>
      </c>
      <c r="BG33" s="12">
        <f>INDEX(ovrTable25,MATCH(INDEX('Structured 2025'!teamCol,ROW()),ovrTeamCol25,0),MATCH(MID(INDEX('Structured 2025'!headerRow,1,COLUMN()),4,LEN(INDEX('Structured 2025'!headerRow,1,COLUMN()))),ovrHeaderRow25,0))</f>
        <v>7.6</v>
      </c>
      <c r="BH33" s="12">
        <f>INDEX(ovrTable25,MATCH(INDEX('Structured 2025'!teamCol,ROW()),ovrTeamCol25,0),MATCH(MID(INDEX('Structured 2025'!headerRow,1,COLUMN()),4,LEN(INDEX('Structured 2025'!headerRow,1,COLUMN()))),ovrHeaderRow25,0))</f>
        <v>0.9</v>
      </c>
      <c r="BI33" s="12">
        <f>INDEX(ovrTable25,MATCH(INDEX('Structured 2025'!teamCol,ROW()),ovrTeamCol25,0),MATCH(MID(INDEX('Structured 2025'!headerRow,1,COLUMN()),4,LEN(INDEX('Structured 2025'!headerRow,1,COLUMN()))),ovrHeaderRow25,0))</f>
        <v>12.69</v>
      </c>
      <c r="BJ33" s="12">
        <f>INDEX(ovrTable25,MATCH(INDEX('Structured 2025'!teamCol,ROW()),ovrTeamCol25,0),MATCH(MID(INDEX('Structured 2025'!headerRow,1,COLUMN()),4,LEN(INDEX('Structured 2025'!headerRow,1,COLUMN()))),ovrHeaderRow25,0))</f>
        <v>11.8</v>
      </c>
      <c r="BK33" s="12">
        <f>INDEX(ovrTable25,MATCH(INDEX('Structured 2025'!teamCol,ROW()),ovrTeamCol25,0),MATCH(MID(INDEX('Structured 2025'!headerRow,1,COLUMN()),4,LEN(INDEX('Structured 2025'!headerRow,1,COLUMN()))),ovrHeaderRow25,0))</f>
        <v>71.7</v>
      </c>
      <c r="BL33" s="12">
        <f>INDEX(ovrTable25,MATCH(INDEX('Structured 2025'!teamCol,ROW()),ovrTeamCol25,0),MATCH(MID(INDEX('Structured 2025'!headerRow,1,COLUMN()),4,LEN(INDEX('Structured 2025'!headerRow,1,COLUMN()))),ovrHeaderRow25,0))</f>
        <v>19.600000000000001</v>
      </c>
      <c r="BM33" s="12">
        <f>INDEX(ovrTable25,MATCH(INDEX('Structured 2025'!teamCol,ROW()),ovrTeamCol25,0),MATCH(MID(INDEX('Structured 2025'!headerRow,1,COLUMN()),4,LEN(INDEX('Structured 2025'!headerRow,1,COLUMN()))),ovrHeaderRow25,0))</f>
        <v>64.605543710021323</v>
      </c>
      <c r="BN33" s="12">
        <f>INDEX(ovrTable25,MATCH(INDEX(oppCol,ROW()),ovrTeamCol25,0),MATCH(MID(INDEX('Structured 2025'!headerRow,1,COLUMN()),4,LEN(INDEX('Structured 2025'!headerRow,1,COLUMN()))),ovrHeaderRow25,0))</f>
        <v>34</v>
      </c>
      <c r="BO33" s="12">
        <f>INDEX(ovrTable25,MATCH(INDEX(oppCol,ROW()),ovrTeamCol25,0),MATCH(MID(INDEX('Structured 2025'!headerRow,1,COLUMN()),4,LEN(INDEX('Structured 2025'!headerRow,1,COLUMN()))),ovrHeaderRow25,0))</f>
        <v>7.2</v>
      </c>
      <c r="BP33" s="12">
        <f>INDEX(ovrTable25,MATCH(INDEX(oppCol,ROW()),ovrTeamCol25,0),MATCH(MID(INDEX('Structured 2025'!headerRow,1,COLUMN()),4,LEN(INDEX('Structured 2025'!headerRow,1,COLUMN()))),ovrHeaderRow25,0))</f>
        <v>33.799999999999997</v>
      </c>
      <c r="BQ33" s="12">
        <f>INDEX(ovrTable25,MATCH(INDEX(oppCol,ROW()),ovrTeamCol25,0),MATCH(MID(INDEX('Structured 2025'!headerRow,1,COLUMN()),4,LEN(INDEX('Structured 2025'!headerRow,1,COLUMN()))),ovrHeaderRow25,0))</f>
        <v>21.3</v>
      </c>
      <c r="BR33" s="12">
        <f>INDEX(ovrTable25,MATCH(INDEX(oppCol,ROW()),ovrTeamCol25,0),MATCH(MID(INDEX('Structured 2025'!headerRow,1,COLUMN()),4,LEN(INDEX('Structured 2025'!headerRow,1,COLUMN()))),ovrHeaderRow25,0))</f>
        <v>1.42</v>
      </c>
      <c r="BS33" s="12">
        <f>INDEX(ovrTable25,MATCH(INDEX(oppCol,ROW()),ovrTeamCol25,0),MATCH(MID(INDEX('Structured 2025'!headerRow,1,COLUMN()),4,LEN(INDEX('Structured 2025'!headerRow,1,COLUMN()))),ovrHeaderRow25,0))</f>
        <v>16.2</v>
      </c>
      <c r="BT33" s="12">
        <f>INDEX(ovrTable25,MATCH(INDEX(oppCol,ROW()),ovrTeamCol25,0),MATCH(MID(INDEX('Structured 2025'!headerRow,1,COLUMN()),4,LEN(INDEX('Structured 2025'!headerRow,1,COLUMN()))),ovrHeaderRow25,0))</f>
        <v>29.57</v>
      </c>
      <c r="BU33" s="12">
        <f>INDEX(ovrTable25,MATCH(INDEX(oppCol,ROW()),ovrTeamCol25,0),MATCH(MID(INDEX('Structured 2025'!headerRow,1,COLUMN()),4,LEN(INDEX('Structured 2025'!headerRow,1,COLUMN()))),ovrHeaderRow25,0))</f>
        <v>4.4000000000000004</v>
      </c>
      <c r="BV33" s="12">
        <f>INDEX(ovrTable25,MATCH(INDEX(oppCol,ROW()),ovrTeamCol25,0),MATCH(MID(INDEX('Structured 2025'!headerRow,1,COLUMN()),4,LEN(INDEX('Structured 2025'!headerRow,1,COLUMN()))),ovrHeaderRow25,0))</f>
        <v>41.9</v>
      </c>
      <c r="BW33" s="12">
        <f>INDEX(ovrTable25,MATCH(INDEX(oppCol,ROW()),ovrTeamCol25,0),MATCH(MID(INDEX('Structured 2025'!headerRow,1,COLUMN()),4,LEN(INDEX('Structured 2025'!headerRow,1,COLUMN()))),ovrHeaderRow25,0))</f>
        <v>27.41</v>
      </c>
      <c r="BX33" s="12">
        <f>INDEX(ovrTable25,MATCH(INDEX(oppCol,ROW()),ovrTeamCol25,0),MATCH(MID(INDEX('Structured 2025'!headerRow,1,COLUMN()),4,LEN(INDEX('Structured 2025'!headerRow,1,COLUMN()))),ovrHeaderRow25,0))</f>
        <v>0.53300000000000003</v>
      </c>
      <c r="BY33" s="12">
        <f>INDEX(ovrTable25,MATCH(INDEX(oppCol,ROW()),ovrTeamCol25,0),MATCH(MID(INDEX('Structured 2025'!headerRow,1,COLUMN()),4,LEN(INDEX('Structured 2025'!headerRow,1,COLUMN()))),ovrHeaderRow25,0))</f>
        <v>13.76</v>
      </c>
      <c r="BZ33" s="12">
        <f>INDEX(ovrTable25,MATCH(INDEX(oppCol,ROW()),ovrTeamCol25,0),MATCH(MID(INDEX('Structured 2025'!headerRow,1,COLUMN()),4,LEN(INDEX('Structured 2025'!headerRow,1,COLUMN()))),ovrHeaderRow25,0))</f>
        <v>47.4</v>
      </c>
      <c r="CA33" s="12">
        <f>INDEX(ovrTable25,MATCH(INDEX(oppCol,ROW()),ovrTeamCol25,0),MATCH(MID(INDEX('Structured 2025'!headerRow,1,COLUMN()),4,LEN(INDEX('Structured 2025'!headerRow,1,COLUMN()))),ovrHeaderRow25,0))</f>
        <v>16.899999999999999</v>
      </c>
      <c r="CB33" s="12">
        <f>INDEX(ovrTable25,MATCH(INDEX(oppCol,ROW()),ovrTeamCol25,0),MATCH(MID(INDEX('Structured 2025'!headerRow,1,COLUMN()),4,LEN(INDEX('Structured 2025'!headerRow,1,COLUMN()))),ovrHeaderRow25,0))</f>
        <v>78</v>
      </c>
      <c r="CC33" s="12">
        <f>INDEX(ovrTable25,MATCH(INDEX(oppCol,ROW()),ovrTeamCol25,0),MATCH(MID(INDEX('Structured 2025'!headerRow,1,COLUMN()),4,LEN(INDEX('Structured 2025'!headerRow,1,COLUMN()))),ovrHeaderRow25,0))</f>
        <v>22</v>
      </c>
      <c r="CD33" s="12">
        <f>INDEX(ovrTable25,MATCH(INDEX(oppCol,ROW()),ovrTeamCol25,0),MATCH(MID(INDEX('Structured 2025'!headerRow,1,COLUMN()),4,LEN(INDEX('Structured 2025'!headerRow,1,COLUMN()))),ovrHeaderRow25,0))</f>
        <v>17.100000000000001</v>
      </c>
      <c r="CE33" s="12">
        <f>INDEX(ovrTable25,MATCH(INDEX(oppCol,ROW()),ovrTeamCol25,0),MATCH(MID(INDEX('Structured 2025'!headerRow,1,COLUMN()),4,LEN(INDEX('Structured 2025'!headerRow,1,COLUMN()))),ovrHeaderRow25,0))</f>
        <v>73.3</v>
      </c>
      <c r="CF33" s="12">
        <f>INDEX(ovrTable25,MATCH(INDEX(oppCol,ROW()),ovrTeamCol25,0),MATCH(MID(INDEX('Structured 2025'!headerRow,1,COLUMN()),4,LEN(INDEX('Structured 2025'!headerRow,1,COLUMN()))),ovrHeaderRow25,0))</f>
        <v>12.32</v>
      </c>
      <c r="CG33" s="12">
        <f>INDEX(ovrTable25,MATCH(INDEX(oppCol,ROW()),ovrTeamCol25,0),MATCH(MID(INDEX('Structured 2025'!headerRow,1,COLUMN()),4,LEN(INDEX('Structured 2025'!headerRow,1,COLUMN()))),ovrHeaderRow25,0))</f>
        <v>82.5</v>
      </c>
      <c r="CH33" s="12">
        <f>INDEX(ovrTable25,MATCH(INDEX(oppCol,ROW()),ovrTeamCol25,0),MATCH(MID(INDEX('Structured 2025'!headerRow,1,COLUMN()),4,LEN(INDEX('Structured 2025'!headerRow,1,COLUMN()))),ovrHeaderRow25,0))</f>
        <v>7.2</v>
      </c>
      <c r="CI33" s="12">
        <f>INDEX(ovrTable25,MATCH(INDEX(oppCol,ROW()),ovrTeamCol25,0),MATCH(MID(INDEX('Structured 2025'!headerRow,1,COLUMN()),4,LEN(INDEX('Structured 2025'!headerRow,1,COLUMN()))),ovrHeaderRow25,0))</f>
        <v>39.729999999999997</v>
      </c>
      <c r="CJ33" s="12">
        <f>INDEX(ovrTable25,MATCH(INDEX(oppCol,ROW()),ovrTeamCol25,0),MATCH(MID(INDEX('Structured 2025'!headerRow,1,COLUMN()),4,LEN(INDEX('Structured 2025'!headerRow,1,COLUMN()))),ovrHeaderRow25,0))</f>
        <v>9.1999999999999993</v>
      </c>
      <c r="CK33" s="12">
        <f>INDEX(ovrTable25,MATCH(INDEX(oppCol,ROW()),ovrTeamCol25,0),MATCH(MID(INDEX('Structured 2025'!headerRow,1,COLUMN()),4,LEN(INDEX('Structured 2025'!headerRow,1,COLUMN()))),ovrHeaderRow25,0))</f>
        <v>7.5</v>
      </c>
      <c r="CL33" s="12">
        <f>INDEX(ovrTable25,MATCH(INDEX(oppCol,ROW()),ovrTeamCol25,0),MATCH(MID(INDEX('Structured 2025'!headerRow,1,COLUMN()),4,LEN(INDEX('Structured 2025'!headerRow,1,COLUMN()))),ovrHeaderRow25,0))</f>
        <v>0.1</v>
      </c>
      <c r="CM33" s="12">
        <f>INDEX(ovrTable25,MATCH(INDEX(oppCol,ROW()),ovrTeamCol25,0),MATCH(MID(INDEX('Structured 2025'!headerRow,1,COLUMN()),4,LEN(INDEX('Structured 2025'!headerRow,1,COLUMN()))),ovrHeaderRow25,0))</f>
        <v>11.49</v>
      </c>
      <c r="CN33" s="12">
        <f>INDEX(ovrTable25,MATCH(INDEX(oppCol,ROW()),ovrTeamCol25,0),MATCH(MID(INDEX('Structured 2025'!headerRow,1,COLUMN()),4,LEN(INDEX('Structured 2025'!headerRow,1,COLUMN()))),ovrHeaderRow25,0))</f>
        <v>11.4</v>
      </c>
      <c r="CO33" s="12">
        <f>INDEX(ovrTable25,MATCH(INDEX(oppCol,ROW()),ovrTeamCol25,0),MATCH(MID(INDEX('Structured 2025'!headerRow,1,COLUMN()),4,LEN(INDEX('Structured 2025'!headerRow,1,COLUMN()))),ovrHeaderRow25,0))</f>
        <v>70.3</v>
      </c>
      <c r="CP33" s="12">
        <f>INDEX(ovrTable25,MATCH(INDEX(oppCol,ROW()),ovrTeamCol25,0),MATCH(MID(INDEX('Structured 2025'!headerRow,1,COLUMN()),4,LEN(INDEX('Structured 2025'!headerRow,1,COLUMN()))),ovrHeaderRow25,0))</f>
        <v>21.900000000000002</v>
      </c>
      <c r="CQ33" s="12">
        <f>INDEX(ovrTable25,MATCH(INDEX(oppCol,ROW()),ovrTeamCol25,0),MATCH(MID(INDEX('Structured 2025'!headerRow,1,COLUMN()),4,LEN(INDEX('Structured 2025'!headerRow,1,COLUMN()))),ovrHeaderRow25,0))</f>
        <v>61.392405063291143</v>
      </c>
    </row>
    <row r="34" spans="1:95" x14ac:dyDescent="0.3">
      <c r="A34" s="6" t="s">
        <v>7</v>
      </c>
      <c r="B34" s="3">
        <v>6</v>
      </c>
      <c r="C34" s="13" t="str">
        <f>A35</f>
        <v>VCU</v>
      </c>
      <c r="D34" s="14">
        <f t="shared" si="26"/>
        <v>17</v>
      </c>
      <c r="E34" s="23">
        <v>0.39473684210526316</v>
      </c>
      <c r="F34" s="24">
        <v>50</v>
      </c>
      <c r="G34" s="24">
        <v>7</v>
      </c>
      <c r="H34" s="23">
        <v>35</v>
      </c>
      <c r="I34" s="24">
        <v>20</v>
      </c>
      <c r="J34" s="25">
        <v>1</v>
      </c>
      <c r="K34" s="24">
        <v>19</v>
      </c>
      <c r="L34" s="24">
        <v>28</v>
      </c>
      <c r="M34" s="24">
        <v>14</v>
      </c>
      <c r="N34" s="24">
        <v>26</v>
      </c>
      <c r="O34" s="24">
        <v>12</v>
      </c>
      <c r="P34" s="24">
        <v>6</v>
      </c>
      <c r="Q34" s="24">
        <v>4</v>
      </c>
      <c r="R34" s="24">
        <v>12</v>
      </c>
      <c r="S34" s="24">
        <v>6</v>
      </c>
      <c r="T34" s="24">
        <v>16</v>
      </c>
      <c r="U34" s="24">
        <v>26</v>
      </c>
      <c r="V34" s="24">
        <v>0.41269841269841268</v>
      </c>
      <c r="W34" s="26">
        <v>0.56481481481481477</v>
      </c>
      <c r="X34" s="23">
        <v>67.857142857142861</v>
      </c>
      <c r="Y34" s="24">
        <v>71</v>
      </c>
      <c r="Z34" s="24">
        <v>80</v>
      </c>
      <c r="AA34" s="24">
        <v>9</v>
      </c>
      <c r="AB34" s="24">
        <v>40</v>
      </c>
      <c r="AC34" s="24">
        <v>9</v>
      </c>
      <c r="AD34" s="24">
        <v>-1</v>
      </c>
      <c r="AE34" s="24">
        <v>11</v>
      </c>
      <c r="AF34" s="34">
        <f t="shared" ref="AF34:AF65" si="34">(Z34-(3*G34)-K34)/2</f>
        <v>20</v>
      </c>
      <c r="AG34" s="34">
        <f t="shared" ref="AG34:AG65" si="35">(AF34+G34)/(F34/100)-I34</f>
        <v>34</v>
      </c>
      <c r="AH34" s="46">
        <f t="shared" ref="AH34:AH65" si="36">ROUND(((Z34-K34-3*G34)/2+G34)/(F34/100),0)-M34+R34+L34*0.475</f>
        <v>65.3</v>
      </c>
      <c r="AI34" s="51">
        <f t="shared" ref="AI34" si="37">AVERAGE(AH34,AH35)</f>
        <v>65.074999999999989</v>
      </c>
      <c r="AJ34" s="12">
        <f>INDEX(ovrTable25,MATCH(INDEX('Structured 2025'!teamCol,ROW()),ovrTeamCol25,0),MATCH(MID(INDEX('Structured 2025'!headerRow,1,COLUMN()),4,LEN(INDEX('Structured 2025'!headerRow,1,COLUMN()))),ovrHeaderRow25,0))</f>
        <v>35.700000000000003</v>
      </c>
      <c r="AK34" s="12">
        <f>INDEX(ovrTable25,MATCH(INDEX('Structured 2025'!teamCol,ROW()),ovrTeamCol25,0),MATCH(MID(INDEX('Structured 2025'!headerRow,1,COLUMN()),4,LEN(INDEX('Structured 2025'!headerRow,1,COLUMN()))),ovrHeaderRow25,0))</f>
        <v>10.5</v>
      </c>
      <c r="AL34" s="12">
        <f>INDEX(ovrTable25,MATCH(INDEX('Structured 2025'!teamCol,ROW()),ovrTeamCol25,0),MATCH(MID(INDEX('Structured 2025'!headerRow,1,COLUMN()),4,LEN(INDEX('Structured 2025'!headerRow,1,COLUMN()))),ovrHeaderRow25,0))</f>
        <v>36.799999999999997</v>
      </c>
      <c r="AM34" s="12">
        <f>INDEX(ovrTable25,MATCH(INDEX('Structured 2025'!teamCol,ROW()),ovrTeamCol25,0),MATCH(MID(INDEX('Structured 2025'!headerRow,1,COLUMN()),4,LEN(INDEX('Structured 2025'!headerRow,1,COLUMN()))),ovrHeaderRow25,0))</f>
        <v>28.6</v>
      </c>
      <c r="AN34" s="12">
        <f>INDEX(ovrTable25,MATCH(INDEX('Structured 2025'!teamCol,ROW()),ovrTeamCol25,0),MATCH(MID(INDEX('Structured 2025'!headerRow,1,COLUMN()),4,LEN(INDEX('Structured 2025'!headerRow,1,COLUMN()))),ovrHeaderRow25,0))</f>
        <v>1.43</v>
      </c>
      <c r="AO34" s="12">
        <f>INDEX(ovrTable25,MATCH(INDEX('Structured 2025'!teamCol,ROW()),ovrTeamCol25,0),MATCH(MID(INDEX('Structured 2025'!headerRow,1,COLUMN()),4,LEN(INDEX('Structured 2025'!headerRow,1,COLUMN()))),ovrHeaderRow25,0))</f>
        <v>17.3</v>
      </c>
      <c r="AP34" s="12">
        <f>INDEX(ovrTable25,MATCH(INDEX('Structured 2025'!teamCol,ROW()),ovrTeamCol25,0),MATCH(MID(INDEX('Structured 2025'!headerRow,1,COLUMN()),4,LEN(INDEX('Structured 2025'!headerRow,1,COLUMN()))),ovrHeaderRow25,0))</f>
        <v>30.11</v>
      </c>
      <c r="AQ34" s="12">
        <f>INDEX(ovrTable25,MATCH(INDEX('Structured 2025'!teamCol,ROW()),ovrTeamCol25,0),MATCH(MID(INDEX('Structured 2025'!headerRow,1,COLUMN()),4,LEN(INDEX('Structured 2025'!headerRow,1,COLUMN()))),ovrHeaderRow25,0))</f>
        <v>3.1</v>
      </c>
      <c r="AR34" s="12">
        <f>INDEX(ovrTable25,MATCH(INDEX('Structured 2025'!teamCol,ROW()),ovrTeamCol25,0),MATCH(MID(INDEX('Structured 2025'!headerRow,1,COLUMN()),4,LEN(INDEX('Structured 2025'!headerRow,1,COLUMN()))),ovrHeaderRow25,0))</f>
        <v>43.1</v>
      </c>
      <c r="AS34" s="12">
        <f>INDEX(ovrTable25,MATCH(INDEX('Structured 2025'!teamCol,ROW()),ovrTeamCol25,0),MATCH(MID(INDEX('Structured 2025'!headerRow,1,COLUMN()),4,LEN(INDEX('Structured 2025'!headerRow,1,COLUMN()))),ovrHeaderRow25,0))</f>
        <v>26.33</v>
      </c>
      <c r="AT34" s="12">
        <f>INDEX(ovrTable25,MATCH(INDEX('Structured 2025'!teamCol,ROW()),ovrTeamCol25,0),MATCH(MID(INDEX('Structured 2025'!headerRow,1,COLUMN()),4,LEN(INDEX('Structured 2025'!headerRow,1,COLUMN()))),ovrHeaderRow25,0))</f>
        <v>0.56999999999999995</v>
      </c>
      <c r="AU34" s="12">
        <f>INDEX(ovrTable25,MATCH(INDEX('Structured 2025'!teamCol,ROW()),ovrTeamCol25,0),MATCH(MID(INDEX('Structured 2025'!headerRow,1,COLUMN()),4,LEN(INDEX('Structured 2025'!headerRow,1,COLUMN()))),ovrHeaderRow25,0))</f>
        <v>10</v>
      </c>
      <c r="AV34" s="12">
        <f>INDEX(ovrTable25,MATCH(INDEX('Structured 2025'!teamCol,ROW()),ovrTeamCol25,0),MATCH(MID(INDEX('Structured 2025'!headerRow,1,COLUMN()),4,LEN(INDEX('Structured 2025'!headerRow,1,COLUMN()))),ovrHeaderRow25,0))</f>
        <v>48.2</v>
      </c>
      <c r="AW34" s="12">
        <f>INDEX(ovrTable25,MATCH(INDEX('Structured 2025'!teamCol,ROW()),ovrTeamCol25,0),MATCH(MID(INDEX('Structured 2025'!headerRow,1,COLUMN()),4,LEN(INDEX('Structured 2025'!headerRow,1,COLUMN()))),ovrHeaderRow25,0))</f>
        <v>16.3</v>
      </c>
      <c r="AX34" s="12">
        <f>INDEX(ovrTable25,MATCH(INDEX('Structured 2025'!teamCol,ROW()),ovrTeamCol25,0),MATCH(MID(INDEX('Structured 2025'!headerRow,1,COLUMN()),4,LEN(INDEX('Structured 2025'!headerRow,1,COLUMN()))),ovrHeaderRow25,0))</f>
        <v>71.3</v>
      </c>
      <c r="AY34" s="12">
        <f>INDEX(ovrTable25,MATCH(INDEX('Structured 2025'!teamCol,ROW()),ovrTeamCol25,0),MATCH(MID(INDEX('Structured 2025'!headerRow,1,COLUMN()),4,LEN(INDEX('Structured 2025'!headerRow,1,COLUMN()))),ovrHeaderRow25,0))</f>
        <v>18.3</v>
      </c>
      <c r="AZ34" s="12">
        <f>INDEX(ovrTable25,MATCH(INDEX('Structured 2025'!teamCol,ROW()),ovrTeamCol25,0),MATCH(MID(INDEX('Structured 2025'!headerRow,1,COLUMN()),4,LEN(INDEX('Structured 2025'!headerRow,1,COLUMN()))),ovrHeaderRow25,0))</f>
        <v>13</v>
      </c>
      <c r="BA34" s="12">
        <f>INDEX(ovrTable25,MATCH(INDEX('Structured 2025'!teamCol,ROW()),ovrTeamCol25,0),MATCH(MID(INDEX('Structured 2025'!headerRow,1,COLUMN()),4,LEN(INDEX('Structured 2025'!headerRow,1,COLUMN()))),ovrHeaderRow25,0))</f>
        <v>72.599999999999994</v>
      </c>
      <c r="BB34" s="12">
        <f>INDEX(ovrTable25,MATCH(INDEX('Structured 2025'!teamCol,ROW()),ovrTeamCol25,0),MATCH(MID(INDEX('Structured 2025'!headerRow,1,COLUMN()),4,LEN(INDEX('Structured 2025'!headerRow,1,COLUMN()))),ovrHeaderRow25,0))</f>
        <v>11.28</v>
      </c>
      <c r="BC34" s="12">
        <f>INDEX(ovrTable25,MATCH(INDEX('Structured 2025'!teamCol,ROW()),ovrTeamCol25,0),MATCH(MID(INDEX('Structured 2025'!headerRow,1,COLUMN()),4,LEN(INDEX('Structured 2025'!headerRow,1,COLUMN()))),ovrHeaderRow25,0))</f>
        <v>81.400000000000006</v>
      </c>
      <c r="BD34" s="12">
        <f>INDEX(ovrTable25,MATCH(INDEX('Structured 2025'!teamCol,ROW()),ovrTeamCol25,0),MATCH(MID(INDEX('Structured 2025'!headerRow,1,COLUMN()),4,LEN(INDEX('Structured 2025'!headerRow,1,COLUMN()))),ovrHeaderRow25,0))</f>
        <v>5.9</v>
      </c>
      <c r="BE34" s="12">
        <f>INDEX(ovrTable25,MATCH(INDEX('Structured 2025'!teamCol,ROW()),ovrTeamCol25,0),MATCH(MID(INDEX('Structured 2025'!headerRow,1,COLUMN()),4,LEN(INDEX('Structured 2025'!headerRow,1,COLUMN()))),ovrHeaderRow25,0))</f>
        <v>37.61</v>
      </c>
      <c r="BF34" s="12">
        <f>INDEX(ovrTable25,MATCH(INDEX('Structured 2025'!teamCol,ROW()),ovrTeamCol25,0),MATCH(MID(INDEX('Structured 2025'!headerRow,1,COLUMN()),4,LEN(INDEX('Structured 2025'!headerRow,1,COLUMN()))),ovrHeaderRow25,0))</f>
        <v>8.9</v>
      </c>
      <c r="BG34" s="12">
        <f>INDEX(ovrTable25,MATCH(INDEX('Structured 2025'!teamCol,ROW()),ovrTeamCol25,0),MATCH(MID(INDEX('Structured 2025'!headerRow,1,COLUMN()),4,LEN(INDEX('Structured 2025'!headerRow,1,COLUMN()))),ovrHeaderRow25,0))</f>
        <v>7.1</v>
      </c>
      <c r="BH34" s="12">
        <f>INDEX(ovrTable25,MATCH(INDEX('Structured 2025'!teamCol,ROW()),ovrTeamCol25,0),MATCH(MID(INDEX('Structured 2025'!headerRow,1,COLUMN()),4,LEN(INDEX('Structured 2025'!headerRow,1,COLUMN()))),ovrHeaderRow25,0))</f>
        <v>-0.4</v>
      </c>
      <c r="BI34" s="12">
        <f>INDEX(ovrTable25,MATCH(INDEX('Structured 2025'!teamCol,ROW()),ovrTeamCol25,0),MATCH(MID(INDEX('Structured 2025'!headerRow,1,COLUMN()),4,LEN(INDEX('Structured 2025'!headerRow,1,COLUMN()))),ovrHeaderRow25,0))</f>
        <v>11.69</v>
      </c>
      <c r="BJ34" s="12">
        <f>INDEX(ovrTable25,MATCH(INDEX('Structured 2025'!teamCol,ROW()),ovrTeamCol25,0),MATCH(MID(INDEX('Structured 2025'!headerRow,1,COLUMN()),4,LEN(INDEX('Structured 2025'!headerRow,1,COLUMN()))),ovrHeaderRow25,0))</f>
        <v>12.1</v>
      </c>
      <c r="BK34" s="12">
        <f>INDEX(ovrTable25,MATCH(INDEX('Structured 2025'!teamCol,ROW()),ovrTeamCol25,0),MATCH(MID(INDEX('Structured 2025'!headerRow,1,COLUMN()),4,LEN(INDEX('Structured 2025'!headerRow,1,COLUMN()))),ovrHeaderRow25,0))</f>
        <v>67.599999999999994</v>
      </c>
      <c r="BL34" s="12">
        <f>INDEX(ovrTable25,MATCH(INDEX('Structured 2025'!teamCol,ROW()),ovrTeamCol25,0),MATCH(MID(INDEX('Structured 2025'!headerRow,1,COLUMN()),4,LEN(INDEX('Structured 2025'!headerRow,1,COLUMN()))),ovrHeaderRow25,0))</f>
        <v>18.450000000000003</v>
      </c>
      <c r="BM34" s="12">
        <f>INDEX(ovrTable25,MATCH(INDEX('Structured 2025'!teamCol,ROW()),ovrTeamCol25,0),MATCH(MID(INDEX('Structured 2025'!headerRow,1,COLUMN()),4,LEN(INDEX('Structured 2025'!headerRow,1,COLUMN()))),ovrHeaderRow25,0))</f>
        <v>60.062240663900418</v>
      </c>
      <c r="BN34" s="12">
        <f>INDEX(ovrTable25,MATCH(INDEX(oppCol,ROW()),ovrTeamCol25,0),MATCH(MID(INDEX('Structured 2025'!headerRow,1,COLUMN()),4,LEN(INDEX('Structured 2025'!headerRow,1,COLUMN()))),ovrHeaderRow25,0))</f>
        <v>30.5</v>
      </c>
      <c r="BO34" s="12">
        <f>INDEX(ovrTable25,MATCH(INDEX(oppCol,ROW()),ovrTeamCol25,0),MATCH(MID(INDEX('Structured 2025'!headerRow,1,COLUMN()),4,LEN(INDEX('Structured 2025'!headerRow,1,COLUMN()))),ovrHeaderRow25,0))</f>
        <v>9.6</v>
      </c>
      <c r="BP34" s="12">
        <f>INDEX(ovrTable25,MATCH(INDEX(oppCol,ROW()),ovrTeamCol25,0),MATCH(MID(INDEX('Structured 2025'!headerRow,1,COLUMN()),4,LEN(INDEX('Structured 2025'!headerRow,1,COLUMN()))),ovrHeaderRow25,0))</f>
        <v>33.6</v>
      </c>
      <c r="BQ34" s="12">
        <f>INDEX(ovrTable25,MATCH(INDEX(oppCol,ROW()),ovrTeamCol25,0),MATCH(MID(INDEX('Structured 2025'!headerRow,1,COLUMN()),4,LEN(INDEX('Structured 2025'!headerRow,1,COLUMN()))),ovrHeaderRow25,0))</f>
        <v>28.6</v>
      </c>
      <c r="BR34" s="12">
        <f>INDEX(ovrTable25,MATCH(INDEX(oppCol,ROW()),ovrTeamCol25,0),MATCH(MID(INDEX('Structured 2025'!headerRow,1,COLUMN()),4,LEN(INDEX('Structured 2025'!headerRow,1,COLUMN()))),ovrHeaderRow25,0))</f>
        <v>1.33</v>
      </c>
      <c r="BS34" s="12">
        <f>INDEX(ovrTable25,MATCH(INDEX(oppCol,ROW()),ovrTeamCol25,0),MATCH(MID(INDEX('Structured 2025'!headerRow,1,COLUMN()),4,LEN(INDEX('Structured 2025'!headerRow,1,COLUMN()))),ovrHeaderRow25,0))</f>
        <v>15</v>
      </c>
      <c r="BT34" s="12">
        <f>INDEX(ovrTable25,MATCH(INDEX(oppCol,ROW()),ovrTeamCol25,0),MATCH(MID(INDEX('Structured 2025'!headerRow,1,COLUMN()),4,LEN(INDEX('Structured 2025'!headerRow,1,COLUMN()))),ovrHeaderRow25,0))</f>
        <v>22.03</v>
      </c>
      <c r="BU34" s="12">
        <f>INDEX(ovrTable25,MATCH(INDEX(oppCol,ROW()),ovrTeamCol25,0),MATCH(MID(INDEX('Structured 2025'!headerRow,1,COLUMN()),4,LEN(INDEX('Structured 2025'!headerRow,1,COLUMN()))),ovrHeaderRow25,0))</f>
        <v>5.4</v>
      </c>
      <c r="BV34" s="12">
        <f>INDEX(ovrTable25,MATCH(INDEX(oppCol,ROW()),ovrTeamCol25,0),MATCH(MID(INDEX('Structured 2025'!headerRow,1,COLUMN()),4,LEN(INDEX('Structured 2025'!headerRow,1,COLUMN()))),ovrHeaderRow25,0))</f>
        <v>39.1</v>
      </c>
      <c r="BW34" s="12">
        <f>INDEX(ovrTable25,MATCH(INDEX(oppCol,ROW()),ovrTeamCol25,0),MATCH(MID(INDEX('Structured 2025'!headerRow,1,COLUMN()),4,LEN(INDEX('Structured 2025'!headerRow,1,COLUMN()))),ovrHeaderRow25,0))</f>
        <v>24.97</v>
      </c>
      <c r="BX34" s="12">
        <f>INDEX(ovrTable25,MATCH(INDEX(oppCol,ROW()),ovrTeamCol25,0),MATCH(MID(INDEX('Structured 2025'!headerRow,1,COLUMN()),4,LEN(INDEX('Structured 2025'!headerRow,1,COLUMN()))),ovrHeaderRow25,0))</f>
        <v>0.52600000000000002</v>
      </c>
      <c r="BY34" s="12">
        <f>INDEX(ovrTable25,MATCH(INDEX(oppCol,ROW()),ovrTeamCol25,0),MATCH(MID(INDEX('Structured 2025'!headerRow,1,COLUMN()),4,LEN(INDEX('Structured 2025'!headerRow,1,COLUMN()))),ovrHeaderRow25,0))</f>
        <v>12.4</v>
      </c>
      <c r="BZ34" s="12">
        <f>INDEX(ovrTable25,MATCH(INDEX(oppCol,ROW()),ovrTeamCol25,0),MATCH(MID(INDEX('Structured 2025'!headerRow,1,COLUMN()),4,LEN(INDEX('Structured 2025'!headerRow,1,COLUMN()))),ovrHeaderRow25,0))</f>
        <v>44.5</v>
      </c>
      <c r="CA34" s="12">
        <f>INDEX(ovrTable25,MATCH(INDEX(oppCol,ROW()),ovrTeamCol25,0),MATCH(MID(INDEX('Structured 2025'!headerRow,1,COLUMN()),4,LEN(INDEX('Structured 2025'!headerRow,1,COLUMN()))),ovrHeaderRow25,0))</f>
        <v>18.100000000000001</v>
      </c>
      <c r="CB34" s="12">
        <f>INDEX(ovrTable25,MATCH(INDEX(oppCol,ROW()),ovrTeamCol25,0),MATCH(MID(INDEX('Structured 2025'!headerRow,1,COLUMN()),4,LEN(INDEX('Structured 2025'!headerRow,1,COLUMN()))),ovrHeaderRow25,0))</f>
        <v>74.3</v>
      </c>
      <c r="CC34" s="12">
        <f>INDEX(ovrTable25,MATCH(INDEX(oppCol,ROW()),ovrTeamCol25,0),MATCH(MID(INDEX('Structured 2025'!headerRow,1,COLUMN()),4,LEN(INDEX('Structured 2025'!headerRow,1,COLUMN()))),ovrHeaderRow25,0))</f>
        <v>19.100000000000001</v>
      </c>
      <c r="CD34" s="12">
        <f>INDEX(ovrTable25,MATCH(INDEX(oppCol,ROW()),ovrTeamCol25,0),MATCH(MID(INDEX('Structured 2025'!headerRow,1,COLUMN()),4,LEN(INDEX('Structured 2025'!headerRow,1,COLUMN()))),ovrHeaderRow25,0))</f>
        <v>14.2</v>
      </c>
      <c r="CE34" s="12">
        <f>INDEX(ovrTable25,MATCH(INDEX(oppCol,ROW()),ovrTeamCol25,0),MATCH(MID(INDEX('Structured 2025'!headerRow,1,COLUMN()),4,LEN(INDEX('Structured 2025'!headerRow,1,COLUMN()))),ovrHeaderRow25,0))</f>
        <v>62.9</v>
      </c>
      <c r="CF34" s="12">
        <f>INDEX(ovrTable25,MATCH(INDEX(oppCol,ROW()),ovrTeamCol25,0),MATCH(MID(INDEX('Structured 2025'!headerRow,1,COLUMN()),4,LEN(INDEX('Structured 2025'!headerRow,1,COLUMN()))),ovrHeaderRow25,0))</f>
        <v>13.23</v>
      </c>
      <c r="CG34" s="12">
        <f>INDEX(ovrTable25,MATCH(INDEX(oppCol,ROW()),ovrTeamCol25,0),MATCH(MID(INDEX('Structured 2025'!headerRow,1,COLUMN()),4,LEN(INDEX('Structured 2025'!headerRow,1,COLUMN()))),ovrHeaderRow25,0))</f>
        <v>76.900000000000006</v>
      </c>
      <c r="CH34" s="12">
        <f>INDEX(ovrTable25,MATCH(INDEX(oppCol,ROW()),ovrTeamCol25,0),MATCH(MID(INDEX('Structured 2025'!headerRow,1,COLUMN()),4,LEN(INDEX('Structured 2025'!headerRow,1,COLUMN()))),ovrHeaderRow25,0))</f>
        <v>4.7</v>
      </c>
      <c r="CI34" s="12">
        <f>INDEX(ovrTable25,MATCH(INDEX(oppCol,ROW()),ovrTeamCol25,0),MATCH(MID(INDEX('Structured 2025'!headerRow,1,COLUMN()),4,LEN(INDEX('Structured 2025'!headerRow,1,COLUMN()))),ovrHeaderRow25,0))</f>
        <v>38.200000000000003</v>
      </c>
      <c r="CJ34" s="12">
        <f>INDEX(ovrTable25,MATCH(INDEX(oppCol,ROW()),ovrTeamCol25,0),MATCH(MID(INDEX('Structured 2025'!headerRow,1,COLUMN()),4,LEN(INDEX('Structured 2025'!headerRow,1,COLUMN()))),ovrHeaderRow25,0))</f>
        <v>14.1</v>
      </c>
      <c r="CK34" s="12">
        <f>INDEX(ovrTable25,MATCH(INDEX(oppCol,ROW()),ovrTeamCol25,0),MATCH(MID(INDEX('Structured 2025'!headerRow,1,COLUMN()),4,LEN(INDEX('Structured 2025'!headerRow,1,COLUMN()))),ovrHeaderRow25,0))</f>
        <v>8.1</v>
      </c>
      <c r="CL34" s="12">
        <f>INDEX(ovrTable25,MATCH(INDEX(oppCol,ROW()),ovrTeamCol25,0),MATCH(MID(INDEX('Structured 2025'!headerRow,1,COLUMN()),4,LEN(INDEX('Structured 2025'!headerRow,1,COLUMN()))),ovrHeaderRow25,0))</f>
        <v>2.5</v>
      </c>
      <c r="CM34" s="12">
        <f>INDEX(ovrTable25,MATCH(INDEX(oppCol,ROW()),ovrTeamCol25,0),MATCH(MID(INDEX('Structured 2025'!headerRow,1,COLUMN()),4,LEN(INDEX('Structured 2025'!headerRow,1,COLUMN()))),ovrHeaderRow25,0))</f>
        <v>13.74</v>
      </c>
      <c r="CN34" s="12">
        <f>INDEX(ovrTable25,MATCH(INDEX(oppCol,ROW()),ovrTeamCol25,0),MATCH(MID(INDEX('Structured 2025'!headerRow,1,COLUMN()),4,LEN(INDEX('Structured 2025'!headerRow,1,COLUMN()))),ovrHeaderRow25,0))</f>
        <v>11.3</v>
      </c>
      <c r="CO34" s="12">
        <f>INDEX(ovrTable25,MATCH(INDEX(oppCol,ROW()),ovrTeamCol25,0),MATCH(MID(INDEX('Structured 2025'!headerRow,1,COLUMN()),4,LEN(INDEX('Structured 2025'!headerRow,1,COLUMN()))),ovrHeaderRow25,0))</f>
        <v>66.3</v>
      </c>
      <c r="CP34" s="12">
        <f>INDEX(ovrTable25,MATCH(INDEX(oppCol,ROW()),ovrTeamCol25,0),MATCH(MID(INDEX('Structured 2025'!headerRow,1,COLUMN()),4,LEN(INDEX('Structured 2025'!headerRow,1,COLUMN()))),ovrHeaderRow25,0))</f>
        <v>16.950000000000003</v>
      </c>
      <c r="CQ34" s="12">
        <f>INDEX(ovrTable25,MATCH(INDEX(oppCol,ROW()),ovrTeamCol25,0),MATCH(MID(INDEX('Structured 2025'!headerRow,1,COLUMN()),4,LEN(INDEX('Structured 2025'!headerRow,1,COLUMN()))),ovrHeaderRow25,0))</f>
        <v>59.662921348314619</v>
      </c>
    </row>
    <row r="35" spans="1:95" x14ac:dyDescent="0.3">
      <c r="A35" s="6" t="s">
        <v>284</v>
      </c>
      <c r="B35" s="3">
        <v>11</v>
      </c>
      <c r="C35" s="13" t="str">
        <f>A34</f>
        <v>BYU</v>
      </c>
      <c r="D35" s="14">
        <f t="shared" si="26"/>
        <v>17</v>
      </c>
      <c r="E35" s="23">
        <v>0.35</v>
      </c>
      <c r="F35" s="24">
        <v>41.269841269841265</v>
      </c>
      <c r="G35" s="24">
        <v>15</v>
      </c>
      <c r="H35" s="23">
        <v>39.473684210526315</v>
      </c>
      <c r="I35" s="24">
        <v>38</v>
      </c>
      <c r="J35" s="25">
        <v>1.3636363636363635</v>
      </c>
      <c r="K35" s="24">
        <v>4</v>
      </c>
      <c r="L35" s="24">
        <v>6</v>
      </c>
      <c r="M35" s="24">
        <v>12</v>
      </c>
      <c r="N35" s="24">
        <v>19</v>
      </c>
      <c r="O35" s="24">
        <v>15</v>
      </c>
      <c r="P35" s="24">
        <v>6</v>
      </c>
      <c r="Q35" s="24">
        <v>2</v>
      </c>
      <c r="R35" s="24">
        <v>11</v>
      </c>
      <c r="S35" s="24">
        <v>7</v>
      </c>
      <c r="T35" s="24">
        <v>23</v>
      </c>
      <c r="U35" s="24">
        <v>27</v>
      </c>
      <c r="V35" s="24">
        <v>0.5</v>
      </c>
      <c r="W35" s="26">
        <v>0.53174603174603174</v>
      </c>
      <c r="X35" s="23">
        <v>66.666666666666657</v>
      </c>
      <c r="Y35" s="24">
        <v>80</v>
      </c>
      <c r="Z35" s="24">
        <v>71</v>
      </c>
      <c r="AA35" s="24">
        <v>-9</v>
      </c>
      <c r="AB35" s="24">
        <v>31</v>
      </c>
      <c r="AC35" s="24">
        <v>-9</v>
      </c>
      <c r="AD35" s="24">
        <v>1</v>
      </c>
      <c r="AE35" s="24">
        <v>12</v>
      </c>
      <c r="AF35" s="34">
        <f t="shared" si="34"/>
        <v>11</v>
      </c>
      <c r="AG35" s="34">
        <f t="shared" si="35"/>
        <v>25</v>
      </c>
      <c r="AH35" s="46">
        <f t="shared" si="36"/>
        <v>64.849999999999994</v>
      </c>
      <c r="AI35" s="51">
        <f t="shared" ref="AI35" si="38">AVERAGE(AH34,AH35)</f>
        <v>65.074999999999989</v>
      </c>
      <c r="AJ35" s="12">
        <f>INDEX(ovrTable25,MATCH(INDEX('Structured 2025'!teamCol,ROW()),ovrTeamCol25,0),MATCH(MID(INDEX('Structured 2025'!headerRow,1,COLUMN()),4,LEN(INDEX('Structured 2025'!headerRow,1,COLUMN()))),ovrHeaderRow25,0))</f>
        <v>30.5</v>
      </c>
      <c r="AK35" s="12">
        <f>INDEX(ovrTable25,MATCH(INDEX('Structured 2025'!teamCol,ROW()),ovrTeamCol25,0),MATCH(MID(INDEX('Structured 2025'!headerRow,1,COLUMN()),4,LEN(INDEX('Structured 2025'!headerRow,1,COLUMN()))),ovrHeaderRow25,0))</f>
        <v>9.6</v>
      </c>
      <c r="AL35" s="12">
        <f>INDEX(ovrTable25,MATCH(INDEX('Structured 2025'!teamCol,ROW()),ovrTeamCol25,0),MATCH(MID(INDEX('Structured 2025'!headerRow,1,COLUMN()),4,LEN(INDEX('Structured 2025'!headerRow,1,COLUMN()))),ovrHeaderRow25,0))</f>
        <v>33.6</v>
      </c>
      <c r="AM35" s="12">
        <f>INDEX(ovrTable25,MATCH(INDEX('Structured 2025'!teamCol,ROW()),ovrTeamCol25,0),MATCH(MID(INDEX('Structured 2025'!headerRow,1,COLUMN()),4,LEN(INDEX('Structured 2025'!headerRow,1,COLUMN()))),ovrHeaderRow25,0))</f>
        <v>28.6</v>
      </c>
      <c r="AN35" s="12">
        <f>INDEX(ovrTable25,MATCH(INDEX('Structured 2025'!teamCol,ROW()),ovrTeamCol25,0),MATCH(MID(INDEX('Structured 2025'!headerRow,1,COLUMN()),4,LEN(INDEX('Structured 2025'!headerRow,1,COLUMN()))),ovrHeaderRow25,0))</f>
        <v>1.33</v>
      </c>
      <c r="AO35" s="12">
        <f>INDEX(ovrTable25,MATCH(INDEX('Structured 2025'!teamCol,ROW()),ovrTeamCol25,0),MATCH(MID(INDEX('Structured 2025'!headerRow,1,COLUMN()),4,LEN(INDEX('Structured 2025'!headerRow,1,COLUMN()))),ovrHeaderRow25,0))</f>
        <v>15</v>
      </c>
      <c r="AP35" s="12">
        <f>INDEX(ovrTable25,MATCH(INDEX('Structured 2025'!teamCol,ROW()),ovrTeamCol25,0),MATCH(MID(INDEX('Structured 2025'!headerRow,1,COLUMN()),4,LEN(INDEX('Structured 2025'!headerRow,1,COLUMN()))),ovrHeaderRow25,0))</f>
        <v>22.03</v>
      </c>
      <c r="AQ35" s="12">
        <f>INDEX(ovrTable25,MATCH(INDEX('Structured 2025'!teamCol,ROW()),ovrTeamCol25,0),MATCH(MID(INDEX('Structured 2025'!headerRow,1,COLUMN()),4,LEN(INDEX('Structured 2025'!headerRow,1,COLUMN()))),ovrHeaderRow25,0))</f>
        <v>5.4</v>
      </c>
      <c r="AR35" s="12">
        <f>INDEX(ovrTable25,MATCH(INDEX('Structured 2025'!teamCol,ROW()),ovrTeamCol25,0),MATCH(MID(INDEX('Structured 2025'!headerRow,1,COLUMN()),4,LEN(INDEX('Structured 2025'!headerRow,1,COLUMN()))),ovrHeaderRow25,0))</f>
        <v>39.1</v>
      </c>
      <c r="AS35" s="12">
        <f>INDEX(ovrTable25,MATCH(INDEX('Structured 2025'!teamCol,ROW()),ovrTeamCol25,0),MATCH(MID(INDEX('Structured 2025'!headerRow,1,COLUMN()),4,LEN(INDEX('Structured 2025'!headerRow,1,COLUMN()))),ovrHeaderRow25,0))</f>
        <v>24.97</v>
      </c>
      <c r="AT35" s="12">
        <f>INDEX(ovrTable25,MATCH(INDEX('Structured 2025'!teamCol,ROW()),ovrTeamCol25,0),MATCH(MID(INDEX('Structured 2025'!headerRow,1,COLUMN()),4,LEN(INDEX('Structured 2025'!headerRow,1,COLUMN()))),ovrHeaderRow25,0))</f>
        <v>0.52600000000000002</v>
      </c>
      <c r="AU35" s="12">
        <f>INDEX(ovrTable25,MATCH(INDEX('Structured 2025'!teamCol,ROW()),ovrTeamCol25,0),MATCH(MID(INDEX('Structured 2025'!headerRow,1,COLUMN()),4,LEN(INDEX('Structured 2025'!headerRow,1,COLUMN()))),ovrHeaderRow25,0))</f>
        <v>12.4</v>
      </c>
      <c r="AV35" s="12">
        <f>INDEX(ovrTable25,MATCH(INDEX('Structured 2025'!teamCol,ROW()),ovrTeamCol25,0),MATCH(MID(INDEX('Structured 2025'!headerRow,1,COLUMN()),4,LEN(INDEX('Structured 2025'!headerRow,1,COLUMN()))),ovrHeaderRow25,0))</f>
        <v>44.5</v>
      </c>
      <c r="AW35" s="12">
        <f>INDEX(ovrTable25,MATCH(INDEX('Structured 2025'!teamCol,ROW()),ovrTeamCol25,0),MATCH(MID(INDEX('Structured 2025'!headerRow,1,COLUMN()),4,LEN(INDEX('Structured 2025'!headerRow,1,COLUMN()))),ovrHeaderRow25,0))</f>
        <v>18.100000000000001</v>
      </c>
      <c r="AX35" s="12">
        <f>INDEX(ovrTable25,MATCH(INDEX('Structured 2025'!teamCol,ROW()),ovrTeamCol25,0),MATCH(MID(INDEX('Structured 2025'!headerRow,1,COLUMN()),4,LEN(INDEX('Structured 2025'!headerRow,1,COLUMN()))),ovrHeaderRow25,0))</f>
        <v>74.3</v>
      </c>
      <c r="AY35" s="12">
        <f>INDEX(ovrTable25,MATCH(INDEX('Structured 2025'!teamCol,ROW()),ovrTeamCol25,0),MATCH(MID(INDEX('Structured 2025'!headerRow,1,COLUMN()),4,LEN(INDEX('Structured 2025'!headerRow,1,COLUMN()))),ovrHeaderRow25,0))</f>
        <v>19.100000000000001</v>
      </c>
      <c r="AZ35" s="12">
        <f>INDEX(ovrTable25,MATCH(INDEX('Structured 2025'!teamCol,ROW()),ovrTeamCol25,0),MATCH(MID(INDEX('Structured 2025'!headerRow,1,COLUMN()),4,LEN(INDEX('Structured 2025'!headerRow,1,COLUMN()))),ovrHeaderRow25,0))</f>
        <v>14.2</v>
      </c>
      <c r="BA35" s="12">
        <f>INDEX(ovrTable25,MATCH(INDEX('Structured 2025'!teamCol,ROW()),ovrTeamCol25,0),MATCH(MID(INDEX('Structured 2025'!headerRow,1,COLUMN()),4,LEN(INDEX('Structured 2025'!headerRow,1,COLUMN()))),ovrHeaderRow25,0))</f>
        <v>62.9</v>
      </c>
      <c r="BB35" s="12">
        <f>INDEX(ovrTable25,MATCH(INDEX('Structured 2025'!teamCol,ROW()),ovrTeamCol25,0),MATCH(MID(INDEX('Structured 2025'!headerRow,1,COLUMN()),4,LEN(INDEX('Structured 2025'!headerRow,1,COLUMN()))),ovrHeaderRow25,0))</f>
        <v>13.23</v>
      </c>
      <c r="BC35" s="12">
        <f>INDEX(ovrTable25,MATCH(INDEX('Structured 2025'!teamCol,ROW()),ovrTeamCol25,0),MATCH(MID(INDEX('Structured 2025'!headerRow,1,COLUMN()),4,LEN(INDEX('Structured 2025'!headerRow,1,COLUMN()))),ovrHeaderRow25,0))</f>
        <v>76.900000000000006</v>
      </c>
      <c r="BD35" s="12">
        <f>INDEX(ovrTable25,MATCH(INDEX('Structured 2025'!teamCol,ROW()),ovrTeamCol25,0),MATCH(MID(INDEX('Structured 2025'!headerRow,1,COLUMN()),4,LEN(INDEX('Structured 2025'!headerRow,1,COLUMN()))),ovrHeaderRow25,0))</f>
        <v>4.7</v>
      </c>
      <c r="BE35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BF35" s="12">
        <f>INDEX(ovrTable25,MATCH(INDEX('Structured 2025'!teamCol,ROW()),ovrTeamCol25,0),MATCH(MID(INDEX('Structured 2025'!headerRow,1,COLUMN()),4,LEN(INDEX('Structured 2025'!headerRow,1,COLUMN()))),ovrHeaderRow25,0))</f>
        <v>14.1</v>
      </c>
      <c r="BG35" s="12">
        <f>INDEX(ovrTable25,MATCH(INDEX('Structured 2025'!teamCol,ROW()),ovrTeamCol25,0),MATCH(MID(INDEX('Structured 2025'!headerRow,1,COLUMN()),4,LEN(INDEX('Structured 2025'!headerRow,1,COLUMN()))),ovrHeaderRow25,0))</f>
        <v>8.1</v>
      </c>
      <c r="BH35" s="12">
        <f>INDEX(ovrTable25,MATCH(INDEX('Structured 2025'!teamCol,ROW()),ovrTeamCol25,0),MATCH(MID(INDEX('Structured 2025'!headerRow,1,COLUMN()),4,LEN(INDEX('Structured 2025'!headerRow,1,COLUMN()))),ovrHeaderRow25,0))</f>
        <v>2.5</v>
      </c>
      <c r="BI35" s="12">
        <f>INDEX(ovrTable25,MATCH(INDEX('Structured 2025'!teamCol,ROW()),ovrTeamCol25,0),MATCH(MID(INDEX('Structured 2025'!headerRow,1,COLUMN()),4,LEN(INDEX('Structured 2025'!headerRow,1,COLUMN()))),ovrHeaderRow25,0))</f>
        <v>13.74</v>
      </c>
      <c r="BJ35" s="12">
        <f>INDEX(ovrTable25,MATCH(INDEX('Structured 2025'!teamCol,ROW()),ovrTeamCol25,0),MATCH(MID(INDEX('Structured 2025'!headerRow,1,COLUMN()),4,LEN(INDEX('Structured 2025'!headerRow,1,COLUMN()))),ovrHeaderRow25,0))</f>
        <v>11.3</v>
      </c>
      <c r="BK35" s="12">
        <f>INDEX(ovrTable25,MATCH(INDEX('Structured 2025'!teamCol,ROW()),ovrTeamCol25,0),MATCH(MID(INDEX('Structured 2025'!headerRow,1,COLUMN()),4,LEN(INDEX('Structured 2025'!headerRow,1,COLUMN()))),ovrHeaderRow25,0))</f>
        <v>66.3</v>
      </c>
      <c r="BL35" s="12">
        <f>INDEX(ovrTable25,MATCH(INDEX('Structured 2025'!teamCol,ROW()),ovrTeamCol25,0),MATCH(MID(INDEX('Structured 2025'!headerRow,1,COLUMN()),4,LEN(INDEX('Structured 2025'!headerRow,1,COLUMN()))),ovrHeaderRow25,0))</f>
        <v>16.950000000000003</v>
      </c>
      <c r="BM35" s="12">
        <f>INDEX(ovrTable25,MATCH(INDEX('Structured 2025'!teamCol,ROW()),ovrTeamCol25,0),MATCH(MID(INDEX('Structured 2025'!headerRow,1,COLUMN()),4,LEN(INDEX('Structured 2025'!headerRow,1,COLUMN()))),ovrHeaderRow25,0))</f>
        <v>59.662921348314619</v>
      </c>
      <c r="BN35" s="12">
        <f>INDEX(ovrTable25,MATCH(INDEX(oppCol,ROW()),ovrTeamCol25,0),MATCH(MID(INDEX('Structured 2025'!headerRow,1,COLUMN()),4,LEN(INDEX('Structured 2025'!headerRow,1,COLUMN()))),ovrHeaderRow25,0))</f>
        <v>35.700000000000003</v>
      </c>
      <c r="BO35" s="12">
        <f>INDEX(ovrTable25,MATCH(INDEX(oppCol,ROW()),ovrTeamCol25,0),MATCH(MID(INDEX('Structured 2025'!headerRow,1,COLUMN()),4,LEN(INDEX('Structured 2025'!headerRow,1,COLUMN()))),ovrHeaderRow25,0))</f>
        <v>10.5</v>
      </c>
      <c r="BP35" s="12">
        <f>INDEX(ovrTable25,MATCH(INDEX(oppCol,ROW()),ovrTeamCol25,0),MATCH(MID(INDEX('Structured 2025'!headerRow,1,COLUMN()),4,LEN(INDEX('Structured 2025'!headerRow,1,COLUMN()))),ovrHeaderRow25,0))</f>
        <v>36.799999999999997</v>
      </c>
      <c r="BQ35" s="12">
        <f>INDEX(ovrTable25,MATCH(INDEX(oppCol,ROW()),ovrTeamCol25,0),MATCH(MID(INDEX('Structured 2025'!headerRow,1,COLUMN()),4,LEN(INDEX('Structured 2025'!headerRow,1,COLUMN()))),ovrHeaderRow25,0))</f>
        <v>28.6</v>
      </c>
      <c r="BR35" s="12">
        <f>INDEX(ovrTable25,MATCH(INDEX(oppCol,ROW()),ovrTeamCol25,0),MATCH(MID(INDEX('Structured 2025'!headerRow,1,COLUMN()),4,LEN(INDEX('Structured 2025'!headerRow,1,COLUMN()))),ovrHeaderRow25,0))</f>
        <v>1.43</v>
      </c>
      <c r="BS35" s="12">
        <f>INDEX(ovrTable25,MATCH(INDEX(oppCol,ROW()),ovrTeamCol25,0),MATCH(MID(INDEX('Structured 2025'!headerRow,1,COLUMN()),4,LEN(INDEX('Structured 2025'!headerRow,1,COLUMN()))),ovrHeaderRow25,0))</f>
        <v>17.3</v>
      </c>
      <c r="BT35" s="12">
        <f>INDEX(ovrTable25,MATCH(INDEX(oppCol,ROW()),ovrTeamCol25,0),MATCH(MID(INDEX('Structured 2025'!headerRow,1,COLUMN()),4,LEN(INDEX('Structured 2025'!headerRow,1,COLUMN()))),ovrHeaderRow25,0))</f>
        <v>30.11</v>
      </c>
      <c r="BU35" s="12">
        <f>INDEX(ovrTable25,MATCH(INDEX(oppCol,ROW()),ovrTeamCol25,0),MATCH(MID(INDEX('Structured 2025'!headerRow,1,COLUMN()),4,LEN(INDEX('Structured 2025'!headerRow,1,COLUMN()))),ovrHeaderRow25,0))</f>
        <v>3.1</v>
      </c>
      <c r="BV35" s="12">
        <f>INDEX(ovrTable25,MATCH(INDEX(oppCol,ROW()),ovrTeamCol25,0),MATCH(MID(INDEX('Structured 2025'!headerRow,1,COLUMN()),4,LEN(INDEX('Structured 2025'!headerRow,1,COLUMN()))),ovrHeaderRow25,0))</f>
        <v>43.1</v>
      </c>
      <c r="BW35" s="12">
        <f>INDEX(ovrTable25,MATCH(INDEX(oppCol,ROW()),ovrTeamCol25,0),MATCH(MID(INDEX('Structured 2025'!headerRow,1,COLUMN()),4,LEN(INDEX('Structured 2025'!headerRow,1,COLUMN()))),ovrHeaderRow25,0))</f>
        <v>26.33</v>
      </c>
      <c r="BX35" s="12">
        <f>INDEX(ovrTable25,MATCH(INDEX(oppCol,ROW()),ovrTeamCol25,0),MATCH(MID(INDEX('Structured 2025'!headerRow,1,COLUMN()),4,LEN(INDEX('Structured 2025'!headerRow,1,COLUMN()))),ovrHeaderRow25,0))</f>
        <v>0.56999999999999995</v>
      </c>
      <c r="BY35" s="12">
        <f>INDEX(ovrTable25,MATCH(INDEX(oppCol,ROW()),ovrTeamCol25,0),MATCH(MID(INDEX('Structured 2025'!headerRow,1,COLUMN()),4,LEN(INDEX('Structured 2025'!headerRow,1,COLUMN()))),ovrHeaderRow25,0))</f>
        <v>10</v>
      </c>
      <c r="BZ35" s="12">
        <f>INDEX(ovrTable25,MATCH(INDEX(oppCol,ROW()),ovrTeamCol25,0),MATCH(MID(INDEX('Structured 2025'!headerRow,1,COLUMN()),4,LEN(INDEX('Structured 2025'!headerRow,1,COLUMN()))),ovrHeaderRow25,0))</f>
        <v>48.2</v>
      </c>
      <c r="CA35" s="12">
        <f>INDEX(ovrTable25,MATCH(INDEX(oppCol,ROW()),ovrTeamCol25,0),MATCH(MID(INDEX('Structured 2025'!headerRow,1,COLUMN()),4,LEN(INDEX('Structured 2025'!headerRow,1,COLUMN()))),ovrHeaderRow25,0))</f>
        <v>16.3</v>
      </c>
      <c r="CB35" s="12">
        <f>INDEX(ovrTable25,MATCH(INDEX(oppCol,ROW()),ovrTeamCol25,0),MATCH(MID(INDEX('Structured 2025'!headerRow,1,COLUMN()),4,LEN(INDEX('Structured 2025'!headerRow,1,COLUMN()))),ovrHeaderRow25,0))</f>
        <v>71.3</v>
      </c>
      <c r="CC35" s="12">
        <f>INDEX(ovrTable25,MATCH(INDEX(oppCol,ROW()),ovrTeamCol25,0),MATCH(MID(INDEX('Structured 2025'!headerRow,1,COLUMN()),4,LEN(INDEX('Structured 2025'!headerRow,1,COLUMN()))),ovrHeaderRow25,0))</f>
        <v>18.3</v>
      </c>
      <c r="CD35" s="12">
        <f>INDEX(ovrTable25,MATCH(INDEX(oppCol,ROW()),ovrTeamCol25,0),MATCH(MID(INDEX('Structured 2025'!headerRow,1,COLUMN()),4,LEN(INDEX('Structured 2025'!headerRow,1,COLUMN()))),ovrHeaderRow25,0))</f>
        <v>13</v>
      </c>
      <c r="CE35" s="12">
        <f>INDEX(ovrTable25,MATCH(INDEX(oppCol,ROW()),ovrTeamCol25,0),MATCH(MID(INDEX('Structured 2025'!headerRow,1,COLUMN()),4,LEN(INDEX('Structured 2025'!headerRow,1,COLUMN()))),ovrHeaderRow25,0))</f>
        <v>72.599999999999994</v>
      </c>
      <c r="CF35" s="12">
        <f>INDEX(ovrTable25,MATCH(INDEX(oppCol,ROW()),ovrTeamCol25,0),MATCH(MID(INDEX('Structured 2025'!headerRow,1,COLUMN()),4,LEN(INDEX('Structured 2025'!headerRow,1,COLUMN()))),ovrHeaderRow25,0))</f>
        <v>11.28</v>
      </c>
      <c r="CG35" s="12">
        <f>INDEX(ovrTable25,MATCH(INDEX(oppCol,ROW()),ovrTeamCol25,0),MATCH(MID(INDEX('Structured 2025'!headerRow,1,COLUMN()),4,LEN(INDEX('Structured 2025'!headerRow,1,COLUMN()))),ovrHeaderRow25,0))</f>
        <v>81.400000000000006</v>
      </c>
      <c r="CH35" s="12">
        <f>INDEX(ovrTable25,MATCH(INDEX(oppCol,ROW()),ovrTeamCol25,0),MATCH(MID(INDEX('Structured 2025'!headerRow,1,COLUMN()),4,LEN(INDEX('Structured 2025'!headerRow,1,COLUMN()))),ovrHeaderRow25,0))</f>
        <v>5.9</v>
      </c>
      <c r="CI35" s="12">
        <f>INDEX(ovrTable25,MATCH(INDEX(oppCol,ROW()),ovrTeamCol25,0),MATCH(MID(INDEX('Structured 2025'!headerRow,1,COLUMN()),4,LEN(INDEX('Structured 2025'!headerRow,1,COLUMN()))),ovrHeaderRow25,0))</f>
        <v>37.61</v>
      </c>
      <c r="CJ35" s="12">
        <f>INDEX(ovrTable25,MATCH(INDEX(oppCol,ROW()),ovrTeamCol25,0),MATCH(MID(INDEX('Structured 2025'!headerRow,1,COLUMN()),4,LEN(INDEX('Structured 2025'!headerRow,1,COLUMN()))),ovrHeaderRow25,0))</f>
        <v>8.9</v>
      </c>
      <c r="CK35" s="12">
        <f>INDEX(ovrTable25,MATCH(INDEX(oppCol,ROW()),ovrTeamCol25,0),MATCH(MID(INDEX('Structured 2025'!headerRow,1,COLUMN()),4,LEN(INDEX('Structured 2025'!headerRow,1,COLUMN()))),ovrHeaderRow25,0))</f>
        <v>7.1</v>
      </c>
      <c r="CL35" s="12">
        <f>INDEX(ovrTable25,MATCH(INDEX(oppCol,ROW()),ovrTeamCol25,0),MATCH(MID(INDEX('Structured 2025'!headerRow,1,COLUMN()),4,LEN(INDEX('Structured 2025'!headerRow,1,COLUMN()))),ovrHeaderRow25,0))</f>
        <v>-0.4</v>
      </c>
      <c r="CM35" s="12">
        <f>INDEX(ovrTable25,MATCH(INDEX(oppCol,ROW()),ovrTeamCol25,0),MATCH(MID(INDEX('Structured 2025'!headerRow,1,COLUMN()),4,LEN(INDEX('Structured 2025'!headerRow,1,COLUMN()))),ovrHeaderRow25,0))</f>
        <v>11.69</v>
      </c>
      <c r="CN35" s="12">
        <f>INDEX(ovrTable25,MATCH(INDEX(oppCol,ROW()),ovrTeamCol25,0),MATCH(MID(INDEX('Structured 2025'!headerRow,1,COLUMN()),4,LEN(INDEX('Structured 2025'!headerRow,1,COLUMN()))),ovrHeaderRow25,0))</f>
        <v>12.1</v>
      </c>
      <c r="CO35" s="12">
        <f>INDEX(ovrTable25,MATCH(INDEX(oppCol,ROW()),ovrTeamCol25,0),MATCH(MID(INDEX('Structured 2025'!headerRow,1,COLUMN()),4,LEN(INDEX('Structured 2025'!headerRow,1,COLUMN()))),ovrHeaderRow25,0))</f>
        <v>67.599999999999994</v>
      </c>
      <c r="CP35" s="12">
        <f>INDEX(ovrTable25,MATCH(INDEX(oppCol,ROW()),ovrTeamCol25,0),MATCH(MID(INDEX('Structured 2025'!headerRow,1,COLUMN()),4,LEN(INDEX('Structured 2025'!headerRow,1,COLUMN()))),ovrHeaderRow25,0))</f>
        <v>18.450000000000003</v>
      </c>
      <c r="CQ35" s="12">
        <f>INDEX(ovrTable25,MATCH(INDEX(oppCol,ROW()),ovrTeamCol25,0),MATCH(MID(INDEX('Structured 2025'!headerRow,1,COLUMN()),4,LEN(INDEX('Structured 2025'!headerRow,1,COLUMN()))),ovrHeaderRow25,0))</f>
        <v>60.062240663900418</v>
      </c>
    </row>
    <row r="36" spans="1:95" x14ac:dyDescent="0.3">
      <c r="A36" s="6" t="s">
        <v>47</v>
      </c>
      <c r="B36" s="3">
        <v>3</v>
      </c>
      <c r="C36" s="13" t="str">
        <f>A37</f>
        <v>MONT</v>
      </c>
      <c r="D36" s="14">
        <f t="shared" si="26"/>
        <v>18</v>
      </c>
      <c r="E36" s="23">
        <v>0.29166666666666669</v>
      </c>
      <c r="F36" s="24">
        <v>55.357142857142861</v>
      </c>
      <c r="G36" s="24">
        <v>7</v>
      </c>
      <c r="H36" s="23">
        <v>30.434782608695656</v>
      </c>
      <c r="I36" s="24">
        <v>23</v>
      </c>
      <c r="J36" s="25">
        <v>1.2727272727272727</v>
      </c>
      <c r="K36" s="24">
        <v>16</v>
      </c>
      <c r="L36" s="24">
        <v>20</v>
      </c>
      <c r="M36" s="24">
        <v>8</v>
      </c>
      <c r="N36" s="24">
        <v>32</v>
      </c>
      <c r="O36" s="24">
        <v>14</v>
      </c>
      <c r="P36" s="24">
        <v>5</v>
      </c>
      <c r="Q36" s="24">
        <v>6</v>
      </c>
      <c r="R36" s="24">
        <v>11</v>
      </c>
      <c r="S36" s="24">
        <v>4</v>
      </c>
      <c r="T36" s="24">
        <v>13</v>
      </c>
      <c r="U36" s="24">
        <v>23</v>
      </c>
      <c r="V36" s="24">
        <v>0.3968253968253968</v>
      </c>
      <c r="W36" s="26">
        <v>0.6160714285714286</v>
      </c>
      <c r="X36" s="23">
        <v>80</v>
      </c>
      <c r="Y36" s="24">
        <v>66</v>
      </c>
      <c r="Z36" s="24">
        <v>85</v>
      </c>
      <c r="AA36" s="24">
        <v>11</v>
      </c>
      <c r="AB36" s="24">
        <v>40</v>
      </c>
      <c r="AC36" s="24">
        <v>19</v>
      </c>
      <c r="AD36" s="24">
        <v>-3</v>
      </c>
      <c r="AE36" s="24">
        <v>8</v>
      </c>
      <c r="AF36" s="34">
        <f t="shared" si="34"/>
        <v>24</v>
      </c>
      <c r="AG36" s="34">
        <f t="shared" si="35"/>
        <v>33</v>
      </c>
      <c r="AH36" s="46">
        <f t="shared" si="36"/>
        <v>68.5</v>
      </c>
      <c r="AI36" s="51">
        <f t="shared" ref="AI36" si="39">AVERAGE(AH36,AH37)</f>
        <v>68.099999999999994</v>
      </c>
      <c r="AJ36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K36" s="12">
        <f>INDEX(ovrTable25,MATCH(INDEX('Structured 2025'!teamCol,ROW()),ovrTeamCol25,0),MATCH(MID(INDEX('Structured 2025'!headerRow,1,COLUMN()),4,LEN(INDEX('Structured 2025'!headerRow,1,COLUMN()))),ovrHeaderRow25,0))</f>
        <v>9.9</v>
      </c>
      <c r="AL36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36" s="12">
        <f>INDEX(ovrTable25,MATCH(INDEX('Structured 2025'!teamCol,ROW()),ovrTeamCol25,0),MATCH(MID(INDEX('Structured 2025'!headerRow,1,COLUMN()),4,LEN(INDEX('Structured 2025'!headerRow,1,COLUMN()))),ovrHeaderRow25,0))</f>
        <v>28.4</v>
      </c>
      <c r="AN36" s="12">
        <f>INDEX(ovrTable25,MATCH(INDEX('Structured 2025'!teamCol,ROW()),ovrTeamCol25,0),MATCH(MID(INDEX('Structured 2025'!headerRow,1,COLUMN()),4,LEN(INDEX('Structured 2025'!headerRow,1,COLUMN()))),ovrHeaderRow25,0))</f>
        <v>1.51</v>
      </c>
      <c r="AO36" s="12">
        <f>INDEX(ovrTable25,MATCH(INDEX('Structured 2025'!teamCol,ROW()),ovrTeamCol25,0),MATCH(MID(INDEX('Structured 2025'!headerRow,1,COLUMN()),4,LEN(INDEX('Structured 2025'!headerRow,1,COLUMN()))),ovrHeaderRow25,0))</f>
        <v>14.5</v>
      </c>
      <c r="AP36" s="12">
        <f>INDEX(ovrTable25,MATCH(INDEX('Structured 2025'!teamCol,ROW()),ovrTeamCol25,0),MATCH(MID(INDEX('Structured 2025'!headerRow,1,COLUMN()),4,LEN(INDEX('Structured 2025'!headerRow,1,COLUMN()))),ovrHeaderRow25,0))</f>
        <v>16.54</v>
      </c>
      <c r="AQ36" s="12">
        <f>INDEX(ovrTable25,MATCH(INDEX('Structured 2025'!teamCol,ROW()),ovrTeamCol25,0),MATCH(MID(INDEX('Structured 2025'!headerRow,1,COLUMN()),4,LEN(INDEX('Structured 2025'!headerRow,1,COLUMN()))),ovrHeaderRow25,0))</f>
        <v>2.4</v>
      </c>
      <c r="AR36" s="12">
        <f>INDEX(ovrTable25,MATCH(INDEX('Structured 2025'!teamCol,ROW()),ovrTeamCol25,0),MATCH(MID(INDEX('Structured 2025'!headerRow,1,COLUMN()),4,LEN(INDEX('Structured 2025'!headerRow,1,COLUMN()))),ovrHeaderRow25,0))</f>
        <v>41.6</v>
      </c>
      <c r="AS36" s="12">
        <f>INDEX(ovrTable25,MATCH(INDEX('Structured 2025'!teamCol,ROW()),ovrTeamCol25,0),MATCH(MID(INDEX('Structured 2025'!headerRow,1,COLUMN()),4,LEN(INDEX('Structured 2025'!headerRow,1,COLUMN()))),ovrHeaderRow25,0))</f>
        <v>27.11</v>
      </c>
      <c r="AT36" s="12">
        <f>INDEX(ovrTable25,MATCH(INDEX('Structured 2025'!teamCol,ROW()),ovrTeamCol25,0),MATCH(MID(INDEX('Structured 2025'!headerRow,1,COLUMN()),4,LEN(INDEX('Structured 2025'!headerRow,1,COLUMN()))),ovrHeaderRow25,0))</f>
        <v>0.53800000000000003</v>
      </c>
      <c r="AU36" s="12">
        <f>INDEX(ovrTable25,MATCH(INDEX('Structured 2025'!teamCol,ROW()),ovrTeamCol25,0),MATCH(MID(INDEX('Structured 2025'!headerRow,1,COLUMN()),4,LEN(INDEX('Structured 2025'!headerRow,1,COLUMN()))),ovrHeaderRow25,0))</f>
        <v>7.14</v>
      </c>
      <c r="AV36" s="12">
        <f>INDEX(ovrTable25,MATCH(INDEX('Structured 2025'!teamCol,ROW()),ovrTeamCol25,0),MATCH(MID(INDEX('Structured 2025'!headerRow,1,COLUMN()),4,LEN(INDEX('Structured 2025'!headerRow,1,COLUMN()))),ovrHeaderRow25,0))</f>
        <v>45.4</v>
      </c>
      <c r="AW36" s="12">
        <f>INDEX(ovrTable25,MATCH(INDEX('Structured 2025'!teamCol,ROW()),ovrTeamCol25,0),MATCH(MID(INDEX('Structured 2025'!headerRow,1,COLUMN()),4,LEN(INDEX('Structured 2025'!headerRow,1,COLUMN()))),ovrHeaderRow25,0))</f>
        <v>16.5</v>
      </c>
      <c r="AX36" s="12">
        <f>INDEX(ovrTable25,MATCH(INDEX('Structured 2025'!teamCol,ROW()),ovrTeamCol25,0),MATCH(MID(INDEX('Structured 2025'!headerRow,1,COLUMN()),4,LEN(INDEX('Structured 2025'!headerRow,1,COLUMN()))),ovrHeaderRow25,0))</f>
        <v>82.6</v>
      </c>
      <c r="AY36" s="12">
        <f>INDEX(ovrTable25,MATCH(INDEX('Structured 2025'!teamCol,ROW()),ovrTeamCol25,0),MATCH(MID(INDEX('Structured 2025'!headerRow,1,COLUMN()),4,LEN(INDEX('Structured 2025'!headerRow,1,COLUMN()))),ovrHeaderRow25,0))</f>
        <v>20.2</v>
      </c>
      <c r="AZ36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BA36" s="12">
        <f>INDEX(ovrTable25,MATCH(INDEX('Structured 2025'!teamCol,ROW()),ovrTeamCol25,0),MATCH(MID(INDEX('Structured 2025'!headerRow,1,COLUMN()),4,LEN(INDEX('Structured 2025'!headerRow,1,COLUMN()))),ovrHeaderRow25,0))</f>
        <v>70.900000000000006</v>
      </c>
      <c r="BB36" s="12">
        <f>INDEX(ovrTable25,MATCH(INDEX('Structured 2025'!teamCol,ROW()),ovrTeamCol25,0),MATCH(MID(INDEX('Structured 2025'!headerRow,1,COLUMN()),4,LEN(INDEX('Structured 2025'!headerRow,1,COLUMN()))),ovrHeaderRow25,0))</f>
        <v>9.3800000000000008</v>
      </c>
      <c r="BC36" s="12">
        <f>INDEX(ovrTable25,MATCH(INDEX('Structured 2025'!teamCol,ROW()),ovrTeamCol25,0),MATCH(MID(INDEX('Structured 2025'!headerRow,1,COLUMN()),4,LEN(INDEX('Structured 2025'!headerRow,1,COLUMN()))),ovrHeaderRow25,0))</f>
        <v>80.099999999999994</v>
      </c>
      <c r="BD36" s="12">
        <f>INDEX(ovrTable25,MATCH(INDEX('Structured 2025'!teamCol,ROW()),ovrTeamCol25,0),MATCH(MID(INDEX('Structured 2025'!headerRow,1,COLUMN()),4,LEN(INDEX('Structured 2025'!headerRow,1,COLUMN()))),ovrHeaderRow25,0))</f>
        <v>2.5</v>
      </c>
      <c r="BE36" s="12">
        <f>INDEX(ovrTable25,MATCH(INDEX('Structured 2025'!teamCol,ROW()),ovrTeamCol25,0),MATCH(MID(INDEX('Structured 2025'!headerRow,1,COLUMN()),4,LEN(INDEX('Structured 2025'!headerRow,1,COLUMN()))),ovrHeaderRow25,0))</f>
        <v>36.49</v>
      </c>
      <c r="BF36" s="12">
        <f>INDEX(ovrTable25,MATCH(INDEX('Structured 2025'!teamCol,ROW()),ovrTeamCol25,0),MATCH(MID(INDEX('Structured 2025'!headerRow,1,COLUMN()),4,LEN(INDEX('Structured 2025'!headerRow,1,COLUMN()))),ovrHeaderRow25,0))</f>
        <v>9.1999999999999993</v>
      </c>
      <c r="BG36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BH36" s="12">
        <f>INDEX(ovrTable25,MATCH(INDEX('Structured 2025'!teamCol,ROW()),ovrTeamCol25,0),MATCH(MID(INDEX('Structured 2025'!headerRow,1,COLUMN()),4,LEN(INDEX('Structured 2025'!headerRow,1,COLUMN()))),ovrHeaderRow25,0))</f>
        <v>0.4</v>
      </c>
      <c r="BI36" s="12">
        <f>INDEX(ovrTable25,MATCH(INDEX('Structured 2025'!teamCol,ROW()),ovrTeamCol25,0),MATCH(MID(INDEX('Structured 2025'!headerRow,1,COLUMN()),4,LEN(INDEX('Structured 2025'!headerRow,1,COLUMN()))),ovrHeaderRow25,0))</f>
        <v>9.9700000000000006</v>
      </c>
      <c r="BJ36" s="12">
        <f>INDEX(ovrTable25,MATCH(INDEX('Structured 2025'!teamCol,ROW()),ovrTeamCol25,0),MATCH(MID(INDEX('Structured 2025'!headerRow,1,COLUMN()),4,LEN(INDEX('Structured 2025'!headerRow,1,COLUMN()))),ovrHeaderRow25,0))</f>
        <v>9.6</v>
      </c>
      <c r="BK36" s="12">
        <f>INDEX(ovrTable25,MATCH(INDEX('Structured 2025'!teamCol,ROW()),ovrTeamCol25,0),MATCH(MID(INDEX('Structured 2025'!headerRow,1,COLUMN()),4,LEN(INDEX('Structured 2025'!headerRow,1,COLUMN()))),ovrHeaderRow25,0))</f>
        <v>68</v>
      </c>
      <c r="BL36" s="12">
        <f>INDEX(ovrTable25,MATCH(INDEX('Structured 2025'!teamCol,ROW()),ovrTeamCol25,0),MATCH(MID(INDEX('Structured 2025'!headerRow,1,COLUMN()),4,LEN(INDEX('Structured 2025'!headerRow,1,COLUMN()))),ovrHeaderRow25,0))</f>
        <v>16.899999999999995</v>
      </c>
      <c r="BM36" s="12">
        <f>INDEX(ovrTable25,MATCH(INDEX('Structured 2025'!teamCol,ROW()),ovrTeamCol25,0),MATCH(MID(INDEX('Structured 2025'!headerRow,1,COLUMN()),4,LEN(INDEX('Structured 2025'!headerRow,1,COLUMN()))),ovrHeaderRow25,0))</f>
        <v>59.030837004405278</v>
      </c>
      <c r="BN36" s="12">
        <f>INDEX(ovrTable25,MATCH(INDEX(oppCol,ROW()),ovrTeamCol25,0),MATCH(MID(INDEX('Structured 2025'!headerRow,1,COLUMN()),4,LEN(INDEX('Structured 2025'!headerRow,1,COLUMN()))),ovrHeaderRow25,0))</f>
        <v>32.700000000000003</v>
      </c>
      <c r="BO36" s="12">
        <f>INDEX(ovrTable25,MATCH(INDEX(oppCol,ROW()),ovrTeamCol25,0),MATCH(MID(INDEX('Structured 2025'!headerRow,1,COLUMN()),4,LEN(INDEX('Structured 2025'!headerRow,1,COLUMN()))),ovrHeaderRow25,0))</f>
        <v>7.3</v>
      </c>
      <c r="BP36" s="12">
        <f>INDEX(ovrTable25,MATCH(INDEX(oppCol,ROW()),ovrTeamCol25,0),MATCH(MID(INDEX('Structured 2025'!headerRow,1,COLUMN()),4,LEN(INDEX('Structured 2025'!headerRow,1,COLUMN()))),ovrHeaderRow25,0))</f>
        <v>35.799999999999997</v>
      </c>
      <c r="BQ36" s="12">
        <f>INDEX(ovrTable25,MATCH(INDEX(oppCol,ROW()),ovrTeamCol25,0),MATCH(MID(INDEX('Structured 2025'!headerRow,1,COLUMN()),4,LEN(INDEX('Structured 2025'!headerRow,1,COLUMN()))),ovrHeaderRow25,0))</f>
        <v>20.5</v>
      </c>
      <c r="BR36" s="12">
        <f>INDEX(ovrTable25,MATCH(INDEX(oppCol,ROW()),ovrTeamCol25,0),MATCH(MID(INDEX('Structured 2025'!headerRow,1,COLUMN()),4,LEN(INDEX('Structured 2025'!headerRow,1,COLUMN()))),ovrHeaderRow25,0))</f>
        <v>1.25</v>
      </c>
      <c r="BS36" s="12">
        <f>INDEX(ovrTable25,MATCH(INDEX(oppCol,ROW()),ovrTeamCol25,0),MATCH(MID(INDEX('Structured 2025'!headerRow,1,COLUMN()),4,LEN(INDEX('Structured 2025'!headerRow,1,COLUMN()))),ovrHeaderRow25,0))</f>
        <v>13.5</v>
      </c>
      <c r="BT36" s="12">
        <f>INDEX(ovrTable25,MATCH(INDEX(oppCol,ROW()),ovrTeamCol25,0),MATCH(MID(INDEX('Structured 2025'!headerRow,1,COLUMN()),4,LEN(INDEX('Structured 2025'!headerRow,1,COLUMN()))),ovrHeaderRow25,0))</f>
        <v>21</v>
      </c>
      <c r="BU36" s="12">
        <f>INDEX(ovrTable25,MATCH(INDEX(oppCol,ROW()),ovrTeamCol25,0),MATCH(MID(INDEX('Structured 2025'!headerRow,1,COLUMN()),4,LEN(INDEX('Structured 2025'!headerRow,1,COLUMN()))),ovrHeaderRow25,0))</f>
        <v>3.2</v>
      </c>
      <c r="BV36" s="12">
        <f>INDEX(ovrTable25,MATCH(INDEX(oppCol,ROW()),ovrTeamCol25,0),MATCH(MID(INDEX('Structured 2025'!headerRow,1,COLUMN()),4,LEN(INDEX('Structured 2025'!headerRow,1,COLUMN()))),ovrHeaderRow25,0))</f>
        <v>45.7</v>
      </c>
      <c r="BW36" s="12">
        <f>INDEX(ovrTable25,MATCH(INDEX(oppCol,ROW()),ovrTeamCol25,0),MATCH(MID(INDEX('Structured 2025'!headerRow,1,COLUMN()),4,LEN(INDEX('Structured 2025'!headerRow,1,COLUMN()))),ovrHeaderRow25,0))</f>
        <v>24.43</v>
      </c>
      <c r="BX36" s="12">
        <f>INDEX(ovrTable25,MATCH(INDEX(oppCol,ROW()),ovrTeamCol25,0),MATCH(MID(INDEX('Structured 2025'!headerRow,1,COLUMN()),4,LEN(INDEX('Structured 2025'!headerRow,1,COLUMN()))),ovrHeaderRow25,0))</f>
        <v>0.56499999999999995</v>
      </c>
      <c r="BY36" s="12">
        <f>INDEX(ovrTable25,MATCH(INDEX(oppCol,ROW()),ovrTeamCol25,0),MATCH(MID(INDEX('Structured 2025'!headerRow,1,COLUMN()),4,LEN(INDEX('Structured 2025'!headerRow,1,COLUMN()))),ovrHeaderRow25,0))</f>
        <v>8.6300000000000008</v>
      </c>
      <c r="BZ36" s="12">
        <f>INDEX(ovrTable25,MATCH(INDEX(oppCol,ROW()),ovrTeamCol25,0),MATCH(MID(INDEX('Structured 2025'!headerRow,1,COLUMN()),4,LEN(INDEX('Structured 2025'!headerRow,1,COLUMN()))),ovrHeaderRow25,0))</f>
        <v>49.8</v>
      </c>
      <c r="CA36" s="12">
        <f>INDEX(ovrTable25,MATCH(INDEX(oppCol,ROW()),ovrTeamCol25,0),MATCH(MID(INDEX('Structured 2025'!headerRow,1,COLUMN()),4,LEN(INDEX('Structured 2025'!headerRow,1,COLUMN()))),ovrHeaderRow25,0))</f>
        <v>16.100000000000001</v>
      </c>
      <c r="CB36" s="12">
        <f>INDEX(ovrTable25,MATCH(INDEX(oppCol,ROW()),ovrTeamCol25,0),MATCH(MID(INDEX('Structured 2025'!headerRow,1,COLUMN()),4,LEN(INDEX('Structured 2025'!headerRow,1,COLUMN()))),ovrHeaderRow25,0))</f>
        <v>73.599999999999994</v>
      </c>
      <c r="CC36" s="12">
        <f>INDEX(ovrTable25,MATCH(INDEX(oppCol,ROW()),ovrTeamCol25,0),MATCH(MID(INDEX('Structured 2025'!headerRow,1,COLUMN()),4,LEN(INDEX('Structured 2025'!headerRow,1,COLUMN()))),ovrHeaderRow25,0))</f>
        <v>19.3</v>
      </c>
      <c r="CD36" s="12">
        <f>INDEX(ovrTable25,MATCH(INDEX(oppCol,ROW()),ovrTeamCol25,0),MATCH(MID(INDEX('Structured 2025'!headerRow,1,COLUMN()),4,LEN(INDEX('Structured 2025'!headerRow,1,COLUMN()))),ovrHeaderRow25,0))</f>
        <v>14.2</v>
      </c>
      <c r="CE36" s="12">
        <f>INDEX(ovrTable25,MATCH(INDEX(oppCol,ROW()),ovrTeamCol25,0),MATCH(MID(INDEX('Structured 2025'!headerRow,1,COLUMN()),4,LEN(INDEX('Structured 2025'!headerRow,1,COLUMN()))),ovrHeaderRow25,0))</f>
        <v>73.3</v>
      </c>
      <c r="CF36" s="12">
        <f>INDEX(ovrTable25,MATCH(INDEX(oppCol,ROW()),ovrTeamCol25,0),MATCH(MID(INDEX('Structured 2025'!headerRow,1,COLUMN()),4,LEN(INDEX('Structured 2025'!headerRow,1,COLUMN()))),ovrHeaderRow25,0))</f>
        <v>7.23</v>
      </c>
      <c r="CG36" s="12">
        <f>INDEX(ovrTable25,MATCH(INDEX(oppCol,ROW()),ovrTeamCol25,0),MATCH(MID(INDEX('Structured 2025'!headerRow,1,COLUMN()),4,LEN(INDEX('Structured 2025'!headerRow,1,COLUMN()))),ovrHeaderRow25,0))</f>
        <v>76.599999999999994</v>
      </c>
      <c r="CH36" s="12">
        <f>INDEX(ovrTable25,MATCH(INDEX(oppCol,ROW()),ovrTeamCol25,0),MATCH(MID(INDEX('Structured 2025'!headerRow,1,COLUMN()),4,LEN(INDEX('Structured 2025'!headerRow,1,COLUMN()))),ovrHeaderRow25,0))</f>
        <v>-1</v>
      </c>
      <c r="CI36" s="12">
        <f>INDEX(ovrTable25,MATCH(INDEX(oppCol,ROW()),ovrTeamCol25,0),MATCH(MID(INDEX('Structured 2025'!headerRow,1,COLUMN()),4,LEN(INDEX('Structured 2025'!headerRow,1,COLUMN()))),ovrHeaderRow25,0))</f>
        <v>31.66</v>
      </c>
      <c r="CJ36" s="12">
        <f>INDEX(ovrTable25,MATCH(INDEX(oppCol,ROW()),ovrTeamCol25,0),MATCH(MID(INDEX('Structured 2025'!headerRow,1,COLUMN()),4,LEN(INDEX('Structured 2025'!headerRow,1,COLUMN()))),ovrHeaderRow25,0))</f>
        <v>3.3</v>
      </c>
      <c r="CK36" s="12">
        <f>INDEX(ovrTable25,MATCH(INDEX(oppCol,ROW()),ovrTeamCol25,0),MATCH(MID(INDEX('Structured 2025'!headerRow,1,COLUMN()),4,LEN(INDEX('Structured 2025'!headerRow,1,COLUMN()))),ovrHeaderRow25,0))</f>
        <v>6.3</v>
      </c>
      <c r="CL36" s="12">
        <f>INDEX(ovrTable25,MATCH(INDEX(oppCol,ROW()),ovrTeamCol25,0),MATCH(MID(INDEX('Structured 2025'!headerRow,1,COLUMN()),4,LEN(INDEX('Structured 2025'!headerRow,1,COLUMN()))),ovrHeaderRow25,0))</f>
        <v>0</v>
      </c>
      <c r="CM36" s="12">
        <f>INDEX(ovrTable25,MATCH(INDEX(oppCol,ROW()),ovrTeamCol25,0),MATCH(MID(INDEX('Structured 2025'!headerRow,1,COLUMN()),4,LEN(INDEX('Structured 2025'!headerRow,1,COLUMN()))),ovrHeaderRow25,0))</f>
        <v>10.89</v>
      </c>
      <c r="CN36" s="12">
        <f>INDEX(ovrTable25,MATCH(INDEX(oppCol,ROW()),ovrTeamCol25,0),MATCH(MID(INDEX('Structured 2025'!headerRow,1,COLUMN()),4,LEN(INDEX('Structured 2025'!headerRow,1,COLUMN()))),ovrHeaderRow25,0))</f>
        <v>10.9</v>
      </c>
      <c r="CO36" s="12">
        <f>INDEX(ovrTable25,MATCH(INDEX(oppCol,ROW()),ovrTeamCol25,0),MATCH(MID(INDEX('Structured 2025'!headerRow,1,COLUMN()),4,LEN(INDEX('Structured 2025'!headerRow,1,COLUMN()))),ovrHeaderRow25,0))</f>
        <v>67.3</v>
      </c>
      <c r="CP36" s="12">
        <f>INDEX(ovrTable25,MATCH(INDEX(oppCol,ROW()),ovrTeamCol25,0),MATCH(MID(INDEX('Structured 2025'!headerRow,1,COLUMN()),4,LEN(INDEX('Structured 2025'!headerRow,1,COLUMN()))),ovrHeaderRow25,0))</f>
        <v>20.249999999999996</v>
      </c>
      <c r="CQ36" s="12">
        <f>INDEX(ovrTable25,MATCH(INDEX(oppCol,ROW()),ovrTeamCol25,0),MATCH(MID(INDEX('Structured 2025'!headerRow,1,COLUMN()),4,LEN(INDEX('Structured 2025'!headerRow,1,COLUMN()))),ovrHeaderRow25,0))</f>
        <v>55.321285140562246</v>
      </c>
    </row>
    <row r="37" spans="1:95" x14ac:dyDescent="0.3">
      <c r="A37" s="6" t="s">
        <v>374</v>
      </c>
      <c r="B37" s="3">
        <v>14</v>
      </c>
      <c r="C37" s="13" t="str">
        <f>A36</f>
        <v>WIS</v>
      </c>
      <c r="D37" s="14">
        <f t="shared" si="26"/>
        <v>18</v>
      </c>
      <c r="E37" s="23">
        <v>0.30434782608695654</v>
      </c>
      <c r="F37" s="24">
        <v>39.682539682539684</v>
      </c>
      <c r="G37" s="24">
        <v>7</v>
      </c>
      <c r="H37" s="23">
        <v>29.166666666666668</v>
      </c>
      <c r="I37" s="24">
        <v>24</v>
      </c>
      <c r="J37" s="25">
        <v>1.625</v>
      </c>
      <c r="K37" s="24">
        <v>9</v>
      </c>
      <c r="L37" s="24">
        <v>12</v>
      </c>
      <c r="M37" s="24">
        <v>9</v>
      </c>
      <c r="N37" s="24">
        <v>20</v>
      </c>
      <c r="O37" s="24">
        <v>13</v>
      </c>
      <c r="P37" s="24">
        <v>6</v>
      </c>
      <c r="Q37" s="24">
        <v>1</v>
      </c>
      <c r="R37" s="24">
        <v>8</v>
      </c>
      <c r="S37" s="24">
        <v>5</v>
      </c>
      <c r="T37" s="24">
        <v>17</v>
      </c>
      <c r="U37" s="24">
        <v>15</v>
      </c>
      <c r="V37" s="24">
        <v>0.5535714285714286</v>
      </c>
      <c r="W37" s="26">
        <v>0.45238095238095238</v>
      </c>
      <c r="X37" s="23">
        <v>75</v>
      </c>
      <c r="Y37" s="24">
        <v>85</v>
      </c>
      <c r="Z37" s="24">
        <v>66</v>
      </c>
      <c r="AA37" s="24">
        <v>-11</v>
      </c>
      <c r="AB37" s="24">
        <v>29</v>
      </c>
      <c r="AC37" s="24">
        <v>-19</v>
      </c>
      <c r="AD37" s="24">
        <v>3</v>
      </c>
      <c r="AE37" s="24">
        <v>11</v>
      </c>
      <c r="AF37" s="34">
        <f t="shared" si="34"/>
        <v>18</v>
      </c>
      <c r="AG37" s="34">
        <f t="shared" si="35"/>
        <v>38.999999999999993</v>
      </c>
      <c r="AH37" s="46">
        <f t="shared" si="36"/>
        <v>67.7</v>
      </c>
      <c r="AI37" s="51">
        <f t="shared" ref="AI37" si="40">AVERAGE(AH36,AH37)</f>
        <v>68.099999999999994</v>
      </c>
      <c r="AJ37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K37" s="12">
        <f>INDEX(ovrTable25,MATCH(INDEX('Structured 2025'!teamCol,ROW()),ovrTeamCol25,0),MATCH(MID(INDEX('Structured 2025'!headerRow,1,COLUMN()),4,LEN(INDEX('Structured 2025'!headerRow,1,COLUMN()))),ovrHeaderRow25,0))</f>
        <v>7.3</v>
      </c>
      <c r="AL37" s="12">
        <f>INDEX(ovrTable25,MATCH(INDEX('Structured 2025'!teamCol,ROW()),ovrTeamCol25,0),MATCH(MID(INDEX('Structured 2025'!headerRow,1,COLUMN()),4,LEN(INDEX('Structured 2025'!headerRow,1,COLUMN()))),ovrHeaderRow25,0))</f>
        <v>35.799999999999997</v>
      </c>
      <c r="AM37" s="12">
        <f>INDEX(ovrTable25,MATCH(INDEX('Structured 2025'!teamCol,ROW()),ovrTeamCol25,0),MATCH(MID(INDEX('Structured 2025'!headerRow,1,COLUMN()),4,LEN(INDEX('Structured 2025'!headerRow,1,COLUMN()))),ovrHeaderRow25,0))</f>
        <v>20.5</v>
      </c>
      <c r="AN37" s="12">
        <f>INDEX(ovrTable25,MATCH(INDEX('Structured 2025'!teamCol,ROW()),ovrTeamCol25,0),MATCH(MID(INDEX('Structured 2025'!headerRow,1,COLUMN()),4,LEN(INDEX('Structured 2025'!headerRow,1,COLUMN()))),ovrHeaderRow25,0))</f>
        <v>1.25</v>
      </c>
      <c r="AO37" s="12">
        <f>INDEX(ovrTable25,MATCH(INDEX('Structured 2025'!teamCol,ROW()),ovrTeamCol25,0),MATCH(MID(INDEX('Structured 2025'!headerRow,1,COLUMN()),4,LEN(INDEX('Structured 2025'!headerRow,1,COLUMN()))),ovrHeaderRow25,0))</f>
        <v>13.5</v>
      </c>
      <c r="AP37" s="12">
        <f>INDEX(ovrTable25,MATCH(INDEX('Structured 2025'!teamCol,ROW()),ovrTeamCol25,0),MATCH(MID(INDEX('Structured 2025'!headerRow,1,COLUMN()),4,LEN(INDEX('Structured 2025'!headerRow,1,COLUMN()))),ovrHeaderRow25,0))</f>
        <v>21</v>
      </c>
      <c r="AQ37" s="12">
        <f>INDEX(ovrTable25,MATCH(INDEX('Structured 2025'!teamCol,ROW()),ovrTeamCol25,0),MATCH(MID(INDEX('Structured 2025'!headerRow,1,COLUMN()),4,LEN(INDEX('Structured 2025'!headerRow,1,COLUMN()))),ovrHeaderRow25,0))</f>
        <v>3.2</v>
      </c>
      <c r="AR37" s="12">
        <f>INDEX(ovrTable25,MATCH(INDEX('Structured 2025'!teamCol,ROW()),ovrTeamCol25,0),MATCH(MID(INDEX('Structured 2025'!headerRow,1,COLUMN()),4,LEN(INDEX('Structured 2025'!headerRow,1,COLUMN()))),ovrHeaderRow25,0))</f>
        <v>45.7</v>
      </c>
      <c r="AS37" s="12">
        <f>INDEX(ovrTable25,MATCH(INDEX('Structured 2025'!teamCol,ROW()),ovrTeamCol25,0),MATCH(MID(INDEX('Structured 2025'!headerRow,1,COLUMN()),4,LEN(INDEX('Structured 2025'!headerRow,1,COLUMN()))),ovrHeaderRow25,0))</f>
        <v>24.43</v>
      </c>
      <c r="AT37" s="12">
        <f>INDEX(ovrTable25,MATCH(INDEX('Structured 2025'!teamCol,ROW()),ovrTeamCol25,0),MATCH(MID(INDEX('Structured 2025'!headerRow,1,COLUMN()),4,LEN(INDEX('Structured 2025'!headerRow,1,COLUMN()))),ovrHeaderRow25,0))</f>
        <v>0.56499999999999995</v>
      </c>
      <c r="AU37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37" s="12">
        <f>INDEX(ovrTable25,MATCH(INDEX('Structured 2025'!teamCol,ROW()),ovrTeamCol25,0),MATCH(MID(INDEX('Structured 2025'!headerRow,1,COLUMN()),4,LEN(INDEX('Structured 2025'!headerRow,1,COLUMN()))),ovrHeaderRow25,0))</f>
        <v>49.8</v>
      </c>
      <c r="AW37" s="12">
        <f>INDEX(ovrTable25,MATCH(INDEX('Structured 2025'!teamCol,ROW()),ovrTeamCol25,0),MATCH(MID(INDEX('Structured 2025'!headerRow,1,COLUMN()),4,LEN(INDEX('Structured 2025'!headerRow,1,COLUMN()))),ovrHeaderRow25,0))</f>
        <v>16.100000000000001</v>
      </c>
      <c r="AX37" s="12">
        <f>INDEX(ovrTable25,MATCH(INDEX('Structured 2025'!teamCol,ROW()),ovrTeamCol25,0),MATCH(MID(INDEX('Structured 2025'!headerRow,1,COLUMN()),4,LEN(INDEX('Structured 2025'!headerRow,1,COLUMN()))),ovrHeaderRow25,0))</f>
        <v>73.599999999999994</v>
      </c>
      <c r="AY37" s="12">
        <f>INDEX(ovrTable25,MATCH(INDEX('Structured 2025'!teamCol,ROW()),ovrTeamCol25,0),MATCH(MID(INDEX('Structured 2025'!headerRow,1,COLUMN()),4,LEN(INDEX('Structured 2025'!headerRow,1,COLUMN()))),ovrHeaderRow25,0))</f>
        <v>19.3</v>
      </c>
      <c r="AZ37" s="12">
        <f>INDEX(ovrTable25,MATCH(INDEX('Structured 2025'!teamCol,ROW()),ovrTeamCol25,0),MATCH(MID(INDEX('Structured 2025'!headerRow,1,COLUMN()),4,LEN(INDEX('Structured 2025'!headerRow,1,COLUMN()))),ovrHeaderRow25,0))</f>
        <v>14.2</v>
      </c>
      <c r="BA37" s="12">
        <f>INDEX(ovrTable25,MATCH(INDEX('Structured 2025'!teamCol,ROW()),ovrTeamCol25,0),MATCH(MID(INDEX('Structured 2025'!headerRow,1,COLUMN()),4,LEN(INDEX('Structured 2025'!headerRow,1,COLUMN()))),ovrHeaderRow25,0))</f>
        <v>73.3</v>
      </c>
      <c r="BB37" s="12">
        <f>INDEX(ovrTable25,MATCH(INDEX('Structured 2025'!teamCol,ROW()),ovrTeamCol25,0),MATCH(MID(INDEX('Structured 2025'!headerRow,1,COLUMN()),4,LEN(INDEX('Structured 2025'!headerRow,1,COLUMN()))),ovrHeaderRow25,0))</f>
        <v>7.23</v>
      </c>
      <c r="BC37" s="12">
        <f>INDEX(ovrTable25,MATCH(INDEX('Structured 2025'!teamCol,ROW()),ovrTeamCol25,0),MATCH(MID(INDEX('Structured 2025'!headerRow,1,COLUMN()),4,LEN(INDEX('Structured 2025'!headerRow,1,COLUMN()))),ovrHeaderRow25,0))</f>
        <v>76.599999999999994</v>
      </c>
      <c r="BD37" s="12">
        <f>INDEX(ovrTable25,MATCH(INDEX('Structured 2025'!teamCol,ROW()),ovrTeamCol25,0),MATCH(MID(INDEX('Structured 2025'!headerRow,1,COLUMN()),4,LEN(INDEX('Structured 2025'!headerRow,1,COLUMN()))),ovrHeaderRow25,0))</f>
        <v>-1</v>
      </c>
      <c r="BE37" s="12">
        <f>INDEX(ovrTable25,MATCH(INDEX('Structured 2025'!teamCol,ROW()),ovrTeamCol25,0),MATCH(MID(INDEX('Structured 2025'!headerRow,1,COLUMN()),4,LEN(INDEX('Structured 2025'!headerRow,1,COLUMN()))),ovrHeaderRow25,0))</f>
        <v>31.66</v>
      </c>
      <c r="BF37" s="12">
        <f>INDEX(ovrTable25,MATCH(INDEX('Structured 2025'!teamCol,ROW()),ovrTeamCol25,0),MATCH(MID(INDEX('Structured 2025'!headerRow,1,COLUMN()),4,LEN(INDEX('Structured 2025'!headerRow,1,COLUMN()))),ovrHeaderRow25,0))</f>
        <v>3.3</v>
      </c>
      <c r="BG37" s="12">
        <f>INDEX(ovrTable25,MATCH(INDEX('Structured 2025'!teamCol,ROW()),ovrTeamCol25,0),MATCH(MID(INDEX('Structured 2025'!headerRow,1,COLUMN()),4,LEN(INDEX('Structured 2025'!headerRow,1,COLUMN()))),ovrHeaderRow25,0))</f>
        <v>6.3</v>
      </c>
      <c r="BH37" s="12">
        <f>INDEX(ovrTable25,MATCH(INDEX('Structured 2025'!teamCol,ROW()),ovrTeamCol25,0),MATCH(MID(INDEX('Structured 2025'!headerRow,1,COLUMN()),4,LEN(INDEX('Structured 2025'!headerRow,1,COLUMN()))),ovrHeaderRow25,0))</f>
        <v>0</v>
      </c>
      <c r="BI37" s="12">
        <f>INDEX(ovrTable25,MATCH(INDEX('Structured 2025'!teamCol,ROW()),ovrTeamCol25,0),MATCH(MID(INDEX('Structured 2025'!headerRow,1,COLUMN()),4,LEN(INDEX('Structured 2025'!headerRow,1,COLUMN()))),ovrHeaderRow25,0))</f>
        <v>10.89</v>
      </c>
      <c r="BJ37" s="12">
        <f>INDEX(ovrTable25,MATCH(INDEX('Structured 2025'!teamCol,ROW()),ovrTeamCol25,0),MATCH(MID(INDEX('Structured 2025'!headerRow,1,COLUMN()),4,LEN(INDEX('Structured 2025'!headerRow,1,COLUMN()))),ovrHeaderRow25,0))</f>
        <v>10.9</v>
      </c>
      <c r="BK37" s="12">
        <f>INDEX(ovrTable25,MATCH(INDEX('Structured 2025'!teamCol,ROW()),ovrTeamCol25,0),MATCH(MID(INDEX('Structured 2025'!headerRow,1,COLUMN()),4,LEN(INDEX('Structured 2025'!headerRow,1,COLUMN()))),ovrHeaderRow25,0))</f>
        <v>67.3</v>
      </c>
      <c r="BL37" s="12">
        <f>INDEX(ovrTable25,MATCH(INDEX('Structured 2025'!teamCol,ROW()),ovrTeamCol25,0),MATCH(MID(INDEX('Structured 2025'!headerRow,1,COLUMN()),4,LEN(INDEX('Structured 2025'!headerRow,1,COLUMN()))),ovrHeaderRow25,0))</f>
        <v>20.249999999999996</v>
      </c>
      <c r="BM37" s="12">
        <f>INDEX(ovrTable25,MATCH(INDEX('Structured 2025'!teamCol,ROW()),ovrTeamCol25,0),MATCH(MID(INDEX('Structured 2025'!headerRow,1,COLUMN()),4,LEN(INDEX('Structured 2025'!headerRow,1,COLUMN()))),ovrHeaderRow25,0))</f>
        <v>55.321285140562246</v>
      </c>
      <c r="BN37" s="12">
        <f>INDEX(ovrTable25,MATCH(INDEX(oppCol,ROW()),ovrTeamCol25,0),MATCH(MID(INDEX('Structured 2025'!headerRow,1,COLUMN()),4,LEN(INDEX('Structured 2025'!headerRow,1,COLUMN()))),ovrHeaderRow25,0))</f>
        <v>33.299999999999997</v>
      </c>
      <c r="BO37" s="12">
        <f>INDEX(ovrTable25,MATCH(INDEX(oppCol,ROW()),ovrTeamCol25,0),MATCH(MID(INDEX('Structured 2025'!headerRow,1,COLUMN()),4,LEN(INDEX('Structured 2025'!headerRow,1,COLUMN()))),ovrHeaderRow25,0))</f>
        <v>9.9</v>
      </c>
      <c r="BP37" s="12">
        <f>INDEX(ovrTable25,MATCH(INDEX(oppCol,ROW()),ovrTeamCol25,0),MATCH(MID(INDEX('Structured 2025'!headerRow,1,COLUMN()),4,LEN(INDEX('Structured 2025'!headerRow,1,COLUMN()))),ovrHeaderRow25,0))</f>
        <v>34.799999999999997</v>
      </c>
      <c r="BQ37" s="12">
        <f>INDEX(ovrTable25,MATCH(INDEX(oppCol,ROW()),ovrTeamCol25,0),MATCH(MID(INDEX('Structured 2025'!headerRow,1,COLUMN()),4,LEN(INDEX('Structured 2025'!headerRow,1,COLUMN()))),ovrHeaderRow25,0))</f>
        <v>28.4</v>
      </c>
      <c r="BR37" s="12">
        <f>INDEX(ovrTable25,MATCH(INDEX(oppCol,ROW()),ovrTeamCol25,0),MATCH(MID(INDEX('Structured 2025'!headerRow,1,COLUMN()),4,LEN(INDEX('Structured 2025'!headerRow,1,COLUMN()))),ovrHeaderRow25,0))</f>
        <v>1.51</v>
      </c>
      <c r="BS37" s="12">
        <f>INDEX(ovrTable25,MATCH(INDEX(oppCol,ROW()),ovrTeamCol25,0),MATCH(MID(INDEX('Structured 2025'!headerRow,1,COLUMN()),4,LEN(INDEX('Structured 2025'!headerRow,1,COLUMN()))),ovrHeaderRow25,0))</f>
        <v>14.5</v>
      </c>
      <c r="BT37" s="12">
        <f>INDEX(ovrTable25,MATCH(INDEX(oppCol,ROW()),ovrTeamCol25,0),MATCH(MID(INDEX('Structured 2025'!headerRow,1,COLUMN()),4,LEN(INDEX('Structured 2025'!headerRow,1,COLUMN()))),ovrHeaderRow25,0))</f>
        <v>16.54</v>
      </c>
      <c r="BU37" s="12">
        <f>INDEX(ovrTable25,MATCH(INDEX(oppCol,ROW()),ovrTeamCol25,0),MATCH(MID(INDEX('Structured 2025'!headerRow,1,COLUMN()),4,LEN(INDEX('Structured 2025'!headerRow,1,COLUMN()))),ovrHeaderRow25,0))</f>
        <v>2.4</v>
      </c>
      <c r="BV37" s="12">
        <f>INDEX(ovrTable25,MATCH(INDEX(oppCol,ROW()),ovrTeamCol25,0),MATCH(MID(INDEX('Structured 2025'!headerRow,1,COLUMN()),4,LEN(INDEX('Structured 2025'!headerRow,1,COLUMN()))),ovrHeaderRow25,0))</f>
        <v>41.6</v>
      </c>
      <c r="BW37" s="12">
        <f>INDEX(ovrTable25,MATCH(INDEX(oppCol,ROW()),ovrTeamCol25,0),MATCH(MID(INDEX('Structured 2025'!headerRow,1,COLUMN()),4,LEN(INDEX('Structured 2025'!headerRow,1,COLUMN()))),ovrHeaderRow25,0))</f>
        <v>27.11</v>
      </c>
      <c r="BX37" s="12">
        <f>INDEX(ovrTable25,MATCH(INDEX(oppCol,ROW()),ovrTeamCol25,0),MATCH(MID(INDEX('Structured 2025'!headerRow,1,COLUMN()),4,LEN(INDEX('Structured 2025'!headerRow,1,COLUMN()))),ovrHeaderRow25,0))</f>
        <v>0.53800000000000003</v>
      </c>
      <c r="BY37" s="12">
        <f>INDEX(ovrTable25,MATCH(INDEX(oppCol,ROW()),ovrTeamCol25,0),MATCH(MID(INDEX('Structured 2025'!headerRow,1,COLUMN()),4,LEN(INDEX('Structured 2025'!headerRow,1,COLUMN()))),ovrHeaderRow25,0))</f>
        <v>7.14</v>
      </c>
      <c r="BZ37" s="12">
        <f>INDEX(ovrTable25,MATCH(INDEX(oppCol,ROW()),ovrTeamCol25,0),MATCH(MID(INDEX('Structured 2025'!headerRow,1,COLUMN()),4,LEN(INDEX('Structured 2025'!headerRow,1,COLUMN()))),ovrHeaderRow25,0))</f>
        <v>45.4</v>
      </c>
      <c r="CA37" s="12">
        <f>INDEX(ovrTable25,MATCH(INDEX(oppCol,ROW()),ovrTeamCol25,0),MATCH(MID(INDEX('Structured 2025'!headerRow,1,COLUMN()),4,LEN(INDEX('Structured 2025'!headerRow,1,COLUMN()))),ovrHeaderRow25,0))</f>
        <v>16.5</v>
      </c>
      <c r="CB37" s="12">
        <f>INDEX(ovrTable25,MATCH(INDEX(oppCol,ROW()),ovrTeamCol25,0),MATCH(MID(INDEX('Structured 2025'!headerRow,1,COLUMN()),4,LEN(INDEX('Structured 2025'!headerRow,1,COLUMN()))),ovrHeaderRow25,0))</f>
        <v>82.6</v>
      </c>
      <c r="CC37" s="12">
        <f>INDEX(ovrTable25,MATCH(INDEX(oppCol,ROW()),ovrTeamCol25,0),MATCH(MID(INDEX('Structured 2025'!headerRow,1,COLUMN()),4,LEN(INDEX('Structured 2025'!headerRow,1,COLUMN()))),ovrHeaderRow25,0))</f>
        <v>20.2</v>
      </c>
      <c r="CD37" s="12">
        <f>INDEX(ovrTable25,MATCH(INDEX(oppCol,ROW()),ovrTeamCol25,0),MATCH(MID(INDEX('Structured 2025'!headerRow,1,COLUMN()),4,LEN(INDEX('Structured 2025'!headerRow,1,COLUMN()))),ovrHeaderRow25,0))</f>
        <v>16.600000000000001</v>
      </c>
      <c r="CE37" s="12">
        <f>INDEX(ovrTable25,MATCH(INDEX(oppCol,ROW()),ovrTeamCol25,0),MATCH(MID(INDEX('Structured 2025'!headerRow,1,COLUMN()),4,LEN(INDEX('Structured 2025'!headerRow,1,COLUMN()))),ovrHeaderRow25,0))</f>
        <v>70.900000000000006</v>
      </c>
      <c r="CF37" s="12">
        <f>INDEX(ovrTable25,MATCH(INDEX(oppCol,ROW()),ovrTeamCol25,0),MATCH(MID(INDEX('Structured 2025'!headerRow,1,COLUMN()),4,LEN(INDEX('Structured 2025'!headerRow,1,COLUMN()))),ovrHeaderRow25,0))</f>
        <v>9.3800000000000008</v>
      </c>
      <c r="CG37" s="12">
        <f>INDEX(ovrTable25,MATCH(INDEX(oppCol,ROW()),ovrTeamCol25,0),MATCH(MID(INDEX('Structured 2025'!headerRow,1,COLUMN()),4,LEN(INDEX('Structured 2025'!headerRow,1,COLUMN()))),ovrHeaderRow25,0))</f>
        <v>80.099999999999994</v>
      </c>
      <c r="CH37" s="12">
        <f>INDEX(ovrTable25,MATCH(INDEX(oppCol,ROW()),ovrTeamCol25,0),MATCH(MID(INDEX('Structured 2025'!headerRow,1,COLUMN()),4,LEN(INDEX('Structured 2025'!headerRow,1,COLUMN()))),ovrHeaderRow25,0))</f>
        <v>2.5</v>
      </c>
      <c r="CI37" s="12">
        <f>INDEX(ovrTable25,MATCH(INDEX(oppCol,ROW()),ovrTeamCol25,0),MATCH(MID(INDEX('Structured 2025'!headerRow,1,COLUMN()),4,LEN(INDEX('Structured 2025'!headerRow,1,COLUMN()))),ovrHeaderRow25,0))</f>
        <v>36.49</v>
      </c>
      <c r="CJ37" s="12">
        <f>INDEX(ovrTable25,MATCH(INDEX(oppCol,ROW()),ovrTeamCol25,0),MATCH(MID(INDEX('Structured 2025'!headerRow,1,COLUMN()),4,LEN(INDEX('Structured 2025'!headerRow,1,COLUMN()))),ovrHeaderRow25,0))</f>
        <v>9.1999999999999993</v>
      </c>
      <c r="CK37" s="12">
        <f>INDEX(ovrTable25,MATCH(INDEX(oppCol,ROW()),ovrTeamCol25,0),MATCH(MID(INDEX('Structured 2025'!headerRow,1,COLUMN()),4,LEN(INDEX('Structured 2025'!headerRow,1,COLUMN()))),ovrHeaderRow25,0))</f>
        <v>5.0999999999999996</v>
      </c>
      <c r="CL37" s="12">
        <f>INDEX(ovrTable25,MATCH(INDEX(oppCol,ROW()),ovrTeamCol25,0),MATCH(MID(INDEX('Structured 2025'!headerRow,1,COLUMN()),4,LEN(INDEX('Structured 2025'!headerRow,1,COLUMN()))),ovrHeaderRow25,0))</f>
        <v>0.4</v>
      </c>
      <c r="CM37" s="12">
        <f>INDEX(ovrTable25,MATCH(INDEX(oppCol,ROW()),ovrTeamCol25,0),MATCH(MID(INDEX('Structured 2025'!headerRow,1,COLUMN()),4,LEN(INDEX('Structured 2025'!headerRow,1,COLUMN()))),ovrHeaderRow25,0))</f>
        <v>9.9700000000000006</v>
      </c>
      <c r="CN37" s="12">
        <f>INDEX(ovrTable25,MATCH(INDEX(oppCol,ROW()),ovrTeamCol25,0),MATCH(MID(INDEX('Structured 2025'!headerRow,1,COLUMN()),4,LEN(INDEX('Structured 2025'!headerRow,1,COLUMN()))),ovrHeaderRow25,0))</f>
        <v>9.6</v>
      </c>
      <c r="CO37" s="12">
        <f>INDEX(ovrTable25,MATCH(INDEX(oppCol,ROW()),ovrTeamCol25,0),MATCH(MID(INDEX('Structured 2025'!headerRow,1,COLUMN()),4,LEN(INDEX('Structured 2025'!headerRow,1,COLUMN()))),ovrHeaderRow25,0))</f>
        <v>68</v>
      </c>
      <c r="CP37" s="12">
        <f>INDEX(ovrTable25,MATCH(INDEX(oppCol,ROW()),ovrTeamCol25,0),MATCH(MID(INDEX('Structured 2025'!headerRow,1,COLUMN()),4,LEN(INDEX('Structured 2025'!headerRow,1,COLUMN()))),ovrHeaderRow25,0))</f>
        <v>16.899999999999995</v>
      </c>
      <c r="CQ37" s="12">
        <f>INDEX(ovrTable25,MATCH(INDEX(oppCol,ROW()),ovrTeamCol25,0),MATCH(MID(INDEX('Structured 2025'!headerRow,1,COLUMN()),4,LEN(INDEX('Structured 2025'!headerRow,1,COLUMN()))),ovrHeaderRow25,0))</f>
        <v>59.030837004405278</v>
      </c>
    </row>
    <row r="38" spans="1:95" x14ac:dyDescent="0.3">
      <c r="A38" s="6" t="s">
        <v>22</v>
      </c>
      <c r="B38" s="3">
        <v>7</v>
      </c>
      <c r="C38" s="13" t="str">
        <f>A39</f>
        <v>VAN</v>
      </c>
      <c r="D38" s="14">
        <f t="shared" si="26"/>
        <v>19</v>
      </c>
      <c r="E38" s="23">
        <v>0.30769230769230771</v>
      </c>
      <c r="F38" s="24">
        <v>40</v>
      </c>
      <c r="G38" s="24">
        <v>7</v>
      </c>
      <c r="H38" s="23">
        <v>28.000000000000004</v>
      </c>
      <c r="I38" s="24">
        <v>25</v>
      </c>
      <c r="J38" s="25">
        <v>1.1111111111111112</v>
      </c>
      <c r="K38" s="24">
        <v>8</v>
      </c>
      <c r="L38" s="24">
        <v>12</v>
      </c>
      <c r="M38" s="24">
        <v>10</v>
      </c>
      <c r="N38" s="24">
        <v>31</v>
      </c>
      <c r="O38" s="24">
        <v>10</v>
      </c>
      <c r="P38" s="24">
        <v>1</v>
      </c>
      <c r="Q38" s="24">
        <v>6</v>
      </c>
      <c r="R38" s="24">
        <v>9</v>
      </c>
      <c r="S38" s="24">
        <v>0</v>
      </c>
      <c r="T38" s="24">
        <v>12</v>
      </c>
      <c r="U38" s="24">
        <v>2</v>
      </c>
      <c r="V38" s="24">
        <v>0.4</v>
      </c>
      <c r="W38" s="26">
        <v>0.46363636363636362</v>
      </c>
      <c r="X38" s="23">
        <v>66.666666666666657</v>
      </c>
      <c r="Y38" s="24">
        <v>56</v>
      </c>
      <c r="Z38" s="24">
        <v>59</v>
      </c>
      <c r="AA38" s="24">
        <v>13</v>
      </c>
      <c r="AB38" s="24">
        <v>41</v>
      </c>
      <c r="AC38" s="24">
        <v>3</v>
      </c>
      <c r="AD38" s="24">
        <v>-5</v>
      </c>
      <c r="AE38" s="24">
        <v>4</v>
      </c>
      <c r="AF38" s="34">
        <f t="shared" si="34"/>
        <v>15</v>
      </c>
      <c r="AG38" s="34">
        <f t="shared" si="35"/>
        <v>30</v>
      </c>
      <c r="AH38" s="46">
        <f t="shared" si="36"/>
        <v>59.7</v>
      </c>
      <c r="AI38" s="51">
        <f t="shared" ref="AI38" si="41">AVERAGE(AH38,AH39)</f>
        <v>58.512500000000003</v>
      </c>
      <c r="AJ38" s="12">
        <f>INDEX(ovrTable25,MATCH(INDEX('Structured 2025'!teamCol,ROW()),ovrTeamCol25,0),MATCH(MID(INDEX('Structured 2025'!headerRow,1,COLUMN()),4,LEN(INDEX('Structured 2025'!headerRow,1,COLUMN()))),ovrHeaderRow25,0))</f>
        <v>31.1</v>
      </c>
      <c r="AK38" s="12">
        <f>INDEX(ovrTable25,MATCH(INDEX('Structured 2025'!teamCol,ROW()),ovrTeamCol25,0),MATCH(MID(INDEX('Structured 2025'!headerRow,1,COLUMN()),4,LEN(INDEX('Structured 2025'!headerRow,1,COLUMN()))),ovrHeaderRow25,0))</f>
        <v>6.4</v>
      </c>
      <c r="AL38" s="12">
        <f>INDEX(ovrTable25,MATCH(INDEX('Structured 2025'!teamCol,ROW()),ovrTeamCol25,0),MATCH(MID(INDEX('Structured 2025'!headerRow,1,COLUMN()),4,LEN(INDEX('Structured 2025'!headerRow,1,COLUMN()))),ovrHeaderRow25,0))</f>
        <v>31.9</v>
      </c>
      <c r="AM38" s="12">
        <f>INDEX(ovrTable25,MATCH(INDEX('Structured 2025'!teamCol,ROW()),ovrTeamCol25,0),MATCH(MID(INDEX('Structured 2025'!headerRow,1,COLUMN()),4,LEN(INDEX('Structured 2025'!headerRow,1,COLUMN()))),ovrHeaderRow25,0))</f>
        <v>19.899999999999999</v>
      </c>
      <c r="AN38" s="12">
        <f>INDEX(ovrTable25,MATCH(INDEX('Structured 2025'!teamCol,ROW()),ovrTeamCol25,0),MATCH(MID(INDEX('Structured 2025'!headerRow,1,COLUMN()),4,LEN(INDEX('Structured 2025'!headerRow,1,COLUMN()))),ovrHeaderRow25,0))</f>
        <v>1.57</v>
      </c>
      <c r="AO38" s="12">
        <f>INDEX(ovrTable25,MATCH(INDEX('Structured 2025'!teamCol,ROW()),ovrTeamCol25,0),MATCH(MID(INDEX('Structured 2025'!headerRow,1,COLUMN()),4,LEN(INDEX('Structured 2025'!headerRow,1,COLUMN()))),ovrHeaderRow25,0))</f>
        <v>15.1</v>
      </c>
      <c r="AP38" s="12">
        <f>INDEX(ovrTable25,MATCH(INDEX('Structured 2025'!teamCol,ROW()),ovrTeamCol25,0),MATCH(MID(INDEX('Structured 2025'!headerRow,1,COLUMN()),4,LEN(INDEX('Structured 2025'!headerRow,1,COLUMN()))),ovrHeaderRow25,0))</f>
        <v>17.71</v>
      </c>
      <c r="AQ38" s="12">
        <f>INDEX(ovrTable25,MATCH(INDEX('Structured 2025'!teamCol,ROW()),ovrTeamCol25,0),MATCH(MID(INDEX('Structured 2025'!headerRow,1,COLUMN()),4,LEN(INDEX('Structured 2025'!headerRow,1,COLUMN()))),ovrHeaderRow25,0))</f>
        <v>4</v>
      </c>
      <c r="AR38" s="12">
        <f>INDEX(ovrTable25,MATCH(INDEX('Structured 2025'!teamCol,ROW()),ovrTeamCol25,0),MATCH(MID(INDEX('Structured 2025'!headerRow,1,COLUMN()),4,LEN(INDEX('Structured 2025'!headerRow,1,COLUMN()))),ovrHeaderRow25,0))</f>
        <v>41.1</v>
      </c>
      <c r="AS38" s="12">
        <f>INDEX(ovrTable25,MATCH(INDEX('Structured 2025'!teamCol,ROW()),ovrTeamCol25,0),MATCH(MID(INDEX('Structured 2025'!headerRow,1,COLUMN()),4,LEN(INDEX('Structured 2025'!headerRow,1,COLUMN()))),ovrHeaderRow25,0))</f>
        <v>25.74</v>
      </c>
      <c r="AT38" s="12">
        <f>INDEX(ovrTable25,MATCH(INDEX('Structured 2025'!teamCol,ROW()),ovrTeamCol25,0),MATCH(MID(INDEX('Structured 2025'!headerRow,1,COLUMN()),4,LEN(INDEX('Structured 2025'!headerRow,1,COLUMN()))),ovrHeaderRow25,0))</f>
        <v>0.504</v>
      </c>
      <c r="AU38" s="12">
        <f>INDEX(ovrTable25,MATCH(INDEX('Structured 2025'!teamCol,ROW()),ovrTeamCol25,0),MATCH(MID(INDEX('Structured 2025'!headerRow,1,COLUMN()),4,LEN(INDEX('Structured 2025'!headerRow,1,COLUMN()))),ovrHeaderRow25,0))</f>
        <v>6.09</v>
      </c>
      <c r="AV38" s="12">
        <f>INDEX(ovrTable25,MATCH(INDEX('Structured 2025'!teamCol,ROW()),ovrTeamCol25,0),MATCH(MID(INDEX('Structured 2025'!headerRow,1,COLUMN()),4,LEN(INDEX('Structured 2025'!headerRow,1,COLUMN()))),ovrHeaderRow25,0))</f>
        <v>45</v>
      </c>
      <c r="AW38" s="12">
        <f>INDEX(ovrTable25,MATCH(INDEX('Structured 2025'!teamCol,ROW()),ovrTeamCol25,0),MATCH(MID(INDEX('Structured 2025'!headerRow,1,COLUMN()),4,LEN(INDEX('Structured 2025'!headerRow,1,COLUMN()))),ovrHeaderRow25,0))</f>
        <v>14.9</v>
      </c>
      <c r="AX38" s="12">
        <f>INDEX(ovrTable25,MATCH(INDEX('Structured 2025'!teamCol,ROW()),ovrTeamCol25,0),MATCH(MID(INDEX('Structured 2025'!headerRow,1,COLUMN()),4,LEN(INDEX('Structured 2025'!headerRow,1,COLUMN()))),ovrHeaderRow25,0))</f>
        <v>69.5</v>
      </c>
      <c r="AY38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AZ38" s="12">
        <f>INDEX(ovrTable25,MATCH(INDEX('Structured 2025'!teamCol,ROW()),ovrTeamCol25,0),MATCH(MID(INDEX('Structured 2025'!headerRow,1,COLUMN()),4,LEN(INDEX('Structured 2025'!headerRow,1,COLUMN()))),ovrHeaderRow25,0))</f>
        <v>12.8</v>
      </c>
      <c r="BA38" s="12">
        <f>INDEX(ovrTable25,MATCH(INDEX('Structured 2025'!teamCol,ROW()),ovrTeamCol25,0),MATCH(MID(INDEX('Structured 2025'!headerRow,1,COLUMN()),4,LEN(INDEX('Structured 2025'!headerRow,1,COLUMN()))),ovrHeaderRow25,0))</f>
        <v>61.1</v>
      </c>
      <c r="BB38" s="12">
        <f>INDEX(ovrTable25,MATCH(INDEX('Structured 2025'!teamCol,ROW()),ovrTeamCol25,0),MATCH(MID(INDEX('Structured 2025'!headerRow,1,COLUMN()),4,LEN(INDEX('Structured 2025'!headerRow,1,COLUMN()))),ovrHeaderRow25,0))</f>
        <v>13.97</v>
      </c>
      <c r="BC38" s="12">
        <f>INDEX(ovrTable25,MATCH(INDEX('Structured 2025'!teamCol,ROW()),ovrTeamCol25,0),MATCH(MID(INDEX('Structured 2025'!headerRow,1,COLUMN()),4,LEN(INDEX('Structured 2025'!headerRow,1,COLUMN()))),ovrHeaderRow25,0))</f>
        <v>72.900000000000006</v>
      </c>
      <c r="BD38" s="12">
        <f>INDEX(ovrTable25,MATCH(INDEX('Structured 2025'!teamCol,ROW()),ovrTeamCol25,0),MATCH(MID(INDEX('Structured 2025'!headerRow,1,COLUMN()),4,LEN(INDEX('Structured 2025'!headerRow,1,COLUMN()))),ovrHeaderRow25,0))</f>
        <v>10.3</v>
      </c>
      <c r="BE38" s="12">
        <f>INDEX(ovrTable25,MATCH(INDEX('Structured 2025'!teamCol,ROW()),ovrTeamCol25,0),MATCH(MID(INDEX('Structured 2025'!headerRow,1,COLUMN()),4,LEN(INDEX('Structured 2025'!headerRow,1,COLUMN()))),ovrHeaderRow25,0))</f>
        <v>39.71</v>
      </c>
      <c r="BF38" s="12">
        <f>INDEX(ovrTable25,MATCH(INDEX('Structured 2025'!teamCol,ROW()),ovrTeamCol25,0),MATCH(MID(INDEX('Structured 2025'!headerRow,1,COLUMN()),4,LEN(INDEX('Structured 2025'!headerRow,1,COLUMN()))),ovrHeaderRow25,0))</f>
        <v>11.8</v>
      </c>
      <c r="BG38" s="12">
        <f>INDEX(ovrTable25,MATCH(INDEX('Structured 2025'!teamCol,ROW()),ovrTeamCol25,0),MATCH(MID(INDEX('Structured 2025'!headerRow,1,COLUMN()),4,LEN(INDEX('Structured 2025'!headerRow,1,COLUMN()))),ovrHeaderRow25,0))</f>
        <v>6.1</v>
      </c>
      <c r="BH38" s="12">
        <f>INDEX(ovrTable25,MATCH(INDEX('Structured 2025'!teamCol,ROW()),ovrTeamCol25,0),MATCH(MID(INDEX('Structured 2025'!headerRow,1,COLUMN()),4,LEN(INDEX('Structured 2025'!headerRow,1,COLUMN()))),ovrHeaderRow25,0))</f>
        <v>0.9</v>
      </c>
      <c r="BI38" s="12">
        <f>INDEX(ovrTable25,MATCH(INDEX('Structured 2025'!teamCol,ROW()),ovrTeamCol25,0),MATCH(MID(INDEX('Structured 2025'!headerRow,1,COLUMN()),4,LEN(INDEX('Structured 2025'!headerRow,1,COLUMN()))),ovrHeaderRow25,0))</f>
        <v>10.57</v>
      </c>
      <c r="BJ38" s="12">
        <f>INDEX(ovrTable25,MATCH(INDEX('Structured 2025'!teamCol,ROW()),ovrTeamCol25,0),MATCH(MID(INDEX('Structured 2025'!headerRow,1,COLUMN()),4,LEN(INDEX('Structured 2025'!headerRow,1,COLUMN()))),ovrHeaderRow25,0))</f>
        <v>9.6999999999999993</v>
      </c>
      <c r="BK38" s="12">
        <f>INDEX(ovrTable25,MATCH(INDEX('Structured 2025'!teamCol,ROW()),ovrTeamCol25,0),MATCH(MID(INDEX('Structured 2025'!headerRow,1,COLUMN()),4,LEN(INDEX('Structured 2025'!headerRow,1,COLUMN()))),ovrHeaderRow25,0))</f>
        <v>61.7</v>
      </c>
      <c r="BL38" s="12">
        <f>INDEX(ovrTable25,MATCH(INDEX('Structured 2025'!teamCol,ROW()),ovrTeamCol25,0),MATCH(MID(INDEX('Structured 2025'!headerRow,1,COLUMN()),4,LEN(INDEX('Structured 2025'!headerRow,1,COLUMN()))),ovrHeaderRow25,0))</f>
        <v>20.450000000000003</v>
      </c>
      <c r="BM38" s="12">
        <f>INDEX(ovrTable25,MATCH(INDEX('Structured 2025'!teamCol,ROW()),ovrTeamCol25,0),MATCH(MID(INDEX('Structured 2025'!headerRow,1,COLUMN()),4,LEN(INDEX('Structured 2025'!headerRow,1,COLUMN()))),ovrHeaderRow25,0))</f>
        <v>59.666666666666664</v>
      </c>
      <c r="BN38" s="12">
        <f>INDEX(ovrTable25,MATCH(INDEX(oppCol,ROW()),ovrTeamCol25,0),MATCH(MID(INDEX('Structured 2025'!headerRow,1,COLUMN()),4,LEN(INDEX('Structured 2025'!headerRow,1,COLUMN()))),ovrHeaderRow25,0))</f>
        <v>36.6</v>
      </c>
      <c r="BO38" s="12">
        <f>INDEX(ovrTable25,MATCH(INDEX(oppCol,ROW()),ovrTeamCol25,0),MATCH(MID(INDEX('Structured 2025'!headerRow,1,COLUMN()),4,LEN(INDEX('Structured 2025'!headerRow,1,COLUMN()))),ovrHeaderRow25,0))</f>
        <v>8.1</v>
      </c>
      <c r="BP38" s="12">
        <f>INDEX(ovrTable25,MATCH(INDEX(oppCol,ROW()),ovrTeamCol25,0),MATCH(MID(INDEX('Structured 2025'!headerRow,1,COLUMN()),4,LEN(INDEX('Structured 2025'!headerRow,1,COLUMN()))),ovrHeaderRow25,0))</f>
        <v>32.5</v>
      </c>
      <c r="BQ38" s="12">
        <f>INDEX(ovrTable25,MATCH(INDEX(oppCol,ROW()),ovrTeamCol25,0),MATCH(MID(INDEX('Structured 2025'!headerRow,1,COLUMN()),4,LEN(INDEX('Structured 2025'!headerRow,1,COLUMN()))),ovrHeaderRow25,0))</f>
        <v>24.9</v>
      </c>
      <c r="BR38" s="12">
        <f>INDEX(ovrTable25,MATCH(INDEX(oppCol,ROW()),ovrTeamCol25,0),MATCH(MID(INDEX('Structured 2025'!headerRow,1,COLUMN()),4,LEN(INDEX('Structured 2025'!headerRow,1,COLUMN()))),ovrHeaderRow25,0))</f>
        <v>1.37</v>
      </c>
      <c r="BS38" s="12">
        <f>INDEX(ovrTable25,MATCH(INDEX(oppCol,ROW()),ovrTeamCol25,0),MATCH(MID(INDEX('Structured 2025'!headerRow,1,COLUMN()),4,LEN(INDEX('Structured 2025'!headerRow,1,COLUMN()))),ovrHeaderRow25,0))</f>
        <v>13.9</v>
      </c>
      <c r="BT38" s="12">
        <f>INDEX(ovrTable25,MATCH(INDEX(oppCol,ROW()),ovrTeamCol25,0),MATCH(MID(INDEX('Structured 2025'!headerRow,1,COLUMN()),4,LEN(INDEX('Structured 2025'!headerRow,1,COLUMN()))),ovrHeaderRow25,0))</f>
        <v>28.48</v>
      </c>
      <c r="BU38" s="12">
        <f>INDEX(ovrTable25,MATCH(INDEX(oppCol,ROW()),ovrTeamCol25,0),MATCH(MID(INDEX('Structured 2025'!headerRow,1,COLUMN()),4,LEN(INDEX('Structured 2025'!headerRow,1,COLUMN()))),ovrHeaderRow25,0))</f>
        <v>3.9</v>
      </c>
      <c r="BV38" s="12">
        <f>INDEX(ovrTable25,MATCH(INDEX(oppCol,ROW()),ovrTeamCol25,0),MATCH(MID(INDEX('Structured 2025'!headerRow,1,COLUMN()),4,LEN(INDEX('Structured 2025'!headerRow,1,COLUMN()))),ovrHeaderRow25,0))</f>
        <v>45.8</v>
      </c>
      <c r="BW38" s="12">
        <f>INDEX(ovrTable25,MATCH(INDEX(oppCol,ROW()),ovrTeamCol25,0),MATCH(MID(INDEX('Structured 2025'!headerRow,1,COLUMN()),4,LEN(INDEX('Structured 2025'!headerRow,1,COLUMN()))),ovrHeaderRow25,0))</f>
        <v>23.21</v>
      </c>
      <c r="BX38" s="12">
        <f>INDEX(ovrTable25,MATCH(INDEX(oppCol,ROW()),ovrTeamCol25,0),MATCH(MID(INDEX('Structured 2025'!headerRow,1,COLUMN()),4,LEN(INDEX('Structured 2025'!headerRow,1,COLUMN()))),ovrHeaderRow25,0))</f>
        <v>0.51500000000000001</v>
      </c>
      <c r="BY38" s="12">
        <f>INDEX(ovrTable25,MATCH(INDEX(oppCol,ROW()),ovrTeamCol25,0),MATCH(MID(INDEX('Structured 2025'!headerRow,1,COLUMN()),4,LEN(INDEX('Structured 2025'!headerRow,1,COLUMN()))),ovrHeaderRow25,0))</f>
        <v>11.58</v>
      </c>
      <c r="BZ38" s="12">
        <f>INDEX(ovrTable25,MATCH(INDEX(oppCol,ROW()),ovrTeamCol25,0),MATCH(MID(INDEX('Structured 2025'!headerRow,1,COLUMN()),4,LEN(INDEX('Structured 2025'!headerRow,1,COLUMN()))),ovrHeaderRow25,0))</f>
        <v>45</v>
      </c>
      <c r="CA38" s="12">
        <f>INDEX(ovrTable25,MATCH(INDEX(oppCol,ROW()),ovrTeamCol25,0),MATCH(MID(INDEX('Structured 2025'!headerRow,1,COLUMN()),4,LEN(INDEX('Structured 2025'!headerRow,1,COLUMN()))),ovrHeaderRow25,0))</f>
        <v>17.899999999999999</v>
      </c>
      <c r="CB38" s="12">
        <f>INDEX(ovrTable25,MATCH(INDEX(oppCol,ROW()),ovrTeamCol25,0),MATCH(MID(INDEX('Structured 2025'!headerRow,1,COLUMN()),4,LEN(INDEX('Structured 2025'!headerRow,1,COLUMN()))),ovrHeaderRow25,0))</f>
        <v>74.599999999999994</v>
      </c>
      <c r="CC38" s="12">
        <f>INDEX(ovrTable25,MATCH(INDEX(oppCol,ROW()),ovrTeamCol25,0),MATCH(MID(INDEX('Structured 2025'!headerRow,1,COLUMN()),4,LEN(INDEX('Structured 2025'!headerRow,1,COLUMN()))),ovrHeaderRow25,0))</f>
        <v>20.6</v>
      </c>
      <c r="CD38" s="12">
        <f>INDEX(ovrTable25,MATCH(INDEX(oppCol,ROW()),ovrTeamCol25,0),MATCH(MID(INDEX('Structured 2025'!headerRow,1,COLUMN()),4,LEN(INDEX('Structured 2025'!headerRow,1,COLUMN()))),ovrHeaderRow25,0))</f>
        <v>15.4</v>
      </c>
      <c r="CE38" s="12">
        <f>INDEX(ovrTable25,MATCH(INDEX(oppCol,ROW()),ovrTeamCol25,0),MATCH(MID(INDEX('Structured 2025'!headerRow,1,COLUMN()),4,LEN(INDEX('Structured 2025'!headerRow,1,COLUMN()))),ovrHeaderRow25,0))</f>
        <v>74.3</v>
      </c>
      <c r="CF38" s="12">
        <f>INDEX(ovrTable25,MATCH(INDEX(oppCol,ROW()),ovrTeamCol25,0),MATCH(MID(INDEX('Structured 2025'!headerRow,1,COLUMN()),4,LEN(INDEX('Structured 2025'!headerRow,1,COLUMN()))),ovrHeaderRow25,0))</f>
        <v>11.48</v>
      </c>
      <c r="CG38" s="12">
        <f>INDEX(ovrTable25,MATCH(INDEX(oppCol,ROW()),ovrTeamCol25,0),MATCH(MID(INDEX('Structured 2025'!headerRow,1,COLUMN()),4,LEN(INDEX('Structured 2025'!headerRow,1,COLUMN()))),ovrHeaderRow25,0))</f>
        <v>78.900000000000006</v>
      </c>
      <c r="CH38" s="12">
        <f>INDEX(ovrTable25,MATCH(INDEX(oppCol,ROW()),ovrTeamCol25,0),MATCH(MID(INDEX('Structured 2025'!headerRow,1,COLUMN()),4,LEN(INDEX('Structured 2025'!headerRow,1,COLUMN()))),ovrHeaderRow25,0))</f>
        <v>0</v>
      </c>
      <c r="CI38" s="12">
        <f>INDEX(ovrTable25,MATCH(INDEX(oppCol,ROW()),ovrTeamCol25,0),MATCH(MID(INDEX('Structured 2025'!headerRow,1,COLUMN()),4,LEN(INDEX('Structured 2025'!headerRow,1,COLUMN()))),ovrHeaderRow25,0))</f>
        <v>34.700000000000003</v>
      </c>
      <c r="CJ38" s="12">
        <f>INDEX(ovrTable25,MATCH(INDEX(oppCol,ROW()),ovrTeamCol25,0),MATCH(MID(INDEX('Structured 2025'!headerRow,1,COLUMN()),4,LEN(INDEX('Structured 2025'!headerRow,1,COLUMN()))),ovrHeaderRow25,0))</f>
        <v>4.5999999999999996</v>
      </c>
      <c r="CK38" s="12">
        <f>INDEX(ovrTable25,MATCH(INDEX(oppCol,ROW()),ovrTeamCol25,0),MATCH(MID(INDEX('Structured 2025'!headerRow,1,COLUMN()),4,LEN(INDEX('Structured 2025'!headerRow,1,COLUMN()))),ovrHeaderRow25,0))</f>
        <v>8.9</v>
      </c>
      <c r="CL38" s="12">
        <f>INDEX(ovrTable25,MATCH(INDEX(oppCol,ROW()),ovrTeamCol25,0),MATCH(MID(INDEX('Structured 2025'!headerRow,1,COLUMN()),4,LEN(INDEX('Structured 2025'!headerRow,1,COLUMN()))),ovrHeaderRow25,0))</f>
        <v>3.7</v>
      </c>
      <c r="CM38" s="12">
        <f>INDEX(ovrTable25,MATCH(INDEX(oppCol,ROW()),ovrTeamCol25,0),MATCH(MID(INDEX('Structured 2025'!headerRow,1,COLUMN()),4,LEN(INDEX('Structured 2025'!headerRow,1,COLUMN()))),ovrHeaderRow25,0))</f>
        <v>13.91</v>
      </c>
      <c r="CN38" s="12">
        <f>INDEX(ovrTable25,MATCH(INDEX(oppCol,ROW()),ovrTeamCol25,0),MATCH(MID(INDEX('Structured 2025'!headerRow,1,COLUMN()),4,LEN(INDEX('Structured 2025'!headerRow,1,COLUMN()))),ovrHeaderRow25,0))</f>
        <v>10.199999999999999</v>
      </c>
      <c r="CO38" s="12">
        <f>INDEX(ovrTable25,MATCH(INDEX(oppCol,ROW()),ovrTeamCol25,0),MATCH(MID(INDEX('Structured 2025'!headerRow,1,COLUMN()),4,LEN(INDEX('Structured 2025'!headerRow,1,COLUMN()))),ovrHeaderRow25,0))</f>
        <v>69.5</v>
      </c>
      <c r="CP38" s="12">
        <f>INDEX(ovrTable25,MATCH(INDEX(oppCol,ROW()),ovrTeamCol25,0),MATCH(MID(INDEX('Structured 2025'!headerRow,1,COLUMN()),4,LEN(INDEX('Structured 2025'!headerRow,1,COLUMN()))),ovrHeaderRow25,0))</f>
        <v>19.600000000000005</v>
      </c>
      <c r="CQ38" s="12">
        <f>INDEX(ovrTable25,MATCH(INDEX(oppCol,ROW()),ovrTeamCol25,0),MATCH(MID(INDEX('Structured 2025'!headerRow,1,COLUMN()),4,LEN(INDEX('Structured 2025'!headerRow,1,COLUMN()))),ovrHeaderRow25,0))</f>
        <v>61.555555555555564</v>
      </c>
    </row>
    <row r="39" spans="1:95" x14ac:dyDescent="0.3">
      <c r="A39" s="6" t="s">
        <v>393</v>
      </c>
      <c r="B39" s="3">
        <v>10</v>
      </c>
      <c r="C39" s="13" t="str">
        <f>A38</f>
        <v>SMC</v>
      </c>
      <c r="D39" s="14">
        <f t="shared" si="26"/>
        <v>19</v>
      </c>
      <c r="E39" s="23">
        <v>0.28000000000000003</v>
      </c>
      <c r="F39" s="24">
        <v>40</v>
      </c>
      <c r="G39" s="24">
        <v>8</v>
      </c>
      <c r="H39" s="23">
        <v>30.76923076923077</v>
      </c>
      <c r="I39" s="24">
        <v>26</v>
      </c>
      <c r="J39" s="25">
        <v>3</v>
      </c>
      <c r="K39" s="24">
        <v>4</v>
      </c>
      <c r="L39" s="24">
        <v>7</v>
      </c>
      <c r="M39" s="24">
        <v>5</v>
      </c>
      <c r="N39" s="24">
        <v>23</v>
      </c>
      <c r="O39" s="24">
        <v>12</v>
      </c>
      <c r="P39" s="24">
        <v>6</v>
      </c>
      <c r="Q39" s="24">
        <v>2</v>
      </c>
      <c r="R39" s="24">
        <v>4</v>
      </c>
      <c r="S39" s="24">
        <v>11</v>
      </c>
      <c r="T39" s="24">
        <v>17</v>
      </c>
      <c r="U39" s="24">
        <v>11</v>
      </c>
      <c r="V39" s="24">
        <v>0.4</v>
      </c>
      <c r="W39" s="26">
        <v>0.47272727272727272</v>
      </c>
      <c r="X39" s="23">
        <v>57.142857142857139</v>
      </c>
      <c r="Y39" s="24">
        <v>59</v>
      </c>
      <c r="Z39" s="24">
        <v>56</v>
      </c>
      <c r="AA39" s="24">
        <v>-13</v>
      </c>
      <c r="AB39" s="24">
        <v>28</v>
      </c>
      <c r="AC39" s="24">
        <v>-3</v>
      </c>
      <c r="AD39" s="24">
        <v>5</v>
      </c>
      <c r="AE39" s="24">
        <v>9</v>
      </c>
      <c r="AF39" s="34">
        <f t="shared" si="34"/>
        <v>14</v>
      </c>
      <c r="AG39" s="34">
        <f t="shared" si="35"/>
        <v>29</v>
      </c>
      <c r="AH39" s="46">
        <f t="shared" si="36"/>
        <v>57.325000000000003</v>
      </c>
      <c r="AI39" s="51">
        <f t="shared" ref="AI39" si="42">AVERAGE(AH38,AH39)</f>
        <v>58.512500000000003</v>
      </c>
      <c r="AJ39" s="12">
        <f>INDEX(ovrTable25,MATCH(INDEX('Structured 2025'!teamCol,ROW()),ovrTeamCol25,0),MATCH(MID(INDEX('Structured 2025'!headerRow,1,COLUMN()),4,LEN(INDEX('Structured 2025'!headerRow,1,COLUMN()))),ovrHeaderRow25,0))</f>
        <v>36.6</v>
      </c>
      <c r="AK39" s="12">
        <f>INDEX(ovrTable25,MATCH(INDEX('Structured 2025'!teamCol,ROW()),ovrTeamCol25,0),MATCH(MID(INDEX('Structured 2025'!headerRow,1,COLUMN()),4,LEN(INDEX('Structured 2025'!headerRow,1,COLUMN()))),ovrHeaderRow25,0))</f>
        <v>8.1</v>
      </c>
      <c r="AL39" s="12">
        <f>INDEX(ovrTable25,MATCH(INDEX('Structured 2025'!teamCol,ROW()),ovrTeamCol25,0),MATCH(MID(INDEX('Structured 2025'!headerRow,1,COLUMN()),4,LEN(INDEX('Structured 2025'!headerRow,1,COLUMN()))),ovrHeaderRow25,0))</f>
        <v>32.5</v>
      </c>
      <c r="AM39" s="12">
        <f>INDEX(ovrTable25,MATCH(INDEX('Structured 2025'!teamCol,ROW()),ovrTeamCol25,0),MATCH(MID(INDEX('Structured 2025'!headerRow,1,COLUMN()),4,LEN(INDEX('Structured 2025'!headerRow,1,COLUMN()))),ovrHeaderRow25,0))</f>
        <v>24.9</v>
      </c>
      <c r="AN39" s="12">
        <f>INDEX(ovrTable25,MATCH(INDEX('Structured 2025'!teamCol,ROW()),ovrTeamCol25,0),MATCH(MID(INDEX('Structured 2025'!headerRow,1,COLUMN()),4,LEN(INDEX('Structured 2025'!headerRow,1,COLUMN()))),ovrHeaderRow25,0))</f>
        <v>1.37</v>
      </c>
      <c r="AO39" s="12">
        <f>INDEX(ovrTable25,MATCH(INDEX('Structured 2025'!teamCol,ROW()),ovrTeamCol25,0),MATCH(MID(INDEX('Structured 2025'!headerRow,1,COLUMN()),4,LEN(INDEX('Structured 2025'!headerRow,1,COLUMN()))),ovrHeaderRow25,0))</f>
        <v>13.9</v>
      </c>
      <c r="AP39" s="12">
        <f>INDEX(ovrTable25,MATCH(INDEX('Structured 2025'!teamCol,ROW()),ovrTeamCol25,0),MATCH(MID(INDEX('Structured 2025'!headerRow,1,COLUMN()),4,LEN(INDEX('Structured 2025'!headerRow,1,COLUMN()))),ovrHeaderRow25,0))</f>
        <v>28.48</v>
      </c>
      <c r="AQ39" s="12">
        <f>INDEX(ovrTable25,MATCH(INDEX('Structured 2025'!teamCol,ROW()),ovrTeamCol25,0),MATCH(MID(INDEX('Structured 2025'!headerRow,1,COLUMN()),4,LEN(INDEX('Structured 2025'!headerRow,1,COLUMN()))),ovrHeaderRow25,0))</f>
        <v>3.9</v>
      </c>
      <c r="AR39" s="12">
        <f>INDEX(ovrTable25,MATCH(INDEX('Structured 2025'!teamCol,ROW()),ovrTeamCol25,0),MATCH(MID(INDEX('Structured 2025'!headerRow,1,COLUMN()),4,LEN(INDEX('Structured 2025'!headerRow,1,COLUMN()))),ovrHeaderRow25,0))</f>
        <v>45.8</v>
      </c>
      <c r="AS39" s="12">
        <f>INDEX(ovrTable25,MATCH(INDEX('Structured 2025'!teamCol,ROW()),ovrTeamCol25,0),MATCH(MID(INDEX('Structured 2025'!headerRow,1,COLUMN()),4,LEN(INDEX('Structured 2025'!headerRow,1,COLUMN()))),ovrHeaderRow25,0))</f>
        <v>23.21</v>
      </c>
      <c r="AT39" s="12">
        <f>INDEX(ovrTable25,MATCH(INDEX('Structured 2025'!teamCol,ROW()),ovrTeamCol25,0),MATCH(MID(INDEX('Structured 2025'!headerRow,1,COLUMN()),4,LEN(INDEX('Structured 2025'!headerRow,1,COLUMN()))),ovrHeaderRow25,0))</f>
        <v>0.51500000000000001</v>
      </c>
      <c r="AU39" s="12">
        <f>INDEX(ovrTable25,MATCH(INDEX('Structured 2025'!teamCol,ROW()),ovrTeamCol25,0),MATCH(MID(INDEX('Structured 2025'!headerRow,1,COLUMN()),4,LEN(INDEX('Structured 2025'!headerRow,1,COLUMN()))),ovrHeaderRow25,0))</f>
        <v>11.58</v>
      </c>
      <c r="AV39" s="12">
        <f>INDEX(ovrTable25,MATCH(INDEX('Structured 2025'!teamCol,ROW()),ovrTeamCol25,0),MATCH(MID(INDEX('Structured 2025'!headerRow,1,COLUMN()),4,LEN(INDEX('Structured 2025'!headerRow,1,COLUMN()))),ovrHeaderRow25,0))</f>
        <v>45</v>
      </c>
      <c r="AW39" s="12">
        <f>INDEX(ovrTable25,MATCH(INDEX('Structured 2025'!teamCol,ROW()),ovrTeamCol25,0),MATCH(MID(INDEX('Structured 2025'!headerRow,1,COLUMN()),4,LEN(INDEX('Structured 2025'!headerRow,1,COLUMN()))),ovrHeaderRow25,0))</f>
        <v>17.899999999999999</v>
      </c>
      <c r="AX39" s="12">
        <f>INDEX(ovrTable25,MATCH(INDEX('Structured 2025'!teamCol,ROW()),ovrTeamCol25,0),MATCH(MID(INDEX('Structured 2025'!headerRow,1,COLUMN()),4,LEN(INDEX('Structured 2025'!headerRow,1,COLUMN()))),ovrHeaderRow25,0))</f>
        <v>74.599999999999994</v>
      </c>
      <c r="AY39" s="12">
        <f>INDEX(ovrTable25,MATCH(INDEX('Structured 2025'!teamCol,ROW()),ovrTeamCol25,0),MATCH(MID(INDEX('Structured 2025'!headerRow,1,COLUMN()),4,LEN(INDEX('Structured 2025'!headerRow,1,COLUMN()))),ovrHeaderRow25,0))</f>
        <v>20.6</v>
      </c>
      <c r="AZ39" s="12">
        <f>INDEX(ovrTable25,MATCH(INDEX('Structured 2025'!teamCol,ROW()),ovrTeamCol25,0),MATCH(MID(INDEX('Structured 2025'!headerRow,1,COLUMN()),4,LEN(INDEX('Structured 2025'!headerRow,1,COLUMN()))),ovrHeaderRow25,0))</f>
        <v>15.4</v>
      </c>
      <c r="BA39" s="12">
        <f>INDEX(ovrTable25,MATCH(INDEX('Structured 2025'!teamCol,ROW()),ovrTeamCol25,0),MATCH(MID(INDEX('Structured 2025'!headerRow,1,COLUMN()),4,LEN(INDEX('Structured 2025'!headerRow,1,COLUMN()))),ovrHeaderRow25,0))</f>
        <v>74.3</v>
      </c>
      <c r="BB39" s="12">
        <f>INDEX(ovrTable25,MATCH(INDEX('Structured 2025'!teamCol,ROW()),ovrTeamCol25,0),MATCH(MID(INDEX('Structured 2025'!headerRow,1,COLUMN()),4,LEN(INDEX('Structured 2025'!headerRow,1,COLUMN()))),ovrHeaderRow25,0))</f>
        <v>11.48</v>
      </c>
      <c r="BC39" s="12">
        <f>INDEX(ovrTable25,MATCH(INDEX('Structured 2025'!teamCol,ROW()),ovrTeamCol25,0),MATCH(MID(INDEX('Structured 2025'!headerRow,1,COLUMN()),4,LEN(INDEX('Structured 2025'!headerRow,1,COLUMN()))),ovrHeaderRow25,0))</f>
        <v>78.900000000000006</v>
      </c>
      <c r="BD39" s="12">
        <f>INDEX(ovrTable25,MATCH(INDEX('Structured 2025'!teamCol,ROW()),ovrTeamCol25,0),MATCH(MID(INDEX('Structured 2025'!headerRow,1,COLUMN()),4,LEN(INDEX('Structured 2025'!headerRow,1,COLUMN()))),ovrHeaderRow25,0))</f>
        <v>0</v>
      </c>
      <c r="BE39" s="12">
        <f>INDEX(ovrTable25,MATCH(INDEX('Structured 2025'!teamCol,ROW()),ovrTeamCol25,0),MATCH(MID(INDEX('Structured 2025'!headerRow,1,COLUMN()),4,LEN(INDEX('Structured 2025'!headerRow,1,COLUMN()))),ovrHeaderRow25,0))</f>
        <v>34.700000000000003</v>
      </c>
      <c r="BF39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BG39" s="12">
        <f>INDEX(ovrTable25,MATCH(INDEX('Structured 2025'!teamCol,ROW()),ovrTeamCol25,0),MATCH(MID(INDEX('Structured 2025'!headerRow,1,COLUMN()),4,LEN(INDEX('Structured 2025'!headerRow,1,COLUMN()))),ovrHeaderRow25,0))</f>
        <v>8.9</v>
      </c>
      <c r="BH39" s="12">
        <f>INDEX(ovrTable25,MATCH(INDEX('Structured 2025'!teamCol,ROW()),ovrTeamCol25,0),MATCH(MID(INDEX('Structured 2025'!headerRow,1,COLUMN()),4,LEN(INDEX('Structured 2025'!headerRow,1,COLUMN()))),ovrHeaderRow25,0))</f>
        <v>3.7</v>
      </c>
      <c r="BI39" s="12">
        <f>INDEX(ovrTable25,MATCH(INDEX('Structured 2025'!teamCol,ROW()),ovrTeamCol25,0),MATCH(MID(INDEX('Structured 2025'!headerRow,1,COLUMN()),4,LEN(INDEX('Structured 2025'!headerRow,1,COLUMN()))),ovrHeaderRow25,0))</f>
        <v>13.91</v>
      </c>
      <c r="BJ39" s="12">
        <f>INDEX(ovrTable25,MATCH(INDEX('Structured 2025'!teamCol,ROW()),ovrTeamCol25,0),MATCH(MID(INDEX('Structured 2025'!headerRow,1,COLUMN()),4,LEN(INDEX('Structured 2025'!headerRow,1,COLUMN()))),ovrHeaderRow25,0))</f>
        <v>10.199999999999999</v>
      </c>
      <c r="BK39" s="12">
        <f>INDEX(ovrTable25,MATCH(INDEX('Structured 2025'!teamCol,ROW()),ovrTeamCol25,0),MATCH(MID(INDEX('Structured 2025'!headerRow,1,COLUMN()),4,LEN(INDEX('Structured 2025'!headerRow,1,COLUMN()))),ovrHeaderRow25,0))</f>
        <v>69.5</v>
      </c>
      <c r="BL39" s="12">
        <f>INDEX(ovrTable25,MATCH(INDEX('Structured 2025'!teamCol,ROW()),ovrTeamCol25,0),MATCH(MID(INDEX('Structured 2025'!headerRow,1,COLUMN()),4,LEN(INDEX('Structured 2025'!headerRow,1,COLUMN()))),ovrHeaderRow25,0))</f>
        <v>19.600000000000005</v>
      </c>
      <c r="BM39" s="12">
        <f>INDEX(ovrTable25,MATCH(INDEX('Structured 2025'!teamCol,ROW()),ovrTeamCol25,0),MATCH(MID(INDEX('Structured 2025'!headerRow,1,COLUMN()),4,LEN(INDEX('Structured 2025'!headerRow,1,COLUMN()))),ovrHeaderRow25,0))</f>
        <v>61.555555555555564</v>
      </c>
      <c r="BN39" s="12">
        <f>INDEX(ovrTable25,MATCH(INDEX(oppCol,ROW()),ovrTeamCol25,0),MATCH(MID(INDEX('Structured 2025'!headerRow,1,COLUMN()),4,LEN(INDEX('Structured 2025'!headerRow,1,COLUMN()))),ovrHeaderRow25,0))</f>
        <v>31.1</v>
      </c>
      <c r="BO39" s="12">
        <f>INDEX(ovrTable25,MATCH(INDEX(oppCol,ROW()),ovrTeamCol25,0),MATCH(MID(INDEX('Structured 2025'!headerRow,1,COLUMN()),4,LEN(INDEX('Structured 2025'!headerRow,1,COLUMN()))),ovrHeaderRow25,0))</f>
        <v>6.4</v>
      </c>
      <c r="BP39" s="12">
        <f>INDEX(ovrTable25,MATCH(INDEX(oppCol,ROW()),ovrTeamCol25,0),MATCH(MID(INDEX('Structured 2025'!headerRow,1,COLUMN()),4,LEN(INDEX('Structured 2025'!headerRow,1,COLUMN()))),ovrHeaderRow25,0))</f>
        <v>31.9</v>
      </c>
      <c r="BQ39" s="12">
        <f>INDEX(ovrTable25,MATCH(INDEX(oppCol,ROW()),ovrTeamCol25,0),MATCH(MID(INDEX('Structured 2025'!headerRow,1,COLUMN()),4,LEN(INDEX('Structured 2025'!headerRow,1,COLUMN()))),ovrHeaderRow25,0))</f>
        <v>19.899999999999999</v>
      </c>
      <c r="BR39" s="12">
        <f>INDEX(ovrTable25,MATCH(INDEX(oppCol,ROW()),ovrTeamCol25,0),MATCH(MID(INDEX('Structured 2025'!headerRow,1,COLUMN()),4,LEN(INDEX('Structured 2025'!headerRow,1,COLUMN()))),ovrHeaderRow25,0))</f>
        <v>1.57</v>
      </c>
      <c r="BS39" s="12">
        <f>INDEX(ovrTable25,MATCH(INDEX(oppCol,ROW()),ovrTeamCol25,0),MATCH(MID(INDEX('Structured 2025'!headerRow,1,COLUMN()),4,LEN(INDEX('Structured 2025'!headerRow,1,COLUMN()))),ovrHeaderRow25,0))</f>
        <v>15.1</v>
      </c>
      <c r="BT39" s="12">
        <f>INDEX(ovrTable25,MATCH(INDEX(oppCol,ROW()),ovrTeamCol25,0),MATCH(MID(INDEX('Structured 2025'!headerRow,1,COLUMN()),4,LEN(INDEX('Structured 2025'!headerRow,1,COLUMN()))),ovrHeaderRow25,0))</f>
        <v>17.71</v>
      </c>
      <c r="BU39" s="12">
        <f>INDEX(ovrTable25,MATCH(INDEX(oppCol,ROW()),ovrTeamCol25,0),MATCH(MID(INDEX('Structured 2025'!headerRow,1,COLUMN()),4,LEN(INDEX('Structured 2025'!headerRow,1,COLUMN()))),ovrHeaderRow25,0))</f>
        <v>4</v>
      </c>
      <c r="BV39" s="12">
        <f>INDEX(ovrTable25,MATCH(INDEX(oppCol,ROW()),ovrTeamCol25,0),MATCH(MID(INDEX('Structured 2025'!headerRow,1,COLUMN()),4,LEN(INDEX('Structured 2025'!headerRow,1,COLUMN()))),ovrHeaderRow25,0))</f>
        <v>41.1</v>
      </c>
      <c r="BW39" s="12">
        <f>INDEX(ovrTable25,MATCH(INDEX(oppCol,ROW()),ovrTeamCol25,0),MATCH(MID(INDEX('Structured 2025'!headerRow,1,COLUMN()),4,LEN(INDEX('Structured 2025'!headerRow,1,COLUMN()))),ovrHeaderRow25,0))</f>
        <v>25.74</v>
      </c>
      <c r="BX39" s="12">
        <f>INDEX(ovrTable25,MATCH(INDEX(oppCol,ROW()),ovrTeamCol25,0),MATCH(MID(INDEX('Structured 2025'!headerRow,1,COLUMN()),4,LEN(INDEX('Structured 2025'!headerRow,1,COLUMN()))),ovrHeaderRow25,0))</f>
        <v>0.504</v>
      </c>
      <c r="BY39" s="12">
        <f>INDEX(ovrTable25,MATCH(INDEX(oppCol,ROW()),ovrTeamCol25,0),MATCH(MID(INDEX('Structured 2025'!headerRow,1,COLUMN()),4,LEN(INDEX('Structured 2025'!headerRow,1,COLUMN()))),ovrHeaderRow25,0))</f>
        <v>6.09</v>
      </c>
      <c r="BZ39" s="12">
        <f>INDEX(ovrTable25,MATCH(INDEX(oppCol,ROW()),ovrTeamCol25,0),MATCH(MID(INDEX('Structured 2025'!headerRow,1,COLUMN()),4,LEN(INDEX('Structured 2025'!headerRow,1,COLUMN()))),ovrHeaderRow25,0))</f>
        <v>45</v>
      </c>
      <c r="CA39" s="12">
        <f>INDEX(ovrTable25,MATCH(INDEX(oppCol,ROW()),ovrTeamCol25,0),MATCH(MID(INDEX('Structured 2025'!headerRow,1,COLUMN()),4,LEN(INDEX('Structured 2025'!headerRow,1,COLUMN()))),ovrHeaderRow25,0))</f>
        <v>14.9</v>
      </c>
      <c r="CB39" s="12">
        <f>INDEX(ovrTable25,MATCH(INDEX(oppCol,ROW()),ovrTeamCol25,0),MATCH(MID(INDEX('Structured 2025'!headerRow,1,COLUMN()),4,LEN(INDEX('Structured 2025'!headerRow,1,COLUMN()))),ovrHeaderRow25,0))</f>
        <v>69.5</v>
      </c>
      <c r="CC39" s="12">
        <f>INDEX(ovrTable25,MATCH(INDEX(oppCol,ROW()),ovrTeamCol25,0),MATCH(MID(INDEX('Structured 2025'!headerRow,1,COLUMN()),4,LEN(INDEX('Structured 2025'!headerRow,1,COLUMN()))),ovrHeaderRow25,0))</f>
        <v>18.399999999999999</v>
      </c>
      <c r="CD39" s="12">
        <f>INDEX(ovrTable25,MATCH(INDEX(oppCol,ROW()),ovrTeamCol25,0),MATCH(MID(INDEX('Structured 2025'!headerRow,1,COLUMN()),4,LEN(INDEX('Structured 2025'!headerRow,1,COLUMN()))),ovrHeaderRow25,0))</f>
        <v>12.8</v>
      </c>
      <c r="CE39" s="12">
        <f>INDEX(ovrTable25,MATCH(INDEX(oppCol,ROW()),ovrTeamCol25,0),MATCH(MID(INDEX('Structured 2025'!headerRow,1,COLUMN()),4,LEN(INDEX('Structured 2025'!headerRow,1,COLUMN()))),ovrHeaderRow25,0))</f>
        <v>61.1</v>
      </c>
      <c r="CF39" s="12">
        <f>INDEX(ovrTable25,MATCH(INDEX(oppCol,ROW()),ovrTeamCol25,0),MATCH(MID(INDEX('Structured 2025'!headerRow,1,COLUMN()),4,LEN(INDEX('Structured 2025'!headerRow,1,COLUMN()))),ovrHeaderRow25,0))</f>
        <v>13.97</v>
      </c>
      <c r="CG39" s="12">
        <f>INDEX(ovrTable25,MATCH(INDEX(oppCol,ROW()),ovrTeamCol25,0),MATCH(MID(INDEX('Structured 2025'!headerRow,1,COLUMN()),4,LEN(INDEX('Structured 2025'!headerRow,1,COLUMN()))),ovrHeaderRow25,0))</f>
        <v>72.900000000000006</v>
      </c>
      <c r="CH39" s="12">
        <f>INDEX(ovrTable25,MATCH(INDEX(oppCol,ROW()),ovrTeamCol25,0),MATCH(MID(INDEX('Structured 2025'!headerRow,1,COLUMN()),4,LEN(INDEX('Structured 2025'!headerRow,1,COLUMN()))),ovrHeaderRow25,0))</f>
        <v>10.3</v>
      </c>
      <c r="CI39" s="12">
        <f>INDEX(ovrTable25,MATCH(INDEX(oppCol,ROW()),ovrTeamCol25,0),MATCH(MID(INDEX('Structured 2025'!headerRow,1,COLUMN()),4,LEN(INDEX('Structured 2025'!headerRow,1,COLUMN()))),ovrHeaderRow25,0))</f>
        <v>39.71</v>
      </c>
      <c r="CJ39" s="12">
        <f>INDEX(ovrTable25,MATCH(INDEX(oppCol,ROW()),ovrTeamCol25,0),MATCH(MID(INDEX('Structured 2025'!headerRow,1,COLUMN()),4,LEN(INDEX('Structured 2025'!headerRow,1,COLUMN()))),ovrHeaderRow25,0))</f>
        <v>11.8</v>
      </c>
      <c r="CK39" s="12">
        <f>INDEX(ovrTable25,MATCH(INDEX(oppCol,ROW()),ovrTeamCol25,0),MATCH(MID(INDEX('Structured 2025'!headerRow,1,COLUMN()),4,LEN(INDEX('Structured 2025'!headerRow,1,COLUMN()))),ovrHeaderRow25,0))</f>
        <v>6.1</v>
      </c>
      <c r="CL39" s="12">
        <f>INDEX(ovrTable25,MATCH(INDEX(oppCol,ROW()),ovrTeamCol25,0),MATCH(MID(INDEX('Structured 2025'!headerRow,1,COLUMN()),4,LEN(INDEX('Structured 2025'!headerRow,1,COLUMN()))),ovrHeaderRow25,0))</f>
        <v>0.9</v>
      </c>
      <c r="CM39" s="12">
        <f>INDEX(ovrTable25,MATCH(INDEX(oppCol,ROW()),ovrTeamCol25,0),MATCH(MID(INDEX('Structured 2025'!headerRow,1,COLUMN()),4,LEN(INDEX('Structured 2025'!headerRow,1,COLUMN()))),ovrHeaderRow25,0))</f>
        <v>10.57</v>
      </c>
      <c r="CN39" s="12">
        <f>INDEX(ovrTable25,MATCH(INDEX(oppCol,ROW()),ovrTeamCol25,0),MATCH(MID(INDEX('Structured 2025'!headerRow,1,COLUMN()),4,LEN(INDEX('Structured 2025'!headerRow,1,COLUMN()))),ovrHeaderRow25,0))</f>
        <v>9.6999999999999993</v>
      </c>
      <c r="CO39" s="12">
        <f>INDEX(ovrTable25,MATCH(INDEX(oppCol,ROW()),ovrTeamCol25,0),MATCH(MID(INDEX('Structured 2025'!headerRow,1,COLUMN()),4,LEN(INDEX('Structured 2025'!headerRow,1,COLUMN()))),ovrHeaderRow25,0))</f>
        <v>61.7</v>
      </c>
      <c r="CP39" s="12">
        <f>INDEX(ovrTable25,MATCH(INDEX(oppCol,ROW()),ovrTeamCol25,0),MATCH(MID(INDEX('Structured 2025'!headerRow,1,COLUMN()),4,LEN(INDEX('Structured 2025'!headerRow,1,COLUMN()))),ovrHeaderRow25,0))</f>
        <v>20.450000000000003</v>
      </c>
      <c r="CQ39" s="12">
        <f>INDEX(ovrTable25,MATCH(INDEX(oppCol,ROW()),ovrTeamCol25,0),MATCH(MID(INDEX('Structured 2025'!headerRow,1,COLUMN()),4,LEN(INDEX('Structured 2025'!headerRow,1,COLUMN()))),ovrHeaderRow25,0))</f>
        <v>59.666666666666664</v>
      </c>
    </row>
    <row r="40" spans="1:95" x14ac:dyDescent="0.3">
      <c r="A40" s="6" t="s">
        <v>21</v>
      </c>
      <c r="B40" s="3">
        <v>2</v>
      </c>
      <c r="C40" s="13" t="str">
        <f>A41</f>
        <v>RMU</v>
      </c>
      <c r="D40" s="14">
        <f t="shared" si="26"/>
        <v>20</v>
      </c>
      <c r="E40" s="23">
        <v>0.25925925925925924</v>
      </c>
      <c r="F40" s="24">
        <v>58.620689655172406</v>
      </c>
      <c r="G40" s="24">
        <v>6</v>
      </c>
      <c r="H40" s="23">
        <v>28.571428571428569</v>
      </c>
      <c r="I40" s="24">
        <v>21</v>
      </c>
      <c r="J40" s="25">
        <v>2.0833333333333335</v>
      </c>
      <c r="K40" s="24">
        <v>16</v>
      </c>
      <c r="L40" s="24">
        <v>24</v>
      </c>
      <c r="M40" s="24">
        <v>5</v>
      </c>
      <c r="N40" s="24">
        <v>32</v>
      </c>
      <c r="O40" s="24">
        <v>25</v>
      </c>
      <c r="P40" s="24">
        <v>7</v>
      </c>
      <c r="Q40" s="24">
        <v>5</v>
      </c>
      <c r="R40" s="24">
        <v>12</v>
      </c>
      <c r="S40" s="24">
        <v>16</v>
      </c>
      <c r="T40" s="24">
        <v>16</v>
      </c>
      <c r="U40" s="24">
        <v>41</v>
      </c>
      <c r="V40" s="24">
        <v>0.42307692307692307</v>
      </c>
      <c r="W40" s="26">
        <v>0.63793103448275856</v>
      </c>
      <c r="X40" s="23">
        <v>66.666666666666657</v>
      </c>
      <c r="Y40" s="24">
        <v>81</v>
      </c>
      <c r="Z40" s="24">
        <v>90</v>
      </c>
      <c r="AA40" s="24">
        <v>-2</v>
      </c>
      <c r="AB40" s="24">
        <v>37</v>
      </c>
      <c r="AC40" s="24">
        <v>9</v>
      </c>
      <c r="AD40" s="24">
        <v>-3</v>
      </c>
      <c r="AE40" s="24">
        <v>9</v>
      </c>
      <c r="AF40" s="34">
        <f t="shared" si="34"/>
        <v>28</v>
      </c>
      <c r="AG40" s="34">
        <f t="shared" si="35"/>
        <v>37.000000000000007</v>
      </c>
      <c r="AH40" s="46">
        <f t="shared" si="36"/>
        <v>76.400000000000006</v>
      </c>
      <c r="AI40" s="51">
        <f t="shared" ref="AI40" si="43">AVERAGE(AH40,AH41)</f>
        <v>76.787499999999994</v>
      </c>
      <c r="AJ40" s="12">
        <f>INDEX(ovrTable25,MATCH(INDEX('Structured 2025'!teamCol,ROW()),ovrTeamCol25,0),MATCH(MID(INDEX('Structured 2025'!headerRow,1,COLUMN()),4,LEN(INDEX('Structured 2025'!headerRow,1,COLUMN()))),ovrHeaderRow25,0))</f>
        <v>30.4</v>
      </c>
      <c r="AK40" s="12">
        <f>INDEX(ovrTable25,MATCH(INDEX('Structured 2025'!teamCol,ROW()),ovrTeamCol25,0),MATCH(MID(INDEX('Structured 2025'!headerRow,1,COLUMN()),4,LEN(INDEX('Structured 2025'!headerRow,1,COLUMN()))),ovrHeaderRow25,0))</f>
        <v>10.5</v>
      </c>
      <c r="AL40" s="12">
        <f>INDEX(ovrTable25,MATCH(INDEX('Structured 2025'!teamCol,ROW()),ovrTeamCol25,0),MATCH(MID(INDEX('Structured 2025'!headerRow,1,COLUMN()),4,LEN(INDEX('Structured 2025'!headerRow,1,COLUMN()))),ovrHeaderRow25,0))</f>
        <v>35.299999999999997</v>
      </c>
      <c r="AM40" s="12">
        <f>INDEX(ovrTable25,MATCH(INDEX('Structured 2025'!teamCol,ROW()),ovrTeamCol25,0),MATCH(MID(INDEX('Structured 2025'!headerRow,1,COLUMN()),4,LEN(INDEX('Structured 2025'!headerRow,1,COLUMN()))),ovrHeaderRow25,0))</f>
        <v>29.8</v>
      </c>
      <c r="AN40" s="12">
        <f>INDEX(ovrTable25,MATCH(INDEX('Structured 2025'!teamCol,ROW()),ovrTeamCol25,0),MATCH(MID(INDEX('Structured 2025'!headerRow,1,COLUMN()),4,LEN(INDEX('Structured 2025'!headerRow,1,COLUMN()))),ovrHeaderRow25,0))</f>
        <v>1.36</v>
      </c>
      <c r="AO40" s="12">
        <f>INDEX(ovrTable25,MATCH(INDEX('Structured 2025'!teamCol,ROW()),ovrTeamCol25,0),MATCH(MID(INDEX('Structured 2025'!headerRow,1,COLUMN()),4,LEN(INDEX('Structured 2025'!headerRow,1,COLUMN()))),ovrHeaderRow25,0))</f>
        <v>17.2</v>
      </c>
      <c r="AP40" s="12">
        <f>INDEX(ovrTable25,MATCH(INDEX('Structured 2025'!teamCol,ROW()),ovrTeamCol25,0),MATCH(MID(INDEX('Structured 2025'!headerRow,1,COLUMN()),4,LEN(INDEX('Structured 2025'!headerRow,1,COLUMN()))),ovrHeaderRow25,0))</f>
        <v>33.840000000000003</v>
      </c>
      <c r="AQ40" s="12">
        <f>INDEX(ovrTable25,MATCH(INDEX('Structured 2025'!teamCol,ROW()),ovrTeamCol25,0),MATCH(MID(INDEX('Structured 2025'!headerRow,1,COLUMN()),4,LEN(INDEX('Structured 2025'!headerRow,1,COLUMN()))),ovrHeaderRow25,0))</f>
        <v>4.5</v>
      </c>
      <c r="AR40" s="12">
        <f>INDEX(ovrTable25,MATCH(INDEX('Structured 2025'!teamCol,ROW()),ovrTeamCol25,0),MATCH(MID(INDEX('Structured 2025'!headerRow,1,COLUMN()),4,LEN(INDEX('Structured 2025'!headerRow,1,COLUMN()))),ovrHeaderRow25,0))</f>
        <v>42.6</v>
      </c>
      <c r="AS40" s="12">
        <f>INDEX(ovrTable25,MATCH(INDEX('Structured 2025'!teamCol,ROW()),ovrTeamCol25,0),MATCH(MID(INDEX('Structured 2025'!headerRow,1,COLUMN()),4,LEN(INDEX('Structured 2025'!headerRow,1,COLUMN()))),ovrHeaderRow25,0))</f>
        <v>29.95</v>
      </c>
      <c r="AT40" s="12">
        <f>INDEX(ovrTable25,MATCH(INDEX('Structured 2025'!teamCol,ROW()),ovrTeamCol25,0),MATCH(MID(INDEX('Structured 2025'!headerRow,1,COLUMN()),4,LEN(INDEX('Structured 2025'!headerRow,1,COLUMN()))),ovrHeaderRow25,0))</f>
        <v>0.56599999999999995</v>
      </c>
      <c r="AU40" s="12">
        <f>INDEX(ovrTable25,MATCH(INDEX('Structured 2025'!teamCol,ROW()),ovrTeamCol25,0),MATCH(MID(INDEX('Structured 2025'!headerRow,1,COLUMN()),4,LEN(INDEX('Structured 2025'!headerRow,1,COLUMN()))),ovrHeaderRow25,0))</f>
        <v>13.51</v>
      </c>
      <c r="AV40" s="12">
        <f>INDEX(ovrTable25,MATCH(INDEX('Structured 2025'!teamCol,ROW()),ovrTeamCol25,0),MATCH(MID(INDEX('Structured 2025'!headerRow,1,COLUMN()),4,LEN(INDEX('Structured 2025'!headerRow,1,COLUMN()))),ovrHeaderRow25,0))</f>
        <v>48.4</v>
      </c>
      <c r="AW40" s="12">
        <f>INDEX(ovrTable25,MATCH(INDEX('Structured 2025'!teamCol,ROW()),ovrTeamCol25,0),MATCH(MID(INDEX('Structured 2025'!headerRow,1,COLUMN()),4,LEN(INDEX('Structured 2025'!headerRow,1,COLUMN()))),ovrHeaderRow25,0))</f>
        <v>18.899999999999999</v>
      </c>
      <c r="AX40" s="12">
        <f>INDEX(ovrTable25,MATCH(INDEX('Structured 2025'!teamCol,ROW()),ovrTeamCol25,0),MATCH(MID(INDEX('Structured 2025'!headerRow,1,COLUMN()),4,LEN(INDEX('Structured 2025'!headerRow,1,COLUMN()))),ovrHeaderRow25,0))</f>
        <v>72</v>
      </c>
      <c r="AY40" s="12">
        <f>INDEX(ovrTable25,MATCH(INDEX('Structured 2025'!teamCol,ROW()),ovrTeamCol25,0),MATCH(MID(INDEX('Structured 2025'!headerRow,1,COLUMN()),4,LEN(INDEX('Structured 2025'!headerRow,1,COLUMN()))),ovrHeaderRow25,0))</f>
        <v>25.2</v>
      </c>
      <c r="AZ40" s="12">
        <f>INDEX(ovrTable25,MATCH(INDEX('Structured 2025'!teamCol,ROW()),ovrTeamCol25,0),MATCH(MID(INDEX('Structured 2025'!headerRow,1,COLUMN()),4,LEN(INDEX('Structured 2025'!headerRow,1,COLUMN()))),ovrHeaderRow25,0))</f>
        <v>18.100000000000001</v>
      </c>
      <c r="BA40" s="12">
        <f>INDEX(ovrTable25,MATCH(INDEX('Structured 2025'!teamCol,ROW()),ovrTeamCol25,0),MATCH(MID(INDEX('Structured 2025'!headerRow,1,COLUMN()),4,LEN(INDEX('Structured 2025'!headerRow,1,COLUMN()))),ovrHeaderRow25,0))</f>
        <v>81.3</v>
      </c>
      <c r="BB40" s="12">
        <f>INDEX(ovrTable25,MATCH(INDEX('Structured 2025'!teamCol,ROW()),ovrTeamCol25,0),MATCH(MID(INDEX('Structured 2025'!headerRow,1,COLUMN()),4,LEN(INDEX('Structured 2025'!headerRow,1,COLUMN()))),ovrHeaderRow25,0))</f>
        <v>12.41</v>
      </c>
      <c r="BC40" s="12">
        <f>INDEX(ovrTable25,MATCH(INDEX('Structured 2025'!teamCol,ROW()),ovrTeamCol25,0),MATCH(MID(INDEX('Structured 2025'!headerRow,1,COLUMN()),4,LEN(INDEX('Structured 2025'!headerRow,1,COLUMN()))),ovrHeaderRow25,0))</f>
        <v>90.7</v>
      </c>
      <c r="BD40" s="12">
        <f>INDEX(ovrTable25,MATCH(INDEX('Structured 2025'!teamCol,ROW()),ovrTeamCol25,0),MATCH(MID(INDEX('Structured 2025'!headerRow,1,COLUMN()),4,LEN(INDEX('Structured 2025'!headerRow,1,COLUMN()))),ovrHeaderRow25,0))</f>
        <v>5.5</v>
      </c>
      <c r="BE40" s="12">
        <f>INDEX(ovrTable25,MATCH(INDEX('Structured 2025'!teamCol,ROW()),ovrTeamCol25,0),MATCH(MID(INDEX('Structured 2025'!headerRow,1,COLUMN()),4,LEN(INDEX('Structured 2025'!headerRow,1,COLUMN()))),ovrHeaderRow25,0))</f>
        <v>42.35</v>
      </c>
      <c r="BF40" s="12">
        <f>INDEX(ovrTable25,MATCH(INDEX('Structured 2025'!teamCol,ROW()),ovrTeamCol25,0),MATCH(MID(INDEX('Structured 2025'!headerRow,1,COLUMN()),4,LEN(INDEX('Structured 2025'!headerRow,1,COLUMN()))),ovrHeaderRow25,0))</f>
        <v>9.4</v>
      </c>
      <c r="BG40" s="12">
        <f>INDEX(ovrTable25,MATCH(INDEX('Structured 2025'!teamCol,ROW()),ovrTeamCol25,0),MATCH(MID(INDEX('Structured 2025'!headerRow,1,COLUMN()),4,LEN(INDEX('Structured 2025'!headerRow,1,COLUMN()))),ovrHeaderRow25,0))</f>
        <v>6.2</v>
      </c>
      <c r="BH40" s="12">
        <f>INDEX(ovrTable25,MATCH(INDEX('Structured 2025'!teamCol,ROW()),ovrTeamCol25,0),MATCH(MID(INDEX('Structured 2025'!headerRow,1,COLUMN()),4,LEN(INDEX('Structured 2025'!headerRow,1,COLUMN()))),ovrHeaderRow25,0))</f>
        <v>-2.4</v>
      </c>
      <c r="BI40" s="12">
        <f>INDEX(ovrTable25,MATCH(INDEX('Structured 2025'!teamCol,ROW()),ovrTeamCol25,0),MATCH(MID(INDEX('Structured 2025'!headerRow,1,COLUMN()),4,LEN(INDEX('Structured 2025'!headerRow,1,COLUMN()))),ovrHeaderRow25,0))</f>
        <v>10.32</v>
      </c>
      <c r="BJ40" s="12">
        <f>INDEX(ovrTable25,MATCH(INDEX('Structured 2025'!teamCol,ROW()),ovrTeamCol25,0),MATCH(MID(INDEX('Structured 2025'!headerRow,1,COLUMN()),4,LEN(INDEX('Structured 2025'!headerRow,1,COLUMN()))),ovrHeaderRow25,0))</f>
        <v>12.7</v>
      </c>
      <c r="BK40" s="12">
        <f>INDEX(ovrTable25,MATCH(INDEX('Structured 2025'!teamCol,ROW()),ovrTeamCol25,0),MATCH(MID(INDEX('Structured 2025'!headerRow,1,COLUMN()),4,LEN(INDEX('Structured 2025'!headerRow,1,COLUMN()))),ovrHeaderRow25,0))</f>
        <v>75.3</v>
      </c>
      <c r="BL40" s="12">
        <f>INDEX(ovrTable25,MATCH(INDEX('Structured 2025'!teamCol,ROW()),ovrTeamCol25,0),MATCH(MID(INDEX('Structured 2025'!headerRow,1,COLUMN()),4,LEN(INDEX('Structured 2025'!headerRow,1,COLUMN()))),ovrHeaderRow25,0))</f>
        <v>20.549999999999997</v>
      </c>
      <c r="BM40" s="12">
        <f>INDEX(ovrTable25,MATCH(INDEX('Structured 2025'!teamCol,ROW()),ovrTeamCol25,0),MATCH(MID(INDEX('Structured 2025'!headerRow,1,COLUMN()),4,LEN(INDEX('Structured 2025'!headerRow,1,COLUMN()))),ovrHeaderRow25,0))</f>
        <v>64.152892561983464</v>
      </c>
      <c r="BN40" s="12">
        <f>INDEX(ovrTable25,MATCH(INDEX(oppCol,ROW()),ovrTeamCol25,0),MATCH(MID(INDEX('Structured 2025'!headerRow,1,COLUMN()),4,LEN(INDEX('Structured 2025'!headerRow,1,COLUMN()))),ovrHeaderRow25,0))</f>
        <v>33.4</v>
      </c>
      <c r="BO40" s="12">
        <f>INDEX(ovrTable25,MATCH(INDEX(oppCol,ROW()),ovrTeamCol25,0),MATCH(MID(INDEX('Structured 2025'!headerRow,1,COLUMN()),4,LEN(INDEX('Structured 2025'!headerRow,1,COLUMN()))),ovrHeaderRow25,0))</f>
        <v>7.5</v>
      </c>
      <c r="BP40" s="12">
        <f>INDEX(ovrTable25,MATCH(INDEX(oppCol,ROW()),ovrTeamCol25,0),MATCH(MID(INDEX('Structured 2025'!headerRow,1,COLUMN()),4,LEN(INDEX('Structured 2025'!headerRow,1,COLUMN()))),ovrHeaderRow25,0))</f>
        <v>34.700000000000003</v>
      </c>
      <c r="BQ40" s="12">
        <f>INDEX(ovrTable25,MATCH(INDEX(oppCol,ROW()),ovrTeamCol25,0),MATCH(MID(INDEX('Structured 2025'!headerRow,1,COLUMN()),4,LEN(INDEX('Structured 2025'!headerRow,1,COLUMN()))),ovrHeaderRow25,0))</f>
        <v>21.7</v>
      </c>
      <c r="BR40" s="12">
        <f>INDEX(ovrTable25,MATCH(INDEX(oppCol,ROW()),ovrTeamCol25,0),MATCH(MID(INDEX('Structured 2025'!headerRow,1,COLUMN()),4,LEN(INDEX('Structured 2025'!headerRow,1,COLUMN()))),ovrHeaderRow25,0))</f>
        <v>1.25</v>
      </c>
      <c r="BS40" s="12">
        <f>INDEX(ovrTable25,MATCH(INDEX(oppCol,ROW()),ovrTeamCol25,0),MATCH(MID(INDEX('Structured 2025'!headerRow,1,COLUMN()),4,LEN(INDEX('Structured 2025'!headerRow,1,COLUMN()))),ovrHeaderRow25,0))</f>
        <v>16.100000000000001</v>
      </c>
      <c r="BT40" s="12">
        <f>INDEX(ovrTable25,MATCH(INDEX(oppCol,ROW()),ovrTeamCol25,0),MATCH(MID(INDEX('Structured 2025'!headerRow,1,COLUMN()),4,LEN(INDEX('Structured 2025'!headerRow,1,COLUMN()))),ovrHeaderRow25,0))</f>
        <v>14.91</v>
      </c>
      <c r="BU40" s="12">
        <f>INDEX(ovrTable25,MATCH(INDEX(oppCol,ROW()),ovrTeamCol25,0),MATCH(MID(INDEX('Structured 2025'!headerRow,1,COLUMN()),4,LEN(INDEX('Structured 2025'!headerRow,1,COLUMN()))),ovrHeaderRow25,0))</f>
        <v>4.5</v>
      </c>
      <c r="BV40" s="12">
        <f>INDEX(ovrTable25,MATCH(INDEX(oppCol,ROW()),ovrTeamCol25,0),MATCH(MID(INDEX('Structured 2025'!headerRow,1,COLUMN()),4,LEN(INDEX('Structured 2025'!headerRow,1,COLUMN()))),ovrHeaderRow25,0))</f>
        <v>44.2</v>
      </c>
      <c r="BW40" s="12">
        <f>INDEX(ovrTable25,MATCH(INDEX(oppCol,ROW()),ovrTeamCol25,0),MATCH(MID(INDEX('Structured 2025'!headerRow,1,COLUMN()),4,LEN(INDEX('Structured 2025'!headerRow,1,COLUMN()))),ovrHeaderRow25,0))</f>
        <v>24.89</v>
      </c>
      <c r="BX40" s="12">
        <f>INDEX(ovrTable25,MATCH(INDEX(oppCol,ROW()),ovrTeamCol25,0),MATCH(MID(INDEX('Structured 2025'!headerRow,1,COLUMN()),4,LEN(INDEX('Structured 2025'!headerRow,1,COLUMN()))),ovrHeaderRow25,0))</f>
        <v>0.51300000000000001</v>
      </c>
      <c r="BY40" s="12">
        <f>INDEX(ovrTable25,MATCH(INDEX(oppCol,ROW()),ovrTeamCol25,0),MATCH(MID(INDEX('Structured 2025'!headerRow,1,COLUMN()),4,LEN(INDEX('Structured 2025'!headerRow,1,COLUMN()))),ovrHeaderRow25,0))</f>
        <v>10.97</v>
      </c>
      <c r="BZ40" s="12">
        <f>INDEX(ovrTable25,MATCH(INDEX(oppCol,ROW()),ovrTeamCol25,0),MATCH(MID(INDEX('Structured 2025'!headerRow,1,COLUMN()),4,LEN(INDEX('Structured 2025'!headerRow,1,COLUMN()))),ovrHeaderRow25,0))</f>
        <v>44.9</v>
      </c>
      <c r="CA40" s="12">
        <f>INDEX(ovrTable25,MATCH(INDEX(oppCol,ROW()),ovrTeamCol25,0),MATCH(MID(INDEX('Structured 2025'!headerRow,1,COLUMN()),4,LEN(INDEX('Structured 2025'!headerRow,1,COLUMN()))),ovrHeaderRow25,0))</f>
        <v>16.7</v>
      </c>
      <c r="CB40" s="12">
        <f>INDEX(ovrTable25,MATCH(INDEX(oppCol,ROW()),ovrTeamCol25,0),MATCH(MID(INDEX('Structured 2025'!headerRow,1,COLUMN()),4,LEN(INDEX('Structured 2025'!headerRow,1,COLUMN()))),ovrHeaderRow25,0))</f>
        <v>72.099999999999994</v>
      </c>
      <c r="CC40" s="12">
        <f>INDEX(ovrTable25,MATCH(INDEX(oppCol,ROW()),ovrTeamCol25,0),MATCH(MID(INDEX('Structured 2025'!headerRow,1,COLUMN()),4,LEN(INDEX('Structured 2025'!headerRow,1,COLUMN()))),ovrHeaderRow25,0))</f>
        <v>22.3</v>
      </c>
      <c r="CD40" s="12">
        <f>INDEX(ovrTable25,MATCH(INDEX(oppCol,ROW()),ovrTeamCol25,0),MATCH(MID(INDEX('Structured 2025'!headerRow,1,COLUMN()),4,LEN(INDEX('Structured 2025'!headerRow,1,COLUMN()))),ovrHeaderRow25,0))</f>
        <v>16.100000000000001</v>
      </c>
      <c r="CE40" s="12">
        <f>INDEX(ovrTable25,MATCH(INDEX(oppCol,ROW()),ovrTeamCol25,0),MATCH(MID(INDEX('Structured 2025'!headerRow,1,COLUMN()),4,LEN(INDEX('Structured 2025'!headerRow,1,COLUMN()))),ovrHeaderRow25,0))</f>
        <v>71</v>
      </c>
      <c r="CF40" s="12">
        <f>INDEX(ovrTable25,MATCH(INDEX(oppCol,ROW()),ovrTeamCol25,0),MATCH(MID(INDEX('Structured 2025'!headerRow,1,COLUMN()),4,LEN(INDEX('Structured 2025'!headerRow,1,COLUMN()))),ovrHeaderRow25,0))</f>
        <v>12.54</v>
      </c>
      <c r="CG40" s="12">
        <f>INDEX(ovrTable25,MATCH(INDEX(oppCol,ROW()),ovrTeamCol25,0),MATCH(MID(INDEX('Structured 2025'!headerRow,1,COLUMN()),4,LEN(INDEX('Structured 2025'!headerRow,1,COLUMN()))),ovrHeaderRow25,0))</f>
        <v>77</v>
      </c>
      <c r="CH40" s="12">
        <f>INDEX(ovrTable25,MATCH(INDEX(oppCol,ROW()),ovrTeamCol25,0),MATCH(MID(INDEX('Structured 2025'!headerRow,1,COLUMN()),4,LEN(INDEX('Structured 2025'!headerRow,1,COLUMN()))),ovrHeaderRow25,0))</f>
        <v>4.8</v>
      </c>
      <c r="CI40" s="12">
        <f>INDEX(ovrTable25,MATCH(INDEX(oppCol,ROW()),ovrTeamCol25,0),MATCH(MID(INDEX('Structured 2025'!headerRow,1,COLUMN()),4,LEN(INDEX('Structured 2025'!headerRow,1,COLUMN()))),ovrHeaderRow25,0))</f>
        <v>37.43</v>
      </c>
      <c r="CJ40" s="12">
        <f>INDEX(ovrTable25,MATCH(INDEX(oppCol,ROW()),ovrTeamCol25,0),MATCH(MID(INDEX('Structured 2025'!headerRow,1,COLUMN()),4,LEN(INDEX('Structured 2025'!headerRow,1,COLUMN()))),ovrHeaderRow25,0))</f>
        <v>6</v>
      </c>
      <c r="CK40" s="12">
        <f>INDEX(ovrTable25,MATCH(INDEX(oppCol,ROW()),ovrTeamCol25,0),MATCH(MID(INDEX('Structured 2025'!headerRow,1,COLUMN()),4,LEN(INDEX('Structured 2025'!headerRow,1,COLUMN()))),ovrHeaderRow25,0))</f>
        <v>6.4</v>
      </c>
      <c r="CL40" s="12">
        <f>INDEX(ovrTable25,MATCH(INDEX(oppCol,ROW()),ovrTeamCol25,0),MATCH(MID(INDEX('Structured 2025'!headerRow,1,COLUMN()),4,LEN(INDEX('Structured 2025'!headerRow,1,COLUMN()))),ovrHeaderRow25,0))</f>
        <v>0.2</v>
      </c>
      <c r="CM40" s="12">
        <f>INDEX(ovrTable25,MATCH(INDEX(oppCol,ROW()),ovrTeamCol25,0),MATCH(MID(INDEX('Structured 2025'!headerRow,1,COLUMN()),4,LEN(INDEX('Structured 2025'!headerRow,1,COLUMN()))),ovrHeaderRow25,0))</f>
        <v>13.06</v>
      </c>
      <c r="CN40" s="12">
        <f>INDEX(ovrTable25,MATCH(INDEX(oppCol,ROW()),ovrTeamCol25,0),MATCH(MID(INDEX('Structured 2025'!headerRow,1,COLUMN()),4,LEN(INDEX('Structured 2025'!headerRow,1,COLUMN()))),ovrHeaderRow25,0))</f>
        <v>12.9</v>
      </c>
      <c r="CO40" s="12">
        <f>INDEX(ovrTable25,MATCH(INDEX(oppCol,ROW()),ovrTeamCol25,0),MATCH(MID(INDEX('Structured 2025'!headerRow,1,COLUMN()),4,LEN(INDEX('Structured 2025'!headerRow,1,COLUMN()))),ovrHeaderRow25,0))</f>
        <v>68.099999999999994</v>
      </c>
      <c r="CP40" s="12">
        <f>INDEX(ovrTable25,MATCH(INDEX(oppCol,ROW()),ovrTeamCol25,0),MATCH(MID(INDEX('Structured 2025'!headerRow,1,COLUMN()),4,LEN(INDEX('Structured 2025'!headerRow,1,COLUMN()))),ovrHeaderRow25,0))</f>
        <v>19.2</v>
      </c>
      <c r="CQ40" s="12">
        <f>INDEX(ovrTable25,MATCH(INDEX(oppCol,ROW()),ovrTeamCol25,0),MATCH(MID(INDEX('Structured 2025'!headerRow,1,COLUMN()),4,LEN(INDEX('Structured 2025'!headerRow,1,COLUMN()))),ovrHeaderRow25,0))</f>
        <v>59.465478841870826</v>
      </c>
    </row>
    <row r="41" spans="1:95" x14ac:dyDescent="0.3">
      <c r="A41" s="6" t="s">
        <v>505</v>
      </c>
      <c r="B41" s="3">
        <v>15</v>
      </c>
      <c r="C41" s="13" t="str">
        <f>A40</f>
        <v>ALA</v>
      </c>
      <c r="D41" s="14">
        <f t="shared" si="26"/>
        <v>20</v>
      </c>
      <c r="E41" s="23">
        <v>0.2857142857142857</v>
      </c>
      <c r="F41" s="24">
        <v>42.307692307692307</v>
      </c>
      <c r="G41" s="24">
        <v>7</v>
      </c>
      <c r="H41" s="23">
        <v>25.925925925925924</v>
      </c>
      <c r="I41" s="24">
        <v>27</v>
      </c>
      <c r="J41" s="25">
        <v>1.8888888888888888</v>
      </c>
      <c r="K41" s="24">
        <v>8</v>
      </c>
      <c r="L41" s="24">
        <v>13</v>
      </c>
      <c r="M41" s="24">
        <v>16</v>
      </c>
      <c r="N41" s="24">
        <v>23</v>
      </c>
      <c r="O41" s="24">
        <v>17</v>
      </c>
      <c r="P41" s="24">
        <v>7</v>
      </c>
      <c r="Q41" s="24">
        <v>5</v>
      </c>
      <c r="R41" s="24">
        <v>9</v>
      </c>
      <c r="S41" s="24">
        <v>8</v>
      </c>
      <c r="T41" s="24">
        <v>24</v>
      </c>
      <c r="U41" s="24">
        <v>11</v>
      </c>
      <c r="V41" s="24">
        <v>0.58620689655172409</v>
      </c>
      <c r="W41" s="26">
        <v>0.46794871794871795</v>
      </c>
      <c r="X41" s="23">
        <v>61.53846153846154</v>
      </c>
      <c r="Y41" s="24">
        <v>90</v>
      </c>
      <c r="Z41" s="24">
        <v>81</v>
      </c>
      <c r="AA41" s="24">
        <v>2</v>
      </c>
      <c r="AB41" s="24">
        <v>39</v>
      </c>
      <c r="AC41" s="24">
        <v>-9</v>
      </c>
      <c r="AD41" s="24">
        <v>3</v>
      </c>
      <c r="AE41" s="24">
        <v>12</v>
      </c>
      <c r="AF41" s="34">
        <f t="shared" si="34"/>
        <v>26</v>
      </c>
      <c r="AG41" s="34">
        <f t="shared" si="35"/>
        <v>51</v>
      </c>
      <c r="AH41" s="46">
        <f t="shared" si="36"/>
        <v>77.174999999999997</v>
      </c>
      <c r="AI41" s="51">
        <f t="shared" ref="AI41" si="44">AVERAGE(AH40,AH41)</f>
        <v>76.787499999999994</v>
      </c>
      <c r="AJ41" s="12">
        <f>INDEX(ovrTable25,MATCH(INDEX('Structured 2025'!teamCol,ROW()),ovrTeamCol25,0),MATCH(MID(INDEX('Structured 2025'!headerRow,1,COLUMN()),4,LEN(INDEX('Structured 2025'!headerRow,1,COLUMN()))),ovrHeaderRow25,0))</f>
        <v>33.4</v>
      </c>
      <c r="AK41" s="12">
        <f>INDEX(ovrTable25,MATCH(INDEX('Structured 2025'!teamCol,ROW()),ovrTeamCol25,0),MATCH(MID(INDEX('Structured 2025'!headerRow,1,COLUMN()),4,LEN(INDEX('Structured 2025'!headerRow,1,COLUMN()))),ovrHeaderRow25,0))</f>
        <v>7.5</v>
      </c>
      <c r="AL41" s="12">
        <f>INDEX(ovrTable25,MATCH(INDEX('Structured 2025'!teamCol,ROW()),ovrTeamCol25,0),MATCH(MID(INDEX('Structured 2025'!headerRow,1,COLUMN()),4,LEN(INDEX('Structured 2025'!headerRow,1,COLUMN()))),ovrHeaderRow25,0))</f>
        <v>34.700000000000003</v>
      </c>
      <c r="AM41" s="12">
        <f>INDEX(ovrTable25,MATCH(INDEX('Structured 2025'!teamCol,ROW()),ovrTeamCol25,0),MATCH(MID(INDEX('Structured 2025'!headerRow,1,COLUMN()),4,LEN(INDEX('Structured 2025'!headerRow,1,COLUMN()))),ovrHeaderRow25,0))</f>
        <v>21.7</v>
      </c>
      <c r="AN41" s="12">
        <f>INDEX(ovrTable25,MATCH(INDEX('Structured 2025'!teamCol,ROW()),ovrTeamCol25,0),MATCH(MID(INDEX('Structured 2025'!headerRow,1,COLUMN()),4,LEN(INDEX('Structured 2025'!headerRow,1,COLUMN()))),ovrHeaderRow25,0))</f>
        <v>1.25</v>
      </c>
      <c r="AO41" s="12">
        <f>INDEX(ovrTable25,MATCH(INDEX('Structured 2025'!teamCol,ROW()),ovrTeamCol25,0),MATCH(MID(INDEX('Structured 2025'!headerRow,1,COLUMN()),4,LEN(INDEX('Structured 2025'!headerRow,1,COLUMN()))),ovrHeaderRow25,0))</f>
        <v>16.100000000000001</v>
      </c>
      <c r="AP41" s="12">
        <f>INDEX(ovrTable25,MATCH(INDEX('Structured 2025'!teamCol,ROW()),ovrTeamCol25,0),MATCH(MID(INDEX('Structured 2025'!headerRow,1,COLUMN()),4,LEN(INDEX('Structured 2025'!headerRow,1,COLUMN()))),ovrHeaderRow25,0))</f>
        <v>14.91</v>
      </c>
      <c r="AQ41" s="12">
        <f>INDEX(ovrTable25,MATCH(INDEX('Structured 2025'!teamCol,ROW()),ovrTeamCol25,0),MATCH(MID(INDEX('Structured 2025'!headerRow,1,COLUMN()),4,LEN(INDEX('Structured 2025'!headerRow,1,COLUMN()))),ovrHeaderRow25,0))</f>
        <v>4.5</v>
      </c>
      <c r="AR41" s="12">
        <f>INDEX(ovrTable25,MATCH(INDEX('Structured 2025'!teamCol,ROW()),ovrTeamCol25,0),MATCH(MID(INDEX('Structured 2025'!headerRow,1,COLUMN()),4,LEN(INDEX('Structured 2025'!headerRow,1,COLUMN()))),ovrHeaderRow25,0))</f>
        <v>44.2</v>
      </c>
      <c r="AS41" s="12">
        <f>INDEX(ovrTable25,MATCH(INDEX('Structured 2025'!teamCol,ROW()),ovrTeamCol25,0),MATCH(MID(INDEX('Structured 2025'!headerRow,1,COLUMN()),4,LEN(INDEX('Structured 2025'!headerRow,1,COLUMN()))),ovrHeaderRow25,0))</f>
        <v>24.89</v>
      </c>
      <c r="AT41" s="12">
        <f>INDEX(ovrTable25,MATCH(INDEX('Structured 2025'!teamCol,ROW()),ovrTeamCol25,0),MATCH(MID(INDEX('Structured 2025'!headerRow,1,COLUMN()),4,LEN(INDEX('Structured 2025'!headerRow,1,COLUMN()))),ovrHeaderRow25,0))</f>
        <v>0.51300000000000001</v>
      </c>
      <c r="AU41" s="12">
        <f>INDEX(ovrTable25,MATCH(INDEX('Structured 2025'!teamCol,ROW()),ovrTeamCol25,0),MATCH(MID(INDEX('Structured 2025'!headerRow,1,COLUMN()),4,LEN(INDEX('Structured 2025'!headerRow,1,COLUMN()))),ovrHeaderRow25,0))</f>
        <v>10.97</v>
      </c>
      <c r="AV41" s="12">
        <f>INDEX(ovrTable25,MATCH(INDEX('Structured 2025'!teamCol,ROW()),ovrTeamCol25,0),MATCH(MID(INDEX('Structured 2025'!headerRow,1,COLUMN()),4,LEN(INDEX('Structured 2025'!headerRow,1,COLUMN()))),ovrHeaderRow25,0))</f>
        <v>44.9</v>
      </c>
      <c r="AW41" s="12">
        <f>INDEX(ovrTable25,MATCH(INDEX('Structured 2025'!teamCol,ROW()),ovrTeamCol25,0),MATCH(MID(INDEX('Structured 2025'!headerRow,1,COLUMN()),4,LEN(INDEX('Structured 2025'!headerRow,1,COLUMN()))),ovrHeaderRow25,0))</f>
        <v>16.7</v>
      </c>
      <c r="AX41" s="12">
        <f>INDEX(ovrTable25,MATCH(INDEX('Structured 2025'!teamCol,ROW()),ovrTeamCol25,0),MATCH(MID(INDEX('Structured 2025'!headerRow,1,COLUMN()),4,LEN(INDEX('Structured 2025'!headerRow,1,COLUMN()))),ovrHeaderRow25,0))</f>
        <v>72.099999999999994</v>
      </c>
      <c r="AY41" s="12">
        <f>INDEX(ovrTable25,MATCH(INDEX('Structured 2025'!teamCol,ROW()),ovrTeamCol25,0),MATCH(MID(INDEX('Structured 2025'!headerRow,1,COLUMN()),4,LEN(INDEX('Structured 2025'!headerRow,1,COLUMN()))),ovrHeaderRow25,0))</f>
        <v>22.3</v>
      </c>
      <c r="AZ41" s="12">
        <f>INDEX(ovrTable25,MATCH(INDEX('Structured 2025'!teamCol,ROW()),ovrTeamCol25,0),MATCH(MID(INDEX('Structured 2025'!headerRow,1,COLUMN()),4,LEN(INDEX('Structured 2025'!headerRow,1,COLUMN()))),ovrHeaderRow25,0))</f>
        <v>16.100000000000001</v>
      </c>
      <c r="BA41" s="12">
        <f>INDEX(ovrTable25,MATCH(INDEX('Structured 2025'!teamCol,ROW()),ovrTeamCol25,0),MATCH(MID(INDEX('Structured 2025'!headerRow,1,COLUMN()),4,LEN(INDEX('Structured 2025'!headerRow,1,COLUMN()))),ovrHeaderRow25,0))</f>
        <v>71</v>
      </c>
      <c r="BB41" s="12">
        <f>INDEX(ovrTable25,MATCH(INDEX('Structured 2025'!teamCol,ROW()),ovrTeamCol25,0),MATCH(MID(INDEX('Structured 2025'!headerRow,1,COLUMN()),4,LEN(INDEX('Structured 2025'!headerRow,1,COLUMN()))),ovrHeaderRow25,0))</f>
        <v>12.54</v>
      </c>
      <c r="BC41" s="12">
        <f>INDEX(ovrTable25,MATCH(INDEX('Structured 2025'!teamCol,ROW()),ovrTeamCol25,0),MATCH(MID(INDEX('Structured 2025'!headerRow,1,COLUMN()),4,LEN(INDEX('Structured 2025'!headerRow,1,COLUMN()))),ovrHeaderRow25,0))</f>
        <v>77</v>
      </c>
      <c r="BD41" s="12">
        <f>INDEX(ovrTable25,MATCH(INDEX('Structured 2025'!teamCol,ROW()),ovrTeamCol25,0),MATCH(MID(INDEX('Structured 2025'!headerRow,1,COLUMN()),4,LEN(INDEX('Structured 2025'!headerRow,1,COLUMN()))),ovrHeaderRow25,0))</f>
        <v>4.8</v>
      </c>
      <c r="BE41" s="12">
        <f>INDEX(ovrTable25,MATCH(INDEX('Structured 2025'!teamCol,ROW()),ovrTeamCol25,0),MATCH(MID(INDEX('Structured 2025'!headerRow,1,COLUMN()),4,LEN(INDEX('Structured 2025'!headerRow,1,COLUMN()))),ovrHeaderRow25,0))</f>
        <v>37.43</v>
      </c>
      <c r="BF41" s="12">
        <f>INDEX(ovrTable25,MATCH(INDEX('Structured 2025'!teamCol,ROW()),ovrTeamCol25,0),MATCH(MID(INDEX('Structured 2025'!headerRow,1,COLUMN()),4,LEN(INDEX('Structured 2025'!headerRow,1,COLUMN()))),ovrHeaderRow25,0))</f>
        <v>6</v>
      </c>
      <c r="BG41" s="12">
        <f>INDEX(ovrTable25,MATCH(INDEX('Structured 2025'!teamCol,ROW()),ovrTeamCol25,0),MATCH(MID(INDEX('Structured 2025'!headerRow,1,COLUMN()),4,LEN(INDEX('Structured 2025'!headerRow,1,COLUMN()))),ovrHeaderRow25,0))</f>
        <v>6.4</v>
      </c>
      <c r="BH41" s="12">
        <f>INDEX(ovrTable25,MATCH(INDEX('Structured 2025'!teamCol,ROW()),ovrTeamCol25,0),MATCH(MID(INDEX('Structured 2025'!headerRow,1,COLUMN()),4,LEN(INDEX('Structured 2025'!headerRow,1,COLUMN()))),ovrHeaderRow25,0))</f>
        <v>0.2</v>
      </c>
      <c r="BI41" s="12">
        <f>INDEX(ovrTable25,MATCH(INDEX('Structured 2025'!teamCol,ROW()),ovrTeamCol25,0),MATCH(MID(INDEX('Structured 2025'!headerRow,1,COLUMN()),4,LEN(INDEX('Structured 2025'!headerRow,1,COLUMN()))),ovrHeaderRow25,0))</f>
        <v>13.06</v>
      </c>
      <c r="BJ41" s="12">
        <f>INDEX(ovrTable25,MATCH(INDEX('Structured 2025'!teamCol,ROW()),ovrTeamCol25,0),MATCH(MID(INDEX('Structured 2025'!headerRow,1,COLUMN()),4,LEN(INDEX('Structured 2025'!headerRow,1,COLUMN()))),ovrHeaderRow25,0))</f>
        <v>12.9</v>
      </c>
      <c r="BK41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41" s="12">
        <f>INDEX(ovrTable25,MATCH(INDEX('Structured 2025'!teamCol,ROW()),ovrTeamCol25,0),MATCH(MID(INDEX('Structured 2025'!headerRow,1,COLUMN()),4,LEN(INDEX('Structured 2025'!headerRow,1,COLUMN()))),ovrHeaderRow25,0))</f>
        <v>19.2</v>
      </c>
      <c r="BM41" s="12">
        <f>INDEX(ovrTable25,MATCH(INDEX('Structured 2025'!teamCol,ROW()),ovrTeamCol25,0),MATCH(MID(INDEX('Structured 2025'!headerRow,1,COLUMN()),4,LEN(INDEX('Structured 2025'!headerRow,1,COLUMN()))),ovrHeaderRow25,0))</f>
        <v>59.465478841870826</v>
      </c>
      <c r="BN41" s="12">
        <f>INDEX(ovrTable25,MATCH(INDEX(oppCol,ROW()),ovrTeamCol25,0),MATCH(MID(INDEX('Structured 2025'!headerRow,1,COLUMN()),4,LEN(INDEX('Structured 2025'!headerRow,1,COLUMN()))),ovrHeaderRow25,0))</f>
        <v>30.4</v>
      </c>
      <c r="BO41" s="12">
        <f>INDEX(ovrTable25,MATCH(INDEX(oppCol,ROW()),ovrTeamCol25,0),MATCH(MID(INDEX('Structured 2025'!headerRow,1,COLUMN()),4,LEN(INDEX('Structured 2025'!headerRow,1,COLUMN()))),ovrHeaderRow25,0))</f>
        <v>10.5</v>
      </c>
      <c r="BP41" s="12">
        <f>INDEX(ovrTable25,MATCH(INDEX(oppCol,ROW()),ovrTeamCol25,0),MATCH(MID(INDEX('Structured 2025'!headerRow,1,COLUMN()),4,LEN(INDEX('Structured 2025'!headerRow,1,COLUMN()))),ovrHeaderRow25,0))</f>
        <v>35.299999999999997</v>
      </c>
      <c r="BQ41" s="12">
        <f>INDEX(ovrTable25,MATCH(INDEX(oppCol,ROW()),ovrTeamCol25,0),MATCH(MID(INDEX('Structured 2025'!headerRow,1,COLUMN()),4,LEN(INDEX('Structured 2025'!headerRow,1,COLUMN()))),ovrHeaderRow25,0))</f>
        <v>29.8</v>
      </c>
      <c r="BR41" s="12">
        <f>INDEX(ovrTable25,MATCH(INDEX(oppCol,ROW()),ovrTeamCol25,0),MATCH(MID(INDEX('Structured 2025'!headerRow,1,COLUMN()),4,LEN(INDEX('Structured 2025'!headerRow,1,COLUMN()))),ovrHeaderRow25,0))</f>
        <v>1.36</v>
      </c>
      <c r="BS41" s="12">
        <f>INDEX(ovrTable25,MATCH(INDEX(oppCol,ROW()),ovrTeamCol25,0),MATCH(MID(INDEX('Structured 2025'!headerRow,1,COLUMN()),4,LEN(INDEX('Structured 2025'!headerRow,1,COLUMN()))),ovrHeaderRow25,0))</f>
        <v>17.2</v>
      </c>
      <c r="BT41" s="12">
        <f>INDEX(ovrTable25,MATCH(INDEX(oppCol,ROW()),ovrTeamCol25,0),MATCH(MID(INDEX('Structured 2025'!headerRow,1,COLUMN()),4,LEN(INDEX('Structured 2025'!headerRow,1,COLUMN()))),ovrHeaderRow25,0))</f>
        <v>33.840000000000003</v>
      </c>
      <c r="BU41" s="12">
        <f>INDEX(ovrTable25,MATCH(INDEX(oppCol,ROW()),ovrTeamCol25,0),MATCH(MID(INDEX('Structured 2025'!headerRow,1,COLUMN()),4,LEN(INDEX('Structured 2025'!headerRow,1,COLUMN()))),ovrHeaderRow25,0))</f>
        <v>4.5</v>
      </c>
      <c r="BV41" s="12">
        <f>INDEX(ovrTable25,MATCH(INDEX(oppCol,ROW()),ovrTeamCol25,0),MATCH(MID(INDEX('Structured 2025'!headerRow,1,COLUMN()),4,LEN(INDEX('Structured 2025'!headerRow,1,COLUMN()))),ovrHeaderRow25,0))</f>
        <v>42.6</v>
      </c>
      <c r="BW41" s="12">
        <f>INDEX(ovrTable25,MATCH(INDEX(oppCol,ROW()),ovrTeamCol25,0),MATCH(MID(INDEX('Structured 2025'!headerRow,1,COLUMN()),4,LEN(INDEX('Structured 2025'!headerRow,1,COLUMN()))),ovrHeaderRow25,0))</f>
        <v>29.95</v>
      </c>
      <c r="BX41" s="12">
        <f>INDEX(ovrTable25,MATCH(INDEX(oppCol,ROW()),ovrTeamCol25,0),MATCH(MID(INDEX('Structured 2025'!headerRow,1,COLUMN()),4,LEN(INDEX('Structured 2025'!headerRow,1,COLUMN()))),ovrHeaderRow25,0))</f>
        <v>0.56599999999999995</v>
      </c>
      <c r="BY41" s="12">
        <f>INDEX(ovrTable25,MATCH(INDEX(oppCol,ROW()),ovrTeamCol25,0),MATCH(MID(INDEX('Structured 2025'!headerRow,1,COLUMN()),4,LEN(INDEX('Structured 2025'!headerRow,1,COLUMN()))),ovrHeaderRow25,0))</f>
        <v>13.51</v>
      </c>
      <c r="BZ41" s="12">
        <f>INDEX(ovrTable25,MATCH(INDEX(oppCol,ROW()),ovrTeamCol25,0),MATCH(MID(INDEX('Structured 2025'!headerRow,1,COLUMN()),4,LEN(INDEX('Structured 2025'!headerRow,1,COLUMN()))),ovrHeaderRow25,0))</f>
        <v>48.4</v>
      </c>
      <c r="CA41" s="12">
        <f>INDEX(ovrTable25,MATCH(INDEX(oppCol,ROW()),ovrTeamCol25,0),MATCH(MID(INDEX('Structured 2025'!headerRow,1,COLUMN()),4,LEN(INDEX('Structured 2025'!headerRow,1,COLUMN()))),ovrHeaderRow25,0))</f>
        <v>18.899999999999999</v>
      </c>
      <c r="CB41" s="12">
        <f>INDEX(ovrTable25,MATCH(INDEX(oppCol,ROW()),ovrTeamCol25,0),MATCH(MID(INDEX('Structured 2025'!headerRow,1,COLUMN()),4,LEN(INDEX('Structured 2025'!headerRow,1,COLUMN()))),ovrHeaderRow25,0))</f>
        <v>72</v>
      </c>
      <c r="CC41" s="12">
        <f>INDEX(ovrTable25,MATCH(INDEX(oppCol,ROW()),ovrTeamCol25,0),MATCH(MID(INDEX('Structured 2025'!headerRow,1,COLUMN()),4,LEN(INDEX('Structured 2025'!headerRow,1,COLUMN()))),ovrHeaderRow25,0))</f>
        <v>25.2</v>
      </c>
      <c r="CD41" s="12">
        <f>INDEX(ovrTable25,MATCH(INDEX(oppCol,ROW()),ovrTeamCol25,0),MATCH(MID(INDEX('Structured 2025'!headerRow,1,COLUMN()),4,LEN(INDEX('Structured 2025'!headerRow,1,COLUMN()))),ovrHeaderRow25,0))</f>
        <v>18.100000000000001</v>
      </c>
      <c r="CE41" s="12">
        <f>INDEX(ovrTable25,MATCH(INDEX(oppCol,ROW()),ovrTeamCol25,0),MATCH(MID(INDEX('Structured 2025'!headerRow,1,COLUMN()),4,LEN(INDEX('Structured 2025'!headerRow,1,COLUMN()))),ovrHeaderRow25,0))</f>
        <v>81.3</v>
      </c>
      <c r="CF41" s="12">
        <f>INDEX(ovrTable25,MATCH(INDEX(oppCol,ROW()),ovrTeamCol25,0),MATCH(MID(INDEX('Structured 2025'!headerRow,1,COLUMN()),4,LEN(INDEX('Structured 2025'!headerRow,1,COLUMN()))),ovrHeaderRow25,0))</f>
        <v>12.41</v>
      </c>
      <c r="CG41" s="12">
        <f>INDEX(ovrTable25,MATCH(INDEX(oppCol,ROW()),ovrTeamCol25,0),MATCH(MID(INDEX('Structured 2025'!headerRow,1,COLUMN()),4,LEN(INDEX('Structured 2025'!headerRow,1,COLUMN()))),ovrHeaderRow25,0))</f>
        <v>90.7</v>
      </c>
      <c r="CH41" s="12">
        <f>INDEX(ovrTable25,MATCH(INDEX(oppCol,ROW()),ovrTeamCol25,0),MATCH(MID(INDEX('Structured 2025'!headerRow,1,COLUMN()),4,LEN(INDEX('Structured 2025'!headerRow,1,COLUMN()))),ovrHeaderRow25,0))</f>
        <v>5.5</v>
      </c>
      <c r="CI41" s="12">
        <f>INDEX(ovrTable25,MATCH(INDEX(oppCol,ROW()),ovrTeamCol25,0),MATCH(MID(INDEX('Structured 2025'!headerRow,1,COLUMN()),4,LEN(INDEX('Structured 2025'!headerRow,1,COLUMN()))),ovrHeaderRow25,0))</f>
        <v>42.35</v>
      </c>
      <c r="CJ41" s="12">
        <f>INDEX(ovrTable25,MATCH(INDEX(oppCol,ROW()),ovrTeamCol25,0),MATCH(MID(INDEX('Structured 2025'!headerRow,1,COLUMN()),4,LEN(INDEX('Structured 2025'!headerRow,1,COLUMN()))),ovrHeaderRow25,0))</f>
        <v>9.4</v>
      </c>
      <c r="CK41" s="12">
        <f>INDEX(ovrTable25,MATCH(INDEX(oppCol,ROW()),ovrTeamCol25,0),MATCH(MID(INDEX('Structured 2025'!headerRow,1,COLUMN()),4,LEN(INDEX('Structured 2025'!headerRow,1,COLUMN()))),ovrHeaderRow25,0))</f>
        <v>6.2</v>
      </c>
      <c r="CL41" s="12">
        <f>INDEX(ovrTable25,MATCH(INDEX(oppCol,ROW()),ovrTeamCol25,0),MATCH(MID(INDEX('Structured 2025'!headerRow,1,COLUMN()),4,LEN(INDEX('Structured 2025'!headerRow,1,COLUMN()))),ovrHeaderRow25,0))</f>
        <v>-2.4</v>
      </c>
      <c r="CM41" s="12">
        <f>INDEX(ovrTable25,MATCH(INDEX(oppCol,ROW()),ovrTeamCol25,0),MATCH(MID(INDEX('Structured 2025'!headerRow,1,COLUMN()),4,LEN(INDEX('Structured 2025'!headerRow,1,COLUMN()))),ovrHeaderRow25,0))</f>
        <v>10.32</v>
      </c>
      <c r="CN41" s="12">
        <f>INDEX(ovrTable25,MATCH(INDEX(oppCol,ROW()),ovrTeamCol25,0),MATCH(MID(INDEX('Structured 2025'!headerRow,1,COLUMN()),4,LEN(INDEX('Structured 2025'!headerRow,1,COLUMN()))),ovrHeaderRow25,0))</f>
        <v>12.7</v>
      </c>
      <c r="CO41" s="12">
        <f>INDEX(ovrTable25,MATCH(INDEX(oppCol,ROW()),ovrTeamCol25,0),MATCH(MID(INDEX('Structured 2025'!headerRow,1,COLUMN()),4,LEN(INDEX('Structured 2025'!headerRow,1,COLUMN()))),ovrHeaderRow25,0))</f>
        <v>75.3</v>
      </c>
      <c r="CP41" s="12">
        <f>INDEX(ovrTable25,MATCH(INDEX(oppCol,ROW()),ovrTeamCol25,0),MATCH(MID(INDEX('Structured 2025'!headerRow,1,COLUMN()),4,LEN(INDEX('Structured 2025'!headerRow,1,COLUMN()))),ovrHeaderRow25,0))</f>
        <v>20.549999999999997</v>
      </c>
      <c r="CQ41" s="12">
        <f>INDEX(ovrTable25,MATCH(INDEX(oppCol,ROW()),ovrTeamCol25,0),MATCH(MID(INDEX('Structured 2025'!headerRow,1,COLUMN()),4,LEN(INDEX('Structured 2025'!headerRow,1,COLUMN()))),ovrHeaderRow25,0))</f>
        <v>64.152892561983464</v>
      </c>
    </row>
    <row r="42" spans="1:95" x14ac:dyDescent="0.3">
      <c r="A42" s="6" t="s">
        <v>51</v>
      </c>
      <c r="B42" s="3">
        <v>1</v>
      </c>
      <c r="C42" s="13" t="str">
        <f>A43</f>
        <v>SIUE</v>
      </c>
      <c r="D42" s="14">
        <f t="shared" si="26"/>
        <v>21</v>
      </c>
      <c r="E42" s="23">
        <v>8.3333333333333329E-2</v>
      </c>
      <c r="F42" s="24">
        <v>40.909090909090914</v>
      </c>
      <c r="G42" s="24">
        <v>10</v>
      </c>
      <c r="H42" s="23">
        <v>35.714285714285715</v>
      </c>
      <c r="I42" s="24">
        <v>28</v>
      </c>
      <c r="J42" s="25">
        <v>1.5714285714285714</v>
      </c>
      <c r="K42" s="24">
        <v>14</v>
      </c>
      <c r="L42" s="24">
        <v>19</v>
      </c>
      <c r="M42" s="24">
        <v>19</v>
      </c>
      <c r="N42" s="24">
        <v>31</v>
      </c>
      <c r="O42" s="24">
        <v>11</v>
      </c>
      <c r="P42" s="24">
        <v>11</v>
      </c>
      <c r="Q42" s="24">
        <v>5</v>
      </c>
      <c r="R42" s="24">
        <v>7</v>
      </c>
      <c r="S42" s="24">
        <v>11</v>
      </c>
      <c r="T42" s="24">
        <v>13</v>
      </c>
      <c r="U42" s="24">
        <v>33</v>
      </c>
      <c r="V42" s="24">
        <v>0.30612244897959184</v>
      </c>
      <c r="W42" s="26">
        <v>0.48484848484848486</v>
      </c>
      <c r="X42" s="23">
        <v>73.68421052631578</v>
      </c>
      <c r="Y42" s="24">
        <v>40</v>
      </c>
      <c r="Z42" s="24">
        <v>78</v>
      </c>
      <c r="AA42" s="24">
        <v>23</v>
      </c>
      <c r="AB42" s="24">
        <v>50</v>
      </c>
      <c r="AC42" s="24">
        <v>38</v>
      </c>
      <c r="AD42" s="24">
        <v>6</v>
      </c>
      <c r="AE42" s="24">
        <v>13</v>
      </c>
      <c r="AF42" s="34">
        <f t="shared" si="34"/>
        <v>17</v>
      </c>
      <c r="AG42" s="34">
        <f t="shared" si="35"/>
        <v>38</v>
      </c>
      <c r="AH42" s="46">
        <f t="shared" si="36"/>
        <v>63.024999999999999</v>
      </c>
      <c r="AI42" s="51">
        <f t="shared" ref="AI42" si="45">AVERAGE(AH42,AH43)</f>
        <v>63.05</v>
      </c>
      <c r="AJ42" s="12">
        <f>INDEX(ovrTable25,MATCH(INDEX('Structured 2025'!teamCol,ROW()),ovrTeamCol25,0),MATCH(MID(INDEX('Structured 2025'!headerRow,1,COLUMN()),4,LEN(INDEX('Structured 2025'!headerRow,1,COLUMN()))),ovrHeaderRow25,0))</f>
        <v>30.2</v>
      </c>
      <c r="AK42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42" s="12">
        <f>INDEX(ovrTable25,MATCH(INDEX('Structured 2025'!teamCol,ROW()),ovrTeamCol25,0),MATCH(MID(INDEX('Structured 2025'!headerRow,1,COLUMN()),4,LEN(INDEX('Structured 2025'!headerRow,1,COLUMN()))),ovrHeaderRow25,0))</f>
        <v>39.4</v>
      </c>
      <c r="AM42" s="12">
        <f>INDEX(ovrTable25,MATCH(INDEX('Structured 2025'!teamCol,ROW()),ovrTeamCol25,0),MATCH(MID(INDEX('Structured 2025'!headerRow,1,COLUMN()),4,LEN(INDEX('Structured 2025'!headerRow,1,COLUMN()))),ovrHeaderRow25,0))</f>
        <v>20.7</v>
      </c>
      <c r="AN42" s="12">
        <f>INDEX(ovrTable25,MATCH(INDEX('Structured 2025'!teamCol,ROW()),ovrTeamCol25,0),MATCH(MID(INDEX('Structured 2025'!headerRow,1,COLUMN()),4,LEN(INDEX('Structured 2025'!headerRow,1,COLUMN()))),ovrHeaderRow25,0))</f>
        <v>1.34</v>
      </c>
      <c r="AO42" s="12">
        <f>INDEX(ovrTable25,MATCH(INDEX('Structured 2025'!teamCol,ROW()),ovrTeamCol25,0),MATCH(MID(INDEX('Structured 2025'!headerRow,1,COLUMN()),4,LEN(INDEX('Structured 2025'!headerRow,1,COLUMN()))),ovrHeaderRow25,0))</f>
        <v>12.1</v>
      </c>
      <c r="AP42" s="12">
        <f>INDEX(ovrTable25,MATCH(INDEX('Structured 2025'!teamCol,ROW()),ovrTeamCol25,0),MATCH(MID(INDEX('Structured 2025'!headerRow,1,COLUMN()),4,LEN(INDEX('Structured 2025'!headerRow,1,COLUMN()))),ovrHeaderRow25,0))</f>
        <v>18.73</v>
      </c>
      <c r="AQ42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42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S42" s="12">
        <f>INDEX(ovrTable25,MATCH(INDEX('Structured 2025'!teamCol,ROW()),ovrTeamCol25,0),MATCH(MID(INDEX('Structured 2025'!headerRow,1,COLUMN()),4,LEN(INDEX('Structured 2025'!headerRow,1,COLUMN()))),ovrHeaderRow25,0))</f>
        <v>24.08</v>
      </c>
      <c r="AT42" s="12">
        <f>INDEX(ovrTable25,MATCH(INDEX('Structured 2025'!teamCol,ROW()),ovrTeamCol25,0),MATCH(MID(INDEX('Structured 2025'!headerRow,1,COLUMN()),4,LEN(INDEX('Structured 2025'!headerRow,1,COLUMN()))),ovrHeaderRow25,0))</f>
        <v>0.51700000000000002</v>
      </c>
      <c r="AU42" s="12">
        <f>INDEX(ovrTable25,MATCH(INDEX('Structured 2025'!teamCol,ROW()),ovrTeamCol25,0),MATCH(MID(INDEX('Structured 2025'!headerRow,1,COLUMN()),4,LEN(INDEX('Structured 2025'!headerRow,1,COLUMN()))),ovrHeaderRow25,0))</f>
        <v>7.6</v>
      </c>
      <c r="AV42" s="12">
        <f>INDEX(ovrTable25,MATCH(INDEX('Structured 2025'!teamCol,ROW()),ovrTeamCol25,0),MATCH(MID(INDEX('Structured 2025'!headerRow,1,COLUMN()),4,LEN(INDEX('Structured 2025'!headerRow,1,COLUMN()))),ovrHeaderRow25,0))</f>
        <v>44.9</v>
      </c>
      <c r="AW42" s="12">
        <f>INDEX(ovrTable25,MATCH(INDEX('Structured 2025'!teamCol,ROW()),ovrTeamCol25,0),MATCH(MID(INDEX('Structured 2025'!headerRow,1,COLUMN()),4,LEN(INDEX('Structured 2025'!headerRow,1,COLUMN()))),ovrHeaderRow25,0))</f>
        <v>16.3</v>
      </c>
      <c r="AX42" s="12">
        <f>INDEX(ovrTable25,MATCH(INDEX('Structured 2025'!teamCol,ROW()),ovrTeamCol25,0),MATCH(MID(INDEX('Structured 2025'!headerRow,1,COLUMN()),4,LEN(INDEX('Structured 2025'!headerRow,1,COLUMN()))),ovrHeaderRow25,0))</f>
        <v>74</v>
      </c>
      <c r="AY42" s="12">
        <f>INDEX(ovrTable25,MATCH(INDEX('Structured 2025'!teamCol,ROW()),ovrTeamCol25,0),MATCH(MID(INDEX('Structured 2025'!headerRow,1,COLUMN()),4,LEN(INDEX('Structured 2025'!headerRow,1,COLUMN()))),ovrHeaderRow25,0))</f>
        <v>16.2</v>
      </c>
      <c r="AZ42" s="12">
        <f>INDEX(ovrTable25,MATCH(INDEX('Structured 2025'!teamCol,ROW()),ovrTeamCol25,0),MATCH(MID(INDEX('Structured 2025'!headerRow,1,COLUMN()),4,LEN(INDEX('Structured 2025'!headerRow,1,COLUMN()))),ovrHeaderRow25,0))</f>
        <v>12</v>
      </c>
      <c r="BA42" s="12">
        <f>INDEX(ovrTable25,MATCH(INDEX('Structured 2025'!teamCol,ROW()),ovrTeamCol25,0),MATCH(MID(INDEX('Structured 2025'!headerRow,1,COLUMN()),4,LEN(INDEX('Structured 2025'!headerRow,1,COLUMN()))),ovrHeaderRow25,0))</f>
        <v>58.7</v>
      </c>
      <c r="BB42" s="12">
        <f>INDEX(ovrTable25,MATCH(INDEX('Structured 2025'!teamCol,ROW()),ovrTeamCol25,0),MATCH(MID(INDEX('Structured 2025'!headerRow,1,COLUMN()),4,LEN(INDEX('Structured 2025'!headerRow,1,COLUMN()))),ovrHeaderRow25,0))</f>
        <v>12.8</v>
      </c>
      <c r="BC42" s="12">
        <f>INDEX(ovrTable25,MATCH(INDEX('Structured 2025'!teamCol,ROW()),ovrTeamCol25,0),MATCH(MID(INDEX('Structured 2025'!headerRow,1,COLUMN()),4,LEN(INDEX('Structured 2025'!headerRow,1,COLUMN()))),ovrHeaderRow25,0))</f>
        <v>73.7</v>
      </c>
      <c r="BD42" s="12">
        <f>INDEX(ovrTable25,MATCH(INDEX('Structured 2025'!teamCol,ROW()),ovrTeamCol25,0),MATCH(MID(INDEX('Structured 2025'!headerRow,1,COLUMN()),4,LEN(INDEX('Structured 2025'!headerRow,1,COLUMN()))),ovrHeaderRow25,0))</f>
        <v>5.3</v>
      </c>
      <c r="BE42" s="12">
        <f>INDEX(ovrTable25,MATCH(INDEX('Structured 2025'!teamCol,ROW()),ovrTeamCol25,0),MATCH(MID(INDEX('Structured 2025'!headerRow,1,COLUMN()),4,LEN(INDEX('Structured 2025'!headerRow,1,COLUMN()))),ovrHeaderRow25,0))</f>
        <v>36.880000000000003</v>
      </c>
      <c r="BF42" s="12">
        <f>INDEX(ovrTable25,MATCH(INDEX('Structured 2025'!teamCol,ROW()),ovrTeamCol25,0),MATCH(MID(INDEX('Structured 2025'!headerRow,1,COLUMN()),4,LEN(INDEX('Structured 2025'!headerRow,1,COLUMN()))),ovrHeaderRow25,0))</f>
        <v>15</v>
      </c>
      <c r="BG42" s="12">
        <f>INDEX(ovrTable25,MATCH(INDEX('Structured 2025'!teamCol,ROW()),ovrTeamCol25,0),MATCH(MID(INDEX('Structured 2025'!headerRow,1,COLUMN()),4,LEN(INDEX('Structured 2025'!headerRow,1,COLUMN()))),ovrHeaderRow25,0))</f>
        <v>7.8</v>
      </c>
      <c r="BH42" s="12">
        <f>INDEX(ovrTable25,MATCH(INDEX('Structured 2025'!teamCol,ROW()),ovrTeamCol25,0),MATCH(MID(INDEX('Structured 2025'!headerRow,1,COLUMN()),4,LEN(INDEX('Structured 2025'!headerRow,1,COLUMN()))),ovrHeaderRow25,0))</f>
        <v>4.2</v>
      </c>
      <c r="BI42" s="12">
        <f>INDEX(ovrTable25,MATCH(INDEX('Structured 2025'!teamCol,ROW()),ovrTeamCol25,0),MATCH(MID(INDEX('Structured 2025'!headerRow,1,COLUMN()),4,LEN(INDEX('Structured 2025'!headerRow,1,COLUMN()))),ovrHeaderRow25,0))</f>
        <v>13.23</v>
      </c>
      <c r="BJ42" s="12">
        <f>INDEX(ovrTable25,MATCH(INDEX('Structured 2025'!teamCol,ROW()),ovrTeamCol25,0),MATCH(MID(INDEX('Structured 2025'!headerRow,1,COLUMN()),4,LEN(INDEX('Structured 2025'!headerRow,1,COLUMN()))),ovrHeaderRow25,0))</f>
        <v>9</v>
      </c>
      <c r="BK42" s="12">
        <f>INDEX(ovrTable25,MATCH(INDEX('Structured 2025'!teamCol,ROW()),ovrTeamCol25,0),MATCH(MID(INDEX('Structured 2025'!headerRow,1,COLUMN()),4,LEN(INDEX('Structured 2025'!headerRow,1,COLUMN()))),ovrHeaderRow25,0))</f>
        <v>61.9</v>
      </c>
      <c r="BL42" s="12">
        <f>INDEX(ovrTable25,MATCH(INDEX('Structured 2025'!teamCol,ROW()),ovrTeamCol25,0),MATCH(MID(INDEX('Structured 2025'!headerRow,1,COLUMN()),4,LEN(INDEX('Structured 2025'!headerRow,1,COLUMN()))),ovrHeaderRow25,0))</f>
        <v>18.550000000000004</v>
      </c>
      <c r="BM42" s="12">
        <f>INDEX(ovrTable25,MATCH(INDEX('Structured 2025'!teamCol,ROW()),ovrTeamCol25,0),MATCH(MID(INDEX('Structured 2025'!headerRow,1,COLUMN()),4,LEN(INDEX('Structured 2025'!headerRow,1,COLUMN()))),ovrHeaderRow25,0))</f>
        <v>59.576837416481084</v>
      </c>
      <c r="BN42" s="12">
        <f>INDEX(ovrTable25,MATCH(INDEX(oppCol,ROW()),ovrTeamCol25,0),MATCH(MID(INDEX('Structured 2025'!headerRow,1,COLUMN()),4,LEN(INDEX('Structured 2025'!headerRow,1,COLUMN()))),ovrHeaderRow25,0))</f>
        <v>32.799999999999997</v>
      </c>
      <c r="BO42" s="12">
        <f>INDEX(ovrTable25,MATCH(INDEX(oppCol,ROW()),ovrTeamCol25,0),MATCH(MID(INDEX('Structured 2025'!headerRow,1,COLUMN()),4,LEN(INDEX('Structured 2025'!headerRow,1,COLUMN()))),ovrHeaderRow25,0))</f>
        <v>7.3</v>
      </c>
      <c r="BP42" s="12">
        <f>INDEX(ovrTable25,MATCH(INDEX(oppCol,ROW()),ovrTeamCol25,0),MATCH(MID(INDEX('Structured 2025'!headerRow,1,COLUMN()),4,LEN(INDEX('Structured 2025'!headerRow,1,COLUMN()))),ovrHeaderRow25,0))</f>
        <v>33.299999999999997</v>
      </c>
      <c r="BQ42" s="12">
        <f>INDEX(ovrTable25,MATCH(INDEX(oppCol,ROW()),ovrTeamCol25,0),MATCH(MID(INDEX('Structured 2025'!headerRow,1,COLUMN()),4,LEN(INDEX('Structured 2025'!headerRow,1,COLUMN()))),ovrHeaderRow25,0))</f>
        <v>22</v>
      </c>
      <c r="BR42" s="12">
        <f>INDEX(ovrTable25,MATCH(INDEX(oppCol,ROW()),ovrTeamCol25,0),MATCH(MID(INDEX('Structured 2025'!headerRow,1,COLUMN()),4,LEN(INDEX('Structured 2025'!headerRow,1,COLUMN()))),ovrHeaderRow25,0))</f>
        <v>1.19</v>
      </c>
      <c r="BS42" s="12">
        <f>INDEX(ovrTable25,MATCH(INDEX(oppCol,ROW()),ovrTeamCol25,0),MATCH(MID(INDEX('Structured 2025'!headerRow,1,COLUMN()),4,LEN(INDEX('Structured 2025'!headerRow,1,COLUMN()))),ovrHeaderRow25,0))</f>
        <v>13.6</v>
      </c>
      <c r="BT42" s="12">
        <f>INDEX(ovrTable25,MATCH(INDEX(oppCol,ROW()),ovrTeamCol25,0),MATCH(MID(INDEX('Structured 2025'!headerRow,1,COLUMN()),4,LEN(INDEX('Structured 2025'!headerRow,1,COLUMN()))),ovrHeaderRow25,0))</f>
        <v>17.649999999999999</v>
      </c>
      <c r="BU42" s="12">
        <f>INDEX(ovrTable25,MATCH(INDEX(oppCol,ROW()),ovrTeamCol25,0),MATCH(MID(INDEX('Structured 2025'!headerRow,1,COLUMN()),4,LEN(INDEX('Structured 2025'!headerRow,1,COLUMN()))),ovrHeaderRow25,0))</f>
        <v>4</v>
      </c>
      <c r="BV42" s="12">
        <f>INDEX(ovrTable25,MATCH(INDEX(oppCol,ROW()),ovrTeamCol25,0),MATCH(MID(INDEX('Structured 2025'!headerRow,1,COLUMN()),4,LEN(INDEX('Structured 2025'!headerRow,1,COLUMN()))),ovrHeaderRow25,0))</f>
        <v>40.200000000000003</v>
      </c>
      <c r="BW42" s="12">
        <f>INDEX(ovrTable25,MATCH(INDEX(oppCol,ROW()),ovrTeamCol25,0),MATCH(MID(INDEX('Structured 2025'!headerRow,1,COLUMN()),4,LEN(INDEX('Structured 2025'!headerRow,1,COLUMN()))),ovrHeaderRow25,0))</f>
        <v>26.29</v>
      </c>
      <c r="BX42" s="12">
        <f>INDEX(ovrTable25,MATCH(INDEX(oppCol,ROW()),ovrTeamCol25,0),MATCH(MID(INDEX('Structured 2025'!headerRow,1,COLUMN()),4,LEN(INDEX('Structured 2025'!headerRow,1,COLUMN()))),ovrHeaderRow25,0))</f>
        <v>0.49199999999999999</v>
      </c>
      <c r="BY42" s="12">
        <f>INDEX(ovrTable25,MATCH(INDEX(oppCol,ROW()),ovrTeamCol25,0),MATCH(MID(INDEX('Structured 2025'!headerRow,1,COLUMN()),4,LEN(INDEX('Structured 2025'!headerRow,1,COLUMN()))),ovrHeaderRow25,0))</f>
        <v>12.12</v>
      </c>
      <c r="BZ42" s="12">
        <f>INDEX(ovrTable25,MATCH(INDEX(oppCol,ROW()),ovrTeamCol25,0),MATCH(MID(INDEX('Structured 2025'!headerRow,1,COLUMN()),4,LEN(INDEX('Structured 2025'!headerRow,1,COLUMN()))),ovrHeaderRow25,0))</f>
        <v>43.1</v>
      </c>
      <c r="CA42" s="12">
        <f>INDEX(ovrTable25,MATCH(INDEX(oppCol,ROW()),ovrTeamCol25,0),MATCH(MID(INDEX('Structured 2025'!headerRow,1,COLUMN()),4,LEN(INDEX('Structured 2025'!headerRow,1,COLUMN()))),ovrHeaderRow25,0))</f>
        <v>16.5</v>
      </c>
      <c r="CB42" s="12">
        <f>INDEX(ovrTable25,MATCH(INDEX(oppCol,ROW()),ovrTeamCol25,0),MATCH(MID(INDEX('Structured 2025'!headerRow,1,COLUMN()),4,LEN(INDEX('Structured 2025'!headerRow,1,COLUMN()))),ovrHeaderRow25,0))</f>
        <v>67</v>
      </c>
      <c r="CC42" s="12">
        <f>INDEX(ovrTable25,MATCH(INDEX(oppCol,ROW()),ovrTeamCol25,0),MATCH(MID(INDEX('Structured 2025'!headerRow,1,COLUMN()),4,LEN(INDEX('Structured 2025'!headerRow,1,COLUMN()))),ovrHeaderRow25,0))</f>
        <v>19.3</v>
      </c>
      <c r="CD42" s="12">
        <f>INDEX(ovrTable25,MATCH(INDEX(oppCol,ROW()),ovrTeamCol25,0),MATCH(MID(INDEX('Structured 2025'!headerRow,1,COLUMN()),4,LEN(INDEX('Structured 2025'!headerRow,1,COLUMN()))),ovrHeaderRow25,0))</f>
        <v>12.9</v>
      </c>
      <c r="CE42" s="12">
        <f>INDEX(ovrTable25,MATCH(INDEX(oppCol,ROW()),ovrTeamCol25,0),MATCH(MID(INDEX('Structured 2025'!headerRow,1,COLUMN()),4,LEN(INDEX('Structured 2025'!headerRow,1,COLUMN()))),ovrHeaderRow25,0))</f>
        <v>66.5</v>
      </c>
      <c r="CF42" s="12">
        <f>INDEX(ovrTable25,MATCH(INDEX(oppCol,ROW()),ovrTeamCol25,0),MATCH(MID(INDEX('Structured 2025'!headerRow,1,COLUMN()),4,LEN(INDEX('Structured 2025'!headerRow,1,COLUMN()))),ovrHeaderRow25,0))</f>
        <v>11.85</v>
      </c>
      <c r="CG42" s="12">
        <f>INDEX(ovrTable25,MATCH(INDEX(oppCol,ROW()),ovrTeamCol25,0),MATCH(MID(INDEX('Structured 2025'!headerRow,1,COLUMN()),4,LEN(INDEX('Structured 2025'!headerRow,1,COLUMN()))),ovrHeaderRow25,0))</f>
        <v>71.599999999999994</v>
      </c>
      <c r="CH42" s="12">
        <f>INDEX(ovrTable25,MATCH(INDEX(oppCol,ROW()),ovrTeamCol25,0),MATCH(MID(INDEX('Structured 2025'!headerRow,1,COLUMN()),4,LEN(INDEX('Structured 2025'!headerRow,1,COLUMN()))),ovrHeaderRow25,0))</f>
        <v>2.2999999999999998</v>
      </c>
      <c r="CI42" s="12">
        <f>INDEX(ovrTable25,MATCH(INDEX(oppCol,ROW()),ovrTeamCol25,0),MATCH(MID(INDEX('Structured 2025'!headerRow,1,COLUMN()),4,LEN(INDEX('Structured 2025'!headerRow,1,COLUMN()))),ovrHeaderRow25,0))</f>
        <v>38.15</v>
      </c>
      <c r="CJ42" s="12">
        <f>INDEX(ovrTable25,MATCH(INDEX(oppCol,ROW()),ovrTeamCol25,0),MATCH(MID(INDEX('Structured 2025'!headerRow,1,COLUMN()),4,LEN(INDEX('Structured 2025'!headerRow,1,COLUMN()))),ovrHeaderRow25,0))</f>
        <v>5.2</v>
      </c>
      <c r="CK42" s="12">
        <f>INDEX(ovrTable25,MATCH(INDEX(oppCol,ROW()),ovrTeamCol25,0),MATCH(MID(INDEX('Structured 2025'!headerRow,1,COLUMN()),4,LEN(INDEX('Structured 2025'!headerRow,1,COLUMN()))),ovrHeaderRow25,0))</f>
        <v>6.6</v>
      </c>
      <c r="CL42" s="12">
        <f>INDEX(ovrTable25,MATCH(INDEX(oppCol,ROW()),ovrTeamCol25,0),MATCH(MID(INDEX('Structured 2025'!headerRow,1,COLUMN()),4,LEN(INDEX('Structured 2025'!headerRow,1,COLUMN()))),ovrHeaderRow25,0))</f>
        <v>1.1000000000000001</v>
      </c>
      <c r="CM42" s="12">
        <f>INDEX(ovrTable25,MATCH(INDEX(oppCol,ROW()),ovrTeamCol25,0),MATCH(MID(INDEX('Structured 2025'!headerRow,1,COLUMN()),4,LEN(INDEX('Structured 2025'!headerRow,1,COLUMN()))),ovrHeaderRow25,0))</f>
        <v>12.5</v>
      </c>
      <c r="CN42" s="12">
        <f>INDEX(ovrTable25,MATCH(INDEX(oppCol,ROW()),ovrTeamCol25,0),MATCH(MID(INDEX('Structured 2025'!headerRow,1,COLUMN()),4,LEN(INDEX('Structured 2025'!headerRow,1,COLUMN()))),ovrHeaderRow25,0))</f>
        <v>11.4</v>
      </c>
      <c r="CO42" s="12">
        <f>INDEX(ovrTable25,MATCH(INDEX(oppCol,ROW()),ovrTeamCol25,0),MATCH(MID(INDEX('Structured 2025'!headerRow,1,COLUMN()),4,LEN(INDEX('Structured 2025'!headerRow,1,COLUMN()))),ovrHeaderRow25,0))</f>
        <v>66.2</v>
      </c>
      <c r="CP42" s="12">
        <f>INDEX(ovrTable25,MATCH(INDEX(oppCol,ROW()),ovrTeamCol25,0),MATCH(MID(INDEX('Structured 2025'!headerRow,1,COLUMN()),4,LEN(INDEX('Structured 2025'!headerRow,1,COLUMN()))),ovrHeaderRow25,0))</f>
        <v>18.399999999999999</v>
      </c>
      <c r="CQ42" s="12">
        <f>INDEX(ovrTable25,MATCH(INDEX(oppCol,ROW()),ovrTeamCol25,0),MATCH(MID(INDEX('Structured 2025'!headerRow,1,COLUMN()),4,LEN(INDEX('Structured 2025'!headerRow,1,COLUMN()))),ovrHeaderRow25,0))</f>
        <v>59.62877030162413</v>
      </c>
    </row>
    <row r="43" spans="1:95" x14ac:dyDescent="0.3">
      <c r="A43" s="6" t="s">
        <v>494</v>
      </c>
      <c r="B43" s="3">
        <v>16</v>
      </c>
      <c r="C43" s="13" t="str">
        <f>A42</f>
        <v>HOU</v>
      </c>
      <c r="D43" s="14">
        <f t="shared" si="26"/>
        <v>21</v>
      </c>
      <c r="E43" s="23">
        <v>0.35714285714285715</v>
      </c>
      <c r="F43" s="24">
        <v>30.612244897959183</v>
      </c>
      <c r="G43" s="24">
        <v>2</v>
      </c>
      <c r="H43" s="23">
        <v>8.3333333333333321</v>
      </c>
      <c r="I43" s="24">
        <v>24</v>
      </c>
      <c r="J43" s="25">
        <v>0.84615384615384615</v>
      </c>
      <c r="K43" s="24">
        <v>8</v>
      </c>
      <c r="L43" s="24">
        <v>17</v>
      </c>
      <c r="M43" s="24">
        <v>7</v>
      </c>
      <c r="N43" s="24">
        <v>20</v>
      </c>
      <c r="O43" s="24">
        <v>11</v>
      </c>
      <c r="P43" s="24">
        <v>4</v>
      </c>
      <c r="Q43" s="24">
        <v>6</v>
      </c>
      <c r="R43" s="24">
        <v>13</v>
      </c>
      <c r="S43" s="24">
        <v>8</v>
      </c>
      <c r="T43" s="24">
        <v>16</v>
      </c>
      <c r="U43" s="24">
        <v>12</v>
      </c>
      <c r="V43" s="24">
        <v>0.40909090909090912</v>
      </c>
      <c r="W43" s="26">
        <v>0.32653061224489793</v>
      </c>
      <c r="X43" s="23">
        <v>47.058823529411761</v>
      </c>
      <c r="Y43" s="24">
        <v>78</v>
      </c>
      <c r="Z43" s="24">
        <v>40</v>
      </c>
      <c r="AA43" s="24">
        <v>-23</v>
      </c>
      <c r="AB43" s="24">
        <v>27</v>
      </c>
      <c r="AC43" s="24">
        <v>-38</v>
      </c>
      <c r="AD43" s="24">
        <v>-6</v>
      </c>
      <c r="AE43" s="24">
        <v>7</v>
      </c>
      <c r="AF43" s="34">
        <f t="shared" si="34"/>
        <v>13</v>
      </c>
      <c r="AG43" s="34">
        <f t="shared" si="35"/>
        <v>25</v>
      </c>
      <c r="AH43" s="46">
        <f t="shared" si="36"/>
        <v>63.075000000000003</v>
      </c>
      <c r="AI43" s="51">
        <f t="shared" ref="AI43" si="46">AVERAGE(AH42,AH43)</f>
        <v>63.05</v>
      </c>
      <c r="AJ43" s="12">
        <f>INDEX(ovrTable25,MATCH(INDEX('Structured 2025'!teamCol,ROW()),ovrTeamCol25,0),MATCH(MID(INDEX('Structured 2025'!headerRow,1,COLUMN()),4,LEN(INDEX('Structured 2025'!headerRow,1,COLUMN()))),ovrHeaderRow25,0))</f>
        <v>32.799999999999997</v>
      </c>
      <c r="AK43" s="12">
        <f>INDEX(ovrTable25,MATCH(INDEX('Structured 2025'!teamCol,ROW()),ovrTeamCol25,0),MATCH(MID(INDEX('Structured 2025'!headerRow,1,COLUMN()),4,LEN(INDEX('Structured 2025'!headerRow,1,COLUMN()))),ovrHeaderRow25,0))</f>
        <v>7.3</v>
      </c>
      <c r="AL43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M43" s="12">
        <f>INDEX(ovrTable25,MATCH(INDEX('Structured 2025'!teamCol,ROW()),ovrTeamCol25,0),MATCH(MID(INDEX('Structured 2025'!headerRow,1,COLUMN()),4,LEN(INDEX('Structured 2025'!headerRow,1,COLUMN()))),ovrHeaderRow25,0))</f>
        <v>22</v>
      </c>
      <c r="AN43" s="12">
        <f>INDEX(ovrTable25,MATCH(INDEX('Structured 2025'!teamCol,ROW()),ovrTeamCol25,0),MATCH(MID(INDEX('Structured 2025'!headerRow,1,COLUMN()),4,LEN(INDEX('Structured 2025'!headerRow,1,COLUMN()))),ovrHeaderRow25,0))</f>
        <v>1.19</v>
      </c>
      <c r="AO43" s="12">
        <f>INDEX(ovrTable25,MATCH(INDEX('Structured 2025'!teamCol,ROW()),ovrTeamCol25,0),MATCH(MID(INDEX('Structured 2025'!headerRow,1,COLUMN()),4,LEN(INDEX('Structured 2025'!headerRow,1,COLUMN()))),ovrHeaderRow25,0))</f>
        <v>13.6</v>
      </c>
      <c r="AP43" s="12">
        <f>INDEX(ovrTable25,MATCH(INDEX('Structured 2025'!teamCol,ROW()),ovrTeamCol25,0),MATCH(MID(INDEX('Structured 2025'!headerRow,1,COLUMN()),4,LEN(INDEX('Structured 2025'!headerRow,1,COLUMN()))),ovrHeaderRow25,0))</f>
        <v>17.649999999999999</v>
      </c>
      <c r="AQ43" s="12">
        <f>INDEX(ovrTable25,MATCH(INDEX('Structured 2025'!teamCol,ROW()),ovrTeamCol25,0),MATCH(MID(INDEX('Structured 2025'!headerRow,1,COLUMN()),4,LEN(INDEX('Structured 2025'!headerRow,1,COLUMN()))),ovrHeaderRow25,0))</f>
        <v>4</v>
      </c>
      <c r="AR43" s="12">
        <f>INDEX(ovrTable25,MATCH(INDEX('Structured 2025'!teamCol,ROW()),ovrTeamCol25,0),MATCH(MID(INDEX('Structured 2025'!headerRow,1,COLUMN()),4,LEN(INDEX('Structured 2025'!headerRow,1,COLUMN()))),ovrHeaderRow25,0))</f>
        <v>40.200000000000003</v>
      </c>
      <c r="AS43" s="12">
        <f>INDEX(ovrTable25,MATCH(INDEX('Structured 2025'!teamCol,ROW()),ovrTeamCol25,0),MATCH(MID(INDEX('Structured 2025'!headerRow,1,COLUMN()),4,LEN(INDEX('Structured 2025'!headerRow,1,COLUMN()))),ovrHeaderRow25,0))</f>
        <v>26.29</v>
      </c>
      <c r="AT43" s="12">
        <f>INDEX(ovrTable25,MATCH(INDEX('Structured 2025'!teamCol,ROW()),ovrTeamCol25,0),MATCH(MID(INDEX('Structured 2025'!headerRow,1,COLUMN()),4,LEN(INDEX('Structured 2025'!headerRow,1,COLUMN()))),ovrHeaderRow25,0))</f>
        <v>0.49199999999999999</v>
      </c>
      <c r="AU43" s="12">
        <f>INDEX(ovrTable25,MATCH(INDEX('Structured 2025'!teamCol,ROW()),ovrTeamCol25,0),MATCH(MID(INDEX('Structured 2025'!headerRow,1,COLUMN()),4,LEN(INDEX('Structured 2025'!headerRow,1,COLUMN()))),ovrHeaderRow25,0))</f>
        <v>12.12</v>
      </c>
      <c r="AV43" s="12">
        <f>INDEX(ovrTable25,MATCH(INDEX('Structured 2025'!teamCol,ROW()),ovrTeamCol25,0),MATCH(MID(INDEX('Structured 2025'!headerRow,1,COLUMN()),4,LEN(INDEX('Structured 2025'!headerRow,1,COLUMN()))),ovrHeaderRow25,0))</f>
        <v>43.1</v>
      </c>
      <c r="AW43" s="12">
        <f>INDEX(ovrTable25,MATCH(INDEX('Structured 2025'!teamCol,ROW()),ovrTeamCol25,0),MATCH(MID(INDEX('Structured 2025'!headerRow,1,COLUMN()),4,LEN(INDEX('Structured 2025'!headerRow,1,COLUMN()))),ovrHeaderRow25,0))</f>
        <v>16.5</v>
      </c>
      <c r="AX43" s="12">
        <f>INDEX(ovrTable25,MATCH(INDEX('Structured 2025'!teamCol,ROW()),ovrTeamCol25,0),MATCH(MID(INDEX('Structured 2025'!headerRow,1,COLUMN()),4,LEN(INDEX('Structured 2025'!headerRow,1,COLUMN()))),ovrHeaderRow25,0))</f>
        <v>67</v>
      </c>
      <c r="AY43" s="12">
        <f>INDEX(ovrTable25,MATCH(INDEX('Structured 2025'!teamCol,ROW()),ovrTeamCol25,0),MATCH(MID(INDEX('Structured 2025'!headerRow,1,COLUMN()),4,LEN(INDEX('Structured 2025'!headerRow,1,COLUMN()))),ovrHeaderRow25,0))</f>
        <v>19.3</v>
      </c>
      <c r="AZ43" s="12">
        <f>INDEX(ovrTable25,MATCH(INDEX('Structured 2025'!teamCol,ROW()),ovrTeamCol25,0),MATCH(MID(INDEX('Structured 2025'!headerRow,1,COLUMN()),4,LEN(INDEX('Structured 2025'!headerRow,1,COLUMN()))),ovrHeaderRow25,0))</f>
        <v>12.9</v>
      </c>
      <c r="BA43" s="12">
        <f>INDEX(ovrTable25,MATCH(INDEX('Structured 2025'!teamCol,ROW()),ovrTeamCol25,0),MATCH(MID(INDEX('Structured 2025'!headerRow,1,COLUMN()),4,LEN(INDEX('Structured 2025'!headerRow,1,COLUMN()))),ovrHeaderRow25,0))</f>
        <v>66.5</v>
      </c>
      <c r="BB43" s="12">
        <f>INDEX(ovrTable25,MATCH(INDEX('Structured 2025'!teamCol,ROW()),ovrTeamCol25,0),MATCH(MID(INDEX('Structured 2025'!headerRow,1,COLUMN()),4,LEN(INDEX('Structured 2025'!headerRow,1,COLUMN()))),ovrHeaderRow25,0))</f>
        <v>11.85</v>
      </c>
      <c r="BC43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BD43" s="12">
        <f>INDEX(ovrTable25,MATCH(INDEX('Structured 2025'!teamCol,ROW()),ovrTeamCol25,0),MATCH(MID(INDEX('Structured 2025'!headerRow,1,COLUMN()),4,LEN(INDEX('Structured 2025'!headerRow,1,COLUMN()))),ovrHeaderRow25,0))</f>
        <v>2.2999999999999998</v>
      </c>
      <c r="BE43" s="12">
        <f>INDEX(ovrTable25,MATCH(INDEX('Structured 2025'!teamCol,ROW()),ovrTeamCol25,0),MATCH(MID(INDEX('Structured 2025'!headerRow,1,COLUMN()),4,LEN(INDEX('Structured 2025'!headerRow,1,COLUMN()))),ovrHeaderRow25,0))</f>
        <v>38.15</v>
      </c>
      <c r="BF43" s="12">
        <f>INDEX(ovrTable25,MATCH(INDEX('Structured 2025'!teamCol,ROW()),ovrTeamCol25,0),MATCH(MID(INDEX('Structured 2025'!headerRow,1,COLUMN()),4,LEN(INDEX('Structured 2025'!headerRow,1,COLUMN()))),ovrHeaderRow25,0))</f>
        <v>5.2</v>
      </c>
      <c r="BG43" s="12">
        <f>INDEX(ovrTable25,MATCH(INDEX('Structured 2025'!teamCol,ROW()),ovrTeamCol25,0),MATCH(MID(INDEX('Structured 2025'!headerRow,1,COLUMN()),4,LEN(INDEX('Structured 2025'!headerRow,1,COLUMN()))),ovrHeaderRow25,0))</f>
        <v>6.6</v>
      </c>
      <c r="BH43" s="12">
        <f>INDEX(ovrTable25,MATCH(INDEX('Structured 2025'!teamCol,ROW()),ovrTeamCol25,0),MATCH(MID(INDEX('Structured 2025'!headerRow,1,COLUMN()),4,LEN(INDEX('Structured 2025'!headerRow,1,COLUMN()))),ovrHeaderRow25,0))</f>
        <v>1.1000000000000001</v>
      </c>
      <c r="BI43" s="12">
        <f>INDEX(ovrTable25,MATCH(INDEX('Structured 2025'!teamCol,ROW()),ovrTeamCol25,0),MATCH(MID(INDEX('Structured 2025'!headerRow,1,COLUMN()),4,LEN(INDEX('Structured 2025'!headerRow,1,COLUMN()))),ovrHeaderRow25,0))</f>
        <v>12.5</v>
      </c>
      <c r="BJ43" s="12">
        <f>INDEX(ovrTable25,MATCH(INDEX('Structured 2025'!teamCol,ROW()),ovrTeamCol25,0),MATCH(MID(INDEX('Structured 2025'!headerRow,1,COLUMN()),4,LEN(INDEX('Structured 2025'!headerRow,1,COLUMN()))),ovrHeaderRow25,0))</f>
        <v>11.4</v>
      </c>
      <c r="BK43" s="12">
        <f>INDEX(ovrTable25,MATCH(INDEX('Structured 2025'!teamCol,ROW()),ovrTeamCol25,0),MATCH(MID(INDEX('Structured 2025'!headerRow,1,COLUMN()),4,LEN(INDEX('Structured 2025'!headerRow,1,COLUMN()))),ovrHeaderRow25,0))</f>
        <v>66.2</v>
      </c>
      <c r="BL43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BM43" s="12">
        <f>INDEX(ovrTable25,MATCH(INDEX('Structured 2025'!teamCol,ROW()),ovrTeamCol25,0),MATCH(MID(INDEX('Structured 2025'!headerRow,1,COLUMN()),4,LEN(INDEX('Structured 2025'!headerRow,1,COLUMN()))),ovrHeaderRow25,0))</f>
        <v>59.62877030162413</v>
      </c>
      <c r="BN43" s="12">
        <f>INDEX(ovrTable25,MATCH(INDEX(oppCol,ROW()),ovrTeamCol25,0),MATCH(MID(INDEX('Structured 2025'!headerRow,1,COLUMN()),4,LEN(INDEX('Structured 2025'!headerRow,1,COLUMN()))),ovrHeaderRow25,0))</f>
        <v>30.2</v>
      </c>
      <c r="BO43" s="12">
        <f>INDEX(ovrTable25,MATCH(INDEX(oppCol,ROW()),ovrTeamCol25,0),MATCH(MID(INDEX('Structured 2025'!headerRow,1,COLUMN()),4,LEN(INDEX('Structured 2025'!headerRow,1,COLUMN()))),ovrHeaderRow25,0))</f>
        <v>8.1999999999999993</v>
      </c>
      <c r="BP43" s="12">
        <f>INDEX(ovrTable25,MATCH(INDEX(oppCol,ROW()),ovrTeamCol25,0),MATCH(MID(INDEX('Structured 2025'!headerRow,1,COLUMN()),4,LEN(INDEX('Structured 2025'!headerRow,1,COLUMN()))),ovrHeaderRow25,0))</f>
        <v>39.4</v>
      </c>
      <c r="BQ43" s="12">
        <f>INDEX(ovrTable25,MATCH(INDEX(oppCol,ROW()),ovrTeamCol25,0),MATCH(MID(INDEX('Structured 2025'!headerRow,1,COLUMN()),4,LEN(INDEX('Structured 2025'!headerRow,1,COLUMN()))),ovrHeaderRow25,0))</f>
        <v>20.7</v>
      </c>
      <c r="BR43" s="12">
        <f>INDEX(ovrTable25,MATCH(INDEX(oppCol,ROW()),ovrTeamCol25,0),MATCH(MID(INDEX('Structured 2025'!headerRow,1,COLUMN()),4,LEN(INDEX('Structured 2025'!headerRow,1,COLUMN()))),ovrHeaderRow25,0))</f>
        <v>1.34</v>
      </c>
      <c r="BS43" s="12">
        <f>INDEX(ovrTable25,MATCH(INDEX(oppCol,ROW()),ovrTeamCol25,0),MATCH(MID(INDEX('Structured 2025'!headerRow,1,COLUMN()),4,LEN(INDEX('Structured 2025'!headerRow,1,COLUMN()))),ovrHeaderRow25,0))</f>
        <v>12.1</v>
      </c>
      <c r="BT43" s="12">
        <f>INDEX(ovrTable25,MATCH(INDEX(oppCol,ROW()),ovrTeamCol25,0),MATCH(MID(INDEX('Structured 2025'!headerRow,1,COLUMN()),4,LEN(INDEX('Structured 2025'!headerRow,1,COLUMN()))),ovrHeaderRow25,0))</f>
        <v>18.73</v>
      </c>
      <c r="BU43" s="12">
        <f>INDEX(ovrTable25,MATCH(INDEX(oppCol,ROW()),ovrTeamCol25,0),MATCH(MID(INDEX('Structured 2025'!headerRow,1,COLUMN()),4,LEN(INDEX('Structured 2025'!headerRow,1,COLUMN()))),ovrHeaderRow25,0))</f>
        <v>4.5999999999999996</v>
      </c>
      <c r="BV43" s="12">
        <f>INDEX(ovrTable25,MATCH(INDEX(oppCol,ROW()),ovrTeamCol25,0),MATCH(MID(INDEX('Structured 2025'!headerRow,1,COLUMN()),4,LEN(INDEX('Structured 2025'!headerRow,1,COLUMN()))),ovrHeaderRow25,0))</f>
        <v>38.299999999999997</v>
      </c>
      <c r="BW43" s="12">
        <f>INDEX(ovrTable25,MATCH(INDEX(oppCol,ROW()),ovrTeamCol25,0),MATCH(MID(INDEX('Structured 2025'!headerRow,1,COLUMN()),4,LEN(INDEX('Structured 2025'!headerRow,1,COLUMN()))),ovrHeaderRow25,0))</f>
        <v>24.08</v>
      </c>
      <c r="BX43" s="12">
        <f>INDEX(ovrTable25,MATCH(INDEX(oppCol,ROW()),ovrTeamCol25,0),MATCH(MID(INDEX('Structured 2025'!headerRow,1,COLUMN()),4,LEN(INDEX('Structured 2025'!headerRow,1,COLUMN()))),ovrHeaderRow25,0))</f>
        <v>0.51700000000000002</v>
      </c>
      <c r="BY43" s="12">
        <f>INDEX(ovrTable25,MATCH(INDEX(oppCol,ROW()),ovrTeamCol25,0),MATCH(MID(INDEX('Structured 2025'!headerRow,1,COLUMN()),4,LEN(INDEX('Structured 2025'!headerRow,1,COLUMN()))),ovrHeaderRow25,0))</f>
        <v>7.6</v>
      </c>
      <c r="BZ43" s="12">
        <f>INDEX(ovrTable25,MATCH(INDEX(oppCol,ROW()),ovrTeamCol25,0),MATCH(MID(INDEX('Structured 2025'!headerRow,1,COLUMN()),4,LEN(INDEX('Structured 2025'!headerRow,1,COLUMN()))),ovrHeaderRow25,0))</f>
        <v>44.9</v>
      </c>
      <c r="CA43" s="12">
        <f>INDEX(ovrTable25,MATCH(INDEX(oppCol,ROW()),ovrTeamCol25,0),MATCH(MID(INDEX('Structured 2025'!headerRow,1,COLUMN()),4,LEN(INDEX('Structured 2025'!headerRow,1,COLUMN()))),ovrHeaderRow25,0))</f>
        <v>16.3</v>
      </c>
      <c r="CB43" s="12">
        <f>INDEX(ovrTable25,MATCH(INDEX(oppCol,ROW()),ovrTeamCol25,0),MATCH(MID(INDEX('Structured 2025'!headerRow,1,COLUMN()),4,LEN(INDEX('Structured 2025'!headerRow,1,COLUMN()))),ovrHeaderRow25,0))</f>
        <v>74</v>
      </c>
      <c r="CC43" s="12">
        <f>INDEX(ovrTable25,MATCH(INDEX(oppCol,ROW()),ovrTeamCol25,0),MATCH(MID(INDEX('Structured 2025'!headerRow,1,COLUMN()),4,LEN(INDEX('Structured 2025'!headerRow,1,COLUMN()))),ovrHeaderRow25,0))</f>
        <v>16.2</v>
      </c>
      <c r="CD43" s="12">
        <f>INDEX(ovrTable25,MATCH(INDEX(oppCol,ROW()),ovrTeamCol25,0),MATCH(MID(INDEX('Structured 2025'!headerRow,1,COLUMN()),4,LEN(INDEX('Structured 2025'!headerRow,1,COLUMN()))),ovrHeaderRow25,0))</f>
        <v>12</v>
      </c>
      <c r="CE43" s="12">
        <f>INDEX(ovrTable25,MATCH(INDEX(oppCol,ROW()),ovrTeamCol25,0),MATCH(MID(INDEX('Structured 2025'!headerRow,1,COLUMN()),4,LEN(INDEX('Structured 2025'!headerRow,1,COLUMN()))),ovrHeaderRow25,0))</f>
        <v>58.7</v>
      </c>
      <c r="CF43" s="12">
        <f>INDEX(ovrTable25,MATCH(INDEX(oppCol,ROW()),ovrTeamCol25,0),MATCH(MID(INDEX('Structured 2025'!headerRow,1,COLUMN()),4,LEN(INDEX('Structured 2025'!headerRow,1,COLUMN()))),ovrHeaderRow25,0))</f>
        <v>12.8</v>
      </c>
      <c r="CG43" s="12">
        <f>INDEX(ovrTable25,MATCH(INDEX(oppCol,ROW()),ovrTeamCol25,0),MATCH(MID(INDEX('Structured 2025'!headerRow,1,COLUMN()),4,LEN(INDEX('Structured 2025'!headerRow,1,COLUMN()))),ovrHeaderRow25,0))</f>
        <v>73.7</v>
      </c>
      <c r="CH43" s="12">
        <f>INDEX(ovrTable25,MATCH(INDEX(oppCol,ROW()),ovrTeamCol25,0),MATCH(MID(INDEX('Structured 2025'!headerRow,1,COLUMN()),4,LEN(INDEX('Structured 2025'!headerRow,1,COLUMN()))),ovrHeaderRow25,0))</f>
        <v>5.3</v>
      </c>
      <c r="CI43" s="12">
        <f>INDEX(ovrTable25,MATCH(INDEX(oppCol,ROW()),ovrTeamCol25,0),MATCH(MID(INDEX('Structured 2025'!headerRow,1,COLUMN()),4,LEN(INDEX('Structured 2025'!headerRow,1,COLUMN()))),ovrHeaderRow25,0))</f>
        <v>36.880000000000003</v>
      </c>
      <c r="CJ43" s="12">
        <f>INDEX(ovrTable25,MATCH(INDEX(oppCol,ROW()),ovrTeamCol25,0),MATCH(MID(INDEX('Structured 2025'!headerRow,1,COLUMN()),4,LEN(INDEX('Structured 2025'!headerRow,1,COLUMN()))),ovrHeaderRow25,0))</f>
        <v>15</v>
      </c>
      <c r="CK43" s="12">
        <f>INDEX(ovrTable25,MATCH(INDEX(oppCol,ROW()),ovrTeamCol25,0),MATCH(MID(INDEX('Structured 2025'!headerRow,1,COLUMN()),4,LEN(INDEX('Structured 2025'!headerRow,1,COLUMN()))),ovrHeaderRow25,0))</f>
        <v>7.8</v>
      </c>
      <c r="CL43" s="12">
        <f>INDEX(ovrTable25,MATCH(INDEX(oppCol,ROW()),ovrTeamCol25,0),MATCH(MID(INDEX('Structured 2025'!headerRow,1,COLUMN()),4,LEN(INDEX('Structured 2025'!headerRow,1,COLUMN()))),ovrHeaderRow25,0))</f>
        <v>4.2</v>
      </c>
      <c r="CM43" s="12">
        <f>INDEX(ovrTable25,MATCH(INDEX(oppCol,ROW()),ovrTeamCol25,0),MATCH(MID(INDEX('Structured 2025'!headerRow,1,COLUMN()),4,LEN(INDEX('Structured 2025'!headerRow,1,COLUMN()))),ovrHeaderRow25,0))</f>
        <v>13.23</v>
      </c>
      <c r="CN43" s="12">
        <f>INDEX(ovrTable25,MATCH(INDEX(oppCol,ROW()),ovrTeamCol25,0),MATCH(MID(INDEX('Structured 2025'!headerRow,1,COLUMN()),4,LEN(INDEX('Structured 2025'!headerRow,1,COLUMN()))),ovrHeaderRow25,0))</f>
        <v>9</v>
      </c>
      <c r="CO43" s="12">
        <f>INDEX(ovrTable25,MATCH(INDEX(oppCol,ROW()),ovrTeamCol25,0),MATCH(MID(INDEX('Structured 2025'!headerRow,1,COLUMN()),4,LEN(INDEX('Structured 2025'!headerRow,1,COLUMN()))),ovrHeaderRow25,0))</f>
        <v>61.9</v>
      </c>
      <c r="CP43" s="12">
        <f>INDEX(ovrTable25,MATCH(INDEX(oppCol,ROW()),ovrTeamCol25,0),MATCH(MID(INDEX('Structured 2025'!headerRow,1,COLUMN()),4,LEN(INDEX('Structured 2025'!headerRow,1,COLUMN()))),ovrHeaderRow25,0))</f>
        <v>18.550000000000004</v>
      </c>
      <c r="CQ43" s="12">
        <f>INDEX(ovrTable25,MATCH(INDEX(oppCol,ROW()),ovrTeamCol25,0),MATCH(MID(INDEX('Structured 2025'!headerRow,1,COLUMN()),4,LEN(INDEX('Structured 2025'!headerRow,1,COLUMN()))),ovrHeaderRow25,0))</f>
        <v>59.576837416481084</v>
      </c>
    </row>
    <row r="44" spans="1:95" x14ac:dyDescent="0.3">
      <c r="A44" s="6" t="s">
        <v>58</v>
      </c>
      <c r="B44" s="3">
        <v>8</v>
      </c>
      <c r="C44" s="13" t="str">
        <f>A45</f>
        <v>UGA</v>
      </c>
      <c r="D44" s="14">
        <f t="shared" si="26"/>
        <v>22</v>
      </c>
      <c r="E44" s="23">
        <v>0.19230769230769232</v>
      </c>
      <c r="F44" s="24">
        <v>55.000000000000007</v>
      </c>
      <c r="G44" s="24">
        <v>12</v>
      </c>
      <c r="H44" s="23">
        <v>60</v>
      </c>
      <c r="I44" s="24">
        <v>20</v>
      </c>
      <c r="J44" s="25">
        <v>1.9166666666666667</v>
      </c>
      <c r="K44" s="24">
        <v>11</v>
      </c>
      <c r="L44" s="24">
        <v>15</v>
      </c>
      <c r="M44" s="24">
        <v>11</v>
      </c>
      <c r="N44" s="24">
        <v>27</v>
      </c>
      <c r="O44" s="24">
        <v>23</v>
      </c>
      <c r="P44" s="24">
        <v>5</v>
      </c>
      <c r="Q44" s="24">
        <v>3</v>
      </c>
      <c r="R44" s="24">
        <v>12</v>
      </c>
      <c r="S44" s="24">
        <v>7</v>
      </c>
      <c r="T44" s="24">
        <v>23</v>
      </c>
      <c r="U44" s="24">
        <v>13</v>
      </c>
      <c r="V44" s="24">
        <v>0.35</v>
      </c>
      <c r="W44" s="26">
        <v>0.65</v>
      </c>
      <c r="X44" s="23">
        <v>73.333333333333329</v>
      </c>
      <c r="Y44" s="24">
        <v>68</v>
      </c>
      <c r="Z44" s="24">
        <v>89</v>
      </c>
      <c r="AA44" s="24">
        <v>7</v>
      </c>
      <c r="AB44" s="24">
        <v>38</v>
      </c>
      <c r="AC44" s="24">
        <v>21</v>
      </c>
      <c r="AD44" s="24">
        <v>1</v>
      </c>
      <c r="AE44" s="24">
        <v>13</v>
      </c>
      <c r="AF44" s="34">
        <f t="shared" si="34"/>
        <v>21</v>
      </c>
      <c r="AG44" s="34">
        <f t="shared" si="35"/>
        <v>39.999999999999993</v>
      </c>
      <c r="AH44" s="46">
        <f t="shared" si="36"/>
        <v>68.125</v>
      </c>
      <c r="AI44" s="51">
        <f t="shared" ref="AI44" si="47">AVERAGE(AH44,AH45)</f>
        <v>70.95</v>
      </c>
      <c r="AJ44" s="12">
        <f>INDEX(ovrTable25,MATCH(INDEX('Structured 2025'!teamCol,ROW()),ovrTeamCol25,0),MATCH(MID(INDEX('Structured 2025'!headerRow,1,COLUMN()),4,LEN(INDEX('Structured 2025'!headerRow,1,COLUMN()))),ovrHeaderRow25,0))</f>
        <v>30.2</v>
      </c>
      <c r="AK44" s="12">
        <f>INDEX(ovrTable25,MATCH(INDEX('Structured 2025'!teamCol,ROW()),ovrTeamCol25,0),MATCH(MID(INDEX('Structured 2025'!headerRow,1,COLUMN()),4,LEN(INDEX('Structured 2025'!headerRow,1,COLUMN()))),ovrHeaderRow25,0))</f>
        <v>7.5</v>
      </c>
      <c r="AL44" s="12">
        <f>INDEX(ovrTable25,MATCH(INDEX('Structured 2025'!teamCol,ROW()),ovrTeamCol25,0),MATCH(MID(INDEX('Structured 2025'!headerRow,1,COLUMN()),4,LEN(INDEX('Structured 2025'!headerRow,1,COLUMN()))),ovrHeaderRow25,0))</f>
        <v>35.4</v>
      </c>
      <c r="AM44" s="12">
        <f>INDEX(ovrTable25,MATCH(INDEX('Structured 2025'!teamCol,ROW()),ovrTeamCol25,0),MATCH(MID(INDEX('Structured 2025'!headerRow,1,COLUMN()),4,LEN(INDEX('Structured 2025'!headerRow,1,COLUMN()))),ovrHeaderRow25,0))</f>
        <v>21.2</v>
      </c>
      <c r="AN44" s="12">
        <f>INDEX(ovrTable25,MATCH(INDEX('Structured 2025'!teamCol,ROW()),ovrTeamCol25,0),MATCH(MID(INDEX('Structured 2025'!headerRow,1,COLUMN()),4,LEN(INDEX('Structured 2025'!headerRow,1,COLUMN()))),ovrHeaderRow25,0))</f>
        <v>2.0699999999999998</v>
      </c>
      <c r="AO44" s="12">
        <f>INDEX(ovrTable25,MATCH(INDEX('Structured 2025'!teamCol,ROW()),ovrTeamCol25,0),MATCH(MID(INDEX('Structured 2025'!headerRow,1,COLUMN()),4,LEN(INDEX('Structured 2025'!headerRow,1,COLUMN()))),ovrHeaderRow25,0))</f>
        <v>19.7</v>
      </c>
      <c r="AP44" s="12">
        <f>INDEX(ovrTable25,MATCH(INDEX('Structured 2025'!teamCol,ROW()),ovrTeamCol25,0),MATCH(MID(INDEX('Structured 2025'!headerRow,1,COLUMN()),4,LEN(INDEX('Structured 2025'!headerRow,1,COLUMN()))),ovrHeaderRow25,0))</f>
        <v>26.89</v>
      </c>
      <c r="AQ44" s="12">
        <f>INDEX(ovrTable25,MATCH(INDEX('Structured 2025'!teamCol,ROW()),ovrTeamCol25,0),MATCH(MID(INDEX('Structured 2025'!headerRow,1,COLUMN()),4,LEN(INDEX('Structured 2025'!headerRow,1,COLUMN()))),ovrHeaderRow25,0))</f>
        <v>3</v>
      </c>
      <c r="AR44" s="12">
        <f>INDEX(ovrTable25,MATCH(INDEX('Structured 2025'!teamCol,ROW()),ovrTeamCol25,0),MATCH(MID(INDEX('Structured 2025'!headerRow,1,COLUMN()),4,LEN(INDEX('Structured 2025'!headerRow,1,COLUMN()))),ovrHeaderRow25,0))</f>
        <v>41.4</v>
      </c>
      <c r="AS44" s="12">
        <f>INDEX(ovrTable25,MATCH(INDEX('Structured 2025'!teamCol,ROW()),ovrTeamCol25,0),MATCH(MID(INDEX('Structured 2025'!headerRow,1,COLUMN()),4,LEN(INDEX('Structured 2025'!headerRow,1,COLUMN()))),ovrHeaderRow25,0))</f>
        <v>27.26</v>
      </c>
      <c r="AT44" s="12">
        <f>INDEX(ovrTable25,MATCH(INDEX('Structured 2025'!teamCol,ROW()),ovrTeamCol25,0),MATCH(MID(INDEX('Structured 2025'!headerRow,1,COLUMN()),4,LEN(INDEX('Structured 2025'!headerRow,1,COLUMN()))),ovrHeaderRow25,0))</f>
        <v>0.56000000000000005</v>
      </c>
      <c r="AU44" s="12">
        <f>INDEX(ovrTable25,MATCH(INDEX('Structured 2025'!teamCol,ROW()),ovrTeamCol25,0),MATCH(MID(INDEX('Structured 2025'!headerRow,1,COLUMN()),4,LEN(INDEX('Structured 2025'!headerRow,1,COLUMN()))),ovrHeaderRow25,0))</f>
        <v>14.34</v>
      </c>
      <c r="AV44" s="12">
        <f>INDEX(ovrTable25,MATCH(INDEX('Structured 2025'!teamCol,ROW()),ovrTeamCol25,0),MATCH(MID(INDEX('Structured 2025'!headerRow,1,COLUMN()),4,LEN(INDEX('Structured 2025'!headerRow,1,COLUMN()))),ovrHeaderRow25,0))</f>
        <v>50.1</v>
      </c>
      <c r="AW44" s="12">
        <f>INDEX(ovrTable25,MATCH(INDEX('Structured 2025'!teamCol,ROW()),ovrTeamCol25,0),MATCH(MID(INDEX('Structured 2025'!headerRow,1,COLUMN()),4,LEN(INDEX('Structured 2025'!headerRow,1,COLUMN()))),ovrHeaderRow25,0))</f>
        <v>16.8</v>
      </c>
      <c r="AX44" s="12">
        <f>INDEX(ovrTable25,MATCH(INDEX('Structured 2025'!teamCol,ROW()),ovrTeamCol25,0),MATCH(MID(INDEX('Structured 2025'!headerRow,1,COLUMN()),4,LEN(INDEX('Structured 2025'!headerRow,1,COLUMN()))),ovrHeaderRow25,0))</f>
        <v>80.400000000000006</v>
      </c>
      <c r="AY44" s="12">
        <f>INDEX(ovrTable25,MATCH(INDEX('Structured 2025'!teamCol,ROW()),ovrTeamCol25,0),MATCH(MID(INDEX('Structured 2025'!headerRow,1,COLUMN()),4,LEN(INDEX('Structured 2025'!headerRow,1,COLUMN()))),ovrHeaderRow25,0))</f>
        <v>19.399999999999999</v>
      </c>
      <c r="AZ44" s="12">
        <f>INDEX(ovrTable25,MATCH(INDEX('Structured 2025'!teamCol,ROW()),ovrTeamCol25,0),MATCH(MID(INDEX('Structured 2025'!headerRow,1,COLUMN()),4,LEN(INDEX('Structured 2025'!headerRow,1,COLUMN()))),ovrHeaderRow25,0))</f>
        <v>15.6</v>
      </c>
      <c r="BA44" s="12">
        <f>INDEX(ovrTable25,MATCH(INDEX('Structured 2025'!teamCol,ROW()),ovrTeamCol25,0),MATCH(MID(INDEX('Structured 2025'!headerRow,1,COLUMN()),4,LEN(INDEX('Structured 2025'!headerRow,1,COLUMN()))),ovrHeaderRow25,0))</f>
        <v>69.900000000000006</v>
      </c>
      <c r="BB44" s="12">
        <f>INDEX(ovrTable25,MATCH(INDEX('Structured 2025'!teamCol,ROW()),ovrTeamCol25,0),MATCH(MID(INDEX('Structured 2025'!headerRow,1,COLUMN()),4,LEN(INDEX('Structured 2025'!headerRow,1,COLUMN()))),ovrHeaderRow25,0))</f>
        <v>11</v>
      </c>
      <c r="BC44" s="12">
        <f>INDEX(ovrTable25,MATCH(INDEX('Structured 2025'!teamCol,ROW()),ovrTeamCol25,0),MATCH(MID(INDEX('Structured 2025'!headerRow,1,COLUMN()),4,LEN(INDEX('Structured 2025'!headerRow,1,COLUMN()))),ovrHeaderRow25,0))</f>
        <v>86.4</v>
      </c>
      <c r="BD44" s="12">
        <f>INDEX(ovrTable25,MATCH(INDEX('Structured 2025'!teamCol,ROW()),ovrTeamCol25,0),MATCH(MID(INDEX('Structured 2025'!headerRow,1,COLUMN()),4,LEN(INDEX('Structured 2025'!headerRow,1,COLUMN()))),ovrHeaderRow25,0))</f>
        <v>5.4</v>
      </c>
      <c r="BE44" s="12">
        <f>INDEX(ovrTable25,MATCH(INDEX('Structured 2025'!teamCol,ROW()),ovrTeamCol25,0),MATCH(MID(INDEX('Structured 2025'!headerRow,1,COLUMN()),4,LEN(INDEX('Structured 2025'!headerRow,1,COLUMN()))),ovrHeaderRow25,0))</f>
        <v>38.26</v>
      </c>
      <c r="BF44" s="12">
        <f>INDEX(ovrTable25,MATCH(INDEX('Structured 2025'!teamCol,ROW()),ovrTeamCol25,0),MATCH(MID(INDEX('Structured 2025'!headerRow,1,COLUMN()),4,LEN(INDEX('Structured 2025'!headerRow,1,COLUMN()))),ovrHeaderRow25,0))</f>
        <v>16.5</v>
      </c>
      <c r="BG44" s="12">
        <f>INDEX(ovrTable25,MATCH(INDEX('Structured 2025'!teamCol,ROW()),ovrTeamCol25,0),MATCH(MID(INDEX('Structured 2025'!headerRow,1,COLUMN()),4,LEN(INDEX('Structured 2025'!headerRow,1,COLUMN()))),ovrHeaderRow25,0))</f>
        <v>7.5</v>
      </c>
      <c r="BH44" s="12">
        <f>INDEX(ovrTable25,MATCH(INDEX('Structured 2025'!teamCol,ROW()),ovrTeamCol25,0),MATCH(MID(INDEX('Structured 2025'!headerRow,1,COLUMN()),4,LEN(INDEX('Structured 2025'!headerRow,1,COLUMN()))),ovrHeaderRow25,0))</f>
        <v>3.3</v>
      </c>
      <c r="BI44" s="12">
        <f>INDEX(ovrTable25,MATCH(INDEX('Structured 2025'!teamCol,ROW()),ovrTeamCol25,0),MATCH(MID(INDEX('Structured 2025'!headerRow,1,COLUMN()),4,LEN(INDEX('Structured 2025'!headerRow,1,COLUMN()))),ovrHeaderRow25,0))</f>
        <v>12.83</v>
      </c>
      <c r="BJ44" s="12">
        <f>INDEX(ovrTable25,MATCH(INDEX('Structured 2025'!teamCol,ROW()),ovrTeamCol25,0),MATCH(MID(INDEX('Structured 2025'!headerRow,1,COLUMN()),4,LEN(INDEX('Structured 2025'!headerRow,1,COLUMN()))),ovrHeaderRow25,0))</f>
        <v>9.5</v>
      </c>
      <c r="BK44" s="12">
        <f>INDEX(ovrTable25,MATCH(INDEX('Structured 2025'!teamCol,ROW()),ovrTeamCol25,0),MATCH(MID(INDEX('Structured 2025'!headerRow,1,COLUMN()),4,LEN(INDEX('Structured 2025'!headerRow,1,COLUMN()))),ovrHeaderRow25,0))</f>
        <v>70.5</v>
      </c>
      <c r="BL44" s="12">
        <f>INDEX(ovrTable25,MATCH(INDEX('Structured 2025'!teamCol,ROW()),ovrTeamCol25,0),MATCH(MID(INDEX('Structured 2025'!headerRow,1,COLUMN()),4,LEN(INDEX('Structured 2025'!headerRow,1,COLUMN()))),ovrHeaderRow25,0))</f>
        <v>24.150000000000006</v>
      </c>
      <c r="BM44" s="12">
        <f>INDEX(ovrTable25,MATCH(INDEX('Structured 2025'!teamCol,ROW()),ovrTeamCol25,0),MATCH(MID(INDEX('Structured 2025'!headerRow,1,COLUMN()),4,LEN(INDEX('Structured 2025'!headerRow,1,COLUMN()))),ovrHeaderRow25,0))</f>
        <v>63.173652694610787</v>
      </c>
      <c r="BN44" s="12">
        <f>INDEX(ovrTable25,MATCH(INDEX(oppCol,ROW()),ovrTeamCol25,0),MATCH(MID(INDEX('Structured 2025'!headerRow,1,COLUMN()),4,LEN(INDEX('Structured 2025'!headerRow,1,COLUMN()))),ovrHeaderRow25,0))</f>
        <v>31.6</v>
      </c>
      <c r="BO44" s="12">
        <f>INDEX(ovrTable25,MATCH(INDEX(oppCol,ROW()),ovrTeamCol25,0),MATCH(MID(INDEX('Structured 2025'!headerRow,1,COLUMN()),4,LEN(INDEX('Structured 2025'!headerRow,1,COLUMN()))),ovrHeaderRow25,0))</f>
        <v>6.9</v>
      </c>
      <c r="BP44" s="12">
        <f>INDEX(ovrTable25,MATCH(INDEX(oppCol,ROW()),ovrTeamCol25,0),MATCH(MID(INDEX('Structured 2025'!headerRow,1,COLUMN()),4,LEN(INDEX('Structured 2025'!headerRow,1,COLUMN()))),ovrHeaderRow25,0))</f>
        <v>32.9</v>
      </c>
      <c r="BQ44" s="12">
        <f>INDEX(ovrTable25,MATCH(INDEX(oppCol,ROW()),ovrTeamCol25,0),MATCH(MID(INDEX('Structured 2025'!headerRow,1,COLUMN()),4,LEN(INDEX('Structured 2025'!headerRow,1,COLUMN()))),ovrHeaderRow25,0))</f>
        <v>21</v>
      </c>
      <c r="BR44" s="12">
        <f>INDEX(ovrTable25,MATCH(INDEX(oppCol,ROW()),ovrTeamCol25,0),MATCH(MID(INDEX('Structured 2025'!headerRow,1,COLUMN()),4,LEN(INDEX('Structured 2025'!headerRow,1,COLUMN()))),ovrHeaderRow25,0))</f>
        <v>0.96</v>
      </c>
      <c r="BS44" s="12">
        <f>INDEX(ovrTable25,MATCH(INDEX(oppCol,ROW()),ovrTeamCol25,0),MATCH(MID(INDEX('Structured 2025'!headerRow,1,COLUMN()),4,LEN(INDEX('Structured 2025'!headerRow,1,COLUMN()))),ovrHeaderRow25,0))</f>
        <v>12.5</v>
      </c>
      <c r="BT44" s="12">
        <f>INDEX(ovrTable25,MATCH(INDEX(oppCol,ROW()),ovrTeamCol25,0),MATCH(MID(INDEX('Structured 2025'!headerRow,1,COLUMN()),4,LEN(INDEX('Structured 2025'!headerRow,1,COLUMN()))),ovrHeaderRow25,0))</f>
        <v>22.7</v>
      </c>
      <c r="BU44" s="12">
        <f>INDEX(ovrTable25,MATCH(INDEX(oppCol,ROW()),ovrTeamCol25,0),MATCH(MID(INDEX('Structured 2025'!headerRow,1,COLUMN()),4,LEN(INDEX('Structured 2025'!headerRow,1,COLUMN()))),ovrHeaderRow25,0))</f>
        <v>5.0999999999999996</v>
      </c>
      <c r="BV44" s="12">
        <f>INDEX(ovrTable25,MATCH(INDEX(oppCol,ROW()),ovrTeamCol25,0),MATCH(MID(INDEX('Structured 2025'!headerRow,1,COLUMN()),4,LEN(INDEX('Structured 2025'!headerRow,1,COLUMN()))),ovrHeaderRow25,0))</f>
        <v>41.3</v>
      </c>
      <c r="BW44" s="12">
        <f>INDEX(ovrTable25,MATCH(INDEX(oppCol,ROW()),ovrTeamCol25,0),MATCH(MID(INDEX('Structured 2025'!headerRow,1,COLUMN()),4,LEN(INDEX('Structured 2025'!headerRow,1,COLUMN()))),ovrHeaderRow25,0))</f>
        <v>24.61</v>
      </c>
      <c r="BX44" s="12">
        <f>INDEX(ovrTable25,MATCH(INDEX(oppCol,ROW()),ovrTeamCol25,0),MATCH(MID(INDEX('Structured 2025'!headerRow,1,COLUMN()),4,LEN(INDEX('Structured 2025'!headerRow,1,COLUMN()))),ovrHeaderRow25,0))</f>
        <v>0.52100000000000002</v>
      </c>
      <c r="BY44" s="12">
        <f>INDEX(ovrTable25,MATCH(INDEX(oppCol,ROW()),ovrTeamCol25,0),MATCH(MID(INDEX('Structured 2025'!headerRow,1,COLUMN()),4,LEN(INDEX('Structured 2025'!headerRow,1,COLUMN()))),ovrHeaderRow25,0))</f>
        <v>10.210000000000001</v>
      </c>
      <c r="BZ44" s="12">
        <f>INDEX(ovrTable25,MATCH(INDEX(oppCol,ROW()),ovrTeamCol25,0),MATCH(MID(INDEX('Structured 2025'!headerRow,1,COLUMN()),4,LEN(INDEX('Structured 2025'!headerRow,1,COLUMN()))),ovrHeaderRow25,0))</f>
        <v>46</v>
      </c>
      <c r="CA44" s="12">
        <f>INDEX(ovrTable25,MATCH(INDEX(oppCol,ROW()),ovrTeamCol25,0),MATCH(MID(INDEX('Structured 2025'!headerRow,1,COLUMN()),4,LEN(INDEX('Structured 2025'!headerRow,1,COLUMN()))),ovrHeaderRow25,0))</f>
        <v>16.600000000000001</v>
      </c>
      <c r="CB44" s="12">
        <f>INDEX(ovrTable25,MATCH(INDEX(oppCol,ROW()),ovrTeamCol25,0),MATCH(MID(INDEX('Structured 2025'!headerRow,1,COLUMN()),4,LEN(INDEX('Structured 2025'!headerRow,1,COLUMN()))),ovrHeaderRow25,0))</f>
        <v>71.7</v>
      </c>
      <c r="CC44" s="12">
        <f>INDEX(ovrTable25,MATCH(INDEX(oppCol,ROW()),ovrTeamCol25,0),MATCH(MID(INDEX('Structured 2025'!headerRow,1,COLUMN()),4,LEN(INDEX('Structured 2025'!headerRow,1,COLUMN()))),ovrHeaderRow25,0))</f>
        <v>22.7</v>
      </c>
      <c r="CD44" s="12">
        <f>INDEX(ovrTable25,MATCH(INDEX(oppCol,ROW()),ovrTeamCol25,0),MATCH(MID(INDEX('Structured 2025'!headerRow,1,COLUMN()),4,LEN(INDEX('Structured 2025'!headerRow,1,COLUMN()))),ovrHeaderRow25,0))</f>
        <v>16.3</v>
      </c>
      <c r="CE44" s="12">
        <f>INDEX(ovrTable25,MATCH(INDEX(oppCol,ROW()),ovrTeamCol25,0),MATCH(MID(INDEX('Structured 2025'!headerRow,1,COLUMN()),4,LEN(INDEX('Structured 2025'!headerRow,1,COLUMN()))),ovrHeaderRow25,0))</f>
        <v>69.900000000000006</v>
      </c>
      <c r="CF44" s="12">
        <f>INDEX(ovrTable25,MATCH(INDEX(oppCol,ROW()),ovrTeamCol25,0),MATCH(MID(INDEX('Structured 2025'!headerRow,1,COLUMN()),4,LEN(INDEX('Structured 2025'!headerRow,1,COLUMN()))),ovrHeaderRow25,0))</f>
        <v>11.85</v>
      </c>
      <c r="CG44" s="12">
        <f>INDEX(ovrTable25,MATCH(INDEX(oppCol,ROW()),ovrTeamCol25,0),MATCH(MID(INDEX('Structured 2025'!headerRow,1,COLUMN()),4,LEN(INDEX('Structured 2025'!headerRow,1,COLUMN()))),ovrHeaderRow25,0))</f>
        <v>75.3</v>
      </c>
      <c r="CH44" s="12">
        <f>INDEX(ovrTable25,MATCH(INDEX(oppCol,ROW()),ovrTeamCol25,0),MATCH(MID(INDEX('Structured 2025'!headerRow,1,COLUMN()),4,LEN(INDEX('Structured 2025'!headerRow,1,COLUMN()))),ovrHeaderRow25,0))</f>
        <v>3.8</v>
      </c>
      <c r="CI44" s="12">
        <f>INDEX(ovrTable25,MATCH(INDEX(oppCol,ROW()),ovrTeamCol25,0),MATCH(MID(INDEX('Structured 2025'!headerRow,1,COLUMN()),4,LEN(INDEX('Structured 2025'!headerRow,1,COLUMN()))),ovrHeaderRow25,0))</f>
        <v>36.450000000000003</v>
      </c>
      <c r="CJ44" s="12">
        <f>INDEX(ovrTable25,MATCH(INDEX(oppCol,ROW()),ovrTeamCol25,0),MATCH(MID(INDEX('Structured 2025'!headerRow,1,COLUMN()),4,LEN(INDEX('Structured 2025'!headerRow,1,COLUMN()))),ovrHeaderRow25,0))</f>
        <v>5.4</v>
      </c>
      <c r="CK44" s="12">
        <f>INDEX(ovrTable25,MATCH(INDEX(oppCol,ROW()),ovrTeamCol25,0),MATCH(MID(INDEX('Structured 2025'!headerRow,1,COLUMN()),4,LEN(INDEX('Structured 2025'!headerRow,1,COLUMN()))),ovrHeaderRow25,0))</f>
        <v>7.8</v>
      </c>
      <c r="CL44" s="12">
        <f>INDEX(ovrTable25,MATCH(INDEX(oppCol,ROW()),ovrTeamCol25,0),MATCH(MID(INDEX('Structured 2025'!headerRow,1,COLUMN()),4,LEN(INDEX('Structured 2025'!headerRow,1,COLUMN()))),ovrHeaderRow25,0))</f>
        <v>-0.6</v>
      </c>
      <c r="CM44" s="12">
        <f>INDEX(ovrTable25,MATCH(INDEX(oppCol,ROW()),ovrTeamCol25,0),MATCH(MID(INDEX('Structured 2025'!headerRow,1,COLUMN()),4,LEN(INDEX('Structured 2025'!headerRow,1,COLUMN()))),ovrHeaderRow25,0))</f>
        <v>12.33</v>
      </c>
      <c r="CN44" s="12">
        <f>INDEX(ovrTable25,MATCH(INDEX(oppCol,ROW()),ovrTeamCol25,0),MATCH(MID(INDEX('Structured 2025'!headerRow,1,COLUMN()),4,LEN(INDEX('Structured 2025'!headerRow,1,COLUMN()))),ovrHeaderRow25,0))</f>
        <v>12.9</v>
      </c>
      <c r="CO44" s="12">
        <f>INDEX(ovrTable25,MATCH(INDEX(oppCol,ROW()),ovrTeamCol25,0),MATCH(MID(INDEX('Structured 2025'!headerRow,1,COLUMN()),4,LEN(INDEX('Structured 2025'!headerRow,1,COLUMN()))),ovrHeaderRow25,0))</f>
        <v>66.7</v>
      </c>
      <c r="CP44" s="12">
        <f>INDEX(ovrTable25,MATCH(INDEX(oppCol,ROW()),ovrTeamCol25,0),MATCH(MID(INDEX('Structured 2025'!headerRow,1,COLUMN()),4,LEN(INDEX('Structured 2025'!headerRow,1,COLUMN()))),ovrHeaderRow25,0))</f>
        <v>19.149999999999999</v>
      </c>
      <c r="CQ44" s="12">
        <f>INDEX(ovrTable25,MATCH(INDEX(oppCol,ROW()),ovrTeamCol25,0),MATCH(MID(INDEX('Structured 2025'!headerRow,1,COLUMN()),4,LEN(INDEX('Structured 2025'!headerRow,1,COLUMN()))),ovrHeaderRow25,0))</f>
        <v>56.630434782608688</v>
      </c>
    </row>
    <row r="45" spans="1:95" x14ac:dyDescent="0.3">
      <c r="A45" s="6" t="s">
        <v>387</v>
      </c>
      <c r="B45" s="3">
        <v>9</v>
      </c>
      <c r="C45" s="13" t="str">
        <f>A44</f>
        <v>GONZ</v>
      </c>
      <c r="D45" s="14">
        <f t="shared" si="26"/>
        <v>22</v>
      </c>
      <c r="E45" s="23">
        <v>0.6</v>
      </c>
      <c r="F45" s="24">
        <v>35</v>
      </c>
      <c r="G45" s="24">
        <v>5</v>
      </c>
      <c r="H45" s="23">
        <v>19.230769230769234</v>
      </c>
      <c r="I45" s="24">
        <v>26</v>
      </c>
      <c r="J45" s="25">
        <v>0.92307692307692313</v>
      </c>
      <c r="K45" s="24">
        <v>21</v>
      </c>
      <c r="L45" s="24">
        <v>29</v>
      </c>
      <c r="M45" s="24">
        <v>13</v>
      </c>
      <c r="N45" s="24">
        <v>18</v>
      </c>
      <c r="O45" s="24">
        <v>12</v>
      </c>
      <c r="P45" s="24">
        <v>9</v>
      </c>
      <c r="Q45" s="24">
        <v>3</v>
      </c>
      <c r="R45" s="24">
        <v>13</v>
      </c>
      <c r="S45" s="24">
        <v>8</v>
      </c>
      <c r="T45" s="24">
        <v>13</v>
      </c>
      <c r="U45" s="24">
        <v>20</v>
      </c>
      <c r="V45" s="24">
        <v>0.55000000000000004</v>
      </c>
      <c r="W45" s="26">
        <v>0.39166666666666661</v>
      </c>
      <c r="X45" s="23">
        <v>72.41379310344827</v>
      </c>
      <c r="Y45" s="24">
        <v>89</v>
      </c>
      <c r="Z45" s="24">
        <v>68</v>
      </c>
      <c r="AA45" s="24">
        <v>-7</v>
      </c>
      <c r="AB45" s="24">
        <v>31</v>
      </c>
      <c r="AC45" s="24">
        <v>-21</v>
      </c>
      <c r="AD45" s="24">
        <v>-1</v>
      </c>
      <c r="AE45" s="24">
        <v>12</v>
      </c>
      <c r="AF45" s="34">
        <f t="shared" si="34"/>
        <v>16</v>
      </c>
      <c r="AG45" s="34">
        <f t="shared" si="35"/>
        <v>34.000000000000007</v>
      </c>
      <c r="AH45" s="46">
        <f t="shared" si="36"/>
        <v>73.775000000000006</v>
      </c>
      <c r="AI45" s="51">
        <f t="shared" ref="AI45" si="48">AVERAGE(AH44,AH45)</f>
        <v>70.95</v>
      </c>
      <c r="AJ45" s="12">
        <f>INDEX(ovrTable25,MATCH(INDEX('Structured 2025'!teamCol,ROW()),ovrTeamCol25,0),MATCH(MID(INDEX('Structured 2025'!headerRow,1,COLUMN()),4,LEN(INDEX('Structured 2025'!headerRow,1,COLUMN()))),ovrHeaderRow25,0))</f>
        <v>31.6</v>
      </c>
      <c r="AK45" s="12">
        <f>INDEX(ovrTable25,MATCH(INDEX('Structured 2025'!teamCol,ROW()),ovrTeamCol25,0),MATCH(MID(INDEX('Structured 2025'!headerRow,1,COLUMN()),4,LEN(INDEX('Structured 2025'!headerRow,1,COLUMN()))),ovrHeaderRow25,0))</f>
        <v>6.9</v>
      </c>
      <c r="AL45" s="12">
        <f>INDEX(ovrTable25,MATCH(INDEX('Structured 2025'!teamCol,ROW()),ovrTeamCol25,0),MATCH(MID(INDEX('Structured 2025'!headerRow,1,COLUMN()),4,LEN(INDEX('Structured 2025'!headerRow,1,COLUMN()))),ovrHeaderRow25,0))</f>
        <v>32.9</v>
      </c>
      <c r="AM45" s="12">
        <f>INDEX(ovrTable25,MATCH(INDEX('Structured 2025'!teamCol,ROW()),ovrTeamCol25,0),MATCH(MID(INDEX('Structured 2025'!headerRow,1,COLUMN()),4,LEN(INDEX('Structured 2025'!headerRow,1,COLUMN()))),ovrHeaderRow25,0))</f>
        <v>21</v>
      </c>
      <c r="AN45" s="12">
        <f>INDEX(ovrTable25,MATCH(INDEX('Structured 2025'!teamCol,ROW()),ovrTeamCol25,0),MATCH(MID(INDEX('Structured 2025'!headerRow,1,COLUMN()),4,LEN(INDEX('Structured 2025'!headerRow,1,COLUMN()))),ovrHeaderRow25,0))</f>
        <v>0.96</v>
      </c>
      <c r="AO45" s="12">
        <f>INDEX(ovrTable25,MATCH(INDEX('Structured 2025'!teamCol,ROW()),ovrTeamCol25,0),MATCH(MID(INDEX('Structured 2025'!headerRow,1,COLUMN()),4,LEN(INDEX('Structured 2025'!headerRow,1,COLUMN()))),ovrHeaderRow25,0))</f>
        <v>12.5</v>
      </c>
      <c r="AP45" s="12">
        <f>INDEX(ovrTable25,MATCH(INDEX('Structured 2025'!teamCol,ROW()),ovrTeamCol25,0),MATCH(MID(INDEX('Structured 2025'!headerRow,1,COLUMN()),4,LEN(INDEX('Structured 2025'!headerRow,1,COLUMN()))),ovrHeaderRow25,0))</f>
        <v>22.7</v>
      </c>
      <c r="AQ45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AR45" s="12">
        <f>INDEX(ovrTable25,MATCH(INDEX('Structured 2025'!teamCol,ROW()),ovrTeamCol25,0),MATCH(MID(INDEX('Structured 2025'!headerRow,1,COLUMN()),4,LEN(INDEX('Structured 2025'!headerRow,1,COLUMN()))),ovrHeaderRow25,0))</f>
        <v>41.3</v>
      </c>
      <c r="AS45" s="12">
        <f>INDEX(ovrTable25,MATCH(INDEX('Structured 2025'!teamCol,ROW()),ovrTeamCol25,0),MATCH(MID(INDEX('Structured 2025'!headerRow,1,COLUMN()),4,LEN(INDEX('Structured 2025'!headerRow,1,COLUMN()))),ovrHeaderRow25,0))</f>
        <v>24.61</v>
      </c>
      <c r="AT45" s="12">
        <f>INDEX(ovrTable25,MATCH(INDEX('Structured 2025'!teamCol,ROW()),ovrTeamCol25,0),MATCH(MID(INDEX('Structured 2025'!headerRow,1,COLUMN()),4,LEN(INDEX('Structured 2025'!headerRow,1,COLUMN()))),ovrHeaderRow25,0))</f>
        <v>0.52100000000000002</v>
      </c>
      <c r="AU45" s="12">
        <f>INDEX(ovrTable25,MATCH(INDEX('Structured 2025'!teamCol,ROW()),ovrTeamCol25,0),MATCH(MID(INDEX('Structured 2025'!headerRow,1,COLUMN()),4,LEN(INDEX('Structured 2025'!headerRow,1,COLUMN()))),ovrHeaderRow25,0))</f>
        <v>10.210000000000001</v>
      </c>
      <c r="AV45" s="12">
        <f>INDEX(ovrTable25,MATCH(INDEX('Structured 2025'!teamCol,ROW()),ovrTeamCol25,0),MATCH(MID(INDEX('Structured 2025'!headerRow,1,COLUMN()),4,LEN(INDEX('Structured 2025'!headerRow,1,COLUMN()))),ovrHeaderRow25,0))</f>
        <v>46</v>
      </c>
      <c r="AW45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AX45" s="12">
        <f>INDEX(ovrTable25,MATCH(INDEX('Structured 2025'!teamCol,ROW()),ovrTeamCol25,0),MATCH(MID(INDEX('Structured 2025'!headerRow,1,COLUMN()),4,LEN(INDEX('Structured 2025'!headerRow,1,COLUMN()))),ovrHeaderRow25,0))</f>
        <v>71.7</v>
      </c>
      <c r="AY45" s="12">
        <f>INDEX(ovrTable25,MATCH(INDEX('Structured 2025'!teamCol,ROW()),ovrTeamCol25,0),MATCH(MID(INDEX('Structured 2025'!headerRow,1,COLUMN()),4,LEN(INDEX('Structured 2025'!headerRow,1,COLUMN()))),ovrHeaderRow25,0))</f>
        <v>22.7</v>
      </c>
      <c r="AZ45" s="12">
        <f>INDEX(ovrTable25,MATCH(INDEX('Structured 2025'!teamCol,ROW()),ovrTeamCol25,0),MATCH(MID(INDEX('Structured 2025'!headerRow,1,COLUMN()),4,LEN(INDEX('Structured 2025'!headerRow,1,COLUMN()))),ovrHeaderRow25,0))</f>
        <v>16.3</v>
      </c>
      <c r="BA45" s="12">
        <f>INDEX(ovrTable25,MATCH(INDEX('Structured 2025'!teamCol,ROW()),ovrTeamCol25,0),MATCH(MID(INDEX('Structured 2025'!headerRow,1,COLUMN()),4,LEN(INDEX('Structured 2025'!headerRow,1,COLUMN()))),ovrHeaderRow25,0))</f>
        <v>69.900000000000006</v>
      </c>
      <c r="BB45" s="12">
        <f>INDEX(ovrTable25,MATCH(INDEX('Structured 2025'!teamCol,ROW()),ovrTeamCol25,0),MATCH(MID(INDEX('Structured 2025'!headerRow,1,COLUMN()),4,LEN(INDEX('Structured 2025'!headerRow,1,COLUMN()))),ovrHeaderRow25,0))</f>
        <v>11.85</v>
      </c>
      <c r="BC45" s="12">
        <f>INDEX(ovrTable25,MATCH(INDEX('Structured 2025'!teamCol,ROW()),ovrTeamCol25,0),MATCH(MID(INDEX('Structured 2025'!headerRow,1,COLUMN()),4,LEN(INDEX('Structured 2025'!headerRow,1,COLUMN()))),ovrHeaderRow25,0))</f>
        <v>75.3</v>
      </c>
      <c r="BD45" s="12">
        <f>INDEX(ovrTable25,MATCH(INDEX('Structured 2025'!teamCol,ROW()),ovrTeamCol25,0),MATCH(MID(INDEX('Structured 2025'!headerRow,1,COLUMN()),4,LEN(INDEX('Structured 2025'!headerRow,1,COLUMN()))),ovrHeaderRow25,0))</f>
        <v>3.8</v>
      </c>
      <c r="BE45" s="12">
        <f>INDEX(ovrTable25,MATCH(INDEX('Structured 2025'!teamCol,ROW()),ovrTeamCol25,0),MATCH(MID(INDEX('Structured 2025'!headerRow,1,COLUMN()),4,LEN(INDEX('Structured 2025'!headerRow,1,COLUMN()))),ovrHeaderRow25,0))</f>
        <v>36.450000000000003</v>
      </c>
      <c r="BF45" s="12">
        <f>INDEX(ovrTable25,MATCH(INDEX('Structured 2025'!teamCol,ROW()),ovrTeamCol25,0),MATCH(MID(INDEX('Structured 2025'!headerRow,1,COLUMN()),4,LEN(INDEX('Structured 2025'!headerRow,1,COLUMN()))),ovrHeaderRow25,0))</f>
        <v>5.4</v>
      </c>
      <c r="BG45" s="12">
        <f>INDEX(ovrTable25,MATCH(INDEX('Structured 2025'!teamCol,ROW()),ovrTeamCol25,0),MATCH(MID(INDEX('Structured 2025'!headerRow,1,COLUMN()),4,LEN(INDEX('Structured 2025'!headerRow,1,COLUMN()))),ovrHeaderRow25,0))</f>
        <v>7.8</v>
      </c>
      <c r="BH45" s="12">
        <f>INDEX(ovrTable25,MATCH(INDEX('Structured 2025'!teamCol,ROW()),ovrTeamCol25,0),MATCH(MID(INDEX('Structured 2025'!headerRow,1,COLUMN()),4,LEN(INDEX('Structured 2025'!headerRow,1,COLUMN()))),ovrHeaderRow25,0))</f>
        <v>-0.6</v>
      </c>
      <c r="BI45" s="12">
        <f>INDEX(ovrTable25,MATCH(INDEX('Structured 2025'!teamCol,ROW()),ovrTeamCol25,0),MATCH(MID(INDEX('Structured 2025'!headerRow,1,COLUMN()),4,LEN(INDEX('Structured 2025'!headerRow,1,COLUMN()))),ovrHeaderRow25,0))</f>
        <v>12.33</v>
      </c>
      <c r="BJ45" s="12">
        <f>INDEX(ovrTable25,MATCH(INDEX('Structured 2025'!teamCol,ROW()),ovrTeamCol25,0),MATCH(MID(INDEX('Structured 2025'!headerRow,1,COLUMN()),4,LEN(INDEX('Structured 2025'!headerRow,1,COLUMN()))),ovrHeaderRow25,0))</f>
        <v>12.9</v>
      </c>
      <c r="BK45" s="12">
        <f>INDEX(ovrTable25,MATCH(INDEX('Structured 2025'!teamCol,ROW()),ovrTeamCol25,0),MATCH(MID(INDEX('Structured 2025'!headerRow,1,COLUMN()),4,LEN(INDEX('Structured 2025'!headerRow,1,COLUMN()))),ovrHeaderRow25,0))</f>
        <v>66.7</v>
      </c>
      <c r="BL45" s="12">
        <f>INDEX(ovrTable25,MATCH(INDEX('Structured 2025'!teamCol,ROW()),ovrTeamCol25,0),MATCH(MID(INDEX('Structured 2025'!headerRow,1,COLUMN()),4,LEN(INDEX('Structured 2025'!headerRow,1,COLUMN()))),ovrHeaderRow25,0))</f>
        <v>19.149999999999999</v>
      </c>
      <c r="BM45" s="12">
        <f>INDEX(ovrTable25,MATCH(INDEX('Structured 2025'!teamCol,ROW()),ovrTeamCol25,0),MATCH(MID(INDEX('Structured 2025'!headerRow,1,COLUMN()),4,LEN(INDEX('Structured 2025'!headerRow,1,COLUMN()))),ovrHeaderRow25,0))</f>
        <v>56.630434782608688</v>
      </c>
      <c r="BN45" s="12">
        <f>INDEX(ovrTable25,MATCH(INDEX(oppCol,ROW()),ovrTeamCol25,0),MATCH(MID(INDEX('Structured 2025'!headerRow,1,COLUMN()),4,LEN(INDEX('Structured 2025'!headerRow,1,COLUMN()))),ovrHeaderRow25,0))</f>
        <v>30.2</v>
      </c>
      <c r="BO45" s="12">
        <f>INDEX(ovrTable25,MATCH(INDEX(oppCol,ROW()),ovrTeamCol25,0),MATCH(MID(INDEX('Structured 2025'!headerRow,1,COLUMN()),4,LEN(INDEX('Structured 2025'!headerRow,1,COLUMN()))),ovrHeaderRow25,0))</f>
        <v>7.5</v>
      </c>
      <c r="BP45" s="12">
        <f>INDEX(ovrTable25,MATCH(INDEX(oppCol,ROW()),ovrTeamCol25,0),MATCH(MID(INDEX('Structured 2025'!headerRow,1,COLUMN()),4,LEN(INDEX('Structured 2025'!headerRow,1,COLUMN()))),ovrHeaderRow25,0))</f>
        <v>35.4</v>
      </c>
      <c r="BQ45" s="12">
        <f>INDEX(ovrTable25,MATCH(INDEX(oppCol,ROW()),ovrTeamCol25,0),MATCH(MID(INDEX('Structured 2025'!headerRow,1,COLUMN()),4,LEN(INDEX('Structured 2025'!headerRow,1,COLUMN()))),ovrHeaderRow25,0))</f>
        <v>21.2</v>
      </c>
      <c r="BR45" s="12">
        <f>INDEX(ovrTable25,MATCH(INDEX(oppCol,ROW()),ovrTeamCol25,0),MATCH(MID(INDEX('Structured 2025'!headerRow,1,COLUMN()),4,LEN(INDEX('Structured 2025'!headerRow,1,COLUMN()))),ovrHeaderRow25,0))</f>
        <v>2.0699999999999998</v>
      </c>
      <c r="BS45" s="12">
        <f>INDEX(ovrTable25,MATCH(INDEX(oppCol,ROW()),ovrTeamCol25,0),MATCH(MID(INDEX('Structured 2025'!headerRow,1,COLUMN()),4,LEN(INDEX('Structured 2025'!headerRow,1,COLUMN()))),ovrHeaderRow25,0))</f>
        <v>19.7</v>
      </c>
      <c r="BT45" s="12">
        <f>INDEX(ovrTable25,MATCH(INDEX(oppCol,ROW()),ovrTeamCol25,0),MATCH(MID(INDEX('Structured 2025'!headerRow,1,COLUMN()),4,LEN(INDEX('Structured 2025'!headerRow,1,COLUMN()))),ovrHeaderRow25,0))</f>
        <v>26.89</v>
      </c>
      <c r="BU45" s="12">
        <f>INDEX(ovrTable25,MATCH(INDEX(oppCol,ROW()),ovrTeamCol25,0),MATCH(MID(INDEX('Structured 2025'!headerRow,1,COLUMN()),4,LEN(INDEX('Structured 2025'!headerRow,1,COLUMN()))),ovrHeaderRow25,0))</f>
        <v>3</v>
      </c>
      <c r="BV45" s="12">
        <f>INDEX(ovrTable25,MATCH(INDEX(oppCol,ROW()),ovrTeamCol25,0),MATCH(MID(INDEX('Structured 2025'!headerRow,1,COLUMN()),4,LEN(INDEX('Structured 2025'!headerRow,1,COLUMN()))),ovrHeaderRow25,0))</f>
        <v>41.4</v>
      </c>
      <c r="BW45" s="12">
        <f>INDEX(ovrTable25,MATCH(INDEX(oppCol,ROW()),ovrTeamCol25,0),MATCH(MID(INDEX('Structured 2025'!headerRow,1,COLUMN()),4,LEN(INDEX('Structured 2025'!headerRow,1,COLUMN()))),ovrHeaderRow25,0))</f>
        <v>27.26</v>
      </c>
      <c r="BX45" s="12">
        <f>INDEX(ovrTable25,MATCH(INDEX(oppCol,ROW()),ovrTeamCol25,0),MATCH(MID(INDEX('Structured 2025'!headerRow,1,COLUMN()),4,LEN(INDEX('Structured 2025'!headerRow,1,COLUMN()))),ovrHeaderRow25,0))</f>
        <v>0.56000000000000005</v>
      </c>
      <c r="BY45" s="12">
        <f>INDEX(ovrTable25,MATCH(INDEX(oppCol,ROW()),ovrTeamCol25,0),MATCH(MID(INDEX('Structured 2025'!headerRow,1,COLUMN()),4,LEN(INDEX('Structured 2025'!headerRow,1,COLUMN()))),ovrHeaderRow25,0))</f>
        <v>14.34</v>
      </c>
      <c r="BZ45" s="12">
        <f>INDEX(ovrTable25,MATCH(INDEX(oppCol,ROW()),ovrTeamCol25,0),MATCH(MID(INDEX('Structured 2025'!headerRow,1,COLUMN()),4,LEN(INDEX('Structured 2025'!headerRow,1,COLUMN()))),ovrHeaderRow25,0))</f>
        <v>50.1</v>
      </c>
      <c r="CA45" s="12">
        <f>INDEX(ovrTable25,MATCH(INDEX(oppCol,ROW()),ovrTeamCol25,0),MATCH(MID(INDEX('Structured 2025'!headerRow,1,COLUMN()),4,LEN(INDEX('Structured 2025'!headerRow,1,COLUMN()))),ovrHeaderRow25,0))</f>
        <v>16.8</v>
      </c>
      <c r="CB45" s="12">
        <f>INDEX(ovrTable25,MATCH(INDEX(oppCol,ROW()),ovrTeamCol25,0),MATCH(MID(INDEX('Structured 2025'!headerRow,1,COLUMN()),4,LEN(INDEX('Structured 2025'!headerRow,1,COLUMN()))),ovrHeaderRow25,0))</f>
        <v>80.400000000000006</v>
      </c>
      <c r="CC45" s="12">
        <f>INDEX(ovrTable25,MATCH(INDEX(oppCol,ROW()),ovrTeamCol25,0),MATCH(MID(INDEX('Structured 2025'!headerRow,1,COLUMN()),4,LEN(INDEX('Structured 2025'!headerRow,1,COLUMN()))),ovrHeaderRow25,0))</f>
        <v>19.399999999999999</v>
      </c>
      <c r="CD45" s="12">
        <f>INDEX(ovrTable25,MATCH(INDEX(oppCol,ROW()),ovrTeamCol25,0),MATCH(MID(INDEX('Structured 2025'!headerRow,1,COLUMN()),4,LEN(INDEX('Structured 2025'!headerRow,1,COLUMN()))),ovrHeaderRow25,0))</f>
        <v>15.6</v>
      </c>
      <c r="CE45" s="12">
        <f>INDEX(ovrTable25,MATCH(INDEX(oppCol,ROW()),ovrTeamCol25,0),MATCH(MID(INDEX('Structured 2025'!headerRow,1,COLUMN()),4,LEN(INDEX('Structured 2025'!headerRow,1,COLUMN()))),ovrHeaderRow25,0))</f>
        <v>69.900000000000006</v>
      </c>
      <c r="CF45" s="12">
        <f>INDEX(ovrTable25,MATCH(INDEX(oppCol,ROW()),ovrTeamCol25,0),MATCH(MID(INDEX('Structured 2025'!headerRow,1,COLUMN()),4,LEN(INDEX('Structured 2025'!headerRow,1,COLUMN()))),ovrHeaderRow25,0))</f>
        <v>11</v>
      </c>
      <c r="CG45" s="12">
        <f>INDEX(ovrTable25,MATCH(INDEX(oppCol,ROW()),ovrTeamCol25,0),MATCH(MID(INDEX('Structured 2025'!headerRow,1,COLUMN()),4,LEN(INDEX('Structured 2025'!headerRow,1,COLUMN()))),ovrHeaderRow25,0))</f>
        <v>86.4</v>
      </c>
      <c r="CH45" s="12">
        <f>INDEX(ovrTable25,MATCH(INDEX(oppCol,ROW()),ovrTeamCol25,0),MATCH(MID(INDEX('Structured 2025'!headerRow,1,COLUMN()),4,LEN(INDEX('Structured 2025'!headerRow,1,COLUMN()))),ovrHeaderRow25,0))</f>
        <v>5.4</v>
      </c>
      <c r="CI45" s="12">
        <f>INDEX(ovrTable25,MATCH(INDEX(oppCol,ROW()),ovrTeamCol25,0),MATCH(MID(INDEX('Structured 2025'!headerRow,1,COLUMN()),4,LEN(INDEX('Structured 2025'!headerRow,1,COLUMN()))),ovrHeaderRow25,0))</f>
        <v>38.26</v>
      </c>
      <c r="CJ45" s="12">
        <f>INDEX(ovrTable25,MATCH(INDEX(oppCol,ROW()),ovrTeamCol25,0),MATCH(MID(INDEX('Structured 2025'!headerRow,1,COLUMN()),4,LEN(INDEX('Structured 2025'!headerRow,1,COLUMN()))),ovrHeaderRow25,0))</f>
        <v>16.5</v>
      </c>
      <c r="CK45" s="12">
        <f>INDEX(ovrTable25,MATCH(INDEX(oppCol,ROW()),ovrTeamCol25,0),MATCH(MID(INDEX('Structured 2025'!headerRow,1,COLUMN()),4,LEN(INDEX('Structured 2025'!headerRow,1,COLUMN()))),ovrHeaderRow25,0))</f>
        <v>7.5</v>
      </c>
      <c r="CL45" s="12">
        <f>INDEX(ovrTable25,MATCH(INDEX(oppCol,ROW()),ovrTeamCol25,0),MATCH(MID(INDEX('Structured 2025'!headerRow,1,COLUMN()),4,LEN(INDEX('Structured 2025'!headerRow,1,COLUMN()))),ovrHeaderRow25,0))</f>
        <v>3.3</v>
      </c>
      <c r="CM45" s="12">
        <f>INDEX(ovrTable25,MATCH(INDEX(oppCol,ROW()),ovrTeamCol25,0),MATCH(MID(INDEX('Structured 2025'!headerRow,1,COLUMN()),4,LEN(INDEX('Structured 2025'!headerRow,1,COLUMN()))),ovrHeaderRow25,0))</f>
        <v>12.83</v>
      </c>
      <c r="CN45" s="12">
        <f>INDEX(ovrTable25,MATCH(INDEX(oppCol,ROW()),ovrTeamCol25,0),MATCH(MID(INDEX('Structured 2025'!headerRow,1,COLUMN()),4,LEN(INDEX('Structured 2025'!headerRow,1,COLUMN()))),ovrHeaderRow25,0))</f>
        <v>9.5</v>
      </c>
      <c r="CO45" s="12">
        <f>INDEX(ovrTable25,MATCH(INDEX(oppCol,ROW()),ovrTeamCol25,0),MATCH(MID(INDEX('Structured 2025'!headerRow,1,COLUMN()),4,LEN(INDEX('Structured 2025'!headerRow,1,COLUMN()))),ovrHeaderRow25,0))</f>
        <v>70.5</v>
      </c>
      <c r="CP45" s="12">
        <f>INDEX(ovrTable25,MATCH(INDEX(oppCol,ROW()),ovrTeamCol25,0),MATCH(MID(INDEX('Structured 2025'!headerRow,1,COLUMN()),4,LEN(INDEX('Structured 2025'!headerRow,1,COLUMN()))),ovrHeaderRow25,0))</f>
        <v>24.150000000000006</v>
      </c>
      <c r="CQ45" s="12">
        <f>INDEX(ovrTable25,MATCH(INDEX(oppCol,ROW()),ovrTeamCol25,0),MATCH(MID(INDEX('Structured 2025'!headerRow,1,COLUMN()),4,LEN(INDEX('Structured 2025'!headerRow,1,COLUMN()))),ovrHeaderRow25,0))</f>
        <v>63.173652694610787</v>
      </c>
    </row>
    <row r="46" spans="1:95" x14ac:dyDescent="0.3">
      <c r="A46" s="6" t="s">
        <v>23</v>
      </c>
      <c r="B46" s="3">
        <v>5</v>
      </c>
      <c r="C46" s="13" t="str">
        <f>A47</f>
        <v>MCN</v>
      </c>
      <c r="D46" s="14">
        <f t="shared" si="26"/>
        <v>23</v>
      </c>
      <c r="E46" s="23">
        <v>0.21052631578947367</v>
      </c>
      <c r="F46" s="24">
        <v>36.84210526315789</v>
      </c>
      <c r="G46" s="24">
        <v>9</v>
      </c>
      <c r="H46" s="23">
        <v>30</v>
      </c>
      <c r="I46" s="24">
        <v>30</v>
      </c>
      <c r="J46" s="25">
        <v>0.69230769230769229</v>
      </c>
      <c r="K46" s="24">
        <v>16</v>
      </c>
      <c r="L46" s="24">
        <v>19</v>
      </c>
      <c r="M46" s="24">
        <v>13</v>
      </c>
      <c r="N46" s="24">
        <v>23</v>
      </c>
      <c r="O46" s="24">
        <v>9</v>
      </c>
      <c r="P46" s="24">
        <v>5</v>
      </c>
      <c r="Q46" s="24">
        <v>0</v>
      </c>
      <c r="R46" s="24">
        <v>13</v>
      </c>
      <c r="S46" s="24">
        <v>4</v>
      </c>
      <c r="T46" s="24">
        <v>16</v>
      </c>
      <c r="U46" s="24">
        <v>5</v>
      </c>
      <c r="V46" s="24">
        <v>0.43548387096774194</v>
      </c>
      <c r="W46" s="26">
        <v>0.44736842105263158</v>
      </c>
      <c r="X46" s="23">
        <v>84.210526315789465</v>
      </c>
      <c r="Y46" s="24">
        <v>69</v>
      </c>
      <c r="Z46" s="24">
        <v>67</v>
      </c>
      <c r="AA46" s="24">
        <v>-7</v>
      </c>
      <c r="AB46" s="24">
        <v>36</v>
      </c>
      <c r="AC46" s="24">
        <v>-2</v>
      </c>
      <c r="AD46" s="24">
        <v>-2</v>
      </c>
      <c r="AE46" s="24">
        <v>11</v>
      </c>
      <c r="AF46" s="34">
        <f t="shared" si="34"/>
        <v>12</v>
      </c>
      <c r="AG46" s="34">
        <f t="shared" si="35"/>
        <v>27</v>
      </c>
      <c r="AH46" s="46">
        <f t="shared" si="36"/>
        <v>66.025000000000006</v>
      </c>
      <c r="AI46" s="51">
        <f t="shared" ref="AI46" si="49">AVERAGE(AH46,AH47)</f>
        <v>65.737500000000011</v>
      </c>
      <c r="AJ46" s="12">
        <f>INDEX(ovrTable25,MATCH(INDEX('Structured 2025'!teamCol,ROW()),ovrTeamCol25,0),MATCH(MID(INDEX('Structured 2025'!headerRow,1,COLUMN()),4,LEN(INDEX('Structured 2025'!headerRow,1,COLUMN()))),ovrHeaderRow25,0))</f>
        <v>31.9</v>
      </c>
      <c r="AK46" s="12">
        <f>INDEX(ovrTable25,MATCH(INDEX('Structured 2025'!teamCol,ROW()),ovrTeamCol25,0),MATCH(MID(INDEX('Structured 2025'!headerRow,1,COLUMN()),4,LEN(INDEX('Structured 2025'!headerRow,1,COLUMN()))),ovrHeaderRow25,0))</f>
        <v>8.5</v>
      </c>
      <c r="AL46" s="12">
        <f>INDEX(ovrTable25,MATCH(INDEX('Structured 2025'!teamCol,ROW()),ovrTeamCol25,0),MATCH(MID(INDEX('Structured 2025'!headerRow,1,COLUMN()),4,LEN(INDEX('Structured 2025'!headerRow,1,COLUMN()))),ovrHeaderRow25,0))</f>
        <v>36.9</v>
      </c>
      <c r="AM46" s="12">
        <f>INDEX(ovrTable25,MATCH(INDEX('Structured 2025'!teamCol,ROW()),ovrTeamCol25,0),MATCH(MID(INDEX('Structured 2025'!headerRow,1,COLUMN()),4,LEN(INDEX('Structured 2025'!headerRow,1,COLUMN()))),ovrHeaderRow25,0))</f>
        <v>23</v>
      </c>
      <c r="AN46" s="12">
        <f>INDEX(ovrTable25,MATCH(INDEX('Structured 2025'!teamCol,ROW()),ovrTeamCol25,0),MATCH(MID(INDEX('Structured 2025'!headerRow,1,COLUMN()),4,LEN(INDEX('Structured 2025'!headerRow,1,COLUMN()))),ovrHeaderRow25,0))</f>
        <v>1.35</v>
      </c>
      <c r="AO46" s="12">
        <f>INDEX(ovrTable25,MATCH(INDEX('Structured 2025'!teamCol,ROW()),ovrTeamCol25,0),MATCH(MID(INDEX('Structured 2025'!headerRow,1,COLUMN()),4,LEN(INDEX('Structured 2025'!headerRow,1,COLUMN()))),ovrHeaderRow25,0))</f>
        <v>14.2</v>
      </c>
      <c r="AP46" s="12">
        <f>INDEX(ovrTable25,MATCH(INDEX('Structured 2025'!teamCol,ROW()),ovrTeamCol25,0),MATCH(MID(INDEX('Structured 2025'!headerRow,1,COLUMN()),4,LEN(INDEX('Structured 2025'!headerRow,1,COLUMN()))),ovrHeaderRow25,0))</f>
        <v>15.35</v>
      </c>
      <c r="AQ46" s="12">
        <f>INDEX(ovrTable25,MATCH(INDEX('Structured 2025'!teamCol,ROW()),ovrTeamCol25,0),MATCH(MID(INDEX('Structured 2025'!headerRow,1,COLUMN()),4,LEN(INDEX('Structured 2025'!headerRow,1,COLUMN()))),ovrHeaderRow25,0))</f>
        <v>3.5</v>
      </c>
      <c r="AR46" s="12">
        <f>INDEX(ovrTable25,MATCH(INDEX('Structured 2025'!teamCol,ROW()),ovrTeamCol25,0),MATCH(MID(INDEX('Structured 2025'!headerRow,1,COLUMN()),4,LEN(INDEX('Structured 2025'!headerRow,1,COLUMN()))),ovrHeaderRow25,0))</f>
        <v>42.8</v>
      </c>
      <c r="AS46" s="12">
        <f>INDEX(ovrTable25,MATCH(INDEX('Structured 2025'!teamCol,ROW()),ovrTeamCol25,0),MATCH(MID(INDEX('Structured 2025'!headerRow,1,COLUMN()),4,LEN(INDEX('Structured 2025'!headerRow,1,COLUMN()))),ovrHeaderRow25,0))</f>
        <v>24.09</v>
      </c>
      <c r="AT46" s="12">
        <f>INDEX(ovrTable25,MATCH(INDEX('Structured 2025'!teamCol,ROW()),ovrTeamCol25,0),MATCH(MID(INDEX('Structured 2025'!headerRow,1,COLUMN()),4,LEN(INDEX('Structured 2025'!headerRow,1,COLUMN()))),ovrHeaderRow25,0))</f>
        <v>0.53400000000000003</v>
      </c>
      <c r="AU46" s="12">
        <f>INDEX(ovrTable25,MATCH(INDEX('Structured 2025'!teamCol,ROW()),ovrTeamCol25,0),MATCH(MID(INDEX('Structured 2025'!headerRow,1,COLUMN()),4,LEN(INDEX('Structured 2025'!headerRow,1,COLUMN()))),ovrHeaderRow25,0))</f>
        <v>7.12</v>
      </c>
      <c r="AV46" s="12">
        <f>INDEX(ovrTable25,MATCH(INDEX('Structured 2025'!teamCol,ROW()),ovrTeamCol25,0),MATCH(MID(INDEX('Structured 2025'!headerRow,1,COLUMN()),4,LEN(INDEX('Structured 2025'!headerRow,1,COLUMN()))),ovrHeaderRow25,0))</f>
        <v>46.2</v>
      </c>
      <c r="AW46" s="12">
        <f>INDEX(ovrTable25,MATCH(INDEX('Structured 2025'!teamCol,ROW()),ovrTeamCol25,0),MATCH(MID(INDEX('Structured 2025'!headerRow,1,COLUMN()),4,LEN(INDEX('Structured 2025'!headerRow,1,COLUMN()))),ovrHeaderRow25,0))</f>
        <v>15.2</v>
      </c>
      <c r="AX46" s="12">
        <f>INDEX(ovrTable25,MATCH(INDEX('Structured 2025'!teamCol,ROW()),ovrTeamCol25,0),MATCH(MID(INDEX('Structured 2025'!headerRow,1,COLUMN()),4,LEN(INDEX('Structured 2025'!headerRow,1,COLUMN()))),ovrHeaderRow25,0))</f>
        <v>76.8</v>
      </c>
      <c r="AY46" s="12">
        <f>INDEX(ovrTable25,MATCH(INDEX('Structured 2025'!teamCol,ROW()),ovrTeamCol25,0),MATCH(MID(INDEX('Structured 2025'!headerRow,1,COLUMN()),4,LEN(INDEX('Structured 2025'!headerRow,1,COLUMN()))),ovrHeaderRow25,0))</f>
        <v>16.8</v>
      </c>
      <c r="AZ46" s="12">
        <f>INDEX(ovrTable25,MATCH(INDEX('Structured 2025'!teamCol,ROW()),ovrTeamCol25,0),MATCH(MID(INDEX('Structured 2025'!headerRow,1,COLUMN()),4,LEN(INDEX('Structured 2025'!headerRow,1,COLUMN()))),ovrHeaderRow25,0))</f>
        <v>12.9</v>
      </c>
      <c r="BA46" s="12">
        <f>INDEX(ovrTable25,MATCH(INDEX('Structured 2025'!teamCol,ROW()),ovrTeamCol25,0),MATCH(MID(INDEX('Structured 2025'!headerRow,1,COLUMN()),4,LEN(INDEX('Structured 2025'!headerRow,1,COLUMN()))),ovrHeaderRow25,0))</f>
        <v>65.8</v>
      </c>
      <c r="BB46" s="12">
        <f>INDEX(ovrTable25,MATCH(INDEX('Structured 2025'!teamCol,ROW()),ovrTeamCol25,0),MATCH(MID(INDEX('Structured 2025'!headerRow,1,COLUMN()),4,LEN(INDEX('Structured 2025'!headerRow,1,COLUMN()))),ovrHeaderRow25,0))</f>
        <v>11.26</v>
      </c>
      <c r="BC46" s="12">
        <f>INDEX(ovrTable25,MATCH(INDEX('Structured 2025'!teamCol,ROW()),ovrTeamCol25,0),MATCH(MID(INDEX('Structured 2025'!headerRow,1,COLUMN()),4,LEN(INDEX('Structured 2025'!headerRow,1,COLUMN()))),ovrHeaderRow25,0))</f>
        <v>76.099999999999994</v>
      </c>
      <c r="BD46" s="12">
        <f>INDEX(ovrTable25,MATCH(INDEX('Structured 2025'!teamCol,ROW()),ovrTeamCol25,0),MATCH(MID(INDEX('Structured 2025'!headerRow,1,COLUMN()),4,LEN(INDEX('Structured 2025'!headerRow,1,COLUMN()))),ovrHeaderRow25,0))</f>
        <v>2.7</v>
      </c>
      <c r="BE46" s="12">
        <f>INDEX(ovrTable25,MATCH(INDEX('Structured 2025'!teamCol,ROW()),ovrTeamCol25,0),MATCH(MID(INDEX('Structured 2025'!headerRow,1,COLUMN()),4,LEN(INDEX('Structured 2025'!headerRow,1,COLUMN()))),ovrHeaderRow25,0))</f>
        <v>35.35</v>
      </c>
      <c r="BF46" s="12">
        <f>INDEX(ovrTable25,MATCH(INDEX('Structured 2025'!teamCol,ROW()),ovrTeamCol25,0),MATCH(MID(INDEX('Structured 2025'!headerRow,1,COLUMN()),4,LEN(INDEX('Structured 2025'!headerRow,1,COLUMN()))),ovrHeaderRow25,0))</f>
        <v>10.3</v>
      </c>
      <c r="BG46" s="12">
        <f>INDEX(ovrTable25,MATCH(INDEX('Structured 2025'!teamCol,ROW()),ovrTeamCol25,0),MATCH(MID(INDEX('Structured 2025'!headerRow,1,COLUMN()),4,LEN(INDEX('Structured 2025'!headerRow,1,COLUMN()))),ovrHeaderRow25,0))</f>
        <v>7.4</v>
      </c>
      <c r="BH46" s="12">
        <f>INDEX(ovrTable25,MATCH(INDEX('Structured 2025'!teamCol,ROW()),ovrTeamCol25,0),MATCH(MID(INDEX('Structured 2025'!headerRow,1,COLUMN()),4,LEN(INDEX('Structured 2025'!headerRow,1,COLUMN()))),ovrHeaderRow25,0))</f>
        <v>2.8</v>
      </c>
      <c r="BI46" s="12">
        <f>INDEX(ovrTable25,MATCH(INDEX('Structured 2025'!teamCol,ROW()),ovrTeamCol25,0),MATCH(MID(INDEX('Structured 2025'!headerRow,1,COLUMN()),4,LEN(INDEX('Structured 2025'!headerRow,1,COLUMN()))),ovrHeaderRow25,0))</f>
        <v>13.29</v>
      </c>
      <c r="BJ46" s="12">
        <f>INDEX(ovrTable25,MATCH(INDEX('Structured 2025'!teamCol,ROW()),ovrTeamCol25,0),MATCH(MID(INDEX('Structured 2025'!headerRow,1,COLUMN()),4,LEN(INDEX('Structured 2025'!headerRow,1,COLUMN()))),ovrHeaderRow25,0))</f>
        <v>10.5</v>
      </c>
      <c r="BK46" s="12">
        <f>INDEX(ovrTable25,MATCH(INDEX('Structured 2025'!teamCol,ROW()),ovrTeamCol25,0),MATCH(MID(INDEX('Structured 2025'!headerRow,1,COLUMN()),4,LEN(INDEX('Structured 2025'!headerRow,1,COLUMN()))),ovrHeaderRow25,0))</f>
        <v>64.599999999999994</v>
      </c>
      <c r="BL46" s="12">
        <f>INDEX(ovrTable25,MATCH(INDEX('Structured 2025'!teamCol,ROW()),ovrTeamCol25,0),MATCH(MID(INDEX('Structured 2025'!headerRow,1,COLUMN()),4,LEN(INDEX('Structured 2025'!headerRow,1,COLUMN()))),ovrHeaderRow25,0))</f>
        <v>18.849999999999998</v>
      </c>
      <c r="BM46" s="12">
        <f>INDEX(ovrTable25,MATCH(INDEX('Structured 2025'!teamCol,ROW()),ovrTeamCol25,0),MATCH(MID(INDEX('Structured 2025'!headerRow,1,COLUMN()),4,LEN(INDEX('Structured 2025'!headerRow,1,COLUMN()))),ovrHeaderRow25,0))</f>
        <v>59.199134199134193</v>
      </c>
      <c r="BN46" s="12">
        <f>INDEX(ovrTable25,MATCH(INDEX(oppCol,ROW()),ovrTeamCol25,0),MATCH(MID(INDEX('Structured 2025'!headerRow,1,COLUMN()),4,LEN(INDEX('Structured 2025'!headerRow,1,COLUMN()))),ovrHeaderRow25,0))</f>
        <v>32.299999999999997</v>
      </c>
      <c r="BO46" s="12">
        <f>INDEX(ovrTable25,MATCH(INDEX(oppCol,ROW()),ovrTeamCol25,0),MATCH(MID(INDEX('Structured 2025'!headerRow,1,COLUMN()),4,LEN(INDEX('Structured 2025'!headerRow,1,COLUMN()))),ovrHeaderRow25,0))</f>
        <v>7.5</v>
      </c>
      <c r="BP46" s="12">
        <f>INDEX(ovrTable25,MATCH(INDEX(oppCol,ROW()),ovrTeamCol25,0),MATCH(MID(INDEX('Structured 2025'!headerRow,1,COLUMN()),4,LEN(INDEX('Structured 2025'!headerRow,1,COLUMN()))),ovrHeaderRow25,0))</f>
        <v>35.4</v>
      </c>
      <c r="BQ46" s="12">
        <f>INDEX(ovrTable25,MATCH(INDEX(oppCol,ROW()),ovrTeamCol25,0),MATCH(MID(INDEX('Structured 2025'!headerRow,1,COLUMN()),4,LEN(INDEX('Structured 2025'!headerRow,1,COLUMN()))),ovrHeaderRow25,0))</f>
        <v>21.2</v>
      </c>
      <c r="BR46" s="12">
        <f>INDEX(ovrTable25,MATCH(INDEX(oppCol,ROW()),ovrTeamCol25,0),MATCH(MID(INDEX('Structured 2025'!headerRow,1,COLUMN()),4,LEN(INDEX('Structured 2025'!headerRow,1,COLUMN()))),ovrHeaderRow25,0))</f>
        <v>1.29</v>
      </c>
      <c r="BS46" s="12">
        <f>INDEX(ovrTable25,MATCH(INDEX(oppCol,ROW()),ovrTeamCol25,0),MATCH(MID(INDEX('Structured 2025'!headerRow,1,COLUMN()),4,LEN(INDEX('Structured 2025'!headerRow,1,COLUMN()))),ovrHeaderRow25,0))</f>
        <v>14</v>
      </c>
      <c r="BT46" s="12">
        <f>INDEX(ovrTable25,MATCH(INDEX(oppCol,ROW()),ovrTeamCol25,0),MATCH(MID(INDEX('Structured 2025'!headerRow,1,COLUMN()),4,LEN(INDEX('Structured 2025'!headerRow,1,COLUMN()))),ovrHeaderRow25,0))</f>
        <v>26.43</v>
      </c>
      <c r="BU46" s="12">
        <f>INDEX(ovrTable25,MATCH(INDEX(oppCol,ROW()),ovrTeamCol25,0),MATCH(MID(INDEX('Structured 2025'!headerRow,1,COLUMN()),4,LEN(INDEX('Structured 2025'!headerRow,1,COLUMN()))),ovrHeaderRow25,0))</f>
        <v>3.4</v>
      </c>
      <c r="BV46" s="12">
        <f>INDEX(ovrTable25,MATCH(INDEX(oppCol,ROW()),ovrTeamCol25,0),MATCH(MID(INDEX('Structured 2025'!headerRow,1,COLUMN()),4,LEN(INDEX('Structured 2025'!headerRow,1,COLUMN()))),ovrHeaderRow25,0))</f>
        <v>40.299999999999997</v>
      </c>
      <c r="BW46" s="12">
        <f>INDEX(ovrTable25,MATCH(INDEX(oppCol,ROW()),ovrTeamCol25,0),MATCH(MID(INDEX('Structured 2025'!headerRow,1,COLUMN()),4,LEN(INDEX('Structured 2025'!headerRow,1,COLUMN()))),ovrHeaderRow25,0))</f>
        <v>24.34</v>
      </c>
      <c r="BX46" s="12">
        <f>INDEX(ovrTable25,MATCH(INDEX(oppCol,ROW()),ovrTeamCol25,0),MATCH(MID(INDEX('Structured 2025'!headerRow,1,COLUMN()),4,LEN(INDEX('Structured 2025'!headerRow,1,COLUMN()))),ovrHeaderRow25,0))</f>
        <v>0.54200000000000004</v>
      </c>
      <c r="BY46" s="12">
        <f>INDEX(ovrTable25,MATCH(INDEX(oppCol,ROW()),ovrTeamCol25,0),MATCH(MID(INDEX('Structured 2025'!headerRow,1,COLUMN()),4,LEN(INDEX('Structured 2025'!headerRow,1,COLUMN()))),ovrHeaderRow25,0))</f>
        <v>10.6</v>
      </c>
      <c r="BZ46" s="12">
        <f>INDEX(ovrTable25,MATCH(INDEX(oppCol,ROW()),ovrTeamCol25,0),MATCH(MID(INDEX('Structured 2025'!headerRow,1,COLUMN()),4,LEN(INDEX('Structured 2025'!headerRow,1,COLUMN()))),ovrHeaderRow25,0))</f>
        <v>47.7</v>
      </c>
      <c r="CA46" s="12">
        <f>INDEX(ovrTable25,MATCH(INDEX(oppCol,ROW()),ovrTeamCol25,0),MATCH(MID(INDEX('Structured 2025'!headerRow,1,COLUMN()),4,LEN(INDEX('Structured 2025'!headerRow,1,COLUMN()))),ovrHeaderRow25,0))</f>
        <v>16.3</v>
      </c>
      <c r="CB46" s="12">
        <f>INDEX(ovrTable25,MATCH(INDEX(oppCol,ROW()),ovrTeamCol25,0),MATCH(MID(INDEX('Structured 2025'!headerRow,1,COLUMN()),4,LEN(INDEX('Structured 2025'!headerRow,1,COLUMN()))),ovrHeaderRow25,0))</f>
        <v>69.7</v>
      </c>
      <c r="CC46" s="12">
        <f>INDEX(ovrTable25,MATCH(INDEX(oppCol,ROW()),ovrTeamCol25,0),MATCH(MID(INDEX('Structured 2025'!headerRow,1,COLUMN()),4,LEN(INDEX('Structured 2025'!headerRow,1,COLUMN()))),ovrHeaderRow25,0))</f>
        <v>20.100000000000001</v>
      </c>
      <c r="CD46" s="12">
        <f>INDEX(ovrTable25,MATCH(INDEX(oppCol,ROW()),ovrTeamCol25,0),MATCH(MID(INDEX('Structured 2025'!headerRow,1,COLUMN()),4,LEN(INDEX('Structured 2025'!headerRow,1,COLUMN()))),ovrHeaderRow25,0))</f>
        <v>14</v>
      </c>
      <c r="CE46" s="12">
        <f>INDEX(ovrTable25,MATCH(INDEX(oppCol,ROW()),ovrTeamCol25,0),MATCH(MID(INDEX('Structured 2025'!headerRow,1,COLUMN()),4,LEN(INDEX('Structured 2025'!headerRow,1,COLUMN()))),ovrHeaderRow25,0))</f>
        <v>64.5</v>
      </c>
      <c r="CF46" s="12">
        <f>INDEX(ovrTable25,MATCH(INDEX(oppCol,ROW()),ovrTeamCol25,0),MATCH(MID(INDEX('Structured 2025'!headerRow,1,COLUMN()),4,LEN(INDEX('Structured 2025'!headerRow,1,COLUMN()))),ovrHeaderRow25,0))</f>
        <v>11.71</v>
      </c>
      <c r="CG46" s="12">
        <f>INDEX(ovrTable25,MATCH(INDEX(oppCol,ROW()),ovrTeamCol25,0),MATCH(MID(INDEX('Structured 2025'!headerRow,1,COLUMN()),4,LEN(INDEX('Structured 2025'!headerRow,1,COLUMN()))),ovrHeaderRow25,0))</f>
        <v>76.599999999999994</v>
      </c>
      <c r="CH46" s="12">
        <f>INDEX(ovrTable25,MATCH(INDEX(oppCol,ROW()),ovrTeamCol25,0),MATCH(MID(INDEX('Structured 2025'!headerRow,1,COLUMN()),4,LEN(INDEX('Structured 2025'!headerRow,1,COLUMN()))),ovrHeaderRow25,0))</f>
        <v>3.2</v>
      </c>
      <c r="CI46" s="12">
        <f>INDEX(ovrTable25,MATCH(INDEX(oppCol,ROW()),ovrTeamCol25,0),MATCH(MID(INDEX('Structured 2025'!headerRow,1,COLUMN()),4,LEN(INDEX('Structured 2025'!headerRow,1,COLUMN()))),ovrHeaderRow25,0))</f>
        <v>36.06</v>
      </c>
      <c r="CJ46" s="12">
        <f>INDEX(ovrTable25,MATCH(INDEX(oppCol,ROW()),ovrTeamCol25,0),MATCH(MID(INDEX('Structured 2025'!headerRow,1,COLUMN()),4,LEN(INDEX('Structured 2025'!headerRow,1,COLUMN()))),ovrHeaderRow25,0))</f>
        <v>12.1</v>
      </c>
      <c r="CK46" s="12">
        <f>INDEX(ovrTable25,MATCH(INDEX(oppCol,ROW()),ovrTeamCol25,0),MATCH(MID(INDEX('Structured 2025'!headerRow,1,COLUMN()),4,LEN(INDEX('Structured 2025'!headerRow,1,COLUMN()))),ovrHeaderRow25,0))</f>
        <v>9</v>
      </c>
      <c r="CL46" s="12">
        <f>INDEX(ovrTable25,MATCH(INDEX(oppCol,ROW()),ovrTeamCol25,0),MATCH(MID(INDEX('Structured 2025'!headerRow,1,COLUMN()),4,LEN(INDEX('Structured 2025'!headerRow,1,COLUMN()))),ovrHeaderRow25,0))</f>
        <v>3.8</v>
      </c>
      <c r="CM46" s="12">
        <f>INDEX(ovrTable25,MATCH(INDEX(oppCol,ROW()),ovrTeamCol25,0),MATCH(MID(INDEX('Structured 2025'!headerRow,1,COLUMN()),4,LEN(INDEX('Structured 2025'!headerRow,1,COLUMN()))),ovrHeaderRow25,0))</f>
        <v>14.63</v>
      </c>
      <c r="CN46" s="12">
        <f>INDEX(ovrTable25,MATCH(INDEX(oppCol,ROW()),ovrTeamCol25,0),MATCH(MID(INDEX('Structured 2025'!headerRow,1,COLUMN()),4,LEN(INDEX('Structured 2025'!headerRow,1,COLUMN()))),ovrHeaderRow25,0))</f>
        <v>10.8</v>
      </c>
      <c r="CO46" s="12">
        <f>INDEX(ovrTable25,MATCH(INDEX(oppCol,ROW()),ovrTeamCol25,0),MATCH(MID(INDEX('Structured 2025'!headerRow,1,COLUMN()),4,LEN(INDEX('Structured 2025'!headerRow,1,COLUMN()))),ovrHeaderRow25,0))</f>
        <v>65.900000000000006</v>
      </c>
      <c r="CP46" s="12">
        <f>INDEX(ovrTable25,MATCH(INDEX(oppCol,ROW()),ovrTeamCol25,0),MATCH(MID(INDEX('Structured 2025'!headerRow,1,COLUMN()),4,LEN(INDEX('Structured 2025'!headerRow,1,COLUMN()))),ovrHeaderRow25,0))</f>
        <v>20.049999999999997</v>
      </c>
      <c r="CQ46" s="12">
        <f>INDEX(ovrTable25,MATCH(INDEX(oppCol,ROW()),ovrTeamCol25,0),MATCH(MID(INDEX('Structured 2025'!headerRow,1,COLUMN()),4,LEN(INDEX('Structured 2025'!headerRow,1,COLUMN()))),ovrHeaderRow25,0))</f>
        <v>57.756813417190763</v>
      </c>
    </row>
    <row r="47" spans="1:95" x14ac:dyDescent="0.3">
      <c r="A47" s="6" t="s">
        <v>66</v>
      </c>
      <c r="B47" s="3">
        <v>12</v>
      </c>
      <c r="C47" s="13" t="str">
        <f>A46</f>
        <v>CLEM</v>
      </c>
      <c r="D47" s="14">
        <f t="shared" si="26"/>
        <v>23</v>
      </c>
      <c r="E47" s="23">
        <v>0.3</v>
      </c>
      <c r="F47" s="24">
        <v>43.548387096774192</v>
      </c>
      <c r="G47" s="24">
        <v>4</v>
      </c>
      <c r="H47" s="23">
        <v>21.052631578947366</v>
      </c>
      <c r="I47" s="24">
        <v>19</v>
      </c>
      <c r="J47" s="25">
        <v>1.0909090909090908</v>
      </c>
      <c r="K47" s="24">
        <v>11</v>
      </c>
      <c r="L47" s="24">
        <v>22</v>
      </c>
      <c r="M47" s="24">
        <v>18</v>
      </c>
      <c r="N47" s="24">
        <v>25</v>
      </c>
      <c r="O47" s="24">
        <v>12</v>
      </c>
      <c r="P47" s="24">
        <v>7</v>
      </c>
      <c r="Q47" s="24">
        <v>6</v>
      </c>
      <c r="R47" s="24">
        <v>11</v>
      </c>
      <c r="S47" s="24">
        <v>6</v>
      </c>
      <c r="T47" s="24">
        <v>19</v>
      </c>
      <c r="U47" s="24">
        <v>35</v>
      </c>
      <c r="V47" s="24">
        <v>0.36842105263157893</v>
      </c>
      <c r="W47" s="26">
        <v>0.46774193548387094</v>
      </c>
      <c r="X47" s="23">
        <v>50</v>
      </c>
      <c r="Y47" s="24">
        <v>67</v>
      </c>
      <c r="Z47" s="24">
        <v>69</v>
      </c>
      <c r="AA47" s="24">
        <v>7</v>
      </c>
      <c r="AB47" s="24">
        <v>43</v>
      </c>
      <c r="AC47" s="24">
        <v>2</v>
      </c>
      <c r="AD47" s="24">
        <v>2</v>
      </c>
      <c r="AE47" s="24">
        <v>13</v>
      </c>
      <c r="AF47" s="34">
        <f t="shared" si="34"/>
        <v>23</v>
      </c>
      <c r="AG47" s="34">
        <f t="shared" si="35"/>
        <v>43</v>
      </c>
      <c r="AH47" s="46">
        <f t="shared" si="36"/>
        <v>65.45</v>
      </c>
      <c r="AI47" s="51">
        <f t="shared" ref="AI47" si="50">AVERAGE(AH46,AH47)</f>
        <v>65.737500000000011</v>
      </c>
      <c r="AJ47" s="12">
        <f>INDEX(ovrTable25,MATCH(INDEX('Structured 2025'!teamCol,ROW()),ovrTeamCol25,0),MATCH(MID(INDEX('Structured 2025'!headerRow,1,COLUMN()),4,LEN(INDEX('Structured 2025'!headerRow,1,COLUMN()))),ovrHeaderRow25,0))</f>
        <v>32.299999999999997</v>
      </c>
      <c r="AK47" s="12">
        <f>INDEX(ovrTable25,MATCH(INDEX('Structured 2025'!teamCol,ROW()),ovrTeamCol25,0),MATCH(MID(INDEX('Structured 2025'!headerRow,1,COLUMN()),4,LEN(INDEX('Structured 2025'!headerRow,1,COLUMN()))),ovrHeaderRow25,0))</f>
        <v>7.5</v>
      </c>
      <c r="AL47" s="12">
        <f>INDEX(ovrTable25,MATCH(INDEX('Structured 2025'!teamCol,ROW()),ovrTeamCol25,0),MATCH(MID(INDEX('Structured 2025'!headerRow,1,COLUMN()),4,LEN(INDEX('Structured 2025'!headerRow,1,COLUMN()))),ovrHeaderRow25,0))</f>
        <v>35.4</v>
      </c>
      <c r="AM47" s="12">
        <f>INDEX(ovrTable25,MATCH(INDEX('Structured 2025'!teamCol,ROW()),ovrTeamCol25,0),MATCH(MID(INDEX('Structured 2025'!headerRow,1,COLUMN()),4,LEN(INDEX('Structured 2025'!headerRow,1,COLUMN()))),ovrHeaderRow25,0))</f>
        <v>21.2</v>
      </c>
      <c r="AN47" s="12">
        <f>INDEX(ovrTable25,MATCH(INDEX('Structured 2025'!teamCol,ROW()),ovrTeamCol25,0),MATCH(MID(INDEX('Structured 2025'!headerRow,1,COLUMN()),4,LEN(INDEX('Structured 2025'!headerRow,1,COLUMN()))),ovrHeaderRow25,0))</f>
        <v>1.29</v>
      </c>
      <c r="AO47" s="12">
        <f>INDEX(ovrTable25,MATCH(INDEX('Structured 2025'!teamCol,ROW()),ovrTeamCol25,0),MATCH(MID(INDEX('Structured 2025'!headerRow,1,COLUMN()),4,LEN(INDEX('Structured 2025'!headerRow,1,COLUMN()))),ovrHeaderRow25,0))</f>
        <v>14</v>
      </c>
      <c r="AP47" s="12">
        <f>INDEX(ovrTable25,MATCH(INDEX('Structured 2025'!teamCol,ROW()),ovrTeamCol25,0),MATCH(MID(INDEX('Structured 2025'!headerRow,1,COLUMN()),4,LEN(INDEX('Structured 2025'!headerRow,1,COLUMN()))),ovrHeaderRow25,0))</f>
        <v>26.43</v>
      </c>
      <c r="AQ47" s="12">
        <f>INDEX(ovrTable25,MATCH(INDEX('Structured 2025'!teamCol,ROW()),ovrTeamCol25,0),MATCH(MID(INDEX('Structured 2025'!headerRow,1,COLUMN()),4,LEN(INDEX('Structured 2025'!headerRow,1,COLUMN()))),ovrHeaderRow25,0))</f>
        <v>3.4</v>
      </c>
      <c r="AR47" s="12">
        <f>INDEX(ovrTable25,MATCH(INDEX('Structured 2025'!teamCol,ROW()),ovrTeamCol25,0),MATCH(MID(INDEX('Structured 2025'!headerRow,1,COLUMN()),4,LEN(INDEX('Structured 2025'!headerRow,1,COLUMN()))),ovrHeaderRow25,0))</f>
        <v>40.299999999999997</v>
      </c>
      <c r="AS47" s="12">
        <f>INDEX(ovrTable25,MATCH(INDEX('Structured 2025'!teamCol,ROW()),ovrTeamCol25,0),MATCH(MID(INDEX('Structured 2025'!headerRow,1,COLUMN()),4,LEN(INDEX('Structured 2025'!headerRow,1,COLUMN()))),ovrHeaderRow25,0))</f>
        <v>24.34</v>
      </c>
      <c r="AT47" s="12">
        <f>INDEX(ovrTable25,MATCH(INDEX('Structured 2025'!teamCol,ROW()),ovrTeamCol25,0),MATCH(MID(INDEX('Structured 2025'!headerRow,1,COLUMN()),4,LEN(INDEX('Structured 2025'!headerRow,1,COLUMN()))),ovrHeaderRow25,0))</f>
        <v>0.54200000000000004</v>
      </c>
      <c r="AU47" s="12">
        <f>INDEX(ovrTable25,MATCH(INDEX('Structured 2025'!teamCol,ROW()),ovrTeamCol25,0),MATCH(MID(INDEX('Structured 2025'!headerRow,1,COLUMN()),4,LEN(INDEX('Structured 2025'!headerRow,1,COLUMN()))),ovrHeaderRow25,0))</f>
        <v>10.6</v>
      </c>
      <c r="AV47" s="12">
        <f>INDEX(ovrTable25,MATCH(INDEX('Structured 2025'!teamCol,ROW()),ovrTeamCol25,0),MATCH(MID(INDEX('Structured 2025'!headerRow,1,COLUMN()),4,LEN(INDEX('Structured 2025'!headerRow,1,COLUMN()))),ovrHeaderRow25,0))</f>
        <v>47.7</v>
      </c>
      <c r="AW47" s="12">
        <f>INDEX(ovrTable25,MATCH(INDEX('Structured 2025'!teamCol,ROW()),ovrTeamCol25,0),MATCH(MID(INDEX('Structured 2025'!headerRow,1,COLUMN()),4,LEN(INDEX('Structured 2025'!headerRow,1,COLUMN()))),ovrHeaderRow25,0))</f>
        <v>16.3</v>
      </c>
      <c r="AX47" s="12">
        <f>INDEX(ovrTable25,MATCH(INDEX('Structured 2025'!teamCol,ROW()),ovrTeamCol25,0),MATCH(MID(INDEX('Structured 2025'!headerRow,1,COLUMN()),4,LEN(INDEX('Structured 2025'!headerRow,1,COLUMN()))),ovrHeaderRow25,0))</f>
        <v>69.7</v>
      </c>
      <c r="AY47" s="12">
        <f>INDEX(ovrTable25,MATCH(INDEX('Structured 2025'!teamCol,ROW()),ovrTeamCol25,0),MATCH(MID(INDEX('Structured 2025'!headerRow,1,COLUMN()),4,LEN(INDEX('Structured 2025'!headerRow,1,COLUMN()))),ovrHeaderRow25,0))</f>
        <v>20.100000000000001</v>
      </c>
      <c r="AZ47" s="12">
        <f>INDEX(ovrTable25,MATCH(INDEX('Structured 2025'!teamCol,ROW()),ovrTeamCol25,0),MATCH(MID(INDEX('Structured 2025'!headerRow,1,COLUMN()),4,LEN(INDEX('Structured 2025'!headerRow,1,COLUMN()))),ovrHeaderRow25,0))</f>
        <v>14</v>
      </c>
      <c r="BA47" s="12">
        <f>INDEX(ovrTable25,MATCH(INDEX('Structured 2025'!teamCol,ROW()),ovrTeamCol25,0),MATCH(MID(INDEX('Structured 2025'!headerRow,1,COLUMN()),4,LEN(INDEX('Structured 2025'!headerRow,1,COLUMN()))),ovrHeaderRow25,0))</f>
        <v>64.5</v>
      </c>
      <c r="BB47" s="12">
        <f>INDEX(ovrTable25,MATCH(INDEX('Structured 2025'!teamCol,ROW()),ovrTeamCol25,0),MATCH(MID(INDEX('Structured 2025'!headerRow,1,COLUMN()),4,LEN(INDEX('Structured 2025'!headerRow,1,COLUMN()))),ovrHeaderRow25,0))</f>
        <v>11.71</v>
      </c>
      <c r="BC47" s="12">
        <f>INDEX(ovrTable25,MATCH(INDEX('Structured 2025'!teamCol,ROW()),ovrTeamCol25,0),MATCH(MID(INDEX('Structured 2025'!headerRow,1,COLUMN()),4,LEN(INDEX('Structured 2025'!headerRow,1,COLUMN()))),ovrHeaderRow25,0))</f>
        <v>76.599999999999994</v>
      </c>
      <c r="BD47" s="12">
        <f>INDEX(ovrTable25,MATCH(INDEX('Structured 2025'!teamCol,ROW()),ovrTeamCol25,0),MATCH(MID(INDEX('Structured 2025'!headerRow,1,COLUMN()),4,LEN(INDEX('Structured 2025'!headerRow,1,COLUMN()))),ovrHeaderRow25,0))</f>
        <v>3.2</v>
      </c>
      <c r="BE47" s="12">
        <f>INDEX(ovrTable25,MATCH(INDEX('Structured 2025'!teamCol,ROW()),ovrTeamCol25,0),MATCH(MID(INDEX('Structured 2025'!headerRow,1,COLUMN()),4,LEN(INDEX('Structured 2025'!headerRow,1,COLUMN()))),ovrHeaderRow25,0))</f>
        <v>36.06</v>
      </c>
      <c r="BF47" s="12">
        <f>INDEX(ovrTable25,MATCH(INDEX('Structured 2025'!teamCol,ROW()),ovrTeamCol25,0),MATCH(MID(INDEX('Structured 2025'!headerRow,1,COLUMN()),4,LEN(INDEX('Structured 2025'!headerRow,1,COLUMN()))),ovrHeaderRow25,0))</f>
        <v>12.1</v>
      </c>
      <c r="BG47" s="12">
        <f>INDEX(ovrTable25,MATCH(INDEX('Structured 2025'!teamCol,ROW()),ovrTeamCol25,0),MATCH(MID(INDEX('Structured 2025'!headerRow,1,COLUMN()),4,LEN(INDEX('Structured 2025'!headerRow,1,COLUMN()))),ovrHeaderRow25,0))</f>
        <v>9</v>
      </c>
      <c r="BH47" s="12">
        <f>INDEX(ovrTable25,MATCH(INDEX('Structured 2025'!teamCol,ROW()),ovrTeamCol25,0),MATCH(MID(INDEX('Structured 2025'!headerRow,1,COLUMN()),4,LEN(INDEX('Structured 2025'!headerRow,1,COLUMN()))),ovrHeaderRow25,0))</f>
        <v>3.8</v>
      </c>
      <c r="BI47" s="12">
        <f>INDEX(ovrTable25,MATCH(INDEX('Structured 2025'!teamCol,ROW()),ovrTeamCol25,0),MATCH(MID(INDEX('Structured 2025'!headerRow,1,COLUMN()),4,LEN(INDEX('Structured 2025'!headerRow,1,COLUMN()))),ovrHeaderRow25,0))</f>
        <v>14.63</v>
      </c>
      <c r="BJ47" s="12">
        <f>INDEX(ovrTable25,MATCH(INDEX('Structured 2025'!teamCol,ROW()),ovrTeamCol25,0),MATCH(MID(INDEX('Structured 2025'!headerRow,1,COLUMN()),4,LEN(INDEX('Structured 2025'!headerRow,1,COLUMN()))),ovrHeaderRow25,0))</f>
        <v>10.8</v>
      </c>
      <c r="BK47" s="12">
        <f>INDEX(ovrTable25,MATCH(INDEX('Structured 2025'!teamCol,ROW()),ovrTeamCol25,0),MATCH(MID(INDEX('Structured 2025'!headerRow,1,COLUMN()),4,LEN(INDEX('Structured 2025'!headerRow,1,COLUMN()))),ovrHeaderRow25,0))</f>
        <v>65.900000000000006</v>
      </c>
      <c r="BL47" s="12">
        <f>INDEX(ovrTable25,MATCH(INDEX('Structured 2025'!teamCol,ROW()),ovrTeamCol25,0),MATCH(MID(INDEX('Structured 2025'!headerRow,1,COLUMN()),4,LEN(INDEX('Structured 2025'!headerRow,1,COLUMN()))),ovrHeaderRow25,0))</f>
        <v>20.049999999999997</v>
      </c>
      <c r="BM47" s="12">
        <f>INDEX(ovrTable25,MATCH(INDEX('Structured 2025'!teamCol,ROW()),ovrTeamCol25,0),MATCH(MID(INDEX('Structured 2025'!headerRow,1,COLUMN()),4,LEN(INDEX('Structured 2025'!headerRow,1,COLUMN()))),ovrHeaderRow25,0))</f>
        <v>57.756813417190763</v>
      </c>
      <c r="BN47" s="12">
        <f>INDEX(ovrTable25,MATCH(INDEX(oppCol,ROW()),ovrTeamCol25,0),MATCH(MID(INDEX('Structured 2025'!headerRow,1,COLUMN()),4,LEN(INDEX('Structured 2025'!headerRow,1,COLUMN()))),ovrHeaderRow25,0))</f>
        <v>31.9</v>
      </c>
      <c r="BO47" s="12">
        <f>INDEX(ovrTable25,MATCH(INDEX(oppCol,ROW()),ovrTeamCol25,0),MATCH(MID(INDEX('Structured 2025'!headerRow,1,COLUMN()),4,LEN(INDEX('Structured 2025'!headerRow,1,COLUMN()))),ovrHeaderRow25,0))</f>
        <v>8.5</v>
      </c>
      <c r="BP47" s="12">
        <f>INDEX(ovrTable25,MATCH(INDEX(oppCol,ROW()),ovrTeamCol25,0),MATCH(MID(INDEX('Structured 2025'!headerRow,1,COLUMN()),4,LEN(INDEX('Structured 2025'!headerRow,1,COLUMN()))),ovrHeaderRow25,0))</f>
        <v>36.9</v>
      </c>
      <c r="BQ47" s="12">
        <f>INDEX(ovrTable25,MATCH(INDEX(oppCol,ROW()),ovrTeamCol25,0),MATCH(MID(INDEX('Structured 2025'!headerRow,1,COLUMN()),4,LEN(INDEX('Structured 2025'!headerRow,1,COLUMN()))),ovrHeaderRow25,0))</f>
        <v>23</v>
      </c>
      <c r="BR47" s="12">
        <f>INDEX(ovrTable25,MATCH(INDEX(oppCol,ROW()),ovrTeamCol25,0),MATCH(MID(INDEX('Structured 2025'!headerRow,1,COLUMN()),4,LEN(INDEX('Structured 2025'!headerRow,1,COLUMN()))),ovrHeaderRow25,0))</f>
        <v>1.35</v>
      </c>
      <c r="BS47" s="12">
        <f>INDEX(ovrTable25,MATCH(INDEX(oppCol,ROW()),ovrTeamCol25,0),MATCH(MID(INDEX('Structured 2025'!headerRow,1,COLUMN()),4,LEN(INDEX('Structured 2025'!headerRow,1,COLUMN()))),ovrHeaderRow25,0))</f>
        <v>14.2</v>
      </c>
      <c r="BT47" s="12">
        <f>INDEX(ovrTable25,MATCH(INDEX(oppCol,ROW()),ovrTeamCol25,0),MATCH(MID(INDEX('Structured 2025'!headerRow,1,COLUMN()),4,LEN(INDEX('Structured 2025'!headerRow,1,COLUMN()))),ovrHeaderRow25,0))</f>
        <v>15.35</v>
      </c>
      <c r="BU47" s="12">
        <f>INDEX(ovrTable25,MATCH(INDEX(oppCol,ROW()),ovrTeamCol25,0),MATCH(MID(INDEX('Structured 2025'!headerRow,1,COLUMN()),4,LEN(INDEX('Structured 2025'!headerRow,1,COLUMN()))),ovrHeaderRow25,0))</f>
        <v>3.5</v>
      </c>
      <c r="BV47" s="12">
        <f>INDEX(ovrTable25,MATCH(INDEX(oppCol,ROW()),ovrTeamCol25,0),MATCH(MID(INDEX('Structured 2025'!headerRow,1,COLUMN()),4,LEN(INDEX('Structured 2025'!headerRow,1,COLUMN()))),ovrHeaderRow25,0))</f>
        <v>42.8</v>
      </c>
      <c r="BW47" s="12">
        <f>INDEX(ovrTable25,MATCH(INDEX(oppCol,ROW()),ovrTeamCol25,0),MATCH(MID(INDEX('Structured 2025'!headerRow,1,COLUMN()),4,LEN(INDEX('Structured 2025'!headerRow,1,COLUMN()))),ovrHeaderRow25,0))</f>
        <v>24.09</v>
      </c>
      <c r="BX47" s="12">
        <f>INDEX(ovrTable25,MATCH(INDEX(oppCol,ROW()),ovrTeamCol25,0),MATCH(MID(INDEX('Structured 2025'!headerRow,1,COLUMN()),4,LEN(INDEX('Structured 2025'!headerRow,1,COLUMN()))),ovrHeaderRow25,0))</f>
        <v>0.53400000000000003</v>
      </c>
      <c r="BY47" s="12">
        <f>INDEX(ovrTable25,MATCH(INDEX(oppCol,ROW()),ovrTeamCol25,0),MATCH(MID(INDEX('Structured 2025'!headerRow,1,COLUMN()),4,LEN(INDEX('Structured 2025'!headerRow,1,COLUMN()))),ovrHeaderRow25,0))</f>
        <v>7.12</v>
      </c>
      <c r="BZ47" s="12">
        <f>INDEX(ovrTable25,MATCH(INDEX(oppCol,ROW()),ovrTeamCol25,0),MATCH(MID(INDEX('Structured 2025'!headerRow,1,COLUMN()),4,LEN(INDEX('Structured 2025'!headerRow,1,COLUMN()))),ovrHeaderRow25,0))</f>
        <v>46.2</v>
      </c>
      <c r="CA47" s="12">
        <f>INDEX(ovrTable25,MATCH(INDEX(oppCol,ROW()),ovrTeamCol25,0),MATCH(MID(INDEX('Structured 2025'!headerRow,1,COLUMN()),4,LEN(INDEX('Structured 2025'!headerRow,1,COLUMN()))),ovrHeaderRow25,0))</f>
        <v>15.2</v>
      </c>
      <c r="CB47" s="12">
        <f>INDEX(ovrTable25,MATCH(INDEX(oppCol,ROW()),ovrTeamCol25,0),MATCH(MID(INDEX('Structured 2025'!headerRow,1,COLUMN()),4,LEN(INDEX('Structured 2025'!headerRow,1,COLUMN()))),ovrHeaderRow25,0))</f>
        <v>76.8</v>
      </c>
      <c r="CC47" s="12">
        <f>INDEX(ovrTable25,MATCH(INDEX(oppCol,ROW()),ovrTeamCol25,0),MATCH(MID(INDEX('Structured 2025'!headerRow,1,COLUMN()),4,LEN(INDEX('Structured 2025'!headerRow,1,COLUMN()))),ovrHeaderRow25,0))</f>
        <v>16.8</v>
      </c>
      <c r="CD47" s="12">
        <f>INDEX(ovrTable25,MATCH(INDEX(oppCol,ROW()),ovrTeamCol25,0),MATCH(MID(INDEX('Structured 2025'!headerRow,1,COLUMN()),4,LEN(INDEX('Structured 2025'!headerRow,1,COLUMN()))),ovrHeaderRow25,0))</f>
        <v>12.9</v>
      </c>
      <c r="CE47" s="12">
        <f>INDEX(ovrTable25,MATCH(INDEX(oppCol,ROW()),ovrTeamCol25,0),MATCH(MID(INDEX('Structured 2025'!headerRow,1,COLUMN()),4,LEN(INDEX('Structured 2025'!headerRow,1,COLUMN()))),ovrHeaderRow25,0))</f>
        <v>65.8</v>
      </c>
      <c r="CF47" s="12">
        <f>INDEX(ovrTable25,MATCH(INDEX(oppCol,ROW()),ovrTeamCol25,0),MATCH(MID(INDEX('Structured 2025'!headerRow,1,COLUMN()),4,LEN(INDEX('Structured 2025'!headerRow,1,COLUMN()))),ovrHeaderRow25,0))</f>
        <v>11.26</v>
      </c>
      <c r="CG47" s="12">
        <f>INDEX(ovrTable25,MATCH(INDEX(oppCol,ROW()),ovrTeamCol25,0),MATCH(MID(INDEX('Structured 2025'!headerRow,1,COLUMN()),4,LEN(INDEX('Structured 2025'!headerRow,1,COLUMN()))),ovrHeaderRow25,0))</f>
        <v>76.099999999999994</v>
      </c>
      <c r="CH47" s="12">
        <f>INDEX(ovrTable25,MATCH(INDEX(oppCol,ROW()),ovrTeamCol25,0),MATCH(MID(INDEX('Structured 2025'!headerRow,1,COLUMN()),4,LEN(INDEX('Structured 2025'!headerRow,1,COLUMN()))),ovrHeaderRow25,0))</f>
        <v>2.7</v>
      </c>
      <c r="CI47" s="12">
        <f>INDEX(ovrTable25,MATCH(INDEX(oppCol,ROW()),ovrTeamCol25,0),MATCH(MID(INDEX('Structured 2025'!headerRow,1,COLUMN()),4,LEN(INDEX('Structured 2025'!headerRow,1,COLUMN()))),ovrHeaderRow25,0))</f>
        <v>35.35</v>
      </c>
      <c r="CJ47" s="12">
        <f>INDEX(ovrTable25,MATCH(INDEX(oppCol,ROW()),ovrTeamCol25,0),MATCH(MID(INDEX('Structured 2025'!headerRow,1,COLUMN()),4,LEN(INDEX('Structured 2025'!headerRow,1,COLUMN()))),ovrHeaderRow25,0))</f>
        <v>10.3</v>
      </c>
      <c r="CK47" s="12">
        <f>INDEX(ovrTable25,MATCH(INDEX(oppCol,ROW()),ovrTeamCol25,0),MATCH(MID(INDEX('Structured 2025'!headerRow,1,COLUMN()),4,LEN(INDEX('Structured 2025'!headerRow,1,COLUMN()))),ovrHeaderRow25,0))</f>
        <v>7.4</v>
      </c>
      <c r="CL47" s="12">
        <f>INDEX(ovrTable25,MATCH(INDEX(oppCol,ROW()),ovrTeamCol25,0),MATCH(MID(INDEX('Structured 2025'!headerRow,1,COLUMN()),4,LEN(INDEX('Structured 2025'!headerRow,1,COLUMN()))),ovrHeaderRow25,0))</f>
        <v>2.8</v>
      </c>
      <c r="CM47" s="12">
        <f>INDEX(ovrTable25,MATCH(INDEX(oppCol,ROW()),ovrTeamCol25,0),MATCH(MID(INDEX('Structured 2025'!headerRow,1,COLUMN()),4,LEN(INDEX('Structured 2025'!headerRow,1,COLUMN()))),ovrHeaderRow25,0))</f>
        <v>13.29</v>
      </c>
      <c r="CN47" s="12">
        <f>INDEX(ovrTable25,MATCH(INDEX(oppCol,ROW()),ovrTeamCol25,0),MATCH(MID(INDEX('Structured 2025'!headerRow,1,COLUMN()),4,LEN(INDEX('Structured 2025'!headerRow,1,COLUMN()))),ovrHeaderRow25,0))</f>
        <v>10.5</v>
      </c>
      <c r="CO47" s="12">
        <f>INDEX(ovrTable25,MATCH(INDEX(oppCol,ROW()),ovrTeamCol25,0),MATCH(MID(INDEX('Structured 2025'!headerRow,1,COLUMN()),4,LEN(INDEX('Structured 2025'!headerRow,1,COLUMN()))),ovrHeaderRow25,0))</f>
        <v>64.599999999999994</v>
      </c>
      <c r="CP47" s="12">
        <f>INDEX(ovrTable25,MATCH(INDEX(oppCol,ROW()),ovrTeamCol25,0),MATCH(MID(INDEX('Structured 2025'!headerRow,1,COLUMN()),4,LEN(INDEX('Structured 2025'!headerRow,1,COLUMN()))),ovrHeaderRow25,0))</f>
        <v>18.849999999999998</v>
      </c>
      <c r="CQ47" s="12">
        <f>INDEX(ovrTable25,MATCH(INDEX(oppCol,ROW()),ovrTeamCol25,0),MATCH(MID(INDEX('Structured 2025'!headerRow,1,COLUMN()),4,LEN(INDEX('Structured 2025'!headerRow,1,COLUMN()))),ovrHeaderRow25,0))</f>
        <v>59.199134199134193</v>
      </c>
    </row>
    <row r="48" spans="1:95" x14ac:dyDescent="0.3">
      <c r="A48" s="6" t="s">
        <v>54</v>
      </c>
      <c r="B48" s="3">
        <v>4</v>
      </c>
      <c r="C48" s="13" t="str">
        <f>A49</f>
        <v>HPU</v>
      </c>
      <c r="D48" s="14">
        <f t="shared" si="26"/>
        <v>24</v>
      </c>
      <c r="E48" s="23">
        <v>0.35714285714285715</v>
      </c>
      <c r="F48" s="24">
        <v>45.901639344262293</v>
      </c>
      <c r="G48" s="24">
        <v>5</v>
      </c>
      <c r="H48" s="23">
        <v>33.333333333333329</v>
      </c>
      <c r="I48" s="24">
        <v>15</v>
      </c>
      <c r="J48" s="25">
        <v>1.4285714285714286</v>
      </c>
      <c r="K48" s="24">
        <v>14</v>
      </c>
      <c r="L48" s="24">
        <v>22</v>
      </c>
      <c r="M48" s="24">
        <v>19</v>
      </c>
      <c r="N48" s="24">
        <v>26</v>
      </c>
      <c r="O48" s="24">
        <v>10</v>
      </c>
      <c r="P48" s="24">
        <v>4</v>
      </c>
      <c r="Q48" s="24">
        <v>0</v>
      </c>
      <c r="R48" s="24">
        <v>7</v>
      </c>
      <c r="S48" s="24">
        <v>2</v>
      </c>
      <c r="T48" s="24">
        <v>13</v>
      </c>
      <c r="U48" s="24">
        <v>22</v>
      </c>
      <c r="V48" s="24">
        <v>0.43396226415094341</v>
      </c>
      <c r="W48" s="26">
        <v>0.5</v>
      </c>
      <c r="X48" s="23">
        <v>63.636363636363633</v>
      </c>
      <c r="Y48" s="24">
        <v>63</v>
      </c>
      <c r="Z48" s="24">
        <v>75</v>
      </c>
      <c r="AA48" s="24">
        <v>21</v>
      </c>
      <c r="AB48" s="24">
        <v>45</v>
      </c>
      <c r="AC48" s="24">
        <v>12</v>
      </c>
      <c r="AD48" s="24">
        <v>2</v>
      </c>
      <c r="AE48" s="24">
        <v>9</v>
      </c>
      <c r="AF48" s="34">
        <f t="shared" si="34"/>
        <v>23</v>
      </c>
      <c r="AG48" s="34">
        <f t="shared" si="35"/>
        <v>46.000000000000007</v>
      </c>
      <c r="AH48" s="46">
        <f t="shared" si="36"/>
        <v>59.45</v>
      </c>
      <c r="AI48" s="51">
        <f t="shared" ref="AI48" si="51">AVERAGE(AH48,AH49)</f>
        <v>59.837500000000006</v>
      </c>
      <c r="AJ48" s="12">
        <f>INDEX(ovrTable25,MATCH(INDEX('Structured 2025'!teamCol,ROW()),ovrTeamCol25,0),MATCH(MID(INDEX('Structured 2025'!headerRow,1,COLUMN()),4,LEN(INDEX('Structured 2025'!headerRow,1,COLUMN()))),ovrHeaderRow25,0))</f>
        <v>31.2</v>
      </c>
      <c r="AK48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48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48" s="12">
        <f>INDEX(ovrTable25,MATCH(INDEX('Structured 2025'!teamCol,ROW()),ovrTeamCol25,0),MATCH(MID(INDEX('Structured 2025'!headerRow,1,COLUMN()),4,LEN(INDEX('Structured 2025'!headerRow,1,COLUMN()))),ovrHeaderRow25,0))</f>
        <v>21.6</v>
      </c>
      <c r="AN48" s="12">
        <f>INDEX(ovrTable25,MATCH(INDEX('Structured 2025'!teamCol,ROW()),ovrTeamCol25,0),MATCH(MID(INDEX('Structured 2025'!headerRow,1,COLUMN()),4,LEN(INDEX('Structured 2025'!headerRow,1,COLUMN()))),ovrHeaderRow25,0))</f>
        <v>1.53</v>
      </c>
      <c r="AO48" s="12">
        <f>INDEX(ovrTable25,MATCH(INDEX('Structured 2025'!teamCol,ROW()),ovrTeamCol25,0),MATCH(MID(INDEX('Structured 2025'!headerRow,1,COLUMN()),4,LEN(INDEX('Structured 2025'!headerRow,1,COLUMN()))),ovrHeaderRow25,0))</f>
        <v>15.9</v>
      </c>
      <c r="AP48" s="12">
        <f>INDEX(ovrTable25,MATCH(INDEX('Structured 2025'!teamCol,ROW()),ovrTeamCol25,0),MATCH(MID(INDEX('Structured 2025'!headerRow,1,COLUMN()),4,LEN(INDEX('Structured 2025'!headerRow,1,COLUMN()))),ovrHeaderRow25,0))</f>
        <v>17.03</v>
      </c>
      <c r="AQ48" s="12">
        <f>INDEX(ovrTable25,MATCH(INDEX('Structured 2025'!teamCol,ROW()),ovrTeamCol25,0),MATCH(MID(INDEX('Structured 2025'!headerRow,1,COLUMN()),4,LEN(INDEX('Structured 2025'!headerRow,1,COLUMN()))),ovrHeaderRow25,0))</f>
        <v>1.6</v>
      </c>
      <c r="AR48" s="12">
        <f>INDEX(ovrTable25,MATCH(INDEX('Structured 2025'!teamCol,ROW()),ovrTeamCol25,0),MATCH(MID(INDEX('Structured 2025'!headerRow,1,COLUMN()),4,LEN(INDEX('Structured 2025'!headerRow,1,COLUMN()))),ovrHeaderRow25,0))</f>
        <v>45.2</v>
      </c>
      <c r="AS48" s="12">
        <f>INDEX(ovrTable25,MATCH(INDEX('Structured 2025'!teamCol,ROW()),ovrTeamCol25,0),MATCH(MID(INDEX('Structured 2025'!headerRow,1,COLUMN()),4,LEN(INDEX('Structured 2025'!headerRow,1,COLUMN()))),ovrHeaderRow25,0))</f>
        <v>23.08</v>
      </c>
      <c r="AT48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48" s="12">
        <f>INDEX(ovrTable25,MATCH(INDEX('Structured 2025'!teamCol,ROW()),ovrTeamCol25,0),MATCH(MID(INDEX('Structured 2025'!headerRow,1,COLUMN()),4,LEN(INDEX('Structured 2025'!headerRow,1,COLUMN()))),ovrHeaderRow25,0))</f>
        <v>7.83</v>
      </c>
      <c r="AV48" s="12">
        <f>INDEX(ovrTable25,MATCH(INDEX('Structured 2025'!teamCol,ROW()),ovrTeamCol25,0),MATCH(MID(INDEX('Structured 2025'!headerRow,1,COLUMN()),4,LEN(INDEX('Structured 2025'!headerRow,1,COLUMN()))),ovrHeaderRow25,0))</f>
        <v>48.6</v>
      </c>
      <c r="AW48" s="12">
        <f>INDEX(ovrTable25,MATCH(INDEX('Structured 2025'!teamCol,ROW()),ovrTeamCol25,0),MATCH(MID(INDEX('Structured 2025'!headerRow,1,COLUMN()),4,LEN(INDEX('Structured 2025'!headerRow,1,COLUMN()))),ovrHeaderRow25,0))</f>
        <v>15.8</v>
      </c>
      <c r="AX48" s="12">
        <f>INDEX(ovrTable25,MATCH(INDEX('Structured 2025'!teamCol,ROW()),ovrTeamCol25,0),MATCH(MID(INDEX('Structured 2025'!headerRow,1,COLUMN()),4,LEN(INDEX('Structured 2025'!headerRow,1,COLUMN()))),ovrHeaderRow25,0))</f>
        <v>73.2</v>
      </c>
      <c r="AY48" s="12">
        <f>INDEX(ovrTable25,MATCH(INDEX('Structured 2025'!teamCol,ROW()),ovrTeamCol25,0),MATCH(MID(INDEX('Structured 2025'!headerRow,1,COLUMN()),4,LEN(INDEX('Structured 2025'!headerRow,1,COLUMN()))),ovrHeaderRow25,0))</f>
        <v>19.5</v>
      </c>
      <c r="AZ48" s="12">
        <f>INDEX(ovrTable25,MATCH(INDEX('Structured 2025'!teamCol,ROW()),ovrTeamCol25,0),MATCH(MID(INDEX('Structured 2025'!headerRow,1,COLUMN()),4,LEN(INDEX('Structured 2025'!headerRow,1,COLUMN()))),ovrHeaderRow25,0))</f>
        <v>14.3</v>
      </c>
      <c r="BA48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48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48" s="12">
        <f>INDEX(ovrTable25,MATCH(INDEX('Structured 2025'!teamCol,ROW()),ovrTeamCol25,0),MATCH(MID(INDEX('Structured 2025'!headerRow,1,COLUMN()),4,LEN(INDEX('Structured 2025'!headerRow,1,COLUMN()))),ovrHeaderRow25,0))</f>
        <v>77.3</v>
      </c>
      <c r="BD48" s="12">
        <f>INDEX(ovrTable25,MATCH(INDEX('Structured 2025'!teamCol,ROW()),ovrTeamCol25,0),MATCH(MID(INDEX('Structured 2025'!headerRow,1,COLUMN()),4,LEN(INDEX('Structured 2025'!headerRow,1,COLUMN()))),ovrHeaderRow25,0))</f>
        <v>2.1</v>
      </c>
      <c r="BE48" s="12">
        <f>INDEX(ovrTable25,MATCH(INDEX('Structured 2025'!teamCol,ROW()),ovrTeamCol25,0),MATCH(MID(INDEX('Structured 2025'!headerRow,1,COLUMN()),4,LEN(INDEX('Structured 2025'!headerRow,1,COLUMN()))),ovrHeaderRow25,0))</f>
        <v>32.86</v>
      </c>
      <c r="BF48" s="12">
        <f>INDEX(ovrTable25,MATCH(INDEX('Structured 2025'!teamCol,ROW()),ovrTeamCol25,0),MATCH(MID(INDEX('Structured 2025'!headerRow,1,COLUMN()),4,LEN(INDEX('Structured 2025'!headerRow,1,COLUMN()))),ovrHeaderRow25,0))</f>
        <v>6.9</v>
      </c>
      <c r="BG48" s="12">
        <f>INDEX(ovrTable25,MATCH(INDEX('Structured 2025'!teamCol,ROW()),ovrTeamCol25,0),MATCH(MID(INDEX('Structured 2025'!headerRow,1,COLUMN()),4,LEN(INDEX('Structured 2025'!headerRow,1,COLUMN()))),ovrHeaderRow25,0))</f>
        <v>6.4</v>
      </c>
      <c r="BH48" s="12">
        <f>INDEX(ovrTable25,MATCH(INDEX('Structured 2025'!teamCol,ROW()),ovrTeamCol25,0),MATCH(MID(INDEX('Structured 2025'!headerRow,1,COLUMN()),4,LEN(INDEX('Structured 2025'!headerRow,1,COLUMN()))),ovrHeaderRow25,0))</f>
        <v>1.2</v>
      </c>
      <c r="BI48" s="12">
        <f>INDEX(ovrTable25,MATCH(INDEX('Structured 2025'!teamCol,ROW()),ovrTeamCol25,0),MATCH(MID(INDEX('Structured 2025'!headerRow,1,COLUMN()),4,LEN(INDEX('Structured 2025'!headerRow,1,COLUMN()))),ovrHeaderRow25,0))</f>
        <v>11.61</v>
      </c>
      <c r="BJ48" s="12">
        <f>INDEX(ovrTable25,MATCH(INDEX('Structured 2025'!teamCol,ROW()),ovrTeamCol25,0),MATCH(MID(INDEX('Structured 2025'!headerRow,1,COLUMN()),4,LEN(INDEX('Structured 2025'!headerRow,1,COLUMN()))),ovrHeaderRow25,0))</f>
        <v>10.4</v>
      </c>
      <c r="BK48" s="12">
        <f>INDEX(ovrTable25,MATCH(INDEX('Structured 2025'!teamCol,ROW()),ovrTeamCol25,0),MATCH(MID(INDEX('Structured 2025'!headerRow,1,COLUMN()),4,LEN(INDEX('Structured 2025'!headerRow,1,COLUMN()))),ovrHeaderRow25,0))</f>
        <v>65.099999999999994</v>
      </c>
      <c r="BL48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48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48" s="12">
        <f>INDEX(ovrTable25,MATCH(INDEX(oppCol,ROW()),ovrTeamCol25,0),MATCH(MID(INDEX('Structured 2025'!headerRow,1,COLUMN()),4,LEN(INDEX('Structured 2025'!headerRow,1,COLUMN()))),ovrHeaderRow25,0))</f>
        <v>32.700000000000003</v>
      </c>
      <c r="BO48" s="12">
        <f>INDEX(ovrTable25,MATCH(INDEX(oppCol,ROW()),ovrTeamCol25,0),MATCH(MID(INDEX('Structured 2025'!headerRow,1,COLUMN()),4,LEN(INDEX('Structured 2025'!headerRow,1,COLUMN()))),ovrHeaderRow25,0))</f>
        <v>8.3000000000000007</v>
      </c>
      <c r="BP48" s="12">
        <f>INDEX(ovrTable25,MATCH(INDEX(oppCol,ROW()),ovrTeamCol25,0),MATCH(MID(INDEX('Structured 2025'!headerRow,1,COLUMN()),4,LEN(INDEX('Structured 2025'!headerRow,1,COLUMN()))),ovrHeaderRow25,0))</f>
        <v>36.299999999999997</v>
      </c>
      <c r="BQ48" s="12">
        <f>INDEX(ovrTable25,MATCH(INDEX(oppCol,ROW()),ovrTeamCol25,0),MATCH(MID(INDEX('Structured 2025'!headerRow,1,COLUMN()),4,LEN(INDEX('Structured 2025'!headerRow,1,COLUMN()))),ovrHeaderRow25,0))</f>
        <v>22.8</v>
      </c>
      <c r="BR48" s="12">
        <f>INDEX(ovrTable25,MATCH(INDEX(oppCol,ROW()),ovrTeamCol25,0),MATCH(MID(INDEX('Structured 2025'!headerRow,1,COLUMN()),4,LEN(INDEX('Structured 2025'!headerRow,1,COLUMN()))),ovrHeaderRow25,0))</f>
        <v>1.25</v>
      </c>
      <c r="BS48" s="12">
        <f>INDEX(ovrTable25,MATCH(INDEX(oppCol,ROW()),ovrTeamCol25,0),MATCH(MID(INDEX('Structured 2025'!headerRow,1,COLUMN()),4,LEN(INDEX('Structured 2025'!headerRow,1,COLUMN()))),ovrHeaderRow25,0))</f>
        <v>13</v>
      </c>
      <c r="BT48" s="12">
        <f>INDEX(ovrTable25,MATCH(INDEX(oppCol,ROW()),ovrTeamCol25,0),MATCH(MID(INDEX('Structured 2025'!headerRow,1,COLUMN()),4,LEN(INDEX('Structured 2025'!headerRow,1,COLUMN()))),ovrHeaderRow25,0))</f>
        <v>28.51</v>
      </c>
      <c r="BU48" s="12">
        <f>INDEX(ovrTable25,MATCH(INDEX(oppCol,ROW()),ovrTeamCol25,0),MATCH(MID(INDEX('Structured 2025'!headerRow,1,COLUMN()),4,LEN(INDEX('Structured 2025'!headerRow,1,COLUMN()))),ovrHeaderRow25,0))</f>
        <v>2.9</v>
      </c>
      <c r="BV48" s="12">
        <f>INDEX(ovrTable25,MATCH(INDEX(oppCol,ROW()),ovrTeamCol25,0),MATCH(MID(INDEX('Structured 2025'!headerRow,1,COLUMN()),4,LEN(INDEX('Structured 2025'!headerRow,1,COLUMN()))),ovrHeaderRow25,0))</f>
        <v>42.7</v>
      </c>
      <c r="BW48" s="12">
        <f>INDEX(ovrTable25,MATCH(INDEX(oppCol,ROW()),ovrTeamCol25,0),MATCH(MID(INDEX('Structured 2025'!headerRow,1,COLUMN()),4,LEN(INDEX('Structured 2025'!headerRow,1,COLUMN()))),ovrHeaderRow25,0))</f>
        <v>24.94</v>
      </c>
      <c r="BX48" s="12">
        <f>INDEX(ovrTable25,MATCH(INDEX(oppCol,ROW()),ovrTeamCol25,0),MATCH(MID(INDEX('Structured 2025'!headerRow,1,COLUMN()),4,LEN(INDEX('Structured 2025'!headerRow,1,COLUMN()))),ovrHeaderRow25,0))</f>
        <v>0.56399999999999995</v>
      </c>
      <c r="BY48" s="12">
        <f>INDEX(ovrTable25,MATCH(INDEX(oppCol,ROW()),ovrTeamCol25,0),MATCH(MID(INDEX('Structured 2025'!headerRow,1,COLUMN()),4,LEN(INDEX('Structured 2025'!headerRow,1,COLUMN()))),ovrHeaderRow25,0))</f>
        <v>11.2</v>
      </c>
      <c r="BZ48" s="12">
        <f>INDEX(ovrTable25,MATCH(INDEX(oppCol,ROW()),ovrTeamCol25,0),MATCH(MID(INDEX('Structured 2025'!headerRow,1,COLUMN()),4,LEN(INDEX('Structured 2025'!headerRow,1,COLUMN()))),ovrHeaderRow25,0))</f>
        <v>49.2</v>
      </c>
      <c r="CA48" s="12">
        <f>INDEX(ovrTable25,MATCH(INDEX(oppCol,ROW()),ovrTeamCol25,0),MATCH(MID(INDEX('Structured 2025'!headerRow,1,COLUMN()),4,LEN(INDEX('Structured 2025'!headerRow,1,COLUMN()))),ovrHeaderRow25,0))</f>
        <v>18.100000000000001</v>
      </c>
      <c r="CB48" s="12">
        <f>INDEX(ovrTable25,MATCH(INDEX(oppCol,ROW()),ovrTeamCol25,0),MATCH(MID(INDEX('Structured 2025'!headerRow,1,COLUMN()),4,LEN(INDEX('Structured 2025'!headerRow,1,COLUMN()))),ovrHeaderRow25,0))</f>
        <v>76.099999999999994</v>
      </c>
      <c r="CC48" s="12">
        <f>INDEX(ovrTable25,MATCH(INDEX(oppCol,ROW()),ovrTeamCol25,0),MATCH(MID(INDEX('Structured 2025'!headerRow,1,COLUMN()),4,LEN(INDEX('Structured 2025'!headerRow,1,COLUMN()))),ovrHeaderRow25,0))</f>
        <v>21.3</v>
      </c>
      <c r="CD48" s="12">
        <f>INDEX(ovrTable25,MATCH(INDEX(oppCol,ROW()),ovrTeamCol25,0),MATCH(MID(INDEX('Structured 2025'!headerRow,1,COLUMN()),4,LEN(INDEX('Structured 2025'!headerRow,1,COLUMN()))),ovrHeaderRow25,0))</f>
        <v>16.2</v>
      </c>
      <c r="CE48" s="12">
        <f>INDEX(ovrTable25,MATCH(INDEX(oppCol,ROW()),ovrTeamCol25,0),MATCH(MID(INDEX('Structured 2025'!headerRow,1,COLUMN()),4,LEN(INDEX('Structured 2025'!headerRow,1,COLUMN()))),ovrHeaderRow25,0))</f>
        <v>68.900000000000006</v>
      </c>
      <c r="CF48" s="12">
        <f>INDEX(ovrTable25,MATCH(INDEX(oppCol,ROW()),ovrTeamCol25,0),MATCH(MID(INDEX('Structured 2025'!headerRow,1,COLUMN()),4,LEN(INDEX('Structured 2025'!headerRow,1,COLUMN()))),ovrHeaderRow25,0))</f>
        <v>11.14</v>
      </c>
      <c r="CG48" s="12">
        <f>INDEX(ovrTable25,MATCH(INDEX(oppCol,ROW()),ovrTeamCol25,0),MATCH(MID(INDEX('Structured 2025'!headerRow,1,COLUMN()),4,LEN(INDEX('Structured 2025'!headerRow,1,COLUMN()))),ovrHeaderRow25,0))</f>
        <v>81.7</v>
      </c>
      <c r="CH48" s="12">
        <f>INDEX(ovrTable25,MATCH(INDEX(oppCol,ROW()),ovrTeamCol25,0),MATCH(MID(INDEX('Structured 2025'!headerRow,1,COLUMN()),4,LEN(INDEX('Structured 2025'!headerRow,1,COLUMN()))),ovrHeaderRow25,0))</f>
        <v>5</v>
      </c>
      <c r="CI48" s="12">
        <f>INDEX(ovrTable25,MATCH(INDEX(oppCol,ROW()),ovrTeamCol25,0),MATCH(MID(INDEX('Structured 2025'!headerRow,1,COLUMN()),4,LEN(INDEX('Structured 2025'!headerRow,1,COLUMN()))),ovrHeaderRow25,0))</f>
        <v>36.090000000000003</v>
      </c>
      <c r="CJ48" s="12">
        <f>INDEX(ovrTable25,MATCH(INDEX(oppCol,ROW()),ovrTeamCol25,0),MATCH(MID(INDEX('Structured 2025'!headerRow,1,COLUMN()),4,LEN(INDEX('Structured 2025'!headerRow,1,COLUMN()))),ovrHeaderRow25,0))</f>
        <v>12.7</v>
      </c>
      <c r="CK48" s="12">
        <f>INDEX(ovrTable25,MATCH(INDEX(oppCol,ROW()),ovrTeamCol25,0),MATCH(MID(INDEX('Structured 2025'!headerRow,1,COLUMN()),4,LEN(INDEX('Structured 2025'!headerRow,1,COLUMN()))),ovrHeaderRow25,0))</f>
        <v>6.1</v>
      </c>
      <c r="CL48" s="12">
        <f>INDEX(ovrTable25,MATCH(INDEX(oppCol,ROW()),ovrTeamCol25,0),MATCH(MID(INDEX('Structured 2025'!headerRow,1,COLUMN()),4,LEN(INDEX('Structured 2025'!headerRow,1,COLUMN()))),ovrHeaderRow25,0))</f>
        <v>1.2</v>
      </c>
      <c r="CM48" s="12">
        <f>INDEX(ovrTable25,MATCH(INDEX(oppCol,ROW()),ovrTeamCol25,0),MATCH(MID(INDEX('Structured 2025'!headerRow,1,COLUMN()),4,LEN(INDEX('Structured 2025'!headerRow,1,COLUMN()))),ovrHeaderRow25,0))</f>
        <v>11.57</v>
      </c>
      <c r="CN48" s="12">
        <f>INDEX(ovrTable25,MATCH(INDEX(oppCol,ROW()),ovrTeamCol25,0),MATCH(MID(INDEX('Structured 2025'!headerRow,1,COLUMN()),4,LEN(INDEX('Structured 2025'!headerRow,1,COLUMN()))),ovrHeaderRow25,0))</f>
        <v>10.4</v>
      </c>
      <c r="CO48" s="12">
        <f>INDEX(ovrTable25,MATCH(INDEX(oppCol,ROW()),ovrTeamCol25,0),MATCH(MID(INDEX('Structured 2025'!headerRow,1,COLUMN()),4,LEN(INDEX('Structured 2025'!headerRow,1,COLUMN()))),ovrHeaderRow25,0))</f>
        <v>66.5</v>
      </c>
      <c r="CP48" s="12">
        <f>INDEX(ovrTable25,MATCH(INDEX(oppCol,ROW()),ovrTeamCol25,0),MATCH(MID(INDEX('Structured 2025'!headerRow,1,COLUMN()),4,LEN(INDEX('Structured 2025'!headerRow,1,COLUMN()))),ovrHeaderRow25,0))</f>
        <v>20.299999999999997</v>
      </c>
      <c r="CQ48" s="12">
        <f>INDEX(ovrTable25,MATCH(INDEX(oppCol,ROW()),ovrTeamCol25,0),MATCH(MID(INDEX('Structured 2025'!headerRow,1,COLUMN()),4,LEN(INDEX('Structured 2025'!headerRow,1,COLUMN()))),ovrHeaderRow25,0))</f>
        <v>58.130081300813004</v>
      </c>
    </row>
    <row r="49" spans="1:95" x14ac:dyDescent="0.3">
      <c r="A49" s="6" t="s">
        <v>368</v>
      </c>
      <c r="B49" s="3">
        <v>13</v>
      </c>
      <c r="C49" s="13" t="str">
        <f>A48</f>
        <v>PUR</v>
      </c>
      <c r="D49" s="14">
        <f t="shared" si="26"/>
        <v>24</v>
      </c>
      <c r="E49" s="23">
        <v>0.33333333333333331</v>
      </c>
      <c r="F49" s="24">
        <v>43.39622641509434</v>
      </c>
      <c r="G49" s="24">
        <v>10</v>
      </c>
      <c r="H49" s="23">
        <v>35.714285714285715</v>
      </c>
      <c r="I49" s="24">
        <v>28</v>
      </c>
      <c r="J49" s="25">
        <v>1.4444444444444444</v>
      </c>
      <c r="K49" s="24">
        <v>7</v>
      </c>
      <c r="L49" s="24">
        <v>11</v>
      </c>
      <c r="M49" s="24">
        <v>7</v>
      </c>
      <c r="N49" s="24">
        <v>17</v>
      </c>
      <c r="O49" s="24">
        <v>13</v>
      </c>
      <c r="P49" s="24">
        <v>4</v>
      </c>
      <c r="Q49" s="24">
        <v>2</v>
      </c>
      <c r="R49" s="24">
        <v>9</v>
      </c>
      <c r="S49" s="24">
        <v>8</v>
      </c>
      <c r="T49" s="24">
        <v>20</v>
      </c>
      <c r="U49" s="24">
        <v>30</v>
      </c>
      <c r="V49" s="24">
        <v>0.45901639344262296</v>
      </c>
      <c r="W49" s="26">
        <v>0.52830188679245282</v>
      </c>
      <c r="X49" s="23">
        <v>63.636363636363633</v>
      </c>
      <c r="Y49" s="24">
        <v>75</v>
      </c>
      <c r="Z49" s="24">
        <v>63</v>
      </c>
      <c r="AA49" s="24">
        <v>-21</v>
      </c>
      <c r="AB49" s="24">
        <v>24</v>
      </c>
      <c r="AC49" s="24">
        <v>-12</v>
      </c>
      <c r="AD49" s="24">
        <v>-2</v>
      </c>
      <c r="AE49" s="24">
        <v>7</v>
      </c>
      <c r="AF49" s="34">
        <f t="shared" si="34"/>
        <v>13</v>
      </c>
      <c r="AG49" s="34">
        <f t="shared" si="35"/>
        <v>25</v>
      </c>
      <c r="AH49" s="46">
        <f t="shared" si="36"/>
        <v>60.225000000000001</v>
      </c>
      <c r="AI49" s="51">
        <f t="shared" ref="AI49" si="52">AVERAGE(AH48,AH49)</f>
        <v>59.837500000000006</v>
      </c>
      <c r="AJ49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K49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49" s="12">
        <f>INDEX(ovrTable25,MATCH(INDEX('Structured 2025'!teamCol,ROW()),ovrTeamCol25,0),MATCH(MID(INDEX('Structured 2025'!headerRow,1,COLUMN()),4,LEN(INDEX('Structured 2025'!headerRow,1,COLUMN()))),ovrHeaderRow25,0))</f>
        <v>36.299999999999997</v>
      </c>
      <c r="AM49" s="12">
        <f>INDEX(ovrTable25,MATCH(INDEX('Structured 2025'!teamCol,ROW()),ovrTeamCol25,0),MATCH(MID(INDEX('Structured 2025'!headerRow,1,COLUMN()),4,LEN(INDEX('Structured 2025'!headerRow,1,COLUMN()))),ovrHeaderRow25,0))</f>
        <v>22.8</v>
      </c>
      <c r="AN49" s="12">
        <f>INDEX(ovrTable25,MATCH(INDEX('Structured 2025'!teamCol,ROW()),ovrTeamCol25,0),MATCH(MID(INDEX('Structured 2025'!headerRow,1,COLUMN()),4,LEN(INDEX('Structured 2025'!headerRow,1,COLUMN()))),ovrHeaderRow25,0))</f>
        <v>1.25</v>
      </c>
      <c r="AO49" s="12">
        <f>INDEX(ovrTable25,MATCH(INDEX('Structured 2025'!teamCol,ROW()),ovrTeamCol25,0),MATCH(MID(INDEX('Structured 2025'!headerRow,1,COLUMN()),4,LEN(INDEX('Structured 2025'!headerRow,1,COLUMN()))),ovrHeaderRow25,0))</f>
        <v>13</v>
      </c>
      <c r="AP49" s="12">
        <f>INDEX(ovrTable25,MATCH(INDEX('Structured 2025'!teamCol,ROW()),ovrTeamCol25,0),MATCH(MID(INDEX('Structured 2025'!headerRow,1,COLUMN()),4,LEN(INDEX('Structured 2025'!headerRow,1,COLUMN()))),ovrHeaderRow25,0))</f>
        <v>28.51</v>
      </c>
      <c r="AQ49" s="12">
        <f>INDEX(ovrTable25,MATCH(INDEX('Structured 2025'!teamCol,ROW()),ovrTeamCol25,0),MATCH(MID(INDEX('Structured 2025'!headerRow,1,COLUMN()),4,LEN(INDEX('Structured 2025'!headerRow,1,COLUMN()))),ovrHeaderRow25,0))</f>
        <v>2.9</v>
      </c>
      <c r="AR49" s="12">
        <f>INDEX(ovrTable25,MATCH(INDEX('Structured 2025'!teamCol,ROW()),ovrTeamCol25,0),MATCH(MID(INDEX('Structured 2025'!headerRow,1,COLUMN()),4,LEN(INDEX('Structured 2025'!headerRow,1,COLUMN()))),ovrHeaderRow25,0))</f>
        <v>42.7</v>
      </c>
      <c r="AS49" s="12">
        <f>INDEX(ovrTable25,MATCH(INDEX('Structured 2025'!teamCol,ROW()),ovrTeamCol25,0),MATCH(MID(INDEX('Structured 2025'!headerRow,1,COLUMN()),4,LEN(INDEX('Structured 2025'!headerRow,1,COLUMN()))),ovrHeaderRow25,0))</f>
        <v>24.94</v>
      </c>
      <c r="AT49" s="12">
        <f>INDEX(ovrTable25,MATCH(INDEX('Structured 2025'!teamCol,ROW()),ovrTeamCol25,0),MATCH(MID(INDEX('Structured 2025'!headerRow,1,COLUMN()),4,LEN(INDEX('Structured 2025'!headerRow,1,COLUMN()))),ovrHeaderRow25,0))</f>
        <v>0.56399999999999995</v>
      </c>
      <c r="AU49" s="12">
        <f>INDEX(ovrTable25,MATCH(INDEX('Structured 2025'!teamCol,ROW()),ovrTeamCol25,0),MATCH(MID(INDEX('Structured 2025'!headerRow,1,COLUMN()),4,LEN(INDEX('Structured 2025'!headerRow,1,COLUMN()))),ovrHeaderRow25,0))</f>
        <v>11.2</v>
      </c>
      <c r="AV49" s="12">
        <f>INDEX(ovrTable25,MATCH(INDEX('Structured 2025'!teamCol,ROW()),ovrTeamCol25,0),MATCH(MID(INDEX('Structured 2025'!headerRow,1,COLUMN()),4,LEN(INDEX('Structured 2025'!headerRow,1,COLUMN()))),ovrHeaderRow25,0))</f>
        <v>49.2</v>
      </c>
      <c r="AW49" s="12">
        <f>INDEX(ovrTable25,MATCH(INDEX('Structured 2025'!teamCol,ROW()),ovrTeamCol25,0),MATCH(MID(INDEX('Structured 2025'!headerRow,1,COLUMN()),4,LEN(INDEX('Structured 2025'!headerRow,1,COLUMN()))),ovrHeaderRow25,0))</f>
        <v>18.100000000000001</v>
      </c>
      <c r="AX49" s="12">
        <f>INDEX(ovrTable25,MATCH(INDEX('Structured 2025'!teamCol,ROW()),ovrTeamCol25,0),MATCH(MID(INDEX('Structured 2025'!headerRow,1,COLUMN()),4,LEN(INDEX('Structured 2025'!headerRow,1,COLUMN()))),ovrHeaderRow25,0))</f>
        <v>76.099999999999994</v>
      </c>
      <c r="AY49" s="12">
        <f>INDEX(ovrTable25,MATCH(INDEX('Structured 2025'!teamCol,ROW()),ovrTeamCol25,0),MATCH(MID(INDEX('Structured 2025'!headerRow,1,COLUMN()),4,LEN(INDEX('Structured 2025'!headerRow,1,COLUMN()))),ovrHeaderRow25,0))</f>
        <v>21.3</v>
      </c>
      <c r="AZ49" s="12">
        <f>INDEX(ovrTable25,MATCH(INDEX('Structured 2025'!teamCol,ROW()),ovrTeamCol25,0),MATCH(MID(INDEX('Structured 2025'!headerRow,1,COLUMN()),4,LEN(INDEX('Structured 2025'!headerRow,1,COLUMN()))),ovrHeaderRow25,0))</f>
        <v>16.2</v>
      </c>
      <c r="BA49" s="12">
        <f>INDEX(ovrTable25,MATCH(INDEX('Structured 2025'!teamCol,ROW()),ovrTeamCol25,0),MATCH(MID(INDEX('Structured 2025'!headerRow,1,COLUMN()),4,LEN(INDEX('Structured 2025'!headerRow,1,COLUMN()))),ovrHeaderRow25,0))</f>
        <v>68.900000000000006</v>
      </c>
      <c r="BB49" s="12">
        <f>INDEX(ovrTable25,MATCH(INDEX('Structured 2025'!teamCol,ROW()),ovrTeamCol25,0),MATCH(MID(INDEX('Structured 2025'!headerRow,1,COLUMN()),4,LEN(INDEX('Structured 2025'!headerRow,1,COLUMN()))),ovrHeaderRow25,0))</f>
        <v>11.14</v>
      </c>
      <c r="BC49" s="12">
        <f>INDEX(ovrTable25,MATCH(INDEX('Structured 2025'!teamCol,ROW()),ovrTeamCol25,0),MATCH(MID(INDEX('Structured 2025'!headerRow,1,COLUMN()),4,LEN(INDEX('Structured 2025'!headerRow,1,COLUMN()))),ovrHeaderRow25,0))</f>
        <v>81.7</v>
      </c>
      <c r="BD49" s="12">
        <f>INDEX(ovrTable25,MATCH(INDEX('Structured 2025'!teamCol,ROW()),ovrTeamCol25,0),MATCH(MID(INDEX('Structured 2025'!headerRow,1,COLUMN()),4,LEN(INDEX('Structured 2025'!headerRow,1,COLUMN()))),ovrHeaderRow25,0))</f>
        <v>5</v>
      </c>
      <c r="BE49" s="12">
        <f>INDEX(ovrTable25,MATCH(INDEX('Structured 2025'!teamCol,ROW()),ovrTeamCol25,0),MATCH(MID(INDEX('Structured 2025'!headerRow,1,COLUMN()),4,LEN(INDEX('Structured 2025'!headerRow,1,COLUMN()))),ovrHeaderRow25,0))</f>
        <v>36.090000000000003</v>
      </c>
      <c r="BF49" s="12">
        <f>INDEX(ovrTable25,MATCH(INDEX('Structured 2025'!teamCol,ROW()),ovrTeamCol25,0),MATCH(MID(INDEX('Structured 2025'!headerRow,1,COLUMN()),4,LEN(INDEX('Structured 2025'!headerRow,1,COLUMN()))),ovrHeaderRow25,0))</f>
        <v>12.7</v>
      </c>
      <c r="BG49" s="12">
        <f>INDEX(ovrTable25,MATCH(INDEX('Structured 2025'!teamCol,ROW()),ovrTeamCol25,0),MATCH(MID(INDEX('Structured 2025'!headerRow,1,COLUMN()),4,LEN(INDEX('Structured 2025'!headerRow,1,COLUMN()))),ovrHeaderRow25,0))</f>
        <v>6.1</v>
      </c>
      <c r="BH49" s="12">
        <f>INDEX(ovrTable25,MATCH(INDEX('Structured 2025'!teamCol,ROW()),ovrTeamCol25,0),MATCH(MID(INDEX('Structured 2025'!headerRow,1,COLUMN()),4,LEN(INDEX('Structured 2025'!headerRow,1,COLUMN()))),ovrHeaderRow25,0))</f>
        <v>1.2</v>
      </c>
      <c r="BI49" s="12">
        <f>INDEX(ovrTable25,MATCH(INDEX('Structured 2025'!teamCol,ROW()),ovrTeamCol25,0),MATCH(MID(INDEX('Structured 2025'!headerRow,1,COLUMN()),4,LEN(INDEX('Structured 2025'!headerRow,1,COLUMN()))),ovrHeaderRow25,0))</f>
        <v>11.57</v>
      </c>
      <c r="BJ49" s="12">
        <f>INDEX(ovrTable25,MATCH(INDEX('Structured 2025'!teamCol,ROW()),ovrTeamCol25,0),MATCH(MID(INDEX('Structured 2025'!headerRow,1,COLUMN()),4,LEN(INDEX('Structured 2025'!headerRow,1,COLUMN()))),ovrHeaderRow25,0))</f>
        <v>10.4</v>
      </c>
      <c r="BK49" s="12">
        <f>INDEX(ovrTable25,MATCH(INDEX('Structured 2025'!teamCol,ROW()),ovrTeamCol25,0),MATCH(MID(INDEX('Structured 2025'!headerRow,1,COLUMN()),4,LEN(INDEX('Structured 2025'!headerRow,1,COLUMN()))),ovrHeaderRow25,0))</f>
        <v>66.5</v>
      </c>
      <c r="BL49" s="12">
        <f>INDEX(ovrTable25,MATCH(INDEX('Structured 2025'!teamCol,ROW()),ovrTeamCol25,0),MATCH(MID(INDEX('Structured 2025'!headerRow,1,COLUMN()),4,LEN(INDEX('Structured 2025'!headerRow,1,COLUMN()))),ovrHeaderRow25,0))</f>
        <v>20.299999999999997</v>
      </c>
      <c r="BM49" s="12">
        <f>INDEX(ovrTable25,MATCH(INDEX('Structured 2025'!teamCol,ROW()),ovrTeamCol25,0),MATCH(MID(INDEX('Structured 2025'!headerRow,1,COLUMN()),4,LEN(INDEX('Structured 2025'!headerRow,1,COLUMN()))),ovrHeaderRow25,0))</f>
        <v>58.130081300813004</v>
      </c>
      <c r="BN49" s="12">
        <f>INDEX(ovrTable25,MATCH(INDEX(oppCol,ROW()),ovrTeamCol25,0),MATCH(MID(INDEX('Structured 2025'!headerRow,1,COLUMN()),4,LEN(INDEX('Structured 2025'!headerRow,1,COLUMN()))),ovrHeaderRow25,0))</f>
        <v>31.2</v>
      </c>
      <c r="BO49" s="12">
        <f>INDEX(ovrTable25,MATCH(INDEX(oppCol,ROW()),ovrTeamCol25,0),MATCH(MID(INDEX('Structured 2025'!headerRow,1,COLUMN()),4,LEN(INDEX('Structured 2025'!headerRow,1,COLUMN()))),ovrHeaderRow25,0))</f>
        <v>8.3000000000000007</v>
      </c>
      <c r="BP49" s="12">
        <f>INDEX(ovrTable25,MATCH(INDEX(oppCol,ROW()),ovrTeamCol25,0),MATCH(MID(INDEX('Structured 2025'!headerRow,1,COLUMN()),4,LEN(INDEX('Structured 2025'!headerRow,1,COLUMN()))),ovrHeaderRow25,0))</f>
        <v>38.200000000000003</v>
      </c>
      <c r="BQ49" s="12">
        <f>INDEX(ovrTable25,MATCH(INDEX(oppCol,ROW()),ovrTeamCol25,0),MATCH(MID(INDEX('Structured 2025'!headerRow,1,COLUMN()),4,LEN(INDEX('Structured 2025'!headerRow,1,COLUMN()))),ovrHeaderRow25,0))</f>
        <v>21.6</v>
      </c>
      <c r="BR49" s="12">
        <f>INDEX(ovrTable25,MATCH(INDEX(oppCol,ROW()),ovrTeamCol25,0),MATCH(MID(INDEX('Structured 2025'!headerRow,1,COLUMN()),4,LEN(INDEX('Structured 2025'!headerRow,1,COLUMN()))),ovrHeaderRow25,0))</f>
        <v>1.53</v>
      </c>
      <c r="BS49" s="12">
        <f>INDEX(ovrTable25,MATCH(INDEX(oppCol,ROW()),ovrTeamCol25,0),MATCH(MID(INDEX('Structured 2025'!headerRow,1,COLUMN()),4,LEN(INDEX('Structured 2025'!headerRow,1,COLUMN()))),ovrHeaderRow25,0))</f>
        <v>15.9</v>
      </c>
      <c r="BT49" s="12">
        <f>INDEX(ovrTable25,MATCH(INDEX(oppCol,ROW()),ovrTeamCol25,0),MATCH(MID(INDEX('Structured 2025'!headerRow,1,COLUMN()),4,LEN(INDEX('Structured 2025'!headerRow,1,COLUMN()))),ovrHeaderRow25,0))</f>
        <v>17.03</v>
      </c>
      <c r="BU49" s="12">
        <f>INDEX(ovrTable25,MATCH(INDEX(oppCol,ROW()),ovrTeamCol25,0),MATCH(MID(INDEX('Structured 2025'!headerRow,1,COLUMN()),4,LEN(INDEX('Structured 2025'!headerRow,1,COLUMN()))),ovrHeaderRow25,0))</f>
        <v>1.6</v>
      </c>
      <c r="BV49" s="12">
        <f>INDEX(ovrTable25,MATCH(INDEX(oppCol,ROW()),ovrTeamCol25,0),MATCH(MID(INDEX('Structured 2025'!headerRow,1,COLUMN()),4,LEN(INDEX('Structured 2025'!headerRow,1,COLUMN()))),ovrHeaderRow25,0))</f>
        <v>45.2</v>
      </c>
      <c r="BW49" s="12">
        <f>INDEX(ovrTable25,MATCH(INDEX(oppCol,ROW()),ovrTeamCol25,0),MATCH(MID(INDEX('Structured 2025'!headerRow,1,COLUMN()),4,LEN(INDEX('Structured 2025'!headerRow,1,COLUMN()))),ovrHeaderRow25,0))</f>
        <v>23.08</v>
      </c>
      <c r="BX49" s="12">
        <f>INDEX(ovrTable25,MATCH(INDEX(oppCol,ROW()),ovrTeamCol25,0),MATCH(MID(INDEX('Structured 2025'!headerRow,1,COLUMN()),4,LEN(INDEX('Structured 2025'!headerRow,1,COLUMN()))),ovrHeaderRow25,0))</f>
        <v>0.55900000000000005</v>
      </c>
      <c r="BY49" s="12">
        <f>INDEX(ovrTable25,MATCH(INDEX(oppCol,ROW()),ovrTeamCol25,0),MATCH(MID(INDEX('Structured 2025'!headerRow,1,COLUMN()),4,LEN(INDEX('Structured 2025'!headerRow,1,COLUMN()))),ovrHeaderRow25,0))</f>
        <v>7.83</v>
      </c>
      <c r="BZ49" s="12">
        <f>INDEX(ovrTable25,MATCH(INDEX(oppCol,ROW()),ovrTeamCol25,0),MATCH(MID(INDEX('Structured 2025'!headerRow,1,COLUMN()),4,LEN(INDEX('Structured 2025'!headerRow,1,COLUMN()))),ovrHeaderRow25,0))</f>
        <v>48.6</v>
      </c>
      <c r="CA49" s="12">
        <f>INDEX(ovrTable25,MATCH(INDEX(oppCol,ROW()),ovrTeamCol25,0),MATCH(MID(INDEX('Structured 2025'!headerRow,1,COLUMN()),4,LEN(INDEX('Structured 2025'!headerRow,1,COLUMN()))),ovrHeaderRow25,0))</f>
        <v>15.8</v>
      </c>
      <c r="CB49" s="12">
        <f>INDEX(ovrTable25,MATCH(INDEX(oppCol,ROW()),ovrTeamCol25,0),MATCH(MID(INDEX('Structured 2025'!headerRow,1,COLUMN()),4,LEN(INDEX('Structured 2025'!headerRow,1,COLUMN()))),ovrHeaderRow25,0))</f>
        <v>73.2</v>
      </c>
      <c r="CC49" s="12">
        <f>INDEX(ovrTable25,MATCH(INDEX(oppCol,ROW()),ovrTeamCol25,0),MATCH(MID(INDEX('Structured 2025'!headerRow,1,COLUMN()),4,LEN(INDEX('Structured 2025'!headerRow,1,COLUMN()))),ovrHeaderRow25,0))</f>
        <v>19.5</v>
      </c>
      <c r="CD49" s="12">
        <f>INDEX(ovrTable25,MATCH(INDEX(oppCol,ROW()),ovrTeamCol25,0),MATCH(MID(INDEX('Structured 2025'!headerRow,1,COLUMN()),4,LEN(INDEX('Structured 2025'!headerRow,1,COLUMN()))),ovrHeaderRow25,0))</f>
        <v>14.3</v>
      </c>
      <c r="CE49" s="12">
        <f>INDEX(ovrTable25,MATCH(INDEX(oppCol,ROW()),ovrTeamCol25,0),MATCH(MID(INDEX('Structured 2025'!headerRow,1,COLUMN()),4,LEN(INDEX('Structured 2025'!headerRow,1,COLUMN()))),ovrHeaderRow25,0))</f>
        <v>70.400000000000006</v>
      </c>
      <c r="CF49" s="12">
        <f>INDEX(ovrTable25,MATCH(INDEX(oppCol,ROW()),ovrTeamCol25,0),MATCH(MID(INDEX('Structured 2025'!headerRow,1,COLUMN()),4,LEN(INDEX('Structured 2025'!headerRow,1,COLUMN()))),ovrHeaderRow25,0))</f>
        <v>9.7799999999999994</v>
      </c>
      <c r="CG49" s="12">
        <f>INDEX(ovrTable25,MATCH(INDEX(oppCol,ROW()),ovrTeamCol25,0),MATCH(MID(INDEX('Structured 2025'!headerRow,1,COLUMN()),4,LEN(INDEX('Structured 2025'!headerRow,1,COLUMN()))),ovrHeaderRow25,0))</f>
        <v>77.3</v>
      </c>
      <c r="CH49" s="12">
        <f>INDEX(ovrTable25,MATCH(INDEX(oppCol,ROW()),ovrTeamCol25,0),MATCH(MID(INDEX('Structured 2025'!headerRow,1,COLUMN()),4,LEN(INDEX('Structured 2025'!headerRow,1,COLUMN()))),ovrHeaderRow25,0))</f>
        <v>2.1</v>
      </c>
      <c r="CI49" s="12">
        <f>INDEX(ovrTable25,MATCH(INDEX(oppCol,ROW()),ovrTeamCol25,0),MATCH(MID(INDEX('Structured 2025'!headerRow,1,COLUMN()),4,LEN(INDEX('Structured 2025'!headerRow,1,COLUMN()))),ovrHeaderRow25,0))</f>
        <v>32.86</v>
      </c>
      <c r="CJ49" s="12">
        <f>INDEX(ovrTable25,MATCH(INDEX(oppCol,ROW()),ovrTeamCol25,0),MATCH(MID(INDEX('Structured 2025'!headerRow,1,COLUMN()),4,LEN(INDEX('Structured 2025'!headerRow,1,COLUMN()))),ovrHeaderRow25,0))</f>
        <v>6.9</v>
      </c>
      <c r="CK49" s="12">
        <f>INDEX(ovrTable25,MATCH(INDEX(oppCol,ROW()),ovrTeamCol25,0),MATCH(MID(INDEX('Structured 2025'!headerRow,1,COLUMN()),4,LEN(INDEX('Structured 2025'!headerRow,1,COLUMN()))),ovrHeaderRow25,0))</f>
        <v>6.4</v>
      </c>
      <c r="CL49" s="12">
        <f>INDEX(ovrTable25,MATCH(INDEX(oppCol,ROW()),ovrTeamCol25,0),MATCH(MID(INDEX('Structured 2025'!headerRow,1,COLUMN()),4,LEN(INDEX('Structured 2025'!headerRow,1,COLUMN()))),ovrHeaderRow25,0))</f>
        <v>1.2</v>
      </c>
      <c r="CM49" s="12">
        <f>INDEX(ovrTable25,MATCH(INDEX(oppCol,ROW()),ovrTeamCol25,0),MATCH(MID(INDEX('Structured 2025'!headerRow,1,COLUMN()),4,LEN(INDEX('Structured 2025'!headerRow,1,COLUMN()))),ovrHeaderRow25,0))</f>
        <v>11.61</v>
      </c>
      <c r="CN49" s="12">
        <f>INDEX(ovrTable25,MATCH(INDEX(oppCol,ROW()),ovrTeamCol25,0),MATCH(MID(INDEX('Structured 2025'!headerRow,1,COLUMN()),4,LEN(INDEX('Structured 2025'!headerRow,1,COLUMN()))),ovrHeaderRow25,0))</f>
        <v>10.4</v>
      </c>
      <c r="CO49" s="12">
        <f>INDEX(ovrTable25,MATCH(INDEX(oppCol,ROW()),ovrTeamCol25,0),MATCH(MID(INDEX('Structured 2025'!headerRow,1,COLUMN()),4,LEN(INDEX('Structured 2025'!headerRow,1,COLUMN()))),ovrHeaderRow25,0))</f>
        <v>65.099999999999994</v>
      </c>
      <c r="CP49" s="12">
        <f>INDEX(ovrTable25,MATCH(INDEX(oppCol,ROW()),ovrTeamCol25,0),MATCH(MID(INDEX('Structured 2025'!headerRow,1,COLUMN()),4,LEN(INDEX('Structured 2025'!headerRow,1,COLUMN()))),ovrHeaderRow25,0))</f>
        <v>19.049999999999997</v>
      </c>
      <c r="CQ49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50" spans="1:95" x14ac:dyDescent="0.3">
      <c r="A50" s="6" t="s">
        <v>4</v>
      </c>
      <c r="B50" s="3">
        <v>6</v>
      </c>
      <c r="C50" s="13" t="str">
        <f>A51</f>
        <v>XAV</v>
      </c>
      <c r="D50" s="14">
        <f t="shared" si="26"/>
        <v>25</v>
      </c>
      <c r="E50" s="23">
        <v>0.39130434782608697</v>
      </c>
      <c r="F50" s="24">
        <v>48.275862068965516</v>
      </c>
      <c r="G50" s="24">
        <v>12</v>
      </c>
      <c r="H50" s="23">
        <v>40</v>
      </c>
      <c r="I50" s="24">
        <v>30</v>
      </c>
      <c r="J50" s="25">
        <v>1</v>
      </c>
      <c r="K50" s="24">
        <v>18</v>
      </c>
      <c r="L50" s="24">
        <v>18</v>
      </c>
      <c r="M50" s="24">
        <v>10</v>
      </c>
      <c r="N50" s="24">
        <v>35</v>
      </c>
      <c r="O50" s="24">
        <v>14</v>
      </c>
      <c r="P50" s="24">
        <v>2</v>
      </c>
      <c r="Q50" s="24">
        <v>4</v>
      </c>
      <c r="R50" s="24">
        <v>14</v>
      </c>
      <c r="S50" s="24">
        <v>2</v>
      </c>
      <c r="T50" s="24">
        <v>13</v>
      </c>
      <c r="U50" s="24">
        <v>6</v>
      </c>
      <c r="V50" s="24">
        <v>0.40322580645161288</v>
      </c>
      <c r="W50" s="26">
        <v>0.58620689655172409</v>
      </c>
      <c r="X50" s="23">
        <v>100</v>
      </c>
      <c r="Y50" s="24">
        <v>73</v>
      </c>
      <c r="Z50" s="24">
        <v>86</v>
      </c>
      <c r="AA50" s="24">
        <v>20</v>
      </c>
      <c r="AB50" s="24">
        <v>45</v>
      </c>
      <c r="AC50" s="24">
        <v>13</v>
      </c>
      <c r="AD50" s="24">
        <v>-9</v>
      </c>
      <c r="AE50" s="24">
        <v>5</v>
      </c>
      <c r="AF50" s="34">
        <f t="shared" si="34"/>
        <v>16</v>
      </c>
      <c r="AG50" s="34">
        <f t="shared" si="35"/>
        <v>28.000000000000007</v>
      </c>
      <c r="AH50" s="46">
        <f t="shared" si="36"/>
        <v>70.55</v>
      </c>
      <c r="AI50" s="51">
        <f t="shared" ref="AI50" si="53">AVERAGE(AH50,AH51)</f>
        <v>70.787499999999994</v>
      </c>
      <c r="AJ50" s="12">
        <f>INDEX(ovrTable25,MATCH(INDEX('Structured 2025'!teamCol,ROW()),ovrTeamCol25,0),MATCH(MID(INDEX('Structured 2025'!headerRow,1,COLUMN()),4,LEN(INDEX('Structured 2025'!headerRow,1,COLUMN()))),ovrHeaderRow25,0))</f>
        <v>33.6</v>
      </c>
      <c r="AK50" s="12">
        <f>INDEX(ovrTable25,MATCH(INDEX('Structured 2025'!teamCol,ROW()),ovrTeamCol25,0),MATCH(MID(INDEX('Structured 2025'!headerRow,1,COLUMN()),4,LEN(INDEX('Structured 2025'!headerRow,1,COLUMN()))),ovrHeaderRow25,0))</f>
        <v>9.4</v>
      </c>
      <c r="AL50" s="12">
        <f>INDEX(ovrTable25,MATCH(INDEX('Structured 2025'!teamCol,ROW()),ovrTeamCol25,0),MATCH(MID(INDEX('Structured 2025'!headerRow,1,COLUMN()),4,LEN(INDEX('Structured 2025'!headerRow,1,COLUMN()))),ovrHeaderRow25,0))</f>
        <v>31.3</v>
      </c>
      <c r="AM50" s="12">
        <f>INDEX(ovrTable25,MATCH(INDEX('Structured 2025'!teamCol,ROW()),ovrTeamCol25,0),MATCH(MID(INDEX('Structured 2025'!headerRow,1,COLUMN()),4,LEN(INDEX('Structured 2025'!headerRow,1,COLUMN()))),ovrHeaderRow25,0))</f>
        <v>30.1</v>
      </c>
      <c r="AN50" s="12">
        <f>INDEX(ovrTable25,MATCH(INDEX('Structured 2025'!teamCol,ROW()),ovrTeamCol25,0),MATCH(MID(INDEX('Structured 2025'!headerRow,1,COLUMN()),4,LEN(INDEX('Structured 2025'!headerRow,1,COLUMN()))),ovrHeaderRow25,0))</f>
        <v>1.27</v>
      </c>
      <c r="AO50" s="12">
        <f>INDEX(ovrTable25,MATCH(INDEX('Structured 2025'!teamCol,ROW()),ovrTeamCol25,0),MATCH(MID(INDEX('Structured 2025'!headerRow,1,COLUMN()),4,LEN(INDEX('Structured 2025'!headerRow,1,COLUMN()))),ovrHeaderRow25,0))</f>
        <v>14.9</v>
      </c>
      <c r="AP50" s="12">
        <f>INDEX(ovrTable25,MATCH(INDEX('Structured 2025'!teamCol,ROW()),ovrTeamCol25,0),MATCH(MID(INDEX('Structured 2025'!headerRow,1,COLUMN()),4,LEN(INDEX('Structured 2025'!headerRow,1,COLUMN()))),ovrHeaderRow25,0))</f>
        <v>23.74</v>
      </c>
      <c r="AQ50" s="12">
        <f>INDEX(ovrTable25,MATCH(INDEX('Structured 2025'!teamCol,ROW()),ovrTeamCol25,0),MATCH(MID(INDEX('Structured 2025'!headerRow,1,COLUMN()),4,LEN(INDEX('Structured 2025'!headerRow,1,COLUMN()))),ovrHeaderRow25,0))</f>
        <v>4.2</v>
      </c>
      <c r="AR50" s="12">
        <f>INDEX(ovrTable25,MATCH(INDEX('Structured 2025'!teamCol,ROW()),ovrTeamCol25,0),MATCH(MID(INDEX('Structured 2025'!headerRow,1,COLUMN()),4,LEN(INDEX('Structured 2025'!headerRow,1,COLUMN()))),ovrHeaderRow25,0))</f>
        <v>42.3</v>
      </c>
      <c r="AS50" s="12">
        <f>INDEX(ovrTable25,MATCH(INDEX('Structured 2025'!teamCol,ROW()),ovrTeamCol25,0),MATCH(MID(INDEX('Structured 2025'!headerRow,1,COLUMN()),4,LEN(INDEX('Structured 2025'!headerRow,1,COLUMN()))),ovrHeaderRow25,0))</f>
        <v>29.69</v>
      </c>
      <c r="AT50" s="12">
        <f>INDEX(ovrTable25,MATCH(INDEX('Structured 2025'!teamCol,ROW()),ovrTeamCol25,0),MATCH(MID(INDEX('Structured 2025'!headerRow,1,COLUMN()),4,LEN(INDEX('Structured 2025'!headerRow,1,COLUMN()))),ovrHeaderRow25,0))</f>
        <v>0.52400000000000002</v>
      </c>
      <c r="AU50" s="12">
        <f>INDEX(ovrTable25,MATCH(INDEX('Structured 2025'!teamCol,ROW()),ovrTeamCol25,0),MATCH(MID(INDEX('Structured 2025'!headerRow,1,COLUMN()),4,LEN(INDEX('Structured 2025'!headerRow,1,COLUMN()))),ovrHeaderRow25,0))</f>
        <v>7.2</v>
      </c>
      <c r="AV50" s="12">
        <f>INDEX(ovrTable25,MATCH(INDEX('Structured 2025'!teamCol,ROW()),ovrTeamCol25,0),MATCH(MID(INDEX('Structured 2025'!headerRow,1,COLUMN()),4,LEN(INDEX('Structured 2025'!headerRow,1,COLUMN()))),ovrHeaderRow25,0))</f>
        <v>45.1</v>
      </c>
      <c r="AW50" s="12">
        <f>INDEX(ovrTable25,MATCH(INDEX('Structured 2025'!teamCol,ROW()),ovrTeamCol25,0),MATCH(MID(INDEX('Structured 2025'!headerRow,1,COLUMN()),4,LEN(INDEX('Structured 2025'!headerRow,1,COLUMN()))),ovrHeaderRow25,0))</f>
        <v>16.2</v>
      </c>
      <c r="AX50" s="12">
        <f>INDEX(ovrTable25,MATCH(INDEX('Structured 2025'!teamCol,ROW()),ovrTeamCol25,0),MATCH(MID(INDEX('Structured 2025'!headerRow,1,COLUMN()),4,LEN(INDEX('Structured 2025'!headerRow,1,COLUMN()))),ovrHeaderRow25,0))</f>
        <v>76.2</v>
      </c>
      <c r="AY50" s="12">
        <f>INDEX(ovrTable25,MATCH(INDEX('Structured 2025'!teamCol,ROW()),ovrTeamCol25,0),MATCH(MID(INDEX('Structured 2025'!headerRow,1,COLUMN()),4,LEN(INDEX('Structured 2025'!headerRow,1,COLUMN()))),ovrHeaderRow25,0))</f>
        <v>21.9</v>
      </c>
      <c r="AZ50" s="12">
        <f>INDEX(ovrTable25,MATCH(INDEX('Structured 2025'!teamCol,ROW()),ovrTeamCol25,0),MATCH(MID(INDEX('Structured 2025'!headerRow,1,COLUMN()),4,LEN(INDEX('Structured 2025'!headerRow,1,COLUMN()))),ovrHeaderRow25,0))</f>
        <v>16.7</v>
      </c>
      <c r="BA50" s="12">
        <f>INDEX(ovrTable25,MATCH(INDEX('Structured 2025'!teamCol,ROW()),ovrTeamCol25,0),MATCH(MID(INDEX('Structured 2025'!headerRow,1,COLUMN()),4,LEN(INDEX('Structured 2025'!headerRow,1,COLUMN()))),ovrHeaderRow25,0))</f>
        <v>74.8</v>
      </c>
      <c r="BB50" s="12">
        <f>INDEX(ovrTable25,MATCH(INDEX('Structured 2025'!teamCol,ROW()),ovrTeamCol25,0),MATCH(MID(INDEX('Structured 2025'!headerRow,1,COLUMN()),4,LEN(INDEX('Structured 2025'!headerRow,1,COLUMN()))),ovrHeaderRow25,0))</f>
        <v>12.94</v>
      </c>
      <c r="BC50" s="12">
        <f>INDEX(ovrTable25,MATCH(INDEX('Structured 2025'!teamCol,ROW()),ovrTeamCol25,0),MATCH(MID(INDEX('Structured 2025'!headerRow,1,COLUMN()),4,LEN(INDEX('Structured 2025'!headerRow,1,COLUMN()))),ovrHeaderRow25,0))</f>
        <v>83.6</v>
      </c>
      <c r="BD50" s="12">
        <f>INDEX(ovrTable25,MATCH(INDEX('Structured 2025'!teamCol,ROW()),ovrTeamCol25,0),MATCH(MID(INDEX('Structured 2025'!headerRow,1,COLUMN()),4,LEN(INDEX('Structured 2025'!headerRow,1,COLUMN()))),ovrHeaderRow25,0))</f>
        <v>9.1</v>
      </c>
      <c r="BE50" s="12">
        <f>INDEX(ovrTable25,MATCH(INDEX('Structured 2025'!teamCol,ROW()),ovrTeamCol25,0),MATCH(MID(INDEX('Structured 2025'!headerRow,1,COLUMN()),4,LEN(INDEX('Structured 2025'!headerRow,1,COLUMN()))),ovrHeaderRow25,0))</f>
        <v>42.63</v>
      </c>
      <c r="BF50" s="12">
        <f>INDEX(ovrTable25,MATCH(INDEX('Structured 2025'!teamCol,ROW()),ovrTeamCol25,0),MATCH(MID(INDEX('Structured 2025'!headerRow,1,COLUMN()),4,LEN(INDEX('Structured 2025'!headerRow,1,COLUMN()))),ovrHeaderRow25,0))</f>
        <v>8.8000000000000007</v>
      </c>
      <c r="BG50" s="12">
        <f>INDEX(ovrTable25,MATCH(INDEX('Structured 2025'!teamCol,ROW()),ovrTeamCol25,0),MATCH(MID(INDEX('Structured 2025'!headerRow,1,COLUMN()),4,LEN(INDEX('Structured 2025'!headerRow,1,COLUMN()))),ovrHeaderRow25,0))</f>
        <v>4.3</v>
      </c>
      <c r="BH50" s="12">
        <f>INDEX(ovrTable25,MATCH(INDEX('Structured 2025'!teamCol,ROW()),ovrTeamCol25,0),MATCH(MID(INDEX('Structured 2025'!headerRow,1,COLUMN()),4,LEN(INDEX('Structured 2025'!headerRow,1,COLUMN()))),ovrHeaderRow25,0))</f>
        <v>-2.7</v>
      </c>
      <c r="BI50" s="12">
        <f>INDEX(ovrTable25,MATCH(INDEX('Structured 2025'!teamCol,ROW()),ovrTeamCol25,0),MATCH(MID(INDEX('Structured 2025'!headerRow,1,COLUMN()),4,LEN(INDEX('Structured 2025'!headerRow,1,COLUMN()))),ovrHeaderRow25,0))</f>
        <v>9</v>
      </c>
      <c r="BJ50" s="12">
        <f>INDEX(ovrTable25,MATCH(INDEX('Structured 2025'!teamCol,ROW()),ovrTeamCol25,0),MATCH(MID(INDEX('Structured 2025'!headerRow,1,COLUMN()),4,LEN(INDEX('Structured 2025'!headerRow,1,COLUMN()))),ovrHeaderRow25,0))</f>
        <v>11.7</v>
      </c>
      <c r="BK50" s="12">
        <f>INDEX(ovrTable25,MATCH(INDEX('Structured 2025'!teamCol,ROW()),ovrTeamCol25,0),MATCH(MID(INDEX('Structured 2025'!headerRow,1,COLUMN()),4,LEN(INDEX('Structured 2025'!headerRow,1,COLUMN()))),ovrHeaderRow25,0))</f>
        <v>71.5</v>
      </c>
      <c r="BL50" s="12">
        <f>INDEX(ovrTable25,MATCH(INDEX('Structured 2025'!teamCol,ROW()),ovrTeamCol25,0),MATCH(MID(INDEX('Structured 2025'!headerRow,1,COLUMN()),4,LEN(INDEX('Structured 2025'!headerRow,1,COLUMN()))),ovrHeaderRow25,0))</f>
        <v>19.349999999999994</v>
      </c>
      <c r="BM50" s="12">
        <f>INDEX(ovrTable25,MATCH(INDEX('Structured 2025'!teamCol,ROW()),ovrTeamCol25,0),MATCH(MID(INDEX('Structured 2025'!headerRow,1,COLUMN()),4,LEN(INDEX('Structured 2025'!headerRow,1,COLUMN()))),ovrHeaderRow25,0))</f>
        <v>63.747228381374704</v>
      </c>
      <c r="BN50" s="12">
        <f>INDEX(ovrTable25,MATCH(INDEX(oppCol,ROW()),ovrTeamCol25,0),MATCH(MID(INDEX('Structured 2025'!headerRow,1,COLUMN()),4,LEN(INDEX('Structured 2025'!headerRow,1,COLUMN()))),ovrHeaderRow25,0))</f>
        <v>34.4</v>
      </c>
      <c r="BO50" s="12">
        <f>INDEX(ovrTable25,MATCH(INDEX(oppCol,ROW()),ovrTeamCol25,0),MATCH(MID(INDEX('Structured 2025'!headerRow,1,COLUMN()),4,LEN(INDEX('Structured 2025'!headerRow,1,COLUMN()))),ovrHeaderRow25,0))</f>
        <v>8.4</v>
      </c>
      <c r="BP50" s="12">
        <f>INDEX(ovrTable25,MATCH(INDEX(oppCol,ROW()),ovrTeamCol25,0),MATCH(MID(INDEX('Structured 2025'!headerRow,1,COLUMN()),4,LEN(INDEX('Structured 2025'!headerRow,1,COLUMN()))),ovrHeaderRow25,0))</f>
        <v>39.1</v>
      </c>
      <c r="BQ50" s="12">
        <f>INDEX(ovrTable25,MATCH(INDEX(oppCol,ROW()),ovrTeamCol25,0),MATCH(MID(INDEX('Structured 2025'!headerRow,1,COLUMN()),4,LEN(INDEX('Structured 2025'!headerRow,1,COLUMN()))),ovrHeaderRow25,0))</f>
        <v>21.4</v>
      </c>
      <c r="BR50" s="12">
        <f>INDEX(ovrTable25,MATCH(INDEX(oppCol,ROW()),ovrTeamCol25,0),MATCH(MID(INDEX('Structured 2025'!headerRow,1,COLUMN()),4,LEN(INDEX('Structured 2025'!headerRow,1,COLUMN()))),ovrHeaderRow25,0))</f>
        <v>1.53</v>
      </c>
      <c r="BS50" s="12">
        <f>INDEX(ovrTable25,MATCH(INDEX(oppCol,ROW()),ovrTeamCol25,0),MATCH(MID(INDEX('Structured 2025'!headerRow,1,COLUMN()),4,LEN(INDEX('Structured 2025'!headerRow,1,COLUMN()))),ovrHeaderRow25,0))</f>
        <v>16.7</v>
      </c>
      <c r="BT50" s="12">
        <f>INDEX(ovrTable25,MATCH(INDEX(oppCol,ROW()),ovrTeamCol25,0),MATCH(MID(INDEX('Structured 2025'!headerRow,1,COLUMN()),4,LEN(INDEX('Structured 2025'!headerRow,1,COLUMN()))),ovrHeaderRow25,0))</f>
        <v>19.38</v>
      </c>
      <c r="BU50" s="12">
        <f>INDEX(ovrTable25,MATCH(INDEX(oppCol,ROW()),ovrTeamCol25,0),MATCH(MID(INDEX('Structured 2025'!headerRow,1,COLUMN()),4,LEN(INDEX('Structured 2025'!headerRow,1,COLUMN()))),ovrHeaderRow25,0))</f>
        <v>2.5</v>
      </c>
      <c r="BV50" s="12">
        <f>INDEX(ovrTable25,MATCH(INDEX(oppCol,ROW()),ovrTeamCol25,0),MATCH(MID(INDEX('Structured 2025'!headerRow,1,COLUMN()),4,LEN(INDEX('Structured 2025'!headerRow,1,COLUMN()))),ovrHeaderRow25,0))</f>
        <v>44.6</v>
      </c>
      <c r="BW50" s="12">
        <f>INDEX(ovrTable25,MATCH(INDEX(oppCol,ROW()),ovrTeamCol25,0),MATCH(MID(INDEX('Structured 2025'!headerRow,1,COLUMN()),4,LEN(INDEX('Structured 2025'!headerRow,1,COLUMN()))),ovrHeaderRow25,0))</f>
        <v>25.5</v>
      </c>
      <c r="BX50" s="12">
        <f>INDEX(ovrTable25,MATCH(INDEX(oppCol,ROW()),ovrTeamCol25,0),MATCH(MID(INDEX('Structured 2025'!headerRow,1,COLUMN()),4,LEN(INDEX('Structured 2025'!headerRow,1,COLUMN()))),ovrHeaderRow25,0))</f>
        <v>0.54100000000000004</v>
      </c>
      <c r="BY50" s="12">
        <f>INDEX(ovrTable25,MATCH(INDEX(oppCol,ROW()),ovrTeamCol25,0),MATCH(MID(INDEX('Structured 2025'!headerRow,1,COLUMN()),4,LEN(INDEX('Structured 2025'!headerRow,1,COLUMN()))),ovrHeaderRow25,0))</f>
        <v>15.09</v>
      </c>
      <c r="BZ50" s="12">
        <f>INDEX(ovrTable25,MATCH(INDEX(oppCol,ROW()),ovrTeamCol25,0),MATCH(MID(INDEX('Structured 2025'!headerRow,1,COLUMN()),4,LEN(INDEX('Structured 2025'!headerRow,1,COLUMN()))),ovrHeaderRow25,0))</f>
        <v>46.7</v>
      </c>
      <c r="CA50" s="12">
        <f>INDEX(ovrTable25,MATCH(INDEX(oppCol,ROW()),ovrTeamCol25,0),MATCH(MID(INDEX('Structured 2025'!headerRow,1,COLUMN()),4,LEN(INDEX('Structured 2025'!headerRow,1,COLUMN()))),ovrHeaderRow25,0))</f>
        <v>15.7</v>
      </c>
      <c r="CB50" s="12">
        <f>INDEX(ovrTable25,MATCH(INDEX(oppCol,ROW()),ovrTeamCol25,0),MATCH(MID(INDEX('Structured 2025'!headerRow,1,COLUMN()),4,LEN(INDEX('Structured 2025'!headerRow,1,COLUMN()))),ovrHeaderRow25,0))</f>
        <v>78.900000000000006</v>
      </c>
      <c r="CC50" s="12">
        <f>INDEX(ovrTable25,MATCH(INDEX(oppCol,ROW()),ovrTeamCol25,0),MATCH(MID(INDEX('Structured 2025'!headerRow,1,COLUMN()),4,LEN(INDEX('Structured 2025'!headerRow,1,COLUMN()))),ovrHeaderRow25,0))</f>
        <v>20.9</v>
      </c>
      <c r="CD50" s="12">
        <f>INDEX(ovrTable25,MATCH(INDEX(oppCol,ROW()),ovrTeamCol25,0),MATCH(MID(INDEX('Structured 2025'!headerRow,1,COLUMN()),4,LEN(INDEX('Structured 2025'!headerRow,1,COLUMN()))),ovrHeaderRow25,0))</f>
        <v>16.5</v>
      </c>
      <c r="CE50" s="12">
        <f>INDEX(ovrTable25,MATCH(INDEX(oppCol,ROW()),ovrTeamCol25,0),MATCH(MID(INDEX('Structured 2025'!headerRow,1,COLUMN()),4,LEN(INDEX('Structured 2025'!headerRow,1,COLUMN()))),ovrHeaderRow25,0))</f>
        <v>71.599999999999994</v>
      </c>
      <c r="CF50" s="12">
        <f>INDEX(ovrTable25,MATCH(INDEX(oppCol,ROW()),ovrTeamCol25,0),MATCH(MID(INDEX('Structured 2025'!headerRow,1,COLUMN()),4,LEN(INDEX('Structured 2025'!headerRow,1,COLUMN()))),ovrHeaderRow25,0))</f>
        <v>7.76</v>
      </c>
      <c r="CG50" s="12">
        <f>INDEX(ovrTable25,MATCH(INDEX(oppCol,ROW()),ovrTeamCol25,0),MATCH(MID(INDEX('Structured 2025'!headerRow,1,COLUMN()),4,LEN(INDEX('Structured 2025'!headerRow,1,COLUMN()))),ovrHeaderRow25,0))</f>
        <v>78.099999999999994</v>
      </c>
      <c r="CH50" s="12">
        <f>INDEX(ovrTable25,MATCH(INDEX(oppCol,ROW()),ovrTeamCol25,0),MATCH(MID(INDEX('Structured 2025'!headerRow,1,COLUMN()),4,LEN(INDEX('Structured 2025'!headerRow,1,COLUMN()))),ovrHeaderRow25,0))</f>
        <v>0.6</v>
      </c>
      <c r="CI50" s="12">
        <f>INDEX(ovrTable25,MATCH(INDEX(oppCol,ROW()),ovrTeamCol25,0),MATCH(MID(INDEX('Structured 2025'!headerRow,1,COLUMN()),4,LEN(INDEX('Structured 2025'!headerRow,1,COLUMN()))),ovrHeaderRow25,0))</f>
        <v>33.26</v>
      </c>
      <c r="CJ50" s="12">
        <f>INDEX(ovrTable25,MATCH(INDEX(oppCol,ROW()),ovrTeamCol25,0),MATCH(MID(INDEX('Structured 2025'!headerRow,1,COLUMN()),4,LEN(INDEX('Structured 2025'!headerRow,1,COLUMN()))),ovrHeaderRow25,0))</f>
        <v>6.5</v>
      </c>
      <c r="CK50" s="12">
        <f>INDEX(ovrTable25,MATCH(INDEX(oppCol,ROW()),ovrTeamCol25,0),MATCH(MID(INDEX('Structured 2025'!headerRow,1,COLUMN()),4,LEN(INDEX('Structured 2025'!headerRow,1,COLUMN()))),ovrHeaderRow25,0))</f>
        <v>7.7</v>
      </c>
      <c r="CL50" s="12">
        <f>INDEX(ovrTable25,MATCH(INDEX(oppCol,ROW()),ovrTeamCol25,0),MATCH(MID(INDEX('Structured 2025'!headerRow,1,COLUMN()),4,LEN(INDEX('Structured 2025'!headerRow,1,COLUMN()))),ovrHeaderRow25,0))</f>
        <v>1.4</v>
      </c>
      <c r="CM50" s="12">
        <f>INDEX(ovrTable25,MATCH(INDEX(oppCol,ROW()),ovrTeamCol25,0),MATCH(MID(INDEX('Structured 2025'!headerRow,1,COLUMN()),4,LEN(INDEX('Structured 2025'!headerRow,1,COLUMN()))),ovrHeaderRow25,0))</f>
        <v>12.29</v>
      </c>
      <c r="CN50" s="12">
        <f>INDEX(ovrTable25,MATCH(INDEX(oppCol,ROW()),ovrTeamCol25,0),MATCH(MID(INDEX('Structured 2025'!headerRow,1,COLUMN()),4,LEN(INDEX('Structured 2025'!headerRow,1,COLUMN()))),ovrHeaderRow25,0))</f>
        <v>10.9</v>
      </c>
      <c r="CO50" s="12">
        <f>INDEX(ovrTable25,MATCH(INDEX(oppCol,ROW()),ovrTeamCol25,0),MATCH(MID(INDEX('Structured 2025'!headerRow,1,COLUMN()),4,LEN(INDEX('Structured 2025'!headerRow,1,COLUMN()))),ovrHeaderRow25,0))</f>
        <v>69.2</v>
      </c>
      <c r="CP50" s="12">
        <f>INDEX(ovrTable25,MATCH(INDEX(oppCol,ROW()),ovrTeamCol25,0),MATCH(MID(INDEX('Structured 2025'!headerRow,1,COLUMN()),4,LEN(INDEX('Structured 2025'!headerRow,1,COLUMN()))),ovrHeaderRow25,0))</f>
        <v>18.199999999999996</v>
      </c>
      <c r="CQ50" s="12">
        <f>INDEX(ovrTable25,MATCH(INDEX(oppCol,ROW()),ovrTeamCol25,0),MATCH(MID(INDEX('Structured 2025'!headerRow,1,COLUMN()),4,LEN(INDEX('Structured 2025'!headerRow,1,COLUMN()))),ovrHeaderRow25,0))</f>
        <v>56.959314775160585</v>
      </c>
    </row>
    <row r="51" spans="1:95" x14ac:dyDescent="0.3">
      <c r="A51" s="6" t="s">
        <v>346</v>
      </c>
      <c r="B51" s="3">
        <v>11</v>
      </c>
      <c r="C51" s="13" t="str">
        <f>A50</f>
        <v>ILL</v>
      </c>
      <c r="D51" s="14">
        <f t="shared" si="26"/>
        <v>25</v>
      </c>
      <c r="E51" s="23">
        <v>0.4</v>
      </c>
      <c r="F51" s="24">
        <v>40.322580645161288</v>
      </c>
      <c r="G51" s="24">
        <v>9</v>
      </c>
      <c r="H51" s="23">
        <v>39.130434782608695</v>
      </c>
      <c r="I51" s="24">
        <v>23</v>
      </c>
      <c r="J51" s="25">
        <v>1.8</v>
      </c>
      <c r="K51" s="24">
        <v>14</v>
      </c>
      <c r="L51" s="24">
        <v>19</v>
      </c>
      <c r="M51" s="24">
        <v>5</v>
      </c>
      <c r="N51" s="24">
        <v>20</v>
      </c>
      <c r="O51" s="24">
        <v>9</v>
      </c>
      <c r="P51" s="24">
        <v>11</v>
      </c>
      <c r="Q51" s="24">
        <v>0</v>
      </c>
      <c r="R51" s="24">
        <v>5</v>
      </c>
      <c r="S51" s="24">
        <v>10</v>
      </c>
      <c r="T51" s="24">
        <v>17</v>
      </c>
      <c r="U51" s="24">
        <v>14</v>
      </c>
      <c r="V51" s="24">
        <v>0.48275862068965519</v>
      </c>
      <c r="W51" s="26">
        <v>0.47580645161290319</v>
      </c>
      <c r="X51" s="23">
        <v>73.68421052631578</v>
      </c>
      <c r="Y51" s="24">
        <v>86</v>
      </c>
      <c r="Z51" s="24">
        <v>73</v>
      </c>
      <c r="AA51" s="24">
        <v>-20</v>
      </c>
      <c r="AB51" s="24">
        <v>25</v>
      </c>
      <c r="AC51" s="24">
        <v>-13</v>
      </c>
      <c r="AD51" s="24">
        <v>9</v>
      </c>
      <c r="AE51" s="24">
        <v>14</v>
      </c>
      <c r="AF51" s="34">
        <f t="shared" si="34"/>
        <v>16</v>
      </c>
      <c r="AG51" s="34">
        <f t="shared" si="35"/>
        <v>39.000000000000007</v>
      </c>
      <c r="AH51" s="46">
        <f t="shared" si="36"/>
        <v>71.025000000000006</v>
      </c>
      <c r="AI51" s="51">
        <f t="shared" ref="AI51" si="54">AVERAGE(AH50,AH51)</f>
        <v>70.787499999999994</v>
      </c>
      <c r="AJ51" s="12">
        <f>INDEX(ovrTable25,MATCH(INDEX('Structured 2025'!teamCol,ROW()),ovrTeamCol25,0),MATCH(MID(INDEX('Structured 2025'!headerRow,1,COLUMN()),4,LEN(INDEX('Structured 2025'!headerRow,1,COLUMN()))),ovrHeaderRow25,0))</f>
        <v>34.4</v>
      </c>
      <c r="AK51" s="12">
        <f>INDEX(ovrTable25,MATCH(INDEX('Structured 2025'!teamCol,ROW()),ovrTeamCol25,0),MATCH(MID(INDEX('Structured 2025'!headerRow,1,COLUMN()),4,LEN(INDEX('Structured 2025'!headerRow,1,COLUMN()))),ovrHeaderRow25,0))</f>
        <v>8.4</v>
      </c>
      <c r="AL51" s="12">
        <f>INDEX(ovrTable25,MATCH(INDEX('Structured 2025'!teamCol,ROW()),ovrTeamCol25,0),MATCH(MID(INDEX('Structured 2025'!headerRow,1,COLUMN()),4,LEN(INDEX('Structured 2025'!headerRow,1,COLUMN()))),ovrHeaderRow25,0))</f>
        <v>39.1</v>
      </c>
      <c r="AM51" s="12">
        <f>INDEX(ovrTable25,MATCH(INDEX('Structured 2025'!teamCol,ROW()),ovrTeamCol25,0),MATCH(MID(INDEX('Structured 2025'!headerRow,1,COLUMN()),4,LEN(INDEX('Structured 2025'!headerRow,1,COLUMN()))),ovrHeaderRow25,0))</f>
        <v>21.4</v>
      </c>
      <c r="AN51" s="12">
        <f>INDEX(ovrTable25,MATCH(INDEX('Structured 2025'!teamCol,ROW()),ovrTeamCol25,0),MATCH(MID(INDEX('Structured 2025'!headerRow,1,COLUMN()),4,LEN(INDEX('Structured 2025'!headerRow,1,COLUMN()))),ovrHeaderRow25,0))</f>
        <v>1.53</v>
      </c>
      <c r="AO51" s="12">
        <f>INDEX(ovrTable25,MATCH(INDEX('Structured 2025'!teamCol,ROW()),ovrTeamCol25,0),MATCH(MID(INDEX('Structured 2025'!headerRow,1,COLUMN()),4,LEN(INDEX('Structured 2025'!headerRow,1,COLUMN()))),ovrHeaderRow25,0))</f>
        <v>16.7</v>
      </c>
      <c r="AP51" s="12">
        <f>INDEX(ovrTable25,MATCH(INDEX('Structured 2025'!teamCol,ROW()),ovrTeamCol25,0),MATCH(MID(INDEX('Structured 2025'!headerRow,1,COLUMN()),4,LEN(INDEX('Structured 2025'!headerRow,1,COLUMN()))),ovrHeaderRow25,0))</f>
        <v>19.38</v>
      </c>
      <c r="AQ51" s="12">
        <f>INDEX(ovrTable25,MATCH(INDEX('Structured 2025'!teamCol,ROW()),ovrTeamCol25,0),MATCH(MID(INDEX('Structured 2025'!headerRow,1,COLUMN()),4,LEN(INDEX('Structured 2025'!headerRow,1,COLUMN()))),ovrHeaderRow25,0))</f>
        <v>2.5</v>
      </c>
      <c r="AR51" s="12">
        <f>INDEX(ovrTable25,MATCH(INDEX('Structured 2025'!teamCol,ROW()),ovrTeamCol25,0),MATCH(MID(INDEX('Structured 2025'!headerRow,1,COLUMN()),4,LEN(INDEX('Structured 2025'!headerRow,1,COLUMN()))),ovrHeaderRow25,0))</f>
        <v>44.6</v>
      </c>
      <c r="AS51" s="12">
        <f>INDEX(ovrTable25,MATCH(INDEX('Structured 2025'!teamCol,ROW()),ovrTeamCol25,0),MATCH(MID(INDEX('Structured 2025'!headerRow,1,COLUMN()),4,LEN(INDEX('Structured 2025'!headerRow,1,COLUMN()))),ovrHeaderRow25,0))</f>
        <v>25.5</v>
      </c>
      <c r="AT51" s="12">
        <f>INDEX(ovrTable25,MATCH(INDEX('Structured 2025'!teamCol,ROW()),ovrTeamCol25,0),MATCH(MID(INDEX('Structured 2025'!headerRow,1,COLUMN()),4,LEN(INDEX('Structured 2025'!headerRow,1,COLUMN()))),ovrHeaderRow25,0))</f>
        <v>0.54100000000000004</v>
      </c>
      <c r="AU51" s="12">
        <f>INDEX(ovrTable25,MATCH(INDEX('Structured 2025'!teamCol,ROW()),ovrTeamCol25,0),MATCH(MID(INDEX('Structured 2025'!headerRow,1,COLUMN()),4,LEN(INDEX('Structured 2025'!headerRow,1,COLUMN()))),ovrHeaderRow25,0))</f>
        <v>15.09</v>
      </c>
      <c r="AV51" s="12">
        <f>INDEX(ovrTable25,MATCH(INDEX('Structured 2025'!teamCol,ROW()),ovrTeamCol25,0),MATCH(MID(INDEX('Structured 2025'!headerRow,1,COLUMN()),4,LEN(INDEX('Structured 2025'!headerRow,1,COLUMN()))),ovrHeaderRow25,0))</f>
        <v>46.7</v>
      </c>
      <c r="AW51" s="12">
        <f>INDEX(ovrTable25,MATCH(INDEX('Structured 2025'!teamCol,ROW()),ovrTeamCol25,0),MATCH(MID(INDEX('Structured 2025'!headerRow,1,COLUMN()),4,LEN(INDEX('Structured 2025'!headerRow,1,COLUMN()))),ovrHeaderRow25,0))</f>
        <v>15.7</v>
      </c>
      <c r="AX51" s="12">
        <f>INDEX(ovrTable25,MATCH(INDEX('Structured 2025'!teamCol,ROW()),ovrTeamCol25,0),MATCH(MID(INDEX('Structured 2025'!headerRow,1,COLUMN()),4,LEN(INDEX('Structured 2025'!headerRow,1,COLUMN()))),ovrHeaderRow25,0))</f>
        <v>78.900000000000006</v>
      </c>
      <c r="AY51" s="12">
        <f>INDEX(ovrTable25,MATCH(INDEX('Structured 2025'!teamCol,ROW()),ovrTeamCol25,0),MATCH(MID(INDEX('Structured 2025'!headerRow,1,COLUMN()),4,LEN(INDEX('Structured 2025'!headerRow,1,COLUMN()))),ovrHeaderRow25,0))</f>
        <v>20.9</v>
      </c>
      <c r="AZ51" s="12">
        <f>INDEX(ovrTable25,MATCH(INDEX('Structured 2025'!teamCol,ROW()),ovrTeamCol25,0),MATCH(MID(INDEX('Structured 2025'!headerRow,1,COLUMN()),4,LEN(INDEX('Structured 2025'!headerRow,1,COLUMN()))),ovrHeaderRow25,0))</f>
        <v>16.5</v>
      </c>
      <c r="BA51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BB51" s="12">
        <f>INDEX(ovrTable25,MATCH(INDEX('Structured 2025'!teamCol,ROW()),ovrTeamCol25,0),MATCH(MID(INDEX('Structured 2025'!headerRow,1,COLUMN()),4,LEN(INDEX('Structured 2025'!headerRow,1,COLUMN()))),ovrHeaderRow25,0))</f>
        <v>7.76</v>
      </c>
      <c r="BC51" s="12">
        <f>INDEX(ovrTable25,MATCH(INDEX('Structured 2025'!teamCol,ROW()),ovrTeamCol25,0),MATCH(MID(INDEX('Structured 2025'!headerRow,1,COLUMN()),4,LEN(INDEX('Structured 2025'!headerRow,1,COLUMN()))),ovrHeaderRow25,0))</f>
        <v>78.099999999999994</v>
      </c>
      <c r="BD51" s="12">
        <f>INDEX(ovrTable25,MATCH(INDEX('Structured 2025'!teamCol,ROW()),ovrTeamCol25,0),MATCH(MID(INDEX('Structured 2025'!headerRow,1,COLUMN()),4,LEN(INDEX('Structured 2025'!headerRow,1,COLUMN()))),ovrHeaderRow25,0))</f>
        <v>0.6</v>
      </c>
      <c r="BE51" s="12">
        <f>INDEX(ovrTable25,MATCH(INDEX('Structured 2025'!teamCol,ROW()),ovrTeamCol25,0),MATCH(MID(INDEX('Structured 2025'!headerRow,1,COLUMN()),4,LEN(INDEX('Structured 2025'!headerRow,1,COLUMN()))),ovrHeaderRow25,0))</f>
        <v>33.26</v>
      </c>
      <c r="BF51" s="12">
        <f>INDEX(ovrTable25,MATCH(INDEX('Structured 2025'!teamCol,ROW()),ovrTeamCol25,0),MATCH(MID(INDEX('Structured 2025'!headerRow,1,COLUMN()),4,LEN(INDEX('Structured 2025'!headerRow,1,COLUMN()))),ovrHeaderRow25,0))</f>
        <v>6.5</v>
      </c>
      <c r="BG51" s="12">
        <f>INDEX(ovrTable25,MATCH(INDEX('Structured 2025'!teamCol,ROW()),ovrTeamCol25,0),MATCH(MID(INDEX('Structured 2025'!headerRow,1,COLUMN()),4,LEN(INDEX('Structured 2025'!headerRow,1,COLUMN()))),ovrHeaderRow25,0))</f>
        <v>7.7</v>
      </c>
      <c r="BH51" s="12">
        <f>INDEX(ovrTable25,MATCH(INDEX('Structured 2025'!teamCol,ROW()),ovrTeamCol25,0),MATCH(MID(INDEX('Structured 2025'!headerRow,1,COLUMN()),4,LEN(INDEX('Structured 2025'!headerRow,1,COLUMN()))),ovrHeaderRow25,0))</f>
        <v>1.4</v>
      </c>
      <c r="BI51" s="12">
        <f>INDEX(ovrTable25,MATCH(INDEX('Structured 2025'!teamCol,ROW()),ovrTeamCol25,0),MATCH(MID(INDEX('Structured 2025'!headerRow,1,COLUMN()),4,LEN(INDEX('Structured 2025'!headerRow,1,COLUMN()))),ovrHeaderRow25,0))</f>
        <v>12.29</v>
      </c>
      <c r="BJ51" s="12">
        <f>INDEX(ovrTable25,MATCH(INDEX('Structured 2025'!teamCol,ROW()),ovrTeamCol25,0),MATCH(MID(INDEX('Structured 2025'!headerRow,1,COLUMN()),4,LEN(INDEX('Structured 2025'!headerRow,1,COLUMN()))),ovrHeaderRow25,0))</f>
        <v>10.9</v>
      </c>
      <c r="BK51" s="12">
        <f>INDEX(ovrTable25,MATCH(INDEX('Structured 2025'!teamCol,ROW()),ovrTeamCol25,0),MATCH(MID(INDEX('Structured 2025'!headerRow,1,COLUMN()),4,LEN(INDEX('Structured 2025'!headerRow,1,COLUMN()))),ovrHeaderRow25,0))</f>
        <v>69.2</v>
      </c>
      <c r="BL51" s="12">
        <f>INDEX(ovrTable25,MATCH(INDEX('Structured 2025'!teamCol,ROW()),ovrTeamCol25,0),MATCH(MID(INDEX('Structured 2025'!headerRow,1,COLUMN()),4,LEN(INDEX('Structured 2025'!headerRow,1,COLUMN()))),ovrHeaderRow25,0))</f>
        <v>18.199999999999996</v>
      </c>
      <c r="BM51" s="12">
        <f>INDEX(ovrTable25,MATCH(INDEX('Structured 2025'!teamCol,ROW()),ovrTeamCol25,0),MATCH(MID(INDEX('Structured 2025'!headerRow,1,COLUMN()),4,LEN(INDEX('Structured 2025'!headerRow,1,COLUMN()))),ovrHeaderRow25,0))</f>
        <v>56.959314775160585</v>
      </c>
      <c r="BN51" s="12">
        <f>INDEX(ovrTable25,MATCH(INDEX(oppCol,ROW()),ovrTeamCol25,0),MATCH(MID(INDEX('Structured 2025'!headerRow,1,COLUMN()),4,LEN(INDEX('Structured 2025'!headerRow,1,COLUMN()))),ovrHeaderRow25,0))</f>
        <v>33.6</v>
      </c>
      <c r="BO51" s="12">
        <f>INDEX(ovrTable25,MATCH(INDEX(oppCol,ROW()),ovrTeamCol25,0),MATCH(MID(INDEX('Structured 2025'!headerRow,1,COLUMN()),4,LEN(INDEX('Structured 2025'!headerRow,1,COLUMN()))),ovrHeaderRow25,0))</f>
        <v>9.4</v>
      </c>
      <c r="BP51" s="12">
        <f>INDEX(ovrTable25,MATCH(INDEX(oppCol,ROW()),ovrTeamCol25,0),MATCH(MID(INDEX('Structured 2025'!headerRow,1,COLUMN()),4,LEN(INDEX('Structured 2025'!headerRow,1,COLUMN()))),ovrHeaderRow25,0))</f>
        <v>31.3</v>
      </c>
      <c r="BQ51" s="12">
        <f>INDEX(ovrTable25,MATCH(INDEX(oppCol,ROW()),ovrTeamCol25,0),MATCH(MID(INDEX('Structured 2025'!headerRow,1,COLUMN()),4,LEN(INDEX('Structured 2025'!headerRow,1,COLUMN()))),ovrHeaderRow25,0))</f>
        <v>30.1</v>
      </c>
      <c r="BR51" s="12">
        <f>INDEX(ovrTable25,MATCH(INDEX(oppCol,ROW()),ovrTeamCol25,0),MATCH(MID(INDEX('Structured 2025'!headerRow,1,COLUMN()),4,LEN(INDEX('Structured 2025'!headerRow,1,COLUMN()))),ovrHeaderRow25,0))</f>
        <v>1.27</v>
      </c>
      <c r="BS51" s="12">
        <f>INDEX(ovrTable25,MATCH(INDEX(oppCol,ROW()),ovrTeamCol25,0),MATCH(MID(INDEX('Structured 2025'!headerRow,1,COLUMN()),4,LEN(INDEX('Structured 2025'!headerRow,1,COLUMN()))),ovrHeaderRow25,0))</f>
        <v>14.9</v>
      </c>
      <c r="BT51" s="12">
        <f>INDEX(ovrTable25,MATCH(INDEX(oppCol,ROW()),ovrTeamCol25,0),MATCH(MID(INDEX('Structured 2025'!headerRow,1,COLUMN()),4,LEN(INDEX('Structured 2025'!headerRow,1,COLUMN()))),ovrHeaderRow25,0))</f>
        <v>23.74</v>
      </c>
      <c r="BU51" s="12">
        <f>INDEX(ovrTable25,MATCH(INDEX(oppCol,ROW()),ovrTeamCol25,0),MATCH(MID(INDEX('Structured 2025'!headerRow,1,COLUMN()),4,LEN(INDEX('Structured 2025'!headerRow,1,COLUMN()))),ovrHeaderRow25,0))</f>
        <v>4.2</v>
      </c>
      <c r="BV51" s="12">
        <f>INDEX(ovrTable25,MATCH(INDEX(oppCol,ROW()),ovrTeamCol25,0),MATCH(MID(INDEX('Structured 2025'!headerRow,1,COLUMN()),4,LEN(INDEX('Structured 2025'!headerRow,1,COLUMN()))),ovrHeaderRow25,0))</f>
        <v>42.3</v>
      </c>
      <c r="BW51" s="12">
        <f>INDEX(ovrTable25,MATCH(INDEX(oppCol,ROW()),ovrTeamCol25,0),MATCH(MID(INDEX('Structured 2025'!headerRow,1,COLUMN()),4,LEN(INDEX('Structured 2025'!headerRow,1,COLUMN()))),ovrHeaderRow25,0))</f>
        <v>29.69</v>
      </c>
      <c r="BX51" s="12">
        <f>INDEX(ovrTable25,MATCH(INDEX(oppCol,ROW()),ovrTeamCol25,0),MATCH(MID(INDEX('Structured 2025'!headerRow,1,COLUMN()),4,LEN(INDEX('Structured 2025'!headerRow,1,COLUMN()))),ovrHeaderRow25,0))</f>
        <v>0.52400000000000002</v>
      </c>
      <c r="BY51" s="12">
        <f>INDEX(ovrTable25,MATCH(INDEX(oppCol,ROW()),ovrTeamCol25,0),MATCH(MID(INDEX('Structured 2025'!headerRow,1,COLUMN()),4,LEN(INDEX('Structured 2025'!headerRow,1,COLUMN()))),ovrHeaderRow25,0))</f>
        <v>7.2</v>
      </c>
      <c r="BZ51" s="12">
        <f>INDEX(ovrTable25,MATCH(INDEX(oppCol,ROW()),ovrTeamCol25,0),MATCH(MID(INDEX('Structured 2025'!headerRow,1,COLUMN()),4,LEN(INDEX('Structured 2025'!headerRow,1,COLUMN()))),ovrHeaderRow25,0))</f>
        <v>45.1</v>
      </c>
      <c r="CA51" s="12">
        <f>INDEX(ovrTable25,MATCH(INDEX(oppCol,ROW()),ovrTeamCol25,0),MATCH(MID(INDEX('Structured 2025'!headerRow,1,COLUMN()),4,LEN(INDEX('Structured 2025'!headerRow,1,COLUMN()))),ovrHeaderRow25,0))</f>
        <v>16.2</v>
      </c>
      <c r="CB51" s="12">
        <f>INDEX(ovrTable25,MATCH(INDEX(oppCol,ROW()),ovrTeamCol25,0),MATCH(MID(INDEX('Structured 2025'!headerRow,1,COLUMN()),4,LEN(INDEX('Structured 2025'!headerRow,1,COLUMN()))),ovrHeaderRow25,0))</f>
        <v>76.2</v>
      </c>
      <c r="CC51" s="12">
        <f>INDEX(ovrTable25,MATCH(INDEX(oppCol,ROW()),ovrTeamCol25,0),MATCH(MID(INDEX('Structured 2025'!headerRow,1,COLUMN()),4,LEN(INDEX('Structured 2025'!headerRow,1,COLUMN()))),ovrHeaderRow25,0))</f>
        <v>21.9</v>
      </c>
      <c r="CD51" s="12">
        <f>INDEX(ovrTable25,MATCH(INDEX(oppCol,ROW()),ovrTeamCol25,0),MATCH(MID(INDEX('Structured 2025'!headerRow,1,COLUMN()),4,LEN(INDEX('Structured 2025'!headerRow,1,COLUMN()))),ovrHeaderRow25,0))</f>
        <v>16.7</v>
      </c>
      <c r="CE51" s="12">
        <f>INDEX(ovrTable25,MATCH(INDEX(oppCol,ROW()),ovrTeamCol25,0),MATCH(MID(INDEX('Structured 2025'!headerRow,1,COLUMN()),4,LEN(INDEX('Structured 2025'!headerRow,1,COLUMN()))),ovrHeaderRow25,0))</f>
        <v>74.8</v>
      </c>
      <c r="CF51" s="12">
        <f>INDEX(ovrTable25,MATCH(INDEX(oppCol,ROW()),ovrTeamCol25,0),MATCH(MID(INDEX('Structured 2025'!headerRow,1,COLUMN()),4,LEN(INDEX('Structured 2025'!headerRow,1,COLUMN()))),ovrHeaderRow25,0))</f>
        <v>12.94</v>
      </c>
      <c r="CG51" s="12">
        <f>INDEX(ovrTable25,MATCH(INDEX(oppCol,ROW()),ovrTeamCol25,0),MATCH(MID(INDEX('Structured 2025'!headerRow,1,COLUMN()),4,LEN(INDEX('Structured 2025'!headerRow,1,COLUMN()))),ovrHeaderRow25,0))</f>
        <v>83.6</v>
      </c>
      <c r="CH51" s="12">
        <f>INDEX(ovrTable25,MATCH(INDEX(oppCol,ROW()),ovrTeamCol25,0),MATCH(MID(INDEX('Structured 2025'!headerRow,1,COLUMN()),4,LEN(INDEX('Structured 2025'!headerRow,1,COLUMN()))),ovrHeaderRow25,0))</f>
        <v>9.1</v>
      </c>
      <c r="CI51" s="12">
        <f>INDEX(ovrTable25,MATCH(INDEX(oppCol,ROW()),ovrTeamCol25,0),MATCH(MID(INDEX('Structured 2025'!headerRow,1,COLUMN()),4,LEN(INDEX('Structured 2025'!headerRow,1,COLUMN()))),ovrHeaderRow25,0))</f>
        <v>42.63</v>
      </c>
      <c r="CJ51" s="12">
        <f>INDEX(ovrTable25,MATCH(INDEX(oppCol,ROW()),ovrTeamCol25,0),MATCH(MID(INDEX('Structured 2025'!headerRow,1,COLUMN()),4,LEN(INDEX('Structured 2025'!headerRow,1,COLUMN()))),ovrHeaderRow25,0))</f>
        <v>8.8000000000000007</v>
      </c>
      <c r="CK51" s="12">
        <f>INDEX(ovrTable25,MATCH(INDEX(oppCol,ROW()),ovrTeamCol25,0),MATCH(MID(INDEX('Structured 2025'!headerRow,1,COLUMN()),4,LEN(INDEX('Structured 2025'!headerRow,1,COLUMN()))),ovrHeaderRow25,0))</f>
        <v>4.3</v>
      </c>
      <c r="CL51" s="12">
        <f>INDEX(ovrTable25,MATCH(INDEX(oppCol,ROW()),ovrTeamCol25,0),MATCH(MID(INDEX('Structured 2025'!headerRow,1,COLUMN()),4,LEN(INDEX('Structured 2025'!headerRow,1,COLUMN()))),ovrHeaderRow25,0))</f>
        <v>-2.7</v>
      </c>
      <c r="CM51" s="12">
        <f>INDEX(ovrTable25,MATCH(INDEX(oppCol,ROW()),ovrTeamCol25,0),MATCH(MID(INDEX('Structured 2025'!headerRow,1,COLUMN()),4,LEN(INDEX('Structured 2025'!headerRow,1,COLUMN()))),ovrHeaderRow25,0))</f>
        <v>9</v>
      </c>
      <c r="CN51" s="12">
        <f>INDEX(ovrTable25,MATCH(INDEX(oppCol,ROW()),ovrTeamCol25,0),MATCH(MID(INDEX('Structured 2025'!headerRow,1,COLUMN()),4,LEN(INDEX('Structured 2025'!headerRow,1,COLUMN()))),ovrHeaderRow25,0))</f>
        <v>11.7</v>
      </c>
      <c r="CO51" s="12">
        <f>INDEX(ovrTable25,MATCH(INDEX(oppCol,ROW()),ovrTeamCol25,0),MATCH(MID(INDEX('Structured 2025'!headerRow,1,COLUMN()),4,LEN(INDEX('Structured 2025'!headerRow,1,COLUMN()))),ovrHeaderRow25,0))</f>
        <v>71.5</v>
      </c>
      <c r="CP51" s="12">
        <f>INDEX(ovrTable25,MATCH(INDEX(oppCol,ROW()),ovrTeamCol25,0),MATCH(MID(INDEX('Structured 2025'!headerRow,1,COLUMN()),4,LEN(INDEX('Structured 2025'!headerRow,1,COLUMN()))),ovrHeaderRow25,0))</f>
        <v>19.349999999999994</v>
      </c>
      <c r="CQ51" s="12">
        <f>INDEX(ovrTable25,MATCH(INDEX(oppCol,ROW()),ovrTeamCol25,0),MATCH(MID(INDEX('Structured 2025'!headerRow,1,COLUMN()),4,LEN(INDEX('Structured 2025'!headerRow,1,COLUMN()))),ovrHeaderRow25,0))</f>
        <v>63.747228381374704</v>
      </c>
    </row>
    <row r="52" spans="1:95" x14ac:dyDescent="0.3">
      <c r="A52" s="6" t="s">
        <v>49</v>
      </c>
      <c r="B52" s="3">
        <v>3</v>
      </c>
      <c r="C52" s="13" t="str">
        <f>A53</f>
        <v>TROY</v>
      </c>
      <c r="D52" s="14">
        <f t="shared" si="26"/>
        <v>26</v>
      </c>
      <c r="E52" s="23">
        <v>0.25</v>
      </c>
      <c r="F52" s="24">
        <v>47.457627118644069</v>
      </c>
      <c r="G52" s="24">
        <v>10</v>
      </c>
      <c r="H52" s="23">
        <v>38.461538461538467</v>
      </c>
      <c r="I52" s="24">
        <v>26</v>
      </c>
      <c r="J52" s="25">
        <v>2.2999999999999998</v>
      </c>
      <c r="K52" s="24">
        <v>10</v>
      </c>
      <c r="L52" s="24">
        <v>16</v>
      </c>
      <c r="M52" s="24">
        <v>7</v>
      </c>
      <c r="N52" s="24">
        <v>32</v>
      </c>
      <c r="O52" s="24">
        <v>23</v>
      </c>
      <c r="P52" s="24">
        <v>5</v>
      </c>
      <c r="Q52" s="24">
        <v>6</v>
      </c>
      <c r="R52" s="24">
        <v>10</v>
      </c>
      <c r="S52" s="24">
        <v>14</v>
      </c>
      <c r="T52" s="24">
        <v>12</v>
      </c>
      <c r="U52" s="24">
        <v>25</v>
      </c>
      <c r="V52" s="24">
        <v>0.34920634920634919</v>
      </c>
      <c r="W52" s="26">
        <v>0.55932203389830504</v>
      </c>
      <c r="X52" s="23">
        <v>62.5</v>
      </c>
      <c r="Y52" s="24">
        <v>57</v>
      </c>
      <c r="Z52" s="24">
        <v>76</v>
      </c>
      <c r="AA52" s="24">
        <v>1</v>
      </c>
      <c r="AB52" s="24">
        <v>39</v>
      </c>
      <c r="AC52" s="24">
        <v>19</v>
      </c>
      <c r="AD52" s="24">
        <v>1</v>
      </c>
      <c r="AE52" s="24">
        <v>11</v>
      </c>
      <c r="AF52" s="34">
        <f t="shared" si="34"/>
        <v>18</v>
      </c>
      <c r="AG52" s="34">
        <f t="shared" si="35"/>
        <v>33</v>
      </c>
      <c r="AH52" s="46">
        <f t="shared" si="36"/>
        <v>69.599999999999994</v>
      </c>
      <c r="AI52" s="51">
        <f t="shared" ref="AI52" si="55">AVERAGE(AH52,AH53)</f>
        <v>68.4375</v>
      </c>
      <c r="AJ52" s="12">
        <f>INDEX(ovrTable25,MATCH(INDEX('Structured 2025'!teamCol,ROW()),ovrTeamCol25,0),MATCH(MID(INDEX('Structured 2025'!headerRow,1,COLUMN()),4,LEN(INDEX('Structured 2025'!headerRow,1,COLUMN()))),ovrHeaderRow25,0))</f>
        <v>30.5</v>
      </c>
      <c r="AK52" s="12">
        <f>INDEX(ovrTable25,MATCH(INDEX('Structured 2025'!teamCol,ROW()),ovrTeamCol25,0),MATCH(MID(INDEX('Structured 2025'!headerRow,1,COLUMN()),4,LEN(INDEX('Structured 2025'!headerRow,1,COLUMN()))),ovrHeaderRow25,0))</f>
        <v>9.5</v>
      </c>
      <c r="AL52" s="12">
        <f>INDEX(ovrTable25,MATCH(INDEX('Structured 2025'!teamCol,ROW()),ovrTeamCol25,0),MATCH(MID(INDEX('Structured 2025'!headerRow,1,COLUMN()),4,LEN(INDEX('Structured 2025'!headerRow,1,COLUMN()))),ovrHeaderRow25,0))</f>
        <v>37.5</v>
      </c>
      <c r="AM52" s="12">
        <f>INDEX(ovrTable25,MATCH(INDEX('Structured 2025'!teamCol,ROW()),ovrTeamCol25,0),MATCH(MID(INDEX('Structured 2025'!headerRow,1,COLUMN()),4,LEN(INDEX('Structured 2025'!headerRow,1,COLUMN()))),ovrHeaderRow25,0))</f>
        <v>25.3</v>
      </c>
      <c r="AN52" s="12">
        <f>INDEX(ovrTable25,MATCH(INDEX('Structured 2025'!teamCol,ROW()),ovrTeamCol25,0),MATCH(MID(INDEX('Structured 2025'!headerRow,1,COLUMN()),4,LEN(INDEX('Structured 2025'!headerRow,1,COLUMN()))),ovrHeaderRow25,0))</f>
        <v>1.55</v>
      </c>
      <c r="AO52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P52" s="12">
        <f>INDEX(ovrTable25,MATCH(INDEX('Structured 2025'!teamCol,ROW()),ovrTeamCol25,0),MATCH(MID(INDEX('Structured 2025'!headerRow,1,COLUMN()),4,LEN(INDEX('Structured 2025'!headerRow,1,COLUMN()))),ovrHeaderRow25,0))</f>
        <v>22.19</v>
      </c>
      <c r="AQ52" s="12">
        <f>INDEX(ovrTable25,MATCH(INDEX('Structured 2025'!teamCol,ROW()),ovrTeamCol25,0),MATCH(MID(INDEX('Structured 2025'!headerRow,1,COLUMN()),4,LEN(INDEX('Structured 2025'!headerRow,1,COLUMN()))),ovrHeaderRow25,0))</f>
        <v>4</v>
      </c>
      <c r="AR52" s="12">
        <f>INDEX(ovrTable25,MATCH(INDEX('Structured 2025'!teamCol,ROW()),ovrTeamCol25,0),MATCH(MID(INDEX('Structured 2025'!headerRow,1,COLUMN()),4,LEN(INDEX('Structured 2025'!headerRow,1,COLUMN()))),ovrHeaderRow25,0))</f>
        <v>43.7</v>
      </c>
      <c r="AS52" s="12">
        <f>INDEX(ovrTable25,MATCH(INDEX('Structured 2025'!teamCol,ROW()),ovrTeamCol25,0),MATCH(MID(INDEX('Structured 2025'!headerRow,1,COLUMN()),4,LEN(INDEX('Structured 2025'!headerRow,1,COLUMN()))),ovrHeaderRow25,0))</f>
        <v>28.14</v>
      </c>
      <c r="AT52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52" s="12">
        <f>INDEX(ovrTable25,MATCH(INDEX('Structured 2025'!teamCol,ROW()),ovrTeamCol25,0),MATCH(MID(INDEX('Structured 2025'!headerRow,1,COLUMN()),4,LEN(INDEX('Structured 2025'!headerRow,1,COLUMN()))),ovrHeaderRow25,0))</f>
        <v>14.03</v>
      </c>
      <c r="AV52" s="12">
        <f>INDEX(ovrTable25,MATCH(INDEX('Structured 2025'!teamCol,ROW()),ovrTeamCol25,0),MATCH(MID(INDEX('Structured 2025'!headerRow,1,COLUMN()),4,LEN(INDEX('Structured 2025'!headerRow,1,COLUMN()))),ovrHeaderRow25,0))</f>
        <v>48.2</v>
      </c>
      <c r="AW52" s="12">
        <f>INDEX(ovrTable25,MATCH(INDEX('Structured 2025'!teamCol,ROW()),ovrTeamCol25,0),MATCH(MID(INDEX('Structured 2025'!headerRow,1,COLUMN()),4,LEN(INDEX('Structured 2025'!headerRow,1,COLUMN()))),ovrHeaderRow25,0))</f>
        <v>17.2</v>
      </c>
      <c r="AX52" s="12">
        <f>INDEX(ovrTable25,MATCH(INDEX('Structured 2025'!teamCol,ROW()),ovrTeamCol25,0),MATCH(MID(INDEX('Structured 2025'!headerRow,1,COLUMN()),4,LEN(INDEX('Structured 2025'!headerRow,1,COLUMN()))),ovrHeaderRow25,0))</f>
        <v>73.099999999999994</v>
      </c>
      <c r="AY52" s="12">
        <f>INDEX(ovrTable25,MATCH(INDEX('Structured 2025'!teamCol,ROW()),ovrTeamCol25,0),MATCH(MID(INDEX('Structured 2025'!headerRow,1,COLUMN()),4,LEN(INDEX('Structured 2025'!headerRow,1,COLUMN()))),ovrHeaderRow25,0))</f>
        <v>21.6</v>
      </c>
      <c r="AZ52" s="12">
        <f>INDEX(ovrTable25,MATCH(INDEX('Structured 2025'!teamCol,ROW()),ovrTeamCol25,0),MATCH(MID(INDEX('Structured 2025'!headerRow,1,COLUMN()),4,LEN(INDEX('Structured 2025'!headerRow,1,COLUMN()))),ovrHeaderRow25,0))</f>
        <v>15.8</v>
      </c>
      <c r="BA52" s="12">
        <f>INDEX(ovrTable25,MATCH(INDEX('Structured 2025'!teamCol,ROW()),ovrTeamCol25,0),MATCH(MID(INDEX('Structured 2025'!headerRow,1,COLUMN()),4,LEN(INDEX('Structured 2025'!headerRow,1,COLUMN()))),ovrHeaderRow25,0))</f>
        <v>77.2</v>
      </c>
      <c r="BB52" s="12">
        <f>INDEX(ovrTable25,MATCH(INDEX('Structured 2025'!teamCol,ROW()),ovrTeamCol25,0),MATCH(MID(INDEX('Structured 2025'!headerRow,1,COLUMN()),4,LEN(INDEX('Structured 2025'!headerRow,1,COLUMN()))),ovrHeaderRow25,0))</f>
        <v>9.89</v>
      </c>
      <c r="BC52" s="12">
        <f>INDEX(ovrTable25,MATCH(INDEX('Structured 2025'!teamCol,ROW()),ovrTeamCol25,0),MATCH(MID(INDEX('Structured 2025'!headerRow,1,COLUMN()),4,LEN(INDEX('Structured 2025'!headerRow,1,COLUMN()))),ovrHeaderRow25,0))</f>
        <v>84.4</v>
      </c>
      <c r="BD52" s="12">
        <f>INDEX(ovrTable25,MATCH(INDEX('Structured 2025'!teamCol,ROW()),ovrTeamCol25,0),MATCH(MID(INDEX('Structured 2025'!headerRow,1,COLUMN()),4,LEN(INDEX('Structured 2025'!headerRow,1,COLUMN()))),ovrHeaderRow25,0))</f>
        <v>2.7</v>
      </c>
      <c r="BE52" s="12">
        <f>INDEX(ovrTable25,MATCH(INDEX('Structured 2025'!teamCol,ROW()),ovrTeamCol25,0),MATCH(MID(INDEX('Structured 2025'!headerRow,1,COLUMN()),4,LEN(INDEX('Structured 2025'!headerRow,1,COLUMN()))),ovrHeaderRow25,0))</f>
        <v>38.03</v>
      </c>
      <c r="BF52" s="12">
        <f>INDEX(ovrTable25,MATCH(INDEX('Structured 2025'!teamCol,ROW()),ovrTeamCol25,0),MATCH(MID(INDEX('Structured 2025'!headerRow,1,COLUMN()),4,LEN(INDEX('Structured 2025'!headerRow,1,COLUMN()))),ovrHeaderRow25,0))</f>
        <v>7.2</v>
      </c>
      <c r="BG52" s="12">
        <f>INDEX(ovrTable25,MATCH(INDEX('Structured 2025'!teamCol,ROW()),ovrTeamCol25,0),MATCH(MID(INDEX('Structured 2025'!headerRow,1,COLUMN()),4,LEN(INDEX('Structured 2025'!headerRow,1,COLUMN()))),ovrHeaderRow25,0))</f>
        <v>6.9</v>
      </c>
      <c r="BH52" s="12">
        <f>INDEX(ovrTable25,MATCH(INDEX('Structured 2025'!teamCol,ROW()),ovrTeamCol25,0),MATCH(MID(INDEX('Structured 2025'!headerRow,1,COLUMN()),4,LEN(INDEX('Structured 2025'!headerRow,1,COLUMN()))),ovrHeaderRow25,0))</f>
        <v>-0.6</v>
      </c>
      <c r="BI52" s="12">
        <f>INDEX(ovrTable25,MATCH(INDEX('Structured 2025'!teamCol,ROW()),ovrTeamCol25,0),MATCH(MID(INDEX('Structured 2025'!headerRow,1,COLUMN()),4,LEN(INDEX('Structured 2025'!headerRow,1,COLUMN()))),ovrHeaderRow25,0))</f>
        <v>10.25</v>
      </c>
      <c r="BJ52" s="12">
        <f>INDEX(ovrTable25,MATCH(INDEX('Structured 2025'!teamCol,ROW()),ovrTeamCol25,0),MATCH(MID(INDEX('Structured 2025'!headerRow,1,COLUMN()),4,LEN(INDEX('Structured 2025'!headerRow,1,COLUMN()))),ovrHeaderRow25,0))</f>
        <v>10.9</v>
      </c>
      <c r="BK52" s="12">
        <f>INDEX(ovrTable25,MATCH(INDEX('Structured 2025'!teamCol,ROW()),ovrTeamCol25,0),MATCH(MID(INDEX('Structured 2025'!headerRow,1,COLUMN()),4,LEN(INDEX('Structured 2025'!headerRow,1,COLUMN()))),ovrHeaderRow25,0))</f>
        <v>70.900000000000006</v>
      </c>
      <c r="BL52" s="12">
        <f>INDEX(ovrTable25,MATCH(INDEX('Structured 2025'!teamCol,ROW()),ovrTeamCol25,0),MATCH(MID(INDEX('Structured 2025'!headerRow,1,COLUMN()),4,LEN(INDEX('Structured 2025'!headerRow,1,COLUMN()))),ovrHeaderRow25,0))</f>
        <v>20.050000000000004</v>
      </c>
      <c r="BM52" s="12">
        <f>INDEX(ovrTable25,MATCH(INDEX('Structured 2025'!teamCol,ROW()),ovrTeamCol25,0),MATCH(MID(INDEX('Structured 2025'!headerRow,1,COLUMN()),4,LEN(INDEX('Structured 2025'!headerRow,1,COLUMN()))),ovrHeaderRow25,0))</f>
        <v>61.30705394190872</v>
      </c>
      <c r="BN52" s="12">
        <f>INDEX(ovrTable25,MATCH(INDEX(oppCol,ROW()),ovrTeamCol25,0),MATCH(MID(INDEX('Structured 2025'!headerRow,1,COLUMN()),4,LEN(INDEX('Structured 2025'!headerRow,1,COLUMN()))),ovrHeaderRow25,0))</f>
        <v>32.4</v>
      </c>
      <c r="BO52" s="12">
        <f>INDEX(ovrTable25,MATCH(INDEX(oppCol,ROW()),ovrTeamCol25,0),MATCH(MID(INDEX('Structured 2025'!headerRow,1,COLUMN()),4,LEN(INDEX('Structured 2025'!headerRow,1,COLUMN()))),ovrHeaderRow25,0))</f>
        <v>7.7</v>
      </c>
      <c r="BP52" s="12">
        <f>INDEX(ovrTable25,MATCH(INDEX(oppCol,ROW()),ovrTeamCol25,0),MATCH(MID(INDEX('Structured 2025'!headerRow,1,COLUMN()),4,LEN(INDEX('Structured 2025'!headerRow,1,COLUMN()))),ovrHeaderRow25,0))</f>
        <v>29.7</v>
      </c>
      <c r="BQ52" s="12">
        <f>INDEX(ovrTable25,MATCH(INDEX(oppCol,ROW()),ovrTeamCol25,0),MATCH(MID(INDEX('Structured 2025'!headerRow,1,COLUMN()),4,LEN(INDEX('Structured 2025'!headerRow,1,COLUMN()))),ovrHeaderRow25,0))</f>
        <v>25.8</v>
      </c>
      <c r="BR52" s="12">
        <f>INDEX(ovrTable25,MATCH(INDEX(oppCol,ROW()),ovrTeamCol25,0),MATCH(MID(INDEX('Structured 2025'!headerRow,1,COLUMN()),4,LEN(INDEX('Structured 2025'!headerRow,1,COLUMN()))),ovrHeaderRow25,0))</f>
        <v>1.03</v>
      </c>
      <c r="BS52" s="12">
        <f>INDEX(ovrTable25,MATCH(INDEX(oppCol,ROW()),ovrTeamCol25,0),MATCH(MID(INDEX('Structured 2025'!headerRow,1,COLUMN()),4,LEN(INDEX('Structured 2025'!headerRow,1,COLUMN()))),ovrHeaderRow25,0))</f>
        <v>13.9</v>
      </c>
      <c r="BT52" s="12">
        <f>INDEX(ovrTable25,MATCH(INDEX(oppCol,ROW()),ovrTeamCol25,0),MATCH(MID(INDEX('Structured 2025'!headerRow,1,COLUMN()),4,LEN(INDEX('Structured 2025'!headerRow,1,COLUMN()))),ovrHeaderRow25,0))</f>
        <v>23.18</v>
      </c>
      <c r="BU52" s="12">
        <f>INDEX(ovrTable25,MATCH(INDEX(oppCol,ROW()),ovrTeamCol25,0),MATCH(MID(INDEX('Structured 2025'!headerRow,1,COLUMN()),4,LEN(INDEX('Structured 2025'!headerRow,1,COLUMN()))),ovrHeaderRow25,0))</f>
        <v>4.5999999999999996</v>
      </c>
      <c r="BV52" s="12">
        <f>INDEX(ovrTable25,MATCH(INDEX(oppCol,ROW()),ovrTeamCol25,0),MATCH(MID(INDEX('Structured 2025'!headerRow,1,COLUMN()),4,LEN(INDEX('Structured 2025'!headerRow,1,COLUMN()))),ovrHeaderRow25,0))</f>
        <v>40.6</v>
      </c>
      <c r="BW52" s="12">
        <f>INDEX(ovrTable25,MATCH(INDEX(oppCol,ROW()),ovrTeamCol25,0),MATCH(MID(INDEX('Structured 2025'!headerRow,1,COLUMN()),4,LEN(INDEX('Structured 2025'!headerRow,1,COLUMN()))),ovrHeaderRow25,0))</f>
        <v>24.71</v>
      </c>
      <c r="BX52" s="12">
        <f>INDEX(ovrTable25,MATCH(INDEX(oppCol,ROW()),ovrTeamCol25,0),MATCH(MID(INDEX('Structured 2025'!headerRow,1,COLUMN()),4,LEN(INDEX('Structured 2025'!headerRow,1,COLUMN()))),ovrHeaderRow25,0))</f>
        <v>0.502</v>
      </c>
      <c r="BY52" s="12">
        <f>INDEX(ovrTable25,MATCH(INDEX(oppCol,ROW()),ovrTeamCol25,0),MATCH(MID(INDEX('Structured 2025'!headerRow,1,COLUMN()),4,LEN(INDEX('Structured 2025'!headerRow,1,COLUMN()))),ovrHeaderRow25,0))</f>
        <v>12.82</v>
      </c>
      <c r="BZ52" s="12">
        <f>INDEX(ovrTable25,MATCH(INDEX(oppCol,ROW()),ovrTeamCol25,0),MATCH(MID(INDEX('Structured 2025'!headerRow,1,COLUMN()),4,LEN(INDEX('Structured 2025'!headerRow,1,COLUMN()))),ovrHeaderRow25,0))</f>
        <v>43.6</v>
      </c>
      <c r="CA52" s="12">
        <f>INDEX(ovrTable25,MATCH(INDEX(oppCol,ROW()),ovrTeamCol25,0),MATCH(MID(INDEX('Structured 2025'!headerRow,1,COLUMN()),4,LEN(INDEX('Structured 2025'!headerRow,1,COLUMN()))),ovrHeaderRow25,0))</f>
        <v>16.5</v>
      </c>
      <c r="CB52" s="12">
        <f>INDEX(ovrTable25,MATCH(INDEX(oppCol,ROW()),ovrTeamCol25,0),MATCH(MID(INDEX('Structured 2025'!headerRow,1,COLUMN()),4,LEN(INDEX('Structured 2025'!headerRow,1,COLUMN()))),ovrHeaderRow25,0))</f>
        <v>71.8</v>
      </c>
      <c r="CC52" s="12">
        <f>INDEX(ovrTable25,MATCH(INDEX(oppCol,ROW()),ovrTeamCol25,0),MATCH(MID(INDEX('Structured 2025'!headerRow,1,COLUMN()),4,LEN(INDEX('Structured 2025'!headerRow,1,COLUMN()))),ovrHeaderRow25,0))</f>
        <v>21.8</v>
      </c>
      <c r="CD52" s="12">
        <f>INDEX(ovrTable25,MATCH(INDEX(oppCol,ROW()),ovrTeamCol25,0),MATCH(MID(INDEX('Structured 2025'!headerRow,1,COLUMN()),4,LEN(INDEX('Structured 2025'!headerRow,1,COLUMN()))),ovrHeaderRow25,0))</f>
        <v>15.6</v>
      </c>
      <c r="CE52" s="12">
        <f>INDEX(ovrTable25,MATCH(INDEX(oppCol,ROW()),ovrTeamCol25,0),MATCH(MID(INDEX('Structured 2025'!headerRow,1,COLUMN()),4,LEN(INDEX('Structured 2025'!headerRow,1,COLUMN()))),ovrHeaderRow25,0))</f>
        <v>65.7</v>
      </c>
      <c r="CF52" s="12">
        <f>INDEX(ovrTable25,MATCH(INDEX(oppCol,ROW()),ovrTeamCol25,0),MATCH(MID(INDEX('Structured 2025'!headerRow,1,COLUMN()),4,LEN(INDEX('Structured 2025'!headerRow,1,COLUMN()))),ovrHeaderRow25,0))</f>
        <v>13.85</v>
      </c>
      <c r="CG52" s="12">
        <f>INDEX(ovrTable25,MATCH(INDEX(oppCol,ROW()),ovrTeamCol25,0),MATCH(MID(INDEX('Structured 2025'!headerRow,1,COLUMN()),4,LEN(INDEX('Structured 2025'!headerRow,1,COLUMN()))),ovrHeaderRow25,0))</f>
        <v>73.400000000000006</v>
      </c>
      <c r="CH52" s="12">
        <f>INDEX(ovrTable25,MATCH(INDEX(oppCol,ROW()),ovrTeamCol25,0),MATCH(MID(INDEX('Structured 2025'!headerRow,1,COLUMN()),4,LEN(INDEX('Structured 2025'!headerRow,1,COLUMN()))),ovrHeaderRow25,0))</f>
        <v>5.4</v>
      </c>
      <c r="CI52" s="12">
        <f>INDEX(ovrTable25,MATCH(INDEX(oppCol,ROW()),ovrTeamCol25,0),MATCH(MID(INDEX('Structured 2025'!headerRow,1,COLUMN()),4,LEN(INDEX('Structured 2025'!headerRow,1,COLUMN()))),ovrHeaderRow25,0))</f>
        <v>38.56</v>
      </c>
      <c r="CJ52" s="12">
        <f>INDEX(ovrTable25,MATCH(INDEX(oppCol,ROW()),ovrTeamCol25,0),MATCH(MID(INDEX('Structured 2025'!headerRow,1,COLUMN()),4,LEN(INDEX('Structured 2025'!headerRow,1,COLUMN()))),ovrHeaderRow25,0))</f>
        <v>7.6</v>
      </c>
      <c r="CK52" s="12">
        <f>INDEX(ovrTable25,MATCH(INDEX(oppCol,ROW()),ovrTeamCol25,0),MATCH(MID(INDEX('Structured 2025'!headerRow,1,COLUMN()),4,LEN(INDEX('Structured 2025'!headerRow,1,COLUMN()))),ovrHeaderRow25,0))</f>
        <v>9.4</v>
      </c>
      <c r="CL52" s="12">
        <f>INDEX(ovrTable25,MATCH(INDEX(oppCol,ROW()),ovrTeamCol25,0),MATCH(MID(INDEX('Structured 2025'!headerRow,1,COLUMN()),4,LEN(INDEX('Structured 2025'!headerRow,1,COLUMN()))),ovrHeaderRow25,0))</f>
        <v>0.1</v>
      </c>
      <c r="CM52" s="12">
        <f>INDEX(ovrTable25,MATCH(INDEX(oppCol,ROW()),ovrTeamCol25,0),MATCH(MID(INDEX('Structured 2025'!headerRow,1,COLUMN()),4,LEN(INDEX('Structured 2025'!headerRow,1,COLUMN()))),ovrHeaderRow25,0))</f>
        <v>13.59</v>
      </c>
      <c r="CN52" s="12">
        <f>INDEX(ovrTable25,MATCH(INDEX(oppCol,ROW()),ovrTeamCol25,0),MATCH(MID(INDEX('Structured 2025'!headerRow,1,COLUMN()),4,LEN(INDEX('Structured 2025'!headerRow,1,COLUMN()))),ovrHeaderRow25,0))</f>
        <v>13.5</v>
      </c>
      <c r="CO52" s="12">
        <f>INDEX(ovrTable25,MATCH(INDEX(oppCol,ROW()),ovrTeamCol25,0),MATCH(MID(INDEX('Structured 2025'!headerRow,1,COLUMN()),4,LEN(INDEX('Structured 2025'!headerRow,1,COLUMN()))),ovrHeaderRow25,0))</f>
        <v>66.5</v>
      </c>
      <c r="CP52" s="12">
        <f>INDEX(ovrTable25,MATCH(INDEX(oppCol,ROW()),ovrTeamCol25,0),MATCH(MID(INDEX('Structured 2025'!headerRow,1,COLUMN()),4,LEN(INDEX('Structured 2025'!headerRow,1,COLUMN()))),ovrHeaderRow25,0))</f>
        <v>17.350000000000001</v>
      </c>
      <c r="CQ52" s="12">
        <f>INDEX(ovrTable25,MATCH(INDEX(oppCol,ROW()),ovrTeamCol25,0),MATCH(MID(INDEX('Structured 2025'!headerRow,1,COLUMN()),4,LEN(INDEX('Structured 2025'!headerRow,1,COLUMN()))),ovrHeaderRow25,0))</f>
        <v>57.454128440366972</v>
      </c>
    </row>
    <row r="53" spans="1:95" x14ac:dyDescent="0.3">
      <c r="A53" s="6" t="s">
        <v>509</v>
      </c>
      <c r="B53" s="3">
        <v>14</v>
      </c>
      <c r="C53" s="13" t="str">
        <f>A52</f>
        <v>UK</v>
      </c>
      <c r="D53" s="14">
        <f t="shared" si="26"/>
        <v>26</v>
      </c>
      <c r="E53" s="23">
        <v>0.38461538461538464</v>
      </c>
      <c r="F53" s="24">
        <v>34.920634920634917</v>
      </c>
      <c r="G53" s="24">
        <v>8</v>
      </c>
      <c r="H53" s="23">
        <v>25</v>
      </c>
      <c r="I53" s="24">
        <v>32</v>
      </c>
      <c r="J53" s="25">
        <v>1.2727272727272727</v>
      </c>
      <c r="K53" s="24">
        <v>5</v>
      </c>
      <c r="L53" s="24">
        <v>9</v>
      </c>
      <c r="M53" s="24">
        <v>11</v>
      </c>
      <c r="N53" s="24">
        <v>27</v>
      </c>
      <c r="O53" s="24">
        <v>14</v>
      </c>
      <c r="P53" s="24">
        <v>10</v>
      </c>
      <c r="Q53" s="24">
        <v>1</v>
      </c>
      <c r="R53" s="24">
        <v>11</v>
      </c>
      <c r="S53" s="24">
        <v>11</v>
      </c>
      <c r="T53" s="24">
        <v>12</v>
      </c>
      <c r="U53" s="24">
        <v>16</v>
      </c>
      <c r="V53" s="24">
        <v>0.47457627118644069</v>
      </c>
      <c r="W53" s="26">
        <v>0.41269841269841268</v>
      </c>
      <c r="X53" s="23">
        <v>55.555555555555557</v>
      </c>
      <c r="Y53" s="24">
        <v>76</v>
      </c>
      <c r="Z53" s="24">
        <v>57</v>
      </c>
      <c r="AA53" s="24">
        <v>-1</v>
      </c>
      <c r="AB53" s="24">
        <v>38</v>
      </c>
      <c r="AC53" s="24">
        <v>-19</v>
      </c>
      <c r="AD53" s="24">
        <v>-1</v>
      </c>
      <c r="AE53" s="24">
        <v>10</v>
      </c>
      <c r="AF53" s="34">
        <f t="shared" si="34"/>
        <v>14</v>
      </c>
      <c r="AG53" s="34">
        <f t="shared" si="35"/>
        <v>31</v>
      </c>
      <c r="AH53" s="46">
        <f t="shared" si="36"/>
        <v>67.275000000000006</v>
      </c>
      <c r="AI53" s="51">
        <f t="shared" ref="AI53" si="56">AVERAGE(AH52,AH53)</f>
        <v>68.4375</v>
      </c>
      <c r="AJ53" s="12">
        <f>INDEX(ovrTable25,MATCH(INDEX('Structured 2025'!teamCol,ROW()),ovrTeamCol25,0),MATCH(MID(INDEX('Structured 2025'!headerRow,1,COLUMN()),4,LEN(INDEX('Structured 2025'!headerRow,1,COLUMN()))),ovrHeaderRow25,0))</f>
        <v>32.4</v>
      </c>
      <c r="AK53" s="12">
        <f>INDEX(ovrTable25,MATCH(INDEX('Structured 2025'!teamCol,ROW()),ovrTeamCol25,0),MATCH(MID(INDEX('Structured 2025'!headerRow,1,COLUMN()),4,LEN(INDEX('Structured 2025'!headerRow,1,COLUMN()))),ovrHeaderRow25,0))</f>
        <v>7.7</v>
      </c>
      <c r="AL53" s="12">
        <f>INDEX(ovrTable25,MATCH(INDEX('Structured 2025'!teamCol,ROW()),ovrTeamCol25,0),MATCH(MID(INDEX('Structured 2025'!headerRow,1,COLUMN()),4,LEN(INDEX('Structured 2025'!headerRow,1,COLUMN()))),ovrHeaderRow25,0))</f>
        <v>29.7</v>
      </c>
      <c r="AM53" s="12">
        <f>INDEX(ovrTable25,MATCH(INDEX('Structured 2025'!teamCol,ROW()),ovrTeamCol25,0),MATCH(MID(INDEX('Structured 2025'!headerRow,1,COLUMN()),4,LEN(INDEX('Structured 2025'!headerRow,1,COLUMN()))),ovrHeaderRow25,0))</f>
        <v>25.8</v>
      </c>
      <c r="AN53" s="12">
        <f>INDEX(ovrTable25,MATCH(INDEX('Structured 2025'!teamCol,ROW()),ovrTeamCol25,0),MATCH(MID(INDEX('Structured 2025'!headerRow,1,COLUMN()),4,LEN(INDEX('Structured 2025'!headerRow,1,COLUMN()))),ovrHeaderRow25,0))</f>
        <v>1.03</v>
      </c>
      <c r="AO53" s="12">
        <f>INDEX(ovrTable25,MATCH(INDEX('Structured 2025'!teamCol,ROW()),ovrTeamCol25,0),MATCH(MID(INDEX('Structured 2025'!headerRow,1,COLUMN()),4,LEN(INDEX('Structured 2025'!headerRow,1,COLUMN()))),ovrHeaderRow25,0))</f>
        <v>13.9</v>
      </c>
      <c r="AP53" s="12">
        <f>INDEX(ovrTable25,MATCH(INDEX('Structured 2025'!teamCol,ROW()),ovrTeamCol25,0),MATCH(MID(INDEX('Structured 2025'!headerRow,1,COLUMN()),4,LEN(INDEX('Structured 2025'!headerRow,1,COLUMN()))),ovrHeaderRow25,0))</f>
        <v>23.18</v>
      </c>
      <c r="AQ53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53" s="12">
        <f>INDEX(ovrTable25,MATCH(INDEX('Structured 2025'!teamCol,ROW()),ovrTeamCol25,0),MATCH(MID(INDEX('Structured 2025'!headerRow,1,COLUMN()),4,LEN(INDEX('Structured 2025'!headerRow,1,COLUMN()))),ovrHeaderRow25,0))</f>
        <v>40.6</v>
      </c>
      <c r="AS53" s="12">
        <f>INDEX(ovrTable25,MATCH(INDEX('Structured 2025'!teamCol,ROW()),ovrTeamCol25,0),MATCH(MID(INDEX('Structured 2025'!headerRow,1,COLUMN()),4,LEN(INDEX('Structured 2025'!headerRow,1,COLUMN()))),ovrHeaderRow25,0))</f>
        <v>24.71</v>
      </c>
      <c r="AT53" s="12">
        <f>INDEX(ovrTable25,MATCH(INDEX('Structured 2025'!teamCol,ROW()),ovrTeamCol25,0),MATCH(MID(INDEX('Structured 2025'!headerRow,1,COLUMN()),4,LEN(INDEX('Structured 2025'!headerRow,1,COLUMN()))),ovrHeaderRow25,0))</f>
        <v>0.502</v>
      </c>
      <c r="AU53" s="12">
        <f>INDEX(ovrTable25,MATCH(INDEX('Structured 2025'!teamCol,ROW()),ovrTeamCol25,0),MATCH(MID(INDEX('Structured 2025'!headerRow,1,COLUMN()),4,LEN(INDEX('Structured 2025'!headerRow,1,COLUMN()))),ovrHeaderRow25,0))</f>
        <v>12.82</v>
      </c>
      <c r="AV53" s="12">
        <f>INDEX(ovrTable25,MATCH(INDEX('Structured 2025'!teamCol,ROW()),ovrTeamCol25,0),MATCH(MID(INDEX('Structured 2025'!headerRow,1,COLUMN()),4,LEN(INDEX('Structured 2025'!headerRow,1,COLUMN()))),ovrHeaderRow25,0))</f>
        <v>43.6</v>
      </c>
      <c r="AW53" s="12">
        <f>INDEX(ovrTable25,MATCH(INDEX('Structured 2025'!teamCol,ROW()),ovrTeamCol25,0),MATCH(MID(INDEX('Structured 2025'!headerRow,1,COLUMN()),4,LEN(INDEX('Structured 2025'!headerRow,1,COLUMN()))),ovrHeaderRow25,0))</f>
        <v>16.5</v>
      </c>
      <c r="AX53" s="12">
        <f>INDEX(ovrTable25,MATCH(INDEX('Structured 2025'!teamCol,ROW()),ovrTeamCol25,0),MATCH(MID(INDEX('Structured 2025'!headerRow,1,COLUMN()),4,LEN(INDEX('Structured 2025'!headerRow,1,COLUMN()))),ovrHeaderRow25,0))</f>
        <v>71.8</v>
      </c>
      <c r="AY53" s="12">
        <f>INDEX(ovrTable25,MATCH(INDEX('Structured 2025'!teamCol,ROW()),ovrTeamCol25,0),MATCH(MID(INDEX('Structured 2025'!headerRow,1,COLUMN()),4,LEN(INDEX('Structured 2025'!headerRow,1,COLUMN()))),ovrHeaderRow25,0))</f>
        <v>21.8</v>
      </c>
      <c r="AZ53" s="12">
        <f>INDEX(ovrTable25,MATCH(INDEX('Structured 2025'!teamCol,ROW()),ovrTeamCol25,0),MATCH(MID(INDEX('Structured 2025'!headerRow,1,COLUMN()),4,LEN(INDEX('Structured 2025'!headerRow,1,COLUMN()))),ovrHeaderRow25,0))</f>
        <v>15.6</v>
      </c>
      <c r="BA53" s="12">
        <f>INDEX(ovrTable25,MATCH(INDEX('Structured 2025'!teamCol,ROW()),ovrTeamCol25,0),MATCH(MID(INDEX('Structured 2025'!headerRow,1,COLUMN()),4,LEN(INDEX('Structured 2025'!headerRow,1,COLUMN()))),ovrHeaderRow25,0))</f>
        <v>65.7</v>
      </c>
      <c r="BB53" s="12">
        <f>INDEX(ovrTable25,MATCH(INDEX('Structured 2025'!teamCol,ROW()),ovrTeamCol25,0),MATCH(MID(INDEX('Structured 2025'!headerRow,1,COLUMN()),4,LEN(INDEX('Structured 2025'!headerRow,1,COLUMN()))),ovrHeaderRow25,0))</f>
        <v>13.85</v>
      </c>
      <c r="BC53" s="12">
        <f>INDEX(ovrTable25,MATCH(INDEX('Structured 2025'!teamCol,ROW()),ovrTeamCol25,0),MATCH(MID(INDEX('Structured 2025'!headerRow,1,COLUMN()),4,LEN(INDEX('Structured 2025'!headerRow,1,COLUMN()))),ovrHeaderRow25,0))</f>
        <v>73.400000000000006</v>
      </c>
      <c r="BD53" s="12">
        <f>INDEX(ovrTable25,MATCH(INDEX('Structured 2025'!teamCol,ROW()),ovrTeamCol25,0),MATCH(MID(INDEX('Structured 2025'!headerRow,1,COLUMN()),4,LEN(INDEX('Structured 2025'!headerRow,1,COLUMN()))),ovrHeaderRow25,0))</f>
        <v>5.4</v>
      </c>
      <c r="BE53" s="12">
        <f>INDEX(ovrTable25,MATCH(INDEX('Structured 2025'!teamCol,ROW()),ovrTeamCol25,0),MATCH(MID(INDEX('Structured 2025'!headerRow,1,COLUMN()),4,LEN(INDEX('Structured 2025'!headerRow,1,COLUMN()))),ovrHeaderRow25,0))</f>
        <v>38.56</v>
      </c>
      <c r="BF53" s="12">
        <f>INDEX(ovrTable25,MATCH(INDEX('Structured 2025'!teamCol,ROW()),ovrTeamCol25,0),MATCH(MID(INDEX('Structured 2025'!headerRow,1,COLUMN()),4,LEN(INDEX('Structured 2025'!headerRow,1,COLUMN()))),ovrHeaderRow25,0))</f>
        <v>7.6</v>
      </c>
      <c r="BG53" s="12">
        <f>INDEX(ovrTable25,MATCH(INDEX('Structured 2025'!teamCol,ROW()),ovrTeamCol25,0),MATCH(MID(INDEX('Structured 2025'!headerRow,1,COLUMN()),4,LEN(INDEX('Structured 2025'!headerRow,1,COLUMN()))),ovrHeaderRow25,0))</f>
        <v>9.4</v>
      </c>
      <c r="BH53" s="12">
        <f>INDEX(ovrTable25,MATCH(INDEX('Structured 2025'!teamCol,ROW()),ovrTeamCol25,0),MATCH(MID(INDEX('Structured 2025'!headerRow,1,COLUMN()),4,LEN(INDEX('Structured 2025'!headerRow,1,COLUMN()))),ovrHeaderRow25,0))</f>
        <v>0.1</v>
      </c>
      <c r="BI53" s="12">
        <f>INDEX(ovrTable25,MATCH(INDEX('Structured 2025'!teamCol,ROW()),ovrTeamCol25,0),MATCH(MID(INDEX('Structured 2025'!headerRow,1,COLUMN()),4,LEN(INDEX('Structured 2025'!headerRow,1,COLUMN()))),ovrHeaderRow25,0))</f>
        <v>13.59</v>
      </c>
      <c r="BJ53" s="12">
        <f>INDEX(ovrTable25,MATCH(INDEX('Structured 2025'!teamCol,ROW()),ovrTeamCol25,0),MATCH(MID(INDEX('Structured 2025'!headerRow,1,COLUMN()),4,LEN(INDEX('Structured 2025'!headerRow,1,COLUMN()))),ovrHeaderRow25,0))</f>
        <v>13.5</v>
      </c>
      <c r="BK53" s="12">
        <f>INDEX(ovrTable25,MATCH(INDEX('Structured 2025'!teamCol,ROW()),ovrTeamCol25,0),MATCH(MID(INDEX('Structured 2025'!headerRow,1,COLUMN()),4,LEN(INDEX('Structured 2025'!headerRow,1,COLUMN()))),ovrHeaderRow25,0))</f>
        <v>66.5</v>
      </c>
      <c r="BL53" s="12">
        <f>INDEX(ovrTable25,MATCH(INDEX('Structured 2025'!teamCol,ROW()),ovrTeamCol25,0),MATCH(MID(INDEX('Structured 2025'!headerRow,1,COLUMN()),4,LEN(INDEX('Structured 2025'!headerRow,1,COLUMN()))),ovrHeaderRow25,0))</f>
        <v>17.350000000000001</v>
      </c>
      <c r="BM53" s="12">
        <f>INDEX(ovrTable25,MATCH(INDEX('Structured 2025'!teamCol,ROW()),ovrTeamCol25,0),MATCH(MID(INDEX('Structured 2025'!headerRow,1,COLUMN()),4,LEN(INDEX('Structured 2025'!headerRow,1,COLUMN()))),ovrHeaderRow25,0))</f>
        <v>57.454128440366972</v>
      </c>
      <c r="BN53" s="12">
        <f>INDEX(ovrTable25,MATCH(INDEX(oppCol,ROW()),ovrTeamCol25,0),MATCH(MID(INDEX('Structured 2025'!headerRow,1,COLUMN()),4,LEN(INDEX('Structured 2025'!headerRow,1,COLUMN()))),ovrHeaderRow25,0))</f>
        <v>30.5</v>
      </c>
      <c r="BO53" s="12">
        <f>INDEX(ovrTable25,MATCH(INDEX(oppCol,ROW()),ovrTeamCol25,0),MATCH(MID(INDEX('Structured 2025'!headerRow,1,COLUMN()),4,LEN(INDEX('Structured 2025'!headerRow,1,COLUMN()))),ovrHeaderRow25,0))</f>
        <v>9.5</v>
      </c>
      <c r="BP53" s="12">
        <f>INDEX(ovrTable25,MATCH(INDEX(oppCol,ROW()),ovrTeamCol25,0),MATCH(MID(INDEX('Structured 2025'!headerRow,1,COLUMN()),4,LEN(INDEX('Structured 2025'!headerRow,1,COLUMN()))),ovrHeaderRow25,0))</f>
        <v>37.5</v>
      </c>
      <c r="BQ53" s="12">
        <f>INDEX(ovrTable25,MATCH(INDEX(oppCol,ROW()),ovrTeamCol25,0),MATCH(MID(INDEX('Structured 2025'!headerRow,1,COLUMN()),4,LEN(INDEX('Structured 2025'!headerRow,1,COLUMN()))),ovrHeaderRow25,0))</f>
        <v>25.3</v>
      </c>
      <c r="BR53" s="12">
        <f>INDEX(ovrTable25,MATCH(INDEX(oppCol,ROW()),ovrTeamCol25,0),MATCH(MID(INDEX('Structured 2025'!headerRow,1,COLUMN()),4,LEN(INDEX('Structured 2025'!headerRow,1,COLUMN()))),ovrHeaderRow25,0))</f>
        <v>1.55</v>
      </c>
      <c r="BS53" s="12">
        <f>INDEX(ovrTable25,MATCH(INDEX(oppCol,ROW()),ovrTeamCol25,0),MATCH(MID(INDEX('Structured 2025'!headerRow,1,COLUMN()),4,LEN(INDEX('Structured 2025'!headerRow,1,COLUMN()))),ovrHeaderRow25,0))</f>
        <v>16.899999999999999</v>
      </c>
      <c r="BT53" s="12">
        <f>INDEX(ovrTable25,MATCH(INDEX(oppCol,ROW()),ovrTeamCol25,0),MATCH(MID(INDEX('Structured 2025'!headerRow,1,COLUMN()),4,LEN(INDEX('Structured 2025'!headerRow,1,COLUMN()))),ovrHeaderRow25,0))</f>
        <v>22.19</v>
      </c>
      <c r="BU53" s="12">
        <f>INDEX(ovrTable25,MATCH(INDEX(oppCol,ROW()),ovrTeamCol25,0),MATCH(MID(INDEX('Structured 2025'!headerRow,1,COLUMN()),4,LEN(INDEX('Structured 2025'!headerRow,1,COLUMN()))),ovrHeaderRow25,0))</f>
        <v>4</v>
      </c>
      <c r="BV53" s="12">
        <f>INDEX(ovrTable25,MATCH(INDEX(oppCol,ROW()),ovrTeamCol25,0),MATCH(MID(INDEX('Structured 2025'!headerRow,1,COLUMN()),4,LEN(INDEX('Structured 2025'!headerRow,1,COLUMN()))),ovrHeaderRow25,0))</f>
        <v>43.7</v>
      </c>
      <c r="BW53" s="12">
        <f>INDEX(ovrTable25,MATCH(INDEX(oppCol,ROW()),ovrTeamCol25,0),MATCH(MID(INDEX('Structured 2025'!headerRow,1,COLUMN()),4,LEN(INDEX('Structured 2025'!headerRow,1,COLUMN()))),ovrHeaderRow25,0))</f>
        <v>28.14</v>
      </c>
      <c r="BX53" s="12">
        <f>INDEX(ovrTable25,MATCH(INDEX(oppCol,ROW()),ovrTeamCol25,0),MATCH(MID(INDEX('Structured 2025'!headerRow,1,COLUMN()),4,LEN(INDEX('Structured 2025'!headerRow,1,COLUMN()))),ovrHeaderRow25,0))</f>
        <v>0.55900000000000005</v>
      </c>
      <c r="BY53" s="12">
        <f>INDEX(ovrTable25,MATCH(INDEX(oppCol,ROW()),ovrTeamCol25,0),MATCH(MID(INDEX('Structured 2025'!headerRow,1,COLUMN()),4,LEN(INDEX('Structured 2025'!headerRow,1,COLUMN()))),ovrHeaderRow25,0))</f>
        <v>14.03</v>
      </c>
      <c r="BZ53" s="12">
        <f>INDEX(ovrTable25,MATCH(INDEX(oppCol,ROW()),ovrTeamCol25,0),MATCH(MID(INDEX('Structured 2025'!headerRow,1,COLUMN()),4,LEN(INDEX('Structured 2025'!headerRow,1,COLUMN()))),ovrHeaderRow25,0))</f>
        <v>48.2</v>
      </c>
      <c r="CA53" s="12">
        <f>INDEX(ovrTable25,MATCH(INDEX(oppCol,ROW()),ovrTeamCol25,0),MATCH(MID(INDEX('Structured 2025'!headerRow,1,COLUMN()),4,LEN(INDEX('Structured 2025'!headerRow,1,COLUMN()))),ovrHeaderRow25,0))</f>
        <v>17.2</v>
      </c>
      <c r="CB53" s="12">
        <f>INDEX(ovrTable25,MATCH(INDEX(oppCol,ROW()),ovrTeamCol25,0),MATCH(MID(INDEX('Structured 2025'!headerRow,1,COLUMN()),4,LEN(INDEX('Structured 2025'!headerRow,1,COLUMN()))),ovrHeaderRow25,0))</f>
        <v>73.099999999999994</v>
      </c>
      <c r="CC53" s="12">
        <f>INDEX(ovrTable25,MATCH(INDEX(oppCol,ROW()),ovrTeamCol25,0),MATCH(MID(INDEX('Structured 2025'!headerRow,1,COLUMN()),4,LEN(INDEX('Structured 2025'!headerRow,1,COLUMN()))),ovrHeaderRow25,0))</f>
        <v>21.6</v>
      </c>
      <c r="CD53" s="12">
        <f>INDEX(ovrTable25,MATCH(INDEX(oppCol,ROW()),ovrTeamCol25,0),MATCH(MID(INDEX('Structured 2025'!headerRow,1,COLUMN()),4,LEN(INDEX('Structured 2025'!headerRow,1,COLUMN()))),ovrHeaderRow25,0))</f>
        <v>15.8</v>
      </c>
      <c r="CE53" s="12">
        <f>INDEX(ovrTable25,MATCH(INDEX(oppCol,ROW()),ovrTeamCol25,0),MATCH(MID(INDEX('Structured 2025'!headerRow,1,COLUMN()),4,LEN(INDEX('Structured 2025'!headerRow,1,COLUMN()))),ovrHeaderRow25,0))</f>
        <v>77.2</v>
      </c>
      <c r="CF53" s="12">
        <f>INDEX(ovrTable25,MATCH(INDEX(oppCol,ROW()),ovrTeamCol25,0),MATCH(MID(INDEX('Structured 2025'!headerRow,1,COLUMN()),4,LEN(INDEX('Structured 2025'!headerRow,1,COLUMN()))),ovrHeaderRow25,0))</f>
        <v>9.89</v>
      </c>
      <c r="CG53" s="12">
        <f>INDEX(ovrTable25,MATCH(INDEX(oppCol,ROW()),ovrTeamCol25,0),MATCH(MID(INDEX('Structured 2025'!headerRow,1,COLUMN()),4,LEN(INDEX('Structured 2025'!headerRow,1,COLUMN()))),ovrHeaderRow25,0))</f>
        <v>84.4</v>
      </c>
      <c r="CH53" s="12">
        <f>INDEX(ovrTable25,MATCH(INDEX(oppCol,ROW()),ovrTeamCol25,0),MATCH(MID(INDEX('Structured 2025'!headerRow,1,COLUMN()),4,LEN(INDEX('Structured 2025'!headerRow,1,COLUMN()))),ovrHeaderRow25,0))</f>
        <v>2.7</v>
      </c>
      <c r="CI53" s="12">
        <f>INDEX(ovrTable25,MATCH(INDEX(oppCol,ROW()),ovrTeamCol25,0),MATCH(MID(INDEX('Structured 2025'!headerRow,1,COLUMN()),4,LEN(INDEX('Structured 2025'!headerRow,1,COLUMN()))),ovrHeaderRow25,0))</f>
        <v>38.03</v>
      </c>
      <c r="CJ53" s="12">
        <f>INDEX(ovrTable25,MATCH(INDEX(oppCol,ROW()),ovrTeamCol25,0),MATCH(MID(INDEX('Structured 2025'!headerRow,1,COLUMN()),4,LEN(INDEX('Structured 2025'!headerRow,1,COLUMN()))),ovrHeaderRow25,0))</f>
        <v>7.2</v>
      </c>
      <c r="CK53" s="12">
        <f>INDEX(ovrTable25,MATCH(INDEX(oppCol,ROW()),ovrTeamCol25,0),MATCH(MID(INDEX('Structured 2025'!headerRow,1,COLUMN()),4,LEN(INDEX('Structured 2025'!headerRow,1,COLUMN()))),ovrHeaderRow25,0))</f>
        <v>6.9</v>
      </c>
      <c r="CL53" s="12">
        <f>INDEX(ovrTable25,MATCH(INDEX(oppCol,ROW()),ovrTeamCol25,0),MATCH(MID(INDEX('Structured 2025'!headerRow,1,COLUMN()),4,LEN(INDEX('Structured 2025'!headerRow,1,COLUMN()))),ovrHeaderRow25,0))</f>
        <v>-0.6</v>
      </c>
      <c r="CM53" s="12">
        <f>INDEX(ovrTable25,MATCH(INDEX(oppCol,ROW()),ovrTeamCol25,0),MATCH(MID(INDEX('Structured 2025'!headerRow,1,COLUMN()),4,LEN(INDEX('Structured 2025'!headerRow,1,COLUMN()))),ovrHeaderRow25,0))</f>
        <v>10.25</v>
      </c>
      <c r="CN53" s="12">
        <f>INDEX(ovrTable25,MATCH(INDEX(oppCol,ROW()),ovrTeamCol25,0),MATCH(MID(INDEX('Structured 2025'!headerRow,1,COLUMN()),4,LEN(INDEX('Structured 2025'!headerRow,1,COLUMN()))),ovrHeaderRow25,0))</f>
        <v>10.9</v>
      </c>
      <c r="CO53" s="12">
        <f>INDEX(ovrTable25,MATCH(INDEX(oppCol,ROW()),ovrTeamCol25,0),MATCH(MID(INDEX('Structured 2025'!headerRow,1,COLUMN()),4,LEN(INDEX('Structured 2025'!headerRow,1,COLUMN()))),ovrHeaderRow25,0))</f>
        <v>70.900000000000006</v>
      </c>
      <c r="CP53" s="12">
        <f>INDEX(ovrTable25,MATCH(INDEX(oppCol,ROW()),ovrTeamCol25,0),MATCH(MID(INDEX('Structured 2025'!headerRow,1,COLUMN()),4,LEN(INDEX('Structured 2025'!headerRow,1,COLUMN()))),ovrHeaderRow25,0))</f>
        <v>20.050000000000004</v>
      </c>
      <c r="CQ53" s="12">
        <f>INDEX(ovrTable25,MATCH(INDEX(oppCol,ROW()),ovrTeamCol25,0),MATCH(MID(INDEX('Structured 2025'!headerRow,1,COLUMN()),4,LEN(INDEX('Structured 2025'!headerRow,1,COLUMN()))),ovrHeaderRow25,0))</f>
        <v>61.30705394190872</v>
      </c>
    </row>
    <row r="54" spans="1:95" x14ac:dyDescent="0.3">
      <c r="A54" s="6" t="s">
        <v>261</v>
      </c>
      <c r="B54" s="3">
        <v>7</v>
      </c>
      <c r="C54" s="13" t="str">
        <f>A55</f>
        <v>USU</v>
      </c>
      <c r="D54" s="14">
        <f t="shared" si="26"/>
        <v>27</v>
      </c>
      <c r="E54" s="23">
        <v>0.12903225806451613</v>
      </c>
      <c r="F54" s="24">
        <v>48.148148148148145</v>
      </c>
      <c r="G54" s="24">
        <v>10</v>
      </c>
      <c r="H54" s="23">
        <v>41.666666666666671</v>
      </c>
      <c r="I54" s="24">
        <v>24</v>
      </c>
      <c r="J54" s="25">
        <v>2.4444444444444446</v>
      </c>
      <c r="K54" s="24">
        <v>10</v>
      </c>
      <c r="L54" s="24">
        <v>10</v>
      </c>
      <c r="M54" s="24">
        <v>9</v>
      </c>
      <c r="N54" s="24">
        <v>29</v>
      </c>
      <c r="O54" s="24">
        <v>22</v>
      </c>
      <c r="P54" s="24">
        <v>6</v>
      </c>
      <c r="Q54" s="24">
        <v>7</v>
      </c>
      <c r="R54" s="24">
        <v>9</v>
      </c>
      <c r="S54" s="24">
        <v>9</v>
      </c>
      <c r="T54" s="24">
        <v>11</v>
      </c>
      <c r="U54" s="24">
        <v>19</v>
      </c>
      <c r="V54" s="24">
        <v>0.3</v>
      </c>
      <c r="W54" s="26">
        <v>0.57407407407407407</v>
      </c>
      <c r="X54" s="23">
        <v>100</v>
      </c>
      <c r="Y54" s="24">
        <v>47</v>
      </c>
      <c r="Z54" s="24">
        <v>72</v>
      </c>
      <c r="AA54" s="24">
        <v>3</v>
      </c>
      <c r="AB54" s="24">
        <v>38</v>
      </c>
      <c r="AC54" s="24">
        <v>25</v>
      </c>
      <c r="AD54" s="24">
        <v>2</v>
      </c>
      <c r="AE54" s="24">
        <v>11</v>
      </c>
      <c r="AF54" s="34">
        <f t="shared" si="34"/>
        <v>16</v>
      </c>
      <c r="AG54" s="34">
        <f t="shared" si="35"/>
        <v>30</v>
      </c>
      <c r="AH54" s="46">
        <f t="shared" si="36"/>
        <v>58.75</v>
      </c>
      <c r="AI54" s="51">
        <f t="shared" ref="AI54" si="57">AVERAGE(AH54,AH55)</f>
        <v>59.25</v>
      </c>
      <c r="AJ54" s="12">
        <f>INDEX(ovrTable25,MATCH(INDEX('Structured 2025'!teamCol,ROW()),ovrTeamCol25,0),MATCH(MID(INDEX('Structured 2025'!headerRow,1,COLUMN()),4,LEN(INDEX('Structured 2025'!headerRow,1,COLUMN()))),ovrHeaderRow25,0))</f>
        <v>32.799999999999997</v>
      </c>
      <c r="AK54" s="12">
        <f>INDEX(ovrTable25,MATCH(INDEX('Structured 2025'!teamCol,ROW()),ovrTeamCol25,0),MATCH(MID(INDEX('Structured 2025'!headerRow,1,COLUMN()),4,LEN(INDEX('Structured 2025'!headerRow,1,COLUMN()))),ovrHeaderRow25,0))</f>
        <v>7.4</v>
      </c>
      <c r="AL54" s="12">
        <f>INDEX(ovrTable25,MATCH(INDEX('Structured 2025'!teamCol,ROW()),ovrTeamCol25,0),MATCH(MID(INDEX('Structured 2025'!headerRow,1,COLUMN()),4,LEN(INDEX('Structured 2025'!headerRow,1,COLUMN()))),ovrHeaderRow25,0))</f>
        <v>35.200000000000003</v>
      </c>
      <c r="AM54" s="12">
        <f>INDEX(ovrTable25,MATCH(INDEX('Structured 2025'!teamCol,ROW()),ovrTeamCol25,0),MATCH(MID(INDEX('Structured 2025'!headerRow,1,COLUMN()),4,LEN(INDEX('Structured 2025'!headerRow,1,COLUMN()))),ovrHeaderRow25,0))</f>
        <v>21</v>
      </c>
      <c r="AN54" s="12">
        <f>INDEX(ovrTable25,MATCH(INDEX('Structured 2025'!teamCol,ROW()),ovrTeamCol25,0),MATCH(MID(INDEX('Structured 2025'!headerRow,1,COLUMN()),4,LEN(INDEX('Structured 2025'!headerRow,1,COLUMN()))),ovrHeaderRow25,0))</f>
        <v>1.55</v>
      </c>
      <c r="AO54" s="12">
        <f>INDEX(ovrTable25,MATCH(INDEX('Structured 2025'!teamCol,ROW()),ovrTeamCol25,0),MATCH(MID(INDEX('Structured 2025'!headerRow,1,COLUMN()),4,LEN(INDEX('Structured 2025'!headerRow,1,COLUMN()))),ovrHeaderRow25,0))</f>
        <v>16.3</v>
      </c>
      <c r="AP54" s="12">
        <f>INDEX(ovrTable25,MATCH(INDEX('Structured 2025'!teamCol,ROW()),ovrTeamCol25,0),MATCH(MID(INDEX('Structured 2025'!headerRow,1,COLUMN()),4,LEN(INDEX('Structured 2025'!headerRow,1,COLUMN()))),ovrHeaderRow25,0))</f>
        <v>25.94</v>
      </c>
      <c r="AQ54" s="12">
        <f>INDEX(ovrTable25,MATCH(INDEX('Structured 2025'!teamCol,ROW()),ovrTeamCol25,0),MATCH(MID(INDEX('Structured 2025'!headerRow,1,COLUMN()),4,LEN(INDEX('Structured 2025'!headerRow,1,COLUMN()))),ovrHeaderRow25,0))</f>
        <v>3.1</v>
      </c>
      <c r="AR54" s="12">
        <f>INDEX(ovrTable25,MATCH(INDEX('Structured 2025'!teamCol,ROW()),ovrTeamCol25,0),MATCH(MID(INDEX('Structured 2025'!headerRow,1,COLUMN()),4,LEN(INDEX('Structured 2025'!headerRow,1,COLUMN()))),ovrHeaderRow25,0))</f>
        <v>42.7</v>
      </c>
      <c r="AS54" s="12">
        <f>INDEX(ovrTable25,MATCH(INDEX('Structured 2025'!teamCol,ROW()),ovrTeamCol25,0),MATCH(MID(INDEX('Structured 2025'!headerRow,1,COLUMN()),4,LEN(INDEX('Structured 2025'!headerRow,1,COLUMN()))),ovrHeaderRow25,0))</f>
        <v>21.85</v>
      </c>
      <c r="AT54" s="12">
        <f>INDEX(ovrTable25,MATCH(INDEX('Structured 2025'!teamCol,ROW()),ovrTeamCol25,0),MATCH(MID(INDEX('Structured 2025'!headerRow,1,COLUMN()),4,LEN(INDEX('Structured 2025'!headerRow,1,COLUMN()))),ovrHeaderRow25,0))</f>
        <v>0.52800000000000002</v>
      </c>
      <c r="AU54" s="12">
        <f>INDEX(ovrTable25,MATCH(INDEX('Structured 2025'!teamCol,ROW()),ovrTeamCol25,0),MATCH(MID(INDEX('Structured 2025'!headerRow,1,COLUMN()),4,LEN(INDEX('Structured 2025'!headerRow,1,COLUMN()))),ovrHeaderRow25,0))</f>
        <v>8</v>
      </c>
      <c r="AV54" s="12">
        <f>INDEX(ovrTable25,MATCH(INDEX('Structured 2025'!teamCol,ROW()),ovrTeamCol25,0),MATCH(MID(INDEX('Structured 2025'!headerRow,1,COLUMN()),4,LEN(INDEX('Structured 2025'!headerRow,1,COLUMN()))),ovrHeaderRow25,0))</f>
        <v>46.4</v>
      </c>
      <c r="AW54" s="12">
        <f>INDEX(ovrTable25,MATCH(INDEX('Structured 2025'!teamCol,ROW()),ovrTeamCol25,0),MATCH(MID(INDEX('Structured 2025'!headerRow,1,COLUMN()),4,LEN(INDEX('Structured 2025'!headerRow,1,COLUMN()))),ovrHeaderRow25,0))</f>
        <v>17.2</v>
      </c>
      <c r="AX54" s="12">
        <f>INDEX(ovrTable25,MATCH(INDEX('Structured 2025'!teamCol,ROW()),ovrTeamCol25,0),MATCH(MID(INDEX('Structured 2025'!headerRow,1,COLUMN()),4,LEN(INDEX('Structured 2025'!headerRow,1,COLUMN()))),ovrHeaderRow25,0))</f>
        <v>71</v>
      </c>
      <c r="AY54" s="12">
        <f>INDEX(ovrTable25,MATCH(INDEX('Structured 2025'!teamCol,ROW()),ovrTeamCol25,0),MATCH(MID(INDEX('Structured 2025'!headerRow,1,COLUMN()),4,LEN(INDEX('Structured 2025'!headerRow,1,COLUMN()))),ovrHeaderRow25,0))</f>
        <v>18.600000000000001</v>
      </c>
      <c r="AZ54" s="12">
        <f>INDEX(ovrTable25,MATCH(INDEX('Structured 2025'!teamCol,ROW()),ovrTeamCol25,0),MATCH(MID(INDEX('Structured 2025'!headerRow,1,COLUMN()),4,LEN(INDEX('Structured 2025'!headerRow,1,COLUMN()))),ovrHeaderRow25,0))</f>
        <v>13.2</v>
      </c>
      <c r="BA54" s="12">
        <f>INDEX(ovrTable25,MATCH(INDEX('Structured 2025'!teamCol,ROW()),ovrTeamCol25,0),MATCH(MID(INDEX('Structured 2025'!headerRow,1,COLUMN()),4,LEN(INDEX('Structured 2025'!headerRow,1,COLUMN()))),ovrHeaderRow25,0))</f>
        <v>65.2</v>
      </c>
      <c r="BB54" s="12">
        <f>INDEX(ovrTable25,MATCH(INDEX('Structured 2025'!teamCol,ROW()),ovrTeamCol25,0),MATCH(MID(INDEX('Structured 2025'!headerRow,1,COLUMN()),4,LEN(INDEX('Structured 2025'!headerRow,1,COLUMN()))),ovrHeaderRow25,0))</f>
        <v>10.76</v>
      </c>
      <c r="BC54" s="12">
        <f>INDEX(ovrTable25,MATCH(INDEX('Structured 2025'!teamCol,ROW()),ovrTeamCol25,0),MATCH(MID(INDEX('Structured 2025'!headerRow,1,COLUMN()),4,LEN(INDEX('Structured 2025'!headerRow,1,COLUMN()))),ovrHeaderRow25,0))</f>
        <v>74.099999999999994</v>
      </c>
      <c r="BD54" s="12">
        <f>INDEX(ovrTable25,MATCH(INDEX('Structured 2025'!teamCol,ROW()),ovrTeamCol25,0),MATCH(MID(INDEX('Structured 2025'!headerRow,1,COLUMN()),4,LEN(INDEX('Structured 2025'!headerRow,1,COLUMN()))),ovrHeaderRow25,0))</f>
        <v>1.2</v>
      </c>
      <c r="BE54" s="12">
        <f>INDEX(ovrTable25,MATCH(INDEX('Structured 2025'!teamCol,ROW()),ovrTeamCol25,0),MATCH(MID(INDEX('Structured 2025'!headerRow,1,COLUMN()),4,LEN(INDEX('Structured 2025'!headerRow,1,COLUMN()))),ovrHeaderRow25,0))</f>
        <v>32.619999999999997</v>
      </c>
      <c r="BF54" s="12">
        <f>INDEX(ovrTable25,MATCH(INDEX('Structured 2025'!teamCol,ROW()),ovrTeamCol25,0),MATCH(MID(INDEX('Structured 2025'!headerRow,1,COLUMN()),4,LEN(INDEX('Structured 2025'!headerRow,1,COLUMN()))),ovrHeaderRow25,0))</f>
        <v>8.9</v>
      </c>
      <c r="BG54" s="12">
        <f>INDEX(ovrTable25,MATCH(INDEX('Structured 2025'!teamCol,ROW()),ovrTeamCol25,0),MATCH(MID(INDEX('Structured 2025'!headerRow,1,COLUMN()),4,LEN(INDEX('Structured 2025'!headerRow,1,COLUMN()))),ovrHeaderRow25,0))</f>
        <v>8.1</v>
      </c>
      <c r="BH54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BI54" s="12">
        <f>INDEX(ovrTable25,MATCH(INDEX('Structured 2025'!teamCol,ROW()),ovrTeamCol25,0),MATCH(MID(INDEX('Structured 2025'!headerRow,1,COLUMN()),4,LEN(INDEX('Structured 2025'!headerRow,1,COLUMN()))),ovrHeaderRow25,0))</f>
        <v>15.12</v>
      </c>
      <c r="BJ54" s="12">
        <f>INDEX(ovrTable25,MATCH(INDEX('Structured 2025'!teamCol,ROW()),ovrTeamCol25,0),MATCH(MID(INDEX('Structured 2025'!headerRow,1,COLUMN()),4,LEN(INDEX('Structured 2025'!headerRow,1,COLUMN()))),ovrHeaderRow25,0))</f>
        <v>10.6</v>
      </c>
      <c r="BK54" s="12">
        <f>INDEX(ovrTable25,MATCH(INDEX('Structured 2025'!teamCol,ROW()),ovrTeamCol25,0),MATCH(MID(INDEX('Structured 2025'!headerRow,1,COLUMN()),4,LEN(INDEX('Structured 2025'!headerRow,1,COLUMN()))),ovrHeaderRow25,0))</f>
        <v>65</v>
      </c>
      <c r="BL54" s="12">
        <f>INDEX(ovrTable25,MATCH(INDEX('Structured 2025'!teamCol,ROW()),ovrTeamCol25,0),MATCH(MID(INDEX('Structured 2025'!headerRow,1,COLUMN()),4,LEN(INDEX('Structured 2025'!headerRow,1,COLUMN()))),ovrHeaderRow25,0))</f>
        <v>19.349999999999994</v>
      </c>
      <c r="BM54" s="12">
        <f>INDEX(ovrTable25,MATCH(INDEX('Structured 2025'!teamCol,ROW()),ovrTeamCol25,0),MATCH(MID(INDEX('Structured 2025'!headerRow,1,COLUMN()),4,LEN(INDEX('Structured 2025'!headerRow,1,COLUMN()))),ovrHeaderRow25,0))</f>
        <v>57.650862068965502</v>
      </c>
      <c r="BN54" s="12">
        <f>INDEX(ovrTable25,MATCH(INDEX(oppCol,ROW()),ovrTeamCol25,0),MATCH(MID(INDEX('Structured 2025'!headerRow,1,COLUMN()),4,LEN(INDEX('Structured 2025'!headerRow,1,COLUMN()))),ovrHeaderRow25,0))</f>
        <v>34.1</v>
      </c>
      <c r="BO54" s="12">
        <f>INDEX(ovrTable25,MATCH(INDEX(oppCol,ROW()),ovrTeamCol25,0),MATCH(MID(INDEX('Structured 2025'!headerRow,1,COLUMN()),4,LEN(INDEX('Structured 2025'!headerRow,1,COLUMN()))),ovrHeaderRow25,0))</f>
        <v>8.8000000000000007</v>
      </c>
      <c r="BP54" s="12">
        <f>INDEX(ovrTable25,MATCH(INDEX(oppCol,ROW()),ovrTeamCol25,0),MATCH(MID(INDEX('Structured 2025'!headerRow,1,COLUMN()),4,LEN(INDEX('Structured 2025'!headerRow,1,COLUMN()))),ovrHeaderRow25,0))</f>
        <v>35.6</v>
      </c>
      <c r="BQ54" s="12">
        <f>INDEX(ovrTable25,MATCH(INDEX(oppCol,ROW()),ovrTeamCol25,0),MATCH(MID(INDEX('Structured 2025'!headerRow,1,COLUMN()),4,LEN(INDEX('Structured 2025'!headerRow,1,COLUMN()))),ovrHeaderRow25,0))</f>
        <v>24.8</v>
      </c>
      <c r="BR54" s="12">
        <f>INDEX(ovrTable25,MATCH(INDEX(oppCol,ROW()),ovrTeamCol25,0),MATCH(MID(INDEX('Structured 2025'!headerRow,1,COLUMN()),4,LEN(INDEX('Structured 2025'!headerRow,1,COLUMN()))),ovrHeaderRow25,0))</f>
        <v>1.6</v>
      </c>
      <c r="BS54" s="12">
        <f>INDEX(ovrTable25,MATCH(INDEX(oppCol,ROW()),ovrTeamCol25,0),MATCH(MID(INDEX('Structured 2025'!headerRow,1,COLUMN()),4,LEN(INDEX('Structured 2025'!headerRow,1,COLUMN()))),ovrHeaderRow25,0))</f>
        <v>17.100000000000001</v>
      </c>
      <c r="BT54" s="12">
        <f>INDEX(ovrTable25,MATCH(INDEX(oppCol,ROW()),ovrTeamCol25,0),MATCH(MID(INDEX('Structured 2025'!headerRow,1,COLUMN()),4,LEN(INDEX('Structured 2025'!headerRow,1,COLUMN()))),ovrHeaderRow25,0))</f>
        <v>27.68</v>
      </c>
      <c r="BU54" s="12">
        <f>INDEX(ovrTable25,MATCH(INDEX(oppCol,ROW()),ovrTeamCol25,0),MATCH(MID(INDEX('Structured 2025'!headerRow,1,COLUMN()),4,LEN(INDEX('Structured 2025'!headerRow,1,COLUMN()))),ovrHeaderRow25,0))</f>
        <v>2.8</v>
      </c>
      <c r="BV54" s="12">
        <f>INDEX(ovrTable25,MATCH(INDEX(oppCol,ROW()),ovrTeamCol25,0),MATCH(MID(INDEX('Structured 2025'!headerRow,1,COLUMN()),4,LEN(INDEX('Structured 2025'!headerRow,1,COLUMN()))),ovrHeaderRow25,0))</f>
        <v>44.1</v>
      </c>
      <c r="BW54" s="12">
        <f>INDEX(ovrTable25,MATCH(INDEX(oppCol,ROW()),ovrTeamCol25,0),MATCH(MID(INDEX('Structured 2025'!headerRow,1,COLUMN()),4,LEN(INDEX('Structured 2025'!headerRow,1,COLUMN()))),ovrHeaderRow25,0))</f>
        <v>23</v>
      </c>
      <c r="BX54" s="12">
        <f>INDEX(ovrTable25,MATCH(INDEX(oppCol,ROW()),ovrTeamCol25,0),MATCH(MID(INDEX('Structured 2025'!headerRow,1,COLUMN()),4,LEN(INDEX('Structured 2025'!headerRow,1,COLUMN()))),ovrHeaderRow25,0))</f>
        <v>0.56000000000000005</v>
      </c>
      <c r="BY54" s="12">
        <f>INDEX(ovrTable25,MATCH(INDEX(oppCol,ROW()),ovrTeamCol25,0),MATCH(MID(INDEX('Structured 2025'!headerRow,1,COLUMN()),4,LEN(INDEX('Structured 2025'!headerRow,1,COLUMN()))),ovrHeaderRow25,0))</f>
        <v>13.18</v>
      </c>
      <c r="BZ54" s="12">
        <f>INDEX(ovrTable25,MATCH(INDEX(oppCol,ROW()),ovrTeamCol25,0),MATCH(MID(INDEX('Structured 2025'!headerRow,1,COLUMN()),4,LEN(INDEX('Structured 2025'!headerRow,1,COLUMN()))),ovrHeaderRow25,0))</f>
        <v>48.4</v>
      </c>
      <c r="CA54" s="12">
        <f>INDEX(ovrTable25,MATCH(INDEX(oppCol,ROW()),ovrTeamCol25,0),MATCH(MID(INDEX('Structured 2025'!headerRow,1,COLUMN()),4,LEN(INDEX('Structured 2025'!headerRow,1,COLUMN()))),ovrHeaderRow25,0))</f>
        <v>18.100000000000001</v>
      </c>
      <c r="CB54" s="12">
        <f>INDEX(ovrTable25,MATCH(INDEX(oppCol,ROW()),ovrTeamCol25,0),MATCH(MID(INDEX('Structured 2025'!headerRow,1,COLUMN()),4,LEN(INDEX('Structured 2025'!headerRow,1,COLUMN()))),ovrHeaderRow25,0))</f>
        <v>70.2</v>
      </c>
      <c r="CC54" s="12">
        <f>INDEX(ovrTable25,MATCH(INDEX(oppCol,ROW()),ovrTeamCol25,0),MATCH(MID(INDEX('Structured 2025'!headerRow,1,COLUMN()),4,LEN(INDEX('Structured 2025'!headerRow,1,COLUMN()))),ovrHeaderRow25,0))</f>
        <v>21.4</v>
      </c>
      <c r="CD54" s="12">
        <f>INDEX(ovrTable25,MATCH(INDEX(oppCol,ROW()),ovrTeamCol25,0),MATCH(MID(INDEX('Structured 2025'!headerRow,1,COLUMN()),4,LEN(INDEX('Structured 2025'!headerRow,1,COLUMN()))),ovrHeaderRow25,0))</f>
        <v>15</v>
      </c>
      <c r="CE54" s="12">
        <f>INDEX(ovrTable25,MATCH(INDEX(oppCol,ROW()),ovrTeamCol25,0),MATCH(MID(INDEX('Structured 2025'!headerRow,1,COLUMN()),4,LEN(INDEX('Structured 2025'!headerRow,1,COLUMN()))),ovrHeaderRow25,0))</f>
        <v>70</v>
      </c>
      <c r="CF54" s="12">
        <f>INDEX(ovrTable25,MATCH(INDEX(oppCol,ROW()),ovrTeamCol25,0),MATCH(MID(INDEX('Structured 2025'!headerRow,1,COLUMN()),4,LEN(INDEX('Structured 2025'!headerRow,1,COLUMN()))),ovrHeaderRow25,0))</f>
        <v>11.62</v>
      </c>
      <c r="CG54" s="12">
        <f>INDEX(ovrTable25,MATCH(INDEX(oppCol,ROW()),ovrTeamCol25,0),MATCH(MID(INDEX('Structured 2025'!headerRow,1,COLUMN()),4,LEN(INDEX('Structured 2025'!headerRow,1,COLUMN()))),ovrHeaderRow25,0))</f>
        <v>79.900000000000006</v>
      </c>
      <c r="CH54" s="12">
        <f>INDEX(ovrTable25,MATCH(INDEX(oppCol,ROW()),ovrTeamCol25,0),MATCH(MID(INDEX('Structured 2025'!headerRow,1,COLUMN()),4,LEN(INDEX('Structured 2025'!headerRow,1,COLUMN()))),ovrHeaderRow25,0))</f>
        <v>2.9</v>
      </c>
      <c r="CI54" s="12">
        <f>INDEX(ovrTable25,MATCH(INDEX(oppCol,ROW()),ovrTeamCol25,0),MATCH(MID(INDEX('Structured 2025'!headerRow,1,COLUMN()),4,LEN(INDEX('Structured 2025'!headerRow,1,COLUMN()))),ovrHeaderRow25,0))</f>
        <v>34.619999999999997</v>
      </c>
      <c r="CJ54" s="12">
        <f>INDEX(ovrTable25,MATCH(INDEX(oppCol,ROW()),ovrTeamCol25,0),MATCH(MID(INDEX('Structured 2025'!headerRow,1,COLUMN()),4,LEN(INDEX('Structured 2025'!headerRow,1,COLUMN()))),ovrHeaderRow25,0))</f>
        <v>9.9</v>
      </c>
      <c r="CK54" s="12">
        <f>INDEX(ovrTable25,MATCH(INDEX(oppCol,ROW()),ovrTeamCol25,0),MATCH(MID(INDEX('Structured 2025'!headerRow,1,COLUMN()),4,LEN(INDEX('Structured 2025'!headerRow,1,COLUMN()))),ovrHeaderRow25,0))</f>
        <v>8.6</v>
      </c>
      <c r="CL54" s="12">
        <f>INDEX(ovrTable25,MATCH(INDEX(oppCol,ROW()),ovrTeamCol25,0),MATCH(MID(INDEX('Structured 2025'!headerRow,1,COLUMN()),4,LEN(INDEX('Structured 2025'!headerRow,1,COLUMN()))),ovrHeaderRow25,0))</f>
        <v>3.1</v>
      </c>
      <c r="CM54" s="12">
        <f>INDEX(ovrTable25,MATCH(INDEX(oppCol,ROW()),ovrTeamCol25,0),MATCH(MID(INDEX('Structured 2025'!headerRow,1,COLUMN()),4,LEN(INDEX('Structured 2025'!headerRow,1,COLUMN()))),ovrHeaderRow25,0))</f>
        <v>13.79</v>
      </c>
      <c r="CN54" s="12">
        <f>INDEX(ovrTable25,MATCH(INDEX(oppCol,ROW()),ovrTeamCol25,0),MATCH(MID(INDEX('Structured 2025'!headerRow,1,COLUMN()),4,LEN(INDEX('Structured 2025'!headerRow,1,COLUMN()))),ovrHeaderRow25,0))</f>
        <v>10.7</v>
      </c>
      <c r="CO54" s="12">
        <f>INDEX(ovrTable25,MATCH(INDEX(oppCol,ROW()),ovrTeamCol25,0),MATCH(MID(INDEX('Structured 2025'!headerRow,1,COLUMN()),4,LEN(INDEX('Structured 2025'!headerRow,1,COLUMN()))),ovrHeaderRow25,0))</f>
        <v>67.599999999999994</v>
      </c>
      <c r="CP54" s="12">
        <f>INDEX(ovrTable25,MATCH(INDEX(oppCol,ROW()),ovrTeamCol25,0),MATCH(MID(INDEX('Structured 2025'!headerRow,1,COLUMN()),4,LEN(INDEX('Structured 2025'!headerRow,1,COLUMN()))),ovrHeaderRow25,0))</f>
        <v>19.25</v>
      </c>
      <c r="CQ54" s="12">
        <f>INDEX(ovrTable25,MATCH(INDEX(oppCol,ROW()),ovrTeamCol25,0),MATCH(MID(INDEX('Structured 2025'!headerRow,1,COLUMN()),4,LEN(INDEX('Structured 2025'!headerRow,1,COLUMN()))),ovrHeaderRow25,0))</f>
        <v>57.954545454545453</v>
      </c>
    </row>
    <row r="55" spans="1:95" x14ac:dyDescent="0.3">
      <c r="A55" s="6" t="s">
        <v>61</v>
      </c>
      <c r="B55" s="3">
        <v>10</v>
      </c>
      <c r="C55" s="13" t="str">
        <f>A54</f>
        <v>UCLA</v>
      </c>
      <c r="D55" s="14">
        <f t="shared" si="26"/>
        <v>27</v>
      </c>
      <c r="E55" s="23">
        <v>0.41666666666666669</v>
      </c>
      <c r="F55" s="24">
        <v>30</v>
      </c>
      <c r="G55" s="24">
        <v>4</v>
      </c>
      <c r="H55" s="23">
        <v>12.903225806451612</v>
      </c>
      <c r="I55" s="24">
        <v>31</v>
      </c>
      <c r="J55" s="25">
        <v>0.81818181818181823</v>
      </c>
      <c r="K55" s="24">
        <v>7</v>
      </c>
      <c r="L55" s="24">
        <v>10</v>
      </c>
      <c r="M55" s="24">
        <v>16</v>
      </c>
      <c r="N55" s="24">
        <v>19</v>
      </c>
      <c r="O55" s="24">
        <v>9</v>
      </c>
      <c r="P55" s="24">
        <v>6</v>
      </c>
      <c r="Q55" s="24">
        <v>2</v>
      </c>
      <c r="R55" s="24">
        <v>11</v>
      </c>
      <c r="S55" s="24">
        <v>16</v>
      </c>
      <c r="T55" s="24">
        <v>11</v>
      </c>
      <c r="U55" s="24">
        <v>9</v>
      </c>
      <c r="V55" s="24">
        <v>0.48148148148148145</v>
      </c>
      <c r="W55" s="26">
        <v>0.33333333333333331</v>
      </c>
      <c r="X55" s="23">
        <v>70</v>
      </c>
      <c r="Y55" s="24">
        <v>72</v>
      </c>
      <c r="Z55" s="24">
        <v>47</v>
      </c>
      <c r="AA55" s="24">
        <v>-3</v>
      </c>
      <c r="AB55" s="24">
        <v>35</v>
      </c>
      <c r="AC55" s="24">
        <v>-25</v>
      </c>
      <c r="AD55" s="24">
        <v>-2</v>
      </c>
      <c r="AE55" s="24">
        <v>9</v>
      </c>
      <c r="AF55" s="34">
        <f t="shared" si="34"/>
        <v>14</v>
      </c>
      <c r="AG55" s="34">
        <f t="shared" si="35"/>
        <v>29</v>
      </c>
      <c r="AH55" s="46">
        <f t="shared" si="36"/>
        <v>59.75</v>
      </c>
      <c r="AI55" s="51">
        <f t="shared" ref="AI55" si="58">AVERAGE(AH54,AH55)</f>
        <v>59.25</v>
      </c>
      <c r="AJ55" s="12">
        <f>INDEX(ovrTable25,MATCH(INDEX('Structured 2025'!teamCol,ROW()),ovrTeamCol25,0),MATCH(MID(INDEX('Structured 2025'!headerRow,1,COLUMN()),4,LEN(INDEX('Structured 2025'!headerRow,1,COLUMN()))),ovrHeaderRow25,0))</f>
        <v>34.1</v>
      </c>
      <c r="AK55" s="12">
        <f>INDEX(ovrTable25,MATCH(INDEX('Structured 2025'!teamCol,ROW()),ovrTeamCol25,0),MATCH(MID(INDEX('Structured 2025'!headerRow,1,COLUMN()),4,LEN(INDEX('Structured 2025'!headerRow,1,COLUMN()))),ovrHeaderRow25,0))</f>
        <v>8.8000000000000007</v>
      </c>
      <c r="AL55" s="12">
        <f>INDEX(ovrTable25,MATCH(INDEX('Structured 2025'!teamCol,ROW()),ovrTeamCol25,0),MATCH(MID(INDEX('Structured 2025'!headerRow,1,COLUMN()),4,LEN(INDEX('Structured 2025'!headerRow,1,COLUMN()))),ovrHeaderRow25,0))</f>
        <v>35.6</v>
      </c>
      <c r="AM55" s="12">
        <f>INDEX(ovrTable25,MATCH(INDEX('Structured 2025'!teamCol,ROW()),ovrTeamCol25,0),MATCH(MID(INDEX('Structured 2025'!headerRow,1,COLUMN()),4,LEN(INDEX('Structured 2025'!headerRow,1,COLUMN()))),ovrHeaderRow25,0))</f>
        <v>24.8</v>
      </c>
      <c r="AN55" s="12">
        <f>INDEX(ovrTable25,MATCH(INDEX('Structured 2025'!teamCol,ROW()),ovrTeamCol25,0),MATCH(MID(INDEX('Structured 2025'!headerRow,1,COLUMN()),4,LEN(INDEX('Structured 2025'!headerRow,1,COLUMN()))),ovrHeaderRow25,0))</f>
        <v>1.6</v>
      </c>
      <c r="AO55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P55" s="12">
        <f>INDEX(ovrTable25,MATCH(INDEX('Structured 2025'!teamCol,ROW()),ovrTeamCol25,0),MATCH(MID(INDEX('Structured 2025'!headerRow,1,COLUMN()),4,LEN(INDEX('Structured 2025'!headerRow,1,COLUMN()))),ovrHeaderRow25,0))</f>
        <v>27.68</v>
      </c>
      <c r="AQ55" s="12">
        <f>INDEX(ovrTable25,MATCH(INDEX('Structured 2025'!teamCol,ROW()),ovrTeamCol25,0),MATCH(MID(INDEX('Structured 2025'!headerRow,1,COLUMN()),4,LEN(INDEX('Structured 2025'!headerRow,1,COLUMN()))),ovrHeaderRow25,0))</f>
        <v>2.8</v>
      </c>
      <c r="AR55" s="12">
        <f>INDEX(ovrTable25,MATCH(INDEX('Structured 2025'!teamCol,ROW()),ovrTeamCol25,0),MATCH(MID(INDEX('Structured 2025'!headerRow,1,COLUMN()),4,LEN(INDEX('Structured 2025'!headerRow,1,COLUMN()))),ovrHeaderRow25,0))</f>
        <v>44.1</v>
      </c>
      <c r="AS55" s="12">
        <f>INDEX(ovrTable25,MATCH(INDEX('Structured 2025'!teamCol,ROW()),ovrTeamCol25,0),MATCH(MID(INDEX('Structured 2025'!headerRow,1,COLUMN()),4,LEN(INDEX('Structured 2025'!headerRow,1,COLUMN()))),ovrHeaderRow25,0))</f>
        <v>23</v>
      </c>
      <c r="AT55" s="12">
        <f>INDEX(ovrTable25,MATCH(INDEX('Structured 2025'!teamCol,ROW()),ovrTeamCol25,0),MATCH(MID(INDEX('Structured 2025'!headerRow,1,COLUMN()),4,LEN(INDEX('Structured 2025'!headerRow,1,COLUMN()))),ovrHeaderRow25,0))</f>
        <v>0.56000000000000005</v>
      </c>
      <c r="AU55" s="12">
        <f>INDEX(ovrTable25,MATCH(INDEX('Structured 2025'!teamCol,ROW()),ovrTeamCol25,0),MATCH(MID(INDEX('Structured 2025'!headerRow,1,COLUMN()),4,LEN(INDEX('Structured 2025'!headerRow,1,COLUMN()))),ovrHeaderRow25,0))</f>
        <v>13.18</v>
      </c>
      <c r="AV55" s="12">
        <f>INDEX(ovrTable25,MATCH(INDEX('Structured 2025'!teamCol,ROW()),ovrTeamCol25,0),MATCH(MID(INDEX('Structured 2025'!headerRow,1,COLUMN()),4,LEN(INDEX('Structured 2025'!headerRow,1,COLUMN()))),ovrHeaderRow25,0))</f>
        <v>48.4</v>
      </c>
      <c r="AW55" s="12">
        <f>INDEX(ovrTable25,MATCH(INDEX('Structured 2025'!teamCol,ROW()),ovrTeamCol25,0),MATCH(MID(INDEX('Structured 2025'!headerRow,1,COLUMN()),4,LEN(INDEX('Structured 2025'!headerRow,1,COLUMN()))),ovrHeaderRow25,0))</f>
        <v>18.100000000000001</v>
      </c>
      <c r="AX55" s="12">
        <f>INDEX(ovrTable25,MATCH(INDEX('Structured 2025'!teamCol,ROW()),ovrTeamCol25,0),MATCH(MID(INDEX('Structured 2025'!headerRow,1,COLUMN()),4,LEN(INDEX('Structured 2025'!headerRow,1,COLUMN()))),ovrHeaderRow25,0))</f>
        <v>70.2</v>
      </c>
      <c r="AY55" s="12">
        <f>INDEX(ovrTable25,MATCH(INDEX('Structured 2025'!teamCol,ROW()),ovrTeamCol25,0),MATCH(MID(INDEX('Structured 2025'!headerRow,1,COLUMN()),4,LEN(INDEX('Structured 2025'!headerRow,1,COLUMN()))),ovrHeaderRow25,0))</f>
        <v>21.4</v>
      </c>
      <c r="AZ55" s="12">
        <f>INDEX(ovrTable25,MATCH(INDEX('Structured 2025'!teamCol,ROW()),ovrTeamCol25,0),MATCH(MID(INDEX('Structured 2025'!headerRow,1,COLUMN()),4,LEN(INDEX('Structured 2025'!headerRow,1,COLUMN()))),ovrHeaderRow25,0))</f>
        <v>15</v>
      </c>
      <c r="BA55" s="12">
        <f>INDEX(ovrTable25,MATCH(INDEX('Structured 2025'!teamCol,ROW()),ovrTeamCol25,0),MATCH(MID(INDEX('Structured 2025'!headerRow,1,COLUMN()),4,LEN(INDEX('Structured 2025'!headerRow,1,COLUMN()))),ovrHeaderRow25,0))</f>
        <v>70</v>
      </c>
      <c r="BB55" s="12">
        <f>INDEX(ovrTable25,MATCH(INDEX('Structured 2025'!teamCol,ROW()),ovrTeamCol25,0),MATCH(MID(INDEX('Structured 2025'!headerRow,1,COLUMN()),4,LEN(INDEX('Structured 2025'!headerRow,1,COLUMN()))),ovrHeaderRow25,0))</f>
        <v>11.62</v>
      </c>
      <c r="BC55" s="12">
        <f>INDEX(ovrTable25,MATCH(INDEX('Structured 2025'!teamCol,ROW()),ovrTeamCol25,0),MATCH(MID(INDEX('Structured 2025'!headerRow,1,COLUMN()),4,LEN(INDEX('Structured 2025'!headerRow,1,COLUMN()))),ovrHeaderRow25,0))</f>
        <v>79.900000000000006</v>
      </c>
      <c r="BD55" s="12">
        <f>INDEX(ovrTable25,MATCH(INDEX('Structured 2025'!teamCol,ROW()),ovrTeamCol25,0),MATCH(MID(INDEX('Structured 2025'!headerRow,1,COLUMN()),4,LEN(INDEX('Structured 2025'!headerRow,1,COLUMN()))),ovrHeaderRow25,0))</f>
        <v>2.9</v>
      </c>
      <c r="BE55" s="12">
        <f>INDEX(ovrTable25,MATCH(INDEX('Structured 2025'!teamCol,ROW()),ovrTeamCol25,0),MATCH(MID(INDEX('Structured 2025'!headerRow,1,COLUMN()),4,LEN(INDEX('Structured 2025'!headerRow,1,COLUMN()))),ovrHeaderRow25,0))</f>
        <v>34.619999999999997</v>
      </c>
      <c r="BF55" s="12">
        <f>INDEX(ovrTable25,MATCH(INDEX('Structured 2025'!teamCol,ROW()),ovrTeamCol25,0),MATCH(MID(INDEX('Structured 2025'!headerRow,1,COLUMN()),4,LEN(INDEX('Structured 2025'!headerRow,1,COLUMN()))),ovrHeaderRow25,0))</f>
        <v>9.9</v>
      </c>
      <c r="BG55" s="12">
        <f>INDEX(ovrTable25,MATCH(INDEX('Structured 2025'!teamCol,ROW()),ovrTeamCol25,0),MATCH(MID(INDEX('Structured 2025'!headerRow,1,COLUMN()),4,LEN(INDEX('Structured 2025'!headerRow,1,COLUMN()))),ovrHeaderRow25,0))</f>
        <v>8.6</v>
      </c>
      <c r="BH55" s="12">
        <f>INDEX(ovrTable25,MATCH(INDEX('Structured 2025'!teamCol,ROW()),ovrTeamCol25,0),MATCH(MID(INDEX('Structured 2025'!headerRow,1,COLUMN()),4,LEN(INDEX('Structured 2025'!headerRow,1,COLUMN()))),ovrHeaderRow25,0))</f>
        <v>3.1</v>
      </c>
      <c r="BI55" s="12">
        <f>INDEX(ovrTable25,MATCH(INDEX('Structured 2025'!teamCol,ROW()),ovrTeamCol25,0),MATCH(MID(INDEX('Structured 2025'!headerRow,1,COLUMN()),4,LEN(INDEX('Structured 2025'!headerRow,1,COLUMN()))),ovrHeaderRow25,0))</f>
        <v>13.79</v>
      </c>
      <c r="BJ55" s="12">
        <f>INDEX(ovrTable25,MATCH(INDEX('Structured 2025'!teamCol,ROW()),ovrTeamCol25,0),MATCH(MID(INDEX('Structured 2025'!headerRow,1,COLUMN()),4,LEN(INDEX('Structured 2025'!headerRow,1,COLUMN()))),ovrHeaderRow25,0))</f>
        <v>10.7</v>
      </c>
      <c r="BK55" s="12">
        <f>INDEX(ovrTable25,MATCH(INDEX('Structured 2025'!teamCol,ROW()),ovrTeamCol25,0),MATCH(MID(INDEX('Structured 2025'!headerRow,1,COLUMN()),4,LEN(INDEX('Structured 2025'!headerRow,1,COLUMN()))),ovrHeaderRow25,0))</f>
        <v>67.599999999999994</v>
      </c>
      <c r="BL55" s="12">
        <f>INDEX(ovrTable25,MATCH(INDEX('Structured 2025'!teamCol,ROW()),ovrTeamCol25,0),MATCH(MID(INDEX('Structured 2025'!headerRow,1,COLUMN()),4,LEN(INDEX('Structured 2025'!headerRow,1,COLUMN()))),ovrHeaderRow25,0))</f>
        <v>19.25</v>
      </c>
      <c r="BM55" s="12">
        <f>INDEX(ovrTable25,MATCH(INDEX('Structured 2025'!teamCol,ROW()),ovrTeamCol25,0),MATCH(MID(INDEX('Structured 2025'!headerRow,1,COLUMN()),4,LEN(INDEX('Structured 2025'!headerRow,1,COLUMN()))),ovrHeaderRow25,0))</f>
        <v>57.954545454545453</v>
      </c>
      <c r="BN55" s="12">
        <f>INDEX(ovrTable25,MATCH(INDEX(oppCol,ROW()),ovrTeamCol25,0),MATCH(MID(INDEX('Structured 2025'!headerRow,1,COLUMN()),4,LEN(INDEX('Structured 2025'!headerRow,1,COLUMN()))),ovrHeaderRow25,0))</f>
        <v>32.799999999999997</v>
      </c>
      <c r="BO55" s="12">
        <f>INDEX(ovrTable25,MATCH(INDEX(oppCol,ROW()),ovrTeamCol25,0),MATCH(MID(INDEX('Structured 2025'!headerRow,1,COLUMN()),4,LEN(INDEX('Structured 2025'!headerRow,1,COLUMN()))),ovrHeaderRow25,0))</f>
        <v>7.4</v>
      </c>
      <c r="BP55" s="12">
        <f>INDEX(ovrTable25,MATCH(INDEX(oppCol,ROW()),ovrTeamCol25,0),MATCH(MID(INDEX('Structured 2025'!headerRow,1,COLUMN()),4,LEN(INDEX('Structured 2025'!headerRow,1,COLUMN()))),ovrHeaderRow25,0))</f>
        <v>35.200000000000003</v>
      </c>
      <c r="BQ55" s="12">
        <f>INDEX(ovrTable25,MATCH(INDEX(oppCol,ROW()),ovrTeamCol25,0),MATCH(MID(INDEX('Structured 2025'!headerRow,1,COLUMN()),4,LEN(INDEX('Structured 2025'!headerRow,1,COLUMN()))),ovrHeaderRow25,0))</f>
        <v>21</v>
      </c>
      <c r="BR55" s="12">
        <f>INDEX(ovrTable25,MATCH(INDEX(oppCol,ROW()),ovrTeamCol25,0),MATCH(MID(INDEX('Structured 2025'!headerRow,1,COLUMN()),4,LEN(INDEX('Structured 2025'!headerRow,1,COLUMN()))),ovrHeaderRow25,0))</f>
        <v>1.55</v>
      </c>
      <c r="BS55" s="12">
        <f>INDEX(ovrTable25,MATCH(INDEX(oppCol,ROW()),ovrTeamCol25,0),MATCH(MID(INDEX('Structured 2025'!headerRow,1,COLUMN()),4,LEN(INDEX('Structured 2025'!headerRow,1,COLUMN()))),ovrHeaderRow25,0))</f>
        <v>16.3</v>
      </c>
      <c r="BT55" s="12">
        <f>INDEX(ovrTable25,MATCH(INDEX(oppCol,ROW()),ovrTeamCol25,0),MATCH(MID(INDEX('Structured 2025'!headerRow,1,COLUMN()),4,LEN(INDEX('Structured 2025'!headerRow,1,COLUMN()))),ovrHeaderRow25,0))</f>
        <v>25.94</v>
      </c>
      <c r="BU55" s="12">
        <f>INDEX(ovrTable25,MATCH(INDEX(oppCol,ROW()),ovrTeamCol25,0),MATCH(MID(INDEX('Structured 2025'!headerRow,1,COLUMN()),4,LEN(INDEX('Structured 2025'!headerRow,1,COLUMN()))),ovrHeaderRow25,0))</f>
        <v>3.1</v>
      </c>
      <c r="BV55" s="12">
        <f>INDEX(ovrTable25,MATCH(INDEX(oppCol,ROW()),ovrTeamCol25,0),MATCH(MID(INDEX('Structured 2025'!headerRow,1,COLUMN()),4,LEN(INDEX('Structured 2025'!headerRow,1,COLUMN()))),ovrHeaderRow25,0))</f>
        <v>42.7</v>
      </c>
      <c r="BW55" s="12">
        <f>INDEX(ovrTable25,MATCH(INDEX(oppCol,ROW()),ovrTeamCol25,0),MATCH(MID(INDEX('Structured 2025'!headerRow,1,COLUMN()),4,LEN(INDEX('Structured 2025'!headerRow,1,COLUMN()))),ovrHeaderRow25,0))</f>
        <v>21.85</v>
      </c>
      <c r="BX55" s="12">
        <f>INDEX(ovrTable25,MATCH(INDEX(oppCol,ROW()),ovrTeamCol25,0),MATCH(MID(INDEX('Structured 2025'!headerRow,1,COLUMN()),4,LEN(INDEX('Structured 2025'!headerRow,1,COLUMN()))),ovrHeaderRow25,0))</f>
        <v>0.52800000000000002</v>
      </c>
      <c r="BY55" s="12">
        <f>INDEX(ovrTable25,MATCH(INDEX(oppCol,ROW()),ovrTeamCol25,0),MATCH(MID(INDEX('Structured 2025'!headerRow,1,COLUMN()),4,LEN(INDEX('Structured 2025'!headerRow,1,COLUMN()))),ovrHeaderRow25,0))</f>
        <v>8</v>
      </c>
      <c r="BZ55" s="12">
        <f>INDEX(ovrTable25,MATCH(INDEX(oppCol,ROW()),ovrTeamCol25,0),MATCH(MID(INDEX('Structured 2025'!headerRow,1,COLUMN()),4,LEN(INDEX('Structured 2025'!headerRow,1,COLUMN()))),ovrHeaderRow25,0))</f>
        <v>46.4</v>
      </c>
      <c r="CA55" s="12">
        <f>INDEX(ovrTable25,MATCH(INDEX(oppCol,ROW()),ovrTeamCol25,0),MATCH(MID(INDEX('Structured 2025'!headerRow,1,COLUMN()),4,LEN(INDEX('Structured 2025'!headerRow,1,COLUMN()))),ovrHeaderRow25,0))</f>
        <v>17.2</v>
      </c>
      <c r="CB55" s="12">
        <f>INDEX(ovrTable25,MATCH(INDEX(oppCol,ROW()),ovrTeamCol25,0),MATCH(MID(INDEX('Structured 2025'!headerRow,1,COLUMN()),4,LEN(INDEX('Structured 2025'!headerRow,1,COLUMN()))),ovrHeaderRow25,0))</f>
        <v>71</v>
      </c>
      <c r="CC55" s="12">
        <f>INDEX(ovrTable25,MATCH(INDEX(oppCol,ROW()),ovrTeamCol25,0),MATCH(MID(INDEX('Structured 2025'!headerRow,1,COLUMN()),4,LEN(INDEX('Structured 2025'!headerRow,1,COLUMN()))),ovrHeaderRow25,0))</f>
        <v>18.600000000000001</v>
      </c>
      <c r="CD55" s="12">
        <f>INDEX(ovrTable25,MATCH(INDEX(oppCol,ROW()),ovrTeamCol25,0),MATCH(MID(INDEX('Structured 2025'!headerRow,1,COLUMN()),4,LEN(INDEX('Structured 2025'!headerRow,1,COLUMN()))),ovrHeaderRow25,0))</f>
        <v>13.2</v>
      </c>
      <c r="CE55" s="12">
        <f>INDEX(ovrTable25,MATCH(INDEX(oppCol,ROW()),ovrTeamCol25,0),MATCH(MID(INDEX('Structured 2025'!headerRow,1,COLUMN()),4,LEN(INDEX('Structured 2025'!headerRow,1,COLUMN()))),ovrHeaderRow25,0))</f>
        <v>65.2</v>
      </c>
      <c r="CF55" s="12">
        <f>INDEX(ovrTable25,MATCH(INDEX(oppCol,ROW()),ovrTeamCol25,0),MATCH(MID(INDEX('Structured 2025'!headerRow,1,COLUMN()),4,LEN(INDEX('Structured 2025'!headerRow,1,COLUMN()))),ovrHeaderRow25,0))</f>
        <v>10.76</v>
      </c>
      <c r="CG55" s="12">
        <f>INDEX(ovrTable25,MATCH(INDEX(oppCol,ROW()),ovrTeamCol25,0),MATCH(MID(INDEX('Structured 2025'!headerRow,1,COLUMN()),4,LEN(INDEX('Structured 2025'!headerRow,1,COLUMN()))),ovrHeaderRow25,0))</f>
        <v>74.099999999999994</v>
      </c>
      <c r="CH55" s="12">
        <f>INDEX(ovrTable25,MATCH(INDEX(oppCol,ROW()),ovrTeamCol25,0),MATCH(MID(INDEX('Structured 2025'!headerRow,1,COLUMN()),4,LEN(INDEX('Structured 2025'!headerRow,1,COLUMN()))),ovrHeaderRow25,0))</f>
        <v>1.2</v>
      </c>
      <c r="CI55" s="12">
        <f>INDEX(ovrTable25,MATCH(INDEX(oppCol,ROW()),ovrTeamCol25,0),MATCH(MID(INDEX('Structured 2025'!headerRow,1,COLUMN()),4,LEN(INDEX('Structured 2025'!headerRow,1,COLUMN()))),ovrHeaderRow25,0))</f>
        <v>32.619999999999997</v>
      </c>
      <c r="CJ55" s="12">
        <f>INDEX(ovrTable25,MATCH(INDEX(oppCol,ROW()),ovrTeamCol25,0),MATCH(MID(INDEX('Structured 2025'!headerRow,1,COLUMN()),4,LEN(INDEX('Structured 2025'!headerRow,1,COLUMN()))),ovrHeaderRow25,0))</f>
        <v>8.9</v>
      </c>
      <c r="CK55" s="12">
        <f>INDEX(ovrTable25,MATCH(INDEX(oppCol,ROW()),ovrTeamCol25,0),MATCH(MID(INDEX('Structured 2025'!headerRow,1,COLUMN()),4,LEN(INDEX('Structured 2025'!headerRow,1,COLUMN()))),ovrHeaderRow25,0))</f>
        <v>8.1</v>
      </c>
      <c r="CL55" s="12">
        <f>INDEX(ovrTable25,MATCH(INDEX(oppCol,ROW()),ovrTeamCol25,0),MATCH(MID(INDEX('Structured 2025'!headerRow,1,COLUMN()),4,LEN(INDEX('Structured 2025'!headerRow,1,COLUMN()))),ovrHeaderRow25,0))</f>
        <v>4.5999999999999996</v>
      </c>
      <c r="CM55" s="12">
        <f>INDEX(ovrTable25,MATCH(INDEX(oppCol,ROW()),ovrTeamCol25,0),MATCH(MID(INDEX('Structured 2025'!headerRow,1,COLUMN()),4,LEN(INDEX('Structured 2025'!headerRow,1,COLUMN()))),ovrHeaderRow25,0))</f>
        <v>15.12</v>
      </c>
      <c r="CN55" s="12">
        <f>INDEX(ovrTable25,MATCH(INDEX(oppCol,ROW()),ovrTeamCol25,0),MATCH(MID(INDEX('Structured 2025'!headerRow,1,COLUMN()),4,LEN(INDEX('Structured 2025'!headerRow,1,COLUMN()))),ovrHeaderRow25,0))</f>
        <v>10.6</v>
      </c>
      <c r="CO55" s="12">
        <f>INDEX(ovrTable25,MATCH(INDEX(oppCol,ROW()),ovrTeamCol25,0),MATCH(MID(INDEX('Structured 2025'!headerRow,1,COLUMN()),4,LEN(INDEX('Structured 2025'!headerRow,1,COLUMN()))),ovrHeaderRow25,0))</f>
        <v>65</v>
      </c>
      <c r="CP55" s="12">
        <f>INDEX(ovrTable25,MATCH(INDEX(oppCol,ROW()),ovrTeamCol25,0),MATCH(MID(INDEX('Structured 2025'!headerRow,1,COLUMN()),4,LEN(INDEX('Structured 2025'!headerRow,1,COLUMN()))),ovrHeaderRow25,0))</f>
        <v>19.349999999999994</v>
      </c>
      <c r="CQ55" s="12">
        <f>INDEX(ovrTable25,MATCH(INDEX(oppCol,ROW()),ovrTeamCol25,0),MATCH(MID(INDEX('Structured 2025'!headerRow,1,COLUMN()),4,LEN(INDEX('Structured 2025'!headerRow,1,COLUMN()))),ovrHeaderRow25,0))</f>
        <v>57.650862068965502</v>
      </c>
    </row>
    <row r="56" spans="1:95" x14ac:dyDescent="0.3">
      <c r="A56" s="6" t="s">
        <v>55</v>
      </c>
      <c r="B56" s="3">
        <v>2</v>
      </c>
      <c r="C56" s="13" t="str">
        <f>A57</f>
        <v>WOF</v>
      </c>
      <c r="D56" s="14">
        <f t="shared" si="26"/>
        <v>28</v>
      </c>
      <c r="E56" s="23">
        <v>0.42307692307692307</v>
      </c>
      <c r="F56" s="24">
        <v>48.148148148148145</v>
      </c>
      <c r="G56" s="24">
        <v>10</v>
      </c>
      <c r="H56" s="23">
        <v>35.714285714285715</v>
      </c>
      <c r="I56" s="24">
        <v>28</v>
      </c>
      <c r="J56" s="25">
        <v>2.5</v>
      </c>
      <c r="K56" s="24">
        <v>15</v>
      </c>
      <c r="L56" s="24">
        <v>22</v>
      </c>
      <c r="M56" s="24">
        <v>9</v>
      </c>
      <c r="N56" s="24">
        <v>22</v>
      </c>
      <c r="O56" s="24">
        <v>15</v>
      </c>
      <c r="P56" s="24">
        <v>9</v>
      </c>
      <c r="Q56" s="24">
        <v>3</v>
      </c>
      <c r="R56" s="24">
        <v>6</v>
      </c>
      <c r="S56" s="24">
        <v>3</v>
      </c>
      <c r="T56" s="24">
        <v>14</v>
      </c>
      <c r="U56" s="24">
        <v>15</v>
      </c>
      <c r="V56" s="24">
        <v>0.41818181818181815</v>
      </c>
      <c r="W56" s="26">
        <v>0.57407407407407407</v>
      </c>
      <c r="X56" s="23">
        <v>68.181818181818173</v>
      </c>
      <c r="Y56" s="24">
        <v>62</v>
      </c>
      <c r="Z56" s="24">
        <v>77</v>
      </c>
      <c r="AA56" s="24">
        <v>0</v>
      </c>
      <c r="AB56" s="24">
        <v>31</v>
      </c>
      <c r="AC56" s="24">
        <v>15</v>
      </c>
      <c r="AD56" s="24">
        <v>5</v>
      </c>
      <c r="AE56" s="24">
        <v>11</v>
      </c>
      <c r="AF56" s="34">
        <f t="shared" si="34"/>
        <v>16</v>
      </c>
      <c r="AG56" s="34">
        <f t="shared" si="35"/>
        <v>26</v>
      </c>
      <c r="AH56" s="46">
        <f t="shared" si="36"/>
        <v>61.45</v>
      </c>
      <c r="AI56" s="51">
        <f t="shared" ref="AI56" si="59">AVERAGE(AH56,AH57)</f>
        <v>60.362499999999997</v>
      </c>
      <c r="AJ56" s="12">
        <f>INDEX(ovrTable25,MATCH(INDEX('Structured 2025'!teamCol,ROW()),ovrTeamCol25,0),MATCH(MID(INDEX('Structured 2025'!headerRow,1,COLUMN()),4,LEN(INDEX('Structured 2025'!headerRow,1,COLUMN()))),ovrHeaderRow25,0))</f>
        <v>28.7</v>
      </c>
      <c r="AK56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56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M56" s="12">
        <f>INDEX(ovrTable25,MATCH(INDEX('Structured 2025'!teamCol,ROW()),ovrTeamCol25,0),MATCH(MID(INDEX('Structured 2025'!headerRow,1,COLUMN()),4,LEN(INDEX('Structured 2025'!headerRow,1,COLUMN()))),ovrHeaderRow25,0))</f>
        <v>24.4</v>
      </c>
      <c r="AN56" s="12">
        <f>INDEX(ovrTable25,MATCH(INDEX('Structured 2025'!teamCol,ROW()),ovrTeamCol25,0),MATCH(MID(INDEX('Structured 2025'!headerRow,1,COLUMN()),4,LEN(INDEX('Structured 2025'!headerRow,1,COLUMN()))),ovrHeaderRow25,0))</f>
        <v>1.48</v>
      </c>
      <c r="AO56" s="12">
        <f>INDEX(ovrTable25,MATCH(INDEX('Structured 2025'!teamCol,ROW()),ovrTeamCol25,0),MATCH(MID(INDEX('Structured 2025'!headerRow,1,COLUMN()),4,LEN(INDEX('Structured 2025'!headerRow,1,COLUMN()))),ovrHeaderRow25,0))</f>
        <v>15.4</v>
      </c>
      <c r="AP56" s="12">
        <f>INDEX(ovrTable25,MATCH(INDEX('Structured 2025'!teamCol,ROW()),ovrTeamCol25,0),MATCH(MID(INDEX('Structured 2025'!headerRow,1,COLUMN()),4,LEN(INDEX('Structured 2025'!headerRow,1,COLUMN()))),ovrHeaderRow25,0))</f>
        <v>19.920000000000002</v>
      </c>
      <c r="AQ56" s="12">
        <f>INDEX(ovrTable25,MATCH(INDEX('Structured 2025'!teamCol,ROW()),ovrTeamCol25,0),MATCH(MID(INDEX('Structured 2025'!headerRow,1,COLUMN()),4,LEN(INDEX('Structured 2025'!headerRow,1,COLUMN()))),ovrHeaderRow25,0))</f>
        <v>4.8</v>
      </c>
      <c r="AR56" s="12">
        <f>INDEX(ovrTable25,MATCH(INDEX('Structured 2025'!teamCol,ROW()),ovrTeamCol25,0),MATCH(MID(INDEX('Structured 2025'!headerRow,1,COLUMN()),4,LEN(INDEX('Structured 2025'!headerRow,1,COLUMN()))),ovrHeaderRow25,0))</f>
        <v>38.6</v>
      </c>
      <c r="AS56" s="12">
        <f>INDEX(ovrTable25,MATCH(INDEX('Structured 2025'!teamCol,ROW()),ovrTeamCol25,0),MATCH(MID(INDEX('Structured 2025'!headerRow,1,COLUMN()),4,LEN(INDEX('Structured 2025'!headerRow,1,COLUMN()))),ovrHeaderRow25,0))</f>
        <v>24.87</v>
      </c>
      <c r="AT56" s="12">
        <f>INDEX(ovrTable25,MATCH(INDEX('Structured 2025'!teamCol,ROW()),ovrTeamCol25,0),MATCH(MID(INDEX('Structured 2025'!headerRow,1,COLUMN()),4,LEN(INDEX('Structured 2025'!headerRow,1,COLUMN()))),ovrHeaderRow25,0))</f>
        <v>0.52500000000000002</v>
      </c>
      <c r="AU56" s="12">
        <f>INDEX(ovrTable25,MATCH(INDEX('Structured 2025'!teamCol,ROW()),ovrTeamCol25,0),MATCH(MID(INDEX('Structured 2025'!headerRow,1,COLUMN()),4,LEN(INDEX('Structured 2025'!headerRow,1,COLUMN()))),ovrHeaderRow25,0))</f>
        <v>7.66</v>
      </c>
      <c r="AV56" s="12">
        <f>INDEX(ovrTable25,MATCH(INDEX('Structured 2025'!teamCol,ROW()),ovrTeamCol25,0),MATCH(MID(INDEX('Structured 2025'!headerRow,1,COLUMN()),4,LEN(INDEX('Structured 2025'!headerRow,1,COLUMN()))),ovrHeaderRow25,0))</f>
        <v>45.2</v>
      </c>
      <c r="AW56" s="12">
        <f>INDEX(ovrTable25,MATCH(INDEX('Structured 2025'!teamCol,ROW()),ovrTeamCol25,0),MATCH(MID(INDEX('Structured 2025'!headerRow,1,COLUMN()),4,LEN(INDEX('Structured 2025'!headerRow,1,COLUMN()))),ovrHeaderRow25,0))</f>
        <v>15.2</v>
      </c>
      <c r="AX56" s="12">
        <f>INDEX(ovrTable25,MATCH(INDEX('Structured 2025'!teamCol,ROW()),ovrTeamCol25,0),MATCH(MID(INDEX('Structured 2025'!headerRow,1,COLUMN()),4,LEN(INDEX('Structured 2025'!headerRow,1,COLUMN()))),ovrHeaderRow25,0))</f>
        <v>74.5</v>
      </c>
      <c r="AY56" s="12">
        <f>INDEX(ovrTable25,MATCH(INDEX('Structured 2025'!teamCol,ROW()),ovrTeamCol25,0),MATCH(MID(INDEX('Structured 2025'!headerRow,1,COLUMN()),4,LEN(INDEX('Structured 2025'!headerRow,1,COLUMN()))),ovrHeaderRow25,0))</f>
        <v>20</v>
      </c>
      <c r="AZ56" s="12">
        <f>INDEX(ovrTable25,MATCH(INDEX('Structured 2025'!teamCol,ROW()),ovrTeamCol25,0),MATCH(MID(INDEX('Structured 2025'!headerRow,1,COLUMN()),4,LEN(INDEX('Structured 2025'!headerRow,1,COLUMN()))),ovrHeaderRow25,0))</f>
        <v>14.9</v>
      </c>
      <c r="BA56" s="12">
        <f>INDEX(ovrTable25,MATCH(INDEX('Structured 2025'!teamCol,ROW()),ovrTeamCol25,0),MATCH(MID(INDEX('Structured 2025'!headerRow,1,COLUMN()),4,LEN(INDEX('Structured 2025'!headerRow,1,COLUMN()))),ovrHeaderRow25,0))</f>
        <v>63</v>
      </c>
      <c r="BB56" s="12">
        <f>INDEX(ovrTable25,MATCH(INDEX('Structured 2025'!teamCol,ROW()),ovrTeamCol25,0),MATCH(MID(INDEX('Structured 2025'!headerRow,1,COLUMN()),4,LEN(INDEX('Structured 2025'!headerRow,1,COLUMN()))),ovrHeaderRow25,0))</f>
        <v>11.5</v>
      </c>
      <c r="BC56" s="12">
        <f>INDEX(ovrTable25,MATCH(INDEX('Structured 2025'!teamCol,ROW()),ovrTeamCol25,0),MATCH(MID(INDEX('Structured 2025'!headerRow,1,COLUMN()),4,LEN(INDEX('Structured 2025'!headerRow,1,COLUMN()))),ovrHeaderRow25,0))</f>
        <v>74</v>
      </c>
      <c r="BD56" s="12">
        <f>INDEX(ovrTable25,MATCH(INDEX('Structured 2025'!teamCol,ROW()),ovrTeamCol25,0),MATCH(MID(INDEX('Structured 2025'!headerRow,1,COLUMN()),4,LEN(INDEX('Structured 2025'!headerRow,1,COLUMN()))),ovrHeaderRow25,0))</f>
        <v>4.7</v>
      </c>
      <c r="BE56" s="12">
        <f>INDEX(ovrTable25,MATCH(INDEX('Structured 2025'!teamCol,ROW()),ovrTeamCol25,0),MATCH(MID(INDEX('Structured 2025'!headerRow,1,COLUMN()),4,LEN(INDEX('Structured 2025'!headerRow,1,COLUMN()))),ovrHeaderRow25,0))</f>
        <v>36.369999999999997</v>
      </c>
      <c r="BF56" s="12">
        <f>INDEX(ovrTable25,MATCH(INDEX('Structured 2025'!teamCol,ROW()),ovrTeamCol25,0),MATCH(MID(INDEX('Structured 2025'!headerRow,1,COLUMN()),4,LEN(INDEX('Structured 2025'!headerRow,1,COLUMN()))),ovrHeaderRow25,0))</f>
        <v>11</v>
      </c>
      <c r="BG56" s="12">
        <f>INDEX(ovrTable25,MATCH(INDEX('Structured 2025'!teamCol,ROW()),ovrTeamCol25,0),MATCH(MID(INDEX('Structured 2025'!headerRow,1,COLUMN()),4,LEN(INDEX('Structured 2025'!headerRow,1,COLUMN()))),ovrHeaderRow25,0))</f>
        <v>6.9</v>
      </c>
      <c r="BH56" s="12">
        <f>INDEX(ovrTable25,MATCH(INDEX('Structured 2025'!teamCol,ROW()),ovrTeamCol25,0),MATCH(MID(INDEX('Structured 2025'!headerRow,1,COLUMN()),4,LEN(INDEX('Structured 2025'!headerRow,1,COLUMN()))),ovrHeaderRow25,0))</f>
        <v>1</v>
      </c>
      <c r="BI56" s="12">
        <f>INDEX(ovrTable25,MATCH(INDEX('Structured 2025'!teamCol,ROW()),ovrTeamCol25,0),MATCH(MID(INDEX('Structured 2025'!headerRow,1,COLUMN()),4,LEN(INDEX('Structured 2025'!headerRow,1,COLUMN()))),ovrHeaderRow25,0))</f>
        <v>11.47</v>
      </c>
      <c r="BJ56" s="12">
        <f>INDEX(ovrTable25,MATCH(INDEX('Structured 2025'!teamCol,ROW()),ovrTeamCol25,0),MATCH(MID(INDEX('Structured 2025'!headerRow,1,COLUMN()),4,LEN(INDEX('Structured 2025'!headerRow,1,COLUMN()))),ovrHeaderRow25,0))</f>
        <v>10.4</v>
      </c>
      <c r="BK56" s="12">
        <f>INDEX(ovrTable25,MATCH(INDEX('Structured 2025'!teamCol,ROW()),ovrTeamCol25,0),MATCH(MID(INDEX('Structured 2025'!headerRow,1,COLUMN()),4,LEN(INDEX('Structured 2025'!headerRow,1,COLUMN()))),ovrHeaderRow25,0))</f>
        <v>63.7</v>
      </c>
      <c r="BL56" s="12">
        <f>INDEX(ovrTable25,MATCH(INDEX('Structured 2025'!teamCol,ROW()),ovrTeamCol25,0),MATCH(MID(INDEX('Structured 2025'!headerRow,1,COLUMN()),4,LEN(INDEX('Structured 2025'!headerRow,1,COLUMN()))),ovrHeaderRow25,0))</f>
        <v>17.25</v>
      </c>
      <c r="BM56" s="12">
        <f>INDEX(ovrTable25,MATCH(INDEX('Structured 2025'!teamCol,ROW()),ovrTeamCol25,0),MATCH(MID(INDEX('Structured 2025'!headerRow,1,COLUMN()),4,LEN(INDEX('Structured 2025'!headerRow,1,COLUMN()))),ovrHeaderRow25,0))</f>
        <v>56.305309734513273</v>
      </c>
      <c r="BN56" s="12">
        <f>INDEX(ovrTable25,MATCH(INDEX(oppCol,ROW()),ovrTeamCol25,0),MATCH(MID(INDEX('Structured 2025'!headerRow,1,COLUMN()),4,LEN(INDEX('Structured 2025'!headerRow,1,COLUMN()))),ovrHeaderRow25,0))</f>
        <v>33.9</v>
      </c>
      <c r="BO56" s="12">
        <f>INDEX(ovrTable25,MATCH(INDEX(oppCol,ROW()),ovrTeamCol25,0),MATCH(MID(INDEX('Structured 2025'!headerRow,1,COLUMN()),4,LEN(INDEX('Structured 2025'!headerRow,1,COLUMN()))),ovrHeaderRow25,0))</f>
        <v>9.6999999999999993</v>
      </c>
      <c r="BP56" s="12">
        <f>INDEX(ovrTable25,MATCH(INDEX(oppCol,ROW()),ovrTeamCol25,0),MATCH(MID(INDEX('Structured 2025'!headerRow,1,COLUMN()),4,LEN(INDEX('Structured 2025'!headerRow,1,COLUMN()))),ovrHeaderRow25,0))</f>
        <v>34.299999999999997</v>
      </c>
      <c r="BQ56" s="12">
        <f>INDEX(ovrTable25,MATCH(INDEX(oppCol,ROW()),ovrTeamCol25,0),MATCH(MID(INDEX('Structured 2025'!headerRow,1,COLUMN()),4,LEN(INDEX('Structured 2025'!headerRow,1,COLUMN()))),ovrHeaderRow25,0))</f>
        <v>28.3</v>
      </c>
      <c r="BR56" s="12">
        <f>INDEX(ovrTable25,MATCH(INDEX(oppCol,ROW()),ovrTeamCol25,0),MATCH(MID(INDEX('Structured 2025'!headerRow,1,COLUMN()),4,LEN(INDEX('Structured 2025'!headerRow,1,COLUMN()))),ovrHeaderRow25,0))</f>
        <v>1.37</v>
      </c>
      <c r="BS56" s="12">
        <f>INDEX(ovrTable25,MATCH(INDEX(oppCol,ROW()),ovrTeamCol25,0),MATCH(MID(INDEX('Structured 2025'!headerRow,1,COLUMN()),4,LEN(INDEX('Structured 2025'!headerRow,1,COLUMN()))),ovrHeaderRow25,0))</f>
        <v>15</v>
      </c>
      <c r="BT56" s="12">
        <f>INDEX(ovrTable25,MATCH(INDEX(oppCol,ROW()),ovrTeamCol25,0),MATCH(MID(INDEX('Structured 2025'!headerRow,1,COLUMN()),4,LEN(INDEX('Structured 2025'!headerRow,1,COLUMN()))),ovrHeaderRow25,0))</f>
        <v>19.399999999999999</v>
      </c>
      <c r="BU56" s="12">
        <f>INDEX(ovrTable25,MATCH(INDEX(oppCol,ROW()),ovrTeamCol25,0),MATCH(MID(INDEX('Structured 2025'!headerRow,1,COLUMN()),4,LEN(INDEX('Structured 2025'!headerRow,1,COLUMN()))),ovrHeaderRow25,0))</f>
        <v>2.5</v>
      </c>
      <c r="BV56" s="12">
        <f>INDEX(ovrTable25,MATCH(INDEX(oppCol,ROW()),ovrTeamCol25,0),MATCH(MID(INDEX('Structured 2025'!headerRow,1,COLUMN()),4,LEN(INDEX('Structured 2025'!headerRow,1,COLUMN()))),ovrHeaderRow25,0))</f>
        <v>43.6</v>
      </c>
      <c r="BW56" s="12">
        <f>INDEX(ovrTable25,MATCH(INDEX(oppCol,ROW()),ovrTeamCol25,0),MATCH(MID(INDEX('Structured 2025'!headerRow,1,COLUMN()),4,LEN(INDEX('Structured 2025'!headerRow,1,COLUMN()))),ovrHeaderRow25,0))</f>
        <v>25.26</v>
      </c>
      <c r="BX56" s="12">
        <f>INDEX(ovrTable25,MATCH(INDEX(oppCol,ROW()),ovrTeamCol25,0),MATCH(MID(INDEX('Structured 2025'!headerRow,1,COLUMN()),4,LEN(INDEX('Structured 2025'!headerRow,1,COLUMN()))),ovrHeaderRow25,0))</f>
        <v>0.53400000000000003</v>
      </c>
      <c r="BY56" s="12">
        <f>INDEX(ovrTable25,MATCH(INDEX(oppCol,ROW()),ovrTeamCol25,0),MATCH(MID(INDEX('Structured 2025'!headerRow,1,COLUMN()),4,LEN(INDEX('Structured 2025'!headerRow,1,COLUMN()))),ovrHeaderRow25,0))</f>
        <v>8.06</v>
      </c>
      <c r="BZ56" s="12">
        <f>INDEX(ovrTable25,MATCH(INDEX(oppCol,ROW()),ovrTeamCol25,0),MATCH(MID(INDEX('Structured 2025'!headerRow,1,COLUMN()),4,LEN(INDEX('Structured 2025'!headerRow,1,COLUMN()))),ovrHeaderRow25,0))</f>
        <v>45.2</v>
      </c>
      <c r="CA56" s="12">
        <f>INDEX(ovrTable25,MATCH(INDEX(oppCol,ROW()),ovrTeamCol25,0),MATCH(MID(INDEX('Structured 2025'!headerRow,1,COLUMN()),4,LEN(INDEX('Structured 2025'!headerRow,1,COLUMN()))),ovrHeaderRow25,0))</f>
        <v>16.899999999999999</v>
      </c>
      <c r="CB56" s="12">
        <f>INDEX(ovrTable25,MATCH(INDEX(oppCol,ROW()),ovrTeamCol25,0),MATCH(MID(INDEX('Structured 2025'!headerRow,1,COLUMN()),4,LEN(INDEX('Structured 2025'!headerRow,1,COLUMN()))),ovrHeaderRow25,0))</f>
        <v>66</v>
      </c>
      <c r="CC56" s="12">
        <f>INDEX(ovrTable25,MATCH(INDEX(oppCol,ROW()),ovrTeamCol25,0),MATCH(MID(INDEX('Structured 2025'!headerRow,1,COLUMN()),4,LEN(INDEX('Structured 2025'!headerRow,1,COLUMN()))),ovrHeaderRow25,0))</f>
        <v>17.899999999999999</v>
      </c>
      <c r="CD56" s="12">
        <f>INDEX(ovrTable25,MATCH(INDEX(oppCol,ROW()),ovrTeamCol25,0),MATCH(MID(INDEX('Structured 2025'!headerRow,1,COLUMN()),4,LEN(INDEX('Structured 2025'!headerRow,1,COLUMN()))),ovrHeaderRow25,0))</f>
        <v>11.8</v>
      </c>
      <c r="CE56" s="12">
        <f>INDEX(ovrTable25,MATCH(INDEX(oppCol,ROW()),ovrTeamCol25,0),MATCH(MID(INDEX('Structured 2025'!headerRow,1,COLUMN()),4,LEN(INDEX('Structured 2025'!headerRow,1,COLUMN()))),ovrHeaderRow25,0))</f>
        <v>70</v>
      </c>
      <c r="CF56" s="12">
        <f>INDEX(ovrTable25,MATCH(INDEX(oppCol,ROW()),ovrTeamCol25,0),MATCH(MID(INDEX('Structured 2025'!headerRow,1,COLUMN()),4,LEN(INDEX('Structured 2025'!headerRow,1,COLUMN()))),ovrHeaderRow25,0))</f>
        <v>12.94</v>
      </c>
      <c r="CG56" s="12">
        <f>INDEX(ovrTable25,MATCH(INDEX(oppCol,ROW()),ovrTeamCol25,0),MATCH(MID(INDEX('Structured 2025'!headerRow,1,COLUMN()),4,LEN(INDEX('Structured 2025'!headerRow,1,COLUMN()))),ovrHeaderRow25,0))</f>
        <v>74.900000000000006</v>
      </c>
      <c r="CH56" s="12">
        <f>INDEX(ovrTable25,MATCH(INDEX(oppCol,ROW()),ovrTeamCol25,0),MATCH(MID(INDEX('Structured 2025'!headerRow,1,COLUMN()),4,LEN(INDEX('Structured 2025'!headerRow,1,COLUMN()))),ovrHeaderRow25,0))</f>
        <v>7.4</v>
      </c>
      <c r="CI56" s="12">
        <f>INDEX(ovrTable25,MATCH(INDEX(oppCol,ROW()),ovrTeamCol25,0),MATCH(MID(INDEX('Structured 2025'!headerRow,1,COLUMN()),4,LEN(INDEX('Structured 2025'!headerRow,1,COLUMN()))),ovrHeaderRow25,0))</f>
        <v>38.200000000000003</v>
      </c>
      <c r="CJ56" s="12">
        <f>INDEX(ovrTable25,MATCH(INDEX(oppCol,ROW()),ovrTeamCol25,0),MATCH(MID(INDEX('Structured 2025'!headerRow,1,COLUMN()),4,LEN(INDEX('Structured 2025'!headerRow,1,COLUMN()))),ovrHeaderRow25,0))</f>
        <v>4.9000000000000004</v>
      </c>
      <c r="CK56" s="12">
        <f>INDEX(ovrTable25,MATCH(INDEX(oppCol,ROW()),ovrTeamCol25,0),MATCH(MID(INDEX('Structured 2025'!headerRow,1,COLUMN()),4,LEN(INDEX('Structured 2025'!headerRow,1,COLUMN()))),ovrHeaderRow25,0))</f>
        <v>6</v>
      </c>
      <c r="CL56" s="12">
        <f>INDEX(ovrTable25,MATCH(INDEX(oppCol,ROW()),ovrTeamCol25,0),MATCH(MID(INDEX('Structured 2025'!headerRow,1,COLUMN()),4,LEN(INDEX('Structured 2025'!headerRow,1,COLUMN()))),ovrHeaderRow25,0))</f>
        <v>-0.8</v>
      </c>
      <c r="CM56" s="12">
        <f>INDEX(ovrTable25,MATCH(INDEX(oppCol,ROW()),ovrTeamCol25,0),MATCH(MID(INDEX('Structured 2025'!headerRow,1,COLUMN()),4,LEN(INDEX('Structured 2025'!headerRow,1,COLUMN()))),ovrHeaderRow25,0))</f>
        <v>10.17</v>
      </c>
      <c r="CN56" s="12">
        <f>INDEX(ovrTable25,MATCH(INDEX(oppCol,ROW()),ovrTeamCol25,0),MATCH(MID(INDEX('Structured 2025'!headerRow,1,COLUMN()),4,LEN(INDEX('Structured 2025'!headerRow,1,COLUMN()))),ovrHeaderRow25,0))</f>
        <v>10.9</v>
      </c>
      <c r="CO56" s="12">
        <f>INDEX(ovrTable25,MATCH(INDEX(oppCol,ROW()),ovrTeamCol25,0),MATCH(MID(INDEX('Structured 2025'!headerRow,1,COLUMN()),4,LEN(INDEX('Structured 2025'!headerRow,1,COLUMN()))),ovrHeaderRow25,0))</f>
        <v>64.3</v>
      </c>
      <c r="CP56" s="12">
        <f>INDEX(ovrTable25,MATCH(INDEX(oppCol,ROW()),ovrTeamCol25,0),MATCH(MID(INDEX('Structured 2025'!headerRow,1,COLUMN()),4,LEN(INDEX('Structured 2025'!headerRow,1,COLUMN()))),ovrHeaderRow25,0))</f>
        <v>17.000000000000007</v>
      </c>
      <c r="CQ56" s="12">
        <f>INDEX(ovrTable25,MATCH(INDEX(oppCol,ROW()),ovrTeamCol25,0),MATCH(MID(INDEX('Structured 2025'!headerRow,1,COLUMN()),4,LEN(INDEX('Structured 2025'!headerRow,1,COLUMN()))),ovrHeaderRow25,0))</f>
        <v>59.070796460177</v>
      </c>
    </row>
    <row r="57" spans="1:95" x14ac:dyDescent="0.3">
      <c r="A57" s="6" t="s">
        <v>510</v>
      </c>
      <c r="B57" s="3">
        <v>15</v>
      </c>
      <c r="C57" s="13" t="str">
        <f>A56</f>
        <v>TENN</v>
      </c>
      <c r="D57" s="14">
        <f t="shared" si="26"/>
        <v>28</v>
      </c>
      <c r="E57" s="23">
        <v>0.35714285714285715</v>
      </c>
      <c r="F57" s="24">
        <v>41.818181818181813</v>
      </c>
      <c r="G57" s="24">
        <v>11</v>
      </c>
      <c r="H57" s="23">
        <v>42.307692307692307</v>
      </c>
      <c r="I57" s="24">
        <v>26</v>
      </c>
      <c r="J57" s="25">
        <v>1.1818181818181819</v>
      </c>
      <c r="K57" s="24">
        <v>5</v>
      </c>
      <c r="L57" s="24">
        <v>9</v>
      </c>
      <c r="M57" s="24">
        <v>11</v>
      </c>
      <c r="N57" s="24">
        <v>20</v>
      </c>
      <c r="O57" s="24">
        <v>13</v>
      </c>
      <c r="P57" s="24">
        <v>3</v>
      </c>
      <c r="Q57" s="24">
        <v>1</v>
      </c>
      <c r="R57" s="24">
        <v>11</v>
      </c>
      <c r="S57" s="24">
        <v>0</v>
      </c>
      <c r="T57" s="24">
        <v>20</v>
      </c>
      <c r="U57" s="24">
        <v>18</v>
      </c>
      <c r="V57" s="24">
        <v>0.48148148148148145</v>
      </c>
      <c r="W57" s="26">
        <v>0.51818181818181808</v>
      </c>
      <c r="X57" s="23">
        <v>55.555555555555557</v>
      </c>
      <c r="Y57" s="24">
        <v>77</v>
      </c>
      <c r="Z57" s="24">
        <v>62</v>
      </c>
      <c r="AA57" s="24">
        <v>0</v>
      </c>
      <c r="AB57" s="24">
        <v>31</v>
      </c>
      <c r="AC57" s="24">
        <v>-15</v>
      </c>
      <c r="AD57" s="24">
        <v>-5</v>
      </c>
      <c r="AE57" s="24">
        <v>6</v>
      </c>
      <c r="AF57" s="34">
        <f t="shared" si="34"/>
        <v>12</v>
      </c>
      <c r="AG57" s="34">
        <f t="shared" si="35"/>
        <v>29.000000000000007</v>
      </c>
      <c r="AH57" s="46">
        <f t="shared" si="36"/>
        <v>59.274999999999999</v>
      </c>
      <c r="AI57" s="51">
        <f t="shared" ref="AI57" si="60">AVERAGE(AH56,AH57)</f>
        <v>60.362499999999997</v>
      </c>
      <c r="AJ57" s="12">
        <f>INDEX(ovrTable25,MATCH(INDEX('Structured 2025'!teamCol,ROW()),ovrTeamCol25,0),MATCH(MID(INDEX('Structured 2025'!headerRow,1,COLUMN()),4,LEN(INDEX('Structured 2025'!headerRow,1,COLUMN()))),ovrHeaderRow25,0))</f>
        <v>33.9</v>
      </c>
      <c r="AK57" s="12">
        <f>INDEX(ovrTable25,MATCH(INDEX('Structured 2025'!teamCol,ROW()),ovrTeamCol25,0),MATCH(MID(INDEX('Structured 2025'!headerRow,1,COLUMN()),4,LEN(INDEX('Structured 2025'!headerRow,1,COLUMN()))),ovrHeaderRow25,0))</f>
        <v>9.6999999999999993</v>
      </c>
      <c r="AL57" s="12">
        <f>INDEX(ovrTable25,MATCH(INDEX('Structured 2025'!teamCol,ROW()),ovrTeamCol25,0),MATCH(MID(INDEX('Structured 2025'!headerRow,1,COLUMN()),4,LEN(INDEX('Structured 2025'!headerRow,1,COLUMN()))),ovrHeaderRow25,0))</f>
        <v>34.299999999999997</v>
      </c>
      <c r="AM57" s="12">
        <f>INDEX(ovrTable25,MATCH(INDEX('Structured 2025'!teamCol,ROW()),ovrTeamCol25,0),MATCH(MID(INDEX('Structured 2025'!headerRow,1,COLUMN()),4,LEN(INDEX('Structured 2025'!headerRow,1,COLUMN()))),ovrHeaderRow25,0))</f>
        <v>28.3</v>
      </c>
      <c r="AN57" s="12">
        <f>INDEX(ovrTable25,MATCH(INDEX('Structured 2025'!teamCol,ROW()),ovrTeamCol25,0),MATCH(MID(INDEX('Structured 2025'!headerRow,1,COLUMN()),4,LEN(INDEX('Structured 2025'!headerRow,1,COLUMN()))),ovrHeaderRow25,0))</f>
        <v>1.37</v>
      </c>
      <c r="AO57" s="12">
        <f>INDEX(ovrTable25,MATCH(INDEX('Structured 2025'!teamCol,ROW()),ovrTeamCol25,0),MATCH(MID(INDEX('Structured 2025'!headerRow,1,COLUMN()),4,LEN(INDEX('Structured 2025'!headerRow,1,COLUMN()))),ovrHeaderRow25,0))</f>
        <v>15</v>
      </c>
      <c r="AP57" s="12">
        <f>INDEX(ovrTable25,MATCH(INDEX('Structured 2025'!teamCol,ROW()),ovrTeamCol25,0),MATCH(MID(INDEX('Structured 2025'!headerRow,1,COLUMN()),4,LEN(INDEX('Structured 2025'!headerRow,1,COLUMN()))),ovrHeaderRow25,0))</f>
        <v>19.399999999999999</v>
      </c>
      <c r="AQ57" s="12">
        <f>INDEX(ovrTable25,MATCH(INDEX('Structured 2025'!teamCol,ROW()),ovrTeamCol25,0),MATCH(MID(INDEX('Structured 2025'!headerRow,1,COLUMN()),4,LEN(INDEX('Structured 2025'!headerRow,1,COLUMN()))),ovrHeaderRow25,0))</f>
        <v>2.5</v>
      </c>
      <c r="AR57" s="12">
        <f>INDEX(ovrTable25,MATCH(INDEX('Structured 2025'!teamCol,ROW()),ovrTeamCol25,0),MATCH(MID(INDEX('Structured 2025'!headerRow,1,COLUMN()),4,LEN(INDEX('Structured 2025'!headerRow,1,COLUMN()))),ovrHeaderRow25,0))</f>
        <v>43.6</v>
      </c>
      <c r="AS57" s="12">
        <f>INDEX(ovrTable25,MATCH(INDEX('Structured 2025'!teamCol,ROW()),ovrTeamCol25,0),MATCH(MID(INDEX('Structured 2025'!headerRow,1,COLUMN()),4,LEN(INDEX('Structured 2025'!headerRow,1,COLUMN()))),ovrHeaderRow25,0))</f>
        <v>25.26</v>
      </c>
      <c r="AT57" s="12">
        <f>INDEX(ovrTable25,MATCH(INDEX('Structured 2025'!teamCol,ROW()),ovrTeamCol25,0),MATCH(MID(INDEX('Structured 2025'!headerRow,1,COLUMN()),4,LEN(INDEX('Structured 2025'!headerRow,1,COLUMN()))),ovrHeaderRow25,0))</f>
        <v>0.53400000000000003</v>
      </c>
      <c r="AU57" s="12">
        <f>INDEX(ovrTable25,MATCH(INDEX('Structured 2025'!teamCol,ROW()),ovrTeamCol25,0),MATCH(MID(INDEX('Structured 2025'!headerRow,1,COLUMN()),4,LEN(INDEX('Structured 2025'!headerRow,1,COLUMN()))),ovrHeaderRow25,0))</f>
        <v>8.06</v>
      </c>
      <c r="AV57" s="12">
        <f>INDEX(ovrTable25,MATCH(INDEX('Structured 2025'!teamCol,ROW()),ovrTeamCol25,0),MATCH(MID(INDEX('Structured 2025'!headerRow,1,COLUMN()),4,LEN(INDEX('Structured 2025'!headerRow,1,COLUMN()))),ovrHeaderRow25,0))</f>
        <v>45.2</v>
      </c>
      <c r="AW57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X57" s="12">
        <f>INDEX(ovrTable25,MATCH(INDEX('Structured 2025'!teamCol,ROW()),ovrTeamCol25,0),MATCH(MID(INDEX('Structured 2025'!headerRow,1,COLUMN()),4,LEN(INDEX('Structured 2025'!headerRow,1,COLUMN()))),ovrHeaderRow25,0))</f>
        <v>66</v>
      </c>
      <c r="AY57" s="12">
        <f>INDEX(ovrTable25,MATCH(INDEX('Structured 2025'!teamCol,ROW()),ovrTeamCol25,0),MATCH(MID(INDEX('Structured 2025'!headerRow,1,COLUMN()),4,LEN(INDEX('Structured 2025'!headerRow,1,COLUMN()))),ovrHeaderRow25,0))</f>
        <v>17.899999999999999</v>
      </c>
      <c r="AZ57" s="12">
        <f>INDEX(ovrTable25,MATCH(INDEX('Structured 2025'!teamCol,ROW()),ovrTeamCol25,0),MATCH(MID(INDEX('Structured 2025'!headerRow,1,COLUMN()),4,LEN(INDEX('Structured 2025'!headerRow,1,COLUMN()))),ovrHeaderRow25,0))</f>
        <v>11.8</v>
      </c>
      <c r="BA57" s="12">
        <f>INDEX(ovrTable25,MATCH(INDEX('Structured 2025'!teamCol,ROW()),ovrTeamCol25,0),MATCH(MID(INDEX('Structured 2025'!headerRow,1,COLUMN()),4,LEN(INDEX('Structured 2025'!headerRow,1,COLUMN()))),ovrHeaderRow25,0))</f>
        <v>70</v>
      </c>
      <c r="BB57" s="12">
        <f>INDEX(ovrTable25,MATCH(INDEX('Structured 2025'!teamCol,ROW()),ovrTeamCol25,0),MATCH(MID(INDEX('Structured 2025'!headerRow,1,COLUMN()),4,LEN(INDEX('Structured 2025'!headerRow,1,COLUMN()))),ovrHeaderRow25,0))</f>
        <v>12.94</v>
      </c>
      <c r="BC57" s="12">
        <f>INDEX(ovrTable25,MATCH(INDEX('Structured 2025'!teamCol,ROW()),ovrTeamCol25,0),MATCH(MID(INDEX('Structured 2025'!headerRow,1,COLUMN()),4,LEN(INDEX('Structured 2025'!headerRow,1,COLUMN()))),ovrHeaderRow25,0))</f>
        <v>74.900000000000006</v>
      </c>
      <c r="BD57" s="12">
        <f>INDEX(ovrTable25,MATCH(INDEX('Structured 2025'!teamCol,ROW()),ovrTeamCol25,0),MATCH(MID(INDEX('Structured 2025'!headerRow,1,COLUMN()),4,LEN(INDEX('Structured 2025'!headerRow,1,COLUMN()))),ovrHeaderRow25,0))</f>
        <v>7.4</v>
      </c>
      <c r="BE57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BF57" s="12">
        <f>INDEX(ovrTable25,MATCH(INDEX('Structured 2025'!teamCol,ROW()),ovrTeamCol25,0),MATCH(MID(INDEX('Structured 2025'!headerRow,1,COLUMN()),4,LEN(INDEX('Structured 2025'!headerRow,1,COLUMN()))),ovrHeaderRow25,0))</f>
        <v>4.9000000000000004</v>
      </c>
      <c r="BG57" s="12">
        <f>INDEX(ovrTable25,MATCH(INDEX('Structured 2025'!teamCol,ROW()),ovrTeamCol25,0),MATCH(MID(INDEX('Structured 2025'!headerRow,1,COLUMN()),4,LEN(INDEX('Structured 2025'!headerRow,1,COLUMN()))),ovrHeaderRow25,0))</f>
        <v>6</v>
      </c>
      <c r="BH57" s="12">
        <f>INDEX(ovrTable25,MATCH(INDEX('Structured 2025'!teamCol,ROW()),ovrTeamCol25,0),MATCH(MID(INDEX('Structured 2025'!headerRow,1,COLUMN()),4,LEN(INDEX('Structured 2025'!headerRow,1,COLUMN()))),ovrHeaderRow25,0))</f>
        <v>-0.8</v>
      </c>
      <c r="BI57" s="12">
        <f>INDEX(ovrTable25,MATCH(INDEX('Structured 2025'!teamCol,ROW()),ovrTeamCol25,0),MATCH(MID(INDEX('Structured 2025'!headerRow,1,COLUMN()),4,LEN(INDEX('Structured 2025'!headerRow,1,COLUMN()))),ovrHeaderRow25,0))</f>
        <v>10.17</v>
      </c>
      <c r="BJ57" s="12">
        <f>INDEX(ovrTable25,MATCH(INDEX('Structured 2025'!teamCol,ROW()),ovrTeamCol25,0),MATCH(MID(INDEX('Structured 2025'!headerRow,1,COLUMN()),4,LEN(INDEX('Structured 2025'!headerRow,1,COLUMN()))),ovrHeaderRow25,0))</f>
        <v>10.9</v>
      </c>
      <c r="BK57" s="12">
        <f>INDEX(ovrTable25,MATCH(INDEX('Structured 2025'!teamCol,ROW()),ovrTeamCol25,0),MATCH(MID(INDEX('Structured 2025'!headerRow,1,COLUMN()),4,LEN(INDEX('Structured 2025'!headerRow,1,COLUMN()))),ovrHeaderRow25,0))</f>
        <v>64.3</v>
      </c>
      <c r="BL57" s="12">
        <f>INDEX(ovrTable25,MATCH(INDEX('Structured 2025'!teamCol,ROW()),ovrTeamCol25,0),MATCH(MID(INDEX('Structured 2025'!headerRow,1,COLUMN()),4,LEN(INDEX('Structured 2025'!headerRow,1,COLUMN()))),ovrHeaderRow25,0))</f>
        <v>17.000000000000007</v>
      </c>
      <c r="BM57" s="12">
        <f>INDEX(ovrTable25,MATCH(INDEX('Structured 2025'!teamCol,ROW()),ovrTeamCol25,0),MATCH(MID(INDEX('Structured 2025'!headerRow,1,COLUMN()),4,LEN(INDEX('Structured 2025'!headerRow,1,COLUMN()))),ovrHeaderRow25,0))</f>
        <v>59.070796460177</v>
      </c>
      <c r="BN57" s="12">
        <f>INDEX(ovrTable25,MATCH(INDEX(oppCol,ROW()),ovrTeamCol25,0),MATCH(MID(INDEX('Structured 2025'!headerRow,1,COLUMN()),4,LEN(INDEX('Structured 2025'!headerRow,1,COLUMN()))),ovrHeaderRow25,0))</f>
        <v>28.7</v>
      </c>
      <c r="BO57" s="12">
        <f>INDEX(ovrTable25,MATCH(INDEX(oppCol,ROW()),ovrTeamCol25,0),MATCH(MID(INDEX('Structured 2025'!headerRow,1,COLUMN()),4,LEN(INDEX('Structured 2025'!headerRow,1,COLUMN()))),ovrHeaderRow25,0))</f>
        <v>8.1999999999999993</v>
      </c>
      <c r="BP57" s="12">
        <f>INDEX(ovrTable25,MATCH(INDEX(oppCol,ROW()),ovrTeamCol25,0),MATCH(MID(INDEX('Structured 2025'!headerRow,1,COLUMN()),4,LEN(INDEX('Structured 2025'!headerRow,1,COLUMN()))),ovrHeaderRow25,0))</f>
        <v>33.799999999999997</v>
      </c>
      <c r="BQ57" s="12">
        <f>INDEX(ovrTable25,MATCH(INDEX(oppCol,ROW()),ovrTeamCol25,0),MATCH(MID(INDEX('Structured 2025'!headerRow,1,COLUMN()),4,LEN(INDEX('Structured 2025'!headerRow,1,COLUMN()))),ovrHeaderRow25,0))</f>
        <v>24.4</v>
      </c>
      <c r="BR57" s="12">
        <f>INDEX(ovrTable25,MATCH(INDEX(oppCol,ROW()),ovrTeamCol25,0),MATCH(MID(INDEX('Structured 2025'!headerRow,1,COLUMN()),4,LEN(INDEX('Structured 2025'!headerRow,1,COLUMN()))),ovrHeaderRow25,0))</f>
        <v>1.48</v>
      </c>
      <c r="BS57" s="12">
        <f>INDEX(ovrTable25,MATCH(INDEX(oppCol,ROW()),ovrTeamCol25,0),MATCH(MID(INDEX('Structured 2025'!headerRow,1,COLUMN()),4,LEN(INDEX('Structured 2025'!headerRow,1,COLUMN()))),ovrHeaderRow25,0))</f>
        <v>15.4</v>
      </c>
      <c r="BT57" s="12">
        <f>INDEX(ovrTable25,MATCH(INDEX(oppCol,ROW()),ovrTeamCol25,0),MATCH(MID(INDEX('Structured 2025'!headerRow,1,COLUMN()),4,LEN(INDEX('Structured 2025'!headerRow,1,COLUMN()))),ovrHeaderRow25,0))</f>
        <v>19.920000000000002</v>
      </c>
      <c r="BU57" s="12">
        <f>INDEX(ovrTable25,MATCH(INDEX(oppCol,ROW()),ovrTeamCol25,0),MATCH(MID(INDEX('Structured 2025'!headerRow,1,COLUMN()),4,LEN(INDEX('Structured 2025'!headerRow,1,COLUMN()))),ovrHeaderRow25,0))</f>
        <v>4.8</v>
      </c>
      <c r="BV57" s="12">
        <f>INDEX(ovrTable25,MATCH(INDEX(oppCol,ROW()),ovrTeamCol25,0),MATCH(MID(INDEX('Structured 2025'!headerRow,1,COLUMN()),4,LEN(INDEX('Structured 2025'!headerRow,1,COLUMN()))),ovrHeaderRow25,0))</f>
        <v>38.6</v>
      </c>
      <c r="BW57" s="12">
        <f>INDEX(ovrTable25,MATCH(INDEX(oppCol,ROW()),ovrTeamCol25,0),MATCH(MID(INDEX('Structured 2025'!headerRow,1,COLUMN()),4,LEN(INDEX('Structured 2025'!headerRow,1,COLUMN()))),ovrHeaderRow25,0))</f>
        <v>24.87</v>
      </c>
      <c r="BX57" s="12">
        <f>INDEX(ovrTable25,MATCH(INDEX(oppCol,ROW()),ovrTeamCol25,0),MATCH(MID(INDEX('Structured 2025'!headerRow,1,COLUMN()),4,LEN(INDEX('Structured 2025'!headerRow,1,COLUMN()))),ovrHeaderRow25,0))</f>
        <v>0.52500000000000002</v>
      </c>
      <c r="BY57" s="12">
        <f>INDEX(ovrTable25,MATCH(INDEX(oppCol,ROW()),ovrTeamCol25,0),MATCH(MID(INDEX('Structured 2025'!headerRow,1,COLUMN()),4,LEN(INDEX('Structured 2025'!headerRow,1,COLUMN()))),ovrHeaderRow25,0))</f>
        <v>7.66</v>
      </c>
      <c r="BZ57" s="12">
        <f>INDEX(ovrTable25,MATCH(INDEX(oppCol,ROW()),ovrTeamCol25,0),MATCH(MID(INDEX('Structured 2025'!headerRow,1,COLUMN()),4,LEN(INDEX('Structured 2025'!headerRow,1,COLUMN()))),ovrHeaderRow25,0))</f>
        <v>45.2</v>
      </c>
      <c r="CA57" s="12">
        <f>INDEX(ovrTable25,MATCH(INDEX(oppCol,ROW()),ovrTeamCol25,0),MATCH(MID(INDEX('Structured 2025'!headerRow,1,COLUMN()),4,LEN(INDEX('Structured 2025'!headerRow,1,COLUMN()))),ovrHeaderRow25,0))</f>
        <v>15.2</v>
      </c>
      <c r="CB57" s="12">
        <f>INDEX(ovrTable25,MATCH(INDEX(oppCol,ROW()),ovrTeamCol25,0),MATCH(MID(INDEX('Structured 2025'!headerRow,1,COLUMN()),4,LEN(INDEX('Structured 2025'!headerRow,1,COLUMN()))),ovrHeaderRow25,0))</f>
        <v>74.5</v>
      </c>
      <c r="CC57" s="12">
        <f>INDEX(ovrTable25,MATCH(INDEX(oppCol,ROW()),ovrTeamCol25,0),MATCH(MID(INDEX('Structured 2025'!headerRow,1,COLUMN()),4,LEN(INDEX('Structured 2025'!headerRow,1,COLUMN()))),ovrHeaderRow25,0))</f>
        <v>20</v>
      </c>
      <c r="CD57" s="12">
        <f>INDEX(ovrTable25,MATCH(INDEX(oppCol,ROW()),ovrTeamCol25,0),MATCH(MID(INDEX('Structured 2025'!headerRow,1,COLUMN()),4,LEN(INDEX('Structured 2025'!headerRow,1,COLUMN()))),ovrHeaderRow25,0))</f>
        <v>14.9</v>
      </c>
      <c r="CE57" s="12">
        <f>INDEX(ovrTable25,MATCH(INDEX(oppCol,ROW()),ovrTeamCol25,0),MATCH(MID(INDEX('Structured 2025'!headerRow,1,COLUMN()),4,LEN(INDEX('Structured 2025'!headerRow,1,COLUMN()))),ovrHeaderRow25,0))</f>
        <v>63</v>
      </c>
      <c r="CF57" s="12">
        <f>INDEX(ovrTable25,MATCH(INDEX(oppCol,ROW()),ovrTeamCol25,0),MATCH(MID(INDEX('Structured 2025'!headerRow,1,COLUMN()),4,LEN(INDEX('Structured 2025'!headerRow,1,COLUMN()))),ovrHeaderRow25,0))</f>
        <v>11.5</v>
      </c>
      <c r="CG57" s="12">
        <f>INDEX(ovrTable25,MATCH(INDEX(oppCol,ROW()),ovrTeamCol25,0),MATCH(MID(INDEX('Structured 2025'!headerRow,1,COLUMN()),4,LEN(INDEX('Structured 2025'!headerRow,1,COLUMN()))),ovrHeaderRow25,0))</f>
        <v>74</v>
      </c>
      <c r="CH57" s="12">
        <f>INDEX(ovrTable25,MATCH(INDEX(oppCol,ROW()),ovrTeamCol25,0),MATCH(MID(INDEX('Structured 2025'!headerRow,1,COLUMN()),4,LEN(INDEX('Structured 2025'!headerRow,1,COLUMN()))),ovrHeaderRow25,0))</f>
        <v>4.7</v>
      </c>
      <c r="CI57" s="12">
        <f>INDEX(ovrTable25,MATCH(INDEX(oppCol,ROW()),ovrTeamCol25,0),MATCH(MID(INDEX('Structured 2025'!headerRow,1,COLUMN()),4,LEN(INDEX('Structured 2025'!headerRow,1,COLUMN()))),ovrHeaderRow25,0))</f>
        <v>36.369999999999997</v>
      </c>
      <c r="CJ57" s="12">
        <f>INDEX(ovrTable25,MATCH(INDEX(oppCol,ROW()),ovrTeamCol25,0),MATCH(MID(INDEX('Structured 2025'!headerRow,1,COLUMN()),4,LEN(INDEX('Structured 2025'!headerRow,1,COLUMN()))),ovrHeaderRow25,0))</f>
        <v>11</v>
      </c>
      <c r="CK57" s="12">
        <f>INDEX(ovrTable25,MATCH(INDEX(oppCol,ROW()),ovrTeamCol25,0),MATCH(MID(INDEX('Structured 2025'!headerRow,1,COLUMN()),4,LEN(INDEX('Structured 2025'!headerRow,1,COLUMN()))),ovrHeaderRow25,0))</f>
        <v>6.9</v>
      </c>
      <c r="CL57" s="12">
        <f>INDEX(ovrTable25,MATCH(INDEX(oppCol,ROW()),ovrTeamCol25,0),MATCH(MID(INDEX('Structured 2025'!headerRow,1,COLUMN()),4,LEN(INDEX('Structured 2025'!headerRow,1,COLUMN()))),ovrHeaderRow25,0))</f>
        <v>1</v>
      </c>
      <c r="CM57" s="12">
        <f>INDEX(ovrTable25,MATCH(INDEX(oppCol,ROW()),ovrTeamCol25,0),MATCH(MID(INDEX('Structured 2025'!headerRow,1,COLUMN()),4,LEN(INDEX('Structured 2025'!headerRow,1,COLUMN()))),ovrHeaderRow25,0))</f>
        <v>11.47</v>
      </c>
      <c r="CN57" s="12">
        <f>INDEX(ovrTable25,MATCH(INDEX(oppCol,ROW()),ovrTeamCol25,0),MATCH(MID(INDEX('Structured 2025'!headerRow,1,COLUMN()),4,LEN(INDEX('Structured 2025'!headerRow,1,COLUMN()))),ovrHeaderRow25,0))</f>
        <v>10.4</v>
      </c>
      <c r="CO57" s="12">
        <f>INDEX(ovrTable25,MATCH(INDEX(oppCol,ROW()),ovrTeamCol25,0),MATCH(MID(INDEX('Structured 2025'!headerRow,1,COLUMN()),4,LEN(INDEX('Structured 2025'!headerRow,1,COLUMN()))),ovrHeaderRow25,0))</f>
        <v>63.7</v>
      </c>
      <c r="CP57" s="12">
        <f>INDEX(ovrTable25,MATCH(INDEX(oppCol,ROW()),ovrTeamCol25,0),MATCH(MID(INDEX('Structured 2025'!headerRow,1,COLUMN()),4,LEN(INDEX('Structured 2025'!headerRow,1,COLUMN()))),ovrHeaderRow25,0))</f>
        <v>17.25</v>
      </c>
      <c r="CQ57" s="12">
        <f>INDEX(ovrTable25,MATCH(INDEX(oppCol,ROW()),ovrTeamCol25,0),MATCH(MID(INDEX('Structured 2025'!headerRow,1,COLUMN()),4,LEN(INDEX('Structured 2025'!headerRow,1,COLUMN()))),ovrHeaderRow25,0))</f>
        <v>56.305309734513273</v>
      </c>
    </row>
    <row r="58" spans="1:95" x14ac:dyDescent="0.3">
      <c r="A58" s="6" t="s">
        <v>45</v>
      </c>
      <c r="B58" s="3">
        <v>1</v>
      </c>
      <c r="C58" s="13" t="str">
        <f>A59</f>
        <v>NORF</v>
      </c>
      <c r="D58" s="14">
        <f t="shared" si="26"/>
        <v>29</v>
      </c>
      <c r="E58" s="23">
        <v>0.14285714285714285</v>
      </c>
      <c r="F58" s="24">
        <v>48.333333333333336</v>
      </c>
      <c r="G58" s="24">
        <v>10</v>
      </c>
      <c r="H58" s="23">
        <v>31.25</v>
      </c>
      <c r="I58" s="24">
        <v>32</v>
      </c>
      <c r="J58" s="25">
        <v>1.6666666666666667</v>
      </c>
      <c r="K58" s="24">
        <v>27</v>
      </c>
      <c r="L58" s="24">
        <v>33</v>
      </c>
      <c r="M58" s="24">
        <v>21</v>
      </c>
      <c r="N58" s="24">
        <v>20</v>
      </c>
      <c r="O58" s="24">
        <v>20</v>
      </c>
      <c r="P58" s="24">
        <v>7</v>
      </c>
      <c r="Q58" s="24">
        <v>5</v>
      </c>
      <c r="R58" s="24">
        <v>12</v>
      </c>
      <c r="S58" s="24">
        <v>16</v>
      </c>
      <c r="T58" s="24">
        <v>17</v>
      </c>
      <c r="U58" s="24">
        <v>29</v>
      </c>
      <c r="V58" s="24">
        <v>0.45901639344262296</v>
      </c>
      <c r="W58" s="26">
        <v>0.56666666666666665</v>
      </c>
      <c r="X58" s="23">
        <v>81.818181818181827</v>
      </c>
      <c r="Y58" s="24">
        <v>69</v>
      </c>
      <c r="Z58" s="24">
        <v>95</v>
      </c>
      <c r="AA58" s="24">
        <v>13</v>
      </c>
      <c r="AB58" s="24">
        <v>41</v>
      </c>
      <c r="AC58" s="24">
        <v>26</v>
      </c>
      <c r="AD58" s="24">
        <v>0</v>
      </c>
      <c r="AE58" s="24">
        <v>12</v>
      </c>
      <c r="AF58" s="34">
        <f t="shared" si="34"/>
        <v>19</v>
      </c>
      <c r="AG58" s="34">
        <f t="shared" si="35"/>
        <v>28</v>
      </c>
      <c r="AH58" s="46">
        <f t="shared" si="36"/>
        <v>66.674999999999997</v>
      </c>
      <c r="AI58" s="51">
        <f t="shared" ref="AI58" si="61">AVERAGE(AH58,AH59)</f>
        <v>66.162499999999994</v>
      </c>
      <c r="AJ58" s="12">
        <f>INDEX(ovrTable25,MATCH(INDEX('Structured 2025'!teamCol,ROW()),ovrTeamCol25,0),MATCH(MID(INDEX('Structured 2025'!headerRow,1,COLUMN()),4,LEN(INDEX('Structured 2025'!headerRow,1,COLUMN()))),ovrHeaderRow25,0))</f>
        <v>29.4</v>
      </c>
      <c r="AK58" s="12">
        <f>INDEX(ovrTable25,MATCH(INDEX('Structured 2025'!teamCol,ROW()),ovrTeamCol25,0),MATCH(MID(INDEX('Structured 2025'!headerRow,1,COLUMN()),4,LEN(INDEX('Structured 2025'!headerRow,1,COLUMN()))),ovrHeaderRow25,0))</f>
        <v>9.8000000000000007</v>
      </c>
      <c r="AL58" s="12">
        <f>INDEX(ovrTable25,MATCH(INDEX('Structured 2025'!teamCol,ROW()),ovrTeamCol25,0),MATCH(MID(INDEX('Structured 2025'!headerRow,1,COLUMN()),4,LEN(INDEX('Structured 2025'!headerRow,1,COLUMN()))),ovrHeaderRow25,0))</f>
        <v>35.6</v>
      </c>
      <c r="AM58" s="12">
        <f>INDEX(ovrTable25,MATCH(INDEX('Structured 2025'!teamCol,ROW()),ovrTeamCol25,0),MATCH(MID(INDEX('Structured 2025'!headerRow,1,COLUMN()),4,LEN(INDEX('Structured 2025'!headerRow,1,COLUMN()))),ovrHeaderRow25,0))</f>
        <v>27.4</v>
      </c>
      <c r="AN58" s="12">
        <f>INDEX(ovrTable25,MATCH(INDEX('Structured 2025'!teamCol,ROW()),ovrTeamCol25,0),MATCH(MID(INDEX('Structured 2025'!headerRow,1,COLUMN()),4,LEN(INDEX('Structured 2025'!headerRow,1,COLUMN()))),ovrHeaderRow25,0))</f>
        <v>1.39</v>
      </c>
      <c r="AO58" s="12">
        <f>INDEX(ovrTable25,MATCH(INDEX('Structured 2025'!teamCol,ROW()),ovrTeamCol25,0),MATCH(MID(INDEX('Structured 2025'!headerRow,1,COLUMN()),4,LEN(INDEX('Structured 2025'!headerRow,1,COLUMN()))),ovrHeaderRow25,0))</f>
        <v>15.5</v>
      </c>
      <c r="AP58" s="12">
        <f>INDEX(ovrTable25,MATCH(INDEX('Structured 2025'!teamCol,ROW()),ovrTeamCol25,0),MATCH(MID(INDEX('Structured 2025'!headerRow,1,COLUMN()),4,LEN(INDEX('Structured 2025'!headerRow,1,COLUMN()))),ovrHeaderRow25,0))</f>
        <v>21.98</v>
      </c>
      <c r="AQ58" s="12">
        <f>INDEX(ovrTable25,MATCH(INDEX('Structured 2025'!teamCol,ROW()),ovrTeamCol25,0),MATCH(MID(INDEX('Structured 2025'!headerRow,1,COLUMN()),4,LEN(INDEX('Structured 2025'!headerRow,1,COLUMN()))),ovrHeaderRow25,0))</f>
        <v>4.5</v>
      </c>
      <c r="AR58" s="12">
        <f>INDEX(ovrTable25,MATCH(INDEX('Structured 2025'!teamCol,ROW()),ovrTeamCol25,0),MATCH(MID(INDEX('Structured 2025'!headerRow,1,COLUMN()),4,LEN(INDEX('Structured 2025'!headerRow,1,COLUMN()))),ovrHeaderRow25,0))</f>
        <v>40</v>
      </c>
      <c r="AS58" s="12">
        <f>INDEX(ovrTable25,MATCH(INDEX('Structured 2025'!teamCol,ROW()),ovrTeamCol25,0),MATCH(MID(INDEX('Structured 2025'!headerRow,1,COLUMN()),4,LEN(INDEX('Structured 2025'!headerRow,1,COLUMN()))),ovrHeaderRow25,0))</f>
        <v>28.1</v>
      </c>
      <c r="AT58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58" s="12">
        <f>INDEX(ovrTable25,MATCH(INDEX('Structured 2025'!teamCol,ROW()),ovrTeamCol25,0),MATCH(MID(INDEX('Structured 2025'!headerRow,1,COLUMN()),4,LEN(INDEX('Structured 2025'!headerRow,1,COLUMN()))),ovrHeaderRow25,0))</f>
        <v>15.58</v>
      </c>
      <c r="AV58" s="12">
        <f>INDEX(ovrTable25,MATCH(INDEX('Structured 2025'!teamCol,ROW()),ovrTeamCol25,0),MATCH(MID(INDEX('Structured 2025'!headerRow,1,COLUMN()),4,LEN(INDEX('Structured 2025'!headerRow,1,COLUMN()))),ovrHeaderRow25,0))</f>
        <v>47.1</v>
      </c>
      <c r="AW58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58" s="12">
        <f>INDEX(ovrTable25,MATCH(INDEX('Structured 2025'!teamCol,ROW()),ovrTeamCol25,0),MATCH(MID(INDEX('Structured 2025'!headerRow,1,COLUMN()),4,LEN(INDEX('Structured 2025'!headerRow,1,COLUMN()))),ovrHeaderRow25,0))</f>
        <v>72.8</v>
      </c>
      <c r="AY58" s="12">
        <f>INDEX(ovrTable25,MATCH(INDEX('Structured 2025'!teamCol,ROW()),ovrTeamCol25,0),MATCH(MID(INDEX('Structured 2025'!headerRow,1,COLUMN()),4,LEN(INDEX('Structured 2025'!headerRow,1,COLUMN()))),ovrHeaderRow25,0))</f>
        <v>21.9</v>
      </c>
      <c r="AZ58" s="12">
        <f>INDEX(ovrTable25,MATCH(INDEX('Structured 2025'!teamCol,ROW()),ovrTeamCol25,0),MATCH(MID(INDEX('Structured 2025'!headerRow,1,COLUMN()),4,LEN(INDEX('Structured 2025'!headerRow,1,COLUMN()))),ovrHeaderRow25,0))</f>
        <v>15.9</v>
      </c>
      <c r="BA58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B58" s="12">
        <f>INDEX(ovrTable25,MATCH(INDEX('Structured 2025'!teamCol,ROW()),ovrTeamCol25,0),MATCH(MID(INDEX('Structured 2025'!headerRow,1,COLUMN()),4,LEN(INDEX('Structured 2025'!headerRow,1,COLUMN()))),ovrHeaderRow25,0))</f>
        <v>13.73</v>
      </c>
      <c r="BC58" s="12">
        <f>INDEX(ovrTable25,MATCH(INDEX('Structured 2025'!teamCol,ROW()),ovrTeamCol25,0),MATCH(MID(INDEX('Structured 2025'!headerRow,1,COLUMN()),4,LEN(INDEX('Structured 2025'!headerRow,1,COLUMN()))),ovrHeaderRow25,0))</f>
        <v>84.8</v>
      </c>
      <c r="BD58" s="12">
        <f>INDEX(ovrTable25,MATCH(INDEX('Structured 2025'!teamCol,ROW()),ovrTeamCol25,0),MATCH(MID(INDEX('Structured 2025'!headerRow,1,COLUMN()),4,LEN(INDEX('Structured 2025'!headerRow,1,COLUMN()))),ovrHeaderRow25,0))</f>
        <v>8.4</v>
      </c>
      <c r="BE58" s="12">
        <f>INDEX(ovrTable25,MATCH(INDEX('Structured 2025'!teamCol,ROW()),ovrTeamCol25,0),MATCH(MID(INDEX('Structured 2025'!headerRow,1,COLUMN()),4,LEN(INDEX('Structured 2025'!headerRow,1,COLUMN()))),ovrHeaderRow25,0))</f>
        <v>41.83</v>
      </c>
      <c r="BF58" s="12">
        <f>INDEX(ovrTable25,MATCH(INDEX('Structured 2025'!teamCol,ROW()),ovrTeamCol25,0),MATCH(MID(INDEX('Structured 2025'!headerRow,1,COLUMN()),4,LEN(INDEX('Structured 2025'!headerRow,1,COLUMN()))),ovrHeaderRow25,0))</f>
        <v>15.2</v>
      </c>
      <c r="BG58" s="12">
        <f>INDEX(ovrTable25,MATCH(INDEX('Structured 2025'!teamCol,ROW()),ovrTeamCol25,0),MATCH(MID(INDEX('Structured 2025'!headerRow,1,COLUMN()),4,LEN(INDEX('Structured 2025'!headerRow,1,COLUMN()))),ovrHeaderRow25,0))</f>
        <v>7.4</v>
      </c>
      <c r="BH58" s="12">
        <f>INDEX(ovrTable25,MATCH(INDEX('Structured 2025'!teamCol,ROW()),ovrTeamCol25,0),MATCH(MID(INDEX('Structured 2025'!headerRow,1,COLUMN()),4,LEN(INDEX('Structured 2025'!headerRow,1,COLUMN()))),ovrHeaderRow25,0))</f>
        <v>0.6</v>
      </c>
      <c r="BI58" s="12">
        <f>INDEX(ovrTable25,MATCH(INDEX('Structured 2025'!teamCol,ROW()),ovrTeamCol25,0),MATCH(MID(INDEX('Structured 2025'!headerRow,1,COLUMN()),4,LEN(INDEX('Structured 2025'!headerRow,1,COLUMN()))),ovrHeaderRow25,0))</f>
        <v>11.73</v>
      </c>
      <c r="BJ58" s="12">
        <f>INDEX(ovrTable25,MATCH(INDEX('Structured 2025'!teamCol,ROW()),ovrTeamCol25,0),MATCH(MID(INDEX('Structured 2025'!headerRow,1,COLUMN()),4,LEN(INDEX('Structured 2025'!headerRow,1,COLUMN()))),ovrHeaderRow25,0))</f>
        <v>11.1</v>
      </c>
      <c r="BK58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58" s="12">
        <f>INDEX(ovrTable25,MATCH(INDEX('Structured 2025'!teamCol,ROW()),ovrTeamCol25,0),MATCH(MID(INDEX('Structured 2025'!headerRow,1,COLUMN()),4,LEN(INDEX('Structured 2025'!headerRow,1,COLUMN()))),ovrHeaderRow25,0))</f>
        <v>19.749999999999993</v>
      </c>
      <c r="BM58" s="12">
        <f>INDEX(ovrTable25,MATCH(INDEX('Structured 2025'!teamCol,ROW()),ovrTeamCol25,0),MATCH(MID(INDEX('Structured 2025'!headerRow,1,COLUMN()),4,LEN(INDEX('Structured 2025'!headerRow,1,COLUMN()))),ovrHeaderRow25,0))</f>
        <v>62.7388535031847</v>
      </c>
      <c r="BN58" s="12">
        <f>INDEX(ovrTable25,MATCH(INDEX(oppCol,ROW()),ovrTeamCol25,0),MATCH(MID(INDEX('Structured 2025'!headerRow,1,COLUMN()),4,LEN(INDEX('Structured 2025'!headerRow,1,COLUMN()))),ovrHeaderRow25,0))</f>
        <v>33.5</v>
      </c>
      <c r="BO58" s="12">
        <f>INDEX(ovrTable25,MATCH(INDEX(oppCol,ROW()),ovrTeamCol25,0),MATCH(MID(INDEX('Structured 2025'!headerRow,1,COLUMN()),4,LEN(INDEX('Structured 2025'!headerRow,1,COLUMN()))),ovrHeaderRow25,0))</f>
        <v>5.3</v>
      </c>
      <c r="BP58" s="12">
        <f>INDEX(ovrTable25,MATCH(INDEX(oppCol,ROW()),ovrTeamCol25,0),MATCH(MID(INDEX('Structured 2025'!headerRow,1,COLUMN()),4,LEN(INDEX('Structured 2025'!headerRow,1,COLUMN()))),ovrHeaderRow25,0))</f>
        <v>32.6</v>
      </c>
      <c r="BQ58" s="12">
        <f>INDEX(ovrTable25,MATCH(INDEX(oppCol,ROW()),ovrTeamCol25,0),MATCH(MID(INDEX('Structured 2025'!headerRow,1,COLUMN()),4,LEN(INDEX('Structured 2025'!headerRow,1,COLUMN()))),ovrHeaderRow25,0))</f>
        <v>16.2</v>
      </c>
      <c r="BR58" s="12">
        <f>INDEX(ovrTable25,MATCH(INDEX(oppCol,ROW()),ovrTeamCol25,0),MATCH(MID(INDEX('Structured 2025'!headerRow,1,COLUMN()),4,LEN(INDEX('Structured 2025'!headerRow,1,COLUMN()))),ovrHeaderRow25,0))</f>
        <v>1.1200000000000001</v>
      </c>
      <c r="BS58" s="12">
        <f>INDEX(ovrTable25,MATCH(INDEX(oppCol,ROW()),ovrTeamCol25,0),MATCH(MID(INDEX('Structured 2025'!headerRow,1,COLUMN()),4,LEN(INDEX('Structured 2025'!headerRow,1,COLUMN()))),ovrHeaderRow25,0))</f>
        <v>13.8</v>
      </c>
      <c r="BT58" s="12">
        <f>INDEX(ovrTable25,MATCH(INDEX(oppCol,ROW()),ovrTeamCol25,0),MATCH(MID(INDEX('Structured 2025'!headerRow,1,COLUMN()),4,LEN(INDEX('Structured 2025'!headerRow,1,COLUMN()))),ovrHeaderRow25,0))</f>
        <v>22.89</v>
      </c>
      <c r="BU58" s="12">
        <f>INDEX(ovrTable25,MATCH(INDEX(oppCol,ROW()),ovrTeamCol25,0),MATCH(MID(INDEX('Structured 2025'!headerRow,1,COLUMN()),4,LEN(INDEX('Structured 2025'!headerRow,1,COLUMN()))),ovrHeaderRow25,0))</f>
        <v>3</v>
      </c>
      <c r="BV58" s="12">
        <f>INDEX(ovrTable25,MATCH(INDEX(oppCol,ROW()),ovrTeamCol25,0),MATCH(MID(INDEX('Structured 2025'!headerRow,1,COLUMN()),4,LEN(INDEX('Structured 2025'!headerRow,1,COLUMN()))),ovrHeaderRow25,0))</f>
        <v>41.5</v>
      </c>
      <c r="BW58" s="12">
        <f>INDEX(ovrTable25,MATCH(INDEX(oppCol,ROW()),ovrTeamCol25,0),MATCH(MID(INDEX('Structured 2025'!headerRow,1,COLUMN()),4,LEN(INDEX('Structured 2025'!headerRow,1,COLUMN()))),ovrHeaderRow25,0))</f>
        <v>24.29</v>
      </c>
      <c r="BX58" s="12">
        <f>INDEX(ovrTable25,MATCH(INDEX(oppCol,ROW()),ovrTeamCol25,0),MATCH(MID(INDEX('Structured 2025'!headerRow,1,COLUMN()),4,LEN(INDEX('Structured 2025'!headerRow,1,COLUMN()))),ovrHeaderRow25,0))</f>
        <v>0.53500000000000003</v>
      </c>
      <c r="BY58" s="12">
        <f>INDEX(ovrTable25,MATCH(INDEX(oppCol,ROW()),ovrTeamCol25,0),MATCH(MID(INDEX('Structured 2025'!headerRow,1,COLUMN()),4,LEN(INDEX('Structured 2025'!headerRow,1,COLUMN()))),ovrHeaderRow25,0))</f>
        <v>15.54</v>
      </c>
      <c r="BZ58" s="12">
        <f>INDEX(ovrTable25,MATCH(INDEX(oppCol,ROW()),ovrTeamCol25,0),MATCH(MID(INDEX('Structured 2025'!headerRow,1,COLUMN()),4,LEN(INDEX('Structured 2025'!headerRow,1,COLUMN()))),ovrHeaderRow25,0))</f>
        <v>48.8</v>
      </c>
      <c r="CA58" s="12">
        <f>INDEX(ovrTable25,MATCH(INDEX(oppCol,ROW()),ovrTeamCol25,0),MATCH(MID(INDEX('Structured 2025'!headerRow,1,COLUMN()),4,LEN(INDEX('Structured 2025'!headerRow,1,COLUMN()))),ovrHeaderRow25,0))</f>
        <v>17.8</v>
      </c>
      <c r="CB58" s="12">
        <f>INDEX(ovrTable25,MATCH(INDEX(oppCol,ROW()),ovrTeamCol25,0),MATCH(MID(INDEX('Structured 2025'!headerRow,1,COLUMN()),4,LEN(INDEX('Structured 2025'!headerRow,1,COLUMN()))),ovrHeaderRow25,0))</f>
        <v>75.7</v>
      </c>
      <c r="CC58" s="12">
        <f>INDEX(ovrTable25,MATCH(INDEX(oppCol,ROW()),ovrTeamCol25,0),MATCH(MID(INDEX('Structured 2025'!headerRow,1,COLUMN()),4,LEN(INDEX('Structured 2025'!headerRow,1,COLUMN()))),ovrHeaderRow25,0))</f>
        <v>21.7</v>
      </c>
      <c r="CD58" s="12">
        <f>INDEX(ovrTable25,MATCH(INDEX(oppCol,ROW()),ovrTeamCol25,0),MATCH(MID(INDEX('Structured 2025'!headerRow,1,COLUMN()),4,LEN(INDEX('Structured 2025'!headerRow,1,COLUMN()))),ovrHeaderRow25,0))</f>
        <v>16.399999999999999</v>
      </c>
      <c r="CE58" s="12">
        <f>INDEX(ovrTable25,MATCH(INDEX(oppCol,ROW()),ovrTeamCol25,0),MATCH(MID(INDEX('Structured 2025'!headerRow,1,COLUMN()),4,LEN(INDEX('Structured 2025'!headerRow,1,COLUMN()))),ovrHeaderRow25,0))</f>
        <v>69.7</v>
      </c>
      <c r="CF58" s="12">
        <f>INDEX(ovrTable25,MATCH(INDEX(oppCol,ROW()),ovrTeamCol25,0),MATCH(MID(INDEX('Structured 2025'!headerRow,1,COLUMN()),4,LEN(INDEX('Structured 2025'!headerRow,1,COLUMN()))),ovrHeaderRow25,0))</f>
        <v>10.23</v>
      </c>
      <c r="CG58" s="12">
        <f>INDEX(ovrTable25,MATCH(INDEX(oppCol,ROW()),ovrTeamCol25,0),MATCH(MID(INDEX('Structured 2025'!headerRow,1,COLUMN()),4,LEN(INDEX('Structured 2025'!headerRow,1,COLUMN()))),ovrHeaderRow25,0))</f>
        <v>77</v>
      </c>
      <c r="CH58" s="12">
        <f>INDEX(ovrTable25,MATCH(INDEX(oppCol,ROW()),ovrTeamCol25,0),MATCH(MID(INDEX('Structured 2025'!headerRow,1,COLUMN()),4,LEN(INDEX('Structured 2025'!headerRow,1,COLUMN()))),ovrHeaderRow25,0))</f>
        <v>2</v>
      </c>
      <c r="CI58" s="12">
        <f>INDEX(ovrTable25,MATCH(INDEX(oppCol,ROW()),ovrTeamCol25,0),MATCH(MID(INDEX('Structured 2025'!headerRow,1,COLUMN()),4,LEN(INDEX('Structured 2025'!headerRow,1,COLUMN()))),ovrHeaderRow25,0))</f>
        <v>34.51</v>
      </c>
      <c r="CJ58" s="12">
        <f>INDEX(ovrTable25,MATCH(INDEX(oppCol,ROW()),ovrTeamCol25,0),MATCH(MID(INDEX('Structured 2025'!headerRow,1,COLUMN()),4,LEN(INDEX('Structured 2025'!headerRow,1,COLUMN()))),ovrHeaderRow25,0))</f>
        <v>7.3</v>
      </c>
      <c r="CK58" s="12">
        <f>INDEX(ovrTable25,MATCH(INDEX(oppCol,ROW()),ovrTeamCol25,0),MATCH(MID(INDEX('Structured 2025'!headerRow,1,COLUMN()),4,LEN(INDEX('Structured 2025'!headerRow,1,COLUMN()))),ovrHeaderRow25,0))</f>
        <v>7</v>
      </c>
      <c r="CL58" s="12">
        <f>INDEX(ovrTable25,MATCH(INDEX(oppCol,ROW()),ovrTeamCol25,0),MATCH(MID(INDEX('Structured 2025'!headerRow,1,COLUMN()),4,LEN(INDEX('Structured 2025'!headerRow,1,COLUMN()))),ovrHeaderRow25,0))</f>
        <v>0.8</v>
      </c>
      <c r="CM58" s="12">
        <f>INDEX(ovrTable25,MATCH(INDEX(oppCol,ROW()),ovrTeamCol25,0),MATCH(MID(INDEX('Structured 2025'!headerRow,1,COLUMN()),4,LEN(INDEX('Structured 2025'!headerRow,1,COLUMN()))),ovrHeaderRow25,0))</f>
        <v>13.17</v>
      </c>
      <c r="CN58" s="12">
        <f>INDEX(ovrTable25,MATCH(INDEX(oppCol,ROW()),ovrTeamCol25,0),MATCH(MID(INDEX('Structured 2025'!headerRow,1,COLUMN()),4,LEN(INDEX('Structured 2025'!headerRow,1,COLUMN()))),ovrHeaderRow25,0))</f>
        <v>12.4</v>
      </c>
      <c r="CO58" s="12">
        <f>INDEX(ovrTable25,MATCH(INDEX(oppCol,ROW()),ovrTeamCol25,0),MATCH(MID(INDEX('Structured 2025'!headerRow,1,COLUMN()),4,LEN(INDEX('Structured 2025'!headerRow,1,COLUMN()))),ovrHeaderRow25,0))</f>
        <v>66.5</v>
      </c>
      <c r="CP58" s="12">
        <f>INDEX(ovrTable25,MATCH(INDEX(oppCol,ROW()),ovrTeamCol25,0),MATCH(MID(INDEX('Structured 2025'!headerRow,1,COLUMN()),4,LEN(INDEX('Structured 2025'!headerRow,1,COLUMN()))),ovrHeaderRow25,0))</f>
        <v>22.35</v>
      </c>
      <c r="CQ58" s="12">
        <f>INDEX(ovrTable25,MATCH(INDEX(oppCol,ROW()),ovrTeamCol25,0),MATCH(MID(INDEX('Structured 2025'!headerRow,1,COLUMN()),4,LEN(INDEX('Structured 2025'!headerRow,1,COLUMN()))),ovrHeaderRow25,0))</f>
        <v>56.659836065573771</v>
      </c>
    </row>
    <row r="59" spans="1:95" x14ac:dyDescent="0.3">
      <c r="A59" s="6" t="s">
        <v>329</v>
      </c>
      <c r="B59" s="3">
        <v>16</v>
      </c>
      <c r="C59" s="13" t="str">
        <f>A58</f>
        <v>FLA</v>
      </c>
      <c r="D59" s="14">
        <f t="shared" si="26"/>
        <v>29</v>
      </c>
      <c r="E59" s="23">
        <v>0.3125</v>
      </c>
      <c r="F59" s="24">
        <v>45.901639344262293</v>
      </c>
      <c r="G59" s="24">
        <v>2</v>
      </c>
      <c r="H59" s="23">
        <v>14.285714285714285</v>
      </c>
      <c r="I59" s="24">
        <v>14</v>
      </c>
      <c r="J59" s="25">
        <v>0.91666666666666663</v>
      </c>
      <c r="K59" s="24">
        <v>11</v>
      </c>
      <c r="L59" s="24">
        <v>14</v>
      </c>
      <c r="M59" s="24">
        <v>14</v>
      </c>
      <c r="N59" s="24">
        <v>14</v>
      </c>
      <c r="O59" s="24">
        <v>11</v>
      </c>
      <c r="P59" s="24">
        <v>8</v>
      </c>
      <c r="Q59" s="24">
        <v>2</v>
      </c>
      <c r="R59" s="24">
        <v>12</v>
      </c>
      <c r="S59" s="24">
        <v>16</v>
      </c>
      <c r="T59" s="24">
        <v>24</v>
      </c>
      <c r="U59" s="24">
        <v>23</v>
      </c>
      <c r="V59" s="24">
        <v>0.48333333333333334</v>
      </c>
      <c r="W59" s="26">
        <v>0.47540983606557374</v>
      </c>
      <c r="X59" s="23">
        <v>78.571428571428569</v>
      </c>
      <c r="Y59" s="24">
        <v>95</v>
      </c>
      <c r="Z59" s="24">
        <v>69</v>
      </c>
      <c r="AA59" s="24">
        <v>-13</v>
      </c>
      <c r="AB59" s="24">
        <v>28</v>
      </c>
      <c r="AC59" s="24">
        <v>-26</v>
      </c>
      <c r="AD59" s="24">
        <v>0</v>
      </c>
      <c r="AE59" s="24">
        <v>12</v>
      </c>
      <c r="AF59" s="34">
        <f t="shared" si="34"/>
        <v>26</v>
      </c>
      <c r="AG59" s="34">
        <f t="shared" si="35"/>
        <v>47.000000000000007</v>
      </c>
      <c r="AH59" s="46">
        <f t="shared" si="36"/>
        <v>65.650000000000006</v>
      </c>
      <c r="AI59" s="51">
        <f t="shared" ref="AI59" si="62">AVERAGE(AH58,AH59)</f>
        <v>66.162499999999994</v>
      </c>
      <c r="AJ59" s="12">
        <f>INDEX(ovrTable25,MATCH(INDEX('Structured 2025'!teamCol,ROW()),ovrTeamCol25,0),MATCH(MID(INDEX('Structured 2025'!headerRow,1,COLUMN()),4,LEN(INDEX('Structured 2025'!headerRow,1,COLUMN()))),ovrHeaderRow25,0))</f>
        <v>33.5</v>
      </c>
      <c r="AK59" s="12">
        <f>INDEX(ovrTable25,MATCH(INDEX('Structured 2025'!teamCol,ROW()),ovrTeamCol25,0),MATCH(MID(INDEX('Structured 2025'!headerRow,1,COLUMN()),4,LEN(INDEX('Structured 2025'!headerRow,1,COLUMN()))),ovrHeaderRow25,0))</f>
        <v>5.3</v>
      </c>
      <c r="AL59" s="12">
        <f>INDEX(ovrTable25,MATCH(INDEX('Structured 2025'!teamCol,ROW()),ovrTeamCol25,0),MATCH(MID(INDEX('Structured 2025'!headerRow,1,COLUMN()),4,LEN(INDEX('Structured 2025'!headerRow,1,COLUMN()))),ovrHeaderRow25,0))</f>
        <v>32.6</v>
      </c>
      <c r="AM59" s="12">
        <f>INDEX(ovrTable25,MATCH(INDEX('Structured 2025'!teamCol,ROW()),ovrTeamCol25,0),MATCH(MID(INDEX('Structured 2025'!headerRow,1,COLUMN()),4,LEN(INDEX('Structured 2025'!headerRow,1,COLUMN()))),ovrHeaderRow25,0))</f>
        <v>16.2</v>
      </c>
      <c r="AN59" s="12">
        <f>INDEX(ovrTable25,MATCH(INDEX('Structured 2025'!teamCol,ROW()),ovrTeamCol25,0),MATCH(MID(INDEX('Structured 2025'!headerRow,1,COLUMN()),4,LEN(INDEX('Structured 2025'!headerRow,1,COLUMN()))),ovrHeaderRow25,0))</f>
        <v>1.1200000000000001</v>
      </c>
      <c r="AO59" s="12">
        <f>INDEX(ovrTable25,MATCH(INDEX('Structured 2025'!teamCol,ROW()),ovrTeamCol25,0),MATCH(MID(INDEX('Structured 2025'!headerRow,1,COLUMN()),4,LEN(INDEX('Structured 2025'!headerRow,1,COLUMN()))),ovrHeaderRow25,0))</f>
        <v>13.8</v>
      </c>
      <c r="AP59" s="12">
        <f>INDEX(ovrTable25,MATCH(INDEX('Structured 2025'!teamCol,ROW()),ovrTeamCol25,0),MATCH(MID(INDEX('Structured 2025'!headerRow,1,COLUMN()),4,LEN(INDEX('Structured 2025'!headerRow,1,COLUMN()))),ovrHeaderRow25,0))</f>
        <v>22.89</v>
      </c>
      <c r="AQ59" s="12">
        <f>INDEX(ovrTable25,MATCH(INDEX('Structured 2025'!teamCol,ROW()),ovrTeamCol25,0),MATCH(MID(INDEX('Structured 2025'!headerRow,1,COLUMN()),4,LEN(INDEX('Structured 2025'!headerRow,1,COLUMN()))),ovrHeaderRow25,0))</f>
        <v>3</v>
      </c>
      <c r="AR59" s="12">
        <f>INDEX(ovrTable25,MATCH(INDEX('Structured 2025'!teamCol,ROW()),ovrTeamCol25,0),MATCH(MID(INDEX('Structured 2025'!headerRow,1,COLUMN()),4,LEN(INDEX('Structured 2025'!headerRow,1,COLUMN()))),ovrHeaderRow25,0))</f>
        <v>41.5</v>
      </c>
      <c r="AS59" s="12">
        <f>INDEX(ovrTable25,MATCH(INDEX('Structured 2025'!teamCol,ROW()),ovrTeamCol25,0),MATCH(MID(INDEX('Structured 2025'!headerRow,1,COLUMN()),4,LEN(INDEX('Structured 2025'!headerRow,1,COLUMN()))),ovrHeaderRow25,0))</f>
        <v>24.29</v>
      </c>
      <c r="AT59" s="12">
        <f>INDEX(ovrTable25,MATCH(INDEX('Structured 2025'!teamCol,ROW()),ovrTeamCol25,0),MATCH(MID(INDEX('Structured 2025'!headerRow,1,COLUMN()),4,LEN(INDEX('Structured 2025'!headerRow,1,COLUMN()))),ovrHeaderRow25,0))</f>
        <v>0.53500000000000003</v>
      </c>
      <c r="AU59" s="12">
        <f>INDEX(ovrTable25,MATCH(INDEX('Structured 2025'!teamCol,ROW()),ovrTeamCol25,0),MATCH(MID(INDEX('Structured 2025'!headerRow,1,COLUMN()),4,LEN(INDEX('Structured 2025'!headerRow,1,COLUMN()))),ovrHeaderRow25,0))</f>
        <v>15.54</v>
      </c>
      <c r="AV59" s="12">
        <f>INDEX(ovrTable25,MATCH(INDEX('Structured 2025'!teamCol,ROW()),ovrTeamCol25,0),MATCH(MID(INDEX('Structured 2025'!headerRow,1,COLUMN()),4,LEN(INDEX('Structured 2025'!headerRow,1,COLUMN()))),ovrHeaderRow25,0))</f>
        <v>48.8</v>
      </c>
      <c r="AW59" s="12">
        <f>INDEX(ovrTable25,MATCH(INDEX('Structured 2025'!teamCol,ROW()),ovrTeamCol25,0),MATCH(MID(INDEX('Structured 2025'!headerRow,1,COLUMN()),4,LEN(INDEX('Structured 2025'!headerRow,1,COLUMN()))),ovrHeaderRow25,0))</f>
        <v>17.8</v>
      </c>
      <c r="AX59" s="12">
        <f>INDEX(ovrTable25,MATCH(INDEX('Structured 2025'!teamCol,ROW()),ovrTeamCol25,0),MATCH(MID(INDEX('Structured 2025'!headerRow,1,COLUMN()),4,LEN(INDEX('Structured 2025'!headerRow,1,COLUMN()))),ovrHeaderRow25,0))</f>
        <v>75.7</v>
      </c>
      <c r="AY59" s="12">
        <f>INDEX(ovrTable25,MATCH(INDEX('Structured 2025'!teamCol,ROW()),ovrTeamCol25,0),MATCH(MID(INDEX('Structured 2025'!headerRow,1,COLUMN()),4,LEN(INDEX('Structured 2025'!headerRow,1,COLUMN()))),ovrHeaderRow25,0))</f>
        <v>21.7</v>
      </c>
      <c r="AZ59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BA59" s="12">
        <f>INDEX(ovrTable25,MATCH(INDEX('Structured 2025'!teamCol,ROW()),ovrTeamCol25,0),MATCH(MID(INDEX('Structured 2025'!headerRow,1,COLUMN()),4,LEN(INDEX('Structured 2025'!headerRow,1,COLUMN()))),ovrHeaderRow25,0))</f>
        <v>69.7</v>
      </c>
      <c r="BB59" s="12">
        <f>INDEX(ovrTable25,MATCH(INDEX('Structured 2025'!teamCol,ROW()),ovrTeamCol25,0),MATCH(MID(INDEX('Structured 2025'!headerRow,1,COLUMN()),4,LEN(INDEX('Structured 2025'!headerRow,1,COLUMN()))),ovrHeaderRow25,0))</f>
        <v>10.23</v>
      </c>
      <c r="BC59" s="12">
        <f>INDEX(ovrTable25,MATCH(INDEX('Structured 2025'!teamCol,ROW()),ovrTeamCol25,0),MATCH(MID(INDEX('Structured 2025'!headerRow,1,COLUMN()),4,LEN(INDEX('Structured 2025'!headerRow,1,COLUMN()))),ovrHeaderRow25,0))</f>
        <v>77</v>
      </c>
      <c r="BD59" s="12">
        <f>INDEX(ovrTable25,MATCH(INDEX('Structured 2025'!teamCol,ROW()),ovrTeamCol25,0),MATCH(MID(INDEX('Structured 2025'!headerRow,1,COLUMN()),4,LEN(INDEX('Structured 2025'!headerRow,1,COLUMN()))),ovrHeaderRow25,0))</f>
        <v>2</v>
      </c>
      <c r="BE59" s="12">
        <f>INDEX(ovrTable25,MATCH(INDEX('Structured 2025'!teamCol,ROW()),ovrTeamCol25,0),MATCH(MID(INDEX('Structured 2025'!headerRow,1,COLUMN()),4,LEN(INDEX('Structured 2025'!headerRow,1,COLUMN()))),ovrHeaderRow25,0))</f>
        <v>34.51</v>
      </c>
      <c r="BF59" s="12">
        <f>INDEX(ovrTable25,MATCH(INDEX('Structured 2025'!teamCol,ROW()),ovrTeamCol25,0),MATCH(MID(INDEX('Structured 2025'!headerRow,1,COLUMN()),4,LEN(INDEX('Structured 2025'!headerRow,1,COLUMN()))),ovrHeaderRow25,0))</f>
        <v>7.3</v>
      </c>
      <c r="BG59" s="12">
        <f>INDEX(ovrTable25,MATCH(INDEX('Structured 2025'!teamCol,ROW()),ovrTeamCol25,0),MATCH(MID(INDEX('Structured 2025'!headerRow,1,COLUMN()),4,LEN(INDEX('Structured 2025'!headerRow,1,COLUMN()))),ovrHeaderRow25,0))</f>
        <v>7</v>
      </c>
      <c r="BH59" s="12">
        <f>INDEX(ovrTable25,MATCH(INDEX('Structured 2025'!teamCol,ROW()),ovrTeamCol25,0),MATCH(MID(INDEX('Structured 2025'!headerRow,1,COLUMN()),4,LEN(INDEX('Structured 2025'!headerRow,1,COLUMN()))),ovrHeaderRow25,0))</f>
        <v>0.8</v>
      </c>
      <c r="BI59" s="12">
        <f>INDEX(ovrTable25,MATCH(INDEX('Structured 2025'!teamCol,ROW()),ovrTeamCol25,0),MATCH(MID(INDEX('Structured 2025'!headerRow,1,COLUMN()),4,LEN(INDEX('Structured 2025'!headerRow,1,COLUMN()))),ovrHeaderRow25,0))</f>
        <v>13.17</v>
      </c>
      <c r="BJ59" s="12">
        <f>INDEX(ovrTable25,MATCH(INDEX('Structured 2025'!teamCol,ROW()),ovrTeamCol25,0),MATCH(MID(INDEX('Structured 2025'!headerRow,1,COLUMN()),4,LEN(INDEX('Structured 2025'!headerRow,1,COLUMN()))),ovrHeaderRow25,0))</f>
        <v>12.4</v>
      </c>
      <c r="BK59" s="12">
        <f>INDEX(ovrTable25,MATCH(INDEX('Structured 2025'!teamCol,ROW()),ovrTeamCol25,0),MATCH(MID(INDEX('Structured 2025'!headerRow,1,COLUMN()),4,LEN(INDEX('Structured 2025'!headerRow,1,COLUMN()))),ovrHeaderRow25,0))</f>
        <v>66.5</v>
      </c>
      <c r="BL59" s="12">
        <f>INDEX(ovrTable25,MATCH(INDEX('Structured 2025'!teamCol,ROW()),ovrTeamCol25,0),MATCH(MID(INDEX('Structured 2025'!headerRow,1,COLUMN()),4,LEN(INDEX('Structured 2025'!headerRow,1,COLUMN()))),ovrHeaderRow25,0))</f>
        <v>22.35</v>
      </c>
      <c r="BM59" s="12">
        <f>INDEX(ovrTable25,MATCH(INDEX('Structured 2025'!teamCol,ROW()),ovrTeamCol25,0),MATCH(MID(INDEX('Structured 2025'!headerRow,1,COLUMN()),4,LEN(INDEX('Structured 2025'!headerRow,1,COLUMN()))),ovrHeaderRow25,0))</f>
        <v>56.659836065573771</v>
      </c>
      <c r="BN59" s="12">
        <f>INDEX(ovrTable25,MATCH(INDEX(oppCol,ROW()),ovrTeamCol25,0),MATCH(MID(INDEX('Structured 2025'!headerRow,1,COLUMN()),4,LEN(INDEX('Structured 2025'!headerRow,1,COLUMN()))),ovrHeaderRow25,0))</f>
        <v>29.4</v>
      </c>
      <c r="BO59" s="12">
        <f>INDEX(ovrTable25,MATCH(INDEX(oppCol,ROW()),ovrTeamCol25,0),MATCH(MID(INDEX('Structured 2025'!headerRow,1,COLUMN()),4,LEN(INDEX('Structured 2025'!headerRow,1,COLUMN()))),ovrHeaderRow25,0))</f>
        <v>9.8000000000000007</v>
      </c>
      <c r="BP59" s="12">
        <f>INDEX(ovrTable25,MATCH(INDEX(oppCol,ROW()),ovrTeamCol25,0),MATCH(MID(INDEX('Structured 2025'!headerRow,1,COLUMN()),4,LEN(INDEX('Structured 2025'!headerRow,1,COLUMN()))),ovrHeaderRow25,0))</f>
        <v>35.6</v>
      </c>
      <c r="BQ59" s="12">
        <f>INDEX(ovrTable25,MATCH(INDEX(oppCol,ROW()),ovrTeamCol25,0),MATCH(MID(INDEX('Structured 2025'!headerRow,1,COLUMN()),4,LEN(INDEX('Structured 2025'!headerRow,1,COLUMN()))),ovrHeaderRow25,0))</f>
        <v>27.4</v>
      </c>
      <c r="BR59" s="12">
        <f>INDEX(ovrTable25,MATCH(INDEX(oppCol,ROW()),ovrTeamCol25,0),MATCH(MID(INDEX('Structured 2025'!headerRow,1,COLUMN()),4,LEN(INDEX('Structured 2025'!headerRow,1,COLUMN()))),ovrHeaderRow25,0))</f>
        <v>1.39</v>
      </c>
      <c r="BS59" s="12">
        <f>INDEX(ovrTable25,MATCH(INDEX(oppCol,ROW()),ovrTeamCol25,0),MATCH(MID(INDEX('Structured 2025'!headerRow,1,COLUMN()),4,LEN(INDEX('Structured 2025'!headerRow,1,COLUMN()))),ovrHeaderRow25,0))</f>
        <v>15.5</v>
      </c>
      <c r="BT59" s="12">
        <f>INDEX(ovrTable25,MATCH(INDEX(oppCol,ROW()),ovrTeamCol25,0),MATCH(MID(INDEX('Structured 2025'!headerRow,1,COLUMN()),4,LEN(INDEX('Structured 2025'!headerRow,1,COLUMN()))),ovrHeaderRow25,0))</f>
        <v>21.98</v>
      </c>
      <c r="BU59" s="12">
        <f>INDEX(ovrTable25,MATCH(INDEX(oppCol,ROW()),ovrTeamCol25,0),MATCH(MID(INDEX('Structured 2025'!headerRow,1,COLUMN()),4,LEN(INDEX('Structured 2025'!headerRow,1,COLUMN()))),ovrHeaderRow25,0))</f>
        <v>4.5</v>
      </c>
      <c r="BV59" s="12">
        <f>INDEX(ovrTable25,MATCH(INDEX(oppCol,ROW()),ovrTeamCol25,0),MATCH(MID(INDEX('Structured 2025'!headerRow,1,COLUMN()),4,LEN(INDEX('Structured 2025'!headerRow,1,COLUMN()))),ovrHeaderRow25,0))</f>
        <v>40</v>
      </c>
      <c r="BW59" s="12">
        <f>INDEX(ovrTable25,MATCH(INDEX(oppCol,ROW()),ovrTeamCol25,0),MATCH(MID(INDEX('Structured 2025'!headerRow,1,COLUMN()),4,LEN(INDEX('Structured 2025'!headerRow,1,COLUMN()))),ovrHeaderRow25,0))</f>
        <v>28.1</v>
      </c>
      <c r="BX59" s="12">
        <f>INDEX(ovrTable25,MATCH(INDEX(oppCol,ROW()),ovrTeamCol25,0),MATCH(MID(INDEX('Structured 2025'!headerRow,1,COLUMN()),4,LEN(INDEX('Structured 2025'!headerRow,1,COLUMN()))),ovrHeaderRow25,0))</f>
        <v>0.54900000000000004</v>
      </c>
      <c r="BY59" s="12">
        <f>INDEX(ovrTable25,MATCH(INDEX(oppCol,ROW()),ovrTeamCol25,0),MATCH(MID(INDEX('Structured 2025'!headerRow,1,COLUMN()),4,LEN(INDEX('Structured 2025'!headerRow,1,COLUMN()))),ovrHeaderRow25,0))</f>
        <v>15.58</v>
      </c>
      <c r="BZ59" s="12">
        <f>INDEX(ovrTable25,MATCH(INDEX(oppCol,ROW()),ovrTeamCol25,0),MATCH(MID(INDEX('Structured 2025'!headerRow,1,COLUMN()),4,LEN(INDEX('Structured 2025'!headerRow,1,COLUMN()))),ovrHeaderRow25,0))</f>
        <v>47.1</v>
      </c>
      <c r="CA59" s="12">
        <f>INDEX(ovrTable25,MATCH(INDEX(oppCol,ROW()),ovrTeamCol25,0),MATCH(MID(INDEX('Structured 2025'!headerRow,1,COLUMN()),4,LEN(INDEX('Structured 2025'!headerRow,1,COLUMN()))),ovrHeaderRow25,0))</f>
        <v>17.100000000000001</v>
      </c>
      <c r="CB59" s="12">
        <f>INDEX(ovrTable25,MATCH(INDEX(oppCol,ROW()),ovrTeamCol25,0),MATCH(MID(INDEX('Structured 2025'!headerRow,1,COLUMN()),4,LEN(INDEX('Structured 2025'!headerRow,1,COLUMN()))),ovrHeaderRow25,0))</f>
        <v>72.8</v>
      </c>
      <c r="CC59" s="12">
        <f>INDEX(ovrTable25,MATCH(INDEX(oppCol,ROW()),ovrTeamCol25,0),MATCH(MID(INDEX('Structured 2025'!headerRow,1,COLUMN()),4,LEN(INDEX('Structured 2025'!headerRow,1,COLUMN()))),ovrHeaderRow25,0))</f>
        <v>21.9</v>
      </c>
      <c r="CD59" s="12">
        <f>INDEX(ovrTable25,MATCH(INDEX(oppCol,ROW()),ovrTeamCol25,0),MATCH(MID(INDEX('Structured 2025'!headerRow,1,COLUMN()),4,LEN(INDEX('Structured 2025'!headerRow,1,COLUMN()))),ovrHeaderRow25,0))</f>
        <v>15.9</v>
      </c>
      <c r="CE59" s="12">
        <f>INDEX(ovrTable25,MATCH(INDEX(oppCol,ROW()),ovrTeamCol25,0),MATCH(MID(INDEX('Structured 2025'!headerRow,1,COLUMN()),4,LEN(INDEX('Structured 2025'!headerRow,1,COLUMN()))),ovrHeaderRow25,0))</f>
        <v>69.599999999999994</v>
      </c>
      <c r="CF59" s="12">
        <f>INDEX(ovrTable25,MATCH(INDEX(oppCol,ROW()),ovrTeamCol25,0),MATCH(MID(INDEX('Structured 2025'!headerRow,1,COLUMN()),4,LEN(INDEX('Structured 2025'!headerRow,1,COLUMN()))),ovrHeaderRow25,0))</f>
        <v>13.73</v>
      </c>
      <c r="CG59" s="12">
        <f>INDEX(ovrTable25,MATCH(INDEX(oppCol,ROW()),ovrTeamCol25,0),MATCH(MID(INDEX('Structured 2025'!headerRow,1,COLUMN()),4,LEN(INDEX('Structured 2025'!headerRow,1,COLUMN()))),ovrHeaderRow25,0))</f>
        <v>84.8</v>
      </c>
      <c r="CH59" s="12">
        <f>INDEX(ovrTable25,MATCH(INDEX(oppCol,ROW()),ovrTeamCol25,0),MATCH(MID(INDEX('Structured 2025'!headerRow,1,COLUMN()),4,LEN(INDEX('Structured 2025'!headerRow,1,COLUMN()))),ovrHeaderRow25,0))</f>
        <v>8.4</v>
      </c>
      <c r="CI59" s="12">
        <f>INDEX(ovrTable25,MATCH(INDEX(oppCol,ROW()),ovrTeamCol25,0),MATCH(MID(INDEX('Structured 2025'!headerRow,1,COLUMN()),4,LEN(INDEX('Structured 2025'!headerRow,1,COLUMN()))),ovrHeaderRow25,0))</f>
        <v>41.83</v>
      </c>
      <c r="CJ59" s="12">
        <f>INDEX(ovrTable25,MATCH(INDEX(oppCol,ROW()),ovrTeamCol25,0),MATCH(MID(INDEX('Structured 2025'!headerRow,1,COLUMN()),4,LEN(INDEX('Structured 2025'!headerRow,1,COLUMN()))),ovrHeaderRow25,0))</f>
        <v>15.2</v>
      </c>
      <c r="CK59" s="12">
        <f>INDEX(ovrTable25,MATCH(INDEX(oppCol,ROW()),ovrTeamCol25,0),MATCH(MID(INDEX('Structured 2025'!headerRow,1,COLUMN()),4,LEN(INDEX('Structured 2025'!headerRow,1,COLUMN()))),ovrHeaderRow25,0))</f>
        <v>7.4</v>
      </c>
      <c r="CL59" s="12">
        <f>INDEX(ovrTable25,MATCH(INDEX(oppCol,ROW()),ovrTeamCol25,0),MATCH(MID(INDEX('Structured 2025'!headerRow,1,COLUMN()),4,LEN(INDEX('Structured 2025'!headerRow,1,COLUMN()))),ovrHeaderRow25,0))</f>
        <v>0.6</v>
      </c>
      <c r="CM59" s="12">
        <f>INDEX(ovrTable25,MATCH(INDEX(oppCol,ROW()),ovrTeamCol25,0),MATCH(MID(INDEX('Structured 2025'!headerRow,1,COLUMN()),4,LEN(INDEX('Structured 2025'!headerRow,1,COLUMN()))),ovrHeaderRow25,0))</f>
        <v>11.73</v>
      </c>
      <c r="CN59" s="12">
        <f>INDEX(ovrTable25,MATCH(INDEX(oppCol,ROW()),ovrTeamCol25,0),MATCH(MID(INDEX('Structured 2025'!headerRow,1,COLUMN()),4,LEN(INDEX('Structured 2025'!headerRow,1,COLUMN()))),ovrHeaderRow25,0))</f>
        <v>11.1</v>
      </c>
      <c r="CO59" s="12">
        <f>INDEX(ovrTable25,MATCH(INDEX(oppCol,ROW()),ovrTeamCol25,0),MATCH(MID(INDEX('Structured 2025'!headerRow,1,COLUMN()),4,LEN(INDEX('Structured 2025'!headerRow,1,COLUMN()))),ovrHeaderRow25,0))</f>
        <v>70.099999999999994</v>
      </c>
      <c r="CP59" s="12">
        <f>INDEX(ovrTable25,MATCH(INDEX(oppCol,ROW()),ovrTeamCol25,0),MATCH(MID(INDEX('Structured 2025'!headerRow,1,COLUMN()),4,LEN(INDEX('Structured 2025'!headerRow,1,COLUMN()))),ovrHeaderRow25,0))</f>
        <v>19.749999999999993</v>
      </c>
      <c r="CQ59" s="12">
        <f>INDEX(ovrTable25,MATCH(INDEX(oppCol,ROW()),ovrTeamCol25,0),MATCH(MID(INDEX('Structured 2025'!headerRow,1,COLUMN()),4,LEN(INDEX('Structured 2025'!headerRow,1,COLUMN()))),ovrHeaderRow25,0))</f>
        <v>62.7388535031847</v>
      </c>
    </row>
    <row r="60" spans="1:95" x14ac:dyDescent="0.3">
      <c r="A60" s="6" t="s">
        <v>2</v>
      </c>
      <c r="B60" s="3">
        <v>8</v>
      </c>
      <c r="C60" s="13" t="str">
        <f>A61</f>
        <v>OU</v>
      </c>
      <c r="D60" s="14">
        <f t="shared" si="26"/>
        <v>30</v>
      </c>
      <c r="E60" s="23">
        <v>0.17647058823529413</v>
      </c>
      <c r="F60" s="24">
        <v>42.857142857142854</v>
      </c>
      <c r="G60" s="24">
        <v>6</v>
      </c>
      <c r="H60" s="23">
        <v>24</v>
      </c>
      <c r="I60" s="24">
        <v>25</v>
      </c>
      <c r="J60" s="25">
        <v>0.76923076923076927</v>
      </c>
      <c r="K60" s="24">
        <v>13</v>
      </c>
      <c r="L60" s="24">
        <v>18</v>
      </c>
      <c r="M60" s="24">
        <v>13</v>
      </c>
      <c r="N60" s="24">
        <v>28</v>
      </c>
      <c r="O60" s="24">
        <v>10</v>
      </c>
      <c r="P60" s="24">
        <v>7</v>
      </c>
      <c r="Q60" s="24">
        <v>5</v>
      </c>
      <c r="R60" s="24">
        <v>13</v>
      </c>
      <c r="S60" s="24">
        <v>5</v>
      </c>
      <c r="T60" s="24">
        <v>25</v>
      </c>
      <c r="U60" s="24">
        <v>20</v>
      </c>
      <c r="V60" s="24">
        <v>0.32075471698113206</v>
      </c>
      <c r="W60" s="26">
        <v>0.48214285714285715</v>
      </c>
      <c r="X60" s="23">
        <v>72.222222222222214</v>
      </c>
      <c r="Y60" s="24">
        <v>59</v>
      </c>
      <c r="Z60" s="24">
        <v>67</v>
      </c>
      <c r="AA60" s="24">
        <v>7</v>
      </c>
      <c r="AB60" s="24">
        <v>41</v>
      </c>
      <c r="AC60" s="24">
        <v>8</v>
      </c>
      <c r="AD60" s="24">
        <v>-1</v>
      </c>
      <c r="AE60" s="24">
        <v>12</v>
      </c>
      <c r="AF60" s="34">
        <f t="shared" si="34"/>
        <v>18</v>
      </c>
      <c r="AG60" s="34">
        <f t="shared" si="35"/>
        <v>31</v>
      </c>
      <c r="AH60" s="46">
        <f t="shared" si="36"/>
        <v>64.55</v>
      </c>
      <c r="AI60" s="51">
        <f t="shared" ref="AI60" si="63">AVERAGE(AH60,AH61)</f>
        <v>65.1875</v>
      </c>
      <c r="AJ60" s="12">
        <f>INDEX(ovrTable25,MATCH(INDEX('Structured 2025'!teamCol,ROW()),ovrTeamCol25,0),MATCH(MID(INDEX('Structured 2025'!headerRow,1,COLUMN()),4,LEN(INDEX('Structured 2025'!headerRow,1,COLUMN()))),ovrHeaderRow25,0))</f>
        <v>35</v>
      </c>
      <c r="AK60" s="12">
        <f>INDEX(ovrTable25,MATCH(INDEX('Structured 2025'!teamCol,ROW()),ovrTeamCol25,0),MATCH(MID(INDEX('Structured 2025'!headerRow,1,COLUMN()),4,LEN(INDEX('Structured 2025'!headerRow,1,COLUMN()))),ovrHeaderRow25,0))</f>
        <v>8.5</v>
      </c>
      <c r="AL60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60" s="12">
        <f>INDEX(ovrTable25,MATCH(INDEX('Structured 2025'!teamCol,ROW()),ovrTeamCol25,0),MATCH(MID(INDEX('Structured 2025'!headerRow,1,COLUMN()),4,LEN(INDEX('Structured 2025'!headerRow,1,COLUMN()))),ovrHeaderRow25,0))</f>
        <v>24.5</v>
      </c>
      <c r="AN60" s="12">
        <f>INDEX(ovrTable25,MATCH(INDEX('Structured 2025'!teamCol,ROW()),ovrTeamCol25,0),MATCH(MID(INDEX('Structured 2025'!headerRow,1,COLUMN()),4,LEN(INDEX('Structured 2025'!headerRow,1,COLUMN()))),ovrHeaderRow25,0))</f>
        <v>1.56</v>
      </c>
      <c r="AO60" s="12">
        <f>INDEX(ovrTable25,MATCH(INDEX('Structured 2025'!teamCol,ROW()),ovrTeamCol25,0),MATCH(MID(INDEX('Structured 2025'!headerRow,1,COLUMN()),4,LEN(INDEX('Structured 2025'!headerRow,1,COLUMN()))),ovrHeaderRow25,0))</f>
        <v>17.3</v>
      </c>
      <c r="AP60" s="12">
        <f>INDEX(ovrTable25,MATCH(INDEX('Structured 2025'!teamCol,ROW()),ovrTeamCol25,0),MATCH(MID(INDEX('Structured 2025'!headerRow,1,COLUMN()),4,LEN(INDEX('Structured 2025'!headerRow,1,COLUMN()))),ovrHeaderRow25,0))</f>
        <v>20.74</v>
      </c>
      <c r="AQ60" s="12">
        <f>INDEX(ovrTable25,MATCH(INDEX('Structured 2025'!teamCol,ROW()),ovrTeamCol25,0),MATCH(MID(INDEX('Structured 2025'!headerRow,1,COLUMN()),4,LEN(INDEX('Structured 2025'!headerRow,1,COLUMN()))),ovrHeaderRow25,0))</f>
        <v>6.2</v>
      </c>
      <c r="AR60" s="12">
        <f>INDEX(ovrTable25,MATCH(INDEX('Structured 2025'!teamCol,ROW()),ovrTeamCol25,0),MATCH(MID(INDEX('Structured 2025'!headerRow,1,COLUMN()),4,LEN(INDEX('Structured 2025'!headerRow,1,COLUMN()))),ovrHeaderRow25,0))</f>
        <v>42.1</v>
      </c>
      <c r="AS60" s="12">
        <f>INDEX(ovrTable25,MATCH(INDEX('Structured 2025'!teamCol,ROW()),ovrTeamCol25,0),MATCH(MID(INDEX('Structured 2025'!headerRow,1,COLUMN()),4,LEN(INDEX('Structured 2025'!headerRow,1,COLUMN()))),ovrHeaderRow25,0))</f>
        <v>24.54</v>
      </c>
      <c r="AT60" s="12">
        <f>INDEX(ovrTable25,MATCH(INDEX('Structured 2025'!teamCol,ROW()),ovrTeamCol25,0),MATCH(MID(INDEX('Structured 2025'!headerRow,1,COLUMN()),4,LEN(INDEX('Structured 2025'!headerRow,1,COLUMN()))),ovrHeaderRow25,0))</f>
        <v>0.55000000000000004</v>
      </c>
      <c r="AU60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60" s="12">
        <f>INDEX(ovrTable25,MATCH(INDEX('Structured 2025'!teamCol,ROW()),ovrTeamCol25,0),MATCH(MID(INDEX('Structured 2025'!headerRow,1,COLUMN()),4,LEN(INDEX('Structured 2025'!headerRow,1,COLUMN()))),ovrHeaderRow25,0))</f>
        <v>47.5</v>
      </c>
      <c r="AW60" s="12">
        <f>INDEX(ovrTable25,MATCH(INDEX('Structured 2025'!teamCol,ROW()),ovrTeamCol25,0),MATCH(MID(INDEX('Structured 2025'!headerRow,1,COLUMN()),4,LEN(INDEX('Structured 2025'!headerRow,1,COLUMN()))),ovrHeaderRow25,0))</f>
        <v>18.3</v>
      </c>
      <c r="AX60" s="12">
        <f>INDEX(ovrTable25,MATCH(INDEX('Structured 2025'!teamCol,ROW()),ovrTeamCol25,0),MATCH(MID(INDEX('Structured 2025'!headerRow,1,COLUMN()),4,LEN(INDEX('Structured 2025'!headerRow,1,COLUMN()))),ovrHeaderRow25,0))</f>
        <v>79.099999999999994</v>
      </c>
      <c r="AY60" s="12">
        <f>INDEX(ovrTable25,MATCH(INDEX('Structured 2025'!teamCol,ROW()),ovrTeamCol25,0),MATCH(MID(INDEX('Structured 2025'!headerRow,1,COLUMN()),4,LEN(INDEX('Structured 2025'!headerRow,1,COLUMN()))),ovrHeaderRow25,0))</f>
        <v>17.7</v>
      </c>
      <c r="AZ60" s="12">
        <f>INDEX(ovrTable25,MATCH(INDEX('Structured 2025'!teamCol,ROW()),ovrTeamCol25,0),MATCH(MID(INDEX('Structured 2025'!headerRow,1,COLUMN()),4,LEN(INDEX('Structured 2025'!headerRow,1,COLUMN()))),ovrHeaderRow25,0))</f>
        <v>14</v>
      </c>
      <c r="BA60" s="12">
        <f>INDEX(ovrTable25,MATCH(INDEX('Structured 2025'!teamCol,ROW()),ovrTeamCol25,0),MATCH(MID(INDEX('Structured 2025'!headerRow,1,COLUMN()),4,LEN(INDEX('Structured 2025'!headerRow,1,COLUMN()))),ovrHeaderRow25,0))</f>
        <v>68</v>
      </c>
      <c r="BB60" s="12">
        <f>INDEX(ovrTable25,MATCH(INDEX('Structured 2025'!teamCol,ROW()),ovrTeamCol25,0),MATCH(MID(INDEX('Structured 2025'!headerRow,1,COLUMN()),4,LEN(INDEX('Structured 2025'!headerRow,1,COLUMN()))),ovrHeaderRow25,0))</f>
        <v>11.2</v>
      </c>
      <c r="BC60" s="12">
        <f>INDEX(ovrTable25,MATCH(INDEX('Structured 2025'!teamCol,ROW()),ovrTeamCol25,0),MATCH(MID(INDEX('Structured 2025'!headerRow,1,COLUMN()),4,LEN(INDEX('Structured 2025'!headerRow,1,COLUMN()))),ovrHeaderRow25,0))</f>
        <v>77</v>
      </c>
      <c r="BD60" s="12">
        <f>INDEX(ovrTable25,MATCH(INDEX('Structured 2025'!teamCol,ROW()),ovrTeamCol25,0),MATCH(MID(INDEX('Structured 2025'!headerRow,1,COLUMN()),4,LEN(INDEX('Structured 2025'!headerRow,1,COLUMN()))),ovrHeaderRow25,0))</f>
        <v>6</v>
      </c>
      <c r="BE60" s="12">
        <f>INDEX(ovrTable25,MATCH(INDEX('Structured 2025'!teamCol,ROW()),ovrTeamCol25,0),MATCH(MID(INDEX('Structured 2025'!headerRow,1,COLUMN()),4,LEN(INDEX('Structured 2025'!headerRow,1,COLUMN()))),ovrHeaderRow25,0))</f>
        <v>35.74</v>
      </c>
      <c r="BF60" s="12">
        <f>INDEX(ovrTable25,MATCH(INDEX('Structured 2025'!teamCol,ROW()),ovrTeamCol25,0),MATCH(MID(INDEX('Structured 2025'!headerRow,1,COLUMN()),4,LEN(INDEX('Structured 2025'!headerRow,1,COLUMN()))),ovrHeaderRow25,0))</f>
        <v>9</v>
      </c>
      <c r="BG60" s="12">
        <f>INDEX(ovrTable25,MATCH(INDEX('Structured 2025'!teamCol,ROW()),ovrTeamCol25,0),MATCH(MID(INDEX('Structured 2025'!headerRow,1,COLUMN()),4,LEN(INDEX('Structured 2025'!headerRow,1,COLUMN()))),ovrHeaderRow25,0))</f>
        <v>5.4</v>
      </c>
      <c r="BH60" s="12">
        <f>INDEX(ovrTable25,MATCH(INDEX('Structured 2025'!teamCol,ROW()),ovrTeamCol25,0),MATCH(MID(INDEX('Structured 2025'!headerRow,1,COLUMN()),4,LEN(INDEX('Structured 2025'!headerRow,1,COLUMN()))),ovrHeaderRow25,0))</f>
        <v>-0.9</v>
      </c>
      <c r="BI60" s="12">
        <f>INDEX(ovrTable25,MATCH(INDEX('Structured 2025'!teamCol,ROW()),ovrTeamCol25,0),MATCH(MID(INDEX('Structured 2025'!headerRow,1,COLUMN()),4,LEN(INDEX('Structured 2025'!headerRow,1,COLUMN()))),ovrHeaderRow25,0))</f>
        <v>10.26</v>
      </c>
      <c r="BJ60" s="12">
        <f>INDEX(ovrTable25,MATCH(INDEX('Structured 2025'!teamCol,ROW()),ovrTeamCol25,0),MATCH(MID(INDEX('Structured 2025'!headerRow,1,COLUMN()),4,LEN(INDEX('Structured 2025'!headerRow,1,COLUMN()))),ovrHeaderRow25,0))</f>
        <v>11.1</v>
      </c>
      <c r="BK60" s="12">
        <f>INDEX(ovrTable25,MATCH(INDEX('Structured 2025'!teamCol,ROW()),ovrTeamCol25,0),MATCH(MID(INDEX('Structured 2025'!headerRow,1,COLUMN()),4,LEN(INDEX('Structured 2025'!headerRow,1,COLUMN()))),ovrHeaderRow25,0))</f>
        <v>64</v>
      </c>
      <c r="BL60" s="12">
        <f>INDEX(ovrTable25,MATCH(INDEX('Structured 2025'!teamCol,ROW()),ovrTeamCol25,0),MATCH(MID(INDEX('Structured 2025'!headerRow,1,COLUMN()),4,LEN(INDEX('Structured 2025'!headerRow,1,COLUMN()))),ovrHeaderRow25,0))</f>
        <v>18.75</v>
      </c>
      <c r="BM60" s="12">
        <f>INDEX(ovrTable25,MATCH(INDEX('Structured 2025'!teamCol,ROW()),ovrTeamCol25,0),MATCH(MID(INDEX('Structured 2025'!headerRow,1,COLUMN()),4,LEN(INDEX('Structured 2025'!headerRow,1,COLUMN()))),ovrHeaderRow25,0))</f>
        <v>57.368421052631582</v>
      </c>
      <c r="BN60" s="12">
        <f>INDEX(ovrTable25,MATCH(INDEX(oppCol,ROW()),ovrTeamCol25,0),MATCH(MID(INDEX('Structured 2025'!headerRow,1,COLUMN()),4,LEN(INDEX('Structured 2025'!headerRow,1,COLUMN()))),ovrHeaderRow25,0))</f>
        <v>30.3</v>
      </c>
      <c r="BO60" s="12">
        <f>INDEX(ovrTable25,MATCH(INDEX(oppCol,ROW()),ovrTeamCol25,0),MATCH(MID(INDEX('Structured 2025'!headerRow,1,COLUMN()),4,LEN(INDEX('Structured 2025'!headerRow,1,COLUMN()))),ovrHeaderRow25,0))</f>
        <v>8.5</v>
      </c>
      <c r="BP60" s="12">
        <f>INDEX(ovrTable25,MATCH(INDEX(oppCol,ROW()),ovrTeamCol25,0),MATCH(MID(INDEX('Structured 2025'!headerRow,1,COLUMN()),4,LEN(INDEX('Structured 2025'!headerRow,1,COLUMN()))),ovrHeaderRow25,0))</f>
        <v>36.5</v>
      </c>
      <c r="BQ60" s="12">
        <f>INDEX(ovrTable25,MATCH(INDEX(oppCol,ROW()),ovrTeamCol25,0),MATCH(MID(INDEX('Structured 2025'!headerRow,1,COLUMN()),4,LEN(INDEX('Structured 2025'!headerRow,1,COLUMN()))),ovrHeaderRow25,0))</f>
        <v>23.2</v>
      </c>
      <c r="BR60" s="12">
        <f>INDEX(ovrTable25,MATCH(INDEX(oppCol,ROW()),ovrTeamCol25,0),MATCH(MID(INDEX('Structured 2025'!headerRow,1,COLUMN()),4,LEN(INDEX('Structured 2025'!headerRow,1,COLUMN()))),ovrHeaderRow25,0))</f>
        <v>1.1100000000000001</v>
      </c>
      <c r="BS60" s="12">
        <f>INDEX(ovrTable25,MATCH(INDEX(oppCol,ROW()),ovrTeamCol25,0),MATCH(MID(INDEX('Structured 2025'!headerRow,1,COLUMN()),4,LEN(INDEX('Structured 2025'!headerRow,1,COLUMN()))),ovrHeaderRow25,0))</f>
        <v>13.4</v>
      </c>
      <c r="BT60" s="12">
        <f>INDEX(ovrTable25,MATCH(INDEX(oppCol,ROW()),ovrTeamCol25,0),MATCH(MID(INDEX('Structured 2025'!headerRow,1,COLUMN()),4,LEN(INDEX('Structured 2025'!headerRow,1,COLUMN()))),ovrHeaderRow25,0))</f>
        <v>20.94</v>
      </c>
      <c r="BU60" s="12">
        <f>INDEX(ovrTable25,MATCH(INDEX(oppCol,ROW()),ovrTeamCol25,0),MATCH(MID(INDEX('Structured 2025'!headerRow,1,COLUMN()),4,LEN(INDEX('Structured 2025'!headerRow,1,COLUMN()))),ovrHeaderRow25,0))</f>
        <v>2.2999999999999998</v>
      </c>
      <c r="BV60" s="12">
        <f>INDEX(ovrTable25,MATCH(INDEX(oppCol,ROW()),ovrTeamCol25,0),MATCH(MID(INDEX('Structured 2025'!headerRow,1,COLUMN()),4,LEN(INDEX('Structured 2025'!headerRow,1,COLUMN()))),ovrHeaderRow25,0))</f>
        <v>44.6</v>
      </c>
      <c r="BW60" s="12">
        <f>INDEX(ovrTable25,MATCH(INDEX(oppCol,ROW()),ovrTeamCol25,0),MATCH(MID(INDEX('Structured 2025'!headerRow,1,COLUMN()),4,LEN(INDEX('Structured 2025'!headerRow,1,COLUMN()))),ovrHeaderRow25,0))</f>
        <v>23.68</v>
      </c>
      <c r="BX60" s="12">
        <f>INDEX(ovrTable25,MATCH(INDEX(oppCol,ROW()),ovrTeamCol25,0),MATCH(MID(INDEX('Structured 2025'!headerRow,1,COLUMN()),4,LEN(INDEX('Structured 2025'!headerRow,1,COLUMN()))),ovrHeaderRow25,0))</f>
        <v>0.54400000000000004</v>
      </c>
      <c r="BY60" s="12">
        <f>INDEX(ovrTable25,MATCH(INDEX(oppCol,ROW()),ovrTeamCol25,0),MATCH(MID(INDEX('Structured 2025'!headerRow,1,COLUMN()),4,LEN(INDEX('Structured 2025'!headerRow,1,COLUMN()))),ovrHeaderRow25,0))</f>
        <v>12.21</v>
      </c>
      <c r="BZ60" s="12">
        <f>INDEX(ovrTable25,MATCH(INDEX(oppCol,ROW()),ovrTeamCol25,0),MATCH(MID(INDEX('Structured 2025'!headerRow,1,COLUMN()),4,LEN(INDEX('Structured 2025'!headerRow,1,COLUMN()))),ovrHeaderRow25,0))</f>
        <v>46.8</v>
      </c>
      <c r="CA60" s="12">
        <f>INDEX(ovrTable25,MATCH(INDEX(oppCol,ROW()),ovrTeamCol25,0),MATCH(MID(INDEX('Structured 2025'!headerRow,1,COLUMN()),4,LEN(INDEX('Structured 2025'!headerRow,1,COLUMN()))),ovrHeaderRow25,0))</f>
        <v>18.5</v>
      </c>
      <c r="CB60" s="12">
        <f>INDEX(ovrTable25,MATCH(INDEX(oppCol,ROW()),ovrTeamCol25,0),MATCH(MID(INDEX('Structured 2025'!headerRow,1,COLUMN()),4,LEN(INDEX('Structured 2025'!headerRow,1,COLUMN()))),ovrHeaderRow25,0))</f>
        <v>79.5</v>
      </c>
      <c r="CC60" s="12">
        <f>INDEX(ovrTable25,MATCH(INDEX(oppCol,ROW()),ovrTeamCol25,0),MATCH(MID(INDEX('Structured 2025'!headerRow,1,COLUMN()),4,LEN(INDEX('Structured 2025'!headerRow,1,COLUMN()))),ovrHeaderRow25,0))</f>
        <v>22.2</v>
      </c>
      <c r="CD60" s="12">
        <f>INDEX(ovrTable25,MATCH(INDEX(oppCol,ROW()),ovrTeamCol25,0),MATCH(MID(INDEX('Structured 2025'!headerRow,1,COLUMN()),4,LEN(INDEX('Structured 2025'!headerRow,1,COLUMN()))),ovrHeaderRow25,0))</f>
        <v>17.7</v>
      </c>
      <c r="CE60" s="12">
        <f>INDEX(ovrTable25,MATCH(INDEX(oppCol,ROW()),ovrTeamCol25,0),MATCH(MID(INDEX('Structured 2025'!headerRow,1,COLUMN()),4,LEN(INDEX('Structured 2025'!headerRow,1,COLUMN()))),ovrHeaderRow25,0))</f>
        <v>74.599999999999994</v>
      </c>
      <c r="CF60" s="12">
        <f>INDEX(ovrTable25,MATCH(INDEX(oppCol,ROW()),ovrTeamCol25,0),MATCH(MID(INDEX('Structured 2025'!headerRow,1,COLUMN()),4,LEN(INDEX('Structured 2025'!headerRow,1,COLUMN()))),ovrHeaderRow25,0))</f>
        <v>8.44</v>
      </c>
      <c r="CG60" s="12">
        <f>INDEX(ovrTable25,MATCH(INDEX(oppCol,ROW()),ovrTeamCol25,0),MATCH(MID(INDEX('Structured 2025'!headerRow,1,COLUMN()),4,LEN(INDEX('Structured 2025'!headerRow,1,COLUMN()))),ovrHeaderRow25,0))</f>
        <v>78.3</v>
      </c>
      <c r="CH60" s="12">
        <f>INDEX(ovrTable25,MATCH(INDEX(oppCol,ROW()),ovrTeamCol25,0),MATCH(MID(INDEX('Structured 2025'!headerRow,1,COLUMN()),4,LEN(INDEX('Structured 2025'!headerRow,1,COLUMN()))),ovrHeaderRow25,0))</f>
        <v>-2.2000000000000002</v>
      </c>
      <c r="CI60" s="12">
        <f>INDEX(ovrTable25,MATCH(INDEX(oppCol,ROW()),ovrTeamCol25,0),MATCH(MID(INDEX('Structured 2025'!headerRow,1,COLUMN()),4,LEN(INDEX('Structured 2025'!headerRow,1,COLUMN()))),ovrHeaderRow25,0))</f>
        <v>32.119999999999997</v>
      </c>
      <c r="CJ60" s="12">
        <f>INDEX(ovrTable25,MATCH(INDEX(oppCol,ROW()),ovrTeamCol25,0),MATCH(MID(INDEX('Structured 2025'!headerRow,1,COLUMN()),4,LEN(INDEX('Structured 2025'!headerRow,1,COLUMN()))),ovrHeaderRow25,0))</f>
        <v>3.6</v>
      </c>
      <c r="CK60" s="12">
        <f>INDEX(ovrTable25,MATCH(INDEX(oppCol,ROW()),ovrTeamCol25,0),MATCH(MID(INDEX('Structured 2025'!headerRow,1,COLUMN()),4,LEN(INDEX('Structured 2025'!headerRow,1,COLUMN()))),ovrHeaderRow25,0))</f>
        <v>7.8</v>
      </c>
      <c r="CL60" s="12">
        <f>INDEX(ovrTable25,MATCH(INDEX(oppCol,ROW()),ovrTeamCol25,0),MATCH(MID(INDEX('Structured 2025'!headerRow,1,COLUMN()),4,LEN(INDEX('Structured 2025'!headerRow,1,COLUMN()))),ovrHeaderRow25,0))</f>
        <v>0.6</v>
      </c>
      <c r="CM60" s="12">
        <f>INDEX(ovrTable25,MATCH(INDEX(oppCol,ROW()),ovrTeamCol25,0),MATCH(MID(INDEX('Structured 2025'!headerRow,1,COLUMN()),4,LEN(INDEX('Structured 2025'!headerRow,1,COLUMN()))),ovrHeaderRow25,0))</f>
        <v>12.71</v>
      </c>
      <c r="CN60" s="12">
        <f>INDEX(ovrTable25,MATCH(INDEX(oppCol,ROW()),ovrTeamCol25,0),MATCH(MID(INDEX('Structured 2025'!headerRow,1,COLUMN()),4,LEN(INDEX('Structured 2025'!headerRow,1,COLUMN()))),ovrHeaderRow25,0))</f>
        <v>12.1</v>
      </c>
      <c r="CO60" s="12">
        <f>INDEX(ovrTable25,MATCH(INDEX(oppCol,ROW()),ovrTeamCol25,0),MATCH(MID(INDEX('Structured 2025'!headerRow,1,COLUMN()),4,LEN(INDEX('Structured 2025'!headerRow,1,COLUMN()))),ovrHeaderRow25,0))</f>
        <v>68.8</v>
      </c>
      <c r="CP60" s="12">
        <f>INDEX(ovrTable25,MATCH(INDEX(oppCol,ROW()),ovrTeamCol25,0),MATCH(MID(INDEX('Structured 2025'!headerRow,1,COLUMN()),4,LEN(INDEX('Structured 2025'!headerRow,1,COLUMN()))),ovrHeaderRow25,0))</f>
        <v>17.549999999999997</v>
      </c>
      <c r="CQ60" s="12">
        <f>INDEX(ovrTable25,MATCH(INDEX(oppCol,ROW()),ovrTeamCol25,0),MATCH(MID(INDEX('Structured 2025'!headerRow,1,COLUMN()),4,LEN(INDEX('Structured 2025'!headerRow,1,COLUMN()))),ovrHeaderRow25,0))</f>
        <v>55.662393162393158</v>
      </c>
    </row>
    <row r="61" spans="1:95" x14ac:dyDescent="0.3">
      <c r="A61" s="6" t="s">
        <v>332</v>
      </c>
      <c r="B61" s="3">
        <v>9</v>
      </c>
      <c r="C61" s="13" t="str">
        <f>A60</f>
        <v>CONN</v>
      </c>
      <c r="D61" s="14">
        <f t="shared" si="26"/>
        <v>30</v>
      </c>
      <c r="E61" s="23">
        <v>0.24</v>
      </c>
      <c r="F61" s="24">
        <v>32.075471698113205</v>
      </c>
      <c r="G61" s="24">
        <v>3</v>
      </c>
      <c r="H61" s="23">
        <v>17.647058823529413</v>
      </c>
      <c r="I61" s="24">
        <v>17</v>
      </c>
      <c r="J61" s="25">
        <v>0.41666666666666669</v>
      </c>
      <c r="K61" s="24">
        <v>22</v>
      </c>
      <c r="L61" s="24">
        <v>27</v>
      </c>
      <c r="M61" s="24">
        <v>12</v>
      </c>
      <c r="N61" s="24">
        <v>22</v>
      </c>
      <c r="O61" s="24">
        <v>5</v>
      </c>
      <c r="P61" s="24">
        <v>7</v>
      </c>
      <c r="Q61" s="24">
        <v>2</v>
      </c>
      <c r="R61" s="24">
        <v>12</v>
      </c>
      <c r="S61" s="24">
        <v>12</v>
      </c>
      <c r="T61" s="24">
        <v>18</v>
      </c>
      <c r="U61" s="24">
        <v>7</v>
      </c>
      <c r="V61" s="24">
        <v>0.42857142857142855</v>
      </c>
      <c r="W61" s="26">
        <v>0.34905660377358488</v>
      </c>
      <c r="X61" s="23">
        <v>81.481481481481481</v>
      </c>
      <c r="Y61" s="24">
        <v>67</v>
      </c>
      <c r="Z61" s="24">
        <v>59</v>
      </c>
      <c r="AA61" s="24">
        <v>-7</v>
      </c>
      <c r="AB61" s="24">
        <v>34</v>
      </c>
      <c r="AC61" s="24">
        <v>-8</v>
      </c>
      <c r="AD61" s="24">
        <v>1</v>
      </c>
      <c r="AE61" s="24">
        <v>13</v>
      </c>
      <c r="AF61" s="34">
        <f t="shared" si="34"/>
        <v>14</v>
      </c>
      <c r="AG61" s="34">
        <f t="shared" si="35"/>
        <v>36</v>
      </c>
      <c r="AH61" s="46">
        <f t="shared" si="36"/>
        <v>65.825000000000003</v>
      </c>
      <c r="AI61" s="51">
        <f t="shared" ref="AI61" si="64">AVERAGE(AH60,AH61)</f>
        <v>65.1875</v>
      </c>
      <c r="AJ61" s="12">
        <f>INDEX(ovrTable25,MATCH(INDEX('Structured 2025'!teamCol,ROW()),ovrTeamCol25,0),MATCH(MID(INDEX('Structured 2025'!headerRow,1,COLUMN()),4,LEN(INDEX('Structured 2025'!headerRow,1,COLUMN()))),ovrHeaderRow25,0))</f>
        <v>30.3</v>
      </c>
      <c r="AK61" s="12">
        <f>INDEX(ovrTable25,MATCH(INDEX('Structured 2025'!teamCol,ROW()),ovrTeamCol25,0),MATCH(MID(INDEX('Structured 2025'!headerRow,1,COLUMN()),4,LEN(INDEX('Structured 2025'!headerRow,1,COLUMN()))),ovrHeaderRow25,0))</f>
        <v>8.5</v>
      </c>
      <c r="AL61" s="12">
        <f>INDEX(ovrTable25,MATCH(INDEX('Structured 2025'!teamCol,ROW()),ovrTeamCol25,0),MATCH(MID(INDEX('Structured 2025'!headerRow,1,COLUMN()),4,LEN(INDEX('Structured 2025'!headerRow,1,COLUMN()))),ovrHeaderRow25,0))</f>
        <v>36.5</v>
      </c>
      <c r="AM61" s="12">
        <f>INDEX(ovrTable25,MATCH(INDEX('Structured 2025'!teamCol,ROW()),ovrTeamCol25,0),MATCH(MID(INDEX('Structured 2025'!headerRow,1,COLUMN()),4,LEN(INDEX('Structured 2025'!headerRow,1,COLUMN()))),ovrHeaderRow25,0))</f>
        <v>23.2</v>
      </c>
      <c r="AN61" s="12">
        <f>INDEX(ovrTable25,MATCH(INDEX('Structured 2025'!teamCol,ROW()),ovrTeamCol25,0),MATCH(MID(INDEX('Structured 2025'!headerRow,1,COLUMN()),4,LEN(INDEX('Structured 2025'!headerRow,1,COLUMN()))),ovrHeaderRow25,0))</f>
        <v>1.1100000000000001</v>
      </c>
      <c r="AO61" s="12">
        <f>INDEX(ovrTable25,MATCH(INDEX('Structured 2025'!teamCol,ROW()),ovrTeamCol25,0),MATCH(MID(INDEX('Structured 2025'!headerRow,1,COLUMN()),4,LEN(INDEX('Structured 2025'!headerRow,1,COLUMN()))),ovrHeaderRow25,0))</f>
        <v>13.4</v>
      </c>
      <c r="AP61" s="12">
        <f>INDEX(ovrTable25,MATCH(INDEX('Structured 2025'!teamCol,ROW()),ovrTeamCol25,0),MATCH(MID(INDEX('Structured 2025'!headerRow,1,COLUMN()),4,LEN(INDEX('Structured 2025'!headerRow,1,COLUMN()))),ovrHeaderRow25,0))</f>
        <v>20.94</v>
      </c>
      <c r="AQ61" s="12">
        <f>INDEX(ovrTable25,MATCH(INDEX('Structured 2025'!teamCol,ROW()),ovrTeamCol25,0),MATCH(MID(INDEX('Structured 2025'!headerRow,1,COLUMN()),4,LEN(INDEX('Structured 2025'!headerRow,1,COLUMN()))),ovrHeaderRow25,0))</f>
        <v>2.2999999999999998</v>
      </c>
      <c r="AR61" s="12">
        <f>INDEX(ovrTable25,MATCH(INDEX('Structured 2025'!teamCol,ROW()),ovrTeamCol25,0),MATCH(MID(INDEX('Structured 2025'!headerRow,1,COLUMN()),4,LEN(INDEX('Structured 2025'!headerRow,1,COLUMN()))),ovrHeaderRow25,0))</f>
        <v>44.6</v>
      </c>
      <c r="AS61" s="12">
        <f>INDEX(ovrTable25,MATCH(INDEX('Structured 2025'!teamCol,ROW()),ovrTeamCol25,0),MATCH(MID(INDEX('Structured 2025'!headerRow,1,COLUMN()),4,LEN(INDEX('Structured 2025'!headerRow,1,COLUMN()))),ovrHeaderRow25,0))</f>
        <v>23.68</v>
      </c>
      <c r="AT61" s="12">
        <f>INDEX(ovrTable25,MATCH(INDEX('Structured 2025'!teamCol,ROW()),ovrTeamCol25,0),MATCH(MID(INDEX('Structured 2025'!headerRow,1,COLUMN()),4,LEN(INDEX('Structured 2025'!headerRow,1,COLUMN()))),ovrHeaderRow25,0))</f>
        <v>0.54400000000000004</v>
      </c>
      <c r="AU61" s="12">
        <f>INDEX(ovrTable25,MATCH(INDEX('Structured 2025'!teamCol,ROW()),ovrTeamCol25,0),MATCH(MID(INDEX('Structured 2025'!headerRow,1,COLUMN()),4,LEN(INDEX('Structured 2025'!headerRow,1,COLUMN()))),ovrHeaderRow25,0))</f>
        <v>12.21</v>
      </c>
      <c r="AV61" s="12">
        <f>INDEX(ovrTable25,MATCH(INDEX('Structured 2025'!teamCol,ROW()),ovrTeamCol25,0),MATCH(MID(INDEX('Structured 2025'!headerRow,1,COLUMN()),4,LEN(INDEX('Structured 2025'!headerRow,1,COLUMN()))),ovrHeaderRow25,0))</f>
        <v>46.8</v>
      </c>
      <c r="AW61" s="12">
        <f>INDEX(ovrTable25,MATCH(INDEX('Structured 2025'!teamCol,ROW()),ovrTeamCol25,0),MATCH(MID(INDEX('Structured 2025'!headerRow,1,COLUMN()),4,LEN(INDEX('Structured 2025'!headerRow,1,COLUMN()))),ovrHeaderRow25,0))</f>
        <v>18.5</v>
      </c>
      <c r="AX61" s="12">
        <f>INDEX(ovrTable25,MATCH(INDEX('Structured 2025'!teamCol,ROW()),ovrTeamCol25,0),MATCH(MID(INDEX('Structured 2025'!headerRow,1,COLUMN()),4,LEN(INDEX('Structured 2025'!headerRow,1,COLUMN()))),ovrHeaderRow25,0))</f>
        <v>79.5</v>
      </c>
      <c r="AY61" s="12">
        <f>INDEX(ovrTable25,MATCH(INDEX('Structured 2025'!teamCol,ROW()),ovrTeamCol25,0),MATCH(MID(INDEX('Structured 2025'!headerRow,1,COLUMN()),4,LEN(INDEX('Structured 2025'!headerRow,1,COLUMN()))),ovrHeaderRow25,0))</f>
        <v>22.2</v>
      </c>
      <c r="AZ61" s="12">
        <f>INDEX(ovrTable25,MATCH(INDEX('Structured 2025'!teamCol,ROW()),ovrTeamCol25,0),MATCH(MID(INDEX('Structured 2025'!headerRow,1,COLUMN()),4,LEN(INDEX('Structured 2025'!headerRow,1,COLUMN()))),ovrHeaderRow25,0))</f>
        <v>17.7</v>
      </c>
      <c r="BA61" s="12">
        <f>INDEX(ovrTable25,MATCH(INDEX('Structured 2025'!teamCol,ROW()),ovrTeamCol25,0),MATCH(MID(INDEX('Structured 2025'!headerRow,1,COLUMN()),4,LEN(INDEX('Structured 2025'!headerRow,1,COLUMN()))),ovrHeaderRow25,0))</f>
        <v>74.599999999999994</v>
      </c>
      <c r="BB61" s="12">
        <f>INDEX(ovrTable25,MATCH(INDEX('Structured 2025'!teamCol,ROW()),ovrTeamCol25,0),MATCH(MID(INDEX('Structured 2025'!headerRow,1,COLUMN()),4,LEN(INDEX('Structured 2025'!headerRow,1,COLUMN()))),ovrHeaderRow25,0))</f>
        <v>8.44</v>
      </c>
      <c r="BC61" s="12">
        <f>INDEX(ovrTable25,MATCH(INDEX('Structured 2025'!teamCol,ROW()),ovrTeamCol25,0),MATCH(MID(INDEX('Structured 2025'!headerRow,1,COLUMN()),4,LEN(INDEX('Structured 2025'!headerRow,1,COLUMN()))),ovrHeaderRow25,0))</f>
        <v>78.3</v>
      </c>
      <c r="BD61" s="12">
        <f>INDEX(ovrTable25,MATCH(INDEX('Structured 2025'!teamCol,ROW()),ovrTeamCol25,0),MATCH(MID(INDEX('Structured 2025'!headerRow,1,COLUMN()),4,LEN(INDEX('Structured 2025'!headerRow,1,COLUMN()))),ovrHeaderRow25,0))</f>
        <v>-2.2000000000000002</v>
      </c>
      <c r="BE61" s="12">
        <f>INDEX(ovrTable25,MATCH(INDEX('Structured 2025'!teamCol,ROW()),ovrTeamCol25,0),MATCH(MID(INDEX('Structured 2025'!headerRow,1,COLUMN()),4,LEN(INDEX('Structured 2025'!headerRow,1,COLUMN()))),ovrHeaderRow25,0))</f>
        <v>32.119999999999997</v>
      </c>
      <c r="BF61" s="12">
        <f>INDEX(ovrTable25,MATCH(INDEX('Structured 2025'!teamCol,ROW()),ovrTeamCol25,0),MATCH(MID(INDEX('Structured 2025'!headerRow,1,COLUMN()),4,LEN(INDEX('Structured 2025'!headerRow,1,COLUMN()))),ovrHeaderRow25,0))</f>
        <v>3.6</v>
      </c>
      <c r="BG61" s="12">
        <f>INDEX(ovrTable25,MATCH(INDEX('Structured 2025'!teamCol,ROW()),ovrTeamCol25,0),MATCH(MID(INDEX('Structured 2025'!headerRow,1,COLUMN()),4,LEN(INDEX('Structured 2025'!headerRow,1,COLUMN()))),ovrHeaderRow25,0))</f>
        <v>7.8</v>
      </c>
      <c r="BH61" s="12">
        <f>INDEX(ovrTable25,MATCH(INDEX('Structured 2025'!teamCol,ROW()),ovrTeamCol25,0),MATCH(MID(INDEX('Structured 2025'!headerRow,1,COLUMN()),4,LEN(INDEX('Structured 2025'!headerRow,1,COLUMN()))),ovrHeaderRow25,0))</f>
        <v>0.6</v>
      </c>
      <c r="BI61" s="12">
        <f>INDEX(ovrTable25,MATCH(INDEX('Structured 2025'!teamCol,ROW()),ovrTeamCol25,0),MATCH(MID(INDEX('Structured 2025'!headerRow,1,COLUMN()),4,LEN(INDEX('Structured 2025'!headerRow,1,COLUMN()))),ovrHeaderRow25,0))</f>
        <v>12.71</v>
      </c>
      <c r="BJ61" s="12">
        <f>INDEX(ovrTable25,MATCH(INDEX('Structured 2025'!teamCol,ROW()),ovrTeamCol25,0),MATCH(MID(INDEX('Structured 2025'!headerRow,1,COLUMN()),4,LEN(INDEX('Structured 2025'!headerRow,1,COLUMN()))),ovrHeaderRow25,0))</f>
        <v>12.1</v>
      </c>
      <c r="BK61" s="12">
        <f>INDEX(ovrTable25,MATCH(INDEX('Structured 2025'!teamCol,ROW()),ovrTeamCol25,0),MATCH(MID(INDEX('Structured 2025'!headerRow,1,COLUMN()),4,LEN(INDEX('Structured 2025'!headerRow,1,COLUMN()))),ovrHeaderRow25,0))</f>
        <v>68.8</v>
      </c>
      <c r="BL61" s="12">
        <f>INDEX(ovrTable25,MATCH(INDEX('Structured 2025'!teamCol,ROW()),ovrTeamCol25,0),MATCH(MID(INDEX('Structured 2025'!headerRow,1,COLUMN()),4,LEN(INDEX('Structured 2025'!headerRow,1,COLUMN()))),ovrHeaderRow25,0))</f>
        <v>17.549999999999997</v>
      </c>
      <c r="BM61" s="12">
        <f>INDEX(ovrTable25,MATCH(INDEX('Structured 2025'!teamCol,ROW()),ovrTeamCol25,0),MATCH(MID(INDEX('Structured 2025'!headerRow,1,COLUMN()),4,LEN(INDEX('Structured 2025'!headerRow,1,COLUMN()))),ovrHeaderRow25,0))</f>
        <v>55.662393162393158</v>
      </c>
      <c r="BN61" s="12">
        <f>INDEX(ovrTable25,MATCH(INDEX(oppCol,ROW()),ovrTeamCol25,0),MATCH(MID(INDEX('Structured 2025'!headerRow,1,COLUMN()),4,LEN(INDEX('Structured 2025'!headerRow,1,COLUMN()))),ovrHeaderRow25,0))</f>
        <v>35</v>
      </c>
      <c r="BO61" s="12">
        <f>INDEX(ovrTable25,MATCH(INDEX(oppCol,ROW()),ovrTeamCol25,0),MATCH(MID(INDEX('Structured 2025'!headerRow,1,COLUMN()),4,LEN(INDEX('Structured 2025'!headerRow,1,COLUMN()))),ovrHeaderRow25,0))</f>
        <v>8.5</v>
      </c>
      <c r="BP61" s="12">
        <f>INDEX(ovrTable25,MATCH(INDEX(oppCol,ROW()),ovrTeamCol25,0),MATCH(MID(INDEX('Structured 2025'!headerRow,1,COLUMN()),4,LEN(INDEX('Structured 2025'!headerRow,1,COLUMN()))),ovrHeaderRow25,0))</f>
        <v>34.799999999999997</v>
      </c>
      <c r="BQ61" s="12">
        <f>INDEX(ovrTable25,MATCH(INDEX(oppCol,ROW()),ovrTeamCol25,0),MATCH(MID(INDEX('Structured 2025'!headerRow,1,COLUMN()),4,LEN(INDEX('Structured 2025'!headerRow,1,COLUMN()))),ovrHeaderRow25,0))</f>
        <v>24.5</v>
      </c>
      <c r="BR61" s="12">
        <f>INDEX(ovrTable25,MATCH(INDEX(oppCol,ROW()),ovrTeamCol25,0),MATCH(MID(INDEX('Structured 2025'!headerRow,1,COLUMN()),4,LEN(INDEX('Structured 2025'!headerRow,1,COLUMN()))),ovrHeaderRow25,0))</f>
        <v>1.56</v>
      </c>
      <c r="BS61" s="12">
        <f>INDEX(ovrTable25,MATCH(INDEX(oppCol,ROW()),ovrTeamCol25,0),MATCH(MID(INDEX('Structured 2025'!headerRow,1,COLUMN()),4,LEN(INDEX('Structured 2025'!headerRow,1,COLUMN()))),ovrHeaderRow25,0))</f>
        <v>17.3</v>
      </c>
      <c r="BT61" s="12">
        <f>INDEX(ovrTable25,MATCH(INDEX(oppCol,ROW()),ovrTeamCol25,0),MATCH(MID(INDEX('Structured 2025'!headerRow,1,COLUMN()),4,LEN(INDEX('Structured 2025'!headerRow,1,COLUMN()))),ovrHeaderRow25,0))</f>
        <v>20.74</v>
      </c>
      <c r="BU61" s="12">
        <f>INDEX(ovrTable25,MATCH(INDEX(oppCol,ROW()),ovrTeamCol25,0),MATCH(MID(INDEX('Structured 2025'!headerRow,1,COLUMN()),4,LEN(INDEX('Structured 2025'!headerRow,1,COLUMN()))),ovrHeaderRow25,0))</f>
        <v>6.2</v>
      </c>
      <c r="BV61" s="12">
        <f>INDEX(ovrTable25,MATCH(INDEX(oppCol,ROW()),ovrTeamCol25,0),MATCH(MID(INDEX('Structured 2025'!headerRow,1,COLUMN()),4,LEN(INDEX('Structured 2025'!headerRow,1,COLUMN()))),ovrHeaderRow25,0))</f>
        <v>42.1</v>
      </c>
      <c r="BW61" s="12">
        <f>INDEX(ovrTable25,MATCH(INDEX(oppCol,ROW()),ovrTeamCol25,0),MATCH(MID(INDEX('Structured 2025'!headerRow,1,COLUMN()),4,LEN(INDEX('Structured 2025'!headerRow,1,COLUMN()))),ovrHeaderRow25,0))</f>
        <v>24.54</v>
      </c>
      <c r="BX61" s="12">
        <f>INDEX(ovrTable25,MATCH(INDEX(oppCol,ROW()),ovrTeamCol25,0),MATCH(MID(INDEX('Structured 2025'!headerRow,1,COLUMN()),4,LEN(INDEX('Structured 2025'!headerRow,1,COLUMN()))),ovrHeaderRow25,0))</f>
        <v>0.55000000000000004</v>
      </c>
      <c r="BY61" s="12">
        <f>INDEX(ovrTable25,MATCH(INDEX(oppCol,ROW()),ovrTeamCol25,0),MATCH(MID(INDEX('Structured 2025'!headerRow,1,COLUMN()),4,LEN(INDEX('Structured 2025'!headerRow,1,COLUMN()))),ovrHeaderRow25,0))</f>
        <v>8.6300000000000008</v>
      </c>
      <c r="BZ61" s="12">
        <f>INDEX(ovrTable25,MATCH(INDEX(oppCol,ROW()),ovrTeamCol25,0),MATCH(MID(INDEX('Structured 2025'!headerRow,1,COLUMN()),4,LEN(INDEX('Structured 2025'!headerRow,1,COLUMN()))),ovrHeaderRow25,0))</f>
        <v>47.5</v>
      </c>
      <c r="CA61" s="12">
        <f>INDEX(ovrTable25,MATCH(INDEX(oppCol,ROW()),ovrTeamCol25,0),MATCH(MID(INDEX('Structured 2025'!headerRow,1,COLUMN()),4,LEN(INDEX('Structured 2025'!headerRow,1,COLUMN()))),ovrHeaderRow25,0))</f>
        <v>18.3</v>
      </c>
      <c r="CB61" s="12">
        <f>INDEX(ovrTable25,MATCH(INDEX(oppCol,ROW()),ovrTeamCol25,0),MATCH(MID(INDEX('Structured 2025'!headerRow,1,COLUMN()),4,LEN(INDEX('Structured 2025'!headerRow,1,COLUMN()))),ovrHeaderRow25,0))</f>
        <v>79.099999999999994</v>
      </c>
      <c r="CC61" s="12">
        <f>INDEX(ovrTable25,MATCH(INDEX(oppCol,ROW()),ovrTeamCol25,0),MATCH(MID(INDEX('Structured 2025'!headerRow,1,COLUMN()),4,LEN(INDEX('Structured 2025'!headerRow,1,COLUMN()))),ovrHeaderRow25,0))</f>
        <v>17.7</v>
      </c>
      <c r="CD61" s="12">
        <f>INDEX(ovrTable25,MATCH(INDEX(oppCol,ROW()),ovrTeamCol25,0),MATCH(MID(INDEX('Structured 2025'!headerRow,1,COLUMN()),4,LEN(INDEX('Structured 2025'!headerRow,1,COLUMN()))),ovrHeaderRow25,0))</f>
        <v>14</v>
      </c>
      <c r="CE61" s="12">
        <f>INDEX(ovrTable25,MATCH(INDEX(oppCol,ROW()),ovrTeamCol25,0),MATCH(MID(INDEX('Structured 2025'!headerRow,1,COLUMN()),4,LEN(INDEX('Structured 2025'!headerRow,1,COLUMN()))),ovrHeaderRow25,0))</f>
        <v>68</v>
      </c>
      <c r="CF61" s="12">
        <f>INDEX(ovrTable25,MATCH(INDEX(oppCol,ROW()),ovrTeamCol25,0),MATCH(MID(INDEX('Structured 2025'!headerRow,1,COLUMN()),4,LEN(INDEX('Structured 2025'!headerRow,1,COLUMN()))),ovrHeaderRow25,0))</f>
        <v>11.2</v>
      </c>
      <c r="CG61" s="12">
        <f>INDEX(ovrTable25,MATCH(INDEX(oppCol,ROW()),ovrTeamCol25,0),MATCH(MID(INDEX('Structured 2025'!headerRow,1,COLUMN()),4,LEN(INDEX('Structured 2025'!headerRow,1,COLUMN()))),ovrHeaderRow25,0))</f>
        <v>77</v>
      </c>
      <c r="CH61" s="12">
        <f>INDEX(ovrTable25,MATCH(INDEX(oppCol,ROW()),ovrTeamCol25,0),MATCH(MID(INDEX('Structured 2025'!headerRow,1,COLUMN()),4,LEN(INDEX('Structured 2025'!headerRow,1,COLUMN()))),ovrHeaderRow25,0))</f>
        <v>6</v>
      </c>
      <c r="CI61" s="12">
        <f>INDEX(ovrTable25,MATCH(INDEX(oppCol,ROW()),ovrTeamCol25,0),MATCH(MID(INDEX('Structured 2025'!headerRow,1,COLUMN()),4,LEN(INDEX('Structured 2025'!headerRow,1,COLUMN()))),ovrHeaderRow25,0))</f>
        <v>35.74</v>
      </c>
      <c r="CJ61" s="12">
        <f>INDEX(ovrTable25,MATCH(INDEX(oppCol,ROW()),ovrTeamCol25,0),MATCH(MID(INDEX('Structured 2025'!headerRow,1,COLUMN()),4,LEN(INDEX('Structured 2025'!headerRow,1,COLUMN()))),ovrHeaderRow25,0))</f>
        <v>9</v>
      </c>
      <c r="CK61" s="12">
        <f>INDEX(ovrTable25,MATCH(INDEX(oppCol,ROW()),ovrTeamCol25,0),MATCH(MID(INDEX('Structured 2025'!headerRow,1,COLUMN()),4,LEN(INDEX('Structured 2025'!headerRow,1,COLUMN()))),ovrHeaderRow25,0))</f>
        <v>5.4</v>
      </c>
      <c r="CL61" s="12">
        <f>INDEX(ovrTable25,MATCH(INDEX(oppCol,ROW()),ovrTeamCol25,0),MATCH(MID(INDEX('Structured 2025'!headerRow,1,COLUMN()),4,LEN(INDEX('Structured 2025'!headerRow,1,COLUMN()))),ovrHeaderRow25,0))</f>
        <v>-0.9</v>
      </c>
      <c r="CM61" s="12">
        <f>INDEX(ovrTable25,MATCH(INDEX(oppCol,ROW()),ovrTeamCol25,0),MATCH(MID(INDEX('Structured 2025'!headerRow,1,COLUMN()),4,LEN(INDEX('Structured 2025'!headerRow,1,COLUMN()))),ovrHeaderRow25,0))</f>
        <v>10.26</v>
      </c>
      <c r="CN61" s="12">
        <f>INDEX(ovrTable25,MATCH(INDEX(oppCol,ROW()),ovrTeamCol25,0),MATCH(MID(INDEX('Structured 2025'!headerRow,1,COLUMN()),4,LEN(INDEX('Structured 2025'!headerRow,1,COLUMN()))),ovrHeaderRow25,0))</f>
        <v>11.1</v>
      </c>
      <c r="CO61" s="12">
        <f>INDEX(ovrTable25,MATCH(INDEX(oppCol,ROW()),ovrTeamCol25,0),MATCH(MID(INDEX('Structured 2025'!headerRow,1,COLUMN()),4,LEN(INDEX('Structured 2025'!headerRow,1,COLUMN()))),ovrHeaderRow25,0))</f>
        <v>64</v>
      </c>
      <c r="CP61" s="12">
        <f>INDEX(ovrTable25,MATCH(INDEX(oppCol,ROW()),ovrTeamCol25,0),MATCH(MID(INDEX('Structured 2025'!headerRow,1,COLUMN()),4,LEN(INDEX('Structured 2025'!headerRow,1,COLUMN()))),ovrHeaderRow25,0))</f>
        <v>18.75</v>
      </c>
      <c r="CQ61" s="12">
        <f>INDEX(ovrTable25,MATCH(INDEX(oppCol,ROW()),ovrTeamCol25,0),MATCH(MID(INDEX('Structured 2025'!headerRow,1,COLUMN()),4,LEN(INDEX('Structured 2025'!headerRow,1,COLUMN()))),ovrHeaderRow25,0))</f>
        <v>57.368421052631582</v>
      </c>
    </row>
    <row r="62" spans="1:95" x14ac:dyDescent="0.3">
      <c r="A62" s="6" t="s">
        <v>342</v>
      </c>
      <c r="B62" s="3">
        <v>5</v>
      </c>
      <c r="C62" s="13" t="str">
        <f>A63</f>
        <v>CSU</v>
      </c>
      <c r="D62" s="14">
        <f t="shared" si="26"/>
        <v>31</v>
      </c>
      <c r="E62" s="23">
        <v>0.36666666666666664</v>
      </c>
      <c r="F62" s="24">
        <v>42.372881355932201</v>
      </c>
      <c r="G62" s="24">
        <v>6</v>
      </c>
      <c r="H62" s="23">
        <v>26.086956521739129</v>
      </c>
      <c r="I62" s="24">
        <v>23</v>
      </c>
      <c r="J62" s="25">
        <v>0.5</v>
      </c>
      <c r="K62" s="24">
        <v>14</v>
      </c>
      <c r="L62" s="24">
        <v>20</v>
      </c>
      <c r="M62" s="24">
        <v>16</v>
      </c>
      <c r="N62" s="24">
        <v>25</v>
      </c>
      <c r="O62" s="24">
        <v>8</v>
      </c>
      <c r="P62" s="24">
        <v>7</v>
      </c>
      <c r="Q62" s="24">
        <v>6</v>
      </c>
      <c r="R62" s="24">
        <v>16</v>
      </c>
      <c r="S62" s="24">
        <v>8</v>
      </c>
      <c r="T62" s="24">
        <v>20</v>
      </c>
      <c r="U62" s="24">
        <v>10</v>
      </c>
      <c r="V62" s="24">
        <v>0.42105263157894735</v>
      </c>
      <c r="W62" s="26">
        <v>0.47457627118644069</v>
      </c>
      <c r="X62" s="23">
        <v>70</v>
      </c>
      <c r="Y62" s="24">
        <v>78</v>
      </c>
      <c r="Z62" s="24">
        <v>70</v>
      </c>
      <c r="AA62" s="24">
        <v>7</v>
      </c>
      <c r="AB62" s="24">
        <v>41</v>
      </c>
      <c r="AC62" s="24">
        <v>-8</v>
      </c>
      <c r="AD62" s="24">
        <v>-6</v>
      </c>
      <c r="AE62" s="24">
        <v>10</v>
      </c>
      <c r="AF62" s="34">
        <f t="shared" si="34"/>
        <v>19</v>
      </c>
      <c r="AG62" s="34">
        <f t="shared" si="35"/>
        <v>36</v>
      </c>
      <c r="AH62" s="46">
        <f t="shared" si="36"/>
        <v>68.5</v>
      </c>
      <c r="AI62" s="51">
        <f t="shared" ref="AI62" si="65">AVERAGE(AH62,AH63)</f>
        <v>67.1875</v>
      </c>
      <c r="AJ62" s="12">
        <f>INDEX(ovrTable25,MATCH(INDEX('Structured 2025'!teamCol,ROW()),ovrTeamCol25,0),MATCH(MID(INDEX('Structured 2025'!headerRow,1,COLUMN()),4,LEN(INDEX('Structured 2025'!headerRow,1,COLUMN()))),ovrHeaderRow25,0))</f>
        <v>32.4</v>
      </c>
      <c r="AK62" s="12">
        <f>INDEX(ovrTable25,MATCH(INDEX('Structured 2025'!teamCol,ROW()),ovrTeamCol25,0),MATCH(MID(INDEX('Structured 2025'!headerRow,1,COLUMN()),4,LEN(INDEX('Structured 2025'!headerRow,1,COLUMN()))),ovrHeaderRow25,0))</f>
        <v>7.4</v>
      </c>
      <c r="AL62" s="12">
        <f>INDEX(ovrTable25,MATCH(INDEX('Structured 2025'!teamCol,ROW()),ovrTeamCol25,0),MATCH(MID(INDEX('Structured 2025'!headerRow,1,COLUMN()),4,LEN(INDEX('Structured 2025'!headerRow,1,COLUMN()))),ovrHeaderRow25,0))</f>
        <v>37.6</v>
      </c>
      <c r="AM62" s="12">
        <f>INDEX(ovrTable25,MATCH(INDEX('Structured 2025'!teamCol,ROW()),ovrTeamCol25,0),MATCH(MID(INDEX('Structured 2025'!headerRow,1,COLUMN()),4,LEN(INDEX('Structured 2025'!headerRow,1,COLUMN()))),ovrHeaderRow25,0))</f>
        <v>19.8</v>
      </c>
      <c r="AN62" s="12">
        <f>INDEX(ovrTable25,MATCH(INDEX('Structured 2025'!teamCol,ROW()),ovrTeamCol25,0),MATCH(MID(INDEX('Structured 2025'!headerRow,1,COLUMN()),4,LEN(INDEX('Structured 2025'!headerRow,1,COLUMN()))),ovrHeaderRow25,0))</f>
        <v>1.04</v>
      </c>
      <c r="AO62" s="12">
        <f>INDEX(ovrTable25,MATCH(INDEX('Structured 2025'!teamCol,ROW()),ovrTeamCol25,0),MATCH(MID(INDEX('Structured 2025'!headerRow,1,COLUMN()),4,LEN(INDEX('Structured 2025'!headerRow,1,COLUMN()))),ovrHeaderRow25,0))</f>
        <v>14.4</v>
      </c>
      <c r="AP62" s="12">
        <f>INDEX(ovrTable25,MATCH(INDEX('Structured 2025'!teamCol,ROW()),ovrTeamCol25,0),MATCH(MID(INDEX('Structured 2025'!headerRow,1,COLUMN()),4,LEN(INDEX('Structured 2025'!headerRow,1,COLUMN()))),ovrHeaderRow25,0))</f>
        <v>16.86</v>
      </c>
      <c r="AQ62" s="12">
        <f>INDEX(ovrTable25,MATCH(INDEX('Structured 2025'!teamCol,ROW()),ovrTeamCol25,0),MATCH(MID(INDEX('Structured 2025'!headerRow,1,COLUMN()),4,LEN(INDEX('Structured 2025'!headerRow,1,COLUMN()))),ovrHeaderRow25,0))</f>
        <v>4.7</v>
      </c>
      <c r="AR62" s="12">
        <f>INDEX(ovrTable25,MATCH(INDEX('Structured 2025'!teamCol,ROW()),ovrTeamCol25,0),MATCH(MID(INDEX('Structured 2025'!headerRow,1,COLUMN()),4,LEN(INDEX('Structured 2025'!headerRow,1,COLUMN()))),ovrHeaderRow25,0))</f>
        <v>41.9</v>
      </c>
      <c r="AS62" s="12">
        <f>INDEX(ovrTable25,MATCH(INDEX('Structured 2025'!teamCol,ROW()),ovrTeamCol25,0),MATCH(MID(INDEX('Structured 2025'!headerRow,1,COLUMN()),4,LEN(INDEX('Structured 2025'!headerRow,1,COLUMN()))),ovrHeaderRow25,0))</f>
        <v>25.31</v>
      </c>
      <c r="AT62" s="12">
        <f>INDEX(ovrTable25,MATCH(INDEX('Structured 2025'!teamCol,ROW()),ovrTeamCol25,0),MATCH(MID(INDEX('Structured 2025'!headerRow,1,COLUMN()),4,LEN(INDEX('Structured 2025'!headerRow,1,COLUMN()))),ovrHeaderRow25,0))</f>
        <v>0.53500000000000003</v>
      </c>
      <c r="AU62" s="12">
        <f>INDEX(ovrTable25,MATCH(INDEX('Structured 2025'!teamCol,ROW()),ovrTeamCol25,0),MATCH(MID(INDEX('Structured 2025'!headerRow,1,COLUMN()),4,LEN(INDEX('Structured 2025'!headerRow,1,COLUMN()))),ovrHeaderRow25,0))</f>
        <v>13.91</v>
      </c>
      <c r="AV62" s="12">
        <f>INDEX(ovrTable25,MATCH(INDEX('Structured 2025'!teamCol,ROW()),ovrTeamCol25,0),MATCH(MID(INDEX('Structured 2025'!headerRow,1,COLUMN()),4,LEN(INDEX('Structured 2025'!headerRow,1,COLUMN()))),ovrHeaderRow25,0))</f>
        <v>47.2</v>
      </c>
      <c r="AW62" s="12">
        <f>INDEX(ovrTable25,MATCH(INDEX('Structured 2025'!teamCol,ROW()),ovrTeamCol25,0),MATCH(MID(INDEX('Structured 2025'!headerRow,1,COLUMN()),4,LEN(INDEX('Structured 2025'!headerRow,1,COLUMN()))),ovrHeaderRow25,0))</f>
        <v>17.8</v>
      </c>
      <c r="AX62" s="12">
        <f>INDEX(ovrTable25,MATCH(INDEX('Structured 2025'!teamCol,ROW()),ovrTeamCol25,0),MATCH(MID(INDEX('Structured 2025'!headerRow,1,COLUMN()),4,LEN(INDEX('Structured 2025'!headerRow,1,COLUMN()))),ovrHeaderRow25,0))</f>
        <v>70.2</v>
      </c>
      <c r="AY62" s="12">
        <f>INDEX(ovrTable25,MATCH(INDEX('Structured 2025'!teamCol,ROW()),ovrTeamCol25,0),MATCH(MID(INDEX('Structured 2025'!headerRow,1,COLUMN()),4,LEN(INDEX('Structured 2025'!headerRow,1,COLUMN()))),ovrHeaderRow25,0))</f>
        <v>23.3</v>
      </c>
      <c r="AZ62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BA62" s="12">
        <f>INDEX(ovrTable25,MATCH(INDEX('Structured 2025'!teamCol,ROW()),ovrTeamCol25,0),MATCH(MID(INDEX('Structured 2025'!headerRow,1,COLUMN()),4,LEN(INDEX('Structured 2025'!headerRow,1,COLUMN()))),ovrHeaderRow25,0))</f>
        <v>73.400000000000006</v>
      </c>
      <c r="BB62" s="12">
        <f>INDEX(ovrTable25,MATCH(INDEX('Structured 2025'!teamCol,ROW()),ovrTeamCol25,0),MATCH(MID(INDEX('Structured 2025'!headerRow,1,COLUMN()),4,LEN(INDEX('Structured 2025'!headerRow,1,COLUMN()))),ovrHeaderRow25,0))</f>
        <v>12.2</v>
      </c>
      <c r="BC62" s="12">
        <f>INDEX(ovrTable25,MATCH(INDEX('Structured 2025'!teamCol,ROW()),ovrTeamCol25,0),MATCH(MID(INDEX('Structured 2025'!headerRow,1,COLUMN()),4,LEN(INDEX('Structured 2025'!headerRow,1,COLUMN()))),ovrHeaderRow25,0))</f>
        <v>79.900000000000006</v>
      </c>
      <c r="BD62" s="12">
        <f>INDEX(ovrTable25,MATCH(INDEX('Structured 2025'!teamCol,ROW()),ovrTeamCol25,0),MATCH(MID(INDEX('Structured 2025'!headerRow,1,COLUMN()),4,LEN(INDEX('Structured 2025'!headerRow,1,COLUMN()))),ovrHeaderRow25,0))</f>
        <v>3.1</v>
      </c>
      <c r="BE62" s="12">
        <f>INDEX(ovrTable25,MATCH(INDEX('Structured 2025'!teamCol,ROW()),ovrTeamCol25,0),MATCH(MID(INDEX('Structured 2025'!headerRow,1,COLUMN()),4,LEN(INDEX('Structured 2025'!headerRow,1,COLUMN()))),ovrHeaderRow25,0))</f>
        <v>37.51</v>
      </c>
      <c r="BF62" s="12">
        <f>INDEX(ovrTable25,MATCH(INDEX('Structured 2025'!teamCol,ROW()),ovrTeamCol25,0),MATCH(MID(INDEX('Structured 2025'!headerRow,1,COLUMN()),4,LEN(INDEX('Structured 2025'!headerRow,1,COLUMN()))),ovrHeaderRow25,0))</f>
        <v>6.5</v>
      </c>
      <c r="BG62" s="12">
        <f>INDEX(ovrTable25,MATCH(INDEX('Structured 2025'!teamCol,ROW()),ovrTeamCol25,0),MATCH(MID(INDEX('Structured 2025'!headerRow,1,COLUMN()),4,LEN(INDEX('Structured 2025'!headerRow,1,COLUMN()))),ovrHeaderRow25,0))</f>
        <v>7.7</v>
      </c>
      <c r="BH62" s="12">
        <f>INDEX(ovrTable25,MATCH(INDEX('Structured 2025'!teamCol,ROW()),ovrTeamCol25,0),MATCH(MID(INDEX('Structured 2025'!headerRow,1,COLUMN()),4,LEN(INDEX('Structured 2025'!headerRow,1,COLUMN()))),ovrHeaderRow25,0))</f>
        <v>-0.3</v>
      </c>
      <c r="BI62" s="12">
        <f>INDEX(ovrTable25,MATCH(INDEX('Structured 2025'!teamCol,ROW()),ovrTeamCol25,0),MATCH(MID(INDEX('Structured 2025'!headerRow,1,COLUMN()),4,LEN(INDEX('Structured 2025'!headerRow,1,COLUMN()))),ovrHeaderRow25,0))</f>
        <v>13.63</v>
      </c>
      <c r="BJ62" s="12">
        <f>INDEX(ovrTable25,MATCH(INDEX('Structured 2025'!teamCol,ROW()),ovrTeamCol25,0),MATCH(MID(INDEX('Structured 2025'!headerRow,1,COLUMN()),4,LEN(INDEX('Structured 2025'!headerRow,1,COLUMN()))),ovrHeaderRow25,0))</f>
        <v>13.9</v>
      </c>
      <c r="BK62" s="12">
        <f>INDEX(ovrTable25,MATCH(INDEX('Structured 2025'!teamCol,ROW()),ovrTeamCol25,0),MATCH(MID(INDEX('Structured 2025'!headerRow,1,COLUMN()),4,LEN(INDEX('Structured 2025'!headerRow,1,COLUMN()))),ovrHeaderRow25,0))</f>
        <v>71</v>
      </c>
      <c r="BL62" s="12">
        <f>INDEX(ovrTable25,MATCH(INDEX('Structured 2025'!teamCol,ROW()),ovrTeamCol25,0),MATCH(MID(INDEX('Structured 2025'!headerRow,1,COLUMN()),4,LEN(INDEX('Structured 2025'!headerRow,1,COLUMN()))),ovrHeaderRow25,0))</f>
        <v>20.650000000000002</v>
      </c>
      <c r="BM62" s="12">
        <f>INDEX(ovrTable25,MATCH(INDEX('Structured 2025'!teamCol,ROW()),ovrTeamCol25,0),MATCH(MID(INDEX('Structured 2025'!headerRow,1,COLUMN()),4,LEN(INDEX('Structured 2025'!headerRow,1,COLUMN()))),ovrHeaderRow25,0))</f>
        <v>59.427966101694921</v>
      </c>
      <c r="BN62" s="12">
        <f>INDEX(ovrTable25,MATCH(INDEX(oppCol,ROW()),ovrTeamCol25,0),MATCH(MID(INDEX('Structured 2025'!headerRow,1,COLUMN()),4,LEN(INDEX('Structured 2025'!headerRow,1,COLUMN()))),ovrHeaderRow25,0))</f>
        <v>33.200000000000003</v>
      </c>
      <c r="BO62" s="12">
        <f>INDEX(ovrTable25,MATCH(INDEX(oppCol,ROW()),ovrTeamCol25,0),MATCH(MID(INDEX('Structured 2025'!headerRow,1,COLUMN()),4,LEN(INDEX('Structured 2025'!headerRow,1,COLUMN()))),ovrHeaderRow25,0))</f>
        <v>8.6</v>
      </c>
      <c r="BP62" s="12">
        <f>INDEX(ovrTable25,MATCH(INDEX(oppCol,ROW()),ovrTeamCol25,0),MATCH(MID(INDEX('Structured 2025'!headerRow,1,COLUMN()),4,LEN(INDEX('Structured 2025'!headerRow,1,COLUMN()))),ovrHeaderRow25,0))</f>
        <v>36.299999999999997</v>
      </c>
      <c r="BQ62" s="12">
        <f>INDEX(ovrTable25,MATCH(INDEX(oppCol,ROW()),ovrTeamCol25,0),MATCH(MID(INDEX('Structured 2025'!headerRow,1,COLUMN()),4,LEN(INDEX('Structured 2025'!headerRow,1,COLUMN()))),ovrHeaderRow25,0))</f>
        <v>23.8</v>
      </c>
      <c r="BR62" s="12">
        <f>INDEX(ovrTable25,MATCH(INDEX(oppCol,ROW()),ovrTeamCol25,0),MATCH(MID(INDEX('Structured 2025'!headerRow,1,COLUMN()),4,LEN(INDEX('Structured 2025'!headerRow,1,COLUMN()))),ovrHeaderRow25,0))</f>
        <v>1.43</v>
      </c>
      <c r="BS62" s="12">
        <f>INDEX(ovrTable25,MATCH(INDEX(oppCol,ROW()),ovrTeamCol25,0),MATCH(MID(INDEX('Structured 2025'!headerRow,1,COLUMN()),4,LEN(INDEX('Structured 2025'!headerRow,1,COLUMN()))),ovrHeaderRow25,0))</f>
        <v>16.5</v>
      </c>
      <c r="BT62" s="12">
        <f>INDEX(ovrTable25,MATCH(INDEX(oppCol,ROW()),ovrTeamCol25,0),MATCH(MID(INDEX('Structured 2025'!headerRow,1,COLUMN()),4,LEN(INDEX('Structured 2025'!headerRow,1,COLUMN()))),ovrHeaderRow25,0))</f>
        <v>19.670000000000002</v>
      </c>
      <c r="BU62" s="12">
        <f>INDEX(ovrTable25,MATCH(INDEX(oppCol,ROW()),ovrTeamCol25,0),MATCH(MID(INDEX('Structured 2025'!headerRow,1,COLUMN()),4,LEN(INDEX('Structured 2025'!headerRow,1,COLUMN()))),ovrHeaderRow25,0))</f>
        <v>2.8</v>
      </c>
      <c r="BV62" s="12">
        <f>INDEX(ovrTable25,MATCH(INDEX(oppCol,ROW()),ovrTeamCol25,0),MATCH(MID(INDEX('Structured 2025'!headerRow,1,COLUMN()),4,LEN(INDEX('Structured 2025'!headerRow,1,COLUMN()))),ovrHeaderRow25,0))</f>
        <v>42.2</v>
      </c>
      <c r="BW62" s="12">
        <f>INDEX(ovrTable25,MATCH(INDEX(oppCol,ROW()),ovrTeamCol25,0),MATCH(MID(INDEX('Structured 2025'!headerRow,1,COLUMN()),4,LEN(INDEX('Structured 2025'!headerRow,1,COLUMN()))),ovrHeaderRow25,0))</f>
        <v>26.53</v>
      </c>
      <c r="BX62" s="12">
        <f>INDEX(ovrTable25,MATCH(INDEX(oppCol,ROW()),ovrTeamCol25,0),MATCH(MID(INDEX('Structured 2025'!headerRow,1,COLUMN()),4,LEN(INDEX('Structured 2025'!headerRow,1,COLUMN()))),ovrHeaderRow25,0))</f>
        <v>0.55500000000000005</v>
      </c>
      <c r="BY62" s="12">
        <f>INDEX(ovrTable25,MATCH(INDEX(oppCol,ROW()),ovrTeamCol25,0),MATCH(MID(INDEX('Structured 2025'!headerRow,1,COLUMN()),4,LEN(INDEX('Structured 2025'!headerRow,1,COLUMN()))),ovrHeaderRow25,0))</f>
        <v>7.78</v>
      </c>
      <c r="BZ62" s="12">
        <f>INDEX(ovrTable25,MATCH(INDEX(oppCol,ROW()),ovrTeamCol25,0),MATCH(MID(INDEX('Structured 2025'!headerRow,1,COLUMN()),4,LEN(INDEX('Structured 2025'!headerRow,1,COLUMN()))),ovrHeaderRow25,0))</f>
        <v>47.7</v>
      </c>
      <c r="CA62" s="12">
        <f>INDEX(ovrTable25,MATCH(INDEX(oppCol,ROW()),ovrTeamCol25,0),MATCH(MID(INDEX('Structured 2025'!headerRow,1,COLUMN()),4,LEN(INDEX('Structured 2025'!headerRow,1,COLUMN()))),ovrHeaderRow25,0))</f>
        <v>17.2</v>
      </c>
      <c r="CB62" s="12">
        <f>INDEX(ovrTable25,MATCH(INDEX(oppCol,ROW()),ovrTeamCol25,0),MATCH(MID(INDEX('Structured 2025'!headerRow,1,COLUMN()),4,LEN(INDEX('Structured 2025'!headerRow,1,COLUMN()))),ovrHeaderRow25,0))</f>
        <v>77.5</v>
      </c>
      <c r="CC62" s="12">
        <f>INDEX(ovrTable25,MATCH(INDEX(oppCol,ROW()),ovrTeamCol25,0),MATCH(MID(INDEX('Structured 2025'!headerRow,1,COLUMN()),4,LEN(INDEX('Structured 2025'!headerRow,1,COLUMN()))),ovrHeaderRow25,0))</f>
        <v>17.5</v>
      </c>
      <c r="CD62" s="12">
        <f>INDEX(ovrTable25,MATCH(INDEX(oppCol,ROW()),ovrTeamCol25,0),MATCH(MID(INDEX('Structured 2025'!headerRow,1,COLUMN()),4,LEN(INDEX('Structured 2025'!headerRow,1,COLUMN()))),ovrHeaderRow25,0))</f>
        <v>13.6</v>
      </c>
      <c r="CE62" s="12">
        <f>INDEX(ovrTable25,MATCH(INDEX(oppCol,ROW()),ovrTeamCol25,0),MATCH(MID(INDEX('Structured 2025'!headerRow,1,COLUMN()),4,LEN(INDEX('Structured 2025'!headerRow,1,COLUMN()))),ovrHeaderRow25,0))</f>
        <v>67.3</v>
      </c>
      <c r="CF62" s="12">
        <f>INDEX(ovrTable25,MATCH(INDEX(oppCol,ROW()),ovrTeamCol25,0),MATCH(MID(INDEX('Structured 2025'!headerRow,1,COLUMN()),4,LEN(INDEX('Structured 2025'!headerRow,1,COLUMN()))),ovrHeaderRow25,0))</f>
        <v>8.39</v>
      </c>
      <c r="CG62" s="12">
        <f>INDEX(ovrTable25,MATCH(INDEX(oppCol,ROW()),ovrTeamCol25,0),MATCH(MID(INDEX('Structured 2025'!headerRow,1,COLUMN()),4,LEN(INDEX('Structured 2025'!headerRow,1,COLUMN()))),ovrHeaderRow25,0))</f>
        <v>75.099999999999994</v>
      </c>
      <c r="CH62" s="12">
        <f>INDEX(ovrTable25,MATCH(INDEX(oppCol,ROW()),ovrTeamCol25,0),MATCH(MID(INDEX('Structured 2025'!headerRow,1,COLUMN()),4,LEN(INDEX('Structured 2025'!headerRow,1,COLUMN()))),ovrHeaderRow25,0))</f>
        <v>3.1</v>
      </c>
      <c r="CI62" s="12">
        <f>INDEX(ovrTable25,MATCH(INDEX(oppCol,ROW()),ovrTeamCol25,0),MATCH(MID(INDEX('Structured 2025'!headerRow,1,COLUMN()),4,LEN(INDEX('Structured 2025'!headerRow,1,COLUMN()))),ovrHeaderRow25,0))</f>
        <v>34.92</v>
      </c>
      <c r="CJ62" s="12">
        <f>INDEX(ovrTable25,MATCH(INDEX(oppCol,ROW()),ovrTeamCol25,0),MATCH(MID(INDEX('Structured 2025'!headerRow,1,COLUMN()),4,LEN(INDEX('Structured 2025'!headerRow,1,COLUMN()))),ovrHeaderRow25,0))</f>
        <v>7.8</v>
      </c>
      <c r="CK62" s="12">
        <f>INDEX(ovrTable25,MATCH(INDEX(oppCol,ROW()),ovrTeamCol25,0),MATCH(MID(INDEX('Structured 2025'!headerRow,1,COLUMN()),4,LEN(INDEX('Structured 2025'!headerRow,1,COLUMN()))),ovrHeaderRow25,0))</f>
        <v>5.0999999999999996</v>
      </c>
      <c r="CL62" s="12">
        <f>INDEX(ovrTable25,MATCH(INDEX(oppCol,ROW()),ovrTeamCol25,0),MATCH(MID(INDEX('Structured 2025'!headerRow,1,COLUMN()),4,LEN(INDEX('Structured 2025'!headerRow,1,COLUMN()))),ovrHeaderRow25,0))</f>
        <v>-0.3</v>
      </c>
      <c r="CM62" s="12">
        <f>INDEX(ovrTable25,MATCH(INDEX(oppCol,ROW()),ovrTeamCol25,0),MATCH(MID(INDEX('Structured 2025'!headerRow,1,COLUMN()),4,LEN(INDEX('Structured 2025'!headerRow,1,COLUMN()))),ovrHeaderRow25,0))</f>
        <v>11.19</v>
      </c>
      <c r="CN62" s="12">
        <f>INDEX(ovrTable25,MATCH(INDEX(oppCol,ROW()),ovrTeamCol25,0),MATCH(MID(INDEX('Structured 2025'!headerRow,1,COLUMN()),4,LEN(INDEX('Structured 2025'!headerRow,1,COLUMN()))),ovrHeaderRow25,0))</f>
        <v>11.5</v>
      </c>
      <c r="CO62" s="12">
        <f>INDEX(ovrTable25,MATCH(INDEX(oppCol,ROW()),ovrTeamCol25,0),MATCH(MID(INDEX('Structured 2025'!headerRow,1,COLUMN()),4,LEN(INDEX('Structured 2025'!headerRow,1,COLUMN()))),ovrHeaderRow25,0))</f>
        <v>66</v>
      </c>
      <c r="CP62" s="12">
        <f>INDEX(ovrTable25,MATCH(INDEX(oppCol,ROW()),ovrTeamCol25,0),MATCH(MID(INDEX('Structured 2025'!headerRow,1,COLUMN()),4,LEN(INDEX('Structured 2025'!headerRow,1,COLUMN()))),ovrHeaderRow25,0))</f>
        <v>17.849999999999998</v>
      </c>
      <c r="CQ62" s="12">
        <f>INDEX(ovrTable25,MATCH(INDEX(oppCol,ROW()),ovrTeamCol25,0),MATCH(MID(INDEX('Structured 2025'!headerRow,1,COLUMN()),4,LEN(INDEX('Structured 2025'!headerRow,1,COLUMN()))),ovrHeaderRow25,0))</f>
        <v>55.450733752620529</v>
      </c>
    </row>
    <row r="63" spans="1:95" x14ac:dyDescent="0.3">
      <c r="A63" s="6" t="s">
        <v>64</v>
      </c>
      <c r="B63" s="3">
        <v>12</v>
      </c>
      <c r="C63" s="13" t="str">
        <f>A62</f>
        <v>MEM</v>
      </c>
      <c r="D63" s="14">
        <f t="shared" si="26"/>
        <v>31</v>
      </c>
      <c r="E63" s="23">
        <v>0.2608695652173913</v>
      </c>
      <c r="F63" s="24">
        <v>42.105263157894733</v>
      </c>
      <c r="G63" s="24">
        <v>11</v>
      </c>
      <c r="H63" s="23">
        <v>36.666666666666664</v>
      </c>
      <c r="I63" s="24">
        <v>30</v>
      </c>
      <c r="J63" s="25">
        <v>1.4</v>
      </c>
      <c r="K63" s="24">
        <v>19</v>
      </c>
      <c r="L63" s="24">
        <v>25</v>
      </c>
      <c r="M63" s="24">
        <v>13</v>
      </c>
      <c r="N63" s="24">
        <v>21</v>
      </c>
      <c r="O63" s="24">
        <v>14</v>
      </c>
      <c r="P63" s="24">
        <v>8</v>
      </c>
      <c r="Q63" s="24">
        <v>1</v>
      </c>
      <c r="R63" s="24">
        <v>10</v>
      </c>
      <c r="S63" s="24">
        <v>7</v>
      </c>
      <c r="T63" s="24">
        <v>13</v>
      </c>
      <c r="U63" s="24">
        <v>7</v>
      </c>
      <c r="V63" s="24">
        <v>0.42372881355932202</v>
      </c>
      <c r="W63" s="26">
        <v>0.51754385964912286</v>
      </c>
      <c r="X63" s="23">
        <v>76</v>
      </c>
      <c r="Y63" s="24">
        <v>70</v>
      </c>
      <c r="Z63" s="24">
        <v>78</v>
      </c>
      <c r="AA63" s="24">
        <v>-7</v>
      </c>
      <c r="AB63" s="24">
        <v>34</v>
      </c>
      <c r="AC63" s="24">
        <v>8</v>
      </c>
      <c r="AD63" s="24">
        <v>6</v>
      </c>
      <c r="AE63" s="24">
        <v>16</v>
      </c>
      <c r="AF63" s="34">
        <f t="shared" si="34"/>
        <v>13</v>
      </c>
      <c r="AG63" s="34">
        <f t="shared" si="35"/>
        <v>27</v>
      </c>
      <c r="AH63" s="46">
        <f t="shared" si="36"/>
        <v>65.875</v>
      </c>
      <c r="AI63" s="51">
        <f t="shared" ref="AI63" si="66">AVERAGE(AH62,AH63)</f>
        <v>67.1875</v>
      </c>
      <c r="AJ63" s="12">
        <f>INDEX(ovrTable25,MATCH(INDEX('Structured 2025'!teamCol,ROW()),ovrTeamCol25,0),MATCH(MID(INDEX('Structured 2025'!headerRow,1,COLUMN()),4,LEN(INDEX('Structured 2025'!headerRow,1,COLUMN()))),ovrHeaderRow25,0))</f>
        <v>33.200000000000003</v>
      </c>
      <c r="AK63" s="12">
        <f>INDEX(ovrTable25,MATCH(INDEX('Structured 2025'!teamCol,ROW()),ovrTeamCol25,0),MATCH(MID(INDEX('Structured 2025'!headerRow,1,COLUMN()),4,LEN(INDEX('Structured 2025'!headerRow,1,COLUMN()))),ovrHeaderRow25,0))</f>
        <v>8.6</v>
      </c>
      <c r="AL63" s="12">
        <f>INDEX(ovrTable25,MATCH(INDEX('Structured 2025'!teamCol,ROW()),ovrTeamCol25,0),MATCH(MID(INDEX('Structured 2025'!headerRow,1,COLUMN()),4,LEN(INDEX('Structured 2025'!headerRow,1,COLUMN()))),ovrHeaderRow25,0))</f>
        <v>36.299999999999997</v>
      </c>
      <c r="AM63" s="12">
        <f>INDEX(ovrTable25,MATCH(INDEX('Structured 2025'!teamCol,ROW()),ovrTeamCol25,0),MATCH(MID(INDEX('Structured 2025'!headerRow,1,COLUMN()),4,LEN(INDEX('Structured 2025'!headerRow,1,COLUMN()))),ovrHeaderRow25,0))</f>
        <v>23.8</v>
      </c>
      <c r="AN63" s="12">
        <f>INDEX(ovrTable25,MATCH(INDEX('Structured 2025'!teamCol,ROW()),ovrTeamCol25,0),MATCH(MID(INDEX('Structured 2025'!headerRow,1,COLUMN()),4,LEN(INDEX('Structured 2025'!headerRow,1,COLUMN()))),ovrHeaderRow25,0))</f>
        <v>1.43</v>
      </c>
      <c r="AO63" s="12">
        <f>INDEX(ovrTable25,MATCH(INDEX('Structured 2025'!teamCol,ROW()),ovrTeamCol25,0),MATCH(MID(INDEX('Structured 2025'!headerRow,1,COLUMN()),4,LEN(INDEX('Structured 2025'!headerRow,1,COLUMN()))),ovrHeaderRow25,0))</f>
        <v>16.5</v>
      </c>
      <c r="AP63" s="12">
        <f>INDEX(ovrTable25,MATCH(INDEX('Structured 2025'!teamCol,ROW()),ovrTeamCol25,0),MATCH(MID(INDEX('Structured 2025'!headerRow,1,COLUMN()),4,LEN(INDEX('Structured 2025'!headerRow,1,COLUMN()))),ovrHeaderRow25,0))</f>
        <v>19.670000000000002</v>
      </c>
      <c r="AQ63" s="12">
        <f>INDEX(ovrTable25,MATCH(INDEX('Structured 2025'!teamCol,ROW()),ovrTeamCol25,0),MATCH(MID(INDEX('Structured 2025'!headerRow,1,COLUMN()),4,LEN(INDEX('Structured 2025'!headerRow,1,COLUMN()))),ovrHeaderRow25,0))</f>
        <v>2.8</v>
      </c>
      <c r="AR63" s="12">
        <f>INDEX(ovrTable25,MATCH(INDEX('Structured 2025'!teamCol,ROW()),ovrTeamCol25,0),MATCH(MID(INDEX('Structured 2025'!headerRow,1,COLUMN()),4,LEN(INDEX('Structured 2025'!headerRow,1,COLUMN()))),ovrHeaderRow25,0))</f>
        <v>42.2</v>
      </c>
      <c r="AS63" s="12">
        <f>INDEX(ovrTable25,MATCH(INDEX('Structured 2025'!teamCol,ROW()),ovrTeamCol25,0),MATCH(MID(INDEX('Structured 2025'!headerRow,1,COLUMN()),4,LEN(INDEX('Structured 2025'!headerRow,1,COLUMN()))),ovrHeaderRow25,0))</f>
        <v>26.53</v>
      </c>
      <c r="AT63" s="12">
        <f>INDEX(ovrTable25,MATCH(INDEX('Structured 2025'!teamCol,ROW()),ovrTeamCol25,0),MATCH(MID(INDEX('Structured 2025'!headerRow,1,COLUMN()),4,LEN(INDEX('Structured 2025'!headerRow,1,COLUMN()))),ovrHeaderRow25,0))</f>
        <v>0.55500000000000005</v>
      </c>
      <c r="AU63" s="12">
        <f>INDEX(ovrTable25,MATCH(INDEX('Structured 2025'!teamCol,ROW()),ovrTeamCol25,0),MATCH(MID(INDEX('Structured 2025'!headerRow,1,COLUMN()),4,LEN(INDEX('Structured 2025'!headerRow,1,COLUMN()))),ovrHeaderRow25,0))</f>
        <v>7.78</v>
      </c>
      <c r="AV63" s="12">
        <f>INDEX(ovrTable25,MATCH(INDEX('Structured 2025'!teamCol,ROW()),ovrTeamCol25,0),MATCH(MID(INDEX('Structured 2025'!headerRow,1,COLUMN()),4,LEN(INDEX('Structured 2025'!headerRow,1,COLUMN()))),ovrHeaderRow25,0))</f>
        <v>47.7</v>
      </c>
      <c r="AW63" s="12">
        <f>INDEX(ovrTable25,MATCH(INDEX('Structured 2025'!teamCol,ROW()),ovrTeamCol25,0),MATCH(MID(INDEX('Structured 2025'!headerRow,1,COLUMN()),4,LEN(INDEX('Structured 2025'!headerRow,1,COLUMN()))),ovrHeaderRow25,0))</f>
        <v>17.2</v>
      </c>
      <c r="AX63" s="12">
        <f>INDEX(ovrTable25,MATCH(INDEX('Structured 2025'!teamCol,ROW()),ovrTeamCol25,0),MATCH(MID(INDEX('Structured 2025'!headerRow,1,COLUMN()),4,LEN(INDEX('Structured 2025'!headerRow,1,COLUMN()))),ovrHeaderRow25,0))</f>
        <v>77.5</v>
      </c>
      <c r="AY63" s="12">
        <f>INDEX(ovrTable25,MATCH(INDEX('Structured 2025'!teamCol,ROW()),ovrTeamCol25,0),MATCH(MID(INDEX('Structured 2025'!headerRow,1,COLUMN()),4,LEN(INDEX('Structured 2025'!headerRow,1,COLUMN()))),ovrHeaderRow25,0))</f>
        <v>17.5</v>
      </c>
      <c r="AZ63" s="12">
        <f>INDEX(ovrTable25,MATCH(INDEX('Structured 2025'!teamCol,ROW()),ovrTeamCol25,0),MATCH(MID(INDEX('Structured 2025'!headerRow,1,COLUMN()),4,LEN(INDEX('Structured 2025'!headerRow,1,COLUMN()))),ovrHeaderRow25,0))</f>
        <v>13.6</v>
      </c>
      <c r="BA63" s="12">
        <f>INDEX(ovrTable25,MATCH(INDEX('Structured 2025'!teamCol,ROW()),ovrTeamCol25,0),MATCH(MID(INDEX('Structured 2025'!headerRow,1,COLUMN()),4,LEN(INDEX('Structured 2025'!headerRow,1,COLUMN()))),ovrHeaderRow25,0))</f>
        <v>67.3</v>
      </c>
      <c r="BB63" s="12">
        <f>INDEX(ovrTable25,MATCH(INDEX('Structured 2025'!teamCol,ROW()),ovrTeamCol25,0),MATCH(MID(INDEX('Structured 2025'!headerRow,1,COLUMN()),4,LEN(INDEX('Structured 2025'!headerRow,1,COLUMN()))),ovrHeaderRow25,0))</f>
        <v>8.39</v>
      </c>
      <c r="BC63" s="12">
        <f>INDEX(ovrTable25,MATCH(INDEX('Structured 2025'!teamCol,ROW()),ovrTeamCol25,0),MATCH(MID(INDEX('Structured 2025'!headerRow,1,COLUMN()),4,LEN(INDEX('Structured 2025'!headerRow,1,COLUMN()))),ovrHeaderRow25,0))</f>
        <v>75.099999999999994</v>
      </c>
      <c r="BD63" s="12">
        <f>INDEX(ovrTable25,MATCH(INDEX('Structured 2025'!teamCol,ROW()),ovrTeamCol25,0),MATCH(MID(INDEX('Structured 2025'!headerRow,1,COLUMN()),4,LEN(INDEX('Structured 2025'!headerRow,1,COLUMN()))),ovrHeaderRow25,0))</f>
        <v>3.1</v>
      </c>
      <c r="BE63" s="12">
        <f>INDEX(ovrTable25,MATCH(INDEX('Structured 2025'!teamCol,ROW()),ovrTeamCol25,0),MATCH(MID(INDEX('Structured 2025'!headerRow,1,COLUMN()),4,LEN(INDEX('Structured 2025'!headerRow,1,COLUMN()))),ovrHeaderRow25,0))</f>
        <v>34.92</v>
      </c>
      <c r="BF63" s="12">
        <f>INDEX(ovrTable25,MATCH(INDEX('Structured 2025'!teamCol,ROW()),ovrTeamCol25,0),MATCH(MID(INDEX('Structured 2025'!headerRow,1,COLUMN()),4,LEN(INDEX('Structured 2025'!headerRow,1,COLUMN()))),ovrHeaderRow25,0))</f>
        <v>7.8</v>
      </c>
      <c r="BG63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BH63" s="12">
        <f>INDEX(ovrTable25,MATCH(INDEX('Structured 2025'!teamCol,ROW()),ovrTeamCol25,0),MATCH(MID(INDEX('Structured 2025'!headerRow,1,COLUMN()),4,LEN(INDEX('Structured 2025'!headerRow,1,COLUMN()))),ovrHeaderRow25,0))</f>
        <v>-0.3</v>
      </c>
      <c r="BI63" s="12">
        <f>INDEX(ovrTable25,MATCH(INDEX('Structured 2025'!teamCol,ROW()),ovrTeamCol25,0),MATCH(MID(INDEX('Structured 2025'!headerRow,1,COLUMN()),4,LEN(INDEX('Structured 2025'!headerRow,1,COLUMN()))),ovrHeaderRow25,0))</f>
        <v>11.19</v>
      </c>
      <c r="BJ63" s="12">
        <f>INDEX(ovrTable25,MATCH(INDEX('Structured 2025'!teamCol,ROW()),ovrTeamCol25,0),MATCH(MID(INDEX('Structured 2025'!headerRow,1,COLUMN()),4,LEN(INDEX('Structured 2025'!headerRow,1,COLUMN()))),ovrHeaderRow25,0))</f>
        <v>11.5</v>
      </c>
      <c r="BK63" s="12">
        <f>INDEX(ovrTable25,MATCH(INDEX('Structured 2025'!teamCol,ROW()),ovrTeamCol25,0),MATCH(MID(INDEX('Structured 2025'!headerRow,1,COLUMN()),4,LEN(INDEX('Structured 2025'!headerRow,1,COLUMN()))),ovrHeaderRow25,0))</f>
        <v>66</v>
      </c>
      <c r="BL63" s="12">
        <f>INDEX(ovrTable25,MATCH(INDEX('Structured 2025'!teamCol,ROW()),ovrTeamCol25,0),MATCH(MID(INDEX('Structured 2025'!headerRow,1,COLUMN()),4,LEN(INDEX('Structured 2025'!headerRow,1,COLUMN()))),ovrHeaderRow25,0))</f>
        <v>17.849999999999998</v>
      </c>
      <c r="BM63" s="12">
        <f>INDEX(ovrTable25,MATCH(INDEX('Structured 2025'!teamCol,ROW()),ovrTeamCol25,0),MATCH(MID(INDEX('Structured 2025'!headerRow,1,COLUMN()),4,LEN(INDEX('Structured 2025'!headerRow,1,COLUMN()))),ovrHeaderRow25,0))</f>
        <v>55.450733752620529</v>
      </c>
      <c r="BN63" s="12">
        <f>INDEX(ovrTable25,MATCH(INDEX(oppCol,ROW()),ovrTeamCol25,0),MATCH(MID(INDEX('Structured 2025'!headerRow,1,COLUMN()),4,LEN(INDEX('Structured 2025'!headerRow,1,COLUMN()))),ovrHeaderRow25,0))</f>
        <v>32.4</v>
      </c>
      <c r="BO63" s="12">
        <f>INDEX(ovrTable25,MATCH(INDEX(oppCol,ROW()),ovrTeamCol25,0),MATCH(MID(INDEX('Structured 2025'!headerRow,1,COLUMN()),4,LEN(INDEX('Structured 2025'!headerRow,1,COLUMN()))),ovrHeaderRow25,0))</f>
        <v>7.4</v>
      </c>
      <c r="BP63" s="12">
        <f>INDEX(ovrTable25,MATCH(INDEX(oppCol,ROW()),ovrTeamCol25,0),MATCH(MID(INDEX('Structured 2025'!headerRow,1,COLUMN()),4,LEN(INDEX('Structured 2025'!headerRow,1,COLUMN()))),ovrHeaderRow25,0))</f>
        <v>37.6</v>
      </c>
      <c r="BQ63" s="12">
        <f>INDEX(ovrTable25,MATCH(INDEX(oppCol,ROW()),ovrTeamCol25,0),MATCH(MID(INDEX('Structured 2025'!headerRow,1,COLUMN()),4,LEN(INDEX('Structured 2025'!headerRow,1,COLUMN()))),ovrHeaderRow25,0))</f>
        <v>19.8</v>
      </c>
      <c r="BR63" s="12">
        <f>INDEX(ovrTable25,MATCH(INDEX(oppCol,ROW()),ovrTeamCol25,0),MATCH(MID(INDEX('Structured 2025'!headerRow,1,COLUMN()),4,LEN(INDEX('Structured 2025'!headerRow,1,COLUMN()))),ovrHeaderRow25,0))</f>
        <v>1.04</v>
      </c>
      <c r="BS63" s="12">
        <f>INDEX(ovrTable25,MATCH(INDEX(oppCol,ROW()),ovrTeamCol25,0),MATCH(MID(INDEX('Structured 2025'!headerRow,1,COLUMN()),4,LEN(INDEX('Structured 2025'!headerRow,1,COLUMN()))),ovrHeaderRow25,0))</f>
        <v>14.4</v>
      </c>
      <c r="BT63" s="12">
        <f>INDEX(ovrTable25,MATCH(INDEX(oppCol,ROW()),ovrTeamCol25,0),MATCH(MID(INDEX('Structured 2025'!headerRow,1,COLUMN()),4,LEN(INDEX('Structured 2025'!headerRow,1,COLUMN()))),ovrHeaderRow25,0))</f>
        <v>16.86</v>
      </c>
      <c r="BU63" s="12">
        <f>INDEX(ovrTable25,MATCH(INDEX(oppCol,ROW()),ovrTeamCol25,0),MATCH(MID(INDEX('Structured 2025'!headerRow,1,COLUMN()),4,LEN(INDEX('Structured 2025'!headerRow,1,COLUMN()))),ovrHeaderRow25,0))</f>
        <v>4.7</v>
      </c>
      <c r="BV63" s="12">
        <f>INDEX(ovrTable25,MATCH(INDEX(oppCol,ROW()),ovrTeamCol25,0),MATCH(MID(INDEX('Structured 2025'!headerRow,1,COLUMN()),4,LEN(INDEX('Structured 2025'!headerRow,1,COLUMN()))),ovrHeaderRow25,0))</f>
        <v>41.9</v>
      </c>
      <c r="BW63" s="12">
        <f>INDEX(ovrTable25,MATCH(INDEX(oppCol,ROW()),ovrTeamCol25,0),MATCH(MID(INDEX('Structured 2025'!headerRow,1,COLUMN()),4,LEN(INDEX('Structured 2025'!headerRow,1,COLUMN()))),ovrHeaderRow25,0))</f>
        <v>25.31</v>
      </c>
      <c r="BX63" s="12">
        <f>INDEX(ovrTable25,MATCH(INDEX(oppCol,ROW()),ovrTeamCol25,0),MATCH(MID(INDEX('Structured 2025'!headerRow,1,COLUMN()),4,LEN(INDEX('Structured 2025'!headerRow,1,COLUMN()))),ovrHeaderRow25,0))</f>
        <v>0.53500000000000003</v>
      </c>
      <c r="BY63" s="12">
        <f>INDEX(ovrTable25,MATCH(INDEX(oppCol,ROW()),ovrTeamCol25,0),MATCH(MID(INDEX('Structured 2025'!headerRow,1,COLUMN()),4,LEN(INDEX('Structured 2025'!headerRow,1,COLUMN()))),ovrHeaderRow25,0))</f>
        <v>13.91</v>
      </c>
      <c r="BZ63" s="12">
        <f>INDEX(ovrTable25,MATCH(INDEX(oppCol,ROW()),ovrTeamCol25,0),MATCH(MID(INDEX('Structured 2025'!headerRow,1,COLUMN()),4,LEN(INDEX('Structured 2025'!headerRow,1,COLUMN()))),ovrHeaderRow25,0))</f>
        <v>47.2</v>
      </c>
      <c r="CA63" s="12">
        <f>INDEX(ovrTable25,MATCH(INDEX(oppCol,ROW()),ovrTeamCol25,0),MATCH(MID(INDEX('Structured 2025'!headerRow,1,COLUMN()),4,LEN(INDEX('Structured 2025'!headerRow,1,COLUMN()))),ovrHeaderRow25,0))</f>
        <v>17.8</v>
      </c>
      <c r="CB63" s="12">
        <f>INDEX(ovrTable25,MATCH(INDEX(oppCol,ROW()),ovrTeamCol25,0),MATCH(MID(INDEX('Structured 2025'!headerRow,1,COLUMN()),4,LEN(INDEX('Structured 2025'!headerRow,1,COLUMN()))),ovrHeaderRow25,0))</f>
        <v>70.2</v>
      </c>
      <c r="CC63" s="12">
        <f>INDEX(ovrTable25,MATCH(INDEX(oppCol,ROW()),ovrTeamCol25,0),MATCH(MID(INDEX('Structured 2025'!headerRow,1,COLUMN()),4,LEN(INDEX('Structured 2025'!headerRow,1,COLUMN()))),ovrHeaderRow25,0))</f>
        <v>23.3</v>
      </c>
      <c r="CD63" s="12">
        <f>INDEX(ovrTable25,MATCH(INDEX(oppCol,ROW()),ovrTeamCol25,0),MATCH(MID(INDEX('Structured 2025'!headerRow,1,COLUMN()),4,LEN(INDEX('Structured 2025'!headerRow,1,COLUMN()))),ovrHeaderRow25,0))</f>
        <v>16.399999999999999</v>
      </c>
      <c r="CE63" s="12">
        <f>INDEX(ovrTable25,MATCH(INDEX(oppCol,ROW()),ovrTeamCol25,0),MATCH(MID(INDEX('Structured 2025'!headerRow,1,COLUMN()),4,LEN(INDEX('Structured 2025'!headerRow,1,COLUMN()))),ovrHeaderRow25,0))</f>
        <v>73.400000000000006</v>
      </c>
      <c r="CF63" s="12">
        <f>INDEX(ovrTable25,MATCH(INDEX(oppCol,ROW()),ovrTeamCol25,0),MATCH(MID(INDEX('Structured 2025'!headerRow,1,COLUMN()),4,LEN(INDEX('Structured 2025'!headerRow,1,COLUMN()))),ovrHeaderRow25,0))</f>
        <v>12.2</v>
      </c>
      <c r="CG63" s="12">
        <f>INDEX(ovrTable25,MATCH(INDEX(oppCol,ROW()),ovrTeamCol25,0),MATCH(MID(INDEX('Structured 2025'!headerRow,1,COLUMN()),4,LEN(INDEX('Structured 2025'!headerRow,1,COLUMN()))),ovrHeaderRow25,0))</f>
        <v>79.900000000000006</v>
      </c>
      <c r="CH63" s="12">
        <f>INDEX(ovrTable25,MATCH(INDEX(oppCol,ROW()),ovrTeamCol25,0),MATCH(MID(INDEX('Structured 2025'!headerRow,1,COLUMN()),4,LEN(INDEX('Structured 2025'!headerRow,1,COLUMN()))),ovrHeaderRow25,0))</f>
        <v>3.1</v>
      </c>
      <c r="CI63" s="12">
        <f>INDEX(ovrTable25,MATCH(INDEX(oppCol,ROW()),ovrTeamCol25,0),MATCH(MID(INDEX('Structured 2025'!headerRow,1,COLUMN()),4,LEN(INDEX('Structured 2025'!headerRow,1,COLUMN()))),ovrHeaderRow25,0))</f>
        <v>37.51</v>
      </c>
      <c r="CJ63" s="12">
        <f>INDEX(ovrTable25,MATCH(INDEX(oppCol,ROW()),ovrTeamCol25,0),MATCH(MID(INDEX('Structured 2025'!headerRow,1,COLUMN()),4,LEN(INDEX('Structured 2025'!headerRow,1,COLUMN()))),ovrHeaderRow25,0))</f>
        <v>6.5</v>
      </c>
      <c r="CK63" s="12">
        <f>INDEX(ovrTable25,MATCH(INDEX(oppCol,ROW()),ovrTeamCol25,0),MATCH(MID(INDEX('Structured 2025'!headerRow,1,COLUMN()),4,LEN(INDEX('Structured 2025'!headerRow,1,COLUMN()))),ovrHeaderRow25,0))</f>
        <v>7.7</v>
      </c>
      <c r="CL63" s="12">
        <f>INDEX(ovrTable25,MATCH(INDEX(oppCol,ROW()),ovrTeamCol25,0),MATCH(MID(INDEX('Structured 2025'!headerRow,1,COLUMN()),4,LEN(INDEX('Structured 2025'!headerRow,1,COLUMN()))),ovrHeaderRow25,0))</f>
        <v>-0.3</v>
      </c>
      <c r="CM63" s="12">
        <f>INDEX(ovrTable25,MATCH(INDEX(oppCol,ROW()),ovrTeamCol25,0),MATCH(MID(INDEX('Structured 2025'!headerRow,1,COLUMN()),4,LEN(INDEX('Structured 2025'!headerRow,1,COLUMN()))),ovrHeaderRow25,0))</f>
        <v>13.63</v>
      </c>
      <c r="CN63" s="12">
        <f>INDEX(ovrTable25,MATCH(INDEX(oppCol,ROW()),ovrTeamCol25,0),MATCH(MID(INDEX('Structured 2025'!headerRow,1,COLUMN()),4,LEN(INDEX('Structured 2025'!headerRow,1,COLUMN()))),ovrHeaderRow25,0))</f>
        <v>13.9</v>
      </c>
      <c r="CO63" s="12">
        <f>INDEX(ovrTable25,MATCH(INDEX(oppCol,ROW()),ovrTeamCol25,0),MATCH(MID(INDEX('Structured 2025'!headerRow,1,COLUMN()),4,LEN(INDEX('Structured 2025'!headerRow,1,COLUMN()))),ovrHeaderRow25,0))</f>
        <v>71</v>
      </c>
      <c r="CP63" s="12">
        <f>INDEX(ovrTable25,MATCH(INDEX(oppCol,ROW()),ovrTeamCol25,0),MATCH(MID(INDEX('Structured 2025'!headerRow,1,COLUMN()),4,LEN(INDEX('Structured 2025'!headerRow,1,COLUMN()))),ovrHeaderRow25,0))</f>
        <v>20.650000000000002</v>
      </c>
      <c r="CQ63" s="12">
        <f>INDEX(ovrTable25,MATCH(INDEX(oppCol,ROW()),ovrTeamCol25,0),MATCH(MID(INDEX('Structured 2025'!headerRow,1,COLUMN()),4,LEN(INDEX('Structured 2025'!headerRow,1,COLUMN()))),ovrHeaderRow25,0))</f>
        <v>59.427966101694921</v>
      </c>
    </row>
    <row r="64" spans="1:95" x14ac:dyDescent="0.3">
      <c r="A64" s="6" t="s">
        <v>372</v>
      </c>
      <c r="B64" s="3">
        <v>4</v>
      </c>
      <c r="C64" s="13" t="str">
        <f>A65</f>
        <v>GCU</v>
      </c>
      <c r="D64" s="14">
        <f t="shared" si="26"/>
        <v>32</v>
      </c>
      <c r="E64" s="23">
        <v>0.21739130434782608</v>
      </c>
      <c r="F64" s="24">
        <v>50.819672131147541</v>
      </c>
      <c r="G64" s="24">
        <v>7</v>
      </c>
      <c r="H64" s="23">
        <v>43.75</v>
      </c>
      <c r="I64" s="24">
        <v>16</v>
      </c>
      <c r="J64" s="25">
        <v>1.125</v>
      </c>
      <c r="K64" s="24">
        <v>12</v>
      </c>
      <c r="L64" s="24">
        <v>24</v>
      </c>
      <c r="M64" s="24">
        <v>13</v>
      </c>
      <c r="N64" s="24">
        <v>31</v>
      </c>
      <c r="O64" s="24">
        <v>9</v>
      </c>
      <c r="P64" s="24">
        <v>6</v>
      </c>
      <c r="Q64" s="24">
        <v>6</v>
      </c>
      <c r="R64" s="24">
        <v>8</v>
      </c>
      <c r="S64" s="24">
        <v>13</v>
      </c>
      <c r="T64" s="24">
        <v>17</v>
      </c>
      <c r="U64" s="24">
        <v>13</v>
      </c>
      <c r="V64" s="24">
        <v>0.2857142857142857</v>
      </c>
      <c r="W64" s="26">
        <v>0.56557377049180324</v>
      </c>
      <c r="X64" s="23">
        <v>50</v>
      </c>
      <c r="Y64" s="24">
        <v>49</v>
      </c>
      <c r="Z64" s="24">
        <v>81</v>
      </c>
      <c r="AA64" s="24">
        <v>11</v>
      </c>
      <c r="AB64" s="24">
        <v>44</v>
      </c>
      <c r="AC64" s="24">
        <v>32</v>
      </c>
      <c r="AD64" s="24">
        <v>5</v>
      </c>
      <c r="AE64" s="24">
        <v>13</v>
      </c>
      <c r="AF64" s="34">
        <f t="shared" si="34"/>
        <v>24</v>
      </c>
      <c r="AG64" s="34">
        <f t="shared" si="35"/>
        <v>45</v>
      </c>
      <c r="AH64" s="46">
        <f t="shared" si="36"/>
        <v>67.400000000000006</v>
      </c>
      <c r="AI64" s="51">
        <f t="shared" ref="AI64" si="67">AVERAGE(AH64,AH65)</f>
        <v>66.212500000000006</v>
      </c>
      <c r="AJ64" s="12">
        <f>INDEX(ovrTable25,MATCH(INDEX('Structured 2025'!teamCol,ROW()),ovrTeamCol25,0),MATCH(MID(INDEX('Structured 2025'!headerRow,1,COLUMN()),4,LEN(INDEX('Structured 2025'!headerRow,1,COLUMN()))),ovrHeaderRow25,0))</f>
        <v>30.6</v>
      </c>
      <c r="AK64" s="12">
        <f>INDEX(ovrTable25,MATCH(INDEX('Structured 2025'!teamCol,ROW()),ovrTeamCol25,0),MATCH(MID(INDEX('Structured 2025'!headerRow,1,COLUMN()),4,LEN(INDEX('Structured 2025'!headerRow,1,COLUMN()))),ovrHeaderRow25,0))</f>
        <v>8.1</v>
      </c>
      <c r="AL64" s="12">
        <f>INDEX(ovrTable25,MATCH(INDEX('Structured 2025'!teamCol,ROW()),ovrTeamCol25,0),MATCH(MID(INDEX('Structured 2025'!headerRow,1,COLUMN()),4,LEN(INDEX('Structured 2025'!headerRow,1,COLUMN()))),ovrHeaderRow25,0))</f>
        <v>37.299999999999997</v>
      </c>
      <c r="AM64" s="12">
        <f>INDEX(ovrTable25,MATCH(INDEX('Structured 2025'!teamCol,ROW()),ovrTeamCol25,0),MATCH(MID(INDEX('Structured 2025'!headerRow,1,COLUMN()),4,LEN(INDEX('Structured 2025'!headerRow,1,COLUMN()))),ovrHeaderRow25,0))</f>
        <v>21.7</v>
      </c>
      <c r="AN64" s="12">
        <f>INDEX(ovrTable25,MATCH(INDEX('Structured 2025'!teamCol,ROW()),ovrTeamCol25,0),MATCH(MID(INDEX('Structured 2025'!headerRow,1,COLUMN()),4,LEN(INDEX('Structured 2025'!headerRow,1,COLUMN()))),ovrHeaderRow25,0))</f>
        <v>1.4</v>
      </c>
      <c r="AO64" s="12">
        <f>INDEX(ovrTable25,MATCH(INDEX('Structured 2025'!teamCol,ROW()),ovrTeamCol25,0),MATCH(MID(INDEX('Structured 2025'!headerRow,1,COLUMN()),4,LEN(INDEX('Structured 2025'!headerRow,1,COLUMN()))),ovrHeaderRow25,0))</f>
        <v>14.2</v>
      </c>
      <c r="AP64" s="12">
        <f>INDEX(ovrTable25,MATCH(INDEX('Structured 2025'!teamCol,ROW()),ovrTeamCol25,0),MATCH(MID(INDEX('Structured 2025'!headerRow,1,COLUMN()),4,LEN(INDEX('Structured 2025'!headerRow,1,COLUMN()))),ovrHeaderRow25,0))</f>
        <v>12.08</v>
      </c>
      <c r="AQ64" s="12">
        <f>INDEX(ovrTable25,MATCH(INDEX('Structured 2025'!teamCol,ROW()),ovrTeamCol25,0),MATCH(MID(INDEX('Structured 2025'!headerRow,1,COLUMN()),4,LEN(INDEX('Structured 2025'!headerRow,1,COLUMN()))),ovrHeaderRow25,0))</f>
        <v>4.5</v>
      </c>
      <c r="AR64" s="12">
        <f>INDEX(ovrTable25,MATCH(INDEX('Structured 2025'!teamCol,ROW()),ovrTeamCol25,0),MATCH(MID(INDEX('Structured 2025'!headerRow,1,COLUMN()),4,LEN(INDEX('Structured 2025'!headerRow,1,COLUMN()))),ovrHeaderRow25,0))</f>
        <v>41.6</v>
      </c>
      <c r="AS64" s="12">
        <f>INDEX(ovrTable25,MATCH(INDEX('Structured 2025'!teamCol,ROW()),ovrTeamCol25,0),MATCH(MID(INDEX('Structured 2025'!headerRow,1,COLUMN()),4,LEN(INDEX('Structured 2025'!headerRow,1,COLUMN()))),ovrHeaderRow25,0))</f>
        <v>25.69</v>
      </c>
      <c r="AT64" s="12">
        <f>INDEX(ovrTable25,MATCH(INDEX('Structured 2025'!teamCol,ROW()),ovrTeamCol25,0),MATCH(MID(INDEX('Structured 2025'!headerRow,1,COLUMN()),4,LEN(INDEX('Structured 2025'!headerRow,1,COLUMN()))),ovrHeaderRow25,0))</f>
        <v>0.53600000000000003</v>
      </c>
      <c r="AU64" s="12">
        <f>INDEX(ovrTable25,MATCH(INDEX('Structured 2025'!teamCol,ROW()),ovrTeamCol25,0),MATCH(MID(INDEX('Structured 2025'!headerRow,1,COLUMN()),4,LEN(INDEX('Structured 2025'!headerRow,1,COLUMN()))),ovrHeaderRow25,0))</f>
        <v>12.61</v>
      </c>
      <c r="AV64" s="12">
        <f>INDEX(ovrTable25,MATCH(INDEX('Structured 2025'!teamCol,ROW()),ovrTeamCol25,0),MATCH(MID(INDEX('Structured 2025'!headerRow,1,COLUMN()),4,LEN(INDEX('Structured 2025'!headerRow,1,COLUMN()))),ovrHeaderRow25,0))</f>
        <v>47</v>
      </c>
      <c r="AW64" s="12">
        <f>INDEX(ovrTable25,MATCH(INDEX('Structured 2025'!teamCol,ROW()),ovrTeamCol25,0),MATCH(MID(INDEX('Structured 2025'!headerRow,1,COLUMN()),4,LEN(INDEX('Structured 2025'!headerRow,1,COLUMN()))),ovrHeaderRow25,0))</f>
        <v>15.3</v>
      </c>
      <c r="AX64" s="12">
        <f>INDEX(ovrTable25,MATCH(INDEX('Structured 2025'!teamCol,ROW()),ovrTeamCol25,0),MATCH(MID(INDEX('Structured 2025'!headerRow,1,COLUMN()),4,LEN(INDEX('Structured 2025'!headerRow,1,COLUMN()))),ovrHeaderRow25,0))</f>
        <v>75</v>
      </c>
      <c r="AY64" s="12">
        <f>INDEX(ovrTable25,MATCH(INDEX('Structured 2025'!teamCol,ROW()),ovrTeamCol25,0),MATCH(MID(INDEX('Structured 2025'!headerRow,1,COLUMN()),4,LEN(INDEX('Structured 2025'!headerRow,1,COLUMN()))),ovrHeaderRow25,0))</f>
        <v>20.3</v>
      </c>
      <c r="AZ64" s="12">
        <f>INDEX(ovrTable25,MATCH(INDEX('Structured 2025'!teamCol,ROW()),ovrTeamCol25,0),MATCH(MID(INDEX('Structured 2025'!headerRow,1,COLUMN()),4,LEN(INDEX('Structured 2025'!headerRow,1,COLUMN()))),ovrHeaderRow25,0))</f>
        <v>15.3</v>
      </c>
      <c r="BA64" s="12">
        <f>INDEX(ovrTable25,MATCH(INDEX('Structured 2025'!teamCol,ROW()),ovrTeamCol25,0),MATCH(MID(INDEX('Structured 2025'!headerRow,1,COLUMN()),4,LEN(INDEX('Structured 2025'!headerRow,1,COLUMN()))),ovrHeaderRow25,0))</f>
        <v>67.2</v>
      </c>
      <c r="BB64" s="12">
        <f>INDEX(ovrTable25,MATCH(INDEX('Structured 2025'!teamCol,ROW()),ovrTeamCol25,0),MATCH(MID(INDEX('Structured 2025'!headerRow,1,COLUMN()),4,LEN(INDEX('Structured 2025'!headerRow,1,COLUMN()))),ovrHeaderRow25,0))</f>
        <v>10.56</v>
      </c>
      <c r="BC64" s="12">
        <f>INDEX(ovrTable25,MATCH(INDEX('Structured 2025'!teamCol,ROW()),ovrTeamCol25,0),MATCH(MID(INDEX('Structured 2025'!headerRow,1,COLUMN()),4,LEN(INDEX('Structured 2025'!headerRow,1,COLUMN()))),ovrHeaderRow25,0))</f>
        <v>81.099999999999994</v>
      </c>
      <c r="BD64" s="12">
        <f>INDEX(ovrTable25,MATCH(INDEX('Structured 2025'!teamCol,ROW()),ovrTeamCol25,0),MATCH(MID(INDEX('Structured 2025'!headerRow,1,COLUMN()),4,LEN(INDEX('Structured 2025'!headerRow,1,COLUMN()))),ovrHeaderRow25,0))</f>
        <v>2.2999999999999998</v>
      </c>
      <c r="BE64" s="12">
        <f>INDEX(ovrTable25,MATCH(INDEX('Structured 2025'!teamCol,ROW()),ovrTeamCol25,0),MATCH(MID(INDEX('Structured 2025'!headerRow,1,COLUMN()),4,LEN(INDEX('Structured 2025'!headerRow,1,COLUMN()))),ovrHeaderRow25,0))</f>
        <v>36.25</v>
      </c>
      <c r="BF64" s="12">
        <f>INDEX(ovrTable25,MATCH(INDEX('Structured 2025'!teamCol,ROW()),ovrTeamCol25,0),MATCH(MID(INDEX('Structured 2025'!headerRow,1,COLUMN()),4,LEN(INDEX('Structured 2025'!headerRow,1,COLUMN()))),ovrHeaderRow25,0))</f>
        <v>13.9</v>
      </c>
      <c r="BG64" s="12">
        <f>INDEX(ovrTable25,MATCH(INDEX('Structured 2025'!teamCol,ROW()),ovrTeamCol25,0),MATCH(MID(INDEX('Structured 2025'!headerRow,1,COLUMN()),4,LEN(INDEX('Structured 2025'!headerRow,1,COLUMN()))),ovrHeaderRow25,0))</f>
        <v>7.9</v>
      </c>
      <c r="BH64" s="12">
        <f>INDEX(ovrTable25,MATCH(INDEX('Structured 2025'!teamCol,ROW()),ovrTeamCol25,0),MATCH(MID(INDEX('Structured 2025'!headerRow,1,COLUMN()),4,LEN(INDEX('Structured 2025'!headerRow,1,COLUMN()))),ovrHeaderRow25,0))</f>
        <v>4.0999999999999996</v>
      </c>
      <c r="BI64" s="12">
        <f>INDEX(ovrTable25,MATCH(INDEX('Structured 2025'!teamCol,ROW()),ovrTeamCol25,0),MATCH(MID(INDEX('Structured 2025'!headerRow,1,COLUMN()),4,LEN(INDEX('Structured 2025'!headerRow,1,COLUMN()))),ovrHeaderRow25,0))</f>
        <v>14.19</v>
      </c>
      <c r="BJ64" s="12">
        <f>INDEX(ovrTable25,MATCH(INDEX('Structured 2025'!teamCol,ROW()),ovrTeamCol25,0),MATCH(MID(INDEX('Structured 2025'!headerRow,1,COLUMN()),4,LEN(INDEX('Structured 2025'!headerRow,1,COLUMN()))),ovrHeaderRow25,0))</f>
        <v>10.1</v>
      </c>
      <c r="BK64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L64" s="12">
        <f>INDEX(ovrTable25,MATCH(INDEX('Structured 2025'!teamCol,ROW()),ovrTeamCol25,0),MATCH(MID(INDEX('Structured 2025'!headerRow,1,COLUMN()),4,LEN(INDEX('Structured 2025'!headerRow,1,COLUMN()))),ovrHeaderRow25,0))</f>
        <v>20.75</v>
      </c>
      <c r="BM64" s="12">
        <f>INDEX(ovrTable25,MATCH(INDEX('Structured 2025'!teamCol,ROW()),ovrTeamCol25,0),MATCH(MID(INDEX('Structured 2025'!headerRow,1,COLUMN()),4,LEN(INDEX('Structured 2025'!headerRow,1,COLUMN()))),ovrHeaderRow25,0))</f>
        <v>61.382978723404257</v>
      </c>
      <c r="BN64" s="12">
        <f>INDEX(ovrTable25,MATCH(INDEX(oppCol,ROW()),ovrTeamCol25,0),MATCH(MID(INDEX('Structured 2025'!headerRow,1,COLUMN()),4,LEN(INDEX('Structured 2025'!headerRow,1,COLUMN()))),ovrHeaderRow25,0))</f>
        <v>32</v>
      </c>
      <c r="BO64" s="12">
        <f>INDEX(ovrTable25,MATCH(INDEX(oppCol,ROW()),ovrTeamCol25,0),MATCH(MID(INDEX('Structured 2025'!headerRow,1,COLUMN()),4,LEN(INDEX('Structured 2025'!headerRow,1,COLUMN()))),ovrHeaderRow25,0))</f>
        <v>6.2</v>
      </c>
      <c r="BP64" s="12">
        <f>INDEX(ovrTable25,MATCH(INDEX(oppCol,ROW()),ovrTeamCol25,0),MATCH(MID(INDEX('Structured 2025'!headerRow,1,COLUMN()),4,LEN(INDEX('Structured 2025'!headerRow,1,COLUMN()))),ovrHeaderRow25,0))</f>
        <v>31.2</v>
      </c>
      <c r="BQ64" s="12">
        <f>INDEX(ovrTable25,MATCH(INDEX(oppCol,ROW()),ovrTeamCol25,0),MATCH(MID(INDEX('Structured 2025'!headerRow,1,COLUMN()),4,LEN(INDEX('Structured 2025'!headerRow,1,COLUMN()))),ovrHeaderRow25,0))</f>
        <v>19.899999999999999</v>
      </c>
      <c r="BR64" s="12">
        <f>INDEX(ovrTable25,MATCH(INDEX(oppCol,ROW()),ovrTeamCol25,0),MATCH(MID(INDEX('Structured 2025'!headerRow,1,COLUMN()),4,LEN(INDEX('Structured 2025'!headerRow,1,COLUMN()))),ovrHeaderRow25,0))</f>
        <v>1.05</v>
      </c>
      <c r="BS64" s="12">
        <f>INDEX(ovrTable25,MATCH(INDEX(oppCol,ROW()),ovrTeamCol25,0),MATCH(MID(INDEX('Structured 2025'!headerRow,1,COLUMN()),4,LEN(INDEX('Structured 2025'!headerRow,1,COLUMN()))),ovrHeaderRow25,0))</f>
        <v>13.8</v>
      </c>
      <c r="BT64" s="12">
        <f>INDEX(ovrTable25,MATCH(INDEX(oppCol,ROW()),ovrTeamCol25,0),MATCH(MID(INDEX('Structured 2025'!headerRow,1,COLUMN()),4,LEN(INDEX('Structured 2025'!headerRow,1,COLUMN()))),ovrHeaderRow25,0))</f>
        <v>22.65</v>
      </c>
      <c r="BU64" s="12">
        <f>INDEX(ovrTable25,MATCH(INDEX(oppCol,ROW()),ovrTeamCol25,0),MATCH(MID(INDEX('Structured 2025'!headerRow,1,COLUMN()),4,LEN(INDEX('Structured 2025'!headerRow,1,COLUMN()))),ovrHeaderRow25,0))</f>
        <v>5.0999999999999996</v>
      </c>
      <c r="BV64" s="12">
        <f>INDEX(ovrTable25,MATCH(INDEX(oppCol,ROW()),ovrTeamCol25,0),MATCH(MID(INDEX('Structured 2025'!headerRow,1,COLUMN()),4,LEN(INDEX('Structured 2025'!headerRow,1,COLUMN()))),ovrHeaderRow25,0))</f>
        <v>41.2</v>
      </c>
      <c r="BW64" s="12">
        <f>INDEX(ovrTable25,MATCH(INDEX(oppCol,ROW()),ovrTeamCol25,0),MATCH(MID(INDEX('Structured 2025'!headerRow,1,COLUMN()),4,LEN(INDEX('Structured 2025'!headerRow,1,COLUMN()))),ovrHeaderRow25,0))</f>
        <v>26.03</v>
      </c>
      <c r="BX64" s="12">
        <f>INDEX(ovrTable25,MATCH(INDEX(oppCol,ROW()),ovrTeamCol25,0),MATCH(MID(INDEX('Structured 2025'!headerRow,1,COLUMN()),4,LEN(INDEX('Structured 2025'!headerRow,1,COLUMN()))),ovrHeaderRow25,0))</f>
        <v>0.50900000000000001</v>
      </c>
      <c r="BY64" s="12">
        <f>INDEX(ovrTable25,MATCH(INDEX(oppCol,ROW()),ovrTeamCol25,0),MATCH(MID(INDEX('Structured 2025'!headerRow,1,COLUMN()),4,LEN(INDEX('Structured 2025'!headerRow,1,COLUMN()))),ovrHeaderRow25,0))</f>
        <v>10.56</v>
      </c>
      <c r="BZ64" s="12">
        <f>INDEX(ovrTable25,MATCH(INDEX(oppCol,ROW()),ovrTeamCol25,0),MATCH(MID(INDEX('Structured 2025'!headerRow,1,COLUMN()),4,LEN(INDEX('Structured 2025'!headerRow,1,COLUMN()))),ovrHeaderRow25,0))</f>
        <v>45.6</v>
      </c>
      <c r="CA64" s="12">
        <f>INDEX(ovrTable25,MATCH(INDEX(oppCol,ROW()),ovrTeamCol25,0),MATCH(MID(INDEX('Structured 2025'!headerRow,1,COLUMN()),4,LEN(INDEX('Structured 2025'!headerRow,1,COLUMN()))),ovrHeaderRow25,0))</f>
        <v>17.5</v>
      </c>
      <c r="CB64" s="12">
        <f>INDEX(ovrTable25,MATCH(INDEX(oppCol,ROW()),ovrTeamCol25,0),MATCH(MID(INDEX('Structured 2025'!headerRow,1,COLUMN()),4,LEN(INDEX('Structured 2025'!headerRow,1,COLUMN()))),ovrHeaderRow25,0))</f>
        <v>73.099999999999994</v>
      </c>
      <c r="CC64" s="12">
        <f>INDEX(ovrTable25,MATCH(INDEX(oppCol,ROW()),ovrTeamCol25,0),MATCH(MID(INDEX('Structured 2025'!headerRow,1,COLUMN()),4,LEN(INDEX('Structured 2025'!headerRow,1,COLUMN()))),ovrHeaderRow25,0))</f>
        <v>25.7</v>
      </c>
      <c r="CD64" s="12">
        <f>INDEX(ovrTable25,MATCH(INDEX(oppCol,ROW()),ovrTeamCol25,0),MATCH(MID(INDEX('Structured 2025'!headerRow,1,COLUMN()),4,LEN(INDEX('Structured 2025'!headerRow,1,COLUMN()))),ovrHeaderRow25,0))</f>
        <v>18.8</v>
      </c>
      <c r="CE64" s="12">
        <f>INDEX(ovrTable25,MATCH(INDEX(oppCol,ROW()),ovrTeamCol25,0),MATCH(MID(INDEX('Structured 2025'!headerRow,1,COLUMN()),4,LEN(INDEX('Structured 2025'!headerRow,1,COLUMN()))),ovrHeaderRow25,0))</f>
        <v>69.5</v>
      </c>
      <c r="CF64" s="12">
        <f>INDEX(ovrTable25,MATCH(INDEX(oppCol,ROW()),ovrTeamCol25,0),MATCH(MID(INDEX('Structured 2025'!headerRow,1,COLUMN()),4,LEN(INDEX('Structured 2025'!headerRow,1,COLUMN()))),ovrHeaderRow25,0))</f>
        <v>11.21</v>
      </c>
      <c r="CG64" s="12">
        <f>INDEX(ovrTable25,MATCH(INDEX(oppCol,ROW()),ovrTeamCol25,0),MATCH(MID(INDEX('Structured 2025'!headerRow,1,COLUMN()),4,LEN(INDEX('Structured 2025'!headerRow,1,COLUMN()))),ovrHeaderRow25,0))</f>
        <v>78.3</v>
      </c>
      <c r="CH64" s="12">
        <f>INDEX(ovrTable25,MATCH(INDEX(oppCol,ROW()),ovrTeamCol25,0),MATCH(MID(INDEX('Structured 2025'!headerRow,1,COLUMN()),4,LEN(INDEX('Structured 2025'!headerRow,1,COLUMN()))),ovrHeaderRow25,0))</f>
        <v>3.5</v>
      </c>
      <c r="CI64" s="12">
        <f>INDEX(ovrTable25,MATCH(INDEX(oppCol,ROW()),ovrTeamCol25,0),MATCH(MID(INDEX('Structured 2025'!headerRow,1,COLUMN()),4,LEN(INDEX('Structured 2025'!headerRow,1,COLUMN()))),ovrHeaderRow25,0))</f>
        <v>37.24</v>
      </c>
      <c r="CJ64" s="12">
        <f>INDEX(ovrTable25,MATCH(INDEX(oppCol,ROW()),ovrTeamCol25,0),MATCH(MID(INDEX('Structured 2025'!headerRow,1,COLUMN()),4,LEN(INDEX('Structured 2025'!headerRow,1,COLUMN()))),ovrHeaderRow25,0))</f>
        <v>8.8000000000000007</v>
      </c>
      <c r="CK64" s="12">
        <f>INDEX(ovrTable25,MATCH(INDEX(oppCol,ROW()),ovrTeamCol25,0),MATCH(MID(INDEX('Structured 2025'!headerRow,1,COLUMN()),4,LEN(INDEX('Structured 2025'!headerRow,1,COLUMN()))),ovrHeaderRow25,0))</f>
        <v>9.1999999999999993</v>
      </c>
      <c r="CL64" s="12">
        <f>INDEX(ovrTable25,MATCH(INDEX(oppCol,ROW()),ovrTeamCol25,0),MATCH(MID(INDEX('Structured 2025'!headerRow,1,COLUMN()),4,LEN(INDEX('Structured 2025'!headerRow,1,COLUMN()))),ovrHeaderRow25,0))</f>
        <v>1.7</v>
      </c>
      <c r="CM64" s="12">
        <f>INDEX(ovrTable25,MATCH(INDEX(oppCol,ROW()),ovrTeamCol25,0),MATCH(MID(INDEX('Structured 2025'!headerRow,1,COLUMN()),4,LEN(INDEX('Structured 2025'!headerRow,1,COLUMN()))),ovrHeaderRow25,0))</f>
        <v>14.91</v>
      </c>
      <c r="CN64" s="12">
        <f>INDEX(ovrTable25,MATCH(INDEX(oppCol,ROW()),ovrTeamCol25,0),MATCH(MID(INDEX('Structured 2025'!headerRow,1,COLUMN()),4,LEN(INDEX('Structured 2025'!headerRow,1,COLUMN()))),ovrHeaderRow25,0))</f>
        <v>13.2</v>
      </c>
      <c r="CO64" s="12">
        <f>INDEX(ovrTable25,MATCH(INDEX(oppCol,ROW()),ovrTeamCol25,0),MATCH(MID(INDEX('Structured 2025'!headerRow,1,COLUMN()),4,LEN(INDEX('Structured 2025'!headerRow,1,COLUMN()))),ovrHeaderRow25,0))</f>
        <v>71.400000000000006</v>
      </c>
      <c r="CP64" s="12">
        <f>INDEX(ovrTable25,MATCH(INDEX(oppCol,ROW()),ovrTeamCol25,0),MATCH(MID(INDEX('Structured 2025'!headerRow,1,COLUMN()),4,LEN(INDEX('Structured 2025'!headerRow,1,COLUMN()))),ovrHeaderRow25,0))</f>
        <v>20.45</v>
      </c>
      <c r="CQ64" s="12">
        <f>INDEX(ovrTable25,MATCH(INDEX(oppCol,ROW()),ovrTeamCol25,0),MATCH(MID(INDEX('Structured 2025'!headerRow,1,COLUMN()),4,LEN(INDEX('Structured 2025'!headerRow,1,COLUMN()))),ovrHeaderRow25,0))</f>
        <v>58.442982456140349</v>
      </c>
    </row>
    <row r="65" spans="1:95" x14ac:dyDescent="0.3">
      <c r="A65" s="6" t="s">
        <v>28</v>
      </c>
      <c r="B65" s="3">
        <v>13</v>
      </c>
      <c r="C65" s="13" t="str">
        <f>A64</f>
        <v>MD</v>
      </c>
      <c r="D65" s="14">
        <f t="shared" si="26"/>
        <v>32</v>
      </c>
      <c r="E65" s="23">
        <v>0.4375</v>
      </c>
      <c r="F65" s="24">
        <v>28.571428571428569</v>
      </c>
      <c r="G65" s="24">
        <v>5</v>
      </c>
      <c r="H65" s="23">
        <v>21.739130434782609</v>
      </c>
      <c r="I65" s="24">
        <v>23</v>
      </c>
      <c r="J65" s="25">
        <v>0.30769230769230771</v>
      </c>
      <c r="K65" s="24">
        <v>12</v>
      </c>
      <c r="L65" s="24">
        <v>19</v>
      </c>
      <c r="M65" s="24">
        <v>13</v>
      </c>
      <c r="N65" s="24">
        <v>20</v>
      </c>
      <c r="O65" s="24">
        <v>4</v>
      </c>
      <c r="P65" s="24">
        <v>2</v>
      </c>
      <c r="Q65" s="24">
        <v>7</v>
      </c>
      <c r="R65" s="24">
        <v>13</v>
      </c>
      <c r="S65" s="24">
        <v>7</v>
      </c>
      <c r="T65" s="24">
        <v>20</v>
      </c>
      <c r="U65" s="24">
        <v>11</v>
      </c>
      <c r="V65" s="24">
        <v>0.50819672131147542</v>
      </c>
      <c r="W65" s="26">
        <v>0.33035714285714285</v>
      </c>
      <c r="X65" s="23">
        <v>63.157894736842103</v>
      </c>
      <c r="Y65" s="24">
        <v>81</v>
      </c>
      <c r="Z65" s="24">
        <v>49</v>
      </c>
      <c r="AA65" s="24">
        <v>-11</v>
      </c>
      <c r="AB65" s="24">
        <v>33</v>
      </c>
      <c r="AC65" s="24">
        <v>-32</v>
      </c>
      <c r="AD65" s="24">
        <v>-5</v>
      </c>
      <c r="AE65" s="24">
        <v>8</v>
      </c>
      <c r="AF65" s="34">
        <f t="shared" si="34"/>
        <v>11</v>
      </c>
      <c r="AG65" s="34">
        <f t="shared" si="35"/>
        <v>33</v>
      </c>
      <c r="AH65" s="46">
        <f t="shared" si="36"/>
        <v>65.025000000000006</v>
      </c>
      <c r="AI65" s="51">
        <f t="shared" ref="AI65" si="68">AVERAGE(AH64,AH65)</f>
        <v>66.212500000000006</v>
      </c>
      <c r="AJ65" s="12">
        <f>INDEX(ovrTable25,MATCH(INDEX('Structured 2025'!teamCol,ROW()),ovrTeamCol25,0),MATCH(MID(INDEX('Structured 2025'!headerRow,1,COLUMN()),4,LEN(INDEX('Structured 2025'!headerRow,1,COLUMN()))),ovrHeaderRow25,0))</f>
        <v>32</v>
      </c>
      <c r="AK65" s="12">
        <f>INDEX(ovrTable25,MATCH(INDEX('Structured 2025'!teamCol,ROW()),ovrTeamCol25,0),MATCH(MID(INDEX('Structured 2025'!headerRow,1,COLUMN()),4,LEN(INDEX('Structured 2025'!headerRow,1,COLUMN()))),ovrHeaderRow25,0))</f>
        <v>6.2</v>
      </c>
      <c r="AL65" s="12">
        <f>INDEX(ovrTable25,MATCH(INDEX('Structured 2025'!teamCol,ROW()),ovrTeamCol25,0),MATCH(MID(INDEX('Structured 2025'!headerRow,1,COLUMN()),4,LEN(INDEX('Structured 2025'!headerRow,1,COLUMN()))),ovrHeaderRow25,0))</f>
        <v>31.2</v>
      </c>
      <c r="AM65" s="12">
        <f>INDEX(ovrTable25,MATCH(INDEX('Structured 2025'!teamCol,ROW()),ovrTeamCol25,0),MATCH(MID(INDEX('Structured 2025'!headerRow,1,COLUMN()),4,LEN(INDEX('Structured 2025'!headerRow,1,COLUMN()))),ovrHeaderRow25,0))</f>
        <v>19.899999999999999</v>
      </c>
      <c r="AN65" s="12">
        <f>INDEX(ovrTable25,MATCH(INDEX('Structured 2025'!teamCol,ROW()),ovrTeamCol25,0),MATCH(MID(INDEX('Structured 2025'!headerRow,1,COLUMN()),4,LEN(INDEX('Structured 2025'!headerRow,1,COLUMN()))),ovrHeaderRow25,0))</f>
        <v>1.05</v>
      </c>
      <c r="AO65" s="12">
        <f>INDEX(ovrTable25,MATCH(INDEX('Structured 2025'!teamCol,ROW()),ovrTeamCol25,0),MATCH(MID(INDEX('Structured 2025'!headerRow,1,COLUMN()),4,LEN(INDEX('Structured 2025'!headerRow,1,COLUMN()))),ovrHeaderRow25,0))</f>
        <v>13.8</v>
      </c>
      <c r="AP65" s="12">
        <f>INDEX(ovrTable25,MATCH(INDEX('Structured 2025'!teamCol,ROW()),ovrTeamCol25,0),MATCH(MID(INDEX('Structured 2025'!headerRow,1,COLUMN()),4,LEN(INDEX('Structured 2025'!headerRow,1,COLUMN()))),ovrHeaderRow25,0))</f>
        <v>22.65</v>
      </c>
      <c r="AQ65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AR65" s="12">
        <f>INDEX(ovrTable25,MATCH(INDEX('Structured 2025'!teamCol,ROW()),ovrTeamCol25,0),MATCH(MID(INDEX('Structured 2025'!headerRow,1,COLUMN()),4,LEN(INDEX('Structured 2025'!headerRow,1,COLUMN()))),ovrHeaderRow25,0))</f>
        <v>41.2</v>
      </c>
      <c r="AS65" s="12">
        <f>INDEX(ovrTable25,MATCH(INDEX('Structured 2025'!teamCol,ROW()),ovrTeamCol25,0),MATCH(MID(INDEX('Structured 2025'!headerRow,1,COLUMN()),4,LEN(INDEX('Structured 2025'!headerRow,1,COLUMN()))),ovrHeaderRow25,0))</f>
        <v>26.03</v>
      </c>
      <c r="AT65" s="12">
        <f>INDEX(ovrTable25,MATCH(INDEX('Structured 2025'!teamCol,ROW()),ovrTeamCol25,0),MATCH(MID(INDEX('Structured 2025'!headerRow,1,COLUMN()),4,LEN(INDEX('Structured 2025'!headerRow,1,COLUMN()))),ovrHeaderRow25,0))</f>
        <v>0.50900000000000001</v>
      </c>
      <c r="AU65" s="12">
        <f>INDEX(ovrTable25,MATCH(INDEX('Structured 2025'!teamCol,ROW()),ovrTeamCol25,0),MATCH(MID(INDEX('Structured 2025'!headerRow,1,COLUMN()),4,LEN(INDEX('Structured 2025'!headerRow,1,COLUMN()))),ovrHeaderRow25,0))</f>
        <v>10.56</v>
      </c>
      <c r="AV65" s="12">
        <f>INDEX(ovrTable25,MATCH(INDEX('Structured 2025'!teamCol,ROW()),ovrTeamCol25,0),MATCH(MID(INDEX('Structured 2025'!headerRow,1,COLUMN()),4,LEN(INDEX('Structured 2025'!headerRow,1,COLUMN()))),ovrHeaderRow25,0))</f>
        <v>45.6</v>
      </c>
      <c r="AW65" s="12">
        <f>INDEX(ovrTable25,MATCH(INDEX('Structured 2025'!teamCol,ROW()),ovrTeamCol25,0),MATCH(MID(INDEX('Structured 2025'!headerRow,1,COLUMN()),4,LEN(INDEX('Structured 2025'!headerRow,1,COLUMN()))),ovrHeaderRow25,0))</f>
        <v>17.5</v>
      </c>
      <c r="AX65" s="12">
        <f>INDEX(ovrTable25,MATCH(INDEX('Structured 2025'!teamCol,ROW()),ovrTeamCol25,0),MATCH(MID(INDEX('Structured 2025'!headerRow,1,COLUMN()),4,LEN(INDEX('Structured 2025'!headerRow,1,COLUMN()))),ovrHeaderRow25,0))</f>
        <v>73.099999999999994</v>
      </c>
      <c r="AY65" s="12">
        <f>INDEX(ovrTable25,MATCH(INDEX('Structured 2025'!teamCol,ROW()),ovrTeamCol25,0),MATCH(MID(INDEX('Structured 2025'!headerRow,1,COLUMN()),4,LEN(INDEX('Structured 2025'!headerRow,1,COLUMN()))),ovrHeaderRow25,0))</f>
        <v>25.7</v>
      </c>
      <c r="AZ65" s="12">
        <f>INDEX(ovrTable25,MATCH(INDEX('Structured 2025'!teamCol,ROW()),ovrTeamCol25,0),MATCH(MID(INDEX('Structured 2025'!headerRow,1,COLUMN()),4,LEN(INDEX('Structured 2025'!headerRow,1,COLUMN()))),ovrHeaderRow25,0))</f>
        <v>18.8</v>
      </c>
      <c r="BA65" s="12">
        <f>INDEX(ovrTable25,MATCH(INDEX('Structured 2025'!teamCol,ROW()),ovrTeamCol25,0),MATCH(MID(INDEX('Structured 2025'!headerRow,1,COLUMN()),4,LEN(INDEX('Structured 2025'!headerRow,1,COLUMN()))),ovrHeaderRow25,0))</f>
        <v>69.5</v>
      </c>
      <c r="BB65" s="12">
        <f>INDEX(ovrTable25,MATCH(INDEX('Structured 2025'!teamCol,ROW()),ovrTeamCol25,0),MATCH(MID(INDEX('Structured 2025'!headerRow,1,COLUMN()),4,LEN(INDEX('Structured 2025'!headerRow,1,COLUMN()))),ovrHeaderRow25,0))</f>
        <v>11.21</v>
      </c>
      <c r="BC65" s="12">
        <f>INDEX(ovrTable25,MATCH(INDEX('Structured 2025'!teamCol,ROW()),ovrTeamCol25,0),MATCH(MID(INDEX('Structured 2025'!headerRow,1,COLUMN()),4,LEN(INDEX('Structured 2025'!headerRow,1,COLUMN()))),ovrHeaderRow25,0))</f>
        <v>78.3</v>
      </c>
      <c r="BD65" s="12">
        <f>INDEX(ovrTable25,MATCH(INDEX('Structured 2025'!teamCol,ROW()),ovrTeamCol25,0),MATCH(MID(INDEX('Structured 2025'!headerRow,1,COLUMN()),4,LEN(INDEX('Structured 2025'!headerRow,1,COLUMN()))),ovrHeaderRow25,0))</f>
        <v>3.5</v>
      </c>
      <c r="BE65" s="12">
        <f>INDEX(ovrTable25,MATCH(INDEX('Structured 2025'!teamCol,ROW()),ovrTeamCol25,0),MATCH(MID(INDEX('Structured 2025'!headerRow,1,COLUMN()),4,LEN(INDEX('Structured 2025'!headerRow,1,COLUMN()))),ovrHeaderRow25,0))</f>
        <v>37.24</v>
      </c>
      <c r="BF65" s="12">
        <f>INDEX(ovrTable25,MATCH(INDEX('Structured 2025'!teamCol,ROW()),ovrTeamCol25,0),MATCH(MID(INDEX('Structured 2025'!headerRow,1,COLUMN()),4,LEN(INDEX('Structured 2025'!headerRow,1,COLUMN()))),ovrHeaderRow25,0))</f>
        <v>8.8000000000000007</v>
      </c>
      <c r="BG65" s="12">
        <f>INDEX(ovrTable25,MATCH(INDEX('Structured 2025'!teamCol,ROW()),ovrTeamCol25,0),MATCH(MID(INDEX('Structured 2025'!headerRow,1,COLUMN()),4,LEN(INDEX('Structured 2025'!headerRow,1,COLUMN()))),ovrHeaderRow25,0))</f>
        <v>9.1999999999999993</v>
      </c>
      <c r="BH65" s="12">
        <f>INDEX(ovrTable25,MATCH(INDEX('Structured 2025'!teamCol,ROW()),ovrTeamCol25,0),MATCH(MID(INDEX('Structured 2025'!headerRow,1,COLUMN()),4,LEN(INDEX('Structured 2025'!headerRow,1,COLUMN()))),ovrHeaderRow25,0))</f>
        <v>1.7</v>
      </c>
      <c r="BI65" s="12">
        <f>INDEX(ovrTable25,MATCH(INDEX('Structured 2025'!teamCol,ROW()),ovrTeamCol25,0),MATCH(MID(INDEX('Structured 2025'!headerRow,1,COLUMN()),4,LEN(INDEX('Structured 2025'!headerRow,1,COLUMN()))),ovrHeaderRow25,0))</f>
        <v>14.91</v>
      </c>
      <c r="BJ65" s="12">
        <f>INDEX(ovrTable25,MATCH(INDEX('Structured 2025'!teamCol,ROW()),ovrTeamCol25,0),MATCH(MID(INDEX('Structured 2025'!headerRow,1,COLUMN()),4,LEN(INDEX('Structured 2025'!headerRow,1,COLUMN()))),ovrHeaderRow25,0))</f>
        <v>13.2</v>
      </c>
      <c r="BK65" s="12">
        <f>INDEX(ovrTable25,MATCH(INDEX('Structured 2025'!teamCol,ROW()),ovrTeamCol25,0),MATCH(MID(INDEX('Structured 2025'!headerRow,1,COLUMN()),4,LEN(INDEX('Structured 2025'!headerRow,1,COLUMN()))),ovrHeaderRow25,0))</f>
        <v>71.400000000000006</v>
      </c>
      <c r="BL65" s="12">
        <f>INDEX(ovrTable25,MATCH(INDEX('Structured 2025'!teamCol,ROW()),ovrTeamCol25,0),MATCH(MID(INDEX('Structured 2025'!headerRow,1,COLUMN()),4,LEN(INDEX('Structured 2025'!headerRow,1,COLUMN()))),ovrHeaderRow25,0))</f>
        <v>20.45</v>
      </c>
      <c r="BM65" s="12">
        <f>INDEX(ovrTable25,MATCH(INDEX('Structured 2025'!teamCol,ROW()),ovrTeamCol25,0),MATCH(MID(INDEX('Structured 2025'!headerRow,1,COLUMN()),4,LEN(INDEX('Structured 2025'!headerRow,1,COLUMN()))),ovrHeaderRow25,0))</f>
        <v>58.442982456140349</v>
      </c>
      <c r="BN65" s="12">
        <f>INDEX(ovrTable25,MATCH(INDEX(oppCol,ROW()),ovrTeamCol25,0),MATCH(MID(INDEX('Structured 2025'!headerRow,1,COLUMN()),4,LEN(INDEX('Structured 2025'!headerRow,1,COLUMN()))),ovrHeaderRow25,0))</f>
        <v>30.6</v>
      </c>
      <c r="BO65" s="12">
        <f>INDEX(ovrTable25,MATCH(INDEX(oppCol,ROW()),ovrTeamCol25,0),MATCH(MID(INDEX('Structured 2025'!headerRow,1,COLUMN()),4,LEN(INDEX('Structured 2025'!headerRow,1,COLUMN()))),ovrHeaderRow25,0))</f>
        <v>8.1</v>
      </c>
      <c r="BP65" s="12">
        <f>INDEX(ovrTable25,MATCH(INDEX(oppCol,ROW()),ovrTeamCol25,0),MATCH(MID(INDEX('Structured 2025'!headerRow,1,COLUMN()),4,LEN(INDEX('Structured 2025'!headerRow,1,COLUMN()))),ovrHeaderRow25,0))</f>
        <v>37.299999999999997</v>
      </c>
      <c r="BQ65" s="12">
        <f>INDEX(ovrTable25,MATCH(INDEX(oppCol,ROW()),ovrTeamCol25,0),MATCH(MID(INDEX('Structured 2025'!headerRow,1,COLUMN()),4,LEN(INDEX('Structured 2025'!headerRow,1,COLUMN()))),ovrHeaderRow25,0))</f>
        <v>21.7</v>
      </c>
      <c r="BR65" s="12">
        <f>INDEX(ovrTable25,MATCH(INDEX(oppCol,ROW()),ovrTeamCol25,0),MATCH(MID(INDEX('Structured 2025'!headerRow,1,COLUMN()),4,LEN(INDEX('Structured 2025'!headerRow,1,COLUMN()))),ovrHeaderRow25,0))</f>
        <v>1.4</v>
      </c>
      <c r="BS65" s="12">
        <f>INDEX(ovrTable25,MATCH(INDEX(oppCol,ROW()),ovrTeamCol25,0),MATCH(MID(INDEX('Structured 2025'!headerRow,1,COLUMN()),4,LEN(INDEX('Structured 2025'!headerRow,1,COLUMN()))),ovrHeaderRow25,0))</f>
        <v>14.2</v>
      </c>
      <c r="BT65" s="12">
        <f>INDEX(ovrTable25,MATCH(INDEX(oppCol,ROW()),ovrTeamCol25,0),MATCH(MID(INDEX('Structured 2025'!headerRow,1,COLUMN()),4,LEN(INDEX('Structured 2025'!headerRow,1,COLUMN()))),ovrHeaderRow25,0))</f>
        <v>12.08</v>
      </c>
      <c r="BU65" s="12">
        <f>INDEX(ovrTable25,MATCH(INDEX(oppCol,ROW()),ovrTeamCol25,0),MATCH(MID(INDEX('Structured 2025'!headerRow,1,COLUMN()),4,LEN(INDEX('Structured 2025'!headerRow,1,COLUMN()))),ovrHeaderRow25,0))</f>
        <v>4.5</v>
      </c>
      <c r="BV65" s="12">
        <f>INDEX(ovrTable25,MATCH(INDEX(oppCol,ROW()),ovrTeamCol25,0),MATCH(MID(INDEX('Structured 2025'!headerRow,1,COLUMN()),4,LEN(INDEX('Structured 2025'!headerRow,1,COLUMN()))),ovrHeaderRow25,0))</f>
        <v>41.6</v>
      </c>
      <c r="BW65" s="12">
        <f>INDEX(ovrTable25,MATCH(INDEX(oppCol,ROW()),ovrTeamCol25,0),MATCH(MID(INDEX('Structured 2025'!headerRow,1,COLUMN()),4,LEN(INDEX('Structured 2025'!headerRow,1,COLUMN()))),ovrHeaderRow25,0))</f>
        <v>25.69</v>
      </c>
      <c r="BX65" s="12">
        <f>INDEX(ovrTable25,MATCH(INDEX(oppCol,ROW()),ovrTeamCol25,0),MATCH(MID(INDEX('Structured 2025'!headerRow,1,COLUMN()),4,LEN(INDEX('Structured 2025'!headerRow,1,COLUMN()))),ovrHeaderRow25,0))</f>
        <v>0.53600000000000003</v>
      </c>
      <c r="BY65" s="12">
        <f>INDEX(ovrTable25,MATCH(INDEX(oppCol,ROW()),ovrTeamCol25,0),MATCH(MID(INDEX('Structured 2025'!headerRow,1,COLUMN()),4,LEN(INDEX('Structured 2025'!headerRow,1,COLUMN()))),ovrHeaderRow25,0))</f>
        <v>12.61</v>
      </c>
      <c r="BZ65" s="12">
        <f>INDEX(ovrTable25,MATCH(INDEX(oppCol,ROW()),ovrTeamCol25,0),MATCH(MID(INDEX('Structured 2025'!headerRow,1,COLUMN()),4,LEN(INDEX('Structured 2025'!headerRow,1,COLUMN()))),ovrHeaderRow25,0))</f>
        <v>47</v>
      </c>
      <c r="CA65" s="12">
        <f>INDEX(ovrTable25,MATCH(INDEX(oppCol,ROW()),ovrTeamCol25,0),MATCH(MID(INDEX('Structured 2025'!headerRow,1,COLUMN()),4,LEN(INDEX('Structured 2025'!headerRow,1,COLUMN()))),ovrHeaderRow25,0))</f>
        <v>15.3</v>
      </c>
      <c r="CB65" s="12">
        <f>INDEX(ovrTable25,MATCH(INDEX(oppCol,ROW()),ovrTeamCol25,0),MATCH(MID(INDEX('Structured 2025'!headerRow,1,COLUMN()),4,LEN(INDEX('Structured 2025'!headerRow,1,COLUMN()))),ovrHeaderRow25,0))</f>
        <v>75</v>
      </c>
      <c r="CC65" s="12">
        <f>INDEX(ovrTable25,MATCH(INDEX(oppCol,ROW()),ovrTeamCol25,0),MATCH(MID(INDEX('Structured 2025'!headerRow,1,COLUMN()),4,LEN(INDEX('Structured 2025'!headerRow,1,COLUMN()))),ovrHeaderRow25,0))</f>
        <v>20.3</v>
      </c>
      <c r="CD65" s="12">
        <f>INDEX(ovrTable25,MATCH(INDEX(oppCol,ROW()),ovrTeamCol25,0),MATCH(MID(INDEX('Structured 2025'!headerRow,1,COLUMN()),4,LEN(INDEX('Structured 2025'!headerRow,1,COLUMN()))),ovrHeaderRow25,0))</f>
        <v>15.3</v>
      </c>
      <c r="CE65" s="12">
        <f>INDEX(ovrTable25,MATCH(INDEX(oppCol,ROW()),ovrTeamCol25,0),MATCH(MID(INDEX('Structured 2025'!headerRow,1,COLUMN()),4,LEN(INDEX('Structured 2025'!headerRow,1,COLUMN()))),ovrHeaderRow25,0))</f>
        <v>67.2</v>
      </c>
      <c r="CF65" s="12">
        <f>INDEX(ovrTable25,MATCH(INDEX(oppCol,ROW()),ovrTeamCol25,0),MATCH(MID(INDEX('Structured 2025'!headerRow,1,COLUMN()),4,LEN(INDEX('Structured 2025'!headerRow,1,COLUMN()))),ovrHeaderRow25,0))</f>
        <v>10.56</v>
      </c>
      <c r="CG65" s="12">
        <f>INDEX(ovrTable25,MATCH(INDEX(oppCol,ROW()),ovrTeamCol25,0),MATCH(MID(INDEX('Structured 2025'!headerRow,1,COLUMN()),4,LEN(INDEX('Structured 2025'!headerRow,1,COLUMN()))),ovrHeaderRow25,0))</f>
        <v>81.099999999999994</v>
      </c>
      <c r="CH65" s="12">
        <f>INDEX(ovrTable25,MATCH(INDEX(oppCol,ROW()),ovrTeamCol25,0),MATCH(MID(INDEX('Structured 2025'!headerRow,1,COLUMN()),4,LEN(INDEX('Structured 2025'!headerRow,1,COLUMN()))),ovrHeaderRow25,0))</f>
        <v>2.2999999999999998</v>
      </c>
      <c r="CI65" s="12">
        <f>INDEX(ovrTable25,MATCH(INDEX(oppCol,ROW()),ovrTeamCol25,0),MATCH(MID(INDEX('Structured 2025'!headerRow,1,COLUMN()),4,LEN(INDEX('Structured 2025'!headerRow,1,COLUMN()))),ovrHeaderRow25,0))</f>
        <v>36.25</v>
      </c>
      <c r="CJ65" s="12">
        <f>INDEX(ovrTable25,MATCH(INDEX(oppCol,ROW()),ovrTeamCol25,0),MATCH(MID(INDEX('Structured 2025'!headerRow,1,COLUMN()),4,LEN(INDEX('Structured 2025'!headerRow,1,COLUMN()))),ovrHeaderRow25,0))</f>
        <v>13.9</v>
      </c>
      <c r="CK65" s="12">
        <f>INDEX(ovrTable25,MATCH(INDEX(oppCol,ROW()),ovrTeamCol25,0),MATCH(MID(INDEX('Structured 2025'!headerRow,1,COLUMN()),4,LEN(INDEX('Structured 2025'!headerRow,1,COLUMN()))),ovrHeaderRow25,0))</f>
        <v>7.9</v>
      </c>
      <c r="CL65" s="12">
        <f>INDEX(ovrTable25,MATCH(INDEX(oppCol,ROW()),ovrTeamCol25,0),MATCH(MID(INDEX('Structured 2025'!headerRow,1,COLUMN()),4,LEN(INDEX('Structured 2025'!headerRow,1,COLUMN()))),ovrHeaderRow25,0))</f>
        <v>4.0999999999999996</v>
      </c>
      <c r="CM65" s="12">
        <f>INDEX(ovrTable25,MATCH(INDEX(oppCol,ROW()),ovrTeamCol25,0),MATCH(MID(INDEX('Structured 2025'!headerRow,1,COLUMN()),4,LEN(INDEX('Structured 2025'!headerRow,1,COLUMN()))),ovrHeaderRow25,0))</f>
        <v>14.19</v>
      </c>
      <c r="CN65" s="12">
        <f>INDEX(ovrTable25,MATCH(INDEX(oppCol,ROW()),ovrTeamCol25,0),MATCH(MID(INDEX('Structured 2025'!headerRow,1,COLUMN()),4,LEN(INDEX('Structured 2025'!headerRow,1,COLUMN()))),ovrHeaderRow25,0))</f>
        <v>10.1</v>
      </c>
      <c r="CO65" s="12">
        <f>INDEX(ovrTable25,MATCH(INDEX(oppCol,ROW()),ovrTeamCol25,0),MATCH(MID(INDEX('Structured 2025'!headerRow,1,COLUMN()),4,LEN(INDEX('Structured 2025'!headerRow,1,COLUMN()))),ovrHeaderRow25,0))</f>
        <v>69.599999999999994</v>
      </c>
      <c r="CP65" s="12">
        <f>INDEX(ovrTable25,MATCH(INDEX(oppCol,ROW()),ovrTeamCol25,0),MATCH(MID(INDEX('Structured 2025'!headerRow,1,COLUMN()),4,LEN(INDEX('Structured 2025'!headerRow,1,COLUMN()))),ovrHeaderRow25,0))</f>
        <v>20.75</v>
      </c>
      <c r="CQ65" s="12">
        <f>INDEX(ovrTable25,MATCH(INDEX(oppCol,ROW()),ovrTeamCol25,0),MATCH(MID(INDEX('Structured 2025'!headerRow,1,COLUMN()),4,LEN(INDEX('Structured 2025'!headerRow,1,COLUMN()))),ovrHeaderRow25,0))</f>
        <v>61.382978723404257</v>
      </c>
    </row>
    <row r="66" spans="1:95" x14ac:dyDescent="0.3">
      <c r="A66" s="6" t="s">
        <v>388</v>
      </c>
      <c r="B66" s="3">
        <v>6</v>
      </c>
      <c r="C66" s="13" t="str">
        <f>A67</f>
        <v>DRKE</v>
      </c>
      <c r="D66" s="14">
        <f t="shared" si="26"/>
        <v>33</v>
      </c>
      <c r="E66" s="23">
        <v>0.5</v>
      </c>
      <c r="F66" s="24">
        <v>33.333333333333329</v>
      </c>
      <c r="G66" s="24">
        <v>4</v>
      </c>
      <c r="H66" s="23">
        <v>25</v>
      </c>
      <c r="I66" s="24">
        <v>16</v>
      </c>
      <c r="J66" s="25">
        <v>0.58823529411764708</v>
      </c>
      <c r="K66" s="24">
        <v>23</v>
      </c>
      <c r="L66" s="24">
        <v>26</v>
      </c>
      <c r="M66" s="24">
        <v>8</v>
      </c>
      <c r="N66" s="24">
        <v>18</v>
      </c>
      <c r="O66" s="24">
        <v>10</v>
      </c>
      <c r="P66" s="24">
        <v>8</v>
      </c>
      <c r="Q66" s="24">
        <v>1</v>
      </c>
      <c r="R66" s="24">
        <v>17</v>
      </c>
      <c r="S66" s="24">
        <v>11</v>
      </c>
      <c r="T66" s="24">
        <v>20</v>
      </c>
      <c r="U66" s="24">
        <v>14</v>
      </c>
      <c r="V66" s="24">
        <v>0.54347826086956519</v>
      </c>
      <c r="W66" s="26">
        <v>0.37777777777777777</v>
      </c>
      <c r="X66" s="23">
        <v>88.461538461538453</v>
      </c>
      <c r="Y66" s="24">
        <v>67</v>
      </c>
      <c r="Z66" s="24">
        <v>57</v>
      </c>
      <c r="AA66" s="24">
        <v>-5</v>
      </c>
      <c r="AB66" s="24">
        <v>26</v>
      </c>
      <c r="AC66" s="24">
        <v>-10</v>
      </c>
      <c r="AD66" s="24">
        <v>-2</v>
      </c>
      <c r="AE66" s="24">
        <v>15</v>
      </c>
      <c r="AF66" s="34">
        <f t="shared" ref="AF66:AF97" si="69">(Z66-(3*G66)-K66)/2</f>
        <v>11</v>
      </c>
      <c r="AG66" s="34">
        <f t="shared" ref="AG66:AG97" si="70">(AF66+G66)/(F66/100)-I66</f>
        <v>29.000000000000007</v>
      </c>
      <c r="AH66" s="46">
        <f t="shared" ref="AH66:AH97" si="71">ROUND(((Z66-K66-3*G66)/2+G66)/(F66/100),0)-M66+R66+L66*0.475</f>
        <v>66.349999999999994</v>
      </c>
      <c r="AI66" s="51">
        <f t="shared" ref="AI66" si="72">AVERAGE(AH66,AH67)</f>
        <v>64.875</v>
      </c>
      <c r="AJ66" s="12">
        <f>INDEX(ovrTable25,MATCH(INDEX('Structured 2025'!teamCol,ROW()),ovrTeamCol25,0),MATCH(MID(INDEX('Structured 2025'!headerRow,1,COLUMN()),4,LEN(INDEX('Structured 2025'!headerRow,1,COLUMN()))),ovrHeaderRow25,0))</f>
        <v>33.6</v>
      </c>
      <c r="AK66" s="12">
        <f>INDEX(ovrTable25,MATCH(INDEX('Structured 2025'!teamCol,ROW()),ovrTeamCol25,0),MATCH(MID(INDEX('Structured 2025'!headerRow,1,COLUMN()),4,LEN(INDEX('Structured 2025'!headerRow,1,COLUMN()))),ovrHeaderRow25,0))</f>
        <v>8.6999999999999993</v>
      </c>
      <c r="AL66" s="12">
        <f>INDEX(ovrTable25,MATCH(INDEX('Structured 2025'!teamCol,ROW()),ovrTeamCol25,0),MATCH(MID(INDEX('Structured 2025'!headerRow,1,COLUMN()),4,LEN(INDEX('Structured 2025'!headerRow,1,COLUMN()))),ovrHeaderRow25,0))</f>
        <v>36.700000000000003</v>
      </c>
      <c r="AM66" s="12">
        <f>INDEX(ovrTable25,MATCH(INDEX('Structured 2025'!teamCol,ROW()),ovrTeamCol25,0),MATCH(MID(INDEX('Structured 2025'!headerRow,1,COLUMN()),4,LEN(INDEX('Structured 2025'!headerRow,1,COLUMN()))),ovrHeaderRow25,0))</f>
        <v>23.7</v>
      </c>
      <c r="AN66" s="12">
        <f>INDEX(ovrTable25,MATCH(INDEX('Structured 2025'!teamCol,ROW()),ovrTeamCol25,0),MATCH(MID(INDEX('Structured 2025'!headerRow,1,COLUMN()),4,LEN(INDEX('Structured 2025'!headerRow,1,COLUMN()))),ovrHeaderRow25,0))</f>
        <v>1.26</v>
      </c>
      <c r="AO66" s="12">
        <f>INDEX(ovrTable25,MATCH(INDEX('Structured 2025'!teamCol,ROW()),ovrTeamCol25,0),MATCH(MID(INDEX('Structured 2025'!headerRow,1,COLUMN()),4,LEN(INDEX('Structured 2025'!headerRow,1,COLUMN()))),ovrHeaderRow25,0))</f>
        <v>13.7</v>
      </c>
      <c r="AP66" s="12">
        <f>INDEX(ovrTable25,MATCH(INDEX('Structured 2025'!teamCol,ROW()),ovrTeamCol25,0),MATCH(MID(INDEX('Structured 2025'!headerRow,1,COLUMN()),4,LEN(INDEX('Structured 2025'!headerRow,1,COLUMN()))),ovrHeaderRow25,0))</f>
        <v>35.47</v>
      </c>
      <c r="AQ66" s="12">
        <f>INDEX(ovrTable25,MATCH(INDEX('Structured 2025'!teamCol,ROW()),ovrTeamCol25,0),MATCH(MID(INDEX('Structured 2025'!headerRow,1,COLUMN()),4,LEN(INDEX('Structured 2025'!headerRow,1,COLUMN()))),ovrHeaderRow25,0))</f>
        <v>2.6</v>
      </c>
      <c r="AR66" s="12">
        <f>INDEX(ovrTable25,MATCH(INDEX('Structured 2025'!teamCol,ROW()),ovrTeamCol25,0),MATCH(MID(INDEX('Structured 2025'!headerRow,1,COLUMN()),4,LEN(INDEX('Structured 2025'!headerRow,1,COLUMN()))),ovrHeaderRow25,0))</f>
        <v>44.6</v>
      </c>
      <c r="AS66" s="12">
        <f>INDEX(ovrTable25,MATCH(INDEX('Structured 2025'!teamCol,ROW()),ovrTeamCol25,0),MATCH(MID(INDEX('Structured 2025'!headerRow,1,COLUMN()),4,LEN(INDEX('Structured 2025'!headerRow,1,COLUMN()))),ovrHeaderRow25,0))</f>
        <v>23.03</v>
      </c>
      <c r="AT66" s="12">
        <f>INDEX(ovrTable25,MATCH(INDEX('Structured 2025'!teamCol,ROW()),ovrTeamCol25,0),MATCH(MID(INDEX('Structured 2025'!headerRow,1,COLUMN()),4,LEN(INDEX('Structured 2025'!headerRow,1,COLUMN()))),ovrHeaderRow25,0))</f>
        <v>0.55800000000000005</v>
      </c>
      <c r="AU66" s="12">
        <f>INDEX(ovrTable25,MATCH(INDEX('Structured 2025'!teamCol,ROW()),ovrTeamCol25,0),MATCH(MID(INDEX('Structured 2025'!headerRow,1,COLUMN()),4,LEN(INDEX('Structured 2025'!headerRow,1,COLUMN()))),ovrHeaderRow25,0))</f>
        <v>12.29</v>
      </c>
      <c r="AV66" s="12">
        <f>INDEX(ovrTable25,MATCH(INDEX('Structured 2025'!teamCol,ROW()),ovrTeamCol25,0),MATCH(MID(INDEX('Structured 2025'!headerRow,1,COLUMN()),4,LEN(INDEX('Structured 2025'!headerRow,1,COLUMN()))),ovrHeaderRow25,0))</f>
        <v>48.2</v>
      </c>
      <c r="AW66" s="12">
        <f>INDEX(ovrTable25,MATCH(INDEX('Structured 2025'!teamCol,ROW()),ovrTeamCol25,0),MATCH(MID(INDEX('Structured 2025'!headerRow,1,COLUMN()),4,LEN(INDEX('Structured 2025'!headerRow,1,COLUMN()))),ovrHeaderRow25,0))</f>
        <v>18.2</v>
      </c>
      <c r="AX66" s="12">
        <f>INDEX(ovrTable25,MATCH(INDEX('Structured 2025'!teamCol,ROW()),ovrTeamCol25,0),MATCH(MID(INDEX('Structured 2025'!headerRow,1,COLUMN()),4,LEN(INDEX('Structured 2025'!headerRow,1,COLUMN()))),ovrHeaderRow25,0))</f>
        <v>73</v>
      </c>
      <c r="AY66" s="12">
        <f>INDEX(ovrTable25,MATCH(INDEX('Structured 2025'!teamCol,ROW()),ovrTeamCol25,0),MATCH(MID(INDEX('Structured 2025'!headerRow,1,COLUMN()),4,LEN(INDEX('Structured 2025'!headerRow,1,COLUMN()))),ovrHeaderRow25,0))</f>
        <v>27</v>
      </c>
      <c r="AZ66" s="12">
        <f>INDEX(ovrTable25,MATCH(INDEX('Structured 2025'!teamCol,ROW()),ovrTeamCol25,0),MATCH(MID(INDEX('Structured 2025'!headerRow,1,COLUMN()),4,LEN(INDEX('Structured 2025'!headerRow,1,COLUMN()))),ovrHeaderRow25,0))</f>
        <v>19.7</v>
      </c>
      <c r="BA66" s="12">
        <f>INDEX(ovrTable25,MATCH(INDEX('Structured 2025'!teamCol,ROW()),ovrTeamCol25,0),MATCH(MID(INDEX('Structured 2025'!headerRow,1,COLUMN()),4,LEN(INDEX('Structured 2025'!headerRow,1,COLUMN()))),ovrHeaderRow25,0))</f>
        <v>73.599999999999994</v>
      </c>
      <c r="BB66" s="12">
        <f>INDEX(ovrTable25,MATCH(INDEX('Structured 2025'!teamCol,ROW()),ovrTeamCol25,0),MATCH(MID(INDEX('Structured 2025'!headerRow,1,COLUMN()),4,LEN(INDEX('Structured 2025'!headerRow,1,COLUMN()))),ovrHeaderRow25,0))</f>
        <v>11</v>
      </c>
      <c r="BC66" s="12">
        <f>INDEX(ovrTable25,MATCH(INDEX('Structured 2025'!teamCol,ROW()),ovrTeamCol25,0),MATCH(MID(INDEX('Structured 2025'!headerRow,1,COLUMN()),4,LEN(INDEX('Structured 2025'!headerRow,1,COLUMN()))),ovrHeaderRow25,0))</f>
        <v>83.6</v>
      </c>
      <c r="BD66" s="12">
        <f>INDEX(ovrTable25,MATCH(INDEX('Structured 2025'!teamCol,ROW()),ovrTeamCol25,0),MATCH(MID(INDEX('Structured 2025'!headerRow,1,COLUMN()),4,LEN(INDEX('Structured 2025'!headerRow,1,COLUMN()))),ovrHeaderRow25,0))</f>
        <v>1.3</v>
      </c>
      <c r="BE66" s="12">
        <f>INDEX(ovrTable25,MATCH(INDEX('Structured 2025'!teamCol,ROW()),ovrTeamCol25,0),MATCH(MID(INDEX('Structured 2025'!headerRow,1,COLUMN()),4,LEN(INDEX('Structured 2025'!headerRow,1,COLUMN()))),ovrHeaderRow25,0))</f>
        <v>34.03</v>
      </c>
      <c r="BF66" s="12">
        <f>INDEX(ovrTable25,MATCH(INDEX('Structured 2025'!teamCol,ROW()),ovrTeamCol25,0),MATCH(MID(INDEX('Structured 2025'!headerRow,1,COLUMN()),4,LEN(INDEX('Structured 2025'!headerRow,1,COLUMN()))),ovrHeaderRow25,0))</f>
        <v>10</v>
      </c>
      <c r="BG66" s="12">
        <f>INDEX(ovrTable25,MATCH(INDEX('Structured 2025'!teamCol,ROW()),ovrTeamCol25,0),MATCH(MID(INDEX('Structured 2025'!headerRow,1,COLUMN()),4,LEN(INDEX('Structured 2025'!headerRow,1,COLUMN()))),ovrHeaderRow25,0))</f>
        <v>9.4</v>
      </c>
      <c r="BH66" s="12">
        <f>INDEX(ovrTable25,MATCH(INDEX('Structured 2025'!teamCol,ROW()),ovrTeamCol25,0),MATCH(MID(INDEX('Structured 2025'!headerRow,1,COLUMN()),4,LEN(INDEX('Structured 2025'!headerRow,1,COLUMN()))),ovrHeaderRow25,0))</f>
        <v>3.2</v>
      </c>
      <c r="BI66" s="12">
        <f>INDEX(ovrTable25,MATCH(INDEX('Structured 2025'!teamCol,ROW()),ovrTeamCol25,0),MATCH(MID(INDEX('Structured 2025'!headerRow,1,COLUMN()),4,LEN(INDEX('Structured 2025'!headerRow,1,COLUMN()))),ovrHeaderRow25,0))</f>
        <v>14.09</v>
      </c>
      <c r="BJ66" s="12">
        <f>INDEX(ovrTable25,MATCH(INDEX('Structured 2025'!teamCol,ROW()),ovrTeamCol25,0),MATCH(MID(INDEX('Structured 2025'!headerRow,1,COLUMN()),4,LEN(INDEX('Structured 2025'!headerRow,1,COLUMN()))),ovrHeaderRow25,0))</f>
        <v>10.9</v>
      </c>
      <c r="BK66" s="12">
        <f>INDEX(ovrTable25,MATCH(INDEX('Structured 2025'!teamCol,ROW()),ovrTeamCol25,0),MATCH(MID(INDEX('Structured 2025'!headerRow,1,COLUMN()),4,LEN(INDEX('Structured 2025'!headerRow,1,COLUMN()))),ovrHeaderRow25,0))</f>
        <v>68.599999999999994</v>
      </c>
      <c r="BL66" s="12">
        <f>INDEX(ovrTable25,MATCH(INDEX('Structured 2025'!teamCol,ROW()),ovrTeamCol25,0),MATCH(MID(INDEX('Structured 2025'!headerRow,1,COLUMN()),4,LEN(INDEX('Structured 2025'!headerRow,1,COLUMN()))),ovrHeaderRow25,0))</f>
        <v>18.899999999999999</v>
      </c>
      <c r="BM66" s="12">
        <f>INDEX(ovrTable25,MATCH(INDEX('Structured 2025'!teamCol,ROW()),ovrTeamCol25,0),MATCH(MID(INDEX('Structured 2025'!headerRow,1,COLUMN()),4,LEN(INDEX('Structured 2025'!headerRow,1,COLUMN()))),ovrHeaderRow25,0))</f>
        <v>57.261410788381738</v>
      </c>
      <c r="BN66" s="12">
        <f>INDEX(ovrTable25,MATCH(INDEX(oppCol,ROW()),ovrTeamCol25,0),MATCH(MID(INDEX('Structured 2025'!headerRow,1,COLUMN()),4,LEN(INDEX('Structured 2025'!headerRow,1,COLUMN()))),ovrHeaderRow25,0))</f>
        <v>30.5</v>
      </c>
      <c r="BO66" s="12">
        <f>INDEX(ovrTable25,MATCH(INDEX(oppCol,ROW()),ovrTeamCol25,0),MATCH(MID(INDEX('Structured 2025'!headerRow,1,COLUMN()),4,LEN(INDEX('Structured 2025'!headerRow,1,COLUMN()))),ovrHeaderRow25,0))</f>
        <v>6.6</v>
      </c>
      <c r="BP66" s="12">
        <f>INDEX(ovrTable25,MATCH(INDEX(oppCol,ROW()),ovrTeamCol25,0),MATCH(MID(INDEX('Structured 2025'!headerRow,1,COLUMN()),4,LEN(INDEX('Structured 2025'!headerRow,1,COLUMN()))),ovrHeaderRow25,0))</f>
        <v>36</v>
      </c>
      <c r="BQ66" s="12">
        <f>INDEX(ovrTable25,MATCH(INDEX(oppCol,ROW()),ovrTeamCol25,0),MATCH(MID(INDEX('Structured 2025'!headerRow,1,COLUMN()),4,LEN(INDEX('Structured 2025'!headerRow,1,COLUMN()))),ovrHeaderRow25,0))</f>
        <v>18.399999999999999</v>
      </c>
      <c r="BR66" s="12">
        <f>INDEX(ovrTable25,MATCH(INDEX(oppCol,ROW()),ovrTeamCol25,0),MATCH(MID(INDEX('Structured 2025'!headerRow,1,COLUMN()),4,LEN(INDEX('Structured 2025'!headerRow,1,COLUMN()))),ovrHeaderRow25,0))</f>
        <v>1.22</v>
      </c>
      <c r="BS66" s="12">
        <f>INDEX(ovrTable25,MATCH(INDEX(oppCol,ROW()),ovrTeamCol25,0),MATCH(MID(INDEX('Structured 2025'!headerRow,1,COLUMN()),4,LEN(INDEX('Structured 2025'!headerRow,1,COLUMN()))),ovrHeaderRow25,0))</f>
        <v>13.5</v>
      </c>
      <c r="BT66" s="12">
        <f>INDEX(ovrTable25,MATCH(INDEX(oppCol,ROW()),ovrTeamCol25,0),MATCH(MID(INDEX('Structured 2025'!headerRow,1,COLUMN()),4,LEN(INDEX('Structured 2025'!headerRow,1,COLUMN()))),ovrHeaderRow25,0))</f>
        <v>19.89</v>
      </c>
      <c r="BU66" s="12">
        <f>INDEX(ovrTable25,MATCH(INDEX(oppCol,ROW()),ovrTeamCol25,0),MATCH(MID(INDEX('Structured 2025'!headerRow,1,COLUMN()),4,LEN(INDEX('Structured 2025'!headerRow,1,COLUMN()))),ovrHeaderRow25,0))</f>
        <v>2.4</v>
      </c>
      <c r="BV66" s="12">
        <f>INDEX(ovrTable25,MATCH(INDEX(oppCol,ROW()),ovrTeamCol25,0),MATCH(MID(INDEX('Structured 2025'!headerRow,1,COLUMN()),4,LEN(INDEX('Structured 2025'!headerRow,1,COLUMN()))),ovrHeaderRow25,0))</f>
        <v>44.2</v>
      </c>
      <c r="BW66" s="12">
        <f>INDEX(ovrTable25,MATCH(INDEX(oppCol,ROW()),ovrTeamCol25,0),MATCH(MID(INDEX('Structured 2025'!headerRow,1,COLUMN()),4,LEN(INDEX('Structured 2025'!headerRow,1,COLUMN()))),ovrHeaderRow25,0))</f>
        <v>20.71</v>
      </c>
      <c r="BX66" s="12">
        <f>INDEX(ovrTable25,MATCH(INDEX(oppCol,ROW()),ovrTeamCol25,0),MATCH(MID(INDEX('Structured 2025'!headerRow,1,COLUMN()),4,LEN(INDEX('Structured 2025'!headerRow,1,COLUMN()))),ovrHeaderRow25,0))</f>
        <v>0.54700000000000004</v>
      </c>
      <c r="BY66" s="12">
        <f>INDEX(ovrTable25,MATCH(INDEX(oppCol,ROW()),ovrTeamCol25,0),MATCH(MID(INDEX('Structured 2025'!headerRow,1,COLUMN()),4,LEN(INDEX('Structured 2025'!headerRow,1,COLUMN()))),ovrHeaderRow25,0))</f>
        <v>6.03</v>
      </c>
      <c r="BZ66" s="12">
        <f>INDEX(ovrTable25,MATCH(INDEX(oppCol,ROW()),ovrTeamCol25,0),MATCH(MID(INDEX('Structured 2025'!headerRow,1,COLUMN()),4,LEN(INDEX('Structured 2025'!headerRow,1,COLUMN()))),ovrHeaderRow25,0))</f>
        <v>48.1</v>
      </c>
      <c r="CA66" s="12">
        <f>INDEX(ovrTable25,MATCH(INDEX(oppCol,ROW()),ovrTeamCol25,0),MATCH(MID(INDEX('Structured 2025'!headerRow,1,COLUMN()),4,LEN(INDEX('Structured 2025'!headerRow,1,COLUMN()))),ovrHeaderRow25,0))</f>
        <v>15.8</v>
      </c>
      <c r="CB66" s="12">
        <f>INDEX(ovrTable25,MATCH(INDEX(oppCol,ROW()),ovrTeamCol25,0),MATCH(MID(INDEX('Structured 2025'!headerRow,1,COLUMN()),4,LEN(INDEX('Structured 2025'!headerRow,1,COLUMN()))),ovrHeaderRow25,0))</f>
        <v>69.900000000000006</v>
      </c>
      <c r="CC66" s="12">
        <f>INDEX(ovrTable25,MATCH(INDEX(oppCol,ROW()),ovrTeamCol25,0),MATCH(MID(INDEX('Structured 2025'!headerRow,1,COLUMN()),4,LEN(INDEX('Structured 2025'!headerRow,1,COLUMN()))),ovrHeaderRow25,0))</f>
        <v>21.3</v>
      </c>
      <c r="CD66" s="12">
        <f>INDEX(ovrTable25,MATCH(INDEX(oppCol,ROW()),ovrTeamCol25,0),MATCH(MID(INDEX('Structured 2025'!headerRow,1,COLUMN()),4,LEN(INDEX('Structured 2025'!headerRow,1,COLUMN()))),ovrHeaderRow25,0))</f>
        <v>14.9</v>
      </c>
      <c r="CE66" s="12">
        <f>INDEX(ovrTable25,MATCH(INDEX(oppCol,ROW()),ovrTeamCol25,0),MATCH(MID(INDEX('Structured 2025'!headerRow,1,COLUMN()),4,LEN(INDEX('Structured 2025'!headerRow,1,COLUMN()))),ovrHeaderRow25,0))</f>
        <v>58.9</v>
      </c>
      <c r="CF66" s="12">
        <f>INDEX(ovrTable25,MATCH(INDEX(oppCol,ROW()),ovrTeamCol25,0),MATCH(MID(INDEX('Structured 2025'!headerRow,1,COLUMN()),4,LEN(INDEX('Structured 2025'!headerRow,1,COLUMN()))),ovrHeaderRow25,0))</f>
        <v>10.11</v>
      </c>
      <c r="CG66" s="12">
        <f>INDEX(ovrTable25,MATCH(INDEX(oppCol,ROW()),ovrTeamCol25,0),MATCH(MID(INDEX('Structured 2025'!headerRow,1,COLUMN()),4,LEN(INDEX('Structured 2025'!headerRow,1,COLUMN()))),ovrHeaderRow25,0))</f>
        <v>69.8</v>
      </c>
      <c r="CH66" s="12">
        <f>INDEX(ovrTable25,MATCH(INDEX(oppCol,ROW()),ovrTeamCol25,0),MATCH(MID(INDEX('Structured 2025'!headerRow,1,COLUMN()),4,LEN(INDEX('Structured 2025'!headerRow,1,COLUMN()))),ovrHeaderRow25,0))</f>
        <v>5.5</v>
      </c>
      <c r="CI66" s="12">
        <f>INDEX(ovrTable25,MATCH(INDEX(oppCol,ROW()),ovrTeamCol25,0),MATCH(MID(INDEX('Structured 2025'!headerRow,1,COLUMN()),4,LEN(INDEX('Structured 2025'!headerRow,1,COLUMN()))),ovrHeaderRow25,0))</f>
        <v>30.83</v>
      </c>
      <c r="CJ66" s="12">
        <f>INDEX(ovrTable25,MATCH(INDEX(oppCol,ROW()),ovrTeamCol25,0),MATCH(MID(INDEX('Structured 2025'!headerRow,1,COLUMN()),4,LEN(INDEX('Structured 2025'!headerRow,1,COLUMN()))),ovrHeaderRow25,0))</f>
        <v>10.9</v>
      </c>
      <c r="CK66" s="12">
        <f>INDEX(ovrTable25,MATCH(INDEX(oppCol,ROW()),ovrTeamCol25,0),MATCH(MID(INDEX('Structured 2025'!headerRow,1,COLUMN()),4,LEN(INDEX('Structured 2025'!headerRow,1,COLUMN()))),ovrHeaderRow25,0))</f>
        <v>8.9</v>
      </c>
      <c r="CL66" s="12">
        <f>INDEX(ovrTable25,MATCH(INDEX(oppCol,ROW()),ovrTeamCol25,0),MATCH(MID(INDEX('Structured 2025'!headerRow,1,COLUMN()),4,LEN(INDEX('Structured 2025'!headerRow,1,COLUMN()))),ovrHeaderRow25,0))</f>
        <v>2.5</v>
      </c>
      <c r="CM66" s="12">
        <f>INDEX(ovrTable25,MATCH(INDEX(oppCol,ROW()),ovrTeamCol25,0),MATCH(MID(INDEX('Structured 2025'!headerRow,1,COLUMN()),4,LEN(INDEX('Structured 2025'!headerRow,1,COLUMN()))),ovrHeaderRow25,0))</f>
        <v>13.6</v>
      </c>
      <c r="CN66" s="12">
        <f>INDEX(ovrTable25,MATCH(INDEX(oppCol,ROW()),ovrTeamCol25,0),MATCH(MID(INDEX('Structured 2025'!headerRow,1,COLUMN()),4,LEN(INDEX('Structured 2025'!headerRow,1,COLUMN()))),ovrHeaderRow25,0))</f>
        <v>11.1</v>
      </c>
      <c r="CO66" s="12">
        <f>INDEX(ovrTable25,MATCH(INDEX(oppCol,ROW()),ovrTeamCol25,0),MATCH(MID(INDEX('Structured 2025'!headerRow,1,COLUMN()),4,LEN(INDEX('Structured 2025'!headerRow,1,COLUMN()))),ovrHeaderRow25,0))</f>
        <v>59.4</v>
      </c>
      <c r="CP66" s="12">
        <f>INDEX(ovrTable25,MATCH(INDEX(oppCol,ROW()),ovrTeamCol25,0),MATCH(MID(INDEX('Structured 2025'!headerRow,1,COLUMN()),4,LEN(INDEX('Structured 2025'!headerRow,1,COLUMN()))),ovrHeaderRow25,0))</f>
        <v>17.55</v>
      </c>
      <c r="CQ66" s="12">
        <f>INDEX(ovrTable25,MATCH(INDEX(oppCol,ROW()),ovrTeamCol25,0),MATCH(MID(INDEX('Structured 2025'!headerRow,1,COLUMN()),4,LEN(INDEX('Structured 2025'!headerRow,1,COLUMN()))),ovrHeaderRow25,0))</f>
        <v>50.207900207900209</v>
      </c>
    </row>
    <row r="67" spans="1:95" x14ac:dyDescent="0.3">
      <c r="A67" s="6" t="s">
        <v>11</v>
      </c>
      <c r="B67" s="3">
        <v>11</v>
      </c>
      <c r="C67" s="13" t="str">
        <f>A66</f>
        <v>MIZ</v>
      </c>
      <c r="D67" s="14">
        <f t="shared" si="26"/>
        <v>33</v>
      </c>
      <c r="E67" s="23">
        <v>0.25</v>
      </c>
      <c r="F67" s="24">
        <v>54.347826086956516</v>
      </c>
      <c r="G67" s="24">
        <v>5</v>
      </c>
      <c r="H67" s="23">
        <v>50</v>
      </c>
      <c r="I67" s="24">
        <v>10</v>
      </c>
      <c r="J67" s="25">
        <v>1.2</v>
      </c>
      <c r="K67" s="24">
        <v>12</v>
      </c>
      <c r="L67" s="24">
        <v>24</v>
      </c>
      <c r="M67" s="24">
        <v>9</v>
      </c>
      <c r="N67" s="24">
        <v>22</v>
      </c>
      <c r="O67" s="24">
        <v>18</v>
      </c>
      <c r="P67" s="24">
        <v>13</v>
      </c>
      <c r="Q67" s="24">
        <v>3</v>
      </c>
      <c r="R67" s="24">
        <v>15</v>
      </c>
      <c r="S67" s="24">
        <v>9</v>
      </c>
      <c r="T67" s="24">
        <v>20</v>
      </c>
      <c r="U67" s="24">
        <v>26</v>
      </c>
      <c r="V67" s="24">
        <v>0.33333333333333331</v>
      </c>
      <c r="W67" s="26">
        <v>0.59782608695652173</v>
      </c>
      <c r="X67" s="23">
        <v>50</v>
      </c>
      <c r="Y67" s="24">
        <v>57</v>
      </c>
      <c r="Z67" s="24">
        <v>67</v>
      </c>
      <c r="AA67" s="24">
        <v>5</v>
      </c>
      <c r="AB67" s="24">
        <v>31</v>
      </c>
      <c r="AC67" s="24">
        <v>10</v>
      </c>
      <c r="AD67" s="24">
        <v>2</v>
      </c>
      <c r="AE67" s="24">
        <v>17</v>
      </c>
      <c r="AF67" s="34">
        <f t="shared" si="69"/>
        <v>20</v>
      </c>
      <c r="AG67" s="34">
        <f t="shared" si="70"/>
        <v>36</v>
      </c>
      <c r="AH67" s="46">
        <f t="shared" si="71"/>
        <v>63.4</v>
      </c>
      <c r="AI67" s="51">
        <f t="shared" ref="AI67" si="73">AVERAGE(AH66,AH67)</f>
        <v>64.875</v>
      </c>
      <c r="AJ67" s="12">
        <f>INDEX(ovrTable25,MATCH(INDEX('Structured 2025'!teamCol,ROW()),ovrTeamCol25,0),MATCH(MID(INDEX('Structured 2025'!headerRow,1,COLUMN()),4,LEN(INDEX('Structured 2025'!headerRow,1,COLUMN()))),ovrHeaderRow25,0))</f>
        <v>30.5</v>
      </c>
      <c r="AK67" s="12">
        <f>INDEX(ovrTable25,MATCH(INDEX('Structured 2025'!teamCol,ROW()),ovrTeamCol25,0),MATCH(MID(INDEX('Structured 2025'!headerRow,1,COLUMN()),4,LEN(INDEX('Structured 2025'!headerRow,1,COLUMN()))),ovrHeaderRow25,0))</f>
        <v>6.6</v>
      </c>
      <c r="AL67" s="12">
        <f>INDEX(ovrTable25,MATCH(INDEX('Structured 2025'!teamCol,ROW()),ovrTeamCol25,0),MATCH(MID(INDEX('Structured 2025'!headerRow,1,COLUMN()),4,LEN(INDEX('Structured 2025'!headerRow,1,COLUMN()))),ovrHeaderRow25,0))</f>
        <v>36</v>
      </c>
      <c r="AM67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AN67" s="12">
        <f>INDEX(ovrTable25,MATCH(INDEX('Structured 2025'!teamCol,ROW()),ovrTeamCol25,0),MATCH(MID(INDEX('Structured 2025'!headerRow,1,COLUMN()),4,LEN(INDEX('Structured 2025'!headerRow,1,COLUMN()))),ovrHeaderRow25,0))</f>
        <v>1.22</v>
      </c>
      <c r="AO67" s="12">
        <f>INDEX(ovrTable25,MATCH(INDEX('Structured 2025'!teamCol,ROW()),ovrTeamCol25,0),MATCH(MID(INDEX('Structured 2025'!headerRow,1,COLUMN()),4,LEN(INDEX('Structured 2025'!headerRow,1,COLUMN()))),ovrHeaderRow25,0))</f>
        <v>13.5</v>
      </c>
      <c r="AP67" s="12">
        <f>INDEX(ovrTable25,MATCH(INDEX('Structured 2025'!teamCol,ROW()),ovrTeamCol25,0),MATCH(MID(INDEX('Structured 2025'!headerRow,1,COLUMN()),4,LEN(INDEX('Structured 2025'!headerRow,1,COLUMN()))),ovrHeaderRow25,0))</f>
        <v>19.89</v>
      </c>
      <c r="AQ67" s="12">
        <f>INDEX(ovrTable25,MATCH(INDEX('Structured 2025'!teamCol,ROW()),ovrTeamCol25,0),MATCH(MID(INDEX('Structured 2025'!headerRow,1,COLUMN()),4,LEN(INDEX('Structured 2025'!headerRow,1,COLUMN()))),ovrHeaderRow25,0))</f>
        <v>2.4</v>
      </c>
      <c r="AR67" s="12">
        <f>INDEX(ovrTable25,MATCH(INDEX('Structured 2025'!teamCol,ROW()),ovrTeamCol25,0),MATCH(MID(INDEX('Structured 2025'!headerRow,1,COLUMN()),4,LEN(INDEX('Structured 2025'!headerRow,1,COLUMN()))),ovrHeaderRow25,0))</f>
        <v>44.2</v>
      </c>
      <c r="AS67" s="12">
        <f>INDEX(ovrTable25,MATCH(INDEX('Structured 2025'!teamCol,ROW()),ovrTeamCol25,0),MATCH(MID(INDEX('Structured 2025'!headerRow,1,COLUMN()),4,LEN(INDEX('Structured 2025'!headerRow,1,COLUMN()))),ovrHeaderRow25,0))</f>
        <v>20.71</v>
      </c>
      <c r="AT67" s="12">
        <f>INDEX(ovrTable25,MATCH(INDEX('Structured 2025'!teamCol,ROW()),ovrTeamCol25,0),MATCH(MID(INDEX('Structured 2025'!headerRow,1,COLUMN()),4,LEN(INDEX('Structured 2025'!headerRow,1,COLUMN()))),ovrHeaderRow25,0))</f>
        <v>0.54700000000000004</v>
      </c>
      <c r="AU67" s="12">
        <f>INDEX(ovrTable25,MATCH(INDEX('Structured 2025'!teamCol,ROW()),ovrTeamCol25,0),MATCH(MID(INDEX('Structured 2025'!headerRow,1,COLUMN()),4,LEN(INDEX('Structured 2025'!headerRow,1,COLUMN()))),ovrHeaderRow25,0))</f>
        <v>6.03</v>
      </c>
      <c r="AV67" s="12">
        <f>INDEX(ovrTable25,MATCH(INDEX('Structured 2025'!teamCol,ROW()),ovrTeamCol25,0),MATCH(MID(INDEX('Structured 2025'!headerRow,1,COLUMN()),4,LEN(INDEX('Structured 2025'!headerRow,1,COLUMN()))),ovrHeaderRow25,0))</f>
        <v>48.1</v>
      </c>
      <c r="AW67" s="12">
        <f>INDEX(ovrTable25,MATCH(INDEX('Structured 2025'!teamCol,ROW()),ovrTeamCol25,0),MATCH(MID(INDEX('Structured 2025'!headerRow,1,COLUMN()),4,LEN(INDEX('Structured 2025'!headerRow,1,COLUMN()))),ovrHeaderRow25,0))</f>
        <v>15.8</v>
      </c>
      <c r="AX67" s="12">
        <f>INDEX(ovrTable25,MATCH(INDEX('Structured 2025'!teamCol,ROW()),ovrTeamCol25,0),MATCH(MID(INDEX('Structured 2025'!headerRow,1,COLUMN()),4,LEN(INDEX('Structured 2025'!headerRow,1,COLUMN()))),ovrHeaderRow25,0))</f>
        <v>69.900000000000006</v>
      </c>
      <c r="AY67" s="12">
        <f>INDEX(ovrTable25,MATCH(INDEX('Structured 2025'!teamCol,ROW()),ovrTeamCol25,0),MATCH(MID(INDEX('Structured 2025'!headerRow,1,COLUMN()),4,LEN(INDEX('Structured 2025'!headerRow,1,COLUMN()))),ovrHeaderRow25,0))</f>
        <v>21.3</v>
      </c>
      <c r="AZ67" s="12">
        <f>INDEX(ovrTable25,MATCH(INDEX('Structured 2025'!teamCol,ROW()),ovrTeamCol25,0),MATCH(MID(INDEX('Structured 2025'!headerRow,1,COLUMN()),4,LEN(INDEX('Structured 2025'!headerRow,1,COLUMN()))),ovrHeaderRow25,0))</f>
        <v>14.9</v>
      </c>
      <c r="BA67" s="12">
        <f>INDEX(ovrTable25,MATCH(INDEX('Structured 2025'!teamCol,ROW()),ovrTeamCol25,0),MATCH(MID(INDEX('Structured 2025'!headerRow,1,COLUMN()),4,LEN(INDEX('Structured 2025'!headerRow,1,COLUMN()))),ovrHeaderRow25,0))</f>
        <v>58.9</v>
      </c>
      <c r="BB67" s="12">
        <f>INDEX(ovrTable25,MATCH(INDEX('Structured 2025'!teamCol,ROW()),ovrTeamCol25,0),MATCH(MID(INDEX('Structured 2025'!headerRow,1,COLUMN()),4,LEN(INDEX('Structured 2025'!headerRow,1,COLUMN()))),ovrHeaderRow25,0))</f>
        <v>10.11</v>
      </c>
      <c r="BC67" s="12">
        <f>INDEX(ovrTable25,MATCH(INDEX('Structured 2025'!teamCol,ROW()),ovrTeamCol25,0),MATCH(MID(INDEX('Structured 2025'!headerRow,1,COLUMN()),4,LEN(INDEX('Structured 2025'!headerRow,1,COLUMN()))),ovrHeaderRow25,0))</f>
        <v>69.8</v>
      </c>
      <c r="BD67" s="12">
        <f>INDEX(ovrTable25,MATCH(INDEX('Structured 2025'!teamCol,ROW()),ovrTeamCol25,0),MATCH(MID(INDEX('Structured 2025'!headerRow,1,COLUMN()),4,LEN(INDEX('Structured 2025'!headerRow,1,COLUMN()))),ovrHeaderRow25,0))</f>
        <v>5.5</v>
      </c>
      <c r="BE67" s="12">
        <f>INDEX(ovrTable25,MATCH(INDEX('Structured 2025'!teamCol,ROW()),ovrTeamCol25,0),MATCH(MID(INDEX('Structured 2025'!headerRow,1,COLUMN()),4,LEN(INDEX('Structured 2025'!headerRow,1,COLUMN()))),ovrHeaderRow25,0))</f>
        <v>30.83</v>
      </c>
      <c r="BF67" s="12">
        <f>INDEX(ovrTable25,MATCH(INDEX('Structured 2025'!teamCol,ROW()),ovrTeamCol25,0),MATCH(MID(INDEX('Structured 2025'!headerRow,1,COLUMN()),4,LEN(INDEX('Structured 2025'!headerRow,1,COLUMN()))),ovrHeaderRow25,0))</f>
        <v>10.9</v>
      </c>
      <c r="BG67" s="12">
        <f>INDEX(ovrTable25,MATCH(INDEX('Structured 2025'!teamCol,ROW()),ovrTeamCol25,0),MATCH(MID(INDEX('Structured 2025'!headerRow,1,COLUMN()),4,LEN(INDEX('Structured 2025'!headerRow,1,COLUMN()))),ovrHeaderRow25,0))</f>
        <v>8.9</v>
      </c>
      <c r="BH67" s="12">
        <f>INDEX(ovrTable25,MATCH(INDEX('Structured 2025'!teamCol,ROW()),ovrTeamCol25,0),MATCH(MID(INDEX('Structured 2025'!headerRow,1,COLUMN()),4,LEN(INDEX('Structured 2025'!headerRow,1,COLUMN()))),ovrHeaderRow25,0))</f>
        <v>2.5</v>
      </c>
      <c r="BI67" s="12">
        <f>INDEX(ovrTable25,MATCH(INDEX('Structured 2025'!teamCol,ROW()),ovrTeamCol25,0),MATCH(MID(INDEX('Structured 2025'!headerRow,1,COLUMN()),4,LEN(INDEX('Structured 2025'!headerRow,1,COLUMN()))),ovrHeaderRow25,0))</f>
        <v>13.6</v>
      </c>
      <c r="BJ67" s="12">
        <f>INDEX(ovrTable25,MATCH(INDEX('Structured 2025'!teamCol,ROW()),ovrTeamCol25,0),MATCH(MID(INDEX('Structured 2025'!headerRow,1,COLUMN()),4,LEN(INDEX('Structured 2025'!headerRow,1,COLUMN()))),ovrHeaderRow25,0))</f>
        <v>11.1</v>
      </c>
      <c r="BK67" s="12">
        <f>INDEX(ovrTable25,MATCH(INDEX('Structured 2025'!teamCol,ROW()),ovrTeamCol25,0),MATCH(MID(INDEX('Structured 2025'!headerRow,1,COLUMN()),4,LEN(INDEX('Structured 2025'!headerRow,1,COLUMN()))),ovrHeaderRow25,0))</f>
        <v>59.4</v>
      </c>
      <c r="BL67" s="12">
        <f>INDEX(ovrTable25,MATCH(INDEX('Structured 2025'!teamCol,ROW()),ovrTeamCol25,0),MATCH(MID(INDEX('Structured 2025'!headerRow,1,COLUMN()),4,LEN(INDEX('Structured 2025'!headerRow,1,COLUMN()))),ovrHeaderRow25,0))</f>
        <v>17.55</v>
      </c>
      <c r="BM67" s="12">
        <f>INDEX(ovrTable25,MATCH(INDEX('Structured 2025'!teamCol,ROW()),ovrTeamCol25,0),MATCH(MID(INDEX('Structured 2025'!headerRow,1,COLUMN()),4,LEN(INDEX('Structured 2025'!headerRow,1,COLUMN()))),ovrHeaderRow25,0))</f>
        <v>50.207900207900209</v>
      </c>
      <c r="BN67" s="12">
        <f>INDEX(ovrTable25,MATCH(INDEX(oppCol,ROW()),ovrTeamCol25,0),MATCH(MID(INDEX('Structured 2025'!headerRow,1,COLUMN()),4,LEN(INDEX('Structured 2025'!headerRow,1,COLUMN()))),ovrHeaderRow25,0))</f>
        <v>33.6</v>
      </c>
      <c r="BO67" s="12">
        <f>INDEX(ovrTable25,MATCH(INDEX(oppCol,ROW()),ovrTeamCol25,0),MATCH(MID(INDEX('Structured 2025'!headerRow,1,COLUMN()),4,LEN(INDEX('Structured 2025'!headerRow,1,COLUMN()))),ovrHeaderRow25,0))</f>
        <v>8.6999999999999993</v>
      </c>
      <c r="BP67" s="12">
        <f>INDEX(ovrTable25,MATCH(INDEX(oppCol,ROW()),ovrTeamCol25,0),MATCH(MID(INDEX('Structured 2025'!headerRow,1,COLUMN()),4,LEN(INDEX('Structured 2025'!headerRow,1,COLUMN()))),ovrHeaderRow25,0))</f>
        <v>36.700000000000003</v>
      </c>
      <c r="BQ67" s="12">
        <f>INDEX(ovrTable25,MATCH(INDEX(oppCol,ROW()),ovrTeamCol25,0),MATCH(MID(INDEX('Structured 2025'!headerRow,1,COLUMN()),4,LEN(INDEX('Structured 2025'!headerRow,1,COLUMN()))),ovrHeaderRow25,0))</f>
        <v>23.7</v>
      </c>
      <c r="BR67" s="12">
        <f>INDEX(ovrTable25,MATCH(INDEX(oppCol,ROW()),ovrTeamCol25,0),MATCH(MID(INDEX('Structured 2025'!headerRow,1,COLUMN()),4,LEN(INDEX('Structured 2025'!headerRow,1,COLUMN()))),ovrHeaderRow25,0))</f>
        <v>1.26</v>
      </c>
      <c r="BS67" s="12">
        <f>INDEX(ovrTable25,MATCH(INDEX(oppCol,ROW()),ovrTeamCol25,0),MATCH(MID(INDEX('Structured 2025'!headerRow,1,COLUMN()),4,LEN(INDEX('Structured 2025'!headerRow,1,COLUMN()))),ovrHeaderRow25,0))</f>
        <v>13.7</v>
      </c>
      <c r="BT67" s="12">
        <f>INDEX(ovrTable25,MATCH(INDEX(oppCol,ROW()),ovrTeamCol25,0),MATCH(MID(INDEX('Structured 2025'!headerRow,1,COLUMN()),4,LEN(INDEX('Structured 2025'!headerRow,1,COLUMN()))),ovrHeaderRow25,0))</f>
        <v>35.47</v>
      </c>
      <c r="BU67" s="12">
        <f>INDEX(ovrTable25,MATCH(INDEX(oppCol,ROW()),ovrTeamCol25,0),MATCH(MID(INDEX('Structured 2025'!headerRow,1,COLUMN()),4,LEN(INDEX('Structured 2025'!headerRow,1,COLUMN()))),ovrHeaderRow25,0))</f>
        <v>2.6</v>
      </c>
      <c r="BV67" s="12">
        <f>INDEX(ovrTable25,MATCH(INDEX(oppCol,ROW()),ovrTeamCol25,0),MATCH(MID(INDEX('Structured 2025'!headerRow,1,COLUMN()),4,LEN(INDEX('Structured 2025'!headerRow,1,COLUMN()))),ovrHeaderRow25,0))</f>
        <v>44.6</v>
      </c>
      <c r="BW67" s="12">
        <f>INDEX(ovrTable25,MATCH(INDEX(oppCol,ROW()),ovrTeamCol25,0),MATCH(MID(INDEX('Structured 2025'!headerRow,1,COLUMN()),4,LEN(INDEX('Structured 2025'!headerRow,1,COLUMN()))),ovrHeaderRow25,0))</f>
        <v>23.03</v>
      </c>
      <c r="BX67" s="12">
        <f>INDEX(ovrTable25,MATCH(INDEX(oppCol,ROW()),ovrTeamCol25,0),MATCH(MID(INDEX('Structured 2025'!headerRow,1,COLUMN()),4,LEN(INDEX('Structured 2025'!headerRow,1,COLUMN()))),ovrHeaderRow25,0))</f>
        <v>0.55800000000000005</v>
      </c>
      <c r="BY67" s="12">
        <f>INDEX(ovrTable25,MATCH(INDEX(oppCol,ROW()),ovrTeamCol25,0),MATCH(MID(INDEX('Structured 2025'!headerRow,1,COLUMN()),4,LEN(INDEX('Structured 2025'!headerRow,1,COLUMN()))),ovrHeaderRow25,0))</f>
        <v>12.29</v>
      </c>
      <c r="BZ67" s="12">
        <f>INDEX(ovrTable25,MATCH(INDEX(oppCol,ROW()),ovrTeamCol25,0),MATCH(MID(INDEX('Structured 2025'!headerRow,1,COLUMN()),4,LEN(INDEX('Structured 2025'!headerRow,1,COLUMN()))),ovrHeaderRow25,0))</f>
        <v>48.2</v>
      </c>
      <c r="CA67" s="12">
        <f>INDEX(ovrTable25,MATCH(INDEX(oppCol,ROW()),ovrTeamCol25,0),MATCH(MID(INDEX('Structured 2025'!headerRow,1,COLUMN()),4,LEN(INDEX('Structured 2025'!headerRow,1,COLUMN()))),ovrHeaderRow25,0))</f>
        <v>18.2</v>
      </c>
      <c r="CB67" s="12">
        <f>INDEX(ovrTable25,MATCH(INDEX(oppCol,ROW()),ovrTeamCol25,0),MATCH(MID(INDEX('Structured 2025'!headerRow,1,COLUMN()),4,LEN(INDEX('Structured 2025'!headerRow,1,COLUMN()))),ovrHeaderRow25,0))</f>
        <v>73</v>
      </c>
      <c r="CC67" s="12">
        <f>INDEX(ovrTable25,MATCH(INDEX(oppCol,ROW()),ovrTeamCol25,0),MATCH(MID(INDEX('Structured 2025'!headerRow,1,COLUMN()),4,LEN(INDEX('Structured 2025'!headerRow,1,COLUMN()))),ovrHeaderRow25,0))</f>
        <v>27</v>
      </c>
      <c r="CD67" s="12">
        <f>INDEX(ovrTable25,MATCH(INDEX(oppCol,ROW()),ovrTeamCol25,0),MATCH(MID(INDEX('Structured 2025'!headerRow,1,COLUMN()),4,LEN(INDEX('Structured 2025'!headerRow,1,COLUMN()))),ovrHeaderRow25,0))</f>
        <v>19.7</v>
      </c>
      <c r="CE67" s="12">
        <f>INDEX(ovrTable25,MATCH(INDEX(oppCol,ROW()),ovrTeamCol25,0),MATCH(MID(INDEX('Structured 2025'!headerRow,1,COLUMN()),4,LEN(INDEX('Structured 2025'!headerRow,1,COLUMN()))),ovrHeaderRow25,0))</f>
        <v>73.599999999999994</v>
      </c>
      <c r="CF67" s="12">
        <f>INDEX(ovrTable25,MATCH(INDEX(oppCol,ROW()),ovrTeamCol25,0),MATCH(MID(INDEX('Structured 2025'!headerRow,1,COLUMN()),4,LEN(INDEX('Structured 2025'!headerRow,1,COLUMN()))),ovrHeaderRow25,0))</f>
        <v>11</v>
      </c>
      <c r="CG67" s="12">
        <f>INDEX(ovrTable25,MATCH(INDEX(oppCol,ROW()),ovrTeamCol25,0),MATCH(MID(INDEX('Structured 2025'!headerRow,1,COLUMN()),4,LEN(INDEX('Structured 2025'!headerRow,1,COLUMN()))),ovrHeaderRow25,0))</f>
        <v>83.6</v>
      </c>
      <c r="CH67" s="12">
        <f>INDEX(ovrTable25,MATCH(INDEX(oppCol,ROW()),ovrTeamCol25,0),MATCH(MID(INDEX('Structured 2025'!headerRow,1,COLUMN()),4,LEN(INDEX('Structured 2025'!headerRow,1,COLUMN()))),ovrHeaderRow25,0))</f>
        <v>1.3</v>
      </c>
      <c r="CI67" s="12">
        <f>INDEX(ovrTable25,MATCH(INDEX(oppCol,ROW()),ovrTeamCol25,0),MATCH(MID(INDEX('Structured 2025'!headerRow,1,COLUMN()),4,LEN(INDEX('Structured 2025'!headerRow,1,COLUMN()))),ovrHeaderRow25,0))</f>
        <v>34.03</v>
      </c>
      <c r="CJ67" s="12">
        <f>INDEX(ovrTable25,MATCH(INDEX(oppCol,ROW()),ovrTeamCol25,0),MATCH(MID(INDEX('Structured 2025'!headerRow,1,COLUMN()),4,LEN(INDEX('Structured 2025'!headerRow,1,COLUMN()))),ovrHeaderRow25,0))</f>
        <v>10</v>
      </c>
      <c r="CK67" s="12">
        <f>INDEX(ovrTable25,MATCH(INDEX(oppCol,ROW()),ovrTeamCol25,0),MATCH(MID(INDEX('Structured 2025'!headerRow,1,COLUMN()),4,LEN(INDEX('Structured 2025'!headerRow,1,COLUMN()))),ovrHeaderRow25,0))</f>
        <v>9.4</v>
      </c>
      <c r="CL67" s="12">
        <f>INDEX(ovrTable25,MATCH(INDEX(oppCol,ROW()),ovrTeamCol25,0),MATCH(MID(INDEX('Structured 2025'!headerRow,1,COLUMN()),4,LEN(INDEX('Structured 2025'!headerRow,1,COLUMN()))),ovrHeaderRow25,0))</f>
        <v>3.2</v>
      </c>
      <c r="CM67" s="12">
        <f>INDEX(ovrTable25,MATCH(INDEX(oppCol,ROW()),ovrTeamCol25,0),MATCH(MID(INDEX('Structured 2025'!headerRow,1,COLUMN()),4,LEN(INDEX('Structured 2025'!headerRow,1,COLUMN()))),ovrHeaderRow25,0))</f>
        <v>14.09</v>
      </c>
      <c r="CN67" s="12">
        <f>INDEX(ovrTable25,MATCH(INDEX(oppCol,ROW()),ovrTeamCol25,0),MATCH(MID(INDEX('Structured 2025'!headerRow,1,COLUMN()),4,LEN(INDEX('Structured 2025'!headerRow,1,COLUMN()))),ovrHeaderRow25,0))</f>
        <v>10.9</v>
      </c>
      <c r="CO67" s="12">
        <f>INDEX(ovrTable25,MATCH(INDEX(oppCol,ROW()),ovrTeamCol25,0),MATCH(MID(INDEX('Structured 2025'!headerRow,1,COLUMN()),4,LEN(INDEX('Structured 2025'!headerRow,1,COLUMN()))),ovrHeaderRow25,0))</f>
        <v>68.599999999999994</v>
      </c>
      <c r="CP67" s="12">
        <f>INDEX(ovrTable25,MATCH(INDEX(oppCol,ROW()),ovrTeamCol25,0),MATCH(MID(INDEX('Structured 2025'!headerRow,1,COLUMN()),4,LEN(INDEX('Structured 2025'!headerRow,1,COLUMN()))),ovrHeaderRow25,0))</f>
        <v>18.899999999999999</v>
      </c>
      <c r="CQ67" s="12">
        <f>INDEX(ovrTable25,MATCH(INDEX(oppCol,ROW()),ovrTeamCol25,0),MATCH(MID(INDEX('Structured 2025'!headerRow,1,COLUMN()),4,LEN(INDEX('Structured 2025'!headerRow,1,COLUMN()))),ovrHeaderRow25,0))</f>
        <v>57.261410788381738</v>
      </c>
    </row>
    <row r="68" spans="1:95" x14ac:dyDescent="0.3">
      <c r="A68" s="6" t="s">
        <v>46</v>
      </c>
      <c r="B68" s="3">
        <v>3</v>
      </c>
      <c r="C68" s="13" t="str">
        <f>A69</f>
        <v>UNCW</v>
      </c>
      <c r="D68" s="14">
        <f t="shared" si="26"/>
        <v>34</v>
      </c>
      <c r="E68" s="23">
        <v>0.26923076923076922</v>
      </c>
      <c r="F68" s="24">
        <v>39.130434782608695</v>
      </c>
      <c r="G68" s="24">
        <v>13</v>
      </c>
      <c r="H68" s="23">
        <v>28.260869565217391</v>
      </c>
      <c r="I68" s="24">
        <v>46</v>
      </c>
      <c r="J68" s="25">
        <v>3</v>
      </c>
      <c r="K68" s="24">
        <v>15</v>
      </c>
      <c r="L68" s="24">
        <v>23</v>
      </c>
      <c r="M68" s="24">
        <v>14</v>
      </c>
      <c r="N68" s="24">
        <v>27</v>
      </c>
      <c r="O68" s="24">
        <v>21</v>
      </c>
      <c r="P68" s="24">
        <v>4</v>
      </c>
      <c r="Q68" s="24">
        <v>3</v>
      </c>
      <c r="R68" s="24">
        <v>7</v>
      </c>
      <c r="S68" s="24">
        <v>11</v>
      </c>
      <c r="T68" s="24">
        <v>16</v>
      </c>
      <c r="U68" s="24">
        <v>9</v>
      </c>
      <c r="V68" s="24">
        <v>0.41269841269841268</v>
      </c>
      <c r="W68" s="26">
        <v>0.48550724637681159</v>
      </c>
      <c r="X68" s="23">
        <v>65.217391304347828</v>
      </c>
      <c r="Y68" s="24">
        <v>72</v>
      </c>
      <c r="Z68" s="24">
        <v>82</v>
      </c>
      <c r="AA68" s="24">
        <v>-1</v>
      </c>
      <c r="AB68" s="24">
        <v>41</v>
      </c>
      <c r="AC68" s="24">
        <v>10</v>
      </c>
      <c r="AD68" s="24">
        <v>6</v>
      </c>
      <c r="AE68" s="24">
        <v>13</v>
      </c>
      <c r="AF68" s="34">
        <f t="shared" si="69"/>
        <v>14</v>
      </c>
      <c r="AG68" s="34">
        <f t="shared" si="70"/>
        <v>23</v>
      </c>
      <c r="AH68" s="46">
        <f t="shared" si="71"/>
        <v>72.924999999999997</v>
      </c>
      <c r="AI68" s="51">
        <f t="shared" ref="AI68" si="74">AVERAGE(AH68,AH69)</f>
        <v>72.525000000000006</v>
      </c>
      <c r="AJ68" s="12">
        <f>INDEX(ovrTable25,MATCH(INDEX('Structured 2025'!teamCol,ROW()),ovrTeamCol25,0),MATCH(MID(INDEX('Structured 2025'!headerRow,1,COLUMN()),4,LEN(INDEX('Structured 2025'!headerRow,1,COLUMN()))),ovrHeaderRow25,0))</f>
        <v>32.4</v>
      </c>
      <c r="AK68" s="12">
        <f>INDEX(ovrTable25,MATCH(INDEX('Structured 2025'!teamCol,ROW()),ovrTeamCol25,0),MATCH(MID(INDEX('Structured 2025'!headerRow,1,COLUMN()),4,LEN(INDEX('Structured 2025'!headerRow,1,COLUMN()))),ovrHeaderRow25,0))</f>
        <v>10</v>
      </c>
      <c r="AL68" s="12">
        <f>INDEX(ovrTable25,MATCH(INDEX('Structured 2025'!teamCol,ROW()),ovrTeamCol25,0),MATCH(MID(INDEX('Structured 2025'!headerRow,1,COLUMN()),4,LEN(INDEX('Structured 2025'!headerRow,1,COLUMN()))),ovrHeaderRow25,0))</f>
        <v>36.700000000000003</v>
      </c>
      <c r="AM68" s="12">
        <f>INDEX(ovrTable25,MATCH(INDEX('Structured 2025'!teamCol,ROW()),ovrTeamCol25,0),MATCH(MID(INDEX('Structured 2025'!headerRow,1,COLUMN()),4,LEN(INDEX('Structured 2025'!headerRow,1,COLUMN()))),ovrHeaderRow25,0))</f>
        <v>27.3</v>
      </c>
      <c r="AN68" s="12">
        <f>INDEX(ovrTable25,MATCH(INDEX('Structured 2025'!teamCol,ROW()),ovrTeamCol25,0),MATCH(MID(INDEX('Structured 2025'!headerRow,1,COLUMN()),4,LEN(INDEX('Structured 2025'!headerRow,1,COLUMN()))),ovrHeaderRow25,0))</f>
        <v>1.7</v>
      </c>
      <c r="AO68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AP68" s="12">
        <f>INDEX(ovrTable25,MATCH(INDEX('Structured 2025'!teamCol,ROW()),ovrTeamCol25,0),MATCH(MID(INDEX('Structured 2025'!headerRow,1,COLUMN()),4,LEN(INDEX('Structured 2025'!headerRow,1,COLUMN()))),ovrHeaderRow25,0))</f>
        <v>19.95</v>
      </c>
      <c r="AQ68" s="12">
        <f>INDEX(ovrTable25,MATCH(INDEX('Structured 2025'!teamCol,ROW()),ovrTeamCol25,0),MATCH(MID(INDEX('Structured 2025'!headerRow,1,COLUMN()),4,LEN(INDEX('Structured 2025'!headerRow,1,COLUMN()))),ovrHeaderRow25,0))</f>
        <v>3.1</v>
      </c>
      <c r="AR68" s="12">
        <f>INDEX(ovrTable25,MATCH(INDEX('Structured 2025'!teamCol,ROW()),ovrTeamCol25,0),MATCH(MID(INDEX('Structured 2025'!headerRow,1,COLUMN()),4,LEN(INDEX('Structured 2025'!headerRow,1,COLUMN()))),ovrHeaderRow25,0))</f>
        <v>42.6</v>
      </c>
      <c r="AS68" s="12">
        <f>INDEX(ovrTable25,MATCH(INDEX('Structured 2025'!teamCol,ROW()),ovrTeamCol25,0),MATCH(MID(INDEX('Structured 2025'!headerRow,1,COLUMN()),4,LEN(INDEX('Structured 2025'!headerRow,1,COLUMN()))),ovrHeaderRow25,0))</f>
        <v>25.22</v>
      </c>
      <c r="AT68" s="12">
        <f>INDEX(ovrTable25,MATCH(INDEX('Structured 2025'!teamCol,ROW()),ovrTeamCol25,0),MATCH(MID(INDEX('Structured 2025'!headerRow,1,COLUMN()),4,LEN(INDEX('Structured 2025'!headerRow,1,COLUMN()))),ovrHeaderRow25,0))</f>
        <v>0.54700000000000004</v>
      </c>
      <c r="AU68" s="12">
        <f>INDEX(ovrTable25,MATCH(INDEX('Structured 2025'!teamCol,ROW()),ovrTeamCol25,0),MATCH(MID(INDEX('Structured 2025'!headerRow,1,COLUMN()),4,LEN(INDEX('Structured 2025'!headerRow,1,COLUMN()))),ovrHeaderRow25,0))</f>
        <v>10.16</v>
      </c>
      <c r="AV68" s="12">
        <f>INDEX(ovrTable25,MATCH(INDEX('Structured 2025'!teamCol,ROW()),ovrTeamCol25,0),MATCH(MID(INDEX('Structured 2025'!headerRow,1,COLUMN()),4,LEN(INDEX('Structured 2025'!headerRow,1,COLUMN()))),ovrHeaderRow25,0))</f>
        <v>46.6</v>
      </c>
      <c r="AW68" s="12">
        <f>INDEX(ovrTable25,MATCH(INDEX('Structured 2025'!teamCol,ROW()),ovrTeamCol25,0),MATCH(MID(INDEX('Structured 2025'!headerRow,1,COLUMN()),4,LEN(INDEX('Structured 2025'!headerRow,1,COLUMN()))),ovrHeaderRow25,0))</f>
        <v>15.7</v>
      </c>
      <c r="AX68" s="12">
        <f>INDEX(ovrTable25,MATCH(INDEX('Structured 2025'!teamCol,ROW()),ovrTeamCol25,0),MATCH(MID(INDEX('Structured 2025'!headerRow,1,COLUMN()),4,LEN(INDEX('Structured 2025'!headerRow,1,COLUMN()))),ovrHeaderRow25,0))</f>
        <v>76</v>
      </c>
      <c r="AY68" s="12">
        <f>INDEX(ovrTable25,MATCH(INDEX('Structured 2025'!teamCol,ROW()),ovrTeamCol25,0),MATCH(MID(INDEX('Structured 2025'!headerRow,1,COLUMN()),4,LEN(INDEX('Structured 2025'!headerRow,1,COLUMN()))),ovrHeaderRow25,0))</f>
        <v>17.899999999999999</v>
      </c>
      <c r="AZ68" s="12">
        <f>INDEX(ovrTable25,MATCH(INDEX('Structured 2025'!teamCol,ROW()),ovrTeamCol25,0),MATCH(MID(INDEX('Structured 2025'!headerRow,1,COLUMN()),4,LEN(INDEX('Structured 2025'!headerRow,1,COLUMN()))),ovrHeaderRow25,0))</f>
        <v>13.6</v>
      </c>
      <c r="BA68" s="12">
        <f>INDEX(ovrTable25,MATCH(INDEX('Structured 2025'!teamCol,ROW()),ovrTeamCol25,0),MATCH(MID(INDEX('Structured 2025'!headerRow,1,COLUMN()),4,LEN(INDEX('Structured 2025'!headerRow,1,COLUMN()))),ovrHeaderRow25,0))</f>
        <v>68.5</v>
      </c>
      <c r="BB68" s="12">
        <f>INDEX(ovrTable25,MATCH(INDEX('Structured 2025'!teamCol,ROW()),ovrTeamCol25,0),MATCH(MID(INDEX('Structured 2025'!headerRow,1,COLUMN()),4,LEN(INDEX('Structured 2025'!headerRow,1,COLUMN()))),ovrHeaderRow25,0))</f>
        <v>11.84</v>
      </c>
      <c r="BC68" s="12">
        <f>INDEX(ovrTable25,MATCH(INDEX('Structured 2025'!teamCol,ROW()),ovrTeamCol25,0),MATCH(MID(INDEX('Structured 2025'!headerRow,1,COLUMN()),4,LEN(INDEX('Structured 2025'!headerRow,1,COLUMN()))),ovrHeaderRow25,0))</f>
        <v>80.900000000000006</v>
      </c>
      <c r="BD68" s="12">
        <f>INDEX(ovrTable25,MATCH(INDEX('Structured 2025'!teamCol,ROW()),ovrTeamCol25,0),MATCH(MID(INDEX('Structured 2025'!headerRow,1,COLUMN()),4,LEN(INDEX('Structured 2025'!headerRow,1,COLUMN()))),ovrHeaderRow25,0))</f>
        <v>4.3</v>
      </c>
      <c r="BE68" s="12">
        <f>INDEX(ovrTable25,MATCH(INDEX('Structured 2025'!teamCol,ROW()),ovrTeamCol25,0),MATCH(MID(INDEX('Structured 2025'!headerRow,1,COLUMN()),4,LEN(INDEX('Structured 2025'!headerRow,1,COLUMN()))),ovrHeaderRow25,0))</f>
        <v>37.049999999999997</v>
      </c>
      <c r="BF68" s="12">
        <f>INDEX(ovrTable25,MATCH(INDEX('Structured 2025'!teamCol,ROW()),ovrTeamCol25,0),MATCH(MID(INDEX('Structured 2025'!headerRow,1,COLUMN()),4,LEN(INDEX('Structured 2025'!headerRow,1,COLUMN()))),ovrHeaderRow25,0))</f>
        <v>12.4</v>
      </c>
      <c r="BG68" s="12">
        <f>INDEX(ovrTable25,MATCH(INDEX('Structured 2025'!teamCol,ROW()),ovrTeamCol25,0),MATCH(MID(INDEX('Structured 2025'!headerRow,1,COLUMN()),4,LEN(INDEX('Structured 2025'!headerRow,1,COLUMN()))),ovrHeaderRow25,0))</f>
        <v>6.3</v>
      </c>
      <c r="BH68" s="12">
        <f>INDEX(ovrTable25,MATCH(INDEX('Structured 2025'!teamCol,ROW()),ovrTeamCol25,0),MATCH(MID(INDEX('Structured 2025'!headerRow,1,COLUMN()),4,LEN(INDEX('Structured 2025'!headerRow,1,COLUMN()))),ovrHeaderRow25,0))</f>
        <v>1.9</v>
      </c>
      <c r="BI68" s="12">
        <f>INDEX(ovrTable25,MATCH(INDEX('Structured 2025'!teamCol,ROW()),ovrTeamCol25,0),MATCH(MID(INDEX('Structured 2025'!headerRow,1,COLUMN()),4,LEN(INDEX('Structured 2025'!headerRow,1,COLUMN()))),ovrHeaderRow25,0))</f>
        <v>11.54</v>
      </c>
      <c r="BJ68" s="12">
        <f>INDEX(ovrTable25,MATCH(INDEX('Structured 2025'!teamCol,ROW()),ovrTeamCol25,0),MATCH(MID(INDEX('Structured 2025'!headerRow,1,COLUMN()),4,LEN(INDEX('Structured 2025'!headerRow,1,COLUMN()))),ovrHeaderRow25,0))</f>
        <v>9.6</v>
      </c>
      <c r="BK68" s="12">
        <f>INDEX(ovrTable25,MATCH(INDEX('Structured 2025'!teamCol,ROW()),ovrTeamCol25,0),MATCH(MID(INDEX('Structured 2025'!headerRow,1,COLUMN()),4,LEN(INDEX('Structured 2025'!headerRow,1,COLUMN()))),ovrHeaderRow25,0))</f>
        <v>66.099999999999994</v>
      </c>
      <c r="BL68" s="12">
        <f>INDEX(ovrTable25,MATCH(INDEX('Structured 2025'!teamCol,ROW()),ovrTeamCol25,0),MATCH(MID(INDEX('Structured 2025'!headerRow,1,COLUMN()),4,LEN(INDEX('Structured 2025'!headerRow,1,COLUMN()))),ovrHeaderRow25,0))</f>
        <v>18.650000000000006</v>
      </c>
      <c r="BM68" s="12">
        <f>INDEX(ovrTable25,MATCH(INDEX('Structured 2025'!teamCol,ROW()),ovrTeamCol25,0),MATCH(MID(INDEX('Structured 2025'!headerRow,1,COLUMN()),4,LEN(INDEX('Structured 2025'!headerRow,1,COLUMN()))),ovrHeaderRow25,0))</f>
        <v>61.480686695278976</v>
      </c>
      <c r="BN68" s="12">
        <f>INDEX(ovrTable25,MATCH(INDEX(oppCol,ROW()),ovrTeamCol25,0),MATCH(MID(INDEX('Structured 2025'!headerRow,1,COLUMN()),4,LEN(INDEX('Structured 2025'!headerRow,1,COLUMN()))),ovrHeaderRow25,0))</f>
        <v>33.200000000000003</v>
      </c>
      <c r="BO68" s="12">
        <f>INDEX(ovrTable25,MATCH(INDEX(oppCol,ROW()),ovrTeamCol25,0),MATCH(MID(INDEX('Structured 2025'!headerRow,1,COLUMN()),4,LEN(INDEX('Structured 2025'!headerRow,1,COLUMN()))),ovrHeaderRow25,0))</f>
        <v>7.3</v>
      </c>
      <c r="BP68" s="12">
        <f>INDEX(ovrTable25,MATCH(INDEX(oppCol,ROW()),ovrTeamCol25,0),MATCH(MID(INDEX('Structured 2025'!headerRow,1,COLUMN()),4,LEN(INDEX('Structured 2025'!headerRow,1,COLUMN()))),ovrHeaderRow25,0))</f>
        <v>33.6</v>
      </c>
      <c r="BQ68" s="12">
        <f>INDEX(ovrTable25,MATCH(INDEX(oppCol,ROW()),ovrTeamCol25,0),MATCH(MID(INDEX('Structured 2025'!headerRow,1,COLUMN()),4,LEN(INDEX('Structured 2025'!headerRow,1,COLUMN()))),ovrHeaderRow25,0))</f>
        <v>21.7</v>
      </c>
      <c r="BR68" s="12">
        <f>INDEX(ovrTable25,MATCH(INDEX(oppCol,ROW()),ovrTeamCol25,0),MATCH(MID(INDEX('Structured 2025'!headerRow,1,COLUMN()),4,LEN(INDEX('Structured 2025'!headerRow,1,COLUMN()))),ovrHeaderRow25,0))</f>
        <v>1.4</v>
      </c>
      <c r="BS68" s="12">
        <f>INDEX(ovrTable25,MATCH(INDEX(oppCol,ROW()),ovrTeamCol25,0),MATCH(MID(INDEX('Structured 2025'!headerRow,1,COLUMN()),4,LEN(INDEX('Structured 2025'!headerRow,1,COLUMN()))),ovrHeaderRow25,0))</f>
        <v>15.4</v>
      </c>
      <c r="BT68" s="12">
        <f>INDEX(ovrTable25,MATCH(INDEX(oppCol,ROW()),ovrTeamCol25,0),MATCH(MID(INDEX('Structured 2025'!headerRow,1,COLUMN()),4,LEN(INDEX('Structured 2025'!headerRow,1,COLUMN()))),ovrHeaderRow25,0))</f>
        <v>29.46</v>
      </c>
      <c r="BU68" s="12">
        <f>INDEX(ovrTable25,MATCH(INDEX(oppCol,ROW()),ovrTeamCol25,0),MATCH(MID(INDEX('Structured 2025'!headerRow,1,COLUMN()),4,LEN(INDEX('Structured 2025'!headerRow,1,COLUMN()))),ovrHeaderRow25,0))</f>
        <v>3.4</v>
      </c>
      <c r="BV68" s="12">
        <f>INDEX(ovrTable25,MATCH(INDEX(oppCol,ROW()),ovrTeamCol25,0),MATCH(MID(INDEX('Structured 2025'!headerRow,1,COLUMN()),4,LEN(INDEX('Structured 2025'!headerRow,1,COLUMN()))),ovrHeaderRow25,0))</f>
        <v>42.8</v>
      </c>
      <c r="BW68" s="12">
        <f>INDEX(ovrTable25,MATCH(INDEX(oppCol,ROW()),ovrTeamCol25,0),MATCH(MID(INDEX('Structured 2025'!headerRow,1,COLUMN()),4,LEN(INDEX('Structured 2025'!headerRow,1,COLUMN()))),ovrHeaderRow25,0))</f>
        <v>26.34</v>
      </c>
      <c r="BX68" s="12">
        <f>INDEX(ovrTable25,MATCH(INDEX(oppCol,ROW()),ovrTeamCol25,0),MATCH(MID(INDEX('Structured 2025'!headerRow,1,COLUMN()),4,LEN(INDEX('Structured 2025'!headerRow,1,COLUMN()))),ovrHeaderRow25,0))</f>
        <v>0.53100000000000003</v>
      </c>
      <c r="BY68" s="12">
        <f>INDEX(ovrTable25,MATCH(INDEX(oppCol,ROW()),ovrTeamCol25,0),MATCH(MID(INDEX('Structured 2025'!headerRow,1,COLUMN()),4,LEN(INDEX('Structured 2025'!headerRow,1,COLUMN()))),ovrHeaderRow25,0))</f>
        <v>10.199999999999999</v>
      </c>
      <c r="BZ68" s="12">
        <f>INDEX(ovrTable25,MATCH(INDEX(oppCol,ROW()),ovrTeamCol25,0),MATCH(MID(INDEX('Structured 2025'!headerRow,1,COLUMN()),4,LEN(INDEX('Structured 2025'!headerRow,1,COLUMN()))),ovrHeaderRow25,0))</f>
        <v>47</v>
      </c>
      <c r="CA68" s="12">
        <f>INDEX(ovrTable25,MATCH(INDEX(oppCol,ROW()),ovrTeamCol25,0),MATCH(MID(INDEX('Structured 2025'!headerRow,1,COLUMN()),4,LEN(INDEX('Structured 2025'!headerRow,1,COLUMN()))),ovrHeaderRow25,0))</f>
        <v>16.7</v>
      </c>
      <c r="CB68" s="12">
        <f>INDEX(ovrTable25,MATCH(INDEX(oppCol,ROW()),ovrTeamCol25,0),MATCH(MID(INDEX('Structured 2025'!headerRow,1,COLUMN()),4,LEN(INDEX('Structured 2025'!headerRow,1,COLUMN()))),ovrHeaderRow25,0))</f>
        <v>75</v>
      </c>
      <c r="CC68" s="12">
        <f>INDEX(ovrTable25,MATCH(INDEX(oppCol,ROW()),ovrTeamCol25,0),MATCH(MID(INDEX('Structured 2025'!headerRow,1,COLUMN()),4,LEN(INDEX('Structured 2025'!headerRow,1,COLUMN()))),ovrHeaderRow25,0))</f>
        <v>21.9</v>
      </c>
      <c r="CD68" s="12">
        <f>INDEX(ovrTable25,MATCH(INDEX(oppCol,ROW()),ovrTeamCol25,0),MATCH(MID(INDEX('Structured 2025'!headerRow,1,COLUMN()),4,LEN(INDEX('Structured 2025'!headerRow,1,COLUMN()))),ovrHeaderRow25,0))</f>
        <v>16.399999999999999</v>
      </c>
      <c r="CE68" s="12">
        <f>INDEX(ovrTable25,MATCH(INDEX(oppCol,ROW()),ovrTeamCol25,0),MATCH(MID(INDEX('Structured 2025'!headerRow,1,COLUMN()),4,LEN(INDEX('Structured 2025'!headerRow,1,COLUMN()))),ovrHeaderRow25,0))</f>
        <v>70.3</v>
      </c>
      <c r="CF68" s="12">
        <f>INDEX(ovrTable25,MATCH(INDEX(oppCol,ROW()),ovrTeamCol25,0),MATCH(MID(INDEX('Structured 2025'!headerRow,1,COLUMN()),4,LEN(INDEX('Structured 2025'!headerRow,1,COLUMN()))),ovrHeaderRow25,0))</f>
        <v>12.46</v>
      </c>
      <c r="CG68" s="12">
        <f>INDEX(ovrTable25,MATCH(INDEX(oppCol,ROW()),ovrTeamCol25,0),MATCH(MID(INDEX('Structured 2025'!headerRow,1,COLUMN()),4,LEN(INDEX('Structured 2025'!headerRow,1,COLUMN()))),ovrHeaderRow25,0))</f>
        <v>79.2</v>
      </c>
      <c r="CH68" s="12">
        <f>INDEX(ovrTable25,MATCH(INDEX(oppCol,ROW()),ovrTeamCol25,0),MATCH(MID(INDEX('Structured 2025'!headerRow,1,COLUMN()),4,LEN(INDEX('Structured 2025'!headerRow,1,COLUMN()))),ovrHeaderRow25,0))</f>
        <v>7.1</v>
      </c>
      <c r="CI68" s="12">
        <f>INDEX(ovrTable25,MATCH(INDEX(oppCol,ROW()),ovrTeamCol25,0),MATCH(MID(INDEX('Structured 2025'!headerRow,1,COLUMN()),4,LEN(INDEX('Structured 2025'!headerRow,1,COLUMN()))),ovrHeaderRow25,0))</f>
        <v>38.799999999999997</v>
      </c>
      <c r="CJ68" s="12">
        <f>INDEX(ovrTable25,MATCH(INDEX(oppCol,ROW()),ovrTeamCol25,0),MATCH(MID(INDEX('Structured 2025'!headerRow,1,COLUMN()),4,LEN(INDEX('Structured 2025'!headerRow,1,COLUMN()))),ovrHeaderRow25,0))</f>
        <v>8.9</v>
      </c>
      <c r="CK68" s="12">
        <f>INDEX(ovrTable25,MATCH(INDEX(oppCol,ROW()),ovrTeamCol25,0),MATCH(MID(INDEX('Structured 2025'!headerRow,1,COLUMN()),4,LEN(INDEX('Structured 2025'!headerRow,1,COLUMN()))),ovrHeaderRow25,0))</f>
        <v>6.4</v>
      </c>
      <c r="CL68" s="12">
        <f>INDEX(ovrTable25,MATCH(INDEX(oppCol,ROW()),ovrTeamCol25,0),MATCH(MID(INDEX('Structured 2025'!headerRow,1,COLUMN()),4,LEN(INDEX('Structured 2025'!headerRow,1,COLUMN()))),ovrHeaderRow25,0))</f>
        <v>0.5</v>
      </c>
      <c r="CM68" s="12">
        <f>INDEX(ovrTable25,MATCH(INDEX(oppCol,ROW()),ovrTeamCol25,0),MATCH(MID(INDEX('Structured 2025'!headerRow,1,COLUMN()),4,LEN(INDEX('Structured 2025'!headerRow,1,COLUMN()))),ovrHeaderRow25,0))</f>
        <v>11.54</v>
      </c>
      <c r="CN68" s="12">
        <f>INDEX(ovrTable25,MATCH(INDEX(oppCol,ROW()),ovrTeamCol25,0),MATCH(MID(INDEX('Structured 2025'!headerRow,1,COLUMN()),4,LEN(INDEX('Structured 2025'!headerRow,1,COLUMN()))),ovrHeaderRow25,0))</f>
        <v>11</v>
      </c>
      <c r="CO68" s="12">
        <f>INDEX(ovrTable25,MATCH(INDEX(oppCol,ROW()),ovrTeamCol25,0),MATCH(MID(INDEX('Structured 2025'!headerRow,1,COLUMN()),4,LEN(INDEX('Structured 2025'!headerRow,1,COLUMN()))),ovrHeaderRow25,0))</f>
        <v>65.900000000000006</v>
      </c>
      <c r="CP68" s="12">
        <f>INDEX(ovrTable25,MATCH(INDEX(oppCol,ROW()),ovrTeamCol25,0),MATCH(MID(INDEX('Structured 2025'!headerRow,1,COLUMN()),4,LEN(INDEX('Structured 2025'!headerRow,1,COLUMN()))),ovrHeaderRow25,0))</f>
        <v>20.450000000000003</v>
      </c>
      <c r="CQ68" s="12">
        <f>INDEX(ovrTable25,MATCH(INDEX(oppCol,ROW()),ovrTeamCol25,0),MATCH(MID(INDEX('Structured 2025'!headerRow,1,COLUMN()),4,LEN(INDEX('Structured 2025'!headerRow,1,COLUMN()))),ovrHeaderRow25,0))</f>
        <v>59.042553191489368</v>
      </c>
    </row>
    <row r="69" spans="1:95" x14ac:dyDescent="0.3">
      <c r="A69" s="6" t="s">
        <v>369</v>
      </c>
      <c r="B69" s="3">
        <v>14</v>
      </c>
      <c r="C69" s="13" t="str">
        <f>A68</f>
        <v>TTU</v>
      </c>
      <c r="D69" s="14">
        <f t="shared" si="26"/>
        <v>34</v>
      </c>
      <c r="E69" s="23">
        <v>0.28260869565217389</v>
      </c>
      <c r="F69" s="24">
        <v>41.269841269841265</v>
      </c>
      <c r="G69" s="24">
        <v>7</v>
      </c>
      <c r="H69" s="23">
        <v>26.923076923076923</v>
      </c>
      <c r="I69" s="24">
        <v>26</v>
      </c>
      <c r="J69" s="25">
        <v>1.5384615384615385</v>
      </c>
      <c r="K69" s="24">
        <v>13</v>
      </c>
      <c r="L69" s="24">
        <v>15</v>
      </c>
      <c r="M69" s="24">
        <v>11</v>
      </c>
      <c r="N69" s="24">
        <v>31</v>
      </c>
      <c r="O69" s="24">
        <v>20</v>
      </c>
      <c r="P69" s="24">
        <v>2</v>
      </c>
      <c r="Q69" s="24">
        <v>1</v>
      </c>
      <c r="R69" s="24">
        <v>13</v>
      </c>
      <c r="S69" s="24">
        <v>0</v>
      </c>
      <c r="T69" s="24">
        <v>20</v>
      </c>
      <c r="U69" s="24">
        <v>34</v>
      </c>
      <c r="V69" s="24">
        <v>0.39130434782608697</v>
      </c>
      <c r="W69" s="26">
        <v>0.46825396825396826</v>
      </c>
      <c r="X69" s="23">
        <v>86.666666666666671</v>
      </c>
      <c r="Y69" s="24">
        <v>82</v>
      </c>
      <c r="Z69" s="24">
        <v>72</v>
      </c>
      <c r="AA69" s="24">
        <v>1</v>
      </c>
      <c r="AB69" s="24">
        <v>42</v>
      </c>
      <c r="AC69" s="24">
        <v>-10</v>
      </c>
      <c r="AD69" s="24">
        <v>-6</v>
      </c>
      <c r="AE69" s="24">
        <v>7</v>
      </c>
      <c r="AF69" s="34">
        <f t="shared" si="69"/>
        <v>19</v>
      </c>
      <c r="AG69" s="34">
        <f t="shared" si="70"/>
        <v>37</v>
      </c>
      <c r="AH69" s="46">
        <f t="shared" si="71"/>
        <v>72.125</v>
      </c>
      <c r="AI69" s="51">
        <f t="shared" ref="AI69" si="75">AVERAGE(AH68,AH69)</f>
        <v>72.525000000000006</v>
      </c>
      <c r="AJ69" s="12">
        <f>INDEX(ovrTable25,MATCH(INDEX('Structured 2025'!teamCol,ROW()),ovrTeamCol25,0),MATCH(MID(INDEX('Structured 2025'!headerRow,1,COLUMN()),4,LEN(INDEX('Structured 2025'!headerRow,1,COLUMN()))),ovrHeaderRow25,0))</f>
        <v>33.200000000000003</v>
      </c>
      <c r="AK69" s="12">
        <f>INDEX(ovrTable25,MATCH(INDEX('Structured 2025'!teamCol,ROW()),ovrTeamCol25,0),MATCH(MID(INDEX('Structured 2025'!headerRow,1,COLUMN()),4,LEN(INDEX('Structured 2025'!headerRow,1,COLUMN()))),ovrHeaderRow25,0))</f>
        <v>7.3</v>
      </c>
      <c r="AL69" s="12">
        <f>INDEX(ovrTable25,MATCH(INDEX('Structured 2025'!teamCol,ROW()),ovrTeamCol25,0),MATCH(MID(INDEX('Structured 2025'!headerRow,1,COLUMN()),4,LEN(INDEX('Structured 2025'!headerRow,1,COLUMN()))),ovrHeaderRow25,0))</f>
        <v>33.6</v>
      </c>
      <c r="AM69" s="12">
        <f>INDEX(ovrTable25,MATCH(INDEX('Structured 2025'!teamCol,ROW()),ovrTeamCol25,0),MATCH(MID(INDEX('Structured 2025'!headerRow,1,COLUMN()),4,LEN(INDEX('Structured 2025'!headerRow,1,COLUMN()))),ovrHeaderRow25,0))</f>
        <v>21.7</v>
      </c>
      <c r="AN69" s="12">
        <f>INDEX(ovrTable25,MATCH(INDEX('Structured 2025'!teamCol,ROW()),ovrTeamCol25,0),MATCH(MID(INDEX('Structured 2025'!headerRow,1,COLUMN()),4,LEN(INDEX('Structured 2025'!headerRow,1,COLUMN()))),ovrHeaderRow25,0))</f>
        <v>1.4</v>
      </c>
      <c r="AO69" s="12">
        <f>INDEX(ovrTable25,MATCH(INDEX('Structured 2025'!teamCol,ROW()),ovrTeamCol25,0),MATCH(MID(INDEX('Structured 2025'!headerRow,1,COLUMN()),4,LEN(INDEX('Structured 2025'!headerRow,1,COLUMN()))),ovrHeaderRow25,0))</f>
        <v>15.4</v>
      </c>
      <c r="AP69" s="12">
        <f>INDEX(ovrTable25,MATCH(INDEX('Structured 2025'!teamCol,ROW()),ovrTeamCol25,0),MATCH(MID(INDEX('Structured 2025'!headerRow,1,COLUMN()),4,LEN(INDEX('Structured 2025'!headerRow,1,COLUMN()))),ovrHeaderRow25,0))</f>
        <v>29.46</v>
      </c>
      <c r="AQ69" s="12">
        <f>INDEX(ovrTable25,MATCH(INDEX('Structured 2025'!teamCol,ROW()),ovrTeamCol25,0),MATCH(MID(INDEX('Structured 2025'!headerRow,1,COLUMN()),4,LEN(INDEX('Structured 2025'!headerRow,1,COLUMN()))),ovrHeaderRow25,0))</f>
        <v>3.4</v>
      </c>
      <c r="AR69" s="12">
        <f>INDEX(ovrTable25,MATCH(INDEX('Structured 2025'!teamCol,ROW()),ovrTeamCol25,0),MATCH(MID(INDEX('Structured 2025'!headerRow,1,COLUMN()),4,LEN(INDEX('Structured 2025'!headerRow,1,COLUMN()))),ovrHeaderRow25,0))</f>
        <v>42.8</v>
      </c>
      <c r="AS69" s="12">
        <f>INDEX(ovrTable25,MATCH(INDEX('Structured 2025'!teamCol,ROW()),ovrTeamCol25,0),MATCH(MID(INDEX('Structured 2025'!headerRow,1,COLUMN()),4,LEN(INDEX('Structured 2025'!headerRow,1,COLUMN()))),ovrHeaderRow25,0))</f>
        <v>26.34</v>
      </c>
      <c r="AT69" s="12">
        <f>INDEX(ovrTable25,MATCH(INDEX('Structured 2025'!teamCol,ROW()),ovrTeamCol25,0),MATCH(MID(INDEX('Structured 2025'!headerRow,1,COLUMN()),4,LEN(INDEX('Structured 2025'!headerRow,1,COLUMN()))),ovrHeaderRow25,0))</f>
        <v>0.53100000000000003</v>
      </c>
      <c r="AU69" s="12">
        <f>INDEX(ovrTable25,MATCH(INDEX('Structured 2025'!teamCol,ROW()),ovrTeamCol25,0),MATCH(MID(INDEX('Structured 2025'!headerRow,1,COLUMN()),4,LEN(INDEX('Structured 2025'!headerRow,1,COLUMN()))),ovrHeaderRow25,0))</f>
        <v>10.199999999999999</v>
      </c>
      <c r="AV69" s="12">
        <f>INDEX(ovrTable25,MATCH(INDEX('Structured 2025'!teamCol,ROW()),ovrTeamCol25,0),MATCH(MID(INDEX('Structured 2025'!headerRow,1,COLUMN()),4,LEN(INDEX('Structured 2025'!headerRow,1,COLUMN()))),ovrHeaderRow25,0))</f>
        <v>47</v>
      </c>
      <c r="AW69" s="12">
        <f>INDEX(ovrTable25,MATCH(INDEX('Structured 2025'!teamCol,ROW()),ovrTeamCol25,0),MATCH(MID(INDEX('Structured 2025'!headerRow,1,COLUMN()),4,LEN(INDEX('Structured 2025'!headerRow,1,COLUMN()))),ovrHeaderRow25,0))</f>
        <v>16.7</v>
      </c>
      <c r="AX69" s="12">
        <f>INDEX(ovrTable25,MATCH(INDEX('Structured 2025'!teamCol,ROW()),ovrTeamCol25,0),MATCH(MID(INDEX('Structured 2025'!headerRow,1,COLUMN()),4,LEN(INDEX('Structured 2025'!headerRow,1,COLUMN()))),ovrHeaderRow25,0))</f>
        <v>75</v>
      </c>
      <c r="AY69" s="12">
        <f>INDEX(ovrTable25,MATCH(INDEX('Structured 2025'!teamCol,ROW()),ovrTeamCol25,0),MATCH(MID(INDEX('Structured 2025'!headerRow,1,COLUMN()),4,LEN(INDEX('Structured 2025'!headerRow,1,COLUMN()))),ovrHeaderRow25,0))</f>
        <v>21.9</v>
      </c>
      <c r="AZ69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BA69" s="12">
        <f>INDEX(ovrTable25,MATCH(INDEX('Structured 2025'!teamCol,ROW()),ovrTeamCol25,0),MATCH(MID(INDEX('Structured 2025'!headerRow,1,COLUMN()),4,LEN(INDEX('Structured 2025'!headerRow,1,COLUMN()))),ovrHeaderRow25,0))</f>
        <v>70.3</v>
      </c>
      <c r="BB69" s="12">
        <f>INDEX(ovrTable25,MATCH(INDEX('Structured 2025'!teamCol,ROW()),ovrTeamCol25,0),MATCH(MID(INDEX('Structured 2025'!headerRow,1,COLUMN()),4,LEN(INDEX('Structured 2025'!headerRow,1,COLUMN()))),ovrHeaderRow25,0))</f>
        <v>12.46</v>
      </c>
      <c r="BC69" s="12">
        <f>INDEX(ovrTable25,MATCH(INDEX('Structured 2025'!teamCol,ROW()),ovrTeamCol25,0),MATCH(MID(INDEX('Structured 2025'!headerRow,1,COLUMN()),4,LEN(INDEX('Structured 2025'!headerRow,1,COLUMN()))),ovrHeaderRow25,0))</f>
        <v>79.2</v>
      </c>
      <c r="BD69" s="12">
        <f>INDEX(ovrTable25,MATCH(INDEX('Structured 2025'!teamCol,ROW()),ovrTeamCol25,0),MATCH(MID(INDEX('Structured 2025'!headerRow,1,COLUMN()),4,LEN(INDEX('Structured 2025'!headerRow,1,COLUMN()))),ovrHeaderRow25,0))</f>
        <v>7.1</v>
      </c>
      <c r="BE69" s="12">
        <f>INDEX(ovrTable25,MATCH(INDEX('Structured 2025'!teamCol,ROW()),ovrTeamCol25,0),MATCH(MID(INDEX('Structured 2025'!headerRow,1,COLUMN()),4,LEN(INDEX('Structured 2025'!headerRow,1,COLUMN()))),ovrHeaderRow25,0))</f>
        <v>38.799999999999997</v>
      </c>
      <c r="BF69" s="12">
        <f>INDEX(ovrTable25,MATCH(INDEX('Structured 2025'!teamCol,ROW()),ovrTeamCol25,0),MATCH(MID(INDEX('Structured 2025'!headerRow,1,COLUMN()),4,LEN(INDEX('Structured 2025'!headerRow,1,COLUMN()))),ovrHeaderRow25,0))</f>
        <v>8.9</v>
      </c>
      <c r="BG69" s="12">
        <f>INDEX(ovrTable25,MATCH(INDEX('Structured 2025'!teamCol,ROW()),ovrTeamCol25,0),MATCH(MID(INDEX('Structured 2025'!headerRow,1,COLUMN()),4,LEN(INDEX('Structured 2025'!headerRow,1,COLUMN()))),ovrHeaderRow25,0))</f>
        <v>6.4</v>
      </c>
      <c r="BH69" s="12">
        <f>INDEX(ovrTable25,MATCH(INDEX('Structured 2025'!teamCol,ROW()),ovrTeamCol25,0),MATCH(MID(INDEX('Structured 2025'!headerRow,1,COLUMN()),4,LEN(INDEX('Structured 2025'!headerRow,1,COLUMN()))),ovrHeaderRow25,0))</f>
        <v>0.5</v>
      </c>
      <c r="BI69" s="12">
        <f>INDEX(ovrTable25,MATCH(INDEX('Structured 2025'!teamCol,ROW()),ovrTeamCol25,0),MATCH(MID(INDEX('Structured 2025'!headerRow,1,COLUMN()),4,LEN(INDEX('Structured 2025'!headerRow,1,COLUMN()))),ovrHeaderRow25,0))</f>
        <v>11.54</v>
      </c>
      <c r="BJ69" s="12">
        <f>INDEX(ovrTable25,MATCH(INDEX('Structured 2025'!teamCol,ROW()),ovrTeamCol25,0),MATCH(MID(INDEX('Structured 2025'!headerRow,1,COLUMN()),4,LEN(INDEX('Structured 2025'!headerRow,1,COLUMN()))),ovrHeaderRow25,0))</f>
        <v>11</v>
      </c>
      <c r="BK69" s="12">
        <f>INDEX(ovrTable25,MATCH(INDEX('Structured 2025'!teamCol,ROW()),ovrTeamCol25,0),MATCH(MID(INDEX('Structured 2025'!headerRow,1,COLUMN()),4,LEN(INDEX('Structured 2025'!headerRow,1,COLUMN()))),ovrHeaderRow25,0))</f>
        <v>65.900000000000006</v>
      </c>
      <c r="BL69" s="12">
        <f>INDEX(ovrTable25,MATCH(INDEX('Structured 2025'!teamCol,ROW()),ovrTeamCol25,0),MATCH(MID(INDEX('Structured 2025'!headerRow,1,COLUMN()),4,LEN(INDEX('Structured 2025'!headerRow,1,COLUMN()))),ovrHeaderRow25,0))</f>
        <v>20.450000000000003</v>
      </c>
      <c r="BM69" s="12">
        <f>INDEX(ovrTable25,MATCH(INDEX('Structured 2025'!teamCol,ROW()),ovrTeamCol25,0),MATCH(MID(INDEX('Structured 2025'!headerRow,1,COLUMN()),4,LEN(INDEX('Structured 2025'!headerRow,1,COLUMN()))),ovrHeaderRow25,0))</f>
        <v>59.042553191489368</v>
      </c>
      <c r="BN69" s="12">
        <f>INDEX(ovrTable25,MATCH(INDEX(oppCol,ROW()),ovrTeamCol25,0),MATCH(MID(INDEX('Structured 2025'!headerRow,1,COLUMN()),4,LEN(INDEX('Structured 2025'!headerRow,1,COLUMN()))),ovrHeaderRow25,0))</f>
        <v>32.4</v>
      </c>
      <c r="BO69" s="12">
        <f>INDEX(ovrTable25,MATCH(INDEX(oppCol,ROW()),ovrTeamCol25,0),MATCH(MID(INDEX('Structured 2025'!headerRow,1,COLUMN()),4,LEN(INDEX('Structured 2025'!headerRow,1,COLUMN()))),ovrHeaderRow25,0))</f>
        <v>10</v>
      </c>
      <c r="BP69" s="12">
        <f>INDEX(ovrTable25,MATCH(INDEX(oppCol,ROW()),ovrTeamCol25,0),MATCH(MID(INDEX('Structured 2025'!headerRow,1,COLUMN()),4,LEN(INDEX('Structured 2025'!headerRow,1,COLUMN()))),ovrHeaderRow25,0))</f>
        <v>36.700000000000003</v>
      </c>
      <c r="BQ69" s="12">
        <f>INDEX(ovrTable25,MATCH(INDEX(oppCol,ROW()),ovrTeamCol25,0),MATCH(MID(INDEX('Structured 2025'!headerRow,1,COLUMN()),4,LEN(INDEX('Structured 2025'!headerRow,1,COLUMN()))),ovrHeaderRow25,0))</f>
        <v>27.3</v>
      </c>
      <c r="BR69" s="12">
        <f>INDEX(ovrTable25,MATCH(INDEX(oppCol,ROW()),ovrTeamCol25,0),MATCH(MID(INDEX('Structured 2025'!headerRow,1,COLUMN()),4,LEN(INDEX('Structured 2025'!headerRow,1,COLUMN()))),ovrHeaderRow25,0))</f>
        <v>1.7</v>
      </c>
      <c r="BS69" s="12">
        <f>INDEX(ovrTable25,MATCH(INDEX(oppCol,ROW()),ovrTeamCol25,0),MATCH(MID(INDEX('Structured 2025'!headerRow,1,COLUMN()),4,LEN(INDEX('Structured 2025'!headerRow,1,COLUMN()))),ovrHeaderRow25,0))</f>
        <v>16.399999999999999</v>
      </c>
      <c r="BT69" s="12">
        <f>INDEX(ovrTable25,MATCH(INDEX(oppCol,ROW()),ovrTeamCol25,0),MATCH(MID(INDEX('Structured 2025'!headerRow,1,COLUMN()),4,LEN(INDEX('Structured 2025'!headerRow,1,COLUMN()))),ovrHeaderRow25,0))</f>
        <v>19.95</v>
      </c>
      <c r="BU69" s="12">
        <f>INDEX(ovrTable25,MATCH(INDEX(oppCol,ROW()),ovrTeamCol25,0),MATCH(MID(INDEX('Structured 2025'!headerRow,1,COLUMN()),4,LEN(INDEX('Structured 2025'!headerRow,1,COLUMN()))),ovrHeaderRow25,0))</f>
        <v>3.1</v>
      </c>
      <c r="BV69" s="12">
        <f>INDEX(ovrTable25,MATCH(INDEX(oppCol,ROW()),ovrTeamCol25,0),MATCH(MID(INDEX('Structured 2025'!headerRow,1,COLUMN()),4,LEN(INDEX('Structured 2025'!headerRow,1,COLUMN()))),ovrHeaderRow25,0))</f>
        <v>42.6</v>
      </c>
      <c r="BW69" s="12">
        <f>INDEX(ovrTable25,MATCH(INDEX(oppCol,ROW()),ovrTeamCol25,0),MATCH(MID(INDEX('Structured 2025'!headerRow,1,COLUMN()),4,LEN(INDEX('Structured 2025'!headerRow,1,COLUMN()))),ovrHeaderRow25,0))</f>
        <v>25.22</v>
      </c>
      <c r="BX69" s="12">
        <f>INDEX(ovrTable25,MATCH(INDEX(oppCol,ROW()),ovrTeamCol25,0),MATCH(MID(INDEX('Structured 2025'!headerRow,1,COLUMN()),4,LEN(INDEX('Structured 2025'!headerRow,1,COLUMN()))),ovrHeaderRow25,0))</f>
        <v>0.54700000000000004</v>
      </c>
      <c r="BY69" s="12">
        <f>INDEX(ovrTable25,MATCH(INDEX(oppCol,ROW()),ovrTeamCol25,0),MATCH(MID(INDEX('Structured 2025'!headerRow,1,COLUMN()),4,LEN(INDEX('Structured 2025'!headerRow,1,COLUMN()))),ovrHeaderRow25,0))</f>
        <v>10.16</v>
      </c>
      <c r="BZ69" s="12">
        <f>INDEX(ovrTable25,MATCH(INDEX(oppCol,ROW()),ovrTeamCol25,0),MATCH(MID(INDEX('Structured 2025'!headerRow,1,COLUMN()),4,LEN(INDEX('Structured 2025'!headerRow,1,COLUMN()))),ovrHeaderRow25,0))</f>
        <v>46.6</v>
      </c>
      <c r="CA69" s="12">
        <f>INDEX(ovrTable25,MATCH(INDEX(oppCol,ROW()),ovrTeamCol25,0),MATCH(MID(INDEX('Structured 2025'!headerRow,1,COLUMN()),4,LEN(INDEX('Structured 2025'!headerRow,1,COLUMN()))),ovrHeaderRow25,0))</f>
        <v>15.7</v>
      </c>
      <c r="CB69" s="12">
        <f>INDEX(ovrTable25,MATCH(INDEX(oppCol,ROW()),ovrTeamCol25,0),MATCH(MID(INDEX('Structured 2025'!headerRow,1,COLUMN()),4,LEN(INDEX('Structured 2025'!headerRow,1,COLUMN()))),ovrHeaderRow25,0))</f>
        <v>76</v>
      </c>
      <c r="CC69" s="12">
        <f>INDEX(ovrTable25,MATCH(INDEX(oppCol,ROW()),ovrTeamCol25,0),MATCH(MID(INDEX('Structured 2025'!headerRow,1,COLUMN()),4,LEN(INDEX('Structured 2025'!headerRow,1,COLUMN()))),ovrHeaderRow25,0))</f>
        <v>17.899999999999999</v>
      </c>
      <c r="CD69" s="12">
        <f>INDEX(ovrTable25,MATCH(INDEX(oppCol,ROW()),ovrTeamCol25,0),MATCH(MID(INDEX('Structured 2025'!headerRow,1,COLUMN()),4,LEN(INDEX('Structured 2025'!headerRow,1,COLUMN()))),ovrHeaderRow25,0))</f>
        <v>13.6</v>
      </c>
      <c r="CE69" s="12">
        <f>INDEX(ovrTable25,MATCH(INDEX(oppCol,ROW()),ovrTeamCol25,0),MATCH(MID(INDEX('Structured 2025'!headerRow,1,COLUMN()),4,LEN(INDEX('Structured 2025'!headerRow,1,COLUMN()))),ovrHeaderRow25,0))</f>
        <v>68.5</v>
      </c>
      <c r="CF69" s="12">
        <f>INDEX(ovrTable25,MATCH(INDEX(oppCol,ROW()),ovrTeamCol25,0),MATCH(MID(INDEX('Structured 2025'!headerRow,1,COLUMN()),4,LEN(INDEX('Structured 2025'!headerRow,1,COLUMN()))),ovrHeaderRow25,0))</f>
        <v>11.84</v>
      </c>
      <c r="CG69" s="12">
        <f>INDEX(ovrTable25,MATCH(INDEX(oppCol,ROW()),ovrTeamCol25,0),MATCH(MID(INDEX('Structured 2025'!headerRow,1,COLUMN()),4,LEN(INDEX('Structured 2025'!headerRow,1,COLUMN()))),ovrHeaderRow25,0))</f>
        <v>80.900000000000006</v>
      </c>
      <c r="CH69" s="12">
        <f>INDEX(ovrTable25,MATCH(INDEX(oppCol,ROW()),ovrTeamCol25,0),MATCH(MID(INDEX('Structured 2025'!headerRow,1,COLUMN()),4,LEN(INDEX('Structured 2025'!headerRow,1,COLUMN()))),ovrHeaderRow25,0))</f>
        <v>4.3</v>
      </c>
      <c r="CI69" s="12">
        <f>INDEX(ovrTable25,MATCH(INDEX(oppCol,ROW()),ovrTeamCol25,0),MATCH(MID(INDEX('Structured 2025'!headerRow,1,COLUMN()),4,LEN(INDEX('Structured 2025'!headerRow,1,COLUMN()))),ovrHeaderRow25,0))</f>
        <v>37.049999999999997</v>
      </c>
      <c r="CJ69" s="12">
        <f>INDEX(ovrTable25,MATCH(INDEX(oppCol,ROW()),ovrTeamCol25,0),MATCH(MID(INDEX('Structured 2025'!headerRow,1,COLUMN()),4,LEN(INDEX('Structured 2025'!headerRow,1,COLUMN()))),ovrHeaderRow25,0))</f>
        <v>12.4</v>
      </c>
      <c r="CK69" s="12">
        <f>INDEX(ovrTable25,MATCH(INDEX(oppCol,ROW()),ovrTeamCol25,0),MATCH(MID(INDEX('Structured 2025'!headerRow,1,COLUMN()),4,LEN(INDEX('Structured 2025'!headerRow,1,COLUMN()))),ovrHeaderRow25,0))</f>
        <v>6.3</v>
      </c>
      <c r="CL69" s="12">
        <f>INDEX(ovrTable25,MATCH(INDEX(oppCol,ROW()),ovrTeamCol25,0),MATCH(MID(INDEX('Structured 2025'!headerRow,1,COLUMN()),4,LEN(INDEX('Structured 2025'!headerRow,1,COLUMN()))),ovrHeaderRow25,0))</f>
        <v>1.9</v>
      </c>
      <c r="CM69" s="12">
        <f>INDEX(ovrTable25,MATCH(INDEX(oppCol,ROW()),ovrTeamCol25,0),MATCH(MID(INDEX('Structured 2025'!headerRow,1,COLUMN()),4,LEN(INDEX('Structured 2025'!headerRow,1,COLUMN()))),ovrHeaderRow25,0))</f>
        <v>11.54</v>
      </c>
      <c r="CN69" s="12">
        <f>INDEX(ovrTable25,MATCH(INDEX(oppCol,ROW()),ovrTeamCol25,0),MATCH(MID(INDEX('Structured 2025'!headerRow,1,COLUMN()),4,LEN(INDEX('Structured 2025'!headerRow,1,COLUMN()))),ovrHeaderRow25,0))</f>
        <v>9.6</v>
      </c>
      <c r="CO69" s="12">
        <f>INDEX(ovrTable25,MATCH(INDEX(oppCol,ROW()),ovrTeamCol25,0),MATCH(MID(INDEX('Structured 2025'!headerRow,1,COLUMN()),4,LEN(INDEX('Structured 2025'!headerRow,1,COLUMN()))),ovrHeaderRow25,0))</f>
        <v>66.099999999999994</v>
      </c>
      <c r="CP69" s="12">
        <f>INDEX(ovrTable25,MATCH(INDEX(oppCol,ROW()),ovrTeamCol25,0),MATCH(MID(INDEX('Structured 2025'!headerRow,1,COLUMN()),4,LEN(INDEX('Structured 2025'!headerRow,1,COLUMN()))),ovrHeaderRow25,0))</f>
        <v>18.650000000000006</v>
      </c>
      <c r="CQ69" s="12">
        <f>INDEX(ovrTable25,MATCH(INDEX(oppCol,ROW()),ovrTeamCol25,0),MATCH(MID(INDEX('Structured 2025'!headerRow,1,COLUMN()),4,LEN(INDEX('Structured 2025'!headerRow,1,COLUMN()))),ovrHeaderRow25,0))</f>
        <v>61.480686695278976</v>
      </c>
    </row>
    <row r="70" spans="1:95" x14ac:dyDescent="0.3">
      <c r="A70" s="6" t="s">
        <v>57</v>
      </c>
      <c r="B70" s="3">
        <v>7</v>
      </c>
      <c r="C70" s="13" t="str">
        <f>A71</f>
        <v>ARK</v>
      </c>
      <c r="D70" s="14">
        <f t="shared" si="26"/>
        <v>35</v>
      </c>
      <c r="E70" s="23">
        <v>0.25</v>
      </c>
      <c r="F70" s="24">
        <v>43.103448275862064</v>
      </c>
      <c r="G70" s="24">
        <v>8</v>
      </c>
      <c r="H70" s="23">
        <v>47.058823529411761</v>
      </c>
      <c r="I70" s="24">
        <v>17</v>
      </c>
      <c r="J70" s="25">
        <v>1.125</v>
      </c>
      <c r="K70" s="24">
        <v>14</v>
      </c>
      <c r="L70" s="24">
        <v>16</v>
      </c>
      <c r="M70" s="24">
        <v>11</v>
      </c>
      <c r="N70" s="24">
        <v>27</v>
      </c>
      <c r="O70" s="24">
        <v>18</v>
      </c>
      <c r="P70" s="24">
        <v>5</v>
      </c>
      <c r="Q70" s="24">
        <v>3</v>
      </c>
      <c r="R70" s="24">
        <v>16</v>
      </c>
      <c r="S70" s="24">
        <v>8</v>
      </c>
      <c r="T70" s="24">
        <v>17</v>
      </c>
      <c r="U70" s="24">
        <v>19</v>
      </c>
      <c r="V70" s="24">
        <v>0.43076923076923079</v>
      </c>
      <c r="W70" s="26">
        <v>0.49999999999999994</v>
      </c>
      <c r="X70" s="23">
        <v>87.5</v>
      </c>
      <c r="Y70" s="24">
        <v>79</v>
      </c>
      <c r="Z70" s="24">
        <v>72</v>
      </c>
      <c r="AA70" s="24">
        <v>4</v>
      </c>
      <c r="AB70" s="24">
        <v>38</v>
      </c>
      <c r="AC70" s="24">
        <v>-7</v>
      </c>
      <c r="AD70" s="24">
        <v>-6</v>
      </c>
      <c r="AE70" s="24">
        <v>10</v>
      </c>
      <c r="AF70" s="34">
        <f t="shared" si="69"/>
        <v>17</v>
      </c>
      <c r="AG70" s="34">
        <f t="shared" si="70"/>
        <v>41.000000000000007</v>
      </c>
      <c r="AH70" s="46">
        <f t="shared" si="71"/>
        <v>70.599999999999994</v>
      </c>
      <c r="AI70" s="51">
        <f t="shared" ref="AI70" si="76">AVERAGE(AH70,AH71)</f>
        <v>71.55</v>
      </c>
      <c r="AJ70" s="12">
        <f>INDEX(ovrTable25,MATCH(INDEX('Structured 2025'!teamCol,ROW()),ovrTeamCol25,0),MATCH(MID(INDEX('Structured 2025'!headerRow,1,COLUMN()),4,LEN(INDEX('Structured 2025'!headerRow,1,COLUMN()))),ovrHeaderRow25,0))</f>
        <v>30.8</v>
      </c>
      <c r="AK70" s="12">
        <f>INDEX(ovrTable25,MATCH(INDEX('Structured 2025'!teamCol,ROW()),ovrTeamCol25,0),MATCH(MID(INDEX('Structured 2025'!headerRow,1,COLUMN()),4,LEN(INDEX('Structured 2025'!headerRow,1,COLUMN()))),ovrHeaderRow25,0))</f>
        <v>7.4</v>
      </c>
      <c r="AL70" s="12">
        <f>INDEX(ovrTable25,MATCH(INDEX('Structured 2025'!teamCol,ROW()),ovrTeamCol25,0),MATCH(MID(INDEX('Structured 2025'!headerRow,1,COLUMN()),4,LEN(INDEX('Structured 2025'!headerRow,1,COLUMN()))),ovrHeaderRow25,0))</f>
        <v>35.4</v>
      </c>
      <c r="AM70" s="12">
        <f>INDEX(ovrTable25,MATCH(INDEX('Structured 2025'!teamCol,ROW()),ovrTeamCol25,0),MATCH(MID(INDEX('Structured 2025'!headerRow,1,COLUMN()),4,LEN(INDEX('Structured 2025'!headerRow,1,COLUMN()))),ovrHeaderRow25,0))</f>
        <v>21</v>
      </c>
      <c r="AN70" s="12">
        <f>INDEX(ovrTable25,MATCH(INDEX('Structured 2025'!teamCol,ROW()),ovrTeamCol25,0),MATCH(MID(INDEX('Structured 2025'!headerRow,1,COLUMN()),4,LEN(INDEX('Structured 2025'!headerRow,1,COLUMN()))),ovrHeaderRow25,0))</f>
        <v>1.5</v>
      </c>
      <c r="AO70" s="12">
        <f>INDEX(ovrTable25,MATCH(INDEX('Structured 2025'!teamCol,ROW()),ovrTeamCol25,0),MATCH(MID(INDEX('Structured 2025'!headerRow,1,COLUMN()),4,LEN(INDEX('Structured 2025'!headerRow,1,COLUMN()))),ovrHeaderRow25,0))</f>
        <v>17.7</v>
      </c>
      <c r="AP70" s="12">
        <f>INDEX(ovrTable25,MATCH(INDEX('Structured 2025'!teamCol,ROW()),ovrTeamCol25,0),MATCH(MID(INDEX('Structured 2025'!headerRow,1,COLUMN()),4,LEN(INDEX('Structured 2025'!headerRow,1,COLUMN()))),ovrHeaderRow25,0))</f>
        <v>20.79</v>
      </c>
      <c r="AQ70" s="12">
        <f>INDEX(ovrTable25,MATCH(INDEX('Structured 2025'!teamCol,ROW()),ovrTeamCol25,0),MATCH(MID(INDEX('Structured 2025'!headerRow,1,COLUMN()),4,LEN(INDEX('Structured 2025'!headerRow,1,COLUMN()))),ovrHeaderRow25,0))</f>
        <v>4.7</v>
      </c>
      <c r="AR70" s="12">
        <f>INDEX(ovrTable25,MATCH(INDEX('Structured 2025'!teamCol,ROW()),ovrTeamCol25,0),MATCH(MID(INDEX('Structured 2025'!headerRow,1,COLUMN()),4,LEN(INDEX('Structured 2025'!headerRow,1,COLUMN()))),ovrHeaderRow25,0))</f>
        <v>40</v>
      </c>
      <c r="AS70" s="12">
        <f>INDEX(ovrTable25,MATCH(INDEX('Structured 2025'!teamCol,ROW()),ovrTeamCol25,0),MATCH(MID(INDEX('Structured 2025'!headerRow,1,COLUMN()),4,LEN(INDEX('Structured 2025'!headerRow,1,COLUMN()))),ovrHeaderRow25,0))</f>
        <v>27.97</v>
      </c>
      <c r="AT70" s="12">
        <f>INDEX(ovrTable25,MATCH(INDEX('Structured 2025'!teamCol,ROW()),ovrTeamCol25,0),MATCH(MID(INDEX('Structured 2025'!headerRow,1,COLUMN()),4,LEN(INDEX('Structured 2025'!headerRow,1,COLUMN()))),ovrHeaderRow25,0))</f>
        <v>0.53100000000000003</v>
      </c>
      <c r="AU70" s="12">
        <f>INDEX(ovrTable25,MATCH(INDEX('Structured 2025'!teamCol,ROW()),ovrTeamCol25,0),MATCH(MID(INDEX('Structured 2025'!headerRow,1,COLUMN()),4,LEN(INDEX('Structured 2025'!headerRow,1,COLUMN()))),ovrHeaderRow25,0))</f>
        <v>10.18</v>
      </c>
      <c r="AV70" s="12">
        <f>INDEX(ovrTable25,MATCH(INDEX('Structured 2025'!teamCol,ROW()),ovrTeamCol25,0),MATCH(MID(INDEX('Structured 2025'!headerRow,1,COLUMN()),4,LEN(INDEX('Structured 2025'!headerRow,1,COLUMN()))),ovrHeaderRow25,0))</f>
        <v>47</v>
      </c>
      <c r="AW70" s="12">
        <f>INDEX(ovrTable25,MATCH(INDEX('Structured 2025'!teamCol,ROW()),ovrTeamCol25,0),MATCH(MID(INDEX('Structured 2025'!headerRow,1,COLUMN()),4,LEN(INDEX('Structured 2025'!headerRow,1,COLUMN()))),ovrHeaderRow25,0))</f>
        <v>14.3</v>
      </c>
      <c r="AX70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AY70" s="12">
        <f>INDEX(ovrTable25,MATCH(INDEX('Structured 2025'!teamCol,ROW()),ovrTeamCol25,0),MATCH(MID(INDEX('Structured 2025'!headerRow,1,COLUMN()),4,LEN(INDEX('Structured 2025'!headerRow,1,COLUMN()))),ovrHeaderRow25,0))</f>
        <v>15</v>
      </c>
      <c r="AZ70" s="12">
        <f>INDEX(ovrTable25,MATCH(INDEX('Structured 2025'!teamCol,ROW()),ovrTeamCol25,0),MATCH(MID(INDEX('Structured 2025'!headerRow,1,COLUMN()),4,LEN(INDEX('Structured 2025'!headerRow,1,COLUMN()))),ovrHeaderRow25,0))</f>
        <v>10.8</v>
      </c>
      <c r="BA70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B70" s="12">
        <f>INDEX(ovrTable25,MATCH(INDEX('Structured 2025'!teamCol,ROW()),ovrTeamCol25,0),MATCH(MID(INDEX('Structured 2025'!headerRow,1,COLUMN()),4,LEN(INDEX('Structured 2025'!headerRow,1,COLUMN()))),ovrHeaderRow25,0))</f>
        <v>10.56</v>
      </c>
      <c r="BC70" s="12">
        <f>INDEX(ovrTable25,MATCH(INDEX('Structured 2025'!teamCol,ROW()),ovrTeamCol25,0),MATCH(MID(INDEX('Structured 2025'!headerRow,1,COLUMN()),4,LEN(INDEX('Structured 2025'!headerRow,1,COLUMN()))),ovrHeaderRow25,0))</f>
        <v>76.099999999999994</v>
      </c>
      <c r="BD70" s="12">
        <f>INDEX(ovrTable25,MATCH(INDEX('Structured 2025'!teamCol,ROW()),ovrTeamCol25,0),MATCH(MID(INDEX('Structured 2025'!headerRow,1,COLUMN()),4,LEN(INDEX('Structured 2025'!headerRow,1,COLUMN()))),ovrHeaderRow25,0))</f>
        <v>3.8</v>
      </c>
      <c r="BE70" s="12">
        <f>INDEX(ovrTable25,MATCH(INDEX('Structured 2025'!teamCol,ROW()),ovrTeamCol25,0),MATCH(MID(INDEX('Structured 2025'!headerRow,1,COLUMN()),4,LEN(INDEX('Structured 2025'!headerRow,1,COLUMN()))),ovrHeaderRow25,0))</f>
        <v>38.53</v>
      </c>
      <c r="BF70" s="12">
        <f>INDEX(ovrTable25,MATCH(INDEX('Structured 2025'!teamCol,ROW()),ovrTeamCol25,0),MATCH(MID(INDEX('Structured 2025'!headerRow,1,COLUMN()),4,LEN(INDEX('Structured 2025'!headerRow,1,COLUMN()))),ovrHeaderRow25,0))</f>
        <v>6.5</v>
      </c>
      <c r="BG70" s="12">
        <f>INDEX(ovrTable25,MATCH(INDEX('Structured 2025'!teamCol,ROW()),ovrTeamCol25,0),MATCH(MID(INDEX('Structured 2025'!headerRow,1,COLUMN()),4,LEN(INDEX('Structured 2025'!headerRow,1,COLUMN()))),ovrHeaderRow25,0))</f>
        <v>6.2</v>
      </c>
      <c r="BH70" s="12">
        <f>INDEX(ovrTable25,MATCH(INDEX('Structured 2025'!teamCol,ROW()),ovrTeamCol25,0),MATCH(MID(INDEX('Structured 2025'!headerRow,1,COLUMN()),4,LEN(INDEX('Structured 2025'!headerRow,1,COLUMN()))),ovrHeaderRow25,0))</f>
        <v>-0.9</v>
      </c>
      <c r="BI70" s="12">
        <f>INDEX(ovrTable25,MATCH(INDEX('Structured 2025'!teamCol,ROW()),ovrTeamCol25,0),MATCH(MID(INDEX('Structured 2025'!headerRow,1,COLUMN()),4,LEN(INDEX('Structured 2025'!headerRow,1,COLUMN()))),ovrHeaderRow25,0))</f>
        <v>10.91</v>
      </c>
      <c r="BJ70" s="12">
        <f>INDEX(ovrTable25,MATCH(INDEX('Structured 2025'!teamCol,ROW()),ovrTeamCol25,0),MATCH(MID(INDEX('Structured 2025'!headerRow,1,COLUMN()),4,LEN(INDEX('Structured 2025'!headerRow,1,COLUMN()))),ovrHeaderRow25,0))</f>
        <v>11.8</v>
      </c>
      <c r="BK70" s="12">
        <f>INDEX(ovrTable25,MATCH(INDEX('Structured 2025'!teamCol,ROW()),ovrTeamCol25,0),MATCH(MID(INDEX('Structured 2025'!headerRow,1,COLUMN()),4,LEN(INDEX('Structured 2025'!headerRow,1,COLUMN()))),ovrHeaderRow25,0))</f>
        <v>68.599999999999994</v>
      </c>
      <c r="BL70" s="12">
        <f>INDEX(ovrTable25,MATCH(INDEX('Structured 2025'!teamCol,ROW()),ovrTeamCol25,0),MATCH(MID(INDEX('Structured 2025'!headerRow,1,COLUMN()),4,LEN(INDEX('Structured 2025'!headerRow,1,COLUMN()))),ovrHeaderRow25,0))</f>
        <v>21.549999999999997</v>
      </c>
      <c r="BM70" s="12">
        <f>INDEX(ovrTable25,MATCH(INDEX('Structured 2025'!teamCol,ROW()),ovrTeamCol25,0),MATCH(MID(INDEX('Structured 2025'!headerRow,1,COLUMN()),4,LEN(INDEX('Structured 2025'!headerRow,1,COLUMN()))),ovrHeaderRow25,0))</f>
        <v>61.595744680851055</v>
      </c>
      <c r="BN70" s="12">
        <f>INDEX(ovrTable25,MATCH(INDEX(oppCol,ROW()),ovrTeamCol25,0),MATCH(MID(INDEX('Structured 2025'!headerRow,1,COLUMN()),4,LEN(INDEX('Structured 2025'!headerRow,1,COLUMN()))),ovrHeaderRow25,0))</f>
        <v>31.4</v>
      </c>
      <c r="BO70" s="12">
        <f>INDEX(ovrTable25,MATCH(INDEX(oppCol,ROW()),ovrTeamCol25,0),MATCH(MID(INDEX('Structured 2025'!headerRow,1,COLUMN()),4,LEN(INDEX('Structured 2025'!headerRow,1,COLUMN()))),ovrHeaderRow25,0))</f>
        <v>7</v>
      </c>
      <c r="BP70" s="12">
        <f>INDEX(ovrTable25,MATCH(INDEX(oppCol,ROW()),ovrTeamCol25,0),MATCH(MID(INDEX('Structured 2025'!headerRow,1,COLUMN()),4,LEN(INDEX('Structured 2025'!headerRow,1,COLUMN()))),ovrHeaderRow25,0))</f>
        <v>32.700000000000003</v>
      </c>
      <c r="BQ70" s="12">
        <f>INDEX(ovrTable25,MATCH(INDEX(oppCol,ROW()),ovrTeamCol25,0),MATCH(MID(INDEX('Structured 2025'!headerRow,1,COLUMN()),4,LEN(INDEX('Structured 2025'!headerRow,1,COLUMN()))),ovrHeaderRow25,0))</f>
        <v>21.5</v>
      </c>
      <c r="BR70" s="12">
        <f>INDEX(ovrTable25,MATCH(INDEX(oppCol,ROW()),ovrTeamCol25,0),MATCH(MID(INDEX('Structured 2025'!headerRow,1,COLUMN()),4,LEN(INDEX('Structured 2025'!headerRow,1,COLUMN()))),ovrHeaderRow25,0))</f>
        <v>1.23</v>
      </c>
      <c r="BS70" s="12">
        <f>INDEX(ovrTable25,MATCH(INDEX(oppCol,ROW()),ovrTeamCol25,0),MATCH(MID(INDEX('Structured 2025'!headerRow,1,COLUMN()),4,LEN(INDEX('Structured 2025'!headerRow,1,COLUMN()))),ovrHeaderRow25,0))</f>
        <v>14.2</v>
      </c>
      <c r="BT70" s="12">
        <f>INDEX(ovrTable25,MATCH(INDEX(oppCol,ROW()),ovrTeamCol25,0),MATCH(MID(INDEX('Structured 2025'!headerRow,1,COLUMN()),4,LEN(INDEX('Structured 2025'!headerRow,1,COLUMN()))),ovrHeaderRow25,0))</f>
        <v>16.670000000000002</v>
      </c>
      <c r="BU70" s="12">
        <f>INDEX(ovrTable25,MATCH(INDEX(oppCol,ROW()),ovrTeamCol25,0),MATCH(MID(INDEX('Structured 2025'!headerRow,1,COLUMN()),4,LEN(INDEX('Structured 2025'!headerRow,1,COLUMN()))),ovrHeaderRow25,0))</f>
        <v>5.6</v>
      </c>
      <c r="BV70" s="12">
        <f>INDEX(ovrTable25,MATCH(INDEX(oppCol,ROW()),ovrTeamCol25,0),MATCH(MID(INDEX('Structured 2025'!headerRow,1,COLUMN()),4,LEN(INDEX('Structured 2025'!headerRow,1,COLUMN()))),ovrHeaderRow25,0))</f>
        <v>41.5</v>
      </c>
      <c r="BW70" s="12">
        <f>INDEX(ovrTable25,MATCH(INDEX(oppCol,ROW()),ovrTeamCol25,0),MATCH(MID(INDEX('Structured 2025'!headerRow,1,COLUMN()),4,LEN(INDEX('Structured 2025'!headerRow,1,COLUMN()))),ovrHeaderRow25,0))</f>
        <v>26.11</v>
      </c>
      <c r="BX70" s="12">
        <f>INDEX(ovrTable25,MATCH(INDEX(oppCol,ROW()),ovrTeamCol25,0),MATCH(MID(INDEX('Structured 2025'!headerRow,1,COLUMN()),4,LEN(INDEX('Structured 2025'!headerRow,1,COLUMN()))),ovrHeaderRow25,0))</f>
        <v>0.52200000000000002</v>
      </c>
      <c r="BY70" s="12">
        <f>INDEX(ovrTable25,MATCH(INDEX(oppCol,ROW()),ovrTeamCol25,0),MATCH(MID(INDEX('Structured 2025'!headerRow,1,COLUMN()),4,LEN(INDEX('Structured 2025'!headerRow,1,COLUMN()))),ovrHeaderRow25,0))</f>
        <v>12.22</v>
      </c>
      <c r="BZ70" s="12">
        <f>INDEX(ovrTable25,MATCH(INDEX(oppCol,ROW()),ovrTeamCol25,0),MATCH(MID(INDEX('Structured 2025'!headerRow,1,COLUMN()),4,LEN(INDEX('Structured 2025'!headerRow,1,COLUMN()))),ovrHeaderRow25,0))</f>
        <v>46.2</v>
      </c>
      <c r="CA70" s="12">
        <f>INDEX(ovrTable25,MATCH(INDEX(oppCol,ROW()),ovrTeamCol25,0),MATCH(MID(INDEX('Structured 2025'!headerRow,1,COLUMN()),4,LEN(INDEX('Structured 2025'!headerRow,1,COLUMN()))),ovrHeaderRow25,0))</f>
        <v>16.2</v>
      </c>
      <c r="CB70" s="12">
        <f>INDEX(ovrTable25,MATCH(INDEX(oppCol,ROW()),ovrTeamCol25,0),MATCH(MID(INDEX('Structured 2025'!headerRow,1,COLUMN()),4,LEN(INDEX('Structured 2025'!headerRow,1,COLUMN()))),ovrHeaderRow25,0))</f>
        <v>73.900000000000006</v>
      </c>
      <c r="CC70" s="12">
        <f>INDEX(ovrTable25,MATCH(INDEX(oppCol,ROW()),ovrTeamCol25,0),MATCH(MID(INDEX('Structured 2025'!headerRow,1,COLUMN()),4,LEN(INDEX('Structured 2025'!headerRow,1,COLUMN()))),ovrHeaderRow25,0))</f>
        <v>20.9</v>
      </c>
      <c r="CD70" s="12">
        <f>INDEX(ovrTable25,MATCH(INDEX(oppCol,ROW()),ovrTeamCol25,0),MATCH(MID(INDEX('Structured 2025'!headerRow,1,COLUMN()),4,LEN(INDEX('Structured 2025'!headerRow,1,COLUMN()))),ovrHeaderRow25,0))</f>
        <v>15.4</v>
      </c>
      <c r="CE70" s="12">
        <f>INDEX(ovrTable25,MATCH(INDEX(oppCol,ROW()),ovrTeamCol25,0),MATCH(MID(INDEX('Structured 2025'!headerRow,1,COLUMN()),4,LEN(INDEX('Structured 2025'!headerRow,1,COLUMN()))),ovrHeaderRow25,0))</f>
        <v>71.400000000000006</v>
      </c>
      <c r="CF70" s="12">
        <f>INDEX(ovrTable25,MATCH(INDEX(oppCol,ROW()),ovrTeamCol25,0),MATCH(MID(INDEX('Structured 2025'!headerRow,1,COLUMN()),4,LEN(INDEX('Structured 2025'!headerRow,1,COLUMN()))),ovrHeaderRow25,0))</f>
        <v>9.5299999999999994</v>
      </c>
      <c r="CG70" s="12">
        <f>INDEX(ovrTable25,MATCH(INDEX(oppCol,ROW()),ovrTeamCol25,0),MATCH(MID(INDEX('Structured 2025'!headerRow,1,COLUMN()),4,LEN(INDEX('Structured 2025'!headerRow,1,COLUMN()))),ovrHeaderRow25,0))</f>
        <v>76.8</v>
      </c>
      <c r="CH70" s="12">
        <f>INDEX(ovrTable25,MATCH(INDEX(oppCol,ROW()),ovrTeamCol25,0),MATCH(MID(INDEX('Structured 2025'!headerRow,1,COLUMN()),4,LEN(INDEX('Structured 2025'!headerRow,1,COLUMN()))),ovrHeaderRow25,0))</f>
        <v>0.1</v>
      </c>
      <c r="CI70" s="12">
        <f>INDEX(ovrTable25,MATCH(INDEX(oppCol,ROW()),ovrTeamCol25,0),MATCH(MID(INDEX('Structured 2025'!headerRow,1,COLUMN()),4,LEN(INDEX('Structured 2025'!headerRow,1,COLUMN()))),ovrHeaderRow25,0))</f>
        <v>35.64</v>
      </c>
      <c r="CJ70" s="12">
        <f>INDEX(ovrTable25,MATCH(INDEX(oppCol,ROW()),ovrTeamCol25,0),MATCH(MID(INDEX('Structured 2025'!headerRow,1,COLUMN()),4,LEN(INDEX('Structured 2025'!headerRow,1,COLUMN()))),ovrHeaderRow25,0))</f>
        <v>5.4</v>
      </c>
      <c r="CK70" s="12">
        <f>INDEX(ovrTable25,MATCH(INDEX(oppCol,ROW()),ovrTeamCol25,0),MATCH(MID(INDEX('Structured 2025'!headerRow,1,COLUMN()),4,LEN(INDEX('Structured 2025'!headerRow,1,COLUMN()))),ovrHeaderRow25,0))</f>
        <v>7.5</v>
      </c>
      <c r="CL70" s="12">
        <f>INDEX(ovrTable25,MATCH(INDEX(oppCol,ROW()),ovrTeamCol25,0),MATCH(MID(INDEX('Structured 2025'!headerRow,1,COLUMN()),4,LEN(INDEX('Structured 2025'!headerRow,1,COLUMN()))),ovrHeaderRow25,0))</f>
        <v>0.7</v>
      </c>
      <c r="CM70" s="12">
        <f>INDEX(ovrTable25,MATCH(INDEX(oppCol,ROW()),ovrTeamCol25,0),MATCH(MID(INDEX('Structured 2025'!headerRow,1,COLUMN()),4,LEN(INDEX('Structured 2025'!headerRow,1,COLUMN()))),ovrHeaderRow25,0))</f>
        <v>12.19</v>
      </c>
      <c r="CN70" s="12">
        <f>INDEX(ovrTable25,MATCH(INDEX(oppCol,ROW()),ovrTeamCol25,0),MATCH(MID(INDEX('Structured 2025'!headerRow,1,COLUMN()),4,LEN(INDEX('Structured 2025'!headerRow,1,COLUMN()))),ovrHeaderRow25,0))</f>
        <v>11.5</v>
      </c>
      <c r="CO70" s="12">
        <f>INDEX(ovrTable25,MATCH(INDEX(oppCol,ROW()),ovrTeamCol25,0),MATCH(MID(INDEX('Structured 2025'!headerRow,1,COLUMN()),4,LEN(INDEX('Structured 2025'!headerRow,1,COLUMN()))),ovrHeaderRow25,0))</f>
        <v>69.400000000000006</v>
      </c>
      <c r="CP70" s="12">
        <f>INDEX(ovrTable25,MATCH(INDEX(oppCol,ROW()),ovrTeamCol25,0),MATCH(MID(INDEX('Structured 2025'!headerRow,1,COLUMN()),4,LEN(INDEX('Structured 2025'!headerRow,1,COLUMN()))),ovrHeaderRow25,0))</f>
        <v>20.2</v>
      </c>
      <c r="CQ70" s="12">
        <f>INDEX(ovrTable25,MATCH(INDEX(oppCol,ROW()),ovrTeamCol25,0),MATCH(MID(INDEX('Structured 2025'!headerRow,1,COLUMN()),4,LEN(INDEX('Structured 2025'!headerRow,1,COLUMN()))),ovrHeaderRow25,0))</f>
        <v>58.874458874458874</v>
      </c>
    </row>
    <row r="71" spans="1:95" x14ac:dyDescent="0.3">
      <c r="A71" s="6" t="s">
        <v>351</v>
      </c>
      <c r="B71" s="3">
        <v>10</v>
      </c>
      <c r="C71" s="13" t="str">
        <f>A70</f>
        <v>KU</v>
      </c>
      <c r="D71" s="14">
        <f t="shared" si="26"/>
        <v>35</v>
      </c>
      <c r="E71" s="23">
        <v>0.47058823529411764</v>
      </c>
      <c r="F71" s="24">
        <v>43.07692307692308</v>
      </c>
      <c r="G71" s="24">
        <v>6</v>
      </c>
      <c r="H71" s="23">
        <v>25</v>
      </c>
      <c r="I71" s="24">
        <v>24</v>
      </c>
      <c r="J71" s="25">
        <v>1.3</v>
      </c>
      <c r="K71" s="24">
        <v>17</v>
      </c>
      <c r="L71" s="24">
        <v>20</v>
      </c>
      <c r="M71" s="24">
        <v>12</v>
      </c>
      <c r="N71" s="24">
        <v>22</v>
      </c>
      <c r="O71" s="24">
        <v>13</v>
      </c>
      <c r="P71" s="24">
        <v>11</v>
      </c>
      <c r="Q71" s="24">
        <v>6</v>
      </c>
      <c r="R71" s="24">
        <v>10</v>
      </c>
      <c r="S71" s="24">
        <v>10</v>
      </c>
      <c r="T71" s="24">
        <v>14</v>
      </c>
      <c r="U71" s="24">
        <v>8</v>
      </c>
      <c r="V71" s="24">
        <v>0.43103448275862066</v>
      </c>
      <c r="W71" s="26">
        <v>0.47692307692307695</v>
      </c>
      <c r="X71" s="23">
        <v>85</v>
      </c>
      <c r="Y71" s="24">
        <v>72</v>
      </c>
      <c r="Z71" s="24">
        <v>79</v>
      </c>
      <c r="AA71" s="24">
        <v>-4</v>
      </c>
      <c r="AB71" s="24">
        <v>34</v>
      </c>
      <c r="AC71" s="24">
        <v>7</v>
      </c>
      <c r="AD71" s="24">
        <v>6</v>
      </c>
      <c r="AE71" s="24">
        <v>16</v>
      </c>
      <c r="AF71" s="34">
        <f t="shared" si="69"/>
        <v>22</v>
      </c>
      <c r="AG71" s="34">
        <f t="shared" si="70"/>
        <v>41</v>
      </c>
      <c r="AH71" s="46">
        <f t="shared" si="71"/>
        <v>72.5</v>
      </c>
      <c r="AI71" s="51">
        <f t="shared" ref="AI71" si="77">AVERAGE(AH70,AH71)</f>
        <v>71.55</v>
      </c>
      <c r="AJ71" s="12">
        <f>INDEX(ovrTable25,MATCH(INDEX('Structured 2025'!teamCol,ROW()),ovrTeamCol25,0),MATCH(MID(INDEX('Structured 2025'!headerRow,1,COLUMN()),4,LEN(INDEX('Structured 2025'!headerRow,1,COLUMN()))),ovrHeaderRow25,0))</f>
        <v>31.4</v>
      </c>
      <c r="AK71" s="12">
        <f>INDEX(ovrTable25,MATCH(INDEX('Structured 2025'!teamCol,ROW()),ovrTeamCol25,0),MATCH(MID(INDEX('Structured 2025'!headerRow,1,COLUMN()),4,LEN(INDEX('Structured 2025'!headerRow,1,COLUMN()))),ovrHeaderRow25,0))</f>
        <v>7</v>
      </c>
      <c r="AL71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M71" s="12">
        <f>INDEX(ovrTable25,MATCH(INDEX('Structured 2025'!teamCol,ROW()),ovrTeamCol25,0),MATCH(MID(INDEX('Structured 2025'!headerRow,1,COLUMN()),4,LEN(INDEX('Structured 2025'!headerRow,1,COLUMN()))),ovrHeaderRow25,0))</f>
        <v>21.5</v>
      </c>
      <c r="AN71" s="12">
        <f>INDEX(ovrTable25,MATCH(INDEX('Structured 2025'!teamCol,ROW()),ovrTeamCol25,0),MATCH(MID(INDEX('Structured 2025'!headerRow,1,COLUMN()),4,LEN(INDEX('Structured 2025'!headerRow,1,COLUMN()))),ovrHeaderRow25,0))</f>
        <v>1.23</v>
      </c>
      <c r="AO71" s="12">
        <f>INDEX(ovrTable25,MATCH(INDEX('Structured 2025'!teamCol,ROW()),ovrTeamCol25,0),MATCH(MID(INDEX('Structured 2025'!headerRow,1,COLUMN()),4,LEN(INDEX('Structured 2025'!headerRow,1,COLUMN()))),ovrHeaderRow25,0))</f>
        <v>14.2</v>
      </c>
      <c r="AP71" s="12">
        <f>INDEX(ovrTable25,MATCH(INDEX('Structured 2025'!teamCol,ROW()),ovrTeamCol25,0),MATCH(MID(INDEX('Structured 2025'!headerRow,1,COLUMN()),4,LEN(INDEX('Structured 2025'!headerRow,1,COLUMN()))),ovrHeaderRow25,0))</f>
        <v>16.670000000000002</v>
      </c>
      <c r="AQ71" s="12">
        <f>INDEX(ovrTable25,MATCH(INDEX('Structured 2025'!teamCol,ROW()),ovrTeamCol25,0),MATCH(MID(INDEX('Structured 2025'!headerRow,1,COLUMN()),4,LEN(INDEX('Structured 2025'!headerRow,1,COLUMN()))),ovrHeaderRow25,0))</f>
        <v>5.6</v>
      </c>
      <c r="AR71" s="12">
        <f>INDEX(ovrTable25,MATCH(INDEX('Structured 2025'!teamCol,ROW()),ovrTeamCol25,0),MATCH(MID(INDEX('Structured 2025'!headerRow,1,COLUMN()),4,LEN(INDEX('Structured 2025'!headerRow,1,COLUMN()))),ovrHeaderRow25,0))</f>
        <v>41.5</v>
      </c>
      <c r="AS71" s="12">
        <f>INDEX(ovrTable25,MATCH(INDEX('Structured 2025'!teamCol,ROW()),ovrTeamCol25,0),MATCH(MID(INDEX('Structured 2025'!headerRow,1,COLUMN()),4,LEN(INDEX('Structured 2025'!headerRow,1,COLUMN()))),ovrHeaderRow25,0))</f>
        <v>26.11</v>
      </c>
      <c r="AT71" s="12">
        <f>INDEX(ovrTable25,MATCH(INDEX('Structured 2025'!teamCol,ROW()),ovrTeamCol25,0),MATCH(MID(INDEX('Structured 2025'!headerRow,1,COLUMN()),4,LEN(INDEX('Structured 2025'!headerRow,1,COLUMN()))),ovrHeaderRow25,0))</f>
        <v>0.52200000000000002</v>
      </c>
      <c r="AU71" s="12">
        <f>INDEX(ovrTable25,MATCH(INDEX('Structured 2025'!teamCol,ROW()),ovrTeamCol25,0),MATCH(MID(INDEX('Structured 2025'!headerRow,1,COLUMN()),4,LEN(INDEX('Structured 2025'!headerRow,1,COLUMN()))),ovrHeaderRow25,0))</f>
        <v>12.22</v>
      </c>
      <c r="AV71" s="12">
        <f>INDEX(ovrTable25,MATCH(INDEX('Structured 2025'!teamCol,ROW()),ovrTeamCol25,0),MATCH(MID(INDEX('Structured 2025'!headerRow,1,COLUMN()),4,LEN(INDEX('Structured 2025'!headerRow,1,COLUMN()))),ovrHeaderRow25,0))</f>
        <v>46.2</v>
      </c>
      <c r="AW71" s="12">
        <f>INDEX(ovrTable25,MATCH(INDEX('Structured 2025'!teamCol,ROW()),ovrTeamCol25,0),MATCH(MID(INDEX('Structured 2025'!headerRow,1,COLUMN()),4,LEN(INDEX('Structured 2025'!headerRow,1,COLUMN()))),ovrHeaderRow25,0))</f>
        <v>16.2</v>
      </c>
      <c r="AX71" s="12">
        <f>INDEX(ovrTable25,MATCH(INDEX('Structured 2025'!teamCol,ROW()),ovrTeamCol25,0),MATCH(MID(INDEX('Structured 2025'!headerRow,1,COLUMN()),4,LEN(INDEX('Structured 2025'!headerRow,1,COLUMN()))),ovrHeaderRow25,0))</f>
        <v>73.900000000000006</v>
      </c>
      <c r="AY71" s="12">
        <f>INDEX(ovrTable25,MATCH(INDEX('Structured 2025'!teamCol,ROW()),ovrTeamCol25,0),MATCH(MID(INDEX('Structured 2025'!headerRow,1,COLUMN()),4,LEN(INDEX('Structured 2025'!headerRow,1,COLUMN()))),ovrHeaderRow25,0))</f>
        <v>20.9</v>
      </c>
      <c r="AZ71" s="12">
        <f>INDEX(ovrTable25,MATCH(INDEX('Structured 2025'!teamCol,ROW()),ovrTeamCol25,0),MATCH(MID(INDEX('Structured 2025'!headerRow,1,COLUMN()),4,LEN(INDEX('Structured 2025'!headerRow,1,COLUMN()))),ovrHeaderRow25,0))</f>
        <v>15.4</v>
      </c>
      <c r="BA71" s="12">
        <f>INDEX(ovrTable25,MATCH(INDEX('Structured 2025'!teamCol,ROW()),ovrTeamCol25,0),MATCH(MID(INDEX('Structured 2025'!headerRow,1,COLUMN()),4,LEN(INDEX('Structured 2025'!headerRow,1,COLUMN()))),ovrHeaderRow25,0))</f>
        <v>71.400000000000006</v>
      </c>
      <c r="BB71" s="12">
        <f>INDEX(ovrTable25,MATCH(INDEX('Structured 2025'!teamCol,ROW()),ovrTeamCol25,0),MATCH(MID(INDEX('Structured 2025'!headerRow,1,COLUMN()),4,LEN(INDEX('Structured 2025'!headerRow,1,COLUMN()))),ovrHeaderRow25,0))</f>
        <v>9.5299999999999994</v>
      </c>
      <c r="BC71" s="12">
        <f>INDEX(ovrTable25,MATCH(INDEX('Structured 2025'!teamCol,ROW()),ovrTeamCol25,0),MATCH(MID(INDEX('Structured 2025'!headerRow,1,COLUMN()),4,LEN(INDEX('Structured 2025'!headerRow,1,COLUMN()))),ovrHeaderRow25,0))</f>
        <v>76.8</v>
      </c>
      <c r="BD71" s="12">
        <f>INDEX(ovrTable25,MATCH(INDEX('Structured 2025'!teamCol,ROW()),ovrTeamCol25,0),MATCH(MID(INDEX('Structured 2025'!headerRow,1,COLUMN()),4,LEN(INDEX('Structured 2025'!headerRow,1,COLUMN()))),ovrHeaderRow25,0))</f>
        <v>0.1</v>
      </c>
      <c r="BE71" s="12">
        <f>INDEX(ovrTable25,MATCH(INDEX('Structured 2025'!teamCol,ROW()),ovrTeamCol25,0),MATCH(MID(INDEX('Structured 2025'!headerRow,1,COLUMN()),4,LEN(INDEX('Structured 2025'!headerRow,1,COLUMN()))),ovrHeaderRow25,0))</f>
        <v>35.64</v>
      </c>
      <c r="BF71" s="12">
        <f>INDEX(ovrTable25,MATCH(INDEX('Structured 2025'!teamCol,ROW()),ovrTeamCol25,0),MATCH(MID(INDEX('Structured 2025'!headerRow,1,COLUMN()),4,LEN(INDEX('Structured 2025'!headerRow,1,COLUMN()))),ovrHeaderRow25,0))</f>
        <v>5.4</v>
      </c>
      <c r="BG71" s="12">
        <f>INDEX(ovrTable25,MATCH(INDEX('Structured 2025'!teamCol,ROW()),ovrTeamCol25,0),MATCH(MID(INDEX('Structured 2025'!headerRow,1,COLUMN()),4,LEN(INDEX('Structured 2025'!headerRow,1,COLUMN()))),ovrHeaderRow25,0))</f>
        <v>7.5</v>
      </c>
      <c r="BH71" s="12">
        <f>INDEX(ovrTable25,MATCH(INDEX('Structured 2025'!teamCol,ROW()),ovrTeamCol25,0),MATCH(MID(INDEX('Structured 2025'!headerRow,1,COLUMN()),4,LEN(INDEX('Structured 2025'!headerRow,1,COLUMN()))),ovrHeaderRow25,0))</f>
        <v>0.7</v>
      </c>
      <c r="BI71" s="12">
        <f>INDEX(ovrTable25,MATCH(INDEX('Structured 2025'!teamCol,ROW()),ovrTeamCol25,0),MATCH(MID(INDEX('Structured 2025'!headerRow,1,COLUMN()),4,LEN(INDEX('Structured 2025'!headerRow,1,COLUMN()))),ovrHeaderRow25,0))</f>
        <v>12.19</v>
      </c>
      <c r="BJ71" s="12">
        <f>INDEX(ovrTable25,MATCH(INDEX('Structured 2025'!teamCol,ROW()),ovrTeamCol25,0),MATCH(MID(INDEX('Structured 2025'!headerRow,1,COLUMN()),4,LEN(INDEX('Structured 2025'!headerRow,1,COLUMN()))),ovrHeaderRow25,0))</f>
        <v>11.5</v>
      </c>
      <c r="BK71" s="12">
        <f>INDEX(ovrTable25,MATCH(INDEX('Structured 2025'!teamCol,ROW()),ovrTeamCol25,0),MATCH(MID(INDEX('Structured 2025'!headerRow,1,COLUMN()),4,LEN(INDEX('Structured 2025'!headerRow,1,COLUMN()))),ovrHeaderRow25,0))</f>
        <v>69.400000000000006</v>
      </c>
      <c r="BL71" s="12">
        <f>INDEX(ovrTable25,MATCH(INDEX('Structured 2025'!teamCol,ROW()),ovrTeamCol25,0),MATCH(MID(INDEX('Structured 2025'!headerRow,1,COLUMN()),4,LEN(INDEX('Structured 2025'!headerRow,1,COLUMN()))),ovrHeaderRow25,0))</f>
        <v>20.2</v>
      </c>
      <c r="BM71" s="12">
        <f>INDEX(ovrTable25,MATCH(INDEX('Structured 2025'!teamCol,ROW()),ovrTeamCol25,0),MATCH(MID(INDEX('Structured 2025'!headerRow,1,COLUMN()),4,LEN(INDEX('Structured 2025'!headerRow,1,COLUMN()))),ovrHeaderRow25,0))</f>
        <v>58.874458874458874</v>
      </c>
      <c r="BN71" s="12">
        <f>INDEX(ovrTable25,MATCH(INDEX(oppCol,ROW()),ovrTeamCol25,0),MATCH(MID(INDEX('Structured 2025'!headerRow,1,COLUMN()),4,LEN(INDEX('Structured 2025'!headerRow,1,COLUMN()))),ovrHeaderRow25,0))</f>
        <v>30.8</v>
      </c>
      <c r="BO71" s="12">
        <f>INDEX(ovrTable25,MATCH(INDEX(oppCol,ROW()),ovrTeamCol25,0),MATCH(MID(INDEX('Structured 2025'!headerRow,1,COLUMN()),4,LEN(INDEX('Structured 2025'!headerRow,1,COLUMN()))),ovrHeaderRow25,0))</f>
        <v>7.4</v>
      </c>
      <c r="BP71" s="12">
        <f>INDEX(ovrTable25,MATCH(INDEX(oppCol,ROW()),ovrTeamCol25,0),MATCH(MID(INDEX('Structured 2025'!headerRow,1,COLUMN()),4,LEN(INDEX('Structured 2025'!headerRow,1,COLUMN()))),ovrHeaderRow25,0))</f>
        <v>35.4</v>
      </c>
      <c r="BQ71" s="12">
        <f>INDEX(ovrTable25,MATCH(INDEX(oppCol,ROW()),ovrTeamCol25,0),MATCH(MID(INDEX('Structured 2025'!headerRow,1,COLUMN()),4,LEN(INDEX('Structured 2025'!headerRow,1,COLUMN()))),ovrHeaderRow25,0))</f>
        <v>21</v>
      </c>
      <c r="BR71" s="12">
        <f>INDEX(ovrTable25,MATCH(INDEX(oppCol,ROW()),ovrTeamCol25,0),MATCH(MID(INDEX('Structured 2025'!headerRow,1,COLUMN()),4,LEN(INDEX('Structured 2025'!headerRow,1,COLUMN()))),ovrHeaderRow25,0))</f>
        <v>1.5</v>
      </c>
      <c r="BS71" s="12">
        <f>INDEX(ovrTable25,MATCH(INDEX(oppCol,ROW()),ovrTeamCol25,0),MATCH(MID(INDEX('Structured 2025'!headerRow,1,COLUMN()),4,LEN(INDEX('Structured 2025'!headerRow,1,COLUMN()))),ovrHeaderRow25,0))</f>
        <v>17.7</v>
      </c>
      <c r="BT71" s="12">
        <f>INDEX(ovrTable25,MATCH(INDEX(oppCol,ROW()),ovrTeamCol25,0),MATCH(MID(INDEX('Structured 2025'!headerRow,1,COLUMN()),4,LEN(INDEX('Structured 2025'!headerRow,1,COLUMN()))),ovrHeaderRow25,0))</f>
        <v>20.79</v>
      </c>
      <c r="BU71" s="12">
        <f>INDEX(ovrTable25,MATCH(INDEX(oppCol,ROW()),ovrTeamCol25,0),MATCH(MID(INDEX('Structured 2025'!headerRow,1,COLUMN()),4,LEN(INDEX('Structured 2025'!headerRow,1,COLUMN()))),ovrHeaderRow25,0))</f>
        <v>4.7</v>
      </c>
      <c r="BV71" s="12">
        <f>INDEX(ovrTable25,MATCH(INDEX(oppCol,ROW()),ovrTeamCol25,0),MATCH(MID(INDEX('Structured 2025'!headerRow,1,COLUMN()),4,LEN(INDEX('Structured 2025'!headerRow,1,COLUMN()))),ovrHeaderRow25,0))</f>
        <v>40</v>
      </c>
      <c r="BW71" s="12">
        <f>INDEX(ovrTable25,MATCH(INDEX(oppCol,ROW()),ovrTeamCol25,0),MATCH(MID(INDEX('Structured 2025'!headerRow,1,COLUMN()),4,LEN(INDEX('Structured 2025'!headerRow,1,COLUMN()))),ovrHeaderRow25,0))</f>
        <v>27.97</v>
      </c>
      <c r="BX71" s="12">
        <f>INDEX(ovrTable25,MATCH(INDEX(oppCol,ROW()),ovrTeamCol25,0),MATCH(MID(INDEX('Structured 2025'!headerRow,1,COLUMN()),4,LEN(INDEX('Structured 2025'!headerRow,1,COLUMN()))),ovrHeaderRow25,0))</f>
        <v>0.53100000000000003</v>
      </c>
      <c r="BY71" s="12">
        <f>INDEX(ovrTable25,MATCH(INDEX(oppCol,ROW()),ovrTeamCol25,0),MATCH(MID(INDEX('Structured 2025'!headerRow,1,COLUMN()),4,LEN(INDEX('Structured 2025'!headerRow,1,COLUMN()))),ovrHeaderRow25,0))</f>
        <v>10.18</v>
      </c>
      <c r="BZ71" s="12">
        <f>INDEX(ovrTable25,MATCH(INDEX(oppCol,ROW()),ovrTeamCol25,0),MATCH(MID(INDEX('Structured 2025'!headerRow,1,COLUMN()),4,LEN(INDEX('Structured 2025'!headerRow,1,COLUMN()))),ovrHeaderRow25,0))</f>
        <v>47</v>
      </c>
      <c r="CA71" s="12">
        <f>INDEX(ovrTable25,MATCH(INDEX(oppCol,ROW()),ovrTeamCol25,0),MATCH(MID(INDEX('Structured 2025'!headerRow,1,COLUMN()),4,LEN(INDEX('Structured 2025'!headerRow,1,COLUMN()))),ovrHeaderRow25,0))</f>
        <v>14.3</v>
      </c>
      <c r="CB71" s="12">
        <f>INDEX(ovrTable25,MATCH(INDEX(oppCol,ROW()),ovrTeamCol25,0),MATCH(MID(INDEX('Structured 2025'!headerRow,1,COLUMN()),4,LEN(INDEX('Structured 2025'!headerRow,1,COLUMN()))),ovrHeaderRow25,0))</f>
        <v>71.599999999999994</v>
      </c>
      <c r="CC71" s="12">
        <f>INDEX(ovrTable25,MATCH(INDEX(oppCol,ROW()),ovrTeamCol25,0),MATCH(MID(INDEX('Structured 2025'!headerRow,1,COLUMN()),4,LEN(INDEX('Structured 2025'!headerRow,1,COLUMN()))),ovrHeaderRow25,0))</f>
        <v>15</v>
      </c>
      <c r="CD71" s="12">
        <f>INDEX(ovrTable25,MATCH(INDEX(oppCol,ROW()),ovrTeamCol25,0),MATCH(MID(INDEX('Structured 2025'!headerRow,1,COLUMN()),4,LEN(INDEX('Structured 2025'!headerRow,1,COLUMN()))),ovrHeaderRow25,0))</f>
        <v>10.8</v>
      </c>
      <c r="CE71" s="12">
        <f>INDEX(ovrTable25,MATCH(INDEX(oppCol,ROW()),ovrTeamCol25,0),MATCH(MID(INDEX('Structured 2025'!headerRow,1,COLUMN()),4,LEN(INDEX('Structured 2025'!headerRow,1,COLUMN()))),ovrHeaderRow25,0))</f>
        <v>69.599999999999994</v>
      </c>
      <c r="CF71" s="12">
        <f>INDEX(ovrTable25,MATCH(INDEX(oppCol,ROW()),ovrTeamCol25,0),MATCH(MID(INDEX('Structured 2025'!headerRow,1,COLUMN()),4,LEN(INDEX('Structured 2025'!headerRow,1,COLUMN()))),ovrHeaderRow25,0))</f>
        <v>10.56</v>
      </c>
      <c r="CG71" s="12">
        <f>INDEX(ovrTable25,MATCH(INDEX(oppCol,ROW()),ovrTeamCol25,0),MATCH(MID(INDEX('Structured 2025'!headerRow,1,COLUMN()),4,LEN(INDEX('Structured 2025'!headerRow,1,COLUMN()))),ovrHeaderRow25,0))</f>
        <v>76.099999999999994</v>
      </c>
      <c r="CH71" s="12">
        <f>INDEX(ovrTable25,MATCH(INDEX(oppCol,ROW()),ovrTeamCol25,0),MATCH(MID(INDEX('Structured 2025'!headerRow,1,COLUMN()),4,LEN(INDEX('Structured 2025'!headerRow,1,COLUMN()))),ovrHeaderRow25,0))</f>
        <v>3.8</v>
      </c>
      <c r="CI71" s="12">
        <f>INDEX(ovrTable25,MATCH(INDEX(oppCol,ROW()),ovrTeamCol25,0),MATCH(MID(INDEX('Structured 2025'!headerRow,1,COLUMN()),4,LEN(INDEX('Structured 2025'!headerRow,1,COLUMN()))),ovrHeaderRow25,0))</f>
        <v>38.53</v>
      </c>
      <c r="CJ71" s="12">
        <f>INDEX(ovrTable25,MATCH(INDEX(oppCol,ROW()),ovrTeamCol25,0),MATCH(MID(INDEX('Structured 2025'!headerRow,1,COLUMN()),4,LEN(INDEX('Structured 2025'!headerRow,1,COLUMN()))),ovrHeaderRow25,0))</f>
        <v>6.5</v>
      </c>
      <c r="CK71" s="12">
        <f>INDEX(ovrTable25,MATCH(INDEX(oppCol,ROW()),ovrTeamCol25,0),MATCH(MID(INDEX('Structured 2025'!headerRow,1,COLUMN()),4,LEN(INDEX('Structured 2025'!headerRow,1,COLUMN()))),ovrHeaderRow25,0))</f>
        <v>6.2</v>
      </c>
      <c r="CL71" s="12">
        <f>INDEX(ovrTable25,MATCH(INDEX(oppCol,ROW()),ovrTeamCol25,0),MATCH(MID(INDEX('Structured 2025'!headerRow,1,COLUMN()),4,LEN(INDEX('Structured 2025'!headerRow,1,COLUMN()))),ovrHeaderRow25,0))</f>
        <v>-0.9</v>
      </c>
      <c r="CM71" s="12">
        <f>INDEX(ovrTable25,MATCH(INDEX(oppCol,ROW()),ovrTeamCol25,0),MATCH(MID(INDEX('Structured 2025'!headerRow,1,COLUMN()),4,LEN(INDEX('Structured 2025'!headerRow,1,COLUMN()))),ovrHeaderRow25,0))</f>
        <v>10.91</v>
      </c>
      <c r="CN71" s="12">
        <f>INDEX(ovrTable25,MATCH(INDEX(oppCol,ROW()),ovrTeamCol25,0),MATCH(MID(INDEX('Structured 2025'!headerRow,1,COLUMN()),4,LEN(INDEX('Structured 2025'!headerRow,1,COLUMN()))),ovrHeaderRow25,0))</f>
        <v>11.8</v>
      </c>
      <c r="CO71" s="12">
        <f>INDEX(ovrTable25,MATCH(INDEX(oppCol,ROW()),ovrTeamCol25,0),MATCH(MID(INDEX('Structured 2025'!headerRow,1,COLUMN()),4,LEN(INDEX('Structured 2025'!headerRow,1,COLUMN()))),ovrHeaderRow25,0))</f>
        <v>68.599999999999994</v>
      </c>
      <c r="CP71" s="12">
        <f>INDEX(ovrTable25,MATCH(INDEX(oppCol,ROW()),ovrTeamCol25,0),MATCH(MID(INDEX('Structured 2025'!headerRow,1,COLUMN()),4,LEN(INDEX('Structured 2025'!headerRow,1,COLUMN()))),ovrHeaderRow25,0))</f>
        <v>21.549999999999997</v>
      </c>
      <c r="CQ71" s="12">
        <f>INDEX(ovrTable25,MATCH(INDEX(oppCol,ROW()),ovrTeamCol25,0),MATCH(MID(INDEX('Structured 2025'!headerRow,1,COLUMN()),4,LEN(INDEX('Structured 2025'!headerRow,1,COLUMN()))),ovrHeaderRow25,0))</f>
        <v>61.595744680851055</v>
      </c>
    </row>
    <row r="72" spans="1:95" x14ac:dyDescent="0.3">
      <c r="A72" s="6" t="s">
        <v>358</v>
      </c>
      <c r="B72" s="3">
        <v>2</v>
      </c>
      <c r="C72" s="13" t="str">
        <f>A73</f>
        <v>OMA</v>
      </c>
      <c r="D72" s="14">
        <f t="shared" si="26"/>
        <v>36</v>
      </c>
      <c r="E72" s="23">
        <v>0.1388888888888889</v>
      </c>
      <c r="F72" s="24">
        <v>45.3125</v>
      </c>
      <c r="G72" s="24">
        <v>14</v>
      </c>
      <c r="H72" s="23">
        <v>37.837837837837839</v>
      </c>
      <c r="I72" s="24">
        <v>37</v>
      </c>
      <c r="J72" s="25">
        <v>2.625</v>
      </c>
      <c r="K72" s="24">
        <v>11</v>
      </c>
      <c r="L72" s="24">
        <v>15</v>
      </c>
      <c r="M72" s="24">
        <v>15</v>
      </c>
      <c r="N72" s="24">
        <v>32</v>
      </c>
      <c r="O72" s="24">
        <v>21</v>
      </c>
      <c r="P72" s="24">
        <v>3</v>
      </c>
      <c r="Q72" s="24">
        <v>6</v>
      </c>
      <c r="R72" s="24">
        <v>8</v>
      </c>
      <c r="S72" s="24">
        <v>6</v>
      </c>
      <c r="T72" s="24">
        <v>17</v>
      </c>
      <c r="U72" s="24">
        <v>22</v>
      </c>
      <c r="V72" s="24">
        <v>0.25714285714285712</v>
      </c>
      <c r="W72" s="26">
        <v>0.5625</v>
      </c>
      <c r="X72" s="23">
        <v>73.333333333333329</v>
      </c>
      <c r="Y72" s="24">
        <v>53</v>
      </c>
      <c r="Z72" s="24">
        <v>83</v>
      </c>
      <c r="AA72" s="24">
        <v>2</v>
      </c>
      <c r="AB72" s="24">
        <v>47</v>
      </c>
      <c r="AC72" s="24">
        <v>30</v>
      </c>
      <c r="AD72" s="24">
        <v>-1</v>
      </c>
      <c r="AE72" s="24">
        <v>7</v>
      </c>
      <c r="AF72" s="34">
        <f t="shared" si="69"/>
        <v>15</v>
      </c>
      <c r="AG72" s="34">
        <f t="shared" si="70"/>
        <v>27</v>
      </c>
      <c r="AH72" s="46">
        <f t="shared" si="71"/>
        <v>64.125</v>
      </c>
      <c r="AI72" s="51">
        <f t="shared" ref="AI72" si="78">AVERAGE(AH72,AH73)</f>
        <v>63.075000000000003</v>
      </c>
      <c r="AJ72" s="12">
        <f>INDEX(ovrTable25,MATCH(INDEX('Structured 2025'!teamCol,ROW()),ovrTeamCol25,0),MATCH(MID(INDEX('Structured 2025'!headerRow,1,COLUMN()),4,LEN(INDEX('Structured 2025'!headerRow,1,COLUMN()))),ovrHeaderRow25,0))</f>
        <v>30.6</v>
      </c>
      <c r="AK72" s="12">
        <f>INDEX(ovrTable25,MATCH(INDEX('Structured 2025'!teamCol,ROW()),ovrTeamCol25,0),MATCH(MID(INDEX('Structured 2025'!headerRow,1,COLUMN()),4,LEN(INDEX('Structured 2025'!headerRow,1,COLUMN()))),ovrHeaderRow25,0))</f>
        <v>6.1</v>
      </c>
      <c r="AL72" s="12">
        <f>INDEX(ovrTable25,MATCH(INDEX('Structured 2025'!teamCol,ROW()),ovrTeamCol25,0),MATCH(MID(INDEX('Structured 2025'!headerRow,1,COLUMN()),4,LEN(INDEX('Structured 2025'!headerRow,1,COLUMN()))),ovrHeaderRow25,0))</f>
        <v>30.1</v>
      </c>
      <c r="AM72" s="12">
        <f>INDEX(ovrTable25,MATCH(INDEX('Structured 2025'!teamCol,ROW()),ovrTeamCol25,0),MATCH(MID(INDEX('Structured 2025'!headerRow,1,COLUMN()),4,LEN(INDEX('Structured 2025'!headerRow,1,COLUMN()))),ovrHeaderRow25,0))</f>
        <v>20.399999999999999</v>
      </c>
      <c r="AN72" s="12">
        <f>INDEX(ovrTable25,MATCH(INDEX('Structured 2025'!teamCol,ROW()),ovrTeamCol25,0),MATCH(MID(INDEX('Structured 2025'!headerRow,1,COLUMN()),4,LEN(INDEX('Structured 2025'!headerRow,1,COLUMN()))),ovrHeaderRow25,0))</f>
        <v>1.44</v>
      </c>
      <c r="AO72" s="12">
        <f>INDEX(ovrTable25,MATCH(INDEX('Structured 2025'!teamCol,ROW()),ovrTeamCol25,0),MATCH(MID(INDEX('Structured 2025'!headerRow,1,COLUMN()),4,LEN(INDEX('Structured 2025'!headerRow,1,COLUMN()))),ovrHeaderRow25,0))</f>
        <v>15.7</v>
      </c>
      <c r="AP72" s="12">
        <f>INDEX(ovrTable25,MATCH(INDEX('Structured 2025'!teamCol,ROW()),ovrTeamCol25,0),MATCH(MID(INDEX('Structured 2025'!headerRow,1,COLUMN()),4,LEN(INDEX('Structured 2025'!headerRow,1,COLUMN()))),ovrHeaderRow25,0))</f>
        <v>15.33</v>
      </c>
      <c r="AQ72" s="12">
        <f>INDEX(ovrTable25,MATCH(INDEX('Structured 2025'!teamCol,ROW()),ovrTeamCol25,0),MATCH(MID(INDEX('Structured 2025'!headerRow,1,COLUMN()),4,LEN(INDEX('Structured 2025'!headerRow,1,COLUMN()))),ovrHeaderRow25,0))</f>
        <v>5.2</v>
      </c>
      <c r="AR72" s="12">
        <f>INDEX(ovrTable25,MATCH(INDEX('Structured 2025'!teamCol,ROW()),ovrTeamCol25,0),MATCH(MID(INDEX('Structured 2025'!headerRow,1,COLUMN()),4,LEN(INDEX('Structured 2025'!headerRow,1,COLUMN()))),ovrHeaderRow25,0))</f>
        <v>39.700000000000003</v>
      </c>
      <c r="AS72" s="12">
        <f>INDEX(ovrTable25,MATCH(INDEX('Structured 2025'!teamCol,ROW()),ovrTeamCol25,0),MATCH(MID(INDEX('Structured 2025'!headerRow,1,COLUMN()),4,LEN(INDEX('Structured 2025'!headerRow,1,COLUMN()))),ovrHeaderRow25,0))</f>
        <v>26.44</v>
      </c>
      <c r="AT72" s="12">
        <f>INDEX(ovrTable25,MATCH(INDEX('Structured 2025'!teamCol,ROW()),ovrTeamCol25,0),MATCH(MID(INDEX('Structured 2025'!headerRow,1,COLUMN()),4,LEN(INDEX('Structured 2025'!headerRow,1,COLUMN()))),ovrHeaderRow25,0))</f>
        <v>0.49199999999999999</v>
      </c>
      <c r="AU72" s="12">
        <f>INDEX(ovrTable25,MATCH(INDEX('Structured 2025'!teamCol,ROW()),ovrTeamCol25,0),MATCH(MID(INDEX('Structured 2025'!headerRow,1,COLUMN()),4,LEN(INDEX('Structured 2025'!headerRow,1,COLUMN()))),ovrHeaderRow25,0))</f>
        <v>12.89</v>
      </c>
      <c r="AV72" s="12">
        <f>INDEX(ovrTable25,MATCH(INDEX('Structured 2025'!teamCol,ROW()),ovrTeamCol25,0),MATCH(MID(INDEX('Structured 2025'!headerRow,1,COLUMN()),4,LEN(INDEX('Structured 2025'!headerRow,1,COLUMN()))),ovrHeaderRow25,0))</f>
        <v>44.5</v>
      </c>
      <c r="AW72" s="12">
        <f>INDEX(ovrTable25,MATCH(INDEX('Structured 2025'!teamCol,ROW()),ovrTeamCol25,0),MATCH(MID(INDEX('Structured 2025'!headerRow,1,COLUMN()),4,LEN(INDEX('Structured 2025'!headerRow,1,COLUMN()))),ovrHeaderRow25,0))</f>
        <v>16.7</v>
      </c>
      <c r="AX72" s="12">
        <f>INDEX(ovrTable25,MATCH(INDEX('Structured 2025'!teamCol,ROW()),ovrTeamCol25,0),MATCH(MID(INDEX('Structured 2025'!headerRow,1,COLUMN()),4,LEN(INDEX('Structured 2025'!headerRow,1,COLUMN()))),ovrHeaderRow25,0))</f>
        <v>69.099999999999994</v>
      </c>
      <c r="AY72" s="12">
        <f>INDEX(ovrTable25,MATCH(INDEX('Structured 2025'!teamCol,ROW()),ovrTeamCol25,0),MATCH(MID(INDEX('Structured 2025'!headerRow,1,COLUMN()),4,LEN(INDEX('Structured 2025'!headerRow,1,COLUMN()))),ovrHeaderRow25,0))</f>
        <v>19.899999999999999</v>
      </c>
      <c r="AZ72" s="12">
        <f>INDEX(ovrTable25,MATCH(INDEX('Structured 2025'!teamCol,ROW()),ovrTeamCol25,0),MATCH(MID(INDEX('Structured 2025'!headerRow,1,COLUMN()),4,LEN(INDEX('Structured 2025'!headerRow,1,COLUMN()))),ovrHeaderRow25,0))</f>
        <v>13.8</v>
      </c>
      <c r="BA72" s="12">
        <f>INDEX(ovrTable25,MATCH(INDEX('Structured 2025'!teamCol,ROW()),ovrTeamCol25,0),MATCH(MID(INDEX('Structured 2025'!headerRow,1,COLUMN()),4,LEN(INDEX('Structured 2025'!headerRow,1,COLUMN()))),ovrHeaderRow25,0))</f>
        <v>65.8</v>
      </c>
      <c r="BB72" s="12">
        <f>INDEX(ovrTable25,MATCH(INDEX('Structured 2025'!teamCol,ROW()),ovrTeamCol25,0),MATCH(MID(INDEX('Structured 2025'!headerRow,1,COLUMN()),4,LEN(INDEX('Structured 2025'!headerRow,1,COLUMN()))),ovrHeaderRow25,0))</f>
        <v>14.86</v>
      </c>
      <c r="BC72" s="12">
        <f>INDEX(ovrTable25,MATCH(INDEX('Structured 2025'!teamCol,ROW()),ovrTeamCol25,0),MATCH(MID(INDEX('Structured 2025'!headerRow,1,COLUMN()),4,LEN(INDEX('Structured 2025'!headerRow,1,COLUMN()))),ovrHeaderRow25,0))</f>
        <v>78.5</v>
      </c>
      <c r="BD72" s="12">
        <f>INDEX(ovrTable25,MATCH(INDEX('Structured 2025'!teamCol,ROW()),ovrTeamCol25,0),MATCH(MID(INDEX('Structured 2025'!headerRow,1,COLUMN()),4,LEN(INDEX('Structured 2025'!headerRow,1,COLUMN()))),ovrHeaderRow25,0))</f>
        <v>5.8</v>
      </c>
      <c r="BE72" s="12">
        <f>INDEX(ovrTable25,MATCH(INDEX('Structured 2025'!teamCol,ROW()),ovrTeamCol25,0),MATCH(MID(INDEX('Structured 2025'!headerRow,1,COLUMN()),4,LEN(INDEX('Structured 2025'!headerRow,1,COLUMN()))),ovrHeaderRow25,0))</f>
        <v>41.31</v>
      </c>
      <c r="BF72" s="12">
        <f>INDEX(ovrTable25,MATCH(INDEX('Structured 2025'!teamCol,ROW()),ovrTeamCol25,0),MATCH(MID(INDEX('Structured 2025'!headerRow,1,COLUMN()),4,LEN(INDEX('Structured 2025'!headerRow,1,COLUMN()))),ovrHeaderRow25,0))</f>
        <v>12.7</v>
      </c>
      <c r="BG72" s="12">
        <f>INDEX(ovrTable25,MATCH(INDEX('Structured 2025'!teamCol,ROW()),ovrTeamCol25,0),MATCH(MID(INDEX('Structured 2025'!headerRow,1,COLUMN()),4,LEN(INDEX('Structured 2025'!headerRow,1,COLUMN()))),ovrHeaderRow25,0))</f>
        <v>8.9</v>
      </c>
      <c r="BH72" s="12">
        <f>INDEX(ovrTable25,MATCH(INDEX('Structured 2025'!teamCol,ROW()),ovrTeamCol25,0),MATCH(MID(INDEX('Structured 2025'!headerRow,1,COLUMN()),4,LEN(INDEX('Structured 2025'!headerRow,1,COLUMN()))),ovrHeaderRow25,0))</f>
        <v>4.3</v>
      </c>
      <c r="BI72" s="12">
        <f>INDEX(ovrTable25,MATCH(INDEX('Structured 2025'!teamCol,ROW()),ovrTeamCol25,0),MATCH(MID(INDEX('Structured 2025'!headerRow,1,COLUMN()),4,LEN(INDEX('Structured 2025'!headerRow,1,COLUMN()))),ovrHeaderRow25,0))</f>
        <v>15.19</v>
      </c>
      <c r="BJ72" s="12">
        <f>INDEX(ovrTable25,MATCH(INDEX('Structured 2025'!teamCol,ROW()),ovrTeamCol25,0),MATCH(MID(INDEX('Structured 2025'!headerRow,1,COLUMN()),4,LEN(INDEX('Structured 2025'!headerRow,1,COLUMN()))),ovrHeaderRow25,0))</f>
        <v>10.9</v>
      </c>
      <c r="BK72" s="12">
        <f>INDEX(ovrTable25,MATCH(INDEX('Structured 2025'!teamCol,ROW()),ovrTeamCol25,0),MATCH(MID(INDEX('Structured 2025'!headerRow,1,COLUMN()),4,LEN(INDEX('Structured 2025'!headerRow,1,COLUMN()))),ovrHeaderRow25,0))</f>
        <v>70</v>
      </c>
      <c r="BL72" s="12">
        <f>INDEX(ovrTable25,MATCH(INDEX('Structured 2025'!teamCol,ROW()),ovrTeamCol25,0),MATCH(MID(INDEX('Structured 2025'!headerRow,1,COLUMN()),4,LEN(INDEX('Structured 2025'!headerRow,1,COLUMN()))),ovrHeaderRow25,0))</f>
        <v>23.200000000000003</v>
      </c>
      <c r="BM72" s="12">
        <f>INDEX(ovrTable25,MATCH(INDEX('Structured 2025'!teamCol,ROW()),ovrTeamCol25,0),MATCH(MID(INDEX('Structured 2025'!headerRow,1,COLUMN()),4,LEN(INDEX('Structured 2025'!headerRow,1,COLUMN()))),ovrHeaderRow25,0))</f>
        <v>65.842696629213492</v>
      </c>
      <c r="BN72" s="12">
        <f>INDEX(ovrTable25,MATCH(INDEX(oppCol,ROW()),ovrTeamCol25,0),MATCH(MID(INDEX('Structured 2025'!headerRow,1,COLUMN()),4,LEN(INDEX('Structured 2025'!headerRow,1,COLUMN()))),ovrHeaderRow25,0))</f>
        <v>34.799999999999997</v>
      </c>
      <c r="BO72" s="12">
        <f>INDEX(ovrTable25,MATCH(INDEX(oppCol,ROW()),ovrTeamCol25,0),MATCH(MID(INDEX('Structured 2025'!headerRow,1,COLUMN()),4,LEN(INDEX('Structured 2025'!headerRow,1,COLUMN()))),ovrHeaderRow25,0))</f>
        <v>8.1999999999999993</v>
      </c>
      <c r="BP72" s="12">
        <f>INDEX(ovrTable25,MATCH(INDEX(oppCol,ROW()),ovrTeamCol25,0),MATCH(MID(INDEX('Structured 2025'!headerRow,1,COLUMN()),4,LEN(INDEX('Structured 2025'!headerRow,1,COLUMN()))),ovrHeaderRow25,0))</f>
        <v>35.6</v>
      </c>
      <c r="BQ72" s="12">
        <f>INDEX(ovrTable25,MATCH(INDEX(oppCol,ROW()),ovrTeamCol25,0),MATCH(MID(INDEX('Structured 2025'!headerRow,1,COLUMN()),4,LEN(INDEX('Structured 2025'!headerRow,1,COLUMN()))),ovrHeaderRow25,0))</f>
        <v>23.1</v>
      </c>
      <c r="BR72" s="12">
        <f>INDEX(ovrTable25,MATCH(INDEX(oppCol,ROW()),ovrTeamCol25,0),MATCH(MID(INDEX('Structured 2025'!headerRow,1,COLUMN()),4,LEN(INDEX('Structured 2025'!headerRow,1,COLUMN()))),ovrHeaderRow25,0))</f>
        <v>1.23</v>
      </c>
      <c r="BS72" s="12">
        <f>INDEX(ovrTable25,MATCH(INDEX(oppCol,ROW()),ovrTeamCol25,0),MATCH(MID(INDEX('Structured 2025'!headerRow,1,COLUMN()),4,LEN(INDEX('Structured 2025'!headerRow,1,COLUMN()))),ovrHeaderRow25,0))</f>
        <v>13.3</v>
      </c>
      <c r="BT72" s="12">
        <f>INDEX(ovrTable25,MATCH(INDEX(oppCol,ROW()),ovrTeamCol25,0),MATCH(MID(INDEX('Structured 2025'!headerRow,1,COLUMN()),4,LEN(INDEX('Structured 2025'!headerRow,1,COLUMN()))),ovrHeaderRow25,0))</f>
        <v>20.71</v>
      </c>
      <c r="BU72" s="12">
        <f>INDEX(ovrTable25,MATCH(INDEX(oppCol,ROW()),ovrTeamCol25,0),MATCH(MID(INDEX('Structured 2025'!headerRow,1,COLUMN()),4,LEN(INDEX('Structured 2025'!headerRow,1,COLUMN()))),ovrHeaderRow25,0))</f>
        <v>2.2999999999999998</v>
      </c>
      <c r="BV72" s="12">
        <f>INDEX(ovrTable25,MATCH(INDEX(oppCol,ROW()),ovrTeamCol25,0),MATCH(MID(INDEX('Structured 2025'!headerRow,1,COLUMN()),4,LEN(INDEX('Structured 2025'!headerRow,1,COLUMN()))),ovrHeaderRow25,0))</f>
        <v>44.8</v>
      </c>
      <c r="BW72" s="12">
        <f>INDEX(ovrTable25,MATCH(INDEX(oppCol,ROW()),ovrTeamCol25,0),MATCH(MID(INDEX('Structured 2025'!headerRow,1,COLUMN()),4,LEN(INDEX('Structured 2025'!headerRow,1,COLUMN()))),ovrHeaderRow25,0))</f>
        <v>25.54</v>
      </c>
      <c r="BX72" s="12">
        <f>INDEX(ovrTable25,MATCH(INDEX(oppCol,ROW()),ovrTeamCol25,0),MATCH(MID(INDEX('Structured 2025'!headerRow,1,COLUMN()),4,LEN(INDEX('Structured 2025'!headerRow,1,COLUMN()))),ovrHeaderRow25,0))</f>
        <v>0.52900000000000003</v>
      </c>
      <c r="BY72" s="12">
        <f>INDEX(ovrTable25,MATCH(INDEX(oppCol,ROW()),ovrTeamCol25,0),MATCH(MID(INDEX('Structured 2025'!headerRow,1,COLUMN()),4,LEN(INDEX('Structured 2025'!headerRow,1,COLUMN()))),ovrHeaderRow25,0))</f>
        <v>9.74</v>
      </c>
      <c r="BZ72" s="12">
        <f>INDEX(ovrTable25,MATCH(INDEX(oppCol,ROW()),ovrTeamCol25,0),MATCH(MID(INDEX('Structured 2025'!headerRow,1,COLUMN()),4,LEN(INDEX('Structured 2025'!headerRow,1,COLUMN()))),ovrHeaderRow25,0))</f>
        <v>45.9</v>
      </c>
      <c r="CA72" s="12">
        <f>INDEX(ovrTable25,MATCH(INDEX(oppCol,ROW()),ovrTeamCol25,0),MATCH(MID(INDEX('Structured 2025'!headerRow,1,COLUMN()),4,LEN(INDEX('Structured 2025'!headerRow,1,COLUMN()))),ovrHeaderRow25,0))</f>
        <v>18.3</v>
      </c>
      <c r="CB72" s="12">
        <f>INDEX(ovrTable25,MATCH(INDEX(oppCol,ROW()),ovrTeamCol25,0),MATCH(MID(INDEX('Structured 2025'!headerRow,1,COLUMN()),4,LEN(INDEX('Structured 2025'!headerRow,1,COLUMN()))),ovrHeaderRow25,0))</f>
        <v>72.2</v>
      </c>
      <c r="CC72" s="12">
        <f>INDEX(ovrTable25,MATCH(INDEX(oppCol,ROW()),ovrTeamCol25,0),MATCH(MID(INDEX('Structured 2025'!headerRow,1,COLUMN()),4,LEN(INDEX('Structured 2025'!headerRow,1,COLUMN()))),ovrHeaderRow25,0))</f>
        <v>21.3</v>
      </c>
      <c r="CD72" s="12">
        <f>INDEX(ovrTable25,MATCH(INDEX(oppCol,ROW()),ovrTeamCol25,0),MATCH(MID(INDEX('Structured 2025'!headerRow,1,COLUMN()),4,LEN(INDEX('Structured 2025'!headerRow,1,COLUMN()))),ovrHeaderRow25,0))</f>
        <v>15.3</v>
      </c>
      <c r="CE72" s="12">
        <f>INDEX(ovrTable25,MATCH(INDEX(oppCol,ROW()),ovrTeamCol25,0),MATCH(MID(INDEX('Structured 2025'!headerRow,1,COLUMN()),4,LEN(INDEX('Structured 2025'!headerRow,1,COLUMN()))),ovrHeaderRow25,0))</f>
        <v>75.3</v>
      </c>
      <c r="CF72" s="12">
        <f>INDEX(ovrTable25,MATCH(INDEX(oppCol,ROW()),ovrTeamCol25,0),MATCH(MID(INDEX('Structured 2025'!headerRow,1,COLUMN()),4,LEN(INDEX('Structured 2025'!headerRow,1,COLUMN()))),ovrHeaderRow25,0))</f>
        <v>10.29</v>
      </c>
      <c r="CG72" s="12">
        <f>INDEX(ovrTable25,MATCH(INDEX(oppCol,ROW()),ovrTeamCol25,0),MATCH(MID(INDEX('Structured 2025'!headerRow,1,COLUMN()),4,LEN(INDEX('Structured 2025'!headerRow,1,COLUMN()))),ovrHeaderRow25,0))</f>
        <v>77.3</v>
      </c>
      <c r="CH72" s="12">
        <f>INDEX(ovrTable25,MATCH(INDEX(oppCol,ROW()),ovrTeamCol25,0),MATCH(MID(INDEX('Structured 2025'!headerRow,1,COLUMN()),4,LEN(INDEX('Structured 2025'!headerRow,1,COLUMN()))),ovrHeaderRow25,0))</f>
        <v>2.7</v>
      </c>
      <c r="CI72" s="12">
        <f>INDEX(ovrTable25,MATCH(INDEX(oppCol,ROW()),ovrTeamCol25,0),MATCH(MID(INDEX('Structured 2025'!headerRow,1,COLUMN()),4,LEN(INDEX('Structured 2025'!headerRow,1,COLUMN()))),ovrHeaderRow25,0))</f>
        <v>35.83</v>
      </c>
      <c r="CJ72" s="12">
        <f>INDEX(ovrTable25,MATCH(INDEX(oppCol,ROW()),ovrTeamCol25,0),MATCH(MID(INDEX('Structured 2025'!headerRow,1,COLUMN()),4,LEN(INDEX('Structured 2025'!headerRow,1,COLUMN()))),ovrHeaderRow25,0))</f>
        <v>2.1</v>
      </c>
      <c r="CK72" s="12">
        <f>INDEX(ovrTable25,MATCH(INDEX(oppCol,ROW()),ovrTeamCol25,0),MATCH(MID(INDEX('Structured 2025'!headerRow,1,COLUMN()),4,LEN(INDEX('Structured 2025'!headerRow,1,COLUMN()))),ovrHeaderRow25,0))</f>
        <v>5.9</v>
      </c>
      <c r="CL72" s="12">
        <f>INDEX(ovrTable25,MATCH(INDEX(oppCol,ROW()),ovrTeamCol25,0),MATCH(MID(INDEX('Structured 2025'!headerRow,1,COLUMN()),4,LEN(INDEX('Structured 2025'!headerRow,1,COLUMN()))),ovrHeaderRow25,0))</f>
        <v>-0.5</v>
      </c>
      <c r="CM72" s="12">
        <f>INDEX(ovrTable25,MATCH(INDEX(oppCol,ROW()),ovrTeamCol25,0),MATCH(MID(INDEX('Structured 2025'!headerRow,1,COLUMN()),4,LEN(INDEX('Structured 2025'!headerRow,1,COLUMN()))),ovrHeaderRow25,0))</f>
        <v>10.37</v>
      </c>
      <c r="CN72" s="12">
        <f>INDEX(ovrTable25,MATCH(INDEX(oppCol,ROW()),ovrTeamCol25,0),MATCH(MID(INDEX('Structured 2025'!headerRow,1,COLUMN()),4,LEN(INDEX('Structured 2025'!headerRow,1,COLUMN()))),ovrHeaderRow25,0))</f>
        <v>10.8</v>
      </c>
      <c r="CO72" s="12">
        <f>INDEX(ovrTable25,MATCH(INDEX(oppCol,ROW()),ovrTeamCol25,0),MATCH(MID(INDEX('Structured 2025'!headerRow,1,COLUMN()),4,LEN(INDEX('Structured 2025'!headerRow,1,COLUMN()))),ovrHeaderRow25,0))</f>
        <v>67.7</v>
      </c>
      <c r="CP72" s="12">
        <f>INDEX(ovrTable25,MATCH(INDEX(oppCol,ROW()),ovrTeamCol25,0),MATCH(MID(INDEX('Structured 2025'!headerRow,1,COLUMN()),4,LEN(INDEX('Structured 2025'!headerRow,1,COLUMN()))),ovrHeaderRow25,0))</f>
        <v>18.700000000000003</v>
      </c>
      <c r="CQ72" s="12">
        <f>INDEX(ovrTable25,MATCH(INDEX(oppCol,ROW()),ovrTeamCol25,0),MATCH(MID(INDEX('Structured 2025'!headerRow,1,COLUMN()),4,LEN(INDEX('Structured 2025'!headerRow,1,COLUMN()))),ovrHeaderRow25,0))</f>
        <v>58.605664488017432</v>
      </c>
    </row>
    <row r="73" spans="1:95" x14ac:dyDescent="0.3">
      <c r="A73" s="6" t="s">
        <v>506</v>
      </c>
      <c r="B73" s="3">
        <v>15</v>
      </c>
      <c r="C73" s="13" t="str">
        <f>A72</f>
        <v>SJU</v>
      </c>
      <c r="D73" s="14">
        <f t="shared" si="26"/>
        <v>36</v>
      </c>
      <c r="E73" s="23">
        <v>0.3783783783783784</v>
      </c>
      <c r="F73" s="24">
        <v>25.714285714285712</v>
      </c>
      <c r="G73" s="24">
        <v>5</v>
      </c>
      <c r="H73" s="23">
        <v>13.888888888888889</v>
      </c>
      <c r="I73" s="24">
        <v>36</v>
      </c>
      <c r="J73" s="25">
        <v>1.4285714285714286</v>
      </c>
      <c r="K73" s="24">
        <v>12</v>
      </c>
      <c r="L73" s="24">
        <v>19</v>
      </c>
      <c r="M73" s="24">
        <v>24</v>
      </c>
      <c r="N73" s="24">
        <v>21</v>
      </c>
      <c r="O73" s="24">
        <v>10</v>
      </c>
      <c r="P73" s="24">
        <v>4</v>
      </c>
      <c r="Q73" s="24">
        <v>0</v>
      </c>
      <c r="R73" s="24">
        <v>7</v>
      </c>
      <c r="S73" s="24">
        <v>0</v>
      </c>
      <c r="T73" s="24">
        <v>15</v>
      </c>
      <c r="U73" s="24">
        <v>6</v>
      </c>
      <c r="V73" s="24">
        <v>0.453125</v>
      </c>
      <c r="W73" s="26">
        <v>0.29285714285714287</v>
      </c>
      <c r="X73" s="23">
        <v>63.157894736842103</v>
      </c>
      <c r="Y73" s="24">
        <v>83</v>
      </c>
      <c r="Z73" s="24">
        <v>53</v>
      </c>
      <c r="AA73" s="24">
        <v>-2</v>
      </c>
      <c r="AB73" s="24">
        <v>45</v>
      </c>
      <c r="AC73" s="24">
        <v>-30</v>
      </c>
      <c r="AD73" s="24">
        <v>1</v>
      </c>
      <c r="AE73" s="24">
        <v>8</v>
      </c>
      <c r="AF73" s="34">
        <f t="shared" si="69"/>
        <v>13</v>
      </c>
      <c r="AG73" s="34">
        <f t="shared" si="70"/>
        <v>34</v>
      </c>
      <c r="AH73" s="46">
        <f t="shared" si="71"/>
        <v>62.024999999999999</v>
      </c>
      <c r="AI73" s="51">
        <f t="shared" ref="AI73" si="79">AVERAGE(AH72,AH73)</f>
        <v>63.075000000000003</v>
      </c>
      <c r="AJ73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K73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73" s="12">
        <f>INDEX(ovrTable25,MATCH(INDEX('Structured 2025'!teamCol,ROW()),ovrTeamCol25,0),MATCH(MID(INDEX('Structured 2025'!headerRow,1,COLUMN()),4,LEN(INDEX('Structured 2025'!headerRow,1,COLUMN()))),ovrHeaderRow25,0))</f>
        <v>35.6</v>
      </c>
      <c r="AM73" s="12">
        <f>INDEX(ovrTable25,MATCH(INDEX('Structured 2025'!teamCol,ROW()),ovrTeamCol25,0),MATCH(MID(INDEX('Structured 2025'!headerRow,1,COLUMN()),4,LEN(INDEX('Structured 2025'!headerRow,1,COLUMN()))),ovrHeaderRow25,0))</f>
        <v>23.1</v>
      </c>
      <c r="AN73" s="12">
        <f>INDEX(ovrTable25,MATCH(INDEX('Structured 2025'!teamCol,ROW()),ovrTeamCol25,0),MATCH(MID(INDEX('Structured 2025'!headerRow,1,COLUMN()),4,LEN(INDEX('Structured 2025'!headerRow,1,COLUMN()))),ovrHeaderRow25,0))</f>
        <v>1.23</v>
      </c>
      <c r="AO73" s="12">
        <f>INDEX(ovrTable25,MATCH(INDEX('Structured 2025'!teamCol,ROW()),ovrTeamCol25,0),MATCH(MID(INDEX('Structured 2025'!headerRow,1,COLUMN()),4,LEN(INDEX('Structured 2025'!headerRow,1,COLUMN()))),ovrHeaderRow25,0))</f>
        <v>13.3</v>
      </c>
      <c r="AP73" s="12">
        <f>INDEX(ovrTable25,MATCH(INDEX('Structured 2025'!teamCol,ROW()),ovrTeamCol25,0),MATCH(MID(INDEX('Structured 2025'!headerRow,1,COLUMN()),4,LEN(INDEX('Structured 2025'!headerRow,1,COLUMN()))),ovrHeaderRow25,0))</f>
        <v>20.71</v>
      </c>
      <c r="AQ73" s="12">
        <f>INDEX(ovrTable25,MATCH(INDEX('Structured 2025'!teamCol,ROW()),ovrTeamCol25,0),MATCH(MID(INDEX('Structured 2025'!headerRow,1,COLUMN()),4,LEN(INDEX('Structured 2025'!headerRow,1,COLUMN()))),ovrHeaderRow25,0))</f>
        <v>2.2999999999999998</v>
      </c>
      <c r="AR73" s="12">
        <f>INDEX(ovrTable25,MATCH(INDEX('Structured 2025'!teamCol,ROW()),ovrTeamCol25,0),MATCH(MID(INDEX('Structured 2025'!headerRow,1,COLUMN()),4,LEN(INDEX('Structured 2025'!headerRow,1,COLUMN()))),ovrHeaderRow25,0))</f>
        <v>44.8</v>
      </c>
      <c r="AS73" s="12">
        <f>INDEX(ovrTable25,MATCH(INDEX('Structured 2025'!teamCol,ROW()),ovrTeamCol25,0),MATCH(MID(INDEX('Structured 2025'!headerRow,1,COLUMN()),4,LEN(INDEX('Structured 2025'!headerRow,1,COLUMN()))),ovrHeaderRow25,0))</f>
        <v>25.54</v>
      </c>
      <c r="AT73" s="12">
        <f>INDEX(ovrTable25,MATCH(INDEX('Structured 2025'!teamCol,ROW()),ovrTeamCol25,0),MATCH(MID(INDEX('Structured 2025'!headerRow,1,COLUMN()),4,LEN(INDEX('Structured 2025'!headerRow,1,COLUMN()))),ovrHeaderRow25,0))</f>
        <v>0.52900000000000003</v>
      </c>
      <c r="AU73" s="12">
        <f>INDEX(ovrTable25,MATCH(INDEX('Structured 2025'!teamCol,ROW()),ovrTeamCol25,0),MATCH(MID(INDEX('Structured 2025'!headerRow,1,COLUMN()),4,LEN(INDEX('Structured 2025'!headerRow,1,COLUMN()))),ovrHeaderRow25,0))</f>
        <v>9.74</v>
      </c>
      <c r="AV73" s="12">
        <f>INDEX(ovrTable25,MATCH(INDEX('Structured 2025'!teamCol,ROW()),ovrTeamCol25,0),MATCH(MID(INDEX('Structured 2025'!headerRow,1,COLUMN()),4,LEN(INDEX('Structured 2025'!headerRow,1,COLUMN()))),ovrHeaderRow25,0))</f>
        <v>45.9</v>
      </c>
      <c r="AW73" s="12">
        <f>INDEX(ovrTable25,MATCH(INDEX('Structured 2025'!teamCol,ROW()),ovrTeamCol25,0),MATCH(MID(INDEX('Structured 2025'!headerRow,1,COLUMN()),4,LEN(INDEX('Structured 2025'!headerRow,1,COLUMN()))),ovrHeaderRow25,0))</f>
        <v>18.3</v>
      </c>
      <c r="AX73" s="12">
        <f>INDEX(ovrTable25,MATCH(INDEX('Structured 2025'!teamCol,ROW()),ovrTeamCol25,0),MATCH(MID(INDEX('Structured 2025'!headerRow,1,COLUMN()),4,LEN(INDEX('Structured 2025'!headerRow,1,COLUMN()))),ovrHeaderRow25,0))</f>
        <v>72.2</v>
      </c>
      <c r="AY73" s="12">
        <f>INDEX(ovrTable25,MATCH(INDEX('Structured 2025'!teamCol,ROW()),ovrTeamCol25,0),MATCH(MID(INDEX('Structured 2025'!headerRow,1,COLUMN()),4,LEN(INDEX('Structured 2025'!headerRow,1,COLUMN()))),ovrHeaderRow25,0))</f>
        <v>21.3</v>
      </c>
      <c r="AZ73" s="12">
        <f>INDEX(ovrTable25,MATCH(INDEX('Structured 2025'!teamCol,ROW()),ovrTeamCol25,0),MATCH(MID(INDEX('Structured 2025'!headerRow,1,COLUMN()),4,LEN(INDEX('Structured 2025'!headerRow,1,COLUMN()))),ovrHeaderRow25,0))</f>
        <v>15.3</v>
      </c>
      <c r="BA73" s="12">
        <f>INDEX(ovrTable25,MATCH(INDEX('Structured 2025'!teamCol,ROW()),ovrTeamCol25,0),MATCH(MID(INDEX('Structured 2025'!headerRow,1,COLUMN()),4,LEN(INDEX('Structured 2025'!headerRow,1,COLUMN()))),ovrHeaderRow25,0))</f>
        <v>75.3</v>
      </c>
      <c r="BB73" s="12">
        <f>INDEX(ovrTable25,MATCH(INDEX('Structured 2025'!teamCol,ROW()),ovrTeamCol25,0),MATCH(MID(INDEX('Structured 2025'!headerRow,1,COLUMN()),4,LEN(INDEX('Structured 2025'!headerRow,1,COLUMN()))),ovrHeaderRow25,0))</f>
        <v>10.29</v>
      </c>
      <c r="BC73" s="12">
        <f>INDEX(ovrTable25,MATCH(INDEX('Structured 2025'!teamCol,ROW()),ovrTeamCol25,0),MATCH(MID(INDEX('Structured 2025'!headerRow,1,COLUMN()),4,LEN(INDEX('Structured 2025'!headerRow,1,COLUMN()))),ovrHeaderRow25,0))</f>
        <v>77.3</v>
      </c>
      <c r="BD73" s="12">
        <f>INDEX(ovrTable25,MATCH(INDEX('Structured 2025'!teamCol,ROW()),ovrTeamCol25,0),MATCH(MID(INDEX('Structured 2025'!headerRow,1,COLUMN()),4,LEN(INDEX('Structured 2025'!headerRow,1,COLUMN()))),ovrHeaderRow25,0))</f>
        <v>2.7</v>
      </c>
      <c r="BE73" s="12">
        <f>INDEX(ovrTable25,MATCH(INDEX('Structured 2025'!teamCol,ROW()),ovrTeamCol25,0),MATCH(MID(INDEX('Structured 2025'!headerRow,1,COLUMN()),4,LEN(INDEX('Structured 2025'!headerRow,1,COLUMN()))),ovrHeaderRow25,0))</f>
        <v>35.83</v>
      </c>
      <c r="BF73" s="12">
        <f>INDEX(ovrTable25,MATCH(INDEX('Structured 2025'!teamCol,ROW()),ovrTeamCol25,0),MATCH(MID(INDEX('Structured 2025'!headerRow,1,COLUMN()),4,LEN(INDEX('Structured 2025'!headerRow,1,COLUMN()))),ovrHeaderRow25,0))</f>
        <v>2.1</v>
      </c>
      <c r="BG73" s="12">
        <f>INDEX(ovrTable25,MATCH(INDEX('Structured 2025'!teamCol,ROW()),ovrTeamCol25,0),MATCH(MID(INDEX('Structured 2025'!headerRow,1,COLUMN()),4,LEN(INDEX('Structured 2025'!headerRow,1,COLUMN()))),ovrHeaderRow25,0))</f>
        <v>5.9</v>
      </c>
      <c r="BH73" s="12">
        <f>INDEX(ovrTable25,MATCH(INDEX('Structured 2025'!teamCol,ROW()),ovrTeamCol25,0),MATCH(MID(INDEX('Structured 2025'!headerRow,1,COLUMN()),4,LEN(INDEX('Structured 2025'!headerRow,1,COLUMN()))),ovrHeaderRow25,0))</f>
        <v>-0.5</v>
      </c>
      <c r="BI73" s="12">
        <f>INDEX(ovrTable25,MATCH(INDEX('Structured 2025'!teamCol,ROW()),ovrTeamCol25,0),MATCH(MID(INDEX('Structured 2025'!headerRow,1,COLUMN()),4,LEN(INDEX('Structured 2025'!headerRow,1,COLUMN()))),ovrHeaderRow25,0))</f>
        <v>10.37</v>
      </c>
      <c r="BJ73" s="12">
        <f>INDEX(ovrTable25,MATCH(INDEX('Structured 2025'!teamCol,ROW()),ovrTeamCol25,0),MATCH(MID(INDEX('Structured 2025'!headerRow,1,COLUMN()),4,LEN(INDEX('Structured 2025'!headerRow,1,COLUMN()))),ovrHeaderRow25,0))</f>
        <v>10.8</v>
      </c>
      <c r="BK73" s="12">
        <f>INDEX(ovrTable25,MATCH(INDEX('Structured 2025'!teamCol,ROW()),ovrTeamCol25,0),MATCH(MID(INDEX('Structured 2025'!headerRow,1,COLUMN()),4,LEN(INDEX('Structured 2025'!headerRow,1,COLUMN()))),ovrHeaderRow25,0))</f>
        <v>67.7</v>
      </c>
      <c r="BL73" s="12">
        <f>INDEX(ovrTable25,MATCH(INDEX('Structured 2025'!teamCol,ROW()),ovrTeamCol25,0),MATCH(MID(INDEX('Structured 2025'!headerRow,1,COLUMN()),4,LEN(INDEX('Structured 2025'!headerRow,1,COLUMN()))),ovrHeaderRow25,0))</f>
        <v>18.700000000000003</v>
      </c>
      <c r="BM73" s="12">
        <f>INDEX(ovrTable25,MATCH(INDEX('Structured 2025'!teamCol,ROW()),ovrTeamCol25,0),MATCH(MID(INDEX('Structured 2025'!headerRow,1,COLUMN()),4,LEN(INDEX('Structured 2025'!headerRow,1,COLUMN()))),ovrHeaderRow25,0))</f>
        <v>58.605664488017432</v>
      </c>
      <c r="BN73" s="12">
        <f>INDEX(ovrTable25,MATCH(INDEX(oppCol,ROW()),ovrTeamCol25,0),MATCH(MID(INDEX('Structured 2025'!headerRow,1,COLUMN()),4,LEN(INDEX('Structured 2025'!headerRow,1,COLUMN()))),ovrHeaderRow25,0))</f>
        <v>30.6</v>
      </c>
      <c r="BO73" s="12">
        <f>INDEX(ovrTable25,MATCH(INDEX(oppCol,ROW()),ovrTeamCol25,0),MATCH(MID(INDEX('Structured 2025'!headerRow,1,COLUMN()),4,LEN(INDEX('Structured 2025'!headerRow,1,COLUMN()))),ovrHeaderRow25,0))</f>
        <v>6.1</v>
      </c>
      <c r="BP73" s="12">
        <f>INDEX(ovrTable25,MATCH(INDEX(oppCol,ROW()),ovrTeamCol25,0),MATCH(MID(INDEX('Structured 2025'!headerRow,1,COLUMN()),4,LEN(INDEX('Structured 2025'!headerRow,1,COLUMN()))),ovrHeaderRow25,0))</f>
        <v>30.1</v>
      </c>
      <c r="BQ73" s="12">
        <f>INDEX(ovrTable25,MATCH(INDEX(oppCol,ROW()),ovrTeamCol25,0),MATCH(MID(INDEX('Structured 2025'!headerRow,1,COLUMN()),4,LEN(INDEX('Structured 2025'!headerRow,1,COLUMN()))),ovrHeaderRow25,0))</f>
        <v>20.399999999999999</v>
      </c>
      <c r="BR73" s="12">
        <f>INDEX(ovrTable25,MATCH(INDEX(oppCol,ROW()),ovrTeamCol25,0),MATCH(MID(INDEX('Structured 2025'!headerRow,1,COLUMN()),4,LEN(INDEX('Structured 2025'!headerRow,1,COLUMN()))),ovrHeaderRow25,0))</f>
        <v>1.44</v>
      </c>
      <c r="BS73" s="12">
        <f>INDEX(ovrTable25,MATCH(INDEX(oppCol,ROW()),ovrTeamCol25,0),MATCH(MID(INDEX('Structured 2025'!headerRow,1,COLUMN()),4,LEN(INDEX('Structured 2025'!headerRow,1,COLUMN()))),ovrHeaderRow25,0))</f>
        <v>15.7</v>
      </c>
      <c r="BT73" s="12">
        <f>INDEX(ovrTable25,MATCH(INDEX(oppCol,ROW()),ovrTeamCol25,0),MATCH(MID(INDEX('Structured 2025'!headerRow,1,COLUMN()),4,LEN(INDEX('Structured 2025'!headerRow,1,COLUMN()))),ovrHeaderRow25,0))</f>
        <v>15.33</v>
      </c>
      <c r="BU73" s="12">
        <f>INDEX(ovrTable25,MATCH(INDEX(oppCol,ROW()),ovrTeamCol25,0),MATCH(MID(INDEX('Structured 2025'!headerRow,1,COLUMN()),4,LEN(INDEX('Structured 2025'!headerRow,1,COLUMN()))),ovrHeaderRow25,0))</f>
        <v>5.2</v>
      </c>
      <c r="BV73" s="12">
        <f>INDEX(ovrTable25,MATCH(INDEX(oppCol,ROW()),ovrTeamCol25,0),MATCH(MID(INDEX('Structured 2025'!headerRow,1,COLUMN()),4,LEN(INDEX('Structured 2025'!headerRow,1,COLUMN()))),ovrHeaderRow25,0))</f>
        <v>39.700000000000003</v>
      </c>
      <c r="BW73" s="12">
        <f>INDEX(ovrTable25,MATCH(INDEX(oppCol,ROW()),ovrTeamCol25,0),MATCH(MID(INDEX('Structured 2025'!headerRow,1,COLUMN()),4,LEN(INDEX('Structured 2025'!headerRow,1,COLUMN()))),ovrHeaderRow25,0))</f>
        <v>26.44</v>
      </c>
      <c r="BX73" s="12">
        <f>INDEX(ovrTable25,MATCH(INDEX(oppCol,ROW()),ovrTeamCol25,0),MATCH(MID(INDEX('Structured 2025'!headerRow,1,COLUMN()),4,LEN(INDEX('Structured 2025'!headerRow,1,COLUMN()))),ovrHeaderRow25,0))</f>
        <v>0.49199999999999999</v>
      </c>
      <c r="BY73" s="12">
        <f>INDEX(ovrTable25,MATCH(INDEX(oppCol,ROW()),ovrTeamCol25,0),MATCH(MID(INDEX('Structured 2025'!headerRow,1,COLUMN()),4,LEN(INDEX('Structured 2025'!headerRow,1,COLUMN()))),ovrHeaderRow25,0))</f>
        <v>12.89</v>
      </c>
      <c r="BZ73" s="12">
        <f>INDEX(ovrTable25,MATCH(INDEX(oppCol,ROW()),ovrTeamCol25,0),MATCH(MID(INDEX('Structured 2025'!headerRow,1,COLUMN()),4,LEN(INDEX('Structured 2025'!headerRow,1,COLUMN()))),ovrHeaderRow25,0))</f>
        <v>44.5</v>
      </c>
      <c r="CA73" s="12">
        <f>INDEX(ovrTable25,MATCH(INDEX(oppCol,ROW()),ovrTeamCol25,0),MATCH(MID(INDEX('Structured 2025'!headerRow,1,COLUMN()),4,LEN(INDEX('Structured 2025'!headerRow,1,COLUMN()))),ovrHeaderRow25,0))</f>
        <v>16.7</v>
      </c>
      <c r="CB73" s="12">
        <f>INDEX(ovrTable25,MATCH(INDEX(oppCol,ROW()),ovrTeamCol25,0),MATCH(MID(INDEX('Structured 2025'!headerRow,1,COLUMN()),4,LEN(INDEX('Structured 2025'!headerRow,1,COLUMN()))),ovrHeaderRow25,0))</f>
        <v>69.099999999999994</v>
      </c>
      <c r="CC73" s="12">
        <f>INDEX(ovrTable25,MATCH(INDEX(oppCol,ROW()),ovrTeamCol25,0),MATCH(MID(INDEX('Structured 2025'!headerRow,1,COLUMN()),4,LEN(INDEX('Structured 2025'!headerRow,1,COLUMN()))),ovrHeaderRow25,0))</f>
        <v>19.899999999999999</v>
      </c>
      <c r="CD73" s="12">
        <f>INDEX(ovrTable25,MATCH(INDEX(oppCol,ROW()),ovrTeamCol25,0),MATCH(MID(INDEX('Structured 2025'!headerRow,1,COLUMN()),4,LEN(INDEX('Structured 2025'!headerRow,1,COLUMN()))),ovrHeaderRow25,0))</f>
        <v>13.8</v>
      </c>
      <c r="CE73" s="12">
        <f>INDEX(ovrTable25,MATCH(INDEX(oppCol,ROW()),ovrTeamCol25,0),MATCH(MID(INDEX('Structured 2025'!headerRow,1,COLUMN()),4,LEN(INDEX('Structured 2025'!headerRow,1,COLUMN()))),ovrHeaderRow25,0))</f>
        <v>65.8</v>
      </c>
      <c r="CF73" s="12">
        <f>INDEX(ovrTable25,MATCH(INDEX(oppCol,ROW()),ovrTeamCol25,0),MATCH(MID(INDEX('Structured 2025'!headerRow,1,COLUMN()),4,LEN(INDEX('Structured 2025'!headerRow,1,COLUMN()))),ovrHeaderRow25,0))</f>
        <v>14.86</v>
      </c>
      <c r="CG73" s="12">
        <f>INDEX(ovrTable25,MATCH(INDEX(oppCol,ROW()),ovrTeamCol25,0),MATCH(MID(INDEX('Structured 2025'!headerRow,1,COLUMN()),4,LEN(INDEX('Structured 2025'!headerRow,1,COLUMN()))),ovrHeaderRow25,0))</f>
        <v>78.5</v>
      </c>
      <c r="CH73" s="12">
        <f>INDEX(ovrTable25,MATCH(INDEX(oppCol,ROW()),ovrTeamCol25,0),MATCH(MID(INDEX('Structured 2025'!headerRow,1,COLUMN()),4,LEN(INDEX('Structured 2025'!headerRow,1,COLUMN()))),ovrHeaderRow25,0))</f>
        <v>5.8</v>
      </c>
      <c r="CI73" s="12">
        <f>INDEX(ovrTable25,MATCH(INDEX(oppCol,ROW()),ovrTeamCol25,0),MATCH(MID(INDEX('Structured 2025'!headerRow,1,COLUMN()),4,LEN(INDEX('Structured 2025'!headerRow,1,COLUMN()))),ovrHeaderRow25,0))</f>
        <v>41.31</v>
      </c>
      <c r="CJ73" s="12">
        <f>INDEX(ovrTable25,MATCH(INDEX(oppCol,ROW()),ovrTeamCol25,0),MATCH(MID(INDEX('Structured 2025'!headerRow,1,COLUMN()),4,LEN(INDEX('Structured 2025'!headerRow,1,COLUMN()))),ovrHeaderRow25,0))</f>
        <v>12.7</v>
      </c>
      <c r="CK73" s="12">
        <f>INDEX(ovrTable25,MATCH(INDEX(oppCol,ROW()),ovrTeamCol25,0),MATCH(MID(INDEX('Structured 2025'!headerRow,1,COLUMN()),4,LEN(INDEX('Structured 2025'!headerRow,1,COLUMN()))),ovrHeaderRow25,0))</f>
        <v>8.9</v>
      </c>
      <c r="CL73" s="12">
        <f>INDEX(ovrTable25,MATCH(INDEX(oppCol,ROW()),ovrTeamCol25,0),MATCH(MID(INDEX('Structured 2025'!headerRow,1,COLUMN()),4,LEN(INDEX('Structured 2025'!headerRow,1,COLUMN()))),ovrHeaderRow25,0))</f>
        <v>4.3</v>
      </c>
      <c r="CM73" s="12">
        <f>INDEX(ovrTable25,MATCH(INDEX(oppCol,ROW()),ovrTeamCol25,0),MATCH(MID(INDEX('Structured 2025'!headerRow,1,COLUMN()),4,LEN(INDEX('Structured 2025'!headerRow,1,COLUMN()))),ovrHeaderRow25,0))</f>
        <v>15.19</v>
      </c>
      <c r="CN73" s="12">
        <f>INDEX(ovrTable25,MATCH(INDEX(oppCol,ROW()),ovrTeamCol25,0),MATCH(MID(INDEX('Structured 2025'!headerRow,1,COLUMN()),4,LEN(INDEX('Structured 2025'!headerRow,1,COLUMN()))),ovrHeaderRow25,0))</f>
        <v>10.9</v>
      </c>
      <c r="CO73" s="12">
        <f>INDEX(ovrTable25,MATCH(INDEX(oppCol,ROW()),ovrTeamCol25,0),MATCH(MID(INDEX('Structured 2025'!headerRow,1,COLUMN()),4,LEN(INDEX('Structured 2025'!headerRow,1,COLUMN()))),ovrHeaderRow25,0))</f>
        <v>70</v>
      </c>
      <c r="CP73" s="12">
        <f>INDEX(ovrTable25,MATCH(INDEX(oppCol,ROW()),ovrTeamCol25,0),MATCH(MID(INDEX('Structured 2025'!headerRow,1,COLUMN()),4,LEN(INDEX('Structured 2025'!headerRow,1,COLUMN()))),ovrHeaderRow25,0))</f>
        <v>23.200000000000003</v>
      </c>
      <c r="CQ73" s="12">
        <f>INDEX(ovrTable25,MATCH(INDEX(oppCol,ROW()),ovrTeamCol25,0),MATCH(MID(INDEX('Structured 2025'!headerRow,1,COLUMN()),4,LEN(INDEX('Structured 2025'!headerRow,1,COLUMN()))),ovrHeaderRow25,0))</f>
        <v>65.842696629213492</v>
      </c>
    </row>
    <row r="74" spans="1:95" x14ac:dyDescent="0.3">
      <c r="A74" s="6" t="s">
        <v>5</v>
      </c>
      <c r="B74" s="3">
        <v>1</v>
      </c>
      <c r="C74" s="13" t="str">
        <f>A75</f>
        <v>CREI</v>
      </c>
      <c r="D74" s="14">
        <f t="shared" si="26"/>
        <v>37</v>
      </c>
      <c r="E74" s="23">
        <v>0.44444444444444442</v>
      </c>
      <c r="F74" s="24">
        <v>46.875</v>
      </c>
      <c r="G74" s="24">
        <v>7</v>
      </c>
      <c r="H74" s="23">
        <v>36.84210526315789</v>
      </c>
      <c r="I74" s="24">
        <v>19</v>
      </c>
      <c r="J74" s="25">
        <v>1.5714285714285714</v>
      </c>
      <c r="K74" s="24">
        <v>15</v>
      </c>
      <c r="L74" s="24">
        <v>21</v>
      </c>
      <c r="M74" s="24">
        <v>11</v>
      </c>
      <c r="N74" s="24">
        <v>26</v>
      </c>
      <c r="O74" s="24">
        <v>11</v>
      </c>
      <c r="P74" s="24">
        <v>5</v>
      </c>
      <c r="Q74" s="24">
        <v>4</v>
      </c>
      <c r="R74" s="24">
        <v>7</v>
      </c>
      <c r="S74" s="24">
        <v>9</v>
      </c>
      <c r="T74" s="24">
        <v>14</v>
      </c>
      <c r="U74" s="24">
        <v>31</v>
      </c>
      <c r="V74" s="24">
        <v>0.47169811320754718</v>
      </c>
      <c r="W74" s="26">
        <v>0.5234375</v>
      </c>
      <c r="X74" s="23">
        <v>71.428571428571431</v>
      </c>
      <c r="Y74" s="24">
        <v>70</v>
      </c>
      <c r="Z74" s="24">
        <v>82</v>
      </c>
      <c r="AA74" s="24">
        <v>10</v>
      </c>
      <c r="AB74" s="24">
        <v>37</v>
      </c>
      <c r="AC74" s="24">
        <v>12</v>
      </c>
      <c r="AD74" s="24">
        <v>4</v>
      </c>
      <c r="AE74" s="24">
        <v>11</v>
      </c>
      <c r="AF74" s="34">
        <f t="shared" si="69"/>
        <v>23</v>
      </c>
      <c r="AG74" s="34">
        <f t="shared" si="70"/>
        <v>45</v>
      </c>
      <c r="AH74" s="46">
        <f t="shared" si="71"/>
        <v>69.974999999999994</v>
      </c>
      <c r="AI74" s="51">
        <f t="shared" ref="AI74" si="80">AVERAGE(AH74,AH75)</f>
        <v>68.074999999999989</v>
      </c>
      <c r="AJ74" s="12">
        <f>INDEX(ovrTable25,MATCH(INDEX('Structured 2025'!teamCol,ROW()),ovrTeamCol25,0),MATCH(MID(INDEX('Structured 2025'!headerRow,1,COLUMN()),4,LEN(INDEX('Structured 2025'!headerRow,1,COLUMN()))),ovrHeaderRow25,0))</f>
        <v>35</v>
      </c>
      <c r="AK74" s="12">
        <f>INDEX(ovrTable25,MATCH(INDEX('Structured 2025'!teamCol,ROW()),ovrTeamCol25,0),MATCH(MID(INDEX('Structured 2025'!headerRow,1,COLUMN()),4,LEN(INDEX('Structured 2025'!headerRow,1,COLUMN()))),ovrHeaderRow25,0))</f>
        <v>8.5</v>
      </c>
      <c r="AL74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74" s="12">
        <f>INDEX(ovrTable25,MATCH(INDEX('Structured 2025'!teamCol,ROW()),ovrTeamCol25,0),MATCH(MID(INDEX('Structured 2025'!headerRow,1,COLUMN()),4,LEN(INDEX('Structured 2025'!headerRow,1,COLUMN()))),ovrHeaderRow25,0))</f>
        <v>24.5</v>
      </c>
      <c r="AN74" s="12">
        <f>INDEX(ovrTable25,MATCH(INDEX('Structured 2025'!teamCol,ROW()),ovrTeamCol25,0),MATCH(MID(INDEX('Structured 2025'!headerRow,1,COLUMN()),4,LEN(INDEX('Structured 2025'!headerRow,1,COLUMN()))),ovrHeaderRow25,0))</f>
        <v>1.56</v>
      </c>
      <c r="AO74" s="12">
        <f>INDEX(ovrTable25,MATCH(INDEX('Structured 2025'!teamCol,ROW()),ovrTeamCol25,0),MATCH(MID(INDEX('Structured 2025'!headerRow,1,COLUMN()),4,LEN(INDEX('Structured 2025'!headerRow,1,COLUMN()))),ovrHeaderRow25,0))</f>
        <v>17.3</v>
      </c>
      <c r="AP74" s="12">
        <f>INDEX(ovrTable25,MATCH(INDEX('Structured 2025'!teamCol,ROW()),ovrTeamCol25,0),MATCH(MID(INDEX('Structured 2025'!headerRow,1,COLUMN()),4,LEN(INDEX('Structured 2025'!headerRow,1,COLUMN()))),ovrHeaderRow25,0))</f>
        <v>20.74</v>
      </c>
      <c r="AQ74" s="12">
        <f>INDEX(ovrTable25,MATCH(INDEX('Structured 2025'!teamCol,ROW()),ovrTeamCol25,0),MATCH(MID(INDEX('Structured 2025'!headerRow,1,COLUMN()),4,LEN(INDEX('Structured 2025'!headerRow,1,COLUMN()))),ovrHeaderRow25,0))</f>
        <v>6.2</v>
      </c>
      <c r="AR74" s="12">
        <f>INDEX(ovrTable25,MATCH(INDEX('Structured 2025'!teamCol,ROW()),ovrTeamCol25,0),MATCH(MID(INDEX('Structured 2025'!headerRow,1,COLUMN()),4,LEN(INDEX('Structured 2025'!headerRow,1,COLUMN()))),ovrHeaderRow25,0))</f>
        <v>42.1</v>
      </c>
      <c r="AS74" s="12">
        <f>INDEX(ovrTable25,MATCH(INDEX('Structured 2025'!teamCol,ROW()),ovrTeamCol25,0),MATCH(MID(INDEX('Structured 2025'!headerRow,1,COLUMN()),4,LEN(INDEX('Structured 2025'!headerRow,1,COLUMN()))),ovrHeaderRow25,0))</f>
        <v>24.54</v>
      </c>
      <c r="AT74" s="12">
        <f>INDEX(ovrTable25,MATCH(INDEX('Structured 2025'!teamCol,ROW()),ovrTeamCol25,0),MATCH(MID(INDEX('Structured 2025'!headerRow,1,COLUMN()),4,LEN(INDEX('Structured 2025'!headerRow,1,COLUMN()))),ovrHeaderRow25,0))</f>
        <v>0.55000000000000004</v>
      </c>
      <c r="AU74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74" s="12">
        <f>INDEX(ovrTable25,MATCH(INDEX('Structured 2025'!teamCol,ROW()),ovrTeamCol25,0),MATCH(MID(INDEX('Structured 2025'!headerRow,1,COLUMN()),4,LEN(INDEX('Structured 2025'!headerRow,1,COLUMN()))),ovrHeaderRow25,0))</f>
        <v>47.5</v>
      </c>
      <c r="AW74" s="12">
        <f>INDEX(ovrTable25,MATCH(INDEX('Structured 2025'!teamCol,ROW()),ovrTeamCol25,0),MATCH(MID(INDEX('Structured 2025'!headerRow,1,COLUMN()),4,LEN(INDEX('Structured 2025'!headerRow,1,COLUMN()))),ovrHeaderRow25,0))</f>
        <v>18.3</v>
      </c>
      <c r="AX74" s="12">
        <f>INDEX(ovrTable25,MATCH(INDEX('Structured 2025'!teamCol,ROW()),ovrTeamCol25,0),MATCH(MID(INDEX('Structured 2025'!headerRow,1,COLUMN()),4,LEN(INDEX('Structured 2025'!headerRow,1,COLUMN()))),ovrHeaderRow25,0))</f>
        <v>79.099999999999994</v>
      </c>
      <c r="AY74" s="12">
        <f>INDEX(ovrTable25,MATCH(INDEX('Structured 2025'!teamCol,ROW()),ovrTeamCol25,0),MATCH(MID(INDEX('Structured 2025'!headerRow,1,COLUMN()),4,LEN(INDEX('Structured 2025'!headerRow,1,COLUMN()))),ovrHeaderRow25,0))</f>
        <v>17.7</v>
      </c>
      <c r="AZ74" s="12">
        <f>INDEX(ovrTable25,MATCH(INDEX('Structured 2025'!teamCol,ROW()),ovrTeamCol25,0),MATCH(MID(INDEX('Structured 2025'!headerRow,1,COLUMN()),4,LEN(INDEX('Structured 2025'!headerRow,1,COLUMN()))),ovrHeaderRow25,0))</f>
        <v>14</v>
      </c>
      <c r="BA74" s="12">
        <f>INDEX(ovrTable25,MATCH(INDEX('Structured 2025'!teamCol,ROW()),ovrTeamCol25,0),MATCH(MID(INDEX('Structured 2025'!headerRow,1,COLUMN()),4,LEN(INDEX('Structured 2025'!headerRow,1,COLUMN()))),ovrHeaderRow25,0))</f>
        <v>68</v>
      </c>
      <c r="BB74" s="12">
        <f>INDEX(ovrTable25,MATCH(INDEX('Structured 2025'!teamCol,ROW()),ovrTeamCol25,0),MATCH(MID(INDEX('Structured 2025'!headerRow,1,COLUMN()),4,LEN(INDEX('Structured 2025'!headerRow,1,COLUMN()))),ovrHeaderRow25,0))</f>
        <v>11.2</v>
      </c>
      <c r="BC74" s="12">
        <f>INDEX(ovrTable25,MATCH(INDEX('Structured 2025'!teamCol,ROW()),ovrTeamCol25,0),MATCH(MID(INDEX('Structured 2025'!headerRow,1,COLUMN()),4,LEN(INDEX('Structured 2025'!headerRow,1,COLUMN()))),ovrHeaderRow25,0))</f>
        <v>77</v>
      </c>
      <c r="BD74" s="12">
        <f>INDEX(ovrTable25,MATCH(INDEX('Structured 2025'!teamCol,ROW()),ovrTeamCol25,0),MATCH(MID(INDEX('Structured 2025'!headerRow,1,COLUMN()),4,LEN(INDEX('Structured 2025'!headerRow,1,COLUMN()))),ovrHeaderRow25,0))</f>
        <v>6</v>
      </c>
      <c r="BE74" s="12">
        <f>INDEX(ovrTable25,MATCH(INDEX('Structured 2025'!teamCol,ROW()),ovrTeamCol25,0),MATCH(MID(INDEX('Structured 2025'!headerRow,1,COLUMN()),4,LEN(INDEX('Structured 2025'!headerRow,1,COLUMN()))),ovrHeaderRow25,0))</f>
        <v>35.74</v>
      </c>
      <c r="BF74" s="12">
        <f>INDEX(ovrTable25,MATCH(INDEX('Structured 2025'!teamCol,ROW()),ovrTeamCol25,0),MATCH(MID(INDEX('Structured 2025'!headerRow,1,COLUMN()),4,LEN(INDEX('Structured 2025'!headerRow,1,COLUMN()))),ovrHeaderRow25,0))</f>
        <v>9</v>
      </c>
      <c r="BG74" s="12">
        <f>INDEX(ovrTable25,MATCH(INDEX('Structured 2025'!teamCol,ROW()),ovrTeamCol25,0),MATCH(MID(INDEX('Structured 2025'!headerRow,1,COLUMN()),4,LEN(INDEX('Structured 2025'!headerRow,1,COLUMN()))),ovrHeaderRow25,0))</f>
        <v>5.4</v>
      </c>
      <c r="BH74" s="12">
        <f>INDEX(ovrTable25,MATCH(INDEX('Structured 2025'!teamCol,ROW()),ovrTeamCol25,0),MATCH(MID(INDEX('Structured 2025'!headerRow,1,COLUMN()),4,LEN(INDEX('Structured 2025'!headerRow,1,COLUMN()))),ovrHeaderRow25,0))</f>
        <v>-0.9</v>
      </c>
      <c r="BI74" s="12">
        <f>INDEX(ovrTable25,MATCH(INDEX('Structured 2025'!teamCol,ROW()),ovrTeamCol25,0),MATCH(MID(INDEX('Structured 2025'!headerRow,1,COLUMN()),4,LEN(INDEX('Structured 2025'!headerRow,1,COLUMN()))),ovrHeaderRow25,0))</f>
        <v>10.26</v>
      </c>
      <c r="BJ74" s="12">
        <f>INDEX(ovrTable25,MATCH(INDEX('Structured 2025'!teamCol,ROW()),ovrTeamCol25,0),MATCH(MID(INDEX('Structured 2025'!headerRow,1,COLUMN()),4,LEN(INDEX('Structured 2025'!headerRow,1,COLUMN()))),ovrHeaderRow25,0))</f>
        <v>11.1</v>
      </c>
      <c r="BK74" s="12">
        <f>INDEX(ovrTable25,MATCH(INDEX('Structured 2025'!teamCol,ROW()),ovrTeamCol25,0),MATCH(MID(INDEX('Structured 2025'!headerRow,1,COLUMN()),4,LEN(INDEX('Structured 2025'!headerRow,1,COLUMN()))),ovrHeaderRow25,0))</f>
        <v>68.2</v>
      </c>
      <c r="BL74" s="12">
        <f>INDEX(ovrTable25,MATCH(INDEX('Structured 2025'!teamCol,ROW()),ovrTeamCol25,0),MATCH(MID(INDEX('Structured 2025'!headerRow,1,COLUMN()),4,LEN(INDEX('Structured 2025'!headerRow,1,COLUMN()))),ovrHeaderRow25,0))</f>
        <v>18.75</v>
      </c>
      <c r="BM74" s="12">
        <f>INDEX(ovrTable25,MATCH(INDEX('Structured 2025'!teamCol,ROW()),ovrTeamCol25,0),MATCH(MID(INDEX('Structured 2025'!headerRow,1,COLUMN()),4,LEN(INDEX('Structured 2025'!headerRow,1,COLUMN()))),ovrHeaderRow25,0))</f>
        <v>57.368421052631582</v>
      </c>
      <c r="BN74" s="12">
        <f>INDEX(ovrTable25,MATCH(INDEX(oppCol,ROW()),ovrTeamCol25,0),MATCH(MID(INDEX('Structured 2025'!headerRow,1,COLUMN()),4,LEN(INDEX('Structured 2025'!headerRow,1,COLUMN()))),ovrHeaderRow25,0))</f>
        <v>32.6</v>
      </c>
      <c r="BO74" s="12">
        <f>INDEX(ovrTable25,MATCH(INDEX(oppCol,ROW()),ovrTeamCol25,0),MATCH(MID(INDEX('Structured 2025'!headerRow,1,COLUMN()),4,LEN(INDEX('Structured 2025'!headerRow,1,COLUMN()))),ovrHeaderRow25,0))</f>
        <v>9.6</v>
      </c>
      <c r="BP74" s="12">
        <f>INDEX(ovrTable25,MATCH(INDEX(oppCol,ROW()),ovrTeamCol25,0),MATCH(MID(INDEX('Structured 2025'!headerRow,1,COLUMN()),4,LEN(INDEX('Structured 2025'!headerRow,1,COLUMN()))),ovrHeaderRow25,0))</f>
        <v>34.5</v>
      </c>
      <c r="BQ74" s="12">
        <f>INDEX(ovrTable25,MATCH(INDEX(oppCol,ROW()),ovrTeamCol25,0),MATCH(MID(INDEX('Structured 2025'!headerRow,1,COLUMN()),4,LEN(INDEX('Structured 2025'!headerRow,1,COLUMN()))),ovrHeaderRow25,0))</f>
        <v>27.7</v>
      </c>
      <c r="BR74" s="12">
        <f>INDEX(ovrTable25,MATCH(INDEX(oppCol,ROW()),ovrTeamCol25,0),MATCH(MID(INDEX('Structured 2025'!headerRow,1,COLUMN()),4,LEN(INDEX('Structured 2025'!headerRow,1,COLUMN()))),ovrHeaderRow25,0))</f>
        <v>1.4</v>
      </c>
      <c r="BS74" s="12">
        <f>INDEX(ovrTable25,MATCH(INDEX(oppCol,ROW()),ovrTeamCol25,0),MATCH(MID(INDEX('Structured 2025'!headerRow,1,COLUMN()),4,LEN(INDEX('Structured 2025'!headerRow,1,COLUMN()))),ovrHeaderRow25,0))</f>
        <v>17.100000000000001</v>
      </c>
      <c r="BT74" s="12">
        <f>INDEX(ovrTable25,MATCH(INDEX(oppCol,ROW()),ovrTeamCol25,0),MATCH(MID(INDEX('Structured 2025'!headerRow,1,COLUMN()),4,LEN(INDEX('Structured 2025'!headerRow,1,COLUMN()))),ovrHeaderRow25,0))</f>
        <v>13.31</v>
      </c>
      <c r="BU74" s="12">
        <f>INDEX(ovrTable25,MATCH(INDEX(oppCol,ROW()),ovrTeamCol25,0),MATCH(MID(INDEX('Structured 2025'!headerRow,1,COLUMN()),4,LEN(INDEX('Structured 2025'!headerRow,1,COLUMN()))),ovrHeaderRow25,0))</f>
        <v>4.5</v>
      </c>
      <c r="BV74" s="12">
        <f>INDEX(ovrTable25,MATCH(INDEX(oppCol,ROW()),ovrTeamCol25,0),MATCH(MID(INDEX('Structured 2025'!headerRow,1,COLUMN()),4,LEN(INDEX('Structured 2025'!headerRow,1,COLUMN()))),ovrHeaderRow25,0))</f>
        <v>41.4</v>
      </c>
      <c r="BW74" s="12">
        <f>INDEX(ovrTable25,MATCH(INDEX(oppCol,ROW()),ovrTeamCol25,0),MATCH(MID(INDEX('Structured 2025'!headerRow,1,COLUMN()),4,LEN(INDEX('Structured 2025'!headerRow,1,COLUMN()))),ovrHeaderRow25,0))</f>
        <v>28.97</v>
      </c>
      <c r="BX74" s="12">
        <f>INDEX(ovrTable25,MATCH(INDEX(oppCol,ROW()),ovrTeamCol25,0),MATCH(MID(INDEX('Structured 2025'!headerRow,1,COLUMN()),4,LEN(INDEX('Structured 2025'!headerRow,1,COLUMN()))),ovrHeaderRow25,0))</f>
        <v>0.56100000000000005</v>
      </c>
      <c r="BY74" s="12">
        <f>INDEX(ovrTable25,MATCH(INDEX(oppCol,ROW()),ovrTeamCol25,0),MATCH(MID(INDEX('Structured 2025'!headerRow,1,COLUMN()),4,LEN(INDEX('Structured 2025'!headerRow,1,COLUMN()))),ovrHeaderRow25,0))</f>
        <v>9.36</v>
      </c>
      <c r="BZ74" s="12">
        <f>INDEX(ovrTable25,MATCH(INDEX(oppCol,ROW()),ovrTeamCol25,0),MATCH(MID(INDEX('Structured 2025'!headerRow,1,COLUMN()),4,LEN(INDEX('Structured 2025'!headerRow,1,COLUMN()))),ovrHeaderRow25,0))</f>
        <v>47.7</v>
      </c>
      <c r="CA74" s="12">
        <f>INDEX(ovrTable25,MATCH(INDEX(oppCol,ROW()),ovrTeamCol25,0),MATCH(MID(INDEX('Structured 2025'!headerRow,1,COLUMN()),4,LEN(INDEX('Structured 2025'!headerRow,1,COLUMN()))),ovrHeaderRow25,0))</f>
        <v>11.1</v>
      </c>
      <c r="CB74" s="12">
        <f>INDEX(ovrTable25,MATCH(INDEX(oppCol,ROW()),ovrTeamCol25,0),MATCH(MID(INDEX('Structured 2025'!headerRow,1,COLUMN()),4,LEN(INDEX('Structured 2025'!headerRow,1,COLUMN()))),ovrHeaderRow25,0))</f>
        <v>72.8</v>
      </c>
      <c r="CC74" s="12">
        <f>INDEX(ovrTable25,MATCH(INDEX(oppCol,ROW()),ovrTeamCol25,0),MATCH(MID(INDEX('Structured 2025'!headerRow,1,COLUMN()),4,LEN(INDEX('Structured 2025'!headerRow,1,COLUMN()))),ovrHeaderRow25,0))</f>
        <v>16.2</v>
      </c>
      <c r="CD74" s="12">
        <f>INDEX(ovrTable25,MATCH(INDEX(oppCol,ROW()),ovrTeamCol25,0),MATCH(MID(INDEX('Structured 2025'!headerRow,1,COLUMN()),4,LEN(INDEX('Structured 2025'!headerRow,1,COLUMN()))),ovrHeaderRow25,0))</f>
        <v>11.8</v>
      </c>
      <c r="CE74" s="12">
        <f>INDEX(ovrTable25,MATCH(INDEX(oppCol,ROW()),ovrTeamCol25,0),MATCH(MID(INDEX('Structured 2025'!headerRow,1,COLUMN()),4,LEN(INDEX('Structured 2025'!headerRow,1,COLUMN()))),ovrHeaderRow25,0))</f>
        <v>70</v>
      </c>
      <c r="CF74" s="12">
        <f>INDEX(ovrTable25,MATCH(INDEX(oppCol,ROW()),ovrTeamCol25,0),MATCH(MID(INDEX('Structured 2025'!headerRow,1,COLUMN()),4,LEN(INDEX('Structured 2025'!headerRow,1,COLUMN()))),ovrHeaderRow25,0))</f>
        <v>8.42</v>
      </c>
      <c r="CG74" s="12">
        <f>INDEX(ovrTable25,MATCH(INDEX(oppCol,ROW()),ovrTeamCol25,0),MATCH(MID(INDEX('Structured 2025'!headerRow,1,COLUMN()),4,LEN(INDEX('Structured 2025'!headerRow,1,COLUMN()))),ovrHeaderRow25,0))</f>
        <v>75.5</v>
      </c>
      <c r="CH74" s="12">
        <f>INDEX(ovrTable25,MATCH(INDEX(oppCol,ROW()),ovrTeamCol25,0),MATCH(MID(INDEX('Structured 2025'!headerRow,1,COLUMN()),4,LEN(INDEX('Structured 2025'!headerRow,1,COLUMN()))),ovrHeaderRow25,0))</f>
        <v>3.1</v>
      </c>
      <c r="CI74" s="12">
        <f>INDEX(ovrTable25,MATCH(INDEX(oppCol,ROW()),ovrTeamCol25,0),MATCH(MID(INDEX('Structured 2025'!headerRow,1,COLUMN()),4,LEN(INDEX('Structured 2025'!headerRow,1,COLUMN()))),ovrHeaderRow25,0))</f>
        <v>37.39</v>
      </c>
      <c r="CJ74" s="12">
        <f>INDEX(ovrTable25,MATCH(INDEX(oppCol,ROW()),ovrTeamCol25,0),MATCH(MID(INDEX('Structured 2025'!headerRow,1,COLUMN()),4,LEN(INDEX('Structured 2025'!headerRow,1,COLUMN()))),ovrHeaderRow25,0))</f>
        <v>5.4</v>
      </c>
      <c r="CK74" s="12">
        <f>INDEX(ovrTable25,MATCH(INDEX(oppCol,ROW()),ovrTeamCol25,0),MATCH(MID(INDEX('Structured 2025'!headerRow,1,COLUMN()),4,LEN(INDEX('Structured 2025'!headerRow,1,COLUMN()))),ovrHeaderRow25,0))</f>
        <v>3.6</v>
      </c>
      <c r="CL74" s="12">
        <f>INDEX(ovrTable25,MATCH(INDEX(oppCol,ROW()),ovrTeamCol25,0),MATCH(MID(INDEX('Structured 2025'!headerRow,1,COLUMN()),4,LEN(INDEX('Structured 2025'!headerRow,1,COLUMN()))),ovrHeaderRow25,0))</f>
        <v>-4.3</v>
      </c>
      <c r="CM74" s="12">
        <f>INDEX(ovrTable25,MATCH(INDEX(oppCol,ROW()),ovrTeamCol25,0),MATCH(MID(INDEX('Structured 2025'!headerRow,1,COLUMN()),4,LEN(INDEX('Structured 2025'!headerRow,1,COLUMN()))),ovrHeaderRow25,0))</f>
        <v>7.92</v>
      </c>
      <c r="CN74" s="12">
        <f>INDEX(ovrTable25,MATCH(INDEX(oppCol,ROW()),ovrTeamCol25,0),MATCH(MID(INDEX('Structured 2025'!headerRow,1,COLUMN()),4,LEN(INDEX('Structured 2025'!headerRow,1,COLUMN()))),ovrHeaderRow25,0))</f>
        <v>12.2</v>
      </c>
      <c r="CO74" s="12">
        <f>INDEX(ovrTable25,MATCH(INDEX(oppCol,ROW()),ovrTeamCol25,0),MATCH(MID(INDEX('Structured 2025'!headerRow,1,COLUMN()),4,LEN(INDEX('Structured 2025'!headerRow,1,COLUMN()))),ovrHeaderRow25,0))</f>
        <v>67.3</v>
      </c>
      <c r="CP74" s="12">
        <f>INDEX(ovrTable25,MATCH(INDEX(oppCol,ROW()),ovrTeamCol25,0),MATCH(MID(INDEX('Structured 2025'!headerRow,1,COLUMN()),4,LEN(INDEX('Structured 2025'!headerRow,1,COLUMN()))),ovrHeaderRow25,0))</f>
        <v>17.450000000000003</v>
      </c>
      <c r="CQ74" s="12">
        <f>INDEX(ovrTable25,MATCH(INDEX(oppCol,ROW()),ovrTeamCol25,0),MATCH(MID(INDEX('Structured 2025'!headerRow,1,COLUMN()),4,LEN(INDEX('Structured 2025'!headerRow,1,COLUMN()))),ovrHeaderRow25,0))</f>
        <v>56.708595387840674</v>
      </c>
    </row>
    <row r="75" spans="1:95" x14ac:dyDescent="0.3">
      <c r="A75" s="6" t="s">
        <v>56</v>
      </c>
      <c r="B75" s="3">
        <v>9</v>
      </c>
      <c r="C75" s="13" t="str">
        <f>A74</f>
        <v>AUB</v>
      </c>
      <c r="D75" s="14">
        <f t="shared" si="26"/>
        <v>37</v>
      </c>
      <c r="E75" s="23">
        <v>0.36842105263157893</v>
      </c>
      <c r="F75" s="24">
        <v>47.169811320754718</v>
      </c>
      <c r="G75" s="24">
        <v>12</v>
      </c>
      <c r="H75" s="23">
        <v>44.444444444444443</v>
      </c>
      <c r="I75" s="24">
        <v>27</v>
      </c>
      <c r="J75" s="25">
        <v>1.5454545454545454</v>
      </c>
      <c r="K75" s="24">
        <v>8</v>
      </c>
      <c r="L75" s="24">
        <v>13</v>
      </c>
      <c r="M75" s="24">
        <v>4</v>
      </c>
      <c r="N75" s="24">
        <v>23</v>
      </c>
      <c r="O75" s="24">
        <v>17</v>
      </c>
      <c r="P75" s="24">
        <v>2</v>
      </c>
      <c r="Q75" s="24">
        <v>1</v>
      </c>
      <c r="R75" s="24">
        <v>11</v>
      </c>
      <c r="S75" s="24">
        <v>12</v>
      </c>
      <c r="T75" s="24">
        <v>17</v>
      </c>
      <c r="U75" s="24">
        <v>10</v>
      </c>
      <c r="V75" s="24">
        <v>0.46875</v>
      </c>
      <c r="W75" s="26">
        <v>0.58490566037735847</v>
      </c>
      <c r="X75" s="23">
        <v>61.53846153846154</v>
      </c>
      <c r="Y75" s="24">
        <v>82</v>
      </c>
      <c r="Z75" s="24">
        <v>70</v>
      </c>
      <c r="AA75" s="24">
        <v>-10</v>
      </c>
      <c r="AB75" s="24">
        <v>27</v>
      </c>
      <c r="AC75" s="24">
        <v>-12</v>
      </c>
      <c r="AD75" s="24">
        <v>-4</v>
      </c>
      <c r="AE75" s="24">
        <v>7</v>
      </c>
      <c r="AF75" s="34">
        <f t="shared" si="69"/>
        <v>13</v>
      </c>
      <c r="AG75" s="34">
        <f t="shared" si="70"/>
        <v>26</v>
      </c>
      <c r="AH75" s="46">
        <f t="shared" si="71"/>
        <v>66.174999999999997</v>
      </c>
      <c r="AI75" s="51">
        <f t="shared" ref="AI75" si="81">AVERAGE(AH74,AH75)</f>
        <v>68.074999999999989</v>
      </c>
      <c r="AJ75" s="12">
        <f>INDEX(ovrTable25,MATCH(INDEX('Structured 2025'!teamCol,ROW()),ovrTeamCol25,0),MATCH(MID(INDEX('Structured 2025'!headerRow,1,COLUMN()),4,LEN(INDEX('Structured 2025'!headerRow,1,COLUMN()))),ovrHeaderRow25,0))</f>
        <v>32.6</v>
      </c>
      <c r="AK75" s="12">
        <f>INDEX(ovrTable25,MATCH(INDEX('Structured 2025'!teamCol,ROW()),ovrTeamCol25,0),MATCH(MID(INDEX('Structured 2025'!headerRow,1,COLUMN()),4,LEN(INDEX('Structured 2025'!headerRow,1,COLUMN()))),ovrHeaderRow25,0))</f>
        <v>9.6</v>
      </c>
      <c r="AL75" s="12">
        <f>INDEX(ovrTable25,MATCH(INDEX('Structured 2025'!teamCol,ROW()),ovrTeamCol25,0),MATCH(MID(INDEX('Structured 2025'!headerRow,1,COLUMN()),4,LEN(INDEX('Structured 2025'!headerRow,1,COLUMN()))),ovrHeaderRow25,0))</f>
        <v>34.5</v>
      </c>
      <c r="AM75" s="12">
        <f>INDEX(ovrTable25,MATCH(INDEX('Structured 2025'!teamCol,ROW()),ovrTeamCol25,0),MATCH(MID(INDEX('Structured 2025'!headerRow,1,COLUMN()),4,LEN(INDEX('Structured 2025'!headerRow,1,COLUMN()))),ovrHeaderRow25,0))</f>
        <v>27.7</v>
      </c>
      <c r="AN75" s="12">
        <f>INDEX(ovrTable25,MATCH(INDEX('Structured 2025'!teamCol,ROW()),ovrTeamCol25,0),MATCH(MID(INDEX('Structured 2025'!headerRow,1,COLUMN()),4,LEN(INDEX('Structured 2025'!headerRow,1,COLUMN()))),ovrHeaderRow25,0))</f>
        <v>1.4</v>
      </c>
      <c r="AO75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P75" s="12">
        <f>INDEX(ovrTable25,MATCH(INDEX('Structured 2025'!teamCol,ROW()),ovrTeamCol25,0),MATCH(MID(INDEX('Structured 2025'!headerRow,1,COLUMN()),4,LEN(INDEX('Structured 2025'!headerRow,1,COLUMN()))),ovrHeaderRow25,0))</f>
        <v>13.31</v>
      </c>
      <c r="AQ75" s="12">
        <f>INDEX(ovrTable25,MATCH(INDEX('Structured 2025'!teamCol,ROW()),ovrTeamCol25,0),MATCH(MID(INDEX('Structured 2025'!headerRow,1,COLUMN()),4,LEN(INDEX('Structured 2025'!headerRow,1,COLUMN()))),ovrHeaderRow25,0))</f>
        <v>4.5</v>
      </c>
      <c r="AR75" s="12">
        <f>INDEX(ovrTable25,MATCH(INDEX('Structured 2025'!teamCol,ROW()),ovrTeamCol25,0),MATCH(MID(INDEX('Structured 2025'!headerRow,1,COLUMN()),4,LEN(INDEX('Structured 2025'!headerRow,1,COLUMN()))),ovrHeaderRow25,0))</f>
        <v>41.4</v>
      </c>
      <c r="AS75" s="12">
        <f>INDEX(ovrTable25,MATCH(INDEX('Structured 2025'!teamCol,ROW()),ovrTeamCol25,0),MATCH(MID(INDEX('Structured 2025'!headerRow,1,COLUMN()),4,LEN(INDEX('Structured 2025'!headerRow,1,COLUMN()))),ovrHeaderRow25,0))</f>
        <v>28.97</v>
      </c>
      <c r="AT75" s="12">
        <f>INDEX(ovrTable25,MATCH(INDEX('Structured 2025'!teamCol,ROW()),ovrTeamCol25,0),MATCH(MID(INDEX('Structured 2025'!headerRow,1,COLUMN()),4,LEN(INDEX('Structured 2025'!headerRow,1,COLUMN()))),ovrHeaderRow25,0))</f>
        <v>0.56100000000000005</v>
      </c>
      <c r="AU75" s="12">
        <f>INDEX(ovrTable25,MATCH(INDEX('Structured 2025'!teamCol,ROW()),ovrTeamCol25,0),MATCH(MID(INDEX('Structured 2025'!headerRow,1,COLUMN()),4,LEN(INDEX('Structured 2025'!headerRow,1,COLUMN()))),ovrHeaderRow25,0))</f>
        <v>9.36</v>
      </c>
      <c r="AV75" s="12">
        <f>INDEX(ovrTable25,MATCH(INDEX('Structured 2025'!teamCol,ROW()),ovrTeamCol25,0),MATCH(MID(INDEX('Structured 2025'!headerRow,1,COLUMN()),4,LEN(INDEX('Structured 2025'!headerRow,1,COLUMN()))),ovrHeaderRow25,0))</f>
        <v>47.7</v>
      </c>
      <c r="AW75" s="12">
        <f>INDEX(ovrTable25,MATCH(INDEX('Structured 2025'!teamCol,ROW()),ovrTeamCol25,0),MATCH(MID(INDEX('Structured 2025'!headerRow,1,COLUMN()),4,LEN(INDEX('Structured 2025'!headerRow,1,COLUMN()))),ovrHeaderRow25,0))</f>
        <v>11.1</v>
      </c>
      <c r="AX75" s="12">
        <f>INDEX(ovrTable25,MATCH(INDEX('Structured 2025'!teamCol,ROW()),ovrTeamCol25,0),MATCH(MID(INDEX('Structured 2025'!headerRow,1,COLUMN()),4,LEN(INDEX('Structured 2025'!headerRow,1,COLUMN()))),ovrHeaderRow25,0))</f>
        <v>72.8</v>
      </c>
      <c r="AY75" s="12">
        <f>INDEX(ovrTable25,MATCH(INDEX('Structured 2025'!teamCol,ROW()),ovrTeamCol25,0),MATCH(MID(INDEX('Structured 2025'!headerRow,1,COLUMN()),4,LEN(INDEX('Structured 2025'!headerRow,1,COLUMN()))),ovrHeaderRow25,0))</f>
        <v>16.2</v>
      </c>
      <c r="AZ75" s="12">
        <f>INDEX(ovrTable25,MATCH(INDEX('Structured 2025'!teamCol,ROW()),ovrTeamCol25,0),MATCH(MID(INDEX('Structured 2025'!headerRow,1,COLUMN()),4,LEN(INDEX('Structured 2025'!headerRow,1,COLUMN()))),ovrHeaderRow25,0))</f>
        <v>11.8</v>
      </c>
      <c r="BA75" s="12">
        <f>INDEX(ovrTable25,MATCH(INDEX('Structured 2025'!teamCol,ROW()),ovrTeamCol25,0),MATCH(MID(INDEX('Structured 2025'!headerRow,1,COLUMN()),4,LEN(INDEX('Structured 2025'!headerRow,1,COLUMN()))),ovrHeaderRow25,0))</f>
        <v>70</v>
      </c>
      <c r="BB75" s="12">
        <f>INDEX(ovrTable25,MATCH(INDEX('Structured 2025'!teamCol,ROW()),ovrTeamCol25,0),MATCH(MID(INDEX('Structured 2025'!headerRow,1,COLUMN()),4,LEN(INDEX('Structured 2025'!headerRow,1,COLUMN()))),ovrHeaderRow25,0))</f>
        <v>8.42</v>
      </c>
      <c r="BC75" s="12">
        <f>INDEX(ovrTable25,MATCH(INDEX('Structured 2025'!teamCol,ROW()),ovrTeamCol25,0),MATCH(MID(INDEX('Structured 2025'!headerRow,1,COLUMN()),4,LEN(INDEX('Structured 2025'!headerRow,1,COLUMN()))),ovrHeaderRow25,0))</f>
        <v>75.5</v>
      </c>
      <c r="BD75" s="12">
        <f>INDEX(ovrTable25,MATCH(INDEX('Structured 2025'!teamCol,ROW()),ovrTeamCol25,0),MATCH(MID(INDEX('Structured 2025'!headerRow,1,COLUMN()),4,LEN(INDEX('Structured 2025'!headerRow,1,COLUMN()))),ovrHeaderRow25,0))</f>
        <v>3.1</v>
      </c>
      <c r="BE75" s="12">
        <f>INDEX(ovrTable25,MATCH(INDEX('Structured 2025'!teamCol,ROW()),ovrTeamCol25,0),MATCH(MID(INDEX('Structured 2025'!headerRow,1,COLUMN()),4,LEN(INDEX('Structured 2025'!headerRow,1,COLUMN()))),ovrHeaderRow25,0))</f>
        <v>37.39</v>
      </c>
      <c r="BF75" s="12">
        <f>INDEX(ovrTable25,MATCH(INDEX('Structured 2025'!teamCol,ROW()),ovrTeamCol25,0),MATCH(MID(INDEX('Structured 2025'!headerRow,1,COLUMN()),4,LEN(INDEX('Structured 2025'!headerRow,1,COLUMN()))),ovrHeaderRow25,0))</f>
        <v>5.4</v>
      </c>
      <c r="BG75" s="12">
        <f>INDEX(ovrTable25,MATCH(INDEX('Structured 2025'!teamCol,ROW()),ovrTeamCol25,0),MATCH(MID(INDEX('Structured 2025'!headerRow,1,COLUMN()),4,LEN(INDEX('Structured 2025'!headerRow,1,COLUMN()))),ovrHeaderRow25,0))</f>
        <v>3.6</v>
      </c>
      <c r="BH75" s="12">
        <f>INDEX(ovrTable25,MATCH(INDEX('Structured 2025'!teamCol,ROW()),ovrTeamCol25,0),MATCH(MID(INDEX('Structured 2025'!headerRow,1,COLUMN()),4,LEN(INDEX('Structured 2025'!headerRow,1,COLUMN()))),ovrHeaderRow25,0))</f>
        <v>-4.3</v>
      </c>
      <c r="BI75" s="12">
        <f>INDEX(ovrTable25,MATCH(INDEX('Structured 2025'!teamCol,ROW()),ovrTeamCol25,0),MATCH(MID(INDEX('Structured 2025'!headerRow,1,COLUMN()),4,LEN(INDEX('Structured 2025'!headerRow,1,COLUMN()))),ovrHeaderRow25,0))</f>
        <v>7.92</v>
      </c>
      <c r="BJ75" s="12">
        <f>INDEX(ovrTable25,MATCH(INDEX('Structured 2025'!teamCol,ROW()),ovrTeamCol25,0),MATCH(MID(INDEX('Structured 2025'!headerRow,1,COLUMN()),4,LEN(INDEX('Structured 2025'!headerRow,1,COLUMN()))),ovrHeaderRow25,0))</f>
        <v>12.2</v>
      </c>
      <c r="BK75" s="12">
        <f>INDEX(ovrTable25,MATCH(INDEX('Structured 2025'!teamCol,ROW()),ovrTeamCol25,0),MATCH(MID(INDEX('Structured 2025'!headerRow,1,COLUMN()),4,LEN(INDEX('Structured 2025'!headerRow,1,COLUMN()))),ovrHeaderRow25,0))</f>
        <v>67.3</v>
      </c>
      <c r="BL75" s="12">
        <f>INDEX(ovrTable25,MATCH(INDEX('Structured 2025'!teamCol,ROW()),ovrTeamCol25,0),MATCH(MID(INDEX('Structured 2025'!headerRow,1,COLUMN()),4,LEN(INDEX('Structured 2025'!headerRow,1,COLUMN()))),ovrHeaderRow25,0))</f>
        <v>17.450000000000003</v>
      </c>
      <c r="BM75" s="12">
        <f>INDEX(ovrTable25,MATCH(INDEX('Structured 2025'!teamCol,ROW()),ovrTeamCol25,0),MATCH(MID(INDEX('Structured 2025'!headerRow,1,COLUMN()),4,LEN(INDEX('Structured 2025'!headerRow,1,COLUMN()))),ovrHeaderRow25,0))</f>
        <v>56.708595387840674</v>
      </c>
      <c r="BN75" s="12">
        <f>INDEX(ovrTable25,MATCH(INDEX(oppCol,ROW()),ovrTeamCol25,0),MATCH(MID(INDEX('Structured 2025'!headerRow,1,COLUMN()),4,LEN(INDEX('Structured 2025'!headerRow,1,COLUMN()))),ovrHeaderRow25,0))</f>
        <v>35</v>
      </c>
      <c r="BO75" s="12">
        <f>INDEX(ovrTable25,MATCH(INDEX(oppCol,ROW()),ovrTeamCol25,0),MATCH(MID(INDEX('Structured 2025'!headerRow,1,COLUMN()),4,LEN(INDEX('Structured 2025'!headerRow,1,COLUMN()))),ovrHeaderRow25,0))</f>
        <v>8.5</v>
      </c>
      <c r="BP75" s="12">
        <f>INDEX(ovrTable25,MATCH(INDEX(oppCol,ROW()),ovrTeamCol25,0),MATCH(MID(INDEX('Structured 2025'!headerRow,1,COLUMN()),4,LEN(INDEX('Structured 2025'!headerRow,1,COLUMN()))),ovrHeaderRow25,0))</f>
        <v>34.799999999999997</v>
      </c>
      <c r="BQ75" s="12">
        <f>INDEX(ovrTable25,MATCH(INDEX(oppCol,ROW()),ovrTeamCol25,0),MATCH(MID(INDEX('Structured 2025'!headerRow,1,COLUMN()),4,LEN(INDEX('Structured 2025'!headerRow,1,COLUMN()))),ovrHeaderRow25,0))</f>
        <v>24.5</v>
      </c>
      <c r="BR75" s="12">
        <f>INDEX(ovrTable25,MATCH(INDEX(oppCol,ROW()),ovrTeamCol25,0),MATCH(MID(INDEX('Structured 2025'!headerRow,1,COLUMN()),4,LEN(INDEX('Structured 2025'!headerRow,1,COLUMN()))),ovrHeaderRow25,0))</f>
        <v>1.56</v>
      </c>
      <c r="BS75" s="12">
        <f>INDEX(ovrTable25,MATCH(INDEX(oppCol,ROW()),ovrTeamCol25,0),MATCH(MID(INDEX('Structured 2025'!headerRow,1,COLUMN()),4,LEN(INDEX('Structured 2025'!headerRow,1,COLUMN()))),ovrHeaderRow25,0))</f>
        <v>17.3</v>
      </c>
      <c r="BT75" s="12">
        <f>INDEX(ovrTable25,MATCH(INDEX(oppCol,ROW()),ovrTeamCol25,0),MATCH(MID(INDEX('Structured 2025'!headerRow,1,COLUMN()),4,LEN(INDEX('Structured 2025'!headerRow,1,COLUMN()))),ovrHeaderRow25,0))</f>
        <v>20.74</v>
      </c>
      <c r="BU75" s="12">
        <f>INDEX(ovrTable25,MATCH(INDEX(oppCol,ROW()),ovrTeamCol25,0),MATCH(MID(INDEX('Structured 2025'!headerRow,1,COLUMN()),4,LEN(INDEX('Structured 2025'!headerRow,1,COLUMN()))),ovrHeaderRow25,0))</f>
        <v>6.2</v>
      </c>
      <c r="BV75" s="12">
        <f>INDEX(ovrTable25,MATCH(INDEX(oppCol,ROW()),ovrTeamCol25,0),MATCH(MID(INDEX('Structured 2025'!headerRow,1,COLUMN()),4,LEN(INDEX('Structured 2025'!headerRow,1,COLUMN()))),ovrHeaderRow25,0))</f>
        <v>42.1</v>
      </c>
      <c r="BW75" s="12">
        <f>INDEX(ovrTable25,MATCH(INDEX(oppCol,ROW()),ovrTeamCol25,0),MATCH(MID(INDEX('Structured 2025'!headerRow,1,COLUMN()),4,LEN(INDEX('Structured 2025'!headerRow,1,COLUMN()))),ovrHeaderRow25,0))</f>
        <v>24.54</v>
      </c>
      <c r="BX75" s="12">
        <f>INDEX(ovrTable25,MATCH(INDEX(oppCol,ROW()),ovrTeamCol25,0),MATCH(MID(INDEX('Structured 2025'!headerRow,1,COLUMN()),4,LEN(INDEX('Structured 2025'!headerRow,1,COLUMN()))),ovrHeaderRow25,0))</f>
        <v>0.55000000000000004</v>
      </c>
      <c r="BY75" s="12">
        <f>INDEX(ovrTable25,MATCH(INDEX(oppCol,ROW()),ovrTeamCol25,0),MATCH(MID(INDEX('Structured 2025'!headerRow,1,COLUMN()),4,LEN(INDEX('Structured 2025'!headerRow,1,COLUMN()))),ovrHeaderRow25,0))</f>
        <v>8.6300000000000008</v>
      </c>
      <c r="BZ75" s="12">
        <f>INDEX(ovrTable25,MATCH(INDEX(oppCol,ROW()),ovrTeamCol25,0),MATCH(MID(INDEX('Structured 2025'!headerRow,1,COLUMN()),4,LEN(INDEX('Structured 2025'!headerRow,1,COLUMN()))),ovrHeaderRow25,0))</f>
        <v>47.5</v>
      </c>
      <c r="CA75" s="12">
        <f>INDEX(ovrTable25,MATCH(INDEX(oppCol,ROW()),ovrTeamCol25,0),MATCH(MID(INDEX('Structured 2025'!headerRow,1,COLUMN()),4,LEN(INDEX('Structured 2025'!headerRow,1,COLUMN()))),ovrHeaderRow25,0))</f>
        <v>18.3</v>
      </c>
      <c r="CB75" s="12">
        <f>INDEX(ovrTable25,MATCH(INDEX(oppCol,ROW()),ovrTeamCol25,0),MATCH(MID(INDEX('Structured 2025'!headerRow,1,COLUMN()),4,LEN(INDEX('Structured 2025'!headerRow,1,COLUMN()))),ovrHeaderRow25,0))</f>
        <v>79.099999999999994</v>
      </c>
      <c r="CC75" s="12">
        <f>INDEX(ovrTable25,MATCH(INDEX(oppCol,ROW()),ovrTeamCol25,0),MATCH(MID(INDEX('Structured 2025'!headerRow,1,COLUMN()),4,LEN(INDEX('Structured 2025'!headerRow,1,COLUMN()))),ovrHeaderRow25,0))</f>
        <v>17.7</v>
      </c>
      <c r="CD75" s="12">
        <f>INDEX(ovrTable25,MATCH(INDEX(oppCol,ROW()),ovrTeamCol25,0),MATCH(MID(INDEX('Structured 2025'!headerRow,1,COLUMN()),4,LEN(INDEX('Structured 2025'!headerRow,1,COLUMN()))),ovrHeaderRow25,0))</f>
        <v>14</v>
      </c>
      <c r="CE75" s="12">
        <f>INDEX(ovrTable25,MATCH(INDEX(oppCol,ROW()),ovrTeamCol25,0),MATCH(MID(INDEX('Structured 2025'!headerRow,1,COLUMN()),4,LEN(INDEX('Structured 2025'!headerRow,1,COLUMN()))),ovrHeaderRow25,0))</f>
        <v>68</v>
      </c>
      <c r="CF75" s="12">
        <f>INDEX(ovrTable25,MATCH(INDEX(oppCol,ROW()),ovrTeamCol25,0),MATCH(MID(INDEX('Structured 2025'!headerRow,1,COLUMN()),4,LEN(INDEX('Structured 2025'!headerRow,1,COLUMN()))),ovrHeaderRow25,0))</f>
        <v>11.2</v>
      </c>
      <c r="CG75" s="12">
        <f>INDEX(ovrTable25,MATCH(INDEX(oppCol,ROW()),ovrTeamCol25,0),MATCH(MID(INDEX('Structured 2025'!headerRow,1,COLUMN()),4,LEN(INDEX('Structured 2025'!headerRow,1,COLUMN()))),ovrHeaderRow25,0))</f>
        <v>77</v>
      </c>
      <c r="CH75" s="12">
        <f>INDEX(ovrTable25,MATCH(INDEX(oppCol,ROW()),ovrTeamCol25,0),MATCH(MID(INDEX('Structured 2025'!headerRow,1,COLUMN()),4,LEN(INDEX('Structured 2025'!headerRow,1,COLUMN()))),ovrHeaderRow25,0))</f>
        <v>6</v>
      </c>
      <c r="CI75" s="12">
        <f>INDEX(ovrTable25,MATCH(INDEX(oppCol,ROW()),ovrTeamCol25,0),MATCH(MID(INDEX('Structured 2025'!headerRow,1,COLUMN()),4,LEN(INDEX('Structured 2025'!headerRow,1,COLUMN()))),ovrHeaderRow25,0))</f>
        <v>35.74</v>
      </c>
      <c r="CJ75" s="12">
        <f>INDEX(ovrTable25,MATCH(INDEX(oppCol,ROW()),ovrTeamCol25,0),MATCH(MID(INDEX('Structured 2025'!headerRow,1,COLUMN()),4,LEN(INDEX('Structured 2025'!headerRow,1,COLUMN()))),ovrHeaderRow25,0))</f>
        <v>9</v>
      </c>
      <c r="CK75" s="12">
        <f>INDEX(ovrTable25,MATCH(INDEX(oppCol,ROW()),ovrTeamCol25,0),MATCH(MID(INDEX('Structured 2025'!headerRow,1,COLUMN()),4,LEN(INDEX('Structured 2025'!headerRow,1,COLUMN()))),ovrHeaderRow25,0))</f>
        <v>5.4</v>
      </c>
      <c r="CL75" s="12">
        <f>INDEX(ovrTable25,MATCH(INDEX(oppCol,ROW()),ovrTeamCol25,0),MATCH(MID(INDEX('Structured 2025'!headerRow,1,COLUMN()),4,LEN(INDEX('Structured 2025'!headerRow,1,COLUMN()))),ovrHeaderRow25,0))</f>
        <v>-0.9</v>
      </c>
      <c r="CM75" s="12">
        <f>INDEX(ovrTable25,MATCH(INDEX(oppCol,ROW()),ovrTeamCol25,0),MATCH(MID(INDEX('Structured 2025'!headerRow,1,COLUMN()),4,LEN(INDEX('Structured 2025'!headerRow,1,COLUMN()))),ovrHeaderRow25,0))</f>
        <v>10.26</v>
      </c>
      <c r="CN75" s="12">
        <f>INDEX(ovrTable25,MATCH(INDEX(oppCol,ROW()),ovrTeamCol25,0),MATCH(MID(INDEX('Structured 2025'!headerRow,1,COLUMN()),4,LEN(INDEX('Structured 2025'!headerRow,1,COLUMN()))),ovrHeaderRow25,0))</f>
        <v>11.1</v>
      </c>
      <c r="CO75" s="12">
        <f>INDEX(ovrTable25,MATCH(INDEX(oppCol,ROW()),ovrTeamCol25,0),MATCH(MID(INDEX('Structured 2025'!headerRow,1,COLUMN()),4,LEN(INDEX('Structured 2025'!headerRow,1,COLUMN()))),ovrHeaderRow25,0))</f>
        <v>68.2</v>
      </c>
      <c r="CP75" s="12">
        <f>INDEX(ovrTable25,MATCH(INDEX(oppCol,ROW()),ovrTeamCol25,0),MATCH(MID(INDEX('Structured 2025'!headerRow,1,COLUMN()),4,LEN(INDEX('Structured 2025'!headerRow,1,COLUMN()))),ovrHeaderRow25,0))</f>
        <v>18.75</v>
      </c>
      <c r="CQ75" s="12">
        <f>INDEX(ovrTable25,MATCH(INDEX(oppCol,ROW()),ovrTeamCol25,0),MATCH(MID(INDEX('Structured 2025'!headerRow,1,COLUMN()),4,LEN(INDEX('Structured 2025'!headerRow,1,COLUMN()))),ovrHeaderRow25,0))</f>
        <v>57.368421052631582</v>
      </c>
    </row>
    <row r="76" spans="1:95" x14ac:dyDescent="0.3">
      <c r="A76" s="6" t="s">
        <v>348</v>
      </c>
      <c r="B76" s="3">
        <v>5</v>
      </c>
      <c r="C76" s="13" t="str">
        <f>A77</f>
        <v>TA&amp;M</v>
      </c>
      <c r="D76" s="14">
        <f t="shared" si="26"/>
        <v>38</v>
      </c>
      <c r="E76" s="23">
        <v>0.25925925925925924</v>
      </c>
      <c r="F76" s="24">
        <v>43.07692307692308</v>
      </c>
      <c r="G76" s="24">
        <v>6</v>
      </c>
      <c r="H76" s="23">
        <v>27.27272727272727</v>
      </c>
      <c r="I76" s="24">
        <v>22</v>
      </c>
      <c r="J76" s="25">
        <v>1.8888888888888888</v>
      </c>
      <c r="K76" s="24">
        <v>29</v>
      </c>
      <c r="L76" s="24">
        <v>36</v>
      </c>
      <c r="M76" s="24">
        <v>16</v>
      </c>
      <c r="N76" s="24">
        <v>32</v>
      </c>
      <c r="O76" s="24">
        <v>17</v>
      </c>
      <c r="P76" s="24">
        <v>2</v>
      </c>
      <c r="Q76" s="24">
        <v>6</v>
      </c>
      <c r="R76" s="24">
        <v>9</v>
      </c>
      <c r="S76" s="24">
        <v>17</v>
      </c>
      <c r="T76" s="24">
        <v>19</v>
      </c>
      <c r="U76" s="24">
        <v>39</v>
      </c>
      <c r="V76" s="24">
        <v>0.38028169014084506</v>
      </c>
      <c r="W76" s="26">
        <v>0.47692307692307695</v>
      </c>
      <c r="X76" s="23">
        <v>80.555555555555557</v>
      </c>
      <c r="Y76" s="24">
        <v>79</v>
      </c>
      <c r="Z76" s="24">
        <v>91</v>
      </c>
      <c r="AA76" s="24">
        <v>9</v>
      </c>
      <c r="AB76" s="24">
        <v>48</v>
      </c>
      <c r="AC76" s="24">
        <v>12</v>
      </c>
      <c r="AD76" s="24">
        <v>-1</v>
      </c>
      <c r="AE76" s="24">
        <v>8</v>
      </c>
      <c r="AF76" s="34">
        <f t="shared" si="69"/>
        <v>22</v>
      </c>
      <c r="AG76" s="34">
        <f t="shared" si="70"/>
        <v>43</v>
      </c>
      <c r="AH76" s="46">
        <f t="shared" si="71"/>
        <v>75.099999999999994</v>
      </c>
      <c r="AI76" s="51">
        <f t="shared" ref="AI76" si="82">AVERAGE(AH76,AH77)</f>
        <v>75.724999999999994</v>
      </c>
      <c r="AJ76" s="12">
        <f>INDEX(ovrTable25,MATCH(INDEX('Structured 2025'!teamCol,ROW()),ovrTeamCol25,0),MATCH(MID(INDEX('Structured 2025'!headerRow,1,COLUMN()),4,LEN(INDEX('Structured 2025'!headerRow,1,COLUMN()))),ovrHeaderRow25,0))</f>
        <v>30.8</v>
      </c>
      <c r="AK76" s="12">
        <f>INDEX(ovrTable25,MATCH(INDEX('Structured 2025'!teamCol,ROW()),ovrTeamCol25,0),MATCH(MID(INDEX('Structured 2025'!headerRow,1,COLUMN()),4,LEN(INDEX('Structured 2025'!headerRow,1,COLUMN()))),ovrHeaderRow25,0))</f>
        <v>8.1</v>
      </c>
      <c r="AL76" s="12">
        <f>INDEX(ovrTable25,MATCH(INDEX('Structured 2025'!teamCol,ROW()),ovrTeamCol25,0),MATCH(MID(INDEX('Structured 2025'!headerRow,1,COLUMN()),4,LEN(INDEX('Structured 2025'!headerRow,1,COLUMN()))),ovrHeaderRow25,0))</f>
        <v>33.200000000000003</v>
      </c>
      <c r="AM76" s="12">
        <f>INDEX(ovrTable25,MATCH(INDEX('Structured 2025'!teamCol,ROW()),ovrTeamCol25,0),MATCH(MID(INDEX('Structured 2025'!headerRow,1,COLUMN()),4,LEN(INDEX('Structured 2025'!headerRow,1,COLUMN()))),ovrHeaderRow25,0))</f>
        <v>24.5</v>
      </c>
      <c r="AN76" s="12">
        <f>INDEX(ovrTable25,MATCH(INDEX('Structured 2025'!teamCol,ROW()),ovrTeamCol25,0),MATCH(MID(INDEX('Structured 2025'!headerRow,1,COLUMN()),4,LEN(INDEX('Structured 2025'!headerRow,1,COLUMN()))),ovrHeaderRow25,0))</f>
        <v>1.1299999999999999</v>
      </c>
      <c r="AO76" s="12">
        <f>INDEX(ovrTable25,MATCH(INDEX('Structured 2025'!teamCol,ROW()),ovrTeamCol25,0),MATCH(MID(INDEX('Structured 2025'!headerRow,1,COLUMN()),4,LEN(INDEX('Structured 2025'!headerRow,1,COLUMN()))),ovrHeaderRow25,0))</f>
        <v>15.8</v>
      </c>
      <c r="AP76" s="12">
        <f>INDEX(ovrTable25,MATCH(INDEX('Structured 2025'!teamCol,ROW()),ovrTeamCol25,0),MATCH(MID(INDEX('Structured 2025'!headerRow,1,COLUMN()),4,LEN(INDEX('Structured 2025'!headerRow,1,COLUMN()))),ovrHeaderRow25,0))</f>
        <v>18.97</v>
      </c>
      <c r="AQ76" s="12">
        <f>INDEX(ovrTable25,MATCH(INDEX('Structured 2025'!teamCol,ROW()),ovrTeamCol25,0),MATCH(MID(INDEX('Structured 2025'!headerRow,1,COLUMN()),4,LEN(INDEX('Structured 2025'!headerRow,1,COLUMN()))),ovrHeaderRow25,0))</f>
        <v>3.6</v>
      </c>
      <c r="AR76" s="12">
        <f>INDEX(ovrTable25,MATCH(INDEX('Structured 2025'!teamCol,ROW()),ovrTeamCol25,0),MATCH(MID(INDEX('Structured 2025'!headerRow,1,COLUMN()),4,LEN(INDEX('Structured 2025'!headerRow,1,COLUMN()))),ovrHeaderRow25,0))</f>
        <v>40.1</v>
      </c>
      <c r="AS76" s="12">
        <f>INDEX(ovrTable25,MATCH(INDEX('Structured 2025'!teamCol,ROW()),ovrTeamCol25,0),MATCH(MID(INDEX('Structured 2025'!headerRow,1,COLUMN()),4,LEN(INDEX('Structured 2025'!headerRow,1,COLUMN()))),ovrHeaderRow25,0))</f>
        <v>27.38</v>
      </c>
      <c r="AT76" s="12">
        <f>INDEX(ovrTable25,MATCH(INDEX('Structured 2025'!teamCol,ROW()),ovrTeamCol25,0),MATCH(MID(INDEX('Structured 2025'!headerRow,1,COLUMN()),4,LEN(INDEX('Structured 2025'!headerRow,1,COLUMN()))),ovrHeaderRow25,0))</f>
        <v>0.53800000000000003</v>
      </c>
      <c r="AU76" s="12">
        <f>INDEX(ovrTable25,MATCH(INDEX('Structured 2025'!teamCol,ROW()),ovrTeamCol25,0),MATCH(MID(INDEX('Structured 2025'!headerRow,1,COLUMN()),4,LEN(INDEX('Structured 2025'!headerRow,1,COLUMN()))),ovrHeaderRow25,0))</f>
        <v>9.65</v>
      </c>
      <c r="AV76" s="12">
        <f>INDEX(ovrTable25,MATCH(INDEX('Structured 2025'!teamCol,ROW()),ovrTeamCol25,0),MATCH(MID(INDEX('Structured 2025'!headerRow,1,COLUMN()),4,LEN(INDEX('Structured 2025'!headerRow,1,COLUMN()))),ovrHeaderRow25,0))</f>
        <v>46.8</v>
      </c>
      <c r="AW76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76" s="12">
        <f>INDEX(ovrTable25,MATCH(INDEX('Structured 2025'!teamCol,ROW()),ovrTeamCol25,0),MATCH(MID(INDEX('Structured 2025'!headerRow,1,COLUMN()),4,LEN(INDEX('Structured 2025'!headerRow,1,COLUMN()))),ovrHeaderRow25,0))</f>
        <v>72.8</v>
      </c>
      <c r="AY76" s="12">
        <f>INDEX(ovrTable25,MATCH(INDEX('Structured 2025'!teamCol,ROW()),ovrTeamCol25,0),MATCH(MID(INDEX('Structured 2025'!headerRow,1,COLUMN()),4,LEN(INDEX('Structured 2025'!headerRow,1,COLUMN()))),ovrHeaderRow25,0))</f>
        <v>20.9</v>
      </c>
      <c r="AZ76" s="12">
        <f>INDEX(ovrTable25,MATCH(INDEX('Structured 2025'!teamCol,ROW()),ovrTeamCol25,0),MATCH(MID(INDEX('Structured 2025'!headerRow,1,COLUMN()),4,LEN(INDEX('Structured 2025'!headerRow,1,COLUMN()))),ovrHeaderRow25,0))</f>
        <v>15.2</v>
      </c>
      <c r="BA76" s="12">
        <f>INDEX(ovrTable25,MATCH(INDEX('Structured 2025'!teamCol,ROW()),ovrTeamCol25,0),MATCH(MID(INDEX('Structured 2025'!headerRow,1,COLUMN()),4,LEN(INDEX('Structured 2025'!headerRow,1,COLUMN()))),ovrHeaderRow25,0))</f>
        <v>71.5</v>
      </c>
      <c r="BB76" s="12">
        <f>INDEX(ovrTable25,MATCH(INDEX('Structured 2025'!teamCol,ROW()),ovrTeamCol25,0),MATCH(MID(INDEX('Structured 2025'!headerRow,1,COLUMN()),4,LEN(INDEX('Structured 2025'!headerRow,1,COLUMN()))),ovrHeaderRow25,0))</f>
        <v>11.05</v>
      </c>
      <c r="BC76" s="12">
        <f>INDEX(ovrTable25,MATCH(INDEX('Structured 2025'!teamCol,ROW()),ovrTeamCol25,0),MATCH(MID(INDEX('Structured 2025'!headerRow,1,COLUMN()),4,LEN(INDEX('Structured 2025'!headerRow,1,COLUMN()))),ovrHeaderRow25,0))</f>
        <v>78</v>
      </c>
      <c r="BD76" s="12">
        <f>INDEX(ovrTable25,MATCH(INDEX('Structured 2025'!teamCol,ROW()),ovrTeamCol25,0),MATCH(MID(INDEX('Structured 2025'!headerRow,1,COLUMN()),4,LEN(INDEX('Structured 2025'!headerRow,1,COLUMN()))),ovrHeaderRow25,0))</f>
        <v>4.3</v>
      </c>
      <c r="BE76" s="12">
        <f>INDEX(ovrTable25,MATCH(INDEX('Structured 2025'!teamCol,ROW()),ovrTeamCol25,0),MATCH(MID(INDEX('Structured 2025'!headerRow,1,COLUMN()),4,LEN(INDEX('Structured 2025'!headerRow,1,COLUMN()))),ovrHeaderRow25,0))</f>
        <v>38.43</v>
      </c>
      <c r="BF76" s="12">
        <f>INDEX(ovrTable25,MATCH(INDEX('Structured 2025'!teamCol,ROW()),ovrTeamCol25,0),MATCH(MID(INDEX('Structured 2025'!headerRow,1,COLUMN()),4,LEN(INDEX('Structured 2025'!headerRow,1,COLUMN()))),ovrHeaderRow25,0))</f>
        <v>6.5</v>
      </c>
      <c r="BG76" s="12">
        <f>INDEX(ovrTable25,MATCH(INDEX('Structured 2025'!teamCol,ROW()),ovrTeamCol25,0),MATCH(MID(INDEX('Structured 2025'!headerRow,1,COLUMN()),4,LEN(INDEX('Structured 2025'!headerRow,1,COLUMN()))),ovrHeaderRow25,0))</f>
        <v>5.4</v>
      </c>
      <c r="BH76" s="12">
        <f>INDEX(ovrTable25,MATCH(INDEX('Structured 2025'!teamCol,ROW()),ovrTeamCol25,0),MATCH(MID(INDEX('Structured 2025'!headerRow,1,COLUMN()),4,LEN(INDEX('Structured 2025'!headerRow,1,COLUMN()))),ovrHeaderRow25,0))</f>
        <v>-2.7</v>
      </c>
      <c r="BI76" s="12">
        <f>INDEX(ovrTable25,MATCH(INDEX('Structured 2025'!teamCol,ROW()),ovrTeamCol25,0),MATCH(MID(INDEX('Structured 2025'!headerRow,1,COLUMN()),4,LEN(INDEX('Structured 2025'!headerRow,1,COLUMN()))),ovrHeaderRow25,0))</f>
        <v>11.27</v>
      </c>
      <c r="BJ76" s="12">
        <f>INDEX(ovrTable25,MATCH(INDEX('Structured 2025'!teamCol,ROW()),ovrTeamCol25,0),MATCH(MID(INDEX('Structured 2025'!headerRow,1,COLUMN()),4,LEN(INDEX('Structured 2025'!headerRow,1,COLUMN()))),ovrHeaderRow25,0))</f>
        <v>14</v>
      </c>
      <c r="BK76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76" s="12">
        <f>INDEX(ovrTable25,MATCH(INDEX('Structured 2025'!teamCol,ROW()),ovrTeamCol25,0),MATCH(MID(INDEX('Structured 2025'!headerRow,1,COLUMN()),4,LEN(INDEX('Structured 2025'!headerRow,1,COLUMN()))),ovrHeaderRow25,0))</f>
        <v>19.25</v>
      </c>
      <c r="BM76" s="12">
        <f>INDEX(ovrTable25,MATCH(INDEX('Structured 2025'!teamCol,ROW()),ovrTeamCol25,0),MATCH(MID(INDEX('Structured 2025'!headerRow,1,COLUMN()),4,LEN(INDEX('Structured 2025'!headerRow,1,COLUMN()))),ovrHeaderRow25,0))</f>
        <v>58.440170940170944</v>
      </c>
      <c r="BN76" s="12">
        <f>INDEX(ovrTable25,MATCH(INDEX(oppCol,ROW()),ovrTeamCol25,0),MATCH(MID(INDEX('Structured 2025'!headerRow,1,COLUMN()),4,LEN(INDEX('Structured 2025'!headerRow,1,COLUMN()))),ovrHeaderRow25,0))</f>
        <v>33.299999999999997</v>
      </c>
      <c r="BO76" s="12">
        <f>INDEX(ovrTable25,MATCH(INDEX(oppCol,ROW()),ovrTeamCol25,0),MATCH(MID(INDEX('Structured 2025'!headerRow,1,COLUMN()),4,LEN(INDEX('Structured 2025'!headerRow,1,COLUMN()))),ovrHeaderRow25,0))</f>
        <v>7</v>
      </c>
      <c r="BP76" s="12">
        <f>INDEX(ovrTable25,MATCH(INDEX(oppCol,ROW()),ovrTeamCol25,0),MATCH(MID(INDEX('Structured 2025'!headerRow,1,COLUMN()),4,LEN(INDEX('Structured 2025'!headerRow,1,COLUMN()))),ovrHeaderRow25,0))</f>
        <v>30.7</v>
      </c>
      <c r="BQ76" s="12">
        <f>INDEX(ovrTable25,MATCH(INDEX(oppCol,ROW()),ovrTeamCol25,0),MATCH(MID(INDEX('Structured 2025'!headerRow,1,COLUMN()),4,LEN(INDEX('Structured 2025'!headerRow,1,COLUMN()))),ovrHeaderRow25,0))</f>
        <v>22.7</v>
      </c>
      <c r="BR76" s="12">
        <f>INDEX(ovrTable25,MATCH(INDEX(oppCol,ROW()),ovrTeamCol25,0),MATCH(MID(INDEX('Structured 2025'!headerRow,1,COLUMN()),4,LEN(INDEX('Structured 2025'!headerRow,1,COLUMN()))),ovrHeaderRow25,0))</f>
        <v>0.98</v>
      </c>
      <c r="BS76" s="12">
        <f>INDEX(ovrTable25,MATCH(INDEX(oppCol,ROW()),ovrTeamCol25,0),MATCH(MID(INDEX('Structured 2025'!headerRow,1,COLUMN()),4,LEN(INDEX('Structured 2025'!headerRow,1,COLUMN()))),ovrHeaderRow25,0))</f>
        <v>11.9</v>
      </c>
      <c r="BT76" s="12">
        <f>INDEX(ovrTable25,MATCH(INDEX(oppCol,ROW()),ovrTeamCol25,0),MATCH(MID(INDEX('Structured 2025'!headerRow,1,COLUMN()),4,LEN(INDEX('Structured 2025'!headerRow,1,COLUMN()))),ovrHeaderRow25,0))</f>
        <v>27.38</v>
      </c>
      <c r="BU76" s="12">
        <f>INDEX(ovrTable25,MATCH(INDEX(oppCol,ROW()),ovrTeamCol25,0),MATCH(MID(INDEX('Structured 2025'!headerRow,1,COLUMN()),4,LEN(INDEX('Structured 2025'!headerRow,1,COLUMN()))),ovrHeaderRow25,0))</f>
        <v>4</v>
      </c>
      <c r="BV76" s="12">
        <f>INDEX(ovrTable25,MATCH(INDEX(oppCol,ROW()),ovrTeamCol25,0),MATCH(MID(INDEX('Structured 2025'!headerRow,1,COLUMN()),4,LEN(INDEX('Structured 2025'!headerRow,1,COLUMN()))),ovrHeaderRow25,0))</f>
        <v>40.6</v>
      </c>
      <c r="BW76" s="12">
        <f>INDEX(ovrTable25,MATCH(INDEX(oppCol,ROW()),ovrTeamCol25,0),MATCH(MID(INDEX('Structured 2025'!headerRow,1,COLUMN()),4,LEN(INDEX('Structured 2025'!headerRow,1,COLUMN()))),ovrHeaderRow25,0))</f>
        <v>25.06</v>
      </c>
      <c r="BX76" s="12">
        <f>INDEX(ovrTable25,MATCH(INDEX(oppCol,ROW()),ovrTeamCol25,0),MATCH(MID(INDEX('Structured 2025'!headerRow,1,COLUMN()),4,LEN(INDEX('Structured 2025'!headerRow,1,COLUMN()))),ovrHeaderRow25,0))</f>
        <v>0.47599999999999998</v>
      </c>
      <c r="BY76" s="12">
        <f>INDEX(ovrTable25,MATCH(INDEX(oppCol,ROW()),ovrTeamCol25,0),MATCH(MID(INDEX('Structured 2025'!headerRow,1,COLUMN()),4,LEN(INDEX('Structured 2025'!headerRow,1,COLUMN()))),ovrHeaderRow25,0))</f>
        <v>8.7899999999999991</v>
      </c>
      <c r="BZ76" s="12">
        <f>INDEX(ovrTable25,MATCH(INDEX(oppCol,ROW()),ovrTeamCol25,0),MATCH(MID(INDEX('Structured 2025'!headerRow,1,COLUMN()),4,LEN(INDEX('Structured 2025'!headerRow,1,COLUMN()))),ovrHeaderRow25,0))</f>
        <v>41.8</v>
      </c>
      <c r="CA76" s="12">
        <f>INDEX(ovrTable25,MATCH(INDEX(oppCol,ROW()),ovrTeamCol25,0),MATCH(MID(INDEX('Structured 2025'!headerRow,1,COLUMN()),4,LEN(INDEX('Structured 2025'!headerRow,1,COLUMN()))),ovrHeaderRow25,0))</f>
        <v>17.5</v>
      </c>
      <c r="CB76" s="12">
        <f>INDEX(ovrTable25,MATCH(INDEX(oppCol,ROW()),ovrTeamCol25,0),MATCH(MID(INDEX('Structured 2025'!headerRow,1,COLUMN()),4,LEN(INDEX('Structured 2025'!headerRow,1,COLUMN()))),ovrHeaderRow25,0))</f>
        <v>69.2</v>
      </c>
      <c r="CC76" s="12">
        <f>INDEX(ovrTable25,MATCH(INDEX(oppCol,ROW()),ovrTeamCol25,0),MATCH(MID(INDEX('Structured 2025'!headerRow,1,COLUMN()),4,LEN(INDEX('Structured 2025'!headerRow,1,COLUMN()))),ovrHeaderRow25,0))</f>
        <v>24.9</v>
      </c>
      <c r="CD76" s="12">
        <f>INDEX(ovrTable25,MATCH(INDEX(oppCol,ROW()),ovrTeamCol25,0),MATCH(MID(INDEX('Structured 2025'!headerRow,1,COLUMN()),4,LEN(INDEX('Structured 2025'!headerRow,1,COLUMN()))),ovrHeaderRow25,0))</f>
        <v>17.2</v>
      </c>
      <c r="CE76" s="12">
        <f>INDEX(ovrTable25,MATCH(INDEX(oppCol,ROW()),ovrTeamCol25,0),MATCH(MID(INDEX('Structured 2025'!headerRow,1,COLUMN()),4,LEN(INDEX('Structured 2025'!headerRow,1,COLUMN()))),ovrHeaderRow25,0))</f>
        <v>68.7</v>
      </c>
      <c r="CF76" s="12">
        <f>INDEX(ovrTable25,MATCH(INDEX(oppCol,ROW()),ovrTeamCol25,0),MATCH(MID(INDEX('Structured 2025'!headerRow,1,COLUMN()),4,LEN(INDEX('Structured 2025'!headerRow,1,COLUMN()))),ovrHeaderRow25,0))</f>
        <v>15.97</v>
      </c>
      <c r="CG76" s="12">
        <f>INDEX(ovrTable25,MATCH(INDEX(oppCol,ROW()),ovrTeamCol25,0),MATCH(MID(INDEX('Structured 2025'!headerRow,1,COLUMN()),4,LEN(INDEX('Structured 2025'!headerRow,1,COLUMN()))),ovrHeaderRow25,0))</f>
        <v>74.599999999999994</v>
      </c>
      <c r="CH76" s="12">
        <f>INDEX(ovrTable25,MATCH(INDEX(oppCol,ROW()),ovrTeamCol25,0),MATCH(MID(INDEX('Structured 2025'!headerRow,1,COLUMN()),4,LEN(INDEX('Structured 2025'!headerRow,1,COLUMN()))),ovrHeaderRow25,0))</f>
        <v>8.6999999999999993</v>
      </c>
      <c r="CI76" s="12">
        <f>INDEX(ovrTable25,MATCH(INDEX(oppCol,ROW()),ovrTeamCol25,0),MATCH(MID(INDEX('Structured 2025'!headerRow,1,COLUMN()),4,LEN(INDEX('Structured 2025'!headerRow,1,COLUMN()))),ovrHeaderRow25,0))</f>
        <v>41.03</v>
      </c>
      <c r="CJ76" s="12">
        <f>INDEX(ovrTable25,MATCH(INDEX(oppCol,ROW()),ovrTeamCol25,0),MATCH(MID(INDEX('Structured 2025'!headerRow,1,COLUMN()),4,LEN(INDEX('Structured 2025'!headerRow,1,COLUMN()))),ovrHeaderRow25,0))</f>
        <v>5.9</v>
      </c>
      <c r="CK76" s="12">
        <f>INDEX(ovrTable25,MATCH(INDEX(oppCol,ROW()),ovrTeamCol25,0),MATCH(MID(INDEX('Structured 2025'!headerRow,1,COLUMN()),4,LEN(INDEX('Structured 2025'!headerRow,1,COLUMN()))),ovrHeaderRow25,0))</f>
        <v>7.6</v>
      </c>
      <c r="CL76" s="12">
        <f>INDEX(ovrTable25,MATCH(INDEX(oppCol,ROW()),ovrTeamCol25,0),MATCH(MID(INDEX('Structured 2025'!headerRow,1,COLUMN()),4,LEN(INDEX('Structured 2025'!headerRow,1,COLUMN()))),ovrHeaderRow25,0))</f>
        <v>1.1000000000000001</v>
      </c>
      <c r="CM76" s="12">
        <f>INDEX(ovrTable25,MATCH(INDEX(oppCol,ROW()),ovrTeamCol25,0),MATCH(MID(INDEX('Structured 2025'!headerRow,1,COLUMN()),4,LEN(INDEX('Structured 2025'!headerRow,1,COLUMN()))),ovrHeaderRow25,0))</f>
        <v>13.26</v>
      </c>
      <c r="CN76" s="12">
        <f>INDEX(ovrTable25,MATCH(INDEX(oppCol,ROW()),ovrTeamCol25,0),MATCH(MID(INDEX('Structured 2025'!headerRow,1,COLUMN()),4,LEN(INDEX('Structured 2025'!headerRow,1,COLUMN()))),ovrHeaderRow25,0))</f>
        <v>12.2</v>
      </c>
      <c r="CO76" s="12">
        <f>INDEX(ovrTable25,MATCH(INDEX(oppCol,ROW()),ovrTeamCol25,0),MATCH(MID(INDEX('Structured 2025'!headerRow,1,COLUMN()),4,LEN(INDEX('Structured 2025'!headerRow,1,COLUMN()))),ovrHeaderRow25,0))</f>
        <v>66.8</v>
      </c>
      <c r="CP76" s="12">
        <f>INDEX(ovrTable25,MATCH(INDEX(oppCol,ROW()),ovrTeamCol25,0),MATCH(MID(INDEX('Structured 2025'!headerRow,1,COLUMN()),4,LEN(INDEX('Structured 2025'!headerRow,1,COLUMN()))),ovrHeaderRow25,0))</f>
        <v>18.199999999999996</v>
      </c>
      <c r="CQ76" s="12">
        <f>INDEX(ovrTable25,MATCH(INDEX(oppCol,ROW()),ovrTeamCol25,0),MATCH(MID(INDEX('Structured 2025'!headerRow,1,COLUMN()),4,LEN(INDEX('Structured 2025'!headerRow,1,COLUMN()))),ovrHeaderRow25,0))</f>
        <v>60.287081339712913</v>
      </c>
    </row>
    <row r="77" spans="1:95" x14ac:dyDescent="0.3">
      <c r="A77" s="6" t="s">
        <v>43</v>
      </c>
      <c r="B77" s="3">
        <v>4</v>
      </c>
      <c r="C77" s="13" t="str">
        <f>A76</f>
        <v>MICH</v>
      </c>
      <c r="D77" s="14">
        <f t="shared" si="26"/>
        <v>38</v>
      </c>
      <c r="E77" s="23">
        <v>0.27272727272727271</v>
      </c>
      <c r="F77" s="24">
        <v>38.028169014084504</v>
      </c>
      <c r="G77" s="24">
        <v>7</v>
      </c>
      <c r="H77" s="23">
        <v>25.925925925925924</v>
      </c>
      <c r="I77" s="24">
        <v>27</v>
      </c>
      <c r="J77" s="25">
        <v>1.75</v>
      </c>
      <c r="K77" s="24">
        <v>18</v>
      </c>
      <c r="L77" s="24">
        <v>26</v>
      </c>
      <c r="M77" s="24">
        <v>15</v>
      </c>
      <c r="N77" s="24">
        <v>24</v>
      </c>
      <c r="O77" s="24">
        <v>14</v>
      </c>
      <c r="P77" s="24">
        <v>7</v>
      </c>
      <c r="Q77" s="24">
        <v>3</v>
      </c>
      <c r="R77" s="24">
        <v>8</v>
      </c>
      <c r="S77" s="24">
        <v>11</v>
      </c>
      <c r="T77" s="24">
        <v>25</v>
      </c>
      <c r="U77" s="24">
        <v>46</v>
      </c>
      <c r="V77" s="24">
        <v>0.43076923076923079</v>
      </c>
      <c r="W77" s="26">
        <v>0.42957746478873238</v>
      </c>
      <c r="X77" s="23">
        <v>69.230769230769226</v>
      </c>
      <c r="Y77" s="24">
        <v>91</v>
      </c>
      <c r="Z77" s="24">
        <v>79</v>
      </c>
      <c r="AA77" s="24">
        <v>-9</v>
      </c>
      <c r="AB77" s="24">
        <v>39</v>
      </c>
      <c r="AC77" s="24">
        <v>-12</v>
      </c>
      <c r="AD77" s="24">
        <v>1</v>
      </c>
      <c r="AE77" s="24">
        <v>9</v>
      </c>
      <c r="AF77" s="34">
        <f t="shared" si="69"/>
        <v>20</v>
      </c>
      <c r="AG77" s="34">
        <f t="shared" si="70"/>
        <v>44</v>
      </c>
      <c r="AH77" s="46">
        <f t="shared" si="71"/>
        <v>76.349999999999994</v>
      </c>
      <c r="AI77" s="51">
        <f t="shared" ref="AI77" si="83">AVERAGE(AH76,AH77)</f>
        <v>75.724999999999994</v>
      </c>
      <c r="AJ77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K77" s="12">
        <f>INDEX(ovrTable25,MATCH(INDEX('Structured 2025'!teamCol,ROW()),ovrTeamCol25,0),MATCH(MID(INDEX('Structured 2025'!headerRow,1,COLUMN()),4,LEN(INDEX('Structured 2025'!headerRow,1,COLUMN()))),ovrHeaderRow25,0))</f>
        <v>7</v>
      </c>
      <c r="AL77" s="12">
        <f>INDEX(ovrTable25,MATCH(INDEX('Structured 2025'!teamCol,ROW()),ovrTeamCol25,0),MATCH(MID(INDEX('Structured 2025'!headerRow,1,COLUMN()),4,LEN(INDEX('Structured 2025'!headerRow,1,COLUMN()))),ovrHeaderRow25,0))</f>
        <v>30.7</v>
      </c>
      <c r="AM77" s="12">
        <f>INDEX(ovrTable25,MATCH(INDEX('Structured 2025'!teamCol,ROW()),ovrTeamCol25,0),MATCH(MID(INDEX('Structured 2025'!headerRow,1,COLUMN()),4,LEN(INDEX('Structured 2025'!headerRow,1,COLUMN()))),ovrHeaderRow25,0))</f>
        <v>22.7</v>
      </c>
      <c r="AN77" s="12">
        <f>INDEX(ovrTable25,MATCH(INDEX('Structured 2025'!teamCol,ROW()),ovrTeamCol25,0),MATCH(MID(INDEX('Structured 2025'!headerRow,1,COLUMN()),4,LEN(INDEX('Structured 2025'!headerRow,1,COLUMN()))),ovrHeaderRow25,0))</f>
        <v>0.98</v>
      </c>
      <c r="AO77" s="12">
        <f>INDEX(ovrTable25,MATCH(INDEX('Structured 2025'!teamCol,ROW()),ovrTeamCol25,0),MATCH(MID(INDEX('Structured 2025'!headerRow,1,COLUMN()),4,LEN(INDEX('Structured 2025'!headerRow,1,COLUMN()))),ovrHeaderRow25,0))</f>
        <v>11.9</v>
      </c>
      <c r="AP77" s="12">
        <f>INDEX(ovrTable25,MATCH(INDEX('Structured 2025'!teamCol,ROW()),ovrTeamCol25,0),MATCH(MID(INDEX('Structured 2025'!headerRow,1,COLUMN()),4,LEN(INDEX('Structured 2025'!headerRow,1,COLUMN()))),ovrHeaderRow25,0))</f>
        <v>27.38</v>
      </c>
      <c r="AQ77" s="12">
        <f>INDEX(ovrTable25,MATCH(INDEX('Structured 2025'!teamCol,ROW()),ovrTeamCol25,0),MATCH(MID(INDEX('Structured 2025'!headerRow,1,COLUMN()),4,LEN(INDEX('Structured 2025'!headerRow,1,COLUMN()))),ovrHeaderRow25,0))</f>
        <v>4</v>
      </c>
      <c r="AR77" s="12">
        <f>INDEX(ovrTable25,MATCH(INDEX('Structured 2025'!teamCol,ROW()),ovrTeamCol25,0),MATCH(MID(INDEX('Structured 2025'!headerRow,1,COLUMN()),4,LEN(INDEX('Structured 2025'!headerRow,1,COLUMN()))),ovrHeaderRow25,0))</f>
        <v>40.6</v>
      </c>
      <c r="AS77" s="12">
        <f>INDEX(ovrTable25,MATCH(INDEX('Structured 2025'!teamCol,ROW()),ovrTeamCol25,0),MATCH(MID(INDEX('Structured 2025'!headerRow,1,COLUMN()),4,LEN(INDEX('Structured 2025'!headerRow,1,COLUMN()))),ovrHeaderRow25,0))</f>
        <v>25.06</v>
      </c>
      <c r="AT77" s="12">
        <f>INDEX(ovrTable25,MATCH(INDEX('Structured 2025'!teamCol,ROW()),ovrTeamCol25,0),MATCH(MID(INDEX('Structured 2025'!headerRow,1,COLUMN()),4,LEN(INDEX('Structured 2025'!headerRow,1,COLUMN()))),ovrHeaderRow25,0))</f>
        <v>0.47599999999999998</v>
      </c>
      <c r="AU77" s="12">
        <f>INDEX(ovrTable25,MATCH(INDEX('Structured 2025'!teamCol,ROW()),ovrTeamCol25,0),MATCH(MID(INDEX('Structured 2025'!headerRow,1,COLUMN()),4,LEN(INDEX('Structured 2025'!headerRow,1,COLUMN()))),ovrHeaderRow25,0))</f>
        <v>8.7899999999999991</v>
      </c>
      <c r="AV77" s="12">
        <f>INDEX(ovrTable25,MATCH(INDEX('Structured 2025'!teamCol,ROW()),ovrTeamCol25,0),MATCH(MID(INDEX('Structured 2025'!headerRow,1,COLUMN()),4,LEN(INDEX('Structured 2025'!headerRow,1,COLUMN()))),ovrHeaderRow25,0))</f>
        <v>41.8</v>
      </c>
      <c r="AW77" s="12">
        <f>INDEX(ovrTable25,MATCH(INDEX('Structured 2025'!teamCol,ROW()),ovrTeamCol25,0),MATCH(MID(INDEX('Structured 2025'!headerRow,1,COLUMN()),4,LEN(INDEX('Structured 2025'!headerRow,1,COLUMN()))),ovrHeaderRow25,0))</f>
        <v>17.5</v>
      </c>
      <c r="AX77" s="12">
        <f>INDEX(ovrTable25,MATCH(INDEX('Structured 2025'!teamCol,ROW()),ovrTeamCol25,0),MATCH(MID(INDEX('Structured 2025'!headerRow,1,COLUMN()),4,LEN(INDEX('Structured 2025'!headerRow,1,COLUMN()))),ovrHeaderRow25,0))</f>
        <v>69.2</v>
      </c>
      <c r="AY77" s="12">
        <f>INDEX(ovrTable25,MATCH(INDEX('Structured 2025'!teamCol,ROW()),ovrTeamCol25,0),MATCH(MID(INDEX('Structured 2025'!headerRow,1,COLUMN()),4,LEN(INDEX('Structured 2025'!headerRow,1,COLUMN()))),ovrHeaderRow25,0))</f>
        <v>24.9</v>
      </c>
      <c r="AZ77" s="12">
        <f>INDEX(ovrTable25,MATCH(INDEX('Structured 2025'!teamCol,ROW()),ovrTeamCol25,0),MATCH(MID(INDEX('Structured 2025'!headerRow,1,COLUMN()),4,LEN(INDEX('Structured 2025'!headerRow,1,COLUMN()))),ovrHeaderRow25,0))</f>
        <v>17.2</v>
      </c>
      <c r="BA77" s="12">
        <f>INDEX(ovrTable25,MATCH(INDEX('Structured 2025'!teamCol,ROW()),ovrTeamCol25,0),MATCH(MID(INDEX('Structured 2025'!headerRow,1,COLUMN()),4,LEN(INDEX('Structured 2025'!headerRow,1,COLUMN()))),ovrHeaderRow25,0))</f>
        <v>68.7</v>
      </c>
      <c r="BB77" s="12">
        <f>INDEX(ovrTable25,MATCH(INDEX('Structured 2025'!teamCol,ROW()),ovrTeamCol25,0),MATCH(MID(INDEX('Structured 2025'!headerRow,1,COLUMN()),4,LEN(INDEX('Structured 2025'!headerRow,1,COLUMN()))),ovrHeaderRow25,0))</f>
        <v>15.97</v>
      </c>
      <c r="BC77" s="12">
        <f>INDEX(ovrTable25,MATCH(INDEX('Structured 2025'!teamCol,ROW()),ovrTeamCol25,0),MATCH(MID(INDEX('Structured 2025'!headerRow,1,COLUMN()),4,LEN(INDEX('Structured 2025'!headerRow,1,COLUMN()))),ovrHeaderRow25,0))</f>
        <v>74.599999999999994</v>
      </c>
      <c r="BD77" s="12">
        <f>INDEX(ovrTable25,MATCH(INDEX('Structured 2025'!teamCol,ROW()),ovrTeamCol25,0),MATCH(MID(INDEX('Structured 2025'!headerRow,1,COLUMN()),4,LEN(INDEX('Structured 2025'!headerRow,1,COLUMN()))),ovrHeaderRow25,0))</f>
        <v>8.6999999999999993</v>
      </c>
      <c r="BE77" s="12">
        <f>INDEX(ovrTable25,MATCH(INDEX('Structured 2025'!teamCol,ROW()),ovrTeamCol25,0),MATCH(MID(INDEX('Structured 2025'!headerRow,1,COLUMN()),4,LEN(INDEX('Structured 2025'!headerRow,1,COLUMN()))),ovrHeaderRow25,0))</f>
        <v>41.03</v>
      </c>
      <c r="BF77" s="12">
        <f>INDEX(ovrTable25,MATCH(INDEX('Structured 2025'!teamCol,ROW()),ovrTeamCol25,0),MATCH(MID(INDEX('Structured 2025'!headerRow,1,COLUMN()),4,LEN(INDEX('Structured 2025'!headerRow,1,COLUMN()))),ovrHeaderRow25,0))</f>
        <v>5.9</v>
      </c>
      <c r="BG77" s="12">
        <f>INDEX(ovrTable25,MATCH(INDEX('Structured 2025'!teamCol,ROW()),ovrTeamCol25,0),MATCH(MID(INDEX('Structured 2025'!headerRow,1,COLUMN()),4,LEN(INDEX('Structured 2025'!headerRow,1,COLUMN()))),ovrHeaderRow25,0))</f>
        <v>7.6</v>
      </c>
      <c r="BH77" s="12">
        <f>INDEX(ovrTable25,MATCH(INDEX('Structured 2025'!teamCol,ROW()),ovrTeamCol25,0),MATCH(MID(INDEX('Structured 2025'!headerRow,1,COLUMN()),4,LEN(INDEX('Structured 2025'!headerRow,1,COLUMN()))),ovrHeaderRow25,0))</f>
        <v>1.1000000000000001</v>
      </c>
      <c r="BI77" s="12">
        <f>INDEX(ovrTable25,MATCH(INDEX('Structured 2025'!teamCol,ROW()),ovrTeamCol25,0),MATCH(MID(INDEX('Structured 2025'!headerRow,1,COLUMN()),4,LEN(INDEX('Structured 2025'!headerRow,1,COLUMN()))),ovrHeaderRow25,0))</f>
        <v>13.26</v>
      </c>
      <c r="BJ77" s="12">
        <f>INDEX(ovrTable25,MATCH(INDEX('Structured 2025'!teamCol,ROW()),ovrTeamCol25,0),MATCH(MID(INDEX('Structured 2025'!headerRow,1,COLUMN()),4,LEN(INDEX('Structured 2025'!headerRow,1,COLUMN()))),ovrHeaderRow25,0))</f>
        <v>12.2</v>
      </c>
      <c r="BK77" s="12">
        <f>INDEX(ovrTable25,MATCH(INDEX('Structured 2025'!teamCol,ROW()),ovrTeamCol25,0),MATCH(MID(INDEX('Structured 2025'!headerRow,1,COLUMN()),4,LEN(INDEX('Structured 2025'!headerRow,1,COLUMN()))),ovrHeaderRow25,0))</f>
        <v>66.8</v>
      </c>
      <c r="BL77" s="12">
        <f>INDEX(ovrTable25,MATCH(INDEX('Structured 2025'!teamCol,ROW()),ovrTeamCol25,0),MATCH(MID(INDEX('Structured 2025'!headerRow,1,COLUMN()),4,LEN(INDEX('Structured 2025'!headerRow,1,COLUMN()))),ovrHeaderRow25,0))</f>
        <v>18.199999999999996</v>
      </c>
      <c r="BM77" s="12">
        <f>INDEX(ovrTable25,MATCH(INDEX('Structured 2025'!teamCol,ROW()),ovrTeamCol25,0),MATCH(MID(INDEX('Structured 2025'!headerRow,1,COLUMN()),4,LEN(INDEX('Structured 2025'!headerRow,1,COLUMN()))),ovrHeaderRow25,0))</f>
        <v>60.287081339712913</v>
      </c>
      <c r="BN77" s="12">
        <f>INDEX(ovrTable25,MATCH(INDEX(oppCol,ROW()),ovrTeamCol25,0),MATCH(MID(INDEX('Structured 2025'!headerRow,1,COLUMN()),4,LEN(INDEX('Structured 2025'!headerRow,1,COLUMN()))),ovrHeaderRow25,0))</f>
        <v>30.8</v>
      </c>
      <c r="BO77" s="12">
        <f>INDEX(ovrTable25,MATCH(INDEX(oppCol,ROW()),ovrTeamCol25,0),MATCH(MID(INDEX('Structured 2025'!headerRow,1,COLUMN()),4,LEN(INDEX('Structured 2025'!headerRow,1,COLUMN()))),ovrHeaderRow25,0))</f>
        <v>8.1</v>
      </c>
      <c r="BP77" s="12">
        <f>INDEX(ovrTable25,MATCH(INDEX(oppCol,ROW()),ovrTeamCol25,0),MATCH(MID(INDEX('Structured 2025'!headerRow,1,COLUMN()),4,LEN(INDEX('Structured 2025'!headerRow,1,COLUMN()))),ovrHeaderRow25,0))</f>
        <v>33.200000000000003</v>
      </c>
      <c r="BQ77" s="12">
        <f>INDEX(ovrTable25,MATCH(INDEX(oppCol,ROW()),ovrTeamCol25,0),MATCH(MID(INDEX('Structured 2025'!headerRow,1,COLUMN()),4,LEN(INDEX('Structured 2025'!headerRow,1,COLUMN()))),ovrHeaderRow25,0))</f>
        <v>24.5</v>
      </c>
      <c r="BR77" s="12">
        <f>INDEX(ovrTable25,MATCH(INDEX(oppCol,ROW()),ovrTeamCol25,0),MATCH(MID(INDEX('Structured 2025'!headerRow,1,COLUMN()),4,LEN(INDEX('Structured 2025'!headerRow,1,COLUMN()))),ovrHeaderRow25,0))</f>
        <v>1.1299999999999999</v>
      </c>
      <c r="BS77" s="12">
        <f>INDEX(ovrTable25,MATCH(INDEX(oppCol,ROW()),ovrTeamCol25,0),MATCH(MID(INDEX('Structured 2025'!headerRow,1,COLUMN()),4,LEN(INDEX('Structured 2025'!headerRow,1,COLUMN()))),ovrHeaderRow25,0))</f>
        <v>15.8</v>
      </c>
      <c r="BT77" s="12">
        <f>INDEX(ovrTable25,MATCH(INDEX(oppCol,ROW()),ovrTeamCol25,0),MATCH(MID(INDEX('Structured 2025'!headerRow,1,COLUMN()),4,LEN(INDEX('Structured 2025'!headerRow,1,COLUMN()))),ovrHeaderRow25,0))</f>
        <v>18.97</v>
      </c>
      <c r="BU77" s="12">
        <f>INDEX(ovrTable25,MATCH(INDEX(oppCol,ROW()),ovrTeamCol25,0),MATCH(MID(INDEX('Structured 2025'!headerRow,1,COLUMN()),4,LEN(INDEX('Structured 2025'!headerRow,1,COLUMN()))),ovrHeaderRow25,0))</f>
        <v>3.6</v>
      </c>
      <c r="BV77" s="12">
        <f>INDEX(ovrTable25,MATCH(INDEX(oppCol,ROW()),ovrTeamCol25,0),MATCH(MID(INDEX('Structured 2025'!headerRow,1,COLUMN()),4,LEN(INDEX('Structured 2025'!headerRow,1,COLUMN()))),ovrHeaderRow25,0))</f>
        <v>40.1</v>
      </c>
      <c r="BW77" s="12">
        <f>INDEX(ovrTable25,MATCH(INDEX(oppCol,ROW()),ovrTeamCol25,0),MATCH(MID(INDEX('Structured 2025'!headerRow,1,COLUMN()),4,LEN(INDEX('Structured 2025'!headerRow,1,COLUMN()))),ovrHeaderRow25,0))</f>
        <v>27.38</v>
      </c>
      <c r="BX77" s="12">
        <f>INDEX(ovrTable25,MATCH(INDEX(oppCol,ROW()),ovrTeamCol25,0),MATCH(MID(INDEX('Structured 2025'!headerRow,1,COLUMN()),4,LEN(INDEX('Structured 2025'!headerRow,1,COLUMN()))),ovrHeaderRow25,0))</f>
        <v>0.53800000000000003</v>
      </c>
      <c r="BY77" s="12">
        <f>INDEX(ovrTable25,MATCH(INDEX(oppCol,ROW()),ovrTeamCol25,0),MATCH(MID(INDEX('Structured 2025'!headerRow,1,COLUMN()),4,LEN(INDEX('Structured 2025'!headerRow,1,COLUMN()))),ovrHeaderRow25,0))</f>
        <v>9.65</v>
      </c>
      <c r="BZ77" s="12">
        <f>INDEX(ovrTable25,MATCH(INDEX(oppCol,ROW()),ovrTeamCol25,0),MATCH(MID(INDEX('Structured 2025'!headerRow,1,COLUMN()),4,LEN(INDEX('Structured 2025'!headerRow,1,COLUMN()))),ovrHeaderRow25,0))</f>
        <v>46.8</v>
      </c>
      <c r="CA77" s="12">
        <f>INDEX(ovrTable25,MATCH(INDEX(oppCol,ROW()),ovrTeamCol25,0),MATCH(MID(INDEX('Structured 2025'!headerRow,1,COLUMN()),4,LEN(INDEX('Structured 2025'!headerRow,1,COLUMN()))),ovrHeaderRow25,0))</f>
        <v>17.100000000000001</v>
      </c>
      <c r="CB77" s="12">
        <f>INDEX(ovrTable25,MATCH(INDEX(oppCol,ROW()),ovrTeamCol25,0),MATCH(MID(INDEX('Structured 2025'!headerRow,1,COLUMN()),4,LEN(INDEX('Structured 2025'!headerRow,1,COLUMN()))),ovrHeaderRow25,0))</f>
        <v>72.8</v>
      </c>
      <c r="CC77" s="12">
        <f>INDEX(ovrTable25,MATCH(INDEX(oppCol,ROW()),ovrTeamCol25,0),MATCH(MID(INDEX('Structured 2025'!headerRow,1,COLUMN()),4,LEN(INDEX('Structured 2025'!headerRow,1,COLUMN()))),ovrHeaderRow25,0))</f>
        <v>20.9</v>
      </c>
      <c r="CD77" s="12">
        <f>INDEX(ovrTable25,MATCH(INDEX(oppCol,ROW()),ovrTeamCol25,0),MATCH(MID(INDEX('Structured 2025'!headerRow,1,COLUMN()),4,LEN(INDEX('Structured 2025'!headerRow,1,COLUMN()))),ovrHeaderRow25,0))</f>
        <v>15.2</v>
      </c>
      <c r="CE77" s="12">
        <f>INDEX(ovrTable25,MATCH(INDEX(oppCol,ROW()),ovrTeamCol25,0),MATCH(MID(INDEX('Structured 2025'!headerRow,1,COLUMN()),4,LEN(INDEX('Structured 2025'!headerRow,1,COLUMN()))),ovrHeaderRow25,0))</f>
        <v>71.5</v>
      </c>
      <c r="CF77" s="12">
        <f>INDEX(ovrTable25,MATCH(INDEX(oppCol,ROW()),ovrTeamCol25,0),MATCH(MID(INDEX('Structured 2025'!headerRow,1,COLUMN()),4,LEN(INDEX('Structured 2025'!headerRow,1,COLUMN()))),ovrHeaderRow25,0))</f>
        <v>11.05</v>
      </c>
      <c r="CG77" s="12">
        <f>INDEX(ovrTable25,MATCH(INDEX(oppCol,ROW()),ovrTeamCol25,0),MATCH(MID(INDEX('Structured 2025'!headerRow,1,COLUMN()),4,LEN(INDEX('Structured 2025'!headerRow,1,COLUMN()))),ovrHeaderRow25,0))</f>
        <v>78</v>
      </c>
      <c r="CH77" s="12">
        <f>INDEX(ovrTable25,MATCH(INDEX(oppCol,ROW()),ovrTeamCol25,0),MATCH(MID(INDEX('Structured 2025'!headerRow,1,COLUMN()),4,LEN(INDEX('Structured 2025'!headerRow,1,COLUMN()))),ovrHeaderRow25,0))</f>
        <v>4.3</v>
      </c>
      <c r="CI77" s="12">
        <f>INDEX(ovrTable25,MATCH(INDEX(oppCol,ROW()),ovrTeamCol25,0),MATCH(MID(INDEX('Structured 2025'!headerRow,1,COLUMN()),4,LEN(INDEX('Structured 2025'!headerRow,1,COLUMN()))),ovrHeaderRow25,0))</f>
        <v>38.43</v>
      </c>
      <c r="CJ77" s="12">
        <f>INDEX(ovrTable25,MATCH(INDEX(oppCol,ROW()),ovrTeamCol25,0),MATCH(MID(INDEX('Structured 2025'!headerRow,1,COLUMN()),4,LEN(INDEX('Structured 2025'!headerRow,1,COLUMN()))),ovrHeaderRow25,0))</f>
        <v>6.5</v>
      </c>
      <c r="CK77" s="12">
        <f>INDEX(ovrTable25,MATCH(INDEX(oppCol,ROW()),ovrTeamCol25,0),MATCH(MID(INDEX('Structured 2025'!headerRow,1,COLUMN()),4,LEN(INDEX('Structured 2025'!headerRow,1,COLUMN()))),ovrHeaderRow25,0))</f>
        <v>5.4</v>
      </c>
      <c r="CL77" s="12">
        <f>INDEX(ovrTable25,MATCH(INDEX(oppCol,ROW()),ovrTeamCol25,0),MATCH(MID(INDEX('Structured 2025'!headerRow,1,COLUMN()),4,LEN(INDEX('Structured 2025'!headerRow,1,COLUMN()))),ovrHeaderRow25,0))</f>
        <v>-2.7</v>
      </c>
      <c r="CM77" s="12">
        <f>INDEX(ovrTable25,MATCH(INDEX(oppCol,ROW()),ovrTeamCol25,0),MATCH(MID(INDEX('Structured 2025'!headerRow,1,COLUMN()),4,LEN(INDEX('Structured 2025'!headerRow,1,COLUMN()))),ovrHeaderRow25,0))</f>
        <v>11.27</v>
      </c>
      <c r="CN77" s="12">
        <f>INDEX(ovrTable25,MATCH(INDEX(oppCol,ROW()),ovrTeamCol25,0),MATCH(MID(INDEX('Structured 2025'!headerRow,1,COLUMN()),4,LEN(INDEX('Structured 2025'!headerRow,1,COLUMN()))),ovrHeaderRow25,0))</f>
        <v>14</v>
      </c>
      <c r="CO77" s="12">
        <f>INDEX(ovrTable25,MATCH(INDEX(oppCol,ROW()),ovrTeamCol25,0),MATCH(MID(INDEX('Structured 2025'!headerRow,1,COLUMN()),4,LEN(INDEX('Structured 2025'!headerRow,1,COLUMN()))),ovrHeaderRow25,0))</f>
        <v>70.099999999999994</v>
      </c>
      <c r="CP77" s="12">
        <f>INDEX(ovrTable25,MATCH(INDEX(oppCol,ROW()),ovrTeamCol25,0),MATCH(MID(INDEX('Structured 2025'!headerRow,1,COLUMN()),4,LEN(INDEX('Structured 2025'!headerRow,1,COLUMN()))),ovrHeaderRow25,0))</f>
        <v>19.25</v>
      </c>
      <c r="CQ77" s="12">
        <f>INDEX(ovrTable25,MATCH(INDEX(oppCol,ROW()),ovrTeamCol25,0),MATCH(MID(INDEX('Structured 2025'!headerRow,1,COLUMN()),4,LEN(INDEX('Structured 2025'!headerRow,1,COLUMN()))),ovrHeaderRow25,0))</f>
        <v>58.440170940170944</v>
      </c>
    </row>
    <row r="78" spans="1:95" x14ac:dyDescent="0.3">
      <c r="A78" s="6" t="s">
        <v>314</v>
      </c>
      <c r="B78" s="3">
        <v>6</v>
      </c>
      <c r="C78" s="13" t="str">
        <f>A79</f>
        <v>ISU</v>
      </c>
      <c r="D78" s="14">
        <f t="shared" si="26"/>
        <v>39</v>
      </c>
      <c r="E78" s="23">
        <v>0.36363636363636365</v>
      </c>
      <c r="F78" s="24">
        <v>58.18181818181818</v>
      </c>
      <c r="G78" s="24">
        <v>11</v>
      </c>
      <c r="H78" s="23">
        <v>57.894736842105267</v>
      </c>
      <c r="I78" s="24">
        <v>19</v>
      </c>
      <c r="J78" s="25">
        <v>1.875</v>
      </c>
      <c r="K78" s="24">
        <v>16</v>
      </c>
      <c r="L78" s="24">
        <v>21</v>
      </c>
      <c r="M78" s="24">
        <v>6</v>
      </c>
      <c r="N78" s="24">
        <v>23</v>
      </c>
      <c r="O78" s="24">
        <v>15</v>
      </c>
      <c r="P78" s="24">
        <v>11</v>
      </c>
      <c r="Q78" s="24">
        <v>1</v>
      </c>
      <c r="R78" s="24">
        <v>8</v>
      </c>
      <c r="S78" s="24">
        <v>19</v>
      </c>
      <c r="T78" s="24">
        <v>21</v>
      </c>
      <c r="U78" s="24">
        <v>23</v>
      </c>
      <c r="V78" s="24">
        <v>0.48214285714285715</v>
      </c>
      <c r="W78" s="26">
        <v>0.68181818181818177</v>
      </c>
      <c r="X78" s="23">
        <v>76.19047619047619</v>
      </c>
      <c r="Y78" s="24">
        <v>78</v>
      </c>
      <c r="Z78" s="24">
        <v>91</v>
      </c>
      <c r="AA78" s="24">
        <v>-5</v>
      </c>
      <c r="AB78" s="24">
        <v>29</v>
      </c>
      <c r="AC78" s="24">
        <v>13</v>
      </c>
      <c r="AD78" s="24">
        <v>7</v>
      </c>
      <c r="AE78" s="24">
        <v>15</v>
      </c>
      <c r="AF78" s="34">
        <f t="shared" si="69"/>
        <v>21</v>
      </c>
      <c r="AG78" s="34">
        <f t="shared" si="70"/>
        <v>36</v>
      </c>
      <c r="AH78" s="46">
        <f t="shared" si="71"/>
        <v>66.974999999999994</v>
      </c>
      <c r="AI78" s="51">
        <f t="shared" ref="AI78" si="84">AVERAGE(AH78,AH79)</f>
        <v>68.1875</v>
      </c>
      <c r="AJ78" s="12">
        <f>INDEX(ovrTable25,MATCH(INDEX('Structured 2025'!teamCol,ROW()),ovrTeamCol25,0),MATCH(MID(INDEX('Structured 2025'!headerRow,1,COLUMN()),4,LEN(INDEX('Structured 2025'!headerRow,1,COLUMN()))),ovrHeaderRow25,0))</f>
        <v>32.5</v>
      </c>
      <c r="AK78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78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78" s="12">
        <f>INDEX(ovrTable25,MATCH(INDEX('Structured 2025'!teamCol,ROW()),ovrTeamCol25,0),MATCH(MID(INDEX('Structured 2025'!headerRow,1,COLUMN()),4,LEN(INDEX('Structured 2025'!headerRow,1,COLUMN()))),ovrHeaderRow25,0))</f>
        <v>24</v>
      </c>
      <c r="AN78" s="12">
        <f>INDEX(ovrTable25,MATCH(INDEX('Structured 2025'!teamCol,ROW()),ovrTeamCol25,0),MATCH(MID(INDEX('Structured 2025'!headerRow,1,COLUMN()),4,LEN(INDEX('Structured 2025'!headerRow,1,COLUMN()))),ovrHeaderRow25,0))</f>
        <v>1.57</v>
      </c>
      <c r="AO78" s="12">
        <f>INDEX(ovrTable25,MATCH(INDEX('Structured 2025'!teamCol,ROW()),ovrTeamCol25,0),MATCH(MID(INDEX('Structured 2025'!headerRow,1,COLUMN()),4,LEN(INDEX('Structured 2025'!headerRow,1,COLUMN()))),ovrHeaderRow25,0))</f>
        <v>14.2</v>
      </c>
      <c r="AP78" s="12">
        <f>INDEX(ovrTable25,MATCH(INDEX('Structured 2025'!teamCol,ROW()),ovrTeamCol25,0),MATCH(MID(INDEX('Structured 2025'!headerRow,1,COLUMN()),4,LEN(INDEX('Structured 2025'!headerRow,1,COLUMN()))),ovrHeaderRow25,0))</f>
        <v>20.72</v>
      </c>
      <c r="AQ78" s="12">
        <f>INDEX(ovrTable25,MATCH(INDEX('Structured 2025'!teamCol,ROW()),ovrTeamCol25,0),MATCH(MID(INDEX('Structured 2025'!headerRow,1,COLUMN()),4,LEN(INDEX('Structured 2025'!headerRow,1,COLUMN()))),ovrHeaderRow25,0))</f>
        <v>3.7</v>
      </c>
      <c r="AR78" s="12">
        <f>INDEX(ovrTable25,MATCH(INDEX('Structured 2025'!teamCol,ROW()),ovrTeamCol25,0),MATCH(MID(INDEX('Structured 2025'!headerRow,1,COLUMN()),4,LEN(INDEX('Structured 2025'!headerRow,1,COLUMN()))),ovrHeaderRow25,0))</f>
        <v>43.4</v>
      </c>
      <c r="AS78" s="12">
        <f>INDEX(ovrTable25,MATCH(INDEX('Structured 2025'!teamCol,ROW()),ovrTeamCol25,0),MATCH(MID(INDEX('Structured 2025'!headerRow,1,COLUMN()),4,LEN(INDEX('Structured 2025'!headerRow,1,COLUMN()))),ovrHeaderRow25,0))</f>
        <v>23.94</v>
      </c>
      <c r="AT78" s="12">
        <f>INDEX(ovrTable25,MATCH(INDEX('Structured 2025'!teamCol,ROW()),ovrTeamCol25,0),MATCH(MID(INDEX('Structured 2025'!headerRow,1,COLUMN()),4,LEN(INDEX('Structured 2025'!headerRow,1,COLUMN()))),ovrHeaderRow25,0))</f>
        <v>0.51400000000000001</v>
      </c>
      <c r="AU78" s="12">
        <f>INDEX(ovrTable25,MATCH(INDEX('Structured 2025'!teamCol,ROW()),ovrTeamCol25,0),MATCH(MID(INDEX('Structured 2025'!headerRow,1,COLUMN()),4,LEN(INDEX('Structured 2025'!headerRow,1,COLUMN()))),ovrHeaderRow25,0))</f>
        <v>10.75</v>
      </c>
      <c r="AV78" s="12">
        <f>INDEX(ovrTable25,MATCH(INDEX('Structured 2025'!teamCol,ROW()),ovrTeamCol25,0),MATCH(MID(INDEX('Structured 2025'!headerRow,1,COLUMN()),4,LEN(INDEX('Structured 2025'!headerRow,1,COLUMN()))),ovrHeaderRow25,0))</f>
        <v>44.5</v>
      </c>
      <c r="AW78" s="12">
        <f>INDEX(ovrTable25,MATCH(INDEX('Structured 2025'!teamCol,ROW()),ovrTeamCol25,0),MATCH(MID(INDEX('Structured 2025'!headerRow,1,COLUMN()),4,LEN(INDEX('Structured 2025'!headerRow,1,COLUMN()))),ovrHeaderRow25,0))</f>
        <v>18.3</v>
      </c>
      <c r="AX78" s="12">
        <f>INDEX(ovrTable25,MATCH(INDEX('Structured 2025'!teamCol,ROW()),ovrTeamCol25,0),MATCH(MID(INDEX('Structured 2025'!headerRow,1,COLUMN()),4,LEN(INDEX('Structured 2025'!headerRow,1,COLUMN()))),ovrHeaderRow25,0))</f>
        <v>73.8</v>
      </c>
      <c r="AY78" s="12">
        <f>INDEX(ovrTable25,MATCH(INDEX('Structured 2025'!teamCol,ROW()),ovrTeamCol25,0),MATCH(MID(INDEX('Structured 2025'!headerRow,1,COLUMN()),4,LEN(INDEX('Structured 2025'!headerRow,1,COLUMN()))),ovrHeaderRow25,0))</f>
        <v>21.1</v>
      </c>
      <c r="AZ78" s="12">
        <f>INDEX(ovrTable25,MATCH(INDEX('Structured 2025'!teamCol,ROW()),ovrTeamCol25,0),MATCH(MID(INDEX('Structured 2025'!headerRow,1,COLUMN()),4,LEN(INDEX('Structured 2025'!headerRow,1,COLUMN()))),ovrHeaderRow25,0))</f>
        <v>15.6</v>
      </c>
      <c r="BA78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BB78" s="12">
        <f>INDEX(ovrTable25,MATCH(INDEX('Structured 2025'!teamCol,ROW()),ovrTeamCol25,0),MATCH(MID(INDEX('Structured 2025'!headerRow,1,COLUMN()),4,LEN(INDEX('Structured 2025'!headerRow,1,COLUMN()))),ovrHeaderRow25,0))</f>
        <v>9.19</v>
      </c>
      <c r="BC78" s="12">
        <f>INDEX(ovrTable25,MATCH(INDEX('Structured 2025'!teamCol,ROW()),ovrTeamCol25,0),MATCH(MID(INDEX('Structured 2025'!headerRow,1,COLUMN()),4,LEN(INDEX('Structured 2025'!headerRow,1,COLUMN()))),ovrHeaderRow25,0))</f>
        <v>77.2</v>
      </c>
      <c r="BD78" s="12">
        <f>INDEX(ovrTable25,MATCH(INDEX('Structured 2025'!teamCol,ROW()),ovrTeamCol25,0),MATCH(MID(INDEX('Structured 2025'!headerRow,1,COLUMN()),4,LEN(INDEX('Structured 2025'!headerRow,1,COLUMN()))),ovrHeaderRow25,0))</f>
        <v>-4.0999999999999996</v>
      </c>
      <c r="BE78" s="12">
        <f>INDEX(ovrTable25,MATCH(INDEX('Structured 2025'!teamCol,ROW()),ovrTeamCol25,0),MATCH(MID(INDEX('Structured 2025'!headerRow,1,COLUMN()),4,LEN(INDEX('Structured 2025'!headerRow,1,COLUMN()))),ovrHeaderRow25,0))</f>
        <v>33.14</v>
      </c>
      <c r="BF78" s="12">
        <f>INDEX(ovrTable25,MATCH(INDEX('Structured 2025'!teamCol,ROW()),ovrTeamCol25,0),MATCH(MID(INDEX('Structured 2025'!headerRow,1,COLUMN()),4,LEN(INDEX('Structured 2025'!headerRow,1,COLUMN()))),ovrHeaderRow25,0))</f>
        <v>5.6</v>
      </c>
      <c r="BG78" s="12">
        <f>INDEX(ovrTable25,MATCH(INDEX('Structured 2025'!teamCol,ROW()),ovrTeamCol25,0),MATCH(MID(INDEX('Structured 2025'!headerRow,1,COLUMN()),4,LEN(INDEX('Structured 2025'!headerRow,1,COLUMN()))),ovrHeaderRow25,0))</f>
        <v>8.8000000000000007</v>
      </c>
      <c r="BH78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BI78" s="12">
        <f>INDEX(ovrTable25,MATCH(INDEX('Structured 2025'!teamCol,ROW()),ovrTeamCol25,0),MATCH(MID(INDEX('Structured 2025'!headerRow,1,COLUMN()),4,LEN(INDEX('Structured 2025'!headerRow,1,COLUMN()))),ovrHeaderRow25,0))</f>
        <v>14.08</v>
      </c>
      <c r="BJ78" s="12">
        <f>INDEX(ovrTable25,MATCH(INDEX('Structured 2025'!teamCol,ROW()),ovrTeamCol25,0),MATCH(MID(INDEX('Structured 2025'!headerRow,1,COLUMN()),4,LEN(INDEX('Structured 2025'!headerRow,1,COLUMN()))),ovrHeaderRow25,0))</f>
        <v>9</v>
      </c>
      <c r="BK78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78" s="12">
        <f>INDEX(ovrTable25,MATCH(INDEX('Structured 2025'!teamCol,ROW()),ovrTeamCol25,0),MATCH(MID(INDEX('Structured 2025'!headerRow,1,COLUMN()),4,LEN(INDEX('Structured 2025'!headerRow,1,COLUMN()))),ovrHeaderRow25,0))</f>
        <v>18.350000000000001</v>
      </c>
      <c r="BM78" s="12">
        <f>INDEX(ovrTable25,MATCH(INDEX('Structured 2025'!teamCol,ROW()),ovrTeamCol25,0),MATCH(MID(INDEX('Structured 2025'!headerRow,1,COLUMN()),4,LEN(INDEX('Structured 2025'!headerRow,1,COLUMN()))),ovrHeaderRow25,0))</f>
        <v>59.887640449438202</v>
      </c>
      <c r="BN78" s="12">
        <f>INDEX(ovrTable25,MATCH(INDEX(oppCol,ROW()),ovrTeamCol25,0),MATCH(MID(INDEX('Structured 2025'!headerRow,1,COLUMN()),4,LEN(INDEX('Structured 2025'!headerRow,1,COLUMN()))),ovrHeaderRow25,0))</f>
        <v>33.6</v>
      </c>
      <c r="BO78" s="12">
        <f>INDEX(ovrTable25,MATCH(INDEX(oppCol,ROW()),ovrTeamCol25,0),MATCH(MID(INDEX('Structured 2025'!headerRow,1,COLUMN()),4,LEN(INDEX('Structured 2025'!headerRow,1,COLUMN()))),ovrHeaderRow25,0))</f>
        <v>7.7</v>
      </c>
      <c r="BP78" s="12">
        <f>INDEX(ovrTable25,MATCH(INDEX(oppCol,ROW()),ovrTeamCol25,0),MATCH(MID(INDEX('Structured 2025'!headerRow,1,COLUMN()),4,LEN(INDEX('Structured 2025'!headerRow,1,COLUMN()))),ovrHeaderRow25,0))</f>
        <v>35.799999999999997</v>
      </c>
      <c r="BQ78" s="12">
        <f>INDEX(ovrTable25,MATCH(INDEX(oppCol,ROW()),ovrTeamCol25,0),MATCH(MID(INDEX('Structured 2025'!headerRow,1,COLUMN()),4,LEN(INDEX('Structured 2025'!headerRow,1,COLUMN()))),ovrHeaderRow25,0))</f>
        <v>21.4</v>
      </c>
      <c r="BR78" s="12">
        <f>INDEX(ovrTable25,MATCH(INDEX(oppCol,ROW()),ovrTeamCol25,0),MATCH(MID(INDEX('Structured 2025'!headerRow,1,COLUMN()),4,LEN(INDEX('Structured 2025'!headerRow,1,COLUMN()))),ovrHeaderRow25,0))</f>
        <v>1.25</v>
      </c>
      <c r="BS78" s="12">
        <f>INDEX(ovrTable25,MATCH(INDEX(oppCol,ROW()),ovrTeamCol25,0),MATCH(MID(INDEX('Structured 2025'!headerRow,1,COLUMN()),4,LEN(INDEX('Structured 2025'!headerRow,1,COLUMN()))),ovrHeaderRow25,0))</f>
        <v>15</v>
      </c>
      <c r="BT78" s="12">
        <f>INDEX(ovrTable25,MATCH(INDEX(oppCol,ROW()),ovrTeamCol25,0),MATCH(MID(INDEX('Structured 2025'!headerRow,1,COLUMN()),4,LEN(INDEX('Structured 2025'!headerRow,1,COLUMN()))),ovrHeaderRow25,0))</f>
        <v>22.6</v>
      </c>
      <c r="BU78" s="12">
        <f>INDEX(ovrTable25,MATCH(INDEX(oppCol,ROW()),ovrTeamCol25,0),MATCH(MID(INDEX('Structured 2025'!headerRow,1,COLUMN()),4,LEN(INDEX('Structured 2025'!headerRow,1,COLUMN()))),ovrHeaderRow25,0))</f>
        <v>3.4</v>
      </c>
      <c r="BV78" s="12">
        <f>INDEX(ovrTable25,MATCH(INDEX(oppCol,ROW()),ovrTeamCol25,0),MATCH(MID(INDEX('Structured 2025'!headerRow,1,COLUMN()),4,LEN(INDEX('Structured 2025'!headerRow,1,COLUMN()))),ovrHeaderRow25,0))</f>
        <v>42</v>
      </c>
      <c r="BW78" s="12">
        <f>INDEX(ovrTable25,MATCH(INDEX(oppCol,ROW()),ovrTeamCol25,0),MATCH(MID(INDEX('Structured 2025'!headerRow,1,COLUMN()),4,LEN(INDEX('Structured 2025'!headerRow,1,COLUMN()))),ovrHeaderRow25,0))</f>
        <v>25.06</v>
      </c>
      <c r="BX78" s="12">
        <f>INDEX(ovrTable25,MATCH(INDEX(oppCol,ROW()),ovrTeamCol25,0),MATCH(MID(INDEX('Structured 2025'!headerRow,1,COLUMN()),4,LEN(INDEX('Structured 2025'!headerRow,1,COLUMN()))),ovrHeaderRow25,0))</f>
        <v>0.54900000000000004</v>
      </c>
      <c r="BY78" s="12">
        <f>INDEX(ovrTable25,MATCH(INDEX(oppCol,ROW()),ovrTeamCol25,0),MATCH(MID(INDEX('Structured 2025'!headerRow,1,COLUMN()),4,LEN(INDEX('Structured 2025'!headerRow,1,COLUMN()))),ovrHeaderRow25,0))</f>
        <v>11.94</v>
      </c>
      <c r="BZ78" s="12">
        <f>INDEX(ovrTable25,MATCH(INDEX(oppCol,ROW()),ovrTeamCol25,0),MATCH(MID(INDEX('Structured 2025'!headerRow,1,COLUMN()),4,LEN(INDEX('Structured 2025'!headerRow,1,COLUMN()))),ovrHeaderRow25,0))</f>
        <v>48.3</v>
      </c>
      <c r="CA78" s="12">
        <f>INDEX(ovrTable25,MATCH(INDEX(oppCol,ROW()),ovrTeamCol25,0),MATCH(MID(INDEX('Structured 2025'!headerRow,1,COLUMN()),4,LEN(INDEX('Structured 2025'!headerRow,1,COLUMN()))),ovrHeaderRow25,0))</f>
        <v>16.2</v>
      </c>
      <c r="CB78" s="12">
        <f>INDEX(ovrTable25,MATCH(INDEX(oppCol,ROW()),ovrTeamCol25,0),MATCH(MID(INDEX('Structured 2025'!headerRow,1,COLUMN()),4,LEN(INDEX('Structured 2025'!headerRow,1,COLUMN()))),ovrHeaderRow25,0))</f>
        <v>75.3</v>
      </c>
      <c r="CC78" s="12">
        <f>INDEX(ovrTable25,MATCH(INDEX(oppCol,ROW()),ovrTeamCol25,0),MATCH(MID(INDEX('Structured 2025'!headerRow,1,COLUMN()),4,LEN(INDEX('Structured 2025'!headerRow,1,COLUMN()))),ovrHeaderRow25,0))</f>
        <v>22</v>
      </c>
      <c r="CD78" s="12">
        <f>INDEX(ovrTable25,MATCH(INDEX(oppCol,ROW()),ovrTeamCol25,0),MATCH(MID(INDEX('Structured 2025'!headerRow,1,COLUMN()),4,LEN(INDEX('Structured 2025'!headerRow,1,COLUMN()))),ovrHeaderRow25,0))</f>
        <v>16.600000000000001</v>
      </c>
      <c r="CE78" s="12">
        <f>INDEX(ovrTable25,MATCH(INDEX(oppCol,ROW()),ovrTeamCol25,0),MATCH(MID(INDEX('Structured 2025'!headerRow,1,COLUMN()),4,LEN(INDEX('Structured 2025'!headerRow,1,COLUMN()))),ovrHeaderRow25,0))</f>
        <v>68.3</v>
      </c>
      <c r="CF78" s="12">
        <f>INDEX(ovrTable25,MATCH(INDEX(oppCol,ROW()),ovrTeamCol25,0),MATCH(MID(INDEX('Structured 2025'!headerRow,1,COLUMN()),4,LEN(INDEX('Structured 2025'!headerRow,1,COLUMN()))),ovrHeaderRow25,0))</f>
        <v>10.31</v>
      </c>
      <c r="CG78" s="12">
        <f>INDEX(ovrTable25,MATCH(INDEX(oppCol,ROW()),ovrTeamCol25,0),MATCH(MID(INDEX('Structured 2025'!headerRow,1,COLUMN()),4,LEN(INDEX('Structured 2025'!headerRow,1,COLUMN()))),ovrHeaderRow25,0))</f>
        <v>80.3</v>
      </c>
      <c r="CH78" s="12">
        <f>INDEX(ovrTable25,MATCH(INDEX(oppCol,ROW()),ovrTeamCol25,0),MATCH(MID(INDEX('Structured 2025'!headerRow,1,COLUMN()),4,LEN(INDEX('Structured 2025'!headerRow,1,COLUMN()))),ovrHeaderRow25,0))</f>
        <v>3.9</v>
      </c>
      <c r="CI78" s="12">
        <f>INDEX(ovrTable25,MATCH(INDEX(oppCol,ROW()),ovrTeamCol25,0),MATCH(MID(INDEX('Structured 2025'!headerRow,1,COLUMN()),4,LEN(INDEX('Structured 2025'!headerRow,1,COLUMN()))),ovrHeaderRow25,0))</f>
        <v>35.369999999999997</v>
      </c>
      <c r="CJ78" s="12">
        <f>INDEX(ovrTable25,MATCH(INDEX(oppCol,ROW()),ovrTeamCol25,0),MATCH(MID(INDEX('Structured 2025'!headerRow,1,COLUMN()),4,LEN(INDEX('Structured 2025'!headerRow,1,COLUMN()))),ovrHeaderRow25,0))</f>
        <v>12</v>
      </c>
      <c r="CK78" s="12">
        <f>INDEX(ovrTable25,MATCH(INDEX(oppCol,ROW()),ovrTeamCol25,0),MATCH(MID(INDEX('Structured 2025'!headerRow,1,COLUMN()),4,LEN(INDEX('Structured 2025'!headerRow,1,COLUMN()))),ovrHeaderRow25,0))</f>
        <v>9.3000000000000007</v>
      </c>
      <c r="CL78" s="12">
        <f>INDEX(ovrTable25,MATCH(INDEX(oppCol,ROW()),ovrTeamCol25,0),MATCH(MID(INDEX('Structured 2025'!headerRow,1,COLUMN()),4,LEN(INDEX('Structured 2025'!headerRow,1,COLUMN()))),ovrHeaderRow25,0))</f>
        <v>3.2</v>
      </c>
      <c r="CM78" s="12">
        <f>INDEX(ovrTable25,MATCH(INDEX(oppCol,ROW()),ovrTeamCol25,0),MATCH(MID(INDEX('Structured 2025'!headerRow,1,COLUMN()),4,LEN(INDEX('Structured 2025'!headerRow,1,COLUMN()))),ovrHeaderRow25,0))</f>
        <v>15.23</v>
      </c>
      <c r="CN78" s="12">
        <f>INDEX(ovrTable25,MATCH(INDEX(oppCol,ROW()),ovrTeamCol25,0),MATCH(MID(INDEX('Structured 2025'!headerRow,1,COLUMN()),4,LEN(INDEX('Structured 2025'!headerRow,1,COLUMN()))),ovrHeaderRow25,0))</f>
        <v>12</v>
      </c>
      <c r="CO78" s="12">
        <f>INDEX(ovrTable25,MATCH(INDEX(oppCol,ROW()),ovrTeamCol25,0),MATCH(MID(INDEX('Structured 2025'!headerRow,1,COLUMN()),4,LEN(INDEX('Structured 2025'!headerRow,1,COLUMN()))),ovrHeaderRow25,0))</f>
        <v>68.8</v>
      </c>
      <c r="CP78" s="12">
        <f>INDEX(ovrTable25,MATCH(INDEX(oppCol,ROW()),ovrTeamCol25,0),MATCH(MID(INDEX('Structured 2025'!headerRow,1,COLUMN()),4,LEN(INDEX('Structured 2025'!headerRow,1,COLUMN()))),ovrHeaderRow25,0))</f>
        <v>20.299999999999997</v>
      </c>
      <c r="CQ78" s="12">
        <f>INDEX(ovrTable25,MATCH(INDEX(oppCol,ROW()),ovrTeamCol25,0),MATCH(MID(INDEX('Structured 2025'!headerRow,1,COLUMN()),4,LEN(INDEX('Structured 2025'!headerRow,1,COLUMN()))),ovrHeaderRow25,0))</f>
        <v>57.971014492753618</v>
      </c>
    </row>
    <row r="79" spans="1:95" x14ac:dyDescent="0.3">
      <c r="A79" s="6" t="s">
        <v>3</v>
      </c>
      <c r="B79" s="3">
        <v>3</v>
      </c>
      <c r="C79" s="13" t="str">
        <f>A78</f>
        <v>MISS</v>
      </c>
      <c r="D79" s="14">
        <f t="shared" si="26"/>
        <v>39</v>
      </c>
      <c r="E79" s="23">
        <v>0.57894736842105265</v>
      </c>
      <c r="F79" s="24">
        <v>48.214285714285715</v>
      </c>
      <c r="G79" s="24">
        <v>8</v>
      </c>
      <c r="H79" s="23">
        <v>36.363636363636367</v>
      </c>
      <c r="I79" s="24">
        <v>22</v>
      </c>
      <c r="J79" s="25">
        <v>0.6</v>
      </c>
      <c r="K79" s="24">
        <v>16</v>
      </c>
      <c r="L79" s="24">
        <v>24</v>
      </c>
      <c r="M79" s="24">
        <v>13</v>
      </c>
      <c r="N79" s="24">
        <v>21</v>
      </c>
      <c r="O79" s="24">
        <v>9</v>
      </c>
      <c r="P79" s="24">
        <v>5</v>
      </c>
      <c r="Q79" s="24">
        <v>0</v>
      </c>
      <c r="R79" s="24">
        <v>15</v>
      </c>
      <c r="S79" s="24">
        <v>12</v>
      </c>
      <c r="T79" s="24">
        <v>19</v>
      </c>
      <c r="U79" s="24">
        <v>28</v>
      </c>
      <c r="V79" s="24">
        <v>0.58181818181818179</v>
      </c>
      <c r="W79" s="26">
        <v>0.5535714285714286</v>
      </c>
      <c r="X79" s="23">
        <v>66.666666666666657</v>
      </c>
      <c r="Y79" s="24">
        <v>91</v>
      </c>
      <c r="Z79" s="24">
        <v>78</v>
      </c>
      <c r="AA79" s="24">
        <v>5</v>
      </c>
      <c r="AB79" s="24">
        <v>34</v>
      </c>
      <c r="AC79" s="24">
        <v>-13</v>
      </c>
      <c r="AD79" s="24">
        <v>-7</v>
      </c>
      <c r="AE79" s="24">
        <v>8</v>
      </c>
      <c r="AF79" s="34">
        <f t="shared" si="69"/>
        <v>19</v>
      </c>
      <c r="AG79" s="34">
        <f t="shared" si="70"/>
        <v>34</v>
      </c>
      <c r="AH79" s="46">
        <f t="shared" si="71"/>
        <v>69.400000000000006</v>
      </c>
      <c r="AI79" s="51">
        <f t="shared" ref="AI79" si="85">AVERAGE(AH78,AH79)</f>
        <v>68.1875</v>
      </c>
      <c r="AJ79" s="12">
        <f>INDEX(ovrTable25,MATCH(INDEX('Structured 2025'!teamCol,ROW()),ovrTeamCol25,0),MATCH(MID(INDEX('Structured 2025'!headerRow,1,COLUMN()),4,LEN(INDEX('Structured 2025'!headerRow,1,COLUMN()))),ovrHeaderRow25,0))</f>
        <v>33.6</v>
      </c>
      <c r="AK79" s="12">
        <f>INDEX(ovrTable25,MATCH(INDEX('Structured 2025'!teamCol,ROW()),ovrTeamCol25,0),MATCH(MID(INDEX('Structured 2025'!headerRow,1,COLUMN()),4,LEN(INDEX('Structured 2025'!headerRow,1,COLUMN()))),ovrHeaderRow25,0))</f>
        <v>7.7</v>
      </c>
      <c r="AL79" s="12">
        <f>INDEX(ovrTable25,MATCH(INDEX('Structured 2025'!teamCol,ROW()),ovrTeamCol25,0),MATCH(MID(INDEX('Structured 2025'!headerRow,1,COLUMN()),4,LEN(INDEX('Structured 2025'!headerRow,1,COLUMN()))),ovrHeaderRow25,0))</f>
        <v>35.799999999999997</v>
      </c>
      <c r="AM79" s="12">
        <f>INDEX(ovrTable25,MATCH(INDEX('Structured 2025'!teamCol,ROW()),ovrTeamCol25,0),MATCH(MID(INDEX('Structured 2025'!headerRow,1,COLUMN()),4,LEN(INDEX('Structured 2025'!headerRow,1,COLUMN()))),ovrHeaderRow25,0))</f>
        <v>21.4</v>
      </c>
      <c r="AN79" s="12">
        <f>INDEX(ovrTable25,MATCH(INDEX('Structured 2025'!teamCol,ROW()),ovrTeamCol25,0),MATCH(MID(INDEX('Structured 2025'!headerRow,1,COLUMN()),4,LEN(INDEX('Structured 2025'!headerRow,1,COLUMN()))),ovrHeaderRow25,0))</f>
        <v>1.25</v>
      </c>
      <c r="AO79" s="12">
        <f>INDEX(ovrTable25,MATCH(INDEX('Structured 2025'!teamCol,ROW()),ovrTeamCol25,0),MATCH(MID(INDEX('Structured 2025'!headerRow,1,COLUMN()),4,LEN(INDEX('Structured 2025'!headerRow,1,COLUMN()))),ovrHeaderRow25,0))</f>
        <v>15</v>
      </c>
      <c r="AP79" s="12">
        <f>INDEX(ovrTable25,MATCH(INDEX('Structured 2025'!teamCol,ROW()),ovrTeamCol25,0),MATCH(MID(INDEX('Structured 2025'!headerRow,1,COLUMN()),4,LEN(INDEX('Structured 2025'!headerRow,1,COLUMN()))),ovrHeaderRow25,0))</f>
        <v>22.6</v>
      </c>
      <c r="AQ79" s="12">
        <f>INDEX(ovrTable25,MATCH(INDEX('Structured 2025'!teamCol,ROW()),ovrTeamCol25,0),MATCH(MID(INDEX('Structured 2025'!headerRow,1,COLUMN()),4,LEN(INDEX('Structured 2025'!headerRow,1,COLUMN()))),ovrHeaderRow25,0))</f>
        <v>3.4</v>
      </c>
      <c r="AR79" s="12">
        <f>INDEX(ovrTable25,MATCH(INDEX('Structured 2025'!teamCol,ROW()),ovrTeamCol25,0),MATCH(MID(INDEX('Structured 2025'!headerRow,1,COLUMN()),4,LEN(INDEX('Structured 2025'!headerRow,1,COLUMN()))),ovrHeaderRow25,0))</f>
        <v>42</v>
      </c>
      <c r="AS79" s="12">
        <f>INDEX(ovrTable25,MATCH(INDEX('Structured 2025'!teamCol,ROW()),ovrTeamCol25,0),MATCH(MID(INDEX('Structured 2025'!headerRow,1,COLUMN()),4,LEN(INDEX('Structured 2025'!headerRow,1,COLUMN()))),ovrHeaderRow25,0))</f>
        <v>25.06</v>
      </c>
      <c r="AT79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79" s="12">
        <f>INDEX(ovrTable25,MATCH(INDEX('Structured 2025'!teamCol,ROW()),ovrTeamCol25,0),MATCH(MID(INDEX('Structured 2025'!headerRow,1,COLUMN()),4,LEN(INDEX('Structured 2025'!headerRow,1,COLUMN()))),ovrHeaderRow25,0))</f>
        <v>11.94</v>
      </c>
      <c r="AV79" s="12">
        <f>INDEX(ovrTable25,MATCH(INDEX('Structured 2025'!teamCol,ROW()),ovrTeamCol25,0),MATCH(MID(INDEX('Structured 2025'!headerRow,1,COLUMN()),4,LEN(INDEX('Structured 2025'!headerRow,1,COLUMN()))),ovrHeaderRow25,0))</f>
        <v>48.3</v>
      </c>
      <c r="AW79" s="12">
        <f>INDEX(ovrTable25,MATCH(INDEX('Structured 2025'!teamCol,ROW()),ovrTeamCol25,0),MATCH(MID(INDEX('Structured 2025'!headerRow,1,COLUMN()),4,LEN(INDEX('Structured 2025'!headerRow,1,COLUMN()))),ovrHeaderRow25,0))</f>
        <v>16.2</v>
      </c>
      <c r="AX79" s="12">
        <f>INDEX(ovrTable25,MATCH(INDEX('Structured 2025'!teamCol,ROW()),ovrTeamCol25,0),MATCH(MID(INDEX('Structured 2025'!headerRow,1,COLUMN()),4,LEN(INDEX('Structured 2025'!headerRow,1,COLUMN()))),ovrHeaderRow25,0))</f>
        <v>75.3</v>
      </c>
      <c r="AY79" s="12">
        <f>INDEX(ovrTable25,MATCH(INDEX('Structured 2025'!teamCol,ROW()),ovrTeamCol25,0),MATCH(MID(INDEX('Structured 2025'!headerRow,1,COLUMN()),4,LEN(INDEX('Structured 2025'!headerRow,1,COLUMN()))),ovrHeaderRow25,0))</f>
        <v>22</v>
      </c>
      <c r="AZ79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BA79" s="12">
        <f>INDEX(ovrTable25,MATCH(INDEX('Structured 2025'!teamCol,ROW()),ovrTeamCol25,0),MATCH(MID(INDEX('Structured 2025'!headerRow,1,COLUMN()),4,LEN(INDEX('Structured 2025'!headerRow,1,COLUMN()))),ovrHeaderRow25,0))</f>
        <v>68.3</v>
      </c>
      <c r="BB79" s="12">
        <f>INDEX(ovrTable25,MATCH(INDEX('Structured 2025'!teamCol,ROW()),ovrTeamCol25,0),MATCH(MID(INDEX('Structured 2025'!headerRow,1,COLUMN()),4,LEN(INDEX('Structured 2025'!headerRow,1,COLUMN()))),ovrHeaderRow25,0))</f>
        <v>10.31</v>
      </c>
      <c r="BC79" s="12">
        <f>INDEX(ovrTable25,MATCH(INDEX('Structured 2025'!teamCol,ROW()),ovrTeamCol25,0),MATCH(MID(INDEX('Structured 2025'!headerRow,1,COLUMN()),4,LEN(INDEX('Structured 2025'!headerRow,1,COLUMN()))),ovrHeaderRow25,0))</f>
        <v>80.3</v>
      </c>
      <c r="BD79" s="12">
        <f>INDEX(ovrTable25,MATCH(INDEX('Structured 2025'!teamCol,ROW()),ovrTeamCol25,0),MATCH(MID(INDEX('Structured 2025'!headerRow,1,COLUMN()),4,LEN(INDEX('Structured 2025'!headerRow,1,COLUMN()))),ovrHeaderRow25,0))</f>
        <v>3.9</v>
      </c>
      <c r="BE79" s="12">
        <f>INDEX(ovrTable25,MATCH(INDEX('Structured 2025'!teamCol,ROW()),ovrTeamCol25,0),MATCH(MID(INDEX('Structured 2025'!headerRow,1,COLUMN()),4,LEN(INDEX('Structured 2025'!headerRow,1,COLUMN()))),ovrHeaderRow25,0))</f>
        <v>35.369999999999997</v>
      </c>
      <c r="BF79" s="12">
        <f>INDEX(ovrTable25,MATCH(INDEX('Structured 2025'!teamCol,ROW()),ovrTeamCol25,0),MATCH(MID(INDEX('Structured 2025'!headerRow,1,COLUMN()),4,LEN(INDEX('Structured 2025'!headerRow,1,COLUMN()))),ovrHeaderRow25,0))</f>
        <v>12</v>
      </c>
      <c r="BG79" s="12">
        <f>INDEX(ovrTable25,MATCH(INDEX('Structured 2025'!teamCol,ROW()),ovrTeamCol25,0),MATCH(MID(INDEX('Structured 2025'!headerRow,1,COLUMN()),4,LEN(INDEX('Structured 2025'!headerRow,1,COLUMN()))),ovrHeaderRow25,0))</f>
        <v>9.3000000000000007</v>
      </c>
      <c r="BH79" s="12">
        <f>INDEX(ovrTable25,MATCH(INDEX('Structured 2025'!teamCol,ROW()),ovrTeamCol25,0),MATCH(MID(INDEX('Structured 2025'!headerRow,1,COLUMN()),4,LEN(INDEX('Structured 2025'!headerRow,1,COLUMN()))),ovrHeaderRow25,0))</f>
        <v>3.2</v>
      </c>
      <c r="BI79" s="12">
        <f>INDEX(ovrTable25,MATCH(INDEX('Structured 2025'!teamCol,ROW()),ovrTeamCol25,0),MATCH(MID(INDEX('Structured 2025'!headerRow,1,COLUMN()),4,LEN(INDEX('Structured 2025'!headerRow,1,COLUMN()))),ovrHeaderRow25,0))</f>
        <v>15.23</v>
      </c>
      <c r="BJ79" s="12">
        <f>INDEX(ovrTable25,MATCH(INDEX('Structured 2025'!teamCol,ROW()),ovrTeamCol25,0),MATCH(MID(INDEX('Structured 2025'!headerRow,1,COLUMN()),4,LEN(INDEX('Structured 2025'!headerRow,1,COLUMN()))),ovrHeaderRow25,0))</f>
        <v>12</v>
      </c>
      <c r="BK79" s="12">
        <f>INDEX(ovrTable25,MATCH(INDEX('Structured 2025'!teamCol,ROW()),ovrTeamCol25,0),MATCH(MID(INDEX('Structured 2025'!headerRow,1,COLUMN()),4,LEN(INDEX('Structured 2025'!headerRow,1,COLUMN()))),ovrHeaderRow25,0))</f>
        <v>68.8</v>
      </c>
      <c r="BL79" s="12">
        <f>INDEX(ovrTable25,MATCH(INDEX('Structured 2025'!teamCol,ROW()),ovrTeamCol25,0),MATCH(MID(INDEX('Structured 2025'!headerRow,1,COLUMN()),4,LEN(INDEX('Structured 2025'!headerRow,1,COLUMN()))),ovrHeaderRow25,0))</f>
        <v>20.299999999999997</v>
      </c>
      <c r="BM79" s="12">
        <f>INDEX(ovrTable25,MATCH(INDEX('Structured 2025'!teamCol,ROW()),ovrTeamCol25,0),MATCH(MID(INDEX('Structured 2025'!headerRow,1,COLUMN()),4,LEN(INDEX('Structured 2025'!headerRow,1,COLUMN()))),ovrHeaderRow25,0))</f>
        <v>57.971014492753618</v>
      </c>
      <c r="BN79" s="12">
        <f>INDEX(ovrTable25,MATCH(INDEX(oppCol,ROW()),ovrTeamCol25,0),MATCH(MID(INDEX('Structured 2025'!headerRow,1,COLUMN()),4,LEN(INDEX('Structured 2025'!headerRow,1,COLUMN()))),ovrHeaderRow25,0))</f>
        <v>32.5</v>
      </c>
      <c r="BO79" s="12">
        <f>INDEX(ovrTable25,MATCH(INDEX(oppCol,ROW()),ovrTeamCol25,0),MATCH(MID(INDEX('Structured 2025'!headerRow,1,COLUMN()),4,LEN(INDEX('Structured 2025'!headerRow,1,COLUMN()))),ovrHeaderRow25,0))</f>
        <v>8.3000000000000007</v>
      </c>
      <c r="BP79" s="12">
        <f>INDEX(ovrTable25,MATCH(INDEX(oppCol,ROW()),ovrTeamCol25,0),MATCH(MID(INDEX('Structured 2025'!headerRow,1,COLUMN()),4,LEN(INDEX('Structured 2025'!headerRow,1,COLUMN()))),ovrHeaderRow25,0))</f>
        <v>34.799999999999997</v>
      </c>
      <c r="BQ79" s="12">
        <f>INDEX(ovrTable25,MATCH(INDEX(oppCol,ROW()),ovrTeamCol25,0),MATCH(MID(INDEX('Structured 2025'!headerRow,1,COLUMN()),4,LEN(INDEX('Structured 2025'!headerRow,1,COLUMN()))),ovrHeaderRow25,0))</f>
        <v>24</v>
      </c>
      <c r="BR79" s="12">
        <f>INDEX(ovrTable25,MATCH(INDEX(oppCol,ROW()),ovrTeamCol25,0),MATCH(MID(INDEX('Structured 2025'!headerRow,1,COLUMN()),4,LEN(INDEX('Structured 2025'!headerRow,1,COLUMN()))),ovrHeaderRow25,0))</f>
        <v>1.57</v>
      </c>
      <c r="BS79" s="12">
        <f>INDEX(ovrTable25,MATCH(INDEX(oppCol,ROW()),ovrTeamCol25,0),MATCH(MID(INDEX('Structured 2025'!headerRow,1,COLUMN()),4,LEN(INDEX('Structured 2025'!headerRow,1,COLUMN()))),ovrHeaderRow25,0))</f>
        <v>14.2</v>
      </c>
      <c r="BT79" s="12">
        <f>INDEX(ovrTable25,MATCH(INDEX(oppCol,ROW()),ovrTeamCol25,0),MATCH(MID(INDEX('Structured 2025'!headerRow,1,COLUMN()),4,LEN(INDEX('Structured 2025'!headerRow,1,COLUMN()))),ovrHeaderRow25,0))</f>
        <v>20.72</v>
      </c>
      <c r="BU79" s="12">
        <f>INDEX(ovrTable25,MATCH(INDEX(oppCol,ROW()),ovrTeamCol25,0),MATCH(MID(INDEX('Structured 2025'!headerRow,1,COLUMN()),4,LEN(INDEX('Structured 2025'!headerRow,1,COLUMN()))),ovrHeaderRow25,0))</f>
        <v>3.7</v>
      </c>
      <c r="BV79" s="12">
        <f>INDEX(ovrTable25,MATCH(INDEX(oppCol,ROW()),ovrTeamCol25,0),MATCH(MID(INDEX('Structured 2025'!headerRow,1,COLUMN()),4,LEN(INDEX('Structured 2025'!headerRow,1,COLUMN()))),ovrHeaderRow25,0))</f>
        <v>43.4</v>
      </c>
      <c r="BW79" s="12">
        <f>INDEX(ovrTable25,MATCH(INDEX(oppCol,ROW()),ovrTeamCol25,0),MATCH(MID(INDEX('Structured 2025'!headerRow,1,COLUMN()),4,LEN(INDEX('Structured 2025'!headerRow,1,COLUMN()))),ovrHeaderRow25,0))</f>
        <v>23.94</v>
      </c>
      <c r="BX79" s="12">
        <f>INDEX(ovrTable25,MATCH(INDEX(oppCol,ROW()),ovrTeamCol25,0),MATCH(MID(INDEX('Structured 2025'!headerRow,1,COLUMN()),4,LEN(INDEX('Structured 2025'!headerRow,1,COLUMN()))),ovrHeaderRow25,0))</f>
        <v>0.51400000000000001</v>
      </c>
      <c r="BY79" s="12">
        <f>INDEX(ovrTable25,MATCH(INDEX(oppCol,ROW()),ovrTeamCol25,0),MATCH(MID(INDEX('Structured 2025'!headerRow,1,COLUMN()),4,LEN(INDEX('Structured 2025'!headerRow,1,COLUMN()))),ovrHeaderRow25,0))</f>
        <v>10.75</v>
      </c>
      <c r="BZ79" s="12">
        <f>INDEX(ovrTable25,MATCH(INDEX(oppCol,ROW()),ovrTeamCol25,0),MATCH(MID(INDEX('Structured 2025'!headerRow,1,COLUMN()),4,LEN(INDEX('Structured 2025'!headerRow,1,COLUMN()))),ovrHeaderRow25,0))</f>
        <v>44.5</v>
      </c>
      <c r="CA79" s="12">
        <f>INDEX(ovrTable25,MATCH(INDEX(oppCol,ROW()),ovrTeamCol25,0),MATCH(MID(INDEX('Structured 2025'!headerRow,1,COLUMN()),4,LEN(INDEX('Structured 2025'!headerRow,1,COLUMN()))),ovrHeaderRow25,0))</f>
        <v>18.3</v>
      </c>
      <c r="CB79" s="12">
        <f>INDEX(ovrTable25,MATCH(INDEX(oppCol,ROW()),ovrTeamCol25,0),MATCH(MID(INDEX('Structured 2025'!headerRow,1,COLUMN()),4,LEN(INDEX('Structured 2025'!headerRow,1,COLUMN()))),ovrHeaderRow25,0))</f>
        <v>73.8</v>
      </c>
      <c r="CC79" s="12">
        <f>INDEX(ovrTable25,MATCH(INDEX(oppCol,ROW()),ovrTeamCol25,0),MATCH(MID(INDEX('Structured 2025'!headerRow,1,COLUMN()),4,LEN(INDEX('Structured 2025'!headerRow,1,COLUMN()))),ovrHeaderRow25,0))</f>
        <v>21.1</v>
      </c>
      <c r="CD79" s="12">
        <f>INDEX(ovrTable25,MATCH(INDEX(oppCol,ROW()),ovrTeamCol25,0),MATCH(MID(INDEX('Structured 2025'!headerRow,1,COLUMN()),4,LEN(INDEX('Structured 2025'!headerRow,1,COLUMN()))),ovrHeaderRow25,0))</f>
        <v>15.6</v>
      </c>
      <c r="CE79" s="12">
        <f>INDEX(ovrTable25,MATCH(INDEX(oppCol,ROW()),ovrTeamCol25,0),MATCH(MID(INDEX('Structured 2025'!headerRow,1,COLUMN()),4,LEN(INDEX('Structured 2025'!headerRow,1,COLUMN()))),ovrHeaderRow25,0))</f>
        <v>71.599999999999994</v>
      </c>
      <c r="CF79" s="12">
        <f>INDEX(ovrTable25,MATCH(INDEX(oppCol,ROW()),ovrTeamCol25,0),MATCH(MID(INDEX('Structured 2025'!headerRow,1,COLUMN()),4,LEN(INDEX('Structured 2025'!headerRow,1,COLUMN()))),ovrHeaderRow25,0))</f>
        <v>9.19</v>
      </c>
      <c r="CG79" s="12">
        <f>INDEX(ovrTable25,MATCH(INDEX(oppCol,ROW()),ovrTeamCol25,0),MATCH(MID(INDEX('Structured 2025'!headerRow,1,COLUMN()),4,LEN(INDEX('Structured 2025'!headerRow,1,COLUMN()))),ovrHeaderRow25,0))</f>
        <v>77.2</v>
      </c>
      <c r="CH79" s="12">
        <f>INDEX(ovrTable25,MATCH(INDEX(oppCol,ROW()),ovrTeamCol25,0),MATCH(MID(INDEX('Structured 2025'!headerRow,1,COLUMN()),4,LEN(INDEX('Structured 2025'!headerRow,1,COLUMN()))),ovrHeaderRow25,0))</f>
        <v>-4.0999999999999996</v>
      </c>
      <c r="CI79" s="12">
        <f>INDEX(ovrTable25,MATCH(INDEX(oppCol,ROW()),ovrTeamCol25,0),MATCH(MID(INDEX('Structured 2025'!headerRow,1,COLUMN()),4,LEN(INDEX('Structured 2025'!headerRow,1,COLUMN()))),ovrHeaderRow25,0))</f>
        <v>33.14</v>
      </c>
      <c r="CJ79" s="12">
        <f>INDEX(ovrTable25,MATCH(INDEX(oppCol,ROW()),ovrTeamCol25,0),MATCH(MID(INDEX('Structured 2025'!headerRow,1,COLUMN()),4,LEN(INDEX('Structured 2025'!headerRow,1,COLUMN()))),ovrHeaderRow25,0))</f>
        <v>5.6</v>
      </c>
      <c r="CK79" s="12">
        <f>INDEX(ovrTable25,MATCH(INDEX(oppCol,ROW()),ovrTeamCol25,0),MATCH(MID(INDEX('Structured 2025'!headerRow,1,COLUMN()),4,LEN(INDEX('Structured 2025'!headerRow,1,COLUMN()))),ovrHeaderRow25,0))</f>
        <v>8.8000000000000007</v>
      </c>
      <c r="CL79" s="12">
        <f>INDEX(ovrTable25,MATCH(INDEX(oppCol,ROW()),ovrTeamCol25,0),MATCH(MID(INDEX('Structured 2025'!headerRow,1,COLUMN()),4,LEN(INDEX('Structured 2025'!headerRow,1,COLUMN()))),ovrHeaderRow25,0))</f>
        <v>5.0999999999999996</v>
      </c>
      <c r="CM79" s="12">
        <f>INDEX(ovrTable25,MATCH(INDEX(oppCol,ROW()),ovrTeamCol25,0),MATCH(MID(INDEX('Structured 2025'!headerRow,1,COLUMN()),4,LEN(INDEX('Structured 2025'!headerRow,1,COLUMN()))),ovrHeaderRow25,0))</f>
        <v>14.08</v>
      </c>
      <c r="CN79" s="12">
        <f>INDEX(ovrTable25,MATCH(INDEX(oppCol,ROW()),ovrTeamCol25,0),MATCH(MID(INDEX('Structured 2025'!headerRow,1,COLUMN()),4,LEN(INDEX('Structured 2025'!headerRow,1,COLUMN()))),ovrHeaderRow25,0))</f>
        <v>9</v>
      </c>
      <c r="CO79" s="12">
        <f>INDEX(ovrTable25,MATCH(INDEX(oppCol,ROW()),ovrTeamCol25,0),MATCH(MID(INDEX('Structured 2025'!headerRow,1,COLUMN()),4,LEN(INDEX('Structured 2025'!headerRow,1,COLUMN()))),ovrHeaderRow25,0))</f>
        <v>68.099999999999994</v>
      </c>
      <c r="CP79" s="12">
        <f>INDEX(ovrTable25,MATCH(INDEX(oppCol,ROW()),ovrTeamCol25,0),MATCH(MID(INDEX('Structured 2025'!headerRow,1,COLUMN()),4,LEN(INDEX('Structured 2025'!headerRow,1,COLUMN()))),ovrHeaderRow25,0))</f>
        <v>18.350000000000001</v>
      </c>
      <c r="CQ79" s="12">
        <f>INDEX(ovrTable25,MATCH(INDEX(oppCol,ROW()),ovrTeamCol25,0),MATCH(MID(INDEX('Structured 2025'!headerRow,1,COLUMN()),4,LEN(INDEX('Structured 2025'!headerRow,1,COLUMN()))),ovrHeaderRow25,0))</f>
        <v>59.887640449438202</v>
      </c>
    </row>
    <row r="80" spans="1:95" x14ac:dyDescent="0.3">
      <c r="A80" s="6" t="s">
        <v>27</v>
      </c>
      <c r="B80" s="3">
        <v>10</v>
      </c>
      <c r="C80" s="13" t="str">
        <f>A81</f>
        <v>MSU</v>
      </c>
      <c r="D80" s="14">
        <f t="shared" si="26"/>
        <v>40</v>
      </c>
      <c r="E80" s="23">
        <v>0.26666666666666666</v>
      </c>
      <c r="F80" s="24">
        <v>48.214285714285715</v>
      </c>
      <c r="G80" s="24">
        <v>4</v>
      </c>
      <c r="H80" s="23">
        <v>30.76923076923077</v>
      </c>
      <c r="I80" s="24">
        <v>13</v>
      </c>
      <c r="J80" s="25">
        <v>0.7</v>
      </c>
      <c r="K80" s="24">
        <v>5</v>
      </c>
      <c r="L80" s="24">
        <v>10</v>
      </c>
      <c r="M80" s="24">
        <v>6</v>
      </c>
      <c r="N80" s="24">
        <v>22</v>
      </c>
      <c r="O80" s="24">
        <v>7</v>
      </c>
      <c r="P80" s="24">
        <v>5</v>
      </c>
      <c r="Q80" s="24">
        <v>1</v>
      </c>
      <c r="R80" s="24">
        <v>10</v>
      </c>
      <c r="S80" s="24">
        <v>3</v>
      </c>
      <c r="T80" s="24">
        <v>22</v>
      </c>
      <c r="U80" s="24">
        <v>7</v>
      </c>
      <c r="V80" s="24">
        <v>0.44444444444444442</v>
      </c>
      <c r="W80" s="26">
        <v>0.5178571428571429</v>
      </c>
      <c r="X80" s="23">
        <v>50</v>
      </c>
      <c r="Y80" s="24">
        <v>71</v>
      </c>
      <c r="Z80" s="24">
        <v>63</v>
      </c>
      <c r="AA80" s="24">
        <v>-6</v>
      </c>
      <c r="AB80" s="24">
        <v>28</v>
      </c>
      <c r="AC80" s="24">
        <v>-8</v>
      </c>
      <c r="AD80" s="24">
        <v>-1</v>
      </c>
      <c r="AE80" s="24">
        <v>9</v>
      </c>
      <c r="AF80" s="34">
        <f t="shared" si="69"/>
        <v>23</v>
      </c>
      <c r="AG80" s="34">
        <f t="shared" si="70"/>
        <v>43</v>
      </c>
      <c r="AH80" s="46">
        <f t="shared" si="71"/>
        <v>64.75</v>
      </c>
      <c r="AI80" s="51">
        <f t="shared" ref="AI80" si="86">AVERAGE(AH80,AH81)</f>
        <v>65.025000000000006</v>
      </c>
      <c r="AJ80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K80" s="12">
        <f>INDEX(ovrTable25,MATCH(INDEX('Structured 2025'!teamCol,ROW()),ovrTeamCol25,0),MATCH(MID(INDEX('Structured 2025'!headerRow,1,COLUMN()),4,LEN(INDEX('Structured 2025'!headerRow,1,COLUMN()))),ovrHeaderRow25,0))</f>
        <v>6.9</v>
      </c>
      <c r="AL80" s="12">
        <f>INDEX(ovrTable25,MATCH(INDEX('Structured 2025'!teamCol,ROW()),ovrTeamCol25,0),MATCH(MID(INDEX('Structured 2025'!headerRow,1,COLUMN()),4,LEN(INDEX('Structured 2025'!headerRow,1,COLUMN()))),ovrHeaderRow25,0))</f>
        <v>34.700000000000003</v>
      </c>
      <c r="AM80" s="12">
        <f>INDEX(ovrTable25,MATCH(INDEX('Structured 2025'!teamCol,ROW()),ovrTeamCol25,0),MATCH(MID(INDEX('Structured 2025'!headerRow,1,COLUMN()),4,LEN(INDEX('Structured 2025'!headerRow,1,COLUMN()))),ovrHeaderRow25,0))</f>
        <v>20</v>
      </c>
      <c r="AN80" s="12">
        <f>INDEX(ovrTable25,MATCH(INDEX('Structured 2025'!teamCol,ROW()),ovrTeamCol25,0),MATCH(MID(INDEX('Structured 2025'!headerRow,1,COLUMN()),4,LEN(INDEX('Structured 2025'!headerRow,1,COLUMN()))),ovrHeaderRow25,0))</f>
        <v>1.3</v>
      </c>
      <c r="AO80" s="12">
        <f>INDEX(ovrTable25,MATCH(INDEX('Structured 2025'!teamCol,ROW()),ovrTeamCol25,0),MATCH(MID(INDEX('Structured 2025'!headerRow,1,COLUMN()),4,LEN(INDEX('Structured 2025'!headerRow,1,COLUMN()))),ovrHeaderRow25,0))</f>
        <v>14.9</v>
      </c>
      <c r="AP80" s="12">
        <f>INDEX(ovrTable25,MATCH(INDEX('Structured 2025'!teamCol,ROW()),ovrTeamCol25,0),MATCH(MID(INDEX('Structured 2025'!headerRow,1,COLUMN()),4,LEN(INDEX('Structured 2025'!headerRow,1,COLUMN()))),ovrHeaderRow25,0))</f>
        <v>18.510000000000002</v>
      </c>
      <c r="AQ80" s="12">
        <f>INDEX(ovrTable25,MATCH(INDEX('Structured 2025'!teamCol,ROW()),ovrTeamCol25,0),MATCH(MID(INDEX('Structured 2025'!headerRow,1,COLUMN()),4,LEN(INDEX('Structured 2025'!headerRow,1,COLUMN()))),ovrHeaderRow25,0))</f>
        <v>5</v>
      </c>
      <c r="AR80" s="12">
        <f>INDEX(ovrTable25,MATCH(INDEX('Structured 2025'!teamCol,ROW()),ovrTeamCol25,0),MATCH(MID(INDEX('Structured 2025'!headerRow,1,COLUMN()),4,LEN(INDEX('Structured 2025'!headerRow,1,COLUMN()))),ovrHeaderRow25,0))</f>
        <v>42.8</v>
      </c>
      <c r="AS80" s="12">
        <f>INDEX(ovrTable25,MATCH(INDEX('Structured 2025'!teamCol,ROW()),ovrTeamCol25,0),MATCH(MID(INDEX('Structured 2025'!headerRow,1,COLUMN()),4,LEN(INDEX('Structured 2025'!headerRow,1,COLUMN()))),ovrHeaderRow25,0))</f>
        <v>26.91</v>
      </c>
      <c r="AT80" s="12">
        <f>INDEX(ovrTable25,MATCH(INDEX('Structured 2025'!teamCol,ROW()),ovrTeamCol25,0),MATCH(MID(INDEX('Structured 2025'!headerRow,1,COLUMN()),4,LEN(INDEX('Structured 2025'!headerRow,1,COLUMN()))),ovrHeaderRow25,0))</f>
        <v>0.51500000000000001</v>
      </c>
      <c r="AU80" s="12">
        <f>INDEX(ovrTable25,MATCH(INDEX('Structured 2025'!teamCol,ROW()),ovrTeamCol25,0),MATCH(MID(INDEX('Structured 2025'!headerRow,1,COLUMN()),4,LEN(INDEX('Structured 2025'!headerRow,1,COLUMN()))),ovrHeaderRow25,0))</f>
        <v>15.83</v>
      </c>
      <c r="AV80" s="12">
        <f>INDEX(ovrTable25,MATCH(INDEX('Structured 2025'!teamCol,ROW()),ovrTeamCol25,0),MATCH(MID(INDEX('Structured 2025'!headerRow,1,COLUMN()),4,LEN(INDEX('Structured 2025'!headerRow,1,COLUMN()))),ovrHeaderRow25,0))</f>
        <v>46</v>
      </c>
      <c r="AW80" s="12">
        <f>INDEX(ovrTable25,MATCH(INDEX('Structured 2025'!teamCol,ROW()),ovrTeamCol25,0),MATCH(MID(INDEX('Structured 2025'!headerRow,1,COLUMN()),4,LEN(INDEX('Structured 2025'!headerRow,1,COLUMN()))),ovrHeaderRow25,0))</f>
        <v>17.5</v>
      </c>
      <c r="AX80" s="12">
        <f>INDEX(ovrTable25,MATCH(INDEX('Structured 2025'!teamCol,ROW()),ovrTeamCol25,0),MATCH(MID(INDEX('Structured 2025'!headerRow,1,COLUMN()),4,LEN(INDEX('Structured 2025'!headerRow,1,COLUMN()))),ovrHeaderRow25,0))</f>
        <v>68.900000000000006</v>
      </c>
      <c r="AY80" s="12">
        <f>INDEX(ovrTable25,MATCH(INDEX('Structured 2025'!teamCol,ROW()),ovrTeamCol25,0),MATCH(MID(INDEX('Structured 2025'!headerRow,1,COLUMN()),4,LEN(INDEX('Structured 2025'!headerRow,1,COLUMN()))),ovrHeaderRow25,0))</f>
        <v>23.1</v>
      </c>
      <c r="AZ80" s="12">
        <f>INDEX(ovrTable25,MATCH(INDEX('Structured 2025'!teamCol,ROW()),ovrTeamCol25,0),MATCH(MID(INDEX('Structured 2025'!headerRow,1,COLUMN()),4,LEN(INDEX('Structured 2025'!headerRow,1,COLUMN()))),ovrHeaderRow25,0))</f>
        <v>15.9</v>
      </c>
      <c r="BA80" s="12">
        <f>INDEX(ovrTable25,MATCH(INDEX('Structured 2025'!teamCol,ROW()),ovrTeamCol25,0),MATCH(MID(INDEX('Structured 2025'!headerRow,1,COLUMN()),4,LEN(INDEX('Structured 2025'!headerRow,1,COLUMN()))),ovrHeaderRow25,0))</f>
        <v>70.599999999999994</v>
      </c>
      <c r="BB80" s="12">
        <f>INDEX(ovrTable25,MATCH(INDEX('Structured 2025'!teamCol,ROW()),ovrTeamCol25,0),MATCH(MID(INDEX('Structured 2025'!headerRow,1,COLUMN()),4,LEN(INDEX('Structured 2025'!headerRow,1,COLUMN()))),ovrHeaderRow25,0))</f>
        <v>11.97</v>
      </c>
      <c r="BC80" s="12">
        <f>INDEX(ovrTable25,MATCH(INDEX('Structured 2025'!teamCol,ROW()),ovrTeamCol25,0),MATCH(MID(INDEX('Structured 2025'!headerRow,1,COLUMN()),4,LEN(INDEX('Structured 2025'!headerRow,1,COLUMN()))),ovrHeaderRow25,0))</f>
        <v>80.5</v>
      </c>
      <c r="BD80" s="12">
        <f>INDEX(ovrTable25,MATCH(INDEX('Structured 2025'!teamCol,ROW()),ovrTeamCol25,0),MATCH(MID(INDEX('Structured 2025'!headerRow,1,COLUMN()),4,LEN(INDEX('Structured 2025'!headerRow,1,COLUMN()))),ovrHeaderRow25,0))</f>
        <v>3.7</v>
      </c>
      <c r="BE80" s="12">
        <f>INDEX(ovrTable25,MATCH(INDEX('Structured 2025'!teamCol,ROW()),ovrTeamCol25,0),MATCH(MID(INDEX('Structured 2025'!headerRow,1,COLUMN()),4,LEN(INDEX('Structured 2025'!headerRow,1,COLUMN()))),ovrHeaderRow25,0))</f>
        <v>38.89</v>
      </c>
      <c r="BF80" s="12">
        <f>INDEX(ovrTable25,MATCH(INDEX('Structured 2025'!teamCol,ROW()),ovrTeamCol25,0),MATCH(MID(INDEX('Structured 2025'!headerRow,1,COLUMN()),4,LEN(INDEX('Structured 2025'!headerRow,1,COLUMN()))),ovrHeaderRow25,0))</f>
        <v>9.9</v>
      </c>
      <c r="BG80" s="12">
        <f>INDEX(ovrTable25,MATCH(INDEX('Structured 2025'!teamCol,ROW()),ovrTeamCol25,0),MATCH(MID(INDEX('Structured 2025'!headerRow,1,COLUMN()),4,LEN(INDEX('Structured 2025'!headerRow,1,COLUMN()))),ovrHeaderRow25,0))</f>
        <v>8.6999999999999993</v>
      </c>
      <c r="BH80" s="12">
        <f>INDEX(ovrTable25,MATCH(INDEX('Structured 2025'!teamCol,ROW()),ovrTeamCol25,0),MATCH(MID(INDEX('Structured 2025'!headerRow,1,COLUMN()),4,LEN(INDEX('Structured 2025'!headerRow,1,COLUMN()))),ovrHeaderRow25,0))</f>
        <v>3.6</v>
      </c>
      <c r="BI80" s="12">
        <f>INDEX(ovrTable25,MATCH(INDEX('Structured 2025'!teamCol,ROW()),ovrTeamCol25,0),MATCH(MID(INDEX('Structured 2025'!headerRow,1,COLUMN()),4,LEN(INDEX('Structured 2025'!headerRow,1,COLUMN()))),ovrHeaderRow25,0))</f>
        <v>15.06</v>
      </c>
      <c r="BJ80" s="12">
        <f>INDEX(ovrTable25,MATCH(INDEX('Structured 2025'!teamCol,ROW()),ovrTeamCol25,0),MATCH(MID(INDEX('Structured 2025'!headerRow,1,COLUMN()),4,LEN(INDEX('Structured 2025'!headerRow,1,COLUMN()))),ovrHeaderRow25,0))</f>
        <v>11.4</v>
      </c>
      <c r="BK80" s="12">
        <f>INDEX(ovrTable25,MATCH(INDEX('Structured 2025'!teamCol,ROW()),ovrTeamCol25,0),MATCH(MID(INDEX('Structured 2025'!headerRow,1,COLUMN()),4,LEN(INDEX('Structured 2025'!headerRow,1,COLUMN()))),ovrHeaderRow25,0))</f>
        <v>72.5</v>
      </c>
      <c r="BL80" s="12">
        <f>INDEX(ovrTable25,MATCH(INDEX('Structured 2025'!teamCol,ROW()),ovrTeamCol25,0),MATCH(MID(INDEX('Structured 2025'!headerRow,1,COLUMN()),4,LEN(INDEX('Structured 2025'!headerRow,1,COLUMN()))),ovrHeaderRow25,0))</f>
        <v>21.949999999999996</v>
      </c>
      <c r="BM80" s="12">
        <f>INDEX(ovrTable25,MATCH(INDEX('Structured 2025'!teamCol,ROW()),ovrTeamCol25,0),MATCH(MID(INDEX('Structured 2025'!headerRow,1,COLUMN()),4,LEN(INDEX('Structured 2025'!headerRow,1,COLUMN()))),ovrHeaderRow25,0))</f>
        <v>62.717391304347814</v>
      </c>
      <c r="BN80" s="12">
        <f>INDEX(ovrTable25,MATCH(INDEX(oppCol,ROW()),ovrTeamCol25,0),MATCH(MID(INDEX('Structured 2025'!headerRow,1,COLUMN()),4,LEN(INDEX('Structured 2025'!headerRow,1,COLUMN()))),ovrHeaderRow25,0))</f>
        <v>28</v>
      </c>
      <c r="BO80" s="12">
        <f>INDEX(ovrTable25,MATCH(INDEX(oppCol,ROW()),ovrTeamCol25,0),MATCH(MID(INDEX('Structured 2025'!headerRow,1,COLUMN()),4,LEN(INDEX('Structured 2025'!headerRow,1,COLUMN()))),ovrHeaderRow25,0))</f>
        <v>6.1</v>
      </c>
      <c r="BP80" s="12">
        <f>INDEX(ovrTable25,MATCH(INDEX(oppCol,ROW()),ovrTeamCol25,0),MATCH(MID(INDEX('Structured 2025'!headerRow,1,COLUMN()),4,LEN(INDEX('Structured 2025'!headerRow,1,COLUMN()))),ovrHeaderRow25,0))</f>
        <v>31.1</v>
      </c>
      <c r="BQ80" s="12">
        <f>INDEX(ovrTable25,MATCH(INDEX(oppCol,ROW()),ovrTeamCol25,0),MATCH(MID(INDEX('Structured 2025'!headerRow,1,COLUMN()),4,LEN(INDEX('Structured 2025'!headerRow,1,COLUMN()))),ovrHeaderRow25,0))</f>
        <v>19.5</v>
      </c>
      <c r="BR80" s="12">
        <f>INDEX(ovrTable25,MATCH(INDEX(oppCol,ROW()),ovrTeamCol25,0),MATCH(MID(INDEX('Structured 2025'!headerRow,1,COLUMN()),4,LEN(INDEX('Structured 2025'!headerRow,1,COLUMN()))),ovrHeaderRow25,0))</f>
        <v>1.46</v>
      </c>
      <c r="BS80" s="12">
        <f>INDEX(ovrTable25,MATCH(INDEX(oppCol,ROW()),ovrTeamCol25,0),MATCH(MID(INDEX('Structured 2025'!headerRow,1,COLUMN()),4,LEN(INDEX('Structured 2025'!headerRow,1,COLUMN()))),ovrHeaderRow25,0))</f>
        <v>16.600000000000001</v>
      </c>
      <c r="BT80" s="12">
        <f>INDEX(ovrTable25,MATCH(INDEX(oppCol,ROW()),ovrTeamCol25,0),MATCH(MID(INDEX('Structured 2025'!headerRow,1,COLUMN()),4,LEN(INDEX('Structured 2025'!headerRow,1,COLUMN()))),ovrHeaderRow25,0))</f>
        <v>33.619999999999997</v>
      </c>
      <c r="BU80" s="12">
        <f>INDEX(ovrTable25,MATCH(INDEX(oppCol,ROW()),ovrTeamCol25,0),MATCH(MID(INDEX('Structured 2025'!headerRow,1,COLUMN()),4,LEN(INDEX('Structured 2025'!headerRow,1,COLUMN()))),ovrHeaderRow25,0))</f>
        <v>4.5999999999999996</v>
      </c>
      <c r="BV80" s="12">
        <f>INDEX(ovrTable25,MATCH(INDEX(oppCol,ROW()),ovrTeamCol25,0),MATCH(MID(INDEX('Structured 2025'!headerRow,1,COLUMN()),4,LEN(INDEX('Structured 2025'!headerRow,1,COLUMN()))),ovrHeaderRow25,0))</f>
        <v>40.5</v>
      </c>
      <c r="BW80" s="12">
        <f>INDEX(ovrTable25,MATCH(INDEX(oppCol,ROW()),ovrTeamCol25,0),MATCH(MID(INDEX('Structured 2025'!headerRow,1,COLUMN()),4,LEN(INDEX('Structured 2025'!headerRow,1,COLUMN()))),ovrHeaderRow25,0))</f>
        <v>27.89</v>
      </c>
      <c r="BX80" s="12">
        <f>INDEX(ovrTable25,MATCH(INDEX(oppCol,ROW()),ovrTeamCol25,0),MATCH(MID(INDEX('Structured 2025'!headerRow,1,COLUMN()),4,LEN(INDEX('Structured 2025'!headerRow,1,COLUMN()))),ovrHeaderRow25,0))</f>
        <v>0.50900000000000001</v>
      </c>
      <c r="BY80" s="12">
        <f>INDEX(ovrTable25,MATCH(INDEX(oppCol,ROW()),ovrTeamCol25,0),MATCH(MID(INDEX('Structured 2025'!headerRow,1,COLUMN()),4,LEN(INDEX('Structured 2025'!headerRow,1,COLUMN()))),ovrHeaderRow25,0))</f>
        <v>15.59</v>
      </c>
      <c r="BZ80" s="12">
        <f>INDEX(ovrTable25,MATCH(INDEX(oppCol,ROW()),ovrTeamCol25,0),MATCH(MID(INDEX('Structured 2025'!headerRow,1,COLUMN()),4,LEN(INDEX('Structured 2025'!headerRow,1,COLUMN()))),ovrHeaderRow25,0))</f>
        <v>45.8</v>
      </c>
      <c r="CA80" s="12">
        <f>INDEX(ovrTable25,MATCH(INDEX(oppCol,ROW()),ovrTeamCol25,0),MATCH(MID(INDEX('Structured 2025'!headerRow,1,COLUMN()),4,LEN(INDEX('Structured 2025'!headerRow,1,COLUMN()))),ovrHeaderRow25,0))</f>
        <v>16.7</v>
      </c>
      <c r="CB80" s="12">
        <f>INDEX(ovrTable25,MATCH(INDEX(oppCol,ROW()),ovrTeamCol25,0),MATCH(MID(INDEX('Structured 2025'!headerRow,1,COLUMN()),4,LEN(INDEX('Structured 2025'!headerRow,1,COLUMN()))),ovrHeaderRow25,0))</f>
        <v>77.900000000000006</v>
      </c>
      <c r="CC80" s="12">
        <f>INDEX(ovrTable25,MATCH(INDEX(oppCol,ROW()),ovrTeamCol25,0),MATCH(MID(INDEX('Structured 2025'!headerRow,1,COLUMN()),4,LEN(INDEX('Structured 2025'!headerRow,1,COLUMN()))),ovrHeaderRow25,0))</f>
        <v>22.4</v>
      </c>
      <c r="CD80" s="12">
        <f>INDEX(ovrTable25,MATCH(INDEX(oppCol,ROW()),ovrTeamCol25,0),MATCH(MID(INDEX('Structured 2025'!headerRow,1,COLUMN()),4,LEN(INDEX('Structured 2025'!headerRow,1,COLUMN()))),ovrHeaderRow25,0))</f>
        <v>17.399999999999999</v>
      </c>
      <c r="CE80" s="12">
        <f>INDEX(ovrTable25,MATCH(INDEX(oppCol,ROW()),ovrTeamCol25,0),MATCH(MID(INDEX('Structured 2025'!headerRow,1,COLUMN()),4,LEN(INDEX('Structured 2025'!headerRow,1,COLUMN()))),ovrHeaderRow25,0))</f>
        <v>67.099999999999994</v>
      </c>
      <c r="CF80" s="12">
        <f>INDEX(ovrTable25,MATCH(INDEX(oppCol,ROW()),ovrTeamCol25,0),MATCH(MID(INDEX('Structured 2025'!headerRow,1,COLUMN()),4,LEN(INDEX('Structured 2025'!headerRow,1,COLUMN()))),ovrHeaderRow25,0))</f>
        <v>11.89</v>
      </c>
      <c r="CG80" s="12">
        <f>INDEX(ovrTable25,MATCH(INDEX(oppCol,ROW()),ovrTeamCol25,0),MATCH(MID(INDEX('Structured 2025'!headerRow,1,COLUMN()),4,LEN(INDEX('Structured 2025'!headerRow,1,COLUMN()))),ovrHeaderRow25,0))</f>
        <v>77.7</v>
      </c>
      <c r="CH80" s="12">
        <f>INDEX(ovrTable25,MATCH(INDEX(oppCol,ROW()),ovrTeamCol25,0),MATCH(MID(INDEX('Structured 2025'!headerRow,1,COLUMN()),4,LEN(INDEX('Structured 2025'!headerRow,1,COLUMN()))),ovrHeaderRow25,0))</f>
        <v>8.9</v>
      </c>
      <c r="CI80" s="12">
        <f>INDEX(ovrTable25,MATCH(INDEX(oppCol,ROW()),ovrTeamCol25,0),MATCH(MID(INDEX('Structured 2025'!headerRow,1,COLUMN()),4,LEN(INDEX('Structured 2025'!headerRow,1,COLUMN()))),ovrHeaderRow25,0))</f>
        <v>39.78</v>
      </c>
      <c r="CJ80" s="12">
        <f>INDEX(ovrTable25,MATCH(INDEX(oppCol,ROW()),ovrTeamCol25,0),MATCH(MID(INDEX('Structured 2025'!headerRow,1,COLUMN()),4,LEN(INDEX('Structured 2025'!headerRow,1,COLUMN()))),ovrHeaderRow25,0))</f>
        <v>10.5</v>
      </c>
      <c r="CK80" s="12">
        <f>INDEX(ovrTable25,MATCH(INDEX(oppCol,ROW()),ovrTeamCol25,0),MATCH(MID(INDEX('Structured 2025'!headerRow,1,COLUMN()),4,LEN(INDEX('Structured 2025'!headerRow,1,COLUMN()))),ovrHeaderRow25,0))</f>
        <v>5.3</v>
      </c>
      <c r="CL80" s="12">
        <f>INDEX(ovrTable25,MATCH(INDEX(oppCol,ROW()),ovrTeamCol25,0),MATCH(MID(INDEX('Structured 2025'!headerRow,1,COLUMN()),4,LEN(INDEX('Structured 2025'!headerRow,1,COLUMN()))),ovrHeaderRow25,0))</f>
        <v>-0.3</v>
      </c>
      <c r="CM80" s="12">
        <f>INDEX(ovrTable25,MATCH(INDEX(oppCol,ROW()),ovrTeamCol25,0),MATCH(MID(INDEX('Structured 2025'!headerRow,1,COLUMN()),4,LEN(INDEX('Structured 2025'!headerRow,1,COLUMN()))),ovrHeaderRow25,0))</f>
        <v>11.03</v>
      </c>
      <c r="CN80" s="12">
        <f>INDEX(ovrTable25,MATCH(INDEX(oppCol,ROW()),ovrTeamCol25,0),MATCH(MID(INDEX('Structured 2025'!headerRow,1,COLUMN()),4,LEN(INDEX('Structured 2025'!headerRow,1,COLUMN()))),ovrHeaderRow25,0))</f>
        <v>11.4</v>
      </c>
      <c r="CO80" s="12">
        <f>INDEX(ovrTable25,MATCH(INDEX(oppCol,ROW()),ovrTeamCol25,0),MATCH(MID(INDEX('Structured 2025'!headerRow,1,COLUMN()),4,LEN(INDEX('Structured 2025'!headerRow,1,COLUMN()))),ovrHeaderRow25,0))</f>
        <v>67.5</v>
      </c>
      <c r="CP80" s="12">
        <f>INDEX(ovrTable25,MATCH(INDEX(oppCol,ROW()),ovrTeamCol25,0),MATCH(MID(INDEX('Structured 2025'!headerRow,1,COLUMN()),4,LEN(INDEX('Structured 2025'!headerRow,1,COLUMN()))),ovrHeaderRow25,0))</f>
        <v>21.000000000000004</v>
      </c>
      <c r="CQ80" s="12">
        <f>INDEX(ovrTable25,MATCH(INDEX(oppCol,ROW()),ovrTeamCol25,0),MATCH(MID(INDEX('Structured 2025'!headerRow,1,COLUMN()),4,LEN(INDEX('Structured 2025'!headerRow,1,COLUMN()))),ovrHeaderRow25,0))</f>
        <v>59.170305676855897</v>
      </c>
    </row>
    <row r="81" spans="1:95" x14ac:dyDescent="0.3">
      <c r="A81" s="6" t="s">
        <v>34</v>
      </c>
      <c r="B81" s="3">
        <v>2</v>
      </c>
      <c r="C81" s="13" t="str">
        <f>A80</f>
        <v>UNM</v>
      </c>
      <c r="D81" s="14">
        <f t="shared" si="26"/>
        <v>40</v>
      </c>
      <c r="E81" s="23">
        <v>0.30769230769230771</v>
      </c>
      <c r="F81" s="24">
        <v>44.444444444444443</v>
      </c>
      <c r="G81" s="24">
        <v>4</v>
      </c>
      <c r="H81" s="23">
        <v>26.666666666666668</v>
      </c>
      <c r="I81" s="24">
        <v>15</v>
      </c>
      <c r="J81" s="25">
        <v>1.5555555555555556</v>
      </c>
      <c r="K81" s="24">
        <v>19</v>
      </c>
      <c r="L81" s="24">
        <v>28</v>
      </c>
      <c r="M81" s="24">
        <v>11</v>
      </c>
      <c r="N81" s="24">
        <v>23</v>
      </c>
      <c r="O81" s="24">
        <v>14</v>
      </c>
      <c r="P81" s="24">
        <v>6</v>
      </c>
      <c r="Q81" s="24">
        <v>7</v>
      </c>
      <c r="R81" s="24">
        <v>9</v>
      </c>
      <c r="S81" s="24">
        <v>17</v>
      </c>
      <c r="T81" s="24">
        <v>11</v>
      </c>
      <c r="U81" s="24">
        <v>36</v>
      </c>
      <c r="V81" s="24">
        <v>0.48214285714285715</v>
      </c>
      <c r="W81" s="26">
        <v>0.48148148148148145</v>
      </c>
      <c r="X81" s="23">
        <v>67.857142857142861</v>
      </c>
      <c r="Y81" s="24">
        <v>63</v>
      </c>
      <c r="Z81" s="24">
        <v>71</v>
      </c>
      <c r="AA81" s="24">
        <v>6</v>
      </c>
      <c r="AB81" s="24">
        <v>34</v>
      </c>
      <c r="AC81" s="24">
        <v>8</v>
      </c>
      <c r="AD81" s="24">
        <v>1</v>
      </c>
      <c r="AE81" s="24">
        <v>10</v>
      </c>
      <c r="AF81" s="34">
        <f t="shared" si="69"/>
        <v>20</v>
      </c>
      <c r="AG81" s="34">
        <f t="shared" si="70"/>
        <v>39</v>
      </c>
      <c r="AH81" s="46">
        <f t="shared" si="71"/>
        <v>65.3</v>
      </c>
      <c r="AI81" s="51">
        <f t="shared" ref="AI81" si="87">AVERAGE(AH80,AH81)</f>
        <v>65.025000000000006</v>
      </c>
      <c r="AJ81" s="12">
        <f>INDEX(ovrTable25,MATCH(INDEX('Structured 2025'!teamCol,ROW()),ovrTeamCol25,0),MATCH(MID(INDEX('Structured 2025'!headerRow,1,COLUMN()),4,LEN(INDEX('Structured 2025'!headerRow,1,COLUMN()))),ovrHeaderRow25,0))</f>
        <v>28</v>
      </c>
      <c r="AK81" s="12">
        <f>INDEX(ovrTable25,MATCH(INDEX('Structured 2025'!teamCol,ROW()),ovrTeamCol25,0),MATCH(MID(INDEX('Structured 2025'!headerRow,1,COLUMN()),4,LEN(INDEX('Structured 2025'!headerRow,1,COLUMN()))),ovrHeaderRow25,0))</f>
        <v>6.1</v>
      </c>
      <c r="AL81" s="12">
        <f>INDEX(ovrTable25,MATCH(INDEX('Structured 2025'!teamCol,ROW()),ovrTeamCol25,0),MATCH(MID(INDEX('Structured 2025'!headerRow,1,COLUMN()),4,LEN(INDEX('Structured 2025'!headerRow,1,COLUMN()))),ovrHeaderRow25,0))</f>
        <v>31.1</v>
      </c>
      <c r="AM81" s="12">
        <f>INDEX(ovrTable25,MATCH(INDEX('Structured 2025'!teamCol,ROW()),ovrTeamCol25,0),MATCH(MID(INDEX('Structured 2025'!headerRow,1,COLUMN()),4,LEN(INDEX('Structured 2025'!headerRow,1,COLUMN()))),ovrHeaderRow25,0))</f>
        <v>19.5</v>
      </c>
      <c r="AN81" s="12">
        <f>INDEX(ovrTable25,MATCH(INDEX('Structured 2025'!teamCol,ROW()),ovrTeamCol25,0),MATCH(MID(INDEX('Structured 2025'!headerRow,1,COLUMN()),4,LEN(INDEX('Structured 2025'!headerRow,1,COLUMN()))),ovrHeaderRow25,0))</f>
        <v>1.46</v>
      </c>
      <c r="AO81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AP81" s="12">
        <f>INDEX(ovrTable25,MATCH(INDEX('Structured 2025'!teamCol,ROW()),ovrTeamCol25,0),MATCH(MID(INDEX('Structured 2025'!headerRow,1,COLUMN()),4,LEN(INDEX('Structured 2025'!headerRow,1,COLUMN()))),ovrHeaderRow25,0))</f>
        <v>33.619999999999997</v>
      </c>
      <c r="AQ81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81" s="12">
        <f>INDEX(ovrTable25,MATCH(INDEX('Structured 2025'!teamCol,ROW()),ovrTeamCol25,0),MATCH(MID(INDEX('Structured 2025'!headerRow,1,COLUMN()),4,LEN(INDEX('Structured 2025'!headerRow,1,COLUMN()))),ovrHeaderRow25,0))</f>
        <v>40.5</v>
      </c>
      <c r="AS81" s="12">
        <f>INDEX(ovrTable25,MATCH(INDEX('Structured 2025'!teamCol,ROW()),ovrTeamCol25,0),MATCH(MID(INDEX('Structured 2025'!headerRow,1,COLUMN()),4,LEN(INDEX('Structured 2025'!headerRow,1,COLUMN()))),ovrHeaderRow25,0))</f>
        <v>27.89</v>
      </c>
      <c r="AT81" s="12">
        <f>INDEX(ovrTable25,MATCH(INDEX('Structured 2025'!teamCol,ROW()),ovrTeamCol25,0),MATCH(MID(INDEX('Structured 2025'!headerRow,1,COLUMN()),4,LEN(INDEX('Structured 2025'!headerRow,1,COLUMN()))),ovrHeaderRow25,0))</f>
        <v>0.50900000000000001</v>
      </c>
      <c r="AU81" s="12">
        <f>INDEX(ovrTable25,MATCH(INDEX('Structured 2025'!teamCol,ROW()),ovrTeamCol25,0),MATCH(MID(INDEX('Structured 2025'!headerRow,1,COLUMN()),4,LEN(INDEX('Structured 2025'!headerRow,1,COLUMN()))),ovrHeaderRow25,0))</f>
        <v>15.59</v>
      </c>
      <c r="AV81" s="12">
        <f>INDEX(ovrTable25,MATCH(INDEX('Structured 2025'!teamCol,ROW()),ovrTeamCol25,0),MATCH(MID(INDEX('Structured 2025'!headerRow,1,COLUMN()),4,LEN(INDEX('Structured 2025'!headerRow,1,COLUMN()))),ovrHeaderRow25,0))</f>
        <v>45.8</v>
      </c>
      <c r="AW81" s="12">
        <f>INDEX(ovrTable25,MATCH(INDEX('Structured 2025'!teamCol,ROW()),ovrTeamCol25,0),MATCH(MID(INDEX('Structured 2025'!headerRow,1,COLUMN()),4,LEN(INDEX('Structured 2025'!headerRow,1,COLUMN()))),ovrHeaderRow25,0))</f>
        <v>16.7</v>
      </c>
      <c r="AX81" s="12">
        <f>INDEX(ovrTable25,MATCH(INDEX('Structured 2025'!teamCol,ROW()),ovrTeamCol25,0),MATCH(MID(INDEX('Structured 2025'!headerRow,1,COLUMN()),4,LEN(INDEX('Structured 2025'!headerRow,1,COLUMN()))),ovrHeaderRow25,0))</f>
        <v>77.900000000000006</v>
      </c>
      <c r="AY81" s="12">
        <f>INDEX(ovrTable25,MATCH(INDEX('Structured 2025'!teamCol,ROW()),ovrTeamCol25,0),MATCH(MID(INDEX('Structured 2025'!headerRow,1,COLUMN()),4,LEN(INDEX('Structured 2025'!headerRow,1,COLUMN()))),ovrHeaderRow25,0))</f>
        <v>22.4</v>
      </c>
      <c r="AZ81" s="12">
        <f>INDEX(ovrTable25,MATCH(INDEX('Structured 2025'!teamCol,ROW()),ovrTeamCol25,0),MATCH(MID(INDEX('Structured 2025'!headerRow,1,COLUMN()),4,LEN(INDEX('Structured 2025'!headerRow,1,COLUMN()))),ovrHeaderRow25,0))</f>
        <v>17.399999999999999</v>
      </c>
      <c r="BA81" s="12">
        <f>INDEX(ovrTable25,MATCH(INDEX('Structured 2025'!teamCol,ROW()),ovrTeamCol25,0),MATCH(MID(INDEX('Structured 2025'!headerRow,1,COLUMN()),4,LEN(INDEX('Structured 2025'!headerRow,1,COLUMN()))),ovrHeaderRow25,0))</f>
        <v>67.099999999999994</v>
      </c>
      <c r="BB81" s="12">
        <f>INDEX(ovrTable25,MATCH(INDEX('Structured 2025'!teamCol,ROW()),ovrTeamCol25,0),MATCH(MID(INDEX('Structured 2025'!headerRow,1,COLUMN()),4,LEN(INDEX('Structured 2025'!headerRow,1,COLUMN()))),ovrHeaderRow25,0))</f>
        <v>11.89</v>
      </c>
      <c r="BC81" s="12">
        <f>INDEX(ovrTable25,MATCH(INDEX('Structured 2025'!teamCol,ROW()),ovrTeamCol25,0),MATCH(MID(INDEX('Structured 2025'!headerRow,1,COLUMN()),4,LEN(INDEX('Structured 2025'!headerRow,1,COLUMN()))),ovrHeaderRow25,0))</f>
        <v>77.7</v>
      </c>
      <c r="BD81" s="12">
        <f>INDEX(ovrTable25,MATCH(INDEX('Structured 2025'!teamCol,ROW()),ovrTeamCol25,0),MATCH(MID(INDEX('Structured 2025'!headerRow,1,COLUMN()),4,LEN(INDEX('Structured 2025'!headerRow,1,COLUMN()))),ovrHeaderRow25,0))</f>
        <v>8.9</v>
      </c>
      <c r="BE81" s="12">
        <f>INDEX(ovrTable25,MATCH(INDEX('Structured 2025'!teamCol,ROW()),ovrTeamCol25,0),MATCH(MID(INDEX('Structured 2025'!headerRow,1,COLUMN()),4,LEN(INDEX('Structured 2025'!headerRow,1,COLUMN()))),ovrHeaderRow25,0))</f>
        <v>39.78</v>
      </c>
      <c r="BF81" s="12">
        <f>INDEX(ovrTable25,MATCH(INDEX('Structured 2025'!teamCol,ROW()),ovrTeamCol25,0),MATCH(MID(INDEX('Structured 2025'!headerRow,1,COLUMN()),4,LEN(INDEX('Structured 2025'!headerRow,1,COLUMN()))),ovrHeaderRow25,0))</f>
        <v>10.5</v>
      </c>
      <c r="BG81" s="12">
        <f>INDEX(ovrTable25,MATCH(INDEX('Structured 2025'!teamCol,ROW()),ovrTeamCol25,0),MATCH(MID(INDEX('Structured 2025'!headerRow,1,COLUMN()),4,LEN(INDEX('Structured 2025'!headerRow,1,COLUMN()))),ovrHeaderRow25,0))</f>
        <v>5.3</v>
      </c>
      <c r="BH81" s="12">
        <f>INDEX(ovrTable25,MATCH(INDEX('Structured 2025'!teamCol,ROW()),ovrTeamCol25,0),MATCH(MID(INDEX('Structured 2025'!headerRow,1,COLUMN()),4,LEN(INDEX('Structured 2025'!headerRow,1,COLUMN()))),ovrHeaderRow25,0))</f>
        <v>-0.3</v>
      </c>
      <c r="BI81" s="12">
        <f>INDEX(ovrTable25,MATCH(INDEX('Structured 2025'!teamCol,ROW()),ovrTeamCol25,0),MATCH(MID(INDEX('Structured 2025'!headerRow,1,COLUMN()),4,LEN(INDEX('Structured 2025'!headerRow,1,COLUMN()))),ovrHeaderRow25,0))</f>
        <v>11.03</v>
      </c>
      <c r="BJ81" s="12">
        <f>INDEX(ovrTable25,MATCH(INDEX('Structured 2025'!teamCol,ROW()),ovrTeamCol25,0),MATCH(MID(INDEX('Structured 2025'!headerRow,1,COLUMN()),4,LEN(INDEX('Structured 2025'!headerRow,1,COLUMN()))),ovrHeaderRow25,0))</f>
        <v>11.4</v>
      </c>
      <c r="BK81" s="12">
        <f>INDEX(ovrTable25,MATCH(INDEX('Structured 2025'!teamCol,ROW()),ovrTeamCol25,0),MATCH(MID(INDEX('Structured 2025'!headerRow,1,COLUMN()),4,LEN(INDEX('Structured 2025'!headerRow,1,COLUMN()))),ovrHeaderRow25,0))</f>
        <v>67.5</v>
      </c>
      <c r="BL81" s="12">
        <f>INDEX(ovrTable25,MATCH(INDEX('Structured 2025'!teamCol,ROW()),ovrTeamCol25,0),MATCH(MID(INDEX('Structured 2025'!headerRow,1,COLUMN()),4,LEN(INDEX('Structured 2025'!headerRow,1,COLUMN()))),ovrHeaderRow25,0))</f>
        <v>21.000000000000004</v>
      </c>
      <c r="BM81" s="12">
        <f>INDEX(ovrTable25,MATCH(INDEX('Structured 2025'!teamCol,ROW()),ovrTeamCol25,0),MATCH(MID(INDEX('Structured 2025'!headerRow,1,COLUMN()),4,LEN(INDEX('Structured 2025'!headerRow,1,COLUMN()))),ovrHeaderRow25,0))</f>
        <v>59.170305676855897</v>
      </c>
      <c r="BN81" s="12">
        <f>INDEX(ovrTable25,MATCH(INDEX(oppCol,ROW()),ovrTeamCol25,0),MATCH(MID(INDEX('Structured 2025'!headerRow,1,COLUMN()),4,LEN(INDEX('Structured 2025'!headerRow,1,COLUMN()))),ovrHeaderRow25,0))</f>
        <v>33.799999999999997</v>
      </c>
      <c r="BO81" s="12">
        <f>INDEX(ovrTable25,MATCH(INDEX(oppCol,ROW()),ovrTeamCol25,0),MATCH(MID(INDEX('Structured 2025'!headerRow,1,COLUMN()),4,LEN(INDEX('Structured 2025'!headerRow,1,COLUMN()))),ovrHeaderRow25,0))</f>
        <v>6.9</v>
      </c>
      <c r="BP81" s="12">
        <f>INDEX(ovrTable25,MATCH(INDEX(oppCol,ROW()),ovrTeamCol25,0),MATCH(MID(INDEX('Structured 2025'!headerRow,1,COLUMN()),4,LEN(INDEX('Structured 2025'!headerRow,1,COLUMN()))),ovrHeaderRow25,0))</f>
        <v>34.700000000000003</v>
      </c>
      <c r="BQ81" s="12">
        <f>INDEX(ovrTable25,MATCH(INDEX(oppCol,ROW()),ovrTeamCol25,0),MATCH(MID(INDEX('Structured 2025'!headerRow,1,COLUMN()),4,LEN(INDEX('Structured 2025'!headerRow,1,COLUMN()))),ovrHeaderRow25,0))</f>
        <v>20</v>
      </c>
      <c r="BR81" s="12">
        <f>INDEX(ovrTable25,MATCH(INDEX(oppCol,ROW()),ovrTeamCol25,0),MATCH(MID(INDEX('Structured 2025'!headerRow,1,COLUMN()),4,LEN(INDEX('Structured 2025'!headerRow,1,COLUMN()))),ovrHeaderRow25,0))</f>
        <v>1.3</v>
      </c>
      <c r="BS81" s="12">
        <f>INDEX(ovrTable25,MATCH(INDEX(oppCol,ROW()),ovrTeamCol25,0),MATCH(MID(INDEX('Structured 2025'!headerRow,1,COLUMN()),4,LEN(INDEX('Structured 2025'!headerRow,1,COLUMN()))),ovrHeaderRow25,0))</f>
        <v>14.9</v>
      </c>
      <c r="BT81" s="12">
        <f>INDEX(ovrTable25,MATCH(INDEX(oppCol,ROW()),ovrTeamCol25,0),MATCH(MID(INDEX('Structured 2025'!headerRow,1,COLUMN()),4,LEN(INDEX('Structured 2025'!headerRow,1,COLUMN()))),ovrHeaderRow25,0))</f>
        <v>18.510000000000002</v>
      </c>
      <c r="BU81" s="12">
        <f>INDEX(ovrTable25,MATCH(INDEX(oppCol,ROW()),ovrTeamCol25,0),MATCH(MID(INDEX('Structured 2025'!headerRow,1,COLUMN()),4,LEN(INDEX('Structured 2025'!headerRow,1,COLUMN()))),ovrHeaderRow25,0))</f>
        <v>5</v>
      </c>
      <c r="BV81" s="12">
        <f>INDEX(ovrTable25,MATCH(INDEX(oppCol,ROW()),ovrTeamCol25,0),MATCH(MID(INDEX('Structured 2025'!headerRow,1,COLUMN()),4,LEN(INDEX('Structured 2025'!headerRow,1,COLUMN()))),ovrHeaderRow25,0))</f>
        <v>42.8</v>
      </c>
      <c r="BW81" s="12">
        <f>INDEX(ovrTable25,MATCH(INDEX(oppCol,ROW()),ovrTeamCol25,0),MATCH(MID(INDEX('Structured 2025'!headerRow,1,COLUMN()),4,LEN(INDEX('Structured 2025'!headerRow,1,COLUMN()))),ovrHeaderRow25,0))</f>
        <v>26.91</v>
      </c>
      <c r="BX81" s="12">
        <f>INDEX(ovrTable25,MATCH(INDEX(oppCol,ROW()),ovrTeamCol25,0),MATCH(MID(INDEX('Structured 2025'!headerRow,1,COLUMN()),4,LEN(INDEX('Structured 2025'!headerRow,1,COLUMN()))),ovrHeaderRow25,0))</f>
        <v>0.51500000000000001</v>
      </c>
      <c r="BY81" s="12">
        <f>INDEX(ovrTable25,MATCH(INDEX(oppCol,ROW()),ovrTeamCol25,0),MATCH(MID(INDEX('Structured 2025'!headerRow,1,COLUMN()),4,LEN(INDEX('Structured 2025'!headerRow,1,COLUMN()))),ovrHeaderRow25,0))</f>
        <v>15.83</v>
      </c>
      <c r="BZ81" s="12">
        <f>INDEX(ovrTable25,MATCH(INDEX(oppCol,ROW()),ovrTeamCol25,0),MATCH(MID(INDEX('Structured 2025'!headerRow,1,COLUMN()),4,LEN(INDEX('Structured 2025'!headerRow,1,COLUMN()))),ovrHeaderRow25,0))</f>
        <v>46</v>
      </c>
      <c r="CA81" s="12">
        <f>INDEX(ovrTable25,MATCH(INDEX(oppCol,ROW()),ovrTeamCol25,0),MATCH(MID(INDEX('Structured 2025'!headerRow,1,COLUMN()),4,LEN(INDEX('Structured 2025'!headerRow,1,COLUMN()))),ovrHeaderRow25,0))</f>
        <v>17.5</v>
      </c>
      <c r="CB81" s="12">
        <f>INDEX(ovrTable25,MATCH(INDEX(oppCol,ROW()),ovrTeamCol25,0),MATCH(MID(INDEX('Structured 2025'!headerRow,1,COLUMN()),4,LEN(INDEX('Structured 2025'!headerRow,1,COLUMN()))),ovrHeaderRow25,0))</f>
        <v>68.900000000000006</v>
      </c>
      <c r="CC81" s="12">
        <f>INDEX(ovrTable25,MATCH(INDEX(oppCol,ROW()),ovrTeamCol25,0),MATCH(MID(INDEX('Structured 2025'!headerRow,1,COLUMN()),4,LEN(INDEX('Structured 2025'!headerRow,1,COLUMN()))),ovrHeaderRow25,0))</f>
        <v>23.1</v>
      </c>
      <c r="CD81" s="12">
        <f>INDEX(ovrTable25,MATCH(INDEX(oppCol,ROW()),ovrTeamCol25,0),MATCH(MID(INDEX('Structured 2025'!headerRow,1,COLUMN()),4,LEN(INDEX('Structured 2025'!headerRow,1,COLUMN()))),ovrHeaderRow25,0))</f>
        <v>15.9</v>
      </c>
      <c r="CE81" s="12">
        <f>INDEX(ovrTable25,MATCH(INDEX(oppCol,ROW()),ovrTeamCol25,0),MATCH(MID(INDEX('Structured 2025'!headerRow,1,COLUMN()),4,LEN(INDEX('Structured 2025'!headerRow,1,COLUMN()))),ovrHeaderRow25,0))</f>
        <v>70.599999999999994</v>
      </c>
      <c r="CF81" s="12">
        <f>INDEX(ovrTable25,MATCH(INDEX(oppCol,ROW()),ovrTeamCol25,0),MATCH(MID(INDEX('Structured 2025'!headerRow,1,COLUMN()),4,LEN(INDEX('Structured 2025'!headerRow,1,COLUMN()))),ovrHeaderRow25,0))</f>
        <v>11.97</v>
      </c>
      <c r="CG81" s="12">
        <f>INDEX(ovrTable25,MATCH(INDEX(oppCol,ROW()),ovrTeamCol25,0),MATCH(MID(INDEX('Structured 2025'!headerRow,1,COLUMN()),4,LEN(INDEX('Structured 2025'!headerRow,1,COLUMN()))),ovrHeaderRow25,0))</f>
        <v>80.5</v>
      </c>
      <c r="CH81" s="12">
        <f>INDEX(ovrTable25,MATCH(INDEX(oppCol,ROW()),ovrTeamCol25,0),MATCH(MID(INDEX('Structured 2025'!headerRow,1,COLUMN()),4,LEN(INDEX('Structured 2025'!headerRow,1,COLUMN()))),ovrHeaderRow25,0))</f>
        <v>3.7</v>
      </c>
      <c r="CI81" s="12">
        <f>INDEX(ovrTable25,MATCH(INDEX(oppCol,ROW()),ovrTeamCol25,0),MATCH(MID(INDEX('Structured 2025'!headerRow,1,COLUMN()),4,LEN(INDEX('Structured 2025'!headerRow,1,COLUMN()))),ovrHeaderRow25,0))</f>
        <v>38.89</v>
      </c>
      <c r="CJ81" s="12">
        <f>INDEX(ovrTable25,MATCH(INDEX(oppCol,ROW()),ovrTeamCol25,0),MATCH(MID(INDEX('Structured 2025'!headerRow,1,COLUMN()),4,LEN(INDEX('Structured 2025'!headerRow,1,COLUMN()))),ovrHeaderRow25,0))</f>
        <v>9.9</v>
      </c>
      <c r="CK81" s="12">
        <f>INDEX(ovrTable25,MATCH(INDEX(oppCol,ROW()),ovrTeamCol25,0),MATCH(MID(INDEX('Structured 2025'!headerRow,1,COLUMN()),4,LEN(INDEX('Structured 2025'!headerRow,1,COLUMN()))),ovrHeaderRow25,0))</f>
        <v>8.6999999999999993</v>
      </c>
      <c r="CL81" s="12">
        <f>INDEX(ovrTable25,MATCH(INDEX(oppCol,ROW()),ovrTeamCol25,0),MATCH(MID(INDEX('Structured 2025'!headerRow,1,COLUMN()),4,LEN(INDEX('Structured 2025'!headerRow,1,COLUMN()))),ovrHeaderRow25,0))</f>
        <v>3.6</v>
      </c>
      <c r="CM81" s="12">
        <f>INDEX(ovrTable25,MATCH(INDEX(oppCol,ROW()),ovrTeamCol25,0),MATCH(MID(INDEX('Structured 2025'!headerRow,1,COLUMN()),4,LEN(INDEX('Structured 2025'!headerRow,1,COLUMN()))),ovrHeaderRow25,0))</f>
        <v>15.06</v>
      </c>
      <c r="CN81" s="12">
        <f>INDEX(ovrTable25,MATCH(INDEX(oppCol,ROW()),ovrTeamCol25,0),MATCH(MID(INDEX('Structured 2025'!headerRow,1,COLUMN()),4,LEN(INDEX('Structured 2025'!headerRow,1,COLUMN()))),ovrHeaderRow25,0))</f>
        <v>11.4</v>
      </c>
      <c r="CO81" s="12">
        <f>INDEX(ovrTable25,MATCH(INDEX(oppCol,ROW()),ovrTeamCol25,0),MATCH(MID(INDEX('Structured 2025'!headerRow,1,COLUMN()),4,LEN(INDEX('Structured 2025'!headerRow,1,COLUMN()))),ovrHeaderRow25,0))</f>
        <v>72.5</v>
      </c>
      <c r="CP81" s="12">
        <f>INDEX(ovrTable25,MATCH(INDEX(oppCol,ROW()),ovrTeamCol25,0),MATCH(MID(INDEX('Structured 2025'!headerRow,1,COLUMN()),4,LEN(INDEX('Structured 2025'!headerRow,1,COLUMN()))),ovrHeaderRow25,0))</f>
        <v>21.949999999999996</v>
      </c>
      <c r="CQ81" s="12">
        <f>INDEX(ovrTable25,MATCH(INDEX(oppCol,ROW()),ovrTeamCol25,0),MATCH(MID(INDEX('Structured 2025'!headerRow,1,COLUMN()),4,LEN(INDEX('Structured 2025'!headerRow,1,COLUMN()))),ovrHeaderRow25,0))</f>
        <v>62.717391304347814</v>
      </c>
    </row>
    <row r="82" spans="1:95" x14ac:dyDescent="0.3">
      <c r="A82" s="6" t="s">
        <v>48</v>
      </c>
      <c r="B82" s="3">
        <v>1</v>
      </c>
      <c r="C82" s="13" t="str">
        <f>A83</f>
        <v>BAY</v>
      </c>
      <c r="D82" s="14">
        <f t="shared" si="26"/>
        <v>41</v>
      </c>
      <c r="E82" s="23">
        <v>0.32</v>
      </c>
      <c r="F82" s="24">
        <v>64.444444444444443</v>
      </c>
      <c r="G82" s="24">
        <v>12</v>
      </c>
      <c r="H82" s="23">
        <v>54.54545454545454</v>
      </c>
      <c r="I82" s="24">
        <v>22</v>
      </c>
      <c r="J82" s="25">
        <v>2.8333333333333335</v>
      </c>
      <c r="K82" s="24">
        <v>19</v>
      </c>
      <c r="L82" s="24">
        <v>23</v>
      </c>
      <c r="M82" s="24">
        <v>3</v>
      </c>
      <c r="N82" s="24">
        <v>26</v>
      </c>
      <c r="O82" s="24">
        <v>17</v>
      </c>
      <c r="P82" s="24">
        <v>3</v>
      </c>
      <c r="Q82" s="24">
        <v>5</v>
      </c>
      <c r="R82" s="24">
        <v>6</v>
      </c>
      <c r="S82" s="24">
        <v>17</v>
      </c>
      <c r="T82" s="24">
        <v>13</v>
      </c>
      <c r="U82" s="24">
        <v>20</v>
      </c>
      <c r="V82" s="24">
        <v>0.36764705882352944</v>
      </c>
      <c r="W82" s="26">
        <v>0.77777777777777779</v>
      </c>
      <c r="X82" s="23">
        <v>82.608695652173907</v>
      </c>
      <c r="Y82" s="24">
        <v>66</v>
      </c>
      <c r="Z82" s="24">
        <v>89</v>
      </c>
      <c r="AA82" s="24">
        <v>-3</v>
      </c>
      <c r="AB82" s="24">
        <v>29</v>
      </c>
      <c r="AC82" s="24">
        <v>23</v>
      </c>
      <c r="AD82" s="24">
        <v>-1</v>
      </c>
      <c r="AE82" s="24">
        <v>5</v>
      </c>
      <c r="AF82" s="34">
        <f t="shared" si="69"/>
        <v>17</v>
      </c>
      <c r="AG82" s="34">
        <f t="shared" si="70"/>
        <v>23.000000000000007</v>
      </c>
      <c r="AH82" s="46">
        <f t="shared" si="71"/>
        <v>58.924999999999997</v>
      </c>
      <c r="AI82" s="51">
        <f t="shared" ref="AI82" si="88">AVERAGE(AH82,AH83)</f>
        <v>59.337499999999999</v>
      </c>
      <c r="AJ82" s="12">
        <f>INDEX(ovrTable25,MATCH(INDEX('Structured 2025'!teamCol,ROW()),ovrTeamCol25,0),MATCH(MID(INDEX('Structured 2025'!headerRow,1,COLUMN()),4,LEN(INDEX('Structured 2025'!headerRow,1,COLUMN()))),ovrHeaderRow25,0))</f>
        <v>31.2</v>
      </c>
      <c r="AK82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82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82" s="12">
        <f>INDEX(ovrTable25,MATCH(INDEX('Structured 2025'!teamCol,ROW()),ovrTeamCol25,0),MATCH(MID(INDEX('Structured 2025'!headerRow,1,COLUMN()),4,LEN(INDEX('Structured 2025'!headerRow,1,COLUMN()))),ovrHeaderRow25,0))</f>
        <v>21.6</v>
      </c>
      <c r="AN82" s="12">
        <f>INDEX(ovrTable25,MATCH(INDEX('Structured 2025'!teamCol,ROW()),ovrTeamCol25,0),MATCH(MID(INDEX('Structured 2025'!headerRow,1,COLUMN()),4,LEN(INDEX('Structured 2025'!headerRow,1,COLUMN()))),ovrHeaderRow25,0))</f>
        <v>1.53</v>
      </c>
      <c r="AO82" s="12">
        <f>INDEX(ovrTable25,MATCH(INDEX('Structured 2025'!teamCol,ROW()),ovrTeamCol25,0),MATCH(MID(INDEX('Structured 2025'!headerRow,1,COLUMN()),4,LEN(INDEX('Structured 2025'!headerRow,1,COLUMN()))),ovrHeaderRow25,0))</f>
        <v>15.9</v>
      </c>
      <c r="AP82" s="12">
        <f>INDEX(ovrTable25,MATCH(INDEX('Structured 2025'!teamCol,ROW()),ovrTeamCol25,0),MATCH(MID(INDEX('Structured 2025'!headerRow,1,COLUMN()),4,LEN(INDEX('Structured 2025'!headerRow,1,COLUMN()))),ovrHeaderRow25,0))</f>
        <v>17.03</v>
      </c>
      <c r="AQ82" s="12">
        <f>INDEX(ovrTable25,MATCH(INDEX('Structured 2025'!teamCol,ROW()),ovrTeamCol25,0),MATCH(MID(INDEX('Structured 2025'!headerRow,1,COLUMN()),4,LEN(INDEX('Structured 2025'!headerRow,1,COLUMN()))),ovrHeaderRow25,0))</f>
        <v>1.6</v>
      </c>
      <c r="AR82" s="12">
        <f>INDEX(ovrTable25,MATCH(INDEX('Structured 2025'!teamCol,ROW()),ovrTeamCol25,0),MATCH(MID(INDEX('Structured 2025'!headerRow,1,COLUMN()),4,LEN(INDEX('Structured 2025'!headerRow,1,COLUMN()))),ovrHeaderRow25,0))</f>
        <v>45.2</v>
      </c>
      <c r="AS82" s="12">
        <f>INDEX(ovrTable25,MATCH(INDEX('Structured 2025'!teamCol,ROW()),ovrTeamCol25,0),MATCH(MID(INDEX('Structured 2025'!headerRow,1,COLUMN()),4,LEN(INDEX('Structured 2025'!headerRow,1,COLUMN()))),ovrHeaderRow25,0))</f>
        <v>23.08</v>
      </c>
      <c r="AT82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82" s="12">
        <f>INDEX(ovrTable25,MATCH(INDEX('Structured 2025'!teamCol,ROW()),ovrTeamCol25,0),MATCH(MID(INDEX('Structured 2025'!headerRow,1,COLUMN()),4,LEN(INDEX('Structured 2025'!headerRow,1,COLUMN()))),ovrHeaderRow25,0))</f>
        <v>7.83</v>
      </c>
      <c r="AV82" s="12">
        <f>INDEX(ovrTable25,MATCH(INDEX('Structured 2025'!teamCol,ROW()),ovrTeamCol25,0),MATCH(MID(INDEX('Structured 2025'!headerRow,1,COLUMN()),4,LEN(INDEX('Structured 2025'!headerRow,1,COLUMN()))),ovrHeaderRow25,0))</f>
        <v>48.6</v>
      </c>
      <c r="AW82" s="12">
        <f>INDEX(ovrTable25,MATCH(INDEX('Structured 2025'!teamCol,ROW()),ovrTeamCol25,0),MATCH(MID(INDEX('Structured 2025'!headerRow,1,COLUMN()),4,LEN(INDEX('Structured 2025'!headerRow,1,COLUMN()))),ovrHeaderRow25,0))</f>
        <v>15.8</v>
      </c>
      <c r="AX82" s="12">
        <f>INDEX(ovrTable25,MATCH(INDEX('Structured 2025'!teamCol,ROW()),ovrTeamCol25,0),MATCH(MID(INDEX('Structured 2025'!headerRow,1,COLUMN()),4,LEN(INDEX('Structured 2025'!headerRow,1,COLUMN()))),ovrHeaderRow25,0))</f>
        <v>73.2</v>
      </c>
      <c r="AY82" s="12">
        <f>INDEX(ovrTable25,MATCH(INDEX('Structured 2025'!teamCol,ROW()),ovrTeamCol25,0),MATCH(MID(INDEX('Structured 2025'!headerRow,1,COLUMN()),4,LEN(INDEX('Structured 2025'!headerRow,1,COLUMN()))),ovrHeaderRow25,0))</f>
        <v>19.5</v>
      </c>
      <c r="AZ82" s="12">
        <f>INDEX(ovrTable25,MATCH(INDEX('Structured 2025'!teamCol,ROW()),ovrTeamCol25,0),MATCH(MID(INDEX('Structured 2025'!headerRow,1,COLUMN()),4,LEN(INDEX('Structured 2025'!headerRow,1,COLUMN()))),ovrHeaderRow25,0))</f>
        <v>14.3</v>
      </c>
      <c r="BA82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82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82" s="12">
        <f>INDEX(ovrTable25,MATCH(INDEX('Structured 2025'!teamCol,ROW()),ovrTeamCol25,0),MATCH(MID(INDEX('Structured 2025'!headerRow,1,COLUMN()),4,LEN(INDEX('Structured 2025'!headerRow,1,COLUMN()))),ovrHeaderRow25,0))</f>
        <v>77.3</v>
      </c>
      <c r="BD82" s="12">
        <f>INDEX(ovrTable25,MATCH(INDEX('Structured 2025'!teamCol,ROW()),ovrTeamCol25,0),MATCH(MID(INDEX('Structured 2025'!headerRow,1,COLUMN()),4,LEN(INDEX('Structured 2025'!headerRow,1,COLUMN()))),ovrHeaderRow25,0))</f>
        <v>2.1</v>
      </c>
      <c r="BE82" s="12">
        <f>INDEX(ovrTable25,MATCH(INDEX('Structured 2025'!teamCol,ROW()),ovrTeamCol25,0),MATCH(MID(INDEX('Structured 2025'!headerRow,1,COLUMN()),4,LEN(INDEX('Structured 2025'!headerRow,1,COLUMN()))),ovrHeaderRow25,0))</f>
        <v>32.86</v>
      </c>
      <c r="BF82" s="12">
        <f>INDEX(ovrTable25,MATCH(INDEX('Structured 2025'!teamCol,ROW()),ovrTeamCol25,0),MATCH(MID(INDEX('Structured 2025'!headerRow,1,COLUMN()),4,LEN(INDEX('Structured 2025'!headerRow,1,COLUMN()))),ovrHeaderRow25,0))</f>
        <v>6.9</v>
      </c>
      <c r="BG82" s="12">
        <f>INDEX(ovrTable25,MATCH(INDEX('Structured 2025'!teamCol,ROW()),ovrTeamCol25,0),MATCH(MID(INDEX('Structured 2025'!headerRow,1,COLUMN()),4,LEN(INDEX('Structured 2025'!headerRow,1,COLUMN()))),ovrHeaderRow25,0))</f>
        <v>6.4</v>
      </c>
      <c r="BH82" s="12">
        <f>INDEX(ovrTable25,MATCH(INDEX('Structured 2025'!teamCol,ROW()),ovrTeamCol25,0),MATCH(MID(INDEX('Structured 2025'!headerRow,1,COLUMN()),4,LEN(INDEX('Structured 2025'!headerRow,1,COLUMN()))),ovrHeaderRow25,0))</f>
        <v>1.2</v>
      </c>
      <c r="BI82" s="12">
        <f>INDEX(ovrTable25,MATCH(INDEX('Structured 2025'!teamCol,ROW()),ovrTeamCol25,0),MATCH(MID(INDEX('Structured 2025'!headerRow,1,COLUMN()),4,LEN(INDEX('Structured 2025'!headerRow,1,COLUMN()))),ovrHeaderRow25,0))</f>
        <v>11.61</v>
      </c>
      <c r="BJ82" s="12">
        <f>INDEX(ovrTable25,MATCH(INDEX('Structured 2025'!teamCol,ROW()),ovrTeamCol25,0),MATCH(MID(INDEX('Structured 2025'!headerRow,1,COLUMN()),4,LEN(INDEX('Structured 2025'!headerRow,1,COLUMN()))),ovrHeaderRow25,0))</f>
        <v>10.4</v>
      </c>
      <c r="BK82" s="12">
        <f>INDEX(ovrTable25,MATCH(INDEX('Structured 2025'!teamCol,ROW()),ovrTeamCol25,0),MATCH(MID(INDEX('Structured 2025'!headerRow,1,COLUMN()),4,LEN(INDEX('Structured 2025'!headerRow,1,COLUMN()))),ovrHeaderRow25,0))</f>
        <v>66</v>
      </c>
      <c r="BL82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82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82" s="12">
        <f>INDEX(ovrTable25,MATCH(INDEX(oppCol,ROW()),ovrTeamCol25,0),MATCH(MID(INDEX('Structured 2025'!headerRow,1,COLUMN()),4,LEN(INDEX('Structured 2025'!headerRow,1,COLUMN()))),ovrHeaderRow25,0))</f>
        <v>35.5</v>
      </c>
      <c r="BO82" s="12">
        <f>INDEX(ovrTable25,MATCH(INDEX(oppCol,ROW()),ovrTeamCol25,0),MATCH(MID(INDEX('Structured 2025'!headerRow,1,COLUMN()),4,LEN(INDEX('Structured 2025'!headerRow,1,COLUMN()))),ovrHeaderRow25,0))</f>
        <v>8.4</v>
      </c>
      <c r="BP82" s="12">
        <f>INDEX(ovrTable25,MATCH(INDEX(oppCol,ROW()),ovrTeamCol25,0),MATCH(MID(INDEX('Structured 2025'!headerRow,1,COLUMN()),4,LEN(INDEX('Structured 2025'!headerRow,1,COLUMN()))),ovrHeaderRow25,0))</f>
        <v>34.799999999999997</v>
      </c>
      <c r="BQ82" s="12">
        <f>INDEX(ovrTable25,MATCH(INDEX(oppCol,ROW()),ovrTeamCol25,0),MATCH(MID(INDEX('Structured 2025'!headerRow,1,COLUMN()),4,LEN(INDEX('Structured 2025'!headerRow,1,COLUMN()))),ovrHeaderRow25,0))</f>
        <v>24.2</v>
      </c>
      <c r="BR82" s="12">
        <f>INDEX(ovrTable25,MATCH(INDEX(oppCol,ROW()),ovrTeamCol25,0),MATCH(MID(INDEX('Structured 2025'!headerRow,1,COLUMN()),4,LEN(INDEX('Structured 2025'!headerRow,1,COLUMN()))),ovrHeaderRow25,0))</f>
        <v>1.33</v>
      </c>
      <c r="BS82" s="12">
        <f>INDEX(ovrTable25,MATCH(INDEX(oppCol,ROW()),ovrTeamCol25,0),MATCH(MID(INDEX('Structured 2025'!headerRow,1,COLUMN()),4,LEN(INDEX('Structured 2025'!headerRow,1,COLUMN()))),ovrHeaderRow25,0))</f>
        <v>14.4</v>
      </c>
      <c r="BT82" s="12">
        <f>INDEX(ovrTable25,MATCH(INDEX(oppCol,ROW()),ovrTeamCol25,0),MATCH(MID(INDEX('Structured 2025'!headerRow,1,COLUMN()),4,LEN(INDEX('Structured 2025'!headerRow,1,COLUMN()))),ovrHeaderRow25,0))</f>
        <v>17.66</v>
      </c>
      <c r="BU82" s="12">
        <f>INDEX(ovrTable25,MATCH(INDEX(oppCol,ROW()),ovrTeamCol25,0),MATCH(MID(INDEX('Structured 2025'!headerRow,1,COLUMN()),4,LEN(INDEX('Structured 2025'!headerRow,1,COLUMN()))),ovrHeaderRow25,0))</f>
        <v>2.8</v>
      </c>
      <c r="BV82" s="12">
        <f>INDEX(ovrTable25,MATCH(INDEX(oppCol,ROW()),ovrTeamCol25,0),MATCH(MID(INDEX('Structured 2025'!headerRow,1,COLUMN()),4,LEN(INDEX('Structured 2025'!headerRow,1,COLUMN()))),ovrHeaderRow25,0))</f>
        <v>44</v>
      </c>
      <c r="BW82" s="12">
        <f>INDEX(ovrTable25,MATCH(INDEX(oppCol,ROW()),ovrTeamCol25,0),MATCH(MID(INDEX('Structured 2025'!headerRow,1,COLUMN()),4,LEN(INDEX('Structured 2025'!headerRow,1,COLUMN()))),ovrHeaderRow25,0))</f>
        <v>22.91</v>
      </c>
      <c r="BX82" s="12">
        <f>INDEX(ovrTable25,MATCH(INDEX(oppCol,ROW()),ovrTeamCol25,0),MATCH(MID(INDEX('Structured 2025'!headerRow,1,COLUMN()),4,LEN(INDEX('Structured 2025'!headerRow,1,COLUMN()))),ovrHeaderRow25,0))</f>
        <v>0.51400000000000001</v>
      </c>
      <c r="BY82" s="12">
        <f>INDEX(ovrTable25,MATCH(INDEX(oppCol,ROW()),ovrTeamCol25,0),MATCH(MID(INDEX('Structured 2025'!headerRow,1,COLUMN()),4,LEN(INDEX('Structured 2025'!headerRow,1,COLUMN()))),ovrHeaderRow25,0))</f>
        <v>10.029999999999999</v>
      </c>
      <c r="BZ82" s="12">
        <f>INDEX(ovrTable25,MATCH(INDEX(oppCol,ROW()),ovrTeamCol25,0),MATCH(MID(INDEX('Structured 2025'!headerRow,1,COLUMN()),4,LEN(INDEX('Structured 2025'!headerRow,1,COLUMN()))),ovrHeaderRow25,0))</f>
        <v>44.5</v>
      </c>
      <c r="CA82" s="12">
        <f>INDEX(ovrTable25,MATCH(INDEX(oppCol,ROW()),ovrTeamCol25,0),MATCH(MID(INDEX('Structured 2025'!headerRow,1,COLUMN()),4,LEN(INDEX('Structured 2025'!headerRow,1,COLUMN()))),ovrHeaderRow25,0))</f>
        <v>16.3</v>
      </c>
      <c r="CB82" s="12">
        <f>INDEX(ovrTable25,MATCH(INDEX(oppCol,ROW()),ovrTeamCol25,0),MATCH(MID(INDEX('Structured 2025'!headerRow,1,COLUMN()),4,LEN(INDEX('Structured 2025'!headerRow,1,COLUMN()))),ovrHeaderRow25,0))</f>
        <v>74.7</v>
      </c>
      <c r="CC82" s="12">
        <f>INDEX(ovrTable25,MATCH(INDEX(oppCol,ROW()),ovrTeamCol25,0),MATCH(MID(INDEX('Structured 2025'!headerRow,1,COLUMN()),4,LEN(INDEX('Structured 2025'!headerRow,1,COLUMN()))),ovrHeaderRow25,0))</f>
        <v>18.3</v>
      </c>
      <c r="CD82" s="12">
        <f>INDEX(ovrTable25,MATCH(INDEX(oppCol,ROW()),ovrTeamCol25,0),MATCH(MID(INDEX('Structured 2025'!headerRow,1,COLUMN()),4,LEN(INDEX('Structured 2025'!headerRow,1,COLUMN()))),ovrHeaderRow25,0))</f>
        <v>13.7</v>
      </c>
      <c r="CE82" s="12">
        <f>INDEX(ovrTable25,MATCH(INDEX(oppCol,ROW()),ovrTeamCol25,0),MATCH(MID(INDEX('Structured 2025'!headerRow,1,COLUMN()),4,LEN(INDEX('Structured 2025'!headerRow,1,COLUMN()))),ovrHeaderRow25,0))</f>
        <v>69.8</v>
      </c>
      <c r="CF82" s="12">
        <f>INDEX(ovrTable25,MATCH(INDEX(oppCol,ROW()),ovrTeamCol25,0),MATCH(MID(INDEX('Structured 2025'!headerRow,1,COLUMN()),4,LEN(INDEX('Structured 2025'!headerRow,1,COLUMN()))),ovrHeaderRow25,0))</f>
        <v>12.97</v>
      </c>
      <c r="CG82" s="12">
        <f>INDEX(ovrTable25,MATCH(INDEX(oppCol,ROW()),ovrTeamCol25,0),MATCH(MID(INDEX('Structured 2025'!headerRow,1,COLUMN()),4,LEN(INDEX('Structured 2025'!headerRow,1,COLUMN()))),ovrHeaderRow25,0))</f>
        <v>76.099999999999994</v>
      </c>
      <c r="CH82" s="12">
        <f>INDEX(ovrTable25,MATCH(INDEX(oppCol,ROW()),ovrTeamCol25,0),MATCH(MID(INDEX('Structured 2025'!headerRow,1,COLUMN()),4,LEN(INDEX('Structured 2025'!headerRow,1,COLUMN()))),ovrHeaderRow25,0))</f>
        <v>3.4</v>
      </c>
      <c r="CI82" s="12">
        <f>INDEX(ovrTable25,MATCH(INDEX(oppCol,ROW()),ovrTeamCol25,0),MATCH(MID(INDEX('Structured 2025'!headerRow,1,COLUMN()),4,LEN(INDEX('Structured 2025'!headerRow,1,COLUMN()))),ovrHeaderRow25,0))</f>
        <v>35.89</v>
      </c>
      <c r="CJ82" s="12">
        <f>INDEX(ovrTable25,MATCH(INDEX(oppCol,ROW()),ovrTeamCol25,0),MATCH(MID(INDEX('Structured 2025'!headerRow,1,COLUMN()),4,LEN(INDEX('Structured 2025'!headerRow,1,COLUMN()))),ovrHeaderRow25,0))</f>
        <v>6.3</v>
      </c>
      <c r="CK82" s="12">
        <f>INDEX(ovrTable25,MATCH(INDEX(oppCol,ROW()),ovrTeamCol25,0),MATCH(MID(INDEX('Structured 2025'!headerRow,1,COLUMN()),4,LEN(INDEX('Structured 2025'!headerRow,1,COLUMN()))),ovrHeaderRow25,0))</f>
        <v>7.5</v>
      </c>
      <c r="CL82" s="12">
        <f>INDEX(ovrTable25,MATCH(INDEX(oppCol,ROW()),ovrTeamCol25,0),MATCH(MID(INDEX('Structured 2025'!headerRow,1,COLUMN()),4,LEN(INDEX('Structured 2025'!headerRow,1,COLUMN()))),ovrHeaderRow25,0))</f>
        <v>1.8</v>
      </c>
      <c r="CM82" s="12">
        <f>INDEX(ovrTable25,MATCH(INDEX(oppCol,ROW()),ovrTeamCol25,0),MATCH(MID(INDEX('Structured 2025'!headerRow,1,COLUMN()),4,LEN(INDEX('Structured 2025'!headerRow,1,COLUMN()))),ovrHeaderRow25,0))</f>
        <v>12.57</v>
      </c>
      <c r="CN82" s="12">
        <f>INDEX(ovrTable25,MATCH(INDEX(oppCol,ROW()),ovrTeamCol25,0),MATCH(MID(INDEX('Structured 2025'!headerRow,1,COLUMN()),4,LEN(INDEX('Structured 2025'!headerRow,1,COLUMN()))),ovrHeaderRow25,0))</f>
        <v>10.8</v>
      </c>
      <c r="CO82" s="12">
        <f>INDEX(ovrTable25,MATCH(INDEX(oppCol,ROW()),ovrTeamCol25,0),MATCH(MID(INDEX('Structured 2025'!headerRow,1,COLUMN()),4,LEN(INDEX('Structured 2025'!headerRow,1,COLUMN()))),ovrHeaderRow25,0))</f>
        <v>64.599999999999994</v>
      </c>
      <c r="CP82" s="12">
        <f>INDEX(ovrTable25,MATCH(INDEX(oppCol,ROW()),ovrTeamCol25,0),MATCH(MID(INDEX('Structured 2025'!headerRow,1,COLUMN()),4,LEN(INDEX('Structured 2025'!headerRow,1,COLUMN()))),ovrHeaderRow25,0))</f>
        <v>18.599999999999994</v>
      </c>
      <c r="CQ82" s="12">
        <f>INDEX(ovrTable25,MATCH(INDEX(oppCol,ROW()),ovrTeamCol25,0),MATCH(MID(INDEX('Structured 2025'!headerRow,1,COLUMN()),4,LEN(INDEX('Structured 2025'!headerRow,1,COLUMN()))),ovrHeaderRow25,0))</f>
        <v>60.67415730337077</v>
      </c>
    </row>
    <row r="83" spans="1:95" x14ac:dyDescent="0.3">
      <c r="A83" s="6" t="s">
        <v>20</v>
      </c>
      <c r="B83" s="3">
        <v>9</v>
      </c>
      <c r="C83" s="13" t="str">
        <f>A82</f>
        <v>DUKE</v>
      </c>
      <c r="D83" s="14">
        <f t="shared" si="26"/>
        <v>41</v>
      </c>
      <c r="E83" s="23">
        <v>0.54545454545454541</v>
      </c>
      <c r="F83" s="24">
        <v>36.764705882352942</v>
      </c>
      <c r="G83" s="24">
        <v>8</v>
      </c>
      <c r="H83" s="23">
        <v>32</v>
      </c>
      <c r="I83" s="24">
        <v>25</v>
      </c>
      <c r="J83" s="25">
        <v>1.8</v>
      </c>
      <c r="K83" s="24">
        <v>8</v>
      </c>
      <c r="L83" s="24">
        <v>10</v>
      </c>
      <c r="M83" s="24">
        <v>18</v>
      </c>
      <c r="N83" s="24">
        <v>14</v>
      </c>
      <c r="O83" s="24">
        <v>9</v>
      </c>
      <c r="P83" s="24">
        <v>2</v>
      </c>
      <c r="Q83" s="24">
        <v>0</v>
      </c>
      <c r="R83" s="24">
        <v>5</v>
      </c>
      <c r="S83" s="24">
        <v>5</v>
      </c>
      <c r="T83" s="24">
        <v>16</v>
      </c>
      <c r="U83" s="24">
        <v>10</v>
      </c>
      <c r="V83" s="24">
        <v>0.64444444444444449</v>
      </c>
      <c r="W83" s="26">
        <v>0.4264705882352941</v>
      </c>
      <c r="X83" s="23">
        <v>80</v>
      </c>
      <c r="Y83" s="24">
        <v>89</v>
      </c>
      <c r="Z83" s="24">
        <v>66</v>
      </c>
      <c r="AA83" s="24">
        <v>3</v>
      </c>
      <c r="AB83" s="24">
        <v>32</v>
      </c>
      <c r="AC83" s="24">
        <v>-23</v>
      </c>
      <c r="AD83" s="24">
        <v>1</v>
      </c>
      <c r="AE83" s="24">
        <v>6</v>
      </c>
      <c r="AF83" s="34">
        <f t="shared" si="69"/>
        <v>17</v>
      </c>
      <c r="AG83" s="34">
        <f t="shared" si="70"/>
        <v>43</v>
      </c>
      <c r="AH83" s="46">
        <f t="shared" si="71"/>
        <v>59.75</v>
      </c>
      <c r="AI83" s="51">
        <f t="shared" ref="AI83" si="89">AVERAGE(AH82,AH83)</f>
        <v>59.337499999999999</v>
      </c>
      <c r="AJ83" s="12">
        <f>INDEX(ovrTable25,MATCH(INDEX('Structured 2025'!teamCol,ROW()),ovrTeamCol25,0),MATCH(MID(INDEX('Structured 2025'!headerRow,1,COLUMN()),4,LEN(INDEX('Structured 2025'!headerRow,1,COLUMN()))),ovrHeaderRow25,0))</f>
        <v>35.5</v>
      </c>
      <c r="AK83" s="12">
        <f>INDEX(ovrTable25,MATCH(INDEX('Structured 2025'!teamCol,ROW()),ovrTeamCol25,0),MATCH(MID(INDEX('Structured 2025'!headerRow,1,COLUMN()),4,LEN(INDEX('Structured 2025'!headerRow,1,COLUMN()))),ovrHeaderRow25,0))</f>
        <v>8.4</v>
      </c>
      <c r="AL83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83" s="12">
        <f>INDEX(ovrTable25,MATCH(INDEX('Structured 2025'!teamCol,ROW()),ovrTeamCol25,0),MATCH(MID(INDEX('Structured 2025'!headerRow,1,COLUMN()),4,LEN(INDEX('Structured 2025'!headerRow,1,COLUMN()))),ovrHeaderRow25,0))</f>
        <v>24.2</v>
      </c>
      <c r="AN83" s="12">
        <f>INDEX(ovrTable25,MATCH(INDEX('Structured 2025'!teamCol,ROW()),ovrTeamCol25,0),MATCH(MID(INDEX('Structured 2025'!headerRow,1,COLUMN()),4,LEN(INDEX('Structured 2025'!headerRow,1,COLUMN()))),ovrHeaderRow25,0))</f>
        <v>1.33</v>
      </c>
      <c r="AO83" s="12">
        <f>INDEX(ovrTable25,MATCH(INDEX('Structured 2025'!teamCol,ROW()),ovrTeamCol25,0),MATCH(MID(INDEX('Structured 2025'!headerRow,1,COLUMN()),4,LEN(INDEX('Structured 2025'!headerRow,1,COLUMN()))),ovrHeaderRow25,0))</f>
        <v>14.4</v>
      </c>
      <c r="AP83" s="12">
        <f>INDEX(ovrTable25,MATCH(INDEX('Structured 2025'!teamCol,ROW()),ovrTeamCol25,0),MATCH(MID(INDEX('Structured 2025'!headerRow,1,COLUMN()),4,LEN(INDEX('Structured 2025'!headerRow,1,COLUMN()))),ovrHeaderRow25,0))</f>
        <v>17.66</v>
      </c>
      <c r="AQ83" s="12">
        <f>INDEX(ovrTable25,MATCH(INDEX('Structured 2025'!teamCol,ROW()),ovrTeamCol25,0),MATCH(MID(INDEX('Structured 2025'!headerRow,1,COLUMN()),4,LEN(INDEX('Structured 2025'!headerRow,1,COLUMN()))),ovrHeaderRow25,0))</f>
        <v>2.8</v>
      </c>
      <c r="AR83" s="12">
        <f>INDEX(ovrTable25,MATCH(INDEX('Structured 2025'!teamCol,ROW()),ovrTeamCol25,0),MATCH(MID(INDEX('Structured 2025'!headerRow,1,COLUMN()),4,LEN(INDEX('Structured 2025'!headerRow,1,COLUMN()))),ovrHeaderRow25,0))</f>
        <v>44</v>
      </c>
      <c r="AS83" s="12">
        <f>INDEX(ovrTable25,MATCH(INDEX('Structured 2025'!teamCol,ROW()),ovrTeamCol25,0),MATCH(MID(INDEX('Structured 2025'!headerRow,1,COLUMN()),4,LEN(INDEX('Structured 2025'!headerRow,1,COLUMN()))),ovrHeaderRow25,0))</f>
        <v>22.91</v>
      </c>
      <c r="AT83" s="12">
        <f>INDEX(ovrTable25,MATCH(INDEX('Structured 2025'!teamCol,ROW()),ovrTeamCol25,0),MATCH(MID(INDEX('Structured 2025'!headerRow,1,COLUMN()),4,LEN(INDEX('Structured 2025'!headerRow,1,COLUMN()))),ovrHeaderRow25,0))</f>
        <v>0.51400000000000001</v>
      </c>
      <c r="AU83" s="12">
        <f>INDEX(ovrTable25,MATCH(INDEX('Structured 2025'!teamCol,ROW()),ovrTeamCol25,0),MATCH(MID(INDEX('Structured 2025'!headerRow,1,COLUMN()),4,LEN(INDEX('Structured 2025'!headerRow,1,COLUMN()))),ovrHeaderRow25,0))</f>
        <v>10.029999999999999</v>
      </c>
      <c r="AV83" s="12">
        <f>INDEX(ovrTable25,MATCH(INDEX('Structured 2025'!teamCol,ROW()),ovrTeamCol25,0),MATCH(MID(INDEX('Structured 2025'!headerRow,1,COLUMN()),4,LEN(INDEX('Structured 2025'!headerRow,1,COLUMN()))),ovrHeaderRow25,0))</f>
        <v>44.5</v>
      </c>
      <c r="AW83" s="12">
        <f>INDEX(ovrTable25,MATCH(INDEX('Structured 2025'!teamCol,ROW()),ovrTeamCol25,0),MATCH(MID(INDEX('Structured 2025'!headerRow,1,COLUMN()),4,LEN(INDEX('Structured 2025'!headerRow,1,COLUMN()))),ovrHeaderRow25,0))</f>
        <v>16.3</v>
      </c>
      <c r="AX83" s="12">
        <f>INDEX(ovrTable25,MATCH(INDEX('Structured 2025'!teamCol,ROW()),ovrTeamCol25,0),MATCH(MID(INDEX('Structured 2025'!headerRow,1,COLUMN()),4,LEN(INDEX('Structured 2025'!headerRow,1,COLUMN()))),ovrHeaderRow25,0))</f>
        <v>74.7</v>
      </c>
      <c r="AY83" s="12">
        <f>INDEX(ovrTable25,MATCH(INDEX('Structured 2025'!teamCol,ROW()),ovrTeamCol25,0),MATCH(MID(INDEX('Structured 2025'!headerRow,1,COLUMN()),4,LEN(INDEX('Structured 2025'!headerRow,1,COLUMN()))),ovrHeaderRow25,0))</f>
        <v>18.3</v>
      </c>
      <c r="AZ83" s="12">
        <f>INDEX(ovrTable25,MATCH(INDEX('Structured 2025'!teamCol,ROW()),ovrTeamCol25,0),MATCH(MID(INDEX('Structured 2025'!headerRow,1,COLUMN()),4,LEN(INDEX('Structured 2025'!headerRow,1,COLUMN()))),ovrHeaderRow25,0))</f>
        <v>13.7</v>
      </c>
      <c r="BA83" s="12">
        <f>INDEX(ovrTable25,MATCH(INDEX('Structured 2025'!teamCol,ROW()),ovrTeamCol25,0),MATCH(MID(INDEX('Structured 2025'!headerRow,1,COLUMN()),4,LEN(INDEX('Structured 2025'!headerRow,1,COLUMN()))),ovrHeaderRow25,0))</f>
        <v>69.8</v>
      </c>
      <c r="BB83" s="12">
        <f>INDEX(ovrTable25,MATCH(INDEX('Structured 2025'!teamCol,ROW()),ovrTeamCol25,0),MATCH(MID(INDEX('Structured 2025'!headerRow,1,COLUMN()),4,LEN(INDEX('Structured 2025'!headerRow,1,COLUMN()))),ovrHeaderRow25,0))</f>
        <v>12.97</v>
      </c>
      <c r="BC83" s="12">
        <f>INDEX(ovrTable25,MATCH(INDEX('Structured 2025'!teamCol,ROW()),ovrTeamCol25,0),MATCH(MID(INDEX('Structured 2025'!headerRow,1,COLUMN()),4,LEN(INDEX('Structured 2025'!headerRow,1,COLUMN()))),ovrHeaderRow25,0))</f>
        <v>76.099999999999994</v>
      </c>
      <c r="BD83" s="12">
        <f>INDEX(ovrTable25,MATCH(INDEX('Structured 2025'!teamCol,ROW()),ovrTeamCol25,0),MATCH(MID(INDEX('Structured 2025'!headerRow,1,COLUMN()),4,LEN(INDEX('Structured 2025'!headerRow,1,COLUMN()))),ovrHeaderRow25,0))</f>
        <v>3.4</v>
      </c>
      <c r="BE83" s="12">
        <f>INDEX(ovrTable25,MATCH(INDEX('Structured 2025'!teamCol,ROW()),ovrTeamCol25,0),MATCH(MID(INDEX('Structured 2025'!headerRow,1,COLUMN()),4,LEN(INDEX('Structured 2025'!headerRow,1,COLUMN()))),ovrHeaderRow25,0))</f>
        <v>35.89</v>
      </c>
      <c r="BF83" s="12">
        <f>INDEX(ovrTable25,MATCH(INDEX('Structured 2025'!teamCol,ROW()),ovrTeamCol25,0),MATCH(MID(INDEX('Structured 2025'!headerRow,1,COLUMN()),4,LEN(INDEX('Structured 2025'!headerRow,1,COLUMN()))),ovrHeaderRow25,0))</f>
        <v>6.3</v>
      </c>
      <c r="BG83" s="12">
        <f>INDEX(ovrTable25,MATCH(INDEX('Structured 2025'!teamCol,ROW()),ovrTeamCol25,0),MATCH(MID(INDEX('Structured 2025'!headerRow,1,COLUMN()),4,LEN(INDEX('Structured 2025'!headerRow,1,COLUMN()))),ovrHeaderRow25,0))</f>
        <v>7.5</v>
      </c>
      <c r="BH83" s="12">
        <f>INDEX(ovrTable25,MATCH(INDEX('Structured 2025'!teamCol,ROW()),ovrTeamCol25,0),MATCH(MID(INDEX('Structured 2025'!headerRow,1,COLUMN()),4,LEN(INDEX('Structured 2025'!headerRow,1,COLUMN()))),ovrHeaderRow25,0))</f>
        <v>1.8</v>
      </c>
      <c r="BI83" s="12">
        <f>INDEX(ovrTable25,MATCH(INDEX('Structured 2025'!teamCol,ROW()),ovrTeamCol25,0),MATCH(MID(INDEX('Structured 2025'!headerRow,1,COLUMN()),4,LEN(INDEX('Structured 2025'!headerRow,1,COLUMN()))),ovrHeaderRow25,0))</f>
        <v>12.57</v>
      </c>
      <c r="BJ83" s="12">
        <f>INDEX(ovrTable25,MATCH(INDEX('Structured 2025'!teamCol,ROW()),ovrTeamCol25,0),MATCH(MID(INDEX('Structured 2025'!headerRow,1,COLUMN()),4,LEN(INDEX('Structured 2025'!headerRow,1,COLUMN()))),ovrHeaderRow25,0))</f>
        <v>10.8</v>
      </c>
      <c r="BK83" s="12">
        <f>INDEX(ovrTable25,MATCH(INDEX('Structured 2025'!teamCol,ROW()),ovrTeamCol25,0),MATCH(MID(INDEX('Structured 2025'!headerRow,1,COLUMN()),4,LEN(INDEX('Structured 2025'!headerRow,1,COLUMN()))),ovrHeaderRow25,0))</f>
        <v>64.599999999999994</v>
      </c>
      <c r="BL83" s="12">
        <f>INDEX(ovrTable25,MATCH(INDEX('Structured 2025'!teamCol,ROW()),ovrTeamCol25,0),MATCH(MID(INDEX('Structured 2025'!headerRow,1,COLUMN()),4,LEN(INDEX('Structured 2025'!headerRow,1,COLUMN()))),ovrHeaderRow25,0))</f>
        <v>18.599999999999994</v>
      </c>
      <c r="BM83" s="12">
        <f>INDEX(ovrTable25,MATCH(INDEX('Structured 2025'!teamCol,ROW()),ovrTeamCol25,0),MATCH(MID(INDEX('Structured 2025'!headerRow,1,COLUMN()),4,LEN(INDEX('Structured 2025'!headerRow,1,COLUMN()))),ovrHeaderRow25,0))</f>
        <v>60.67415730337077</v>
      </c>
      <c r="BN83" s="12">
        <f>INDEX(ovrTable25,MATCH(INDEX(oppCol,ROW()),ovrTeamCol25,0),MATCH(MID(INDEX('Structured 2025'!headerRow,1,COLUMN()),4,LEN(INDEX('Structured 2025'!headerRow,1,COLUMN()))),ovrHeaderRow25,0))</f>
        <v>31.2</v>
      </c>
      <c r="BO83" s="12">
        <f>INDEX(ovrTable25,MATCH(INDEX(oppCol,ROW()),ovrTeamCol25,0),MATCH(MID(INDEX('Structured 2025'!headerRow,1,COLUMN()),4,LEN(INDEX('Structured 2025'!headerRow,1,COLUMN()))),ovrHeaderRow25,0))</f>
        <v>8.3000000000000007</v>
      </c>
      <c r="BP83" s="12">
        <f>INDEX(ovrTable25,MATCH(INDEX(oppCol,ROW()),ovrTeamCol25,0),MATCH(MID(INDEX('Structured 2025'!headerRow,1,COLUMN()),4,LEN(INDEX('Structured 2025'!headerRow,1,COLUMN()))),ovrHeaderRow25,0))</f>
        <v>38.200000000000003</v>
      </c>
      <c r="BQ83" s="12">
        <f>INDEX(ovrTable25,MATCH(INDEX(oppCol,ROW()),ovrTeamCol25,0),MATCH(MID(INDEX('Structured 2025'!headerRow,1,COLUMN()),4,LEN(INDEX('Structured 2025'!headerRow,1,COLUMN()))),ovrHeaderRow25,0))</f>
        <v>21.6</v>
      </c>
      <c r="BR83" s="12">
        <f>INDEX(ovrTable25,MATCH(INDEX(oppCol,ROW()),ovrTeamCol25,0),MATCH(MID(INDEX('Structured 2025'!headerRow,1,COLUMN()),4,LEN(INDEX('Structured 2025'!headerRow,1,COLUMN()))),ovrHeaderRow25,0))</f>
        <v>1.53</v>
      </c>
      <c r="BS83" s="12">
        <f>INDEX(ovrTable25,MATCH(INDEX(oppCol,ROW()),ovrTeamCol25,0),MATCH(MID(INDEX('Structured 2025'!headerRow,1,COLUMN()),4,LEN(INDEX('Structured 2025'!headerRow,1,COLUMN()))),ovrHeaderRow25,0))</f>
        <v>15.9</v>
      </c>
      <c r="BT83" s="12">
        <f>INDEX(ovrTable25,MATCH(INDEX(oppCol,ROW()),ovrTeamCol25,0),MATCH(MID(INDEX('Structured 2025'!headerRow,1,COLUMN()),4,LEN(INDEX('Structured 2025'!headerRow,1,COLUMN()))),ovrHeaderRow25,0))</f>
        <v>17.03</v>
      </c>
      <c r="BU83" s="12">
        <f>INDEX(ovrTable25,MATCH(INDEX(oppCol,ROW()),ovrTeamCol25,0),MATCH(MID(INDEX('Structured 2025'!headerRow,1,COLUMN()),4,LEN(INDEX('Structured 2025'!headerRow,1,COLUMN()))),ovrHeaderRow25,0))</f>
        <v>1.6</v>
      </c>
      <c r="BV83" s="12">
        <f>INDEX(ovrTable25,MATCH(INDEX(oppCol,ROW()),ovrTeamCol25,0),MATCH(MID(INDEX('Structured 2025'!headerRow,1,COLUMN()),4,LEN(INDEX('Structured 2025'!headerRow,1,COLUMN()))),ovrHeaderRow25,0))</f>
        <v>45.2</v>
      </c>
      <c r="BW83" s="12">
        <f>INDEX(ovrTable25,MATCH(INDEX(oppCol,ROW()),ovrTeamCol25,0),MATCH(MID(INDEX('Structured 2025'!headerRow,1,COLUMN()),4,LEN(INDEX('Structured 2025'!headerRow,1,COLUMN()))),ovrHeaderRow25,0))</f>
        <v>23.08</v>
      </c>
      <c r="BX83" s="12">
        <f>INDEX(ovrTable25,MATCH(INDEX(oppCol,ROW()),ovrTeamCol25,0),MATCH(MID(INDEX('Structured 2025'!headerRow,1,COLUMN()),4,LEN(INDEX('Structured 2025'!headerRow,1,COLUMN()))),ovrHeaderRow25,0))</f>
        <v>0.55900000000000005</v>
      </c>
      <c r="BY83" s="12">
        <f>INDEX(ovrTable25,MATCH(INDEX(oppCol,ROW()),ovrTeamCol25,0),MATCH(MID(INDEX('Structured 2025'!headerRow,1,COLUMN()),4,LEN(INDEX('Structured 2025'!headerRow,1,COLUMN()))),ovrHeaderRow25,0))</f>
        <v>7.83</v>
      </c>
      <c r="BZ83" s="12">
        <f>INDEX(ovrTable25,MATCH(INDEX(oppCol,ROW()),ovrTeamCol25,0),MATCH(MID(INDEX('Structured 2025'!headerRow,1,COLUMN()),4,LEN(INDEX('Structured 2025'!headerRow,1,COLUMN()))),ovrHeaderRow25,0))</f>
        <v>48.6</v>
      </c>
      <c r="CA83" s="12">
        <f>INDEX(ovrTable25,MATCH(INDEX(oppCol,ROW()),ovrTeamCol25,0),MATCH(MID(INDEX('Structured 2025'!headerRow,1,COLUMN()),4,LEN(INDEX('Structured 2025'!headerRow,1,COLUMN()))),ovrHeaderRow25,0))</f>
        <v>15.8</v>
      </c>
      <c r="CB83" s="12">
        <f>INDEX(ovrTable25,MATCH(INDEX(oppCol,ROW()),ovrTeamCol25,0),MATCH(MID(INDEX('Structured 2025'!headerRow,1,COLUMN()),4,LEN(INDEX('Structured 2025'!headerRow,1,COLUMN()))),ovrHeaderRow25,0))</f>
        <v>73.2</v>
      </c>
      <c r="CC83" s="12">
        <f>INDEX(ovrTable25,MATCH(INDEX(oppCol,ROW()),ovrTeamCol25,0),MATCH(MID(INDEX('Structured 2025'!headerRow,1,COLUMN()),4,LEN(INDEX('Structured 2025'!headerRow,1,COLUMN()))),ovrHeaderRow25,0))</f>
        <v>19.5</v>
      </c>
      <c r="CD83" s="12">
        <f>INDEX(ovrTable25,MATCH(INDEX(oppCol,ROW()),ovrTeamCol25,0),MATCH(MID(INDEX('Structured 2025'!headerRow,1,COLUMN()),4,LEN(INDEX('Structured 2025'!headerRow,1,COLUMN()))),ovrHeaderRow25,0))</f>
        <v>14.3</v>
      </c>
      <c r="CE83" s="12">
        <f>INDEX(ovrTable25,MATCH(INDEX(oppCol,ROW()),ovrTeamCol25,0),MATCH(MID(INDEX('Structured 2025'!headerRow,1,COLUMN()),4,LEN(INDEX('Structured 2025'!headerRow,1,COLUMN()))),ovrHeaderRow25,0))</f>
        <v>70.400000000000006</v>
      </c>
      <c r="CF83" s="12">
        <f>INDEX(ovrTable25,MATCH(INDEX(oppCol,ROW()),ovrTeamCol25,0),MATCH(MID(INDEX('Structured 2025'!headerRow,1,COLUMN()),4,LEN(INDEX('Structured 2025'!headerRow,1,COLUMN()))),ovrHeaderRow25,0))</f>
        <v>9.7799999999999994</v>
      </c>
      <c r="CG83" s="12">
        <f>INDEX(ovrTable25,MATCH(INDEX(oppCol,ROW()),ovrTeamCol25,0),MATCH(MID(INDEX('Structured 2025'!headerRow,1,COLUMN()),4,LEN(INDEX('Structured 2025'!headerRow,1,COLUMN()))),ovrHeaderRow25,0))</f>
        <v>77.3</v>
      </c>
      <c r="CH83" s="12">
        <f>INDEX(ovrTable25,MATCH(INDEX(oppCol,ROW()),ovrTeamCol25,0),MATCH(MID(INDEX('Structured 2025'!headerRow,1,COLUMN()),4,LEN(INDEX('Structured 2025'!headerRow,1,COLUMN()))),ovrHeaderRow25,0))</f>
        <v>2.1</v>
      </c>
      <c r="CI83" s="12">
        <f>INDEX(ovrTable25,MATCH(INDEX(oppCol,ROW()),ovrTeamCol25,0),MATCH(MID(INDEX('Structured 2025'!headerRow,1,COLUMN()),4,LEN(INDEX('Structured 2025'!headerRow,1,COLUMN()))),ovrHeaderRow25,0))</f>
        <v>32.86</v>
      </c>
      <c r="CJ83" s="12">
        <f>INDEX(ovrTable25,MATCH(INDEX(oppCol,ROW()),ovrTeamCol25,0),MATCH(MID(INDEX('Structured 2025'!headerRow,1,COLUMN()),4,LEN(INDEX('Structured 2025'!headerRow,1,COLUMN()))),ovrHeaderRow25,0))</f>
        <v>6.9</v>
      </c>
      <c r="CK83" s="12">
        <f>INDEX(ovrTable25,MATCH(INDEX(oppCol,ROW()),ovrTeamCol25,0),MATCH(MID(INDEX('Structured 2025'!headerRow,1,COLUMN()),4,LEN(INDEX('Structured 2025'!headerRow,1,COLUMN()))),ovrHeaderRow25,0))</f>
        <v>6.4</v>
      </c>
      <c r="CL83" s="12">
        <f>INDEX(ovrTable25,MATCH(INDEX(oppCol,ROW()),ovrTeamCol25,0),MATCH(MID(INDEX('Structured 2025'!headerRow,1,COLUMN()),4,LEN(INDEX('Structured 2025'!headerRow,1,COLUMN()))),ovrHeaderRow25,0))</f>
        <v>1.2</v>
      </c>
      <c r="CM83" s="12">
        <f>INDEX(ovrTable25,MATCH(INDEX(oppCol,ROW()),ovrTeamCol25,0),MATCH(MID(INDEX('Structured 2025'!headerRow,1,COLUMN()),4,LEN(INDEX('Structured 2025'!headerRow,1,COLUMN()))),ovrHeaderRow25,0))</f>
        <v>11.61</v>
      </c>
      <c r="CN83" s="12">
        <f>INDEX(ovrTable25,MATCH(INDEX(oppCol,ROW()),ovrTeamCol25,0),MATCH(MID(INDEX('Structured 2025'!headerRow,1,COLUMN()),4,LEN(INDEX('Structured 2025'!headerRow,1,COLUMN()))),ovrHeaderRow25,0))</f>
        <v>10.4</v>
      </c>
      <c r="CO83" s="12">
        <f>INDEX(ovrTable25,MATCH(INDEX(oppCol,ROW()),ovrTeamCol25,0),MATCH(MID(INDEX('Structured 2025'!headerRow,1,COLUMN()),4,LEN(INDEX('Structured 2025'!headerRow,1,COLUMN()))),ovrHeaderRow25,0))</f>
        <v>66</v>
      </c>
      <c r="CP83" s="12">
        <f>INDEX(ovrTable25,MATCH(INDEX(oppCol,ROW()),ovrTeamCol25,0),MATCH(MID(INDEX('Structured 2025'!headerRow,1,COLUMN()),4,LEN(INDEX('Structured 2025'!headerRow,1,COLUMN()))),ovrHeaderRow25,0))</f>
        <v>19.049999999999997</v>
      </c>
      <c r="CQ83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84" spans="1:95" x14ac:dyDescent="0.3">
      <c r="A84" s="6" t="s">
        <v>65</v>
      </c>
      <c r="B84" s="3">
        <v>5</v>
      </c>
      <c r="C84" s="13" t="str">
        <f>A85</f>
        <v>ARIZ</v>
      </c>
      <c r="D84" s="14">
        <f t="shared" si="26"/>
        <v>42</v>
      </c>
      <c r="E84" s="23">
        <v>0.5</v>
      </c>
      <c r="F84" s="24">
        <v>47.058823529411761</v>
      </c>
      <c r="G84" s="24">
        <v>7</v>
      </c>
      <c r="H84" s="23">
        <v>35</v>
      </c>
      <c r="I84" s="24">
        <v>20</v>
      </c>
      <c r="J84" s="25">
        <v>0.88888888888888884</v>
      </c>
      <c r="K84" s="24">
        <v>12</v>
      </c>
      <c r="L84" s="24">
        <v>22</v>
      </c>
      <c r="M84" s="24">
        <v>11</v>
      </c>
      <c r="N84" s="24">
        <v>26</v>
      </c>
      <c r="O84" s="24">
        <v>8</v>
      </c>
      <c r="P84" s="24">
        <v>4</v>
      </c>
      <c r="Q84" s="24">
        <v>3</v>
      </c>
      <c r="R84" s="24">
        <v>9</v>
      </c>
      <c r="S84" s="24">
        <v>13</v>
      </c>
      <c r="T84" s="24">
        <v>18</v>
      </c>
      <c r="U84" s="24">
        <v>12</v>
      </c>
      <c r="V84" s="24">
        <v>0.45454545454545453</v>
      </c>
      <c r="W84" s="26">
        <v>0.5220588235294118</v>
      </c>
      <c r="X84" s="23">
        <v>54.54545454545454</v>
      </c>
      <c r="Y84" s="24">
        <v>87</v>
      </c>
      <c r="Z84" s="24">
        <v>83</v>
      </c>
      <c r="AA84" s="24">
        <v>-7</v>
      </c>
      <c r="AB84" s="24">
        <v>37</v>
      </c>
      <c r="AC84" s="24">
        <v>-4</v>
      </c>
      <c r="AD84" s="24">
        <v>0</v>
      </c>
      <c r="AE84" s="24">
        <v>9</v>
      </c>
      <c r="AF84" s="34">
        <f t="shared" si="69"/>
        <v>25</v>
      </c>
      <c r="AG84" s="34">
        <f t="shared" si="70"/>
        <v>48.000000000000014</v>
      </c>
      <c r="AH84" s="46">
        <f t="shared" si="71"/>
        <v>76.45</v>
      </c>
      <c r="AI84" s="51">
        <f t="shared" ref="AI84" si="90">AVERAGE(AH84,AH85)</f>
        <v>74.925000000000011</v>
      </c>
      <c r="AJ84" s="12">
        <f>INDEX(ovrTable25,MATCH(INDEX('Structured 2025'!teamCol,ROW()),ovrTeamCol25,0),MATCH(MID(INDEX('Structured 2025'!headerRow,1,COLUMN()),4,LEN(INDEX('Structured 2025'!headerRow,1,COLUMN()))),ovrHeaderRow25,0))</f>
        <v>31.7</v>
      </c>
      <c r="AK84" s="12">
        <f>INDEX(ovrTable25,MATCH(INDEX('Structured 2025'!teamCol,ROW()),ovrTeamCol25,0),MATCH(MID(INDEX('Structured 2025'!headerRow,1,COLUMN()),4,LEN(INDEX('Structured 2025'!headerRow,1,COLUMN()))),ovrHeaderRow25,0))</f>
        <v>7.7</v>
      </c>
      <c r="AL84" s="12">
        <f>INDEX(ovrTable25,MATCH(INDEX('Structured 2025'!teamCol,ROW()),ovrTeamCol25,0),MATCH(MID(INDEX('Structured 2025'!headerRow,1,COLUMN()),4,LEN(INDEX('Structured 2025'!headerRow,1,COLUMN()))),ovrHeaderRow25,0))</f>
        <v>34.4</v>
      </c>
      <c r="AM84" s="12">
        <f>INDEX(ovrTable25,MATCH(INDEX('Structured 2025'!teamCol,ROW()),ovrTeamCol25,0),MATCH(MID(INDEX('Structured 2025'!headerRow,1,COLUMN()),4,LEN(INDEX('Structured 2025'!headerRow,1,COLUMN()))),ovrHeaderRow25,0))</f>
        <v>22.5</v>
      </c>
      <c r="AN84" s="12">
        <f>INDEX(ovrTable25,MATCH(INDEX('Structured 2025'!teamCol,ROW()),ovrTeamCol25,0),MATCH(MID(INDEX('Structured 2025'!headerRow,1,COLUMN()),4,LEN(INDEX('Structured 2025'!headerRow,1,COLUMN()))),ovrHeaderRow25,0))</f>
        <v>1.27</v>
      </c>
      <c r="AO84" s="12">
        <f>INDEX(ovrTable25,MATCH(INDEX('Structured 2025'!teamCol,ROW()),ovrTeamCol25,0),MATCH(MID(INDEX('Structured 2025'!headerRow,1,COLUMN()),4,LEN(INDEX('Structured 2025'!headerRow,1,COLUMN()))),ovrHeaderRow25,0))</f>
        <v>14.3</v>
      </c>
      <c r="AP84" s="12">
        <f>INDEX(ovrTable25,MATCH(INDEX('Structured 2025'!teamCol,ROW()),ovrTeamCol25,0),MATCH(MID(INDEX('Structured 2025'!headerRow,1,COLUMN()),4,LEN(INDEX('Structured 2025'!headerRow,1,COLUMN()))),ovrHeaderRow25,0))</f>
        <v>21.94</v>
      </c>
      <c r="AQ84" s="12">
        <f>INDEX(ovrTable25,MATCH(INDEX('Structured 2025'!teamCol,ROW()),ovrTeamCol25,0),MATCH(MID(INDEX('Structured 2025'!headerRow,1,COLUMN()),4,LEN(INDEX('Structured 2025'!headerRow,1,COLUMN()))),ovrHeaderRow25,0))</f>
        <v>3.7</v>
      </c>
      <c r="AR84" s="12">
        <f>INDEX(ovrTable25,MATCH(INDEX('Structured 2025'!teamCol,ROW()),ovrTeamCol25,0),MATCH(MID(INDEX('Structured 2025'!headerRow,1,COLUMN()),4,LEN(INDEX('Structured 2025'!headerRow,1,COLUMN()))),ovrHeaderRow25,0))</f>
        <v>42.9</v>
      </c>
      <c r="AS84" s="12">
        <f>INDEX(ovrTable25,MATCH(INDEX('Structured 2025'!teamCol,ROW()),ovrTeamCol25,0),MATCH(MID(INDEX('Structured 2025'!headerRow,1,COLUMN()),4,LEN(INDEX('Structured 2025'!headerRow,1,COLUMN()))),ovrHeaderRow25,0))</f>
        <v>25.6</v>
      </c>
      <c r="AT84" s="12">
        <f>INDEX(ovrTable25,MATCH(INDEX('Structured 2025'!teamCol,ROW()),ovrTeamCol25,0),MATCH(MID(INDEX('Structured 2025'!headerRow,1,COLUMN()),4,LEN(INDEX('Structured 2025'!headerRow,1,COLUMN()))),ovrHeaderRow25,0))</f>
        <v>0.52500000000000002</v>
      </c>
      <c r="AU84" s="12">
        <f>INDEX(ovrTable25,MATCH(INDEX('Structured 2025'!teamCol,ROW()),ovrTeamCol25,0),MATCH(MID(INDEX('Structured 2025'!headerRow,1,COLUMN()),4,LEN(INDEX('Structured 2025'!headerRow,1,COLUMN()))),ovrHeaderRow25,0))</f>
        <v>11.91</v>
      </c>
      <c r="AV84" s="12">
        <f>INDEX(ovrTable25,MATCH(INDEX('Structured 2025'!teamCol,ROW()),ovrTeamCol25,0),MATCH(MID(INDEX('Structured 2025'!headerRow,1,COLUMN()),4,LEN(INDEX('Structured 2025'!headerRow,1,COLUMN()))),ovrHeaderRow25,0))</f>
        <v>46</v>
      </c>
      <c r="AW84" s="12">
        <f>INDEX(ovrTable25,MATCH(INDEX('Structured 2025'!teamCol,ROW()),ovrTeamCol25,0),MATCH(MID(INDEX('Structured 2025'!headerRow,1,COLUMN()),4,LEN(INDEX('Structured 2025'!headerRow,1,COLUMN()))),ovrHeaderRow25,0))</f>
        <v>16.3</v>
      </c>
      <c r="AX84" s="12">
        <f>INDEX(ovrTable25,MATCH(INDEX('Structured 2025'!teamCol,ROW()),ovrTeamCol25,0),MATCH(MID(INDEX('Structured 2025'!headerRow,1,COLUMN()),4,LEN(INDEX('Structured 2025'!headerRow,1,COLUMN()))),ovrHeaderRow25,0))</f>
        <v>75.7</v>
      </c>
      <c r="AY84" s="12">
        <f>INDEX(ovrTable25,MATCH(INDEX('Structured 2025'!teamCol,ROW()),ovrTeamCol25,0),MATCH(MID(INDEX('Structured 2025'!headerRow,1,COLUMN()),4,LEN(INDEX('Structured 2025'!headerRow,1,COLUMN()))),ovrHeaderRow25,0))</f>
        <v>19.399999999999999</v>
      </c>
      <c r="AZ84" s="12">
        <f>INDEX(ovrTable25,MATCH(INDEX('Structured 2025'!teamCol,ROW()),ovrTeamCol25,0),MATCH(MID(INDEX('Structured 2025'!headerRow,1,COLUMN()),4,LEN(INDEX('Structured 2025'!headerRow,1,COLUMN()))),ovrHeaderRow25,0))</f>
        <v>14.7</v>
      </c>
      <c r="BA84" s="12">
        <f>INDEX(ovrTable25,MATCH(INDEX('Structured 2025'!teamCol,ROW()),ovrTeamCol25,0),MATCH(MID(INDEX('Structured 2025'!headerRow,1,COLUMN()),4,LEN(INDEX('Structured 2025'!headerRow,1,COLUMN()))),ovrHeaderRow25,0))</f>
        <v>70.900000000000006</v>
      </c>
      <c r="BB84" s="12">
        <f>INDEX(ovrTable25,MATCH(INDEX('Structured 2025'!teamCol,ROW()),ovrTeamCol25,0),MATCH(MID(INDEX('Structured 2025'!headerRow,1,COLUMN()),4,LEN(INDEX('Structured 2025'!headerRow,1,COLUMN()))),ovrHeaderRow25,0))</f>
        <v>10.199999999999999</v>
      </c>
      <c r="BC84" s="12">
        <f>INDEX(ovrTable25,MATCH(INDEX('Structured 2025'!teamCol,ROW()),ovrTeamCol25,0),MATCH(MID(INDEX('Structured 2025'!headerRow,1,COLUMN()),4,LEN(INDEX('Structured 2025'!headerRow,1,COLUMN()))),ovrHeaderRow25,0))</f>
        <v>76.5</v>
      </c>
      <c r="BD84" s="12">
        <f>INDEX(ovrTable25,MATCH(INDEX('Structured 2025'!teamCol,ROW()),ovrTeamCol25,0),MATCH(MID(INDEX('Structured 2025'!headerRow,1,COLUMN()),4,LEN(INDEX('Structured 2025'!headerRow,1,COLUMN()))),ovrHeaderRow25,0))</f>
        <v>2</v>
      </c>
      <c r="BE84" s="12">
        <f>INDEX(ovrTable25,MATCH(INDEX('Structured 2025'!teamCol,ROW()),ovrTeamCol25,0),MATCH(MID(INDEX('Structured 2025'!headerRow,1,COLUMN()),4,LEN(INDEX('Structured 2025'!headerRow,1,COLUMN()))),ovrHeaderRow25,0))</f>
        <v>35.799999999999997</v>
      </c>
      <c r="BF84" s="12">
        <f>INDEX(ovrTable25,MATCH(INDEX('Structured 2025'!teamCol,ROW()),ovrTeamCol25,0),MATCH(MID(INDEX('Structured 2025'!headerRow,1,COLUMN()),4,LEN(INDEX('Structured 2025'!headerRow,1,COLUMN()))),ovrHeaderRow25,0))</f>
        <v>5.7</v>
      </c>
      <c r="BG84" s="12">
        <f>INDEX(ovrTable25,MATCH(INDEX('Structured 2025'!teamCol,ROW()),ovrTeamCol25,0),MATCH(MID(INDEX('Structured 2025'!headerRow,1,COLUMN()),4,LEN(INDEX('Structured 2025'!headerRow,1,COLUMN()))),ovrHeaderRow25,0))</f>
        <v>7.2</v>
      </c>
      <c r="BH84" s="12">
        <f>INDEX(ovrTable25,MATCH(INDEX('Structured 2025'!teamCol,ROW()),ovrTeamCol25,0),MATCH(MID(INDEX('Structured 2025'!headerRow,1,COLUMN()),4,LEN(INDEX('Structured 2025'!headerRow,1,COLUMN()))),ovrHeaderRow25,0))</f>
        <v>0.9</v>
      </c>
      <c r="BI84" s="12">
        <f>INDEX(ovrTable25,MATCH(INDEX('Structured 2025'!teamCol,ROW()),ovrTeamCol25,0),MATCH(MID(INDEX('Structured 2025'!headerRow,1,COLUMN()),4,LEN(INDEX('Structured 2025'!headerRow,1,COLUMN()))),ovrHeaderRow25,0))</f>
        <v>12.14</v>
      </c>
      <c r="BJ84" s="12">
        <f>INDEX(ovrTable25,MATCH(INDEX('Structured 2025'!teamCol,ROW()),ovrTeamCol25,0),MATCH(MID(INDEX('Structured 2025'!headerRow,1,COLUMN()),4,LEN(INDEX('Structured 2025'!headerRow,1,COLUMN()))),ovrHeaderRow25,0))</f>
        <v>11.3</v>
      </c>
      <c r="BK84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84" s="12">
        <f>INDEX(ovrTable25,MATCH(INDEX('Structured 2025'!teamCol,ROW()),ovrTeamCol25,0),MATCH(MID(INDEX('Structured 2025'!headerRow,1,COLUMN()),4,LEN(INDEX('Structured 2025'!headerRow,1,COLUMN()))),ovrHeaderRow25,0))</f>
        <v>19.349999999999998</v>
      </c>
      <c r="BM84" s="12">
        <f>INDEX(ovrTable25,MATCH(INDEX('Structured 2025'!teamCol,ROW()),ovrTeamCol25,0),MATCH(MID(INDEX('Structured 2025'!headerRow,1,COLUMN()),4,LEN(INDEX('Structured 2025'!headerRow,1,COLUMN()))),ovrHeaderRow25,0))</f>
        <v>58.804347826086946</v>
      </c>
      <c r="BN84" s="12">
        <f>INDEX(ovrTable25,MATCH(INDEX(oppCol,ROW()),ovrTeamCol25,0),MATCH(MID(INDEX('Structured 2025'!headerRow,1,COLUMN()),4,LEN(INDEX('Structured 2025'!headerRow,1,COLUMN()))),ovrHeaderRow25,0))</f>
        <v>34</v>
      </c>
      <c r="BO84" s="12">
        <f>INDEX(ovrTable25,MATCH(INDEX(oppCol,ROW()),ovrTeamCol25,0),MATCH(MID(INDEX('Structured 2025'!headerRow,1,COLUMN()),4,LEN(INDEX('Structured 2025'!headerRow,1,COLUMN()))),ovrHeaderRow25,0))</f>
        <v>7.2</v>
      </c>
      <c r="BP84" s="12">
        <f>INDEX(ovrTable25,MATCH(INDEX(oppCol,ROW()),ovrTeamCol25,0),MATCH(MID(INDEX('Structured 2025'!headerRow,1,COLUMN()),4,LEN(INDEX('Structured 2025'!headerRow,1,COLUMN()))),ovrHeaderRow25,0))</f>
        <v>33.799999999999997</v>
      </c>
      <c r="BQ84" s="12">
        <f>INDEX(ovrTable25,MATCH(INDEX(oppCol,ROW()),ovrTeamCol25,0),MATCH(MID(INDEX('Structured 2025'!headerRow,1,COLUMN()),4,LEN(INDEX('Structured 2025'!headerRow,1,COLUMN()))),ovrHeaderRow25,0))</f>
        <v>21.3</v>
      </c>
      <c r="BR84" s="12">
        <f>INDEX(ovrTable25,MATCH(INDEX(oppCol,ROW()),ovrTeamCol25,0),MATCH(MID(INDEX('Structured 2025'!headerRow,1,COLUMN()),4,LEN(INDEX('Structured 2025'!headerRow,1,COLUMN()))),ovrHeaderRow25,0))</f>
        <v>1.42</v>
      </c>
      <c r="BS84" s="12">
        <f>INDEX(ovrTable25,MATCH(INDEX(oppCol,ROW()),ovrTeamCol25,0),MATCH(MID(INDEX('Structured 2025'!headerRow,1,COLUMN()),4,LEN(INDEX('Structured 2025'!headerRow,1,COLUMN()))),ovrHeaderRow25,0))</f>
        <v>16.2</v>
      </c>
      <c r="BT84" s="12">
        <f>INDEX(ovrTable25,MATCH(INDEX(oppCol,ROW()),ovrTeamCol25,0),MATCH(MID(INDEX('Structured 2025'!headerRow,1,COLUMN()),4,LEN(INDEX('Structured 2025'!headerRow,1,COLUMN()))),ovrHeaderRow25,0))</f>
        <v>29.57</v>
      </c>
      <c r="BU84" s="12">
        <f>INDEX(ovrTable25,MATCH(INDEX(oppCol,ROW()),ovrTeamCol25,0),MATCH(MID(INDEX('Structured 2025'!headerRow,1,COLUMN()),4,LEN(INDEX('Structured 2025'!headerRow,1,COLUMN()))),ovrHeaderRow25,0))</f>
        <v>4.4000000000000004</v>
      </c>
      <c r="BV84" s="12">
        <f>INDEX(ovrTable25,MATCH(INDEX(oppCol,ROW()),ovrTeamCol25,0),MATCH(MID(INDEX('Structured 2025'!headerRow,1,COLUMN()),4,LEN(INDEX('Structured 2025'!headerRow,1,COLUMN()))),ovrHeaderRow25,0))</f>
        <v>41.9</v>
      </c>
      <c r="BW84" s="12">
        <f>INDEX(ovrTable25,MATCH(INDEX(oppCol,ROW()),ovrTeamCol25,0),MATCH(MID(INDEX('Structured 2025'!headerRow,1,COLUMN()),4,LEN(INDEX('Structured 2025'!headerRow,1,COLUMN()))),ovrHeaderRow25,0))</f>
        <v>27.41</v>
      </c>
      <c r="BX84" s="12">
        <f>INDEX(ovrTable25,MATCH(INDEX(oppCol,ROW()),ovrTeamCol25,0),MATCH(MID(INDEX('Structured 2025'!headerRow,1,COLUMN()),4,LEN(INDEX('Structured 2025'!headerRow,1,COLUMN()))),ovrHeaderRow25,0))</f>
        <v>0.53300000000000003</v>
      </c>
      <c r="BY84" s="12">
        <f>INDEX(ovrTable25,MATCH(INDEX(oppCol,ROW()),ovrTeamCol25,0),MATCH(MID(INDEX('Structured 2025'!headerRow,1,COLUMN()),4,LEN(INDEX('Structured 2025'!headerRow,1,COLUMN()))),ovrHeaderRow25,0))</f>
        <v>13.76</v>
      </c>
      <c r="BZ84" s="12">
        <f>INDEX(ovrTable25,MATCH(INDEX(oppCol,ROW()),ovrTeamCol25,0),MATCH(MID(INDEX('Structured 2025'!headerRow,1,COLUMN()),4,LEN(INDEX('Structured 2025'!headerRow,1,COLUMN()))),ovrHeaderRow25,0))</f>
        <v>47.4</v>
      </c>
      <c r="CA84" s="12">
        <f>INDEX(ovrTable25,MATCH(INDEX(oppCol,ROW()),ovrTeamCol25,0),MATCH(MID(INDEX('Structured 2025'!headerRow,1,COLUMN()),4,LEN(INDEX('Structured 2025'!headerRow,1,COLUMN()))),ovrHeaderRow25,0))</f>
        <v>16.899999999999999</v>
      </c>
      <c r="CB84" s="12">
        <f>INDEX(ovrTable25,MATCH(INDEX(oppCol,ROW()),ovrTeamCol25,0),MATCH(MID(INDEX('Structured 2025'!headerRow,1,COLUMN()),4,LEN(INDEX('Structured 2025'!headerRow,1,COLUMN()))),ovrHeaderRow25,0))</f>
        <v>78</v>
      </c>
      <c r="CC84" s="12">
        <f>INDEX(ovrTable25,MATCH(INDEX(oppCol,ROW()),ovrTeamCol25,0),MATCH(MID(INDEX('Structured 2025'!headerRow,1,COLUMN()),4,LEN(INDEX('Structured 2025'!headerRow,1,COLUMN()))),ovrHeaderRow25,0))</f>
        <v>22</v>
      </c>
      <c r="CD84" s="12">
        <f>INDEX(ovrTable25,MATCH(INDEX(oppCol,ROW()),ovrTeamCol25,0),MATCH(MID(INDEX('Structured 2025'!headerRow,1,COLUMN()),4,LEN(INDEX('Structured 2025'!headerRow,1,COLUMN()))),ovrHeaderRow25,0))</f>
        <v>17.100000000000001</v>
      </c>
      <c r="CE84" s="12">
        <f>INDEX(ovrTable25,MATCH(INDEX(oppCol,ROW()),ovrTeamCol25,0),MATCH(MID(INDEX('Structured 2025'!headerRow,1,COLUMN()),4,LEN(INDEX('Structured 2025'!headerRow,1,COLUMN()))),ovrHeaderRow25,0))</f>
        <v>73.3</v>
      </c>
      <c r="CF84" s="12">
        <f>INDEX(ovrTable25,MATCH(INDEX(oppCol,ROW()),ovrTeamCol25,0),MATCH(MID(INDEX('Structured 2025'!headerRow,1,COLUMN()),4,LEN(INDEX('Structured 2025'!headerRow,1,COLUMN()))),ovrHeaderRow25,0))</f>
        <v>12.32</v>
      </c>
      <c r="CG84" s="12">
        <f>INDEX(ovrTable25,MATCH(INDEX(oppCol,ROW()),ovrTeamCol25,0),MATCH(MID(INDEX('Structured 2025'!headerRow,1,COLUMN()),4,LEN(INDEX('Structured 2025'!headerRow,1,COLUMN()))),ovrHeaderRow25,0))</f>
        <v>82.5</v>
      </c>
      <c r="CH84" s="12">
        <f>INDEX(ovrTable25,MATCH(INDEX(oppCol,ROW()),ovrTeamCol25,0),MATCH(MID(INDEX('Structured 2025'!headerRow,1,COLUMN()),4,LEN(INDEX('Structured 2025'!headerRow,1,COLUMN()))),ovrHeaderRow25,0))</f>
        <v>7.2</v>
      </c>
      <c r="CI84" s="12">
        <f>INDEX(ovrTable25,MATCH(INDEX(oppCol,ROW()),ovrTeamCol25,0),MATCH(MID(INDEX('Structured 2025'!headerRow,1,COLUMN()),4,LEN(INDEX('Structured 2025'!headerRow,1,COLUMN()))),ovrHeaderRow25,0))</f>
        <v>39.729999999999997</v>
      </c>
      <c r="CJ84" s="12">
        <f>INDEX(ovrTable25,MATCH(INDEX(oppCol,ROW()),ovrTeamCol25,0),MATCH(MID(INDEX('Structured 2025'!headerRow,1,COLUMN()),4,LEN(INDEX('Structured 2025'!headerRow,1,COLUMN()))),ovrHeaderRow25,0))</f>
        <v>9.1999999999999993</v>
      </c>
      <c r="CK84" s="12">
        <f>INDEX(ovrTable25,MATCH(INDEX(oppCol,ROW()),ovrTeamCol25,0),MATCH(MID(INDEX('Structured 2025'!headerRow,1,COLUMN()),4,LEN(INDEX('Structured 2025'!headerRow,1,COLUMN()))),ovrHeaderRow25,0))</f>
        <v>7.5</v>
      </c>
      <c r="CL84" s="12">
        <f>INDEX(ovrTable25,MATCH(INDEX(oppCol,ROW()),ovrTeamCol25,0),MATCH(MID(INDEX('Structured 2025'!headerRow,1,COLUMN()),4,LEN(INDEX('Structured 2025'!headerRow,1,COLUMN()))),ovrHeaderRow25,0))</f>
        <v>0.1</v>
      </c>
      <c r="CM84" s="12">
        <f>INDEX(ovrTable25,MATCH(INDEX(oppCol,ROW()),ovrTeamCol25,0),MATCH(MID(INDEX('Structured 2025'!headerRow,1,COLUMN()),4,LEN(INDEX('Structured 2025'!headerRow,1,COLUMN()))),ovrHeaderRow25,0))</f>
        <v>11.49</v>
      </c>
      <c r="CN84" s="12">
        <f>INDEX(ovrTable25,MATCH(INDEX(oppCol,ROW()),ovrTeamCol25,0),MATCH(MID(INDEX('Structured 2025'!headerRow,1,COLUMN()),4,LEN(INDEX('Structured 2025'!headerRow,1,COLUMN()))),ovrHeaderRow25,0))</f>
        <v>11.4</v>
      </c>
      <c r="CO84" s="12">
        <f>INDEX(ovrTable25,MATCH(INDEX(oppCol,ROW()),ovrTeamCol25,0),MATCH(MID(INDEX('Structured 2025'!headerRow,1,COLUMN()),4,LEN(INDEX('Structured 2025'!headerRow,1,COLUMN()))),ovrHeaderRow25,0))</f>
        <v>70.3</v>
      </c>
      <c r="CP84" s="12">
        <f>INDEX(ovrTable25,MATCH(INDEX(oppCol,ROW()),ovrTeamCol25,0),MATCH(MID(INDEX('Structured 2025'!headerRow,1,COLUMN()),4,LEN(INDEX('Structured 2025'!headerRow,1,COLUMN()))),ovrHeaderRow25,0))</f>
        <v>21.900000000000002</v>
      </c>
      <c r="CQ84" s="12">
        <f>INDEX(ovrTable25,MATCH(INDEX(oppCol,ROW()),ovrTeamCol25,0),MATCH(MID(INDEX('Structured 2025'!headerRow,1,COLUMN()),4,LEN(INDEX('Structured 2025'!headerRow,1,COLUMN()))),ovrHeaderRow25,0))</f>
        <v>61.392405063291143</v>
      </c>
    </row>
    <row r="85" spans="1:95" x14ac:dyDescent="0.3">
      <c r="A85" s="6" t="s">
        <v>19</v>
      </c>
      <c r="B85" s="3">
        <v>4</v>
      </c>
      <c r="C85" s="13" t="str">
        <f>A84</f>
        <v>ORE</v>
      </c>
      <c r="D85" s="14">
        <f t="shared" si="26"/>
        <v>42</v>
      </c>
      <c r="E85" s="23">
        <v>0.35</v>
      </c>
      <c r="F85" s="24">
        <v>45.454545454545453</v>
      </c>
      <c r="G85" s="24">
        <v>10</v>
      </c>
      <c r="H85" s="23">
        <v>50</v>
      </c>
      <c r="I85" s="24">
        <v>20</v>
      </c>
      <c r="J85" s="25">
        <v>1.4444444444444444</v>
      </c>
      <c r="K85" s="24">
        <v>17</v>
      </c>
      <c r="L85" s="24">
        <v>24</v>
      </c>
      <c r="M85" s="24">
        <v>13</v>
      </c>
      <c r="N85" s="24">
        <v>31</v>
      </c>
      <c r="O85" s="24">
        <v>13</v>
      </c>
      <c r="P85" s="24">
        <v>7</v>
      </c>
      <c r="Q85" s="24">
        <v>6</v>
      </c>
      <c r="R85" s="24">
        <v>9</v>
      </c>
      <c r="S85" s="24">
        <v>11</v>
      </c>
      <c r="T85" s="24">
        <v>19</v>
      </c>
      <c r="U85" s="24">
        <v>20</v>
      </c>
      <c r="V85" s="24">
        <v>0.47058823529411764</v>
      </c>
      <c r="W85" s="26">
        <v>0.53030303030303028</v>
      </c>
      <c r="X85" s="23">
        <v>70.833333333333343</v>
      </c>
      <c r="Y85" s="24">
        <v>83</v>
      </c>
      <c r="Z85" s="24">
        <v>87</v>
      </c>
      <c r="AA85" s="24">
        <v>7</v>
      </c>
      <c r="AB85" s="24">
        <v>44</v>
      </c>
      <c r="AC85" s="24">
        <v>4</v>
      </c>
      <c r="AD85" s="24">
        <v>0</v>
      </c>
      <c r="AE85" s="24">
        <v>9</v>
      </c>
      <c r="AF85" s="34">
        <f t="shared" si="69"/>
        <v>20</v>
      </c>
      <c r="AG85" s="34">
        <f t="shared" si="70"/>
        <v>46</v>
      </c>
      <c r="AH85" s="46">
        <f t="shared" si="71"/>
        <v>73.400000000000006</v>
      </c>
      <c r="AI85" s="51">
        <f t="shared" ref="AI85" si="91">AVERAGE(AH84,AH85)</f>
        <v>74.925000000000011</v>
      </c>
      <c r="AJ85" s="12">
        <f>INDEX(ovrTable25,MATCH(INDEX('Structured 2025'!teamCol,ROW()),ovrTeamCol25,0),MATCH(MID(INDEX('Structured 2025'!headerRow,1,COLUMN()),4,LEN(INDEX('Structured 2025'!headerRow,1,COLUMN()))),ovrHeaderRow25,0))</f>
        <v>34</v>
      </c>
      <c r="AK85" s="12">
        <f>INDEX(ovrTable25,MATCH(INDEX('Structured 2025'!teamCol,ROW()),ovrTeamCol25,0),MATCH(MID(INDEX('Structured 2025'!headerRow,1,COLUMN()),4,LEN(INDEX('Structured 2025'!headerRow,1,COLUMN()))),ovrHeaderRow25,0))</f>
        <v>7.2</v>
      </c>
      <c r="AL85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M85" s="12">
        <f>INDEX(ovrTable25,MATCH(INDEX('Structured 2025'!teamCol,ROW()),ovrTeamCol25,0),MATCH(MID(INDEX('Structured 2025'!headerRow,1,COLUMN()),4,LEN(INDEX('Structured 2025'!headerRow,1,COLUMN()))),ovrHeaderRow25,0))</f>
        <v>21.3</v>
      </c>
      <c r="AN85" s="12">
        <f>INDEX(ovrTable25,MATCH(INDEX('Structured 2025'!teamCol,ROW()),ovrTeamCol25,0),MATCH(MID(INDEX('Structured 2025'!headerRow,1,COLUMN()),4,LEN(INDEX('Structured 2025'!headerRow,1,COLUMN()))),ovrHeaderRow25,0))</f>
        <v>1.42</v>
      </c>
      <c r="AO85" s="12">
        <f>INDEX(ovrTable25,MATCH(INDEX('Structured 2025'!teamCol,ROW()),ovrTeamCol25,0),MATCH(MID(INDEX('Structured 2025'!headerRow,1,COLUMN()),4,LEN(INDEX('Structured 2025'!headerRow,1,COLUMN()))),ovrHeaderRow25,0))</f>
        <v>16.2</v>
      </c>
      <c r="AP85" s="12">
        <f>INDEX(ovrTable25,MATCH(INDEX('Structured 2025'!teamCol,ROW()),ovrTeamCol25,0),MATCH(MID(INDEX('Structured 2025'!headerRow,1,COLUMN()),4,LEN(INDEX('Structured 2025'!headerRow,1,COLUMN()))),ovrHeaderRow25,0))</f>
        <v>29.57</v>
      </c>
      <c r="AQ85" s="12">
        <f>INDEX(ovrTable25,MATCH(INDEX('Structured 2025'!teamCol,ROW()),ovrTeamCol25,0),MATCH(MID(INDEX('Structured 2025'!headerRow,1,COLUMN()),4,LEN(INDEX('Structured 2025'!headerRow,1,COLUMN()))),ovrHeaderRow25,0))</f>
        <v>4.4000000000000004</v>
      </c>
      <c r="AR85" s="12">
        <f>INDEX(ovrTable25,MATCH(INDEX('Structured 2025'!teamCol,ROW()),ovrTeamCol25,0),MATCH(MID(INDEX('Structured 2025'!headerRow,1,COLUMN()),4,LEN(INDEX('Structured 2025'!headerRow,1,COLUMN()))),ovrHeaderRow25,0))</f>
        <v>41.9</v>
      </c>
      <c r="AS85" s="12">
        <f>INDEX(ovrTable25,MATCH(INDEX('Structured 2025'!teamCol,ROW()),ovrTeamCol25,0),MATCH(MID(INDEX('Structured 2025'!headerRow,1,COLUMN()),4,LEN(INDEX('Structured 2025'!headerRow,1,COLUMN()))),ovrHeaderRow25,0))</f>
        <v>27.41</v>
      </c>
      <c r="AT85" s="12">
        <f>INDEX(ovrTable25,MATCH(INDEX('Structured 2025'!teamCol,ROW()),ovrTeamCol25,0),MATCH(MID(INDEX('Structured 2025'!headerRow,1,COLUMN()),4,LEN(INDEX('Structured 2025'!headerRow,1,COLUMN()))),ovrHeaderRow25,0))</f>
        <v>0.53300000000000003</v>
      </c>
      <c r="AU85" s="12">
        <f>INDEX(ovrTable25,MATCH(INDEX('Structured 2025'!teamCol,ROW()),ovrTeamCol25,0),MATCH(MID(INDEX('Structured 2025'!headerRow,1,COLUMN()),4,LEN(INDEX('Structured 2025'!headerRow,1,COLUMN()))),ovrHeaderRow25,0))</f>
        <v>13.76</v>
      </c>
      <c r="AV85" s="12">
        <f>INDEX(ovrTable25,MATCH(INDEX('Structured 2025'!teamCol,ROW()),ovrTeamCol25,0),MATCH(MID(INDEX('Structured 2025'!headerRow,1,COLUMN()),4,LEN(INDEX('Structured 2025'!headerRow,1,COLUMN()))),ovrHeaderRow25,0))</f>
        <v>47.4</v>
      </c>
      <c r="AW85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X85" s="12">
        <f>INDEX(ovrTable25,MATCH(INDEX('Structured 2025'!teamCol,ROW()),ovrTeamCol25,0),MATCH(MID(INDEX('Structured 2025'!headerRow,1,COLUMN()),4,LEN(INDEX('Structured 2025'!headerRow,1,COLUMN()))),ovrHeaderRow25,0))</f>
        <v>78</v>
      </c>
      <c r="AY85" s="12">
        <f>INDEX(ovrTable25,MATCH(INDEX('Structured 2025'!teamCol,ROW()),ovrTeamCol25,0),MATCH(MID(INDEX('Structured 2025'!headerRow,1,COLUMN()),4,LEN(INDEX('Structured 2025'!headerRow,1,COLUMN()))),ovrHeaderRow25,0))</f>
        <v>22</v>
      </c>
      <c r="AZ85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BA85" s="12">
        <f>INDEX(ovrTable25,MATCH(INDEX('Structured 2025'!teamCol,ROW()),ovrTeamCol25,0),MATCH(MID(INDEX('Structured 2025'!headerRow,1,COLUMN()),4,LEN(INDEX('Structured 2025'!headerRow,1,COLUMN()))),ovrHeaderRow25,0))</f>
        <v>73.3</v>
      </c>
      <c r="BB85" s="12">
        <f>INDEX(ovrTable25,MATCH(INDEX('Structured 2025'!teamCol,ROW()),ovrTeamCol25,0),MATCH(MID(INDEX('Structured 2025'!headerRow,1,COLUMN()),4,LEN(INDEX('Structured 2025'!headerRow,1,COLUMN()))),ovrHeaderRow25,0))</f>
        <v>12.32</v>
      </c>
      <c r="BC85" s="12">
        <f>INDEX(ovrTable25,MATCH(INDEX('Structured 2025'!teamCol,ROW()),ovrTeamCol25,0),MATCH(MID(INDEX('Structured 2025'!headerRow,1,COLUMN()),4,LEN(INDEX('Structured 2025'!headerRow,1,COLUMN()))),ovrHeaderRow25,0))</f>
        <v>82.5</v>
      </c>
      <c r="BD85" s="12">
        <f>INDEX(ovrTable25,MATCH(INDEX('Structured 2025'!teamCol,ROW()),ovrTeamCol25,0),MATCH(MID(INDEX('Structured 2025'!headerRow,1,COLUMN()),4,LEN(INDEX('Structured 2025'!headerRow,1,COLUMN()))),ovrHeaderRow25,0))</f>
        <v>7.2</v>
      </c>
      <c r="BE85" s="12">
        <f>INDEX(ovrTable25,MATCH(INDEX('Structured 2025'!teamCol,ROW()),ovrTeamCol25,0),MATCH(MID(INDEX('Structured 2025'!headerRow,1,COLUMN()),4,LEN(INDEX('Structured 2025'!headerRow,1,COLUMN()))),ovrHeaderRow25,0))</f>
        <v>39.729999999999997</v>
      </c>
      <c r="BF85" s="12">
        <f>INDEX(ovrTable25,MATCH(INDEX('Structured 2025'!teamCol,ROW()),ovrTeamCol25,0),MATCH(MID(INDEX('Structured 2025'!headerRow,1,COLUMN()),4,LEN(INDEX('Structured 2025'!headerRow,1,COLUMN()))),ovrHeaderRow25,0))</f>
        <v>9.1999999999999993</v>
      </c>
      <c r="BG85" s="12">
        <f>INDEX(ovrTable25,MATCH(INDEX('Structured 2025'!teamCol,ROW()),ovrTeamCol25,0),MATCH(MID(INDEX('Structured 2025'!headerRow,1,COLUMN()),4,LEN(INDEX('Structured 2025'!headerRow,1,COLUMN()))),ovrHeaderRow25,0))</f>
        <v>7.5</v>
      </c>
      <c r="BH85" s="12">
        <f>INDEX(ovrTable25,MATCH(INDEX('Structured 2025'!teamCol,ROW()),ovrTeamCol25,0),MATCH(MID(INDEX('Structured 2025'!headerRow,1,COLUMN()),4,LEN(INDEX('Structured 2025'!headerRow,1,COLUMN()))),ovrHeaderRow25,0))</f>
        <v>0.1</v>
      </c>
      <c r="BI85" s="12">
        <f>INDEX(ovrTable25,MATCH(INDEX('Structured 2025'!teamCol,ROW()),ovrTeamCol25,0),MATCH(MID(INDEX('Structured 2025'!headerRow,1,COLUMN()),4,LEN(INDEX('Structured 2025'!headerRow,1,COLUMN()))),ovrHeaderRow25,0))</f>
        <v>11.49</v>
      </c>
      <c r="BJ85" s="12">
        <f>INDEX(ovrTable25,MATCH(INDEX('Structured 2025'!teamCol,ROW()),ovrTeamCol25,0),MATCH(MID(INDEX('Structured 2025'!headerRow,1,COLUMN()),4,LEN(INDEX('Structured 2025'!headerRow,1,COLUMN()))),ovrHeaderRow25,0))</f>
        <v>11.4</v>
      </c>
      <c r="BK85" s="12">
        <f>INDEX(ovrTable25,MATCH(INDEX('Structured 2025'!teamCol,ROW()),ovrTeamCol25,0),MATCH(MID(INDEX('Structured 2025'!headerRow,1,COLUMN()),4,LEN(INDEX('Structured 2025'!headerRow,1,COLUMN()))),ovrHeaderRow25,0))</f>
        <v>70.3</v>
      </c>
      <c r="BL85" s="12">
        <f>INDEX(ovrTable25,MATCH(INDEX('Structured 2025'!teamCol,ROW()),ovrTeamCol25,0),MATCH(MID(INDEX('Structured 2025'!headerRow,1,COLUMN()),4,LEN(INDEX('Structured 2025'!headerRow,1,COLUMN()))),ovrHeaderRow25,0))</f>
        <v>21.900000000000002</v>
      </c>
      <c r="BM85" s="12">
        <f>INDEX(ovrTable25,MATCH(INDEX('Structured 2025'!teamCol,ROW()),ovrTeamCol25,0),MATCH(MID(INDEX('Structured 2025'!headerRow,1,COLUMN()),4,LEN(INDEX('Structured 2025'!headerRow,1,COLUMN()))),ovrHeaderRow25,0))</f>
        <v>61.392405063291143</v>
      </c>
      <c r="BN85" s="12">
        <f>INDEX(ovrTable25,MATCH(INDEX(oppCol,ROW()),ovrTeamCol25,0),MATCH(MID(INDEX('Structured 2025'!headerRow,1,COLUMN()),4,LEN(INDEX('Structured 2025'!headerRow,1,COLUMN()))),ovrHeaderRow25,0))</f>
        <v>31.7</v>
      </c>
      <c r="BO85" s="12">
        <f>INDEX(ovrTable25,MATCH(INDEX(oppCol,ROW()),ovrTeamCol25,0),MATCH(MID(INDEX('Structured 2025'!headerRow,1,COLUMN()),4,LEN(INDEX('Structured 2025'!headerRow,1,COLUMN()))),ovrHeaderRow25,0))</f>
        <v>7.7</v>
      </c>
      <c r="BP85" s="12">
        <f>INDEX(ovrTable25,MATCH(INDEX(oppCol,ROW()),ovrTeamCol25,0),MATCH(MID(INDEX('Structured 2025'!headerRow,1,COLUMN()),4,LEN(INDEX('Structured 2025'!headerRow,1,COLUMN()))),ovrHeaderRow25,0))</f>
        <v>34.4</v>
      </c>
      <c r="BQ85" s="12">
        <f>INDEX(ovrTable25,MATCH(INDEX(oppCol,ROW()),ovrTeamCol25,0),MATCH(MID(INDEX('Structured 2025'!headerRow,1,COLUMN()),4,LEN(INDEX('Structured 2025'!headerRow,1,COLUMN()))),ovrHeaderRow25,0))</f>
        <v>22.5</v>
      </c>
      <c r="BR85" s="12">
        <f>INDEX(ovrTable25,MATCH(INDEX(oppCol,ROW()),ovrTeamCol25,0),MATCH(MID(INDEX('Structured 2025'!headerRow,1,COLUMN()),4,LEN(INDEX('Structured 2025'!headerRow,1,COLUMN()))),ovrHeaderRow25,0))</f>
        <v>1.27</v>
      </c>
      <c r="BS85" s="12">
        <f>INDEX(ovrTable25,MATCH(INDEX(oppCol,ROW()),ovrTeamCol25,0),MATCH(MID(INDEX('Structured 2025'!headerRow,1,COLUMN()),4,LEN(INDEX('Structured 2025'!headerRow,1,COLUMN()))),ovrHeaderRow25,0))</f>
        <v>14.3</v>
      </c>
      <c r="BT85" s="12">
        <f>INDEX(ovrTable25,MATCH(INDEX(oppCol,ROW()),ovrTeamCol25,0),MATCH(MID(INDEX('Structured 2025'!headerRow,1,COLUMN()),4,LEN(INDEX('Structured 2025'!headerRow,1,COLUMN()))),ovrHeaderRow25,0))</f>
        <v>21.94</v>
      </c>
      <c r="BU85" s="12">
        <f>INDEX(ovrTable25,MATCH(INDEX(oppCol,ROW()),ovrTeamCol25,0),MATCH(MID(INDEX('Structured 2025'!headerRow,1,COLUMN()),4,LEN(INDEX('Structured 2025'!headerRow,1,COLUMN()))),ovrHeaderRow25,0))</f>
        <v>3.7</v>
      </c>
      <c r="BV85" s="12">
        <f>INDEX(ovrTable25,MATCH(INDEX(oppCol,ROW()),ovrTeamCol25,0),MATCH(MID(INDEX('Structured 2025'!headerRow,1,COLUMN()),4,LEN(INDEX('Structured 2025'!headerRow,1,COLUMN()))),ovrHeaderRow25,0))</f>
        <v>42.9</v>
      </c>
      <c r="BW85" s="12">
        <f>INDEX(ovrTable25,MATCH(INDEX(oppCol,ROW()),ovrTeamCol25,0),MATCH(MID(INDEX('Structured 2025'!headerRow,1,COLUMN()),4,LEN(INDEX('Structured 2025'!headerRow,1,COLUMN()))),ovrHeaderRow25,0))</f>
        <v>25.6</v>
      </c>
      <c r="BX85" s="12">
        <f>INDEX(ovrTable25,MATCH(INDEX(oppCol,ROW()),ovrTeamCol25,0),MATCH(MID(INDEX('Structured 2025'!headerRow,1,COLUMN()),4,LEN(INDEX('Structured 2025'!headerRow,1,COLUMN()))),ovrHeaderRow25,0))</f>
        <v>0.52500000000000002</v>
      </c>
      <c r="BY85" s="12">
        <f>INDEX(ovrTable25,MATCH(INDEX(oppCol,ROW()),ovrTeamCol25,0),MATCH(MID(INDEX('Structured 2025'!headerRow,1,COLUMN()),4,LEN(INDEX('Structured 2025'!headerRow,1,COLUMN()))),ovrHeaderRow25,0))</f>
        <v>11.91</v>
      </c>
      <c r="BZ85" s="12">
        <f>INDEX(ovrTable25,MATCH(INDEX(oppCol,ROW()),ovrTeamCol25,0),MATCH(MID(INDEX('Structured 2025'!headerRow,1,COLUMN()),4,LEN(INDEX('Structured 2025'!headerRow,1,COLUMN()))),ovrHeaderRow25,0))</f>
        <v>46</v>
      </c>
      <c r="CA85" s="12">
        <f>INDEX(ovrTable25,MATCH(INDEX(oppCol,ROW()),ovrTeamCol25,0),MATCH(MID(INDEX('Structured 2025'!headerRow,1,COLUMN()),4,LEN(INDEX('Structured 2025'!headerRow,1,COLUMN()))),ovrHeaderRow25,0))</f>
        <v>16.3</v>
      </c>
      <c r="CB85" s="12">
        <f>INDEX(ovrTable25,MATCH(INDEX(oppCol,ROW()),ovrTeamCol25,0),MATCH(MID(INDEX('Structured 2025'!headerRow,1,COLUMN()),4,LEN(INDEX('Structured 2025'!headerRow,1,COLUMN()))),ovrHeaderRow25,0))</f>
        <v>75.7</v>
      </c>
      <c r="CC85" s="12">
        <f>INDEX(ovrTable25,MATCH(INDEX(oppCol,ROW()),ovrTeamCol25,0),MATCH(MID(INDEX('Structured 2025'!headerRow,1,COLUMN()),4,LEN(INDEX('Structured 2025'!headerRow,1,COLUMN()))),ovrHeaderRow25,0))</f>
        <v>19.399999999999999</v>
      </c>
      <c r="CD85" s="12">
        <f>INDEX(ovrTable25,MATCH(INDEX(oppCol,ROW()),ovrTeamCol25,0),MATCH(MID(INDEX('Structured 2025'!headerRow,1,COLUMN()),4,LEN(INDEX('Structured 2025'!headerRow,1,COLUMN()))),ovrHeaderRow25,0))</f>
        <v>14.7</v>
      </c>
      <c r="CE85" s="12">
        <f>INDEX(ovrTable25,MATCH(INDEX(oppCol,ROW()),ovrTeamCol25,0),MATCH(MID(INDEX('Structured 2025'!headerRow,1,COLUMN()),4,LEN(INDEX('Structured 2025'!headerRow,1,COLUMN()))),ovrHeaderRow25,0))</f>
        <v>70.900000000000006</v>
      </c>
      <c r="CF85" s="12">
        <f>INDEX(ovrTable25,MATCH(INDEX(oppCol,ROW()),ovrTeamCol25,0),MATCH(MID(INDEX('Structured 2025'!headerRow,1,COLUMN()),4,LEN(INDEX('Structured 2025'!headerRow,1,COLUMN()))),ovrHeaderRow25,0))</f>
        <v>10.199999999999999</v>
      </c>
      <c r="CG85" s="12">
        <f>INDEX(ovrTable25,MATCH(INDEX(oppCol,ROW()),ovrTeamCol25,0),MATCH(MID(INDEX('Structured 2025'!headerRow,1,COLUMN()),4,LEN(INDEX('Structured 2025'!headerRow,1,COLUMN()))),ovrHeaderRow25,0))</f>
        <v>76.5</v>
      </c>
      <c r="CH85" s="12">
        <f>INDEX(ovrTable25,MATCH(INDEX(oppCol,ROW()),ovrTeamCol25,0),MATCH(MID(INDEX('Structured 2025'!headerRow,1,COLUMN()),4,LEN(INDEX('Structured 2025'!headerRow,1,COLUMN()))),ovrHeaderRow25,0))</f>
        <v>2</v>
      </c>
      <c r="CI85" s="12">
        <f>INDEX(ovrTable25,MATCH(INDEX(oppCol,ROW()),ovrTeamCol25,0),MATCH(MID(INDEX('Structured 2025'!headerRow,1,COLUMN()),4,LEN(INDEX('Structured 2025'!headerRow,1,COLUMN()))),ovrHeaderRow25,0))</f>
        <v>35.799999999999997</v>
      </c>
      <c r="CJ85" s="12">
        <f>INDEX(ovrTable25,MATCH(INDEX(oppCol,ROW()),ovrTeamCol25,0),MATCH(MID(INDEX('Structured 2025'!headerRow,1,COLUMN()),4,LEN(INDEX('Structured 2025'!headerRow,1,COLUMN()))),ovrHeaderRow25,0))</f>
        <v>5.7</v>
      </c>
      <c r="CK85" s="12">
        <f>INDEX(ovrTable25,MATCH(INDEX(oppCol,ROW()),ovrTeamCol25,0),MATCH(MID(INDEX('Structured 2025'!headerRow,1,COLUMN()),4,LEN(INDEX('Structured 2025'!headerRow,1,COLUMN()))),ovrHeaderRow25,0))</f>
        <v>7.2</v>
      </c>
      <c r="CL85" s="12">
        <f>INDEX(ovrTable25,MATCH(INDEX(oppCol,ROW()),ovrTeamCol25,0),MATCH(MID(INDEX('Structured 2025'!headerRow,1,COLUMN()),4,LEN(INDEX('Structured 2025'!headerRow,1,COLUMN()))),ovrHeaderRow25,0))</f>
        <v>0.9</v>
      </c>
      <c r="CM85" s="12">
        <f>INDEX(ovrTable25,MATCH(INDEX(oppCol,ROW()),ovrTeamCol25,0),MATCH(MID(INDEX('Structured 2025'!headerRow,1,COLUMN()),4,LEN(INDEX('Structured 2025'!headerRow,1,COLUMN()))),ovrHeaderRow25,0))</f>
        <v>12.14</v>
      </c>
      <c r="CN85" s="12">
        <f>INDEX(ovrTable25,MATCH(INDEX(oppCol,ROW()),ovrTeamCol25,0),MATCH(MID(INDEX('Structured 2025'!headerRow,1,COLUMN()),4,LEN(INDEX('Structured 2025'!headerRow,1,COLUMN()))),ovrHeaderRow25,0))</f>
        <v>11.3</v>
      </c>
      <c r="CO85" s="12">
        <f>INDEX(ovrTable25,MATCH(INDEX(oppCol,ROW()),ovrTeamCol25,0),MATCH(MID(INDEX('Structured 2025'!headerRow,1,COLUMN()),4,LEN(INDEX('Structured 2025'!headerRow,1,COLUMN()))),ovrHeaderRow25,0))</f>
        <v>68.099999999999994</v>
      </c>
      <c r="CP85" s="12">
        <f>INDEX(ovrTable25,MATCH(INDEX(oppCol,ROW()),ovrTeamCol25,0),MATCH(MID(INDEX('Structured 2025'!headerRow,1,COLUMN()),4,LEN(INDEX('Structured 2025'!headerRow,1,COLUMN()))),ovrHeaderRow25,0))</f>
        <v>19.349999999999998</v>
      </c>
      <c r="CQ85" s="12">
        <f>INDEX(ovrTable25,MATCH(INDEX(oppCol,ROW()),ovrTeamCol25,0),MATCH(MID(INDEX('Structured 2025'!headerRow,1,COLUMN()),4,LEN(INDEX('Structured 2025'!headerRow,1,COLUMN()))),ovrHeaderRow25,0))</f>
        <v>58.804347826086946</v>
      </c>
    </row>
    <row r="86" spans="1:95" x14ac:dyDescent="0.3">
      <c r="A86" s="6" t="s">
        <v>7</v>
      </c>
      <c r="B86" s="3">
        <v>6</v>
      </c>
      <c r="C86" s="13" t="str">
        <f>A87</f>
        <v>WIS</v>
      </c>
      <c r="D86" s="14">
        <f t="shared" si="26"/>
        <v>43</v>
      </c>
      <c r="E86" s="23">
        <v>0.34285714285714286</v>
      </c>
      <c r="F86" s="24">
        <v>49.230769230769234</v>
      </c>
      <c r="G86" s="24">
        <v>12</v>
      </c>
      <c r="H86" s="23">
        <v>46.153846153846153</v>
      </c>
      <c r="I86" s="24">
        <v>26</v>
      </c>
      <c r="J86" s="25">
        <v>1.9090909090909092</v>
      </c>
      <c r="K86" s="24">
        <v>15</v>
      </c>
      <c r="L86" s="24">
        <v>16</v>
      </c>
      <c r="M86" s="24">
        <v>13</v>
      </c>
      <c r="N86" s="24">
        <v>28</v>
      </c>
      <c r="O86" s="24">
        <v>21</v>
      </c>
      <c r="P86" s="24">
        <v>5</v>
      </c>
      <c r="Q86" s="24">
        <v>4</v>
      </c>
      <c r="R86" s="24">
        <v>11</v>
      </c>
      <c r="S86" s="24">
        <v>11</v>
      </c>
      <c r="T86" s="24">
        <v>22</v>
      </c>
      <c r="U86" s="24">
        <v>24</v>
      </c>
      <c r="V86" s="24">
        <v>0.42857142857142855</v>
      </c>
      <c r="W86" s="26">
        <v>0.58461538461538465</v>
      </c>
      <c r="X86" s="23">
        <v>93.75</v>
      </c>
      <c r="Y86" s="24">
        <v>89</v>
      </c>
      <c r="Z86" s="24">
        <v>91</v>
      </c>
      <c r="AA86" s="24">
        <v>9</v>
      </c>
      <c r="AB86" s="24">
        <v>41</v>
      </c>
      <c r="AC86" s="24">
        <v>2</v>
      </c>
      <c r="AD86" s="24">
        <v>-6</v>
      </c>
      <c r="AE86" s="24">
        <v>5</v>
      </c>
      <c r="AF86" s="34">
        <f t="shared" si="69"/>
        <v>20</v>
      </c>
      <c r="AG86" s="34">
        <f t="shared" si="70"/>
        <v>39</v>
      </c>
      <c r="AH86" s="46">
        <f t="shared" si="71"/>
        <v>70.599999999999994</v>
      </c>
      <c r="AI86" s="51">
        <f t="shared" ref="AI86" si="92">AVERAGE(AH86,AH87)</f>
        <v>70.6875</v>
      </c>
      <c r="AJ86" s="12">
        <f>INDEX(ovrTable25,MATCH(INDEX('Structured 2025'!teamCol,ROW()),ovrTeamCol25,0),MATCH(MID(INDEX('Structured 2025'!headerRow,1,COLUMN()),4,LEN(INDEX('Structured 2025'!headerRow,1,COLUMN()))),ovrHeaderRow25,0))</f>
        <v>35.700000000000003</v>
      </c>
      <c r="AK86" s="12">
        <f>INDEX(ovrTable25,MATCH(INDEX('Structured 2025'!teamCol,ROW()),ovrTeamCol25,0),MATCH(MID(INDEX('Structured 2025'!headerRow,1,COLUMN()),4,LEN(INDEX('Structured 2025'!headerRow,1,COLUMN()))),ovrHeaderRow25,0))</f>
        <v>10.5</v>
      </c>
      <c r="AL86" s="12">
        <f>INDEX(ovrTable25,MATCH(INDEX('Structured 2025'!teamCol,ROW()),ovrTeamCol25,0),MATCH(MID(INDEX('Structured 2025'!headerRow,1,COLUMN()),4,LEN(INDEX('Structured 2025'!headerRow,1,COLUMN()))),ovrHeaderRow25,0))</f>
        <v>36.799999999999997</v>
      </c>
      <c r="AM86" s="12">
        <f>INDEX(ovrTable25,MATCH(INDEX('Structured 2025'!teamCol,ROW()),ovrTeamCol25,0),MATCH(MID(INDEX('Structured 2025'!headerRow,1,COLUMN()),4,LEN(INDEX('Structured 2025'!headerRow,1,COLUMN()))),ovrHeaderRow25,0))</f>
        <v>28.6</v>
      </c>
      <c r="AN86" s="12">
        <f>INDEX(ovrTable25,MATCH(INDEX('Structured 2025'!teamCol,ROW()),ovrTeamCol25,0),MATCH(MID(INDEX('Structured 2025'!headerRow,1,COLUMN()),4,LEN(INDEX('Structured 2025'!headerRow,1,COLUMN()))),ovrHeaderRow25,0))</f>
        <v>1.43</v>
      </c>
      <c r="AO86" s="12">
        <f>INDEX(ovrTable25,MATCH(INDEX('Structured 2025'!teamCol,ROW()),ovrTeamCol25,0),MATCH(MID(INDEX('Structured 2025'!headerRow,1,COLUMN()),4,LEN(INDEX('Structured 2025'!headerRow,1,COLUMN()))),ovrHeaderRow25,0))</f>
        <v>17.3</v>
      </c>
      <c r="AP86" s="12">
        <f>INDEX(ovrTable25,MATCH(INDEX('Structured 2025'!teamCol,ROW()),ovrTeamCol25,0),MATCH(MID(INDEX('Structured 2025'!headerRow,1,COLUMN()),4,LEN(INDEX('Structured 2025'!headerRow,1,COLUMN()))),ovrHeaderRow25,0))</f>
        <v>30.11</v>
      </c>
      <c r="AQ86" s="12">
        <f>INDEX(ovrTable25,MATCH(INDEX('Structured 2025'!teamCol,ROW()),ovrTeamCol25,0),MATCH(MID(INDEX('Structured 2025'!headerRow,1,COLUMN()),4,LEN(INDEX('Structured 2025'!headerRow,1,COLUMN()))),ovrHeaderRow25,0))</f>
        <v>3.1</v>
      </c>
      <c r="AR86" s="12">
        <f>INDEX(ovrTable25,MATCH(INDEX('Structured 2025'!teamCol,ROW()),ovrTeamCol25,0),MATCH(MID(INDEX('Structured 2025'!headerRow,1,COLUMN()),4,LEN(INDEX('Structured 2025'!headerRow,1,COLUMN()))),ovrHeaderRow25,0))</f>
        <v>43.1</v>
      </c>
      <c r="AS86" s="12">
        <f>INDEX(ovrTable25,MATCH(INDEX('Structured 2025'!teamCol,ROW()),ovrTeamCol25,0),MATCH(MID(INDEX('Structured 2025'!headerRow,1,COLUMN()),4,LEN(INDEX('Structured 2025'!headerRow,1,COLUMN()))),ovrHeaderRow25,0))</f>
        <v>26.33</v>
      </c>
      <c r="AT86" s="12">
        <f>INDEX(ovrTable25,MATCH(INDEX('Structured 2025'!teamCol,ROW()),ovrTeamCol25,0),MATCH(MID(INDEX('Structured 2025'!headerRow,1,COLUMN()),4,LEN(INDEX('Structured 2025'!headerRow,1,COLUMN()))),ovrHeaderRow25,0))</f>
        <v>0.56999999999999995</v>
      </c>
      <c r="AU86" s="12">
        <f>INDEX(ovrTable25,MATCH(INDEX('Structured 2025'!teamCol,ROW()),ovrTeamCol25,0),MATCH(MID(INDEX('Structured 2025'!headerRow,1,COLUMN()),4,LEN(INDEX('Structured 2025'!headerRow,1,COLUMN()))),ovrHeaderRow25,0))</f>
        <v>10</v>
      </c>
      <c r="AV86" s="12">
        <f>INDEX(ovrTable25,MATCH(INDEX('Structured 2025'!teamCol,ROW()),ovrTeamCol25,0),MATCH(MID(INDEX('Structured 2025'!headerRow,1,COLUMN()),4,LEN(INDEX('Structured 2025'!headerRow,1,COLUMN()))),ovrHeaderRow25,0))</f>
        <v>48.2</v>
      </c>
      <c r="AW86" s="12">
        <f>INDEX(ovrTable25,MATCH(INDEX('Structured 2025'!teamCol,ROW()),ovrTeamCol25,0),MATCH(MID(INDEX('Structured 2025'!headerRow,1,COLUMN()),4,LEN(INDEX('Structured 2025'!headerRow,1,COLUMN()))),ovrHeaderRow25,0))</f>
        <v>16.3</v>
      </c>
      <c r="AX86" s="12">
        <f>INDEX(ovrTable25,MATCH(INDEX('Structured 2025'!teamCol,ROW()),ovrTeamCol25,0),MATCH(MID(INDEX('Structured 2025'!headerRow,1,COLUMN()),4,LEN(INDEX('Structured 2025'!headerRow,1,COLUMN()))),ovrHeaderRow25,0))</f>
        <v>71.3</v>
      </c>
      <c r="AY86" s="12">
        <f>INDEX(ovrTable25,MATCH(INDEX('Structured 2025'!teamCol,ROW()),ovrTeamCol25,0),MATCH(MID(INDEX('Structured 2025'!headerRow,1,COLUMN()),4,LEN(INDEX('Structured 2025'!headerRow,1,COLUMN()))),ovrHeaderRow25,0))</f>
        <v>18.3</v>
      </c>
      <c r="AZ86" s="12">
        <f>INDEX(ovrTable25,MATCH(INDEX('Structured 2025'!teamCol,ROW()),ovrTeamCol25,0),MATCH(MID(INDEX('Structured 2025'!headerRow,1,COLUMN()),4,LEN(INDEX('Structured 2025'!headerRow,1,COLUMN()))),ovrHeaderRow25,0))</f>
        <v>13</v>
      </c>
      <c r="BA86" s="12">
        <f>INDEX(ovrTable25,MATCH(INDEX('Structured 2025'!teamCol,ROW()),ovrTeamCol25,0),MATCH(MID(INDEX('Structured 2025'!headerRow,1,COLUMN()),4,LEN(INDEX('Structured 2025'!headerRow,1,COLUMN()))),ovrHeaderRow25,0))</f>
        <v>72.599999999999994</v>
      </c>
      <c r="BB86" s="12">
        <f>INDEX(ovrTable25,MATCH(INDEX('Structured 2025'!teamCol,ROW()),ovrTeamCol25,0),MATCH(MID(INDEX('Structured 2025'!headerRow,1,COLUMN()),4,LEN(INDEX('Structured 2025'!headerRow,1,COLUMN()))),ovrHeaderRow25,0))</f>
        <v>11.28</v>
      </c>
      <c r="BC86" s="12">
        <f>INDEX(ovrTable25,MATCH(INDEX('Structured 2025'!teamCol,ROW()),ovrTeamCol25,0),MATCH(MID(INDEX('Structured 2025'!headerRow,1,COLUMN()),4,LEN(INDEX('Structured 2025'!headerRow,1,COLUMN()))),ovrHeaderRow25,0))</f>
        <v>81.400000000000006</v>
      </c>
      <c r="BD86" s="12">
        <f>INDEX(ovrTable25,MATCH(INDEX('Structured 2025'!teamCol,ROW()),ovrTeamCol25,0),MATCH(MID(INDEX('Structured 2025'!headerRow,1,COLUMN()),4,LEN(INDEX('Structured 2025'!headerRow,1,COLUMN()))),ovrHeaderRow25,0))</f>
        <v>5.9</v>
      </c>
      <c r="BE86" s="12">
        <f>INDEX(ovrTable25,MATCH(INDEX('Structured 2025'!teamCol,ROW()),ovrTeamCol25,0),MATCH(MID(INDEX('Structured 2025'!headerRow,1,COLUMN()),4,LEN(INDEX('Structured 2025'!headerRow,1,COLUMN()))),ovrHeaderRow25,0))</f>
        <v>37.61</v>
      </c>
      <c r="BF86" s="12">
        <f>INDEX(ovrTable25,MATCH(INDEX('Structured 2025'!teamCol,ROW()),ovrTeamCol25,0),MATCH(MID(INDEX('Structured 2025'!headerRow,1,COLUMN()),4,LEN(INDEX('Structured 2025'!headerRow,1,COLUMN()))),ovrHeaderRow25,0))</f>
        <v>8.9</v>
      </c>
      <c r="BG86" s="12">
        <f>INDEX(ovrTable25,MATCH(INDEX('Structured 2025'!teamCol,ROW()),ovrTeamCol25,0),MATCH(MID(INDEX('Structured 2025'!headerRow,1,COLUMN()),4,LEN(INDEX('Structured 2025'!headerRow,1,COLUMN()))),ovrHeaderRow25,0))</f>
        <v>7.1</v>
      </c>
      <c r="BH86" s="12">
        <f>INDEX(ovrTable25,MATCH(INDEX('Structured 2025'!teamCol,ROW()),ovrTeamCol25,0),MATCH(MID(INDEX('Structured 2025'!headerRow,1,COLUMN()),4,LEN(INDEX('Structured 2025'!headerRow,1,COLUMN()))),ovrHeaderRow25,0))</f>
        <v>-0.4</v>
      </c>
      <c r="BI86" s="12">
        <f>INDEX(ovrTable25,MATCH(INDEX('Structured 2025'!teamCol,ROW()),ovrTeamCol25,0),MATCH(MID(INDEX('Structured 2025'!headerRow,1,COLUMN()),4,LEN(INDEX('Structured 2025'!headerRow,1,COLUMN()))),ovrHeaderRow25,0))</f>
        <v>11.69</v>
      </c>
      <c r="BJ86" s="12">
        <f>INDEX(ovrTable25,MATCH(INDEX('Structured 2025'!teamCol,ROW()),ovrTeamCol25,0),MATCH(MID(INDEX('Structured 2025'!headerRow,1,COLUMN()),4,LEN(INDEX('Structured 2025'!headerRow,1,COLUMN()))),ovrHeaderRow25,0))</f>
        <v>12.1</v>
      </c>
      <c r="BK86" s="12">
        <f>INDEX(ovrTable25,MATCH(INDEX('Structured 2025'!teamCol,ROW()),ovrTeamCol25,0),MATCH(MID(INDEX('Structured 2025'!headerRow,1,COLUMN()),4,LEN(INDEX('Structured 2025'!headerRow,1,COLUMN()))),ovrHeaderRow25,0))</f>
        <v>67.599999999999994</v>
      </c>
      <c r="BL86" s="12">
        <f>INDEX(ovrTable25,MATCH(INDEX('Structured 2025'!teamCol,ROW()),ovrTeamCol25,0),MATCH(MID(INDEX('Structured 2025'!headerRow,1,COLUMN()),4,LEN(INDEX('Structured 2025'!headerRow,1,COLUMN()))),ovrHeaderRow25,0))</f>
        <v>18.450000000000003</v>
      </c>
      <c r="BM86" s="12">
        <f>INDEX(ovrTable25,MATCH(INDEX('Structured 2025'!teamCol,ROW()),ovrTeamCol25,0),MATCH(MID(INDEX('Structured 2025'!headerRow,1,COLUMN()),4,LEN(INDEX('Structured 2025'!headerRow,1,COLUMN()))),ovrHeaderRow25,0))</f>
        <v>60.062240663900418</v>
      </c>
      <c r="BN86" s="12">
        <f>INDEX(ovrTable25,MATCH(INDEX(oppCol,ROW()),ovrTeamCol25,0),MATCH(MID(INDEX('Structured 2025'!headerRow,1,COLUMN()),4,LEN(INDEX('Structured 2025'!headerRow,1,COLUMN()))),ovrHeaderRow25,0))</f>
        <v>33.299999999999997</v>
      </c>
      <c r="BO86" s="12">
        <f>INDEX(ovrTable25,MATCH(INDEX(oppCol,ROW()),ovrTeamCol25,0),MATCH(MID(INDEX('Structured 2025'!headerRow,1,COLUMN()),4,LEN(INDEX('Structured 2025'!headerRow,1,COLUMN()))),ovrHeaderRow25,0))</f>
        <v>9.9</v>
      </c>
      <c r="BP86" s="12">
        <f>INDEX(ovrTable25,MATCH(INDEX(oppCol,ROW()),ovrTeamCol25,0),MATCH(MID(INDEX('Structured 2025'!headerRow,1,COLUMN()),4,LEN(INDEX('Structured 2025'!headerRow,1,COLUMN()))),ovrHeaderRow25,0))</f>
        <v>34.799999999999997</v>
      </c>
      <c r="BQ86" s="12">
        <f>INDEX(ovrTable25,MATCH(INDEX(oppCol,ROW()),ovrTeamCol25,0),MATCH(MID(INDEX('Structured 2025'!headerRow,1,COLUMN()),4,LEN(INDEX('Structured 2025'!headerRow,1,COLUMN()))),ovrHeaderRow25,0))</f>
        <v>28.4</v>
      </c>
      <c r="BR86" s="12">
        <f>INDEX(ovrTable25,MATCH(INDEX(oppCol,ROW()),ovrTeamCol25,0),MATCH(MID(INDEX('Structured 2025'!headerRow,1,COLUMN()),4,LEN(INDEX('Structured 2025'!headerRow,1,COLUMN()))),ovrHeaderRow25,0))</f>
        <v>1.51</v>
      </c>
      <c r="BS86" s="12">
        <f>INDEX(ovrTable25,MATCH(INDEX(oppCol,ROW()),ovrTeamCol25,0),MATCH(MID(INDEX('Structured 2025'!headerRow,1,COLUMN()),4,LEN(INDEX('Structured 2025'!headerRow,1,COLUMN()))),ovrHeaderRow25,0))</f>
        <v>14.5</v>
      </c>
      <c r="BT86" s="12">
        <f>INDEX(ovrTable25,MATCH(INDEX(oppCol,ROW()),ovrTeamCol25,0),MATCH(MID(INDEX('Structured 2025'!headerRow,1,COLUMN()),4,LEN(INDEX('Structured 2025'!headerRow,1,COLUMN()))),ovrHeaderRow25,0))</f>
        <v>16.54</v>
      </c>
      <c r="BU86" s="12">
        <f>INDEX(ovrTable25,MATCH(INDEX(oppCol,ROW()),ovrTeamCol25,0),MATCH(MID(INDEX('Structured 2025'!headerRow,1,COLUMN()),4,LEN(INDEX('Structured 2025'!headerRow,1,COLUMN()))),ovrHeaderRow25,0))</f>
        <v>2.4</v>
      </c>
      <c r="BV86" s="12">
        <f>INDEX(ovrTable25,MATCH(INDEX(oppCol,ROW()),ovrTeamCol25,0),MATCH(MID(INDEX('Structured 2025'!headerRow,1,COLUMN()),4,LEN(INDEX('Structured 2025'!headerRow,1,COLUMN()))),ovrHeaderRow25,0))</f>
        <v>41.6</v>
      </c>
      <c r="BW86" s="12">
        <f>INDEX(ovrTable25,MATCH(INDEX(oppCol,ROW()),ovrTeamCol25,0),MATCH(MID(INDEX('Structured 2025'!headerRow,1,COLUMN()),4,LEN(INDEX('Structured 2025'!headerRow,1,COLUMN()))),ovrHeaderRow25,0))</f>
        <v>27.11</v>
      </c>
      <c r="BX86" s="12">
        <f>INDEX(ovrTable25,MATCH(INDEX(oppCol,ROW()),ovrTeamCol25,0),MATCH(MID(INDEX('Structured 2025'!headerRow,1,COLUMN()),4,LEN(INDEX('Structured 2025'!headerRow,1,COLUMN()))),ovrHeaderRow25,0))</f>
        <v>0.53800000000000003</v>
      </c>
      <c r="BY86" s="12">
        <f>INDEX(ovrTable25,MATCH(INDEX(oppCol,ROW()),ovrTeamCol25,0),MATCH(MID(INDEX('Structured 2025'!headerRow,1,COLUMN()),4,LEN(INDEX('Structured 2025'!headerRow,1,COLUMN()))),ovrHeaderRow25,0))</f>
        <v>7.14</v>
      </c>
      <c r="BZ86" s="12">
        <f>INDEX(ovrTable25,MATCH(INDEX(oppCol,ROW()),ovrTeamCol25,0),MATCH(MID(INDEX('Structured 2025'!headerRow,1,COLUMN()),4,LEN(INDEX('Structured 2025'!headerRow,1,COLUMN()))),ovrHeaderRow25,0))</f>
        <v>45.4</v>
      </c>
      <c r="CA86" s="12">
        <f>INDEX(ovrTable25,MATCH(INDEX(oppCol,ROW()),ovrTeamCol25,0),MATCH(MID(INDEX('Structured 2025'!headerRow,1,COLUMN()),4,LEN(INDEX('Structured 2025'!headerRow,1,COLUMN()))),ovrHeaderRow25,0))</f>
        <v>16.5</v>
      </c>
      <c r="CB86" s="12">
        <f>INDEX(ovrTable25,MATCH(INDEX(oppCol,ROW()),ovrTeamCol25,0),MATCH(MID(INDEX('Structured 2025'!headerRow,1,COLUMN()),4,LEN(INDEX('Structured 2025'!headerRow,1,COLUMN()))),ovrHeaderRow25,0))</f>
        <v>82.6</v>
      </c>
      <c r="CC86" s="12">
        <f>INDEX(ovrTable25,MATCH(INDEX(oppCol,ROW()),ovrTeamCol25,0),MATCH(MID(INDEX('Structured 2025'!headerRow,1,COLUMN()),4,LEN(INDEX('Structured 2025'!headerRow,1,COLUMN()))),ovrHeaderRow25,0))</f>
        <v>20.2</v>
      </c>
      <c r="CD86" s="12">
        <f>INDEX(ovrTable25,MATCH(INDEX(oppCol,ROW()),ovrTeamCol25,0),MATCH(MID(INDEX('Structured 2025'!headerRow,1,COLUMN()),4,LEN(INDEX('Structured 2025'!headerRow,1,COLUMN()))),ovrHeaderRow25,0))</f>
        <v>16.600000000000001</v>
      </c>
      <c r="CE86" s="12">
        <f>INDEX(ovrTable25,MATCH(INDEX(oppCol,ROW()),ovrTeamCol25,0),MATCH(MID(INDEX('Structured 2025'!headerRow,1,COLUMN()),4,LEN(INDEX('Structured 2025'!headerRow,1,COLUMN()))),ovrHeaderRow25,0))</f>
        <v>70.900000000000006</v>
      </c>
      <c r="CF86" s="12">
        <f>INDEX(ovrTable25,MATCH(INDEX(oppCol,ROW()),ovrTeamCol25,0),MATCH(MID(INDEX('Structured 2025'!headerRow,1,COLUMN()),4,LEN(INDEX('Structured 2025'!headerRow,1,COLUMN()))),ovrHeaderRow25,0))</f>
        <v>9.3800000000000008</v>
      </c>
      <c r="CG86" s="12">
        <f>INDEX(ovrTable25,MATCH(INDEX(oppCol,ROW()),ovrTeamCol25,0),MATCH(MID(INDEX('Structured 2025'!headerRow,1,COLUMN()),4,LEN(INDEX('Structured 2025'!headerRow,1,COLUMN()))),ovrHeaderRow25,0))</f>
        <v>80.099999999999994</v>
      </c>
      <c r="CH86" s="12">
        <f>INDEX(ovrTable25,MATCH(INDEX(oppCol,ROW()),ovrTeamCol25,0),MATCH(MID(INDEX('Structured 2025'!headerRow,1,COLUMN()),4,LEN(INDEX('Structured 2025'!headerRow,1,COLUMN()))),ovrHeaderRow25,0))</f>
        <v>2.5</v>
      </c>
      <c r="CI86" s="12">
        <f>INDEX(ovrTable25,MATCH(INDEX(oppCol,ROW()),ovrTeamCol25,0),MATCH(MID(INDEX('Structured 2025'!headerRow,1,COLUMN()),4,LEN(INDEX('Structured 2025'!headerRow,1,COLUMN()))),ovrHeaderRow25,0))</f>
        <v>36.49</v>
      </c>
      <c r="CJ86" s="12">
        <f>INDEX(ovrTable25,MATCH(INDEX(oppCol,ROW()),ovrTeamCol25,0),MATCH(MID(INDEX('Structured 2025'!headerRow,1,COLUMN()),4,LEN(INDEX('Structured 2025'!headerRow,1,COLUMN()))),ovrHeaderRow25,0))</f>
        <v>9.1999999999999993</v>
      </c>
      <c r="CK86" s="12">
        <f>INDEX(ovrTable25,MATCH(INDEX(oppCol,ROW()),ovrTeamCol25,0),MATCH(MID(INDEX('Structured 2025'!headerRow,1,COLUMN()),4,LEN(INDEX('Structured 2025'!headerRow,1,COLUMN()))),ovrHeaderRow25,0))</f>
        <v>5.0999999999999996</v>
      </c>
      <c r="CL86" s="12">
        <f>INDEX(ovrTable25,MATCH(INDEX(oppCol,ROW()),ovrTeamCol25,0),MATCH(MID(INDEX('Structured 2025'!headerRow,1,COLUMN()),4,LEN(INDEX('Structured 2025'!headerRow,1,COLUMN()))),ovrHeaderRow25,0))</f>
        <v>0.4</v>
      </c>
      <c r="CM86" s="12">
        <f>INDEX(ovrTable25,MATCH(INDEX(oppCol,ROW()),ovrTeamCol25,0),MATCH(MID(INDEX('Structured 2025'!headerRow,1,COLUMN()),4,LEN(INDEX('Structured 2025'!headerRow,1,COLUMN()))),ovrHeaderRow25,0))</f>
        <v>9.9700000000000006</v>
      </c>
      <c r="CN86" s="12">
        <f>INDEX(ovrTable25,MATCH(INDEX(oppCol,ROW()),ovrTeamCol25,0),MATCH(MID(INDEX('Structured 2025'!headerRow,1,COLUMN()),4,LEN(INDEX('Structured 2025'!headerRow,1,COLUMN()))),ovrHeaderRow25,0))</f>
        <v>9.6</v>
      </c>
      <c r="CO86" s="12">
        <f>INDEX(ovrTable25,MATCH(INDEX(oppCol,ROW()),ovrTeamCol25,0),MATCH(MID(INDEX('Structured 2025'!headerRow,1,COLUMN()),4,LEN(INDEX('Structured 2025'!headerRow,1,COLUMN()))),ovrHeaderRow25,0))</f>
        <v>68</v>
      </c>
      <c r="CP86" s="12">
        <f>INDEX(ovrTable25,MATCH(INDEX(oppCol,ROW()),ovrTeamCol25,0),MATCH(MID(INDEX('Structured 2025'!headerRow,1,COLUMN()),4,LEN(INDEX('Structured 2025'!headerRow,1,COLUMN()))),ovrHeaderRow25,0))</f>
        <v>16.899999999999995</v>
      </c>
      <c r="CQ86" s="12">
        <f>INDEX(ovrTable25,MATCH(INDEX(oppCol,ROW()),ovrTeamCol25,0),MATCH(MID(INDEX('Structured 2025'!headerRow,1,COLUMN()),4,LEN(INDEX('Structured 2025'!headerRow,1,COLUMN()))),ovrHeaderRow25,0))</f>
        <v>59.030837004405278</v>
      </c>
    </row>
    <row r="87" spans="1:95" x14ac:dyDescent="0.3">
      <c r="A87" s="6" t="s">
        <v>47</v>
      </c>
      <c r="B87" s="3">
        <v>3</v>
      </c>
      <c r="C87" s="13" t="str">
        <f>A86</f>
        <v>BYU</v>
      </c>
      <c r="D87" s="14">
        <f t="shared" si="26"/>
        <v>43</v>
      </c>
      <c r="E87" s="23">
        <v>0.46153846153846156</v>
      </c>
      <c r="F87" s="24">
        <v>42.857142857142854</v>
      </c>
      <c r="G87" s="24">
        <v>12</v>
      </c>
      <c r="H87" s="23">
        <v>34.285714285714285</v>
      </c>
      <c r="I87" s="24">
        <v>35</v>
      </c>
      <c r="J87" s="25">
        <v>2.2000000000000002</v>
      </c>
      <c r="K87" s="24">
        <v>23</v>
      </c>
      <c r="L87" s="24">
        <v>29</v>
      </c>
      <c r="M87" s="24">
        <v>11</v>
      </c>
      <c r="N87" s="24">
        <v>21</v>
      </c>
      <c r="O87" s="24">
        <v>11</v>
      </c>
      <c r="P87" s="24">
        <v>4</v>
      </c>
      <c r="Q87" s="24">
        <v>2</v>
      </c>
      <c r="R87" s="24">
        <v>5</v>
      </c>
      <c r="S87" s="24">
        <v>0</v>
      </c>
      <c r="T87" s="24">
        <v>16</v>
      </c>
      <c r="U87" s="24">
        <v>3</v>
      </c>
      <c r="V87" s="24">
        <v>0.49230769230769234</v>
      </c>
      <c r="W87" s="26">
        <v>0.52380952380952384</v>
      </c>
      <c r="X87" s="23">
        <v>79.310344827586206</v>
      </c>
      <c r="Y87" s="24">
        <v>91</v>
      </c>
      <c r="Z87" s="24">
        <v>89</v>
      </c>
      <c r="AA87" s="24">
        <v>-9</v>
      </c>
      <c r="AB87" s="24">
        <v>32</v>
      </c>
      <c r="AC87" s="24">
        <v>-2</v>
      </c>
      <c r="AD87" s="24">
        <v>6</v>
      </c>
      <c r="AE87" s="24">
        <v>11</v>
      </c>
      <c r="AF87" s="34">
        <f t="shared" si="69"/>
        <v>15</v>
      </c>
      <c r="AG87" s="34">
        <f t="shared" si="70"/>
        <v>28</v>
      </c>
      <c r="AH87" s="46">
        <f t="shared" si="71"/>
        <v>70.775000000000006</v>
      </c>
      <c r="AI87" s="51">
        <f t="shared" ref="AI87" si="93">AVERAGE(AH86,AH87)</f>
        <v>70.6875</v>
      </c>
      <c r="AJ87" s="12">
        <f>INDEX(ovrTable25,MATCH(INDEX('Structured 2025'!teamCol,ROW()),ovrTeamCol25,0),MATCH(MID(INDEX('Structured 2025'!headerRow,1,COLUMN()),4,LEN(INDEX('Structured 2025'!headerRow,1,COLUMN()))),ovrHeaderRow25,0))</f>
        <v>33.299999999999997</v>
      </c>
      <c r="AK87" s="12">
        <f>INDEX(ovrTable25,MATCH(INDEX('Structured 2025'!teamCol,ROW()),ovrTeamCol25,0),MATCH(MID(INDEX('Structured 2025'!headerRow,1,COLUMN()),4,LEN(INDEX('Structured 2025'!headerRow,1,COLUMN()))),ovrHeaderRow25,0))</f>
        <v>9.9</v>
      </c>
      <c r="AL87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87" s="12">
        <f>INDEX(ovrTable25,MATCH(INDEX('Structured 2025'!teamCol,ROW()),ovrTeamCol25,0),MATCH(MID(INDEX('Structured 2025'!headerRow,1,COLUMN()),4,LEN(INDEX('Structured 2025'!headerRow,1,COLUMN()))),ovrHeaderRow25,0))</f>
        <v>28.4</v>
      </c>
      <c r="AN87" s="12">
        <f>INDEX(ovrTable25,MATCH(INDEX('Structured 2025'!teamCol,ROW()),ovrTeamCol25,0),MATCH(MID(INDEX('Structured 2025'!headerRow,1,COLUMN()),4,LEN(INDEX('Structured 2025'!headerRow,1,COLUMN()))),ovrHeaderRow25,0))</f>
        <v>1.51</v>
      </c>
      <c r="AO87" s="12">
        <f>INDEX(ovrTable25,MATCH(INDEX('Structured 2025'!teamCol,ROW()),ovrTeamCol25,0),MATCH(MID(INDEX('Structured 2025'!headerRow,1,COLUMN()),4,LEN(INDEX('Structured 2025'!headerRow,1,COLUMN()))),ovrHeaderRow25,0))</f>
        <v>14.5</v>
      </c>
      <c r="AP87" s="12">
        <f>INDEX(ovrTable25,MATCH(INDEX('Structured 2025'!teamCol,ROW()),ovrTeamCol25,0),MATCH(MID(INDEX('Structured 2025'!headerRow,1,COLUMN()),4,LEN(INDEX('Structured 2025'!headerRow,1,COLUMN()))),ovrHeaderRow25,0))</f>
        <v>16.54</v>
      </c>
      <c r="AQ87" s="12">
        <f>INDEX(ovrTable25,MATCH(INDEX('Structured 2025'!teamCol,ROW()),ovrTeamCol25,0),MATCH(MID(INDEX('Structured 2025'!headerRow,1,COLUMN()),4,LEN(INDEX('Structured 2025'!headerRow,1,COLUMN()))),ovrHeaderRow25,0))</f>
        <v>2.4</v>
      </c>
      <c r="AR87" s="12">
        <f>INDEX(ovrTable25,MATCH(INDEX('Structured 2025'!teamCol,ROW()),ovrTeamCol25,0),MATCH(MID(INDEX('Structured 2025'!headerRow,1,COLUMN()),4,LEN(INDEX('Structured 2025'!headerRow,1,COLUMN()))),ovrHeaderRow25,0))</f>
        <v>41.6</v>
      </c>
      <c r="AS87" s="12">
        <f>INDEX(ovrTable25,MATCH(INDEX('Structured 2025'!teamCol,ROW()),ovrTeamCol25,0),MATCH(MID(INDEX('Structured 2025'!headerRow,1,COLUMN()),4,LEN(INDEX('Structured 2025'!headerRow,1,COLUMN()))),ovrHeaderRow25,0))</f>
        <v>27.11</v>
      </c>
      <c r="AT87" s="12">
        <f>INDEX(ovrTable25,MATCH(INDEX('Structured 2025'!teamCol,ROW()),ovrTeamCol25,0),MATCH(MID(INDEX('Structured 2025'!headerRow,1,COLUMN()),4,LEN(INDEX('Structured 2025'!headerRow,1,COLUMN()))),ovrHeaderRow25,0))</f>
        <v>0.53800000000000003</v>
      </c>
      <c r="AU87" s="12">
        <f>INDEX(ovrTable25,MATCH(INDEX('Structured 2025'!teamCol,ROW()),ovrTeamCol25,0),MATCH(MID(INDEX('Structured 2025'!headerRow,1,COLUMN()),4,LEN(INDEX('Structured 2025'!headerRow,1,COLUMN()))),ovrHeaderRow25,0))</f>
        <v>7.14</v>
      </c>
      <c r="AV87" s="12">
        <f>INDEX(ovrTable25,MATCH(INDEX('Structured 2025'!teamCol,ROW()),ovrTeamCol25,0),MATCH(MID(INDEX('Structured 2025'!headerRow,1,COLUMN()),4,LEN(INDEX('Structured 2025'!headerRow,1,COLUMN()))),ovrHeaderRow25,0))</f>
        <v>45.4</v>
      </c>
      <c r="AW87" s="12">
        <f>INDEX(ovrTable25,MATCH(INDEX('Structured 2025'!teamCol,ROW()),ovrTeamCol25,0),MATCH(MID(INDEX('Structured 2025'!headerRow,1,COLUMN()),4,LEN(INDEX('Structured 2025'!headerRow,1,COLUMN()))),ovrHeaderRow25,0))</f>
        <v>16.5</v>
      </c>
      <c r="AX87" s="12">
        <f>INDEX(ovrTable25,MATCH(INDEX('Structured 2025'!teamCol,ROW()),ovrTeamCol25,0),MATCH(MID(INDEX('Structured 2025'!headerRow,1,COLUMN()),4,LEN(INDEX('Structured 2025'!headerRow,1,COLUMN()))),ovrHeaderRow25,0))</f>
        <v>82.6</v>
      </c>
      <c r="AY87" s="12">
        <f>INDEX(ovrTable25,MATCH(INDEX('Structured 2025'!teamCol,ROW()),ovrTeamCol25,0),MATCH(MID(INDEX('Structured 2025'!headerRow,1,COLUMN()),4,LEN(INDEX('Structured 2025'!headerRow,1,COLUMN()))),ovrHeaderRow25,0))</f>
        <v>20.2</v>
      </c>
      <c r="AZ87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BA87" s="12">
        <f>INDEX(ovrTable25,MATCH(INDEX('Structured 2025'!teamCol,ROW()),ovrTeamCol25,0),MATCH(MID(INDEX('Structured 2025'!headerRow,1,COLUMN()),4,LEN(INDEX('Structured 2025'!headerRow,1,COLUMN()))),ovrHeaderRow25,0))</f>
        <v>70.900000000000006</v>
      </c>
      <c r="BB87" s="12">
        <f>INDEX(ovrTable25,MATCH(INDEX('Structured 2025'!teamCol,ROW()),ovrTeamCol25,0),MATCH(MID(INDEX('Structured 2025'!headerRow,1,COLUMN()),4,LEN(INDEX('Structured 2025'!headerRow,1,COLUMN()))),ovrHeaderRow25,0))</f>
        <v>9.3800000000000008</v>
      </c>
      <c r="BC87" s="12">
        <f>INDEX(ovrTable25,MATCH(INDEX('Structured 2025'!teamCol,ROW()),ovrTeamCol25,0),MATCH(MID(INDEX('Structured 2025'!headerRow,1,COLUMN()),4,LEN(INDEX('Structured 2025'!headerRow,1,COLUMN()))),ovrHeaderRow25,0))</f>
        <v>80.099999999999994</v>
      </c>
      <c r="BD87" s="12">
        <f>INDEX(ovrTable25,MATCH(INDEX('Structured 2025'!teamCol,ROW()),ovrTeamCol25,0),MATCH(MID(INDEX('Structured 2025'!headerRow,1,COLUMN()),4,LEN(INDEX('Structured 2025'!headerRow,1,COLUMN()))),ovrHeaderRow25,0))</f>
        <v>2.5</v>
      </c>
      <c r="BE87" s="12">
        <f>INDEX(ovrTable25,MATCH(INDEX('Structured 2025'!teamCol,ROW()),ovrTeamCol25,0),MATCH(MID(INDEX('Structured 2025'!headerRow,1,COLUMN()),4,LEN(INDEX('Structured 2025'!headerRow,1,COLUMN()))),ovrHeaderRow25,0))</f>
        <v>36.49</v>
      </c>
      <c r="BF87" s="12">
        <f>INDEX(ovrTable25,MATCH(INDEX('Structured 2025'!teamCol,ROW()),ovrTeamCol25,0),MATCH(MID(INDEX('Structured 2025'!headerRow,1,COLUMN()),4,LEN(INDEX('Structured 2025'!headerRow,1,COLUMN()))),ovrHeaderRow25,0))</f>
        <v>9.1999999999999993</v>
      </c>
      <c r="BG87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BH87" s="12">
        <f>INDEX(ovrTable25,MATCH(INDEX('Structured 2025'!teamCol,ROW()),ovrTeamCol25,0),MATCH(MID(INDEX('Structured 2025'!headerRow,1,COLUMN()),4,LEN(INDEX('Structured 2025'!headerRow,1,COLUMN()))),ovrHeaderRow25,0))</f>
        <v>0.4</v>
      </c>
      <c r="BI87" s="12">
        <f>INDEX(ovrTable25,MATCH(INDEX('Structured 2025'!teamCol,ROW()),ovrTeamCol25,0),MATCH(MID(INDEX('Structured 2025'!headerRow,1,COLUMN()),4,LEN(INDEX('Structured 2025'!headerRow,1,COLUMN()))),ovrHeaderRow25,0))</f>
        <v>9.9700000000000006</v>
      </c>
      <c r="BJ87" s="12">
        <f>INDEX(ovrTable25,MATCH(INDEX('Structured 2025'!teamCol,ROW()),ovrTeamCol25,0),MATCH(MID(INDEX('Structured 2025'!headerRow,1,COLUMN()),4,LEN(INDEX('Structured 2025'!headerRow,1,COLUMN()))),ovrHeaderRow25,0))</f>
        <v>9.6</v>
      </c>
      <c r="BK87" s="12">
        <f>INDEX(ovrTable25,MATCH(INDEX('Structured 2025'!teamCol,ROW()),ovrTeamCol25,0),MATCH(MID(INDEX('Structured 2025'!headerRow,1,COLUMN()),4,LEN(INDEX('Structured 2025'!headerRow,1,COLUMN()))),ovrHeaderRow25,0))</f>
        <v>68</v>
      </c>
      <c r="BL87" s="12">
        <f>INDEX(ovrTable25,MATCH(INDEX('Structured 2025'!teamCol,ROW()),ovrTeamCol25,0),MATCH(MID(INDEX('Structured 2025'!headerRow,1,COLUMN()),4,LEN(INDEX('Structured 2025'!headerRow,1,COLUMN()))),ovrHeaderRow25,0))</f>
        <v>16.899999999999995</v>
      </c>
      <c r="BM87" s="12">
        <f>INDEX(ovrTable25,MATCH(INDEX('Structured 2025'!teamCol,ROW()),ovrTeamCol25,0),MATCH(MID(INDEX('Structured 2025'!headerRow,1,COLUMN()),4,LEN(INDEX('Structured 2025'!headerRow,1,COLUMN()))),ovrHeaderRow25,0))</f>
        <v>59.030837004405278</v>
      </c>
      <c r="BN87" s="12">
        <f>INDEX(ovrTable25,MATCH(INDEX(oppCol,ROW()),ovrTeamCol25,0),MATCH(MID(INDEX('Structured 2025'!headerRow,1,COLUMN()),4,LEN(INDEX('Structured 2025'!headerRow,1,COLUMN()))),ovrHeaderRow25,0))</f>
        <v>35.700000000000003</v>
      </c>
      <c r="BO87" s="12">
        <f>INDEX(ovrTable25,MATCH(INDEX(oppCol,ROW()),ovrTeamCol25,0),MATCH(MID(INDEX('Structured 2025'!headerRow,1,COLUMN()),4,LEN(INDEX('Structured 2025'!headerRow,1,COLUMN()))),ovrHeaderRow25,0))</f>
        <v>10.5</v>
      </c>
      <c r="BP87" s="12">
        <f>INDEX(ovrTable25,MATCH(INDEX(oppCol,ROW()),ovrTeamCol25,0),MATCH(MID(INDEX('Structured 2025'!headerRow,1,COLUMN()),4,LEN(INDEX('Structured 2025'!headerRow,1,COLUMN()))),ovrHeaderRow25,0))</f>
        <v>36.799999999999997</v>
      </c>
      <c r="BQ87" s="12">
        <f>INDEX(ovrTable25,MATCH(INDEX(oppCol,ROW()),ovrTeamCol25,0),MATCH(MID(INDEX('Structured 2025'!headerRow,1,COLUMN()),4,LEN(INDEX('Structured 2025'!headerRow,1,COLUMN()))),ovrHeaderRow25,0))</f>
        <v>28.6</v>
      </c>
      <c r="BR87" s="12">
        <f>INDEX(ovrTable25,MATCH(INDEX(oppCol,ROW()),ovrTeamCol25,0),MATCH(MID(INDEX('Structured 2025'!headerRow,1,COLUMN()),4,LEN(INDEX('Structured 2025'!headerRow,1,COLUMN()))),ovrHeaderRow25,0))</f>
        <v>1.43</v>
      </c>
      <c r="BS87" s="12">
        <f>INDEX(ovrTable25,MATCH(INDEX(oppCol,ROW()),ovrTeamCol25,0),MATCH(MID(INDEX('Structured 2025'!headerRow,1,COLUMN()),4,LEN(INDEX('Structured 2025'!headerRow,1,COLUMN()))),ovrHeaderRow25,0))</f>
        <v>17.3</v>
      </c>
      <c r="BT87" s="12">
        <f>INDEX(ovrTable25,MATCH(INDEX(oppCol,ROW()),ovrTeamCol25,0),MATCH(MID(INDEX('Structured 2025'!headerRow,1,COLUMN()),4,LEN(INDEX('Structured 2025'!headerRow,1,COLUMN()))),ovrHeaderRow25,0))</f>
        <v>30.11</v>
      </c>
      <c r="BU87" s="12">
        <f>INDEX(ovrTable25,MATCH(INDEX(oppCol,ROW()),ovrTeamCol25,0),MATCH(MID(INDEX('Structured 2025'!headerRow,1,COLUMN()),4,LEN(INDEX('Structured 2025'!headerRow,1,COLUMN()))),ovrHeaderRow25,0))</f>
        <v>3.1</v>
      </c>
      <c r="BV87" s="12">
        <f>INDEX(ovrTable25,MATCH(INDEX(oppCol,ROW()),ovrTeamCol25,0),MATCH(MID(INDEX('Structured 2025'!headerRow,1,COLUMN()),4,LEN(INDEX('Structured 2025'!headerRow,1,COLUMN()))),ovrHeaderRow25,0))</f>
        <v>43.1</v>
      </c>
      <c r="BW87" s="12">
        <f>INDEX(ovrTable25,MATCH(INDEX(oppCol,ROW()),ovrTeamCol25,0),MATCH(MID(INDEX('Structured 2025'!headerRow,1,COLUMN()),4,LEN(INDEX('Structured 2025'!headerRow,1,COLUMN()))),ovrHeaderRow25,0))</f>
        <v>26.33</v>
      </c>
      <c r="BX87" s="12">
        <f>INDEX(ovrTable25,MATCH(INDEX(oppCol,ROW()),ovrTeamCol25,0),MATCH(MID(INDEX('Structured 2025'!headerRow,1,COLUMN()),4,LEN(INDEX('Structured 2025'!headerRow,1,COLUMN()))),ovrHeaderRow25,0))</f>
        <v>0.56999999999999995</v>
      </c>
      <c r="BY87" s="12">
        <f>INDEX(ovrTable25,MATCH(INDEX(oppCol,ROW()),ovrTeamCol25,0),MATCH(MID(INDEX('Structured 2025'!headerRow,1,COLUMN()),4,LEN(INDEX('Structured 2025'!headerRow,1,COLUMN()))),ovrHeaderRow25,0))</f>
        <v>10</v>
      </c>
      <c r="BZ87" s="12">
        <f>INDEX(ovrTable25,MATCH(INDEX(oppCol,ROW()),ovrTeamCol25,0),MATCH(MID(INDEX('Structured 2025'!headerRow,1,COLUMN()),4,LEN(INDEX('Structured 2025'!headerRow,1,COLUMN()))),ovrHeaderRow25,0))</f>
        <v>48.2</v>
      </c>
      <c r="CA87" s="12">
        <f>INDEX(ovrTable25,MATCH(INDEX(oppCol,ROW()),ovrTeamCol25,0),MATCH(MID(INDEX('Structured 2025'!headerRow,1,COLUMN()),4,LEN(INDEX('Structured 2025'!headerRow,1,COLUMN()))),ovrHeaderRow25,0))</f>
        <v>16.3</v>
      </c>
      <c r="CB87" s="12">
        <f>INDEX(ovrTable25,MATCH(INDEX(oppCol,ROW()),ovrTeamCol25,0),MATCH(MID(INDEX('Structured 2025'!headerRow,1,COLUMN()),4,LEN(INDEX('Structured 2025'!headerRow,1,COLUMN()))),ovrHeaderRow25,0))</f>
        <v>71.3</v>
      </c>
      <c r="CC87" s="12">
        <f>INDEX(ovrTable25,MATCH(INDEX(oppCol,ROW()),ovrTeamCol25,0),MATCH(MID(INDEX('Structured 2025'!headerRow,1,COLUMN()),4,LEN(INDEX('Structured 2025'!headerRow,1,COLUMN()))),ovrHeaderRow25,0))</f>
        <v>18.3</v>
      </c>
      <c r="CD87" s="12">
        <f>INDEX(ovrTable25,MATCH(INDEX(oppCol,ROW()),ovrTeamCol25,0),MATCH(MID(INDEX('Structured 2025'!headerRow,1,COLUMN()),4,LEN(INDEX('Structured 2025'!headerRow,1,COLUMN()))),ovrHeaderRow25,0))</f>
        <v>13</v>
      </c>
      <c r="CE87" s="12">
        <f>INDEX(ovrTable25,MATCH(INDEX(oppCol,ROW()),ovrTeamCol25,0),MATCH(MID(INDEX('Structured 2025'!headerRow,1,COLUMN()),4,LEN(INDEX('Structured 2025'!headerRow,1,COLUMN()))),ovrHeaderRow25,0))</f>
        <v>72.599999999999994</v>
      </c>
      <c r="CF87" s="12">
        <f>INDEX(ovrTable25,MATCH(INDEX(oppCol,ROW()),ovrTeamCol25,0),MATCH(MID(INDEX('Structured 2025'!headerRow,1,COLUMN()),4,LEN(INDEX('Structured 2025'!headerRow,1,COLUMN()))),ovrHeaderRow25,0))</f>
        <v>11.28</v>
      </c>
      <c r="CG87" s="12">
        <f>INDEX(ovrTable25,MATCH(INDEX(oppCol,ROW()),ovrTeamCol25,0),MATCH(MID(INDEX('Structured 2025'!headerRow,1,COLUMN()),4,LEN(INDEX('Structured 2025'!headerRow,1,COLUMN()))),ovrHeaderRow25,0))</f>
        <v>81.400000000000006</v>
      </c>
      <c r="CH87" s="12">
        <f>INDEX(ovrTable25,MATCH(INDEX(oppCol,ROW()),ovrTeamCol25,0),MATCH(MID(INDEX('Structured 2025'!headerRow,1,COLUMN()),4,LEN(INDEX('Structured 2025'!headerRow,1,COLUMN()))),ovrHeaderRow25,0))</f>
        <v>5.9</v>
      </c>
      <c r="CI87" s="12">
        <f>INDEX(ovrTable25,MATCH(INDEX(oppCol,ROW()),ovrTeamCol25,0),MATCH(MID(INDEX('Structured 2025'!headerRow,1,COLUMN()),4,LEN(INDEX('Structured 2025'!headerRow,1,COLUMN()))),ovrHeaderRow25,0))</f>
        <v>37.61</v>
      </c>
      <c r="CJ87" s="12">
        <f>INDEX(ovrTable25,MATCH(INDEX(oppCol,ROW()),ovrTeamCol25,0),MATCH(MID(INDEX('Structured 2025'!headerRow,1,COLUMN()),4,LEN(INDEX('Structured 2025'!headerRow,1,COLUMN()))),ovrHeaderRow25,0))</f>
        <v>8.9</v>
      </c>
      <c r="CK87" s="12">
        <f>INDEX(ovrTable25,MATCH(INDEX(oppCol,ROW()),ovrTeamCol25,0),MATCH(MID(INDEX('Structured 2025'!headerRow,1,COLUMN()),4,LEN(INDEX('Structured 2025'!headerRow,1,COLUMN()))),ovrHeaderRow25,0))</f>
        <v>7.1</v>
      </c>
      <c r="CL87" s="12">
        <f>INDEX(ovrTable25,MATCH(INDEX(oppCol,ROW()),ovrTeamCol25,0),MATCH(MID(INDEX('Structured 2025'!headerRow,1,COLUMN()),4,LEN(INDEX('Structured 2025'!headerRow,1,COLUMN()))),ovrHeaderRow25,0))</f>
        <v>-0.4</v>
      </c>
      <c r="CM87" s="12">
        <f>INDEX(ovrTable25,MATCH(INDEX(oppCol,ROW()),ovrTeamCol25,0),MATCH(MID(INDEX('Structured 2025'!headerRow,1,COLUMN()),4,LEN(INDEX('Structured 2025'!headerRow,1,COLUMN()))),ovrHeaderRow25,0))</f>
        <v>11.69</v>
      </c>
      <c r="CN87" s="12">
        <f>INDEX(ovrTable25,MATCH(INDEX(oppCol,ROW()),ovrTeamCol25,0),MATCH(MID(INDEX('Structured 2025'!headerRow,1,COLUMN()),4,LEN(INDEX('Structured 2025'!headerRow,1,COLUMN()))),ovrHeaderRow25,0))</f>
        <v>12.1</v>
      </c>
      <c r="CO87" s="12">
        <f>INDEX(ovrTable25,MATCH(INDEX(oppCol,ROW()),ovrTeamCol25,0),MATCH(MID(INDEX('Structured 2025'!headerRow,1,COLUMN()),4,LEN(INDEX('Structured 2025'!headerRow,1,COLUMN()))),ovrHeaderRow25,0))</f>
        <v>67.599999999999994</v>
      </c>
      <c r="CP87" s="12">
        <f>INDEX(ovrTable25,MATCH(INDEX(oppCol,ROW()),ovrTeamCol25,0),MATCH(MID(INDEX('Structured 2025'!headerRow,1,COLUMN()),4,LEN(INDEX('Structured 2025'!headerRow,1,COLUMN()))),ovrHeaderRow25,0))</f>
        <v>18.450000000000003</v>
      </c>
      <c r="CQ87" s="12">
        <f>INDEX(ovrTable25,MATCH(INDEX(oppCol,ROW()),ovrTeamCol25,0),MATCH(MID(INDEX('Structured 2025'!headerRow,1,COLUMN()),4,LEN(INDEX('Structured 2025'!headerRow,1,COLUMN()))),ovrHeaderRow25,0))</f>
        <v>60.062240663900418</v>
      </c>
    </row>
    <row r="88" spans="1:95" x14ac:dyDescent="0.3">
      <c r="A88" s="6" t="s">
        <v>22</v>
      </c>
      <c r="B88" s="3">
        <v>7</v>
      </c>
      <c r="C88" s="13" t="str">
        <f>A89</f>
        <v>ALA</v>
      </c>
      <c r="D88" s="14">
        <f t="shared" si="26"/>
        <v>44</v>
      </c>
      <c r="E88" s="23">
        <v>0.41176470588235292</v>
      </c>
      <c r="F88" s="24">
        <v>34.285714285714285</v>
      </c>
      <c r="G88" s="24">
        <v>3</v>
      </c>
      <c r="H88" s="23">
        <v>21.428571428571427</v>
      </c>
      <c r="I88" s="24">
        <v>14</v>
      </c>
      <c r="J88" s="25">
        <v>1.3333333333333333</v>
      </c>
      <c r="K88" s="24">
        <v>15</v>
      </c>
      <c r="L88" s="24">
        <v>21</v>
      </c>
      <c r="M88" s="24">
        <v>15</v>
      </c>
      <c r="N88" s="24">
        <v>21</v>
      </c>
      <c r="O88" s="24">
        <v>8</v>
      </c>
      <c r="P88" s="24">
        <v>7</v>
      </c>
      <c r="Q88" s="24">
        <v>4</v>
      </c>
      <c r="R88" s="24">
        <v>6</v>
      </c>
      <c r="S88" s="24">
        <v>0</v>
      </c>
      <c r="T88" s="24">
        <v>15</v>
      </c>
      <c r="U88" s="24">
        <v>19</v>
      </c>
      <c r="V88" s="24">
        <v>0.5178571428571429</v>
      </c>
      <c r="W88" s="26">
        <v>0.36428571428571427</v>
      </c>
      <c r="X88" s="23">
        <v>71.428571428571431</v>
      </c>
      <c r="Y88" s="24">
        <v>80</v>
      </c>
      <c r="Z88" s="24">
        <v>66</v>
      </c>
      <c r="AA88" s="24">
        <v>-5</v>
      </c>
      <c r="AB88" s="24">
        <v>36</v>
      </c>
      <c r="AC88" s="24">
        <v>-14</v>
      </c>
      <c r="AD88" s="24">
        <v>5</v>
      </c>
      <c r="AE88" s="24">
        <v>11</v>
      </c>
      <c r="AF88" s="34">
        <f t="shared" si="69"/>
        <v>21</v>
      </c>
      <c r="AG88" s="34">
        <f t="shared" si="70"/>
        <v>56</v>
      </c>
      <c r="AH88" s="46">
        <f t="shared" si="71"/>
        <v>70.974999999999994</v>
      </c>
      <c r="AI88" s="51">
        <f t="shared" ref="AI88" si="94">AVERAGE(AH88,AH89)</f>
        <v>69.737499999999997</v>
      </c>
      <c r="AJ88" s="12">
        <f>INDEX(ovrTable25,MATCH(INDEX('Structured 2025'!teamCol,ROW()),ovrTeamCol25,0),MATCH(MID(INDEX('Structured 2025'!headerRow,1,COLUMN()),4,LEN(INDEX('Structured 2025'!headerRow,1,COLUMN()))),ovrHeaderRow25,0))</f>
        <v>31.1</v>
      </c>
      <c r="AK88" s="12">
        <f>INDEX(ovrTable25,MATCH(INDEX('Structured 2025'!teamCol,ROW()),ovrTeamCol25,0),MATCH(MID(INDEX('Structured 2025'!headerRow,1,COLUMN()),4,LEN(INDEX('Structured 2025'!headerRow,1,COLUMN()))),ovrHeaderRow25,0))</f>
        <v>6.4</v>
      </c>
      <c r="AL88" s="12">
        <f>INDEX(ovrTable25,MATCH(INDEX('Structured 2025'!teamCol,ROW()),ovrTeamCol25,0),MATCH(MID(INDEX('Structured 2025'!headerRow,1,COLUMN()),4,LEN(INDEX('Structured 2025'!headerRow,1,COLUMN()))),ovrHeaderRow25,0))</f>
        <v>31.9</v>
      </c>
      <c r="AM88" s="12">
        <f>INDEX(ovrTable25,MATCH(INDEX('Structured 2025'!teamCol,ROW()),ovrTeamCol25,0),MATCH(MID(INDEX('Structured 2025'!headerRow,1,COLUMN()),4,LEN(INDEX('Structured 2025'!headerRow,1,COLUMN()))),ovrHeaderRow25,0))</f>
        <v>19.899999999999999</v>
      </c>
      <c r="AN88" s="12">
        <f>INDEX(ovrTable25,MATCH(INDEX('Structured 2025'!teamCol,ROW()),ovrTeamCol25,0),MATCH(MID(INDEX('Structured 2025'!headerRow,1,COLUMN()),4,LEN(INDEX('Structured 2025'!headerRow,1,COLUMN()))),ovrHeaderRow25,0))</f>
        <v>1.57</v>
      </c>
      <c r="AO88" s="12">
        <f>INDEX(ovrTable25,MATCH(INDEX('Structured 2025'!teamCol,ROW()),ovrTeamCol25,0),MATCH(MID(INDEX('Structured 2025'!headerRow,1,COLUMN()),4,LEN(INDEX('Structured 2025'!headerRow,1,COLUMN()))),ovrHeaderRow25,0))</f>
        <v>15.1</v>
      </c>
      <c r="AP88" s="12">
        <f>INDEX(ovrTable25,MATCH(INDEX('Structured 2025'!teamCol,ROW()),ovrTeamCol25,0),MATCH(MID(INDEX('Structured 2025'!headerRow,1,COLUMN()),4,LEN(INDEX('Structured 2025'!headerRow,1,COLUMN()))),ovrHeaderRow25,0))</f>
        <v>17.71</v>
      </c>
      <c r="AQ88" s="12">
        <f>INDEX(ovrTable25,MATCH(INDEX('Structured 2025'!teamCol,ROW()),ovrTeamCol25,0),MATCH(MID(INDEX('Structured 2025'!headerRow,1,COLUMN()),4,LEN(INDEX('Structured 2025'!headerRow,1,COLUMN()))),ovrHeaderRow25,0))</f>
        <v>4</v>
      </c>
      <c r="AR88" s="12">
        <f>INDEX(ovrTable25,MATCH(INDEX('Structured 2025'!teamCol,ROW()),ovrTeamCol25,0),MATCH(MID(INDEX('Structured 2025'!headerRow,1,COLUMN()),4,LEN(INDEX('Structured 2025'!headerRow,1,COLUMN()))),ovrHeaderRow25,0))</f>
        <v>41.1</v>
      </c>
      <c r="AS88" s="12">
        <f>INDEX(ovrTable25,MATCH(INDEX('Structured 2025'!teamCol,ROW()),ovrTeamCol25,0),MATCH(MID(INDEX('Structured 2025'!headerRow,1,COLUMN()),4,LEN(INDEX('Structured 2025'!headerRow,1,COLUMN()))),ovrHeaderRow25,0))</f>
        <v>25.74</v>
      </c>
      <c r="AT88" s="12">
        <f>INDEX(ovrTable25,MATCH(INDEX('Structured 2025'!teamCol,ROW()),ovrTeamCol25,0),MATCH(MID(INDEX('Structured 2025'!headerRow,1,COLUMN()),4,LEN(INDEX('Structured 2025'!headerRow,1,COLUMN()))),ovrHeaderRow25,0))</f>
        <v>0.504</v>
      </c>
      <c r="AU88" s="12">
        <f>INDEX(ovrTable25,MATCH(INDEX('Structured 2025'!teamCol,ROW()),ovrTeamCol25,0),MATCH(MID(INDEX('Structured 2025'!headerRow,1,COLUMN()),4,LEN(INDEX('Structured 2025'!headerRow,1,COLUMN()))),ovrHeaderRow25,0))</f>
        <v>6.09</v>
      </c>
      <c r="AV88" s="12">
        <f>INDEX(ovrTable25,MATCH(INDEX('Structured 2025'!teamCol,ROW()),ovrTeamCol25,0),MATCH(MID(INDEX('Structured 2025'!headerRow,1,COLUMN()),4,LEN(INDEX('Structured 2025'!headerRow,1,COLUMN()))),ovrHeaderRow25,0))</f>
        <v>45</v>
      </c>
      <c r="AW88" s="12">
        <f>INDEX(ovrTable25,MATCH(INDEX('Structured 2025'!teamCol,ROW()),ovrTeamCol25,0),MATCH(MID(INDEX('Structured 2025'!headerRow,1,COLUMN()),4,LEN(INDEX('Structured 2025'!headerRow,1,COLUMN()))),ovrHeaderRow25,0))</f>
        <v>14.9</v>
      </c>
      <c r="AX88" s="12">
        <f>INDEX(ovrTable25,MATCH(INDEX('Structured 2025'!teamCol,ROW()),ovrTeamCol25,0),MATCH(MID(INDEX('Structured 2025'!headerRow,1,COLUMN()),4,LEN(INDEX('Structured 2025'!headerRow,1,COLUMN()))),ovrHeaderRow25,0))</f>
        <v>69.5</v>
      </c>
      <c r="AY88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AZ88" s="12">
        <f>INDEX(ovrTable25,MATCH(INDEX('Structured 2025'!teamCol,ROW()),ovrTeamCol25,0),MATCH(MID(INDEX('Structured 2025'!headerRow,1,COLUMN()),4,LEN(INDEX('Structured 2025'!headerRow,1,COLUMN()))),ovrHeaderRow25,0))</f>
        <v>12.8</v>
      </c>
      <c r="BA88" s="12">
        <f>INDEX(ovrTable25,MATCH(INDEX('Structured 2025'!teamCol,ROW()),ovrTeamCol25,0),MATCH(MID(INDEX('Structured 2025'!headerRow,1,COLUMN()),4,LEN(INDEX('Structured 2025'!headerRow,1,COLUMN()))),ovrHeaderRow25,0))</f>
        <v>61.1</v>
      </c>
      <c r="BB88" s="12">
        <f>INDEX(ovrTable25,MATCH(INDEX('Structured 2025'!teamCol,ROW()),ovrTeamCol25,0),MATCH(MID(INDEX('Structured 2025'!headerRow,1,COLUMN()),4,LEN(INDEX('Structured 2025'!headerRow,1,COLUMN()))),ovrHeaderRow25,0))</f>
        <v>13.97</v>
      </c>
      <c r="BC88" s="12">
        <f>INDEX(ovrTable25,MATCH(INDEX('Structured 2025'!teamCol,ROW()),ovrTeamCol25,0),MATCH(MID(INDEX('Structured 2025'!headerRow,1,COLUMN()),4,LEN(INDEX('Structured 2025'!headerRow,1,COLUMN()))),ovrHeaderRow25,0))</f>
        <v>72.900000000000006</v>
      </c>
      <c r="BD88" s="12">
        <f>INDEX(ovrTable25,MATCH(INDEX('Structured 2025'!teamCol,ROW()),ovrTeamCol25,0),MATCH(MID(INDEX('Structured 2025'!headerRow,1,COLUMN()),4,LEN(INDEX('Structured 2025'!headerRow,1,COLUMN()))),ovrHeaderRow25,0))</f>
        <v>10.3</v>
      </c>
      <c r="BE88" s="12">
        <f>INDEX(ovrTable25,MATCH(INDEX('Structured 2025'!teamCol,ROW()),ovrTeamCol25,0),MATCH(MID(INDEX('Structured 2025'!headerRow,1,COLUMN()),4,LEN(INDEX('Structured 2025'!headerRow,1,COLUMN()))),ovrHeaderRow25,0))</f>
        <v>39.71</v>
      </c>
      <c r="BF88" s="12">
        <f>INDEX(ovrTable25,MATCH(INDEX('Structured 2025'!teamCol,ROW()),ovrTeamCol25,0),MATCH(MID(INDEX('Structured 2025'!headerRow,1,COLUMN()),4,LEN(INDEX('Structured 2025'!headerRow,1,COLUMN()))),ovrHeaderRow25,0))</f>
        <v>11.8</v>
      </c>
      <c r="BG88" s="12">
        <f>INDEX(ovrTable25,MATCH(INDEX('Structured 2025'!teamCol,ROW()),ovrTeamCol25,0),MATCH(MID(INDEX('Structured 2025'!headerRow,1,COLUMN()),4,LEN(INDEX('Structured 2025'!headerRow,1,COLUMN()))),ovrHeaderRow25,0))</f>
        <v>6.1</v>
      </c>
      <c r="BH88" s="12">
        <f>INDEX(ovrTable25,MATCH(INDEX('Structured 2025'!teamCol,ROW()),ovrTeamCol25,0),MATCH(MID(INDEX('Structured 2025'!headerRow,1,COLUMN()),4,LEN(INDEX('Structured 2025'!headerRow,1,COLUMN()))),ovrHeaderRow25,0))</f>
        <v>0.9</v>
      </c>
      <c r="BI88" s="12">
        <f>INDEX(ovrTable25,MATCH(INDEX('Structured 2025'!teamCol,ROW()),ovrTeamCol25,0),MATCH(MID(INDEX('Structured 2025'!headerRow,1,COLUMN()),4,LEN(INDEX('Structured 2025'!headerRow,1,COLUMN()))),ovrHeaderRow25,0))</f>
        <v>10.57</v>
      </c>
      <c r="BJ88" s="12">
        <f>INDEX(ovrTable25,MATCH(INDEX('Structured 2025'!teamCol,ROW()),ovrTeamCol25,0),MATCH(MID(INDEX('Structured 2025'!headerRow,1,COLUMN()),4,LEN(INDEX('Structured 2025'!headerRow,1,COLUMN()))),ovrHeaderRow25,0))</f>
        <v>9.6999999999999993</v>
      </c>
      <c r="BK88" s="12">
        <f>INDEX(ovrTable25,MATCH(INDEX('Structured 2025'!teamCol,ROW()),ovrTeamCol25,0),MATCH(MID(INDEX('Structured 2025'!headerRow,1,COLUMN()),4,LEN(INDEX('Structured 2025'!headerRow,1,COLUMN()))),ovrHeaderRow25,0))</f>
        <v>61.7</v>
      </c>
      <c r="BL88" s="12">
        <f>INDEX(ovrTable25,MATCH(INDEX('Structured 2025'!teamCol,ROW()),ovrTeamCol25,0),MATCH(MID(INDEX('Structured 2025'!headerRow,1,COLUMN()),4,LEN(INDEX('Structured 2025'!headerRow,1,COLUMN()))),ovrHeaderRow25,0))</f>
        <v>20.450000000000003</v>
      </c>
      <c r="BM88" s="12">
        <f>INDEX(ovrTable25,MATCH(INDEX('Structured 2025'!teamCol,ROW()),ovrTeamCol25,0),MATCH(MID(INDEX('Structured 2025'!headerRow,1,COLUMN()),4,LEN(INDEX('Structured 2025'!headerRow,1,COLUMN()))),ovrHeaderRow25,0))</f>
        <v>59.666666666666664</v>
      </c>
      <c r="BN88" s="12">
        <f>INDEX(ovrTable25,MATCH(INDEX(oppCol,ROW()),ovrTeamCol25,0),MATCH(MID(INDEX('Structured 2025'!headerRow,1,COLUMN()),4,LEN(INDEX('Structured 2025'!headerRow,1,COLUMN()))),ovrHeaderRow25,0))</f>
        <v>30.4</v>
      </c>
      <c r="BO88" s="12">
        <f>INDEX(ovrTable25,MATCH(INDEX(oppCol,ROW()),ovrTeamCol25,0),MATCH(MID(INDEX('Structured 2025'!headerRow,1,COLUMN()),4,LEN(INDEX('Structured 2025'!headerRow,1,COLUMN()))),ovrHeaderRow25,0))</f>
        <v>10.5</v>
      </c>
      <c r="BP88" s="12">
        <f>INDEX(ovrTable25,MATCH(INDEX(oppCol,ROW()),ovrTeamCol25,0),MATCH(MID(INDEX('Structured 2025'!headerRow,1,COLUMN()),4,LEN(INDEX('Structured 2025'!headerRow,1,COLUMN()))),ovrHeaderRow25,0))</f>
        <v>35.299999999999997</v>
      </c>
      <c r="BQ88" s="12">
        <f>INDEX(ovrTable25,MATCH(INDEX(oppCol,ROW()),ovrTeamCol25,0),MATCH(MID(INDEX('Structured 2025'!headerRow,1,COLUMN()),4,LEN(INDEX('Structured 2025'!headerRow,1,COLUMN()))),ovrHeaderRow25,0))</f>
        <v>29.8</v>
      </c>
      <c r="BR88" s="12">
        <f>INDEX(ovrTable25,MATCH(INDEX(oppCol,ROW()),ovrTeamCol25,0),MATCH(MID(INDEX('Structured 2025'!headerRow,1,COLUMN()),4,LEN(INDEX('Structured 2025'!headerRow,1,COLUMN()))),ovrHeaderRow25,0))</f>
        <v>1.36</v>
      </c>
      <c r="BS88" s="12">
        <f>INDEX(ovrTable25,MATCH(INDEX(oppCol,ROW()),ovrTeamCol25,0),MATCH(MID(INDEX('Structured 2025'!headerRow,1,COLUMN()),4,LEN(INDEX('Structured 2025'!headerRow,1,COLUMN()))),ovrHeaderRow25,0))</f>
        <v>17.2</v>
      </c>
      <c r="BT88" s="12">
        <f>INDEX(ovrTable25,MATCH(INDEX(oppCol,ROW()),ovrTeamCol25,0),MATCH(MID(INDEX('Structured 2025'!headerRow,1,COLUMN()),4,LEN(INDEX('Structured 2025'!headerRow,1,COLUMN()))),ovrHeaderRow25,0))</f>
        <v>33.840000000000003</v>
      </c>
      <c r="BU88" s="12">
        <f>INDEX(ovrTable25,MATCH(INDEX(oppCol,ROW()),ovrTeamCol25,0),MATCH(MID(INDEX('Structured 2025'!headerRow,1,COLUMN()),4,LEN(INDEX('Structured 2025'!headerRow,1,COLUMN()))),ovrHeaderRow25,0))</f>
        <v>4.5</v>
      </c>
      <c r="BV88" s="12">
        <f>INDEX(ovrTable25,MATCH(INDEX(oppCol,ROW()),ovrTeamCol25,0),MATCH(MID(INDEX('Structured 2025'!headerRow,1,COLUMN()),4,LEN(INDEX('Structured 2025'!headerRow,1,COLUMN()))),ovrHeaderRow25,0))</f>
        <v>42.6</v>
      </c>
      <c r="BW88" s="12">
        <f>INDEX(ovrTable25,MATCH(INDEX(oppCol,ROW()),ovrTeamCol25,0),MATCH(MID(INDEX('Structured 2025'!headerRow,1,COLUMN()),4,LEN(INDEX('Structured 2025'!headerRow,1,COLUMN()))),ovrHeaderRow25,0))</f>
        <v>29.95</v>
      </c>
      <c r="BX88" s="12">
        <f>INDEX(ovrTable25,MATCH(INDEX(oppCol,ROW()),ovrTeamCol25,0),MATCH(MID(INDEX('Structured 2025'!headerRow,1,COLUMN()),4,LEN(INDEX('Structured 2025'!headerRow,1,COLUMN()))),ovrHeaderRow25,0))</f>
        <v>0.56599999999999995</v>
      </c>
      <c r="BY88" s="12">
        <f>INDEX(ovrTable25,MATCH(INDEX(oppCol,ROW()),ovrTeamCol25,0),MATCH(MID(INDEX('Structured 2025'!headerRow,1,COLUMN()),4,LEN(INDEX('Structured 2025'!headerRow,1,COLUMN()))),ovrHeaderRow25,0))</f>
        <v>13.51</v>
      </c>
      <c r="BZ88" s="12">
        <f>INDEX(ovrTable25,MATCH(INDEX(oppCol,ROW()),ovrTeamCol25,0),MATCH(MID(INDEX('Structured 2025'!headerRow,1,COLUMN()),4,LEN(INDEX('Structured 2025'!headerRow,1,COLUMN()))),ovrHeaderRow25,0))</f>
        <v>48.4</v>
      </c>
      <c r="CA88" s="12">
        <f>INDEX(ovrTable25,MATCH(INDEX(oppCol,ROW()),ovrTeamCol25,0),MATCH(MID(INDEX('Structured 2025'!headerRow,1,COLUMN()),4,LEN(INDEX('Structured 2025'!headerRow,1,COLUMN()))),ovrHeaderRow25,0))</f>
        <v>18.899999999999999</v>
      </c>
      <c r="CB88" s="12">
        <f>INDEX(ovrTable25,MATCH(INDEX(oppCol,ROW()),ovrTeamCol25,0),MATCH(MID(INDEX('Structured 2025'!headerRow,1,COLUMN()),4,LEN(INDEX('Structured 2025'!headerRow,1,COLUMN()))),ovrHeaderRow25,0))</f>
        <v>72</v>
      </c>
      <c r="CC88" s="12">
        <f>INDEX(ovrTable25,MATCH(INDEX(oppCol,ROW()),ovrTeamCol25,0),MATCH(MID(INDEX('Structured 2025'!headerRow,1,COLUMN()),4,LEN(INDEX('Structured 2025'!headerRow,1,COLUMN()))),ovrHeaderRow25,0))</f>
        <v>25.2</v>
      </c>
      <c r="CD88" s="12">
        <f>INDEX(ovrTable25,MATCH(INDEX(oppCol,ROW()),ovrTeamCol25,0),MATCH(MID(INDEX('Structured 2025'!headerRow,1,COLUMN()),4,LEN(INDEX('Structured 2025'!headerRow,1,COLUMN()))),ovrHeaderRow25,0))</f>
        <v>18.100000000000001</v>
      </c>
      <c r="CE88" s="12">
        <f>INDEX(ovrTable25,MATCH(INDEX(oppCol,ROW()),ovrTeamCol25,0),MATCH(MID(INDEX('Structured 2025'!headerRow,1,COLUMN()),4,LEN(INDEX('Structured 2025'!headerRow,1,COLUMN()))),ovrHeaderRow25,0))</f>
        <v>81.3</v>
      </c>
      <c r="CF88" s="12">
        <f>INDEX(ovrTable25,MATCH(INDEX(oppCol,ROW()),ovrTeamCol25,0),MATCH(MID(INDEX('Structured 2025'!headerRow,1,COLUMN()),4,LEN(INDEX('Structured 2025'!headerRow,1,COLUMN()))),ovrHeaderRow25,0))</f>
        <v>12.41</v>
      </c>
      <c r="CG88" s="12">
        <f>INDEX(ovrTable25,MATCH(INDEX(oppCol,ROW()),ovrTeamCol25,0),MATCH(MID(INDEX('Structured 2025'!headerRow,1,COLUMN()),4,LEN(INDEX('Structured 2025'!headerRow,1,COLUMN()))),ovrHeaderRow25,0))</f>
        <v>90.7</v>
      </c>
      <c r="CH88" s="12">
        <f>INDEX(ovrTable25,MATCH(INDEX(oppCol,ROW()),ovrTeamCol25,0),MATCH(MID(INDEX('Structured 2025'!headerRow,1,COLUMN()),4,LEN(INDEX('Structured 2025'!headerRow,1,COLUMN()))),ovrHeaderRow25,0))</f>
        <v>5.5</v>
      </c>
      <c r="CI88" s="12">
        <f>INDEX(ovrTable25,MATCH(INDEX(oppCol,ROW()),ovrTeamCol25,0),MATCH(MID(INDEX('Structured 2025'!headerRow,1,COLUMN()),4,LEN(INDEX('Structured 2025'!headerRow,1,COLUMN()))),ovrHeaderRow25,0))</f>
        <v>42.35</v>
      </c>
      <c r="CJ88" s="12">
        <f>INDEX(ovrTable25,MATCH(INDEX(oppCol,ROW()),ovrTeamCol25,0),MATCH(MID(INDEX('Structured 2025'!headerRow,1,COLUMN()),4,LEN(INDEX('Structured 2025'!headerRow,1,COLUMN()))),ovrHeaderRow25,0))</f>
        <v>9.4</v>
      </c>
      <c r="CK88" s="12">
        <f>INDEX(ovrTable25,MATCH(INDEX(oppCol,ROW()),ovrTeamCol25,0),MATCH(MID(INDEX('Structured 2025'!headerRow,1,COLUMN()),4,LEN(INDEX('Structured 2025'!headerRow,1,COLUMN()))),ovrHeaderRow25,0))</f>
        <v>6.2</v>
      </c>
      <c r="CL88" s="12">
        <f>INDEX(ovrTable25,MATCH(INDEX(oppCol,ROW()),ovrTeamCol25,0),MATCH(MID(INDEX('Structured 2025'!headerRow,1,COLUMN()),4,LEN(INDEX('Structured 2025'!headerRow,1,COLUMN()))),ovrHeaderRow25,0))</f>
        <v>-2.4</v>
      </c>
      <c r="CM88" s="12">
        <f>INDEX(ovrTable25,MATCH(INDEX(oppCol,ROW()),ovrTeamCol25,0),MATCH(MID(INDEX('Structured 2025'!headerRow,1,COLUMN()),4,LEN(INDEX('Structured 2025'!headerRow,1,COLUMN()))),ovrHeaderRow25,0))</f>
        <v>10.32</v>
      </c>
      <c r="CN88" s="12">
        <f>INDEX(ovrTable25,MATCH(INDEX(oppCol,ROW()),ovrTeamCol25,0),MATCH(MID(INDEX('Structured 2025'!headerRow,1,COLUMN()),4,LEN(INDEX('Structured 2025'!headerRow,1,COLUMN()))),ovrHeaderRow25,0))</f>
        <v>12.7</v>
      </c>
      <c r="CO88" s="12">
        <f>INDEX(ovrTable25,MATCH(INDEX(oppCol,ROW()),ovrTeamCol25,0),MATCH(MID(INDEX('Structured 2025'!headerRow,1,COLUMN()),4,LEN(INDEX('Structured 2025'!headerRow,1,COLUMN()))),ovrHeaderRow25,0))</f>
        <v>75.3</v>
      </c>
      <c r="CP88" s="12">
        <f>INDEX(ovrTable25,MATCH(INDEX(oppCol,ROW()),ovrTeamCol25,0),MATCH(MID(INDEX('Structured 2025'!headerRow,1,COLUMN()),4,LEN(INDEX('Structured 2025'!headerRow,1,COLUMN()))),ovrHeaderRow25,0))</f>
        <v>20.549999999999997</v>
      </c>
      <c r="CQ88" s="12">
        <f>INDEX(ovrTable25,MATCH(INDEX(oppCol,ROW()),ovrTeamCol25,0),MATCH(MID(INDEX('Structured 2025'!headerRow,1,COLUMN()),4,LEN(INDEX('Structured 2025'!headerRow,1,COLUMN()))),ovrHeaderRow25,0))</f>
        <v>64.152892561983464</v>
      </c>
    </row>
    <row r="89" spans="1:95" x14ac:dyDescent="0.3">
      <c r="A89" s="6" t="s">
        <v>21</v>
      </c>
      <c r="B89" s="3">
        <v>2</v>
      </c>
      <c r="C89" s="13" t="str">
        <f>A88</f>
        <v>SMC</v>
      </c>
      <c r="D89" s="14">
        <f t="shared" si="26"/>
        <v>44</v>
      </c>
      <c r="E89" s="23">
        <v>0.21428571428571427</v>
      </c>
      <c r="F89" s="24">
        <v>51.785714285714292</v>
      </c>
      <c r="G89" s="24">
        <v>7</v>
      </c>
      <c r="H89" s="23">
        <v>41.17647058823529</v>
      </c>
      <c r="I89" s="24">
        <v>17</v>
      </c>
      <c r="J89" s="25">
        <v>1.3636363636363635</v>
      </c>
      <c r="K89" s="24">
        <v>15</v>
      </c>
      <c r="L89" s="24">
        <v>20</v>
      </c>
      <c r="M89" s="24">
        <v>8</v>
      </c>
      <c r="N89" s="24">
        <v>33</v>
      </c>
      <c r="O89" s="24">
        <v>15</v>
      </c>
      <c r="P89" s="24">
        <v>4</v>
      </c>
      <c r="Q89" s="24">
        <v>7</v>
      </c>
      <c r="R89" s="24">
        <v>11</v>
      </c>
      <c r="S89" s="24">
        <v>9</v>
      </c>
      <c r="T89" s="24">
        <v>16</v>
      </c>
      <c r="U89" s="24">
        <v>27</v>
      </c>
      <c r="V89" s="24">
        <v>0.34285714285714286</v>
      </c>
      <c r="W89" s="26">
        <v>0.5803571428571429</v>
      </c>
      <c r="X89" s="23">
        <v>75</v>
      </c>
      <c r="Y89" s="24">
        <v>66</v>
      </c>
      <c r="Z89" s="24">
        <v>80</v>
      </c>
      <c r="AA89" s="24">
        <v>5</v>
      </c>
      <c r="AB89" s="24">
        <v>41</v>
      </c>
      <c r="AC89" s="24">
        <v>14</v>
      </c>
      <c r="AD89" s="24">
        <v>-5</v>
      </c>
      <c r="AE89" s="24">
        <v>6</v>
      </c>
      <c r="AF89" s="34">
        <f t="shared" si="69"/>
        <v>22</v>
      </c>
      <c r="AG89" s="34">
        <f t="shared" si="70"/>
        <v>38.999999999999993</v>
      </c>
      <c r="AH89" s="46">
        <f t="shared" si="71"/>
        <v>68.5</v>
      </c>
      <c r="AI89" s="51">
        <f t="shared" ref="AI89" si="95">AVERAGE(AH88,AH89)</f>
        <v>69.737499999999997</v>
      </c>
      <c r="AJ89" s="12">
        <f>INDEX(ovrTable25,MATCH(INDEX('Structured 2025'!teamCol,ROW()),ovrTeamCol25,0),MATCH(MID(INDEX('Structured 2025'!headerRow,1,COLUMN()),4,LEN(INDEX('Structured 2025'!headerRow,1,COLUMN()))),ovrHeaderRow25,0))</f>
        <v>30.4</v>
      </c>
      <c r="AK89" s="12">
        <f>INDEX(ovrTable25,MATCH(INDEX('Structured 2025'!teamCol,ROW()),ovrTeamCol25,0),MATCH(MID(INDEX('Structured 2025'!headerRow,1,COLUMN()),4,LEN(INDEX('Structured 2025'!headerRow,1,COLUMN()))),ovrHeaderRow25,0))</f>
        <v>10.5</v>
      </c>
      <c r="AL89" s="12">
        <f>INDEX(ovrTable25,MATCH(INDEX('Structured 2025'!teamCol,ROW()),ovrTeamCol25,0),MATCH(MID(INDEX('Structured 2025'!headerRow,1,COLUMN()),4,LEN(INDEX('Structured 2025'!headerRow,1,COLUMN()))),ovrHeaderRow25,0))</f>
        <v>35.299999999999997</v>
      </c>
      <c r="AM89" s="12">
        <f>INDEX(ovrTable25,MATCH(INDEX('Structured 2025'!teamCol,ROW()),ovrTeamCol25,0),MATCH(MID(INDEX('Structured 2025'!headerRow,1,COLUMN()),4,LEN(INDEX('Structured 2025'!headerRow,1,COLUMN()))),ovrHeaderRow25,0))</f>
        <v>29.8</v>
      </c>
      <c r="AN89" s="12">
        <f>INDEX(ovrTable25,MATCH(INDEX('Structured 2025'!teamCol,ROW()),ovrTeamCol25,0),MATCH(MID(INDEX('Structured 2025'!headerRow,1,COLUMN()),4,LEN(INDEX('Structured 2025'!headerRow,1,COLUMN()))),ovrHeaderRow25,0))</f>
        <v>1.36</v>
      </c>
      <c r="AO89" s="12">
        <f>INDEX(ovrTable25,MATCH(INDEX('Structured 2025'!teamCol,ROW()),ovrTeamCol25,0),MATCH(MID(INDEX('Structured 2025'!headerRow,1,COLUMN()),4,LEN(INDEX('Structured 2025'!headerRow,1,COLUMN()))),ovrHeaderRow25,0))</f>
        <v>17.2</v>
      </c>
      <c r="AP89" s="12">
        <f>INDEX(ovrTable25,MATCH(INDEX('Structured 2025'!teamCol,ROW()),ovrTeamCol25,0),MATCH(MID(INDEX('Structured 2025'!headerRow,1,COLUMN()),4,LEN(INDEX('Structured 2025'!headerRow,1,COLUMN()))),ovrHeaderRow25,0))</f>
        <v>33.840000000000003</v>
      </c>
      <c r="AQ89" s="12">
        <f>INDEX(ovrTable25,MATCH(INDEX('Structured 2025'!teamCol,ROW()),ovrTeamCol25,0),MATCH(MID(INDEX('Structured 2025'!headerRow,1,COLUMN()),4,LEN(INDEX('Structured 2025'!headerRow,1,COLUMN()))),ovrHeaderRow25,0))</f>
        <v>4.5</v>
      </c>
      <c r="AR89" s="12">
        <f>INDEX(ovrTable25,MATCH(INDEX('Structured 2025'!teamCol,ROW()),ovrTeamCol25,0),MATCH(MID(INDEX('Structured 2025'!headerRow,1,COLUMN()),4,LEN(INDEX('Structured 2025'!headerRow,1,COLUMN()))),ovrHeaderRow25,0))</f>
        <v>42.6</v>
      </c>
      <c r="AS89" s="12">
        <f>INDEX(ovrTable25,MATCH(INDEX('Structured 2025'!teamCol,ROW()),ovrTeamCol25,0),MATCH(MID(INDEX('Structured 2025'!headerRow,1,COLUMN()),4,LEN(INDEX('Structured 2025'!headerRow,1,COLUMN()))),ovrHeaderRow25,0))</f>
        <v>29.95</v>
      </c>
      <c r="AT89" s="12">
        <f>INDEX(ovrTable25,MATCH(INDEX('Structured 2025'!teamCol,ROW()),ovrTeamCol25,0),MATCH(MID(INDEX('Structured 2025'!headerRow,1,COLUMN()),4,LEN(INDEX('Structured 2025'!headerRow,1,COLUMN()))),ovrHeaderRow25,0))</f>
        <v>0.56599999999999995</v>
      </c>
      <c r="AU89" s="12">
        <f>INDEX(ovrTable25,MATCH(INDEX('Structured 2025'!teamCol,ROW()),ovrTeamCol25,0),MATCH(MID(INDEX('Structured 2025'!headerRow,1,COLUMN()),4,LEN(INDEX('Structured 2025'!headerRow,1,COLUMN()))),ovrHeaderRow25,0))</f>
        <v>13.51</v>
      </c>
      <c r="AV89" s="12">
        <f>INDEX(ovrTable25,MATCH(INDEX('Structured 2025'!teamCol,ROW()),ovrTeamCol25,0),MATCH(MID(INDEX('Structured 2025'!headerRow,1,COLUMN()),4,LEN(INDEX('Structured 2025'!headerRow,1,COLUMN()))),ovrHeaderRow25,0))</f>
        <v>48.4</v>
      </c>
      <c r="AW89" s="12">
        <f>INDEX(ovrTable25,MATCH(INDEX('Structured 2025'!teamCol,ROW()),ovrTeamCol25,0),MATCH(MID(INDEX('Structured 2025'!headerRow,1,COLUMN()),4,LEN(INDEX('Structured 2025'!headerRow,1,COLUMN()))),ovrHeaderRow25,0))</f>
        <v>18.899999999999999</v>
      </c>
      <c r="AX89" s="12">
        <f>INDEX(ovrTable25,MATCH(INDEX('Structured 2025'!teamCol,ROW()),ovrTeamCol25,0),MATCH(MID(INDEX('Structured 2025'!headerRow,1,COLUMN()),4,LEN(INDEX('Structured 2025'!headerRow,1,COLUMN()))),ovrHeaderRow25,0))</f>
        <v>72</v>
      </c>
      <c r="AY89" s="12">
        <f>INDEX(ovrTable25,MATCH(INDEX('Structured 2025'!teamCol,ROW()),ovrTeamCol25,0),MATCH(MID(INDEX('Structured 2025'!headerRow,1,COLUMN()),4,LEN(INDEX('Structured 2025'!headerRow,1,COLUMN()))),ovrHeaderRow25,0))</f>
        <v>25.2</v>
      </c>
      <c r="AZ89" s="12">
        <f>INDEX(ovrTable25,MATCH(INDEX('Structured 2025'!teamCol,ROW()),ovrTeamCol25,0),MATCH(MID(INDEX('Structured 2025'!headerRow,1,COLUMN()),4,LEN(INDEX('Structured 2025'!headerRow,1,COLUMN()))),ovrHeaderRow25,0))</f>
        <v>18.100000000000001</v>
      </c>
      <c r="BA89" s="12">
        <f>INDEX(ovrTable25,MATCH(INDEX('Structured 2025'!teamCol,ROW()),ovrTeamCol25,0),MATCH(MID(INDEX('Structured 2025'!headerRow,1,COLUMN()),4,LEN(INDEX('Structured 2025'!headerRow,1,COLUMN()))),ovrHeaderRow25,0))</f>
        <v>81.3</v>
      </c>
      <c r="BB89" s="12">
        <f>INDEX(ovrTable25,MATCH(INDEX('Structured 2025'!teamCol,ROW()),ovrTeamCol25,0),MATCH(MID(INDEX('Structured 2025'!headerRow,1,COLUMN()),4,LEN(INDEX('Structured 2025'!headerRow,1,COLUMN()))),ovrHeaderRow25,0))</f>
        <v>12.41</v>
      </c>
      <c r="BC89" s="12">
        <f>INDEX(ovrTable25,MATCH(INDEX('Structured 2025'!teamCol,ROW()),ovrTeamCol25,0),MATCH(MID(INDEX('Structured 2025'!headerRow,1,COLUMN()),4,LEN(INDEX('Structured 2025'!headerRow,1,COLUMN()))),ovrHeaderRow25,0))</f>
        <v>90.7</v>
      </c>
      <c r="BD89" s="12">
        <f>INDEX(ovrTable25,MATCH(INDEX('Structured 2025'!teamCol,ROW()),ovrTeamCol25,0),MATCH(MID(INDEX('Structured 2025'!headerRow,1,COLUMN()),4,LEN(INDEX('Structured 2025'!headerRow,1,COLUMN()))),ovrHeaderRow25,0))</f>
        <v>5.5</v>
      </c>
      <c r="BE89" s="12">
        <f>INDEX(ovrTable25,MATCH(INDEX('Structured 2025'!teamCol,ROW()),ovrTeamCol25,0),MATCH(MID(INDEX('Structured 2025'!headerRow,1,COLUMN()),4,LEN(INDEX('Structured 2025'!headerRow,1,COLUMN()))),ovrHeaderRow25,0))</f>
        <v>42.35</v>
      </c>
      <c r="BF89" s="12">
        <f>INDEX(ovrTable25,MATCH(INDEX('Structured 2025'!teamCol,ROW()),ovrTeamCol25,0),MATCH(MID(INDEX('Structured 2025'!headerRow,1,COLUMN()),4,LEN(INDEX('Structured 2025'!headerRow,1,COLUMN()))),ovrHeaderRow25,0))</f>
        <v>9.4</v>
      </c>
      <c r="BG89" s="12">
        <f>INDEX(ovrTable25,MATCH(INDEX('Structured 2025'!teamCol,ROW()),ovrTeamCol25,0),MATCH(MID(INDEX('Structured 2025'!headerRow,1,COLUMN()),4,LEN(INDEX('Structured 2025'!headerRow,1,COLUMN()))),ovrHeaderRow25,0))</f>
        <v>6.2</v>
      </c>
      <c r="BH89" s="12">
        <f>INDEX(ovrTable25,MATCH(INDEX('Structured 2025'!teamCol,ROW()),ovrTeamCol25,0),MATCH(MID(INDEX('Structured 2025'!headerRow,1,COLUMN()),4,LEN(INDEX('Structured 2025'!headerRow,1,COLUMN()))),ovrHeaderRow25,0))</f>
        <v>-2.4</v>
      </c>
      <c r="BI89" s="12">
        <f>INDEX(ovrTable25,MATCH(INDEX('Structured 2025'!teamCol,ROW()),ovrTeamCol25,0),MATCH(MID(INDEX('Structured 2025'!headerRow,1,COLUMN()),4,LEN(INDEX('Structured 2025'!headerRow,1,COLUMN()))),ovrHeaderRow25,0))</f>
        <v>10.32</v>
      </c>
      <c r="BJ89" s="12">
        <f>INDEX(ovrTable25,MATCH(INDEX('Structured 2025'!teamCol,ROW()),ovrTeamCol25,0),MATCH(MID(INDEX('Structured 2025'!headerRow,1,COLUMN()),4,LEN(INDEX('Structured 2025'!headerRow,1,COLUMN()))),ovrHeaderRow25,0))</f>
        <v>12.7</v>
      </c>
      <c r="BK89" s="12">
        <f>INDEX(ovrTable25,MATCH(INDEX('Structured 2025'!teamCol,ROW()),ovrTeamCol25,0),MATCH(MID(INDEX('Structured 2025'!headerRow,1,COLUMN()),4,LEN(INDEX('Structured 2025'!headerRow,1,COLUMN()))),ovrHeaderRow25,0))</f>
        <v>75.3</v>
      </c>
      <c r="BL89" s="12">
        <f>INDEX(ovrTable25,MATCH(INDEX('Structured 2025'!teamCol,ROW()),ovrTeamCol25,0),MATCH(MID(INDEX('Structured 2025'!headerRow,1,COLUMN()),4,LEN(INDEX('Structured 2025'!headerRow,1,COLUMN()))),ovrHeaderRow25,0))</f>
        <v>20.549999999999997</v>
      </c>
      <c r="BM89" s="12">
        <f>INDEX(ovrTable25,MATCH(INDEX('Structured 2025'!teamCol,ROW()),ovrTeamCol25,0),MATCH(MID(INDEX('Structured 2025'!headerRow,1,COLUMN()),4,LEN(INDEX('Structured 2025'!headerRow,1,COLUMN()))),ovrHeaderRow25,0))</f>
        <v>64.152892561983464</v>
      </c>
      <c r="BN89" s="12">
        <f>INDEX(ovrTable25,MATCH(INDEX(oppCol,ROW()),ovrTeamCol25,0),MATCH(MID(INDEX('Structured 2025'!headerRow,1,COLUMN()),4,LEN(INDEX('Structured 2025'!headerRow,1,COLUMN()))),ovrHeaderRow25,0))</f>
        <v>31.1</v>
      </c>
      <c r="BO89" s="12">
        <f>INDEX(ovrTable25,MATCH(INDEX(oppCol,ROW()),ovrTeamCol25,0),MATCH(MID(INDEX('Structured 2025'!headerRow,1,COLUMN()),4,LEN(INDEX('Structured 2025'!headerRow,1,COLUMN()))),ovrHeaderRow25,0))</f>
        <v>6.4</v>
      </c>
      <c r="BP89" s="12">
        <f>INDEX(ovrTable25,MATCH(INDEX(oppCol,ROW()),ovrTeamCol25,0),MATCH(MID(INDEX('Structured 2025'!headerRow,1,COLUMN()),4,LEN(INDEX('Structured 2025'!headerRow,1,COLUMN()))),ovrHeaderRow25,0))</f>
        <v>31.9</v>
      </c>
      <c r="BQ89" s="12">
        <f>INDEX(ovrTable25,MATCH(INDEX(oppCol,ROW()),ovrTeamCol25,0),MATCH(MID(INDEX('Structured 2025'!headerRow,1,COLUMN()),4,LEN(INDEX('Structured 2025'!headerRow,1,COLUMN()))),ovrHeaderRow25,0))</f>
        <v>19.899999999999999</v>
      </c>
      <c r="BR89" s="12">
        <f>INDEX(ovrTable25,MATCH(INDEX(oppCol,ROW()),ovrTeamCol25,0),MATCH(MID(INDEX('Structured 2025'!headerRow,1,COLUMN()),4,LEN(INDEX('Structured 2025'!headerRow,1,COLUMN()))),ovrHeaderRow25,0))</f>
        <v>1.57</v>
      </c>
      <c r="BS89" s="12">
        <f>INDEX(ovrTable25,MATCH(INDEX(oppCol,ROW()),ovrTeamCol25,0),MATCH(MID(INDEX('Structured 2025'!headerRow,1,COLUMN()),4,LEN(INDEX('Structured 2025'!headerRow,1,COLUMN()))),ovrHeaderRow25,0))</f>
        <v>15.1</v>
      </c>
      <c r="BT89" s="12">
        <f>INDEX(ovrTable25,MATCH(INDEX(oppCol,ROW()),ovrTeamCol25,0),MATCH(MID(INDEX('Structured 2025'!headerRow,1,COLUMN()),4,LEN(INDEX('Structured 2025'!headerRow,1,COLUMN()))),ovrHeaderRow25,0))</f>
        <v>17.71</v>
      </c>
      <c r="BU89" s="12">
        <f>INDEX(ovrTable25,MATCH(INDEX(oppCol,ROW()),ovrTeamCol25,0),MATCH(MID(INDEX('Structured 2025'!headerRow,1,COLUMN()),4,LEN(INDEX('Structured 2025'!headerRow,1,COLUMN()))),ovrHeaderRow25,0))</f>
        <v>4</v>
      </c>
      <c r="BV89" s="12">
        <f>INDEX(ovrTable25,MATCH(INDEX(oppCol,ROW()),ovrTeamCol25,0),MATCH(MID(INDEX('Structured 2025'!headerRow,1,COLUMN()),4,LEN(INDEX('Structured 2025'!headerRow,1,COLUMN()))),ovrHeaderRow25,0))</f>
        <v>41.1</v>
      </c>
      <c r="BW89" s="12">
        <f>INDEX(ovrTable25,MATCH(INDEX(oppCol,ROW()),ovrTeamCol25,0),MATCH(MID(INDEX('Structured 2025'!headerRow,1,COLUMN()),4,LEN(INDEX('Structured 2025'!headerRow,1,COLUMN()))),ovrHeaderRow25,0))</f>
        <v>25.74</v>
      </c>
      <c r="BX89" s="12">
        <f>INDEX(ovrTable25,MATCH(INDEX(oppCol,ROW()),ovrTeamCol25,0),MATCH(MID(INDEX('Structured 2025'!headerRow,1,COLUMN()),4,LEN(INDEX('Structured 2025'!headerRow,1,COLUMN()))),ovrHeaderRow25,0))</f>
        <v>0.504</v>
      </c>
      <c r="BY89" s="12">
        <f>INDEX(ovrTable25,MATCH(INDEX(oppCol,ROW()),ovrTeamCol25,0),MATCH(MID(INDEX('Structured 2025'!headerRow,1,COLUMN()),4,LEN(INDEX('Structured 2025'!headerRow,1,COLUMN()))),ovrHeaderRow25,0))</f>
        <v>6.09</v>
      </c>
      <c r="BZ89" s="12">
        <f>INDEX(ovrTable25,MATCH(INDEX(oppCol,ROW()),ovrTeamCol25,0),MATCH(MID(INDEX('Structured 2025'!headerRow,1,COLUMN()),4,LEN(INDEX('Structured 2025'!headerRow,1,COLUMN()))),ovrHeaderRow25,0))</f>
        <v>45</v>
      </c>
      <c r="CA89" s="12">
        <f>INDEX(ovrTable25,MATCH(INDEX(oppCol,ROW()),ovrTeamCol25,0),MATCH(MID(INDEX('Structured 2025'!headerRow,1,COLUMN()),4,LEN(INDEX('Structured 2025'!headerRow,1,COLUMN()))),ovrHeaderRow25,0))</f>
        <v>14.9</v>
      </c>
      <c r="CB89" s="12">
        <f>INDEX(ovrTable25,MATCH(INDEX(oppCol,ROW()),ovrTeamCol25,0),MATCH(MID(INDEX('Structured 2025'!headerRow,1,COLUMN()),4,LEN(INDEX('Structured 2025'!headerRow,1,COLUMN()))),ovrHeaderRow25,0))</f>
        <v>69.5</v>
      </c>
      <c r="CC89" s="12">
        <f>INDEX(ovrTable25,MATCH(INDEX(oppCol,ROW()),ovrTeamCol25,0),MATCH(MID(INDEX('Structured 2025'!headerRow,1,COLUMN()),4,LEN(INDEX('Structured 2025'!headerRow,1,COLUMN()))),ovrHeaderRow25,0))</f>
        <v>18.399999999999999</v>
      </c>
      <c r="CD89" s="12">
        <f>INDEX(ovrTable25,MATCH(INDEX(oppCol,ROW()),ovrTeamCol25,0),MATCH(MID(INDEX('Structured 2025'!headerRow,1,COLUMN()),4,LEN(INDEX('Structured 2025'!headerRow,1,COLUMN()))),ovrHeaderRow25,0))</f>
        <v>12.8</v>
      </c>
      <c r="CE89" s="12">
        <f>INDEX(ovrTable25,MATCH(INDEX(oppCol,ROW()),ovrTeamCol25,0),MATCH(MID(INDEX('Structured 2025'!headerRow,1,COLUMN()),4,LEN(INDEX('Structured 2025'!headerRow,1,COLUMN()))),ovrHeaderRow25,0))</f>
        <v>61.1</v>
      </c>
      <c r="CF89" s="12">
        <f>INDEX(ovrTable25,MATCH(INDEX(oppCol,ROW()),ovrTeamCol25,0),MATCH(MID(INDEX('Structured 2025'!headerRow,1,COLUMN()),4,LEN(INDEX('Structured 2025'!headerRow,1,COLUMN()))),ovrHeaderRow25,0))</f>
        <v>13.97</v>
      </c>
      <c r="CG89" s="12">
        <f>INDEX(ovrTable25,MATCH(INDEX(oppCol,ROW()),ovrTeamCol25,0),MATCH(MID(INDEX('Structured 2025'!headerRow,1,COLUMN()),4,LEN(INDEX('Structured 2025'!headerRow,1,COLUMN()))),ovrHeaderRow25,0))</f>
        <v>72.900000000000006</v>
      </c>
      <c r="CH89" s="12">
        <f>INDEX(ovrTable25,MATCH(INDEX(oppCol,ROW()),ovrTeamCol25,0),MATCH(MID(INDEX('Structured 2025'!headerRow,1,COLUMN()),4,LEN(INDEX('Structured 2025'!headerRow,1,COLUMN()))),ovrHeaderRow25,0))</f>
        <v>10.3</v>
      </c>
      <c r="CI89" s="12">
        <f>INDEX(ovrTable25,MATCH(INDEX(oppCol,ROW()),ovrTeamCol25,0),MATCH(MID(INDEX('Structured 2025'!headerRow,1,COLUMN()),4,LEN(INDEX('Structured 2025'!headerRow,1,COLUMN()))),ovrHeaderRow25,0))</f>
        <v>39.71</v>
      </c>
      <c r="CJ89" s="12">
        <f>INDEX(ovrTable25,MATCH(INDEX(oppCol,ROW()),ovrTeamCol25,0),MATCH(MID(INDEX('Structured 2025'!headerRow,1,COLUMN()),4,LEN(INDEX('Structured 2025'!headerRow,1,COLUMN()))),ovrHeaderRow25,0))</f>
        <v>11.8</v>
      </c>
      <c r="CK89" s="12">
        <f>INDEX(ovrTable25,MATCH(INDEX(oppCol,ROW()),ovrTeamCol25,0),MATCH(MID(INDEX('Structured 2025'!headerRow,1,COLUMN()),4,LEN(INDEX('Structured 2025'!headerRow,1,COLUMN()))),ovrHeaderRow25,0))</f>
        <v>6.1</v>
      </c>
      <c r="CL89" s="12">
        <f>INDEX(ovrTable25,MATCH(INDEX(oppCol,ROW()),ovrTeamCol25,0),MATCH(MID(INDEX('Structured 2025'!headerRow,1,COLUMN()),4,LEN(INDEX('Structured 2025'!headerRow,1,COLUMN()))),ovrHeaderRow25,0))</f>
        <v>0.9</v>
      </c>
      <c r="CM89" s="12">
        <f>INDEX(ovrTable25,MATCH(INDEX(oppCol,ROW()),ovrTeamCol25,0),MATCH(MID(INDEX('Structured 2025'!headerRow,1,COLUMN()),4,LEN(INDEX('Structured 2025'!headerRow,1,COLUMN()))),ovrHeaderRow25,0))</f>
        <v>10.57</v>
      </c>
      <c r="CN89" s="12">
        <f>INDEX(ovrTable25,MATCH(INDEX(oppCol,ROW()),ovrTeamCol25,0),MATCH(MID(INDEX('Structured 2025'!headerRow,1,COLUMN()),4,LEN(INDEX('Structured 2025'!headerRow,1,COLUMN()))),ovrHeaderRow25,0))</f>
        <v>9.6999999999999993</v>
      </c>
      <c r="CO89" s="12">
        <f>INDEX(ovrTable25,MATCH(INDEX(oppCol,ROW()),ovrTeamCol25,0),MATCH(MID(INDEX('Structured 2025'!headerRow,1,COLUMN()),4,LEN(INDEX('Structured 2025'!headerRow,1,COLUMN()))),ovrHeaderRow25,0))</f>
        <v>61.7</v>
      </c>
      <c r="CP89" s="12">
        <f>INDEX(ovrTable25,MATCH(INDEX(oppCol,ROW()),ovrTeamCol25,0),MATCH(MID(INDEX('Structured 2025'!headerRow,1,COLUMN()),4,LEN(INDEX('Structured 2025'!headerRow,1,COLUMN()))),ovrHeaderRow25,0))</f>
        <v>20.450000000000003</v>
      </c>
      <c r="CQ89" s="12">
        <f>INDEX(ovrTable25,MATCH(INDEX(oppCol,ROW()),ovrTeamCol25,0),MATCH(MID(INDEX('Structured 2025'!headerRow,1,COLUMN()),4,LEN(INDEX('Structured 2025'!headerRow,1,COLUMN()))),ovrHeaderRow25,0))</f>
        <v>59.666666666666664</v>
      </c>
    </row>
    <row r="90" spans="1:95" x14ac:dyDescent="0.3">
      <c r="A90" s="6" t="s">
        <v>51</v>
      </c>
      <c r="B90" s="3">
        <v>1</v>
      </c>
      <c r="C90" s="13" t="str">
        <f>A91</f>
        <v>GONZ</v>
      </c>
      <c r="D90" s="14">
        <f t="shared" si="26"/>
        <v>45</v>
      </c>
      <c r="E90" s="23">
        <v>0.45</v>
      </c>
      <c r="F90" s="24">
        <v>46.774193548387096</v>
      </c>
      <c r="G90" s="24">
        <v>8</v>
      </c>
      <c r="H90" s="23">
        <v>50</v>
      </c>
      <c r="I90" s="24">
        <v>16</v>
      </c>
      <c r="J90" s="25">
        <v>2.7142857142857144</v>
      </c>
      <c r="K90" s="24">
        <v>15</v>
      </c>
      <c r="L90" s="24">
        <v>20</v>
      </c>
      <c r="M90" s="24">
        <v>13</v>
      </c>
      <c r="N90" s="24">
        <v>20</v>
      </c>
      <c r="O90" s="24">
        <v>19</v>
      </c>
      <c r="P90" s="24">
        <v>7</v>
      </c>
      <c r="Q90" s="24">
        <v>5</v>
      </c>
      <c r="R90" s="24">
        <v>7</v>
      </c>
      <c r="S90" s="24">
        <v>6</v>
      </c>
      <c r="T90" s="24">
        <v>16</v>
      </c>
      <c r="U90" s="24">
        <v>4</v>
      </c>
      <c r="V90" s="24">
        <v>0.5</v>
      </c>
      <c r="W90" s="26">
        <v>0.532258064516129</v>
      </c>
      <c r="X90" s="23">
        <v>75</v>
      </c>
      <c r="Y90" s="24">
        <v>76</v>
      </c>
      <c r="Z90" s="24">
        <v>81</v>
      </c>
      <c r="AA90" s="24">
        <v>6</v>
      </c>
      <c r="AB90" s="24">
        <v>33</v>
      </c>
      <c r="AC90" s="24">
        <v>5</v>
      </c>
      <c r="AD90" s="24">
        <v>4</v>
      </c>
      <c r="AE90" s="24">
        <v>11</v>
      </c>
      <c r="AF90" s="34">
        <f t="shared" si="69"/>
        <v>21</v>
      </c>
      <c r="AG90" s="34">
        <f t="shared" si="70"/>
        <v>46.000000000000007</v>
      </c>
      <c r="AH90" s="46">
        <f t="shared" si="71"/>
        <v>65.5</v>
      </c>
      <c r="AI90" s="51">
        <f t="shared" ref="AI90" si="96">AVERAGE(AH90,AH91)</f>
        <v>65.3125</v>
      </c>
      <c r="AJ90" s="12">
        <f>INDEX(ovrTable25,MATCH(INDEX('Structured 2025'!teamCol,ROW()),ovrTeamCol25,0),MATCH(MID(INDEX('Structured 2025'!headerRow,1,COLUMN()),4,LEN(INDEX('Structured 2025'!headerRow,1,COLUMN()))),ovrHeaderRow25,0))</f>
        <v>30.2</v>
      </c>
      <c r="AK90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90" s="12">
        <f>INDEX(ovrTable25,MATCH(INDEX('Structured 2025'!teamCol,ROW()),ovrTeamCol25,0),MATCH(MID(INDEX('Structured 2025'!headerRow,1,COLUMN()),4,LEN(INDEX('Structured 2025'!headerRow,1,COLUMN()))),ovrHeaderRow25,0))</f>
        <v>39.4</v>
      </c>
      <c r="AM90" s="12">
        <f>INDEX(ovrTable25,MATCH(INDEX('Structured 2025'!teamCol,ROW()),ovrTeamCol25,0),MATCH(MID(INDEX('Structured 2025'!headerRow,1,COLUMN()),4,LEN(INDEX('Structured 2025'!headerRow,1,COLUMN()))),ovrHeaderRow25,0))</f>
        <v>20.7</v>
      </c>
      <c r="AN90" s="12">
        <f>INDEX(ovrTable25,MATCH(INDEX('Structured 2025'!teamCol,ROW()),ovrTeamCol25,0),MATCH(MID(INDEX('Structured 2025'!headerRow,1,COLUMN()),4,LEN(INDEX('Structured 2025'!headerRow,1,COLUMN()))),ovrHeaderRow25,0))</f>
        <v>1.34</v>
      </c>
      <c r="AO90" s="12">
        <f>INDEX(ovrTable25,MATCH(INDEX('Structured 2025'!teamCol,ROW()),ovrTeamCol25,0),MATCH(MID(INDEX('Structured 2025'!headerRow,1,COLUMN()),4,LEN(INDEX('Structured 2025'!headerRow,1,COLUMN()))),ovrHeaderRow25,0))</f>
        <v>12.1</v>
      </c>
      <c r="AP90" s="12">
        <f>INDEX(ovrTable25,MATCH(INDEX('Structured 2025'!teamCol,ROW()),ovrTeamCol25,0),MATCH(MID(INDEX('Structured 2025'!headerRow,1,COLUMN()),4,LEN(INDEX('Structured 2025'!headerRow,1,COLUMN()))),ovrHeaderRow25,0))</f>
        <v>18.73</v>
      </c>
      <c r="AQ90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90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S90" s="12">
        <f>INDEX(ovrTable25,MATCH(INDEX('Structured 2025'!teamCol,ROW()),ovrTeamCol25,0),MATCH(MID(INDEX('Structured 2025'!headerRow,1,COLUMN()),4,LEN(INDEX('Structured 2025'!headerRow,1,COLUMN()))),ovrHeaderRow25,0))</f>
        <v>24.08</v>
      </c>
      <c r="AT90" s="12">
        <f>INDEX(ovrTable25,MATCH(INDEX('Structured 2025'!teamCol,ROW()),ovrTeamCol25,0),MATCH(MID(INDEX('Structured 2025'!headerRow,1,COLUMN()),4,LEN(INDEX('Structured 2025'!headerRow,1,COLUMN()))),ovrHeaderRow25,0))</f>
        <v>0.51700000000000002</v>
      </c>
      <c r="AU90" s="12">
        <f>INDEX(ovrTable25,MATCH(INDEX('Structured 2025'!teamCol,ROW()),ovrTeamCol25,0),MATCH(MID(INDEX('Structured 2025'!headerRow,1,COLUMN()),4,LEN(INDEX('Structured 2025'!headerRow,1,COLUMN()))),ovrHeaderRow25,0))</f>
        <v>7.6</v>
      </c>
      <c r="AV90" s="12">
        <f>INDEX(ovrTable25,MATCH(INDEX('Structured 2025'!teamCol,ROW()),ovrTeamCol25,0),MATCH(MID(INDEX('Structured 2025'!headerRow,1,COLUMN()),4,LEN(INDEX('Structured 2025'!headerRow,1,COLUMN()))),ovrHeaderRow25,0))</f>
        <v>44.9</v>
      </c>
      <c r="AW90" s="12">
        <f>INDEX(ovrTable25,MATCH(INDEX('Structured 2025'!teamCol,ROW()),ovrTeamCol25,0),MATCH(MID(INDEX('Structured 2025'!headerRow,1,COLUMN()),4,LEN(INDEX('Structured 2025'!headerRow,1,COLUMN()))),ovrHeaderRow25,0))</f>
        <v>16.3</v>
      </c>
      <c r="AX90" s="12">
        <f>INDEX(ovrTable25,MATCH(INDEX('Structured 2025'!teamCol,ROW()),ovrTeamCol25,0),MATCH(MID(INDEX('Structured 2025'!headerRow,1,COLUMN()),4,LEN(INDEX('Structured 2025'!headerRow,1,COLUMN()))),ovrHeaderRow25,0))</f>
        <v>74</v>
      </c>
      <c r="AY90" s="12">
        <f>INDEX(ovrTable25,MATCH(INDEX('Structured 2025'!teamCol,ROW()),ovrTeamCol25,0),MATCH(MID(INDEX('Structured 2025'!headerRow,1,COLUMN()),4,LEN(INDEX('Structured 2025'!headerRow,1,COLUMN()))),ovrHeaderRow25,0))</f>
        <v>16.2</v>
      </c>
      <c r="AZ90" s="12">
        <f>INDEX(ovrTable25,MATCH(INDEX('Structured 2025'!teamCol,ROW()),ovrTeamCol25,0),MATCH(MID(INDEX('Structured 2025'!headerRow,1,COLUMN()),4,LEN(INDEX('Structured 2025'!headerRow,1,COLUMN()))),ovrHeaderRow25,0))</f>
        <v>12</v>
      </c>
      <c r="BA90" s="12">
        <f>INDEX(ovrTable25,MATCH(INDEX('Structured 2025'!teamCol,ROW()),ovrTeamCol25,0),MATCH(MID(INDEX('Structured 2025'!headerRow,1,COLUMN()),4,LEN(INDEX('Structured 2025'!headerRow,1,COLUMN()))),ovrHeaderRow25,0))</f>
        <v>58.7</v>
      </c>
      <c r="BB90" s="12">
        <f>INDEX(ovrTable25,MATCH(INDEX('Structured 2025'!teamCol,ROW()),ovrTeamCol25,0),MATCH(MID(INDEX('Structured 2025'!headerRow,1,COLUMN()),4,LEN(INDEX('Structured 2025'!headerRow,1,COLUMN()))),ovrHeaderRow25,0))</f>
        <v>12.8</v>
      </c>
      <c r="BC90" s="12">
        <f>INDEX(ovrTable25,MATCH(INDEX('Structured 2025'!teamCol,ROW()),ovrTeamCol25,0),MATCH(MID(INDEX('Structured 2025'!headerRow,1,COLUMN()),4,LEN(INDEX('Structured 2025'!headerRow,1,COLUMN()))),ovrHeaderRow25,0))</f>
        <v>73.7</v>
      </c>
      <c r="BD90" s="12">
        <f>INDEX(ovrTable25,MATCH(INDEX('Structured 2025'!teamCol,ROW()),ovrTeamCol25,0),MATCH(MID(INDEX('Structured 2025'!headerRow,1,COLUMN()),4,LEN(INDEX('Structured 2025'!headerRow,1,COLUMN()))),ovrHeaderRow25,0))</f>
        <v>5.3</v>
      </c>
      <c r="BE90" s="12">
        <f>INDEX(ovrTable25,MATCH(INDEX('Structured 2025'!teamCol,ROW()),ovrTeamCol25,0),MATCH(MID(INDEX('Structured 2025'!headerRow,1,COLUMN()),4,LEN(INDEX('Structured 2025'!headerRow,1,COLUMN()))),ovrHeaderRow25,0))</f>
        <v>36.880000000000003</v>
      </c>
      <c r="BF90" s="12">
        <f>INDEX(ovrTable25,MATCH(INDEX('Structured 2025'!teamCol,ROW()),ovrTeamCol25,0),MATCH(MID(INDEX('Structured 2025'!headerRow,1,COLUMN()),4,LEN(INDEX('Structured 2025'!headerRow,1,COLUMN()))),ovrHeaderRow25,0))</f>
        <v>15</v>
      </c>
      <c r="BG90" s="12">
        <f>INDEX(ovrTable25,MATCH(INDEX('Structured 2025'!teamCol,ROW()),ovrTeamCol25,0),MATCH(MID(INDEX('Structured 2025'!headerRow,1,COLUMN()),4,LEN(INDEX('Structured 2025'!headerRow,1,COLUMN()))),ovrHeaderRow25,0))</f>
        <v>7.8</v>
      </c>
      <c r="BH90" s="12">
        <f>INDEX(ovrTable25,MATCH(INDEX('Structured 2025'!teamCol,ROW()),ovrTeamCol25,0),MATCH(MID(INDEX('Structured 2025'!headerRow,1,COLUMN()),4,LEN(INDEX('Structured 2025'!headerRow,1,COLUMN()))),ovrHeaderRow25,0))</f>
        <v>4.2</v>
      </c>
      <c r="BI90" s="12">
        <f>INDEX(ovrTable25,MATCH(INDEX('Structured 2025'!teamCol,ROW()),ovrTeamCol25,0),MATCH(MID(INDEX('Structured 2025'!headerRow,1,COLUMN()),4,LEN(INDEX('Structured 2025'!headerRow,1,COLUMN()))),ovrHeaderRow25,0))</f>
        <v>13.23</v>
      </c>
      <c r="BJ90" s="12">
        <f>INDEX(ovrTable25,MATCH(INDEX('Structured 2025'!teamCol,ROW()),ovrTeamCol25,0),MATCH(MID(INDEX('Structured 2025'!headerRow,1,COLUMN()),4,LEN(INDEX('Structured 2025'!headerRow,1,COLUMN()))),ovrHeaderRow25,0))</f>
        <v>9</v>
      </c>
      <c r="BK90" s="12">
        <f>INDEX(ovrTable25,MATCH(INDEX('Structured 2025'!teamCol,ROW()),ovrTeamCol25,0),MATCH(MID(INDEX('Structured 2025'!headerRow,1,COLUMN()),4,LEN(INDEX('Structured 2025'!headerRow,1,COLUMN()))),ovrHeaderRow25,0))</f>
        <v>61.9</v>
      </c>
      <c r="BL90" s="12">
        <f>INDEX(ovrTable25,MATCH(INDEX('Structured 2025'!teamCol,ROW()),ovrTeamCol25,0),MATCH(MID(INDEX('Structured 2025'!headerRow,1,COLUMN()),4,LEN(INDEX('Structured 2025'!headerRow,1,COLUMN()))),ovrHeaderRow25,0))</f>
        <v>18.550000000000004</v>
      </c>
      <c r="BM90" s="12">
        <f>INDEX(ovrTable25,MATCH(INDEX('Structured 2025'!teamCol,ROW()),ovrTeamCol25,0),MATCH(MID(INDEX('Structured 2025'!headerRow,1,COLUMN()),4,LEN(INDEX('Structured 2025'!headerRow,1,COLUMN()))),ovrHeaderRow25,0))</f>
        <v>59.576837416481084</v>
      </c>
      <c r="BN90" s="12">
        <f>INDEX(ovrTable25,MATCH(INDEX(oppCol,ROW()),ovrTeamCol25,0),MATCH(MID(INDEX('Structured 2025'!headerRow,1,COLUMN()),4,LEN(INDEX('Structured 2025'!headerRow,1,COLUMN()))),ovrHeaderRow25,0))</f>
        <v>30.2</v>
      </c>
      <c r="BO90" s="12">
        <f>INDEX(ovrTable25,MATCH(INDEX(oppCol,ROW()),ovrTeamCol25,0),MATCH(MID(INDEX('Structured 2025'!headerRow,1,COLUMN()),4,LEN(INDEX('Structured 2025'!headerRow,1,COLUMN()))),ovrHeaderRow25,0))</f>
        <v>7.5</v>
      </c>
      <c r="BP90" s="12">
        <f>INDEX(ovrTable25,MATCH(INDEX(oppCol,ROW()),ovrTeamCol25,0),MATCH(MID(INDEX('Structured 2025'!headerRow,1,COLUMN()),4,LEN(INDEX('Structured 2025'!headerRow,1,COLUMN()))),ovrHeaderRow25,0))</f>
        <v>35.4</v>
      </c>
      <c r="BQ90" s="12">
        <f>INDEX(ovrTable25,MATCH(INDEX(oppCol,ROW()),ovrTeamCol25,0),MATCH(MID(INDEX('Structured 2025'!headerRow,1,COLUMN()),4,LEN(INDEX('Structured 2025'!headerRow,1,COLUMN()))),ovrHeaderRow25,0))</f>
        <v>21.2</v>
      </c>
      <c r="BR90" s="12">
        <f>INDEX(ovrTable25,MATCH(INDEX(oppCol,ROW()),ovrTeamCol25,0),MATCH(MID(INDEX('Structured 2025'!headerRow,1,COLUMN()),4,LEN(INDEX('Structured 2025'!headerRow,1,COLUMN()))),ovrHeaderRow25,0))</f>
        <v>2.0699999999999998</v>
      </c>
      <c r="BS90" s="12">
        <f>INDEX(ovrTable25,MATCH(INDEX(oppCol,ROW()),ovrTeamCol25,0),MATCH(MID(INDEX('Structured 2025'!headerRow,1,COLUMN()),4,LEN(INDEX('Structured 2025'!headerRow,1,COLUMN()))),ovrHeaderRow25,0))</f>
        <v>19.7</v>
      </c>
      <c r="BT90" s="12">
        <f>INDEX(ovrTable25,MATCH(INDEX(oppCol,ROW()),ovrTeamCol25,0),MATCH(MID(INDEX('Structured 2025'!headerRow,1,COLUMN()),4,LEN(INDEX('Structured 2025'!headerRow,1,COLUMN()))),ovrHeaderRow25,0))</f>
        <v>26.89</v>
      </c>
      <c r="BU90" s="12">
        <f>INDEX(ovrTable25,MATCH(INDEX(oppCol,ROW()),ovrTeamCol25,0),MATCH(MID(INDEX('Structured 2025'!headerRow,1,COLUMN()),4,LEN(INDEX('Structured 2025'!headerRow,1,COLUMN()))),ovrHeaderRow25,0))</f>
        <v>3</v>
      </c>
      <c r="BV90" s="12">
        <f>INDEX(ovrTable25,MATCH(INDEX(oppCol,ROW()),ovrTeamCol25,0),MATCH(MID(INDEX('Structured 2025'!headerRow,1,COLUMN()),4,LEN(INDEX('Structured 2025'!headerRow,1,COLUMN()))),ovrHeaderRow25,0))</f>
        <v>41.4</v>
      </c>
      <c r="BW90" s="12">
        <f>INDEX(ovrTable25,MATCH(INDEX(oppCol,ROW()),ovrTeamCol25,0),MATCH(MID(INDEX('Structured 2025'!headerRow,1,COLUMN()),4,LEN(INDEX('Structured 2025'!headerRow,1,COLUMN()))),ovrHeaderRow25,0))</f>
        <v>27.26</v>
      </c>
      <c r="BX90" s="12">
        <f>INDEX(ovrTable25,MATCH(INDEX(oppCol,ROW()),ovrTeamCol25,0),MATCH(MID(INDEX('Structured 2025'!headerRow,1,COLUMN()),4,LEN(INDEX('Structured 2025'!headerRow,1,COLUMN()))),ovrHeaderRow25,0))</f>
        <v>0.56000000000000005</v>
      </c>
      <c r="BY90" s="12">
        <f>INDEX(ovrTable25,MATCH(INDEX(oppCol,ROW()),ovrTeamCol25,0),MATCH(MID(INDEX('Structured 2025'!headerRow,1,COLUMN()),4,LEN(INDEX('Structured 2025'!headerRow,1,COLUMN()))),ovrHeaderRow25,0))</f>
        <v>14.34</v>
      </c>
      <c r="BZ90" s="12">
        <f>INDEX(ovrTable25,MATCH(INDEX(oppCol,ROW()),ovrTeamCol25,0),MATCH(MID(INDEX('Structured 2025'!headerRow,1,COLUMN()),4,LEN(INDEX('Structured 2025'!headerRow,1,COLUMN()))),ovrHeaderRow25,0))</f>
        <v>50.1</v>
      </c>
      <c r="CA90" s="12">
        <f>INDEX(ovrTable25,MATCH(INDEX(oppCol,ROW()),ovrTeamCol25,0),MATCH(MID(INDEX('Structured 2025'!headerRow,1,COLUMN()),4,LEN(INDEX('Structured 2025'!headerRow,1,COLUMN()))),ovrHeaderRow25,0))</f>
        <v>16.8</v>
      </c>
      <c r="CB90" s="12">
        <f>INDEX(ovrTable25,MATCH(INDEX(oppCol,ROW()),ovrTeamCol25,0),MATCH(MID(INDEX('Structured 2025'!headerRow,1,COLUMN()),4,LEN(INDEX('Structured 2025'!headerRow,1,COLUMN()))),ovrHeaderRow25,0))</f>
        <v>80.400000000000006</v>
      </c>
      <c r="CC90" s="12">
        <f>INDEX(ovrTable25,MATCH(INDEX(oppCol,ROW()),ovrTeamCol25,0),MATCH(MID(INDEX('Structured 2025'!headerRow,1,COLUMN()),4,LEN(INDEX('Structured 2025'!headerRow,1,COLUMN()))),ovrHeaderRow25,0))</f>
        <v>19.399999999999999</v>
      </c>
      <c r="CD90" s="12">
        <f>INDEX(ovrTable25,MATCH(INDEX(oppCol,ROW()),ovrTeamCol25,0),MATCH(MID(INDEX('Structured 2025'!headerRow,1,COLUMN()),4,LEN(INDEX('Structured 2025'!headerRow,1,COLUMN()))),ovrHeaderRow25,0))</f>
        <v>15.6</v>
      </c>
      <c r="CE90" s="12">
        <f>INDEX(ovrTable25,MATCH(INDEX(oppCol,ROW()),ovrTeamCol25,0),MATCH(MID(INDEX('Structured 2025'!headerRow,1,COLUMN()),4,LEN(INDEX('Structured 2025'!headerRow,1,COLUMN()))),ovrHeaderRow25,0))</f>
        <v>69.900000000000006</v>
      </c>
      <c r="CF90" s="12">
        <f>INDEX(ovrTable25,MATCH(INDEX(oppCol,ROW()),ovrTeamCol25,0),MATCH(MID(INDEX('Structured 2025'!headerRow,1,COLUMN()),4,LEN(INDEX('Structured 2025'!headerRow,1,COLUMN()))),ovrHeaderRow25,0))</f>
        <v>11</v>
      </c>
      <c r="CG90" s="12">
        <f>INDEX(ovrTable25,MATCH(INDEX(oppCol,ROW()),ovrTeamCol25,0),MATCH(MID(INDEX('Structured 2025'!headerRow,1,COLUMN()),4,LEN(INDEX('Structured 2025'!headerRow,1,COLUMN()))),ovrHeaderRow25,0))</f>
        <v>86.4</v>
      </c>
      <c r="CH90" s="12">
        <f>INDEX(ovrTable25,MATCH(INDEX(oppCol,ROW()),ovrTeamCol25,0),MATCH(MID(INDEX('Structured 2025'!headerRow,1,COLUMN()),4,LEN(INDEX('Structured 2025'!headerRow,1,COLUMN()))),ovrHeaderRow25,0))</f>
        <v>5.4</v>
      </c>
      <c r="CI90" s="12">
        <f>INDEX(ovrTable25,MATCH(INDEX(oppCol,ROW()),ovrTeamCol25,0),MATCH(MID(INDEX('Structured 2025'!headerRow,1,COLUMN()),4,LEN(INDEX('Structured 2025'!headerRow,1,COLUMN()))),ovrHeaderRow25,0))</f>
        <v>38.26</v>
      </c>
      <c r="CJ90" s="12">
        <f>INDEX(ovrTable25,MATCH(INDEX(oppCol,ROW()),ovrTeamCol25,0),MATCH(MID(INDEX('Structured 2025'!headerRow,1,COLUMN()),4,LEN(INDEX('Structured 2025'!headerRow,1,COLUMN()))),ovrHeaderRow25,0))</f>
        <v>16.5</v>
      </c>
      <c r="CK90" s="12">
        <f>INDEX(ovrTable25,MATCH(INDEX(oppCol,ROW()),ovrTeamCol25,0),MATCH(MID(INDEX('Structured 2025'!headerRow,1,COLUMN()),4,LEN(INDEX('Structured 2025'!headerRow,1,COLUMN()))),ovrHeaderRow25,0))</f>
        <v>7.5</v>
      </c>
      <c r="CL90" s="12">
        <f>INDEX(ovrTable25,MATCH(INDEX(oppCol,ROW()),ovrTeamCol25,0),MATCH(MID(INDEX('Structured 2025'!headerRow,1,COLUMN()),4,LEN(INDEX('Structured 2025'!headerRow,1,COLUMN()))),ovrHeaderRow25,0))</f>
        <v>3.3</v>
      </c>
      <c r="CM90" s="12">
        <f>INDEX(ovrTable25,MATCH(INDEX(oppCol,ROW()),ovrTeamCol25,0),MATCH(MID(INDEX('Structured 2025'!headerRow,1,COLUMN()),4,LEN(INDEX('Structured 2025'!headerRow,1,COLUMN()))),ovrHeaderRow25,0))</f>
        <v>12.83</v>
      </c>
      <c r="CN90" s="12">
        <f>INDEX(ovrTable25,MATCH(INDEX(oppCol,ROW()),ovrTeamCol25,0),MATCH(MID(INDEX('Structured 2025'!headerRow,1,COLUMN()),4,LEN(INDEX('Structured 2025'!headerRow,1,COLUMN()))),ovrHeaderRow25,0))</f>
        <v>9.5</v>
      </c>
      <c r="CO90" s="12">
        <f>INDEX(ovrTable25,MATCH(INDEX(oppCol,ROW()),ovrTeamCol25,0),MATCH(MID(INDEX('Structured 2025'!headerRow,1,COLUMN()),4,LEN(INDEX('Structured 2025'!headerRow,1,COLUMN()))),ovrHeaderRow25,0))</f>
        <v>70.5</v>
      </c>
      <c r="CP90" s="12">
        <f>INDEX(ovrTable25,MATCH(INDEX(oppCol,ROW()),ovrTeamCol25,0),MATCH(MID(INDEX('Structured 2025'!headerRow,1,COLUMN()),4,LEN(INDEX('Structured 2025'!headerRow,1,COLUMN()))),ovrHeaderRow25,0))</f>
        <v>24.150000000000006</v>
      </c>
      <c r="CQ90" s="12">
        <f>INDEX(ovrTable25,MATCH(INDEX(oppCol,ROW()),ovrTeamCol25,0),MATCH(MID(INDEX('Structured 2025'!headerRow,1,COLUMN()),4,LEN(INDEX('Structured 2025'!headerRow,1,COLUMN()))),ovrHeaderRow25,0))</f>
        <v>63.173652694610787</v>
      </c>
    </row>
    <row r="91" spans="1:95" x14ac:dyDescent="0.3">
      <c r="A91" s="6" t="s">
        <v>58</v>
      </c>
      <c r="B91" s="3">
        <v>8</v>
      </c>
      <c r="C91" s="13" t="str">
        <f>A90</f>
        <v>HOU</v>
      </c>
      <c r="D91" s="14">
        <f t="shared" ref="D91:D99" si="97">D89+1</f>
        <v>45</v>
      </c>
      <c r="E91" s="23">
        <v>0.5</v>
      </c>
      <c r="F91" s="24">
        <v>50</v>
      </c>
      <c r="G91" s="24">
        <v>9</v>
      </c>
      <c r="H91" s="23">
        <v>45</v>
      </c>
      <c r="I91" s="24">
        <v>20</v>
      </c>
      <c r="J91" s="25">
        <v>1.7272727272727273</v>
      </c>
      <c r="K91" s="24">
        <v>15</v>
      </c>
      <c r="L91" s="24">
        <v>15</v>
      </c>
      <c r="M91" s="24">
        <v>5</v>
      </c>
      <c r="N91" s="24">
        <v>22</v>
      </c>
      <c r="O91" s="24">
        <v>19</v>
      </c>
      <c r="P91" s="24">
        <v>5</v>
      </c>
      <c r="Q91" s="24">
        <v>3</v>
      </c>
      <c r="R91" s="24">
        <v>11</v>
      </c>
      <c r="S91" s="24">
        <v>6</v>
      </c>
      <c r="T91" s="24">
        <v>16</v>
      </c>
      <c r="U91" s="24">
        <v>11</v>
      </c>
      <c r="V91" s="24">
        <v>0.46774193548387094</v>
      </c>
      <c r="W91" s="26">
        <v>0.58653846153846156</v>
      </c>
      <c r="X91" s="23">
        <v>100</v>
      </c>
      <c r="Y91" s="24">
        <v>81</v>
      </c>
      <c r="Z91" s="24">
        <v>76</v>
      </c>
      <c r="AA91" s="24">
        <v>-6</v>
      </c>
      <c r="AB91" s="24">
        <v>27</v>
      </c>
      <c r="AC91" s="24">
        <v>-5</v>
      </c>
      <c r="AD91" s="24">
        <v>-4</v>
      </c>
      <c r="AE91" s="24">
        <v>7</v>
      </c>
      <c r="AF91" s="34">
        <f t="shared" si="69"/>
        <v>17</v>
      </c>
      <c r="AG91" s="34">
        <f t="shared" si="70"/>
        <v>32</v>
      </c>
      <c r="AH91" s="46">
        <f t="shared" si="71"/>
        <v>65.125</v>
      </c>
      <c r="AI91" s="51">
        <f t="shared" ref="AI91" si="98">AVERAGE(AH90,AH91)</f>
        <v>65.3125</v>
      </c>
      <c r="AJ91" s="12">
        <f>INDEX(ovrTable25,MATCH(INDEX('Structured 2025'!teamCol,ROW()),ovrTeamCol25,0),MATCH(MID(INDEX('Structured 2025'!headerRow,1,COLUMN()),4,LEN(INDEX('Structured 2025'!headerRow,1,COLUMN()))),ovrHeaderRow25,0))</f>
        <v>30.2</v>
      </c>
      <c r="AK91" s="12">
        <f>INDEX(ovrTable25,MATCH(INDEX('Structured 2025'!teamCol,ROW()),ovrTeamCol25,0),MATCH(MID(INDEX('Structured 2025'!headerRow,1,COLUMN()),4,LEN(INDEX('Structured 2025'!headerRow,1,COLUMN()))),ovrHeaderRow25,0))</f>
        <v>7.5</v>
      </c>
      <c r="AL91" s="12">
        <f>INDEX(ovrTable25,MATCH(INDEX('Structured 2025'!teamCol,ROW()),ovrTeamCol25,0),MATCH(MID(INDEX('Structured 2025'!headerRow,1,COLUMN()),4,LEN(INDEX('Structured 2025'!headerRow,1,COLUMN()))),ovrHeaderRow25,0))</f>
        <v>35.4</v>
      </c>
      <c r="AM91" s="12">
        <f>INDEX(ovrTable25,MATCH(INDEX('Structured 2025'!teamCol,ROW()),ovrTeamCol25,0),MATCH(MID(INDEX('Structured 2025'!headerRow,1,COLUMN()),4,LEN(INDEX('Structured 2025'!headerRow,1,COLUMN()))),ovrHeaderRow25,0))</f>
        <v>21.2</v>
      </c>
      <c r="AN91" s="12">
        <f>INDEX(ovrTable25,MATCH(INDEX('Structured 2025'!teamCol,ROW()),ovrTeamCol25,0),MATCH(MID(INDEX('Structured 2025'!headerRow,1,COLUMN()),4,LEN(INDEX('Structured 2025'!headerRow,1,COLUMN()))),ovrHeaderRow25,0))</f>
        <v>2.0699999999999998</v>
      </c>
      <c r="AO91" s="12">
        <f>INDEX(ovrTable25,MATCH(INDEX('Structured 2025'!teamCol,ROW()),ovrTeamCol25,0),MATCH(MID(INDEX('Structured 2025'!headerRow,1,COLUMN()),4,LEN(INDEX('Structured 2025'!headerRow,1,COLUMN()))),ovrHeaderRow25,0))</f>
        <v>19.7</v>
      </c>
      <c r="AP91" s="12">
        <f>INDEX(ovrTable25,MATCH(INDEX('Structured 2025'!teamCol,ROW()),ovrTeamCol25,0),MATCH(MID(INDEX('Structured 2025'!headerRow,1,COLUMN()),4,LEN(INDEX('Structured 2025'!headerRow,1,COLUMN()))),ovrHeaderRow25,0))</f>
        <v>26.89</v>
      </c>
      <c r="AQ91" s="12">
        <f>INDEX(ovrTable25,MATCH(INDEX('Structured 2025'!teamCol,ROW()),ovrTeamCol25,0),MATCH(MID(INDEX('Structured 2025'!headerRow,1,COLUMN()),4,LEN(INDEX('Structured 2025'!headerRow,1,COLUMN()))),ovrHeaderRow25,0))</f>
        <v>3</v>
      </c>
      <c r="AR91" s="12">
        <f>INDEX(ovrTable25,MATCH(INDEX('Structured 2025'!teamCol,ROW()),ovrTeamCol25,0),MATCH(MID(INDEX('Structured 2025'!headerRow,1,COLUMN()),4,LEN(INDEX('Structured 2025'!headerRow,1,COLUMN()))),ovrHeaderRow25,0))</f>
        <v>41.4</v>
      </c>
      <c r="AS91" s="12">
        <f>INDEX(ovrTable25,MATCH(INDEX('Structured 2025'!teamCol,ROW()),ovrTeamCol25,0),MATCH(MID(INDEX('Structured 2025'!headerRow,1,COLUMN()),4,LEN(INDEX('Structured 2025'!headerRow,1,COLUMN()))),ovrHeaderRow25,0))</f>
        <v>27.26</v>
      </c>
      <c r="AT91" s="12">
        <f>INDEX(ovrTable25,MATCH(INDEX('Structured 2025'!teamCol,ROW()),ovrTeamCol25,0),MATCH(MID(INDEX('Structured 2025'!headerRow,1,COLUMN()),4,LEN(INDEX('Structured 2025'!headerRow,1,COLUMN()))),ovrHeaderRow25,0))</f>
        <v>0.56000000000000005</v>
      </c>
      <c r="AU91" s="12">
        <f>INDEX(ovrTable25,MATCH(INDEX('Structured 2025'!teamCol,ROW()),ovrTeamCol25,0),MATCH(MID(INDEX('Structured 2025'!headerRow,1,COLUMN()),4,LEN(INDEX('Structured 2025'!headerRow,1,COLUMN()))),ovrHeaderRow25,0))</f>
        <v>14.34</v>
      </c>
      <c r="AV91" s="12">
        <f>INDEX(ovrTable25,MATCH(INDEX('Structured 2025'!teamCol,ROW()),ovrTeamCol25,0),MATCH(MID(INDEX('Structured 2025'!headerRow,1,COLUMN()),4,LEN(INDEX('Structured 2025'!headerRow,1,COLUMN()))),ovrHeaderRow25,0))</f>
        <v>50.1</v>
      </c>
      <c r="AW91" s="12">
        <f>INDEX(ovrTable25,MATCH(INDEX('Structured 2025'!teamCol,ROW()),ovrTeamCol25,0),MATCH(MID(INDEX('Structured 2025'!headerRow,1,COLUMN()),4,LEN(INDEX('Structured 2025'!headerRow,1,COLUMN()))),ovrHeaderRow25,0))</f>
        <v>16.8</v>
      </c>
      <c r="AX91" s="12">
        <f>INDEX(ovrTable25,MATCH(INDEX('Structured 2025'!teamCol,ROW()),ovrTeamCol25,0),MATCH(MID(INDEX('Structured 2025'!headerRow,1,COLUMN()),4,LEN(INDEX('Structured 2025'!headerRow,1,COLUMN()))),ovrHeaderRow25,0))</f>
        <v>80.400000000000006</v>
      </c>
      <c r="AY91" s="12">
        <f>INDEX(ovrTable25,MATCH(INDEX('Structured 2025'!teamCol,ROW()),ovrTeamCol25,0),MATCH(MID(INDEX('Structured 2025'!headerRow,1,COLUMN()),4,LEN(INDEX('Structured 2025'!headerRow,1,COLUMN()))),ovrHeaderRow25,0))</f>
        <v>19.399999999999999</v>
      </c>
      <c r="AZ91" s="12">
        <f>INDEX(ovrTable25,MATCH(INDEX('Structured 2025'!teamCol,ROW()),ovrTeamCol25,0),MATCH(MID(INDEX('Structured 2025'!headerRow,1,COLUMN()),4,LEN(INDEX('Structured 2025'!headerRow,1,COLUMN()))),ovrHeaderRow25,0))</f>
        <v>15.6</v>
      </c>
      <c r="BA91" s="12">
        <f>INDEX(ovrTable25,MATCH(INDEX('Structured 2025'!teamCol,ROW()),ovrTeamCol25,0),MATCH(MID(INDEX('Structured 2025'!headerRow,1,COLUMN()),4,LEN(INDEX('Structured 2025'!headerRow,1,COLUMN()))),ovrHeaderRow25,0))</f>
        <v>69.900000000000006</v>
      </c>
      <c r="BB91" s="12">
        <f>INDEX(ovrTable25,MATCH(INDEX('Structured 2025'!teamCol,ROW()),ovrTeamCol25,0),MATCH(MID(INDEX('Structured 2025'!headerRow,1,COLUMN()),4,LEN(INDEX('Structured 2025'!headerRow,1,COLUMN()))),ovrHeaderRow25,0))</f>
        <v>11</v>
      </c>
      <c r="BC91" s="12">
        <f>INDEX(ovrTable25,MATCH(INDEX('Structured 2025'!teamCol,ROW()),ovrTeamCol25,0),MATCH(MID(INDEX('Structured 2025'!headerRow,1,COLUMN()),4,LEN(INDEX('Structured 2025'!headerRow,1,COLUMN()))),ovrHeaderRow25,0))</f>
        <v>86.4</v>
      </c>
      <c r="BD91" s="12">
        <f>INDEX(ovrTable25,MATCH(INDEX('Structured 2025'!teamCol,ROW()),ovrTeamCol25,0),MATCH(MID(INDEX('Structured 2025'!headerRow,1,COLUMN()),4,LEN(INDEX('Structured 2025'!headerRow,1,COLUMN()))),ovrHeaderRow25,0))</f>
        <v>5.4</v>
      </c>
      <c r="BE91" s="12">
        <f>INDEX(ovrTable25,MATCH(INDEX('Structured 2025'!teamCol,ROW()),ovrTeamCol25,0),MATCH(MID(INDEX('Structured 2025'!headerRow,1,COLUMN()),4,LEN(INDEX('Structured 2025'!headerRow,1,COLUMN()))),ovrHeaderRow25,0))</f>
        <v>38.26</v>
      </c>
      <c r="BF91" s="12">
        <f>INDEX(ovrTable25,MATCH(INDEX('Structured 2025'!teamCol,ROW()),ovrTeamCol25,0),MATCH(MID(INDEX('Structured 2025'!headerRow,1,COLUMN()),4,LEN(INDEX('Structured 2025'!headerRow,1,COLUMN()))),ovrHeaderRow25,0))</f>
        <v>16.5</v>
      </c>
      <c r="BG91" s="12">
        <f>INDEX(ovrTable25,MATCH(INDEX('Structured 2025'!teamCol,ROW()),ovrTeamCol25,0),MATCH(MID(INDEX('Structured 2025'!headerRow,1,COLUMN()),4,LEN(INDEX('Structured 2025'!headerRow,1,COLUMN()))),ovrHeaderRow25,0))</f>
        <v>7.5</v>
      </c>
      <c r="BH91" s="12">
        <f>INDEX(ovrTable25,MATCH(INDEX('Structured 2025'!teamCol,ROW()),ovrTeamCol25,0),MATCH(MID(INDEX('Structured 2025'!headerRow,1,COLUMN()),4,LEN(INDEX('Structured 2025'!headerRow,1,COLUMN()))),ovrHeaderRow25,0))</f>
        <v>3.3</v>
      </c>
      <c r="BI91" s="12">
        <f>INDEX(ovrTable25,MATCH(INDEX('Structured 2025'!teamCol,ROW()),ovrTeamCol25,0),MATCH(MID(INDEX('Structured 2025'!headerRow,1,COLUMN()),4,LEN(INDEX('Structured 2025'!headerRow,1,COLUMN()))),ovrHeaderRow25,0))</f>
        <v>12.83</v>
      </c>
      <c r="BJ91" s="12">
        <f>INDEX(ovrTable25,MATCH(INDEX('Structured 2025'!teamCol,ROW()),ovrTeamCol25,0),MATCH(MID(INDEX('Structured 2025'!headerRow,1,COLUMN()),4,LEN(INDEX('Structured 2025'!headerRow,1,COLUMN()))),ovrHeaderRow25,0))</f>
        <v>9.5</v>
      </c>
      <c r="BK91" s="12">
        <f>INDEX(ovrTable25,MATCH(INDEX('Structured 2025'!teamCol,ROW()),ovrTeamCol25,0),MATCH(MID(INDEX('Structured 2025'!headerRow,1,COLUMN()),4,LEN(INDEX('Structured 2025'!headerRow,1,COLUMN()))),ovrHeaderRow25,0))</f>
        <v>70.5</v>
      </c>
      <c r="BL91" s="12">
        <f>INDEX(ovrTable25,MATCH(INDEX('Structured 2025'!teamCol,ROW()),ovrTeamCol25,0),MATCH(MID(INDEX('Structured 2025'!headerRow,1,COLUMN()),4,LEN(INDEX('Structured 2025'!headerRow,1,COLUMN()))),ovrHeaderRow25,0))</f>
        <v>24.150000000000006</v>
      </c>
      <c r="BM91" s="12">
        <f>INDEX(ovrTable25,MATCH(INDEX('Structured 2025'!teamCol,ROW()),ovrTeamCol25,0),MATCH(MID(INDEX('Structured 2025'!headerRow,1,COLUMN()),4,LEN(INDEX('Structured 2025'!headerRow,1,COLUMN()))),ovrHeaderRow25,0))</f>
        <v>63.173652694610787</v>
      </c>
      <c r="BN91" s="12">
        <f>INDEX(ovrTable25,MATCH(INDEX(oppCol,ROW()),ovrTeamCol25,0),MATCH(MID(INDEX('Structured 2025'!headerRow,1,COLUMN()),4,LEN(INDEX('Structured 2025'!headerRow,1,COLUMN()))),ovrHeaderRow25,0))</f>
        <v>30.2</v>
      </c>
      <c r="BO91" s="12">
        <f>INDEX(ovrTable25,MATCH(INDEX(oppCol,ROW()),ovrTeamCol25,0),MATCH(MID(INDEX('Structured 2025'!headerRow,1,COLUMN()),4,LEN(INDEX('Structured 2025'!headerRow,1,COLUMN()))),ovrHeaderRow25,0))</f>
        <v>8.1999999999999993</v>
      </c>
      <c r="BP91" s="12">
        <f>INDEX(ovrTable25,MATCH(INDEX(oppCol,ROW()),ovrTeamCol25,0),MATCH(MID(INDEX('Structured 2025'!headerRow,1,COLUMN()),4,LEN(INDEX('Structured 2025'!headerRow,1,COLUMN()))),ovrHeaderRow25,0))</f>
        <v>39.4</v>
      </c>
      <c r="BQ91" s="12">
        <f>INDEX(ovrTable25,MATCH(INDEX(oppCol,ROW()),ovrTeamCol25,0),MATCH(MID(INDEX('Structured 2025'!headerRow,1,COLUMN()),4,LEN(INDEX('Structured 2025'!headerRow,1,COLUMN()))),ovrHeaderRow25,0))</f>
        <v>20.7</v>
      </c>
      <c r="BR91" s="12">
        <f>INDEX(ovrTable25,MATCH(INDEX(oppCol,ROW()),ovrTeamCol25,0),MATCH(MID(INDEX('Structured 2025'!headerRow,1,COLUMN()),4,LEN(INDEX('Structured 2025'!headerRow,1,COLUMN()))),ovrHeaderRow25,0))</f>
        <v>1.34</v>
      </c>
      <c r="BS91" s="12">
        <f>INDEX(ovrTable25,MATCH(INDEX(oppCol,ROW()),ovrTeamCol25,0),MATCH(MID(INDEX('Structured 2025'!headerRow,1,COLUMN()),4,LEN(INDEX('Structured 2025'!headerRow,1,COLUMN()))),ovrHeaderRow25,0))</f>
        <v>12.1</v>
      </c>
      <c r="BT91" s="12">
        <f>INDEX(ovrTable25,MATCH(INDEX(oppCol,ROW()),ovrTeamCol25,0),MATCH(MID(INDEX('Structured 2025'!headerRow,1,COLUMN()),4,LEN(INDEX('Structured 2025'!headerRow,1,COLUMN()))),ovrHeaderRow25,0))</f>
        <v>18.73</v>
      </c>
      <c r="BU91" s="12">
        <f>INDEX(ovrTable25,MATCH(INDEX(oppCol,ROW()),ovrTeamCol25,0),MATCH(MID(INDEX('Structured 2025'!headerRow,1,COLUMN()),4,LEN(INDEX('Structured 2025'!headerRow,1,COLUMN()))),ovrHeaderRow25,0))</f>
        <v>4.5999999999999996</v>
      </c>
      <c r="BV91" s="12">
        <f>INDEX(ovrTable25,MATCH(INDEX(oppCol,ROW()),ovrTeamCol25,0),MATCH(MID(INDEX('Structured 2025'!headerRow,1,COLUMN()),4,LEN(INDEX('Structured 2025'!headerRow,1,COLUMN()))),ovrHeaderRow25,0))</f>
        <v>38.299999999999997</v>
      </c>
      <c r="BW91" s="12">
        <f>INDEX(ovrTable25,MATCH(INDEX(oppCol,ROW()),ovrTeamCol25,0),MATCH(MID(INDEX('Structured 2025'!headerRow,1,COLUMN()),4,LEN(INDEX('Structured 2025'!headerRow,1,COLUMN()))),ovrHeaderRow25,0))</f>
        <v>24.08</v>
      </c>
      <c r="BX91" s="12">
        <f>INDEX(ovrTable25,MATCH(INDEX(oppCol,ROW()),ovrTeamCol25,0),MATCH(MID(INDEX('Structured 2025'!headerRow,1,COLUMN()),4,LEN(INDEX('Structured 2025'!headerRow,1,COLUMN()))),ovrHeaderRow25,0))</f>
        <v>0.51700000000000002</v>
      </c>
      <c r="BY91" s="12">
        <f>INDEX(ovrTable25,MATCH(INDEX(oppCol,ROW()),ovrTeamCol25,0),MATCH(MID(INDEX('Structured 2025'!headerRow,1,COLUMN()),4,LEN(INDEX('Structured 2025'!headerRow,1,COLUMN()))),ovrHeaderRow25,0))</f>
        <v>7.6</v>
      </c>
      <c r="BZ91" s="12">
        <f>INDEX(ovrTable25,MATCH(INDEX(oppCol,ROW()),ovrTeamCol25,0),MATCH(MID(INDEX('Structured 2025'!headerRow,1,COLUMN()),4,LEN(INDEX('Structured 2025'!headerRow,1,COLUMN()))),ovrHeaderRow25,0))</f>
        <v>44.9</v>
      </c>
      <c r="CA91" s="12">
        <f>INDEX(ovrTable25,MATCH(INDEX(oppCol,ROW()),ovrTeamCol25,0),MATCH(MID(INDEX('Structured 2025'!headerRow,1,COLUMN()),4,LEN(INDEX('Structured 2025'!headerRow,1,COLUMN()))),ovrHeaderRow25,0))</f>
        <v>16.3</v>
      </c>
      <c r="CB91" s="12">
        <f>INDEX(ovrTable25,MATCH(INDEX(oppCol,ROW()),ovrTeamCol25,0),MATCH(MID(INDEX('Structured 2025'!headerRow,1,COLUMN()),4,LEN(INDEX('Structured 2025'!headerRow,1,COLUMN()))),ovrHeaderRow25,0))</f>
        <v>74</v>
      </c>
      <c r="CC91" s="12">
        <f>INDEX(ovrTable25,MATCH(INDEX(oppCol,ROW()),ovrTeamCol25,0),MATCH(MID(INDEX('Structured 2025'!headerRow,1,COLUMN()),4,LEN(INDEX('Structured 2025'!headerRow,1,COLUMN()))),ovrHeaderRow25,0))</f>
        <v>16.2</v>
      </c>
      <c r="CD91" s="12">
        <f>INDEX(ovrTable25,MATCH(INDEX(oppCol,ROW()),ovrTeamCol25,0),MATCH(MID(INDEX('Structured 2025'!headerRow,1,COLUMN()),4,LEN(INDEX('Structured 2025'!headerRow,1,COLUMN()))),ovrHeaderRow25,0))</f>
        <v>12</v>
      </c>
      <c r="CE91" s="12">
        <f>INDEX(ovrTable25,MATCH(INDEX(oppCol,ROW()),ovrTeamCol25,0),MATCH(MID(INDEX('Structured 2025'!headerRow,1,COLUMN()),4,LEN(INDEX('Structured 2025'!headerRow,1,COLUMN()))),ovrHeaderRow25,0))</f>
        <v>58.7</v>
      </c>
      <c r="CF91" s="12">
        <f>INDEX(ovrTable25,MATCH(INDEX(oppCol,ROW()),ovrTeamCol25,0),MATCH(MID(INDEX('Structured 2025'!headerRow,1,COLUMN()),4,LEN(INDEX('Structured 2025'!headerRow,1,COLUMN()))),ovrHeaderRow25,0))</f>
        <v>12.8</v>
      </c>
      <c r="CG91" s="12">
        <f>INDEX(ovrTable25,MATCH(INDEX(oppCol,ROW()),ovrTeamCol25,0),MATCH(MID(INDEX('Structured 2025'!headerRow,1,COLUMN()),4,LEN(INDEX('Structured 2025'!headerRow,1,COLUMN()))),ovrHeaderRow25,0))</f>
        <v>73.7</v>
      </c>
      <c r="CH91" s="12">
        <f>INDEX(ovrTable25,MATCH(INDEX(oppCol,ROW()),ovrTeamCol25,0),MATCH(MID(INDEX('Structured 2025'!headerRow,1,COLUMN()),4,LEN(INDEX('Structured 2025'!headerRow,1,COLUMN()))),ovrHeaderRow25,0))</f>
        <v>5.3</v>
      </c>
      <c r="CI91" s="12">
        <f>INDEX(ovrTable25,MATCH(INDEX(oppCol,ROW()),ovrTeamCol25,0),MATCH(MID(INDEX('Structured 2025'!headerRow,1,COLUMN()),4,LEN(INDEX('Structured 2025'!headerRow,1,COLUMN()))),ovrHeaderRow25,0))</f>
        <v>36.880000000000003</v>
      </c>
      <c r="CJ91" s="12">
        <f>INDEX(ovrTable25,MATCH(INDEX(oppCol,ROW()),ovrTeamCol25,0),MATCH(MID(INDEX('Structured 2025'!headerRow,1,COLUMN()),4,LEN(INDEX('Structured 2025'!headerRow,1,COLUMN()))),ovrHeaderRow25,0))</f>
        <v>15</v>
      </c>
      <c r="CK91" s="12">
        <f>INDEX(ovrTable25,MATCH(INDEX(oppCol,ROW()),ovrTeamCol25,0),MATCH(MID(INDEX('Structured 2025'!headerRow,1,COLUMN()),4,LEN(INDEX('Structured 2025'!headerRow,1,COLUMN()))),ovrHeaderRow25,0))</f>
        <v>7.8</v>
      </c>
      <c r="CL91" s="12">
        <f>INDEX(ovrTable25,MATCH(INDEX(oppCol,ROW()),ovrTeamCol25,0),MATCH(MID(INDEX('Structured 2025'!headerRow,1,COLUMN()),4,LEN(INDEX('Structured 2025'!headerRow,1,COLUMN()))),ovrHeaderRow25,0))</f>
        <v>4.2</v>
      </c>
      <c r="CM91" s="12">
        <f>INDEX(ovrTable25,MATCH(INDEX(oppCol,ROW()),ovrTeamCol25,0),MATCH(MID(INDEX('Structured 2025'!headerRow,1,COLUMN()),4,LEN(INDEX('Structured 2025'!headerRow,1,COLUMN()))),ovrHeaderRow25,0))</f>
        <v>13.23</v>
      </c>
      <c r="CN91" s="12">
        <f>INDEX(ovrTable25,MATCH(INDEX(oppCol,ROW()),ovrTeamCol25,0),MATCH(MID(INDEX('Structured 2025'!headerRow,1,COLUMN()),4,LEN(INDEX('Structured 2025'!headerRow,1,COLUMN()))),ovrHeaderRow25,0))</f>
        <v>9</v>
      </c>
      <c r="CO91" s="12">
        <f>INDEX(ovrTable25,MATCH(INDEX(oppCol,ROW()),ovrTeamCol25,0),MATCH(MID(INDEX('Structured 2025'!headerRow,1,COLUMN()),4,LEN(INDEX('Structured 2025'!headerRow,1,COLUMN()))),ovrHeaderRow25,0))</f>
        <v>61.9</v>
      </c>
      <c r="CP91" s="12">
        <f>INDEX(ovrTable25,MATCH(INDEX(oppCol,ROW()),ovrTeamCol25,0),MATCH(MID(INDEX('Structured 2025'!headerRow,1,COLUMN()),4,LEN(INDEX('Structured 2025'!headerRow,1,COLUMN()))),ovrHeaderRow25,0))</f>
        <v>18.550000000000004</v>
      </c>
      <c r="CQ91" s="12">
        <f>INDEX(ovrTable25,MATCH(INDEX(oppCol,ROW()),ovrTeamCol25,0),MATCH(MID(INDEX('Structured 2025'!headerRow,1,COLUMN()),4,LEN(INDEX('Structured 2025'!headerRow,1,COLUMN()))),ovrHeaderRow25,0))</f>
        <v>59.576837416481084</v>
      </c>
    </row>
    <row r="92" spans="1:95" x14ac:dyDescent="0.3">
      <c r="A92" s="6" t="s">
        <v>66</v>
      </c>
      <c r="B92" s="3">
        <v>12</v>
      </c>
      <c r="C92" s="13" t="str">
        <f>A93</f>
        <v>PUR</v>
      </c>
      <c r="D92" s="14">
        <f t="shared" si="97"/>
        <v>46</v>
      </c>
      <c r="E92" s="23">
        <v>0.42307692307692307</v>
      </c>
      <c r="F92" s="24">
        <v>44.642857142857146</v>
      </c>
      <c r="G92" s="24">
        <v>7</v>
      </c>
      <c r="H92" s="23">
        <v>33.333333333333329</v>
      </c>
      <c r="I92" s="24">
        <v>21</v>
      </c>
      <c r="J92" s="25">
        <v>1.0909090909090908</v>
      </c>
      <c r="K92" s="24">
        <v>5</v>
      </c>
      <c r="L92" s="24">
        <v>13</v>
      </c>
      <c r="M92" s="24">
        <v>7</v>
      </c>
      <c r="N92" s="24">
        <v>17</v>
      </c>
      <c r="O92" s="24">
        <v>12</v>
      </c>
      <c r="P92" s="24">
        <v>11</v>
      </c>
      <c r="Q92" s="24">
        <v>2</v>
      </c>
      <c r="R92" s="24">
        <v>11</v>
      </c>
      <c r="S92" s="24">
        <v>8</v>
      </c>
      <c r="T92" s="24">
        <v>21</v>
      </c>
      <c r="U92" s="24">
        <v>34</v>
      </c>
      <c r="V92" s="24">
        <v>0.45098039215686275</v>
      </c>
      <c r="W92" s="26">
        <v>0.5089285714285714</v>
      </c>
      <c r="X92" s="23">
        <v>38.461538461538467</v>
      </c>
      <c r="Y92" s="24">
        <v>76</v>
      </c>
      <c r="Z92" s="24">
        <v>62</v>
      </c>
      <c r="AA92" s="24">
        <v>-17</v>
      </c>
      <c r="AB92" s="24">
        <v>24</v>
      </c>
      <c r="AC92" s="24">
        <v>-14</v>
      </c>
      <c r="AD92" s="24">
        <v>8</v>
      </c>
      <c r="AE92" s="24">
        <v>19</v>
      </c>
      <c r="AF92" s="34">
        <f t="shared" si="69"/>
        <v>18</v>
      </c>
      <c r="AG92" s="34">
        <f t="shared" si="70"/>
        <v>35</v>
      </c>
      <c r="AH92" s="46">
        <f t="shared" si="71"/>
        <v>66.174999999999997</v>
      </c>
      <c r="AI92" s="51">
        <f t="shared" ref="AI92" si="99">AVERAGE(AH92,AH93)</f>
        <v>67.55</v>
      </c>
      <c r="AJ92" s="12">
        <f>INDEX(ovrTable25,MATCH(INDEX('Structured 2025'!teamCol,ROW()),ovrTeamCol25,0),MATCH(MID(INDEX('Structured 2025'!headerRow,1,COLUMN()),4,LEN(INDEX('Structured 2025'!headerRow,1,COLUMN()))),ovrHeaderRow25,0))</f>
        <v>32.299999999999997</v>
      </c>
      <c r="AK92" s="12">
        <f>INDEX(ovrTable25,MATCH(INDEX('Structured 2025'!teamCol,ROW()),ovrTeamCol25,0),MATCH(MID(INDEX('Structured 2025'!headerRow,1,COLUMN()),4,LEN(INDEX('Structured 2025'!headerRow,1,COLUMN()))),ovrHeaderRow25,0))</f>
        <v>7.5</v>
      </c>
      <c r="AL92" s="12">
        <f>INDEX(ovrTable25,MATCH(INDEX('Structured 2025'!teamCol,ROW()),ovrTeamCol25,0),MATCH(MID(INDEX('Structured 2025'!headerRow,1,COLUMN()),4,LEN(INDEX('Structured 2025'!headerRow,1,COLUMN()))),ovrHeaderRow25,0))</f>
        <v>35.4</v>
      </c>
      <c r="AM92" s="12">
        <f>INDEX(ovrTable25,MATCH(INDEX('Structured 2025'!teamCol,ROW()),ovrTeamCol25,0),MATCH(MID(INDEX('Structured 2025'!headerRow,1,COLUMN()),4,LEN(INDEX('Structured 2025'!headerRow,1,COLUMN()))),ovrHeaderRow25,0))</f>
        <v>21.2</v>
      </c>
      <c r="AN92" s="12">
        <f>INDEX(ovrTable25,MATCH(INDEX('Structured 2025'!teamCol,ROW()),ovrTeamCol25,0),MATCH(MID(INDEX('Structured 2025'!headerRow,1,COLUMN()),4,LEN(INDEX('Structured 2025'!headerRow,1,COLUMN()))),ovrHeaderRow25,0))</f>
        <v>1.29</v>
      </c>
      <c r="AO92" s="12">
        <f>INDEX(ovrTable25,MATCH(INDEX('Structured 2025'!teamCol,ROW()),ovrTeamCol25,0),MATCH(MID(INDEX('Structured 2025'!headerRow,1,COLUMN()),4,LEN(INDEX('Structured 2025'!headerRow,1,COLUMN()))),ovrHeaderRow25,0))</f>
        <v>14</v>
      </c>
      <c r="AP92" s="12">
        <f>INDEX(ovrTable25,MATCH(INDEX('Structured 2025'!teamCol,ROW()),ovrTeamCol25,0),MATCH(MID(INDEX('Structured 2025'!headerRow,1,COLUMN()),4,LEN(INDEX('Structured 2025'!headerRow,1,COLUMN()))),ovrHeaderRow25,0))</f>
        <v>26.43</v>
      </c>
      <c r="AQ92" s="12">
        <f>INDEX(ovrTable25,MATCH(INDEX('Structured 2025'!teamCol,ROW()),ovrTeamCol25,0),MATCH(MID(INDEX('Structured 2025'!headerRow,1,COLUMN()),4,LEN(INDEX('Structured 2025'!headerRow,1,COLUMN()))),ovrHeaderRow25,0))</f>
        <v>3.4</v>
      </c>
      <c r="AR92" s="12">
        <f>INDEX(ovrTable25,MATCH(INDEX('Structured 2025'!teamCol,ROW()),ovrTeamCol25,0),MATCH(MID(INDEX('Structured 2025'!headerRow,1,COLUMN()),4,LEN(INDEX('Structured 2025'!headerRow,1,COLUMN()))),ovrHeaderRow25,0))</f>
        <v>40.299999999999997</v>
      </c>
      <c r="AS92" s="12">
        <f>INDEX(ovrTable25,MATCH(INDEX('Structured 2025'!teamCol,ROW()),ovrTeamCol25,0),MATCH(MID(INDEX('Structured 2025'!headerRow,1,COLUMN()),4,LEN(INDEX('Structured 2025'!headerRow,1,COLUMN()))),ovrHeaderRow25,0))</f>
        <v>24.34</v>
      </c>
      <c r="AT92" s="12">
        <f>INDEX(ovrTable25,MATCH(INDEX('Structured 2025'!teamCol,ROW()),ovrTeamCol25,0),MATCH(MID(INDEX('Structured 2025'!headerRow,1,COLUMN()),4,LEN(INDEX('Structured 2025'!headerRow,1,COLUMN()))),ovrHeaderRow25,0))</f>
        <v>0.54200000000000004</v>
      </c>
      <c r="AU92" s="12">
        <f>INDEX(ovrTable25,MATCH(INDEX('Structured 2025'!teamCol,ROW()),ovrTeamCol25,0),MATCH(MID(INDEX('Structured 2025'!headerRow,1,COLUMN()),4,LEN(INDEX('Structured 2025'!headerRow,1,COLUMN()))),ovrHeaderRow25,0))</f>
        <v>10.6</v>
      </c>
      <c r="AV92" s="12">
        <f>INDEX(ovrTable25,MATCH(INDEX('Structured 2025'!teamCol,ROW()),ovrTeamCol25,0),MATCH(MID(INDEX('Structured 2025'!headerRow,1,COLUMN()),4,LEN(INDEX('Structured 2025'!headerRow,1,COLUMN()))),ovrHeaderRow25,0))</f>
        <v>47.7</v>
      </c>
      <c r="AW92" s="12">
        <f>INDEX(ovrTable25,MATCH(INDEX('Structured 2025'!teamCol,ROW()),ovrTeamCol25,0),MATCH(MID(INDEX('Structured 2025'!headerRow,1,COLUMN()),4,LEN(INDEX('Structured 2025'!headerRow,1,COLUMN()))),ovrHeaderRow25,0))</f>
        <v>16.3</v>
      </c>
      <c r="AX92" s="12">
        <f>INDEX(ovrTable25,MATCH(INDEX('Structured 2025'!teamCol,ROW()),ovrTeamCol25,0),MATCH(MID(INDEX('Structured 2025'!headerRow,1,COLUMN()),4,LEN(INDEX('Structured 2025'!headerRow,1,COLUMN()))),ovrHeaderRow25,0))</f>
        <v>69.7</v>
      </c>
      <c r="AY92" s="12">
        <f>INDEX(ovrTable25,MATCH(INDEX('Structured 2025'!teamCol,ROW()),ovrTeamCol25,0),MATCH(MID(INDEX('Structured 2025'!headerRow,1,COLUMN()),4,LEN(INDEX('Structured 2025'!headerRow,1,COLUMN()))),ovrHeaderRow25,0))</f>
        <v>20.100000000000001</v>
      </c>
      <c r="AZ92" s="12">
        <f>INDEX(ovrTable25,MATCH(INDEX('Structured 2025'!teamCol,ROW()),ovrTeamCol25,0),MATCH(MID(INDEX('Structured 2025'!headerRow,1,COLUMN()),4,LEN(INDEX('Structured 2025'!headerRow,1,COLUMN()))),ovrHeaderRow25,0))</f>
        <v>14</v>
      </c>
      <c r="BA92" s="12">
        <f>INDEX(ovrTable25,MATCH(INDEX('Structured 2025'!teamCol,ROW()),ovrTeamCol25,0),MATCH(MID(INDEX('Structured 2025'!headerRow,1,COLUMN()),4,LEN(INDEX('Structured 2025'!headerRow,1,COLUMN()))),ovrHeaderRow25,0))</f>
        <v>64.5</v>
      </c>
      <c r="BB92" s="12">
        <f>INDEX(ovrTable25,MATCH(INDEX('Structured 2025'!teamCol,ROW()),ovrTeamCol25,0),MATCH(MID(INDEX('Structured 2025'!headerRow,1,COLUMN()),4,LEN(INDEX('Structured 2025'!headerRow,1,COLUMN()))),ovrHeaderRow25,0))</f>
        <v>11.71</v>
      </c>
      <c r="BC92" s="12">
        <f>INDEX(ovrTable25,MATCH(INDEX('Structured 2025'!teamCol,ROW()),ovrTeamCol25,0),MATCH(MID(INDEX('Structured 2025'!headerRow,1,COLUMN()),4,LEN(INDEX('Structured 2025'!headerRow,1,COLUMN()))),ovrHeaderRow25,0))</f>
        <v>76.599999999999994</v>
      </c>
      <c r="BD92" s="12">
        <f>INDEX(ovrTable25,MATCH(INDEX('Structured 2025'!teamCol,ROW()),ovrTeamCol25,0),MATCH(MID(INDEX('Structured 2025'!headerRow,1,COLUMN()),4,LEN(INDEX('Structured 2025'!headerRow,1,COLUMN()))),ovrHeaderRow25,0))</f>
        <v>3.2</v>
      </c>
      <c r="BE92" s="12">
        <f>INDEX(ovrTable25,MATCH(INDEX('Structured 2025'!teamCol,ROW()),ovrTeamCol25,0),MATCH(MID(INDEX('Structured 2025'!headerRow,1,COLUMN()),4,LEN(INDEX('Structured 2025'!headerRow,1,COLUMN()))),ovrHeaderRow25,0))</f>
        <v>36.06</v>
      </c>
      <c r="BF92" s="12">
        <f>INDEX(ovrTable25,MATCH(INDEX('Structured 2025'!teamCol,ROW()),ovrTeamCol25,0),MATCH(MID(INDEX('Structured 2025'!headerRow,1,COLUMN()),4,LEN(INDEX('Structured 2025'!headerRow,1,COLUMN()))),ovrHeaderRow25,0))</f>
        <v>12.1</v>
      </c>
      <c r="BG92" s="12">
        <f>INDEX(ovrTable25,MATCH(INDEX('Structured 2025'!teamCol,ROW()),ovrTeamCol25,0),MATCH(MID(INDEX('Structured 2025'!headerRow,1,COLUMN()),4,LEN(INDEX('Structured 2025'!headerRow,1,COLUMN()))),ovrHeaderRow25,0))</f>
        <v>9</v>
      </c>
      <c r="BH92" s="12">
        <f>INDEX(ovrTable25,MATCH(INDEX('Structured 2025'!teamCol,ROW()),ovrTeamCol25,0),MATCH(MID(INDEX('Structured 2025'!headerRow,1,COLUMN()),4,LEN(INDEX('Structured 2025'!headerRow,1,COLUMN()))),ovrHeaderRow25,0))</f>
        <v>3.8</v>
      </c>
      <c r="BI92" s="12">
        <f>INDEX(ovrTable25,MATCH(INDEX('Structured 2025'!teamCol,ROW()),ovrTeamCol25,0),MATCH(MID(INDEX('Structured 2025'!headerRow,1,COLUMN()),4,LEN(INDEX('Structured 2025'!headerRow,1,COLUMN()))),ovrHeaderRow25,0))</f>
        <v>14.63</v>
      </c>
      <c r="BJ92" s="12">
        <f>INDEX(ovrTable25,MATCH(INDEX('Structured 2025'!teamCol,ROW()),ovrTeamCol25,0),MATCH(MID(INDEX('Structured 2025'!headerRow,1,COLUMN()),4,LEN(INDEX('Structured 2025'!headerRow,1,COLUMN()))),ovrHeaderRow25,0))</f>
        <v>10.8</v>
      </c>
      <c r="BK92" s="12">
        <f>INDEX(ovrTable25,MATCH(INDEX('Structured 2025'!teamCol,ROW()),ovrTeamCol25,0),MATCH(MID(INDEX('Structured 2025'!headerRow,1,COLUMN()),4,LEN(INDEX('Structured 2025'!headerRow,1,COLUMN()))),ovrHeaderRow25,0))</f>
        <v>65.900000000000006</v>
      </c>
      <c r="BL92" s="12">
        <f>INDEX(ovrTable25,MATCH(INDEX('Structured 2025'!teamCol,ROW()),ovrTeamCol25,0),MATCH(MID(INDEX('Structured 2025'!headerRow,1,COLUMN()),4,LEN(INDEX('Structured 2025'!headerRow,1,COLUMN()))),ovrHeaderRow25,0))</f>
        <v>20.049999999999997</v>
      </c>
      <c r="BM92" s="12">
        <f>INDEX(ovrTable25,MATCH(INDEX('Structured 2025'!teamCol,ROW()),ovrTeamCol25,0),MATCH(MID(INDEX('Structured 2025'!headerRow,1,COLUMN()),4,LEN(INDEX('Structured 2025'!headerRow,1,COLUMN()))),ovrHeaderRow25,0))</f>
        <v>57.756813417190763</v>
      </c>
      <c r="BN92" s="12">
        <f>INDEX(ovrTable25,MATCH(INDEX(oppCol,ROW()),ovrTeamCol25,0),MATCH(MID(INDEX('Structured 2025'!headerRow,1,COLUMN()),4,LEN(INDEX('Structured 2025'!headerRow,1,COLUMN()))),ovrHeaderRow25,0))</f>
        <v>31.2</v>
      </c>
      <c r="BO92" s="12">
        <f>INDEX(ovrTable25,MATCH(INDEX(oppCol,ROW()),ovrTeamCol25,0),MATCH(MID(INDEX('Structured 2025'!headerRow,1,COLUMN()),4,LEN(INDEX('Structured 2025'!headerRow,1,COLUMN()))),ovrHeaderRow25,0))</f>
        <v>8.3000000000000007</v>
      </c>
      <c r="BP92" s="12">
        <f>INDEX(ovrTable25,MATCH(INDEX(oppCol,ROW()),ovrTeamCol25,0),MATCH(MID(INDEX('Structured 2025'!headerRow,1,COLUMN()),4,LEN(INDEX('Structured 2025'!headerRow,1,COLUMN()))),ovrHeaderRow25,0))</f>
        <v>38.200000000000003</v>
      </c>
      <c r="BQ92" s="12">
        <f>INDEX(ovrTable25,MATCH(INDEX(oppCol,ROW()),ovrTeamCol25,0),MATCH(MID(INDEX('Structured 2025'!headerRow,1,COLUMN()),4,LEN(INDEX('Structured 2025'!headerRow,1,COLUMN()))),ovrHeaderRow25,0))</f>
        <v>21.6</v>
      </c>
      <c r="BR92" s="12">
        <f>INDEX(ovrTable25,MATCH(INDEX(oppCol,ROW()),ovrTeamCol25,0),MATCH(MID(INDEX('Structured 2025'!headerRow,1,COLUMN()),4,LEN(INDEX('Structured 2025'!headerRow,1,COLUMN()))),ovrHeaderRow25,0))</f>
        <v>1.53</v>
      </c>
      <c r="BS92" s="12">
        <f>INDEX(ovrTable25,MATCH(INDEX(oppCol,ROW()),ovrTeamCol25,0),MATCH(MID(INDEX('Structured 2025'!headerRow,1,COLUMN()),4,LEN(INDEX('Structured 2025'!headerRow,1,COLUMN()))),ovrHeaderRow25,0))</f>
        <v>15.9</v>
      </c>
      <c r="BT92" s="12">
        <f>INDEX(ovrTable25,MATCH(INDEX(oppCol,ROW()),ovrTeamCol25,0),MATCH(MID(INDEX('Structured 2025'!headerRow,1,COLUMN()),4,LEN(INDEX('Structured 2025'!headerRow,1,COLUMN()))),ovrHeaderRow25,0))</f>
        <v>17.03</v>
      </c>
      <c r="BU92" s="12">
        <f>INDEX(ovrTable25,MATCH(INDEX(oppCol,ROW()),ovrTeamCol25,0),MATCH(MID(INDEX('Structured 2025'!headerRow,1,COLUMN()),4,LEN(INDEX('Structured 2025'!headerRow,1,COLUMN()))),ovrHeaderRow25,0))</f>
        <v>1.6</v>
      </c>
      <c r="BV92" s="12">
        <f>INDEX(ovrTable25,MATCH(INDEX(oppCol,ROW()),ovrTeamCol25,0),MATCH(MID(INDEX('Structured 2025'!headerRow,1,COLUMN()),4,LEN(INDEX('Structured 2025'!headerRow,1,COLUMN()))),ovrHeaderRow25,0))</f>
        <v>45.2</v>
      </c>
      <c r="BW92" s="12">
        <f>INDEX(ovrTable25,MATCH(INDEX(oppCol,ROW()),ovrTeamCol25,0),MATCH(MID(INDEX('Structured 2025'!headerRow,1,COLUMN()),4,LEN(INDEX('Structured 2025'!headerRow,1,COLUMN()))),ovrHeaderRow25,0))</f>
        <v>23.08</v>
      </c>
      <c r="BX92" s="12">
        <f>INDEX(ovrTable25,MATCH(INDEX(oppCol,ROW()),ovrTeamCol25,0),MATCH(MID(INDEX('Structured 2025'!headerRow,1,COLUMN()),4,LEN(INDEX('Structured 2025'!headerRow,1,COLUMN()))),ovrHeaderRow25,0))</f>
        <v>0.55900000000000005</v>
      </c>
      <c r="BY92" s="12">
        <f>INDEX(ovrTable25,MATCH(INDEX(oppCol,ROW()),ovrTeamCol25,0),MATCH(MID(INDEX('Structured 2025'!headerRow,1,COLUMN()),4,LEN(INDEX('Structured 2025'!headerRow,1,COLUMN()))),ovrHeaderRow25,0))</f>
        <v>7.83</v>
      </c>
      <c r="BZ92" s="12">
        <f>INDEX(ovrTable25,MATCH(INDEX(oppCol,ROW()),ovrTeamCol25,0),MATCH(MID(INDEX('Structured 2025'!headerRow,1,COLUMN()),4,LEN(INDEX('Structured 2025'!headerRow,1,COLUMN()))),ovrHeaderRow25,0))</f>
        <v>48.6</v>
      </c>
      <c r="CA92" s="12">
        <f>INDEX(ovrTable25,MATCH(INDEX(oppCol,ROW()),ovrTeamCol25,0),MATCH(MID(INDEX('Structured 2025'!headerRow,1,COLUMN()),4,LEN(INDEX('Structured 2025'!headerRow,1,COLUMN()))),ovrHeaderRow25,0))</f>
        <v>15.8</v>
      </c>
      <c r="CB92" s="12">
        <f>INDEX(ovrTable25,MATCH(INDEX(oppCol,ROW()),ovrTeamCol25,0),MATCH(MID(INDEX('Structured 2025'!headerRow,1,COLUMN()),4,LEN(INDEX('Structured 2025'!headerRow,1,COLUMN()))),ovrHeaderRow25,0))</f>
        <v>73.2</v>
      </c>
      <c r="CC92" s="12">
        <f>INDEX(ovrTable25,MATCH(INDEX(oppCol,ROW()),ovrTeamCol25,0),MATCH(MID(INDEX('Structured 2025'!headerRow,1,COLUMN()),4,LEN(INDEX('Structured 2025'!headerRow,1,COLUMN()))),ovrHeaderRow25,0))</f>
        <v>19.5</v>
      </c>
      <c r="CD92" s="12">
        <f>INDEX(ovrTable25,MATCH(INDEX(oppCol,ROW()),ovrTeamCol25,0),MATCH(MID(INDEX('Structured 2025'!headerRow,1,COLUMN()),4,LEN(INDEX('Structured 2025'!headerRow,1,COLUMN()))),ovrHeaderRow25,0))</f>
        <v>14.3</v>
      </c>
      <c r="CE92" s="12">
        <f>INDEX(ovrTable25,MATCH(INDEX(oppCol,ROW()),ovrTeamCol25,0),MATCH(MID(INDEX('Structured 2025'!headerRow,1,COLUMN()),4,LEN(INDEX('Structured 2025'!headerRow,1,COLUMN()))),ovrHeaderRow25,0))</f>
        <v>70.400000000000006</v>
      </c>
      <c r="CF92" s="12">
        <f>INDEX(ovrTable25,MATCH(INDEX(oppCol,ROW()),ovrTeamCol25,0),MATCH(MID(INDEX('Structured 2025'!headerRow,1,COLUMN()),4,LEN(INDEX('Structured 2025'!headerRow,1,COLUMN()))),ovrHeaderRow25,0))</f>
        <v>9.7799999999999994</v>
      </c>
      <c r="CG92" s="12">
        <f>INDEX(ovrTable25,MATCH(INDEX(oppCol,ROW()),ovrTeamCol25,0),MATCH(MID(INDEX('Structured 2025'!headerRow,1,COLUMN()),4,LEN(INDEX('Structured 2025'!headerRow,1,COLUMN()))),ovrHeaderRow25,0))</f>
        <v>77.3</v>
      </c>
      <c r="CH92" s="12">
        <f>INDEX(ovrTable25,MATCH(INDEX(oppCol,ROW()),ovrTeamCol25,0),MATCH(MID(INDEX('Structured 2025'!headerRow,1,COLUMN()),4,LEN(INDEX('Structured 2025'!headerRow,1,COLUMN()))),ovrHeaderRow25,0))</f>
        <v>2.1</v>
      </c>
      <c r="CI92" s="12">
        <f>INDEX(ovrTable25,MATCH(INDEX(oppCol,ROW()),ovrTeamCol25,0),MATCH(MID(INDEX('Structured 2025'!headerRow,1,COLUMN()),4,LEN(INDEX('Structured 2025'!headerRow,1,COLUMN()))),ovrHeaderRow25,0))</f>
        <v>32.86</v>
      </c>
      <c r="CJ92" s="12">
        <f>INDEX(ovrTable25,MATCH(INDEX(oppCol,ROW()),ovrTeamCol25,0),MATCH(MID(INDEX('Structured 2025'!headerRow,1,COLUMN()),4,LEN(INDEX('Structured 2025'!headerRow,1,COLUMN()))),ovrHeaderRow25,0))</f>
        <v>6.9</v>
      </c>
      <c r="CK92" s="12">
        <f>INDEX(ovrTable25,MATCH(INDEX(oppCol,ROW()),ovrTeamCol25,0),MATCH(MID(INDEX('Structured 2025'!headerRow,1,COLUMN()),4,LEN(INDEX('Structured 2025'!headerRow,1,COLUMN()))),ovrHeaderRow25,0))</f>
        <v>6.4</v>
      </c>
      <c r="CL92" s="12">
        <f>INDEX(ovrTable25,MATCH(INDEX(oppCol,ROW()),ovrTeamCol25,0),MATCH(MID(INDEX('Structured 2025'!headerRow,1,COLUMN()),4,LEN(INDEX('Structured 2025'!headerRow,1,COLUMN()))),ovrHeaderRow25,0))</f>
        <v>1.2</v>
      </c>
      <c r="CM92" s="12">
        <f>INDEX(ovrTable25,MATCH(INDEX(oppCol,ROW()),ovrTeamCol25,0),MATCH(MID(INDEX('Structured 2025'!headerRow,1,COLUMN()),4,LEN(INDEX('Structured 2025'!headerRow,1,COLUMN()))),ovrHeaderRow25,0))</f>
        <v>11.61</v>
      </c>
      <c r="CN92" s="12">
        <f>INDEX(ovrTable25,MATCH(INDEX(oppCol,ROW()),ovrTeamCol25,0),MATCH(MID(INDEX('Structured 2025'!headerRow,1,COLUMN()),4,LEN(INDEX('Structured 2025'!headerRow,1,COLUMN()))),ovrHeaderRow25,0))</f>
        <v>10.4</v>
      </c>
      <c r="CO92" s="12">
        <f>INDEX(ovrTable25,MATCH(INDEX(oppCol,ROW()),ovrTeamCol25,0),MATCH(MID(INDEX('Structured 2025'!headerRow,1,COLUMN()),4,LEN(INDEX('Structured 2025'!headerRow,1,COLUMN()))),ovrHeaderRow25,0))</f>
        <v>65.099999999999994</v>
      </c>
      <c r="CP92" s="12">
        <f>INDEX(ovrTable25,MATCH(INDEX(oppCol,ROW()),ovrTeamCol25,0),MATCH(MID(INDEX('Structured 2025'!headerRow,1,COLUMN()),4,LEN(INDEX('Structured 2025'!headerRow,1,COLUMN()))),ovrHeaderRow25,0))</f>
        <v>19.049999999999997</v>
      </c>
      <c r="CQ92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93" spans="1:95" x14ac:dyDescent="0.3">
      <c r="A93" s="6" t="s">
        <v>54</v>
      </c>
      <c r="B93" s="3">
        <v>4</v>
      </c>
      <c r="C93" s="13" t="str">
        <f>A92</f>
        <v>MCN</v>
      </c>
      <c r="D93" s="14">
        <f t="shared" si="97"/>
        <v>46</v>
      </c>
      <c r="E93" s="23">
        <v>0.33333333333333331</v>
      </c>
      <c r="F93" s="24">
        <v>45.098039215686278</v>
      </c>
      <c r="G93" s="24">
        <v>11</v>
      </c>
      <c r="H93" s="23">
        <v>42.307692307692307</v>
      </c>
      <c r="I93" s="24">
        <v>26</v>
      </c>
      <c r="J93" s="25">
        <v>0.89473684210526316</v>
      </c>
      <c r="K93" s="24">
        <v>19</v>
      </c>
      <c r="L93" s="24">
        <v>23</v>
      </c>
      <c r="M93" s="24">
        <v>12</v>
      </c>
      <c r="N93" s="24">
        <v>29</v>
      </c>
      <c r="O93" s="24">
        <v>17</v>
      </c>
      <c r="P93" s="24">
        <v>6</v>
      </c>
      <c r="Q93" s="24">
        <v>1</v>
      </c>
      <c r="R93" s="24">
        <v>19</v>
      </c>
      <c r="S93" s="24">
        <v>13</v>
      </c>
      <c r="T93" s="24">
        <v>13</v>
      </c>
      <c r="U93" s="24">
        <v>16</v>
      </c>
      <c r="V93" s="24">
        <v>0.44642857142857145</v>
      </c>
      <c r="W93" s="26">
        <v>0.55882352941176472</v>
      </c>
      <c r="X93" s="23">
        <v>82.608695652173907</v>
      </c>
      <c r="Y93" s="24">
        <v>62</v>
      </c>
      <c r="Z93" s="24">
        <v>76</v>
      </c>
      <c r="AA93" s="24">
        <v>17</v>
      </c>
      <c r="AB93" s="24">
        <v>41</v>
      </c>
      <c r="AC93" s="24">
        <v>14</v>
      </c>
      <c r="AD93" s="24">
        <v>-8</v>
      </c>
      <c r="AE93" s="24">
        <v>11</v>
      </c>
      <c r="AF93" s="34">
        <f t="shared" si="69"/>
        <v>12</v>
      </c>
      <c r="AG93" s="34">
        <f t="shared" si="70"/>
        <v>25</v>
      </c>
      <c r="AH93" s="46">
        <f t="shared" si="71"/>
        <v>68.924999999999997</v>
      </c>
      <c r="AI93" s="51">
        <f t="shared" ref="AI93" si="100">AVERAGE(AH92,AH93)</f>
        <v>67.55</v>
      </c>
      <c r="AJ93" s="12">
        <f>INDEX(ovrTable25,MATCH(INDEX('Structured 2025'!teamCol,ROW()),ovrTeamCol25,0),MATCH(MID(INDEX('Structured 2025'!headerRow,1,COLUMN()),4,LEN(INDEX('Structured 2025'!headerRow,1,COLUMN()))),ovrHeaderRow25,0))</f>
        <v>31.2</v>
      </c>
      <c r="AK93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93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93" s="12">
        <f>INDEX(ovrTable25,MATCH(INDEX('Structured 2025'!teamCol,ROW()),ovrTeamCol25,0),MATCH(MID(INDEX('Structured 2025'!headerRow,1,COLUMN()),4,LEN(INDEX('Structured 2025'!headerRow,1,COLUMN()))),ovrHeaderRow25,0))</f>
        <v>21.6</v>
      </c>
      <c r="AN93" s="12">
        <f>INDEX(ovrTable25,MATCH(INDEX('Structured 2025'!teamCol,ROW()),ovrTeamCol25,0),MATCH(MID(INDEX('Structured 2025'!headerRow,1,COLUMN()),4,LEN(INDEX('Structured 2025'!headerRow,1,COLUMN()))),ovrHeaderRow25,0))</f>
        <v>1.53</v>
      </c>
      <c r="AO93" s="12">
        <f>INDEX(ovrTable25,MATCH(INDEX('Structured 2025'!teamCol,ROW()),ovrTeamCol25,0),MATCH(MID(INDEX('Structured 2025'!headerRow,1,COLUMN()),4,LEN(INDEX('Structured 2025'!headerRow,1,COLUMN()))),ovrHeaderRow25,0))</f>
        <v>15.9</v>
      </c>
      <c r="AP93" s="12">
        <f>INDEX(ovrTable25,MATCH(INDEX('Structured 2025'!teamCol,ROW()),ovrTeamCol25,0),MATCH(MID(INDEX('Structured 2025'!headerRow,1,COLUMN()),4,LEN(INDEX('Structured 2025'!headerRow,1,COLUMN()))),ovrHeaderRow25,0))</f>
        <v>17.03</v>
      </c>
      <c r="AQ93" s="12">
        <f>INDEX(ovrTable25,MATCH(INDEX('Structured 2025'!teamCol,ROW()),ovrTeamCol25,0),MATCH(MID(INDEX('Structured 2025'!headerRow,1,COLUMN()),4,LEN(INDEX('Structured 2025'!headerRow,1,COLUMN()))),ovrHeaderRow25,0))</f>
        <v>1.6</v>
      </c>
      <c r="AR93" s="12">
        <f>INDEX(ovrTable25,MATCH(INDEX('Structured 2025'!teamCol,ROW()),ovrTeamCol25,0),MATCH(MID(INDEX('Structured 2025'!headerRow,1,COLUMN()),4,LEN(INDEX('Structured 2025'!headerRow,1,COLUMN()))),ovrHeaderRow25,0))</f>
        <v>45.2</v>
      </c>
      <c r="AS93" s="12">
        <f>INDEX(ovrTable25,MATCH(INDEX('Structured 2025'!teamCol,ROW()),ovrTeamCol25,0),MATCH(MID(INDEX('Structured 2025'!headerRow,1,COLUMN()),4,LEN(INDEX('Structured 2025'!headerRow,1,COLUMN()))),ovrHeaderRow25,0))</f>
        <v>23.08</v>
      </c>
      <c r="AT93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93" s="12">
        <f>INDEX(ovrTable25,MATCH(INDEX('Structured 2025'!teamCol,ROW()),ovrTeamCol25,0),MATCH(MID(INDEX('Structured 2025'!headerRow,1,COLUMN()),4,LEN(INDEX('Structured 2025'!headerRow,1,COLUMN()))),ovrHeaderRow25,0))</f>
        <v>7.83</v>
      </c>
      <c r="AV93" s="12">
        <f>INDEX(ovrTable25,MATCH(INDEX('Structured 2025'!teamCol,ROW()),ovrTeamCol25,0),MATCH(MID(INDEX('Structured 2025'!headerRow,1,COLUMN()),4,LEN(INDEX('Structured 2025'!headerRow,1,COLUMN()))),ovrHeaderRow25,0))</f>
        <v>48.6</v>
      </c>
      <c r="AW93" s="12">
        <f>INDEX(ovrTable25,MATCH(INDEX('Structured 2025'!teamCol,ROW()),ovrTeamCol25,0),MATCH(MID(INDEX('Structured 2025'!headerRow,1,COLUMN()),4,LEN(INDEX('Structured 2025'!headerRow,1,COLUMN()))),ovrHeaderRow25,0))</f>
        <v>15.8</v>
      </c>
      <c r="AX93" s="12">
        <f>INDEX(ovrTable25,MATCH(INDEX('Structured 2025'!teamCol,ROW()),ovrTeamCol25,0),MATCH(MID(INDEX('Structured 2025'!headerRow,1,COLUMN()),4,LEN(INDEX('Structured 2025'!headerRow,1,COLUMN()))),ovrHeaderRow25,0))</f>
        <v>73.2</v>
      </c>
      <c r="AY93" s="12">
        <f>INDEX(ovrTable25,MATCH(INDEX('Structured 2025'!teamCol,ROW()),ovrTeamCol25,0),MATCH(MID(INDEX('Structured 2025'!headerRow,1,COLUMN()),4,LEN(INDEX('Structured 2025'!headerRow,1,COLUMN()))),ovrHeaderRow25,0))</f>
        <v>19.5</v>
      </c>
      <c r="AZ93" s="12">
        <f>INDEX(ovrTable25,MATCH(INDEX('Structured 2025'!teamCol,ROW()),ovrTeamCol25,0),MATCH(MID(INDEX('Structured 2025'!headerRow,1,COLUMN()),4,LEN(INDEX('Structured 2025'!headerRow,1,COLUMN()))),ovrHeaderRow25,0))</f>
        <v>14.3</v>
      </c>
      <c r="BA93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93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93" s="12">
        <f>INDEX(ovrTable25,MATCH(INDEX('Structured 2025'!teamCol,ROW()),ovrTeamCol25,0),MATCH(MID(INDEX('Structured 2025'!headerRow,1,COLUMN()),4,LEN(INDEX('Structured 2025'!headerRow,1,COLUMN()))),ovrHeaderRow25,0))</f>
        <v>77.3</v>
      </c>
      <c r="BD93" s="12">
        <f>INDEX(ovrTable25,MATCH(INDEX('Structured 2025'!teamCol,ROW()),ovrTeamCol25,0),MATCH(MID(INDEX('Structured 2025'!headerRow,1,COLUMN()),4,LEN(INDEX('Structured 2025'!headerRow,1,COLUMN()))),ovrHeaderRow25,0))</f>
        <v>2.1</v>
      </c>
      <c r="BE93" s="12">
        <f>INDEX(ovrTable25,MATCH(INDEX('Structured 2025'!teamCol,ROW()),ovrTeamCol25,0),MATCH(MID(INDEX('Structured 2025'!headerRow,1,COLUMN()),4,LEN(INDEX('Structured 2025'!headerRow,1,COLUMN()))),ovrHeaderRow25,0))</f>
        <v>32.86</v>
      </c>
      <c r="BF93" s="12">
        <f>INDEX(ovrTable25,MATCH(INDEX('Structured 2025'!teamCol,ROW()),ovrTeamCol25,0),MATCH(MID(INDEX('Structured 2025'!headerRow,1,COLUMN()),4,LEN(INDEX('Structured 2025'!headerRow,1,COLUMN()))),ovrHeaderRow25,0))</f>
        <v>6.9</v>
      </c>
      <c r="BG93" s="12">
        <f>INDEX(ovrTable25,MATCH(INDEX('Structured 2025'!teamCol,ROW()),ovrTeamCol25,0),MATCH(MID(INDEX('Structured 2025'!headerRow,1,COLUMN()),4,LEN(INDEX('Structured 2025'!headerRow,1,COLUMN()))),ovrHeaderRow25,0))</f>
        <v>6.4</v>
      </c>
      <c r="BH93" s="12">
        <f>INDEX(ovrTable25,MATCH(INDEX('Structured 2025'!teamCol,ROW()),ovrTeamCol25,0),MATCH(MID(INDEX('Structured 2025'!headerRow,1,COLUMN()),4,LEN(INDEX('Structured 2025'!headerRow,1,COLUMN()))),ovrHeaderRow25,0))</f>
        <v>1.2</v>
      </c>
      <c r="BI93" s="12">
        <f>INDEX(ovrTable25,MATCH(INDEX('Structured 2025'!teamCol,ROW()),ovrTeamCol25,0),MATCH(MID(INDEX('Structured 2025'!headerRow,1,COLUMN()),4,LEN(INDEX('Structured 2025'!headerRow,1,COLUMN()))),ovrHeaderRow25,0))</f>
        <v>11.61</v>
      </c>
      <c r="BJ93" s="12">
        <f>INDEX(ovrTable25,MATCH(INDEX('Structured 2025'!teamCol,ROW()),ovrTeamCol25,0),MATCH(MID(INDEX('Structured 2025'!headerRow,1,COLUMN()),4,LEN(INDEX('Structured 2025'!headerRow,1,COLUMN()))),ovrHeaderRow25,0))</f>
        <v>10.4</v>
      </c>
      <c r="BK93" s="12">
        <f>INDEX(ovrTable25,MATCH(INDEX('Structured 2025'!teamCol,ROW()),ovrTeamCol25,0),MATCH(MID(INDEX('Structured 2025'!headerRow,1,COLUMN()),4,LEN(INDEX('Structured 2025'!headerRow,1,COLUMN()))),ovrHeaderRow25,0))</f>
        <v>65.099999999999994</v>
      </c>
      <c r="BL93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93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93" s="12">
        <f>INDEX(ovrTable25,MATCH(INDEX(oppCol,ROW()),ovrTeamCol25,0),MATCH(MID(INDEX('Structured 2025'!headerRow,1,COLUMN()),4,LEN(INDEX('Structured 2025'!headerRow,1,COLUMN()))),ovrHeaderRow25,0))</f>
        <v>32.299999999999997</v>
      </c>
      <c r="BO93" s="12">
        <f>INDEX(ovrTable25,MATCH(INDEX(oppCol,ROW()),ovrTeamCol25,0),MATCH(MID(INDEX('Structured 2025'!headerRow,1,COLUMN()),4,LEN(INDEX('Structured 2025'!headerRow,1,COLUMN()))),ovrHeaderRow25,0))</f>
        <v>7.5</v>
      </c>
      <c r="BP93" s="12">
        <f>INDEX(ovrTable25,MATCH(INDEX(oppCol,ROW()),ovrTeamCol25,0),MATCH(MID(INDEX('Structured 2025'!headerRow,1,COLUMN()),4,LEN(INDEX('Structured 2025'!headerRow,1,COLUMN()))),ovrHeaderRow25,0))</f>
        <v>35.4</v>
      </c>
      <c r="BQ93" s="12">
        <f>INDEX(ovrTable25,MATCH(INDEX(oppCol,ROW()),ovrTeamCol25,0),MATCH(MID(INDEX('Structured 2025'!headerRow,1,COLUMN()),4,LEN(INDEX('Structured 2025'!headerRow,1,COLUMN()))),ovrHeaderRow25,0))</f>
        <v>21.2</v>
      </c>
      <c r="BR93" s="12">
        <f>INDEX(ovrTable25,MATCH(INDEX(oppCol,ROW()),ovrTeamCol25,0),MATCH(MID(INDEX('Structured 2025'!headerRow,1,COLUMN()),4,LEN(INDEX('Structured 2025'!headerRow,1,COLUMN()))),ovrHeaderRow25,0))</f>
        <v>1.29</v>
      </c>
      <c r="BS93" s="12">
        <f>INDEX(ovrTable25,MATCH(INDEX(oppCol,ROW()),ovrTeamCol25,0),MATCH(MID(INDEX('Structured 2025'!headerRow,1,COLUMN()),4,LEN(INDEX('Structured 2025'!headerRow,1,COLUMN()))),ovrHeaderRow25,0))</f>
        <v>14</v>
      </c>
      <c r="BT93" s="12">
        <f>INDEX(ovrTable25,MATCH(INDEX(oppCol,ROW()),ovrTeamCol25,0),MATCH(MID(INDEX('Structured 2025'!headerRow,1,COLUMN()),4,LEN(INDEX('Structured 2025'!headerRow,1,COLUMN()))),ovrHeaderRow25,0))</f>
        <v>26.43</v>
      </c>
      <c r="BU93" s="12">
        <f>INDEX(ovrTable25,MATCH(INDEX(oppCol,ROW()),ovrTeamCol25,0),MATCH(MID(INDEX('Structured 2025'!headerRow,1,COLUMN()),4,LEN(INDEX('Structured 2025'!headerRow,1,COLUMN()))),ovrHeaderRow25,0))</f>
        <v>3.4</v>
      </c>
      <c r="BV93" s="12">
        <f>INDEX(ovrTable25,MATCH(INDEX(oppCol,ROW()),ovrTeamCol25,0),MATCH(MID(INDEX('Structured 2025'!headerRow,1,COLUMN()),4,LEN(INDEX('Structured 2025'!headerRow,1,COLUMN()))),ovrHeaderRow25,0))</f>
        <v>40.299999999999997</v>
      </c>
      <c r="BW93" s="12">
        <f>INDEX(ovrTable25,MATCH(INDEX(oppCol,ROW()),ovrTeamCol25,0),MATCH(MID(INDEX('Structured 2025'!headerRow,1,COLUMN()),4,LEN(INDEX('Structured 2025'!headerRow,1,COLUMN()))),ovrHeaderRow25,0))</f>
        <v>24.34</v>
      </c>
      <c r="BX93" s="12">
        <f>INDEX(ovrTable25,MATCH(INDEX(oppCol,ROW()),ovrTeamCol25,0),MATCH(MID(INDEX('Structured 2025'!headerRow,1,COLUMN()),4,LEN(INDEX('Structured 2025'!headerRow,1,COLUMN()))),ovrHeaderRow25,0))</f>
        <v>0.54200000000000004</v>
      </c>
      <c r="BY93" s="12">
        <f>INDEX(ovrTable25,MATCH(INDEX(oppCol,ROW()),ovrTeamCol25,0),MATCH(MID(INDEX('Structured 2025'!headerRow,1,COLUMN()),4,LEN(INDEX('Structured 2025'!headerRow,1,COLUMN()))),ovrHeaderRow25,0))</f>
        <v>10.6</v>
      </c>
      <c r="BZ93" s="12">
        <f>INDEX(ovrTable25,MATCH(INDEX(oppCol,ROW()),ovrTeamCol25,0),MATCH(MID(INDEX('Structured 2025'!headerRow,1,COLUMN()),4,LEN(INDEX('Structured 2025'!headerRow,1,COLUMN()))),ovrHeaderRow25,0))</f>
        <v>47.7</v>
      </c>
      <c r="CA93" s="12">
        <f>INDEX(ovrTable25,MATCH(INDEX(oppCol,ROW()),ovrTeamCol25,0),MATCH(MID(INDEX('Structured 2025'!headerRow,1,COLUMN()),4,LEN(INDEX('Structured 2025'!headerRow,1,COLUMN()))),ovrHeaderRow25,0))</f>
        <v>16.3</v>
      </c>
      <c r="CB93" s="12">
        <f>INDEX(ovrTable25,MATCH(INDEX(oppCol,ROW()),ovrTeamCol25,0),MATCH(MID(INDEX('Structured 2025'!headerRow,1,COLUMN()),4,LEN(INDEX('Structured 2025'!headerRow,1,COLUMN()))),ovrHeaderRow25,0))</f>
        <v>69.7</v>
      </c>
      <c r="CC93" s="12">
        <f>INDEX(ovrTable25,MATCH(INDEX(oppCol,ROW()),ovrTeamCol25,0),MATCH(MID(INDEX('Structured 2025'!headerRow,1,COLUMN()),4,LEN(INDEX('Structured 2025'!headerRow,1,COLUMN()))),ovrHeaderRow25,0))</f>
        <v>20.100000000000001</v>
      </c>
      <c r="CD93" s="12">
        <f>INDEX(ovrTable25,MATCH(INDEX(oppCol,ROW()),ovrTeamCol25,0),MATCH(MID(INDEX('Structured 2025'!headerRow,1,COLUMN()),4,LEN(INDEX('Structured 2025'!headerRow,1,COLUMN()))),ovrHeaderRow25,0))</f>
        <v>14</v>
      </c>
      <c r="CE93" s="12">
        <f>INDEX(ovrTable25,MATCH(INDEX(oppCol,ROW()),ovrTeamCol25,0),MATCH(MID(INDEX('Structured 2025'!headerRow,1,COLUMN()),4,LEN(INDEX('Structured 2025'!headerRow,1,COLUMN()))),ovrHeaderRow25,0))</f>
        <v>64.5</v>
      </c>
      <c r="CF93" s="12">
        <f>INDEX(ovrTable25,MATCH(INDEX(oppCol,ROW()),ovrTeamCol25,0),MATCH(MID(INDEX('Structured 2025'!headerRow,1,COLUMN()),4,LEN(INDEX('Structured 2025'!headerRow,1,COLUMN()))),ovrHeaderRow25,0))</f>
        <v>11.71</v>
      </c>
      <c r="CG93" s="12">
        <f>INDEX(ovrTable25,MATCH(INDEX(oppCol,ROW()),ovrTeamCol25,0),MATCH(MID(INDEX('Structured 2025'!headerRow,1,COLUMN()),4,LEN(INDEX('Structured 2025'!headerRow,1,COLUMN()))),ovrHeaderRow25,0))</f>
        <v>76.599999999999994</v>
      </c>
      <c r="CH93" s="12">
        <f>INDEX(ovrTable25,MATCH(INDEX(oppCol,ROW()),ovrTeamCol25,0),MATCH(MID(INDEX('Structured 2025'!headerRow,1,COLUMN()),4,LEN(INDEX('Structured 2025'!headerRow,1,COLUMN()))),ovrHeaderRow25,0))</f>
        <v>3.2</v>
      </c>
      <c r="CI93" s="12">
        <f>INDEX(ovrTable25,MATCH(INDEX(oppCol,ROW()),ovrTeamCol25,0),MATCH(MID(INDEX('Structured 2025'!headerRow,1,COLUMN()),4,LEN(INDEX('Structured 2025'!headerRow,1,COLUMN()))),ovrHeaderRow25,0))</f>
        <v>36.06</v>
      </c>
      <c r="CJ93" s="12">
        <f>INDEX(ovrTable25,MATCH(INDEX(oppCol,ROW()),ovrTeamCol25,0),MATCH(MID(INDEX('Structured 2025'!headerRow,1,COLUMN()),4,LEN(INDEX('Structured 2025'!headerRow,1,COLUMN()))),ovrHeaderRow25,0))</f>
        <v>12.1</v>
      </c>
      <c r="CK93" s="12">
        <f>INDEX(ovrTable25,MATCH(INDEX(oppCol,ROW()),ovrTeamCol25,0),MATCH(MID(INDEX('Structured 2025'!headerRow,1,COLUMN()),4,LEN(INDEX('Structured 2025'!headerRow,1,COLUMN()))),ovrHeaderRow25,0))</f>
        <v>9</v>
      </c>
      <c r="CL93" s="12">
        <f>INDEX(ovrTable25,MATCH(INDEX(oppCol,ROW()),ovrTeamCol25,0),MATCH(MID(INDEX('Structured 2025'!headerRow,1,COLUMN()),4,LEN(INDEX('Structured 2025'!headerRow,1,COLUMN()))),ovrHeaderRow25,0))</f>
        <v>3.8</v>
      </c>
      <c r="CM93" s="12">
        <f>INDEX(ovrTable25,MATCH(INDEX(oppCol,ROW()),ovrTeamCol25,0),MATCH(MID(INDEX('Structured 2025'!headerRow,1,COLUMN()),4,LEN(INDEX('Structured 2025'!headerRow,1,COLUMN()))),ovrHeaderRow25,0))</f>
        <v>14.63</v>
      </c>
      <c r="CN93" s="12">
        <f>INDEX(ovrTable25,MATCH(INDEX(oppCol,ROW()),ovrTeamCol25,0),MATCH(MID(INDEX('Structured 2025'!headerRow,1,COLUMN()),4,LEN(INDEX('Structured 2025'!headerRow,1,COLUMN()))),ovrHeaderRow25,0))</f>
        <v>10.8</v>
      </c>
      <c r="CO93" s="12">
        <f>INDEX(ovrTable25,MATCH(INDEX(oppCol,ROW()),ovrTeamCol25,0),MATCH(MID(INDEX('Structured 2025'!headerRow,1,COLUMN()),4,LEN(INDEX('Structured 2025'!headerRow,1,COLUMN()))),ovrHeaderRow25,0))</f>
        <v>65.900000000000006</v>
      </c>
      <c r="CP93" s="12">
        <f>INDEX(ovrTable25,MATCH(INDEX(oppCol,ROW()),ovrTeamCol25,0),MATCH(MID(INDEX('Structured 2025'!headerRow,1,COLUMN()),4,LEN(INDEX('Structured 2025'!headerRow,1,COLUMN()))),ovrHeaderRow25,0))</f>
        <v>20.049999999999997</v>
      </c>
      <c r="CQ93" s="12">
        <f>INDEX(ovrTable25,MATCH(INDEX(oppCol,ROW()),ovrTeamCol25,0),MATCH(MID(INDEX('Structured 2025'!headerRow,1,COLUMN()),4,LEN(INDEX('Structured 2025'!headerRow,1,COLUMN()))),ovrHeaderRow25,0))</f>
        <v>57.756813417190763</v>
      </c>
    </row>
    <row r="94" spans="1:95" x14ac:dyDescent="0.3">
      <c r="A94" s="6" t="s">
        <v>4</v>
      </c>
      <c r="B94" s="3">
        <v>6</v>
      </c>
      <c r="C94" s="13" t="str">
        <f>A95</f>
        <v>UK</v>
      </c>
      <c r="D94" s="14">
        <f t="shared" si="97"/>
        <v>47</v>
      </c>
      <c r="E94" s="23">
        <v>0.38095238095238093</v>
      </c>
      <c r="F94" s="24">
        <v>43.548387096774192</v>
      </c>
      <c r="G94" s="24">
        <v>9</v>
      </c>
      <c r="H94" s="23">
        <v>28.125</v>
      </c>
      <c r="I94" s="24">
        <v>32</v>
      </c>
      <c r="J94" s="25">
        <v>0.8571428571428571</v>
      </c>
      <c r="K94" s="24">
        <v>12</v>
      </c>
      <c r="L94" s="24">
        <v>19</v>
      </c>
      <c r="M94" s="24">
        <v>12</v>
      </c>
      <c r="N94" s="24">
        <v>32</v>
      </c>
      <c r="O94" s="24">
        <v>12</v>
      </c>
      <c r="P94" s="24">
        <v>3</v>
      </c>
      <c r="Q94" s="24">
        <v>5</v>
      </c>
      <c r="R94" s="24">
        <v>14</v>
      </c>
      <c r="S94" s="24">
        <v>11</v>
      </c>
      <c r="T94" s="24">
        <v>20</v>
      </c>
      <c r="U94" s="24">
        <v>7</v>
      </c>
      <c r="V94" s="24">
        <v>0.47058823529411764</v>
      </c>
      <c r="W94" s="26">
        <v>0.50806451612903225</v>
      </c>
      <c r="X94" s="23">
        <v>63.157894736842103</v>
      </c>
      <c r="Y94" s="24">
        <v>84</v>
      </c>
      <c r="Z94" s="24">
        <v>75</v>
      </c>
      <c r="AA94" s="24">
        <v>8</v>
      </c>
      <c r="AB94" s="24">
        <v>44</v>
      </c>
      <c r="AC94" s="24">
        <v>-9</v>
      </c>
      <c r="AD94" s="24">
        <v>-9</v>
      </c>
      <c r="AE94" s="24">
        <v>5</v>
      </c>
      <c r="AF94" s="34">
        <f t="shared" si="69"/>
        <v>18</v>
      </c>
      <c r="AG94" s="34">
        <f t="shared" si="70"/>
        <v>30</v>
      </c>
      <c r="AH94" s="46">
        <f t="shared" si="71"/>
        <v>73.025000000000006</v>
      </c>
      <c r="AI94" s="51">
        <f t="shared" ref="AI94" si="101">AVERAGE(AH94,AH95)</f>
        <v>73.262500000000003</v>
      </c>
      <c r="AJ94" s="12">
        <f>INDEX(ovrTable25,MATCH(INDEX('Structured 2025'!teamCol,ROW()),ovrTeamCol25,0),MATCH(MID(INDEX('Structured 2025'!headerRow,1,COLUMN()),4,LEN(INDEX('Structured 2025'!headerRow,1,COLUMN()))),ovrHeaderRow25,0))</f>
        <v>33.6</v>
      </c>
      <c r="AK94" s="12">
        <f>INDEX(ovrTable25,MATCH(INDEX('Structured 2025'!teamCol,ROW()),ovrTeamCol25,0),MATCH(MID(INDEX('Structured 2025'!headerRow,1,COLUMN()),4,LEN(INDEX('Structured 2025'!headerRow,1,COLUMN()))),ovrHeaderRow25,0))</f>
        <v>9.4</v>
      </c>
      <c r="AL94" s="12">
        <f>INDEX(ovrTable25,MATCH(INDEX('Structured 2025'!teamCol,ROW()),ovrTeamCol25,0),MATCH(MID(INDEX('Structured 2025'!headerRow,1,COLUMN()),4,LEN(INDEX('Structured 2025'!headerRow,1,COLUMN()))),ovrHeaderRow25,0))</f>
        <v>31.3</v>
      </c>
      <c r="AM94" s="12">
        <f>INDEX(ovrTable25,MATCH(INDEX('Structured 2025'!teamCol,ROW()),ovrTeamCol25,0),MATCH(MID(INDEX('Structured 2025'!headerRow,1,COLUMN()),4,LEN(INDEX('Structured 2025'!headerRow,1,COLUMN()))),ovrHeaderRow25,0))</f>
        <v>30.1</v>
      </c>
      <c r="AN94" s="12">
        <f>INDEX(ovrTable25,MATCH(INDEX('Structured 2025'!teamCol,ROW()),ovrTeamCol25,0),MATCH(MID(INDEX('Structured 2025'!headerRow,1,COLUMN()),4,LEN(INDEX('Structured 2025'!headerRow,1,COLUMN()))),ovrHeaderRow25,0))</f>
        <v>1.27</v>
      </c>
      <c r="AO94" s="12">
        <f>INDEX(ovrTable25,MATCH(INDEX('Structured 2025'!teamCol,ROW()),ovrTeamCol25,0),MATCH(MID(INDEX('Structured 2025'!headerRow,1,COLUMN()),4,LEN(INDEX('Structured 2025'!headerRow,1,COLUMN()))),ovrHeaderRow25,0))</f>
        <v>14.9</v>
      </c>
      <c r="AP94" s="12">
        <f>INDEX(ovrTable25,MATCH(INDEX('Structured 2025'!teamCol,ROW()),ovrTeamCol25,0),MATCH(MID(INDEX('Structured 2025'!headerRow,1,COLUMN()),4,LEN(INDEX('Structured 2025'!headerRow,1,COLUMN()))),ovrHeaderRow25,0))</f>
        <v>23.74</v>
      </c>
      <c r="AQ94" s="12">
        <f>INDEX(ovrTable25,MATCH(INDEX('Structured 2025'!teamCol,ROW()),ovrTeamCol25,0),MATCH(MID(INDEX('Structured 2025'!headerRow,1,COLUMN()),4,LEN(INDEX('Structured 2025'!headerRow,1,COLUMN()))),ovrHeaderRow25,0))</f>
        <v>4.2</v>
      </c>
      <c r="AR94" s="12">
        <f>INDEX(ovrTable25,MATCH(INDEX('Structured 2025'!teamCol,ROW()),ovrTeamCol25,0),MATCH(MID(INDEX('Structured 2025'!headerRow,1,COLUMN()),4,LEN(INDEX('Structured 2025'!headerRow,1,COLUMN()))),ovrHeaderRow25,0))</f>
        <v>42.3</v>
      </c>
      <c r="AS94" s="12">
        <f>INDEX(ovrTable25,MATCH(INDEX('Structured 2025'!teamCol,ROW()),ovrTeamCol25,0),MATCH(MID(INDEX('Structured 2025'!headerRow,1,COLUMN()),4,LEN(INDEX('Structured 2025'!headerRow,1,COLUMN()))),ovrHeaderRow25,0))</f>
        <v>29.69</v>
      </c>
      <c r="AT94" s="12">
        <f>INDEX(ovrTable25,MATCH(INDEX('Structured 2025'!teamCol,ROW()),ovrTeamCol25,0),MATCH(MID(INDEX('Structured 2025'!headerRow,1,COLUMN()),4,LEN(INDEX('Structured 2025'!headerRow,1,COLUMN()))),ovrHeaderRow25,0))</f>
        <v>0.52400000000000002</v>
      </c>
      <c r="AU94" s="12">
        <f>INDEX(ovrTable25,MATCH(INDEX('Structured 2025'!teamCol,ROW()),ovrTeamCol25,0),MATCH(MID(INDEX('Structured 2025'!headerRow,1,COLUMN()),4,LEN(INDEX('Structured 2025'!headerRow,1,COLUMN()))),ovrHeaderRow25,0))</f>
        <v>7.2</v>
      </c>
      <c r="AV94" s="12">
        <f>INDEX(ovrTable25,MATCH(INDEX('Structured 2025'!teamCol,ROW()),ovrTeamCol25,0),MATCH(MID(INDEX('Structured 2025'!headerRow,1,COLUMN()),4,LEN(INDEX('Structured 2025'!headerRow,1,COLUMN()))),ovrHeaderRow25,0))</f>
        <v>45.1</v>
      </c>
      <c r="AW94" s="12">
        <f>INDEX(ovrTable25,MATCH(INDEX('Structured 2025'!teamCol,ROW()),ovrTeamCol25,0),MATCH(MID(INDEX('Structured 2025'!headerRow,1,COLUMN()),4,LEN(INDEX('Structured 2025'!headerRow,1,COLUMN()))),ovrHeaderRow25,0))</f>
        <v>16.2</v>
      </c>
      <c r="AX94" s="12">
        <f>INDEX(ovrTable25,MATCH(INDEX('Structured 2025'!teamCol,ROW()),ovrTeamCol25,0),MATCH(MID(INDEX('Structured 2025'!headerRow,1,COLUMN()),4,LEN(INDEX('Structured 2025'!headerRow,1,COLUMN()))),ovrHeaderRow25,0))</f>
        <v>76.2</v>
      </c>
      <c r="AY94" s="12">
        <f>INDEX(ovrTable25,MATCH(INDEX('Structured 2025'!teamCol,ROW()),ovrTeamCol25,0),MATCH(MID(INDEX('Structured 2025'!headerRow,1,COLUMN()),4,LEN(INDEX('Structured 2025'!headerRow,1,COLUMN()))),ovrHeaderRow25,0))</f>
        <v>21.9</v>
      </c>
      <c r="AZ94" s="12">
        <f>INDEX(ovrTable25,MATCH(INDEX('Structured 2025'!teamCol,ROW()),ovrTeamCol25,0),MATCH(MID(INDEX('Structured 2025'!headerRow,1,COLUMN()),4,LEN(INDEX('Structured 2025'!headerRow,1,COLUMN()))),ovrHeaderRow25,0))</f>
        <v>16.7</v>
      </c>
      <c r="BA94" s="12">
        <f>INDEX(ovrTable25,MATCH(INDEX('Structured 2025'!teamCol,ROW()),ovrTeamCol25,0),MATCH(MID(INDEX('Structured 2025'!headerRow,1,COLUMN()),4,LEN(INDEX('Structured 2025'!headerRow,1,COLUMN()))),ovrHeaderRow25,0))</f>
        <v>74.8</v>
      </c>
      <c r="BB94" s="12">
        <f>INDEX(ovrTable25,MATCH(INDEX('Structured 2025'!teamCol,ROW()),ovrTeamCol25,0),MATCH(MID(INDEX('Structured 2025'!headerRow,1,COLUMN()),4,LEN(INDEX('Structured 2025'!headerRow,1,COLUMN()))),ovrHeaderRow25,0))</f>
        <v>12.94</v>
      </c>
      <c r="BC94" s="12">
        <f>INDEX(ovrTable25,MATCH(INDEX('Structured 2025'!teamCol,ROW()),ovrTeamCol25,0),MATCH(MID(INDEX('Structured 2025'!headerRow,1,COLUMN()),4,LEN(INDEX('Structured 2025'!headerRow,1,COLUMN()))),ovrHeaderRow25,0))</f>
        <v>83.6</v>
      </c>
      <c r="BD94" s="12">
        <f>INDEX(ovrTable25,MATCH(INDEX('Structured 2025'!teamCol,ROW()),ovrTeamCol25,0),MATCH(MID(INDEX('Structured 2025'!headerRow,1,COLUMN()),4,LEN(INDEX('Structured 2025'!headerRow,1,COLUMN()))),ovrHeaderRow25,0))</f>
        <v>9.1</v>
      </c>
      <c r="BE94" s="12">
        <f>INDEX(ovrTable25,MATCH(INDEX('Structured 2025'!teamCol,ROW()),ovrTeamCol25,0),MATCH(MID(INDEX('Structured 2025'!headerRow,1,COLUMN()),4,LEN(INDEX('Structured 2025'!headerRow,1,COLUMN()))),ovrHeaderRow25,0))</f>
        <v>42.63</v>
      </c>
      <c r="BF94" s="12">
        <f>INDEX(ovrTable25,MATCH(INDEX('Structured 2025'!teamCol,ROW()),ovrTeamCol25,0),MATCH(MID(INDEX('Structured 2025'!headerRow,1,COLUMN()),4,LEN(INDEX('Structured 2025'!headerRow,1,COLUMN()))),ovrHeaderRow25,0))</f>
        <v>8.8000000000000007</v>
      </c>
      <c r="BG94" s="12">
        <f>INDEX(ovrTable25,MATCH(INDEX('Structured 2025'!teamCol,ROW()),ovrTeamCol25,0),MATCH(MID(INDEX('Structured 2025'!headerRow,1,COLUMN()),4,LEN(INDEX('Structured 2025'!headerRow,1,COLUMN()))),ovrHeaderRow25,0))</f>
        <v>4.3</v>
      </c>
      <c r="BH94" s="12">
        <f>INDEX(ovrTable25,MATCH(INDEX('Structured 2025'!teamCol,ROW()),ovrTeamCol25,0),MATCH(MID(INDEX('Structured 2025'!headerRow,1,COLUMN()),4,LEN(INDEX('Structured 2025'!headerRow,1,COLUMN()))),ovrHeaderRow25,0))</f>
        <v>-2.7</v>
      </c>
      <c r="BI94" s="12">
        <f>INDEX(ovrTable25,MATCH(INDEX('Structured 2025'!teamCol,ROW()),ovrTeamCol25,0),MATCH(MID(INDEX('Structured 2025'!headerRow,1,COLUMN()),4,LEN(INDEX('Structured 2025'!headerRow,1,COLUMN()))),ovrHeaderRow25,0))</f>
        <v>9</v>
      </c>
      <c r="BJ94" s="12">
        <f>INDEX(ovrTable25,MATCH(INDEX('Structured 2025'!teamCol,ROW()),ovrTeamCol25,0),MATCH(MID(INDEX('Structured 2025'!headerRow,1,COLUMN()),4,LEN(INDEX('Structured 2025'!headerRow,1,COLUMN()))),ovrHeaderRow25,0))</f>
        <v>11.7</v>
      </c>
      <c r="BK94" s="12">
        <f>INDEX(ovrTable25,MATCH(INDEX('Structured 2025'!teamCol,ROW()),ovrTeamCol25,0),MATCH(MID(INDEX('Structured 2025'!headerRow,1,COLUMN()),4,LEN(INDEX('Structured 2025'!headerRow,1,COLUMN()))),ovrHeaderRow25,0))</f>
        <v>71.5</v>
      </c>
      <c r="BL94" s="12">
        <f>INDEX(ovrTable25,MATCH(INDEX('Structured 2025'!teamCol,ROW()),ovrTeamCol25,0),MATCH(MID(INDEX('Structured 2025'!headerRow,1,COLUMN()),4,LEN(INDEX('Structured 2025'!headerRow,1,COLUMN()))),ovrHeaderRow25,0))</f>
        <v>19.349999999999994</v>
      </c>
      <c r="BM94" s="12">
        <f>INDEX(ovrTable25,MATCH(INDEX('Structured 2025'!teamCol,ROW()),ovrTeamCol25,0),MATCH(MID(INDEX('Structured 2025'!headerRow,1,COLUMN()),4,LEN(INDEX('Structured 2025'!headerRow,1,COLUMN()))),ovrHeaderRow25,0))</f>
        <v>63.747228381374704</v>
      </c>
      <c r="BN94" s="12">
        <f>INDEX(ovrTable25,MATCH(INDEX(oppCol,ROW()),ovrTeamCol25,0),MATCH(MID(INDEX('Structured 2025'!headerRow,1,COLUMN()),4,LEN(INDEX('Structured 2025'!headerRow,1,COLUMN()))),ovrHeaderRow25,0))</f>
        <v>30.5</v>
      </c>
      <c r="BO94" s="12">
        <f>INDEX(ovrTable25,MATCH(INDEX(oppCol,ROW()),ovrTeamCol25,0),MATCH(MID(INDEX('Structured 2025'!headerRow,1,COLUMN()),4,LEN(INDEX('Structured 2025'!headerRow,1,COLUMN()))),ovrHeaderRow25,0))</f>
        <v>9.5</v>
      </c>
      <c r="BP94" s="12">
        <f>INDEX(ovrTable25,MATCH(INDEX(oppCol,ROW()),ovrTeamCol25,0),MATCH(MID(INDEX('Structured 2025'!headerRow,1,COLUMN()),4,LEN(INDEX('Structured 2025'!headerRow,1,COLUMN()))),ovrHeaderRow25,0))</f>
        <v>37.5</v>
      </c>
      <c r="BQ94" s="12">
        <f>INDEX(ovrTable25,MATCH(INDEX(oppCol,ROW()),ovrTeamCol25,0),MATCH(MID(INDEX('Structured 2025'!headerRow,1,COLUMN()),4,LEN(INDEX('Structured 2025'!headerRow,1,COLUMN()))),ovrHeaderRow25,0))</f>
        <v>25.3</v>
      </c>
      <c r="BR94" s="12">
        <f>INDEX(ovrTable25,MATCH(INDEX(oppCol,ROW()),ovrTeamCol25,0),MATCH(MID(INDEX('Structured 2025'!headerRow,1,COLUMN()),4,LEN(INDEX('Structured 2025'!headerRow,1,COLUMN()))),ovrHeaderRow25,0))</f>
        <v>1.55</v>
      </c>
      <c r="BS94" s="12">
        <f>INDEX(ovrTable25,MATCH(INDEX(oppCol,ROW()),ovrTeamCol25,0),MATCH(MID(INDEX('Structured 2025'!headerRow,1,COLUMN()),4,LEN(INDEX('Structured 2025'!headerRow,1,COLUMN()))),ovrHeaderRow25,0))</f>
        <v>16.899999999999999</v>
      </c>
      <c r="BT94" s="12">
        <f>INDEX(ovrTable25,MATCH(INDEX(oppCol,ROW()),ovrTeamCol25,0),MATCH(MID(INDEX('Structured 2025'!headerRow,1,COLUMN()),4,LEN(INDEX('Structured 2025'!headerRow,1,COLUMN()))),ovrHeaderRow25,0))</f>
        <v>22.19</v>
      </c>
      <c r="BU94" s="12">
        <f>INDEX(ovrTable25,MATCH(INDEX(oppCol,ROW()),ovrTeamCol25,0),MATCH(MID(INDEX('Structured 2025'!headerRow,1,COLUMN()),4,LEN(INDEX('Structured 2025'!headerRow,1,COLUMN()))),ovrHeaderRow25,0))</f>
        <v>4</v>
      </c>
      <c r="BV94" s="12">
        <f>INDEX(ovrTable25,MATCH(INDEX(oppCol,ROW()),ovrTeamCol25,0),MATCH(MID(INDEX('Structured 2025'!headerRow,1,COLUMN()),4,LEN(INDEX('Structured 2025'!headerRow,1,COLUMN()))),ovrHeaderRow25,0))</f>
        <v>43.7</v>
      </c>
      <c r="BW94" s="12">
        <f>INDEX(ovrTable25,MATCH(INDEX(oppCol,ROW()),ovrTeamCol25,0),MATCH(MID(INDEX('Structured 2025'!headerRow,1,COLUMN()),4,LEN(INDEX('Structured 2025'!headerRow,1,COLUMN()))),ovrHeaderRow25,0))</f>
        <v>28.14</v>
      </c>
      <c r="BX94" s="12">
        <f>INDEX(ovrTable25,MATCH(INDEX(oppCol,ROW()),ovrTeamCol25,0),MATCH(MID(INDEX('Structured 2025'!headerRow,1,COLUMN()),4,LEN(INDEX('Structured 2025'!headerRow,1,COLUMN()))),ovrHeaderRow25,0))</f>
        <v>0.55900000000000005</v>
      </c>
      <c r="BY94" s="12">
        <f>INDEX(ovrTable25,MATCH(INDEX(oppCol,ROW()),ovrTeamCol25,0),MATCH(MID(INDEX('Structured 2025'!headerRow,1,COLUMN()),4,LEN(INDEX('Structured 2025'!headerRow,1,COLUMN()))),ovrHeaderRow25,0))</f>
        <v>14.03</v>
      </c>
      <c r="BZ94" s="12">
        <f>INDEX(ovrTable25,MATCH(INDEX(oppCol,ROW()),ovrTeamCol25,0),MATCH(MID(INDEX('Structured 2025'!headerRow,1,COLUMN()),4,LEN(INDEX('Structured 2025'!headerRow,1,COLUMN()))),ovrHeaderRow25,0))</f>
        <v>48.2</v>
      </c>
      <c r="CA94" s="12">
        <f>INDEX(ovrTable25,MATCH(INDEX(oppCol,ROW()),ovrTeamCol25,0),MATCH(MID(INDEX('Structured 2025'!headerRow,1,COLUMN()),4,LEN(INDEX('Structured 2025'!headerRow,1,COLUMN()))),ovrHeaderRow25,0))</f>
        <v>17.2</v>
      </c>
      <c r="CB94" s="12">
        <f>INDEX(ovrTable25,MATCH(INDEX(oppCol,ROW()),ovrTeamCol25,0),MATCH(MID(INDEX('Structured 2025'!headerRow,1,COLUMN()),4,LEN(INDEX('Structured 2025'!headerRow,1,COLUMN()))),ovrHeaderRow25,0))</f>
        <v>73.099999999999994</v>
      </c>
      <c r="CC94" s="12">
        <f>INDEX(ovrTable25,MATCH(INDEX(oppCol,ROW()),ovrTeamCol25,0),MATCH(MID(INDEX('Structured 2025'!headerRow,1,COLUMN()),4,LEN(INDEX('Structured 2025'!headerRow,1,COLUMN()))),ovrHeaderRow25,0))</f>
        <v>21.6</v>
      </c>
      <c r="CD94" s="12">
        <f>INDEX(ovrTable25,MATCH(INDEX(oppCol,ROW()),ovrTeamCol25,0),MATCH(MID(INDEX('Structured 2025'!headerRow,1,COLUMN()),4,LEN(INDEX('Structured 2025'!headerRow,1,COLUMN()))),ovrHeaderRow25,0))</f>
        <v>15.8</v>
      </c>
      <c r="CE94" s="12">
        <f>INDEX(ovrTable25,MATCH(INDEX(oppCol,ROW()),ovrTeamCol25,0),MATCH(MID(INDEX('Structured 2025'!headerRow,1,COLUMN()),4,LEN(INDEX('Structured 2025'!headerRow,1,COLUMN()))),ovrHeaderRow25,0))</f>
        <v>77.2</v>
      </c>
      <c r="CF94" s="12">
        <f>INDEX(ovrTable25,MATCH(INDEX(oppCol,ROW()),ovrTeamCol25,0),MATCH(MID(INDEX('Structured 2025'!headerRow,1,COLUMN()),4,LEN(INDEX('Structured 2025'!headerRow,1,COLUMN()))),ovrHeaderRow25,0))</f>
        <v>9.89</v>
      </c>
      <c r="CG94" s="12">
        <f>INDEX(ovrTable25,MATCH(INDEX(oppCol,ROW()),ovrTeamCol25,0),MATCH(MID(INDEX('Structured 2025'!headerRow,1,COLUMN()),4,LEN(INDEX('Structured 2025'!headerRow,1,COLUMN()))),ovrHeaderRow25,0))</f>
        <v>84.4</v>
      </c>
      <c r="CH94" s="12">
        <f>INDEX(ovrTable25,MATCH(INDEX(oppCol,ROW()),ovrTeamCol25,0),MATCH(MID(INDEX('Structured 2025'!headerRow,1,COLUMN()),4,LEN(INDEX('Structured 2025'!headerRow,1,COLUMN()))),ovrHeaderRow25,0))</f>
        <v>2.7</v>
      </c>
      <c r="CI94" s="12">
        <f>INDEX(ovrTable25,MATCH(INDEX(oppCol,ROW()),ovrTeamCol25,0),MATCH(MID(INDEX('Structured 2025'!headerRow,1,COLUMN()),4,LEN(INDEX('Structured 2025'!headerRow,1,COLUMN()))),ovrHeaderRow25,0))</f>
        <v>38.03</v>
      </c>
      <c r="CJ94" s="12">
        <f>INDEX(ovrTable25,MATCH(INDEX(oppCol,ROW()),ovrTeamCol25,0),MATCH(MID(INDEX('Structured 2025'!headerRow,1,COLUMN()),4,LEN(INDEX('Structured 2025'!headerRow,1,COLUMN()))),ovrHeaderRow25,0))</f>
        <v>7.2</v>
      </c>
      <c r="CK94" s="12">
        <f>INDEX(ovrTable25,MATCH(INDEX(oppCol,ROW()),ovrTeamCol25,0),MATCH(MID(INDEX('Structured 2025'!headerRow,1,COLUMN()),4,LEN(INDEX('Structured 2025'!headerRow,1,COLUMN()))),ovrHeaderRow25,0))</f>
        <v>6.9</v>
      </c>
      <c r="CL94" s="12">
        <f>INDEX(ovrTable25,MATCH(INDEX(oppCol,ROW()),ovrTeamCol25,0),MATCH(MID(INDEX('Structured 2025'!headerRow,1,COLUMN()),4,LEN(INDEX('Structured 2025'!headerRow,1,COLUMN()))),ovrHeaderRow25,0))</f>
        <v>-0.6</v>
      </c>
      <c r="CM94" s="12">
        <f>INDEX(ovrTable25,MATCH(INDEX(oppCol,ROW()),ovrTeamCol25,0),MATCH(MID(INDEX('Structured 2025'!headerRow,1,COLUMN()),4,LEN(INDEX('Structured 2025'!headerRow,1,COLUMN()))),ovrHeaderRow25,0))</f>
        <v>10.25</v>
      </c>
      <c r="CN94" s="12">
        <f>INDEX(ovrTable25,MATCH(INDEX(oppCol,ROW()),ovrTeamCol25,0),MATCH(MID(INDEX('Structured 2025'!headerRow,1,COLUMN()),4,LEN(INDEX('Structured 2025'!headerRow,1,COLUMN()))),ovrHeaderRow25,0))</f>
        <v>10.9</v>
      </c>
      <c r="CO94" s="12">
        <f>INDEX(ovrTable25,MATCH(INDEX(oppCol,ROW()),ovrTeamCol25,0),MATCH(MID(INDEX('Structured 2025'!headerRow,1,COLUMN()),4,LEN(INDEX('Structured 2025'!headerRow,1,COLUMN()))),ovrHeaderRow25,0))</f>
        <v>70.900000000000006</v>
      </c>
      <c r="CP94" s="12">
        <f>INDEX(ovrTable25,MATCH(INDEX(oppCol,ROW()),ovrTeamCol25,0),MATCH(MID(INDEX('Structured 2025'!headerRow,1,COLUMN()),4,LEN(INDEX('Structured 2025'!headerRow,1,COLUMN()))),ovrHeaderRow25,0))</f>
        <v>20.050000000000004</v>
      </c>
      <c r="CQ94" s="12">
        <f>INDEX(ovrTable25,MATCH(INDEX(oppCol,ROW()),ovrTeamCol25,0),MATCH(MID(INDEX('Structured 2025'!headerRow,1,COLUMN()),4,LEN(INDEX('Structured 2025'!headerRow,1,COLUMN()))),ovrHeaderRow25,0))</f>
        <v>61.30705394190872</v>
      </c>
    </row>
    <row r="95" spans="1:95" x14ac:dyDescent="0.3">
      <c r="A95" s="6" t="s">
        <v>49</v>
      </c>
      <c r="B95" s="3">
        <v>3</v>
      </c>
      <c r="C95" s="13" t="str">
        <f>A94</f>
        <v>ILL</v>
      </c>
      <c r="D95" s="14">
        <f t="shared" si="97"/>
        <v>47</v>
      </c>
      <c r="E95" s="23">
        <v>0.28125</v>
      </c>
      <c r="F95" s="24">
        <v>47.058823529411761</v>
      </c>
      <c r="G95" s="24">
        <v>8</v>
      </c>
      <c r="H95" s="23">
        <v>38.095238095238095</v>
      </c>
      <c r="I95" s="24">
        <v>21</v>
      </c>
      <c r="J95" s="25">
        <v>3.6</v>
      </c>
      <c r="K95" s="24">
        <v>12</v>
      </c>
      <c r="L95" s="24">
        <v>20</v>
      </c>
      <c r="M95" s="24">
        <v>9</v>
      </c>
      <c r="N95" s="24">
        <v>27</v>
      </c>
      <c r="O95" s="24">
        <v>18</v>
      </c>
      <c r="P95" s="24">
        <v>14</v>
      </c>
      <c r="Q95" s="24">
        <v>4</v>
      </c>
      <c r="R95" s="24">
        <v>5</v>
      </c>
      <c r="S95" s="24">
        <v>14</v>
      </c>
      <c r="T95" s="24">
        <v>18</v>
      </c>
      <c r="U95" s="24">
        <v>20</v>
      </c>
      <c r="V95" s="24">
        <v>0.43548387096774194</v>
      </c>
      <c r="W95" s="26">
        <v>0.52941176470588236</v>
      </c>
      <c r="X95" s="23">
        <v>60</v>
      </c>
      <c r="Y95" s="24">
        <v>75</v>
      </c>
      <c r="Z95" s="24">
        <v>84</v>
      </c>
      <c r="AA95" s="24">
        <v>-8</v>
      </c>
      <c r="AB95" s="24">
        <v>36</v>
      </c>
      <c r="AC95" s="24">
        <v>9</v>
      </c>
      <c r="AD95" s="24">
        <v>9</v>
      </c>
      <c r="AE95" s="24">
        <v>14</v>
      </c>
      <c r="AF95" s="34">
        <f t="shared" si="69"/>
        <v>24</v>
      </c>
      <c r="AG95" s="34">
        <f t="shared" si="70"/>
        <v>47.000000000000014</v>
      </c>
      <c r="AH95" s="46">
        <f t="shared" si="71"/>
        <v>73.5</v>
      </c>
      <c r="AI95" s="51">
        <f t="shared" ref="AI95" si="102">AVERAGE(AH94,AH95)</f>
        <v>73.262500000000003</v>
      </c>
      <c r="AJ95" s="12">
        <f>INDEX(ovrTable25,MATCH(INDEX('Structured 2025'!teamCol,ROW()),ovrTeamCol25,0),MATCH(MID(INDEX('Structured 2025'!headerRow,1,COLUMN()),4,LEN(INDEX('Structured 2025'!headerRow,1,COLUMN()))),ovrHeaderRow25,0))</f>
        <v>30.5</v>
      </c>
      <c r="AK95" s="12">
        <f>INDEX(ovrTable25,MATCH(INDEX('Structured 2025'!teamCol,ROW()),ovrTeamCol25,0),MATCH(MID(INDEX('Structured 2025'!headerRow,1,COLUMN()),4,LEN(INDEX('Structured 2025'!headerRow,1,COLUMN()))),ovrHeaderRow25,0))</f>
        <v>9.5</v>
      </c>
      <c r="AL95" s="12">
        <f>INDEX(ovrTable25,MATCH(INDEX('Structured 2025'!teamCol,ROW()),ovrTeamCol25,0),MATCH(MID(INDEX('Structured 2025'!headerRow,1,COLUMN()),4,LEN(INDEX('Structured 2025'!headerRow,1,COLUMN()))),ovrHeaderRow25,0))</f>
        <v>37.5</v>
      </c>
      <c r="AM95" s="12">
        <f>INDEX(ovrTable25,MATCH(INDEX('Structured 2025'!teamCol,ROW()),ovrTeamCol25,0),MATCH(MID(INDEX('Structured 2025'!headerRow,1,COLUMN()),4,LEN(INDEX('Structured 2025'!headerRow,1,COLUMN()))),ovrHeaderRow25,0))</f>
        <v>25.3</v>
      </c>
      <c r="AN95" s="12">
        <f>INDEX(ovrTable25,MATCH(INDEX('Structured 2025'!teamCol,ROW()),ovrTeamCol25,0),MATCH(MID(INDEX('Structured 2025'!headerRow,1,COLUMN()),4,LEN(INDEX('Structured 2025'!headerRow,1,COLUMN()))),ovrHeaderRow25,0))</f>
        <v>1.55</v>
      </c>
      <c r="AO95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P95" s="12">
        <f>INDEX(ovrTable25,MATCH(INDEX('Structured 2025'!teamCol,ROW()),ovrTeamCol25,0),MATCH(MID(INDEX('Structured 2025'!headerRow,1,COLUMN()),4,LEN(INDEX('Structured 2025'!headerRow,1,COLUMN()))),ovrHeaderRow25,0))</f>
        <v>22.19</v>
      </c>
      <c r="AQ95" s="12">
        <f>INDEX(ovrTable25,MATCH(INDEX('Structured 2025'!teamCol,ROW()),ovrTeamCol25,0),MATCH(MID(INDEX('Structured 2025'!headerRow,1,COLUMN()),4,LEN(INDEX('Structured 2025'!headerRow,1,COLUMN()))),ovrHeaderRow25,0))</f>
        <v>4</v>
      </c>
      <c r="AR95" s="12">
        <f>INDEX(ovrTable25,MATCH(INDEX('Structured 2025'!teamCol,ROW()),ovrTeamCol25,0),MATCH(MID(INDEX('Structured 2025'!headerRow,1,COLUMN()),4,LEN(INDEX('Structured 2025'!headerRow,1,COLUMN()))),ovrHeaderRow25,0))</f>
        <v>43.7</v>
      </c>
      <c r="AS95" s="12">
        <f>INDEX(ovrTable25,MATCH(INDEX('Structured 2025'!teamCol,ROW()),ovrTeamCol25,0),MATCH(MID(INDEX('Structured 2025'!headerRow,1,COLUMN()),4,LEN(INDEX('Structured 2025'!headerRow,1,COLUMN()))),ovrHeaderRow25,0))</f>
        <v>28.14</v>
      </c>
      <c r="AT95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95" s="12">
        <f>INDEX(ovrTable25,MATCH(INDEX('Structured 2025'!teamCol,ROW()),ovrTeamCol25,0),MATCH(MID(INDEX('Structured 2025'!headerRow,1,COLUMN()),4,LEN(INDEX('Structured 2025'!headerRow,1,COLUMN()))),ovrHeaderRow25,0))</f>
        <v>14.03</v>
      </c>
      <c r="AV95" s="12">
        <f>INDEX(ovrTable25,MATCH(INDEX('Structured 2025'!teamCol,ROW()),ovrTeamCol25,0),MATCH(MID(INDEX('Structured 2025'!headerRow,1,COLUMN()),4,LEN(INDEX('Structured 2025'!headerRow,1,COLUMN()))),ovrHeaderRow25,0))</f>
        <v>48.2</v>
      </c>
      <c r="AW95" s="12">
        <f>INDEX(ovrTable25,MATCH(INDEX('Structured 2025'!teamCol,ROW()),ovrTeamCol25,0),MATCH(MID(INDEX('Structured 2025'!headerRow,1,COLUMN()),4,LEN(INDEX('Structured 2025'!headerRow,1,COLUMN()))),ovrHeaderRow25,0))</f>
        <v>17.2</v>
      </c>
      <c r="AX95" s="12">
        <f>INDEX(ovrTable25,MATCH(INDEX('Structured 2025'!teamCol,ROW()),ovrTeamCol25,0),MATCH(MID(INDEX('Structured 2025'!headerRow,1,COLUMN()),4,LEN(INDEX('Structured 2025'!headerRow,1,COLUMN()))),ovrHeaderRow25,0))</f>
        <v>73.099999999999994</v>
      </c>
      <c r="AY95" s="12">
        <f>INDEX(ovrTable25,MATCH(INDEX('Structured 2025'!teamCol,ROW()),ovrTeamCol25,0),MATCH(MID(INDEX('Structured 2025'!headerRow,1,COLUMN()),4,LEN(INDEX('Structured 2025'!headerRow,1,COLUMN()))),ovrHeaderRow25,0))</f>
        <v>21.6</v>
      </c>
      <c r="AZ95" s="12">
        <f>INDEX(ovrTable25,MATCH(INDEX('Structured 2025'!teamCol,ROW()),ovrTeamCol25,0),MATCH(MID(INDEX('Structured 2025'!headerRow,1,COLUMN()),4,LEN(INDEX('Structured 2025'!headerRow,1,COLUMN()))),ovrHeaderRow25,0))</f>
        <v>15.8</v>
      </c>
      <c r="BA95" s="12">
        <f>INDEX(ovrTable25,MATCH(INDEX('Structured 2025'!teamCol,ROW()),ovrTeamCol25,0),MATCH(MID(INDEX('Structured 2025'!headerRow,1,COLUMN()),4,LEN(INDEX('Structured 2025'!headerRow,1,COLUMN()))),ovrHeaderRow25,0))</f>
        <v>77.2</v>
      </c>
      <c r="BB95" s="12">
        <f>INDEX(ovrTable25,MATCH(INDEX('Structured 2025'!teamCol,ROW()),ovrTeamCol25,0),MATCH(MID(INDEX('Structured 2025'!headerRow,1,COLUMN()),4,LEN(INDEX('Structured 2025'!headerRow,1,COLUMN()))),ovrHeaderRow25,0))</f>
        <v>9.89</v>
      </c>
      <c r="BC95" s="12">
        <f>INDEX(ovrTable25,MATCH(INDEX('Structured 2025'!teamCol,ROW()),ovrTeamCol25,0),MATCH(MID(INDEX('Structured 2025'!headerRow,1,COLUMN()),4,LEN(INDEX('Structured 2025'!headerRow,1,COLUMN()))),ovrHeaderRow25,0))</f>
        <v>84.4</v>
      </c>
      <c r="BD95" s="12">
        <f>INDEX(ovrTable25,MATCH(INDEX('Structured 2025'!teamCol,ROW()),ovrTeamCol25,0),MATCH(MID(INDEX('Structured 2025'!headerRow,1,COLUMN()),4,LEN(INDEX('Structured 2025'!headerRow,1,COLUMN()))),ovrHeaderRow25,0))</f>
        <v>2.7</v>
      </c>
      <c r="BE95" s="12">
        <f>INDEX(ovrTable25,MATCH(INDEX('Structured 2025'!teamCol,ROW()),ovrTeamCol25,0),MATCH(MID(INDEX('Structured 2025'!headerRow,1,COLUMN()),4,LEN(INDEX('Structured 2025'!headerRow,1,COLUMN()))),ovrHeaderRow25,0))</f>
        <v>38.03</v>
      </c>
      <c r="BF95" s="12">
        <f>INDEX(ovrTable25,MATCH(INDEX('Structured 2025'!teamCol,ROW()),ovrTeamCol25,0),MATCH(MID(INDEX('Structured 2025'!headerRow,1,COLUMN()),4,LEN(INDEX('Structured 2025'!headerRow,1,COLUMN()))),ovrHeaderRow25,0))</f>
        <v>7.2</v>
      </c>
      <c r="BG95" s="12">
        <f>INDEX(ovrTable25,MATCH(INDEX('Structured 2025'!teamCol,ROW()),ovrTeamCol25,0),MATCH(MID(INDEX('Structured 2025'!headerRow,1,COLUMN()),4,LEN(INDEX('Structured 2025'!headerRow,1,COLUMN()))),ovrHeaderRow25,0))</f>
        <v>6.9</v>
      </c>
      <c r="BH95" s="12">
        <f>INDEX(ovrTable25,MATCH(INDEX('Structured 2025'!teamCol,ROW()),ovrTeamCol25,0),MATCH(MID(INDEX('Structured 2025'!headerRow,1,COLUMN()),4,LEN(INDEX('Structured 2025'!headerRow,1,COLUMN()))),ovrHeaderRow25,0))</f>
        <v>-0.6</v>
      </c>
      <c r="BI95" s="12">
        <f>INDEX(ovrTable25,MATCH(INDEX('Structured 2025'!teamCol,ROW()),ovrTeamCol25,0),MATCH(MID(INDEX('Structured 2025'!headerRow,1,COLUMN()),4,LEN(INDEX('Structured 2025'!headerRow,1,COLUMN()))),ovrHeaderRow25,0))</f>
        <v>10.25</v>
      </c>
      <c r="BJ95" s="12">
        <f>INDEX(ovrTable25,MATCH(INDEX('Structured 2025'!teamCol,ROW()),ovrTeamCol25,0),MATCH(MID(INDEX('Structured 2025'!headerRow,1,COLUMN()),4,LEN(INDEX('Structured 2025'!headerRow,1,COLUMN()))),ovrHeaderRow25,0))</f>
        <v>10.9</v>
      </c>
      <c r="BK95" s="12">
        <f>INDEX(ovrTable25,MATCH(INDEX('Structured 2025'!teamCol,ROW()),ovrTeamCol25,0),MATCH(MID(INDEX('Structured 2025'!headerRow,1,COLUMN()),4,LEN(INDEX('Structured 2025'!headerRow,1,COLUMN()))),ovrHeaderRow25,0))</f>
        <v>70.900000000000006</v>
      </c>
      <c r="BL95" s="12">
        <f>INDEX(ovrTable25,MATCH(INDEX('Structured 2025'!teamCol,ROW()),ovrTeamCol25,0),MATCH(MID(INDEX('Structured 2025'!headerRow,1,COLUMN()),4,LEN(INDEX('Structured 2025'!headerRow,1,COLUMN()))),ovrHeaderRow25,0))</f>
        <v>20.050000000000004</v>
      </c>
      <c r="BM95" s="12">
        <f>INDEX(ovrTable25,MATCH(INDEX('Structured 2025'!teamCol,ROW()),ovrTeamCol25,0),MATCH(MID(INDEX('Structured 2025'!headerRow,1,COLUMN()),4,LEN(INDEX('Structured 2025'!headerRow,1,COLUMN()))),ovrHeaderRow25,0))</f>
        <v>61.30705394190872</v>
      </c>
      <c r="BN95" s="12">
        <f>INDEX(ovrTable25,MATCH(INDEX(oppCol,ROW()),ovrTeamCol25,0),MATCH(MID(INDEX('Structured 2025'!headerRow,1,COLUMN()),4,LEN(INDEX('Structured 2025'!headerRow,1,COLUMN()))),ovrHeaderRow25,0))</f>
        <v>33.6</v>
      </c>
      <c r="BO95" s="12">
        <f>INDEX(ovrTable25,MATCH(INDEX(oppCol,ROW()),ovrTeamCol25,0),MATCH(MID(INDEX('Structured 2025'!headerRow,1,COLUMN()),4,LEN(INDEX('Structured 2025'!headerRow,1,COLUMN()))),ovrHeaderRow25,0))</f>
        <v>9.4</v>
      </c>
      <c r="BP95" s="12">
        <f>INDEX(ovrTable25,MATCH(INDEX(oppCol,ROW()),ovrTeamCol25,0),MATCH(MID(INDEX('Structured 2025'!headerRow,1,COLUMN()),4,LEN(INDEX('Structured 2025'!headerRow,1,COLUMN()))),ovrHeaderRow25,0))</f>
        <v>31.3</v>
      </c>
      <c r="BQ95" s="12">
        <f>INDEX(ovrTable25,MATCH(INDEX(oppCol,ROW()),ovrTeamCol25,0),MATCH(MID(INDEX('Structured 2025'!headerRow,1,COLUMN()),4,LEN(INDEX('Structured 2025'!headerRow,1,COLUMN()))),ovrHeaderRow25,0))</f>
        <v>30.1</v>
      </c>
      <c r="BR95" s="12">
        <f>INDEX(ovrTable25,MATCH(INDEX(oppCol,ROW()),ovrTeamCol25,0),MATCH(MID(INDEX('Structured 2025'!headerRow,1,COLUMN()),4,LEN(INDEX('Structured 2025'!headerRow,1,COLUMN()))),ovrHeaderRow25,0))</f>
        <v>1.27</v>
      </c>
      <c r="BS95" s="12">
        <f>INDEX(ovrTable25,MATCH(INDEX(oppCol,ROW()),ovrTeamCol25,0),MATCH(MID(INDEX('Structured 2025'!headerRow,1,COLUMN()),4,LEN(INDEX('Structured 2025'!headerRow,1,COLUMN()))),ovrHeaderRow25,0))</f>
        <v>14.9</v>
      </c>
      <c r="BT95" s="12">
        <f>INDEX(ovrTable25,MATCH(INDEX(oppCol,ROW()),ovrTeamCol25,0),MATCH(MID(INDEX('Structured 2025'!headerRow,1,COLUMN()),4,LEN(INDEX('Structured 2025'!headerRow,1,COLUMN()))),ovrHeaderRow25,0))</f>
        <v>23.74</v>
      </c>
      <c r="BU95" s="12">
        <f>INDEX(ovrTable25,MATCH(INDEX(oppCol,ROW()),ovrTeamCol25,0),MATCH(MID(INDEX('Structured 2025'!headerRow,1,COLUMN()),4,LEN(INDEX('Structured 2025'!headerRow,1,COLUMN()))),ovrHeaderRow25,0))</f>
        <v>4.2</v>
      </c>
      <c r="BV95" s="12">
        <f>INDEX(ovrTable25,MATCH(INDEX(oppCol,ROW()),ovrTeamCol25,0),MATCH(MID(INDEX('Structured 2025'!headerRow,1,COLUMN()),4,LEN(INDEX('Structured 2025'!headerRow,1,COLUMN()))),ovrHeaderRow25,0))</f>
        <v>42.3</v>
      </c>
      <c r="BW95" s="12">
        <f>INDEX(ovrTable25,MATCH(INDEX(oppCol,ROW()),ovrTeamCol25,0),MATCH(MID(INDEX('Structured 2025'!headerRow,1,COLUMN()),4,LEN(INDEX('Structured 2025'!headerRow,1,COLUMN()))),ovrHeaderRow25,0))</f>
        <v>29.69</v>
      </c>
      <c r="BX95" s="12">
        <f>INDEX(ovrTable25,MATCH(INDEX(oppCol,ROW()),ovrTeamCol25,0),MATCH(MID(INDEX('Structured 2025'!headerRow,1,COLUMN()),4,LEN(INDEX('Structured 2025'!headerRow,1,COLUMN()))),ovrHeaderRow25,0))</f>
        <v>0.52400000000000002</v>
      </c>
      <c r="BY95" s="12">
        <f>INDEX(ovrTable25,MATCH(INDEX(oppCol,ROW()),ovrTeamCol25,0),MATCH(MID(INDEX('Structured 2025'!headerRow,1,COLUMN()),4,LEN(INDEX('Structured 2025'!headerRow,1,COLUMN()))),ovrHeaderRow25,0))</f>
        <v>7.2</v>
      </c>
      <c r="BZ95" s="12">
        <f>INDEX(ovrTable25,MATCH(INDEX(oppCol,ROW()),ovrTeamCol25,0),MATCH(MID(INDEX('Structured 2025'!headerRow,1,COLUMN()),4,LEN(INDEX('Structured 2025'!headerRow,1,COLUMN()))),ovrHeaderRow25,0))</f>
        <v>45.1</v>
      </c>
      <c r="CA95" s="12">
        <f>INDEX(ovrTable25,MATCH(INDEX(oppCol,ROW()),ovrTeamCol25,0),MATCH(MID(INDEX('Structured 2025'!headerRow,1,COLUMN()),4,LEN(INDEX('Structured 2025'!headerRow,1,COLUMN()))),ovrHeaderRow25,0))</f>
        <v>16.2</v>
      </c>
      <c r="CB95" s="12">
        <f>INDEX(ovrTable25,MATCH(INDEX(oppCol,ROW()),ovrTeamCol25,0),MATCH(MID(INDEX('Structured 2025'!headerRow,1,COLUMN()),4,LEN(INDEX('Structured 2025'!headerRow,1,COLUMN()))),ovrHeaderRow25,0))</f>
        <v>76.2</v>
      </c>
      <c r="CC95" s="12">
        <f>INDEX(ovrTable25,MATCH(INDEX(oppCol,ROW()),ovrTeamCol25,0),MATCH(MID(INDEX('Structured 2025'!headerRow,1,COLUMN()),4,LEN(INDEX('Structured 2025'!headerRow,1,COLUMN()))),ovrHeaderRow25,0))</f>
        <v>21.9</v>
      </c>
      <c r="CD95" s="12">
        <f>INDEX(ovrTable25,MATCH(INDEX(oppCol,ROW()),ovrTeamCol25,0),MATCH(MID(INDEX('Structured 2025'!headerRow,1,COLUMN()),4,LEN(INDEX('Structured 2025'!headerRow,1,COLUMN()))),ovrHeaderRow25,0))</f>
        <v>16.7</v>
      </c>
      <c r="CE95" s="12">
        <f>INDEX(ovrTable25,MATCH(INDEX(oppCol,ROW()),ovrTeamCol25,0),MATCH(MID(INDEX('Structured 2025'!headerRow,1,COLUMN()),4,LEN(INDEX('Structured 2025'!headerRow,1,COLUMN()))),ovrHeaderRow25,0))</f>
        <v>74.8</v>
      </c>
      <c r="CF95" s="12">
        <f>INDEX(ovrTable25,MATCH(INDEX(oppCol,ROW()),ovrTeamCol25,0),MATCH(MID(INDEX('Structured 2025'!headerRow,1,COLUMN()),4,LEN(INDEX('Structured 2025'!headerRow,1,COLUMN()))),ovrHeaderRow25,0))</f>
        <v>12.94</v>
      </c>
      <c r="CG95" s="12">
        <f>INDEX(ovrTable25,MATCH(INDEX(oppCol,ROW()),ovrTeamCol25,0),MATCH(MID(INDEX('Structured 2025'!headerRow,1,COLUMN()),4,LEN(INDEX('Structured 2025'!headerRow,1,COLUMN()))),ovrHeaderRow25,0))</f>
        <v>83.6</v>
      </c>
      <c r="CH95" s="12">
        <f>INDEX(ovrTable25,MATCH(INDEX(oppCol,ROW()),ovrTeamCol25,0),MATCH(MID(INDEX('Structured 2025'!headerRow,1,COLUMN()),4,LEN(INDEX('Structured 2025'!headerRow,1,COLUMN()))),ovrHeaderRow25,0))</f>
        <v>9.1</v>
      </c>
      <c r="CI95" s="12">
        <f>INDEX(ovrTable25,MATCH(INDEX(oppCol,ROW()),ovrTeamCol25,0),MATCH(MID(INDEX('Structured 2025'!headerRow,1,COLUMN()),4,LEN(INDEX('Structured 2025'!headerRow,1,COLUMN()))),ovrHeaderRow25,0))</f>
        <v>42.63</v>
      </c>
      <c r="CJ95" s="12">
        <f>INDEX(ovrTable25,MATCH(INDEX(oppCol,ROW()),ovrTeamCol25,0),MATCH(MID(INDEX('Structured 2025'!headerRow,1,COLUMN()),4,LEN(INDEX('Structured 2025'!headerRow,1,COLUMN()))),ovrHeaderRow25,0))</f>
        <v>8.8000000000000007</v>
      </c>
      <c r="CK95" s="12">
        <f>INDEX(ovrTable25,MATCH(INDEX(oppCol,ROW()),ovrTeamCol25,0),MATCH(MID(INDEX('Structured 2025'!headerRow,1,COLUMN()),4,LEN(INDEX('Structured 2025'!headerRow,1,COLUMN()))),ovrHeaderRow25,0))</f>
        <v>4.3</v>
      </c>
      <c r="CL95" s="12">
        <f>INDEX(ovrTable25,MATCH(INDEX(oppCol,ROW()),ovrTeamCol25,0),MATCH(MID(INDEX('Structured 2025'!headerRow,1,COLUMN()),4,LEN(INDEX('Structured 2025'!headerRow,1,COLUMN()))),ovrHeaderRow25,0))</f>
        <v>-2.7</v>
      </c>
      <c r="CM95" s="12">
        <f>INDEX(ovrTable25,MATCH(INDEX(oppCol,ROW()),ovrTeamCol25,0),MATCH(MID(INDEX('Structured 2025'!headerRow,1,COLUMN()),4,LEN(INDEX('Structured 2025'!headerRow,1,COLUMN()))),ovrHeaderRow25,0))</f>
        <v>9</v>
      </c>
      <c r="CN95" s="12">
        <f>INDEX(ovrTable25,MATCH(INDEX(oppCol,ROW()),ovrTeamCol25,0),MATCH(MID(INDEX('Structured 2025'!headerRow,1,COLUMN()),4,LEN(INDEX('Structured 2025'!headerRow,1,COLUMN()))),ovrHeaderRow25,0))</f>
        <v>11.7</v>
      </c>
      <c r="CO95" s="12">
        <f>INDEX(ovrTable25,MATCH(INDEX(oppCol,ROW()),ovrTeamCol25,0),MATCH(MID(INDEX('Structured 2025'!headerRow,1,COLUMN()),4,LEN(INDEX('Structured 2025'!headerRow,1,COLUMN()))),ovrHeaderRow25,0))</f>
        <v>71.5</v>
      </c>
      <c r="CP95" s="12">
        <f>INDEX(ovrTable25,MATCH(INDEX(oppCol,ROW()),ovrTeamCol25,0),MATCH(MID(INDEX('Structured 2025'!headerRow,1,COLUMN()),4,LEN(INDEX('Structured 2025'!headerRow,1,COLUMN()))),ovrHeaderRow25,0))</f>
        <v>19.349999999999994</v>
      </c>
      <c r="CQ95" s="12">
        <f>INDEX(ovrTable25,MATCH(INDEX(oppCol,ROW()),ovrTeamCol25,0),MATCH(MID(INDEX('Structured 2025'!headerRow,1,COLUMN()),4,LEN(INDEX('Structured 2025'!headerRow,1,COLUMN()))),ovrHeaderRow25,0))</f>
        <v>63.747228381374704</v>
      </c>
    </row>
    <row r="96" spans="1:95" x14ac:dyDescent="0.3">
      <c r="A96" s="6" t="s">
        <v>261</v>
      </c>
      <c r="B96" s="3">
        <v>7</v>
      </c>
      <c r="C96" s="13" t="str">
        <f>A97</f>
        <v>TENN</v>
      </c>
      <c r="D96" s="14">
        <f t="shared" si="97"/>
        <v>48</v>
      </c>
      <c r="E96" s="23">
        <v>0.5</v>
      </c>
      <c r="F96" s="24">
        <v>35.849056603773583</v>
      </c>
      <c r="G96" s="24">
        <v>7</v>
      </c>
      <c r="H96" s="23">
        <v>30.434782608695656</v>
      </c>
      <c r="I96" s="24">
        <v>23</v>
      </c>
      <c r="J96" s="25">
        <v>0.90909090909090906</v>
      </c>
      <c r="K96" s="24">
        <v>11</v>
      </c>
      <c r="L96" s="24">
        <v>14</v>
      </c>
      <c r="M96" s="24">
        <v>10</v>
      </c>
      <c r="N96" s="24">
        <v>16</v>
      </c>
      <c r="O96" s="24">
        <v>10</v>
      </c>
      <c r="P96" s="24">
        <v>10</v>
      </c>
      <c r="Q96" s="24">
        <v>4</v>
      </c>
      <c r="R96" s="24">
        <v>11</v>
      </c>
      <c r="S96" s="24">
        <v>2</v>
      </c>
      <c r="T96" s="24">
        <v>19</v>
      </c>
      <c r="U96" s="24">
        <v>19</v>
      </c>
      <c r="V96" s="24">
        <v>0.42857142857142855</v>
      </c>
      <c r="W96" s="26">
        <v>0.42122641509433961</v>
      </c>
      <c r="X96" s="23">
        <v>78.571428571428569</v>
      </c>
      <c r="Y96" s="24">
        <v>67</v>
      </c>
      <c r="Z96" s="24">
        <v>58</v>
      </c>
      <c r="AA96" s="24">
        <v>-10</v>
      </c>
      <c r="AB96" s="24">
        <v>26</v>
      </c>
      <c r="AC96" s="24">
        <v>-9</v>
      </c>
      <c r="AD96" s="24">
        <v>7</v>
      </c>
      <c r="AE96" s="24">
        <v>18</v>
      </c>
      <c r="AF96" s="34">
        <f t="shared" si="69"/>
        <v>13</v>
      </c>
      <c r="AG96" s="34">
        <f t="shared" si="70"/>
        <v>32.789473684210527</v>
      </c>
      <c r="AH96" s="46">
        <f t="shared" si="71"/>
        <v>63.65</v>
      </c>
      <c r="AI96" s="51">
        <f t="shared" ref="AI96" si="103">AVERAGE(AH96,AH97)</f>
        <v>63.125</v>
      </c>
      <c r="AJ96" s="12">
        <f>INDEX(ovrTable25,MATCH(INDEX('Structured 2025'!teamCol,ROW()),ovrTeamCol25,0),MATCH(MID(INDEX('Structured 2025'!headerRow,1,COLUMN()),4,LEN(INDEX('Structured 2025'!headerRow,1,COLUMN()))),ovrHeaderRow25,0))</f>
        <v>32.799999999999997</v>
      </c>
      <c r="AK96" s="12">
        <f>INDEX(ovrTable25,MATCH(INDEX('Structured 2025'!teamCol,ROW()),ovrTeamCol25,0),MATCH(MID(INDEX('Structured 2025'!headerRow,1,COLUMN()),4,LEN(INDEX('Structured 2025'!headerRow,1,COLUMN()))),ovrHeaderRow25,0))</f>
        <v>7.4</v>
      </c>
      <c r="AL96" s="12">
        <f>INDEX(ovrTable25,MATCH(INDEX('Structured 2025'!teamCol,ROW()),ovrTeamCol25,0),MATCH(MID(INDEX('Structured 2025'!headerRow,1,COLUMN()),4,LEN(INDEX('Structured 2025'!headerRow,1,COLUMN()))),ovrHeaderRow25,0))</f>
        <v>35.200000000000003</v>
      </c>
      <c r="AM96" s="12">
        <f>INDEX(ovrTable25,MATCH(INDEX('Structured 2025'!teamCol,ROW()),ovrTeamCol25,0),MATCH(MID(INDEX('Structured 2025'!headerRow,1,COLUMN()),4,LEN(INDEX('Structured 2025'!headerRow,1,COLUMN()))),ovrHeaderRow25,0))</f>
        <v>21</v>
      </c>
      <c r="AN96" s="12">
        <f>INDEX(ovrTable25,MATCH(INDEX('Structured 2025'!teamCol,ROW()),ovrTeamCol25,0),MATCH(MID(INDEX('Structured 2025'!headerRow,1,COLUMN()),4,LEN(INDEX('Structured 2025'!headerRow,1,COLUMN()))),ovrHeaderRow25,0))</f>
        <v>1.55</v>
      </c>
      <c r="AO96" s="12">
        <f>INDEX(ovrTable25,MATCH(INDEX('Structured 2025'!teamCol,ROW()),ovrTeamCol25,0),MATCH(MID(INDEX('Structured 2025'!headerRow,1,COLUMN()),4,LEN(INDEX('Structured 2025'!headerRow,1,COLUMN()))),ovrHeaderRow25,0))</f>
        <v>16.3</v>
      </c>
      <c r="AP96" s="12">
        <f>INDEX(ovrTable25,MATCH(INDEX('Structured 2025'!teamCol,ROW()),ovrTeamCol25,0),MATCH(MID(INDEX('Structured 2025'!headerRow,1,COLUMN()),4,LEN(INDEX('Structured 2025'!headerRow,1,COLUMN()))),ovrHeaderRow25,0))</f>
        <v>25.94</v>
      </c>
      <c r="AQ96" s="12">
        <f>INDEX(ovrTable25,MATCH(INDEX('Structured 2025'!teamCol,ROW()),ovrTeamCol25,0),MATCH(MID(INDEX('Structured 2025'!headerRow,1,COLUMN()),4,LEN(INDEX('Structured 2025'!headerRow,1,COLUMN()))),ovrHeaderRow25,0))</f>
        <v>3.1</v>
      </c>
      <c r="AR96" s="12">
        <f>INDEX(ovrTable25,MATCH(INDEX('Structured 2025'!teamCol,ROW()),ovrTeamCol25,0),MATCH(MID(INDEX('Structured 2025'!headerRow,1,COLUMN()),4,LEN(INDEX('Structured 2025'!headerRow,1,COLUMN()))),ovrHeaderRow25,0))</f>
        <v>42.7</v>
      </c>
      <c r="AS96" s="12">
        <f>INDEX(ovrTable25,MATCH(INDEX('Structured 2025'!teamCol,ROW()),ovrTeamCol25,0),MATCH(MID(INDEX('Structured 2025'!headerRow,1,COLUMN()),4,LEN(INDEX('Structured 2025'!headerRow,1,COLUMN()))),ovrHeaderRow25,0))</f>
        <v>21.85</v>
      </c>
      <c r="AT96" s="12">
        <f>INDEX(ovrTable25,MATCH(INDEX('Structured 2025'!teamCol,ROW()),ovrTeamCol25,0),MATCH(MID(INDEX('Structured 2025'!headerRow,1,COLUMN()),4,LEN(INDEX('Structured 2025'!headerRow,1,COLUMN()))),ovrHeaderRow25,0))</f>
        <v>0.52800000000000002</v>
      </c>
      <c r="AU96" s="12">
        <f>INDEX(ovrTable25,MATCH(INDEX('Structured 2025'!teamCol,ROW()),ovrTeamCol25,0),MATCH(MID(INDEX('Structured 2025'!headerRow,1,COLUMN()),4,LEN(INDEX('Structured 2025'!headerRow,1,COLUMN()))),ovrHeaderRow25,0))</f>
        <v>8</v>
      </c>
      <c r="AV96" s="12">
        <f>INDEX(ovrTable25,MATCH(INDEX('Structured 2025'!teamCol,ROW()),ovrTeamCol25,0),MATCH(MID(INDEX('Structured 2025'!headerRow,1,COLUMN()),4,LEN(INDEX('Structured 2025'!headerRow,1,COLUMN()))),ovrHeaderRow25,0))</f>
        <v>46.4</v>
      </c>
      <c r="AW96" s="12">
        <f>INDEX(ovrTable25,MATCH(INDEX('Structured 2025'!teamCol,ROW()),ovrTeamCol25,0),MATCH(MID(INDEX('Structured 2025'!headerRow,1,COLUMN()),4,LEN(INDEX('Structured 2025'!headerRow,1,COLUMN()))),ovrHeaderRow25,0))</f>
        <v>17.2</v>
      </c>
      <c r="AX96" s="12">
        <f>INDEX(ovrTable25,MATCH(INDEX('Structured 2025'!teamCol,ROW()),ovrTeamCol25,0),MATCH(MID(INDEX('Structured 2025'!headerRow,1,COLUMN()),4,LEN(INDEX('Structured 2025'!headerRow,1,COLUMN()))),ovrHeaderRow25,0))</f>
        <v>71</v>
      </c>
      <c r="AY96" s="12">
        <f>INDEX(ovrTable25,MATCH(INDEX('Structured 2025'!teamCol,ROW()),ovrTeamCol25,0),MATCH(MID(INDEX('Structured 2025'!headerRow,1,COLUMN()),4,LEN(INDEX('Structured 2025'!headerRow,1,COLUMN()))),ovrHeaderRow25,0))</f>
        <v>18.600000000000001</v>
      </c>
      <c r="AZ96" s="12">
        <f>INDEX(ovrTable25,MATCH(INDEX('Structured 2025'!teamCol,ROW()),ovrTeamCol25,0),MATCH(MID(INDEX('Structured 2025'!headerRow,1,COLUMN()),4,LEN(INDEX('Structured 2025'!headerRow,1,COLUMN()))),ovrHeaderRow25,0))</f>
        <v>13.2</v>
      </c>
      <c r="BA96" s="12">
        <f>INDEX(ovrTable25,MATCH(INDEX('Structured 2025'!teamCol,ROW()),ovrTeamCol25,0),MATCH(MID(INDEX('Structured 2025'!headerRow,1,COLUMN()),4,LEN(INDEX('Structured 2025'!headerRow,1,COLUMN()))),ovrHeaderRow25,0))</f>
        <v>65.2</v>
      </c>
      <c r="BB96" s="12">
        <f>INDEX(ovrTable25,MATCH(INDEX('Structured 2025'!teamCol,ROW()),ovrTeamCol25,0),MATCH(MID(INDEX('Structured 2025'!headerRow,1,COLUMN()),4,LEN(INDEX('Structured 2025'!headerRow,1,COLUMN()))),ovrHeaderRow25,0))</f>
        <v>10.76</v>
      </c>
      <c r="BC96" s="12">
        <f>INDEX(ovrTable25,MATCH(INDEX('Structured 2025'!teamCol,ROW()),ovrTeamCol25,0),MATCH(MID(INDEX('Structured 2025'!headerRow,1,COLUMN()),4,LEN(INDEX('Structured 2025'!headerRow,1,COLUMN()))),ovrHeaderRow25,0))</f>
        <v>74.099999999999994</v>
      </c>
      <c r="BD96" s="12">
        <f>INDEX(ovrTable25,MATCH(INDEX('Structured 2025'!teamCol,ROW()),ovrTeamCol25,0),MATCH(MID(INDEX('Structured 2025'!headerRow,1,COLUMN()),4,LEN(INDEX('Structured 2025'!headerRow,1,COLUMN()))),ovrHeaderRow25,0))</f>
        <v>1.2</v>
      </c>
      <c r="BE96" s="12">
        <f>INDEX(ovrTable25,MATCH(INDEX('Structured 2025'!teamCol,ROW()),ovrTeamCol25,0),MATCH(MID(INDEX('Structured 2025'!headerRow,1,COLUMN()),4,LEN(INDEX('Structured 2025'!headerRow,1,COLUMN()))),ovrHeaderRow25,0))</f>
        <v>32.619999999999997</v>
      </c>
      <c r="BF96" s="12">
        <f>INDEX(ovrTable25,MATCH(INDEX('Structured 2025'!teamCol,ROW()),ovrTeamCol25,0),MATCH(MID(INDEX('Structured 2025'!headerRow,1,COLUMN()),4,LEN(INDEX('Structured 2025'!headerRow,1,COLUMN()))),ovrHeaderRow25,0))</f>
        <v>8.9</v>
      </c>
      <c r="BG96" s="12">
        <f>INDEX(ovrTable25,MATCH(INDEX('Structured 2025'!teamCol,ROW()),ovrTeamCol25,0),MATCH(MID(INDEX('Structured 2025'!headerRow,1,COLUMN()),4,LEN(INDEX('Structured 2025'!headerRow,1,COLUMN()))),ovrHeaderRow25,0))</f>
        <v>8.1</v>
      </c>
      <c r="BH96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BI96" s="12">
        <f>INDEX(ovrTable25,MATCH(INDEX('Structured 2025'!teamCol,ROW()),ovrTeamCol25,0),MATCH(MID(INDEX('Structured 2025'!headerRow,1,COLUMN()),4,LEN(INDEX('Structured 2025'!headerRow,1,COLUMN()))),ovrHeaderRow25,0))</f>
        <v>15.12</v>
      </c>
      <c r="BJ96" s="12">
        <f>INDEX(ovrTable25,MATCH(INDEX('Structured 2025'!teamCol,ROW()),ovrTeamCol25,0),MATCH(MID(INDEX('Structured 2025'!headerRow,1,COLUMN()),4,LEN(INDEX('Structured 2025'!headerRow,1,COLUMN()))),ovrHeaderRow25,0))</f>
        <v>10.6</v>
      </c>
      <c r="BK96" s="12">
        <f>INDEX(ovrTable25,MATCH(INDEX('Structured 2025'!teamCol,ROW()),ovrTeamCol25,0),MATCH(MID(INDEX('Structured 2025'!headerRow,1,COLUMN()),4,LEN(INDEX('Structured 2025'!headerRow,1,COLUMN()))),ovrHeaderRow25,0))</f>
        <v>65</v>
      </c>
      <c r="BL96" s="12">
        <f>INDEX(ovrTable25,MATCH(INDEX('Structured 2025'!teamCol,ROW()),ovrTeamCol25,0),MATCH(MID(INDEX('Structured 2025'!headerRow,1,COLUMN()),4,LEN(INDEX('Structured 2025'!headerRow,1,COLUMN()))),ovrHeaderRow25,0))</f>
        <v>19.349999999999994</v>
      </c>
      <c r="BM96" s="12">
        <f>INDEX(ovrTable25,MATCH(INDEX('Structured 2025'!teamCol,ROW()),ovrTeamCol25,0),MATCH(MID(INDEX('Structured 2025'!headerRow,1,COLUMN()),4,LEN(INDEX('Structured 2025'!headerRow,1,COLUMN()))),ovrHeaderRow25,0))</f>
        <v>57.650862068965502</v>
      </c>
      <c r="BN96" s="12">
        <f>INDEX(ovrTable25,MATCH(INDEX(oppCol,ROW()),ovrTeamCol25,0),MATCH(MID(INDEX('Structured 2025'!headerRow,1,COLUMN()),4,LEN(INDEX('Structured 2025'!headerRow,1,COLUMN()))),ovrHeaderRow25,0))</f>
        <v>28.7</v>
      </c>
      <c r="BO96" s="12">
        <f>INDEX(ovrTable25,MATCH(INDEX(oppCol,ROW()),ovrTeamCol25,0),MATCH(MID(INDEX('Structured 2025'!headerRow,1,COLUMN()),4,LEN(INDEX('Structured 2025'!headerRow,1,COLUMN()))),ovrHeaderRow25,0))</f>
        <v>8.1999999999999993</v>
      </c>
      <c r="BP96" s="12">
        <f>INDEX(ovrTable25,MATCH(INDEX(oppCol,ROW()),ovrTeamCol25,0),MATCH(MID(INDEX('Structured 2025'!headerRow,1,COLUMN()),4,LEN(INDEX('Structured 2025'!headerRow,1,COLUMN()))),ovrHeaderRow25,0))</f>
        <v>33.799999999999997</v>
      </c>
      <c r="BQ96" s="12">
        <f>INDEX(ovrTable25,MATCH(INDEX(oppCol,ROW()),ovrTeamCol25,0),MATCH(MID(INDEX('Structured 2025'!headerRow,1,COLUMN()),4,LEN(INDEX('Structured 2025'!headerRow,1,COLUMN()))),ovrHeaderRow25,0))</f>
        <v>24.4</v>
      </c>
      <c r="BR96" s="12">
        <f>INDEX(ovrTable25,MATCH(INDEX(oppCol,ROW()),ovrTeamCol25,0),MATCH(MID(INDEX('Structured 2025'!headerRow,1,COLUMN()),4,LEN(INDEX('Structured 2025'!headerRow,1,COLUMN()))),ovrHeaderRow25,0))</f>
        <v>1.48</v>
      </c>
      <c r="BS96" s="12">
        <f>INDEX(ovrTable25,MATCH(INDEX(oppCol,ROW()),ovrTeamCol25,0),MATCH(MID(INDEX('Structured 2025'!headerRow,1,COLUMN()),4,LEN(INDEX('Structured 2025'!headerRow,1,COLUMN()))),ovrHeaderRow25,0))</f>
        <v>15.4</v>
      </c>
      <c r="BT96" s="12">
        <f>INDEX(ovrTable25,MATCH(INDEX(oppCol,ROW()),ovrTeamCol25,0),MATCH(MID(INDEX('Structured 2025'!headerRow,1,COLUMN()),4,LEN(INDEX('Structured 2025'!headerRow,1,COLUMN()))),ovrHeaderRow25,0))</f>
        <v>19.920000000000002</v>
      </c>
      <c r="BU96" s="12">
        <f>INDEX(ovrTable25,MATCH(INDEX(oppCol,ROW()),ovrTeamCol25,0),MATCH(MID(INDEX('Structured 2025'!headerRow,1,COLUMN()),4,LEN(INDEX('Structured 2025'!headerRow,1,COLUMN()))),ovrHeaderRow25,0))</f>
        <v>4.8</v>
      </c>
      <c r="BV96" s="12">
        <f>INDEX(ovrTable25,MATCH(INDEX(oppCol,ROW()),ovrTeamCol25,0),MATCH(MID(INDEX('Structured 2025'!headerRow,1,COLUMN()),4,LEN(INDEX('Structured 2025'!headerRow,1,COLUMN()))),ovrHeaderRow25,0))</f>
        <v>38.6</v>
      </c>
      <c r="BW96" s="12">
        <f>INDEX(ovrTable25,MATCH(INDEX(oppCol,ROW()),ovrTeamCol25,0),MATCH(MID(INDEX('Structured 2025'!headerRow,1,COLUMN()),4,LEN(INDEX('Structured 2025'!headerRow,1,COLUMN()))),ovrHeaderRow25,0))</f>
        <v>24.87</v>
      </c>
      <c r="BX96" s="12">
        <f>INDEX(ovrTable25,MATCH(INDEX(oppCol,ROW()),ovrTeamCol25,0),MATCH(MID(INDEX('Structured 2025'!headerRow,1,COLUMN()),4,LEN(INDEX('Structured 2025'!headerRow,1,COLUMN()))),ovrHeaderRow25,0))</f>
        <v>0.52500000000000002</v>
      </c>
      <c r="BY96" s="12">
        <f>INDEX(ovrTable25,MATCH(INDEX(oppCol,ROW()),ovrTeamCol25,0),MATCH(MID(INDEX('Structured 2025'!headerRow,1,COLUMN()),4,LEN(INDEX('Structured 2025'!headerRow,1,COLUMN()))),ovrHeaderRow25,0))</f>
        <v>7.66</v>
      </c>
      <c r="BZ96" s="12">
        <f>INDEX(ovrTable25,MATCH(INDEX(oppCol,ROW()),ovrTeamCol25,0),MATCH(MID(INDEX('Structured 2025'!headerRow,1,COLUMN()),4,LEN(INDEX('Structured 2025'!headerRow,1,COLUMN()))),ovrHeaderRow25,0))</f>
        <v>45.2</v>
      </c>
      <c r="CA96" s="12">
        <f>INDEX(ovrTable25,MATCH(INDEX(oppCol,ROW()),ovrTeamCol25,0),MATCH(MID(INDEX('Structured 2025'!headerRow,1,COLUMN()),4,LEN(INDEX('Structured 2025'!headerRow,1,COLUMN()))),ovrHeaderRow25,0))</f>
        <v>15.2</v>
      </c>
      <c r="CB96" s="12">
        <f>INDEX(ovrTable25,MATCH(INDEX(oppCol,ROW()),ovrTeamCol25,0),MATCH(MID(INDEX('Structured 2025'!headerRow,1,COLUMN()),4,LEN(INDEX('Structured 2025'!headerRow,1,COLUMN()))),ovrHeaderRow25,0))</f>
        <v>74.5</v>
      </c>
      <c r="CC96" s="12">
        <f>INDEX(ovrTable25,MATCH(INDEX(oppCol,ROW()),ovrTeamCol25,0),MATCH(MID(INDEX('Structured 2025'!headerRow,1,COLUMN()),4,LEN(INDEX('Structured 2025'!headerRow,1,COLUMN()))),ovrHeaderRow25,0))</f>
        <v>20</v>
      </c>
      <c r="CD96" s="12">
        <f>INDEX(ovrTable25,MATCH(INDEX(oppCol,ROW()),ovrTeamCol25,0),MATCH(MID(INDEX('Structured 2025'!headerRow,1,COLUMN()),4,LEN(INDEX('Structured 2025'!headerRow,1,COLUMN()))),ovrHeaderRow25,0))</f>
        <v>14.9</v>
      </c>
      <c r="CE96" s="12">
        <f>INDEX(ovrTable25,MATCH(INDEX(oppCol,ROW()),ovrTeamCol25,0),MATCH(MID(INDEX('Structured 2025'!headerRow,1,COLUMN()),4,LEN(INDEX('Structured 2025'!headerRow,1,COLUMN()))),ovrHeaderRow25,0))</f>
        <v>63</v>
      </c>
      <c r="CF96" s="12">
        <f>INDEX(ovrTable25,MATCH(INDEX(oppCol,ROW()),ovrTeamCol25,0),MATCH(MID(INDEX('Structured 2025'!headerRow,1,COLUMN()),4,LEN(INDEX('Structured 2025'!headerRow,1,COLUMN()))),ovrHeaderRow25,0))</f>
        <v>11.5</v>
      </c>
      <c r="CG96" s="12">
        <f>INDEX(ovrTable25,MATCH(INDEX(oppCol,ROW()),ovrTeamCol25,0),MATCH(MID(INDEX('Structured 2025'!headerRow,1,COLUMN()),4,LEN(INDEX('Structured 2025'!headerRow,1,COLUMN()))),ovrHeaderRow25,0))</f>
        <v>74</v>
      </c>
      <c r="CH96" s="12">
        <f>INDEX(ovrTable25,MATCH(INDEX(oppCol,ROW()),ovrTeamCol25,0),MATCH(MID(INDEX('Structured 2025'!headerRow,1,COLUMN()),4,LEN(INDEX('Structured 2025'!headerRow,1,COLUMN()))),ovrHeaderRow25,0))</f>
        <v>4.7</v>
      </c>
      <c r="CI96" s="12">
        <f>INDEX(ovrTable25,MATCH(INDEX(oppCol,ROW()),ovrTeamCol25,0),MATCH(MID(INDEX('Structured 2025'!headerRow,1,COLUMN()),4,LEN(INDEX('Structured 2025'!headerRow,1,COLUMN()))),ovrHeaderRow25,0))</f>
        <v>36.369999999999997</v>
      </c>
      <c r="CJ96" s="12">
        <f>INDEX(ovrTable25,MATCH(INDEX(oppCol,ROW()),ovrTeamCol25,0),MATCH(MID(INDEX('Structured 2025'!headerRow,1,COLUMN()),4,LEN(INDEX('Structured 2025'!headerRow,1,COLUMN()))),ovrHeaderRow25,0))</f>
        <v>11</v>
      </c>
      <c r="CK96" s="12">
        <f>INDEX(ovrTable25,MATCH(INDEX(oppCol,ROW()),ovrTeamCol25,0),MATCH(MID(INDEX('Structured 2025'!headerRow,1,COLUMN()),4,LEN(INDEX('Structured 2025'!headerRow,1,COLUMN()))),ovrHeaderRow25,0))</f>
        <v>6.9</v>
      </c>
      <c r="CL96" s="12">
        <f>INDEX(ovrTable25,MATCH(INDEX(oppCol,ROW()),ovrTeamCol25,0),MATCH(MID(INDEX('Structured 2025'!headerRow,1,COLUMN()),4,LEN(INDEX('Structured 2025'!headerRow,1,COLUMN()))),ovrHeaderRow25,0))</f>
        <v>1</v>
      </c>
      <c r="CM96" s="12">
        <f>INDEX(ovrTable25,MATCH(INDEX(oppCol,ROW()),ovrTeamCol25,0),MATCH(MID(INDEX('Structured 2025'!headerRow,1,COLUMN()),4,LEN(INDEX('Structured 2025'!headerRow,1,COLUMN()))),ovrHeaderRow25,0))</f>
        <v>11.47</v>
      </c>
      <c r="CN96" s="12">
        <f>INDEX(ovrTable25,MATCH(INDEX(oppCol,ROW()),ovrTeamCol25,0),MATCH(MID(INDEX('Structured 2025'!headerRow,1,COLUMN()),4,LEN(INDEX('Structured 2025'!headerRow,1,COLUMN()))),ovrHeaderRow25,0))</f>
        <v>10.4</v>
      </c>
      <c r="CO96" s="12">
        <f>INDEX(ovrTable25,MATCH(INDEX(oppCol,ROW()),ovrTeamCol25,0),MATCH(MID(INDEX('Structured 2025'!headerRow,1,COLUMN()),4,LEN(INDEX('Structured 2025'!headerRow,1,COLUMN()))),ovrHeaderRow25,0))</f>
        <v>63.7</v>
      </c>
      <c r="CP96" s="12">
        <f>INDEX(ovrTable25,MATCH(INDEX(oppCol,ROW()),ovrTeamCol25,0),MATCH(MID(INDEX('Structured 2025'!headerRow,1,COLUMN()),4,LEN(INDEX('Structured 2025'!headerRow,1,COLUMN()))),ovrHeaderRow25,0))</f>
        <v>17.25</v>
      </c>
      <c r="CQ96" s="12">
        <f>INDEX(ovrTable25,MATCH(INDEX(oppCol,ROW()),ovrTeamCol25,0),MATCH(MID(INDEX('Structured 2025'!headerRow,1,COLUMN()),4,LEN(INDEX('Structured 2025'!headerRow,1,COLUMN()))),ovrHeaderRow25,0))</f>
        <v>56.305309734513273</v>
      </c>
    </row>
    <row r="97" spans="1:95" x14ac:dyDescent="0.3">
      <c r="A97" s="6" t="s">
        <v>55</v>
      </c>
      <c r="B97" s="3">
        <v>2</v>
      </c>
      <c r="C97" s="13" t="str">
        <f>A96</f>
        <v>UCLA</v>
      </c>
      <c r="D97" s="14">
        <f t="shared" si="97"/>
        <v>48</v>
      </c>
      <c r="E97" s="23">
        <v>0.30434782608695654</v>
      </c>
      <c r="F97" s="24">
        <v>42.857142857142854</v>
      </c>
      <c r="G97" s="24">
        <v>11</v>
      </c>
      <c r="H97" s="23">
        <v>50</v>
      </c>
      <c r="I97" s="24">
        <v>22</v>
      </c>
      <c r="J97" s="25">
        <v>0.83333333333333337</v>
      </c>
      <c r="K97" s="24">
        <v>14</v>
      </c>
      <c r="L97" s="24">
        <v>16</v>
      </c>
      <c r="M97" s="24">
        <v>12</v>
      </c>
      <c r="N97" s="24">
        <v>24</v>
      </c>
      <c r="O97" s="24">
        <v>15</v>
      </c>
      <c r="P97" s="24">
        <v>7</v>
      </c>
      <c r="Q97" s="24">
        <v>2</v>
      </c>
      <c r="R97" s="24">
        <v>18</v>
      </c>
      <c r="S97" s="24">
        <v>8</v>
      </c>
      <c r="T97" s="24">
        <v>14</v>
      </c>
      <c r="U97" s="24">
        <v>18</v>
      </c>
      <c r="V97" s="24">
        <v>0.35849056603773582</v>
      </c>
      <c r="W97" s="26">
        <v>0.54081632653061229</v>
      </c>
      <c r="X97" s="23">
        <v>87.5</v>
      </c>
      <c r="Y97" s="24">
        <v>58</v>
      </c>
      <c r="Z97" s="24">
        <v>67</v>
      </c>
      <c r="AA97" s="24">
        <v>10</v>
      </c>
      <c r="AB97" s="24">
        <v>36</v>
      </c>
      <c r="AC97" s="24">
        <v>9</v>
      </c>
      <c r="AD97" s="24">
        <v>-7</v>
      </c>
      <c r="AE97" s="24">
        <v>11</v>
      </c>
      <c r="AF97" s="34">
        <f t="shared" si="69"/>
        <v>10</v>
      </c>
      <c r="AG97" s="34">
        <f t="shared" si="70"/>
        <v>27</v>
      </c>
      <c r="AH97" s="46">
        <f t="shared" si="71"/>
        <v>62.6</v>
      </c>
      <c r="AI97" s="51">
        <f t="shared" ref="AI97" si="104">AVERAGE(AH96,AH97)</f>
        <v>63.125</v>
      </c>
      <c r="AJ97" s="12">
        <f>INDEX(ovrTable25,MATCH(INDEX('Structured 2025'!teamCol,ROW()),ovrTeamCol25,0),MATCH(MID(INDEX('Structured 2025'!headerRow,1,COLUMN()),4,LEN(INDEX('Structured 2025'!headerRow,1,COLUMN()))),ovrHeaderRow25,0))</f>
        <v>28.7</v>
      </c>
      <c r="AK97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97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M97" s="12">
        <f>INDEX(ovrTable25,MATCH(INDEX('Structured 2025'!teamCol,ROW()),ovrTeamCol25,0),MATCH(MID(INDEX('Structured 2025'!headerRow,1,COLUMN()),4,LEN(INDEX('Structured 2025'!headerRow,1,COLUMN()))),ovrHeaderRow25,0))</f>
        <v>24.4</v>
      </c>
      <c r="AN97" s="12">
        <f>INDEX(ovrTable25,MATCH(INDEX('Structured 2025'!teamCol,ROW()),ovrTeamCol25,0),MATCH(MID(INDEX('Structured 2025'!headerRow,1,COLUMN()),4,LEN(INDEX('Structured 2025'!headerRow,1,COLUMN()))),ovrHeaderRow25,0))</f>
        <v>1.48</v>
      </c>
      <c r="AO97" s="12">
        <f>INDEX(ovrTable25,MATCH(INDEX('Structured 2025'!teamCol,ROW()),ovrTeamCol25,0),MATCH(MID(INDEX('Structured 2025'!headerRow,1,COLUMN()),4,LEN(INDEX('Structured 2025'!headerRow,1,COLUMN()))),ovrHeaderRow25,0))</f>
        <v>15.4</v>
      </c>
      <c r="AP97" s="12">
        <f>INDEX(ovrTable25,MATCH(INDEX('Structured 2025'!teamCol,ROW()),ovrTeamCol25,0),MATCH(MID(INDEX('Structured 2025'!headerRow,1,COLUMN()),4,LEN(INDEX('Structured 2025'!headerRow,1,COLUMN()))),ovrHeaderRow25,0))</f>
        <v>19.920000000000002</v>
      </c>
      <c r="AQ97" s="12">
        <f>INDEX(ovrTable25,MATCH(INDEX('Structured 2025'!teamCol,ROW()),ovrTeamCol25,0),MATCH(MID(INDEX('Structured 2025'!headerRow,1,COLUMN()),4,LEN(INDEX('Structured 2025'!headerRow,1,COLUMN()))),ovrHeaderRow25,0))</f>
        <v>4.8</v>
      </c>
      <c r="AR97" s="12">
        <f>INDEX(ovrTable25,MATCH(INDEX('Structured 2025'!teamCol,ROW()),ovrTeamCol25,0),MATCH(MID(INDEX('Structured 2025'!headerRow,1,COLUMN()),4,LEN(INDEX('Structured 2025'!headerRow,1,COLUMN()))),ovrHeaderRow25,0))</f>
        <v>38.6</v>
      </c>
      <c r="AS97" s="12">
        <f>INDEX(ovrTable25,MATCH(INDEX('Structured 2025'!teamCol,ROW()),ovrTeamCol25,0),MATCH(MID(INDEX('Structured 2025'!headerRow,1,COLUMN()),4,LEN(INDEX('Structured 2025'!headerRow,1,COLUMN()))),ovrHeaderRow25,0))</f>
        <v>24.87</v>
      </c>
      <c r="AT97" s="12">
        <f>INDEX(ovrTable25,MATCH(INDEX('Structured 2025'!teamCol,ROW()),ovrTeamCol25,0),MATCH(MID(INDEX('Structured 2025'!headerRow,1,COLUMN()),4,LEN(INDEX('Structured 2025'!headerRow,1,COLUMN()))),ovrHeaderRow25,0))</f>
        <v>0.52500000000000002</v>
      </c>
      <c r="AU97" s="12">
        <f>INDEX(ovrTable25,MATCH(INDEX('Structured 2025'!teamCol,ROW()),ovrTeamCol25,0),MATCH(MID(INDEX('Structured 2025'!headerRow,1,COLUMN()),4,LEN(INDEX('Structured 2025'!headerRow,1,COLUMN()))),ovrHeaderRow25,0))</f>
        <v>7.66</v>
      </c>
      <c r="AV97" s="12">
        <f>INDEX(ovrTable25,MATCH(INDEX('Structured 2025'!teamCol,ROW()),ovrTeamCol25,0),MATCH(MID(INDEX('Structured 2025'!headerRow,1,COLUMN()),4,LEN(INDEX('Structured 2025'!headerRow,1,COLUMN()))),ovrHeaderRow25,0))</f>
        <v>45.2</v>
      </c>
      <c r="AW97" s="12">
        <f>INDEX(ovrTable25,MATCH(INDEX('Structured 2025'!teamCol,ROW()),ovrTeamCol25,0),MATCH(MID(INDEX('Structured 2025'!headerRow,1,COLUMN()),4,LEN(INDEX('Structured 2025'!headerRow,1,COLUMN()))),ovrHeaderRow25,0))</f>
        <v>15.2</v>
      </c>
      <c r="AX97" s="12">
        <f>INDEX(ovrTable25,MATCH(INDEX('Structured 2025'!teamCol,ROW()),ovrTeamCol25,0),MATCH(MID(INDEX('Structured 2025'!headerRow,1,COLUMN()),4,LEN(INDEX('Structured 2025'!headerRow,1,COLUMN()))),ovrHeaderRow25,0))</f>
        <v>74.5</v>
      </c>
      <c r="AY97" s="12">
        <f>INDEX(ovrTable25,MATCH(INDEX('Structured 2025'!teamCol,ROW()),ovrTeamCol25,0),MATCH(MID(INDEX('Structured 2025'!headerRow,1,COLUMN()),4,LEN(INDEX('Structured 2025'!headerRow,1,COLUMN()))),ovrHeaderRow25,0))</f>
        <v>20</v>
      </c>
      <c r="AZ97" s="12">
        <f>INDEX(ovrTable25,MATCH(INDEX('Structured 2025'!teamCol,ROW()),ovrTeamCol25,0),MATCH(MID(INDEX('Structured 2025'!headerRow,1,COLUMN()),4,LEN(INDEX('Structured 2025'!headerRow,1,COLUMN()))),ovrHeaderRow25,0))</f>
        <v>14.9</v>
      </c>
      <c r="BA97" s="12">
        <f>INDEX(ovrTable25,MATCH(INDEX('Structured 2025'!teamCol,ROW()),ovrTeamCol25,0),MATCH(MID(INDEX('Structured 2025'!headerRow,1,COLUMN()),4,LEN(INDEX('Structured 2025'!headerRow,1,COLUMN()))),ovrHeaderRow25,0))</f>
        <v>63</v>
      </c>
      <c r="BB97" s="12">
        <f>INDEX(ovrTable25,MATCH(INDEX('Structured 2025'!teamCol,ROW()),ovrTeamCol25,0),MATCH(MID(INDEX('Structured 2025'!headerRow,1,COLUMN()),4,LEN(INDEX('Structured 2025'!headerRow,1,COLUMN()))),ovrHeaderRow25,0))</f>
        <v>11.5</v>
      </c>
      <c r="BC97" s="12">
        <f>INDEX(ovrTable25,MATCH(INDEX('Structured 2025'!teamCol,ROW()),ovrTeamCol25,0),MATCH(MID(INDEX('Structured 2025'!headerRow,1,COLUMN()),4,LEN(INDEX('Structured 2025'!headerRow,1,COLUMN()))),ovrHeaderRow25,0))</f>
        <v>74</v>
      </c>
      <c r="BD97" s="12">
        <f>INDEX(ovrTable25,MATCH(INDEX('Structured 2025'!teamCol,ROW()),ovrTeamCol25,0),MATCH(MID(INDEX('Structured 2025'!headerRow,1,COLUMN()),4,LEN(INDEX('Structured 2025'!headerRow,1,COLUMN()))),ovrHeaderRow25,0))</f>
        <v>4.7</v>
      </c>
      <c r="BE97" s="12">
        <f>INDEX(ovrTable25,MATCH(INDEX('Structured 2025'!teamCol,ROW()),ovrTeamCol25,0),MATCH(MID(INDEX('Structured 2025'!headerRow,1,COLUMN()),4,LEN(INDEX('Structured 2025'!headerRow,1,COLUMN()))),ovrHeaderRow25,0))</f>
        <v>36.369999999999997</v>
      </c>
      <c r="BF97" s="12">
        <f>INDEX(ovrTable25,MATCH(INDEX('Structured 2025'!teamCol,ROW()),ovrTeamCol25,0),MATCH(MID(INDEX('Structured 2025'!headerRow,1,COLUMN()),4,LEN(INDEX('Structured 2025'!headerRow,1,COLUMN()))),ovrHeaderRow25,0))</f>
        <v>11</v>
      </c>
      <c r="BG97" s="12">
        <f>INDEX(ovrTable25,MATCH(INDEX('Structured 2025'!teamCol,ROW()),ovrTeamCol25,0),MATCH(MID(INDEX('Structured 2025'!headerRow,1,COLUMN()),4,LEN(INDEX('Structured 2025'!headerRow,1,COLUMN()))),ovrHeaderRow25,0))</f>
        <v>6.9</v>
      </c>
      <c r="BH97" s="12">
        <f>INDEX(ovrTable25,MATCH(INDEX('Structured 2025'!teamCol,ROW()),ovrTeamCol25,0),MATCH(MID(INDEX('Structured 2025'!headerRow,1,COLUMN()),4,LEN(INDEX('Structured 2025'!headerRow,1,COLUMN()))),ovrHeaderRow25,0))</f>
        <v>1</v>
      </c>
      <c r="BI97" s="12">
        <f>INDEX(ovrTable25,MATCH(INDEX('Structured 2025'!teamCol,ROW()),ovrTeamCol25,0),MATCH(MID(INDEX('Structured 2025'!headerRow,1,COLUMN()),4,LEN(INDEX('Structured 2025'!headerRow,1,COLUMN()))),ovrHeaderRow25,0))</f>
        <v>11.47</v>
      </c>
      <c r="BJ97" s="12">
        <f>INDEX(ovrTable25,MATCH(INDEX('Structured 2025'!teamCol,ROW()),ovrTeamCol25,0),MATCH(MID(INDEX('Structured 2025'!headerRow,1,COLUMN()),4,LEN(INDEX('Structured 2025'!headerRow,1,COLUMN()))),ovrHeaderRow25,0))</f>
        <v>10.4</v>
      </c>
      <c r="BK97" s="12">
        <f>INDEX(ovrTable25,MATCH(INDEX('Structured 2025'!teamCol,ROW()),ovrTeamCol25,0),MATCH(MID(INDEX('Structured 2025'!headerRow,1,COLUMN()),4,LEN(INDEX('Structured 2025'!headerRow,1,COLUMN()))),ovrHeaderRow25,0))</f>
        <v>63.7</v>
      </c>
      <c r="BL97" s="12">
        <f>INDEX(ovrTable25,MATCH(INDEX('Structured 2025'!teamCol,ROW()),ovrTeamCol25,0),MATCH(MID(INDEX('Structured 2025'!headerRow,1,COLUMN()),4,LEN(INDEX('Structured 2025'!headerRow,1,COLUMN()))),ovrHeaderRow25,0))</f>
        <v>17.25</v>
      </c>
      <c r="BM97" s="12">
        <f>INDEX(ovrTable25,MATCH(INDEX('Structured 2025'!teamCol,ROW()),ovrTeamCol25,0),MATCH(MID(INDEX('Structured 2025'!headerRow,1,COLUMN()),4,LEN(INDEX('Structured 2025'!headerRow,1,COLUMN()))),ovrHeaderRow25,0))</f>
        <v>56.305309734513273</v>
      </c>
      <c r="BN97" s="12">
        <f>INDEX(ovrTable25,MATCH(INDEX(oppCol,ROW()),ovrTeamCol25,0),MATCH(MID(INDEX('Structured 2025'!headerRow,1,COLUMN()),4,LEN(INDEX('Structured 2025'!headerRow,1,COLUMN()))),ovrHeaderRow25,0))</f>
        <v>32.799999999999997</v>
      </c>
      <c r="BO97" s="12">
        <f>INDEX(ovrTable25,MATCH(INDEX(oppCol,ROW()),ovrTeamCol25,0),MATCH(MID(INDEX('Structured 2025'!headerRow,1,COLUMN()),4,LEN(INDEX('Structured 2025'!headerRow,1,COLUMN()))),ovrHeaderRow25,0))</f>
        <v>7.4</v>
      </c>
      <c r="BP97" s="12">
        <f>INDEX(ovrTable25,MATCH(INDEX(oppCol,ROW()),ovrTeamCol25,0),MATCH(MID(INDEX('Structured 2025'!headerRow,1,COLUMN()),4,LEN(INDEX('Structured 2025'!headerRow,1,COLUMN()))),ovrHeaderRow25,0))</f>
        <v>35.200000000000003</v>
      </c>
      <c r="BQ97" s="12">
        <f>INDEX(ovrTable25,MATCH(INDEX(oppCol,ROW()),ovrTeamCol25,0),MATCH(MID(INDEX('Structured 2025'!headerRow,1,COLUMN()),4,LEN(INDEX('Structured 2025'!headerRow,1,COLUMN()))),ovrHeaderRow25,0))</f>
        <v>21</v>
      </c>
      <c r="BR97" s="12">
        <f>INDEX(ovrTable25,MATCH(INDEX(oppCol,ROW()),ovrTeamCol25,0),MATCH(MID(INDEX('Structured 2025'!headerRow,1,COLUMN()),4,LEN(INDEX('Structured 2025'!headerRow,1,COLUMN()))),ovrHeaderRow25,0))</f>
        <v>1.55</v>
      </c>
      <c r="BS97" s="12">
        <f>INDEX(ovrTable25,MATCH(INDEX(oppCol,ROW()),ovrTeamCol25,0),MATCH(MID(INDEX('Structured 2025'!headerRow,1,COLUMN()),4,LEN(INDEX('Structured 2025'!headerRow,1,COLUMN()))),ovrHeaderRow25,0))</f>
        <v>16.3</v>
      </c>
      <c r="BT97" s="12">
        <f>INDEX(ovrTable25,MATCH(INDEX(oppCol,ROW()),ovrTeamCol25,0),MATCH(MID(INDEX('Structured 2025'!headerRow,1,COLUMN()),4,LEN(INDEX('Structured 2025'!headerRow,1,COLUMN()))),ovrHeaderRow25,0))</f>
        <v>25.94</v>
      </c>
      <c r="BU97" s="12">
        <f>INDEX(ovrTable25,MATCH(INDEX(oppCol,ROW()),ovrTeamCol25,0),MATCH(MID(INDEX('Structured 2025'!headerRow,1,COLUMN()),4,LEN(INDEX('Structured 2025'!headerRow,1,COLUMN()))),ovrHeaderRow25,0))</f>
        <v>3.1</v>
      </c>
      <c r="BV97" s="12">
        <f>INDEX(ovrTable25,MATCH(INDEX(oppCol,ROW()),ovrTeamCol25,0),MATCH(MID(INDEX('Structured 2025'!headerRow,1,COLUMN()),4,LEN(INDEX('Structured 2025'!headerRow,1,COLUMN()))),ovrHeaderRow25,0))</f>
        <v>42.7</v>
      </c>
      <c r="BW97" s="12">
        <f>INDEX(ovrTable25,MATCH(INDEX(oppCol,ROW()),ovrTeamCol25,0),MATCH(MID(INDEX('Structured 2025'!headerRow,1,COLUMN()),4,LEN(INDEX('Structured 2025'!headerRow,1,COLUMN()))),ovrHeaderRow25,0))</f>
        <v>21.85</v>
      </c>
      <c r="BX97" s="12">
        <f>INDEX(ovrTable25,MATCH(INDEX(oppCol,ROW()),ovrTeamCol25,0),MATCH(MID(INDEX('Structured 2025'!headerRow,1,COLUMN()),4,LEN(INDEX('Structured 2025'!headerRow,1,COLUMN()))),ovrHeaderRow25,0))</f>
        <v>0.52800000000000002</v>
      </c>
      <c r="BY97" s="12">
        <f>INDEX(ovrTable25,MATCH(INDEX(oppCol,ROW()),ovrTeamCol25,0),MATCH(MID(INDEX('Structured 2025'!headerRow,1,COLUMN()),4,LEN(INDEX('Structured 2025'!headerRow,1,COLUMN()))),ovrHeaderRow25,0))</f>
        <v>8</v>
      </c>
      <c r="BZ97" s="12">
        <f>INDEX(ovrTable25,MATCH(INDEX(oppCol,ROW()),ovrTeamCol25,0),MATCH(MID(INDEX('Structured 2025'!headerRow,1,COLUMN()),4,LEN(INDEX('Structured 2025'!headerRow,1,COLUMN()))),ovrHeaderRow25,0))</f>
        <v>46.4</v>
      </c>
      <c r="CA97" s="12">
        <f>INDEX(ovrTable25,MATCH(INDEX(oppCol,ROW()),ovrTeamCol25,0),MATCH(MID(INDEX('Structured 2025'!headerRow,1,COLUMN()),4,LEN(INDEX('Structured 2025'!headerRow,1,COLUMN()))),ovrHeaderRow25,0))</f>
        <v>17.2</v>
      </c>
      <c r="CB97" s="12">
        <f>INDEX(ovrTable25,MATCH(INDEX(oppCol,ROW()),ovrTeamCol25,0),MATCH(MID(INDEX('Structured 2025'!headerRow,1,COLUMN()),4,LEN(INDEX('Structured 2025'!headerRow,1,COLUMN()))),ovrHeaderRow25,0))</f>
        <v>71</v>
      </c>
      <c r="CC97" s="12">
        <f>INDEX(ovrTable25,MATCH(INDEX(oppCol,ROW()),ovrTeamCol25,0),MATCH(MID(INDEX('Structured 2025'!headerRow,1,COLUMN()),4,LEN(INDEX('Structured 2025'!headerRow,1,COLUMN()))),ovrHeaderRow25,0))</f>
        <v>18.600000000000001</v>
      </c>
      <c r="CD97" s="12">
        <f>INDEX(ovrTable25,MATCH(INDEX(oppCol,ROW()),ovrTeamCol25,0),MATCH(MID(INDEX('Structured 2025'!headerRow,1,COLUMN()),4,LEN(INDEX('Structured 2025'!headerRow,1,COLUMN()))),ovrHeaderRow25,0))</f>
        <v>13.2</v>
      </c>
      <c r="CE97" s="12">
        <f>INDEX(ovrTable25,MATCH(INDEX(oppCol,ROW()),ovrTeamCol25,0),MATCH(MID(INDEX('Structured 2025'!headerRow,1,COLUMN()),4,LEN(INDEX('Structured 2025'!headerRow,1,COLUMN()))),ovrHeaderRow25,0))</f>
        <v>65.2</v>
      </c>
      <c r="CF97" s="12">
        <f>INDEX(ovrTable25,MATCH(INDEX(oppCol,ROW()),ovrTeamCol25,0),MATCH(MID(INDEX('Structured 2025'!headerRow,1,COLUMN()),4,LEN(INDEX('Structured 2025'!headerRow,1,COLUMN()))),ovrHeaderRow25,0))</f>
        <v>10.76</v>
      </c>
      <c r="CG97" s="12">
        <f>INDEX(ovrTable25,MATCH(INDEX(oppCol,ROW()),ovrTeamCol25,0),MATCH(MID(INDEX('Structured 2025'!headerRow,1,COLUMN()),4,LEN(INDEX('Structured 2025'!headerRow,1,COLUMN()))),ovrHeaderRow25,0))</f>
        <v>74.099999999999994</v>
      </c>
      <c r="CH97" s="12">
        <f>INDEX(ovrTable25,MATCH(INDEX(oppCol,ROW()),ovrTeamCol25,0),MATCH(MID(INDEX('Structured 2025'!headerRow,1,COLUMN()),4,LEN(INDEX('Structured 2025'!headerRow,1,COLUMN()))),ovrHeaderRow25,0))</f>
        <v>1.2</v>
      </c>
      <c r="CI97" s="12">
        <f>INDEX(ovrTable25,MATCH(INDEX(oppCol,ROW()),ovrTeamCol25,0),MATCH(MID(INDEX('Structured 2025'!headerRow,1,COLUMN()),4,LEN(INDEX('Structured 2025'!headerRow,1,COLUMN()))),ovrHeaderRow25,0))</f>
        <v>32.619999999999997</v>
      </c>
      <c r="CJ97" s="12">
        <f>INDEX(ovrTable25,MATCH(INDEX(oppCol,ROW()),ovrTeamCol25,0),MATCH(MID(INDEX('Structured 2025'!headerRow,1,COLUMN()),4,LEN(INDEX('Structured 2025'!headerRow,1,COLUMN()))),ovrHeaderRow25,0))</f>
        <v>8.9</v>
      </c>
      <c r="CK97" s="12">
        <f>INDEX(ovrTable25,MATCH(INDEX(oppCol,ROW()),ovrTeamCol25,0),MATCH(MID(INDEX('Structured 2025'!headerRow,1,COLUMN()),4,LEN(INDEX('Structured 2025'!headerRow,1,COLUMN()))),ovrHeaderRow25,0))</f>
        <v>8.1</v>
      </c>
      <c r="CL97" s="12">
        <f>INDEX(ovrTable25,MATCH(INDEX(oppCol,ROW()),ovrTeamCol25,0),MATCH(MID(INDEX('Structured 2025'!headerRow,1,COLUMN()),4,LEN(INDEX('Structured 2025'!headerRow,1,COLUMN()))),ovrHeaderRow25,0))</f>
        <v>4.5999999999999996</v>
      </c>
      <c r="CM97" s="12">
        <f>INDEX(ovrTable25,MATCH(INDEX(oppCol,ROW()),ovrTeamCol25,0),MATCH(MID(INDEX('Structured 2025'!headerRow,1,COLUMN()),4,LEN(INDEX('Structured 2025'!headerRow,1,COLUMN()))),ovrHeaderRow25,0))</f>
        <v>15.12</v>
      </c>
      <c r="CN97" s="12">
        <f>INDEX(ovrTable25,MATCH(INDEX(oppCol,ROW()),ovrTeamCol25,0),MATCH(MID(INDEX('Structured 2025'!headerRow,1,COLUMN()),4,LEN(INDEX('Structured 2025'!headerRow,1,COLUMN()))),ovrHeaderRow25,0))</f>
        <v>10.6</v>
      </c>
      <c r="CO97" s="12">
        <f>INDEX(ovrTable25,MATCH(INDEX(oppCol,ROW()),ovrTeamCol25,0),MATCH(MID(INDEX('Structured 2025'!headerRow,1,COLUMN()),4,LEN(INDEX('Structured 2025'!headerRow,1,COLUMN()))),ovrHeaderRow25,0))</f>
        <v>65</v>
      </c>
      <c r="CP97" s="12">
        <f>INDEX(ovrTable25,MATCH(INDEX(oppCol,ROW()),ovrTeamCol25,0),MATCH(MID(INDEX('Structured 2025'!headerRow,1,COLUMN()),4,LEN(INDEX('Structured 2025'!headerRow,1,COLUMN()))),ovrHeaderRow25,0))</f>
        <v>19.349999999999994</v>
      </c>
      <c r="CQ97" s="12">
        <f>INDEX(ovrTable25,MATCH(INDEX(oppCol,ROW()),ovrTeamCol25,0),MATCH(MID(INDEX('Structured 2025'!headerRow,1,COLUMN()),4,LEN(INDEX('Structured 2025'!headerRow,1,COLUMN()))),ovrHeaderRow25,0))</f>
        <v>57.650862068965502</v>
      </c>
    </row>
    <row r="98" spans="1:95" x14ac:dyDescent="0.3">
      <c r="A98" s="6" t="s">
        <v>45</v>
      </c>
      <c r="B98" s="3">
        <v>1</v>
      </c>
      <c r="C98" s="13" t="str">
        <f>A99</f>
        <v>CONN</v>
      </c>
      <c r="D98" s="14">
        <f t="shared" si="97"/>
        <v>49</v>
      </c>
      <c r="E98" s="23">
        <v>0.27586206896551724</v>
      </c>
      <c r="F98" s="24">
        <v>46</v>
      </c>
      <c r="G98" s="24">
        <v>9</v>
      </c>
      <c r="H98" s="23">
        <v>47.368421052631575</v>
      </c>
      <c r="I98" s="24">
        <v>19</v>
      </c>
      <c r="J98" s="25">
        <v>1</v>
      </c>
      <c r="K98" s="24">
        <v>22</v>
      </c>
      <c r="L98" s="24">
        <v>34</v>
      </c>
      <c r="M98" s="24">
        <v>12</v>
      </c>
      <c r="N98" s="24">
        <v>28</v>
      </c>
      <c r="O98" s="24">
        <v>12</v>
      </c>
      <c r="P98" s="24">
        <v>4</v>
      </c>
      <c r="Q98" s="24">
        <v>0</v>
      </c>
      <c r="R98" s="24">
        <v>12</v>
      </c>
      <c r="S98" s="24">
        <v>13</v>
      </c>
      <c r="T98" s="24">
        <v>17</v>
      </c>
      <c r="U98" s="24">
        <v>10</v>
      </c>
      <c r="V98" s="24">
        <v>0.375</v>
      </c>
      <c r="W98" s="26">
        <v>0.55000000000000004</v>
      </c>
      <c r="X98" s="23">
        <v>64.705882352941174</v>
      </c>
      <c r="Y98" s="24">
        <v>75</v>
      </c>
      <c r="Z98" s="24">
        <v>77</v>
      </c>
      <c r="AA98" s="24">
        <v>5</v>
      </c>
      <c r="AB98" s="24">
        <v>40</v>
      </c>
      <c r="AC98" s="24">
        <v>2</v>
      </c>
      <c r="AD98" s="24">
        <v>-6</v>
      </c>
      <c r="AE98" s="24">
        <v>6</v>
      </c>
      <c r="AF98" s="34">
        <f t="shared" ref="AF98:AF129" si="105">(Z98-(3*G98)-K98)/2</f>
        <v>14</v>
      </c>
      <c r="AG98" s="34">
        <f t="shared" ref="AG98:AG129" si="106">(AF98+G98)/(F98/100)-I98</f>
        <v>31</v>
      </c>
      <c r="AH98" s="46">
        <f t="shared" ref="AH98:AH129" si="107">ROUND(((Z98-K98-3*G98)/2+G98)/(F98/100),0)-M98+R98+L98*0.475</f>
        <v>66.150000000000006</v>
      </c>
      <c r="AI98" s="51">
        <f t="shared" ref="AI98" si="108">AVERAGE(AH98,AH99)</f>
        <v>66.300000000000011</v>
      </c>
      <c r="AJ98" s="12">
        <f>INDEX(ovrTable25,MATCH(INDEX('Structured 2025'!teamCol,ROW()),ovrTeamCol25,0),MATCH(MID(INDEX('Structured 2025'!headerRow,1,COLUMN()),4,LEN(INDEX('Structured 2025'!headerRow,1,COLUMN()))),ovrHeaderRow25,0))</f>
        <v>29.4</v>
      </c>
      <c r="AK98" s="12">
        <f>INDEX(ovrTable25,MATCH(INDEX('Structured 2025'!teamCol,ROW()),ovrTeamCol25,0),MATCH(MID(INDEX('Structured 2025'!headerRow,1,COLUMN()),4,LEN(INDEX('Structured 2025'!headerRow,1,COLUMN()))),ovrHeaderRow25,0))</f>
        <v>9.8000000000000007</v>
      </c>
      <c r="AL98" s="12">
        <f>INDEX(ovrTable25,MATCH(INDEX('Structured 2025'!teamCol,ROW()),ovrTeamCol25,0),MATCH(MID(INDEX('Structured 2025'!headerRow,1,COLUMN()),4,LEN(INDEX('Structured 2025'!headerRow,1,COLUMN()))),ovrHeaderRow25,0))</f>
        <v>35.6</v>
      </c>
      <c r="AM98" s="12">
        <f>INDEX(ovrTable25,MATCH(INDEX('Structured 2025'!teamCol,ROW()),ovrTeamCol25,0),MATCH(MID(INDEX('Structured 2025'!headerRow,1,COLUMN()),4,LEN(INDEX('Structured 2025'!headerRow,1,COLUMN()))),ovrHeaderRow25,0))</f>
        <v>27.4</v>
      </c>
      <c r="AN98" s="12">
        <f>INDEX(ovrTable25,MATCH(INDEX('Structured 2025'!teamCol,ROW()),ovrTeamCol25,0),MATCH(MID(INDEX('Structured 2025'!headerRow,1,COLUMN()),4,LEN(INDEX('Structured 2025'!headerRow,1,COLUMN()))),ovrHeaderRow25,0))</f>
        <v>1.39</v>
      </c>
      <c r="AO98" s="12">
        <f>INDEX(ovrTable25,MATCH(INDEX('Structured 2025'!teamCol,ROW()),ovrTeamCol25,0),MATCH(MID(INDEX('Structured 2025'!headerRow,1,COLUMN()),4,LEN(INDEX('Structured 2025'!headerRow,1,COLUMN()))),ovrHeaderRow25,0))</f>
        <v>15.5</v>
      </c>
      <c r="AP98" s="12">
        <f>INDEX(ovrTable25,MATCH(INDEX('Structured 2025'!teamCol,ROW()),ovrTeamCol25,0),MATCH(MID(INDEX('Structured 2025'!headerRow,1,COLUMN()),4,LEN(INDEX('Structured 2025'!headerRow,1,COLUMN()))),ovrHeaderRow25,0))</f>
        <v>21.98</v>
      </c>
      <c r="AQ98" s="12">
        <f>INDEX(ovrTable25,MATCH(INDEX('Structured 2025'!teamCol,ROW()),ovrTeamCol25,0),MATCH(MID(INDEX('Structured 2025'!headerRow,1,COLUMN()),4,LEN(INDEX('Structured 2025'!headerRow,1,COLUMN()))),ovrHeaderRow25,0))</f>
        <v>4.5</v>
      </c>
      <c r="AR98" s="12">
        <f>INDEX(ovrTable25,MATCH(INDEX('Structured 2025'!teamCol,ROW()),ovrTeamCol25,0),MATCH(MID(INDEX('Structured 2025'!headerRow,1,COLUMN()),4,LEN(INDEX('Structured 2025'!headerRow,1,COLUMN()))),ovrHeaderRow25,0))</f>
        <v>40</v>
      </c>
      <c r="AS98" s="12">
        <f>INDEX(ovrTable25,MATCH(INDEX('Structured 2025'!teamCol,ROW()),ovrTeamCol25,0),MATCH(MID(INDEX('Structured 2025'!headerRow,1,COLUMN()),4,LEN(INDEX('Structured 2025'!headerRow,1,COLUMN()))),ovrHeaderRow25,0))</f>
        <v>28.1</v>
      </c>
      <c r="AT98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98" s="12">
        <f>INDEX(ovrTable25,MATCH(INDEX('Structured 2025'!teamCol,ROW()),ovrTeamCol25,0),MATCH(MID(INDEX('Structured 2025'!headerRow,1,COLUMN()),4,LEN(INDEX('Structured 2025'!headerRow,1,COLUMN()))),ovrHeaderRow25,0))</f>
        <v>15.58</v>
      </c>
      <c r="AV98" s="12">
        <f>INDEX(ovrTable25,MATCH(INDEX('Structured 2025'!teamCol,ROW()),ovrTeamCol25,0),MATCH(MID(INDEX('Structured 2025'!headerRow,1,COLUMN()),4,LEN(INDEX('Structured 2025'!headerRow,1,COLUMN()))),ovrHeaderRow25,0))</f>
        <v>47.1</v>
      </c>
      <c r="AW98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98" s="12">
        <f>INDEX(ovrTable25,MATCH(INDEX('Structured 2025'!teamCol,ROW()),ovrTeamCol25,0),MATCH(MID(INDEX('Structured 2025'!headerRow,1,COLUMN()),4,LEN(INDEX('Structured 2025'!headerRow,1,COLUMN()))),ovrHeaderRow25,0))</f>
        <v>72.8</v>
      </c>
      <c r="AY98" s="12">
        <f>INDEX(ovrTable25,MATCH(INDEX('Structured 2025'!teamCol,ROW()),ovrTeamCol25,0),MATCH(MID(INDEX('Structured 2025'!headerRow,1,COLUMN()),4,LEN(INDEX('Structured 2025'!headerRow,1,COLUMN()))),ovrHeaderRow25,0))</f>
        <v>21.9</v>
      </c>
      <c r="AZ98" s="12">
        <f>INDEX(ovrTable25,MATCH(INDEX('Structured 2025'!teamCol,ROW()),ovrTeamCol25,0),MATCH(MID(INDEX('Structured 2025'!headerRow,1,COLUMN()),4,LEN(INDEX('Structured 2025'!headerRow,1,COLUMN()))),ovrHeaderRow25,0))</f>
        <v>15.9</v>
      </c>
      <c r="BA98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B98" s="12">
        <f>INDEX(ovrTable25,MATCH(INDEX('Structured 2025'!teamCol,ROW()),ovrTeamCol25,0),MATCH(MID(INDEX('Structured 2025'!headerRow,1,COLUMN()),4,LEN(INDEX('Structured 2025'!headerRow,1,COLUMN()))),ovrHeaderRow25,0))</f>
        <v>13.73</v>
      </c>
      <c r="BC98" s="12">
        <f>INDEX(ovrTable25,MATCH(INDEX('Structured 2025'!teamCol,ROW()),ovrTeamCol25,0),MATCH(MID(INDEX('Structured 2025'!headerRow,1,COLUMN()),4,LEN(INDEX('Structured 2025'!headerRow,1,COLUMN()))),ovrHeaderRow25,0))</f>
        <v>84.8</v>
      </c>
      <c r="BD98" s="12">
        <f>INDEX(ovrTable25,MATCH(INDEX('Structured 2025'!teamCol,ROW()),ovrTeamCol25,0),MATCH(MID(INDEX('Structured 2025'!headerRow,1,COLUMN()),4,LEN(INDEX('Structured 2025'!headerRow,1,COLUMN()))),ovrHeaderRow25,0))</f>
        <v>8.4</v>
      </c>
      <c r="BE98" s="12">
        <f>INDEX(ovrTable25,MATCH(INDEX('Structured 2025'!teamCol,ROW()),ovrTeamCol25,0),MATCH(MID(INDEX('Structured 2025'!headerRow,1,COLUMN()),4,LEN(INDEX('Structured 2025'!headerRow,1,COLUMN()))),ovrHeaderRow25,0))</f>
        <v>41.83</v>
      </c>
      <c r="BF98" s="12">
        <f>INDEX(ovrTable25,MATCH(INDEX('Structured 2025'!teamCol,ROW()),ovrTeamCol25,0),MATCH(MID(INDEX('Structured 2025'!headerRow,1,COLUMN()),4,LEN(INDEX('Structured 2025'!headerRow,1,COLUMN()))),ovrHeaderRow25,0))</f>
        <v>15.2</v>
      </c>
      <c r="BG98" s="12">
        <f>INDEX(ovrTable25,MATCH(INDEX('Structured 2025'!teamCol,ROW()),ovrTeamCol25,0),MATCH(MID(INDEX('Structured 2025'!headerRow,1,COLUMN()),4,LEN(INDEX('Structured 2025'!headerRow,1,COLUMN()))),ovrHeaderRow25,0))</f>
        <v>7.4</v>
      </c>
      <c r="BH98" s="12">
        <f>INDEX(ovrTable25,MATCH(INDEX('Structured 2025'!teamCol,ROW()),ovrTeamCol25,0),MATCH(MID(INDEX('Structured 2025'!headerRow,1,COLUMN()),4,LEN(INDEX('Structured 2025'!headerRow,1,COLUMN()))),ovrHeaderRow25,0))</f>
        <v>0.6</v>
      </c>
      <c r="BI98" s="12">
        <f>INDEX(ovrTable25,MATCH(INDEX('Structured 2025'!teamCol,ROW()),ovrTeamCol25,0),MATCH(MID(INDEX('Structured 2025'!headerRow,1,COLUMN()),4,LEN(INDEX('Structured 2025'!headerRow,1,COLUMN()))),ovrHeaderRow25,0))</f>
        <v>11.73</v>
      </c>
      <c r="BJ98" s="12">
        <f>INDEX(ovrTable25,MATCH(INDEX('Structured 2025'!teamCol,ROW()),ovrTeamCol25,0),MATCH(MID(INDEX('Structured 2025'!headerRow,1,COLUMN()),4,LEN(INDEX('Structured 2025'!headerRow,1,COLUMN()))),ovrHeaderRow25,0))</f>
        <v>11.1</v>
      </c>
      <c r="BK98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98" s="12">
        <f>INDEX(ovrTable25,MATCH(INDEX('Structured 2025'!teamCol,ROW()),ovrTeamCol25,0),MATCH(MID(INDEX('Structured 2025'!headerRow,1,COLUMN()),4,LEN(INDEX('Structured 2025'!headerRow,1,COLUMN()))),ovrHeaderRow25,0))</f>
        <v>19.749999999999993</v>
      </c>
      <c r="BM98" s="12">
        <f>INDEX(ovrTable25,MATCH(INDEX('Structured 2025'!teamCol,ROW()),ovrTeamCol25,0),MATCH(MID(INDEX('Structured 2025'!headerRow,1,COLUMN()),4,LEN(INDEX('Structured 2025'!headerRow,1,COLUMN()))),ovrHeaderRow25,0))</f>
        <v>62.7388535031847</v>
      </c>
      <c r="BN98" s="12">
        <f>INDEX(ovrTable25,MATCH(INDEX(oppCol,ROW()),ovrTeamCol25,0),MATCH(MID(INDEX('Structured 2025'!headerRow,1,COLUMN()),4,LEN(INDEX('Structured 2025'!headerRow,1,COLUMN()))),ovrHeaderRow25,0))</f>
        <v>35</v>
      </c>
      <c r="BO98" s="12">
        <f>INDEX(ovrTable25,MATCH(INDEX(oppCol,ROW()),ovrTeamCol25,0),MATCH(MID(INDEX('Structured 2025'!headerRow,1,COLUMN()),4,LEN(INDEX('Structured 2025'!headerRow,1,COLUMN()))),ovrHeaderRow25,0))</f>
        <v>8.5</v>
      </c>
      <c r="BP98" s="12">
        <f>INDEX(ovrTable25,MATCH(INDEX(oppCol,ROW()),ovrTeamCol25,0),MATCH(MID(INDEX('Structured 2025'!headerRow,1,COLUMN()),4,LEN(INDEX('Structured 2025'!headerRow,1,COLUMN()))),ovrHeaderRow25,0))</f>
        <v>34.799999999999997</v>
      </c>
      <c r="BQ98" s="12">
        <f>INDEX(ovrTable25,MATCH(INDEX(oppCol,ROW()),ovrTeamCol25,0),MATCH(MID(INDEX('Structured 2025'!headerRow,1,COLUMN()),4,LEN(INDEX('Structured 2025'!headerRow,1,COLUMN()))),ovrHeaderRow25,0))</f>
        <v>24.5</v>
      </c>
      <c r="BR98" s="12">
        <f>INDEX(ovrTable25,MATCH(INDEX(oppCol,ROW()),ovrTeamCol25,0),MATCH(MID(INDEX('Structured 2025'!headerRow,1,COLUMN()),4,LEN(INDEX('Structured 2025'!headerRow,1,COLUMN()))),ovrHeaderRow25,0))</f>
        <v>1.56</v>
      </c>
      <c r="BS98" s="12">
        <f>INDEX(ovrTable25,MATCH(INDEX(oppCol,ROW()),ovrTeamCol25,0),MATCH(MID(INDEX('Structured 2025'!headerRow,1,COLUMN()),4,LEN(INDEX('Structured 2025'!headerRow,1,COLUMN()))),ovrHeaderRow25,0))</f>
        <v>17.3</v>
      </c>
      <c r="BT98" s="12">
        <f>INDEX(ovrTable25,MATCH(INDEX(oppCol,ROW()),ovrTeamCol25,0),MATCH(MID(INDEX('Structured 2025'!headerRow,1,COLUMN()),4,LEN(INDEX('Structured 2025'!headerRow,1,COLUMN()))),ovrHeaderRow25,0))</f>
        <v>20.74</v>
      </c>
      <c r="BU98" s="12">
        <f>INDEX(ovrTable25,MATCH(INDEX(oppCol,ROW()),ovrTeamCol25,0),MATCH(MID(INDEX('Structured 2025'!headerRow,1,COLUMN()),4,LEN(INDEX('Structured 2025'!headerRow,1,COLUMN()))),ovrHeaderRow25,0))</f>
        <v>6.2</v>
      </c>
      <c r="BV98" s="12">
        <f>INDEX(ovrTable25,MATCH(INDEX(oppCol,ROW()),ovrTeamCol25,0),MATCH(MID(INDEX('Structured 2025'!headerRow,1,COLUMN()),4,LEN(INDEX('Structured 2025'!headerRow,1,COLUMN()))),ovrHeaderRow25,0))</f>
        <v>42.1</v>
      </c>
      <c r="BW98" s="12">
        <f>INDEX(ovrTable25,MATCH(INDEX(oppCol,ROW()),ovrTeamCol25,0),MATCH(MID(INDEX('Structured 2025'!headerRow,1,COLUMN()),4,LEN(INDEX('Structured 2025'!headerRow,1,COLUMN()))),ovrHeaderRow25,0))</f>
        <v>24.54</v>
      </c>
      <c r="BX98" s="12">
        <f>INDEX(ovrTable25,MATCH(INDEX(oppCol,ROW()),ovrTeamCol25,0),MATCH(MID(INDEX('Structured 2025'!headerRow,1,COLUMN()),4,LEN(INDEX('Structured 2025'!headerRow,1,COLUMN()))),ovrHeaderRow25,0))</f>
        <v>0.55000000000000004</v>
      </c>
      <c r="BY98" s="12">
        <f>INDEX(ovrTable25,MATCH(INDEX(oppCol,ROW()),ovrTeamCol25,0),MATCH(MID(INDEX('Structured 2025'!headerRow,1,COLUMN()),4,LEN(INDEX('Structured 2025'!headerRow,1,COLUMN()))),ovrHeaderRow25,0))</f>
        <v>8.6300000000000008</v>
      </c>
      <c r="BZ98" s="12">
        <f>INDEX(ovrTable25,MATCH(INDEX(oppCol,ROW()),ovrTeamCol25,0),MATCH(MID(INDEX('Structured 2025'!headerRow,1,COLUMN()),4,LEN(INDEX('Structured 2025'!headerRow,1,COLUMN()))),ovrHeaderRow25,0))</f>
        <v>47.5</v>
      </c>
      <c r="CA98" s="12">
        <f>INDEX(ovrTable25,MATCH(INDEX(oppCol,ROW()),ovrTeamCol25,0),MATCH(MID(INDEX('Structured 2025'!headerRow,1,COLUMN()),4,LEN(INDEX('Structured 2025'!headerRow,1,COLUMN()))),ovrHeaderRow25,0))</f>
        <v>18.3</v>
      </c>
      <c r="CB98" s="12">
        <f>INDEX(ovrTable25,MATCH(INDEX(oppCol,ROW()),ovrTeamCol25,0),MATCH(MID(INDEX('Structured 2025'!headerRow,1,COLUMN()),4,LEN(INDEX('Structured 2025'!headerRow,1,COLUMN()))),ovrHeaderRow25,0))</f>
        <v>79.099999999999994</v>
      </c>
      <c r="CC98" s="12">
        <f>INDEX(ovrTable25,MATCH(INDEX(oppCol,ROW()),ovrTeamCol25,0),MATCH(MID(INDEX('Structured 2025'!headerRow,1,COLUMN()),4,LEN(INDEX('Structured 2025'!headerRow,1,COLUMN()))),ovrHeaderRow25,0))</f>
        <v>17.7</v>
      </c>
      <c r="CD98" s="12">
        <f>INDEX(ovrTable25,MATCH(INDEX(oppCol,ROW()),ovrTeamCol25,0),MATCH(MID(INDEX('Structured 2025'!headerRow,1,COLUMN()),4,LEN(INDEX('Structured 2025'!headerRow,1,COLUMN()))),ovrHeaderRow25,0))</f>
        <v>14</v>
      </c>
      <c r="CE98" s="12">
        <f>INDEX(ovrTable25,MATCH(INDEX(oppCol,ROW()),ovrTeamCol25,0),MATCH(MID(INDEX('Structured 2025'!headerRow,1,COLUMN()),4,LEN(INDEX('Structured 2025'!headerRow,1,COLUMN()))),ovrHeaderRow25,0))</f>
        <v>68</v>
      </c>
      <c r="CF98" s="12">
        <f>INDEX(ovrTable25,MATCH(INDEX(oppCol,ROW()),ovrTeamCol25,0),MATCH(MID(INDEX('Structured 2025'!headerRow,1,COLUMN()),4,LEN(INDEX('Structured 2025'!headerRow,1,COLUMN()))),ovrHeaderRow25,0))</f>
        <v>11.2</v>
      </c>
      <c r="CG98" s="12">
        <f>INDEX(ovrTable25,MATCH(INDEX(oppCol,ROW()),ovrTeamCol25,0),MATCH(MID(INDEX('Structured 2025'!headerRow,1,COLUMN()),4,LEN(INDEX('Structured 2025'!headerRow,1,COLUMN()))),ovrHeaderRow25,0))</f>
        <v>77</v>
      </c>
      <c r="CH98" s="12">
        <f>INDEX(ovrTable25,MATCH(INDEX(oppCol,ROW()),ovrTeamCol25,0),MATCH(MID(INDEX('Structured 2025'!headerRow,1,COLUMN()),4,LEN(INDEX('Structured 2025'!headerRow,1,COLUMN()))),ovrHeaderRow25,0))</f>
        <v>6</v>
      </c>
      <c r="CI98" s="12">
        <f>INDEX(ovrTable25,MATCH(INDEX(oppCol,ROW()),ovrTeamCol25,0),MATCH(MID(INDEX('Structured 2025'!headerRow,1,COLUMN()),4,LEN(INDEX('Structured 2025'!headerRow,1,COLUMN()))),ovrHeaderRow25,0))</f>
        <v>35.74</v>
      </c>
      <c r="CJ98" s="12">
        <f>INDEX(ovrTable25,MATCH(INDEX(oppCol,ROW()),ovrTeamCol25,0),MATCH(MID(INDEX('Structured 2025'!headerRow,1,COLUMN()),4,LEN(INDEX('Structured 2025'!headerRow,1,COLUMN()))),ovrHeaderRow25,0))</f>
        <v>9</v>
      </c>
      <c r="CK98" s="12">
        <f>INDEX(ovrTable25,MATCH(INDEX(oppCol,ROW()),ovrTeamCol25,0),MATCH(MID(INDEX('Structured 2025'!headerRow,1,COLUMN()),4,LEN(INDEX('Structured 2025'!headerRow,1,COLUMN()))),ovrHeaderRow25,0))</f>
        <v>5.4</v>
      </c>
      <c r="CL98" s="12">
        <f>INDEX(ovrTable25,MATCH(INDEX(oppCol,ROW()),ovrTeamCol25,0),MATCH(MID(INDEX('Structured 2025'!headerRow,1,COLUMN()),4,LEN(INDEX('Structured 2025'!headerRow,1,COLUMN()))),ovrHeaderRow25,0))</f>
        <v>-0.9</v>
      </c>
      <c r="CM98" s="12">
        <f>INDEX(ovrTable25,MATCH(INDEX(oppCol,ROW()),ovrTeamCol25,0),MATCH(MID(INDEX('Structured 2025'!headerRow,1,COLUMN()),4,LEN(INDEX('Structured 2025'!headerRow,1,COLUMN()))),ovrHeaderRow25,0))</f>
        <v>10.26</v>
      </c>
      <c r="CN98" s="12">
        <f>INDEX(ovrTable25,MATCH(INDEX(oppCol,ROW()),ovrTeamCol25,0),MATCH(MID(INDEX('Structured 2025'!headerRow,1,COLUMN()),4,LEN(INDEX('Structured 2025'!headerRow,1,COLUMN()))),ovrHeaderRow25,0))</f>
        <v>11.1</v>
      </c>
      <c r="CO98" s="12">
        <f>INDEX(ovrTable25,MATCH(INDEX(oppCol,ROW()),ovrTeamCol25,0),MATCH(MID(INDEX('Structured 2025'!headerRow,1,COLUMN()),4,LEN(INDEX('Structured 2025'!headerRow,1,COLUMN()))),ovrHeaderRow25,0))</f>
        <v>64</v>
      </c>
      <c r="CP98" s="12">
        <f>INDEX(ovrTable25,MATCH(INDEX(oppCol,ROW()),ovrTeamCol25,0),MATCH(MID(INDEX('Structured 2025'!headerRow,1,COLUMN()),4,LEN(INDEX('Structured 2025'!headerRow,1,COLUMN()))),ovrHeaderRow25,0))</f>
        <v>18.75</v>
      </c>
      <c r="CQ98" s="12">
        <f>INDEX(ovrTable25,MATCH(INDEX(oppCol,ROW()),ovrTeamCol25,0),MATCH(MID(INDEX('Structured 2025'!headerRow,1,COLUMN()),4,LEN(INDEX('Structured 2025'!headerRow,1,COLUMN()))),ovrHeaderRow25,0))</f>
        <v>57.368421052631582</v>
      </c>
    </row>
    <row r="99" spans="1:95" x14ac:dyDescent="0.3">
      <c r="A99" s="6" t="s">
        <v>2</v>
      </c>
      <c r="B99" s="3">
        <v>8</v>
      </c>
      <c r="C99" s="13" t="str">
        <f>A98</f>
        <v>FLA</v>
      </c>
      <c r="D99" s="14">
        <f t="shared" si="97"/>
        <v>49</v>
      </c>
      <c r="E99" s="23">
        <v>0.47368421052631576</v>
      </c>
      <c r="F99" s="24">
        <v>37.5</v>
      </c>
      <c r="G99" s="24">
        <v>8</v>
      </c>
      <c r="H99" s="23">
        <v>27.586206896551722</v>
      </c>
      <c r="I99" s="24">
        <v>29</v>
      </c>
      <c r="J99" s="25">
        <v>2.6666666666666665</v>
      </c>
      <c r="K99" s="24">
        <v>19</v>
      </c>
      <c r="L99" s="24">
        <v>22</v>
      </c>
      <c r="M99" s="24">
        <v>14</v>
      </c>
      <c r="N99" s="24">
        <v>21</v>
      </c>
      <c r="O99" s="24">
        <v>16</v>
      </c>
      <c r="P99" s="24">
        <v>8</v>
      </c>
      <c r="Q99" s="24">
        <v>2</v>
      </c>
      <c r="R99" s="24">
        <v>6</v>
      </c>
      <c r="S99" s="24">
        <v>9</v>
      </c>
      <c r="T99" s="24">
        <v>21</v>
      </c>
      <c r="U99" s="24">
        <v>15</v>
      </c>
      <c r="V99" s="24">
        <v>0.46</v>
      </c>
      <c r="W99" s="26">
        <v>0.4375</v>
      </c>
      <c r="X99" s="23">
        <v>86.36363636363636</v>
      </c>
      <c r="Y99" s="24">
        <v>77</v>
      </c>
      <c r="Z99" s="24">
        <v>75</v>
      </c>
      <c r="AA99" s="24">
        <v>-5</v>
      </c>
      <c r="AB99" s="24">
        <v>35</v>
      </c>
      <c r="AC99" s="24">
        <v>-2</v>
      </c>
      <c r="AD99" s="24">
        <v>6</v>
      </c>
      <c r="AE99" s="24">
        <v>12</v>
      </c>
      <c r="AF99" s="34">
        <f t="shared" si="105"/>
        <v>16</v>
      </c>
      <c r="AG99" s="34">
        <f t="shared" si="106"/>
        <v>35</v>
      </c>
      <c r="AH99" s="46">
        <f t="shared" si="107"/>
        <v>66.45</v>
      </c>
      <c r="AI99" s="51">
        <f t="shared" ref="AI99" si="109">AVERAGE(AH98,AH99)</f>
        <v>66.300000000000011</v>
      </c>
      <c r="AJ99" s="12">
        <f>INDEX(ovrTable25,MATCH(INDEX('Structured 2025'!teamCol,ROW()),ovrTeamCol25,0),MATCH(MID(INDEX('Structured 2025'!headerRow,1,COLUMN()),4,LEN(INDEX('Structured 2025'!headerRow,1,COLUMN()))),ovrHeaderRow25,0))</f>
        <v>35</v>
      </c>
      <c r="AK99" s="12">
        <f>INDEX(ovrTable25,MATCH(INDEX('Structured 2025'!teamCol,ROW()),ovrTeamCol25,0),MATCH(MID(INDEX('Structured 2025'!headerRow,1,COLUMN()),4,LEN(INDEX('Structured 2025'!headerRow,1,COLUMN()))),ovrHeaderRow25,0))</f>
        <v>8.5</v>
      </c>
      <c r="AL99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99" s="12">
        <f>INDEX(ovrTable25,MATCH(INDEX('Structured 2025'!teamCol,ROW()),ovrTeamCol25,0),MATCH(MID(INDEX('Structured 2025'!headerRow,1,COLUMN()),4,LEN(INDEX('Structured 2025'!headerRow,1,COLUMN()))),ovrHeaderRow25,0))</f>
        <v>24.5</v>
      </c>
      <c r="AN99" s="12">
        <f>INDEX(ovrTable25,MATCH(INDEX('Structured 2025'!teamCol,ROW()),ovrTeamCol25,0),MATCH(MID(INDEX('Structured 2025'!headerRow,1,COLUMN()),4,LEN(INDEX('Structured 2025'!headerRow,1,COLUMN()))),ovrHeaderRow25,0))</f>
        <v>1.56</v>
      </c>
      <c r="AO99" s="12">
        <f>INDEX(ovrTable25,MATCH(INDEX('Structured 2025'!teamCol,ROW()),ovrTeamCol25,0),MATCH(MID(INDEX('Structured 2025'!headerRow,1,COLUMN()),4,LEN(INDEX('Structured 2025'!headerRow,1,COLUMN()))),ovrHeaderRow25,0))</f>
        <v>17.3</v>
      </c>
      <c r="AP99" s="12">
        <f>INDEX(ovrTable25,MATCH(INDEX('Structured 2025'!teamCol,ROW()),ovrTeamCol25,0),MATCH(MID(INDEX('Structured 2025'!headerRow,1,COLUMN()),4,LEN(INDEX('Structured 2025'!headerRow,1,COLUMN()))),ovrHeaderRow25,0))</f>
        <v>20.74</v>
      </c>
      <c r="AQ99" s="12">
        <f>INDEX(ovrTable25,MATCH(INDEX('Structured 2025'!teamCol,ROW()),ovrTeamCol25,0),MATCH(MID(INDEX('Structured 2025'!headerRow,1,COLUMN()),4,LEN(INDEX('Structured 2025'!headerRow,1,COLUMN()))),ovrHeaderRow25,0))</f>
        <v>6.2</v>
      </c>
      <c r="AR99" s="12">
        <f>INDEX(ovrTable25,MATCH(INDEX('Structured 2025'!teamCol,ROW()),ovrTeamCol25,0),MATCH(MID(INDEX('Structured 2025'!headerRow,1,COLUMN()),4,LEN(INDEX('Structured 2025'!headerRow,1,COLUMN()))),ovrHeaderRow25,0))</f>
        <v>42.1</v>
      </c>
      <c r="AS99" s="12">
        <f>INDEX(ovrTable25,MATCH(INDEX('Structured 2025'!teamCol,ROW()),ovrTeamCol25,0),MATCH(MID(INDEX('Structured 2025'!headerRow,1,COLUMN()),4,LEN(INDEX('Structured 2025'!headerRow,1,COLUMN()))),ovrHeaderRow25,0))</f>
        <v>24.54</v>
      </c>
      <c r="AT99" s="12">
        <f>INDEX(ovrTable25,MATCH(INDEX('Structured 2025'!teamCol,ROW()),ovrTeamCol25,0),MATCH(MID(INDEX('Structured 2025'!headerRow,1,COLUMN()),4,LEN(INDEX('Structured 2025'!headerRow,1,COLUMN()))),ovrHeaderRow25,0))</f>
        <v>0.55000000000000004</v>
      </c>
      <c r="AU99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99" s="12">
        <f>INDEX(ovrTable25,MATCH(INDEX('Structured 2025'!teamCol,ROW()),ovrTeamCol25,0),MATCH(MID(INDEX('Structured 2025'!headerRow,1,COLUMN()),4,LEN(INDEX('Structured 2025'!headerRow,1,COLUMN()))),ovrHeaderRow25,0))</f>
        <v>47.5</v>
      </c>
      <c r="AW99" s="12">
        <f>INDEX(ovrTable25,MATCH(INDEX('Structured 2025'!teamCol,ROW()),ovrTeamCol25,0),MATCH(MID(INDEX('Structured 2025'!headerRow,1,COLUMN()),4,LEN(INDEX('Structured 2025'!headerRow,1,COLUMN()))),ovrHeaderRow25,0))</f>
        <v>18.3</v>
      </c>
      <c r="AX99" s="12">
        <f>INDEX(ovrTable25,MATCH(INDEX('Structured 2025'!teamCol,ROW()),ovrTeamCol25,0),MATCH(MID(INDEX('Structured 2025'!headerRow,1,COLUMN()),4,LEN(INDEX('Structured 2025'!headerRow,1,COLUMN()))),ovrHeaderRow25,0))</f>
        <v>79.099999999999994</v>
      </c>
      <c r="AY99" s="12">
        <f>INDEX(ovrTable25,MATCH(INDEX('Structured 2025'!teamCol,ROW()),ovrTeamCol25,0),MATCH(MID(INDEX('Structured 2025'!headerRow,1,COLUMN()),4,LEN(INDEX('Structured 2025'!headerRow,1,COLUMN()))),ovrHeaderRow25,0))</f>
        <v>17.7</v>
      </c>
      <c r="AZ99" s="12">
        <f>INDEX(ovrTable25,MATCH(INDEX('Structured 2025'!teamCol,ROW()),ovrTeamCol25,0),MATCH(MID(INDEX('Structured 2025'!headerRow,1,COLUMN()),4,LEN(INDEX('Structured 2025'!headerRow,1,COLUMN()))),ovrHeaderRow25,0))</f>
        <v>14</v>
      </c>
      <c r="BA99" s="12">
        <f>INDEX(ovrTable25,MATCH(INDEX('Structured 2025'!teamCol,ROW()),ovrTeamCol25,0),MATCH(MID(INDEX('Structured 2025'!headerRow,1,COLUMN()),4,LEN(INDEX('Structured 2025'!headerRow,1,COLUMN()))),ovrHeaderRow25,0))</f>
        <v>68</v>
      </c>
      <c r="BB99" s="12">
        <f>INDEX(ovrTable25,MATCH(INDEX('Structured 2025'!teamCol,ROW()),ovrTeamCol25,0),MATCH(MID(INDEX('Structured 2025'!headerRow,1,COLUMN()),4,LEN(INDEX('Structured 2025'!headerRow,1,COLUMN()))),ovrHeaderRow25,0))</f>
        <v>11.2</v>
      </c>
      <c r="BC99" s="12">
        <f>INDEX(ovrTable25,MATCH(INDEX('Structured 2025'!teamCol,ROW()),ovrTeamCol25,0),MATCH(MID(INDEX('Structured 2025'!headerRow,1,COLUMN()),4,LEN(INDEX('Structured 2025'!headerRow,1,COLUMN()))),ovrHeaderRow25,0))</f>
        <v>77</v>
      </c>
      <c r="BD99" s="12">
        <f>INDEX(ovrTable25,MATCH(INDEX('Structured 2025'!teamCol,ROW()),ovrTeamCol25,0),MATCH(MID(INDEX('Structured 2025'!headerRow,1,COLUMN()),4,LEN(INDEX('Structured 2025'!headerRow,1,COLUMN()))),ovrHeaderRow25,0))</f>
        <v>6</v>
      </c>
      <c r="BE99" s="12">
        <f>INDEX(ovrTable25,MATCH(INDEX('Structured 2025'!teamCol,ROW()),ovrTeamCol25,0),MATCH(MID(INDEX('Structured 2025'!headerRow,1,COLUMN()),4,LEN(INDEX('Structured 2025'!headerRow,1,COLUMN()))),ovrHeaderRow25,0))</f>
        <v>35.74</v>
      </c>
      <c r="BF99" s="12">
        <f>INDEX(ovrTable25,MATCH(INDEX('Structured 2025'!teamCol,ROW()),ovrTeamCol25,0),MATCH(MID(INDEX('Structured 2025'!headerRow,1,COLUMN()),4,LEN(INDEX('Structured 2025'!headerRow,1,COLUMN()))),ovrHeaderRow25,0))</f>
        <v>9</v>
      </c>
      <c r="BG99" s="12">
        <f>INDEX(ovrTable25,MATCH(INDEX('Structured 2025'!teamCol,ROW()),ovrTeamCol25,0),MATCH(MID(INDEX('Structured 2025'!headerRow,1,COLUMN()),4,LEN(INDEX('Structured 2025'!headerRow,1,COLUMN()))),ovrHeaderRow25,0))</f>
        <v>5.4</v>
      </c>
      <c r="BH99" s="12">
        <f>INDEX(ovrTable25,MATCH(INDEX('Structured 2025'!teamCol,ROW()),ovrTeamCol25,0),MATCH(MID(INDEX('Structured 2025'!headerRow,1,COLUMN()),4,LEN(INDEX('Structured 2025'!headerRow,1,COLUMN()))),ovrHeaderRow25,0))</f>
        <v>-0.9</v>
      </c>
      <c r="BI99" s="12">
        <f>INDEX(ovrTable25,MATCH(INDEX('Structured 2025'!teamCol,ROW()),ovrTeamCol25,0),MATCH(MID(INDEX('Structured 2025'!headerRow,1,COLUMN()),4,LEN(INDEX('Structured 2025'!headerRow,1,COLUMN()))),ovrHeaderRow25,0))</f>
        <v>10.26</v>
      </c>
      <c r="BJ99" s="12">
        <f>INDEX(ovrTable25,MATCH(INDEX('Structured 2025'!teamCol,ROW()),ovrTeamCol25,0),MATCH(MID(INDEX('Structured 2025'!headerRow,1,COLUMN()),4,LEN(INDEX('Structured 2025'!headerRow,1,COLUMN()))),ovrHeaderRow25,0))</f>
        <v>11.1</v>
      </c>
      <c r="BK99" s="12">
        <f>INDEX(ovrTable25,MATCH(INDEX('Structured 2025'!teamCol,ROW()),ovrTeamCol25,0),MATCH(MID(INDEX('Structured 2025'!headerRow,1,COLUMN()),4,LEN(INDEX('Structured 2025'!headerRow,1,COLUMN()))),ovrHeaderRow25,0))</f>
        <v>64</v>
      </c>
      <c r="BL99" s="12">
        <f>INDEX(ovrTable25,MATCH(INDEX('Structured 2025'!teamCol,ROW()),ovrTeamCol25,0),MATCH(MID(INDEX('Structured 2025'!headerRow,1,COLUMN()),4,LEN(INDEX('Structured 2025'!headerRow,1,COLUMN()))),ovrHeaderRow25,0))</f>
        <v>18.75</v>
      </c>
      <c r="BM99" s="12">
        <f>INDEX(ovrTable25,MATCH(INDEX('Structured 2025'!teamCol,ROW()),ovrTeamCol25,0),MATCH(MID(INDEX('Structured 2025'!headerRow,1,COLUMN()),4,LEN(INDEX('Structured 2025'!headerRow,1,COLUMN()))),ovrHeaderRow25,0))</f>
        <v>57.368421052631582</v>
      </c>
      <c r="BN99" s="12">
        <f>INDEX(ovrTable25,MATCH(INDEX(oppCol,ROW()),ovrTeamCol25,0),MATCH(MID(INDEX('Structured 2025'!headerRow,1,COLUMN()),4,LEN(INDEX('Structured 2025'!headerRow,1,COLUMN()))),ovrHeaderRow25,0))</f>
        <v>29.4</v>
      </c>
      <c r="BO99" s="12">
        <f>INDEX(ovrTable25,MATCH(INDEX(oppCol,ROW()),ovrTeamCol25,0),MATCH(MID(INDEX('Structured 2025'!headerRow,1,COLUMN()),4,LEN(INDEX('Structured 2025'!headerRow,1,COLUMN()))),ovrHeaderRow25,0))</f>
        <v>9.8000000000000007</v>
      </c>
      <c r="BP99" s="12">
        <f>INDEX(ovrTable25,MATCH(INDEX(oppCol,ROW()),ovrTeamCol25,0),MATCH(MID(INDEX('Structured 2025'!headerRow,1,COLUMN()),4,LEN(INDEX('Structured 2025'!headerRow,1,COLUMN()))),ovrHeaderRow25,0))</f>
        <v>35.6</v>
      </c>
      <c r="BQ99" s="12">
        <f>INDEX(ovrTable25,MATCH(INDEX(oppCol,ROW()),ovrTeamCol25,0),MATCH(MID(INDEX('Structured 2025'!headerRow,1,COLUMN()),4,LEN(INDEX('Structured 2025'!headerRow,1,COLUMN()))),ovrHeaderRow25,0))</f>
        <v>27.4</v>
      </c>
      <c r="BR99" s="12">
        <f>INDEX(ovrTable25,MATCH(INDEX(oppCol,ROW()),ovrTeamCol25,0),MATCH(MID(INDEX('Structured 2025'!headerRow,1,COLUMN()),4,LEN(INDEX('Structured 2025'!headerRow,1,COLUMN()))),ovrHeaderRow25,0))</f>
        <v>1.39</v>
      </c>
      <c r="BS99" s="12">
        <f>INDEX(ovrTable25,MATCH(INDEX(oppCol,ROW()),ovrTeamCol25,0),MATCH(MID(INDEX('Structured 2025'!headerRow,1,COLUMN()),4,LEN(INDEX('Structured 2025'!headerRow,1,COLUMN()))),ovrHeaderRow25,0))</f>
        <v>15.5</v>
      </c>
      <c r="BT99" s="12">
        <f>INDEX(ovrTable25,MATCH(INDEX(oppCol,ROW()),ovrTeamCol25,0),MATCH(MID(INDEX('Structured 2025'!headerRow,1,COLUMN()),4,LEN(INDEX('Structured 2025'!headerRow,1,COLUMN()))),ovrHeaderRow25,0))</f>
        <v>21.98</v>
      </c>
      <c r="BU99" s="12">
        <f>INDEX(ovrTable25,MATCH(INDEX(oppCol,ROW()),ovrTeamCol25,0),MATCH(MID(INDEX('Structured 2025'!headerRow,1,COLUMN()),4,LEN(INDEX('Structured 2025'!headerRow,1,COLUMN()))),ovrHeaderRow25,0))</f>
        <v>4.5</v>
      </c>
      <c r="BV99" s="12">
        <f>INDEX(ovrTable25,MATCH(INDEX(oppCol,ROW()),ovrTeamCol25,0),MATCH(MID(INDEX('Structured 2025'!headerRow,1,COLUMN()),4,LEN(INDEX('Structured 2025'!headerRow,1,COLUMN()))),ovrHeaderRow25,0))</f>
        <v>40</v>
      </c>
      <c r="BW99" s="12">
        <f>INDEX(ovrTable25,MATCH(INDEX(oppCol,ROW()),ovrTeamCol25,0),MATCH(MID(INDEX('Structured 2025'!headerRow,1,COLUMN()),4,LEN(INDEX('Structured 2025'!headerRow,1,COLUMN()))),ovrHeaderRow25,0))</f>
        <v>28.1</v>
      </c>
      <c r="BX99" s="12">
        <f>INDEX(ovrTable25,MATCH(INDEX(oppCol,ROW()),ovrTeamCol25,0),MATCH(MID(INDEX('Structured 2025'!headerRow,1,COLUMN()),4,LEN(INDEX('Structured 2025'!headerRow,1,COLUMN()))),ovrHeaderRow25,0))</f>
        <v>0.54900000000000004</v>
      </c>
      <c r="BY99" s="12">
        <f>INDEX(ovrTable25,MATCH(INDEX(oppCol,ROW()),ovrTeamCol25,0),MATCH(MID(INDEX('Structured 2025'!headerRow,1,COLUMN()),4,LEN(INDEX('Structured 2025'!headerRow,1,COLUMN()))),ovrHeaderRow25,0))</f>
        <v>15.58</v>
      </c>
      <c r="BZ99" s="12">
        <f>INDEX(ovrTable25,MATCH(INDEX(oppCol,ROW()),ovrTeamCol25,0),MATCH(MID(INDEX('Structured 2025'!headerRow,1,COLUMN()),4,LEN(INDEX('Structured 2025'!headerRow,1,COLUMN()))),ovrHeaderRow25,0))</f>
        <v>47.1</v>
      </c>
      <c r="CA99" s="12">
        <f>INDEX(ovrTable25,MATCH(INDEX(oppCol,ROW()),ovrTeamCol25,0),MATCH(MID(INDEX('Structured 2025'!headerRow,1,COLUMN()),4,LEN(INDEX('Structured 2025'!headerRow,1,COLUMN()))),ovrHeaderRow25,0))</f>
        <v>17.100000000000001</v>
      </c>
      <c r="CB99" s="12">
        <f>INDEX(ovrTable25,MATCH(INDEX(oppCol,ROW()),ovrTeamCol25,0),MATCH(MID(INDEX('Structured 2025'!headerRow,1,COLUMN()),4,LEN(INDEX('Structured 2025'!headerRow,1,COLUMN()))),ovrHeaderRow25,0))</f>
        <v>72.8</v>
      </c>
      <c r="CC99" s="12">
        <f>INDEX(ovrTable25,MATCH(INDEX(oppCol,ROW()),ovrTeamCol25,0),MATCH(MID(INDEX('Structured 2025'!headerRow,1,COLUMN()),4,LEN(INDEX('Structured 2025'!headerRow,1,COLUMN()))),ovrHeaderRow25,0))</f>
        <v>21.9</v>
      </c>
      <c r="CD99" s="12">
        <f>INDEX(ovrTable25,MATCH(INDEX(oppCol,ROW()),ovrTeamCol25,0),MATCH(MID(INDEX('Structured 2025'!headerRow,1,COLUMN()),4,LEN(INDEX('Structured 2025'!headerRow,1,COLUMN()))),ovrHeaderRow25,0))</f>
        <v>15.9</v>
      </c>
      <c r="CE99" s="12">
        <f>INDEX(ovrTable25,MATCH(INDEX(oppCol,ROW()),ovrTeamCol25,0),MATCH(MID(INDEX('Structured 2025'!headerRow,1,COLUMN()),4,LEN(INDEX('Structured 2025'!headerRow,1,COLUMN()))),ovrHeaderRow25,0))</f>
        <v>69.599999999999994</v>
      </c>
      <c r="CF99" s="12">
        <f>INDEX(ovrTable25,MATCH(INDEX(oppCol,ROW()),ovrTeamCol25,0),MATCH(MID(INDEX('Structured 2025'!headerRow,1,COLUMN()),4,LEN(INDEX('Structured 2025'!headerRow,1,COLUMN()))),ovrHeaderRow25,0))</f>
        <v>13.73</v>
      </c>
      <c r="CG99" s="12">
        <f>INDEX(ovrTable25,MATCH(INDEX(oppCol,ROW()),ovrTeamCol25,0),MATCH(MID(INDEX('Structured 2025'!headerRow,1,COLUMN()),4,LEN(INDEX('Structured 2025'!headerRow,1,COLUMN()))),ovrHeaderRow25,0))</f>
        <v>84.8</v>
      </c>
      <c r="CH99" s="12">
        <f>INDEX(ovrTable25,MATCH(INDEX(oppCol,ROW()),ovrTeamCol25,0),MATCH(MID(INDEX('Structured 2025'!headerRow,1,COLUMN()),4,LEN(INDEX('Structured 2025'!headerRow,1,COLUMN()))),ovrHeaderRow25,0))</f>
        <v>8.4</v>
      </c>
      <c r="CI99" s="12">
        <f>INDEX(ovrTable25,MATCH(INDEX(oppCol,ROW()),ovrTeamCol25,0),MATCH(MID(INDEX('Structured 2025'!headerRow,1,COLUMN()),4,LEN(INDEX('Structured 2025'!headerRow,1,COLUMN()))),ovrHeaderRow25,0))</f>
        <v>41.83</v>
      </c>
      <c r="CJ99" s="12">
        <f>INDEX(ovrTable25,MATCH(INDEX(oppCol,ROW()),ovrTeamCol25,0),MATCH(MID(INDEX('Structured 2025'!headerRow,1,COLUMN()),4,LEN(INDEX('Structured 2025'!headerRow,1,COLUMN()))),ovrHeaderRow25,0))</f>
        <v>15.2</v>
      </c>
      <c r="CK99" s="12">
        <f>INDEX(ovrTable25,MATCH(INDEX(oppCol,ROW()),ovrTeamCol25,0),MATCH(MID(INDEX('Structured 2025'!headerRow,1,COLUMN()),4,LEN(INDEX('Structured 2025'!headerRow,1,COLUMN()))),ovrHeaderRow25,0))</f>
        <v>7.4</v>
      </c>
      <c r="CL99" s="12">
        <f>INDEX(ovrTable25,MATCH(INDEX(oppCol,ROW()),ovrTeamCol25,0),MATCH(MID(INDEX('Structured 2025'!headerRow,1,COLUMN()),4,LEN(INDEX('Structured 2025'!headerRow,1,COLUMN()))),ovrHeaderRow25,0))</f>
        <v>0.6</v>
      </c>
      <c r="CM99" s="12">
        <f>INDEX(ovrTable25,MATCH(INDEX(oppCol,ROW()),ovrTeamCol25,0),MATCH(MID(INDEX('Structured 2025'!headerRow,1,COLUMN()),4,LEN(INDEX('Structured 2025'!headerRow,1,COLUMN()))),ovrHeaderRow25,0))</f>
        <v>11.73</v>
      </c>
      <c r="CN99" s="12">
        <f>INDEX(ovrTable25,MATCH(INDEX(oppCol,ROW()),ovrTeamCol25,0),MATCH(MID(INDEX('Structured 2025'!headerRow,1,COLUMN()),4,LEN(INDEX('Structured 2025'!headerRow,1,COLUMN()))),ovrHeaderRow25,0))</f>
        <v>11.1</v>
      </c>
      <c r="CO99" s="12">
        <f>INDEX(ovrTable25,MATCH(INDEX(oppCol,ROW()),ovrTeamCol25,0),MATCH(MID(INDEX('Structured 2025'!headerRow,1,COLUMN()),4,LEN(INDEX('Structured 2025'!headerRow,1,COLUMN()))),ovrHeaderRow25,0))</f>
        <v>70.099999999999994</v>
      </c>
      <c r="CP99" s="12">
        <f>INDEX(ovrTable25,MATCH(INDEX(oppCol,ROW()),ovrTeamCol25,0),MATCH(MID(INDEX('Structured 2025'!headerRow,1,COLUMN()),4,LEN(INDEX('Structured 2025'!headerRow,1,COLUMN()))),ovrHeaderRow25,0))</f>
        <v>19.749999999999993</v>
      </c>
      <c r="CQ99" s="12">
        <f>INDEX(ovrTable25,MATCH(INDEX(oppCol,ROW()),ovrTeamCol25,0),MATCH(MID(INDEX('Structured 2025'!headerRow,1,COLUMN()),4,LEN(INDEX('Structured 2025'!headerRow,1,COLUMN()))),ovrHeaderRow25,0))</f>
        <v>62.7388535031847</v>
      </c>
    </row>
    <row r="100" spans="1:95" x14ac:dyDescent="0.3">
      <c r="A100" s="6" t="s">
        <v>64</v>
      </c>
      <c r="B100" s="3">
        <v>12</v>
      </c>
      <c r="C100" s="13" t="str">
        <f>A101</f>
        <v>MD</v>
      </c>
      <c r="D100" s="14">
        <f>D98+1</f>
        <v>50</v>
      </c>
      <c r="E100" s="23">
        <v>0.41666666666666669</v>
      </c>
      <c r="F100" s="24">
        <v>46.774193548387096</v>
      </c>
      <c r="G100" s="24">
        <v>5</v>
      </c>
      <c r="H100" s="23">
        <v>23.809523809523807</v>
      </c>
      <c r="I100" s="24">
        <v>21</v>
      </c>
      <c r="J100" s="25">
        <v>1.875</v>
      </c>
      <c r="K100" s="24">
        <v>8</v>
      </c>
      <c r="L100" s="24">
        <v>10</v>
      </c>
      <c r="M100" s="24">
        <v>13</v>
      </c>
      <c r="N100" s="24">
        <v>26</v>
      </c>
      <c r="O100" s="24">
        <v>15</v>
      </c>
      <c r="P100" s="24">
        <v>3</v>
      </c>
      <c r="Q100" s="24">
        <v>4</v>
      </c>
      <c r="R100" s="24">
        <v>8</v>
      </c>
      <c r="S100" s="24">
        <v>10</v>
      </c>
      <c r="T100" s="24">
        <v>14</v>
      </c>
      <c r="U100" s="24">
        <v>18</v>
      </c>
      <c r="V100" s="24">
        <v>0.41935483870967744</v>
      </c>
      <c r="W100" s="26">
        <v>0.50806451612903225</v>
      </c>
      <c r="X100" s="23">
        <v>80</v>
      </c>
      <c r="Y100" s="24">
        <v>72</v>
      </c>
      <c r="Z100" s="24">
        <v>71</v>
      </c>
      <c r="AA100" s="24">
        <v>10</v>
      </c>
      <c r="AB100" s="24">
        <v>39</v>
      </c>
      <c r="AC100" s="24">
        <v>-1</v>
      </c>
      <c r="AD100" s="24">
        <v>-2</v>
      </c>
      <c r="AE100" s="24">
        <v>6</v>
      </c>
      <c r="AF100" s="34">
        <f t="shared" si="105"/>
        <v>24</v>
      </c>
      <c r="AG100" s="34">
        <f t="shared" si="106"/>
        <v>41.000000000000007</v>
      </c>
      <c r="AH100" s="46">
        <f t="shared" si="107"/>
        <v>61.75</v>
      </c>
      <c r="AI100" s="51">
        <f t="shared" ref="AI100" si="110">AVERAGE(AH100,AH101)</f>
        <v>63.725000000000001</v>
      </c>
      <c r="AJ100" s="12">
        <f>INDEX(ovrTable25,MATCH(INDEX('Structured 2025'!teamCol,ROW()),ovrTeamCol25,0),MATCH(MID(INDEX('Structured 2025'!headerRow,1,COLUMN()),4,LEN(INDEX('Structured 2025'!headerRow,1,COLUMN()))),ovrHeaderRow25,0))</f>
        <v>33.200000000000003</v>
      </c>
      <c r="AK100" s="12">
        <f>INDEX(ovrTable25,MATCH(INDEX('Structured 2025'!teamCol,ROW()),ovrTeamCol25,0),MATCH(MID(INDEX('Structured 2025'!headerRow,1,COLUMN()),4,LEN(INDEX('Structured 2025'!headerRow,1,COLUMN()))),ovrHeaderRow25,0))</f>
        <v>8.6</v>
      </c>
      <c r="AL100" s="12">
        <f>INDEX(ovrTable25,MATCH(INDEX('Structured 2025'!teamCol,ROW()),ovrTeamCol25,0),MATCH(MID(INDEX('Structured 2025'!headerRow,1,COLUMN()),4,LEN(INDEX('Structured 2025'!headerRow,1,COLUMN()))),ovrHeaderRow25,0))</f>
        <v>36.299999999999997</v>
      </c>
      <c r="AM100" s="12">
        <f>INDEX(ovrTable25,MATCH(INDEX('Structured 2025'!teamCol,ROW()),ovrTeamCol25,0),MATCH(MID(INDEX('Structured 2025'!headerRow,1,COLUMN()),4,LEN(INDEX('Structured 2025'!headerRow,1,COLUMN()))),ovrHeaderRow25,0))</f>
        <v>23.8</v>
      </c>
      <c r="AN100" s="12">
        <f>INDEX(ovrTable25,MATCH(INDEX('Structured 2025'!teamCol,ROW()),ovrTeamCol25,0),MATCH(MID(INDEX('Structured 2025'!headerRow,1,COLUMN()),4,LEN(INDEX('Structured 2025'!headerRow,1,COLUMN()))),ovrHeaderRow25,0))</f>
        <v>1.43</v>
      </c>
      <c r="AO100" s="12">
        <f>INDEX(ovrTable25,MATCH(INDEX('Structured 2025'!teamCol,ROW()),ovrTeamCol25,0),MATCH(MID(INDEX('Structured 2025'!headerRow,1,COLUMN()),4,LEN(INDEX('Structured 2025'!headerRow,1,COLUMN()))),ovrHeaderRow25,0))</f>
        <v>16.5</v>
      </c>
      <c r="AP100" s="12">
        <f>INDEX(ovrTable25,MATCH(INDEX('Structured 2025'!teamCol,ROW()),ovrTeamCol25,0),MATCH(MID(INDEX('Structured 2025'!headerRow,1,COLUMN()),4,LEN(INDEX('Structured 2025'!headerRow,1,COLUMN()))),ovrHeaderRow25,0))</f>
        <v>19.670000000000002</v>
      </c>
      <c r="AQ100" s="12">
        <f>INDEX(ovrTable25,MATCH(INDEX('Structured 2025'!teamCol,ROW()),ovrTeamCol25,0),MATCH(MID(INDEX('Structured 2025'!headerRow,1,COLUMN()),4,LEN(INDEX('Structured 2025'!headerRow,1,COLUMN()))),ovrHeaderRow25,0))</f>
        <v>2.8</v>
      </c>
      <c r="AR100" s="12">
        <f>INDEX(ovrTable25,MATCH(INDEX('Structured 2025'!teamCol,ROW()),ovrTeamCol25,0),MATCH(MID(INDEX('Structured 2025'!headerRow,1,COLUMN()),4,LEN(INDEX('Structured 2025'!headerRow,1,COLUMN()))),ovrHeaderRow25,0))</f>
        <v>42.2</v>
      </c>
      <c r="AS100" s="12">
        <f>INDEX(ovrTable25,MATCH(INDEX('Structured 2025'!teamCol,ROW()),ovrTeamCol25,0),MATCH(MID(INDEX('Structured 2025'!headerRow,1,COLUMN()),4,LEN(INDEX('Structured 2025'!headerRow,1,COLUMN()))),ovrHeaderRow25,0))</f>
        <v>26.53</v>
      </c>
      <c r="AT100" s="12">
        <f>INDEX(ovrTable25,MATCH(INDEX('Structured 2025'!teamCol,ROW()),ovrTeamCol25,0),MATCH(MID(INDEX('Structured 2025'!headerRow,1,COLUMN()),4,LEN(INDEX('Structured 2025'!headerRow,1,COLUMN()))),ovrHeaderRow25,0))</f>
        <v>0.55500000000000005</v>
      </c>
      <c r="AU100" s="12">
        <f>INDEX(ovrTable25,MATCH(INDEX('Structured 2025'!teamCol,ROW()),ovrTeamCol25,0),MATCH(MID(INDEX('Structured 2025'!headerRow,1,COLUMN()),4,LEN(INDEX('Structured 2025'!headerRow,1,COLUMN()))),ovrHeaderRow25,0))</f>
        <v>7.78</v>
      </c>
      <c r="AV100" s="12">
        <f>INDEX(ovrTable25,MATCH(INDEX('Structured 2025'!teamCol,ROW()),ovrTeamCol25,0),MATCH(MID(INDEX('Structured 2025'!headerRow,1,COLUMN()),4,LEN(INDEX('Structured 2025'!headerRow,1,COLUMN()))),ovrHeaderRow25,0))</f>
        <v>47.7</v>
      </c>
      <c r="AW100" s="12">
        <f>INDEX(ovrTable25,MATCH(INDEX('Structured 2025'!teamCol,ROW()),ovrTeamCol25,0),MATCH(MID(INDEX('Structured 2025'!headerRow,1,COLUMN()),4,LEN(INDEX('Structured 2025'!headerRow,1,COLUMN()))),ovrHeaderRow25,0))</f>
        <v>17.2</v>
      </c>
      <c r="AX100" s="12">
        <f>INDEX(ovrTable25,MATCH(INDEX('Structured 2025'!teamCol,ROW()),ovrTeamCol25,0),MATCH(MID(INDEX('Structured 2025'!headerRow,1,COLUMN()),4,LEN(INDEX('Structured 2025'!headerRow,1,COLUMN()))),ovrHeaderRow25,0))</f>
        <v>77.5</v>
      </c>
      <c r="AY100" s="12">
        <f>INDEX(ovrTable25,MATCH(INDEX('Structured 2025'!teamCol,ROW()),ovrTeamCol25,0),MATCH(MID(INDEX('Structured 2025'!headerRow,1,COLUMN()),4,LEN(INDEX('Structured 2025'!headerRow,1,COLUMN()))),ovrHeaderRow25,0))</f>
        <v>17.5</v>
      </c>
      <c r="AZ100" s="12">
        <f>INDEX(ovrTable25,MATCH(INDEX('Structured 2025'!teamCol,ROW()),ovrTeamCol25,0),MATCH(MID(INDEX('Structured 2025'!headerRow,1,COLUMN()),4,LEN(INDEX('Structured 2025'!headerRow,1,COLUMN()))),ovrHeaderRow25,0))</f>
        <v>13.6</v>
      </c>
      <c r="BA100" s="12">
        <f>INDEX(ovrTable25,MATCH(INDEX('Structured 2025'!teamCol,ROW()),ovrTeamCol25,0),MATCH(MID(INDEX('Structured 2025'!headerRow,1,COLUMN()),4,LEN(INDEX('Structured 2025'!headerRow,1,COLUMN()))),ovrHeaderRow25,0))</f>
        <v>67.3</v>
      </c>
      <c r="BB100" s="12">
        <f>INDEX(ovrTable25,MATCH(INDEX('Structured 2025'!teamCol,ROW()),ovrTeamCol25,0),MATCH(MID(INDEX('Structured 2025'!headerRow,1,COLUMN()),4,LEN(INDEX('Structured 2025'!headerRow,1,COLUMN()))),ovrHeaderRow25,0))</f>
        <v>8.39</v>
      </c>
      <c r="BC100" s="12">
        <f>INDEX(ovrTable25,MATCH(INDEX('Structured 2025'!teamCol,ROW()),ovrTeamCol25,0),MATCH(MID(INDEX('Structured 2025'!headerRow,1,COLUMN()),4,LEN(INDEX('Structured 2025'!headerRow,1,COLUMN()))),ovrHeaderRow25,0))</f>
        <v>75.099999999999994</v>
      </c>
      <c r="BD100" s="12">
        <f>INDEX(ovrTable25,MATCH(INDEX('Structured 2025'!teamCol,ROW()),ovrTeamCol25,0),MATCH(MID(INDEX('Structured 2025'!headerRow,1,COLUMN()),4,LEN(INDEX('Structured 2025'!headerRow,1,COLUMN()))),ovrHeaderRow25,0))</f>
        <v>3.1</v>
      </c>
      <c r="BE100" s="12">
        <f>INDEX(ovrTable25,MATCH(INDEX('Structured 2025'!teamCol,ROW()),ovrTeamCol25,0),MATCH(MID(INDEX('Structured 2025'!headerRow,1,COLUMN()),4,LEN(INDEX('Structured 2025'!headerRow,1,COLUMN()))),ovrHeaderRow25,0))</f>
        <v>34.92</v>
      </c>
      <c r="BF100" s="12">
        <f>INDEX(ovrTable25,MATCH(INDEX('Structured 2025'!teamCol,ROW()),ovrTeamCol25,0),MATCH(MID(INDEX('Structured 2025'!headerRow,1,COLUMN()),4,LEN(INDEX('Structured 2025'!headerRow,1,COLUMN()))),ovrHeaderRow25,0))</f>
        <v>7.8</v>
      </c>
      <c r="BG100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BH100" s="12">
        <f>INDEX(ovrTable25,MATCH(INDEX('Structured 2025'!teamCol,ROW()),ovrTeamCol25,0),MATCH(MID(INDEX('Structured 2025'!headerRow,1,COLUMN()),4,LEN(INDEX('Structured 2025'!headerRow,1,COLUMN()))),ovrHeaderRow25,0))</f>
        <v>-0.3</v>
      </c>
      <c r="BI100" s="12">
        <f>INDEX(ovrTable25,MATCH(INDEX('Structured 2025'!teamCol,ROW()),ovrTeamCol25,0),MATCH(MID(INDEX('Structured 2025'!headerRow,1,COLUMN()),4,LEN(INDEX('Structured 2025'!headerRow,1,COLUMN()))),ovrHeaderRow25,0))</f>
        <v>11.19</v>
      </c>
      <c r="BJ100" s="12">
        <f>INDEX(ovrTable25,MATCH(INDEX('Structured 2025'!teamCol,ROW()),ovrTeamCol25,0),MATCH(MID(INDEX('Structured 2025'!headerRow,1,COLUMN()),4,LEN(INDEX('Structured 2025'!headerRow,1,COLUMN()))),ovrHeaderRow25,0))</f>
        <v>11.5</v>
      </c>
      <c r="BK100" s="12">
        <f>INDEX(ovrTable25,MATCH(INDEX('Structured 2025'!teamCol,ROW()),ovrTeamCol25,0),MATCH(MID(INDEX('Structured 2025'!headerRow,1,COLUMN()),4,LEN(INDEX('Structured 2025'!headerRow,1,COLUMN()))),ovrHeaderRow25,0))</f>
        <v>66</v>
      </c>
      <c r="BL100" s="12">
        <f>INDEX(ovrTable25,MATCH(INDEX('Structured 2025'!teamCol,ROW()),ovrTeamCol25,0),MATCH(MID(INDEX('Structured 2025'!headerRow,1,COLUMN()),4,LEN(INDEX('Structured 2025'!headerRow,1,COLUMN()))),ovrHeaderRow25,0))</f>
        <v>17.849999999999998</v>
      </c>
      <c r="BM100" s="12">
        <f>INDEX(ovrTable25,MATCH(INDEX('Structured 2025'!teamCol,ROW()),ovrTeamCol25,0),MATCH(MID(INDEX('Structured 2025'!headerRow,1,COLUMN()),4,LEN(INDEX('Structured 2025'!headerRow,1,COLUMN()))),ovrHeaderRow25,0))</f>
        <v>55.450733752620529</v>
      </c>
      <c r="BN100" s="12">
        <f>INDEX(ovrTable25,MATCH(INDEX(oppCol,ROW()),ovrTeamCol25,0),MATCH(MID(INDEX('Structured 2025'!headerRow,1,COLUMN()),4,LEN(INDEX('Structured 2025'!headerRow,1,COLUMN()))),ovrHeaderRow25,0))</f>
        <v>30.6</v>
      </c>
      <c r="BO100" s="12">
        <f>INDEX(ovrTable25,MATCH(INDEX(oppCol,ROW()),ovrTeamCol25,0),MATCH(MID(INDEX('Structured 2025'!headerRow,1,COLUMN()),4,LEN(INDEX('Structured 2025'!headerRow,1,COLUMN()))),ovrHeaderRow25,0))</f>
        <v>8.1</v>
      </c>
      <c r="BP100" s="12">
        <f>INDEX(ovrTable25,MATCH(INDEX(oppCol,ROW()),ovrTeamCol25,0),MATCH(MID(INDEX('Structured 2025'!headerRow,1,COLUMN()),4,LEN(INDEX('Structured 2025'!headerRow,1,COLUMN()))),ovrHeaderRow25,0))</f>
        <v>37.299999999999997</v>
      </c>
      <c r="BQ100" s="12">
        <f>INDEX(ovrTable25,MATCH(INDEX(oppCol,ROW()),ovrTeamCol25,0),MATCH(MID(INDEX('Structured 2025'!headerRow,1,COLUMN()),4,LEN(INDEX('Structured 2025'!headerRow,1,COLUMN()))),ovrHeaderRow25,0))</f>
        <v>21.7</v>
      </c>
      <c r="BR100" s="12">
        <f>INDEX(ovrTable25,MATCH(INDEX(oppCol,ROW()),ovrTeamCol25,0),MATCH(MID(INDEX('Structured 2025'!headerRow,1,COLUMN()),4,LEN(INDEX('Structured 2025'!headerRow,1,COLUMN()))),ovrHeaderRow25,0))</f>
        <v>1.4</v>
      </c>
      <c r="BS100" s="12">
        <f>INDEX(ovrTable25,MATCH(INDEX(oppCol,ROW()),ovrTeamCol25,0),MATCH(MID(INDEX('Structured 2025'!headerRow,1,COLUMN()),4,LEN(INDEX('Structured 2025'!headerRow,1,COLUMN()))),ovrHeaderRow25,0))</f>
        <v>14.2</v>
      </c>
      <c r="BT100" s="12">
        <f>INDEX(ovrTable25,MATCH(INDEX(oppCol,ROW()),ovrTeamCol25,0),MATCH(MID(INDEX('Structured 2025'!headerRow,1,COLUMN()),4,LEN(INDEX('Structured 2025'!headerRow,1,COLUMN()))),ovrHeaderRow25,0))</f>
        <v>12.08</v>
      </c>
      <c r="BU100" s="12">
        <f>INDEX(ovrTable25,MATCH(INDEX(oppCol,ROW()),ovrTeamCol25,0),MATCH(MID(INDEX('Structured 2025'!headerRow,1,COLUMN()),4,LEN(INDEX('Structured 2025'!headerRow,1,COLUMN()))),ovrHeaderRow25,0))</f>
        <v>4.5</v>
      </c>
      <c r="BV100" s="12">
        <f>INDEX(ovrTable25,MATCH(INDEX(oppCol,ROW()),ovrTeamCol25,0),MATCH(MID(INDEX('Structured 2025'!headerRow,1,COLUMN()),4,LEN(INDEX('Structured 2025'!headerRow,1,COLUMN()))),ovrHeaderRow25,0))</f>
        <v>41.6</v>
      </c>
      <c r="BW100" s="12">
        <f>INDEX(ovrTable25,MATCH(INDEX(oppCol,ROW()),ovrTeamCol25,0),MATCH(MID(INDEX('Structured 2025'!headerRow,1,COLUMN()),4,LEN(INDEX('Structured 2025'!headerRow,1,COLUMN()))),ovrHeaderRow25,0))</f>
        <v>25.69</v>
      </c>
      <c r="BX100" s="12">
        <f>INDEX(ovrTable25,MATCH(INDEX(oppCol,ROW()),ovrTeamCol25,0),MATCH(MID(INDEX('Structured 2025'!headerRow,1,COLUMN()),4,LEN(INDEX('Structured 2025'!headerRow,1,COLUMN()))),ovrHeaderRow25,0))</f>
        <v>0.53600000000000003</v>
      </c>
      <c r="BY100" s="12">
        <f>INDEX(ovrTable25,MATCH(INDEX(oppCol,ROW()),ovrTeamCol25,0),MATCH(MID(INDEX('Structured 2025'!headerRow,1,COLUMN()),4,LEN(INDEX('Structured 2025'!headerRow,1,COLUMN()))),ovrHeaderRow25,0))</f>
        <v>12.61</v>
      </c>
      <c r="BZ100" s="12">
        <f>INDEX(ovrTable25,MATCH(INDEX(oppCol,ROW()),ovrTeamCol25,0),MATCH(MID(INDEX('Structured 2025'!headerRow,1,COLUMN()),4,LEN(INDEX('Structured 2025'!headerRow,1,COLUMN()))),ovrHeaderRow25,0))</f>
        <v>47</v>
      </c>
      <c r="CA100" s="12">
        <f>INDEX(ovrTable25,MATCH(INDEX(oppCol,ROW()),ovrTeamCol25,0),MATCH(MID(INDEX('Structured 2025'!headerRow,1,COLUMN()),4,LEN(INDEX('Structured 2025'!headerRow,1,COLUMN()))),ovrHeaderRow25,0))</f>
        <v>15.3</v>
      </c>
      <c r="CB100" s="12">
        <f>INDEX(ovrTable25,MATCH(INDEX(oppCol,ROW()),ovrTeamCol25,0),MATCH(MID(INDEX('Structured 2025'!headerRow,1,COLUMN()),4,LEN(INDEX('Structured 2025'!headerRow,1,COLUMN()))),ovrHeaderRow25,0))</f>
        <v>75</v>
      </c>
      <c r="CC100" s="12">
        <f>INDEX(ovrTable25,MATCH(INDEX(oppCol,ROW()),ovrTeamCol25,0),MATCH(MID(INDEX('Structured 2025'!headerRow,1,COLUMN()),4,LEN(INDEX('Structured 2025'!headerRow,1,COLUMN()))),ovrHeaderRow25,0))</f>
        <v>20.3</v>
      </c>
      <c r="CD100" s="12">
        <f>INDEX(ovrTable25,MATCH(INDEX(oppCol,ROW()),ovrTeamCol25,0),MATCH(MID(INDEX('Structured 2025'!headerRow,1,COLUMN()),4,LEN(INDEX('Structured 2025'!headerRow,1,COLUMN()))),ovrHeaderRow25,0))</f>
        <v>15.3</v>
      </c>
      <c r="CE100" s="12">
        <f>INDEX(ovrTable25,MATCH(INDEX(oppCol,ROW()),ovrTeamCol25,0),MATCH(MID(INDEX('Structured 2025'!headerRow,1,COLUMN()),4,LEN(INDEX('Structured 2025'!headerRow,1,COLUMN()))),ovrHeaderRow25,0))</f>
        <v>67.2</v>
      </c>
      <c r="CF100" s="12">
        <f>INDEX(ovrTable25,MATCH(INDEX(oppCol,ROW()),ovrTeamCol25,0),MATCH(MID(INDEX('Structured 2025'!headerRow,1,COLUMN()),4,LEN(INDEX('Structured 2025'!headerRow,1,COLUMN()))),ovrHeaderRow25,0))</f>
        <v>10.56</v>
      </c>
      <c r="CG100" s="12">
        <f>INDEX(ovrTable25,MATCH(INDEX(oppCol,ROW()),ovrTeamCol25,0),MATCH(MID(INDEX('Structured 2025'!headerRow,1,COLUMN()),4,LEN(INDEX('Structured 2025'!headerRow,1,COLUMN()))),ovrHeaderRow25,0))</f>
        <v>81.099999999999994</v>
      </c>
      <c r="CH100" s="12">
        <f>INDEX(ovrTable25,MATCH(INDEX(oppCol,ROW()),ovrTeamCol25,0),MATCH(MID(INDEX('Structured 2025'!headerRow,1,COLUMN()),4,LEN(INDEX('Structured 2025'!headerRow,1,COLUMN()))),ovrHeaderRow25,0))</f>
        <v>2.2999999999999998</v>
      </c>
      <c r="CI100" s="12">
        <f>INDEX(ovrTable25,MATCH(INDEX(oppCol,ROW()),ovrTeamCol25,0),MATCH(MID(INDEX('Structured 2025'!headerRow,1,COLUMN()),4,LEN(INDEX('Structured 2025'!headerRow,1,COLUMN()))),ovrHeaderRow25,0))</f>
        <v>36.25</v>
      </c>
      <c r="CJ100" s="12">
        <f>INDEX(ovrTable25,MATCH(INDEX(oppCol,ROW()),ovrTeamCol25,0),MATCH(MID(INDEX('Structured 2025'!headerRow,1,COLUMN()),4,LEN(INDEX('Structured 2025'!headerRow,1,COLUMN()))),ovrHeaderRow25,0))</f>
        <v>13.9</v>
      </c>
      <c r="CK100" s="12">
        <f>INDEX(ovrTable25,MATCH(INDEX(oppCol,ROW()),ovrTeamCol25,0),MATCH(MID(INDEX('Structured 2025'!headerRow,1,COLUMN()),4,LEN(INDEX('Structured 2025'!headerRow,1,COLUMN()))),ovrHeaderRow25,0))</f>
        <v>7.9</v>
      </c>
      <c r="CL100" s="12">
        <f>INDEX(ovrTable25,MATCH(INDEX(oppCol,ROW()),ovrTeamCol25,0),MATCH(MID(INDEX('Structured 2025'!headerRow,1,COLUMN()),4,LEN(INDEX('Structured 2025'!headerRow,1,COLUMN()))),ovrHeaderRow25,0))</f>
        <v>4.0999999999999996</v>
      </c>
      <c r="CM100" s="12">
        <f>INDEX(ovrTable25,MATCH(INDEX(oppCol,ROW()),ovrTeamCol25,0),MATCH(MID(INDEX('Structured 2025'!headerRow,1,COLUMN()),4,LEN(INDEX('Structured 2025'!headerRow,1,COLUMN()))),ovrHeaderRow25,0))</f>
        <v>14.19</v>
      </c>
      <c r="CN100" s="12">
        <f>INDEX(ovrTable25,MATCH(INDEX(oppCol,ROW()),ovrTeamCol25,0),MATCH(MID(INDEX('Structured 2025'!headerRow,1,COLUMN()),4,LEN(INDEX('Structured 2025'!headerRow,1,COLUMN()))),ovrHeaderRow25,0))</f>
        <v>10.1</v>
      </c>
      <c r="CO100" s="12">
        <f>INDEX(ovrTable25,MATCH(INDEX(oppCol,ROW()),ovrTeamCol25,0),MATCH(MID(INDEX('Structured 2025'!headerRow,1,COLUMN()),4,LEN(INDEX('Structured 2025'!headerRow,1,COLUMN()))),ovrHeaderRow25,0))</f>
        <v>69.599999999999994</v>
      </c>
      <c r="CP100" s="12">
        <f>INDEX(ovrTable25,MATCH(INDEX(oppCol,ROW()),ovrTeamCol25,0),MATCH(MID(INDEX('Structured 2025'!headerRow,1,COLUMN()),4,LEN(INDEX('Structured 2025'!headerRow,1,COLUMN()))),ovrHeaderRow25,0))</f>
        <v>20.75</v>
      </c>
      <c r="CQ100" s="12">
        <f>INDEX(ovrTable25,MATCH(INDEX(oppCol,ROW()),ovrTeamCol25,0),MATCH(MID(INDEX('Structured 2025'!headerRow,1,COLUMN()),4,LEN(INDEX('Structured 2025'!headerRow,1,COLUMN()))),ovrHeaderRow25,0))</f>
        <v>61.382978723404257</v>
      </c>
    </row>
    <row r="101" spans="1:95" x14ac:dyDescent="0.3">
      <c r="A101" s="6" t="s">
        <v>372</v>
      </c>
      <c r="B101" s="3">
        <v>4</v>
      </c>
      <c r="C101" s="13" t="str">
        <f>A100</f>
        <v>CSU</v>
      </c>
      <c r="D101" s="14">
        <f t="shared" ref="D101:D135" si="111">D99+1</f>
        <v>50</v>
      </c>
      <c r="E101" s="23">
        <v>0.23809523809523808</v>
      </c>
      <c r="F101" s="24">
        <v>41.935483870967744</v>
      </c>
      <c r="G101" s="24">
        <v>10</v>
      </c>
      <c r="H101" s="23">
        <v>41.666666666666671</v>
      </c>
      <c r="I101" s="24">
        <v>24</v>
      </c>
      <c r="J101" s="25">
        <v>1.8333333333333333</v>
      </c>
      <c r="K101" s="24">
        <v>10</v>
      </c>
      <c r="L101" s="24">
        <v>12</v>
      </c>
      <c r="M101" s="24">
        <v>8</v>
      </c>
      <c r="N101" s="24">
        <v>21</v>
      </c>
      <c r="O101" s="24">
        <v>11</v>
      </c>
      <c r="P101" s="24">
        <v>6</v>
      </c>
      <c r="Q101" s="24">
        <v>4</v>
      </c>
      <c r="R101" s="24">
        <v>6</v>
      </c>
      <c r="S101" s="24">
        <v>9</v>
      </c>
      <c r="T101" s="24">
        <v>7</v>
      </c>
      <c r="U101" s="24">
        <v>2</v>
      </c>
      <c r="V101" s="24">
        <v>0.46774193548387094</v>
      </c>
      <c r="W101" s="26">
        <v>0.5</v>
      </c>
      <c r="X101" s="23">
        <v>83.333333333333343</v>
      </c>
      <c r="Y101" s="24">
        <v>71</v>
      </c>
      <c r="Z101" s="24">
        <v>72</v>
      </c>
      <c r="AA101" s="24">
        <v>-10</v>
      </c>
      <c r="AB101" s="24">
        <v>29</v>
      </c>
      <c r="AC101" s="24">
        <v>1</v>
      </c>
      <c r="AD101" s="24">
        <v>2</v>
      </c>
      <c r="AE101" s="24">
        <v>8</v>
      </c>
      <c r="AF101" s="34">
        <f t="shared" si="105"/>
        <v>16</v>
      </c>
      <c r="AG101" s="34">
        <f t="shared" si="106"/>
        <v>38</v>
      </c>
      <c r="AH101" s="46">
        <f t="shared" si="107"/>
        <v>65.7</v>
      </c>
      <c r="AI101" s="51">
        <f t="shared" ref="AI101" si="112">AVERAGE(AH100,AH101)</f>
        <v>63.725000000000001</v>
      </c>
      <c r="AJ101" s="12">
        <f>INDEX(ovrTable25,MATCH(INDEX('Structured 2025'!teamCol,ROW()),ovrTeamCol25,0),MATCH(MID(INDEX('Structured 2025'!headerRow,1,COLUMN()),4,LEN(INDEX('Structured 2025'!headerRow,1,COLUMN()))),ovrHeaderRow25,0))</f>
        <v>30.6</v>
      </c>
      <c r="AK101" s="12">
        <f>INDEX(ovrTable25,MATCH(INDEX('Structured 2025'!teamCol,ROW()),ovrTeamCol25,0),MATCH(MID(INDEX('Structured 2025'!headerRow,1,COLUMN()),4,LEN(INDEX('Structured 2025'!headerRow,1,COLUMN()))),ovrHeaderRow25,0))</f>
        <v>8.1</v>
      </c>
      <c r="AL101" s="12">
        <f>INDEX(ovrTable25,MATCH(INDEX('Structured 2025'!teamCol,ROW()),ovrTeamCol25,0),MATCH(MID(INDEX('Structured 2025'!headerRow,1,COLUMN()),4,LEN(INDEX('Structured 2025'!headerRow,1,COLUMN()))),ovrHeaderRow25,0))</f>
        <v>37.299999999999997</v>
      </c>
      <c r="AM101" s="12">
        <f>INDEX(ovrTable25,MATCH(INDEX('Structured 2025'!teamCol,ROW()),ovrTeamCol25,0),MATCH(MID(INDEX('Structured 2025'!headerRow,1,COLUMN()),4,LEN(INDEX('Structured 2025'!headerRow,1,COLUMN()))),ovrHeaderRow25,0))</f>
        <v>21.7</v>
      </c>
      <c r="AN101" s="12">
        <f>INDEX(ovrTable25,MATCH(INDEX('Structured 2025'!teamCol,ROW()),ovrTeamCol25,0),MATCH(MID(INDEX('Structured 2025'!headerRow,1,COLUMN()),4,LEN(INDEX('Structured 2025'!headerRow,1,COLUMN()))),ovrHeaderRow25,0))</f>
        <v>1.4</v>
      </c>
      <c r="AO101" s="12">
        <f>INDEX(ovrTable25,MATCH(INDEX('Structured 2025'!teamCol,ROW()),ovrTeamCol25,0),MATCH(MID(INDEX('Structured 2025'!headerRow,1,COLUMN()),4,LEN(INDEX('Structured 2025'!headerRow,1,COLUMN()))),ovrHeaderRow25,0))</f>
        <v>14.2</v>
      </c>
      <c r="AP101" s="12">
        <f>INDEX(ovrTable25,MATCH(INDEX('Structured 2025'!teamCol,ROW()),ovrTeamCol25,0),MATCH(MID(INDEX('Structured 2025'!headerRow,1,COLUMN()),4,LEN(INDEX('Structured 2025'!headerRow,1,COLUMN()))),ovrHeaderRow25,0))</f>
        <v>12.08</v>
      </c>
      <c r="AQ101" s="12">
        <f>INDEX(ovrTable25,MATCH(INDEX('Structured 2025'!teamCol,ROW()),ovrTeamCol25,0),MATCH(MID(INDEX('Structured 2025'!headerRow,1,COLUMN()),4,LEN(INDEX('Structured 2025'!headerRow,1,COLUMN()))),ovrHeaderRow25,0))</f>
        <v>4.5</v>
      </c>
      <c r="AR101" s="12">
        <f>INDEX(ovrTable25,MATCH(INDEX('Structured 2025'!teamCol,ROW()),ovrTeamCol25,0),MATCH(MID(INDEX('Structured 2025'!headerRow,1,COLUMN()),4,LEN(INDEX('Structured 2025'!headerRow,1,COLUMN()))),ovrHeaderRow25,0))</f>
        <v>41.6</v>
      </c>
      <c r="AS101" s="12">
        <f>INDEX(ovrTable25,MATCH(INDEX('Structured 2025'!teamCol,ROW()),ovrTeamCol25,0),MATCH(MID(INDEX('Structured 2025'!headerRow,1,COLUMN()),4,LEN(INDEX('Structured 2025'!headerRow,1,COLUMN()))),ovrHeaderRow25,0))</f>
        <v>25.69</v>
      </c>
      <c r="AT101" s="12">
        <f>INDEX(ovrTable25,MATCH(INDEX('Structured 2025'!teamCol,ROW()),ovrTeamCol25,0),MATCH(MID(INDEX('Structured 2025'!headerRow,1,COLUMN()),4,LEN(INDEX('Structured 2025'!headerRow,1,COLUMN()))),ovrHeaderRow25,0))</f>
        <v>0.53600000000000003</v>
      </c>
      <c r="AU101" s="12">
        <f>INDEX(ovrTable25,MATCH(INDEX('Structured 2025'!teamCol,ROW()),ovrTeamCol25,0),MATCH(MID(INDEX('Structured 2025'!headerRow,1,COLUMN()),4,LEN(INDEX('Structured 2025'!headerRow,1,COLUMN()))),ovrHeaderRow25,0))</f>
        <v>12.61</v>
      </c>
      <c r="AV101" s="12">
        <f>INDEX(ovrTable25,MATCH(INDEX('Structured 2025'!teamCol,ROW()),ovrTeamCol25,0),MATCH(MID(INDEX('Structured 2025'!headerRow,1,COLUMN()),4,LEN(INDEX('Structured 2025'!headerRow,1,COLUMN()))),ovrHeaderRow25,0))</f>
        <v>47</v>
      </c>
      <c r="AW101" s="12">
        <f>INDEX(ovrTable25,MATCH(INDEX('Structured 2025'!teamCol,ROW()),ovrTeamCol25,0),MATCH(MID(INDEX('Structured 2025'!headerRow,1,COLUMN()),4,LEN(INDEX('Structured 2025'!headerRow,1,COLUMN()))),ovrHeaderRow25,0))</f>
        <v>15.3</v>
      </c>
      <c r="AX101" s="12">
        <f>INDEX(ovrTable25,MATCH(INDEX('Structured 2025'!teamCol,ROW()),ovrTeamCol25,0),MATCH(MID(INDEX('Structured 2025'!headerRow,1,COLUMN()),4,LEN(INDEX('Structured 2025'!headerRow,1,COLUMN()))),ovrHeaderRow25,0))</f>
        <v>75</v>
      </c>
      <c r="AY101" s="12">
        <f>INDEX(ovrTable25,MATCH(INDEX('Structured 2025'!teamCol,ROW()),ovrTeamCol25,0),MATCH(MID(INDEX('Structured 2025'!headerRow,1,COLUMN()),4,LEN(INDEX('Structured 2025'!headerRow,1,COLUMN()))),ovrHeaderRow25,0))</f>
        <v>20.3</v>
      </c>
      <c r="AZ101" s="12">
        <f>INDEX(ovrTable25,MATCH(INDEX('Structured 2025'!teamCol,ROW()),ovrTeamCol25,0),MATCH(MID(INDEX('Structured 2025'!headerRow,1,COLUMN()),4,LEN(INDEX('Structured 2025'!headerRow,1,COLUMN()))),ovrHeaderRow25,0))</f>
        <v>15.3</v>
      </c>
      <c r="BA101" s="12">
        <f>INDEX(ovrTable25,MATCH(INDEX('Structured 2025'!teamCol,ROW()),ovrTeamCol25,0),MATCH(MID(INDEX('Structured 2025'!headerRow,1,COLUMN()),4,LEN(INDEX('Structured 2025'!headerRow,1,COLUMN()))),ovrHeaderRow25,0))</f>
        <v>67.2</v>
      </c>
      <c r="BB101" s="12">
        <f>INDEX(ovrTable25,MATCH(INDEX('Structured 2025'!teamCol,ROW()),ovrTeamCol25,0),MATCH(MID(INDEX('Structured 2025'!headerRow,1,COLUMN()),4,LEN(INDEX('Structured 2025'!headerRow,1,COLUMN()))),ovrHeaderRow25,0))</f>
        <v>10.56</v>
      </c>
      <c r="BC101" s="12">
        <f>INDEX(ovrTable25,MATCH(INDEX('Structured 2025'!teamCol,ROW()),ovrTeamCol25,0),MATCH(MID(INDEX('Structured 2025'!headerRow,1,COLUMN()),4,LEN(INDEX('Structured 2025'!headerRow,1,COLUMN()))),ovrHeaderRow25,0))</f>
        <v>81.099999999999994</v>
      </c>
      <c r="BD101" s="12">
        <f>INDEX(ovrTable25,MATCH(INDEX('Structured 2025'!teamCol,ROW()),ovrTeamCol25,0),MATCH(MID(INDEX('Structured 2025'!headerRow,1,COLUMN()),4,LEN(INDEX('Structured 2025'!headerRow,1,COLUMN()))),ovrHeaderRow25,0))</f>
        <v>2.2999999999999998</v>
      </c>
      <c r="BE101" s="12">
        <f>INDEX(ovrTable25,MATCH(INDEX('Structured 2025'!teamCol,ROW()),ovrTeamCol25,0),MATCH(MID(INDEX('Structured 2025'!headerRow,1,COLUMN()),4,LEN(INDEX('Structured 2025'!headerRow,1,COLUMN()))),ovrHeaderRow25,0))</f>
        <v>36.25</v>
      </c>
      <c r="BF101" s="12">
        <f>INDEX(ovrTable25,MATCH(INDEX('Structured 2025'!teamCol,ROW()),ovrTeamCol25,0),MATCH(MID(INDEX('Structured 2025'!headerRow,1,COLUMN()),4,LEN(INDEX('Structured 2025'!headerRow,1,COLUMN()))),ovrHeaderRow25,0))</f>
        <v>13.9</v>
      </c>
      <c r="BG101" s="12">
        <f>INDEX(ovrTable25,MATCH(INDEX('Structured 2025'!teamCol,ROW()),ovrTeamCol25,0),MATCH(MID(INDEX('Structured 2025'!headerRow,1,COLUMN()),4,LEN(INDEX('Structured 2025'!headerRow,1,COLUMN()))),ovrHeaderRow25,0))</f>
        <v>7.9</v>
      </c>
      <c r="BH101" s="12">
        <f>INDEX(ovrTable25,MATCH(INDEX('Structured 2025'!teamCol,ROW()),ovrTeamCol25,0),MATCH(MID(INDEX('Structured 2025'!headerRow,1,COLUMN()),4,LEN(INDEX('Structured 2025'!headerRow,1,COLUMN()))),ovrHeaderRow25,0))</f>
        <v>4.0999999999999996</v>
      </c>
      <c r="BI101" s="12">
        <f>INDEX(ovrTable25,MATCH(INDEX('Structured 2025'!teamCol,ROW()),ovrTeamCol25,0),MATCH(MID(INDEX('Structured 2025'!headerRow,1,COLUMN()),4,LEN(INDEX('Structured 2025'!headerRow,1,COLUMN()))),ovrHeaderRow25,0))</f>
        <v>14.19</v>
      </c>
      <c r="BJ101" s="12">
        <f>INDEX(ovrTable25,MATCH(INDEX('Structured 2025'!teamCol,ROW()),ovrTeamCol25,0),MATCH(MID(INDEX('Structured 2025'!headerRow,1,COLUMN()),4,LEN(INDEX('Structured 2025'!headerRow,1,COLUMN()))),ovrHeaderRow25,0))</f>
        <v>10.1</v>
      </c>
      <c r="BK101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L101" s="12">
        <f>INDEX(ovrTable25,MATCH(INDEX('Structured 2025'!teamCol,ROW()),ovrTeamCol25,0),MATCH(MID(INDEX('Structured 2025'!headerRow,1,COLUMN()),4,LEN(INDEX('Structured 2025'!headerRow,1,COLUMN()))),ovrHeaderRow25,0))</f>
        <v>20.75</v>
      </c>
      <c r="BM101" s="12">
        <f>INDEX(ovrTable25,MATCH(INDEX('Structured 2025'!teamCol,ROW()),ovrTeamCol25,0),MATCH(MID(INDEX('Structured 2025'!headerRow,1,COLUMN()),4,LEN(INDEX('Structured 2025'!headerRow,1,COLUMN()))),ovrHeaderRow25,0))</f>
        <v>61.382978723404257</v>
      </c>
      <c r="BN101" s="12">
        <f>INDEX(ovrTable25,MATCH(INDEX(oppCol,ROW()),ovrTeamCol25,0),MATCH(MID(INDEX('Structured 2025'!headerRow,1,COLUMN()),4,LEN(INDEX('Structured 2025'!headerRow,1,COLUMN()))),ovrHeaderRow25,0))</f>
        <v>33.200000000000003</v>
      </c>
      <c r="BO101" s="12">
        <f>INDEX(ovrTable25,MATCH(INDEX(oppCol,ROW()),ovrTeamCol25,0),MATCH(MID(INDEX('Structured 2025'!headerRow,1,COLUMN()),4,LEN(INDEX('Structured 2025'!headerRow,1,COLUMN()))),ovrHeaderRow25,0))</f>
        <v>8.6</v>
      </c>
      <c r="BP101" s="12">
        <f>INDEX(ovrTable25,MATCH(INDEX(oppCol,ROW()),ovrTeamCol25,0),MATCH(MID(INDEX('Structured 2025'!headerRow,1,COLUMN()),4,LEN(INDEX('Structured 2025'!headerRow,1,COLUMN()))),ovrHeaderRow25,0))</f>
        <v>36.299999999999997</v>
      </c>
      <c r="BQ101" s="12">
        <f>INDEX(ovrTable25,MATCH(INDEX(oppCol,ROW()),ovrTeamCol25,0),MATCH(MID(INDEX('Structured 2025'!headerRow,1,COLUMN()),4,LEN(INDEX('Structured 2025'!headerRow,1,COLUMN()))),ovrHeaderRow25,0))</f>
        <v>23.8</v>
      </c>
      <c r="BR101" s="12">
        <f>INDEX(ovrTable25,MATCH(INDEX(oppCol,ROW()),ovrTeamCol25,0),MATCH(MID(INDEX('Structured 2025'!headerRow,1,COLUMN()),4,LEN(INDEX('Structured 2025'!headerRow,1,COLUMN()))),ovrHeaderRow25,0))</f>
        <v>1.43</v>
      </c>
      <c r="BS101" s="12">
        <f>INDEX(ovrTable25,MATCH(INDEX(oppCol,ROW()),ovrTeamCol25,0),MATCH(MID(INDEX('Structured 2025'!headerRow,1,COLUMN()),4,LEN(INDEX('Structured 2025'!headerRow,1,COLUMN()))),ovrHeaderRow25,0))</f>
        <v>16.5</v>
      </c>
      <c r="BT101" s="12">
        <f>INDEX(ovrTable25,MATCH(INDEX(oppCol,ROW()),ovrTeamCol25,0),MATCH(MID(INDEX('Structured 2025'!headerRow,1,COLUMN()),4,LEN(INDEX('Structured 2025'!headerRow,1,COLUMN()))),ovrHeaderRow25,0))</f>
        <v>19.670000000000002</v>
      </c>
      <c r="BU101" s="12">
        <f>INDEX(ovrTable25,MATCH(INDEX(oppCol,ROW()),ovrTeamCol25,0),MATCH(MID(INDEX('Structured 2025'!headerRow,1,COLUMN()),4,LEN(INDEX('Structured 2025'!headerRow,1,COLUMN()))),ovrHeaderRow25,0))</f>
        <v>2.8</v>
      </c>
      <c r="BV101" s="12">
        <f>INDEX(ovrTable25,MATCH(INDEX(oppCol,ROW()),ovrTeamCol25,0),MATCH(MID(INDEX('Structured 2025'!headerRow,1,COLUMN()),4,LEN(INDEX('Structured 2025'!headerRow,1,COLUMN()))),ovrHeaderRow25,0))</f>
        <v>42.2</v>
      </c>
      <c r="BW101" s="12">
        <f>INDEX(ovrTable25,MATCH(INDEX(oppCol,ROW()),ovrTeamCol25,0),MATCH(MID(INDEX('Structured 2025'!headerRow,1,COLUMN()),4,LEN(INDEX('Structured 2025'!headerRow,1,COLUMN()))),ovrHeaderRow25,0))</f>
        <v>26.53</v>
      </c>
      <c r="BX101" s="12">
        <f>INDEX(ovrTable25,MATCH(INDEX(oppCol,ROW()),ovrTeamCol25,0),MATCH(MID(INDEX('Structured 2025'!headerRow,1,COLUMN()),4,LEN(INDEX('Structured 2025'!headerRow,1,COLUMN()))),ovrHeaderRow25,0))</f>
        <v>0.55500000000000005</v>
      </c>
      <c r="BY101" s="12">
        <f>INDEX(ovrTable25,MATCH(INDEX(oppCol,ROW()),ovrTeamCol25,0),MATCH(MID(INDEX('Structured 2025'!headerRow,1,COLUMN()),4,LEN(INDEX('Structured 2025'!headerRow,1,COLUMN()))),ovrHeaderRow25,0))</f>
        <v>7.78</v>
      </c>
      <c r="BZ101" s="12">
        <f>INDEX(ovrTable25,MATCH(INDEX(oppCol,ROW()),ovrTeamCol25,0),MATCH(MID(INDEX('Structured 2025'!headerRow,1,COLUMN()),4,LEN(INDEX('Structured 2025'!headerRow,1,COLUMN()))),ovrHeaderRow25,0))</f>
        <v>47.7</v>
      </c>
      <c r="CA101" s="12">
        <f>INDEX(ovrTable25,MATCH(INDEX(oppCol,ROW()),ovrTeamCol25,0),MATCH(MID(INDEX('Structured 2025'!headerRow,1,COLUMN()),4,LEN(INDEX('Structured 2025'!headerRow,1,COLUMN()))),ovrHeaderRow25,0))</f>
        <v>17.2</v>
      </c>
      <c r="CB101" s="12">
        <f>INDEX(ovrTable25,MATCH(INDEX(oppCol,ROW()),ovrTeamCol25,0),MATCH(MID(INDEX('Structured 2025'!headerRow,1,COLUMN()),4,LEN(INDEX('Structured 2025'!headerRow,1,COLUMN()))),ovrHeaderRow25,0))</f>
        <v>77.5</v>
      </c>
      <c r="CC101" s="12">
        <f>INDEX(ovrTable25,MATCH(INDEX(oppCol,ROW()),ovrTeamCol25,0),MATCH(MID(INDEX('Structured 2025'!headerRow,1,COLUMN()),4,LEN(INDEX('Structured 2025'!headerRow,1,COLUMN()))),ovrHeaderRow25,0))</f>
        <v>17.5</v>
      </c>
      <c r="CD101" s="12">
        <f>INDEX(ovrTable25,MATCH(INDEX(oppCol,ROW()),ovrTeamCol25,0),MATCH(MID(INDEX('Structured 2025'!headerRow,1,COLUMN()),4,LEN(INDEX('Structured 2025'!headerRow,1,COLUMN()))),ovrHeaderRow25,0))</f>
        <v>13.6</v>
      </c>
      <c r="CE101" s="12">
        <f>INDEX(ovrTable25,MATCH(INDEX(oppCol,ROW()),ovrTeamCol25,0),MATCH(MID(INDEX('Structured 2025'!headerRow,1,COLUMN()),4,LEN(INDEX('Structured 2025'!headerRow,1,COLUMN()))),ovrHeaderRow25,0))</f>
        <v>67.3</v>
      </c>
      <c r="CF101" s="12">
        <f>INDEX(ovrTable25,MATCH(INDEX(oppCol,ROW()),ovrTeamCol25,0),MATCH(MID(INDEX('Structured 2025'!headerRow,1,COLUMN()),4,LEN(INDEX('Structured 2025'!headerRow,1,COLUMN()))),ovrHeaderRow25,0))</f>
        <v>8.39</v>
      </c>
      <c r="CG101" s="12">
        <f>INDEX(ovrTable25,MATCH(INDEX(oppCol,ROW()),ovrTeamCol25,0),MATCH(MID(INDEX('Structured 2025'!headerRow,1,COLUMN()),4,LEN(INDEX('Structured 2025'!headerRow,1,COLUMN()))),ovrHeaderRow25,0))</f>
        <v>75.099999999999994</v>
      </c>
      <c r="CH101" s="12">
        <f>INDEX(ovrTable25,MATCH(INDEX(oppCol,ROW()),ovrTeamCol25,0),MATCH(MID(INDEX('Structured 2025'!headerRow,1,COLUMN()),4,LEN(INDEX('Structured 2025'!headerRow,1,COLUMN()))),ovrHeaderRow25,0))</f>
        <v>3.1</v>
      </c>
      <c r="CI101" s="12">
        <f>INDEX(ovrTable25,MATCH(INDEX(oppCol,ROW()),ovrTeamCol25,0),MATCH(MID(INDEX('Structured 2025'!headerRow,1,COLUMN()),4,LEN(INDEX('Structured 2025'!headerRow,1,COLUMN()))),ovrHeaderRow25,0))</f>
        <v>34.92</v>
      </c>
      <c r="CJ101" s="12">
        <f>INDEX(ovrTable25,MATCH(INDEX(oppCol,ROW()),ovrTeamCol25,0),MATCH(MID(INDEX('Structured 2025'!headerRow,1,COLUMN()),4,LEN(INDEX('Structured 2025'!headerRow,1,COLUMN()))),ovrHeaderRow25,0))</f>
        <v>7.8</v>
      </c>
      <c r="CK101" s="12">
        <f>INDEX(ovrTable25,MATCH(INDEX(oppCol,ROW()),ovrTeamCol25,0),MATCH(MID(INDEX('Structured 2025'!headerRow,1,COLUMN()),4,LEN(INDEX('Structured 2025'!headerRow,1,COLUMN()))),ovrHeaderRow25,0))</f>
        <v>5.0999999999999996</v>
      </c>
      <c r="CL101" s="12">
        <f>INDEX(ovrTable25,MATCH(INDEX(oppCol,ROW()),ovrTeamCol25,0),MATCH(MID(INDEX('Structured 2025'!headerRow,1,COLUMN()),4,LEN(INDEX('Structured 2025'!headerRow,1,COLUMN()))),ovrHeaderRow25,0))</f>
        <v>-0.3</v>
      </c>
      <c r="CM101" s="12">
        <f>INDEX(ovrTable25,MATCH(INDEX(oppCol,ROW()),ovrTeamCol25,0),MATCH(MID(INDEX('Structured 2025'!headerRow,1,COLUMN()),4,LEN(INDEX('Structured 2025'!headerRow,1,COLUMN()))),ovrHeaderRow25,0))</f>
        <v>11.19</v>
      </c>
      <c r="CN101" s="12">
        <f>INDEX(ovrTable25,MATCH(INDEX(oppCol,ROW()),ovrTeamCol25,0),MATCH(MID(INDEX('Structured 2025'!headerRow,1,COLUMN()),4,LEN(INDEX('Structured 2025'!headerRow,1,COLUMN()))),ovrHeaderRow25,0))</f>
        <v>11.5</v>
      </c>
      <c r="CO101" s="12">
        <f>INDEX(ovrTable25,MATCH(INDEX(oppCol,ROW()),ovrTeamCol25,0),MATCH(MID(INDEX('Structured 2025'!headerRow,1,COLUMN()),4,LEN(INDEX('Structured 2025'!headerRow,1,COLUMN()))),ovrHeaderRow25,0))</f>
        <v>66</v>
      </c>
      <c r="CP101" s="12">
        <f>INDEX(ovrTable25,MATCH(INDEX(oppCol,ROW()),ovrTeamCol25,0),MATCH(MID(INDEX('Structured 2025'!headerRow,1,COLUMN()),4,LEN(INDEX('Structured 2025'!headerRow,1,COLUMN()))),ovrHeaderRow25,0))</f>
        <v>17.849999999999998</v>
      </c>
      <c r="CQ101" s="12">
        <f>INDEX(ovrTable25,MATCH(INDEX(oppCol,ROW()),ovrTeamCol25,0),MATCH(MID(INDEX('Structured 2025'!headerRow,1,COLUMN()),4,LEN(INDEX('Structured 2025'!headerRow,1,COLUMN()))),ovrHeaderRow25,0))</f>
        <v>55.450733752620529</v>
      </c>
    </row>
    <row r="102" spans="1:95" x14ac:dyDescent="0.3">
      <c r="A102" s="6" t="s">
        <v>11</v>
      </c>
      <c r="B102" s="3">
        <v>11</v>
      </c>
      <c r="C102" s="13" t="str">
        <f>A103</f>
        <v>TTU</v>
      </c>
      <c r="D102" s="14">
        <f t="shared" si="111"/>
        <v>51</v>
      </c>
      <c r="E102" s="23">
        <v>0.14285714285714285</v>
      </c>
      <c r="F102" s="24">
        <v>42.592592592592595</v>
      </c>
      <c r="G102" s="24">
        <v>8</v>
      </c>
      <c r="H102" s="23">
        <v>47.058823529411761</v>
      </c>
      <c r="I102" s="24">
        <v>17</v>
      </c>
      <c r="J102" s="25">
        <v>3.2</v>
      </c>
      <c r="K102" s="24">
        <v>10</v>
      </c>
      <c r="L102" s="24">
        <v>14</v>
      </c>
      <c r="M102" s="24">
        <v>6</v>
      </c>
      <c r="N102" s="24">
        <v>19</v>
      </c>
      <c r="O102" s="24">
        <v>16</v>
      </c>
      <c r="P102" s="24">
        <v>2</v>
      </c>
      <c r="Q102" s="24">
        <v>2</v>
      </c>
      <c r="R102" s="24">
        <v>5</v>
      </c>
      <c r="S102" s="24">
        <v>2</v>
      </c>
      <c r="T102" s="24">
        <v>15</v>
      </c>
      <c r="U102" s="24">
        <v>24</v>
      </c>
      <c r="V102" s="24">
        <v>0.53846153846153844</v>
      </c>
      <c r="W102" s="26">
        <v>0.5</v>
      </c>
      <c r="X102" s="23">
        <v>71.428571428571431</v>
      </c>
      <c r="Y102" s="24">
        <v>77</v>
      </c>
      <c r="Z102" s="24">
        <v>64</v>
      </c>
      <c r="AA102" s="24">
        <v>-8</v>
      </c>
      <c r="AB102" s="24">
        <v>25</v>
      </c>
      <c r="AC102" s="24">
        <v>-13</v>
      </c>
      <c r="AD102" s="24">
        <v>0</v>
      </c>
      <c r="AE102" s="24">
        <v>5</v>
      </c>
      <c r="AF102" s="34">
        <f t="shared" si="105"/>
        <v>15</v>
      </c>
      <c r="AG102" s="34">
        <f t="shared" si="106"/>
        <v>37</v>
      </c>
      <c r="AH102" s="46">
        <f t="shared" si="107"/>
        <v>59.65</v>
      </c>
      <c r="AI102" s="51">
        <f t="shared" ref="AI102" si="113">AVERAGE(AH102,AH103)</f>
        <v>61.05</v>
      </c>
      <c r="AJ102" s="12">
        <f>INDEX(ovrTable25,MATCH(INDEX('Structured 2025'!teamCol,ROW()),ovrTeamCol25,0),MATCH(MID(INDEX('Structured 2025'!headerRow,1,COLUMN()),4,LEN(INDEX('Structured 2025'!headerRow,1,COLUMN()))),ovrHeaderRow25,0))</f>
        <v>30.5</v>
      </c>
      <c r="AK102" s="12">
        <f>INDEX(ovrTable25,MATCH(INDEX('Structured 2025'!teamCol,ROW()),ovrTeamCol25,0),MATCH(MID(INDEX('Structured 2025'!headerRow,1,COLUMN()),4,LEN(INDEX('Structured 2025'!headerRow,1,COLUMN()))),ovrHeaderRow25,0))</f>
        <v>6.6</v>
      </c>
      <c r="AL102" s="12">
        <f>INDEX(ovrTable25,MATCH(INDEX('Structured 2025'!teamCol,ROW()),ovrTeamCol25,0),MATCH(MID(INDEX('Structured 2025'!headerRow,1,COLUMN()),4,LEN(INDEX('Structured 2025'!headerRow,1,COLUMN()))),ovrHeaderRow25,0))</f>
        <v>36</v>
      </c>
      <c r="AM102" s="12">
        <f>INDEX(ovrTable25,MATCH(INDEX('Structured 2025'!teamCol,ROW()),ovrTeamCol25,0),MATCH(MID(INDEX('Structured 2025'!headerRow,1,COLUMN()),4,LEN(INDEX('Structured 2025'!headerRow,1,COLUMN()))),ovrHeaderRow25,0))</f>
        <v>18.399999999999999</v>
      </c>
      <c r="AN102" s="12">
        <f>INDEX(ovrTable25,MATCH(INDEX('Structured 2025'!teamCol,ROW()),ovrTeamCol25,0),MATCH(MID(INDEX('Structured 2025'!headerRow,1,COLUMN()),4,LEN(INDEX('Structured 2025'!headerRow,1,COLUMN()))),ovrHeaderRow25,0))</f>
        <v>1.22</v>
      </c>
      <c r="AO102" s="12">
        <f>INDEX(ovrTable25,MATCH(INDEX('Structured 2025'!teamCol,ROW()),ovrTeamCol25,0),MATCH(MID(INDEX('Structured 2025'!headerRow,1,COLUMN()),4,LEN(INDEX('Structured 2025'!headerRow,1,COLUMN()))),ovrHeaderRow25,0))</f>
        <v>13.5</v>
      </c>
      <c r="AP102" s="12">
        <f>INDEX(ovrTable25,MATCH(INDEX('Structured 2025'!teamCol,ROW()),ovrTeamCol25,0),MATCH(MID(INDEX('Structured 2025'!headerRow,1,COLUMN()),4,LEN(INDEX('Structured 2025'!headerRow,1,COLUMN()))),ovrHeaderRow25,0))</f>
        <v>19.89</v>
      </c>
      <c r="AQ102" s="12">
        <f>INDEX(ovrTable25,MATCH(INDEX('Structured 2025'!teamCol,ROW()),ovrTeamCol25,0),MATCH(MID(INDEX('Structured 2025'!headerRow,1,COLUMN()),4,LEN(INDEX('Structured 2025'!headerRow,1,COLUMN()))),ovrHeaderRow25,0))</f>
        <v>2.4</v>
      </c>
      <c r="AR102" s="12">
        <f>INDEX(ovrTable25,MATCH(INDEX('Structured 2025'!teamCol,ROW()),ovrTeamCol25,0),MATCH(MID(INDEX('Structured 2025'!headerRow,1,COLUMN()),4,LEN(INDEX('Structured 2025'!headerRow,1,COLUMN()))),ovrHeaderRow25,0))</f>
        <v>44.2</v>
      </c>
      <c r="AS102" s="12">
        <f>INDEX(ovrTable25,MATCH(INDEX('Structured 2025'!teamCol,ROW()),ovrTeamCol25,0),MATCH(MID(INDEX('Structured 2025'!headerRow,1,COLUMN()),4,LEN(INDEX('Structured 2025'!headerRow,1,COLUMN()))),ovrHeaderRow25,0))</f>
        <v>20.71</v>
      </c>
      <c r="AT102" s="12">
        <f>INDEX(ovrTable25,MATCH(INDEX('Structured 2025'!teamCol,ROW()),ovrTeamCol25,0),MATCH(MID(INDEX('Structured 2025'!headerRow,1,COLUMN()),4,LEN(INDEX('Structured 2025'!headerRow,1,COLUMN()))),ovrHeaderRow25,0))</f>
        <v>0.54700000000000004</v>
      </c>
      <c r="AU102" s="12">
        <f>INDEX(ovrTable25,MATCH(INDEX('Structured 2025'!teamCol,ROW()),ovrTeamCol25,0),MATCH(MID(INDEX('Structured 2025'!headerRow,1,COLUMN()),4,LEN(INDEX('Structured 2025'!headerRow,1,COLUMN()))),ovrHeaderRow25,0))</f>
        <v>6.03</v>
      </c>
      <c r="AV102" s="12">
        <f>INDEX(ovrTable25,MATCH(INDEX('Structured 2025'!teamCol,ROW()),ovrTeamCol25,0),MATCH(MID(INDEX('Structured 2025'!headerRow,1,COLUMN()),4,LEN(INDEX('Structured 2025'!headerRow,1,COLUMN()))),ovrHeaderRow25,0))</f>
        <v>48.1</v>
      </c>
      <c r="AW102" s="12">
        <f>INDEX(ovrTable25,MATCH(INDEX('Structured 2025'!teamCol,ROW()),ovrTeamCol25,0),MATCH(MID(INDEX('Structured 2025'!headerRow,1,COLUMN()),4,LEN(INDEX('Structured 2025'!headerRow,1,COLUMN()))),ovrHeaderRow25,0))</f>
        <v>15.8</v>
      </c>
      <c r="AX102" s="12">
        <f>INDEX(ovrTable25,MATCH(INDEX('Structured 2025'!teamCol,ROW()),ovrTeamCol25,0),MATCH(MID(INDEX('Structured 2025'!headerRow,1,COLUMN()),4,LEN(INDEX('Structured 2025'!headerRow,1,COLUMN()))),ovrHeaderRow25,0))</f>
        <v>69.900000000000006</v>
      </c>
      <c r="AY102" s="12">
        <f>INDEX(ovrTable25,MATCH(INDEX('Structured 2025'!teamCol,ROW()),ovrTeamCol25,0),MATCH(MID(INDEX('Structured 2025'!headerRow,1,COLUMN()),4,LEN(INDEX('Structured 2025'!headerRow,1,COLUMN()))),ovrHeaderRow25,0))</f>
        <v>21.3</v>
      </c>
      <c r="AZ102" s="12">
        <f>INDEX(ovrTable25,MATCH(INDEX('Structured 2025'!teamCol,ROW()),ovrTeamCol25,0),MATCH(MID(INDEX('Structured 2025'!headerRow,1,COLUMN()),4,LEN(INDEX('Structured 2025'!headerRow,1,COLUMN()))),ovrHeaderRow25,0))</f>
        <v>14.9</v>
      </c>
      <c r="BA102" s="12">
        <f>INDEX(ovrTable25,MATCH(INDEX('Structured 2025'!teamCol,ROW()),ovrTeamCol25,0),MATCH(MID(INDEX('Structured 2025'!headerRow,1,COLUMN()),4,LEN(INDEX('Structured 2025'!headerRow,1,COLUMN()))),ovrHeaderRow25,0))</f>
        <v>58.9</v>
      </c>
      <c r="BB102" s="12">
        <f>INDEX(ovrTable25,MATCH(INDEX('Structured 2025'!teamCol,ROW()),ovrTeamCol25,0),MATCH(MID(INDEX('Structured 2025'!headerRow,1,COLUMN()),4,LEN(INDEX('Structured 2025'!headerRow,1,COLUMN()))),ovrHeaderRow25,0))</f>
        <v>10.11</v>
      </c>
      <c r="BC102" s="12">
        <f>INDEX(ovrTable25,MATCH(INDEX('Structured 2025'!teamCol,ROW()),ovrTeamCol25,0),MATCH(MID(INDEX('Structured 2025'!headerRow,1,COLUMN()),4,LEN(INDEX('Structured 2025'!headerRow,1,COLUMN()))),ovrHeaderRow25,0))</f>
        <v>69.8</v>
      </c>
      <c r="BD102" s="12">
        <f>INDEX(ovrTable25,MATCH(INDEX('Structured 2025'!teamCol,ROW()),ovrTeamCol25,0),MATCH(MID(INDEX('Structured 2025'!headerRow,1,COLUMN()),4,LEN(INDEX('Structured 2025'!headerRow,1,COLUMN()))),ovrHeaderRow25,0))</f>
        <v>5.5</v>
      </c>
      <c r="BE102" s="12">
        <f>INDEX(ovrTable25,MATCH(INDEX('Structured 2025'!teamCol,ROW()),ovrTeamCol25,0),MATCH(MID(INDEX('Structured 2025'!headerRow,1,COLUMN()),4,LEN(INDEX('Structured 2025'!headerRow,1,COLUMN()))),ovrHeaderRow25,0))</f>
        <v>30.83</v>
      </c>
      <c r="BF102" s="12">
        <f>INDEX(ovrTable25,MATCH(INDEX('Structured 2025'!teamCol,ROW()),ovrTeamCol25,0),MATCH(MID(INDEX('Structured 2025'!headerRow,1,COLUMN()),4,LEN(INDEX('Structured 2025'!headerRow,1,COLUMN()))),ovrHeaderRow25,0))</f>
        <v>10.9</v>
      </c>
      <c r="BG102" s="12">
        <f>INDEX(ovrTable25,MATCH(INDEX('Structured 2025'!teamCol,ROW()),ovrTeamCol25,0),MATCH(MID(INDEX('Structured 2025'!headerRow,1,COLUMN()),4,LEN(INDEX('Structured 2025'!headerRow,1,COLUMN()))),ovrHeaderRow25,0))</f>
        <v>8.9</v>
      </c>
      <c r="BH102" s="12">
        <f>INDEX(ovrTable25,MATCH(INDEX('Structured 2025'!teamCol,ROW()),ovrTeamCol25,0),MATCH(MID(INDEX('Structured 2025'!headerRow,1,COLUMN()),4,LEN(INDEX('Structured 2025'!headerRow,1,COLUMN()))),ovrHeaderRow25,0))</f>
        <v>2.5</v>
      </c>
      <c r="BI102" s="12">
        <f>INDEX(ovrTable25,MATCH(INDEX('Structured 2025'!teamCol,ROW()),ovrTeamCol25,0),MATCH(MID(INDEX('Structured 2025'!headerRow,1,COLUMN()),4,LEN(INDEX('Structured 2025'!headerRow,1,COLUMN()))),ovrHeaderRow25,0))</f>
        <v>13.6</v>
      </c>
      <c r="BJ102" s="12">
        <f>INDEX(ovrTable25,MATCH(INDEX('Structured 2025'!teamCol,ROW()),ovrTeamCol25,0),MATCH(MID(INDEX('Structured 2025'!headerRow,1,COLUMN()),4,LEN(INDEX('Structured 2025'!headerRow,1,COLUMN()))),ovrHeaderRow25,0))</f>
        <v>11.1</v>
      </c>
      <c r="BK102" s="12">
        <f>INDEX(ovrTable25,MATCH(INDEX('Structured 2025'!teamCol,ROW()),ovrTeamCol25,0),MATCH(MID(INDEX('Structured 2025'!headerRow,1,COLUMN()),4,LEN(INDEX('Structured 2025'!headerRow,1,COLUMN()))),ovrHeaderRow25,0))</f>
        <v>59.4</v>
      </c>
      <c r="BL102" s="12">
        <f>INDEX(ovrTable25,MATCH(INDEX('Structured 2025'!teamCol,ROW()),ovrTeamCol25,0),MATCH(MID(INDEX('Structured 2025'!headerRow,1,COLUMN()),4,LEN(INDEX('Structured 2025'!headerRow,1,COLUMN()))),ovrHeaderRow25,0))</f>
        <v>17.55</v>
      </c>
      <c r="BM102" s="12">
        <f>INDEX(ovrTable25,MATCH(INDEX('Structured 2025'!teamCol,ROW()),ovrTeamCol25,0),MATCH(MID(INDEX('Structured 2025'!headerRow,1,COLUMN()),4,LEN(INDEX('Structured 2025'!headerRow,1,COLUMN()))),ovrHeaderRow25,0))</f>
        <v>50.207900207900209</v>
      </c>
      <c r="BN102" s="12">
        <f>INDEX(ovrTable25,MATCH(INDEX(oppCol,ROW()),ovrTeamCol25,0),MATCH(MID(INDEX('Structured 2025'!headerRow,1,COLUMN()),4,LEN(INDEX('Structured 2025'!headerRow,1,COLUMN()))),ovrHeaderRow25,0))</f>
        <v>32.4</v>
      </c>
      <c r="BO102" s="12">
        <f>INDEX(ovrTable25,MATCH(INDEX(oppCol,ROW()),ovrTeamCol25,0),MATCH(MID(INDEX('Structured 2025'!headerRow,1,COLUMN()),4,LEN(INDEX('Structured 2025'!headerRow,1,COLUMN()))),ovrHeaderRow25,0))</f>
        <v>10</v>
      </c>
      <c r="BP102" s="12">
        <f>INDEX(ovrTable25,MATCH(INDEX(oppCol,ROW()),ovrTeamCol25,0),MATCH(MID(INDEX('Structured 2025'!headerRow,1,COLUMN()),4,LEN(INDEX('Structured 2025'!headerRow,1,COLUMN()))),ovrHeaderRow25,0))</f>
        <v>36.700000000000003</v>
      </c>
      <c r="BQ102" s="12">
        <f>INDEX(ovrTable25,MATCH(INDEX(oppCol,ROW()),ovrTeamCol25,0),MATCH(MID(INDEX('Structured 2025'!headerRow,1,COLUMN()),4,LEN(INDEX('Structured 2025'!headerRow,1,COLUMN()))),ovrHeaderRow25,0))</f>
        <v>27.3</v>
      </c>
      <c r="BR102" s="12">
        <f>INDEX(ovrTable25,MATCH(INDEX(oppCol,ROW()),ovrTeamCol25,0),MATCH(MID(INDEX('Structured 2025'!headerRow,1,COLUMN()),4,LEN(INDEX('Structured 2025'!headerRow,1,COLUMN()))),ovrHeaderRow25,0))</f>
        <v>1.7</v>
      </c>
      <c r="BS102" s="12">
        <f>INDEX(ovrTable25,MATCH(INDEX(oppCol,ROW()),ovrTeamCol25,0),MATCH(MID(INDEX('Structured 2025'!headerRow,1,COLUMN()),4,LEN(INDEX('Structured 2025'!headerRow,1,COLUMN()))),ovrHeaderRow25,0))</f>
        <v>16.399999999999999</v>
      </c>
      <c r="BT102" s="12">
        <f>INDEX(ovrTable25,MATCH(INDEX(oppCol,ROW()),ovrTeamCol25,0),MATCH(MID(INDEX('Structured 2025'!headerRow,1,COLUMN()),4,LEN(INDEX('Structured 2025'!headerRow,1,COLUMN()))),ovrHeaderRow25,0))</f>
        <v>19.95</v>
      </c>
      <c r="BU102" s="12">
        <f>INDEX(ovrTable25,MATCH(INDEX(oppCol,ROW()),ovrTeamCol25,0),MATCH(MID(INDEX('Structured 2025'!headerRow,1,COLUMN()),4,LEN(INDEX('Structured 2025'!headerRow,1,COLUMN()))),ovrHeaderRow25,0))</f>
        <v>3.1</v>
      </c>
      <c r="BV102" s="12">
        <f>INDEX(ovrTable25,MATCH(INDEX(oppCol,ROW()),ovrTeamCol25,0),MATCH(MID(INDEX('Structured 2025'!headerRow,1,COLUMN()),4,LEN(INDEX('Structured 2025'!headerRow,1,COLUMN()))),ovrHeaderRow25,0))</f>
        <v>42.6</v>
      </c>
      <c r="BW102" s="12">
        <f>INDEX(ovrTable25,MATCH(INDEX(oppCol,ROW()),ovrTeamCol25,0),MATCH(MID(INDEX('Structured 2025'!headerRow,1,COLUMN()),4,LEN(INDEX('Structured 2025'!headerRow,1,COLUMN()))),ovrHeaderRow25,0))</f>
        <v>25.22</v>
      </c>
      <c r="BX102" s="12">
        <f>INDEX(ovrTable25,MATCH(INDEX(oppCol,ROW()),ovrTeamCol25,0),MATCH(MID(INDEX('Structured 2025'!headerRow,1,COLUMN()),4,LEN(INDEX('Structured 2025'!headerRow,1,COLUMN()))),ovrHeaderRow25,0))</f>
        <v>0.54700000000000004</v>
      </c>
      <c r="BY102" s="12">
        <f>INDEX(ovrTable25,MATCH(INDEX(oppCol,ROW()),ovrTeamCol25,0),MATCH(MID(INDEX('Structured 2025'!headerRow,1,COLUMN()),4,LEN(INDEX('Structured 2025'!headerRow,1,COLUMN()))),ovrHeaderRow25,0))</f>
        <v>10.16</v>
      </c>
      <c r="BZ102" s="12">
        <f>INDEX(ovrTable25,MATCH(INDEX(oppCol,ROW()),ovrTeamCol25,0),MATCH(MID(INDEX('Structured 2025'!headerRow,1,COLUMN()),4,LEN(INDEX('Structured 2025'!headerRow,1,COLUMN()))),ovrHeaderRow25,0))</f>
        <v>46.6</v>
      </c>
      <c r="CA102" s="12">
        <f>INDEX(ovrTable25,MATCH(INDEX(oppCol,ROW()),ovrTeamCol25,0),MATCH(MID(INDEX('Structured 2025'!headerRow,1,COLUMN()),4,LEN(INDEX('Structured 2025'!headerRow,1,COLUMN()))),ovrHeaderRow25,0))</f>
        <v>15.7</v>
      </c>
      <c r="CB102" s="12">
        <f>INDEX(ovrTable25,MATCH(INDEX(oppCol,ROW()),ovrTeamCol25,0),MATCH(MID(INDEX('Structured 2025'!headerRow,1,COLUMN()),4,LEN(INDEX('Structured 2025'!headerRow,1,COLUMN()))),ovrHeaderRow25,0))</f>
        <v>76</v>
      </c>
      <c r="CC102" s="12">
        <f>INDEX(ovrTable25,MATCH(INDEX(oppCol,ROW()),ovrTeamCol25,0),MATCH(MID(INDEX('Structured 2025'!headerRow,1,COLUMN()),4,LEN(INDEX('Structured 2025'!headerRow,1,COLUMN()))),ovrHeaderRow25,0))</f>
        <v>17.899999999999999</v>
      </c>
      <c r="CD102" s="12">
        <f>INDEX(ovrTable25,MATCH(INDEX(oppCol,ROW()),ovrTeamCol25,0),MATCH(MID(INDEX('Structured 2025'!headerRow,1,COLUMN()),4,LEN(INDEX('Structured 2025'!headerRow,1,COLUMN()))),ovrHeaderRow25,0))</f>
        <v>13.6</v>
      </c>
      <c r="CE102" s="12">
        <f>INDEX(ovrTable25,MATCH(INDEX(oppCol,ROW()),ovrTeamCol25,0),MATCH(MID(INDEX('Structured 2025'!headerRow,1,COLUMN()),4,LEN(INDEX('Structured 2025'!headerRow,1,COLUMN()))),ovrHeaderRow25,0))</f>
        <v>68.5</v>
      </c>
      <c r="CF102" s="12">
        <f>INDEX(ovrTable25,MATCH(INDEX(oppCol,ROW()),ovrTeamCol25,0),MATCH(MID(INDEX('Structured 2025'!headerRow,1,COLUMN()),4,LEN(INDEX('Structured 2025'!headerRow,1,COLUMN()))),ovrHeaderRow25,0))</f>
        <v>11.84</v>
      </c>
      <c r="CG102" s="12">
        <f>INDEX(ovrTable25,MATCH(INDEX(oppCol,ROW()),ovrTeamCol25,0),MATCH(MID(INDEX('Structured 2025'!headerRow,1,COLUMN()),4,LEN(INDEX('Structured 2025'!headerRow,1,COLUMN()))),ovrHeaderRow25,0))</f>
        <v>80.900000000000006</v>
      </c>
      <c r="CH102" s="12">
        <f>INDEX(ovrTable25,MATCH(INDEX(oppCol,ROW()),ovrTeamCol25,0),MATCH(MID(INDEX('Structured 2025'!headerRow,1,COLUMN()),4,LEN(INDEX('Structured 2025'!headerRow,1,COLUMN()))),ovrHeaderRow25,0))</f>
        <v>4.3</v>
      </c>
      <c r="CI102" s="12">
        <f>INDEX(ovrTable25,MATCH(INDEX(oppCol,ROW()),ovrTeamCol25,0),MATCH(MID(INDEX('Structured 2025'!headerRow,1,COLUMN()),4,LEN(INDEX('Structured 2025'!headerRow,1,COLUMN()))),ovrHeaderRow25,0))</f>
        <v>37.049999999999997</v>
      </c>
      <c r="CJ102" s="12">
        <f>INDEX(ovrTable25,MATCH(INDEX(oppCol,ROW()),ovrTeamCol25,0),MATCH(MID(INDEX('Structured 2025'!headerRow,1,COLUMN()),4,LEN(INDEX('Structured 2025'!headerRow,1,COLUMN()))),ovrHeaderRow25,0))</f>
        <v>12.4</v>
      </c>
      <c r="CK102" s="12">
        <f>INDEX(ovrTable25,MATCH(INDEX(oppCol,ROW()),ovrTeamCol25,0),MATCH(MID(INDEX('Structured 2025'!headerRow,1,COLUMN()),4,LEN(INDEX('Structured 2025'!headerRow,1,COLUMN()))),ovrHeaderRow25,0))</f>
        <v>6.3</v>
      </c>
      <c r="CL102" s="12">
        <f>INDEX(ovrTable25,MATCH(INDEX(oppCol,ROW()),ovrTeamCol25,0),MATCH(MID(INDEX('Structured 2025'!headerRow,1,COLUMN()),4,LEN(INDEX('Structured 2025'!headerRow,1,COLUMN()))),ovrHeaderRow25,0))</f>
        <v>1.9</v>
      </c>
      <c r="CM102" s="12">
        <f>INDEX(ovrTable25,MATCH(INDEX(oppCol,ROW()),ovrTeamCol25,0),MATCH(MID(INDEX('Structured 2025'!headerRow,1,COLUMN()),4,LEN(INDEX('Structured 2025'!headerRow,1,COLUMN()))),ovrHeaderRow25,0))</f>
        <v>11.54</v>
      </c>
      <c r="CN102" s="12">
        <f>INDEX(ovrTable25,MATCH(INDEX(oppCol,ROW()),ovrTeamCol25,0),MATCH(MID(INDEX('Structured 2025'!headerRow,1,COLUMN()),4,LEN(INDEX('Structured 2025'!headerRow,1,COLUMN()))),ovrHeaderRow25,0))</f>
        <v>9.6</v>
      </c>
      <c r="CO102" s="12">
        <f>INDEX(ovrTable25,MATCH(INDEX(oppCol,ROW()),ovrTeamCol25,0),MATCH(MID(INDEX('Structured 2025'!headerRow,1,COLUMN()),4,LEN(INDEX('Structured 2025'!headerRow,1,COLUMN()))),ovrHeaderRow25,0))</f>
        <v>66.099999999999994</v>
      </c>
      <c r="CP102" s="12">
        <f>INDEX(ovrTable25,MATCH(INDEX(oppCol,ROW()),ovrTeamCol25,0),MATCH(MID(INDEX('Structured 2025'!headerRow,1,COLUMN()),4,LEN(INDEX('Structured 2025'!headerRow,1,COLUMN()))),ovrHeaderRow25,0))</f>
        <v>18.650000000000006</v>
      </c>
      <c r="CQ102" s="12">
        <f>INDEX(ovrTable25,MATCH(INDEX(oppCol,ROW()),ovrTeamCol25,0),MATCH(MID(INDEX('Structured 2025'!headerRow,1,COLUMN()),4,LEN(INDEX('Structured 2025'!headerRow,1,COLUMN()))),ovrHeaderRow25,0))</f>
        <v>61.480686695278976</v>
      </c>
    </row>
    <row r="103" spans="1:95" x14ac:dyDescent="0.3">
      <c r="A103" s="6" t="s">
        <v>46</v>
      </c>
      <c r="B103" s="3">
        <v>3</v>
      </c>
      <c r="C103" s="13" t="str">
        <f>A102</f>
        <v>DRKE</v>
      </c>
      <c r="D103" s="14">
        <f t="shared" si="111"/>
        <v>51</v>
      </c>
      <c r="E103" s="23">
        <v>0.47058823529411764</v>
      </c>
      <c r="F103" s="24">
        <v>53.846153846153847</v>
      </c>
      <c r="G103" s="24">
        <v>2</v>
      </c>
      <c r="H103" s="23">
        <v>14.285714285714285</v>
      </c>
      <c r="I103" s="24">
        <v>14</v>
      </c>
      <c r="J103" s="25">
        <v>2.6</v>
      </c>
      <c r="K103" s="24">
        <v>19</v>
      </c>
      <c r="L103" s="24">
        <v>22</v>
      </c>
      <c r="M103" s="24">
        <v>5</v>
      </c>
      <c r="N103" s="24">
        <v>28</v>
      </c>
      <c r="O103" s="24">
        <v>13</v>
      </c>
      <c r="P103" s="24">
        <v>2</v>
      </c>
      <c r="Q103" s="24">
        <v>3</v>
      </c>
      <c r="R103" s="24">
        <v>5</v>
      </c>
      <c r="S103" s="24">
        <v>5</v>
      </c>
      <c r="T103" s="24">
        <v>11</v>
      </c>
      <c r="U103" s="24">
        <v>3</v>
      </c>
      <c r="V103" s="24">
        <v>0.42592592592592593</v>
      </c>
      <c r="W103" s="26">
        <v>0.55769230769230771</v>
      </c>
      <c r="X103" s="23">
        <v>86.36363636363636</v>
      </c>
      <c r="Y103" s="24">
        <v>64</v>
      </c>
      <c r="Z103" s="24">
        <v>77</v>
      </c>
      <c r="AA103" s="24">
        <v>8</v>
      </c>
      <c r="AB103" s="24">
        <v>33</v>
      </c>
      <c r="AC103" s="24">
        <v>13</v>
      </c>
      <c r="AD103" s="24">
        <v>0</v>
      </c>
      <c r="AE103" s="24">
        <v>5</v>
      </c>
      <c r="AF103" s="34">
        <f t="shared" si="105"/>
        <v>26</v>
      </c>
      <c r="AG103" s="34">
        <f t="shared" si="106"/>
        <v>38</v>
      </c>
      <c r="AH103" s="46">
        <f t="shared" si="107"/>
        <v>62.45</v>
      </c>
      <c r="AI103" s="51">
        <f t="shared" ref="AI103" si="114">AVERAGE(AH102,AH103)</f>
        <v>61.05</v>
      </c>
      <c r="AJ103" s="12">
        <f>INDEX(ovrTable25,MATCH(INDEX('Structured 2025'!teamCol,ROW()),ovrTeamCol25,0),MATCH(MID(INDEX('Structured 2025'!headerRow,1,COLUMN()),4,LEN(INDEX('Structured 2025'!headerRow,1,COLUMN()))),ovrHeaderRow25,0))</f>
        <v>32.4</v>
      </c>
      <c r="AK103" s="12">
        <f>INDEX(ovrTable25,MATCH(INDEX('Structured 2025'!teamCol,ROW()),ovrTeamCol25,0),MATCH(MID(INDEX('Structured 2025'!headerRow,1,COLUMN()),4,LEN(INDEX('Structured 2025'!headerRow,1,COLUMN()))),ovrHeaderRow25,0))</f>
        <v>10</v>
      </c>
      <c r="AL103" s="12">
        <f>INDEX(ovrTable25,MATCH(INDEX('Structured 2025'!teamCol,ROW()),ovrTeamCol25,0),MATCH(MID(INDEX('Structured 2025'!headerRow,1,COLUMN()),4,LEN(INDEX('Structured 2025'!headerRow,1,COLUMN()))),ovrHeaderRow25,0))</f>
        <v>36.700000000000003</v>
      </c>
      <c r="AM103" s="12">
        <f>INDEX(ovrTable25,MATCH(INDEX('Structured 2025'!teamCol,ROW()),ovrTeamCol25,0),MATCH(MID(INDEX('Structured 2025'!headerRow,1,COLUMN()),4,LEN(INDEX('Structured 2025'!headerRow,1,COLUMN()))),ovrHeaderRow25,0))</f>
        <v>27.3</v>
      </c>
      <c r="AN103" s="12">
        <f>INDEX(ovrTable25,MATCH(INDEX('Structured 2025'!teamCol,ROW()),ovrTeamCol25,0),MATCH(MID(INDEX('Structured 2025'!headerRow,1,COLUMN()),4,LEN(INDEX('Structured 2025'!headerRow,1,COLUMN()))),ovrHeaderRow25,0))</f>
        <v>1.7</v>
      </c>
      <c r="AO103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AP103" s="12">
        <f>INDEX(ovrTable25,MATCH(INDEX('Structured 2025'!teamCol,ROW()),ovrTeamCol25,0),MATCH(MID(INDEX('Structured 2025'!headerRow,1,COLUMN()),4,LEN(INDEX('Structured 2025'!headerRow,1,COLUMN()))),ovrHeaderRow25,0))</f>
        <v>19.95</v>
      </c>
      <c r="AQ103" s="12">
        <f>INDEX(ovrTable25,MATCH(INDEX('Structured 2025'!teamCol,ROW()),ovrTeamCol25,0),MATCH(MID(INDEX('Structured 2025'!headerRow,1,COLUMN()),4,LEN(INDEX('Structured 2025'!headerRow,1,COLUMN()))),ovrHeaderRow25,0))</f>
        <v>3.1</v>
      </c>
      <c r="AR103" s="12">
        <f>INDEX(ovrTable25,MATCH(INDEX('Structured 2025'!teamCol,ROW()),ovrTeamCol25,0),MATCH(MID(INDEX('Structured 2025'!headerRow,1,COLUMN()),4,LEN(INDEX('Structured 2025'!headerRow,1,COLUMN()))),ovrHeaderRow25,0))</f>
        <v>42.6</v>
      </c>
      <c r="AS103" s="12">
        <f>INDEX(ovrTable25,MATCH(INDEX('Structured 2025'!teamCol,ROW()),ovrTeamCol25,0),MATCH(MID(INDEX('Structured 2025'!headerRow,1,COLUMN()),4,LEN(INDEX('Structured 2025'!headerRow,1,COLUMN()))),ovrHeaderRow25,0))</f>
        <v>25.22</v>
      </c>
      <c r="AT103" s="12">
        <f>INDEX(ovrTable25,MATCH(INDEX('Structured 2025'!teamCol,ROW()),ovrTeamCol25,0),MATCH(MID(INDEX('Structured 2025'!headerRow,1,COLUMN()),4,LEN(INDEX('Structured 2025'!headerRow,1,COLUMN()))),ovrHeaderRow25,0))</f>
        <v>0.54700000000000004</v>
      </c>
      <c r="AU103" s="12">
        <f>INDEX(ovrTable25,MATCH(INDEX('Structured 2025'!teamCol,ROW()),ovrTeamCol25,0),MATCH(MID(INDEX('Structured 2025'!headerRow,1,COLUMN()),4,LEN(INDEX('Structured 2025'!headerRow,1,COLUMN()))),ovrHeaderRow25,0))</f>
        <v>10.16</v>
      </c>
      <c r="AV103" s="12">
        <f>INDEX(ovrTable25,MATCH(INDEX('Structured 2025'!teamCol,ROW()),ovrTeamCol25,0),MATCH(MID(INDEX('Structured 2025'!headerRow,1,COLUMN()),4,LEN(INDEX('Structured 2025'!headerRow,1,COLUMN()))),ovrHeaderRow25,0))</f>
        <v>46.6</v>
      </c>
      <c r="AW103" s="12">
        <f>INDEX(ovrTable25,MATCH(INDEX('Structured 2025'!teamCol,ROW()),ovrTeamCol25,0),MATCH(MID(INDEX('Structured 2025'!headerRow,1,COLUMN()),4,LEN(INDEX('Structured 2025'!headerRow,1,COLUMN()))),ovrHeaderRow25,0))</f>
        <v>15.7</v>
      </c>
      <c r="AX103" s="12">
        <f>INDEX(ovrTable25,MATCH(INDEX('Structured 2025'!teamCol,ROW()),ovrTeamCol25,0),MATCH(MID(INDEX('Structured 2025'!headerRow,1,COLUMN()),4,LEN(INDEX('Structured 2025'!headerRow,1,COLUMN()))),ovrHeaderRow25,0))</f>
        <v>76</v>
      </c>
      <c r="AY103" s="12">
        <f>INDEX(ovrTable25,MATCH(INDEX('Structured 2025'!teamCol,ROW()),ovrTeamCol25,0),MATCH(MID(INDEX('Structured 2025'!headerRow,1,COLUMN()),4,LEN(INDEX('Structured 2025'!headerRow,1,COLUMN()))),ovrHeaderRow25,0))</f>
        <v>17.899999999999999</v>
      </c>
      <c r="AZ103" s="12">
        <f>INDEX(ovrTable25,MATCH(INDEX('Structured 2025'!teamCol,ROW()),ovrTeamCol25,0),MATCH(MID(INDEX('Structured 2025'!headerRow,1,COLUMN()),4,LEN(INDEX('Structured 2025'!headerRow,1,COLUMN()))),ovrHeaderRow25,0))</f>
        <v>13.6</v>
      </c>
      <c r="BA103" s="12">
        <f>INDEX(ovrTable25,MATCH(INDEX('Structured 2025'!teamCol,ROW()),ovrTeamCol25,0),MATCH(MID(INDEX('Structured 2025'!headerRow,1,COLUMN()),4,LEN(INDEX('Structured 2025'!headerRow,1,COLUMN()))),ovrHeaderRow25,0))</f>
        <v>68.5</v>
      </c>
      <c r="BB103" s="12">
        <f>INDEX(ovrTable25,MATCH(INDEX('Structured 2025'!teamCol,ROW()),ovrTeamCol25,0),MATCH(MID(INDEX('Structured 2025'!headerRow,1,COLUMN()),4,LEN(INDEX('Structured 2025'!headerRow,1,COLUMN()))),ovrHeaderRow25,0))</f>
        <v>11.84</v>
      </c>
      <c r="BC103" s="12">
        <f>INDEX(ovrTable25,MATCH(INDEX('Structured 2025'!teamCol,ROW()),ovrTeamCol25,0),MATCH(MID(INDEX('Structured 2025'!headerRow,1,COLUMN()),4,LEN(INDEX('Structured 2025'!headerRow,1,COLUMN()))),ovrHeaderRow25,0))</f>
        <v>80.900000000000006</v>
      </c>
      <c r="BD103" s="12">
        <f>INDEX(ovrTable25,MATCH(INDEX('Structured 2025'!teamCol,ROW()),ovrTeamCol25,0),MATCH(MID(INDEX('Structured 2025'!headerRow,1,COLUMN()),4,LEN(INDEX('Structured 2025'!headerRow,1,COLUMN()))),ovrHeaderRow25,0))</f>
        <v>4.3</v>
      </c>
      <c r="BE103" s="12">
        <f>INDEX(ovrTable25,MATCH(INDEX('Structured 2025'!teamCol,ROW()),ovrTeamCol25,0),MATCH(MID(INDEX('Structured 2025'!headerRow,1,COLUMN()),4,LEN(INDEX('Structured 2025'!headerRow,1,COLUMN()))),ovrHeaderRow25,0))</f>
        <v>37.049999999999997</v>
      </c>
      <c r="BF103" s="12">
        <f>INDEX(ovrTable25,MATCH(INDEX('Structured 2025'!teamCol,ROW()),ovrTeamCol25,0),MATCH(MID(INDEX('Structured 2025'!headerRow,1,COLUMN()),4,LEN(INDEX('Structured 2025'!headerRow,1,COLUMN()))),ovrHeaderRow25,0))</f>
        <v>12.4</v>
      </c>
      <c r="BG103" s="12">
        <f>INDEX(ovrTable25,MATCH(INDEX('Structured 2025'!teamCol,ROW()),ovrTeamCol25,0),MATCH(MID(INDEX('Structured 2025'!headerRow,1,COLUMN()),4,LEN(INDEX('Structured 2025'!headerRow,1,COLUMN()))),ovrHeaderRow25,0))</f>
        <v>6.3</v>
      </c>
      <c r="BH103" s="12">
        <f>INDEX(ovrTable25,MATCH(INDEX('Structured 2025'!teamCol,ROW()),ovrTeamCol25,0),MATCH(MID(INDEX('Structured 2025'!headerRow,1,COLUMN()),4,LEN(INDEX('Structured 2025'!headerRow,1,COLUMN()))),ovrHeaderRow25,0))</f>
        <v>1.9</v>
      </c>
      <c r="BI103" s="12">
        <f>INDEX(ovrTable25,MATCH(INDEX('Structured 2025'!teamCol,ROW()),ovrTeamCol25,0),MATCH(MID(INDEX('Structured 2025'!headerRow,1,COLUMN()),4,LEN(INDEX('Structured 2025'!headerRow,1,COLUMN()))),ovrHeaderRow25,0))</f>
        <v>11.54</v>
      </c>
      <c r="BJ103" s="12">
        <f>INDEX(ovrTable25,MATCH(INDEX('Structured 2025'!teamCol,ROW()),ovrTeamCol25,0),MATCH(MID(INDEX('Structured 2025'!headerRow,1,COLUMN()),4,LEN(INDEX('Structured 2025'!headerRow,1,COLUMN()))),ovrHeaderRow25,0))</f>
        <v>9.6</v>
      </c>
      <c r="BK103" s="12">
        <f>INDEX(ovrTable25,MATCH(INDEX('Structured 2025'!teamCol,ROW()),ovrTeamCol25,0),MATCH(MID(INDEX('Structured 2025'!headerRow,1,COLUMN()),4,LEN(INDEX('Structured 2025'!headerRow,1,COLUMN()))),ovrHeaderRow25,0))</f>
        <v>66.099999999999994</v>
      </c>
      <c r="BL103" s="12">
        <f>INDEX(ovrTable25,MATCH(INDEX('Structured 2025'!teamCol,ROW()),ovrTeamCol25,0),MATCH(MID(INDEX('Structured 2025'!headerRow,1,COLUMN()),4,LEN(INDEX('Structured 2025'!headerRow,1,COLUMN()))),ovrHeaderRow25,0))</f>
        <v>18.650000000000006</v>
      </c>
      <c r="BM103" s="12">
        <f>INDEX(ovrTable25,MATCH(INDEX('Structured 2025'!teamCol,ROW()),ovrTeamCol25,0),MATCH(MID(INDEX('Structured 2025'!headerRow,1,COLUMN()),4,LEN(INDEX('Structured 2025'!headerRow,1,COLUMN()))),ovrHeaderRow25,0))</f>
        <v>61.480686695278976</v>
      </c>
      <c r="BN103" s="12">
        <f>INDEX(ovrTable25,MATCH(INDEX(oppCol,ROW()),ovrTeamCol25,0),MATCH(MID(INDEX('Structured 2025'!headerRow,1,COLUMN()),4,LEN(INDEX('Structured 2025'!headerRow,1,COLUMN()))),ovrHeaderRow25,0))</f>
        <v>30.5</v>
      </c>
      <c r="BO103" s="12">
        <f>INDEX(ovrTable25,MATCH(INDEX(oppCol,ROW()),ovrTeamCol25,0),MATCH(MID(INDEX('Structured 2025'!headerRow,1,COLUMN()),4,LEN(INDEX('Structured 2025'!headerRow,1,COLUMN()))),ovrHeaderRow25,0))</f>
        <v>6.6</v>
      </c>
      <c r="BP103" s="12">
        <f>INDEX(ovrTable25,MATCH(INDEX(oppCol,ROW()),ovrTeamCol25,0),MATCH(MID(INDEX('Structured 2025'!headerRow,1,COLUMN()),4,LEN(INDEX('Structured 2025'!headerRow,1,COLUMN()))),ovrHeaderRow25,0))</f>
        <v>36</v>
      </c>
      <c r="BQ103" s="12">
        <f>INDEX(ovrTable25,MATCH(INDEX(oppCol,ROW()),ovrTeamCol25,0),MATCH(MID(INDEX('Structured 2025'!headerRow,1,COLUMN()),4,LEN(INDEX('Structured 2025'!headerRow,1,COLUMN()))),ovrHeaderRow25,0))</f>
        <v>18.399999999999999</v>
      </c>
      <c r="BR103" s="12">
        <f>INDEX(ovrTable25,MATCH(INDEX(oppCol,ROW()),ovrTeamCol25,0),MATCH(MID(INDEX('Structured 2025'!headerRow,1,COLUMN()),4,LEN(INDEX('Structured 2025'!headerRow,1,COLUMN()))),ovrHeaderRow25,0))</f>
        <v>1.22</v>
      </c>
      <c r="BS103" s="12">
        <f>INDEX(ovrTable25,MATCH(INDEX(oppCol,ROW()),ovrTeamCol25,0),MATCH(MID(INDEX('Structured 2025'!headerRow,1,COLUMN()),4,LEN(INDEX('Structured 2025'!headerRow,1,COLUMN()))),ovrHeaderRow25,0))</f>
        <v>13.5</v>
      </c>
      <c r="BT103" s="12">
        <f>INDEX(ovrTable25,MATCH(INDEX(oppCol,ROW()),ovrTeamCol25,0),MATCH(MID(INDEX('Structured 2025'!headerRow,1,COLUMN()),4,LEN(INDEX('Structured 2025'!headerRow,1,COLUMN()))),ovrHeaderRow25,0))</f>
        <v>19.89</v>
      </c>
      <c r="BU103" s="12">
        <f>INDEX(ovrTable25,MATCH(INDEX(oppCol,ROW()),ovrTeamCol25,0),MATCH(MID(INDEX('Structured 2025'!headerRow,1,COLUMN()),4,LEN(INDEX('Structured 2025'!headerRow,1,COLUMN()))),ovrHeaderRow25,0))</f>
        <v>2.4</v>
      </c>
      <c r="BV103" s="12">
        <f>INDEX(ovrTable25,MATCH(INDEX(oppCol,ROW()),ovrTeamCol25,0),MATCH(MID(INDEX('Structured 2025'!headerRow,1,COLUMN()),4,LEN(INDEX('Structured 2025'!headerRow,1,COLUMN()))),ovrHeaderRow25,0))</f>
        <v>44.2</v>
      </c>
      <c r="BW103" s="12">
        <f>INDEX(ovrTable25,MATCH(INDEX(oppCol,ROW()),ovrTeamCol25,0),MATCH(MID(INDEX('Structured 2025'!headerRow,1,COLUMN()),4,LEN(INDEX('Structured 2025'!headerRow,1,COLUMN()))),ovrHeaderRow25,0))</f>
        <v>20.71</v>
      </c>
      <c r="BX103" s="12">
        <f>INDEX(ovrTable25,MATCH(INDEX(oppCol,ROW()),ovrTeamCol25,0),MATCH(MID(INDEX('Structured 2025'!headerRow,1,COLUMN()),4,LEN(INDEX('Structured 2025'!headerRow,1,COLUMN()))),ovrHeaderRow25,0))</f>
        <v>0.54700000000000004</v>
      </c>
      <c r="BY103" s="12">
        <f>INDEX(ovrTable25,MATCH(INDEX(oppCol,ROW()),ovrTeamCol25,0),MATCH(MID(INDEX('Structured 2025'!headerRow,1,COLUMN()),4,LEN(INDEX('Structured 2025'!headerRow,1,COLUMN()))),ovrHeaderRow25,0))</f>
        <v>6.03</v>
      </c>
      <c r="BZ103" s="12">
        <f>INDEX(ovrTable25,MATCH(INDEX(oppCol,ROW()),ovrTeamCol25,0),MATCH(MID(INDEX('Structured 2025'!headerRow,1,COLUMN()),4,LEN(INDEX('Structured 2025'!headerRow,1,COLUMN()))),ovrHeaderRow25,0))</f>
        <v>48.1</v>
      </c>
      <c r="CA103" s="12">
        <f>INDEX(ovrTable25,MATCH(INDEX(oppCol,ROW()),ovrTeamCol25,0),MATCH(MID(INDEX('Structured 2025'!headerRow,1,COLUMN()),4,LEN(INDEX('Structured 2025'!headerRow,1,COLUMN()))),ovrHeaderRow25,0))</f>
        <v>15.8</v>
      </c>
      <c r="CB103" s="12">
        <f>INDEX(ovrTable25,MATCH(INDEX(oppCol,ROW()),ovrTeamCol25,0),MATCH(MID(INDEX('Structured 2025'!headerRow,1,COLUMN()),4,LEN(INDEX('Structured 2025'!headerRow,1,COLUMN()))),ovrHeaderRow25,0))</f>
        <v>69.900000000000006</v>
      </c>
      <c r="CC103" s="12">
        <f>INDEX(ovrTable25,MATCH(INDEX(oppCol,ROW()),ovrTeamCol25,0),MATCH(MID(INDEX('Structured 2025'!headerRow,1,COLUMN()),4,LEN(INDEX('Structured 2025'!headerRow,1,COLUMN()))),ovrHeaderRow25,0))</f>
        <v>21.3</v>
      </c>
      <c r="CD103" s="12">
        <f>INDEX(ovrTable25,MATCH(INDEX(oppCol,ROW()),ovrTeamCol25,0),MATCH(MID(INDEX('Structured 2025'!headerRow,1,COLUMN()),4,LEN(INDEX('Structured 2025'!headerRow,1,COLUMN()))),ovrHeaderRow25,0))</f>
        <v>14.9</v>
      </c>
      <c r="CE103" s="12">
        <f>INDEX(ovrTable25,MATCH(INDEX(oppCol,ROW()),ovrTeamCol25,0),MATCH(MID(INDEX('Structured 2025'!headerRow,1,COLUMN()),4,LEN(INDEX('Structured 2025'!headerRow,1,COLUMN()))),ovrHeaderRow25,0))</f>
        <v>58.9</v>
      </c>
      <c r="CF103" s="12">
        <f>INDEX(ovrTable25,MATCH(INDEX(oppCol,ROW()),ovrTeamCol25,0),MATCH(MID(INDEX('Structured 2025'!headerRow,1,COLUMN()),4,LEN(INDEX('Structured 2025'!headerRow,1,COLUMN()))),ovrHeaderRow25,0))</f>
        <v>10.11</v>
      </c>
      <c r="CG103" s="12">
        <f>INDEX(ovrTable25,MATCH(INDEX(oppCol,ROW()),ovrTeamCol25,0),MATCH(MID(INDEX('Structured 2025'!headerRow,1,COLUMN()),4,LEN(INDEX('Structured 2025'!headerRow,1,COLUMN()))),ovrHeaderRow25,0))</f>
        <v>69.8</v>
      </c>
      <c r="CH103" s="12">
        <f>INDEX(ovrTable25,MATCH(INDEX(oppCol,ROW()),ovrTeamCol25,0),MATCH(MID(INDEX('Structured 2025'!headerRow,1,COLUMN()),4,LEN(INDEX('Structured 2025'!headerRow,1,COLUMN()))),ovrHeaderRow25,0))</f>
        <v>5.5</v>
      </c>
      <c r="CI103" s="12">
        <f>INDEX(ovrTable25,MATCH(INDEX(oppCol,ROW()),ovrTeamCol25,0),MATCH(MID(INDEX('Structured 2025'!headerRow,1,COLUMN()),4,LEN(INDEX('Structured 2025'!headerRow,1,COLUMN()))),ovrHeaderRow25,0))</f>
        <v>30.83</v>
      </c>
      <c r="CJ103" s="12">
        <f>INDEX(ovrTable25,MATCH(INDEX(oppCol,ROW()),ovrTeamCol25,0),MATCH(MID(INDEX('Structured 2025'!headerRow,1,COLUMN()),4,LEN(INDEX('Structured 2025'!headerRow,1,COLUMN()))),ovrHeaderRow25,0))</f>
        <v>10.9</v>
      </c>
      <c r="CK103" s="12">
        <f>INDEX(ovrTable25,MATCH(INDEX(oppCol,ROW()),ovrTeamCol25,0),MATCH(MID(INDEX('Structured 2025'!headerRow,1,COLUMN()),4,LEN(INDEX('Structured 2025'!headerRow,1,COLUMN()))),ovrHeaderRow25,0))</f>
        <v>8.9</v>
      </c>
      <c r="CL103" s="12">
        <f>INDEX(ovrTable25,MATCH(INDEX(oppCol,ROW()),ovrTeamCol25,0),MATCH(MID(INDEX('Structured 2025'!headerRow,1,COLUMN()),4,LEN(INDEX('Structured 2025'!headerRow,1,COLUMN()))),ovrHeaderRow25,0))</f>
        <v>2.5</v>
      </c>
      <c r="CM103" s="12">
        <f>INDEX(ovrTable25,MATCH(INDEX(oppCol,ROW()),ovrTeamCol25,0),MATCH(MID(INDEX('Structured 2025'!headerRow,1,COLUMN()),4,LEN(INDEX('Structured 2025'!headerRow,1,COLUMN()))),ovrHeaderRow25,0))</f>
        <v>13.6</v>
      </c>
      <c r="CN103" s="12">
        <f>INDEX(ovrTable25,MATCH(INDEX(oppCol,ROW()),ovrTeamCol25,0),MATCH(MID(INDEX('Structured 2025'!headerRow,1,COLUMN()),4,LEN(INDEX('Structured 2025'!headerRow,1,COLUMN()))),ovrHeaderRow25,0))</f>
        <v>11.1</v>
      </c>
      <c r="CO103" s="12">
        <f>INDEX(ovrTable25,MATCH(INDEX(oppCol,ROW()),ovrTeamCol25,0),MATCH(MID(INDEX('Structured 2025'!headerRow,1,COLUMN()),4,LEN(INDEX('Structured 2025'!headerRow,1,COLUMN()))),ovrHeaderRow25,0))</f>
        <v>59.4</v>
      </c>
      <c r="CP103" s="12">
        <f>INDEX(ovrTable25,MATCH(INDEX(oppCol,ROW()),ovrTeamCol25,0),MATCH(MID(INDEX('Structured 2025'!headerRow,1,COLUMN()),4,LEN(INDEX('Structured 2025'!headerRow,1,COLUMN()))),ovrHeaderRow25,0))</f>
        <v>17.55</v>
      </c>
      <c r="CQ103" s="12">
        <f>INDEX(ovrTable25,MATCH(INDEX(oppCol,ROW()),ovrTeamCol25,0),MATCH(MID(INDEX('Structured 2025'!headerRow,1,COLUMN()),4,LEN(INDEX('Structured 2025'!headerRow,1,COLUMN()))),ovrHeaderRow25,0))</f>
        <v>50.207900207900209</v>
      </c>
    </row>
    <row r="104" spans="1:95" x14ac:dyDescent="0.3">
      <c r="A104" s="6" t="s">
        <v>351</v>
      </c>
      <c r="B104" s="3">
        <v>10</v>
      </c>
      <c r="C104" s="13" t="str">
        <f>A105</f>
        <v>SJU</v>
      </c>
      <c r="D104" s="14">
        <f t="shared" si="111"/>
        <v>52</v>
      </c>
      <c r="E104" s="23">
        <v>9.0909090909090912E-2</v>
      </c>
      <c r="F104" s="24">
        <v>42.857142857142854</v>
      </c>
      <c r="G104" s="24">
        <v>2</v>
      </c>
      <c r="H104" s="23">
        <v>10.526315789473683</v>
      </c>
      <c r="I104" s="24">
        <v>19</v>
      </c>
      <c r="J104" s="25">
        <v>1.1111111111111112</v>
      </c>
      <c r="K104" s="24">
        <v>19</v>
      </c>
      <c r="L104" s="24">
        <v>27</v>
      </c>
      <c r="M104" s="24">
        <v>16</v>
      </c>
      <c r="N104" s="24">
        <v>29</v>
      </c>
      <c r="O104" s="24">
        <v>10</v>
      </c>
      <c r="P104" s="24">
        <v>5</v>
      </c>
      <c r="Q104" s="24">
        <v>7</v>
      </c>
      <c r="R104" s="24">
        <v>9</v>
      </c>
      <c r="S104" s="24">
        <v>11</v>
      </c>
      <c r="T104" s="24">
        <v>24</v>
      </c>
      <c r="U104" s="24">
        <v>24</v>
      </c>
      <c r="V104" s="24">
        <v>0.28000000000000003</v>
      </c>
      <c r="W104" s="26">
        <v>0.44444444444444442</v>
      </c>
      <c r="X104" s="23">
        <v>70.370370370370367</v>
      </c>
      <c r="Y104" s="24">
        <v>66</v>
      </c>
      <c r="Z104" s="24">
        <v>75</v>
      </c>
      <c r="AA104" s="24">
        <v>-6</v>
      </c>
      <c r="AB104" s="24">
        <v>45</v>
      </c>
      <c r="AC104" s="24">
        <v>9</v>
      </c>
      <c r="AD104" s="24">
        <v>-3</v>
      </c>
      <c r="AE104" s="24">
        <v>6</v>
      </c>
      <c r="AF104" s="34">
        <f t="shared" si="105"/>
        <v>25</v>
      </c>
      <c r="AG104" s="34">
        <f t="shared" si="106"/>
        <v>44</v>
      </c>
      <c r="AH104" s="46">
        <f t="shared" si="107"/>
        <v>68.825000000000003</v>
      </c>
      <c r="AI104" s="51">
        <f t="shared" ref="AI104" si="115">AVERAGE(AH104,AH105)</f>
        <v>68.275000000000006</v>
      </c>
      <c r="AJ104" s="12">
        <f>INDEX(ovrTable25,MATCH(INDEX('Structured 2025'!teamCol,ROW()),ovrTeamCol25,0),MATCH(MID(INDEX('Structured 2025'!headerRow,1,COLUMN()),4,LEN(INDEX('Structured 2025'!headerRow,1,COLUMN()))),ovrHeaderRow25,0))</f>
        <v>31.4</v>
      </c>
      <c r="AK104" s="12">
        <f>INDEX(ovrTable25,MATCH(INDEX('Structured 2025'!teamCol,ROW()),ovrTeamCol25,0),MATCH(MID(INDEX('Structured 2025'!headerRow,1,COLUMN()),4,LEN(INDEX('Structured 2025'!headerRow,1,COLUMN()))),ovrHeaderRow25,0))</f>
        <v>7</v>
      </c>
      <c r="AL104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M104" s="12">
        <f>INDEX(ovrTable25,MATCH(INDEX('Structured 2025'!teamCol,ROW()),ovrTeamCol25,0),MATCH(MID(INDEX('Structured 2025'!headerRow,1,COLUMN()),4,LEN(INDEX('Structured 2025'!headerRow,1,COLUMN()))),ovrHeaderRow25,0))</f>
        <v>21.5</v>
      </c>
      <c r="AN104" s="12">
        <f>INDEX(ovrTable25,MATCH(INDEX('Structured 2025'!teamCol,ROW()),ovrTeamCol25,0),MATCH(MID(INDEX('Structured 2025'!headerRow,1,COLUMN()),4,LEN(INDEX('Structured 2025'!headerRow,1,COLUMN()))),ovrHeaderRow25,0))</f>
        <v>1.23</v>
      </c>
      <c r="AO104" s="12">
        <f>INDEX(ovrTable25,MATCH(INDEX('Structured 2025'!teamCol,ROW()),ovrTeamCol25,0),MATCH(MID(INDEX('Structured 2025'!headerRow,1,COLUMN()),4,LEN(INDEX('Structured 2025'!headerRow,1,COLUMN()))),ovrHeaderRow25,0))</f>
        <v>14.2</v>
      </c>
      <c r="AP104" s="12">
        <f>INDEX(ovrTable25,MATCH(INDEX('Structured 2025'!teamCol,ROW()),ovrTeamCol25,0),MATCH(MID(INDEX('Structured 2025'!headerRow,1,COLUMN()),4,LEN(INDEX('Structured 2025'!headerRow,1,COLUMN()))),ovrHeaderRow25,0))</f>
        <v>16.670000000000002</v>
      </c>
      <c r="AQ104" s="12">
        <f>INDEX(ovrTable25,MATCH(INDEX('Structured 2025'!teamCol,ROW()),ovrTeamCol25,0),MATCH(MID(INDEX('Structured 2025'!headerRow,1,COLUMN()),4,LEN(INDEX('Structured 2025'!headerRow,1,COLUMN()))),ovrHeaderRow25,0))</f>
        <v>5.6</v>
      </c>
      <c r="AR104" s="12">
        <f>INDEX(ovrTable25,MATCH(INDEX('Structured 2025'!teamCol,ROW()),ovrTeamCol25,0),MATCH(MID(INDEX('Structured 2025'!headerRow,1,COLUMN()),4,LEN(INDEX('Structured 2025'!headerRow,1,COLUMN()))),ovrHeaderRow25,0))</f>
        <v>41.5</v>
      </c>
      <c r="AS104" s="12">
        <f>INDEX(ovrTable25,MATCH(INDEX('Structured 2025'!teamCol,ROW()),ovrTeamCol25,0),MATCH(MID(INDEX('Structured 2025'!headerRow,1,COLUMN()),4,LEN(INDEX('Structured 2025'!headerRow,1,COLUMN()))),ovrHeaderRow25,0))</f>
        <v>26.11</v>
      </c>
      <c r="AT104" s="12">
        <f>INDEX(ovrTable25,MATCH(INDEX('Structured 2025'!teamCol,ROW()),ovrTeamCol25,0),MATCH(MID(INDEX('Structured 2025'!headerRow,1,COLUMN()),4,LEN(INDEX('Structured 2025'!headerRow,1,COLUMN()))),ovrHeaderRow25,0))</f>
        <v>0.52200000000000002</v>
      </c>
      <c r="AU104" s="12">
        <f>INDEX(ovrTable25,MATCH(INDEX('Structured 2025'!teamCol,ROW()),ovrTeamCol25,0),MATCH(MID(INDEX('Structured 2025'!headerRow,1,COLUMN()),4,LEN(INDEX('Structured 2025'!headerRow,1,COLUMN()))),ovrHeaderRow25,0))</f>
        <v>12.22</v>
      </c>
      <c r="AV104" s="12">
        <f>INDEX(ovrTable25,MATCH(INDEX('Structured 2025'!teamCol,ROW()),ovrTeamCol25,0),MATCH(MID(INDEX('Structured 2025'!headerRow,1,COLUMN()),4,LEN(INDEX('Structured 2025'!headerRow,1,COLUMN()))),ovrHeaderRow25,0))</f>
        <v>46.2</v>
      </c>
      <c r="AW104" s="12">
        <f>INDEX(ovrTable25,MATCH(INDEX('Structured 2025'!teamCol,ROW()),ovrTeamCol25,0),MATCH(MID(INDEX('Structured 2025'!headerRow,1,COLUMN()),4,LEN(INDEX('Structured 2025'!headerRow,1,COLUMN()))),ovrHeaderRow25,0))</f>
        <v>16.2</v>
      </c>
      <c r="AX104" s="12">
        <f>INDEX(ovrTable25,MATCH(INDEX('Structured 2025'!teamCol,ROW()),ovrTeamCol25,0),MATCH(MID(INDEX('Structured 2025'!headerRow,1,COLUMN()),4,LEN(INDEX('Structured 2025'!headerRow,1,COLUMN()))),ovrHeaderRow25,0))</f>
        <v>73.900000000000006</v>
      </c>
      <c r="AY104" s="12">
        <f>INDEX(ovrTable25,MATCH(INDEX('Structured 2025'!teamCol,ROW()),ovrTeamCol25,0),MATCH(MID(INDEX('Structured 2025'!headerRow,1,COLUMN()),4,LEN(INDEX('Structured 2025'!headerRow,1,COLUMN()))),ovrHeaderRow25,0))</f>
        <v>20.9</v>
      </c>
      <c r="AZ104" s="12">
        <f>INDEX(ovrTable25,MATCH(INDEX('Structured 2025'!teamCol,ROW()),ovrTeamCol25,0),MATCH(MID(INDEX('Structured 2025'!headerRow,1,COLUMN()),4,LEN(INDEX('Structured 2025'!headerRow,1,COLUMN()))),ovrHeaderRow25,0))</f>
        <v>15.4</v>
      </c>
      <c r="BA104" s="12">
        <f>INDEX(ovrTable25,MATCH(INDEX('Structured 2025'!teamCol,ROW()),ovrTeamCol25,0),MATCH(MID(INDEX('Structured 2025'!headerRow,1,COLUMN()),4,LEN(INDEX('Structured 2025'!headerRow,1,COLUMN()))),ovrHeaderRow25,0))</f>
        <v>71.400000000000006</v>
      </c>
      <c r="BB104" s="12">
        <f>INDEX(ovrTable25,MATCH(INDEX('Structured 2025'!teamCol,ROW()),ovrTeamCol25,0),MATCH(MID(INDEX('Structured 2025'!headerRow,1,COLUMN()),4,LEN(INDEX('Structured 2025'!headerRow,1,COLUMN()))),ovrHeaderRow25,0))</f>
        <v>9.5299999999999994</v>
      </c>
      <c r="BC104" s="12">
        <f>INDEX(ovrTable25,MATCH(INDEX('Structured 2025'!teamCol,ROW()),ovrTeamCol25,0),MATCH(MID(INDEX('Structured 2025'!headerRow,1,COLUMN()),4,LEN(INDEX('Structured 2025'!headerRow,1,COLUMN()))),ovrHeaderRow25,0))</f>
        <v>76.8</v>
      </c>
      <c r="BD104" s="12">
        <f>INDEX(ovrTable25,MATCH(INDEX('Structured 2025'!teamCol,ROW()),ovrTeamCol25,0),MATCH(MID(INDEX('Structured 2025'!headerRow,1,COLUMN()),4,LEN(INDEX('Structured 2025'!headerRow,1,COLUMN()))),ovrHeaderRow25,0))</f>
        <v>0.1</v>
      </c>
      <c r="BE104" s="12">
        <f>INDEX(ovrTable25,MATCH(INDEX('Structured 2025'!teamCol,ROW()),ovrTeamCol25,0),MATCH(MID(INDEX('Structured 2025'!headerRow,1,COLUMN()),4,LEN(INDEX('Structured 2025'!headerRow,1,COLUMN()))),ovrHeaderRow25,0))</f>
        <v>35.64</v>
      </c>
      <c r="BF104" s="12">
        <f>INDEX(ovrTable25,MATCH(INDEX('Structured 2025'!teamCol,ROW()),ovrTeamCol25,0),MATCH(MID(INDEX('Structured 2025'!headerRow,1,COLUMN()),4,LEN(INDEX('Structured 2025'!headerRow,1,COLUMN()))),ovrHeaderRow25,0))</f>
        <v>5.4</v>
      </c>
      <c r="BG104" s="12">
        <f>INDEX(ovrTable25,MATCH(INDEX('Structured 2025'!teamCol,ROW()),ovrTeamCol25,0),MATCH(MID(INDEX('Structured 2025'!headerRow,1,COLUMN()),4,LEN(INDEX('Structured 2025'!headerRow,1,COLUMN()))),ovrHeaderRow25,0))</f>
        <v>7.5</v>
      </c>
      <c r="BH104" s="12">
        <f>INDEX(ovrTable25,MATCH(INDEX('Structured 2025'!teamCol,ROW()),ovrTeamCol25,0),MATCH(MID(INDEX('Structured 2025'!headerRow,1,COLUMN()),4,LEN(INDEX('Structured 2025'!headerRow,1,COLUMN()))),ovrHeaderRow25,0))</f>
        <v>0.7</v>
      </c>
      <c r="BI104" s="12">
        <f>INDEX(ovrTable25,MATCH(INDEX('Structured 2025'!teamCol,ROW()),ovrTeamCol25,0),MATCH(MID(INDEX('Structured 2025'!headerRow,1,COLUMN()),4,LEN(INDEX('Structured 2025'!headerRow,1,COLUMN()))),ovrHeaderRow25,0))</f>
        <v>12.19</v>
      </c>
      <c r="BJ104" s="12">
        <f>INDEX(ovrTable25,MATCH(INDEX('Structured 2025'!teamCol,ROW()),ovrTeamCol25,0),MATCH(MID(INDEX('Structured 2025'!headerRow,1,COLUMN()),4,LEN(INDEX('Structured 2025'!headerRow,1,COLUMN()))),ovrHeaderRow25,0))</f>
        <v>11.5</v>
      </c>
      <c r="BK104" s="12">
        <f>INDEX(ovrTable25,MATCH(INDEX('Structured 2025'!teamCol,ROW()),ovrTeamCol25,0),MATCH(MID(INDEX('Structured 2025'!headerRow,1,COLUMN()),4,LEN(INDEX('Structured 2025'!headerRow,1,COLUMN()))),ovrHeaderRow25,0))</f>
        <v>69.400000000000006</v>
      </c>
      <c r="BL104" s="12">
        <f>INDEX(ovrTable25,MATCH(INDEX('Structured 2025'!teamCol,ROW()),ovrTeamCol25,0),MATCH(MID(INDEX('Structured 2025'!headerRow,1,COLUMN()),4,LEN(INDEX('Structured 2025'!headerRow,1,COLUMN()))),ovrHeaderRow25,0))</f>
        <v>20.2</v>
      </c>
      <c r="BM104" s="12">
        <f>INDEX(ovrTable25,MATCH(INDEX('Structured 2025'!teamCol,ROW()),ovrTeamCol25,0),MATCH(MID(INDEX('Structured 2025'!headerRow,1,COLUMN()),4,LEN(INDEX('Structured 2025'!headerRow,1,COLUMN()))),ovrHeaderRow25,0))</f>
        <v>58.874458874458874</v>
      </c>
      <c r="BN104" s="12">
        <f>INDEX(ovrTable25,MATCH(INDEX(oppCol,ROW()),ovrTeamCol25,0),MATCH(MID(INDEX('Structured 2025'!headerRow,1,COLUMN()),4,LEN(INDEX('Structured 2025'!headerRow,1,COLUMN()))),ovrHeaderRow25,0))</f>
        <v>30.6</v>
      </c>
      <c r="BO104" s="12">
        <f>INDEX(ovrTable25,MATCH(INDEX(oppCol,ROW()),ovrTeamCol25,0),MATCH(MID(INDEX('Structured 2025'!headerRow,1,COLUMN()),4,LEN(INDEX('Structured 2025'!headerRow,1,COLUMN()))),ovrHeaderRow25,0))</f>
        <v>6.1</v>
      </c>
      <c r="BP104" s="12">
        <f>INDEX(ovrTable25,MATCH(INDEX(oppCol,ROW()),ovrTeamCol25,0),MATCH(MID(INDEX('Structured 2025'!headerRow,1,COLUMN()),4,LEN(INDEX('Structured 2025'!headerRow,1,COLUMN()))),ovrHeaderRow25,0))</f>
        <v>30.1</v>
      </c>
      <c r="BQ104" s="12">
        <f>INDEX(ovrTable25,MATCH(INDEX(oppCol,ROW()),ovrTeamCol25,0),MATCH(MID(INDEX('Structured 2025'!headerRow,1,COLUMN()),4,LEN(INDEX('Structured 2025'!headerRow,1,COLUMN()))),ovrHeaderRow25,0))</f>
        <v>20.399999999999999</v>
      </c>
      <c r="BR104" s="12">
        <f>INDEX(ovrTable25,MATCH(INDEX(oppCol,ROW()),ovrTeamCol25,0),MATCH(MID(INDEX('Structured 2025'!headerRow,1,COLUMN()),4,LEN(INDEX('Structured 2025'!headerRow,1,COLUMN()))),ovrHeaderRow25,0))</f>
        <v>1.44</v>
      </c>
      <c r="BS104" s="12">
        <f>INDEX(ovrTable25,MATCH(INDEX(oppCol,ROW()),ovrTeamCol25,0),MATCH(MID(INDEX('Structured 2025'!headerRow,1,COLUMN()),4,LEN(INDEX('Structured 2025'!headerRow,1,COLUMN()))),ovrHeaderRow25,0))</f>
        <v>15.7</v>
      </c>
      <c r="BT104" s="12">
        <f>INDEX(ovrTable25,MATCH(INDEX(oppCol,ROW()),ovrTeamCol25,0),MATCH(MID(INDEX('Structured 2025'!headerRow,1,COLUMN()),4,LEN(INDEX('Structured 2025'!headerRow,1,COLUMN()))),ovrHeaderRow25,0))</f>
        <v>15.33</v>
      </c>
      <c r="BU104" s="12">
        <f>INDEX(ovrTable25,MATCH(INDEX(oppCol,ROW()),ovrTeamCol25,0),MATCH(MID(INDEX('Structured 2025'!headerRow,1,COLUMN()),4,LEN(INDEX('Structured 2025'!headerRow,1,COLUMN()))),ovrHeaderRow25,0))</f>
        <v>5.2</v>
      </c>
      <c r="BV104" s="12">
        <f>INDEX(ovrTable25,MATCH(INDEX(oppCol,ROW()),ovrTeamCol25,0),MATCH(MID(INDEX('Structured 2025'!headerRow,1,COLUMN()),4,LEN(INDEX('Structured 2025'!headerRow,1,COLUMN()))),ovrHeaderRow25,0))</f>
        <v>39.700000000000003</v>
      </c>
      <c r="BW104" s="12">
        <f>INDEX(ovrTable25,MATCH(INDEX(oppCol,ROW()),ovrTeamCol25,0),MATCH(MID(INDEX('Structured 2025'!headerRow,1,COLUMN()),4,LEN(INDEX('Structured 2025'!headerRow,1,COLUMN()))),ovrHeaderRow25,0))</f>
        <v>26.44</v>
      </c>
      <c r="BX104" s="12">
        <f>INDEX(ovrTable25,MATCH(INDEX(oppCol,ROW()),ovrTeamCol25,0),MATCH(MID(INDEX('Structured 2025'!headerRow,1,COLUMN()),4,LEN(INDEX('Structured 2025'!headerRow,1,COLUMN()))),ovrHeaderRow25,0))</f>
        <v>0.49199999999999999</v>
      </c>
      <c r="BY104" s="12">
        <f>INDEX(ovrTable25,MATCH(INDEX(oppCol,ROW()),ovrTeamCol25,0),MATCH(MID(INDEX('Structured 2025'!headerRow,1,COLUMN()),4,LEN(INDEX('Structured 2025'!headerRow,1,COLUMN()))),ovrHeaderRow25,0))</f>
        <v>12.89</v>
      </c>
      <c r="BZ104" s="12">
        <f>INDEX(ovrTable25,MATCH(INDEX(oppCol,ROW()),ovrTeamCol25,0),MATCH(MID(INDEX('Structured 2025'!headerRow,1,COLUMN()),4,LEN(INDEX('Structured 2025'!headerRow,1,COLUMN()))),ovrHeaderRow25,0))</f>
        <v>44.5</v>
      </c>
      <c r="CA104" s="12">
        <f>INDEX(ovrTable25,MATCH(INDEX(oppCol,ROW()),ovrTeamCol25,0),MATCH(MID(INDEX('Structured 2025'!headerRow,1,COLUMN()),4,LEN(INDEX('Structured 2025'!headerRow,1,COLUMN()))),ovrHeaderRow25,0))</f>
        <v>16.7</v>
      </c>
      <c r="CB104" s="12">
        <f>INDEX(ovrTable25,MATCH(INDEX(oppCol,ROW()),ovrTeamCol25,0),MATCH(MID(INDEX('Structured 2025'!headerRow,1,COLUMN()),4,LEN(INDEX('Structured 2025'!headerRow,1,COLUMN()))),ovrHeaderRow25,0))</f>
        <v>69.099999999999994</v>
      </c>
      <c r="CC104" s="12">
        <f>INDEX(ovrTable25,MATCH(INDEX(oppCol,ROW()),ovrTeamCol25,0),MATCH(MID(INDEX('Structured 2025'!headerRow,1,COLUMN()),4,LEN(INDEX('Structured 2025'!headerRow,1,COLUMN()))),ovrHeaderRow25,0))</f>
        <v>19.899999999999999</v>
      </c>
      <c r="CD104" s="12">
        <f>INDEX(ovrTable25,MATCH(INDEX(oppCol,ROW()),ovrTeamCol25,0),MATCH(MID(INDEX('Structured 2025'!headerRow,1,COLUMN()),4,LEN(INDEX('Structured 2025'!headerRow,1,COLUMN()))),ovrHeaderRow25,0))</f>
        <v>13.8</v>
      </c>
      <c r="CE104" s="12">
        <f>INDEX(ovrTable25,MATCH(INDEX(oppCol,ROW()),ovrTeamCol25,0),MATCH(MID(INDEX('Structured 2025'!headerRow,1,COLUMN()),4,LEN(INDEX('Structured 2025'!headerRow,1,COLUMN()))),ovrHeaderRow25,0))</f>
        <v>65.8</v>
      </c>
      <c r="CF104" s="12">
        <f>INDEX(ovrTable25,MATCH(INDEX(oppCol,ROW()),ovrTeamCol25,0),MATCH(MID(INDEX('Structured 2025'!headerRow,1,COLUMN()),4,LEN(INDEX('Structured 2025'!headerRow,1,COLUMN()))),ovrHeaderRow25,0))</f>
        <v>14.86</v>
      </c>
      <c r="CG104" s="12">
        <f>INDEX(ovrTable25,MATCH(INDEX(oppCol,ROW()),ovrTeamCol25,0),MATCH(MID(INDEX('Structured 2025'!headerRow,1,COLUMN()),4,LEN(INDEX('Structured 2025'!headerRow,1,COLUMN()))),ovrHeaderRow25,0))</f>
        <v>78.5</v>
      </c>
      <c r="CH104" s="12">
        <f>INDEX(ovrTable25,MATCH(INDEX(oppCol,ROW()),ovrTeamCol25,0),MATCH(MID(INDEX('Structured 2025'!headerRow,1,COLUMN()),4,LEN(INDEX('Structured 2025'!headerRow,1,COLUMN()))),ovrHeaderRow25,0))</f>
        <v>5.8</v>
      </c>
      <c r="CI104" s="12">
        <f>INDEX(ovrTable25,MATCH(INDEX(oppCol,ROW()),ovrTeamCol25,0),MATCH(MID(INDEX('Structured 2025'!headerRow,1,COLUMN()),4,LEN(INDEX('Structured 2025'!headerRow,1,COLUMN()))),ovrHeaderRow25,0))</f>
        <v>41.31</v>
      </c>
      <c r="CJ104" s="12">
        <f>INDEX(ovrTable25,MATCH(INDEX(oppCol,ROW()),ovrTeamCol25,0),MATCH(MID(INDEX('Structured 2025'!headerRow,1,COLUMN()),4,LEN(INDEX('Structured 2025'!headerRow,1,COLUMN()))),ovrHeaderRow25,0))</f>
        <v>12.7</v>
      </c>
      <c r="CK104" s="12">
        <f>INDEX(ovrTable25,MATCH(INDEX(oppCol,ROW()),ovrTeamCol25,0),MATCH(MID(INDEX('Structured 2025'!headerRow,1,COLUMN()),4,LEN(INDEX('Structured 2025'!headerRow,1,COLUMN()))),ovrHeaderRow25,0))</f>
        <v>8.9</v>
      </c>
      <c r="CL104" s="12">
        <f>INDEX(ovrTable25,MATCH(INDEX(oppCol,ROW()),ovrTeamCol25,0),MATCH(MID(INDEX('Structured 2025'!headerRow,1,COLUMN()),4,LEN(INDEX('Structured 2025'!headerRow,1,COLUMN()))),ovrHeaderRow25,0))</f>
        <v>4.3</v>
      </c>
      <c r="CM104" s="12">
        <f>INDEX(ovrTable25,MATCH(INDEX(oppCol,ROW()),ovrTeamCol25,0),MATCH(MID(INDEX('Structured 2025'!headerRow,1,COLUMN()),4,LEN(INDEX('Structured 2025'!headerRow,1,COLUMN()))),ovrHeaderRow25,0))</f>
        <v>15.19</v>
      </c>
      <c r="CN104" s="12">
        <f>INDEX(ovrTable25,MATCH(INDEX(oppCol,ROW()),ovrTeamCol25,0),MATCH(MID(INDEX('Structured 2025'!headerRow,1,COLUMN()),4,LEN(INDEX('Structured 2025'!headerRow,1,COLUMN()))),ovrHeaderRow25,0))</f>
        <v>10.9</v>
      </c>
      <c r="CO104" s="12">
        <f>INDEX(ovrTable25,MATCH(INDEX(oppCol,ROW()),ovrTeamCol25,0),MATCH(MID(INDEX('Structured 2025'!headerRow,1,COLUMN()),4,LEN(INDEX('Structured 2025'!headerRow,1,COLUMN()))),ovrHeaderRow25,0))</f>
        <v>70</v>
      </c>
      <c r="CP104" s="12">
        <f>INDEX(ovrTable25,MATCH(INDEX(oppCol,ROW()),ovrTeamCol25,0),MATCH(MID(INDEX('Structured 2025'!headerRow,1,COLUMN()),4,LEN(INDEX('Structured 2025'!headerRow,1,COLUMN()))),ovrHeaderRow25,0))</f>
        <v>23.200000000000003</v>
      </c>
      <c r="CQ104" s="12">
        <f>INDEX(ovrTable25,MATCH(INDEX(oppCol,ROW()),ovrTeamCol25,0),MATCH(MID(INDEX('Structured 2025'!headerRow,1,COLUMN()),4,LEN(INDEX('Structured 2025'!headerRow,1,COLUMN()))),ovrHeaderRow25,0))</f>
        <v>65.842696629213492</v>
      </c>
    </row>
    <row r="105" spans="1:95" x14ac:dyDescent="0.3">
      <c r="A105" s="6" t="s">
        <v>358</v>
      </c>
      <c r="B105" s="3">
        <v>2</v>
      </c>
      <c r="C105" s="13" t="str">
        <f>A104</f>
        <v>ARK</v>
      </c>
      <c r="D105" s="14">
        <f t="shared" si="111"/>
        <v>52</v>
      </c>
      <c r="E105" s="23">
        <v>0.10526315789473684</v>
      </c>
      <c r="F105" s="24">
        <v>28.000000000000004</v>
      </c>
      <c r="G105" s="24">
        <v>2</v>
      </c>
      <c r="H105" s="23">
        <v>9.0909090909090917</v>
      </c>
      <c r="I105" s="24">
        <v>22</v>
      </c>
      <c r="J105" s="25">
        <v>0.83333333333333337</v>
      </c>
      <c r="K105" s="24">
        <v>22</v>
      </c>
      <c r="L105" s="24">
        <v>31</v>
      </c>
      <c r="M105" s="24">
        <v>28</v>
      </c>
      <c r="N105" s="24">
        <v>23</v>
      </c>
      <c r="O105" s="24">
        <v>5</v>
      </c>
      <c r="P105" s="24">
        <v>5</v>
      </c>
      <c r="Q105" s="24">
        <v>3</v>
      </c>
      <c r="R105" s="24">
        <v>6</v>
      </c>
      <c r="S105" s="24">
        <v>5</v>
      </c>
      <c r="T105" s="24">
        <v>20</v>
      </c>
      <c r="U105" s="24">
        <v>20</v>
      </c>
      <c r="V105" s="24">
        <v>0.42857142857142855</v>
      </c>
      <c r="W105" s="26">
        <v>0.29333333333333339</v>
      </c>
      <c r="X105" s="23">
        <v>70.967741935483872</v>
      </c>
      <c r="Y105" s="24">
        <v>75</v>
      </c>
      <c r="Z105" s="24">
        <v>66</v>
      </c>
      <c r="AA105" s="24">
        <v>6</v>
      </c>
      <c r="AB105" s="24">
        <v>51</v>
      </c>
      <c r="AC105" s="24">
        <v>-9</v>
      </c>
      <c r="AD105" s="24">
        <v>3</v>
      </c>
      <c r="AE105" s="24">
        <v>9</v>
      </c>
      <c r="AF105" s="34">
        <f t="shared" si="105"/>
        <v>19</v>
      </c>
      <c r="AG105" s="34">
        <f t="shared" si="106"/>
        <v>52.999999999999986</v>
      </c>
      <c r="AH105" s="46">
        <f t="shared" si="107"/>
        <v>67.724999999999994</v>
      </c>
      <c r="AI105" s="51">
        <f t="shared" ref="AI105" si="116">AVERAGE(AH104,AH105)</f>
        <v>68.275000000000006</v>
      </c>
      <c r="AJ105" s="12">
        <f>INDEX(ovrTable25,MATCH(INDEX('Structured 2025'!teamCol,ROW()),ovrTeamCol25,0),MATCH(MID(INDEX('Structured 2025'!headerRow,1,COLUMN()),4,LEN(INDEX('Structured 2025'!headerRow,1,COLUMN()))),ovrHeaderRow25,0))</f>
        <v>30.6</v>
      </c>
      <c r="AK105" s="12">
        <f>INDEX(ovrTable25,MATCH(INDEX('Structured 2025'!teamCol,ROW()),ovrTeamCol25,0),MATCH(MID(INDEX('Structured 2025'!headerRow,1,COLUMN()),4,LEN(INDEX('Structured 2025'!headerRow,1,COLUMN()))),ovrHeaderRow25,0))</f>
        <v>6.1</v>
      </c>
      <c r="AL105" s="12">
        <f>INDEX(ovrTable25,MATCH(INDEX('Structured 2025'!teamCol,ROW()),ovrTeamCol25,0),MATCH(MID(INDEX('Structured 2025'!headerRow,1,COLUMN()),4,LEN(INDEX('Structured 2025'!headerRow,1,COLUMN()))),ovrHeaderRow25,0))</f>
        <v>30.1</v>
      </c>
      <c r="AM105" s="12">
        <f>INDEX(ovrTable25,MATCH(INDEX('Structured 2025'!teamCol,ROW()),ovrTeamCol25,0),MATCH(MID(INDEX('Structured 2025'!headerRow,1,COLUMN()),4,LEN(INDEX('Structured 2025'!headerRow,1,COLUMN()))),ovrHeaderRow25,0))</f>
        <v>20.399999999999999</v>
      </c>
      <c r="AN105" s="12">
        <f>INDEX(ovrTable25,MATCH(INDEX('Structured 2025'!teamCol,ROW()),ovrTeamCol25,0),MATCH(MID(INDEX('Structured 2025'!headerRow,1,COLUMN()),4,LEN(INDEX('Structured 2025'!headerRow,1,COLUMN()))),ovrHeaderRow25,0))</f>
        <v>1.44</v>
      </c>
      <c r="AO105" s="12">
        <f>INDEX(ovrTable25,MATCH(INDEX('Structured 2025'!teamCol,ROW()),ovrTeamCol25,0),MATCH(MID(INDEX('Structured 2025'!headerRow,1,COLUMN()),4,LEN(INDEX('Structured 2025'!headerRow,1,COLUMN()))),ovrHeaderRow25,0))</f>
        <v>15.7</v>
      </c>
      <c r="AP105" s="12">
        <f>INDEX(ovrTable25,MATCH(INDEX('Structured 2025'!teamCol,ROW()),ovrTeamCol25,0),MATCH(MID(INDEX('Structured 2025'!headerRow,1,COLUMN()),4,LEN(INDEX('Structured 2025'!headerRow,1,COLUMN()))),ovrHeaderRow25,0))</f>
        <v>15.33</v>
      </c>
      <c r="AQ105" s="12">
        <f>INDEX(ovrTable25,MATCH(INDEX('Structured 2025'!teamCol,ROW()),ovrTeamCol25,0),MATCH(MID(INDEX('Structured 2025'!headerRow,1,COLUMN()),4,LEN(INDEX('Structured 2025'!headerRow,1,COLUMN()))),ovrHeaderRow25,0))</f>
        <v>5.2</v>
      </c>
      <c r="AR105" s="12">
        <f>INDEX(ovrTable25,MATCH(INDEX('Structured 2025'!teamCol,ROW()),ovrTeamCol25,0),MATCH(MID(INDEX('Structured 2025'!headerRow,1,COLUMN()),4,LEN(INDEX('Structured 2025'!headerRow,1,COLUMN()))),ovrHeaderRow25,0))</f>
        <v>39.700000000000003</v>
      </c>
      <c r="AS105" s="12">
        <f>INDEX(ovrTable25,MATCH(INDEX('Structured 2025'!teamCol,ROW()),ovrTeamCol25,0),MATCH(MID(INDEX('Structured 2025'!headerRow,1,COLUMN()),4,LEN(INDEX('Structured 2025'!headerRow,1,COLUMN()))),ovrHeaderRow25,0))</f>
        <v>26.44</v>
      </c>
      <c r="AT105" s="12">
        <f>INDEX(ovrTable25,MATCH(INDEX('Structured 2025'!teamCol,ROW()),ovrTeamCol25,0),MATCH(MID(INDEX('Structured 2025'!headerRow,1,COLUMN()),4,LEN(INDEX('Structured 2025'!headerRow,1,COLUMN()))),ovrHeaderRow25,0))</f>
        <v>0.49199999999999999</v>
      </c>
      <c r="AU105" s="12">
        <f>INDEX(ovrTable25,MATCH(INDEX('Structured 2025'!teamCol,ROW()),ovrTeamCol25,0),MATCH(MID(INDEX('Structured 2025'!headerRow,1,COLUMN()),4,LEN(INDEX('Structured 2025'!headerRow,1,COLUMN()))),ovrHeaderRow25,0))</f>
        <v>12.89</v>
      </c>
      <c r="AV105" s="12">
        <f>INDEX(ovrTable25,MATCH(INDEX('Structured 2025'!teamCol,ROW()),ovrTeamCol25,0),MATCH(MID(INDEX('Structured 2025'!headerRow,1,COLUMN()),4,LEN(INDEX('Structured 2025'!headerRow,1,COLUMN()))),ovrHeaderRow25,0))</f>
        <v>44.5</v>
      </c>
      <c r="AW105" s="12">
        <f>INDEX(ovrTable25,MATCH(INDEX('Structured 2025'!teamCol,ROW()),ovrTeamCol25,0),MATCH(MID(INDEX('Structured 2025'!headerRow,1,COLUMN()),4,LEN(INDEX('Structured 2025'!headerRow,1,COLUMN()))),ovrHeaderRow25,0))</f>
        <v>16.7</v>
      </c>
      <c r="AX105" s="12">
        <f>INDEX(ovrTable25,MATCH(INDEX('Structured 2025'!teamCol,ROW()),ovrTeamCol25,0),MATCH(MID(INDEX('Structured 2025'!headerRow,1,COLUMN()),4,LEN(INDEX('Structured 2025'!headerRow,1,COLUMN()))),ovrHeaderRow25,0))</f>
        <v>69.099999999999994</v>
      </c>
      <c r="AY105" s="12">
        <f>INDEX(ovrTable25,MATCH(INDEX('Structured 2025'!teamCol,ROW()),ovrTeamCol25,0),MATCH(MID(INDEX('Structured 2025'!headerRow,1,COLUMN()),4,LEN(INDEX('Structured 2025'!headerRow,1,COLUMN()))),ovrHeaderRow25,0))</f>
        <v>19.899999999999999</v>
      </c>
      <c r="AZ105" s="12">
        <f>INDEX(ovrTable25,MATCH(INDEX('Structured 2025'!teamCol,ROW()),ovrTeamCol25,0),MATCH(MID(INDEX('Structured 2025'!headerRow,1,COLUMN()),4,LEN(INDEX('Structured 2025'!headerRow,1,COLUMN()))),ovrHeaderRow25,0))</f>
        <v>13.8</v>
      </c>
      <c r="BA105" s="12">
        <f>INDEX(ovrTable25,MATCH(INDEX('Structured 2025'!teamCol,ROW()),ovrTeamCol25,0),MATCH(MID(INDEX('Structured 2025'!headerRow,1,COLUMN()),4,LEN(INDEX('Structured 2025'!headerRow,1,COLUMN()))),ovrHeaderRow25,0))</f>
        <v>65.8</v>
      </c>
      <c r="BB105" s="12">
        <f>INDEX(ovrTable25,MATCH(INDEX('Structured 2025'!teamCol,ROW()),ovrTeamCol25,0),MATCH(MID(INDEX('Structured 2025'!headerRow,1,COLUMN()),4,LEN(INDEX('Structured 2025'!headerRow,1,COLUMN()))),ovrHeaderRow25,0))</f>
        <v>14.86</v>
      </c>
      <c r="BC105" s="12">
        <f>INDEX(ovrTable25,MATCH(INDEX('Structured 2025'!teamCol,ROW()),ovrTeamCol25,0),MATCH(MID(INDEX('Structured 2025'!headerRow,1,COLUMN()),4,LEN(INDEX('Structured 2025'!headerRow,1,COLUMN()))),ovrHeaderRow25,0))</f>
        <v>78.5</v>
      </c>
      <c r="BD105" s="12">
        <f>INDEX(ovrTable25,MATCH(INDEX('Structured 2025'!teamCol,ROW()),ovrTeamCol25,0),MATCH(MID(INDEX('Structured 2025'!headerRow,1,COLUMN()),4,LEN(INDEX('Structured 2025'!headerRow,1,COLUMN()))),ovrHeaderRow25,0))</f>
        <v>5.8</v>
      </c>
      <c r="BE105" s="12">
        <f>INDEX(ovrTable25,MATCH(INDEX('Structured 2025'!teamCol,ROW()),ovrTeamCol25,0),MATCH(MID(INDEX('Structured 2025'!headerRow,1,COLUMN()),4,LEN(INDEX('Structured 2025'!headerRow,1,COLUMN()))),ovrHeaderRow25,0))</f>
        <v>41.31</v>
      </c>
      <c r="BF105" s="12">
        <f>INDEX(ovrTable25,MATCH(INDEX('Structured 2025'!teamCol,ROW()),ovrTeamCol25,0),MATCH(MID(INDEX('Structured 2025'!headerRow,1,COLUMN()),4,LEN(INDEX('Structured 2025'!headerRow,1,COLUMN()))),ovrHeaderRow25,0))</f>
        <v>12.7</v>
      </c>
      <c r="BG105" s="12">
        <f>INDEX(ovrTable25,MATCH(INDEX('Structured 2025'!teamCol,ROW()),ovrTeamCol25,0),MATCH(MID(INDEX('Structured 2025'!headerRow,1,COLUMN()),4,LEN(INDEX('Structured 2025'!headerRow,1,COLUMN()))),ovrHeaderRow25,0))</f>
        <v>8.9</v>
      </c>
      <c r="BH105" s="12">
        <f>INDEX(ovrTable25,MATCH(INDEX('Structured 2025'!teamCol,ROW()),ovrTeamCol25,0),MATCH(MID(INDEX('Structured 2025'!headerRow,1,COLUMN()),4,LEN(INDEX('Structured 2025'!headerRow,1,COLUMN()))),ovrHeaderRow25,0))</f>
        <v>4.3</v>
      </c>
      <c r="BI105" s="12">
        <f>INDEX(ovrTable25,MATCH(INDEX('Structured 2025'!teamCol,ROW()),ovrTeamCol25,0),MATCH(MID(INDEX('Structured 2025'!headerRow,1,COLUMN()),4,LEN(INDEX('Structured 2025'!headerRow,1,COLUMN()))),ovrHeaderRow25,0))</f>
        <v>15.19</v>
      </c>
      <c r="BJ105" s="12">
        <f>INDEX(ovrTable25,MATCH(INDEX('Structured 2025'!teamCol,ROW()),ovrTeamCol25,0),MATCH(MID(INDEX('Structured 2025'!headerRow,1,COLUMN()),4,LEN(INDEX('Structured 2025'!headerRow,1,COLUMN()))),ovrHeaderRow25,0))</f>
        <v>10.9</v>
      </c>
      <c r="BK105" s="12">
        <f>INDEX(ovrTable25,MATCH(INDEX('Structured 2025'!teamCol,ROW()),ovrTeamCol25,0),MATCH(MID(INDEX('Structured 2025'!headerRow,1,COLUMN()),4,LEN(INDEX('Structured 2025'!headerRow,1,COLUMN()))),ovrHeaderRow25,0))</f>
        <v>70</v>
      </c>
      <c r="BL105" s="12">
        <f>INDEX(ovrTable25,MATCH(INDEX('Structured 2025'!teamCol,ROW()),ovrTeamCol25,0),MATCH(MID(INDEX('Structured 2025'!headerRow,1,COLUMN()),4,LEN(INDEX('Structured 2025'!headerRow,1,COLUMN()))),ovrHeaderRow25,0))</f>
        <v>23.200000000000003</v>
      </c>
      <c r="BM105" s="12">
        <f>INDEX(ovrTable25,MATCH(INDEX('Structured 2025'!teamCol,ROW()),ovrTeamCol25,0),MATCH(MID(INDEX('Structured 2025'!headerRow,1,COLUMN()),4,LEN(INDEX('Structured 2025'!headerRow,1,COLUMN()))),ovrHeaderRow25,0))</f>
        <v>65.842696629213492</v>
      </c>
      <c r="BN105" s="12">
        <f>INDEX(ovrTable25,MATCH(INDEX(oppCol,ROW()),ovrTeamCol25,0),MATCH(MID(INDEX('Structured 2025'!headerRow,1,COLUMN()),4,LEN(INDEX('Structured 2025'!headerRow,1,COLUMN()))),ovrHeaderRow25,0))</f>
        <v>31.4</v>
      </c>
      <c r="BO105" s="12">
        <f>INDEX(ovrTable25,MATCH(INDEX(oppCol,ROW()),ovrTeamCol25,0),MATCH(MID(INDEX('Structured 2025'!headerRow,1,COLUMN()),4,LEN(INDEX('Structured 2025'!headerRow,1,COLUMN()))),ovrHeaderRow25,0))</f>
        <v>7</v>
      </c>
      <c r="BP105" s="12">
        <f>INDEX(ovrTable25,MATCH(INDEX(oppCol,ROW()),ovrTeamCol25,0),MATCH(MID(INDEX('Structured 2025'!headerRow,1,COLUMN()),4,LEN(INDEX('Structured 2025'!headerRow,1,COLUMN()))),ovrHeaderRow25,0))</f>
        <v>32.700000000000003</v>
      </c>
      <c r="BQ105" s="12">
        <f>INDEX(ovrTable25,MATCH(INDEX(oppCol,ROW()),ovrTeamCol25,0),MATCH(MID(INDEX('Structured 2025'!headerRow,1,COLUMN()),4,LEN(INDEX('Structured 2025'!headerRow,1,COLUMN()))),ovrHeaderRow25,0))</f>
        <v>21.5</v>
      </c>
      <c r="BR105" s="12">
        <f>INDEX(ovrTable25,MATCH(INDEX(oppCol,ROW()),ovrTeamCol25,0),MATCH(MID(INDEX('Structured 2025'!headerRow,1,COLUMN()),4,LEN(INDEX('Structured 2025'!headerRow,1,COLUMN()))),ovrHeaderRow25,0))</f>
        <v>1.23</v>
      </c>
      <c r="BS105" s="12">
        <f>INDEX(ovrTable25,MATCH(INDEX(oppCol,ROW()),ovrTeamCol25,0),MATCH(MID(INDEX('Structured 2025'!headerRow,1,COLUMN()),4,LEN(INDEX('Structured 2025'!headerRow,1,COLUMN()))),ovrHeaderRow25,0))</f>
        <v>14.2</v>
      </c>
      <c r="BT105" s="12">
        <f>INDEX(ovrTable25,MATCH(INDEX(oppCol,ROW()),ovrTeamCol25,0),MATCH(MID(INDEX('Structured 2025'!headerRow,1,COLUMN()),4,LEN(INDEX('Structured 2025'!headerRow,1,COLUMN()))),ovrHeaderRow25,0))</f>
        <v>16.670000000000002</v>
      </c>
      <c r="BU105" s="12">
        <f>INDEX(ovrTable25,MATCH(INDEX(oppCol,ROW()),ovrTeamCol25,0),MATCH(MID(INDEX('Structured 2025'!headerRow,1,COLUMN()),4,LEN(INDEX('Structured 2025'!headerRow,1,COLUMN()))),ovrHeaderRow25,0))</f>
        <v>5.6</v>
      </c>
      <c r="BV105" s="12">
        <f>INDEX(ovrTable25,MATCH(INDEX(oppCol,ROW()),ovrTeamCol25,0),MATCH(MID(INDEX('Structured 2025'!headerRow,1,COLUMN()),4,LEN(INDEX('Structured 2025'!headerRow,1,COLUMN()))),ovrHeaderRow25,0))</f>
        <v>41.5</v>
      </c>
      <c r="BW105" s="12">
        <f>INDEX(ovrTable25,MATCH(INDEX(oppCol,ROW()),ovrTeamCol25,0),MATCH(MID(INDEX('Structured 2025'!headerRow,1,COLUMN()),4,LEN(INDEX('Structured 2025'!headerRow,1,COLUMN()))),ovrHeaderRow25,0))</f>
        <v>26.11</v>
      </c>
      <c r="BX105" s="12">
        <f>INDEX(ovrTable25,MATCH(INDEX(oppCol,ROW()),ovrTeamCol25,0),MATCH(MID(INDEX('Structured 2025'!headerRow,1,COLUMN()),4,LEN(INDEX('Structured 2025'!headerRow,1,COLUMN()))),ovrHeaderRow25,0))</f>
        <v>0.52200000000000002</v>
      </c>
      <c r="BY105" s="12">
        <f>INDEX(ovrTable25,MATCH(INDEX(oppCol,ROW()),ovrTeamCol25,0),MATCH(MID(INDEX('Structured 2025'!headerRow,1,COLUMN()),4,LEN(INDEX('Structured 2025'!headerRow,1,COLUMN()))),ovrHeaderRow25,0))</f>
        <v>12.22</v>
      </c>
      <c r="BZ105" s="12">
        <f>INDEX(ovrTable25,MATCH(INDEX(oppCol,ROW()),ovrTeamCol25,0),MATCH(MID(INDEX('Structured 2025'!headerRow,1,COLUMN()),4,LEN(INDEX('Structured 2025'!headerRow,1,COLUMN()))),ovrHeaderRow25,0))</f>
        <v>46.2</v>
      </c>
      <c r="CA105" s="12">
        <f>INDEX(ovrTable25,MATCH(INDEX(oppCol,ROW()),ovrTeamCol25,0),MATCH(MID(INDEX('Structured 2025'!headerRow,1,COLUMN()),4,LEN(INDEX('Structured 2025'!headerRow,1,COLUMN()))),ovrHeaderRow25,0))</f>
        <v>16.2</v>
      </c>
      <c r="CB105" s="12">
        <f>INDEX(ovrTable25,MATCH(INDEX(oppCol,ROW()),ovrTeamCol25,0),MATCH(MID(INDEX('Structured 2025'!headerRow,1,COLUMN()),4,LEN(INDEX('Structured 2025'!headerRow,1,COLUMN()))),ovrHeaderRow25,0))</f>
        <v>73.900000000000006</v>
      </c>
      <c r="CC105" s="12">
        <f>INDEX(ovrTable25,MATCH(INDEX(oppCol,ROW()),ovrTeamCol25,0),MATCH(MID(INDEX('Structured 2025'!headerRow,1,COLUMN()),4,LEN(INDEX('Structured 2025'!headerRow,1,COLUMN()))),ovrHeaderRow25,0))</f>
        <v>20.9</v>
      </c>
      <c r="CD105" s="12">
        <f>INDEX(ovrTable25,MATCH(INDEX(oppCol,ROW()),ovrTeamCol25,0),MATCH(MID(INDEX('Structured 2025'!headerRow,1,COLUMN()),4,LEN(INDEX('Structured 2025'!headerRow,1,COLUMN()))),ovrHeaderRow25,0))</f>
        <v>15.4</v>
      </c>
      <c r="CE105" s="12">
        <f>INDEX(ovrTable25,MATCH(INDEX(oppCol,ROW()),ovrTeamCol25,0),MATCH(MID(INDEX('Structured 2025'!headerRow,1,COLUMN()),4,LEN(INDEX('Structured 2025'!headerRow,1,COLUMN()))),ovrHeaderRow25,0))</f>
        <v>71.400000000000006</v>
      </c>
      <c r="CF105" s="12">
        <f>INDEX(ovrTable25,MATCH(INDEX(oppCol,ROW()),ovrTeamCol25,0),MATCH(MID(INDEX('Structured 2025'!headerRow,1,COLUMN()),4,LEN(INDEX('Structured 2025'!headerRow,1,COLUMN()))),ovrHeaderRow25,0))</f>
        <v>9.5299999999999994</v>
      </c>
      <c r="CG105" s="12">
        <f>INDEX(ovrTable25,MATCH(INDEX(oppCol,ROW()),ovrTeamCol25,0),MATCH(MID(INDEX('Structured 2025'!headerRow,1,COLUMN()),4,LEN(INDEX('Structured 2025'!headerRow,1,COLUMN()))),ovrHeaderRow25,0))</f>
        <v>76.8</v>
      </c>
      <c r="CH105" s="12">
        <f>INDEX(ovrTable25,MATCH(INDEX(oppCol,ROW()),ovrTeamCol25,0),MATCH(MID(INDEX('Structured 2025'!headerRow,1,COLUMN()),4,LEN(INDEX('Structured 2025'!headerRow,1,COLUMN()))),ovrHeaderRow25,0))</f>
        <v>0.1</v>
      </c>
      <c r="CI105" s="12">
        <f>INDEX(ovrTable25,MATCH(INDEX(oppCol,ROW()),ovrTeamCol25,0),MATCH(MID(INDEX('Structured 2025'!headerRow,1,COLUMN()),4,LEN(INDEX('Structured 2025'!headerRow,1,COLUMN()))),ovrHeaderRow25,0))</f>
        <v>35.64</v>
      </c>
      <c r="CJ105" s="12">
        <f>INDEX(ovrTable25,MATCH(INDEX(oppCol,ROW()),ovrTeamCol25,0),MATCH(MID(INDEX('Structured 2025'!headerRow,1,COLUMN()),4,LEN(INDEX('Structured 2025'!headerRow,1,COLUMN()))),ovrHeaderRow25,0))</f>
        <v>5.4</v>
      </c>
      <c r="CK105" s="12">
        <f>INDEX(ovrTable25,MATCH(INDEX(oppCol,ROW()),ovrTeamCol25,0),MATCH(MID(INDEX('Structured 2025'!headerRow,1,COLUMN()),4,LEN(INDEX('Structured 2025'!headerRow,1,COLUMN()))),ovrHeaderRow25,0))</f>
        <v>7.5</v>
      </c>
      <c r="CL105" s="12">
        <f>INDEX(ovrTable25,MATCH(INDEX(oppCol,ROW()),ovrTeamCol25,0),MATCH(MID(INDEX('Structured 2025'!headerRow,1,COLUMN()),4,LEN(INDEX('Structured 2025'!headerRow,1,COLUMN()))),ovrHeaderRow25,0))</f>
        <v>0.7</v>
      </c>
      <c r="CM105" s="12">
        <f>INDEX(ovrTable25,MATCH(INDEX(oppCol,ROW()),ovrTeamCol25,0),MATCH(MID(INDEX('Structured 2025'!headerRow,1,COLUMN()),4,LEN(INDEX('Structured 2025'!headerRow,1,COLUMN()))),ovrHeaderRow25,0))</f>
        <v>12.19</v>
      </c>
      <c r="CN105" s="12">
        <f>INDEX(ovrTable25,MATCH(INDEX(oppCol,ROW()),ovrTeamCol25,0),MATCH(MID(INDEX('Structured 2025'!headerRow,1,COLUMN()),4,LEN(INDEX('Structured 2025'!headerRow,1,COLUMN()))),ovrHeaderRow25,0))</f>
        <v>11.5</v>
      </c>
      <c r="CO105" s="12">
        <f>INDEX(ovrTable25,MATCH(INDEX(oppCol,ROW()),ovrTeamCol25,0),MATCH(MID(INDEX('Structured 2025'!headerRow,1,COLUMN()),4,LEN(INDEX('Structured 2025'!headerRow,1,COLUMN()))),ovrHeaderRow25,0))</f>
        <v>69.400000000000006</v>
      </c>
      <c r="CP105" s="12">
        <f>INDEX(ovrTable25,MATCH(INDEX(oppCol,ROW()),ovrTeamCol25,0),MATCH(MID(INDEX('Structured 2025'!headerRow,1,COLUMN()),4,LEN(INDEX('Structured 2025'!headerRow,1,COLUMN()))),ovrHeaderRow25,0))</f>
        <v>20.2</v>
      </c>
      <c r="CQ105" s="12">
        <f>INDEX(ovrTable25,MATCH(INDEX(oppCol,ROW()),ovrTeamCol25,0),MATCH(MID(INDEX('Structured 2025'!headerRow,1,COLUMN()),4,LEN(INDEX('Structured 2025'!headerRow,1,COLUMN()))),ovrHeaderRow25,0))</f>
        <v>58.874458874458874</v>
      </c>
    </row>
    <row r="106" spans="1:95" x14ac:dyDescent="0.3">
      <c r="A106" s="6" t="s">
        <v>5</v>
      </c>
      <c r="B106" s="3">
        <v>1</v>
      </c>
      <c r="C106" s="13" t="str">
        <f>A107</f>
        <v>MICH</v>
      </c>
      <c r="D106" s="14">
        <f t="shared" si="111"/>
        <v>53</v>
      </c>
      <c r="E106" s="23">
        <v>0.29411764705882354</v>
      </c>
      <c r="F106" s="24">
        <v>39.436619718309856</v>
      </c>
      <c r="G106" s="24">
        <v>8</v>
      </c>
      <c r="H106" s="23">
        <v>28.571428571428569</v>
      </c>
      <c r="I106" s="24">
        <v>28</v>
      </c>
      <c r="J106" s="25">
        <v>1</v>
      </c>
      <c r="K106" s="24">
        <v>14</v>
      </c>
      <c r="L106" s="24">
        <v>18</v>
      </c>
      <c r="M106" s="24">
        <v>19</v>
      </c>
      <c r="N106" s="24">
        <v>29</v>
      </c>
      <c r="O106" s="24">
        <v>15</v>
      </c>
      <c r="P106" s="24">
        <v>9</v>
      </c>
      <c r="Q106" s="24">
        <v>5</v>
      </c>
      <c r="R106" s="24">
        <v>15</v>
      </c>
      <c r="S106" s="24">
        <v>12</v>
      </c>
      <c r="T106" s="24">
        <v>19</v>
      </c>
      <c r="U106" s="24">
        <v>24</v>
      </c>
      <c r="V106" s="24">
        <v>0.3559322033898305</v>
      </c>
      <c r="W106" s="26">
        <v>0.45070422535211269</v>
      </c>
      <c r="X106" s="23">
        <v>77.777777777777786</v>
      </c>
      <c r="Y106" s="24">
        <v>65</v>
      </c>
      <c r="Z106" s="24">
        <v>78</v>
      </c>
      <c r="AA106" s="24">
        <v>15</v>
      </c>
      <c r="AB106" s="24">
        <v>48</v>
      </c>
      <c r="AC106" s="24">
        <v>13</v>
      </c>
      <c r="AD106" s="24">
        <v>0</v>
      </c>
      <c r="AE106" s="24">
        <v>15</v>
      </c>
      <c r="AF106" s="34">
        <f t="shared" si="105"/>
        <v>20</v>
      </c>
      <c r="AG106" s="34">
        <f t="shared" si="106"/>
        <v>43</v>
      </c>
      <c r="AH106" s="46">
        <f t="shared" si="107"/>
        <v>75.55</v>
      </c>
      <c r="AI106" s="51">
        <f t="shared" ref="AI106" si="117">AVERAGE(AH106,AH107)</f>
        <v>75.474999999999994</v>
      </c>
      <c r="AJ106" s="12">
        <f>INDEX(ovrTable25,MATCH(INDEX('Structured 2025'!teamCol,ROW()),ovrTeamCol25,0),MATCH(MID(INDEX('Structured 2025'!headerRow,1,COLUMN()),4,LEN(INDEX('Structured 2025'!headerRow,1,COLUMN()))),ovrHeaderRow25,0))</f>
        <v>35</v>
      </c>
      <c r="AK106" s="12">
        <f>INDEX(ovrTable25,MATCH(INDEX('Structured 2025'!teamCol,ROW()),ovrTeamCol25,0),MATCH(MID(INDEX('Structured 2025'!headerRow,1,COLUMN()),4,LEN(INDEX('Structured 2025'!headerRow,1,COLUMN()))),ovrHeaderRow25,0))</f>
        <v>8.5</v>
      </c>
      <c r="AL106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106" s="12">
        <f>INDEX(ovrTable25,MATCH(INDEX('Structured 2025'!teamCol,ROW()),ovrTeamCol25,0),MATCH(MID(INDEX('Structured 2025'!headerRow,1,COLUMN()),4,LEN(INDEX('Structured 2025'!headerRow,1,COLUMN()))),ovrHeaderRow25,0))</f>
        <v>24.5</v>
      </c>
      <c r="AN106" s="12">
        <f>INDEX(ovrTable25,MATCH(INDEX('Structured 2025'!teamCol,ROW()),ovrTeamCol25,0),MATCH(MID(INDEX('Structured 2025'!headerRow,1,COLUMN()),4,LEN(INDEX('Structured 2025'!headerRow,1,COLUMN()))),ovrHeaderRow25,0))</f>
        <v>1.56</v>
      </c>
      <c r="AO106" s="12">
        <f>INDEX(ovrTable25,MATCH(INDEX('Structured 2025'!teamCol,ROW()),ovrTeamCol25,0),MATCH(MID(INDEX('Structured 2025'!headerRow,1,COLUMN()),4,LEN(INDEX('Structured 2025'!headerRow,1,COLUMN()))),ovrHeaderRow25,0))</f>
        <v>17.3</v>
      </c>
      <c r="AP106" s="12">
        <f>INDEX(ovrTable25,MATCH(INDEX('Structured 2025'!teamCol,ROW()),ovrTeamCol25,0),MATCH(MID(INDEX('Structured 2025'!headerRow,1,COLUMN()),4,LEN(INDEX('Structured 2025'!headerRow,1,COLUMN()))),ovrHeaderRow25,0))</f>
        <v>20.74</v>
      </c>
      <c r="AQ106" s="12">
        <f>INDEX(ovrTable25,MATCH(INDEX('Structured 2025'!teamCol,ROW()),ovrTeamCol25,0),MATCH(MID(INDEX('Structured 2025'!headerRow,1,COLUMN()),4,LEN(INDEX('Structured 2025'!headerRow,1,COLUMN()))),ovrHeaderRow25,0))</f>
        <v>6.2</v>
      </c>
      <c r="AR106" s="12">
        <f>INDEX(ovrTable25,MATCH(INDEX('Structured 2025'!teamCol,ROW()),ovrTeamCol25,0),MATCH(MID(INDEX('Structured 2025'!headerRow,1,COLUMN()),4,LEN(INDEX('Structured 2025'!headerRow,1,COLUMN()))),ovrHeaderRow25,0))</f>
        <v>42.1</v>
      </c>
      <c r="AS106" s="12">
        <f>INDEX(ovrTable25,MATCH(INDEX('Structured 2025'!teamCol,ROW()),ovrTeamCol25,0),MATCH(MID(INDEX('Structured 2025'!headerRow,1,COLUMN()),4,LEN(INDEX('Structured 2025'!headerRow,1,COLUMN()))),ovrHeaderRow25,0))</f>
        <v>24.54</v>
      </c>
      <c r="AT106" s="12">
        <f>INDEX(ovrTable25,MATCH(INDEX('Structured 2025'!teamCol,ROW()),ovrTeamCol25,0),MATCH(MID(INDEX('Structured 2025'!headerRow,1,COLUMN()),4,LEN(INDEX('Structured 2025'!headerRow,1,COLUMN()))),ovrHeaderRow25,0))</f>
        <v>0.55000000000000004</v>
      </c>
      <c r="AU106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106" s="12">
        <f>INDEX(ovrTable25,MATCH(INDEX('Structured 2025'!teamCol,ROW()),ovrTeamCol25,0),MATCH(MID(INDEX('Structured 2025'!headerRow,1,COLUMN()),4,LEN(INDEX('Structured 2025'!headerRow,1,COLUMN()))),ovrHeaderRow25,0))</f>
        <v>47.5</v>
      </c>
      <c r="AW106" s="12">
        <f>INDEX(ovrTable25,MATCH(INDEX('Structured 2025'!teamCol,ROW()),ovrTeamCol25,0),MATCH(MID(INDEX('Structured 2025'!headerRow,1,COLUMN()),4,LEN(INDEX('Structured 2025'!headerRow,1,COLUMN()))),ovrHeaderRow25,0))</f>
        <v>18.3</v>
      </c>
      <c r="AX106" s="12">
        <f>INDEX(ovrTable25,MATCH(INDEX('Structured 2025'!teamCol,ROW()),ovrTeamCol25,0),MATCH(MID(INDEX('Structured 2025'!headerRow,1,COLUMN()),4,LEN(INDEX('Structured 2025'!headerRow,1,COLUMN()))),ovrHeaderRow25,0))</f>
        <v>79.099999999999994</v>
      </c>
      <c r="AY106" s="12">
        <f>INDEX(ovrTable25,MATCH(INDEX('Structured 2025'!teamCol,ROW()),ovrTeamCol25,0),MATCH(MID(INDEX('Structured 2025'!headerRow,1,COLUMN()),4,LEN(INDEX('Structured 2025'!headerRow,1,COLUMN()))),ovrHeaderRow25,0))</f>
        <v>17.7</v>
      </c>
      <c r="AZ106" s="12">
        <f>INDEX(ovrTable25,MATCH(INDEX('Structured 2025'!teamCol,ROW()),ovrTeamCol25,0),MATCH(MID(INDEX('Structured 2025'!headerRow,1,COLUMN()),4,LEN(INDEX('Structured 2025'!headerRow,1,COLUMN()))),ovrHeaderRow25,0))</f>
        <v>14</v>
      </c>
      <c r="BA106" s="12">
        <f>INDEX(ovrTable25,MATCH(INDEX('Structured 2025'!teamCol,ROW()),ovrTeamCol25,0),MATCH(MID(INDEX('Structured 2025'!headerRow,1,COLUMN()),4,LEN(INDEX('Structured 2025'!headerRow,1,COLUMN()))),ovrHeaderRow25,0))</f>
        <v>68</v>
      </c>
      <c r="BB106" s="12">
        <f>INDEX(ovrTable25,MATCH(INDEX('Structured 2025'!teamCol,ROW()),ovrTeamCol25,0),MATCH(MID(INDEX('Structured 2025'!headerRow,1,COLUMN()),4,LEN(INDEX('Structured 2025'!headerRow,1,COLUMN()))),ovrHeaderRow25,0))</f>
        <v>11.2</v>
      </c>
      <c r="BC106" s="12">
        <f>INDEX(ovrTable25,MATCH(INDEX('Structured 2025'!teamCol,ROW()),ovrTeamCol25,0),MATCH(MID(INDEX('Structured 2025'!headerRow,1,COLUMN()),4,LEN(INDEX('Structured 2025'!headerRow,1,COLUMN()))),ovrHeaderRow25,0))</f>
        <v>77</v>
      </c>
      <c r="BD106" s="12">
        <f>INDEX(ovrTable25,MATCH(INDEX('Structured 2025'!teamCol,ROW()),ovrTeamCol25,0),MATCH(MID(INDEX('Structured 2025'!headerRow,1,COLUMN()),4,LEN(INDEX('Structured 2025'!headerRow,1,COLUMN()))),ovrHeaderRow25,0))</f>
        <v>6</v>
      </c>
      <c r="BE106" s="12">
        <f>INDEX(ovrTable25,MATCH(INDEX('Structured 2025'!teamCol,ROW()),ovrTeamCol25,0),MATCH(MID(INDEX('Structured 2025'!headerRow,1,COLUMN()),4,LEN(INDEX('Structured 2025'!headerRow,1,COLUMN()))),ovrHeaderRow25,0))</f>
        <v>35.74</v>
      </c>
      <c r="BF106" s="12">
        <f>INDEX(ovrTable25,MATCH(INDEX('Structured 2025'!teamCol,ROW()),ovrTeamCol25,0),MATCH(MID(INDEX('Structured 2025'!headerRow,1,COLUMN()),4,LEN(INDEX('Structured 2025'!headerRow,1,COLUMN()))),ovrHeaderRow25,0))</f>
        <v>9</v>
      </c>
      <c r="BG106" s="12">
        <f>INDEX(ovrTable25,MATCH(INDEX('Structured 2025'!teamCol,ROW()),ovrTeamCol25,0),MATCH(MID(INDEX('Structured 2025'!headerRow,1,COLUMN()),4,LEN(INDEX('Structured 2025'!headerRow,1,COLUMN()))),ovrHeaderRow25,0))</f>
        <v>5.4</v>
      </c>
      <c r="BH106" s="12">
        <f>INDEX(ovrTable25,MATCH(INDEX('Structured 2025'!teamCol,ROW()),ovrTeamCol25,0),MATCH(MID(INDEX('Structured 2025'!headerRow,1,COLUMN()),4,LEN(INDEX('Structured 2025'!headerRow,1,COLUMN()))),ovrHeaderRow25,0))</f>
        <v>-0.9</v>
      </c>
      <c r="BI106" s="12">
        <f>INDEX(ovrTable25,MATCH(INDEX('Structured 2025'!teamCol,ROW()),ovrTeamCol25,0),MATCH(MID(INDEX('Structured 2025'!headerRow,1,COLUMN()),4,LEN(INDEX('Structured 2025'!headerRow,1,COLUMN()))),ovrHeaderRow25,0))</f>
        <v>10.26</v>
      </c>
      <c r="BJ106" s="12">
        <f>INDEX(ovrTable25,MATCH(INDEX('Structured 2025'!teamCol,ROW()),ovrTeamCol25,0),MATCH(MID(INDEX('Structured 2025'!headerRow,1,COLUMN()),4,LEN(INDEX('Structured 2025'!headerRow,1,COLUMN()))),ovrHeaderRow25,0))</f>
        <v>11.1</v>
      </c>
      <c r="BK106" s="12">
        <f>INDEX(ovrTable25,MATCH(INDEX('Structured 2025'!teamCol,ROW()),ovrTeamCol25,0),MATCH(MID(INDEX('Structured 2025'!headerRow,1,COLUMN()),4,LEN(INDEX('Structured 2025'!headerRow,1,COLUMN()))),ovrHeaderRow25,0))</f>
        <v>68.2</v>
      </c>
      <c r="BL106" s="12">
        <f>INDEX(ovrTable25,MATCH(INDEX('Structured 2025'!teamCol,ROW()),ovrTeamCol25,0),MATCH(MID(INDEX('Structured 2025'!headerRow,1,COLUMN()),4,LEN(INDEX('Structured 2025'!headerRow,1,COLUMN()))),ovrHeaderRow25,0))</f>
        <v>18.75</v>
      </c>
      <c r="BM106" s="12">
        <f>INDEX(ovrTable25,MATCH(INDEX('Structured 2025'!teamCol,ROW()),ovrTeamCol25,0),MATCH(MID(INDEX('Structured 2025'!headerRow,1,COLUMN()),4,LEN(INDEX('Structured 2025'!headerRow,1,COLUMN()))),ovrHeaderRow25,0))</f>
        <v>57.368421052631582</v>
      </c>
      <c r="BN106" s="12">
        <f>INDEX(ovrTable25,MATCH(INDEX(oppCol,ROW()),ovrTeamCol25,0),MATCH(MID(INDEX('Structured 2025'!headerRow,1,COLUMN()),4,LEN(INDEX('Structured 2025'!headerRow,1,COLUMN()))),ovrHeaderRow25,0))</f>
        <v>30.8</v>
      </c>
      <c r="BO106" s="12">
        <f>INDEX(ovrTable25,MATCH(INDEX(oppCol,ROW()),ovrTeamCol25,0),MATCH(MID(INDEX('Structured 2025'!headerRow,1,COLUMN()),4,LEN(INDEX('Structured 2025'!headerRow,1,COLUMN()))),ovrHeaderRow25,0))</f>
        <v>8.1</v>
      </c>
      <c r="BP106" s="12">
        <f>INDEX(ovrTable25,MATCH(INDEX(oppCol,ROW()),ovrTeamCol25,0),MATCH(MID(INDEX('Structured 2025'!headerRow,1,COLUMN()),4,LEN(INDEX('Structured 2025'!headerRow,1,COLUMN()))),ovrHeaderRow25,0))</f>
        <v>33.200000000000003</v>
      </c>
      <c r="BQ106" s="12">
        <f>INDEX(ovrTable25,MATCH(INDEX(oppCol,ROW()),ovrTeamCol25,0),MATCH(MID(INDEX('Structured 2025'!headerRow,1,COLUMN()),4,LEN(INDEX('Structured 2025'!headerRow,1,COLUMN()))),ovrHeaderRow25,0))</f>
        <v>24.5</v>
      </c>
      <c r="BR106" s="12">
        <f>INDEX(ovrTable25,MATCH(INDEX(oppCol,ROW()),ovrTeamCol25,0),MATCH(MID(INDEX('Structured 2025'!headerRow,1,COLUMN()),4,LEN(INDEX('Structured 2025'!headerRow,1,COLUMN()))),ovrHeaderRow25,0))</f>
        <v>1.1299999999999999</v>
      </c>
      <c r="BS106" s="12">
        <f>INDEX(ovrTable25,MATCH(INDEX(oppCol,ROW()),ovrTeamCol25,0),MATCH(MID(INDEX('Structured 2025'!headerRow,1,COLUMN()),4,LEN(INDEX('Structured 2025'!headerRow,1,COLUMN()))),ovrHeaderRow25,0))</f>
        <v>15.8</v>
      </c>
      <c r="BT106" s="12">
        <f>INDEX(ovrTable25,MATCH(INDEX(oppCol,ROW()),ovrTeamCol25,0),MATCH(MID(INDEX('Structured 2025'!headerRow,1,COLUMN()),4,LEN(INDEX('Structured 2025'!headerRow,1,COLUMN()))),ovrHeaderRow25,0))</f>
        <v>18.97</v>
      </c>
      <c r="BU106" s="12">
        <f>INDEX(ovrTable25,MATCH(INDEX(oppCol,ROW()),ovrTeamCol25,0),MATCH(MID(INDEX('Structured 2025'!headerRow,1,COLUMN()),4,LEN(INDEX('Structured 2025'!headerRow,1,COLUMN()))),ovrHeaderRow25,0))</f>
        <v>3.6</v>
      </c>
      <c r="BV106" s="12">
        <f>INDEX(ovrTable25,MATCH(INDEX(oppCol,ROW()),ovrTeamCol25,0),MATCH(MID(INDEX('Structured 2025'!headerRow,1,COLUMN()),4,LEN(INDEX('Structured 2025'!headerRow,1,COLUMN()))),ovrHeaderRow25,0))</f>
        <v>40.1</v>
      </c>
      <c r="BW106" s="12">
        <f>INDEX(ovrTable25,MATCH(INDEX(oppCol,ROW()),ovrTeamCol25,0),MATCH(MID(INDEX('Structured 2025'!headerRow,1,COLUMN()),4,LEN(INDEX('Structured 2025'!headerRow,1,COLUMN()))),ovrHeaderRow25,0))</f>
        <v>27.38</v>
      </c>
      <c r="BX106" s="12">
        <f>INDEX(ovrTable25,MATCH(INDEX(oppCol,ROW()),ovrTeamCol25,0),MATCH(MID(INDEX('Structured 2025'!headerRow,1,COLUMN()),4,LEN(INDEX('Structured 2025'!headerRow,1,COLUMN()))),ovrHeaderRow25,0))</f>
        <v>0.53800000000000003</v>
      </c>
      <c r="BY106" s="12">
        <f>INDEX(ovrTable25,MATCH(INDEX(oppCol,ROW()),ovrTeamCol25,0),MATCH(MID(INDEX('Structured 2025'!headerRow,1,COLUMN()),4,LEN(INDEX('Structured 2025'!headerRow,1,COLUMN()))),ovrHeaderRow25,0))</f>
        <v>9.65</v>
      </c>
      <c r="BZ106" s="12">
        <f>INDEX(ovrTable25,MATCH(INDEX(oppCol,ROW()),ovrTeamCol25,0),MATCH(MID(INDEX('Structured 2025'!headerRow,1,COLUMN()),4,LEN(INDEX('Structured 2025'!headerRow,1,COLUMN()))),ovrHeaderRow25,0))</f>
        <v>46.8</v>
      </c>
      <c r="CA106" s="12">
        <f>INDEX(ovrTable25,MATCH(INDEX(oppCol,ROW()),ovrTeamCol25,0),MATCH(MID(INDEX('Structured 2025'!headerRow,1,COLUMN()),4,LEN(INDEX('Structured 2025'!headerRow,1,COLUMN()))),ovrHeaderRow25,0))</f>
        <v>17.100000000000001</v>
      </c>
      <c r="CB106" s="12">
        <f>INDEX(ovrTable25,MATCH(INDEX(oppCol,ROW()),ovrTeamCol25,0),MATCH(MID(INDEX('Structured 2025'!headerRow,1,COLUMN()),4,LEN(INDEX('Structured 2025'!headerRow,1,COLUMN()))),ovrHeaderRow25,0))</f>
        <v>72.8</v>
      </c>
      <c r="CC106" s="12">
        <f>INDEX(ovrTable25,MATCH(INDEX(oppCol,ROW()),ovrTeamCol25,0),MATCH(MID(INDEX('Structured 2025'!headerRow,1,COLUMN()),4,LEN(INDEX('Structured 2025'!headerRow,1,COLUMN()))),ovrHeaderRow25,0))</f>
        <v>20.9</v>
      </c>
      <c r="CD106" s="12">
        <f>INDEX(ovrTable25,MATCH(INDEX(oppCol,ROW()),ovrTeamCol25,0),MATCH(MID(INDEX('Structured 2025'!headerRow,1,COLUMN()),4,LEN(INDEX('Structured 2025'!headerRow,1,COLUMN()))),ovrHeaderRow25,0))</f>
        <v>15.2</v>
      </c>
      <c r="CE106" s="12">
        <f>INDEX(ovrTable25,MATCH(INDEX(oppCol,ROW()),ovrTeamCol25,0),MATCH(MID(INDEX('Structured 2025'!headerRow,1,COLUMN()),4,LEN(INDEX('Structured 2025'!headerRow,1,COLUMN()))),ovrHeaderRow25,0))</f>
        <v>71.5</v>
      </c>
      <c r="CF106" s="12">
        <f>INDEX(ovrTable25,MATCH(INDEX(oppCol,ROW()),ovrTeamCol25,0),MATCH(MID(INDEX('Structured 2025'!headerRow,1,COLUMN()),4,LEN(INDEX('Structured 2025'!headerRow,1,COLUMN()))),ovrHeaderRow25,0))</f>
        <v>11.05</v>
      </c>
      <c r="CG106" s="12">
        <f>INDEX(ovrTable25,MATCH(INDEX(oppCol,ROW()),ovrTeamCol25,0),MATCH(MID(INDEX('Structured 2025'!headerRow,1,COLUMN()),4,LEN(INDEX('Structured 2025'!headerRow,1,COLUMN()))),ovrHeaderRow25,0))</f>
        <v>78</v>
      </c>
      <c r="CH106" s="12">
        <f>INDEX(ovrTable25,MATCH(INDEX(oppCol,ROW()),ovrTeamCol25,0),MATCH(MID(INDEX('Structured 2025'!headerRow,1,COLUMN()),4,LEN(INDEX('Structured 2025'!headerRow,1,COLUMN()))),ovrHeaderRow25,0))</f>
        <v>4.3</v>
      </c>
      <c r="CI106" s="12">
        <f>INDEX(ovrTable25,MATCH(INDEX(oppCol,ROW()),ovrTeamCol25,0),MATCH(MID(INDEX('Structured 2025'!headerRow,1,COLUMN()),4,LEN(INDEX('Structured 2025'!headerRow,1,COLUMN()))),ovrHeaderRow25,0))</f>
        <v>38.43</v>
      </c>
      <c r="CJ106" s="12">
        <f>INDEX(ovrTable25,MATCH(INDEX(oppCol,ROW()),ovrTeamCol25,0),MATCH(MID(INDEX('Structured 2025'!headerRow,1,COLUMN()),4,LEN(INDEX('Structured 2025'!headerRow,1,COLUMN()))),ovrHeaderRow25,0))</f>
        <v>6.5</v>
      </c>
      <c r="CK106" s="12">
        <f>INDEX(ovrTable25,MATCH(INDEX(oppCol,ROW()),ovrTeamCol25,0),MATCH(MID(INDEX('Structured 2025'!headerRow,1,COLUMN()),4,LEN(INDEX('Structured 2025'!headerRow,1,COLUMN()))),ovrHeaderRow25,0))</f>
        <v>5.4</v>
      </c>
      <c r="CL106" s="12">
        <f>INDEX(ovrTable25,MATCH(INDEX(oppCol,ROW()),ovrTeamCol25,0),MATCH(MID(INDEX('Structured 2025'!headerRow,1,COLUMN()),4,LEN(INDEX('Structured 2025'!headerRow,1,COLUMN()))),ovrHeaderRow25,0))</f>
        <v>-2.7</v>
      </c>
      <c r="CM106" s="12">
        <f>INDEX(ovrTable25,MATCH(INDEX(oppCol,ROW()),ovrTeamCol25,0),MATCH(MID(INDEX('Structured 2025'!headerRow,1,COLUMN()),4,LEN(INDEX('Structured 2025'!headerRow,1,COLUMN()))),ovrHeaderRow25,0))</f>
        <v>11.27</v>
      </c>
      <c r="CN106" s="12">
        <f>INDEX(ovrTable25,MATCH(INDEX(oppCol,ROW()),ovrTeamCol25,0),MATCH(MID(INDEX('Structured 2025'!headerRow,1,COLUMN()),4,LEN(INDEX('Structured 2025'!headerRow,1,COLUMN()))),ovrHeaderRow25,0))</f>
        <v>14</v>
      </c>
      <c r="CO106" s="12">
        <f>INDEX(ovrTable25,MATCH(INDEX(oppCol,ROW()),ovrTeamCol25,0),MATCH(MID(INDEX('Structured 2025'!headerRow,1,COLUMN()),4,LEN(INDEX('Structured 2025'!headerRow,1,COLUMN()))),ovrHeaderRow25,0))</f>
        <v>70.099999999999994</v>
      </c>
      <c r="CP106" s="12">
        <f>INDEX(ovrTable25,MATCH(INDEX(oppCol,ROW()),ovrTeamCol25,0),MATCH(MID(INDEX('Structured 2025'!headerRow,1,COLUMN()),4,LEN(INDEX('Structured 2025'!headerRow,1,COLUMN()))),ovrHeaderRow25,0))</f>
        <v>19.25</v>
      </c>
      <c r="CQ106" s="12">
        <f>INDEX(ovrTable25,MATCH(INDEX(oppCol,ROW()),ovrTeamCol25,0),MATCH(MID(INDEX('Structured 2025'!headerRow,1,COLUMN()),4,LEN(INDEX('Structured 2025'!headerRow,1,COLUMN()))),ovrHeaderRow25,0))</f>
        <v>58.440170940170944</v>
      </c>
    </row>
    <row r="107" spans="1:95" x14ac:dyDescent="0.3">
      <c r="A107" s="6" t="s">
        <v>348</v>
      </c>
      <c r="B107" s="3">
        <v>5</v>
      </c>
      <c r="C107" s="13" t="str">
        <f>A106</f>
        <v>AUB</v>
      </c>
      <c r="D107" s="14">
        <f t="shared" si="111"/>
        <v>53</v>
      </c>
      <c r="E107" s="23">
        <v>0.2857142857142857</v>
      </c>
      <c r="F107" s="24">
        <v>35.593220338983052</v>
      </c>
      <c r="G107" s="24">
        <v>5</v>
      </c>
      <c r="H107" s="23">
        <v>29.411764705882355</v>
      </c>
      <c r="I107" s="24">
        <v>17</v>
      </c>
      <c r="J107" s="25">
        <v>0.4</v>
      </c>
      <c r="K107" s="24">
        <v>18</v>
      </c>
      <c r="L107" s="24">
        <v>24</v>
      </c>
      <c r="M107" s="24">
        <v>10</v>
      </c>
      <c r="N107" s="24">
        <v>23</v>
      </c>
      <c r="O107" s="24">
        <v>6</v>
      </c>
      <c r="P107" s="24">
        <v>8</v>
      </c>
      <c r="Q107" s="24">
        <v>5</v>
      </c>
      <c r="R107" s="24">
        <v>15</v>
      </c>
      <c r="S107" s="24">
        <v>15</v>
      </c>
      <c r="T107" s="24">
        <v>17</v>
      </c>
      <c r="U107" s="24">
        <v>14</v>
      </c>
      <c r="V107" s="24">
        <v>0.39436619718309857</v>
      </c>
      <c r="W107" s="26">
        <v>0.39830508474576271</v>
      </c>
      <c r="X107" s="23">
        <v>75</v>
      </c>
      <c r="Y107" s="24">
        <v>78</v>
      </c>
      <c r="Z107" s="24">
        <v>65</v>
      </c>
      <c r="AA107" s="24">
        <v>-15</v>
      </c>
      <c r="AB107" s="24">
        <v>33</v>
      </c>
      <c r="AC107" s="24">
        <v>-13</v>
      </c>
      <c r="AD107" s="24">
        <v>0</v>
      </c>
      <c r="AE107" s="24">
        <v>15</v>
      </c>
      <c r="AF107" s="34">
        <f t="shared" si="105"/>
        <v>16</v>
      </c>
      <c r="AG107" s="34">
        <f t="shared" si="106"/>
        <v>42</v>
      </c>
      <c r="AH107" s="46">
        <f t="shared" si="107"/>
        <v>75.400000000000006</v>
      </c>
      <c r="AI107" s="51">
        <f t="shared" ref="AI107" si="118">AVERAGE(AH106,AH107)</f>
        <v>75.474999999999994</v>
      </c>
      <c r="AJ107" s="12">
        <f>INDEX(ovrTable25,MATCH(INDEX('Structured 2025'!teamCol,ROW()),ovrTeamCol25,0),MATCH(MID(INDEX('Structured 2025'!headerRow,1,COLUMN()),4,LEN(INDEX('Structured 2025'!headerRow,1,COLUMN()))),ovrHeaderRow25,0))</f>
        <v>30.8</v>
      </c>
      <c r="AK107" s="12">
        <f>INDEX(ovrTable25,MATCH(INDEX('Structured 2025'!teamCol,ROW()),ovrTeamCol25,0),MATCH(MID(INDEX('Structured 2025'!headerRow,1,COLUMN()),4,LEN(INDEX('Structured 2025'!headerRow,1,COLUMN()))),ovrHeaderRow25,0))</f>
        <v>8.1</v>
      </c>
      <c r="AL107" s="12">
        <f>INDEX(ovrTable25,MATCH(INDEX('Structured 2025'!teamCol,ROW()),ovrTeamCol25,0),MATCH(MID(INDEX('Structured 2025'!headerRow,1,COLUMN()),4,LEN(INDEX('Structured 2025'!headerRow,1,COLUMN()))),ovrHeaderRow25,0))</f>
        <v>33.200000000000003</v>
      </c>
      <c r="AM107" s="12">
        <f>INDEX(ovrTable25,MATCH(INDEX('Structured 2025'!teamCol,ROW()),ovrTeamCol25,0),MATCH(MID(INDEX('Structured 2025'!headerRow,1,COLUMN()),4,LEN(INDEX('Structured 2025'!headerRow,1,COLUMN()))),ovrHeaderRow25,0))</f>
        <v>24.5</v>
      </c>
      <c r="AN107" s="12">
        <f>INDEX(ovrTable25,MATCH(INDEX('Structured 2025'!teamCol,ROW()),ovrTeamCol25,0),MATCH(MID(INDEX('Structured 2025'!headerRow,1,COLUMN()),4,LEN(INDEX('Structured 2025'!headerRow,1,COLUMN()))),ovrHeaderRow25,0))</f>
        <v>1.1299999999999999</v>
      </c>
      <c r="AO107" s="12">
        <f>INDEX(ovrTable25,MATCH(INDEX('Structured 2025'!teamCol,ROW()),ovrTeamCol25,0),MATCH(MID(INDEX('Structured 2025'!headerRow,1,COLUMN()),4,LEN(INDEX('Structured 2025'!headerRow,1,COLUMN()))),ovrHeaderRow25,0))</f>
        <v>15.8</v>
      </c>
      <c r="AP107" s="12">
        <f>INDEX(ovrTable25,MATCH(INDEX('Structured 2025'!teamCol,ROW()),ovrTeamCol25,0),MATCH(MID(INDEX('Structured 2025'!headerRow,1,COLUMN()),4,LEN(INDEX('Structured 2025'!headerRow,1,COLUMN()))),ovrHeaderRow25,0))</f>
        <v>18.97</v>
      </c>
      <c r="AQ107" s="12">
        <f>INDEX(ovrTable25,MATCH(INDEX('Structured 2025'!teamCol,ROW()),ovrTeamCol25,0),MATCH(MID(INDEX('Structured 2025'!headerRow,1,COLUMN()),4,LEN(INDEX('Structured 2025'!headerRow,1,COLUMN()))),ovrHeaderRow25,0))</f>
        <v>3.6</v>
      </c>
      <c r="AR107" s="12">
        <f>INDEX(ovrTable25,MATCH(INDEX('Structured 2025'!teamCol,ROW()),ovrTeamCol25,0),MATCH(MID(INDEX('Structured 2025'!headerRow,1,COLUMN()),4,LEN(INDEX('Structured 2025'!headerRow,1,COLUMN()))),ovrHeaderRow25,0))</f>
        <v>40.1</v>
      </c>
      <c r="AS107" s="12">
        <f>INDEX(ovrTable25,MATCH(INDEX('Structured 2025'!teamCol,ROW()),ovrTeamCol25,0),MATCH(MID(INDEX('Structured 2025'!headerRow,1,COLUMN()),4,LEN(INDEX('Structured 2025'!headerRow,1,COLUMN()))),ovrHeaderRow25,0))</f>
        <v>27.38</v>
      </c>
      <c r="AT107" s="12">
        <f>INDEX(ovrTable25,MATCH(INDEX('Structured 2025'!teamCol,ROW()),ovrTeamCol25,0),MATCH(MID(INDEX('Structured 2025'!headerRow,1,COLUMN()),4,LEN(INDEX('Structured 2025'!headerRow,1,COLUMN()))),ovrHeaderRow25,0))</f>
        <v>0.53800000000000003</v>
      </c>
      <c r="AU107" s="12">
        <f>INDEX(ovrTable25,MATCH(INDEX('Structured 2025'!teamCol,ROW()),ovrTeamCol25,0),MATCH(MID(INDEX('Structured 2025'!headerRow,1,COLUMN()),4,LEN(INDEX('Structured 2025'!headerRow,1,COLUMN()))),ovrHeaderRow25,0))</f>
        <v>9.65</v>
      </c>
      <c r="AV107" s="12">
        <f>INDEX(ovrTable25,MATCH(INDEX('Structured 2025'!teamCol,ROW()),ovrTeamCol25,0),MATCH(MID(INDEX('Structured 2025'!headerRow,1,COLUMN()),4,LEN(INDEX('Structured 2025'!headerRow,1,COLUMN()))),ovrHeaderRow25,0))</f>
        <v>46.8</v>
      </c>
      <c r="AW107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107" s="12">
        <f>INDEX(ovrTable25,MATCH(INDEX('Structured 2025'!teamCol,ROW()),ovrTeamCol25,0),MATCH(MID(INDEX('Structured 2025'!headerRow,1,COLUMN()),4,LEN(INDEX('Structured 2025'!headerRow,1,COLUMN()))),ovrHeaderRow25,0))</f>
        <v>72.8</v>
      </c>
      <c r="AY107" s="12">
        <f>INDEX(ovrTable25,MATCH(INDEX('Structured 2025'!teamCol,ROW()),ovrTeamCol25,0),MATCH(MID(INDEX('Structured 2025'!headerRow,1,COLUMN()),4,LEN(INDEX('Structured 2025'!headerRow,1,COLUMN()))),ovrHeaderRow25,0))</f>
        <v>20.9</v>
      </c>
      <c r="AZ107" s="12">
        <f>INDEX(ovrTable25,MATCH(INDEX('Structured 2025'!teamCol,ROW()),ovrTeamCol25,0),MATCH(MID(INDEX('Structured 2025'!headerRow,1,COLUMN()),4,LEN(INDEX('Structured 2025'!headerRow,1,COLUMN()))),ovrHeaderRow25,0))</f>
        <v>15.2</v>
      </c>
      <c r="BA107" s="12">
        <f>INDEX(ovrTable25,MATCH(INDEX('Structured 2025'!teamCol,ROW()),ovrTeamCol25,0),MATCH(MID(INDEX('Structured 2025'!headerRow,1,COLUMN()),4,LEN(INDEX('Structured 2025'!headerRow,1,COLUMN()))),ovrHeaderRow25,0))</f>
        <v>71.5</v>
      </c>
      <c r="BB107" s="12">
        <f>INDEX(ovrTable25,MATCH(INDEX('Structured 2025'!teamCol,ROW()),ovrTeamCol25,0),MATCH(MID(INDEX('Structured 2025'!headerRow,1,COLUMN()),4,LEN(INDEX('Structured 2025'!headerRow,1,COLUMN()))),ovrHeaderRow25,0))</f>
        <v>11.05</v>
      </c>
      <c r="BC107" s="12">
        <f>INDEX(ovrTable25,MATCH(INDEX('Structured 2025'!teamCol,ROW()),ovrTeamCol25,0),MATCH(MID(INDEX('Structured 2025'!headerRow,1,COLUMN()),4,LEN(INDEX('Structured 2025'!headerRow,1,COLUMN()))),ovrHeaderRow25,0))</f>
        <v>78</v>
      </c>
      <c r="BD107" s="12">
        <f>INDEX(ovrTable25,MATCH(INDEX('Structured 2025'!teamCol,ROW()),ovrTeamCol25,0),MATCH(MID(INDEX('Structured 2025'!headerRow,1,COLUMN()),4,LEN(INDEX('Structured 2025'!headerRow,1,COLUMN()))),ovrHeaderRow25,0))</f>
        <v>4.3</v>
      </c>
      <c r="BE107" s="12">
        <f>INDEX(ovrTable25,MATCH(INDEX('Structured 2025'!teamCol,ROW()),ovrTeamCol25,0),MATCH(MID(INDEX('Structured 2025'!headerRow,1,COLUMN()),4,LEN(INDEX('Structured 2025'!headerRow,1,COLUMN()))),ovrHeaderRow25,0))</f>
        <v>38.43</v>
      </c>
      <c r="BF107" s="12">
        <f>INDEX(ovrTable25,MATCH(INDEX('Structured 2025'!teamCol,ROW()),ovrTeamCol25,0),MATCH(MID(INDEX('Structured 2025'!headerRow,1,COLUMN()),4,LEN(INDEX('Structured 2025'!headerRow,1,COLUMN()))),ovrHeaderRow25,0))</f>
        <v>6.5</v>
      </c>
      <c r="BG107" s="12">
        <f>INDEX(ovrTable25,MATCH(INDEX('Structured 2025'!teamCol,ROW()),ovrTeamCol25,0),MATCH(MID(INDEX('Structured 2025'!headerRow,1,COLUMN()),4,LEN(INDEX('Structured 2025'!headerRow,1,COLUMN()))),ovrHeaderRow25,0))</f>
        <v>5.4</v>
      </c>
      <c r="BH107" s="12">
        <f>INDEX(ovrTable25,MATCH(INDEX('Structured 2025'!teamCol,ROW()),ovrTeamCol25,0),MATCH(MID(INDEX('Structured 2025'!headerRow,1,COLUMN()),4,LEN(INDEX('Structured 2025'!headerRow,1,COLUMN()))),ovrHeaderRow25,0))</f>
        <v>-2.7</v>
      </c>
      <c r="BI107" s="12">
        <f>INDEX(ovrTable25,MATCH(INDEX('Structured 2025'!teamCol,ROW()),ovrTeamCol25,0),MATCH(MID(INDEX('Structured 2025'!headerRow,1,COLUMN()),4,LEN(INDEX('Structured 2025'!headerRow,1,COLUMN()))),ovrHeaderRow25,0))</f>
        <v>11.27</v>
      </c>
      <c r="BJ107" s="12">
        <f>INDEX(ovrTable25,MATCH(INDEX('Structured 2025'!teamCol,ROW()),ovrTeamCol25,0),MATCH(MID(INDEX('Structured 2025'!headerRow,1,COLUMN()),4,LEN(INDEX('Structured 2025'!headerRow,1,COLUMN()))),ovrHeaderRow25,0))</f>
        <v>14</v>
      </c>
      <c r="BK107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107" s="12">
        <f>INDEX(ovrTable25,MATCH(INDEX('Structured 2025'!teamCol,ROW()),ovrTeamCol25,0),MATCH(MID(INDEX('Structured 2025'!headerRow,1,COLUMN()),4,LEN(INDEX('Structured 2025'!headerRow,1,COLUMN()))),ovrHeaderRow25,0))</f>
        <v>19.25</v>
      </c>
      <c r="BM107" s="12">
        <f>INDEX(ovrTable25,MATCH(INDEX('Structured 2025'!teamCol,ROW()),ovrTeamCol25,0),MATCH(MID(INDEX('Structured 2025'!headerRow,1,COLUMN()),4,LEN(INDEX('Structured 2025'!headerRow,1,COLUMN()))),ovrHeaderRow25,0))</f>
        <v>58.440170940170944</v>
      </c>
      <c r="BN107" s="12">
        <f>INDEX(ovrTable25,MATCH(INDEX(oppCol,ROW()),ovrTeamCol25,0),MATCH(MID(INDEX('Structured 2025'!headerRow,1,COLUMN()),4,LEN(INDEX('Structured 2025'!headerRow,1,COLUMN()))),ovrHeaderRow25,0))</f>
        <v>35</v>
      </c>
      <c r="BO107" s="12">
        <f>INDEX(ovrTable25,MATCH(INDEX(oppCol,ROW()),ovrTeamCol25,0),MATCH(MID(INDEX('Structured 2025'!headerRow,1,COLUMN()),4,LEN(INDEX('Structured 2025'!headerRow,1,COLUMN()))),ovrHeaderRow25,0))</f>
        <v>8.5</v>
      </c>
      <c r="BP107" s="12">
        <f>INDEX(ovrTable25,MATCH(INDEX(oppCol,ROW()),ovrTeamCol25,0),MATCH(MID(INDEX('Structured 2025'!headerRow,1,COLUMN()),4,LEN(INDEX('Structured 2025'!headerRow,1,COLUMN()))),ovrHeaderRow25,0))</f>
        <v>34.799999999999997</v>
      </c>
      <c r="BQ107" s="12">
        <f>INDEX(ovrTable25,MATCH(INDEX(oppCol,ROW()),ovrTeamCol25,0),MATCH(MID(INDEX('Structured 2025'!headerRow,1,COLUMN()),4,LEN(INDEX('Structured 2025'!headerRow,1,COLUMN()))),ovrHeaderRow25,0))</f>
        <v>24.5</v>
      </c>
      <c r="BR107" s="12">
        <f>INDEX(ovrTable25,MATCH(INDEX(oppCol,ROW()),ovrTeamCol25,0),MATCH(MID(INDEX('Structured 2025'!headerRow,1,COLUMN()),4,LEN(INDEX('Structured 2025'!headerRow,1,COLUMN()))),ovrHeaderRow25,0))</f>
        <v>1.56</v>
      </c>
      <c r="BS107" s="12">
        <f>INDEX(ovrTable25,MATCH(INDEX(oppCol,ROW()),ovrTeamCol25,0),MATCH(MID(INDEX('Structured 2025'!headerRow,1,COLUMN()),4,LEN(INDEX('Structured 2025'!headerRow,1,COLUMN()))),ovrHeaderRow25,0))</f>
        <v>17.3</v>
      </c>
      <c r="BT107" s="12">
        <f>INDEX(ovrTable25,MATCH(INDEX(oppCol,ROW()),ovrTeamCol25,0),MATCH(MID(INDEX('Structured 2025'!headerRow,1,COLUMN()),4,LEN(INDEX('Structured 2025'!headerRow,1,COLUMN()))),ovrHeaderRow25,0))</f>
        <v>20.74</v>
      </c>
      <c r="BU107" s="12">
        <f>INDEX(ovrTable25,MATCH(INDEX(oppCol,ROW()),ovrTeamCol25,0),MATCH(MID(INDEX('Structured 2025'!headerRow,1,COLUMN()),4,LEN(INDEX('Structured 2025'!headerRow,1,COLUMN()))),ovrHeaderRow25,0))</f>
        <v>6.2</v>
      </c>
      <c r="BV107" s="12">
        <f>INDEX(ovrTable25,MATCH(INDEX(oppCol,ROW()),ovrTeamCol25,0),MATCH(MID(INDEX('Structured 2025'!headerRow,1,COLUMN()),4,LEN(INDEX('Structured 2025'!headerRow,1,COLUMN()))),ovrHeaderRow25,0))</f>
        <v>42.1</v>
      </c>
      <c r="BW107" s="12">
        <f>INDEX(ovrTable25,MATCH(INDEX(oppCol,ROW()),ovrTeamCol25,0),MATCH(MID(INDEX('Structured 2025'!headerRow,1,COLUMN()),4,LEN(INDEX('Structured 2025'!headerRow,1,COLUMN()))),ovrHeaderRow25,0))</f>
        <v>24.54</v>
      </c>
      <c r="BX107" s="12">
        <f>INDEX(ovrTable25,MATCH(INDEX(oppCol,ROW()),ovrTeamCol25,0),MATCH(MID(INDEX('Structured 2025'!headerRow,1,COLUMN()),4,LEN(INDEX('Structured 2025'!headerRow,1,COLUMN()))),ovrHeaderRow25,0))</f>
        <v>0.55000000000000004</v>
      </c>
      <c r="BY107" s="12">
        <f>INDEX(ovrTable25,MATCH(INDEX(oppCol,ROW()),ovrTeamCol25,0),MATCH(MID(INDEX('Structured 2025'!headerRow,1,COLUMN()),4,LEN(INDEX('Structured 2025'!headerRow,1,COLUMN()))),ovrHeaderRow25,0))</f>
        <v>8.6300000000000008</v>
      </c>
      <c r="BZ107" s="12">
        <f>INDEX(ovrTable25,MATCH(INDEX(oppCol,ROW()),ovrTeamCol25,0),MATCH(MID(INDEX('Structured 2025'!headerRow,1,COLUMN()),4,LEN(INDEX('Structured 2025'!headerRow,1,COLUMN()))),ovrHeaderRow25,0))</f>
        <v>47.5</v>
      </c>
      <c r="CA107" s="12">
        <f>INDEX(ovrTable25,MATCH(INDEX(oppCol,ROW()),ovrTeamCol25,0),MATCH(MID(INDEX('Structured 2025'!headerRow,1,COLUMN()),4,LEN(INDEX('Structured 2025'!headerRow,1,COLUMN()))),ovrHeaderRow25,0))</f>
        <v>18.3</v>
      </c>
      <c r="CB107" s="12">
        <f>INDEX(ovrTable25,MATCH(INDEX(oppCol,ROW()),ovrTeamCol25,0),MATCH(MID(INDEX('Structured 2025'!headerRow,1,COLUMN()),4,LEN(INDEX('Structured 2025'!headerRow,1,COLUMN()))),ovrHeaderRow25,0))</f>
        <v>79.099999999999994</v>
      </c>
      <c r="CC107" s="12">
        <f>INDEX(ovrTable25,MATCH(INDEX(oppCol,ROW()),ovrTeamCol25,0),MATCH(MID(INDEX('Structured 2025'!headerRow,1,COLUMN()),4,LEN(INDEX('Structured 2025'!headerRow,1,COLUMN()))),ovrHeaderRow25,0))</f>
        <v>17.7</v>
      </c>
      <c r="CD107" s="12">
        <f>INDEX(ovrTable25,MATCH(INDEX(oppCol,ROW()),ovrTeamCol25,0),MATCH(MID(INDEX('Structured 2025'!headerRow,1,COLUMN()),4,LEN(INDEX('Structured 2025'!headerRow,1,COLUMN()))),ovrHeaderRow25,0))</f>
        <v>14</v>
      </c>
      <c r="CE107" s="12">
        <f>INDEX(ovrTable25,MATCH(INDEX(oppCol,ROW()),ovrTeamCol25,0),MATCH(MID(INDEX('Structured 2025'!headerRow,1,COLUMN()),4,LEN(INDEX('Structured 2025'!headerRow,1,COLUMN()))),ovrHeaderRow25,0))</f>
        <v>68</v>
      </c>
      <c r="CF107" s="12">
        <f>INDEX(ovrTable25,MATCH(INDEX(oppCol,ROW()),ovrTeamCol25,0),MATCH(MID(INDEX('Structured 2025'!headerRow,1,COLUMN()),4,LEN(INDEX('Structured 2025'!headerRow,1,COLUMN()))),ovrHeaderRow25,0))</f>
        <v>11.2</v>
      </c>
      <c r="CG107" s="12">
        <f>INDEX(ovrTable25,MATCH(INDEX(oppCol,ROW()),ovrTeamCol25,0),MATCH(MID(INDEX('Structured 2025'!headerRow,1,COLUMN()),4,LEN(INDEX('Structured 2025'!headerRow,1,COLUMN()))),ovrHeaderRow25,0))</f>
        <v>77</v>
      </c>
      <c r="CH107" s="12">
        <f>INDEX(ovrTable25,MATCH(INDEX(oppCol,ROW()),ovrTeamCol25,0),MATCH(MID(INDEX('Structured 2025'!headerRow,1,COLUMN()),4,LEN(INDEX('Structured 2025'!headerRow,1,COLUMN()))),ovrHeaderRow25,0))</f>
        <v>6</v>
      </c>
      <c r="CI107" s="12">
        <f>INDEX(ovrTable25,MATCH(INDEX(oppCol,ROW()),ovrTeamCol25,0),MATCH(MID(INDEX('Structured 2025'!headerRow,1,COLUMN()),4,LEN(INDEX('Structured 2025'!headerRow,1,COLUMN()))),ovrHeaderRow25,0))</f>
        <v>35.74</v>
      </c>
      <c r="CJ107" s="12">
        <f>INDEX(ovrTable25,MATCH(INDEX(oppCol,ROW()),ovrTeamCol25,0),MATCH(MID(INDEX('Structured 2025'!headerRow,1,COLUMN()),4,LEN(INDEX('Structured 2025'!headerRow,1,COLUMN()))),ovrHeaderRow25,0))</f>
        <v>9</v>
      </c>
      <c r="CK107" s="12">
        <f>INDEX(ovrTable25,MATCH(INDEX(oppCol,ROW()),ovrTeamCol25,0),MATCH(MID(INDEX('Structured 2025'!headerRow,1,COLUMN()),4,LEN(INDEX('Structured 2025'!headerRow,1,COLUMN()))),ovrHeaderRow25,0))</f>
        <v>5.4</v>
      </c>
      <c r="CL107" s="12">
        <f>INDEX(ovrTable25,MATCH(INDEX(oppCol,ROW()),ovrTeamCol25,0),MATCH(MID(INDEX('Structured 2025'!headerRow,1,COLUMN()),4,LEN(INDEX('Structured 2025'!headerRow,1,COLUMN()))),ovrHeaderRow25,0))</f>
        <v>-0.9</v>
      </c>
      <c r="CM107" s="12">
        <f>INDEX(ovrTable25,MATCH(INDEX(oppCol,ROW()),ovrTeamCol25,0),MATCH(MID(INDEX('Structured 2025'!headerRow,1,COLUMN()),4,LEN(INDEX('Structured 2025'!headerRow,1,COLUMN()))),ovrHeaderRow25,0))</f>
        <v>10.26</v>
      </c>
      <c r="CN107" s="12">
        <f>INDEX(ovrTable25,MATCH(INDEX(oppCol,ROW()),ovrTeamCol25,0),MATCH(MID(INDEX('Structured 2025'!headerRow,1,COLUMN()),4,LEN(INDEX('Structured 2025'!headerRow,1,COLUMN()))),ovrHeaderRow25,0))</f>
        <v>11.1</v>
      </c>
      <c r="CO107" s="12">
        <f>INDEX(ovrTable25,MATCH(INDEX(oppCol,ROW()),ovrTeamCol25,0),MATCH(MID(INDEX('Structured 2025'!headerRow,1,COLUMN()),4,LEN(INDEX('Structured 2025'!headerRow,1,COLUMN()))),ovrHeaderRow25,0))</f>
        <v>68.2</v>
      </c>
      <c r="CP107" s="12">
        <f>INDEX(ovrTable25,MATCH(INDEX(oppCol,ROW()),ovrTeamCol25,0),MATCH(MID(INDEX('Structured 2025'!headerRow,1,COLUMN()),4,LEN(INDEX('Structured 2025'!headerRow,1,COLUMN()))),ovrHeaderRow25,0))</f>
        <v>18.75</v>
      </c>
      <c r="CQ107" s="12">
        <f>INDEX(ovrTable25,MATCH(INDEX(oppCol,ROW()),ovrTeamCol25,0),MATCH(MID(INDEX('Structured 2025'!headerRow,1,COLUMN()),4,LEN(INDEX('Structured 2025'!headerRow,1,COLUMN()))),ovrHeaderRow25,0))</f>
        <v>57.368421052631582</v>
      </c>
    </row>
    <row r="108" spans="1:95" x14ac:dyDescent="0.3">
      <c r="A108" s="6" t="s">
        <v>314</v>
      </c>
      <c r="B108" s="3">
        <v>6</v>
      </c>
      <c r="C108" s="13" t="str">
        <f>A109</f>
        <v>MSU</v>
      </c>
      <c r="D108" s="14">
        <f t="shared" si="111"/>
        <v>54</v>
      </c>
      <c r="E108" s="23">
        <v>0.35294117647058826</v>
      </c>
      <c r="F108" s="24">
        <v>40.625</v>
      </c>
      <c r="G108" s="24">
        <v>9</v>
      </c>
      <c r="H108" s="23">
        <v>33.333333333333329</v>
      </c>
      <c r="I108" s="24">
        <v>27</v>
      </c>
      <c r="J108" s="25">
        <v>1.625</v>
      </c>
      <c r="K108" s="24">
        <v>9</v>
      </c>
      <c r="L108" s="24">
        <v>10</v>
      </c>
      <c r="M108" s="24">
        <v>12</v>
      </c>
      <c r="N108" s="24">
        <v>21</v>
      </c>
      <c r="O108" s="24">
        <v>13</v>
      </c>
      <c r="P108" s="24">
        <v>8</v>
      </c>
      <c r="Q108" s="24">
        <v>3</v>
      </c>
      <c r="R108" s="24">
        <v>8</v>
      </c>
      <c r="S108" s="24">
        <v>11</v>
      </c>
      <c r="T108" s="24">
        <v>20</v>
      </c>
      <c r="U108" s="24">
        <v>13</v>
      </c>
      <c r="V108" s="24">
        <v>0.5</v>
      </c>
      <c r="W108" s="26">
        <v>0.4765625</v>
      </c>
      <c r="X108" s="23">
        <v>90</v>
      </c>
      <c r="Y108" s="24">
        <v>73</v>
      </c>
      <c r="Z108" s="24">
        <v>70</v>
      </c>
      <c r="AA108" s="24">
        <v>4</v>
      </c>
      <c r="AB108" s="24">
        <v>33</v>
      </c>
      <c r="AC108" s="24">
        <v>-3</v>
      </c>
      <c r="AD108" s="24">
        <v>2</v>
      </c>
      <c r="AE108" s="24">
        <v>10</v>
      </c>
      <c r="AF108" s="34">
        <f t="shared" si="105"/>
        <v>17</v>
      </c>
      <c r="AG108" s="34">
        <f t="shared" si="106"/>
        <v>37</v>
      </c>
      <c r="AH108" s="46">
        <f t="shared" si="107"/>
        <v>64.75</v>
      </c>
      <c r="AI108" s="51">
        <f t="shared" ref="AI108" si="119">AVERAGE(AH108,AH109)</f>
        <v>64.099999999999994</v>
      </c>
      <c r="AJ108" s="12">
        <f>INDEX(ovrTable25,MATCH(INDEX('Structured 2025'!teamCol,ROW()),ovrTeamCol25,0),MATCH(MID(INDEX('Structured 2025'!headerRow,1,COLUMN()),4,LEN(INDEX('Structured 2025'!headerRow,1,COLUMN()))),ovrHeaderRow25,0))</f>
        <v>32.5</v>
      </c>
      <c r="AK108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108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108" s="12">
        <f>INDEX(ovrTable25,MATCH(INDEX('Structured 2025'!teamCol,ROW()),ovrTeamCol25,0),MATCH(MID(INDEX('Structured 2025'!headerRow,1,COLUMN()),4,LEN(INDEX('Structured 2025'!headerRow,1,COLUMN()))),ovrHeaderRow25,0))</f>
        <v>24</v>
      </c>
      <c r="AN108" s="12">
        <f>INDEX(ovrTable25,MATCH(INDEX('Structured 2025'!teamCol,ROW()),ovrTeamCol25,0),MATCH(MID(INDEX('Structured 2025'!headerRow,1,COLUMN()),4,LEN(INDEX('Structured 2025'!headerRow,1,COLUMN()))),ovrHeaderRow25,0))</f>
        <v>1.57</v>
      </c>
      <c r="AO108" s="12">
        <f>INDEX(ovrTable25,MATCH(INDEX('Structured 2025'!teamCol,ROW()),ovrTeamCol25,0),MATCH(MID(INDEX('Structured 2025'!headerRow,1,COLUMN()),4,LEN(INDEX('Structured 2025'!headerRow,1,COLUMN()))),ovrHeaderRow25,0))</f>
        <v>14.2</v>
      </c>
      <c r="AP108" s="12">
        <f>INDEX(ovrTable25,MATCH(INDEX('Structured 2025'!teamCol,ROW()),ovrTeamCol25,0),MATCH(MID(INDEX('Structured 2025'!headerRow,1,COLUMN()),4,LEN(INDEX('Structured 2025'!headerRow,1,COLUMN()))),ovrHeaderRow25,0))</f>
        <v>20.72</v>
      </c>
      <c r="AQ108" s="12">
        <f>INDEX(ovrTable25,MATCH(INDEX('Structured 2025'!teamCol,ROW()),ovrTeamCol25,0),MATCH(MID(INDEX('Structured 2025'!headerRow,1,COLUMN()),4,LEN(INDEX('Structured 2025'!headerRow,1,COLUMN()))),ovrHeaderRow25,0))</f>
        <v>3.7</v>
      </c>
      <c r="AR108" s="12">
        <f>INDEX(ovrTable25,MATCH(INDEX('Structured 2025'!teamCol,ROW()),ovrTeamCol25,0),MATCH(MID(INDEX('Structured 2025'!headerRow,1,COLUMN()),4,LEN(INDEX('Structured 2025'!headerRow,1,COLUMN()))),ovrHeaderRow25,0))</f>
        <v>43.4</v>
      </c>
      <c r="AS108" s="12">
        <f>INDEX(ovrTable25,MATCH(INDEX('Structured 2025'!teamCol,ROW()),ovrTeamCol25,0),MATCH(MID(INDEX('Structured 2025'!headerRow,1,COLUMN()),4,LEN(INDEX('Structured 2025'!headerRow,1,COLUMN()))),ovrHeaderRow25,0))</f>
        <v>23.94</v>
      </c>
      <c r="AT108" s="12">
        <f>INDEX(ovrTable25,MATCH(INDEX('Structured 2025'!teamCol,ROW()),ovrTeamCol25,0),MATCH(MID(INDEX('Structured 2025'!headerRow,1,COLUMN()),4,LEN(INDEX('Structured 2025'!headerRow,1,COLUMN()))),ovrHeaderRow25,0))</f>
        <v>0.51400000000000001</v>
      </c>
      <c r="AU108" s="12">
        <f>INDEX(ovrTable25,MATCH(INDEX('Structured 2025'!teamCol,ROW()),ovrTeamCol25,0),MATCH(MID(INDEX('Structured 2025'!headerRow,1,COLUMN()),4,LEN(INDEX('Structured 2025'!headerRow,1,COLUMN()))),ovrHeaderRow25,0))</f>
        <v>10.75</v>
      </c>
      <c r="AV108" s="12">
        <f>INDEX(ovrTable25,MATCH(INDEX('Structured 2025'!teamCol,ROW()),ovrTeamCol25,0),MATCH(MID(INDEX('Structured 2025'!headerRow,1,COLUMN()),4,LEN(INDEX('Structured 2025'!headerRow,1,COLUMN()))),ovrHeaderRow25,0))</f>
        <v>44.5</v>
      </c>
      <c r="AW108" s="12">
        <f>INDEX(ovrTable25,MATCH(INDEX('Structured 2025'!teamCol,ROW()),ovrTeamCol25,0),MATCH(MID(INDEX('Structured 2025'!headerRow,1,COLUMN()),4,LEN(INDEX('Structured 2025'!headerRow,1,COLUMN()))),ovrHeaderRow25,0))</f>
        <v>18.3</v>
      </c>
      <c r="AX108" s="12">
        <f>INDEX(ovrTable25,MATCH(INDEX('Structured 2025'!teamCol,ROW()),ovrTeamCol25,0),MATCH(MID(INDEX('Structured 2025'!headerRow,1,COLUMN()),4,LEN(INDEX('Structured 2025'!headerRow,1,COLUMN()))),ovrHeaderRow25,0))</f>
        <v>73.8</v>
      </c>
      <c r="AY108" s="12">
        <f>INDEX(ovrTable25,MATCH(INDEX('Structured 2025'!teamCol,ROW()),ovrTeamCol25,0),MATCH(MID(INDEX('Structured 2025'!headerRow,1,COLUMN()),4,LEN(INDEX('Structured 2025'!headerRow,1,COLUMN()))),ovrHeaderRow25,0))</f>
        <v>21.1</v>
      </c>
      <c r="AZ108" s="12">
        <f>INDEX(ovrTable25,MATCH(INDEX('Structured 2025'!teamCol,ROW()),ovrTeamCol25,0),MATCH(MID(INDEX('Structured 2025'!headerRow,1,COLUMN()),4,LEN(INDEX('Structured 2025'!headerRow,1,COLUMN()))),ovrHeaderRow25,0))</f>
        <v>15.6</v>
      </c>
      <c r="BA108" s="12">
        <f>INDEX(ovrTable25,MATCH(INDEX('Structured 2025'!teamCol,ROW()),ovrTeamCol25,0),MATCH(MID(INDEX('Structured 2025'!headerRow,1,COLUMN()),4,LEN(INDEX('Structured 2025'!headerRow,1,COLUMN()))),ovrHeaderRow25,0))</f>
        <v>71.599999999999994</v>
      </c>
      <c r="BB108" s="12">
        <f>INDEX(ovrTable25,MATCH(INDEX('Structured 2025'!teamCol,ROW()),ovrTeamCol25,0),MATCH(MID(INDEX('Structured 2025'!headerRow,1,COLUMN()),4,LEN(INDEX('Structured 2025'!headerRow,1,COLUMN()))),ovrHeaderRow25,0))</f>
        <v>9.19</v>
      </c>
      <c r="BC108" s="12">
        <f>INDEX(ovrTable25,MATCH(INDEX('Structured 2025'!teamCol,ROW()),ovrTeamCol25,0),MATCH(MID(INDEX('Structured 2025'!headerRow,1,COLUMN()),4,LEN(INDEX('Structured 2025'!headerRow,1,COLUMN()))),ovrHeaderRow25,0))</f>
        <v>77.2</v>
      </c>
      <c r="BD108" s="12">
        <f>INDEX(ovrTable25,MATCH(INDEX('Structured 2025'!teamCol,ROW()),ovrTeamCol25,0),MATCH(MID(INDEX('Structured 2025'!headerRow,1,COLUMN()),4,LEN(INDEX('Structured 2025'!headerRow,1,COLUMN()))),ovrHeaderRow25,0))</f>
        <v>-4.0999999999999996</v>
      </c>
      <c r="BE108" s="12">
        <f>INDEX(ovrTable25,MATCH(INDEX('Structured 2025'!teamCol,ROW()),ovrTeamCol25,0),MATCH(MID(INDEX('Structured 2025'!headerRow,1,COLUMN()),4,LEN(INDEX('Structured 2025'!headerRow,1,COLUMN()))),ovrHeaderRow25,0))</f>
        <v>33.14</v>
      </c>
      <c r="BF108" s="12">
        <f>INDEX(ovrTable25,MATCH(INDEX('Structured 2025'!teamCol,ROW()),ovrTeamCol25,0),MATCH(MID(INDEX('Structured 2025'!headerRow,1,COLUMN()),4,LEN(INDEX('Structured 2025'!headerRow,1,COLUMN()))),ovrHeaderRow25,0))</f>
        <v>5.6</v>
      </c>
      <c r="BG108" s="12">
        <f>INDEX(ovrTable25,MATCH(INDEX('Structured 2025'!teamCol,ROW()),ovrTeamCol25,0),MATCH(MID(INDEX('Structured 2025'!headerRow,1,COLUMN()),4,LEN(INDEX('Structured 2025'!headerRow,1,COLUMN()))),ovrHeaderRow25,0))</f>
        <v>8.8000000000000007</v>
      </c>
      <c r="BH108" s="12">
        <f>INDEX(ovrTable25,MATCH(INDEX('Structured 2025'!teamCol,ROW()),ovrTeamCol25,0),MATCH(MID(INDEX('Structured 2025'!headerRow,1,COLUMN()),4,LEN(INDEX('Structured 2025'!headerRow,1,COLUMN()))),ovrHeaderRow25,0))</f>
        <v>5.0999999999999996</v>
      </c>
      <c r="BI108" s="12">
        <f>INDEX(ovrTable25,MATCH(INDEX('Structured 2025'!teamCol,ROW()),ovrTeamCol25,0),MATCH(MID(INDEX('Structured 2025'!headerRow,1,COLUMN()),4,LEN(INDEX('Structured 2025'!headerRow,1,COLUMN()))),ovrHeaderRow25,0))</f>
        <v>14.08</v>
      </c>
      <c r="BJ108" s="12">
        <f>INDEX(ovrTable25,MATCH(INDEX('Structured 2025'!teamCol,ROW()),ovrTeamCol25,0),MATCH(MID(INDEX('Structured 2025'!headerRow,1,COLUMN()),4,LEN(INDEX('Structured 2025'!headerRow,1,COLUMN()))),ovrHeaderRow25,0))</f>
        <v>9</v>
      </c>
      <c r="BK108" s="12">
        <f>INDEX(ovrTable25,MATCH(INDEX('Structured 2025'!teamCol,ROW()),ovrTeamCol25,0),MATCH(MID(INDEX('Structured 2025'!headerRow,1,COLUMN()),4,LEN(INDEX('Structured 2025'!headerRow,1,COLUMN()))),ovrHeaderRow25,0))</f>
        <v>68.099999999999994</v>
      </c>
      <c r="BL108" s="12">
        <f>INDEX(ovrTable25,MATCH(INDEX('Structured 2025'!teamCol,ROW()),ovrTeamCol25,0),MATCH(MID(INDEX('Structured 2025'!headerRow,1,COLUMN()),4,LEN(INDEX('Structured 2025'!headerRow,1,COLUMN()))),ovrHeaderRow25,0))</f>
        <v>18.350000000000001</v>
      </c>
      <c r="BM108" s="12">
        <f>INDEX(ovrTable25,MATCH(INDEX('Structured 2025'!teamCol,ROW()),ovrTeamCol25,0),MATCH(MID(INDEX('Structured 2025'!headerRow,1,COLUMN()),4,LEN(INDEX('Structured 2025'!headerRow,1,COLUMN()))),ovrHeaderRow25,0))</f>
        <v>59.887640449438202</v>
      </c>
      <c r="BN108" s="12">
        <f>INDEX(ovrTable25,MATCH(INDEX(oppCol,ROW()),ovrTeamCol25,0),MATCH(MID(INDEX('Structured 2025'!headerRow,1,COLUMN()),4,LEN(INDEX('Structured 2025'!headerRow,1,COLUMN()))),ovrHeaderRow25,0))</f>
        <v>28</v>
      </c>
      <c r="BO108" s="12">
        <f>INDEX(ovrTable25,MATCH(INDEX(oppCol,ROW()),ovrTeamCol25,0),MATCH(MID(INDEX('Structured 2025'!headerRow,1,COLUMN()),4,LEN(INDEX('Structured 2025'!headerRow,1,COLUMN()))),ovrHeaderRow25,0))</f>
        <v>6.1</v>
      </c>
      <c r="BP108" s="12">
        <f>INDEX(ovrTable25,MATCH(INDEX(oppCol,ROW()),ovrTeamCol25,0),MATCH(MID(INDEX('Structured 2025'!headerRow,1,COLUMN()),4,LEN(INDEX('Structured 2025'!headerRow,1,COLUMN()))),ovrHeaderRow25,0))</f>
        <v>31.1</v>
      </c>
      <c r="BQ108" s="12">
        <f>INDEX(ovrTable25,MATCH(INDEX(oppCol,ROW()),ovrTeamCol25,0),MATCH(MID(INDEX('Structured 2025'!headerRow,1,COLUMN()),4,LEN(INDEX('Structured 2025'!headerRow,1,COLUMN()))),ovrHeaderRow25,0))</f>
        <v>19.5</v>
      </c>
      <c r="BR108" s="12">
        <f>INDEX(ovrTable25,MATCH(INDEX(oppCol,ROW()),ovrTeamCol25,0),MATCH(MID(INDEX('Structured 2025'!headerRow,1,COLUMN()),4,LEN(INDEX('Structured 2025'!headerRow,1,COLUMN()))),ovrHeaderRow25,0))</f>
        <v>1.46</v>
      </c>
      <c r="BS108" s="12">
        <f>INDEX(ovrTable25,MATCH(INDEX(oppCol,ROW()),ovrTeamCol25,0),MATCH(MID(INDEX('Structured 2025'!headerRow,1,COLUMN()),4,LEN(INDEX('Structured 2025'!headerRow,1,COLUMN()))),ovrHeaderRow25,0))</f>
        <v>16.600000000000001</v>
      </c>
      <c r="BT108" s="12">
        <f>INDEX(ovrTable25,MATCH(INDEX(oppCol,ROW()),ovrTeamCol25,0),MATCH(MID(INDEX('Structured 2025'!headerRow,1,COLUMN()),4,LEN(INDEX('Structured 2025'!headerRow,1,COLUMN()))),ovrHeaderRow25,0))</f>
        <v>33.619999999999997</v>
      </c>
      <c r="BU108" s="12">
        <f>INDEX(ovrTable25,MATCH(INDEX(oppCol,ROW()),ovrTeamCol25,0),MATCH(MID(INDEX('Structured 2025'!headerRow,1,COLUMN()),4,LEN(INDEX('Structured 2025'!headerRow,1,COLUMN()))),ovrHeaderRow25,0))</f>
        <v>4.5999999999999996</v>
      </c>
      <c r="BV108" s="12">
        <f>INDEX(ovrTable25,MATCH(INDEX(oppCol,ROW()),ovrTeamCol25,0),MATCH(MID(INDEX('Structured 2025'!headerRow,1,COLUMN()),4,LEN(INDEX('Structured 2025'!headerRow,1,COLUMN()))),ovrHeaderRow25,0))</f>
        <v>40.5</v>
      </c>
      <c r="BW108" s="12">
        <f>INDEX(ovrTable25,MATCH(INDEX(oppCol,ROW()),ovrTeamCol25,0),MATCH(MID(INDEX('Structured 2025'!headerRow,1,COLUMN()),4,LEN(INDEX('Structured 2025'!headerRow,1,COLUMN()))),ovrHeaderRow25,0))</f>
        <v>27.89</v>
      </c>
      <c r="BX108" s="12">
        <f>INDEX(ovrTable25,MATCH(INDEX(oppCol,ROW()),ovrTeamCol25,0),MATCH(MID(INDEX('Structured 2025'!headerRow,1,COLUMN()),4,LEN(INDEX('Structured 2025'!headerRow,1,COLUMN()))),ovrHeaderRow25,0))</f>
        <v>0.50900000000000001</v>
      </c>
      <c r="BY108" s="12">
        <f>INDEX(ovrTable25,MATCH(INDEX(oppCol,ROW()),ovrTeamCol25,0),MATCH(MID(INDEX('Structured 2025'!headerRow,1,COLUMN()),4,LEN(INDEX('Structured 2025'!headerRow,1,COLUMN()))),ovrHeaderRow25,0))</f>
        <v>15.59</v>
      </c>
      <c r="BZ108" s="12">
        <f>INDEX(ovrTable25,MATCH(INDEX(oppCol,ROW()),ovrTeamCol25,0),MATCH(MID(INDEX('Structured 2025'!headerRow,1,COLUMN()),4,LEN(INDEX('Structured 2025'!headerRow,1,COLUMN()))),ovrHeaderRow25,0))</f>
        <v>45.8</v>
      </c>
      <c r="CA108" s="12">
        <f>INDEX(ovrTable25,MATCH(INDEX(oppCol,ROW()),ovrTeamCol25,0),MATCH(MID(INDEX('Structured 2025'!headerRow,1,COLUMN()),4,LEN(INDEX('Structured 2025'!headerRow,1,COLUMN()))),ovrHeaderRow25,0))</f>
        <v>16.7</v>
      </c>
      <c r="CB108" s="12">
        <f>INDEX(ovrTable25,MATCH(INDEX(oppCol,ROW()),ovrTeamCol25,0),MATCH(MID(INDEX('Structured 2025'!headerRow,1,COLUMN()),4,LEN(INDEX('Structured 2025'!headerRow,1,COLUMN()))),ovrHeaderRow25,0))</f>
        <v>77.900000000000006</v>
      </c>
      <c r="CC108" s="12">
        <f>INDEX(ovrTable25,MATCH(INDEX(oppCol,ROW()),ovrTeamCol25,0),MATCH(MID(INDEX('Structured 2025'!headerRow,1,COLUMN()),4,LEN(INDEX('Structured 2025'!headerRow,1,COLUMN()))),ovrHeaderRow25,0))</f>
        <v>22.4</v>
      </c>
      <c r="CD108" s="12">
        <f>INDEX(ovrTable25,MATCH(INDEX(oppCol,ROW()),ovrTeamCol25,0),MATCH(MID(INDEX('Structured 2025'!headerRow,1,COLUMN()),4,LEN(INDEX('Structured 2025'!headerRow,1,COLUMN()))),ovrHeaderRow25,0))</f>
        <v>17.399999999999999</v>
      </c>
      <c r="CE108" s="12">
        <f>INDEX(ovrTable25,MATCH(INDEX(oppCol,ROW()),ovrTeamCol25,0),MATCH(MID(INDEX('Structured 2025'!headerRow,1,COLUMN()),4,LEN(INDEX('Structured 2025'!headerRow,1,COLUMN()))),ovrHeaderRow25,0))</f>
        <v>67.099999999999994</v>
      </c>
      <c r="CF108" s="12">
        <f>INDEX(ovrTable25,MATCH(INDEX(oppCol,ROW()),ovrTeamCol25,0),MATCH(MID(INDEX('Structured 2025'!headerRow,1,COLUMN()),4,LEN(INDEX('Structured 2025'!headerRow,1,COLUMN()))),ovrHeaderRow25,0))</f>
        <v>11.89</v>
      </c>
      <c r="CG108" s="12">
        <f>INDEX(ovrTable25,MATCH(INDEX(oppCol,ROW()),ovrTeamCol25,0),MATCH(MID(INDEX('Structured 2025'!headerRow,1,COLUMN()),4,LEN(INDEX('Structured 2025'!headerRow,1,COLUMN()))),ovrHeaderRow25,0))</f>
        <v>77.7</v>
      </c>
      <c r="CH108" s="12">
        <f>INDEX(ovrTable25,MATCH(INDEX(oppCol,ROW()),ovrTeamCol25,0),MATCH(MID(INDEX('Structured 2025'!headerRow,1,COLUMN()),4,LEN(INDEX('Structured 2025'!headerRow,1,COLUMN()))),ovrHeaderRow25,0))</f>
        <v>8.9</v>
      </c>
      <c r="CI108" s="12">
        <f>INDEX(ovrTable25,MATCH(INDEX(oppCol,ROW()),ovrTeamCol25,0),MATCH(MID(INDEX('Structured 2025'!headerRow,1,COLUMN()),4,LEN(INDEX('Structured 2025'!headerRow,1,COLUMN()))),ovrHeaderRow25,0))</f>
        <v>39.78</v>
      </c>
      <c r="CJ108" s="12">
        <f>INDEX(ovrTable25,MATCH(INDEX(oppCol,ROW()),ovrTeamCol25,0),MATCH(MID(INDEX('Structured 2025'!headerRow,1,COLUMN()),4,LEN(INDEX('Structured 2025'!headerRow,1,COLUMN()))),ovrHeaderRow25,0))</f>
        <v>10.5</v>
      </c>
      <c r="CK108" s="12">
        <f>INDEX(ovrTable25,MATCH(INDEX(oppCol,ROW()),ovrTeamCol25,0),MATCH(MID(INDEX('Structured 2025'!headerRow,1,COLUMN()),4,LEN(INDEX('Structured 2025'!headerRow,1,COLUMN()))),ovrHeaderRow25,0))</f>
        <v>5.3</v>
      </c>
      <c r="CL108" s="12">
        <f>INDEX(ovrTable25,MATCH(INDEX(oppCol,ROW()),ovrTeamCol25,0),MATCH(MID(INDEX('Structured 2025'!headerRow,1,COLUMN()),4,LEN(INDEX('Structured 2025'!headerRow,1,COLUMN()))),ovrHeaderRow25,0))</f>
        <v>-0.3</v>
      </c>
      <c r="CM108" s="12">
        <f>INDEX(ovrTable25,MATCH(INDEX(oppCol,ROW()),ovrTeamCol25,0),MATCH(MID(INDEX('Structured 2025'!headerRow,1,COLUMN()),4,LEN(INDEX('Structured 2025'!headerRow,1,COLUMN()))),ovrHeaderRow25,0))</f>
        <v>11.03</v>
      </c>
      <c r="CN108" s="12">
        <f>INDEX(ovrTable25,MATCH(INDEX(oppCol,ROW()),ovrTeamCol25,0),MATCH(MID(INDEX('Structured 2025'!headerRow,1,COLUMN()),4,LEN(INDEX('Structured 2025'!headerRow,1,COLUMN()))),ovrHeaderRow25,0))</f>
        <v>11.4</v>
      </c>
      <c r="CO108" s="12">
        <f>INDEX(ovrTable25,MATCH(INDEX(oppCol,ROW()),ovrTeamCol25,0),MATCH(MID(INDEX('Structured 2025'!headerRow,1,COLUMN()),4,LEN(INDEX('Structured 2025'!headerRow,1,COLUMN()))),ovrHeaderRow25,0))</f>
        <v>67.5</v>
      </c>
      <c r="CP108" s="12">
        <f>INDEX(ovrTable25,MATCH(INDEX(oppCol,ROW()),ovrTeamCol25,0),MATCH(MID(INDEX('Structured 2025'!headerRow,1,COLUMN()),4,LEN(INDEX('Structured 2025'!headerRow,1,COLUMN()))),ovrHeaderRow25,0))</f>
        <v>21.000000000000004</v>
      </c>
      <c r="CQ108" s="12">
        <f>INDEX(ovrTable25,MATCH(INDEX(oppCol,ROW()),ovrTeamCol25,0),MATCH(MID(INDEX('Structured 2025'!headerRow,1,COLUMN()),4,LEN(INDEX('Structured 2025'!headerRow,1,COLUMN()))),ovrHeaderRow25,0))</f>
        <v>59.170305676855897</v>
      </c>
    </row>
    <row r="109" spans="1:95" x14ac:dyDescent="0.3">
      <c r="A109" s="6" t="s">
        <v>34</v>
      </c>
      <c r="B109" s="3">
        <v>2</v>
      </c>
      <c r="C109" s="13" t="str">
        <f>A108</f>
        <v>MISS</v>
      </c>
      <c r="D109" s="14">
        <f t="shared" si="111"/>
        <v>54</v>
      </c>
      <c r="E109" s="23">
        <v>0.33333333333333331</v>
      </c>
      <c r="F109" s="24">
        <v>50</v>
      </c>
      <c r="G109" s="24">
        <v>6</v>
      </c>
      <c r="H109" s="23">
        <v>35.294117647058826</v>
      </c>
      <c r="I109" s="24">
        <v>17</v>
      </c>
      <c r="J109" s="25">
        <v>1.5</v>
      </c>
      <c r="K109" s="24">
        <v>19</v>
      </c>
      <c r="L109" s="24">
        <v>22</v>
      </c>
      <c r="M109" s="24">
        <v>5</v>
      </c>
      <c r="N109" s="24">
        <v>24</v>
      </c>
      <c r="O109" s="24">
        <v>15</v>
      </c>
      <c r="P109" s="24">
        <v>1</v>
      </c>
      <c r="Q109" s="24">
        <v>5</v>
      </c>
      <c r="R109" s="24">
        <v>10</v>
      </c>
      <c r="S109" s="24">
        <v>3</v>
      </c>
      <c r="T109" s="24">
        <v>12</v>
      </c>
      <c r="U109" s="24">
        <v>21</v>
      </c>
      <c r="V109" s="24">
        <v>0.40625</v>
      </c>
      <c r="W109" s="26">
        <v>0.5625</v>
      </c>
      <c r="X109" s="23">
        <v>86.36363636363636</v>
      </c>
      <c r="Y109" s="24">
        <v>70</v>
      </c>
      <c r="Z109" s="24">
        <v>73</v>
      </c>
      <c r="AA109" s="24">
        <v>-4</v>
      </c>
      <c r="AB109" s="24">
        <v>29</v>
      </c>
      <c r="AC109" s="24">
        <v>3</v>
      </c>
      <c r="AD109" s="24">
        <v>-2</v>
      </c>
      <c r="AE109" s="24">
        <v>8</v>
      </c>
      <c r="AF109" s="34">
        <f t="shared" si="105"/>
        <v>18</v>
      </c>
      <c r="AG109" s="34">
        <f t="shared" si="106"/>
        <v>31</v>
      </c>
      <c r="AH109" s="46">
        <f t="shared" si="107"/>
        <v>63.45</v>
      </c>
      <c r="AI109" s="51">
        <f t="shared" ref="AI109" si="120">AVERAGE(AH108,AH109)</f>
        <v>64.099999999999994</v>
      </c>
      <c r="AJ109" s="12">
        <f>INDEX(ovrTable25,MATCH(INDEX('Structured 2025'!teamCol,ROW()),ovrTeamCol25,0),MATCH(MID(INDEX('Structured 2025'!headerRow,1,COLUMN()),4,LEN(INDEX('Structured 2025'!headerRow,1,COLUMN()))),ovrHeaderRow25,0))</f>
        <v>28</v>
      </c>
      <c r="AK109" s="12">
        <f>INDEX(ovrTable25,MATCH(INDEX('Structured 2025'!teamCol,ROW()),ovrTeamCol25,0),MATCH(MID(INDEX('Structured 2025'!headerRow,1,COLUMN()),4,LEN(INDEX('Structured 2025'!headerRow,1,COLUMN()))),ovrHeaderRow25,0))</f>
        <v>6.1</v>
      </c>
      <c r="AL109" s="12">
        <f>INDEX(ovrTable25,MATCH(INDEX('Structured 2025'!teamCol,ROW()),ovrTeamCol25,0),MATCH(MID(INDEX('Structured 2025'!headerRow,1,COLUMN()),4,LEN(INDEX('Structured 2025'!headerRow,1,COLUMN()))),ovrHeaderRow25,0))</f>
        <v>31.1</v>
      </c>
      <c r="AM109" s="12">
        <f>INDEX(ovrTable25,MATCH(INDEX('Structured 2025'!teamCol,ROW()),ovrTeamCol25,0),MATCH(MID(INDEX('Structured 2025'!headerRow,1,COLUMN()),4,LEN(INDEX('Structured 2025'!headerRow,1,COLUMN()))),ovrHeaderRow25,0))</f>
        <v>19.5</v>
      </c>
      <c r="AN109" s="12">
        <f>INDEX(ovrTable25,MATCH(INDEX('Structured 2025'!teamCol,ROW()),ovrTeamCol25,0),MATCH(MID(INDEX('Structured 2025'!headerRow,1,COLUMN()),4,LEN(INDEX('Structured 2025'!headerRow,1,COLUMN()))),ovrHeaderRow25,0))</f>
        <v>1.46</v>
      </c>
      <c r="AO109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AP109" s="12">
        <f>INDEX(ovrTable25,MATCH(INDEX('Structured 2025'!teamCol,ROW()),ovrTeamCol25,0),MATCH(MID(INDEX('Structured 2025'!headerRow,1,COLUMN()),4,LEN(INDEX('Structured 2025'!headerRow,1,COLUMN()))),ovrHeaderRow25,0))</f>
        <v>33.619999999999997</v>
      </c>
      <c r="AQ109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109" s="12">
        <f>INDEX(ovrTable25,MATCH(INDEX('Structured 2025'!teamCol,ROW()),ovrTeamCol25,0),MATCH(MID(INDEX('Structured 2025'!headerRow,1,COLUMN()),4,LEN(INDEX('Structured 2025'!headerRow,1,COLUMN()))),ovrHeaderRow25,0))</f>
        <v>40.5</v>
      </c>
      <c r="AS109" s="12">
        <f>INDEX(ovrTable25,MATCH(INDEX('Structured 2025'!teamCol,ROW()),ovrTeamCol25,0),MATCH(MID(INDEX('Structured 2025'!headerRow,1,COLUMN()),4,LEN(INDEX('Structured 2025'!headerRow,1,COLUMN()))),ovrHeaderRow25,0))</f>
        <v>27.89</v>
      </c>
      <c r="AT109" s="12">
        <f>INDEX(ovrTable25,MATCH(INDEX('Structured 2025'!teamCol,ROW()),ovrTeamCol25,0),MATCH(MID(INDEX('Structured 2025'!headerRow,1,COLUMN()),4,LEN(INDEX('Structured 2025'!headerRow,1,COLUMN()))),ovrHeaderRow25,0))</f>
        <v>0.50900000000000001</v>
      </c>
      <c r="AU109" s="12">
        <f>INDEX(ovrTable25,MATCH(INDEX('Structured 2025'!teamCol,ROW()),ovrTeamCol25,0),MATCH(MID(INDEX('Structured 2025'!headerRow,1,COLUMN()),4,LEN(INDEX('Structured 2025'!headerRow,1,COLUMN()))),ovrHeaderRow25,0))</f>
        <v>15.59</v>
      </c>
      <c r="AV109" s="12">
        <f>INDEX(ovrTable25,MATCH(INDEX('Structured 2025'!teamCol,ROW()),ovrTeamCol25,0),MATCH(MID(INDEX('Structured 2025'!headerRow,1,COLUMN()),4,LEN(INDEX('Structured 2025'!headerRow,1,COLUMN()))),ovrHeaderRow25,0))</f>
        <v>45.8</v>
      </c>
      <c r="AW109" s="12">
        <f>INDEX(ovrTable25,MATCH(INDEX('Structured 2025'!teamCol,ROW()),ovrTeamCol25,0),MATCH(MID(INDEX('Structured 2025'!headerRow,1,COLUMN()),4,LEN(INDEX('Structured 2025'!headerRow,1,COLUMN()))),ovrHeaderRow25,0))</f>
        <v>16.7</v>
      </c>
      <c r="AX109" s="12">
        <f>INDEX(ovrTable25,MATCH(INDEX('Structured 2025'!teamCol,ROW()),ovrTeamCol25,0),MATCH(MID(INDEX('Structured 2025'!headerRow,1,COLUMN()),4,LEN(INDEX('Structured 2025'!headerRow,1,COLUMN()))),ovrHeaderRow25,0))</f>
        <v>77.900000000000006</v>
      </c>
      <c r="AY109" s="12">
        <f>INDEX(ovrTable25,MATCH(INDEX('Structured 2025'!teamCol,ROW()),ovrTeamCol25,0),MATCH(MID(INDEX('Structured 2025'!headerRow,1,COLUMN()),4,LEN(INDEX('Structured 2025'!headerRow,1,COLUMN()))),ovrHeaderRow25,0))</f>
        <v>22.4</v>
      </c>
      <c r="AZ109" s="12">
        <f>INDEX(ovrTable25,MATCH(INDEX('Structured 2025'!teamCol,ROW()),ovrTeamCol25,0),MATCH(MID(INDEX('Structured 2025'!headerRow,1,COLUMN()),4,LEN(INDEX('Structured 2025'!headerRow,1,COLUMN()))),ovrHeaderRow25,0))</f>
        <v>17.399999999999999</v>
      </c>
      <c r="BA109" s="12">
        <f>INDEX(ovrTable25,MATCH(INDEX('Structured 2025'!teamCol,ROW()),ovrTeamCol25,0),MATCH(MID(INDEX('Structured 2025'!headerRow,1,COLUMN()),4,LEN(INDEX('Structured 2025'!headerRow,1,COLUMN()))),ovrHeaderRow25,0))</f>
        <v>67.099999999999994</v>
      </c>
      <c r="BB109" s="12">
        <f>INDEX(ovrTable25,MATCH(INDEX('Structured 2025'!teamCol,ROW()),ovrTeamCol25,0),MATCH(MID(INDEX('Structured 2025'!headerRow,1,COLUMN()),4,LEN(INDEX('Structured 2025'!headerRow,1,COLUMN()))),ovrHeaderRow25,0))</f>
        <v>11.89</v>
      </c>
      <c r="BC109" s="12">
        <f>INDEX(ovrTable25,MATCH(INDEX('Structured 2025'!teamCol,ROW()),ovrTeamCol25,0),MATCH(MID(INDEX('Structured 2025'!headerRow,1,COLUMN()),4,LEN(INDEX('Structured 2025'!headerRow,1,COLUMN()))),ovrHeaderRow25,0))</f>
        <v>77.7</v>
      </c>
      <c r="BD109" s="12">
        <f>INDEX(ovrTable25,MATCH(INDEX('Structured 2025'!teamCol,ROW()),ovrTeamCol25,0),MATCH(MID(INDEX('Structured 2025'!headerRow,1,COLUMN()),4,LEN(INDEX('Structured 2025'!headerRow,1,COLUMN()))),ovrHeaderRow25,0))</f>
        <v>8.9</v>
      </c>
      <c r="BE109" s="12">
        <f>INDEX(ovrTable25,MATCH(INDEX('Structured 2025'!teamCol,ROW()),ovrTeamCol25,0),MATCH(MID(INDEX('Structured 2025'!headerRow,1,COLUMN()),4,LEN(INDEX('Structured 2025'!headerRow,1,COLUMN()))),ovrHeaderRow25,0))</f>
        <v>39.78</v>
      </c>
      <c r="BF109" s="12">
        <f>INDEX(ovrTable25,MATCH(INDEX('Structured 2025'!teamCol,ROW()),ovrTeamCol25,0),MATCH(MID(INDEX('Structured 2025'!headerRow,1,COLUMN()),4,LEN(INDEX('Structured 2025'!headerRow,1,COLUMN()))),ovrHeaderRow25,0))</f>
        <v>10.5</v>
      </c>
      <c r="BG109" s="12">
        <f>INDEX(ovrTable25,MATCH(INDEX('Structured 2025'!teamCol,ROW()),ovrTeamCol25,0),MATCH(MID(INDEX('Structured 2025'!headerRow,1,COLUMN()),4,LEN(INDEX('Structured 2025'!headerRow,1,COLUMN()))),ovrHeaderRow25,0))</f>
        <v>5.3</v>
      </c>
      <c r="BH109" s="12">
        <f>INDEX(ovrTable25,MATCH(INDEX('Structured 2025'!teamCol,ROW()),ovrTeamCol25,0),MATCH(MID(INDEX('Structured 2025'!headerRow,1,COLUMN()),4,LEN(INDEX('Structured 2025'!headerRow,1,COLUMN()))),ovrHeaderRow25,0))</f>
        <v>-0.3</v>
      </c>
      <c r="BI109" s="12">
        <f>INDEX(ovrTable25,MATCH(INDEX('Structured 2025'!teamCol,ROW()),ovrTeamCol25,0),MATCH(MID(INDEX('Structured 2025'!headerRow,1,COLUMN()),4,LEN(INDEX('Structured 2025'!headerRow,1,COLUMN()))),ovrHeaderRow25,0))</f>
        <v>11.03</v>
      </c>
      <c r="BJ109" s="12">
        <f>INDEX(ovrTable25,MATCH(INDEX('Structured 2025'!teamCol,ROW()),ovrTeamCol25,0),MATCH(MID(INDEX('Structured 2025'!headerRow,1,COLUMN()),4,LEN(INDEX('Structured 2025'!headerRow,1,COLUMN()))),ovrHeaderRow25,0))</f>
        <v>11.4</v>
      </c>
      <c r="BK109" s="12">
        <f>INDEX(ovrTable25,MATCH(INDEX('Structured 2025'!teamCol,ROW()),ovrTeamCol25,0),MATCH(MID(INDEX('Structured 2025'!headerRow,1,COLUMN()),4,LEN(INDEX('Structured 2025'!headerRow,1,COLUMN()))),ovrHeaderRow25,0))</f>
        <v>67.5</v>
      </c>
      <c r="BL109" s="12">
        <f>INDEX(ovrTable25,MATCH(INDEX('Structured 2025'!teamCol,ROW()),ovrTeamCol25,0),MATCH(MID(INDEX('Structured 2025'!headerRow,1,COLUMN()),4,LEN(INDEX('Structured 2025'!headerRow,1,COLUMN()))),ovrHeaderRow25,0))</f>
        <v>21.000000000000004</v>
      </c>
      <c r="BM109" s="12">
        <f>INDEX(ovrTable25,MATCH(INDEX('Structured 2025'!teamCol,ROW()),ovrTeamCol25,0),MATCH(MID(INDEX('Structured 2025'!headerRow,1,COLUMN()),4,LEN(INDEX('Structured 2025'!headerRow,1,COLUMN()))),ovrHeaderRow25,0))</f>
        <v>59.170305676855897</v>
      </c>
      <c r="BN109" s="12">
        <f>INDEX(ovrTable25,MATCH(INDEX(oppCol,ROW()),ovrTeamCol25,0),MATCH(MID(INDEX('Structured 2025'!headerRow,1,COLUMN()),4,LEN(INDEX('Structured 2025'!headerRow,1,COLUMN()))),ovrHeaderRow25,0))</f>
        <v>32.5</v>
      </c>
      <c r="BO109" s="12">
        <f>INDEX(ovrTable25,MATCH(INDEX(oppCol,ROW()),ovrTeamCol25,0),MATCH(MID(INDEX('Structured 2025'!headerRow,1,COLUMN()),4,LEN(INDEX('Structured 2025'!headerRow,1,COLUMN()))),ovrHeaderRow25,0))</f>
        <v>8.3000000000000007</v>
      </c>
      <c r="BP109" s="12">
        <f>INDEX(ovrTable25,MATCH(INDEX(oppCol,ROW()),ovrTeamCol25,0),MATCH(MID(INDEX('Structured 2025'!headerRow,1,COLUMN()),4,LEN(INDEX('Structured 2025'!headerRow,1,COLUMN()))),ovrHeaderRow25,0))</f>
        <v>34.799999999999997</v>
      </c>
      <c r="BQ109" s="12">
        <f>INDEX(ovrTable25,MATCH(INDEX(oppCol,ROW()),ovrTeamCol25,0),MATCH(MID(INDEX('Structured 2025'!headerRow,1,COLUMN()),4,LEN(INDEX('Structured 2025'!headerRow,1,COLUMN()))),ovrHeaderRow25,0))</f>
        <v>24</v>
      </c>
      <c r="BR109" s="12">
        <f>INDEX(ovrTable25,MATCH(INDEX(oppCol,ROW()),ovrTeamCol25,0),MATCH(MID(INDEX('Structured 2025'!headerRow,1,COLUMN()),4,LEN(INDEX('Structured 2025'!headerRow,1,COLUMN()))),ovrHeaderRow25,0))</f>
        <v>1.57</v>
      </c>
      <c r="BS109" s="12">
        <f>INDEX(ovrTable25,MATCH(INDEX(oppCol,ROW()),ovrTeamCol25,0),MATCH(MID(INDEX('Structured 2025'!headerRow,1,COLUMN()),4,LEN(INDEX('Structured 2025'!headerRow,1,COLUMN()))),ovrHeaderRow25,0))</f>
        <v>14.2</v>
      </c>
      <c r="BT109" s="12">
        <f>INDEX(ovrTable25,MATCH(INDEX(oppCol,ROW()),ovrTeamCol25,0),MATCH(MID(INDEX('Structured 2025'!headerRow,1,COLUMN()),4,LEN(INDEX('Structured 2025'!headerRow,1,COLUMN()))),ovrHeaderRow25,0))</f>
        <v>20.72</v>
      </c>
      <c r="BU109" s="12">
        <f>INDEX(ovrTable25,MATCH(INDEX(oppCol,ROW()),ovrTeamCol25,0),MATCH(MID(INDEX('Structured 2025'!headerRow,1,COLUMN()),4,LEN(INDEX('Structured 2025'!headerRow,1,COLUMN()))),ovrHeaderRow25,0))</f>
        <v>3.7</v>
      </c>
      <c r="BV109" s="12">
        <f>INDEX(ovrTable25,MATCH(INDEX(oppCol,ROW()),ovrTeamCol25,0),MATCH(MID(INDEX('Structured 2025'!headerRow,1,COLUMN()),4,LEN(INDEX('Structured 2025'!headerRow,1,COLUMN()))),ovrHeaderRow25,0))</f>
        <v>43.4</v>
      </c>
      <c r="BW109" s="12">
        <f>INDEX(ovrTable25,MATCH(INDEX(oppCol,ROW()),ovrTeamCol25,0),MATCH(MID(INDEX('Structured 2025'!headerRow,1,COLUMN()),4,LEN(INDEX('Structured 2025'!headerRow,1,COLUMN()))),ovrHeaderRow25,0))</f>
        <v>23.94</v>
      </c>
      <c r="BX109" s="12">
        <f>INDEX(ovrTable25,MATCH(INDEX(oppCol,ROW()),ovrTeamCol25,0),MATCH(MID(INDEX('Structured 2025'!headerRow,1,COLUMN()),4,LEN(INDEX('Structured 2025'!headerRow,1,COLUMN()))),ovrHeaderRow25,0))</f>
        <v>0.51400000000000001</v>
      </c>
      <c r="BY109" s="12">
        <f>INDEX(ovrTable25,MATCH(INDEX(oppCol,ROW()),ovrTeamCol25,0),MATCH(MID(INDEX('Structured 2025'!headerRow,1,COLUMN()),4,LEN(INDEX('Structured 2025'!headerRow,1,COLUMN()))),ovrHeaderRow25,0))</f>
        <v>10.75</v>
      </c>
      <c r="BZ109" s="12">
        <f>INDEX(ovrTable25,MATCH(INDEX(oppCol,ROW()),ovrTeamCol25,0),MATCH(MID(INDEX('Structured 2025'!headerRow,1,COLUMN()),4,LEN(INDEX('Structured 2025'!headerRow,1,COLUMN()))),ovrHeaderRow25,0))</f>
        <v>44.5</v>
      </c>
      <c r="CA109" s="12">
        <f>INDEX(ovrTable25,MATCH(INDEX(oppCol,ROW()),ovrTeamCol25,0),MATCH(MID(INDEX('Structured 2025'!headerRow,1,COLUMN()),4,LEN(INDEX('Structured 2025'!headerRow,1,COLUMN()))),ovrHeaderRow25,0))</f>
        <v>18.3</v>
      </c>
      <c r="CB109" s="12">
        <f>INDEX(ovrTable25,MATCH(INDEX(oppCol,ROW()),ovrTeamCol25,0),MATCH(MID(INDEX('Structured 2025'!headerRow,1,COLUMN()),4,LEN(INDEX('Structured 2025'!headerRow,1,COLUMN()))),ovrHeaderRow25,0))</f>
        <v>73.8</v>
      </c>
      <c r="CC109" s="12">
        <f>INDEX(ovrTable25,MATCH(INDEX(oppCol,ROW()),ovrTeamCol25,0),MATCH(MID(INDEX('Structured 2025'!headerRow,1,COLUMN()),4,LEN(INDEX('Structured 2025'!headerRow,1,COLUMN()))),ovrHeaderRow25,0))</f>
        <v>21.1</v>
      </c>
      <c r="CD109" s="12">
        <f>INDEX(ovrTable25,MATCH(INDEX(oppCol,ROW()),ovrTeamCol25,0),MATCH(MID(INDEX('Structured 2025'!headerRow,1,COLUMN()),4,LEN(INDEX('Structured 2025'!headerRow,1,COLUMN()))),ovrHeaderRow25,0))</f>
        <v>15.6</v>
      </c>
      <c r="CE109" s="12">
        <f>INDEX(ovrTable25,MATCH(INDEX(oppCol,ROW()),ovrTeamCol25,0),MATCH(MID(INDEX('Structured 2025'!headerRow,1,COLUMN()),4,LEN(INDEX('Structured 2025'!headerRow,1,COLUMN()))),ovrHeaderRow25,0))</f>
        <v>71.599999999999994</v>
      </c>
      <c r="CF109" s="12">
        <f>INDEX(ovrTable25,MATCH(INDEX(oppCol,ROW()),ovrTeamCol25,0),MATCH(MID(INDEX('Structured 2025'!headerRow,1,COLUMN()),4,LEN(INDEX('Structured 2025'!headerRow,1,COLUMN()))),ovrHeaderRow25,0))</f>
        <v>9.19</v>
      </c>
      <c r="CG109" s="12">
        <f>INDEX(ovrTable25,MATCH(INDEX(oppCol,ROW()),ovrTeamCol25,0),MATCH(MID(INDEX('Structured 2025'!headerRow,1,COLUMN()),4,LEN(INDEX('Structured 2025'!headerRow,1,COLUMN()))),ovrHeaderRow25,0))</f>
        <v>77.2</v>
      </c>
      <c r="CH109" s="12">
        <f>INDEX(ovrTable25,MATCH(INDEX(oppCol,ROW()),ovrTeamCol25,0),MATCH(MID(INDEX('Structured 2025'!headerRow,1,COLUMN()),4,LEN(INDEX('Structured 2025'!headerRow,1,COLUMN()))),ovrHeaderRow25,0))</f>
        <v>-4.0999999999999996</v>
      </c>
      <c r="CI109" s="12">
        <f>INDEX(ovrTable25,MATCH(INDEX(oppCol,ROW()),ovrTeamCol25,0),MATCH(MID(INDEX('Structured 2025'!headerRow,1,COLUMN()),4,LEN(INDEX('Structured 2025'!headerRow,1,COLUMN()))),ovrHeaderRow25,0))</f>
        <v>33.14</v>
      </c>
      <c r="CJ109" s="12">
        <f>INDEX(ovrTable25,MATCH(INDEX(oppCol,ROW()),ovrTeamCol25,0),MATCH(MID(INDEX('Structured 2025'!headerRow,1,COLUMN()),4,LEN(INDEX('Structured 2025'!headerRow,1,COLUMN()))),ovrHeaderRow25,0))</f>
        <v>5.6</v>
      </c>
      <c r="CK109" s="12">
        <f>INDEX(ovrTable25,MATCH(INDEX(oppCol,ROW()),ovrTeamCol25,0),MATCH(MID(INDEX('Structured 2025'!headerRow,1,COLUMN()),4,LEN(INDEX('Structured 2025'!headerRow,1,COLUMN()))),ovrHeaderRow25,0))</f>
        <v>8.8000000000000007</v>
      </c>
      <c r="CL109" s="12">
        <f>INDEX(ovrTable25,MATCH(INDEX(oppCol,ROW()),ovrTeamCol25,0),MATCH(MID(INDEX('Structured 2025'!headerRow,1,COLUMN()),4,LEN(INDEX('Structured 2025'!headerRow,1,COLUMN()))),ovrHeaderRow25,0))</f>
        <v>5.0999999999999996</v>
      </c>
      <c r="CM109" s="12">
        <f>INDEX(ovrTable25,MATCH(INDEX(oppCol,ROW()),ovrTeamCol25,0),MATCH(MID(INDEX('Structured 2025'!headerRow,1,COLUMN()),4,LEN(INDEX('Structured 2025'!headerRow,1,COLUMN()))),ovrHeaderRow25,0))</f>
        <v>14.08</v>
      </c>
      <c r="CN109" s="12">
        <f>INDEX(ovrTable25,MATCH(INDEX(oppCol,ROW()),ovrTeamCol25,0),MATCH(MID(INDEX('Structured 2025'!headerRow,1,COLUMN()),4,LEN(INDEX('Structured 2025'!headerRow,1,COLUMN()))),ovrHeaderRow25,0))</f>
        <v>9</v>
      </c>
      <c r="CO109" s="12">
        <f>INDEX(ovrTable25,MATCH(INDEX(oppCol,ROW()),ovrTeamCol25,0),MATCH(MID(INDEX('Structured 2025'!headerRow,1,COLUMN()),4,LEN(INDEX('Structured 2025'!headerRow,1,COLUMN()))),ovrHeaderRow25,0))</f>
        <v>68.099999999999994</v>
      </c>
      <c r="CP109" s="12">
        <f>INDEX(ovrTable25,MATCH(INDEX(oppCol,ROW()),ovrTeamCol25,0),MATCH(MID(INDEX('Structured 2025'!headerRow,1,COLUMN()),4,LEN(INDEX('Structured 2025'!headerRow,1,COLUMN()))),ovrHeaderRow25,0))</f>
        <v>18.350000000000001</v>
      </c>
      <c r="CQ109" s="12">
        <f>INDEX(ovrTable25,MATCH(INDEX(oppCol,ROW()),ovrTeamCol25,0),MATCH(MID(INDEX('Structured 2025'!headerRow,1,COLUMN()),4,LEN(INDEX('Structured 2025'!headerRow,1,COLUMN()))),ovrHeaderRow25,0))</f>
        <v>59.887640449438202</v>
      </c>
    </row>
    <row r="110" spans="1:95" x14ac:dyDescent="0.3">
      <c r="A110" s="6" t="s">
        <v>48</v>
      </c>
      <c r="B110" s="3">
        <v>1</v>
      </c>
      <c r="C110" s="13" t="str">
        <f>A111</f>
        <v>ARIZ</v>
      </c>
      <c r="D110" s="14">
        <f t="shared" si="111"/>
        <v>55</v>
      </c>
      <c r="E110" s="23">
        <v>0.46153846153846156</v>
      </c>
      <c r="F110" s="24">
        <v>60</v>
      </c>
      <c r="G110" s="24">
        <v>11</v>
      </c>
      <c r="H110" s="23">
        <v>57.894736842105267</v>
      </c>
      <c r="I110" s="24">
        <v>19</v>
      </c>
      <c r="J110" s="25">
        <v>2.2222222222222223</v>
      </c>
      <c r="K110" s="24">
        <v>23</v>
      </c>
      <c r="L110" s="24">
        <v>27</v>
      </c>
      <c r="M110" s="24">
        <v>7</v>
      </c>
      <c r="N110" s="24">
        <v>23</v>
      </c>
      <c r="O110" s="24">
        <v>20</v>
      </c>
      <c r="P110" s="24">
        <v>2</v>
      </c>
      <c r="Q110" s="24">
        <v>7</v>
      </c>
      <c r="R110" s="24">
        <v>9</v>
      </c>
      <c r="S110" s="24">
        <v>5</v>
      </c>
      <c r="T110" s="24">
        <v>22</v>
      </c>
      <c r="U110" s="24">
        <v>14</v>
      </c>
      <c r="V110" s="24">
        <v>0.45454545454545453</v>
      </c>
      <c r="W110" s="26">
        <v>0.7</v>
      </c>
      <c r="X110" s="23">
        <v>85.18518518518519</v>
      </c>
      <c r="Y110" s="24">
        <v>93</v>
      </c>
      <c r="Z110" s="24">
        <v>100</v>
      </c>
      <c r="AA110" s="24">
        <v>3</v>
      </c>
      <c r="AB110" s="24">
        <v>30</v>
      </c>
      <c r="AC110" s="24">
        <v>7</v>
      </c>
      <c r="AD110" s="24">
        <v>-3</v>
      </c>
      <c r="AE110" s="24">
        <v>6</v>
      </c>
      <c r="AF110" s="34">
        <f t="shared" si="105"/>
        <v>22</v>
      </c>
      <c r="AG110" s="34">
        <f t="shared" si="106"/>
        <v>36</v>
      </c>
      <c r="AH110" s="46">
        <f t="shared" si="107"/>
        <v>69.825000000000003</v>
      </c>
      <c r="AI110" s="51">
        <f t="shared" ref="AI110" si="121">AVERAGE(AH110,AH111)</f>
        <v>70.375</v>
      </c>
      <c r="AJ110" s="12">
        <f>INDEX(ovrTable25,MATCH(INDEX('Structured 2025'!teamCol,ROW()),ovrTeamCol25,0),MATCH(MID(INDEX('Structured 2025'!headerRow,1,COLUMN()),4,LEN(INDEX('Structured 2025'!headerRow,1,COLUMN()))),ovrHeaderRow25,0))</f>
        <v>31.2</v>
      </c>
      <c r="AK110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110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110" s="12">
        <f>INDEX(ovrTable25,MATCH(INDEX('Structured 2025'!teamCol,ROW()),ovrTeamCol25,0),MATCH(MID(INDEX('Structured 2025'!headerRow,1,COLUMN()),4,LEN(INDEX('Structured 2025'!headerRow,1,COLUMN()))),ovrHeaderRow25,0))</f>
        <v>21.6</v>
      </c>
      <c r="AN110" s="12">
        <f>INDEX(ovrTable25,MATCH(INDEX('Structured 2025'!teamCol,ROW()),ovrTeamCol25,0),MATCH(MID(INDEX('Structured 2025'!headerRow,1,COLUMN()),4,LEN(INDEX('Structured 2025'!headerRow,1,COLUMN()))),ovrHeaderRow25,0))</f>
        <v>1.53</v>
      </c>
      <c r="AO110" s="12">
        <f>INDEX(ovrTable25,MATCH(INDEX('Structured 2025'!teamCol,ROW()),ovrTeamCol25,0),MATCH(MID(INDEX('Structured 2025'!headerRow,1,COLUMN()),4,LEN(INDEX('Structured 2025'!headerRow,1,COLUMN()))),ovrHeaderRow25,0))</f>
        <v>15.9</v>
      </c>
      <c r="AP110" s="12">
        <f>INDEX(ovrTable25,MATCH(INDEX('Structured 2025'!teamCol,ROW()),ovrTeamCol25,0),MATCH(MID(INDEX('Structured 2025'!headerRow,1,COLUMN()),4,LEN(INDEX('Structured 2025'!headerRow,1,COLUMN()))),ovrHeaderRow25,0))</f>
        <v>17.03</v>
      </c>
      <c r="AQ110" s="12">
        <f>INDEX(ovrTable25,MATCH(INDEX('Structured 2025'!teamCol,ROW()),ovrTeamCol25,0),MATCH(MID(INDEX('Structured 2025'!headerRow,1,COLUMN()),4,LEN(INDEX('Structured 2025'!headerRow,1,COLUMN()))),ovrHeaderRow25,0))</f>
        <v>1.6</v>
      </c>
      <c r="AR110" s="12">
        <f>INDEX(ovrTable25,MATCH(INDEX('Structured 2025'!teamCol,ROW()),ovrTeamCol25,0),MATCH(MID(INDEX('Structured 2025'!headerRow,1,COLUMN()),4,LEN(INDEX('Structured 2025'!headerRow,1,COLUMN()))),ovrHeaderRow25,0))</f>
        <v>45.2</v>
      </c>
      <c r="AS110" s="12">
        <f>INDEX(ovrTable25,MATCH(INDEX('Structured 2025'!teamCol,ROW()),ovrTeamCol25,0),MATCH(MID(INDEX('Structured 2025'!headerRow,1,COLUMN()),4,LEN(INDEX('Structured 2025'!headerRow,1,COLUMN()))),ovrHeaderRow25,0))</f>
        <v>23.08</v>
      </c>
      <c r="AT110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110" s="12">
        <f>INDEX(ovrTable25,MATCH(INDEX('Structured 2025'!teamCol,ROW()),ovrTeamCol25,0),MATCH(MID(INDEX('Structured 2025'!headerRow,1,COLUMN()),4,LEN(INDEX('Structured 2025'!headerRow,1,COLUMN()))),ovrHeaderRow25,0))</f>
        <v>7.83</v>
      </c>
      <c r="AV110" s="12">
        <f>INDEX(ovrTable25,MATCH(INDEX('Structured 2025'!teamCol,ROW()),ovrTeamCol25,0),MATCH(MID(INDEX('Structured 2025'!headerRow,1,COLUMN()),4,LEN(INDEX('Structured 2025'!headerRow,1,COLUMN()))),ovrHeaderRow25,0))</f>
        <v>48.6</v>
      </c>
      <c r="AW110" s="12">
        <f>INDEX(ovrTable25,MATCH(INDEX('Structured 2025'!teamCol,ROW()),ovrTeamCol25,0),MATCH(MID(INDEX('Structured 2025'!headerRow,1,COLUMN()),4,LEN(INDEX('Structured 2025'!headerRow,1,COLUMN()))),ovrHeaderRow25,0))</f>
        <v>15.8</v>
      </c>
      <c r="AX110" s="12">
        <f>INDEX(ovrTable25,MATCH(INDEX('Structured 2025'!teamCol,ROW()),ovrTeamCol25,0),MATCH(MID(INDEX('Structured 2025'!headerRow,1,COLUMN()),4,LEN(INDEX('Structured 2025'!headerRow,1,COLUMN()))),ovrHeaderRow25,0))</f>
        <v>73.2</v>
      </c>
      <c r="AY110" s="12">
        <f>INDEX(ovrTable25,MATCH(INDEX('Structured 2025'!teamCol,ROW()),ovrTeamCol25,0),MATCH(MID(INDEX('Structured 2025'!headerRow,1,COLUMN()),4,LEN(INDEX('Structured 2025'!headerRow,1,COLUMN()))),ovrHeaderRow25,0))</f>
        <v>19.5</v>
      </c>
      <c r="AZ110" s="12">
        <f>INDEX(ovrTable25,MATCH(INDEX('Structured 2025'!teamCol,ROW()),ovrTeamCol25,0),MATCH(MID(INDEX('Structured 2025'!headerRow,1,COLUMN()),4,LEN(INDEX('Structured 2025'!headerRow,1,COLUMN()))),ovrHeaderRow25,0))</f>
        <v>14.3</v>
      </c>
      <c r="BA110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110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110" s="12">
        <f>INDEX(ovrTable25,MATCH(INDEX('Structured 2025'!teamCol,ROW()),ovrTeamCol25,0),MATCH(MID(INDEX('Structured 2025'!headerRow,1,COLUMN()),4,LEN(INDEX('Structured 2025'!headerRow,1,COLUMN()))),ovrHeaderRow25,0))</f>
        <v>77.3</v>
      </c>
      <c r="BD110" s="12">
        <f>INDEX(ovrTable25,MATCH(INDEX('Structured 2025'!teamCol,ROW()),ovrTeamCol25,0),MATCH(MID(INDEX('Structured 2025'!headerRow,1,COLUMN()),4,LEN(INDEX('Structured 2025'!headerRow,1,COLUMN()))),ovrHeaderRow25,0))</f>
        <v>2.1</v>
      </c>
      <c r="BE110" s="12">
        <f>INDEX(ovrTable25,MATCH(INDEX('Structured 2025'!teamCol,ROW()),ovrTeamCol25,0),MATCH(MID(INDEX('Structured 2025'!headerRow,1,COLUMN()),4,LEN(INDEX('Structured 2025'!headerRow,1,COLUMN()))),ovrHeaderRow25,0))</f>
        <v>32.86</v>
      </c>
      <c r="BF110" s="12">
        <f>INDEX(ovrTable25,MATCH(INDEX('Structured 2025'!teamCol,ROW()),ovrTeamCol25,0),MATCH(MID(INDEX('Structured 2025'!headerRow,1,COLUMN()),4,LEN(INDEX('Structured 2025'!headerRow,1,COLUMN()))),ovrHeaderRow25,0))</f>
        <v>6.9</v>
      </c>
      <c r="BG110" s="12">
        <f>INDEX(ovrTable25,MATCH(INDEX('Structured 2025'!teamCol,ROW()),ovrTeamCol25,0),MATCH(MID(INDEX('Structured 2025'!headerRow,1,COLUMN()),4,LEN(INDEX('Structured 2025'!headerRow,1,COLUMN()))),ovrHeaderRow25,0))</f>
        <v>6.4</v>
      </c>
      <c r="BH110" s="12">
        <f>INDEX(ovrTable25,MATCH(INDEX('Structured 2025'!teamCol,ROW()),ovrTeamCol25,0),MATCH(MID(INDEX('Structured 2025'!headerRow,1,COLUMN()),4,LEN(INDEX('Structured 2025'!headerRow,1,COLUMN()))),ovrHeaderRow25,0))</f>
        <v>1.2</v>
      </c>
      <c r="BI110" s="12">
        <f>INDEX(ovrTable25,MATCH(INDEX('Structured 2025'!teamCol,ROW()),ovrTeamCol25,0),MATCH(MID(INDEX('Structured 2025'!headerRow,1,COLUMN()),4,LEN(INDEX('Structured 2025'!headerRow,1,COLUMN()))),ovrHeaderRow25,0))</f>
        <v>11.61</v>
      </c>
      <c r="BJ110" s="12">
        <f>INDEX(ovrTable25,MATCH(INDEX('Structured 2025'!teamCol,ROW()),ovrTeamCol25,0),MATCH(MID(INDEX('Structured 2025'!headerRow,1,COLUMN()),4,LEN(INDEX('Structured 2025'!headerRow,1,COLUMN()))),ovrHeaderRow25,0))</f>
        <v>10.4</v>
      </c>
      <c r="BK110" s="12">
        <f>INDEX(ovrTable25,MATCH(INDEX('Structured 2025'!teamCol,ROW()),ovrTeamCol25,0),MATCH(MID(INDEX('Structured 2025'!headerRow,1,COLUMN()),4,LEN(INDEX('Structured 2025'!headerRow,1,COLUMN()))),ovrHeaderRow25,0))</f>
        <v>66</v>
      </c>
      <c r="BL110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110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110" s="12">
        <f>INDEX(ovrTable25,MATCH(INDEX(oppCol,ROW()),ovrTeamCol25,0),MATCH(MID(INDEX('Structured 2025'!headerRow,1,COLUMN()),4,LEN(INDEX('Structured 2025'!headerRow,1,COLUMN()))),ovrHeaderRow25,0))</f>
        <v>34</v>
      </c>
      <c r="BO110" s="12">
        <f>INDEX(ovrTable25,MATCH(INDEX(oppCol,ROW()),ovrTeamCol25,0),MATCH(MID(INDEX('Structured 2025'!headerRow,1,COLUMN()),4,LEN(INDEX('Structured 2025'!headerRow,1,COLUMN()))),ovrHeaderRow25,0))</f>
        <v>7.2</v>
      </c>
      <c r="BP110" s="12">
        <f>INDEX(ovrTable25,MATCH(INDEX(oppCol,ROW()),ovrTeamCol25,0),MATCH(MID(INDEX('Structured 2025'!headerRow,1,COLUMN()),4,LEN(INDEX('Structured 2025'!headerRow,1,COLUMN()))),ovrHeaderRow25,0))</f>
        <v>33.799999999999997</v>
      </c>
      <c r="BQ110" s="12">
        <f>INDEX(ovrTable25,MATCH(INDEX(oppCol,ROW()),ovrTeamCol25,0),MATCH(MID(INDEX('Structured 2025'!headerRow,1,COLUMN()),4,LEN(INDEX('Structured 2025'!headerRow,1,COLUMN()))),ovrHeaderRow25,0))</f>
        <v>21.3</v>
      </c>
      <c r="BR110" s="12">
        <f>INDEX(ovrTable25,MATCH(INDEX(oppCol,ROW()),ovrTeamCol25,0),MATCH(MID(INDEX('Structured 2025'!headerRow,1,COLUMN()),4,LEN(INDEX('Structured 2025'!headerRow,1,COLUMN()))),ovrHeaderRow25,0))</f>
        <v>1.42</v>
      </c>
      <c r="BS110" s="12">
        <f>INDEX(ovrTable25,MATCH(INDEX(oppCol,ROW()),ovrTeamCol25,0),MATCH(MID(INDEX('Structured 2025'!headerRow,1,COLUMN()),4,LEN(INDEX('Structured 2025'!headerRow,1,COLUMN()))),ovrHeaderRow25,0))</f>
        <v>16.2</v>
      </c>
      <c r="BT110" s="12">
        <f>INDEX(ovrTable25,MATCH(INDEX(oppCol,ROW()),ovrTeamCol25,0),MATCH(MID(INDEX('Structured 2025'!headerRow,1,COLUMN()),4,LEN(INDEX('Structured 2025'!headerRow,1,COLUMN()))),ovrHeaderRow25,0))</f>
        <v>29.57</v>
      </c>
      <c r="BU110" s="12">
        <f>INDEX(ovrTable25,MATCH(INDEX(oppCol,ROW()),ovrTeamCol25,0),MATCH(MID(INDEX('Structured 2025'!headerRow,1,COLUMN()),4,LEN(INDEX('Structured 2025'!headerRow,1,COLUMN()))),ovrHeaderRow25,0))</f>
        <v>4.4000000000000004</v>
      </c>
      <c r="BV110" s="12">
        <f>INDEX(ovrTable25,MATCH(INDEX(oppCol,ROW()),ovrTeamCol25,0),MATCH(MID(INDEX('Structured 2025'!headerRow,1,COLUMN()),4,LEN(INDEX('Structured 2025'!headerRow,1,COLUMN()))),ovrHeaderRow25,0))</f>
        <v>41.9</v>
      </c>
      <c r="BW110" s="12">
        <f>INDEX(ovrTable25,MATCH(INDEX(oppCol,ROW()),ovrTeamCol25,0),MATCH(MID(INDEX('Structured 2025'!headerRow,1,COLUMN()),4,LEN(INDEX('Structured 2025'!headerRow,1,COLUMN()))),ovrHeaderRow25,0))</f>
        <v>27.41</v>
      </c>
      <c r="BX110" s="12">
        <f>INDEX(ovrTable25,MATCH(INDEX(oppCol,ROW()),ovrTeamCol25,0),MATCH(MID(INDEX('Structured 2025'!headerRow,1,COLUMN()),4,LEN(INDEX('Structured 2025'!headerRow,1,COLUMN()))),ovrHeaderRow25,0))</f>
        <v>0.53300000000000003</v>
      </c>
      <c r="BY110" s="12">
        <f>INDEX(ovrTable25,MATCH(INDEX(oppCol,ROW()),ovrTeamCol25,0),MATCH(MID(INDEX('Structured 2025'!headerRow,1,COLUMN()),4,LEN(INDEX('Structured 2025'!headerRow,1,COLUMN()))),ovrHeaderRow25,0))</f>
        <v>13.76</v>
      </c>
      <c r="BZ110" s="12">
        <f>INDEX(ovrTable25,MATCH(INDEX(oppCol,ROW()),ovrTeamCol25,0),MATCH(MID(INDEX('Structured 2025'!headerRow,1,COLUMN()),4,LEN(INDEX('Structured 2025'!headerRow,1,COLUMN()))),ovrHeaderRow25,0))</f>
        <v>47.4</v>
      </c>
      <c r="CA110" s="12">
        <f>INDEX(ovrTable25,MATCH(INDEX(oppCol,ROW()),ovrTeamCol25,0),MATCH(MID(INDEX('Structured 2025'!headerRow,1,COLUMN()),4,LEN(INDEX('Structured 2025'!headerRow,1,COLUMN()))),ovrHeaderRow25,0))</f>
        <v>16.899999999999999</v>
      </c>
      <c r="CB110" s="12">
        <f>INDEX(ovrTable25,MATCH(INDEX(oppCol,ROW()),ovrTeamCol25,0),MATCH(MID(INDEX('Structured 2025'!headerRow,1,COLUMN()),4,LEN(INDEX('Structured 2025'!headerRow,1,COLUMN()))),ovrHeaderRow25,0))</f>
        <v>78</v>
      </c>
      <c r="CC110" s="12">
        <f>INDEX(ovrTable25,MATCH(INDEX(oppCol,ROW()),ovrTeamCol25,0),MATCH(MID(INDEX('Structured 2025'!headerRow,1,COLUMN()),4,LEN(INDEX('Structured 2025'!headerRow,1,COLUMN()))),ovrHeaderRow25,0))</f>
        <v>22</v>
      </c>
      <c r="CD110" s="12">
        <f>INDEX(ovrTable25,MATCH(INDEX(oppCol,ROW()),ovrTeamCol25,0),MATCH(MID(INDEX('Structured 2025'!headerRow,1,COLUMN()),4,LEN(INDEX('Structured 2025'!headerRow,1,COLUMN()))),ovrHeaderRow25,0))</f>
        <v>17.100000000000001</v>
      </c>
      <c r="CE110" s="12">
        <f>INDEX(ovrTable25,MATCH(INDEX(oppCol,ROW()),ovrTeamCol25,0),MATCH(MID(INDEX('Structured 2025'!headerRow,1,COLUMN()),4,LEN(INDEX('Structured 2025'!headerRow,1,COLUMN()))),ovrHeaderRow25,0))</f>
        <v>73.3</v>
      </c>
      <c r="CF110" s="12">
        <f>INDEX(ovrTable25,MATCH(INDEX(oppCol,ROW()),ovrTeamCol25,0),MATCH(MID(INDEX('Structured 2025'!headerRow,1,COLUMN()),4,LEN(INDEX('Structured 2025'!headerRow,1,COLUMN()))),ovrHeaderRow25,0))</f>
        <v>12.32</v>
      </c>
      <c r="CG110" s="12">
        <f>INDEX(ovrTable25,MATCH(INDEX(oppCol,ROW()),ovrTeamCol25,0),MATCH(MID(INDEX('Structured 2025'!headerRow,1,COLUMN()),4,LEN(INDEX('Structured 2025'!headerRow,1,COLUMN()))),ovrHeaderRow25,0))</f>
        <v>82.5</v>
      </c>
      <c r="CH110" s="12">
        <f>INDEX(ovrTable25,MATCH(INDEX(oppCol,ROW()),ovrTeamCol25,0),MATCH(MID(INDEX('Structured 2025'!headerRow,1,COLUMN()),4,LEN(INDEX('Structured 2025'!headerRow,1,COLUMN()))),ovrHeaderRow25,0))</f>
        <v>7.2</v>
      </c>
      <c r="CI110" s="12">
        <f>INDEX(ovrTable25,MATCH(INDEX(oppCol,ROW()),ovrTeamCol25,0),MATCH(MID(INDEX('Structured 2025'!headerRow,1,COLUMN()),4,LEN(INDEX('Structured 2025'!headerRow,1,COLUMN()))),ovrHeaderRow25,0))</f>
        <v>39.729999999999997</v>
      </c>
      <c r="CJ110" s="12">
        <f>INDEX(ovrTable25,MATCH(INDEX(oppCol,ROW()),ovrTeamCol25,0),MATCH(MID(INDEX('Structured 2025'!headerRow,1,COLUMN()),4,LEN(INDEX('Structured 2025'!headerRow,1,COLUMN()))),ovrHeaderRow25,0))</f>
        <v>9.1999999999999993</v>
      </c>
      <c r="CK110" s="12">
        <f>INDEX(ovrTable25,MATCH(INDEX(oppCol,ROW()),ovrTeamCol25,0),MATCH(MID(INDEX('Structured 2025'!headerRow,1,COLUMN()),4,LEN(INDEX('Structured 2025'!headerRow,1,COLUMN()))),ovrHeaderRow25,0))</f>
        <v>7.5</v>
      </c>
      <c r="CL110" s="12">
        <f>INDEX(ovrTable25,MATCH(INDEX(oppCol,ROW()),ovrTeamCol25,0),MATCH(MID(INDEX('Structured 2025'!headerRow,1,COLUMN()),4,LEN(INDEX('Structured 2025'!headerRow,1,COLUMN()))),ovrHeaderRow25,0))</f>
        <v>0.1</v>
      </c>
      <c r="CM110" s="12">
        <f>INDEX(ovrTable25,MATCH(INDEX(oppCol,ROW()),ovrTeamCol25,0),MATCH(MID(INDEX('Structured 2025'!headerRow,1,COLUMN()),4,LEN(INDEX('Structured 2025'!headerRow,1,COLUMN()))),ovrHeaderRow25,0))</f>
        <v>11.49</v>
      </c>
      <c r="CN110" s="12">
        <f>INDEX(ovrTable25,MATCH(INDEX(oppCol,ROW()),ovrTeamCol25,0),MATCH(MID(INDEX('Structured 2025'!headerRow,1,COLUMN()),4,LEN(INDEX('Structured 2025'!headerRow,1,COLUMN()))),ovrHeaderRow25,0))</f>
        <v>11.4</v>
      </c>
      <c r="CO110" s="12">
        <f>INDEX(ovrTable25,MATCH(INDEX(oppCol,ROW()),ovrTeamCol25,0),MATCH(MID(INDEX('Structured 2025'!headerRow,1,COLUMN()),4,LEN(INDEX('Structured 2025'!headerRow,1,COLUMN()))),ovrHeaderRow25,0))</f>
        <v>70.3</v>
      </c>
      <c r="CP110" s="12">
        <f>INDEX(ovrTable25,MATCH(INDEX(oppCol,ROW()),ovrTeamCol25,0),MATCH(MID(INDEX('Structured 2025'!headerRow,1,COLUMN()),4,LEN(INDEX('Structured 2025'!headerRow,1,COLUMN()))),ovrHeaderRow25,0))</f>
        <v>21.900000000000002</v>
      </c>
      <c r="CQ110" s="12">
        <f>INDEX(ovrTable25,MATCH(INDEX(oppCol,ROW()),ovrTeamCol25,0),MATCH(MID(INDEX('Structured 2025'!headerRow,1,COLUMN()),4,LEN(INDEX('Structured 2025'!headerRow,1,COLUMN()))),ovrHeaderRow25,0))</f>
        <v>61.392405063291143</v>
      </c>
    </row>
    <row r="111" spans="1:95" x14ac:dyDescent="0.3">
      <c r="A111" s="6" t="s">
        <v>19</v>
      </c>
      <c r="B111" s="3">
        <v>4</v>
      </c>
      <c r="C111" s="13" t="str">
        <f>A110</f>
        <v>DUKE</v>
      </c>
      <c r="D111" s="14">
        <f t="shared" si="111"/>
        <v>55</v>
      </c>
      <c r="E111" s="23">
        <v>0.57894736842105265</v>
      </c>
      <c r="F111" s="24">
        <v>45.454545454545453</v>
      </c>
      <c r="G111" s="24">
        <v>12</v>
      </c>
      <c r="H111" s="23">
        <v>46.153846153846153</v>
      </c>
      <c r="I111" s="24">
        <v>26</v>
      </c>
      <c r="J111" s="25">
        <v>1.6666666666666667</v>
      </c>
      <c r="K111" s="24">
        <v>21</v>
      </c>
      <c r="L111" s="24">
        <v>23</v>
      </c>
      <c r="M111" s="24">
        <v>12</v>
      </c>
      <c r="N111" s="24">
        <v>15</v>
      </c>
      <c r="O111" s="24">
        <v>10</v>
      </c>
      <c r="P111" s="24">
        <v>5</v>
      </c>
      <c r="Q111" s="24">
        <v>1</v>
      </c>
      <c r="R111" s="24">
        <v>6</v>
      </c>
      <c r="S111" s="24">
        <v>10</v>
      </c>
      <c r="T111" s="24">
        <v>24</v>
      </c>
      <c r="U111" s="24">
        <v>30</v>
      </c>
      <c r="V111" s="24">
        <v>0.6</v>
      </c>
      <c r="W111" s="26">
        <v>0.54545454545454541</v>
      </c>
      <c r="X111" s="23">
        <v>91.304347826086953</v>
      </c>
      <c r="Y111" s="24">
        <v>100</v>
      </c>
      <c r="Z111" s="24">
        <v>93</v>
      </c>
      <c r="AA111" s="24">
        <v>-3</v>
      </c>
      <c r="AB111" s="24">
        <v>27</v>
      </c>
      <c r="AC111" s="24">
        <v>-7</v>
      </c>
      <c r="AD111" s="24">
        <v>3</v>
      </c>
      <c r="AE111" s="24">
        <v>9</v>
      </c>
      <c r="AF111" s="34">
        <f t="shared" si="105"/>
        <v>18</v>
      </c>
      <c r="AG111" s="34">
        <f t="shared" si="106"/>
        <v>40</v>
      </c>
      <c r="AH111" s="46">
        <f t="shared" si="107"/>
        <v>70.924999999999997</v>
      </c>
      <c r="AI111" s="51">
        <f t="shared" ref="AI111" si="122">AVERAGE(AH110,AH111)</f>
        <v>70.375</v>
      </c>
      <c r="AJ111" s="12">
        <f>INDEX(ovrTable25,MATCH(INDEX('Structured 2025'!teamCol,ROW()),ovrTeamCol25,0),MATCH(MID(INDEX('Structured 2025'!headerRow,1,COLUMN()),4,LEN(INDEX('Structured 2025'!headerRow,1,COLUMN()))),ovrHeaderRow25,0))</f>
        <v>34</v>
      </c>
      <c r="AK111" s="12">
        <f>INDEX(ovrTable25,MATCH(INDEX('Structured 2025'!teamCol,ROW()),ovrTeamCol25,0),MATCH(MID(INDEX('Structured 2025'!headerRow,1,COLUMN()),4,LEN(INDEX('Structured 2025'!headerRow,1,COLUMN()))),ovrHeaderRow25,0))</f>
        <v>7.2</v>
      </c>
      <c r="AL111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M111" s="12">
        <f>INDEX(ovrTable25,MATCH(INDEX('Structured 2025'!teamCol,ROW()),ovrTeamCol25,0),MATCH(MID(INDEX('Structured 2025'!headerRow,1,COLUMN()),4,LEN(INDEX('Structured 2025'!headerRow,1,COLUMN()))),ovrHeaderRow25,0))</f>
        <v>21.3</v>
      </c>
      <c r="AN111" s="12">
        <f>INDEX(ovrTable25,MATCH(INDEX('Structured 2025'!teamCol,ROW()),ovrTeamCol25,0),MATCH(MID(INDEX('Structured 2025'!headerRow,1,COLUMN()),4,LEN(INDEX('Structured 2025'!headerRow,1,COLUMN()))),ovrHeaderRow25,0))</f>
        <v>1.42</v>
      </c>
      <c r="AO111" s="12">
        <f>INDEX(ovrTable25,MATCH(INDEX('Structured 2025'!teamCol,ROW()),ovrTeamCol25,0),MATCH(MID(INDEX('Structured 2025'!headerRow,1,COLUMN()),4,LEN(INDEX('Structured 2025'!headerRow,1,COLUMN()))),ovrHeaderRow25,0))</f>
        <v>16.2</v>
      </c>
      <c r="AP111" s="12">
        <f>INDEX(ovrTable25,MATCH(INDEX('Structured 2025'!teamCol,ROW()),ovrTeamCol25,0),MATCH(MID(INDEX('Structured 2025'!headerRow,1,COLUMN()),4,LEN(INDEX('Structured 2025'!headerRow,1,COLUMN()))),ovrHeaderRow25,0))</f>
        <v>29.57</v>
      </c>
      <c r="AQ111" s="12">
        <f>INDEX(ovrTable25,MATCH(INDEX('Structured 2025'!teamCol,ROW()),ovrTeamCol25,0),MATCH(MID(INDEX('Structured 2025'!headerRow,1,COLUMN()),4,LEN(INDEX('Structured 2025'!headerRow,1,COLUMN()))),ovrHeaderRow25,0))</f>
        <v>4.4000000000000004</v>
      </c>
      <c r="AR111" s="12">
        <f>INDEX(ovrTable25,MATCH(INDEX('Structured 2025'!teamCol,ROW()),ovrTeamCol25,0),MATCH(MID(INDEX('Structured 2025'!headerRow,1,COLUMN()),4,LEN(INDEX('Structured 2025'!headerRow,1,COLUMN()))),ovrHeaderRow25,0))</f>
        <v>41.9</v>
      </c>
      <c r="AS111" s="12">
        <f>INDEX(ovrTable25,MATCH(INDEX('Structured 2025'!teamCol,ROW()),ovrTeamCol25,0),MATCH(MID(INDEX('Structured 2025'!headerRow,1,COLUMN()),4,LEN(INDEX('Structured 2025'!headerRow,1,COLUMN()))),ovrHeaderRow25,0))</f>
        <v>27.41</v>
      </c>
      <c r="AT111" s="12">
        <f>INDEX(ovrTable25,MATCH(INDEX('Structured 2025'!teamCol,ROW()),ovrTeamCol25,0),MATCH(MID(INDEX('Structured 2025'!headerRow,1,COLUMN()),4,LEN(INDEX('Structured 2025'!headerRow,1,COLUMN()))),ovrHeaderRow25,0))</f>
        <v>0.53300000000000003</v>
      </c>
      <c r="AU111" s="12">
        <f>INDEX(ovrTable25,MATCH(INDEX('Structured 2025'!teamCol,ROW()),ovrTeamCol25,0),MATCH(MID(INDEX('Structured 2025'!headerRow,1,COLUMN()),4,LEN(INDEX('Structured 2025'!headerRow,1,COLUMN()))),ovrHeaderRow25,0))</f>
        <v>13.76</v>
      </c>
      <c r="AV111" s="12">
        <f>INDEX(ovrTable25,MATCH(INDEX('Structured 2025'!teamCol,ROW()),ovrTeamCol25,0),MATCH(MID(INDEX('Structured 2025'!headerRow,1,COLUMN()),4,LEN(INDEX('Structured 2025'!headerRow,1,COLUMN()))),ovrHeaderRow25,0))</f>
        <v>47.4</v>
      </c>
      <c r="AW111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X111" s="12">
        <f>INDEX(ovrTable25,MATCH(INDEX('Structured 2025'!teamCol,ROW()),ovrTeamCol25,0),MATCH(MID(INDEX('Structured 2025'!headerRow,1,COLUMN()),4,LEN(INDEX('Structured 2025'!headerRow,1,COLUMN()))),ovrHeaderRow25,0))</f>
        <v>78</v>
      </c>
      <c r="AY111" s="12">
        <f>INDEX(ovrTable25,MATCH(INDEX('Structured 2025'!teamCol,ROW()),ovrTeamCol25,0),MATCH(MID(INDEX('Structured 2025'!headerRow,1,COLUMN()),4,LEN(INDEX('Structured 2025'!headerRow,1,COLUMN()))),ovrHeaderRow25,0))</f>
        <v>22</v>
      </c>
      <c r="AZ111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BA111" s="12">
        <f>INDEX(ovrTable25,MATCH(INDEX('Structured 2025'!teamCol,ROW()),ovrTeamCol25,0),MATCH(MID(INDEX('Structured 2025'!headerRow,1,COLUMN()),4,LEN(INDEX('Structured 2025'!headerRow,1,COLUMN()))),ovrHeaderRow25,0))</f>
        <v>73.3</v>
      </c>
      <c r="BB111" s="12">
        <f>INDEX(ovrTable25,MATCH(INDEX('Structured 2025'!teamCol,ROW()),ovrTeamCol25,0),MATCH(MID(INDEX('Structured 2025'!headerRow,1,COLUMN()),4,LEN(INDEX('Structured 2025'!headerRow,1,COLUMN()))),ovrHeaderRow25,0))</f>
        <v>12.32</v>
      </c>
      <c r="BC111" s="12">
        <f>INDEX(ovrTable25,MATCH(INDEX('Structured 2025'!teamCol,ROW()),ovrTeamCol25,0),MATCH(MID(INDEX('Structured 2025'!headerRow,1,COLUMN()),4,LEN(INDEX('Structured 2025'!headerRow,1,COLUMN()))),ovrHeaderRow25,0))</f>
        <v>82.5</v>
      </c>
      <c r="BD111" s="12">
        <f>INDEX(ovrTable25,MATCH(INDEX('Structured 2025'!teamCol,ROW()),ovrTeamCol25,0),MATCH(MID(INDEX('Structured 2025'!headerRow,1,COLUMN()),4,LEN(INDEX('Structured 2025'!headerRow,1,COLUMN()))),ovrHeaderRow25,0))</f>
        <v>7.2</v>
      </c>
      <c r="BE111" s="12">
        <f>INDEX(ovrTable25,MATCH(INDEX('Structured 2025'!teamCol,ROW()),ovrTeamCol25,0),MATCH(MID(INDEX('Structured 2025'!headerRow,1,COLUMN()),4,LEN(INDEX('Structured 2025'!headerRow,1,COLUMN()))),ovrHeaderRow25,0))</f>
        <v>39.729999999999997</v>
      </c>
      <c r="BF111" s="12">
        <f>INDEX(ovrTable25,MATCH(INDEX('Structured 2025'!teamCol,ROW()),ovrTeamCol25,0),MATCH(MID(INDEX('Structured 2025'!headerRow,1,COLUMN()),4,LEN(INDEX('Structured 2025'!headerRow,1,COLUMN()))),ovrHeaderRow25,0))</f>
        <v>9.1999999999999993</v>
      </c>
      <c r="BG111" s="12">
        <f>INDEX(ovrTable25,MATCH(INDEX('Structured 2025'!teamCol,ROW()),ovrTeamCol25,0),MATCH(MID(INDEX('Structured 2025'!headerRow,1,COLUMN()),4,LEN(INDEX('Structured 2025'!headerRow,1,COLUMN()))),ovrHeaderRow25,0))</f>
        <v>7.5</v>
      </c>
      <c r="BH111" s="12">
        <f>INDEX(ovrTable25,MATCH(INDEX('Structured 2025'!teamCol,ROW()),ovrTeamCol25,0),MATCH(MID(INDEX('Structured 2025'!headerRow,1,COLUMN()),4,LEN(INDEX('Structured 2025'!headerRow,1,COLUMN()))),ovrHeaderRow25,0))</f>
        <v>0.1</v>
      </c>
      <c r="BI111" s="12">
        <f>INDEX(ovrTable25,MATCH(INDEX('Structured 2025'!teamCol,ROW()),ovrTeamCol25,0),MATCH(MID(INDEX('Structured 2025'!headerRow,1,COLUMN()),4,LEN(INDEX('Structured 2025'!headerRow,1,COLUMN()))),ovrHeaderRow25,0))</f>
        <v>11.49</v>
      </c>
      <c r="BJ111" s="12">
        <f>INDEX(ovrTable25,MATCH(INDEX('Structured 2025'!teamCol,ROW()),ovrTeamCol25,0),MATCH(MID(INDEX('Structured 2025'!headerRow,1,COLUMN()),4,LEN(INDEX('Structured 2025'!headerRow,1,COLUMN()))),ovrHeaderRow25,0))</f>
        <v>11.4</v>
      </c>
      <c r="BK111" s="12">
        <f>INDEX(ovrTable25,MATCH(INDEX('Structured 2025'!teamCol,ROW()),ovrTeamCol25,0),MATCH(MID(INDEX('Structured 2025'!headerRow,1,COLUMN()),4,LEN(INDEX('Structured 2025'!headerRow,1,COLUMN()))),ovrHeaderRow25,0))</f>
        <v>70.3</v>
      </c>
      <c r="BL111" s="12">
        <f>INDEX(ovrTable25,MATCH(INDEX('Structured 2025'!teamCol,ROW()),ovrTeamCol25,0),MATCH(MID(INDEX('Structured 2025'!headerRow,1,COLUMN()),4,LEN(INDEX('Structured 2025'!headerRow,1,COLUMN()))),ovrHeaderRow25,0))</f>
        <v>21.900000000000002</v>
      </c>
      <c r="BM111" s="12">
        <f>INDEX(ovrTable25,MATCH(INDEX('Structured 2025'!teamCol,ROW()),ovrTeamCol25,0),MATCH(MID(INDEX('Structured 2025'!headerRow,1,COLUMN()),4,LEN(INDEX('Structured 2025'!headerRow,1,COLUMN()))),ovrHeaderRow25,0))</f>
        <v>61.392405063291143</v>
      </c>
      <c r="BN111" s="12">
        <f>INDEX(ovrTable25,MATCH(INDEX(oppCol,ROW()),ovrTeamCol25,0),MATCH(MID(INDEX('Structured 2025'!headerRow,1,COLUMN()),4,LEN(INDEX('Structured 2025'!headerRow,1,COLUMN()))),ovrHeaderRow25,0))</f>
        <v>31.2</v>
      </c>
      <c r="BO111" s="12">
        <f>INDEX(ovrTable25,MATCH(INDEX(oppCol,ROW()),ovrTeamCol25,0),MATCH(MID(INDEX('Structured 2025'!headerRow,1,COLUMN()),4,LEN(INDEX('Structured 2025'!headerRow,1,COLUMN()))),ovrHeaderRow25,0))</f>
        <v>8.3000000000000007</v>
      </c>
      <c r="BP111" s="12">
        <f>INDEX(ovrTable25,MATCH(INDEX(oppCol,ROW()),ovrTeamCol25,0),MATCH(MID(INDEX('Structured 2025'!headerRow,1,COLUMN()),4,LEN(INDEX('Structured 2025'!headerRow,1,COLUMN()))),ovrHeaderRow25,0))</f>
        <v>38.200000000000003</v>
      </c>
      <c r="BQ111" s="12">
        <f>INDEX(ovrTable25,MATCH(INDEX(oppCol,ROW()),ovrTeamCol25,0),MATCH(MID(INDEX('Structured 2025'!headerRow,1,COLUMN()),4,LEN(INDEX('Structured 2025'!headerRow,1,COLUMN()))),ovrHeaderRow25,0))</f>
        <v>21.6</v>
      </c>
      <c r="BR111" s="12">
        <f>INDEX(ovrTable25,MATCH(INDEX(oppCol,ROW()),ovrTeamCol25,0),MATCH(MID(INDEX('Structured 2025'!headerRow,1,COLUMN()),4,LEN(INDEX('Structured 2025'!headerRow,1,COLUMN()))),ovrHeaderRow25,0))</f>
        <v>1.53</v>
      </c>
      <c r="BS111" s="12">
        <f>INDEX(ovrTable25,MATCH(INDEX(oppCol,ROW()),ovrTeamCol25,0),MATCH(MID(INDEX('Structured 2025'!headerRow,1,COLUMN()),4,LEN(INDEX('Structured 2025'!headerRow,1,COLUMN()))),ovrHeaderRow25,0))</f>
        <v>15.9</v>
      </c>
      <c r="BT111" s="12">
        <f>INDEX(ovrTable25,MATCH(INDEX(oppCol,ROW()),ovrTeamCol25,0),MATCH(MID(INDEX('Structured 2025'!headerRow,1,COLUMN()),4,LEN(INDEX('Structured 2025'!headerRow,1,COLUMN()))),ovrHeaderRow25,0))</f>
        <v>17.03</v>
      </c>
      <c r="BU111" s="12">
        <f>INDEX(ovrTable25,MATCH(INDEX(oppCol,ROW()),ovrTeamCol25,0),MATCH(MID(INDEX('Structured 2025'!headerRow,1,COLUMN()),4,LEN(INDEX('Structured 2025'!headerRow,1,COLUMN()))),ovrHeaderRow25,0))</f>
        <v>1.6</v>
      </c>
      <c r="BV111" s="12">
        <f>INDEX(ovrTable25,MATCH(INDEX(oppCol,ROW()),ovrTeamCol25,0),MATCH(MID(INDEX('Structured 2025'!headerRow,1,COLUMN()),4,LEN(INDEX('Structured 2025'!headerRow,1,COLUMN()))),ovrHeaderRow25,0))</f>
        <v>45.2</v>
      </c>
      <c r="BW111" s="12">
        <f>INDEX(ovrTable25,MATCH(INDEX(oppCol,ROW()),ovrTeamCol25,0),MATCH(MID(INDEX('Structured 2025'!headerRow,1,COLUMN()),4,LEN(INDEX('Structured 2025'!headerRow,1,COLUMN()))),ovrHeaderRow25,0))</f>
        <v>23.08</v>
      </c>
      <c r="BX111" s="12">
        <f>INDEX(ovrTable25,MATCH(INDEX(oppCol,ROW()),ovrTeamCol25,0),MATCH(MID(INDEX('Structured 2025'!headerRow,1,COLUMN()),4,LEN(INDEX('Structured 2025'!headerRow,1,COLUMN()))),ovrHeaderRow25,0))</f>
        <v>0.55900000000000005</v>
      </c>
      <c r="BY111" s="12">
        <f>INDEX(ovrTable25,MATCH(INDEX(oppCol,ROW()),ovrTeamCol25,0),MATCH(MID(INDEX('Structured 2025'!headerRow,1,COLUMN()),4,LEN(INDEX('Structured 2025'!headerRow,1,COLUMN()))),ovrHeaderRow25,0))</f>
        <v>7.83</v>
      </c>
      <c r="BZ111" s="12">
        <f>INDEX(ovrTable25,MATCH(INDEX(oppCol,ROW()),ovrTeamCol25,0),MATCH(MID(INDEX('Structured 2025'!headerRow,1,COLUMN()),4,LEN(INDEX('Structured 2025'!headerRow,1,COLUMN()))),ovrHeaderRow25,0))</f>
        <v>48.6</v>
      </c>
      <c r="CA111" s="12">
        <f>INDEX(ovrTable25,MATCH(INDEX(oppCol,ROW()),ovrTeamCol25,0),MATCH(MID(INDEX('Structured 2025'!headerRow,1,COLUMN()),4,LEN(INDEX('Structured 2025'!headerRow,1,COLUMN()))),ovrHeaderRow25,0))</f>
        <v>15.8</v>
      </c>
      <c r="CB111" s="12">
        <f>INDEX(ovrTable25,MATCH(INDEX(oppCol,ROW()),ovrTeamCol25,0),MATCH(MID(INDEX('Structured 2025'!headerRow,1,COLUMN()),4,LEN(INDEX('Structured 2025'!headerRow,1,COLUMN()))),ovrHeaderRow25,0))</f>
        <v>73.2</v>
      </c>
      <c r="CC111" s="12">
        <f>INDEX(ovrTable25,MATCH(INDEX(oppCol,ROW()),ovrTeamCol25,0),MATCH(MID(INDEX('Structured 2025'!headerRow,1,COLUMN()),4,LEN(INDEX('Structured 2025'!headerRow,1,COLUMN()))),ovrHeaderRow25,0))</f>
        <v>19.5</v>
      </c>
      <c r="CD111" s="12">
        <f>INDEX(ovrTable25,MATCH(INDEX(oppCol,ROW()),ovrTeamCol25,0),MATCH(MID(INDEX('Structured 2025'!headerRow,1,COLUMN()),4,LEN(INDEX('Structured 2025'!headerRow,1,COLUMN()))),ovrHeaderRow25,0))</f>
        <v>14.3</v>
      </c>
      <c r="CE111" s="12">
        <f>INDEX(ovrTable25,MATCH(INDEX(oppCol,ROW()),ovrTeamCol25,0),MATCH(MID(INDEX('Structured 2025'!headerRow,1,COLUMN()),4,LEN(INDEX('Structured 2025'!headerRow,1,COLUMN()))),ovrHeaderRow25,0))</f>
        <v>70.400000000000006</v>
      </c>
      <c r="CF111" s="12">
        <f>INDEX(ovrTable25,MATCH(INDEX(oppCol,ROW()),ovrTeamCol25,0),MATCH(MID(INDEX('Structured 2025'!headerRow,1,COLUMN()),4,LEN(INDEX('Structured 2025'!headerRow,1,COLUMN()))),ovrHeaderRow25,0))</f>
        <v>9.7799999999999994</v>
      </c>
      <c r="CG111" s="12">
        <f>INDEX(ovrTable25,MATCH(INDEX(oppCol,ROW()),ovrTeamCol25,0),MATCH(MID(INDEX('Structured 2025'!headerRow,1,COLUMN()),4,LEN(INDEX('Structured 2025'!headerRow,1,COLUMN()))),ovrHeaderRow25,0))</f>
        <v>77.3</v>
      </c>
      <c r="CH111" s="12">
        <f>INDEX(ovrTable25,MATCH(INDEX(oppCol,ROW()),ovrTeamCol25,0),MATCH(MID(INDEX('Structured 2025'!headerRow,1,COLUMN()),4,LEN(INDEX('Structured 2025'!headerRow,1,COLUMN()))),ovrHeaderRow25,0))</f>
        <v>2.1</v>
      </c>
      <c r="CI111" s="12">
        <f>INDEX(ovrTable25,MATCH(INDEX(oppCol,ROW()),ovrTeamCol25,0),MATCH(MID(INDEX('Structured 2025'!headerRow,1,COLUMN()),4,LEN(INDEX('Structured 2025'!headerRow,1,COLUMN()))),ovrHeaderRow25,0))</f>
        <v>32.86</v>
      </c>
      <c r="CJ111" s="12">
        <f>INDEX(ovrTable25,MATCH(INDEX(oppCol,ROW()),ovrTeamCol25,0),MATCH(MID(INDEX('Structured 2025'!headerRow,1,COLUMN()),4,LEN(INDEX('Structured 2025'!headerRow,1,COLUMN()))),ovrHeaderRow25,0))</f>
        <v>6.9</v>
      </c>
      <c r="CK111" s="12">
        <f>INDEX(ovrTable25,MATCH(INDEX(oppCol,ROW()),ovrTeamCol25,0),MATCH(MID(INDEX('Structured 2025'!headerRow,1,COLUMN()),4,LEN(INDEX('Structured 2025'!headerRow,1,COLUMN()))),ovrHeaderRow25,0))</f>
        <v>6.4</v>
      </c>
      <c r="CL111" s="12">
        <f>INDEX(ovrTable25,MATCH(INDEX(oppCol,ROW()),ovrTeamCol25,0),MATCH(MID(INDEX('Structured 2025'!headerRow,1,COLUMN()),4,LEN(INDEX('Structured 2025'!headerRow,1,COLUMN()))),ovrHeaderRow25,0))</f>
        <v>1.2</v>
      </c>
      <c r="CM111" s="12">
        <f>INDEX(ovrTable25,MATCH(INDEX(oppCol,ROW()),ovrTeamCol25,0),MATCH(MID(INDEX('Structured 2025'!headerRow,1,COLUMN()),4,LEN(INDEX('Structured 2025'!headerRow,1,COLUMN()))),ovrHeaderRow25,0))</f>
        <v>11.61</v>
      </c>
      <c r="CN111" s="12">
        <f>INDEX(ovrTable25,MATCH(INDEX(oppCol,ROW()),ovrTeamCol25,0),MATCH(MID(INDEX('Structured 2025'!headerRow,1,COLUMN()),4,LEN(INDEX('Structured 2025'!headerRow,1,COLUMN()))),ovrHeaderRow25,0))</f>
        <v>10.4</v>
      </c>
      <c r="CO111" s="12">
        <f>INDEX(ovrTable25,MATCH(INDEX(oppCol,ROW()),ovrTeamCol25,0),MATCH(MID(INDEX('Structured 2025'!headerRow,1,COLUMN()),4,LEN(INDEX('Structured 2025'!headerRow,1,COLUMN()))),ovrHeaderRow25,0))</f>
        <v>66</v>
      </c>
      <c r="CP111" s="12">
        <f>INDEX(ovrTable25,MATCH(INDEX(oppCol,ROW()),ovrTeamCol25,0),MATCH(MID(INDEX('Structured 2025'!headerRow,1,COLUMN()),4,LEN(INDEX('Structured 2025'!headerRow,1,COLUMN()))),ovrHeaderRow25,0))</f>
        <v>19.049999999999997</v>
      </c>
      <c r="CQ111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112" spans="1:95" x14ac:dyDescent="0.3">
      <c r="A112" s="6" t="s">
        <v>7</v>
      </c>
      <c r="B112" s="3">
        <v>6</v>
      </c>
      <c r="C112" s="13" t="str">
        <f>A113</f>
        <v>ALA</v>
      </c>
      <c r="D112" s="14">
        <f t="shared" si="111"/>
        <v>56</v>
      </c>
      <c r="E112" s="23">
        <v>0.49019607843137253</v>
      </c>
      <c r="F112" s="24">
        <v>45.833333333333329</v>
      </c>
      <c r="G112" s="24">
        <v>6</v>
      </c>
      <c r="H112" s="23">
        <v>20</v>
      </c>
      <c r="I112" s="24">
        <v>30</v>
      </c>
      <c r="J112" s="25">
        <v>1.7272727272727273</v>
      </c>
      <c r="K112" s="24">
        <v>16</v>
      </c>
      <c r="L112" s="24">
        <v>20</v>
      </c>
      <c r="M112" s="24">
        <v>13</v>
      </c>
      <c r="N112" s="24">
        <v>23</v>
      </c>
      <c r="O112" s="24">
        <v>19</v>
      </c>
      <c r="P112" s="24">
        <v>10</v>
      </c>
      <c r="Q112" s="24">
        <v>1</v>
      </c>
      <c r="R112" s="24">
        <v>11</v>
      </c>
      <c r="S112" s="24">
        <v>13</v>
      </c>
      <c r="T112" s="24">
        <v>17</v>
      </c>
      <c r="U112" s="24">
        <v>15</v>
      </c>
      <c r="V112" s="24">
        <v>0.53030303030303028</v>
      </c>
      <c r="W112" s="26">
        <v>0.5</v>
      </c>
      <c r="X112" s="23">
        <v>80</v>
      </c>
      <c r="Y112" s="24">
        <v>113</v>
      </c>
      <c r="Z112" s="24">
        <v>88</v>
      </c>
      <c r="AA112" s="24">
        <v>-1</v>
      </c>
      <c r="AB112" s="24">
        <v>36</v>
      </c>
      <c r="AC112" s="24">
        <v>-25</v>
      </c>
      <c r="AD112" s="24">
        <v>2</v>
      </c>
      <c r="AE112" s="24">
        <v>13</v>
      </c>
      <c r="AF112" s="34">
        <f t="shared" si="105"/>
        <v>27</v>
      </c>
      <c r="AG112" s="34">
        <f t="shared" si="106"/>
        <v>42.000000000000014</v>
      </c>
      <c r="AH112" s="46">
        <f t="shared" si="107"/>
        <v>79.5</v>
      </c>
      <c r="AI112" s="51">
        <f t="shared" ref="AI112" si="123">AVERAGE(AH112,AH113)</f>
        <v>79.237499999999997</v>
      </c>
      <c r="AJ112" s="12">
        <f>INDEX(ovrTable25,MATCH(INDEX('Structured 2025'!teamCol,ROW()),ovrTeamCol25,0),MATCH(MID(INDEX('Structured 2025'!headerRow,1,COLUMN()),4,LEN(INDEX('Structured 2025'!headerRow,1,COLUMN()))),ovrHeaderRow25,0))</f>
        <v>35.700000000000003</v>
      </c>
      <c r="AK112" s="12">
        <f>INDEX(ovrTable25,MATCH(INDEX('Structured 2025'!teamCol,ROW()),ovrTeamCol25,0),MATCH(MID(INDEX('Structured 2025'!headerRow,1,COLUMN()),4,LEN(INDEX('Structured 2025'!headerRow,1,COLUMN()))),ovrHeaderRow25,0))</f>
        <v>10.5</v>
      </c>
      <c r="AL112" s="12">
        <f>INDEX(ovrTable25,MATCH(INDEX('Structured 2025'!teamCol,ROW()),ovrTeamCol25,0),MATCH(MID(INDEX('Structured 2025'!headerRow,1,COLUMN()),4,LEN(INDEX('Structured 2025'!headerRow,1,COLUMN()))),ovrHeaderRow25,0))</f>
        <v>36.799999999999997</v>
      </c>
      <c r="AM112" s="12">
        <f>INDEX(ovrTable25,MATCH(INDEX('Structured 2025'!teamCol,ROW()),ovrTeamCol25,0),MATCH(MID(INDEX('Structured 2025'!headerRow,1,COLUMN()),4,LEN(INDEX('Structured 2025'!headerRow,1,COLUMN()))),ovrHeaderRow25,0))</f>
        <v>28.6</v>
      </c>
      <c r="AN112" s="12">
        <f>INDEX(ovrTable25,MATCH(INDEX('Structured 2025'!teamCol,ROW()),ovrTeamCol25,0),MATCH(MID(INDEX('Structured 2025'!headerRow,1,COLUMN()),4,LEN(INDEX('Structured 2025'!headerRow,1,COLUMN()))),ovrHeaderRow25,0))</f>
        <v>1.43</v>
      </c>
      <c r="AO112" s="12">
        <f>INDEX(ovrTable25,MATCH(INDEX('Structured 2025'!teamCol,ROW()),ovrTeamCol25,0),MATCH(MID(INDEX('Structured 2025'!headerRow,1,COLUMN()),4,LEN(INDEX('Structured 2025'!headerRow,1,COLUMN()))),ovrHeaderRow25,0))</f>
        <v>17.3</v>
      </c>
      <c r="AP112" s="12">
        <f>INDEX(ovrTable25,MATCH(INDEX('Structured 2025'!teamCol,ROW()),ovrTeamCol25,0),MATCH(MID(INDEX('Structured 2025'!headerRow,1,COLUMN()),4,LEN(INDEX('Structured 2025'!headerRow,1,COLUMN()))),ovrHeaderRow25,0))</f>
        <v>30.11</v>
      </c>
      <c r="AQ112" s="12">
        <f>INDEX(ovrTable25,MATCH(INDEX('Structured 2025'!teamCol,ROW()),ovrTeamCol25,0),MATCH(MID(INDEX('Structured 2025'!headerRow,1,COLUMN()),4,LEN(INDEX('Structured 2025'!headerRow,1,COLUMN()))),ovrHeaderRow25,0))</f>
        <v>3.1</v>
      </c>
      <c r="AR112" s="12">
        <f>INDEX(ovrTable25,MATCH(INDEX('Structured 2025'!teamCol,ROW()),ovrTeamCol25,0),MATCH(MID(INDEX('Structured 2025'!headerRow,1,COLUMN()),4,LEN(INDEX('Structured 2025'!headerRow,1,COLUMN()))),ovrHeaderRow25,0))</f>
        <v>43.1</v>
      </c>
      <c r="AS112" s="12">
        <f>INDEX(ovrTable25,MATCH(INDEX('Structured 2025'!teamCol,ROW()),ovrTeamCol25,0),MATCH(MID(INDEX('Structured 2025'!headerRow,1,COLUMN()),4,LEN(INDEX('Structured 2025'!headerRow,1,COLUMN()))),ovrHeaderRow25,0))</f>
        <v>26.33</v>
      </c>
      <c r="AT112" s="12">
        <f>INDEX(ovrTable25,MATCH(INDEX('Structured 2025'!teamCol,ROW()),ovrTeamCol25,0),MATCH(MID(INDEX('Structured 2025'!headerRow,1,COLUMN()),4,LEN(INDEX('Structured 2025'!headerRow,1,COLUMN()))),ovrHeaderRow25,0))</f>
        <v>0.56999999999999995</v>
      </c>
      <c r="AU112" s="12">
        <f>INDEX(ovrTable25,MATCH(INDEX('Structured 2025'!teamCol,ROW()),ovrTeamCol25,0),MATCH(MID(INDEX('Structured 2025'!headerRow,1,COLUMN()),4,LEN(INDEX('Structured 2025'!headerRow,1,COLUMN()))),ovrHeaderRow25,0))</f>
        <v>10</v>
      </c>
      <c r="AV112" s="12">
        <f>INDEX(ovrTable25,MATCH(INDEX('Structured 2025'!teamCol,ROW()),ovrTeamCol25,0),MATCH(MID(INDEX('Structured 2025'!headerRow,1,COLUMN()),4,LEN(INDEX('Structured 2025'!headerRow,1,COLUMN()))),ovrHeaderRow25,0))</f>
        <v>48.2</v>
      </c>
      <c r="AW112" s="12">
        <f>INDEX(ovrTable25,MATCH(INDEX('Structured 2025'!teamCol,ROW()),ovrTeamCol25,0),MATCH(MID(INDEX('Structured 2025'!headerRow,1,COLUMN()),4,LEN(INDEX('Structured 2025'!headerRow,1,COLUMN()))),ovrHeaderRow25,0))</f>
        <v>16.3</v>
      </c>
      <c r="AX112" s="12">
        <f>INDEX(ovrTable25,MATCH(INDEX('Structured 2025'!teamCol,ROW()),ovrTeamCol25,0),MATCH(MID(INDEX('Structured 2025'!headerRow,1,COLUMN()),4,LEN(INDEX('Structured 2025'!headerRow,1,COLUMN()))),ovrHeaderRow25,0))</f>
        <v>71.3</v>
      </c>
      <c r="AY112" s="12">
        <f>INDEX(ovrTable25,MATCH(INDEX('Structured 2025'!teamCol,ROW()),ovrTeamCol25,0),MATCH(MID(INDEX('Structured 2025'!headerRow,1,COLUMN()),4,LEN(INDEX('Structured 2025'!headerRow,1,COLUMN()))),ovrHeaderRow25,0))</f>
        <v>18.3</v>
      </c>
      <c r="AZ112" s="12">
        <f>INDEX(ovrTable25,MATCH(INDEX('Structured 2025'!teamCol,ROW()),ovrTeamCol25,0),MATCH(MID(INDEX('Structured 2025'!headerRow,1,COLUMN()),4,LEN(INDEX('Structured 2025'!headerRow,1,COLUMN()))),ovrHeaderRow25,0))</f>
        <v>13</v>
      </c>
      <c r="BA112" s="12">
        <f>INDEX(ovrTable25,MATCH(INDEX('Structured 2025'!teamCol,ROW()),ovrTeamCol25,0),MATCH(MID(INDEX('Structured 2025'!headerRow,1,COLUMN()),4,LEN(INDEX('Structured 2025'!headerRow,1,COLUMN()))),ovrHeaderRow25,0))</f>
        <v>72.599999999999994</v>
      </c>
      <c r="BB112" s="12">
        <f>INDEX(ovrTable25,MATCH(INDEX('Structured 2025'!teamCol,ROW()),ovrTeamCol25,0),MATCH(MID(INDEX('Structured 2025'!headerRow,1,COLUMN()),4,LEN(INDEX('Structured 2025'!headerRow,1,COLUMN()))),ovrHeaderRow25,0))</f>
        <v>11.28</v>
      </c>
      <c r="BC112" s="12">
        <f>INDEX(ovrTable25,MATCH(INDEX('Structured 2025'!teamCol,ROW()),ovrTeamCol25,0),MATCH(MID(INDEX('Structured 2025'!headerRow,1,COLUMN()),4,LEN(INDEX('Structured 2025'!headerRow,1,COLUMN()))),ovrHeaderRow25,0))</f>
        <v>81.400000000000006</v>
      </c>
      <c r="BD112" s="12">
        <f>INDEX(ovrTable25,MATCH(INDEX('Structured 2025'!teamCol,ROW()),ovrTeamCol25,0),MATCH(MID(INDEX('Structured 2025'!headerRow,1,COLUMN()),4,LEN(INDEX('Structured 2025'!headerRow,1,COLUMN()))),ovrHeaderRow25,0))</f>
        <v>5.9</v>
      </c>
      <c r="BE112" s="12">
        <f>INDEX(ovrTable25,MATCH(INDEX('Structured 2025'!teamCol,ROW()),ovrTeamCol25,0),MATCH(MID(INDEX('Structured 2025'!headerRow,1,COLUMN()),4,LEN(INDEX('Structured 2025'!headerRow,1,COLUMN()))),ovrHeaderRow25,0))</f>
        <v>37.61</v>
      </c>
      <c r="BF112" s="12">
        <f>INDEX(ovrTable25,MATCH(INDEX('Structured 2025'!teamCol,ROW()),ovrTeamCol25,0),MATCH(MID(INDEX('Structured 2025'!headerRow,1,COLUMN()),4,LEN(INDEX('Structured 2025'!headerRow,1,COLUMN()))),ovrHeaderRow25,0))</f>
        <v>8.9</v>
      </c>
      <c r="BG112" s="12">
        <f>INDEX(ovrTable25,MATCH(INDEX('Structured 2025'!teamCol,ROW()),ovrTeamCol25,0),MATCH(MID(INDEX('Structured 2025'!headerRow,1,COLUMN()),4,LEN(INDEX('Structured 2025'!headerRow,1,COLUMN()))),ovrHeaderRow25,0))</f>
        <v>7.1</v>
      </c>
      <c r="BH112" s="12">
        <f>INDEX(ovrTable25,MATCH(INDEX('Structured 2025'!teamCol,ROW()),ovrTeamCol25,0),MATCH(MID(INDEX('Structured 2025'!headerRow,1,COLUMN()),4,LEN(INDEX('Structured 2025'!headerRow,1,COLUMN()))),ovrHeaderRow25,0))</f>
        <v>-0.4</v>
      </c>
      <c r="BI112" s="12">
        <f>INDEX(ovrTable25,MATCH(INDEX('Structured 2025'!teamCol,ROW()),ovrTeamCol25,0),MATCH(MID(INDEX('Structured 2025'!headerRow,1,COLUMN()),4,LEN(INDEX('Structured 2025'!headerRow,1,COLUMN()))),ovrHeaderRow25,0))</f>
        <v>11.69</v>
      </c>
      <c r="BJ112" s="12">
        <f>INDEX(ovrTable25,MATCH(INDEX('Structured 2025'!teamCol,ROW()),ovrTeamCol25,0),MATCH(MID(INDEX('Structured 2025'!headerRow,1,COLUMN()),4,LEN(INDEX('Structured 2025'!headerRow,1,COLUMN()))),ovrHeaderRow25,0))</f>
        <v>12.1</v>
      </c>
      <c r="BK112" s="12">
        <f>INDEX(ovrTable25,MATCH(INDEX('Structured 2025'!teamCol,ROW()),ovrTeamCol25,0),MATCH(MID(INDEX('Structured 2025'!headerRow,1,COLUMN()),4,LEN(INDEX('Structured 2025'!headerRow,1,COLUMN()))),ovrHeaderRow25,0))</f>
        <v>67.599999999999994</v>
      </c>
      <c r="BL112" s="12">
        <f>INDEX(ovrTable25,MATCH(INDEX('Structured 2025'!teamCol,ROW()),ovrTeamCol25,0),MATCH(MID(INDEX('Structured 2025'!headerRow,1,COLUMN()),4,LEN(INDEX('Structured 2025'!headerRow,1,COLUMN()))),ovrHeaderRow25,0))</f>
        <v>18.450000000000003</v>
      </c>
      <c r="BM112" s="12">
        <f>INDEX(ovrTable25,MATCH(INDEX('Structured 2025'!teamCol,ROW()),ovrTeamCol25,0),MATCH(MID(INDEX('Structured 2025'!headerRow,1,COLUMN()),4,LEN(INDEX('Structured 2025'!headerRow,1,COLUMN()))),ovrHeaderRow25,0))</f>
        <v>60.062240663900418</v>
      </c>
      <c r="BN112" s="12">
        <f>INDEX(ovrTable25,MATCH(INDEX(oppCol,ROW()),ovrTeamCol25,0),MATCH(MID(INDEX('Structured 2025'!headerRow,1,COLUMN()),4,LEN(INDEX('Structured 2025'!headerRow,1,COLUMN()))),ovrHeaderRow25,0))</f>
        <v>30.4</v>
      </c>
      <c r="BO112" s="12">
        <f>INDEX(ovrTable25,MATCH(INDEX(oppCol,ROW()),ovrTeamCol25,0),MATCH(MID(INDEX('Structured 2025'!headerRow,1,COLUMN()),4,LEN(INDEX('Structured 2025'!headerRow,1,COLUMN()))),ovrHeaderRow25,0))</f>
        <v>10.5</v>
      </c>
      <c r="BP112" s="12">
        <f>INDEX(ovrTable25,MATCH(INDEX(oppCol,ROW()),ovrTeamCol25,0),MATCH(MID(INDEX('Structured 2025'!headerRow,1,COLUMN()),4,LEN(INDEX('Structured 2025'!headerRow,1,COLUMN()))),ovrHeaderRow25,0))</f>
        <v>35.299999999999997</v>
      </c>
      <c r="BQ112" s="12">
        <f>INDEX(ovrTable25,MATCH(INDEX(oppCol,ROW()),ovrTeamCol25,0),MATCH(MID(INDEX('Structured 2025'!headerRow,1,COLUMN()),4,LEN(INDEX('Structured 2025'!headerRow,1,COLUMN()))),ovrHeaderRow25,0))</f>
        <v>29.8</v>
      </c>
      <c r="BR112" s="12">
        <f>INDEX(ovrTable25,MATCH(INDEX(oppCol,ROW()),ovrTeamCol25,0),MATCH(MID(INDEX('Structured 2025'!headerRow,1,COLUMN()),4,LEN(INDEX('Structured 2025'!headerRow,1,COLUMN()))),ovrHeaderRow25,0))</f>
        <v>1.36</v>
      </c>
      <c r="BS112" s="12">
        <f>INDEX(ovrTable25,MATCH(INDEX(oppCol,ROW()),ovrTeamCol25,0),MATCH(MID(INDEX('Structured 2025'!headerRow,1,COLUMN()),4,LEN(INDEX('Structured 2025'!headerRow,1,COLUMN()))),ovrHeaderRow25,0))</f>
        <v>17.2</v>
      </c>
      <c r="BT112" s="12">
        <f>INDEX(ovrTable25,MATCH(INDEX(oppCol,ROW()),ovrTeamCol25,0),MATCH(MID(INDEX('Structured 2025'!headerRow,1,COLUMN()),4,LEN(INDEX('Structured 2025'!headerRow,1,COLUMN()))),ovrHeaderRow25,0))</f>
        <v>33.840000000000003</v>
      </c>
      <c r="BU112" s="12">
        <f>INDEX(ovrTable25,MATCH(INDEX(oppCol,ROW()),ovrTeamCol25,0),MATCH(MID(INDEX('Structured 2025'!headerRow,1,COLUMN()),4,LEN(INDEX('Structured 2025'!headerRow,1,COLUMN()))),ovrHeaderRow25,0))</f>
        <v>4.5</v>
      </c>
      <c r="BV112" s="12">
        <f>INDEX(ovrTable25,MATCH(INDEX(oppCol,ROW()),ovrTeamCol25,0),MATCH(MID(INDEX('Structured 2025'!headerRow,1,COLUMN()),4,LEN(INDEX('Structured 2025'!headerRow,1,COLUMN()))),ovrHeaderRow25,0))</f>
        <v>42.6</v>
      </c>
      <c r="BW112" s="12">
        <f>INDEX(ovrTable25,MATCH(INDEX(oppCol,ROW()),ovrTeamCol25,0),MATCH(MID(INDEX('Structured 2025'!headerRow,1,COLUMN()),4,LEN(INDEX('Structured 2025'!headerRow,1,COLUMN()))),ovrHeaderRow25,0))</f>
        <v>29.95</v>
      </c>
      <c r="BX112" s="12">
        <f>INDEX(ovrTable25,MATCH(INDEX(oppCol,ROW()),ovrTeamCol25,0),MATCH(MID(INDEX('Structured 2025'!headerRow,1,COLUMN()),4,LEN(INDEX('Structured 2025'!headerRow,1,COLUMN()))),ovrHeaderRow25,0))</f>
        <v>0.56599999999999995</v>
      </c>
      <c r="BY112" s="12">
        <f>INDEX(ovrTable25,MATCH(INDEX(oppCol,ROW()),ovrTeamCol25,0),MATCH(MID(INDEX('Structured 2025'!headerRow,1,COLUMN()),4,LEN(INDEX('Structured 2025'!headerRow,1,COLUMN()))),ovrHeaderRow25,0))</f>
        <v>13.51</v>
      </c>
      <c r="BZ112" s="12">
        <f>INDEX(ovrTable25,MATCH(INDEX(oppCol,ROW()),ovrTeamCol25,0),MATCH(MID(INDEX('Structured 2025'!headerRow,1,COLUMN()),4,LEN(INDEX('Structured 2025'!headerRow,1,COLUMN()))),ovrHeaderRow25,0))</f>
        <v>48.4</v>
      </c>
      <c r="CA112" s="12">
        <f>INDEX(ovrTable25,MATCH(INDEX(oppCol,ROW()),ovrTeamCol25,0),MATCH(MID(INDEX('Structured 2025'!headerRow,1,COLUMN()),4,LEN(INDEX('Structured 2025'!headerRow,1,COLUMN()))),ovrHeaderRow25,0))</f>
        <v>18.899999999999999</v>
      </c>
      <c r="CB112" s="12">
        <f>INDEX(ovrTable25,MATCH(INDEX(oppCol,ROW()),ovrTeamCol25,0),MATCH(MID(INDEX('Structured 2025'!headerRow,1,COLUMN()),4,LEN(INDEX('Structured 2025'!headerRow,1,COLUMN()))),ovrHeaderRow25,0))</f>
        <v>72</v>
      </c>
      <c r="CC112" s="12">
        <f>INDEX(ovrTable25,MATCH(INDEX(oppCol,ROW()),ovrTeamCol25,0),MATCH(MID(INDEX('Structured 2025'!headerRow,1,COLUMN()),4,LEN(INDEX('Structured 2025'!headerRow,1,COLUMN()))),ovrHeaderRow25,0))</f>
        <v>25.2</v>
      </c>
      <c r="CD112" s="12">
        <f>INDEX(ovrTable25,MATCH(INDEX(oppCol,ROW()),ovrTeamCol25,0),MATCH(MID(INDEX('Structured 2025'!headerRow,1,COLUMN()),4,LEN(INDEX('Structured 2025'!headerRow,1,COLUMN()))),ovrHeaderRow25,0))</f>
        <v>18.100000000000001</v>
      </c>
      <c r="CE112" s="12">
        <f>INDEX(ovrTable25,MATCH(INDEX(oppCol,ROW()),ovrTeamCol25,0),MATCH(MID(INDEX('Structured 2025'!headerRow,1,COLUMN()),4,LEN(INDEX('Structured 2025'!headerRow,1,COLUMN()))),ovrHeaderRow25,0))</f>
        <v>81.3</v>
      </c>
      <c r="CF112" s="12">
        <f>INDEX(ovrTable25,MATCH(INDEX(oppCol,ROW()),ovrTeamCol25,0),MATCH(MID(INDEX('Structured 2025'!headerRow,1,COLUMN()),4,LEN(INDEX('Structured 2025'!headerRow,1,COLUMN()))),ovrHeaderRow25,0))</f>
        <v>12.41</v>
      </c>
      <c r="CG112" s="12">
        <f>INDEX(ovrTable25,MATCH(INDEX(oppCol,ROW()),ovrTeamCol25,0),MATCH(MID(INDEX('Structured 2025'!headerRow,1,COLUMN()),4,LEN(INDEX('Structured 2025'!headerRow,1,COLUMN()))),ovrHeaderRow25,0))</f>
        <v>90.7</v>
      </c>
      <c r="CH112" s="12">
        <f>INDEX(ovrTable25,MATCH(INDEX(oppCol,ROW()),ovrTeamCol25,0),MATCH(MID(INDEX('Structured 2025'!headerRow,1,COLUMN()),4,LEN(INDEX('Structured 2025'!headerRow,1,COLUMN()))),ovrHeaderRow25,0))</f>
        <v>5.5</v>
      </c>
      <c r="CI112" s="12">
        <f>INDEX(ovrTable25,MATCH(INDEX(oppCol,ROW()),ovrTeamCol25,0),MATCH(MID(INDEX('Structured 2025'!headerRow,1,COLUMN()),4,LEN(INDEX('Structured 2025'!headerRow,1,COLUMN()))),ovrHeaderRow25,0))</f>
        <v>42.35</v>
      </c>
      <c r="CJ112" s="12">
        <f>INDEX(ovrTable25,MATCH(INDEX(oppCol,ROW()),ovrTeamCol25,0),MATCH(MID(INDEX('Structured 2025'!headerRow,1,COLUMN()),4,LEN(INDEX('Structured 2025'!headerRow,1,COLUMN()))),ovrHeaderRow25,0))</f>
        <v>9.4</v>
      </c>
      <c r="CK112" s="12">
        <f>INDEX(ovrTable25,MATCH(INDEX(oppCol,ROW()),ovrTeamCol25,0),MATCH(MID(INDEX('Structured 2025'!headerRow,1,COLUMN()),4,LEN(INDEX('Structured 2025'!headerRow,1,COLUMN()))),ovrHeaderRow25,0))</f>
        <v>6.2</v>
      </c>
      <c r="CL112" s="12">
        <f>INDEX(ovrTable25,MATCH(INDEX(oppCol,ROW()),ovrTeamCol25,0),MATCH(MID(INDEX('Structured 2025'!headerRow,1,COLUMN()),4,LEN(INDEX('Structured 2025'!headerRow,1,COLUMN()))),ovrHeaderRow25,0))</f>
        <v>-2.4</v>
      </c>
      <c r="CM112" s="12">
        <f>INDEX(ovrTable25,MATCH(INDEX(oppCol,ROW()),ovrTeamCol25,0),MATCH(MID(INDEX('Structured 2025'!headerRow,1,COLUMN()),4,LEN(INDEX('Structured 2025'!headerRow,1,COLUMN()))),ovrHeaderRow25,0))</f>
        <v>10.32</v>
      </c>
      <c r="CN112" s="12">
        <f>INDEX(ovrTable25,MATCH(INDEX(oppCol,ROW()),ovrTeamCol25,0),MATCH(MID(INDEX('Structured 2025'!headerRow,1,COLUMN()),4,LEN(INDEX('Structured 2025'!headerRow,1,COLUMN()))),ovrHeaderRow25,0))</f>
        <v>12.7</v>
      </c>
      <c r="CO112" s="12">
        <f>INDEX(ovrTable25,MATCH(INDEX(oppCol,ROW()),ovrTeamCol25,0),MATCH(MID(INDEX('Structured 2025'!headerRow,1,COLUMN()),4,LEN(INDEX('Structured 2025'!headerRow,1,COLUMN()))),ovrHeaderRow25,0))</f>
        <v>75.3</v>
      </c>
      <c r="CP112" s="12">
        <f>INDEX(ovrTable25,MATCH(INDEX(oppCol,ROW()),ovrTeamCol25,0),MATCH(MID(INDEX('Structured 2025'!headerRow,1,COLUMN()),4,LEN(INDEX('Structured 2025'!headerRow,1,COLUMN()))),ovrHeaderRow25,0))</f>
        <v>20.549999999999997</v>
      </c>
      <c r="CQ112" s="12">
        <f>INDEX(ovrTable25,MATCH(INDEX(oppCol,ROW()),ovrTeamCol25,0),MATCH(MID(INDEX('Structured 2025'!headerRow,1,COLUMN()),4,LEN(INDEX('Structured 2025'!headerRow,1,COLUMN()))),ovrHeaderRow25,0))</f>
        <v>64.152892561983464</v>
      </c>
    </row>
    <row r="113" spans="1:95" x14ac:dyDescent="0.3">
      <c r="A113" s="6" t="s">
        <v>21</v>
      </c>
      <c r="B113" s="3">
        <v>2</v>
      </c>
      <c r="C113" s="13" t="str">
        <f>A112</f>
        <v>BYU</v>
      </c>
      <c r="D113" s="14">
        <f t="shared" si="111"/>
        <v>56</v>
      </c>
      <c r="E113" s="23">
        <v>0.2</v>
      </c>
      <c r="F113" s="24">
        <v>53.030303030303031</v>
      </c>
      <c r="G113" s="24">
        <v>25</v>
      </c>
      <c r="H113" s="23">
        <v>49.019607843137251</v>
      </c>
      <c r="I113" s="24">
        <v>51</v>
      </c>
      <c r="J113" s="25">
        <v>2.0769230769230771</v>
      </c>
      <c r="K113" s="24">
        <v>18</v>
      </c>
      <c r="L113" s="24">
        <v>21</v>
      </c>
      <c r="M113" s="24">
        <v>10</v>
      </c>
      <c r="N113" s="24">
        <v>27</v>
      </c>
      <c r="O113" s="24">
        <v>27</v>
      </c>
      <c r="P113" s="24">
        <v>8</v>
      </c>
      <c r="Q113" s="24">
        <v>3</v>
      </c>
      <c r="R113" s="24">
        <v>13</v>
      </c>
      <c r="S113" s="24">
        <v>15</v>
      </c>
      <c r="T113" s="24">
        <v>22</v>
      </c>
      <c r="U113" s="24">
        <v>36</v>
      </c>
      <c r="V113" s="24">
        <v>0.45833333333333331</v>
      </c>
      <c r="W113" s="26">
        <v>0.71969696969696972</v>
      </c>
      <c r="X113" s="23">
        <v>85.714285714285708</v>
      </c>
      <c r="Y113" s="24">
        <v>88</v>
      </c>
      <c r="Z113" s="24">
        <v>113</v>
      </c>
      <c r="AA113" s="24">
        <v>1</v>
      </c>
      <c r="AB113" s="24">
        <v>37</v>
      </c>
      <c r="AC113" s="24">
        <v>25</v>
      </c>
      <c r="AD113" s="24">
        <v>-2</v>
      </c>
      <c r="AE113" s="24">
        <v>11</v>
      </c>
      <c r="AF113" s="34">
        <f t="shared" si="105"/>
        <v>10</v>
      </c>
      <c r="AG113" s="34">
        <f t="shared" si="106"/>
        <v>15</v>
      </c>
      <c r="AH113" s="46">
        <f t="shared" si="107"/>
        <v>78.974999999999994</v>
      </c>
      <c r="AI113" s="51">
        <f t="shared" ref="AI113" si="124">AVERAGE(AH112,AH113)</f>
        <v>79.237499999999997</v>
      </c>
      <c r="AJ113" s="12">
        <f>INDEX(ovrTable25,MATCH(INDEX('Structured 2025'!teamCol,ROW()),ovrTeamCol25,0),MATCH(MID(INDEX('Structured 2025'!headerRow,1,COLUMN()),4,LEN(INDEX('Structured 2025'!headerRow,1,COLUMN()))),ovrHeaderRow25,0))</f>
        <v>30.4</v>
      </c>
      <c r="AK113" s="12">
        <f>INDEX(ovrTable25,MATCH(INDEX('Structured 2025'!teamCol,ROW()),ovrTeamCol25,0),MATCH(MID(INDEX('Structured 2025'!headerRow,1,COLUMN()),4,LEN(INDEX('Structured 2025'!headerRow,1,COLUMN()))),ovrHeaderRow25,0))</f>
        <v>10.5</v>
      </c>
      <c r="AL113" s="12">
        <f>INDEX(ovrTable25,MATCH(INDEX('Structured 2025'!teamCol,ROW()),ovrTeamCol25,0),MATCH(MID(INDEX('Structured 2025'!headerRow,1,COLUMN()),4,LEN(INDEX('Structured 2025'!headerRow,1,COLUMN()))),ovrHeaderRow25,0))</f>
        <v>35.299999999999997</v>
      </c>
      <c r="AM113" s="12">
        <f>INDEX(ovrTable25,MATCH(INDEX('Structured 2025'!teamCol,ROW()),ovrTeamCol25,0),MATCH(MID(INDEX('Structured 2025'!headerRow,1,COLUMN()),4,LEN(INDEX('Structured 2025'!headerRow,1,COLUMN()))),ovrHeaderRow25,0))</f>
        <v>29.8</v>
      </c>
      <c r="AN113" s="12">
        <f>INDEX(ovrTable25,MATCH(INDEX('Structured 2025'!teamCol,ROW()),ovrTeamCol25,0),MATCH(MID(INDEX('Structured 2025'!headerRow,1,COLUMN()),4,LEN(INDEX('Structured 2025'!headerRow,1,COLUMN()))),ovrHeaderRow25,0))</f>
        <v>1.36</v>
      </c>
      <c r="AO113" s="12">
        <f>INDEX(ovrTable25,MATCH(INDEX('Structured 2025'!teamCol,ROW()),ovrTeamCol25,0),MATCH(MID(INDEX('Structured 2025'!headerRow,1,COLUMN()),4,LEN(INDEX('Structured 2025'!headerRow,1,COLUMN()))),ovrHeaderRow25,0))</f>
        <v>17.2</v>
      </c>
      <c r="AP113" s="12">
        <f>INDEX(ovrTable25,MATCH(INDEX('Structured 2025'!teamCol,ROW()),ovrTeamCol25,0),MATCH(MID(INDEX('Structured 2025'!headerRow,1,COLUMN()),4,LEN(INDEX('Structured 2025'!headerRow,1,COLUMN()))),ovrHeaderRow25,0))</f>
        <v>33.840000000000003</v>
      </c>
      <c r="AQ113" s="12">
        <f>INDEX(ovrTable25,MATCH(INDEX('Structured 2025'!teamCol,ROW()),ovrTeamCol25,0),MATCH(MID(INDEX('Structured 2025'!headerRow,1,COLUMN()),4,LEN(INDEX('Structured 2025'!headerRow,1,COLUMN()))),ovrHeaderRow25,0))</f>
        <v>4.5</v>
      </c>
      <c r="AR113" s="12">
        <f>INDEX(ovrTable25,MATCH(INDEX('Structured 2025'!teamCol,ROW()),ovrTeamCol25,0),MATCH(MID(INDEX('Structured 2025'!headerRow,1,COLUMN()),4,LEN(INDEX('Structured 2025'!headerRow,1,COLUMN()))),ovrHeaderRow25,0))</f>
        <v>42.6</v>
      </c>
      <c r="AS113" s="12">
        <f>INDEX(ovrTable25,MATCH(INDEX('Structured 2025'!teamCol,ROW()),ovrTeamCol25,0),MATCH(MID(INDEX('Structured 2025'!headerRow,1,COLUMN()),4,LEN(INDEX('Structured 2025'!headerRow,1,COLUMN()))),ovrHeaderRow25,0))</f>
        <v>29.95</v>
      </c>
      <c r="AT113" s="12">
        <f>INDEX(ovrTable25,MATCH(INDEX('Structured 2025'!teamCol,ROW()),ovrTeamCol25,0),MATCH(MID(INDEX('Structured 2025'!headerRow,1,COLUMN()),4,LEN(INDEX('Structured 2025'!headerRow,1,COLUMN()))),ovrHeaderRow25,0))</f>
        <v>0.56599999999999995</v>
      </c>
      <c r="AU113" s="12">
        <f>INDEX(ovrTable25,MATCH(INDEX('Structured 2025'!teamCol,ROW()),ovrTeamCol25,0),MATCH(MID(INDEX('Structured 2025'!headerRow,1,COLUMN()),4,LEN(INDEX('Structured 2025'!headerRow,1,COLUMN()))),ovrHeaderRow25,0))</f>
        <v>13.51</v>
      </c>
      <c r="AV113" s="12">
        <f>INDEX(ovrTable25,MATCH(INDEX('Structured 2025'!teamCol,ROW()),ovrTeamCol25,0),MATCH(MID(INDEX('Structured 2025'!headerRow,1,COLUMN()),4,LEN(INDEX('Structured 2025'!headerRow,1,COLUMN()))),ovrHeaderRow25,0))</f>
        <v>48.4</v>
      </c>
      <c r="AW113" s="12">
        <f>INDEX(ovrTable25,MATCH(INDEX('Structured 2025'!teamCol,ROW()),ovrTeamCol25,0),MATCH(MID(INDEX('Structured 2025'!headerRow,1,COLUMN()),4,LEN(INDEX('Structured 2025'!headerRow,1,COLUMN()))),ovrHeaderRow25,0))</f>
        <v>18.899999999999999</v>
      </c>
      <c r="AX113" s="12">
        <f>INDEX(ovrTable25,MATCH(INDEX('Structured 2025'!teamCol,ROW()),ovrTeamCol25,0),MATCH(MID(INDEX('Structured 2025'!headerRow,1,COLUMN()),4,LEN(INDEX('Structured 2025'!headerRow,1,COLUMN()))),ovrHeaderRow25,0))</f>
        <v>72</v>
      </c>
      <c r="AY113" s="12">
        <f>INDEX(ovrTable25,MATCH(INDEX('Structured 2025'!teamCol,ROW()),ovrTeamCol25,0),MATCH(MID(INDEX('Structured 2025'!headerRow,1,COLUMN()),4,LEN(INDEX('Structured 2025'!headerRow,1,COLUMN()))),ovrHeaderRow25,0))</f>
        <v>25.2</v>
      </c>
      <c r="AZ113" s="12">
        <f>INDEX(ovrTable25,MATCH(INDEX('Structured 2025'!teamCol,ROW()),ovrTeamCol25,0),MATCH(MID(INDEX('Structured 2025'!headerRow,1,COLUMN()),4,LEN(INDEX('Structured 2025'!headerRow,1,COLUMN()))),ovrHeaderRow25,0))</f>
        <v>18.100000000000001</v>
      </c>
      <c r="BA113" s="12">
        <f>INDEX(ovrTable25,MATCH(INDEX('Structured 2025'!teamCol,ROW()),ovrTeamCol25,0),MATCH(MID(INDEX('Structured 2025'!headerRow,1,COLUMN()),4,LEN(INDEX('Structured 2025'!headerRow,1,COLUMN()))),ovrHeaderRow25,0))</f>
        <v>81.3</v>
      </c>
      <c r="BB113" s="12">
        <f>INDEX(ovrTable25,MATCH(INDEX('Structured 2025'!teamCol,ROW()),ovrTeamCol25,0),MATCH(MID(INDEX('Structured 2025'!headerRow,1,COLUMN()),4,LEN(INDEX('Structured 2025'!headerRow,1,COLUMN()))),ovrHeaderRow25,0))</f>
        <v>12.41</v>
      </c>
      <c r="BC113" s="12">
        <f>INDEX(ovrTable25,MATCH(INDEX('Structured 2025'!teamCol,ROW()),ovrTeamCol25,0),MATCH(MID(INDEX('Structured 2025'!headerRow,1,COLUMN()),4,LEN(INDEX('Structured 2025'!headerRow,1,COLUMN()))),ovrHeaderRow25,0))</f>
        <v>90.7</v>
      </c>
      <c r="BD113" s="12">
        <f>INDEX(ovrTable25,MATCH(INDEX('Structured 2025'!teamCol,ROW()),ovrTeamCol25,0),MATCH(MID(INDEX('Structured 2025'!headerRow,1,COLUMN()),4,LEN(INDEX('Structured 2025'!headerRow,1,COLUMN()))),ovrHeaderRow25,0))</f>
        <v>5.5</v>
      </c>
      <c r="BE113" s="12">
        <f>INDEX(ovrTable25,MATCH(INDEX('Structured 2025'!teamCol,ROW()),ovrTeamCol25,0),MATCH(MID(INDEX('Structured 2025'!headerRow,1,COLUMN()),4,LEN(INDEX('Structured 2025'!headerRow,1,COLUMN()))),ovrHeaderRow25,0))</f>
        <v>42.35</v>
      </c>
      <c r="BF113" s="12">
        <f>INDEX(ovrTable25,MATCH(INDEX('Structured 2025'!teamCol,ROW()),ovrTeamCol25,0),MATCH(MID(INDEX('Structured 2025'!headerRow,1,COLUMN()),4,LEN(INDEX('Structured 2025'!headerRow,1,COLUMN()))),ovrHeaderRow25,0))</f>
        <v>9.4</v>
      </c>
      <c r="BG113" s="12">
        <f>INDEX(ovrTable25,MATCH(INDEX('Structured 2025'!teamCol,ROW()),ovrTeamCol25,0),MATCH(MID(INDEX('Structured 2025'!headerRow,1,COLUMN()),4,LEN(INDEX('Structured 2025'!headerRow,1,COLUMN()))),ovrHeaderRow25,0))</f>
        <v>6.2</v>
      </c>
      <c r="BH113" s="12">
        <f>INDEX(ovrTable25,MATCH(INDEX('Structured 2025'!teamCol,ROW()),ovrTeamCol25,0),MATCH(MID(INDEX('Structured 2025'!headerRow,1,COLUMN()),4,LEN(INDEX('Structured 2025'!headerRow,1,COLUMN()))),ovrHeaderRow25,0))</f>
        <v>-2.4</v>
      </c>
      <c r="BI113" s="12">
        <f>INDEX(ovrTable25,MATCH(INDEX('Structured 2025'!teamCol,ROW()),ovrTeamCol25,0),MATCH(MID(INDEX('Structured 2025'!headerRow,1,COLUMN()),4,LEN(INDEX('Structured 2025'!headerRow,1,COLUMN()))),ovrHeaderRow25,0))</f>
        <v>10.32</v>
      </c>
      <c r="BJ113" s="12">
        <f>INDEX(ovrTable25,MATCH(INDEX('Structured 2025'!teamCol,ROW()),ovrTeamCol25,0),MATCH(MID(INDEX('Structured 2025'!headerRow,1,COLUMN()),4,LEN(INDEX('Structured 2025'!headerRow,1,COLUMN()))),ovrHeaderRow25,0))</f>
        <v>12.7</v>
      </c>
      <c r="BK113" s="12">
        <f>INDEX(ovrTable25,MATCH(INDEX('Structured 2025'!teamCol,ROW()),ovrTeamCol25,0),MATCH(MID(INDEX('Structured 2025'!headerRow,1,COLUMN()),4,LEN(INDEX('Structured 2025'!headerRow,1,COLUMN()))),ovrHeaderRow25,0))</f>
        <v>75.3</v>
      </c>
      <c r="BL113" s="12">
        <f>INDEX(ovrTable25,MATCH(INDEX('Structured 2025'!teamCol,ROW()),ovrTeamCol25,0),MATCH(MID(INDEX('Structured 2025'!headerRow,1,COLUMN()),4,LEN(INDEX('Structured 2025'!headerRow,1,COLUMN()))),ovrHeaderRow25,0))</f>
        <v>20.549999999999997</v>
      </c>
      <c r="BM113" s="12">
        <f>INDEX(ovrTable25,MATCH(INDEX('Structured 2025'!teamCol,ROW()),ovrTeamCol25,0),MATCH(MID(INDEX('Structured 2025'!headerRow,1,COLUMN()),4,LEN(INDEX('Structured 2025'!headerRow,1,COLUMN()))),ovrHeaderRow25,0))</f>
        <v>64.152892561983464</v>
      </c>
      <c r="BN113" s="12">
        <f>INDEX(ovrTable25,MATCH(INDEX(oppCol,ROW()),ovrTeamCol25,0),MATCH(MID(INDEX('Structured 2025'!headerRow,1,COLUMN()),4,LEN(INDEX('Structured 2025'!headerRow,1,COLUMN()))),ovrHeaderRow25,0))</f>
        <v>35.700000000000003</v>
      </c>
      <c r="BO113" s="12">
        <f>INDEX(ovrTable25,MATCH(INDEX(oppCol,ROW()),ovrTeamCol25,0),MATCH(MID(INDEX('Structured 2025'!headerRow,1,COLUMN()),4,LEN(INDEX('Structured 2025'!headerRow,1,COLUMN()))),ovrHeaderRow25,0))</f>
        <v>10.5</v>
      </c>
      <c r="BP113" s="12">
        <f>INDEX(ovrTable25,MATCH(INDEX(oppCol,ROW()),ovrTeamCol25,0),MATCH(MID(INDEX('Structured 2025'!headerRow,1,COLUMN()),4,LEN(INDEX('Structured 2025'!headerRow,1,COLUMN()))),ovrHeaderRow25,0))</f>
        <v>36.799999999999997</v>
      </c>
      <c r="BQ113" s="12">
        <f>INDEX(ovrTable25,MATCH(INDEX(oppCol,ROW()),ovrTeamCol25,0),MATCH(MID(INDEX('Structured 2025'!headerRow,1,COLUMN()),4,LEN(INDEX('Structured 2025'!headerRow,1,COLUMN()))),ovrHeaderRow25,0))</f>
        <v>28.6</v>
      </c>
      <c r="BR113" s="12">
        <f>INDEX(ovrTable25,MATCH(INDEX(oppCol,ROW()),ovrTeamCol25,0),MATCH(MID(INDEX('Structured 2025'!headerRow,1,COLUMN()),4,LEN(INDEX('Structured 2025'!headerRow,1,COLUMN()))),ovrHeaderRow25,0))</f>
        <v>1.43</v>
      </c>
      <c r="BS113" s="12">
        <f>INDEX(ovrTable25,MATCH(INDEX(oppCol,ROW()),ovrTeamCol25,0),MATCH(MID(INDEX('Structured 2025'!headerRow,1,COLUMN()),4,LEN(INDEX('Structured 2025'!headerRow,1,COLUMN()))),ovrHeaderRow25,0))</f>
        <v>17.3</v>
      </c>
      <c r="BT113" s="12">
        <f>INDEX(ovrTable25,MATCH(INDEX(oppCol,ROW()),ovrTeamCol25,0),MATCH(MID(INDEX('Structured 2025'!headerRow,1,COLUMN()),4,LEN(INDEX('Structured 2025'!headerRow,1,COLUMN()))),ovrHeaderRow25,0))</f>
        <v>30.11</v>
      </c>
      <c r="BU113" s="12">
        <f>INDEX(ovrTable25,MATCH(INDEX(oppCol,ROW()),ovrTeamCol25,0),MATCH(MID(INDEX('Structured 2025'!headerRow,1,COLUMN()),4,LEN(INDEX('Structured 2025'!headerRow,1,COLUMN()))),ovrHeaderRow25,0))</f>
        <v>3.1</v>
      </c>
      <c r="BV113" s="12">
        <f>INDEX(ovrTable25,MATCH(INDEX(oppCol,ROW()),ovrTeamCol25,0),MATCH(MID(INDEX('Structured 2025'!headerRow,1,COLUMN()),4,LEN(INDEX('Structured 2025'!headerRow,1,COLUMN()))),ovrHeaderRow25,0))</f>
        <v>43.1</v>
      </c>
      <c r="BW113" s="12">
        <f>INDEX(ovrTable25,MATCH(INDEX(oppCol,ROW()),ovrTeamCol25,0),MATCH(MID(INDEX('Structured 2025'!headerRow,1,COLUMN()),4,LEN(INDEX('Structured 2025'!headerRow,1,COLUMN()))),ovrHeaderRow25,0))</f>
        <v>26.33</v>
      </c>
      <c r="BX113" s="12">
        <f>INDEX(ovrTable25,MATCH(INDEX(oppCol,ROW()),ovrTeamCol25,0),MATCH(MID(INDEX('Structured 2025'!headerRow,1,COLUMN()),4,LEN(INDEX('Structured 2025'!headerRow,1,COLUMN()))),ovrHeaderRow25,0))</f>
        <v>0.56999999999999995</v>
      </c>
      <c r="BY113" s="12">
        <f>INDEX(ovrTable25,MATCH(INDEX(oppCol,ROW()),ovrTeamCol25,0),MATCH(MID(INDEX('Structured 2025'!headerRow,1,COLUMN()),4,LEN(INDEX('Structured 2025'!headerRow,1,COLUMN()))),ovrHeaderRow25,0))</f>
        <v>10</v>
      </c>
      <c r="BZ113" s="12">
        <f>INDEX(ovrTable25,MATCH(INDEX(oppCol,ROW()),ovrTeamCol25,0),MATCH(MID(INDEX('Structured 2025'!headerRow,1,COLUMN()),4,LEN(INDEX('Structured 2025'!headerRow,1,COLUMN()))),ovrHeaderRow25,0))</f>
        <v>48.2</v>
      </c>
      <c r="CA113" s="12">
        <f>INDEX(ovrTable25,MATCH(INDEX(oppCol,ROW()),ovrTeamCol25,0),MATCH(MID(INDEX('Structured 2025'!headerRow,1,COLUMN()),4,LEN(INDEX('Structured 2025'!headerRow,1,COLUMN()))),ovrHeaderRow25,0))</f>
        <v>16.3</v>
      </c>
      <c r="CB113" s="12">
        <f>INDEX(ovrTable25,MATCH(INDEX(oppCol,ROW()),ovrTeamCol25,0),MATCH(MID(INDEX('Structured 2025'!headerRow,1,COLUMN()),4,LEN(INDEX('Structured 2025'!headerRow,1,COLUMN()))),ovrHeaderRow25,0))</f>
        <v>71.3</v>
      </c>
      <c r="CC113" s="12">
        <f>INDEX(ovrTable25,MATCH(INDEX(oppCol,ROW()),ovrTeamCol25,0),MATCH(MID(INDEX('Structured 2025'!headerRow,1,COLUMN()),4,LEN(INDEX('Structured 2025'!headerRow,1,COLUMN()))),ovrHeaderRow25,0))</f>
        <v>18.3</v>
      </c>
      <c r="CD113" s="12">
        <f>INDEX(ovrTable25,MATCH(INDEX(oppCol,ROW()),ovrTeamCol25,0),MATCH(MID(INDEX('Structured 2025'!headerRow,1,COLUMN()),4,LEN(INDEX('Structured 2025'!headerRow,1,COLUMN()))),ovrHeaderRow25,0))</f>
        <v>13</v>
      </c>
      <c r="CE113" s="12">
        <f>INDEX(ovrTable25,MATCH(INDEX(oppCol,ROW()),ovrTeamCol25,0),MATCH(MID(INDEX('Structured 2025'!headerRow,1,COLUMN()),4,LEN(INDEX('Structured 2025'!headerRow,1,COLUMN()))),ovrHeaderRow25,0))</f>
        <v>72.599999999999994</v>
      </c>
      <c r="CF113" s="12">
        <f>INDEX(ovrTable25,MATCH(INDEX(oppCol,ROW()),ovrTeamCol25,0),MATCH(MID(INDEX('Structured 2025'!headerRow,1,COLUMN()),4,LEN(INDEX('Structured 2025'!headerRow,1,COLUMN()))),ovrHeaderRow25,0))</f>
        <v>11.28</v>
      </c>
      <c r="CG113" s="12">
        <f>INDEX(ovrTable25,MATCH(INDEX(oppCol,ROW()),ovrTeamCol25,0),MATCH(MID(INDEX('Structured 2025'!headerRow,1,COLUMN()),4,LEN(INDEX('Structured 2025'!headerRow,1,COLUMN()))),ovrHeaderRow25,0))</f>
        <v>81.400000000000006</v>
      </c>
      <c r="CH113" s="12">
        <f>INDEX(ovrTable25,MATCH(INDEX(oppCol,ROW()),ovrTeamCol25,0),MATCH(MID(INDEX('Structured 2025'!headerRow,1,COLUMN()),4,LEN(INDEX('Structured 2025'!headerRow,1,COLUMN()))),ovrHeaderRow25,0))</f>
        <v>5.9</v>
      </c>
      <c r="CI113" s="12">
        <f>INDEX(ovrTable25,MATCH(INDEX(oppCol,ROW()),ovrTeamCol25,0),MATCH(MID(INDEX('Structured 2025'!headerRow,1,COLUMN()),4,LEN(INDEX('Structured 2025'!headerRow,1,COLUMN()))),ovrHeaderRow25,0))</f>
        <v>37.61</v>
      </c>
      <c r="CJ113" s="12">
        <f>INDEX(ovrTable25,MATCH(INDEX(oppCol,ROW()),ovrTeamCol25,0),MATCH(MID(INDEX('Structured 2025'!headerRow,1,COLUMN()),4,LEN(INDEX('Structured 2025'!headerRow,1,COLUMN()))),ovrHeaderRow25,0))</f>
        <v>8.9</v>
      </c>
      <c r="CK113" s="12">
        <f>INDEX(ovrTable25,MATCH(INDEX(oppCol,ROW()),ovrTeamCol25,0),MATCH(MID(INDEX('Structured 2025'!headerRow,1,COLUMN()),4,LEN(INDEX('Structured 2025'!headerRow,1,COLUMN()))),ovrHeaderRow25,0))</f>
        <v>7.1</v>
      </c>
      <c r="CL113" s="12">
        <f>INDEX(ovrTable25,MATCH(INDEX(oppCol,ROW()),ovrTeamCol25,0),MATCH(MID(INDEX('Structured 2025'!headerRow,1,COLUMN()),4,LEN(INDEX('Structured 2025'!headerRow,1,COLUMN()))),ovrHeaderRow25,0))</f>
        <v>-0.4</v>
      </c>
      <c r="CM113" s="12">
        <f>INDEX(ovrTable25,MATCH(INDEX(oppCol,ROW()),ovrTeamCol25,0),MATCH(MID(INDEX('Structured 2025'!headerRow,1,COLUMN()),4,LEN(INDEX('Structured 2025'!headerRow,1,COLUMN()))),ovrHeaderRow25,0))</f>
        <v>11.69</v>
      </c>
      <c r="CN113" s="12">
        <f>INDEX(ovrTable25,MATCH(INDEX(oppCol,ROW()),ovrTeamCol25,0),MATCH(MID(INDEX('Structured 2025'!headerRow,1,COLUMN()),4,LEN(INDEX('Structured 2025'!headerRow,1,COLUMN()))),ovrHeaderRow25,0))</f>
        <v>12.1</v>
      </c>
      <c r="CO113" s="12">
        <f>INDEX(ovrTable25,MATCH(INDEX(oppCol,ROW()),ovrTeamCol25,0),MATCH(MID(INDEX('Structured 2025'!headerRow,1,COLUMN()),4,LEN(INDEX('Structured 2025'!headerRow,1,COLUMN()))),ovrHeaderRow25,0))</f>
        <v>67.599999999999994</v>
      </c>
      <c r="CP113" s="12">
        <f>INDEX(ovrTable25,MATCH(INDEX(oppCol,ROW()),ovrTeamCol25,0),MATCH(MID(INDEX('Structured 2025'!headerRow,1,COLUMN()),4,LEN(INDEX('Structured 2025'!headerRow,1,COLUMN()))),ovrHeaderRow25,0))</f>
        <v>18.450000000000003</v>
      </c>
      <c r="CQ113" s="12">
        <f>INDEX(ovrTable25,MATCH(INDEX(oppCol,ROW()),ovrTeamCol25,0),MATCH(MID(INDEX('Structured 2025'!headerRow,1,COLUMN()),4,LEN(INDEX('Structured 2025'!headerRow,1,COLUMN()))),ovrHeaderRow25,0))</f>
        <v>60.062240663900418</v>
      </c>
    </row>
    <row r="114" spans="1:95" x14ac:dyDescent="0.3">
      <c r="A114" s="6" t="s">
        <v>51</v>
      </c>
      <c r="B114" s="3">
        <v>1</v>
      </c>
      <c r="C114" s="13" t="str">
        <f>A115</f>
        <v>PUR</v>
      </c>
      <c r="D114" s="14">
        <f t="shared" si="111"/>
        <v>57</v>
      </c>
      <c r="E114" s="23">
        <v>0.29629629629629628</v>
      </c>
      <c r="F114" s="24">
        <v>37.704918032786885</v>
      </c>
      <c r="G114" s="24">
        <v>9</v>
      </c>
      <c r="H114" s="23">
        <v>39.130434782608695</v>
      </c>
      <c r="I114" s="24">
        <v>23</v>
      </c>
      <c r="J114" s="25">
        <v>2.2857142857142856</v>
      </c>
      <c r="K114" s="24">
        <v>7</v>
      </c>
      <c r="L114" s="24">
        <v>11</v>
      </c>
      <c r="M114" s="24">
        <v>16</v>
      </c>
      <c r="N114" s="24">
        <v>22</v>
      </c>
      <c r="O114" s="24">
        <v>16</v>
      </c>
      <c r="P114" s="24">
        <v>4</v>
      </c>
      <c r="Q114" s="24">
        <v>1</v>
      </c>
      <c r="R114" s="24">
        <v>7</v>
      </c>
      <c r="S114" s="24">
        <v>2</v>
      </c>
      <c r="T114" s="24">
        <v>14</v>
      </c>
      <c r="U114" s="24">
        <v>10</v>
      </c>
      <c r="V114" s="24">
        <v>0.40384615384615385</v>
      </c>
      <c r="W114" s="26">
        <v>0.45081967213114749</v>
      </c>
      <c r="X114" s="23">
        <v>63.636363636363633</v>
      </c>
      <c r="Y114" s="24">
        <v>60</v>
      </c>
      <c r="Z114" s="24">
        <v>62</v>
      </c>
      <c r="AA114" s="24">
        <v>9</v>
      </c>
      <c r="AB114" s="24">
        <v>38</v>
      </c>
      <c r="AC114" s="24">
        <v>2</v>
      </c>
      <c r="AD114" s="24">
        <v>0</v>
      </c>
      <c r="AE114" s="24">
        <v>7</v>
      </c>
      <c r="AF114" s="34">
        <f t="shared" si="105"/>
        <v>14</v>
      </c>
      <c r="AG114" s="34">
        <f t="shared" si="106"/>
        <v>38.000000000000007</v>
      </c>
      <c r="AH114" s="46">
        <f t="shared" si="107"/>
        <v>57.225000000000001</v>
      </c>
      <c r="AI114" s="51">
        <f t="shared" ref="AI114" si="125">AVERAGE(AH114,AH115)</f>
        <v>57.462500000000006</v>
      </c>
      <c r="AJ114" s="12">
        <f>INDEX(ovrTable25,MATCH(INDEX('Structured 2025'!teamCol,ROW()),ovrTeamCol25,0),MATCH(MID(INDEX('Structured 2025'!headerRow,1,COLUMN()),4,LEN(INDEX('Structured 2025'!headerRow,1,COLUMN()))),ovrHeaderRow25,0))</f>
        <v>30.2</v>
      </c>
      <c r="AK114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114" s="12">
        <f>INDEX(ovrTable25,MATCH(INDEX('Structured 2025'!teamCol,ROW()),ovrTeamCol25,0),MATCH(MID(INDEX('Structured 2025'!headerRow,1,COLUMN()),4,LEN(INDEX('Structured 2025'!headerRow,1,COLUMN()))),ovrHeaderRow25,0))</f>
        <v>39.4</v>
      </c>
      <c r="AM114" s="12">
        <f>INDEX(ovrTable25,MATCH(INDEX('Structured 2025'!teamCol,ROW()),ovrTeamCol25,0),MATCH(MID(INDEX('Structured 2025'!headerRow,1,COLUMN()),4,LEN(INDEX('Structured 2025'!headerRow,1,COLUMN()))),ovrHeaderRow25,0))</f>
        <v>20.7</v>
      </c>
      <c r="AN114" s="12">
        <f>INDEX(ovrTable25,MATCH(INDEX('Structured 2025'!teamCol,ROW()),ovrTeamCol25,0),MATCH(MID(INDEX('Structured 2025'!headerRow,1,COLUMN()),4,LEN(INDEX('Structured 2025'!headerRow,1,COLUMN()))),ovrHeaderRow25,0))</f>
        <v>1.34</v>
      </c>
      <c r="AO114" s="12">
        <f>INDEX(ovrTable25,MATCH(INDEX('Structured 2025'!teamCol,ROW()),ovrTeamCol25,0),MATCH(MID(INDEX('Structured 2025'!headerRow,1,COLUMN()),4,LEN(INDEX('Structured 2025'!headerRow,1,COLUMN()))),ovrHeaderRow25,0))</f>
        <v>12.1</v>
      </c>
      <c r="AP114" s="12">
        <f>INDEX(ovrTable25,MATCH(INDEX('Structured 2025'!teamCol,ROW()),ovrTeamCol25,0),MATCH(MID(INDEX('Structured 2025'!headerRow,1,COLUMN()),4,LEN(INDEX('Structured 2025'!headerRow,1,COLUMN()))),ovrHeaderRow25,0))</f>
        <v>18.73</v>
      </c>
      <c r="AQ114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114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S114" s="12">
        <f>INDEX(ovrTable25,MATCH(INDEX('Structured 2025'!teamCol,ROW()),ovrTeamCol25,0),MATCH(MID(INDEX('Structured 2025'!headerRow,1,COLUMN()),4,LEN(INDEX('Structured 2025'!headerRow,1,COLUMN()))),ovrHeaderRow25,0))</f>
        <v>24.08</v>
      </c>
      <c r="AT114" s="12">
        <f>INDEX(ovrTable25,MATCH(INDEX('Structured 2025'!teamCol,ROW()),ovrTeamCol25,0),MATCH(MID(INDEX('Structured 2025'!headerRow,1,COLUMN()),4,LEN(INDEX('Structured 2025'!headerRow,1,COLUMN()))),ovrHeaderRow25,0))</f>
        <v>0.51700000000000002</v>
      </c>
      <c r="AU114" s="12">
        <f>INDEX(ovrTable25,MATCH(INDEX('Structured 2025'!teamCol,ROW()),ovrTeamCol25,0),MATCH(MID(INDEX('Structured 2025'!headerRow,1,COLUMN()),4,LEN(INDEX('Structured 2025'!headerRow,1,COLUMN()))),ovrHeaderRow25,0))</f>
        <v>7.6</v>
      </c>
      <c r="AV114" s="12">
        <f>INDEX(ovrTable25,MATCH(INDEX('Structured 2025'!teamCol,ROW()),ovrTeamCol25,0),MATCH(MID(INDEX('Structured 2025'!headerRow,1,COLUMN()),4,LEN(INDEX('Structured 2025'!headerRow,1,COLUMN()))),ovrHeaderRow25,0))</f>
        <v>44.9</v>
      </c>
      <c r="AW114" s="12">
        <f>INDEX(ovrTable25,MATCH(INDEX('Structured 2025'!teamCol,ROW()),ovrTeamCol25,0),MATCH(MID(INDEX('Structured 2025'!headerRow,1,COLUMN()),4,LEN(INDEX('Structured 2025'!headerRow,1,COLUMN()))),ovrHeaderRow25,0))</f>
        <v>16.3</v>
      </c>
      <c r="AX114" s="12">
        <f>INDEX(ovrTable25,MATCH(INDEX('Structured 2025'!teamCol,ROW()),ovrTeamCol25,0),MATCH(MID(INDEX('Structured 2025'!headerRow,1,COLUMN()),4,LEN(INDEX('Structured 2025'!headerRow,1,COLUMN()))),ovrHeaderRow25,0))</f>
        <v>74</v>
      </c>
      <c r="AY114" s="12">
        <f>INDEX(ovrTable25,MATCH(INDEX('Structured 2025'!teamCol,ROW()),ovrTeamCol25,0),MATCH(MID(INDEX('Structured 2025'!headerRow,1,COLUMN()),4,LEN(INDEX('Structured 2025'!headerRow,1,COLUMN()))),ovrHeaderRow25,0))</f>
        <v>16.2</v>
      </c>
      <c r="AZ114" s="12">
        <f>INDEX(ovrTable25,MATCH(INDEX('Structured 2025'!teamCol,ROW()),ovrTeamCol25,0),MATCH(MID(INDEX('Structured 2025'!headerRow,1,COLUMN()),4,LEN(INDEX('Structured 2025'!headerRow,1,COLUMN()))),ovrHeaderRow25,0))</f>
        <v>12</v>
      </c>
      <c r="BA114" s="12">
        <f>INDEX(ovrTable25,MATCH(INDEX('Structured 2025'!teamCol,ROW()),ovrTeamCol25,0),MATCH(MID(INDEX('Structured 2025'!headerRow,1,COLUMN()),4,LEN(INDEX('Structured 2025'!headerRow,1,COLUMN()))),ovrHeaderRow25,0))</f>
        <v>58.7</v>
      </c>
      <c r="BB114" s="12">
        <f>INDEX(ovrTable25,MATCH(INDEX('Structured 2025'!teamCol,ROW()),ovrTeamCol25,0),MATCH(MID(INDEX('Structured 2025'!headerRow,1,COLUMN()),4,LEN(INDEX('Structured 2025'!headerRow,1,COLUMN()))),ovrHeaderRow25,0))</f>
        <v>12.8</v>
      </c>
      <c r="BC114" s="12">
        <f>INDEX(ovrTable25,MATCH(INDEX('Structured 2025'!teamCol,ROW()),ovrTeamCol25,0),MATCH(MID(INDEX('Structured 2025'!headerRow,1,COLUMN()),4,LEN(INDEX('Structured 2025'!headerRow,1,COLUMN()))),ovrHeaderRow25,0))</f>
        <v>73.7</v>
      </c>
      <c r="BD114" s="12">
        <f>INDEX(ovrTable25,MATCH(INDEX('Structured 2025'!teamCol,ROW()),ovrTeamCol25,0),MATCH(MID(INDEX('Structured 2025'!headerRow,1,COLUMN()),4,LEN(INDEX('Structured 2025'!headerRow,1,COLUMN()))),ovrHeaderRow25,0))</f>
        <v>5.3</v>
      </c>
      <c r="BE114" s="12">
        <f>INDEX(ovrTable25,MATCH(INDEX('Structured 2025'!teamCol,ROW()),ovrTeamCol25,0),MATCH(MID(INDEX('Structured 2025'!headerRow,1,COLUMN()),4,LEN(INDEX('Structured 2025'!headerRow,1,COLUMN()))),ovrHeaderRow25,0))</f>
        <v>36.880000000000003</v>
      </c>
      <c r="BF114" s="12">
        <f>INDEX(ovrTable25,MATCH(INDEX('Structured 2025'!teamCol,ROW()),ovrTeamCol25,0),MATCH(MID(INDEX('Structured 2025'!headerRow,1,COLUMN()),4,LEN(INDEX('Structured 2025'!headerRow,1,COLUMN()))),ovrHeaderRow25,0))</f>
        <v>15</v>
      </c>
      <c r="BG114" s="12">
        <f>INDEX(ovrTable25,MATCH(INDEX('Structured 2025'!teamCol,ROW()),ovrTeamCol25,0),MATCH(MID(INDEX('Structured 2025'!headerRow,1,COLUMN()),4,LEN(INDEX('Structured 2025'!headerRow,1,COLUMN()))),ovrHeaderRow25,0))</f>
        <v>7.8</v>
      </c>
      <c r="BH114" s="12">
        <f>INDEX(ovrTable25,MATCH(INDEX('Structured 2025'!teamCol,ROW()),ovrTeamCol25,0),MATCH(MID(INDEX('Structured 2025'!headerRow,1,COLUMN()),4,LEN(INDEX('Structured 2025'!headerRow,1,COLUMN()))),ovrHeaderRow25,0))</f>
        <v>4.2</v>
      </c>
      <c r="BI114" s="12">
        <f>INDEX(ovrTable25,MATCH(INDEX('Structured 2025'!teamCol,ROW()),ovrTeamCol25,0),MATCH(MID(INDEX('Structured 2025'!headerRow,1,COLUMN()),4,LEN(INDEX('Structured 2025'!headerRow,1,COLUMN()))),ovrHeaderRow25,0))</f>
        <v>13.23</v>
      </c>
      <c r="BJ114" s="12">
        <f>INDEX(ovrTable25,MATCH(INDEX('Structured 2025'!teamCol,ROW()),ovrTeamCol25,0),MATCH(MID(INDEX('Structured 2025'!headerRow,1,COLUMN()),4,LEN(INDEX('Structured 2025'!headerRow,1,COLUMN()))),ovrHeaderRow25,0))</f>
        <v>9</v>
      </c>
      <c r="BK114" s="12">
        <f>INDEX(ovrTable25,MATCH(INDEX('Structured 2025'!teamCol,ROW()),ovrTeamCol25,0),MATCH(MID(INDEX('Structured 2025'!headerRow,1,COLUMN()),4,LEN(INDEX('Structured 2025'!headerRow,1,COLUMN()))),ovrHeaderRow25,0))</f>
        <v>61.9</v>
      </c>
      <c r="BL114" s="12">
        <f>INDEX(ovrTable25,MATCH(INDEX('Structured 2025'!teamCol,ROW()),ovrTeamCol25,0),MATCH(MID(INDEX('Structured 2025'!headerRow,1,COLUMN()),4,LEN(INDEX('Structured 2025'!headerRow,1,COLUMN()))),ovrHeaderRow25,0))</f>
        <v>18.550000000000004</v>
      </c>
      <c r="BM114" s="12">
        <f>INDEX(ovrTable25,MATCH(INDEX('Structured 2025'!teamCol,ROW()),ovrTeamCol25,0),MATCH(MID(INDEX('Structured 2025'!headerRow,1,COLUMN()),4,LEN(INDEX('Structured 2025'!headerRow,1,COLUMN()))),ovrHeaderRow25,0))</f>
        <v>59.576837416481084</v>
      </c>
      <c r="BN114" s="12">
        <f>INDEX(ovrTable25,MATCH(INDEX(oppCol,ROW()),ovrTeamCol25,0),MATCH(MID(INDEX('Structured 2025'!headerRow,1,COLUMN()),4,LEN(INDEX('Structured 2025'!headerRow,1,COLUMN()))),ovrHeaderRow25,0))</f>
        <v>31.2</v>
      </c>
      <c r="BO114" s="12">
        <f>INDEX(ovrTable25,MATCH(INDEX(oppCol,ROW()),ovrTeamCol25,0),MATCH(MID(INDEX('Structured 2025'!headerRow,1,COLUMN()),4,LEN(INDEX('Structured 2025'!headerRow,1,COLUMN()))),ovrHeaderRow25,0))</f>
        <v>8.3000000000000007</v>
      </c>
      <c r="BP114" s="12">
        <f>INDEX(ovrTable25,MATCH(INDEX(oppCol,ROW()),ovrTeamCol25,0),MATCH(MID(INDEX('Structured 2025'!headerRow,1,COLUMN()),4,LEN(INDEX('Structured 2025'!headerRow,1,COLUMN()))),ovrHeaderRow25,0))</f>
        <v>38.200000000000003</v>
      </c>
      <c r="BQ114" s="12">
        <f>INDEX(ovrTable25,MATCH(INDEX(oppCol,ROW()),ovrTeamCol25,0),MATCH(MID(INDEX('Structured 2025'!headerRow,1,COLUMN()),4,LEN(INDEX('Structured 2025'!headerRow,1,COLUMN()))),ovrHeaderRow25,0))</f>
        <v>21.6</v>
      </c>
      <c r="BR114" s="12">
        <f>INDEX(ovrTable25,MATCH(INDEX(oppCol,ROW()),ovrTeamCol25,0),MATCH(MID(INDEX('Structured 2025'!headerRow,1,COLUMN()),4,LEN(INDEX('Structured 2025'!headerRow,1,COLUMN()))),ovrHeaderRow25,0))</f>
        <v>1.53</v>
      </c>
      <c r="BS114" s="12">
        <f>INDEX(ovrTable25,MATCH(INDEX(oppCol,ROW()),ovrTeamCol25,0),MATCH(MID(INDEX('Structured 2025'!headerRow,1,COLUMN()),4,LEN(INDEX('Structured 2025'!headerRow,1,COLUMN()))),ovrHeaderRow25,0))</f>
        <v>15.9</v>
      </c>
      <c r="BT114" s="12">
        <f>INDEX(ovrTable25,MATCH(INDEX(oppCol,ROW()),ovrTeamCol25,0),MATCH(MID(INDEX('Structured 2025'!headerRow,1,COLUMN()),4,LEN(INDEX('Structured 2025'!headerRow,1,COLUMN()))),ovrHeaderRow25,0))</f>
        <v>17.03</v>
      </c>
      <c r="BU114" s="12">
        <f>INDEX(ovrTable25,MATCH(INDEX(oppCol,ROW()),ovrTeamCol25,0),MATCH(MID(INDEX('Structured 2025'!headerRow,1,COLUMN()),4,LEN(INDEX('Structured 2025'!headerRow,1,COLUMN()))),ovrHeaderRow25,0))</f>
        <v>1.6</v>
      </c>
      <c r="BV114" s="12">
        <f>INDEX(ovrTable25,MATCH(INDEX(oppCol,ROW()),ovrTeamCol25,0),MATCH(MID(INDEX('Structured 2025'!headerRow,1,COLUMN()),4,LEN(INDEX('Structured 2025'!headerRow,1,COLUMN()))),ovrHeaderRow25,0))</f>
        <v>45.2</v>
      </c>
      <c r="BW114" s="12">
        <f>INDEX(ovrTable25,MATCH(INDEX(oppCol,ROW()),ovrTeamCol25,0),MATCH(MID(INDEX('Structured 2025'!headerRow,1,COLUMN()),4,LEN(INDEX('Structured 2025'!headerRow,1,COLUMN()))),ovrHeaderRow25,0))</f>
        <v>23.08</v>
      </c>
      <c r="BX114" s="12">
        <f>INDEX(ovrTable25,MATCH(INDEX(oppCol,ROW()),ovrTeamCol25,0),MATCH(MID(INDEX('Structured 2025'!headerRow,1,COLUMN()),4,LEN(INDEX('Structured 2025'!headerRow,1,COLUMN()))),ovrHeaderRow25,0))</f>
        <v>0.55900000000000005</v>
      </c>
      <c r="BY114" s="12">
        <f>INDEX(ovrTable25,MATCH(INDEX(oppCol,ROW()),ovrTeamCol25,0),MATCH(MID(INDEX('Structured 2025'!headerRow,1,COLUMN()),4,LEN(INDEX('Structured 2025'!headerRow,1,COLUMN()))),ovrHeaderRow25,0))</f>
        <v>7.83</v>
      </c>
      <c r="BZ114" s="12">
        <f>INDEX(ovrTable25,MATCH(INDEX(oppCol,ROW()),ovrTeamCol25,0),MATCH(MID(INDEX('Structured 2025'!headerRow,1,COLUMN()),4,LEN(INDEX('Structured 2025'!headerRow,1,COLUMN()))),ovrHeaderRow25,0))</f>
        <v>48.6</v>
      </c>
      <c r="CA114" s="12">
        <f>INDEX(ovrTable25,MATCH(INDEX(oppCol,ROW()),ovrTeamCol25,0),MATCH(MID(INDEX('Structured 2025'!headerRow,1,COLUMN()),4,LEN(INDEX('Structured 2025'!headerRow,1,COLUMN()))),ovrHeaderRow25,0))</f>
        <v>15.8</v>
      </c>
      <c r="CB114" s="12">
        <f>INDEX(ovrTable25,MATCH(INDEX(oppCol,ROW()),ovrTeamCol25,0),MATCH(MID(INDEX('Structured 2025'!headerRow,1,COLUMN()),4,LEN(INDEX('Structured 2025'!headerRow,1,COLUMN()))),ovrHeaderRow25,0))</f>
        <v>73.2</v>
      </c>
      <c r="CC114" s="12">
        <f>INDEX(ovrTable25,MATCH(INDEX(oppCol,ROW()),ovrTeamCol25,0),MATCH(MID(INDEX('Structured 2025'!headerRow,1,COLUMN()),4,LEN(INDEX('Structured 2025'!headerRow,1,COLUMN()))),ovrHeaderRow25,0))</f>
        <v>19.5</v>
      </c>
      <c r="CD114" s="12">
        <f>INDEX(ovrTable25,MATCH(INDEX(oppCol,ROW()),ovrTeamCol25,0),MATCH(MID(INDEX('Structured 2025'!headerRow,1,COLUMN()),4,LEN(INDEX('Structured 2025'!headerRow,1,COLUMN()))),ovrHeaderRow25,0))</f>
        <v>14.3</v>
      </c>
      <c r="CE114" s="12">
        <f>INDEX(ovrTable25,MATCH(INDEX(oppCol,ROW()),ovrTeamCol25,0),MATCH(MID(INDEX('Structured 2025'!headerRow,1,COLUMN()),4,LEN(INDEX('Structured 2025'!headerRow,1,COLUMN()))),ovrHeaderRow25,0))</f>
        <v>70.400000000000006</v>
      </c>
      <c r="CF114" s="12">
        <f>INDEX(ovrTable25,MATCH(INDEX(oppCol,ROW()),ovrTeamCol25,0),MATCH(MID(INDEX('Structured 2025'!headerRow,1,COLUMN()),4,LEN(INDEX('Structured 2025'!headerRow,1,COLUMN()))),ovrHeaderRow25,0))</f>
        <v>9.7799999999999994</v>
      </c>
      <c r="CG114" s="12">
        <f>INDEX(ovrTable25,MATCH(INDEX(oppCol,ROW()),ovrTeamCol25,0),MATCH(MID(INDEX('Structured 2025'!headerRow,1,COLUMN()),4,LEN(INDEX('Structured 2025'!headerRow,1,COLUMN()))),ovrHeaderRow25,0))</f>
        <v>77.3</v>
      </c>
      <c r="CH114" s="12">
        <f>INDEX(ovrTable25,MATCH(INDEX(oppCol,ROW()),ovrTeamCol25,0),MATCH(MID(INDEX('Structured 2025'!headerRow,1,COLUMN()),4,LEN(INDEX('Structured 2025'!headerRow,1,COLUMN()))),ovrHeaderRow25,0))</f>
        <v>2.1</v>
      </c>
      <c r="CI114" s="12">
        <f>INDEX(ovrTable25,MATCH(INDEX(oppCol,ROW()),ovrTeamCol25,0),MATCH(MID(INDEX('Structured 2025'!headerRow,1,COLUMN()),4,LEN(INDEX('Structured 2025'!headerRow,1,COLUMN()))),ovrHeaderRow25,0))</f>
        <v>32.86</v>
      </c>
      <c r="CJ114" s="12">
        <f>INDEX(ovrTable25,MATCH(INDEX(oppCol,ROW()),ovrTeamCol25,0),MATCH(MID(INDEX('Structured 2025'!headerRow,1,COLUMN()),4,LEN(INDEX('Structured 2025'!headerRow,1,COLUMN()))),ovrHeaderRow25,0))</f>
        <v>6.9</v>
      </c>
      <c r="CK114" s="12">
        <f>INDEX(ovrTable25,MATCH(INDEX(oppCol,ROW()),ovrTeamCol25,0),MATCH(MID(INDEX('Structured 2025'!headerRow,1,COLUMN()),4,LEN(INDEX('Structured 2025'!headerRow,1,COLUMN()))),ovrHeaderRow25,0))</f>
        <v>6.4</v>
      </c>
      <c r="CL114" s="12">
        <f>INDEX(ovrTable25,MATCH(INDEX(oppCol,ROW()),ovrTeamCol25,0),MATCH(MID(INDEX('Structured 2025'!headerRow,1,COLUMN()),4,LEN(INDEX('Structured 2025'!headerRow,1,COLUMN()))),ovrHeaderRow25,0))</f>
        <v>1.2</v>
      </c>
      <c r="CM114" s="12">
        <f>INDEX(ovrTable25,MATCH(INDEX(oppCol,ROW()),ovrTeamCol25,0),MATCH(MID(INDEX('Structured 2025'!headerRow,1,COLUMN()),4,LEN(INDEX('Structured 2025'!headerRow,1,COLUMN()))),ovrHeaderRow25,0))</f>
        <v>11.61</v>
      </c>
      <c r="CN114" s="12">
        <f>INDEX(ovrTable25,MATCH(INDEX(oppCol,ROW()),ovrTeamCol25,0),MATCH(MID(INDEX('Structured 2025'!headerRow,1,COLUMN()),4,LEN(INDEX('Structured 2025'!headerRow,1,COLUMN()))),ovrHeaderRow25,0))</f>
        <v>10.4</v>
      </c>
      <c r="CO114" s="12">
        <f>INDEX(ovrTable25,MATCH(INDEX(oppCol,ROW()),ovrTeamCol25,0),MATCH(MID(INDEX('Structured 2025'!headerRow,1,COLUMN()),4,LEN(INDEX('Structured 2025'!headerRow,1,COLUMN()))),ovrHeaderRow25,0))</f>
        <v>65.099999999999994</v>
      </c>
      <c r="CP114" s="12">
        <f>INDEX(ovrTable25,MATCH(INDEX(oppCol,ROW()),ovrTeamCol25,0),MATCH(MID(INDEX('Structured 2025'!headerRow,1,COLUMN()),4,LEN(INDEX('Structured 2025'!headerRow,1,COLUMN()))),ovrHeaderRow25,0))</f>
        <v>19.049999999999997</v>
      </c>
      <c r="CQ114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115" spans="1:95" x14ac:dyDescent="0.3">
      <c r="A115" s="6" t="s">
        <v>54</v>
      </c>
      <c r="B115" s="3">
        <v>4</v>
      </c>
      <c r="C115" s="13" t="str">
        <f>A114</f>
        <v>HOU</v>
      </c>
      <c r="D115" s="14">
        <f t="shared" si="111"/>
        <v>57</v>
      </c>
      <c r="E115" s="23">
        <v>0.39130434782608697</v>
      </c>
      <c r="F115" s="24">
        <v>40.384615384615387</v>
      </c>
      <c r="G115" s="24">
        <v>8</v>
      </c>
      <c r="H115" s="23">
        <v>29.629629629629626</v>
      </c>
      <c r="I115" s="24">
        <v>27</v>
      </c>
      <c r="J115" s="25">
        <v>2.8571428571428572</v>
      </c>
      <c r="K115" s="24">
        <v>10</v>
      </c>
      <c r="L115" s="24">
        <v>12</v>
      </c>
      <c r="M115" s="24">
        <v>7</v>
      </c>
      <c r="N115" s="24">
        <v>22</v>
      </c>
      <c r="O115" s="24">
        <v>20</v>
      </c>
      <c r="P115" s="24">
        <v>4</v>
      </c>
      <c r="Q115" s="24">
        <v>2</v>
      </c>
      <c r="R115" s="24">
        <v>7</v>
      </c>
      <c r="S115" s="24">
        <v>2</v>
      </c>
      <c r="T115" s="24">
        <v>13</v>
      </c>
      <c r="U115" s="24">
        <v>16</v>
      </c>
      <c r="V115" s="24">
        <v>0.37704918032786883</v>
      </c>
      <c r="W115" s="26">
        <v>0.48076923076923078</v>
      </c>
      <c r="X115" s="23">
        <v>83.333333333333343</v>
      </c>
      <c r="Y115" s="24">
        <v>62</v>
      </c>
      <c r="Z115" s="24">
        <v>60</v>
      </c>
      <c r="AA115" s="24">
        <v>-9</v>
      </c>
      <c r="AB115" s="24">
        <v>29</v>
      </c>
      <c r="AC115" s="24">
        <v>-2</v>
      </c>
      <c r="AD115" s="24">
        <v>0</v>
      </c>
      <c r="AE115" s="24">
        <v>7</v>
      </c>
      <c r="AF115" s="34">
        <f t="shared" si="105"/>
        <v>13</v>
      </c>
      <c r="AG115" s="34">
        <f t="shared" si="106"/>
        <v>25</v>
      </c>
      <c r="AH115" s="46">
        <f t="shared" si="107"/>
        <v>57.7</v>
      </c>
      <c r="AI115" s="51">
        <f t="shared" ref="AI115" si="126">AVERAGE(AH114,AH115)</f>
        <v>57.462500000000006</v>
      </c>
      <c r="AJ115" s="12">
        <f>INDEX(ovrTable25,MATCH(INDEX('Structured 2025'!teamCol,ROW()),ovrTeamCol25,0),MATCH(MID(INDEX('Structured 2025'!headerRow,1,COLUMN()),4,LEN(INDEX('Structured 2025'!headerRow,1,COLUMN()))),ovrHeaderRow25,0))</f>
        <v>31.2</v>
      </c>
      <c r="AK115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115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115" s="12">
        <f>INDEX(ovrTable25,MATCH(INDEX('Structured 2025'!teamCol,ROW()),ovrTeamCol25,0),MATCH(MID(INDEX('Structured 2025'!headerRow,1,COLUMN()),4,LEN(INDEX('Structured 2025'!headerRow,1,COLUMN()))),ovrHeaderRow25,0))</f>
        <v>21.6</v>
      </c>
      <c r="AN115" s="12">
        <f>INDEX(ovrTable25,MATCH(INDEX('Structured 2025'!teamCol,ROW()),ovrTeamCol25,0),MATCH(MID(INDEX('Structured 2025'!headerRow,1,COLUMN()),4,LEN(INDEX('Structured 2025'!headerRow,1,COLUMN()))),ovrHeaderRow25,0))</f>
        <v>1.53</v>
      </c>
      <c r="AO115" s="12">
        <f>INDEX(ovrTable25,MATCH(INDEX('Structured 2025'!teamCol,ROW()),ovrTeamCol25,0),MATCH(MID(INDEX('Structured 2025'!headerRow,1,COLUMN()),4,LEN(INDEX('Structured 2025'!headerRow,1,COLUMN()))),ovrHeaderRow25,0))</f>
        <v>15.9</v>
      </c>
      <c r="AP115" s="12">
        <f>INDEX(ovrTable25,MATCH(INDEX('Structured 2025'!teamCol,ROW()),ovrTeamCol25,0),MATCH(MID(INDEX('Structured 2025'!headerRow,1,COLUMN()),4,LEN(INDEX('Structured 2025'!headerRow,1,COLUMN()))),ovrHeaderRow25,0))</f>
        <v>17.03</v>
      </c>
      <c r="AQ115" s="12">
        <f>INDEX(ovrTable25,MATCH(INDEX('Structured 2025'!teamCol,ROW()),ovrTeamCol25,0),MATCH(MID(INDEX('Structured 2025'!headerRow,1,COLUMN()),4,LEN(INDEX('Structured 2025'!headerRow,1,COLUMN()))),ovrHeaderRow25,0))</f>
        <v>1.6</v>
      </c>
      <c r="AR115" s="12">
        <f>INDEX(ovrTable25,MATCH(INDEX('Structured 2025'!teamCol,ROW()),ovrTeamCol25,0),MATCH(MID(INDEX('Structured 2025'!headerRow,1,COLUMN()),4,LEN(INDEX('Structured 2025'!headerRow,1,COLUMN()))),ovrHeaderRow25,0))</f>
        <v>45.2</v>
      </c>
      <c r="AS115" s="12">
        <f>INDEX(ovrTable25,MATCH(INDEX('Structured 2025'!teamCol,ROW()),ovrTeamCol25,0),MATCH(MID(INDEX('Structured 2025'!headerRow,1,COLUMN()),4,LEN(INDEX('Structured 2025'!headerRow,1,COLUMN()))),ovrHeaderRow25,0))</f>
        <v>23.08</v>
      </c>
      <c r="AT115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115" s="12">
        <f>INDEX(ovrTable25,MATCH(INDEX('Structured 2025'!teamCol,ROW()),ovrTeamCol25,0),MATCH(MID(INDEX('Structured 2025'!headerRow,1,COLUMN()),4,LEN(INDEX('Structured 2025'!headerRow,1,COLUMN()))),ovrHeaderRow25,0))</f>
        <v>7.83</v>
      </c>
      <c r="AV115" s="12">
        <f>INDEX(ovrTable25,MATCH(INDEX('Structured 2025'!teamCol,ROW()),ovrTeamCol25,0),MATCH(MID(INDEX('Structured 2025'!headerRow,1,COLUMN()),4,LEN(INDEX('Structured 2025'!headerRow,1,COLUMN()))),ovrHeaderRow25,0))</f>
        <v>48.6</v>
      </c>
      <c r="AW115" s="12">
        <f>INDEX(ovrTable25,MATCH(INDEX('Structured 2025'!teamCol,ROW()),ovrTeamCol25,0),MATCH(MID(INDEX('Structured 2025'!headerRow,1,COLUMN()),4,LEN(INDEX('Structured 2025'!headerRow,1,COLUMN()))),ovrHeaderRow25,0))</f>
        <v>15.8</v>
      </c>
      <c r="AX115" s="12">
        <f>INDEX(ovrTable25,MATCH(INDEX('Structured 2025'!teamCol,ROW()),ovrTeamCol25,0),MATCH(MID(INDEX('Structured 2025'!headerRow,1,COLUMN()),4,LEN(INDEX('Structured 2025'!headerRow,1,COLUMN()))),ovrHeaderRow25,0))</f>
        <v>73.2</v>
      </c>
      <c r="AY115" s="12">
        <f>INDEX(ovrTable25,MATCH(INDEX('Structured 2025'!teamCol,ROW()),ovrTeamCol25,0),MATCH(MID(INDEX('Structured 2025'!headerRow,1,COLUMN()),4,LEN(INDEX('Structured 2025'!headerRow,1,COLUMN()))),ovrHeaderRow25,0))</f>
        <v>19.5</v>
      </c>
      <c r="AZ115" s="12">
        <f>INDEX(ovrTable25,MATCH(INDEX('Structured 2025'!teamCol,ROW()),ovrTeamCol25,0),MATCH(MID(INDEX('Structured 2025'!headerRow,1,COLUMN()),4,LEN(INDEX('Structured 2025'!headerRow,1,COLUMN()))),ovrHeaderRow25,0))</f>
        <v>14.3</v>
      </c>
      <c r="BA115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115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115" s="12">
        <f>INDEX(ovrTable25,MATCH(INDEX('Structured 2025'!teamCol,ROW()),ovrTeamCol25,0),MATCH(MID(INDEX('Structured 2025'!headerRow,1,COLUMN()),4,LEN(INDEX('Structured 2025'!headerRow,1,COLUMN()))),ovrHeaderRow25,0))</f>
        <v>77.3</v>
      </c>
      <c r="BD115" s="12">
        <f>INDEX(ovrTable25,MATCH(INDEX('Structured 2025'!teamCol,ROW()),ovrTeamCol25,0),MATCH(MID(INDEX('Structured 2025'!headerRow,1,COLUMN()),4,LEN(INDEX('Structured 2025'!headerRow,1,COLUMN()))),ovrHeaderRow25,0))</f>
        <v>2.1</v>
      </c>
      <c r="BE115" s="12">
        <f>INDEX(ovrTable25,MATCH(INDEX('Structured 2025'!teamCol,ROW()),ovrTeamCol25,0),MATCH(MID(INDEX('Structured 2025'!headerRow,1,COLUMN()),4,LEN(INDEX('Structured 2025'!headerRow,1,COLUMN()))),ovrHeaderRow25,0))</f>
        <v>32.86</v>
      </c>
      <c r="BF115" s="12">
        <f>INDEX(ovrTable25,MATCH(INDEX('Structured 2025'!teamCol,ROW()),ovrTeamCol25,0),MATCH(MID(INDEX('Structured 2025'!headerRow,1,COLUMN()),4,LEN(INDEX('Structured 2025'!headerRow,1,COLUMN()))),ovrHeaderRow25,0))</f>
        <v>6.9</v>
      </c>
      <c r="BG115" s="12">
        <f>INDEX(ovrTable25,MATCH(INDEX('Structured 2025'!teamCol,ROW()),ovrTeamCol25,0),MATCH(MID(INDEX('Structured 2025'!headerRow,1,COLUMN()),4,LEN(INDEX('Structured 2025'!headerRow,1,COLUMN()))),ovrHeaderRow25,0))</f>
        <v>6.4</v>
      </c>
      <c r="BH115" s="12">
        <f>INDEX(ovrTable25,MATCH(INDEX('Structured 2025'!teamCol,ROW()),ovrTeamCol25,0),MATCH(MID(INDEX('Structured 2025'!headerRow,1,COLUMN()),4,LEN(INDEX('Structured 2025'!headerRow,1,COLUMN()))),ovrHeaderRow25,0))</f>
        <v>1.2</v>
      </c>
      <c r="BI115" s="12">
        <f>INDEX(ovrTable25,MATCH(INDEX('Structured 2025'!teamCol,ROW()),ovrTeamCol25,0),MATCH(MID(INDEX('Structured 2025'!headerRow,1,COLUMN()),4,LEN(INDEX('Structured 2025'!headerRow,1,COLUMN()))),ovrHeaderRow25,0))</f>
        <v>11.61</v>
      </c>
      <c r="BJ115" s="12">
        <f>INDEX(ovrTable25,MATCH(INDEX('Structured 2025'!teamCol,ROW()),ovrTeamCol25,0),MATCH(MID(INDEX('Structured 2025'!headerRow,1,COLUMN()),4,LEN(INDEX('Structured 2025'!headerRow,1,COLUMN()))),ovrHeaderRow25,0))</f>
        <v>10.4</v>
      </c>
      <c r="BK115" s="12">
        <f>INDEX(ovrTable25,MATCH(INDEX('Structured 2025'!teamCol,ROW()),ovrTeamCol25,0),MATCH(MID(INDEX('Structured 2025'!headerRow,1,COLUMN()),4,LEN(INDEX('Structured 2025'!headerRow,1,COLUMN()))),ovrHeaderRow25,0))</f>
        <v>65.099999999999994</v>
      </c>
      <c r="BL115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115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115" s="12">
        <f>INDEX(ovrTable25,MATCH(INDEX(oppCol,ROW()),ovrTeamCol25,0),MATCH(MID(INDEX('Structured 2025'!headerRow,1,COLUMN()),4,LEN(INDEX('Structured 2025'!headerRow,1,COLUMN()))),ovrHeaderRow25,0))</f>
        <v>30.2</v>
      </c>
      <c r="BO115" s="12">
        <f>INDEX(ovrTable25,MATCH(INDEX(oppCol,ROW()),ovrTeamCol25,0),MATCH(MID(INDEX('Structured 2025'!headerRow,1,COLUMN()),4,LEN(INDEX('Structured 2025'!headerRow,1,COLUMN()))),ovrHeaderRow25,0))</f>
        <v>8.1999999999999993</v>
      </c>
      <c r="BP115" s="12">
        <f>INDEX(ovrTable25,MATCH(INDEX(oppCol,ROW()),ovrTeamCol25,0),MATCH(MID(INDEX('Structured 2025'!headerRow,1,COLUMN()),4,LEN(INDEX('Structured 2025'!headerRow,1,COLUMN()))),ovrHeaderRow25,0))</f>
        <v>39.4</v>
      </c>
      <c r="BQ115" s="12">
        <f>INDEX(ovrTable25,MATCH(INDEX(oppCol,ROW()),ovrTeamCol25,0),MATCH(MID(INDEX('Structured 2025'!headerRow,1,COLUMN()),4,LEN(INDEX('Structured 2025'!headerRow,1,COLUMN()))),ovrHeaderRow25,0))</f>
        <v>20.7</v>
      </c>
      <c r="BR115" s="12">
        <f>INDEX(ovrTable25,MATCH(INDEX(oppCol,ROW()),ovrTeamCol25,0),MATCH(MID(INDEX('Structured 2025'!headerRow,1,COLUMN()),4,LEN(INDEX('Structured 2025'!headerRow,1,COLUMN()))),ovrHeaderRow25,0))</f>
        <v>1.34</v>
      </c>
      <c r="BS115" s="12">
        <f>INDEX(ovrTable25,MATCH(INDEX(oppCol,ROW()),ovrTeamCol25,0),MATCH(MID(INDEX('Structured 2025'!headerRow,1,COLUMN()),4,LEN(INDEX('Structured 2025'!headerRow,1,COLUMN()))),ovrHeaderRow25,0))</f>
        <v>12.1</v>
      </c>
      <c r="BT115" s="12">
        <f>INDEX(ovrTable25,MATCH(INDEX(oppCol,ROW()),ovrTeamCol25,0),MATCH(MID(INDEX('Structured 2025'!headerRow,1,COLUMN()),4,LEN(INDEX('Structured 2025'!headerRow,1,COLUMN()))),ovrHeaderRow25,0))</f>
        <v>18.73</v>
      </c>
      <c r="BU115" s="12">
        <f>INDEX(ovrTable25,MATCH(INDEX(oppCol,ROW()),ovrTeamCol25,0),MATCH(MID(INDEX('Structured 2025'!headerRow,1,COLUMN()),4,LEN(INDEX('Structured 2025'!headerRow,1,COLUMN()))),ovrHeaderRow25,0))</f>
        <v>4.5999999999999996</v>
      </c>
      <c r="BV115" s="12">
        <f>INDEX(ovrTable25,MATCH(INDEX(oppCol,ROW()),ovrTeamCol25,0),MATCH(MID(INDEX('Structured 2025'!headerRow,1,COLUMN()),4,LEN(INDEX('Structured 2025'!headerRow,1,COLUMN()))),ovrHeaderRow25,0))</f>
        <v>38.299999999999997</v>
      </c>
      <c r="BW115" s="12">
        <f>INDEX(ovrTable25,MATCH(INDEX(oppCol,ROW()),ovrTeamCol25,0),MATCH(MID(INDEX('Structured 2025'!headerRow,1,COLUMN()),4,LEN(INDEX('Structured 2025'!headerRow,1,COLUMN()))),ovrHeaderRow25,0))</f>
        <v>24.08</v>
      </c>
      <c r="BX115" s="12">
        <f>INDEX(ovrTable25,MATCH(INDEX(oppCol,ROW()),ovrTeamCol25,0),MATCH(MID(INDEX('Structured 2025'!headerRow,1,COLUMN()),4,LEN(INDEX('Structured 2025'!headerRow,1,COLUMN()))),ovrHeaderRow25,0))</f>
        <v>0.51700000000000002</v>
      </c>
      <c r="BY115" s="12">
        <f>INDEX(ovrTable25,MATCH(INDEX(oppCol,ROW()),ovrTeamCol25,0),MATCH(MID(INDEX('Structured 2025'!headerRow,1,COLUMN()),4,LEN(INDEX('Structured 2025'!headerRow,1,COLUMN()))),ovrHeaderRow25,0))</f>
        <v>7.6</v>
      </c>
      <c r="BZ115" s="12">
        <f>INDEX(ovrTable25,MATCH(INDEX(oppCol,ROW()),ovrTeamCol25,0),MATCH(MID(INDEX('Structured 2025'!headerRow,1,COLUMN()),4,LEN(INDEX('Structured 2025'!headerRow,1,COLUMN()))),ovrHeaderRow25,0))</f>
        <v>44.9</v>
      </c>
      <c r="CA115" s="12">
        <f>INDEX(ovrTable25,MATCH(INDEX(oppCol,ROW()),ovrTeamCol25,0),MATCH(MID(INDEX('Structured 2025'!headerRow,1,COLUMN()),4,LEN(INDEX('Structured 2025'!headerRow,1,COLUMN()))),ovrHeaderRow25,0))</f>
        <v>16.3</v>
      </c>
      <c r="CB115" s="12">
        <f>INDEX(ovrTable25,MATCH(INDEX(oppCol,ROW()),ovrTeamCol25,0),MATCH(MID(INDEX('Structured 2025'!headerRow,1,COLUMN()),4,LEN(INDEX('Structured 2025'!headerRow,1,COLUMN()))),ovrHeaderRow25,0))</f>
        <v>74</v>
      </c>
      <c r="CC115" s="12">
        <f>INDEX(ovrTable25,MATCH(INDEX(oppCol,ROW()),ovrTeamCol25,0),MATCH(MID(INDEX('Structured 2025'!headerRow,1,COLUMN()),4,LEN(INDEX('Structured 2025'!headerRow,1,COLUMN()))),ovrHeaderRow25,0))</f>
        <v>16.2</v>
      </c>
      <c r="CD115" s="12">
        <f>INDEX(ovrTable25,MATCH(INDEX(oppCol,ROW()),ovrTeamCol25,0),MATCH(MID(INDEX('Structured 2025'!headerRow,1,COLUMN()),4,LEN(INDEX('Structured 2025'!headerRow,1,COLUMN()))),ovrHeaderRow25,0))</f>
        <v>12</v>
      </c>
      <c r="CE115" s="12">
        <f>INDEX(ovrTable25,MATCH(INDEX(oppCol,ROW()),ovrTeamCol25,0),MATCH(MID(INDEX('Structured 2025'!headerRow,1,COLUMN()),4,LEN(INDEX('Structured 2025'!headerRow,1,COLUMN()))),ovrHeaderRow25,0))</f>
        <v>58.7</v>
      </c>
      <c r="CF115" s="12">
        <f>INDEX(ovrTable25,MATCH(INDEX(oppCol,ROW()),ovrTeamCol25,0),MATCH(MID(INDEX('Structured 2025'!headerRow,1,COLUMN()),4,LEN(INDEX('Structured 2025'!headerRow,1,COLUMN()))),ovrHeaderRow25,0))</f>
        <v>12.8</v>
      </c>
      <c r="CG115" s="12">
        <f>INDEX(ovrTable25,MATCH(INDEX(oppCol,ROW()),ovrTeamCol25,0),MATCH(MID(INDEX('Structured 2025'!headerRow,1,COLUMN()),4,LEN(INDEX('Structured 2025'!headerRow,1,COLUMN()))),ovrHeaderRow25,0))</f>
        <v>73.7</v>
      </c>
      <c r="CH115" s="12">
        <f>INDEX(ovrTable25,MATCH(INDEX(oppCol,ROW()),ovrTeamCol25,0),MATCH(MID(INDEX('Structured 2025'!headerRow,1,COLUMN()),4,LEN(INDEX('Structured 2025'!headerRow,1,COLUMN()))),ovrHeaderRow25,0))</f>
        <v>5.3</v>
      </c>
      <c r="CI115" s="12">
        <f>INDEX(ovrTable25,MATCH(INDEX(oppCol,ROW()),ovrTeamCol25,0),MATCH(MID(INDEX('Structured 2025'!headerRow,1,COLUMN()),4,LEN(INDEX('Structured 2025'!headerRow,1,COLUMN()))),ovrHeaderRow25,0))</f>
        <v>36.880000000000003</v>
      </c>
      <c r="CJ115" s="12">
        <f>INDEX(ovrTable25,MATCH(INDEX(oppCol,ROW()),ovrTeamCol25,0),MATCH(MID(INDEX('Structured 2025'!headerRow,1,COLUMN()),4,LEN(INDEX('Structured 2025'!headerRow,1,COLUMN()))),ovrHeaderRow25,0))</f>
        <v>15</v>
      </c>
      <c r="CK115" s="12">
        <f>INDEX(ovrTable25,MATCH(INDEX(oppCol,ROW()),ovrTeamCol25,0),MATCH(MID(INDEX('Structured 2025'!headerRow,1,COLUMN()),4,LEN(INDEX('Structured 2025'!headerRow,1,COLUMN()))),ovrHeaderRow25,0))</f>
        <v>7.8</v>
      </c>
      <c r="CL115" s="12">
        <f>INDEX(ovrTable25,MATCH(INDEX(oppCol,ROW()),ovrTeamCol25,0),MATCH(MID(INDEX('Structured 2025'!headerRow,1,COLUMN()),4,LEN(INDEX('Structured 2025'!headerRow,1,COLUMN()))),ovrHeaderRow25,0))</f>
        <v>4.2</v>
      </c>
      <c r="CM115" s="12">
        <f>INDEX(ovrTable25,MATCH(INDEX(oppCol,ROW()),ovrTeamCol25,0),MATCH(MID(INDEX('Structured 2025'!headerRow,1,COLUMN()),4,LEN(INDEX('Structured 2025'!headerRow,1,COLUMN()))),ovrHeaderRow25,0))</f>
        <v>13.23</v>
      </c>
      <c r="CN115" s="12">
        <f>INDEX(ovrTable25,MATCH(INDEX(oppCol,ROW()),ovrTeamCol25,0),MATCH(MID(INDEX('Structured 2025'!headerRow,1,COLUMN()),4,LEN(INDEX('Structured 2025'!headerRow,1,COLUMN()))),ovrHeaderRow25,0))</f>
        <v>9</v>
      </c>
      <c r="CO115" s="12">
        <f>INDEX(ovrTable25,MATCH(INDEX(oppCol,ROW()),ovrTeamCol25,0),MATCH(MID(INDEX('Structured 2025'!headerRow,1,COLUMN()),4,LEN(INDEX('Structured 2025'!headerRow,1,COLUMN()))),ovrHeaderRow25,0))</f>
        <v>61.9</v>
      </c>
      <c r="CP115" s="12">
        <f>INDEX(ovrTable25,MATCH(INDEX(oppCol,ROW()),ovrTeamCol25,0),MATCH(MID(INDEX('Structured 2025'!headerRow,1,COLUMN()),4,LEN(INDEX('Structured 2025'!headerRow,1,COLUMN()))),ovrHeaderRow25,0))</f>
        <v>18.550000000000004</v>
      </c>
      <c r="CQ115" s="12">
        <f>INDEX(ovrTable25,MATCH(INDEX(oppCol,ROW()),ovrTeamCol25,0),MATCH(MID(INDEX('Structured 2025'!headerRow,1,COLUMN()),4,LEN(INDEX('Structured 2025'!headerRow,1,COLUMN()))),ovrHeaderRow25,0))</f>
        <v>59.576837416481084</v>
      </c>
    </row>
    <row r="116" spans="1:95" x14ac:dyDescent="0.3">
      <c r="A116" s="6" t="s">
        <v>49</v>
      </c>
      <c r="B116" s="3">
        <v>3</v>
      </c>
      <c r="C116" s="13" t="str">
        <f>A117</f>
        <v>TENN</v>
      </c>
      <c r="D116" s="14">
        <f t="shared" si="111"/>
        <v>58</v>
      </c>
      <c r="E116" s="23">
        <v>0.26315789473684209</v>
      </c>
      <c r="F116" s="24">
        <v>49.019607843137251</v>
      </c>
      <c r="G116" s="24">
        <v>6</v>
      </c>
      <c r="H116" s="23">
        <v>40</v>
      </c>
      <c r="I116" s="24">
        <v>15</v>
      </c>
      <c r="J116" s="25">
        <v>0.83333333333333337</v>
      </c>
      <c r="K116" s="24">
        <v>9</v>
      </c>
      <c r="L116" s="24">
        <v>13</v>
      </c>
      <c r="M116" s="24">
        <v>7</v>
      </c>
      <c r="N116" s="24">
        <v>17</v>
      </c>
      <c r="O116" s="24">
        <v>10</v>
      </c>
      <c r="P116" s="24">
        <v>7</v>
      </c>
      <c r="Q116" s="24">
        <v>2</v>
      </c>
      <c r="R116" s="24">
        <v>12</v>
      </c>
      <c r="S116" s="24">
        <v>5</v>
      </c>
      <c r="T116" s="24">
        <v>17</v>
      </c>
      <c r="U116" s="24">
        <v>6</v>
      </c>
      <c r="V116" s="24">
        <v>0.50877192982456143</v>
      </c>
      <c r="W116" s="26">
        <v>0.5490196078431373</v>
      </c>
      <c r="X116" s="23">
        <v>69.230769230769226</v>
      </c>
      <c r="Y116" s="24">
        <v>78</v>
      </c>
      <c r="Z116" s="24">
        <v>65</v>
      </c>
      <c r="AA116" s="24">
        <v>-10</v>
      </c>
      <c r="AB116" s="24">
        <v>24</v>
      </c>
      <c r="AC116" s="24">
        <v>-13</v>
      </c>
      <c r="AD116" s="24">
        <v>-4</v>
      </c>
      <c r="AE116" s="24">
        <v>8</v>
      </c>
      <c r="AF116" s="34">
        <f t="shared" si="105"/>
        <v>19</v>
      </c>
      <c r="AG116" s="34">
        <f t="shared" si="106"/>
        <v>36</v>
      </c>
      <c r="AH116" s="46">
        <f t="shared" si="107"/>
        <v>62.174999999999997</v>
      </c>
      <c r="AI116" s="51">
        <f t="shared" ref="AI116" si="127">AVERAGE(AH116,AH117)</f>
        <v>61.337499999999999</v>
      </c>
      <c r="AJ116" s="12">
        <f>INDEX(ovrTable25,MATCH(INDEX('Structured 2025'!teamCol,ROW()),ovrTeamCol25,0),MATCH(MID(INDEX('Structured 2025'!headerRow,1,COLUMN()),4,LEN(INDEX('Structured 2025'!headerRow,1,COLUMN()))),ovrHeaderRow25,0))</f>
        <v>30.5</v>
      </c>
      <c r="AK116" s="12">
        <f>INDEX(ovrTable25,MATCH(INDEX('Structured 2025'!teamCol,ROW()),ovrTeamCol25,0),MATCH(MID(INDEX('Structured 2025'!headerRow,1,COLUMN()),4,LEN(INDEX('Structured 2025'!headerRow,1,COLUMN()))),ovrHeaderRow25,0))</f>
        <v>9.5</v>
      </c>
      <c r="AL116" s="12">
        <f>INDEX(ovrTable25,MATCH(INDEX('Structured 2025'!teamCol,ROW()),ovrTeamCol25,0),MATCH(MID(INDEX('Structured 2025'!headerRow,1,COLUMN()),4,LEN(INDEX('Structured 2025'!headerRow,1,COLUMN()))),ovrHeaderRow25,0))</f>
        <v>37.5</v>
      </c>
      <c r="AM116" s="12">
        <f>INDEX(ovrTable25,MATCH(INDEX('Structured 2025'!teamCol,ROW()),ovrTeamCol25,0),MATCH(MID(INDEX('Structured 2025'!headerRow,1,COLUMN()),4,LEN(INDEX('Structured 2025'!headerRow,1,COLUMN()))),ovrHeaderRow25,0))</f>
        <v>25.3</v>
      </c>
      <c r="AN116" s="12">
        <f>INDEX(ovrTable25,MATCH(INDEX('Structured 2025'!teamCol,ROW()),ovrTeamCol25,0),MATCH(MID(INDEX('Structured 2025'!headerRow,1,COLUMN()),4,LEN(INDEX('Structured 2025'!headerRow,1,COLUMN()))),ovrHeaderRow25,0))</f>
        <v>1.55</v>
      </c>
      <c r="AO116" s="12">
        <f>INDEX(ovrTable25,MATCH(INDEX('Structured 2025'!teamCol,ROW()),ovrTeamCol25,0),MATCH(MID(INDEX('Structured 2025'!headerRow,1,COLUMN()),4,LEN(INDEX('Structured 2025'!headerRow,1,COLUMN()))),ovrHeaderRow25,0))</f>
        <v>16.899999999999999</v>
      </c>
      <c r="AP116" s="12">
        <f>INDEX(ovrTable25,MATCH(INDEX('Structured 2025'!teamCol,ROW()),ovrTeamCol25,0),MATCH(MID(INDEX('Structured 2025'!headerRow,1,COLUMN()),4,LEN(INDEX('Structured 2025'!headerRow,1,COLUMN()))),ovrHeaderRow25,0))</f>
        <v>22.19</v>
      </c>
      <c r="AQ116" s="12">
        <f>INDEX(ovrTable25,MATCH(INDEX('Structured 2025'!teamCol,ROW()),ovrTeamCol25,0),MATCH(MID(INDEX('Structured 2025'!headerRow,1,COLUMN()),4,LEN(INDEX('Structured 2025'!headerRow,1,COLUMN()))),ovrHeaderRow25,0))</f>
        <v>4</v>
      </c>
      <c r="AR116" s="12">
        <f>INDEX(ovrTable25,MATCH(INDEX('Structured 2025'!teamCol,ROW()),ovrTeamCol25,0),MATCH(MID(INDEX('Structured 2025'!headerRow,1,COLUMN()),4,LEN(INDEX('Structured 2025'!headerRow,1,COLUMN()))),ovrHeaderRow25,0))</f>
        <v>43.7</v>
      </c>
      <c r="AS116" s="12">
        <f>INDEX(ovrTable25,MATCH(INDEX('Structured 2025'!teamCol,ROW()),ovrTeamCol25,0),MATCH(MID(INDEX('Structured 2025'!headerRow,1,COLUMN()),4,LEN(INDEX('Structured 2025'!headerRow,1,COLUMN()))),ovrHeaderRow25,0))</f>
        <v>28.14</v>
      </c>
      <c r="AT116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116" s="12">
        <f>INDEX(ovrTable25,MATCH(INDEX('Structured 2025'!teamCol,ROW()),ovrTeamCol25,0),MATCH(MID(INDEX('Structured 2025'!headerRow,1,COLUMN()),4,LEN(INDEX('Structured 2025'!headerRow,1,COLUMN()))),ovrHeaderRow25,0))</f>
        <v>14.03</v>
      </c>
      <c r="AV116" s="12">
        <f>INDEX(ovrTable25,MATCH(INDEX('Structured 2025'!teamCol,ROW()),ovrTeamCol25,0),MATCH(MID(INDEX('Structured 2025'!headerRow,1,COLUMN()),4,LEN(INDEX('Structured 2025'!headerRow,1,COLUMN()))),ovrHeaderRow25,0))</f>
        <v>48.2</v>
      </c>
      <c r="AW116" s="12">
        <f>INDEX(ovrTable25,MATCH(INDEX('Structured 2025'!teamCol,ROW()),ovrTeamCol25,0),MATCH(MID(INDEX('Structured 2025'!headerRow,1,COLUMN()),4,LEN(INDEX('Structured 2025'!headerRow,1,COLUMN()))),ovrHeaderRow25,0))</f>
        <v>17.2</v>
      </c>
      <c r="AX116" s="12">
        <f>INDEX(ovrTable25,MATCH(INDEX('Structured 2025'!teamCol,ROW()),ovrTeamCol25,0),MATCH(MID(INDEX('Structured 2025'!headerRow,1,COLUMN()),4,LEN(INDEX('Structured 2025'!headerRow,1,COLUMN()))),ovrHeaderRow25,0))</f>
        <v>73.099999999999994</v>
      </c>
      <c r="AY116" s="12">
        <f>INDEX(ovrTable25,MATCH(INDEX('Structured 2025'!teamCol,ROW()),ovrTeamCol25,0),MATCH(MID(INDEX('Structured 2025'!headerRow,1,COLUMN()),4,LEN(INDEX('Structured 2025'!headerRow,1,COLUMN()))),ovrHeaderRow25,0))</f>
        <v>21.6</v>
      </c>
      <c r="AZ116" s="12">
        <f>INDEX(ovrTable25,MATCH(INDEX('Structured 2025'!teamCol,ROW()),ovrTeamCol25,0),MATCH(MID(INDEX('Structured 2025'!headerRow,1,COLUMN()),4,LEN(INDEX('Structured 2025'!headerRow,1,COLUMN()))),ovrHeaderRow25,0))</f>
        <v>15.8</v>
      </c>
      <c r="BA116" s="12">
        <f>INDEX(ovrTable25,MATCH(INDEX('Structured 2025'!teamCol,ROW()),ovrTeamCol25,0),MATCH(MID(INDEX('Structured 2025'!headerRow,1,COLUMN()),4,LEN(INDEX('Structured 2025'!headerRow,1,COLUMN()))),ovrHeaderRow25,0))</f>
        <v>77.2</v>
      </c>
      <c r="BB116" s="12">
        <f>INDEX(ovrTable25,MATCH(INDEX('Structured 2025'!teamCol,ROW()),ovrTeamCol25,0),MATCH(MID(INDEX('Structured 2025'!headerRow,1,COLUMN()),4,LEN(INDEX('Structured 2025'!headerRow,1,COLUMN()))),ovrHeaderRow25,0))</f>
        <v>9.89</v>
      </c>
      <c r="BC116" s="12">
        <f>INDEX(ovrTable25,MATCH(INDEX('Structured 2025'!teamCol,ROW()),ovrTeamCol25,0),MATCH(MID(INDEX('Structured 2025'!headerRow,1,COLUMN()),4,LEN(INDEX('Structured 2025'!headerRow,1,COLUMN()))),ovrHeaderRow25,0))</f>
        <v>84.4</v>
      </c>
      <c r="BD116" s="12">
        <f>INDEX(ovrTable25,MATCH(INDEX('Structured 2025'!teamCol,ROW()),ovrTeamCol25,0),MATCH(MID(INDEX('Structured 2025'!headerRow,1,COLUMN()),4,LEN(INDEX('Structured 2025'!headerRow,1,COLUMN()))),ovrHeaderRow25,0))</f>
        <v>2.7</v>
      </c>
      <c r="BE116" s="12">
        <f>INDEX(ovrTable25,MATCH(INDEX('Structured 2025'!teamCol,ROW()),ovrTeamCol25,0),MATCH(MID(INDEX('Structured 2025'!headerRow,1,COLUMN()),4,LEN(INDEX('Structured 2025'!headerRow,1,COLUMN()))),ovrHeaderRow25,0))</f>
        <v>38.03</v>
      </c>
      <c r="BF116" s="12">
        <f>INDEX(ovrTable25,MATCH(INDEX('Structured 2025'!teamCol,ROW()),ovrTeamCol25,0),MATCH(MID(INDEX('Structured 2025'!headerRow,1,COLUMN()),4,LEN(INDEX('Structured 2025'!headerRow,1,COLUMN()))),ovrHeaderRow25,0))</f>
        <v>7.2</v>
      </c>
      <c r="BG116" s="12">
        <f>INDEX(ovrTable25,MATCH(INDEX('Structured 2025'!teamCol,ROW()),ovrTeamCol25,0),MATCH(MID(INDEX('Structured 2025'!headerRow,1,COLUMN()),4,LEN(INDEX('Structured 2025'!headerRow,1,COLUMN()))),ovrHeaderRow25,0))</f>
        <v>6.9</v>
      </c>
      <c r="BH116" s="12">
        <f>INDEX(ovrTable25,MATCH(INDEX('Structured 2025'!teamCol,ROW()),ovrTeamCol25,0),MATCH(MID(INDEX('Structured 2025'!headerRow,1,COLUMN()),4,LEN(INDEX('Structured 2025'!headerRow,1,COLUMN()))),ovrHeaderRow25,0))</f>
        <v>-0.6</v>
      </c>
      <c r="BI116" s="12">
        <f>INDEX(ovrTable25,MATCH(INDEX('Structured 2025'!teamCol,ROW()),ovrTeamCol25,0),MATCH(MID(INDEX('Structured 2025'!headerRow,1,COLUMN()),4,LEN(INDEX('Structured 2025'!headerRow,1,COLUMN()))),ovrHeaderRow25,0))</f>
        <v>10.25</v>
      </c>
      <c r="BJ116" s="12">
        <f>INDEX(ovrTable25,MATCH(INDEX('Structured 2025'!teamCol,ROW()),ovrTeamCol25,0),MATCH(MID(INDEX('Structured 2025'!headerRow,1,COLUMN()),4,LEN(INDEX('Structured 2025'!headerRow,1,COLUMN()))),ovrHeaderRow25,0))</f>
        <v>10.9</v>
      </c>
      <c r="BK116" s="12">
        <f>INDEX(ovrTable25,MATCH(INDEX('Structured 2025'!teamCol,ROW()),ovrTeamCol25,0),MATCH(MID(INDEX('Structured 2025'!headerRow,1,COLUMN()),4,LEN(INDEX('Structured 2025'!headerRow,1,COLUMN()))),ovrHeaderRow25,0))</f>
        <v>70.900000000000006</v>
      </c>
      <c r="BL116" s="12">
        <f>INDEX(ovrTable25,MATCH(INDEX('Structured 2025'!teamCol,ROW()),ovrTeamCol25,0),MATCH(MID(INDEX('Structured 2025'!headerRow,1,COLUMN()),4,LEN(INDEX('Structured 2025'!headerRow,1,COLUMN()))),ovrHeaderRow25,0))</f>
        <v>20.050000000000004</v>
      </c>
      <c r="BM116" s="12">
        <f>INDEX(ovrTable25,MATCH(INDEX('Structured 2025'!teamCol,ROW()),ovrTeamCol25,0),MATCH(MID(INDEX('Structured 2025'!headerRow,1,COLUMN()),4,LEN(INDEX('Structured 2025'!headerRow,1,COLUMN()))),ovrHeaderRow25,0))</f>
        <v>61.30705394190872</v>
      </c>
      <c r="BN116" s="12">
        <f>INDEX(ovrTable25,MATCH(INDEX(oppCol,ROW()),ovrTeamCol25,0),MATCH(MID(INDEX('Structured 2025'!headerRow,1,COLUMN()),4,LEN(INDEX('Structured 2025'!headerRow,1,COLUMN()))),ovrHeaderRow25,0))</f>
        <v>28.7</v>
      </c>
      <c r="BO116" s="12">
        <f>INDEX(ovrTable25,MATCH(INDEX(oppCol,ROW()),ovrTeamCol25,0),MATCH(MID(INDEX('Structured 2025'!headerRow,1,COLUMN()),4,LEN(INDEX('Structured 2025'!headerRow,1,COLUMN()))),ovrHeaderRow25,0))</f>
        <v>8.1999999999999993</v>
      </c>
      <c r="BP116" s="12">
        <f>INDEX(ovrTable25,MATCH(INDEX(oppCol,ROW()),ovrTeamCol25,0),MATCH(MID(INDEX('Structured 2025'!headerRow,1,COLUMN()),4,LEN(INDEX('Structured 2025'!headerRow,1,COLUMN()))),ovrHeaderRow25,0))</f>
        <v>33.799999999999997</v>
      </c>
      <c r="BQ116" s="12">
        <f>INDEX(ovrTable25,MATCH(INDEX(oppCol,ROW()),ovrTeamCol25,0),MATCH(MID(INDEX('Structured 2025'!headerRow,1,COLUMN()),4,LEN(INDEX('Structured 2025'!headerRow,1,COLUMN()))),ovrHeaderRow25,0))</f>
        <v>24.4</v>
      </c>
      <c r="BR116" s="12">
        <f>INDEX(ovrTable25,MATCH(INDEX(oppCol,ROW()),ovrTeamCol25,0),MATCH(MID(INDEX('Structured 2025'!headerRow,1,COLUMN()),4,LEN(INDEX('Structured 2025'!headerRow,1,COLUMN()))),ovrHeaderRow25,0))</f>
        <v>1.48</v>
      </c>
      <c r="BS116" s="12">
        <f>INDEX(ovrTable25,MATCH(INDEX(oppCol,ROW()),ovrTeamCol25,0),MATCH(MID(INDEX('Structured 2025'!headerRow,1,COLUMN()),4,LEN(INDEX('Structured 2025'!headerRow,1,COLUMN()))),ovrHeaderRow25,0))</f>
        <v>15.4</v>
      </c>
      <c r="BT116" s="12">
        <f>INDEX(ovrTable25,MATCH(INDEX(oppCol,ROW()),ovrTeamCol25,0),MATCH(MID(INDEX('Structured 2025'!headerRow,1,COLUMN()),4,LEN(INDEX('Structured 2025'!headerRow,1,COLUMN()))),ovrHeaderRow25,0))</f>
        <v>19.920000000000002</v>
      </c>
      <c r="BU116" s="12">
        <f>INDEX(ovrTable25,MATCH(INDEX(oppCol,ROW()),ovrTeamCol25,0),MATCH(MID(INDEX('Structured 2025'!headerRow,1,COLUMN()),4,LEN(INDEX('Structured 2025'!headerRow,1,COLUMN()))),ovrHeaderRow25,0))</f>
        <v>4.8</v>
      </c>
      <c r="BV116" s="12">
        <f>INDEX(ovrTable25,MATCH(INDEX(oppCol,ROW()),ovrTeamCol25,0),MATCH(MID(INDEX('Structured 2025'!headerRow,1,COLUMN()),4,LEN(INDEX('Structured 2025'!headerRow,1,COLUMN()))),ovrHeaderRow25,0))</f>
        <v>38.6</v>
      </c>
      <c r="BW116" s="12">
        <f>INDEX(ovrTable25,MATCH(INDEX(oppCol,ROW()),ovrTeamCol25,0),MATCH(MID(INDEX('Structured 2025'!headerRow,1,COLUMN()),4,LEN(INDEX('Structured 2025'!headerRow,1,COLUMN()))),ovrHeaderRow25,0))</f>
        <v>24.87</v>
      </c>
      <c r="BX116" s="12">
        <f>INDEX(ovrTable25,MATCH(INDEX(oppCol,ROW()),ovrTeamCol25,0),MATCH(MID(INDEX('Structured 2025'!headerRow,1,COLUMN()),4,LEN(INDEX('Structured 2025'!headerRow,1,COLUMN()))),ovrHeaderRow25,0))</f>
        <v>0.52500000000000002</v>
      </c>
      <c r="BY116" s="12">
        <f>INDEX(ovrTable25,MATCH(INDEX(oppCol,ROW()),ovrTeamCol25,0),MATCH(MID(INDEX('Structured 2025'!headerRow,1,COLUMN()),4,LEN(INDEX('Structured 2025'!headerRow,1,COLUMN()))),ovrHeaderRow25,0))</f>
        <v>7.66</v>
      </c>
      <c r="BZ116" s="12">
        <f>INDEX(ovrTable25,MATCH(INDEX(oppCol,ROW()),ovrTeamCol25,0),MATCH(MID(INDEX('Structured 2025'!headerRow,1,COLUMN()),4,LEN(INDEX('Structured 2025'!headerRow,1,COLUMN()))),ovrHeaderRow25,0))</f>
        <v>45.2</v>
      </c>
      <c r="CA116" s="12">
        <f>INDEX(ovrTable25,MATCH(INDEX(oppCol,ROW()),ovrTeamCol25,0),MATCH(MID(INDEX('Structured 2025'!headerRow,1,COLUMN()),4,LEN(INDEX('Structured 2025'!headerRow,1,COLUMN()))),ovrHeaderRow25,0))</f>
        <v>15.2</v>
      </c>
      <c r="CB116" s="12">
        <f>INDEX(ovrTable25,MATCH(INDEX(oppCol,ROW()),ovrTeamCol25,0),MATCH(MID(INDEX('Structured 2025'!headerRow,1,COLUMN()),4,LEN(INDEX('Structured 2025'!headerRow,1,COLUMN()))),ovrHeaderRow25,0))</f>
        <v>74.5</v>
      </c>
      <c r="CC116" s="12">
        <f>INDEX(ovrTable25,MATCH(INDEX(oppCol,ROW()),ovrTeamCol25,0),MATCH(MID(INDEX('Structured 2025'!headerRow,1,COLUMN()),4,LEN(INDEX('Structured 2025'!headerRow,1,COLUMN()))),ovrHeaderRow25,0))</f>
        <v>20</v>
      </c>
      <c r="CD116" s="12">
        <f>INDEX(ovrTable25,MATCH(INDEX(oppCol,ROW()),ovrTeamCol25,0),MATCH(MID(INDEX('Structured 2025'!headerRow,1,COLUMN()),4,LEN(INDEX('Structured 2025'!headerRow,1,COLUMN()))),ovrHeaderRow25,0))</f>
        <v>14.9</v>
      </c>
      <c r="CE116" s="12">
        <f>INDEX(ovrTable25,MATCH(INDEX(oppCol,ROW()),ovrTeamCol25,0),MATCH(MID(INDEX('Structured 2025'!headerRow,1,COLUMN()),4,LEN(INDEX('Structured 2025'!headerRow,1,COLUMN()))),ovrHeaderRow25,0))</f>
        <v>63</v>
      </c>
      <c r="CF116" s="12">
        <f>INDEX(ovrTable25,MATCH(INDEX(oppCol,ROW()),ovrTeamCol25,0),MATCH(MID(INDEX('Structured 2025'!headerRow,1,COLUMN()),4,LEN(INDEX('Structured 2025'!headerRow,1,COLUMN()))),ovrHeaderRow25,0))</f>
        <v>11.5</v>
      </c>
      <c r="CG116" s="12">
        <f>INDEX(ovrTable25,MATCH(INDEX(oppCol,ROW()),ovrTeamCol25,0),MATCH(MID(INDEX('Structured 2025'!headerRow,1,COLUMN()),4,LEN(INDEX('Structured 2025'!headerRow,1,COLUMN()))),ovrHeaderRow25,0))</f>
        <v>74</v>
      </c>
      <c r="CH116" s="12">
        <f>INDEX(ovrTable25,MATCH(INDEX(oppCol,ROW()),ovrTeamCol25,0),MATCH(MID(INDEX('Structured 2025'!headerRow,1,COLUMN()),4,LEN(INDEX('Structured 2025'!headerRow,1,COLUMN()))),ovrHeaderRow25,0))</f>
        <v>4.7</v>
      </c>
      <c r="CI116" s="12">
        <f>INDEX(ovrTable25,MATCH(INDEX(oppCol,ROW()),ovrTeamCol25,0),MATCH(MID(INDEX('Structured 2025'!headerRow,1,COLUMN()),4,LEN(INDEX('Structured 2025'!headerRow,1,COLUMN()))),ovrHeaderRow25,0))</f>
        <v>36.369999999999997</v>
      </c>
      <c r="CJ116" s="12">
        <f>INDEX(ovrTable25,MATCH(INDEX(oppCol,ROW()),ovrTeamCol25,0),MATCH(MID(INDEX('Structured 2025'!headerRow,1,COLUMN()),4,LEN(INDEX('Structured 2025'!headerRow,1,COLUMN()))),ovrHeaderRow25,0))</f>
        <v>11</v>
      </c>
      <c r="CK116" s="12">
        <f>INDEX(ovrTable25,MATCH(INDEX(oppCol,ROW()),ovrTeamCol25,0),MATCH(MID(INDEX('Structured 2025'!headerRow,1,COLUMN()),4,LEN(INDEX('Structured 2025'!headerRow,1,COLUMN()))),ovrHeaderRow25,0))</f>
        <v>6.9</v>
      </c>
      <c r="CL116" s="12">
        <f>INDEX(ovrTable25,MATCH(INDEX(oppCol,ROW()),ovrTeamCol25,0),MATCH(MID(INDEX('Structured 2025'!headerRow,1,COLUMN()),4,LEN(INDEX('Structured 2025'!headerRow,1,COLUMN()))),ovrHeaderRow25,0))</f>
        <v>1</v>
      </c>
      <c r="CM116" s="12">
        <f>INDEX(ovrTable25,MATCH(INDEX(oppCol,ROW()),ovrTeamCol25,0),MATCH(MID(INDEX('Structured 2025'!headerRow,1,COLUMN()),4,LEN(INDEX('Structured 2025'!headerRow,1,COLUMN()))),ovrHeaderRow25,0))</f>
        <v>11.47</v>
      </c>
      <c r="CN116" s="12">
        <f>INDEX(ovrTable25,MATCH(INDEX(oppCol,ROW()),ovrTeamCol25,0),MATCH(MID(INDEX('Structured 2025'!headerRow,1,COLUMN()),4,LEN(INDEX('Structured 2025'!headerRow,1,COLUMN()))),ovrHeaderRow25,0))</f>
        <v>10.4</v>
      </c>
      <c r="CO116" s="12">
        <f>INDEX(ovrTable25,MATCH(INDEX(oppCol,ROW()),ovrTeamCol25,0),MATCH(MID(INDEX('Structured 2025'!headerRow,1,COLUMN()),4,LEN(INDEX('Structured 2025'!headerRow,1,COLUMN()))),ovrHeaderRow25,0))</f>
        <v>63.7</v>
      </c>
      <c r="CP116" s="12">
        <f>INDEX(ovrTable25,MATCH(INDEX(oppCol,ROW()),ovrTeamCol25,0),MATCH(MID(INDEX('Structured 2025'!headerRow,1,COLUMN()),4,LEN(INDEX('Structured 2025'!headerRow,1,COLUMN()))),ovrHeaderRow25,0))</f>
        <v>17.25</v>
      </c>
      <c r="CQ116" s="12">
        <f>INDEX(ovrTable25,MATCH(INDEX(oppCol,ROW()),ovrTeamCol25,0),MATCH(MID(INDEX('Structured 2025'!headerRow,1,COLUMN()),4,LEN(INDEX('Structured 2025'!headerRow,1,COLUMN()))),ovrHeaderRow25,0))</f>
        <v>56.305309734513273</v>
      </c>
    </row>
    <row r="117" spans="1:95" x14ac:dyDescent="0.3">
      <c r="A117" s="6" t="s">
        <v>55</v>
      </c>
      <c r="B117" s="3">
        <v>2</v>
      </c>
      <c r="C117" s="13" t="str">
        <f>A116</f>
        <v>UK</v>
      </c>
      <c r="D117" s="14">
        <f t="shared" si="111"/>
        <v>58</v>
      </c>
      <c r="E117" s="23">
        <v>0.4</v>
      </c>
      <c r="F117" s="24">
        <v>50.877192982456144</v>
      </c>
      <c r="G117" s="24">
        <v>5</v>
      </c>
      <c r="H117" s="23">
        <v>26.315789473684209</v>
      </c>
      <c r="I117" s="24">
        <v>19</v>
      </c>
      <c r="J117" s="25">
        <v>2.125</v>
      </c>
      <c r="K117" s="24">
        <v>15</v>
      </c>
      <c r="L117" s="24">
        <v>20</v>
      </c>
      <c r="M117" s="24">
        <v>14</v>
      </c>
      <c r="N117" s="24">
        <v>20</v>
      </c>
      <c r="O117" s="24">
        <v>17</v>
      </c>
      <c r="P117" s="24">
        <v>8</v>
      </c>
      <c r="Q117" s="24">
        <v>3</v>
      </c>
      <c r="R117" s="24">
        <v>8</v>
      </c>
      <c r="S117" s="24">
        <v>3</v>
      </c>
      <c r="T117" s="24">
        <v>14</v>
      </c>
      <c r="U117" s="24">
        <v>23</v>
      </c>
      <c r="V117" s="24">
        <v>0.49019607843137253</v>
      </c>
      <c r="W117" s="26">
        <v>0.55263157894736847</v>
      </c>
      <c r="X117" s="23">
        <v>75</v>
      </c>
      <c r="Y117" s="24">
        <v>65</v>
      </c>
      <c r="Z117" s="24">
        <v>78</v>
      </c>
      <c r="AA117" s="24">
        <v>10</v>
      </c>
      <c r="AB117" s="24">
        <v>34</v>
      </c>
      <c r="AC117" s="24">
        <v>13</v>
      </c>
      <c r="AD117" s="24">
        <v>4</v>
      </c>
      <c r="AE117" s="24">
        <v>12</v>
      </c>
      <c r="AF117" s="34">
        <f t="shared" si="105"/>
        <v>24</v>
      </c>
      <c r="AG117" s="34">
        <f t="shared" si="106"/>
        <v>38</v>
      </c>
      <c r="AH117" s="46">
        <f t="shared" si="107"/>
        <v>60.5</v>
      </c>
      <c r="AI117" s="51">
        <f t="shared" ref="AI117" si="128">AVERAGE(AH116,AH117)</f>
        <v>61.337499999999999</v>
      </c>
      <c r="AJ117" s="12">
        <f>INDEX(ovrTable25,MATCH(INDEX('Structured 2025'!teamCol,ROW()),ovrTeamCol25,0),MATCH(MID(INDEX('Structured 2025'!headerRow,1,COLUMN()),4,LEN(INDEX('Structured 2025'!headerRow,1,COLUMN()))),ovrHeaderRow25,0))</f>
        <v>28.7</v>
      </c>
      <c r="AK117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117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M117" s="12">
        <f>INDEX(ovrTable25,MATCH(INDEX('Structured 2025'!teamCol,ROW()),ovrTeamCol25,0),MATCH(MID(INDEX('Structured 2025'!headerRow,1,COLUMN()),4,LEN(INDEX('Structured 2025'!headerRow,1,COLUMN()))),ovrHeaderRow25,0))</f>
        <v>24.4</v>
      </c>
      <c r="AN117" s="12">
        <f>INDEX(ovrTable25,MATCH(INDEX('Structured 2025'!teamCol,ROW()),ovrTeamCol25,0),MATCH(MID(INDEX('Structured 2025'!headerRow,1,COLUMN()),4,LEN(INDEX('Structured 2025'!headerRow,1,COLUMN()))),ovrHeaderRow25,0))</f>
        <v>1.48</v>
      </c>
      <c r="AO117" s="12">
        <f>INDEX(ovrTable25,MATCH(INDEX('Structured 2025'!teamCol,ROW()),ovrTeamCol25,0),MATCH(MID(INDEX('Structured 2025'!headerRow,1,COLUMN()),4,LEN(INDEX('Structured 2025'!headerRow,1,COLUMN()))),ovrHeaderRow25,0))</f>
        <v>15.4</v>
      </c>
      <c r="AP117" s="12">
        <f>INDEX(ovrTable25,MATCH(INDEX('Structured 2025'!teamCol,ROW()),ovrTeamCol25,0),MATCH(MID(INDEX('Structured 2025'!headerRow,1,COLUMN()),4,LEN(INDEX('Structured 2025'!headerRow,1,COLUMN()))),ovrHeaderRow25,0))</f>
        <v>19.920000000000002</v>
      </c>
      <c r="AQ117" s="12">
        <f>INDEX(ovrTable25,MATCH(INDEX('Structured 2025'!teamCol,ROW()),ovrTeamCol25,0),MATCH(MID(INDEX('Structured 2025'!headerRow,1,COLUMN()),4,LEN(INDEX('Structured 2025'!headerRow,1,COLUMN()))),ovrHeaderRow25,0))</f>
        <v>4.8</v>
      </c>
      <c r="AR117" s="12">
        <f>INDEX(ovrTable25,MATCH(INDEX('Structured 2025'!teamCol,ROW()),ovrTeamCol25,0),MATCH(MID(INDEX('Structured 2025'!headerRow,1,COLUMN()),4,LEN(INDEX('Structured 2025'!headerRow,1,COLUMN()))),ovrHeaderRow25,0))</f>
        <v>38.6</v>
      </c>
      <c r="AS117" s="12">
        <f>INDEX(ovrTable25,MATCH(INDEX('Structured 2025'!teamCol,ROW()),ovrTeamCol25,0),MATCH(MID(INDEX('Structured 2025'!headerRow,1,COLUMN()),4,LEN(INDEX('Structured 2025'!headerRow,1,COLUMN()))),ovrHeaderRow25,0))</f>
        <v>24.87</v>
      </c>
      <c r="AT117" s="12">
        <f>INDEX(ovrTable25,MATCH(INDEX('Structured 2025'!teamCol,ROW()),ovrTeamCol25,0),MATCH(MID(INDEX('Structured 2025'!headerRow,1,COLUMN()),4,LEN(INDEX('Structured 2025'!headerRow,1,COLUMN()))),ovrHeaderRow25,0))</f>
        <v>0.52500000000000002</v>
      </c>
      <c r="AU117" s="12">
        <f>INDEX(ovrTable25,MATCH(INDEX('Structured 2025'!teamCol,ROW()),ovrTeamCol25,0),MATCH(MID(INDEX('Structured 2025'!headerRow,1,COLUMN()),4,LEN(INDEX('Structured 2025'!headerRow,1,COLUMN()))),ovrHeaderRow25,0))</f>
        <v>7.66</v>
      </c>
      <c r="AV117" s="12">
        <f>INDEX(ovrTable25,MATCH(INDEX('Structured 2025'!teamCol,ROW()),ovrTeamCol25,0),MATCH(MID(INDEX('Structured 2025'!headerRow,1,COLUMN()),4,LEN(INDEX('Structured 2025'!headerRow,1,COLUMN()))),ovrHeaderRow25,0))</f>
        <v>45.2</v>
      </c>
      <c r="AW117" s="12">
        <f>INDEX(ovrTable25,MATCH(INDEX('Structured 2025'!teamCol,ROW()),ovrTeamCol25,0),MATCH(MID(INDEX('Structured 2025'!headerRow,1,COLUMN()),4,LEN(INDEX('Structured 2025'!headerRow,1,COLUMN()))),ovrHeaderRow25,0))</f>
        <v>15.2</v>
      </c>
      <c r="AX117" s="12">
        <f>INDEX(ovrTable25,MATCH(INDEX('Structured 2025'!teamCol,ROW()),ovrTeamCol25,0),MATCH(MID(INDEX('Structured 2025'!headerRow,1,COLUMN()),4,LEN(INDEX('Structured 2025'!headerRow,1,COLUMN()))),ovrHeaderRow25,0))</f>
        <v>74.5</v>
      </c>
      <c r="AY117" s="12">
        <f>INDEX(ovrTable25,MATCH(INDEX('Structured 2025'!teamCol,ROW()),ovrTeamCol25,0),MATCH(MID(INDEX('Structured 2025'!headerRow,1,COLUMN()),4,LEN(INDEX('Structured 2025'!headerRow,1,COLUMN()))),ovrHeaderRow25,0))</f>
        <v>20</v>
      </c>
      <c r="AZ117" s="12">
        <f>INDEX(ovrTable25,MATCH(INDEX('Structured 2025'!teamCol,ROW()),ovrTeamCol25,0),MATCH(MID(INDEX('Structured 2025'!headerRow,1,COLUMN()),4,LEN(INDEX('Structured 2025'!headerRow,1,COLUMN()))),ovrHeaderRow25,0))</f>
        <v>14.9</v>
      </c>
      <c r="BA117" s="12">
        <f>INDEX(ovrTable25,MATCH(INDEX('Structured 2025'!teamCol,ROW()),ovrTeamCol25,0),MATCH(MID(INDEX('Structured 2025'!headerRow,1,COLUMN()),4,LEN(INDEX('Structured 2025'!headerRow,1,COLUMN()))),ovrHeaderRow25,0))</f>
        <v>63</v>
      </c>
      <c r="BB117" s="12">
        <f>INDEX(ovrTable25,MATCH(INDEX('Structured 2025'!teamCol,ROW()),ovrTeamCol25,0),MATCH(MID(INDEX('Structured 2025'!headerRow,1,COLUMN()),4,LEN(INDEX('Structured 2025'!headerRow,1,COLUMN()))),ovrHeaderRow25,0))</f>
        <v>11.5</v>
      </c>
      <c r="BC117" s="12">
        <f>INDEX(ovrTable25,MATCH(INDEX('Structured 2025'!teamCol,ROW()),ovrTeamCol25,0),MATCH(MID(INDEX('Structured 2025'!headerRow,1,COLUMN()),4,LEN(INDEX('Structured 2025'!headerRow,1,COLUMN()))),ovrHeaderRow25,0))</f>
        <v>74</v>
      </c>
      <c r="BD117" s="12">
        <f>INDEX(ovrTable25,MATCH(INDEX('Structured 2025'!teamCol,ROW()),ovrTeamCol25,0),MATCH(MID(INDEX('Structured 2025'!headerRow,1,COLUMN()),4,LEN(INDEX('Structured 2025'!headerRow,1,COLUMN()))),ovrHeaderRow25,0))</f>
        <v>4.7</v>
      </c>
      <c r="BE117" s="12">
        <f>INDEX(ovrTable25,MATCH(INDEX('Structured 2025'!teamCol,ROW()),ovrTeamCol25,0),MATCH(MID(INDEX('Structured 2025'!headerRow,1,COLUMN()),4,LEN(INDEX('Structured 2025'!headerRow,1,COLUMN()))),ovrHeaderRow25,0))</f>
        <v>36.369999999999997</v>
      </c>
      <c r="BF117" s="12">
        <f>INDEX(ovrTable25,MATCH(INDEX('Structured 2025'!teamCol,ROW()),ovrTeamCol25,0),MATCH(MID(INDEX('Structured 2025'!headerRow,1,COLUMN()),4,LEN(INDEX('Structured 2025'!headerRow,1,COLUMN()))),ovrHeaderRow25,0))</f>
        <v>11</v>
      </c>
      <c r="BG117" s="12">
        <f>INDEX(ovrTable25,MATCH(INDEX('Structured 2025'!teamCol,ROW()),ovrTeamCol25,0),MATCH(MID(INDEX('Structured 2025'!headerRow,1,COLUMN()),4,LEN(INDEX('Structured 2025'!headerRow,1,COLUMN()))),ovrHeaderRow25,0))</f>
        <v>6.9</v>
      </c>
      <c r="BH117" s="12">
        <f>INDEX(ovrTable25,MATCH(INDEX('Structured 2025'!teamCol,ROW()),ovrTeamCol25,0),MATCH(MID(INDEX('Structured 2025'!headerRow,1,COLUMN()),4,LEN(INDEX('Structured 2025'!headerRow,1,COLUMN()))),ovrHeaderRow25,0))</f>
        <v>1</v>
      </c>
      <c r="BI117" s="12">
        <f>INDEX(ovrTable25,MATCH(INDEX('Structured 2025'!teamCol,ROW()),ovrTeamCol25,0),MATCH(MID(INDEX('Structured 2025'!headerRow,1,COLUMN()),4,LEN(INDEX('Structured 2025'!headerRow,1,COLUMN()))),ovrHeaderRow25,0))</f>
        <v>11.47</v>
      </c>
      <c r="BJ117" s="12">
        <f>INDEX(ovrTable25,MATCH(INDEX('Structured 2025'!teamCol,ROW()),ovrTeamCol25,0),MATCH(MID(INDEX('Structured 2025'!headerRow,1,COLUMN()),4,LEN(INDEX('Structured 2025'!headerRow,1,COLUMN()))),ovrHeaderRow25,0))</f>
        <v>10.4</v>
      </c>
      <c r="BK117" s="12">
        <f>INDEX(ovrTable25,MATCH(INDEX('Structured 2025'!teamCol,ROW()),ovrTeamCol25,0),MATCH(MID(INDEX('Structured 2025'!headerRow,1,COLUMN()),4,LEN(INDEX('Structured 2025'!headerRow,1,COLUMN()))),ovrHeaderRow25,0))</f>
        <v>63.7</v>
      </c>
      <c r="BL117" s="12">
        <f>INDEX(ovrTable25,MATCH(INDEX('Structured 2025'!teamCol,ROW()),ovrTeamCol25,0),MATCH(MID(INDEX('Structured 2025'!headerRow,1,COLUMN()),4,LEN(INDEX('Structured 2025'!headerRow,1,COLUMN()))),ovrHeaderRow25,0))</f>
        <v>17.25</v>
      </c>
      <c r="BM117" s="12">
        <f>INDEX(ovrTable25,MATCH(INDEX('Structured 2025'!teamCol,ROW()),ovrTeamCol25,0),MATCH(MID(INDEX('Structured 2025'!headerRow,1,COLUMN()),4,LEN(INDEX('Structured 2025'!headerRow,1,COLUMN()))),ovrHeaderRow25,0))</f>
        <v>56.305309734513273</v>
      </c>
      <c r="BN117" s="12">
        <f>INDEX(ovrTable25,MATCH(INDEX(oppCol,ROW()),ovrTeamCol25,0),MATCH(MID(INDEX('Structured 2025'!headerRow,1,COLUMN()),4,LEN(INDEX('Structured 2025'!headerRow,1,COLUMN()))),ovrHeaderRow25,0))</f>
        <v>30.5</v>
      </c>
      <c r="BO117" s="12">
        <f>INDEX(ovrTable25,MATCH(INDEX(oppCol,ROW()),ovrTeamCol25,0),MATCH(MID(INDEX('Structured 2025'!headerRow,1,COLUMN()),4,LEN(INDEX('Structured 2025'!headerRow,1,COLUMN()))),ovrHeaderRow25,0))</f>
        <v>9.5</v>
      </c>
      <c r="BP117" s="12">
        <f>INDEX(ovrTable25,MATCH(INDEX(oppCol,ROW()),ovrTeamCol25,0),MATCH(MID(INDEX('Structured 2025'!headerRow,1,COLUMN()),4,LEN(INDEX('Structured 2025'!headerRow,1,COLUMN()))),ovrHeaderRow25,0))</f>
        <v>37.5</v>
      </c>
      <c r="BQ117" s="12">
        <f>INDEX(ovrTable25,MATCH(INDEX(oppCol,ROW()),ovrTeamCol25,0),MATCH(MID(INDEX('Structured 2025'!headerRow,1,COLUMN()),4,LEN(INDEX('Structured 2025'!headerRow,1,COLUMN()))),ovrHeaderRow25,0))</f>
        <v>25.3</v>
      </c>
      <c r="BR117" s="12">
        <f>INDEX(ovrTable25,MATCH(INDEX(oppCol,ROW()),ovrTeamCol25,0),MATCH(MID(INDEX('Structured 2025'!headerRow,1,COLUMN()),4,LEN(INDEX('Structured 2025'!headerRow,1,COLUMN()))),ovrHeaderRow25,0))</f>
        <v>1.55</v>
      </c>
      <c r="BS117" s="12">
        <f>INDEX(ovrTable25,MATCH(INDEX(oppCol,ROW()),ovrTeamCol25,0),MATCH(MID(INDEX('Structured 2025'!headerRow,1,COLUMN()),4,LEN(INDEX('Structured 2025'!headerRow,1,COLUMN()))),ovrHeaderRow25,0))</f>
        <v>16.899999999999999</v>
      </c>
      <c r="BT117" s="12">
        <f>INDEX(ovrTable25,MATCH(INDEX(oppCol,ROW()),ovrTeamCol25,0),MATCH(MID(INDEX('Structured 2025'!headerRow,1,COLUMN()),4,LEN(INDEX('Structured 2025'!headerRow,1,COLUMN()))),ovrHeaderRow25,0))</f>
        <v>22.19</v>
      </c>
      <c r="BU117" s="12">
        <f>INDEX(ovrTable25,MATCH(INDEX(oppCol,ROW()),ovrTeamCol25,0),MATCH(MID(INDEX('Structured 2025'!headerRow,1,COLUMN()),4,LEN(INDEX('Structured 2025'!headerRow,1,COLUMN()))),ovrHeaderRow25,0))</f>
        <v>4</v>
      </c>
      <c r="BV117" s="12">
        <f>INDEX(ovrTable25,MATCH(INDEX(oppCol,ROW()),ovrTeamCol25,0),MATCH(MID(INDEX('Structured 2025'!headerRow,1,COLUMN()),4,LEN(INDEX('Structured 2025'!headerRow,1,COLUMN()))),ovrHeaderRow25,0))</f>
        <v>43.7</v>
      </c>
      <c r="BW117" s="12">
        <f>INDEX(ovrTable25,MATCH(INDEX(oppCol,ROW()),ovrTeamCol25,0),MATCH(MID(INDEX('Structured 2025'!headerRow,1,COLUMN()),4,LEN(INDEX('Structured 2025'!headerRow,1,COLUMN()))),ovrHeaderRow25,0))</f>
        <v>28.14</v>
      </c>
      <c r="BX117" s="12">
        <f>INDEX(ovrTable25,MATCH(INDEX(oppCol,ROW()),ovrTeamCol25,0),MATCH(MID(INDEX('Structured 2025'!headerRow,1,COLUMN()),4,LEN(INDEX('Structured 2025'!headerRow,1,COLUMN()))),ovrHeaderRow25,0))</f>
        <v>0.55900000000000005</v>
      </c>
      <c r="BY117" s="12">
        <f>INDEX(ovrTable25,MATCH(INDEX(oppCol,ROW()),ovrTeamCol25,0),MATCH(MID(INDEX('Structured 2025'!headerRow,1,COLUMN()),4,LEN(INDEX('Structured 2025'!headerRow,1,COLUMN()))),ovrHeaderRow25,0))</f>
        <v>14.03</v>
      </c>
      <c r="BZ117" s="12">
        <f>INDEX(ovrTable25,MATCH(INDEX(oppCol,ROW()),ovrTeamCol25,0),MATCH(MID(INDEX('Structured 2025'!headerRow,1,COLUMN()),4,LEN(INDEX('Structured 2025'!headerRow,1,COLUMN()))),ovrHeaderRow25,0))</f>
        <v>48.2</v>
      </c>
      <c r="CA117" s="12">
        <f>INDEX(ovrTable25,MATCH(INDEX(oppCol,ROW()),ovrTeamCol25,0),MATCH(MID(INDEX('Structured 2025'!headerRow,1,COLUMN()),4,LEN(INDEX('Structured 2025'!headerRow,1,COLUMN()))),ovrHeaderRow25,0))</f>
        <v>17.2</v>
      </c>
      <c r="CB117" s="12">
        <f>INDEX(ovrTable25,MATCH(INDEX(oppCol,ROW()),ovrTeamCol25,0),MATCH(MID(INDEX('Structured 2025'!headerRow,1,COLUMN()),4,LEN(INDEX('Structured 2025'!headerRow,1,COLUMN()))),ovrHeaderRow25,0))</f>
        <v>73.099999999999994</v>
      </c>
      <c r="CC117" s="12">
        <f>INDEX(ovrTable25,MATCH(INDEX(oppCol,ROW()),ovrTeamCol25,0),MATCH(MID(INDEX('Structured 2025'!headerRow,1,COLUMN()),4,LEN(INDEX('Structured 2025'!headerRow,1,COLUMN()))),ovrHeaderRow25,0))</f>
        <v>21.6</v>
      </c>
      <c r="CD117" s="12">
        <f>INDEX(ovrTable25,MATCH(INDEX(oppCol,ROW()),ovrTeamCol25,0),MATCH(MID(INDEX('Structured 2025'!headerRow,1,COLUMN()),4,LEN(INDEX('Structured 2025'!headerRow,1,COLUMN()))),ovrHeaderRow25,0))</f>
        <v>15.8</v>
      </c>
      <c r="CE117" s="12">
        <f>INDEX(ovrTable25,MATCH(INDEX(oppCol,ROW()),ovrTeamCol25,0),MATCH(MID(INDEX('Structured 2025'!headerRow,1,COLUMN()),4,LEN(INDEX('Structured 2025'!headerRow,1,COLUMN()))),ovrHeaderRow25,0))</f>
        <v>77.2</v>
      </c>
      <c r="CF117" s="12">
        <f>INDEX(ovrTable25,MATCH(INDEX(oppCol,ROW()),ovrTeamCol25,0),MATCH(MID(INDEX('Structured 2025'!headerRow,1,COLUMN()),4,LEN(INDEX('Structured 2025'!headerRow,1,COLUMN()))),ovrHeaderRow25,0))</f>
        <v>9.89</v>
      </c>
      <c r="CG117" s="12">
        <f>INDEX(ovrTable25,MATCH(INDEX(oppCol,ROW()),ovrTeamCol25,0),MATCH(MID(INDEX('Structured 2025'!headerRow,1,COLUMN()),4,LEN(INDEX('Structured 2025'!headerRow,1,COLUMN()))),ovrHeaderRow25,0))</f>
        <v>84.4</v>
      </c>
      <c r="CH117" s="12">
        <f>INDEX(ovrTable25,MATCH(INDEX(oppCol,ROW()),ovrTeamCol25,0),MATCH(MID(INDEX('Structured 2025'!headerRow,1,COLUMN()),4,LEN(INDEX('Structured 2025'!headerRow,1,COLUMN()))),ovrHeaderRow25,0))</f>
        <v>2.7</v>
      </c>
      <c r="CI117" s="12">
        <f>INDEX(ovrTable25,MATCH(INDEX(oppCol,ROW()),ovrTeamCol25,0),MATCH(MID(INDEX('Structured 2025'!headerRow,1,COLUMN()),4,LEN(INDEX('Structured 2025'!headerRow,1,COLUMN()))),ovrHeaderRow25,0))</f>
        <v>38.03</v>
      </c>
      <c r="CJ117" s="12">
        <f>INDEX(ovrTable25,MATCH(INDEX(oppCol,ROW()),ovrTeamCol25,0),MATCH(MID(INDEX('Structured 2025'!headerRow,1,COLUMN()),4,LEN(INDEX('Structured 2025'!headerRow,1,COLUMN()))),ovrHeaderRow25,0))</f>
        <v>7.2</v>
      </c>
      <c r="CK117" s="12">
        <f>INDEX(ovrTable25,MATCH(INDEX(oppCol,ROW()),ovrTeamCol25,0),MATCH(MID(INDEX('Structured 2025'!headerRow,1,COLUMN()),4,LEN(INDEX('Structured 2025'!headerRow,1,COLUMN()))),ovrHeaderRow25,0))</f>
        <v>6.9</v>
      </c>
      <c r="CL117" s="12">
        <f>INDEX(ovrTable25,MATCH(INDEX(oppCol,ROW()),ovrTeamCol25,0),MATCH(MID(INDEX('Structured 2025'!headerRow,1,COLUMN()),4,LEN(INDEX('Structured 2025'!headerRow,1,COLUMN()))),ovrHeaderRow25,0))</f>
        <v>-0.6</v>
      </c>
      <c r="CM117" s="12">
        <f>INDEX(ovrTable25,MATCH(INDEX(oppCol,ROW()),ovrTeamCol25,0),MATCH(MID(INDEX('Structured 2025'!headerRow,1,COLUMN()),4,LEN(INDEX('Structured 2025'!headerRow,1,COLUMN()))),ovrHeaderRow25,0))</f>
        <v>10.25</v>
      </c>
      <c r="CN117" s="12">
        <f>INDEX(ovrTable25,MATCH(INDEX(oppCol,ROW()),ovrTeamCol25,0),MATCH(MID(INDEX('Structured 2025'!headerRow,1,COLUMN()),4,LEN(INDEX('Structured 2025'!headerRow,1,COLUMN()))),ovrHeaderRow25,0))</f>
        <v>10.9</v>
      </c>
      <c r="CO117" s="12">
        <f>INDEX(ovrTable25,MATCH(INDEX(oppCol,ROW()),ovrTeamCol25,0),MATCH(MID(INDEX('Structured 2025'!headerRow,1,COLUMN()),4,LEN(INDEX('Structured 2025'!headerRow,1,COLUMN()))),ovrHeaderRow25,0))</f>
        <v>70.900000000000006</v>
      </c>
      <c r="CP117" s="12">
        <f>INDEX(ovrTable25,MATCH(INDEX(oppCol,ROW()),ovrTeamCol25,0),MATCH(MID(INDEX('Structured 2025'!headerRow,1,COLUMN()),4,LEN(INDEX('Structured 2025'!headerRow,1,COLUMN()))),ovrHeaderRow25,0))</f>
        <v>20.050000000000004</v>
      </c>
      <c r="CQ117" s="12">
        <f>INDEX(ovrTable25,MATCH(INDEX(oppCol,ROW()),ovrTeamCol25,0),MATCH(MID(INDEX('Structured 2025'!headerRow,1,COLUMN()),4,LEN(INDEX('Structured 2025'!headerRow,1,COLUMN()))),ovrHeaderRow25,0))</f>
        <v>61.30705394190872</v>
      </c>
    </row>
    <row r="118" spans="1:95" x14ac:dyDescent="0.3">
      <c r="A118" s="6" t="s">
        <v>45</v>
      </c>
      <c r="B118" s="3">
        <v>1</v>
      </c>
      <c r="C118" s="13" t="str">
        <f>A119</f>
        <v>MD</v>
      </c>
      <c r="D118" s="14">
        <f t="shared" si="111"/>
        <v>59</v>
      </c>
      <c r="E118" s="23">
        <v>0.31578947368421051</v>
      </c>
      <c r="F118" s="24">
        <v>50</v>
      </c>
      <c r="G118" s="24">
        <v>11</v>
      </c>
      <c r="H118" s="23">
        <v>39.285714285714285</v>
      </c>
      <c r="I118" s="24">
        <v>28</v>
      </c>
      <c r="J118" s="25">
        <v>0.94117647058823528</v>
      </c>
      <c r="K118" s="24">
        <v>16</v>
      </c>
      <c r="L118" s="24">
        <v>21</v>
      </c>
      <c r="M118" s="24">
        <v>15</v>
      </c>
      <c r="N118" s="24">
        <v>27</v>
      </c>
      <c r="O118" s="24">
        <v>16</v>
      </c>
      <c r="P118" s="24">
        <v>5</v>
      </c>
      <c r="Q118" s="24">
        <v>2</v>
      </c>
      <c r="R118" s="24">
        <v>17</v>
      </c>
      <c r="S118" s="24">
        <v>11</v>
      </c>
      <c r="T118" s="24">
        <v>22</v>
      </c>
      <c r="U118" s="24">
        <v>29</v>
      </c>
      <c r="V118" s="24">
        <v>0.40740740740740738</v>
      </c>
      <c r="W118" s="26">
        <v>0.59166666666666667</v>
      </c>
      <c r="X118" s="23">
        <v>76.19047619047619</v>
      </c>
      <c r="Y118" s="24">
        <v>71</v>
      </c>
      <c r="Z118" s="24">
        <v>87</v>
      </c>
      <c r="AA118" s="24">
        <v>22</v>
      </c>
      <c r="AB118" s="24">
        <v>42</v>
      </c>
      <c r="AC118" s="24">
        <v>16</v>
      </c>
      <c r="AD118" s="24">
        <v>-6</v>
      </c>
      <c r="AE118" s="24">
        <v>11</v>
      </c>
      <c r="AF118" s="34">
        <f t="shared" si="105"/>
        <v>19</v>
      </c>
      <c r="AG118" s="34">
        <f t="shared" si="106"/>
        <v>32</v>
      </c>
      <c r="AH118" s="46">
        <f t="shared" si="107"/>
        <v>71.974999999999994</v>
      </c>
      <c r="AI118" s="51">
        <f t="shared" ref="AI118" si="129">AVERAGE(AH118,AH119)</f>
        <v>71.162499999999994</v>
      </c>
      <c r="AJ118" s="12">
        <f>INDEX(ovrTable25,MATCH(INDEX('Structured 2025'!teamCol,ROW()),ovrTeamCol25,0),MATCH(MID(INDEX('Structured 2025'!headerRow,1,COLUMN()),4,LEN(INDEX('Structured 2025'!headerRow,1,COLUMN()))),ovrHeaderRow25,0))</f>
        <v>29.4</v>
      </c>
      <c r="AK118" s="12">
        <f>INDEX(ovrTable25,MATCH(INDEX('Structured 2025'!teamCol,ROW()),ovrTeamCol25,0),MATCH(MID(INDEX('Structured 2025'!headerRow,1,COLUMN()),4,LEN(INDEX('Structured 2025'!headerRow,1,COLUMN()))),ovrHeaderRow25,0))</f>
        <v>9.8000000000000007</v>
      </c>
      <c r="AL118" s="12">
        <f>INDEX(ovrTable25,MATCH(INDEX('Structured 2025'!teamCol,ROW()),ovrTeamCol25,0),MATCH(MID(INDEX('Structured 2025'!headerRow,1,COLUMN()),4,LEN(INDEX('Structured 2025'!headerRow,1,COLUMN()))),ovrHeaderRow25,0))</f>
        <v>35.6</v>
      </c>
      <c r="AM118" s="12">
        <f>INDEX(ovrTable25,MATCH(INDEX('Structured 2025'!teamCol,ROW()),ovrTeamCol25,0),MATCH(MID(INDEX('Structured 2025'!headerRow,1,COLUMN()),4,LEN(INDEX('Structured 2025'!headerRow,1,COLUMN()))),ovrHeaderRow25,0))</f>
        <v>27.4</v>
      </c>
      <c r="AN118" s="12">
        <f>INDEX(ovrTable25,MATCH(INDEX('Structured 2025'!teamCol,ROW()),ovrTeamCol25,0),MATCH(MID(INDEX('Structured 2025'!headerRow,1,COLUMN()),4,LEN(INDEX('Structured 2025'!headerRow,1,COLUMN()))),ovrHeaderRow25,0))</f>
        <v>1.39</v>
      </c>
      <c r="AO118" s="12">
        <f>INDEX(ovrTable25,MATCH(INDEX('Structured 2025'!teamCol,ROW()),ovrTeamCol25,0),MATCH(MID(INDEX('Structured 2025'!headerRow,1,COLUMN()),4,LEN(INDEX('Structured 2025'!headerRow,1,COLUMN()))),ovrHeaderRow25,0))</f>
        <v>15.5</v>
      </c>
      <c r="AP118" s="12">
        <f>INDEX(ovrTable25,MATCH(INDEX('Structured 2025'!teamCol,ROW()),ovrTeamCol25,0),MATCH(MID(INDEX('Structured 2025'!headerRow,1,COLUMN()),4,LEN(INDEX('Structured 2025'!headerRow,1,COLUMN()))),ovrHeaderRow25,0))</f>
        <v>21.98</v>
      </c>
      <c r="AQ118" s="12">
        <f>INDEX(ovrTable25,MATCH(INDEX('Structured 2025'!teamCol,ROW()),ovrTeamCol25,0),MATCH(MID(INDEX('Structured 2025'!headerRow,1,COLUMN()),4,LEN(INDEX('Structured 2025'!headerRow,1,COLUMN()))),ovrHeaderRow25,0))</f>
        <v>4.5</v>
      </c>
      <c r="AR118" s="12">
        <f>INDEX(ovrTable25,MATCH(INDEX('Structured 2025'!teamCol,ROW()),ovrTeamCol25,0),MATCH(MID(INDEX('Structured 2025'!headerRow,1,COLUMN()),4,LEN(INDEX('Structured 2025'!headerRow,1,COLUMN()))),ovrHeaderRow25,0))</f>
        <v>40</v>
      </c>
      <c r="AS118" s="12">
        <f>INDEX(ovrTable25,MATCH(INDEX('Structured 2025'!teamCol,ROW()),ovrTeamCol25,0),MATCH(MID(INDEX('Structured 2025'!headerRow,1,COLUMN()),4,LEN(INDEX('Structured 2025'!headerRow,1,COLUMN()))),ovrHeaderRow25,0))</f>
        <v>28.1</v>
      </c>
      <c r="AT118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118" s="12">
        <f>INDEX(ovrTable25,MATCH(INDEX('Structured 2025'!teamCol,ROW()),ovrTeamCol25,0),MATCH(MID(INDEX('Structured 2025'!headerRow,1,COLUMN()),4,LEN(INDEX('Structured 2025'!headerRow,1,COLUMN()))),ovrHeaderRow25,0))</f>
        <v>15.58</v>
      </c>
      <c r="AV118" s="12">
        <f>INDEX(ovrTable25,MATCH(INDEX('Structured 2025'!teamCol,ROW()),ovrTeamCol25,0),MATCH(MID(INDEX('Structured 2025'!headerRow,1,COLUMN()),4,LEN(INDEX('Structured 2025'!headerRow,1,COLUMN()))),ovrHeaderRow25,0))</f>
        <v>47.1</v>
      </c>
      <c r="AW118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118" s="12">
        <f>INDEX(ovrTable25,MATCH(INDEX('Structured 2025'!teamCol,ROW()),ovrTeamCol25,0),MATCH(MID(INDEX('Structured 2025'!headerRow,1,COLUMN()),4,LEN(INDEX('Structured 2025'!headerRow,1,COLUMN()))),ovrHeaderRow25,0))</f>
        <v>72.8</v>
      </c>
      <c r="AY118" s="12">
        <f>INDEX(ovrTable25,MATCH(INDEX('Structured 2025'!teamCol,ROW()),ovrTeamCol25,0),MATCH(MID(INDEX('Structured 2025'!headerRow,1,COLUMN()),4,LEN(INDEX('Structured 2025'!headerRow,1,COLUMN()))),ovrHeaderRow25,0))</f>
        <v>21.9</v>
      </c>
      <c r="AZ118" s="12">
        <f>INDEX(ovrTable25,MATCH(INDEX('Structured 2025'!teamCol,ROW()),ovrTeamCol25,0),MATCH(MID(INDEX('Structured 2025'!headerRow,1,COLUMN()),4,LEN(INDEX('Structured 2025'!headerRow,1,COLUMN()))),ovrHeaderRow25,0))</f>
        <v>15.9</v>
      </c>
      <c r="BA118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B118" s="12">
        <f>INDEX(ovrTable25,MATCH(INDEX('Structured 2025'!teamCol,ROW()),ovrTeamCol25,0),MATCH(MID(INDEX('Structured 2025'!headerRow,1,COLUMN()),4,LEN(INDEX('Structured 2025'!headerRow,1,COLUMN()))),ovrHeaderRow25,0))</f>
        <v>13.73</v>
      </c>
      <c r="BC118" s="12">
        <f>INDEX(ovrTable25,MATCH(INDEX('Structured 2025'!teamCol,ROW()),ovrTeamCol25,0),MATCH(MID(INDEX('Structured 2025'!headerRow,1,COLUMN()),4,LEN(INDEX('Structured 2025'!headerRow,1,COLUMN()))),ovrHeaderRow25,0))</f>
        <v>84.8</v>
      </c>
      <c r="BD118" s="12">
        <f>INDEX(ovrTable25,MATCH(INDEX('Structured 2025'!teamCol,ROW()),ovrTeamCol25,0),MATCH(MID(INDEX('Structured 2025'!headerRow,1,COLUMN()),4,LEN(INDEX('Structured 2025'!headerRow,1,COLUMN()))),ovrHeaderRow25,0))</f>
        <v>8.4</v>
      </c>
      <c r="BE118" s="12">
        <f>INDEX(ovrTable25,MATCH(INDEX('Structured 2025'!teamCol,ROW()),ovrTeamCol25,0),MATCH(MID(INDEX('Structured 2025'!headerRow,1,COLUMN()),4,LEN(INDEX('Structured 2025'!headerRow,1,COLUMN()))),ovrHeaderRow25,0))</f>
        <v>41.83</v>
      </c>
      <c r="BF118" s="12">
        <f>INDEX(ovrTable25,MATCH(INDEX('Structured 2025'!teamCol,ROW()),ovrTeamCol25,0),MATCH(MID(INDEX('Structured 2025'!headerRow,1,COLUMN()),4,LEN(INDEX('Structured 2025'!headerRow,1,COLUMN()))),ovrHeaderRow25,0))</f>
        <v>15.2</v>
      </c>
      <c r="BG118" s="12">
        <f>INDEX(ovrTable25,MATCH(INDEX('Structured 2025'!teamCol,ROW()),ovrTeamCol25,0),MATCH(MID(INDEX('Structured 2025'!headerRow,1,COLUMN()),4,LEN(INDEX('Structured 2025'!headerRow,1,COLUMN()))),ovrHeaderRow25,0))</f>
        <v>7.4</v>
      </c>
      <c r="BH118" s="12">
        <f>INDEX(ovrTable25,MATCH(INDEX('Structured 2025'!teamCol,ROW()),ovrTeamCol25,0),MATCH(MID(INDEX('Structured 2025'!headerRow,1,COLUMN()),4,LEN(INDEX('Structured 2025'!headerRow,1,COLUMN()))),ovrHeaderRow25,0))</f>
        <v>0.6</v>
      </c>
      <c r="BI118" s="12">
        <f>INDEX(ovrTable25,MATCH(INDEX('Structured 2025'!teamCol,ROW()),ovrTeamCol25,0),MATCH(MID(INDEX('Structured 2025'!headerRow,1,COLUMN()),4,LEN(INDEX('Structured 2025'!headerRow,1,COLUMN()))),ovrHeaderRow25,0))</f>
        <v>11.73</v>
      </c>
      <c r="BJ118" s="12">
        <f>INDEX(ovrTable25,MATCH(INDEX('Structured 2025'!teamCol,ROW()),ovrTeamCol25,0),MATCH(MID(INDEX('Structured 2025'!headerRow,1,COLUMN()),4,LEN(INDEX('Structured 2025'!headerRow,1,COLUMN()))),ovrHeaderRow25,0))</f>
        <v>11.1</v>
      </c>
      <c r="BK118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118" s="12">
        <f>INDEX(ovrTable25,MATCH(INDEX('Structured 2025'!teamCol,ROW()),ovrTeamCol25,0),MATCH(MID(INDEX('Structured 2025'!headerRow,1,COLUMN()),4,LEN(INDEX('Structured 2025'!headerRow,1,COLUMN()))),ovrHeaderRow25,0))</f>
        <v>19.749999999999993</v>
      </c>
      <c r="BM118" s="12">
        <f>INDEX(ovrTable25,MATCH(INDEX('Structured 2025'!teamCol,ROW()),ovrTeamCol25,0),MATCH(MID(INDEX('Structured 2025'!headerRow,1,COLUMN()),4,LEN(INDEX('Structured 2025'!headerRow,1,COLUMN()))),ovrHeaderRow25,0))</f>
        <v>62.7388535031847</v>
      </c>
      <c r="BN118" s="12">
        <f>INDEX(ovrTable25,MATCH(INDEX(oppCol,ROW()),ovrTeamCol25,0),MATCH(MID(INDEX('Structured 2025'!headerRow,1,COLUMN()),4,LEN(INDEX('Structured 2025'!headerRow,1,COLUMN()))),ovrHeaderRow25,0))</f>
        <v>30.6</v>
      </c>
      <c r="BO118" s="12">
        <f>INDEX(ovrTable25,MATCH(INDEX(oppCol,ROW()),ovrTeamCol25,0),MATCH(MID(INDEX('Structured 2025'!headerRow,1,COLUMN()),4,LEN(INDEX('Structured 2025'!headerRow,1,COLUMN()))),ovrHeaderRow25,0))</f>
        <v>8.1</v>
      </c>
      <c r="BP118" s="12">
        <f>INDEX(ovrTable25,MATCH(INDEX(oppCol,ROW()),ovrTeamCol25,0),MATCH(MID(INDEX('Structured 2025'!headerRow,1,COLUMN()),4,LEN(INDEX('Structured 2025'!headerRow,1,COLUMN()))),ovrHeaderRow25,0))</f>
        <v>37.299999999999997</v>
      </c>
      <c r="BQ118" s="12">
        <f>INDEX(ovrTable25,MATCH(INDEX(oppCol,ROW()),ovrTeamCol25,0),MATCH(MID(INDEX('Structured 2025'!headerRow,1,COLUMN()),4,LEN(INDEX('Structured 2025'!headerRow,1,COLUMN()))),ovrHeaderRow25,0))</f>
        <v>21.7</v>
      </c>
      <c r="BR118" s="12">
        <f>INDEX(ovrTable25,MATCH(INDEX(oppCol,ROW()),ovrTeamCol25,0),MATCH(MID(INDEX('Structured 2025'!headerRow,1,COLUMN()),4,LEN(INDEX('Structured 2025'!headerRow,1,COLUMN()))),ovrHeaderRow25,0))</f>
        <v>1.4</v>
      </c>
      <c r="BS118" s="12">
        <f>INDEX(ovrTable25,MATCH(INDEX(oppCol,ROW()),ovrTeamCol25,0),MATCH(MID(INDEX('Structured 2025'!headerRow,1,COLUMN()),4,LEN(INDEX('Structured 2025'!headerRow,1,COLUMN()))),ovrHeaderRow25,0))</f>
        <v>14.2</v>
      </c>
      <c r="BT118" s="12">
        <f>INDEX(ovrTable25,MATCH(INDEX(oppCol,ROW()),ovrTeamCol25,0),MATCH(MID(INDEX('Structured 2025'!headerRow,1,COLUMN()),4,LEN(INDEX('Structured 2025'!headerRow,1,COLUMN()))),ovrHeaderRow25,0))</f>
        <v>12.08</v>
      </c>
      <c r="BU118" s="12">
        <f>INDEX(ovrTable25,MATCH(INDEX(oppCol,ROW()),ovrTeamCol25,0),MATCH(MID(INDEX('Structured 2025'!headerRow,1,COLUMN()),4,LEN(INDEX('Structured 2025'!headerRow,1,COLUMN()))),ovrHeaderRow25,0))</f>
        <v>4.5</v>
      </c>
      <c r="BV118" s="12">
        <f>INDEX(ovrTable25,MATCH(INDEX(oppCol,ROW()),ovrTeamCol25,0),MATCH(MID(INDEX('Structured 2025'!headerRow,1,COLUMN()),4,LEN(INDEX('Structured 2025'!headerRow,1,COLUMN()))),ovrHeaderRow25,0))</f>
        <v>41.6</v>
      </c>
      <c r="BW118" s="12">
        <f>INDEX(ovrTable25,MATCH(INDEX(oppCol,ROW()),ovrTeamCol25,0),MATCH(MID(INDEX('Structured 2025'!headerRow,1,COLUMN()),4,LEN(INDEX('Structured 2025'!headerRow,1,COLUMN()))),ovrHeaderRow25,0))</f>
        <v>25.69</v>
      </c>
      <c r="BX118" s="12">
        <f>INDEX(ovrTable25,MATCH(INDEX(oppCol,ROW()),ovrTeamCol25,0),MATCH(MID(INDEX('Structured 2025'!headerRow,1,COLUMN()),4,LEN(INDEX('Structured 2025'!headerRow,1,COLUMN()))),ovrHeaderRow25,0))</f>
        <v>0.53600000000000003</v>
      </c>
      <c r="BY118" s="12">
        <f>INDEX(ovrTable25,MATCH(INDEX(oppCol,ROW()),ovrTeamCol25,0),MATCH(MID(INDEX('Structured 2025'!headerRow,1,COLUMN()),4,LEN(INDEX('Structured 2025'!headerRow,1,COLUMN()))),ovrHeaderRow25,0))</f>
        <v>12.61</v>
      </c>
      <c r="BZ118" s="12">
        <f>INDEX(ovrTable25,MATCH(INDEX(oppCol,ROW()),ovrTeamCol25,0),MATCH(MID(INDEX('Structured 2025'!headerRow,1,COLUMN()),4,LEN(INDEX('Structured 2025'!headerRow,1,COLUMN()))),ovrHeaderRow25,0))</f>
        <v>47</v>
      </c>
      <c r="CA118" s="12">
        <f>INDEX(ovrTable25,MATCH(INDEX(oppCol,ROW()),ovrTeamCol25,0),MATCH(MID(INDEX('Structured 2025'!headerRow,1,COLUMN()),4,LEN(INDEX('Structured 2025'!headerRow,1,COLUMN()))),ovrHeaderRow25,0))</f>
        <v>15.3</v>
      </c>
      <c r="CB118" s="12">
        <f>INDEX(ovrTable25,MATCH(INDEX(oppCol,ROW()),ovrTeamCol25,0),MATCH(MID(INDEX('Structured 2025'!headerRow,1,COLUMN()),4,LEN(INDEX('Structured 2025'!headerRow,1,COLUMN()))),ovrHeaderRow25,0))</f>
        <v>75</v>
      </c>
      <c r="CC118" s="12">
        <f>INDEX(ovrTable25,MATCH(INDEX(oppCol,ROW()),ovrTeamCol25,0),MATCH(MID(INDEX('Structured 2025'!headerRow,1,COLUMN()),4,LEN(INDEX('Structured 2025'!headerRow,1,COLUMN()))),ovrHeaderRow25,0))</f>
        <v>20.3</v>
      </c>
      <c r="CD118" s="12">
        <f>INDEX(ovrTable25,MATCH(INDEX(oppCol,ROW()),ovrTeamCol25,0),MATCH(MID(INDEX('Structured 2025'!headerRow,1,COLUMN()),4,LEN(INDEX('Structured 2025'!headerRow,1,COLUMN()))),ovrHeaderRow25,0))</f>
        <v>15.3</v>
      </c>
      <c r="CE118" s="12">
        <f>INDEX(ovrTable25,MATCH(INDEX(oppCol,ROW()),ovrTeamCol25,0),MATCH(MID(INDEX('Structured 2025'!headerRow,1,COLUMN()),4,LEN(INDEX('Structured 2025'!headerRow,1,COLUMN()))),ovrHeaderRow25,0))</f>
        <v>67.2</v>
      </c>
      <c r="CF118" s="12">
        <f>INDEX(ovrTable25,MATCH(INDEX(oppCol,ROW()),ovrTeamCol25,0),MATCH(MID(INDEX('Structured 2025'!headerRow,1,COLUMN()),4,LEN(INDEX('Structured 2025'!headerRow,1,COLUMN()))),ovrHeaderRow25,0))</f>
        <v>10.56</v>
      </c>
      <c r="CG118" s="12">
        <f>INDEX(ovrTable25,MATCH(INDEX(oppCol,ROW()),ovrTeamCol25,0),MATCH(MID(INDEX('Structured 2025'!headerRow,1,COLUMN()),4,LEN(INDEX('Structured 2025'!headerRow,1,COLUMN()))),ovrHeaderRow25,0))</f>
        <v>81.099999999999994</v>
      </c>
      <c r="CH118" s="12">
        <f>INDEX(ovrTable25,MATCH(INDEX(oppCol,ROW()),ovrTeamCol25,0),MATCH(MID(INDEX('Structured 2025'!headerRow,1,COLUMN()),4,LEN(INDEX('Structured 2025'!headerRow,1,COLUMN()))),ovrHeaderRow25,0))</f>
        <v>2.2999999999999998</v>
      </c>
      <c r="CI118" s="12">
        <f>INDEX(ovrTable25,MATCH(INDEX(oppCol,ROW()),ovrTeamCol25,0),MATCH(MID(INDEX('Structured 2025'!headerRow,1,COLUMN()),4,LEN(INDEX('Structured 2025'!headerRow,1,COLUMN()))),ovrHeaderRow25,0))</f>
        <v>36.25</v>
      </c>
      <c r="CJ118" s="12">
        <f>INDEX(ovrTable25,MATCH(INDEX(oppCol,ROW()),ovrTeamCol25,0),MATCH(MID(INDEX('Structured 2025'!headerRow,1,COLUMN()),4,LEN(INDEX('Structured 2025'!headerRow,1,COLUMN()))),ovrHeaderRow25,0))</f>
        <v>13.9</v>
      </c>
      <c r="CK118" s="12">
        <f>INDEX(ovrTable25,MATCH(INDEX(oppCol,ROW()),ovrTeamCol25,0),MATCH(MID(INDEX('Structured 2025'!headerRow,1,COLUMN()),4,LEN(INDEX('Structured 2025'!headerRow,1,COLUMN()))),ovrHeaderRow25,0))</f>
        <v>7.9</v>
      </c>
      <c r="CL118" s="12">
        <f>INDEX(ovrTable25,MATCH(INDEX(oppCol,ROW()),ovrTeamCol25,0),MATCH(MID(INDEX('Structured 2025'!headerRow,1,COLUMN()),4,LEN(INDEX('Structured 2025'!headerRow,1,COLUMN()))),ovrHeaderRow25,0))</f>
        <v>4.0999999999999996</v>
      </c>
      <c r="CM118" s="12">
        <f>INDEX(ovrTable25,MATCH(INDEX(oppCol,ROW()),ovrTeamCol25,0),MATCH(MID(INDEX('Structured 2025'!headerRow,1,COLUMN()),4,LEN(INDEX('Structured 2025'!headerRow,1,COLUMN()))),ovrHeaderRow25,0))</f>
        <v>14.19</v>
      </c>
      <c r="CN118" s="12">
        <f>INDEX(ovrTable25,MATCH(INDEX(oppCol,ROW()),ovrTeamCol25,0),MATCH(MID(INDEX('Structured 2025'!headerRow,1,COLUMN()),4,LEN(INDEX('Structured 2025'!headerRow,1,COLUMN()))),ovrHeaderRow25,0))</f>
        <v>10.1</v>
      </c>
      <c r="CO118" s="12">
        <f>INDEX(ovrTable25,MATCH(INDEX(oppCol,ROW()),ovrTeamCol25,0),MATCH(MID(INDEX('Structured 2025'!headerRow,1,COLUMN()),4,LEN(INDEX('Structured 2025'!headerRow,1,COLUMN()))),ovrHeaderRow25,0))</f>
        <v>69.599999999999994</v>
      </c>
      <c r="CP118" s="12">
        <f>INDEX(ovrTable25,MATCH(INDEX(oppCol,ROW()),ovrTeamCol25,0),MATCH(MID(INDEX('Structured 2025'!headerRow,1,COLUMN()),4,LEN(INDEX('Structured 2025'!headerRow,1,COLUMN()))),ovrHeaderRow25,0))</f>
        <v>20.75</v>
      </c>
      <c r="CQ118" s="12">
        <f>INDEX(ovrTable25,MATCH(INDEX(oppCol,ROW()),ovrTeamCol25,0),MATCH(MID(INDEX('Structured 2025'!headerRow,1,COLUMN()),4,LEN(INDEX('Structured 2025'!headerRow,1,COLUMN()))),ovrHeaderRow25,0))</f>
        <v>61.382978723404257</v>
      </c>
    </row>
    <row r="119" spans="1:95" x14ac:dyDescent="0.3">
      <c r="A119" s="6" t="s">
        <v>372</v>
      </c>
      <c r="B119" s="3">
        <v>4</v>
      </c>
      <c r="C119" s="13" t="str">
        <f>A118</f>
        <v>FLA</v>
      </c>
      <c r="D119" s="14">
        <f t="shared" si="111"/>
        <v>59</v>
      </c>
      <c r="E119" s="23">
        <v>0.39285714285714285</v>
      </c>
      <c r="F119" s="24">
        <v>40.74074074074074</v>
      </c>
      <c r="G119" s="24">
        <v>6</v>
      </c>
      <c r="H119" s="23">
        <v>31.578947368421051</v>
      </c>
      <c r="I119" s="24">
        <v>19</v>
      </c>
      <c r="J119" s="25">
        <v>0.54545454545454541</v>
      </c>
      <c r="K119" s="24">
        <v>21</v>
      </c>
      <c r="L119" s="24">
        <v>26</v>
      </c>
      <c r="M119" s="24">
        <v>7</v>
      </c>
      <c r="N119" s="24">
        <v>13</v>
      </c>
      <c r="O119" s="24">
        <v>6</v>
      </c>
      <c r="P119" s="24">
        <v>12</v>
      </c>
      <c r="Q119" s="24">
        <v>1</v>
      </c>
      <c r="R119" s="24">
        <v>11</v>
      </c>
      <c r="S119" s="24">
        <v>7</v>
      </c>
      <c r="T119" s="24">
        <v>16</v>
      </c>
      <c r="U119" s="24">
        <v>3</v>
      </c>
      <c r="V119" s="24">
        <v>0.5</v>
      </c>
      <c r="W119" s="26">
        <v>0.46296296296296297</v>
      </c>
      <c r="X119" s="23">
        <v>80.769230769230774</v>
      </c>
      <c r="Y119" s="24">
        <v>87</v>
      </c>
      <c r="Z119" s="24">
        <v>71</v>
      </c>
      <c r="AA119" s="24">
        <v>-22</v>
      </c>
      <c r="AB119" s="24">
        <v>20</v>
      </c>
      <c r="AC119" s="24">
        <v>-16</v>
      </c>
      <c r="AD119" s="24">
        <v>6</v>
      </c>
      <c r="AE119" s="24">
        <v>17</v>
      </c>
      <c r="AF119" s="34">
        <f t="shared" si="105"/>
        <v>16</v>
      </c>
      <c r="AG119" s="34">
        <f t="shared" si="106"/>
        <v>35</v>
      </c>
      <c r="AH119" s="46">
        <f t="shared" si="107"/>
        <v>70.349999999999994</v>
      </c>
      <c r="AI119" s="51">
        <f t="shared" ref="AI119" si="130">AVERAGE(AH118,AH119)</f>
        <v>71.162499999999994</v>
      </c>
      <c r="AJ119" s="12">
        <f>INDEX(ovrTable25,MATCH(INDEX('Structured 2025'!teamCol,ROW()),ovrTeamCol25,0),MATCH(MID(INDEX('Structured 2025'!headerRow,1,COLUMN()),4,LEN(INDEX('Structured 2025'!headerRow,1,COLUMN()))),ovrHeaderRow25,0))</f>
        <v>30.6</v>
      </c>
      <c r="AK119" s="12">
        <f>INDEX(ovrTable25,MATCH(INDEX('Structured 2025'!teamCol,ROW()),ovrTeamCol25,0),MATCH(MID(INDEX('Structured 2025'!headerRow,1,COLUMN()),4,LEN(INDEX('Structured 2025'!headerRow,1,COLUMN()))),ovrHeaderRow25,0))</f>
        <v>8.1</v>
      </c>
      <c r="AL119" s="12">
        <f>INDEX(ovrTable25,MATCH(INDEX('Structured 2025'!teamCol,ROW()),ovrTeamCol25,0),MATCH(MID(INDEX('Structured 2025'!headerRow,1,COLUMN()),4,LEN(INDEX('Structured 2025'!headerRow,1,COLUMN()))),ovrHeaderRow25,0))</f>
        <v>37.299999999999997</v>
      </c>
      <c r="AM119" s="12">
        <f>INDEX(ovrTable25,MATCH(INDEX('Structured 2025'!teamCol,ROW()),ovrTeamCol25,0),MATCH(MID(INDEX('Structured 2025'!headerRow,1,COLUMN()),4,LEN(INDEX('Structured 2025'!headerRow,1,COLUMN()))),ovrHeaderRow25,0))</f>
        <v>21.7</v>
      </c>
      <c r="AN119" s="12">
        <f>INDEX(ovrTable25,MATCH(INDEX('Structured 2025'!teamCol,ROW()),ovrTeamCol25,0),MATCH(MID(INDEX('Structured 2025'!headerRow,1,COLUMN()),4,LEN(INDEX('Structured 2025'!headerRow,1,COLUMN()))),ovrHeaderRow25,0))</f>
        <v>1.4</v>
      </c>
      <c r="AO119" s="12">
        <f>INDEX(ovrTable25,MATCH(INDEX('Structured 2025'!teamCol,ROW()),ovrTeamCol25,0),MATCH(MID(INDEX('Structured 2025'!headerRow,1,COLUMN()),4,LEN(INDEX('Structured 2025'!headerRow,1,COLUMN()))),ovrHeaderRow25,0))</f>
        <v>14.2</v>
      </c>
      <c r="AP119" s="12">
        <f>INDEX(ovrTable25,MATCH(INDEX('Structured 2025'!teamCol,ROW()),ovrTeamCol25,0),MATCH(MID(INDEX('Structured 2025'!headerRow,1,COLUMN()),4,LEN(INDEX('Structured 2025'!headerRow,1,COLUMN()))),ovrHeaderRow25,0))</f>
        <v>12.08</v>
      </c>
      <c r="AQ119" s="12">
        <f>INDEX(ovrTable25,MATCH(INDEX('Structured 2025'!teamCol,ROW()),ovrTeamCol25,0),MATCH(MID(INDEX('Structured 2025'!headerRow,1,COLUMN()),4,LEN(INDEX('Structured 2025'!headerRow,1,COLUMN()))),ovrHeaderRow25,0))</f>
        <v>4.5</v>
      </c>
      <c r="AR119" s="12">
        <f>INDEX(ovrTable25,MATCH(INDEX('Structured 2025'!teamCol,ROW()),ovrTeamCol25,0),MATCH(MID(INDEX('Structured 2025'!headerRow,1,COLUMN()),4,LEN(INDEX('Structured 2025'!headerRow,1,COLUMN()))),ovrHeaderRow25,0))</f>
        <v>41.6</v>
      </c>
      <c r="AS119" s="12">
        <f>INDEX(ovrTable25,MATCH(INDEX('Structured 2025'!teamCol,ROW()),ovrTeamCol25,0),MATCH(MID(INDEX('Structured 2025'!headerRow,1,COLUMN()),4,LEN(INDEX('Structured 2025'!headerRow,1,COLUMN()))),ovrHeaderRow25,0))</f>
        <v>25.69</v>
      </c>
      <c r="AT119" s="12">
        <f>INDEX(ovrTable25,MATCH(INDEX('Structured 2025'!teamCol,ROW()),ovrTeamCol25,0),MATCH(MID(INDEX('Structured 2025'!headerRow,1,COLUMN()),4,LEN(INDEX('Structured 2025'!headerRow,1,COLUMN()))),ovrHeaderRow25,0))</f>
        <v>0.53600000000000003</v>
      </c>
      <c r="AU119" s="12">
        <f>INDEX(ovrTable25,MATCH(INDEX('Structured 2025'!teamCol,ROW()),ovrTeamCol25,0),MATCH(MID(INDEX('Structured 2025'!headerRow,1,COLUMN()),4,LEN(INDEX('Structured 2025'!headerRow,1,COLUMN()))),ovrHeaderRow25,0))</f>
        <v>12.61</v>
      </c>
      <c r="AV119" s="12">
        <f>INDEX(ovrTable25,MATCH(INDEX('Structured 2025'!teamCol,ROW()),ovrTeamCol25,0),MATCH(MID(INDEX('Structured 2025'!headerRow,1,COLUMN()),4,LEN(INDEX('Structured 2025'!headerRow,1,COLUMN()))),ovrHeaderRow25,0))</f>
        <v>47</v>
      </c>
      <c r="AW119" s="12">
        <f>INDEX(ovrTable25,MATCH(INDEX('Structured 2025'!teamCol,ROW()),ovrTeamCol25,0),MATCH(MID(INDEX('Structured 2025'!headerRow,1,COLUMN()),4,LEN(INDEX('Structured 2025'!headerRow,1,COLUMN()))),ovrHeaderRow25,0))</f>
        <v>15.3</v>
      </c>
      <c r="AX119" s="12">
        <f>INDEX(ovrTable25,MATCH(INDEX('Structured 2025'!teamCol,ROW()),ovrTeamCol25,0),MATCH(MID(INDEX('Structured 2025'!headerRow,1,COLUMN()),4,LEN(INDEX('Structured 2025'!headerRow,1,COLUMN()))),ovrHeaderRow25,0))</f>
        <v>75</v>
      </c>
      <c r="AY119" s="12">
        <f>INDEX(ovrTable25,MATCH(INDEX('Structured 2025'!teamCol,ROW()),ovrTeamCol25,0),MATCH(MID(INDEX('Structured 2025'!headerRow,1,COLUMN()),4,LEN(INDEX('Structured 2025'!headerRow,1,COLUMN()))),ovrHeaderRow25,0))</f>
        <v>20.3</v>
      </c>
      <c r="AZ119" s="12">
        <f>INDEX(ovrTable25,MATCH(INDEX('Structured 2025'!teamCol,ROW()),ovrTeamCol25,0),MATCH(MID(INDEX('Structured 2025'!headerRow,1,COLUMN()),4,LEN(INDEX('Structured 2025'!headerRow,1,COLUMN()))),ovrHeaderRow25,0))</f>
        <v>15.3</v>
      </c>
      <c r="BA119" s="12">
        <f>INDEX(ovrTable25,MATCH(INDEX('Structured 2025'!teamCol,ROW()),ovrTeamCol25,0),MATCH(MID(INDEX('Structured 2025'!headerRow,1,COLUMN()),4,LEN(INDEX('Structured 2025'!headerRow,1,COLUMN()))),ovrHeaderRow25,0))</f>
        <v>67.2</v>
      </c>
      <c r="BB119" s="12">
        <f>INDEX(ovrTable25,MATCH(INDEX('Structured 2025'!teamCol,ROW()),ovrTeamCol25,0),MATCH(MID(INDEX('Structured 2025'!headerRow,1,COLUMN()),4,LEN(INDEX('Structured 2025'!headerRow,1,COLUMN()))),ovrHeaderRow25,0))</f>
        <v>10.56</v>
      </c>
      <c r="BC119" s="12">
        <f>INDEX(ovrTable25,MATCH(INDEX('Structured 2025'!teamCol,ROW()),ovrTeamCol25,0),MATCH(MID(INDEX('Structured 2025'!headerRow,1,COLUMN()),4,LEN(INDEX('Structured 2025'!headerRow,1,COLUMN()))),ovrHeaderRow25,0))</f>
        <v>81.099999999999994</v>
      </c>
      <c r="BD119" s="12">
        <f>INDEX(ovrTable25,MATCH(INDEX('Structured 2025'!teamCol,ROW()),ovrTeamCol25,0),MATCH(MID(INDEX('Structured 2025'!headerRow,1,COLUMN()),4,LEN(INDEX('Structured 2025'!headerRow,1,COLUMN()))),ovrHeaderRow25,0))</f>
        <v>2.2999999999999998</v>
      </c>
      <c r="BE119" s="12">
        <f>INDEX(ovrTable25,MATCH(INDEX('Structured 2025'!teamCol,ROW()),ovrTeamCol25,0),MATCH(MID(INDEX('Structured 2025'!headerRow,1,COLUMN()),4,LEN(INDEX('Structured 2025'!headerRow,1,COLUMN()))),ovrHeaderRow25,0))</f>
        <v>36.25</v>
      </c>
      <c r="BF119" s="12">
        <f>INDEX(ovrTable25,MATCH(INDEX('Structured 2025'!teamCol,ROW()),ovrTeamCol25,0),MATCH(MID(INDEX('Structured 2025'!headerRow,1,COLUMN()),4,LEN(INDEX('Structured 2025'!headerRow,1,COLUMN()))),ovrHeaderRow25,0))</f>
        <v>13.9</v>
      </c>
      <c r="BG119" s="12">
        <f>INDEX(ovrTable25,MATCH(INDEX('Structured 2025'!teamCol,ROW()),ovrTeamCol25,0),MATCH(MID(INDEX('Structured 2025'!headerRow,1,COLUMN()),4,LEN(INDEX('Structured 2025'!headerRow,1,COLUMN()))),ovrHeaderRow25,0))</f>
        <v>7.9</v>
      </c>
      <c r="BH119" s="12">
        <f>INDEX(ovrTable25,MATCH(INDEX('Structured 2025'!teamCol,ROW()),ovrTeamCol25,0),MATCH(MID(INDEX('Structured 2025'!headerRow,1,COLUMN()),4,LEN(INDEX('Structured 2025'!headerRow,1,COLUMN()))),ovrHeaderRow25,0))</f>
        <v>4.0999999999999996</v>
      </c>
      <c r="BI119" s="12">
        <f>INDEX(ovrTable25,MATCH(INDEX('Structured 2025'!teamCol,ROW()),ovrTeamCol25,0),MATCH(MID(INDEX('Structured 2025'!headerRow,1,COLUMN()),4,LEN(INDEX('Structured 2025'!headerRow,1,COLUMN()))),ovrHeaderRow25,0))</f>
        <v>14.19</v>
      </c>
      <c r="BJ119" s="12">
        <f>INDEX(ovrTable25,MATCH(INDEX('Structured 2025'!teamCol,ROW()),ovrTeamCol25,0),MATCH(MID(INDEX('Structured 2025'!headerRow,1,COLUMN()),4,LEN(INDEX('Structured 2025'!headerRow,1,COLUMN()))),ovrHeaderRow25,0))</f>
        <v>10.1</v>
      </c>
      <c r="BK119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L119" s="12">
        <f>INDEX(ovrTable25,MATCH(INDEX('Structured 2025'!teamCol,ROW()),ovrTeamCol25,0),MATCH(MID(INDEX('Structured 2025'!headerRow,1,COLUMN()),4,LEN(INDEX('Structured 2025'!headerRow,1,COLUMN()))),ovrHeaderRow25,0))</f>
        <v>20.75</v>
      </c>
      <c r="BM119" s="12">
        <f>INDEX(ovrTable25,MATCH(INDEX('Structured 2025'!teamCol,ROW()),ovrTeamCol25,0),MATCH(MID(INDEX('Structured 2025'!headerRow,1,COLUMN()),4,LEN(INDEX('Structured 2025'!headerRow,1,COLUMN()))),ovrHeaderRow25,0))</f>
        <v>61.382978723404257</v>
      </c>
      <c r="BN119" s="12">
        <f>INDEX(ovrTable25,MATCH(INDEX(oppCol,ROW()),ovrTeamCol25,0),MATCH(MID(INDEX('Structured 2025'!headerRow,1,COLUMN()),4,LEN(INDEX('Structured 2025'!headerRow,1,COLUMN()))),ovrHeaderRow25,0))</f>
        <v>29.4</v>
      </c>
      <c r="BO119" s="12">
        <f>INDEX(ovrTable25,MATCH(INDEX(oppCol,ROW()),ovrTeamCol25,0),MATCH(MID(INDEX('Structured 2025'!headerRow,1,COLUMN()),4,LEN(INDEX('Structured 2025'!headerRow,1,COLUMN()))),ovrHeaderRow25,0))</f>
        <v>9.8000000000000007</v>
      </c>
      <c r="BP119" s="12">
        <f>INDEX(ovrTable25,MATCH(INDEX(oppCol,ROW()),ovrTeamCol25,0),MATCH(MID(INDEX('Structured 2025'!headerRow,1,COLUMN()),4,LEN(INDEX('Structured 2025'!headerRow,1,COLUMN()))),ovrHeaderRow25,0))</f>
        <v>35.6</v>
      </c>
      <c r="BQ119" s="12">
        <f>INDEX(ovrTable25,MATCH(INDEX(oppCol,ROW()),ovrTeamCol25,0),MATCH(MID(INDEX('Structured 2025'!headerRow,1,COLUMN()),4,LEN(INDEX('Structured 2025'!headerRow,1,COLUMN()))),ovrHeaderRow25,0))</f>
        <v>27.4</v>
      </c>
      <c r="BR119" s="12">
        <f>INDEX(ovrTable25,MATCH(INDEX(oppCol,ROW()),ovrTeamCol25,0),MATCH(MID(INDEX('Structured 2025'!headerRow,1,COLUMN()),4,LEN(INDEX('Structured 2025'!headerRow,1,COLUMN()))),ovrHeaderRow25,0))</f>
        <v>1.39</v>
      </c>
      <c r="BS119" s="12">
        <f>INDEX(ovrTable25,MATCH(INDEX(oppCol,ROW()),ovrTeamCol25,0),MATCH(MID(INDEX('Structured 2025'!headerRow,1,COLUMN()),4,LEN(INDEX('Structured 2025'!headerRow,1,COLUMN()))),ovrHeaderRow25,0))</f>
        <v>15.5</v>
      </c>
      <c r="BT119" s="12">
        <f>INDEX(ovrTable25,MATCH(INDEX(oppCol,ROW()),ovrTeamCol25,0),MATCH(MID(INDEX('Structured 2025'!headerRow,1,COLUMN()),4,LEN(INDEX('Structured 2025'!headerRow,1,COLUMN()))),ovrHeaderRow25,0))</f>
        <v>21.98</v>
      </c>
      <c r="BU119" s="12">
        <f>INDEX(ovrTable25,MATCH(INDEX(oppCol,ROW()),ovrTeamCol25,0),MATCH(MID(INDEX('Structured 2025'!headerRow,1,COLUMN()),4,LEN(INDEX('Structured 2025'!headerRow,1,COLUMN()))),ovrHeaderRow25,0))</f>
        <v>4.5</v>
      </c>
      <c r="BV119" s="12">
        <f>INDEX(ovrTable25,MATCH(INDEX(oppCol,ROW()),ovrTeamCol25,0),MATCH(MID(INDEX('Structured 2025'!headerRow,1,COLUMN()),4,LEN(INDEX('Structured 2025'!headerRow,1,COLUMN()))),ovrHeaderRow25,0))</f>
        <v>40</v>
      </c>
      <c r="BW119" s="12">
        <f>INDEX(ovrTable25,MATCH(INDEX(oppCol,ROW()),ovrTeamCol25,0),MATCH(MID(INDEX('Structured 2025'!headerRow,1,COLUMN()),4,LEN(INDEX('Structured 2025'!headerRow,1,COLUMN()))),ovrHeaderRow25,0))</f>
        <v>28.1</v>
      </c>
      <c r="BX119" s="12">
        <f>INDEX(ovrTable25,MATCH(INDEX(oppCol,ROW()),ovrTeamCol25,0),MATCH(MID(INDEX('Structured 2025'!headerRow,1,COLUMN()),4,LEN(INDEX('Structured 2025'!headerRow,1,COLUMN()))),ovrHeaderRow25,0))</f>
        <v>0.54900000000000004</v>
      </c>
      <c r="BY119" s="12">
        <f>INDEX(ovrTable25,MATCH(INDEX(oppCol,ROW()),ovrTeamCol25,0),MATCH(MID(INDEX('Structured 2025'!headerRow,1,COLUMN()),4,LEN(INDEX('Structured 2025'!headerRow,1,COLUMN()))),ovrHeaderRow25,0))</f>
        <v>15.58</v>
      </c>
      <c r="BZ119" s="12">
        <f>INDEX(ovrTable25,MATCH(INDEX(oppCol,ROW()),ovrTeamCol25,0),MATCH(MID(INDEX('Structured 2025'!headerRow,1,COLUMN()),4,LEN(INDEX('Structured 2025'!headerRow,1,COLUMN()))),ovrHeaderRow25,0))</f>
        <v>47.1</v>
      </c>
      <c r="CA119" s="12">
        <f>INDEX(ovrTable25,MATCH(INDEX(oppCol,ROW()),ovrTeamCol25,0),MATCH(MID(INDEX('Structured 2025'!headerRow,1,COLUMN()),4,LEN(INDEX('Structured 2025'!headerRow,1,COLUMN()))),ovrHeaderRow25,0))</f>
        <v>17.100000000000001</v>
      </c>
      <c r="CB119" s="12">
        <f>INDEX(ovrTable25,MATCH(INDEX(oppCol,ROW()),ovrTeamCol25,0),MATCH(MID(INDEX('Structured 2025'!headerRow,1,COLUMN()),4,LEN(INDEX('Structured 2025'!headerRow,1,COLUMN()))),ovrHeaderRow25,0))</f>
        <v>72.8</v>
      </c>
      <c r="CC119" s="12">
        <f>INDEX(ovrTable25,MATCH(INDEX(oppCol,ROW()),ovrTeamCol25,0),MATCH(MID(INDEX('Structured 2025'!headerRow,1,COLUMN()),4,LEN(INDEX('Structured 2025'!headerRow,1,COLUMN()))),ovrHeaderRow25,0))</f>
        <v>21.9</v>
      </c>
      <c r="CD119" s="12">
        <f>INDEX(ovrTable25,MATCH(INDEX(oppCol,ROW()),ovrTeamCol25,0),MATCH(MID(INDEX('Structured 2025'!headerRow,1,COLUMN()),4,LEN(INDEX('Structured 2025'!headerRow,1,COLUMN()))),ovrHeaderRow25,0))</f>
        <v>15.9</v>
      </c>
      <c r="CE119" s="12">
        <f>INDEX(ovrTable25,MATCH(INDEX(oppCol,ROW()),ovrTeamCol25,0),MATCH(MID(INDEX('Structured 2025'!headerRow,1,COLUMN()),4,LEN(INDEX('Structured 2025'!headerRow,1,COLUMN()))),ovrHeaderRow25,0))</f>
        <v>69.599999999999994</v>
      </c>
      <c r="CF119" s="12">
        <f>INDEX(ovrTable25,MATCH(INDEX(oppCol,ROW()),ovrTeamCol25,0),MATCH(MID(INDEX('Structured 2025'!headerRow,1,COLUMN()),4,LEN(INDEX('Structured 2025'!headerRow,1,COLUMN()))),ovrHeaderRow25,0))</f>
        <v>13.73</v>
      </c>
      <c r="CG119" s="12">
        <f>INDEX(ovrTable25,MATCH(INDEX(oppCol,ROW()),ovrTeamCol25,0),MATCH(MID(INDEX('Structured 2025'!headerRow,1,COLUMN()),4,LEN(INDEX('Structured 2025'!headerRow,1,COLUMN()))),ovrHeaderRow25,0))</f>
        <v>84.8</v>
      </c>
      <c r="CH119" s="12">
        <f>INDEX(ovrTable25,MATCH(INDEX(oppCol,ROW()),ovrTeamCol25,0),MATCH(MID(INDEX('Structured 2025'!headerRow,1,COLUMN()),4,LEN(INDEX('Structured 2025'!headerRow,1,COLUMN()))),ovrHeaderRow25,0))</f>
        <v>8.4</v>
      </c>
      <c r="CI119" s="12">
        <f>INDEX(ovrTable25,MATCH(INDEX(oppCol,ROW()),ovrTeamCol25,0),MATCH(MID(INDEX('Structured 2025'!headerRow,1,COLUMN()),4,LEN(INDEX('Structured 2025'!headerRow,1,COLUMN()))),ovrHeaderRow25,0))</f>
        <v>41.83</v>
      </c>
      <c r="CJ119" s="12">
        <f>INDEX(ovrTable25,MATCH(INDEX(oppCol,ROW()),ovrTeamCol25,0),MATCH(MID(INDEX('Structured 2025'!headerRow,1,COLUMN()),4,LEN(INDEX('Structured 2025'!headerRow,1,COLUMN()))),ovrHeaderRow25,0))</f>
        <v>15.2</v>
      </c>
      <c r="CK119" s="12">
        <f>INDEX(ovrTable25,MATCH(INDEX(oppCol,ROW()),ovrTeamCol25,0),MATCH(MID(INDEX('Structured 2025'!headerRow,1,COLUMN()),4,LEN(INDEX('Structured 2025'!headerRow,1,COLUMN()))),ovrHeaderRow25,0))</f>
        <v>7.4</v>
      </c>
      <c r="CL119" s="12">
        <f>INDEX(ovrTable25,MATCH(INDEX(oppCol,ROW()),ovrTeamCol25,0),MATCH(MID(INDEX('Structured 2025'!headerRow,1,COLUMN()),4,LEN(INDEX('Structured 2025'!headerRow,1,COLUMN()))),ovrHeaderRow25,0))</f>
        <v>0.6</v>
      </c>
      <c r="CM119" s="12">
        <f>INDEX(ovrTable25,MATCH(INDEX(oppCol,ROW()),ovrTeamCol25,0),MATCH(MID(INDEX('Structured 2025'!headerRow,1,COLUMN()),4,LEN(INDEX('Structured 2025'!headerRow,1,COLUMN()))),ovrHeaderRow25,0))</f>
        <v>11.73</v>
      </c>
      <c r="CN119" s="12">
        <f>INDEX(ovrTable25,MATCH(INDEX(oppCol,ROW()),ovrTeamCol25,0),MATCH(MID(INDEX('Structured 2025'!headerRow,1,COLUMN()),4,LEN(INDEX('Structured 2025'!headerRow,1,COLUMN()))),ovrHeaderRow25,0))</f>
        <v>11.1</v>
      </c>
      <c r="CO119" s="12">
        <f>INDEX(ovrTable25,MATCH(INDEX(oppCol,ROW()),ovrTeamCol25,0),MATCH(MID(INDEX('Structured 2025'!headerRow,1,COLUMN()),4,LEN(INDEX('Structured 2025'!headerRow,1,COLUMN()))),ovrHeaderRow25,0))</f>
        <v>70.099999999999994</v>
      </c>
      <c r="CP119" s="12">
        <f>INDEX(ovrTable25,MATCH(INDEX(oppCol,ROW()),ovrTeamCol25,0),MATCH(MID(INDEX('Structured 2025'!headerRow,1,COLUMN()),4,LEN(INDEX('Structured 2025'!headerRow,1,COLUMN()))),ovrHeaderRow25,0))</f>
        <v>19.749999999999993</v>
      </c>
      <c r="CQ119" s="12">
        <f>INDEX(ovrTable25,MATCH(INDEX(oppCol,ROW()),ovrTeamCol25,0),MATCH(MID(INDEX('Structured 2025'!headerRow,1,COLUMN()),4,LEN(INDEX('Structured 2025'!headerRow,1,COLUMN()))),ovrHeaderRow25,0))</f>
        <v>62.7388535031847</v>
      </c>
    </row>
    <row r="120" spans="1:95" x14ac:dyDescent="0.3">
      <c r="A120" s="6" t="s">
        <v>46</v>
      </c>
      <c r="B120" s="3">
        <v>3</v>
      </c>
      <c r="C120" s="13" t="str">
        <f>A121</f>
        <v>ARK</v>
      </c>
      <c r="D120" s="14">
        <f t="shared" si="111"/>
        <v>60</v>
      </c>
      <c r="E120" s="23">
        <v>0.4</v>
      </c>
      <c r="F120" s="24">
        <v>40.963855421686745</v>
      </c>
      <c r="G120" s="24">
        <v>8</v>
      </c>
      <c r="H120" s="23">
        <v>25</v>
      </c>
      <c r="I120" s="24">
        <v>32</v>
      </c>
      <c r="J120" s="25">
        <v>1.5</v>
      </c>
      <c r="K120" s="24">
        <v>9</v>
      </c>
      <c r="L120" s="24">
        <v>11</v>
      </c>
      <c r="M120" s="24">
        <v>22</v>
      </c>
      <c r="N120" s="24">
        <v>29</v>
      </c>
      <c r="O120" s="24">
        <v>12</v>
      </c>
      <c r="P120" s="24">
        <v>7</v>
      </c>
      <c r="Q120" s="24">
        <v>6</v>
      </c>
      <c r="R120" s="24">
        <v>8</v>
      </c>
      <c r="S120" s="24">
        <v>5</v>
      </c>
      <c r="T120" s="24">
        <v>17</v>
      </c>
      <c r="U120" s="24">
        <v>19</v>
      </c>
      <c r="V120" s="24">
        <v>0.41538461538461541</v>
      </c>
      <c r="W120" s="26">
        <v>0.45783132530120479</v>
      </c>
      <c r="X120" s="23">
        <v>81.818181818181827</v>
      </c>
      <c r="Y120" s="24">
        <v>83</v>
      </c>
      <c r="Z120" s="24">
        <v>85</v>
      </c>
      <c r="AA120" s="24">
        <v>12</v>
      </c>
      <c r="AB120" s="24">
        <v>51</v>
      </c>
      <c r="AC120" s="24">
        <v>2</v>
      </c>
      <c r="AD120" s="24">
        <v>2</v>
      </c>
      <c r="AE120" s="24">
        <v>10</v>
      </c>
      <c r="AF120" s="34">
        <f t="shared" si="105"/>
        <v>26</v>
      </c>
      <c r="AG120" s="34">
        <f t="shared" si="106"/>
        <v>51</v>
      </c>
      <c r="AH120" s="46">
        <f t="shared" si="107"/>
        <v>74.224999999999994</v>
      </c>
      <c r="AI120" s="51">
        <f t="shared" ref="AI120" si="131">AVERAGE(AH120,AH121)</f>
        <v>74.337500000000006</v>
      </c>
      <c r="AJ120" s="12">
        <f>INDEX(ovrTable25,MATCH(INDEX('Structured 2025'!teamCol,ROW()),ovrTeamCol25,0),MATCH(MID(INDEX('Structured 2025'!headerRow,1,COLUMN()),4,LEN(INDEX('Structured 2025'!headerRow,1,COLUMN()))),ovrHeaderRow25,0))</f>
        <v>32.4</v>
      </c>
      <c r="AK120" s="12">
        <f>INDEX(ovrTable25,MATCH(INDEX('Structured 2025'!teamCol,ROW()),ovrTeamCol25,0),MATCH(MID(INDEX('Structured 2025'!headerRow,1,COLUMN()),4,LEN(INDEX('Structured 2025'!headerRow,1,COLUMN()))),ovrHeaderRow25,0))</f>
        <v>10</v>
      </c>
      <c r="AL120" s="12">
        <f>INDEX(ovrTable25,MATCH(INDEX('Structured 2025'!teamCol,ROW()),ovrTeamCol25,0),MATCH(MID(INDEX('Structured 2025'!headerRow,1,COLUMN()),4,LEN(INDEX('Structured 2025'!headerRow,1,COLUMN()))),ovrHeaderRow25,0))</f>
        <v>36.700000000000003</v>
      </c>
      <c r="AM120" s="12">
        <f>INDEX(ovrTable25,MATCH(INDEX('Structured 2025'!teamCol,ROW()),ovrTeamCol25,0),MATCH(MID(INDEX('Structured 2025'!headerRow,1,COLUMN()),4,LEN(INDEX('Structured 2025'!headerRow,1,COLUMN()))),ovrHeaderRow25,0))</f>
        <v>27.3</v>
      </c>
      <c r="AN120" s="12">
        <f>INDEX(ovrTable25,MATCH(INDEX('Structured 2025'!teamCol,ROW()),ovrTeamCol25,0),MATCH(MID(INDEX('Structured 2025'!headerRow,1,COLUMN()),4,LEN(INDEX('Structured 2025'!headerRow,1,COLUMN()))),ovrHeaderRow25,0))</f>
        <v>1.7</v>
      </c>
      <c r="AO120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AP120" s="12">
        <f>INDEX(ovrTable25,MATCH(INDEX('Structured 2025'!teamCol,ROW()),ovrTeamCol25,0),MATCH(MID(INDEX('Structured 2025'!headerRow,1,COLUMN()),4,LEN(INDEX('Structured 2025'!headerRow,1,COLUMN()))),ovrHeaderRow25,0))</f>
        <v>19.95</v>
      </c>
      <c r="AQ120" s="12">
        <f>INDEX(ovrTable25,MATCH(INDEX('Structured 2025'!teamCol,ROW()),ovrTeamCol25,0),MATCH(MID(INDEX('Structured 2025'!headerRow,1,COLUMN()),4,LEN(INDEX('Structured 2025'!headerRow,1,COLUMN()))),ovrHeaderRow25,0))</f>
        <v>3.1</v>
      </c>
      <c r="AR120" s="12">
        <f>INDEX(ovrTable25,MATCH(INDEX('Structured 2025'!teamCol,ROW()),ovrTeamCol25,0),MATCH(MID(INDEX('Structured 2025'!headerRow,1,COLUMN()),4,LEN(INDEX('Structured 2025'!headerRow,1,COLUMN()))),ovrHeaderRow25,0))</f>
        <v>42.6</v>
      </c>
      <c r="AS120" s="12">
        <f>INDEX(ovrTable25,MATCH(INDEX('Structured 2025'!teamCol,ROW()),ovrTeamCol25,0),MATCH(MID(INDEX('Structured 2025'!headerRow,1,COLUMN()),4,LEN(INDEX('Structured 2025'!headerRow,1,COLUMN()))),ovrHeaderRow25,0))</f>
        <v>25.22</v>
      </c>
      <c r="AT120" s="12">
        <f>INDEX(ovrTable25,MATCH(INDEX('Structured 2025'!teamCol,ROW()),ovrTeamCol25,0),MATCH(MID(INDEX('Structured 2025'!headerRow,1,COLUMN()),4,LEN(INDEX('Structured 2025'!headerRow,1,COLUMN()))),ovrHeaderRow25,0))</f>
        <v>0.54700000000000004</v>
      </c>
      <c r="AU120" s="12">
        <f>INDEX(ovrTable25,MATCH(INDEX('Structured 2025'!teamCol,ROW()),ovrTeamCol25,0),MATCH(MID(INDEX('Structured 2025'!headerRow,1,COLUMN()),4,LEN(INDEX('Structured 2025'!headerRow,1,COLUMN()))),ovrHeaderRow25,0))</f>
        <v>10.16</v>
      </c>
      <c r="AV120" s="12">
        <f>INDEX(ovrTable25,MATCH(INDEX('Structured 2025'!teamCol,ROW()),ovrTeamCol25,0),MATCH(MID(INDEX('Structured 2025'!headerRow,1,COLUMN()),4,LEN(INDEX('Structured 2025'!headerRow,1,COLUMN()))),ovrHeaderRow25,0))</f>
        <v>46.6</v>
      </c>
      <c r="AW120" s="12">
        <f>INDEX(ovrTable25,MATCH(INDEX('Structured 2025'!teamCol,ROW()),ovrTeamCol25,0),MATCH(MID(INDEX('Structured 2025'!headerRow,1,COLUMN()),4,LEN(INDEX('Structured 2025'!headerRow,1,COLUMN()))),ovrHeaderRow25,0))</f>
        <v>15.7</v>
      </c>
      <c r="AX120" s="12">
        <f>INDEX(ovrTable25,MATCH(INDEX('Structured 2025'!teamCol,ROW()),ovrTeamCol25,0),MATCH(MID(INDEX('Structured 2025'!headerRow,1,COLUMN()),4,LEN(INDEX('Structured 2025'!headerRow,1,COLUMN()))),ovrHeaderRow25,0))</f>
        <v>76</v>
      </c>
      <c r="AY120" s="12">
        <f>INDEX(ovrTable25,MATCH(INDEX('Structured 2025'!teamCol,ROW()),ovrTeamCol25,0),MATCH(MID(INDEX('Structured 2025'!headerRow,1,COLUMN()),4,LEN(INDEX('Structured 2025'!headerRow,1,COLUMN()))),ovrHeaderRow25,0))</f>
        <v>17.899999999999999</v>
      </c>
      <c r="AZ120" s="12">
        <f>INDEX(ovrTable25,MATCH(INDEX('Structured 2025'!teamCol,ROW()),ovrTeamCol25,0),MATCH(MID(INDEX('Structured 2025'!headerRow,1,COLUMN()),4,LEN(INDEX('Structured 2025'!headerRow,1,COLUMN()))),ovrHeaderRow25,0))</f>
        <v>13.6</v>
      </c>
      <c r="BA120" s="12">
        <f>INDEX(ovrTable25,MATCH(INDEX('Structured 2025'!teamCol,ROW()),ovrTeamCol25,0),MATCH(MID(INDEX('Structured 2025'!headerRow,1,COLUMN()),4,LEN(INDEX('Structured 2025'!headerRow,1,COLUMN()))),ovrHeaderRow25,0))</f>
        <v>68.5</v>
      </c>
      <c r="BB120" s="12">
        <f>INDEX(ovrTable25,MATCH(INDEX('Structured 2025'!teamCol,ROW()),ovrTeamCol25,0),MATCH(MID(INDEX('Structured 2025'!headerRow,1,COLUMN()),4,LEN(INDEX('Structured 2025'!headerRow,1,COLUMN()))),ovrHeaderRow25,0))</f>
        <v>11.84</v>
      </c>
      <c r="BC120" s="12">
        <f>INDEX(ovrTable25,MATCH(INDEX('Structured 2025'!teamCol,ROW()),ovrTeamCol25,0),MATCH(MID(INDEX('Structured 2025'!headerRow,1,COLUMN()),4,LEN(INDEX('Structured 2025'!headerRow,1,COLUMN()))),ovrHeaderRow25,0))</f>
        <v>80.900000000000006</v>
      </c>
      <c r="BD120" s="12">
        <f>INDEX(ovrTable25,MATCH(INDEX('Structured 2025'!teamCol,ROW()),ovrTeamCol25,0),MATCH(MID(INDEX('Structured 2025'!headerRow,1,COLUMN()),4,LEN(INDEX('Structured 2025'!headerRow,1,COLUMN()))),ovrHeaderRow25,0))</f>
        <v>4.3</v>
      </c>
      <c r="BE120" s="12">
        <f>INDEX(ovrTable25,MATCH(INDEX('Structured 2025'!teamCol,ROW()),ovrTeamCol25,0),MATCH(MID(INDEX('Structured 2025'!headerRow,1,COLUMN()),4,LEN(INDEX('Structured 2025'!headerRow,1,COLUMN()))),ovrHeaderRow25,0))</f>
        <v>37.049999999999997</v>
      </c>
      <c r="BF120" s="12">
        <f>INDEX(ovrTable25,MATCH(INDEX('Structured 2025'!teamCol,ROW()),ovrTeamCol25,0),MATCH(MID(INDEX('Structured 2025'!headerRow,1,COLUMN()),4,LEN(INDEX('Structured 2025'!headerRow,1,COLUMN()))),ovrHeaderRow25,0))</f>
        <v>12.4</v>
      </c>
      <c r="BG120" s="12">
        <f>INDEX(ovrTable25,MATCH(INDEX('Structured 2025'!teamCol,ROW()),ovrTeamCol25,0),MATCH(MID(INDEX('Structured 2025'!headerRow,1,COLUMN()),4,LEN(INDEX('Structured 2025'!headerRow,1,COLUMN()))),ovrHeaderRow25,0))</f>
        <v>6.3</v>
      </c>
      <c r="BH120" s="12">
        <f>INDEX(ovrTable25,MATCH(INDEX('Structured 2025'!teamCol,ROW()),ovrTeamCol25,0),MATCH(MID(INDEX('Structured 2025'!headerRow,1,COLUMN()),4,LEN(INDEX('Structured 2025'!headerRow,1,COLUMN()))),ovrHeaderRow25,0))</f>
        <v>1.9</v>
      </c>
      <c r="BI120" s="12">
        <f>INDEX(ovrTable25,MATCH(INDEX('Structured 2025'!teamCol,ROW()),ovrTeamCol25,0),MATCH(MID(INDEX('Structured 2025'!headerRow,1,COLUMN()),4,LEN(INDEX('Structured 2025'!headerRow,1,COLUMN()))),ovrHeaderRow25,0))</f>
        <v>11.54</v>
      </c>
      <c r="BJ120" s="12">
        <f>INDEX(ovrTable25,MATCH(INDEX('Structured 2025'!teamCol,ROW()),ovrTeamCol25,0),MATCH(MID(INDEX('Structured 2025'!headerRow,1,COLUMN()),4,LEN(INDEX('Structured 2025'!headerRow,1,COLUMN()))),ovrHeaderRow25,0))</f>
        <v>9.6</v>
      </c>
      <c r="BK120" s="12">
        <f>INDEX(ovrTable25,MATCH(INDEX('Structured 2025'!teamCol,ROW()),ovrTeamCol25,0),MATCH(MID(INDEX('Structured 2025'!headerRow,1,COLUMN()),4,LEN(INDEX('Structured 2025'!headerRow,1,COLUMN()))),ovrHeaderRow25,0))</f>
        <v>66.099999999999994</v>
      </c>
      <c r="BL120" s="12">
        <f>INDEX(ovrTable25,MATCH(INDEX('Structured 2025'!teamCol,ROW()),ovrTeamCol25,0),MATCH(MID(INDEX('Structured 2025'!headerRow,1,COLUMN()),4,LEN(INDEX('Structured 2025'!headerRow,1,COLUMN()))),ovrHeaderRow25,0))</f>
        <v>18.650000000000006</v>
      </c>
      <c r="BM120" s="12">
        <f>INDEX(ovrTable25,MATCH(INDEX('Structured 2025'!teamCol,ROW()),ovrTeamCol25,0),MATCH(MID(INDEX('Structured 2025'!headerRow,1,COLUMN()),4,LEN(INDEX('Structured 2025'!headerRow,1,COLUMN()))),ovrHeaderRow25,0))</f>
        <v>61.480686695278976</v>
      </c>
      <c r="BN120" s="12">
        <f>INDEX(ovrTable25,MATCH(INDEX(oppCol,ROW()),ovrTeamCol25,0),MATCH(MID(INDEX('Structured 2025'!headerRow,1,COLUMN()),4,LEN(INDEX('Structured 2025'!headerRow,1,COLUMN()))),ovrHeaderRow25,0))</f>
        <v>31.4</v>
      </c>
      <c r="BO120" s="12">
        <f>INDEX(ovrTable25,MATCH(INDEX(oppCol,ROW()),ovrTeamCol25,0),MATCH(MID(INDEX('Structured 2025'!headerRow,1,COLUMN()),4,LEN(INDEX('Structured 2025'!headerRow,1,COLUMN()))),ovrHeaderRow25,0))</f>
        <v>7</v>
      </c>
      <c r="BP120" s="12">
        <f>INDEX(ovrTable25,MATCH(INDEX(oppCol,ROW()),ovrTeamCol25,0),MATCH(MID(INDEX('Structured 2025'!headerRow,1,COLUMN()),4,LEN(INDEX('Structured 2025'!headerRow,1,COLUMN()))),ovrHeaderRow25,0))</f>
        <v>32.700000000000003</v>
      </c>
      <c r="BQ120" s="12">
        <f>INDEX(ovrTable25,MATCH(INDEX(oppCol,ROW()),ovrTeamCol25,0),MATCH(MID(INDEX('Structured 2025'!headerRow,1,COLUMN()),4,LEN(INDEX('Structured 2025'!headerRow,1,COLUMN()))),ovrHeaderRow25,0))</f>
        <v>21.5</v>
      </c>
      <c r="BR120" s="12">
        <f>INDEX(ovrTable25,MATCH(INDEX(oppCol,ROW()),ovrTeamCol25,0),MATCH(MID(INDEX('Structured 2025'!headerRow,1,COLUMN()),4,LEN(INDEX('Structured 2025'!headerRow,1,COLUMN()))),ovrHeaderRow25,0))</f>
        <v>1.23</v>
      </c>
      <c r="BS120" s="12">
        <f>INDEX(ovrTable25,MATCH(INDEX(oppCol,ROW()),ovrTeamCol25,0),MATCH(MID(INDEX('Structured 2025'!headerRow,1,COLUMN()),4,LEN(INDEX('Structured 2025'!headerRow,1,COLUMN()))),ovrHeaderRow25,0))</f>
        <v>14.2</v>
      </c>
      <c r="BT120" s="12">
        <f>INDEX(ovrTable25,MATCH(INDEX(oppCol,ROW()),ovrTeamCol25,0),MATCH(MID(INDEX('Structured 2025'!headerRow,1,COLUMN()),4,LEN(INDEX('Structured 2025'!headerRow,1,COLUMN()))),ovrHeaderRow25,0))</f>
        <v>16.670000000000002</v>
      </c>
      <c r="BU120" s="12">
        <f>INDEX(ovrTable25,MATCH(INDEX(oppCol,ROW()),ovrTeamCol25,0),MATCH(MID(INDEX('Structured 2025'!headerRow,1,COLUMN()),4,LEN(INDEX('Structured 2025'!headerRow,1,COLUMN()))),ovrHeaderRow25,0))</f>
        <v>5.6</v>
      </c>
      <c r="BV120" s="12">
        <f>INDEX(ovrTable25,MATCH(INDEX(oppCol,ROW()),ovrTeamCol25,0),MATCH(MID(INDEX('Structured 2025'!headerRow,1,COLUMN()),4,LEN(INDEX('Structured 2025'!headerRow,1,COLUMN()))),ovrHeaderRow25,0))</f>
        <v>41.5</v>
      </c>
      <c r="BW120" s="12">
        <f>INDEX(ovrTable25,MATCH(INDEX(oppCol,ROW()),ovrTeamCol25,0),MATCH(MID(INDEX('Structured 2025'!headerRow,1,COLUMN()),4,LEN(INDEX('Structured 2025'!headerRow,1,COLUMN()))),ovrHeaderRow25,0))</f>
        <v>26.11</v>
      </c>
      <c r="BX120" s="12">
        <f>INDEX(ovrTable25,MATCH(INDEX(oppCol,ROW()),ovrTeamCol25,0),MATCH(MID(INDEX('Structured 2025'!headerRow,1,COLUMN()),4,LEN(INDEX('Structured 2025'!headerRow,1,COLUMN()))),ovrHeaderRow25,0))</f>
        <v>0.52200000000000002</v>
      </c>
      <c r="BY120" s="12">
        <f>INDEX(ovrTable25,MATCH(INDEX(oppCol,ROW()),ovrTeamCol25,0),MATCH(MID(INDEX('Structured 2025'!headerRow,1,COLUMN()),4,LEN(INDEX('Structured 2025'!headerRow,1,COLUMN()))),ovrHeaderRow25,0))</f>
        <v>12.22</v>
      </c>
      <c r="BZ120" s="12">
        <f>INDEX(ovrTable25,MATCH(INDEX(oppCol,ROW()),ovrTeamCol25,0),MATCH(MID(INDEX('Structured 2025'!headerRow,1,COLUMN()),4,LEN(INDEX('Structured 2025'!headerRow,1,COLUMN()))),ovrHeaderRow25,0))</f>
        <v>46.2</v>
      </c>
      <c r="CA120" s="12">
        <f>INDEX(ovrTable25,MATCH(INDEX(oppCol,ROW()),ovrTeamCol25,0),MATCH(MID(INDEX('Structured 2025'!headerRow,1,COLUMN()),4,LEN(INDEX('Structured 2025'!headerRow,1,COLUMN()))),ovrHeaderRow25,0))</f>
        <v>16.2</v>
      </c>
      <c r="CB120" s="12">
        <f>INDEX(ovrTable25,MATCH(INDEX(oppCol,ROW()),ovrTeamCol25,0),MATCH(MID(INDEX('Structured 2025'!headerRow,1,COLUMN()),4,LEN(INDEX('Structured 2025'!headerRow,1,COLUMN()))),ovrHeaderRow25,0))</f>
        <v>73.900000000000006</v>
      </c>
      <c r="CC120" s="12">
        <f>INDEX(ovrTable25,MATCH(INDEX(oppCol,ROW()),ovrTeamCol25,0),MATCH(MID(INDEX('Structured 2025'!headerRow,1,COLUMN()),4,LEN(INDEX('Structured 2025'!headerRow,1,COLUMN()))),ovrHeaderRow25,0))</f>
        <v>20.9</v>
      </c>
      <c r="CD120" s="12">
        <f>INDEX(ovrTable25,MATCH(INDEX(oppCol,ROW()),ovrTeamCol25,0),MATCH(MID(INDEX('Structured 2025'!headerRow,1,COLUMN()),4,LEN(INDEX('Structured 2025'!headerRow,1,COLUMN()))),ovrHeaderRow25,0))</f>
        <v>15.4</v>
      </c>
      <c r="CE120" s="12">
        <f>INDEX(ovrTable25,MATCH(INDEX(oppCol,ROW()),ovrTeamCol25,0),MATCH(MID(INDEX('Structured 2025'!headerRow,1,COLUMN()),4,LEN(INDEX('Structured 2025'!headerRow,1,COLUMN()))),ovrHeaderRow25,0))</f>
        <v>71.400000000000006</v>
      </c>
      <c r="CF120" s="12">
        <f>INDEX(ovrTable25,MATCH(INDEX(oppCol,ROW()),ovrTeamCol25,0),MATCH(MID(INDEX('Structured 2025'!headerRow,1,COLUMN()),4,LEN(INDEX('Structured 2025'!headerRow,1,COLUMN()))),ovrHeaderRow25,0))</f>
        <v>9.5299999999999994</v>
      </c>
      <c r="CG120" s="12">
        <f>INDEX(ovrTable25,MATCH(INDEX(oppCol,ROW()),ovrTeamCol25,0),MATCH(MID(INDEX('Structured 2025'!headerRow,1,COLUMN()),4,LEN(INDEX('Structured 2025'!headerRow,1,COLUMN()))),ovrHeaderRow25,0))</f>
        <v>76.8</v>
      </c>
      <c r="CH120" s="12">
        <f>INDEX(ovrTable25,MATCH(INDEX(oppCol,ROW()),ovrTeamCol25,0),MATCH(MID(INDEX('Structured 2025'!headerRow,1,COLUMN()),4,LEN(INDEX('Structured 2025'!headerRow,1,COLUMN()))),ovrHeaderRow25,0))</f>
        <v>0.1</v>
      </c>
      <c r="CI120" s="12">
        <f>INDEX(ovrTable25,MATCH(INDEX(oppCol,ROW()),ovrTeamCol25,0),MATCH(MID(INDEX('Structured 2025'!headerRow,1,COLUMN()),4,LEN(INDEX('Structured 2025'!headerRow,1,COLUMN()))),ovrHeaderRow25,0))</f>
        <v>35.64</v>
      </c>
      <c r="CJ120" s="12">
        <f>INDEX(ovrTable25,MATCH(INDEX(oppCol,ROW()),ovrTeamCol25,0),MATCH(MID(INDEX('Structured 2025'!headerRow,1,COLUMN()),4,LEN(INDEX('Structured 2025'!headerRow,1,COLUMN()))),ovrHeaderRow25,0))</f>
        <v>5.4</v>
      </c>
      <c r="CK120" s="12">
        <f>INDEX(ovrTable25,MATCH(INDEX(oppCol,ROW()),ovrTeamCol25,0),MATCH(MID(INDEX('Structured 2025'!headerRow,1,COLUMN()),4,LEN(INDEX('Structured 2025'!headerRow,1,COLUMN()))),ovrHeaderRow25,0))</f>
        <v>7.5</v>
      </c>
      <c r="CL120" s="12">
        <f>INDEX(ovrTable25,MATCH(INDEX(oppCol,ROW()),ovrTeamCol25,0),MATCH(MID(INDEX('Structured 2025'!headerRow,1,COLUMN()),4,LEN(INDEX('Structured 2025'!headerRow,1,COLUMN()))),ovrHeaderRow25,0))</f>
        <v>0.7</v>
      </c>
      <c r="CM120" s="12">
        <f>INDEX(ovrTable25,MATCH(INDEX(oppCol,ROW()),ovrTeamCol25,0),MATCH(MID(INDEX('Structured 2025'!headerRow,1,COLUMN()),4,LEN(INDEX('Structured 2025'!headerRow,1,COLUMN()))),ovrHeaderRow25,0))</f>
        <v>12.19</v>
      </c>
      <c r="CN120" s="12">
        <f>INDEX(ovrTable25,MATCH(INDEX(oppCol,ROW()),ovrTeamCol25,0),MATCH(MID(INDEX('Structured 2025'!headerRow,1,COLUMN()),4,LEN(INDEX('Structured 2025'!headerRow,1,COLUMN()))),ovrHeaderRow25,0))</f>
        <v>11.5</v>
      </c>
      <c r="CO120" s="12">
        <f>INDEX(ovrTable25,MATCH(INDEX(oppCol,ROW()),ovrTeamCol25,0),MATCH(MID(INDEX('Structured 2025'!headerRow,1,COLUMN()),4,LEN(INDEX('Structured 2025'!headerRow,1,COLUMN()))),ovrHeaderRow25,0))</f>
        <v>69.400000000000006</v>
      </c>
      <c r="CP120" s="12">
        <f>INDEX(ovrTable25,MATCH(INDEX(oppCol,ROW()),ovrTeamCol25,0),MATCH(MID(INDEX('Structured 2025'!headerRow,1,COLUMN()),4,LEN(INDEX('Structured 2025'!headerRow,1,COLUMN()))),ovrHeaderRow25,0))</f>
        <v>20.2</v>
      </c>
      <c r="CQ120" s="12">
        <f>INDEX(ovrTable25,MATCH(INDEX(oppCol,ROW()),ovrTeamCol25,0),MATCH(MID(INDEX('Structured 2025'!headerRow,1,COLUMN()),4,LEN(INDEX('Structured 2025'!headerRow,1,COLUMN()))),ovrHeaderRow25,0))</f>
        <v>58.874458874458874</v>
      </c>
    </row>
    <row r="121" spans="1:95" x14ac:dyDescent="0.3">
      <c r="A121" s="6" t="s">
        <v>351</v>
      </c>
      <c r="B121" s="3">
        <v>10</v>
      </c>
      <c r="C121" s="13" t="str">
        <f>A120</f>
        <v>TTU</v>
      </c>
      <c r="D121" s="14">
        <f t="shared" si="111"/>
        <v>60</v>
      </c>
      <c r="E121" s="23">
        <v>0.25</v>
      </c>
      <c r="F121" s="24">
        <v>41.53846153846154</v>
      </c>
      <c r="G121" s="24">
        <v>10</v>
      </c>
      <c r="H121" s="23">
        <v>40</v>
      </c>
      <c r="I121" s="24">
        <v>25</v>
      </c>
      <c r="J121" s="25">
        <v>1</v>
      </c>
      <c r="K121" s="24">
        <v>19</v>
      </c>
      <c r="L121" s="24">
        <v>22</v>
      </c>
      <c r="M121" s="24">
        <v>11</v>
      </c>
      <c r="N121" s="24">
        <v>28</v>
      </c>
      <c r="O121" s="24">
        <v>10</v>
      </c>
      <c r="P121" s="24">
        <v>4</v>
      </c>
      <c r="Q121" s="24">
        <v>3</v>
      </c>
      <c r="R121" s="24">
        <v>10</v>
      </c>
      <c r="S121" s="24">
        <v>1</v>
      </c>
      <c r="T121" s="24">
        <v>13</v>
      </c>
      <c r="U121" s="24">
        <v>3</v>
      </c>
      <c r="V121" s="24">
        <v>0.40963855421686746</v>
      </c>
      <c r="W121" s="26">
        <v>0.49230769230769234</v>
      </c>
      <c r="X121" s="23">
        <v>86.36363636363636</v>
      </c>
      <c r="Y121" s="24">
        <v>85</v>
      </c>
      <c r="Z121" s="24">
        <v>83</v>
      </c>
      <c r="AA121" s="24">
        <v>-12</v>
      </c>
      <c r="AB121" s="24">
        <v>39</v>
      </c>
      <c r="AC121" s="24">
        <v>-2</v>
      </c>
      <c r="AD121" s="24">
        <v>-2</v>
      </c>
      <c r="AE121" s="24">
        <v>8</v>
      </c>
      <c r="AF121" s="34">
        <f t="shared" si="105"/>
        <v>17</v>
      </c>
      <c r="AG121" s="34">
        <f t="shared" si="106"/>
        <v>40</v>
      </c>
      <c r="AH121" s="46">
        <f t="shared" si="107"/>
        <v>74.45</v>
      </c>
      <c r="AI121" s="51">
        <f t="shared" ref="AI121" si="132">AVERAGE(AH120,AH121)</f>
        <v>74.337500000000006</v>
      </c>
      <c r="AJ121" s="12">
        <f>INDEX(ovrTable25,MATCH(INDEX('Structured 2025'!teamCol,ROW()),ovrTeamCol25,0),MATCH(MID(INDEX('Structured 2025'!headerRow,1,COLUMN()),4,LEN(INDEX('Structured 2025'!headerRow,1,COLUMN()))),ovrHeaderRow25,0))</f>
        <v>31.4</v>
      </c>
      <c r="AK121" s="12">
        <f>INDEX(ovrTable25,MATCH(INDEX('Structured 2025'!teamCol,ROW()),ovrTeamCol25,0),MATCH(MID(INDEX('Structured 2025'!headerRow,1,COLUMN()),4,LEN(INDEX('Structured 2025'!headerRow,1,COLUMN()))),ovrHeaderRow25,0))</f>
        <v>7</v>
      </c>
      <c r="AL121" s="12">
        <f>INDEX(ovrTable25,MATCH(INDEX('Structured 2025'!teamCol,ROW()),ovrTeamCol25,0),MATCH(MID(INDEX('Structured 2025'!headerRow,1,COLUMN()),4,LEN(INDEX('Structured 2025'!headerRow,1,COLUMN()))),ovrHeaderRow25,0))</f>
        <v>32.700000000000003</v>
      </c>
      <c r="AM121" s="12">
        <f>INDEX(ovrTable25,MATCH(INDEX('Structured 2025'!teamCol,ROW()),ovrTeamCol25,0),MATCH(MID(INDEX('Structured 2025'!headerRow,1,COLUMN()),4,LEN(INDEX('Structured 2025'!headerRow,1,COLUMN()))),ovrHeaderRow25,0))</f>
        <v>21.5</v>
      </c>
      <c r="AN121" s="12">
        <f>INDEX(ovrTable25,MATCH(INDEX('Structured 2025'!teamCol,ROW()),ovrTeamCol25,0),MATCH(MID(INDEX('Structured 2025'!headerRow,1,COLUMN()),4,LEN(INDEX('Structured 2025'!headerRow,1,COLUMN()))),ovrHeaderRow25,0))</f>
        <v>1.23</v>
      </c>
      <c r="AO121" s="12">
        <f>INDEX(ovrTable25,MATCH(INDEX('Structured 2025'!teamCol,ROW()),ovrTeamCol25,0),MATCH(MID(INDEX('Structured 2025'!headerRow,1,COLUMN()),4,LEN(INDEX('Structured 2025'!headerRow,1,COLUMN()))),ovrHeaderRow25,0))</f>
        <v>14.2</v>
      </c>
      <c r="AP121" s="12">
        <f>INDEX(ovrTable25,MATCH(INDEX('Structured 2025'!teamCol,ROW()),ovrTeamCol25,0),MATCH(MID(INDEX('Structured 2025'!headerRow,1,COLUMN()),4,LEN(INDEX('Structured 2025'!headerRow,1,COLUMN()))),ovrHeaderRow25,0))</f>
        <v>16.670000000000002</v>
      </c>
      <c r="AQ121" s="12">
        <f>INDEX(ovrTable25,MATCH(INDEX('Structured 2025'!teamCol,ROW()),ovrTeamCol25,0),MATCH(MID(INDEX('Structured 2025'!headerRow,1,COLUMN()),4,LEN(INDEX('Structured 2025'!headerRow,1,COLUMN()))),ovrHeaderRow25,0))</f>
        <v>5.6</v>
      </c>
      <c r="AR121" s="12">
        <f>INDEX(ovrTable25,MATCH(INDEX('Structured 2025'!teamCol,ROW()),ovrTeamCol25,0),MATCH(MID(INDEX('Structured 2025'!headerRow,1,COLUMN()),4,LEN(INDEX('Structured 2025'!headerRow,1,COLUMN()))),ovrHeaderRow25,0))</f>
        <v>41.5</v>
      </c>
      <c r="AS121" s="12">
        <f>INDEX(ovrTable25,MATCH(INDEX('Structured 2025'!teamCol,ROW()),ovrTeamCol25,0),MATCH(MID(INDEX('Structured 2025'!headerRow,1,COLUMN()),4,LEN(INDEX('Structured 2025'!headerRow,1,COLUMN()))),ovrHeaderRow25,0))</f>
        <v>26.11</v>
      </c>
      <c r="AT121" s="12">
        <f>INDEX(ovrTable25,MATCH(INDEX('Structured 2025'!teamCol,ROW()),ovrTeamCol25,0),MATCH(MID(INDEX('Structured 2025'!headerRow,1,COLUMN()),4,LEN(INDEX('Structured 2025'!headerRow,1,COLUMN()))),ovrHeaderRow25,0))</f>
        <v>0.52200000000000002</v>
      </c>
      <c r="AU121" s="12">
        <f>INDEX(ovrTable25,MATCH(INDEX('Structured 2025'!teamCol,ROW()),ovrTeamCol25,0),MATCH(MID(INDEX('Structured 2025'!headerRow,1,COLUMN()),4,LEN(INDEX('Structured 2025'!headerRow,1,COLUMN()))),ovrHeaderRow25,0))</f>
        <v>12.22</v>
      </c>
      <c r="AV121" s="12">
        <f>INDEX(ovrTable25,MATCH(INDEX('Structured 2025'!teamCol,ROW()),ovrTeamCol25,0),MATCH(MID(INDEX('Structured 2025'!headerRow,1,COLUMN()),4,LEN(INDEX('Structured 2025'!headerRow,1,COLUMN()))),ovrHeaderRow25,0))</f>
        <v>46.2</v>
      </c>
      <c r="AW121" s="12">
        <f>INDEX(ovrTable25,MATCH(INDEX('Structured 2025'!teamCol,ROW()),ovrTeamCol25,0),MATCH(MID(INDEX('Structured 2025'!headerRow,1,COLUMN()),4,LEN(INDEX('Structured 2025'!headerRow,1,COLUMN()))),ovrHeaderRow25,0))</f>
        <v>16.2</v>
      </c>
      <c r="AX121" s="12">
        <f>INDEX(ovrTable25,MATCH(INDEX('Structured 2025'!teamCol,ROW()),ovrTeamCol25,0),MATCH(MID(INDEX('Structured 2025'!headerRow,1,COLUMN()),4,LEN(INDEX('Structured 2025'!headerRow,1,COLUMN()))),ovrHeaderRow25,0))</f>
        <v>73.900000000000006</v>
      </c>
      <c r="AY121" s="12">
        <f>INDEX(ovrTable25,MATCH(INDEX('Structured 2025'!teamCol,ROW()),ovrTeamCol25,0),MATCH(MID(INDEX('Structured 2025'!headerRow,1,COLUMN()),4,LEN(INDEX('Structured 2025'!headerRow,1,COLUMN()))),ovrHeaderRow25,0))</f>
        <v>20.9</v>
      </c>
      <c r="AZ121" s="12">
        <f>INDEX(ovrTable25,MATCH(INDEX('Structured 2025'!teamCol,ROW()),ovrTeamCol25,0),MATCH(MID(INDEX('Structured 2025'!headerRow,1,COLUMN()),4,LEN(INDEX('Structured 2025'!headerRow,1,COLUMN()))),ovrHeaderRow25,0))</f>
        <v>15.4</v>
      </c>
      <c r="BA121" s="12">
        <f>INDEX(ovrTable25,MATCH(INDEX('Structured 2025'!teamCol,ROW()),ovrTeamCol25,0),MATCH(MID(INDEX('Structured 2025'!headerRow,1,COLUMN()),4,LEN(INDEX('Structured 2025'!headerRow,1,COLUMN()))),ovrHeaderRow25,0))</f>
        <v>71.400000000000006</v>
      </c>
      <c r="BB121" s="12">
        <f>INDEX(ovrTable25,MATCH(INDEX('Structured 2025'!teamCol,ROW()),ovrTeamCol25,0),MATCH(MID(INDEX('Structured 2025'!headerRow,1,COLUMN()),4,LEN(INDEX('Structured 2025'!headerRow,1,COLUMN()))),ovrHeaderRow25,0))</f>
        <v>9.5299999999999994</v>
      </c>
      <c r="BC121" s="12">
        <f>INDEX(ovrTable25,MATCH(INDEX('Structured 2025'!teamCol,ROW()),ovrTeamCol25,0),MATCH(MID(INDEX('Structured 2025'!headerRow,1,COLUMN()),4,LEN(INDEX('Structured 2025'!headerRow,1,COLUMN()))),ovrHeaderRow25,0))</f>
        <v>76.8</v>
      </c>
      <c r="BD121" s="12">
        <f>INDEX(ovrTable25,MATCH(INDEX('Structured 2025'!teamCol,ROW()),ovrTeamCol25,0),MATCH(MID(INDEX('Structured 2025'!headerRow,1,COLUMN()),4,LEN(INDEX('Structured 2025'!headerRow,1,COLUMN()))),ovrHeaderRow25,0))</f>
        <v>0.1</v>
      </c>
      <c r="BE121" s="12">
        <f>INDEX(ovrTable25,MATCH(INDEX('Structured 2025'!teamCol,ROW()),ovrTeamCol25,0),MATCH(MID(INDEX('Structured 2025'!headerRow,1,COLUMN()),4,LEN(INDEX('Structured 2025'!headerRow,1,COLUMN()))),ovrHeaderRow25,0))</f>
        <v>35.64</v>
      </c>
      <c r="BF121" s="12">
        <f>INDEX(ovrTable25,MATCH(INDEX('Structured 2025'!teamCol,ROW()),ovrTeamCol25,0),MATCH(MID(INDEX('Structured 2025'!headerRow,1,COLUMN()),4,LEN(INDEX('Structured 2025'!headerRow,1,COLUMN()))),ovrHeaderRow25,0))</f>
        <v>5.4</v>
      </c>
      <c r="BG121" s="12">
        <f>INDEX(ovrTable25,MATCH(INDEX('Structured 2025'!teamCol,ROW()),ovrTeamCol25,0),MATCH(MID(INDEX('Structured 2025'!headerRow,1,COLUMN()),4,LEN(INDEX('Structured 2025'!headerRow,1,COLUMN()))),ovrHeaderRow25,0))</f>
        <v>7.5</v>
      </c>
      <c r="BH121" s="12">
        <f>INDEX(ovrTable25,MATCH(INDEX('Structured 2025'!teamCol,ROW()),ovrTeamCol25,0),MATCH(MID(INDEX('Structured 2025'!headerRow,1,COLUMN()),4,LEN(INDEX('Structured 2025'!headerRow,1,COLUMN()))),ovrHeaderRow25,0))</f>
        <v>0.7</v>
      </c>
      <c r="BI121" s="12">
        <f>INDEX(ovrTable25,MATCH(INDEX('Structured 2025'!teamCol,ROW()),ovrTeamCol25,0),MATCH(MID(INDEX('Structured 2025'!headerRow,1,COLUMN()),4,LEN(INDEX('Structured 2025'!headerRow,1,COLUMN()))),ovrHeaderRow25,0))</f>
        <v>12.19</v>
      </c>
      <c r="BJ121" s="12">
        <f>INDEX(ovrTable25,MATCH(INDEX('Structured 2025'!teamCol,ROW()),ovrTeamCol25,0),MATCH(MID(INDEX('Structured 2025'!headerRow,1,COLUMN()),4,LEN(INDEX('Structured 2025'!headerRow,1,COLUMN()))),ovrHeaderRow25,0))</f>
        <v>11.5</v>
      </c>
      <c r="BK121" s="12">
        <f>INDEX(ovrTable25,MATCH(INDEX('Structured 2025'!teamCol,ROW()),ovrTeamCol25,0),MATCH(MID(INDEX('Structured 2025'!headerRow,1,COLUMN()),4,LEN(INDEX('Structured 2025'!headerRow,1,COLUMN()))),ovrHeaderRow25,0))</f>
        <v>69.400000000000006</v>
      </c>
      <c r="BL121" s="12">
        <f>INDEX(ovrTable25,MATCH(INDEX('Structured 2025'!teamCol,ROW()),ovrTeamCol25,0),MATCH(MID(INDEX('Structured 2025'!headerRow,1,COLUMN()),4,LEN(INDEX('Structured 2025'!headerRow,1,COLUMN()))),ovrHeaderRow25,0))</f>
        <v>20.2</v>
      </c>
      <c r="BM121" s="12">
        <f>INDEX(ovrTable25,MATCH(INDEX('Structured 2025'!teamCol,ROW()),ovrTeamCol25,0),MATCH(MID(INDEX('Structured 2025'!headerRow,1,COLUMN()),4,LEN(INDEX('Structured 2025'!headerRow,1,COLUMN()))),ovrHeaderRow25,0))</f>
        <v>58.874458874458874</v>
      </c>
      <c r="BN121" s="12">
        <f>INDEX(ovrTable25,MATCH(INDEX(oppCol,ROW()),ovrTeamCol25,0),MATCH(MID(INDEX('Structured 2025'!headerRow,1,COLUMN()),4,LEN(INDEX('Structured 2025'!headerRow,1,COLUMN()))),ovrHeaderRow25,0))</f>
        <v>32.4</v>
      </c>
      <c r="BO121" s="12">
        <f>INDEX(ovrTable25,MATCH(INDEX(oppCol,ROW()),ovrTeamCol25,0),MATCH(MID(INDEX('Structured 2025'!headerRow,1,COLUMN()),4,LEN(INDEX('Structured 2025'!headerRow,1,COLUMN()))),ovrHeaderRow25,0))</f>
        <v>10</v>
      </c>
      <c r="BP121" s="12">
        <f>INDEX(ovrTable25,MATCH(INDEX(oppCol,ROW()),ovrTeamCol25,0),MATCH(MID(INDEX('Structured 2025'!headerRow,1,COLUMN()),4,LEN(INDEX('Structured 2025'!headerRow,1,COLUMN()))),ovrHeaderRow25,0))</f>
        <v>36.700000000000003</v>
      </c>
      <c r="BQ121" s="12">
        <f>INDEX(ovrTable25,MATCH(INDEX(oppCol,ROW()),ovrTeamCol25,0),MATCH(MID(INDEX('Structured 2025'!headerRow,1,COLUMN()),4,LEN(INDEX('Structured 2025'!headerRow,1,COLUMN()))),ovrHeaderRow25,0))</f>
        <v>27.3</v>
      </c>
      <c r="BR121" s="12">
        <f>INDEX(ovrTable25,MATCH(INDEX(oppCol,ROW()),ovrTeamCol25,0),MATCH(MID(INDEX('Structured 2025'!headerRow,1,COLUMN()),4,LEN(INDEX('Structured 2025'!headerRow,1,COLUMN()))),ovrHeaderRow25,0))</f>
        <v>1.7</v>
      </c>
      <c r="BS121" s="12">
        <f>INDEX(ovrTable25,MATCH(INDEX(oppCol,ROW()),ovrTeamCol25,0),MATCH(MID(INDEX('Structured 2025'!headerRow,1,COLUMN()),4,LEN(INDEX('Structured 2025'!headerRow,1,COLUMN()))),ovrHeaderRow25,0))</f>
        <v>16.399999999999999</v>
      </c>
      <c r="BT121" s="12">
        <f>INDEX(ovrTable25,MATCH(INDEX(oppCol,ROW()),ovrTeamCol25,0),MATCH(MID(INDEX('Structured 2025'!headerRow,1,COLUMN()),4,LEN(INDEX('Structured 2025'!headerRow,1,COLUMN()))),ovrHeaderRow25,0))</f>
        <v>19.95</v>
      </c>
      <c r="BU121" s="12">
        <f>INDEX(ovrTable25,MATCH(INDEX(oppCol,ROW()),ovrTeamCol25,0),MATCH(MID(INDEX('Structured 2025'!headerRow,1,COLUMN()),4,LEN(INDEX('Structured 2025'!headerRow,1,COLUMN()))),ovrHeaderRow25,0))</f>
        <v>3.1</v>
      </c>
      <c r="BV121" s="12">
        <f>INDEX(ovrTable25,MATCH(INDEX(oppCol,ROW()),ovrTeamCol25,0),MATCH(MID(INDEX('Structured 2025'!headerRow,1,COLUMN()),4,LEN(INDEX('Structured 2025'!headerRow,1,COLUMN()))),ovrHeaderRow25,0))</f>
        <v>42.6</v>
      </c>
      <c r="BW121" s="12">
        <f>INDEX(ovrTable25,MATCH(INDEX(oppCol,ROW()),ovrTeamCol25,0),MATCH(MID(INDEX('Structured 2025'!headerRow,1,COLUMN()),4,LEN(INDEX('Structured 2025'!headerRow,1,COLUMN()))),ovrHeaderRow25,0))</f>
        <v>25.22</v>
      </c>
      <c r="BX121" s="12">
        <f>INDEX(ovrTable25,MATCH(INDEX(oppCol,ROW()),ovrTeamCol25,0),MATCH(MID(INDEX('Structured 2025'!headerRow,1,COLUMN()),4,LEN(INDEX('Structured 2025'!headerRow,1,COLUMN()))),ovrHeaderRow25,0))</f>
        <v>0.54700000000000004</v>
      </c>
      <c r="BY121" s="12">
        <f>INDEX(ovrTable25,MATCH(INDEX(oppCol,ROW()),ovrTeamCol25,0),MATCH(MID(INDEX('Structured 2025'!headerRow,1,COLUMN()),4,LEN(INDEX('Structured 2025'!headerRow,1,COLUMN()))),ovrHeaderRow25,0))</f>
        <v>10.16</v>
      </c>
      <c r="BZ121" s="12">
        <f>INDEX(ovrTable25,MATCH(INDEX(oppCol,ROW()),ovrTeamCol25,0),MATCH(MID(INDEX('Structured 2025'!headerRow,1,COLUMN()),4,LEN(INDEX('Structured 2025'!headerRow,1,COLUMN()))),ovrHeaderRow25,0))</f>
        <v>46.6</v>
      </c>
      <c r="CA121" s="12">
        <f>INDEX(ovrTable25,MATCH(INDEX(oppCol,ROW()),ovrTeamCol25,0),MATCH(MID(INDEX('Structured 2025'!headerRow,1,COLUMN()),4,LEN(INDEX('Structured 2025'!headerRow,1,COLUMN()))),ovrHeaderRow25,0))</f>
        <v>15.7</v>
      </c>
      <c r="CB121" s="12">
        <f>INDEX(ovrTable25,MATCH(INDEX(oppCol,ROW()),ovrTeamCol25,0),MATCH(MID(INDEX('Structured 2025'!headerRow,1,COLUMN()),4,LEN(INDEX('Structured 2025'!headerRow,1,COLUMN()))),ovrHeaderRow25,0))</f>
        <v>76</v>
      </c>
      <c r="CC121" s="12">
        <f>INDEX(ovrTable25,MATCH(INDEX(oppCol,ROW()),ovrTeamCol25,0),MATCH(MID(INDEX('Structured 2025'!headerRow,1,COLUMN()),4,LEN(INDEX('Structured 2025'!headerRow,1,COLUMN()))),ovrHeaderRow25,0))</f>
        <v>17.899999999999999</v>
      </c>
      <c r="CD121" s="12">
        <f>INDEX(ovrTable25,MATCH(INDEX(oppCol,ROW()),ovrTeamCol25,0),MATCH(MID(INDEX('Structured 2025'!headerRow,1,COLUMN()),4,LEN(INDEX('Structured 2025'!headerRow,1,COLUMN()))),ovrHeaderRow25,0))</f>
        <v>13.6</v>
      </c>
      <c r="CE121" s="12">
        <f>INDEX(ovrTable25,MATCH(INDEX(oppCol,ROW()),ovrTeamCol25,0),MATCH(MID(INDEX('Structured 2025'!headerRow,1,COLUMN()),4,LEN(INDEX('Structured 2025'!headerRow,1,COLUMN()))),ovrHeaderRow25,0))</f>
        <v>68.5</v>
      </c>
      <c r="CF121" s="12">
        <f>INDEX(ovrTable25,MATCH(INDEX(oppCol,ROW()),ovrTeamCol25,0),MATCH(MID(INDEX('Structured 2025'!headerRow,1,COLUMN()),4,LEN(INDEX('Structured 2025'!headerRow,1,COLUMN()))),ovrHeaderRow25,0))</f>
        <v>11.84</v>
      </c>
      <c r="CG121" s="12">
        <f>INDEX(ovrTable25,MATCH(INDEX(oppCol,ROW()),ovrTeamCol25,0),MATCH(MID(INDEX('Structured 2025'!headerRow,1,COLUMN()),4,LEN(INDEX('Structured 2025'!headerRow,1,COLUMN()))),ovrHeaderRow25,0))</f>
        <v>80.900000000000006</v>
      </c>
      <c r="CH121" s="12">
        <f>INDEX(ovrTable25,MATCH(INDEX(oppCol,ROW()),ovrTeamCol25,0),MATCH(MID(INDEX('Structured 2025'!headerRow,1,COLUMN()),4,LEN(INDEX('Structured 2025'!headerRow,1,COLUMN()))),ovrHeaderRow25,0))</f>
        <v>4.3</v>
      </c>
      <c r="CI121" s="12">
        <f>INDEX(ovrTable25,MATCH(INDEX(oppCol,ROW()),ovrTeamCol25,0),MATCH(MID(INDEX('Structured 2025'!headerRow,1,COLUMN()),4,LEN(INDEX('Structured 2025'!headerRow,1,COLUMN()))),ovrHeaderRow25,0))</f>
        <v>37.049999999999997</v>
      </c>
      <c r="CJ121" s="12">
        <f>INDEX(ovrTable25,MATCH(INDEX(oppCol,ROW()),ovrTeamCol25,0),MATCH(MID(INDEX('Structured 2025'!headerRow,1,COLUMN()),4,LEN(INDEX('Structured 2025'!headerRow,1,COLUMN()))),ovrHeaderRow25,0))</f>
        <v>12.4</v>
      </c>
      <c r="CK121" s="12">
        <f>INDEX(ovrTable25,MATCH(INDEX(oppCol,ROW()),ovrTeamCol25,0),MATCH(MID(INDEX('Structured 2025'!headerRow,1,COLUMN()),4,LEN(INDEX('Structured 2025'!headerRow,1,COLUMN()))),ovrHeaderRow25,0))</f>
        <v>6.3</v>
      </c>
      <c r="CL121" s="12">
        <f>INDEX(ovrTable25,MATCH(INDEX(oppCol,ROW()),ovrTeamCol25,0),MATCH(MID(INDEX('Structured 2025'!headerRow,1,COLUMN()),4,LEN(INDEX('Structured 2025'!headerRow,1,COLUMN()))),ovrHeaderRow25,0))</f>
        <v>1.9</v>
      </c>
      <c r="CM121" s="12">
        <f>INDEX(ovrTable25,MATCH(INDEX(oppCol,ROW()),ovrTeamCol25,0),MATCH(MID(INDEX('Structured 2025'!headerRow,1,COLUMN()),4,LEN(INDEX('Structured 2025'!headerRow,1,COLUMN()))),ovrHeaderRow25,0))</f>
        <v>11.54</v>
      </c>
      <c r="CN121" s="12">
        <f>INDEX(ovrTable25,MATCH(INDEX(oppCol,ROW()),ovrTeamCol25,0),MATCH(MID(INDEX('Structured 2025'!headerRow,1,COLUMN()),4,LEN(INDEX('Structured 2025'!headerRow,1,COLUMN()))),ovrHeaderRow25,0))</f>
        <v>9.6</v>
      </c>
      <c r="CO121" s="12">
        <f>INDEX(ovrTable25,MATCH(INDEX(oppCol,ROW()),ovrTeamCol25,0),MATCH(MID(INDEX('Structured 2025'!headerRow,1,COLUMN()),4,LEN(INDEX('Structured 2025'!headerRow,1,COLUMN()))),ovrHeaderRow25,0))</f>
        <v>66.099999999999994</v>
      </c>
      <c r="CP121" s="12">
        <f>INDEX(ovrTable25,MATCH(INDEX(oppCol,ROW()),ovrTeamCol25,0),MATCH(MID(INDEX('Structured 2025'!headerRow,1,COLUMN()),4,LEN(INDEX('Structured 2025'!headerRow,1,COLUMN()))),ovrHeaderRow25,0))</f>
        <v>18.650000000000006</v>
      </c>
      <c r="CQ121" s="12">
        <f>INDEX(ovrTable25,MATCH(INDEX(oppCol,ROW()),ovrTeamCol25,0),MATCH(MID(INDEX('Structured 2025'!headerRow,1,COLUMN()),4,LEN(INDEX('Structured 2025'!headerRow,1,COLUMN()))),ovrHeaderRow25,0))</f>
        <v>61.480686695278976</v>
      </c>
    </row>
    <row r="122" spans="1:95" x14ac:dyDescent="0.3">
      <c r="A122" s="6" t="s">
        <v>5</v>
      </c>
      <c r="B122" s="3">
        <v>1</v>
      </c>
      <c r="C122" s="13" t="str">
        <f>A123</f>
        <v>MSU</v>
      </c>
      <c r="D122" s="14">
        <f t="shared" si="111"/>
        <v>61</v>
      </c>
      <c r="E122" s="23">
        <v>0.30434782608695654</v>
      </c>
      <c r="F122" s="24">
        <v>42.622950819672127</v>
      </c>
      <c r="G122" s="24">
        <v>7</v>
      </c>
      <c r="H122" s="23">
        <v>28.000000000000004</v>
      </c>
      <c r="I122" s="24">
        <v>25</v>
      </c>
      <c r="J122" s="25">
        <v>2.6666666666666665</v>
      </c>
      <c r="K122" s="24">
        <v>11</v>
      </c>
      <c r="L122" s="24">
        <v>20</v>
      </c>
      <c r="M122" s="24">
        <v>11</v>
      </c>
      <c r="N122" s="24">
        <v>28</v>
      </c>
      <c r="O122" s="24">
        <v>16</v>
      </c>
      <c r="P122" s="24">
        <v>4</v>
      </c>
      <c r="Q122" s="24">
        <v>5</v>
      </c>
      <c r="R122" s="24">
        <v>6</v>
      </c>
      <c r="S122" s="24">
        <v>7</v>
      </c>
      <c r="T122" s="24">
        <v>16</v>
      </c>
      <c r="U122" s="24">
        <v>18</v>
      </c>
      <c r="V122" s="24">
        <v>0.34375</v>
      </c>
      <c r="W122" s="26">
        <v>0.48360655737704911</v>
      </c>
      <c r="X122" s="23">
        <v>55.000000000000007</v>
      </c>
      <c r="Y122" s="24">
        <v>64</v>
      </c>
      <c r="Z122" s="24">
        <v>70</v>
      </c>
      <c r="AA122" s="24">
        <v>-2</v>
      </c>
      <c r="AB122" s="24">
        <v>39</v>
      </c>
      <c r="AC122" s="24">
        <v>6</v>
      </c>
      <c r="AD122" s="24">
        <v>3</v>
      </c>
      <c r="AE122" s="24">
        <v>9</v>
      </c>
      <c r="AF122" s="34">
        <f t="shared" si="105"/>
        <v>19</v>
      </c>
      <c r="AG122" s="34">
        <f t="shared" si="106"/>
        <v>36.000000000000007</v>
      </c>
      <c r="AH122" s="46">
        <f t="shared" si="107"/>
        <v>65.5</v>
      </c>
      <c r="AI122" s="51">
        <f t="shared" ref="AI122" si="133">AVERAGE(AH122,AH123)</f>
        <v>66.55</v>
      </c>
      <c r="AJ122" s="12">
        <f>INDEX(ovrTable25,MATCH(INDEX('Structured 2025'!teamCol,ROW()),ovrTeamCol25,0),MATCH(MID(INDEX('Structured 2025'!headerRow,1,COLUMN()),4,LEN(INDEX('Structured 2025'!headerRow,1,COLUMN()))),ovrHeaderRow25,0))</f>
        <v>35</v>
      </c>
      <c r="AK122" s="12">
        <f>INDEX(ovrTable25,MATCH(INDEX('Structured 2025'!teamCol,ROW()),ovrTeamCol25,0),MATCH(MID(INDEX('Structured 2025'!headerRow,1,COLUMN()),4,LEN(INDEX('Structured 2025'!headerRow,1,COLUMN()))),ovrHeaderRow25,0))</f>
        <v>8.5</v>
      </c>
      <c r="AL122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122" s="12">
        <f>INDEX(ovrTable25,MATCH(INDEX('Structured 2025'!teamCol,ROW()),ovrTeamCol25,0),MATCH(MID(INDEX('Structured 2025'!headerRow,1,COLUMN()),4,LEN(INDEX('Structured 2025'!headerRow,1,COLUMN()))),ovrHeaderRow25,0))</f>
        <v>24.5</v>
      </c>
      <c r="AN122" s="12">
        <f>INDEX(ovrTable25,MATCH(INDEX('Structured 2025'!teamCol,ROW()),ovrTeamCol25,0),MATCH(MID(INDEX('Structured 2025'!headerRow,1,COLUMN()),4,LEN(INDEX('Structured 2025'!headerRow,1,COLUMN()))),ovrHeaderRow25,0))</f>
        <v>1.56</v>
      </c>
      <c r="AO122" s="12">
        <f>INDEX(ovrTable25,MATCH(INDEX('Structured 2025'!teamCol,ROW()),ovrTeamCol25,0),MATCH(MID(INDEX('Structured 2025'!headerRow,1,COLUMN()),4,LEN(INDEX('Structured 2025'!headerRow,1,COLUMN()))),ovrHeaderRow25,0))</f>
        <v>17.3</v>
      </c>
      <c r="AP122" s="12">
        <f>INDEX(ovrTable25,MATCH(INDEX('Structured 2025'!teamCol,ROW()),ovrTeamCol25,0),MATCH(MID(INDEX('Structured 2025'!headerRow,1,COLUMN()),4,LEN(INDEX('Structured 2025'!headerRow,1,COLUMN()))),ovrHeaderRow25,0))</f>
        <v>20.74</v>
      </c>
      <c r="AQ122" s="12">
        <f>INDEX(ovrTable25,MATCH(INDEX('Structured 2025'!teamCol,ROW()),ovrTeamCol25,0),MATCH(MID(INDEX('Structured 2025'!headerRow,1,COLUMN()),4,LEN(INDEX('Structured 2025'!headerRow,1,COLUMN()))),ovrHeaderRow25,0))</f>
        <v>6.2</v>
      </c>
      <c r="AR122" s="12">
        <f>INDEX(ovrTable25,MATCH(INDEX('Structured 2025'!teamCol,ROW()),ovrTeamCol25,0),MATCH(MID(INDEX('Structured 2025'!headerRow,1,COLUMN()),4,LEN(INDEX('Structured 2025'!headerRow,1,COLUMN()))),ovrHeaderRow25,0))</f>
        <v>42.1</v>
      </c>
      <c r="AS122" s="12">
        <f>INDEX(ovrTable25,MATCH(INDEX('Structured 2025'!teamCol,ROW()),ovrTeamCol25,0),MATCH(MID(INDEX('Structured 2025'!headerRow,1,COLUMN()),4,LEN(INDEX('Structured 2025'!headerRow,1,COLUMN()))),ovrHeaderRow25,0))</f>
        <v>24.54</v>
      </c>
      <c r="AT122" s="12">
        <f>INDEX(ovrTable25,MATCH(INDEX('Structured 2025'!teamCol,ROW()),ovrTeamCol25,0),MATCH(MID(INDEX('Structured 2025'!headerRow,1,COLUMN()),4,LEN(INDEX('Structured 2025'!headerRow,1,COLUMN()))),ovrHeaderRow25,0))</f>
        <v>0.55000000000000004</v>
      </c>
      <c r="AU122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122" s="12">
        <f>INDEX(ovrTable25,MATCH(INDEX('Structured 2025'!teamCol,ROW()),ovrTeamCol25,0),MATCH(MID(INDEX('Structured 2025'!headerRow,1,COLUMN()),4,LEN(INDEX('Structured 2025'!headerRow,1,COLUMN()))),ovrHeaderRow25,0))</f>
        <v>47.5</v>
      </c>
      <c r="AW122" s="12">
        <f>INDEX(ovrTable25,MATCH(INDEX('Structured 2025'!teamCol,ROW()),ovrTeamCol25,0),MATCH(MID(INDEX('Structured 2025'!headerRow,1,COLUMN()),4,LEN(INDEX('Structured 2025'!headerRow,1,COLUMN()))),ovrHeaderRow25,0))</f>
        <v>18.3</v>
      </c>
      <c r="AX122" s="12">
        <f>INDEX(ovrTable25,MATCH(INDEX('Structured 2025'!teamCol,ROW()),ovrTeamCol25,0),MATCH(MID(INDEX('Structured 2025'!headerRow,1,COLUMN()),4,LEN(INDEX('Structured 2025'!headerRow,1,COLUMN()))),ovrHeaderRow25,0))</f>
        <v>79.099999999999994</v>
      </c>
      <c r="AY122" s="12">
        <f>INDEX(ovrTable25,MATCH(INDEX('Structured 2025'!teamCol,ROW()),ovrTeamCol25,0),MATCH(MID(INDEX('Structured 2025'!headerRow,1,COLUMN()),4,LEN(INDEX('Structured 2025'!headerRow,1,COLUMN()))),ovrHeaderRow25,0))</f>
        <v>17.7</v>
      </c>
      <c r="AZ122" s="12">
        <f>INDEX(ovrTable25,MATCH(INDEX('Structured 2025'!teamCol,ROW()),ovrTeamCol25,0),MATCH(MID(INDEX('Structured 2025'!headerRow,1,COLUMN()),4,LEN(INDEX('Structured 2025'!headerRow,1,COLUMN()))),ovrHeaderRow25,0))</f>
        <v>14</v>
      </c>
      <c r="BA122" s="12">
        <f>INDEX(ovrTable25,MATCH(INDEX('Structured 2025'!teamCol,ROW()),ovrTeamCol25,0),MATCH(MID(INDEX('Structured 2025'!headerRow,1,COLUMN()),4,LEN(INDEX('Structured 2025'!headerRow,1,COLUMN()))),ovrHeaderRow25,0))</f>
        <v>68</v>
      </c>
      <c r="BB122" s="12">
        <f>INDEX(ovrTable25,MATCH(INDEX('Structured 2025'!teamCol,ROW()),ovrTeamCol25,0),MATCH(MID(INDEX('Structured 2025'!headerRow,1,COLUMN()),4,LEN(INDEX('Structured 2025'!headerRow,1,COLUMN()))),ovrHeaderRow25,0))</f>
        <v>11.2</v>
      </c>
      <c r="BC122" s="12">
        <f>INDEX(ovrTable25,MATCH(INDEX('Structured 2025'!teamCol,ROW()),ovrTeamCol25,0),MATCH(MID(INDEX('Structured 2025'!headerRow,1,COLUMN()),4,LEN(INDEX('Structured 2025'!headerRow,1,COLUMN()))),ovrHeaderRow25,0))</f>
        <v>77</v>
      </c>
      <c r="BD122" s="12">
        <f>INDEX(ovrTable25,MATCH(INDEX('Structured 2025'!teamCol,ROW()),ovrTeamCol25,0),MATCH(MID(INDEX('Structured 2025'!headerRow,1,COLUMN()),4,LEN(INDEX('Structured 2025'!headerRow,1,COLUMN()))),ovrHeaderRow25,0))</f>
        <v>6</v>
      </c>
      <c r="BE122" s="12">
        <f>INDEX(ovrTable25,MATCH(INDEX('Structured 2025'!teamCol,ROW()),ovrTeamCol25,0),MATCH(MID(INDEX('Structured 2025'!headerRow,1,COLUMN()),4,LEN(INDEX('Structured 2025'!headerRow,1,COLUMN()))),ovrHeaderRow25,0))</f>
        <v>35.74</v>
      </c>
      <c r="BF122" s="12">
        <f>INDEX(ovrTable25,MATCH(INDEX('Structured 2025'!teamCol,ROW()),ovrTeamCol25,0),MATCH(MID(INDEX('Structured 2025'!headerRow,1,COLUMN()),4,LEN(INDEX('Structured 2025'!headerRow,1,COLUMN()))),ovrHeaderRow25,0))</f>
        <v>9</v>
      </c>
      <c r="BG122" s="12">
        <f>INDEX(ovrTable25,MATCH(INDEX('Structured 2025'!teamCol,ROW()),ovrTeamCol25,0),MATCH(MID(INDEX('Structured 2025'!headerRow,1,COLUMN()),4,LEN(INDEX('Structured 2025'!headerRow,1,COLUMN()))),ovrHeaderRow25,0))</f>
        <v>5.4</v>
      </c>
      <c r="BH122" s="12">
        <f>INDEX(ovrTable25,MATCH(INDEX('Structured 2025'!teamCol,ROW()),ovrTeamCol25,0),MATCH(MID(INDEX('Structured 2025'!headerRow,1,COLUMN()),4,LEN(INDEX('Structured 2025'!headerRow,1,COLUMN()))),ovrHeaderRow25,0))</f>
        <v>-0.9</v>
      </c>
      <c r="BI122" s="12">
        <f>INDEX(ovrTable25,MATCH(INDEX('Structured 2025'!teamCol,ROW()),ovrTeamCol25,0),MATCH(MID(INDEX('Structured 2025'!headerRow,1,COLUMN()),4,LEN(INDEX('Structured 2025'!headerRow,1,COLUMN()))),ovrHeaderRow25,0))</f>
        <v>10.26</v>
      </c>
      <c r="BJ122" s="12">
        <f>INDEX(ovrTable25,MATCH(INDEX('Structured 2025'!teamCol,ROW()),ovrTeamCol25,0),MATCH(MID(INDEX('Structured 2025'!headerRow,1,COLUMN()),4,LEN(INDEX('Structured 2025'!headerRow,1,COLUMN()))),ovrHeaderRow25,0))</f>
        <v>11.1</v>
      </c>
      <c r="BK122" s="12">
        <f>INDEX(ovrTable25,MATCH(INDEX('Structured 2025'!teamCol,ROW()),ovrTeamCol25,0),MATCH(MID(INDEX('Structured 2025'!headerRow,1,COLUMN()),4,LEN(INDEX('Structured 2025'!headerRow,1,COLUMN()))),ovrHeaderRow25,0))</f>
        <v>68.2</v>
      </c>
      <c r="BL122" s="12">
        <f>INDEX(ovrTable25,MATCH(INDEX('Structured 2025'!teamCol,ROW()),ovrTeamCol25,0),MATCH(MID(INDEX('Structured 2025'!headerRow,1,COLUMN()),4,LEN(INDEX('Structured 2025'!headerRow,1,COLUMN()))),ovrHeaderRow25,0))</f>
        <v>18.75</v>
      </c>
      <c r="BM122" s="12">
        <f>INDEX(ovrTable25,MATCH(INDEX('Structured 2025'!teamCol,ROW()),ovrTeamCol25,0),MATCH(MID(INDEX('Structured 2025'!headerRow,1,COLUMN()),4,LEN(INDEX('Structured 2025'!headerRow,1,COLUMN()))),ovrHeaderRow25,0))</f>
        <v>57.368421052631582</v>
      </c>
      <c r="BN122" s="12">
        <f>INDEX(ovrTable25,MATCH(INDEX(oppCol,ROW()),ovrTeamCol25,0),MATCH(MID(INDEX('Structured 2025'!headerRow,1,COLUMN()),4,LEN(INDEX('Structured 2025'!headerRow,1,COLUMN()))),ovrHeaderRow25,0))</f>
        <v>28</v>
      </c>
      <c r="BO122" s="12">
        <f>INDEX(ovrTable25,MATCH(INDEX(oppCol,ROW()),ovrTeamCol25,0),MATCH(MID(INDEX('Structured 2025'!headerRow,1,COLUMN()),4,LEN(INDEX('Structured 2025'!headerRow,1,COLUMN()))),ovrHeaderRow25,0))</f>
        <v>6.1</v>
      </c>
      <c r="BP122" s="12">
        <f>INDEX(ovrTable25,MATCH(INDEX(oppCol,ROW()),ovrTeamCol25,0),MATCH(MID(INDEX('Structured 2025'!headerRow,1,COLUMN()),4,LEN(INDEX('Structured 2025'!headerRow,1,COLUMN()))),ovrHeaderRow25,0))</f>
        <v>31.1</v>
      </c>
      <c r="BQ122" s="12">
        <f>INDEX(ovrTable25,MATCH(INDEX(oppCol,ROW()),ovrTeamCol25,0),MATCH(MID(INDEX('Structured 2025'!headerRow,1,COLUMN()),4,LEN(INDEX('Structured 2025'!headerRow,1,COLUMN()))),ovrHeaderRow25,0))</f>
        <v>19.5</v>
      </c>
      <c r="BR122" s="12">
        <f>INDEX(ovrTable25,MATCH(INDEX(oppCol,ROW()),ovrTeamCol25,0),MATCH(MID(INDEX('Structured 2025'!headerRow,1,COLUMN()),4,LEN(INDEX('Structured 2025'!headerRow,1,COLUMN()))),ovrHeaderRow25,0))</f>
        <v>1.46</v>
      </c>
      <c r="BS122" s="12">
        <f>INDEX(ovrTable25,MATCH(INDEX(oppCol,ROW()),ovrTeamCol25,0),MATCH(MID(INDEX('Structured 2025'!headerRow,1,COLUMN()),4,LEN(INDEX('Structured 2025'!headerRow,1,COLUMN()))),ovrHeaderRow25,0))</f>
        <v>16.600000000000001</v>
      </c>
      <c r="BT122" s="12">
        <f>INDEX(ovrTable25,MATCH(INDEX(oppCol,ROW()),ovrTeamCol25,0),MATCH(MID(INDEX('Structured 2025'!headerRow,1,COLUMN()),4,LEN(INDEX('Structured 2025'!headerRow,1,COLUMN()))),ovrHeaderRow25,0))</f>
        <v>33.619999999999997</v>
      </c>
      <c r="BU122" s="12">
        <f>INDEX(ovrTable25,MATCH(INDEX(oppCol,ROW()),ovrTeamCol25,0),MATCH(MID(INDEX('Structured 2025'!headerRow,1,COLUMN()),4,LEN(INDEX('Structured 2025'!headerRow,1,COLUMN()))),ovrHeaderRow25,0))</f>
        <v>4.5999999999999996</v>
      </c>
      <c r="BV122" s="12">
        <f>INDEX(ovrTable25,MATCH(INDEX(oppCol,ROW()),ovrTeamCol25,0),MATCH(MID(INDEX('Structured 2025'!headerRow,1,COLUMN()),4,LEN(INDEX('Structured 2025'!headerRow,1,COLUMN()))),ovrHeaderRow25,0))</f>
        <v>40.5</v>
      </c>
      <c r="BW122" s="12">
        <f>INDEX(ovrTable25,MATCH(INDEX(oppCol,ROW()),ovrTeamCol25,0),MATCH(MID(INDEX('Structured 2025'!headerRow,1,COLUMN()),4,LEN(INDEX('Structured 2025'!headerRow,1,COLUMN()))),ovrHeaderRow25,0))</f>
        <v>27.89</v>
      </c>
      <c r="BX122" s="12">
        <f>INDEX(ovrTable25,MATCH(INDEX(oppCol,ROW()),ovrTeamCol25,0),MATCH(MID(INDEX('Structured 2025'!headerRow,1,COLUMN()),4,LEN(INDEX('Structured 2025'!headerRow,1,COLUMN()))),ovrHeaderRow25,0))</f>
        <v>0.50900000000000001</v>
      </c>
      <c r="BY122" s="12">
        <f>INDEX(ovrTable25,MATCH(INDEX(oppCol,ROW()),ovrTeamCol25,0),MATCH(MID(INDEX('Structured 2025'!headerRow,1,COLUMN()),4,LEN(INDEX('Structured 2025'!headerRow,1,COLUMN()))),ovrHeaderRow25,0))</f>
        <v>15.59</v>
      </c>
      <c r="BZ122" s="12">
        <f>INDEX(ovrTable25,MATCH(INDEX(oppCol,ROW()),ovrTeamCol25,0),MATCH(MID(INDEX('Structured 2025'!headerRow,1,COLUMN()),4,LEN(INDEX('Structured 2025'!headerRow,1,COLUMN()))),ovrHeaderRow25,0))</f>
        <v>45.8</v>
      </c>
      <c r="CA122" s="12">
        <f>INDEX(ovrTable25,MATCH(INDEX(oppCol,ROW()),ovrTeamCol25,0),MATCH(MID(INDEX('Structured 2025'!headerRow,1,COLUMN()),4,LEN(INDEX('Structured 2025'!headerRow,1,COLUMN()))),ovrHeaderRow25,0))</f>
        <v>16.7</v>
      </c>
      <c r="CB122" s="12">
        <f>INDEX(ovrTable25,MATCH(INDEX(oppCol,ROW()),ovrTeamCol25,0),MATCH(MID(INDEX('Structured 2025'!headerRow,1,COLUMN()),4,LEN(INDEX('Structured 2025'!headerRow,1,COLUMN()))),ovrHeaderRow25,0))</f>
        <v>77.900000000000006</v>
      </c>
      <c r="CC122" s="12">
        <f>INDEX(ovrTable25,MATCH(INDEX(oppCol,ROW()),ovrTeamCol25,0),MATCH(MID(INDEX('Structured 2025'!headerRow,1,COLUMN()),4,LEN(INDEX('Structured 2025'!headerRow,1,COLUMN()))),ovrHeaderRow25,0))</f>
        <v>22.4</v>
      </c>
      <c r="CD122" s="12">
        <f>INDEX(ovrTable25,MATCH(INDEX(oppCol,ROW()),ovrTeamCol25,0),MATCH(MID(INDEX('Structured 2025'!headerRow,1,COLUMN()),4,LEN(INDEX('Structured 2025'!headerRow,1,COLUMN()))),ovrHeaderRow25,0))</f>
        <v>17.399999999999999</v>
      </c>
      <c r="CE122" s="12">
        <f>INDEX(ovrTable25,MATCH(INDEX(oppCol,ROW()),ovrTeamCol25,0),MATCH(MID(INDEX('Structured 2025'!headerRow,1,COLUMN()),4,LEN(INDEX('Structured 2025'!headerRow,1,COLUMN()))),ovrHeaderRow25,0))</f>
        <v>67.099999999999994</v>
      </c>
      <c r="CF122" s="12">
        <f>INDEX(ovrTable25,MATCH(INDEX(oppCol,ROW()),ovrTeamCol25,0),MATCH(MID(INDEX('Structured 2025'!headerRow,1,COLUMN()),4,LEN(INDEX('Structured 2025'!headerRow,1,COLUMN()))),ovrHeaderRow25,0))</f>
        <v>11.89</v>
      </c>
      <c r="CG122" s="12">
        <f>INDEX(ovrTable25,MATCH(INDEX(oppCol,ROW()),ovrTeamCol25,0),MATCH(MID(INDEX('Structured 2025'!headerRow,1,COLUMN()),4,LEN(INDEX('Structured 2025'!headerRow,1,COLUMN()))),ovrHeaderRow25,0))</f>
        <v>77.7</v>
      </c>
      <c r="CH122" s="12">
        <f>INDEX(ovrTable25,MATCH(INDEX(oppCol,ROW()),ovrTeamCol25,0),MATCH(MID(INDEX('Structured 2025'!headerRow,1,COLUMN()),4,LEN(INDEX('Structured 2025'!headerRow,1,COLUMN()))),ovrHeaderRow25,0))</f>
        <v>8.9</v>
      </c>
      <c r="CI122" s="12">
        <f>INDEX(ovrTable25,MATCH(INDEX(oppCol,ROW()),ovrTeamCol25,0),MATCH(MID(INDEX('Structured 2025'!headerRow,1,COLUMN()),4,LEN(INDEX('Structured 2025'!headerRow,1,COLUMN()))),ovrHeaderRow25,0))</f>
        <v>39.78</v>
      </c>
      <c r="CJ122" s="12">
        <f>INDEX(ovrTable25,MATCH(INDEX(oppCol,ROW()),ovrTeamCol25,0),MATCH(MID(INDEX('Structured 2025'!headerRow,1,COLUMN()),4,LEN(INDEX('Structured 2025'!headerRow,1,COLUMN()))),ovrHeaderRow25,0))</f>
        <v>10.5</v>
      </c>
      <c r="CK122" s="12">
        <f>INDEX(ovrTable25,MATCH(INDEX(oppCol,ROW()),ovrTeamCol25,0),MATCH(MID(INDEX('Structured 2025'!headerRow,1,COLUMN()),4,LEN(INDEX('Structured 2025'!headerRow,1,COLUMN()))),ovrHeaderRow25,0))</f>
        <v>5.3</v>
      </c>
      <c r="CL122" s="12">
        <f>INDEX(ovrTable25,MATCH(INDEX(oppCol,ROW()),ovrTeamCol25,0),MATCH(MID(INDEX('Structured 2025'!headerRow,1,COLUMN()),4,LEN(INDEX('Structured 2025'!headerRow,1,COLUMN()))),ovrHeaderRow25,0))</f>
        <v>-0.3</v>
      </c>
      <c r="CM122" s="12">
        <f>INDEX(ovrTable25,MATCH(INDEX(oppCol,ROW()),ovrTeamCol25,0),MATCH(MID(INDEX('Structured 2025'!headerRow,1,COLUMN()),4,LEN(INDEX('Structured 2025'!headerRow,1,COLUMN()))),ovrHeaderRow25,0))</f>
        <v>11.03</v>
      </c>
      <c r="CN122" s="12">
        <f>INDEX(ovrTable25,MATCH(INDEX(oppCol,ROW()),ovrTeamCol25,0),MATCH(MID(INDEX('Structured 2025'!headerRow,1,COLUMN()),4,LEN(INDEX('Structured 2025'!headerRow,1,COLUMN()))),ovrHeaderRow25,0))</f>
        <v>11.4</v>
      </c>
      <c r="CO122" s="12">
        <f>INDEX(ovrTable25,MATCH(INDEX(oppCol,ROW()),ovrTeamCol25,0),MATCH(MID(INDEX('Structured 2025'!headerRow,1,COLUMN()),4,LEN(INDEX('Structured 2025'!headerRow,1,COLUMN()))),ovrHeaderRow25,0))</f>
        <v>67.5</v>
      </c>
      <c r="CP122" s="12">
        <f>INDEX(ovrTable25,MATCH(INDEX(oppCol,ROW()),ovrTeamCol25,0),MATCH(MID(INDEX('Structured 2025'!headerRow,1,COLUMN()),4,LEN(INDEX('Structured 2025'!headerRow,1,COLUMN()))),ovrHeaderRow25,0))</f>
        <v>21.000000000000004</v>
      </c>
      <c r="CQ122" s="12">
        <f>INDEX(ovrTable25,MATCH(INDEX(oppCol,ROW()),ovrTeamCol25,0),MATCH(MID(INDEX('Structured 2025'!headerRow,1,COLUMN()),4,LEN(INDEX('Structured 2025'!headerRow,1,COLUMN()))),ovrHeaderRow25,0))</f>
        <v>59.170305676855897</v>
      </c>
    </row>
    <row r="123" spans="1:95" x14ac:dyDescent="0.3">
      <c r="A123" s="6" t="s">
        <v>34</v>
      </c>
      <c r="B123" s="3">
        <v>2</v>
      </c>
      <c r="C123" s="13" t="str">
        <f>A122</f>
        <v>AUB</v>
      </c>
      <c r="D123" s="14">
        <f t="shared" si="111"/>
        <v>61</v>
      </c>
      <c r="E123" s="23">
        <v>0.28000000000000003</v>
      </c>
      <c r="F123" s="24">
        <v>34.375</v>
      </c>
      <c r="G123" s="24">
        <v>7</v>
      </c>
      <c r="H123" s="23">
        <v>30.434782608695656</v>
      </c>
      <c r="I123" s="24">
        <v>23</v>
      </c>
      <c r="J123" s="25">
        <v>1.3333333333333333</v>
      </c>
      <c r="K123" s="24">
        <v>13</v>
      </c>
      <c r="L123" s="24">
        <v>16</v>
      </c>
      <c r="M123" s="24">
        <v>13</v>
      </c>
      <c r="N123" s="24">
        <v>28</v>
      </c>
      <c r="O123" s="24">
        <v>12</v>
      </c>
      <c r="P123" s="24">
        <v>5</v>
      </c>
      <c r="Q123" s="24">
        <v>5</v>
      </c>
      <c r="R123" s="24">
        <v>9</v>
      </c>
      <c r="S123" s="24">
        <v>9</v>
      </c>
      <c r="T123" s="24">
        <v>18</v>
      </c>
      <c r="U123" s="24">
        <v>17</v>
      </c>
      <c r="V123" s="24">
        <v>0.42622950819672129</v>
      </c>
      <c r="W123" s="26">
        <v>0.3984375</v>
      </c>
      <c r="X123" s="23">
        <v>81.25</v>
      </c>
      <c r="Y123" s="24">
        <v>70</v>
      </c>
      <c r="Z123" s="24">
        <v>64</v>
      </c>
      <c r="AA123" s="24">
        <v>2</v>
      </c>
      <c r="AB123" s="24">
        <v>41</v>
      </c>
      <c r="AC123" s="24">
        <v>-6</v>
      </c>
      <c r="AD123" s="24">
        <v>-3</v>
      </c>
      <c r="AE123" s="24">
        <v>6</v>
      </c>
      <c r="AF123" s="34">
        <f t="shared" si="105"/>
        <v>15</v>
      </c>
      <c r="AG123" s="34">
        <f t="shared" si="106"/>
        <v>41</v>
      </c>
      <c r="AH123" s="46">
        <f t="shared" si="107"/>
        <v>67.599999999999994</v>
      </c>
      <c r="AI123" s="51">
        <f t="shared" ref="AI123" si="134">AVERAGE(AH122,AH123)</f>
        <v>66.55</v>
      </c>
      <c r="AJ123" s="12">
        <f>INDEX(ovrTable25,MATCH(INDEX('Structured 2025'!teamCol,ROW()),ovrTeamCol25,0),MATCH(MID(INDEX('Structured 2025'!headerRow,1,COLUMN()),4,LEN(INDEX('Structured 2025'!headerRow,1,COLUMN()))),ovrHeaderRow25,0))</f>
        <v>28</v>
      </c>
      <c r="AK123" s="12">
        <f>INDEX(ovrTable25,MATCH(INDEX('Structured 2025'!teamCol,ROW()),ovrTeamCol25,0),MATCH(MID(INDEX('Structured 2025'!headerRow,1,COLUMN()),4,LEN(INDEX('Structured 2025'!headerRow,1,COLUMN()))),ovrHeaderRow25,0))</f>
        <v>6.1</v>
      </c>
      <c r="AL123" s="12">
        <f>INDEX(ovrTable25,MATCH(INDEX('Structured 2025'!teamCol,ROW()),ovrTeamCol25,0),MATCH(MID(INDEX('Structured 2025'!headerRow,1,COLUMN()),4,LEN(INDEX('Structured 2025'!headerRow,1,COLUMN()))),ovrHeaderRow25,0))</f>
        <v>31.1</v>
      </c>
      <c r="AM123" s="12">
        <f>INDEX(ovrTable25,MATCH(INDEX('Structured 2025'!teamCol,ROW()),ovrTeamCol25,0),MATCH(MID(INDEX('Structured 2025'!headerRow,1,COLUMN()),4,LEN(INDEX('Structured 2025'!headerRow,1,COLUMN()))),ovrHeaderRow25,0))</f>
        <v>19.5</v>
      </c>
      <c r="AN123" s="12">
        <f>INDEX(ovrTable25,MATCH(INDEX('Structured 2025'!teamCol,ROW()),ovrTeamCol25,0),MATCH(MID(INDEX('Structured 2025'!headerRow,1,COLUMN()),4,LEN(INDEX('Structured 2025'!headerRow,1,COLUMN()))),ovrHeaderRow25,0))</f>
        <v>1.46</v>
      </c>
      <c r="AO123" s="12">
        <f>INDEX(ovrTable25,MATCH(INDEX('Structured 2025'!teamCol,ROW()),ovrTeamCol25,0),MATCH(MID(INDEX('Structured 2025'!headerRow,1,COLUMN()),4,LEN(INDEX('Structured 2025'!headerRow,1,COLUMN()))),ovrHeaderRow25,0))</f>
        <v>16.600000000000001</v>
      </c>
      <c r="AP123" s="12">
        <f>INDEX(ovrTable25,MATCH(INDEX('Structured 2025'!teamCol,ROW()),ovrTeamCol25,0),MATCH(MID(INDEX('Structured 2025'!headerRow,1,COLUMN()),4,LEN(INDEX('Structured 2025'!headerRow,1,COLUMN()))),ovrHeaderRow25,0))</f>
        <v>33.619999999999997</v>
      </c>
      <c r="AQ123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123" s="12">
        <f>INDEX(ovrTable25,MATCH(INDEX('Structured 2025'!teamCol,ROW()),ovrTeamCol25,0),MATCH(MID(INDEX('Structured 2025'!headerRow,1,COLUMN()),4,LEN(INDEX('Structured 2025'!headerRow,1,COLUMN()))),ovrHeaderRow25,0))</f>
        <v>40.5</v>
      </c>
      <c r="AS123" s="12">
        <f>INDEX(ovrTable25,MATCH(INDEX('Structured 2025'!teamCol,ROW()),ovrTeamCol25,0),MATCH(MID(INDEX('Structured 2025'!headerRow,1,COLUMN()),4,LEN(INDEX('Structured 2025'!headerRow,1,COLUMN()))),ovrHeaderRow25,0))</f>
        <v>27.89</v>
      </c>
      <c r="AT123" s="12">
        <f>INDEX(ovrTable25,MATCH(INDEX('Structured 2025'!teamCol,ROW()),ovrTeamCol25,0),MATCH(MID(INDEX('Structured 2025'!headerRow,1,COLUMN()),4,LEN(INDEX('Structured 2025'!headerRow,1,COLUMN()))),ovrHeaderRow25,0))</f>
        <v>0.50900000000000001</v>
      </c>
      <c r="AU123" s="12">
        <f>INDEX(ovrTable25,MATCH(INDEX('Structured 2025'!teamCol,ROW()),ovrTeamCol25,0),MATCH(MID(INDEX('Structured 2025'!headerRow,1,COLUMN()),4,LEN(INDEX('Structured 2025'!headerRow,1,COLUMN()))),ovrHeaderRow25,0))</f>
        <v>15.59</v>
      </c>
      <c r="AV123" s="12">
        <f>INDEX(ovrTable25,MATCH(INDEX('Structured 2025'!teamCol,ROW()),ovrTeamCol25,0),MATCH(MID(INDEX('Structured 2025'!headerRow,1,COLUMN()),4,LEN(INDEX('Structured 2025'!headerRow,1,COLUMN()))),ovrHeaderRow25,0))</f>
        <v>45.8</v>
      </c>
      <c r="AW123" s="12">
        <f>INDEX(ovrTable25,MATCH(INDEX('Structured 2025'!teamCol,ROW()),ovrTeamCol25,0),MATCH(MID(INDEX('Structured 2025'!headerRow,1,COLUMN()),4,LEN(INDEX('Structured 2025'!headerRow,1,COLUMN()))),ovrHeaderRow25,0))</f>
        <v>16.7</v>
      </c>
      <c r="AX123" s="12">
        <f>INDEX(ovrTable25,MATCH(INDEX('Structured 2025'!teamCol,ROW()),ovrTeamCol25,0),MATCH(MID(INDEX('Structured 2025'!headerRow,1,COLUMN()),4,LEN(INDEX('Structured 2025'!headerRow,1,COLUMN()))),ovrHeaderRow25,0))</f>
        <v>77.900000000000006</v>
      </c>
      <c r="AY123" s="12">
        <f>INDEX(ovrTable25,MATCH(INDEX('Structured 2025'!teamCol,ROW()),ovrTeamCol25,0),MATCH(MID(INDEX('Structured 2025'!headerRow,1,COLUMN()),4,LEN(INDEX('Structured 2025'!headerRow,1,COLUMN()))),ovrHeaderRow25,0))</f>
        <v>22.4</v>
      </c>
      <c r="AZ123" s="12">
        <f>INDEX(ovrTable25,MATCH(INDEX('Structured 2025'!teamCol,ROW()),ovrTeamCol25,0),MATCH(MID(INDEX('Structured 2025'!headerRow,1,COLUMN()),4,LEN(INDEX('Structured 2025'!headerRow,1,COLUMN()))),ovrHeaderRow25,0))</f>
        <v>17.399999999999999</v>
      </c>
      <c r="BA123" s="12">
        <f>INDEX(ovrTable25,MATCH(INDEX('Structured 2025'!teamCol,ROW()),ovrTeamCol25,0),MATCH(MID(INDEX('Structured 2025'!headerRow,1,COLUMN()),4,LEN(INDEX('Structured 2025'!headerRow,1,COLUMN()))),ovrHeaderRow25,0))</f>
        <v>67.099999999999994</v>
      </c>
      <c r="BB123" s="12">
        <f>INDEX(ovrTable25,MATCH(INDEX('Structured 2025'!teamCol,ROW()),ovrTeamCol25,0),MATCH(MID(INDEX('Structured 2025'!headerRow,1,COLUMN()),4,LEN(INDEX('Structured 2025'!headerRow,1,COLUMN()))),ovrHeaderRow25,0))</f>
        <v>11.89</v>
      </c>
      <c r="BC123" s="12">
        <f>INDEX(ovrTable25,MATCH(INDEX('Structured 2025'!teamCol,ROW()),ovrTeamCol25,0),MATCH(MID(INDEX('Structured 2025'!headerRow,1,COLUMN()),4,LEN(INDEX('Structured 2025'!headerRow,1,COLUMN()))),ovrHeaderRow25,0))</f>
        <v>77.7</v>
      </c>
      <c r="BD123" s="12">
        <f>INDEX(ovrTable25,MATCH(INDEX('Structured 2025'!teamCol,ROW()),ovrTeamCol25,0),MATCH(MID(INDEX('Structured 2025'!headerRow,1,COLUMN()),4,LEN(INDEX('Structured 2025'!headerRow,1,COLUMN()))),ovrHeaderRow25,0))</f>
        <v>8.9</v>
      </c>
      <c r="BE123" s="12">
        <f>INDEX(ovrTable25,MATCH(INDEX('Structured 2025'!teamCol,ROW()),ovrTeamCol25,0),MATCH(MID(INDEX('Structured 2025'!headerRow,1,COLUMN()),4,LEN(INDEX('Structured 2025'!headerRow,1,COLUMN()))),ovrHeaderRow25,0))</f>
        <v>39.78</v>
      </c>
      <c r="BF123" s="12">
        <f>INDEX(ovrTable25,MATCH(INDEX('Structured 2025'!teamCol,ROW()),ovrTeamCol25,0),MATCH(MID(INDEX('Structured 2025'!headerRow,1,COLUMN()),4,LEN(INDEX('Structured 2025'!headerRow,1,COLUMN()))),ovrHeaderRow25,0))</f>
        <v>10.5</v>
      </c>
      <c r="BG123" s="12">
        <f>INDEX(ovrTable25,MATCH(INDEX('Structured 2025'!teamCol,ROW()),ovrTeamCol25,0),MATCH(MID(INDEX('Structured 2025'!headerRow,1,COLUMN()),4,LEN(INDEX('Structured 2025'!headerRow,1,COLUMN()))),ovrHeaderRow25,0))</f>
        <v>5.3</v>
      </c>
      <c r="BH123" s="12">
        <f>INDEX(ovrTable25,MATCH(INDEX('Structured 2025'!teamCol,ROW()),ovrTeamCol25,0),MATCH(MID(INDEX('Structured 2025'!headerRow,1,COLUMN()),4,LEN(INDEX('Structured 2025'!headerRow,1,COLUMN()))),ovrHeaderRow25,0))</f>
        <v>-0.3</v>
      </c>
      <c r="BI123" s="12">
        <f>INDEX(ovrTable25,MATCH(INDEX('Structured 2025'!teamCol,ROW()),ovrTeamCol25,0),MATCH(MID(INDEX('Structured 2025'!headerRow,1,COLUMN()),4,LEN(INDEX('Structured 2025'!headerRow,1,COLUMN()))),ovrHeaderRow25,0))</f>
        <v>11.03</v>
      </c>
      <c r="BJ123" s="12">
        <f>INDEX(ovrTable25,MATCH(INDEX('Structured 2025'!teamCol,ROW()),ovrTeamCol25,0),MATCH(MID(INDEX('Structured 2025'!headerRow,1,COLUMN()),4,LEN(INDEX('Structured 2025'!headerRow,1,COLUMN()))),ovrHeaderRow25,0))</f>
        <v>11.4</v>
      </c>
      <c r="BK123" s="12">
        <f>INDEX(ovrTable25,MATCH(INDEX('Structured 2025'!teamCol,ROW()),ovrTeamCol25,0),MATCH(MID(INDEX('Structured 2025'!headerRow,1,COLUMN()),4,LEN(INDEX('Structured 2025'!headerRow,1,COLUMN()))),ovrHeaderRow25,0))</f>
        <v>67.5</v>
      </c>
      <c r="BL123" s="12">
        <f>INDEX(ovrTable25,MATCH(INDEX('Structured 2025'!teamCol,ROW()),ovrTeamCol25,0),MATCH(MID(INDEX('Structured 2025'!headerRow,1,COLUMN()),4,LEN(INDEX('Structured 2025'!headerRow,1,COLUMN()))),ovrHeaderRow25,0))</f>
        <v>21.000000000000004</v>
      </c>
      <c r="BM123" s="12">
        <f>INDEX(ovrTable25,MATCH(INDEX('Structured 2025'!teamCol,ROW()),ovrTeamCol25,0),MATCH(MID(INDEX('Structured 2025'!headerRow,1,COLUMN()),4,LEN(INDEX('Structured 2025'!headerRow,1,COLUMN()))),ovrHeaderRow25,0))</f>
        <v>59.170305676855897</v>
      </c>
      <c r="BN123" s="12">
        <f>INDEX(ovrTable25,MATCH(INDEX(oppCol,ROW()),ovrTeamCol25,0),MATCH(MID(INDEX('Structured 2025'!headerRow,1,COLUMN()),4,LEN(INDEX('Structured 2025'!headerRow,1,COLUMN()))),ovrHeaderRow25,0))</f>
        <v>35</v>
      </c>
      <c r="BO123" s="12">
        <f>INDEX(ovrTable25,MATCH(INDEX(oppCol,ROW()),ovrTeamCol25,0),MATCH(MID(INDEX('Structured 2025'!headerRow,1,COLUMN()),4,LEN(INDEX('Structured 2025'!headerRow,1,COLUMN()))),ovrHeaderRow25,0))</f>
        <v>8.5</v>
      </c>
      <c r="BP123" s="12">
        <f>INDEX(ovrTable25,MATCH(INDEX(oppCol,ROW()),ovrTeamCol25,0),MATCH(MID(INDEX('Structured 2025'!headerRow,1,COLUMN()),4,LEN(INDEX('Structured 2025'!headerRow,1,COLUMN()))),ovrHeaderRow25,0))</f>
        <v>34.799999999999997</v>
      </c>
      <c r="BQ123" s="12">
        <f>INDEX(ovrTable25,MATCH(INDEX(oppCol,ROW()),ovrTeamCol25,0),MATCH(MID(INDEX('Structured 2025'!headerRow,1,COLUMN()),4,LEN(INDEX('Structured 2025'!headerRow,1,COLUMN()))),ovrHeaderRow25,0))</f>
        <v>24.5</v>
      </c>
      <c r="BR123" s="12">
        <f>INDEX(ovrTable25,MATCH(INDEX(oppCol,ROW()),ovrTeamCol25,0),MATCH(MID(INDEX('Structured 2025'!headerRow,1,COLUMN()),4,LEN(INDEX('Structured 2025'!headerRow,1,COLUMN()))),ovrHeaderRow25,0))</f>
        <v>1.56</v>
      </c>
      <c r="BS123" s="12">
        <f>INDEX(ovrTable25,MATCH(INDEX(oppCol,ROW()),ovrTeamCol25,0),MATCH(MID(INDEX('Structured 2025'!headerRow,1,COLUMN()),4,LEN(INDEX('Structured 2025'!headerRow,1,COLUMN()))),ovrHeaderRow25,0))</f>
        <v>17.3</v>
      </c>
      <c r="BT123" s="12">
        <f>INDEX(ovrTable25,MATCH(INDEX(oppCol,ROW()),ovrTeamCol25,0),MATCH(MID(INDEX('Structured 2025'!headerRow,1,COLUMN()),4,LEN(INDEX('Structured 2025'!headerRow,1,COLUMN()))),ovrHeaderRow25,0))</f>
        <v>20.74</v>
      </c>
      <c r="BU123" s="12">
        <f>INDEX(ovrTable25,MATCH(INDEX(oppCol,ROW()),ovrTeamCol25,0),MATCH(MID(INDEX('Structured 2025'!headerRow,1,COLUMN()),4,LEN(INDEX('Structured 2025'!headerRow,1,COLUMN()))),ovrHeaderRow25,0))</f>
        <v>6.2</v>
      </c>
      <c r="BV123" s="12">
        <f>INDEX(ovrTable25,MATCH(INDEX(oppCol,ROW()),ovrTeamCol25,0),MATCH(MID(INDEX('Structured 2025'!headerRow,1,COLUMN()),4,LEN(INDEX('Structured 2025'!headerRow,1,COLUMN()))),ovrHeaderRow25,0))</f>
        <v>42.1</v>
      </c>
      <c r="BW123" s="12">
        <f>INDEX(ovrTable25,MATCH(INDEX(oppCol,ROW()),ovrTeamCol25,0),MATCH(MID(INDEX('Structured 2025'!headerRow,1,COLUMN()),4,LEN(INDEX('Structured 2025'!headerRow,1,COLUMN()))),ovrHeaderRow25,0))</f>
        <v>24.54</v>
      </c>
      <c r="BX123" s="12">
        <f>INDEX(ovrTable25,MATCH(INDEX(oppCol,ROW()),ovrTeamCol25,0),MATCH(MID(INDEX('Structured 2025'!headerRow,1,COLUMN()),4,LEN(INDEX('Structured 2025'!headerRow,1,COLUMN()))),ovrHeaderRow25,0))</f>
        <v>0.55000000000000004</v>
      </c>
      <c r="BY123" s="12">
        <f>INDEX(ovrTable25,MATCH(INDEX(oppCol,ROW()),ovrTeamCol25,0),MATCH(MID(INDEX('Structured 2025'!headerRow,1,COLUMN()),4,LEN(INDEX('Structured 2025'!headerRow,1,COLUMN()))),ovrHeaderRow25,0))</f>
        <v>8.6300000000000008</v>
      </c>
      <c r="BZ123" s="12">
        <f>INDEX(ovrTable25,MATCH(INDEX(oppCol,ROW()),ovrTeamCol25,0),MATCH(MID(INDEX('Structured 2025'!headerRow,1,COLUMN()),4,LEN(INDEX('Structured 2025'!headerRow,1,COLUMN()))),ovrHeaderRow25,0))</f>
        <v>47.5</v>
      </c>
      <c r="CA123" s="12">
        <f>INDEX(ovrTable25,MATCH(INDEX(oppCol,ROW()),ovrTeamCol25,0),MATCH(MID(INDEX('Structured 2025'!headerRow,1,COLUMN()),4,LEN(INDEX('Structured 2025'!headerRow,1,COLUMN()))),ovrHeaderRow25,0))</f>
        <v>18.3</v>
      </c>
      <c r="CB123" s="12">
        <f>INDEX(ovrTable25,MATCH(INDEX(oppCol,ROW()),ovrTeamCol25,0),MATCH(MID(INDEX('Structured 2025'!headerRow,1,COLUMN()),4,LEN(INDEX('Structured 2025'!headerRow,1,COLUMN()))),ovrHeaderRow25,0))</f>
        <v>79.099999999999994</v>
      </c>
      <c r="CC123" s="12">
        <f>INDEX(ovrTable25,MATCH(INDEX(oppCol,ROW()),ovrTeamCol25,0),MATCH(MID(INDEX('Structured 2025'!headerRow,1,COLUMN()),4,LEN(INDEX('Structured 2025'!headerRow,1,COLUMN()))),ovrHeaderRow25,0))</f>
        <v>17.7</v>
      </c>
      <c r="CD123" s="12">
        <f>INDEX(ovrTable25,MATCH(INDEX(oppCol,ROW()),ovrTeamCol25,0),MATCH(MID(INDEX('Structured 2025'!headerRow,1,COLUMN()),4,LEN(INDEX('Structured 2025'!headerRow,1,COLUMN()))),ovrHeaderRow25,0))</f>
        <v>14</v>
      </c>
      <c r="CE123" s="12">
        <f>INDEX(ovrTable25,MATCH(INDEX(oppCol,ROW()),ovrTeamCol25,0),MATCH(MID(INDEX('Structured 2025'!headerRow,1,COLUMN()),4,LEN(INDEX('Structured 2025'!headerRow,1,COLUMN()))),ovrHeaderRow25,0))</f>
        <v>68</v>
      </c>
      <c r="CF123" s="12">
        <f>INDEX(ovrTable25,MATCH(INDEX(oppCol,ROW()),ovrTeamCol25,0),MATCH(MID(INDEX('Structured 2025'!headerRow,1,COLUMN()),4,LEN(INDEX('Structured 2025'!headerRow,1,COLUMN()))),ovrHeaderRow25,0))</f>
        <v>11.2</v>
      </c>
      <c r="CG123" s="12">
        <f>INDEX(ovrTable25,MATCH(INDEX(oppCol,ROW()),ovrTeamCol25,0),MATCH(MID(INDEX('Structured 2025'!headerRow,1,COLUMN()),4,LEN(INDEX('Structured 2025'!headerRow,1,COLUMN()))),ovrHeaderRow25,0))</f>
        <v>77</v>
      </c>
      <c r="CH123" s="12">
        <f>INDEX(ovrTable25,MATCH(INDEX(oppCol,ROW()),ovrTeamCol25,0),MATCH(MID(INDEX('Structured 2025'!headerRow,1,COLUMN()),4,LEN(INDEX('Structured 2025'!headerRow,1,COLUMN()))),ovrHeaderRow25,0))</f>
        <v>6</v>
      </c>
      <c r="CI123" s="12">
        <f>INDEX(ovrTable25,MATCH(INDEX(oppCol,ROW()),ovrTeamCol25,0),MATCH(MID(INDEX('Structured 2025'!headerRow,1,COLUMN()),4,LEN(INDEX('Structured 2025'!headerRow,1,COLUMN()))),ovrHeaderRow25,0))</f>
        <v>35.74</v>
      </c>
      <c r="CJ123" s="12">
        <f>INDEX(ovrTable25,MATCH(INDEX(oppCol,ROW()),ovrTeamCol25,0),MATCH(MID(INDEX('Structured 2025'!headerRow,1,COLUMN()),4,LEN(INDEX('Structured 2025'!headerRow,1,COLUMN()))),ovrHeaderRow25,0))</f>
        <v>9</v>
      </c>
      <c r="CK123" s="12">
        <f>INDEX(ovrTable25,MATCH(INDEX(oppCol,ROW()),ovrTeamCol25,0),MATCH(MID(INDEX('Structured 2025'!headerRow,1,COLUMN()),4,LEN(INDEX('Structured 2025'!headerRow,1,COLUMN()))),ovrHeaderRow25,0))</f>
        <v>5.4</v>
      </c>
      <c r="CL123" s="12">
        <f>INDEX(ovrTable25,MATCH(INDEX(oppCol,ROW()),ovrTeamCol25,0),MATCH(MID(INDEX('Structured 2025'!headerRow,1,COLUMN()),4,LEN(INDEX('Structured 2025'!headerRow,1,COLUMN()))),ovrHeaderRow25,0))</f>
        <v>-0.9</v>
      </c>
      <c r="CM123" s="12">
        <f>INDEX(ovrTable25,MATCH(INDEX(oppCol,ROW()),ovrTeamCol25,0),MATCH(MID(INDEX('Structured 2025'!headerRow,1,COLUMN()),4,LEN(INDEX('Structured 2025'!headerRow,1,COLUMN()))),ovrHeaderRow25,0))</f>
        <v>10.26</v>
      </c>
      <c r="CN123" s="12">
        <f>INDEX(ovrTable25,MATCH(INDEX(oppCol,ROW()),ovrTeamCol25,0),MATCH(MID(INDEX('Structured 2025'!headerRow,1,COLUMN()),4,LEN(INDEX('Structured 2025'!headerRow,1,COLUMN()))),ovrHeaderRow25,0))</f>
        <v>11.1</v>
      </c>
      <c r="CO123" s="12">
        <f>INDEX(ovrTable25,MATCH(INDEX(oppCol,ROW()),ovrTeamCol25,0),MATCH(MID(INDEX('Structured 2025'!headerRow,1,COLUMN()),4,LEN(INDEX('Structured 2025'!headerRow,1,COLUMN()))),ovrHeaderRow25,0))</f>
        <v>68.2</v>
      </c>
      <c r="CP123" s="12">
        <f>INDEX(ovrTable25,MATCH(INDEX(oppCol,ROW()),ovrTeamCol25,0),MATCH(MID(INDEX('Structured 2025'!headerRow,1,COLUMN()),4,LEN(INDEX('Structured 2025'!headerRow,1,COLUMN()))),ovrHeaderRow25,0))</f>
        <v>18.75</v>
      </c>
      <c r="CQ123" s="12">
        <f>INDEX(ovrTable25,MATCH(INDEX(oppCol,ROW()),ovrTeamCol25,0),MATCH(MID(INDEX('Structured 2025'!headerRow,1,COLUMN()),4,LEN(INDEX('Structured 2025'!headerRow,1,COLUMN()))),ovrHeaderRow25,0))</f>
        <v>57.368421052631582</v>
      </c>
    </row>
    <row r="124" spans="1:95" x14ac:dyDescent="0.3">
      <c r="A124" s="6" t="s">
        <v>48</v>
      </c>
      <c r="B124" s="3">
        <v>1</v>
      </c>
      <c r="C124" s="13" t="str">
        <f>A125</f>
        <v>ALA</v>
      </c>
      <c r="D124" s="14">
        <f t="shared" si="111"/>
        <v>62</v>
      </c>
      <c r="E124" s="23">
        <v>0.25</v>
      </c>
      <c r="F124" s="24">
        <v>53.571428571428569</v>
      </c>
      <c r="G124" s="24">
        <v>6</v>
      </c>
      <c r="H124" s="23">
        <v>46.153846153846153</v>
      </c>
      <c r="I124" s="24">
        <v>13</v>
      </c>
      <c r="J124" s="25">
        <v>1.4615384615384615</v>
      </c>
      <c r="K124" s="24">
        <v>19</v>
      </c>
      <c r="L124" s="24">
        <v>22</v>
      </c>
      <c r="M124" s="24">
        <v>7</v>
      </c>
      <c r="N124" s="24">
        <v>34</v>
      </c>
      <c r="O124" s="24">
        <v>19</v>
      </c>
      <c r="P124" s="24">
        <v>6</v>
      </c>
      <c r="Q124" s="24">
        <v>3</v>
      </c>
      <c r="R124" s="24">
        <v>13</v>
      </c>
      <c r="S124" s="24">
        <v>6</v>
      </c>
      <c r="T124" s="24">
        <v>15</v>
      </c>
      <c r="U124" s="24">
        <v>8</v>
      </c>
      <c r="V124" s="24">
        <v>0.35384615384615387</v>
      </c>
      <c r="W124" s="26">
        <v>0.5892857142857143</v>
      </c>
      <c r="X124" s="23">
        <v>86.36363636363636</v>
      </c>
      <c r="Y124" s="24">
        <v>65</v>
      </c>
      <c r="Z124" s="24">
        <v>85</v>
      </c>
      <c r="AA124" s="24">
        <v>11</v>
      </c>
      <c r="AB124" s="24">
        <v>41</v>
      </c>
      <c r="AC124" s="24">
        <v>20</v>
      </c>
      <c r="AD124" s="24">
        <v>-2</v>
      </c>
      <c r="AE124" s="24">
        <v>11</v>
      </c>
      <c r="AF124" s="34">
        <f t="shared" si="105"/>
        <v>24</v>
      </c>
      <c r="AG124" s="34">
        <f t="shared" si="106"/>
        <v>43</v>
      </c>
      <c r="AH124" s="46">
        <f t="shared" si="107"/>
        <v>72.45</v>
      </c>
      <c r="AI124" s="51">
        <f t="shared" ref="AI124" si="135">AVERAGE(AH124,AH125)</f>
        <v>72.550000000000011</v>
      </c>
      <c r="AJ124" s="12">
        <f>INDEX(ovrTable25,MATCH(INDEX('Structured 2025'!teamCol,ROW()),ovrTeamCol25,0),MATCH(MID(INDEX('Structured 2025'!headerRow,1,COLUMN()),4,LEN(INDEX('Structured 2025'!headerRow,1,COLUMN()))),ovrHeaderRow25,0))</f>
        <v>31.2</v>
      </c>
      <c r="AK124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124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124" s="12">
        <f>INDEX(ovrTable25,MATCH(INDEX('Structured 2025'!teamCol,ROW()),ovrTeamCol25,0),MATCH(MID(INDEX('Structured 2025'!headerRow,1,COLUMN()),4,LEN(INDEX('Structured 2025'!headerRow,1,COLUMN()))),ovrHeaderRow25,0))</f>
        <v>21.6</v>
      </c>
      <c r="AN124" s="12">
        <f>INDEX(ovrTable25,MATCH(INDEX('Structured 2025'!teamCol,ROW()),ovrTeamCol25,0),MATCH(MID(INDEX('Structured 2025'!headerRow,1,COLUMN()),4,LEN(INDEX('Structured 2025'!headerRow,1,COLUMN()))),ovrHeaderRow25,0))</f>
        <v>1.53</v>
      </c>
      <c r="AO124" s="12">
        <f>INDEX(ovrTable25,MATCH(INDEX('Structured 2025'!teamCol,ROW()),ovrTeamCol25,0),MATCH(MID(INDEX('Structured 2025'!headerRow,1,COLUMN()),4,LEN(INDEX('Structured 2025'!headerRow,1,COLUMN()))),ovrHeaderRow25,0))</f>
        <v>15.9</v>
      </c>
      <c r="AP124" s="12">
        <f>INDEX(ovrTable25,MATCH(INDEX('Structured 2025'!teamCol,ROW()),ovrTeamCol25,0),MATCH(MID(INDEX('Structured 2025'!headerRow,1,COLUMN()),4,LEN(INDEX('Structured 2025'!headerRow,1,COLUMN()))),ovrHeaderRow25,0))</f>
        <v>17.03</v>
      </c>
      <c r="AQ124" s="12">
        <f>INDEX(ovrTable25,MATCH(INDEX('Structured 2025'!teamCol,ROW()),ovrTeamCol25,0),MATCH(MID(INDEX('Structured 2025'!headerRow,1,COLUMN()),4,LEN(INDEX('Structured 2025'!headerRow,1,COLUMN()))),ovrHeaderRow25,0))</f>
        <v>1.6</v>
      </c>
      <c r="AR124" s="12">
        <f>INDEX(ovrTable25,MATCH(INDEX('Structured 2025'!teamCol,ROW()),ovrTeamCol25,0),MATCH(MID(INDEX('Structured 2025'!headerRow,1,COLUMN()),4,LEN(INDEX('Structured 2025'!headerRow,1,COLUMN()))),ovrHeaderRow25,0))</f>
        <v>45.2</v>
      </c>
      <c r="AS124" s="12">
        <f>INDEX(ovrTable25,MATCH(INDEX('Structured 2025'!teamCol,ROW()),ovrTeamCol25,0),MATCH(MID(INDEX('Structured 2025'!headerRow,1,COLUMN()),4,LEN(INDEX('Structured 2025'!headerRow,1,COLUMN()))),ovrHeaderRow25,0))</f>
        <v>23.08</v>
      </c>
      <c r="AT124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124" s="12">
        <f>INDEX(ovrTable25,MATCH(INDEX('Structured 2025'!teamCol,ROW()),ovrTeamCol25,0),MATCH(MID(INDEX('Structured 2025'!headerRow,1,COLUMN()),4,LEN(INDEX('Structured 2025'!headerRow,1,COLUMN()))),ovrHeaderRow25,0))</f>
        <v>7.83</v>
      </c>
      <c r="AV124" s="12">
        <f>INDEX(ovrTable25,MATCH(INDEX('Structured 2025'!teamCol,ROW()),ovrTeamCol25,0),MATCH(MID(INDEX('Structured 2025'!headerRow,1,COLUMN()),4,LEN(INDEX('Structured 2025'!headerRow,1,COLUMN()))),ovrHeaderRow25,0))</f>
        <v>48.6</v>
      </c>
      <c r="AW124" s="12">
        <f>INDEX(ovrTable25,MATCH(INDEX('Structured 2025'!teamCol,ROW()),ovrTeamCol25,0),MATCH(MID(INDEX('Structured 2025'!headerRow,1,COLUMN()),4,LEN(INDEX('Structured 2025'!headerRow,1,COLUMN()))),ovrHeaderRow25,0))</f>
        <v>15.8</v>
      </c>
      <c r="AX124" s="12">
        <f>INDEX(ovrTable25,MATCH(INDEX('Structured 2025'!teamCol,ROW()),ovrTeamCol25,0),MATCH(MID(INDEX('Structured 2025'!headerRow,1,COLUMN()),4,LEN(INDEX('Structured 2025'!headerRow,1,COLUMN()))),ovrHeaderRow25,0))</f>
        <v>73.2</v>
      </c>
      <c r="AY124" s="12">
        <f>INDEX(ovrTable25,MATCH(INDEX('Structured 2025'!teamCol,ROW()),ovrTeamCol25,0),MATCH(MID(INDEX('Structured 2025'!headerRow,1,COLUMN()),4,LEN(INDEX('Structured 2025'!headerRow,1,COLUMN()))),ovrHeaderRow25,0))</f>
        <v>19.5</v>
      </c>
      <c r="AZ124" s="12">
        <f>INDEX(ovrTable25,MATCH(INDEX('Structured 2025'!teamCol,ROW()),ovrTeamCol25,0),MATCH(MID(INDEX('Structured 2025'!headerRow,1,COLUMN()),4,LEN(INDEX('Structured 2025'!headerRow,1,COLUMN()))),ovrHeaderRow25,0))</f>
        <v>14.3</v>
      </c>
      <c r="BA124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124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124" s="12">
        <f>INDEX(ovrTable25,MATCH(INDEX('Structured 2025'!teamCol,ROW()),ovrTeamCol25,0),MATCH(MID(INDEX('Structured 2025'!headerRow,1,COLUMN()),4,LEN(INDEX('Structured 2025'!headerRow,1,COLUMN()))),ovrHeaderRow25,0))</f>
        <v>77.3</v>
      </c>
      <c r="BD124" s="12">
        <f>INDEX(ovrTable25,MATCH(INDEX('Structured 2025'!teamCol,ROW()),ovrTeamCol25,0),MATCH(MID(INDEX('Structured 2025'!headerRow,1,COLUMN()),4,LEN(INDEX('Structured 2025'!headerRow,1,COLUMN()))),ovrHeaderRow25,0))</f>
        <v>2.1</v>
      </c>
      <c r="BE124" s="12">
        <f>INDEX(ovrTable25,MATCH(INDEX('Structured 2025'!teamCol,ROW()),ovrTeamCol25,0),MATCH(MID(INDEX('Structured 2025'!headerRow,1,COLUMN()),4,LEN(INDEX('Structured 2025'!headerRow,1,COLUMN()))),ovrHeaderRow25,0))</f>
        <v>32.86</v>
      </c>
      <c r="BF124" s="12">
        <f>INDEX(ovrTable25,MATCH(INDEX('Structured 2025'!teamCol,ROW()),ovrTeamCol25,0),MATCH(MID(INDEX('Structured 2025'!headerRow,1,COLUMN()),4,LEN(INDEX('Structured 2025'!headerRow,1,COLUMN()))),ovrHeaderRow25,0))</f>
        <v>6.9</v>
      </c>
      <c r="BG124" s="12">
        <f>INDEX(ovrTable25,MATCH(INDEX('Structured 2025'!teamCol,ROW()),ovrTeamCol25,0),MATCH(MID(INDEX('Structured 2025'!headerRow,1,COLUMN()),4,LEN(INDEX('Structured 2025'!headerRow,1,COLUMN()))),ovrHeaderRow25,0))</f>
        <v>6.4</v>
      </c>
      <c r="BH124" s="12">
        <f>INDEX(ovrTable25,MATCH(INDEX('Structured 2025'!teamCol,ROW()),ovrTeamCol25,0),MATCH(MID(INDEX('Structured 2025'!headerRow,1,COLUMN()),4,LEN(INDEX('Structured 2025'!headerRow,1,COLUMN()))),ovrHeaderRow25,0))</f>
        <v>1.2</v>
      </c>
      <c r="BI124" s="12">
        <f>INDEX(ovrTable25,MATCH(INDEX('Structured 2025'!teamCol,ROW()),ovrTeamCol25,0),MATCH(MID(INDEX('Structured 2025'!headerRow,1,COLUMN()),4,LEN(INDEX('Structured 2025'!headerRow,1,COLUMN()))),ovrHeaderRow25,0))</f>
        <v>11.61</v>
      </c>
      <c r="BJ124" s="12">
        <f>INDEX(ovrTable25,MATCH(INDEX('Structured 2025'!teamCol,ROW()),ovrTeamCol25,0),MATCH(MID(INDEX('Structured 2025'!headerRow,1,COLUMN()),4,LEN(INDEX('Structured 2025'!headerRow,1,COLUMN()))),ovrHeaderRow25,0))</f>
        <v>10.4</v>
      </c>
      <c r="BK124" s="12">
        <f>INDEX(ovrTable25,MATCH(INDEX('Structured 2025'!teamCol,ROW()),ovrTeamCol25,0),MATCH(MID(INDEX('Structured 2025'!headerRow,1,COLUMN()),4,LEN(INDEX('Structured 2025'!headerRow,1,COLUMN()))),ovrHeaderRow25,0))</f>
        <v>66</v>
      </c>
      <c r="BL124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124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124" s="12">
        <f>INDEX(ovrTable25,MATCH(INDEX(oppCol,ROW()),ovrTeamCol25,0),MATCH(MID(INDEX('Structured 2025'!headerRow,1,COLUMN()),4,LEN(INDEX('Structured 2025'!headerRow,1,COLUMN()))),ovrHeaderRow25,0))</f>
        <v>30.4</v>
      </c>
      <c r="BO124" s="12">
        <f>INDEX(ovrTable25,MATCH(INDEX(oppCol,ROW()),ovrTeamCol25,0),MATCH(MID(INDEX('Structured 2025'!headerRow,1,COLUMN()),4,LEN(INDEX('Structured 2025'!headerRow,1,COLUMN()))),ovrHeaderRow25,0))</f>
        <v>10.5</v>
      </c>
      <c r="BP124" s="12">
        <f>INDEX(ovrTable25,MATCH(INDEX(oppCol,ROW()),ovrTeamCol25,0),MATCH(MID(INDEX('Structured 2025'!headerRow,1,COLUMN()),4,LEN(INDEX('Structured 2025'!headerRow,1,COLUMN()))),ovrHeaderRow25,0))</f>
        <v>35.299999999999997</v>
      </c>
      <c r="BQ124" s="12">
        <f>INDEX(ovrTable25,MATCH(INDEX(oppCol,ROW()),ovrTeamCol25,0),MATCH(MID(INDEX('Structured 2025'!headerRow,1,COLUMN()),4,LEN(INDEX('Structured 2025'!headerRow,1,COLUMN()))),ovrHeaderRow25,0))</f>
        <v>29.8</v>
      </c>
      <c r="BR124" s="12">
        <f>INDEX(ovrTable25,MATCH(INDEX(oppCol,ROW()),ovrTeamCol25,0),MATCH(MID(INDEX('Structured 2025'!headerRow,1,COLUMN()),4,LEN(INDEX('Structured 2025'!headerRow,1,COLUMN()))),ovrHeaderRow25,0))</f>
        <v>1.36</v>
      </c>
      <c r="BS124" s="12">
        <f>INDEX(ovrTable25,MATCH(INDEX(oppCol,ROW()),ovrTeamCol25,0),MATCH(MID(INDEX('Structured 2025'!headerRow,1,COLUMN()),4,LEN(INDEX('Structured 2025'!headerRow,1,COLUMN()))),ovrHeaderRow25,0))</f>
        <v>17.2</v>
      </c>
      <c r="BT124" s="12">
        <f>INDEX(ovrTable25,MATCH(INDEX(oppCol,ROW()),ovrTeamCol25,0),MATCH(MID(INDEX('Structured 2025'!headerRow,1,COLUMN()),4,LEN(INDEX('Structured 2025'!headerRow,1,COLUMN()))),ovrHeaderRow25,0))</f>
        <v>33.840000000000003</v>
      </c>
      <c r="BU124" s="12">
        <f>INDEX(ovrTable25,MATCH(INDEX(oppCol,ROW()),ovrTeamCol25,0),MATCH(MID(INDEX('Structured 2025'!headerRow,1,COLUMN()),4,LEN(INDEX('Structured 2025'!headerRow,1,COLUMN()))),ovrHeaderRow25,0))</f>
        <v>4.5</v>
      </c>
      <c r="BV124" s="12">
        <f>INDEX(ovrTable25,MATCH(INDEX(oppCol,ROW()),ovrTeamCol25,0),MATCH(MID(INDEX('Structured 2025'!headerRow,1,COLUMN()),4,LEN(INDEX('Structured 2025'!headerRow,1,COLUMN()))),ovrHeaderRow25,0))</f>
        <v>42.6</v>
      </c>
      <c r="BW124" s="12">
        <f>INDEX(ovrTable25,MATCH(INDEX(oppCol,ROW()),ovrTeamCol25,0),MATCH(MID(INDEX('Structured 2025'!headerRow,1,COLUMN()),4,LEN(INDEX('Structured 2025'!headerRow,1,COLUMN()))),ovrHeaderRow25,0))</f>
        <v>29.95</v>
      </c>
      <c r="BX124" s="12">
        <f>INDEX(ovrTable25,MATCH(INDEX(oppCol,ROW()),ovrTeamCol25,0),MATCH(MID(INDEX('Structured 2025'!headerRow,1,COLUMN()),4,LEN(INDEX('Structured 2025'!headerRow,1,COLUMN()))),ovrHeaderRow25,0))</f>
        <v>0.56599999999999995</v>
      </c>
      <c r="BY124" s="12">
        <f>INDEX(ovrTable25,MATCH(INDEX(oppCol,ROW()),ovrTeamCol25,0),MATCH(MID(INDEX('Structured 2025'!headerRow,1,COLUMN()),4,LEN(INDEX('Structured 2025'!headerRow,1,COLUMN()))),ovrHeaderRow25,0))</f>
        <v>13.51</v>
      </c>
      <c r="BZ124" s="12">
        <f>INDEX(ovrTable25,MATCH(INDEX(oppCol,ROW()),ovrTeamCol25,0),MATCH(MID(INDEX('Structured 2025'!headerRow,1,COLUMN()),4,LEN(INDEX('Structured 2025'!headerRow,1,COLUMN()))),ovrHeaderRow25,0))</f>
        <v>48.4</v>
      </c>
      <c r="CA124" s="12">
        <f>INDEX(ovrTable25,MATCH(INDEX(oppCol,ROW()),ovrTeamCol25,0),MATCH(MID(INDEX('Structured 2025'!headerRow,1,COLUMN()),4,LEN(INDEX('Structured 2025'!headerRow,1,COLUMN()))),ovrHeaderRow25,0))</f>
        <v>18.899999999999999</v>
      </c>
      <c r="CB124" s="12">
        <f>INDEX(ovrTable25,MATCH(INDEX(oppCol,ROW()),ovrTeamCol25,0),MATCH(MID(INDEX('Structured 2025'!headerRow,1,COLUMN()),4,LEN(INDEX('Structured 2025'!headerRow,1,COLUMN()))),ovrHeaderRow25,0))</f>
        <v>72</v>
      </c>
      <c r="CC124" s="12">
        <f>INDEX(ovrTable25,MATCH(INDEX(oppCol,ROW()),ovrTeamCol25,0),MATCH(MID(INDEX('Structured 2025'!headerRow,1,COLUMN()),4,LEN(INDEX('Structured 2025'!headerRow,1,COLUMN()))),ovrHeaderRow25,0))</f>
        <v>25.2</v>
      </c>
      <c r="CD124" s="12">
        <f>INDEX(ovrTable25,MATCH(INDEX(oppCol,ROW()),ovrTeamCol25,0),MATCH(MID(INDEX('Structured 2025'!headerRow,1,COLUMN()),4,LEN(INDEX('Structured 2025'!headerRow,1,COLUMN()))),ovrHeaderRow25,0))</f>
        <v>18.100000000000001</v>
      </c>
      <c r="CE124" s="12">
        <f>INDEX(ovrTable25,MATCH(INDEX(oppCol,ROW()),ovrTeamCol25,0),MATCH(MID(INDEX('Structured 2025'!headerRow,1,COLUMN()),4,LEN(INDEX('Structured 2025'!headerRow,1,COLUMN()))),ovrHeaderRow25,0))</f>
        <v>81.3</v>
      </c>
      <c r="CF124" s="12">
        <f>INDEX(ovrTable25,MATCH(INDEX(oppCol,ROW()),ovrTeamCol25,0),MATCH(MID(INDEX('Structured 2025'!headerRow,1,COLUMN()),4,LEN(INDEX('Structured 2025'!headerRow,1,COLUMN()))),ovrHeaderRow25,0))</f>
        <v>12.41</v>
      </c>
      <c r="CG124" s="12">
        <f>INDEX(ovrTable25,MATCH(INDEX(oppCol,ROW()),ovrTeamCol25,0),MATCH(MID(INDEX('Structured 2025'!headerRow,1,COLUMN()),4,LEN(INDEX('Structured 2025'!headerRow,1,COLUMN()))),ovrHeaderRow25,0))</f>
        <v>90.7</v>
      </c>
      <c r="CH124" s="12">
        <f>INDEX(ovrTable25,MATCH(INDEX(oppCol,ROW()),ovrTeamCol25,0),MATCH(MID(INDEX('Structured 2025'!headerRow,1,COLUMN()),4,LEN(INDEX('Structured 2025'!headerRow,1,COLUMN()))),ovrHeaderRow25,0))</f>
        <v>5.5</v>
      </c>
      <c r="CI124" s="12">
        <f>INDEX(ovrTable25,MATCH(INDEX(oppCol,ROW()),ovrTeamCol25,0),MATCH(MID(INDEX('Structured 2025'!headerRow,1,COLUMN()),4,LEN(INDEX('Structured 2025'!headerRow,1,COLUMN()))),ovrHeaderRow25,0))</f>
        <v>42.35</v>
      </c>
      <c r="CJ124" s="12">
        <f>INDEX(ovrTable25,MATCH(INDEX(oppCol,ROW()),ovrTeamCol25,0),MATCH(MID(INDEX('Structured 2025'!headerRow,1,COLUMN()),4,LEN(INDEX('Structured 2025'!headerRow,1,COLUMN()))),ovrHeaderRow25,0))</f>
        <v>9.4</v>
      </c>
      <c r="CK124" s="12">
        <f>INDEX(ovrTable25,MATCH(INDEX(oppCol,ROW()),ovrTeamCol25,0),MATCH(MID(INDEX('Structured 2025'!headerRow,1,COLUMN()),4,LEN(INDEX('Structured 2025'!headerRow,1,COLUMN()))),ovrHeaderRow25,0))</f>
        <v>6.2</v>
      </c>
      <c r="CL124" s="12">
        <f>INDEX(ovrTable25,MATCH(INDEX(oppCol,ROW()),ovrTeamCol25,0),MATCH(MID(INDEX('Structured 2025'!headerRow,1,COLUMN()),4,LEN(INDEX('Structured 2025'!headerRow,1,COLUMN()))),ovrHeaderRow25,0))</f>
        <v>-2.4</v>
      </c>
      <c r="CM124" s="12">
        <f>INDEX(ovrTable25,MATCH(INDEX(oppCol,ROW()),ovrTeamCol25,0),MATCH(MID(INDEX('Structured 2025'!headerRow,1,COLUMN()),4,LEN(INDEX('Structured 2025'!headerRow,1,COLUMN()))),ovrHeaderRow25,0))</f>
        <v>10.32</v>
      </c>
      <c r="CN124" s="12">
        <f>INDEX(ovrTable25,MATCH(INDEX(oppCol,ROW()),ovrTeamCol25,0),MATCH(MID(INDEX('Structured 2025'!headerRow,1,COLUMN()),4,LEN(INDEX('Structured 2025'!headerRow,1,COLUMN()))),ovrHeaderRow25,0))</f>
        <v>12.7</v>
      </c>
      <c r="CO124" s="12">
        <f>INDEX(ovrTable25,MATCH(INDEX(oppCol,ROW()),ovrTeamCol25,0),MATCH(MID(INDEX('Structured 2025'!headerRow,1,COLUMN()),4,LEN(INDEX('Structured 2025'!headerRow,1,COLUMN()))),ovrHeaderRow25,0))</f>
        <v>75.3</v>
      </c>
      <c r="CP124" s="12">
        <f>INDEX(ovrTable25,MATCH(INDEX(oppCol,ROW()),ovrTeamCol25,0),MATCH(MID(INDEX('Structured 2025'!headerRow,1,COLUMN()),4,LEN(INDEX('Structured 2025'!headerRow,1,COLUMN()))),ovrHeaderRow25,0))</f>
        <v>20.549999999999997</v>
      </c>
      <c r="CQ124" s="12">
        <f>INDEX(ovrTable25,MATCH(INDEX(oppCol,ROW()),ovrTeamCol25,0),MATCH(MID(INDEX('Structured 2025'!headerRow,1,COLUMN()),4,LEN(INDEX('Structured 2025'!headerRow,1,COLUMN()))),ovrHeaderRow25,0))</f>
        <v>64.152892561983464</v>
      </c>
    </row>
    <row r="125" spans="1:95" x14ac:dyDescent="0.3">
      <c r="A125" s="6" t="s">
        <v>21</v>
      </c>
      <c r="B125" s="3">
        <v>2</v>
      </c>
      <c r="C125" s="13" t="str">
        <f>A124</f>
        <v>DUKE</v>
      </c>
      <c r="D125" s="14">
        <f t="shared" si="111"/>
        <v>62</v>
      </c>
      <c r="E125" s="23">
        <v>0.46153846153846156</v>
      </c>
      <c r="F125" s="24">
        <v>35.384615384615387</v>
      </c>
      <c r="G125" s="24">
        <v>8</v>
      </c>
      <c r="H125" s="23">
        <v>25</v>
      </c>
      <c r="I125" s="24">
        <v>32</v>
      </c>
      <c r="J125" s="25">
        <v>1.2727272727272727</v>
      </c>
      <c r="K125" s="24">
        <v>11</v>
      </c>
      <c r="L125" s="24">
        <v>14</v>
      </c>
      <c r="M125" s="24">
        <v>10</v>
      </c>
      <c r="N125" s="24">
        <v>20</v>
      </c>
      <c r="O125" s="24">
        <v>14</v>
      </c>
      <c r="P125" s="24">
        <v>9</v>
      </c>
      <c r="Q125" s="24">
        <v>5</v>
      </c>
      <c r="R125" s="24">
        <v>11</v>
      </c>
      <c r="S125" s="24">
        <v>8</v>
      </c>
      <c r="T125" s="24">
        <v>18</v>
      </c>
      <c r="U125" s="24">
        <v>19</v>
      </c>
      <c r="V125" s="24">
        <v>0.5357142857142857</v>
      </c>
      <c r="W125" s="26">
        <v>0.41538461538461541</v>
      </c>
      <c r="X125" s="23">
        <v>78.571428571428569</v>
      </c>
      <c r="Y125" s="24">
        <v>85</v>
      </c>
      <c r="Z125" s="24">
        <v>65</v>
      </c>
      <c r="AA125" s="24">
        <v>-11</v>
      </c>
      <c r="AB125" s="24">
        <v>30</v>
      </c>
      <c r="AC125" s="24">
        <v>-20</v>
      </c>
      <c r="AD125" s="24">
        <v>2</v>
      </c>
      <c r="AE125" s="24">
        <v>13</v>
      </c>
      <c r="AF125" s="34">
        <f t="shared" si="105"/>
        <v>15</v>
      </c>
      <c r="AG125" s="34">
        <f t="shared" si="106"/>
        <v>33</v>
      </c>
      <c r="AH125" s="46">
        <f t="shared" si="107"/>
        <v>72.650000000000006</v>
      </c>
      <c r="AI125" s="51">
        <f t="shared" ref="AI125" si="136">AVERAGE(AH124,AH125)</f>
        <v>72.550000000000011</v>
      </c>
      <c r="AJ125" s="12">
        <f>INDEX(ovrTable25,MATCH(INDEX('Structured 2025'!teamCol,ROW()),ovrTeamCol25,0),MATCH(MID(INDEX('Structured 2025'!headerRow,1,COLUMN()),4,LEN(INDEX('Structured 2025'!headerRow,1,COLUMN()))),ovrHeaderRow25,0))</f>
        <v>30.4</v>
      </c>
      <c r="AK125" s="12">
        <f>INDEX(ovrTable25,MATCH(INDEX('Structured 2025'!teamCol,ROW()),ovrTeamCol25,0),MATCH(MID(INDEX('Structured 2025'!headerRow,1,COLUMN()),4,LEN(INDEX('Structured 2025'!headerRow,1,COLUMN()))),ovrHeaderRow25,0))</f>
        <v>10.5</v>
      </c>
      <c r="AL125" s="12">
        <f>INDEX(ovrTable25,MATCH(INDEX('Structured 2025'!teamCol,ROW()),ovrTeamCol25,0),MATCH(MID(INDEX('Structured 2025'!headerRow,1,COLUMN()),4,LEN(INDEX('Structured 2025'!headerRow,1,COLUMN()))),ovrHeaderRow25,0))</f>
        <v>35.299999999999997</v>
      </c>
      <c r="AM125" s="12">
        <f>INDEX(ovrTable25,MATCH(INDEX('Structured 2025'!teamCol,ROW()),ovrTeamCol25,0),MATCH(MID(INDEX('Structured 2025'!headerRow,1,COLUMN()),4,LEN(INDEX('Structured 2025'!headerRow,1,COLUMN()))),ovrHeaderRow25,0))</f>
        <v>29.8</v>
      </c>
      <c r="AN125" s="12">
        <f>INDEX(ovrTable25,MATCH(INDEX('Structured 2025'!teamCol,ROW()),ovrTeamCol25,0),MATCH(MID(INDEX('Structured 2025'!headerRow,1,COLUMN()),4,LEN(INDEX('Structured 2025'!headerRow,1,COLUMN()))),ovrHeaderRow25,0))</f>
        <v>1.36</v>
      </c>
      <c r="AO125" s="12">
        <f>INDEX(ovrTable25,MATCH(INDEX('Structured 2025'!teamCol,ROW()),ovrTeamCol25,0),MATCH(MID(INDEX('Structured 2025'!headerRow,1,COLUMN()),4,LEN(INDEX('Structured 2025'!headerRow,1,COLUMN()))),ovrHeaderRow25,0))</f>
        <v>17.2</v>
      </c>
      <c r="AP125" s="12">
        <f>INDEX(ovrTable25,MATCH(INDEX('Structured 2025'!teamCol,ROW()),ovrTeamCol25,0),MATCH(MID(INDEX('Structured 2025'!headerRow,1,COLUMN()),4,LEN(INDEX('Structured 2025'!headerRow,1,COLUMN()))),ovrHeaderRow25,0))</f>
        <v>33.840000000000003</v>
      </c>
      <c r="AQ125" s="12">
        <f>INDEX(ovrTable25,MATCH(INDEX('Structured 2025'!teamCol,ROW()),ovrTeamCol25,0),MATCH(MID(INDEX('Structured 2025'!headerRow,1,COLUMN()),4,LEN(INDEX('Structured 2025'!headerRow,1,COLUMN()))),ovrHeaderRow25,0))</f>
        <v>4.5</v>
      </c>
      <c r="AR125" s="12">
        <f>INDEX(ovrTable25,MATCH(INDEX('Structured 2025'!teamCol,ROW()),ovrTeamCol25,0),MATCH(MID(INDEX('Structured 2025'!headerRow,1,COLUMN()),4,LEN(INDEX('Structured 2025'!headerRow,1,COLUMN()))),ovrHeaderRow25,0))</f>
        <v>42.6</v>
      </c>
      <c r="AS125" s="12">
        <f>INDEX(ovrTable25,MATCH(INDEX('Structured 2025'!teamCol,ROW()),ovrTeamCol25,0),MATCH(MID(INDEX('Structured 2025'!headerRow,1,COLUMN()),4,LEN(INDEX('Structured 2025'!headerRow,1,COLUMN()))),ovrHeaderRow25,0))</f>
        <v>29.95</v>
      </c>
      <c r="AT125" s="12">
        <f>INDEX(ovrTable25,MATCH(INDEX('Structured 2025'!teamCol,ROW()),ovrTeamCol25,0),MATCH(MID(INDEX('Structured 2025'!headerRow,1,COLUMN()),4,LEN(INDEX('Structured 2025'!headerRow,1,COLUMN()))),ovrHeaderRow25,0))</f>
        <v>0.56599999999999995</v>
      </c>
      <c r="AU125" s="12">
        <f>INDEX(ovrTable25,MATCH(INDEX('Structured 2025'!teamCol,ROW()),ovrTeamCol25,0),MATCH(MID(INDEX('Structured 2025'!headerRow,1,COLUMN()),4,LEN(INDEX('Structured 2025'!headerRow,1,COLUMN()))),ovrHeaderRow25,0))</f>
        <v>13.51</v>
      </c>
      <c r="AV125" s="12">
        <f>INDEX(ovrTable25,MATCH(INDEX('Structured 2025'!teamCol,ROW()),ovrTeamCol25,0),MATCH(MID(INDEX('Structured 2025'!headerRow,1,COLUMN()),4,LEN(INDEX('Structured 2025'!headerRow,1,COLUMN()))),ovrHeaderRow25,0))</f>
        <v>48.4</v>
      </c>
      <c r="AW125" s="12">
        <f>INDEX(ovrTable25,MATCH(INDEX('Structured 2025'!teamCol,ROW()),ovrTeamCol25,0),MATCH(MID(INDEX('Structured 2025'!headerRow,1,COLUMN()),4,LEN(INDEX('Structured 2025'!headerRow,1,COLUMN()))),ovrHeaderRow25,0))</f>
        <v>18.899999999999999</v>
      </c>
      <c r="AX125" s="12">
        <f>INDEX(ovrTable25,MATCH(INDEX('Structured 2025'!teamCol,ROW()),ovrTeamCol25,0),MATCH(MID(INDEX('Structured 2025'!headerRow,1,COLUMN()),4,LEN(INDEX('Structured 2025'!headerRow,1,COLUMN()))),ovrHeaderRow25,0))</f>
        <v>72</v>
      </c>
      <c r="AY125" s="12">
        <f>INDEX(ovrTable25,MATCH(INDEX('Structured 2025'!teamCol,ROW()),ovrTeamCol25,0),MATCH(MID(INDEX('Structured 2025'!headerRow,1,COLUMN()),4,LEN(INDEX('Structured 2025'!headerRow,1,COLUMN()))),ovrHeaderRow25,0))</f>
        <v>25.2</v>
      </c>
      <c r="AZ125" s="12">
        <f>INDEX(ovrTable25,MATCH(INDEX('Structured 2025'!teamCol,ROW()),ovrTeamCol25,0),MATCH(MID(INDEX('Structured 2025'!headerRow,1,COLUMN()),4,LEN(INDEX('Structured 2025'!headerRow,1,COLUMN()))),ovrHeaderRow25,0))</f>
        <v>18.100000000000001</v>
      </c>
      <c r="BA125" s="12">
        <f>INDEX(ovrTable25,MATCH(INDEX('Structured 2025'!teamCol,ROW()),ovrTeamCol25,0),MATCH(MID(INDEX('Structured 2025'!headerRow,1,COLUMN()),4,LEN(INDEX('Structured 2025'!headerRow,1,COLUMN()))),ovrHeaderRow25,0))</f>
        <v>81.3</v>
      </c>
      <c r="BB125" s="12">
        <f>INDEX(ovrTable25,MATCH(INDEX('Structured 2025'!teamCol,ROW()),ovrTeamCol25,0),MATCH(MID(INDEX('Structured 2025'!headerRow,1,COLUMN()),4,LEN(INDEX('Structured 2025'!headerRow,1,COLUMN()))),ovrHeaderRow25,0))</f>
        <v>12.41</v>
      </c>
      <c r="BC125" s="12">
        <f>INDEX(ovrTable25,MATCH(INDEX('Structured 2025'!teamCol,ROW()),ovrTeamCol25,0),MATCH(MID(INDEX('Structured 2025'!headerRow,1,COLUMN()),4,LEN(INDEX('Structured 2025'!headerRow,1,COLUMN()))),ovrHeaderRow25,0))</f>
        <v>90.7</v>
      </c>
      <c r="BD125" s="12">
        <f>INDEX(ovrTable25,MATCH(INDEX('Structured 2025'!teamCol,ROW()),ovrTeamCol25,0),MATCH(MID(INDEX('Structured 2025'!headerRow,1,COLUMN()),4,LEN(INDEX('Structured 2025'!headerRow,1,COLUMN()))),ovrHeaderRow25,0))</f>
        <v>5.5</v>
      </c>
      <c r="BE125" s="12">
        <f>INDEX(ovrTable25,MATCH(INDEX('Structured 2025'!teamCol,ROW()),ovrTeamCol25,0),MATCH(MID(INDEX('Structured 2025'!headerRow,1,COLUMN()),4,LEN(INDEX('Structured 2025'!headerRow,1,COLUMN()))),ovrHeaderRow25,0))</f>
        <v>42.35</v>
      </c>
      <c r="BF125" s="12">
        <f>INDEX(ovrTable25,MATCH(INDEX('Structured 2025'!teamCol,ROW()),ovrTeamCol25,0),MATCH(MID(INDEX('Structured 2025'!headerRow,1,COLUMN()),4,LEN(INDEX('Structured 2025'!headerRow,1,COLUMN()))),ovrHeaderRow25,0))</f>
        <v>9.4</v>
      </c>
      <c r="BG125" s="12">
        <f>INDEX(ovrTable25,MATCH(INDEX('Structured 2025'!teamCol,ROW()),ovrTeamCol25,0),MATCH(MID(INDEX('Structured 2025'!headerRow,1,COLUMN()),4,LEN(INDEX('Structured 2025'!headerRow,1,COLUMN()))),ovrHeaderRow25,0))</f>
        <v>6.2</v>
      </c>
      <c r="BH125" s="12">
        <f>INDEX(ovrTable25,MATCH(INDEX('Structured 2025'!teamCol,ROW()),ovrTeamCol25,0),MATCH(MID(INDEX('Structured 2025'!headerRow,1,COLUMN()),4,LEN(INDEX('Structured 2025'!headerRow,1,COLUMN()))),ovrHeaderRow25,0))</f>
        <v>-2.4</v>
      </c>
      <c r="BI125" s="12">
        <f>INDEX(ovrTable25,MATCH(INDEX('Structured 2025'!teamCol,ROW()),ovrTeamCol25,0),MATCH(MID(INDEX('Structured 2025'!headerRow,1,COLUMN()),4,LEN(INDEX('Structured 2025'!headerRow,1,COLUMN()))),ovrHeaderRow25,0))</f>
        <v>10.32</v>
      </c>
      <c r="BJ125" s="12">
        <f>INDEX(ovrTable25,MATCH(INDEX('Structured 2025'!teamCol,ROW()),ovrTeamCol25,0),MATCH(MID(INDEX('Structured 2025'!headerRow,1,COLUMN()),4,LEN(INDEX('Structured 2025'!headerRow,1,COLUMN()))),ovrHeaderRow25,0))</f>
        <v>12.7</v>
      </c>
      <c r="BK125" s="12">
        <f>INDEX(ovrTable25,MATCH(INDEX('Structured 2025'!teamCol,ROW()),ovrTeamCol25,0),MATCH(MID(INDEX('Structured 2025'!headerRow,1,COLUMN()),4,LEN(INDEX('Structured 2025'!headerRow,1,COLUMN()))),ovrHeaderRow25,0))</f>
        <v>75.3</v>
      </c>
      <c r="BL125" s="12">
        <f>INDEX(ovrTable25,MATCH(INDEX('Structured 2025'!teamCol,ROW()),ovrTeamCol25,0),MATCH(MID(INDEX('Structured 2025'!headerRow,1,COLUMN()),4,LEN(INDEX('Structured 2025'!headerRow,1,COLUMN()))),ovrHeaderRow25,0))</f>
        <v>20.549999999999997</v>
      </c>
      <c r="BM125" s="12">
        <f>INDEX(ovrTable25,MATCH(INDEX('Structured 2025'!teamCol,ROW()),ovrTeamCol25,0),MATCH(MID(INDEX('Structured 2025'!headerRow,1,COLUMN()),4,LEN(INDEX('Structured 2025'!headerRow,1,COLUMN()))),ovrHeaderRow25,0))</f>
        <v>64.152892561983464</v>
      </c>
      <c r="BN125" s="12">
        <f>INDEX(ovrTable25,MATCH(INDEX(oppCol,ROW()),ovrTeamCol25,0),MATCH(MID(INDEX('Structured 2025'!headerRow,1,COLUMN()),4,LEN(INDEX('Structured 2025'!headerRow,1,COLUMN()))),ovrHeaderRow25,0))</f>
        <v>31.2</v>
      </c>
      <c r="BO125" s="12">
        <f>INDEX(ovrTable25,MATCH(INDEX(oppCol,ROW()),ovrTeamCol25,0),MATCH(MID(INDEX('Structured 2025'!headerRow,1,COLUMN()),4,LEN(INDEX('Structured 2025'!headerRow,1,COLUMN()))),ovrHeaderRow25,0))</f>
        <v>8.3000000000000007</v>
      </c>
      <c r="BP125" s="12">
        <f>INDEX(ovrTable25,MATCH(INDEX(oppCol,ROW()),ovrTeamCol25,0),MATCH(MID(INDEX('Structured 2025'!headerRow,1,COLUMN()),4,LEN(INDEX('Structured 2025'!headerRow,1,COLUMN()))),ovrHeaderRow25,0))</f>
        <v>38.200000000000003</v>
      </c>
      <c r="BQ125" s="12">
        <f>INDEX(ovrTable25,MATCH(INDEX(oppCol,ROW()),ovrTeamCol25,0),MATCH(MID(INDEX('Structured 2025'!headerRow,1,COLUMN()),4,LEN(INDEX('Structured 2025'!headerRow,1,COLUMN()))),ovrHeaderRow25,0))</f>
        <v>21.6</v>
      </c>
      <c r="BR125" s="12">
        <f>INDEX(ovrTable25,MATCH(INDEX(oppCol,ROW()),ovrTeamCol25,0),MATCH(MID(INDEX('Structured 2025'!headerRow,1,COLUMN()),4,LEN(INDEX('Structured 2025'!headerRow,1,COLUMN()))),ovrHeaderRow25,0))</f>
        <v>1.53</v>
      </c>
      <c r="BS125" s="12">
        <f>INDEX(ovrTable25,MATCH(INDEX(oppCol,ROW()),ovrTeamCol25,0),MATCH(MID(INDEX('Structured 2025'!headerRow,1,COLUMN()),4,LEN(INDEX('Structured 2025'!headerRow,1,COLUMN()))),ovrHeaderRow25,0))</f>
        <v>15.9</v>
      </c>
      <c r="BT125" s="12">
        <f>INDEX(ovrTable25,MATCH(INDEX(oppCol,ROW()),ovrTeamCol25,0),MATCH(MID(INDEX('Structured 2025'!headerRow,1,COLUMN()),4,LEN(INDEX('Structured 2025'!headerRow,1,COLUMN()))),ovrHeaderRow25,0))</f>
        <v>17.03</v>
      </c>
      <c r="BU125" s="12">
        <f>INDEX(ovrTable25,MATCH(INDEX(oppCol,ROW()),ovrTeamCol25,0),MATCH(MID(INDEX('Structured 2025'!headerRow,1,COLUMN()),4,LEN(INDEX('Structured 2025'!headerRow,1,COLUMN()))),ovrHeaderRow25,0))</f>
        <v>1.6</v>
      </c>
      <c r="BV125" s="12">
        <f>INDEX(ovrTable25,MATCH(INDEX(oppCol,ROW()),ovrTeamCol25,0),MATCH(MID(INDEX('Structured 2025'!headerRow,1,COLUMN()),4,LEN(INDEX('Structured 2025'!headerRow,1,COLUMN()))),ovrHeaderRow25,0))</f>
        <v>45.2</v>
      </c>
      <c r="BW125" s="12">
        <f>INDEX(ovrTable25,MATCH(INDEX(oppCol,ROW()),ovrTeamCol25,0),MATCH(MID(INDEX('Structured 2025'!headerRow,1,COLUMN()),4,LEN(INDEX('Structured 2025'!headerRow,1,COLUMN()))),ovrHeaderRow25,0))</f>
        <v>23.08</v>
      </c>
      <c r="BX125" s="12">
        <f>INDEX(ovrTable25,MATCH(INDEX(oppCol,ROW()),ovrTeamCol25,0),MATCH(MID(INDEX('Structured 2025'!headerRow,1,COLUMN()),4,LEN(INDEX('Structured 2025'!headerRow,1,COLUMN()))),ovrHeaderRow25,0))</f>
        <v>0.55900000000000005</v>
      </c>
      <c r="BY125" s="12">
        <f>INDEX(ovrTable25,MATCH(INDEX(oppCol,ROW()),ovrTeamCol25,0),MATCH(MID(INDEX('Structured 2025'!headerRow,1,COLUMN()),4,LEN(INDEX('Structured 2025'!headerRow,1,COLUMN()))),ovrHeaderRow25,0))</f>
        <v>7.83</v>
      </c>
      <c r="BZ125" s="12">
        <f>INDEX(ovrTable25,MATCH(INDEX(oppCol,ROW()),ovrTeamCol25,0),MATCH(MID(INDEX('Structured 2025'!headerRow,1,COLUMN()),4,LEN(INDEX('Structured 2025'!headerRow,1,COLUMN()))),ovrHeaderRow25,0))</f>
        <v>48.6</v>
      </c>
      <c r="CA125" s="12">
        <f>INDEX(ovrTable25,MATCH(INDEX(oppCol,ROW()),ovrTeamCol25,0),MATCH(MID(INDEX('Structured 2025'!headerRow,1,COLUMN()),4,LEN(INDEX('Structured 2025'!headerRow,1,COLUMN()))),ovrHeaderRow25,0))</f>
        <v>15.8</v>
      </c>
      <c r="CB125" s="12">
        <f>INDEX(ovrTable25,MATCH(INDEX(oppCol,ROW()),ovrTeamCol25,0),MATCH(MID(INDEX('Structured 2025'!headerRow,1,COLUMN()),4,LEN(INDEX('Structured 2025'!headerRow,1,COLUMN()))),ovrHeaderRow25,0))</f>
        <v>73.2</v>
      </c>
      <c r="CC125" s="12">
        <f>INDEX(ovrTable25,MATCH(INDEX(oppCol,ROW()),ovrTeamCol25,0),MATCH(MID(INDEX('Structured 2025'!headerRow,1,COLUMN()),4,LEN(INDEX('Structured 2025'!headerRow,1,COLUMN()))),ovrHeaderRow25,0))</f>
        <v>19.5</v>
      </c>
      <c r="CD125" s="12">
        <f>INDEX(ovrTable25,MATCH(INDEX(oppCol,ROW()),ovrTeamCol25,0),MATCH(MID(INDEX('Structured 2025'!headerRow,1,COLUMN()),4,LEN(INDEX('Structured 2025'!headerRow,1,COLUMN()))),ovrHeaderRow25,0))</f>
        <v>14.3</v>
      </c>
      <c r="CE125" s="12">
        <f>INDEX(ovrTable25,MATCH(INDEX(oppCol,ROW()),ovrTeamCol25,0),MATCH(MID(INDEX('Structured 2025'!headerRow,1,COLUMN()),4,LEN(INDEX('Structured 2025'!headerRow,1,COLUMN()))),ovrHeaderRow25,0))</f>
        <v>70.400000000000006</v>
      </c>
      <c r="CF125" s="12">
        <f>INDEX(ovrTable25,MATCH(INDEX(oppCol,ROW()),ovrTeamCol25,0),MATCH(MID(INDEX('Structured 2025'!headerRow,1,COLUMN()),4,LEN(INDEX('Structured 2025'!headerRow,1,COLUMN()))),ovrHeaderRow25,0))</f>
        <v>9.7799999999999994</v>
      </c>
      <c r="CG125" s="12">
        <f>INDEX(ovrTable25,MATCH(INDEX(oppCol,ROW()),ovrTeamCol25,0),MATCH(MID(INDEX('Structured 2025'!headerRow,1,COLUMN()),4,LEN(INDEX('Structured 2025'!headerRow,1,COLUMN()))),ovrHeaderRow25,0))</f>
        <v>77.3</v>
      </c>
      <c r="CH125" s="12">
        <f>INDEX(ovrTable25,MATCH(INDEX(oppCol,ROW()),ovrTeamCol25,0),MATCH(MID(INDEX('Structured 2025'!headerRow,1,COLUMN()),4,LEN(INDEX('Structured 2025'!headerRow,1,COLUMN()))),ovrHeaderRow25,0))</f>
        <v>2.1</v>
      </c>
      <c r="CI125" s="12">
        <f>INDEX(ovrTable25,MATCH(INDEX(oppCol,ROW()),ovrTeamCol25,0),MATCH(MID(INDEX('Structured 2025'!headerRow,1,COLUMN()),4,LEN(INDEX('Structured 2025'!headerRow,1,COLUMN()))),ovrHeaderRow25,0))</f>
        <v>32.86</v>
      </c>
      <c r="CJ125" s="12">
        <f>INDEX(ovrTable25,MATCH(INDEX(oppCol,ROW()),ovrTeamCol25,0),MATCH(MID(INDEX('Structured 2025'!headerRow,1,COLUMN()),4,LEN(INDEX('Structured 2025'!headerRow,1,COLUMN()))),ovrHeaderRow25,0))</f>
        <v>6.9</v>
      </c>
      <c r="CK125" s="12">
        <f>INDEX(ovrTable25,MATCH(INDEX(oppCol,ROW()),ovrTeamCol25,0),MATCH(MID(INDEX('Structured 2025'!headerRow,1,COLUMN()),4,LEN(INDEX('Structured 2025'!headerRow,1,COLUMN()))),ovrHeaderRow25,0))</f>
        <v>6.4</v>
      </c>
      <c r="CL125" s="12">
        <f>INDEX(ovrTable25,MATCH(INDEX(oppCol,ROW()),ovrTeamCol25,0),MATCH(MID(INDEX('Structured 2025'!headerRow,1,COLUMN()),4,LEN(INDEX('Structured 2025'!headerRow,1,COLUMN()))),ovrHeaderRow25,0))</f>
        <v>1.2</v>
      </c>
      <c r="CM125" s="12">
        <f>INDEX(ovrTable25,MATCH(INDEX(oppCol,ROW()),ovrTeamCol25,0),MATCH(MID(INDEX('Structured 2025'!headerRow,1,COLUMN()),4,LEN(INDEX('Structured 2025'!headerRow,1,COLUMN()))),ovrHeaderRow25,0))</f>
        <v>11.61</v>
      </c>
      <c r="CN125" s="12">
        <f>INDEX(ovrTable25,MATCH(INDEX(oppCol,ROW()),ovrTeamCol25,0),MATCH(MID(INDEX('Structured 2025'!headerRow,1,COLUMN()),4,LEN(INDEX('Structured 2025'!headerRow,1,COLUMN()))),ovrHeaderRow25,0))</f>
        <v>10.4</v>
      </c>
      <c r="CO125" s="12">
        <f>INDEX(ovrTable25,MATCH(INDEX(oppCol,ROW()),ovrTeamCol25,0),MATCH(MID(INDEX('Structured 2025'!headerRow,1,COLUMN()),4,LEN(INDEX('Structured 2025'!headerRow,1,COLUMN()))),ovrHeaderRow25,0))</f>
        <v>66</v>
      </c>
      <c r="CP125" s="12">
        <f>INDEX(ovrTable25,MATCH(INDEX(oppCol,ROW()),ovrTeamCol25,0),MATCH(MID(INDEX('Structured 2025'!headerRow,1,COLUMN()),4,LEN(INDEX('Structured 2025'!headerRow,1,COLUMN()))),ovrHeaderRow25,0))</f>
        <v>19.049999999999997</v>
      </c>
      <c r="CQ125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126" spans="1:95" x14ac:dyDescent="0.3">
      <c r="A126" s="6" t="s">
        <v>51</v>
      </c>
      <c r="B126" s="3">
        <v>1</v>
      </c>
      <c r="C126" s="13" t="str">
        <f>A127</f>
        <v>TENN</v>
      </c>
      <c r="D126" s="14">
        <f t="shared" si="111"/>
        <v>63</v>
      </c>
      <c r="E126" s="23">
        <v>0.17241379310344829</v>
      </c>
      <c r="F126" s="24">
        <v>42.424242424242422</v>
      </c>
      <c r="G126" s="24">
        <v>9</v>
      </c>
      <c r="H126" s="23">
        <v>36</v>
      </c>
      <c r="I126" s="24">
        <v>25</v>
      </c>
      <c r="J126" s="25">
        <v>3</v>
      </c>
      <c r="K126" s="24">
        <v>4</v>
      </c>
      <c r="L126" s="24">
        <v>4</v>
      </c>
      <c r="M126" s="24">
        <v>14</v>
      </c>
      <c r="N126" s="24">
        <v>28</v>
      </c>
      <c r="O126" s="24">
        <v>15</v>
      </c>
      <c r="P126" s="24">
        <v>7</v>
      </c>
      <c r="Q126" s="24">
        <v>4</v>
      </c>
      <c r="R126" s="24">
        <v>5</v>
      </c>
      <c r="S126" s="24">
        <v>0</v>
      </c>
      <c r="T126" s="24">
        <v>16</v>
      </c>
      <c r="U126" s="24">
        <v>15</v>
      </c>
      <c r="V126" s="24">
        <v>0.28846153846153844</v>
      </c>
      <c r="W126" s="26">
        <v>0.49242424242424243</v>
      </c>
      <c r="X126" s="23">
        <v>100</v>
      </c>
      <c r="Y126" s="24">
        <v>50</v>
      </c>
      <c r="Z126" s="24">
        <v>69</v>
      </c>
      <c r="AA126" s="24">
        <v>7</v>
      </c>
      <c r="AB126" s="24">
        <v>42</v>
      </c>
      <c r="AC126" s="24">
        <v>19</v>
      </c>
      <c r="AD126" s="24">
        <v>4</v>
      </c>
      <c r="AE126" s="24">
        <v>9</v>
      </c>
      <c r="AF126" s="34">
        <f t="shared" si="105"/>
        <v>19</v>
      </c>
      <c r="AG126" s="34">
        <f t="shared" si="106"/>
        <v>41</v>
      </c>
      <c r="AH126" s="46">
        <f t="shared" si="107"/>
        <v>58.9</v>
      </c>
      <c r="AI126" s="51">
        <f t="shared" ref="AI126" si="137">AVERAGE(AH126,AH127)</f>
        <v>58.7</v>
      </c>
      <c r="AJ126" s="12">
        <f>INDEX(ovrTable25,MATCH(INDEX('Structured 2025'!teamCol,ROW()),ovrTeamCol25,0),MATCH(MID(INDEX('Structured 2025'!headerRow,1,COLUMN()),4,LEN(INDEX('Structured 2025'!headerRow,1,COLUMN()))),ovrHeaderRow25,0))</f>
        <v>30.2</v>
      </c>
      <c r="AK126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126" s="12">
        <f>INDEX(ovrTable25,MATCH(INDEX('Structured 2025'!teamCol,ROW()),ovrTeamCol25,0),MATCH(MID(INDEX('Structured 2025'!headerRow,1,COLUMN()),4,LEN(INDEX('Structured 2025'!headerRow,1,COLUMN()))),ovrHeaderRow25,0))</f>
        <v>39.4</v>
      </c>
      <c r="AM126" s="12">
        <f>INDEX(ovrTable25,MATCH(INDEX('Structured 2025'!teamCol,ROW()),ovrTeamCol25,0),MATCH(MID(INDEX('Structured 2025'!headerRow,1,COLUMN()),4,LEN(INDEX('Structured 2025'!headerRow,1,COLUMN()))),ovrHeaderRow25,0))</f>
        <v>20.7</v>
      </c>
      <c r="AN126" s="12">
        <f>INDEX(ovrTable25,MATCH(INDEX('Structured 2025'!teamCol,ROW()),ovrTeamCol25,0),MATCH(MID(INDEX('Structured 2025'!headerRow,1,COLUMN()),4,LEN(INDEX('Structured 2025'!headerRow,1,COLUMN()))),ovrHeaderRow25,0))</f>
        <v>1.34</v>
      </c>
      <c r="AO126" s="12">
        <f>INDEX(ovrTable25,MATCH(INDEX('Structured 2025'!teamCol,ROW()),ovrTeamCol25,0),MATCH(MID(INDEX('Structured 2025'!headerRow,1,COLUMN()),4,LEN(INDEX('Structured 2025'!headerRow,1,COLUMN()))),ovrHeaderRow25,0))</f>
        <v>12.1</v>
      </c>
      <c r="AP126" s="12">
        <f>INDEX(ovrTable25,MATCH(INDEX('Structured 2025'!teamCol,ROW()),ovrTeamCol25,0),MATCH(MID(INDEX('Structured 2025'!headerRow,1,COLUMN()),4,LEN(INDEX('Structured 2025'!headerRow,1,COLUMN()))),ovrHeaderRow25,0))</f>
        <v>18.73</v>
      </c>
      <c r="AQ126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126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S126" s="12">
        <f>INDEX(ovrTable25,MATCH(INDEX('Structured 2025'!teamCol,ROW()),ovrTeamCol25,0),MATCH(MID(INDEX('Structured 2025'!headerRow,1,COLUMN()),4,LEN(INDEX('Structured 2025'!headerRow,1,COLUMN()))),ovrHeaderRow25,0))</f>
        <v>24.08</v>
      </c>
      <c r="AT126" s="12">
        <f>INDEX(ovrTable25,MATCH(INDEX('Structured 2025'!teamCol,ROW()),ovrTeamCol25,0),MATCH(MID(INDEX('Structured 2025'!headerRow,1,COLUMN()),4,LEN(INDEX('Structured 2025'!headerRow,1,COLUMN()))),ovrHeaderRow25,0))</f>
        <v>0.51700000000000002</v>
      </c>
      <c r="AU126" s="12">
        <f>INDEX(ovrTable25,MATCH(INDEX('Structured 2025'!teamCol,ROW()),ovrTeamCol25,0),MATCH(MID(INDEX('Structured 2025'!headerRow,1,COLUMN()),4,LEN(INDEX('Structured 2025'!headerRow,1,COLUMN()))),ovrHeaderRow25,0))</f>
        <v>7.6</v>
      </c>
      <c r="AV126" s="12">
        <f>INDEX(ovrTable25,MATCH(INDEX('Structured 2025'!teamCol,ROW()),ovrTeamCol25,0),MATCH(MID(INDEX('Structured 2025'!headerRow,1,COLUMN()),4,LEN(INDEX('Structured 2025'!headerRow,1,COLUMN()))),ovrHeaderRow25,0))</f>
        <v>44.9</v>
      </c>
      <c r="AW126" s="12">
        <f>INDEX(ovrTable25,MATCH(INDEX('Structured 2025'!teamCol,ROW()),ovrTeamCol25,0),MATCH(MID(INDEX('Structured 2025'!headerRow,1,COLUMN()),4,LEN(INDEX('Structured 2025'!headerRow,1,COLUMN()))),ovrHeaderRow25,0))</f>
        <v>16.3</v>
      </c>
      <c r="AX126" s="12">
        <f>INDEX(ovrTable25,MATCH(INDEX('Structured 2025'!teamCol,ROW()),ovrTeamCol25,0),MATCH(MID(INDEX('Structured 2025'!headerRow,1,COLUMN()),4,LEN(INDEX('Structured 2025'!headerRow,1,COLUMN()))),ovrHeaderRow25,0))</f>
        <v>74</v>
      </c>
      <c r="AY126" s="12">
        <f>INDEX(ovrTable25,MATCH(INDEX('Structured 2025'!teamCol,ROW()),ovrTeamCol25,0),MATCH(MID(INDEX('Structured 2025'!headerRow,1,COLUMN()),4,LEN(INDEX('Structured 2025'!headerRow,1,COLUMN()))),ovrHeaderRow25,0))</f>
        <v>16.2</v>
      </c>
      <c r="AZ126" s="12">
        <f>INDEX(ovrTable25,MATCH(INDEX('Structured 2025'!teamCol,ROW()),ovrTeamCol25,0),MATCH(MID(INDEX('Structured 2025'!headerRow,1,COLUMN()),4,LEN(INDEX('Structured 2025'!headerRow,1,COLUMN()))),ovrHeaderRow25,0))</f>
        <v>12</v>
      </c>
      <c r="BA126" s="12">
        <f>INDEX(ovrTable25,MATCH(INDEX('Structured 2025'!teamCol,ROW()),ovrTeamCol25,0),MATCH(MID(INDEX('Structured 2025'!headerRow,1,COLUMN()),4,LEN(INDEX('Structured 2025'!headerRow,1,COLUMN()))),ovrHeaderRow25,0))</f>
        <v>58.7</v>
      </c>
      <c r="BB126" s="12">
        <f>INDEX(ovrTable25,MATCH(INDEX('Structured 2025'!teamCol,ROW()),ovrTeamCol25,0),MATCH(MID(INDEX('Structured 2025'!headerRow,1,COLUMN()),4,LEN(INDEX('Structured 2025'!headerRow,1,COLUMN()))),ovrHeaderRow25,0))</f>
        <v>12.8</v>
      </c>
      <c r="BC126" s="12">
        <f>INDEX(ovrTable25,MATCH(INDEX('Structured 2025'!teamCol,ROW()),ovrTeamCol25,0),MATCH(MID(INDEX('Structured 2025'!headerRow,1,COLUMN()),4,LEN(INDEX('Structured 2025'!headerRow,1,COLUMN()))),ovrHeaderRow25,0))</f>
        <v>73.7</v>
      </c>
      <c r="BD126" s="12">
        <f>INDEX(ovrTable25,MATCH(INDEX('Structured 2025'!teamCol,ROW()),ovrTeamCol25,0),MATCH(MID(INDEX('Structured 2025'!headerRow,1,COLUMN()),4,LEN(INDEX('Structured 2025'!headerRow,1,COLUMN()))),ovrHeaderRow25,0))</f>
        <v>5.3</v>
      </c>
      <c r="BE126" s="12">
        <f>INDEX(ovrTable25,MATCH(INDEX('Structured 2025'!teamCol,ROW()),ovrTeamCol25,0),MATCH(MID(INDEX('Structured 2025'!headerRow,1,COLUMN()),4,LEN(INDEX('Structured 2025'!headerRow,1,COLUMN()))),ovrHeaderRow25,0))</f>
        <v>36.880000000000003</v>
      </c>
      <c r="BF126" s="12">
        <f>INDEX(ovrTable25,MATCH(INDEX('Structured 2025'!teamCol,ROW()),ovrTeamCol25,0),MATCH(MID(INDEX('Structured 2025'!headerRow,1,COLUMN()),4,LEN(INDEX('Structured 2025'!headerRow,1,COLUMN()))),ovrHeaderRow25,0))</f>
        <v>15</v>
      </c>
      <c r="BG126" s="12">
        <f>INDEX(ovrTable25,MATCH(INDEX('Structured 2025'!teamCol,ROW()),ovrTeamCol25,0),MATCH(MID(INDEX('Structured 2025'!headerRow,1,COLUMN()),4,LEN(INDEX('Structured 2025'!headerRow,1,COLUMN()))),ovrHeaderRow25,0))</f>
        <v>7.8</v>
      </c>
      <c r="BH126" s="12">
        <f>INDEX(ovrTable25,MATCH(INDEX('Structured 2025'!teamCol,ROW()),ovrTeamCol25,0),MATCH(MID(INDEX('Structured 2025'!headerRow,1,COLUMN()),4,LEN(INDEX('Structured 2025'!headerRow,1,COLUMN()))),ovrHeaderRow25,0))</f>
        <v>4.2</v>
      </c>
      <c r="BI126" s="12">
        <f>INDEX(ovrTable25,MATCH(INDEX('Structured 2025'!teamCol,ROW()),ovrTeamCol25,0),MATCH(MID(INDEX('Structured 2025'!headerRow,1,COLUMN()),4,LEN(INDEX('Structured 2025'!headerRow,1,COLUMN()))),ovrHeaderRow25,0))</f>
        <v>13.23</v>
      </c>
      <c r="BJ126" s="12">
        <f>INDEX(ovrTable25,MATCH(INDEX('Structured 2025'!teamCol,ROW()),ovrTeamCol25,0),MATCH(MID(INDEX('Structured 2025'!headerRow,1,COLUMN()),4,LEN(INDEX('Structured 2025'!headerRow,1,COLUMN()))),ovrHeaderRow25,0))</f>
        <v>9</v>
      </c>
      <c r="BK126" s="12">
        <f>INDEX(ovrTable25,MATCH(INDEX('Structured 2025'!teamCol,ROW()),ovrTeamCol25,0),MATCH(MID(INDEX('Structured 2025'!headerRow,1,COLUMN()),4,LEN(INDEX('Structured 2025'!headerRow,1,COLUMN()))),ovrHeaderRow25,0))</f>
        <v>61.9</v>
      </c>
      <c r="BL126" s="12">
        <f>INDEX(ovrTable25,MATCH(INDEX('Structured 2025'!teamCol,ROW()),ovrTeamCol25,0),MATCH(MID(INDEX('Structured 2025'!headerRow,1,COLUMN()),4,LEN(INDEX('Structured 2025'!headerRow,1,COLUMN()))),ovrHeaderRow25,0))</f>
        <v>18.550000000000004</v>
      </c>
      <c r="BM126" s="12">
        <f>INDEX(ovrTable25,MATCH(INDEX('Structured 2025'!teamCol,ROW()),ovrTeamCol25,0),MATCH(MID(INDEX('Structured 2025'!headerRow,1,COLUMN()),4,LEN(INDEX('Structured 2025'!headerRow,1,COLUMN()))),ovrHeaderRow25,0))</f>
        <v>59.576837416481084</v>
      </c>
      <c r="BN126" s="12">
        <f>INDEX(ovrTable25,MATCH(INDEX(oppCol,ROW()),ovrTeamCol25,0),MATCH(MID(INDEX('Structured 2025'!headerRow,1,COLUMN()),4,LEN(INDEX('Structured 2025'!headerRow,1,COLUMN()))),ovrHeaderRow25,0))</f>
        <v>28.7</v>
      </c>
      <c r="BO126" s="12">
        <f>INDEX(ovrTable25,MATCH(INDEX(oppCol,ROW()),ovrTeamCol25,0),MATCH(MID(INDEX('Structured 2025'!headerRow,1,COLUMN()),4,LEN(INDEX('Structured 2025'!headerRow,1,COLUMN()))),ovrHeaderRow25,0))</f>
        <v>8.1999999999999993</v>
      </c>
      <c r="BP126" s="12">
        <f>INDEX(ovrTable25,MATCH(INDEX(oppCol,ROW()),ovrTeamCol25,0),MATCH(MID(INDEX('Structured 2025'!headerRow,1,COLUMN()),4,LEN(INDEX('Structured 2025'!headerRow,1,COLUMN()))),ovrHeaderRow25,0))</f>
        <v>33.799999999999997</v>
      </c>
      <c r="BQ126" s="12">
        <f>INDEX(ovrTable25,MATCH(INDEX(oppCol,ROW()),ovrTeamCol25,0),MATCH(MID(INDEX('Structured 2025'!headerRow,1,COLUMN()),4,LEN(INDEX('Structured 2025'!headerRow,1,COLUMN()))),ovrHeaderRow25,0))</f>
        <v>24.4</v>
      </c>
      <c r="BR126" s="12">
        <f>INDEX(ovrTable25,MATCH(INDEX(oppCol,ROW()),ovrTeamCol25,0),MATCH(MID(INDEX('Structured 2025'!headerRow,1,COLUMN()),4,LEN(INDEX('Structured 2025'!headerRow,1,COLUMN()))),ovrHeaderRow25,0))</f>
        <v>1.48</v>
      </c>
      <c r="BS126" s="12">
        <f>INDEX(ovrTable25,MATCH(INDEX(oppCol,ROW()),ovrTeamCol25,0),MATCH(MID(INDEX('Structured 2025'!headerRow,1,COLUMN()),4,LEN(INDEX('Structured 2025'!headerRow,1,COLUMN()))),ovrHeaderRow25,0))</f>
        <v>15.4</v>
      </c>
      <c r="BT126" s="12">
        <f>INDEX(ovrTable25,MATCH(INDEX(oppCol,ROW()),ovrTeamCol25,0),MATCH(MID(INDEX('Structured 2025'!headerRow,1,COLUMN()),4,LEN(INDEX('Structured 2025'!headerRow,1,COLUMN()))),ovrHeaderRow25,0))</f>
        <v>19.920000000000002</v>
      </c>
      <c r="BU126" s="12">
        <f>INDEX(ovrTable25,MATCH(INDEX(oppCol,ROW()),ovrTeamCol25,0),MATCH(MID(INDEX('Structured 2025'!headerRow,1,COLUMN()),4,LEN(INDEX('Structured 2025'!headerRow,1,COLUMN()))),ovrHeaderRow25,0))</f>
        <v>4.8</v>
      </c>
      <c r="BV126" s="12">
        <f>INDEX(ovrTable25,MATCH(INDEX(oppCol,ROW()),ovrTeamCol25,0),MATCH(MID(INDEX('Structured 2025'!headerRow,1,COLUMN()),4,LEN(INDEX('Structured 2025'!headerRow,1,COLUMN()))),ovrHeaderRow25,0))</f>
        <v>38.6</v>
      </c>
      <c r="BW126" s="12">
        <f>INDEX(ovrTable25,MATCH(INDEX(oppCol,ROW()),ovrTeamCol25,0),MATCH(MID(INDEX('Structured 2025'!headerRow,1,COLUMN()),4,LEN(INDEX('Structured 2025'!headerRow,1,COLUMN()))),ovrHeaderRow25,0))</f>
        <v>24.87</v>
      </c>
      <c r="BX126" s="12">
        <f>INDEX(ovrTable25,MATCH(INDEX(oppCol,ROW()),ovrTeamCol25,0),MATCH(MID(INDEX('Structured 2025'!headerRow,1,COLUMN()),4,LEN(INDEX('Structured 2025'!headerRow,1,COLUMN()))),ovrHeaderRow25,0))</f>
        <v>0.52500000000000002</v>
      </c>
      <c r="BY126" s="12">
        <f>INDEX(ovrTable25,MATCH(INDEX(oppCol,ROW()),ovrTeamCol25,0),MATCH(MID(INDEX('Structured 2025'!headerRow,1,COLUMN()),4,LEN(INDEX('Structured 2025'!headerRow,1,COLUMN()))),ovrHeaderRow25,0))</f>
        <v>7.66</v>
      </c>
      <c r="BZ126" s="12">
        <f>INDEX(ovrTable25,MATCH(INDEX(oppCol,ROW()),ovrTeamCol25,0),MATCH(MID(INDEX('Structured 2025'!headerRow,1,COLUMN()),4,LEN(INDEX('Structured 2025'!headerRow,1,COLUMN()))),ovrHeaderRow25,0))</f>
        <v>45.2</v>
      </c>
      <c r="CA126" s="12">
        <f>INDEX(ovrTable25,MATCH(INDEX(oppCol,ROW()),ovrTeamCol25,0),MATCH(MID(INDEX('Structured 2025'!headerRow,1,COLUMN()),4,LEN(INDEX('Structured 2025'!headerRow,1,COLUMN()))),ovrHeaderRow25,0))</f>
        <v>15.2</v>
      </c>
      <c r="CB126" s="12">
        <f>INDEX(ovrTable25,MATCH(INDEX(oppCol,ROW()),ovrTeamCol25,0),MATCH(MID(INDEX('Structured 2025'!headerRow,1,COLUMN()),4,LEN(INDEX('Structured 2025'!headerRow,1,COLUMN()))),ovrHeaderRow25,0))</f>
        <v>74.5</v>
      </c>
      <c r="CC126" s="12">
        <f>INDEX(ovrTable25,MATCH(INDEX(oppCol,ROW()),ovrTeamCol25,0),MATCH(MID(INDEX('Structured 2025'!headerRow,1,COLUMN()),4,LEN(INDEX('Structured 2025'!headerRow,1,COLUMN()))),ovrHeaderRow25,0))</f>
        <v>20</v>
      </c>
      <c r="CD126" s="12">
        <f>INDEX(ovrTable25,MATCH(INDEX(oppCol,ROW()),ovrTeamCol25,0),MATCH(MID(INDEX('Structured 2025'!headerRow,1,COLUMN()),4,LEN(INDEX('Structured 2025'!headerRow,1,COLUMN()))),ovrHeaderRow25,0))</f>
        <v>14.9</v>
      </c>
      <c r="CE126" s="12">
        <f>INDEX(ovrTable25,MATCH(INDEX(oppCol,ROW()),ovrTeamCol25,0),MATCH(MID(INDEX('Structured 2025'!headerRow,1,COLUMN()),4,LEN(INDEX('Structured 2025'!headerRow,1,COLUMN()))),ovrHeaderRow25,0))</f>
        <v>63</v>
      </c>
      <c r="CF126" s="12">
        <f>INDEX(ovrTable25,MATCH(INDEX(oppCol,ROW()),ovrTeamCol25,0),MATCH(MID(INDEX('Structured 2025'!headerRow,1,COLUMN()),4,LEN(INDEX('Structured 2025'!headerRow,1,COLUMN()))),ovrHeaderRow25,0))</f>
        <v>11.5</v>
      </c>
      <c r="CG126" s="12">
        <f>INDEX(ovrTable25,MATCH(INDEX(oppCol,ROW()),ovrTeamCol25,0),MATCH(MID(INDEX('Structured 2025'!headerRow,1,COLUMN()),4,LEN(INDEX('Structured 2025'!headerRow,1,COLUMN()))),ovrHeaderRow25,0))</f>
        <v>74</v>
      </c>
      <c r="CH126" s="12">
        <f>INDEX(ovrTable25,MATCH(INDEX(oppCol,ROW()),ovrTeamCol25,0),MATCH(MID(INDEX('Structured 2025'!headerRow,1,COLUMN()),4,LEN(INDEX('Structured 2025'!headerRow,1,COLUMN()))),ovrHeaderRow25,0))</f>
        <v>4.7</v>
      </c>
      <c r="CI126" s="12">
        <f>INDEX(ovrTable25,MATCH(INDEX(oppCol,ROW()),ovrTeamCol25,0),MATCH(MID(INDEX('Structured 2025'!headerRow,1,COLUMN()),4,LEN(INDEX('Structured 2025'!headerRow,1,COLUMN()))),ovrHeaderRow25,0))</f>
        <v>36.369999999999997</v>
      </c>
      <c r="CJ126" s="12">
        <f>INDEX(ovrTable25,MATCH(INDEX(oppCol,ROW()),ovrTeamCol25,0),MATCH(MID(INDEX('Structured 2025'!headerRow,1,COLUMN()),4,LEN(INDEX('Structured 2025'!headerRow,1,COLUMN()))),ovrHeaderRow25,0))</f>
        <v>11</v>
      </c>
      <c r="CK126" s="12">
        <f>INDEX(ovrTable25,MATCH(INDEX(oppCol,ROW()),ovrTeamCol25,0),MATCH(MID(INDEX('Structured 2025'!headerRow,1,COLUMN()),4,LEN(INDEX('Structured 2025'!headerRow,1,COLUMN()))),ovrHeaderRow25,0))</f>
        <v>6.9</v>
      </c>
      <c r="CL126" s="12">
        <f>INDEX(ovrTable25,MATCH(INDEX(oppCol,ROW()),ovrTeamCol25,0),MATCH(MID(INDEX('Structured 2025'!headerRow,1,COLUMN()),4,LEN(INDEX('Structured 2025'!headerRow,1,COLUMN()))),ovrHeaderRow25,0))</f>
        <v>1</v>
      </c>
      <c r="CM126" s="12">
        <f>INDEX(ovrTable25,MATCH(INDEX(oppCol,ROW()),ovrTeamCol25,0),MATCH(MID(INDEX('Structured 2025'!headerRow,1,COLUMN()),4,LEN(INDEX('Structured 2025'!headerRow,1,COLUMN()))),ovrHeaderRow25,0))</f>
        <v>11.47</v>
      </c>
      <c r="CN126" s="12">
        <f>INDEX(ovrTable25,MATCH(INDEX(oppCol,ROW()),ovrTeamCol25,0),MATCH(MID(INDEX('Structured 2025'!headerRow,1,COLUMN()),4,LEN(INDEX('Structured 2025'!headerRow,1,COLUMN()))),ovrHeaderRow25,0))</f>
        <v>10.4</v>
      </c>
      <c r="CO126" s="12">
        <f>INDEX(ovrTable25,MATCH(INDEX(oppCol,ROW()),ovrTeamCol25,0),MATCH(MID(INDEX('Structured 2025'!headerRow,1,COLUMN()),4,LEN(INDEX('Structured 2025'!headerRow,1,COLUMN()))),ovrHeaderRow25,0))</f>
        <v>63.7</v>
      </c>
      <c r="CP126" s="12">
        <f>INDEX(ovrTable25,MATCH(INDEX(oppCol,ROW()),ovrTeamCol25,0),MATCH(MID(INDEX('Structured 2025'!headerRow,1,COLUMN()),4,LEN(INDEX('Structured 2025'!headerRow,1,COLUMN()))),ovrHeaderRow25,0))</f>
        <v>17.25</v>
      </c>
      <c r="CQ126" s="12">
        <f>INDEX(ovrTable25,MATCH(INDEX(oppCol,ROW()),ovrTeamCol25,0),MATCH(MID(INDEX('Structured 2025'!headerRow,1,COLUMN()),4,LEN(INDEX('Structured 2025'!headerRow,1,COLUMN()))),ovrHeaderRow25,0))</f>
        <v>56.305309734513273</v>
      </c>
    </row>
    <row r="127" spans="1:95" x14ac:dyDescent="0.3">
      <c r="A127" s="6" t="s">
        <v>55</v>
      </c>
      <c r="B127" s="3">
        <v>2</v>
      </c>
      <c r="C127" s="13" t="str">
        <f>A126</f>
        <v>HOU</v>
      </c>
      <c r="D127" s="14">
        <f t="shared" si="111"/>
        <v>63</v>
      </c>
      <c r="E127" s="23">
        <v>0.36</v>
      </c>
      <c r="F127" s="24">
        <v>28.846153846153843</v>
      </c>
      <c r="G127" s="24">
        <v>5</v>
      </c>
      <c r="H127" s="23">
        <v>17.241379310344829</v>
      </c>
      <c r="I127" s="24">
        <v>29</v>
      </c>
      <c r="J127" s="25">
        <v>1.3333333333333333</v>
      </c>
      <c r="K127" s="24">
        <v>15</v>
      </c>
      <c r="L127" s="24">
        <v>20</v>
      </c>
      <c r="M127" s="24">
        <v>12</v>
      </c>
      <c r="N127" s="24">
        <v>23</v>
      </c>
      <c r="O127" s="24">
        <v>12</v>
      </c>
      <c r="P127" s="24">
        <v>3</v>
      </c>
      <c r="Q127" s="24">
        <v>2</v>
      </c>
      <c r="R127" s="24">
        <v>9</v>
      </c>
      <c r="S127" s="24">
        <v>3</v>
      </c>
      <c r="T127" s="24">
        <v>9</v>
      </c>
      <c r="U127" s="24">
        <v>18</v>
      </c>
      <c r="V127" s="24">
        <v>0.42424242424242425</v>
      </c>
      <c r="W127" s="26">
        <v>0.33653846153846151</v>
      </c>
      <c r="X127" s="23">
        <v>75</v>
      </c>
      <c r="Y127" s="24">
        <v>69</v>
      </c>
      <c r="Z127" s="24">
        <v>50</v>
      </c>
      <c r="AA127" s="24">
        <v>-7</v>
      </c>
      <c r="AB127" s="24">
        <v>35</v>
      </c>
      <c r="AC127" s="24">
        <v>-19</v>
      </c>
      <c r="AD127" s="24">
        <v>-4</v>
      </c>
      <c r="AE127" s="24">
        <v>5</v>
      </c>
      <c r="AF127" s="34">
        <f t="shared" si="105"/>
        <v>10</v>
      </c>
      <c r="AG127" s="34">
        <f t="shared" si="106"/>
        <v>23.000000000000007</v>
      </c>
      <c r="AH127" s="46">
        <f t="shared" si="107"/>
        <v>58.5</v>
      </c>
      <c r="AI127" s="51">
        <f t="shared" ref="AI127" si="138">AVERAGE(AH126,AH127)</f>
        <v>58.7</v>
      </c>
      <c r="AJ127" s="12">
        <f>INDEX(ovrTable25,MATCH(INDEX('Structured 2025'!teamCol,ROW()),ovrTeamCol25,0),MATCH(MID(INDEX('Structured 2025'!headerRow,1,COLUMN()),4,LEN(INDEX('Structured 2025'!headerRow,1,COLUMN()))),ovrHeaderRow25,0))</f>
        <v>28.7</v>
      </c>
      <c r="AK127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127" s="12">
        <f>INDEX(ovrTable25,MATCH(INDEX('Structured 2025'!teamCol,ROW()),ovrTeamCol25,0),MATCH(MID(INDEX('Structured 2025'!headerRow,1,COLUMN()),4,LEN(INDEX('Structured 2025'!headerRow,1,COLUMN()))),ovrHeaderRow25,0))</f>
        <v>33.799999999999997</v>
      </c>
      <c r="AM127" s="12">
        <f>INDEX(ovrTable25,MATCH(INDEX('Structured 2025'!teamCol,ROW()),ovrTeamCol25,0),MATCH(MID(INDEX('Structured 2025'!headerRow,1,COLUMN()),4,LEN(INDEX('Structured 2025'!headerRow,1,COLUMN()))),ovrHeaderRow25,0))</f>
        <v>24.4</v>
      </c>
      <c r="AN127" s="12">
        <f>INDEX(ovrTable25,MATCH(INDEX('Structured 2025'!teamCol,ROW()),ovrTeamCol25,0),MATCH(MID(INDEX('Structured 2025'!headerRow,1,COLUMN()),4,LEN(INDEX('Structured 2025'!headerRow,1,COLUMN()))),ovrHeaderRow25,0))</f>
        <v>1.48</v>
      </c>
      <c r="AO127" s="12">
        <f>INDEX(ovrTable25,MATCH(INDEX('Structured 2025'!teamCol,ROW()),ovrTeamCol25,0),MATCH(MID(INDEX('Structured 2025'!headerRow,1,COLUMN()),4,LEN(INDEX('Structured 2025'!headerRow,1,COLUMN()))),ovrHeaderRow25,0))</f>
        <v>15.4</v>
      </c>
      <c r="AP127" s="12">
        <f>INDEX(ovrTable25,MATCH(INDEX('Structured 2025'!teamCol,ROW()),ovrTeamCol25,0),MATCH(MID(INDEX('Structured 2025'!headerRow,1,COLUMN()),4,LEN(INDEX('Structured 2025'!headerRow,1,COLUMN()))),ovrHeaderRow25,0))</f>
        <v>19.920000000000002</v>
      </c>
      <c r="AQ127" s="12">
        <f>INDEX(ovrTable25,MATCH(INDEX('Structured 2025'!teamCol,ROW()),ovrTeamCol25,0),MATCH(MID(INDEX('Structured 2025'!headerRow,1,COLUMN()),4,LEN(INDEX('Structured 2025'!headerRow,1,COLUMN()))),ovrHeaderRow25,0))</f>
        <v>4.8</v>
      </c>
      <c r="AR127" s="12">
        <f>INDEX(ovrTable25,MATCH(INDEX('Structured 2025'!teamCol,ROW()),ovrTeamCol25,0),MATCH(MID(INDEX('Structured 2025'!headerRow,1,COLUMN()),4,LEN(INDEX('Structured 2025'!headerRow,1,COLUMN()))),ovrHeaderRow25,0))</f>
        <v>38.6</v>
      </c>
      <c r="AS127" s="12">
        <f>INDEX(ovrTable25,MATCH(INDEX('Structured 2025'!teamCol,ROW()),ovrTeamCol25,0),MATCH(MID(INDEX('Structured 2025'!headerRow,1,COLUMN()),4,LEN(INDEX('Structured 2025'!headerRow,1,COLUMN()))),ovrHeaderRow25,0))</f>
        <v>24.87</v>
      </c>
      <c r="AT127" s="12">
        <f>INDEX(ovrTable25,MATCH(INDEX('Structured 2025'!teamCol,ROW()),ovrTeamCol25,0),MATCH(MID(INDEX('Structured 2025'!headerRow,1,COLUMN()),4,LEN(INDEX('Structured 2025'!headerRow,1,COLUMN()))),ovrHeaderRow25,0))</f>
        <v>0.52500000000000002</v>
      </c>
      <c r="AU127" s="12">
        <f>INDEX(ovrTable25,MATCH(INDEX('Structured 2025'!teamCol,ROW()),ovrTeamCol25,0),MATCH(MID(INDEX('Structured 2025'!headerRow,1,COLUMN()),4,LEN(INDEX('Structured 2025'!headerRow,1,COLUMN()))),ovrHeaderRow25,0))</f>
        <v>7.66</v>
      </c>
      <c r="AV127" s="12">
        <f>INDEX(ovrTable25,MATCH(INDEX('Structured 2025'!teamCol,ROW()),ovrTeamCol25,0),MATCH(MID(INDEX('Structured 2025'!headerRow,1,COLUMN()),4,LEN(INDEX('Structured 2025'!headerRow,1,COLUMN()))),ovrHeaderRow25,0))</f>
        <v>45.2</v>
      </c>
      <c r="AW127" s="12">
        <f>INDEX(ovrTable25,MATCH(INDEX('Structured 2025'!teamCol,ROW()),ovrTeamCol25,0),MATCH(MID(INDEX('Structured 2025'!headerRow,1,COLUMN()),4,LEN(INDEX('Structured 2025'!headerRow,1,COLUMN()))),ovrHeaderRow25,0))</f>
        <v>15.2</v>
      </c>
      <c r="AX127" s="12">
        <f>INDEX(ovrTable25,MATCH(INDEX('Structured 2025'!teamCol,ROW()),ovrTeamCol25,0),MATCH(MID(INDEX('Structured 2025'!headerRow,1,COLUMN()),4,LEN(INDEX('Structured 2025'!headerRow,1,COLUMN()))),ovrHeaderRow25,0))</f>
        <v>74.5</v>
      </c>
      <c r="AY127" s="12">
        <f>INDEX(ovrTable25,MATCH(INDEX('Structured 2025'!teamCol,ROW()),ovrTeamCol25,0),MATCH(MID(INDEX('Structured 2025'!headerRow,1,COLUMN()),4,LEN(INDEX('Structured 2025'!headerRow,1,COLUMN()))),ovrHeaderRow25,0))</f>
        <v>20</v>
      </c>
      <c r="AZ127" s="12">
        <f>INDEX(ovrTable25,MATCH(INDEX('Structured 2025'!teamCol,ROW()),ovrTeamCol25,0),MATCH(MID(INDEX('Structured 2025'!headerRow,1,COLUMN()),4,LEN(INDEX('Structured 2025'!headerRow,1,COLUMN()))),ovrHeaderRow25,0))</f>
        <v>14.9</v>
      </c>
      <c r="BA127" s="12">
        <f>INDEX(ovrTable25,MATCH(INDEX('Structured 2025'!teamCol,ROW()),ovrTeamCol25,0),MATCH(MID(INDEX('Structured 2025'!headerRow,1,COLUMN()),4,LEN(INDEX('Structured 2025'!headerRow,1,COLUMN()))),ovrHeaderRow25,0))</f>
        <v>63</v>
      </c>
      <c r="BB127" s="12">
        <f>INDEX(ovrTable25,MATCH(INDEX('Structured 2025'!teamCol,ROW()),ovrTeamCol25,0),MATCH(MID(INDEX('Structured 2025'!headerRow,1,COLUMN()),4,LEN(INDEX('Structured 2025'!headerRow,1,COLUMN()))),ovrHeaderRow25,0))</f>
        <v>11.5</v>
      </c>
      <c r="BC127" s="12">
        <f>INDEX(ovrTable25,MATCH(INDEX('Structured 2025'!teamCol,ROW()),ovrTeamCol25,0),MATCH(MID(INDEX('Structured 2025'!headerRow,1,COLUMN()),4,LEN(INDEX('Structured 2025'!headerRow,1,COLUMN()))),ovrHeaderRow25,0))</f>
        <v>74</v>
      </c>
      <c r="BD127" s="12">
        <f>INDEX(ovrTable25,MATCH(INDEX('Structured 2025'!teamCol,ROW()),ovrTeamCol25,0),MATCH(MID(INDEX('Structured 2025'!headerRow,1,COLUMN()),4,LEN(INDEX('Structured 2025'!headerRow,1,COLUMN()))),ovrHeaderRow25,0))</f>
        <v>4.7</v>
      </c>
      <c r="BE127" s="12">
        <f>INDEX(ovrTable25,MATCH(INDEX('Structured 2025'!teamCol,ROW()),ovrTeamCol25,0),MATCH(MID(INDEX('Structured 2025'!headerRow,1,COLUMN()),4,LEN(INDEX('Structured 2025'!headerRow,1,COLUMN()))),ovrHeaderRow25,0))</f>
        <v>36.369999999999997</v>
      </c>
      <c r="BF127" s="12">
        <f>INDEX(ovrTable25,MATCH(INDEX('Structured 2025'!teamCol,ROW()),ovrTeamCol25,0),MATCH(MID(INDEX('Structured 2025'!headerRow,1,COLUMN()),4,LEN(INDEX('Structured 2025'!headerRow,1,COLUMN()))),ovrHeaderRow25,0))</f>
        <v>11</v>
      </c>
      <c r="BG127" s="12">
        <f>INDEX(ovrTable25,MATCH(INDEX('Structured 2025'!teamCol,ROW()),ovrTeamCol25,0),MATCH(MID(INDEX('Structured 2025'!headerRow,1,COLUMN()),4,LEN(INDEX('Structured 2025'!headerRow,1,COLUMN()))),ovrHeaderRow25,0))</f>
        <v>6.9</v>
      </c>
      <c r="BH127" s="12">
        <f>INDEX(ovrTable25,MATCH(INDEX('Structured 2025'!teamCol,ROW()),ovrTeamCol25,0),MATCH(MID(INDEX('Structured 2025'!headerRow,1,COLUMN()),4,LEN(INDEX('Structured 2025'!headerRow,1,COLUMN()))),ovrHeaderRow25,0))</f>
        <v>1</v>
      </c>
      <c r="BI127" s="12">
        <f>INDEX(ovrTable25,MATCH(INDEX('Structured 2025'!teamCol,ROW()),ovrTeamCol25,0),MATCH(MID(INDEX('Structured 2025'!headerRow,1,COLUMN()),4,LEN(INDEX('Structured 2025'!headerRow,1,COLUMN()))),ovrHeaderRow25,0))</f>
        <v>11.47</v>
      </c>
      <c r="BJ127" s="12">
        <f>INDEX(ovrTable25,MATCH(INDEX('Structured 2025'!teamCol,ROW()),ovrTeamCol25,0),MATCH(MID(INDEX('Structured 2025'!headerRow,1,COLUMN()),4,LEN(INDEX('Structured 2025'!headerRow,1,COLUMN()))),ovrHeaderRow25,0))</f>
        <v>10.4</v>
      </c>
      <c r="BK127" s="12">
        <f>INDEX(ovrTable25,MATCH(INDEX('Structured 2025'!teamCol,ROW()),ovrTeamCol25,0),MATCH(MID(INDEX('Structured 2025'!headerRow,1,COLUMN()),4,LEN(INDEX('Structured 2025'!headerRow,1,COLUMN()))),ovrHeaderRow25,0))</f>
        <v>63.7</v>
      </c>
      <c r="BL127" s="12">
        <f>INDEX(ovrTable25,MATCH(INDEX('Structured 2025'!teamCol,ROW()),ovrTeamCol25,0),MATCH(MID(INDEX('Structured 2025'!headerRow,1,COLUMN()),4,LEN(INDEX('Structured 2025'!headerRow,1,COLUMN()))),ovrHeaderRow25,0))</f>
        <v>17.25</v>
      </c>
      <c r="BM127" s="12">
        <f>INDEX(ovrTable25,MATCH(INDEX('Structured 2025'!teamCol,ROW()),ovrTeamCol25,0),MATCH(MID(INDEX('Structured 2025'!headerRow,1,COLUMN()),4,LEN(INDEX('Structured 2025'!headerRow,1,COLUMN()))),ovrHeaderRow25,0))</f>
        <v>56.305309734513273</v>
      </c>
      <c r="BN127" s="12">
        <f>INDEX(ovrTable25,MATCH(INDEX(oppCol,ROW()),ovrTeamCol25,0),MATCH(MID(INDEX('Structured 2025'!headerRow,1,COLUMN()),4,LEN(INDEX('Structured 2025'!headerRow,1,COLUMN()))),ovrHeaderRow25,0))</f>
        <v>30.2</v>
      </c>
      <c r="BO127" s="12">
        <f>INDEX(ovrTable25,MATCH(INDEX(oppCol,ROW()),ovrTeamCol25,0),MATCH(MID(INDEX('Structured 2025'!headerRow,1,COLUMN()),4,LEN(INDEX('Structured 2025'!headerRow,1,COLUMN()))),ovrHeaderRow25,0))</f>
        <v>8.1999999999999993</v>
      </c>
      <c r="BP127" s="12">
        <f>INDEX(ovrTable25,MATCH(INDEX(oppCol,ROW()),ovrTeamCol25,0),MATCH(MID(INDEX('Structured 2025'!headerRow,1,COLUMN()),4,LEN(INDEX('Structured 2025'!headerRow,1,COLUMN()))),ovrHeaderRow25,0))</f>
        <v>39.4</v>
      </c>
      <c r="BQ127" s="12">
        <f>INDEX(ovrTable25,MATCH(INDEX(oppCol,ROW()),ovrTeamCol25,0),MATCH(MID(INDEX('Structured 2025'!headerRow,1,COLUMN()),4,LEN(INDEX('Structured 2025'!headerRow,1,COLUMN()))),ovrHeaderRow25,0))</f>
        <v>20.7</v>
      </c>
      <c r="BR127" s="12">
        <f>INDEX(ovrTable25,MATCH(INDEX(oppCol,ROW()),ovrTeamCol25,0),MATCH(MID(INDEX('Structured 2025'!headerRow,1,COLUMN()),4,LEN(INDEX('Structured 2025'!headerRow,1,COLUMN()))),ovrHeaderRow25,0))</f>
        <v>1.34</v>
      </c>
      <c r="BS127" s="12">
        <f>INDEX(ovrTable25,MATCH(INDEX(oppCol,ROW()),ovrTeamCol25,0),MATCH(MID(INDEX('Structured 2025'!headerRow,1,COLUMN()),4,LEN(INDEX('Structured 2025'!headerRow,1,COLUMN()))),ovrHeaderRow25,0))</f>
        <v>12.1</v>
      </c>
      <c r="BT127" s="12">
        <f>INDEX(ovrTable25,MATCH(INDEX(oppCol,ROW()),ovrTeamCol25,0),MATCH(MID(INDEX('Structured 2025'!headerRow,1,COLUMN()),4,LEN(INDEX('Structured 2025'!headerRow,1,COLUMN()))),ovrHeaderRow25,0))</f>
        <v>18.73</v>
      </c>
      <c r="BU127" s="12">
        <f>INDEX(ovrTable25,MATCH(INDEX(oppCol,ROW()),ovrTeamCol25,0),MATCH(MID(INDEX('Structured 2025'!headerRow,1,COLUMN()),4,LEN(INDEX('Structured 2025'!headerRow,1,COLUMN()))),ovrHeaderRow25,0))</f>
        <v>4.5999999999999996</v>
      </c>
      <c r="BV127" s="12">
        <f>INDEX(ovrTable25,MATCH(INDEX(oppCol,ROW()),ovrTeamCol25,0),MATCH(MID(INDEX('Structured 2025'!headerRow,1,COLUMN()),4,LEN(INDEX('Structured 2025'!headerRow,1,COLUMN()))),ovrHeaderRow25,0))</f>
        <v>38.299999999999997</v>
      </c>
      <c r="BW127" s="12">
        <f>INDEX(ovrTable25,MATCH(INDEX(oppCol,ROW()),ovrTeamCol25,0),MATCH(MID(INDEX('Structured 2025'!headerRow,1,COLUMN()),4,LEN(INDEX('Structured 2025'!headerRow,1,COLUMN()))),ovrHeaderRow25,0))</f>
        <v>24.08</v>
      </c>
      <c r="BX127" s="12">
        <f>INDEX(ovrTable25,MATCH(INDEX(oppCol,ROW()),ovrTeamCol25,0),MATCH(MID(INDEX('Structured 2025'!headerRow,1,COLUMN()),4,LEN(INDEX('Structured 2025'!headerRow,1,COLUMN()))),ovrHeaderRow25,0))</f>
        <v>0.51700000000000002</v>
      </c>
      <c r="BY127" s="12">
        <f>INDEX(ovrTable25,MATCH(INDEX(oppCol,ROW()),ovrTeamCol25,0),MATCH(MID(INDEX('Structured 2025'!headerRow,1,COLUMN()),4,LEN(INDEX('Structured 2025'!headerRow,1,COLUMN()))),ovrHeaderRow25,0))</f>
        <v>7.6</v>
      </c>
      <c r="BZ127" s="12">
        <f>INDEX(ovrTable25,MATCH(INDEX(oppCol,ROW()),ovrTeamCol25,0),MATCH(MID(INDEX('Structured 2025'!headerRow,1,COLUMN()),4,LEN(INDEX('Structured 2025'!headerRow,1,COLUMN()))),ovrHeaderRow25,0))</f>
        <v>44.9</v>
      </c>
      <c r="CA127" s="12">
        <f>INDEX(ovrTable25,MATCH(INDEX(oppCol,ROW()),ovrTeamCol25,0),MATCH(MID(INDEX('Structured 2025'!headerRow,1,COLUMN()),4,LEN(INDEX('Structured 2025'!headerRow,1,COLUMN()))),ovrHeaderRow25,0))</f>
        <v>16.3</v>
      </c>
      <c r="CB127" s="12">
        <f>INDEX(ovrTable25,MATCH(INDEX(oppCol,ROW()),ovrTeamCol25,0),MATCH(MID(INDEX('Structured 2025'!headerRow,1,COLUMN()),4,LEN(INDEX('Structured 2025'!headerRow,1,COLUMN()))),ovrHeaderRow25,0))</f>
        <v>74</v>
      </c>
      <c r="CC127" s="12">
        <f>INDEX(ovrTable25,MATCH(INDEX(oppCol,ROW()),ovrTeamCol25,0),MATCH(MID(INDEX('Structured 2025'!headerRow,1,COLUMN()),4,LEN(INDEX('Structured 2025'!headerRow,1,COLUMN()))),ovrHeaderRow25,0))</f>
        <v>16.2</v>
      </c>
      <c r="CD127" s="12">
        <f>INDEX(ovrTable25,MATCH(INDEX(oppCol,ROW()),ovrTeamCol25,0),MATCH(MID(INDEX('Structured 2025'!headerRow,1,COLUMN()),4,LEN(INDEX('Structured 2025'!headerRow,1,COLUMN()))),ovrHeaderRow25,0))</f>
        <v>12</v>
      </c>
      <c r="CE127" s="12">
        <f>INDEX(ovrTable25,MATCH(INDEX(oppCol,ROW()),ovrTeamCol25,0),MATCH(MID(INDEX('Structured 2025'!headerRow,1,COLUMN()),4,LEN(INDEX('Structured 2025'!headerRow,1,COLUMN()))),ovrHeaderRow25,0))</f>
        <v>58.7</v>
      </c>
      <c r="CF127" s="12">
        <f>INDEX(ovrTable25,MATCH(INDEX(oppCol,ROW()),ovrTeamCol25,0),MATCH(MID(INDEX('Structured 2025'!headerRow,1,COLUMN()),4,LEN(INDEX('Structured 2025'!headerRow,1,COLUMN()))),ovrHeaderRow25,0))</f>
        <v>12.8</v>
      </c>
      <c r="CG127" s="12">
        <f>INDEX(ovrTable25,MATCH(INDEX(oppCol,ROW()),ovrTeamCol25,0),MATCH(MID(INDEX('Structured 2025'!headerRow,1,COLUMN()),4,LEN(INDEX('Structured 2025'!headerRow,1,COLUMN()))),ovrHeaderRow25,0))</f>
        <v>73.7</v>
      </c>
      <c r="CH127" s="12">
        <f>INDEX(ovrTable25,MATCH(INDEX(oppCol,ROW()),ovrTeamCol25,0),MATCH(MID(INDEX('Structured 2025'!headerRow,1,COLUMN()),4,LEN(INDEX('Structured 2025'!headerRow,1,COLUMN()))),ovrHeaderRow25,0))</f>
        <v>5.3</v>
      </c>
      <c r="CI127" s="12">
        <f>INDEX(ovrTable25,MATCH(INDEX(oppCol,ROW()),ovrTeamCol25,0),MATCH(MID(INDEX('Structured 2025'!headerRow,1,COLUMN()),4,LEN(INDEX('Structured 2025'!headerRow,1,COLUMN()))),ovrHeaderRow25,0))</f>
        <v>36.880000000000003</v>
      </c>
      <c r="CJ127" s="12">
        <f>INDEX(ovrTable25,MATCH(INDEX(oppCol,ROW()),ovrTeamCol25,0),MATCH(MID(INDEX('Structured 2025'!headerRow,1,COLUMN()),4,LEN(INDEX('Structured 2025'!headerRow,1,COLUMN()))),ovrHeaderRow25,0))</f>
        <v>15</v>
      </c>
      <c r="CK127" s="12">
        <f>INDEX(ovrTable25,MATCH(INDEX(oppCol,ROW()),ovrTeamCol25,0),MATCH(MID(INDEX('Structured 2025'!headerRow,1,COLUMN()),4,LEN(INDEX('Structured 2025'!headerRow,1,COLUMN()))),ovrHeaderRow25,0))</f>
        <v>7.8</v>
      </c>
      <c r="CL127" s="12">
        <f>INDEX(ovrTable25,MATCH(INDEX(oppCol,ROW()),ovrTeamCol25,0),MATCH(MID(INDEX('Structured 2025'!headerRow,1,COLUMN()),4,LEN(INDEX('Structured 2025'!headerRow,1,COLUMN()))),ovrHeaderRow25,0))</f>
        <v>4.2</v>
      </c>
      <c r="CM127" s="12">
        <f>INDEX(ovrTable25,MATCH(INDEX(oppCol,ROW()),ovrTeamCol25,0),MATCH(MID(INDEX('Structured 2025'!headerRow,1,COLUMN()),4,LEN(INDEX('Structured 2025'!headerRow,1,COLUMN()))),ovrHeaderRow25,0))</f>
        <v>13.23</v>
      </c>
      <c r="CN127" s="12">
        <f>INDEX(ovrTable25,MATCH(INDEX(oppCol,ROW()),ovrTeamCol25,0),MATCH(MID(INDEX('Structured 2025'!headerRow,1,COLUMN()),4,LEN(INDEX('Structured 2025'!headerRow,1,COLUMN()))),ovrHeaderRow25,0))</f>
        <v>9</v>
      </c>
      <c r="CO127" s="12">
        <f>INDEX(ovrTable25,MATCH(INDEX(oppCol,ROW()),ovrTeamCol25,0),MATCH(MID(INDEX('Structured 2025'!headerRow,1,COLUMN()),4,LEN(INDEX('Structured 2025'!headerRow,1,COLUMN()))),ovrHeaderRow25,0))</f>
        <v>61.9</v>
      </c>
      <c r="CP127" s="12">
        <f>INDEX(ovrTable25,MATCH(INDEX(oppCol,ROW()),ovrTeamCol25,0),MATCH(MID(INDEX('Structured 2025'!headerRow,1,COLUMN()),4,LEN(INDEX('Structured 2025'!headerRow,1,COLUMN()))),ovrHeaderRow25,0))</f>
        <v>18.550000000000004</v>
      </c>
      <c r="CQ127" s="12">
        <f>INDEX(ovrTable25,MATCH(INDEX(oppCol,ROW()),ovrTeamCol25,0),MATCH(MID(INDEX('Structured 2025'!headerRow,1,COLUMN()),4,LEN(INDEX('Structured 2025'!headerRow,1,COLUMN()))),ovrHeaderRow25,0))</f>
        <v>59.576837416481084</v>
      </c>
    </row>
    <row r="128" spans="1:95" x14ac:dyDescent="0.3">
      <c r="A128" s="6" t="s">
        <v>45</v>
      </c>
      <c r="B128" s="3">
        <v>1</v>
      </c>
      <c r="C128" s="13" t="str">
        <f>A129</f>
        <v>TTU</v>
      </c>
      <c r="D128" s="14">
        <f t="shared" si="111"/>
        <v>64</v>
      </c>
      <c r="E128" s="23">
        <v>0.37037037037037035</v>
      </c>
      <c r="F128" s="24">
        <v>43.859649122807014</v>
      </c>
      <c r="G128" s="24">
        <v>9</v>
      </c>
      <c r="H128" s="23">
        <v>37.5</v>
      </c>
      <c r="I128" s="24">
        <v>24</v>
      </c>
      <c r="J128" s="25">
        <v>0.91666666666666663</v>
      </c>
      <c r="K128" s="24">
        <v>25</v>
      </c>
      <c r="L128" s="24">
        <v>27</v>
      </c>
      <c r="M128" s="24">
        <v>11</v>
      </c>
      <c r="N128" s="24">
        <v>31</v>
      </c>
      <c r="O128" s="24">
        <v>11</v>
      </c>
      <c r="P128" s="24">
        <v>3</v>
      </c>
      <c r="Q128" s="24">
        <v>5</v>
      </c>
      <c r="R128" s="24">
        <v>12</v>
      </c>
      <c r="S128" s="24">
        <v>12</v>
      </c>
      <c r="T128" s="24">
        <v>16</v>
      </c>
      <c r="U128" s="24">
        <v>29</v>
      </c>
      <c r="V128" s="24">
        <v>0.43055555555555558</v>
      </c>
      <c r="W128" s="26">
        <v>0.51754385964912286</v>
      </c>
      <c r="X128" s="23">
        <v>92.592592592592595</v>
      </c>
      <c r="Y128" s="24">
        <v>79</v>
      </c>
      <c r="Z128" s="24">
        <v>84</v>
      </c>
      <c r="AA128" s="24">
        <v>7</v>
      </c>
      <c r="AB128" s="24">
        <v>42</v>
      </c>
      <c r="AC128" s="24">
        <v>5</v>
      </c>
      <c r="AD128" s="24">
        <v>-5</v>
      </c>
      <c r="AE128" s="24">
        <v>7</v>
      </c>
      <c r="AF128" s="34">
        <f t="shared" si="105"/>
        <v>16</v>
      </c>
      <c r="AG128" s="34">
        <f t="shared" si="106"/>
        <v>33</v>
      </c>
      <c r="AH128" s="46">
        <f t="shared" si="107"/>
        <v>70.825000000000003</v>
      </c>
      <c r="AI128" s="51">
        <f t="shared" ref="AI128" si="139">AVERAGE(AH128,AH129)</f>
        <v>71</v>
      </c>
      <c r="AJ128" s="12">
        <f>INDEX(ovrTable25,MATCH(INDEX('Structured 2025'!teamCol,ROW()),ovrTeamCol25,0),MATCH(MID(INDEX('Structured 2025'!headerRow,1,COLUMN()),4,LEN(INDEX('Structured 2025'!headerRow,1,COLUMN()))),ovrHeaderRow25,0))</f>
        <v>29.4</v>
      </c>
      <c r="AK128" s="12">
        <f>INDEX(ovrTable25,MATCH(INDEX('Structured 2025'!teamCol,ROW()),ovrTeamCol25,0),MATCH(MID(INDEX('Structured 2025'!headerRow,1,COLUMN()),4,LEN(INDEX('Structured 2025'!headerRow,1,COLUMN()))),ovrHeaderRow25,0))</f>
        <v>9.8000000000000007</v>
      </c>
      <c r="AL128" s="12">
        <f>INDEX(ovrTable25,MATCH(INDEX('Structured 2025'!teamCol,ROW()),ovrTeamCol25,0),MATCH(MID(INDEX('Structured 2025'!headerRow,1,COLUMN()),4,LEN(INDEX('Structured 2025'!headerRow,1,COLUMN()))),ovrHeaderRow25,0))</f>
        <v>35.6</v>
      </c>
      <c r="AM128" s="12">
        <f>INDEX(ovrTable25,MATCH(INDEX('Structured 2025'!teamCol,ROW()),ovrTeamCol25,0),MATCH(MID(INDEX('Structured 2025'!headerRow,1,COLUMN()),4,LEN(INDEX('Structured 2025'!headerRow,1,COLUMN()))),ovrHeaderRow25,0))</f>
        <v>27.4</v>
      </c>
      <c r="AN128" s="12">
        <f>INDEX(ovrTable25,MATCH(INDEX('Structured 2025'!teamCol,ROW()),ovrTeamCol25,0),MATCH(MID(INDEX('Structured 2025'!headerRow,1,COLUMN()),4,LEN(INDEX('Structured 2025'!headerRow,1,COLUMN()))),ovrHeaderRow25,0))</f>
        <v>1.39</v>
      </c>
      <c r="AO128" s="12">
        <f>INDEX(ovrTable25,MATCH(INDEX('Structured 2025'!teamCol,ROW()),ovrTeamCol25,0),MATCH(MID(INDEX('Structured 2025'!headerRow,1,COLUMN()),4,LEN(INDEX('Structured 2025'!headerRow,1,COLUMN()))),ovrHeaderRow25,0))</f>
        <v>15.5</v>
      </c>
      <c r="AP128" s="12">
        <f>INDEX(ovrTable25,MATCH(INDEX('Structured 2025'!teamCol,ROW()),ovrTeamCol25,0),MATCH(MID(INDEX('Structured 2025'!headerRow,1,COLUMN()),4,LEN(INDEX('Structured 2025'!headerRow,1,COLUMN()))),ovrHeaderRow25,0))</f>
        <v>21.98</v>
      </c>
      <c r="AQ128" s="12">
        <f>INDEX(ovrTable25,MATCH(INDEX('Structured 2025'!teamCol,ROW()),ovrTeamCol25,0),MATCH(MID(INDEX('Structured 2025'!headerRow,1,COLUMN()),4,LEN(INDEX('Structured 2025'!headerRow,1,COLUMN()))),ovrHeaderRow25,0))</f>
        <v>4.5</v>
      </c>
      <c r="AR128" s="12">
        <f>INDEX(ovrTable25,MATCH(INDEX('Structured 2025'!teamCol,ROW()),ovrTeamCol25,0),MATCH(MID(INDEX('Structured 2025'!headerRow,1,COLUMN()),4,LEN(INDEX('Structured 2025'!headerRow,1,COLUMN()))),ovrHeaderRow25,0))</f>
        <v>40</v>
      </c>
      <c r="AS128" s="12">
        <f>INDEX(ovrTable25,MATCH(INDEX('Structured 2025'!teamCol,ROW()),ovrTeamCol25,0),MATCH(MID(INDEX('Structured 2025'!headerRow,1,COLUMN()),4,LEN(INDEX('Structured 2025'!headerRow,1,COLUMN()))),ovrHeaderRow25,0))</f>
        <v>28.1</v>
      </c>
      <c r="AT128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128" s="12">
        <f>INDEX(ovrTable25,MATCH(INDEX('Structured 2025'!teamCol,ROW()),ovrTeamCol25,0),MATCH(MID(INDEX('Structured 2025'!headerRow,1,COLUMN()),4,LEN(INDEX('Structured 2025'!headerRow,1,COLUMN()))),ovrHeaderRow25,0))</f>
        <v>15.58</v>
      </c>
      <c r="AV128" s="12">
        <f>INDEX(ovrTable25,MATCH(INDEX('Structured 2025'!teamCol,ROW()),ovrTeamCol25,0),MATCH(MID(INDEX('Structured 2025'!headerRow,1,COLUMN()),4,LEN(INDEX('Structured 2025'!headerRow,1,COLUMN()))),ovrHeaderRow25,0))</f>
        <v>47.1</v>
      </c>
      <c r="AW128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128" s="12">
        <f>INDEX(ovrTable25,MATCH(INDEX('Structured 2025'!teamCol,ROW()),ovrTeamCol25,0),MATCH(MID(INDEX('Structured 2025'!headerRow,1,COLUMN()),4,LEN(INDEX('Structured 2025'!headerRow,1,COLUMN()))),ovrHeaderRow25,0))</f>
        <v>72.8</v>
      </c>
      <c r="AY128" s="12">
        <f>INDEX(ovrTable25,MATCH(INDEX('Structured 2025'!teamCol,ROW()),ovrTeamCol25,0),MATCH(MID(INDEX('Structured 2025'!headerRow,1,COLUMN()),4,LEN(INDEX('Structured 2025'!headerRow,1,COLUMN()))),ovrHeaderRow25,0))</f>
        <v>21.9</v>
      </c>
      <c r="AZ128" s="12">
        <f>INDEX(ovrTable25,MATCH(INDEX('Structured 2025'!teamCol,ROW()),ovrTeamCol25,0),MATCH(MID(INDEX('Structured 2025'!headerRow,1,COLUMN()),4,LEN(INDEX('Structured 2025'!headerRow,1,COLUMN()))),ovrHeaderRow25,0))</f>
        <v>15.9</v>
      </c>
      <c r="BA128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B128" s="12">
        <f>INDEX(ovrTable25,MATCH(INDEX('Structured 2025'!teamCol,ROW()),ovrTeamCol25,0),MATCH(MID(INDEX('Structured 2025'!headerRow,1,COLUMN()),4,LEN(INDEX('Structured 2025'!headerRow,1,COLUMN()))),ovrHeaderRow25,0))</f>
        <v>13.73</v>
      </c>
      <c r="BC128" s="12">
        <f>INDEX(ovrTable25,MATCH(INDEX('Structured 2025'!teamCol,ROW()),ovrTeamCol25,0),MATCH(MID(INDEX('Structured 2025'!headerRow,1,COLUMN()),4,LEN(INDEX('Structured 2025'!headerRow,1,COLUMN()))),ovrHeaderRow25,0))</f>
        <v>84.8</v>
      </c>
      <c r="BD128" s="12">
        <f>INDEX(ovrTable25,MATCH(INDEX('Structured 2025'!teamCol,ROW()),ovrTeamCol25,0),MATCH(MID(INDEX('Structured 2025'!headerRow,1,COLUMN()),4,LEN(INDEX('Structured 2025'!headerRow,1,COLUMN()))),ovrHeaderRow25,0))</f>
        <v>8.4</v>
      </c>
      <c r="BE128" s="12">
        <f>INDEX(ovrTable25,MATCH(INDEX('Structured 2025'!teamCol,ROW()),ovrTeamCol25,0),MATCH(MID(INDEX('Structured 2025'!headerRow,1,COLUMN()),4,LEN(INDEX('Structured 2025'!headerRow,1,COLUMN()))),ovrHeaderRow25,0))</f>
        <v>41.83</v>
      </c>
      <c r="BF128" s="12">
        <f>INDEX(ovrTable25,MATCH(INDEX('Structured 2025'!teamCol,ROW()),ovrTeamCol25,0),MATCH(MID(INDEX('Structured 2025'!headerRow,1,COLUMN()),4,LEN(INDEX('Structured 2025'!headerRow,1,COLUMN()))),ovrHeaderRow25,0))</f>
        <v>15.2</v>
      </c>
      <c r="BG128" s="12">
        <f>INDEX(ovrTable25,MATCH(INDEX('Structured 2025'!teamCol,ROW()),ovrTeamCol25,0),MATCH(MID(INDEX('Structured 2025'!headerRow,1,COLUMN()),4,LEN(INDEX('Structured 2025'!headerRow,1,COLUMN()))),ovrHeaderRow25,0))</f>
        <v>7.4</v>
      </c>
      <c r="BH128" s="12">
        <f>INDEX(ovrTable25,MATCH(INDEX('Structured 2025'!teamCol,ROW()),ovrTeamCol25,0),MATCH(MID(INDEX('Structured 2025'!headerRow,1,COLUMN()),4,LEN(INDEX('Structured 2025'!headerRow,1,COLUMN()))),ovrHeaderRow25,0))</f>
        <v>0.6</v>
      </c>
      <c r="BI128" s="12">
        <f>INDEX(ovrTable25,MATCH(INDEX('Structured 2025'!teamCol,ROW()),ovrTeamCol25,0),MATCH(MID(INDEX('Structured 2025'!headerRow,1,COLUMN()),4,LEN(INDEX('Structured 2025'!headerRow,1,COLUMN()))),ovrHeaderRow25,0))</f>
        <v>11.73</v>
      </c>
      <c r="BJ128" s="12">
        <f>INDEX(ovrTable25,MATCH(INDEX('Structured 2025'!teamCol,ROW()),ovrTeamCol25,0),MATCH(MID(INDEX('Structured 2025'!headerRow,1,COLUMN()),4,LEN(INDEX('Structured 2025'!headerRow,1,COLUMN()))),ovrHeaderRow25,0))</f>
        <v>11.1</v>
      </c>
      <c r="BK128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128" s="12">
        <f>INDEX(ovrTable25,MATCH(INDEX('Structured 2025'!teamCol,ROW()),ovrTeamCol25,0),MATCH(MID(INDEX('Structured 2025'!headerRow,1,COLUMN()),4,LEN(INDEX('Structured 2025'!headerRow,1,COLUMN()))),ovrHeaderRow25,0))</f>
        <v>19.749999999999993</v>
      </c>
      <c r="BM128" s="12">
        <f>INDEX(ovrTable25,MATCH(INDEX('Structured 2025'!teamCol,ROW()),ovrTeamCol25,0),MATCH(MID(INDEX('Structured 2025'!headerRow,1,COLUMN()),4,LEN(INDEX('Structured 2025'!headerRow,1,COLUMN()))),ovrHeaderRow25,0))</f>
        <v>62.7388535031847</v>
      </c>
      <c r="BN128" s="12">
        <f>INDEX(ovrTable25,MATCH(INDEX(oppCol,ROW()),ovrTeamCol25,0),MATCH(MID(INDEX('Structured 2025'!headerRow,1,COLUMN()),4,LEN(INDEX('Structured 2025'!headerRow,1,COLUMN()))),ovrHeaderRow25,0))</f>
        <v>32.4</v>
      </c>
      <c r="BO128" s="12">
        <f>INDEX(ovrTable25,MATCH(INDEX(oppCol,ROW()),ovrTeamCol25,0),MATCH(MID(INDEX('Structured 2025'!headerRow,1,COLUMN()),4,LEN(INDEX('Structured 2025'!headerRow,1,COLUMN()))),ovrHeaderRow25,0))</f>
        <v>10</v>
      </c>
      <c r="BP128" s="12">
        <f>INDEX(ovrTable25,MATCH(INDEX(oppCol,ROW()),ovrTeamCol25,0),MATCH(MID(INDEX('Structured 2025'!headerRow,1,COLUMN()),4,LEN(INDEX('Structured 2025'!headerRow,1,COLUMN()))),ovrHeaderRow25,0))</f>
        <v>36.700000000000003</v>
      </c>
      <c r="BQ128" s="12">
        <f>INDEX(ovrTable25,MATCH(INDEX(oppCol,ROW()),ovrTeamCol25,0),MATCH(MID(INDEX('Structured 2025'!headerRow,1,COLUMN()),4,LEN(INDEX('Structured 2025'!headerRow,1,COLUMN()))),ovrHeaderRow25,0))</f>
        <v>27.3</v>
      </c>
      <c r="BR128" s="12">
        <f>INDEX(ovrTable25,MATCH(INDEX(oppCol,ROW()),ovrTeamCol25,0),MATCH(MID(INDEX('Structured 2025'!headerRow,1,COLUMN()),4,LEN(INDEX('Structured 2025'!headerRow,1,COLUMN()))),ovrHeaderRow25,0))</f>
        <v>1.7</v>
      </c>
      <c r="BS128" s="12">
        <f>INDEX(ovrTable25,MATCH(INDEX(oppCol,ROW()),ovrTeamCol25,0),MATCH(MID(INDEX('Structured 2025'!headerRow,1,COLUMN()),4,LEN(INDEX('Structured 2025'!headerRow,1,COLUMN()))),ovrHeaderRow25,0))</f>
        <v>16.399999999999999</v>
      </c>
      <c r="BT128" s="12">
        <f>INDEX(ovrTable25,MATCH(INDEX(oppCol,ROW()),ovrTeamCol25,0),MATCH(MID(INDEX('Structured 2025'!headerRow,1,COLUMN()),4,LEN(INDEX('Structured 2025'!headerRow,1,COLUMN()))),ovrHeaderRow25,0))</f>
        <v>19.95</v>
      </c>
      <c r="BU128" s="12">
        <f>INDEX(ovrTable25,MATCH(INDEX(oppCol,ROW()),ovrTeamCol25,0),MATCH(MID(INDEX('Structured 2025'!headerRow,1,COLUMN()),4,LEN(INDEX('Structured 2025'!headerRow,1,COLUMN()))),ovrHeaderRow25,0))</f>
        <v>3.1</v>
      </c>
      <c r="BV128" s="12">
        <f>INDEX(ovrTable25,MATCH(INDEX(oppCol,ROW()),ovrTeamCol25,0),MATCH(MID(INDEX('Structured 2025'!headerRow,1,COLUMN()),4,LEN(INDEX('Structured 2025'!headerRow,1,COLUMN()))),ovrHeaderRow25,0))</f>
        <v>42.6</v>
      </c>
      <c r="BW128" s="12">
        <f>INDEX(ovrTable25,MATCH(INDEX(oppCol,ROW()),ovrTeamCol25,0),MATCH(MID(INDEX('Structured 2025'!headerRow,1,COLUMN()),4,LEN(INDEX('Structured 2025'!headerRow,1,COLUMN()))),ovrHeaderRow25,0))</f>
        <v>25.22</v>
      </c>
      <c r="BX128" s="12">
        <f>INDEX(ovrTable25,MATCH(INDEX(oppCol,ROW()),ovrTeamCol25,0),MATCH(MID(INDEX('Structured 2025'!headerRow,1,COLUMN()),4,LEN(INDEX('Structured 2025'!headerRow,1,COLUMN()))),ovrHeaderRow25,0))</f>
        <v>0.54700000000000004</v>
      </c>
      <c r="BY128" s="12">
        <f>INDEX(ovrTable25,MATCH(INDEX(oppCol,ROW()),ovrTeamCol25,0),MATCH(MID(INDEX('Structured 2025'!headerRow,1,COLUMN()),4,LEN(INDEX('Structured 2025'!headerRow,1,COLUMN()))),ovrHeaderRow25,0))</f>
        <v>10.16</v>
      </c>
      <c r="BZ128" s="12">
        <f>INDEX(ovrTable25,MATCH(INDEX(oppCol,ROW()),ovrTeamCol25,0),MATCH(MID(INDEX('Structured 2025'!headerRow,1,COLUMN()),4,LEN(INDEX('Structured 2025'!headerRow,1,COLUMN()))),ovrHeaderRow25,0))</f>
        <v>46.6</v>
      </c>
      <c r="CA128" s="12">
        <f>INDEX(ovrTable25,MATCH(INDEX(oppCol,ROW()),ovrTeamCol25,0),MATCH(MID(INDEX('Structured 2025'!headerRow,1,COLUMN()),4,LEN(INDEX('Structured 2025'!headerRow,1,COLUMN()))),ovrHeaderRow25,0))</f>
        <v>15.7</v>
      </c>
      <c r="CB128" s="12">
        <f>INDEX(ovrTable25,MATCH(INDEX(oppCol,ROW()),ovrTeamCol25,0),MATCH(MID(INDEX('Structured 2025'!headerRow,1,COLUMN()),4,LEN(INDEX('Structured 2025'!headerRow,1,COLUMN()))),ovrHeaderRow25,0))</f>
        <v>76</v>
      </c>
      <c r="CC128" s="12">
        <f>INDEX(ovrTable25,MATCH(INDEX(oppCol,ROW()),ovrTeamCol25,0),MATCH(MID(INDEX('Structured 2025'!headerRow,1,COLUMN()),4,LEN(INDEX('Structured 2025'!headerRow,1,COLUMN()))),ovrHeaderRow25,0))</f>
        <v>17.899999999999999</v>
      </c>
      <c r="CD128" s="12">
        <f>INDEX(ovrTable25,MATCH(INDEX(oppCol,ROW()),ovrTeamCol25,0),MATCH(MID(INDEX('Structured 2025'!headerRow,1,COLUMN()),4,LEN(INDEX('Structured 2025'!headerRow,1,COLUMN()))),ovrHeaderRow25,0))</f>
        <v>13.6</v>
      </c>
      <c r="CE128" s="12">
        <f>INDEX(ovrTable25,MATCH(INDEX(oppCol,ROW()),ovrTeamCol25,0),MATCH(MID(INDEX('Structured 2025'!headerRow,1,COLUMN()),4,LEN(INDEX('Structured 2025'!headerRow,1,COLUMN()))),ovrHeaderRow25,0))</f>
        <v>68.5</v>
      </c>
      <c r="CF128" s="12">
        <f>INDEX(ovrTable25,MATCH(INDEX(oppCol,ROW()),ovrTeamCol25,0),MATCH(MID(INDEX('Structured 2025'!headerRow,1,COLUMN()),4,LEN(INDEX('Structured 2025'!headerRow,1,COLUMN()))),ovrHeaderRow25,0))</f>
        <v>11.84</v>
      </c>
      <c r="CG128" s="12">
        <f>INDEX(ovrTable25,MATCH(INDEX(oppCol,ROW()),ovrTeamCol25,0),MATCH(MID(INDEX('Structured 2025'!headerRow,1,COLUMN()),4,LEN(INDEX('Structured 2025'!headerRow,1,COLUMN()))),ovrHeaderRow25,0))</f>
        <v>80.900000000000006</v>
      </c>
      <c r="CH128" s="12">
        <f>INDEX(ovrTable25,MATCH(INDEX(oppCol,ROW()),ovrTeamCol25,0),MATCH(MID(INDEX('Structured 2025'!headerRow,1,COLUMN()),4,LEN(INDEX('Structured 2025'!headerRow,1,COLUMN()))),ovrHeaderRow25,0))</f>
        <v>4.3</v>
      </c>
      <c r="CI128" s="12">
        <f>INDEX(ovrTable25,MATCH(INDEX(oppCol,ROW()),ovrTeamCol25,0),MATCH(MID(INDEX('Structured 2025'!headerRow,1,COLUMN()),4,LEN(INDEX('Structured 2025'!headerRow,1,COLUMN()))),ovrHeaderRow25,0))</f>
        <v>37.049999999999997</v>
      </c>
      <c r="CJ128" s="12">
        <f>INDEX(ovrTable25,MATCH(INDEX(oppCol,ROW()),ovrTeamCol25,0),MATCH(MID(INDEX('Structured 2025'!headerRow,1,COLUMN()),4,LEN(INDEX('Structured 2025'!headerRow,1,COLUMN()))),ovrHeaderRow25,0))</f>
        <v>12.4</v>
      </c>
      <c r="CK128" s="12">
        <f>INDEX(ovrTable25,MATCH(INDEX(oppCol,ROW()),ovrTeamCol25,0),MATCH(MID(INDEX('Structured 2025'!headerRow,1,COLUMN()),4,LEN(INDEX('Structured 2025'!headerRow,1,COLUMN()))),ovrHeaderRow25,0))</f>
        <v>6.3</v>
      </c>
      <c r="CL128" s="12">
        <f>INDEX(ovrTable25,MATCH(INDEX(oppCol,ROW()),ovrTeamCol25,0),MATCH(MID(INDEX('Structured 2025'!headerRow,1,COLUMN()),4,LEN(INDEX('Structured 2025'!headerRow,1,COLUMN()))),ovrHeaderRow25,0))</f>
        <v>1.9</v>
      </c>
      <c r="CM128" s="12">
        <f>INDEX(ovrTable25,MATCH(INDEX(oppCol,ROW()),ovrTeamCol25,0),MATCH(MID(INDEX('Structured 2025'!headerRow,1,COLUMN()),4,LEN(INDEX('Structured 2025'!headerRow,1,COLUMN()))),ovrHeaderRow25,0))</f>
        <v>11.54</v>
      </c>
      <c r="CN128" s="12">
        <f>INDEX(ovrTable25,MATCH(INDEX(oppCol,ROW()),ovrTeamCol25,0),MATCH(MID(INDEX('Structured 2025'!headerRow,1,COLUMN()),4,LEN(INDEX('Structured 2025'!headerRow,1,COLUMN()))),ovrHeaderRow25,0))</f>
        <v>9.6</v>
      </c>
      <c r="CO128" s="12">
        <f>INDEX(ovrTable25,MATCH(INDEX(oppCol,ROW()),ovrTeamCol25,0),MATCH(MID(INDEX('Structured 2025'!headerRow,1,COLUMN()),4,LEN(INDEX('Structured 2025'!headerRow,1,COLUMN()))),ovrHeaderRow25,0))</f>
        <v>66.099999999999994</v>
      </c>
      <c r="CP128" s="12">
        <f>INDEX(ovrTable25,MATCH(INDEX(oppCol,ROW()),ovrTeamCol25,0),MATCH(MID(INDEX('Structured 2025'!headerRow,1,COLUMN()),4,LEN(INDEX('Structured 2025'!headerRow,1,COLUMN()))),ovrHeaderRow25,0))</f>
        <v>18.650000000000006</v>
      </c>
      <c r="CQ128" s="12">
        <f>INDEX(ovrTable25,MATCH(INDEX(oppCol,ROW()),ovrTeamCol25,0),MATCH(MID(INDEX('Structured 2025'!headerRow,1,COLUMN()),4,LEN(INDEX('Structured 2025'!headerRow,1,COLUMN()))),ovrHeaderRow25,0))</f>
        <v>61.480686695278976</v>
      </c>
    </row>
    <row r="129" spans="1:95" x14ac:dyDescent="0.3">
      <c r="A129" s="6" t="s">
        <v>46</v>
      </c>
      <c r="B129" s="3">
        <v>3</v>
      </c>
      <c r="C129" s="13" t="str">
        <f>A128</f>
        <v>FLA</v>
      </c>
      <c r="D129" s="14">
        <f t="shared" si="111"/>
        <v>64</v>
      </c>
      <c r="E129" s="23">
        <v>0.375</v>
      </c>
      <c r="F129" s="24">
        <v>43.055555555555557</v>
      </c>
      <c r="G129" s="24">
        <v>10</v>
      </c>
      <c r="H129" s="23">
        <v>37.037037037037038</v>
      </c>
      <c r="I129" s="24">
        <v>27</v>
      </c>
      <c r="J129" s="25">
        <v>1.5714285714285714</v>
      </c>
      <c r="K129" s="24">
        <v>7</v>
      </c>
      <c r="L129" s="24">
        <v>13</v>
      </c>
      <c r="M129" s="24">
        <v>14</v>
      </c>
      <c r="N129" s="24">
        <v>21</v>
      </c>
      <c r="O129" s="24">
        <v>11</v>
      </c>
      <c r="P129" s="24">
        <v>4</v>
      </c>
      <c r="Q129" s="24">
        <v>3</v>
      </c>
      <c r="R129" s="24">
        <v>7</v>
      </c>
      <c r="S129" s="24">
        <v>3</v>
      </c>
      <c r="T129" s="24">
        <v>18</v>
      </c>
      <c r="U129" s="24">
        <v>23</v>
      </c>
      <c r="V129" s="24">
        <v>0.43859649122807015</v>
      </c>
      <c r="W129" s="26">
        <v>0.5</v>
      </c>
      <c r="X129" s="23">
        <v>53.846153846153847</v>
      </c>
      <c r="Y129" s="24">
        <v>84</v>
      </c>
      <c r="Z129" s="24">
        <v>79</v>
      </c>
      <c r="AA129" s="24">
        <v>-7</v>
      </c>
      <c r="AB129" s="24">
        <v>35</v>
      </c>
      <c r="AC129" s="24">
        <v>-5</v>
      </c>
      <c r="AD129" s="24">
        <v>5</v>
      </c>
      <c r="AE129" s="24">
        <v>12</v>
      </c>
      <c r="AF129" s="34">
        <f t="shared" si="105"/>
        <v>21</v>
      </c>
      <c r="AG129" s="34">
        <f t="shared" si="106"/>
        <v>45</v>
      </c>
      <c r="AH129" s="46">
        <f t="shared" si="107"/>
        <v>71.174999999999997</v>
      </c>
      <c r="AI129" s="51">
        <f t="shared" ref="AI129" si="140">AVERAGE(AH128,AH129)</f>
        <v>71</v>
      </c>
      <c r="AJ129" s="12">
        <f>INDEX(ovrTable25,MATCH(INDEX('Structured 2025'!teamCol,ROW()),ovrTeamCol25,0),MATCH(MID(INDEX('Structured 2025'!headerRow,1,COLUMN()),4,LEN(INDEX('Structured 2025'!headerRow,1,COLUMN()))),ovrHeaderRow25,0))</f>
        <v>32.4</v>
      </c>
      <c r="AK129" s="12">
        <f>INDEX(ovrTable25,MATCH(INDEX('Structured 2025'!teamCol,ROW()),ovrTeamCol25,0),MATCH(MID(INDEX('Structured 2025'!headerRow,1,COLUMN()),4,LEN(INDEX('Structured 2025'!headerRow,1,COLUMN()))),ovrHeaderRow25,0))</f>
        <v>10</v>
      </c>
      <c r="AL129" s="12">
        <f>INDEX(ovrTable25,MATCH(INDEX('Structured 2025'!teamCol,ROW()),ovrTeamCol25,0),MATCH(MID(INDEX('Structured 2025'!headerRow,1,COLUMN()),4,LEN(INDEX('Structured 2025'!headerRow,1,COLUMN()))),ovrHeaderRow25,0))</f>
        <v>36.700000000000003</v>
      </c>
      <c r="AM129" s="12">
        <f>INDEX(ovrTable25,MATCH(INDEX('Structured 2025'!teamCol,ROW()),ovrTeamCol25,0),MATCH(MID(INDEX('Structured 2025'!headerRow,1,COLUMN()),4,LEN(INDEX('Structured 2025'!headerRow,1,COLUMN()))),ovrHeaderRow25,0))</f>
        <v>27.3</v>
      </c>
      <c r="AN129" s="12">
        <f>INDEX(ovrTable25,MATCH(INDEX('Structured 2025'!teamCol,ROW()),ovrTeamCol25,0),MATCH(MID(INDEX('Structured 2025'!headerRow,1,COLUMN()),4,LEN(INDEX('Structured 2025'!headerRow,1,COLUMN()))),ovrHeaderRow25,0))</f>
        <v>1.7</v>
      </c>
      <c r="AO129" s="12">
        <f>INDEX(ovrTable25,MATCH(INDEX('Structured 2025'!teamCol,ROW()),ovrTeamCol25,0),MATCH(MID(INDEX('Structured 2025'!headerRow,1,COLUMN()),4,LEN(INDEX('Structured 2025'!headerRow,1,COLUMN()))),ovrHeaderRow25,0))</f>
        <v>16.399999999999999</v>
      </c>
      <c r="AP129" s="12">
        <f>INDEX(ovrTable25,MATCH(INDEX('Structured 2025'!teamCol,ROW()),ovrTeamCol25,0),MATCH(MID(INDEX('Structured 2025'!headerRow,1,COLUMN()),4,LEN(INDEX('Structured 2025'!headerRow,1,COLUMN()))),ovrHeaderRow25,0))</f>
        <v>19.95</v>
      </c>
      <c r="AQ129" s="12">
        <f>INDEX(ovrTable25,MATCH(INDEX('Structured 2025'!teamCol,ROW()),ovrTeamCol25,0),MATCH(MID(INDEX('Structured 2025'!headerRow,1,COLUMN()),4,LEN(INDEX('Structured 2025'!headerRow,1,COLUMN()))),ovrHeaderRow25,0))</f>
        <v>3.1</v>
      </c>
      <c r="AR129" s="12">
        <f>INDEX(ovrTable25,MATCH(INDEX('Structured 2025'!teamCol,ROW()),ovrTeamCol25,0),MATCH(MID(INDEX('Structured 2025'!headerRow,1,COLUMN()),4,LEN(INDEX('Structured 2025'!headerRow,1,COLUMN()))),ovrHeaderRow25,0))</f>
        <v>42.6</v>
      </c>
      <c r="AS129" s="12">
        <f>INDEX(ovrTable25,MATCH(INDEX('Structured 2025'!teamCol,ROW()),ovrTeamCol25,0),MATCH(MID(INDEX('Structured 2025'!headerRow,1,COLUMN()),4,LEN(INDEX('Structured 2025'!headerRow,1,COLUMN()))),ovrHeaderRow25,0))</f>
        <v>25.22</v>
      </c>
      <c r="AT129" s="12">
        <f>INDEX(ovrTable25,MATCH(INDEX('Structured 2025'!teamCol,ROW()),ovrTeamCol25,0),MATCH(MID(INDEX('Structured 2025'!headerRow,1,COLUMN()),4,LEN(INDEX('Structured 2025'!headerRow,1,COLUMN()))),ovrHeaderRow25,0))</f>
        <v>0.54700000000000004</v>
      </c>
      <c r="AU129" s="12">
        <f>INDEX(ovrTable25,MATCH(INDEX('Structured 2025'!teamCol,ROW()),ovrTeamCol25,0),MATCH(MID(INDEX('Structured 2025'!headerRow,1,COLUMN()),4,LEN(INDEX('Structured 2025'!headerRow,1,COLUMN()))),ovrHeaderRow25,0))</f>
        <v>10.16</v>
      </c>
      <c r="AV129" s="12">
        <f>INDEX(ovrTable25,MATCH(INDEX('Structured 2025'!teamCol,ROW()),ovrTeamCol25,0),MATCH(MID(INDEX('Structured 2025'!headerRow,1,COLUMN()),4,LEN(INDEX('Structured 2025'!headerRow,1,COLUMN()))),ovrHeaderRow25,0))</f>
        <v>46.6</v>
      </c>
      <c r="AW129" s="12">
        <f>INDEX(ovrTable25,MATCH(INDEX('Structured 2025'!teamCol,ROW()),ovrTeamCol25,0),MATCH(MID(INDEX('Structured 2025'!headerRow,1,COLUMN()),4,LEN(INDEX('Structured 2025'!headerRow,1,COLUMN()))),ovrHeaderRow25,0))</f>
        <v>15.7</v>
      </c>
      <c r="AX129" s="12">
        <f>INDEX(ovrTable25,MATCH(INDEX('Structured 2025'!teamCol,ROW()),ovrTeamCol25,0),MATCH(MID(INDEX('Structured 2025'!headerRow,1,COLUMN()),4,LEN(INDEX('Structured 2025'!headerRow,1,COLUMN()))),ovrHeaderRow25,0))</f>
        <v>76</v>
      </c>
      <c r="AY129" s="12">
        <f>INDEX(ovrTable25,MATCH(INDEX('Structured 2025'!teamCol,ROW()),ovrTeamCol25,0),MATCH(MID(INDEX('Structured 2025'!headerRow,1,COLUMN()),4,LEN(INDEX('Structured 2025'!headerRow,1,COLUMN()))),ovrHeaderRow25,0))</f>
        <v>17.899999999999999</v>
      </c>
      <c r="AZ129" s="12">
        <f>INDEX(ovrTable25,MATCH(INDEX('Structured 2025'!teamCol,ROW()),ovrTeamCol25,0),MATCH(MID(INDEX('Structured 2025'!headerRow,1,COLUMN()),4,LEN(INDEX('Structured 2025'!headerRow,1,COLUMN()))),ovrHeaderRow25,0))</f>
        <v>13.6</v>
      </c>
      <c r="BA129" s="12">
        <f>INDEX(ovrTable25,MATCH(INDEX('Structured 2025'!teamCol,ROW()),ovrTeamCol25,0),MATCH(MID(INDEX('Structured 2025'!headerRow,1,COLUMN()),4,LEN(INDEX('Structured 2025'!headerRow,1,COLUMN()))),ovrHeaderRow25,0))</f>
        <v>68.5</v>
      </c>
      <c r="BB129" s="12">
        <f>INDEX(ovrTable25,MATCH(INDEX('Structured 2025'!teamCol,ROW()),ovrTeamCol25,0),MATCH(MID(INDEX('Structured 2025'!headerRow,1,COLUMN()),4,LEN(INDEX('Structured 2025'!headerRow,1,COLUMN()))),ovrHeaderRow25,0))</f>
        <v>11.84</v>
      </c>
      <c r="BC129" s="12">
        <f>INDEX(ovrTable25,MATCH(INDEX('Structured 2025'!teamCol,ROW()),ovrTeamCol25,0),MATCH(MID(INDEX('Structured 2025'!headerRow,1,COLUMN()),4,LEN(INDEX('Structured 2025'!headerRow,1,COLUMN()))),ovrHeaderRow25,0))</f>
        <v>80.900000000000006</v>
      </c>
      <c r="BD129" s="12">
        <f>INDEX(ovrTable25,MATCH(INDEX('Structured 2025'!teamCol,ROW()),ovrTeamCol25,0),MATCH(MID(INDEX('Structured 2025'!headerRow,1,COLUMN()),4,LEN(INDEX('Structured 2025'!headerRow,1,COLUMN()))),ovrHeaderRow25,0))</f>
        <v>4.3</v>
      </c>
      <c r="BE129" s="12">
        <f>INDEX(ovrTable25,MATCH(INDEX('Structured 2025'!teamCol,ROW()),ovrTeamCol25,0),MATCH(MID(INDEX('Structured 2025'!headerRow,1,COLUMN()),4,LEN(INDEX('Structured 2025'!headerRow,1,COLUMN()))),ovrHeaderRow25,0))</f>
        <v>37.049999999999997</v>
      </c>
      <c r="BF129" s="12">
        <f>INDEX(ovrTable25,MATCH(INDEX('Structured 2025'!teamCol,ROW()),ovrTeamCol25,0),MATCH(MID(INDEX('Structured 2025'!headerRow,1,COLUMN()),4,LEN(INDEX('Structured 2025'!headerRow,1,COLUMN()))),ovrHeaderRow25,0))</f>
        <v>12.4</v>
      </c>
      <c r="BG129" s="12">
        <f>INDEX(ovrTable25,MATCH(INDEX('Structured 2025'!teamCol,ROW()),ovrTeamCol25,0),MATCH(MID(INDEX('Structured 2025'!headerRow,1,COLUMN()),4,LEN(INDEX('Structured 2025'!headerRow,1,COLUMN()))),ovrHeaderRow25,0))</f>
        <v>6.3</v>
      </c>
      <c r="BH129" s="12">
        <f>INDEX(ovrTable25,MATCH(INDEX('Structured 2025'!teamCol,ROW()),ovrTeamCol25,0),MATCH(MID(INDEX('Structured 2025'!headerRow,1,COLUMN()),4,LEN(INDEX('Structured 2025'!headerRow,1,COLUMN()))),ovrHeaderRow25,0))</f>
        <v>1.9</v>
      </c>
      <c r="BI129" s="12">
        <f>INDEX(ovrTable25,MATCH(INDEX('Structured 2025'!teamCol,ROW()),ovrTeamCol25,0),MATCH(MID(INDEX('Structured 2025'!headerRow,1,COLUMN()),4,LEN(INDEX('Structured 2025'!headerRow,1,COLUMN()))),ovrHeaderRow25,0))</f>
        <v>11.54</v>
      </c>
      <c r="BJ129" s="12">
        <f>INDEX(ovrTable25,MATCH(INDEX('Structured 2025'!teamCol,ROW()),ovrTeamCol25,0),MATCH(MID(INDEX('Structured 2025'!headerRow,1,COLUMN()),4,LEN(INDEX('Structured 2025'!headerRow,1,COLUMN()))),ovrHeaderRow25,0))</f>
        <v>9.6</v>
      </c>
      <c r="BK129" s="12">
        <f>INDEX(ovrTable25,MATCH(INDEX('Structured 2025'!teamCol,ROW()),ovrTeamCol25,0),MATCH(MID(INDEX('Structured 2025'!headerRow,1,COLUMN()),4,LEN(INDEX('Structured 2025'!headerRow,1,COLUMN()))),ovrHeaderRow25,0))</f>
        <v>66.099999999999994</v>
      </c>
      <c r="BL129" s="12">
        <f>INDEX(ovrTable25,MATCH(INDEX('Structured 2025'!teamCol,ROW()),ovrTeamCol25,0),MATCH(MID(INDEX('Structured 2025'!headerRow,1,COLUMN()),4,LEN(INDEX('Structured 2025'!headerRow,1,COLUMN()))),ovrHeaderRow25,0))</f>
        <v>18.650000000000006</v>
      </c>
      <c r="BM129" s="12">
        <f>INDEX(ovrTable25,MATCH(INDEX('Structured 2025'!teamCol,ROW()),ovrTeamCol25,0),MATCH(MID(INDEX('Structured 2025'!headerRow,1,COLUMN()),4,LEN(INDEX('Structured 2025'!headerRow,1,COLUMN()))),ovrHeaderRow25,0))</f>
        <v>61.480686695278976</v>
      </c>
      <c r="BN129" s="12">
        <f>INDEX(ovrTable25,MATCH(INDEX(oppCol,ROW()),ovrTeamCol25,0),MATCH(MID(INDEX('Structured 2025'!headerRow,1,COLUMN()),4,LEN(INDEX('Structured 2025'!headerRow,1,COLUMN()))),ovrHeaderRow25,0))</f>
        <v>29.4</v>
      </c>
      <c r="BO129" s="12">
        <f>INDEX(ovrTable25,MATCH(INDEX(oppCol,ROW()),ovrTeamCol25,0),MATCH(MID(INDEX('Structured 2025'!headerRow,1,COLUMN()),4,LEN(INDEX('Structured 2025'!headerRow,1,COLUMN()))),ovrHeaderRow25,0))</f>
        <v>9.8000000000000007</v>
      </c>
      <c r="BP129" s="12">
        <f>INDEX(ovrTable25,MATCH(INDEX(oppCol,ROW()),ovrTeamCol25,0),MATCH(MID(INDEX('Structured 2025'!headerRow,1,COLUMN()),4,LEN(INDEX('Structured 2025'!headerRow,1,COLUMN()))),ovrHeaderRow25,0))</f>
        <v>35.6</v>
      </c>
      <c r="BQ129" s="12">
        <f>INDEX(ovrTable25,MATCH(INDEX(oppCol,ROW()),ovrTeamCol25,0),MATCH(MID(INDEX('Structured 2025'!headerRow,1,COLUMN()),4,LEN(INDEX('Structured 2025'!headerRow,1,COLUMN()))),ovrHeaderRow25,0))</f>
        <v>27.4</v>
      </c>
      <c r="BR129" s="12">
        <f>INDEX(ovrTable25,MATCH(INDEX(oppCol,ROW()),ovrTeamCol25,0),MATCH(MID(INDEX('Structured 2025'!headerRow,1,COLUMN()),4,LEN(INDEX('Structured 2025'!headerRow,1,COLUMN()))),ovrHeaderRow25,0))</f>
        <v>1.39</v>
      </c>
      <c r="BS129" s="12">
        <f>INDEX(ovrTable25,MATCH(INDEX(oppCol,ROW()),ovrTeamCol25,0),MATCH(MID(INDEX('Structured 2025'!headerRow,1,COLUMN()),4,LEN(INDEX('Structured 2025'!headerRow,1,COLUMN()))),ovrHeaderRow25,0))</f>
        <v>15.5</v>
      </c>
      <c r="BT129" s="12">
        <f>INDEX(ovrTable25,MATCH(INDEX(oppCol,ROW()),ovrTeamCol25,0),MATCH(MID(INDEX('Structured 2025'!headerRow,1,COLUMN()),4,LEN(INDEX('Structured 2025'!headerRow,1,COLUMN()))),ovrHeaderRow25,0))</f>
        <v>21.98</v>
      </c>
      <c r="BU129" s="12">
        <f>INDEX(ovrTable25,MATCH(INDEX(oppCol,ROW()),ovrTeamCol25,0),MATCH(MID(INDEX('Structured 2025'!headerRow,1,COLUMN()),4,LEN(INDEX('Structured 2025'!headerRow,1,COLUMN()))),ovrHeaderRow25,0))</f>
        <v>4.5</v>
      </c>
      <c r="BV129" s="12">
        <f>INDEX(ovrTable25,MATCH(INDEX(oppCol,ROW()),ovrTeamCol25,0),MATCH(MID(INDEX('Structured 2025'!headerRow,1,COLUMN()),4,LEN(INDEX('Structured 2025'!headerRow,1,COLUMN()))),ovrHeaderRow25,0))</f>
        <v>40</v>
      </c>
      <c r="BW129" s="12">
        <f>INDEX(ovrTable25,MATCH(INDEX(oppCol,ROW()),ovrTeamCol25,0),MATCH(MID(INDEX('Structured 2025'!headerRow,1,COLUMN()),4,LEN(INDEX('Structured 2025'!headerRow,1,COLUMN()))),ovrHeaderRow25,0))</f>
        <v>28.1</v>
      </c>
      <c r="BX129" s="12">
        <f>INDEX(ovrTable25,MATCH(INDEX(oppCol,ROW()),ovrTeamCol25,0),MATCH(MID(INDEX('Structured 2025'!headerRow,1,COLUMN()),4,LEN(INDEX('Structured 2025'!headerRow,1,COLUMN()))),ovrHeaderRow25,0))</f>
        <v>0.54900000000000004</v>
      </c>
      <c r="BY129" s="12">
        <f>INDEX(ovrTable25,MATCH(INDEX(oppCol,ROW()),ovrTeamCol25,0),MATCH(MID(INDEX('Structured 2025'!headerRow,1,COLUMN()),4,LEN(INDEX('Structured 2025'!headerRow,1,COLUMN()))),ovrHeaderRow25,0))</f>
        <v>15.58</v>
      </c>
      <c r="BZ129" s="12">
        <f>INDEX(ovrTable25,MATCH(INDEX(oppCol,ROW()),ovrTeamCol25,0),MATCH(MID(INDEX('Structured 2025'!headerRow,1,COLUMN()),4,LEN(INDEX('Structured 2025'!headerRow,1,COLUMN()))),ovrHeaderRow25,0))</f>
        <v>47.1</v>
      </c>
      <c r="CA129" s="12">
        <f>INDEX(ovrTable25,MATCH(INDEX(oppCol,ROW()),ovrTeamCol25,0),MATCH(MID(INDEX('Structured 2025'!headerRow,1,COLUMN()),4,LEN(INDEX('Structured 2025'!headerRow,1,COLUMN()))),ovrHeaderRow25,0))</f>
        <v>17.100000000000001</v>
      </c>
      <c r="CB129" s="12">
        <f>INDEX(ovrTable25,MATCH(INDEX(oppCol,ROW()),ovrTeamCol25,0),MATCH(MID(INDEX('Structured 2025'!headerRow,1,COLUMN()),4,LEN(INDEX('Structured 2025'!headerRow,1,COLUMN()))),ovrHeaderRow25,0))</f>
        <v>72.8</v>
      </c>
      <c r="CC129" s="12">
        <f>INDEX(ovrTable25,MATCH(INDEX(oppCol,ROW()),ovrTeamCol25,0),MATCH(MID(INDEX('Structured 2025'!headerRow,1,COLUMN()),4,LEN(INDEX('Structured 2025'!headerRow,1,COLUMN()))),ovrHeaderRow25,0))</f>
        <v>21.9</v>
      </c>
      <c r="CD129" s="12">
        <f>INDEX(ovrTable25,MATCH(INDEX(oppCol,ROW()),ovrTeamCol25,0),MATCH(MID(INDEX('Structured 2025'!headerRow,1,COLUMN()),4,LEN(INDEX('Structured 2025'!headerRow,1,COLUMN()))),ovrHeaderRow25,0))</f>
        <v>15.9</v>
      </c>
      <c r="CE129" s="12">
        <f>INDEX(ovrTable25,MATCH(INDEX(oppCol,ROW()),ovrTeamCol25,0),MATCH(MID(INDEX('Structured 2025'!headerRow,1,COLUMN()),4,LEN(INDEX('Structured 2025'!headerRow,1,COLUMN()))),ovrHeaderRow25,0))</f>
        <v>69.599999999999994</v>
      </c>
      <c r="CF129" s="12">
        <f>INDEX(ovrTable25,MATCH(INDEX(oppCol,ROW()),ovrTeamCol25,0),MATCH(MID(INDEX('Structured 2025'!headerRow,1,COLUMN()),4,LEN(INDEX('Structured 2025'!headerRow,1,COLUMN()))),ovrHeaderRow25,0))</f>
        <v>13.73</v>
      </c>
      <c r="CG129" s="12">
        <f>INDEX(ovrTable25,MATCH(INDEX(oppCol,ROW()),ovrTeamCol25,0),MATCH(MID(INDEX('Structured 2025'!headerRow,1,COLUMN()),4,LEN(INDEX('Structured 2025'!headerRow,1,COLUMN()))),ovrHeaderRow25,0))</f>
        <v>84.8</v>
      </c>
      <c r="CH129" s="12">
        <f>INDEX(ovrTable25,MATCH(INDEX(oppCol,ROW()),ovrTeamCol25,0),MATCH(MID(INDEX('Structured 2025'!headerRow,1,COLUMN()),4,LEN(INDEX('Structured 2025'!headerRow,1,COLUMN()))),ovrHeaderRow25,0))</f>
        <v>8.4</v>
      </c>
      <c r="CI129" s="12">
        <f>INDEX(ovrTable25,MATCH(INDEX(oppCol,ROW()),ovrTeamCol25,0),MATCH(MID(INDEX('Structured 2025'!headerRow,1,COLUMN()),4,LEN(INDEX('Structured 2025'!headerRow,1,COLUMN()))),ovrHeaderRow25,0))</f>
        <v>41.83</v>
      </c>
      <c r="CJ129" s="12">
        <f>INDEX(ovrTable25,MATCH(INDEX(oppCol,ROW()),ovrTeamCol25,0),MATCH(MID(INDEX('Structured 2025'!headerRow,1,COLUMN()),4,LEN(INDEX('Structured 2025'!headerRow,1,COLUMN()))),ovrHeaderRow25,0))</f>
        <v>15.2</v>
      </c>
      <c r="CK129" s="12">
        <f>INDEX(ovrTable25,MATCH(INDEX(oppCol,ROW()),ovrTeamCol25,0),MATCH(MID(INDEX('Structured 2025'!headerRow,1,COLUMN()),4,LEN(INDEX('Structured 2025'!headerRow,1,COLUMN()))),ovrHeaderRow25,0))</f>
        <v>7.4</v>
      </c>
      <c r="CL129" s="12">
        <f>INDEX(ovrTable25,MATCH(INDEX(oppCol,ROW()),ovrTeamCol25,0),MATCH(MID(INDEX('Structured 2025'!headerRow,1,COLUMN()),4,LEN(INDEX('Structured 2025'!headerRow,1,COLUMN()))),ovrHeaderRow25,0))</f>
        <v>0.6</v>
      </c>
      <c r="CM129" s="12">
        <f>INDEX(ovrTable25,MATCH(INDEX(oppCol,ROW()),ovrTeamCol25,0),MATCH(MID(INDEX('Structured 2025'!headerRow,1,COLUMN()),4,LEN(INDEX('Structured 2025'!headerRow,1,COLUMN()))),ovrHeaderRow25,0))</f>
        <v>11.73</v>
      </c>
      <c r="CN129" s="12">
        <f>INDEX(ovrTable25,MATCH(INDEX(oppCol,ROW()),ovrTeamCol25,0),MATCH(MID(INDEX('Structured 2025'!headerRow,1,COLUMN()),4,LEN(INDEX('Structured 2025'!headerRow,1,COLUMN()))),ovrHeaderRow25,0))</f>
        <v>11.1</v>
      </c>
      <c r="CO129" s="12">
        <f>INDEX(ovrTable25,MATCH(INDEX(oppCol,ROW()),ovrTeamCol25,0),MATCH(MID(INDEX('Structured 2025'!headerRow,1,COLUMN()),4,LEN(INDEX('Structured 2025'!headerRow,1,COLUMN()))),ovrHeaderRow25,0))</f>
        <v>70.099999999999994</v>
      </c>
      <c r="CP129" s="12">
        <f>INDEX(ovrTable25,MATCH(INDEX(oppCol,ROW()),ovrTeamCol25,0),MATCH(MID(INDEX('Structured 2025'!headerRow,1,COLUMN()),4,LEN(INDEX('Structured 2025'!headerRow,1,COLUMN()))),ovrHeaderRow25,0))</f>
        <v>19.749999999999993</v>
      </c>
      <c r="CQ129" s="12">
        <f>INDEX(ovrTable25,MATCH(INDEX(oppCol,ROW()),ovrTeamCol25,0),MATCH(MID(INDEX('Structured 2025'!headerRow,1,COLUMN()),4,LEN(INDEX('Structured 2025'!headerRow,1,COLUMN()))),ovrHeaderRow25,0))</f>
        <v>62.7388535031847</v>
      </c>
    </row>
    <row r="130" spans="1:95" x14ac:dyDescent="0.3">
      <c r="A130" s="6" t="s">
        <v>5</v>
      </c>
      <c r="B130" s="3">
        <v>1</v>
      </c>
      <c r="C130" s="13" t="str">
        <f>A131</f>
        <v>FLA</v>
      </c>
      <c r="D130" s="14">
        <f t="shared" si="111"/>
        <v>65</v>
      </c>
      <c r="E130" s="23">
        <v>0.38095238095238093</v>
      </c>
      <c r="F130" s="24">
        <v>43.859649122807014</v>
      </c>
      <c r="G130" s="24">
        <v>7</v>
      </c>
      <c r="H130" s="23">
        <v>28.000000000000004</v>
      </c>
      <c r="I130" s="24">
        <v>25</v>
      </c>
      <c r="J130" s="25">
        <v>0.7857142857142857</v>
      </c>
      <c r="K130" s="24">
        <v>16</v>
      </c>
      <c r="L130" s="24">
        <v>23</v>
      </c>
      <c r="M130" s="24">
        <v>9</v>
      </c>
      <c r="N130" s="24">
        <v>21</v>
      </c>
      <c r="O130" s="24">
        <v>11</v>
      </c>
      <c r="P130" s="24">
        <v>11</v>
      </c>
      <c r="Q130" s="24">
        <v>3</v>
      </c>
      <c r="R130" s="24">
        <v>14</v>
      </c>
      <c r="S130" s="24">
        <v>2</v>
      </c>
      <c r="T130" s="24">
        <v>22</v>
      </c>
      <c r="U130" s="24">
        <v>13</v>
      </c>
      <c r="V130" s="24">
        <v>0.47169811320754718</v>
      </c>
      <c r="W130" s="26">
        <v>0.5</v>
      </c>
      <c r="X130" s="23">
        <v>69.565217391304344</v>
      </c>
      <c r="Y130" s="24">
        <v>79</v>
      </c>
      <c r="Z130" s="24">
        <v>73</v>
      </c>
      <c r="AA130" s="24">
        <v>-9</v>
      </c>
      <c r="AB130" s="24">
        <v>30</v>
      </c>
      <c r="AC130" s="24">
        <v>-6</v>
      </c>
      <c r="AD130" s="24">
        <v>2</v>
      </c>
      <c r="AE130" s="24">
        <v>16</v>
      </c>
      <c r="AF130" s="34">
        <f t="shared" ref="AF130:AF135" si="141">(Z130-(3*G130)-K130)/2</f>
        <v>18</v>
      </c>
      <c r="AG130" s="34">
        <f t="shared" ref="AG130:AG135" si="142">(AF130+G130)/(F130/100)-I130</f>
        <v>32</v>
      </c>
      <c r="AH130" s="46">
        <f t="shared" ref="AH130:AH135" si="143">ROUND(((Z130-K130-3*G130)/2+G130)/(F130/100),0)-M130+R130+L130*0.475</f>
        <v>72.924999999999997</v>
      </c>
      <c r="AI130" s="51">
        <f t="shared" ref="AI130" si="144">AVERAGE(AH130,AH131)</f>
        <v>72.087500000000006</v>
      </c>
      <c r="AJ130" s="12">
        <f>INDEX(ovrTable25,MATCH(INDEX('Structured 2025'!teamCol,ROW()),ovrTeamCol25,0),MATCH(MID(INDEX('Structured 2025'!headerRow,1,COLUMN()),4,LEN(INDEX('Structured 2025'!headerRow,1,COLUMN()))),ovrHeaderRow25,0))</f>
        <v>35</v>
      </c>
      <c r="AK130" s="12">
        <f>INDEX(ovrTable25,MATCH(INDEX('Structured 2025'!teamCol,ROW()),ovrTeamCol25,0),MATCH(MID(INDEX('Structured 2025'!headerRow,1,COLUMN()),4,LEN(INDEX('Structured 2025'!headerRow,1,COLUMN()))),ovrHeaderRow25,0))</f>
        <v>8.5</v>
      </c>
      <c r="AL130" s="12">
        <f>INDEX(ovrTable25,MATCH(INDEX('Structured 2025'!teamCol,ROW()),ovrTeamCol25,0),MATCH(MID(INDEX('Structured 2025'!headerRow,1,COLUMN()),4,LEN(INDEX('Structured 2025'!headerRow,1,COLUMN()))),ovrHeaderRow25,0))</f>
        <v>34.799999999999997</v>
      </c>
      <c r="AM130" s="12">
        <f>INDEX(ovrTable25,MATCH(INDEX('Structured 2025'!teamCol,ROW()),ovrTeamCol25,0),MATCH(MID(INDEX('Structured 2025'!headerRow,1,COLUMN()),4,LEN(INDEX('Structured 2025'!headerRow,1,COLUMN()))),ovrHeaderRow25,0))</f>
        <v>24.5</v>
      </c>
      <c r="AN130" s="12">
        <f>INDEX(ovrTable25,MATCH(INDEX('Structured 2025'!teamCol,ROW()),ovrTeamCol25,0),MATCH(MID(INDEX('Structured 2025'!headerRow,1,COLUMN()),4,LEN(INDEX('Structured 2025'!headerRow,1,COLUMN()))),ovrHeaderRow25,0))</f>
        <v>1.56</v>
      </c>
      <c r="AO130" s="12">
        <f>INDEX(ovrTable25,MATCH(INDEX('Structured 2025'!teamCol,ROW()),ovrTeamCol25,0),MATCH(MID(INDEX('Structured 2025'!headerRow,1,COLUMN()),4,LEN(INDEX('Structured 2025'!headerRow,1,COLUMN()))),ovrHeaderRow25,0))</f>
        <v>17.3</v>
      </c>
      <c r="AP130" s="12">
        <f>INDEX(ovrTable25,MATCH(INDEX('Structured 2025'!teamCol,ROW()),ovrTeamCol25,0),MATCH(MID(INDEX('Structured 2025'!headerRow,1,COLUMN()),4,LEN(INDEX('Structured 2025'!headerRow,1,COLUMN()))),ovrHeaderRow25,0))</f>
        <v>20.74</v>
      </c>
      <c r="AQ130" s="12">
        <f>INDEX(ovrTable25,MATCH(INDEX('Structured 2025'!teamCol,ROW()),ovrTeamCol25,0),MATCH(MID(INDEX('Structured 2025'!headerRow,1,COLUMN()),4,LEN(INDEX('Structured 2025'!headerRow,1,COLUMN()))),ovrHeaderRow25,0))</f>
        <v>6.2</v>
      </c>
      <c r="AR130" s="12">
        <f>INDEX(ovrTable25,MATCH(INDEX('Structured 2025'!teamCol,ROW()),ovrTeamCol25,0),MATCH(MID(INDEX('Structured 2025'!headerRow,1,COLUMN()),4,LEN(INDEX('Structured 2025'!headerRow,1,COLUMN()))),ovrHeaderRow25,0))</f>
        <v>42.1</v>
      </c>
      <c r="AS130" s="12">
        <f>INDEX(ovrTable25,MATCH(INDEX('Structured 2025'!teamCol,ROW()),ovrTeamCol25,0),MATCH(MID(INDEX('Structured 2025'!headerRow,1,COLUMN()),4,LEN(INDEX('Structured 2025'!headerRow,1,COLUMN()))),ovrHeaderRow25,0))</f>
        <v>24.54</v>
      </c>
      <c r="AT130" s="12">
        <f>INDEX(ovrTable25,MATCH(INDEX('Structured 2025'!teamCol,ROW()),ovrTeamCol25,0),MATCH(MID(INDEX('Structured 2025'!headerRow,1,COLUMN()),4,LEN(INDEX('Structured 2025'!headerRow,1,COLUMN()))),ovrHeaderRow25,0))</f>
        <v>0.55000000000000004</v>
      </c>
      <c r="AU130" s="12">
        <f>INDEX(ovrTable25,MATCH(INDEX('Structured 2025'!teamCol,ROW()),ovrTeamCol25,0),MATCH(MID(INDEX('Structured 2025'!headerRow,1,COLUMN()),4,LEN(INDEX('Structured 2025'!headerRow,1,COLUMN()))),ovrHeaderRow25,0))</f>
        <v>8.6300000000000008</v>
      </c>
      <c r="AV130" s="12">
        <f>INDEX(ovrTable25,MATCH(INDEX('Structured 2025'!teamCol,ROW()),ovrTeamCol25,0),MATCH(MID(INDEX('Structured 2025'!headerRow,1,COLUMN()),4,LEN(INDEX('Structured 2025'!headerRow,1,COLUMN()))),ovrHeaderRow25,0))</f>
        <v>47.5</v>
      </c>
      <c r="AW130" s="12">
        <f>INDEX(ovrTable25,MATCH(INDEX('Structured 2025'!teamCol,ROW()),ovrTeamCol25,0),MATCH(MID(INDEX('Structured 2025'!headerRow,1,COLUMN()),4,LEN(INDEX('Structured 2025'!headerRow,1,COLUMN()))),ovrHeaderRow25,0))</f>
        <v>18.3</v>
      </c>
      <c r="AX130" s="12">
        <f>INDEX(ovrTable25,MATCH(INDEX('Structured 2025'!teamCol,ROW()),ovrTeamCol25,0),MATCH(MID(INDEX('Structured 2025'!headerRow,1,COLUMN()),4,LEN(INDEX('Structured 2025'!headerRow,1,COLUMN()))),ovrHeaderRow25,0))</f>
        <v>79.099999999999994</v>
      </c>
      <c r="AY130" s="12">
        <f>INDEX(ovrTable25,MATCH(INDEX('Structured 2025'!teamCol,ROW()),ovrTeamCol25,0),MATCH(MID(INDEX('Structured 2025'!headerRow,1,COLUMN()),4,LEN(INDEX('Structured 2025'!headerRow,1,COLUMN()))),ovrHeaderRow25,0))</f>
        <v>17.7</v>
      </c>
      <c r="AZ130" s="12">
        <f>INDEX(ovrTable25,MATCH(INDEX('Structured 2025'!teamCol,ROW()),ovrTeamCol25,0),MATCH(MID(INDEX('Structured 2025'!headerRow,1,COLUMN()),4,LEN(INDEX('Structured 2025'!headerRow,1,COLUMN()))),ovrHeaderRow25,0))</f>
        <v>14</v>
      </c>
      <c r="BA130" s="12">
        <f>INDEX(ovrTable25,MATCH(INDEX('Structured 2025'!teamCol,ROW()),ovrTeamCol25,0),MATCH(MID(INDEX('Structured 2025'!headerRow,1,COLUMN()),4,LEN(INDEX('Structured 2025'!headerRow,1,COLUMN()))),ovrHeaderRow25,0))</f>
        <v>68</v>
      </c>
      <c r="BB130" s="12">
        <f>INDEX(ovrTable25,MATCH(INDEX('Structured 2025'!teamCol,ROW()),ovrTeamCol25,0),MATCH(MID(INDEX('Structured 2025'!headerRow,1,COLUMN()),4,LEN(INDEX('Structured 2025'!headerRow,1,COLUMN()))),ovrHeaderRow25,0))</f>
        <v>11.2</v>
      </c>
      <c r="BC130" s="12">
        <f>INDEX(ovrTable25,MATCH(INDEX('Structured 2025'!teamCol,ROW()),ovrTeamCol25,0),MATCH(MID(INDEX('Structured 2025'!headerRow,1,COLUMN()),4,LEN(INDEX('Structured 2025'!headerRow,1,COLUMN()))),ovrHeaderRow25,0))</f>
        <v>77</v>
      </c>
      <c r="BD130" s="12">
        <f>INDEX(ovrTable25,MATCH(INDEX('Structured 2025'!teamCol,ROW()),ovrTeamCol25,0),MATCH(MID(INDEX('Structured 2025'!headerRow,1,COLUMN()),4,LEN(INDEX('Structured 2025'!headerRow,1,COLUMN()))),ovrHeaderRow25,0))</f>
        <v>6</v>
      </c>
      <c r="BE130" s="12">
        <f>INDEX(ovrTable25,MATCH(INDEX('Structured 2025'!teamCol,ROW()),ovrTeamCol25,0),MATCH(MID(INDEX('Structured 2025'!headerRow,1,COLUMN()),4,LEN(INDEX('Structured 2025'!headerRow,1,COLUMN()))),ovrHeaderRow25,0))</f>
        <v>35.74</v>
      </c>
      <c r="BF130" s="12">
        <f>INDEX(ovrTable25,MATCH(INDEX('Structured 2025'!teamCol,ROW()),ovrTeamCol25,0),MATCH(MID(INDEX('Structured 2025'!headerRow,1,COLUMN()),4,LEN(INDEX('Structured 2025'!headerRow,1,COLUMN()))),ovrHeaderRow25,0))</f>
        <v>9</v>
      </c>
      <c r="BG130" s="12">
        <f>INDEX(ovrTable25,MATCH(INDEX('Structured 2025'!teamCol,ROW()),ovrTeamCol25,0),MATCH(MID(INDEX('Structured 2025'!headerRow,1,COLUMN()),4,LEN(INDEX('Structured 2025'!headerRow,1,COLUMN()))),ovrHeaderRow25,0))</f>
        <v>5.4</v>
      </c>
      <c r="BH130" s="12">
        <f>INDEX(ovrTable25,MATCH(INDEX('Structured 2025'!teamCol,ROW()),ovrTeamCol25,0),MATCH(MID(INDEX('Structured 2025'!headerRow,1,COLUMN()),4,LEN(INDEX('Structured 2025'!headerRow,1,COLUMN()))),ovrHeaderRow25,0))</f>
        <v>-0.9</v>
      </c>
      <c r="BI130" s="12">
        <f>INDEX(ovrTable25,MATCH(INDEX('Structured 2025'!teamCol,ROW()),ovrTeamCol25,0),MATCH(MID(INDEX('Structured 2025'!headerRow,1,COLUMN()),4,LEN(INDEX('Structured 2025'!headerRow,1,COLUMN()))),ovrHeaderRow25,0))</f>
        <v>10.26</v>
      </c>
      <c r="BJ130" s="12">
        <f>INDEX(ovrTable25,MATCH(INDEX('Structured 2025'!teamCol,ROW()),ovrTeamCol25,0),MATCH(MID(INDEX('Structured 2025'!headerRow,1,COLUMN()),4,LEN(INDEX('Structured 2025'!headerRow,1,COLUMN()))),ovrHeaderRow25,0))</f>
        <v>11.1</v>
      </c>
      <c r="BK130" s="12">
        <f>INDEX(ovrTable25,MATCH(INDEX('Structured 2025'!teamCol,ROW()),ovrTeamCol25,0),MATCH(MID(INDEX('Structured 2025'!headerRow,1,COLUMN()),4,LEN(INDEX('Structured 2025'!headerRow,1,COLUMN()))),ovrHeaderRow25,0))</f>
        <v>68.2</v>
      </c>
      <c r="BL130" s="12">
        <f>INDEX(ovrTable25,MATCH(INDEX('Structured 2025'!teamCol,ROW()),ovrTeamCol25,0),MATCH(MID(INDEX('Structured 2025'!headerRow,1,COLUMN()),4,LEN(INDEX('Structured 2025'!headerRow,1,COLUMN()))),ovrHeaderRow25,0))</f>
        <v>18.75</v>
      </c>
      <c r="BM130" s="12">
        <f>INDEX(ovrTable25,MATCH(INDEX('Structured 2025'!teamCol,ROW()),ovrTeamCol25,0),MATCH(MID(INDEX('Structured 2025'!headerRow,1,COLUMN()),4,LEN(INDEX('Structured 2025'!headerRow,1,COLUMN()))),ovrHeaderRow25,0))</f>
        <v>57.368421052631582</v>
      </c>
      <c r="BN130" s="12">
        <f>INDEX(ovrTable25,MATCH(INDEX(oppCol,ROW()),ovrTeamCol25,0),MATCH(MID(INDEX('Structured 2025'!headerRow,1,COLUMN()),4,LEN(INDEX('Structured 2025'!headerRow,1,COLUMN()))),ovrHeaderRow25,0))</f>
        <v>29.4</v>
      </c>
      <c r="BO130" s="12">
        <f>INDEX(ovrTable25,MATCH(INDEX(oppCol,ROW()),ovrTeamCol25,0),MATCH(MID(INDEX('Structured 2025'!headerRow,1,COLUMN()),4,LEN(INDEX('Structured 2025'!headerRow,1,COLUMN()))),ovrHeaderRow25,0))</f>
        <v>9.8000000000000007</v>
      </c>
      <c r="BP130" s="12">
        <f>INDEX(ovrTable25,MATCH(INDEX(oppCol,ROW()),ovrTeamCol25,0),MATCH(MID(INDEX('Structured 2025'!headerRow,1,COLUMN()),4,LEN(INDEX('Structured 2025'!headerRow,1,COLUMN()))),ovrHeaderRow25,0))</f>
        <v>35.6</v>
      </c>
      <c r="BQ130" s="12">
        <f>INDEX(ovrTable25,MATCH(INDEX(oppCol,ROW()),ovrTeamCol25,0),MATCH(MID(INDEX('Structured 2025'!headerRow,1,COLUMN()),4,LEN(INDEX('Structured 2025'!headerRow,1,COLUMN()))),ovrHeaderRow25,0))</f>
        <v>27.4</v>
      </c>
      <c r="BR130" s="12">
        <f>INDEX(ovrTable25,MATCH(INDEX(oppCol,ROW()),ovrTeamCol25,0),MATCH(MID(INDEX('Structured 2025'!headerRow,1,COLUMN()),4,LEN(INDEX('Structured 2025'!headerRow,1,COLUMN()))),ovrHeaderRow25,0))</f>
        <v>1.39</v>
      </c>
      <c r="BS130" s="12">
        <f>INDEX(ovrTable25,MATCH(INDEX(oppCol,ROW()),ovrTeamCol25,0),MATCH(MID(INDEX('Structured 2025'!headerRow,1,COLUMN()),4,LEN(INDEX('Structured 2025'!headerRow,1,COLUMN()))),ovrHeaderRow25,0))</f>
        <v>15.5</v>
      </c>
      <c r="BT130" s="12">
        <f>INDEX(ovrTable25,MATCH(INDEX(oppCol,ROW()),ovrTeamCol25,0),MATCH(MID(INDEX('Structured 2025'!headerRow,1,COLUMN()),4,LEN(INDEX('Structured 2025'!headerRow,1,COLUMN()))),ovrHeaderRow25,0))</f>
        <v>21.98</v>
      </c>
      <c r="BU130" s="12">
        <f>INDEX(ovrTable25,MATCH(INDEX(oppCol,ROW()),ovrTeamCol25,0),MATCH(MID(INDEX('Structured 2025'!headerRow,1,COLUMN()),4,LEN(INDEX('Structured 2025'!headerRow,1,COLUMN()))),ovrHeaderRow25,0))</f>
        <v>4.5</v>
      </c>
      <c r="BV130" s="12">
        <f>INDEX(ovrTable25,MATCH(INDEX(oppCol,ROW()),ovrTeamCol25,0),MATCH(MID(INDEX('Structured 2025'!headerRow,1,COLUMN()),4,LEN(INDEX('Structured 2025'!headerRow,1,COLUMN()))),ovrHeaderRow25,0))</f>
        <v>40</v>
      </c>
      <c r="BW130" s="12">
        <f>INDEX(ovrTable25,MATCH(INDEX(oppCol,ROW()),ovrTeamCol25,0),MATCH(MID(INDEX('Structured 2025'!headerRow,1,COLUMN()),4,LEN(INDEX('Structured 2025'!headerRow,1,COLUMN()))),ovrHeaderRow25,0))</f>
        <v>28.1</v>
      </c>
      <c r="BX130" s="12">
        <f>INDEX(ovrTable25,MATCH(INDEX(oppCol,ROW()),ovrTeamCol25,0),MATCH(MID(INDEX('Structured 2025'!headerRow,1,COLUMN()),4,LEN(INDEX('Structured 2025'!headerRow,1,COLUMN()))),ovrHeaderRow25,0))</f>
        <v>0.54900000000000004</v>
      </c>
      <c r="BY130" s="12">
        <f>INDEX(ovrTable25,MATCH(INDEX(oppCol,ROW()),ovrTeamCol25,0),MATCH(MID(INDEX('Structured 2025'!headerRow,1,COLUMN()),4,LEN(INDEX('Structured 2025'!headerRow,1,COLUMN()))),ovrHeaderRow25,0))</f>
        <v>15.58</v>
      </c>
      <c r="BZ130" s="12">
        <f>INDEX(ovrTable25,MATCH(INDEX(oppCol,ROW()),ovrTeamCol25,0),MATCH(MID(INDEX('Structured 2025'!headerRow,1,COLUMN()),4,LEN(INDEX('Structured 2025'!headerRow,1,COLUMN()))),ovrHeaderRow25,0))</f>
        <v>47.1</v>
      </c>
      <c r="CA130" s="12">
        <f>INDEX(ovrTable25,MATCH(INDEX(oppCol,ROW()),ovrTeamCol25,0),MATCH(MID(INDEX('Structured 2025'!headerRow,1,COLUMN()),4,LEN(INDEX('Structured 2025'!headerRow,1,COLUMN()))),ovrHeaderRow25,0))</f>
        <v>17.100000000000001</v>
      </c>
      <c r="CB130" s="12">
        <f>INDEX(ovrTable25,MATCH(INDEX(oppCol,ROW()),ovrTeamCol25,0),MATCH(MID(INDEX('Structured 2025'!headerRow,1,COLUMN()),4,LEN(INDEX('Structured 2025'!headerRow,1,COLUMN()))),ovrHeaderRow25,0))</f>
        <v>72.8</v>
      </c>
      <c r="CC130" s="12">
        <f>INDEX(ovrTable25,MATCH(INDEX(oppCol,ROW()),ovrTeamCol25,0),MATCH(MID(INDEX('Structured 2025'!headerRow,1,COLUMN()),4,LEN(INDEX('Structured 2025'!headerRow,1,COLUMN()))),ovrHeaderRow25,0))</f>
        <v>21.9</v>
      </c>
      <c r="CD130" s="12">
        <f>INDEX(ovrTable25,MATCH(INDEX(oppCol,ROW()),ovrTeamCol25,0),MATCH(MID(INDEX('Structured 2025'!headerRow,1,COLUMN()),4,LEN(INDEX('Structured 2025'!headerRow,1,COLUMN()))),ovrHeaderRow25,0))</f>
        <v>15.9</v>
      </c>
      <c r="CE130" s="12">
        <f>INDEX(ovrTable25,MATCH(INDEX(oppCol,ROW()),ovrTeamCol25,0),MATCH(MID(INDEX('Structured 2025'!headerRow,1,COLUMN()),4,LEN(INDEX('Structured 2025'!headerRow,1,COLUMN()))),ovrHeaderRow25,0))</f>
        <v>69.599999999999994</v>
      </c>
      <c r="CF130" s="12">
        <f>INDEX(ovrTable25,MATCH(INDEX(oppCol,ROW()),ovrTeamCol25,0),MATCH(MID(INDEX('Structured 2025'!headerRow,1,COLUMN()),4,LEN(INDEX('Structured 2025'!headerRow,1,COLUMN()))),ovrHeaderRow25,0))</f>
        <v>13.73</v>
      </c>
      <c r="CG130" s="12">
        <f>INDEX(ovrTable25,MATCH(INDEX(oppCol,ROW()),ovrTeamCol25,0),MATCH(MID(INDEX('Structured 2025'!headerRow,1,COLUMN()),4,LEN(INDEX('Structured 2025'!headerRow,1,COLUMN()))),ovrHeaderRow25,0))</f>
        <v>84.8</v>
      </c>
      <c r="CH130" s="12">
        <f>INDEX(ovrTable25,MATCH(INDEX(oppCol,ROW()),ovrTeamCol25,0),MATCH(MID(INDEX('Structured 2025'!headerRow,1,COLUMN()),4,LEN(INDEX('Structured 2025'!headerRow,1,COLUMN()))),ovrHeaderRow25,0))</f>
        <v>8.4</v>
      </c>
      <c r="CI130" s="12">
        <f>INDEX(ovrTable25,MATCH(INDEX(oppCol,ROW()),ovrTeamCol25,0),MATCH(MID(INDEX('Structured 2025'!headerRow,1,COLUMN()),4,LEN(INDEX('Structured 2025'!headerRow,1,COLUMN()))),ovrHeaderRow25,0))</f>
        <v>41.83</v>
      </c>
      <c r="CJ130" s="12">
        <f>INDEX(ovrTable25,MATCH(INDEX(oppCol,ROW()),ovrTeamCol25,0),MATCH(MID(INDEX('Structured 2025'!headerRow,1,COLUMN()),4,LEN(INDEX('Structured 2025'!headerRow,1,COLUMN()))),ovrHeaderRow25,0))</f>
        <v>15.2</v>
      </c>
      <c r="CK130" s="12">
        <f>INDEX(ovrTable25,MATCH(INDEX(oppCol,ROW()),ovrTeamCol25,0),MATCH(MID(INDEX('Structured 2025'!headerRow,1,COLUMN()),4,LEN(INDEX('Structured 2025'!headerRow,1,COLUMN()))),ovrHeaderRow25,0))</f>
        <v>7.4</v>
      </c>
      <c r="CL130" s="12">
        <f>INDEX(ovrTable25,MATCH(INDEX(oppCol,ROW()),ovrTeamCol25,0),MATCH(MID(INDEX('Structured 2025'!headerRow,1,COLUMN()),4,LEN(INDEX('Structured 2025'!headerRow,1,COLUMN()))),ovrHeaderRow25,0))</f>
        <v>0.6</v>
      </c>
      <c r="CM130" s="12">
        <f>INDEX(ovrTable25,MATCH(INDEX(oppCol,ROW()),ovrTeamCol25,0),MATCH(MID(INDEX('Structured 2025'!headerRow,1,COLUMN()),4,LEN(INDEX('Structured 2025'!headerRow,1,COLUMN()))),ovrHeaderRow25,0))</f>
        <v>11.73</v>
      </c>
      <c r="CN130" s="12">
        <f>INDEX(ovrTable25,MATCH(INDEX(oppCol,ROW()),ovrTeamCol25,0),MATCH(MID(INDEX('Structured 2025'!headerRow,1,COLUMN()),4,LEN(INDEX('Structured 2025'!headerRow,1,COLUMN()))),ovrHeaderRow25,0))</f>
        <v>11.1</v>
      </c>
      <c r="CO130" s="12">
        <f>INDEX(ovrTable25,MATCH(INDEX(oppCol,ROW()),ovrTeamCol25,0),MATCH(MID(INDEX('Structured 2025'!headerRow,1,COLUMN()),4,LEN(INDEX('Structured 2025'!headerRow,1,COLUMN()))),ovrHeaderRow25,0))</f>
        <v>70.099999999999994</v>
      </c>
      <c r="CP130" s="12">
        <f>INDEX(ovrTable25,MATCH(INDEX(oppCol,ROW()),ovrTeamCol25,0),MATCH(MID(INDEX('Structured 2025'!headerRow,1,COLUMN()),4,LEN(INDEX('Structured 2025'!headerRow,1,COLUMN()))),ovrHeaderRow25,0))</f>
        <v>19.749999999999993</v>
      </c>
      <c r="CQ130" s="12">
        <f>INDEX(ovrTable25,MATCH(INDEX(oppCol,ROW()),ovrTeamCol25,0),MATCH(MID(INDEX('Structured 2025'!headerRow,1,COLUMN()),4,LEN(INDEX('Structured 2025'!headerRow,1,COLUMN()))),ovrHeaderRow25,0))</f>
        <v>62.7388535031847</v>
      </c>
    </row>
    <row r="131" spans="1:95" x14ac:dyDescent="0.3">
      <c r="A131" s="6" t="s">
        <v>45</v>
      </c>
      <c r="B131" s="3">
        <v>1</v>
      </c>
      <c r="C131" s="13" t="str">
        <f>A130</f>
        <v>AUB</v>
      </c>
      <c r="D131" s="14">
        <f t="shared" si="111"/>
        <v>65</v>
      </c>
      <c r="E131" s="23">
        <v>0.28000000000000003</v>
      </c>
      <c r="F131" s="24">
        <v>47.169811320754718</v>
      </c>
      <c r="G131" s="24">
        <v>8</v>
      </c>
      <c r="H131" s="23">
        <v>38.095238095238095</v>
      </c>
      <c r="I131" s="24">
        <v>21</v>
      </c>
      <c r="J131" s="25">
        <v>0.4375</v>
      </c>
      <c r="K131" s="24">
        <v>21</v>
      </c>
      <c r="L131" s="24">
        <v>30</v>
      </c>
      <c r="M131" s="24">
        <v>12</v>
      </c>
      <c r="N131" s="24">
        <v>27</v>
      </c>
      <c r="O131" s="24">
        <v>7</v>
      </c>
      <c r="P131" s="24">
        <v>7</v>
      </c>
      <c r="Q131" s="24">
        <v>3</v>
      </c>
      <c r="R131" s="24">
        <v>16</v>
      </c>
      <c r="S131" s="24">
        <v>4</v>
      </c>
      <c r="T131" s="24">
        <v>15</v>
      </c>
      <c r="U131" s="24">
        <v>15</v>
      </c>
      <c r="V131" s="24">
        <v>0.43859649122807015</v>
      </c>
      <c r="W131" s="26">
        <v>0.54716981132075471</v>
      </c>
      <c r="X131" s="23">
        <v>70</v>
      </c>
      <c r="Y131" s="24">
        <v>73</v>
      </c>
      <c r="Z131" s="24">
        <v>79</v>
      </c>
      <c r="AA131" s="24">
        <v>9</v>
      </c>
      <c r="AB131" s="24">
        <v>39</v>
      </c>
      <c r="AC131" s="24">
        <v>6</v>
      </c>
      <c r="AD131" s="24">
        <v>-2</v>
      </c>
      <c r="AE131" s="24">
        <v>14</v>
      </c>
      <c r="AF131" s="34">
        <f t="shared" si="141"/>
        <v>17</v>
      </c>
      <c r="AG131" s="34">
        <f t="shared" si="142"/>
        <v>32</v>
      </c>
      <c r="AH131" s="46">
        <f t="shared" si="143"/>
        <v>71.25</v>
      </c>
      <c r="AI131" s="51">
        <f t="shared" ref="AI131" si="145">AVERAGE(AH130,AH131)</f>
        <v>72.087500000000006</v>
      </c>
      <c r="AJ131" s="12">
        <f>INDEX(ovrTable25,MATCH(INDEX('Structured 2025'!teamCol,ROW()),ovrTeamCol25,0),MATCH(MID(INDEX('Structured 2025'!headerRow,1,COLUMN()),4,LEN(INDEX('Structured 2025'!headerRow,1,COLUMN()))),ovrHeaderRow25,0))</f>
        <v>29.4</v>
      </c>
      <c r="AK131" s="12">
        <f>INDEX(ovrTable25,MATCH(INDEX('Structured 2025'!teamCol,ROW()),ovrTeamCol25,0),MATCH(MID(INDEX('Structured 2025'!headerRow,1,COLUMN()),4,LEN(INDEX('Structured 2025'!headerRow,1,COLUMN()))),ovrHeaderRow25,0))</f>
        <v>9.8000000000000007</v>
      </c>
      <c r="AL131" s="12">
        <f>INDEX(ovrTable25,MATCH(INDEX('Structured 2025'!teamCol,ROW()),ovrTeamCol25,0),MATCH(MID(INDEX('Structured 2025'!headerRow,1,COLUMN()),4,LEN(INDEX('Structured 2025'!headerRow,1,COLUMN()))),ovrHeaderRow25,0))</f>
        <v>35.6</v>
      </c>
      <c r="AM131" s="12">
        <f>INDEX(ovrTable25,MATCH(INDEX('Structured 2025'!teamCol,ROW()),ovrTeamCol25,0),MATCH(MID(INDEX('Structured 2025'!headerRow,1,COLUMN()),4,LEN(INDEX('Structured 2025'!headerRow,1,COLUMN()))),ovrHeaderRow25,0))</f>
        <v>27.4</v>
      </c>
      <c r="AN131" s="12">
        <f>INDEX(ovrTable25,MATCH(INDEX('Structured 2025'!teamCol,ROW()),ovrTeamCol25,0),MATCH(MID(INDEX('Structured 2025'!headerRow,1,COLUMN()),4,LEN(INDEX('Structured 2025'!headerRow,1,COLUMN()))),ovrHeaderRow25,0))</f>
        <v>1.39</v>
      </c>
      <c r="AO131" s="12">
        <f>INDEX(ovrTable25,MATCH(INDEX('Structured 2025'!teamCol,ROW()),ovrTeamCol25,0),MATCH(MID(INDEX('Structured 2025'!headerRow,1,COLUMN()),4,LEN(INDEX('Structured 2025'!headerRow,1,COLUMN()))),ovrHeaderRow25,0))</f>
        <v>15.5</v>
      </c>
      <c r="AP131" s="12">
        <f>INDEX(ovrTable25,MATCH(INDEX('Structured 2025'!teamCol,ROW()),ovrTeamCol25,0),MATCH(MID(INDEX('Structured 2025'!headerRow,1,COLUMN()),4,LEN(INDEX('Structured 2025'!headerRow,1,COLUMN()))),ovrHeaderRow25,0))</f>
        <v>21.98</v>
      </c>
      <c r="AQ131" s="12">
        <f>INDEX(ovrTable25,MATCH(INDEX('Structured 2025'!teamCol,ROW()),ovrTeamCol25,0),MATCH(MID(INDEX('Structured 2025'!headerRow,1,COLUMN()),4,LEN(INDEX('Structured 2025'!headerRow,1,COLUMN()))),ovrHeaderRow25,0))</f>
        <v>4.5</v>
      </c>
      <c r="AR131" s="12">
        <f>INDEX(ovrTable25,MATCH(INDEX('Structured 2025'!teamCol,ROW()),ovrTeamCol25,0),MATCH(MID(INDEX('Structured 2025'!headerRow,1,COLUMN()),4,LEN(INDEX('Structured 2025'!headerRow,1,COLUMN()))),ovrHeaderRow25,0))</f>
        <v>40</v>
      </c>
      <c r="AS131" s="12">
        <f>INDEX(ovrTable25,MATCH(INDEX('Structured 2025'!teamCol,ROW()),ovrTeamCol25,0),MATCH(MID(INDEX('Structured 2025'!headerRow,1,COLUMN()),4,LEN(INDEX('Structured 2025'!headerRow,1,COLUMN()))),ovrHeaderRow25,0))</f>
        <v>28.1</v>
      </c>
      <c r="AT131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131" s="12">
        <f>INDEX(ovrTable25,MATCH(INDEX('Structured 2025'!teamCol,ROW()),ovrTeamCol25,0),MATCH(MID(INDEX('Structured 2025'!headerRow,1,COLUMN()),4,LEN(INDEX('Structured 2025'!headerRow,1,COLUMN()))),ovrHeaderRow25,0))</f>
        <v>15.58</v>
      </c>
      <c r="AV131" s="12">
        <f>INDEX(ovrTable25,MATCH(INDEX('Structured 2025'!teamCol,ROW()),ovrTeamCol25,0),MATCH(MID(INDEX('Structured 2025'!headerRow,1,COLUMN()),4,LEN(INDEX('Structured 2025'!headerRow,1,COLUMN()))),ovrHeaderRow25,0))</f>
        <v>47.1</v>
      </c>
      <c r="AW131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131" s="12">
        <f>INDEX(ovrTable25,MATCH(INDEX('Structured 2025'!teamCol,ROW()),ovrTeamCol25,0),MATCH(MID(INDEX('Structured 2025'!headerRow,1,COLUMN()),4,LEN(INDEX('Structured 2025'!headerRow,1,COLUMN()))),ovrHeaderRow25,0))</f>
        <v>72.8</v>
      </c>
      <c r="AY131" s="12">
        <f>INDEX(ovrTable25,MATCH(INDEX('Structured 2025'!teamCol,ROW()),ovrTeamCol25,0),MATCH(MID(INDEX('Structured 2025'!headerRow,1,COLUMN()),4,LEN(INDEX('Structured 2025'!headerRow,1,COLUMN()))),ovrHeaderRow25,0))</f>
        <v>21.9</v>
      </c>
      <c r="AZ131" s="12">
        <f>INDEX(ovrTable25,MATCH(INDEX('Structured 2025'!teamCol,ROW()),ovrTeamCol25,0),MATCH(MID(INDEX('Structured 2025'!headerRow,1,COLUMN()),4,LEN(INDEX('Structured 2025'!headerRow,1,COLUMN()))),ovrHeaderRow25,0))</f>
        <v>15.9</v>
      </c>
      <c r="BA131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B131" s="12">
        <f>INDEX(ovrTable25,MATCH(INDEX('Structured 2025'!teamCol,ROW()),ovrTeamCol25,0),MATCH(MID(INDEX('Structured 2025'!headerRow,1,COLUMN()),4,LEN(INDEX('Structured 2025'!headerRow,1,COLUMN()))),ovrHeaderRow25,0))</f>
        <v>13.73</v>
      </c>
      <c r="BC131" s="12">
        <f>INDEX(ovrTable25,MATCH(INDEX('Structured 2025'!teamCol,ROW()),ovrTeamCol25,0),MATCH(MID(INDEX('Structured 2025'!headerRow,1,COLUMN()),4,LEN(INDEX('Structured 2025'!headerRow,1,COLUMN()))),ovrHeaderRow25,0))</f>
        <v>84.8</v>
      </c>
      <c r="BD131" s="12">
        <f>INDEX(ovrTable25,MATCH(INDEX('Structured 2025'!teamCol,ROW()),ovrTeamCol25,0),MATCH(MID(INDEX('Structured 2025'!headerRow,1,COLUMN()),4,LEN(INDEX('Structured 2025'!headerRow,1,COLUMN()))),ovrHeaderRow25,0))</f>
        <v>8.4</v>
      </c>
      <c r="BE131" s="12">
        <f>INDEX(ovrTable25,MATCH(INDEX('Structured 2025'!teamCol,ROW()),ovrTeamCol25,0),MATCH(MID(INDEX('Structured 2025'!headerRow,1,COLUMN()),4,LEN(INDEX('Structured 2025'!headerRow,1,COLUMN()))),ovrHeaderRow25,0))</f>
        <v>41.83</v>
      </c>
      <c r="BF131" s="12">
        <f>INDEX(ovrTable25,MATCH(INDEX('Structured 2025'!teamCol,ROW()),ovrTeamCol25,0),MATCH(MID(INDEX('Structured 2025'!headerRow,1,COLUMN()),4,LEN(INDEX('Structured 2025'!headerRow,1,COLUMN()))),ovrHeaderRow25,0))</f>
        <v>15.2</v>
      </c>
      <c r="BG131" s="12">
        <f>INDEX(ovrTable25,MATCH(INDEX('Structured 2025'!teamCol,ROW()),ovrTeamCol25,0),MATCH(MID(INDEX('Structured 2025'!headerRow,1,COLUMN()),4,LEN(INDEX('Structured 2025'!headerRow,1,COLUMN()))),ovrHeaderRow25,0))</f>
        <v>7.4</v>
      </c>
      <c r="BH131" s="12">
        <f>INDEX(ovrTable25,MATCH(INDEX('Structured 2025'!teamCol,ROW()),ovrTeamCol25,0),MATCH(MID(INDEX('Structured 2025'!headerRow,1,COLUMN()),4,LEN(INDEX('Structured 2025'!headerRow,1,COLUMN()))),ovrHeaderRow25,0))</f>
        <v>0.6</v>
      </c>
      <c r="BI131" s="12">
        <f>INDEX(ovrTable25,MATCH(INDEX('Structured 2025'!teamCol,ROW()),ovrTeamCol25,0),MATCH(MID(INDEX('Structured 2025'!headerRow,1,COLUMN()),4,LEN(INDEX('Structured 2025'!headerRow,1,COLUMN()))),ovrHeaderRow25,0))</f>
        <v>11.73</v>
      </c>
      <c r="BJ131" s="12">
        <f>INDEX(ovrTable25,MATCH(INDEX('Structured 2025'!teamCol,ROW()),ovrTeamCol25,0),MATCH(MID(INDEX('Structured 2025'!headerRow,1,COLUMN()),4,LEN(INDEX('Structured 2025'!headerRow,1,COLUMN()))),ovrHeaderRow25,0))</f>
        <v>11.1</v>
      </c>
      <c r="BK131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131" s="12">
        <f>INDEX(ovrTable25,MATCH(INDEX('Structured 2025'!teamCol,ROW()),ovrTeamCol25,0),MATCH(MID(INDEX('Structured 2025'!headerRow,1,COLUMN()),4,LEN(INDEX('Structured 2025'!headerRow,1,COLUMN()))),ovrHeaderRow25,0))</f>
        <v>19.749999999999993</v>
      </c>
      <c r="BM131" s="12">
        <f>INDEX(ovrTable25,MATCH(INDEX('Structured 2025'!teamCol,ROW()),ovrTeamCol25,0),MATCH(MID(INDEX('Structured 2025'!headerRow,1,COLUMN()),4,LEN(INDEX('Structured 2025'!headerRow,1,COLUMN()))),ovrHeaderRow25,0))</f>
        <v>62.7388535031847</v>
      </c>
      <c r="BN131" s="12">
        <f>INDEX(ovrTable25,MATCH(INDEX(oppCol,ROW()),ovrTeamCol25,0),MATCH(MID(INDEX('Structured 2025'!headerRow,1,COLUMN()),4,LEN(INDEX('Structured 2025'!headerRow,1,COLUMN()))),ovrHeaderRow25,0))</f>
        <v>35</v>
      </c>
      <c r="BO131" s="12">
        <f>INDEX(ovrTable25,MATCH(INDEX(oppCol,ROW()),ovrTeamCol25,0),MATCH(MID(INDEX('Structured 2025'!headerRow,1,COLUMN()),4,LEN(INDEX('Structured 2025'!headerRow,1,COLUMN()))),ovrHeaderRow25,0))</f>
        <v>8.5</v>
      </c>
      <c r="BP131" s="12">
        <f>INDEX(ovrTable25,MATCH(INDEX(oppCol,ROW()),ovrTeamCol25,0),MATCH(MID(INDEX('Structured 2025'!headerRow,1,COLUMN()),4,LEN(INDEX('Structured 2025'!headerRow,1,COLUMN()))),ovrHeaderRow25,0))</f>
        <v>34.799999999999997</v>
      </c>
      <c r="BQ131" s="12">
        <f>INDEX(ovrTable25,MATCH(INDEX(oppCol,ROW()),ovrTeamCol25,0),MATCH(MID(INDEX('Structured 2025'!headerRow,1,COLUMN()),4,LEN(INDEX('Structured 2025'!headerRow,1,COLUMN()))),ovrHeaderRow25,0))</f>
        <v>24.5</v>
      </c>
      <c r="BR131" s="12">
        <f>INDEX(ovrTable25,MATCH(INDEX(oppCol,ROW()),ovrTeamCol25,0),MATCH(MID(INDEX('Structured 2025'!headerRow,1,COLUMN()),4,LEN(INDEX('Structured 2025'!headerRow,1,COLUMN()))),ovrHeaderRow25,0))</f>
        <v>1.56</v>
      </c>
      <c r="BS131" s="12">
        <f>INDEX(ovrTable25,MATCH(INDEX(oppCol,ROW()),ovrTeamCol25,0),MATCH(MID(INDEX('Structured 2025'!headerRow,1,COLUMN()),4,LEN(INDEX('Structured 2025'!headerRow,1,COLUMN()))),ovrHeaderRow25,0))</f>
        <v>17.3</v>
      </c>
      <c r="BT131" s="12">
        <f>INDEX(ovrTable25,MATCH(INDEX(oppCol,ROW()),ovrTeamCol25,0),MATCH(MID(INDEX('Structured 2025'!headerRow,1,COLUMN()),4,LEN(INDEX('Structured 2025'!headerRow,1,COLUMN()))),ovrHeaderRow25,0))</f>
        <v>20.74</v>
      </c>
      <c r="BU131" s="12">
        <f>INDEX(ovrTable25,MATCH(INDEX(oppCol,ROW()),ovrTeamCol25,0),MATCH(MID(INDEX('Structured 2025'!headerRow,1,COLUMN()),4,LEN(INDEX('Structured 2025'!headerRow,1,COLUMN()))),ovrHeaderRow25,0))</f>
        <v>6.2</v>
      </c>
      <c r="BV131" s="12">
        <f>INDEX(ovrTable25,MATCH(INDEX(oppCol,ROW()),ovrTeamCol25,0),MATCH(MID(INDEX('Structured 2025'!headerRow,1,COLUMN()),4,LEN(INDEX('Structured 2025'!headerRow,1,COLUMN()))),ovrHeaderRow25,0))</f>
        <v>42.1</v>
      </c>
      <c r="BW131" s="12">
        <f>INDEX(ovrTable25,MATCH(INDEX(oppCol,ROW()),ovrTeamCol25,0),MATCH(MID(INDEX('Structured 2025'!headerRow,1,COLUMN()),4,LEN(INDEX('Structured 2025'!headerRow,1,COLUMN()))),ovrHeaderRow25,0))</f>
        <v>24.54</v>
      </c>
      <c r="BX131" s="12">
        <f>INDEX(ovrTable25,MATCH(INDEX(oppCol,ROW()),ovrTeamCol25,0),MATCH(MID(INDEX('Structured 2025'!headerRow,1,COLUMN()),4,LEN(INDEX('Structured 2025'!headerRow,1,COLUMN()))),ovrHeaderRow25,0))</f>
        <v>0.55000000000000004</v>
      </c>
      <c r="BY131" s="12">
        <f>INDEX(ovrTable25,MATCH(INDEX(oppCol,ROW()),ovrTeamCol25,0),MATCH(MID(INDEX('Structured 2025'!headerRow,1,COLUMN()),4,LEN(INDEX('Structured 2025'!headerRow,1,COLUMN()))),ovrHeaderRow25,0))</f>
        <v>8.6300000000000008</v>
      </c>
      <c r="BZ131" s="12">
        <f>INDEX(ovrTable25,MATCH(INDEX(oppCol,ROW()),ovrTeamCol25,0),MATCH(MID(INDEX('Structured 2025'!headerRow,1,COLUMN()),4,LEN(INDEX('Structured 2025'!headerRow,1,COLUMN()))),ovrHeaderRow25,0))</f>
        <v>47.5</v>
      </c>
      <c r="CA131" s="12">
        <f>INDEX(ovrTable25,MATCH(INDEX(oppCol,ROW()),ovrTeamCol25,0),MATCH(MID(INDEX('Structured 2025'!headerRow,1,COLUMN()),4,LEN(INDEX('Structured 2025'!headerRow,1,COLUMN()))),ovrHeaderRow25,0))</f>
        <v>18.3</v>
      </c>
      <c r="CB131" s="12">
        <f>INDEX(ovrTable25,MATCH(INDEX(oppCol,ROW()),ovrTeamCol25,0),MATCH(MID(INDEX('Structured 2025'!headerRow,1,COLUMN()),4,LEN(INDEX('Structured 2025'!headerRow,1,COLUMN()))),ovrHeaderRow25,0))</f>
        <v>79.099999999999994</v>
      </c>
      <c r="CC131" s="12">
        <f>INDEX(ovrTable25,MATCH(INDEX(oppCol,ROW()),ovrTeamCol25,0),MATCH(MID(INDEX('Structured 2025'!headerRow,1,COLUMN()),4,LEN(INDEX('Structured 2025'!headerRow,1,COLUMN()))),ovrHeaderRow25,0))</f>
        <v>17.7</v>
      </c>
      <c r="CD131" s="12">
        <f>INDEX(ovrTable25,MATCH(INDEX(oppCol,ROW()),ovrTeamCol25,0),MATCH(MID(INDEX('Structured 2025'!headerRow,1,COLUMN()),4,LEN(INDEX('Structured 2025'!headerRow,1,COLUMN()))),ovrHeaderRow25,0))</f>
        <v>14</v>
      </c>
      <c r="CE131" s="12">
        <f>INDEX(ovrTable25,MATCH(INDEX(oppCol,ROW()),ovrTeamCol25,0),MATCH(MID(INDEX('Structured 2025'!headerRow,1,COLUMN()),4,LEN(INDEX('Structured 2025'!headerRow,1,COLUMN()))),ovrHeaderRow25,0))</f>
        <v>68</v>
      </c>
      <c r="CF131" s="12">
        <f>INDEX(ovrTable25,MATCH(INDEX(oppCol,ROW()),ovrTeamCol25,0),MATCH(MID(INDEX('Structured 2025'!headerRow,1,COLUMN()),4,LEN(INDEX('Structured 2025'!headerRow,1,COLUMN()))),ovrHeaderRow25,0))</f>
        <v>11.2</v>
      </c>
      <c r="CG131" s="12">
        <f>INDEX(ovrTable25,MATCH(INDEX(oppCol,ROW()),ovrTeamCol25,0),MATCH(MID(INDEX('Structured 2025'!headerRow,1,COLUMN()),4,LEN(INDEX('Structured 2025'!headerRow,1,COLUMN()))),ovrHeaderRow25,0))</f>
        <v>77</v>
      </c>
      <c r="CH131" s="12">
        <f>INDEX(ovrTable25,MATCH(INDEX(oppCol,ROW()),ovrTeamCol25,0),MATCH(MID(INDEX('Structured 2025'!headerRow,1,COLUMN()),4,LEN(INDEX('Structured 2025'!headerRow,1,COLUMN()))),ovrHeaderRow25,0))</f>
        <v>6</v>
      </c>
      <c r="CI131" s="12">
        <f>INDEX(ovrTable25,MATCH(INDEX(oppCol,ROW()),ovrTeamCol25,0),MATCH(MID(INDEX('Structured 2025'!headerRow,1,COLUMN()),4,LEN(INDEX('Structured 2025'!headerRow,1,COLUMN()))),ovrHeaderRow25,0))</f>
        <v>35.74</v>
      </c>
      <c r="CJ131" s="12">
        <f>INDEX(ovrTable25,MATCH(INDEX(oppCol,ROW()),ovrTeamCol25,0),MATCH(MID(INDEX('Structured 2025'!headerRow,1,COLUMN()),4,LEN(INDEX('Structured 2025'!headerRow,1,COLUMN()))),ovrHeaderRow25,0))</f>
        <v>9</v>
      </c>
      <c r="CK131" s="12">
        <f>INDEX(ovrTable25,MATCH(INDEX(oppCol,ROW()),ovrTeamCol25,0),MATCH(MID(INDEX('Structured 2025'!headerRow,1,COLUMN()),4,LEN(INDEX('Structured 2025'!headerRow,1,COLUMN()))),ovrHeaderRow25,0))</f>
        <v>5.4</v>
      </c>
      <c r="CL131" s="12">
        <f>INDEX(ovrTable25,MATCH(INDEX(oppCol,ROW()),ovrTeamCol25,0),MATCH(MID(INDEX('Structured 2025'!headerRow,1,COLUMN()),4,LEN(INDEX('Structured 2025'!headerRow,1,COLUMN()))),ovrHeaderRow25,0))</f>
        <v>-0.9</v>
      </c>
      <c r="CM131" s="12">
        <f>INDEX(ovrTable25,MATCH(INDEX(oppCol,ROW()),ovrTeamCol25,0),MATCH(MID(INDEX('Structured 2025'!headerRow,1,COLUMN()),4,LEN(INDEX('Structured 2025'!headerRow,1,COLUMN()))),ovrHeaderRow25,0))</f>
        <v>10.26</v>
      </c>
      <c r="CN131" s="12">
        <f>INDEX(ovrTable25,MATCH(INDEX(oppCol,ROW()),ovrTeamCol25,0),MATCH(MID(INDEX('Structured 2025'!headerRow,1,COLUMN()),4,LEN(INDEX('Structured 2025'!headerRow,1,COLUMN()))),ovrHeaderRow25,0))</f>
        <v>11.1</v>
      </c>
      <c r="CO131" s="12">
        <f>INDEX(ovrTable25,MATCH(INDEX(oppCol,ROW()),ovrTeamCol25,0),MATCH(MID(INDEX('Structured 2025'!headerRow,1,COLUMN()),4,LEN(INDEX('Structured 2025'!headerRow,1,COLUMN()))),ovrHeaderRow25,0))</f>
        <v>68.2</v>
      </c>
      <c r="CP131" s="12">
        <f>INDEX(ovrTable25,MATCH(INDEX(oppCol,ROW()),ovrTeamCol25,0),MATCH(MID(INDEX('Structured 2025'!headerRow,1,COLUMN()),4,LEN(INDEX('Structured 2025'!headerRow,1,COLUMN()))),ovrHeaderRow25,0))</f>
        <v>18.75</v>
      </c>
      <c r="CQ131" s="12">
        <f>INDEX(ovrTable25,MATCH(INDEX(oppCol,ROW()),ovrTeamCol25,0),MATCH(MID(INDEX('Structured 2025'!headerRow,1,COLUMN()),4,LEN(INDEX('Structured 2025'!headerRow,1,COLUMN()))),ovrHeaderRow25,0))</f>
        <v>57.368421052631582</v>
      </c>
    </row>
    <row r="132" spans="1:95" x14ac:dyDescent="0.3">
      <c r="A132" s="6" t="s">
        <v>48</v>
      </c>
      <c r="B132" s="3">
        <v>1</v>
      </c>
      <c r="C132" s="13" t="str">
        <f>A133</f>
        <v>HOU</v>
      </c>
      <c r="D132" s="14">
        <f t="shared" si="111"/>
        <v>66</v>
      </c>
      <c r="E132" s="23">
        <v>0.45454545454545453</v>
      </c>
      <c r="F132" s="24">
        <v>39.622641509433961</v>
      </c>
      <c r="G132" s="24">
        <v>7</v>
      </c>
      <c r="H132" s="23">
        <v>41.17647058823529</v>
      </c>
      <c r="I132" s="24">
        <v>17</v>
      </c>
      <c r="J132" s="25">
        <v>2</v>
      </c>
      <c r="K132" s="24">
        <v>18</v>
      </c>
      <c r="L132" s="24">
        <v>23</v>
      </c>
      <c r="M132" s="24">
        <v>10</v>
      </c>
      <c r="N132" s="24">
        <v>21</v>
      </c>
      <c r="O132" s="24">
        <v>14</v>
      </c>
      <c r="P132" s="24">
        <v>7</v>
      </c>
      <c r="Q132" s="24">
        <v>4</v>
      </c>
      <c r="R132" s="24">
        <v>7</v>
      </c>
      <c r="S132" s="24">
        <v>0</v>
      </c>
      <c r="T132" s="24">
        <v>16</v>
      </c>
      <c r="U132" s="24">
        <v>4</v>
      </c>
      <c r="V132" s="24">
        <v>0.37704918032786883</v>
      </c>
      <c r="W132" s="26">
        <v>0.46226415094339623</v>
      </c>
      <c r="X132" s="23">
        <v>78.260869565217391</v>
      </c>
      <c r="Y132" s="24">
        <v>70</v>
      </c>
      <c r="Z132" s="24">
        <v>67</v>
      </c>
      <c r="AA132" s="24">
        <v>-11</v>
      </c>
      <c r="AB132" s="24">
        <v>31</v>
      </c>
      <c r="AC132" s="24">
        <v>-3</v>
      </c>
      <c r="AD132" s="24">
        <v>2</v>
      </c>
      <c r="AE132" s="24">
        <v>9</v>
      </c>
      <c r="AF132" s="34">
        <f t="shared" si="141"/>
        <v>14</v>
      </c>
      <c r="AG132" s="34">
        <f t="shared" si="142"/>
        <v>36.000000000000007</v>
      </c>
      <c r="AH132" s="46">
        <f t="shared" si="143"/>
        <v>60.924999999999997</v>
      </c>
      <c r="AI132" s="51">
        <f t="shared" ref="AI132" si="146">AVERAGE(AH132,AH133)</f>
        <v>60.737499999999997</v>
      </c>
      <c r="AJ132" s="12">
        <f>INDEX(ovrTable25,MATCH(INDEX('Structured 2025'!teamCol,ROW()),ovrTeamCol25,0),MATCH(MID(INDEX('Structured 2025'!headerRow,1,COLUMN()),4,LEN(INDEX('Structured 2025'!headerRow,1,COLUMN()))),ovrHeaderRow25,0))</f>
        <v>31.2</v>
      </c>
      <c r="AK132" s="12">
        <f>INDEX(ovrTable25,MATCH(INDEX('Structured 2025'!teamCol,ROW()),ovrTeamCol25,0),MATCH(MID(INDEX('Structured 2025'!headerRow,1,COLUMN()),4,LEN(INDEX('Structured 2025'!headerRow,1,COLUMN()))),ovrHeaderRow25,0))</f>
        <v>8.3000000000000007</v>
      </c>
      <c r="AL132" s="12">
        <f>INDEX(ovrTable25,MATCH(INDEX('Structured 2025'!teamCol,ROW()),ovrTeamCol25,0),MATCH(MID(INDEX('Structured 2025'!headerRow,1,COLUMN()),4,LEN(INDEX('Structured 2025'!headerRow,1,COLUMN()))),ovrHeaderRow25,0))</f>
        <v>38.200000000000003</v>
      </c>
      <c r="AM132" s="12">
        <f>INDEX(ovrTable25,MATCH(INDEX('Structured 2025'!teamCol,ROW()),ovrTeamCol25,0),MATCH(MID(INDEX('Structured 2025'!headerRow,1,COLUMN()),4,LEN(INDEX('Structured 2025'!headerRow,1,COLUMN()))),ovrHeaderRow25,0))</f>
        <v>21.6</v>
      </c>
      <c r="AN132" s="12">
        <f>INDEX(ovrTable25,MATCH(INDEX('Structured 2025'!teamCol,ROW()),ovrTeamCol25,0),MATCH(MID(INDEX('Structured 2025'!headerRow,1,COLUMN()),4,LEN(INDEX('Structured 2025'!headerRow,1,COLUMN()))),ovrHeaderRow25,0))</f>
        <v>1.53</v>
      </c>
      <c r="AO132" s="12">
        <f>INDEX(ovrTable25,MATCH(INDEX('Structured 2025'!teamCol,ROW()),ovrTeamCol25,0),MATCH(MID(INDEX('Structured 2025'!headerRow,1,COLUMN()),4,LEN(INDEX('Structured 2025'!headerRow,1,COLUMN()))),ovrHeaderRow25,0))</f>
        <v>15.9</v>
      </c>
      <c r="AP132" s="12">
        <f>INDEX(ovrTable25,MATCH(INDEX('Structured 2025'!teamCol,ROW()),ovrTeamCol25,0),MATCH(MID(INDEX('Structured 2025'!headerRow,1,COLUMN()),4,LEN(INDEX('Structured 2025'!headerRow,1,COLUMN()))),ovrHeaderRow25,0))</f>
        <v>17.03</v>
      </c>
      <c r="AQ132" s="12">
        <f>INDEX(ovrTable25,MATCH(INDEX('Structured 2025'!teamCol,ROW()),ovrTeamCol25,0),MATCH(MID(INDEX('Structured 2025'!headerRow,1,COLUMN()),4,LEN(INDEX('Structured 2025'!headerRow,1,COLUMN()))),ovrHeaderRow25,0))</f>
        <v>1.6</v>
      </c>
      <c r="AR132" s="12">
        <f>INDEX(ovrTable25,MATCH(INDEX('Structured 2025'!teamCol,ROW()),ovrTeamCol25,0),MATCH(MID(INDEX('Structured 2025'!headerRow,1,COLUMN()),4,LEN(INDEX('Structured 2025'!headerRow,1,COLUMN()))),ovrHeaderRow25,0))</f>
        <v>45.2</v>
      </c>
      <c r="AS132" s="12">
        <f>INDEX(ovrTable25,MATCH(INDEX('Structured 2025'!teamCol,ROW()),ovrTeamCol25,0),MATCH(MID(INDEX('Structured 2025'!headerRow,1,COLUMN()),4,LEN(INDEX('Structured 2025'!headerRow,1,COLUMN()))),ovrHeaderRow25,0))</f>
        <v>23.08</v>
      </c>
      <c r="AT132" s="12">
        <f>INDEX(ovrTable25,MATCH(INDEX('Structured 2025'!teamCol,ROW()),ovrTeamCol25,0),MATCH(MID(INDEX('Structured 2025'!headerRow,1,COLUMN()),4,LEN(INDEX('Structured 2025'!headerRow,1,COLUMN()))),ovrHeaderRow25,0))</f>
        <v>0.55900000000000005</v>
      </c>
      <c r="AU132" s="12">
        <f>INDEX(ovrTable25,MATCH(INDEX('Structured 2025'!teamCol,ROW()),ovrTeamCol25,0),MATCH(MID(INDEX('Structured 2025'!headerRow,1,COLUMN()),4,LEN(INDEX('Structured 2025'!headerRow,1,COLUMN()))),ovrHeaderRow25,0))</f>
        <v>7.83</v>
      </c>
      <c r="AV132" s="12">
        <f>INDEX(ovrTable25,MATCH(INDEX('Structured 2025'!teamCol,ROW()),ovrTeamCol25,0),MATCH(MID(INDEX('Structured 2025'!headerRow,1,COLUMN()),4,LEN(INDEX('Structured 2025'!headerRow,1,COLUMN()))),ovrHeaderRow25,0))</f>
        <v>48.6</v>
      </c>
      <c r="AW132" s="12">
        <f>INDEX(ovrTable25,MATCH(INDEX('Structured 2025'!teamCol,ROW()),ovrTeamCol25,0),MATCH(MID(INDEX('Structured 2025'!headerRow,1,COLUMN()),4,LEN(INDEX('Structured 2025'!headerRow,1,COLUMN()))),ovrHeaderRow25,0))</f>
        <v>15.8</v>
      </c>
      <c r="AX132" s="12">
        <f>INDEX(ovrTable25,MATCH(INDEX('Structured 2025'!teamCol,ROW()),ovrTeamCol25,0),MATCH(MID(INDEX('Structured 2025'!headerRow,1,COLUMN()),4,LEN(INDEX('Structured 2025'!headerRow,1,COLUMN()))),ovrHeaderRow25,0))</f>
        <v>73.2</v>
      </c>
      <c r="AY132" s="12">
        <f>INDEX(ovrTable25,MATCH(INDEX('Structured 2025'!teamCol,ROW()),ovrTeamCol25,0),MATCH(MID(INDEX('Structured 2025'!headerRow,1,COLUMN()),4,LEN(INDEX('Structured 2025'!headerRow,1,COLUMN()))),ovrHeaderRow25,0))</f>
        <v>19.5</v>
      </c>
      <c r="AZ132" s="12">
        <f>INDEX(ovrTable25,MATCH(INDEX('Structured 2025'!teamCol,ROW()),ovrTeamCol25,0),MATCH(MID(INDEX('Structured 2025'!headerRow,1,COLUMN()),4,LEN(INDEX('Structured 2025'!headerRow,1,COLUMN()))),ovrHeaderRow25,0))</f>
        <v>14.3</v>
      </c>
      <c r="BA132" s="12">
        <f>INDEX(ovrTable25,MATCH(INDEX('Structured 2025'!teamCol,ROW()),ovrTeamCol25,0),MATCH(MID(INDEX('Structured 2025'!headerRow,1,COLUMN()),4,LEN(INDEX('Structured 2025'!headerRow,1,COLUMN()))),ovrHeaderRow25,0))</f>
        <v>70.400000000000006</v>
      </c>
      <c r="BB132" s="12">
        <f>INDEX(ovrTable25,MATCH(INDEX('Structured 2025'!teamCol,ROW()),ovrTeamCol25,0),MATCH(MID(INDEX('Structured 2025'!headerRow,1,COLUMN()),4,LEN(INDEX('Structured 2025'!headerRow,1,COLUMN()))),ovrHeaderRow25,0))</f>
        <v>9.7799999999999994</v>
      </c>
      <c r="BC132" s="12">
        <f>INDEX(ovrTable25,MATCH(INDEX('Structured 2025'!teamCol,ROW()),ovrTeamCol25,0),MATCH(MID(INDEX('Structured 2025'!headerRow,1,COLUMN()),4,LEN(INDEX('Structured 2025'!headerRow,1,COLUMN()))),ovrHeaderRow25,0))</f>
        <v>77.3</v>
      </c>
      <c r="BD132" s="12">
        <f>INDEX(ovrTable25,MATCH(INDEX('Structured 2025'!teamCol,ROW()),ovrTeamCol25,0),MATCH(MID(INDEX('Structured 2025'!headerRow,1,COLUMN()),4,LEN(INDEX('Structured 2025'!headerRow,1,COLUMN()))),ovrHeaderRow25,0))</f>
        <v>2.1</v>
      </c>
      <c r="BE132" s="12">
        <f>INDEX(ovrTable25,MATCH(INDEX('Structured 2025'!teamCol,ROW()),ovrTeamCol25,0),MATCH(MID(INDEX('Structured 2025'!headerRow,1,COLUMN()),4,LEN(INDEX('Structured 2025'!headerRow,1,COLUMN()))),ovrHeaderRow25,0))</f>
        <v>32.86</v>
      </c>
      <c r="BF132" s="12">
        <f>INDEX(ovrTable25,MATCH(INDEX('Structured 2025'!teamCol,ROW()),ovrTeamCol25,0),MATCH(MID(INDEX('Structured 2025'!headerRow,1,COLUMN()),4,LEN(INDEX('Structured 2025'!headerRow,1,COLUMN()))),ovrHeaderRow25,0))</f>
        <v>6.9</v>
      </c>
      <c r="BG132" s="12">
        <f>INDEX(ovrTable25,MATCH(INDEX('Structured 2025'!teamCol,ROW()),ovrTeamCol25,0),MATCH(MID(INDEX('Structured 2025'!headerRow,1,COLUMN()),4,LEN(INDEX('Structured 2025'!headerRow,1,COLUMN()))),ovrHeaderRow25,0))</f>
        <v>6.4</v>
      </c>
      <c r="BH132" s="12">
        <f>INDEX(ovrTable25,MATCH(INDEX('Structured 2025'!teamCol,ROW()),ovrTeamCol25,0),MATCH(MID(INDEX('Structured 2025'!headerRow,1,COLUMN()),4,LEN(INDEX('Structured 2025'!headerRow,1,COLUMN()))),ovrHeaderRow25,0))</f>
        <v>1.2</v>
      </c>
      <c r="BI132" s="12">
        <f>INDEX(ovrTable25,MATCH(INDEX('Structured 2025'!teamCol,ROW()),ovrTeamCol25,0),MATCH(MID(INDEX('Structured 2025'!headerRow,1,COLUMN()),4,LEN(INDEX('Structured 2025'!headerRow,1,COLUMN()))),ovrHeaderRow25,0))</f>
        <v>11.61</v>
      </c>
      <c r="BJ132" s="12">
        <f>INDEX(ovrTable25,MATCH(INDEX('Structured 2025'!teamCol,ROW()),ovrTeamCol25,0),MATCH(MID(INDEX('Structured 2025'!headerRow,1,COLUMN()),4,LEN(INDEX('Structured 2025'!headerRow,1,COLUMN()))),ovrHeaderRow25,0))</f>
        <v>10.4</v>
      </c>
      <c r="BK132" s="12">
        <f>INDEX(ovrTable25,MATCH(INDEX('Structured 2025'!teamCol,ROW()),ovrTeamCol25,0),MATCH(MID(INDEX('Structured 2025'!headerRow,1,COLUMN()),4,LEN(INDEX('Structured 2025'!headerRow,1,COLUMN()))),ovrHeaderRow25,0))</f>
        <v>66</v>
      </c>
      <c r="BL132" s="12">
        <f>INDEX(ovrTable25,MATCH(INDEX('Structured 2025'!teamCol,ROW()),ovrTeamCol25,0),MATCH(MID(INDEX('Structured 2025'!headerRow,1,COLUMN()),4,LEN(INDEX('Structured 2025'!headerRow,1,COLUMN()))),ovrHeaderRow25,0))</f>
        <v>19.049999999999997</v>
      </c>
      <c r="BM132" s="12">
        <f>INDEX(ovrTable25,MATCH(INDEX('Structured 2025'!teamCol,ROW()),ovrTeamCol25,0),MATCH(MID(INDEX('Structured 2025'!headerRow,1,COLUMN()),4,LEN(INDEX('Structured 2025'!headerRow,1,COLUMN()))),ovrHeaderRow25,0))</f>
        <v>56.275720164609055</v>
      </c>
      <c r="BN132" s="12">
        <f>INDEX(ovrTable25,MATCH(INDEX(oppCol,ROW()),ovrTeamCol25,0),MATCH(MID(INDEX('Structured 2025'!headerRow,1,COLUMN()),4,LEN(INDEX('Structured 2025'!headerRow,1,COLUMN()))),ovrHeaderRow25,0))</f>
        <v>30.2</v>
      </c>
      <c r="BO132" s="12">
        <f>INDEX(ovrTable25,MATCH(INDEX(oppCol,ROW()),ovrTeamCol25,0),MATCH(MID(INDEX('Structured 2025'!headerRow,1,COLUMN()),4,LEN(INDEX('Structured 2025'!headerRow,1,COLUMN()))),ovrHeaderRow25,0))</f>
        <v>8.1999999999999993</v>
      </c>
      <c r="BP132" s="12">
        <f>INDEX(ovrTable25,MATCH(INDEX(oppCol,ROW()),ovrTeamCol25,0),MATCH(MID(INDEX('Structured 2025'!headerRow,1,COLUMN()),4,LEN(INDEX('Structured 2025'!headerRow,1,COLUMN()))),ovrHeaderRow25,0))</f>
        <v>39.4</v>
      </c>
      <c r="BQ132" s="12">
        <f>INDEX(ovrTable25,MATCH(INDEX(oppCol,ROW()),ovrTeamCol25,0),MATCH(MID(INDEX('Structured 2025'!headerRow,1,COLUMN()),4,LEN(INDEX('Structured 2025'!headerRow,1,COLUMN()))),ovrHeaderRow25,0))</f>
        <v>20.7</v>
      </c>
      <c r="BR132" s="12">
        <f>INDEX(ovrTable25,MATCH(INDEX(oppCol,ROW()),ovrTeamCol25,0),MATCH(MID(INDEX('Structured 2025'!headerRow,1,COLUMN()),4,LEN(INDEX('Structured 2025'!headerRow,1,COLUMN()))),ovrHeaderRow25,0))</f>
        <v>1.34</v>
      </c>
      <c r="BS132" s="12">
        <f>INDEX(ovrTable25,MATCH(INDEX(oppCol,ROW()),ovrTeamCol25,0),MATCH(MID(INDEX('Structured 2025'!headerRow,1,COLUMN()),4,LEN(INDEX('Structured 2025'!headerRow,1,COLUMN()))),ovrHeaderRow25,0))</f>
        <v>12.1</v>
      </c>
      <c r="BT132" s="12">
        <f>INDEX(ovrTable25,MATCH(INDEX(oppCol,ROW()),ovrTeamCol25,0),MATCH(MID(INDEX('Structured 2025'!headerRow,1,COLUMN()),4,LEN(INDEX('Structured 2025'!headerRow,1,COLUMN()))),ovrHeaderRow25,0))</f>
        <v>18.73</v>
      </c>
      <c r="BU132" s="12">
        <f>INDEX(ovrTable25,MATCH(INDEX(oppCol,ROW()),ovrTeamCol25,0),MATCH(MID(INDEX('Structured 2025'!headerRow,1,COLUMN()),4,LEN(INDEX('Structured 2025'!headerRow,1,COLUMN()))),ovrHeaderRow25,0))</f>
        <v>4.5999999999999996</v>
      </c>
      <c r="BV132" s="12">
        <f>INDEX(ovrTable25,MATCH(INDEX(oppCol,ROW()),ovrTeamCol25,0),MATCH(MID(INDEX('Structured 2025'!headerRow,1,COLUMN()),4,LEN(INDEX('Structured 2025'!headerRow,1,COLUMN()))),ovrHeaderRow25,0))</f>
        <v>38.299999999999997</v>
      </c>
      <c r="BW132" s="12">
        <f>INDEX(ovrTable25,MATCH(INDEX(oppCol,ROW()),ovrTeamCol25,0),MATCH(MID(INDEX('Structured 2025'!headerRow,1,COLUMN()),4,LEN(INDEX('Structured 2025'!headerRow,1,COLUMN()))),ovrHeaderRow25,0))</f>
        <v>24.08</v>
      </c>
      <c r="BX132" s="12">
        <f>INDEX(ovrTable25,MATCH(INDEX(oppCol,ROW()),ovrTeamCol25,0),MATCH(MID(INDEX('Structured 2025'!headerRow,1,COLUMN()),4,LEN(INDEX('Structured 2025'!headerRow,1,COLUMN()))),ovrHeaderRow25,0))</f>
        <v>0.51700000000000002</v>
      </c>
      <c r="BY132" s="12">
        <f>INDEX(ovrTable25,MATCH(INDEX(oppCol,ROW()),ovrTeamCol25,0),MATCH(MID(INDEX('Structured 2025'!headerRow,1,COLUMN()),4,LEN(INDEX('Structured 2025'!headerRow,1,COLUMN()))),ovrHeaderRow25,0))</f>
        <v>7.6</v>
      </c>
      <c r="BZ132" s="12">
        <f>INDEX(ovrTable25,MATCH(INDEX(oppCol,ROW()),ovrTeamCol25,0),MATCH(MID(INDEX('Structured 2025'!headerRow,1,COLUMN()),4,LEN(INDEX('Structured 2025'!headerRow,1,COLUMN()))),ovrHeaderRow25,0))</f>
        <v>44.9</v>
      </c>
      <c r="CA132" s="12">
        <f>INDEX(ovrTable25,MATCH(INDEX(oppCol,ROW()),ovrTeamCol25,0),MATCH(MID(INDEX('Structured 2025'!headerRow,1,COLUMN()),4,LEN(INDEX('Structured 2025'!headerRow,1,COLUMN()))),ovrHeaderRow25,0))</f>
        <v>16.3</v>
      </c>
      <c r="CB132" s="12">
        <f>INDEX(ovrTable25,MATCH(INDEX(oppCol,ROW()),ovrTeamCol25,0),MATCH(MID(INDEX('Structured 2025'!headerRow,1,COLUMN()),4,LEN(INDEX('Structured 2025'!headerRow,1,COLUMN()))),ovrHeaderRow25,0))</f>
        <v>74</v>
      </c>
      <c r="CC132" s="12">
        <f>INDEX(ovrTable25,MATCH(INDEX(oppCol,ROW()),ovrTeamCol25,0),MATCH(MID(INDEX('Structured 2025'!headerRow,1,COLUMN()),4,LEN(INDEX('Structured 2025'!headerRow,1,COLUMN()))),ovrHeaderRow25,0))</f>
        <v>16.2</v>
      </c>
      <c r="CD132" s="12">
        <f>INDEX(ovrTable25,MATCH(INDEX(oppCol,ROW()),ovrTeamCol25,0),MATCH(MID(INDEX('Structured 2025'!headerRow,1,COLUMN()),4,LEN(INDEX('Structured 2025'!headerRow,1,COLUMN()))),ovrHeaderRow25,0))</f>
        <v>12</v>
      </c>
      <c r="CE132" s="12">
        <f>INDEX(ovrTable25,MATCH(INDEX(oppCol,ROW()),ovrTeamCol25,0),MATCH(MID(INDEX('Structured 2025'!headerRow,1,COLUMN()),4,LEN(INDEX('Structured 2025'!headerRow,1,COLUMN()))),ovrHeaderRow25,0))</f>
        <v>58.7</v>
      </c>
      <c r="CF132" s="12">
        <f>INDEX(ovrTable25,MATCH(INDEX(oppCol,ROW()),ovrTeamCol25,0),MATCH(MID(INDEX('Structured 2025'!headerRow,1,COLUMN()),4,LEN(INDEX('Structured 2025'!headerRow,1,COLUMN()))),ovrHeaderRow25,0))</f>
        <v>12.8</v>
      </c>
      <c r="CG132" s="12">
        <f>INDEX(ovrTable25,MATCH(INDEX(oppCol,ROW()),ovrTeamCol25,0),MATCH(MID(INDEX('Structured 2025'!headerRow,1,COLUMN()),4,LEN(INDEX('Structured 2025'!headerRow,1,COLUMN()))),ovrHeaderRow25,0))</f>
        <v>73.7</v>
      </c>
      <c r="CH132" s="12">
        <f>INDEX(ovrTable25,MATCH(INDEX(oppCol,ROW()),ovrTeamCol25,0),MATCH(MID(INDEX('Structured 2025'!headerRow,1,COLUMN()),4,LEN(INDEX('Structured 2025'!headerRow,1,COLUMN()))),ovrHeaderRow25,0))</f>
        <v>5.3</v>
      </c>
      <c r="CI132" s="12">
        <f>INDEX(ovrTable25,MATCH(INDEX(oppCol,ROW()),ovrTeamCol25,0),MATCH(MID(INDEX('Structured 2025'!headerRow,1,COLUMN()),4,LEN(INDEX('Structured 2025'!headerRow,1,COLUMN()))),ovrHeaderRow25,0))</f>
        <v>36.880000000000003</v>
      </c>
      <c r="CJ132" s="12">
        <f>INDEX(ovrTable25,MATCH(INDEX(oppCol,ROW()),ovrTeamCol25,0),MATCH(MID(INDEX('Structured 2025'!headerRow,1,COLUMN()),4,LEN(INDEX('Structured 2025'!headerRow,1,COLUMN()))),ovrHeaderRow25,0))</f>
        <v>15</v>
      </c>
      <c r="CK132" s="12">
        <f>INDEX(ovrTable25,MATCH(INDEX(oppCol,ROW()),ovrTeamCol25,0),MATCH(MID(INDEX('Structured 2025'!headerRow,1,COLUMN()),4,LEN(INDEX('Structured 2025'!headerRow,1,COLUMN()))),ovrHeaderRow25,0))</f>
        <v>7.8</v>
      </c>
      <c r="CL132" s="12">
        <f>INDEX(ovrTable25,MATCH(INDEX(oppCol,ROW()),ovrTeamCol25,0),MATCH(MID(INDEX('Structured 2025'!headerRow,1,COLUMN()),4,LEN(INDEX('Structured 2025'!headerRow,1,COLUMN()))),ovrHeaderRow25,0))</f>
        <v>4.2</v>
      </c>
      <c r="CM132" s="12">
        <f>INDEX(ovrTable25,MATCH(INDEX(oppCol,ROW()),ovrTeamCol25,0),MATCH(MID(INDEX('Structured 2025'!headerRow,1,COLUMN()),4,LEN(INDEX('Structured 2025'!headerRow,1,COLUMN()))),ovrHeaderRow25,0))</f>
        <v>13.23</v>
      </c>
      <c r="CN132" s="12">
        <f>INDEX(ovrTable25,MATCH(INDEX(oppCol,ROW()),ovrTeamCol25,0),MATCH(MID(INDEX('Structured 2025'!headerRow,1,COLUMN()),4,LEN(INDEX('Structured 2025'!headerRow,1,COLUMN()))),ovrHeaderRow25,0))</f>
        <v>9</v>
      </c>
      <c r="CO132" s="12">
        <f>INDEX(ovrTable25,MATCH(INDEX(oppCol,ROW()),ovrTeamCol25,0),MATCH(MID(INDEX('Structured 2025'!headerRow,1,COLUMN()),4,LEN(INDEX('Structured 2025'!headerRow,1,COLUMN()))),ovrHeaderRow25,0))</f>
        <v>61.9</v>
      </c>
      <c r="CP132" s="12">
        <f>INDEX(ovrTable25,MATCH(INDEX(oppCol,ROW()),ovrTeamCol25,0),MATCH(MID(INDEX('Structured 2025'!headerRow,1,COLUMN()),4,LEN(INDEX('Structured 2025'!headerRow,1,COLUMN()))),ovrHeaderRow25,0))</f>
        <v>18.550000000000004</v>
      </c>
      <c r="CQ132" s="12">
        <f>INDEX(ovrTable25,MATCH(INDEX(oppCol,ROW()),ovrTeamCol25,0),MATCH(MID(INDEX('Structured 2025'!headerRow,1,COLUMN()),4,LEN(INDEX('Structured 2025'!headerRow,1,COLUMN()))),ovrHeaderRow25,0))</f>
        <v>59.576837416481084</v>
      </c>
    </row>
    <row r="133" spans="1:95" x14ac:dyDescent="0.3">
      <c r="A133" s="6" t="s">
        <v>51</v>
      </c>
      <c r="B133" s="3">
        <v>1</v>
      </c>
      <c r="C133" s="13" t="str">
        <f>A132</f>
        <v>DUKE</v>
      </c>
      <c r="D133" s="14">
        <f t="shared" si="111"/>
        <v>66</v>
      </c>
      <c r="E133" s="23">
        <v>0.41176470588235292</v>
      </c>
      <c r="F133" s="24">
        <v>37.704918032786885</v>
      </c>
      <c r="G133" s="24">
        <v>10</v>
      </c>
      <c r="H133" s="23">
        <v>45.454545454545453</v>
      </c>
      <c r="I133" s="24">
        <v>22</v>
      </c>
      <c r="J133" s="25">
        <v>1.1111111111111112</v>
      </c>
      <c r="K133" s="24">
        <v>14</v>
      </c>
      <c r="L133" s="24">
        <v>18</v>
      </c>
      <c r="M133" s="24">
        <v>18</v>
      </c>
      <c r="N133" s="24">
        <v>24</v>
      </c>
      <c r="O133" s="24">
        <v>10</v>
      </c>
      <c r="P133" s="24">
        <v>6</v>
      </c>
      <c r="Q133" s="24">
        <v>6</v>
      </c>
      <c r="R133" s="24">
        <v>9</v>
      </c>
      <c r="S133" s="24">
        <v>0</v>
      </c>
      <c r="T133" s="24">
        <v>16</v>
      </c>
      <c r="U133" s="24">
        <v>6</v>
      </c>
      <c r="V133" s="24">
        <v>0.39622641509433965</v>
      </c>
      <c r="W133" s="26">
        <v>0.45901639344262291</v>
      </c>
      <c r="X133" s="23">
        <v>77.777777777777786</v>
      </c>
      <c r="Y133" s="24">
        <v>67</v>
      </c>
      <c r="Z133" s="24">
        <v>70</v>
      </c>
      <c r="AA133" s="24">
        <v>11</v>
      </c>
      <c r="AB133" s="24">
        <v>42</v>
      </c>
      <c r="AC133" s="24">
        <v>3</v>
      </c>
      <c r="AD133" s="24">
        <v>-2</v>
      </c>
      <c r="AE133" s="24">
        <v>7</v>
      </c>
      <c r="AF133" s="34">
        <f t="shared" si="141"/>
        <v>13</v>
      </c>
      <c r="AG133" s="34">
        <f t="shared" si="142"/>
        <v>39.000000000000007</v>
      </c>
      <c r="AH133" s="46">
        <f t="shared" si="143"/>
        <v>60.55</v>
      </c>
      <c r="AI133" s="51">
        <f t="shared" ref="AI133" si="147">AVERAGE(AH132,AH133)</f>
        <v>60.737499999999997</v>
      </c>
      <c r="AJ133" s="12">
        <f>INDEX(ovrTable25,MATCH(INDEX('Structured 2025'!teamCol,ROW()),ovrTeamCol25,0),MATCH(MID(INDEX('Structured 2025'!headerRow,1,COLUMN()),4,LEN(INDEX('Structured 2025'!headerRow,1,COLUMN()))),ovrHeaderRow25,0))</f>
        <v>30.2</v>
      </c>
      <c r="AK133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133" s="12">
        <f>INDEX(ovrTable25,MATCH(INDEX('Structured 2025'!teamCol,ROW()),ovrTeamCol25,0),MATCH(MID(INDEX('Structured 2025'!headerRow,1,COLUMN()),4,LEN(INDEX('Structured 2025'!headerRow,1,COLUMN()))),ovrHeaderRow25,0))</f>
        <v>39.4</v>
      </c>
      <c r="AM133" s="12">
        <f>INDEX(ovrTable25,MATCH(INDEX('Structured 2025'!teamCol,ROW()),ovrTeamCol25,0),MATCH(MID(INDEX('Structured 2025'!headerRow,1,COLUMN()),4,LEN(INDEX('Structured 2025'!headerRow,1,COLUMN()))),ovrHeaderRow25,0))</f>
        <v>20.7</v>
      </c>
      <c r="AN133" s="12">
        <f>INDEX(ovrTable25,MATCH(INDEX('Structured 2025'!teamCol,ROW()),ovrTeamCol25,0),MATCH(MID(INDEX('Structured 2025'!headerRow,1,COLUMN()),4,LEN(INDEX('Structured 2025'!headerRow,1,COLUMN()))),ovrHeaderRow25,0))</f>
        <v>1.34</v>
      </c>
      <c r="AO133" s="12">
        <f>INDEX(ovrTable25,MATCH(INDEX('Structured 2025'!teamCol,ROW()),ovrTeamCol25,0),MATCH(MID(INDEX('Structured 2025'!headerRow,1,COLUMN()),4,LEN(INDEX('Structured 2025'!headerRow,1,COLUMN()))),ovrHeaderRow25,0))</f>
        <v>12.1</v>
      </c>
      <c r="AP133" s="12">
        <f>INDEX(ovrTable25,MATCH(INDEX('Structured 2025'!teamCol,ROW()),ovrTeamCol25,0),MATCH(MID(INDEX('Structured 2025'!headerRow,1,COLUMN()),4,LEN(INDEX('Structured 2025'!headerRow,1,COLUMN()))),ovrHeaderRow25,0))</f>
        <v>18.73</v>
      </c>
      <c r="AQ133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133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S133" s="12">
        <f>INDEX(ovrTable25,MATCH(INDEX('Structured 2025'!teamCol,ROW()),ovrTeamCol25,0),MATCH(MID(INDEX('Structured 2025'!headerRow,1,COLUMN()),4,LEN(INDEX('Structured 2025'!headerRow,1,COLUMN()))),ovrHeaderRow25,0))</f>
        <v>24.08</v>
      </c>
      <c r="AT133" s="12">
        <f>INDEX(ovrTable25,MATCH(INDEX('Structured 2025'!teamCol,ROW()),ovrTeamCol25,0),MATCH(MID(INDEX('Structured 2025'!headerRow,1,COLUMN()),4,LEN(INDEX('Structured 2025'!headerRow,1,COLUMN()))),ovrHeaderRow25,0))</f>
        <v>0.51700000000000002</v>
      </c>
      <c r="AU133" s="12">
        <f>INDEX(ovrTable25,MATCH(INDEX('Structured 2025'!teamCol,ROW()),ovrTeamCol25,0),MATCH(MID(INDEX('Structured 2025'!headerRow,1,COLUMN()),4,LEN(INDEX('Structured 2025'!headerRow,1,COLUMN()))),ovrHeaderRow25,0))</f>
        <v>7.6</v>
      </c>
      <c r="AV133" s="12">
        <f>INDEX(ovrTable25,MATCH(INDEX('Structured 2025'!teamCol,ROW()),ovrTeamCol25,0),MATCH(MID(INDEX('Structured 2025'!headerRow,1,COLUMN()),4,LEN(INDEX('Structured 2025'!headerRow,1,COLUMN()))),ovrHeaderRow25,0))</f>
        <v>44.9</v>
      </c>
      <c r="AW133" s="12">
        <f>INDEX(ovrTable25,MATCH(INDEX('Structured 2025'!teamCol,ROW()),ovrTeamCol25,0),MATCH(MID(INDEX('Structured 2025'!headerRow,1,COLUMN()),4,LEN(INDEX('Structured 2025'!headerRow,1,COLUMN()))),ovrHeaderRow25,0))</f>
        <v>16.3</v>
      </c>
      <c r="AX133" s="12">
        <f>INDEX(ovrTable25,MATCH(INDEX('Structured 2025'!teamCol,ROW()),ovrTeamCol25,0),MATCH(MID(INDEX('Structured 2025'!headerRow,1,COLUMN()),4,LEN(INDEX('Structured 2025'!headerRow,1,COLUMN()))),ovrHeaderRow25,0))</f>
        <v>74</v>
      </c>
      <c r="AY133" s="12">
        <f>INDEX(ovrTable25,MATCH(INDEX('Structured 2025'!teamCol,ROW()),ovrTeamCol25,0),MATCH(MID(INDEX('Structured 2025'!headerRow,1,COLUMN()),4,LEN(INDEX('Structured 2025'!headerRow,1,COLUMN()))),ovrHeaderRow25,0))</f>
        <v>16.2</v>
      </c>
      <c r="AZ133" s="12">
        <f>INDEX(ovrTable25,MATCH(INDEX('Structured 2025'!teamCol,ROW()),ovrTeamCol25,0),MATCH(MID(INDEX('Structured 2025'!headerRow,1,COLUMN()),4,LEN(INDEX('Structured 2025'!headerRow,1,COLUMN()))),ovrHeaderRow25,0))</f>
        <v>12</v>
      </c>
      <c r="BA133" s="12">
        <f>INDEX(ovrTable25,MATCH(INDEX('Structured 2025'!teamCol,ROW()),ovrTeamCol25,0),MATCH(MID(INDEX('Structured 2025'!headerRow,1,COLUMN()),4,LEN(INDEX('Structured 2025'!headerRow,1,COLUMN()))),ovrHeaderRow25,0))</f>
        <v>58.7</v>
      </c>
      <c r="BB133" s="12">
        <f>INDEX(ovrTable25,MATCH(INDEX('Structured 2025'!teamCol,ROW()),ovrTeamCol25,0),MATCH(MID(INDEX('Structured 2025'!headerRow,1,COLUMN()),4,LEN(INDEX('Structured 2025'!headerRow,1,COLUMN()))),ovrHeaderRow25,0))</f>
        <v>12.8</v>
      </c>
      <c r="BC133" s="12">
        <f>INDEX(ovrTable25,MATCH(INDEX('Structured 2025'!teamCol,ROW()),ovrTeamCol25,0),MATCH(MID(INDEX('Structured 2025'!headerRow,1,COLUMN()),4,LEN(INDEX('Structured 2025'!headerRow,1,COLUMN()))),ovrHeaderRow25,0))</f>
        <v>73.7</v>
      </c>
      <c r="BD133" s="12">
        <f>INDEX(ovrTable25,MATCH(INDEX('Structured 2025'!teamCol,ROW()),ovrTeamCol25,0),MATCH(MID(INDEX('Structured 2025'!headerRow,1,COLUMN()),4,LEN(INDEX('Structured 2025'!headerRow,1,COLUMN()))),ovrHeaderRow25,0))</f>
        <v>5.3</v>
      </c>
      <c r="BE133" s="12">
        <f>INDEX(ovrTable25,MATCH(INDEX('Structured 2025'!teamCol,ROW()),ovrTeamCol25,0),MATCH(MID(INDEX('Structured 2025'!headerRow,1,COLUMN()),4,LEN(INDEX('Structured 2025'!headerRow,1,COLUMN()))),ovrHeaderRow25,0))</f>
        <v>36.880000000000003</v>
      </c>
      <c r="BF133" s="12">
        <f>INDEX(ovrTable25,MATCH(INDEX('Structured 2025'!teamCol,ROW()),ovrTeamCol25,0),MATCH(MID(INDEX('Structured 2025'!headerRow,1,COLUMN()),4,LEN(INDEX('Structured 2025'!headerRow,1,COLUMN()))),ovrHeaderRow25,0))</f>
        <v>15</v>
      </c>
      <c r="BG133" s="12">
        <f>INDEX(ovrTable25,MATCH(INDEX('Structured 2025'!teamCol,ROW()),ovrTeamCol25,0),MATCH(MID(INDEX('Structured 2025'!headerRow,1,COLUMN()),4,LEN(INDEX('Structured 2025'!headerRow,1,COLUMN()))),ovrHeaderRow25,0))</f>
        <v>7.8</v>
      </c>
      <c r="BH133" s="12">
        <f>INDEX(ovrTable25,MATCH(INDEX('Structured 2025'!teamCol,ROW()),ovrTeamCol25,0),MATCH(MID(INDEX('Structured 2025'!headerRow,1,COLUMN()),4,LEN(INDEX('Structured 2025'!headerRow,1,COLUMN()))),ovrHeaderRow25,0))</f>
        <v>4.2</v>
      </c>
      <c r="BI133" s="12">
        <f>INDEX(ovrTable25,MATCH(INDEX('Structured 2025'!teamCol,ROW()),ovrTeamCol25,0),MATCH(MID(INDEX('Structured 2025'!headerRow,1,COLUMN()),4,LEN(INDEX('Structured 2025'!headerRow,1,COLUMN()))),ovrHeaderRow25,0))</f>
        <v>13.23</v>
      </c>
      <c r="BJ133" s="12">
        <f>INDEX(ovrTable25,MATCH(INDEX('Structured 2025'!teamCol,ROW()),ovrTeamCol25,0),MATCH(MID(INDEX('Structured 2025'!headerRow,1,COLUMN()),4,LEN(INDEX('Structured 2025'!headerRow,1,COLUMN()))),ovrHeaderRow25,0))</f>
        <v>9</v>
      </c>
      <c r="BK133" s="12">
        <f>INDEX(ovrTable25,MATCH(INDEX('Structured 2025'!teamCol,ROW()),ovrTeamCol25,0),MATCH(MID(INDEX('Structured 2025'!headerRow,1,COLUMN()),4,LEN(INDEX('Structured 2025'!headerRow,1,COLUMN()))),ovrHeaderRow25,0))</f>
        <v>61.9</v>
      </c>
      <c r="BL133" s="12">
        <f>INDEX(ovrTable25,MATCH(INDEX('Structured 2025'!teamCol,ROW()),ovrTeamCol25,0),MATCH(MID(INDEX('Structured 2025'!headerRow,1,COLUMN()),4,LEN(INDEX('Structured 2025'!headerRow,1,COLUMN()))),ovrHeaderRow25,0))</f>
        <v>18.550000000000004</v>
      </c>
      <c r="BM133" s="12">
        <f>INDEX(ovrTable25,MATCH(INDEX('Structured 2025'!teamCol,ROW()),ovrTeamCol25,0),MATCH(MID(INDEX('Structured 2025'!headerRow,1,COLUMN()),4,LEN(INDEX('Structured 2025'!headerRow,1,COLUMN()))),ovrHeaderRow25,0))</f>
        <v>59.576837416481084</v>
      </c>
      <c r="BN133" s="12">
        <f>INDEX(ovrTable25,MATCH(INDEX(oppCol,ROW()),ovrTeamCol25,0),MATCH(MID(INDEX('Structured 2025'!headerRow,1,COLUMN()),4,LEN(INDEX('Structured 2025'!headerRow,1,COLUMN()))),ovrHeaderRow25,0))</f>
        <v>31.2</v>
      </c>
      <c r="BO133" s="12">
        <f>INDEX(ovrTable25,MATCH(INDEX(oppCol,ROW()),ovrTeamCol25,0),MATCH(MID(INDEX('Structured 2025'!headerRow,1,COLUMN()),4,LEN(INDEX('Structured 2025'!headerRow,1,COLUMN()))),ovrHeaderRow25,0))</f>
        <v>8.3000000000000007</v>
      </c>
      <c r="BP133" s="12">
        <f>INDEX(ovrTable25,MATCH(INDEX(oppCol,ROW()),ovrTeamCol25,0),MATCH(MID(INDEX('Structured 2025'!headerRow,1,COLUMN()),4,LEN(INDEX('Structured 2025'!headerRow,1,COLUMN()))),ovrHeaderRow25,0))</f>
        <v>38.200000000000003</v>
      </c>
      <c r="BQ133" s="12">
        <f>INDEX(ovrTable25,MATCH(INDEX(oppCol,ROW()),ovrTeamCol25,0),MATCH(MID(INDEX('Structured 2025'!headerRow,1,COLUMN()),4,LEN(INDEX('Structured 2025'!headerRow,1,COLUMN()))),ovrHeaderRow25,0))</f>
        <v>21.6</v>
      </c>
      <c r="BR133" s="12">
        <f>INDEX(ovrTable25,MATCH(INDEX(oppCol,ROW()),ovrTeamCol25,0),MATCH(MID(INDEX('Structured 2025'!headerRow,1,COLUMN()),4,LEN(INDEX('Structured 2025'!headerRow,1,COLUMN()))),ovrHeaderRow25,0))</f>
        <v>1.53</v>
      </c>
      <c r="BS133" s="12">
        <f>INDEX(ovrTable25,MATCH(INDEX(oppCol,ROW()),ovrTeamCol25,0),MATCH(MID(INDEX('Structured 2025'!headerRow,1,COLUMN()),4,LEN(INDEX('Structured 2025'!headerRow,1,COLUMN()))),ovrHeaderRow25,0))</f>
        <v>15.9</v>
      </c>
      <c r="BT133" s="12">
        <f>INDEX(ovrTable25,MATCH(INDEX(oppCol,ROW()),ovrTeamCol25,0),MATCH(MID(INDEX('Structured 2025'!headerRow,1,COLUMN()),4,LEN(INDEX('Structured 2025'!headerRow,1,COLUMN()))),ovrHeaderRow25,0))</f>
        <v>17.03</v>
      </c>
      <c r="BU133" s="12">
        <f>INDEX(ovrTable25,MATCH(INDEX(oppCol,ROW()),ovrTeamCol25,0),MATCH(MID(INDEX('Structured 2025'!headerRow,1,COLUMN()),4,LEN(INDEX('Structured 2025'!headerRow,1,COLUMN()))),ovrHeaderRow25,0))</f>
        <v>1.6</v>
      </c>
      <c r="BV133" s="12">
        <f>INDEX(ovrTable25,MATCH(INDEX(oppCol,ROW()),ovrTeamCol25,0),MATCH(MID(INDEX('Structured 2025'!headerRow,1,COLUMN()),4,LEN(INDEX('Structured 2025'!headerRow,1,COLUMN()))),ovrHeaderRow25,0))</f>
        <v>45.2</v>
      </c>
      <c r="BW133" s="12">
        <f>INDEX(ovrTable25,MATCH(INDEX(oppCol,ROW()),ovrTeamCol25,0),MATCH(MID(INDEX('Structured 2025'!headerRow,1,COLUMN()),4,LEN(INDEX('Structured 2025'!headerRow,1,COLUMN()))),ovrHeaderRow25,0))</f>
        <v>23.08</v>
      </c>
      <c r="BX133" s="12">
        <f>INDEX(ovrTable25,MATCH(INDEX(oppCol,ROW()),ovrTeamCol25,0),MATCH(MID(INDEX('Structured 2025'!headerRow,1,COLUMN()),4,LEN(INDEX('Structured 2025'!headerRow,1,COLUMN()))),ovrHeaderRow25,0))</f>
        <v>0.55900000000000005</v>
      </c>
      <c r="BY133" s="12">
        <f>INDEX(ovrTable25,MATCH(INDEX(oppCol,ROW()),ovrTeamCol25,0),MATCH(MID(INDEX('Structured 2025'!headerRow,1,COLUMN()),4,LEN(INDEX('Structured 2025'!headerRow,1,COLUMN()))),ovrHeaderRow25,0))</f>
        <v>7.83</v>
      </c>
      <c r="BZ133" s="12">
        <f>INDEX(ovrTable25,MATCH(INDEX(oppCol,ROW()),ovrTeamCol25,0),MATCH(MID(INDEX('Structured 2025'!headerRow,1,COLUMN()),4,LEN(INDEX('Structured 2025'!headerRow,1,COLUMN()))),ovrHeaderRow25,0))</f>
        <v>48.6</v>
      </c>
      <c r="CA133" s="12">
        <f>INDEX(ovrTable25,MATCH(INDEX(oppCol,ROW()),ovrTeamCol25,0),MATCH(MID(INDEX('Structured 2025'!headerRow,1,COLUMN()),4,LEN(INDEX('Structured 2025'!headerRow,1,COLUMN()))),ovrHeaderRow25,0))</f>
        <v>15.8</v>
      </c>
      <c r="CB133" s="12">
        <f>INDEX(ovrTable25,MATCH(INDEX(oppCol,ROW()),ovrTeamCol25,0),MATCH(MID(INDEX('Structured 2025'!headerRow,1,COLUMN()),4,LEN(INDEX('Structured 2025'!headerRow,1,COLUMN()))),ovrHeaderRow25,0))</f>
        <v>73.2</v>
      </c>
      <c r="CC133" s="12">
        <f>INDEX(ovrTable25,MATCH(INDEX(oppCol,ROW()),ovrTeamCol25,0),MATCH(MID(INDEX('Structured 2025'!headerRow,1,COLUMN()),4,LEN(INDEX('Structured 2025'!headerRow,1,COLUMN()))),ovrHeaderRow25,0))</f>
        <v>19.5</v>
      </c>
      <c r="CD133" s="12">
        <f>INDEX(ovrTable25,MATCH(INDEX(oppCol,ROW()),ovrTeamCol25,0),MATCH(MID(INDEX('Structured 2025'!headerRow,1,COLUMN()),4,LEN(INDEX('Structured 2025'!headerRow,1,COLUMN()))),ovrHeaderRow25,0))</f>
        <v>14.3</v>
      </c>
      <c r="CE133" s="12">
        <f>INDEX(ovrTable25,MATCH(INDEX(oppCol,ROW()),ovrTeamCol25,0),MATCH(MID(INDEX('Structured 2025'!headerRow,1,COLUMN()),4,LEN(INDEX('Structured 2025'!headerRow,1,COLUMN()))),ovrHeaderRow25,0))</f>
        <v>70.400000000000006</v>
      </c>
      <c r="CF133" s="12">
        <f>INDEX(ovrTable25,MATCH(INDEX(oppCol,ROW()),ovrTeamCol25,0),MATCH(MID(INDEX('Structured 2025'!headerRow,1,COLUMN()),4,LEN(INDEX('Structured 2025'!headerRow,1,COLUMN()))),ovrHeaderRow25,0))</f>
        <v>9.7799999999999994</v>
      </c>
      <c r="CG133" s="12">
        <f>INDEX(ovrTable25,MATCH(INDEX(oppCol,ROW()),ovrTeamCol25,0),MATCH(MID(INDEX('Structured 2025'!headerRow,1,COLUMN()),4,LEN(INDEX('Structured 2025'!headerRow,1,COLUMN()))),ovrHeaderRow25,0))</f>
        <v>77.3</v>
      </c>
      <c r="CH133" s="12">
        <f>INDEX(ovrTable25,MATCH(INDEX(oppCol,ROW()),ovrTeamCol25,0),MATCH(MID(INDEX('Structured 2025'!headerRow,1,COLUMN()),4,LEN(INDEX('Structured 2025'!headerRow,1,COLUMN()))),ovrHeaderRow25,0))</f>
        <v>2.1</v>
      </c>
      <c r="CI133" s="12">
        <f>INDEX(ovrTable25,MATCH(INDEX(oppCol,ROW()),ovrTeamCol25,0),MATCH(MID(INDEX('Structured 2025'!headerRow,1,COLUMN()),4,LEN(INDEX('Structured 2025'!headerRow,1,COLUMN()))),ovrHeaderRow25,0))</f>
        <v>32.86</v>
      </c>
      <c r="CJ133" s="12">
        <f>INDEX(ovrTable25,MATCH(INDEX(oppCol,ROW()),ovrTeamCol25,0),MATCH(MID(INDEX('Structured 2025'!headerRow,1,COLUMN()),4,LEN(INDEX('Structured 2025'!headerRow,1,COLUMN()))),ovrHeaderRow25,0))</f>
        <v>6.9</v>
      </c>
      <c r="CK133" s="12">
        <f>INDEX(ovrTable25,MATCH(INDEX(oppCol,ROW()),ovrTeamCol25,0),MATCH(MID(INDEX('Structured 2025'!headerRow,1,COLUMN()),4,LEN(INDEX('Structured 2025'!headerRow,1,COLUMN()))),ovrHeaderRow25,0))</f>
        <v>6.4</v>
      </c>
      <c r="CL133" s="12">
        <f>INDEX(ovrTable25,MATCH(INDEX(oppCol,ROW()),ovrTeamCol25,0),MATCH(MID(INDEX('Structured 2025'!headerRow,1,COLUMN()),4,LEN(INDEX('Structured 2025'!headerRow,1,COLUMN()))),ovrHeaderRow25,0))</f>
        <v>1.2</v>
      </c>
      <c r="CM133" s="12">
        <f>INDEX(ovrTable25,MATCH(INDEX(oppCol,ROW()),ovrTeamCol25,0),MATCH(MID(INDEX('Structured 2025'!headerRow,1,COLUMN()),4,LEN(INDEX('Structured 2025'!headerRow,1,COLUMN()))),ovrHeaderRow25,0))</f>
        <v>11.61</v>
      </c>
      <c r="CN133" s="12">
        <f>INDEX(ovrTable25,MATCH(INDEX(oppCol,ROW()),ovrTeamCol25,0),MATCH(MID(INDEX('Structured 2025'!headerRow,1,COLUMN()),4,LEN(INDEX('Structured 2025'!headerRow,1,COLUMN()))),ovrHeaderRow25,0))</f>
        <v>10.4</v>
      </c>
      <c r="CO133" s="12">
        <f>INDEX(ovrTable25,MATCH(INDEX(oppCol,ROW()),ovrTeamCol25,0),MATCH(MID(INDEX('Structured 2025'!headerRow,1,COLUMN()),4,LEN(INDEX('Structured 2025'!headerRow,1,COLUMN()))),ovrHeaderRow25,0))</f>
        <v>66</v>
      </c>
      <c r="CP133" s="12">
        <f>INDEX(ovrTable25,MATCH(INDEX(oppCol,ROW()),ovrTeamCol25,0),MATCH(MID(INDEX('Structured 2025'!headerRow,1,COLUMN()),4,LEN(INDEX('Structured 2025'!headerRow,1,COLUMN()))),ovrHeaderRow25,0))</f>
        <v>19.049999999999997</v>
      </c>
      <c r="CQ133" s="12">
        <f>INDEX(ovrTable25,MATCH(INDEX(oppCol,ROW()),ovrTeamCol25,0),MATCH(MID(INDEX('Structured 2025'!headerRow,1,COLUMN()),4,LEN(INDEX('Structured 2025'!headerRow,1,COLUMN()))),ovrHeaderRow25,0))</f>
        <v>56.275720164609055</v>
      </c>
    </row>
    <row r="134" spans="1:95" x14ac:dyDescent="0.3">
      <c r="A134" s="6" t="s">
        <v>45</v>
      </c>
      <c r="B134" s="3">
        <v>1</v>
      </c>
      <c r="C134" s="13" t="str">
        <f>A135</f>
        <v>HOU</v>
      </c>
      <c r="D134" s="14">
        <f t="shared" si="111"/>
        <v>67</v>
      </c>
      <c r="E134" s="23">
        <v>0.24</v>
      </c>
      <c r="F134" s="24">
        <v>39.622641509433961</v>
      </c>
      <c r="G134" s="24">
        <v>6</v>
      </c>
      <c r="H134" s="23">
        <v>25</v>
      </c>
      <c r="I134" s="24">
        <v>24</v>
      </c>
      <c r="J134" s="25">
        <v>1.0769230769230769</v>
      </c>
      <c r="K134" s="24">
        <v>17</v>
      </c>
      <c r="L134" s="24">
        <v>21</v>
      </c>
      <c r="M134" s="24">
        <v>8</v>
      </c>
      <c r="N134" s="24">
        <v>32</v>
      </c>
      <c r="O134" s="24">
        <v>14</v>
      </c>
      <c r="P134" s="24">
        <v>7</v>
      </c>
      <c r="Q134" s="24">
        <v>5</v>
      </c>
      <c r="R134" s="24">
        <v>13</v>
      </c>
      <c r="S134" s="24">
        <v>2</v>
      </c>
      <c r="T134" s="24">
        <v>11</v>
      </c>
      <c r="U134" s="24">
        <v>14</v>
      </c>
      <c r="V134" s="24">
        <v>0.34782608695652173</v>
      </c>
      <c r="W134" s="26">
        <v>0.45283018867924529</v>
      </c>
      <c r="X134" s="23">
        <v>80.952380952380949</v>
      </c>
      <c r="Y134" s="24">
        <v>63</v>
      </c>
      <c r="Z134" s="24">
        <v>65</v>
      </c>
      <c r="AA134" s="24">
        <v>1</v>
      </c>
      <c r="AB134" s="24">
        <v>40</v>
      </c>
      <c r="AC134" s="24">
        <v>2</v>
      </c>
      <c r="AD134" s="24">
        <v>-4</v>
      </c>
      <c r="AE134" s="24">
        <v>9</v>
      </c>
      <c r="AF134" s="34">
        <f t="shared" si="141"/>
        <v>15</v>
      </c>
      <c r="AG134" s="34">
        <f t="shared" si="142"/>
        <v>29.000000000000007</v>
      </c>
      <c r="AH134" s="46">
        <f t="shared" si="143"/>
        <v>67.974999999999994</v>
      </c>
      <c r="AI134" s="51">
        <f t="shared" ref="AI134" si="148">AVERAGE(AH134,AH135)</f>
        <v>68.8125</v>
      </c>
      <c r="AJ134" s="12">
        <f>INDEX(ovrTable25,MATCH(INDEX('Structured 2025'!teamCol,ROW()),ovrTeamCol25,0),MATCH(MID(INDEX('Structured 2025'!headerRow,1,COLUMN()),4,LEN(INDEX('Structured 2025'!headerRow,1,COLUMN()))),ovrHeaderRow25,0))</f>
        <v>29.4</v>
      </c>
      <c r="AK134" s="12">
        <f>INDEX(ovrTable25,MATCH(INDEX('Structured 2025'!teamCol,ROW()),ovrTeamCol25,0),MATCH(MID(INDEX('Structured 2025'!headerRow,1,COLUMN()),4,LEN(INDEX('Structured 2025'!headerRow,1,COLUMN()))),ovrHeaderRow25,0))</f>
        <v>9.8000000000000007</v>
      </c>
      <c r="AL134" s="12">
        <f>INDEX(ovrTable25,MATCH(INDEX('Structured 2025'!teamCol,ROW()),ovrTeamCol25,0),MATCH(MID(INDEX('Structured 2025'!headerRow,1,COLUMN()),4,LEN(INDEX('Structured 2025'!headerRow,1,COLUMN()))),ovrHeaderRow25,0))</f>
        <v>35.6</v>
      </c>
      <c r="AM134" s="12">
        <f>INDEX(ovrTable25,MATCH(INDEX('Structured 2025'!teamCol,ROW()),ovrTeamCol25,0),MATCH(MID(INDEX('Structured 2025'!headerRow,1,COLUMN()),4,LEN(INDEX('Structured 2025'!headerRow,1,COLUMN()))),ovrHeaderRow25,0))</f>
        <v>27.4</v>
      </c>
      <c r="AN134" s="12">
        <f>INDEX(ovrTable25,MATCH(INDEX('Structured 2025'!teamCol,ROW()),ovrTeamCol25,0),MATCH(MID(INDEX('Structured 2025'!headerRow,1,COLUMN()),4,LEN(INDEX('Structured 2025'!headerRow,1,COLUMN()))),ovrHeaderRow25,0))</f>
        <v>1.39</v>
      </c>
      <c r="AO134" s="12">
        <f>INDEX(ovrTable25,MATCH(INDEX('Structured 2025'!teamCol,ROW()),ovrTeamCol25,0),MATCH(MID(INDEX('Structured 2025'!headerRow,1,COLUMN()),4,LEN(INDEX('Structured 2025'!headerRow,1,COLUMN()))),ovrHeaderRow25,0))</f>
        <v>15.5</v>
      </c>
      <c r="AP134" s="12">
        <f>INDEX(ovrTable25,MATCH(INDEX('Structured 2025'!teamCol,ROW()),ovrTeamCol25,0),MATCH(MID(INDEX('Structured 2025'!headerRow,1,COLUMN()),4,LEN(INDEX('Structured 2025'!headerRow,1,COLUMN()))),ovrHeaderRow25,0))</f>
        <v>21.98</v>
      </c>
      <c r="AQ134" s="12">
        <f>INDEX(ovrTable25,MATCH(INDEX('Structured 2025'!teamCol,ROW()),ovrTeamCol25,0),MATCH(MID(INDEX('Structured 2025'!headerRow,1,COLUMN()),4,LEN(INDEX('Structured 2025'!headerRow,1,COLUMN()))),ovrHeaderRow25,0))</f>
        <v>4.5</v>
      </c>
      <c r="AR134" s="12">
        <f>INDEX(ovrTable25,MATCH(INDEX('Structured 2025'!teamCol,ROW()),ovrTeamCol25,0),MATCH(MID(INDEX('Structured 2025'!headerRow,1,COLUMN()),4,LEN(INDEX('Structured 2025'!headerRow,1,COLUMN()))),ovrHeaderRow25,0))</f>
        <v>40</v>
      </c>
      <c r="AS134" s="12">
        <f>INDEX(ovrTable25,MATCH(INDEX('Structured 2025'!teamCol,ROW()),ovrTeamCol25,0),MATCH(MID(INDEX('Structured 2025'!headerRow,1,COLUMN()),4,LEN(INDEX('Structured 2025'!headerRow,1,COLUMN()))),ovrHeaderRow25,0))</f>
        <v>28.1</v>
      </c>
      <c r="AT134" s="12">
        <f>INDEX(ovrTable25,MATCH(INDEX('Structured 2025'!teamCol,ROW()),ovrTeamCol25,0),MATCH(MID(INDEX('Structured 2025'!headerRow,1,COLUMN()),4,LEN(INDEX('Structured 2025'!headerRow,1,COLUMN()))),ovrHeaderRow25,0))</f>
        <v>0.54900000000000004</v>
      </c>
      <c r="AU134" s="12">
        <f>INDEX(ovrTable25,MATCH(INDEX('Structured 2025'!teamCol,ROW()),ovrTeamCol25,0),MATCH(MID(INDEX('Structured 2025'!headerRow,1,COLUMN()),4,LEN(INDEX('Structured 2025'!headerRow,1,COLUMN()))),ovrHeaderRow25,0))</f>
        <v>15.58</v>
      </c>
      <c r="AV134" s="12">
        <f>INDEX(ovrTable25,MATCH(INDEX('Structured 2025'!teamCol,ROW()),ovrTeamCol25,0),MATCH(MID(INDEX('Structured 2025'!headerRow,1,COLUMN()),4,LEN(INDEX('Structured 2025'!headerRow,1,COLUMN()))),ovrHeaderRow25,0))</f>
        <v>47.1</v>
      </c>
      <c r="AW134" s="12">
        <f>INDEX(ovrTable25,MATCH(INDEX('Structured 2025'!teamCol,ROW()),ovrTeamCol25,0),MATCH(MID(INDEX('Structured 2025'!headerRow,1,COLUMN()),4,LEN(INDEX('Structured 2025'!headerRow,1,COLUMN()))),ovrHeaderRow25,0))</f>
        <v>17.100000000000001</v>
      </c>
      <c r="AX134" s="12">
        <f>INDEX(ovrTable25,MATCH(INDEX('Structured 2025'!teamCol,ROW()),ovrTeamCol25,0),MATCH(MID(INDEX('Structured 2025'!headerRow,1,COLUMN()),4,LEN(INDEX('Structured 2025'!headerRow,1,COLUMN()))),ovrHeaderRow25,0))</f>
        <v>72.8</v>
      </c>
      <c r="AY134" s="12">
        <f>INDEX(ovrTable25,MATCH(INDEX('Structured 2025'!teamCol,ROW()),ovrTeamCol25,0),MATCH(MID(INDEX('Structured 2025'!headerRow,1,COLUMN()),4,LEN(INDEX('Structured 2025'!headerRow,1,COLUMN()))),ovrHeaderRow25,0))</f>
        <v>21.9</v>
      </c>
      <c r="AZ134" s="12">
        <f>INDEX(ovrTable25,MATCH(INDEX('Structured 2025'!teamCol,ROW()),ovrTeamCol25,0),MATCH(MID(INDEX('Structured 2025'!headerRow,1,COLUMN()),4,LEN(INDEX('Structured 2025'!headerRow,1,COLUMN()))),ovrHeaderRow25,0))</f>
        <v>15.9</v>
      </c>
      <c r="BA134" s="12">
        <f>INDEX(ovrTable25,MATCH(INDEX('Structured 2025'!teamCol,ROW()),ovrTeamCol25,0),MATCH(MID(INDEX('Structured 2025'!headerRow,1,COLUMN()),4,LEN(INDEX('Structured 2025'!headerRow,1,COLUMN()))),ovrHeaderRow25,0))</f>
        <v>69.599999999999994</v>
      </c>
      <c r="BB134" s="12">
        <f>INDEX(ovrTable25,MATCH(INDEX('Structured 2025'!teamCol,ROW()),ovrTeamCol25,0),MATCH(MID(INDEX('Structured 2025'!headerRow,1,COLUMN()),4,LEN(INDEX('Structured 2025'!headerRow,1,COLUMN()))),ovrHeaderRow25,0))</f>
        <v>13.73</v>
      </c>
      <c r="BC134" s="12">
        <f>INDEX(ovrTable25,MATCH(INDEX('Structured 2025'!teamCol,ROW()),ovrTeamCol25,0),MATCH(MID(INDEX('Structured 2025'!headerRow,1,COLUMN()),4,LEN(INDEX('Structured 2025'!headerRow,1,COLUMN()))),ovrHeaderRow25,0))</f>
        <v>84.8</v>
      </c>
      <c r="BD134" s="12">
        <f>INDEX(ovrTable25,MATCH(INDEX('Structured 2025'!teamCol,ROW()),ovrTeamCol25,0),MATCH(MID(INDEX('Structured 2025'!headerRow,1,COLUMN()),4,LEN(INDEX('Structured 2025'!headerRow,1,COLUMN()))),ovrHeaderRow25,0))</f>
        <v>8.4</v>
      </c>
      <c r="BE134" s="12">
        <f>INDEX(ovrTable25,MATCH(INDEX('Structured 2025'!teamCol,ROW()),ovrTeamCol25,0),MATCH(MID(INDEX('Structured 2025'!headerRow,1,COLUMN()),4,LEN(INDEX('Structured 2025'!headerRow,1,COLUMN()))),ovrHeaderRow25,0))</f>
        <v>41.83</v>
      </c>
      <c r="BF134" s="12">
        <f>INDEX(ovrTable25,MATCH(INDEX('Structured 2025'!teamCol,ROW()),ovrTeamCol25,0),MATCH(MID(INDEX('Structured 2025'!headerRow,1,COLUMN()),4,LEN(INDEX('Structured 2025'!headerRow,1,COLUMN()))),ovrHeaderRow25,0))</f>
        <v>15.2</v>
      </c>
      <c r="BG134" s="12">
        <f>INDEX(ovrTable25,MATCH(INDEX('Structured 2025'!teamCol,ROW()),ovrTeamCol25,0),MATCH(MID(INDEX('Structured 2025'!headerRow,1,COLUMN()),4,LEN(INDEX('Structured 2025'!headerRow,1,COLUMN()))),ovrHeaderRow25,0))</f>
        <v>7.4</v>
      </c>
      <c r="BH134" s="12">
        <f>INDEX(ovrTable25,MATCH(INDEX('Structured 2025'!teamCol,ROW()),ovrTeamCol25,0),MATCH(MID(INDEX('Structured 2025'!headerRow,1,COLUMN()),4,LEN(INDEX('Structured 2025'!headerRow,1,COLUMN()))),ovrHeaderRow25,0))</f>
        <v>0.6</v>
      </c>
      <c r="BI134" s="12">
        <f>INDEX(ovrTable25,MATCH(INDEX('Structured 2025'!teamCol,ROW()),ovrTeamCol25,0),MATCH(MID(INDEX('Structured 2025'!headerRow,1,COLUMN()),4,LEN(INDEX('Structured 2025'!headerRow,1,COLUMN()))),ovrHeaderRow25,0))</f>
        <v>11.73</v>
      </c>
      <c r="BJ134" s="12">
        <f>INDEX(ovrTable25,MATCH(INDEX('Structured 2025'!teamCol,ROW()),ovrTeamCol25,0),MATCH(MID(INDEX('Structured 2025'!headerRow,1,COLUMN()),4,LEN(INDEX('Structured 2025'!headerRow,1,COLUMN()))),ovrHeaderRow25,0))</f>
        <v>11.1</v>
      </c>
      <c r="BK134" s="12">
        <f>INDEX(ovrTable25,MATCH(INDEX('Structured 2025'!teamCol,ROW()),ovrTeamCol25,0),MATCH(MID(INDEX('Structured 2025'!headerRow,1,COLUMN()),4,LEN(INDEX('Structured 2025'!headerRow,1,COLUMN()))),ovrHeaderRow25,0))</f>
        <v>70.099999999999994</v>
      </c>
      <c r="BL134" s="12">
        <f>INDEX(ovrTable25,MATCH(INDEX('Structured 2025'!teamCol,ROW()),ovrTeamCol25,0),MATCH(MID(INDEX('Structured 2025'!headerRow,1,COLUMN()),4,LEN(INDEX('Structured 2025'!headerRow,1,COLUMN()))),ovrHeaderRow25,0))</f>
        <v>19.749999999999993</v>
      </c>
      <c r="BM134" s="12">
        <f>INDEX(ovrTable25,MATCH(INDEX('Structured 2025'!teamCol,ROW()),ovrTeamCol25,0),MATCH(MID(INDEX('Structured 2025'!headerRow,1,COLUMN()),4,LEN(INDEX('Structured 2025'!headerRow,1,COLUMN()))),ovrHeaderRow25,0))</f>
        <v>62.7388535031847</v>
      </c>
      <c r="BN134" s="12">
        <f>INDEX(ovrTable25,MATCH(INDEX(oppCol,ROW()),ovrTeamCol25,0),MATCH(MID(INDEX('Structured 2025'!headerRow,1,COLUMN()),4,LEN(INDEX('Structured 2025'!headerRow,1,COLUMN()))),ovrHeaderRow25,0))</f>
        <v>30.2</v>
      </c>
      <c r="BO134" s="12">
        <f>INDEX(ovrTable25,MATCH(INDEX(oppCol,ROW()),ovrTeamCol25,0),MATCH(MID(INDEX('Structured 2025'!headerRow,1,COLUMN()),4,LEN(INDEX('Structured 2025'!headerRow,1,COLUMN()))),ovrHeaderRow25,0))</f>
        <v>8.1999999999999993</v>
      </c>
      <c r="BP134" s="12">
        <f>INDEX(ovrTable25,MATCH(INDEX(oppCol,ROW()),ovrTeamCol25,0),MATCH(MID(INDEX('Structured 2025'!headerRow,1,COLUMN()),4,LEN(INDEX('Structured 2025'!headerRow,1,COLUMN()))),ovrHeaderRow25,0))</f>
        <v>39.4</v>
      </c>
      <c r="BQ134" s="12">
        <f>INDEX(ovrTable25,MATCH(INDEX(oppCol,ROW()),ovrTeamCol25,0),MATCH(MID(INDEX('Structured 2025'!headerRow,1,COLUMN()),4,LEN(INDEX('Structured 2025'!headerRow,1,COLUMN()))),ovrHeaderRow25,0))</f>
        <v>20.7</v>
      </c>
      <c r="BR134" s="12">
        <f>INDEX(ovrTable25,MATCH(INDEX(oppCol,ROW()),ovrTeamCol25,0),MATCH(MID(INDEX('Structured 2025'!headerRow,1,COLUMN()),4,LEN(INDEX('Structured 2025'!headerRow,1,COLUMN()))),ovrHeaderRow25,0))</f>
        <v>1.34</v>
      </c>
      <c r="BS134" s="12">
        <f>INDEX(ovrTable25,MATCH(INDEX(oppCol,ROW()),ovrTeamCol25,0),MATCH(MID(INDEX('Structured 2025'!headerRow,1,COLUMN()),4,LEN(INDEX('Structured 2025'!headerRow,1,COLUMN()))),ovrHeaderRow25,0))</f>
        <v>12.1</v>
      </c>
      <c r="BT134" s="12">
        <f>INDEX(ovrTable25,MATCH(INDEX(oppCol,ROW()),ovrTeamCol25,0),MATCH(MID(INDEX('Structured 2025'!headerRow,1,COLUMN()),4,LEN(INDEX('Structured 2025'!headerRow,1,COLUMN()))),ovrHeaderRow25,0))</f>
        <v>18.73</v>
      </c>
      <c r="BU134" s="12">
        <f>INDEX(ovrTable25,MATCH(INDEX(oppCol,ROW()),ovrTeamCol25,0),MATCH(MID(INDEX('Structured 2025'!headerRow,1,COLUMN()),4,LEN(INDEX('Structured 2025'!headerRow,1,COLUMN()))),ovrHeaderRow25,0))</f>
        <v>4.5999999999999996</v>
      </c>
      <c r="BV134" s="12">
        <f>INDEX(ovrTable25,MATCH(INDEX(oppCol,ROW()),ovrTeamCol25,0),MATCH(MID(INDEX('Structured 2025'!headerRow,1,COLUMN()),4,LEN(INDEX('Structured 2025'!headerRow,1,COLUMN()))),ovrHeaderRow25,0))</f>
        <v>38.299999999999997</v>
      </c>
      <c r="BW134" s="12">
        <f>INDEX(ovrTable25,MATCH(INDEX(oppCol,ROW()),ovrTeamCol25,0),MATCH(MID(INDEX('Structured 2025'!headerRow,1,COLUMN()),4,LEN(INDEX('Structured 2025'!headerRow,1,COLUMN()))),ovrHeaderRow25,0))</f>
        <v>24.08</v>
      </c>
      <c r="BX134" s="12">
        <f>INDEX(ovrTable25,MATCH(INDEX(oppCol,ROW()),ovrTeamCol25,0),MATCH(MID(INDEX('Structured 2025'!headerRow,1,COLUMN()),4,LEN(INDEX('Structured 2025'!headerRow,1,COLUMN()))),ovrHeaderRow25,0))</f>
        <v>0.51700000000000002</v>
      </c>
      <c r="BY134" s="12">
        <f>INDEX(ovrTable25,MATCH(INDEX(oppCol,ROW()),ovrTeamCol25,0),MATCH(MID(INDEX('Structured 2025'!headerRow,1,COLUMN()),4,LEN(INDEX('Structured 2025'!headerRow,1,COLUMN()))),ovrHeaderRow25,0))</f>
        <v>7.6</v>
      </c>
      <c r="BZ134" s="12">
        <f>INDEX(ovrTable25,MATCH(INDEX(oppCol,ROW()),ovrTeamCol25,0),MATCH(MID(INDEX('Structured 2025'!headerRow,1,COLUMN()),4,LEN(INDEX('Structured 2025'!headerRow,1,COLUMN()))),ovrHeaderRow25,0))</f>
        <v>44.9</v>
      </c>
      <c r="CA134" s="12">
        <f>INDEX(ovrTable25,MATCH(INDEX(oppCol,ROW()),ovrTeamCol25,0),MATCH(MID(INDEX('Structured 2025'!headerRow,1,COLUMN()),4,LEN(INDEX('Structured 2025'!headerRow,1,COLUMN()))),ovrHeaderRow25,0))</f>
        <v>16.3</v>
      </c>
      <c r="CB134" s="12">
        <f>INDEX(ovrTable25,MATCH(INDEX(oppCol,ROW()),ovrTeamCol25,0),MATCH(MID(INDEX('Structured 2025'!headerRow,1,COLUMN()),4,LEN(INDEX('Structured 2025'!headerRow,1,COLUMN()))),ovrHeaderRow25,0))</f>
        <v>74</v>
      </c>
      <c r="CC134" s="12">
        <f>INDEX(ovrTable25,MATCH(INDEX(oppCol,ROW()),ovrTeamCol25,0),MATCH(MID(INDEX('Structured 2025'!headerRow,1,COLUMN()),4,LEN(INDEX('Structured 2025'!headerRow,1,COLUMN()))),ovrHeaderRow25,0))</f>
        <v>16.2</v>
      </c>
      <c r="CD134" s="12">
        <f>INDEX(ovrTable25,MATCH(INDEX(oppCol,ROW()),ovrTeamCol25,0),MATCH(MID(INDEX('Structured 2025'!headerRow,1,COLUMN()),4,LEN(INDEX('Structured 2025'!headerRow,1,COLUMN()))),ovrHeaderRow25,0))</f>
        <v>12</v>
      </c>
      <c r="CE134" s="12">
        <f>INDEX(ovrTable25,MATCH(INDEX(oppCol,ROW()),ovrTeamCol25,0),MATCH(MID(INDEX('Structured 2025'!headerRow,1,COLUMN()),4,LEN(INDEX('Structured 2025'!headerRow,1,COLUMN()))),ovrHeaderRow25,0))</f>
        <v>58.7</v>
      </c>
      <c r="CF134" s="12">
        <f>INDEX(ovrTable25,MATCH(INDEX(oppCol,ROW()),ovrTeamCol25,0),MATCH(MID(INDEX('Structured 2025'!headerRow,1,COLUMN()),4,LEN(INDEX('Structured 2025'!headerRow,1,COLUMN()))),ovrHeaderRow25,0))</f>
        <v>12.8</v>
      </c>
      <c r="CG134" s="12">
        <f>INDEX(ovrTable25,MATCH(INDEX(oppCol,ROW()),ovrTeamCol25,0),MATCH(MID(INDEX('Structured 2025'!headerRow,1,COLUMN()),4,LEN(INDEX('Structured 2025'!headerRow,1,COLUMN()))),ovrHeaderRow25,0))</f>
        <v>73.7</v>
      </c>
      <c r="CH134" s="12">
        <f>INDEX(ovrTable25,MATCH(INDEX(oppCol,ROW()),ovrTeamCol25,0),MATCH(MID(INDEX('Structured 2025'!headerRow,1,COLUMN()),4,LEN(INDEX('Structured 2025'!headerRow,1,COLUMN()))),ovrHeaderRow25,0))</f>
        <v>5.3</v>
      </c>
      <c r="CI134" s="12">
        <f>INDEX(ovrTable25,MATCH(INDEX(oppCol,ROW()),ovrTeamCol25,0),MATCH(MID(INDEX('Structured 2025'!headerRow,1,COLUMN()),4,LEN(INDEX('Structured 2025'!headerRow,1,COLUMN()))),ovrHeaderRow25,0))</f>
        <v>36.880000000000003</v>
      </c>
      <c r="CJ134" s="12">
        <f>INDEX(ovrTable25,MATCH(INDEX(oppCol,ROW()),ovrTeamCol25,0),MATCH(MID(INDEX('Structured 2025'!headerRow,1,COLUMN()),4,LEN(INDEX('Structured 2025'!headerRow,1,COLUMN()))),ovrHeaderRow25,0))</f>
        <v>15</v>
      </c>
      <c r="CK134" s="12">
        <f>INDEX(ovrTable25,MATCH(INDEX(oppCol,ROW()),ovrTeamCol25,0),MATCH(MID(INDEX('Structured 2025'!headerRow,1,COLUMN()),4,LEN(INDEX('Structured 2025'!headerRow,1,COLUMN()))),ovrHeaderRow25,0))</f>
        <v>7.8</v>
      </c>
      <c r="CL134" s="12">
        <f>INDEX(ovrTable25,MATCH(INDEX(oppCol,ROW()),ovrTeamCol25,0),MATCH(MID(INDEX('Structured 2025'!headerRow,1,COLUMN()),4,LEN(INDEX('Structured 2025'!headerRow,1,COLUMN()))),ovrHeaderRow25,0))</f>
        <v>4.2</v>
      </c>
      <c r="CM134" s="12">
        <f>INDEX(ovrTable25,MATCH(INDEX(oppCol,ROW()),ovrTeamCol25,0),MATCH(MID(INDEX('Structured 2025'!headerRow,1,COLUMN()),4,LEN(INDEX('Structured 2025'!headerRow,1,COLUMN()))),ovrHeaderRow25,0))</f>
        <v>13.23</v>
      </c>
      <c r="CN134" s="12">
        <f>INDEX(ovrTable25,MATCH(INDEX(oppCol,ROW()),ovrTeamCol25,0),MATCH(MID(INDEX('Structured 2025'!headerRow,1,COLUMN()),4,LEN(INDEX('Structured 2025'!headerRow,1,COLUMN()))),ovrHeaderRow25,0))</f>
        <v>9</v>
      </c>
      <c r="CO134" s="12">
        <f>INDEX(ovrTable25,MATCH(INDEX(oppCol,ROW()),ovrTeamCol25,0),MATCH(MID(INDEX('Structured 2025'!headerRow,1,COLUMN()),4,LEN(INDEX('Structured 2025'!headerRow,1,COLUMN()))),ovrHeaderRow25,0))</f>
        <v>61.9</v>
      </c>
      <c r="CP134" s="12">
        <f>INDEX(ovrTable25,MATCH(INDEX(oppCol,ROW()),ovrTeamCol25,0),MATCH(MID(INDEX('Structured 2025'!headerRow,1,COLUMN()),4,LEN(INDEX('Structured 2025'!headerRow,1,COLUMN()))),ovrHeaderRow25,0))</f>
        <v>18.550000000000004</v>
      </c>
      <c r="CQ134" s="12">
        <f>INDEX(ovrTable25,MATCH(INDEX(oppCol,ROW()),ovrTeamCol25,0),MATCH(MID(INDEX('Structured 2025'!headerRow,1,COLUMN()),4,LEN(INDEX('Structured 2025'!headerRow,1,COLUMN()))),ovrHeaderRow25,0))</f>
        <v>59.576837416481084</v>
      </c>
    </row>
    <row r="135" spans="1:95" x14ac:dyDescent="0.3">
      <c r="A135" s="6" t="s">
        <v>51</v>
      </c>
      <c r="B135" s="3">
        <v>1</v>
      </c>
      <c r="C135" s="13" t="str">
        <f>A134</f>
        <v>FLA</v>
      </c>
      <c r="D135" s="14">
        <f t="shared" si="111"/>
        <v>67</v>
      </c>
      <c r="E135" s="23">
        <v>0.25</v>
      </c>
      <c r="F135" s="24">
        <v>34.782608695652172</v>
      </c>
      <c r="G135" s="24">
        <v>6</v>
      </c>
      <c r="H135" s="23">
        <v>24</v>
      </c>
      <c r="I135" s="24">
        <v>25</v>
      </c>
      <c r="J135" s="25">
        <v>0.55555555555555558</v>
      </c>
      <c r="K135" s="24">
        <v>9</v>
      </c>
      <c r="L135" s="24">
        <v>14</v>
      </c>
      <c r="M135" s="24">
        <v>15</v>
      </c>
      <c r="N135" s="24">
        <v>24</v>
      </c>
      <c r="O135" s="24">
        <v>5</v>
      </c>
      <c r="P135" s="24">
        <v>5</v>
      </c>
      <c r="Q135" s="24">
        <v>6</v>
      </c>
      <c r="R135" s="24">
        <v>9</v>
      </c>
      <c r="S135" s="24">
        <v>4</v>
      </c>
      <c r="T135" s="24">
        <v>19</v>
      </c>
      <c r="U135" s="24">
        <v>17</v>
      </c>
      <c r="V135" s="24">
        <v>0.39622641509433965</v>
      </c>
      <c r="W135" s="26">
        <v>0.39130434782608697</v>
      </c>
      <c r="X135" s="23">
        <v>64.285714285714292</v>
      </c>
      <c r="Y135" s="24">
        <v>65</v>
      </c>
      <c r="Z135" s="24">
        <v>63</v>
      </c>
      <c r="AA135" s="24">
        <v>-1</v>
      </c>
      <c r="AB135" s="24">
        <v>39</v>
      </c>
      <c r="AC135" s="24">
        <v>-2</v>
      </c>
      <c r="AD135" s="24">
        <v>4</v>
      </c>
      <c r="AE135" s="24">
        <v>13</v>
      </c>
      <c r="AF135" s="34">
        <f t="shared" si="141"/>
        <v>18</v>
      </c>
      <c r="AG135" s="34">
        <f t="shared" si="142"/>
        <v>44</v>
      </c>
      <c r="AH135" s="46">
        <f t="shared" si="143"/>
        <v>69.650000000000006</v>
      </c>
      <c r="AI135" s="51">
        <f t="shared" ref="AI135" si="149">AVERAGE(AH134,AH135)</f>
        <v>68.8125</v>
      </c>
      <c r="AJ135" s="12">
        <f>INDEX(ovrTable25,MATCH(INDEX('Structured 2025'!teamCol,ROW()),ovrTeamCol25,0),MATCH(MID(INDEX('Structured 2025'!headerRow,1,COLUMN()),4,LEN(INDEX('Structured 2025'!headerRow,1,COLUMN()))),ovrHeaderRow25,0))</f>
        <v>30.2</v>
      </c>
      <c r="AK135" s="12">
        <f>INDEX(ovrTable25,MATCH(INDEX('Structured 2025'!teamCol,ROW()),ovrTeamCol25,0),MATCH(MID(INDEX('Structured 2025'!headerRow,1,COLUMN()),4,LEN(INDEX('Structured 2025'!headerRow,1,COLUMN()))),ovrHeaderRow25,0))</f>
        <v>8.1999999999999993</v>
      </c>
      <c r="AL135" s="12">
        <f>INDEX(ovrTable25,MATCH(INDEX('Structured 2025'!teamCol,ROW()),ovrTeamCol25,0),MATCH(MID(INDEX('Structured 2025'!headerRow,1,COLUMN()),4,LEN(INDEX('Structured 2025'!headerRow,1,COLUMN()))),ovrHeaderRow25,0))</f>
        <v>39.4</v>
      </c>
      <c r="AM135" s="12">
        <f>INDEX(ovrTable25,MATCH(INDEX('Structured 2025'!teamCol,ROW()),ovrTeamCol25,0),MATCH(MID(INDEX('Structured 2025'!headerRow,1,COLUMN()),4,LEN(INDEX('Structured 2025'!headerRow,1,COLUMN()))),ovrHeaderRow25,0))</f>
        <v>20.7</v>
      </c>
      <c r="AN135" s="12">
        <f>INDEX(ovrTable25,MATCH(INDEX('Structured 2025'!teamCol,ROW()),ovrTeamCol25,0),MATCH(MID(INDEX('Structured 2025'!headerRow,1,COLUMN()),4,LEN(INDEX('Structured 2025'!headerRow,1,COLUMN()))),ovrHeaderRow25,0))</f>
        <v>1.34</v>
      </c>
      <c r="AO135" s="12">
        <f>INDEX(ovrTable25,MATCH(INDEX('Structured 2025'!teamCol,ROW()),ovrTeamCol25,0),MATCH(MID(INDEX('Structured 2025'!headerRow,1,COLUMN()),4,LEN(INDEX('Structured 2025'!headerRow,1,COLUMN()))),ovrHeaderRow25,0))</f>
        <v>12.1</v>
      </c>
      <c r="AP135" s="12">
        <f>INDEX(ovrTable25,MATCH(INDEX('Structured 2025'!teamCol,ROW()),ovrTeamCol25,0),MATCH(MID(INDEX('Structured 2025'!headerRow,1,COLUMN()),4,LEN(INDEX('Structured 2025'!headerRow,1,COLUMN()))),ovrHeaderRow25,0))</f>
        <v>18.73</v>
      </c>
      <c r="AQ135" s="12">
        <f>INDEX(ovrTable25,MATCH(INDEX('Structured 2025'!teamCol,ROW()),ovrTeamCol25,0),MATCH(MID(INDEX('Structured 2025'!headerRow,1,COLUMN()),4,LEN(INDEX('Structured 2025'!headerRow,1,COLUMN()))),ovrHeaderRow25,0))</f>
        <v>4.5999999999999996</v>
      </c>
      <c r="AR135" s="12">
        <f>INDEX(ovrTable25,MATCH(INDEX('Structured 2025'!teamCol,ROW()),ovrTeamCol25,0),MATCH(MID(INDEX('Structured 2025'!headerRow,1,COLUMN()),4,LEN(INDEX('Structured 2025'!headerRow,1,COLUMN()))),ovrHeaderRow25,0))</f>
        <v>38.299999999999997</v>
      </c>
      <c r="AS135" s="12">
        <f>INDEX(ovrTable25,MATCH(INDEX('Structured 2025'!teamCol,ROW()),ovrTeamCol25,0),MATCH(MID(INDEX('Structured 2025'!headerRow,1,COLUMN()),4,LEN(INDEX('Structured 2025'!headerRow,1,COLUMN()))),ovrHeaderRow25,0))</f>
        <v>24.08</v>
      </c>
      <c r="AT135" s="12">
        <f>INDEX(ovrTable25,MATCH(INDEX('Structured 2025'!teamCol,ROW()),ovrTeamCol25,0),MATCH(MID(INDEX('Structured 2025'!headerRow,1,COLUMN()),4,LEN(INDEX('Structured 2025'!headerRow,1,COLUMN()))),ovrHeaderRow25,0))</f>
        <v>0.51700000000000002</v>
      </c>
      <c r="AU135" s="12">
        <f>INDEX(ovrTable25,MATCH(INDEX('Structured 2025'!teamCol,ROW()),ovrTeamCol25,0),MATCH(MID(INDEX('Structured 2025'!headerRow,1,COLUMN()),4,LEN(INDEX('Structured 2025'!headerRow,1,COLUMN()))),ovrHeaderRow25,0))</f>
        <v>7.6</v>
      </c>
      <c r="AV135" s="12">
        <f>INDEX(ovrTable25,MATCH(INDEX('Structured 2025'!teamCol,ROW()),ovrTeamCol25,0),MATCH(MID(INDEX('Structured 2025'!headerRow,1,COLUMN()),4,LEN(INDEX('Structured 2025'!headerRow,1,COLUMN()))),ovrHeaderRow25,0))</f>
        <v>44.9</v>
      </c>
      <c r="AW135" s="12">
        <f>INDEX(ovrTable25,MATCH(INDEX('Structured 2025'!teamCol,ROW()),ovrTeamCol25,0),MATCH(MID(INDEX('Structured 2025'!headerRow,1,COLUMN()),4,LEN(INDEX('Structured 2025'!headerRow,1,COLUMN()))),ovrHeaderRow25,0))</f>
        <v>16.3</v>
      </c>
      <c r="AX135" s="12">
        <f>INDEX(ovrTable25,MATCH(INDEX('Structured 2025'!teamCol,ROW()),ovrTeamCol25,0),MATCH(MID(INDEX('Structured 2025'!headerRow,1,COLUMN()),4,LEN(INDEX('Structured 2025'!headerRow,1,COLUMN()))),ovrHeaderRow25,0))</f>
        <v>74</v>
      </c>
      <c r="AY135" s="12">
        <f>INDEX(ovrTable25,MATCH(INDEX('Structured 2025'!teamCol,ROW()),ovrTeamCol25,0),MATCH(MID(INDEX('Structured 2025'!headerRow,1,COLUMN()),4,LEN(INDEX('Structured 2025'!headerRow,1,COLUMN()))),ovrHeaderRow25,0))</f>
        <v>16.2</v>
      </c>
      <c r="AZ135" s="12">
        <f>INDEX(ovrTable25,MATCH(INDEX('Structured 2025'!teamCol,ROW()),ovrTeamCol25,0),MATCH(MID(INDEX('Structured 2025'!headerRow,1,COLUMN()),4,LEN(INDEX('Structured 2025'!headerRow,1,COLUMN()))),ovrHeaderRow25,0))</f>
        <v>12</v>
      </c>
      <c r="BA135" s="12">
        <f>INDEX(ovrTable25,MATCH(INDEX('Structured 2025'!teamCol,ROW()),ovrTeamCol25,0),MATCH(MID(INDEX('Structured 2025'!headerRow,1,COLUMN()),4,LEN(INDEX('Structured 2025'!headerRow,1,COLUMN()))),ovrHeaderRow25,0))</f>
        <v>58.7</v>
      </c>
      <c r="BB135" s="12">
        <f>INDEX(ovrTable25,MATCH(INDEX('Structured 2025'!teamCol,ROW()),ovrTeamCol25,0),MATCH(MID(INDEX('Structured 2025'!headerRow,1,COLUMN()),4,LEN(INDEX('Structured 2025'!headerRow,1,COLUMN()))),ovrHeaderRow25,0))</f>
        <v>12.8</v>
      </c>
      <c r="BC135" s="12">
        <f>INDEX(ovrTable25,MATCH(INDEX('Structured 2025'!teamCol,ROW()),ovrTeamCol25,0),MATCH(MID(INDEX('Structured 2025'!headerRow,1,COLUMN()),4,LEN(INDEX('Structured 2025'!headerRow,1,COLUMN()))),ovrHeaderRow25,0))</f>
        <v>73.7</v>
      </c>
      <c r="BD135" s="12">
        <f>INDEX(ovrTable25,MATCH(INDEX('Structured 2025'!teamCol,ROW()),ovrTeamCol25,0),MATCH(MID(INDEX('Structured 2025'!headerRow,1,COLUMN()),4,LEN(INDEX('Structured 2025'!headerRow,1,COLUMN()))),ovrHeaderRow25,0))</f>
        <v>5.3</v>
      </c>
      <c r="BE135" s="12">
        <f>INDEX(ovrTable25,MATCH(INDEX('Structured 2025'!teamCol,ROW()),ovrTeamCol25,0),MATCH(MID(INDEX('Structured 2025'!headerRow,1,COLUMN()),4,LEN(INDEX('Structured 2025'!headerRow,1,COLUMN()))),ovrHeaderRow25,0))</f>
        <v>36.880000000000003</v>
      </c>
      <c r="BF135" s="12">
        <f>INDEX(ovrTable25,MATCH(INDEX('Structured 2025'!teamCol,ROW()),ovrTeamCol25,0),MATCH(MID(INDEX('Structured 2025'!headerRow,1,COLUMN()),4,LEN(INDEX('Structured 2025'!headerRow,1,COLUMN()))),ovrHeaderRow25,0))</f>
        <v>15</v>
      </c>
      <c r="BG135" s="12">
        <f>INDEX(ovrTable25,MATCH(INDEX('Structured 2025'!teamCol,ROW()),ovrTeamCol25,0),MATCH(MID(INDEX('Structured 2025'!headerRow,1,COLUMN()),4,LEN(INDEX('Structured 2025'!headerRow,1,COLUMN()))),ovrHeaderRow25,0))</f>
        <v>7.8</v>
      </c>
      <c r="BH135" s="12">
        <f>INDEX(ovrTable25,MATCH(INDEX('Structured 2025'!teamCol,ROW()),ovrTeamCol25,0),MATCH(MID(INDEX('Structured 2025'!headerRow,1,COLUMN()),4,LEN(INDEX('Structured 2025'!headerRow,1,COLUMN()))),ovrHeaderRow25,0))</f>
        <v>4.2</v>
      </c>
      <c r="BI135" s="12">
        <f>INDEX(ovrTable25,MATCH(INDEX('Structured 2025'!teamCol,ROW()),ovrTeamCol25,0),MATCH(MID(INDEX('Structured 2025'!headerRow,1,COLUMN()),4,LEN(INDEX('Structured 2025'!headerRow,1,COLUMN()))),ovrHeaderRow25,0))</f>
        <v>13.23</v>
      </c>
      <c r="BJ135" s="12">
        <f>INDEX(ovrTable25,MATCH(INDEX('Structured 2025'!teamCol,ROW()),ovrTeamCol25,0),MATCH(MID(INDEX('Structured 2025'!headerRow,1,COLUMN()),4,LEN(INDEX('Structured 2025'!headerRow,1,COLUMN()))),ovrHeaderRow25,0))</f>
        <v>9</v>
      </c>
      <c r="BK135" s="12">
        <f>INDEX(ovrTable25,MATCH(INDEX('Structured 2025'!teamCol,ROW()),ovrTeamCol25,0),MATCH(MID(INDEX('Structured 2025'!headerRow,1,COLUMN()),4,LEN(INDEX('Structured 2025'!headerRow,1,COLUMN()))),ovrHeaderRow25,0))</f>
        <v>61.9</v>
      </c>
      <c r="BL135" s="12">
        <f>INDEX(ovrTable25,MATCH(INDEX('Structured 2025'!teamCol,ROW()),ovrTeamCol25,0),MATCH(MID(INDEX('Structured 2025'!headerRow,1,COLUMN()),4,LEN(INDEX('Structured 2025'!headerRow,1,COLUMN()))),ovrHeaderRow25,0))</f>
        <v>18.550000000000004</v>
      </c>
      <c r="BM135" s="12">
        <f>INDEX(ovrTable25,MATCH(INDEX('Structured 2025'!teamCol,ROW()),ovrTeamCol25,0),MATCH(MID(INDEX('Structured 2025'!headerRow,1,COLUMN()),4,LEN(INDEX('Structured 2025'!headerRow,1,COLUMN()))),ovrHeaderRow25,0))</f>
        <v>59.576837416481084</v>
      </c>
      <c r="BN135" s="12">
        <f>INDEX(ovrTable25,MATCH(INDEX(oppCol,ROW()),ovrTeamCol25,0),MATCH(MID(INDEX('Structured 2025'!headerRow,1,COLUMN()),4,LEN(INDEX('Structured 2025'!headerRow,1,COLUMN()))),ovrHeaderRow25,0))</f>
        <v>29.4</v>
      </c>
      <c r="BO135" s="12">
        <f>INDEX(ovrTable25,MATCH(INDEX(oppCol,ROW()),ovrTeamCol25,0),MATCH(MID(INDEX('Structured 2025'!headerRow,1,COLUMN()),4,LEN(INDEX('Structured 2025'!headerRow,1,COLUMN()))),ovrHeaderRow25,0))</f>
        <v>9.8000000000000007</v>
      </c>
      <c r="BP135" s="12">
        <f>INDEX(ovrTable25,MATCH(INDEX(oppCol,ROW()),ovrTeamCol25,0),MATCH(MID(INDEX('Structured 2025'!headerRow,1,COLUMN()),4,LEN(INDEX('Structured 2025'!headerRow,1,COLUMN()))),ovrHeaderRow25,0))</f>
        <v>35.6</v>
      </c>
      <c r="BQ135" s="12">
        <f>INDEX(ovrTable25,MATCH(INDEX(oppCol,ROW()),ovrTeamCol25,0),MATCH(MID(INDEX('Structured 2025'!headerRow,1,COLUMN()),4,LEN(INDEX('Structured 2025'!headerRow,1,COLUMN()))),ovrHeaderRow25,0))</f>
        <v>27.4</v>
      </c>
      <c r="BR135" s="12">
        <f>INDEX(ovrTable25,MATCH(INDEX(oppCol,ROW()),ovrTeamCol25,0),MATCH(MID(INDEX('Structured 2025'!headerRow,1,COLUMN()),4,LEN(INDEX('Structured 2025'!headerRow,1,COLUMN()))),ovrHeaderRow25,0))</f>
        <v>1.39</v>
      </c>
      <c r="BS135" s="12">
        <f>INDEX(ovrTable25,MATCH(INDEX(oppCol,ROW()),ovrTeamCol25,0),MATCH(MID(INDEX('Structured 2025'!headerRow,1,COLUMN()),4,LEN(INDEX('Structured 2025'!headerRow,1,COLUMN()))),ovrHeaderRow25,0))</f>
        <v>15.5</v>
      </c>
      <c r="BT135" s="12">
        <f>INDEX(ovrTable25,MATCH(INDEX(oppCol,ROW()),ovrTeamCol25,0),MATCH(MID(INDEX('Structured 2025'!headerRow,1,COLUMN()),4,LEN(INDEX('Structured 2025'!headerRow,1,COLUMN()))),ovrHeaderRow25,0))</f>
        <v>21.98</v>
      </c>
      <c r="BU135" s="12">
        <f>INDEX(ovrTable25,MATCH(INDEX(oppCol,ROW()),ovrTeamCol25,0),MATCH(MID(INDEX('Structured 2025'!headerRow,1,COLUMN()),4,LEN(INDEX('Structured 2025'!headerRow,1,COLUMN()))),ovrHeaderRow25,0))</f>
        <v>4.5</v>
      </c>
      <c r="BV135" s="12">
        <f>INDEX(ovrTable25,MATCH(INDEX(oppCol,ROW()),ovrTeamCol25,0),MATCH(MID(INDEX('Structured 2025'!headerRow,1,COLUMN()),4,LEN(INDEX('Structured 2025'!headerRow,1,COLUMN()))),ovrHeaderRow25,0))</f>
        <v>40</v>
      </c>
      <c r="BW135" s="12">
        <f>INDEX(ovrTable25,MATCH(INDEX(oppCol,ROW()),ovrTeamCol25,0),MATCH(MID(INDEX('Structured 2025'!headerRow,1,COLUMN()),4,LEN(INDEX('Structured 2025'!headerRow,1,COLUMN()))),ovrHeaderRow25,0))</f>
        <v>28.1</v>
      </c>
      <c r="BX135" s="12">
        <f>INDEX(ovrTable25,MATCH(INDEX(oppCol,ROW()),ovrTeamCol25,0),MATCH(MID(INDEX('Structured 2025'!headerRow,1,COLUMN()),4,LEN(INDEX('Structured 2025'!headerRow,1,COLUMN()))),ovrHeaderRow25,0))</f>
        <v>0.54900000000000004</v>
      </c>
      <c r="BY135" s="12">
        <f>INDEX(ovrTable25,MATCH(INDEX(oppCol,ROW()),ovrTeamCol25,0),MATCH(MID(INDEX('Structured 2025'!headerRow,1,COLUMN()),4,LEN(INDEX('Structured 2025'!headerRow,1,COLUMN()))),ovrHeaderRow25,0))</f>
        <v>15.58</v>
      </c>
      <c r="BZ135" s="12">
        <f>INDEX(ovrTable25,MATCH(INDEX(oppCol,ROW()),ovrTeamCol25,0),MATCH(MID(INDEX('Structured 2025'!headerRow,1,COLUMN()),4,LEN(INDEX('Structured 2025'!headerRow,1,COLUMN()))),ovrHeaderRow25,0))</f>
        <v>47.1</v>
      </c>
      <c r="CA135" s="12">
        <f>INDEX(ovrTable25,MATCH(INDEX(oppCol,ROW()),ovrTeamCol25,0),MATCH(MID(INDEX('Structured 2025'!headerRow,1,COLUMN()),4,LEN(INDEX('Structured 2025'!headerRow,1,COLUMN()))),ovrHeaderRow25,0))</f>
        <v>17.100000000000001</v>
      </c>
      <c r="CB135" s="12">
        <f>INDEX(ovrTable25,MATCH(INDEX(oppCol,ROW()),ovrTeamCol25,0),MATCH(MID(INDEX('Structured 2025'!headerRow,1,COLUMN()),4,LEN(INDEX('Structured 2025'!headerRow,1,COLUMN()))),ovrHeaderRow25,0))</f>
        <v>72.8</v>
      </c>
      <c r="CC135" s="12">
        <f>INDEX(ovrTable25,MATCH(INDEX(oppCol,ROW()),ovrTeamCol25,0),MATCH(MID(INDEX('Structured 2025'!headerRow,1,COLUMN()),4,LEN(INDEX('Structured 2025'!headerRow,1,COLUMN()))),ovrHeaderRow25,0))</f>
        <v>21.9</v>
      </c>
      <c r="CD135" s="12">
        <f>INDEX(ovrTable25,MATCH(INDEX(oppCol,ROW()),ovrTeamCol25,0),MATCH(MID(INDEX('Structured 2025'!headerRow,1,COLUMN()),4,LEN(INDEX('Structured 2025'!headerRow,1,COLUMN()))),ovrHeaderRow25,0))</f>
        <v>15.9</v>
      </c>
      <c r="CE135" s="12">
        <f>INDEX(ovrTable25,MATCH(INDEX(oppCol,ROW()),ovrTeamCol25,0),MATCH(MID(INDEX('Structured 2025'!headerRow,1,COLUMN()),4,LEN(INDEX('Structured 2025'!headerRow,1,COLUMN()))),ovrHeaderRow25,0))</f>
        <v>69.599999999999994</v>
      </c>
      <c r="CF135" s="12">
        <f>INDEX(ovrTable25,MATCH(INDEX(oppCol,ROW()),ovrTeamCol25,0),MATCH(MID(INDEX('Structured 2025'!headerRow,1,COLUMN()),4,LEN(INDEX('Structured 2025'!headerRow,1,COLUMN()))),ovrHeaderRow25,0))</f>
        <v>13.73</v>
      </c>
      <c r="CG135" s="12">
        <f>INDEX(ovrTable25,MATCH(INDEX(oppCol,ROW()),ovrTeamCol25,0),MATCH(MID(INDEX('Structured 2025'!headerRow,1,COLUMN()),4,LEN(INDEX('Structured 2025'!headerRow,1,COLUMN()))),ovrHeaderRow25,0))</f>
        <v>84.8</v>
      </c>
      <c r="CH135" s="12">
        <f>INDEX(ovrTable25,MATCH(INDEX(oppCol,ROW()),ovrTeamCol25,0),MATCH(MID(INDEX('Structured 2025'!headerRow,1,COLUMN()),4,LEN(INDEX('Structured 2025'!headerRow,1,COLUMN()))),ovrHeaderRow25,0))</f>
        <v>8.4</v>
      </c>
      <c r="CI135" s="12">
        <f>INDEX(ovrTable25,MATCH(INDEX(oppCol,ROW()),ovrTeamCol25,0),MATCH(MID(INDEX('Structured 2025'!headerRow,1,COLUMN()),4,LEN(INDEX('Structured 2025'!headerRow,1,COLUMN()))),ovrHeaderRow25,0))</f>
        <v>41.83</v>
      </c>
      <c r="CJ135" s="12">
        <f>INDEX(ovrTable25,MATCH(INDEX(oppCol,ROW()),ovrTeamCol25,0),MATCH(MID(INDEX('Structured 2025'!headerRow,1,COLUMN()),4,LEN(INDEX('Structured 2025'!headerRow,1,COLUMN()))),ovrHeaderRow25,0))</f>
        <v>15.2</v>
      </c>
      <c r="CK135" s="12">
        <f>INDEX(ovrTable25,MATCH(INDEX(oppCol,ROW()),ovrTeamCol25,0),MATCH(MID(INDEX('Structured 2025'!headerRow,1,COLUMN()),4,LEN(INDEX('Structured 2025'!headerRow,1,COLUMN()))),ovrHeaderRow25,0))</f>
        <v>7.4</v>
      </c>
      <c r="CL135" s="12">
        <f>INDEX(ovrTable25,MATCH(INDEX(oppCol,ROW()),ovrTeamCol25,0),MATCH(MID(INDEX('Structured 2025'!headerRow,1,COLUMN()),4,LEN(INDEX('Structured 2025'!headerRow,1,COLUMN()))),ovrHeaderRow25,0))</f>
        <v>0.6</v>
      </c>
      <c r="CM135" s="12">
        <f>INDEX(ovrTable25,MATCH(INDEX(oppCol,ROW()),ovrTeamCol25,0),MATCH(MID(INDEX('Structured 2025'!headerRow,1,COLUMN()),4,LEN(INDEX('Structured 2025'!headerRow,1,COLUMN()))),ovrHeaderRow25,0))</f>
        <v>11.73</v>
      </c>
      <c r="CN135" s="12">
        <f>INDEX(ovrTable25,MATCH(INDEX(oppCol,ROW()),ovrTeamCol25,0),MATCH(MID(INDEX('Structured 2025'!headerRow,1,COLUMN()),4,LEN(INDEX('Structured 2025'!headerRow,1,COLUMN()))),ovrHeaderRow25,0))</f>
        <v>11.1</v>
      </c>
      <c r="CO135" s="12">
        <f>INDEX(ovrTable25,MATCH(INDEX(oppCol,ROW()),ovrTeamCol25,0),MATCH(MID(INDEX('Structured 2025'!headerRow,1,COLUMN()),4,LEN(INDEX('Structured 2025'!headerRow,1,COLUMN()))),ovrHeaderRow25,0))</f>
        <v>70.099999999999994</v>
      </c>
      <c r="CP135" s="12">
        <f>INDEX(ovrTable25,MATCH(INDEX(oppCol,ROW()),ovrTeamCol25,0),MATCH(MID(INDEX('Structured 2025'!headerRow,1,COLUMN()),4,LEN(INDEX('Structured 2025'!headerRow,1,COLUMN()))),ovrHeaderRow25,0))</f>
        <v>19.749999999999993</v>
      </c>
      <c r="CQ135" s="12">
        <f>INDEX(ovrTable25,MATCH(INDEX(oppCol,ROW()),ovrTeamCol25,0),MATCH(MID(INDEX('Structured 2025'!headerRow,1,COLUMN()),4,LEN(INDEX('Structured 2025'!headerRow,1,COLUMN()))),ovrHeaderRow25,0))</f>
        <v>62.7388535031847</v>
      </c>
    </row>
    <row r="136" spans="1:95" s="21" customFormat="1" ht="15" thickBot="1" x14ac:dyDescent="0.35"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34"/>
      <c r="AG136" s="34"/>
      <c r="AH136" s="47"/>
      <c r="AI136" s="52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</row>
    <row r="137" spans="1:95" s="21" customFormat="1" thickTop="1" thickBot="1" x14ac:dyDescent="0.35"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35"/>
      <c r="AG137" s="35"/>
      <c r="AH137" s="47"/>
      <c r="AI137" s="52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</row>
    <row r="138" spans="1:95" s="21" customFormat="1" thickTop="1" thickBot="1" x14ac:dyDescent="0.35"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35"/>
      <c r="AG138" s="35"/>
      <c r="AH138" s="47"/>
      <c r="AI138" s="52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</row>
    <row r="139" spans="1:95" s="21" customFormat="1" thickTop="1" thickBot="1" x14ac:dyDescent="0.35"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35"/>
      <c r="AG139" s="35"/>
      <c r="AH139" s="47"/>
      <c r="AI139" s="52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</row>
    <row r="140" spans="1:95" s="21" customFormat="1" hidden="1" thickTop="1" thickBot="1" x14ac:dyDescent="0.35"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35"/>
      <c r="AG140" s="35"/>
      <c r="AH140" s="47"/>
      <c r="AI140" s="52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</row>
    <row r="141" spans="1:95" s="21" customFormat="1" hidden="1" thickTop="1" thickBot="1" x14ac:dyDescent="0.35"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35"/>
      <c r="AG141" s="35"/>
      <c r="AH141" s="47"/>
      <c r="AI141" s="52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</row>
    <row r="142" spans="1:95" s="21" customFormat="1" thickTop="1" thickBot="1" x14ac:dyDescent="0.35"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35"/>
      <c r="AG142" s="35"/>
      <c r="AH142" s="47"/>
      <c r="AI142" s="52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</row>
    <row r="143" spans="1:95" s="21" customFormat="1" thickTop="1" thickBot="1" x14ac:dyDescent="0.35"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35"/>
      <c r="AG143" s="35"/>
      <c r="AH143" s="47"/>
      <c r="AI143" s="52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</row>
    <row r="144" spans="1:95" s="21" customFormat="1" thickTop="1" thickBot="1" x14ac:dyDescent="0.35"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35"/>
      <c r="AG144" s="35"/>
      <c r="AH144" s="47"/>
      <c r="AI144" s="52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</row>
    <row r="145" spans="5:95" s="21" customFormat="1" thickTop="1" thickBot="1" x14ac:dyDescent="0.35"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35"/>
      <c r="AG145" s="35"/>
      <c r="AH145" s="47"/>
      <c r="AI145" s="52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</row>
    <row r="146" spans="5:95" s="21" customFormat="1" thickTop="1" thickBot="1" x14ac:dyDescent="0.35"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35"/>
      <c r="AG146" s="35"/>
      <c r="AH146" s="47"/>
      <c r="AI146" s="52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</row>
    <row r="147" spans="5:95" s="21" customFormat="1" thickTop="1" thickBot="1" x14ac:dyDescent="0.35"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35"/>
      <c r="AG147" s="35"/>
      <c r="AH147" s="47"/>
      <c r="AI147" s="52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</row>
    <row r="148" spans="5:95" s="21" customFormat="1" hidden="1" thickTop="1" thickBot="1" x14ac:dyDescent="0.35"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35"/>
      <c r="AG148" s="35"/>
      <c r="AH148" s="47"/>
      <c r="AI148" s="52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</row>
    <row r="149" spans="5:95" s="21" customFormat="1" hidden="1" thickTop="1" thickBot="1" x14ac:dyDescent="0.35"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35"/>
      <c r="AG149" s="35"/>
      <c r="AH149" s="47"/>
      <c r="AI149" s="52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</row>
    <row r="150" spans="5:95" s="21" customFormat="1" thickTop="1" thickBot="1" x14ac:dyDescent="0.35"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35"/>
      <c r="AG150" s="35"/>
      <c r="AH150" s="47"/>
      <c r="AI150" s="52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</row>
    <row r="151" spans="5:95" s="21" customFormat="1" thickTop="1" thickBot="1" x14ac:dyDescent="0.35"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35"/>
      <c r="AG151" s="35"/>
      <c r="AH151" s="47"/>
      <c r="AI151" s="52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/>
      <c r="CQ151" s="44"/>
    </row>
    <row r="152" spans="5:95" s="21" customFormat="1" thickTop="1" thickBot="1" x14ac:dyDescent="0.35"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35"/>
      <c r="AG152" s="35"/>
      <c r="AH152" s="47"/>
      <c r="AI152" s="52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</row>
    <row r="153" spans="5:95" ht="16.2" thickTop="1" x14ac:dyDescent="0.3"/>
  </sheetData>
  <conditionalFormatting sqref="C1:C135 D17 D25:D135 C153:C1048576">
    <cfRule type="cellIs" dxfId="3" priority="42" operator="equal">
      <formula>"SEASON"</formula>
    </cfRule>
  </conditionalFormatting>
  <conditionalFormatting sqref="C1:D1">
    <cfRule type="colorScale" priority="140">
      <colorScale>
        <cfvo type="min"/>
        <cfvo type="max"/>
        <color rgb="FFFCFCFF"/>
        <color rgb="FF63BE7B"/>
      </colorScale>
    </cfRule>
  </conditionalFormatting>
  <conditionalFormatting sqref="AH136:AH13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8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39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142">
    <cfRule type="colorScale" priority="11">
      <colorScale>
        <cfvo type="min"/>
        <cfvo type="max"/>
        <color rgb="FFFCFCFF"/>
        <color rgb="FFF8696B"/>
      </colorScale>
    </cfRule>
  </conditionalFormatting>
  <conditionalFormatting sqref="AH143">
    <cfRule type="colorScale" priority="10">
      <colorScale>
        <cfvo type="min"/>
        <cfvo type="max"/>
        <color rgb="FFFCFCFF"/>
        <color rgb="FFF8696B"/>
      </colorScale>
    </cfRule>
  </conditionalFormatting>
  <conditionalFormatting sqref="AH14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I136:AI13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I13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I13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I142">
    <cfRule type="colorScale" priority="4">
      <colorScale>
        <cfvo type="min"/>
        <cfvo type="max"/>
        <color rgb="FFFCFCFF"/>
        <color rgb="FFF8696B"/>
      </colorScale>
    </cfRule>
  </conditionalFormatting>
  <conditionalFormatting sqref="AI143">
    <cfRule type="colorScale" priority="3">
      <colorScale>
        <cfvo type="min"/>
        <cfvo type="max"/>
        <color rgb="FFFCFCFF"/>
        <color rgb="FFF8696B"/>
      </colorScale>
    </cfRule>
  </conditionalFormatting>
  <conditionalFormatting sqref="AI1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J136:XFD137 AF137:AG137 A136:D137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J138:XFD138 A138:AG138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J139:XFD139 A139:AG139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J142:XFD142 A142:AG142">
    <cfRule type="colorScale" priority="121">
      <colorScale>
        <cfvo type="min"/>
        <cfvo type="max"/>
        <color rgb="FFFCFCFF"/>
        <color rgb="FFF8696B"/>
      </colorScale>
    </cfRule>
  </conditionalFormatting>
  <conditionalFormatting sqref="AJ143:XFD143 A143:AG143">
    <cfRule type="colorScale" priority="124">
      <colorScale>
        <cfvo type="min"/>
        <cfvo type="max"/>
        <color rgb="FFFCFCFF"/>
        <color rgb="FFF8696B"/>
      </colorScale>
    </cfRule>
  </conditionalFormatting>
  <conditionalFormatting sqref="AJ145:XFD145 AF145:AG145 A145:D145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7C14-1A7D-462F-A0BC-EADB77AD2F2B}">
  <dimension ref="A1:K21"/>
  <sheetViews>
    <sheetView workbookViewId="0">
      <selection activeCell="B21" sqref="B21"/>
    </sheetView>
  </sheetViews>
  <sheetFormatPr defaultRowHeight="14.4" x14ac:dyDescent="0.3"/>
  <sheetData>
    <row r="1" spans="1:11" x14ac:dyDescent="0.3">
      <c r="A1" t="s">
        <v>565</v>
      </c>
    </row>
    <row r="2" spans="1:11" x14ac:dyDescent="0.3">
      <c r="B2" t="s">
        <v>566</v>
      </c>
    </row>
    <row r="3" spans="1:11" x14ac:dyDescent="0.3">
      <c r="B3" t="s">
        <v>567</v>
      </c>
    </row>
    <row r="4" spans="1:11" x14ac:dyDescent="0.3">
      <c r="B4" t="s">
        <v>576</v>
      </c>
    </row>
    <row r="5" spans="1:11" x14ac:dyDescent="0.3">
      <c r="B5" t="s">
        <v>573</v>
      </c>
    </row>
    <row r="6" spans="1:11" x14ac:dyDescent="0.3">
      <c r="B6" t="s">
        <v>569</v>
      </c>
    </row>
    <row r="7" spans="1:11" x14ac:dyDescent="0.3">
      <c r="B7" t="s">
        <v>568</v>
      </c>
    </row>
    <row r="8" spans="1:11" x14ac:dyDescent="0.3">
      <c r="B8" t="s">
        <v>570</v>
      </c>
    </row>
    <row r="9" spans="1:11" x14ac:dyDescent="0.3">
      <c r="B9" t="s">
        <v>571</v>
      </c>
    </row>
    <row r="10" spans="1:11" x14ac:dyDescent="0.3">
      <c r="B10" t="s">
        <v>572</v>
      </c>
    </row>
    <row r="11" spans="1:11" x14ac:dyDescent="0.3">
      <c r="B11" t="s">
        <v>574</v>
      </c>
    </row>
    <row r="12" spans="1:11" x14ac:dyDescent="0.3">
      <c r="B12" t="s">
        <v>575</v>
      </c>
    </row>
    <row r="14" spans="1:11" x14ac:dyDescent="0.3">
      <c r="A14" t="s">
        <v>577</v>
      </c>
      <c r="F14" t="s">
        <v>583</v>
      </c>
      <c r="K14" t="s">
        <v>588</v>
      </c>
    </row>
    <row r="15" spans="1:11" x14ac:dyDescent="0.3">
      <c r="B15" t="s">
        <v>579</v>
      </c>
      <c r="F15" t="s">
        <v>584</v>
      </c>
      <c r="K15" t="s">
        <v>582</v>
      </c>
    </row>
    <row r="16" spans="1:11" x14ac:dyDescent="0.3">
      <c r="B16" t="s">
        <v>578</v>
      </c>
      <c r="F16" t="s">
        <v>585</v>
      </c>
    </row>
    <row r="17" spans="1:6" x14ac:dyDescent="0.3">
      <c r="B17" t="s">
        <v>580</v>
      </c>
      <c r="F17" t="s">
        <v>586</v>
      </c>
    </row>
    <row r="18" spans="1:6" x14ac:dyDescent="0.3">
      <c r="B18" t="s">
        <v>581</v>
      </c>
      <c r="F18" t="s">
        <v>587</v>
      </c>
    </row>
    <row r="20" spans="1:6" x14ac:dyDescent="0.3">
      <c r="A20" t="s">
        <v>590</v>
      </c>
    </row>
    <row r="21" spans="1:6" x14ac:dyDescent="0.3">
      <c r="B21" t="s">
        <v>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3D92-595D-4CF6-A66A-9AC8BFDA3DC6}">
  <sheetPr>
    <tabColor theme="9" tint="0.79998168889431442"/>
  </sheetPr>
  <dimension ref="A1:AJ69"/>
  <sheetViews>
    <sheetView zoomScale="90" zoomScaleNormal="90" workbookViewId="0">
      <pane xSplit="1" ySplit="1" topLeftCell="B45" activePane="bottomRight" state="frozen"/>
      <selection pane="topRight" activeCell="B1" sqref="B1"/>
      <selection pane="bottomLeft" activeCell="A2" sqref="A2"/>
      <selection pane="bottomRight" activeCell="G67" sqref="G67"/>
    </sheetView>
  </sheetViews>
  <sheetFormatPr defaultRowHeight="14.4" x14ac:dyDescent="0.3"/>
  <cols>
    <col min="7" max="33" width="8.77734375" style="12"/>
  </cols>
  <sheetData>
    <row r="1" spans="1:36" s="8" customFormat="1" ht="16.2" thickBot="1" x14ac:dyDescent="0.35">
      <c r="A1" s="7" t="s">
        <v>0</v>
      </c>
      <c r="B1" s="8" t="s">
        <v>1</v>
      </c>
      <c r="C1" s="8" t="s">
        <v>71</v>
      </c>
      <c r="D1" s="8" t="s">
        <v>70</v>
      </c>
      <c r="E1" s="9" t="s">
        <v>403</v>
      </c>
      <c r="F1" s="10" t="s">
        <v>405</v>
      </c>
      <c r="G1" s="8" t="s">
        <v>185</v>
      </c>
      <c r="H1" s="8" t="s">
        <v>186</v>
      </c>
      <c r="I1" s="8" t="s">
        <v>187</v>
      </c>
      <c r="J1" s="8" t="s">
        <v>188</v>
      </c>
      <c r="K1" s="8" t="s">
        <v>189</v>
      </c>
      <c r="L1" s="8" t="s">
        <v>190</v>
      </c>
      <c r="M1" s="8" t="s">
        <v>191</v>
      </c>
      <c r="N1" s="8" t="s">
        <v>193</v>
      </c>
      <c r="O1" s="8" t="s">
        <v>194</v>
      </c>
      <c r="P1" s="8" t="s">
        <v>195</v>
      </c>
      <c r="Q1" s="8" t="s">
        <v>196</v>
      </c>
      <c r="R1" s="8" t="s">
        <v>197</v>
      </c>
      <c r="S1" s="8" t="s">
        <v>198</v>
      </c>
      <c r="T1" s="8" t="s">
        <v>199</v>
      </c>
      <c r="U1" s="8" t="s">
        <v>200</v>
      </c>
      <c r="V1" s="8" t="s">
        <v>201</v>
      </c>
      <c r="W1" s="8" t="s">
        <v>202</v>
      </c>
      <c r="X1" s="8" t="s">
        <v>203</v>
      </c>
      <c r="Y1" s="8" t="s">
        <v>204</v>
      </c>
      <c r="Z1" s="8" t="s">
        <v>205</v>
      </c>
      <c r="AA1" s="8" t="s">
        <v>206</v>
      </c>
      <c r="AB1" s="8" t="s">
        <v>207</v>
      </c>
      <c r="AC1" s="8" t="s">
        <v>208</v>
      </c>
      <c r="AD1" s="8" t="s">
        <v>209</v>
      </c>
      <c r="AE1" s="8" t="s">
        <v>210</v>
      </c>
      <c r="AF1" s="8" t="s">
        <v>211</v>
      </c>
      <c r="AG1" s="8" t="s">
        <v>212</v>
      </c>
      <c r="AH1" s="8" t="s">
        <v>406</v>
      </c>
      <c r="AI1" s="8" t="s">
        <v>408</v>
      </c>
      <c r="AJ1" s="8" t="s">
        <v>407</v>
      </c>
    </row>
    <row r="2" spans="1:36" s="2" customFormat="1" ht="15.6" x14ac:dyDescent="0.3">
      <c r="A2" s="6" t="s">
        <v>63</v>
      </c>
      <c r="B2" s="2">
        <v>4</v>
      </c>
      <c r="C2" s="3">
        <v>1</v>
      </c>
      <c r="D2" s="2">
        <v>1</v>
      </c>
      <c r="E2" s="5" t="s">
        <v>404</v>
      </c>
      <c r="F2" s="4"/>
      <c r="G2" s="32">
        <f t="shared" ref="G2:P11" si="0">INDEX(rawValue,MATCH(INDEX(teamID,MATCH(INDEX(ovrTeamCol2,ROW(),1),teamINI,0))+INDEX(statID,MATCH(INDEX(ovrHeaderRow2,1,COLUMN()),statAbbr,0),1),rawLookup2,0))</f>
        <v>33.799999999999997</v>
      </c>
      <c r="H2" s="32">
        <f t="shared" si="0"/>
        <v>7</v>
      </c>
      <c r="I2" s="32">
        <f t="shared" si="0"/>
        <v>35.4</v>
      </c>
      <c r="J2" s="32">
        <f t="shared" si="0"/>
        <v>19.7</v>
      </c>
      <c r="K2" s="32">
        <f t="shared" si="0"/>
        <v>1.95</v>
      </c>
      <c r="L2" s="32">
        <f t="shared" si="0"/>
        <v>16.2</v>
      </c>
      <c r="M2" s="32">
        <f t="shared" si="0"/>
        <v>16.440000000000001</v>
      </c>
      <c r="N2" s="32">
        <f t="shared" si="0"/>
        <v>4.2</v>
      </c>
      <c r="O2" s="32">
        <f t="shared" si="0"/>
        <v>41.7</v>
      </c>
      <c r="P2" s="32">
        <f t="shared" si="0"/>
        <v>24.21</v>
      </c>
      <c r="Q2" s="32">
        <f t="shared" ref="Q2:Z11" si="1">INDEX(rawValue,MATCH(INDEX(teamID,MATCH(INDEX(ovrTeamCol2,ROW(),1),teamINI,0))+INDEX(statID,MATCH(INDEX(ovrHeaderRow2,1,COLUMN()),statAbbr,0),1),rawLookup2,0))</f>
        <v>0.51600000000000001</v>
      </c>
      <c r="R2" s="32">
        <f t="shared" si="1"/>
        <v>6.61</v>
      </c>
      <c r="S2" s="32">
        <f t="shared" si="1"/>
        <v>45</v>
      </c>
      <c r="T2" s="32">
        <f t="shared" si="1"/>
        <v>13.9</v>
      </c>
      <c r="U2" s="32">
        <f t="shared" si="1"/>
        <v>70.8</v>
      </c>
      <c r="V2" s="32">
        <f t="shared" si="1"/>
        <v>19.399999999999999</v>
      </c>
      <c r="W2" s="32">
        <f t="shared" si="1"/>
        <v>13.7</v>
      </c>
      <c r="X2" s="32">
        <f t="shared" si="1"/>
        <v>61.5</v>
      </c>
      <c r="Y2" s="32">
        <f t="shared" si="1"/>
        <v>8.26</v>
      </c>
      <c r="Z2" s="32">
        <f t="shared" si="1"/>
        <v>70.599999999999994</v>
      </c>
      <c r="AA2" s="32">
        <f t="shared" ref="AA2:AG11" si="2">INDEX(rawValue,MATCH(INDEX(teamID,MATCH(INDEX(ovrTeamCol2,ROW(),1),teamINI,0))+INDEX(statID,MATCH(INDEX(ovrHeaderRow2,1,COLUMN()),statAbbr,0),1),rawLookup2,0))</f>
        <v>0.6</v>
      </c>
      <c r="AB2" s="32">
        <f t="shared" si="2"/>
        <v>32.76</v>
      </c>
      <c r="AC2" s="32">
        <f t="shared" si="2"/>
        <v>7.9</v>
      </c>
      <c r="AD2" s="32">
        <f t="shared" si="2"/>
        <v>6.7</v>
      </c>
      <c r="AE2" s="32">
        <f t="shared" si="2"/>
        <v>2.7</v>
      </c>
      <c r="AF2" s="32">
        <f t="shared" si="2"/>
        <v>11.2</v>
      </c>
      <c r="AG2" s="32">
        <f t="shared" si="2"/>
        <v>8.1</v>
      </c>
      <c r="AH2" s="29">
        <v>64</v>
      </c>
      <c r="AI2" s="30">
        <f t="shared" ref="AI2:AI33" si="3">(Z2-W2-H2*3)/2</f>
        <v>17.949999999999996</v>
      </c>
      <c r="AJ2" s="31">
        <f t="shared" ref="AJ2:AJ33" si="4">(AI2+H2)*100/S2</f>
        <v>55.444444444444436</v>
      </c>
    </row>
    <row r="3" spans="1:36" s="2" customFormat="1" ht="15.6" x14ac:dyDescent="0.3">
      <c r="A3" s="6" t="s">
        <v>22</v>
      </c>
      <c r="B3" s="2">
        <v>5</v>
      </c>
      <c r="C3" s="3">
        <v>2</v>
      </c>
      <c r="D3" s="2">
        <v>3</v>
      </c>
      <c r="E3" s="5" t="s">
        <v>404</v>
      </c>
      <c r="F3" s="4"/>
      <c r="G3" s="32">
        <f t="shared" si="0"/>
        <v>32.700000000000003</v>
      </c>
      <c r="H3" s="32">
        <f t="shared" si="0"/>
        <v>7.7</v>
      </c>
      <c r="I3" s="32">
        <f t="shared" si="0"/>
        <v>36.5</v>
      </c>
      <c r="J3" s="32">
        <f t="shared" si="0"/>
        <v>21.6</v>
      </c>
      <c r="K3" s="32">
        <f t="shared" si="0"/>
        <v>1.3</v>
      </c>
      <c r="L3" s="32">
        <f t="shared" si="0"/>
        <v>12.7</v>
      </c>
      <c r="M3" s="32">
        <f t="shared" si="0"/>
        <v>15.09</v>
      </c>
      <c r="N3" s="32">
        <f t="shared" si="0"/>
        <v>3.7</v>
      </c>
      <c r="O3" s="32">
        <f t="shared" si="0"/>
        <v>42.1</v>
      </c>
      <c r="P3" s="32">
        <f t="shared" si="0"/>
        <v>25.17</v>
      </c>
      <c r="Q3" s="32">
        <f t="shared" si="1"/>
        <v>0.53</v>
      </c>
      <c r="R3" s="32">
        <f t="shared" si="1"/>
        <v>5.0599999999999996</v>
      </c>
      <c r="S3" s="32">
        <f t="shared" si="1"/>
        <v>46.1</v>
      </c>
      <c r="T3" s="32">
        <f t="shared" si="1"/>
        <v>16.399999999999999</v>
      </c>
      <c r="U3" s="32">
        <f t="shared" si="1"/>
        <v>70.400000000000006</v>
      </c>
      <c r="V3" s="32">
        <f t="shared" si="1"/>
        <v>18.5</v>
      </c>
      <c r="W3" s="32">
        <f t="shared" si="1"/>
        <v>12.2</v>
      </c>
      <c r="X3" s="32">
        <f t="shared" si="1"/>
        <v>59.7</v>
      </c>
      <c r="Y3" s="32">
        <f t="shared" si="1"/>
        <v>11.18</v>
      </c>
      <c r="Z3" s="32">
        <f t="shared" si="1"/>
        <v>72.099999999999994</v>
      </c>
      <c r="AA3" s="32">
        <f t="shared" si="2"/>
        <v>8.5</v>
      </c>
      <c r="AB3" s="32">
        <f t="shared" si="2"/>
        <v>35.83</v>
      </c>
      <c r="AC3" s="32">
        <f t="shared" si="2"/>
        <v>12.1</v>
      </c>
      <c r="AD3" s="32">
        <f t="shared" si="2"/>
        <v>6.7</v>
      </c>
      <c r="AE3" s="32">
        <f t="shared" si="2"/>
        <v>1.2</v>
      </c>
      <c r="AF3" s="32">
        <f t="shared" si="2"/>
        <v>11.31</v>
      </c>
      <c r="AG3" s="32">
        <f t="shared" si="2"/>
        <v>9.9</v>
      </c>
      <c r="AH3" s="29">
        <v>65.599999999999994</v>
      </c>
      <c r="AI3" s="30">
        <f t="shared" si="3"/>
        <v>18.399999999999995</v>
      </c>
      <c r="AJ3" s="31">
        <f t="shared" si="4"/>
        <v>56.616052060737516</v>
      </c>
    </row>
    <row r="4" spans="1:36" s="2" customFormat="1" ht="15.6" x14ac:dyDescent="0.3">
      <c r="A4" s="6" t="s">
        <v>413</v>
      </c>
      <c r="B4" s="2">
        <v>16</v>
      </c>
      <c r="C4" s="3">
        <v>1</v>
      </c>
      <c r="D4" s="2">
        <v>2</v>
      </c>
      <c r="E4" s="5" t="s">
        <v>404</v>
      </c>
      <c r="F4" s="4"/>
      <c r="G4" s="32">
        <f t="shared" si="0"/>
        <v>35</v>
      </c>
      <c r="H4" s="32">
        <f t="shared" si="0"/>
        <v>8.4</v>
      </c>
      <c r="I4" s="32">
        <f t="shared" si="0"/>
        <v>34.299999999999997</v>
      </c>
      <c r="J4" s="32">
        <f t="shared" si="0"/>
        <v>23.6</v>
      </c>
      <c r="K4" s="32">
        <f t="shared" si="0"/>
        <v>1.31</v>
      </c>
      <c r="L4" s="32">
        <f t="shared" si="0"/>
        <v>13.3</v>
      </c>
      <c r="M4" s="32">
        <f t="shared" si="0"/>
        <v>16.59</v>
      </c>
      <c r="N4" s="32">
        <f t="shared" si="0"/>
        <v>2.5</v>
      </c>
      <c r="O4" s="32">
        <f t="shared" si="0"/>
        <v>43.5</v>
      </c>
      <c r="P4" s="32">
        <f t="shared" si="0"/>
        <v>22.56</v>
      </c>
      <c r="Q4" s="32">
        <f t="shared" si="1"/>
        <v>0.5</v>
      </c>
      <c r="R4" s="32">
        <f t="shared" si="1"/>
        <v>10.42</v>
      </c>
      <c r="S4" s="32">
        <f t="shared" si="1"/>
        <v>42.8</v>
      </c>
      <c r="T4" s="32">
        <f t="shared" si="1"/>
        <v>15.1</v>
      </c>
      <c r="U4" s="32">
        <f t="shared" si="1"/>
        <v>70.7</v>
      </c>
      <c r="V4" s="32">
        <f t="shared" si="1"/>
        <v>15.6</v>
      </c>
      <c r="W4" s="32">
        <f t="shared" si="1"/>
        <v>10.9</v>
      </c>
      <c r="X4" s="32">
        <f t="shared" si="1"/>
        <v>66.2</v>
      </c>
      <c r="Y4" s="32">
        <f t="shared" si="1"/>
        <v>11.64</v>
      </c>
      <c r="Z4" s="32">
        <f t="shared" si="1"/>
        <v>67.7</v>
      </c>
      <c r="AA4" s="32">
        <f t="shared" si="2"/>
        <v>-1.3</v>
      </c>
      <c r="AB4" s="32">
        <f t="shared" si="2"/>
        <v>33.42</v>
      </c>
      <c r="AC4" s="32">
        <f t="shared" si="2"/>
        <v>3.2</v>
      </c>
      <c r="AD4" s="32">
        <f t="shared" si="2"/>
        <v>10.3</v>
      </c>
      <c r="AE4" s="32">
        <f t="shared" si="2"/>
        <v>4.7</v>
      </c>
      <c r="AF4" s="32">
        <f t="shared" si="2"/>
        <v>14.7</v>
      </c>
      <c r="AG4" s="32">
        <f t="shared" si="2"/>
        <v>10.199999999999999</v>
      </c>
      <c r="AH4" s="29">
        <v>65.7</v>
      </c>
      <c r="AI4" s="30">
        <f t="shared" si="3"/>
        <v>15.8</v>
      </c>
      <c r="AJ4" s="31">
        <f t="shared" si="4"/>
        <v>56.542056074766371</v>
      </c>
    </row>
    <row r="5" spans="1:36" s="2" customFormat="1" ht="15.6" x14ac:dyDescent="0.3">
      <c r="A5" s="6" t="s">
        <v>54</v>
      </c>
      <c r="B5" s="2">
        <v>1</v>
      </c>
      <c r="C5" s="3">
        <v>1</v>
      </c>
      <c r="D5" s="2">
        <v>4</v>
      </c>
      <c r="E5" s="5" t="s">
        <v>404</v>
      </c>
      <c r="F5" s="4"/>
      <c r="G5" s="32">
        <f t="shared" si="0"/>
        <v>31.7</v>
      </c>
      <c r="H5" s="32">
        <f t="shared" si="0"/>
        <v>7</v>
      </c>
      <c r="I5" s="32">
        <f t="shared" si="0"/>
        <v>32.700000000000003</v>
      </c>
      <c r="J5" s="32">
        <f t="shared" si="0"/>
        <v>22.2</v>
      </c>
      <c r="K5" s="32">
        <f t="shared" si="0"/>
        <v>1.57</v>
      </c>
      <c r="L5" s="32">
        <f t="shared" si="0"/>
        <v>15.9</v>
      </c>
      <c r="M5" s="32">
        <f t="shared" si="0"/>
        <v>18.239999999999998</v>
      </c>
      <c r="N5" s="32">
        <f t="shared" si="0"/>
        <v>3.8</v>
      </c>
      <c r="O5" s="32">
        <f t="shared" si="0"/>
        <v>42.1</v>
      </c>
      <c r="P5" s="32">
        <f t="shared" si="0"/>
        <v>27.06</v>
      </c>
      <c r="Q5" s="32">
        <f t="shared" si="1"/>
        <v>0.52600000000000002</v>
      </c>
      <c r="R5" s="32">
        <f t="shared" si="1"/>
        <v>5.29</v>
      </c>
      <c r="S5" s="32">
        <f t="shared" si="1"/>
        <v>46.3</v>
      </c>
      <c r="T5" s="32">
        <f t="shared" si="1"/>
        <v>13.5</v>
      </c>
      <c r="U5" s="32">
        <f t="shared" si="1"/>
        <v>74.2</v>
      </c>
      <c r="V5" s="32">
        <f t="shared" si="1"/>
        <v>21.5</v>
      </c>
      <c r="W5" s="32">
        <f t="shared" si="1"/>
        <v>16.100000000000001</v>
      </c>
      <c r="X5" s="32">
        <f t="shared" si="1"/>
        <v>63.4</v>
      </c>
      <c r="Y5" s="32">
        <f t="shared" si="1"/>
        <v>12.83</v>
      </c>
      <c r="Z5" s="32">
        <f t="shared" si="1"/>
        <v>74.7</v>
      </c>
      <c r="AA5" s="32">
        <f t="shared" si="2"/>
        <v>11.9</v>
      </c>
      <c r="AB5" s="32">
        <f t="shared" si="2"/>
        <v>39.69</v>
      </c>
      <c r="AC5" s="32">
        <f t="shared" si="2"/>
        <v>11.5</v>
      </c>
      <c r="AD5" s="32">
        <f t="shared" si="2"/>
        <v>4.5999999999999996</v>
      </c>
      <c r="AE5" s="32">
        <f t="shared" si="2"/>
        <v>-1.3</v>
      </c>
      <c r="AF5" s="32">
        <f t="shared" si="2"/>
        <v>9.4700000000000006</v>
      </c>
      <c r="AG5" s="32">
        <f t="shared" si="2"/>
        <v>10.1</v>
      </c>
      <c r="AH5" s="29">
        <v>65.900000000000006</v>
      </c>
      <c r="AI5" s="30">
        <f t="shared" si="3"/>
        <v>18.8</v>
      </c>
      <c r="AJ5" s="31">
        <f t="shared" si="4"/>
        <v>55.723542116630675</v>
      </c>
    </row>
    <row r="6" spans="1:36" s="2" customFormat="1" ht="15.6" x14ac:dyDescent="0.3">
      <c r="A6" s="6" t="s">
        <v>372</v>
      </c>
      <c r="B6" s="2">
        <v>8</v>
      </c>
      <c r="C6" s="3">
        <v>2</v>
      </c>
      <c r="D6" s="2">
        <v>1</v>
      </c>
      <c r="E6" s="5" t="s">
        <v>404</v>
      </c>
      <c r="F6" s="4"/>
      <c r="G6" s="32">
        <f t="shared" si="0"/>
        <v>32</v>
      </c>
      <c r="H6" s="32">
        <f t="shared" si="0"/>
        <v>6.9</v>
      </c>
      <c r="I6" s="32">
        <f t="shared" si="0"/>
        <v>33.6</v>
      </c>
      <c r="J6" s="32">
        <f t="shared" si="0"/>
        <v>21.6</v>
      </c>
      <c r="K6" s="32">
        <f t="shared" si="0"/>
        <v>1.1499999999999999</v>
      </c>
      <c r="L6" s="32">
        <f t="shared" si="0"/>
        <v>10.6</v>
      </c>
      <c r="M6" s="32">
        <f t="shared" si="0"/>
        <v>14.19</v>
      </c>
      <c r="N6" s="32">
        <f t="shared" si="0"/>
        <v>3.8</v>
      </c>
      <c r="O6" s="32">
        <f t="shared" si="0"/>
        <v>43</v>
      </c>
      <c r="P6" s="32">
        <f t="shared" si="0"/>
        <v>23.79</v>
      </c>
      <c r="Q6" s="32">
        <f t="shared" si="1"/>
        <v>0.50900000000000001</v>
      </c>
      <c r="R6" s="32">
        <f t="shared" si="1"/>
        <v>8.76</v>
      </c>
      <c r="S6" s="32">
        <f t="shared" si="1"/>
        <v>44.9</v>
      </c>
      <c r="T6" s="32">
        <f t="shared" si="1"/>
        <v>15.8</v>
      </c>
      <c r="U6" s="32">
        <f t="shared" si="1"/>
        <v>72.3</v>
      </c>
      <c r="V6" s="32">
        <f t="shared" si="1"/>
        <v>19.5</v>
      </c>
      <c r="W6" s="32">
        <f t="shared" si="1"/>
        <v>14.8</v>
      </c>
      <c r="X6" s="32">
        <f t="shared" si="1"/>
        <v>66.099999999999994</v>
      </c>
      <c r="Y6" s="32">
        <f t="shared" si="1"/>
        <v>10.06</v>
      </c>
      <c r="Z6" s="32">
        <f t="shared" si="1"/>
        <v>71.599999999999994</v>
      </c>
      <c r="AA6" s="32">
        <f t="shared" si="2"/>
        <v>1.9</v>
      </c>
      <c r="AB6" s="32">
        <f t="shared" si="2"/>
        <v>34.340000000000003</v>
      </c>
      <c r="AC6" s="32">
        <f t="shared" si="2"/>
        <v>6.4</v>
      </c>
      <c r="AD6" s="32">
        <f t="shared" si="2"/>
        <v>5.8</v>
      </c>
      <c r="AE6" s="32">
        <f t="shared" si="2"/>
        <v>0.5</v>
      </c>
      <c r="AF6" s="32">
        <f t="shared" si="2"/>
        <v>11.12</v>
      </c>
      <c r="AG6" s="32">
        <f t="shared" si="2"/>
        <v>9.9</v>
      </c>
      <c r="AH6" s="29">
        <v>66</v>
      </c>
      <c r="AI6" s="30">
        <f t="shared" si="3"/>
        <v>18.049999999999997</v>
      </c>
      <c r="AJ6" s="31">
        <f t="shared" si="4"/>
        <v>55.567928730512243</v>
      </c>
    </row>
    <row r="7" spans="1:36" s="2" customFormat="1" ht="15.6" x14ac:dyDescent="0.3">
      <c r="A7" s="6" t="s">
        <v>392</v>
      </c>
      <c r="B7" s="2">
        <v>10</v>
      </c>
      <c r="C7" s="3">
        <v>2</v>
      </c>
      <c r="D7" s="2">
        <v>2</v>
      </c>
      <c r="E7" s="5" t="s">
        <v>404</v>
      </c>
      <c r="F7" s="4"/>
      <c r="G7" s="32">
        <f t="shared" si="0"/>
        <v>32.5</v>
      </c>
      <c r="H7" s="32">
        <f t="shared" si="0"/>
        <v>11.1</v>
      </c>
      <c r="I7" s="32">
        <f t="shared" si="0"/>
        <v>39.1</v>
      </c>
      <c r="J7" s="32">
        <f t="shared" si="0"/>
        <v>26.3</v>
      </c>
      <c r="K7" s="32">
        <f t="shared" si="0"/>
        <v>1.66</v>
      </c>
      <c r="L7" s="32">
        <f t="shared" si="0"/>
        <v>13.9</v>
      </c>
      <c r="M7" s="32">
        <f t="shared" si="0"/>
        <v>15.86</v>
      </c>
      <c r="N7" s="32">
        <f t="shared" si="0"/>
        <v>2.2000000000000002</v>
      </c>
      <c r="O7" s="32">
        <f t="shared" si="0"/>
        <v>43.1</v>
      </c>
      <c r="P7" s="32">
        <f t="shared" si="0"/>
        <v>27.08</v>
      </c>
      <c r="Q7" s="32">
        <f t="shared" si="1"/>
        <v>0.55800000000000005</v>
      </c>
      <c r="R7" s="32">
        <f t="shared" si="1"/>
        <v>5.89</v>
      </c>
      <c r="S7" s="32">
        <f t="shared" si="1"/>
        <v>46.9</v>
      </c>
      <c r="T7" s="32">
        <f t="shared" si="1"/>
        <v>15.1</v>
      </c>
      <c r="U7" s="32">
        <f t="shared" si="1"/>
        <v>73.3</v>
      </c>
      <c r="V7" s="32">
        <f t="shared" si="1"/>
        <v>14</v>
      </c>
      <c r="W7" s="32">
        <f t="shared" si="1"/>
        <v>8.9</v>
      </c>
      <c r="X7" s="32">
        <f t="shared" si="1"/>
        <v>69.900000000000006</v>
      </c>
      <c r="Y7" s="32">
        <f t="shared" si="1"/>
        <v>6.77</v>
      </c>
      <c r="Z7" s="32">
        <f t="shared" si="1"/>
        <v>74.2</v>
      </c>
      <c r="AA7" s="32">
        <f t="shared" si="2"/>
        <v>-2.2000000000000002</v>
      </c>
      <c r="AB7" s="32">
        <f t="shared" si="2"/>
        <v>33.549999999999997</v>
      </c>
      <c r="AC7" s="32">
        <f t="shared" si="2"/>
        <v>2.4</v>
      </c>
      <c r="AD7" s="32">
        <f t="shared" si="2"/>
        <v>3.8</v>
      </c>
      <c r="AE7" s="32">
        <f t="shared" si="2"/>
        <v>-0.2</v>
      </c>
      <c r="AF7" s="32">
        <f t="shared" si="2"/>
        <v>7.6</v>
      </c>
      <c r="AG7" s="32">
        <f t="shared" si="2"/>
        <v>8.8000000000000007</v>
      </c>
      <c r="AH7" s="29">
        <v>66.400000000000006</v>
      </c>
      <c r="AI7" s="30">
        <f t="shared" si="3"/>
        <v>16</v>
      </c>
      <c r="AJ7" s="31">
        <f t="shared" si="4"/>
        <v>57.782515991471215</v>
      </c>
    </row>
    <row r="8" spans="1:36" s="2" customFormat="1" ht="15.6" x14ac:dyDescent="0.3">
      <c r="A8" s="6" t="s">
        <v>38</v>
      </c>
      <c r="B8" s="2">
        <v>15</v>
      </c>
      <c r="C8" s="3">
        <v>1</v>
      </c>
      <c r="D8" s="2">
        <v>4</v>
      </c>
      <c r="E8" s="5" t="s">
        <v>404</v>
      </c>
      <c r="F8" s="4"/>
      <c r="G8" s="32">
        <f t="shared" si="0"/>
        <v>34.6</v>
      </c>
      <c r="H8" s="32">
        <f t="shared" si="0"/>
        <v>8.6</v>
      </c>
      <c r="I8" s="32">
        <f t="shared" si="0"/>
        <v>35.799999999999997</v>
      </c>
      <c r="J8" s="32">
        <f t="shared" si="0"/>
        <v>23.9</v>
      </c>
      <c r="K8" s="32">
        <f t="shared" si="0"/>
        <v>1.63</v>
      </c>
      <c r="L8" s="32">
        <f t="shared" si="0"/>
        <v>13.8</v>
      </c>
      <c r="M8" s="32">
        <f t="shared" si="0"/>
        <v>23.24</v>
      </c>
      <c r="N8" s="32">
        <f t="shared" si="0"/>
        <v>3.1</v>
      </c>
      <c r="O8" s="32">
        <f t="shared" si="0"/>
        <v>44.5</v>
      </c>
      <c r="P8" s="32">
        <f t="shared" si="0"/>
        <v>25.25</v>
      </c>
      <c r="Q8" s="32">
        <f t="shared" si="1"/>
        <v>0.55500000000000005</v>
      </c>
      <c r="R8" s="32">
        <f t="shared" si="1"/>
        <v>6</v>
      </c>
      <c r="S8" s="32">
        <f t="shared" si="1"/>
        <v>47.8</v>
      </c>
      <c r="T8" s="32">
        <f t="shared" si="1"/>
        <v>14.7</v>
      </c>
      <c r="U8" s="32">
        <f t="shared" si="1"/>
        <v>70.7</v>
      </c>
      <c r="V8" s="32">
        <f t="shared" si="1"/>
        <v>16.2</v>
      </c>
      <c r="W8" s="32">
        <f t="shared" si="1"/>
        <v>11.4</v>
      </c>
      <c r="X8" s="32">
        <f t="shared" si="1"/>
        <v>67.5</v>
      </c>
      <c r="Y8" s="32">
        <f t="shared" si="1"/>
        <v>7.66</v>
      </c>
      <c r="Z8" s="32">
        <f t="shared" si="1"/>
        <v>74.900000000000006</v>
      </c>
      <c r="AA8" s="32">
        <f t="shared" si="2"/>
        <v>-0.1</v>
      </c>
      <c r="AB8" s="32">
        <f t="shared" si="2"/>
        <v>31.41</v>
      </c>
      <c r="AC8" s="32">
        <f t="shared" si="2"/>
        <v>5.7</v>
      </c>
      <c r="AD8" s="32">
        <f t="shared" si="2"/>
        <v>5.9</v>
      </c>
      <c r="AE8" s="32">
        <f t="shared" si="2"/>
        <v>1.5</v>
      </c>
      <c r="AF8" s="32">
        <f t="shared" si="2"/>
        <v>10.59</v>
      </c>
      <c r="AG8" s="32">
        <f t="shared" si="2"/>
        <v>8.9</v>
      </c>
      <c r="AH8" s="29">
        <v>67</v>
      </c>
      <c r="AI8" s="30">
        <f t="shared" si="3"/>
        <v>18.850000000000005</v>
      </c>
      <c r="AJ8" s="31">
        <f t="shared" si="4"/>
        <v>57.426778242677834</v>
      </c>
    </row>
    <row r="9" spans="1:36" s="2" customFormat="1" ht="15.6" x14ac:dyDescent="0.3">
      <c r="A9" s="6" t="s">
        <v>10</v>
      </c>
      <c r="B9" s="2">
        <v>7</v>
      </c>
      <c r="C9" s="3">
        <v>2</v>
      </c>
      <c r="D9" s="2">
        <v>3</v>
      </c>
      <c r="E9" s="5" t="s">
        <v>404</v>
      </c>
      <c r="F9" s="4"/>
      <c r="G9" s="32">
        <f t="shared" si="0"/>
        <v>33.6</v>
      </c>
      <c r="H9" s="32">
        <f t="shared" si="0"/>
        <v>7.9</v>
      </c>
      <c r="I9" s="32">
        <f t="shared" si="0"/>
        <v>32.700000000000003</v>
      </c>
      <c r="J9" s="32">
        <f t="shared" si="0"/>
        <v>23.8</v>
      </c>
      <c r="K9" s="32">
        <f t="shared" si="0"/>
        <v>1.47</v>
      </c>
      <c r="L9" s="32">
        <f t="shared" si="0"/>
        <v>13</v>
      </c>
      <c r="M9" s="32">
        <f t="shared" si="0"/>
        <v>15.43</v>
      </c>
      <c r="N9" s="32">
        <f t="shared" si="0"/>
        <v>3.9</v>
      </c>
      <c r="O9" s="32">
        <f t="shared" si="0"/>
        <v>41.6</v>
      </c>
      <c r="P9" s="32">
        <f t="shared" si="0"/>
        <v>24.47</v>
      </c>
      <c r="Q9" s="32">
        <f t="shared" si="1"/>
        <v>0.45800000000000002</v>
      </c>
      <c r="R9" s="32">
        <f t="shared" si="1"/>
        <v>7.46</v>
      </c>
      <c r="S9" s="32">
        <f t="shared" si="1"/>
        <v>39.299999999999997</v>
      </c>
      <c r="T9" s="32">
        <f t="shared" si="1"/>
        <v>16</v>
      </c>
      <c r="U9" s="32">
        <f t="shared" si="1"/>
        <v>75.2</v>
      </c>
      <c r="V9" s="32">
        <f t="shared" si="1"/>
        <v>17.2</v>
      </c>
      <c r="W9" s="32">
        <f t="shared" si="1"/>
        <v>13.5</v>
      </c>
      <c r="X9" s="32">
        <f t="shared" si="1"/>
        <v>63.4</v>
      </c>
      <c r="Y9" s="32">
        <f t="shared" si="1"/>
        <v>10.62</v>
      </c>
      <c r="Z9" s="32">
        <f t="shared" si="1"/>
        <v>64.8</v>
      </c>
      <c r="AA9" s="32">
        <f t="shared" si="2"/>
        <v>0.1</v>
      </c>
      <c r="AB9" s="32">
        <f t="shared" si="2"/>
        <v>34.94</v>
      </c>
      <c r="AC9" s="32">
        <f t="shared" si="2"/>
        <v>3.9</v>
      </c>
      <c r="AD9" s="32">
        <f t="shared" si="2"/>
        <v>7.4</v>
      </c>
      <c r="AE9" s="32">
        <f t="shared" si="2"/>
        <v>3.9</v>
      </c>
      <c r="AF9" s="32">
        <f t="shared" si="2"/>
        <v>12.31</v>
      </c>
      <c r="AG9" s="32">
        <f t="shared" si="2"/>
        <v>9.6</v>
      </c>
      <c r="AH9" s="29">
        <v>67</v>
      </c>
      <c r="AI9" s="30">
        <f t="shared" si="3"/>
        <v>13.799999999999997</v>
      </c>
      <c r="AJ9" s="31">
        <f t="shared" si="4"/>
        <v>55.216284987277348</v>
      </c>
    </row>
    <row r="10" spans="1:36" s="2" customFormat="1" ht="15.6" x14ac:dyDescent="0.3">
      <c r="A10" s="6" t="s">
        <v>55</v>
      </c>
      <c r="B10" s="2">
        <v>4</v>
      </c>
      <c r="C10" s="3">
        <v>3</v>
      </c>
      <c r="D10" s="2">
        <v>4</v>
      </c>
      <c r="E10" s="5" t="s">
        <v>404</v>
      </c>
      <c r="F10" s="4"/>
      <c r="G10" s="32">
        <f t="shared" si="0"/>
        <v>29.3</v>
      </c>
      <c r="H10" s="32">
        <f t="shared" si="0"/>
        <v>8</v>
      </c>
      <c r="I10" s="32">
        <f t="shared" si="0"/>
        <v>33.799999999999997</v>
      </c>
      <c r="J10" s="32">
        <f t="shared" si="0"/>
        <v>23.4</v>
      </c>
      <c r="K10" s="32">
        <f t="shared" si="0"/>
        <v>1.55</v>
      </c>
      <c r="L10" s="32">
        <f t="shared" si="0"/>
        <v>17.7</v>
      </c>
      <c r="M10" s="32">
        <f t="shared" si="0"/>
        <v>22.86</v>
      </c>
      <c r="N10" s="32">
        <f t="shared" si="0"/>
        <v>3.8</v>
      </c>
      <c r="O10" s="32">
        <f t="shared" si="0"/>
        <v>38.9</v>
      </c>
      <c r="P10" s="32">
        <f t="shared" si="0"/>
        <v>26.34</v>
      </c>
      <c r="Q10" s="32">
        <f t="shared" si="1"/>
        <v>0.502</v>
      </c>
      <c r="R10" s="32">
        <f t="shared" si="1"/>
        <v>6.24</v>
      </c>
      <c r="S10" s="32">
        <f t="shared" si="1"/>
        <v>43.9</v>
      </c>
      <c r="T10" s="32">
        <f t="shared" si="1"/>
        <v>16.5</v>
      </c>
      <c r="U10" s="32">
        <f t="shared" si="1"/>
        <v>71.099999999999994</v>
      </c>
      <c r="V10" s="32">
        <f t="shared" si="1"/>
        <v>18.5</v>
      </c>
      <c r="W10" s="32">
        <f t="shared" si="1"/>
        <v>13</v>
      </c>
      <c r="X10" s="32">
        <f t="shared" si="1"/>
        <v>59.2</v>
      </c>
      <c r="Y10" s="32">
        <f t="shared" si="1"/>
        <v>13.08</v>
      </c>
      <c r="Z10" s="32">
        <f t="shared" si="1"/>
        <v>72.900000000000006</v>
      </c>
      <c r="AA10" s="32">
        <f t="shared" si="2"/>
        <v>7.8</v>
      </c>
      <c r="AB10" s="32">
        <f t="shared" si="2"/>
        <v>39.56</v>
      </c>
      <c r="AC10" s="32">
        <f t="shared" si="2"/>
        <v>14.8</v>
      </c>
      <c r="AD10" s="32">
        <f t="shared" si="2"/>
        <v>7.9</v>
      </c>
      <c r="AE10" s="32">
        <f t="shared" si="2"/>
        <v>1.9</v>
      </c>
      <c r="AF10" s="32">
        <f t="shared" si="2"/>
        <v>13.42</v>
      </c>
      <c r="AG10" s="32">
        <f t="shared" si="2"/>
        <v>11.1</v>
      </c>
      <c r="AH10" s="29">
        <v>67.7</v>
      </c>
      <c r="AI10" s="30">
        <f t="shared" si="3"/>
        <v>17.950000000000003</v>
      </c>
      <c r="AJ10" s="31">
        <f t="shared" si="4"/>
        <v>59.111617312072909</v>
      </c>
    </row>
    <row r="11" spans="1:36" s="2" customFormat="1" ht="15.6" x14ac:dyDescent="0.3">
      <c r="A11" s="6" t="s">
        <v>34</v>
      </c>
      <c r="B11" s="2">
        <v>7</v>
      </c>
      <c r="C11" s="3">
        <v>3</v>
      </c>
      <c r="D11" s="2">
        <v>4</v>
      </c>
      <c r="E11" s="5" t="s">
        <v>404</v>
      </c>
      <c r="F11" s="4"/>
      <c r="G11" s="32">
        <f t="shared" si="0"/>
        <v>32.1</v>
      </c>
      <c r="H11" s="32">
        <f t="shared" si="0"/>
        <v>7.6</v>
      </c>
      <c r="I11" s="32">
        <f t="shared" si="0"/>
        <v>40.4</v>
      </c>
      <c r="J11" s="32">
        <f t="shared" si="0"/>
        <v>18.8</v>
      </c>
      <c r="K11" s="32">
        <f t="shared" si="0"/>
        <v>1.49</v>
      </c>
      <c r="L11" s="32">
        <f t="shared" si="0"/>
        <v>15.2</v>
      </c>
      <c r="M11" s="32">
        <f t="shared" si="0"/>
        <v>14.22</v>
      </c>
      <c r="N11" s="32">
        <f t="shared" si="0"/>
        <v>3.1</v>
      </c>
      <c r="O11" s="32">
        <f t="shared" si="0"/>
        <v>42.3</v>
      </c>
      <c r="P11" s="32">
        <f t="shared" si="0"/>
        <v>27.28</v>
      </c>
      <c r="Q11" s="32">
        <f t="shared" si="1"/>
        <v>0.52200000000000002</v>
      </c>
      <c r="R11" s="32">
        <f t="shared" si="1"/>
        <v>9.0299999999999994</v>
      </c>
      <c r="S11" s="32">
        <f t="shared" si="1"/>
        <v>45.5</v>
      </c>
      <c r="T11" s="32">
        <f t="shared" si="1"/>
        <v>16.3</v>
      </c>
      <c r="U11" s="32">
        <f t="shared" si="1"/>
        <v>75.7</v>
      </c>
      <c r="V11" s="32">
        <f t="shared" si="1"/>
        <v>14.8</v>
      </c>
      <c r="W11" s="32">
        <f t="shared" si="1"/>
        <v>11.7</v>
      </c>
      <c r="X11" s="32">
        <f t="shared" si="1"/>
        <v>69.599999999999994</v>
      </c>
      <c r="Y11" s="32">
        <f t="shared" si="1"/>
        <v>9.49</v>
      </c>
      <c r="Z11" s="32">
        <f t="shared" si="1"/>
        <v>73.5</v>
      </c>
      <c r="AA11" s="32">
        <f t="shared" si="2"/>
        <v>4.0999999999999996</v>
      </c>
      <c r="AB11" s="32">
        <f t="shared" si="2"/>
        <v>36.119999999999997</v>
      </c>
      <c r="AC11" s="32">
        <f t="shared" si="2"/>
        <v>0.8</v>
      </c>
      <c r="AD11" s="32">
        <f t="shared" si="2"/>
        <v>4.4000000000000004</v>
      </c>
      <c r="AE11" s="32">
        <f t="shared" si="2"/>
        <v>-0.9</v>
      </c>
      <c r="AF11" s="32">
        <f t="shared" si="2"/>
        <v>9.44</v>
      </c>
      <c r="AG11" s="32">
        <f t="shared" si="2"/>
        <v>10</v>
      </c>
      <c r="AH11" s="29">
        <v>67.900000000000006</v>
      </c>
      <c r="AI11" s="30">
        <f t="shared" si="3"/>
        <v>19.5</v>
      </c>
      <c r="AJ11" s="31">
        <f t="shared" si="4"/>
        <v>59.560439560439562</v>
      </c>
    </row>
    <row r="12" spans="1:36" s="2" customFormat="1" ht="15.6" x14ac:dyDescent="0.3">
      <c r="A12" s="6" t="s">
        <v>42</v>
      </c>
      <c r="B12" s="2">
        <v>10</v>
      </c>
      <c r="C12" s="3">
        <v>1</v>
      </c>
      <c r="D12" s="2">
        <v>3</v>
      </c>
      <c r="E12" s="5" t="s">
        <v>404</v>
      </c>
      <c r="F12" s="4"/>
      <c r="G12" s="32">
        <f t="shared" ref="G12:P21" si="5">INDEX(rawValue,MATCH(INDEX(teamID,MATCH(INDEX(ovrTeamCol2,ROW(),1),teamINI,0))+INDEX(statID,MATCH(INDEX(ovrHeaderRow2,1,COLUMN()),statAbbr,0),1),rawLookup2,0))</f>
        <v>31.5</v>
      </c>
      <c r="H12" s="32">
        <f t="shared" si="5"/>
        <v>8.1</v>
      </c>
      <c r="I12" s="32">
        <f t="shared" si="5"/>
        <v>35.9</v>
      </c>
      <c r="J12" s="32">
        <f t="shared" si="5"/>
        <v>22.6</v>
      </c>
      <c r="K12" s="32">
        <f t="shared" si="5"/>
        <v>1.1000000000000001</v>
      </c>
      <c r="L12" s="32">
        <f t="shared" si="5"/>
        <v>9.8000000000000007</v>
      </c>
      <c r="M12" s="32">
        <f t="shared" si="5"/>
        <v>10.49</v>
      </c>
      <c r="N12" s="32">
        <f t="shared" si="5"/>
        <v>3</v>
      </c>
      <c r="O12" s="32">
        <f t="shared" si="5"/>
        <v>41.8</v>
      </c>
      <c r="P12" s="32">
        <f t="shared" si="5"/>
        <v>27.55</v>
      </c>
      <c r="Q12" s="32">
        <f t="shared" ref="Q12:Z21" si="6">INDEX(rawValue,MATCH(INDEX(teamID,MATCH(INDEX(ovrTeamCol2,ROW(),1),teamINI,0))+INDEX(statID,MATCH(INDEX(ovrHeaderRow2,1,COLUMN()),statAbbr,0),1),rawLookup2,0))</f>
        <v>0.53</v>
      </c>
      <c r="R12" s="32">
        <f t="shared" si="6"/>
        <v>7.09</v>
      </c>
      <c r="S12" s="32">
        <f t="shared" si="6"/>
        <v>45.8</v>
      </c>
      <c r="T12" s="32">
        <f t="shared" si="6"/>
        <v>16.3</v>
      </c>
      <c r="U12" s="32">
        <f t="shared" si="6"/>
        <v>72.8</v>
      </c>
      <c r="V12" s="32">
        <f t="shared" si="6"/>
        <v>17.899999999999999</v>
      </c>
      <c r="W12" s="32">
        <f t="shared" si="6"/>
        <v>13.1</v>
      </c>
      <c r="X12" s="32">
        <f t="shared" si="6"/>
        <v>66.7</v>
      </c>
      <c r="Y12" s="32">
        <f t="shared" si="6"/>
        <v>9.59</v>
      </c>
      <c r="Z12" s="32">
        <f t="shared" si="6"/>
        <v>74.099999999999994</v>
      </c>
      <c r="AA12" s="32">
        <f t="shared" ref="AA12:AG21" si="7">INDEX(rawValue,MATCH(INDEX(teamID,MATCH(INDEX(ovrTeamCol2,ROW(),1),teamINI,0))+INDEX(statID,MATCH(INDEX(ovrHeaderRow2,1,COLUMN()),statAbbr,0),1),rawLookup2,0))</f>
        <v>4.3</v>
      </c>
      <c r="AB12" s="32">
        <f t="shared" si="7"/>
        <v>36.64</v>
      </c>
      <c r="AC12" s="32">
        <f t="shared" si="7"/>
        <v>8.3000000000000007</v>
      </c>
      <c r="AD12" s="32">
        <f t="shared" si="7"/>
        <v>5.5</v>
      </c>
      <c r="AE12" s="32">
        <f t="shared" si="7"/>
        <v>0.3</v>
      </c>
      <c r="AF12" s="32">
        <f t="shared" si="7"/>
        <v>11.06</v>
      </c>
      <c r="AG12" s="32">
        <f t="shared" si="7"/>
        <v>10.199999999999999</v>
      </c>
      <c r="AH12" s="29">
        <v>68.8</v>
      </c>
      <c r="AI12" s="30">
        <f t="shared" si="3"/>
        <v>18.349999999999998</v>
      </c>
      <c r="AJ12" s="31">
        <f t="shared" si="4"/>
        <v>57.751091703056765</v>
      </c>
    </row>
    <row r="13" spans="1:36" s="2" customFormat="1" ht="15.6" x14ac:dyDescent="0.3">
      <c r="A13" s="6" t="s">
        <v>261</v>
      </c>
      <c r="B13" s="2">
        <v>2</v>
      </c>
      <c r="C13" s="3">
        <v>3</v>
      </c>
      <c r="D13" s="2">
        <v>3</v>
      </c>
      <c r="E13" s="5" t="s">
        <v>404</v>
      </c>
      <c r="F13" s="4"/>
      <c r="G13" s="32">
        <f t="shared" si="5"/>
        <v>31.4</v>
      </c>
      <c r="H13" s="32">
        <f t="shared" si="5"/>
        <v>6.5</v>
      </c>
      <c r="I13" s="32">
        <f t="shared" si="5"/>
        <v>35.200000000000003</v>
      </c>
      <c r="J13" s="32">
        <f t="shared" si="5"/>
        <v>17.899999999999999</v>
      </c>
      <c r="K13" s="32">
        <f t="shared" si="5"/>
        <v>1.63</v>
      </c>
      <c r="L13" s="32">
        <f t="shared" si="5"/>
        <v>15</v>
      </c>
      <c r="M13" s="32">
        <f t="shared" si="5"/>
        <v>12.71</v>
      </c>
      <c r="N13" s="32">
        <f t="shared" si="5"/>
        <v>3.8</v>
      </c>
      <c r="O13" s="32">
        <f t="shared" si="5"/>
        <v>41</v>
      </c>
      <c r="P13" s="32">
        <f t="shared" si="5"/>
        <v>24.3</v>
      </c>
      <c r="Q13" s="32">
        <f t="shared" si="6"/>
        <v>0.51400000000000001</v>
      </c>
      <c r="R13" s="32">
        <f t="shared" si="6"/>
        <v>12.21</v>
      </c>
      <c r="S13" s="32">
        <f t="shared" si="6"/>
        <v>46.7</v>
      </c>
      <c r="T13" s="32">
        <f t="shared" si="6"/>
        <v>15.4</v>
      </c>
      <c r="U13" s="32">
        <f t="shared" si="6"/>
        <v>72.3</v>
      </c>
      <c r="V13" s="32">
        <f t="shared" si="6"/>
        <v>16.899999999999999</v>
      </c>
      <c r="W13" s="32">
        <f t="shared" si="6"/>
        <v>11.9</v>
      </c>
      <c r="X13" s="32">
        <f t="shared" si="6"/>
        <v>62.2</v>
      </c>
      <c r="Y13" s="32">
        <f t="shared" si="6"/>
        <v>11.65</v>
      </c>
      <c r="Z13" s="32">
        <f t="shared" si="6"/>
        <v>75.3</v>
      </c>
      <c r="AA13" s="32">
        <f t="shared" si="7"/>
        <v>3.9</v>
      </c>
      <c r="AB13" s="32">
        <f t="shared" si="7"/>
        <v>35.85</v>
      </c>
      <c r="AC13" s="32">
        <f t="shared" si="7"/>
        <v>15.4</v>
      </c>
      <c r="AD13" s="32">
        <f t="shared" si="7"/>
        <v>8.1</v>
      </c>
      <c r="AE13" s="32">
        <f t="shared" si="7"/>
        <v>6.7</v>
      </c>
      <c r="AF13" s="32">
        <f t="shared" si="7"/>
        <v>14.33</v>
      </c>
      <c r="AG13" s="32">
        <f t="shared" si="7"/>
        <v>9.6</v>
      </c>
      <c r="AH13" s="29">
        <v>68.8</v>
      </c>
      <c r="AI13" s="30">
        <f t="shared" si="3"/>
        <v>21.95</v>
      </c>
      <c r="AJ13" s="31">
        <f t="shared" si="4"/>
        <v>60.920770877944321</v>
      </c>
    </row>
    <row r="14" spans="1:36" s="2" customFormat="1" ht="15.6" x14ac:dyDescent="0.3">
      <c r="A14" s="6" t="s">
        <v>26</v>
      </c>
      <c r="B14" s="2">
        <v>11</v>
      </c>
      <c r="C14" s="3">
        <v>1</v>
      </c>
      <c r="D14" s="2">
        <v>3</v>
      </c>
      <c r="E14" s="5" t="s">
        <v>404</v>
      </c>
      <c r="F14" s="4"/>
      <c r="G14" s="32">
        <f t="shared" si="5"/>
        <v>32.5</v>
      </c>
      <c r="H14" s="32">
        <f t="shared" si="5"/>
        <v>7.3</v>
      </c>
      <c r="I14" s="32">
        <f t="shared" si="5"/>
        <v>35.5</v>
      </c>
      <c r="J14" s="32">
        <f t="shared" si="5"/>
        <v>21.6</v>
      </c>
      <c r="K14" s="32">
        <f t="shared" si="5"/>
        <v>1.58</v>
      </c>
      <c r="L14" s="32">
        <f t="shared" si="5"/>
        <v>14.9</v>
      </c>
      <c r="M14" s="32">
        <f t="shared" si="5"/>
        <v>15.03</v>
      </c>
      <c r="N14" s="32">
        <f t="shared" si="5"/>
        <v>3.1</v>
      </c>
      <c r="O14" s="32">
        <f t="shared" si="5"/>
        <v>42.9</v>
      </c>
      <c r="P14" s="32">
        <f t="shared" si="5"/>
        <v>26.46</v>
      </c>
      <c r="Q14" s="32">
        <f t="shared" si="6"/>
        <v>0.51600000000000001</v>
      </c>
      <c r="R14" s="32">
        <f t="shared" si="6"/>
        <v>6.39</v>
      </c>
      <c r="S14" s="32">
        <f t="shared" si="6"/>
        <v>44.9</v>
      </c>
      <c r="T14" s="32">
        <f t="shared" si="6"/>
        <v>17.5</v>
      </c>
      <c r="U14" s="32">
        <f t="shared" si="6"/>
        <v>78.8</v>
      </c>
      <c r="V14" s="32">
        <f t="shared" si="6"/>
        <v>23.1</v>
      </c>
      <c r="W14" s="32">
        <f t="shared" si="6"/>
        <v>17.8</v>
      </c>
      <c r="X14" s="32">
        <f t="shared" si="6"/>
        <v>69.099999999999994</v>
      </c>
      <c r="Y14" s="32">
        <f t="shared" si="6"/>
        <v>7.86</v>
      </c>
      <c r="Z14" s="32">
        <f t="shared" si="6"/>
        <v>74.7</v>
      </c>
      <c r="AA14" s="32">
        <f t="shared" si="7"/>
        <v>0.5</v>
      </c>
      <c r="AB14" s="32">
        <f t="shared" si="7"/>
        <v>34.32</v>
      </c>
      <c r="AC14" s="32">
        <f t="shared" si="7"/>
        <v>3.5</v>
      </c>
      <c r="AD14" s="32">
        <f t="shared" si="7"/>
        <v>5.9</v>
      </c>
      <c r="AE14" s="32">
        <f t="shared" si="7"/>
        <v>1.6</v>
      </c>
      <c r="AF14" s="32">
        <f t="shared" si="7"/>
        <v>11.38</v>
      </c>
      <c r="AG14" s="32">
        <f t="shared" si="7"/>
        <v>9.6999999999999993</v>
      </c>
      <c r="AH14" s="29">
        <v>68.900000000000006</v>
      </c>
      <c r="AI14" s="30">
        <f t="shared" si="3"/>
        <v>17.500000000000004</v>
      </c>
      <c r="AJ14" s="31">
        <f t="shared" si="4"/>
        <v>55.233853006681528</v>
      </c>
    </row>
    <row r="15" spans="1:36" s="2" customFormat="1" ht="15.6" x14ac:dyDescent="0.3">
      <c r="A15" s="6" t="s">
        <v>30</v>
      </c>
      <c r="B15" s="2">
        <v>15</v>
      </c>
      <c r="C15" s="3">
        <v>1</v>
      </c>
      <c r="D15" s="2">
        <v>2</v>
      </c>
      <c r="E15" s="5" t="s">
        <v>404</v>
      </c>
      <c r="F15" s="4"/>
      <c r="G15" s="32">
        <f t="shared" si="5"/>
        <v>34.9</v>
      </c>
      <c r="H15" s="32">
        <f t="shared" si="5"/>
        <v>8.5</v>
      </c>
      <c r="I15" s="32">
        <f t="shared" si="5"/>
        <v>40.9</v>
      </c>
      <c r="J15" s="32">
        <f t="shared" si="5"/>
        <v>21</v>
      </c>
      <c r="K15" s="32">
        <f t="shared" si="5"/>
        <v>1.86</v>
      </c>
      <c r="L15" s="32">
        <f t="shared" si="5"/>
        <v>18.5</v>
      </c>
      <c r="M15" s="32">
        <f t="shared" si="5"/>
        <v>17.97</v>
      </c>
      <c r="N15" s="32">
        <f t="shared" si="5"/>
        <v>3</v>
      </c>
      <c r="O15" s="32">
        <f t="shared" si="5"/>
        <v>45.5</v>
      </c>
      <c r="P15" s="32">
        <f t="shared" si="5"/>
        <v>26.4</v>
      </c>
      <c r="Q15" s="32">
        <f t="shared" si="6"/>
        <v>0.57299999999999995</v>
      </c>
      <c r="R15" s="32">
        <f t="shared" si="6"/>
        <v>9.33</v>
      </c>
      <c r="S15" s="32">
        <f t="shared" si="6"/>
        <v>49.7</v>
      </c>
      <c r="T15" s="32">
        <f t="shared" si="6"/>
        <v>11.5</v>
      </c>
      <c r="U15" s="32">
        <f t="shared" si="6"/>
        <v>67.599999999999994</v>
      </c>
      <c r="V15" s="32">
        <f t="shared" si="6"/>
        <v>15.4</v>
      </c>
      <c r="W15" s="32">
        <f t="shared" si="6"/>
        <v>10.5</v>
      </c>
      <c r="X15" s="32">
        <f t="shared" si="6"/>
        <v>71.099999999999994</v>
      </c>
      <c r="Y15" s="32">
        <f t="shared" si="6"/>
        <v>8.17</v>
      </c>
      <c r="Z15" s="32">
        <f t="shared" si="6"/>
        <v>80.900000000000006</v>
      </c>
      <c r="AA15" s="32">
        <f t="shared" si="7"/>
        <v>3.3</v>
      </c>
      <c r="AB15" s="32">
        <f t="shared" si="7"/>
        <v>34.630000000000003</v>
      </c>
      <c r="AC15" s="32">
        <f t="shared" si="7"/>
        <v>10.3</v>
      </c>
      <c r="AD15" s="32">
        <f t="shared" si="7"/>
        <v>7</v>
      </c>
      <c r="AE15" s="32">
        <f t="shared" si="7"/>
        <v>1.5</v>
      </c>
      <c r="AF15" s="32">
        <f t="shared" si="7"/>
        <v>11.3</v>
      </c>
      <c r="AG15" s="32">
        <f t="shared" si="7"/>
        <v>9.6999999999999993</v>
      </c>
      <c r="AH15" s="29">
        <v>69</v>
      </c>
      <c r="AI15" s="30">
        <f t="shared" si="3"/>
        <v>22.450000000000003</v>
      </c>
      <c r="AJ15" s="31">
        <f t="shared" si="4"/>
        <v>62.273641851106646</v>
      </c>
    </row>
    <row r="16" spans="1:36" s="2" customFormat="1" ht="15.6" x14ac:dyDescent="0.3">
      <c r="A16" s="6" t="s">
        <v>49</v>
      </c>
      <c r="B16" s="2">
        <v>6</v>
      </c>
      <c r="C16" s="3">
        <v>2</v>
      </c>
      <c r="D16" s="2">
        <v>4</v>
      </c>
      <c r="E16" s="5" t="s">
        <v>404</v>
      </c>
      <c r="F16" s="4"/>
      <c r="G16" s="32">
        <f t="shared" si="5"/>
        <v>32.200000000000003</v>
      </c>
      <c r="H16" s="32">
        <f t="shared" si="5"/>
        <v>6.6</v>
      </c>
      <c r="I16" s="32">
        <f t="shared" si="5"/>
        <v>35.1</v>
      </c>
      <c r="J16" s="32">
        <f t="shared" si="5"/>
        <v>18.100000000000001</v>
      </c>
      <c r="K16" s="32">
        <f t="shared" si="5"/>
        <v>1.43</v>
      </c>
      <c r="L16" s="32">
        <f t="shared" si="5"/>
        <v>15.7</v>
      </c>
      <c r="M16" s="32">
        <f t="shared" si="5"/>
        <v>17.46</v>
      </c>
      <c r="N16" s="32">
        <f t="shared" si="5"/>
        <v>3.8</v>
      </c>
      <c r="O16" s="32">
        <f t="shared" si="5"/>
        <v>43.1</v>
      </c>
      <c r="P16" s="32">
        <f t="shared" si="5"/>
        <v>26.36</v>
      </c>
      <c r="Q16" s="32">
        <f t="shared" si="6"/>
        <v>0.50700000000000001</v>
      </c>
      <c r="R16" s="32">
        <f t="shared" si="6"/>
        <v>10.029999999999999</v>
      </c>
      <c r="S16" s="32">
        <f t="shared" si="6"/>
        <v>46</v>
      </c>
      <c r="T16" s="32">
        <f t="shared" si="6"/>
        <v>15.9</v>
      </c>
      <c r="U16" s="32">
        <f t="shared" si="6"/>
        <v>70.900000000000006</v>
      </c>
      <c r="V16" s="32">
        <f t="shared" si="6"/>
        <v>20.100000000000001</v>
      </c>
      <c r="W16" s="32">
        <f t="shared" si="6"/>
        <v>14.4</v>
      </c>
      <c r="X16" s="32">
        <f t="shared" si="6"/>
        <v>69.099999999999994</v>
      </c>
      <c r="Y16" s="32">
        <f t="shared" si="6"/>
        <v>17.420000000000002</v>
      </c>
      <c r="Z16" s="32">
        <f t="shared" si="6"/>
        <v>75.599999999999994</v>
      </c>
      <c r="AA16" s="32">
        <f t="shared" si="7"/>
        <v>11.2</v>
      </c>
      <c r="AB16" s="32">
        <f t="shared" si="7"/>
        <v>42.28</v>
      </c>
      <c r="AC16" s="32">
        <f t="shared" si="7"/>
        <v>6.8</v>
      </c>
      <c r="AD16" s="32">
        <f t="shared" si="7"/>
        <v>6.2</v>
      </c>
      <c r="AE16" s="32">
        <f t="shared" si="7"/>
        <v>-0.3</v>
      </c>
      <c r="AF16" s="32">
        <f t="shared" si="7"/>
        <v>10.43</v>
      </c>
      <c r="AG16" s="32">
        <f t="shared" si="7"/>
        <v>10.7</v>
      </c>
      <c r="AH16" s="29">
        <v>69</v>
      </c>
      <c r="AI16" s="30">
        <f t="shared" si="3"/>
        <v>20.7</v>
      </c>
      <c r="AJ16" s="31">
        <f t="shared" si="4"/>
        <v>59.347826086956509</v>
      </c>
    </row>
    <row r="17" spans="1:36" s="2" customFormat="1" ht="15.6" x14ac:dyDescent="0.3">
      <c r="A17" s="6" t="s">
        <v>336</v>
      </c>
      <c r="B17" s="2">
        <v>11</v>
      </c>
      <c r="C17" s="3">
        <v>3</v>
      </c>
      <c r="D17" s="2">
        <v>2</v>
      </c>
      <c r="E17" s="5" t="s">
        <v>404</v>
      </c>
      <c r="F17" s="4"/>
      <c r="G17" s="32">
        <f t="shared" si="5"/>
        <v>32.299999999999997</v>
      </c>
      <c r="H17" s="32">
        <f t="shared" si="5"/>
        <v>8.9</v>
      </c>
      <c r="I17" s="32">
        <f t="shared" si="5"/>
        <v>35.9</v>
      </c>
      <c r="J17" s="32">
        <f t="shared" si="5"/>
        <v>25.1</v>
      </c>
      <c r="K17" s="32">
        <f t="shared" si="5"/>
        <v>1.41</v>
      </c>
      <c r="L17" s="32">
        <f t="shared" si="5"/>
        <v>14.6</v>
      </c>
      <c r="M17" s="32">
        <f t="shared" si="5"/>
        <v>16.66</v>
      </c>
      <c r="N17" s="32">
        <f t="shared" si="5"/>
        <v>4.0999999999999996</v>
      </c>
      <c r="O17" s="32">
        <f t="shared" si="5"/>
        <v>42.1</v>
      </c>
      <c r="P17" s="32">
        <f t="shared" si="5"/>
        <v>26.71</v>
      </c>
      <c r="Q17" s="32">
        <f t="shared" si="6"/>
        <v>0.53500000000000003</v>
      </c>
      <c r="R17" s="32">
        <f t="shared" si="6"/>
        <v>7.24</v>
      </c>
      <c r="S17" s="32">
        <f t="shared" si="6"/>
        <v>44.9</v>
      </c>
      <c r="T17" s="32">
        <f t="shared" si="6"/>
        <v>16.2</v>
      </c>
      <c r="U17" s="32">
        <f t="shared" si="6"/>
        <v>75.3</v>
      </c>
      <c r="V17" s="32">
        <f t="shared" si="6"/>
        <v>19.7</v>
      </c>
      <c r="W17" s="32">
        <f t="shared" si="6"/>
        <v>15.3</v>
      </c>
      <c r="X17" s="32">
        <f t="shared" si="6"/>
        <v>71.2</v>
      </c>
      <c r="Y17" s="32">
        <f t="shared" si="6"/>
        <v>10.119999999999999</v>
      </c>
      <c r="Z17" s="32">
        <f t="shared" si="6"/>
        <v>76.400000000000006</v>
      </c>
      <c r="AA17" s="32">
        <f t="shared" si="7"/>
        <v>2.4</v>
      </c>
      <c r="AB17" s="32">
        <f t="shared" si="7"/>
        <v>37.61</v>
      </c>
      <c r="AC17" s="32">
        <f t="shared" si="7"/>
        <v>5</v>
      </c>
      <c r="AD17" s="32">
        <f t="shared" si="7"/>
        <v>5.6</v>
      </c>
      <c r="AE17" s="32">
        <f t="shared" si="7"/>
        <v>0.2</v>
      </c>
      <c r="AF17" s="32">
        <f t="shared" si="7"/>
        <v>10.55</v>
      </c>
      <c r="AG17" s="32">
        <f t="shared" si="7"/>
        <v>10.1</v>
      </c>
      <c r="AH17" s="29">
        <v>69.5</v>
      </c>
      <c r="AI17" s="30">
        <f t="shared" si="3"/>
        <v>17.200000000000003</v>
      </c>
      <c r="AJ17" s="31">
        <f t="shared" si="4"/>
        <v>58.129175946547889</v>
      </c>
    </row>
    <row r="18" spans="1:36" s="2" customFormat="1" ht="15.6" x14ac:dyDescent="0.3">
      <c r="A18" s="6" t="s">
        <v>20</v>
      </c>
      <c r="B18" s="2">
        <v>3</v>
      </c>
      <c r="C18" s="3">
        <v>2</v>
      </c>
      <c r="D18" s="2">
        <v>1</v>
      </c>
      <c r="E18" s="5" t="s">
        <v>404</v>
      </c>
      <c r="F18" s="4"/>
      <c r="G18" s="32">
        <f t="shared" si="5"/>
        <v>32.200000000000003</v>
      </c>
      <c r="H18" s="32">
        <f t="shared" si="5"/>
        <v>9.9</v>
      </c>
      <c r="I18" s="32">
        <f t="shared" si="5"/>
        <v>36.6</v>
      </c>
      <c r="J18" s="32">
        <f t="shared" si="5"/>
        <v>25.4</v>
      </c>
      <c r="K18" s="32">
        <f t="shared" si="5"/>
        <v>1.3</v>
      </c>
      <c r="L18" s="32">
        <f t="shared" si="5"/>
        <v>14.7</v>
      </c>
      <c r="M18" s="32">
        <f t="shared" si="5"/>
        <v>17.3</v>
      </c>
      <c r="N18" s="32">
        <f t="shared" si="5"/>
        <v>2.4</v>
      </c>
      <c r="O18" s="32">
        <f t="shared" si="5"/>
        <v>45.1</v>
      </c>
      <c r="P18" s="32">
        <f t="shared" si="5"/>
        <v>23.27</v>
      </c>
      <c r="Q18" s="32">
        <f t="shared" si="6"/>
        <v>0.54400000000000004</v>
      </c>
      <c r="R18" s="32">
        <f t="shared" si="6"/>
        <v>9.74</v>
      </c>
      <c r="S18" s="32">
        <f t="shared" si="6"/>
        <v>45.1</v>
      </c>
      <c r="T18" s="32">
        <f t="shared" si="6"/>
        <v>17.100000000000001</v>
      </c>
      <c r="U18" s="32">
        <f t="shared" si="6"/>
        <v>74.3</v>
      </c>
      <c r="V18" s="32">
        <f t="shared" si="6"/>
        <v>22.6</v>
      </c>
      <c r="W18" s="32">
        <f t="shared" si="6"/>
        <v>17.3</v>
      </c>
      <c r="X18" s="32">
        <f t="shared" si="6"/>
        <v>71.8</v>
      </c>
      <c r="Y18" s="32">
        <f t="shared" si="6"/>
        <v>11.77</v>
      </c>
      <c r="Z18" s="32">
        <f t="shared" si="6"/>
        <v>79.099999999999994</v>
      </c>
      <c r="AA18" s="32">
        <f t="shared" si="7"/>
        <v>3.1</v>
      </c>
      <c r="AB18" s="32">
        <f t="shared" si="7"/>
        <v>34.71</v>
      </c>
      <c r="AC18" s="32">
        <f t="shared" si="7"/>
        <v>7.2</v>
      </c>
      <c r="AD18" s="32">
        <f t="shared" si="7"/>
        <v>6.3</v>
      </c>
      <c r="AE18" s="32">
        <f t="shared" si="7"/>
        <v>0.7</v>
      </c>
      <c r="AF18" s="32">
        <f t="shared" si="7"/>
        <v>11.91</v>
      </c>
      <c r="AG18" s="32">
        <f t="shared" si="7"/>
        <v>11.3</v>
      </c>
      <c r="AH18" s="29">
        <v>69.7</v>
      </c>
      <c r="AI18" s="30">
        <f t="shared" si="3"/>
        <v>16.049999999999997</v>
      </c>
      <c r="AJ18" s="31">
        <f t="shared" si="4"/>
        <v>57.538802660753866</v>
      </c>
    </row>
    <row r="19" spans="1:36" s="2" customFormat="1" ht="15.6" x14ac:dyDescent="0.3">
      <c r="A19" s="6" t="s">
        <v>359</v>
      </c>
      <c r="B19" s="2">
        <v>4</v>
      </c>
      <c r="C19" s="3">
        <v>2</v>
      </c>
      <c r="D19" s="2">
        <v>2</v>
      </c>
      <c r="E19" s="5" t="s">
        <v>404</v>
      </c>
      <c r="F19" s="4"/>
      <c r="G19" s="32">
        <f t="shared" si="5"/>
        <v>33.1</v>
      </c>
      <c r="H19" s="32">
        <f t="shared" si="5"/>
        <v>6.1</v>
      </c>
      <c r="I19" s="32">
        <f t="shared" si="5"/>
        <v>36.6</v>
      </c>
      <c r="J19" s="32">
        <f t="shared" si="5"/>
        <v>15.2</v>
      </c>
      <c r="K19" s="32">
        <f t="shared" si="5"/>
        <v>1.47</v>
      </c>
      <c r="L19" s="32">
        <f t="shared" si="5"/>
        <v>15.9</v>
      </c>
      <c r="M19" s="32">
        <f t="shared" si="5"/>
        <v>17.71</v>
      </c>
      <c r="N19" s="32">
        <f t="shared" si="5"/>
        <v>4.9000000000000004</v>
      </c>
      <c r="O19" s="32">
        <f t="shared" si="5"/>
        <v>41.3</v>
      </c>
      <c r="P19" s="32">
        <f t="shared" si="5"/>
        <v>27.17</v>
      </c>
      <c r="Q19" s="32">
        <f t="shared" si="6"/>
        <v>0.54600000000000004</v>
      </c>
      <c r="R19" s="32">
        <f t="shared" si="6"/>
        <v>10.72</v>
      </c>
      <c r="S19" s="32">
        <f t="shared" si="6"/>
        <v>49</v>
      </c>
      <c r="T19" s="32">
        <f t="shared" si="6"/>
        <v>17</v>
      </c>
      <c r="U19" s="32">
        <f t="shared" si="6"/>
        <v>71.599999999999994</v>
      </c>
      <c r="V19" s="32">
        <f t="shared" si="6"/>
        <v>17.7</v>
      </c>
      <c r="W19" s="32">
        <f t="shared" si="6"/>
        <v>12</v>
      </c>
      <c r="X19" s="32">
        <f t="shared" si="6"/>
        <v>70.5</v>
      </c>
      <c r="Y19" s="32">
        <f t="shared" si="6"/>
        <v>9.61</v>
      </c>
      <c r="Z19" s="32">
        <f t="shared" si="6"/>
        <v>75.599999999999994</v>
      </c>
      <c r="AA19" s="32">
        <f t="shared" si="7"/>
        <v>2.2999999999999998</v>
      </c>
      <c r="AB19" s="32">
        <f t="shared" si="7"/>
        <v>36.51</v>
      </c>
      <c r="AC19" s="32">
        <f t="shared" si="7"/>
        <v>6.2</v>
      </c>
      <c r="AD19" s="32">
        <f t="shared" si="7"/>
        <v>5.9</v>
      </c>
      <c r="AE19" s="32">
        <f t="shared" si="7"/>
        <v>-0.1</v>
      </c>
      <c r="AF19" s="32">
        <f t="shared" si="7"/>
        <v>10.49</v>
      </c>
      <c r="AG19" s="32">
        <f t="shared" si="7"/>
        <v>10.5</v>
      </c>
      <c r="AH19" s="29">
        <v>69.900000000000006</v>
      </c>
      <c r="AI19" s="30">
        <f t="shared" si="3"/>
        <v>22.65</v>
      </c>
      <c r="AJ19" s="31">
        <f t="shared" si="4"/>
        <v>58.673469387755105</v>
      </c>
    </row>
    <row r="20" spans="1:36" s="2" customFormat="1" ht="15.6" x14ac:dyDescent="0.3">
      <c r="A20" s="6" t="s">
        <v>416</v>
      </c>
      <c r="B20" s="2">
        <v>13</v>
      </c>
      <c r="C20" s="3">
        <v>1</v>
      </c>
      <c r="D20" s="2">
        <v>4</v>
      </c>
      <c r="E20" s="5" t="s">
        <v>404</v>
      </c>
      <c r="F20" s="4"/>
      <c r="G20" s="32">
        <f t="shared" si="5"/>
        <v>33.6</v>
      </c>
      <c r="H20" s="32">
        <f t="shared" si="5"/>
        <v>7.2</v>
      </c>
      <c r="I20" s="32">
        <f t="shared" si="5"/>
        <v>37.299999999999997</v>
      </c>
      <c r="J20" s="32">
        <f t="shared" si="5"/>
        <v>18.600000000000001</v>
      </c>
      <c r="K20" s="32">
        <f t="shared" si="5"/>
        <v>1.3</v>
      </c>
      <c r="L20" s="32">
        <f t="shared" si="5"/>
        <v>15</v>
      </c>
      <c r="M20" s="32">
        <f t="shared" si="5"/>
        <v>18.71</v>
      </c>
      <c r="N20" s="32">
        <f t="shared" si="5"/>
        <v>3.1</v>
      </c>
      <c r="O20" s="32">
        <f t="shared" si="5"/>
        <v>43.7</v>
      </c>
      <c r="P20" s="32">
        <f t="shared" si="5"/>
        <v>26</v>
      </c>
      <c r="Q20" s="32">
        <f t="shared" si="6"/>
        <v>0.54800000000000004</v>
      </c>
      <c r="R20" s="32">
        <f t="shared" si="6"/>
        <v>12.41</v>
      </c>
      <c r="S20" s="32">
        <f t="shared" si="6"/>
        <v>48.8</v>
      </c>
      <c r="T20" s="32">
        <f t="shared" si="6"/>
        <v>17</v>
      </c>
      <c r="U20" s="32">
        <f t="shared" si="6"/>
        <v>69.3</v>
      </c>
      <c r="V20" s="32">
        <f t="shared" si="6"/>
        <v>22.4</v>
      </c>
      <c r="W20" s="32">
        <f t="shared" si="6"/>
        <v>15.3</v>
      </c>
      <c r="X20" s="32">
        <f t="shared" si="6"/>
        <v>71.099999999999994</v>
      </c>
      <c r="Y20" s="32">
        <f t="shared" si="6"/>
        <v>11.4</v>
      </c>
      <c r="Z20" s="32">
        <f t="shared" si="6"/>
        <v>79.7</v>
      </c>
      <c r="AA20" s="32">
        <f t="shared" si="7"/>
        <v>7</v>
      </c>
      <c r="AB20" s="32">
        <f t="shared" si="7"/>
        <v>37.78</v>
      </c>
      <c r="AC20" s="32">
        <f t="shared" si="7"/>
        <v>8.9</v>
      </c>
      <c r="AD20" s="32">
        <f t="shared" si="7"/>
        <v>7</v>
      </c>
      <c r="AE20" s="32">
        <f t="shared" si="7"/>
        <v>0.3</v>
      </c>
      <c r="AF20" s="32">
        <f t="shared" si="7"/>
        <v>11.42</v>
      </c>
      <c r="AG20" s="32">
        <f t="shared" si="7"/>
        <v>11.4</v>
      </c>
      <c r="AH20" s="29">
        <v>70.099999999999994</v>
      </c>
      <c r="AI20" s="30">
        <f t="shared" si="3"/>
        <v>21.400000000000002</v>
      </c>
      <c r="AJ20" s="31">
        <f t="shared" si="4"/>
        <v>58.606557377049185</v>
      </c>
    </row>
    <row r="21" spans="1:36" s="2" customFormat="1" ht="15.6" x14ac:dyDescent="0.3">
      <c r="A21" s="6" t="s">
        <v>331</v>
      </c>
      <c r="B21" s="2">
        <v>15</v>
      </c>
      <c r="C21" s="3">
        <v>3</v>
      </c>
      <c r="D21" s="2">
        <v>1</v>
      </c>
      <c r="E21" s="5" t="s">
        <v>404</v>
      </c>
      <c r="F21" s="4"/>
      <c r="G21" s="32">
        <f t="shared" si="5"/>
        <v>32</v>
      </c>
      <c r="H21" s="32">
        <f t="shared" si="5"/>
        <v>8.6</v>
      </c>
      <c r="I21" s="32">
        <f t="shared" si="5"/>
        <v>34.200000000000003</v>
      </c>
      <c r="J21" s="32">
        <f t="shared" si="5"/>
        <v>24.7</v>
      </c>
      <c r="K21" s="32">
        <f t="shared" si="5"/>
        <v>1.26</v>
      </c>
      <c r="L21" s="32">
        <f t="shared" si="5"/>
        <v>13.4</v>
      </c>
      <c r="M21" s="32">
        <f t="shared" si="5"/>
        <v>21.86</v>
      </c>
      <c r="N21" s="32">
        <f t="shared" si="5"/>
        <v>3.6</v>
      </c>
      <c r="O21" s="32">
        <f t="shared" si="5"/>
        <v>42.9</v>
      </c>
      <c r="P21" s="32">
        <f t="shared" si="5"/>
        <v>29.32</v>
      </c>
      <c r="Q21" s="32">
        <f t="shared" si="6"/>
        <v>0.53800000000000003</v>
      </c>
      <c r="R21" s="32">
        <f t="shared" si="6"/>
        <v>7</v>
      </c>
      <c r="S21" s="32">
        <f t="shared" si="6"/>
        <v>46.1</v>
      </c>
      <c r="T21" s="32">
        <f t="shared" si="6"/>
        <v>15.9</v>
      </c>
      <c r="U21" s="32">
        <f t="shared" si="6"/>
        <v>71.7</v>
      </c>
      <c r="V21" s="32">
        <f t="shared" si="6"/>
        <v>18.5</v>
      </c>
      <c r="W21" s="32">
        <f t="shared" si="6"/>
        <v>13.4</v>
      </c>
      <c r="X21" s="32">
        <f t="shared" si="6"/>
        <v>70.400000000000006</v>
      </c>
      <c r="Y21" s="32">
        <f t="shared" si="6"/>
        <v>10.51</v>
      </c>
      <c r="Z21" s="32">
        <f t="shared" si="6"/>
        <v>77.5</v>
      </c>
      <c r="AA21" s="32">
        <f t="shared" si="7"/>
        <v>6.8</v>
      </c>
      <c r="AB21" s="32">
        <f t="shared" si="7"/>
        <v>40.44</v>
      </c>
      <c r="AC21" s="32">
        <f t="shared" si="7"/>
        <v>7.5</v>
      </c>
      <c r="AD21" s="32">
        <f t="shared" si="7"/>
        <v>4.8</v>
      </c>
      <c r="AE21" s="32">
        <f t="shared" si="7"/>
        <v>-2</v>
      </c>
      <c r="AF21" s="32">
        <f t="shared" si="7"/>
        <v>9.57</v>
      </c>
      <c r="AG21" s="32">
        <f t="shared" si="7"/>
        <v>11.2</v>
      </c>
      <c r="AH21" s="29">
        <v>70.3</v>
      </c>
      <c r="AI21" s="30">
        <f t="shared" si="3"/>
        <v>19.149999999999999</v>
      </c>
      <c r="AJ21" s="31">
        <f t="shared" si="4"/>
        <v>60.195227765726678</v>
      </c>
    </row>
    <row r="22" spans="1:36" s="2" customFormat="1" ht="15.6" x14ac:dyDescent="0.3">
      <c r="A22" s="6" t="s">
        <v>409</v>
      </c>
      <c r="B22" s="2">
        <v>13</v>
      </c>
      <c r="C22" s="3">
        <v>2</v>
      </c>
      <c r="D22" s="2">
        <v>1</v>
      </c>
      <c r="E22" s="5" t="s">
        <v>404</v>
      </c>
      <c r="F22" s="4"/>
      <c r="G22" s="32">
        <f t="shared" ref="G22:P31" si="8">INDEX(rawValue,MATCH(INDEX(teamID,MATCH(INDEX(ovrTeamCol2,ROW(),1),teamINI,0))+INDEX(statID,MATCH(INDEX(ovrHeaderRow2,1,COLUMN()),statAbbr,0),1),rawLookup2,0))</f>
        <v>32.6</v>
      </c>
      <c r="H22" s="32">
        <f t="shared" si="8"/>
        <v>9.4</v>
      </c>
      <c r="I22" s="32">
        <f t="shared" si="8"/>
        <v>34.5</v>
      </c>
      <c r="J22" s="32">
        <f t="shared" si="8"/>
        <v>29.1</v>
      </c>
      <c r="K22" s="32">
        <f t="shared" si="8"/>
        <v>1.64</v>
      </c>
      <c r="L22" s="32">
        <f t="shared" si="8"/>
        <v>17.5</v>
      </c>
      <c r="M22" s="32">
        <f t="shared" si="8"/>
        <v>18.86</v>
      </c>
      <c r="N22" s="32">
        <f t="shared" si="8"/>
        <v>3.4</v>
      </c>
      <c r="O22" s="32">
        <f t="shared" si="8"/>
        <v>44.4</v>
      </c>
      <c r="P22" s="32">
        <f t="shared" si="8"/>
        <v>25.63</v>
      </c>
      <c r="Q22" s="32">
        <f t="shared" ref="Q22:Z31" si="9">INDEX(rawValue,MATCH(INDEX(teamID,MATCH(INDEX(ovrTeamCol2,ROW(),1),teamINI,0))+INDEX(statID,MATCH(INDEX(ovrHeaderRow2,1,COLUMN()),statAbbr,0),1),rawLookup2,0))</f>
        <v>0.56299999999999994</v>
      </c>
      <c r="R22" s="32">
        <f t="shared" si="9"/>
        <v>11.78</v>
      </c>
      <c r="S22" s="32">
        <f t="shared" si="9"/>
        <v>48.4</v>
      </c>
      <c r="T22" s="32">
        <f t="shared" si="9"/>
        <v>16.600000000000001</v>
      </c>
      <c r="U22" s="32">
        <f t="shared" si="9"/>
        <v>73.3</v>
      </c>
      <c r="V22" s="32">
        <f t="shared" si="9"/>
        <v>20.8</v>
      </c>
      <c r="W22" s="32">
        <f t="shared" si="9"/>
        <v>15.7</v>
      </c>
      <c r="X22" s="32">
        <f t="shared" si="9"/>
        <v>73.3</v>
      </c>
      <c r="Y22" s="32">
        <f t="shared" si="9"/>
        <v>9.9700000000000006</v>
      </c>
      <c r="Z22" s="32">
        <f t="shared" si="9"/>
        <v>84.5</v>
      </c>
      <c r="AA22" s="32">
        <f t="shared" ref="AA22:AG31" si="10">INDEX(rawValue,MATCH(INDEX(teamID,MATCH(INDEX(ovrTeamCol2,ROW(),1),teamINI,0))+INDEX(statID,MATCH(INDEX(ovrHeaderRow2,1,COLUMN()),statAbbr,0),1),rawLookup2,0))</f>
        <v>2.8</v>
      </c>
      <c r="AB22" s="32">
        <f t="shared" si="10"/>
        <v>35.57</v>
      </c>
      <c r="AC22" s="32">
        <f t="shared" si="10"/>
        <v>11.4</v>
      </c>
      <c r="AD22" s="32">
        <f t="shared" si="10"/>
        <v>6.5</v>
      </c>
      <c r="AE22" s="32">
        <f t="shared" si="10"/>
        <v>1.4</v>
      </c>
      <c r="AF22" s="32">
        <f t="shared" si="10"/>
        <v>11.83</v>
      </c>
      <c r="AG22" s="32">
        <f t="shared" si="10"/>
        <v>10.1</v>
      </c>
      <c r="AH22" s="29">
        <v>70.400000000000006</v>
      </c>
      <c r="AI22" s="30">
        <f t="shared" si="3"/>
        <v>20.299999999999997</v>
      </c>
      <c r="AJ22" s="31">
        <f t="shared" si="4"/>
        <v>61.363636363636353</v>
      </c>
    </row>
    <row r="23" spans="1:36" s="2" customFormat="1" ht="15.6" x14ac:dyDescent="0.3">
      <c r="A23" s="6" t="s">
        <v>313</v>
      </c>
      <c r="B23" s="2">
        <v>5</v>
      </c>
      <c r="C23" s="3">
        <v>5</v>
      </c>
      <c r="D23" s="2">
        <v>2</v>
      </c>
      <c r="E23" s="5" t="s">
        <v>404</v>
      </c>
      <c r="F23" s="4"/>
      <c r="G23" s="32">
        <f t="shared" si="8"/>
        <v>33.5</v>
      </c>
      <c r="H23" s="32">
        <f t="shared" si="8"/>
        <v>7.6</v>
      </c>
      <c r="I23" s="32">
        <f t="shared" si="8"/>
        <v>36.799999999999997</v>
      </c>
      <c r="J23" s="32">
        <f t="shared" si="8"/>
        <v>21.6</v>
      </c>
      <c r="K23" s="32">
        <f t="shared" si="8"/>
        <v>1.47</v>
      </c>
      <c r="L23" s="32">
        <f t="shared" si="8"/>
        <v>15</v>
      </c>
      <c r="M23" s="32">
        <f t="shared" si="8"/>
        <v>12.97</v>
      </c>
      <c r="N23" s="32">
        <f t="shared" si="8"/>
        <v>3.1</v>
      </c>
      <c r="O23" s="32">
        <f t="shared" si="8"/>
        <v>44.9</v>
      </c>
      <c r="P23" s="32">
        <f t="shared" si="8"/>
        <v>24.63</v>
      </c>
      <c r="Q23" s="32">
        <f t="shared" si="9"/>
        <v>0.54900000000000004</v>
      </c>
      <c r="R23" s="32">
        <f t="shared" si="9"/>
        <v>14.09</v>
      </c>
      <c r="S23" s="32">
        <f t="shared" si="9"/>
        <v>48.7</v>
      </c>
      <c r="T23" s="32">
        <f t="shared" si="9"/>
        <v>13.7</v>
      </c>
      <c r="U23" s="32">
        <f t="shared" si="9"/>
        <v>78</v>
      </c>
      <c r="V23" s="32">
        <f t="shared" si="9"/>
        <v>18.600000000000001</v>
      </c>
      <c r="W23" s="32">
        <f t="shared" si="9"/>
        <v>15.2</v>
      </c>
      <c r="X23" s="32">
        <f t="shared" si="9"/>
        <v>73.599999999999994</v>
      </c>
      <c r="Y23" s="32">
        <f t="shared" si="9"/>
        <v>10.83</v>
      </c>
      <c r="Z23" s="32">
        <f t="shared" si="9"/>
        <v>81.900000000000006</v>
      </c>
      <c r="AA23" s="32">
        <f t="shared" si="10"/>
        <v>3.6</v>
      </c>
      <c r="AB23" s="32">
        <f t="shared" si="10"/>
        <v>35.18</v>
      </c>
      <c r="AC23" s="32">
        <f t="shared" si="10"/>
        <v>7.7</v>
      </c>
      <c r="AD23" s="32">
        <f t="shared" si="10"/>
        <v>7.1</v>
      </c>
      <c r="AE23" s="32">
        <f t="shared" si="10"/>
        <v>0.8</v>
      </c>
      <c r="AF23" s="32">
        <f t="shared" si="10"/>
        <v>11.36</v>
      </c>
      <c r="AG23" s="32">
        <f t="shared" si="10"/>
        <v>10.1</v>
      </c>
      <c r="AH23" s="29">
        <v>70.599999999999994</v>
      </c>
      <c r="AI23" s="30">
        <f t="shared" si="3"/>
        <v>21.950000000000003</v>
      </c>
      <c r="AJ23" s="31">
        <f t="shared" si="4"/>
        <v>60.677618069815203</v>
      </c>
    </row>
    <row r="24" spans="1:36" s="2" customFormat="1" ht="15.6" x14ac:dyDescent="0.3">
      <c r="A24" s="6" t="s">
        <v>61</v>
      </c>
      <c r="B24" s="2">
        <v>10</v>
      </c>
      <c r="C24" s="3">
        <v>1</v>
      </c>
      <c r="D24" s="2">
        <v>1</v>
      </c>
      <c r="E24" s="5" t="s">
        <v>404</v>
      </c>
      <c r="F24" s="4"/>
      <c r="G24" s="32">
        <f t="shared" si="8"/>
        <v>34.299999999999997</v>
      </c>
      <c r="H24" s="32">
        <f t="shared" si="8"/>
        <v>9.4</v>
      </c>
      <c r="I24" s="32">
        <f t="shared" si="8"/>
        <v>39</v>
      </c>
      <c r="J24" s="32">
        <f t="shared" si="8"/>
        <v>24.1</v>
      </c>
      <c r="K24" s="32">
        <f t="shared" si="8"/>
        <v>1.54</v>
      </c>
      <c r="L24" s="32">
        <f t="shared" si="8"/>
        <v>17.8</v>
      </c>
      <c r="M24" s="32">
        <f t="shared" si="8"/>
        <v>26.91</v>
      </c>
      <c r="N24" s="32">
        <f t="shared" si="8"/>
        <v>3.6</v>
      </c>
      <c r="O24" s="32">
        <f t="shared" si="8"/>
        <v>42.2</v>
      </c>
      <c r="P24" s="32">
        <f t="shared" si="8"/>
        <v>27.88</v>
      </c>
      <c r="Q24" s="32">
        <f t="shared" si="9"/>
        <v>0.57099999999999995</v>
      </c>
      <c r="R24" s="32">
        <f t="shared" si="9"/>
        <v>9.16</v>
      </c>
      <c r="S24" s="32">
        <f t="shared" si="9"/>
        <v>48.4</v>
      </c>
      <c r="T24" s="32">
        <f t="shared" si="9"/>
        <v>16.600000000000001</v>
      </c>
      <c r="U24" s="32">
        <f t="shared" si="9"/>
        <v>76</v>
      </c>
      <c r="V24" s="32">
        <f t="shared" si="9"/>
        <v>20.7</v>
      </c>
      <c r="W24" s="32">
        <f t="shared" si="9"/>
        <v>15.5</v>
      </c>
      <c r="X24" s="32">
        <f t="shared" si="9"/>
        <v>71.7</v>
      </c>
      <c r="Y24" s="32">
        <f t="shared" si="9"/>
        <v>8.6999999999999993</v>
      </c>
      <c r="Z24" s="32">
        <f t="shared" si="9"/>
        <v>81</v>
      </c>
      <c r="AA24" s="32">
        <f t="shared" si="10"/>
        <v>4.5999999999999996</v>
      </c>
      <c r="AB24" s="32">
        <f t="shared" si="10"/>
        <v>35.909999999999997</v>
      </c>
      <c r="AC24" s="32">
        <f t="shared" si="10"/>
        <v>9.5</v>
      </c>
      <c r="AD24" s="32">
        <f t="shared" si="10"/>
        <v>5.3</v>
      </c>
      <c r="AE24" s="32">
        <f t="shared" si="10"/>
        <v>-0.6</v>
      </c>
      <c r="AF24" s="32">
        <f t="shared" si="10"/>
        <v>10.36</v>
      </c>
      <c r="AG24" s="32">
        <f t="shared" si="10"/>
        <v>11.3</v>
      </c>
      <c r="AH24" s="29">
        <v>70.599999999999994</v>
      </c>
      <c r="AI24" s="30">
        <f t="shared" si="3"/>
        <v>18.649999999999999</v>
      </c>
      <c r="AJ24" s="31">
        <f t="shared" si="4"/>
        <v>57.954545454545446</v>
      </c>
    </row>
    <row r="25" spans="1:36" s="2" customFormat="1" ht="15.6" x14ac:dyDescent="0.3">
      <c r="A25" s="6" t="s">
        <v>56</v>
      </c>
      <c r="B25" s="2">
        <v>6</v>
      </c>
      <c r="C25" s="3">
        <v>4</v>
      </c>
      <c r="D25" s="2">
        <v>1</v>
      </c>
      <c r="E25" s="5" t="s">
        <v>404</v>
      </c>
      <c r="F25" s="4"/>
      <c r="G25" s="32">
        <f t="shared" si="8"/>
        <v>33.5</v>
      </c>
      <c r="H25" s="32">
        <f t="shared" si="8"/>
        <v>8.8000000000000007</v>
      </c>
      <c r="I25" s="32">
        <f t="shared" si="8"/>
        <v>35.799999999999997</v>
      </c>
      <c r="J25" s="32">
        <f t="shared" si="8"/>
        <v>24.5</v>
      </c>
      <c r="K25" s="32">
        <f t="shared" si="8"/>
        <v>1.49</v>
      </c>
      <c r="L25" s="32">
        <f t="shared" si="8"/>
        <v>16</v>
      </c>
      <c r="M25" s="32">
        <f t="shared" si="8"/>
        <v>10.76</v>
      </c>
      <c r="N25" s="32">
        <f t="shared" si="8"/>
        <v>4.0999999999999996</v>
      </c>
      <c r="O25" s="32">
        <f t="shared" si="8"/>
        <v>42.2</v>
      </c>
      <c r="P25" s="32">
        <f t="shared" si="8"/>
        <v>28.86</v>
      </c>
      <c r="Q25" s="32">
        <f t="shared" si="9"/>
        <v>0.54700000000000004</v>
      </c>
      <c r="R25" s="32">
        <f t="shared" si="9"/>
        <v>8.7100000000000009</v>
      </c>
      <c r="S25" s="32">
        <f t="shared" si="9"/>
        <v>47.6</v>
      </c>
      <c r="T25" s="32">
        <f t="shared" si="9"/>
        <v>13.5</v>
      </c>
      <c r="U25" s="32">
        <f t="shared" si="9"/>
        <v>78</v>
      </c>
      <c r="V25" s="32">
        <f t="shared" si="9"/>
        <v>16.899999999999999</v>
      </c>
      <c r="W25" s="32">
        <f t="shared" si="9"/>
        <v>13.6</v>
      </c>
      <c r="X25" s="32">
        <f t="shared" si="9"/>
        <v>69.900000000000006</v>
      </c>
      <c r="Y25" s="32">
        <f t="shared" si="9"/>
        <v>8.24</v>
      </c>
      <c r="Z25" s="32">
        <f t="shared" si="9"/>
        <v>79</v>
      </c>
      <c r="AA25" s="32">
        <f t="shared" si="10"/>
        <v>4.5</v>
      </c>
      <c r="AB25" s="32">
        <f t="shared" si="10"/>
        <v>38.369999999999997</v>
      </c>
      <c r="AC25" s="32">
        <f t="shared" si="10"/>
        <v>9.3000000000000007</v>
      </c>
      <c r="AD25" s="32">
        <f t="shared" si="10"/>
        <v>5.4</v>
      </c>
      <c r="AE25" s="32">
        <f t="shared" si="10"/>
        <v>-3</v>
      </c>
      <c r="AF25" s="32">
        <f t="shared" si="10"/>
        <v>8.7100000000000009</v>
      </c>
      <c r="AG25" s="32">
        <f t="shared" si="10"/>
        <v>10.6</v>
      </c>
      <c r="AH25" s="29">
        <v>70.8</v>
      </c>
      <c r="AI25" s="30">
        <f t="shared" si="3"/>
        <v>19.5</v>
      </c>
      <c r="AJ25" s="31">
        <f t="shared" si="4"/>
        <v>59.45378151260504</v>
      </c>
    </row>
    <row r="26" spans="1:36" s="2" customFormat="1" ht="15.6" x14ac:dyDescent="0.3">
      <c r="A26" s="6" t="s">
        <v>380</v>
      </c>
      <c r="B26" s="2">
        <v>9</v>
      </c>
      <c r="C26" s="3">
        <v>1</v>
      </c>
      <c r="D26" s="2">
        <v>1</v>
      </c>
      <c r="E26" s="5" t="s">
        <v>404</v>
      </c>
      <c r="F26" s="4"/>
      <c r="G26" s="32">
        <f t="shared" si="8"/>
        <v>33.799999999999997</v>
      </c>
      <c r="H26" s="32">
        <f t="shared" si="8"/>
        <v>7.3</v>
      </c>
      <c r="I26" s="32">
        <f t="shared" si="8"/>
        <v>35.5</v>
      </c>
      <c r="J26" s="32">
        <f t="shared" si="8"/>
        <v>22</v>
      </c>
      <c r="K26" s="32">
        <f t="shared" si="8"/>
        <v>1</v>
      </c>
      <c r="L26" s="32">
        <f t="shared" si="8"/>
        <v>13.2</v>
      </c>
      <c r="M26" s="32">
        <f t="shared" si="8"/>
        <v>25.11</v>
      </c>
      <c r="N26" s="32">
        <f t="shared" si="8"/>
        <v>3.1</v>
      </c>
      <c r="O26" s="32">
        <f t="shared" si="8"/>
        <v>45.1</v>
      </c>
      <c r="P26" s="32">
        <f t="shared" si="8"/>
        <v>23.7</v>
      </c>
      <c r="Q26" s="32">
        <f t="shared" si="9"/>
        <v>0.52100000000000002</v>
      </c>
      <c r="R26" s="32">
        <f t="shared" si="9"/>
        <v>9.94</v>
      </c>
      <c r="S26" s="32">
        <f t="shared" si="9"/>
        <v>45.3</v>
      </c>
      <c r="T26" s="32">
        <f t="shared" si="9"/>
        <v>17.899999999999999</v>
      </c>
      <c r="U26" s="32">
        <f t="shared" si="9"/>
        <v>73.599999999999994</v>
      </c>
      <c r="V26" s="32">
        <f t="shared" si="9"/>
        <v>24.1</v>
      </c>
      <c r="W26" s="32">
        <f t="shared" si="9"/>
        <v>17.5</v>
      </c>
      <c r="X26" s="32">
        <f t="shared" si="9"/>
        <v>72.3</v>
      </c>
      <c r="Y26" s="32">
        <f t="shared" si="9"/>
        <v>11.64</v>
      </c>
      <c r="Z26" s="32">
        <f t="shared" si="9"/>
        <v>78.099999999999994</v>
      </c>
      <c r="AA26" s="32">
        <f t="shared" si="10"/>
        <v>3.8</v>
      </c>
      <c r="AB26" s="32">
        <f t="shared" si="10"/>
        <v>34.68</v>
      </c>
      <c r="AC26" s="32">
        <f t="shared" si="10"/>
        <v>4.5</v>
      </c>
      <c r="AD26" s="32">
        <f t="shared" si="10"/>
        <v>6.5</v>
      </c>
      <c r="AE26" s="32">
        <f t="shared" si="10"/>
        <v>1</v>
      </c>
      <c r="AF26" s="32">
        <f t="shared" si="10"/>
        <v>13.03</v>
      </c>
      <c r="AG26" s="32">
        <f t="shared" si="10"/>
        <v>12.5</v>
      </c>
      <c r="AH26" s="29">
        <v>71.099999999999994</v>
      </c>
      <c r="AI26" s="30">
        <f t="shared" si="3"/>
        <v>19.349999999999998</v>
      </c>
      <c r="AJ26" s="31">
        <f t="shared" si="4"/>
        <v>58.83002207505519</v>
      </c>
    </row>
    <row r="27" spans="1:36" s="2" customFormat="1" ht="15.6" x14ac:dyDescent="0.3">
      <c r="A27" s="6" t="s">
        <v>343</v>
      </c>
      <c r="B27" s="2">
        <v>11</v>
      </c>
      <c r="C27" s="3">
        <v>1</v>
      </c>
      <c r="D27" s="2">
        <v>4</v>
      </c>
      <c r="E27" s="5" t="s">
        <v>404</v>
      </c>
      <c r="F27" s="4"/>
      <c r="G27" s="32">
        <f t="shared" si="8"/>
        <v>33.700000000000003</v>
      </c>
      <c r="H27" s="32">
        <f t="shared" si="8"/>
        <v>6.9</v>
      </c>
      <c r="I27" s="32">
        <f t="shared" si="8"/>
        <v>34.799999999999997</v>
      </c>
      <c r="J27" s="32">
        <f t="shared" si="8"/>
        <v>19.8</v>
      </c>
      <c r="K27" s="32">
        <f t="shared" si="8"/>
        <v>1.37</v>
      </c>
      <c r="L27" s="32">
        <f t="shared" si="8"/>
        <v>15</v>
      </c>
      <c r="M27" s="32">
        <f t="shared" si="8"/>
        <v>16.149999999999999</v>
      </c>
      <c r="N27" s="32">
        <f t="shared" si="8"/>
        <v>4.2</v>
      </c>
      <c r="O27" s="32">
        <f t="shared" si="8"/>
        <v>43.6</v>
      </c>
      <c r="P27" s="32">
        <f t="shared" si="8"/>
        <v>26.64</v>
      </c>
      <c r="Q27" s="32">
        <f t="shared" si="9"/>
        <v>0.51500000000000001</v>
      </c>
      <c r="R27" s="32">
        <f t="shared" si="9"/>
        <v>12.74</v>
      </c>
      <c r="S27" s="32">
        <f t="shared" si="9"/>
        <v>46.3</v>
      </c>
      <c r="T27" s="32">
        <f t="shared" si="9"/>
        <v>14.8</v>
      </c>
      <c r="U27" s="32">
        <f t="shared" si="9"/>
        <v>73.599999999999994</v>
      </c>
      <c r="V27" s="32">
        <f t="shared" si="9"/>
        <v>23.2</v>
      </c>
      <c r="W27" s="32">
        <f t="shared" si="9"/>
        <v>17.3</v>
      </c>
      <c r="X27" s="32">
        <f t="shared" si="9"/>
        <v>73.2</v>
      </c>
      <c r="Y27" s="32">
        <f t="shared" si="9"/>
        <v>12.76</v>
      </c>
      <c r="Z27" s="32">
        <f t="shared" si="9"/>
        <v>79.3</v>
      </c>
      <c r="AA27" s="32">
        <f t="shared" si="10"/>
        <v>6.1</v>
      </c>
      <c r="AB27" s="32">
        <f t="shared" si="10"/>
        <v>39.5</v>
      </c>
      <c r="AC27" s="32">
        <f t="shared" si="10"/>
        <v>6.8</v>
      </c>
      <c r="AD27" s="32">
        <f t="shared" si="10"/>
        <v>6.7</v>
      </c>
      <c r="AE27" s="32">
        <f t="shared" si="10"/>
        <v>0</v>
      </c>
      <c r="AF27" s="32">
        <f t="shared" si="10"/>
        <v>10.59</v>
      </c>
      <c r="AG27" s="32">
        <f t="shared" si="10"/>
        <v>10.7</v>
      </c>
      <c r="AH27" s="29">
        <v>71.2</v>
      </c>
      <c r="AI27" s="30">
        <f t="shared" si="3"/>
        <v>20.65</v>
      </c>
      <c r="AJ27" s="31">
        <f t="shared" si="4"/>
        <v>59.503239740820732</v>
      </c>
    </row>
    <row r="28" spans="1:36" s="2" customFormat="1" ht="15.6" x14ac:dyDescent="0.3">
      <c r="A28" s="6" t="s">
        <v>414</v>
      </c>
      <c r="B28" s="2">
        <v>15</v>
      </c>
      <c r="C28" s="3">
        <v>1</v>
      </c>
      <c r="D28" s="2">
        <v>3</v>
      </c>
      <c r="E28" s="5" t="s">
        <v>404</v>
      </c>
      <c r="F28" s="4"/>
      <c r="G28" s="32">
        <f t="shared" si="8"/>
        <v>30.2</v>
      </c>
      <c r="H28" s="32">
        <f t="shared" si="8"/>
        <v>8.1</v>
      </c>
      <c r="I28" s="32">
        <f t="shared" si="8"/>
        <v>39.5</v>
      </c>
      <c r="J28" s="32">
        <f t="shared" si="8"/>
        <v>20.8</v>
      </c>
      <c r="K28" s="32">
        <f t="shared" si="8"/>
        <v>0.85</v>
      </c>
      <c r="L28" s="32">
        <f t="shared" si="8"/>
        <v>12.9</v>
      </c>
      <c r="M28" s="32">
        <f t="shared" si="8"/>
        <v>17.260000000000002</v>
      </c>
      <c r="N28" s="32">
        <f t="shared" si="8"/>
        <v>4</v>
      </c>
      <c r="O28" s="32">
        <f t="shared" si="8"/>
        <v>42.6</v>
      </c>
      <c r="P28" s="32">
        <f t="shared" si="8"/>
        <v>27</v>
      </c>
      <c r="Q28" s="32">
        <f t="shared" si="9"/>
        <v>0.55200000000000005</v>
      </c>
      <c r="R28" s="32">
        <f t="shared" si="9"/>
        <v>9.39</v>
      </c>
      <c r="S28" s="32">
        <f t="shared" si="9"/>
        <v>48.3</v>
      </c>
      <c r="T28" s="32">
        <f t="shared" si="9"/>
        <v>15.2</v>
      </c>
      <c r="U28" s="32">
        <f t="shared" si="9"/>
        <v>70.3</v>
      </c>
      <c r="V28" s="32">
        <f t="shared" si="9"/>
        <v>23.4</v>
      </c>
      <c r="W28" s="32">
        <f t="shared" si="9"/>
        <v>15.8</v>
      </c>
      <c r="X28" s="32">
        <f t="shared" si="9"/>
        <v>70.900000000000006</v>
      </c>
      <c r="Y28" s="32">
        <f t="shared" si="9"/>
        <v>8.5299999999999994</v>
      </c>
      <c r="Z28" s="32">
        <f t="shared" si="9"/>
        <v>75.400000000000006</v>
      </c>
      <c r="AA28" s="32">
        <f t="shared" si="10"/>
        <v>1.1000000000000001</v>
      </c>
      <c r="AB28" s="32">
        <f t="shared" si="10"/>
        <v>35.29</v>
      </c>
      <c r="AC28" s="32">
        <f t="shared" si="10"/>
        <v>4.7</v>
      </c>
      <c r="AD28" s="32">
        <f t="shared" si="10"/>
        <v>6.1</v>
      </c>
      <c r="AE28" s="32">
        <f t="shared" si="10"/>
        <v>-1.9</v>
      </c>
      <c r="AF28" s="32">
        <f t="shared" si="10"/>
        <v>11.51</v>
      </c>
      <c r="AG28" s="32">
        <f t="shared" si="10"/>
        <v>13.1</v>
      </c>
      <c r="AH28" s="29">
        <v>71.2</v>
      </c>
      <c r="AI28" s="30">
        <f t="shared" si="3"/>
        <v>17.650000000000006</v>
      </c>
      <c r="AJ28" s="31">
        <f t="shared" si="4"/>
        <v>53.312629399585944</v>
      </c>
    </row>
    <row r="29" spans="1:36" s="2" customFormat="1" ht="15.6" x14ac:dyDescent="0.3">
      <c r="A29" s="6" t="s">
        <v>417</v>
      </c>
      <c r="B29" s="2">
        <v>16</v>
      </c>
      <c r="C29" s="3">
        <v>2</v>
      </c>
      <c r="D29" s="2">
        <v>4</v>
      </c>
      <c r="E29" s="5" t="s">
        <v>404</v>
      </c>
      <c r="F29" s="4"/>
      <c r="G29" s="32">
        <f t="shared" si="8"/>
        <v>34.4</v>
      </c>
      <c r="H29" s="32">
        <f t="shared" si="8"/>
        <v>8.5</v>
      </c>
      <c r="I29" s="32">
        <f t="shared" si="8"/>
        <v>34.5</v>
      </c>
      <c r="J29" s="32">
        <f t="shared" si="8"/>
        <v>23.8</v>
      </c>
      <c r="K29" s="32">
        <f t="shared" si="8"/>
        <v>1.44</v>
      </c>
      <c r="L29" s="32">
        <f t="shared" si="8"/>
        <v>15.3</v>
      </c>
      <c r="M29" s="32">
        <f t="shared" si="8"/>
        <v>19.059999999999999</v>
      </c>
      <c r="N29" s="32">
        <f t="shared" si="8"/>
        <v>1.6</v>
      </c>
      <c r="O29" s="32">
        <f t="shared" si="8"/>
        <v>45.7</v>
      </c>
      <c r="P29" s="32">
        <f t="shared" si="8"/>
        <v>23.71</v>
      </c>
      <c r="Q29" s="32">
        <f t="shared" si="9"/>
        <v>0.52300000000000002</v>
      </c>
      <c r="R29" s="32">
        <f t="shared" si="9"/>
        <v>11.97</v>
      </c>
      <c r="S29" s="32">
        <f t="shared" si="9"/>
        <v>45.5</v>
      </c>
      <c r="T29" s="32">
        <f t="shared" si="9"/>
        <v>18.399999999999999</v>
      </c>
      <c r="U29" s="32">
        <f t="shared" si="9"/>
        <v>75.099999999999994</v>
      </c>
      <c r="V29" s="32">
        <f t="shared" si="9"/>
        <v>17</v>
      </c>
      <c r="W29" s="32">
        <f t="shared" si="9"/>
        <v>13.2</v>
      </c>
      <c r="X29" s="32">
        <f t="shared" si="9"/>
        <v>76</v>
      </c>
      <c r="Y29" s="32">
        <f t="shared" si="9"/>
        <v>12.21</v>
      </c>
      <c r="Z29" s="32">
        <f t="shared" si="9"/>
        <v>79.900000000000006</v>
      </c>
      <c r="AA29" s="32">
        <f t="shared" si="10"/>
        <v>0.7</v>
      </c>
      <c r="AB29" s="32">
        <f t="shared" si="10"/>
        <v>34.81</v>
      </c>
      <c r="AC29" s="32">
        <f t="shared" si="10"/>
        <v>1.4</v>
      </c>
      <c r="AD29" s="32">
        <f t="shared" si="10"/>
        <v>7.5</v>
      </c>
      <c r="AE29" s="32">
        <f t="shared" si="10"/>
        <v>3.4</v>
      </c>
      <c r="AF29" s="32">
        <f t="shared" si="10"/>
        <v>13.64</v>
      </c>
      <c r="AG29" s="32">
        <f t="shared" si="10"/>
        <v>10.5</v>
      </c>
      <c r="AH29" s="29">
        <v>71.5</v>
      </c>
      <c r="AI29" s="30">
        <f t="shared" si="3"/>
        <v>20.6</v>
      </c>
      <c r="AJ29" s="31">
        <f t="shared" si="4"/>
        <v>63.956043956043956</v>
      </c>
    </row>
    <row r="30" spans="1:36" s="2" customFormat="1" ht="15.6" x14ac:dyDescent="0.3">
      <c r="A30" s="6" t="s">
        <v>39</v>
      </c>
      <c r="B30" s="2">
        <v>11</v>
      </c>
      <c r="C30" s="3">
        <v>1</v>
      </c>
      <c r="D30" s="2">
        <v>1</v>
      </c>
      <c r="E30" s="5" t="s">
        <v>404</v>
      </c>
      <c r="F30" s="4"/>
      <c r="G30" s="32">
        <f t="shared" si="8"/>
        <v>31.8</v>
      </c>
      <c r="H30" s="32">
        <f t="shared" si="8"/>
        <v>8.6</v>
      </c>
      <c r="I30" s="32">
        <f t="shared" si="8"/>
        <v>35.1</v>
      </c>
      <c r="J30" s="32">
        <f t="shared" si="8"/>
        <v>23.8</v>
      </c>
      <c r="K30" s="32">
        <f t="shared" si="8"/>
        <v>1.5</v>
      </c>
      <c r="L30" s="32">
        <f t="shared" si="8"/>
        <v>13</v>
      </c>
      <c r="M30" s="32">
        <f t="shared" si="8"/>
        <v>14.89</v>
      </c>
      <c r="N30" s="32">
        <f t="shared" si="8"/>
        <v>4.2</v>
      </c>
      <c r="O30" s="32">
        <f t="shared" si="8"/>
        <v>44</v>
      </c>
      <c r="P30" s="32">
        <f t="shared" si="8"/>
        <v>25.56</v>
      </c>
      <c r="Q30" s="32">
        <f t="shared" si="9"/>
        <v>0.52</v>
      </c>
      <c r="R30" s="32">
        <f t="shared" si="9"/>
        <v>15.2</v>
      </c>
      <c r="S30" s="32">
        <f t="shared" si="9"/>
        <v>45.2</v>
      </c>
      <c r="T30" s="32">
        <f t="shared" si="9"/>
        <v>17.2</v>
      </c>
      <c r="U30" s="32">
        <f t="shared" si="9"/>
        <v>72</v>
      </c>
      <c r="V30" s="32">
        <f t="shared" si="9"/>
        <v>16.8</v>
      </c>
      <c r="W30" s="32">
        <f t="shared" si="9"/>
        <v>11.6</v>
      </c>
      <c r="X30" s="32">
        <f t="shared" si="9"/>
        <v>72.099999999999994</v>
      </c>
      <c r="Y30" s="32">
        <f t="shared" si="9"/>
        <v>11.68</v>
      </c>
      <c r="Z30" s="32">
        <f t="shared" si="9"/>
        <v>80.2</v>
      </c>
      <c r="AA30" s="32">
        <f t="shared" si="10"/>
        <v>2.9</v>
      </c>
      <c r="AB30" s="32">
        <f t="shared" si="10"/>
        <v>38.090000000000003</v>
      </c>
      <c r="AC30" s="32">
        <f t="shared" si="10"/>
        <v>7.3</v>
      </c>
      <c r="AD30" s="32">
        <f t="shared" si="10"/>
        <v>7.2</v>
      </c>
      <c r="AE30" s="32">
        <f t="shared" si="10"/>
        <v>2.8</v>
      </c>
      <c r="AF30" s="32">
        <f t="shared" si="10"/>
        <v>11.85</v>
      </c>
      <c r="AG30" s="32">
        <f t="shared" si="10"/>
        <v>9.6</v>
      </c>
      <c r="AH30" s="29">
        <v>71.5</v>
      </c>
      <c r="AI30" s="30">
        <f t="shared" si="3"/>
        <v>21.400000000000006</v>
      </c>
      <c r="AJ30" s="31">
        <f t="shared" si="4"/>
        <v>66.371681415929217</v>
      </c>
    </row>
    <row r="31" spans="1:36" s="2" customFormat="1" ht="15.6" x14ac:dyDescent="0.3">
      <c r="A31" s="6" t="s">
        <v>394</v>
      </c>
      <c r="B31" s="2">
        <v>11</v>
      </c>
      <c r="C31" s="3">
        <v>2</v>
      </c>
      <c r="D31" s="2">
        <v>3</v>
      </c>
      <c r="E31" s="5" t="s">
        <v>404</v>
      </c>
      <c r="F31" s="4"/>
      <c r="G31" s="32">
        <f t="shared" si="8"/>
        <v>33.9</v>
      </c>
      <c r="H31" s="32">
        <f t="shared" si="8"/>
        <v>7.8</v>
      </c>
      <c r="I31" s="32">
        <f t="shared" si="8"/>
        <v>32.799999999999997</v>
      </c>
      <c r="J31" s="32">
        <f t="shared" si="8"/>
        <v>23.7</v>
      </c>
      <c r="K31" s="32">
        <f t="shared" si="8"/>
        <v>1.34</v>
      </c>
      <c r="L31" s="32">
        <f t="shared" si="8"/>
        <v>14.8</v>
      </c>
      <c r="M31" s="32">
        <f t="shared" si="8"/>
        <v>17.420000000000002</v>
      </c>
      <c r="N31" s="32">
        <f t="shared" si="8"/>
        <v>4.5</v>
      </c>
      <c r="O31" s="32">
        <f t="shared" si="8"/>
        <v>39.299999999999997</v>
      </c>
      <c r="P31" s="32">
        <f t="shared" si="8"/>
        <v>26.37</v>
      </c>
      <c r="Q31" s="32">
        <f t="shared" si="9"/>
        <v>0.48599999999999999</v>
      </c>
      <c r="R31" s="32">
        <f t="shared" si="9"/>
        <v>13.44</v>
      </c>
      <c r="S31" s="32">
        <f t="shared" si="9"/>
        <v>39.6</v>
      </c>
      <c r="T31" s="32">
        <f t="shared" si="9"/>
        <v>17.8</v>
      </c>
      <c r="U31" s="32">
        <f t="shared" si="9"/>
        <v>70.2</v>
      </c>
      <c r="V31" s="32">
        <f t="shared" si="9"/>
        <v>19.399999999999999</v>
      </c>
      <c r="W31" s="32">
        <f t="shared" si="9"/>
        <v>13.4</v>
      </c>
      <c r="X31" s="32">
        <f t="shared" si="9"/>
        <v>69.599999999999994</v>
      </c>
      <c r="Y31" s="32">
        <f t="shared" si="9"/>
        <v>11.29</v>
      </c>
      <c r="Z31" s="32">
        <f t="shared" si="9"/>
        <v>73.5</v>
      </c>
      <c r="AA31" s="32">
        <f t="shared" si="10"/>
        <v>-2</v>
      </c>
      <c r="AB31" s="32">
        <f t="shared" si="10"/>
        <v>37.799999999999997</v>
      </c>
      <c r="AC31" s="32">
        <f t="shared" si="10"/>
        <v>0.8</v>
      </c>
      <c r="AD31" s="32">
        <f t="shared" si="10"/>
        <v>7</v>
      </c>
      <c r="AE31" s="32">
        <f t="shared" si="10"/>
        <v>1.6</v>
      </c>
      <c r="AF31" s="32">
        <f t="shared" si="10"/>
        <v>12.41</v>
      </c>
      <c r="AG31" s="32">
        <f t="shared" si="10"/>
        <v>10.7</v>
      </c>
      <c r="AH31" s="29">
        <v>71.7</v>
      </c>
      <c r="AI31" s="30">
        <f t="shared" si="3"/>
        <v>18.350000000000001</v>
      </c>
      <c r="AJ31" s="31">
        <f t="shared" si="4"/>
        <v>66.035353535353536</v>
      </c>
    </row>
    <row r="32" spans="1:36" s="2" customFormat="1" ht="15.6" x14ac:dyDescent="0.3">
      <c r="A32" s="6" t="s">
        <v>4</v>
      </c>
      <c r="B32" s="2">
        <v>9</v>
      </c>
      <c r="C32" s="3">
        <v>1</v>
      </c>
      <c r="D32" s="2">
        <v>3</v>
      </c>
      <c r="E32" s="5" t="s">
        <v>404</v>
      </c>
      <c r="F32" s="4"/>
      <c r="G32" s="32">
        <f t="shared" ref="G32:P41" si="11">INDEX(rawValue,MATCH(INDEX(teamID,MATCH(INDEX(ovrTeamCol2,ROW(),1),teamINI,0))+INDEX(statID,MATCH(INDEX(ovrHeaderRow2,1,COLUMN()),statAbbr,0),1),rawLookup2,0))</f>
        <v>33.200000000000003</v>
      </c>
      <c r="H32" s="32">
        <f t="shared" si="11"/>
        <v>7.8</v>
      </c>
      <c r="I32" s="32">
        <f t="shared" si="11"/>
        <v>31.5</v>
      </c>
      <c r="J32" s="32">
        <f t="shared" si="11"/>
        <v>24.7</v>
      </c>
      <c r="K32" s="32">
        <f t="shared" si="11"/>
        <v>0.97</v>
      </c>
      <c r="L32" s="32">
        <f t="shared" si="11"/>
        <v>12.2</v>
      </c>
      <c r="M32" s="32">
        <f t="shared" si="11"/>
        <v>18.8</v>
      </c>
      <c r="N32" s="32">
        <f t="shared" si="11"/>
        <v>6.3</v>
      </c>
      <c r="O32" s="32">
        <f t="shared" si="11"/>
        <v>41.9</v>
      </c>
      <c r="P32" s="32">
        <f t="shared" si="11"/>
        <v>27.57</v>
      </c>
      <c r="Q32" s="32">
        <f t="shared" ref="Q32:Z41" si="12">INDEX(rawValue,MATCH(INDEX(teamID,MATCH(INDEX(ovrTeamCol2,ROW(),1),teamINI,0))+INDEX(statID,MATCH(INDEX(ovrHeaderRow2,1,COLUMN()),statAbbr,0),1),rawLookup2,0))</f>
        <v>0.51900000000000002</v>
      </c>
      <c r="R32" s="32">
        <f t="shared" si="12"/>
        <v>9.1999999999999993</v>
      </c>
      <c r="S32" s="32">
        <f t="shared" si="12"/>
        <v>45</v>
      </c>
      <c r="T32" s="32">
        <f t="shared" si="12"/>
        <v>16.7</v>
      </c>
      <c r="U32" s="32">
        <f t="shared" si="12"/>
        <v>68.7</v>
      </c>
      <c r="V32" s="32">
        <f t="shared" si="12"/>
        <v>21.2</v>
      </c>
      <c r="W32" s="32">
        <f t="shared" si="12"/>
        <v>14.7</v>
      </c>
      <c r="X32" s="32">
        <f t="shared" si="12"/>
        <v>67.599999999999994</v>
      </c>
      <c r="Y32" s="32">
        <f t="shared" si="12"/>
        <v>11.53</v>
      </c>
      <c r="Z32" s="32">
        <f t="shared" si="12"/>
        <v>75.3</v>
      </c>
      <c r="AA32" s="32">
        <f t="shared" ref="AA32:AG41" si="13">INDEX(rawValue,MATCH(INDEX(teamID,MATCH(INDEX(ovrTeamCol2,ROW(),1),teamINI,0))+INDEX(statID,MATCH(INDEX(ovrHeaderRow2,1,COLUMN()),statAbbr,0),1),rawLookup2,0))</f>
        <v>4.7</v>
      </c>
      <c r="AB32" s="32">
        <f t="shared" si="13"/>
        <v>38.86</v>
      </c>
      <c r="AC32" s="32">
        <f t="shared" si="13"/>
        <v>7.8</v>
      </c>
      <c r="AD32" s="32">
        <f t="shared" si="13"/>
        <v>6.9</v>
      </c>
      <c r="AE32" s="32">
        <f t="shared" si="13"/>
        <v>0.2</v>
      </c>
      <c r="AF32" s="32">
        <f t="shared" si="13"/>
        <v>11.59</v>
      </c>
      <c r="AG32" s="32">
        <f t="shared" si="13"/>
        <v>12</v>
      </c>
      <c r="AH32" s="29">
        <v>71.7</v>
      </c>
      <c r="AI32" s="30">
        <f t="shared" si="3"/>
        <v>18.599999999999998</v>
      </c>
      <c r="AJ32" s="31">
        <f t="shared" si="4"/>
        <v>58.666666666666664</v>
      </c>
    </row>
    <row r="33" spans="1:36" s="2" customFormat="1" ht="15.6" x14ac:dyDescent="0.3">
      <c r="A33" s="6" t="s">
        <v>335</v>
      </c>
      <c r="B33" s="2">
        <v>8</v>
      </c>
      <c r="C33" s="3">
        <v>1</v>
      </c>
      <c r="D33" s="2">
        <v>2</v>
      </c>
      <c r="E33" s="5" t="s">
        <v>404</v>
      </c>
      <c r="F33" s="4"/>
      <c r="G33" s="32">
        <f t="shared" si="11"/>
        <v>36.9</v>
      </c>
      <c r="H33" s="32">
        <f t="shared" si="11"/>
        <v>8.3000000000000007</v>
      </c>
      <c r="I33" s="32">
        <f t="shared" si="11"/>
        <v>34.1</v>
      </c>
      <c r="J33" s="32">
        <f t="shared" si="11"/>
        <v>23.5</v>
      </c>
      <c r="K33" s="32">
        <f t="shared" si="11"/>
        <v>1.77</v>
      </c>
      <c r="L33" s="32">
        <f t="shared" si="11"/>
        <v>16.899999999999999</v>
      </c>
      <c r="M33" s="32">
        <f t="shared" si="11"/>
        <v>18.36</v>
      </c>
      <c r="N33" s="32">
        <f t="shared" si="11"/>
        <v>3.6</v>
      </c>
      <c r="O33" s="32">
        <f t="shared" si="11"/>
        <v>46.7</v>
      </c>
      <c r="P33" s="32">
        <f t="shared" si="11"/>
        <v>24.94</v>
      </c>
      <c r="Q33" s="32">
        <f t="shared" si="12"/>
        <v>0.52200000000000002</v>
      </c>
      <c r="R33" s="32">
        <f t="shared" si="12"/>
        <v>11.98</v>
      </c>
      <c r="S33" s="32">
        <f t="shared" si="12"/>
        <v>45.8</v>
      </c>
      <c r="T33" s="32">
        <f t="shared" si="12"/>
        <v>14.3</v>
      </c>
      <c r="U33" s="32">
        <f t="shared" si="12"/>
        <v>73.2</v>
      </c>
      <c r="V33" s="32">
        <f t="shared" si="12"/>
        <v>21.4</v>
      </c>
      <c r="W33" s="32">
        <f t="shared" si="12"/>
        <v>15.8</v>
      </c>
      <c r="X33" s="32">
        <f t="shared" si="12"/>
        <v>79.7</v>
      </c>
      <c r="Y33" s="32">
        <f t="shared" si="12"/>
        <v>12.74</v>
      </c>
      <c r="Z33" s="32">
        <f t="shared" si="12"/>
        <v>83.1</v>
      </c>
      <c r="AA33" s="32">
        <f t="shared" si="13"/>
        <v>3.1</v>
      </c>
      <c r="AB33" s="32">
        <f t="shared" si="13"/>
        <v>37.97</v>
      </c>
      <c r="AC33" s="32">
        <f t="shared" si="13"/>
        <v>5.3</v>
      </c>
      <c r="AD33" s="32">
        <f t="shared" si="13"/>
        <v>6.3</v>
      </c>
      <c r="AE33" s="32">
        <f t="shared" si="13"/>
        <v>1.9</v>
      </c>
      <c r="AF33" s="32">
        <f t="shared" si="13"/>
        <v>11.53</v>
      </c>
      <c r="AG33" s="32">
        <f t="shared" si="13"/>
        <v>9.6</v>
      </c>
      <c r="AH33" s="29">
        <v>71.8</v>
      </c>
      <c r="AI33" s="30">
        <f t="shared" si="3"/>
        <v>21.199999999999996</v>
      </c>
      <c r="AJ33" s="31">
        <f t="shared" si="4"/>
        <v>64.410480349344965</v>
      </c>
    </row>
    <row r="34" spans="1:36" s="2" customFormat="1" ht="15.6" x14ac:dyDescent="0.3">
      <c r="A34" s="6" t="s">
        <v>388</v>
      </c>
      <c r="B34" s="2">
        <v>7</v>
      </c>
      <c r="C34" s="3">
        <v>2</v>
      </c>
      <c r="D34" s="2">
        <v>1</v>
      </c>
      <c r="E34" s="5" t="s">
        <v>404</v>
      </c>
      <c r="F34" s="4"/>
      <c r="G34" s="32">
        <f t="shared" si="11"/>
        <v>34.4</v>
      </c>
      <c r="H34" s="32">
        <f t="shared" si="11"/>
        <v>9.4</v>
      </c>
      <c r="I34" s="32">
        <f t="shared" si="11"/>
        <v>35.9</v>
      </c>
      <c r="J34" s="32">
        <f t="shared" si="11"/>
        <v>25.4</v>
      </c>
      <c r="K34" s="32">
        <f t="shared" si="11"/>
        <v>1.59</v>
      </c>
      <c r="L34" s="32">
        <f t="shared" si="11"/>
        <v>16.2</v>
      </c>
      <c r="M34" s="32">
        <f t="shared" si="11"/>
        <v>28.79</v>
      </c>
      <c r="N34" s="32">
        <f t="shared" si="11"/>
        <v>2.8</v>
      </c>
      <c r="O34" s="32">
        <f t="shared" si="11"/>
        <v>44.3</v>
      </c>
      <c r="P34" s="32">
        <f t="shared" si="11"/>
        <v>22.73</v>
      </c>
      <c r="Q34" s="32">
        <f t="shared" si="12"/>
        <v>0.55400000000000005</v>
      </c>
      <c r="R34" s="32">
        <f t="shared" si="12"/>
        <v>14.28</v>
      </c>
      <c r="S34" s="32">
        <f t="shared" si="12"/>
        <v>47.7</v>
      </c>
      <c r="T34" s="32">
        <f t="shared" si="12"/>
        <v>17.600000000000001</v>
      </c>
      <c r="U34" s="32">
        <f t="shared" si="12"/>
        <v>75.2</v>
      </c>
      <c r="V34" s="32">
        <f t="shared" si="12"/>
        <v>18.100000000000001</v>
      </c>
      <c r="W34" s="32">
        <f t="shared" si="12"/>
        <v>13.9</v>
      </c>
      <c r="X34" s="32">
        <f t="shared" si="12"/>
        <v>79.2</v>
      </c>
      <c r="Y34" s="32">
        <f t="shared" si="12"/>
        <v>8.8800000000000008</v>
      </c>
      <c r="Z34" s="32">
        <f t="shared" si="12"/>
        <v>81.400000000000006</v>
      </c>
      <c r="AA34" s="32">
        <f t="shared" si="13"/>
        <v>-4.7</v>
      </c>
      <c r="AB34" s="32">
        <f t="shared" si="13"/>
        <v>30.51</v>
      </c>
      <c r="AC34" s="32">
        <f t="shared" si="13"/>
        <v>3.3</v>
      </c>
      <c r="AD34" s="32">
        <f t="shared" si="13"/>
        <v>10.3</v>
      </c>
      <c r="AE34" s="32">
        <f t="shared" si="13"/>
        <v>6.9</v>
      </c>
      <c r="AF34" s="32">
        <f t="shared" si="13"/>
        <v>17.190000000000001</v>
      </c>
      <c r="AG34" s="32">
        <f t="shared" si="13"/>
        <v>10.199999999999999</v>
      </c>
      <c r="AH34" s="29">
        <v>71.8</v>
      </c>
      <c r="AI34" s="30">
        <f t="shared" ref="AI34:AI69" si="14">(Z34-W34-H34*3)/2</f>
        <v>19.649999999999999</v>
      </c>
      <c r="AJ34" s="31">
        <f t="shared" ref="AJ34:AJ65" si="15">(AI34+H34)*100/S34</f>
        <v>60.901467505241079</v>
      </c>
    </row>
    <row r="35" spans="1:36" s="2" customFormat="1" ht="15.6" x14ac:dyDescent="0.3">
      <c r="A35" s="6" t="s">
        <v>50</v>
      </c>
      <c r="B35" s="2">
        <v>2</v>
      </c>
      <c r="C35" s="3">
        <v>2</v>
      </c>
      <c r="D35" s="2">
        <v>4</v>
      </c>
      <c r="E35" s="5" t="s">
        <v>404</v>
      </c>
      <c r="F35" s="4"/>
      <c r="G35" s="32">
        <f t="shared" si="11"/>
        <v>34</v>
      </c>
      <c r="H35" s="32">
        <f t="shared" si="11"/>
        <v>8.8000000000000007</v>
      </c>
      <c r="I35" s="32">
        <f t="shared" si="11"/>
        <v>35.799999999999997</v>
      </c>
      <c r="J35" s="32">
        <f t="shared" si="11"/>
        <v>25.1</v>
      </c>
      <c r="K35" s="32">
        <f t="shared" si="11"/>
        <v>1.73</v>
      </c>
      <c r="L35" s="32">
        <f t="shared" si="11"/>
        <v>18.5</v>
      </c>
      <c r="M35" s="32">
        <f t="shared" si="11"/>
        <v>21.47</v>
      </c>
      <c r="N35" s="32">
        <f t="shared" si="11"/>
        <v>3.1</v>
      </c>
      <c r="O35" s="32">
        <f t="shared" si="11"/>
        <v>44</v>
      </c>
      <c r="P35" s="32">
        <f t="shared" si="11"/>
        <v>23.74</v>
      </c>
      <c r="Q35" s="32">
        <f t="shared" si="12"/>
        <v>0.56899999999999995</v>
      </c>
      <c r="R35" s="32">
        <f t="shared" si="12"/>
        <v>15.42</v>
      </c>
      <c r="S35" s="32">
        <f t="shared" si="12"/>
        <v>48.8</v>
      </c>
      <c r="T35" s="32">
        <f t="shared" si="12"/>
        <v>16.100000000000001</v>
      </c>
      <c r="U35" s="32">
        <f t="shared" si="12"/>
        <v>72</v>
      </c>
      <c r="V35" s="32">
        <f t="shared" si="12"/>
        <v>16.899999999999999</v>
      </c>
      <c r="W35" s="32">
        <f t="shared" si="12"/>
        <v>11.7</v>
      </c>
      <c r="X35" s="32">
        <f t="shared" si="12"/>
        <v>72</v>
      </c>
      <c r="Y35" s="32">
        <f t="shared" si="12"/>
        <v>8.76</v>
      </c>
      <c r="Z35" s="32">
        <f t="shared" si="12"/>
        <v>82</v>
      </c>
      <c r="AA35" s="32">
        <f t="shared" si="13"/>
        <v>-3.1</v>
      </c>
      <c r="AB35" s="32">
        <f t="shared" si="13"/>
        <v>32.56</v>
      </c>
      <c r="AC35" s="32">
        <f t="shared" si="13"/>
        <v>10.5</v>
      </c>
      <c r="AD35" s="32">
        <f t="shared" si="13"/>
        <v>9.9</v>
      </c>
      <c r="AE35" s="32">
        <f t="shared" si="13"/>
        <v>6.7</v>
      </c>
      <c r="AF35" s="32">
        <f t="shared" si="13"/>
        <v>15.81</v>
      </c>
      <c r="AG35" s="32">
        <f t="shared" si="13"/>
        <v>10</v>
      </c>
      <c r="AH35" s="29">
        <v>71.8</v>
      </c>
      <c r="AI35" s="30">
        <f t="shared" si="14"/>
        <v>21.949999999999996</v>
      </c>
      <c r="AJ35" s="31">
        <f t="shared" si="15"/>
        <v>63.01229508196721</v>
      </c>
    </row>
    <row r="36" spans="1:36" s="2" customFormat="1" ht="15.6" x14ac:dyDescent="0.3">
      <c r="A36" s="6" t="s">
        <v>412</v>
      </c>
      <c r="B36" s="2">
        <v>14</v>
      </c>
      <c r="C36" s="3">
        <v>1</v>
      </c>
      <c r="D36" s="2">
        <v>2</v>
      </c>
      <c r="E36" s="5" t="s">
        <v>404</v>
      </c>
      <c r="F36" s="4"/>
      <c r="G36" s="32">
        <f t="shared" si="11"/>
        <v>32.9</v>
      </c>
      <c r="H36" s="32">
        <f t="shared" si="11"/>
        <v>8.5</v>
      </c>
      <c r="I36" s="32">
        <f t="shared" si="11"/>
        <v>36.299999999999997</v>
      </c>
      <c r="J36" s="32">
        <f t="shared" si="11"/>
        <v>22.7</v>
      </c>
      <c r="K36" s="32">
        <f t="shared" si="11"/>
        <v>1.28</v>
      </c>
      <c r="L36" s="32">
        <f t="shared" si="11"/>
        <v>14.9</v>
      </c>
      <c r="M36" s="32">
        <f t="shared" si="11"/>
        <v>21.31</v>
      </c>
      <c r="N36" s="32">
        <f t="shared" si="11"/>
        <v>2.8</v>
      </c>
      <c r="O36" s="32">
        <f t="shared" si="11"/>
        <v>43.2</v>
      </c>
      <c r="P36" s="32">
        <f t="shared" si="11"/>
        <v>26.38</v>
      </c>
      <c r="Q36" s="32">
        <f t="shared" si="12"/>
        <v>0.54200000000000004</v>
      </c>
      <c r="R36" s="32">
        <f t="shared" si="12"/>
        <v>9.74</v>
      </c>
      <c r="S36" s="32">
        <f t="shared" si="12"/>
        <v>46.7</v>
      </c>
      <c r="T36" s="32">
        <f t="shared" si="12"/>
        <v>17.5</v>
      </c>
      <c r="U36" s="32">
        <f t="shared" si="12"/>
        <v>67</v>
      </c>
      <c r="V36" s="32">
        <f t="shared" si="12"/>
        <v>21.6</v>
      </c>
      <c r="W36" s="32">
        <f t="shared" si="12"/>
        <v>14.7</v>
      </c>
      <c r="X36" s="32">
        <f t="shared" si="12"/>
        <v>70.7</v>
      </c>
      <c r="Y36" s="32">
        <f t="shared" si="12"/>
        <v>9.92</v>
      </c>
      <c r="Z36" s="32">
        <f t="shared" si="12"/>
        <v>76</v>
      </c>
      <c r="AA36" s="32">
        <f t="shared" si="13"/>
        <v>1.7</v>
      </c>
      <c r="AB36" s="32">
        <f t="shared" si="13"/>
        <v>35.590000000000003</v>
      </c>
      <c r="AC36" s="32">
        <f t="shared" si="13"/>
        <v>5.8</v>
      </c>
      <c r="AD36" s="32">
        <f t="shared" si="13"/>
        <v>7.4</v>
      </c>
      <c r="AE36" s="32">
        <f t="shared" si="13"/>
        <v>1.3</v>
      </c>
      <c r="AF36" s="32">
        <f t="shared" si="13"/>
        <v>12.81</v>
      </c>
      <c r="AG36" s="32">
        <f t="shared" si="13"/>
        <v>11.7</v>
      </c>
      <c r="AH36" s="29">
        <v>71.8</v>
      </c>
      <c r="AI36" s="30">
        <f t="shared" si="14"/>
        <v>17.899999999999999</v>
      </c>
      <c r="AJ36" s="31">
        <f t="shared" si="15"/>
        <v>56.531049250535325</v>
      </c>
    </row>
    <row r="37" spans="1:36" s="2" customFormat="1" ht="15.6" x14ac:dyDescent="0.3">
      <c r="A37" s="6" t="s">
        <v>415</v>
      </c>
      <c r="B37" s="2">
        <v>12</v>
      </c>
      <c r="C37" s="3">
        <v>1</v>
      </c>
      <c r="D37" s="2">
        <v>4</v>
      </c>
      <c r="E37" s="5" t="s">
        <v>404</v>
      </c>
      <c r="F37" s="4"/>
      <c r="G37" s="32">
        <f t="shared" si="11"/>
        <v>34.1</v>
      </c>
      <c r="H37" s="32">
        <f t="shared" si="11"/>
        <v>11.2</v>
      </c>
      <c r="I37" s="32">
        <f t="shared" si="11"/>
        <v>36.299999999999997</v>
      </c>
      <c r="J37" s="32">
        <f t="shared" si="11"/>
        <v>29.9</v>
      </c>
      <c r="K37" s="32">
        <f t="shared" si="11"/>
        <v>1.72</v>
      </c>
      <c r="L37" s="32">
        <f t="shared" si="11"/>
        <v>15.3</v>
      </c>
      <c r="M37" s="32">
        <f t="shared" si="11"/>
        <v>19.54</v>
      </c>
      <c r="N37" s="32">
        <f t="shared" si="11"/>
        <v>5.5</v>
      </c>
      <c r="O37" s="32">
        <f t="shared" si="11"/>
        <v>41.9</v>
      </c>
      <c r="P37" s="32">
        <f t="shared" si="11"/>
        <v>28.11</v>
      </c>
      <c r="Q37" s="32">
        <f t="shared" si="12"/>
        <v>0.56299999999999994</v>
      </c>
      <c r="R37" s="32">
        <f t="shared" si="12"/>
        <v>12.18</v>
      </c>
      <c r="S37" s="32">
        <f t="shared" si="12"/>
        <v>48.2</v>
      </c>
      <c r="T37" s="32">
        <f t="shared" si="12"/>
        <v>13.4</v>
      </c>
      <c r="U37" s="32">
        <f t="shared" si="12"/>
        <v>77.2</v>
      </c>
      <c r="V37" s="32">
        <f t="shared" si="12"/>
        <v>15</v>
      </c>
      <c r="W37" s="32">
        <f t="shared" si="12"/>
        <v>11.9</v>
      </c>
      <c r="X37" s="32">
        <f t="shared" si="12"/>
        <v>71.7</v>
      </c>
      <c r="Y37" s="32">
        <f t="shared" si="12"/>
        <v>9.06</v>
      </c>
      <c r="Z37" s="32">
        <f t="shared" si="12"/>
        <v>89</v>
      </c>
      <c r="AA37" s="32">
        <f t="shared" si="13"/>
        <v>0.6</v>
      </c>
      <c r="AB37" s="32">
        <f t="shared" si="13"/>
        <v>38.14</v>
      </c>
      <c r="AC37" s="32">
        <f t="shared" si="13"/>
        <v>15.1</v>
      </c>
      <c r="AD37" s="32">
        <f t="shared" si="13"/>
        <v>6.7</v>
      </c>
      <c r="AE37" s="32">
        <f t="shared" si="13"/>
        <v>2.1</v>
      </c>
      <c r="AF37" s="32">
        <f t="shared" si="13"/>
        <v>11.51</v>
      </c>
      <c r="AG37" s="32">
        <f t="shared" si="13"/>
        <v>9.1999999999999993</v>
      </c>
      <c r="AH37" s="29">
        <v>72</v>
      </c>
      <c r="AI37" s="30">
        <f t="shared" si="14"/>
        <v>21.75</v>
      </c>
      <c r="AJ37" s="31">
        <f t="shared" si="15"/>
        <v>68.360995850622416</v>
      </c>
    </row>
    <row r="38" spans="1:36" s="2" customFormat="1" ht="15.6" x14ac:dyDescent="0.3">
      <c r="A38" s="6" t="s">
        <v>57</v>
      </c>
      <c r="B38" s="2">
        <v>1</v>
      </c>
      <c r="C38" s="3">
        <v>2</v>
      </c>
      <c r="D38" s="2">
        <v>3</v>
      </c>
      <c r="E38" s="5" t="s">
        <v>404</v>
      </c>
      <c r="F38" s="4"/>
      <c r="G38" s="32">
        <f t="shared" si="11"/>
        <v>31.2</v>
      </c>
      <c r="H38" s="32">
        <f t="shared" si="11"/>
        <v>7.1</v>
      </c>
      <c r="I38" s="32">
        <f t="shared" si="11"/>
        <v>34.9</v>
      </c>
      <c r="J38" s="32">
        <f t="shared" si="11"/>
        <v>20.8</v>
      </c>
      <c r="K38" s="32">
        <f t="shared" si="11"/>
        <v>1.48</v>
      </c>
      <c r="L38" s="32">
        <f t="shared" si="11"/>
        <v>16.8</v>
      </c>
      <c r="M38" s="32">
        <f t="shared" si="11"/>
        <v>11.27</v>
      </c>
      <c r="N38" s="32">
        <f t="shared" si="11"/>
        <v>3.9</v>
      </c>
      <c r="O38" s="32">
        <f t="shared" si="11"/>
        <v>41.8</v>
      </c>
      <c r="P38" s="32">
        <f t="shared" si="11"/>
        <v>26.89</v>
      </c>
      <c r="Q38" s="32">
        <f t="shared" si="12"/>
        <v>0.53800000000000003</v>
      </c>
      <c r="R38" s="32">
        <f t="shared" si="12"/>
        <v>13.57</v>
      </c>
      <c r="S38" s="32">
        <f t="shared" si="12"/>
        <v>47.5</v>
      </c>
      <c r="T38" s="32">
        <f t="shared" si="12"/>
        <v>16.5</v>
      </c>
      <c r="U38" s="32">
        <f t="shared" si="12"/>
        <v>72</v>
      </c>
      <c r="V38" s="32">
        <f t="shared" si="12"/>
        <v>18.399999999999999</v>
      </c>
      <c r="W38" s="32">
        <f t="shared" si="12"/>
        <v>13.3</v>
      </c>
      <c r="X38" s="32">
        <f t="shared" si="12"/>
        <v>69.8</v>
      </c>
      <c r="Y38" s="32">
        <f t="shared" si="12"/>
        <v>10.06</v>
      </c>
      <c r="Z38" s="32">
        <f t="shared" si="12"/>
        <v>77.400000000000006</v>
      </c>
      <c r="AA38" s="32">
        <f t="shared" si="13"/>
        <v>1.7</v>
      </c>
      <c r="AB38" s="32">
        <f t="shared" si="13"/>
        <v>37.299999999999997</v>
      </c>
      <c r="AC38" s="32">
        <f t="shared" si="13"/>
        <v>8.1999999999999993</v>
      </c>
      <c r="AD38" s="32">
        <f t="shared" si="13"/>
        <v>9</v>
      </c>
      <c r="AE38" s="32">
        <f t="shared" si="13"/>
        <v>1.4</v>
      </c>
      <c r="AF38" s="32">
        <f t="shared" si="13"/>
        <v>12.66</v>
      </c>
      <c r="AG38" s="32">
        <f t="shared" si="13"/>
        <v>11.6</v>
      </c>
      <c r="AH38" s="29">
        <v>72.099999999999994</v>
      </c>
      <c r="AI38" s="30">
        <f t="shared" si="14"/>
        <v>21.400000000000006</v>
      </c>
      <c r="AJ38" s="31">
        <f t="shared" si="15"/>
        <v>60.000000000000021</v>
      </c>
    </row>
    <row r="39" spans="1:36" s="2" customFormat="1" ht="15.6" x14ac:dyDescent="0.3">
      <c r="A39" s="6" t="s">
        <v>351</v>
      </c>
      <c r="B39" s="2">
        <v>8</v>
      </c>
      <c r="C39" s="3">
        <v>3</v>
      </c>
      <c r="D39" s="2">
        <v>3</v>
      </c>
      <c r="E39" s="5" t="s">
        <v>404</v>
      </c>
      <c r="F39" s="4"/>
      <c r="G39" s="32">
        <f t="shared" si="11"/>
        <v>31.4</v>
      </c>
      <c r="H39" s="32">
        <f t="shared" si="11"/>
        <v>5.4</v>
      </c>
      <c r="I39" s="32">
        <f t="shared" si="11"/>
        <v>32.4</v>
      </c>
      <c r="J39" s="32">
        <f t="shared" si="11"/>
        <v>17.3</v>
      </c>
      <c r="K39" s="32">
        <f t="shared" si="11"/>
        <v>1.08</v>
      </c>
      <c r="L39" s="32">
        <f t="shared" si="11"/>
        <v>13.1</v>
      </c>
      <c r="M39" s="32">
        <f t="shared" si="11"/>
        <v>20.18</v>
      </c>
      <c r="N39" s="32">
        <f t="shared" si="11"/>
        <v>4.9000000000000004</v>
      </c>
      <c r="O39" s="32">
        <f t="shared" si="11"/>
        <v>42.6</v>
      </c>
      <c r="P39" s="32">
        <f t="shared" si="11"/>
        <v>25.44</v>
      </c>
      <c r="Q39" s="32">
        <f t="shared" si="12"/>
        <v>0.51100000000000001</v>
      </c>
      <c r="R39" s="32">
        <f t="shared" si="12"/>
        <v>12.19</v>
      </c>
      <c r="S39" s="32">
        <f t="shared" si="12"/>
        <v>47.4</v>
      </c>
      <c r="T39" s="32">
        <f t="shared" si="12"/>
        <v>19.399999999999999</v>
      </c>
      <c r="U39" s="32">
        <f t="shared" si="12"/>
        <v>70.7</v>
      </c>
      <c r="V39" s="32">
        <f t="shared" si="12"/>
        <v>23.8</v>
      </c>
      <c r="W39" s="32">
        <f t="shared" si="12"/>
        <v>16.899999999999999</v>
      </c>
      <c r="X39" s="32">
        <f t="shared" si="12"/>
        <v>69.599999999999994</v>
      </c>
      <c r="Y39" s="32">
        <f t="shared" si="12"/>
        <v>10.64</v>
      </c>
      <c r="Z39" s="32">
        <f t="shared" si="12"/>
        <v>75.3</v>
      </c>
      <c r="AA39" s="32">
        <f t="shared" si="13"/>
        <v>3.3</v>
      </c>
      <c r="AB39" s="32">
        <f t="shared" si="13"/>
        <v>35.89</v>
      </c>
      <c r="AC39" s="32">
        <f t="shared" si="13"/>
        <v>6.3</v>
      </c>
      <c r="AD39" s="32">
        <f t="shared" si="13"/>
        <v>8.3000000000000007</v>
      </c>
      <c r="AE39" s="32">
        <f t="shared" si="13"/>
        <v>1.1000000000000001</v>
      </c>
      <c r="AF39" s="32">
        <f t="shared" si="13"/>
        <v>12.88</v>
      </c>
      <c r="AG39" s="32">
        <f t="shared" si="13"/>
        <v>11.7</v>
      </c>
      <c r="AH39" s="29">
        <v>72.099999999999994</v>
      </c>
      <c r="AI39" s="30">
        <f t="shared" si="14"/>
        <v>21.099999999999998</v>
      </c>
      <c r="AJ39" s="31">
        <f t="shared" si="15"/>
        <v>55.907172995780591</v>
      </c>
    </row>
    <row r="40" spans="1:36" s="2" customFormat="1" ht="15.6" x14ac:dyDescent="0.3">
      <c r="A40" s="6" t="s">
        <v>60</v>
      </c>
      <c r="B40" s="2">
        <v>2</v>
      </c>
      <c r="C40" s="3">
        <v>4</v>
      </c>
      <c r="D40" s="2">
        <v>2</v>
      </c>
      <c r="E40" s="5" t="s">
        <v>404</v>
      </c>
      <c r="F40" s="4"/>
      <c r="G40" s="32">
        <f t="shared" si="11"/>
        <v>32.1</v>
      </c>
      <c r="H40" s="32">
        <f t="shared" si="11"/>
        <v>7.3</v>
      </c>
      <c r="I40" s="32">
        <f t="shared" si="11"/>
        <v>34.9</v>
      </c>
      <c r="J40" s="32">
        <f t="shared" si="11"/>
        <v>22</v>
      </c>
      <c r="K40" s="32">
        <f t="shared" si="11"/>
        <v>1.58</v>
      </c>
      <c r="L40" s="32">
        <f t="shared" si="11"/>
        <v>16.7</v>
      </c>
      <c r="M40" s="32">
        <f t="shared" si="11"/>
        <v>33.29</v>
      </c>
      <c r="N40" s="32">
        <f t="shared" si="11"/>
        <v>3.7</v>
      </c>
      <c r="O40" s="32">
        <f t="shared" si="11"/>
        <v>42.7</v>
      </c>
      <c r="P40" s="32">
        <f t="shared" si="11"/>
        <v>24.82</v>
      </c>
      <c r="Q40" s="32">
        <f t="shared" si="12"/>
        <v>0.54500000000000004</v>
      </c>
      <c r="R40" s="32">
        <f t="shared" si="12"/>
        <v>12.82</v>
      </c>
      <c r="S40" s="32">
        <f t="shared" si="12"/>
        <v>47.8</v>
      </c>
      <c r="T40" s="32">
        <f t="shared" si="12"/>
        <v>17.3</v>
      </c>
      <c r="U40" s="32">
        <f t="shared" si="12"/>
        <v>75</v>
      </c>
      <c r="V40" s="32">
        <f t="shared" si="12"/>
        <v>18.899999999999999</v>
      </c>
      <c r="W40" s="32">
        <f t="shared" si="12"/>
        <v>14.7</v>
      </c>
      <c r="X40" s="32">
        <f t="shared" si="12"/>
        <v>69.099999999999994</v>
      </c>
      <c r="Y40" s="32">
        <f t="shared" si="12"/>
        <v>9.94</v>
      </c>
      <c r="Z40" s="32">
        <f t="shared" si="12"/>
        <v>80.400000000000006</v>
      </c>
      <c r="AA40" s="32">
        <f t="shared" si="13"/>
        <v>0.5</v>
      </c>
      <c r="AB40" s="32">
        <f t="shared" si="13"/>
        <v>34.74</v>
      </c>
      <c r="AC40" s="32">
        <f t="shared" si="13"/>
        <v>11.5</v>
      </c>
      <c r="AD40" s="32">
        <f t="shared" si="13"/>
        <v>7.4</v>
      </c>
      <c r="AE40" s="32">
        <f t="shared" si="13"/>
        <v>3.7</v>
      </c>
      <c r="AF40" s="32">
        <f t="shared" si="13"/>
        <v>14.12</v>
      </c>
      <c r="AG40" s="32">
        <f t="shared" si="13"/>
        <v>10.5</v>
      </c>
      <c r="AH40" s="29">
        <v>72.2</v>
      </c>
      <c r="AI40" s="30">
        <f t="shared" si="14"/>
        <v>21.900000000000002</v>
      </c>
      <c r="AJ40" s="31">
        <f t="shared" si="15"/>
        <v>61.087866108786621</v>
      </c>
    </row>
    <row r="41" spans="1:36" s="2" customFormat="1" ht="15.6" x14ac:dyDescent="0.3">
      <c r="A41" s="6" t="s">
        <v>62</v>
      </c>
      <c r="B41" s="2">
        <v>6</v>
      </c>
      <c r="C41" s="3">
        <v>2</v>
      </c>
      <c r="D41" s="2">
        <v>3</v>
      </c>
      <c r="E41" s="5" t="s">
        <v>404</v>
      </c>
      <c r="F41" s="4"/>
      <c r="G41" s="32">
        <f t="shared" si="11"/>
        <v>31.2</v>
      </c>
      <c r="H41" s="32">
        <f t="shared" si="11"/>
        <v>5.8</v>
      </c>
      <c r="I41" s="32">
        <f t="shared" si="11"/>
        <v>32.1</v>
      </c>
      <c r="J41" s="32">
        <f t="shared" si="11"/>
        <v>18.399999999999999</v>
      </c>
      <c r="K41" s="32">
        <f t="shared" si="11"/>
        <v>1.52</v>
      </c>
      <c r="L41" s="32">
        <f t="shared" si="11"/>
        <v>16.3</v>
      </c>
      <c r="M41" s="32">
        <f t="shared" si="11"/>
        <v>22.71</v>
      </c>
      <c r="N41" s="32">
        <f t="shared" si="11"/>
        <v>4.5999999999999996</v>
      </c>
      <c r="O41" s="32">
        <f t="shared" si="11"/>
        <v>43</v>
      </c>
      <c r="P41" s="32">
        <f t="shared" si="11"/>
        <v>24.63</v>
      </c>
      <c r="Q41" s="32">
        <f t="shared" si="12"/>
        <v>0.503</v>
      </c>
      <c r="R41" s="32">
        <f t="shared" si="12"/>
        <v>17.79</v>
      </c>
      <c r="S41" s="32">
        <f t="shared" si="12"/>
        <v>46</v>
      </c>
      <c r="T41" s="32">
        <f t="shared" si="12"/>
        <v>16.399999999999999</v>
      </c>
      <c r="U41" s="32">
        <f t="shared" si="12"/>
        <v>70.8</v>
      </c>
      <c r="V41" s="32">
        <f t="shared" si="12"/>
        <v>21.7</v>
      </c>
      <c r="W41" s="32">
        <f t="shared" si="12"/>
        <v>15.4</v>
      </c>
      <c r="X41" s="32">
        <f t="shared" si="12"/>
        <v>70</v>
      </c>
      <c r="Y41" s="32">
        <f t="shared" si="12"/>
        <v>11.73</v>
      </c>
      <c r="Z41" s="32">
        <f t="shared" si="12"/>
        <v>76.8</v>
      </c>
      <c r="AA41" s="32">
        <f t="shared" si="13"/>
        <v>1.6</v>
      </c>
      <c r="AB41" s="32">
        <f t="shared" si="13"/>
        <v>37.14</v>
      </c>
      <c r="AC41" s="32">
        <f t="shared" si="13"/>
        <v>7.3</v>
      </c>
      <c r="AD41" s="32">
        <f t="shared" si="13"/>
        <v>7.8</v>
      </c>
      <c r="AE41" s="32">
        <f t="shared" si="13"/>
        <v>2.1</v>
      </c>
      <c r="AF41" s="32">
        <f t="shared" si="13"/>
        <v>13.91</v>
      </c>
      <c r="AG41" s="32">
        <f t="shared" si="13"/>
        <v>11</v>
      </c>
      <c r="AH41" s="29">
        <v>72.5</v>
      </c>
      <c r="AI41" s="30">
        <f t="shared" si="14"/>
        <v>22</v>
      </c>
      <c r="AJ41" s="31">
        <f t="shared" si="15"/>
        <v>60.434782608695649</v>
      </c>
    </row>
    <row r="42" spans="1:36" s="2" customFormat="1" ht="15.6" x14ac:dyDescent="0.3">
      <c r="A42" s="6" t="s">
        <v>411</v>
      </c>
      <c r="B42" s="2">
        <v>16</v>
      </c>
      <c r="C42" s="3">
        <v>2</v>
      </c>
      <c r="D42" s="2">
        <v>1</v>
      </c>
      <c r="E42" s="5" t="s">
        <v>404</v>
      </c>
      <c r="F42" s="4"/>
      <c r="G42" s="32">
        <f t="shared" ref="G42:P51" si="16">INDEX(rawValue,MATCH(INDEX(teamID,MATCH(INDEX(ovrTeamCol2,ROW(),1),teamINI,0))+INDEX(statID,MATCH(INDEX(ovrHeaderRow2,1,COLUMN()),statAbbr,0),1),rawLookup2,0))</f>
        <v>33.5</v>
      </c>
      <c r="H42" s="32">
        <f t="shared" si="16"/>
        <v>8</v>
      </c>
      <c r="I42" s="32">
        <f t="shared" si="16"/>
        <v>36.1</v>
      </c>
      <c r="J42" s="32">
        <f t="shared" si="16"/>
        <v>22.2</v>
      </c>
      <c r="K42" s="32">
        <f t="shared" si="16"/>
        <v>1.32</v>
      </c>
      <c r="L42" s="32">
        <f t="shared" si="16"/>
        <v>15.9</v>
      </c>
      <c r="M42" s="32">
        <f t="shared" si="16"/>
        <v>26.94</v>
      </c>
      <c r="N42" s="32">
        <f t="shared" si="16"/>
        <v>1.6</v>
      </c>
      <c r="O42" s="32">
        <f t="shared" si="16"/>
        <v>44.9</v>
      </c>
      <c r="P42" s="32">
        <f t="shared" si="16"/>
        <v>25.52</v>
      </c>
      <c r="Q42" s="32">
        <f t="shared" ref="Q42:Z51" si="17">INDEX(rawValue,MATCH(INDEX(teamID,MATCH(INDEX(ovrTeamCol2,ROW(),1),teamINI,0))+INDEX(statID,MATCH(INDEX(ovrHeaderRow2,1,COLUMN()),statAbbr,0),1),rawLookup2,0))</f>
        <v>0.51800000000000002</v>
      </c>
      <c r="R42" s="32">
        <f t="shared" si="17"/>
        <v>13.41</v>
      </c>
      <c r="S42" s="32">
        <f t="shared" si="17"/>
        <v>45.3</v>
      </c>
      <c r="T42" s="32">
        <f t="shared" si="17"/>
        <v>18.899999999999999</v>
      </c>
      <c r="U42" s="32">
        <f t="shared" si="17"/>
        <v>78.400000000000006</v>
      </c>
      <c r="V42" s="32">
        <f t="shared" si="17"/>
        <v>23</v>
      </c>
      <c r="W42" s="32">
        <f t="shared" si="17"/>
        <v>17.600000000000001</v>
      </c>
      <c r="X42" s="32">
        <f t="shared" si="17"/>
        <v>74.5</v>
      </c>
      <c r="Y42" s="32">
        <f t="shared" si="17"/>
        <v>12.79</v>
      </c>
      <c r="Z42" s="32">
        <f t="shared" si="17"/>
        <v>83.2</v>
      </c>
      <c r="AA42" s="32">
        <f t="shared" ref="AA42:AG51" si="18">INDEX(rawValue,MATCH(INDEX(teamID,MATCH(INDEX(ovrTeamCol2,ROW(),1),teamINI,0))+INDEX(statID,MATCH(INDEX(ovrHeaderRow2,1,COLUMN()),statAbbr,0),1),rawLookup2,0))</f>
        <v>4.4000000000000004</v>
      </c>
      <c r="AB42" s="32">
        <f t="shared" si="18"/>
        <v>38.69</v>
      </c>
      <c r="AC42" s="32">
        <f t="shared" si="18"/>
        <v>7.4</v>
      </c>
      <c r="AD42" s="32">
        <f t="shared" si="18"/>
        <v>8.3000000000000007</v>
      </c>
      <c r="AE42" s="32">
        <f t="shared" si="18"/>
        <v>1.6</v>
      </c>
      <c r="AF42" s="32">
        <f t="shared" si="18"/>
        <v>13.61</v>
      </c>
      <c r="AG42" s="32">
        <f t="shared" si="18"/>
        <v>11.8</v>
      </c>
      <c r="AH42" s="29">
        <v>72.7</v>
      </c>
      <c r="AI42" s="30">
        <f t="shared" si="14"/>
        <v>20.799999999999997</v>
      </c>
      <c r="AJ42" s="31">
        <f t="shared" si="15"/>
        <v>63.576158940397342</v>
      </c>
    </row>
    <row r="43" spans="1:36" s="2" customFormat="1" ht="15.6" x14ac:dyDescent="0.3">
      <c r="A43" s="6" t="s">
        <v>29</v>
      </c>
      <c r="B43" s="2">
        <v>12</v>
      </c>
      <c r="C43" s="3">
        <v>1</v>
      </c>
      <c r="D43" s="2">
        <v>1</v>
      </c>
      <c r="E43" s="5" t="s">
        <v>404</v>
      </c>
      <c r="F43" s="4"/>
      <c r="G43" s="32">
        <f t="shared" si="16"/>
        <v>30.5</v>
      </c>
      <c r="H43" s="32">
        <f t="shared" si="16"/>
        <v>10.7</v>
      </c>
      <c r="I43" s="32">
        <f t="shared" si="16"/>
        <v>33.799999999999997</v>
      </c>
      <c r="J43" s="32">
        <f t="shared" si="16"/>
        <v>32</v>
      </c>
      <c r="K43" s="32">
        <f t="shared" si="16"/>
        <v>1.27</v>
      </c>
      <c r="L43" s="32">
        <f t="shared" si="16"/>
        <v>13.7</v>
      </c>
      <c r="M43" s="32">
        <f t="shared" si="16"/>
        <v>33.5</v>
      </c>
      <c r="N43" s="32">
        <f t="shared" si="16"/>
        <v>3.2</v>
      </c>
      <c r="O43" s="32">
        <f t="shared" si="16"/>
        <v>43.3</v>
      </c>
      <c r="P43" s="32">
        <f t="shared" si="16"/>
        <v>27.59</v>
      </c>
      <c r="Q43" s="32">
        <f t="shared" si="17"/>
        <v>0.52</v>
      </c>
      <c r="R43" s="32">
        <f t="shared" si="17"/>
        <v>13.03</v>
      </c>
      <c r="S43" s="32">
        <f t="shared" si="17"/>
        <v>44</v>
      </c>
      <c r="T43" s="32">
        <f t="shared" si="17"/>
        <v>16.600000000000001</v>
      </c>
      <c r="U43" s="32">
        <f t="shared" si="17"/>
        <v>74</v>
      </c>
      <c r="V43" s="32">
        <f t="shared" si="17"/>
        <v>21.6</v>
      </c>
      <c r="W43" s="32">
        <f t="shared" si="17"/>
        <v>16.5</v>
      </c>
      <c r="X43" s="32">
        <f t="shared" si="17"/>
        <v>68.3</v>
      </c>
      <c r="Y43" s="32">
        <f t="shared" si="17"/>
        <v>14.64</v>
      </c>
      <c r="Z43" s="32">
        <f t="shared" si="17"/>
        <v>83.4</v>
      </c>
      <c r="AA43" s="32">
        <f t="shared" si="18"/>
        <v>7.5</v>
      </c>
      <c r="AB43" s="32">
        <f t="shared" si="18"/>
        <v>42.58</v>
      </c>
      <c r="AC43" s="32">
        <f t="shared" si="18"/>
        <v>14.8</v>
      </c>
      <c r="AD43" s="32">
        <f t="shared" si="18"/>
        <v>7.2</v>
      </c>
      <c r="AE43" s="32">
        <f t="shared" si="18"/>
        <v>1.3</v>
      </c>
      <c r="AF43" s="32">
        <f t="shared" si="18"/>
        <v>12.28</v>
      </c>
      <c r="AG43" s="32">
        <f t="shared" si="18"/>
        <v>11</v>
      </c>
      <c r="AH43" s="29">
        <v>72.900000000000006</v>
      </c>
      <c r="AI43" s="30">
        <f t="shared" si="14"/>
        <v>17.400000000000006</v>
      </c>
      <c r="AJ43" s="31">
        <f t="shared" si="15"/>
        <v>63.863636363636374</v>
      </c>
    </row>
    <row r="44" spans="1:36" s="2" customFormat="1" ht="15.6" x14ac:dyDescent="0.3">
      <c r="A44" s="6" t="s">
        <v>58</v>
      </c>
      <c r="B44" s="2">
        <v>3</v>
      </c>
      <c r="C44" s="3">
        <v>4</v>
      </c>
      <c r="D44" s="2">
        <v>3</v>
      </c>
      <c r="E44" s="5" t="s">
        <v>404</v>
      </c>
      <c r="F44" s="4"/>
      <c r="G44" s="32">
        <f t="shared" si="16"/>
        <v>34.4</v>
      </c>
      <c r="H44" s="32">
        <f t="shared" si="16"/>
        <v>7.8</v>
      </c>
      <c r="I44" s="32">
        <f t="shared" si="16"/>
        <v>38.299999999999997</v>
      </c>
      <c r="J44" s="32">
        <f t="shared" si="16"/>
        <v>20.3</v>
      </c>
      <c r="K44" s="32">
        <f t="shared" si="16"/>
        <v>1.66</v>
      </c>
      <c r="L44" s="32">
        <f t="shared" si="16"/>
        <v>16.7</v>
      </c>
      <c r="M44" s="32">
        <f t="shared" si="16"/>
        <v>21.67</v>
      </c>
      <c r="N44" s="32">
        <f t="shared" si="16"/>
        <v>3.6</v>
      </c>
      <c r="O44" s="32">
        <f t="shared" si="16"/>
        <v>43.7</v>
      </c>
      <c r="P44" s="32">
        <f t="shared" si="16"/>
        <v>27.64</v>
      </c>
      <c r="Q44" s="32">
        <f t="shared" si="17"/>
        <v>0.57399999999999995</v>
      </c>
      <c r="R44" s="32">
        <f t="shared" si="17"/>
        <v>13.7</v>
      </c>
      <c r="S44" s="32">
        <f t="shared" si="17"/>
        <v>51.8</v>
      </c>
      <c r="T44" s="32">
        <f t="shared" si="17"/>
        <v>16.5</v>
      </c>
      <c r="U44" s="32">
        <f t="shared" si="17"/>
        <v>70.3</v>
      </c>
      <c r="V44" s="32">
        <f t="shared" si="17"/>
        <v>21.9</v>
      </c>
      <c r="W44" s="32">
        <f t="shared" si="17"/>
        <v>15.3</v>
      </c>
      <c r="X44" s="32">
        <f t="shared" si="17"/>
        <v>74.5</v>
      </c>
      <c r="Y44" s="32">
        <f t="shared" si="17"/>
        <v>10.64</v>
      </c>
      <c r="Z44" s="32">
        <f t="shared" si="17"/>
        <v>90.1</v>
      </c>
      <c r="AA44" s="32">
        <f t="shared" si="18"/>
        <v>6</v>
      </c>
      <c r="AB44" s="32">
        <f t="shared" si="18"/>
        <v>38.61</v>
      </c>
      <c r="AC44" s="32">
        <f t="shared" si="18"/>
        <v>13.8</v>
      </c>
      <c r="AD44" s="32">
        <f t="shared" si="18"/>
        <v>7.1</v>
      </c>
      <c r="AE44" s="32">
        <f t="shared" si="18"/>
        <v>1.8</v>
      </c>
      <c r="AF44" s="32">
        <f t="shared" si="18"/>
        <v>11.91</v>
      </c>
      <c r="AG44" s="32">
        <f t="shared" si="18"/>
        <v>10</v>
      </c>
      <c r="AH44" s="29">
        <v>73.3</v>
      </c>
      <c r="AI44" s="30">
        <f t="shared" si="14"/>
        <v>25.7</v>
      </c>
      <c r="AJ44" s="31">
        <f t="shared" si="15"/>
        <v>64.671814671814673</v>
      </c>
    </row>
    <row r="45" spans="1:36" s="2" customFormat="1" ht="15.6" x14ac:dyDescent="0.3">
      <c r="A45" s="6" t="s">
        <v>32</v>
      </c>
      <c r="B45" s="2">
        <v>16</v>
      </c>
      <c r="C45" s="3">
        <v>1</v>
      </c>
      <c r="D45" s="2">
        <v>3</v>
      </c>
      <c r="E45" s="5" t="s">
        <v>404</v>
      </c>
      <c r="F45" s="4"/>
      <c r="G45" s="32">
        <f t="shared" si="16"/>
        <v>33.799999999999997</v>
      </c>
      <c r="H45" s="32">
        <f t="shared" si="16"/>
        <v>8.3000000000000007</v>
      </c>
      <c r="I45" s="32">
        <f t="shared" si="16"/>
        <v>37.1</v>
      </c>
      <c r="J45" s="32">
        <f t="shared" si="16"/>
        <v>22.3</v>
      </c>
      <c r="K45" s="32">
        <f t="shared" si="16"/>
        <v>0.9</v>
      </c>
      <c r="L45" s="32">
        <f t="shared" si="16"/>
        <v>15.4</v>
      </c>
      <c r="M45" s="32">
        <f t="shared" si="16"/>
        <v>25.57</v>
      </c>
      <c r="N45" s="32">
        <f t="shared" si="16"/>
        <v>3.2</v>
      </c>
      <c r="O45" s="32">
        <f t="shared" si="16"/>
        <v>44</v>
      </c>
      <c r="P45" s="32">
        <f t="shared" si="16"/>
        <v>24.41</v>
      </c>
      <c r="Q45" s="32">
        <f t="shared" si="17"/>
        <v>0.53900000000000003</v>
      </c>
      <c r="R45" s="32">
        <f t="shared" si="17"/>
        <v>10.62</v>
      </c>
      <c r="S45" s="32">
        <f t="shared" si="17"/>
        <v>46.3</v>
      </c>
      <c r="T45" s="32">
        <f t="shared" si="17"/>
        <v>17.3</v>
      </c>
      <c r="U45" s="32">
        <f t="shared" si="17"/>
        <v>71.900000000000006</v>
      </c>
      <c r="V45" s="32">
        <f t="shared" si="17"/>
        <v>20.8</v>
      </c>
      <c r="W45" s="32">
        <f t="shared" si="17"/>
        <v>14.8</v>
      </c>
      <c r="X45" s="32">
        <f t="shared" si="17"/>
        <v>74.400000000000006</v>
      </c>
      <c r="Y45" s="32">
        <f t="shared" si="17"/>
        <v>12.45</v>
      </c>
      <c r="Z45" s="32">
        <f t="shared" si="17"/>
        <v>77.400000000000006</v>
      </c>
      <c r="AA45" s="32">
        <f t="shared" si="18"/>
        <v>3.4</v>
      </c>
      <c r="AB45" s="32">
        <f t="shared" si="18"/>
        <v>36.950000000000003</v>
      </c>
      <c r="AC45" s="32">
        <f t="shared" si="18"/>
        <v>0.7</v>
      </c>
      <c r="AD45" s="32">
        <f t="shared" si="18"/>
        <v>7.1</v>
      </c>
      <c r="AE45" s="32">
        <f t="shared" si="18"/>
        <v>-0.5</v>
      </c>
      <c r="AF45" s="32">
        <f t="shared" si="18"/>
        <v>14</v>
      </c>
      <c r="AG45" s="32">
        <f t="shared" si="18"/>
        <v>15.5</v>
      </c>
      <c r="AH45" s="29">
        <v>73.400000000000006</v>
      </c>
      <c r="AI45" s="30">
        <f t="shared" si="14"/>
        <v>18.850000000000001</v>
      </c>
      <c r="AJ45" s="31">
        <f t="shared" si="15"/>
        <v>58.639308855291581</v>
      </c>
    </row>
    <row r="46" spans="1:36" s="2" customFormat="1" ht="15.6" x14ac:dyDescent="0.3">
      <c r="A46" s="6" t="s">
        <v>320</v>
      </c>
      <c r="B46" s="2">
        <v>3</v>
      </c>
      <c r="C46" s="3">
        <v>4</v>
      </c>
      <c r="D46" s="2">
        <v>4</v>
      </c>
      <c r="E46" s="5" t="s">
        <v>404</v>
      </c>
      <c r="F46" s="4"/>
      <c r="G46" s="32">
        <f t="shared" si="16"/>
        <v>31</v>
      </c>
      <c r="H46" s="32">
        <f t="shared" si="16"/>
        <v>7.2</v>
      </c>
      <c r="I46" s="32">
        <f t="shared" si="16"/>
        <v>34.4</v>
      </c>
      <c r="J46" s="32">
        <f t="shared" si="16"/>
        <v>22.1</v>
      </c>
      <c r="K46" s="32">
        <f t="shared" si="16"/>
        <v>1.36</v>
      </c>
      <c r="L46" s="32">
        <f t="shared" si="16"/>
        <v>18</v>
      </c>
      <c r="M46" s="32">
        <f t="shared" si="16"/>
        <v>17.079999999999998</v>
      </c>
      <c r="N46" s="32">
        <f t="shared" si="16"/>
        <v>2.9</v>
      </c>
      <c r="O46" s="32">
        <f t="shared" si="16"/>
        <v>42.6</v>
      </c>
      <c r="P46" s="32">
        <f t="shared" si="16"/>
        <v>25.17</v>
      </c>
      <c r="Q46" s="32">
        <f t="shared" si="17"/>
        <v>0.53100000000000003</v>
      </c>
      <c r="R46" s="32">
        <f t="shared" si="17"/>
        <v>11.47</v>
      </c>
      <c r="S46" s="32">
        <f t="shared" si="17"/>
        <v>46.8</v>
      </c>
      <c r="T46" s="32">
        <f t="shared" si="17"/>
        <v>17.399999999999999</v>
      </c>
      <c r="U46" s="32">
        <f t="shared" si="17"/>
        <v>75.099999999999994</v>
      </c>
      <c r="V46" s="32">
        <f t="shared" si="17"/>
        <v>21.9</v>
      </c>
      <c r="W46" s="32">
        <f t="shared" si="17"/>
        <v>16.8</v>
      </c>
      <c r="X46" s="32">
        <f t="shared" si="17"/>
        <v>71.3</v>
      </c>
      <c r="Y46" s="32">
        <f t="shared" si="17"/>
        <v>10.09</v>
      </c>
      <c r="Z46" s="32">
        <f t="shared" si="17"/>
        <v>78.8</v>
      </c>
      <c r="AA46" s="32">
        <f t="shared" si="18"/>
        <v>1.2</v>
      </c>
      <c r="AB46" s="32">
        <f t="shared" si="18"/>
        <v>35.11</v>
      </c>
      <c r="AC46" s="32">
        <f t="shared" si="18"/>
        <v>6.5</v>
      </c>
      <c r="AD46" s="32">
        <f t="shared" si="18"/>
        <v>7.6</v>
      </c>
      <c r="AE46" s="32">
        <f t="shared" si="18"/>
        <v>0.5</v>
      </c>
      <c r="AF46" s="32">
        <f t="shared" si="18"/>
        <v>13.54</v>
      </c>
      <c r="AG46" s="32">
        <f t="shared" si="18"/>
        <v>13</v>
      </c>
      <c r="AH46" s="29">
        <v>73.400000000000006</v>
      </c>
      <c r="AI46" s="30">
        <f t="shared" si="14"/>
        <v>20.2</v>
      </c>
      <c r="AJ46" s="31">
        <f t="shared" si="15"/>
        <v>58.547008547008552</v>
      </c>
    </row>
    <row r="47" spans="1:36" s="2" customFormat="1" ht="15.6" x14ac:dyDescent="0.3">
      <c r="A47" s="6" t="s">
        <v>503</v>
      </c>
      <c r="B47" s="2">
        <v>16</v>
      </c>
      <c r="C47" s="3">
        <v>1</v>
      </c>
      <c r="D47" s="2">
        <v>4</v>
      </c>
      <c r="E47" s="5" t="s">
        <v>404</v>
      </c>
      <c r="F47" s="4"/>
      <c r="G47" s="32">
        <f t="shared" si="16"/>
        <v>33</v>
      </c>
      <c r="H47" s="32">
        <f t="shared" si="16"/>
        <v>5.0999999999999996</v>
      </c>
      <c r="I47" s="32">
        <f t="shared" si="16"/>
        <v>30.5</v>
      </c>
      <c r="J47" s="32">
        <f t="shared" si="16"/>
        <v>17.5</v>
      </c>
      <c r="K47" s="32">
        <f t="shared" si="16"/>
        <v>0.75</v>
      </c>
      <c r="L47" s="32">
        <f t="shared" si="16"/>
        <v>11.4</v>
      </c>
      <c r="M47" s="32">
        <f t="shared" si="16"/>
        <v>15.36</v>
      </c>
      <c r="N47" s="32">
        <f t="shared" si="16"/>
        <v>3.5</v>
      </c>
      <c r="O47" s="32">
        <f t="shared" si="16"/>
        <v>43</v>
      </c>
      <c r="P47" s="32">
        <f t="shared" si="16"/>
        <v>26.57</v>
      </c>
      <c r="Q47" s="32">
        <f t="shared" si="17"/>
        <v>0.44600000000000001</v>
      </c>
      <c r="R47" s="32">
        <f t="shared" si="17"/>
        <v>7.47</v>
      </c>
      <c r="S47" s="32">
        <f t="shared" si="17"/>
        <v>43.6</v>
      </c>
      <c r="T47" s="32">
        <f t="shared" si="17"/>
        <v>18.399999999999999</v>
      </c>
      <c r="U47" s="32">
        <f t="shared" si="17"/>
        <v>68.099999999999994</v>
      </c>
      <c r="V47" s="32">
        <f t="shared" si="17"/>
        <v>21.3</v>
      </c>
      <c r="W47" s="32">
        <f t="shared" si="17"/>
        <v>14.2</v>
      </c>
      <c r="X47" s="32">
        <f t="shared" si="17"/>
        <v>74.3</v>
      </c>
      <c r="Y47" s="32">
        <f t="shared" si="17"/>
        <v>12.22</v>
      </c>
      <c r="Z47" s="32">
        <f t="shared" si="17"/>
        <v>71.400000000000006</v>
      </c>
      <c r="AA47" s="32">
        <f t="shared" si="18"/>
        <v>3.1</v>
      </c>
      <c r="AB47" s="32">
        <f t="shared" si="18"/>
        <v>38.71</v>
      </c>
      <c r="AC47" s="32">
        <f t="shared" si="18"/>
        <v>-1.9</v>
      </c>
      <c r="AD47" s="32">
        <f t="shared" si="18"/>
        <v>6.5</v>
      </c>
      <c r="AE47" s="32">
        <f t="shared" si="18"/>
        <v>-0.4</v>
      </c>
      <c r="AF47" s="32">
        <f t="shared" si="18"/>
        <v>12.23</v>
      </c>
      <c r="AG47" s="32">
        <f t="shared" si="18"/>
        <v>13.8</v>
      </c>
      <c r="AH47" s="29">
        <v>73.599999999999994</v>
      </c>
      <c r="AI47" s="30">
        <f t="shared" si="14"/>
        <v>20.950000000000003</v>
      </c>
      <c r="AJ47" s="31">
        <f t="shared" si="15"/>
        <v>59.747706422018354</v>
      </c>
    </row>
    <row r="48" spans="1:36" s="2" customFormat="1" ht="15.6" x14ac:dyDescent="0.3">
      <c r="A48" s="6" t="s">
        <v>346</v>
      </c>
      <c r="B48" s="2">
        <v>3</v>
      </c>
      <c r="C48" s="3">
        <v>3</v>
      </c>
      <c r="D48" s="2">
        <v>2</v>
      </c>
      <c r="E48" s="5" t="s">
        <v>404</v>
      </c>
      <c r="F48" s="4"/>
      <c r="G48" s="32">
        <f t="shared" si="16"/>
        <v>34.700000000000003</v>
      </c>
      <c r="H48" s="32">
        <f t="shared" si="16"/>
        <v>7.5</v>
      </c>
      <c r="I48" s="32">
        <f t="shared" si="16"/>
        <v>39.9</v>
      </c>
      <c r="J48" s="32">
        <f t="shared" si="16"/>
        <v>19.3</v>
      </c>
      <c r="K48" s="32">
        <f t="shared" si="16"/>
        <v>1.71</v>
      </c>
      <c r="L48" s="32">
        <f t="shared" si="16"/>
        <v>19</v>
      </c>
      <c r="M48" s="32">
        <f t="shared" si="16"/>
        <v>11.79</v>
      </c>
      <c r="N48" s="32">
        <f t="shared" si="16"/>
        <v>3.5</v>
      </c>
      <c r="O48" s="32">
        <f t="shared" si="16"/>
        <v>43.8</v>
      </c>
      <c r="P48" s="32">
        <f t="shared" si="16"/>
        <v>27.89</v>
      </c>
      <c r="Q48" s="32">
        <f t="shared" si="17"/>
        <v>0.55800000000000005</v>
      </c>
      <c r="R48" s="32">
        <f t="shared" si="17"/>
        <v>11.03</v>
      </c>
      <c r="S48" s="32">
        <f t="shared" si="17"/>
        <v>49.1</v>
      </c>
      <c r="T48" s="32">
        <f t="shared" si="17"/>
        <v>15.9</v>
      </c>
      <c r="U48" s="32">
        <f t="shared" si="17"/>
        <v>71.5</v>
      </c>
      <c r="V48" s="32">
        <f t="shared" si="17"/>
        <v>20.100000000000001</v>
      </c>
      <c r="W48" s="32">
        <f t="shared" si="17"/>
        <v>14.5</v>
      </c>
      <c r="X48" s="32">
        <f t="shared" si="17"/>
        <v>75.099999999999994</v>
      </c>
      <c r="Y48" s="32">
        <f t="shared" si="17"/>
        <v>10.62</v>
      </c>
      <c r="Z48" s="32">
        <f t="shared" si="17"/>
        <v>85.6</v>
      </c>
      <c r="AA48" s="32">
        <f t="shared" si="18"/>
        <v>5.9</v>
      </c>
      <c r="AB48" s="32">
        <f t="shared" si="18"/>
        <v>38.83</v>
      </c>
      <c r="AC48" s="32">
        <f t="shared" si="18"/>
        <v>7.3</v>
      </c>
      <c r="AD48" s="32">
        <f t="shared" si="18"/>
        <v>6.2</v>
      </c>
      <c r="AE48" s="32">
        <f t="shared" si="18"/>
        <v>-0.3</v>
      </c>
      <c r="AF48" s="32">
        <f t="shared" si="18"/>
        <v>10.81</v>
      </c>
      <c r="AG48" s="32">
        <f t="shared" si="18"/>
        <v>11.7</v>
      </c>
      <c r="AH48" s="29">
        <v>73.7</v>
      </c>
      <c r="AI48" s="30">
        <f t="shared" si="14"/>
        <v>24.299999999999997</v>
      </c>
      <c r="AJ48" s="31">
        <f t="shared" si="15"/>
        <v>64.765784114052948</v>
      </c>
    </row>
    <row r="49" spans="1:36" s="2" customFormat="1" ht="15.6" x14ac:dyDescent="0.3">
      <c r="A49" s="6" t="s">
        <v>19</v>
      </c>
      <c r="B49" s="2">
        <v>2</v>
      </c>
      <c r="C49" s="3">
        <v>1</v>
      </c>
      <c r="D49" s="2">
        <v>1</v>
      </c>
      <c r="E49" s="5" t="s">
        <v>404</v>
      </c>
      <c r="F49" s="4"/>
      <c r="G49" s="32">
        <f t="shared" si="16"/>
        <v>32</v>
      </c>
      <c r="H49" s="32">
        <f t="shared" si="16"/>
        <v>8.6</v>
      </c>
      <c r="I49" s="32">
        <f t="shared" si="16"/>
        <v>37.700000000000003</v>
      </c>
      <c r="J49" s="32">
        <f t="shared" si="16"/>
        <v>22.7</v>
      </c>
      <c r="K49" s="32">
        <f t="shared" si="16"/>
        <v>1.59</v>
      </c>
      <c r="L49" s="32">
        <f t="shared" si="16"/>
        <v>18.7</v>
      </c>
      <c r="M49" s="32">
        <f t="shared" si="16"/>
        <v>18.11</v>
      </c>
      <c r="N49" s="32">
        <f t="shared" si="16"/>
        <v>3.2</v>
      </c>
      <c r="O49" s="32">
        <f t="shared" si="16"/>
        <v>41</v>
      </c>
      <c r="P49" s="32">
        <f t="shared" si="16"/>
        <v>29.5</v>
      </c>
      <c r="Q49" s="32">
        <f t="shared" si="17"/>
        <v>0.57199999999999995</v>
      </c>
      <c r="R49" s="32">
        <f t="shared" si="17"/>
        <v>14.64</v>
      </c>
      <c r="S49" s="32">
        <f t="shared" si="17"/>
        <v>49.5</v>
      </c>
      <c r="T49" s="32">
        <f t="shared" si="17"/>
        <v>16.7</v>
      </c>
      <c r="U49" s="32">
        <f t="shared" si="17"/>
        <v>71</v>
      </c>
      <c r="V49" s="32">
        <f t="shared" si="17"/>
        <v>22.8</v>
      </c>
      <c r="W49" s="32">
        <f t="shared" si="17"/>
        <v>15.8</v>
      </c>
      <c r="X49" s="32">
        <f t="shared" si="17"/>
        <v>73.3</v>
      </c>
      <c r="Y49" s="32">
        <f t="shared" si="17"/>
        <v>10.6</v>
      </c>
      <c r="Z49" s="32">
        <f t="shared" si="17"/>
        <v>87.1</v>
      </c>
      <c r="AA49" s="32">
        <f t="shared" si="18"/>
        <v>7.3</v>
      </c>
      <c r="AB49" s="32">
        <f t="shared" si="18"/>
        <v>40.89</v>
      </c>
      <c r="AC49" s="32">
        <f t="shared" si="18"/>
        <v>12.3</v>
      </c>
      <c r="AD49" s="32">
        <f t="shared" si="18"/>
        <v>6</v>
      </c>
      <c r="AE49" s="32">
        <f t="shared" si="18"/>
        <v>-0.5</v>
      </c>
      <c r="AF49" s="32">
        <f t="shared" si="18"/>
        <v>11.28</v>
      </c>
      <c r="AG49" s="32">
        <f t="shared" si="18"/>
        <v>12.7</v>
      </c>
      <c r="AH49" s="29">
        <v>74.2</v>
      </c>
      <c r="AI49" s="30">
        <f t="shared" si="14"/>
        <v>22.75</v>
      </c>
      <c r="AJ49" s="31">
        <f t="shared" si="15"/>
        <v>63.333333333333336</v>
      </c>
    </row>
    <row r="50" spans="1:36" s="2" customFormat="1" ht="15.6" x14ac:dyDescent="0.3">
      <c r="A50" s="6" t="s">
        <v>342</v>
      </c>
      <c r="B50" s="2">
        <v>8</v>
      </c>
      <c r="C50" s="3">
        <v>1</v>
      </c>
      <c r="D50" s="2">
        <v>4</v>
      </c>
      <c r="E50" s="5" t="s">
        <v>404</v>
      </c>
      <c r="F50" s="4"/>
      <c r="G50" s="32">
        <f t="shared" si="16"/>
        <v>31</v>
      </c>
      <c r="H50" s="32">
        <f t="shared" si="16"/>
        <v>6.5</v>
      </c>
      <c r="I50" s="32">
        <f t="shared" si="16"/>
        <v>35.700000000000003</v>
      </c>
      <c r="J50" s="32">
        <f t="shared" si="16"/>
        <v>17.7</v>
      </c>
      <c r="K50" s="32">
        <f t="shared" si="16"/>
        <v>1.29</v>
      </c>
      <c r="L50" s="32">
        <f t="shared" si="16"/>
        <v>16</v>
      </c>
      <c r="M50" s="32">
        <f t="shared" si="16"/>
        <v>19.18</v>
      </c>
      <c r="N50" s="32">
        <f t="shared" si="16"/>
        <v>4.3</v>
      </c>
      <c r="O50" s="32">
        <f t="shared" si="16"/>
        <v>40</v>
      </c>
      <c r="P50" s="32">
        <f t="shared" si="16"/>
        <v>26.14</v>
      </c>
      <c r="Q50" s="32">
        <f t="shared" si="17"/>
        <v>0.53900000000000003</v>
      </c>
      <c r="R50" s="32">
        <f t="shared" si="17"/>
        <v>16.440000000000001</v>
      </c>
      <c r="S50" s="32">
        <f t="shared" si="17"/>
        <v>48.4</v>
      </c>
      <c r="T50" s="32">
        <f t="shared" si="17"/>
        <v>17.600000000000001</v>
      </c>
      <c r="U50" s="32">
        <f t="shared" si="17"/>
        <v>74.900000000000006</v>
      </c>
      <c r="V50" s="32">
        <f t="shared" si="17"/>
        <v>22.8</v>
      </c>
      <c r="W50" s="32">
        <f t="shared" si="17"/>
        <v>17.3</v>
      </c>
      <c r="X50" s="32">
        <f t="shared" si="17"/>
        <v>73.400000000000006</v>
      </c>
      <c r="Y50" s="32">
        <f t="shared" si="17"/>
        <v>11.17</v>
      </c>
      <c r="Z50" s="32">
        <f t="shared" si="17"/>
        <v>82.3</v>
      </c>
      <c r="AA50" s="32">
        <f t="shared" si="18"/>
        <v>0.8</v>
      </c>
      <c r="AB50" s="32">
        <f t="shared" si="18"/>
        <v>37.15</v>
      </c>
      <c r="AC50" s="32">
        <f t="shared" si="18"/>
        <v>8.6</v>
      </c>
      <c r="AD50" s="32">
        <f t="shared" si="18"/>
        <v>8.3000000000000007</v>
      </c>
      <c r="AE50" s="32">
        <f t="shared" si="18"/>
        <v>1.3</v>
      </c>
      <c r="AF50" s="32">
        <f t="shared" si="18"/>
        <v>13.63</v>
      </c>
      <c r="AG50" s="32">
        <f t="shared" si="18"/>
        <v>12.6</v>
      </c>
      <c r="AH50" s="29">
        <v>74.900000000000006</v>
      </c>
      <c r="AI50" s="30">
        <f t="shared" si="14"/>
        <v>22.75</v>
      </c>
      <c r="AJ50" s="31">
        <f t="shared" si="15"/>
        <v>60.433884297520663</v>
      </c>
    </row>
    <row r="51" spans="1:36" s="2" customFormat="1" ht="15.6" x14ac:dyDescent="0.3">
      <c r="A51" s="6" t="s">
        <v>21</v>
      </c>
      <c r="B51" s="2">
        <v>1</v>
      </c>
      <c r="C51" s="3">
        <v>3</v>
      </c>
      <c r="D51" s="2">
        <v>1</v>
      </c>
      <c r="E51" s="5" t="s">
        <v>404</v>
      </c>
      <c r="F51" s="4"/>
      <c r="G51" s="32">
        <f t="shared" si="16"/>
        <v>29.9</v>
      </c>
      <c r="H51" s="32">
        <f t="shared" si="16"/>
        <v>10.5</v>
      </c>
      <c r="I51" s="32">
        <f t="shared" si="16"/>
        <v>33.9</v>
      </c>
      <c r="J51" s="32">
        <f t="shared" si="16"/>
        <v>30.6</v>
      </c>
      <c r="K51" s="32">
        <f t="shared" si="16"/>
        <v>1.17</v>
      </c>
      <c r="L51" s="32">
        <f t="shared" si="16"/>
        <v>15.6</v>
      </c>
      <c r="M51" s="32">
        <f t="shared" si="16"/>
        <v>32.61</v>
      </c>
      <c r="N51" s="32">
        <f t="shared" si="16"/>
        <v>5.4</v>
      </c>
      <c r="O51" s="32">
        <f t="shared" si="16"/>
        <v>38.6</v>
      </c>
      <c r="P51" s="32">
        <f t="shared" si="16"/>
        <v>29.71</v>
      </c>
      <c r="Q51" s="32">
        <f t="shared" si="17"/>
        <v>0.52800000000000002</v>
      </c>
      <c r="R51" s="32">
        <f t="shared" si="17"/>
        <v>13.91</v>
      </c>
      <c r="S51" s="32">
        <f t="shared" si="17"/>
        <v>44.4</v>
      </c>
      <c r="T51" s="32">
        <f t="shared" si="17"/>
        <v>18.3</v>
      </c>
      <c r="U51" s="32">
        <f t="shared" si="17"/>
        <v>72.099999999999994</v>
      </c>
      <c r="V51" s="32">
        <f t="shared" si="17"/>
        <v>24.2</v>
      </c>
      <c r="W51" s="32">
        <f t="shared" si="17"/>
        <v>17.399999999999999</v>
      </c>
      <c r="X51" s="32">
        <f t="shared" si="17"/>
        <v>69.900000000000006</v>
      </c>
      <c r="Y51" s="32">
        <f t="shared" si="17"/>
        <v>13.43</v>
      </c>
      <c r="Z51" s="32">
        <f t="shared" si="17"/>
        <v>86.1</v>
      </c>
      <c r="AA51" s="32">
        <f t="shared" si="18"/>
        <v>8.6999999999999993</v>
      </c>
      <c r="AB51" s="32">
        <f t="shared" si="18"/>
        <v>42.81</v>
      </c>
      <c r="AC51" s="32">
        <f t="shared" si="18"/>
        <v>15.9</v>
      </c>
      <c r="AD51" s="32">
        <f t="shared" si="18"/>
        <v>6</v>
      </c>
      <c r="AE51" s="32">
        <f t="shared" si="18"/>
        <v>-3.2</v>
      </c>
      <c r="AF51" s="32">
        <f t="shared" si="18"/>
        <v>10.85</v>
      </c>
      <c r="AG51" s="32">
        <f t="shared" si="18"/>
        <v>13</v>
      </c>
      <c r="AH51" s="29">
        <v>76.2</v>
      </c>
      <c r="AI51" s="30">
        <f t="shared" si="14"/>
        <v>18.599999999999994</v>
      </c>
      <c r="AJ51" s="31">
        <f t="shared" si="15"/>
        <v>65.540540540540533</v>
      </c>
    </row>
    <row r="52" spans="1:36" s="2" customFormat="1" ht="15.6" x14ac:dyDescent="0.3">
      <c r="A52" s="6" t="s">
        <v>418</v>
      </c>
      <c r="B52" s="2">
        <v>16</v>
      </c>
      <c r="C52" s="3">
        <v>1</v>
      </c>
      <c r="D52" s="2">
        <v>1</v>
      </c>
      <c r="E52" s="5" t="s">
        <v>404</v>
      </c>
      <c r="F52" s="4"/>
      <c r="G52" s="32">
        <f t="shared" ref="G52:P61" si="19">INDEX(rawValue,MATCH(INDEX(teamID,MATCH(INDEX(ovrTeamCol2,ROW(),1),teamINI,0))+INDEX(statID,MATCH(INDEX(ovrHeaderRow2,1,COLUMN()),statAbbr,0),1),rawLookup2,0))</f>
        <v>34</v>
      </c>
      <c r="H52" s="32">
        <f t="shared" si="19"/>
        <v>8.1999999999999993</v>
      </c>
      <c r="I52" s="32">
        <f t="shared" si="19"/>
        <v>33.299999999999997</v>
      </c>
      <c r="J52" s="32">
        <f t="shared" si="19"/>
        <v>24.2</v>
      </c>
      <c r="K52" s="32">
        <f t="shared" si="19"/>
        <v>1.1399999999999999</v>
      </c>
      <c r="L52" s="32">
        <f t="shared" si="19"/>
        <v>14</v>
      </c>
      <c r="M52" s="32">
        <f t="shared" si="19"/>
        <v>22.46</v>
      </c>
      <c r="N52" s="32">
        <f t="shared" si="19"/>
        <v>3.2</v>
      </c>
      <c r="O52" s="32">
        <f t="shared" si="19"/>
        <v>44.1</v>
      </c>
      <c r="P52" s="32">
        <f t="shared" si="19"/>
        <v>26.11</v>
      </c>
      <c r="Q52" s="32">
        <f t="shared" ref="Q52:Z61" si="20">INDEX(rawValue,MATCH(INDEX(teamID,MATCH(INDEX(ovrTeamCol2,ROW(),1),teamINI,0))+INDEX(statID,MATCH(INDEX(ovrHeaderRow2,1,COLUMN()),statAbbr,0),1),rawLookup2,0))</f>
        <v>0.505</v>
      </c>
      <c r="R52" s="32">
        <f t="shared" si="20"/>
        <v>13.03</v>
      </c>
      <c r="S52" s="32">
        <f t="shared" si="20"/>
        <v>44</v>
      </c>
      <c r="T52" s="32">
        <f t="shared" si="20"/>
        <v>19.8</v>
      </c>
      <c r="U52" s="32">
        <f t="shared" si="20"/>
        <v>71.2</v>
      </c>
      <c r="V52" s="32">
        <f t="shared" si="20"/>
        <v>24.7</v>
      </c>
      <c r="W52" s="32">
        <f t="shared" si="20"/>
        <v>17.399999999999999</v>
      </c>
      <c r="X52" s="32">
        <f t="shared" si="20"/>
        <v>81.2</v>
      </c>
      <c r="Y52" s="32">
        <f t="shared" si="20"/>
        <v>9.9499999999999993</v>
      </c>
      <c r="Z52" s="32">
        <f t="shared" si="20"/>
        <v>80</v>
      </c>
      <c r="AA52" s="32">
        <f t="shared" ref="AA52:AG61" si="21">INDEX(rawValue,MATCH(INDEX(teamID,MATCH(INDEX(ovrTeamCol2,ROW(),1),teamINI,0))+INDEX(statID,MATCH(INDEX(ovrHeaderRow2,1,COLUMN()),statAbbr,0),1),rawLookup2,0))</f>
        <v>-0.9</v>
      </c>
      <c r="AB52" s="32">
        <f t="shared" si="21"/>
        <v>35.43</v>
      </c>
      <c r="AC52" s="32">
        <f t="shared" si="21"/>
        <v>0.6</v>
      </c>
      <c r="AD52" s="32">
        <f t="shared" si="21"/>
        <v>6.9</v>
      </c>
      <c r="AE52" s="32">
        <f t="shared" si="21"/>
        <v>1</v>
      </c>
      <c r="AF52" s="32">
        <f t="shared" si="21"/>
        <v>13.11</v>
      </c>
      <c r="AG52" s="32">
        <f t="shared" si="21"/>
        <v>12.6</v>
      </c>
      <c r="AH52" s="29">
        <v>76.400000000000006</v>
      </c>
      <c r="AI52" s="30">
        <f t="shared" si="14"/>
        <v>19</v>
      </c>
      <c r="AJ52" s="31">
        <f t="shared" si="15"/>
        <v>61.81818181818182</v>
      </c>
    </row>
    <row r="53" spans="1:36" s="2" customFormat="1" ht="15.6" x14ac:dyDescent="0.3">
      <c r="A53" s="6" t="s">
        <v>5</v>
      </c>
      <c r="B53" s="2">
        <v>9</v>
      </c>
      <c r="C53" s="3">
        <v>2</v>
      </c>
      <c r="D53" s="2">
        <v>2</v>
      </c>
      <c r="E53" s="5" t="s">
        <v>404</v>
      </c>
      <c r="F53" s="4"/>
      <c r="G53" s="32">
        <f t="shared" si="19"/>
        <v>30.1</v>
      </c>
      <c r="H53" s="32">
        <f t="shared" si="19"/>
        <v>6.9</v>
      </c>
      <c r="I53" s="32">
        <f t="shared" si="19"/>
        <v>32.5</v>
      </c>
      <c r="J53" s="32">
        <f t="shared" si="19"/>
        <v>21.7</v>
      </c>
      <c r="K53" s="32">
        <f t="shared" si="19"/>
        <v>1.28</v>
      </c>
      <c r="L53" s="32">
        <f t="shared" si="19"/>
        <v>14.5</v>
      </c>
      <c r="M53" s="32">
        <f t="shared" si="19"/>
        <v>24.49</v>
      </c>
      <c r="N53" s="32">
        <f t="shared" si="19"/>
        <v>5</v>
      </c>
      <c r="O53" s="32">
        <f t="shared" si="19"/>
        <v>40.700000000000003</v>
      </c>
      <c r="P53" s="32">
        <f t="shared" si="19"/>
        <v>25</v>
      </c>
      <c r="Q53" s="32">
        <f t="shared" si="20"/>
        <v>0.48699999999999999</v>
      </c>
      <c r="R53" s="32">
        <f t="shared" si="20"/>
        <v>11.95</v>
      </c>
      <c r="S53" s="32">
        <f t="shared" si="20"/>
        <v>44.2</v>
      </c>
      <c r="T53" s="32">
        <f t="shared" si="20"/>
        <v>19.399999999999999</v>
      </c>
      <c r="U53" s="32">
        <f t="shared" si="20"/>
        <v>70.400000000000006</v>
      </c>
      <c r="V53" s="32">
        <f t="shared" si="20"/>
        <v>23</v>
      </c>
      <c r="W53" s="32">
        <f t="shared" si="20"/>
        <v>15.6</v>
      </c>
      <c r="X53" s="32">
        <f t="shared" si="20"/>
        <v>68.900000000000006</v>
      </c>
      <c r="Y53" s="32">
        <f t="shared" si="20"/>
        <v>12.46</v>
      </c>
      <c r="Z53" s="32">
        <f t="shared" si="20"/>
        <v>75.099999999999994</v>
      </c>
      <c r="AA53" s="32">
        <f t="shared" si="21"/>
        <v>0.8</v>
      </c>
      <c r="AB53" s="32">
        <f t="shared" si="21"/>
        <v>37.630000000000003</v>
      </c>
      <c r="AC53" s="32">
        <f t="shared" si="21"/>
        <v>4.3</v>
      </c>
      <c r="AD53" s="32">
        <f t="shared" si="21"/>
        <v>7.2</v>
      </c>
      <c r="AE53" s="32">
        <f t="shared" si="21"/>
        <v>0.3</v>
      </c>
      <c r="AF53" s="32">
        <f t="shared" si="21"/>
        <v>11.62</v>
      </c>
      <c r="AG53" s="32">
        <f t="shared" si="21"/>
        <v>11.3</v>
      </c>
      <c r="AH53" s="29">
        <v>70.7</v>
      </c>
      <c r="AI53" s="30">
        <f t="shared" si="14"/>
        <v>19.399999999999995</v>
      </c>
      <c r="AJ53" s="31">
        <f t="shared" si="15"/>
        <v>59.502262443438902</v>
      </c>
    </row>
    <row r="54" spans="1:36" s="2" customFormat="1" ht="15.6" x14ac:dyDescent="0.3">
      <c r="A54" s="6" t="s">
        <v>235</v>
      </c>
      <c r="B54" s="2">
        <v>10</v>
      </c>
      <c r="C54" s="3">
        <v>1</v>
      </c>
      <c r="D54" s="2">
        <v>4</v>
      </c>
      <c r="E54" s="5" t="s">
        <v>404</v>
      </c>
      <c r="F54" s="4"/>
      <c r="G54" s="32">
        <f t="shared" si="19"/>
        <v>33.200000000000003</v>
      </c>
      <c r="H54" s="32">
        <f t="shared" si="19"/>
        <v>6.7</v>
      </c>
      <c r="I54" s="32">
        <f t="shared" si="19"/>
        <v>34.799999999999997</v>
      </c>
      <c r="J54" s="32">
        <f t="shared" si="19"/>
        <v>18.8</v>
      </c>
      <c r="K54" s="32">
        <f t="shared" si="19"/>
        <v>1.19</v>
      </c>
      <c r="L54" s="32">
        <f t="shared" si="19"/>
        <v>13.4</v>
      </c>
      <c r="M54" s="32">
        <f t="shared" si="19"/>
        <v>15.8</v>
      </c>
      <c r="N54" s="32">
        <f t="shared" si="19"/>
        <v>5.3</v>
      </c>
      <c r="O54" s="32">
        <f t="shared" si="19"/>
        <v>38.9</v>
      </c>
      <c r="P54" s="32">
        <f t="shared" si="19"/>
        <v>26.41</v>
      </c>
      <c r="Q54" s="32">
        <f t="shared" si="20"/>
        <v>0.51800000000000002</v>
      </c>
      <c r="R54" s="32">
        <f t="shared" si="20"/>
        <v>10.7</v>
      </c>
      <c r="S54" s="32">
        <f t="shared" si="20"/>
        <v>46.1</v>
      </c>
      <c r="T54" s="32">
        <f t="shared" si="20"/>
        <v>17</v>
      </c>
      <c r="U54" s="32">
        <f t="shared" si="20"/>
        <v>74.599999999999994</v>
      </c>
      <c r="V54" s="32">
        <f t="shared" si="20"/>
        <v>19.5</v>
      </c>
      <c r="W54" s="32">
        <f t="shared" si="20"/>
        <v>15.2</v>
      </c>
      <c r="X54" s="32">
        <f t="shared" si="20"/>
        <v>68.900000000000006</v>
      </c>
      <c r="Y54" s="32">
        <f t="shared" si="20"/>
        <v>9.8800000000000008</v>
      </c>
      <c r="Z54" s="32">
        <f t="shared" si="20"/>
        <v>74.7</v>
      </c>
      <c r="AA54" s="32">
        <f t="shared" si="21"/>
        <v>0.4</v>
      </c>
      <c r="AB54" s="32">
        <f t="shared" si="21"/>
        <v>35.770000000000003</v>
      </c>
      <c r="AC54" s="32">
        <f t="shared" si="21"/>
        <v>4</v>
      </c>
      <c r="AD54" s="32">
        <f t="shared" si="21"/>
        <v>6.8</v>
      </c>
      <c r="AE54" s="32">
        <f t="shared" si="21"/>
        <v>0</v>
      </c>
      <c r="AF54" s="32">
        <f t="shared" si="21"/>
        <v>11.23</v>
      </c>
      <c r="AG54" s="32">
        <f t="shared" si="21"/>
        <v>11.7</v>
      </c>
      <c r="AH54" s="29">
        <v>70.5</v>
      </c>
      <c r="AI54" s="30">
        <f t="shared" si="14"/>
        <v>19.7</v>
      </c>
      <c r="AJ54" s="31">
        <f t="shared" si="15"/>
        <v>57.266811279826463</v>
      </c>
    </row>
    <row r="55" spans="1:36" s="2" customFormat="1" ht="15.6" x14ac:dyDescent="0.3">
      <c r="A55" s="6" t="s">
        <v>28</v>
      </c>
      <c r="B55" s="2">
        <v>14</v>
      </c>
      <c r="C55" s="3">
        <v>1</v>
      </c>
      <c r="D55" s="2">
        <v>3</v>
      </c>
      <c r="E55" s="5" t="s">
        <v>404</v>
      </c>
      <c r="F55" s="4"/>
      <c r="G55" s="32">
        <f t="shared" si="19"/>
        <v>31.8</v>
      </c>
      <c r="H55" s="32">
        <f t="shared" si="19"/>
        <v>8.8000000000000007</v>
      </c>
      <c r="I55" s="32">
        <f t="shared" si="19"/>
        <v>38.9</v>
      </c>
      <c r="J55" s="32">
        <f t="shared" si="19"/>
        <v>23.5</v>
      </c>
      <c r="K55" s="32">
        <f t="shared" si="19"/>
        <v>1.1399999999999999</v>
      </c>
      <c r="L55" s="32">
        <f t="shared" si="19"/>
        <v>12.8</v>
      </c>
      <c r="M55" s="32">
        <f t="shared" si="19"/>
        <v>23.75</v>
      </c>
      <c r="N55" s="32">
        <f t="shared" si="19"/>
        <v>3.2</v>
      </c>
      <c r="O55" s="32">
        <f t="shared" si="19"/>
        <v>41.3</v>
      </c>
      <c r="P55" s="32">
        <f t="shared" si="19"/>
        <v>27.1</v>
      </c>
      <c r="Q55" s="32">
        <f t="shared" si="20"/>
        <v>0.54800000000000004</v>
      </c>
      <c r="R55" s="32">
        <f t="shared" si="20"/>
        <v>7.25</v>
      </c>
      <c r="S55" s="32">
        <f t="shared" si="20"/>
        <v>46.9</v>
      </c>
      <c r="T55" s="32">
        <f t="shared" si="20"/>
        <v>17.5</v>
      </c>
      <c r="U55" s="32">
        <f t="shared" si="20"/>
        <v>72</v>
      </c>
      <c r="V55" s="32">
        <f t="shared" si="20"/>
        <v>20.8</v>
      </c>
      <c r="W55" s="32">
        <f t="shared" si="20"/>
        <v>15.2</v>
      </c>
      <c r="X55" s="32">
        <f t="shared" si="20"/>
        <v>68.5</v>
      </c>
      <c r="Y55" s="32">
        <f t="shared" si="20"/>
        <v>10.37</v>
      </c>
      <c r="Z55" s="32">
        <f t="shared" si="20"/>
        <v>76.400000000000006</v>
      </c>
      <c r="AA55" s="32">
        <f t="shared" si="21"/>
        <v>3.9</v>
      </c>
      <c r="AB55" s="32">
        <f t="shared" si="21"/>
        <v>38.06</v>
      </c>
      <c r="AC55" s="32">
        <f t="shared" si="21"/>
        <v>9</v>
      </c>
      <c r="AD55" s="32">
        <f t="shared" si="21"/>
        <v>5.2</v>
      </c>
      <c r="AE55" s="32">
        <f t="shared" si="21"/>
        <v>-1.8</v>
      </c>
      <c r="AF55" s="32">
        <f t="shared" si="21"/>
        <v>9.76</v>
      </c>
      <c r="AG55" s="32">
        <f t="shared" si="21"/>
        <v>11.1</v>
      </c>
      <c r="AH55" s="29">
        <v>68.5</v>
      </c>
      <c r="AI55" s="30">
        <f t="shared" si="14"/>
        <v>17.399999999999999</v>
      </c>
      <c r="AJ55" s="31">
        <f t="shared" si="15"/>
        <v>55.863539445629002</v>
      </c>
    </row>
    <row r="56" spans="1:36" s="2" customFormat="1" ht="15.6" x14ac:dyDescent="0.3">
      <c r="A56" s="6" t="s">
        <v>53</v>
      </c>
      <c r="B56" s="2">
        <v>14</v>
      </c>
      <c r="C56" s="3">
        <v>1</v>
      </c>
      <c r="D56" s="2">
        <v>4</v>
      </c>
      <c r="E56" s="5" t="s">
        <v>404</v>
      </c>
      <c r="F56" s="4"/>
      <c r="G56" s="32">
        <f t="shared" si="19"/>
        <v>33.700000000000003</v>
      </c>
      <c r="H56" s="32">
        <f t="shared" si="19"/>
        <v>6.5</v>
      </c>
      <c r="I56" s="32">
        <f t="shared" si="19"/>
        <v>34</v>
      </c>
      <c r="J56" s="32">
        <f t="shared" si="19"/>
        <v>18.600000000000001</v>
      </c>
      <c r="K56" s="32">
        <f t="shared" si="19"/>
        <v>1.1499999999999999</v>
      </c>
      <c r="L56" s="32">
        <f t="shared" si="19"/>
        <v>12.4</v>
      </c>
      <c r="M56" s="32">
        <f t="shared" si="19"/>
        <v>25.65</v>
      </c>
      <c r="N56" s="32">
        <f t="shared" si="19"/>
        <v>3.1</v>
      </c>
      <c r="O56" s="32">
        <f t="shared" si="19"/>
        <v>43.4</v>
      </c>
      <c r="P56" s="32">
        <f t="shared" si="19"/>
        <v>25.06</v>
      </c>
      <c r="Q56" s="32">
        <f t="shared" si="20"/>
        <v>0.53600000000000003</v>
      </c>
      <c r="R56" s="32">
        <f t="shared" si="20"/>
        <v>9.69</v>
      </c>
      <c r="S56" s="32">
        <f t="shared" si="20"/>
        <v>47.6</v>
      </c>
      <c r="T56" s="32">
        <f t="shared" si="20"/>
        <v>17.7</v>
      </c>
      <c r="U56" s="32">
        <f t="shared" si="20"/>
        <v>75.099999999999994</v>
      </c>
      <c r="V56" s="32">
        <f t="shared" si="20"/>
        <v>25.1</v>
      </c>
      <c r="W56" s="32">
        <f t="shared" si="20"/>
        <v>17.899999999999999</v>
      </c>
      <c r="X56" s="32">
        <f t="shared" si="20"/>
        <v>67.400000000000006</v>
      </c>
      <c r="Y56" s="32">
        <f t="shared" si="20"/>
        <v>8.4</v>
      </c>
      <c r="Z56" s="32">
        <f t="shared" si="20"/>
        <v>75.3</v>
      </c>
      <c r="AA56" s="32">
        <f t="shared" si="21"/>
        <v>3.3</v>
      </c>
      <c r="AB56" s="32">
        <f t="shared" si="21"/>
        <v>33.89</v>
      </c>
      <c r="AC56" s="32">
        <f t="shared" si="21"/>
        <v>7.6</v>
      </c>
      <c r="AD56" s="32">
        <f t="shared" si="21"/>
        <v>6.3</v>
      </c>
      <c r="AE56" s="32">
        <f t="shared" si="21"/>
        <v>1.2</v>
      </c>
      <c r="AF56" s="32">
        <f t="shared" si="21"/>
        <v>12.22</v>
      </c>
      <c r="AG56" s="32">
        <f t="shared" si="21"/>
        <v>10.9</v>
      </c>
      <c r="AH56" s="29">
        <v>69</v>
      </c>
      <c r="AI56" s="30">
        <f t="shared" si="14"/>
        <v>18.95</v>
      </c>
      <c r="AJ56" s="31">
        <f t="shared" si="15"/>
        <v>53.466386554621849</v>
      </c>
    </row>
    <row r="57" spans="1:36" s="2" customFormat="1" ht="15.6" x14ac:dyDescent="0.3">
      <c r="A57" s="6" t="s">
        <v>410</v>
      </c>
      <c r="B57" s="2">
        <v>14</v>
      </c>
      <c r="C57" s="3">
        <v>1</v>
      </c>
      <c r="D57" s="2">
        <v>1</v>
      </c>
      <c r="E57" s="5" t="s">
        <v>404</v>
      </c>
      <c r="F57" s="4"/>
      <c r="G57" s="32">
        <f t="shared" si="19"/>
        <v>33.9</v>
      </c>
      <c r="H57" s="32">
        <f t="shared" si="19"/>
        <v>5.7</v>
      </c>
      <c r="I57" s="32">
        <f t="shared" si="19"/>
        <v>35.200000000000003</v>
      </c>
      <c r="J57" s="32">
        <f t="shared" si="19"/>
        <v>16.899999999999999</v>
      </c>
      <c r="K57" s="32">
        <f t="shared" si="19"/>
        <v>1.38</v>
      </c>
      <c r="L57" s="32">
        <f t="shared" si="19"/>
        <v>14.6</v>
      </c>
      <c r="M57" s="32">
        <f t="shared" si="19"/>
        <v>15.14</v>
      </c>
      <c r="N57" s="32">
        <f t="shared" si="19"/>
        <v>2.4</v>
      </c>
      <c r="O57" s="32">
        <f t="shared" si="19"/>
        <v>43.8</v>
      </c>
      <c r="P57" s="32">
        <f t="shared" si="19"/>
        <v>23.94</v>
      </c>
      <c r="Q57" s="32">
        <f t="shared" si="20"/>
        <v>0.54900000000000004</v>
      </c>
      <c r="R57" s="32">
        <f t="shared" si="20"/>
        <v>9.0299999999999994</v>
      </c>
      <c r="S57" s="32">
        <f t="shared" si="20"/>
        <v>49.5</v>
      </c>
      <c r="T57" s="32">
        <f t="shared" si="20"/>
        <v>15.9</v>
      </c>
      <c r="U57" s="32">
        <f t="shared" si="20"/>
        <v>72.2</v>
      </c>
      <c r="V57" s="32">
        <f t="shared" si="20"/>
        <v>18.899999999999999</v>
      </c>
      <c r="W57" s="32">
        <f t="shared" si="20"/>
        <v>14.1</v>
      </c>
      <c r="X57" s="32">
        <f t="shared" si="20"/>
        <v>67.3</v>
      </c>
      <c r="Y57" s="32">
        <f t="shared" si="20"/>
        <v>8.0299999999999994</v>
      </c>
      <c r="Z57" s="32">
        <f t="shared" si="20"/>
        <v>74</v>
      </c>
      <c r="AA57" s="32">
        <f t="shared" si="21"/>
        <v>2.5</v>
      </c>
      <c r="AB57" s="32">
        <f t="shared" si="21"/>
        <v>32.17</v>
      </c>
      <c r="AC57" s="32">
        <f t="shared" si="21"/>
        <v>5.7</v>
      </c>
      <c r="AD57" s="32">
        <f t="shared" si="21"/>
        <v>6.2</v>
      </c>
      <c r="AE57" s="32">
        <f t="shared" si="21"/>
        <v>0.3</v>
      </c>
      <c r="AF57" s="32">
        <f t="shared" si="21"/>
        <v>11.21</v>
      </c>
      <c r="AG57" s="32">
        <f t="shared" si="21"/>
        <v>10.4</v>
      </c>
      <c r="AH57" s="29">
        <v>67</v>
      </c>
      <c r="AI57" s="30">
        <f t="shared" si="14"/>
        <v>21.4</v>
      </c>
      <c r="AJ57" s="31">
        <f t="shared" si="15"/>
        <v>54.747474747474747</v>
      </c>
    </row>
    <row r="58" spans="1:36" s="2" customFormat="1" ht="15.6" x14ac:dyDescent="0.3">
      <c r="A58" s="6" t="s">
        <v>43</v>
      </c>
      <c r="B58" s="2">
        <v>7</v>
      </c>
      <c r="C58" s="3">
        <v>1</v>
      </c>
      <c r="D58" s="2">
        <v>2</v>
      </c>
      <c r="E58" s="5" t="s">
        <v>404</v>
      </c>
      <c r="F58" s="4"/>
      <c r="G58" s="32">
        <f t="shared" si="19"/>
        <v>32.6</v>
      </c>
      <c r="H58" s="32">
        <f t="shared" si="19"/>
        <v>6.5</v>
      </c>
      <c r="I58" s="32">
        <f t="shared" si="19"/>
        <v>33.200000000000003</v>
      </c>
      <c r="J58" s="32">
        <f t="shared" si="19"/>
        <v>19.399999999999999</v>
      </c>
      <c r="K58" s="32">
        <f t="shared" si="19"/>
        <v>1.1299999999999999</v>
      </c>
      <c r="L58" s="32">
        <f t="shared" si="19"/>
        <v>12.7</v>
      </c>
      <c r="M58" s="32">
        <f t="shared" si="19"/>
        <v>17.46</v>
      </c>
      <c r="N58" s="32">
        <f t="shared" si="19"/>
        <v>2.2999999999999998</v>
      </c>
      <c r="O58" s="32">
        <f t="shared" si="19"/>
        <v>40.6</v>
      </c>
      <c r="P58" s="32">
        <f t="shared" si="19"/>
        <v>24.67</v>
      </c>
      <c r="Q58" s="32">
        <f t="shared" si="20"/>
        <v>0.48699999999999999</v>
      </c>
      <c r="R58" s="32">
        <f t="shared" si="20"/>
        <v>8.11</v>
      </c>
      <c r="S58" s="32">
        <f t="shared" si="20"/>
        <v>43.9</v>
      </c>
      <c r="T58" s="32">
        <f t="shared" si="20"/>
        <v>17.600000000000001</v>
      </c>
      <c r="U58" s="32">
        <f t="shared" si="20"/>
        <v>75.5</v>
      </c>
      <c r="V58" s="32">
        <f t="shared" si="20"/>
        <v>25.8</v>
      </c>
      <c r="W58" s="32">
        <f t="shared" si="20"/>
        <v>19.3</v>
      </c>
      <c r="X58" s="32">
        <f t="shared" si="20"/>
        <v>67.3</v>
      </c>
      <c r="Y58" s="32">
        <f t="shared" si="20"/>
        <v>12.89</v>
      </c>
      <c r="Z58" s="32">
        <f t="shared" si="20"/>
        <v>75.2</v>
      </c>
      <c r="AA58" s="32">
        <f t="shared" si="21"/>
        <v>5.5</v>
      </c>
      <c r="AB58" s="32">
        <f t="shared" si="21"/>
        <v>38.11</v>
      </c>
      <c r="AC58" s="32">
        <f t="shared" si="21"/>
        <v>6.8</v>
      </c>
      <c r="AD58" s="32">
        <f t="shared" si="21"/>
        <v>6.6</v>
      </c>
      <c r="AE58" s="32">
        <f t="shared" si="21"/>
        <v>1.1000000000000001</v>
      </c>
      <c r="AF58" s="32">
        <f t="shared" si="21"/>
        <v>12.34</v>
      </c>
      <c r="AG58" s="32">
        <f t="shared" si="21"/>
        <v>11.6</v>
      </c>
      <c r="AH58" s="29">
        <v>68.7</v>
      </c>
      <c r="AI58" s="30">
        <f t="shared" si="14"/>
        <v>18.200000000000003</v>
      </c>
      <c r="AJ58" s="31">
        <f t="shared" si="15"/>
        <v>56.264236902050129</v>
      </c>
    </row>
    <row r="59" spans="1:36" s="2" customFormat="1" ht="15.6" x14ac:dyDescent="0.3">
      <c r="A59" s="6" t="s">
        <v>381</v>
      </c>
      <c r="B59" s="2">
        <v>13</v>
      </c>
      <c r="C59" s="3">
        <v>1</v>
      </c>
      <c r="D59" s="2">
        <v>2</v>
      </c>
      <c r="E59" s="5" t="s">
        <v>404</v>
      </c>
      <c r="F59" s="4"/>
      <c r="G59" s="32">
        <f t="shared" si="19"/>
        <v>31.5</v>
      </c>
      <c r="H59" s="32">
        <f t="shared" si="19"/>
        <v>8.1999999999999993</v>
      </c>
      <c r="I59" s="32">
        <f t="shared" si="19"/>
        <v>34</v>
      </c>
      <c r="J59" s="32">
        <f t="shared" si="19"/>
        <v>23.4</v>
      </c>
      <c r="K59" s="32">
        <f t="shared" si="19"/>
        <v>1.21</v>
      </c>
      <c r="L59" s="32">
        <f t="shared" si="19"/>
        <v>12.1</v>
      </c>
      <c r="M59" s="32">
        <f t="shared" si="19"/>
        <v>21.92</v>
      </c>
      <c r="N59" s="32">
        <f t="shared" si="19"/>
        <v>3.9</v>
      </c>
      <c r="O59" s="32">
        <f t="shared" si="19"/>
        <v>40.299999999999997</v>
      </c>
      <c r="P59" s="32">
        <f t="shared" si="19"/>
        <v>25.09</v>
      </c>
      <c r="Q59" s="32">
        <f t="shared" si="20"/>
        <v>0.51900000000000002</v>
      </c>
      <c r="R59" s="32">
        <f t="shared" si="20"/>
        <v>9.7200000000000006</v>
      </c>
      <c r="S59" s="32">
        <f t="shared" si="20"/>
        <v>45.2</v>
      </c>
      <c r="T59" s="32">
        <f t="shared" si="20"/>
        <v>18.5</v>
      </c>
      <c r="U59" s="32">
        <f t="shared" si="20"/>
        <v>72.099999999999994</v>
      </c>
      <c r="V59" s="32">
        <f t="shared" si="20"/>
        <v>19.399999999999999</v>
      </c>
      <c r="W59" s="32">
        <f t="shared" si="20"/>
        <v>14.5</v>
      </c>
      <c r="X59" s="32">
        <f t="shared" si="20"/>
        <v>67</v>
      </c>
      <c r="Y59" s="32">
        <f t="shared" si="20"/>
        <v>11.38</v>
      </c>
      <c r="Z59" s="32">
        <f t="shared" si="20"/>
        <v>78.599999999999994</v>
      </c>
      <c r="AA59" s="32">
        <f t="shared" si="21"/>
        <v>1.2</v>
      </c>
      <c r="AB59" s="32">
        <f t="shared" si="21"/>
        <v>36.33</v>
      </c>
      <c r="AC59" s="32">
        <f t="shared" si="21"/>
        <v>11.6</v>
      </c>
      <c r="AD59" s="32">
        <f t="shared" si="21"/>
        <v>9</v>
      </c>
      <c r="AE59" s="32">
        <f t="shared" si="21"/>
        <v>4</v>
      </c>
      <c r="AF59" s="32">
        <f t="shared" si="21"/>
        <v>14.74</v>
      </c>
      <c r="AG59" s="32">
        <f t="shared" si="21"/>
        <v>10.4</v>
      </c>
      <c r="AH59" s="29">
        <v>71.3</v>
      </c>
      <c r="AI59" s="30">
        <f t="shared" si="14"/>
        <v>19.75</v>
      </c>
      <c r="AJ59" s="31">
        <f t="shared" si="15"/>
        <v>61.836283185840706</v>
      </c>
    </row>
    <row r="60" spans="1:36" s="2" customFormat="1" ht="15.6" x14ac:dyDescent="0.3">
      <c r="A60" s="6" t="s">
        <v>354</v>
      </c>
      <c r="B60" s="2">
        <v>13</v>
      </c>
      <c r="C60" s="3">
        <v>1</v>
      </c>
      <c r="D60" s="2">
        <v>3</v>
      </c>
      <c r="E60" s="5" t="s">
        <v>404</v>
      </c>
      <c r="F60" s="4"/>
      <c r="G60" s="32">
        <f t="shared" si="19"/>
        <v>30.4</v>
      </c>
      <c r="H60" s="32">
        <f t="shared" si="19"/>
        <v>7.2</v>
      </c>
      <c r="I60" s="32">
        <f t="shared" si="19"/>
        <v>36</v>
      </c>
      <c r="J60" s="32">
        <f t="shared" si="19"/>
        <v>20.2</v>
      </c>
      <c r="K60" s="32">
        <f t="shared" si="19"/>
        <v>1.59</v>
      </c>
      <c r="L60" s="32">
        <f t="shared" si="19"/>
        <v>15.3</v>
      </c>
      <c r="M60" s="32">
        <f t="shared" si="19"/>
        <v>13.97</v>
      </c>
      <c r="N60" s="32">
        <f t="shared" si="19"/>
        <v>6.1</v>
      </c>
      <c r="O60" s="32">
        <f t="shared" si="19"/>
        <v>41.5</v>
      </c>
      <c r="P60" s="32">
        <f t="shared" si="19"/>
        <v>24.71</v>
      </c>
      <c r="Q60" s="32">
        <f t="shared" si="20"/>
        <v>0.52200000000000002</v>
      </c>
      <c r="R60" s="32">
        <f t="shared" si="20"/>
        <v>12.86</v>
      </c>
      <c r="S60" s="32">
        <f t="shared" si="20"/>
        <v>46.6</v>
      </c>
      <c r="T60" s="32">
        <f t="shared" si="20"/>
        <v>16.2</v>
      </c>
      <c r="U60" s="32">
        <f t="shared" si="20"/>
        <v>72.7</v>
      </c>
      <c r="V60" s="32">
        <f t="shared" si="20"/>
        <v>18.399999999999999</v>
      </c>
      <c r="W60" s="32">
        <f t="shared" si="20"/>
        <v>13.4</v>
      </c>
      <c r="X60" s="32">
        <f t="shared" si="20"/>
        <v>66.900000000000006</v>
      </c>
      <c r="Y60" s="32">
        <f t="shared" si="20"/>
        <v>11.63</v>
      </c>
      <c r="Z60" s="32">
        <f t="shared" si="20"/>
        <v>77.7</v>
      </c>
      <c r="AA60" s="32">
        <f t="shared" si="21"/>
        <v>0.8</v>
      </c>
      <c r="AB60" s="32">
        <f t="shared" si="21"/>
        <v>36.06</v>
      </c>
      <c r="AC60" s="32">
        <f t="shared" si="21"/>
        <v>11.9</v>
      </c>
      <c r="AD60" s="32">
        <f t="shared" si="21"/>
        <v>7.2</v>
      </c>
      <c r="AE60" s="32">
        <f t="shared" si="21"/>
        <v>3.6</v>
      </c>
      <c r="AF60" s="32">
        <f t="shared" si="21"/>
        <v>12.83</v>
      </c>
      <c r="AG60" s="32">
        <f t="shared" si="21"/>
        <v>9.8000000000000007</v>
      </c>
      <c r="AH60" s="29">
        <v>70.3</v>
      </c>
      <c r="AI60" s="30">
        <f t="shared" si="14"/>
        <v>21.349999999999998</v>
      </c>
      <c r="AJ60" s="31">
        <f t="shared" si="15"/>
        <v>61.266094420600844</v>
      </c>
    </row>
    <row r="61" spans="1:36" s="2" customFormat="1" ht="15.6" x14ac:dyDescent="0.3">
      <c r="A61" s="6" t="s">
        <v>2</v>
      </c>
      <c r="B61" s="2">
        <v>4</v>
      </c>
      <c r="C61" s="3">
        <v>6</v>
      </c>
      <c r="D61" s="2">
        <v>3</v>
      </c>
      <c r="E61" s="5" t="s">
        <v>404</v>
      </c>
      <c r="F61" s="4"/>
      <c r="G61" s="32">
        <f t="shared" si="19"/>
        <v>30.2</v>
      </c>
      <c r="H61" s="32">
        <f t="shared" si="19"/>
        <v>9.1</v>
      </c>
      <c r="I61" s="32">
        <f t="shared" si="19"/>
        <v>36.1</v>
      </c>
      <c r="J61" s="32">
        <f t="shared" si="19"/>
        <v>24.9</v>
      </c>
      <c r="K61" s="32">
        <f t="shared" si="19"/>
        <v>1.54</v>
      </c>
      <c r="L61" s="32">
        <f t="shared" si="19"/>
        <v>18.5</v>
      </c>
      <c r="M61" s="32">
        <f t="shared" si="19"/>
        <v>21.08</v>
      </c>
      <c r="N61" s="32">
        <f t="shared" si="19"/>
        <v>4.5999999999999996</v>
      </c>
      <c r="O61" s="32">
        <f t="shared" si="19"/>
        <v>39.6</v>
      </c>
      <c r="P61" s="32">
        <f t="shared" si="19"/>
        <v>26.97</v>
      </c>
      <c r="Q61" s="32">
        <f t="shared" si="20"/>
        <v>0.54700000000000004</v>
      </c>
      <c r="R61" s="32">
        <f t="shared" si="20"/>
        <v>10.91</v>
      </c>
      <c r="S61" s="32">
        <f t="shared" si="20"/>
        <v>46.9</v>
      </c>
      <c r="T61" s="32">
        <f t="shared" si="20"/>
        <v>17.3</v>
      </c>
      <c r="U61" s="32">
        <f t="shared" si="20"/>
        <v>75.900000000000006</v>
      </c>
      <c r="V61" s="32">
        <f t="shared" si="20"/>
        <v>19.100000000000001</v>
      </c>
      <c r="W61" s="32">
        <f t="shared" si="20"/>
        <v>15.1</v>
      </c>
      <c r="X61" s="32">
        <f t="shared" si="20"/>
        <v>66.7</v>
      </c>
      <c r="Y61" s="32">
        <f t="shared" si="20"/>
        <v>13.43</v>
      </c>
      <c r="Z61" s="32">
        <f t="shared" si="20"/>
        <v>81.400000000000006</v>
      </c>
      <c r="AA61" s="32">
        <f t="shared" si="21"/>
        <v>9.9</v>
      </c>
      <c r="AB61" s="32">
        <f t="shared" si="21"/>
        <v>41.08</v>
      </c>
      <c r="AC61" s="32">
        <f t="shared" si="21"/>
        <v>17.7</v>
      </c>
      <c r="AD61" s="32">
        <f t="shared" si="21"/>
        <v>6.1</v>
      </c>
      <c r="AE61" s="32">
        <f t="shared" si="21"/>
        <v>-0.1</v>
      </c>
      <c r="AF61" s="32">
        <f t="shared" si="21"/>
        <v>11.44</v>
      </c>
      <c r="AG61" s="32">
        <f t="shared" si="21"/>
        <v>11.9</v>
      </c>
      <c r="AH61" s="29">
        <v>70.099999999999994</v>
      </c>
      <c r="AI61" s="30">
        <f t="shared" si="14"/>
        <v>19.500000000000007</v>
      </c>
      <c r="AJ61" s="31">
        <f t="shared" si="15"/>
        <v>60.9808102345416</v>
      </c>
    </row>
    <row r="62" spans="1:36" s="2" customFormat="1" ht="15.6" x14ac:dyDescent="0.3">
      <c r="A62" s="6" t="s">
        <v>9</v>
      </c>
      <c r="B62" s="2">
        <v>9</v>
      </c>
      <c r="C62" s="3">
        <v>5</v>
      </c>
      <c r="D62" s="2">
        <v>4</v>
      </c>
      <c r="E62" s="5" t="s">
        <v>404</v>
      </c>
      <c r="F62" s="4"/>
      <c r="G62" s="32">
        <f t="shared" ref="G62:P69" si="22">INDEX(rawValue,MATCH(INDEX(teamID,MATCH(INDEX(ovrTeamCol2,ROW(),1),teamINI,0))+INDEX(statID,MATCH(INDEX(ovrHeaderRow2,1,COLUMN()),statAbbr,0),1),rawLookup2,0))</f>
        <v>32</v>
      </c>
      <c r="H62" s="32">
        <f t="shared" si="22"/>
        <v>10</v>
      </c>
      <c r="I62" s="32">
        <f t="shared" si="22"/>
        <v>36.5</v>
      </c>
      <c r="J62" s="32">
        <f t="shared" si="22"/>
        <v>26.1</v>
      </c>
      <c r="K62" s="32">
        <f t="shared" si="22"/>
        <v>1.36</v>
      </c>
      <c r="L62" s="32">
        <f t="shared" si="22"/>
        <v>15</v>
      </c>
      <c r="M62" s="32">
        <f t="shared" si="22"/>
        <v>33.71</v>
      </c>
      <c r="N62" s="32">
        <f t="shared" si="22"/>
        <v>2.5</v>
      </c>
      <c r="O62" s="32">
        <f t="shared" si="22"/>
        <v>40.200000000000003</v>
      </c>
      <c r="P62" s="32">
        <f t="shared" si="22"/>
        <v>28.23</v>
      </c>
      <c r="Q62" s="32">
        <f t="shared" ref="Q62:Z69" si="23">INDEX(rawValue,MATCH(INDEX(teamID,MATCH(INDEX(ovrTeamCol2,ROW(),1),teamINI,0))+INDEX(statID,MATCH(INDEX(ovrHeaderRow2,1,COLUMN()),statAbbr,0),1),rawLookup2,0))</f>
        <v>0.55000000000000004</v>
      </c>
      <c r="R62" s="32">
        <f t="shared" si="23"/>
        <v>11.86</v>
      </c>
      <c r="S62" s="32">
        <f t="shared" si="23"/>
        <v>47.4</v>
      </c>
      <c r="T62" s="32">
        <f t="shared" si="23"/>
        <v>15.6</v>
      </c>
      <c r="U62" s="32">
        <f t="shared" si="23"/>
        <v>72</v>
      </c>
      <c r="V62" s="32">
        <f t="shared" si="23"/>
        <v>18.3</v>
      </c>
      <c r="W62" s="32">
        <f t="shared" si="23"/>
        <v>12.9</v>
      </c>
      <c r="X62" s="32">
        <f t="shared" si="23"/>
        <v>66.7</v>
      </c>
      <c r="Y62" s="32">
        <f t="shared" si="23"/>
        <v>11.23</v>
      </c>
      <c r="Z62" s="32">
        <f t="shared" si="23"/>
        <v>80.400000000000006</v>
      </c>
      <c r="AA62" s="32">
        <f t="shared" ref="AA62:AG69" si="24">INDEX(rawValue,MATCH(INDEX(teamID,MATCH(INDEX(ovrTeamCol2,ROW(),1),teamINI,0))+INDEX(statID,MATCH(INDEX(ovrHeaderRow2,1,COLUMN()),statAbbr,0),1),rawLookup2,0))</f>
        <v>6.5</v>
      </c>
      <c r="AB62" s="32">
        <f t="shared" si="24"/>
        <v>39.94</v>
      </c>
      <c r="AC62" s="32">
        <f t="shared" si="24"/>
        <v>13.6</v>
      </c>
      <c r="AD62" s="32">
        <f t="shared" si="24"/>
        <v>6.3</v>
      </c>
      <c r="AE62" s="32">
        <f t="shared" si="24"/>
        <v>0.3</v>
      </c>
      <c r="AF62" s="32">
        <f t="shared" si="24"/>
        <v>11.29</v>
      </c>
      <c r="AG62" s="32">
        <f t="shared" si="24"/>
        <v>10.9</v>
      </c>
      <c r="AH62" s="29">
        <v>70.099999999999994</v>
      </c>
      <c r="AI62" s="30">
        <f t="shared" si="14"/>
        <v>18.75</v>
      </c>
      <c r="AJ62" s="31">
        <f t="shared" si="15"/>
        <v>60.654008438818565</v>
      </c>
    </row>
    <row r="63" spans="1:36" s="2" customFormat="1" ht="15.6" x14ac:dyDescent="0.3">
      <c r="A63" s="6" t="s">
        <v>11</v>
      </c>
      <c r="B63" s="2">
        <v>12</v>
      </c>
      <c r="C63" s="3">
        <v>1</v>
      </c>
      <c r="D63" s="2">
        <v>2</v>
      </c>
      <c r="E63" s="5" t="s">
        <v>404</v>
      </c>
      <c r="F63" s="4"/>
      <c r="G63" s="32">
        <f t="shared" si="22"/>
        <v>30.7</v>
      </c>
      <c r="H63" s="32">
        <f t="shared" si="22"/>
        <v>8.1999999999999993</v>
      </c>
      <c r="I63" s="32">
        <f t="shared" si="22"/>
        <v>37</v>
      </c>
      <c r="J63" s="32">
        <f t="shared" si="22"/>
        <v>22.2</v>
      </c>
      <c r="K63" s="32">
        <f t="shared" si="22"/>
        <v>1.45</v>
      </c>
      <c r="L63" s="32">
        <f t="shared" si="22"/>
        <v>13.5</v>
      </c>
      <c r="M63" s="32">
        <f t="shared" si="22"/>
        <v>17.59</v>
      </c>
      <c r="N63" s="32">
        <f t="shared" si="22"/>
        <v>2.6</v>
      </c>
      <c r="O63" s="32">
        <f t="shared" si="22"/>
        <v>40.5</v>
      </c>
      <c r="P63" s="32">
        <f t="shared" si="22"/>
        <v>28.06</v>
      </c>
      <c r="Q63" s="32">
        <f t="shared" si="23"/>
        <v>0.54600000000000004</v>
      </c>
      <c r="R63" s="32">
        <f t="shared" si="23"/>
        <v>8.91</v>
      </c>
      <c r="S63" s="32">
        <f t="shared" si="23"/>
        <v>47.6</v>
      </c>
      <c r="T63" s="32">
        <f t="shared" si="23"/>
        <v>14.8</v>
      </c>
      <c r="U63" s="32">
        <f t="shared" si="23"/>
        <v>77.2</v>
      </c>
      <c r="V63" s="32">
        <f t="shared" si="23"/>
        <v>16.5</v>
      </c>
      <c r="W63" s="32">
        <f t="shared" si="23"/>
        <v>12.4</v>
      </c>
      <c r="X63" s="32">
        <f t="shared" si="23"/>
        <v>66.5</v>
      </c>
      <c r="Y63" s="32">
        <f t="shared" si="23"/>
        <v>7.94</v>
      </c>
      <c r="Z63" s="32">
        <f t="shared" si="23"/>
        <v>75.599999999999994</v>
      </c>
      <c r="AA63" s="32">
        <f t="shared" si="24"/>
        <v>4</v>
      </c>
      <c r="AB63" s="32">
        <f t="shared" si="24"/>
        <v>36.520000000000003</v>
      </c>
      <c r="AC63" s="32">
        <f t="shared" si="24"/>
        <v>13.4</v>
      </c>
      <c r="AD63" s="32">
        <f t="shared" si="24"/>
        <v>5.7</v>
      </c>
      <c r="AE63" s="32">
        <f t="shared" si="24"/>
        <v>0.9</v>
      </c>
      <c r="AF63" s="32">
        <f t="shared" si="24"/>
        <v>11.19</v>
      </c>
      <c r="AG63" s="32">
        <f t="shared" si="24"/>
        <v>9.9</v>
      </c>
      <c r="AH63" s="29">
        <v>69.400000000000006</v>
      </c>
      <c r="AI63" s="30">
        <f t="shared" si="14"/>
        <v>19.299999999999997</v>
      </c>
      <c r="AJ63" s="31">
        <f t="shared" si="15"/>
        <v>57.773109243697469</v>
      </c>
    </row>
    <row r="64" spans="1:36" s="2" customFormat="1" ht="15.6" x14ac:dyDescent="0.3">
      <c r="A64" s="6" t="s">
        <v>48</v>
      </c>
      <c r="B64" s="2">
        <v>5</v>
      </c>
      <c r="C64" s="3">
        <v>2</v>
      </c>
      <c r="D64" s="2">
        <v>4</v>
      </c>
      <c r="E64" s="5" t="s">
        <v>404</v>
      </c>
      <c r="F64" s="4"/>
      <c r="G64" s="32">
        <f t="shared" si="22"/>
        <v>30.4</v>
      </c>
      <c r="H64" s="32">
        <f t="shared" si="22"/>
        <v>7</v>
      </c>
      <c r="I64" s="32">
        <f t="shared" si="22"/>
        <v>33.9</v>
      </c>
      <c r="J64" s="32">
        <f t="shared" si="22"/>
        <v>21.6</v>
      </c>
      <c r="K64" s="32">
        <f t="shared" si="22"/>
        <v>1.33</v>
      </c>
      <c r="L64" s="32">
        <f t="shared" si="22"/>
        <v>15.1</v>
      </c>
      <c r="M64" s="32">
        <f t="shared" si="22"/>
        <v>18.25</v>
      </c>
      <c r="N64" s="32">
        <f t="shared" si="22"/>
        <v>4.4000000000000004</v>
      </c>
      <c r="O64" s="32">
        <f t="shared" si="22"/>
        <v>40.6</v>
      </c>
      <c r="P64" s="32">
        <f t="shared" si="22"/>
        <v>27.4</v>
      </c>
      <c r="Q64" s="32">
        <f t="shared" si="23"/>
        <v>0.51500000000000001</v>
      </c>
      <c r="R64" s="32">
        <f t="shared" si="23"/>
        <v>7.74</v>
      </c>
      <c r="S64" s="32">
        <f t="shared" si="23"/>
        <v>45.5</v>
      </c>
      <c r="T64" s="32">
        <f t="shared" si="23"/>
        <v>15</v>
      </c>
      <c r="U64" s="32">
        <f t="shared" si="23"/>
        <v>76.599999999999994</v>
      </c>
      <c r="V64" s="32">
        <f t="shared" si="23"/>
        <v>17.8</v>
      </c>
      <c r="W64" s="32">
        <f t="shared" si="23"/>
        <v>14.1</v>
      </c>
      <c r="X64" s="32">
        <f t="shared" si="23"/>
        <v>66.3</v>
      </c>
      <c r="Y64" s="32">
        <f t="shared" si="23"/>
        <v>12.5</v>
      </c>
      <c r="Z64" s="32">
        <f t="shared" si="23"/>
        <v>74.099999999999994</v>
      </c>
      <c r="AA64" s="32">
        <f t="shared" si="24"/>
        <v>9.1</v>
      </c>
      <c r="AB64" s="32">
        <f t="shared" si="24"/>
        <v>39.65</v>
      </c>
      <c r="AC64" s="32">
        <f t="shared" si="24"/>
        <v>10</v>
      </c>
      <c r="AD64" s="32">
        <f t="shared" si="24"/>
        <v>5.9</v>
      </c>
      <c r="AE64" s="32">
        <f t="shared" si="24"/>
        <v>-1</v>
      </c>
      <c r="AF64" s="32">
        <f t="shared" si="24"/>
        <v>10.029999999999999</v>
      </c>
      <c r="AG64" s="32">
        <f t="shared" si="24"/>
        <v>11.1</v>
      </c>
      <c r="AH64" s="29">
        <v>67.2</v>
      </c>
      <c r="AI64" s="30">
        <f t="shared" si="14"/>
        <v>19.499999999999996</v>
      </c>
      <c r="AJ64" s="31">
        <f t="shared" si="15"/>
        <v>58.241758241758234</v>
      </c>
    </row>
    <row r="65" spans="1:36" s="2" customFormat="1" ht="15.6" x14ac:dyDescent="0.3">
      <c r="A65" s="6" t="s">
        <v>6</v>
      </c>
      <c r="B65" s="2">
        <v>5</v>
      </c>
      <c r="C65" s="3">
        <v>6</v>
      </c>
      <c r="D65" s="2">
        <v>1</v>
      </c>
      <c r="E65" s="5" t="s">
        <v>404</v>
      </c>
      <c r="F65" s="4"/>
      <c r="G65" s="32">
        <f t="shared" si="22"/>
        <v>30</v>
      </c>
      <c r="H65" s="32">
        <f t="shared" si="22"/>
        <v>7.1</v>
      </c>
      <c r="I65" s="32">
        <f t="shared" si="22"/>
        <v>35.200000000000003</v>
      </c>
      <c r="J65" s="32">
        <f t="shared" si="22"/>
        <v>20.399999999999999</v>
      </c>
      <c r="K65" s="32">
        <f t="shared" si="22"/>
        <v>1.26</v>
      </c>
      <c r="L65" s="32">
        <f t="shared" si="22"/>
        <v>13.1</v>
      </c>
      <c r="M65" s="32">
        <f t="shared" si="22"/>
        <v>30.06</v>
      </c>
      <c r="N65" s="32">
        <f t="shared" si="22"/>
        <v>3.9</v>
      </c>
      <c r="O65" s="32">
        <f t="shared" si="22"/>
        <v>41.4</v>
      </c>
      <c r="P65" s="32">
        <f t="shared" si="22"/>
        <v>25.67</v>
      </c>
      <c r="Q65" s="32">
        <f t="shared" si="23"/>
        <v>0.501</v>
      </c>
      <c r="R65" s="32">
        <f t="shared" si="23"/>
        <v>8</v>
      </c>
      <c r="S65" s="32">
        <f t="shared" si="23"/>
        <v>44</v>
      </c>
      <c r="T65" s="32">
        <f t="shared" si="23"/>
        <v>16.3</v>
      </c>
      <c r="U65" s="32">
        <f t="shared" si="23"/>
        <v>72</v>
      </c>
      <c r="V65" s="32">
        <f t="shared" si="23"/>
        <v>19.5</v>
      </c>
      <c r="W65" s="32">
        <f t="shared" si="23"/>
        <v>14.6</v>
      </c>
      <c r="X65" s="32">
        <f t="shared" si="23"/>
        <v>64.099999999999994</v>
      </c>
      <c r="Y65" s="32">
        <f t="shared" si="23"/>
        <v>11.24</v>
      </c>
      <c r="Z65" s="32">
        <f t="shared" si="23"/>
        <v>73.599999999999994</v>
      </c>
      <c r="AA65" s="32">
        <f t="shared" si="24"/>
        <v>4.7</v>
      </c>
      <c r="AB65" s="32">
        <f t="shared" si="24"/>
        <v>37.65</v>
      </c>
      <c r="AC65" s="32">
        <f t="shared" si="24"/>
        <v>8.6</v>
      </c>
      <c r="AD65" s="32">
        <f t="shared" si="24"/>
        <v>6.6</v>
      </c>
      <c r="AE65" s="32">
        <f t="shared" si="24"/>
        <v>0.6</v>
      </c>
      <c r="AF65" s="32">
        <f t="shared" si="24"/>
        <v>11.54</v>
      </c>
      <c r="AG65" s="32">
        <f t="shared" si="24"/>
        <v>10.6</v>
      </c>
      <c r="AH65" s="29">
        <v>68.3</v>
      </c>
      <c r="AI65" s="30">
        <f t="shared" si="14"/>
        <v>18.849999999999998</v>
      </c>
      <c r="AJ65" s="31">
        <f t="shared" si="15"/>
        <v>58.97727272727272</v>
      </c>
    </row>
    <row r="66" spans="1:36" ht="15.6" x14ac:dyDescent="0.3">
      <c r="A66" s="6" t="s">
        <v>284</v>
      </c>
      <c r="B66" s="2">
        <v>12</v>
      </c>
      <c r="C66" s="3">
        <v>1</v>
      </c>
      <c r="D66" s="2">
        <v>3</v>
      </c>
      <c r="E66" s="5" t="s">
        <v>404</v>
      </c>
      <c r="F66" s="4"/>
      <c r="G66" s="32">
        <f t="shared" si="22"/>
        <v>31.8</v>
      </c>
      <c r="H66" s="32">
        <f t="shared" si="22"/>
        <v>6.4</v>
      </c>
      <c r="I66" s="32">
        <f t="shared" si="22"/>
        <v>35.1</v>
      </c>
      <c r="J66" s="32">
        <f t="shared" si="22"/>
        <v>17.899999999999999</v>
      </c>
      <c r="K66" s="32">
        <f t="shared" si="22"/>
        <v>0.99</v>
      </c>
      <c r="L66" s="32">
        <f t="shared" si="22"/>
        <v>13.3</v>
      </c>
      <c r="M66" s="32">
        <f t="shared" si="22"/>
        <v>19.18</v>
      </c>
      <c r="N66" s="32">
        <f t="shared" si="22"/>
        <v>4.4000000000000004</v>
      </c>
      <c r="O66" s="32">
        <f t="shared" si="22"/>
        <v>41.7</v>
      </c>
      <c r="P66" s="32">
        <f t="shared" si="22"/>
        <v>24.05</v>
      </c>
      <c r="Q66" s="32">
        <f t="shared" si="23"/>
        <v>0.52600000000000002</v>
      </c>
      <c r="R66" s="32">
        <f t="shared" si="23"/>
        <v>9.26</v>
      </c>
      <c r="S66" s="32">
        <f t="shared" si="23"/>
        <v>46.9</v>
      </c>
      <c r="T66" s="32">
        <f t="shared" si="23"/>
        <v>16.399999999999999</v>
      </c>
      <c r="U66" s="32">
        <f t="shared" si="23"/>
        <v>70.599999999999994</v>
      </c>
      <c r="V66" s="32">
        <f t="shared" si="23"/>
        <v>23.8</v>
      </c>
      <c r="W66" s="32">
        <f t="shared" si="23"/>
        <v>16.8</v>
      </c>
      <c r="X66" s="32">
        <f t="shared" si="23"/>
        <v>64</v>
      </c>
      <c r="Y66" s="32">
        <f t="shared" si="23"/>
        <v>9.69</v>
      </c>
      <c r="Z66" s="32">
        <f t="shared" si="23"/>
        <v>73.3</v>
      </c>
      <c r="AA66" s="32">
        <f t="shared" si="24"/>
        <v>0.6</v>
      </c>
      <c r="AB66" s="32">
        <f t="shared" si="24"/>
        <v>34</v>
      </c>
      <c r="AC66" s="32">
        <f t="shared" si="24"/>
        <v>9.3000000000000007</v>
      </c>
      <c r="AD66" s="32">
        <f t="shared" si="24"/>
        <v>9.8000000000000007</v>
      </c>
      <c r="AE66" s="32">
        <f t="shared" si="24"/>
        <v>1.9</v>
      </c>
      <c r="AF66" s="32">
        <f t="shared" si="24"/>
        <v>16.350000000000001</v>
      </c>
      <c r="AG66" s="32">
        <f t="shared" si="24"/>
        <v>12.9</v>
      </c>
      <c r="AH66" s="29">
        <v>69.900000000000006</v>
      </c>
      <c r="AI66" s="30">
        <f t="shared" si="14"/>
        <v>18.649999999999999</v>
      </c>
      <c r="AJ66" s="31">
        <f t="shared" ref="AJ66:AJ69" si="25">(AI66+H66)*100/S66</f>
        <v>53.411513859275047</v>
      </c>
    </row>
    <row r="67" spans="1:36" ht="15.6" x14ac:dyDescent="0.3">
      <c r="A67" s="6" t="s">
        <v>3</v>
      </c>
      <c r="B67" s="2">
        <v>6</v>
      </c>
      <c r="C67" s="3">
        <v>1</v>
      </c>
      <c r="D67" s="2">
        <v>2</v>
      </c>
      <c r="E67" s="5" t="s">
        <v>404</v>
      </c>
      <c r="F67" s="4"/>
      <c r="G67" s="32">
        <f t="shared" si="22"/>
        <v>33.6</v>
      </c>
      <c r="H67" s="32">
        <f t="shared" si="22"/>
        <v>6.6</v>
      </c>
      <c r="I67" s="32">
        <f t="shared" si="22"/>
        <v>33.799999999999997</v>
      </c>
      <c r="J67" s="32">
        <f t="shared" si="22"/>
        <v>20.2</v>
      </c>
      <c r="K67" s="32">
        <f t="shared" si="22"/>
        <v>1.1599999999999999</v>
      </c>
      <c r="L67" s="32">
        <f t="shared" si="22"/>
        <v>14.5</v>
      </c>
      <c r="M67" s="32">
        <f t="shared" si="22"/>
        <v>16.72</v>
      </c>
      <c r="N67" s="32">
        <f t="shared" si="22"/>
        <v>3.1</v>
      </c>
      <c r="O67" s="32">
        <f t="shared" si="22"/>
        <v>42.1</v>
      </c>
      <c r="P67" s="32">
        <f t="shared" si="22"/>
        <v>22.88</v>
      </c>
      <c r="Q67" s="32">
        <f t="shared" si="23"/>
        <v>0.503</v>
      </c>
      <c r="R67" s="32">
        <f t="shared" si="23"/>
        <v>5.64</v>
      </c>
      <c r="S67" s="32">
        <f t="shared" si="23"/>
        <v>44.6</v>
      </c>
      <c r="T67" s="32">
        <f t="shared" si="23"/>
        <v>19.100000000000001</v>
      </c>
      <c r="U67" s="32">
        <f t="shared" si="23"/>
        <v>68.7</v>
      </c>
      <c r="V67" s="32">
        <f t="shared" si="23"/>
        <v>16.100000000000001</v>
      </c>
      <c r="W67" s="32">
        <f t="shared" si="23"/>
        <v>10.6</v>
      </c>
      <c r="X67" s="32">
        <f t="shared" si="23"/>
        <v>63.1</v>
      </c>
      <c r="Y67" s="32">
        <f t="shared" si="23"/>
        <v>11.91</v>
      </c>
      <c r="Z67" s="32">
        <f t="shared" si="23"/>
        <v>63.7</v>
      </c>
      <c r="AA67" s="32">
        <f t="shared" si="24"/>
        <v>4.0999999999999996</v>
      </c>
      <c r="AB67" s="32">
        <f t="shared" si="24"/>
        <v>34.39</v>
      </c>
      <c r="AC67" s="32">
        <f t="shared" si="24"/>
        <v>3.9</v>
      </c>
      <c r="AD67" s="32">
        <f t="shared" si="24"/>
        <v>8.6999999999999993</v>
      </c>
      <c r="AE67" s="32">
        <f t="shared" si="24"/>
        <v>2.2999999999999998</v>
      </c>
      <c r="AF67" s="32">
        <f t="shared" si="24"/>
        <v>16.66</v>
      </c>
      <c r="AG67" s="32">
        <f t="shared" si="24"/>
        <v>12.3</v>
      </c>
      <c r="AH67" s="29">
        <v>67.7</v>
      </c>
      <c r="AI67" s="30">
        <f t="shared" si="14"/>
        <v>16.650000000000002</v>
      </c>
      <c r="AJ67" s="31">
        <f t="shared" si="25"/>
        <v>52.130044843049326</v>
      </c>
    </row>
    <row r="68" spans="1:36" ht="15.6" x14ac:dyDescent="0.3">
      <c r="A68" s="6" t="s">
        <v>25</v>
      </c>
      <c r="B68" s="2">
        <v>11</v>
      </c>
      <c r="C68" s="3">
        <v>1</v>
      </c>
      <c r="D68" s="2">
        <v>2</v>
      </c>
      <c r="E68" s="5" t="s">
        <v>404</v>
      </c>
      <c r="F68" s="4"/>
      <c r="G68" s="32">
        <f t="shared" si="22"/>
        <v>31.7</v>
      </c>
      <c r="H68" s="32">
        <f t="shared" si="22"/>
        <v>5.7</v>
      </c>
      <c r="I68" s="32">
        <f t="shared" si="22"/>
        <v>29.3</v>
      </c>
      <c r="J68" s="32">
        <f t="shared" si="22"/>
        <v>20.2</v>
      </c>
      <c r="K68" s="32">
        <f t="shared" si="22"/>
        <v>1.22</v>
      </c>
      <c r="L68" s="32">
        <f t="shared" si="22"/>
        <v>14.7</v>
      </c>
      <c r="M68" s="32">
        <f t="shared" si="22"/>
        <v>17.760000000000002</v>
      </c>
      <c r="N68" s="32">
        <f t="shared" si="22"/>
        <v>3.7</v>
      </c>
      <c r="O68" s="32">
        <f t="shared" si="22"/>
        <v>39.200000000000003</v>
      </c>
      <c r="P68" s="32">
        <f t="shared" si="22"/>
        <v>25.39</v>
      </c>
      <c r="Q68" s="32">
        <f t="shared" si="23"/>
        <v>0.45700000000000002</v>
      </c>
      <c r="R68" s="32">
        <f t="shared" si="23"/>
        <v>7.82</v>
      </c>
      <c r="S68" s="32">
        <f t="shared" si="23"/>
        <v>40.200000000000003</v>
      </c>
      <c r="T68" s="32">
        <f t="shared" si="23"/>
        <v>14.9</v>
      </c>
      <c r="U68" s="32">
        <f t="shared" si="23"/>
        <v>63.7</v>
      </c>
      <c r="V68" s="32">
        <f t="shared" si="23"/>
        <v>20.6</v>
      </c>
      <c r="W68" s="32">
        <f t="shared" si="23"/>
        <v>12.7</v>
      </c>
      <c r="X68" s="32">
        <f t="shared" si="23"/>
        <v>63</v>
      </c>
      <c r="Y68" s="32">
        <f t="shared" si="23"/>
        <v>13.18</v>
      </c>
      <c r="Z68" s="32">
        <f t="shared" si="23"/>
        <v>62.9</v>
      </c>
      <c r="AA68" s="32">
        <f t="shared" si="24"/>
        <v>5.0999999999999996</v>
      </c>
      <c r="AB68" s="32">
        <f t="shared" si="24"/>
        <v>39.200000000000003</v>
      </c>
      <c r="AC68" s="32">
        <f t="shared" si="24"/>
        <v>3.3</v>
      </c>
      <c r="AD68" s="32">
        <f t="shared" si="24"/>
        <v>8.6</v>
      </c>
      <c r="AE68" s="32">
        <f t="shared" si="24"/>
        <v>0.9</v>
      </c>
      <c r="AF68" s="32">
        <f t="shared" si="24"/>
        <v>12.43</v>
      </c>
      <c r="AG68" s="32">
        <f t="shared" si="24"/>
        <v>11.8</v>
      </c>
      <c r="AH68" s="29">
        <v>67.2</v>
      </c>
      <c r="AI68" s="30">
        <f t="shared" si="14"/>
        <v>16.55</v>
      </c>
      <c r="AJ68" s="31">
        <f t="shared" si="25"/>
        <v>55.348258706467661</v>
      </c>
    </row>
    <row r="69" spans="1:36" ht="15.6" x14ac:dyDescent="0.3">
      <c r="A69" s="6" t="s">
        <v>51</v>
      </c>
      <c r="B69" s="2">
        <v>1</v>
      </c>
      <c r="C69" s="3">
        <v>3</v>
      </c>
      <c r="D69" s="2">
        <v>2</v>
      </c>
      <c r="E69" s="5" t="s">
        <v>404</v>
      </c>
      <c r="F69" s="4"/>
      <c r="G69" s="32">
        <f t="shared" si="22"/>
        <v>29.8</v>
      </c>
      <c r="H69" s="32">
        <f t="shared" si="22"/>
        <v>8</v>
      </c>
      <c r="I69" s="32">
        <f t="shared" si="22"/>
        <v>34</v>
      </c>
      <c r="J69" s="32">
        <f t="shared" si="22"/>
        <v>23</v>
      </c>
      <c r="K69" s="32">
        <f t="shared" si="22"/>
        <v>1.63</v>
      </c>
      <c r="L69" s="32">
        <f t="shared" si="22"/>
        <v>15.3</v>
      </c>
      <c r="M69" s="32">
        <f t="shared" si="22"/>
        <v>17.12</v>
      </c>
      <c r="N69" s="32">
        <f t="shared" si="22"/>
        <v>4.8</v>
      </c>
      <c r="O69" s="32">
        <f t="shared" si="22"/>
        <v>37.9</v>
      </c>
      <c r="P69" s="32">
        <f t="shared" si="22"/>
        <v>26.86</v>
      </c>
      <c r="Q69" s="32">
        <f t="shared" si="23"/>
        <v>0.53100000000000003</v>
      </c>
      <c r="R69" s="32">
        <f t="shared" si="23"/>
        <v>11</v>
      </c>
      <c r="S69" s="32">
        <f t="shared" si="23"/>
        <v>46.6</v>
      </c>
      <c r="T69" s="32">
        <f t="shared" si="23"/>
        <v>16.5</v>
      </c>
      <c r="U69" s="32">
        <f t="shared" si="23"/>
        <v>73.099999999999994</v>
      </c>
      <c r="V69" s="32">
        <f t="shared" si="23"/>
        <v>17.600000000000001</v>
      </c>
      <c r="W69" s="32">
        <f t="shared" si="23"/>
        <v>12.8</v>
      </c>
      <c r="X69" s="32">
        <f t="shared" si="23"/>
        <v>57.6</v>
      </c>
      <c r="Y69" s="32">
        <f t="shared" si="23"/>
        <v>13.06</v>
      </c>
      <c r="Z69" s="32">
        <f t="shared" si="23"/>
        <v>75.900000000000006</v>
      </c>
      <c r="AA69" s="32">
        <f t="shared" si="24"/>
        <v>8.6</v>
      </c>
      <c r="AB69" s="32">
        <f t="shared" si="24"/>
        <v>39.770000000000003</v>
      </c>
      <c r="AC69" s="32">
        <f t="shared" si="24"/>
        <v>18</v>
      </c>
      <c r="AD69" s="32">
        <f t="shared" si="24"/>
        <v>7.5</v>
      </c>
      <c r="AE69" s="32">
        <f t="shared" si="24"/>
        <v>2.7</v>
      </c>
      <c r="AF69" s="32">
        <f t="shared" si="24"/>
        <v>12</v>
      </c>
      <c r="AG69" s="32">
        <f t="shared" si="24"/>
        <v>9.6</v>
      </c>
      <c r="AH69" s="29">
        <v>66.599999999999994</v>
      </c>
      <c r="AI69" s="30">
        <f t="shared" si="14"/>
        <v>19.550000000000004</v>
      </c>
      <c r="AJ69" s="31">
        <f t="shared" si="25"/>
        <v>59.120171673819748</v>
      </c>
    </row>
  </sheetData>
  <sortState xmlns:xlrd2="http://schemas.microsoft.com/office/spreadsheetml/2017/richdata2" ref="A2:AJ69">
    <sortCondition ref="AH45:AH69"/>
  </sortState>
  <conditionalFormatting sqref="C2:C69">
    <cfRule type="colorScale" priority="49">
      <colorScale>
        <cfvo type="min"/>
        <cfvo type="max"/>
        <color rgb="FFFCFCFF"/>
        <color rgb="FF63BE7B"/>
      </colorScale>
    </cfRule>
  </conditionalFormatting>
  <conditionalFormatting sqref="C1:F1">
    <cfRule type="colorScale" priority="2">
      <colorScale>
        <cfvo type="min"/>
        <cfvo type="max"/>
        <color rgb="FFFCFCFF"/>
        <color rgb="FF63BE7B"/>
      </colorScale>
    </cfRule>
  </conditionalFormatting>
  <conditionalFormatting sqref="E1:E69 F28:F33">
    <cfRule type="cellIs" dxfId="2" priority="1" operator="equal">
      <formula>"SEASON"</formula>
    </cfRule>
  </conditionalFormatting>
  <conditionalFormatting sqref="F2:F5 F7 F11:F13 F15 F17 F20 F22:F24 F26 F35:F37 F39:F40 F42:F44 F46 F51 F54 F56 F59 F62:F64">
    <cfRule type="cellIs" dxfId="1" priority="3" operator="equal">
      <formula>"SEASON"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5E5A-5D63-4F53-B069-468C0E4FBCF7}">
  <sheetPr>
    <tabColor theme="7" tint="0.79998168889431442"/>
  </sheetPr>
  <dimension ref="A1:J1907"/>
  <sheetViews>
    <sheetView topLeftCell="A179" workbookViewId="0">
      <selection activeCell="E203" sqref="E203"/>
    </sheetView>
  </sheetViews>
  <sheetFormatPr defaultRowHeight="14.4" x14ac:dyDescent="0.3"/>
  <sheetData>
    <row r="1" spans="1:10" x14ac:dyDescent="0.3">
      <c r="D1" s="1"/>
      <c r="E1" s="1"/>
      <c r="F1" s="1"/>
      <c r="G1" s="1"/>
      <c r="H1" s="1"/>
      <c r="I1" s="1"/>
      <c r="J1" s="1"/>
    </row>
    <row r="2" spans="1:10" x14ac:dyDescent="0.3">
      <c r="A2" t="e">
        <f t="shared" ref="A2:A65" si="0">IF(NOT(D2=""),INDEX(statAbbr,MATCH(D2,statOfficial,0),1),A1)</f>
        <v>#N/A</v>
      </c>
      <c r="B2" t="e">
        <f t="shared" ref="B2:B65" si="1">INDEX(statID,MATCH(A2,statAbbr,0),1)+INDEX(teamID,MATCH(E2,teamRawName,0))</f>
        <v>#N/A</v>
      </c>
      <c r="D2" s="1" t="s">
        <v>72</v>
      </c>
      <c r="E2" s="1" t="s">
        <v>0</v>
      </c>
      <c r="F2" s="1" t="s">
        <v>73</v>
      </c>
      <c r="G2" s="1" t="s">
        <v>75</v>
      </c>
      <c r="H2" s="1" t="s">
        <v>76</v>
      </c>
      <c r="I2" s="1" t="s">
        <v>77</v>
      </c>
      <c r="J2" s="1" t="s">
        <v>76</v>
      </c>
    </row>
    <row r="3" spans="1:10" x14ac:dyDescent="0.3">
      <c r="A3" t="e">
        <f t="shared" si="0"/>
        <v>#N/A</v>
      </c>
      <c r="B3" t="e">
        <f t="shared" si="1"/>
        <v>#N/A</v>
      </c>
      <c r="D3" s="1"/>
      <c r="E3" s="1"/>
      <c r="F3" s="1" t="s">
        <v>74</v>
      </c>
      <c r="G3" s="1" t="s">
        <v>74</v>
      </c>
      <c r="H3" s="1"/>
      <c r="I3" s="1"/>
      <c r="J3" s="1"/>
    </row>
    <row r="4" spans="1:10" x14ac:dyDescent="0.3">
      <c r="A4" t="str">
        <f t="shared" si="0"/>
        <v>A:T</v>
      </c>
      <c r="B4">
        <f t="shared" si="1"/>
        <v>2605</v>
      </c>
      <c r="D4" s="1" t="s">
        <v>419</v>
      </c>
      <c r="E4" s="1" t="s">
        <v>80</v>
      </c>
      <c r="F4" s="1">
        <v>1</v>
      </c>
      <c r="G4" s="1">
        <v>1</v>
      </c>
      <c r="H4" s="1">
        <v>1.84</v>
      </c>
      <c r="I4" s="1" t="s">
        <v>80</v>
      </c>
      <c r="J4" s="1">
        <v>1.84</v>
      </c>
    </row>
    <row r="5" spans="1:10" x14ac:dyDescent="0.3">
      <c r="A5" t="str">
        <f t="shared" si="0"/>
        <v>A:T</v>
      </c>
      <c r="B5">
        <f t="shared" si="1"/>
        <v>8405</v>
      </c>
      <c r="D5" s="1"/>
      <c r="E5" s="1" t="s">
        <v>109</v>
      </c>
      <c r="F5" s="1">
        <v>2</v>
      </c>
      <c r="G5" s="1">
        <v>1</v>
      </c>
      <c r="H5" s="1">
        <v>1.78</v>
      </c>
      <c r="I5" s="1"/>
      <c r="J5" s="1"/>
    </row>
    <row r="6" spans="1:10" x14ac:dyDescent="0.3">
      <c r="A6" t="str">
        <f t="shared" si="0"/>
        <v>A:T</v>
      </c>
      <c r="B6">
        <f t="shared" si="1"/>
        <v>5205</v>
      </c>
      <c r="D6" s="1"/>
      <c r="E6" s="1" t="s">
        <v>241</v>
      </c>
      <c r="F6" s="1">
        <v>3</v>
      </c>
      <c r="G6" s="1">
        <v>1</v>
      </c>
      <c r="H6" s="1">
        <v>1.66</v>
      </c>
      <c r="I6" s="1"/>
      <c r="J6" s="1"/>
    </row>
    <row r="7" spans="1:10" x14ac:dyDescent="0.3">
      <c r="A7" t="str">
        <f t="shared" si="0"/>
        <v>A:T</v>
      </c>
      <c r="B7">
        <f t="shared" si="1"/>
        <v>3305</v>
      </c>
      <c r="D7" s="1"/>
      <c r="E7" s="1" t="s">
        <v>91</v>
      </c>
      <c r="F7" s="1">
        <v>4</v>
      </c>
      <c r="G7" s="1">
        <v>1</v>
      </c>
      <c r="H7" s="1">
        <v>1.62</v>
      </c>
      <c r="I7" s="1"/>
      <c r="J7" s="1"/>
    </row>
    <row r="8" spans="1:10" x14ac:dyDescent="0.3">
      <c r="A8" t="str">
        <f t="shared" si="0"/>
        <v>A:T</v>
      </c>
      <c r="B8">
        <f t="shared" si="1"/>
        <v>18505</v>
      </c>
      <c r="D8" s="1"/>
      <c r="E8" s="1" t="s">
        <v>420</v>
      </c>
      <c r="F8" s="1">
        <v>6</v>
      </c>
      <c r="G8" s="1">
        <v>1</v>
      </c>
      <c r="H8" s="1">
        <v>1.56</v>
      </c>
      <c r="I8" s="1"/>
      <c r="J8" s="1"/>
    </row>
    <row r="9" spans="1:10" x14ac:dyDescent="0.3">
      <c r="A9" t="str">
        <f t="shared" si="0"/>
        <v>A:T</v>
      </c>
      <c r="B9">
        <f t="shared" si="1"/>
        <v>7405</v>
      </c>
      <c r="D9" s="1"/>
      <c r="E9" s="1" t="s">
        <v>251</v>
      </c>
      <c r="F9" s="1">
        <v>9</v>
      </c>
      <c r="G9" s="1">
        <v>2</v>
      </c>
      <c r="H9" s="1">
        <v>1.54</v>
      </c>
      <c r="I9" s="1"/>
      <c r="J9" s="1"/>
    </row>
    <row r="10" spans="1:10" x14ac:dyDescent="0.3">
      <c r="A10" t="str">
        <f t="shared" si="0"/>
        <v>A:T</v>
      </c>
      <c r="B10">
        <f t="shared" si="1"/>
        <v>14305</v>
      </c>
      <c r="D10" s="1"/>
      <c r="E10" s="1" t="s">
        <v>391</v>
      </c>
      <c r="F10" s="1">
        <v>10</v>
      </c>
      <c r="G10" s="1">
        <v>2</v>
      </c>
      <c r="H10" s="1">
        <v>1.53</v>
      </c>
      <c r="I10" s="1"/>
      <c r="J10" s="1"/>
    </row>
    <row r="11" spans="1:10" x14ac:dyDescent="0.3">
      <c r="A11" t="str">
        <f t="shared" si="0"/>
        <v>A:T</v>
      </c>
      <c r="B11">
        <f t="shared" si="1"/>
        <v>4405</v>
      </c>
      <c r="D11" s="1"/>
      <c r="E11" s="1" t="s">
        <v>83</v>
      </c>
      <c r="F11" s="1">
        <v>11</v>
      </c>
      <c r="G11" s="1">
        <v>1</v>
      </c>
      <c r="H11" s="1">
        <v>1.52</v>
      </c>
      <c r="I11" s="1"/>
      <c r="J11" s="1"/>
    </row>
    <row r="12" spans="1:10" x14ac:dyDescent="0.3">
      <c r="A12" t="str">
        <f t="shared" si="0"/>
        <v>A:T</v>
      </c>
      <c r="B12">
        <f t="shared" si="1"/>
        <v>19105</v>
      </c>
      <c r="D12" s="1"/>
      <c r="E12" s="1" t="s">
        <v>421</v>
      </c>
      <c r="F12" s="1">
        <v>12</v>
      </c>
      <c r="G12" s="1">
        <v>1</v>
      </c>
      <c r="H12" s="1">
        <v>1.51</v>
      </c>
      <c r="I12" s="1"/>
      <c r="J12" s="1"/>
    </row>
    <row r="13" spans="1:10" x14ac:dyDescent="0.3">
      <c r="A13" t="str">
        <f t="shared" si="0"/>
        <v>A:T</v>
      </c>
      <c r="B13">
        <f t="shared" si="1"/>
        <v>2805</v>
      </c>
      <c r="D13" s="1"/>
      <c r="E13" s="1" t="s">
        <v>106</v>
      </c>
      <c r="F13" s="1">
        <v>15</v>
      </c>
      <c r="G13" s="1">
        <v>1</v>
      </c>
      <c r="H13" s="1">
        <v>1.47</v>
      </c>
      <c r="I13" s="1"/>
      <c r="J13" s="1"/>
    </row>
    <row r="14" spans="1:10" x14ac:dyDescent="0.3">
      <c r="A14" t="str">
        <f t="shared" si="0"/>
        <v>A:T</v>
      </c>
      <c r="B14">
        <f t="shared" si="1"/>
        <v>7905</v>
      </c>
      <c r="D14" s="1"/>
      <c r="E14" s="1" t="s">
        <v>103</v>
      </c>
      <c r="F14" s="1">
        <v>16</v>
      </c>
      <c r="G14" s="1">
        <v>1</v>
      </c>
      <c r="H14" s="1">
        <v>1.46</v>
      </c>
      <c r="I14" s="1"/>
      <c r="J14" s="1"/>
    </row>
    <row r="15" spans="1:10" x14ac:dyDescent="0.3">
      <c r="A15" t="str">
        <f t="shared" si="0"/>
        <v>A:T</v>
      </c>
      <c r="B15">
        <f t="shared" si="1"/>
        <v>9005</v>
      </c>
      <c r="D15" s="1"/>
      <c r="E15" s="1" t="s">
        <v>261</v>
      </c>
      <c r="F15" s="1">
        <v>18</v>
      </c>
      <c r="G15" s="1">
        <v>1</v>
      </c>
      <c r="H15" s="1">
        <v>1.45</v>
      </c>
      <c r="I15" s="1"/>
      <c r="J15" s="1"/>
    </row>
    <row r="16" spans="1:10" x14ac:dyDescent="0.3">
      <c r="A16" t="str">
        <f t="shared" si="0"/>
        <v>A:T</v>
      </c>
      <c r="B16">
        <f t="shared" si="1"/>
        <v>14105</v>
      </c>
      <c r="D16" s="1"/>
      <c r="E16" s="1" t="s">
        <v>299</v>
      </c>
      <c r="F16" s="1">
        <v>19</v>
      </c>
      <c r="G16" s="1">
        <v>1</v>
      </c>
      <c r="H16" s="1">
        <v>1.43</v>
      </c>
      <c r="I16" s="1"/>
      <c r="J16" s="1"/>
    </row>
    <row r="17" spans="1:10" x14ac:dyDescent="0.3">
      <c r="A17" t="str">
        <f t="shared" si="0"/>
        <v>A:T</v>
      </c>
      <c r="B17">
        <f t="shared" si="1"/>
        <v>8605</v>
      </c>
      <c r="D17" s="1"/>
      <c r="E17" s="1" t="s">
        <v>259</v>
      </c>
      <c r="F17" s="1">
        <v>20</v>
      </c>
      <c r="G17" s="1">
        <v>1</v>
      </c>
      <c r="H17" s="1">
        <v>1.42</v>
      </c>
      <c r="I17" s="1"/>
      <c r="J17" s="1"/>
    </row>
    <row r="18" spans="1:10" x14ac:dyDescent="0.3">
      <c r="A18" t="str">
        <f t="shared" si="0"/>
        <v>A:T</v>
      </c>
      <c r="B18">
        <f t="shared" si="1"/>
        <v>2905</v>
      </c>
      <c r="D18" s="1"/>
      <c r="E18" s="1" t="s">
        <v>96</v>
      </c>
      <c r="F18" s="1">
        <v>21</v>
      </c>
      <c r="G18" s="1">
        <v>2</v>
      </c>
      <c r="H18" s="1">
        <v>1.41</v>
      </c>
      <c r="I18" s="1"/>
      <c r="J18" s="1"/>
    </row>
    <row r="19" spans="1:10" x14ac:dyDescent="0.3">
      <c r="A19" t="str">
        <f t="shared" si="0"/>
        <v>A:T</v>
      </c>
      <c r="B19">
        <f t="shared" si="1"/>
        <v>6705</v>
      </c>
      <c r="D19" s="1"/>
      <c r="E19" s="1" t="s">
        <v>118</v>
      </c>
      <c r="F19" s="1">
        <v>24</v>
      </c>
      <c r="G19" s="1">
        <v>1</v>
      </c>
      <c r="H19" s="1">
        <v>1.4</v>
      </c>
      <c r="I19" s="1"/>
      <c r="J19" s="1"/>
    </row>
    <row r="20" spans="1:10" x14ac:dyDescent="0.3">
      <c r="A20" t="str">
        <f t="shared" si="0"/>
        <v>A:T</v>
      </c>
      <c r="B20">
        <f t="shared" si="1"/>
        <v>4605</v>
      </c>
      <c r="D20" s="1"/>
      <c r="E20" s="1" t="s">
        <v>101</v>
      </c>
      <c r="F20" s="1">
        <v>25</v>
      </c>
      <c r="G20" s="1">
        <v>2</v>
      </c>
      <c r="H20" s="1">
        <v>1.4</v>
      </c>
      <c r="I20" s="1"/>
      <c r="J20" s="1"/>
    </row>
    <row r="21" spans="1:10" x14ac:dyDescent="0.3">
      <c r="A21" t="str">
        <f t="shared" si="0"/>
        <v>A:T</v>
      </c>
      <c r="B21">
        <f t="shared" si="1"/>
        <v>3005</v>
      </c>
      <c r="D21" s="1"/>
      <c r="E21" s="1" t="s">
        <v>89</v>
      </c>
      <c r="F21" s="1">
        <v>26</v>
      </c>
      <c r="G21" s="1">
        <v>3</v>
      </c>
      <c r="H21" s="1">
        <v>1.4</v>
      </c>
      <c r="I21" s="1"/>
      <c r="J21" s="1"/>
    </row>
    <row r="22" spans="1:10" x14ac:dyDescent="0.3">
      <c r="A22" t="str">
        <f t="shared" si="0"/>
        <v>A:T</v>
      </c>
      <c r="B22">
        <f t="shared" si="1"/>
        <v>3505</v>
      </c>
      <c r="D22" s="1"/>
      <c r="E22" s="1" t="s">
        <v>87</v>
      </c>
      <c r="F22" s="1">
        <v>27</v>
      </c>
      <c r="G22" s="1">
        <v>2</v>
      </c>
      <c r="H22" s="1">
        <v>1.39</v>
      </c>
      <c r="I22" s="1"/>
      <c r="J22" s="1"/>
    </row>
    <row r="23" spans="1:10" x14ac:dyDescent="0.3">
      <c r="A23" t="str">
        <f t="shared" si="0"/>
        <v>A:T</v>
      </c>
      <c r="B23">
        <f t="shared" si="1"/>
        <v>1405</v>
      </c>
      <c r="D23" s="1"/>
      <c r="E23" s="1" t="s">
        <v>102</v>
      </c>
      <c r="F23" s="1">
        <v>30</v>
      </c>
      <c r="G23" s="1">
        <v>3</v>
      </c>
      <c r="H23" s="1">
        <v>1.37</v>
      </c>
      <c r="I23" s="1"/>
      <c r="J23" s="1"/>
    </row>
    <row r="24" spans="1:10" x14ac:dyDescent="0.3">
      <c r="A24" t="str">
        <f t="shared" si="0"/>
        <v>A:T</v>
      </c>
      <c r="B24">
        <f t="shared" si="1"/>
        <v>2305</v>
      </c>
      <c r="D24" s="1"/>
      <c r="E24" s="1" t="s">
        <v>79</v>
      </c>
      <c r="F24" s="1">
        <v>32</v>
      </c>
      <c r="G24" s="1">
        <v>3</v>
      </c>
      <c r="H24" s="1">
        <v>1.36</v>
      </c>
      <c r="I24" s="1"/>
      <c r="J24" s="1"/>
    </row>
    <row r="25" spans="1:10" x14ac:dyDescent="0.3">
      <c r="A25" t="str">
        <f t="shared" si="0"/>
        <v>A:T</v>
      </c>
      <c r="B25">
        <f t="shared" si="1"/>
        <v>5605</v>
      </c>
      <c r="D25" s="1"/>
      <c r="E25" s="1" t="s">
        <v>62</v>
      </c>
      <c r="F25" s="1">
        <v>33</v>
      </c>
      <c r="G25" s="1">
        <v>2</v>
      </c>
      <c r="H25" s="1">
        <v>1.36</v>
      </c>
      <c r="I25" s="1"/>
      <c r="J25" s="1"/>
    </row>
    <row r="26" spans="1:10" x14ac:dyDescent="0.3">
      <c r="A26" t="str">
        <f t="shared" si="0"/>
        <v>A:T</v>
      </c>
      <c r="B26">
        <f t="shared" si="1"/>
        <v>1905</v>
      </c>
      <c r="D26" s="1"/>
      <c r="E26" s="1" t="s">
        <v>112</v>
      </c>
      <c r="F26" s="1">
        <v>34</v>
      </c>
      <c r="G26" s="1">
        <v>3</v>
      </c>
      <c r="H26" s="1">
        <v>1.36</v>
      </c>
      <c r="I26" s="1"/>
      <c r="J26" s="1"/>
    </row>
    <row r="27" spans="1:10" x14ac:dyDescent="0.3">
      <c r="A27" t="str">
        <f t="shared" si="0"/>
        <v>A:T</v>
      </c>
      <c r="B27">
        <f t="shared" si="1"/>
        <v>3105</v>
      </c>
      <c r="D27" s="1"/>
      <c r="E27" s="1" t="s">
        <v>93</v>
      </c>
      <c r="F27" s="1">
        <v>35</v>
      </c>
      <c r="G27" s="1">
        <v>4</v>
      </c>
      <c r="H27" s="1">
        <v>1.35</v>
      </c>
      <c r="I27" s="1"/>
      <c r="J27" s="1"/>
    </row>
    <row r="28" spans="1:10" x14ac:dyDescent="0.3">
      <c r="A28" t="str">
        <f t="shared" si="0"/>
        <v>A:T</v>
      </c>
      <c r="B28">
        <f t="shared" si="1"/>
        <v>905</v>
      </c>
      <c r="D28" s="1"/>
      <c r="E28" s="1" t="s">
        <v>90</v>
      </c>
      <c r="F28" s="1">
        <v>38</v>
      </c>
      <c r="G28" s="1">
        <v>5</v>
      </c>
      <c r="H28" s="1">
        <v>1.34</v>
      </c>
      <c r="I28" s="1"/>
      <c r="J28" s="1"/>
    </row>
    <row r="29" spans="1:10" x14ac:dyDescent="0.3">
      <c r="A29" t="str">
        <f t="shared" si="0"/>
        <v>A:T</v>
      </c>
      <c r="B29">
        <f t="shared" si="1"/>
        <v>3905</v>
      </c>
      <c r="D29" s="1"/>
      <c r="E29" s="1" t="s">
        <v>88</v>
      </c>
      <c r="F29" s="1">
        <v>42</v>
      </c>
      <c r="G29" s="1">
        <v>3</v>
      </c>
      <c r="H29" s="1">
        <v>1.33</v>
      </c>
      <c r="I29" s="1"/>
      <c r="J29" s="1"/>
    </row>
    <row r="30" spans="1:10" x14ac:dyDescent="0.3">
      <c r="A30" t="str">
        <f t="shared" si="0"/>
        <v>A:T</v>
      </c>
      <c r="B30">
        <f t="shared" si="1"/>
        <v>6205</v>
      </c>
      <c r="D30" s="1"/>
      <c r="E30" s="1" t="s">
        <v>81</v>
      </c>
      <c r="F30" s="1">
        <v>43</v>
      </c>
      <c r="G30" s="1">
        <v>6</v>
      </c>
      <c r="H30" s="1">
        <v>1.33</v>
      </c>
      <c r="I30" s="1"/>
      <c r="J30" s="1"/>
    </row>
    <row r="31" spans="1:10" x14ac:dyDescent="0.3">
      <c r="A31" t="str">
        <f t="shared" si="0"/>
        <v>A:T</v>
      </c>
      <c r="B31">
        <f t="shared" si="1"/>
        <v>9405</v>
      </c>
      <c r="D31" s="1"/>
      <c r="E31" s="1" t="s">
        <v>264</v>
      </c>
      <c r="F31" s="1">
        <v>45</v>
      </c>
      <c r="G31" s="1">
        <v>7</v>
      </c>
      <c r="H31" s="1">
        <v>1.33</v>
      </c>
      <c r="I31" s="1"/>
      <c r="J31" s="1"/>
    </row>
    <row r="32" spans="1:10" x14ac:dyDescent="0.3">
      <c r="A32" t="str">
        <f t="shared" si="0"/>
        <v>A:T</v>
      </c>
      <c r="B32">
        <f t="shared" si="1"/>
        <v>105</v>
      </c>
      <c r="D32" s="1"/>
      <c r="E32" s="1" t="s">
        <v>312</v>
      </c>
      <c r="F32" s="1">
        <v>51</v>
      </c>
      <c r="G32" s="1">
        <v>6</v>
      </c>
      <c r="H32" s="1">
        <v>1.3</v>
      </c>
      <c r="I32" s="1"/>
      <c r="J32" s="1"/>
    </row>
    <row r="33" spans="1:10" x14ac:dyDescent="0.3">
      <c r="A33" t="str">
        <f t="shared" si="0"/>
        <v>A:T</v>
      </c>
      <c r="B33">
        <f t="shared" si="1"/>
        <v>9505</v>
      </c>
      <c r="D33" s="1"/>
      <c r="E33" s="1" t="s">
        <v>85</v>
      </c>
      <c r="F33" s="1">
        <v>52</v>
      </c>
      <c r="G33" s="1">
        <v>3</v>
      </c>
      <c r="H33" s="1">
        <v>1.3</v>
      </c>
      <c r="I33" s="1"/>
      <c r="J33" s="1"/>
    </row>
    <row r="34" spans="1:10" x14ac:dyDescent="0.3">
      <c r="A34" t="str">
        <f t="shared" si="0"/>
        <v>A:T</v>
      </c>
      <c r="B34">
        <f t="shared" si="1"/>
        <v>18405</v>
      </c>
      <c r="D34" s="1"/>
      <c r="E34" s="1" t="s">
        <v>417</v>
      </c>
      <c r="F34" s="1">
        <v>55</v>
      </c>
      <c r="G34" s="1">
        <v>1</v>
      </c>
      <c r="H34" s="1">
        <v>1.28</v>
      </c>
      <c r="I34" s="1"/>
      <c r="J34" s="1"/>
    </row>
    <row r="35" spans="1:10" x14ac:dyDescent="0.3">
      <c r="A35" t="str">
        <f t="shared" si="0"/>
        <v>A:T</v>
      </c>
      <c r="B35">
        <f t="shared" si="1"/>
        <v>5505</v>
      </c>
      <c r="D35" s="1"/>
      <c r="E35" s="1" t="s">
        <v>86</v>
      </c>
      <c r="F35" s="1">
        <v>57</v>
      </c>
      <c r="G35" s="1">
        <v>3</v>
      </c>
      <c r="H35" s="1">
        <v>1.28</v>
      </c>
      <c r="I35" s="1"/>
      <c r="J35" s="1"/>
    </row>
    <row r="36" spans="1:10" x14ac:dyDescent="0.3">
      <c r="A36" t="str">
        <f t="shared" si="0"/>
        <v>A:T</v>
      </c>
      <c r="B36">
        <f t="shared" si="1"/>
        <v>5305</v>
      </c>
      <c r="D36" s="1"/>
      <c r="E36" s="1" t="s">
        <v>242</v>
      </c>
      <c r="F36" s="1">
        <v>60</v>
      </c>
      <c r="G36" s="1">
        <v>8</v>
      </c>
      <c r="H36" s="1">
        <v>1.27</v>
      </c>
      <c r="I36" s="1"/>
      <c r="J36" s="1"/>
    </row>
    <row r="37" spans="1:10" x14ac:dyDescent="0.3">
      <c r="A37" t="str">
        <f t="shared" si="0"/>
        <v>A:T</v>
      </c>
      <c r="B37">
        <f t="shared" si="1"/>
        <v>18905</v>
      </c>
      <c r="D37" s="1"/>
      <c r="E37" s="1" t="s">
        <v>422</v>
      </c>
      <c r="F37" s="1">
        <v>63</v>
      </c>
      <c r="G37" s="1">
        <v>1</v>
      </c>
      <c r="H37" s="1">
        <v>1.25</v>
      </c>
      <c r="I37" s="1"/>
      <c r="J37" s="1"/>
    </row>
    <row r="38" spans="1:10" x14ac:dyDescent="0.3">
      <c r="A38" t="str">
        <f t="shared" si="0"/>
        <v>A:T</v>
      </c>
      <c r="B38">
        <f t="shared" si="1"/>
        <v>6805</v>
      </c>
      <c r="D38" s="1"/>
      <c r="E38" s="1" t="s">
        <v>248</v>
      </c>
      <c r="F38" s="1">
        <v>64</v>
      </c>
      <c r="G38" s="1">
        <v>5</v>
      </c>
      <c r="H38" s="1">
        <v>1.25</v>
      </c>
      <c r="I38" s="1"/>
      <c r="J38" s="1"/>
    </row>
    <row r="39" spans="1:10" x14ac:dyDescent="0.3">
      <c r="A39" t="str">
        <f t="shared" si="0"/>
        <v>A:T</v>
      </c>
      <c r="B39">
        <f t="shared" si="1"/>
        <v>705</v>
      </c>
      <c r="D39" s="1"/>
      <c r="E39" s="1" t="s">
        <v>319</v>
      </c>
      <c r="F39" s="1">
        <v>71</v>
      </c>
      <c r="G39" s="1">
        <v>4</v>
      </c>
      <c r="H39" s="1">
        <v>1.23</v>
      </c>
      <c r="I39" s="1"/>
      <c r="J39" s="1"/>
    </row>
    <row r="40" spans="1:10" x14ac:dyDescent="0.3">
      <c r="A40" t="str">
        <f t="shared" si="0"/>
        <v>A:T</v>
      </c>
      <c r="B40">
        <f t="shared" si="1"/>
        <v>2205</v>
      </c>
      <c r="D40" s="1"/>
      <c r="E40" s="1" t="s">
        <v>119</v>
      </c>
      <c r="F40" s="1">
        <v>72</v>
      </c>
      <c r="G40" s="1">
        <v>2</v>
      </c>
      <c r="H40" s="1">
        <v>1.22</v>
      </c>
      <c r="I40" s="1"/>
      <c r="J40" s="1"/>
    </row>
    <row r="41" spans="1:10" x14ac:dyDescent="0.3">
      <c r="A41" t="str">
        <f t="shared" si="0"/>
        <v>A:T</v>
      </c>
      <c r="B41">
        <f t="shared" si="1"/>
        <v>14505</v>
      </c>
      <c r="D41" s="1"/>
      <c r="E41" s="1" t="s">
        <v>402</v>
      </c>
      <c r="F41" s="1">
        <v>73</v>
      </c>
      <c r="G41" s="1">
        <v>3</v>
      </c>
      <c r="H41" s="1">
        <v>1.22</v>
      </c>
      <c r="I41" s="1"/>
      <c r="J41" s="1"/>
    </row>
    <row r="42" spans="1:10" x14ac:dyDescent="0.3">
      <c r="A42" t="str">
        <f t="shared" si="0"/>
        <v>A:T</v>
      </c>
      <c r="B42">
        <f t="shared" si="1"/>
        <v>5405</v>
      </c>
      <c r="D42" s="1"/>
      <c r="E42" s="1" t="s">
        <v>94</v>
      </c>
      <c r="F42" s="1">
        <v>75</v>
      </c>
      <c r="G42" s="1">
        <v>10</v>
      </c>
      <c r="H42" s="1">
        <v>1.22</v>
      </c>
      <c r="I42" s="1"/>
      <c r="J42" s="1"/>
    </row>
    <row r="43" spans="1:10" x14ac:dyDescent="0.3">
      <c r="A43" t="str">
        <f t="shared" si="0"/>
        <v>A:T</v>
      </c>
      <c r="B43">
        <f t="shared" si="1"/>
        <v>18305</v>
      </c>
      <c r="D43" s="1"/>
      <c r="E43" s="1" t="s">
        <v>423</v>
      </c>
      <c r="F43" s="1">
        <v>82</v>
      </c>
      <c r="G43" s="1">
        <v>1</v>
      </c>
      <c r="H43" s="1">
        <v>1.2</v>
      </c>
      <c r="I43" s="1"/>
      <c r="J43" s="1"/>
    </row>
    <row r="44" spans="1:10" x14ac:dyDescent="0.3">
      <c r="A44" t="str">
        <f t="shared" si="0"/>
        <v>A:T</v>
      </c>
      <c r="B44">
        <f t="shared" si="1"/>
        <v>18805</v>
      </c>
      <c r="D44" s="1"/>
      <c r="E44" s="1" t="s">
        <v>424</v>
      </c>
      <c r="F44" s="1">
        <v>84</v>
      </c>
      <c r="G44" s="1">
        <v>2</v>
      </c>
      <c r="H44" s="1">
        <v>1.18</v>
      </c>
      <c r="I44" s="1"/>
      <c r="J44" s="1"/>
    </row>
    <row r="45" spans="1:10" x14ac:dyDescent="0.3">
      <c r="A45" t="str">
        <f t="shared" si="0"/>
        <v>A:T</v>
      </c>
      <c r="B45">
        <f t="shared" si="1"/>
        <v>19005</v>
      </c>
      <c r="D45" s="1"/>
      <c r="E45" s="1" t="s">
        <v>176</v>
      </c>
      <c r="F45" s="1">
        <v>89</v>
      </c>
      <c r="G45" s="1">
        <v>4</v>
      </c>
      <c r="H45" s="1">
        <v>1.18</v>
      </c>
      <c r="I45" s="1"/>
      <c r="J45" s="1"/>
    </row>
    <row r="46" spans="1:10" x14ac:dyDescent="0.3">
      <c r="A46" t="str">
        <f t="shared" si="0"/>
        <v>A:T</v>
      </c>
      <c r="B46">
        <f t="shared" si="1"/>
        <v>2505</v>
      </c>
      <c r="D46" s="1"/>
      <c r="E46" s="1" t="s">
        <v>92</v>
      </c>
      <c r="F46" s="1">
        <v>90</v>
      </c>
      <c r="G46" s="1">
        <v>2</v>
      </c>
      <c r="H46" s="1">
        <v>1.18</v>
      </c>
      <c r="I46" s="1"/>
      <c r="J46" s="1"/>
    </row>
    <row r="47" spans="1:10" x14ac:dyDescent="0.3">
      <c r="A47" t="str">
        <f t="shared" si="0"/>
        <v>A:T</v>
      </c>
      <c r="B47">
        <f t="shared" si="1"/>
        <v>3205</v>
      </c>
      <c r="D47" s="1"/>
      <c r="E47" s="1" t="s">
        <v>127</v>
      </c>
      <c r="F47" s="1">
        <v>92</v>
      </c>
      <c r="G47" s="1">
        <v>5</v>
      </c>
      <c r="H47" s="1">
        <v>1.17</v>
      </c>
      <c r="I47" s="1"/>
      <c r="J47" s="1"/>
    </row>
    <row r="48" spans="1:10" x14ac:dyDescent="0.3">
      <c r="A48" t="str">
        <f t="shared" si="0"/>
        <v>A:T</v>
      </c>
      <c r="B48">
        <f t="shared" si="1"/>
        <v>6605</v>
      </c>
      <c r="D48" s="1"/>
      <c r="E48" s="1" t="s">
        <v>247</v>
      </c>
      <c r="F48" s="1">
        <v>93</v>
      </c>
      <c r="G48" s="1">
        <v>4</v>
      </c>
      <c r="H48" s="1">
        <v>1.17</v>
      </c>
      <c r="I48" s="1"/>
      <c r="J48" s="1"/>
    </row>
    <row r="49" spans="1:10" x14ac:dyDescent="0.3">
      <c r="A49" t="str">
        <f t="shared" si="0"/>
        <v>A:T</v>
      </c>
      <c r="B49">
        <f t="shared" si="1"/>
        <v>4505</v>
      </c>
      <c r="D49" s="1"/>
      <c r="E49" s="1" t="s">
        <v>84</v>
      </c>
      <c r="F49" s="1">
        <v>102</v>
      </c>
      <c r="G49" s="1">
        <v>4</v>
      </c>
      <c r="H49" s="1">
        <v>1.1599999999999999</v>
      </c>
      <c r="I49" s="1"/>
      <c r="J49" s="1"/>
    </row>
    <row r="50" spans="1:10" x14ac:dyDescent="0.3">
      <c r="A50" t="str">
        <f t="shared" si="0"/>
        <v>A:T</v>
      </c>
      <c r="B50">
        <f t="shared" si="1"/>
        <v>18605</v>
      </c>
      <c r="D50" s="1"/>
      <c r="E50" s="1" t="s">
        <v>425</v>
      </c>
      <c r="F50" s="1">
        <v>103</v>
      </c>
      <c r="G50" s="1">
        <v>5</v>
      </c>
      <c r="H50" s="1">
        <v>1.1599999999999999</v>
      </c>
      <c r="I50" s="1"/>
      <c r="J50" s="1"/>
    </row>
    <row r="51" spans="1:10" x14ac:dyDescent="0.3">
      <c r="A51" t="str">
        <f t="shared" si="0"/>
        <v>A:T</v>
      </c>
      <c r="B51">
        <f t="shared" si="1"/>
        <v>11505</v>
      </c>
      <c r="D51" s="1"/>
      <c r="E51" s="1" t="s">
        <v>97</v>
      </c>
      <c r="F51" s="1">
        <v>107</v>
      </c>
      <c r="G51" s="1">
        <v>2</v>
      </c>
      <c r="H51" s="1">
        <v>1.1399999999999999</v>
      </c>
      <c r="I51" s="1"/>
      <c r="J51" s="1"/>
    </row>
    <row r="52" spans="1:10" x14ac:dyDescent="0.3">
      <c r="A52" t="str">
        <f t="shared" si="0"/>
        <v>A:T</v>
      </c>
      <c r="B52">
        <f t="shared" si="1"/>
        <v>3405</v>
      </c>
      <c r="D52" s="1"/>
      <c r="E52" s="1" t="s">
        <v>237</v>
      </c>
      <c r="F52" s="1">
        <v>114</v>
      </c>
      <c r="G52" s="1">
        <v>4</v>
      </c>
      <c r="H52" s="1">
        <v>1.1299999999999999</v>
      </c>
      <c r="I52" s="1"/>
      <c r="J52" s="1"/>
    </row>
    <row r="53" spans="1:10" x14ac:dyDescent="0.3">
      <c r="A53" t="str">
        <f t="shared" si="0"/>
        <v>A:T</v>
      </c>
      <c r="B53">
        <f t="shared" si="1"/>
        <v>1205</v>
      </c>
      <c r="D53" s="1"/>
      <c r="E53" s="1" t="s">
        <v>130</v>
      </c>
      <c r="F53" s="1">
        <v>125</v>
      </c>
      <c r="G53" s="1">
        <v>6</v>
      </c>
      <c r="H53" s="1">
        <v>1.1200000000000001</v>
      </c>
      <c r="I53" s="1"/>
      <c r="J53" s="1"/>
    </row>
    <row r="54" spans="1:10" x14ac:dyDescent="0.3">
      <c r="A54" t="str">
        <f t="shared" si="0"/>
        <v>A:T</v>
      </c>
      <c r="B54">
        <f t="shared" si="1"/>
        <v>1605</v>
      </c>
      <c r="D54" s="1"/>
      <c r="E54" s="1" t="s">
        <v>137</v>
      </c>
      <c r="F54" s="1">
        <v>129</v>
      </c>
      <c r="G54" s="1">
        <v>5</v>
      </c>
      <c r="H54" s="1">
        <v>1.1100000000000001</v>
      </c>
      <c r="I54" s="1"/>
      <c r="J54" s="1"/>
    </row>
    <row r="55" spans="1:10" x14ac:dyDescent="0.3">
      <c r="A55" t="str">
        <f t="shared" si="0"/>
        <v>A:T</v>
      </c>
      <c r="B55">
        <f t="shared" si="1"/>
        <v>13405</v>
      </c>
      <c r="D55" s="1"/>
      <c r="E55" s="1" t="s">
        <v>400</v>
      </c>
      <c r="F55" s="1">
        <v>141</v>
      </c>
      <c r="G55" s="1">
        <v>5</v>
      </c>
      <c r="H55" s="1">
        <v>1.0900000000000001</v>
      </c>
      <c r="I55" s="1"/>
      <c r="J55" s="1"/>
    </row>
    <row r="56" spans="1:10" x14ac:dyDescent="0.3">
      <c r="A56" t="str">
        <f t="shared" si="0"/>
        <v>A:T</v>
      </c>
      <c r="B56">
        <f t="shared" si="1"/>
        <v>2405</v>
      </c>
      <c r="D56" s="1"/>
      <c r="E56" s="1" t="s">
        <v>330</v>
      </c>
      <c r="F56" s="1">
        <v>142</v>
      </c>
      <c r="G56" s="1">
        <v>6</v>
      </c>
      <c r="H56" s="1">
        <v>1.0900000000000001</v>
      </c>
      <c r="I56" s="1"/>
      <c r="J56" s="1"/>
    </row>
    <row r="57" spans="1:10" x14ac:dyDescent="0.3">
      <c r="A57" t="str">
        <f t="shared" si="0"/>
        <v>A:T</v>
      </c>
      <c r="B57">
        <f t="shared" si="1"/>
        <v>3705</v>
      </c>
      <c r="D57" s="1"/>
      <c r="E57" s="1" t="s">
        <v>115</v>
      </c>
      <c r="F57" s="1">
        <v>144</v>
      </c>
      <c r="G57" s="1">
        <v>7</v>
      </c>
      <c r="H57" s="1">
        <v>1.08</v>
      </c>
      <c r="I57" s="1"/>
      <c r="J57" s="1"/>
    </row>
    <row r="58" spans="1:10" x14ac:dyDescent="0.3">
      <c r="A58" t="str">
        <f t="shared" si="0"/>
        <v>A:T</v>
      </c>
      <c r="B58">
        <f t="shared" si="1"/>
        <v>605</v>
      </c>
      <c r="D58" s="1"/>
      <c r="E58" s="1" t="s">
        <v>100</v>
      </c>
      <c r="F58" s="1">
        <v>155</v>
      </c>
      <c r="G58" s="1">
        <v>6</v>
      </c>
      <c r="H58" s="1">
        <v>1.07</v>
      </c>
      <c r="I58" s="1"/>
      <c r="J58" s="1"/>
    </row>
    <row r="59" spans="1:10" x14ac:dyDescent="0.3">
      <c r="A59" t="str">
        <f t="shared" si="0"/>
        <v>A:T</v>
      </c>
      <c r="B59">
        <f t="shared" si="1"/>
        <v>11105</v>
      </c>
      <c r="D59" s="1"/>
      <c r="E59" s="1" t="s">
        <v>277</v>
      </c>
      <c r="F59" s="1">
        <v>158</v>
      </c>
      <c r="G59" s="1">
        <v>12</v>
      </c>
      <c r="H59" s="1">
        <v>1.07</v>
      </c>
      <c r="I59" s="1"/>
      <c r="J59" s="1"/>
    </row>
    <row r="60" spans="1:10" x14ac:dyDescent="0.3">
      <c r="A60" t="str">
        <f t="shared" si="0"/>
        <v>A:T</v>
      </c>
      <c r="B60">
        <f t="shared" si="1"/>
        <v>12005</v>
      </c>
      <c r="D60" s="1"/>
      <c r="E60" s="1" t="s">
        <v>135</v>
      </c>
      <c r="F60" s="1">
        <v>171</v>
      </c>
      <c r="G60" s="1">
        <v>6</v>
      </c>
      <c r="H60" s="1">
        <v>1.06</v>
      </c>
      <c r="I60" s="1"/>
      <c r="J60" s="1"/>
    </row>
    <row r="61" spans="1:10" x14ac:dyDescent="0.3">
      <c r="A61" t="str">
        <f t="shared" si="0"/>
        <v>A:T</v>
      </c>
      <c r="B61">
        <f t="shared" si="1"/>
        <v>15205</v>
      </c>
      <c r="D61" s="1"/>
      <c r="E61" s="1" t="s">
        <v>426</v>
      </c>
      <c r="F61" s="1">
        <v>172</v>
      </c>
      <c r="G61" s="1">
        <v>7</v>
      </c>
      <c r="H61" s="1">
        <v>1.06</v>
      </c>
      <c r="I61" s="1"/>
      <c r="J61" s="1"/>
    </row>
    <row r="62" spans="1:10" x14ac:dyDescent="0.3">
      <c r="A62" t="str">
        <f t="shared" si="0"/>
        <v>A:T</v>
      </c>
      <c r="B62">
        <f t="shared" si="1"/>
        <v>5805</v>
      </c>
      <c r="D62" s="1"/>
      <c r="E62" s="1" t="s">
        <v>139</v>
      </c>
      <c r="F62" s="1">
        <v>175</v>
      </c>
      <c r="G62" s="1">
        <v>4</v>
      </c>
      <c r="H62" s="1">
        <v>1.05</v>
      </c>
      <c r="I62" s="1"/>
      <c r="J62" s="1"/>
    </row>
    <row r="63" spans="1:10" x14ac:dyDescent="0.3">
      <c r="A63" t="str">
        <f t="shared" si="0"/>
        <v>A:T</v>
      </c>
      <c r="B63">
        <f t="shared" si="1"/>
        <v>3605</v>
      </c>
      <c r="D63" s="1"/>
      <c r="E63" s="1" t="s">
        <v>129</v>
      </c>
      <c r="F63" s="1">
        <v>197</v>
      </c>
      <c r="G63" s="1">
        <v>10</v>
      </c>
      <c r="H63" s="1">
        <v>1.02</v>
      </c>
      <c r="I63" s="1"/>
      <c r="J63" s="1"/>
    </row>
    <row r="64" spans="1:10" x14ac:dyDescent="0.3">
      <c r="A64" t="str">
        <f t="shared" si="0"/>
        <v>A:T</v>
      </c>
      <c r="B64">
        <f t="shared" si="1"/>
        <v>2105</v>
      </c>
      <c r="D64" s="1"/>
      <c r="E64" s="1" t="s">
        <v>136</v>
      </c>
      <c r="F64" s="1">
        <v>201</v>
      </c>
      <c r="G64" s="1">
        <v>10</v>
      </c>
      <c r="H64" s="1">
        <v>1.02</v>
      </c>
      <c r="I64" s="1"/>
      <c r="J64" s="1"/>
    </row>
    <row r="65" spans="1:10" x14ac:dyDescent="0.3">
      <c r="A65" t="str">
        <f t="shared" si="0"/>
        <v>A:T</v>
      </c>
      <c r="B65">
        <f t="shared" si="1"/>
        <v>8105</v>
      </c>
      <c r="D65" s="1"/>
      <c r="E65" s="1" t="s">
        <v>256</v>
      </c>
      <c r="F65" s="1">
        <v>208</v>
      </c>
      <c r="G65" s="1">
        <v>11</v>
      </c>
      <c r="H65" s="1">
        <v>1.01</v>
      </c>
      <c r="I65" s="1"/>
      <c r="J65" s="1"/>
    </row>
    <row r="66" spans="1:10" x14ac:dyDescent="0.3">
      <c r="A66" t="str">
        <f t="shared" ref="A66:A129" si="2">IF(NOT(D66=""),INDEX(statAbbr,MATCH(D66,statOfficial,0),1),A65)</f>
        <v>A:T</v>
      </c>
      <c r="B66">
        <f t="shared" ref="B66:B129" si="3">INDEX(statID,MATCH(A66,statAbbr,0),1)+INDEX(teamID,MATCH(E66,teamRawName,0))</f>
        <v>13305</v>
      </c>
      <c r="D66" s="1"/>
      <c r="E66" s="1" t="s">
        <v>291</v>
      </c>
      <c r="F66" s="1">
        <v>213</v>
      </c>
      <c r="G66" s="1">
        <v>8</v>
      </c>
      <c r="H66" s="1">
        <v>1</v>
      </c>
      <c r="I66" s="1"/>
      <c r="J66" s="1"/>
    </row>
    <row r="67" spans="1:10" x14ac:dyDescent="0.3">
      <c r="A67" t="str">
        <f t="shared" si="2"/>
        <v>A:T</v>
      </c>
      <c r="B67">
        <f t="shared" si="3"/>
        <v>12205</v>
      </c>
      <c r="D67" s="1"/>
      <c r="E67" s="1" t="s">
        <v>284</v>
      </c>
      <c r="F67" s="1">
        <v>238</v>
      </c>
      <c r="G67" s="1">
        <v>8</v>
      </c>
      <c r="H67" s="1">
        <v>0.97</v>
      </c>
      <c r="I67" s="1"/>
      <c r="J67" s="1"/>
    </row>
    <row r="68" spans="1:10" x14ac:dyDescent="0.3">
      <c r="A68" t="str">
        <f t="shared" si="2"/>
        <v>A:T</v>
      </c>
      <c r="B68">
        <f t="shared" si="3"/>
        <v>4305</v>
      </c>
      <c r="D68" s="1"/>
      <c r="E68" s="1" t="s">
        <v>125</v>
      </c>
      <c r="F68" s="1">
        <v>248</v>
      </c>
      <c r="G68" s="1">
        <v>14</v>
      </c>
      <c r="H68" s="1">
        <v>0.96</v>
      </c>
      <c r="I68" s="1"/>
      <c r="J68" s="1"/>
    </row>
    <row r="69" spans="1:10" x14ac:dyDescent="0.3">
      <c r="A69" t="str">
        <f t="shared" si="2"/>
        <v>A:T</v>
      </c>
      <c r="B69">
        <f t="shared" si="3"/>
        <v>8805</v>
      </c>
      <c r="D69" s="1"/>
      <c r="E69" s="1" t="s">
        <v>141</v>
      </c>
      <c r="F69" s="1">
        <v>279</v>
      </c>
      <c r="G69" s="1">
        <v>5</v>
      </c>
      <c r="H69" s="1">
        <v>0.91</v>
      </c>
      <c r="I69" s="1"/>
      <c r="J69" s="1"/>
    </row>
    <row r="70" spans="1:10" x14ac:dyDescent="0.3">
      <c r="A70" t="str">
        <f t="shared" si="2"/>
        <v>A:T</v>
      </c>
      <c r="B70">
        <f t="shared" si="3"/>
        <v>18705</v>
      </c>
      <c r="D70" s="1"/>
      <c r="E70" s="1" t="s">
        <v>427</v>
      </c>
      <c r="F70" s="1">
        <v>286</v>
      </c>
      <c r="G70" s="1">
        <v>6</v>
      </c>
      <c r="H70" s="1">
        <v>0.9</v>
      </c>
      <c r="I70" s="1"/>
      <c r="J70" s="1"/>
    </row>
    <row r="71" spans="1:10" x14ac:dyDescent="0.3">
      <c r="A71" t="str">
        <f t="shared" si="2"/>
        <v>A:T</v>
      </c>
      <c r="B71">
        <f t="shared" si="3"/>
        <v>11805</v>
      </c>
      <c r="D71" s="1"/>
      <c r="E71" s="1" t="s">
        <v>281</v>
      </c>
      <c r="F71" s="1">
        <v>328</v>
      </c>
      <c r="G71" s="1">
        <v>6</v>
      </c>
      <c r="H71" s="1">
        <v>0.81</v>
      </c>
      <c r="I71" s="1"/>
      <c r="J71" s="1"/>
    </row>
    <row r="72" spans="1:10" x14ac:dyDescent="0.3">
      <c r="A72" t="str">
        <f t="shared" si="2"/>
        <v>APG</v>
      </c>
      <c r="B72">
        <f t="shared" si="3"/>
        <v>7406</v>
      </c>
      <c r="D72" s="1" t="s">
        <v>428</v>
      </c>
      <c r="E72" s="1" t="s">
        <v>251</v>
      </c>
      <c r="F72" s="1">
        <v>1</v>
      </c>
      <c r="G72" s="1">
        <v>1</v>
      </c>
      <c r="H72" s="1">
        <v>19.100000000000001</v>
      </c>
      <c r="I72" s="1" t="s">
        <v>251</v>
      </c>
      <c r="J72" s="1">
        <v>19.100000000000001</v>
      </c>
    </row>
    <row r="73" spans="1:10" x14ac:dyDescent="0.3">
      <c r="A73" t="str">
        <f t="shared" si="2"/>
        <v>APG</v>
      </c>
      <c r="B73">
        <f t="shared" si="3"/>
        <v>2906</v>
      </c>
      <c r="D73" s="1"/>
      <c r="E73" s="1" t="s">
        <v>96</v>
      </c>
      <c r="F73" s="1">
        <v>2</v>
      </c>
      <c r="G73" s="1">
        <v>1</v>
      </c>
      <c r="H73" s="1">
        <v>18.899999999999999</v>
      </c>
      <c r="I73" s="1"/>
      <c r="J73" s="1"/>
    </row>
    <row r="74" spans="1:10" x14ac:dyDescent="0.3">
      <c r="A74" t="str">
        <f t="shared" si="2"/>
        <v>APG</v>
      </c>
      <c r="B74">
        <f t="shared" si="3"/>
        <v>8406</v>
      </c>
      <c r="D74" s="1"/>
      <c r="E74" s="1" t="s">
        <v>109</v>
      </c>
      <c r="F74" s="1">
        <v>3</v>
      </c>
      <c r="G74" s="1">
        <v>1</v>
      </c>
      <c r="H74" s="1">
        <v>18.2</v>
      </c>
      <c r="I74" s="1"/>
      <c r="J74" s="1"/>
    </row>
    <row r="75" spans="1:10" x14ac:dyDescent="0.3">
      <c r="A75" t="str">
        <f t="shared" si="2"/>
        <v>APG</v>
      </c>
      <c r="B75">
        <f t="shared" si="3"/>
        <v>2306</v>
      </c>
      <c r="D75" s="1"/>
      <c r="E75" s="1" t="s">
        <v>79</v>
      </c>
      <c r="F75" s="1">
        <v>4</v>
      </c>
      <c r="G75" s="1">
        <v>2</v>
      </c>
      <c r="H75" s="1">
        <v>17.5</v>
      </c>
      <c r="I75" s="1"/>
      <c r="J75" s="1"/>
    </row>
    <row r="76" spans="1:10" x14ac:dyDescent="0.3">
      <c r="A76" t="str">
        <f t="shared" si="2"/>
        <v>APG</v>
      </c>
      <c r="B76">
        <f t="shared" si="3"/>
        <v>3306</v>
      </c>
      <c r="D76" s="1"/>
      <c r="E76" s="1" t="s">
        <v>91</v>
      </c>
      <c r="F76" s="1">
        <v>7</v>
      </c>
      <c r="G76" s="1">
        <v>3</v>
      </c>
      <c r="H76" s="1">
        <v>17.3</v>
      </c>
      <c r="I76" s="1"/>
      <c r="J76" s="1"/>
    </row>
    <row r="77" spans="1:10" x14ac:dyDescent="0.3">
      <c r="A77" t="str">
        <f t="shared" si="2"/>
        <v>APG</v>
      </c>
      <c r="B77">
        <f t="shared" si="3"/>
        <v>706</v>
      </c>
      <c r="D77" s="1"/>
      <c r="E77" s="1" t="s">
        <v>319</v>
      </c>
      <c r="F77" s="1">
        <v>8</v>
      </c>
      <c r="G77" s="1">
        <v>1</v>
      </c>
      <c r="H77" s="1">
        <v>17</v>
      </c>
      <c r="I77" s="1"/>
      <c r="J77" s="1"/>
    </row>
    <row r="78" spans="1:10" x14ac:dyDescent="0.3">
      <c r="A78" t="str">
        <f t="shared" si="2"/>
        <v>APG</v>
      </c>
      <c r="B78">
        <f t="shared" si="3"/>
        <v>1406</v>
      </c>
      <c r="D78" s="1"/>
      <c r="E78" s="1" t="s">
        <v>102</v>
      </c>
      <c r="F78" s="1">
        <v>9</v>
      </c>
      <c r="G78" s="1">
        <v>1</v>
      </c>
      <c r="H78" s="1">
        <v>16.7</v>
      </c>
      <c r="I78" s="1"/>
      <c r="J78" s="1"/>
    </row>
    <row r="79" spans="1:10" x14ac:dyDescent="0.3">
      <c r="A79" t="str">
        <f t="shared" si="2"/>
        <v>APG</v>
      </c>
      <c r="B79">
        <f t="shared" si="3"/>
        <v>3506</v>
      </c>
      <c r="D79" s="1"/>
      <c r="E79" s="1" t="s">
        <v>87</v>
      </c>
      <c r="F79" s="1">
        <v>10</v>
      </c>
      <c r="G79" s="1">
        <v>1</v>
      </c>
      <c r="H79" s="1">
        <v>16.7</v>
      </c>
      <c r="I79" s="1"/>
      <c r="J79" s="1"/>
    </row>
    <row r="80" spans="1:10" x14ac:dyDescent="0.3">
      <c r="A80" t="str">
        <f t="shared" si="2"/>
        <v>APG</v>
      </c>
      <c r="B80">
        <f t="shared" si="3"/>
        <v>19106</v>
      </c>
      <c r="D80" s="1"/>
      <c r="E80" s="1" t="s">
        <v>421</v>
      </c>
      <c r="F80" s="1">
        <v>11</v>
      </c>
      <c r="G80" s="1">
        <v>1</v>
      </c>
      <c r="H80" s="1">
        <v>16.7</v>
      </c>
      <c r="I80" s="1"/>
      <c r="J80" s="1"/>
    </row>
    <row r="81" spans="1:10" x14ac:dyDescent="0.3">
      <c r="A81" t="str">
        <f t="shared" si="2"/>
        <v>APG</v>
      </c>
      <c r="B81">
        <f t="shared" si="3"/>
        <v>5206</v>
      </c>
      <c r="D81" s="1"/>
      <c r="E81" s="1" t="s">
        <v>241</v>
      </c>
      <c r="F81" s="1">
        <v>14</v>
      </c>
      <c r="G81" s="1">
        <v>1</v>
      </c>
      <c r="H81" s="1">
        <v>16.399999999999999</v>
      </c>
      <c r="I81" s="1"/>
      <c r="J81" s="1"/>
    </row>
    <row r="82" spans="1:10" x14ac:dyDescent="0.3">
      <c r="A82" t="str">
        <f t="shared" si="2"/>
        <v>APG</v>
      </c>
      <c r="B82">
        <f t="shared" si="3"/>
        <v>3906</v>
      </c>
      <c r="D82" s="1"/>
      <c r="E82" s="1" t="s">
        <v>88</v>
      </c>
      <c r="F82" s="1">
        <v>15</v>
      </c>
      <c r="G82" s="1">
        <v>2</v>
      </c>
      <c r="H82" s="1">
        <v>16.399999999999999</v>
      </c>
      <c r="I82" s="1"/>
      <c r="J82" s="1"/>
    </row>
    <row r="83" spans="1:10" x14ac:dyDescent="0.3">
      <c r="A83" t="str">
        <f t="shared" si="2"/>
        <v>APG</v>
      </c>
      <c r="B83">
        <f t="shared" si="3"/>
        <v>4406</v>
      </c>
      <c r="D83" s="1"/>
      <c r="E83" s="1" t="s">
        <v>83</v>
      </c>
      <c r="F83" s="1">
        <v>16</v>
      </c>
      <c r="G83" s="1">
        <v>1</v>
      </c>
      <c r="H83" s="1">
        <v>16.3</v>
      </c>
      <c r="I83" s="1"/>
      <c r="J83" s="1"/>
    </row>
    <row r="84" spans="1:10" x14ac:dyDescent="0.3">
      <c r="A84" t="str">
        <f t="shared" si="2"/>
        <v>APG</v>
      </c>
      <c r="B84">
        <f t="shared" si="3"/>
        <v>6706</v>
      </c>
      <c r="D84" s="1"/>
      <c r="E84" s="1" t="s">
        <v>118</v>
      </c>
      <c r="F84" s="1">
        <v>17</v>
      </c>
      <c r="G84" s="1">
        <v>3</v>
      </c>
      <c r="H84" s="1">
        <v>16.2</v>
      </c>
      <c r="I84" s="1"/>
      <c r="J84" s="1"/>
    </row>
    <row r="85" spans="1:10" x14ac:dyDescent="0.3">
      <c r="A85" t="str">
        <f t="shared" si="2"/>
        <v>APG</v>
      </c>
      <c r="B85">
        <f t="shared" si="3"/>
        <v>5606</v>
      </c>
      <c r="D85" s="1"/>
      <c r="E85" s="1" t="s">
        <v>62</v>
      </c>
      <c r="F85" s="1">
        <v>18</v>
      </c>
      <c r="G85" s="1">
        <v>4</v>
      </c>
      <c r="H85" s="1">
        <v>16.100000000000001</v>
      </c>
      <c r="I85" s="1"/>
      <c r="J85" s="1"/>
    </row>
    <row r="86" spans="1:10" x14ac:dyDescent="0.3">
      <c r="A86" t="str">
        <f t="shared" si="2"/>
        <v>APG</v>
      </c>
      <c r="B86">
        <f t="shared" si="3"/>
        <v>14106</v>
      </c>
      <c r="D86" s="1"/>
      <c r="E86" s="1" t="s">
        <v>299</v>
      </c>
      <c r="F86" s="1">
        <v>21</v>
      </c>
      <c r="G86" s="1">
        <v>2</v>
      </c>
      <c r="H86" s="1">
        <v>16</v>
      </c>
      <c r="I86" s="1"/>
      <c r="J86" s="1"/>
    </row>
    <row r="87" spans="1:10" x14ac:dyDescent="0.3">
      <c r="A87" t="str">
        <f t="shared" si="2"/>
        <v>APG</v>
      </c>
      <c r="B87">
        <f t="shared" si="3"/>
        <v>2606</v>
      </c>
      <c r="D87" s="1"/>
      <c r="E87" s="1" t="s">
        <v>80</v>
      </c>
      <c r="F87" s="1">
        <v>24</v>
      </c>
      <c r="G87" s="1">
        <v>1</v>
      </c>
      <c r="H87" s="1">
        <v>15.7</v>
      </c>
      <c r="I87" s="1"/>
      <c r="J87" s="1"/>
    </row>
    <row r="88" spans="1:10" x14ac:dyDescent="0.3">
      <c r="A88" t="str">
        <f t="shared" si="2"/>
        <v>APG</v>
      </c>
      <c r="B88">
        <f t="shared" si="3"/>
        <v>3106</v>
      </c>
      <c r="D88" s="1"/>
      <c r="E88" s="1" t="s">
        <v>93</v>
      </c>
      <c r="F88" s="1">
        <v>25</v>
      </c>
      <c r="G88" s="1">
        <v>4</v>
      </c>
      <c r="H88" s="1">
        <v>15.7</v>
      </c>
      <c r="I88" s="1"/>
      <c r="J88" s="1"/>
    </row>
    <row r="89" spans="1:10" x14ac:dyDescent="0.3">
      <c r="A89" t="str">
        <f t="shared" si="2"/>
        <v>APG</v>
      </c>
      <c r="B89">
        <f t="shared" si="3"/>
        <v>6606</v>
      </c>
      <c r="D89" s="1"/>
      <c r="E89" s="1" t="s">
        <v>247</v>
      </c>
      <c r="F89" s="1">
        <v>28</v>
      </c>
      <c r="G89" s="1">
        <v>2</v>
      </c>
      <c r="H89" s="1">
        <v>15.6</v>
      </c>
      <c r="I89" s="1"/>
      <c r="J89" s="1"/>
    </row>
    <row r="90" spans="1:10" x14ac:dyDescent="0.3">
      <c r="A90" t="str">
        <f t="shared" si="2"/>
        <v>APG</v>
      </c>
      <c r="B90">
        <f t="shared" si="3"/>
        <v>3006</v>
      </c>
      <c r="D90" s="1"/>
      <c r="E90" s="1" t="s">
        <v>89</v>
      </c>
      <c r="F90" s="1">
        <v>32</v>
      </c>
      <c r="G90" s="1">
        <v>2</v>
      </c>
      <c r="H90" s="1">
        <v>15.5</v>
      </c>
      <c r="I90" s="1"/>
      <c r="J90" s="1"/>
    </row>
    <row r="91" spans="1:10" x14ac:dyDescent="0.3">
      <c r="A91" t="str">
        <f t="shared" si="2"/>
        <v>APG</v>
      </c>
      <c r="B91">
        <f t="shared" si="3"/>
        <v>18306</v>
      </c>
      <c r="D91" s="1"/>
      <c r="E91" s="1" t="s">
        <v>423</v>
      </c>
      <c r="F91" s="1">
        <v>37</v>
      </c>
      <c r="G91" s="1">
        <v>1</v>
      </c>
      <c r="H91" s="1">
        <v>15.3</v>
      </c>
      <c r="I91" s="1"/>
      <c r="J91" s="1"/>
    </row>
    <row r="92" spans="1:10" x14ac:dyDescent="0.3">
      <c r="A92" t="str">
        <f t="shared" si="2"/>
        <v>APG</v>
      </c>
      <c r="B92">
        <f t="shared" si="3"/>
        <v>9406</v>
      </c>
      <c r="D92" s="1"/>
      <c r="E92" s="1" t="s">
        <v>264</v>
      </c>
      <c r="F92" s="1">
        <v>42</v>
      </c>
      <c r="G92" s="1">
        <v>3</v>
      </c>
      <c r="H92" s="1">
        <v>15.2</v>
      </c>
      <c r="I92" s="1"/>
      <c r="J92" s="1"/>
    </row>
    <row r="93" spans="1:10" x14ac:dyDescent="0.3">
      <c r="A93" t="str">
        <f t="shared" si="2"/>
        <v>APG</v>
      </c>
      <c r="B93">
        <f t="shared" si="3"/>
        <v>5506</v>
      </c>
      <c r="D93" s="1"/>
      <c r="E93" s="1" t="s">
        <v>86</v>
      </c>
      <c r="F93" s="1">
        <v>47</v>
      </c>
      <c r="G93" s="1">
        <v>3</v>
      </c>
      <c r="H93" s="1">
        <v>15.1</v>
      </c>
      <c r="I93" s="1"/>
      <c r="J93" s="1"/>
    </row>
    <row r="94" spans="1:10" x14ac:dyDescent="0.3">
      <c r="A94" t="str">
        <f t="shared" si="2"/>
        <v>APG</v>
      </c>
      <c r="B94">
        <f t="shared" si="3"/>
        <v>3706</v>
      </c>
      <c r="D94" s="1"/>
      <c r="E94" s="1" t="s">
        <v>115</v>
      </c>
      <c r="F94" s="1">
        <v>49</v>
      </c>
      <c r="G94" s="1">
        <v>4</v>
      </c>
      <c r="H94" s="1">
        <v>15</v>
      </c>
      <c r="I94" s="1"/>
      <c r="J94" s="1"/>
    </row>
    <row r="95" spans="1:10" x14ac:dyDescent="0.3">
      <c r="A95" t="str">
        <f t="shared" si="2"/>
        <v>APG</v>
      </c>
      <c r="B95">
        <f t="shared" si="3"/>
        <v>8806</v>
      </c>
      <c r="D95" s="1"/>
      <c r="E95" s="1" t="s">
        <v>141</v>
      </c>
      <c r="F95" s="1">
        <v>52</v>
      </c>
      <c r="G95" s="1">
        <v>2</v>
      </c>
      <c r="H95" s="1">
        <v>14.9</v>
      </c>
      <c r="I95" s="1"/>
      <c r="J95" s="1"/>
    </row>
    <row r="96" spans="1:10" x14ac:dyDescent="0.3">
      <c r="A96" t="str">
        <f t="shared" si="2"/>
        <v>APG</v>
      </c>
      <c r="B96">
        <f t="shared" si="3"/>
        <v>8606</v>
      </c>
      <c r="D96" s="1"/>
      <c r="E96" s="1" t="s">
        <v>259</v>
      </c>
      <c r="F96" s="1">
        <v>55</v>
      </c>
      <c r="G96" s="1">
        <v>1</v>
      </c>
      <c r="H96" s="1">
        <v>14.9</v>
      </c>
      <c r="I96" s="1"/>
      <c r="J96" s="1"/>
    </row>
    <row r="97" spans="1:10" x14ac:dyDescent="0.3">
      <c r="A97" t="str">
        <f t="shared" si="2"/>
        <v>APG</v>
      </c>
      <c r="B97">
        <f t="shared" si="3"/>
        <v>18406</v>
      </c>
      <c r="D97" s="1"/>
      <c r="E97" s="1" t="s">
        <v>417</v>
      </c>
      <c r="F97" s="1">
        <v>65</v>
      </c>
      <c r="G97" s="1">
        <v>1</v>
      </c>
      <c r="H97" s="1">
        <v>14.7</v>
      </c>
      <c r="I97" s="1"/>
      <c r="J97" s="1"/>
    </row>
    <row r="98" spans="1:10" x14ac:dyDescent="0.3">
      <c r="A98" t="str">
        <f t="shared" si="2"/>
        <v>APG</v>
      </c>
      <c r="B98">
        <f t="shared" si="3"/>
        <v>2806</v>
      </c>
      <c r="D98" s="1"/>
      <c r="E98" s="1" t="s">
        <v>106</v>
      </c>
      <c r="F98" s="1">
        <v>66</v>
      </c>
      <c r="G98" s="1">
        <v>4</v>
      </c>
      <c r="H98" s="1">
        <v>14.7</v>
      </c>
      <c r="I98" s="1"/>
      <c r="J98" s="1"/>
    </row>
    <row r="99" spans="1:10" x14ac:dyDescent="0.3">
      <c r="A99" t="str">
        <f t="shared" si="2"/>
        <v>APG</v>
      </c>
      <c r="B99">
        <f t="shared" si="3"/>
        <v>18506</v>
      </c>
      <c r="D99" s="1"/>
      <c r="E99" s="1" t="s">
        <v>420</v>
      </c>
      <c r="F99" s="1">
        <v>68</v>
      </c>
      <c r="G99" s="1">
        <v>1</v>
      </c>
      <c r="H99" s="1">
        <v>14.7</v>
      </c>
      <c r="I99" s="1"/>
      <c r="J99" s="1"/>
    </row>
    <row r="100" spans="1:10" x14ac:dyDescent="0.3">
      <c r="A100" t="str">
        <f t="shared" si="2"/>
        <v>APG</v>
      </c>
      <c r="B100">
        <f t="shared" si="3"/>
        <v>906</v>
      </c>
      <c r="D100" s="1"/>
      <c r="E100" s="1" t="s">
        <v>90</v>
      </c>
      <c r="F100" s="1">
        <v>72</v>
      </c>
      <c r="G100" s="1">
        <v>6</v>
      </c>
      <c r="H100" s="1">
        <v>14.6</v>
      </c>
      <c r="I100" s="1"/>
      <c r="J100" s="1"/>
    </row>
    <row r="101" spans="1:10" x14ac:dyDescent="0.3">
      <c r="A101" t="str">
        <f t="shared" si="2"/>
        <v>APG</v>
      </c>
      <c r="B101">
        <f t="shared" si="3"/>
        <v>5406</v>
      </c>
      <c r="D101" s="1"/>
      <c r="E101" s="1" t="s">
        <v>94</v>
      </c>
      <c r="F101" s="1">
        <v>73</v>
      </c>
      <c r="G101" s="1">
        <v>3</v>
      </c>
      <c r="H101" s="1">
        <v>14.6</v>
      </c>
      <c r="I101" s="1"/>
      <c r="J101" s="1"/>
    </row>
    <row r="102" spans="1:10" x14ac:dyDescent="0.3">
      <c r="A102" t="str">
        <f t="shared" si="2"/>
        <v>APG</v>
      </c>
      <c r="B102">
        <f t="shared" si="3"/>
        <v>6806</v>
      </c>
      <c r="D102" s="1"/>
      <c r="E102" s="1" t="s">
        <v>248</v>
      </c>
      <c r="F102" s="1">
        <v>74</v>
      </c>
      <c r="G102" s="1">
        <v>6</v>
      </c>
      <c r="H102" s="1">
        <v>14.6</v>
      </c>
      <c r="I102" s="1"/>
      <c r="J102" s="1"/>
    </row>
    <row r="103" spans="1:10" x14ac:dyDescent="0.3">
      <c r="A103" t="str">
        <f t="shared" si="2"/>
        <v>APG</v>
      </c>
      <c r="B103">
        <f t="shared" si="3"/>
        <v>9006</v>
      </c>
      <c r="D103" s="1"/>
      <c r="E103" s="1" t="s">
        <v>261</v>
      </c>
      <c r="F103" s="1">
        <v>76</v>
      </c>
      <c r="G103" s="1">
        <v>3</v>
      </c>
      <c r="H103" s="1">
        <v>14.5</v>
      </c>
      <c r="I103" s="1"/>
      <c r="J103" s="1"/>
    </row>
    <row r="104" spans="1:10" x14ac:dyDescent="0.3">
      <c r="A104" t="str">
        <f t="shared" si="2"/>
        <v>APG</v>
      </c>
      <c r="B104">
        <f t="shared" si="3"/>
        <v>106</v>
      </c>
      <c r="D104" s="1"/>
      <c r="E104" s="1" t="s">
        <v>312</v>
      </c>
      <c r="F104" s="1">
        <v>80</v>
      </c>
      <c r="G104" s="1">
        <v>4</v>
      </c>
      <c r="H104" s="1">
        <v>14.5</v>
      </c>
      <c r="I104" s="1"/>
      <c r="J104" s="1"/>
    </row>
    <row r="105" spans="1:10" x14ac:dyDescent="0.3">
      <c r="A105" t="str">
        <f t="shared" si="2"/>
        <v>APG</v>
      </c>
      <c r="B105">
        <f t="shared" si="3"/>
        <v>2206</v>
      </c>
      <c r="D105" s="1"/>
      <c r="E105" s="1" t="s">
        <v>119</v>
      </c>
      <c r="F105" s="1">
        <v>83</v>
      </c>
      <c r="G105" s="1">
        <v>2</v>
      </c>
      <c r="H105" s="1">
        <v>14.4</v>
      </c>
      <c r="I105" s="1"/>
      <c r="J105" s="1"/>
    </row>
    <row r="106" spans="1:10" x14ac:dyDescent="0.3">
      <c r="A106" t="str">
        <f t="shared" si="2"/>
        <v>APG</v>
      </c>
      <c r="B106">
        <f t="shared" si="3"/>
        <v>19006</v>
      </c>
      <c r="D106" s="1"/>
      <c r="E106" s="1" t="s">
        <v>176</v>
      </c>
      <c r="F106" s="1">
        <v>85</v>
      </c>
      <c r="G106" s="1">
        <v>3</v>
      </c>
      <c r="H106" s="1">
        <v>14.4</v>
      </c>
      <c r="I106" s="1"/>
      <c r="J106" s="1"/>
    </row>
    <row r="107" spans="1:10" x14ac:dyDescent="0.3">
      <c r="A107" t="str">
        <f t="shared" si="2"/>
        <v>APG</v>
      </c>
      <c r="B107">
        <f t="shared" si="3"/>
        <v>4606</v>
      </c>
      <c r="D107" s="1"/>
      <c r="E107" s="1" t="s">
        <v>101</v>
      </c>
      <c r="F107" s="1">
        <v>87</v>
      </c>
      <c r="G107" s="1">
        <v>4</v>
      </c>
      <c r="H107" s="1">
        <v>14.4</v>
      </c>
      <c r="I107" s="1"/>
      <c r="J107" s="1"/>
    </row>
    <row r="108" spans="1:10" x14ac:dyDescent="0.3">
      <c r="A108" t="str">
        <f t="shared" si="2"/>
        <v>APG</v>
      </c>
      <c r="B108">
        <f t="shared" si="3"/>
        <v>18606</v>
      </c>
      <c r="D108" s="1"/>
      <c r="E108" s="1" t="s">
        <v>425</v>
      </c>
      <c r="F108" s="1">
        <v>89</v>
      </c>
      <c r="G108" s="1">
        <v>3</v>
      </c>
      <c r="H108" s="1">
        <v>14.3</v>
      </c>
      <c r="I108" s="1"/>
      <c r="J108" s="1"/>
    </row>
    <row r="109" spans="1:10" x14ac:dyDescent="0.3">
      <c r="A109" t="str">
        <f t="shared" si="2"/>
        <v>APG</v>
      </c>
      <c r="B109">
        <f t="shared" si="3"/>
        <v>14506</v>
      </c>
      <c r="D109" s="1"/>
      <c r="E109" s="1" t="s">
        <v>402</v>
      </c>
      <c r="F109" s="1">
        <v>90</v>
      </c>
      <c r="G109" s="1">
        <v>5</v>
      </c>
      <c r="H109" s="1">
        <v>14.3</v>
      </c>
      <c r="I109" s="1"/>
      <c r="J109" s="1"/>
    </row>
    <row r="110" spans="1:10" x14ac:dyDescent="0.3">
      <c r="A110" t="str">
        <f t="shared" si="2"/>
        <v>APG</v>
      </c>
      <c r="B110">
        <f t="shared" si="3"/>
        <v>3206</v>
      </c>
      <c r="D110" s="1"/>
      <c r="E110" s="1" t="s">
        <v>127</v>
      </c>
      <c r="F110" s="1">
        <v>95</v>
      </c>
      <c r="G110" s="1">
        <v>6</v>
      </c>
      <c r="H110" s="1">
        <v>14.2</v>
      </c>
      <c r="I110" s="1"/>
      <c r="J110" s="1"/>
    </row>
    <row r="111" spans="1:10" x14ac:dyDescent="0.3">
      <c r="A111" t="str">
        <f t="shared" si="2"/>
        <v>APG</v>
      </c>
      <c r="B111">
        <f t="shared" si="3"/>
        <v>1606</v>
      </c>
      <c r="D111" s="1"/>
      <c r="E111" s="1" t="s">
        <v>137</v>
      </c>
      <c r="F111" s="1">
        <v>96</v>
      </c>
      <c r="G111" s="1">
        <v>5</v>
      </c>
      <c r="H111" s="1">
        <v>14.2</v>
      </c>
      <c r="I111" s="1"/>
      <c r="J111" s="1"/>
    </row>
    <row r="112" spans="1:10" x14ac:dyDescent="0.3">
      <c r="A112" t="str">
        <f t="shared" si="2"/>
        <v>APG</v>
      </c>
      <c r="B112">
        <f t="shared" si="3"/>
        <v>18906</v>
      </c>
      <c r="D112" s="1"/>
      <c r="E112" s="1" t="s">
        <v>422</v>
      </c>
      <c r="F112" s="1">
        <v>98</v>
      </c>
      <c r="G112" s="1">
        <v>3</v>
      </c>
      <c r="H112" s="1">
        <v>14.1</v>
      </c>
      <c r="I112" s="1"/>
      <c r="J112" s="1"/>
    </row>
    <row r="113" spans="1:10" x14ac:dyDescent="0.3">
      <c r="A113" t="str">
        <f t="shared" si="2"/>
        <v>APG</v>
      </c>
      <c r="B113">
        <f t="shared" si="3"/>
        <v>5306</v>
      </c>
      <c r="D113" s="1"/>
      <c r="E113" s="1" t="s">
        <v>242</v>
      </c>
      <c r="F113" s="1">
        <v>99</v>
      </c>
      <c r="G113" s="1">
        <v>7</v>
      </c>
      <c r="H113" s="1">
        <v>14.1</v>
      </c>
      <c r="I113" s="1"/>
      <c r="J113" s="1"/>
    </row>
    <row r="114" spans="1:10" x14ac:dyDescent="0.3">
      <c r="A114" t="str">
        <f t="shared" si="2"/>
        <v>APG</v>
      </c>
      <c r="B114">
        <f t="shared" si="3"/>
        <v>4506</v>
      </c>
      <c r="D114" s="1"/>
      <c r="E114" s="1" t="s">
        <v>84</v>
      </c>
      <c r="F114" s="1">
        <v>103</v>
      </c>
      <c r="G114" s="1">
        <v>6</v>
      </c>
      <c r="H114" s="1">
        <v>14.1</v>
      </c>
      <c r="I114" s="1"/>
      <c r="J114" s="1"/>
    </row>
    <row r="115" spans="1:10" x14ac:dyDescent="0.3">
      <c r="A115" t="str">
        <f t="shared" si="2"/>
        <v>APG</v>
      </c>
      <c r="B115">
        <f t="shared" si="3"/>
        <v>606</v>
      </c>
      <c r="D115" s="1"/>
      <c r="E115" s="1" t="s">
        <v>100</v>
      </c>
      <c r="F115" s="1">
        <v>114</v>
      </c>
      <c r="G115" s="1">
        <v>7</v>
      </c>
      <c r="H115" s="1">
        <v>13.8</v>
      </c>
      <c r="I115" s="1"/>
      <c r="J115" s="1"/>
    </row>
    <row r="116" spans="1:10" x14ac:dyDescent="0.3">
      <c r="A116" t="str">
        <f t="shared" si="2"/>
        <v>APG</v>
      </c>
      <c r="B116">
        <f t="shared" si="3"/>
        <v>15206</v>
      </c>
      <c r="D116" s="1"/>
      <c r="E116" s="1" t="s">
        <v>426</v>
      </c>
      <c r="F116" s="1">
        <v>122</v>
      </c>
      <c r="G116" s="1">
        <v>4</v>
      </c>
      <c r="H116" s="1">
        <v>13.8</v>
      </c>
      <c r="I116" s="1"/>
      <c r="J116" s="1"/>
    </row>
    <row r="117" spans="1:10" x14ac:dyDescent="0.3">
      <c r="A117" t="str">
        <f t="shared" si="2"/>
        <v>APG</v>
      </c>
      <c r="B117">
        <f t="shared" si="3"/>
        <v>14306</v>
      </c>
      <c r="D117" s="1"/>
      <c r="E117" s="1" t="s">
        <v>391</v>
      </c>
      <c r="F117" s="1">
        <v>128</v>
      </c>
      <c r="G117" s="1">
        <v>7</v>
      </c>
      <c r="H117" s="1">
        <v>13.7</v>
      </c>
      <c r="I117" s="1"/>
      <c r="J117" s="1"/>
    </row>
    <row r="118" spans="1:10" x14ac:dyDescent="0.3">
      <c r="A118" t="str">
        <f t="shared" si="2"/>
        <v>APG</v>
      </c>
      <c r="B118">
        <f t="shared" si="3"/>
        <v>7906</v>
      </c>
      <c r="D118" s="1"/>
      <c r="E118" s="1" t="s">
        <v>103</v>
      </c>
      <c r="F118" s="1">
        <v>131</v>
      </c>
      <c r="G118" s="1">
        <v>4</v>
      </c>
      <c r="H118" s="1">
        <v>13.7</v>
      </c>
      <c r="I118" s="1"/>
      <c r="J118" s="1"/>
    </row>
    <row r="119" spans="1:10" x14ac:dyDescent="0.3">
      <c r="A119" t="str">
        <f t="shared" si="2"/>
        <v>APG</v>
      </c>
      <c r="B119">
        <f t="shared" si="3"/>
        <v>11506</v>
      </c>
      <c r="D119" s="1"/>
      <c r="E119" s="1" t="s">
        <v>97</v>
      </c>
      <c r="F119" s="1">
        <v>133</v>
      </c>
      <c r="G119" s="1">
        <v>3</v>
      </c>
      <c r="H119" s="1">
        <v>13.7</v>
      </c>
      <c r="I119" s="1"/>
      <c r="J119" s="1"/>
    </row>
    <row r="120" spans="1:10" x14ac:dyDescent="0.3">
      <c r="A120" t="str">
        <f t="shared" si="2"/>
        <v>APG</v>
      </c>
      <c r="B120">
        <f t="shared" si="3"/>
        <v>9506</v>
      </c>
      <c r="D120" s="1"/>
      <c r="E120" s="1" t="s">
        <v>85</v>
      </c>
      <c r="F120" s="1">
        <v>133</v>
      </c>
      <c r="G120" s="1">
        <v>4</v>
      </c>
      <c r="H120" s="1">
        <v>13.7</v>
      </c>
      <c r="I120" s="1"/>
      <c r="J120" s="1"/>
    </row>
    <row r="121" spans="1:10" x14ac:dyDescent="0.3">
      <c r="A121" t="str">
        <f t="shared" si="2"/>
        <v>APG</v>
      </c>
      <c r="B121">
        <f t="shared" si="3"/>
        <v>3406</v>
      </c>
      <c r="D121" s="1"/>
      <c r="E121" s="1" t="s">
        <v>237</v>
      </c>
      <c r="F121" s="1">
        <v>137</v>
      </c>
      <c r="G121" s="1">
        <v>5</v>
      </c>
      <c r="H121" s="1">
        <v>13.6</v>
      </c>
      <c r="I121" s="1"/>
      <c r="J121" s="1"/>
    </row>
    <row r="122" spans="1:10" x14ac:dyDescent="0.3">
      <c r="A122" t="str">
        <f t="shared" si="2"/>
        <v>APG</v>
      </c>
      <c r="B122">
        <f t="shared" si="3"/>
        <v>2406</v>
      </c>
      <c r="D122" s="1"/>
      <c r="E122" s="1" t="s">
        <v>330</v>
      </c>
      <c r="F122" s="1">
        <v>145</v>
      </c>
      <c r="G122" s="1">
        <v>6</v>
      </c>
      <c r="H122" s="1">
        <v>13.5</v>
      </c>
      <c r="I122" s="1"/>
      <c r="J122" s="1"/>
    </row>
    <row r="123" spans="1:10" x14ac:dyDescent="0.3">
      <c r="A123" t="str">
        <f t="shared" si="2"/>
        <v>APG</v>
      </c>
      <c r="B123">
        <f t="shared" si="3"/>
        <v>18806</v>
      </c>
      <c r="D123" s="1"/>
      <c r="E123" s="1" t="s">
        <v>424</v>
      </c>
      <c r="F123" s="1">
        <v>155</v>
      </c>
      <c r="G123" s="1">
        <v>5</v>
      </c>
      <c r="H123" s="1">
        <v>13.4</v>
      </c>
      <c r="I123" s="1"/>
      <c r="J123" s="1"/>
    </row>
    <row r="124" spans="1:10" x14ac:dyDescent="0.3">
      <c r="A124" t="str">
        <f t="shared" si="2"/>
        <v>APG</v>
      </c>
      <c r="B124">
        <f t="shared" si="3"/>
        <v>12206</v>
      </c>
      <c r="D124" s="1"/>
      <c r="E124" s="1" t="s">
        <v>284</v>
      </c>
      <c r="F124" s="1">
        <v>179</v>
      </c>
      <c r="G124" s="1">
        <v>8</v>
      </c>
      <c r="H124" s="1">
        <v>13</v>
      </c>
      <c r="I124" s="1"/>
      <c r="J124" s="1"/>
    </row>
    <row r="125" spans="1:10" x14ac:dyDescent="0.3">
      <c r="A125" t="str">
        <f t="shared" si="2"/>
        <v>APG</v>
      </c>
      <c r="B125">
        <f t="shared" si="3"/>
        <v>13306</v>
      </c>
      <c r="D125" s="1"/>
      <c r="E125" s="1" t="s">
        <v>291</v>
      </c>
      <c r="F125" s="1">
        <v>180</v>
      </c>
      <c r="G125" s="1">
        <v>9</v>
      </c>
      <c r="H125" s="1">
        <v>13</v>
      </c>
      <c r="I125" s="1"/>
      <c r="J125" s="1"/>
    </row>
    <row r="126" spans="1:10" x14ac:dyDescent="0.3">
      <c r="A126" t="str">
        <f t="shared" si="2"/>
        <v>APG</v>
      </c>
      <c r="B126">
        <f t="shared" si="3"/>
        <v>1206</v>
      </c>
      <c r="D126" s="1"/>
      <c r="E126" s="1" t="s">
        <v>130</v>
      </c>
      <c r="F126" s="1">
        <v>184</v>
      </c>
      <c r="G126" s="1">
        <v>6</v>
      </c>
      <c r="H126" s="1">
        <v>12.9</v>
      </c>
      <c r="I126" s="1"/>
      <c r="J126" s="1"/>
    </row>
    <row r="127" spans="1:10" x14ac:dyDescent="0.3">
      <c r="A127" t="str">
        <f t="shared" si="2"/>
        <v>APG</v>
      </c>
      <c r="B127">
        <f t="shared" si="3"/>
        <v>8106</v>
      </c>
      <c r="D127" s="1"/>
      <c r="E127" s="1" t="s">
        <v>256</v>
      </c>
      <c r="F127" s="1">
        <v>192</v>
      </c>
      <c r="G127" s="1">
        <v>8</v>
      </c>
      <c r="H127" s="1">
        <v>12.8</v>
      </c>
      <c r="I127" s="1"/>
      <c r="J127" s="1"/>
    </row>
    <row r="128" spans="1:10" x14ac:dyDescent="0.3">
      <c r="A128" t="str">
        <f t="shared" si="2"/>
        <v>APG</v>
      </c>
      <c r="B128">
        <f t="shared" si="3"/>
        <v>1906</v>
      </c>
      <c r="D128" s="1"/>
      <c r="E128" s="1" t="s">
        <v>112</v>
      </c>
      <c r="F128" s="1">
        <v>199</v>
      </c>
      <c r="G128" s="1">
        <v>11</v>
      </c>
      <c r="H128" s="1">
        <v>12.8</v>
      </c>
      <c r="I128" s="1"/>
      <c r="J128" s="1"/>
    </row>
    <row r="129" spans="1:10" x14ac:dyDescent="0.3">
      <c r="A129" t="str">
        <f t="shared" si="2"/>
        <v>APG</v>
      </c>
      <c r="B129">
        <f t="shared" si="3"/>
        <v>6206</v>
      </c>
      <c r="D129" s="1"/>
      <c r="E129" s="1" t="s">
        <v>81</v>
      </c>
      <c r="F129" s="1">
        <v>199</v>
      </c>
      <c r="G129" s="1">
        <v>9</v>
      </c>
      <c r="H129" s="1">
        <v>12.8</v>
      </c>
      <c r="I129" s="1"/>
      <c r="J129" s="1"/>
    </row>
    <row r="130" spans="1:10" x14ac:dyDescent="0.3">
      <c r="A130" t="str">
        <f t="shared" ref="A130:A193" si="4">IF(NOT(D130=""),INDEX(statAbbr,MATCH(D130,statOfficial,0),1),A129)</f>
        <v>APG</v>
      </c>
      <c r="B130">
        <f t="shared" ref="B130:B193" si="5">INDEX(statID,MATCH(A130,statAbbr,0),1)+INDEX(teamID,MATCH(E130,teamRawName,0))</f>
        <v>18706</v>
      </c>
      <c r="D130" s="1"/>
      <c r="E130" s="1" t="s">
        <v>427</v>
      </c>
      <c r="F130" s="1">
        <v>201</v>
      </c>
      <c r="G130" s="1">
        <v>2</v>
      </c>
      <c r="H130" s="1">
        <v>12.7</v>
      </c>
      <c r="I130" s="1"/>
      <c r="J130" s="1"/>
    </row>
    <row r="131" spans="1:10" x14ac:dyDescent="0.3">
      <c r="A131" t="str">
        <f t="shared" si="4"/>
        <v>APG</v>
      </c>
      <c r="B131">
        <f t="shared" si="5"/>
        <v>5806</v>
      </c>
      <c r="D131" s="1"/>
      <c r="E131" s="1" t="s">
        <v>139</v>
      </c>
      <c r="F131" s="1">
        <v>213</v>
      </c>
      <c r="G131" s="1">
        <v>9</v>
      </c>
      <c r="H131" s="1">
        <v>12.6</v>
      </c>
      <c r="I131" s="1"/>
      <c r="J131" s="1"/>
    </row>
    <row r="132" spans="1:10" x14ac:dyDescent="0.3">
      <c r="A132" t="str">
        <f t="shared" si="4"/>
        <v>APG</v>
      </c>
      <c r="B132">
        <f t="shared" si="5"/>
        <v>2506</v>
      </c>
      <c r="D132" s="1"/>
      <c r="E132" s="1" t="s">
        <v>92</v>
      </c>
      <c r="F132" s="1">
        <v>215</v>
      </c>
      <c r="G132" s="1">
        <v>8</v>
      </c>
      <c r="H132" s="1">
        <v>12.5</v>
      </c>
      <c r="I132" s="1"/>
      <c r="J132" s="1"/>
    </row>
    <row r="133" spans="1:10" x14ac:dyDescent="0.3">
      <c r="A133" t="str">
        <f t="shared" si="4"/>
        <v>APG</v>
      </c>
      <c r="B133">
        <f t="shared" si="5"/>
        <v>3606</v>
      </c>
      <c r="D133" s="1"/>
      <c r="E133" s="1" t="s">
        <v>129</v>
      </c>
      <c r="F133" s="1">
        <v>215</v>
      </c>
      <c r="G133" s="1">
        <v>9</v>
      </c>
      <c r="H133" s="1">
        <v>12.5</v>
      </c>
      <c r="I133" s="1"/>
      <c r="J133" s="1"/>
    </row>
    <row r="134" spans="1:10" x14ac:dyDescent="0.3">
      <c r="A134" t="str">
        <f t="shared" si="4"/>
        <v>APG</v>
      </c>
      <c r="B134">
        <f t="shared" si="5"/>
        <v>12006</v>
      </c>
      <c r="D134" s="1"/>
      <c r="E134" s="1" t="s">
        <v>135</v>
      </c>
      <c r="F134" s="1">
        <v>219</v>
      </c>
      <c r="G134" s="1">
        <v>5</v>
      </c>
      <c r="H134" s="1">
        <v>12.5</v>
      </c>
      <c r="I134" s="1"/>
      <c r="J134" s="1"/>
    </row>
    <row r="135" spans="1:10" x14ac:dyDescent="0.3">
      <c r="A135" t="str">
        <f t="shared" si="4"/>
        <v>APG</v>
      </c>
      <c r="B135">
        <f t="shared" si="5"/>
        <v>4306</v>
      </c>
      <c r="D135" s="1"/>
      <c r="E135" s="1" t="s">
        <v>125</v>
      </c>
      <c r="F135" s="1">
        <v>229</v>
      </c>
      <c r="G135" s="1">
        <v>10</v>
      </c>
      <c r="H135" s="1">
        <v>12.4</v>
      </c>
      <c r="I135" s="1"/>
      <c r="J135" s="1"/>
    </row>
    <row r="136" spans="1:10" x14ac:dyDescent="0.3">
      <c r="A136" t="str">
        <f t="shared" si="4"/>
        <v>APG</v>
      </c>
      <c r="B136">
        <f t="shared" si="5"/>
        <v>13406</v>
      </c>
      <c r="D136" s="1"/>
      <c r="E136" s="1" t="s">
        <v>400</v>
      </c>
      <c r="F136" s="1">
        <v>234</v>
      </c>
      <c r="G136" s="1">
        <v>10</v>
      </c>
      <c r="H136" s="1">
        <v>12.3</v>
      </c>
      <c r="I136" s="1"/>
      <c r="J136" s="1"/>
    </row>
    <row r="137" spans="1:10" x14ac:dyDescent="0.3">
      <c r="A137" t="str">
        <f t="shared" si="4"/>
        <v>APG</v>
      </c>
      <c r="B137">
        <f t="shared" si="5"/>
        <v>11806</v>
      </c>
      <c r="D137" s="1"/>
      <c r="E137" s="1" t="s">
        <v>281</v>
      </c>
      <c r="F137" s="1">
        <v>280</v>
      </c>
      <c r="G137" s="1">
        <v>6</v>
      </c>
      <c r="H137" s="1">
        <v>11.8</v>
      </c>
      <c r="I137" s="1"/>
      <c r="J137" s="1"/>
    </row>
    <row r="138" spans="1:10" x14ac:dyDescent="0.3">
      <c r="A138" t="str">
        <f t="shared" si="4"/>
        <v>APG</v>
      </c>
      <c r="B138">
        <f t="shared" si="5"/>
        <v>11106</v>
      </c>
      <c r="D138" s="1"/>
      <c r="E138" s="1" t="s">
        <v>277</v>
      </c>
      <c r="F138" s="1">
        <v>301</v>
      </c>
      <c r="G138" s="1">
        <v>14</v>
      </c>
      <c r="H138" s="1">
        <v>11.4</v>
      </c>
      <c r="I138" s="1"/>
      <c r="J138" s="1"/>
    </row>
    <row r="139" spans="1:10" x14ac:dyDescent="0.3">
      <c r="A139" t="str">
        <f t="shared" si="4"/>
        <v>APG</v>
      </c>
      <c r="B139">
        <f t="shared" si="5"/>
        <v>2106</v>
      </c>
      <c r="D139" s="1"/>
      <c r="E139" s="1" t="s">
        <v>136</v>
      </c>
      <c r="F139" s="1">
        <v>305</v>
      </c>
      <c r="G139" s="1">
        <v>10</v>
      </c>
      <c r="H139" s="1">
        <v>11.3</v>
      </c>
      <c r="I139" s="1"/>
      <c r="J139" s="1"/>
    </row>
    <row r="140" spans="1:10" x14ac:dyDescent="0.3">
      <c r="A140" t="str">
        <f t="shared" si="4"/>
        <v>Bench</v>
      </c>
      <c r="B140">
        <f t="shared" si="5"/>
        <v>2207</v>
      </c>
      <c r="D140" s="1" t="s">
        <v>429</v>
      </c>
      <c r="E140" s="1" t="s">
        <v>119</v>
      </c>
      <c r="F140" s="1">
        <v>3</v>
      </c>
      <c r="G140" s="1">
        <v>1</v>
      </c>
      <c r="H140" s="1">
        <v>32.69</v>
      </c>
      <c r="I140" s="1" t="s">
        <v>430</v>
      </c>
      <c r="J140" s="1">
        <v>34.74</v>
      </c>
    </row>
    <row r="141" spans="1:10" x14ac:dyDescent="0.3">
      <c r="A141" t="str">
        <f t="shared" si="4"/>
        <v>Bench</v>
      </c>
      <c r="B141">
        <f t="shared" si="5"/>
        <v>11507</v>
      </c>
      <c r="D141" s="1"/>
      <c r="E141" s="1" t="s">
        <v>97</v>
      </c>
      <c r="F141" s="1">
        <v>4</v>
      </c>
      <c r="G141" s="1">
        <v>1</v>
      </c>
      <c r="H141" s="1">
        <v>31.83</v>
      </c>
      <c r="I141" s="1"/>
      <c r="J141" s="1"/>
    </row>
    <row r="142" spans="1:10" x14ac:dyDescent="0.3">
      <c r="A142" t="str">
        <f t="shared" si="4"/>
        <v>Bench</v>
      </c>
      <c r="B142">
        <f t="shared" si="5"/>
        <v>6707</v>
      </c>
      <c r="D142" s="1"/>
      <c r="E142" s="1" t="s">
        <v>118</v>
      </c>
      <c r="F142" s="1">
        <v>10</v>
      </c>
      <c r="G142" s="1">
        <v>1</v>
      </c>
      <c r="H142" s="1">
        <v>28.03</v>
      </c>
      <c r="I142" s="1"/>
      <c r="J142" s="1"/>
    </row>
    <row r="143" spans="1:10" x14ac:dyDescent="0.3">
      <c r="A143" t="str">
        <f t="shared" si="4"/>
        <v>Bench</v>
      </c>
      <c r="B143">
        <f t="shared" si="5"/>
        <v>3707</v>
      </c>
      <c r="D143" s="1"/>
      <c r="E143" s="1" t="s">
        <v>115</v>
      </c>
      <c r="F143" s="1">
        <v>25</v>
      </c>
      <c r="G143" s="1">
        <v>2</v>
      </c>
      <c r="H143" s="1">
        <v>25.95</v>
      </c>
      <c r="I143" s="1"/>
      <c r="J143" s="1"/>
    </row>
    <row r="144" spans="1:10" x14ac:dyDescent="0.3">
      <c r="A144" t="str">
        <f t="shared" si="4"/>
        <v>Bench</v>
      </c>
      <c r="B144">
        <f t="shared" si="5"/>
        <v>1207</v>
      </c>
      <c r="D144" s="1"/>
      <c r="E144" s="1" t="s">
        <v>130</v>
      </c>
      <c r="F144" s="1">
        <v>27</v>
      </c>
      <c r="G144" s="1">
        <v>1</v>
      </c>
      <c r="H144" s="1">
        <v>25.82</v>
      </c>
      <c r="I144" s="1"/>
      <c r="J144" s="1"/>
    </row>
    <row r="145" spans="1:10" x14ac:dyDescent="0.3">
      <c r="A145" t="str">
        <f t="shared" si="4"/>
        <v>Bench</v>
      </c>
      <c r="B145">
        <f t="shared" si="5"/>
        <v>14107</v>
      </c>
      <c r="D145" s="1"/>
      <c r="E145" s="1" t="s">
        <v>299</v>
      </c>
      <c r="F145" s="1">
        <v>36</v>
      </c>
      <c r="G145" s="1">
        <v>3</v>
      </c>
      <c r="H145" s="1">
        <v>25.03</v>
      </c>
      <c r="I145" s="1"/>
      <c r="J145" s="1"/>
    </row>
    <row r="146" spans="1:10" x14ac:dyDescent="0.3">
      <c r="A146" t="str">
        <f t="shared" si="4"/>
        <v>Bench</v>
      </c>
      <c r="B146">
        <f t="shared" si="5"/>
        <v>18307</v>
      </c>
      <c r="D146" s="1"/>
      <c r="E146" s="1" t="s">
        <v>423</v>
      </c>
      <c r="F146" s="1">
        <v>41</v>
      </c>
      <c r="G146" s="1">
        <v>2</v>
      </c>
      <c r="H146" s="1">
        <v>24.63</v>
      </c>
      <c r="I146" s="1"/>
      <c r="J146" s="1"/>
    </row>
    <row r="147" spans="1:10" x14ac:dyDescent="0.3">
      <c r="A147" t="str">
        <f t="shared" si="4"/>
        <v>Bench</v>
      </c>
      <c r="B147">
        <f t="shared" si="5"/>
        <v>1407</v>
      </c>
      <c r="D147" s="1"/>
      <c r="E147" s="1" t="s">
        <v>102</v>
      </c>
      <c r="F147" s="1">
        <v>48</v>
      </c>
      <c r="G147" s="1">
        <v>2</v>
      </c>
      <c r="H147" s="1">
        <v>24.06</v>
      </c>
      <c r="I147" s="1"/>
      <c r="J147" s="1"/>
    </row>
    <row r="148" spans="1:10" x14ac:dyDescent="0.3">
      <c r="A148" t="str">
        <f t="shared" si="4"/>
        <v>Bench</v>
      </c>
      <c r="B148">
        <f t="shared" si="5"/>
        <v>12007</v>
      </c>
      <c r="D148" s="1"/>
      <c r="E148" s="1" t="s">
        <v>135</v>
      </c>
      <c r="F148" s="1">
        <v>58</v>
      </c>
      <c r="G148" s="1">
        <v>2</v>
      </c>
      <c r="H148" s="1">
        <v>23.37</v>
      </c>
      <c r="I148" s="1"/>
      <c r="J148" s="1"/>
    </row>
    <row r="149" spans="1:10" x14ac:dyDescent="0.3">
      <c r="A149" t="str">
        <f t="shared" si="4"/>
        <v>Bench</v>
      </c>
      <c r="B149">
        <f t="shared" si="5"/>
        <v>8807</v>
      </c>
      <c r="D149" s="1"/>
      <c r="E149" s="1" t="s">
        <v>141</v>
      </c>
      <c r="F149" s="1">
        <v>61</v>
      </c>
      <c r="G149" s="1">
        <v>4</v>
      </c>
      <c r="H149" s="1">
        <v>23.26</v>
      </c>
      <c r="I149" s="1"/>
      <c r="J149" s="1"/>
    </row>
    <row r="150" spans="1:10" x14ac:dyDescent="0.3">
      <c r="A150" t="str">
        <f t="shared" si="4"/>
        <v>Bench</v>
      </c>
      <c r="B150">
        <f t="shared" si="5"/>
        <v>13307</v>
      </c>
      <c r="D150" s="1"/>
      <c r="E150" s="1" t="s">
        <v>291</v>
      </c>
      <c r="F150" s="1">
        <v>65</v>
      </c>
      <c r="G150" s="1">
        <v>3</v>
      </c>
      <c r="H150" s="1">
        <v>23.09</v>
      </c>
      <c r="I150" s="1"/>
      <c r="J150" s="1"/>
    </row>
    <row r="151" spans="1:10" x14ac:dyDescent="0.3">
      <c r="A151" t="str">
        <f t="shared" si="4"/>
        <v>Bench</v>
      </c>
      <c r="B151">
        <f t="shared" si="5"/>
        <v>4507</v>
      </c>
      <c r="D151" s="1"/>
      <c r="E151" s="1" t="s">
        <v>84</v>
      </c>
      <c r="F151" s="1">
        <v>81</v>
      </c>
      <c r="G151" s="1">
        <v>5</v>
      </c>
      <c r="H151" s="1">
        <v>22.32</v>
      </c>
      <c r="I151" s="1"/>
      <c r="J151" s="1"/>
    </row>
    <row r="152" spans="1:10" x14ac:dyDescent="0.3">
      <c r="A152" t="str">
        <f t="shared" si="4"/>
        <v>Bench</v>
      </c>
      <c r="B152">
        <f t="shared" si="5"/>
        <v>5807</v>
      </c>
      <c r="D152" s="1"/>
      <c r="E152" s="1" t="s">
        <v>139</v>
      </c>
      <c r="F152" s="1">
        <v>86</v>
      </c>
      <c r="G152" s="1">
        <v>7</v>
      </c>
      <c r="H152" s="1">
        <v>22.14</v>
      </c>
      <c r="I152" s="1"/>
      <c r="J152" s="1"/>
    </row>
    <row r="153" spans="1:10" x14ac:dyDescent="0.3">
      <c r="A153" t="str">
        <f t="shared" si="4"/>
        <v>Bench</v>
      </c>
      <c r="B153">
        <f t="shared" si="5"/>
        <v>7907</v>
      </c>
      <c r="D153" s="1"/>
      <c r="E153" s="1" t="s">
        <v>103</v>
      </c>
      <c r="F153" s="1">
        <v>87</v>
      </c>
      <c r="G153" s="1">
        <v>3</v>
      </c>
      <c r="H153" s="1">
        <v>22.09</v>
      </c>
      <c r="I153" s="1"/>
      <c r="J153" s="1"/>
    </row>
    <row r="154" spans="1:10" x14ac:dyDescent="0.3">
      <c r="A154" t="str">
        <f t="shared" si="4"/>
        <v>Bench</v>
      </c>
      <c r="B154">
        <f t="shared" si="5"/>
        <v>3507</v>
      </c>
      <c r="D154" s="1"/>
      <c r="E154" s="1" t="s">
        <v>87</v>
      </c>
      <c r="F154" s="1">
        <v>88</v>
      </c>
      <c r="G154" s="1">
        <v>6</v>
      </c>
      <c r="H154" s="1">
        <v>22.03</v>
      </c>
      <c r="I154" s="1"/>
      <c r="J154" s="1"/>
    </row>
    <row r="155" spans="1:10" x14ac:dyDescent="0.3">
      <c r="A155" t="str">
        <f t="shared" si="4"/>
        <v>Bench</v>
      </c>
      <c r="B155">
        <f t="shared" si="5"/>
        <v>5607</v>
      </c>
      <c r="D155" s="1"/>
      <c r="E155" s="1" t="s">
        <v>62</v>
      </c>
      <c r="F155" s="1">
        <v>91</v>
      </c>
      <c r="G155" s="1">
        <v>4</v>
      </c>
      <c r="H155" s="1">
        <v>21.94</v>
      </c>
      <c r="I155" s="1"/>
      <c r="J155" s="1"/>
    </row>
    <row r="156" spans="1:10" x14ac:dyDescent="0.3">
      <c r="A156" t="str">
        <f t="shared" si="4"/>
        <v>Bench</v>
      </c>
      <c r="B156">
        <f t="shared" si="5"/>
        <v>15207</v>
      </c>
      <c r="D156" s="1"/>
      <c r="E156" s="1" t="s">
        <v>426</v>
      </c>
      <c r="F156" s="1">
        <v>94</v>
      </c>
      <c r="G156" s="1">
        <v>4</v>
      </c>
      <c r="H156" s="1">
        <v>21.86</v>
      </c>
      <c r="I156" s="1"/>
      <c r="J156" s="1"/>
    </row>
    <row r="157" spans="1:10" x14ac:dyDescent="0.3">
      <c r="A157" t="str">
        <f t="shared" si="4"/>
        <v>Bench</v>
      </c>
      <c r="B157">
        <f t="shared" si="5"/>
        <v>13407</v>
      </c>
      <c r="D157" s="1"/>
      <c r="E157" s="1" t="s">
        <v>400</v>
      </c>
      <c r="F157" s="1">
        <v>96</v>
      </c>
      <c r="G157" s="1">
        <v>5</v>
      </c>
      <c r="H157" s="1">
        <v>21.83</v>
      </c>
      <c r="I157" s="1"/>
      <c r="J157" s="1"/>
    </row>
    <row r="158" spans="1:10" x14ac:dyDescent="0.3">
      <c r="A158" t="str">
        <f t="shared" si="4"/>
        <v>Bench</v>
      </c>
      <c r="B158">
        <f t="shared" si="5"/>
        <v>3407</v>
      </c>
      <c r="D158" s="1"/>
      <c r="E158" s="1" t="s">
        <v>237</v>
      </c>
      <c r="F158" s="1">
        <v>105</v>
      </c>
      <c r="G158" s="1">
        <v>4</v>
      </c>
      <c r="H158" s="1">
        <v>21.47</v>
      </c>
      <c r="I158" s="1"/>
      <c r="J158" s="1"/>
    </row>
    <row r="159" spans="1:10" x14ac:dyDescent="0.3">
      <c r="A159" t="str">
        <f t="shared" si="4"/>
        <v>Bench</v>
      </c>
      <c r="B159">
        <f t="shared" si="5"/>
        <v>4407</v>
      </c>
      <c r="D159" s="1"/>
      <c r="E159" s="1" t="s">
        <v>83</v>
      </c>
      <c r="F159" s="1">
        <v>119</v>
      </c>
      <c r="G159" s="1">
        <v>5</v>
      </c>
      <c r="H159" s="1">
        <v>20.78</v>
      </c>
      <c r="I159" s="1"/>
      <c r="J159" s="1"/>
    </row>
    <row r="160" spans="1:10" x14ac:dyDescent="0.3">
      <c r="A160" t="str">
        <f t="shared" si="4"/>
        <v>Bench</v>
      </c>
      <c r="B160">
        <f t="shared" si="5"/>
        <v>3307</v>
      </c>
      <c r="D160" s="1"/>
      <c r="E160" s="1" t="s">
        <v>91</v>
      </c>
      <c r="F160" s="1">
        <v>128</v>
      </c>
      <c r="G160" s="1">
        <v>3</v>
      </c>
      <c r="H160" s="1">
        <v>20.329999999999998</v>
      </c>
      <c r="I160" s="1"/>
      <c r="J160" s="1"/>
    </row>
    <row r="161" spans="1:10" x14ac:dyDescent="0.3">
      <c r="A161" t="str">
        <f t="shared" si="4"/>
        <v>Bench</v>
      </c>
      <c r="B161">
        <f t="shared" si="5"/>
        <v>18607</v>
      </c>
      <c r="D161" s="1"/>
      <c r="E161" s="1" t="s">
        <v>425</v>
      </c>
      <c r="F161" s="1">
        <v>137</v>
      </c>
      <c r="G161" s="1">
        <v>9</v>
      </c>
      <c r="H161" s="1">
        <v>20</v>
      </c>
      <c r="I161" s="1"/>
      <c r="J161" s="1"/>
    </row>
    <row r="162" spans="1:10" x14ac:dyDescent="0.3">
      <c r="A162" t="str">
        <f t="shared" si="4"/>
        <v>Bench</v>
      </c>
      <c r="B162">
        <f t="shared" si="5"/>
        <v>2307</v>
      </c>
      <c r="D162" s="1"/>
      <c r="E162" s="1" t="s">
        <v>79</v>
      </c>
      <c r="F162" s="1">
        <v>139</v>
      </c>
      <c r="G162" s="1">
        <v>4</v>
      </c>
      <c r="H162" s="1">
        <v>19.920000000000002</v>
      </c>
      <c r="I162" s="1"/>
      <c r="J162" s="1"/>
    </row>
    <row r="163" spans="1:10" x14ac:dyDescent="0.3">
      <c r="A163" t="str">
        <f t="shared" si="4"/>
        <v>Bench</v>
      </c>
      <c r="B163">
        <f t="shared" si="5"/>
        <v>8107</v>
      </c>
      <c r="D163" s="1"/>
      <c r="E163" s="1" t="s">
        <v>256</v>
      </c>
      <c r="F163" s="1">
        <v>141</v>
      </c>
      <c r="G163" s="1">
        <v>9</v>
      </c>
      <c r="H163" s="1">
        <v>19.809999999999999</v>
      </c>
      <c r="I163" s="1"/>
      <c r="J163" s="1"/>
    </row>
    <row r="164" spans="1:10" x14ac:dyDescent="0.3">
      <c r="A164" t="str">
        <f t="shared" si="4"/>
        <v>Bench</v>
      </c>
      <c r="B164">
        <f t="shared" si="5"/>
        <v>18507</v>
      </c>
      <c r="D164" s="1"/>
      <c r="E164" s="1" t="s">
        <v>420</v>
      </c>
      <c r="F164" s="1">
        <v>142</v>
      </c>
      <c r="G164" s="1">
        <v>3</v>
      </c>
      <c r="H164" s="1">
        <v>19.8</v>
      </c>
      <c r="I164" s="1"/>
      <c r="J164" s="1"/>
    </row>
    <row r="165" spans="1:10" x14ac:dyDescent="0.3">
      <c r="A165" t="str">
        <f t="shared" si="4"/>
        <v>Bench</v>
      </c>
      <c r="B165">
        <f t="shared" si="5"/>
        <v>12207</v>
      </c>
      <c r="D165" s="1"/>
      <c r="E165" s="1" t="s">
        <v>284</v>
      </c>
      <c r="F165" s="1">
        <v>151</v>
      </c>
      <c r="G165" s="1">
        <v>5</v>
      </c>
      <c r="H165" s="1">
        <v>19.510000000000002</v>
      </c>
      <c r="I165" s="1"/>
      <c r="J165" s="1"/>
    </row>
    <row r="166" spans="1:10" x14ac:dyDescent="0.3">
      <c r="A166" t="str">
        <f t="shared" si="4"/>
        <v>Bench</v>
      </c>
      <c r="B166">
        <f t="shared" si="5"/>
        <v>6607</v>
      </c>
      <c r="D166" s="1"/>
      <c r="E166" s="1" t="s">
        <v>247</v>
      </c>
      <c r="F166" s="1">
        <v>154</v>
      </c>
      <c r="G166" s="1">
        <v>3</v>
      </c>
      <c r="H166" s="1">
        <v>19.46</v>
      </c>
      <c r="I166" s="1"/>
      <c r="J166" s="1"/>
    </row>
    <row r="167" spans="1:10" x14ac:dyDescent="0.3">
      <c r="A167" t="str">
        <f t="shared" si="4"/>
        <v>Bench</v>
      </c>
      <c r="B167">
        <f t="shared" si="5"/>
        <v>18407</v>
      </c>
      <c r="D167" s="1"/>
      <c r="E167" s="1" t="s">
        <v>417</v>
      </c>
      <c r="F167" s="1">
        <v>157</v>
      </c>
      <c r="G167" s="1">
        <v>3</v>
      </c>
      <c r="H167" s="1">
        <v>19.350000000000001</v>
      </c>
      <c r="I167" s="1"/>
      <c r="J167" s="1"/>
    </row>
    <row r="168" spans="1:10" x14ac:dyDescent="0.3">
      <c r="A168" t="str">
        <f t="shared" si="4"/>
        <v>Bench</v>
      </c>
      <c r="B168">
        <f t="shared" si="5"/>
        <v>19107</v>
      </c>
      <c r="D168" s="1"/>
      <c r="E168" s="1" t="s">
        <v>421</v>
      </c>
      <c r="F168" s="1">
        <v>158</v>
      </c>
      <c r="G168" s="1">
        <v>6</v>
      </c>
      <c r="H168" s="1">
        <v>19.329999999999998</v>
      </c>
      <c r="I168" s="1"/>
      <c r="J168" s="1"/>
    </row>
    <row r="169" spans="1:10" x14ac:dyDescent="0.3">
      <c r="A169" t="str">
        <f t="shared" si="4"/>
        <v>Bench</v>
      </c>
      <c r="B169">
        <f t="shared" si="5"/>
        <v>4307</v>
      </c>
      <c r="D169" s="1"/>
      <c r="E169" s="1" t="s">
        <v>125</v>
      </c>
      <c r="F169" s="1">
        <v>161</v>
      </c>
      <c r="G169" s="1">
        <v>2</v>
      </c>
      <c r="H169" s="1">
        <v>19.27</v>
      </c>
      <c r="I169" s="1"/>
      <c r="J169" s="1"/>
    </row>
    <row r="170" spans="1:10" x14ac:dyDescent="0.3">
      <c r="A170" t="str">
        <f t="shared" si="4"/>
        <v>Bench</v>
      </c>
      <c r="B170">
        <f t="shared" si="5"/>
        <v>19007</v>
      </c>
      <c r="D170" s="1"/>
      <c r="E170" s="1" t="s">
        <v>176</v>
      </c>
      <c r="F170" s="1">
        <v>163</v>
      </c>
      <c r="G170" s="1">
        <v>8</v>
      </c>
      <c r="H170" s="1">
        <v>19.21</v>
      </c>
      <c r="I170" s="1"/>
      <c r="J170" s="1"/>
    </row>
    <row r="171" spans="1:10" x14ac:dyDescent="0.3">
      <c r="A171" t="str">
        <f t="shared" si="4"/>
        <v>Bench</v>
      </c>
      <c r="B171">
        <f t="shared" si="5"/>
        <v>5207</v>
      </c>
      <c r="D171" s="1"/>
      <c r="E171" s="1" t="s">
        <v>241</v>
      </c>
      <c r="F171" s="1">
        <v>165</v>
      </c>
      <c r="G171" s="1">
        <v>3</v>
      </c>
      <c r="H171" s="1">
        <v>19.18</v>
      </c>
      <c r="I171" s="1"/>
      <c r="J171" s="1"/>
    </row>
    <row r="172" spans="1:10" x14ac:dyDescent="0.3">
      <c r="A172" t="str">
        <f t="shared" si="4"/>
        <v>Bench</v>
      </c>
      <c r="B172">
        <f t="shared" si="5"/>
        <v>5407</v>
      </c>
      <c r="D172" s="1"/>
      <c r="E172" s="1" t="s">
        <v>94</v>
      </c>
      <c r="F172" s="1">
        <v>172</v>
      </c>
      <c r="G172" s="1">
        <v>2</v>
      </c>
      <c r="H172" s="1">
        <v>18.89</v>
      </c>
      <c r="I172" s="1"/>
      <c r="J172" s="1"/>
    </row>
    <row r="173" spans="1:10" x14ac:dyDescent="0.3">
      <c r="A173" t="str">
        <f t="shared" si="4"/>
        <v>Bench</v>
      </c>
      <c r="B173">
        <f t="shared" si="5"/>
        <v>3007</v>
      </c>
      <c r="D173" s="1"/>
      <c r="E173" s="1" t="s">
        <v>89</v>
      </c>
      <c r="F173" s="1">
        <v>173</v>
      </c>
      <c r="G173" s="1">
        <v>4</v>
      </c>
      <c r="H173" s="1">
        <v>18.86</v>
      </c>
      <c r="I173" s="1"/>
      <c r="J173" s="1"/>
    </row>
    <row r="174" spans="1:10" x14ac:dyDescent="0.3">
      <c r="A174" t="str">
        <f t="shared" si="4"/>
        <v>Bench</v>
      </c>
      <c r="B174">
        <f t="shared" si="5"/>
        <v>2907</v>
      </c>
      <c r="D174" s="1"/>
      <c r="E174" s="1" t="s">
        <v>96</v>
      </c>
      <c r="F174" s="1">
        <v>179</v>
      </c>
      <c r="G174" s="1">
        <v>5</v>
      </c>
      <c r="H174" s="1">
        <v>18.66</v>
      </c>
      <c r="I174" s="1"/>
      <c r="J174" s="1"/>
    </row>
    <row r="175" spans="1:10" x14ac:dyDescent="0.3">
      <c r="A175" t="str">
        <f t="shared" si="4"/>
        <v>Bench</v>
      </c>
      <c r="B175">
        <f t="shared" si="5"/>
        <v>8407</v>
      </c>
      <c r="D175" s="1"/>
      <c r="E175" s="1" t="s">
        <v>109</v>
      </c>
      <c r="F175" s="1">
        <v>183</v>
      </c>
      <c r="G175" s="1">
        <v>5</v>
      </c>
      <c r="H175" s="1">
        <v>18.489999999999998</v>
      </c>
      <c r="I175" s="1"/>
      <c r="J175" s="1"/>
    </row>
    <row r="176" spans="1:10" x14ac:dyDescent="0.3">
      <c r="A176" t="str">
        <f t="shared" si="4"/>
        <v>Bench</v>
      </c>
      <c r="B176">
        <f t="shared" si="5"/>
        <v>1607</v>
      </c>
      <c r="D176" s="1"/>
      <c r="E176" s="1" t="s">
        <v>137</v>
      </c>
      <c r="F176" s="1">
        <v>197</v>
      </c>
      <c r="G176" s="1">
        <v>11</v>
      </c>
      <c r="H176" s="1">
        <v>17.88</v>
      </c>
      <c r="I176" s="1"/>
      <c r="J176" s="1"/>
    </row>
    <row r="177" spans="1:10" x14ac:dyDescent="0.3">
      <c r="A177" t="str">
        <f t="shared" si="4"/>
        <v>Bench</v>
      </c>
      <c r="B177">
        <f t="shared" si="5"/>
        <v>9407</v>
      </c>
      <c r="D177" s="1"/>
      <c r="E177" s="1" t="s">
        <v>264</v>
      </c>
      <c r="F177" s="1">
        <v>201</v>
      </c>
      <c r="G177" s="1">
        <v>5</v>
      </c>
      <c r="H177" s="1">
        <v>17.690000000000001</v>
      </c>
      <c r="I177" s="1"/>
      <c r="J177" s="1"/>
    </row>
    <row r="178" spans="1:10" x14ac:dyDescent="0.3">
      <c r="A178" t="str">
        <f t="shared" si="4"/>
        <v>Bench</v>
      </c>
      <c r="B178">
        <f t="shared" si="5"/>
        <v>9507</v>
      </c>
      <c r="D178" s="1"/>
      <c r="E178" s="1" t="s">
        <v>85</v>
      </c>
      <c r="F178" s="1">
        <v>210</v>
      </c>
      <c r="G178" s="1">
        <v>6</v>
      </c>
      <c r="H178" s="1">
        <v>17.43</v>
      </c>
      <c r="I178" s="1"/>
      <c r="J178" s="1"/>
    </row>
    <row r="179" spans="1:10" x14ac:dyDescent="0.3">
      <c r="A179" t="str">
        <f t="shared" si="4"/>
        <v>Bench</v>
      </c>
      <c r="B179">
        <f t="shared" si="5"/>
        <v>3607</v>
      </c>
      <c r="D179" s="1"/>
      <c r="E179" s="1" t="s">
        <v>129</v>
      </c>
      <c r="F179" s="1">
        <v>212</v>
      </c>
      <c r="G179" s="1">
        <v>12</v>
      </c>
      <c r="H179" s="1">
        <v>17.37</v>
      </c>
      <c r="I179" s="1"/>
      <c r="J179" s="1"/>
    </row>
    <row r="180" spans="1:10" x14ac:dyDescent="0.3">
      <c r="A180" t="str">
        <f t="shared" si="4"/>
        <v>Bench</v>
      </c>
      <c r="B180">
        <f t="shared" si="5"/>
        <v>5507</v>
      </c>
      <c r="D180" s="1"/>
      <c r="E180" s="1" t="s">
        <v>86</v>
      </c>
      <c r="F180" s="1">
        <v>215</v>
      </c>
      <c r="G180" s="1">
        <v>13</v>
      </c>
      <c r="H180" s="1">
        <v>17.29</v>
      </c>
      <c r="I180" s="1"/>
      <c r="J180" s="1"/>
    </row>
    <row r="181" spans="1:10" x14ac:dyDescent="0.3">
      <c r="A181" t="str">
        <f t="shared" si="4"/>
        <v>Bench</v>
      </c>
      <c r="B181">
        <f t="shared" si="5"/>
        <v>14507</v>
      </c>
      <c r="D181" s="1"/>
      <c r="E181" s="1" t="s">
        <v>402</v>
      </c>
      <c r="F181" s="1">
        <v>216</v>
      </c>
      <c r="G181" s="1">
        <v>7</v>
      </c>
      <c r="H181" s="1">
        <v>17.28</v>
      </c>
      <c r="I181" s="1"/>
      <c r="J181" s="1"/>
    </row>
    <row r="182" spans="1:10" x14ac:dyDescent="0.3">
      <c r="A182" t="str">
        <f t="shared" si="4"/>
        <v>Bench</v>
      </c>
      <c r="B182">
        <f t="shared" si="5"/>
        <v>3207</v>
      </c>
      <c r="D182" s="1"/>
      <c r="E182" s="1" t="s">
        <v>127</v>
      </c>
      <c r="F182" s="1">
        <v>222</v>
      </c>
      <c r="G182" s="1">
        <v>5</v>
      </c>
      <c r="H182" s="1">
        <v>17.03</v>
      </c>
      <c r="I182" s="1"/>
      <c r="J182" s="1"/>
    </row>
    <row r="183" spans="1:10" x14ac:dyDescent="0.3">
      <c r="A183" t="str">
        <f t="shared" si="4"/>
        <v>Bench</v>
      </c>
      <c r="B183">
        <f t="shared" si="5"/>
        <v>18707</v>
      </c>
      <c r="D183" s="1"/>
      <c r="E183" s="1" t="s">
        <v>427</v>
      </c>
      <c r="F183" s="1">
        <v>223</v>
      </c>
      <c r="G183" s="1">
        <v>9</v>
      </c>
      <c r="H183" s="1">
        <v>17</v>
      </c>
      <c r="I183" s="1"/>
      <c r="J183" s="1"/>
    </row>
    <row r="184" spans="1:10" x14ac:dyDescent="0.3">
      <c r="A184" t="str">
        <f t="shared" si="4"/>
        <v>Bench</v>
      </c>
      <c r="B184">
        <f t="shared" si="5"/>
        <v>2807</v>
      </c>
      <c r="D184" s="1"/>
      <c r="E184" s="1" t="s">
        <v>106</v>
      </c>
      <c r="F184" s="1">
        <v>225</v>
      </c>
      <c r="G184" s="1">
        <v>7</v>
      </c>
      <c r="H184" s="1">
        <v>16.95</v>
      </c>
      <c r="I184" s="1"/>
      <c r="J184" s="1"/>
    </row>
    <row r="185" spans="1:10" x14ac:dyDescent="0.3">
      <c r="A185" t="str">
        <f t="shared" si="4"/>
        <v>Bench</v>
      </c>
      <c r="B185">
        <f t="shared" si="5"/>
        <v>707</v>
      </c>
      <c r="D185" s="1"/>
      <c r="E185" s="1" t="s">
        <v>319</v>
      </c>
      <c r="F185" s="1">
        <v>226</v>
      </c>
      <c r="G185" s="1">
        <v>6</v>
      </c>
      <c r="H185" s="1">
        <v>16.940000000000001</v>
      </c>
      <c r="I185" s="1"/>
      <c r="J185" s="1"/>
    </row>
    <row r="186" spans="1:10" x14ac:dyDescent="0.3">
      <c r="A186" t="str">
        <f t="shared" si="4"/>
        <v>Bench</v>
      </c>
      <c r="B186">
        <f t="shared" si="5"/>
        <v>607</v>
      </c>
      <c r="D186" s="1"/>
      <c r="E186" s="1" t="s">
        <v>100</v>
      </c>
      <c r="F186" s="1">
        <v>249</v>
      </c>
      <c r="G186" s="1">
        <v>10</v>
      </c>
      <c r="H186" s="1">
        <v>15.94</v>
      </c>
      <c r="I186" s="1"/>
      <c r="J186" s="1"/>
    </row>
    <row r="187" spans="1:10" x14ac:dyDescent="0.3">
      <c r="A187" t="str">
        <f t="shared" si="4"/>
        <v>Bench</v>
      </c>
      <c r="B187">
        <f t="shared" si="5"/>
        <v>5307</v>
      </c>
      <c r="D187" s="1"/>
      <c r="E187" s="1" t="s">
        <v>242</v>
      </c>
      <c r="F187" s="1">
        <v>259</v>
      </c>
      <c r="G187" s="1">
        <v>5</v>
      </c>
      <c r="H187" s="1">
        <v>15.72</v>
      </c>
      <c r="I187" s="1"/>
      <c r="J187" s="1"/>
    </row>
    <row r="188" spans="1:10" x14ac:dyDescent="0.3">
      <c r="A188" t="str">
        <f t="shared" si="4"/>
        <v>Bench</v>
      </c>
      <c r="B188">
        <f t="shared" si="5"/>
        <v>18807</v>
      </c>
      <c r="D188" s="1"/>
      <c r="E188" s="1" t="s">
        <v>424</v>
      </c>
      <c r="F188" s="1">
        <v>261</v>
      </c>
      <c r="G188" s="1">
        <v>8</v>
      </c>
      <c r="H188" s="1">
        <v>15.66</v>
      </c>
      <c r="I188" s="1"/>
      <c r="J188" s="1"/>
    </row>
    <row r="189" spans="1:10" x14ac:dyDescent="0.3">
      <c r="A189" t="str">
        <f t="shared" si="4"/>
        <v>Bench</v>
      </c>
      <c r="B189">
        <f t="shared" si="5"/>
        <v>2607</v>
      </c>
      <c r="D189" s="1"/>
      <c r="E189" s="1" t="s">
        <v>80</v>
      </c>
      <c r="F189" s="1">
        <v>264</v>
      </c>
      <c r="G189" s="1">
        <v>6</v>
      </c>
      <c r="H189" s="1">
        <v>15.61</v>
      </c>
      <c r="I189" s="1"/>
      <c r="J189" s="1"/>
    </row>
    <row r="190" spans="1:10" x14ac:dyDescent="0.3">
      <c r="A190" t="str">
        <f t="shared" si="4"/>
        <v>Bench</v>
      </c>
      <c r="B190">
        <f t="shared" si="5"/>
        <v>6807</v>
      </c>
      <c r="D190" s="1"/>
      <c r="E190" s="1" t="s">
        <v>248</v>
      </c>
      <c r="F190" s="1">
        <v>266</v>
      </c>
      <c r="G190" s="1">
        <v>6</v>
      </c>
      <c r="H190" s="1">
        <v>15.55</v>
      </c>
      <c r="I190" s="1"/>
      <c r="J190" s="1"/>
    </row>
    <row r="191" spans="1:10" x14ac:dyDescent="0.3">
      <c r="A191" t="str">
        <f t="shared" si="4"/>
        <v>Bench</v>
      </c>
      <c r="B191">
        <f t="shared" si="5"/>
        <v>14307</v>
      </c>
      <c r="D191" s="1"/>
      <c r="E191" s="1" t="s">
        <v>391</v>
      </c>
      <c r="F191" s="1">
        <v>279</v>
      </c>
      <c r="G191" s="1">
        <v>8</v>
      </c>
      <c r="H191" s="1">
        <v>15.19</v>
      </c>
      <c r="I191" s="1"/>
      <c r="J191" s="1"/>
    </row>
    <row r="192" spans="1:10" x14ac:dyDescent="0.3">
      <c r="A192" t="str">
        <f t="shared" si="4"/>
        <v>Bench</v>
      </c>
      <c r="B192">
        <f t="shared" si="5"/>
        <v>2407</v>
      </c>
      <c r="D192" s="1"/>
      <c r="E192" s="1" t="s">
        <v>330</v>
      </c>
      <c r="F192" s="1">
        <v>280</v>
      </c>
      <c r="G192" s="1">
        <v>9</v>
      </c>
      <c r="H192" s="1">
        <v>15.18</v>
      </c>
      <c r="I192" s="1"/>
      <c r="J192" s="1"/>
    </row>
    <row r="193" spans="1:10" x14ac:dyDescent="0.3">
      <c r="A193" t="str">
        <f t="shared" si="4"/>
        <v>Bench</v>
      </c>
      <c r="B193">
        <f t="shared" si="5"/>
        <v>6207</v>
      </c>
      <c r="D193" s="1"/>
      <c r="E193" s="1" t="s">
        <v>81</v>
      </c>
      <c r="F193" s="1">
        <v>282</v>
      </c>
      <c r="G193" s="1">
        <v>10</v>
      </c>
      <c r="H193" s="1">
        <v>15.12</v>
      </c>
      <c r="I193" s="1"/>
      <c r="J193" s="1"/>
    </row>
    <row r="194" spans="1:10" x14ac:dyDescent="0.3">
      <c r="A194" t="str">
        <f t="shared" ref="A194:A257" si="6">IF(NOT(D194=""),INDEX(statAbbr,MATCH(D194,statOfficial,0),1),A193)</f>
        <v>Bench</v>
      </c>
      <c r="B194">
        <f t="shared" ref="B194:B257" si="7">INDEX(statID,MATCH(A194,statAbbr,0),1)+INDEX(teamID,MATCH(E194,teamRawName,0))</f>
        <v>11807</v>
      </c>
      <c r="D194" s="1"/>
      <c r="E194" s="1" t="s">
        <v>281</v>
      </c>
      <c r="F194" s="1">
        <v>284</v>
      </c>
      <c r="G194" s="1">
        <v>12</v>
      </c>
      <c r="H194" s="1">
        <v>14.97</v>
      </c>
      <c r="I194" s="1"/>
      <c r="J194" s="1"/>
    </row>
    <row r="195" spans="1:10" x14ac:dyDescent="0.3">
      <c r="A195" t="str">
        <f t="shared" si="6"/>
        <v>Bench</v>
      </c>
      <c r="B195">
        <f t="shared" si="7"/>
        <v>18907</v>
      </c>
      <c r="D195" s="1"/>
      <c r="E195" s="1" t="s">
        <v>422</v>
      </c>
      <c r="F195" s="1">
        <v>287</v>
      </c>
      <c r="G195" s="1">
        <v>6</v>
      </c>
      <c r="H195" s="1">
        <v>14.94</v>
      </c>
      <c r="I195" s="1"/>
      <c r="J195" s="1"/>
    </row>
    <row r="196" spans="1:10" x14ac:dyDescent="0.3">
      <c r="A196" t="str">
        <f t="shared" si="6"/>
        <v>Bench</v>
      </c>
      <c r="B196">
        <f t="shared" si="7"/>
        <v>2507</v>
      </c>
      <c r="D196" s="1"/>
      <c r="E196" s="1" t="s">
        <v>92</v>
      </c>
      <c r="F196" s="1">
        <v>292</v>
      </c>
      <c r="G196" s="1">
        <v>9</v>
      </c>
      <c r="H196" s="1">
        <v>14.83</v>
      </c>
      <c r="I196" s="1"/>
      <c r="J196" s="1"/>
    </row>
    <row r="197" spans="1:10" x14ac:dyDescent="0.3">
      <c r="A197" t="str">
        <f t="shared" si="6"/>
        <v>Bench</v>
      </c>
      <c r="B197">
        <f t="shared" si="7"/>
        <v>4607</v>
      </c>
      <c r="D197" s="1"/>
      <c r="E197" s="1" t="s">
        <v>101</v>
      </c>
      <c r="F197" s="1">
        <v>298</v>
      </c>
      <c r="G197" s="1">
        <v>9</v>
      </c>
      <c r="H197" s="1">
        <v>14.55</v>
      </c>
      <c r="I197" s="1"/>
      <c r="J197" s="1"/>
    </row>
    <row r="198" spans="1:10" x14ac:dyDescent="0.3">
      <c r="A198" t="str">
        <f t="shared" si="6"/>
        <v>Bench</v>
      </c>
      <c r="B198">
        <f t="shared" si="7"/>
        <v>1907</v>
      </c>
      <c r="D198" s="1"/>
      <c r="E198" s="1" t="s">
        <v>112</v>
      </c>
      <c r="F198" s="1">
        <v>310</v>
      </c>
      <c r="G198" s="1">
        <v>9</v>
      </c>
      <c r="H198" s="1">
        <v>13.91</v>
      </c>
      <c r="I198" s="1"/>
      <c r="J198" s="1"/>
    </row>
    <row r="199" spans="1:10" x14ac:dyDescent="0.3">
      <c r="A199" t="str">
        <f t="shared" si="6"/>
        <v>Bench</v>
      </c>
      <c r="B199">
        <f t="shared" si="7"/>
        <v>907</v>
      </c>
      <c r="D199" s="1"/>
      <c r="E199" s="1" t="s">
        <v>90</v>
      </c>
      <c r="F199" s="1">
        <v>315</v>
      </c>
      <c r="G199" s="1">
        <v>11</v>
      </c>
      <c r="H199" s="1">
        <v>13.68</v>
      </c>
      <c r="I199" s="1"/>
      <c r="J199" s="1"/>
    </row>
    <row r="200" spans="1:10" x14ac:dyDescent="0.3">
      <c r="A200" t="str">
        <f t="shared" si="6"/>
        <v>Bench</v>
      </c>
      <c r="B200">
        <f t="shared" si="7"/>
        <v>11107</v>
      </c>
      <c r="D200" s="1"/>
      <c r="E200" s="1" t="s">
        <v>277</v>
      </c>
      <c r="F200" s="1">
        <v>318</v>
      </c>
      <c r="G200" s="1">
        <v>12</v>
      </c>
      <c r="H200" s="1">
        <v>13.26</v>
      </c>
      <c r="I200" s="1"/>
      <c r="J200" s="1"/>
    </row>
    <row r="201" spans="1:10" x14ac:dyDescent="0.3">
      <c r="A201" t="str">
        <f t="shared" si="6"/>
        <v>Bench</v>
      </c>
      <c r="B201">
        <f t="shared" si="7"/>
        <v>8607</v>
      </c>
      <c r="D201" s="1"/>
      <c r="E201" s="1" t="s">
        <v>259</v>
      </c>
      <c r="F201" s="1">
        <v>320</v>
      </c>
      <c r="G201" s="1">
        <v>10</v>
      </c>
      <c r="H201" s="1">
        <v>13.2</v>
      </c>
      <c r="I201" s="1"/>
      <c r="J201" s="1"/>
    </row>
    <row r="202" spans="1:10" x14ac:dyDescent="0.3">
      <c r="A202" t="str">
        <f t="shared" si="6"/>
        <v>Bench</v>
      </c>
      <c r="B202">
        <f t="shared" si="7"/>
        <v>107</v>
      </c>
      <c r="D202" s="1"/>
      <c r="E202" s="1" t="s">
        <v>312</v>
      </c>
      <c r="F202" s="1">
        <v>321</v>
      </c>
      <c r="G202" s="1">
        <v>11</v>
      </c>
      <c r="H202" s="1">
        <v>13.11</v>
      </c>
      <c r="I202" s="1"/>
      <c r="J202" s="1"/>
    </row>
    <row r="203" spans="1:10" x14ac:dyDescent="0.3">
      <c r="A203" t="str">
        <f t="shared" si="6"/>
        <v>Bench</v>
      </c>
      <c r="B203">
        <f t="shared" si="7"/>
        <v>9007</v>
      </c>
      <c r="D203" s="1"/>
      <c r="E203" s="1" t="s">
        <v>261</v>
      </c>
      <c r="F203" s="1">
        <v>325</v>
      </c>
      <c r="G203" s="1">
        <v>11</v>
      </c>
      <c r="H203" s="1">
        <v>12.73</v>
      </c>
      <c r="I203" s="1"/>
      <c r="J203" s="1"/>
    </row>
    <row r="204" spans="1:10" x14ac:dyDescent="0.3">
      <c r="A204" t="str">
        <f t="shared" si="6"/>
        <v>Bench</v>
      </c>
      <c r="B204">
        <f t="shared" si="7"/>
        <v>7407</v>
      </c>
      <c r="D204" s="1"/>
      <c r="E204" s="1" t="s">
        <v>251</v>
      </c>
      <c r="F204" s="1">
        <v>328</v>
      </c>
      <c r="G204" s="1">
        <v>8</v>
      </c>
      <c r="H204" s="1">
        <v>12.41</v>
      </c>
      <c r="I204" s="1"/>
      <c r="J204" s="1"/>
    </row>
    <row r="205" spans="1:10" x14ac:dyDescent="0.3">
      <c r="A205" t="str">
        <f t="shared" si="6"/>
        <v>Bench</v>
      </c>
      <c r="B205">
        <f t="shared" si="7"/>
        <v>3907</v>
      </c>
      <c r="D205" s="1"/>
      <c r="E205" s="1" t="s">
        <v>88</v>
      </c>
      <c r="F205" s="1">
        <v>345</v>
      </c>
      <c r="G205" s="1">
        <v>11</v>
      </c>
      <c r="H205" s="1">
        <v>10.89</v>
      </c>
      <c r="I205" s="1"/>
      <c r="J205" s="1"/>
    </row>
    <row r="206" spans="1:10" x14ac:dyDescent="0.3">
      <c r="A206" t="str">
        <f t="shared" si="6"/>
        <v>Bench</v>
      </c>
      <c r="B206">
        <f t="shared" si="7"/>
        <v>3107</v>
      </c>
      <c r="D206" s="1"/>
      <c r="E206" s="1" t="s">
        <v>93</v>
      </c>
      <c r="F206" s="1">
        <v>346</v>
      </c>
      <c r="G206" s="1">
        <v>11</v>
      </c>
      <c r="H206" s="1">
        <v>10.59</v>
      </c>
      <c r="I206" s="1"/>
      <c r="J206" s="1"/>
    </row>
    <row r="207" spans="1:10" x14ac:dyDescent="0.3">
      <c r="A207" t="str">
        <f t="shared" si="6"/>
        <v>Bench</v>
      </c>
      <c r="B207">
        <f t="shared" si="7"/>
        <v>2107</v>
      </c>
      <c r="D207" s="1"/>
      <c r="E207" s="1" t="s">
        <v>136</v>
      </c>
      <c r="F207" s="1">
        <v>347</v>
      </c>
      <c r="G207" s="1">
        <v>11</v>
      </c>
      <c r="H207" s="1">
        <v>10.59</v>
      </c>
      <c r="I207" s="1"/>
      <c r="J207" s="1"/>
    </row>
    <row r="208" spans="1:10" x14ac:dyDescent="0.3">
      <c r="A208" t="str">
        <f t="shared" si="6"/>
        <v>BPG</v>
      </c>
      <c r="B208">
        <f t="shared" si="7"/>
        <v>4308</v>
      </c>
      <c r="D208" s="1" t="s">
        <v>431</v>
      </c>
      <c r="E208" s="1" t="s">
        <v>125</v>
      </c>
      <c r="F208" s="1">
        <v>2</v>
      </c>
      <c r="G208" s="1">
        <v>1</v>
      </c>
      <c r="H208" s="1">
        <v>5.6</v>
      </c>
      <c r="I208" s="1" t="s">
        <v>432</v>
      </c>
      <c r="J208" s="1">
        <v>6.5</v>
      </c>
    </row>
    <row r="209" spans="1:10" x14ac:dyDescent="0.3">
      <c r="A209" t="str">
        <f t="shared" si="6"/>
        <v>BPG</v>
      </c>
      <c r="B209">
        <f t="shared" si="7"/>
        <v>8608</v>
      </c>
      <c r="D209" s="1"/>
      <c r="E209" s="1" t="s">
        <v>259</v>
      </c>
      <c r="F209" s="1">
        <v>3</v>
      </c>
      <c r="G209" s="1">
        <v>1</v>
      </c>
      <c r="H209" s="1">
        <v>5.5</v>
      </c>
      <c r="I209" s="1"/>
      <c r="J209" s="1"/>
    </row>
    <row r="210" spans="1:10" x14ac:dyDescent="0.3">
      <c r="A210" t="str">
        <f t="shared" si="6"/>
        <v>BPG</v>
      </c>
      <c r="B210">
        <f t="shared" si="7"/>
        <v>18508</v>
      </c>
      <c r="D210" s="1"/>
      <c r="E210" s="1" t="s">
        <v>420</v>
      </c>
      <c r="F210" s="1">
        <v>5</v>
      </c>
      <c r="G210" s="1">
        <v>1</v>
      </c>
      <c r="H210" s="1">
        <v>5.4</v>
      </c>
      <c r="I210" s="1"/>
      <c r="J210" s="1"/>
    </row>
    <row r="211" spans="1:10" x14ac:dyDescent="0.3">
      <c r="A211" t="str">
        <f t="shared" si="6"/>
        <v>BPG</v>
      </c>
      <c r="B211">
        <f t="shared" si="7"/>
        <v>3708</v>
      </c>
      <c r="D211" s="1"/>
      <c r="E211" s="1" t="s">
        <v>115</v>
      </c>
      <c r="F211" s="1">
        <v>10</v>
      </c>
      <c r="G211" s="1">
        <v>2</v>
      </c>
      <c r="H211" s="1">
        <v>5.0999999999999996</v>
      </c>
      <c r="I211" s="1"/>
      <c r="J211" s="1"/>
    </row>
    <row r="212" spans="1:10" x14ac:dyDescent="0.3">
      <c r="A212" t="str">
        <f t="shared" si="6"/>
        <v>BPG</v>
      </c>
      <c r="B212">
        <f t="shared" si="7"/>
        <v>2408</v>
      </c>
      <c r="D212" s="1"/>
      <c r="E212" s="1" t="s">
        <v>330</v>
      </c>
      <c r="F212" s="1">
        <v>11</v>
      </c>
      <c r="G212" s="1">
        <v>2</v>
      </c>
      <c r="H212" s="1">
        <v>5.0999999999999996</v>
      </c>
      <c r="I212" s="1"/>
      <c r="J212" s="1"/>
    </row>
    <row r="213" spans="1:10" x14ac:dyDescent="0.3">
      <c r="A213" t="str">
        <f t="shared" si="6"/>
        <v>BPG</v>
      </c>
      <c r="B213">
        <f t="shared" si="7"/>
        <v>4508</v>
      </c>
      <c r="D213" s="1"/>
      <c r="E213" s="1" t="s">
        <v>84</v>
      </c>
      <c r="F213" s="1">
        <v>12</v>
      </c>
      <c r="G213" s="1">
        <v>3</v>
      </c>
      <c r="H213" s="1">
        <v>5.0999999999999996</v>
      </c>
      <c r="I213" s="1"/>
      <c r="J213" s="1"/>
    </row>
    <row r="214" spans="1:10" x14ac:dyDescent="0.3">
      <c r="A214" t="str">
        <f t="shared" si="6"/>
        <v>BPG</v>
      </c>
      <c r="B214">
        <f t="shared" si="7"/>
        <v>9408</v>
      </c>
      <c r="D214" s="1"/>
      <c r="E214" s="1" t="s">
        <v>264</v>
      </c>
      <c r="F214" s="1">
        <v>13</v>
      </c>
      <c r="G214" s="1">
        <v>2</v>
      </c>
      <c r="H214" s="1">
        <v>5.0999999999999996</v>
      </c>
      <c r="I214" s="1"/>
      <c r="J214" s="1"/>
    </row>
    <row r="215" spans="1:10" x14ac:dyDescent="0.3">
      <c r="A215" t="str">
        <f t="shared" si="6"/>
        <v>BPG</v>
      </c>
      <c r="B215">
        <f t="shared" si="7"/>
        <v>8108</v>
      </c>
      <c r="D215" s="1"/>
      <c r="E215" s="1" t="s">
        <v>256</v>
      </c>
      <c r="F215" s="1">
        <v>14</v>
      </c>
      <c r="G215" s="1">
        <v>4</v>
      </c>
      <c r="H215" s="1">
        <v>5.0999999999999996</v>
      </c>
      <c r="I215" s="1"/>
      <c r="J215" s="1"/>
    </row>
    <row r="216" spans="1:10" x14ac:dyDescent="0.3">
      <c r="A216" t="str">
        <f t="shared" si="6"/>
        <v>BPG</v>
      </c>
      <c r="B216">
        <f t="shared" si="7"/>
        <v>2808</v>
      </c>
      <c r="D216" s="1"/>
      <c r="E216" s="1" t="s">
        <v>106</v>
      </c>
      <c r="F216" s="1">
        <v>16</v>
      </c>
      <c r="G216" s="1">
        <v>1</v>
      </c>
      <c r="H216" s="1">
        <v>4.9000000000000004</v>
      </c>
      <c r="I216" s="1"/>
      <c r="J216" s="1"/>
    </row>
    <row r="217" spans="1:10" x14ac:dyDescent="0.3">
      <c r="A217" t="str">
        <f t="shared" si="6"/>
        <v>BPG</v>
      </c>
      <c r="B217">
        <f t="shared" si="7"/>
        <v>2308</v>
      </c>
      <c r="D217" s="1"/>
      <c r="E217" s="1" t="s">
        <v>79</v>
      </c>
      <c r="F217" s="1">
        <v>18</v>
      </c>
      <c r="G217" s="1">
        <v>1</v>
      </c>
      <c r="H217" s="1">
        <v>4.9000000000000004</v>
      </c>
      <c r="I217" s="1"/>
      <c r="J217" s="1"/>
    </row>
    <row r="218" spans="1:10" x14ac:dyDescent="0.3">
      <c r="A218" t="str">
        <f t="shared" si="6"/>
        <v>BPG</v>
      </c>
      <c r="B218">
        <f t="shared" si="7"/>
        <v>5608</v>
      </c>
      <c r="D218" s="1"/>
      <c r="E218" s="1" t="s">
        <v>62</v>
      </c>
      <c r="F218" s="1">
        <v>26</v>
      </c>
      <c r="G218" s="1">
        <v>2</v>
      </c>
      <c r="H218" s="1">
        <v>4.7</v>
      </c>
      <c r="I218" s="1"/>
      <c r="J218" s="1"/>
    </row>
    <row r="219" spans="1:10" x14ac:dyDescent="0.3">
      <c r="A219" t="str">
        <f t="shared" si="6"/>
        <v>BPG</v>
      </c>
      <c r="B219">
        <f t="shared" si="7"/>
        <v>14508</v>
      </c>
      <c r="D219" s="1"/>
      <c r="E219" s="1" t="s">
        <v>402</v>
      </c>
      <c r="F219" s="1">
        <v>28</v>
      </c>
      <c r="G219" s="1">
        <v>4</v>
      </c>
      <c r="H219" s="1">
        <v>4.7</v>
      </c>
      <c r="I219" s="1"/>
      <c r="J219" s="1"/>
    </row>
    <row r="220" spans="1:10" x14ac:dyDescent="0.3">
      <c r="A220" t="str">
        <f t="shared" si="6"/>
        <v>BPG</v>
      </c>
      <c r="B220">
        <f t="shared" si="7"/>
        <v>12208</v>
      </c>
      <c r="D220" s="1"/>
      <c r="E220" s="1" t="s">
        <v>284</v>
      </c>
      <c r="F220" s="1">
        <v>32</v>
      </c>
      <c r="G220" s="1">
        <v>2</v>
      </c>
      <c r="H220" s="1">
        <v>4.5999999999999996</v>
      </c>
      <c r="I220" s="1"/>
      <c r="J220" s="1"/>
    </row>
    <row r="221" spans="1:10" x14ac:dyDescent="0.3">
      <c r="A221" t="str">
        <f t="shared" si="6"/>
        <v>BPG</v>
      </c>
      <c r="B221">
        <f t="shared" si="7"/>
        <v>5408</v>
      </c>
      <c r="D221" s="1"/>
      <c r="E221" s="1" t="s">
        <v>94</v>
      </c>
      <c r="F221" s="1">
        <v>37</v>
      </c>
      <c r="G221" s="1">
        <v>2</v>
      </c>
      <c r="H221" s="1">
        <v>4.5</v>
      </c>
      <c r="I221" s="1"/>
      <c r="J221" s="1"/>
    </row>
    <row r="222" spans="1:10" x14ac:dyDescent="0.3">
      <c r="A222" t="str">
        <f t="shared" si="6"/>
        <v>BPG</v>
      </c>
      <c r="B222">
        <f t="shared" si="7"/>
        <v>6608</v>
      </c>
      <c r="D222" s="1"/>
      <c r="E222" s="1" t="s">
        <v>247</v>
      </c>
      <c r="F222" s="1">
        <v>38</v>
      </c>
      <c r="G222" s="1">
        <v>2</v>
      </c>
      <c r="H222" s="1">
        <v>4.5</v>
      </c>
      <c r="I222" s="1"/>
      <c r="J222" s="1"/>
    </row>
    <row r="223" spans="1:10" x14ac:dyDescent="0.3">
      <c r="A223" t="str">
        <f t="shared" si="6"/>
        <v>BPG</v>
      </c>
      <c r="B223">
        <f t="shared" si="7"/>
        <v>1908</v>
      </c>
      <c r="D223" s="1"/>
      <c r="E223" s="1" t="s">
        <v>112</v>
      </c>
      <c r="F223" s="1">
        <v>39</v>
      </c>
      <c r="G223" s="1">
        <v>3</v>
      </c>
      <c r="H223" s="1">
        <v>4.5</v>
      </c>
      <c r="I223" s="1"/>
      <c r="J223" s="1"/>
    </row>
    <row r="224" spans="1:10" x14ac:dyDescent="0.3">
      <c r="A224" t="str">
        <f t="shared" si="6"/>
        <v>BPG</v>
      </c>
      <c r="B224">
        <f t="shared" si="7"/>
        <v>6808</v>
      </c>
      <c r="D224" s="1"/>
      <c r="E224" s="1" t="s">
        <v>248</v>
      </c>
      <c r="F224" s="1">
        <v>40</v>
      </c>
      <c r="G224" s="1">
        <v>4</v>
      </c>
      <c r="H224" s="1">
        <v>4.5</v>
      </c>
      <c r="I224" s="1"/>
      <c r="J224" s="1"/>
    </row>
    <row r="225" spans="1:10" x14ac:dyDescent="0.3">
      <c r="A225" t="str">
        <f t="shared" si="6"/>
        <v>BPG</v>
      </c>
      <c r="B225">
        <f t="shared" si="7"/>
        <v>2608</v>
      </c>
      <c r="D225" s="1"/>
      <c r="E225" s="1" t="s">
        <v>80</v>
      </c>
      <c r="F225" s="1">
        <v>47</v>
      </c>
      <c r="G225" s="1">
        <v>4</v>
      </c>
      <c r="H225" s="1">
        <v>4.3</v>
      </c>
      <c r="I225" s="1"/>
      <c r="J225" s="1"/>
    </row>
    <row r="226" spans="1:10" x14ac:dyDescent="0.3">
      <c r="A226" t="str">
        <f t="shared" si="6"/>
        <v>BPG</v>
      </c>
      <c r="B226">
        <f t="shared" si="7"/>
        <v>3108</v>
      </c>
      <c r="D226" s="1"/>
      <c r="E226" s="1" t="s">
        <v>93</v>
      </c>
      <c r="F226" s="1">
        <v>55</v>
      </c>
      <c r="G226" s="1">
        <v>7</v>
      </c>
      <c r="H226" s="1">
        <v>4.0999999999999996</v>
      </c>
      <c r="I226" s="1"/>
      <c r="J226" s="1"/>
    </row>
    <row r="227" spans="1:10" x14ac:dyDescent="0.3">
      <c r="A227" t="str">
        <f t="shared" si="6"/>
        <v>BPG</v>
      </c>
      <c r="B227">
        <f t="shared" si="7"/>
        <v>5308</v>
      </c>
      <c r="D227" s="1"/>
      <c r="E227" s="1" t="s">
        <v>242</v>
      </c>
      <c r="F227" s="1">
        <v>59</v>
      </c>
      <c r="G227" s="1">
        <v>5</v>
      </c>
      <c r="H227" s="1">
        <v>4.0999999999999996</v>
      </c>
      <c r="I227" s="1"/>
      <c r="J227" s="1"/>
    </row>
    <row r="228" spans="1:10" x14ac:dyDescent="0.3">
      <c r="A228" t="str">
        <f t="shared" si="6"/>
        <v>BPG</v>
      </c>
      <c r="B228">
        <f t="shared" si="7"/>
        <v>18708</v>
      </c>
      <c r="D228" s="1"/>
      <c r="E228" s="1" t="s">
        <v>427</v>
      </c>
      <c r="F228" s="1">
        <v>65</v>
      </c>
      <c r="G228" s="1">
        <v>4</v>
      </c>
      <c r="H228" s="1">
        <v>4</v>
      </c>
      <c r="I228" s="1"/>
      <c r="J228" s="1"/>
    </row>
    <row r="229" spans="1:10" x14ac:dyDescent="0.3">
      <c r="A229" t="str">
        <f t="shared" si="6"/>
        <v>BPG</v>
      </c>
      <c r="B229">
        <f t="shared" si="7"/>
        <v>13408</v>
      </c>
      <c r="D229" s="1"/>
      <c r="E229" s="1" t="s">
        <v>400</v>
      </c>
      <c r="F229" s="1">
        <v>73</v>
      </c>
      <c r="G229" s="1">
        <v>1</v>
      </c>
      <c r="H229" s="1">
        <v>3.9</v>
      </c>
      <c r="I229" s="1"/>
      <c r="J229" s="1"/>
    </row>
    <row r="230" spans="1:10" x14ac:dyDescent="0.3">
      <c r="A230" t="str">
        <f t="shared" si="6"/>
        <v>BPG</v>
      </c>
      <c r="B230">
        <f t="shared" si="7"/>
        <v>6208</v>
      </c>
      <c r="D230" s="1"/>
      <c r="E230" s="1" t="s">
        <v>81</v>
      </c>
      <c r="F230" s="1">
        <v>77</v>
      </c>
      <c r="G230" s="1">
        <v>5</v>
      </c>
      <c r="H230" s="1">
        <v>3.9</v>
      </c>
      <c r="I230" s="1"/>
      <c r="J230" s="1"/>
    </row>
    <row r="231" spans="1:10" x14ac:dyDescent="0.3">
      <c r="A231" t="str">
        <f t="shared" si="6"/>
        <v>BPG</v>
      </c>
      <c r="B231">
        <f t="shared" si="7"/>
        <v>1208</v>
      </c>
      <c r="D231" s="1"/>
      <c r="E231" s="1" t="s">
        <v>130</v>
      </c>
      <c r="F231" s="1">
        <v>81</v>
      </c>
      <c r="G231" s="1">
        <v>4</v>
      </c>
      <c r="H231" s="1">
        <v>3.9</v>
      </c>
      <c r="I231" s="1"/>
      <c r="J231" s="1"/>
    </row>
    <row r="232" spans="1:10" x14ac:dyDescent="0.3">
      <c r="A232" t="str">
        <f t="shared" si="6"/>
        <v>BPG</v>
      </c>
      <c r="B232">
        <f t="shared" si="7"/>
        <v>3908</v>
      </c>
      <c r="D232" s="1"/>
      <c r="E232" s="1" t="s">
        <v>88</v>
      </c>
      <c r="F232" s="1">
        <v>83</v>
      </c>
      <c r="G232" s="1">
        <v>4</v>
      </c>
      <c r="H232" s="1">
        <v>3.9</v>
      </c>
      <c r="I232" s="1"/>
      <c r="J232" s="1"/>
    </row>
    <row r="233" spans="1:10" x14ac:dyDescent="0.3">
      <c r="A233" t="str">
        <f t="shared" si="6"/>
        <v>BPG</v>
      </c>
      <c r="B233">
        <f t="shared" si="7"/>
        <v>9008</v>
      </c>
      <c r="D233" s="1"/>
      <c r="E233" s="1" t="s">
        <v>261</v>
      </c>
      <c r="F233" s="1">
        <v>88</v>
      </c>
      <c r="G233" s="1">
        <v>6</v>
      </c>
      <c r="H233" s="1">
        <v>3.8</v>
      </c>
      <c r="I233" s="1"/>
      <c r="J233" s="1"/>
    </row>
    <row r="234" spans="1:10" x14ac:dyDescent="0.3">
      <c r="A234" t="str">
        <f t="shared" si="6"/>
        <v>BPG</v>
      </c>
      <c r="B234">
        <f t="shared" si="7"/>
        <v>11108</v>
      </c>
      <c r="D234" s="1"/>
      <c r="E234" s="1" t="s">
        <v>277</v>
      </c>
      <c r="F234" s="1">
        <v>104</v>
      </c>
      <c r="G234" s="1">
        <v>8</v>
      </c>
      <c r="H234" s="1">
        <v>3.7</v>
      </c>
      <c r="I234" s="1"/>
      <c r="J234" s="1"/>
    </row>
    <row r="235" spans="1:10" x14ac:dyDescent="0.3">
      <c r="A235" t="str">
        <f t="shared" si="6"/>
        <v>BPG</v>
      </c>
      <c r="B235">
        <f t="shared" si="7"/>
        <v>3008</v>
      </c>
      <c r="D235" s="1"/>
      <c r="E235" s="1" t="s">
        <v>89</v>
      </c>
      <c r="F235" s="1">
        <v>108</v>
      </c>
      <c r="G235" s="1">
        <v>9</v>
      </c>
      <c r="H235" s="1">
        <v>3.7</v>
      </c>
      <c r="I235" s="1"/>
      <c r="J235" s="1"/>
    </row>
    <row r="236" spans="1:10" x14ac:dyDescent="0.3">
      <c r="A236" t="str">
        <f t="shared" si="6"/>
        <v>BPG</v>
      </c>
      <c r="B236">
        <f t="shared" si="7"/>
        <v>5508</v>
      </c>
      <c r="D236" s="1"/>
      <c r="E236" s="1" t="s">
        <v>86</v>
      </c>
      <c r="F236" s="1">
        <v>110</v>
      </c>
      <c r="G236" s="1">
        <v>7</v>
      </c>
      <c r="H236" s="1">
        <v>3.7</v>
      </c>
      <c r="I236" s="1"/>
      <c r="J236" s="1"/>
    </row>
    <row r="237" spans="1:10" x14ac:dyDescent="0.3">
      <c r="A237" t="str">
        <f t="shared" si="6"/>
        <v>BPG</v>
      </c>
      <c r="B237">
        <f t="shared" si="7"/>
        <v>3508</v>
      </c>
      <c r="D237" s="1"/>
      <c r="E237" s="1" t="s">
        <v>87</v>
      </c>
      <c r="F237" s="1">
        <v>114</v>
      </c>
      <c r="G237" s="1">
        <v>8</v>
      </c>
      <c r="H237" s="1">
        <v>3.6</v>
      </c>
      <c r="I237" s="1"/>
      <c r="J237" s="1"/>
    </row>
    <row r="238" spans="1:10" x14ac:dyDescent="0.3">
      <c r="A238" t="str">
        <f t="shared" si="6"/>
        <v>BPG</v>
      </c>
      <c r="B238">
        <f t="shared" si="7"/>
        <v>6708</v>
      </c>
      <c r="D238" s="1"/>
      <c r="E238" s="1" t="s">
        <v>118</v>
      </c>
      <c r="F238" s="1">
        <v>116</v>
      </c>
      <c r="G238" s="1">
        <v>5</v>
      </c>
      <c r="H238" s="1">
        <v>3.6</v>
      </c>
      <c r="I238" s="1"/>
      <c r="J238" s="1"/>
    </row>
    <row r="239" spans="1:10" x14ac:dyDescent="0.3">
      <c r="A239" t="str">
        <f t="shared" si="6"/>
        <v>BPG</v>
      </c>
      <c r="B239">
        <f t="shared" si="7"/>
        <v>2508</v>
      </c>
      <c r="D239" s="1"/>
      <c r="E239" s="1" t="s">
        <v>92</v>
      </c>
      <c r="F239" s="1">
        <v>125</v>
      </c>
      <c r="G239" s="1">
        <v>3</v>
      </c>
      <c r="H239" s="1">
        <v>3.5</v>
      </c>
      <c r="I239" s="1"/>
      <c r="J239" s="1"/>
    </row>
    <row r="240" spans="1:10" x14ac:dyDescent="0.3">
      <c r="A240" t="str">
        <f t="shared" si="6"/>
        <v>BPG</v>
      </c>
      <c r="B240">
        <f t="shared" si="7"/>
        <v>1608</v>
      </c>
      <c r="D240" s="1"/>
      <c r="E240" s="1" t="s">
        <v>137</v>
      </c>
      <c r="F240" s="1">
        <v>128</v>
      </c>
      <c r="G240" s="1">
        <v>9</v>
      </c>
      <c r="H240" s="1">
        <v>3.4</v>
      </c>
      <c r="I240" s="1"/>
      <c r="J240" s="1"/>
    </row>
    <row r="241" spans="1:10" x14ac:dyDescent="0.3">
      <c r="A241" t="str">
        <f t="shared" si="6"/>
        <v>BPG</v>
      </c>
      <c r="B241">
        <f t="shared" si="7"/>
        <v>4408</v>
      </c>
      <c r="D241" s="1"/>
      <c r="E241" s="1" t="s">
        <v>83</v>
      </c>
      <c r="F241" s="1">
        <v>129</v>
      </c>
      <c r="G241" s="1">
        <v>4</v>
      </c>
      <c r="H241" s="1">
        <v>3.4</v>
      </c>
      <c r="I241" s="1"/>
      <c r="J241" s="1"/>
    </row>
    <row r="242" spans="1:10" x14ac:dyDescent="0.3">
      <c r="A242" t="str">
        <f t="shared" si="6"/>
        <v>BPG</v>
      </c>
      <c r="B242">
        <f t="shared" si="7"/>
        <v>5208</v>
      </c>
      <c r="D242" s="1"/>
      <c r="E242" s="1" t="s">
        <v>241</v>
      </c>
      <c r="F242" s="1">
        <v>134</v>
      </c>
      <c r="G242" s="1">
        <v>10</v>
      </c>
      <c r="H242" s="1">
        <v>3.4</v>
      </c>
      <c r="I242" s="1"/>
      <c r="J242" s="1"/>
    </row>
    <row r="243" spans="1:10" x14ac:dyDescent="0.3">
      <c r="A243" t="str">
        <f t="shared" si="6"/>
        <v>BPG</v>
      </c>
      <c r="B243">
        <f t="shared" si="7"/>
        <v>3408</v>
      </c>
      <c r="D243" s="1"/>
      <c r="E243" s="1" t="s">
        <v>237</v>
      </c>
      <c r="F243" s="1">
        <v>139</v>
      </c>
      <c r="G243" s="1">
        <v>4</v>
      </c>
      <c r="H243" s="1">
        <v>3.4</v>
      </c>
      <c r="I243" s="1"/>
      <c r="J243" s="1"/>
    </row>
    <row r="244" spans="1:10" x14ac:dyDescent="0.3">
      <c r="A244" t="str">
        <f t="shared" si="6"/>
        <v>BPG</v>
      </c>
      <c r="B244">
        <f t="shared" si="7"/>
        <v>1408</v>
      </c>
      <c r="D244" s="1"/>
      <c r="E244" s="1" t="s">
        <v>102</v>
      </c>
      <c r="F244" s="1">
        <v>142</v>
      </c>
      <c r="G244" s="1">
        <v>6</v>
      </c>
      <c r="H244" s="1">
        <v>3.3</v>
      </c>
      <c r="I244" s="1"/>
      <c r="J244" s="1"/>
    </row>
    <row r="245" spans="1:10" x14ac:dyDescent="0.3">
      <c r="A245" t="str">
        <f t="shared" si="6"/>
        <v>BPG</v>
      </c>
      <c r="B245">
        <f t="shared" si="7"/>
        <v>11808</v>
      </c>
      <c r="D245" s="1"/>
      <c r="E245" s="1" t="s">
        <v>281</v>
      </c>
      <c r="F245" s="1">
        <v>144</v>
      </c>
      <c r="G245" s="1">
        <v>6</v>
      </c>
      <c r="H245" s="1">
        <v>3.3</v>
      </c>
      <c r="I245" s="1"/>
      <c r="J245" s="1"/>
    </row>
    <row r="246" spans="1:10" x14ac:dyDescent="0.3">
      <c r="A246" t="str">
        <f t="shared" si="6"/>
        <v>BPG</v>
      </c>
      <c r="B246">
        <f t="shared" si="7"/>
        <v>7408</v>
      </c>
      <c r="D246" s="1"/>
      <c r="E246" s="1" t="s">
        <v>251</v>
      </c>
      <c r="F246" s="1">
        <v>152</v>
      </c>
      <c r="G246" s="1">
        <v>9</v>
      </c>
      <c r="H246" s="1">
        <v>3.2</v>
      </c>
      <c r="I246" s="1"/>
      <c r="J246" s="1"/>
    </row>
    <row r="247" spans="1:10" x14ac:dyDescent="0.3">
      <c r="A247" t="str">
        <f t="shared" si="6"/>
        <v>BPG</v>
      </c>
      <c r="B247">
        <f t="shared" si="7"/>
        <v>19108</v>
      </c>
      <c r="D247" s="1"/>
      <c r="E247" s="1" t="s">
        <v>421</v>
      </c>
      <c r="F247" s="1">
        <v>161</v>
      </c>
      <c r="G247" s="1">
        <v>2</v>
      </c>
      <c r="H247" s="1">
        <v>3.2</v>
      </c>
      <c r="I247" s="1"/>
      <c r="J247" s="1"/>
    </row>
    <row r="248" spans="1:10" x14ac:dyDescent="0.3">
      <c r="A248" t="str">
        <f t="shared" si="6"/>
        <v>BPG</v>
      </c>
      <c r="B248">
        <f t="shared" si="7"/>
        <v>5808</v>
      </c>
      <c r="D248" s="1"/>
      <c r="E248" s="1" t="s">
        <v>139</v>
      </c>
      <c r="F248" s="1">
        <v>161</v>
      </c>
      <c r="G248" s="1">
        <v>4</v>
      </c>
      <c r="H248" s="1">
        <v>3.2</v>
      </c>
      <c r="I248" s="1"/>
      <c r="J248" s="1"/>
    </row>
    <row r="249" spans="1:10" x14ac:dyDescent="0.3">
      <c r="A249" t="str">
        <f t="shared" si="6"/>
        <v>BPG</v>
      </c>
      <c r="B249">
        <f t="shared" si="7"/>
        <v>15208</v>
      </c>
      <c r="D249" s="1"/>
      <c r="E249" s="1" t="s">
        <v>426</v>
      </c>
      <c r="F249" s="1">
        <v>161</v>
      </c>
      <c r="G249" s="1">
        <v>6</v>
      </c>
      <c r="H249" s="1">
        <v>3.2</v>
      </c>
      <c r="I249" s="1"/>
      <c r="J249" s="1"/>
    </row>
    <row r="250" spans="1:10" x14ac:dyDescent="0.3">
      <c r="A250" t="str">
        <f t="shared" si="6"/>
        <v>BPG</v>
      </c>
      <c r="B250">
        <f t="shared" si="7"/>
        <v>2908</v>
      </c>
      <c r="D250" s="1"/>
      <c r="E250" s="1" t="s">
        <v>96</v>
      </c>
      <c r="F250" s="1">
        <v>175</v>
      </c>
      <c r="G250" s="1">
        <v>9</v>
      </c>
      <c r="H250" s="1">
        <v>3.1</v>
      </c>
      <c r="I250" s="1"/>
      <c r="J250" s="1"/>
    </row>
    <row r="251" spans="1:10" x14ac:dyDescent="0.3">
      <c r="A251" t="str">
        <f t="shared" si="6"/>
        <v>BPG</v>
      </c>
      <c r="B251">
        <f t="shared" si="7"/>
        <v>11508</v>
      </c>
      <c r="D251" s="1"/>
      <c r="E251" s="1" t="s">
        <v>97</v>
      </c>
      <c r="F251" s="1">
        <v>179</v>
      </c>
      <c r="G251" s="1">
        <v>7</v>
      </c>
      <c r="H251" s="1">
        <v>3.1</v>
      </c>
      <c r="I251" s="1"/>
      <c r="J251" s="1"/>
    </row>
    <row r="252" spans="1:10" x14ac:dyDescent="0.3">
      <c r="A252" t="str">
        <f t="shared" si="6"/>
        <v>BPG</v>
      </c>
      <c r="B252">
        <f t="shared" si="7"/>
        <v>8808</v>
      </c>
      <c r="D252" s="1"/>
      <c r="E252" s="1" t="s">
        <v>141</v>
      </c>
      <c r="F252" s="1">
        <v>179</v>
      </c>
      <c r="G252" s="1">
        <v>5</v>
      </c>
      <c r="H252" s="1">
        <v>3.1</v>
      </c>
      <c r="I252" s="1"/>
      <c r="J252" s="1"/>
    </row>
    <row r="253" spans="1:10" x14ac:dyDescent="0.3">
      <c r="A253" t="str">
        <f t="shared" si="6"/>
        <v>BPG</v>
      </c>
      <c r="B253">
        <f t="shared" si="7"/>
        <v>108</v>
      </c>
      <c r="D253" s="1"/>
      <c r="E253" s="1" t="s">
        <v>312</v>
      </c>
      <c r="F253" s="1">
        <v>181</v>
      </c>
      <c r="G253" s="1">
        <v>12</v>
      </c>
      <c r="H253" s="1">
        <v>3.1</v>
      </c>
      <c r="I253" s="1"/>
      <c r="J253" s="1"/>
    </row>
    <row r="254" spans="1:10" x14ac:dyDescent="0.3">
      <c r="A254" t="str">
        <f t="shared" si="6"/>
        <v>BPG</v>
      </c>
      <c r="B254">
        <f t="shared" si="7"/>
        <v>13308</v>
      </c>
      <c r="D254" s="1"/>
      <c r="E254" s="1" t="s">
        <v>291</v>
      </c>
      <c r="F254" s="1">
        <v>192</v>
      </c>
      <c r="G254" s="1">
        <v>6</v>
      </c>
      <c r="H254" s="1">
        <v>3.1</v>
      </c>
      <c r="I254" s="1"/>
      <c r="J254" s="1"/>
    </row>
    <row r="255" spans="1:10" x14ac:dyDescent="0.3">
      <c r="A255" t="str">
        <f t="shared" si="6"/>
        <v>BPG</v>
      </c>
      <c r="B255">
        <f t="shared" si="7"/>
        <v>4608</v>
      </c>
      <c r="D255" s="1"/>
      <c r="E255" s="1" t="s">
        <v>101</v>
      </c>
      <c r="F255" s="1">
        <v>196</v>
      </c>
      <c r="G255" s="1">
        <v>8</v>
      </c>
      <c r="H255" s="1">
        <v>3</v>
      </c>
      <c r="I255" s="1"/>
      <c r="J255" s="1"/>
    </row>
    <row r="256" spans="1:10" x14ac:dyDescent="0.3">
      <c r="A256" t="str">
        <f t="shared" si="6"/>
        <v>BPG</v>
      </c>
      <c r="B256">
        <f t="shared" si="7"/>
        <v>3308</v>
      </c>
      <c r="D256" s="1"/>
      <c r="E256" s="1" t="s">
        <v>91</v>
      </c>
      <c r="F256" s="1">
        <v>198</v>
      </c>
      <c r="G256" s="1">
        <v>10</v>
      </c>
      <c r="H256" s="1">
        <v>3</v>
      </c>
      <c r="I256" s="1"/>
      <c r="J256" s="1"/>
    </row>
    <row r="257" spans="1:10" x14ac:dyDescent="0.3">
      <c r="A257" t="str">
        <f t="shared" si="6"/>
        <v>BPG</v>
      </c>
      <c r="B257">
        <f t="shared" si="7"/>
        <v>19008</v>
      </c>
      <c r="D257" s="1"/>
      <c r="E257" s="1" t="s">
        <v>176</v>
      </c>
      <c r="F257" s="1">
        <v>198</v>
      </c>
      <c r="G257" s="1">
        <v>10</v>
      </c>
      <c r="H257" s="1">
        <v>3</v>
      </c>
      <c r="I257" s="1"/>
      <c r="J257" s="1"/>
    </row>
    <row r="258" spans="1:10" x14ac:dyDescent="0.3">
      <c r="A258" t="str">
        <f t="shared" ref="A258:A321" si="8">IF(NOT(D258=""),INDEX(statAbbr,MATCH(D258,statOfficial,0),1),A257)</f>
        <v>BPG</v>
      </c>
      <c r="B258">
        <f t="shared" ref="B258:B321" si="9">INDEX(statID,MATCH(A258,statAbbr,0),1)+INDEX(teamID,MATCH(E258,teamRawName,0))</f>
        <v>908</v>
      </c>
      <c r="D258" s="1"/>
      <c r="E258" s="1" t="s">
        <v>90</v>
      </c>
      <c r="F258" s="1">
        <v>198</v>
      </c>
      <c r="G258" s="1">
        <v>11</v>
      </c>
      <c r="H258" s="1">
        <v>3</v>
      </c>
      <c r="I258" s="1"/>
      <c r="J258" s="1"/>
    </row>
    <row r="259" spans="1:10" x14ac:dyDescent="0.3">
      <c r="A259" t="str">
        <f t="shared" si="8"/>
        <v>BPG</v>
      </c>
      <c r="B259">
        <f t="shared" si="9"/>
        <v>12008</v>
      </c>
      <c r="D259" s="1"/>
      <c r="E259" s="1" t="s">
        <v>135</v>
      </c>
      <c r="F259" s="1">
        <v>205</v>
      </c>
      <c r="G259" s="1">
        <v>3</v>
      </c>
      <c r="H259" s="1">
        <v>3</v>
      </c>
      <c r="I259" s="1"/>
      <c r="J259" s="1"/>
    </row>
    <row r="260" spans="1:10" x14ac:dyDescent="0.3">
      <c r="A260" t="str">
        <f t="shared" si="8"/>
        <v>BPG</v>
      </c>
      <c r="B260">
        <f t="shared" si="9"/>
        <v>608</v>
      </c>
      <c r="D260" s="1"/>
      <c r="E260" s="1" t="s">
        <v>100</v>
      </c>
      <c r="F260" s="1">
        <v>211</v>
      </c>
      <c r="G260" s="1">
        <v>8</v>
      </c>
      <c r="H260" s="1">
        <v>2.9</v>
      </c>
      <c r="I260" s="1"/>
      <c r="J260" s="1"/>
    </row>
    <row r="261" spans="1:10" x14ac:dyDescent="0.3">
      <c r="A261" t="str">
        <f t="shared" si="8"/>
        <v>BPG</v>
      </c>
      <c r="B261">
        <f t="shared" si="9"/>
        <v>7908</v>
      </c>
      <c r="D261" s="1"/>
      <c r="E261" s="1" t="s">
        <v>103</v>
      </c>
      <c r="F261" s="1">
        <v>213</v>
      </c>
      <c r="G261" s="1">
        <v>4</v>
      </c>
      <c r="H261" s="1">
        <v>2.9</v>
      </c>
      <c r="I261" s="1"/>
      <c r="J261" s="1"/>
    </row>
    <row r="262" spans="1:10" x14ac:dyDescent="0.3">
      <c r="A262" t="str">
        <f t="shared" si="8"/>
        <v>BPG</v>
      </c>
      <c r="B262">
        <f t="shared" si="9"/>
        <v>8408</v>
      </c>
      <c r="D262" s="1"/>
      <c r="E262" s="1" t="s">
        <v>109</v>
      </c>
      <c r="F262" s="1">
        <v>217</v>
      </c>
      <c r="G262" s="1">
        <v>4</v>
      </c>
      <c r="H262" s="1">
        <v>2.9</v>
      </c>
      <c r="I262" s="1"/>
      <c r="J262" s="1"/>
    </row>
    <row r="263" spans="1:10" x14ac:dyDescent="0.3">
      <c r="A263" t="str">
        <f t="shared" si="8"/>
        <v>BPG</v>
      </c>
      <c r="B263">
        <f t="shared" si="9"/>
        <v>2108</v>
      </c>
      <c r="D263" s="1"/>
      <c r="E263" s="1" t="s">
        <v>136</v>
      </c>
      <c r="F263" s="1">
        <v>218</v>
      </c>
      <c r="G263" s="1">
        <v>9</v>
      </c>
      <c r="H263" s="1">
        <v>2.9</v>
      </c>
      <c r="I263" s="1"/>
      <c r="J263" s="1"/>
    </row>
    <row r="264" spans="1:10" x14ac:dyDescent="0.3">
      <c r="A264" t="str">
        <f t="shared" si="8"/>
        <v>BPG</v>
      </c>
      <c r="B264">
        <f t="shared" si="9"/>
        <v>708</v>
      </c>
      <c r="D264" s="1"/>
      <c r="E264" s="1" t="s">
        <v>319</v>
      </c>
      <c r="F264" s="1">
        <v>230</v>
      </c>
      <c r="G264" s="1">
        <v>10</v>
      </c>
      <c r="H264" s="1">
        <v>2.8</v>
      </c>
      <c r="I264" s="1"/>
      <c r="J264" s="1"/>
    </row>
    <row r="265" spans="1:10" x14ac:dyDescent="0.3">
      <c r="A265" t="str">
        <f t="shared" si="8"/>
        <v>BPG</v>
      </c>
      <c r="B265">
        <f t="shared" si="9"/>
        <v>18608</v>
      </c>
      <c r="D265" s="1"/>
      <c r="E265" s="1" t="s">
        <v>425</v>
      </c>
      <c r="F265" s="1">
        <v>235</v>
      </c>
      <c r="G265" s="1">
        <v>9</v>
      </c>
      <c r="H265" s="1">
        <v>2.7</v>
      </c>
      <c r="I265" s="1"/>
      <c r="J265" s="1"/>
    </row>
    <row r="266" spans="1:10" x14ac:dyDescent="0.3">
      <c r="A266" t="str">
        <f t="shared" si="8"/>
        <v>BPG</v>
      </c>
      <c r="B266">
        <f t="shared" si="9"/>
        <v>14108</v>
      </c>
      <c r="D266" s="1"/>
      <c r="E266" s="1" t="s">
        <v>299</v>
      </c>
      <c r="F266" s="1">
        <v>240</v>
      </c>
      <c r="G266" s="1">
        <v>10</v>
      </c>
      <c r="H266" s="1">
        <v>2.7</v>
      </c>
      <c r="I266" s="1"/>
      <c r="J266" s="1"/>
    </row>
    <row r="267" spans="1:10" x14ac:dyDescent="0.3">
      <c r="A267" t="str">
        <f t="shared" si="8"/>
        <v>BPG</v>
      </c>
      <c r="B267">
        <f t="shared" si="9"/>
        <v>9508</v>
      </c>
      <c r="D267" s="1"/>
      <c r="E267" s="1" t="s">
        <v>85</v>
      </c>
      <c r="F267" s="1">
        <v>255</v>
      </c>
      <c r="G267" s="1">
        <v>6</v>
      </c>
      <c r="H267" s="1">
        <v>2.6</v>
      </c>
      <c r="I267" s="1"/>
      <c r="J267" s="1"/>
    </row>
    <row r="268" spans="1:10" x14ac:dyDescent="0.3">
      <c r="A268" t="str">
        <f t="shared" si="8"/>
        <v>BPG</v>
      </c>
      <c r="B268">
        <f t="shared" si="9"/>
        <v>2208</v>
      </c>
      <c r="D268" s="1"/>
      <c r="E268" s="1" t="s">
        <v>119</v>
      </c>
      <c r="F268" s="1">
        <v>268</v>
      </c>
      <c r="G268" s="1">
        <v>8</v>
      </c>
      <c r="H268" s="1">
        <v>2.6</v>
      </c>
      <c r="I268" s="1"/>
      <c r="J268" s="1"/>
    </row>
    <row r="269" spans="1:10" x14ac:dyDescent="0.3">
      <c r="A269" t="str">
        <f t="shared" si="8"/>
        <v>BPG</v>
      </c>
      <c r="B269">
        <f t="shared" si="9"/>
        <v>18808</v>
      </c>
      <c r="D269" s="1"/>
      <c r="E269" s="1" t="s">
        <v>424</v>
      </c>
      <c r="F269" s="1">
        <v>271</v>
      </c>
      <c r="G269" s="1">
        <v>7</v>
      </c>
      <c r="H269" s="1">
        <v>2.5</v>
      </c>
      <c r="I269" s="1"/>
      <c r="J269" s="1"/>
    </row>
    <row r="270" spans="1:10" x14ac:dyDescent="0.3">
      <c r="A270" t="str">
        <f t="shared" si="8"/>
        <v>BPG</v>
      </c>
      <c r="B270">
        <f t="shared" si="9"/>
        <v>18908</v>
      </c>
      <c r="D270" s="1"/>
      <c r="E270" s="1" t="s">
        <v>422</v>
      </c>
      <c r="F270" s="1">
        <v>282</v>
      </c>
      <c r="G270" s="1">
        <v>7</v>
      </c>
      <c r="H270" s="1">
        <v>2.5</v>
      </c>
      <c r="I270" s="1"/>
      <c r="J270" s="1"/>
    </row>
    <row r="271" spans="1:10" x14ac:dyDescent="0.3">
      <c r="A271" t="str">
        <f t="shared" si="8"/>
        <v>BPG</v>
      </c>
      <c r="B271">
        <f t="shared" si="9"/>
        <v>3208</v>
      </c>
      <c r="D271" s="1"/>
      <c r="E271" s="1" t="s">
        <v>127</v>
      </c>
      <c r="F271" s="1">
        <v>292</v>
      </c>
      <c r="G271" s="1">
        <v>11</v>
      </c>
      <c r="H271" s="1">
        <v>2.4</v>
      </c>
      <c r="I271" s="1"/>
      <c r="J271" s="1"/>
    </row>
    <row r="272" spans="1:10" x14ac:dyDescent="0.3">
      <c r="A272" t="str">
        <f t="shared" si="8"/>
        <v>BPG</v>
      </c>
      <c r="B272">
        <f t="shared" si="9"/>
        <v>3608</v>
      </c>
      <c r="D272" s="1"/>
      <c r="E272" s="1" t="s">
        <v>129</v>
      </c>
      <c r="F272" s="1">
        <v>303</v>
      </c>
      <c r="G272" s="1">
        <v>14</v>
      </c>
      <c r="H272" s="1">
        <v>2.2999999999999998</v>
      </c>
      <c r="I272" s="1"/>
      <c r="J272" s="1"/>
    </row>
    <row r="273" spans="1:10" x14ac:dyDescent="0.3">
      <c r="A273" t="str">
        <f t="shared" si="8"/>
        <v>BPG</v>
      </c>
      <c r="B273">
        <f t="shared" si="9"/>
        <v>14308</v>
      </c>
      <c r="D273" s="1"/>
      <c r="E273" s="1" t="s">
        <v>391</v>
      </c>
      <c r="F273" s="1">
        <v>321</v>
      </c>
      <c r="G273" s="1">
        <v>13</v>
      </c>
      <c r="H273" s="1">
        <v>2.1</v>
      </c>
      <c r="I273" s="1"/>
      <c r="J273" s="1"/>
    </row>
    <row r="274" spans="1:10" x14ac:dyDescent="0.3">
      <c r="A274" t="str">
        <f t="shared" si="8"/>
        <v>BPG</v>
      </c>
      <c r="B274">
        <f t="shared" si="9"/>
        <v>18408</v>
      </c>
      <c r="D274" s="1"/>
      <c r="E274" s="1" t="s">
        <v>417</v>
      </c>
      <c r="F274" s="1">
        <v>329</v>
      </c>
      <c r="G274" s="1">
        <v>6</v>
      </c>
      <c r="H274" s="1">
        <v>2</v>
      </c>
      <c r="I274" s="1"/>
      <c r="J274" s="1"/>
    </row>
    <row r="275" spans="1:10" x14ac:dyDescent="0.3">
      <c r="A275" t="str">
        <f t="shared" si="8"/>
        <v>BPG</v>
      </c>
      <c r="B275">
        <f t="shared" si="9"/>
        <v>18308</v>
      </c>
      <c r="D275" s="1"/>
      <c r="E275" s="1" t="s">
        <v>423</v>
      </c>
      <c r="F275" s="1">
        <v>341</v>
      </c>
      <c r="G275" s="1">
        <v>9</v>
      </c>
      <c r="H275" s="1">
        <v>1.7</v>
      </c>
      <c r="I275" s="1"/>
      <c r="J275" s="1"/>
    </row>
    <row r="276" spans="1:10" x14ac:dyDescent="0.3">
      <c r="A276" t="str">
        <f t="shared" si="8"/>
        <v>EFG%</v>
      </c>
      <c r="B276">
        <f t="shared" si="9"/>
        <v>4411</v>
      </c>
      <c r="D276" s="1" t="s">
        <v>433</v>
      </c>
      <c r="E276" s="1" t="s">
        <v>83</v>
      </c>
      <c r="F276" s="1">
        <v>1</v>
      </c>
      <c r="G276" s="1">
        <v>1</v>
      </c>
      <c r="H276" s="1">
        <v>0.58199999999999996</v>
      </c>
      <c r="I276" s="1" t="s">
        <v>83</v>
      </c>
      <c r="J276" s="1">
        <v>0.58199999999999996</v>
      </c>
    </row>
    <row r="277" spans="1:10" x14ac:dyDescent="0.3">
      <c r="A277" t="str">
        <f t="shared" si="8"/>
        <v>EFG%</v>
      </c>
      <c r="B277">
        <f t="shared" si="9"/>
        <v>8411</v>
      </c>
      <c r="D277" s="1"/>
      <c r="E277" s="1" t="s">
        <v>109</v>
      </c>
      <c r="F277" s="1">
        <v>2</v>
      </c>
      <c r="G277" s="1">
        <v>1</v>
      </c>
      <c r="H277" s="1">
        <v>0.58099999999999996</v>
      </c>
      <c r="I277" s="1"/>
      <c r="J277" s="1"/>
    </row>
    <row r="278" spans="1:10" x14ac:dyDescent="0.3">
      <c r="A278" t="str">
        <f t="shared" si="8"/>
        <v>EFG%</v>
      </c>
      <c r="B278">
        <f t="shared" si="9"/>
        <v>2911</v>
      </c>
      <c r="D278" s="1"/>
      <c r="E278" s="1" t="s">
        <v>96</v>
      </c>
      <c r="F278" s="1">
        <v>6</v>
      </c>
      <c r="G278" s="1">
        <v>1</v>
      </c>
      <c r="H278" s="1">
        <v>0.56499999999999995</v>
      </c>
      <c r="I278" s="1"/>
      <c r="J278" s="1"/>
    </row>
    <row r="279" spans="1:10" x14ac:dyDescent="0.3">
      <c r="A279" t="str">
        <f t="shared" si="8"/>
        <v>EFG%</v>
      </c>
      <c r="B279">
        <f t="shared" si="9"/>
        <v>1411</v>
      </c>
      <c r="D279" s="1"/>
      <c r="E279" s="1" t="s">
        <v>102</v>
      </c>
      <c r="F279" s="1">
        <v>8</v>
      </c>
      <c r="G279" s="1">
        <v>1</v>
      </c>
      <c r="H279" s="1">
        <v>0.56200000000000006</v>
      </c>
      <c r="I279" s="1"/>
      <c r="J279" s="1"/>
    </row>
    <row r="280" spans="1:10" x14ac:dyDescent="0.3">
      <c r="A280" t="str">
        <f t="shared" si="8"/>
        <v>EFG%</v>
      </c>
      <c r="B280">
        <f t="shared" si="9"/>
        <v>3311</v>
      </c>
      <c r="D280" s="1"/>
      <c r="E280" s="1" t="s">
        <v>91</v>
      </c>
      <c r="F280" s="1">
        <v>9</v>
      </c>
      <c r="G280" s="1">
        <v>1</v>
      </c>
      <c r="H280" s="1">
        <v>0.56000000000000005</v>
      </c>
      <c r="I280" s="1"/>
      <c r="J280" s="1"/>
    </row>
    <row r="281" spans="1:10" x14ac:dyDescent="0.3">
      <c r="A281" t="str">
        <f t="shared" si="8"/>
        <v>EFG%</v>
      </c>
      <c r="B281">
        <f t="shared" si="9"/>
        <v>18511</v>
      </c>
      <c r="D281" s="1"/>
      <c r="E281" s="1" t="s">
        <v>420</v>
      </c>
      <c r="F281" s="1">
        <v>10</v>
      </c>
      <c r="G281" s="1">
        <v>1</v>
      </c>
      <c r="H281" s="1">
        <v>0.55800000000000005</v>
      </c>
      <c r="I281" s="1"/>
      <c r="J281" s="1"/>
    </row>
    <row r="282" spans="1:10" x14ac:dyDescent="0.3">
      <c r="A282" t="str">
        <f t="shared" si="8"/>
        <v>EFG%</v>
      </c>
      <c r="B282">
        <f t="shared" si="9"/>
        <v>19111</v>
      </c>
      <c r="D282" s="1"/>
      <c r="E282" s="1" t="s">
        <v>421</v>
      </c>
      <c r="F282" s="1">
        <v>12</v>
      </c>
      <c r="G282" s="1">
        <v>1</v>
      </c>
      <c r="H282" s="1">
        <v>0.55700000000000005</v>
      </c>
      <c r="I282" s="1"/>
      <c r="J282" s="1"/>
    </row>
    <row r="283" spans="1:10" x14ac:dyDescent="0.3">
      <c r="A283" t="str">
        <f t="shared" si="8"/>
        <v>EFG%</v>
      </c>
      <c r="B283">
        <f t="shared" si="9"/>
        <v>14311</v>
      </c>
      <c r="D283" s="1"/>
      <c r="E283" s="1" t="s">
        <v>391</v>
      </c>
      <c r="F283" s="1">
        <v>15</v>
      </c>
      <c r="G283" s="1">
        <v>1</v>
      </c>
      <c r="H283" s="1">
        <v>0.55400000000000005</v>
      </c>
      <c r="I283" s="1"/>
      <c r="J283" s="1"/>
    </row>
    <row r="284" spans="1:10" x14ac:dyDescent="0.3">
      <c r="A284" t="str">
        <f t="shared" si="8"/>
        <v>EFG%</v>
      </c>
      <c r="B284">
        <f t="shared" si="9"/>
        <v>7411</v>
      </c>
      <c r="D284" s="1"/>
      <c r="E284" s="1" t="s">
        <v>251</v>
      </c>
      <c r="F284" s="1">
        <v>18</v>
      </c>
      <c r="G284" s="1">
        <v>2</v>
      </c>
      <c r="H284" s="1">
        <v>0.55200000000000005</v>
      </c>
      <c r="I284" s="1"/>
      <c r="J284" s="1"/>
    </row>
    <row r="285" spans="1:10" x14ac:dyDescent="0.3">
      <c r="A285" t="str">
        <f t="shared" si="8"/>
        <v>EFG%</v>
      </c>
      <c r="B285">
        <f t="shared" si="9"/>
        <v>7911</v>
      </c>
      <c r="D285" s="1"/>
      <c r="E285" s="1" t="s">
        <v>103</v>
      </c>
      <c r="F285" s="1">
        <v>21</v>
      </c>
      <c r="G285" s="1">
        <v>1</v>
      </c>
      <c r="H285" s="1">
        <v>0.55100000000000005</v>
      </c>
      <c r="I285" s="1"/>
      <c r="J285" s="1"/>
    </row>
    <row r="286" spans="1:10" x14ac:dyDescent="0.3">
      <c r="A286" t="str">
        <f t="shared" si="8"/>
        <v>EFG%</v>
      </c>
      <c r="B286">
        <f t="shared" si="9"/>
        <v>14111</v>
      </c>
      <c r="D286" s="1"/>
      <c r="E286" s="1" t="s">
        <v>299</v>
      </c>
      <c r="F286" s="1">
        <v>22</v>
      </c>
      <c r="G286" s="1">
        <v>1</v>
      </c>
      <c r="H286" s="1">
        <v>0.55000000000000004</v>
      </c>
      <c r="I286" s="1"/>
      <c r="J286" s="1"/>
    </row>
    <row r="287" spans="1:10" x14ac:dyDescent="0.3">
      <c r="A287" t="str">
        <f t="shared" si="8"/>
        <v>EFG%</v>
      </c>
      <c r="B287">
        <f t="shared" si="9"/>
        <v>18711</v>
      </c>
      <c r="D287" s="1"/>
      <c r="E287" s="1" t="s">
        <v>427</v>
      </c>
      <c r="F287" s="1">
        <v>24</v>
      </c>
      <c r="G287" s="1">
        <v>2</v>
      </c>
      <c r="H287" s="1">
        <v>0.54700000000000004</v>
      </c>
      <c r="I287" s="1"/>
      <c r="J287" s="1"/>
    </row>
    <row r="288" spans="1:10" x14ac:dyDescent="0.3">
      <c r="A288" t="str">
        <f t="shared" si="8"/>
        <v>EFG%</v>
      </c>
      <c r="B288">
        <f t="shared" si="9"/>
        <v>2211</v>
      </c>
      <c r="D288" s="1"/>
      <c r="E288" s="1" t="s">
        <v>119</v>
      </c>
      <c r="F288" s="1">
        <v>25</v>
      </c>
      <c r="G288" s="1">
        <v>2</v>
      </c>
      <c r="H288" s="1">
        <v>0.54700000000000004</v>
      </c>
      <c r="I288" s="1"/>
      <c r="J288" s="1"/>
    </row>
    <row r="289" spans="1:10" x14ac:dyDescent="0.3">
      <c r="A289" t="str">
        <f t="shared" si="8"/>
        <v>EFG%</v>
      </c>
      <c r="B289">
        <f t="shared" si="9"/>
        <v>18911</v>
      </c>
      <c r="D289" s="1"/>
      <c r="E289" s="1" t="s">
        <v>422</v>
      </c>
      <c r="F289" s="1">
        <v>28</v>
      </c>
      <c r="G289" s="1">
        <v>1</v>
      </c>
      <c r="H289" s="1">
        <v>0.54500000000000004</v>
      </c>
      <c r="I289" s="1"/>
      <c r="J289" s="1"/>
    </row>
    <row r="290" spans="1:10" x14ac:dyDescent="0.3">
      <c r="A290" t="str">
        <f t="shared" si="8"/>
        <v>EFG%</v>
      </c>
      <c r="B290">
        <f t="shared" si="9"/>
        <v>111</v>
      </c>
      <c r="D290" s="1"/>
      <c r="E290" s="1" t="s">
        <v>312</v>
      </c>
      <c r="F290" s="1">
        <v>32</v>
      </c>
      <c r="G290" s="1">
        <v>1</v>
      </c>
      <c r="H290" s="1">
        <v>0.54300000000000004</v>
      </c>
      <c r="I290" s="1"/>
      <c r="J290" s="1"/>
    </row>
    <row r="291" spans="1:10" x14ac:dyDescent="0.3">
      <c r="A291" t="str">
        <f t="shared" si="8"/>
        <v>EFG%</v>
      </c>
      <c r="B291">
        <f t="shared" si="9"/>
        <v>5811</v>
      </c>
      <c r="D291" s="1"/>
      <c r="E291" s="1" t="s">
        <v>139</v>
      </c>
      <c r="F291" s="1">
        <v>36</v>
      </c>
      <c r="G291" s="1">
        <v>1</v>
      </c>
      <c r="H291" s="1">
        <v>0.54200000000000004</v>
      </c>
      <c r="I291" s="1"/>
      <c r="J291" s="1"/>
    </row>
    <row r="292" spans="1:10" x14ac:dyDescent="0.3">
      <c r="A292" t="str">
        <f t="shared" si="8"/>
        <v>EFG%</v>
      </c>
      <c r="B292">
        <f t="shared" si="9"/>
        <v>19011</v>
      </c>
      <c r="D292" s="1"/>
      <c r="E292" s="1" t="s">
        <v>176</v>
      </c>
      <c r="F292" s="1">
        <v>37</v>
      </c>
      <c r="G292" s="1">
        <v>1</v>
      </c>
      <c r="H292" s="1">
        <v>0.54200000000000004</v>
      </c>
      <c r="I292" s="1"/>
      <c r="J292" s="1"/>
    </row>
    <row r="293" spans="1:10" x14ac:dyDescent="0.3">
      <c r="A293" t="str">
        <f t="shared" si="8"/>
        <v>EFG%</v>
      </c>
      <c r="B293">
        <f t="shared" si="9"/>
        <v>3111</v>
      </c>
      <c r="D293" s="1"/>
      <c r="E293" s="1" t="s">
        <v>93</v>
      </c>
      <c r="F293" s="1">
        <v>38</v>
      </c>
      <c r="G293" s="1">
        <v>3</v>
      </c>
      <c r="H293" s="1">
        <v>0.54200000000000004</v>
      </c>
      <c r="I293" s="1"/>
      <c r="J293" s="1"/>
    </row>
    <row r="294" spans="1:10" x14ac:dyDescent="0.3">
      <c r="A294" t="str">
        <f t="shared" si="8"/>
        <v>EFG%</v>
      </c>
      <c r="B294">
        <f t="shared" si="9"/>
        <v>2311</v>
      </c>
      <c r="D294" s="1"/>
      <c r="E294" s="1" t="s">
        <v>79</v>
      </c>
      <c r="F294" s="1">
        <v>45</v>
      </c>
      <c r="G294" s="1">
        <v>4</v>
      </c>
      <c r="H294" s="1">
        <v>0.53900000000000003</v>
      </c>
      <c r="I294" s="1"/>
      <c r="J294" s="1"/>
    </row>
    <row r="295" spans="1:10" x14ac:dyDescent="0.3">
      <c r="A295" t="str">
        <f t="shared" si="8"/>
        <v>EFG%</v>
      </c>
      <c r="B295">
        <f t="shared" si="9"/>
        <v>9511</v>
      </c>
      <c r="D295" s="1"/>
      <c r="E295" s="1" t="s">
        <v>85</v>
      </c>
      <c r="F295" s="1">
        <v>48</v>
      </c>
      <c r="G295" s="1">
        <v>3</v>
      </c>
      <c r="H295" s="1">
        <v>0.53700000000000003</v>
      </c>
      <c r="I295" s="1"/>
      <c r="J295" s="1"/>
    </row>
    <row r="296" spans="1:10" x14ac:dyDescent="0.3">
      <c r="A296" t="str">
        <f t="shared" si="8"/>
        <v>EFG%</v>
      </c>
      <c r="B296">
        <f t="shared" si="9"/>
        <v>9411</v>
      </c>
      <c r="D296" s="1"/>
      <c r="E296" s="1" t="s">
        <v>264</v>
      </c>
      <c r="F296" s="1">
        <v>51</v>
      </c>
      <c r="G296" s="1">
        <v>2</v>
      </c>
      <c r="H296" s="1">
        <v>0.53500000000000003</v>
      </c>
      <c r="I296" s="1"/>
      <c r="J296" s="1"/>
    </row>
    <row r="297" spans="1:10" x14ac:dyDescent="0.3">
      <c r="A297" t="str">
        <f t="shared" si="8"/>
        <v>EFG%</v>
      </c>
      <c r="B297">
        <f t="shared" si="9"/>
        <v>6711</v>
      </c>
      <c r="D297" s="1"/>
      <c r="E297" s="1" t="s">
        <v>118</v>
      </c>
      <c r="F297" s="1">
        <v>59</v>
      </c>
      <c r="G297" s="1">
        <v>1</v>
      </c>
      <c r="H297" s="1">
        <v>0.53300000000000003</v>
      </c>
      <c r="I297" s="1"/>
      <c r="J297" s="1"/>
    </row>
    <row r="298" spans="1:10" x14ac:dyDescent="0.3">
      <c r="A298" t="str">
        <f t="shared" si="8"/>
        <v>EFG%</v>
      </c>
      <c r="B298">
        <f t="shared" si="9"/>
        <v>3211</v>
      </c>
      <c r="D298" s="1"/>
      <c r="E298" s="1" t="s">
        <v>127</v>
      </c>
      <c r="F298" s="1">
        <v>62</v>
      </c>
      <c r="G298" s="1">
        <v>2</v>
      </c>
      <c r="H298" s="1">
        <v>0.53200000000000003</v>
      </c>
      <c r="I298" s="1"/>
      <c r="J298" s="1"/>
    </row>
    <row r="299" spans="1:10" x14ac:dyDescent="0.3">
      <c r="A299" t="str">
        <f t="shared" si="8"/>
        <v>EFG%</v>
      </c>
      <c r="B299">
        <f t="shared" si="9"/>
        <v>18611</v>
      </c>
      <c r="D299" s="1"/>
      <c r="E299" s="1" t="s">
        <v>425</v>
      </c>
      <c r="F299" s="1">
        <v>64</v>
      </c>
      <c r="G299" s="1">
        <v>5</v>
      </c>
      <c r="H299" s="1">
        <v>0.53100000000000003</v>
      </c>
      <c r="I299" s="1"/>
      <c r="J299" s="1"/>
    </row>
    <row r="300" spans="1:10" x14ac:dyDescent="0.3">
      <c r="A300" t="str">
        <f t="shared" si="8"/>
        <v>EFG%</v>
      </c>
      <c r="B300">
        <f t="shared" si="9"/>
        <v>6611</v>
      </c>
      <c r="D300" s="1"/>
      <c r="E300" s="1" t="s">
        <v>247</v>
      </c>
      <c r="F300" s="1">
        <v>68</v>
      </c>
      <c r="G300" s="1">
        <v>1</v>
      </c>
      <c r="H300" s="1">
        <v>0.53</v>
      </c>
      <c r="I300" s="1"/>
      <c r="J300" s="1"/>
    </row>
    <row r="301" spans="1:10" x14ac:dyDescent="0.3">
      <c r="A301" t="str">
        <f t="shared" si="8"/>
        <v>EFG%</v>
      </c>
      <c r="B301">
        <f t="shared" si="9"/>
        <v>8811</v>
      </c>
      <c r="D301" s="1"/>
      <c r="E301" s="1" t="s">
        <v>141</v>
      </c>
      <c r="F301" s="1">
        <v>79</v>
      </c>
      <c r="G301" s="1">
        <v>3</v>
      </c>
      <c r="H301" s="1">
        <v>0.52700000000000002</v>
      </c>
      <c r="I301" s="1"/>
      <c r="J301" s="1"/>
    </row>
    <row r="302" spans="1:10" x14ac:dyDescent="0.3">
      <c r="A302" t="str">
        <f t="shared" si="8"/>
        <v>EFG%</v>
      </c>
      <c r="B302">
        <f t="shared" si="9"/>
        <v>3911</v>
      </c>
      <c r="D302" s="1"/>
      <c r="E302" s="1" t="s">
        <v>88</v>
      </c>
      <c r="F302" s="1">
        <v>83</v>
      </c>
      <c r="G302" s="1">
        <v>3</v>
      </c>
      <c r="H302" s="1">
        <v>0.52600000000000002</v>
      </c>
      <c r="I302" s="1"/>
      <c r="J302" s="1"/>
    </row>
    <row r="303" spans="1:10" x14ac:dyDescent="0.3">
      <c r="A303" t="str">
        <f t="shared" si="8"/>
        <v>EFG%</v>
      </c>
      <c r="B303">
        <f t="shared" si="9"/>
        <v>3411</v>
      </c>
      <c r="D303" s="1"/>
      <c r="E303" s="1" t="s">
        <v>237</v>
      </c>
      <c r="F303" s="1">
        <v>84</v>
      </c>
      <c r="G303" s="1">
        <v>4</v>
      </c>
      <c r="H303" s="1">
        <v>0.52600000000000002</v>
      </c>
      <c r="I303" s="1"/>
      <c r="J303" s="1"/>
    </row>
    <row r="304" spans="1:10" x14ac:dyDescent="0.3">
      <c r="A304" t="str">
        <f t="shared" si="8"/>
        <v>EFG%</v>
      </c>
      <c r="B304">
        <f t="shared" si="9"/>
        <v>12011</v>
      </c>
      <c r="D304" s="1"/>
      <c r="E304" s="1" t="s">
        <v>135</v>
      </c>
      <c r="F304" s="1">
        <v>85</v>
      </c>
      <c r="G304" s="1">
        <v>4</v>
      </c>
      <c r="H304" s="1">
        <v>0.52600000000000002</v>
      </c>
      <c r="I304" s="1"/>
      <c r="J304" s="1"/>
    </row>
    <row r="305" spans="1:10" x14ac:dyDescent="0.3">
      <c r="A305" t="str">
        <f t="shared" si="8"/>
        <v>EFG%</v>
      </c>
      <c r="B305">
        <f t="shared" si="9"/>
        <v>5311</v>
      </c>
      <c r="D305" s="1"/>
      <c r="E305" s="1" t="s">
        <v>242</v>
      </c>
      <c r="F305" s="1">
        <v>89</v>
      </c>
      <c r="G305" s="1">
        <v>5</v>
      </c>
      <c r="H305" s="1">
        <v>0.52500000000000002</v>
      </c>
      <c r="I305" s="1"/>
      <c r="J305" s="1"/>
    </row>
    <row r="306" spans="1:10" x14ac:dyDescent="0.3">
      <c r="A306" t="str">
        <f t="shared" si="8"/>
        <v>EFG%</v>
      </c>
      <c r="B306">
        <f t="shared" si="9"/>
        <v>711</v>
      </c>
      <c r="D306" s="1"/>
      <c r="E306" s="1" t="s">
        <v>319</v>
      </c>
      <c r="F306" s="1">
        <v>98</v>
      </c>
      <c r="G306" s="1">
        <v>6</v>
      </c>
      <c r="H306" s="1">
        <v>0.52300000000000002</v>
      </c>
      <c r="I306" s="1"/>
      <c r="J306" s="1"/>
    </row>
    <row r="307" spans="1:10" x14ac:dyDescent="0.3">
      <c r="A307" t="str">
        <f t="shared" si="8"/>
        <v>EFG%</v>
      </c>
      <c r="B307">
        <f t="shared" si="9"/>
        <v>2811</v>
      </c>
      <c r="D307" s="1"/>
      <c r="E307" s="1" t="s">
        <v>106</v>
      </c>
      <c r="F307" s="1">
        <v>100</v>
      </c>
      <c r="G307" s="1">
        <v>3</v>
      </c>
      <c r="H307" s="1">
        <v>0.52300000000000002</v>
      </c>
      <c r="I307" s="1"/>
      <c r="J307" s="1"/>
    </row>
    <row r="308" spans="1:10" x14ac:dyDescent="0.3">
      <c r="A308" t="str">
        <f t="shared" si="8"/>
        <v>EFG%</v>
      </c>
      <c r="B308">
        <f t="shared" si="9"/>
        <v>2511</v>
      </c>
      <c r="D308" s="1"/>
      <c r="E308" s="1" t="s">
        <v>92</v>
      </c>
      <c r="F308" s="1">
        <v>105</v>
      </c>
      <c r="G308" s="1">
        <v>7</v>
      </c>
      <c r="H308" s="1">
        <v>0.52200000000000002</v>
      </c>
      <c r="I308" s="1"/>
      <c r="J308" s="1"/>
    </row>
    <row r="309" spans="1:10" x14ac:dyDescent="0.3">
      <c r="A309" t="str">
        <f t="shared" si="8"/>
        <v>EFG%</v>
      </c>
      <c r="B309">
        <f t="shared" si="9"/>
        <v>2111</v>
      </c>
      <c r="D309" s="1"/>
      <c r="E309" s="1" t="s">
        <v>136</v>
      </c>
      <c r="F309" s="1">
        <v>109</v>
      </c>
      <c r="G309" s="1">
        <v>5</v>
      </c>
      <c r="H309" s="1">
        <v>0.52100000000000002</v>
      </c>
      <c r="I309" s="1"/>
      <c r="J309" s="1"/>
    </row>
    <row r="310" spans="1:10" x14ac:dyDescent="0.3">
      <c r="A310" t="str">
        <f t="shared" si="8"/>
        <v>EFG%</v>
      </c>
      <c r="B310">
        <f t="shared" si="9"/>
        <v>3711</v>
      </c>
      <c r="D310" s="1"/>
      <c r="E310" s="1" t="s">
        <v>115</v>
      </c>
      <c r="F310" s="1">
        <v>111</v>
      </c>
      <c r="G310" s="1">
        <v>2</v>
      </c>
      <c r="H310" s="1">
        <v>0.52100000000000002</v>
      </c>
      <c r="I310" s="1"/>
      <c r="J310" s="1"/>
    </row>
    <row r="311" spans="1:10" x14ac:dyDescent="0.3">
      <c r="A311" t="str">
        <f t="shared" si="8"/>
        <v>EFG%</v>
      </c>
      <c r="B311">
        <f t="shared" si="9"/>
        <v>12211</v>
      </c>
      <c r="D311" s="1"/>
      <c r="E311" s="1" t="s">
        <v>284</v>
      </c>
      <c r="F311" s="1">
        <v>122</v>
      </c>
      <c r="G311" s="1">
        <v>5</v>
      </c>
      <c r="H311" s="1">
        <v>0.52</v>
      </c>
      <c r="I311" s="1"/>
      <c r="J311" s="1"/>
    </row>
    <row r="312" spans="1:10" x14ac:dyDescent="0.3">
      <c r="A312" t="str">
        <f t="shared" si="8"/>
        <v>EFG%</v>
      </c>
      <c r="B312">
        <f t="shared" si="9"/>
        <v>3011</v>
      </c>
      <c r="D312" s="1"/>
      <c r="E312" s="1" t="s">
        <v>89</v>
      </c>
      <c r="F312" s="1">
        <v>127</v>
      </c>
      <c r="G312" s="1">
        <v>4</v>
      </c>
      <c r="H312" s="1">
        <v>0.51800000000000002</v>
      </c>
      <c r="I312" s="1"/>
      <c r="J312" s="1"/>
    </row>
    <row r="313" spans="1:10" x14ac:dyDescent="0.3">
      <c r="A313" t="str">
        <f t="shared" si="8"/>
        <v>EFG%</v>
      </c>
      <c r="B313">
        <f t="shared" si="9"/>
        <v>18411</v>
      </c>
      <c r="D313" s="1"/>
      <c r="E313" s="1" t="s">
        <v>417</v>
      </c>
      <c r="F313" s="1">
        <v>134</v>
      </c>
      <c r="G313" s="1">
        <v>2</v>
      </c>
      <c r="H313" s="1">
        <v>0.51700000000000002</v>
      </c>
      <c r="I313" s="1"/>
      <c r="J313" s="1"/>
    </row>
    <row r="314" spans="1:10" x14ac:dyDescent="0.3">
      <c r="A314" t="str">
        <f t="shared" si="8"/>
        <v>EFG%</v>
      </c>
      <c r="B314">
        <f t="shared" si="9"/>
        <v>911</v>
      </c>
      <c r="D314" s="1"/>
      <c r="E314" s="1" t="s">
        <v>90</v>
      </c>
      <c r="F314" s="1">
        <v>135</v>
      </c>
      <c r="G314" s="1">
        <v>6</v>
      </c>
      <c r="H314" s="1">
        <v>0.51700000000000002</v>
      </c>
      <c r="I314" s="1"/>
      <c r="J314" s="1"/>
    </row>
    <row r="315" spans="1:10" x14ac:dyDescent="0.3">
      <c r="A315" t="str">
        <f t="shared" si="8"/>
        <v>EFG%</v>
      </c>
      <c r="B315">
        <f t="shared" si="9"/>
        <v>5211</v>
      </c>
      <c r="D315" s="1"/>
      <c r="E315" s="1" t="s">
        <v>241</v>
      </c>
      <c r="F315" s="1">
        <v>137</v>
      </c>
      <c r="G315" s="1">
        <v>7</v>
      </c>
      <c r="H315" s="1">
        <v>0.51700000000000002</v>
      </c>
      <c r="I315" s="1"/>
      <c r="J315" s="1"/>
    </row>
    <row r="316" spans="1:10" x14ac:dyDescent="0.3">
      <c r="A316" t="str">
        <f t="shared" si="8"/>
        <v>EFG%</v>
      </c>
      <c r="B316">
        <f t="shared" si="9"/>
        <v>8611</v>
      </c>
      <c r="D316" s="1"/>
      <c r="E316" s="1" t="s">
        <v>259</v>
      </c>
      <c r="F316" s="1">
        <v>140</v>
      </c>
      <c r="G316" s="1">
        <v>1</v>
      </c>
      <c r="H316" s="1">
        <v>0.51600000000000001</v>
      </c>
      <c r="I316" s="1"/>
      <c r="J316" s="1"/>
    </row>
    <row r="317" spans="1:10" x14ac:dyDescent="0.3">
      <c r="A317" t="str">
        <f t="shared" si="8"/>
        <v>EFG%</v>
      </c>
      <c r="B317">
        <f t="shared" si="9"/>
        <v>13311</v>
      </c>
      <c r="D317" s="1"/>
      <c r="E317" s="1" t="s">
        <v>291</v>
      </c>
      <c r="F317" s="1">
        <v>148</v>
      </c>
      <c r="G317" s="1">
        <v>8</v>
      </c>
      <c r="H317" s="1">
        <v>0.51500000000000001</v>
      </c>
      <c r="I317" s="1"/>
      <c r="J317" s="1"/>
    </row>
    <row r="318" spans="1:10" x14ac:dyDescent="0.3">
      <c r="A318" t="str">
        <f t="shared" si="8"/>
        <v>EFG%</v>
      </c>
      <c r="B318">
        <f t="shared" si="9"/>
        <v>1911</v>
      </c>
      <c r="D318" s="1"/>
      <c r="E318" s="1" t="s">
        <v>112</v>
      </c>
      <c r="F318" s="1">
        <v>150</v>
      </c>
      <c r="G318" s="1">
        <v>8</v>
      </c>
      <c r="H318" s="1">
        <v>0.51500000000000001</v>
      </c>
      <c r="I318" s="1"/>
      <c r="J318" s="1"/>
    </row>
    <row r="319" spans="1:10" x14ac:dyDescent="0.3">
      <c r="A319" t="str">
        <f t="shared" si="8"/>
        <v>EFG%</v>
      </c>
      <c r="B319">
        <f t="shared" si="9"/>
        <v>11511</v>
      </c>
      <c r="D319" s="1"/>
      <c r="E319" s="1" t="s">
        <v>97</v>
      </c>
      <c r="F319" s="1">
        <v>152</v>
      </c>
      <c r="G319" s="1">
        <v>2</v>
      </c>
      <c r="H319" s="1">
        <v>0.51500000000000001</v>
      </c>
      <c r="I319" s="1"/>
      <c r="J319" s="1"/>
    </row>
    <row r="320" spans="1:10" x14ac:dyDescent="0.3">
      <c r="A320" t="str">
        <f t="shared" si="8"/>
        <v>EFG%</v>
      </c>
      <c r="B320">
        <f t="shared" si="9"/>
        <v>13411</v>
      </c>
      <c r="D320" s="1"/>
      <c r="E320" s="1" t="s">
        <v>400</v>
      </c>
      <c r="F320" s="1">
        <v>153</v>
      </c>
      <c r="G320" s="1">
        <v>7</v>
      </c>
      <c r="H320" s="1">
        <v>0.51400000000000001</v>
      </c>
      <c r="I320" s="1"/>
      <c r="J320" s="1"/>
    </row>
    <row r="321" spans="1:10" x14ac:dyDescent="0.3">
      <c r="A321" t="str">
        <f t="shared" si="8"/>
        <v>EFG%</v>
      </c>
      <c r="B321">
        <f t="shared" si="9"/>
        <v>4311</v>
      </c>
      <c r="D321" s="1"/>
      <c r="E321" s="1" t="s">
        <v>125</v>
      </c>
      <c r="F321" s="1">
        <v>157</v>
      </c>
      <c r="G321" s="1">
        <v>9</v>
      </c>
      <c r="H321" s="1">
        <v>0.51400000000000001</v>
      </c>
      <c r="I321" s="1"/>
      <c r="J321" s="1"/>
    </row>
    <row r="322" spans="1:10" x14ac:dyDescent="0.3">
      <c r="A322" t="str">
        <f t="shared" ref="A322:A385" si="10">IF(NOT(D322=""),INDEX(statAbbr,MATCH(D322,statOfficial,0),1),A321)</f>
        <v>EFG%</v>
      </c>
      <c r="B322">
        <f t="shared" ref="B322:B385" si="11">INDEX(statID,MATCH(A322,statAbbr,0),1)+INDEX(teamID,MATCH(E322,teamRawName,0))</f>
        <v>18311</v>
      </c>
      <c r="D322" s="1"/>
      <c r="E322" s="1" t="s">
        <v>423</v>
      </c>
      <c r="F322" s="1">
        <v>158</v>
      </c>
      <c r="G322" s="1">
        <v>5</v>
      </c>
      <c r="H322" s="1">
        <v>0.51300000000000001</v>
      </c>
      <c r="I322" s="1"/>
      <c r="J322" s="1"/>
    </row>
    <row r="323" spans="1:10" x14ac:dyDescent="0.3">
      <c r="A323" t="str">
        <f t="shared" si="10"/>
        <v>EFG%</v>
      </c>
      <c r="B323">
        <f t="shared" si="11"/>
        <v>2411</v>
      </c>
      <c r="D323" s="1"/>
      <c r="E323" s="1" t="s">
        <v>330</v>
      </c>
      <c r="F323" s="1">
        <v>164</v>
      </c>
      <c r="G323" s="1">
        <v>3</v>
      </c>
      <c r="H323" s="1">
        <v>0.51200000000000001</v>
      </c>
      <c r="I323" s="1"/>
      <c r="J323" s="1"/>
    </row>
    <row r="324" spans="1:10" x14ac:dyDescent="0.3">
      <c r="A324" t="str">
        <f t="shared" si="10"/>
        <v>EFG%</v>
      </c>
      <c r="B324">
        <f t="shared" si="11"/>
        <v>4611</v>
      </c>
      <c r="D324" s="1"/>
      <c r="E324" s="1" t="s">
        <v>101</v>
      </c>
      <c r="F324" s="1">
        <v>168</v>
      </c>
      <c r="G324" s="1">
        <v>7</v>
      </c>
      <c r="H324" s="1">
        <v>0.51200000000000001</v>
      </c>
      <c r="I324" s="1"/>
      <c r="J324" s="1"/>
    </row>
    <row r="325" spans="1:10" x14ac:dyDescent="0.3">
      <c r="A325" t="str">
        <f t="shared" si="10"/>
        <v>EFG%</v>
      </c>
      <c r="B325">
        <f t="shared" si="11"/>
        <v>2611</v>
      </c>
      <c r="D325" s="1"/>
      <c r="E325" s="1" t="s">
        <v>80</v>
      </c>
      <c r="F325" s="1">
        <v>169</v>
      </c>
      <c r="G325" s="1">
        <v>9</v>
      </c>
      <c r="H325" s="1">
        <v>0.51200000000000001</v>
      </c>
      <c r="I325" s="1"/>
      <c r="J325" s="1"/>
    </row>
    <row r="326" spans="1:10" x14ac:dyDescent="0.3">
      <c r="A326" t="str">
        <f t="shared" si="10"/>
        <v>EFG%</v>
      </c>
      <c r="B326">
        <f t="shared" si="11"/>
        <v>6811</v>
      </c>
      <c r="D326" s="1"/>
      <c r="E326" s="1" t="s">
        <v>248</v>
      </c>
      <c r="F326" s="1">
        <v>170</v>
      </c>
      <c r="G326" s="1">
        <v>6</v>
      </c>
      <c r="H326" s="1">
        <v>0.51100000000000001</v>
      </c>
      <c r="I326" s="1"/>
      <c r="J326" s="1"/>
    </row>
    <row r="327" spans="1:10" x14ac:dyDescent="0.3">
      <c r="A327" t="str">
        <f t="shared" si="10"/>
        <v>EFG%</v>
      </c>
      <c r="B327">
        <f t="shared" si="11"/>
        <v>5411</v>
      </c>
      <c r="D327" s="1"/>
      <c r="E327" s="1" t="s">
        <v>94</v>
      </c>
      <c r="F327" s="1">
        <v>172</v>
      </c>
      <c r="G327" s="1">
        <v>10</v>
      </c>
      <c r="H327" s="1">
        <v>0.51100000000000001</v>
      </c>
      <c r="I327" s="1"/>
      <c r="J327" s="1"/>
    </row>
    <row r="328" spans="1:10" x14ac:dyDescent="0.3">
      <c r="A328" t="str">
        <f t="shared" si="10"/>
        <v>EFG%</v>
      </c>
      <c r="B328">
        <f t="shared" si="11"/>
        <v>9011</v>
      </c>
      <c r="D328" s="1"/>
      <c r="E328" s="1" t="s">
        <v>261</v>
      </c>
      <c r="F328" s="1">
        <v>174</v>
      </c>
      <c r="G328" s="1">
        <v>5</v>
      </c>
      <c r="H328" s="1">
        <v>0.51100000000000001</v>
      </c>
      <c r="I328" s="1"/>
      <c r="J328" s="1"/>
    </row>
    <row r="329" spans="1:10" x14ac:dyDescent="0.3">
      <c r="A329" t="str">
        <f t="shared" si="10"/>
        <v>EFG%</v>
      </c>
      <c r="B329">
        <f t="shared" si="11"/>
        <v>8111</v>
      </c>
      <c r="D329" s="1"/>
      <c r="E329" s="1" t="s">
        <v>256</v>
      </c>
      <c r="F329" s="1">
        <v>181</v>
      </c>
      <c r="G329" s="1">
        <v>3</v>
      </c>
      <c r="H329" s="1">
        <v>0.50900000000000001</v>
      </c>
      <c r="I329" s="1"/>
      <c r="J329" s="1"/>
    </row>
    <row r="330" spans="1:10" x14ac:dyDescent="0.3">
      <c r="A330" t="str">
        <f t="shared" si="10"/>
        <v>EFG%</v>
      </c>
      <c r="B330">
        <f t="shared" si="11"/>
        <v>11111</v>
      </c>
      <c r="D330" s="1"/>
      <c r="E330" s="1" t="s">
        <v>277</v>
      </c>
      <c r="F330" s="1">
        <v>185</v>
      </c>
      <c r="G330" s="1">
        <v>10</v>
      </c>
      <c r="H330" s="1">
        <v>0.50800000000000001</v>
      </c>
      <c r="I330" s="1"/>
      <c r="J330" s="1"/>
    </row>
    <row r="331" spans="1:10" x14ac:dyDescent="0.3">
      <c r="A331" t="str">
        <f t="shared" si="10"/>
        <v>EFG%</v>
      </c>
      <c r="B331">
        <f t="shared" si="11"/>
        <v>5511</v>
      </c>
      <c r="D331" s="1"/>
      <c r="E331" s="1" t="s">
        <v>86</v>
      </c>
      <c r="F331" s="1">
        <v>195</v>
      </c>
      <c r="G331" s="1">
        <v>4</v>
      </c>
      <c r="H331" s="1">
        <v>0.50600000000000001</v>
      </c>
      <c r="I331" s="1"/>
      <c r="J331" s="1"/>
    </row>
    <row r="332" spans="1:10" x14ac:dyDescent="0.3">
      <c r="A332" t="str">
        <f t="shared" si="10"/>
        <v>EFG%</v>
      </c>
      <c r="B332">
        <f t="shared" si="11"/>
        <v>15211</v>
      </c>
      <c r="D332" s="1"/>
      <c r="E332" s="1" t="s">
        <v>426</v>
      </c>
      <c r="F332" s="1">
        <v>213</v>
      </c>
      <c r="G332" s="1">
        <v>5</v>
      </c>
      <c r="H332" s="1">
        <v>0.503</v>
      </c>
      <c r="I332" s="1"/>
      <c r="J332" s="1"/>
    </row>
    <row r="333" spans="1:10" x14ac:dyDescent="0.3">
      <c r="A333" t="str">
        <f t="shared" si="10"/>
        <v>EFG%</v>
      </c>
      <c r="B333">
        <f t="shared" si="11"/>
        <v>5611</v>
      </c>
      <c r="D333" s="1"/>
      <c r="E333" s="1" t="s">
        <v>62</v>
      </c>
      <c r="F333" s="1">
        <v>225</v>
      </c>
      <c r="G333" s="1">
        <v>9</v>
      </c>
      <c r="H333" s="1">
        <v>0.5</v>
      </c>
      <c r="I333" s="1"/>
      <c r="J333" s="1"/>
    </row>
    <row r="334" spans="1:10" x14ac:dyDescent="0.3">
      <c r="A334" t="str">
        <f t="shared" si="10"/>
        <v>EFG%</v>
      </c>
      <c r="B334">
        <f t="shared" si="11"/>
        <v>611</v>
      </c>
      <c r="D334" s="1"/>
      <c r="E334" s="1" t="s">
        <v>100</v>
      </c>
      <c r="F334" s="1">
        <v>227</v>
      </c>
      <c r="G334" s="1">
        <v>10</v>
      </c>
      <c r="H334" s="1">
        <v>0.499</v>
      </c>
      <c r="I334" s="1"/>
      <c r="J334" s="1"/>
    </row>
    <row r="335" spans="1:10" x14ac:dyDescent="0.3">
      <c r="A335" t="str">
        <f t="shared" si="10"/>
        <v>EFG%</v>
      </c>
      <c r="B335">
        <f t="shared" si="11"/>
        <v>3511</v>
      </c>
      <c r="D335" s="1"/>
      <c r="E335" s="1" t="s">
        <v>87</v>
      </c>
      <c r="F335" s="1">
        <v>229</v>
      </c>
      <c r="G335" s="1">
        <v>5</v>
      </c>
      <c r="H335" s="1">
        <v>0.499</v>
      </c>
      <c r="I335" s="1"/>
      <c r="J335" s="1"/>
    </row>
    <row r="336" spans="1:10" x14ac:dyDescent="0.3">
      <c r="A336" t="str">
        <f t="shared" si="10"/>
        <v>EFG%</v>
      </c>
      <c r="B336">
        <f t="shared" si="11"/>
        <v>1211</v>
      </c>
      <c r="D336" s="1"/>
      <c r="E336" s="1" t="s">
        <v>130</v>
      </c>
      <c r="F336" s="1">
        <v>230</v>
      </c>
      <c r="G336" s="1">
        <v>10</v>
      </c>
      <c r="H336" s="1">
        <v>0.498</v>
      </c>
      <c r="I336" s="1"/>
      <c r="J336" s="1"/>
    </row>
    <row r="337" spans="1:10" x14ac:dyDescent="0.3">
      <c r="A337" t="str">
        <f t="shared" si="10"/>
        <v>EFG%</v>
      </c>
      <c r="B337">
        <f t="shared" si="11"/>
        <v>18811</v>
      </c>
      <c r="D337" s="1"/>
      <c r="E337" s="1" t="s">
        <v>424</v>
      </c>
      <c r="F337" s="1">
        <v>235</v>
      </c>
      <c r="G337" s="1">
        <v>8</v>
      </c>
      <c r="H337" s="1">
        <v>0.497</v>
      </c>
      <c r="I337" s="1"/>
      <c r="J337" s="1"/>
    </row>
    <row r="338" spans="1:10" x14ac:dyDescent="0.3">
      <c r="A338" t="str">
        <f t="shared" si="10"/>
        <v>EFG%</v>
      </c>
      <c r="B338">
        <f t="shared" si="11"/>
        <v>4511</v>
      </c>
      <c r="D338" s="1"/>
      <c r="E338" s="1" t="s">
        <v>84</v>
      </c>
      <c r="F338" s="1">
        <v>247</v>
      </c>
      <c r="G338" s="1">
        <v>7</v>
      </c>
      <c r="H338" s="1">
        <v>0.495</v>
      </c>
      <c r="I338" s="1"/>
      <c r="J338" s="1"/>
    </row>
    <row r="339" spans="1:10" x14ac:dyDescent="0.3">
      <c r="A339" t="str">
        <f t="shared" si="10"/>
        <v>EFG%</v>
      </c>
      <c r="B339">
        <f t="shared" si="11"/>
        <v>3611</v>
      </c>
      <c r="D339" s="1"/>
      <c r="E339" s="1" t="s">
        <v>129</v>
      </c>
      <c r="F339" s="1">
        <v>278</v>
      </c>
      <c r="G339" s="1">
        <v>9</v>
      </c>
      <c r="H339" s="1">
        <v>0.48799999999999999</v>
      </c>
      <c r="I339" s="1"/>
      <c r="J339" s="1"/>
    </row>
    <row r="340" spans="1:10" x14ac:dyDescent="0.3">
      <c r="A340" t="str">
        <f t="shared" si="10"/>
        <v>EFG%</v>
      </c>
      <c r="B340">
        <f t="shared" si="11"/>
        <v>14511</v>
      </c>
      <c r="D340" s="1"/>
      <c r="E340" s="1" t="s">
        <v>402</v>
      </c>
      <c r="F340" s="1">
        <v>292</v>
      </c>
      <c r="G340" s="1">
        <v>10</v>
      </c>
      <c r="H340" s="1">
        <v>0.48399999999999999</v>
      </c>
      <c r="I340" s="1"/>
      <c r="J340" s="1"/>
    </row>
    <row r="341" spans="1:10" x14ac:dyDescent="0.3">
      <c r="A341" t="str">
        <f t="shared" si="10"/>
        <v>EFG%</v>
      </c>
      <c r="B341">
        <f t="shared" si="11"/>
        <v>6211</v>
      </c>
      <c r="D341" s="1"/>
      <c r="E341" s="1" t="s">
        <v>81</v>
      </c>
      <c r="F341" s="1">
        <v>315</v>
      </c>
      <c r="G341" s="1">
        <v>14</v>
      </c>
      <c r="H341" s="1">
        <v>0.47299999999999998</v>
      </c>
      <c r="I341" s="1"/>
      <c r="J341" s="1"/>
    </row>
    <row r="342" spans="1:10" x14ac:dyDescent="0.3">
      <c r="A342" t="str">
        <f t="shared" si="10"/>
        <v>EFG%</v>
      </c>
      <c r="B342">
        <f t="shared" si="11"/>
        <v>1611</v>
      </c>
      <c r="D342" s="1"/>
      <c r="E342" s="1" t="s">
        <v>137</v>
      </c>
      <c r="F342" s="1">
        <v>327</v>
      </c>
      <c r="G342" s="1">
        <v>14</v>
      </c>
      <c r="H342" s="1">
        <v>0.46700000000000003</v>
      </c>
      <c r="I342" s="1"/>
      <c r="J342" s="1"/>
    </row>
    <row r="343" spans="1:10" x14ac:dyDescent="0.3">
      <c r="A343" t="str">
        <f t="shared" si="10"/>
        <v>EFG%</v>
      </c>
      <c r="B343">
        <f t="shared" si="11"/>
        <v>11811</v>
      </c>
      <c r="D343" s="1"/>
      <c r="E343" s="1" t="s">
        <v>281</v>
      </c>
      <c r="F343" s="1">
        <v>328</v>
      </c>
      <c r="G343" s="1">
        <v>6</v>
      </c>
      <c r="H343" s="1">
        <v>0.46600000000000003</v>
      </c>
      <c r="I343" s="1"/>
      <c r="J343" s="1"/>
    </row>
    <row r="344" spans="1:10" x14ac:dyDescent="0.3">
      <c r="A344" t="str">
        <f t="shared" si="10"/>
        <v>FB</v>
      </c>
      <c r="B344">
        <f t="shared" si="11"/>
        <v>5612</v>
      </c>
      <c r="D344" s="1" t="s">
        <v>434</v>
      </c>
      <c r="E344" s="1" t="s">
        <v>62</v>
      </c>
      <c r="F344" s="1">
        <v>1</v>
      </c>
      <c r="G344" s="1">
        <v>1</v>
      </c>
      <c r="H344" s="1">
        <v>17.46</v>
      </c>
      <c r="I344" s="1" t="s">
        <v>62</v>
      </c>
      <c r="J344" s="1">
        <v>17.46</v>
      </c>
    </row>
    <row r="345" spans="1:10" x14ac:dyDescent="0.3">
      <c r="A345" t="str">
        <f t="shared" si="10"/>
        <v>FB</v>
      </c>
      <c r="B345">
        <f t="shared" si="11"/>
        <v>6612</v>
      </c>
      <c r="D345" s="1"/>
      <c r="E345" s="1" t="s">
        <v>247</v>
      </c>
      <c r="F345" s="1">
        <v>11</v>
      </c>
      <c r="G345" s="1">
        <v>1</v>
      </c>
      <c r="H345" s="1">
        <v>15.03</v>
      </c>
      <c r="I345" s="1"/>
      <c r="J345" s="1"/>
    </row>
    <row r="346" spans="1:10" x14ac:dyDescent="0.3">
      <c r="A346" t="str">
        <f t="shared" si="10"/>
        <v>FB</v>
      </c>
      <c r="B346">
        <f t="shared" si="11"/>
        <v>3312</v>
      </c>
      <c r="D346" s="1"/>
      <c r="E346" s="1" t="s">
        <v>91</v>
      </c>
      <c r="F346" s="1">
        <v>12</v>
      </c>
      <c r="G346" s="1">
        <v>2</v>
      </c>
      <c r="H346" s="1">
        <v>14.97</v>
      </c>
      <c r="I346" s="1"/>
      <c r="J346" s="1"/>
    </row>
    <row r="347" spans="1:10" x14ac:dyDescent="0.3">
      <c r="A347" t="str">
        <f t="shared" si="10"/>
        <v>FB</v>
      </c>
      <c r="B347">
        <f t="shared" si="11"/>
        <v>1912</v>
      </c>
      <c r="D347" s="1"/>
      <c r="E347" s="1" t="s">
        <v>112</v>
      </c>
      <c r="F347" s="1">
        <v>13</v>
      </c>
      <c r="G347" s="1">
        <v>1</v>
      </c>
      <c r="H347" s="1">
        <v>14.94</v>
      </c>
      <c r="I347" s="1"/>
      <c r="J347" s="1"/>
    </row>
    <row r="348" spans="1:10" x14ac:dyDescent="0.3">
      <c r="A348" t="str">
        <f t="shared" si="10"/>
        <v>FB</v>
      </c>
      <c r="B348">
        <f t="shared" si="11"/>
        <v>2912</v>
      </c>
      <c r="D348" s="1"/>
      <c r="E348" s="1" t="s">
        <v>96</v>
      </c>
      <c r="F348" s="1">
        <v>20</v>
      </c>
      <c r="G348" s="1">
        <v>1</v>
      </c>
      <c r="H348" s="1">
        <v>13.71</v>
      </c>
      <c r="I348" s="1"/>
      <c r="J348" s="1"/>
    </row>
    <row r="349" spans="1:10" x14ac:dyDescent="0.3">
      <c r="A349" t="str">
        <f t="shared" si="10"/>
        <v>FB</v>
      </c>
      <c r="B349">
        <f t="shared" si="11"/>
        <v>14112</v>
      </c>
      <c r="D349" s="1"/>
      <c r="E349" s="1" t="s">
        <v>299</v>
      </c>
      <c r="F349" s="1">
        <v>21</v>
      </c>
      <c r="G349" s="1">
        <v>1</v>
      </c>
      <c r="H349" s="1">
        <v>13.57</v>
      </c>
      <c r="I349" s="1"/>
      <c r="J349" s="1"/>
    </row>
    <row r="350" spans="1:10" x14ac:dyDescent="0.3">
      <c r="A350" t="str">
        <f t="shared" si="10"/>
        <v>FB</v>
      </c>
      <c r="B350">
        <f t="shared" si="11"/>
        <v>112</v>
      </c>
      <c r="D350" s="1"/>
      <c r="E350" s="1" t="s">
        <v>312</v>
      </c>
      <c r="F350" s="1">
        <v>24</v>
      </c>
      <c r="G350" s="1">
        <v>2</v>
      </c>
      <c r="H350" s="1">
        <v>13.14</v>
      </c>
      <c r="I350" s="1"/>
      <c r="J350" s="1"/>
    </row>
    <row r="351" spans="1:10" x14ac:dyDescent="0.3">
      <c r="A351" t="str">
        <f t="shared" si="10"/>
        <v>FB</v>
      </c>
      <c r="B351">
        <f t="shared" si="11"/>
        <v>3712</v>
      </c>
      <c r="D351" s="1"/>
      <c r="E351" s="1" t="s">
        <v>115</v>
      </c>
      <c r="F351" s="1">
        <v>30</v>
      </c>
      <c r="G351" s="1">
        <v>2</v>
      </c>
      <c r="H351" s="1">
        <v>12.89</v>
      </c>
      <c r="I351" s="1"/>
      <c r="J351" s="1"/>
    </row>
    <row r="352" spans="1:10" x14ac:dyDescent="0.3">
      <c r="A352" t="str">
        <f t="shared" si="10"/>
        <v>FB</v>
      </c>
      <c r="B352">
        <f t="shared" si="11"/>
        <v>4412</v>
      </c>
      <c r="D352" s="1"/>
      <c r="E352" s="1" t="s">
        <v>83</v>
      </c>
      <c r="F352" s="1">
        <v>33</v>
      </c>
      <c r="G352" s="1">
        <v>2</v>
      </c>
      <c r="H352" s="1">
        <v>12.78</v>
      </c>
      <c r="I352" s="1"/>
      <c r="J352" s="1"/>
    </row>
    <row r="353" spans="1:10" x14ac:dyDescent="0.3">
      <c r="A353" t="str">
        <f t="shared" si="10"/>
        <v>FB</v>
      </c>
      <c r="B353">
        <f t="shared" si="11"/>
        <v>3912</v>
      </c>
      <c r="D353" s="1"/>
      <c r="E353" s="1" t="s">
        <v>88</v>
      </c>
      <c r="F353" s="1">
        <v>44</v>
      </c>
      <c r="G353" s="1">
        <v>2</v>
      </c>
      <c r="H353" s="1">
        <v>12.31</v>
      </c>
      <c r="I353" s="1"/>
      <c r="J353" s="1"/>
    </row>
    <row r="354" spans="1:10" x14ac:dyDescent="0.3">
      <c r="A354" t="str">
        <f t="shared" si="10"/>
        <v>FB</v>
      </c>
      <c r="B354">
        <f t="shared" si="11"/>
        <v>14512</v>
      </c>
      <c r="D354" s="1"/>
      <c r="E354" s="1" t="s">
        <v>402</v>
      </c>
      <c r="F354" s="1">
        <v>46</v>
      </c>
      <c r="G354" s="1">
        <v>2</v>
      </c>
      <c r="H354" s="1">
        <v>12.17</v>
      </c>
      <c r="I354" s="1"/>
      <c r="J354" s="1"/>
    </row>
    <row r="355" spans="1:10" x14ac:dyDescent="0.3">
      <c r="A355" t="str">
        <f t="shared" si="10"/>
        <v>FB</v>
      </c>
      <c r="B355">
        <f t="shared" si="11"/>
        <v>18312</v>
      </c>
      <c r="D355" s="1"/>
      <c r="E355" s="1" t="s">
        <v>423</v>
      </c>
      <c r="F355" s="1">
        <v>49</v>
      </c>
      <c r="G355" s="1">
        <v>3</v>
      </c>
      <c r="H355" s="1">
        <v>12.09</v>
      </c>
      <c r="I355" s="1"/>
      <c r="J355" s="1"/>
    </row>
    <row r="356" spans="1:10" x14ac:dyDescent="0.3">
      <c r="A356" t="str">
        <f t="shared" si="10"/>
        <v>FB</v>
      </c>
      <c r="B356">
        <f t="shared" si="11"/>
        <v>15212</v>
      </c>
      <c r="D356" s="1"/>
      <c r="E356" s="1" t="s">
        <v>426</v>
      </c>
      <c r="F356" s="1">
        <v>53</v>
      </c>
      <c r="G356" s="1">
        <v>6</v>
      </c>
      <c r="H356" s="1">
        <v>11.94</v>
      </c>
      <c r="I356" s="1"/>
      <c r="J356" s="1"/>
    </row>
    <row r="357" spans="1:10" x14ac:dyDescent="0.3">
      <c r="A357" t="str">
        <f t="shared" si="10"/>
        <v>FB</v>
      </c>
      <c r="B357">
        <f t="shared" si="11"/>
        <v>11512</v>
      </c>
      <c r="D357" s="1"/>
      <c r="E357" s="1" t="s">
        <v>97</v>
      </c>
      <c r="F357" s="1">
        <v>54</v>
      </c>
      <c r="G357" s="1">
        <v>2</v>
      </c>
      <c r="H357" s="1">
        <v>11.94</v>
      </c>
      <c r="I357" s="1"/>
      <c r="J357" s="1"/>
    </row>
    <row r="358" spans="1:10" x14ac:dyDescent="0.3">
      <c r="A358" t="str">
        <f t="shared" si="10"/>
        <v>FB</v>
      </c>
      <c r="B358">
        <f t="shared" si="11"/>
        <v>8612</v>
      </c>
      <c r="D358" s="1"/>
      <c r="E358" s="1" t="s">
        <v>259</v>
      </c>
      <c r="F358" s="1">
        <v>55</v>
      </c>
      <c r="G358" s="1">
        <v>1</v>
      </c>
      <c r="H358" s="1">
        <v>11.91</v>
      </c>
      <c r="I358" s="1"/>
      <c r="J358" s="1"/>
    </row>
    <row r="359" spans="1:10" x14ac:dyDescent="0.3">
      <c r="A359" t="str">
        <f t="shared" si="10"/>
        <v>FB</v>
      </c>
      <c r="B359">
        <f t="shared" si="11"/>
        <v>6712</v>
      </c>
      <c r="D359" s="1"/>
      <c r="E359" s="1" t="s">
        <v>118</v>
      </c>
      <c r="F359" s="1">
        <v>56</v>
      </c>
      <c r="G359" s="1">
        <v>3</v>
      </c>
      <c r="H359" s="1">
        <v>11.89</v>
      </c>
      <c r="I359" s="1"/>
      <c r="J359" s="1"/>
    </row>
    <row r="360" spans="1:10" x14ac:dyDescent="0.3">
      <c r="A360" t="str">
        <f t="shared" si="10"/>
        <v>FB</v>
      </c>
      <c r="B360">
        <f t="shared" si="11"/>
        <v>6812</v>
      </c>
      <c r="D360" s="1"/>
      <c r="E360" s="1" t="s">
        <v>248</v>
      </c>
      <c r="F360" s="1">
        <v>58</v>
      </c>
      <c r="G360" s="1">
        <v>3</v>
      </c>
      <c r="H360" s="1">
        <v>11.82</v>
      </c>
      <c r="I360" s="1"/>
      <c r="J360" s="1"/>
    </row>
    <row r="361" spans="1:10" x14ac:dyDescent="0.3">
      <c r="A361" t="str">
        <f t="shared" si="10"/>
        <v>FB</v>
      </c>
      <c r="B361">
        <f t="shared" si="11"/>
        <v>19012</v>
      </c>
      <c r="D361" s="1"/>
      <c r="E361" s="1" t="s">
        <v>176</v>
      </c>
      <c r="F361" s="1">
        <v>62</v>
      </c>
      <c r="G361" s="1">
        <v>5</v>
      </c>
      <c r="H361" s="1">
        <v>11.74</v>
      </c>
      <c r="I361" s="1"/>
      <c r="J361" s="1"/>
    </row>
    <row r="362" spans="1:10" x14ac:dyDescent="0.3">
      <c r="A362" t="str">
        <f t="shared" si="10"/>
        <v>FB</v>
      </c>
      <c r="B362">
        <f t="shared" si="11"/>
        <v>9012</v>
      </c>
      <c r="D362" s="1"/>
      <c r="E362" s="1" t="s">
        <v>261</v>
      </c>
      <c r="F362" s="1">
        <v>63</v>
      </c>
      <c r="G362" s="1">
        <v>3</v>
      </c>
      <c r="H362" s="1">
        <v>11.73</v>
      </c>
      <c r="I362" s="1"/>
      <c r="J362" s="1"/>
    </row>
    <row r="363" spans="1:10" x14ac:dyDescent="0.3">
      <c r="A363" t="str">
        <f t="shared" si="10"/>
        <v>FB</v>
      </c>
      <c r="B363">
        <f t="shared" si="11"/>
        <v>8112</v>
      </c>
      <c r="D363" s="1"/>
      <c r="E363" s="1" t="s">
        <v>256</v>
      </c>
      <c r="F363" s="1">
        <v>64</v>
      </c>
      <c r="G363" s="1">
        <v>3</v>
      </c>
      <c r="H363" s="1">
        <v>11.67</v>
      </c>
      <c r="I363" s="1"/>
      <c r="J363" s="1"/>
    </row>
    <row r="364" spans="1:10" x14ac:dyDescent="0.3">
      <c r="A364" t="str">
        <f t="shared" si="10"/>
        <v>FB</v>
      </c>
      <c r="B364">
        <f t="shared" si="11"/>
        <v>18512</v>
      </c>
      <c r="D364" s="1"/>
      <c r="E364" s="1" t="s">
        <v>420</v>
      </c>
      <c r="F364" s="1">
        <v>67</v>
      </c>
      <c r="G364" s="1">
        <v>1</v>
      </c>
      <c r="H364" s="1">
        <v>11.6</v>
      </c>
      <c r="I364" s="1"/>
      <c r="J364" s="1"/>
    </row>
    <row r="365" spans="1:10" x14ac:dyDescent="0.3">
      <c r="A365" t="str">
        <f t="shared" si="10"/>
        <v>FB</v>
      </c>
      <c r="B365">
        <f t="shared" si="11"/>
        <v>5212</v>
      </c>
      <c r="D365" s="1"/>
      <c r="E365" s="1" t="s">
        <v>241</v>
      </c>
      <c r="F365" s="1">
        <v>70</v>
      </c>
      <c r="G365" s="1">
        <v>1</v>
      </c>
      <c r="H365" s="1">
        <v>11.52</v>
      </c>
      <c r="I365" s="1"/>
      <c r="J365" s="1"/>
    </row>
    <row r="366" spans="1:10" x14ac:dyDescent="0.3">
      <c r="A366" t="str">
        <f t="shared" si="10"/>
        <v>FB</v>
      </c>
      <c r="B366">
        <f t="shared" si="11"/>
        <v>18412</v>
      </c>
      <c r="D366" s="1"/>
      <c r="E366" s="1" t="s">
        <v>417</v>
      </c>
      <c r="F366" s="1">
        <v>71</v>
      </c>
      <c r="G366" s="1">
        <v>2</v>
      </c>
      <c r="H366" s="1">
        <v>11.49</v>
      </c>
      <c r="I366" s="1"/>
      <c r="J366" s="1"/>
    </row>
    <row r="367" spans="1:10" x14ac:dyDescent="0.3">
      <c r="A367" t="str">
        <f t="shared" si="10"/>
        <v>FB</v>
      </c>
      <c r="B367">
        <f t="shared" si="11"/>
        <v>4512</v>
      </c>
      <c r="D367" s="1"/>
      <c r="E367" s="1" t="s">
        <v>84</v>
      </c>
      <c r="F367" s="1">
        <v>72</v>
      </c>
      <c r="G367" s="1">
        <v>4</v>
      </c>
      <c r="H367" s="1">
        <v>11.41</v>
      </c>
      <c r="I367" s="1"/>
      <c r="J367" s="1"/>
    </row>
    <row r="368" spans="1:10" x14ac:dyDescent="0.3">
      <c r="A368" t="str">
        <f t="shared" si="10"/>
        <v>FB</v>
      </c>
      <c r="B368">
        <f t="shared" si="11"/>
        <v>2212</v>
      </c>
      <c r="D368" s="1"/>
      <c r="E368" s="1" t="s">
        <v>119</v>
      </c>
      <c r="F368" s="1">
        <v>74</v>
      </c>
      <c r="G368" s="1">
        <v>3</v>
      </c>
      <c r="H368" s="1">
        <v>11.38</v>
      </c>
      <c r="I368" s="1"/>
      <c r="J368" s="1"/>
    </row>
    <row r="369" spans="1:10" x14ac:dyDescent="0.3">
      <c r="A369" t="str">
        <f t="shared" si="10"/>
        <v>FB</v>
      </c>
      <c r="B369">
        <f t="shared" si="11"/>
        <v>19112</v>
      </c>
      <c r="D369" s="1"/>
      <c r="E369" s="1" t="s">
        <v>421</v>
      </c>
      <c r="F369" s="1">
        <v>76</v>
      </c>
      <c r="G369" s="1">
        <v>1</v>
      </c>
      <c r="H369" s="1">
        <v>11.28</v>
      </c>
      <c r="I369" s="1"/>
      <c r="J369" s="1"/>
    </row>
    <row r="370" spans="1:10" x14ac:dyDescent="0.3">
      <c r="A370" t="str">
        <f t="shared" si="10"/>
        <v>FB</v>
      </c>
      <c r="B370">
        <f t="shared" si="11"/>
        <v>712</v>
      </c>
      <c r="D370" s="1"/>
      <c r="E370" s="1" t="s">
        <v>319</v>
      </c>
      <c r="F370" s="1">
        <v>78</v>
      </c>
      <c r="G370" s="1">
        <v>4</v>
      </c>
      <c r="H370" s="1">
        <v>11.22</v>
      </c>
      <c r="I370" s="1"/>
      <c r="J370" s="1"/>
    </row>
    <row r="371" spans="1:10" x14ac:dyDescent="0.3">
      <c r="A371" t="str">
        <f t="shared" si="10"/>
        <v>FB</v>
      </c>
      <c r="B371">
        <f t="shared" si="11"/>
        <v>7412</v>
      </c>
      <c r="D371" s="1"/>
      <c r="E371" s="1" t="s">
        <v>251</v>
      </c>
      <c r="F371" s="1">
        <v>84</v>
      </c>
      <c r="G371" s="1">
        <v>4</v>
      </c>
      <c r="H371" s="1">
        <v>11.08</v>
      </c>
      <c r="I371" s="1"/>
      <c r="J371" s="1"/>
    </row>
    <row r="372" spans="1:10" x14ac:dyDescent="0.3">
      <c r="A372" t="str">
        <f t="shared" si="10"/>
        <v>FB</v>
      </c>
      <c r="B372">
        <f t="shared" si="11"/>
        <v>2812</v>
      </c>
      <c r="D372" s="1"/>
      <c r="E372" s="1" t="s">
        <v>106</v>
      </c>
      <c r="F372" s="1">
        <v>90</v>
      </c>
      <c r="G372" s="1">
        <v>4</v>
      </c>
      <c r="H372" s="1">
        <v>10.97</v>
      </c>
      <c r="I372" s="1"/>
      <c r="J372" s="1"/>
    </row>
    <row r="373" spans="1:10" x14ac:dyDescent="0.3">
      <c r="A373" t="str">
        <f t="shared" si="10"/>
        <v>FB</v>
      </c>
      <c r="B373">
        <f t="shared" si="11"/>
        <v>2312</v>
      </c>
      <c r="D373" s="1"/>
      <c r="E373" s="1" t="s">
        <v>79</v>
      </c>
      <c r="F373" s="1">
        <v>103</v>
      </c>
      <c r="G373" s="1">
        <v>5</v>
      </c>
      <c r="H373" s="1">
        <v>10.69</v>
      </c>
      <c r="I373" s="1"/>
      <c r="J373" s="1"/>
    </row>
    <row r="374" spans="1:10" x14ac:dyDescent="0.3">
      <c r="A374" t="str">
        <f t="shared" si="10"/>
        <v>FB</v>
      </c>
      <c r="B374">
        <f t="shared" si="11"/>
        <v>9412</v>
      </c>
      <c r="D374" s="1"/>
      <c r="E374" s="1" t="s">
        <v>264</v>
      </c>
      <c r="F374" s="1">
        <v>104</v>
      </c>
      <c r="G374" s="1">
        <v>3</v>
      </c>
      <c r="H374" s="1">
        <v>10.69</v>
      </c>
      <c r="I374" s="1"/>
      <c r="J374" s="1"/>
    </row>
    <row r="375" spans="1:10" x14ac:dyDescent="0.3">
      <c r="A375" t="str">
        <f t="shared" si="10"/>
        <v>FB</v>
      </c>
      <c r="B375">
        <f t="shared" si="11"/>
        <v>2412</v>
      </c>
      <c r="D375" s="1"/>
      <c r="E375" s="1" t="s">
        <v>330</v>
      </c>
      <c r="F375" s="1">
        <v>106</v>
      </c>
      <c r="G375" s="1">
        <v>4</v>
      </c>
      <c r="H375" s="1">
        <v>10.64</v>
      </c>
      <c r="I375" s="1"/>
      <c r="J375" s="1"/>
    </row>
    <row r="376" spans="1:10" x14ac:dyDescent="0.3">
      <c r="A376" t="str">
        <f t="shared" si="10"/>
        <v>FB</v>
      </c>
      <c r="B376">
        <f t="shared" si="11"/>
        <v>8812</v>
      </c>
      <c r="D376" s="1"/>
      <c r="E376" s="1" t="s">
        <v>141</v>
      </c>
      <c r="F376" s="1">
        <v>107</v>
      </c>
      <c r="G376" s="1">
        <v>6</v>
      </c>
      <c r="H376" s="1">
        <v>10.6</v>
      </c>
      <c r="I376" s="1"/>
      <c r="J376" s="1"/>
    </row>
    <row r="377" spans="1:10" x14ac:dyDescent="0.3">
      <c r="A377" t="str">
        <f t="shared" si="10"/>
        <v>FB</v>
      </c>
      <c r="B377">
        <f t="shared" si="11"/>
        <v>18812</v>
      </c>
      <c r="D377" s="1"/>
      <c r="E377" s="1" t="s">
        <v>424</v>
      </c>
      <c r="F377" s="1">
        <v>109</v>
      </c>
      <c r="G377" s="1">
        <v>5</v>
      </c>
      <c r="H377" s="1">
        <v>10.57</v>
      </c>
      <c r="I377" s="1"/>
      <c r="J377" s="1"/>
    </row>
    <row r="378" spans="1:10" x14ac:dyDescent="0.3">
      <c r="A378" t="str">
        <f t="shared" si="10"/>
        <v>FB</v>
      </c>
      <c r="B378">
        <f t="shared" si="11"/>
        <v>5512</v>
      </c>
      <c r="D378" s="1"/>
      <c r="E378" s="1" t="s">
        <v>86</v>
      </c>
      <c r="F378" s="1">
        <v>110</v>
      </c>
      <c r="G378" s="1">
        <v>6</v>
      </c>
      <c r="H378" s="1">
        <v>10.56</v>
      </c>
      <c r="I378" s="1"/>
      <c r="J378" s="1"/>
    </row>
    <row r="379" spans="1:10" x14ac:dyDescent="0.3">
      <c r="A379" t="str">
        <f t="shared" si="10"/>
        <v>FB</v>
      </c>
      <c r="B379">
        <f t="shared" si="11"/>
        <v>13312</v>
      </c>
      <c r="D379" s="1"/>
      <c r="E379" s="1" t="s">
        <v>291</v>
      </c>
      <c r="F379" s="1">
        <v>110</v>
      </c>
      <c r="G379" s="1">
        <v>6</v>
      </c>
      <c r="H379" s="1">
        <v>10.56</v>
      </c>
      <c r="I379" s="1"/>
      <c r="J379" s="1"/>
    </row>
    <row r="380" spans="1:10" x14ac:dyDescent="0.3">
      <c r="A380" t="str">
        <f t="shared" si="10"/>
        <v>FB</v>
      </c>
      <c r="B380">
        <f t="shared" si="11"/>
        <v>3212</v>
      </c>
      <c r="D380" s="1"/>
      <c r="E380" s="1" t="s">
        <v>127</v>
      </c>
      <c r="F380" s="1">
        <v>122</v>
      </c>
      <c r="G380" s="1">
        <v>8</v>
      </c>
      <c r="H380" s="1">
        <v>10.32</v>
      </c>
      <c r="I380" s="1"/>
      <c r="J380" s="1"/>
    </row>
    <row r="381" spans="1:10" x14ac:dyDescent="0.3">
      <c r="A381" t="str">
        <f t="shared" si="10"/>
        <v>FB</v>
      </c>
      <c r="B381">
        <f t="shared" si="11"/>
        <v>18612</v>
      </c>
      <c r="D381" s="1"/>
      <c r="E381" s="1" t="s">
        <v>425</v>
      </c>
      <c r="F381" s="1">
        <v>124</v>
      </c>
      <c r="G381" s="1">
        <v>4</v>
      </c>
      <c r="H381" s="1">
        <v>10.31</v>
      </c>
      <c r="I381" s="1"/>
      <c r="J381" s="1"/>
    </row>
    <row r="382" spans="1:10" x14ac:dyDescent="0.3">
      <c r="A382" t="str">
        <f t="shared" si="10"/>
        <v>FB</v>
      </c>
      <c r="B382">
        <f t="shared" si="11"/>
        <v>13412</v>
      </c>
      <c r="D382" s="1"/>
      <c r="E382" s="1" t="s">
        <v>400</v>
      </c>
      <c r="F382" s="1">
        <v>125</v>
      </c>
      <c r="G382" s="1">
        <v>6</v>
      </c>
      <c r="H382" s="1">
        <v>10.29</v>
      </c>
      <c r="I382" s="1"/>
      <c r="J382" s="1"/>
    </row>
    <row r="383" spans="1:10" x14ac:dyDescent="0.3">
      <c r="A383" t="str">
        <f t="shared" si="10"/>
        <v>FB</v>
      </c>
      <c r="B383">
        <f t="shared" si="11"/>
        <v>12012</v>
      </c>
      <c r="D383" s="1"/>
      <c r="E383" s="1" t="s">
        <v>135</v>
      </c>
      <c r="F383" s="1">
        <v>126</v>
      </c>
      <c r="G383" s="1">
        <v>2</v>
      </c>
      <c r="H383" s="1">
        <v>10.199999999999999</v>
      </c>
      <c r="I383" s="1"/>
      <c r="J383" s="1"/>
    </row>
    <row r="384" spans="1:10" x14ac:dyDescent="0.3">
      <c r="A384" t="str">
        <f t="shared" si="10"/>
        <v>FB</v>
      </c>
      <c r="B384">
        <f t="shared" si="11"/>
        <v>18712</v>
      </c>
      <c r="D384" s="1"/>
      <c r="E384" s="1" t="s">
        <v>427</v>
      </c>
      <c r="F384" s="1">
        <v>126</v>
      </c>
      <c r="G384" s="1">
        <v>3</v>
      </c>
      <c r="H384" s="1">
        <v>10.199999999999999</v>
      </c>
      <c r="I384" s="1"/>
      <c r="J384" s="1"/>
    </row>
    <row r="385" spans="1:10" x14ac:dyDescent="0.3">
      <c r="A385" t="str">
        <f t="shared" si="10"/>
        <v>FB</v>
      </c>
      <c r="B385">
        <f t="shared" si="11"/>
        <v>8412</v>
      </c>
      <c r="D385" s="1"/>
      <c r="E385" s="1" t="s">
        <v>109</v>
      </c>
      <c r="F385" s="1">
        <v>148</v>
      </c>
      <c r="G385" s="1">
        <v>2</v>
      </c>
      <c r="H385" s="1">
        <v>9.86</v>
      </c>
      <c r="I385" s="1"/>
      <c r="J385" s="1"/>
    </row>
    <row r="386" spans="1:10" x14ac:dyDescent="0.3">
      <c r="A386" t="str">
        <f t="shared" ref="A386:A449" si="12">IF(NOT(D386=""),INDEX(statAbbr,MATCH(D386,statOfficial,0),1),A385)</f>
        <v>FB</v>
      </c>
      <c r="B386">
        <f t="shared" ref="B386:B449" si="13">INDEX(statID,MATCH(A386,statAbbr,0),1)+INDEX(teamID,MATCH(E386,teamRawName,0))</f>
        <v>12212</v>
      </c>
      <c r="D386" s="1"/>
      <c r="E386" s="1" t="s">
        <v>284</v>
      </c>
      <c r="F386" s="1">
        <v>158</v>
      </c>
      <c r="G386" s="1">
        <v>5</v>
      </c>
      <c r="H386" s="1">
        <v>9.5399999999999991</v>
      </c>
      <c r="I386" s="1"/>
      <c r="J386" s="1"/>
    </row>
    <row r="387" spans="1:10" x14ac:dyDescent="0.3">
      <c r="A387" t="str">
        <f t="shared" si="12"/>
        <v>FB</v>
      </c>
      <c r="B387">
        <f t="shared" si="13"/>
        <v>4312</v>
      </c>
      <c r="D387" s="1"/>
      <c r="E387" s="1" t="s">
        <v>125</v>
      </c>
      <c r="F387" s="1">
        <v>163</v>
      </c>
      <c r="G387" s="1">
        <v>4</v>
      </c>
      <c r="H387" s="1">
        <v>9.39</v>
      </c>
      <c r="I387" s="1"/>
      <c r="J387" s="1"/>
    </row>
    <row r="388" spans="1:10" x14ac:dyDescent="0.3">
      <c r="A388" t="str">
        <f t="shared" si="12"/>
        <v>FB</v>
      </c>
      <c r="B388">
        <f t="shared" si="13"/>
        <v>1412</v>
      </c>
      <c r="D388" s="1"/>
      <c r="E388" s="1" t="s">
        <v>102</v>
      </c>
      <c r="F388" s="1">
        <v>174</v>
      </c>
      <c r="G388" s="1">
        <v>3</v>
      </c>
      <c r="H388" s="1">
        <v>9.1999999999999993</v>
      </c>
      <c r="I388" s="1"/>
      <c r="J388" s="1"/>
    </row>
    <row r="389" spans="1:10" x14ac:dyDescent="0.3">
      <c r="A389" t="str">
        <f t="shared" si="12"/>
        <v>FB</v>
      </c>
      <c r="B389">
        <f t="shared" si="13"/>
        <v>912</v>
      </c>
      <c r="D389" s="1"/>
      <c r="E389" s="1" t="s">
        <v>90</v>
      </c>
      <c r="F389" s="1">
        <v>176</v>
      </c>
      <c r="G389" s="1">
        <v>5</v>
      </c>
      <c r="H389" s="1">
        <v>9.18</v>
      </c>
      <c r="I389" s="1"/>
      <c r="J389" s="1"/>
    </row>
    <row r="390" spans="1:10" x14ac:dyDescent="0.3">
      <c r="A390" t="str">
        <f t="shared" si="12"/>
        <v>FB</v>
      </c>
      <c r="B390">
        <f t="shared" si="13"/>
        <v>18912</v>
      </c>
      <c r="D390" s="1"/>
      <c r="E390" s="1" t="s">
        <v>422</v>
      </c>
      <c r="F390" s="1">
        <v>184</v>
      </c>
      <c r="G390" s="1">
        <v>4</v>
      </c>
      <c r="H390" s="1">
        <v>9</v>
      </c>
      <c r="I390" s="1"/>
      <c r="J390" s="1"/>
    </row>
    <row r="391" spans="1:10" x14ac:dyDescent="0.3">
      <c r="A391" t="str">
        <f t="shared" si="12"/>
        <v>FB</v>
      </c>
      <c r="B391">
        <f t="shared" si="13"/>
        <v>9512</v>
      </c>
      <c r="D391" s="1"/>
      <c r="E391" s="1" t="s">
        <v>85</v>
      </c>
      <c r="F391" s="1">
        <v>192</v>
      </c>
      <c r="G391" s="1">
        <v>8</v>
      </c>
      <c r="H391" s="1">
        <v>8.89</v>
      </c>
      <c r="I391" s="1"/>
      <c r="J391" s="1"/>
    </row>
    <row r="392" spans="1:10" x14ac:dyDescent="0.3">
      <c r="A392" t="str">
        <f t="shared" si="12"/>
        <v>FB</v>
      </c>
      <c r="B392">
        <f t="shared" si="13"/>
        <v>11112</v>
      </c>
      <c r="D392" s="1"/>
      <c r="E392" s="1" t="s">
        <v>277</v>
      </c>
      <c r="F392" s="1">
        <v>194</v>
      </c>
      <c r="G392" s="1">
        <v>6</v>
      </c>
      <c r="H392" s="1">
        <v>8.86</v>
      </c>
      <c r="I392" s="1"/>
      <c r="J392" s="1"/>
    </row>
    <row r="393" spans="1:10" x14ac:dyDescent="0.3">
      <c r="A393" t="str">
        <f t="shared" si="12"/>
        <v>FB</v>
      </c>
      <c r="B393">
        <f t="shared" si="13"/>
        <v>3112</v>
      </c>
      <c r="D393" s="1"/>
      <c r="E393" s="1" t="s">
        <v>93</v>
      </c>
      <c r="F393" s="1">
        <v>196</v>
      </c>
      <c r="G393" s="1">
        <v>10</v>
      </c>
      <c r="H393" s="1">
        <v>8.84</v>
      </c>
      <c r="I393" s="1"/>
      <c r="J393" s="1"/>
    </row>
    <row r="394" spans="1:10" x14ac:dyDescent="0.3">
      <c r="A394" t="str">
        <f t="shared" si="12"/>
        <v>FB</v>
      </c>
      <c r="B394">
        <f t="shared" si="13"/>
        <v>3612</v>
      </c>
      <c r="D394" s="1"/>
      <c r="E394" s="1" t="s">
        <v>129</v>
      </c>
      <c r="F394" s="1">
        <v>197</v>
      </c>
      <c r="G394" s="1">
        <v>9</v>
      </c>
      <c r="H394" s="1">
        <v>8.83</v>
      </c>
      <c r="I394" s="1"/>
      <c r="J394" s="1"/>
    </row>
    <row r="395" spans="1:10" x14ac:dyDescent="0.3">
      <c r="A395" t="str">
        <f t="shared" si="12"/>
        <v>FB</v>
      </c>
      <c r="B395">
        <f t="shared" si="13"/>
        <v>1212</v>
      </c>
      <c r="D395" s="1"/>
      <c r="E395" s="1" t="s">
        <v>130</v>
      </c>
      <c r="F395" s="1">
        <v>199</v>
      </c>
      <c r="G395" s="1">
        <v>4</v>
      </c>
      <c r="H395" s="1">
        <v>8.82</v>
      </c>
      <c r="I395" s="1"/>
      <c r="J395" s="1"/>
    </row>
    <row r="396" spans="1:10" x14ac:dyDescent="0.3">
      <c r="A396" t="str">
        <f t="shared" si="12"/>
        <v>FB</v>
      </c>
      <c r="B396">
        <f t="shared" si="13"/>
        <v>1612</v>
      </c>
      <c r="D396" s="1"/>
      <c r="E396" s="1" t="s">
        <v>137</v>
      </c>
      <c r="F396" s="1">
        <v>202</v>
      </c>
      <c r="G396" s="1">
        <v>10</v>
      </c>
      <c r="H396" s="1">
        <v>8.76</v>
      </c>
      <c r="I396" s="1"/>
      <c r="J396" s="1"/>
    </row>
    <row r="397" spans="1:10" x14ac:dyDescent="0.3">
      <c r="A397" t="str">
        <f t="shared" si="12"/>
        <v>FB</v>
      </c>
      <c r="B397">
        <f t="shared" si="13"/>
        <v>5412</v>
      </c>
      <c r="D397" s="1"/>
      <c r="E397" s="1" t="s">
        <v>94</v>
      </c>
      <c r="F397" s="1">
        <v>203</v>
      </c>
      <c r="G397" s="1">
        <v>7</v>
      </c>
      <c r="H397" s="1">
        <v>8.7200000000000006</v>
      </c>
      <c r="I397" s="1"/>
      <c r="J397" s="1"/>
    </row>
    <row r="398" spans="1:10" x14ac:dyDescent="0.3">
      <c r="A398" t="str">
        <f t="shared" si="12"/>
        <v>FB</v>
      </c>
      <c r="B398">
        <f t="shared" si="13"/>
        <v>11812</v>
      </c>
      <c r="D398" s="1"/>
      <c r="E398" s="1" t="s">
        <v>281</v>
      </c>
      <c r="F398" s="1">
        <v>215</v>
      </c>
      <c r="G398" s="1">
        <v>9</v>
      </c>
      <c r="H398" s="1">
        <v>8.4600000000000009</v>
      </c>
      <c r="I398" s="1"/>
      <c r="J398" s="1"/>
    </row>
    <row r="399" spans="1:10" x14ac:dyDescent="0.3">
      <c r="A399" t="str">
        <f t="shared" si="12"/>
        <v>FB</v>
      </c>
      <c r="B399">
        <f t="shared" si="13"/>
        <v>6212</v>
      </c>
      <c r="D399" s="1"/>
      <c r="E399" s="1" t="s">
        <v>81</v>
      </c>
      <c r="F399" s="1">
        <v>229</v>
      </c>
      <c r="G399" s="1">
        <v>7</v>
      </c>
      <c r="H399" s="1">
        <v>8.15</v>
      </c>
      <c r="I399" s="1"/>
      <c r="J399" s="1"/>
    </row>
    <row r="400" spans="1:10" x14ac:dyDescent="0.3">
      <c r="A400" t="str">
        <f t="shared" si="12"/>
        <v>FB</v>
      </c>
      <c r="B400">
        <f t="shared" si="13"/>
        <v>5812</v>
      </c>
      <c r="D400" s="1"/>
      <c r="E400" s="1" t="s">
        <v>139</v>
      </c>
      <c r="F400" s="1">
        <v>250</v>
      </c>
      <c r="G400" s="1">
        <v>10</v>
      </c>
      <c r="H400" s="1">
        <v>7.67</v>
      </c>
      <c r="I400" s="1"/>
      <c r="J400" s="1"/>
    </row>
    <row r="401" spans="1:10" x14ac:dyDescent="0.3">
      <c r="A401" t="str">
        <f t="shared" si="12"/>
        <v>FB</v>
      </c>
      <c r="B401">
        <f t="shared" si="13"/>
        <v>5312</v>
      </c>
      <c r="D401" s="1"/>
      <c r="E401" s="1" t="s">
        <v>242</v>
      </c>
      <c r="F401" s="1">
        <v>250</v>
      </c>
      <c r="G401" s="1">
        <v>9</v>
      </c>
      <c r="H401" s="1">
        <v>7.67</v>
      </c>
      <c r="I401" s="1"/>
      <c r="J401" s="1"/>
    </row>
    <row r="402" spans="1:10" x14ac:dyDescent="0.3">
      <c r="A402" t="str">
        <f t="shared" si="12"/>
        <v>FB</v>
      </c>
      <c r="B402">
        <f t="shared" si="13"/>
        <v>2112</v>
      </c>
      <c r="D402" s="1"/>
      <c r="E402" s="1" t="s">
        <v>136</v>
      </c>
      <c r="F402" s="1">
        <v>255</v>
      </c>
      <c r="G402" s="1">
        <v>6</v>
      </c>
      <c r="H402" s="1">
        <v>7.62</v>
      </c>
      <c r="I402" s="1"/>
      <c r="J402" s="1"/>
    </row>
    <row r="403" spans="1:10" x14ac:dyDescent="0.3">
      <c r="A403" t="str">
        <f t="shared" si="12"/>
        <v>FB</v>
      </c>
      <c r="B403">
        <f t="shared" si="13"/>
        <v>3412</v>
      </c>
      <c r="D403" s="1"/>
      <c r="E403" s="1" t="s">
        <v>237</v>
      </c>
      <c r="F403" s="1">
        <v>257</v>
      </c>
      <c r="G403" s="1">
        <v>7</v>
      </c>
      <c r="H403" s="1">
        <v>7.59</v>
      </c>
      <c r="I403" s="1"/>
      <c r="J403" s="1"/>
    </row>
    <row r="404" spans="1:10" x14ac:dyDescent="0.3">
      <c r="A404" t="str">
        <f t="shared" si="12"/>
        <v>FB</v>
      </c>
      <c r="B404">
        <f t="shared" si="13"/>
        <v>2612</v>
      </c>
      <c r="D404" s="1"/>
      <c r="E404" s="1" t="s">
        <v>80</v>
      </c>
      <c r="F404" s="1">
        <v>293</v>
      </c>
      <c r="G404" s="1">
        <v>12</v>
      </c>
      <c r="H404" s="1">
        <v>6.79</v>
      </c>
      <c r="I404" s="1"/>
      <c r="J404" s="1"/>
    </row>
    <row r="405" spans="1:10" x14ac:dyDescent="0.3">
      <c r="A405" t="str">
        <f t="shared" si="12"/>
        <v>FB</v>
      </c>
      <c r="B405">
        <f t="shared" si="13"/>
        <v>4612</v>
      </c>
      <c r="D405" s="1"/>
      <c r="E405" s="1" t="s">
        <v>101</v>
      </c>
      <c r="F405" s="1">
        <v>307</v>
      </c>
      <c r="G405" s="1">
        <v>8</v>
      </c>
      <c r="H405" s="1">
        <v>6.36</v>
      </c>
      <c r="I405" s="1"/>
      <c r="J405" s="1"/>
    </row>
    <row r="406" spans="1:10" x14ac:dyDescent="0.3">
      <c r="A406" t="str">
        <f t="shared" si="12"/>
        <v>FB</v>
      </c>
      <c r="B406">
        <f t="shared" si="13"/>
        <v>3512</v>
      </c>
      <c r="D406" s="1"/>
      <c r="E406" s="1" t="s">
        <v>87</v>
      </c>
      <c r="F406" s="1">
        <v>312</v>
      </c>
      <c r="G406" s="1">
        <v>13</v>
      </c>
      <c r="H406" s="1">
        <v>6.25</v>
      </c>
      <c r="I406" s="1"/>
      <c r="J406" s="1"/>
    </row>
    <row r="407" spans="1:10" x14ac:dyDescent="0.3">
      <c r="A407" t="str">
        <f t="shared" si="12"/>
        <v>FB</v>
      </c>
      <c r="B407">
        <f t="shared" si="13"/>
        <v>7912</v>
      </c>
      <c r="D407" s="1"/>
      <c r="E407" s="1" t="s">
        <v>103</v>
      </c>
      <c r="F407" s="1">
        <v>316</v>
      </c>
      <c r="G407" s="1">
        <v>9</v>
      </c>
      <c r="H407" s="1">
        <v>6.12</v>
      </c>
      <c r="I407" s="1"/>
      <c r="J407" s="1"/>
    </row>
    <row r="408" spans="1:10" x14ac:dyDescent="0.3">
      <c r="A408" t="str">
        <f t="shared" si="12"/>
        <v>FB</v>
      </c>
      <c r="B408">
        <f t="shared" si="13"/>
        <v>14312</v>
      </c>
      <c r="D408" s="1"/>
      <c r="E408" s="1" t="s">
        <v>391</v>
      </c>
      <c r="F408" s="1">
        <v>318</v>
      </c>
      <c r="G408" s="1">
        <v>11</v>
      </c>
      <c r="H408" s="1">
        <v>6.11</v>
      </c>
      <c r="I408" s="1"/>
      <c r="J408" s="1"/>
    </row>
    <row r="409" spans="1:10" x14ac:dyDescent="0.3">
      <c r="A409" t="str">
        <f t="shared" si="12"/>
        <v>FB</v>
      </c>
      <c r="B409">
        <f t="shared" si="13"/>
        <v>612</v>
      </c>
      <c r="D409" s="1"/>
      <c r="E409" s="1" t="s">
        <v>100</v>
      </c>
      <c r="F409" s="1">
        <v>326</v>
      </c>
      <c r="G409" s="1">
        <v>11</v>
      </c>
      <c r="H409" s="1">
        <v>5.61</v>
      </c>
      <c r="I409" s="1"/>
      <c r="J409" s="1"/>
    </row>
    <row r="410" spans="1:10" x14ac:dyDescent="0.3">
      <c r="A410" t="str">
        <f t="shared" si="12"/>
        <v>FB</v>
      </c>
      <c r="B410">
        <f t="shared" si="13"/>
        <v>3012</v>
      </c>
      <c r="D410" s="1"/>
      <c r="E410" s="1" t="s">
        <v>89</v>
      </c>
      <c r="F410" s="1">
        <v>331</v>
      </c>
      <c r="G410" s="1">
        <v>12</v>
      </c>
      <c r="H410" s="1">
        <v>5.23</v>
      </c>
      <c r="I410" s="1"/>
      <c r="J410" s="1"/>
    </row>
    <row r="411" spans="1:10" x14ac:dyDescent="0.3">
      <c r="A411" t="str">
        <f t="shared" si="12"/>
        <v>FB</v>
      </c>
      <c r="B411">
        <f t="shared" si="13"/>
        <v>2512</v>
      </c>
      <c r="D411" s="1"/>
      <c r="E411" s="1" t="s">
        <v>92</v>
      </c>
      <c r="F411" s="1">
        <v>344</v>
      </c>
      <c r="G411" s="1">
        <v>9</v>
      </c>
      <c r="H411" s="1">
        <v>4.63</v>
      </c>
      <c r="I411" s="1"/>
      <c r="J411" s="1"/>
    </row>
    <row r="412" spans="1:10" x14ac:dyDescent="0.3">
      <c r="A412" t="str">
        <f t="shared" si="12"/>
        <v>FG%</v>
      </c>
      <c r="B412">
        <f t="shared" si="13"/>
        <v>4413</v>
      </c>
      <c r="D412" s="1" t="s">
        <v>435</v>
      </c>
      <c r="E412" s="1" t="s">
        <v>83</v>
      </c>
      <c r="F412" s="1">
        <v>1</v>
      </c>
      <c r="G412" s="1">
        <v>1</v>
      </c>
      <c r="H412" s="1">
        <v>52.1</v>
      </c>
      <c r="I412" s="1" t="s">
        <v>83</v>
      </c>
      <c r="J412" s="1">
        <v>52.1</v>
      </c>
    </row>
    <row r="413" spans="1:10" x14ac:dyDescent="0.3">
      <c r="A413" t="str">
        <f t="shared" si="12"/>
        <v>FG%</v>
      </c>
      <c r="B413">
        <f t="shared" si="13"/>
        <v>8413</v>
      </c>
      <c r="D413" s="1"/>
      <c r="E413" s="1" t="s">
        <v>109</v>
      </c>
      <c r="F413" s="1">
        <v>2</v>
      </c>
      <c r="G413" s="1">
        <v>1</v>
      </c>
      <c r="H413" s="1">
        <v>51.1</v>
      </c>
      <c r="I413" s="1"/>
      <c r="J413" s="1"/>
    </row>
    <row r="414" spans="1:10" x14ac:dyDescent="0.3">
      <c r="A414" t="str">
        <f t="shared" si="12"/>
        <v>FG%</v>
      </c>
      <c r="B414">
        <f t="shared" si="13"/>
        <v>2913</v>
      </c>
      <c r="D414" s="1"/>
      <c r="E414" s="1" t="s">
        <v>96</v>
      </c>
      <c r="F414" s="1">
        <v>5</v>
      </c>
      <c r="G414" s="1">
        <v>1</v>
      </c>
      <c r="H414" s="1">
        <v>49.4</v>
      </c>
      <c r="I414" s="1"/>
      <c r="J414" s="1"/>
    </row>
    <row r="415" spans="1:10" x14ac:dyDescent="0.3">
      <c r="A415" t="str">
        <f t="shared" si="12"/>
        <v>FG%</v>
      </c>
      <c r="B415">
        <f t="shared" si="13"/>
        <v>18913</v>
      </c>
      <c r="D415" s="1"/>
      <c r="E415" s="1" t="s">
        <v>422</v>
      </c>
      <c r="F415" s="1">
        <v>6</v>
      </c>
      <c r="G415" s="1">
        <v>1</v>
      </c>
      <c r="H415" s="1">
        <v>49.3</v>
      </c>
      <c r="I415" s="1"/>
      <c r="J415" s="1"/>
    </row>
    <row r="416" spans="1:10" x14ac:dyDescent="0.3">
      <c r="A416" t="str">
        <f t="shared" si="12"/>
        <v>FG%</v>
      </c>
      <c r="B416">
        <f t="shared" si="13"/>
        <v>7413</v>
      </c>
      <c r="D416" s="1"/>
      <c r="E416" s="1" t="s">
        <v>251</v>
      </c>
      <c r="F416" s="1">
        <v>7</v>
      </c>
      <c r="G416" s="1">
        <v>1</v>
      </c>
      <c r="H416" s="1">
        <v>49.2</v>
      </c>
      <c r="I416" s="1"/>
      <c r="J416" s="1"/>
    </row>
    <row r="417" spans="1:10" x14ac:dyDescent="0.3">
      <c r="A417" t="str">
        <f t="shared" si="12"/>
        <v>FG%</v>
      </c>
      <c r="B417">
        <f t="shared" si="13"/>
        <v>9413</v>
      </c>
      <c r="D417" s="1"/>
      <c r="E417" s="1" t="s">
        <v>264</v>
      </c>
      <c r="F417" s="1">
        <v>12</v>
      </c>
      <c r="G417" s="1">
        <v>1</v>
      </c>
      <c r="H417" s="1">
        <v>48.6</v>
      </c>
      <c r="I417" s="1"/>
      <c r="J417" s="1"/>
    </row>
    <row r="418" spans="1:10" x14ac:dyDescent="0.3">
      <c r="A418" t="str">
        <f t="shared" si="12"/>
        <v>FG%</v>
      </c>
      <c r="B418">
        <f t="shared" si="13"/>
        <v>3313</v>
      </c>
      <c r="D418" s="1"/>
      <c r="E418" s="1" t="s">
        <v>91</v>
      </c>
      <c r="F418" s="1">
        <v>13</v>
      </c>
      <c r="G418" s="1">
        <v>2</v>
      </c>
      <c r="H418" s="1">
        <v>48.6</v>
      </c>
      <c r="I418" s="1"/>
      <c r="J418" s="1"/>
    </row>
    <row r="419" spans="1:10" x14ac:dyDescent="0.3">
      <c r="A419" t="str">
        <f t="shared" si="12"/>
        <v>FG%</v>
      </c>
      <c r="B419">
        <f t="shared" si="13"/>
        <v>19013</v>
      </c>
      <c r="D419" s="1"/>
      <c r="E419" s="1" t="s">
        <v>176</v>
      </c>
      <c r="F419" s="1">
        <v>16</v>
      </c>
      <c r="G419" s="1">
        <v>1</v>
      </c>
      <c r="H419" s="1">
        <v>48.2</v>
      </c>
      <c r="I419" s="1"/>
      <c r="J419" s="1"/>
    </row>
    <row r="420" spans="1:10" x14ac:dyDescent="0.3">
      <c r="A420" t="str">
        <f t="shared" si="12"/>
        <v>FG%</v>
      </c>
      <c r="B420">
        <f t="shared" si="13"/>
        <v>113</v>
      </c>
      <c r="D420" s="1"/>
      <c r="E420" s="1" t="s">
        <v>312</v>
      </c>
      <c r="F420" s="1">
        <v>20</v>
      </c>
      <c r="G420" s="1">
        <v>1</v>
      </c>
      <c r="H420" s="1">
        <v>48</v>
      </c>
      <c r="I420" s="1"/>
      <c r="J420" s="1"/>
    </row>
    <row r="421" spans="1:10" x14ac:dyDescent="0.3">
      <c r="A421" t="str">
        <f t="shared" si="12"/>
        <v>FG%</v>
      </c>
      <c r="B421">
        <f t="shared" si="13"/>
        <v>1413</v>
      </c>
      <c r="D421" s="1"/>
      <c r="E421" s="1" t="s">
        <v>102</v>
      </c>
      <c r="F421" s="1">
        <v>21</v>
      </c>
      <c r="G421" s="1">
        <v>3</v>
      </c>
      <c r="H421" s="1">
        <v>47.9</v>
      </c>
      <c r="I421" s="1"/>
      <c r="J421" s="1"/>
    </row>
    <row r="422" spans="1:10" x14ac:dyDescent="0.3">
      <c r="A422" t="str">
        <f t="shared" si="12"/>
        <v>FG%</v>
      </c>
      <c r="B422">
        <f t="shared" si="13"/>
        <v>6613</v>
      </c>
      <c r="D422" s="1"/>
      <c r="E422" s="1" t="s">
        <v>247</v>
      </c>
      <c r="F422" s="1">
        <v>22</v>
      </c>
      <c r="G422" s="1">
        <v>1</v>
      </c>
      <c r="H422" s="1">
        <v>47.9</v>
      </c>
      <c r="I422" s="1"/>
      <c r="J422" s="1"/>
    </row>
    <row r="423" spans="1:10" x14ac:dyDescent="0.3">
      <c r="A423" t="str">
        <f t="shared" si="12"/>
        <v>FG%</v>
      </c>
      <c r="B423">
        <f t="shared" si="13"/>
        <v>19113</v>
      </c>
      <c r="D423" s="1"/>
      <c r="E423" s="1" t="s">
        <v>421</v>
      </c>
      <c r="F423" s="1">
        <v>24</v>
      </c>
      <c r="G423" s="1">
        <v>1</v>
      </c>
      <c r="H423" s="1">
        <v>47.7</v>
      </c>
      <c r="I423" s="1"/>
      <c r="J423" s="1"/>
    </row>
    <row r="424" spans="1:10" x14ac:dyDescent="0.3">
      <c r="A424" t="str">
        <f t="shared" si="12"/>
        <v>FG%</v>
      </c>
      <c r="B424">
        <f t="shared" si="13"/>
        <v>18713</v>
      </c>
      <c r="D424" s="1"/>
      <c r="E424" s="1" t="s">
        <v>427</v>
      </c>
      <c r="F424" s="1">
        <v>27</v>
      </c>
      <c r="G424" s="1">
        <v>1</v>
      </c>
      <c r="H424" s="1">
        <v>47.5</v>
      </c>
      <c r="I424" s="1"/>
      <c r="J424" s="1"/>
    </row>
    <row r="425" spans="1:10" x14ac:dyDescent="0.3">
      <c r="A425" t="str">
        <f t="shared" si="12"/>
        <v>FG%</v>
      </c>
      <c r="B425">
        <f t="shared" si="13"/>
        <v>18513</v>
      </c>
      <c r="D425" s="1"/>
      <c r="E425" s="1" t="s">
        <v>420</v>
      </c>
      <c r="F425" s="1">
        <v>28</v>
      </c>
      <c r="G425" s="1">
        <v>2</v>
      </c>
      <c r="H425" s="1">
        <v>47.4</v>
      </c>
      <c r="I425" s="1"/>
      <c r="J425" s="1"/>
    </row>
    <row r="426" spans="1:10" x14ac:dyDescent="0.3">
      <c r="A426" t="str">
        <f t="shared" si="12"/>
        <v>FG%</v>
      </c>
      <c r="B426">
        <f t="shared" si="13"/>
        <v>7913</v>
      </c>
      <c r="D426" s="1"/>
      <c r="E426" s="1" t="s">
        <v>103</v>
      </c>
      <c r="F426" s="1">
        <v>29</v>
      </c>
      <c r="G426" s="1">
        <v>2</v>
      </c>
      <c r="H426" s="1">
        <v>47.4</v>
      </c>
      <c r="I426" s="1"/>
      <c r="J426" s="1"/>
    </row>
    <row r="427" spans="1:10" x14ac:dyDescent="0.3">
      <c r="A427" t="str">
        <f t="shared" si="12"/>
        <v>FG%</v>
      </c>
      <c r="B427">
        <f t="shared" si="13"/>
        <v>6713</v>
      </c>
      <c r="D427" s="1"/>
      <c r="E427" s="1" t="s">
        <v>118</v>
      </c>
      <c r="F427" s="1">
        <v>31</v>
      </c>
      <c r="G427" s="1">
        <v>1</v>
      </c>
      <c r="H427" s="1">
        <v>47.3</v>
      </c>
      <c r="I427" s="1"/>
      <c r="J427" s="1"/>
    </row>
    <row r="428" spans="1:10" x14ac:dyDescent="0.3">
      <c r="A428" t="str">
        <f t="shared" si="12"/>
        <v>FG%</v>
      </c>
      <c r="B428">
        <f t="shared" si="13"/>
        <v>14113</v>
      </c>
      <c r="D428" s="1"/>
      <c r="E428" s="1" t="s">
        <v>299</v>
      </c>
      <c r="F428" s="1">
        <v>36</v>
      </c>
      <c r="G428" s="1">
        <v>1</v>
      </c>
      <c r="H428" s="1">
        <v>47.2</v>
      </c>
      <c r="I428" s="1"/>
      <c r="J428" s="1"/>
    </row>
    <row r="429" spans="1:10" x14ac:dyDescent="0.3">
      <c r="A429" t="str">
        <f t="shared" si="12"/>
        <v>FG%</v>
      </c>
      <c r="B429">
        <f t="shared" si="13"/>
        <v>3113</v>
      </c>
      <c r="D429" s="1"/>
      <c r="E429" s="1" t="s">
        <v>93</v>
      </c>
      <c r="F429" s="1">
        <v>47</v>
      </c>
      <c r="G429" s="1">
        <v>3</v>
      </c>
      <c r="H429" s="1">
        <v>46.9</v>
      </c>
      <c r="I429" s="1"/>
      <c r="J429" s="1"/>
    </row>
    <row r="430" spans="1:10" x14ac:dyDescent="0.3">
      <c r="A430" t="str">
        <f t="shared" si="12"/>
        <v>FG%</v>
      </c>
      <c r="B430">
        <f t="shared" si="13"/>
        <v>12013</v>
      </c>
      <c r="D430" s="1"/>
      <c r="E430" s="1" t="s">
        <v>135</v>
      </c>
      <c r="F430" s="1">
        <v>48</v>
      </c>
      <c r="G430" s="1">
        <v>3</v>
      </c>
      <c r="H430" s="1">
        <v>46.9</v>
      </c>
      <c r="I430" s="1"/>
      <c r="J430" s="1"/>
    </row>
    <row r="431" spans="1:10" x14ac:dyDescent="0.3">
      <c r="A431" t="str">
        <f t="shared" si="12"/>
        <v>FG%</v>
      </c>
      <c r="B431">
        <f t="shared" si="13"/>
        <v>9513</v>
      </c>
      <c r="D431" s="1"/>
      <c r="E431" s="1" t="s">
        <v>85</v>
      </c>
      <c r="F431" s="1">
        <v>49</v>
      </c>
      <c r="G431" s="1">
        <v>3</v>
      </c>
      <c r="H431" s="1">
        <v>46.9</v>
      </c>
      <c r="I431" s="1"/>
      <c r="J431" s="1"/>
    </row>
    <row r="432" spans="1:10" x14ac:dyDescent="0.3">
      <c r="A432" t="str">
        <f t="shared" si="12"/>
        <v>FG%</v>
      </c>
      <c r="B432">
        <f t="shared" si="13"/>
        <v>3913</v>
      </c>
      <c r="D432" s="1"/>
      <c r="E432" s="1" t="s">
        <v>88</v>
      </c>
      <c r="F432" s="1">
        <v>50</v>
      </c>
      <c r="G432" s="1">
        <v>2</v>
      </c>
      <c r="H432" s="1">
        <v>46.8</v>
      </c>
      <c r="I432" s="1"/>
      <c r="J432" s="1"/>
    </row>
    <row r="433" spans="1:10" x14ac:dyDescent="0.3">
      <c r="A433" t="str">
        <f t="shared" si="12"/>
        <v>FG%</v>
      </c>
      <c r="B433">
        <f t="shared" si="13"/>
        <v>2213</v>
      </c>
      <c r="D433" s="1"/>
      <c r="E433" s="1" t="s">
        <v>119</v>
      </c>
      <c r="F433" s="1">
        <v>57</v>
      </c>
      <c r="G433" s="1">
        <v>2</v>
      </c>
      <c r="H433" s="1">
        <v>46.6</v>
      </c>
      <c r="I433" s="1"/>
      <c r="J433" s="1"/>
    </row>
    <row r="434" spans="1:10" x14ac:dyDescent="0.3">
      <c r="A434" t="str">
        <f t="shared" si="12"/>
        <v>FG%</v>
      </c>
      <c r="B434">
        <f t="shared" si="13"/>
        <v>8113</v>
      </c>
      <c r="D434" s="1"/>
      <c r="E434" s="1" t="s">
        <v>256</v>
      </c>
      <c r="F434" s="1">
        <v>60</v>
      </c>
      <c r="G434" s="1">
        <v>2</v>
      </c>
      <c r="H434" s="1">
        <v>46.6</v>
      </c>
      <c r="I434" s="1"/>
      <c r="J434" s="1"/>
    </row>
    <row r="435" spans="1:10" x14ac:dyDescent="0.3">
      <c r="A435" t="str">
        <f t="shared" si="12"/>
        <v>FG%</v>
      </c>
      <c r="B435">
        <f t="shared" si="13"/>
        <v>2313</v>
      </c>
      <c r="D435" s="1"/>
      <c r="E435" s="1" t="s">
        <v>79</v>
      </c>
      <c r="F435" s="1">
        <v>68</v>
      </c>
      <c r="G435" s="1">
        <v>4</v>
      </c>
      <c r="H435" s="1">
        <v>46.4</v>
      </c>
      <c r="I435" s="1"/>
      <c r="J435" s="1"/>
    </row>
    <row r="436" spans="1:10" x14ac:dyDescent="0.3">
      <c r="A436" t="str">
        <f t="shared" si="12"/>
        <v>FG%</v>
      </c>
      <c r="B436">
        <f t="shared" si="13"/>
        <v>14313</v>
      </c>
      <c r="D436" s="1"/>
      <c r="E436" s="1" t="s">
        <v>391</v>
      </c>
      <c r="F436" s="1">
        <v>69</v>
      </c>
      <c r="G436" s="1">
        <v>2</v>
      </c>
      <c r="H436" s="1">
        <v>46.3</v>
      </c>
      <c r="I436" s="1"/>
      <c r="J436" s="1"/>
    </row>
    <row r="437" spans="1:10" x14ac:dyDescent="0.3">
      <c r="A437" t="str">
        <f t="shared" si="12"/>
        <v>FG%</v>
      </c>
      <c r="B437">
        <f t="shared" si="13"/>
        <v>12213</v>
      </c>
      <c r="D437" s="1"/>
      <c r="E437" s="1" t="s">
        <v>284</v>
      </c>
      <c r="F437" s="1">
        <v>70</v>
      </c>
      <c r="G437" s="1">
        <v>4</v>
      </c>
      <c r="H437" s="1">
        <v>46.3</v>
      </c>
      <c r="I437" s="1"/>
      <c r="J437" s="1"/>
    </row>
    <row r="438" spans="1:10" x14ac:dyDescent="0.3">
      <c r="A438" t="str">
        <f t="shared" si="12"/>
        <v>FG%</v>
      </c>
      <c r="B438">
        <f t="shared" si="13"/>
        <v>5813</v>
      </c>
      <c r="D438" s="1"/>
      <c r="E438" s="1" t="s">
        <v>139</v>
      </c>
      <c r="F438" s="1">
        <v>72</v>
      </c>
      <c r="G438" s="1">
        <v>5</v>
      </c>
      <c r="H438" s="1">
        <v>46.2</v>
      </c>
      <c r="I438" s="1"/>
      <c r="J438" s="1"/>
    </row>
    <row r="439" spans="1:10" x14ac:dyDescent="0.3">
      <c r="A439" t="str">
        <f t="shared" si="12"/>
        <v>FG%</v>
      </c>
      <c r="B439">
        <f t="shared" si="13"/>
        <v>713</v>
      </c>
      <c r="D439" s="1"/>
      <c r="E439" s="1" t="s">
        <v>319</v>
      </c>
      <c r="F439" s="1">
        <v>79</v>
      </c>
      <c r="G439" s="1">
        <v>3</v>
      </c>
      <c r="H439" s="1">
        <v>46.1</v>
      </c>
      <c r="I439" s="1"/>
      <c r="J439" s="1"/>
    </row>
    <row r="440" spans="1:10" x14ac:dyDescent="0.3">
      <c r="A440" t="str">
        <f t="shared" si="12"/>
        <v>FG%</v>
      </c>
      <c r="B440">
        <f t="shared" si="13"/>
        <v>18613</v>
      </c>
      <c r="D440" s="1"/>
      <c r="E440" s="1" t="s">
        <v>425</v>
      </c>
      <c r="F440" s="1">
        <v>83</v>
      </c>
      <c r="G440" s="1">
        <v>4</v>
      </c>
      <c r="H440" s="1">
        <v>46.1</v>
      </c>
      <c r="I440" s="1"/>
      <c r="J440" s="1"/>
    </row>
    <row r="441" spans="1:10" x14ac:dyDescent="0.3">
      <c r="A441" t="str">
        <f t="shared" si="12"/>
        <v>FG%</v>
      </c>
      <c r="B441">
        <f t="shared" si="13"/>
        <v>9013</v>
      </c>
      <c r="D441" s="1"/>
      <c r="E441" s="1" t="s">
        <v>261</v>
      </c>
      <c r="F441" s="1">
        <v>85</v>
      </c>
      <c r="G441" s="1">
        <v>2</v>
      </c>
      <c r="H441" s="1">
        <v>46</v>
      </c>
      <c r="I441" s="1"/>
      <c r="J441" s="1"/>
    </row>
    <row r="442" spans="1:10" x14ac:dyDescent="0.3">
      <c r="A442" t="str">
        <f t="shared" si="12"/>
        <v>FG%</v>
      </c>
      <c r="B442">
        <f t="shared" si="13"/>
        <v>8613</v>
      </c>
      <c r="D442" s="1"/>
      <c r="E442" s="1" t="s">
        <v>259</v>
      </c>
      <c r="F442" s="1">
        <v>90</v>
      </c>
      <c r="G442" s="1">
        <v>1</v>
      </c>
      <c r="H442" s="1">
        <v>45.9</v>
      </c>
      <c r="I442" s="1"/>
      <c r="J442" s="1"/>
    </row>
    <row r="443" spans="1:10" x14ac:dyDescent="0.3">
      <c r="A443" t="str">
        <f t="shared" si="12"/>
        <v>FG%</v>
      </c>
      <c r="B443">
        <f t="shared" si="13"/>
        <v>2813</v>
      </c>
      <c r="D443" s="1"/>
      <c r="E443" s="1" t="s">
        <v>106</v>
      </c>
      <c r="F443" s="1">
        <v>91</v>
      </c>
      <c r="G443" s="1">
        <v>3</v>
      </c>
      <c r="H443" s="1">
        <v>45.8</v>
      </c>
      <c r="I443" s="1"/>
      <c r="J443" s="1"/>
    </row>
    <row r="444" spans="1:10" x14ac:dyDescent="0.3">
      <c r="A444" t="str">
        <f t="shared" si="12"/>
        <v>FG%</v>
      </c>
      <c r="B444">
        <f t="shared" si="13"/>
        <v>8813</v>
      </c>
      <c r="D444" s="1"/>
      <c r="E444" s="1" t="s">
        <v>141</v>
      </c>
      <c r="F444" s="1">
        <v>92</v>
      </c>
      <c r="G444" s="1">
        <v>3</v>
      </c>
      <c r="H444" s="1">
        <v>45.8</v>
      </c>
      <c r="I444" s="1"/>
      <c r="J444" s="1"/>
    </row>
    <row r="445" spans="1:10" x14ac:dyDescent="0.3">
      <c r="A445" t="str">
        <f t="shared" si="12"/>
        <v>FG%</v>
      </c>
      <c r="B445">
        <f t="shared" si="13"/>
        <v>3013</v>
      </c>
      <c r="D445" s="1"/>
      <c r="E445" s="1" t="s">
        <v>89</v>
      </c>
      <c r="F445" s="1">
        <v>103</v>
      </c>
      <c r="G445" s="1">
        <v>5</v>
      </c>
      <c r="H445" s="1">
        <v>45.7</v>
      </c>
      <c r="I445" s="1"/>
      <c r="J445" s="1"/>
    </row>
    <row r="446" spans="1:10" x14ac:dyDescent="0.3">
      <c r="A446" t="str">
        <f t="shared" si="12"/>
        <v>FG%</v>
      </c>
      <c r="B446">
        <f t="shared" si="13"/>
        <v>6813</v>
      </c>
      <c r="D446" s="1"/>
      <c r="E446" s="1" t="s">
        <v>248</v>
      </c>
      <c r="F446" s="1">
        <v>104</v>
      </c>
      <c r="G446" s="1">
        <v>5</v>
      </c>
      <c r="H446" s="1">
        <v>45.6</v>
      </c>
      <c r="I446" s="1"/>
      <c r="J446" s="1"/>
    </row>
    <row r="447" spans="1:10" x14ac:dyDescent="0.3">
      <c r="A447" t="str">
        <f t="shared" si="12"/>
        <v>FG%</v>
      </c>
      <c r="B447">
        <f t="shared" si="13"/>
        <v>2413</v>
      </c>
      <c r="D447" s="1"/>
      <c r="E447" s="1" t="s">
        <v>330</v>
      </c>
      <c r="F447" s="1">
        <v>110</v>
      </c>
      <c r="G447" s="1">
        <v>3</v>
      </c>
      <c r="H447" s="1">
        <v>45.5</v>
      </c>
      <c r="I447" s="1"/>
      <c r="J447" s="1"/>
    </row>
    <row r="448" spans="1:10" x14ac:dyDescent="0.3">
      <c r="A448" t="str">
        <f t="shared" si="12"/>
        <v>FG%</v>
      </c>
      <c r="B448">
        <f t="shared" si="13"/>
        <v>2513</v>
      </c>
      <c r="D448" s="1"/>
      <c r="E448" s="1" t="s">
        <v>92</v>
      </c>
      <c r="F448" s="1">
        <v>113</v>
      </c>
      <c r="G448" s="1">
        <v>4</v>
      </c>
      <c r="H448" s="1">
        <v>45.5</v>
      </c>
      <c r="I448" s="1"/>
      <c r="J448" s="1"/>
    </row>
    <row r="449" spans="1:10" x14ac:dyDescent="0.3">
      <c r="A449" t="str">
        <f t="shared" si="12"/>
        <v>FG%</v>
      </c>
      <c r="B449">
        <f t="shared" si="13"/>
        <v>3413</v>
      </c>
      <c r="D449" s="1"/>
      <c r="E449" s="1" t="s">
        <v>237</v>
      </c>
      <c r="F449" s="1">
        <v>114</v>
      </c>
      <c r="G449" s="1">
        <v>4</v>
      </c>
      <c r="H449" s="1">
        <v>45.5</v>
      </c>
      <c r="I449" s="1"/>
      <c r="J449" s="1"/>
    </row>
    <row r="450" spans="1:10" x14ac:dyDescent="0.3">
      <c r="A450" t="str">
        <f t="shared" ref="A450:A513" si="14">IF(NOT(D450=""),INDEX(statAbbr,MATCH(D450,statOfficial,0),1),A449)</f>
        <v>FG%</v>
      </c>
      <c r="B450">
        <f t="shared" ref="B450:B513" si="15">INDEX(statID,MATCH(A450,statAbbr,0),1)+INDEX(teamID,MATCH(E450,teamRawName,0))</f>
        <v>5513</v>
      </c>
      <c r="D450" s="1"/>
      <c r="E450" s="1" t="s">
        <v>86</v>
      </c>
      <c r="F450" s="1">
        <v>120</v>
      </c>
      <c r="G450" s="1">
        <v>3</v>
      </c>
      <c r="H450" s="1">
        <v>45.4</v>
      </c>
      <c r="I450" s="1"/>
      <c r="J450" s="1"/>
    </row>
    <row r="451" spans="1:10" x14ac:dyDescent="0.3">
      <c r="A451" t="str">
        <f t="shared" si="14"/>
        <v>FG%</v>
      </c>
      <c r="B451">
        <f t="shared" si="15"/>
        <v>5613</v>
      </c>
      <c r="D451" s="1"/>
      <c r="E451" s="1" t="s">
        <v>62</v>
      </c>
      <c r="F451" s="1">
        <v>126</v>
      </c>
      <c r="G451" s="1">
        <v>7</v>
      </c>
      <c r="H451" s="1">
        <v>45.3</v>
      </c>
      <c r="I451" s="1"/>
      <c r="J451" s="1"/>
    </row>
    <row r="452" spans="1:10" x14ac:dyDescent="0.3">
      <c r="A452" t="str">
        <f t="shared" si="14"/>
        <v>FG%</v>
      </c>
      <c r="B452">
        <f t="shared" si="15"/>
        <v>5213</v>
      </c>
      <c r="D452" s="1"/>
      <c r="E452" s="1" t="s">
        <v>241</v>
      </c>
      <c r="F452" s="1">
        <v>127</v>
      </c>
      <c r="G452" s="1">
        <v>6</v>
      </c>
      <c r="H452" s="1">
        <v>45.3</v>
      </c>
      <c r="I452" s="1"/>
      <c r="J452" s="1"/>
    </row>
    <row r="453" spans="1:10" x14ac:dyDescent="0.3">
      <c r="A453" t="str">
        <f t="shared" si="14"/>
        <v>FG%</v>
      </c>
      <c r="B453">
        <f t="shared" si="15"/>
        <v>2113</v>
      </c>
      <c r="D453" s="1"/>
      <c r="E453" s="1" t="s">
        <v>136</v>
      </c>
      <c r="F453" s="1">
        <v>128</v>
      </c>
      <c r="G453" s="1">
        <v>5</v>
      </c>
      <c r="H453" s="1">
        <v>45.3</v>
      </c>
      <c r="I453" s="1"/>
      <c r="J453" s="1"/>
    </row>
    <row r="454" spans="1:10" x14ac:dyDescent="0.3">
      <c r="A454" t="str">
        <f t="shared" si="14"/>
        <v>FG%</v>
      </c>
      <c r="B454">
        <f t="shared" si="15"/>
        <v>913</v>
      </c>
      <c r="D454" s="1"/>
      <c r="E454" s="1" t="s">
        <v>90</v>
      </c>
      <c r="F454" s="1">
        <v>137</v>
      </c>
      <c r="G454" s="1">
        <v>7</v>
      </c>
      <c r="H454" s="1">
        <v>45.2</v>
      </c>
      <c r="I454" s="1"/>
      <c r="J454" s="1"/>
    </row>
    <row r="455" spans="1:10" x14ac:dyDescent="0.3">
      <c r="A455" t="str">
        <f t="shared" si="14"/>
        <v>FG%</v>
      </c>
      <c r="B455">
        <f t="shared" si="15"/>
        <v>18413</v>
      </c>
      <c r="D455" s="1"/>
      <c r="E455" s="1" t="s">
        <v>417</v>
      </c>
      <c r="F455" s="1">
        <v>139</v>
      </c>
      <c r="G455" s="1">
        <v>2</v>
      </c>
      <c r="H455" s="1">
        <v>45.2</v>
      </c>
      <c r="I455" s="1"/>
      <c r="J455" s="1"/>
    </row>
    <row r="456" spans="1:10" x14ac:dyDescent="0.3">
      <c r="A456" t="str">
        <f t="shared" si="14"/>
        <v>FG%</v>
      </c>
      <c r="B456">
        <f t="shared" si="15"/>
        <v>5413</v>
      </c>
      <c r="D456" s="1"/>
      <c r="E456" s="1" t="s">
        <v>94</v>
      </c>
      <c r="F456" s="1">
        <v>141</v>
      </c>
      <c r="G456" s="1">
        <v>6</v>
      </c>
      <c r="H456" s="1">
        <v>45.2</v>
      </c>
      <c r="I456" s="1"/>
      <c r="J456" s="1"/>
    </row>
    <row r="457" spans="1:10" x14ac:dyDescent="0.3">
      <c r="A457" t="str">
        <f t="shared" si="14"/>
        <v>FG%</v>
      </c>
      <c r="B457">
        <f t="shared" si="15"/>
        <v>13313</v>
      </c>
      <c r="D457" s="1"/>
      <c r="E457" s="1" t="s">
        <v>291</v>
      </c>
      <c r="F457" s="1">
        <v>143</v>
      </c>
      <c r="G457" s="1">
        <v>8</v>
      </c>
      <c r="H457" s="1">
        <v>45.2</v>
      </c>
      <c r="I457" s="1"/>
      <c r="J457" s="1"/>
    </row>
    <row r="458" spans="1:10" x14ac:dyDescent="0.3">
      <c r="A458" t="str">
        <f t="shared" si="14"/>
        <v>FG%</v>
      </c>
      <c r="B458">
        <f t="shared" si="15"/>
        <v>18313</v>
      </c>
      <c r="D458" s="1"/>
      <c r="E458" s="1" t="s">
        <v>423</v>
      </c>
      <c r="F458" s="1">
        <v>148</v>
      </c>
      <c r="G458" s="1">
        <v>5</v>
      </c>
      <c r="H458" s="1">
        <v>45.1</v>
      </c>
      <c r="I458" s="1"/>
      <c r="J458" s="1"/>
    </row>
    <row r="459" spans="1:10" x14ac:dyDescent="0.3">
      <c r="A459" t="str">
        <f t="shared" si="14"/>
        <v>FG%</v>
      </c>
      <c r="B459">
        <f t="shared" si="15"/>
        <v>1913</v>
      </c>
      <c r="D459" s="1"/>
      <c r="E459" s="1" t="s">
        <v>112</v>
      </c>
      <c r="F459" s="1">
        <v>155</v>
      </c>
      <c r="G459" s="1">
        <v>7</v>
      </c>
      <c r="H459" s="1">
        <v>45</v>
      </c>
      <c r="I459" s="1"/>
      <c r="J459" s="1"/>
    </row>
    <row r="460" spans="1:10" x14ac:dyDescent="0.3">
      <c r="A460" t="str">
        <f t="shared" si="14"/>
        <v>FG%</v>
      </c>
      <c r="B460">
        <f t="shared" si="15"/>
        <v>13413</v>
      </c>
      <c r="D460" s="1"/>
      <c r="E460" s="1" t="s">
        <v>400</v>
      </c>
      <c r="F460" s="1">
        <v>158</v>
      </c>
      <c r="G460" s="1">
        <v>8</v>
      </c>
      <c r="H460" s="1">
        <v>45</v>
      </c>
      <c r="I460" s="1"/>
      <c r="J460" s="1"/>
    </row>
    <row r="461" spans="1:10" x14ac:dyDescent="0.3">
      <c r="A461" t="str">
        <f t="shared" si="14"/>
        <v>FG%</v>
      </c>
      <c r="B461">
        <f t="shared" si="15"/>
        <v>3213</v>
      </c>
      <c r="D461" s="1"/>
      <c r="E461" s="1" t="s">
        <v>127</v>
      </c>
      <c r="F461" s="1">
        <v>160</v>
      </c>
      <c r="G461" s="1">
        <v>9</v>
      </c>
      <c r="H461" s="1">
        <v>45</v>
      </c>
      <c r="I461" s="1"/>
      <c r="J461" s="1"/>
    </row>
    <row r="462" spans="1:10" x14ac:dyDescent="0.3">
      <c r="A462" t="str">
        <f t="shared" si="14"/>
        <v>FG%</v>
      </c>
      <c r="B462">
        <f t="shared" si="15"/>
        <v>2613</v>
      </c>
      <c r="D462" s="1"/>
      <c r="E462" s="1" t="s">
        <v>80</v>
      </c>
      <c r="F462" s="1">
        <v>161</v>
      </c>
      <c r="G462" s="1">
        <v>8</v>
      </c>
      <c r="H462" s="1">
        <v>44.9</v>
      </c>
      <c r="I462" s="1"/>
      <c r="J462" s="1"/>
    </row>
    <row r="463" spans="1:10" x14ac:dyDescent="0.3">
      <c r="A463" t="str">
        <f t="shared" si="14"/>
        <v>FG%</v>
      </c>
      <c r="B463">
        <f t="shared" si="15"/>
        <v>4313</v>
      </c>
      <c r="D463" s="1"/>
      <c r="E463" s="1" t="s">
        <v>125</v>
      </c>
      <c r="F463" s="1">
        <v>163</v>
      </c>
      <c r="G463" s="1">
        <v>9</v>
      </c>
      <c r="H463" s="1">
        <v>44.9</v>
      </c>
      <c r="I463" s="1"/>
      <c r="J463" s="1"/>
    </row>
    <row r="464" spans="1:10" x14ac:dyDescent="0.3">
      <c r="A464" t="str">
        <f t="shared" si="14"/>
        <v>FG%</v>
      </c>
      <c r="B464">
        <f t="shared" si="15"/>
        <v>11113</v>
      </c>
      <c r="D464" s="1"/>
      <c r="E464" s="1" t="s">
        <v>277</v>
      </c>
      <c r="F464" s="1">
        <v>171</v>
      </c>
      <c r="G464" s="1">
        <v>10</v>
      </c>
      <c r="H464" s="1">
        <v>44.8</v>
      </c>
      <c r="I464" s="1"/>
      <c r="J464" s="1"/>
    </row>
    <row r="465" spans="1:10" x14ac:dyDescent="0.3">
      <c r="A465" t="str">
        <f t="shared" si="14"/>
        <v>FG%</v>
      </c>
      <c r="B465">
        <f t="shared" si="15"/>
        <v>5313</v>
      </c>
      <c r="D465" s="1"/>
      <c r="E465" s="1" t="s">
        <v>242</v>
      </c>
      <c r="F465" s="1">
        <v>175</v>
      </c>
      <c r="G465" s="1">
        <v>9</v>
      </c>
      <c r="H465" s="1">
        <v>44.7</v>
      </c>
      <c r="I465" s="1"/>
      <c r="J465" s="1"/>
    </row>
    <row r="466" spans="1:10" x14ac:dyDescent="0.3">
      <c r="A466" t="str">
        <f t="shared" si="14"/>
        <v>FG%</v>
      </c>
      <c r="B466">
        <f t="shared" si="15"/>
        <v>4613</v>
      </c>
      <c r="D466" s="1"/>
      <c r="E466" s="1" t="s">
        <v>101</v>
      </c>
      <c r="F466" s="1">
        <v>178</v>
      </c>
      <c r="G466" s="1">
        <v>6</v>
      </c>
      <c r="H466" s="1">
        <v>44.5</v>
      </c>
      <c r="I466" s="1"/>
      <c r="J466" s="1"/>
    </row>
    <row r="467" spans="1:10" x14ac:dyDescent="0.3">
      <c r="A467" t="str">
        <f t="shared" si="14"/>
        <v>FG%</v>
      </c>
      <c r="B467">
        <f t="shared" si="15"/>
        <v>613</v>
      </c>
      <c r="D467" s="1"/>
      <c r="E467" s="1" t="s">
        <v>100</v>
      </c>
      <c r="F467" s="1">
        <v>187</v>
      </c>
      <c r="G467" s="1">
        <v>10</v>
      </c>
      <c r="H467" s="1">
        <v>44.3</v>
      </c>
      <c r="I467" s="1"/>
      <c r="J467" s="1"/>
    </row>
    <row r="468" spans="1:10" x14ac:dyDescent="0.3">
      <c r="A468" t="str">
        <f t="shared" si="14"/>
        <v>FG%</v>
      </c>
      <c r="B468">
        <f t="shared" si="15"/>
        <v>3713</v>
      </c>
      <c r="D468" s="1"/>
      <c r="E468" s="1" t="s">
        <v>115</v>
      </c>
      <c r="F468" s="1">
        <v>199</v>
      </c>
      <c r="G468" s="1">
        <v>4</v>
      </c>
      <c r="H468" s="1">
        <v>44.2</v>
      </c>
      <c r="I468" s="1"/>
      <c r="J468" s="1"/>
    </row>
    <row r="469" spans="1:10" x14ac:dyDescent="0.3">
      <c r="A469" t="str">
        <f t="shared" si="14"/>
        <v>FG%</v>
      </c>
      <c r="B469">
        <f t="shared" si="15"/>
        <v>4513</v>
      </c>
      <c r="D469" s="1"/>
      <c r="E469" s="1" t="s">
        <v>84</v>
      </c>
      <c r="F469" s="1">
        <v>212</v>
      </c>
      <c r="G469" s="1">
        <v>5</v>
      </c>
      <c r="H469" s="1">
        <v>43.9</v>
      </c>
      <c r="I469" s="1"/>
      <c r="J469" s="1"/>
    </row>
    <row r="470" spans="1:10" x14ac:dyDescent="0.3">
      <c r="A470" t="str">
        <f t="shared" si="14"/>
        <v>FG%</v>
      </c>
      <c r="B470">
        <f t="shared" si="15"/>
        <v>1213</v>
      </c>
      <c r="D470" s="1"/>
      <c r="E470" s="1" t="s">
        <v>130</v>
      </c>
      <c r="F470" s="1">
        <v>220</v>
      </c>
      <c r="G470" s="1">
        <v>8</v>
      </c>
      <c r="H470" s="1">
        <v>43.8</v>
      </c>
      <c r="I470" s="1"/>
      <c r="J470" s="1"/>
    </row>
    <row r="471" spans="1:10" x14ac:dyDescent="0.3">
      <c r="A471" t="str">
        <f t="shared" si="14"/>
        <v>FG%</v>
      </c>
      <c r="B471">
        <f t="shared" si="15"/>
        <v>15213</v>
      </c>
      <c r="D471" s="1"/>
      <c r="E471" s="1" t="s">
        <v>426</v>
      </c>
      <c r="F471" s="1">
        <v>223</v>
      </c>
      <c r="G471" s="1">
        <v>5</v>
      </c>
      <c r="H471" s="1">
        <v>43.7</v>
      </c>
      <c r="I471" s="1"/>
      <c r="J471" s="1"/>
    </row>
    <row r="472" spans="1:10" x14ac:dyDescent="0.3">
      <c r="A472" t="str">
        <f t="shared" si="14"/>
        <v>FG%</v>
      </c>
      <c r="B472">
        <f t="shared" si="15"/>
        <v>11513</v>
      </c>
      <c r="D472" s="1"/>
      <c r="E472" s="1" t="s">
        <v>97</v>
      </c>
      <c r="F472" s="1">
        <v>235</v>
      </c>
      <c r="G472" s="1">
        <v>5</v>
      </c>
      <c r="H472" s="1">
        <v>43.6</v>
      </c>
      <c r="I472" s="1"/>
      <c r="J472" s="1"/>
    </row>
    <row r="473" spans="1:10" x14ac:dyDescent="0.3">
      <c r="A473" t="str">
        <f t="shared" si="14"/>
        <v>FG%</v>
      </c>
      <c r="B473">
        <f t="shared" si="15"/>
        <v>3513</v>
      </c>
      <c r="D473" s="1"/>
      <c r="E473" s="1" t="s">
        <v>87</v>
      </c>
      <c r="F473" s="1">
        <v>247</v>
      </c>
      <c r="G473" s="1">
        <v>7</v>
      </c>
      <c r="H473" s="1">
        <v>43.3</v>
      </c>
      <c r="I473" s="1"/>
      <c r="J473" s="1"/>
    </row>
    <row r="474" spans="1:10" x14ac:dyDescent="0.3">
      <c r="A474" t="str">
        <f t="shared" si="14"/>
        <v>FG%</v>
      </c>
      <c r="B474">
        <f t="shared" si="15"/>
        <v>3613</v>
      </c>
      <c r="D474" s="1"/>
      <c r="E474" s="1" t="s">
        <v>129</v>
      </c>
      <c r="F474" s="1">
        <v>254</v>
      </c>
      <c r="G474" s="1">
        <v>8</v>
      </c>
      <c r="H474" s="1">
        <v>43.2</v>
      </c>
      <c r="I474" s="1"/>
      <c r="J474" s="1"/>
    </row>
    <row r="475" spans="1:10" x14ac:dyDescent="0.3">
      <c r="A475" t="str">
        <f t="shared" si="14"/>
        <v>FG%</v>
      </c>
      <c r="B475">
        <f t="shared" si="15"/>
        <v>11813</v>
      </c>
      <c r="D475" s="1"/>
      <c r="E475" s="1" t="s">
        <v>281</v>
      </c>
      <c r="F475" s="1">
        <v>280</v>
      </c>
      <c r="G475" s="1">
        <v>4</v>
      </c>
      <c r="H475" s="1">
        <v>42.7</v>
      </c>
      <c r="I475" s="1"/>
      <c r="J475" s="1"/>
    </row>
    <row r="476" spans="1:10" x14ac:dyDescent="0.3">
      <c r="A476" t="str">
        <f t="shared" si="14"/>
        <v>FG%</v>
      </c>
      <c r="B476">
        <f t="shared" si="15"/>
        <v>18813</v>
      </c>
      <c r="D476" s="1"/>
      <c r="E476" s="1" t="s">
        <v>424</v>
      </c>
      <c r="F476" s="1">
        <v>281</v>
      </c>
      <c r="G476" s="1">
        <v>10</v>
      </c>
      <c r="H476" s="1">
        <v>42.6</v>
      </c>
      <c r="I476" s="1"/>
      <c r="J476" s="1"/>
    </row>
    <row r="477" spans="1:10" x14ac:dyDescent="0.3">
      <c r="A477" t="str">
        <f t="shared" si="14"/>
        <v>FG%</v>
      </c>
      <c r="B477">
        <f t="shared" si="15"/>
        <v>1613</v>
      </c>
      <c r="D477" s="1"/>
      <c r="E477" s="1" t="s">
        <v>137</v>
      </c>
      <c r="F477" s="1">
        <v>296</v>
      </c>
      <c r="G477" s="1">
        <v>11</v>
      </c>
      <c r="H477" s="1">
        <v>42.1</v>
      </c>
      <c r="I477" s="1"/>
      <c r="J477" s="1"/>
    </row>
    <row r="478" spans="1:10" x14ac:dyDescent="0.3">
      <c r="A478" t="str">
        <f t="shared" si="14"/>
        <v>FG%</v>
      </c>
      <c r="B478">
        <f t="shared" si="15"/>
        <v>14513</v>
      </c>
      <c r="D478" s="1"/>
      <c r="E478" s="1" t="s">
        <v>402</v>
      </c>
      <c r="F478" s="1">
        <v>298</v>
      </c>
      <c r="G478" s="1">
        <v>10</v>
      </c>
      <c r="H478" s="1">
        <v>42.1</v>
      </c>
      <c r="I478" s="1"/>
      <c r="J478" s="1"/>
    </row>
    <row r="479" spans="1:10" x14ac:dyDescent="0.3">
      <c r="A479" t="str">
        <f t="shared" si="14"/>
        <v>FG%</v>
      </c>
      <c r="B479">
        <f t="shared" si="15"/>
        <v>6213</v>
      </c>
      <c r="D479" s="1"/>
      <c r="E479" s="1" t="s">
        <v>81</v>
      </c>
      <c r="F479" s="1">
        <v>331</v>
      </c>
      <c r="G479" s="1">
        <v>14</v>
      </c>
      <c r="H479" s="1">
        <v>40.700000000000003</v>
      </c>
      <c r="I479" s="1"/>
      <c r="J479" s="1"/>
    </row>
    <row r="480" spans="1:10" x14ac:dyDescent="0.3">
      <c r="A480" t="str">
        <f t="shared" si="14"/>
        <v>DFG%</v>
      </c>
      <c r="B480">
        <f t="shared" si="15"/>
        <v>2809</v>
      </c>
      <c r="D480" s="1" t="s">
        <v>436</v>
      </c>
      <c r="E480" s="1" t="s">
        <v>106</v>
      </c>
      <c r="F480" s="1">
        <v>1</v>
      </c>
      <c r="G480" s="1">
        <v>1</v>
      </c>
      <c r="H480" s="1">
        <v>36.6</v>
      </c>
      <c r="I480" s="1" t="s">
        <v>106</v>
      </c>
      <c r="J480" s="1">
        <v>36.6</v>
      </c>
    </row>
    <row r="481" spans="1:10" x14ac:dyDescent="0.3">
      <c r="A481" t="str">
        <f t="shared" si="14"/>
        <v>DFG%</v>
      </c>
      <c r="B481">
        <f t="shared" si="15"/>
        <v>3709</v>
      </c>
      <c r="D481" s="1"/>
      <c r="E481" s="1" t="s">
        <v>115</v>
      </c>
      <c r="F481" s="1">
        <v>2</v>
      </c>
      <c r="G481" s="1">
        <v>1</v>
      </c>
      <c r="H481" s="1">
        <v>37.1</v>
      </c>
      <c r="I481" s="1"/>
      <c r="J481" s="1"/>
    </row>
    <row r="482" spans="1:10" x14ac:dyDescent="0.3">
      <c r="A482" t="str">
        <f t="shared" si="14"/>
        <v>DFG%</v>
      </c>
      <c r="B482">
        <f t="shared" si="15"/>
        <v>3509</v>
      </c>
      <c r="D482" s="1"/>
      <c r="E482" s="1" t="s">
        <v>87</v>
      </c>
      <c r="F482" s="1">
        <v>3</v>
      </c>
      <c r="G482" s="1">
        <v>2</v>
      </c>
      <c r="H482" s="1">
        <v>37.299999999999997</v>
      </c>
      <c r="I482" s="1"/>
      <c r="J482" s="1"/>
    </row>
    <row r="483" spans="1:10" x14ac:dyDescent="0.3">
      <c r="A483" t="str">
        <f t="shared" si="14"/>
        <v>DFG%</v>
      </c>
      <c r="B483">
        <f t="shared" si="15"/>
        <v>2409</v>
      </c>
      <c r="D483" s="1"/>
      <c r="E483" s="1" t="s">
        <v>330</v>
      </c>
      <c r="F483" s="1">
        <v>8</v>
      </c>
      <c r="G483" s="1">
        <v>1</v>
      </c>
      <c r="H483" s="1">
        <v>39.299999999999997</v>
      </c>
      <c r="I483" s="1"/>
      <c r="J483" s="1"/>
    </row>
    <row r="484" spans="1:10" x14ac:dyDescent="0.3">
      <c r="A484" t="str">
        <f t="shared" si="14"/>
        <v>DFG%</v>
      </c>
      <c r="B484">
        <f t="shared" si="15"/>
        <v>1609</v>
      </c>
      <c r="D484" s="1"/>
      <c r="E484" s="1" t="s">
        <v>137</v>
      </c>
      <c r="F484" s="1">
        <v>10</v>
      </c>
      <c r="G484" s="1">
        <v>3</v>
      </c>
      <c r="H484" s="1">
        <v>39.4</v>
      </c>
      <c r="I484" s="1"/>
      <c r="J484" s="1"/>
    </row>
    <row r="485" spans="1:10" x14ac:dyDescent="0.3">
      <c r="A485" t="str">
        <f t="shared" si="14"/>
        <v>DFG%</v>
      </c>
      <c r="B485">
        <f t="shared" si="15"/>
        <v>14509</v>
      </c>
      <c r="D485" s="1"/>
      <c r="E485" s="1" t="s">
        <v>402</v>
      </c>
      <c r="F485" s="1">
        <v>15</v>
      </c>
      <c r="G485" s="1">
        <v>3</v>
      </c>
      <c r="H485" s="1">
        <v>39.9</v>
      </c>
      <c r="I485" s="1"/>
      <c r="J485" s="1"/>
    </row>
    <row r="486" spans="1:10" x14ac:dyDescent="0.3">
      <c r="A486" t="str">
        <f t="shared" si="14"/>
        <v>DFG%</v>
      </c>
      <c r="B486">
        <f t="shared" si="15"/>
        <v>2309</v>
      </c>
      <c r="D486" s="1"/>
      <c r="E486" s="1" t="s">
        <v>79</v>
      </c>
      <c r="F486" s="1">
        <v>16</v>
      </c>
      <c r="G486" s="1">
        <v>1</v>
      </c>
      <c r="H486" s="1">
        <v>39.9</v>
      </c>
      <c r="I486" s="1"/>
      <c r="J486" s="1"/>
    </row>
    <row r="487" spans="1:10" x14ac:dyDescent="0.3">
      <c r="A487" t="str">
        <f t="shared" si="14"/>
        <v>DFG%</v>
      </c>
      <c r="B487">
        <f t="shared" si="15"/>
        <v>6609</v>
      </c>
      <c r="D487" s="1"/>
      <c r="E487" s="1" t="s">
        <v>247</v>
      </c>
      <c r="F487" s="1">
        <v>18</v>
      </c>
      <c r="G487" s="1">
        <v>2</v>
      </c>
      <c r="H487" s="1">
        <v>40.1</v>
      </c>
      <c r="I487" s="1"/>
      <c r="J487" s="1"/>
    </row>
    <row r="488" spans="1:10" x14ac:dyDescent="0.3">
      <c r="A488" t="str">
        <f t="shared" si="14"/>
        <v>DFG%</v>
      </c>
      <c r="B488">
        <f t="shared" si="15"/>
        <v>2209</v>
      </c>
      <c r="D488" s="1"/>
      <c r="E488" s="1" t="s">
        <v>119</v>
      </c>
      <c r="F488" s="1">
        <v>20</v>
      </c>
      <c r="G488" s="1">
        <v>2</v>
      </c>
      <c r="H488" s="1">
        <v>40.299999999999997</v>
      </c>
      <c r="I488" s="1"/>
      <c r="J488" s="1"/>
    </row>
    <row r="489" spans="1:10" x14ac:dyDescent="0.3">
      <c r="A489" t="str">
        <f t="shared" si="14"/>
        <v>DFG%</v>
      </c>
      <c r="B489">
        <f t="shared" si="15"/>
        <v>13409</v>
      </c>
      <c r="D489" s="1"/>
      <c r="E489" s="1" t="s">
        <v>400</v>
      </c>
      <c r="F489" s="1">
        <v>22</v>
      </c>
      <c r="G489" s="1">
        <v>1</v>
      </c>
      <c r="H489" s="1">
        <v>40.5</v>
      </c>
      <c r="I489" s="1"/>
      <c r="J489" s="1"/>
    </row>
    <row r="490" spans="1:10" x14ac:dyDescent="0.3">
      <c r="A490" t="str">
        <f t="shared" si="14"/>
        <v>DFG%</v>
      </c>
      <c r="B490">
        <f t="shared" si="15"/>
        <v>9509</v>
      </c>
      <c r="D490" s="1"/>
      <c r="E490" s="1" t="s">
        <v>85</v>
      </c>
      <c r="F490" s="1">
        <v>25</v>
      </c>
      <c r="G490" s="1">
        <v>1</v>
      </c>
      <c r="H490" s="1">
        <v>40.5</v>
      </c>
      <c r="I490" s="1"/>
      <c r="J490" s="1"/>
    </row>
    <row r="491" spans="1:10" x14ac:dyDescent="0.3">
      <c r="A491" t="str">
        <f t="shared" si="14"/>
        <v>DFG%</v>
      </c>
      <c r="B491">
        <f t="shared" si="15"/>
        <v>5409</v>
      </c>
      <c r="D491" s="1"/>
      <c r="E491" s="1" t="s">
        <v>94</v>
      </c>
      <c r="F491" s="1">
        <v>27</v>
      </c>
      <c r="G491" s="1">
        <v>2</v>
      </c>
      <c r="H491" s="1">
        <v>40.6</v>
      </c>
      <c r="I491" s="1"/>
      <c r="J491" s="1"/>
    </row>
    <row r="492" spans="1:10" x14ac:dyDescent="0.3">
      <c r="A492" t="str">
        <f t="shared" si="14"/>
        <v>DFG%</v>
      </c>
      <c r="B492">
        <f t="shared" si="15"/>
        <v>3609</v>
      </c>
      <c r="D492" s="1"/>
      <c r="E492" s="1" t="s">
        <v>129</v>
      </c>
      <c r="F492" s="1">
        <v>29</v>
      </c>
      <c r="G492" s="1">
        <v>4</v>
      </c>
      <c r="H492" s="1">
        <v>40.700000000000003</v>
      </c>
      <c r="I492" s="1"/>
      <c r="J492" s="1"/>
    </row>
    <row r="493" spans="1:10" x14ac:dyDescent="0.3">
      <c r="A493" t="str">
        <f t="shared" si="14"/>
        <v>DFG%</v>
      </c>
      <c r="B493">
        <f t="shared" si="15"/>
        <v>4509</v>
      </c>
      <c r="D493" s="1"/>
      <c r="E493" s="1" t="s">
        <v>84</v>
      </c>
      <c r="F493" s="1">
        <v>31</v>
      </c>
      <c r="G493" s="1">
        <v>5</v>
      </c>
      <c r="H493" s="1">
        <v>40.700000000000003</v>
      </c>
      <c r="I493" s="1"/>
      <c r="J493" s="1"/>
    </row>
    <row r="494" spans="1:10" x14ac:dyDescent="0.3">
      <c r="A494" t="str">
        <f t="shared" si="14"/>
        <v>DFG%</v>
      </c>
      <c r="B494">
        <f t="shared" si="15"/>
        <v>9009</v>
      </c>
      <c r="D494" s="1"/>
      <c r="E494" s="1" t="s">
        <v>261</v>
      </c>
      <c r="F494" s="1">
        <v>34</v>
      </c>
      <c r="G494" s="1">
        <v>4</v>
      </c>
      <c r="H494" s="1">
        <v>40.799999999999997</v>
      </c>
      <c r="I494" s="1"/>
      <c r="J494" s="1"/>
    </row>
    <row r="495" spans="1:10" x14ac:dyDescent="0.3">
      <c r="A495" t="str">
        <f t="shared" si="14"/>
        <v>DFG%</v>
      </c>
      <c r="B495">
        <f t="shared" si="15"/>
        <v>2909</v>
      </c>
      <c r="D495" s="1"/>
      <c r="E495" s="1" t="s">
        <v>96</v>
      </c>
      <c r="F495" s="1">
        <v>37</v>
      </c>
      <c r="G495" s="1">
        <v>5</v>
      </c>
      <c r="H495" s="1">
        <v>40.799999999999997</v>
      </c>
      <c r="I495" s="1"/>
      <c r="J495" s="1"/>
    </row>
    <row r="496" spans="1:10" x14ac:dyDescent="0.3">
      <c r="A496" t="str">
        <f t="shared" si="14"/>
        <v>DFG%</v>
      </c>
      <c r="B496">
        <f t="shared" si="15"/>
        <v>5809</v>
      </c>
      <c r="D496" s="1"/>
      <c r="E496" s="1" t="s">
        <v>139</v>
      </c>
      <c r="F496" s="1">
        <v>38</v>
      </c>
      <c r="G496" s="1">
        <v>3</v>
      </c>
      <c r="H496" s="1">
        <v>40.9</v>
      </c>
      <c r="I496" s="1"/>
      <c r="J496" s="1"/>
    </row>
    <row r="497" spans="1:10" x14ac:dyDescent="0.3">
      <c r="A497" t="str">
        <f t="shared" si="14"/>
        <v>DFG%</v>
      </c>
      <c r="B497">
        <f t="shared" si="15"/>
        <v>9409</v>
      </c>
      <c r="D497" s="1"/>
      <c r="E497" s="1" t="s">
        <v>264</v>
      </c>
      <c r="F497" s="1">
        <v>40</v>
      </c>
      <c r="G497" s="1">
        <v>2</v>
      </c>
      <c r="H497" s="1">
        <v>40.9</v>
      </c>
      <c r="I497" s="1"/>
      <c r="J497" s="1"/>
    </row>
    <row r="498" spans="1:10" x14ac:dyDescent="0.3">
      <c r="A498" t="str">
        <f t="shared" si="14"/>
        <v>DFG%</v>
      </c>
      <c r="B498">
        <f t="shared" si="15"/>
        <v>1209</v>
      </c>
      <c r="D498" s="1"/>
      <c r="E498" s="1" t="s">
        <v>130</v>
      </c>
      <c r="F498" s="1">
        <v>41</v>
      </c>
      <c r="G498" s="1">
        <v>1</v>
      </c>
      <c r="H498" s="1">
        <v>40.9</v>
      </c>
      <c r="I498" s="1"/>
      <c r="J498" s="1"/>
    </row>
    <row r="499" spans="1:10" x14ac:dyDescent="0.3">
      <c r="A499" t="str">
        <f t="shared" si="14"/>
        <v>DFG%</v>
      </c>
      <c r="B499">
        <f t="shared" si="15"/>
        <v>8609</v>
      </c>
      <c r="D499" s="1"/>
      <c r="E499" s="1" t="s">
        <v>259</v>
      </c>
      <c r="F499" s="1">
        <v>42</v>
      </c>
      <c r="G499" s="1">
        <v>1</v>
      </c>
      <c r="H499" s="1">
        <v>41.1</v>
      </c>
      <c r="I499" s="1"/>
      <c r="J499" s="1"/>
    </row>
    <row r="500" spans="1:10" x14ac:dyDescent="0.3">
      <c r="A500" t="str">
        <f t="shared" si="14"/>
        <v>DFG%</v>
      </c>
      <c r="B500">
        <f t="shared" si="15"/>
        <v>6209</v>
      </c>
      <c r="D500" s="1"/>
      <c r="E500" s="1" t="s">
        <v>81</v>
      </c>
      <c r="F500" s="1">
        <v>46</v>
      </c>
      <c r="G500" s="1">
        <v>3</v>
      </c>
      <c r="H500" s="1">
        <v>41.4</v>
      </c>
      <c r="I500" s="1"/>
      <c r="J500" s="1"/>
    </row>
    <row r="501" spans="1:10" x14ac:dyDescent="0.3">
      <c r="A501" t="str">
        <f t="shared" si="14"/>
        <v>DFG%</v>
      </c>
      <c r="B501">
        <f t="shared" si="15"/>
        <v>12209</v>
      </c>
      <c r="D501" s="1"/>
      <c r="E501" s="1" t="s">
        <v>284</v>
      </c>
      <c r="F501" s="1">
        <v>50</v>
      </c>
      <c r="G501" s="1">
        <v>3</v>
      </c>
      <c r="H501" s="1">
        <v>41.5</v>
      </c>
      <c r="I501" s="1"/>
      <c r="J501" s="1"/>
    </row>
    <row r="502" spans="1:10" x14ac:dyDescent="0.3">
      <c r="A502" t="str">
        <f t="shared" si="14"/>
        <v>DFG%</v>
      </c>
      <c r="B502">
        <f t="shared" si="15"/>
        <v>2609</v>
      </c>
      <c r="D502" s="1"/>
      <c r="E502" s="1" t="s">
        <v>80</v>
      </c>
      <c r="F502" s="1">
        <v>51</v>
      </c>
      <c r="G502" s="1">
        <v>3</v>
      </c>
      <c r="H502" s="1">
        <v>41.5</v>
      </c>
      <c r="I502" s="1"/>
      <c r="J502" s="1"/>
    </row>
    <row r="503" spans="1:10" x14ac:dyDescent="0.3">
      <c r="A503" t="str">
        <f t="shared" si="14"/>
        <v>DFG%</v>
      </c>
      <c r="B503">
        <f t="shared" si="15"/>
        <v>2109</v>
      </c>
      <c r="D503" s="1"/>
      <c r="E503" s="1" t="s">
        <v>136</v>
      </c>
      <c r="F503" s="1">
        <v>52</v>
      </c>
      <c r="G503" s="1">
        <v>2</v>
      </c>
      <c r="H503" s="1">
        <v>41.5</v>
      </c>
      <c r="I503" s="1"/>
      <c r="J503" s="1"/>
    </row>
    <row r="504" spans="1:10" x14ac:dyDescent="0.3">
      <c r="A504" t="str">
        <f t="shared" si="14"/>
        <v>DFG%</v>
      </c>
      <c r="B504">
        <f t="shared" si="15"/>
        <v>3909</v>
      </c>
      <c r="D504" s="1"/>
      <c r="E504" s="1" t="s">
        <v>88</v>
      </c>
      <c r="F504" s="1">
        <v>53</v>
      </c>
      <c r="G504" s="1">
        <v>2</v>
      </c>
      <c r="H504" s="1">
        <v>41.5</v>
      </c>
      <c r="I504" s="1"/>
      <c r="J504" s="1"/>
    </row>
    <row r="505" spans="1:10" x14ac:dyDescent="0.3">
      <c r="A505" t="str">
        <f t="shared" si="14"/>
        <v>DFG%</v>
      </c>
      <c r="B505">
        <f t="shared" si="15"/>
        <v>4309</v>
      </c>
      <c r="D505" s="1"/>
      <c r="E505" s="1" t="s">
        <v>125</v>
      </c>
      <c r="F505" s="1">
        <v>56</v>
      </c>
      <c r="G505" s="1">
        <v>4</v>
      </c>
      <c r="H505" s="1">
        <v>41.6</v>
      </c>
      <c r="I505" s="1"/>
      <c r="J505" s="1"/>
    </row>
    <row r="506" spans="1:10" x14ac:dyDescent="0.3">
      <c r="A506" t="str">
        <f t="shared" si="14"/>
        <v>DFG%</v>
      </c>
      <c r="B506">
        <f t="shared" si="15"/>
        <v>18509</v>
      </c>
      <c r="D506" s="1"/>
      <c r="E506" s="1" t="s">
        <v>420</v>
      </c>
      <c r="F506" s="1">
        <v>57</v>
      </c>
      <c r="G506" s="1">
        <v>1</v>
      </c>
      <c r="H506" s="1">
        <v>41.6</v>
      </c>
      <c r="I506" s="1"/>
      <c r="J506" s="1"/>
    </row>
    <row r="507" spans="1:10" x14ac:dyDescent="0.3">
      <c r="A507" t="str">
        <f t="shared" si="14"/>
        <v>DFG%</v>
      </c>
      <c r="B507">
        <f t="shared" si="15"/>
        <v>3009</v>
      </c>
      <c r="D507" s="1"/>
      <c r="E507" s="1" t="s">
        <v>89</v>
      </c>
      <c r="F507" s="1">
        <v>59</v>
      </c>
      <c r="G507" s="1">
        <v>5</v>
      </c>
      <c r="H507" s="1">
        <v>41.6</v>
      </c>
      <c r="I507" s="1"/>
      <c r="J507" s="1"/>
    </row>
    <row r="508" spans="1:10" x14ac:dyDescent="0.3">
      <c r="A508" t="str">
        <f t="shared" si="14"/>
        <v>DFG%</v>
      </c>
      <c r="B508">
        <f t="shared" si="15"/>
        <v>2509</v>
      </c>
      <c r="D508" s="1"/>
      <c r="E508" s="1" t="s">
        <v>92</v>
      </c>
      <c r="F508" s="1">
        <v>61</v>
      </c>
      <c r="G508" s="1">
        <v>1</v>
      </c>
      <c r="H508" s="1">
        <v>41.7</v>
      </c>
      <c r="I508" s="1"/>
      <c r="J508" s="1"/>
    </row>
    <row r="509" spans="1:10" x14ac:dyDescent="0.3">
      <c r="A509" t="str">
        <f t="shared" si="14"/>
        <v>DFG%</v>
      </c>
      <c r="B509">
        <f t="shared" si="15"/>
        <v>609</v>
      </c>
      <c r="D509" s="1"/>
      <c r="E509" s="1" t="s">
        <v>100</v>
      </c>
      <c r="F509" s="1">
        <v>69</v>
      </c>
      <c r="G509" s="1">
        <v>4</v>
      </c>
      <c r="H509" s="1">
        <v>42</v>
      </c>
      <c r="I509" s="1"/>
      <c r="J509" s="1"/>
    </row>
    <row r="510" spans="1:10" x14ac:dyDescent="0.3">
      <c r="A510" t="str">
        <f t="shared" si="14"/>
        <v>DFG%</v>
      </c>
      <c r="B510">
        <f t="shared" si="15"/>
        <v>5309</v>
      </c>
      <c r="D510" s="1"/>
      <c r="E510" s="1" t="s">
        <v>242</v>
      </c>
      <c r="F510" s="1">
        <v>72</v>
      </c>
      <c r="G510" s="1">
        <v>4</v>
      </c>
      <c r="H510" s="1">
        <v>42</v>
      </c>
      <c r="I510" s="1"/>
      <c r="J510" s="1"/>
    </row>
    <row r="511" spans="1:10" x14ac:dyDescent="0.3">
      <c r="A511" t="str">
        <f t="shared" si="14"/>
        <v>DFG%</v>
      </c>
      <c r="B511">
        <f t="shared" si="15"/>
        <v>3109</v>
      </c>
      <c r="D511" s="1"/>
      <c r="E511" s="1" t="s">
        <v>93</v>
      </c>
      <c r="F511" s="1">
        <v>75</v>
      </c>
      <c r="G511" s="1">
        <v>3</v>
      </c>
      <c r="H511" s="1">
        <v>42.2</v>
      </c>
      <c r="I511" s="1"/>
      <c r="J511" s="1"/>
    </row>
    <row r="512" spans="1:10" x14ac:dyDescent="0.3">
      <c r="A512" t="str">
        <f t="shared" si="14"/>
        <v>DFG%</v>
      </c>
      <c r="B512">
        <f t="shared" si="15"/>
        <v>1409</v>
      </c>
      <c r="D512" s="1"/>
      <c r="E512" s="1" t="s">
        <v>102</v>
      </c>
      <c r="F512" s="1">
        <v>82</v>
      </c>
      <c r="G512" s="1">
        <v>4</v>
      </c>
      <c r="H512" s="1">
        <v>42.3</v>
      </c>
      <c r="I512" s="1"/>
      <c r="J512" s="1"/>
    </row>
    <row r="513" spans="1:10" x14ac:dyDescent="0.3">
      <c r="A513" t="str">
        <f t="shared" si="14"/>
        <v>DFG%</v>
      </c>
      <c r="B513">
        <f t="shared" si="15"/>
        <v>909</v>
      </c>
      <c r="D513" s="1"/>
      <c r="E513" s="1" t="s">
        <v>90</v>
      </c>
      <c r="F513" s="1">
        <v>85</v>
      </c>
      <c r="G513" s="1">
        <v>6</v>
      </c>
      <c r="H513" s="1">
        <v>42.4</v>
      </c>
      <c r="I513" s="1"/>
      <c r="J513" s="1"/>
    </row>
    <row r="514" spans="1:10" x14ac:dyDescent="0.3">
      <c r="A514" t="str">
        <f t="shared" ref="A514:A577" si="16">IF(NOT(D514=""),INDEX(statAbbr,MATCH(D514,statOfficial,0),1),A513)</f>
        <v>DFG%</v>
      </c>
      <c r="B514">
        <f t="shared" ref="B514:B577" si="17">INDEX(statID,MATCH(A514,statAbbr,0),1)+INDEX(teamID,MATCH(E514,teamRawName,0))</f>
        <v>18709</v>
      </c>
      <c r="D514" s="1"/>
      <c r="E514" s="1" t="s">
        <v>427</v>
      </c>
      <c r="F514" s="1">
        <v>90</v>
      </c>
      <c r="G514" s="1">
        <v>2</v>
      </c>
      <c r="H514" s="1">
        <v>42.4</v>
      </c>
      <c r="I514" s="1"/>
      <c r="J514" s="1"/>
    </row>
    <row r="515" spans="1:10" x14ac:dyDescent="0.3">
      <c r="A515" t="str">
        <f t="shared" si="16"/>
        <v>DFG%</v>
      </c>
      <c r="B515">
        <f t="shared" si="17"/>
        <v>709</v>
      </c>
      <c r="D515" s="1"/>
      <c r="E515" s="1" t="s">
        <v>319</v>
      </c>
      <c r="F515" s="1">
        <v>92</v>
      </c>
      <c r="G515" s="1">
        <v>5</v>
      </c>
      <c r="H515" s="1">
        <v>42.4</v>
      </c>
      <c r="I515" s="1"/>
      <c r="J515" s="1"/>
    </row>
    <row r="516" spans="1:10" x14ac:dyDescent="0.3">
      <c r="A516" t="str">
        <f t="shared" si="16"/>
        <v>DFG%</v>
      </c>
      <c r="B516">
        <f t="shared" si="17"/>
        <v>8109</v>
      </c>
      <c r="D516" s="1"/>
      <c r="E516" s="1" t="s">
        <v>256</v>
      </c>
      <c r="F516" s="1">
        <v>94</v>
      </c>
      <c r="G516" s="1">
        <v>7</v>
      </c>
      <c r="H516" s="1">
        <v>42.4</v>
      </c>
      <c r="I516" s="1"/>
      <c r="J516" s="1"/>
    </row>
    <row r="517" spans="1:10" x14ac:dyDescent="0.3">
      <c r="A517" t="str">
        <f t="shared" si="16"/>
        <v>DFG%</v>
      </c>
      <c r="B517">
        <f t="shared" si="17"/>
        <v>6709</v>
      </c>
      <c r="D517" s="1"/>
      <c r="E517" s="1" t="s">
        <v>118</v>
      </c>
      <c r="F517" s="1">
        <v>100</v>
      </c>
      <c r="G517" s="1">
        <v>6</v>
      </c>
      <c r="H517" s="1">
        <v>42.5</v>
      </c>
      <c r="I517" s="1"/>
      <c r="J517" s="1"/>
    </row>
    <row r="518" spans="1:10" x14ac:dyDescent="0.3">
      <c r="A518" t="str">
        <f t="shared" si="16"/>
        <v>DFG%</v>
      </c>
      <c r="B518">
        <f t="shared" si="17"/>
        <v>4609</v>
      </c>
      <c r="D518" s="1"/>
      <c r="E518" s="1" t="s">
        <v>101</v>
      </c>
      <c r="F518" s="1">
        <v>105</v>
      </c>
      <c r="G518" s="1">
        <v>5</v>
      </c>
      <c r="H518" s="1">
        <v>42.5</v>
      </c>
      <c r="I518" s="1"/>
      <c r="J518" s="1"/>
    </row>
    <row r="519" spans="1:10" x14ac:dyDescent="0.3">
      <c r="A519" t="str">
        <f t="shared" si="16"/>
        <v>DFG%</v>
      </c>
      <c r="B519">
        <f t="shared" si="17"/>
        <v>3409</v>
      </c>
      <c r="D519" s="1"/>
      <c r="E519" s="1" t="s">
        <v>237</v>
      </c>
      <c r="F519" s="1">
        <v>106</v>
      </c>
      <c r="G519" s="1">
        <v>4</v>
      </c>
      <c r="H519" s="1">
        <v>42.5</v>
      </c>
      <c r="I519" s="1"/>
      <c r="J519" s="1"/>
    </row>
    <row r="520" spans="1:10" x14ac:dyDescent="0.3">
      <c r="A520" t="str">
        <f t="shared" si="16"/>
        <v>DFG%</v>
      </c>
      <c r="B520">
        <f t="shared" si="17"/>
        <v>11109</v>
      </c>
      <c r="D520" s="1"/>
      <c r="E520" s="1" t="s">
        <v>277</v>
      </c>
      <c r="F520" s="1">
        <v>107</v>
      </c>
      <c r="G520" s="1">
        <v>9</v>
      </c>
      <c r="H520" s="1">
        <v>42.6</v>
      </c>
      <c r="I520" s="1"/>
      <c r="J520" s="1"/>
    </row>
    <row r="521" spans="1:10" x14ac:dyDescent="0.3">
      <c r="A521" t="str">
        <f t="shared" si="16"/>
        <v>DFG%</v>
      </c>
      <c r="B521">
        <f t="shared" si="17"/>
        <v>5609</v>
      </c>
      <c r="D521" s="1"/>
      <c r="E521" s="1" t="s">
        <v>62</v>
      </c>
      <c r="F521" s="1">
        <v>116</v>
      </c>
      <c r="G521" s="1">
        <v>7</v>
      </c>
      <c r="H521" s="1">
        <v>42.7</v>
      </c>
      <c r="I521" s="1"/>
      <c r="J521" s="1"/>
    </row>
    <row r="522" spans="1:10" x14ac:dyDescent="0.3">
      <c r="A522" t="str">
        <f t="shared" si="16"/>
        <v>DFG%</v>
      </c>
      <c r="B522">
        <f t="shared" si="17"/>
        <v>11809</v>
      </c>
      <c r="D522" s="1"/>
      <c r="E522" s="1" t="s">
        <v>281</v>
      </c>
      <c r="F522" s="1">
        <v>118</v>
      </c>
      <c r="G522" s="1">
        <v>3</v>
      </c>
      <c r="H522" s="1">
        <v>42.8</v>
      </c>
      <c r="I522" s="1"/>
      <c r="J522" s="1"/>
    </row>
    <row r="523" spans="1:10" x14ac:dyDescent="0.3">
      <c r="A523" t="str">
        <f t="shared" si="16"/>
        <v>DFG%</v>
      </c>
      <c r="B523">
        <f t="shared" si="17"/>
        <v>5509</v>
      </c>
      <c r="D523" s="1"/>
      <c r="E523" s="1" t="s">
        <v>86</v>
      </c>
      <c r="F523" s="1">
        <v>123</v>
      </c>
      <c r="G523" s="1">
        <v>8</v>
      </c>
      <c r="H523" s="1">
        <v>42.9</v>
      </c>
      <c r="I523" s="1"/>
      <c r="J523" s="1"/>
    </row>
    <row r="524" spans="1:10" x14ac:dyDescent="0.3">
      <c r="A524" t="str">
        <f t="shared" si="16"/>
        <v>DFG%</v>
      </c>
      <c r="B524">
        <f t="shared" si="17"/>
        <v>14309</v>
      </c>
      <c r="D524" s="1"/>
      <c r="E524" s="1" t="s">
        <v>391</v>
      </c>
      <c r="F524" s="1">
        <v>131</v>
      </c>
      <c r="G524" s="1">
        <v>11</v>
      </c>
      <c r="H524" s="1">
        <v>43</v>
      </c>
      <c r="I524" s="1"/>
      <c r="J524" s="1"/>
    </row>
    <row r="525" spans="1:10" x14ac:dyDescent="0.3">
      <c r="A525" t="str">
        <f t="shared" si="16"/>
        <v>DFG%</v>
      </c>
      <c r="B525">
        <f t="shared" si="17"/>
        <v>18609</v>
      </c>
      <c r="D525" s="1"/>
      <c r="E525" s="1" t="s">
        <v>425</v>
      </c>
      <c r="F525" s="1">
        <v>133</v>
      </c>
      <c r="G525" s="1">
        <v>4</v>
      </c>
      <c r="H525" s="1">
        <v>43</v>
      </c>
      <c r="I525" s="1"/>
      <c r="J525" s="1"/>
    </row>
    <row r="526" spans="1:10" x14ac:dyDescent="0.3">
      <c r="A526" t="str">
        <f t="shared" si="16"/>
        <v>DFG%</v>
      </c>
      <c r="B526">
        <f t="shared" si="17"/>
        <v>11509</v>
      </c>
      <c r="D526" s="1"/>
      <c r="E526" s="1" t="s">
        <v>97</v>
      </c>
      <c r="F526" s="1">
        <v>139</v>
      </c>
      <c r="G526" s="1">
        <v>6</v>
      </c>
      <c r="H526" s="1">
        <v>43.1</v>
      </c>
      <c r="I526" s="1"/>
      <c r="J526" s="1"/>
    </row>
    <row r="527" spans="1:10" x14ac:dyDescent="0.3">
      <c r="A527" t="str">
        <f t="shared" si="16"/>
        <v>DFG%</v>
      </c>
      <c r="B527">
        <f t="shared" si="17"/>
        <v>12009</v>
      </c>
      <c r="D527" s="1"/>
      <c r="E527" s="1" t="s">
        <v>135</v>
      </c>
      <c r="F527" s="1">
        <v>143</v>
      </c>
      <c r="G527" s="1">
        <v>2</v>
      </c>
      <c r="H527" s="1">
        <v>43.2</v>
      </c>
      <c r="I527" s="1"/>
      <c r="J527" s="1"/>
    </row>
    <row r="528" spans="1:10" x14ac:dyDescent="0.3">
      <c r="A528" t="str">
        <f t="shared" si="16"/>
        <v>DFG%</v>
      </c>
      <c r="B528">
        <f t="shared" si="17"/>
        <v>18809</v>
      </c>
      <c r="D528" s="1"/>
      <c r="E528" s="1" t="s">
        <v>424</v>
      </c>
      <c r="F528" s="1">
        <v>185</v>
      </c>
      <c r="G528" s="1">
        <v>5</v>
      </c>
      <c r="H528" s="1">
        <v>43.9</v>
      </c>
      <c r="I528" s="1"/>
      <c r="J528" s="1"/>
    </row>
    <row r="529" spans="1:10" x14ac:dyDescent="0.3">
      <c r="A529" t="str">
        <f t="shared" si="16"/>
        <v>DFG%</v>
      </c>
      <c r="B529">
        <f t="shared" si="17"/>
        <v>6809</v>
      </c>
      <c r="D529" s="1"/>
      <c r="E529" s="1" t="s">
        <v>248</v>
      </c>
      <c r="F529" s="1">
        <v>197</v>
      </c>
      <c r="G529" s="1">
        <v>6</v>
      </c>
      <c r="H529" s="1">
        <v>44</v>
      </c>
      <c r="I529" s="1"/>
      <c r="J529" s="1"/>
    </row>
    <row r="530" spans="1:10" x14ac:dyDescent="0.3">
      <c r="A530" t="str">
        <f t="shared" si="16"/>
        <v>DFG%</v>
      </c>
      <c r="B530">
        <f t="shared" si="17"/>
        <v>19009</v>
      </c>
      <c r="D530" s="1"/>
      <c r="E530" s="1" t="s">
        <v>176</v>
      </c>
      <c r="F530" s="1">
        <v>206</v>
      </c>
      <c r="G530" s="1">
        <v>13</v>
      </c>
      <c r="H530" s="1">
        <v>44.2</v>
      </c>
      <c r="I530" s="1"/>
      <c r="J530" s="1"/>
    </row>
    <row r="531" spans="1:10" x14ac:dyDescent="0.3">
      <c r="A531" t="str">
        <f t="shared" si="16"/>
        <v>DFG%</v>
      </c>
      <c r="B531">
        <f t="shared" si="17"/>
        <v>4409</v>
      </c>
      <c r="D531" s="1"/>
      <c r="E531" s="1" t="s">
        <v>83</v>
      </c>
      <c r="F531" s="1">
        <v>208</v>
      </c>
      <c r="G531" s="1">
        <v>4</v>
      </c>
      <c r="H531" s="1">
        <v>44.2</v>
      </c>
      <c r="I531" s="1"/>
      <c r="J531" s="1"/>
    </row>
    <row r="532" spans="1:10" x14ac:dyDescent="0.3">
      <c r="A532" t="str">
        <f t="shared" si="16"/>
        <v>DFG%</v>
      </c>
      <c r="B532">
        <f t="shared" si="17"/>
        <v>7409</v>
      </c>
      <c r="D532" s="1"/>
      <c r="E532" s="1" t="s">
        <v>251</v>
      </c>
      <c r="F532" s="1">
        <v>211</v>
      </c>
      <c r="G532" s="1">
        <v>7</v>
      </c>
      <c r="H532" s="1">
        <v>44.3</v>
      </c>
      <c r="I532" s="1"/>
      <c r="J532" s="1"/>
    </row>
    <row r="533" spans="1:10" x14ac:dyDescent="0.3">
      <c r="A533" t="str">
        <f t="shared" si="16"/>
        <v>DFG%</v>
      </c>
      <c r="B533">
        <f t="shared" si="17"/>
        <v>18909</v>
      </c>
      <c r="D533" s="1"/>
      <c r="E533" s="1" t="s">
        <v>422</v>
      </c>
      <c r="F533" s="1">
        <v>216</v>
      </c>
      <c r="G533" s="1">
        <v>8</v>
      </c>
      <c r="H533" s="1">
        <v>44.4</v>
      </c>
      <c r="I533" s="1"/>
      <c r="J533" s="1"/>
    </row>
    <row r="534" spans="1:10" x14ac:dyDescent="0.3">
      <c r="A534" t="str">
        <f t="shared" si="16"/>
        <v>DFG%</v>
      </c>
      <c r="B534">
        <f t="shared" si="17"/>
        <v>3309</v>
      </c>
      <c r="D534" s="1"/>
      <c r="E534" s="1" t="s">
        <v>91</v>
      </c>
      <c r="F534" s="1">
        <v>217</v>
      </c>
      <c r="G534" s="1">
        <v>8</v>
      </c>
      <c r="H534" s="1">
        <v>44.5</v>
      </c>
      <c r="I534" s="1"/>
      <c r="J534" s="1"/>
    </row>
    <row r="535" spans="1:10" x14ac:dyDescent="0.3">
      <c r="A535" t="str">
        <f t="shared" si="16"/>
        <v>DFG%</v>
      </c>
      <c r="B535">
        <f t="shared" si="17"/>
        <v>1909</v>
      </c>
      <c r="D535" s="1"/>
      <c r="E535" s="1" t="s">
        <v>112</v>
      </c>
      <c r="F535" s="1">
        <v>221</v>
      </c>
      <c r="G535" s="1">
        <v>9</v>
      </c>
      <c r="H535" s="1">
        <v>44.5</v>
      </c>
      <c r="I535" s="1"/>
      <c r="J535" s="1"/>
    </row>
    <row r="536" spans="1:10" x14ac:dyDescent="0.3">
      <c r="A536" t="str">
        <f t="shared" si="16"/>
        <v>DFG%</v>
      </c>
      <c r="B536">
        <f t="shared" si="17"/>
        <v>8809</v>
      </c>
      <c r="D536" s="1"/>
      <c r="E536" s="1" t="s">
        <v>141</v>
      </c>
      <c r="F536" s="1">
        <v>224</v>
      </c>
      <c r="G536" s="1">
        <v>5</v>
      </c>
      <c r="H536" s="1">
        <v>44.5</v>
      </c>
      <c r="I536" s="1"/>
      <c r="J536" s="1"/>
    </row>
    <row r="537" spans="1:10" x14ac:dyDescent="0.3">
      <c r="A537" t="str">
        <f t="shared" si="16"/>
        <v>DFG%</v>
      </c>
      <c r="B537">
        <f t="shared" si="17"/>
        <v>15209</v>
      </c>
      <c r="D537" s="1"/>
      <c r="E537" s="1" t="s">
        <v>426</v>
      </c>
      <c r="F537" s="1">
        <v>225</v>
      </c>
      <c r="G537" s="1">
        <v>7</v>
      </c>
      <c r="H537" s="1">
        <v>44.5</v>
      </c>
      <c r="I537" s="1"/>
      <c r="J537" s="1"/>
    </row>
    <row r="538" spans="1:10" x14ac:dyDescent="0.3">
      <c r="A538" t="str">
        <f t="shared" si="16"/>
        <v>DFG%</v>
      </c>
      <c r="B538">
        <f t="shared" si="17"/>
        <v>14109</v>
      </c>
      <c r="D538" s="1"/>
      <c r="E538" s="1" t="s">
        <v>299</v>
      </c>
      <c r="F538" s="1">
        <v>231</v>
      </c>
      <c r="G538" s="1">
        <v>12</v>
      </c>
      <c r="H538" s="1">
        <v>44.6</v>
      </c>
      <c r="I538" s="1"/>
      <c r="J538" s="1"/>
    </row>
    <row r="539" spans="1:10" x14ac:dyDescent="0.3">
      <c r="A539" t="str">
        <f t="shared" si="16"/>
        <v>DFG%</v>
      </c>
      <c r="B539">
        <f t="shared" si="17"/>
        <v>19109</v>
      </c>
      <c r="D539" s="1"/>
      <c r="E539" s="1" t="s">
        <v>421</v>
      </c>
      <c r="F539" s="1">
        <v>247</v>
      </c>
      <c r="G539" s="1">
        <v>8</v>
      </c>
      <c r="H539" s="1">
        <v>44.7</v>
      </c>
      <c r="I539" s="1"/>
      <c r="J539" s="1"/>
    </row>
    <row r="540" spans="1:10" x14ac:dyDescent="0.3">
      <c r="A540" t="str">
        <f t="shared" si="16"/>
        <v>DFG%</v>
      </c>
      <c r="B540">
        <f t="shared" si="17"/>
        <v>7909</v>
      </c>
      <c r="D540" s="1"/>
      <c r="E540" s="1" t="s">
        <v>103</v>
      </c>
      <c r="F540" s="1">
        <v>248</v>
      </c>
      <c r="G540" s="1">
        <v>5</v>
      </c>
      <c r="H540" s="1">
        <v>44.7</v>
      </c>
      <c r="I540" s="1"/>
      <c r="J540" s="1"/>
    </row>
    <row r="541" spans="1:10" x14ac:dyDescent="0.3">
      <c r="A541" t="str">
        <f t="shared" si="16"/>
        <v>DFG%</v>
      </c>
      <c r="B541">
        <f t="shared" si="17"/>
        <v>109</v>
      </c>
      <c r="D541" s="1"/>
      <c r="E541" s="1" t="s">
        <v>312</v>
      </c>
      <c r="F541" s="1">
        <v>249</v>
      </c>
      <c r="G541" s="1">
        <v>11</v>
      </c>
      <c r="H541" s="1">
        <v>44.8</v>
      </c>
      <c r="I541" s="1"/>
      <c r="J541" s="1"/>
    </row>
    <row r="542" spans="1:10" x14ac:dyDescent="0.3">
      <c r="A542" t="str">
        <f t="shared" si="16"/>
        <v>DFG%</v>
      </c>
      <c r="B542">
        <f t="shared" si="17"/>
        <v>18309</v>
      </c>
      <c r="D542" s="1"/>
      <c r="E542" s="1" t="s">
        <v>423</v>
      </c>
      <c r="F542" s="1">
        <v>250</v>
      </c>
      <c r="G542" s="1">
        <v>3</v>
      </c>
      <c r="H542" s="1">
        <v>44.8</v>
      </c>
      <c r="I542" s="1"/>
      <c r="J542" s="1"/>
    </row>
    <row r="543" spans="1:10" x14ac:dyDescent="0.3">
      <c r="A543" t="str">
        <f t="shared" si="16"/>
        <v>DFG%</v>
      </c>
      <c r="B543">
        <f t="shared" si="17"/>
        <v>13309</v>
      </c>
      <c r="D543" s="1"/>
      <c r="E543" s="1" t="s">
        <v>291</v>
      </c>
      <c r="F543" s="1">
        <v>256</v>
      </c>
      <c r="G543" s="1">
        <v>10</v>
      </c>
      <c r="H543" s="1">
        <v>44.9</v>
      </c>
      <c r="I543" s="1"/>
      <c r="J543" s="1"/>
    </row>
    <row r="544" spans="1:10" x14ac:dyDescent="0.3">
      <c r="A544" t="str">
        <f t="shared" si="16"/>
        <v>DFG%</v>
      </c>
      <c r="B544">
        <f t="shared" si="17"/>
        <v>3209</v>
      </c>
      <c r="D544" s="1"/>
      <c r="E544" s="1" t="s">
        <v>127</v>
      </c>
      <c r="F544" s="1">
        <v>284</v>
      </c>
      <c r="G544" s="1">
        <v>11</v>
      </c>
      <c r="H544" s="1">
        <v>45.4</v>
      </c>
      <c r="I544" s="1"/>
      <c r="J544" s="1"/>
    </row>
    <row r="545" spans="1:10" x14ac:dyDescent="0.3">
      <c r="A545" t="str">
        <f t="shared" si="16"/>
        <v>DFG%</v>
      </c>
      <c r="B545">
        <f t="shared" si="17"/>
        <v>8409</v>
      </c>
      <c r="D545" s="1"/>
      <c r="E545" s="1" t="s">
        <v>109</v>
      </c>
      <c r="F545" s="1">
        <v>290</v>
      </c>
      <c r="G545" s="1">
        <v>9</v>
      </c>
      <c r="H545" s="1">
        <v>45.6</v>
      </c>
      <c r="I545" s="1"/>
      <c r="J545" s="1"/>
    </row>
    <row r="546" spans="1:10" x14ac:dyDescent="0.3">
      <c r="A546" t="str">
        <f t="shared" si="16"/>
        <v>DFG%</v>
      </c>
      <c r="B546">
        <f t="shared" si="17"/>
        <v>18409</v>
      </c>
      <c r="D546" s="1"/>
      <c r="E546" s="1" t="s">
        <v>417</v>
      </c>
      <c r="F546" s="1">
        <v>334</v>
      </c>
      <c r="G546" s="1">
        <v>6</v>
      </c>
      <c r="H546" s="1">
        <v>47.2</v>
      </c>
      <c r="I546" s="1"/>
      <c r="J546" s="1"/>
    </row>
    <row r="547" spans="1:10" x14ac:dyDescent="0.3">
      <c r="A547" t="str">
        <f t="shared" si="16"/>
        <v>DFG%</v>
      </c>
      <c r="B547">
        <f t="shared" si="17"/>
        <v>5209</v>
      </c>
      <c r="D547" s="1"/>
      <c r="E547" s="1" t="s">
        <v>241</v>
      </c>
      <c r="F547" s="1">
        <v>337</v>
      </c>
      <c r="G547" s="1">
        <v>14</v>
      </c>
      <c r="H547" s="1">
        <v>47.4</v>
      </c>
      <c r="I547" s="1"/>
      <c r="J547" s="1"/>
    </row>
    <row r="548" spans="1:10" x14ac:dyDescent="0.3">
      <c r="A548" t="str">
        <f t="shared" si="16"/>
        <v>FPG</v>
      </c>
      <c r="B548">
        <f t="shared" si="17"/>
        <v>8414</v>
      </c>
      <c r="D548" s="1" t="s">
        <v>437</v>
      </c>
      <c r="E548" s="1" t="s">
        <v>109</v>
      </c>
      <c r="F548" s="1">
        <v>1</v>
      </c>
      <c r="G548" s="1">
        <v>1</v>
      </c>
      <c r="H548" s="1">
        <v>12.5</v>
      </c>
      <c r="I548" s="1" t="s">
        <v>109</v>
      </c>
      <c r="J548" s="1">
        <v>12.5</v>
      </c>
    </row>
    <row r="549" spans="1:10" x14ac:dyDescent="0.3">
      <c r="A549" t="str">
        <f t="shared" si="16"/>
        <v>FPG</v>
      </c>
      <c r="B549">
        <f t="shared" si="17"/>
        <v>18514</v>
      </c>
      <c r="D549" s="1"/>
      <c r="E549" s="1" t="s">
        <v>420</v>
      </c>
      <c r="F549" s="1">
        <v>2</v>
      </c>
      <c r="G549" s="1">
        <v>1</v>
      </c>
      <c r="H549" s="1">
        <v>12.9</v>
      </c>
      <c r="I549" s="1"/>
      <c r="J549" s="1"/>
    </row>
    <row r="550" spans="1:10" x14ac:dyDescent="0.3">
      <c r="A550" t="str">
        <f t="shared" si="16"/>
        <v>FPG</v>
      </c>
      <c r="B550">
        <f t="shared" si="17"/>
        <v>3114</v>
      </c>
      <c r="D550" s="1"/>
      <c r="E550" s="1" t="s">
        <v>93</v>
      </c>
      <c r="F550" s="1">
        <v>3</v>
      </c>
      <c r="G550" s="1">
        <v>1</v>
      </c>
      <c r="H550" s="1">
        <v>13.1</v>
      </c>
      <c r="I550" s="1"/>
      <c r="J550" s="1"/>
    </row>
    <row r="551" spans="1:10" x14ac:dyDescent="0.3">
      <c r="A551" t="str">
        <f t="shared" si="16"/>
        <v>FPG</v>
      </c>
      <c r="B551">
        <f t="shared" si="17"/>
        <v>3014</v>
      </c>
      <c r="D551" s="1"/>
      <c r="E551" s="1" t="s">
        <v>89</v>
      </c>
      <c r="F551" s="1">
        <v>7</v>
      </c>
      <c r="G551" s="1">
        <v>1</v>
      </c>
      <c r="H551" s="1">
        <v>13.7</v>
      </c>
      <c r="I551" s="1"/>
      <c r="J551" s="1"/>
    </row>
    <row r="552" spans="1:10" x14ac:dyDescent="0.3">
      <c r="A552" t="str">
        <f t="shared" si="16"/>
        <v>FPG</v>
      </c>
      <c r="B552">
        <f t="shared" si="17"/>
        <v>114</v>
      </c>
      <c r="D552" s="1"/>
      <c r="E552" s="1" t="s">
        <v>312</v>
      </c>
      <c r="F552" s="1">
        <v>18</v>
      </c>
      <c r="G552" s="1">
        <v>2</v>
      </c>
      <c r="H552" s="1">
        <v>14.2</v>
      </c>
      <c r="I552" s="1"/>
      <c r="J552" s="1"/>
    </row>
    <row r="553" spans="1:10" x14ac:dyDescent="0.3">
      <c r="A553" t="str">
        <f t="shared" si="16"/>
        <v>FPG</v>
      </c>
      <c r="B553">
        <f t="shared" si="17"/>
        <v>2614</v>
      </c>
      <c r="D553" s="1"/>
      <c r="E553" s="1" t="s">
        <v>80</v>
      </c>
      <c r="F553" s="1">
        <v>21</v>
      </c>
      <c r="G553" s="1">
        <v>4</v>
      </c>
      <c r="H553" s="1">
        <v>14.3</v>
      </c>
      <c r="I553" s="1"/>
      <c r="J553" s="1"/>
    </row>
    <row r="554" spans="1:10" x14ac:dyDescent="0.3">
      <c r="A554" t="str">
        <f t="shared" si="16"/>
        <v>FPG</v>
      </c>
      <c r="B554">
        <f t="shared" si="17"/>
        <v>5214</v>
      </c>
      <c r="D554" s="1"/>
      <c r="E554" s="1" t="s">
        <v>241</v>
      </c>
      <c r="F554" s="1">
        <v>32</v>
      </c>
      <c r="G554" s="1">
        <v>3</v>
      </c>
      <c r="H554" s="1">
        <v>14.8</v>
      </c>
      <c r="I554" s="1"/>
      <c r="J554" s="1"/>
    </row>
    <row r="555" spans="1:10" x14ac:dyDescent="0.3">
      <c r="A555" t="str">
        <f t="shared" si="16"/>
        <v>FPG</v>
      </c>
      <c r="B555">
        <f t="shared" si="17"/>
        <v>7914</v>
      </c>
      <c r="D555" s="1"/>
      <c r="E555" s="1" t="s">
        <v>103</v>
      </c>
      <c r="F555" s="1">
        <v>34</v>
      </c>
      <c r="G555" s="1">
        <v>2</v>
      </c>
      <c r="H555" s="1">
        <v>14.8</v>
      </c>
      <c r="I555" s="1"/>
      <c r="J555" s="1"/>
    </row>
    <row r="556" spans="1:10" x14ac:dyDescent="0.3">
      <c r="A556" t="str">
        <f t="shared" si="16"/>
        <v>FPG</v>
      </c>
      <c r="B556">
        <f t="shared" si="17"/>
        <v>9514</v>
      </c>
      <c r="D556" s="1"/>
      <c r="E556" s="1" t="s">
        <v>85</v>
      </c>
      <c r="F556" s="1">
        <v>36</v>
      </c>
      <c r="G556" s="1">
        <v>2</v>
      </c>
      <c r="H556" s="1">
        <v>14.9</v>
      </c>
      <c r="I556" s="1"/>
      <c r="J556" s="1"/>
    </row>
    <row r="557" spans="1:10" x14ac:dyDescent="0.3">
      <c r="A557" t="str">
        <f t="shared" si="16"/>
        <v>FPG</v>
      </c>
      <c r="B557">
        <f t="shared" si="17"/>
        <v>6814</v>
      </c>
      <c r="D557" s="1"/>
      <c r="E557" s="1" t="s">
        <v>248</v>
      </c>
      <c r="F557" s="1">
        <v>38</v>
      </c>
      <c r="G557" s="1">
        <v>4</v>
      </c>
      <c r="H557" s="1">
        <v>15</v>
      </c>
      <c r="I557" s="1"/>
      <c r="J557" s="1"/>
    </row>
    <row r="558" spans="1:10" x14ac:dyDescent="0.3">
      <c r="A558" t="str">
        <f t="shared" si="16"/>
        <v>FPG</v>
      </c>
      <c r="B558">
        <f t="shared" si="17"/>
        <v>1614</v>
      </c>
      <c r="D558" s="1"/>
      <c r="E558" s="1" t="s">
        <v>137</v>
      </c>
      <c r="F558" s="1">
        <v>47</v>
      </c>
      <c r="G558" s="1">
        <v>1</v>
      </c>
      <c r="H558" s="1">
        <v>15.2</v>
      </c>
      <c r="I558" s="1"/>
      <c r="J558" s="1"/>
    </row>
    <row r="559" spans="1:10" x14ac:dyDescent="0.3">
      <c r="A559" t="str">
        <f t="shared" si="16"/>
        <v>FPG</v>
      </c>
      <c r="B559">
        <f t="shared" si="17"/>
        <v>5414</v>
      </c>
      <c r="D559" s="1"/>
      <c r="E559" s="1" t="s">
        <v>94</v>
      </c>
      <c r="F559" s="1">
        <v>51</v>
      </c>
      <c r="G559" s="1">
        <v>5</v>
      </c>
      <c r="H559" s="1">
        <v>15.3</v>
      </c>
      <c r="I559" s="1"/>
      <c r="J559" s="1"/>
    </row>
    <row r="560" spans="1:10" x14ac:dyDescent="0.3">
      <c r="A560" t="str">
        <f t="shared" si="16"/>
        <v>FPG</v>
      </c>
      <c r="B560">
        <f t="shared" si="17"/>
        <v>18814</v>
      </c>
      <c r="D560" s="1"/>
      <c r="E560" s="1" t="s">
        <v>424</v>
      </c>
      <c r="F560" s="1">
        <v>52</v>
      </c>
      <c r="G560" s="1">
        <v>3</v>
      </c>
      <c r="H560" s="1">
        <v>15.3</v>
      </c>
      <c r="I560" s="1"/>
      <c r="J560" s="1"/>
    </row>
    <row r="561" spans="1:10" x14ac:dyDescent="0.3">
      <c r="A561" t="str">
        <f t="shared" si="16"/>
        <v>FPG</v>
      </c>
      <c r="B561">
        <f t="shared" si="17"/>
        <v>14314</v>
      </c>
      <c r="D561" s="1"/>
      <c r="E561" s="1" t="s">
        <v>391</v>
      </c>
      <c r="F561" s="1">
        <v>60</v>
      </c>
      <c r="G561" s="1">
        <v>4</v>
      </c>
      <c r="H561" s="1">
        <v>15.5</v>
      </c>
      <c r="I561" s="1"/>
      <c r="J561" s="1"/>
    </row>
    <row r="562" spans="1:10" x14ac:dyDescent="0.3">
      <c r="A562" t="str">
        <f t="shared" si="16"/>
        <v>FPG</v>
      </c>
      <c r="B562">
        <f t="shared" si="17"/>
        <v>18714</v>
      </c>
      <c r="D562" s="1"/>
      <c r="E562" s="1" t="s">
        <v>427</v>
      </c>
      <c r="F562" s="1">
        <v>63</v>
      </c>
      <c r="G562" s="1">
        <v>1</v>
      </c>
      <c r="H562" s="1">
        <v>15.5</v>
      </c>
      <c r="I562" s="1"/>
      <c r="J562" s="1"/>
    </row>
    <row r="563" spans="1:10" x14ac:dyDescent="0.3">
      <c r="A563" t="str">
        <f t="shared" si="16"/>
        <v>FPG</v>
      </c>
      <c r="B563">
        <f t="shared" si="17"/>
        <v>9014</v>
      </c>
      <c r="D563" s="1"/>
      <c r="E563" s="1" t="s">
        <v>261</v>
      </c>
      <c r="F563" s="1">
        <v>64</v>
      </c>
      <c r="G563" s="1">
        <v>3</v>
      </c>
      <c r="H563" s="1">
        <v>15.5</v>
      </c>
      <c r="I563" s="1"/>
      <c r="J563" s="1"/>
    </row>
    <row r="564" spans="1:10" x14ac:dyDescent="0.3">
      <c r="A564" t="str">
        <f t="shared" si="16"/>
        <v>FPG</v>
      </c>
      <c r="B564">
        <f t="shared" si="17"/>
        <v>2214</v>
      </c>
      <c r="D564" s="1"/>
      <c r="E564" s="1" t="s">
        <v>119</v>
      </c>
      <c r="F564" s="1">
        <v>80</v>
      </c>
      <c r="G564" s="1">
        <v>4</v>
      </c>
      <c r="H564" s="1">
        <v>15.7</v>
      </c>
      <c r="I564" s="1"/>
      <c r="J564" s="1"/>
    </row>
    <row r="565" spans="1:10" x14ac:dyDescent="0.3">
      <c r="A565" t="str">
        <f t="shared" si="16"/>
        <v>FPG</v>
      </c>
      <c r="B565">
        <f t="shared" si="17"/>
        <v>11114</v>
      </c>
      <c r="D565" s="1"/>
      <c r="E565" s="1" t="s">
        <v>277</v>
      </c>
      <c r="F565" s="1">
        <v>96</v>
      </c>
      <c r="G565" s="1">
        <v>9</v>
      </c>
      <c r="H565" s="1">
        <v>16</v>
      </c>
      <c r="I565" s="1"/>
      <c r="J565" s="1"/>
    </row>
    <row r="566" spans="1:10" x14ac:dyDescent="0.3">
      <c r="A566" t="str">
        <f t="shared" si="16"/>
        <v>FPG</v>
      </c>
      <c r="B566">
        <f t="shared" si="17"/>
        <v>3414</v>
      </c>
      <c r="D566" s="1"/>
      <c r="E566" s="1" t="s">
        <v>237</v>
      </c>
      <c r="F566" s="1">
        <v>96</v>
      </c>
      <c r="G566" s="1">
        <v>2</v>
      </c>
      <c r="H566" s="1">
        <v>16</v>
      </c>
      <c r="I566" s="1"/>
      <c r="J566" s="1"/>
    </row>
    <row r="567" spans="1:10" x14ac:dyDescent="0.3">
      <c r="A567" t="str">
        <f t="shared" si="16"/>
        <v>FPG</v>
      </c>
      <c r="B567">
        <f t="shared" si="17"/>
        <v>7414</v>
      </c>
      <c r="D567" s="1"/>
      <c r="E567" s="1" t="s">
        <v>251</v>
      </c>
      <c r="F567" s="1">
        <v>102</v>
      </c>
      <c r="G567" s="1">
        <v>6</v>
      </c>
      <c r="H567" s="1">
        <v>16</v>
      </c>
      <c r="I567" s="1"/>
      <c r="J567" s="1"/>
    </row>
    <row r="568" spans="1:10" x14ac:dyDescent="0.3">
      <c r="A568" t="str">
        <f t="shared" si="16"/>
        <v>FPG</v>
      </c>
      <c r="B568">
        <f t="shared" si="17"/>
        <v>5514</v>
      </c>
      <c r="D568" s="1"/>
      <c r="E568" s="1" t="s">
        <v>86</v>
      </c>
      <c r="F568" s="1">
        <v>103</v>
      </c>
      <c r="G568" s="1">
        <v>4</v>
      </c>
      <c r="H568" s="1">
        <v>16</v>
      </c>
      <c r="I568" s="1"/>
      <c r="J568" s="1"/>
    </row>
    <row r="569" spans="1:10" x14ac:dyDescent="0.3">
      <c r="A569" t="str">
        <f t="shared" si="16"/>
        <v>FPG</v>
      </c>
      <c r="B569">
        <f t="shared" si="17"/>
        <v>18914</v>
      </c>
      <c r="D569" s="1"/>
      <c r="E569" s="1" t="s">
        <v>422</v>
      </c>
      <c r="F569" s="1">
        <v>108</v>
      </c>
      <c r="G569" s="1">
        <v>2</v>
      </c>
      <c r="H569" s="1">
        <v>16.100000000000001</v>
      </c>
      <c r="I569" s="1"/>
      <c r="J569" s="1"/>
    </row>
    <row r="570" spans="1:10" x14ac:dyDescent="0.3">
      <c r="A570" t="str">
        <f t="shared" si="16"/>
        <v>FPG</v>
      </c>
      <c r="B570">
        <f t="shared" si="17"/>
        <v>6214</v>
      </c>
      <c r="D570" s="1"/>
      <c r="E570" s="1" t="s">
        <v>81</v>
      </c>
      <c r="F570" s="1">
        <v>116</v>
      </c>
      <c r="G570" s="1">
        <v>10</v>
      </c>
      <c r="H570" s="1">
        <v>16.100000000000001</v>
      </c>
      <c r="I570" s="1"/>
      <c r="J570" s="1"/>
    </row>
    <row r="571" spans="1:10" x14ac:dyDescent="0.3">
      <c r="A571" t="str">
        <f t="shared" si="16"/>
        <v>FPG</v>
      </c>
      <c r="B571">
        <f t="shared" si="17"/>
        <v>3314</v>
      </c>
      <c r="D571" s="1"/>
      <c r="E571" s="1" t="s">
        <v>91</v>
      </c>
      <c r="F571" s="1">
        <v>120</v>
      </c>
      <c r="G571" s="1">
        <v>7</v>
      </c>
      <c r="H571" s="1">
        <v>16.2</v>
      </c>
      <c r="I571" s="1"/>
      <c r="J571" s="1"/>
    </row>
    <row r="572" spans="1:10" x14ac:dyDescent="0.3">
      <c r="A572" t="str">
        <f t="shared" si="16"/>
        <v>FPG</v>
      </c>
      <c r="B572">
        <f t="shared" si="17"/>
        <v>8614</v>
      </c>
      <c r="D572" s="1"/>
      <c r="E572" s="1" t="s">
        <v>259</v>
      </c>
      <c r="F572" s="1">
        <v>127</v>
      </c>
      <c r="G572" s="1">
        <v>5</v>
      </c>
      <c r="H572" s="1">
        <v>16.2</v>
      </c>
      <c r="I572" s="1"/>
      <c r="J572" s="1"/>
    </row>
    <row r="573" spans="1:10" x14ac:dyDescent="0.3">
      <c r="A573" t="str">
        <f t="shared" si="16"/>
        <v>FPG</v>
      </c>
      <c r="B573">
        <f t="shared" si="17"/>
        <v>5314</v>
      </c>
      <c r="D573" s="1"/>
      <c r="E573" s="1" t="s">
        <v>242</v>
      </c>
      <c r="F573" s="1">
        <v>128</v>
      </c>
      <c r="G573" s="1">
        <v>11</v>
      </c>
      <c r="H573" s="1">
        <v>16.3</v>
      </c>
      <c r="I573" s="1"/>
      <c r="J573" s="1"/>
    </row>
    <row r="574" spans="1:10" x14ac:dyDescent="0.3">
      <c r="A574" t="str">
        <f t="shared" si="16"/>
        <v>FPG</v>
      </c>
      <c r="B574">
        <f t="shared" si="17"/>
        <v>1214</v>
      </c>
      <c r="D574" s="1"/>
      <c r="E574" s="1" t="s">
        <v>130</v>
      </c>
      <c r="F574" s="1">
        <v>130</v>
      </c>
      <c r="G574" s="1">
        <v>4</v>
      </c>
      <c r="H574" s="1">
        <v>16.3</v>
      </c>
      <c r="I574" s="1"/>
      <c r="J574" s="1"/>
    </row>
    <row r="575" spans="1:10" x14ac:dyDescent="0.3">
      <c r="A575" t="str">
        <f t="shared" si="16"/>
        <v>FPG</v>
      </c>
      <c r="B575">
        <f t="shared" si="17"/>
        <v>2114</v>
      </c>
      <c r="D575" s="1"/>
      <c r="E575" s="1" t="s">
        <v>136</v>
      </c>
      <c r="F575" s="1">
        <v>136</v>
      </c>
      <c r="G575" s="1">
        <v>6</v>
      </c>
      <c r="H575" s="1">
        <v>16.3</v>
      </c>
      <c r="I575" s="1"/>
      <c r="J575" s="1"/>
    </row>
    <row r="576" spans="1:10" x14ac:dyDescent="0.3">
      <c r="A576" t="str">
        <f t="shared" si="16"/>
        <v>FPG</v>
      </c>
      <c r="B576">
        <f t="shared" si="17"/>
        <v>914</v>
      </c>
      <c r="D576" s="1"/>
      <c r="E576" s="1" t="s">
        <v>90</v>
      </c>
      <c r="F576" s="1">
        <v>142</v>
      </c>
      <c r="G576" s="1">
        <v>12</v>
      </c>
      <c r="H576" s="1">
        <v>16.399999999999999</v>
      </c>
      <c r="I576" s="1"/>
      <c r="J576" s="1"/>
    </row>
    <row r="577" spans="1:10" x14ac:dyDescent="0.3">
      <c r="A577" t="str">
        <f t="shared" si="16"/>
        <v>FPG</v>
      </c>
      <c r="B577">
        <f t="shared" si="17"/>
        <v>12214</v>
      </c>
      <c r="D577" s="1"/>
      <c r="E577" s="1" t="s">
        <v>284</v>
      </c>
      <c r="F577" s="1">
        <v>147</v>
      </c>
      <c r="G577" s="1">
        <v>4</v>
      </c>
      <c r="H577" s="1">
        <v>16.399999999999999</v>
      </c>
      <c r="I577" s="1"/>
      <c r="J577" s="1"/>
    </row>
    <row r="578" spans="1:10" x14ac:dyDescent="0.3">
      <c r="A578" t="str">
        <f t="shared" ref="A578:A641" si="18">IF(NOT(D578=""),INDEX(statAbbr,MATCH(D578,statOfficial,0),1),A577)</f>
        <v>FPG</v>
      </c>
      <c r="B578">
        <f t="shared" ref="B578:B641" si="19">INDEX(statID,MATCH(A578,statAbbr,0),1)+INDEX(teamID,MATCH(E578,teamRawName,0))</f>
        <v>5614</v>
      </c>
      <c r="D578" s="1"/>
      <c r="E578" s="1" t="s">
        <v>62</v>
      </c>
      <c r="F578" s="1">
        <v>154</v>
      </c>
      <c r="G578" s="1">
        <v>3</v>
      </c>
      <c r="H578" s="1">
        <v>16.5</v>
      </c>
      <c r="I578" s="1"/>
      <c r="J578" s="1"/>
    </row>
    <row r="579" spans="1:10" x14ac:dyDescent="0.3">
      <c r="A579" t="str">
        <f t="shared" si="18"/>
        <v>FPG</v>
      </c>
      <c r="B579">
        <f t="shared" si="19"/>
        <v>2514</v>
      </c>
      <c r="D579" s="1"/>
      <c r="E579" s="1" t="s">
        <v>92</v>
      </c>
      <c r="F579" s="1">
        <v>157</v>
      </c>
      <c r="G579" s="1">
        <v>2</v>
      </c>
      <c r="H579" s="1">
        <v>16.5</v>
      </c>
      <c r="I579" s="1"/>
      <c r="J579" s="1"/>
    </row>
    <row r="580" spans="1:10" x14ac:dyDescent="0.3">
      <c r="A580" t="str">
        <f t="shared" si="18"/>
        <v>FPG</v>
      </c>
      <c r="B580">
        <f t="shared" si="19"/>
        <v>3514</v>
      </c>
      <c r="D580" s="1"/>
      <c r="E580" s="1" t="s">
        <v>87</v>
      </c>
      <c r="F580" s="1">
        <v>158</v>
      </c>
      <c r="G580" s="1">
        <v>8</v>
      </c>
      <c r="H580" s="1">
        <v>16.600000000000001</v>
      </c>
      <c r="I580" s="1"/>
      <c r="J580" s="1"/>
    </row>
    <row r="581" spans="1:10" x14ac:dyDescent="0.3">
      <c r="A581" t="str">
        <f t="shared" si="18"/>
        <v>FPG</v>
      </c>
      <c r="B581">
        <f t="shared" si="19"/>
        <v>4414</v>
      </c>
      <c r="D581" s="1"/>
      <c r="E581" s="1" t="s">
        <v>83</v>
      </c>
      <c r="F581" s="1">
        <v>160</v>
      </c>
      <c r="G581" s="1">
        <v>3</v>
      </c>
      <c r="H581" s="1">
        <v>16.600000000000001</v>
      </c>
      <c r="I581" s="1"/>
      <c r="J581" s="1"/>
    </row>
    <row r="582" spans="1:10" x14ac:dyDescent="0.3">
      <c r="A582" t="str">
        <f t="shared" si="18"/>
        <v>FPG</v>
      </c>
      <c r="B582">
        <f t="shared" si="19"/>
        <v>3914</v>
      </c>
      <c r="D582" s="1"/>
      <c r="E582" s="1" t="s">
        <v>88</v>
      </c>
      <c r="F582" s="1">
        <v>161</v>
      </c>
      <c r="G582" s="1">
        <v>4</v>
      </c>
      <c r="H582" s="1">
        <v>16.600000000000001</v>
      </c>
      <c r="I582" s="1"/>
      <c r="J582" s="1"/>
    </row>
    <row r="583" spans="1:10" x14ac:dyDescent="0.3">
      <c r="A583" t="str">
        <f t="shared" si="18"/>
        <v>FPG</v>
      </c>
      <c r="B583">
        <f t="shared" si="19"/>
        <v>2814</v>
      </c>
      <c r="D583" s="1"/>
      <c r="E583" s="1" t="s">
        <v>106</v>
      </c>
      <c r="F583" s="1">
        <v>170</v>
      </c>
      <c r="G583" s="1">
        <v>6</v>
      </c>
      <c r="H583" s="1">
        <v>16.7</v>
      </c>
      <c r="I583" s="1"/>
      <c r="J583" s="1"/>
    </row>
    <row r="584" spans="1:10" x14ac:dyDescent="0.3">
      <c r="A584" t="str">
        <f t="shared" si="18"/>
        <v>FPG</v>
      </c>
      <c r="B584">
        <f t="shared" si="19"/>
        <v>19114</v>
      </c>
      <c r="D584" s="1"/>
      <c r="E584" s="1" t="s">
        <v>421</v>
      </c>
      <c r="F584" s="1">
        <v>176</v>
      </c>
      <c r="G584" s="1">
        <v>6</v>
      </c>
      <c r="H584" s="1">
        <v>16.8</v>
      </c>
      <c r="I584" s="1"/>
      <c r="J584" s="1"/>
    </row>
    <row r="585" spans="1:10" x14ac:dyDescent="0.3">
      <c r="A585" t="str">
        <f t="shared" si="18"/>
        <v>FPG</v>
      </c>
      <c r="B585">
        <f t="shared" si="19"/>
        <v>1414</v>
      </c>
      <c r="D585" s="1"/>
      <c r="E585" s="1" t="s">
        <v>102</v>
      </c>
      <c r="F585" s="1">
        <v>181</v>
      </c>
      <c r="G585" s="1">
        <v>7</v>
      </c>
      <c r="H585" s="1">
        <v>16.8</v>
      </c>
      <c r="I585" s="1"/>
      <c r="J585" s="1"/>
    </row>
    <row r="586" spans="1:10" x14ac:dyDescent="0.3">
      <c r="A586" t="str">
        <f t="shared" si="18"/>
        <v>FPG</v>
      </c>
      <c r="B586">
        <f t="shared" si="19"/>
        <v>11514</v>
      </c>
      <c r="D586" s="1"/>
      <c r="E586" s="1" t="s">
        <v>97</v>
      </c>
      <c r="F586" s="1">
        <v>186</v>
      </c>
      <c r="G586" s="1">
        <v>9</v>
      </c>
      <c r="H586" s="1">
        <v>16.899999999999999</v>
      </c>
      <c r="I586" s="1"/>
      <c r="J586" s="1"/>
    </row>
    <row r="587" spans="1:10" x14ac:dyDescent="0.3">
      <c r="A587" t="str">
        <f t="shared" si="18"/>
        <v>FPG</v>
      </c>
      <c r="B587">
        <f t="shared" si="19"/>
        <v>4314</v>
      </c>
      <c r="D587" s="1"/>
      <c r="E587" s="1" t="s">
        <v>125</v>
      </c>
      <c r="F587" s="1">
        <v>192</v>
      </c>
      <c r="G587" s="1">
        <v>13</v>
      </c>
      <c r="H587" s="1">
        <v>16.899999999999999</v>
      </c>
      <c r="I587" s="1"/>
      <c r="J587" s="1"/>
    </row>
    <row r="588" spans="1:10" x14ac:dyDescent="0.3">
      <c r="A588" t="str">
        <f t="shared" si="18"/>
        <v>FPG</v>
      </c>
      <c r="B588">
        <f t="shared" si="19"/>
        <v>2914</v>
      </c>
      <c r="D588" s="1"/>
      <c r="E588" s="1" t="s">
        <v>96</v>
      </c>
      <c r="F588" s="1">
        <v>194</v>
      </c>
      <c r="G588" s="1">
        <v>8</v>
      </c>
      <c r="H588" s="1">
        <v>16.899999999999999</v>
      </c>
      <c r="I588" s="1"/>
      <c r="J588" s="1"/>
    </row>
    <row r="589" spans="1:10" x14ac:dyDescent="0.3">
      <c r="A589" t="str">
        <f t="shared" si="18"/>
        <v>FPG</v>
      </c>
      <c r="B589">
        <f t="shared" si="19"/>
        <v>19014</v>
      </c>
      <c r="D589" s="1"/>
      <c r="E589" s="1" t="s">
        <v>176</v>
      </c>
      <c r="F589" s="1">
        <v>196</v>
      </c>
      <c r="G589" s="1">
        <v>11</v>
      </c>
      <c r="H589" s="1">
        <v>17</v>
      </c>
      <c r="I589" s="1"/>
      <c r="J589" s="1"/>
    </row>
    <row r="590" spans="1:10" x14ac:dyDescent="0.3">
      <c r="A590" t="str">
        <f t="shared" si="18"/>
        <v>FPG</v>
      </c>
      <c r="B590">
        <f t="shared" si="19"/>
        <v>9414</v>
      </c>
      <c r="D590" s="1"/>
      <c r="E590" s="1" t="s">
        <v>264</v>
      </c>
      <c r="F590" s="1">
        <v>208</v>
      </c>
      <c r="G590" s="1">
        <v>14</v>
      </c>
      <c r="H590" s="1">
        <v>17.100000000000001</v>
      </c>
      <c r="I590" s="1"/>
      <c r="J590" s="1"/>
    </row>
    <row r="591" spans="1:10" x14ac:dyDescent="0.3">
      <c r="A591" t="str">
        <f t="shared" si="18"/>
        <v>FPG</v>
      </c>
      <c r="B591">
        <f t="shared" si="19"/>
        <v>2414</v>
      </c>
      <c r="D591" s="1"/>
      <c r="E591" s="1" t="s">
        <v>330</v>
      </c>
      <c r="F591" s="1">
        <v>211</v>
      </c>
      <c r="G591" s="1">
        <v>10</v>
      </c>
      <c r="H591" s="1">
        <v>17.2</v>
      </c>
      <c r="I591" s="1"/>
      <c r="J591" s="1"/>
    </row>
    <row r="592" spans="1:10" x14ac:dyDescent="0.3">
      <c r="A592" t="str">
        <f t="shared" si="18"/>
        <v>FPG</v>
      </c>
      <c r="B592">
        <f t="shared" si="19"/>
        <v>3214</v>
      </c>
      <c r="D592" s="1"/>
      <c r="E592" s="1" t="s">
        <v>127</v>
      </c>
      <c r="F592" s="1">
        <v>220</v>
      </c>
      <c r="G592" s="1">
        <v>6</v>
      </c>
      <c r="H592" s="1">
        <v>17.399999999999999</v>
      </c>
      <c r="I592" s="1"/>
      <c r="J592" s="1"/>
    </row>
    <row r="593" spans="1:10" x14ac:dyDescent="0.3">
      <c r="A593" t="str">
        <f t="shared" si="18"/>
        <v>FPG</v>
      </c>
      <c r="B593">
        <f t="shared" si="19"/>
        <v>1914</v>
      </c>
      <c r="D593" s="1"/>
      <c r="E593" s="1" t="s">
        <v>112</v>
      </c>
      <c r="F593" s="1">
        <v>225</v>
      </c>
      <c r="G593" s="1">
        <v>15</v>
      </c>
      <c r="H593" s="1">
        <v>17.399999999999999</v>
      </c>
      <c r="I593" s="1"/>
      <c r="J593" s="1"/>
    </row>
    <row r="594" spans="1:10" x14ac:dyDescent="0.3">
      <c r="A594" t="str">
        <f t="shared" si="18"/>
        <v>FPG</v>
      </c>
      <c r="B594">
        <f t="shared" si="19"/>
        <v>6714</v>
      </c>
      <c r="D594" s="1"/>
      <c r="E594" s="1" t="s">
        <v>118</v>
      </c>
      <c r="F594" s="1">
        <v>227</v>
      </c>
      <c r="G594" s="1">
        <v>7</v>
      </c>
      <c r="H594" s="1">
        <v>17.399999999999999</v>
      </c>
      <c r="I594" s="1"/>
      <c r="J594" s="1"/>
    </row>
    <row r="595" spans="1:10" x14ac:dyDescent="0.3">
      <c r="A595" t="str">
        <f t="shared" si="18"/>
        <v>FPG</v>
      </c>
      <c r="B595">
        <f t="shared" si="19"/>
        <v>8814</v>
      </c>
      <c r="D595" s="1"/>
      <c r="E595" s="1" t="s">
        <v>141</v>
      </c>
      <c r="F595" s="1">
        <v>234</v>
      </c>
      <c r="G595" s="1">
        <v>2</v>
      </c>
      <c r="H595" s="1">
        <v>17.5</v>
      </c>
      <c r="I595" s="1"/>
      <c r="J595" s="1"/>
    </row>
    <row r="596" spans="1:10" x14ac:dyDescent="0.3">
      <c r="A596" t="str">
        <f t="shared" si="18"/>
        <v>FPG</v>
      </c>
      <c r="B596">
        <f t="shared" si="19"/>
        <v>2314</v>
      </c>
      <c r="D596" s="1"/>
      <c r="E596" s="1" t="s">
        <v>79</v>
      </c>
      <c r="F596" s="1">
        <v>247</v>
      </c>
      <c r="G596" s="1">
        <v>9</v>
      </c>
      <c r="H596" s="1">
        <v>17.7</v>
      </c>
      <c r="I596" s="1"/>
      <c r="J596" s="1"/>
    </row>
    <row r="597" spans="1:10" x14ac:dyDescent="0.3">
      <c r="A597" t="str">
        <f t="shared" si="18"/>
        <v>FPG</v>
      </c>
      <c r="B597">
        <f t="shared" si="19"/>
        <v>714</v>
      </c>
      <c r="D597" s="1"/>
      <c r="E597" s="1" t="s">
        <v>319</v>
      </c>
      <c r="F597" s="1">
        <v>255</v>
      </c>
      <c r="G597" s="1">
        <v>8</v>
      </c>
      <c r="H597" s="1">
        <v>17.899999999999999</v>
      </c>
      <c r="I597" s="1"/>
      <c r="J597" s="1"/>
    </row>
    <row r="598" spans="1:10" x14ac:dyDescent="0.3">
      <c r="A598" t="str">
        <f t="shared" si="18"/>
        <v>FPG</v>
      </c>
      <c r="B598">
        <f t="shared" si="19"/>
        <v>4614</v>
      </c>
      <c r="D598" s="1"/>
      <c r="E598" s="1" t="s">
        <v>101</v>
      </c>
      <c r="F598" s="1">
        <v>257</v>
      </c>
      <c r="G598" s="1">
        <v>11</v>
      </c>
      <c r="H598" s="1">
        <v>17.899999999999999</v>
      </c>
      <c r="I598" s="1"/>
      <c r="J598" s="1"/>
    </row>
    <row r="599" spans="1:10" x14ac:dyDescent="0.3">
      <c r="A599" t="str">
        <f t="shared" si="18"/>
        <v>FPG</v>
      </c>
      <c r="B599">
        <f t="shared" si="19"/>
        <v>5814</v>
      </c>
      <c r="D599" s="1"/>
      <c r="E599" s="1" t="s">
        <v>139</v>
      </c>
      <c r="F599" s="1">
        <v>263</v>
      </c>
      <c r="G599" s="1">
        <v>4</v>
      </c>
      <c r="H599" s="1">
        <v>18</v>
      </c>
      <c r="I599" s="1"/>
      <c r="J599" s="1"/>
    </row>
    <row r="600" spans="1:10" x14ac:dyDescent="0.3">
      <c r="A600" t="str">
        <f t="shared" si="18"/>
        <v>FPG</v>
      </c>
      <c r="B600">
        <f t="shared" si="19"/>
        <v>18614</v>
      </c>
      <c r="D600" s="1"/>
      <c r="E600" s="1" t="s">
        <v>425</v>
      </c>
      <c r="F600" s="1">
        <v>267</v>
      </c>
      <c r="G600" s="1">
        <v>12</v>
      </c>
      <c r="H600" s="1">
        <v>18</v>
      </c>
      <c r="I600" s="1"/>
      <c r="J600" s="1"/>
    </row>
    <row r="601" spans="1:10" x14ac:dyDescent="0.3">
      <c r="A601" t="str">
        <f t="shared" si="18"/>
        <v>FPG</v>
      </c>
      <c r="B601">
        <f t="shared" si="19"/>
        <v>14114</v>
      </c>
      <c r="D601" s="1"/>
      <c r="E601" s="1" t="s">
        <v>299</v>
      </c>
      <c r="F601" s="1">
        <v>267</v>
      </c>
      <c r="G601" s="1">
        <v>10</v>
      </c>
      <c r="H601" s="1">
        <v>18</v>
      </c>
      <c r="I601" s="1"/>
      <c r="J601" s="1"/>
    </row>
    <row r="602" spans="1:10" x14ac:dyDescent="0.3">
      <c r="A602" t="str">
        <f t="shared" si="18"/>
        <v>FPG</v>
      </c>
      <c r="B602">
        <f t="shared" si="19"/>
        <v>6614</v>
      </c>
      <c r="D602" s="1"/>
      <c r="E602" s="1" t="s">
        <v>247</v>
      </c>
      <c r="F602" s="1">
        <v>276</v>
      </c>
      <c r="G602" s="1">
        <v>11</v>
      </c>
      <c r="H602" s="1">
        <v>18.2</v>
      </c>
      <c r="I602" s="1"/>
      <c r="J602" s="1"/>
    </row>
    <row r="603" spans="1:10" x14ac:dyDescent="0.3">
      <c r="A603" t="str">
        <f t="shared" si="18"/>
        <v>FPG</v>
      </c>
      <c r="B603">
        <f t="shared" si="19"/>
        <v>3614</v>
      </c>
      <c r="D603" s="1"/>
      <c r="E603" s="1" t="s">
        <v>129</v>
      </c>
      <c r="F603" s="1">
        <v>276</v>
      </c>
      <c r="G603" s="1">
        <v>11</v>
      </c>
      <c r="H603" s="1">
        <v>18.2</v>
      </c>
      <c r="I603" s="1"/>
      <c r="J603" s="1"/>
    </row>
    <row r="604" spans="1:10" x14ac:dyDescent="0.3">
      <c r="A604" t="str">
        <f t="shared" si="18"/>
        <v>FPG</v>
      </c>
      <c r="B604">
        <f t="shared" si="19"/>
        <v>12014</v>
      </c>
      <c r="D604" s="1"/>
      <c r="E604" s="1" t="s">
        <v>135</v>
      </c>
      <c r="F604" s="1">
        <v>284</v>
      </c>
      <c r="G604" s="1">
        <v>7</v>
      </c>
      <c r="H604" s="1">
        <v>18.3</v>
      </c>
      <c r="I604" s="1"/>
      <c r="J604" s="1"/>
    </row>
    <row r="605" spans="1:10" x14ac:dyDescent="0.3">
      <c r="A605" t="str">
        <f t="shared" si="18"/>
        <v>FPG</v>
      </c>
      <c r="B605">
        <f t="shared" si="19"/>
        <v>14514</v>
      </c>
      <c r="D605" s="1"/>
      <c r="E605" s="1" t="s">
        <v>402</v>
      </c>
      <c r="F605" s="1">
        <v>295</v>
      </c>
      <c r="G605" s="1">
        <v>12</v>
      </c>
      <c r="H605" s="1">
        <v>18.600000000000001</v>
      </c>
      <c r="I605" s="1"/>
      <c r="J605" s="1"/>
    </row>
    <row r="606" spans="1:10" x14ac:dyDescent="0.3">
      <c r="A606" t="str">
        <f t="shared" si="18"/>
        <v>FPG</v>
      </c>
      <c r="B606">
        <f t="shared" si="19"/>
        <v>13314</v>
      </c>
      <c r="D606" s="1"/>
      <c r="E606" s="1" t="s">
        <v>291</v>
      </c>
      <c r="F606" s="1">
        <v>297</v>
      </c>
      <c r="G606" s="1">
        <v>9</v>
      </c>
      <c r="H606" s="1">
        <v>18.600000000000001</v>
      </c>
      <c r="I606" s="1"/>
      <c r="J606" s="1"/>
    </row>
    <row r="607" spans="1:10" x14ac:dyDescent="0.3">
      <c r="A607" t="str">
        <f t="shared" si="18"/>
        <v>FPG</v>
      </c>
      <c r="B607">
        <f t="shared" si="19"/>
        <v>3714</v>
      </c>
      <c r="D607" s="1"/>
      <c r="E607" s="1" t="s">
        <v>115</v>
      </c>
      <c r="F607" s="1">
        <v>301</v>
      </c>
      <c r="G607" s="1">
        <v>12</v>
      </c>
      <c r="H607" s="1">
        <v>18.7</v>
      </c>
      <c r="I607" s="1"/>
      <c r="J607" s="1"/>
    </row>
    <row r="608" spans="1:10" x14ac:dyDescent="0.3">
      <c r="A608" t="str">
        <f t="shared" si="18"/>
        <v>FPG</v>
      </c>
      <c r="B608">
        <f t="shared" si="19"/>
        <v>11814</v>
      </c>
      <c r="D608" s="1"/>
      <c r="E608" s="1" t="s">
        <v>281</v>
      </c>
      <c r="F608" s="1">
        <v>304</v>
      </c>
      <c r="G608" s="1">
        <v>5</v>
      </c>
      <c r="H608" s="1">
        <v>18.8</v>
      </c>
      <c r="I608" s="1"/>
      <c r="J608" s="1"/>
    </row>
    <row r="609" spans="1:10" x14ac:dyDescent="0.3">
      <c r="A609" t="str">
        <f t="shared" si="18"/>
        <v>FPG</v>
      </c>
      <c r="B609">
        <f t="shared" si="19"/>
        <v>18414</v>
      </c>
      <c r="D609" s="1"/>
      <c r="E609" s="1" t="s">
        <v>417</v>
      </c>
      <c r="F609" s="1">
        <v>305</v>
      </c>
      <c r="G609" s="1">
        <v>6</v>
      </c>
      <c r="H609" s="1">
        <v>18.8</v>
      </c>
      <c r="I609" s="1"/>
      <c r="J609" s="1"/>
    </row>
    <row r="610" spans="1:10" x14ac:dyDescent="0.3">
      <c r="A610" t="str">
        <f t="shared" si="18"/>
        <v>FPG</v>
      </c>
      <c r="B610">
        <f t="shared" si="19"/>
        <v>13414</v>
      </c>
      <c r="D610" s="1"/>
      <c r="E610" s="1" t="s">
        <v>400</v>
      </c>
      <c r="F610" s="1">
        <v>308</v>
      </c>
      <c r="G610" s="1">
        <v>9</v>
      </c>
      <c r="H610" s="1">
        <v>18.8</v>
      </c>
      <c r="I610" s="1"/>
      <c r="J610" s="1"/>
    </row>
    <row r="611" spans="1:10" x14ac:dyDescent="0.3">
      <c r="A611" t="str">
        <f t="shared" si="18"/>
        <v>FPG</v>
      </c>
      <c r="B611">
        <f t="shared" si="19"/>
        <v>18314</v>
      </c>
      <c r="D611" s="1"/>
      <c r="E611" s="1" t="s">
        <v>423</v>
      </c>
      <c r="F611" s="1">
        <v>315</v>
      </c>
      <c r="G611" s="1">
        <v>6</v>
      </c>
      <c r="H611" s="1">
        <v>19</v>
      </c>
      <c r="I611" s="1"/>
      <c r="J611" s="1"/>
    </row>
    <row r="612" spans="1:10" x14ac:dyDescent="0.3">
      <c r="A612" t="str">
        <f t="shared" si="18"/>
        <v>FPG</v>
      </c>
      <c r="B612">
        <f t="shared" si="19"/>
        <v>614</v>
      </c>
      <c r="D612" s="1"/>
      <c r="E612" s="1" t="s">
        <v>100</v>
      </c>
      <c r="F612" s="1">
        <v>322</v>
      </c>
      <c r="G612" s="1">
        <v>10</v>
      </c>
      <c r="H612" s="1">
        <v>19.2</v>
      </c>
      <c r="I612" s="1"/>
      <c r="J612" s="1"/>
    </row>
    <row r="613" spans="1:10" x14ac:dyDescent="0.3">
      <c r="A613" t="str">
        <f t="shared" si="18"/>
        <v>FPG</v>
      </c>
      <c r="B613">
        <f t="shared" si="19"/>
        <v>4514</v>
      </c>
      <c r="D613" s="1"/>
      <c r="E613" s="1" t="s">
        <v>84</v>
      </c>
      <c r="F613" s="1">
        <v>324</v>
      </c>
      <c r="G613" s="1">
        <v>13</v>
      </c>
      <c r="H613" s="1">
        <v>19.3</v>
      </c>
      <c r="I613" s="1"/>
      <c r="J613" s="1"/>
    </row>
    <row r="614" spans="1:10" x14ac:dyDescent="0.3">
      <c r="A614" t="str">
        <f t="shared" si="18"/>
        <v>FPG</v>
      </c>
      <c r="B614">
        <f t="shared" si="19"/>
        <v>8114</v>
      </c>
      <c r="D614" s="1"/>
      <c r="E614" s="1" t="s">
        <v>256</v>
      </c>
      <c r="F614" s="1">
        <v>326</v>
      </c>
      <c r="G614" s="1">
        <v>14</v>
      </c>
      <c r="H614" s="1">
        <v>19.3</v>
      </c>
      <c r="I614" s="1"/>
      <c r="J614" s="1"/>
    </row>
    <row r="615" spans="1:10" x14ac:dyDescent="0.3">
      <c r="A615" t="str">
        <f t="shared" si="18"/>
        <v>FPG</v>
      </c>
      <c r="B615">
        <f t="shared" si="19"/>
        <v>15214</v>
      </c>
      <c r="D615" s="1"/>
      <c r="E615" s="1" t="s">
        <v>426</v>
      </c>
      <c r="F615" s="1">
        <v>350</v>
      </c>
      <c r="G615" s="1">
        <v>8</v>
      </c>
      <c r="H615" s="1">
        <v>21.3</v>
      </c>
      <c r="I615" s="1"/>
      <c r="J615" s="1"/>
    </row>
    <row r="616" spans="1:10" x14ac:dyDescent="0.3">
      <c r="A616" t="str">
        <f t="shared" si="18"/>
        <v>FTA</v>
      </c>
      <c r="B616">
        <f t="shared" si="19"/>
        <v>3616</v>
      </c>
      <c r="D616" s="1" t="s">
        <v>438</v>
      </c>
      <c r="E616" s="1" t="s">
        <v>129</v>
      </c>
      <c r="F616" s="1">
        <v>2</v>
      </c>
      <c r="G616" s="1">
        <v>1</v>
      </c>
      <c r="H616" s="1">
        <v>24.9</v>
      </c>
      <c r="I616" s="1" t="s">
        <v>439</v>
      </c>
      <c r="J616" s="1">
        <v>25.1</v>
      </c>
    </row>
    <row r="617" spans="1:10" x14ac:dyDescent="0.3">
      <c r="A617" t="str">
        <f t="shared" si="18"/>
        <v>FTA</v>
      </c>
      <c r="B617">
        <f t="shared" si="19"/>
        <v>12016</v>
      </c>
      <c r="D617" s="1"/>
      <c r="E617" s="1" t="s">
        <v>135</v>
      </c>
      <c r="F617" s="1">
        <v>9</v>
      </c>
      <c r="G617" s="1">
        <v>1</v>
      </c>
      <c r="H617" s="1">
        <v>23.3</v>
      </c>
      <c r="I617" s="1"/>
      <c r="J617" s="1"/>
    </row>
    <row r="618" spans="1:10" x14ac:dyDescent="0.3">
      <c r="A618" t="str">
        <f t="shared" si="18"/>
        <v>FTA</v>
      </c>
      <c r="B618">
        <f t="shared" si="19"/>
        <v>15216</v>
      </c>
      <c r="D618" s="1"/>
      <c r="E618" s="1" t="s">
        <v>426</v>
      </c>
      <c r="F618" s="1">
        <v>12</v>
      </c>
      <c r="G618" s="1">
        <v>2</v>
      </c>
      <c r="H618" s="1">
        <v>23</v>
      </c>
      <c r="I618" s="1"/>
      <c r="J618" s="1"/>
    </row>
    <row r="619" spans="1:10" x14ac:dyDescent="0.3">
      <c r="A619" t="str">
        <f t="shared" si="18"/>
        <v>FTA</v>
      </c>
      <c r="B619">
        <f t="shared" si="19"/>
        <v>3716</v>
      </c>
      <c r="D619" s="1"/>
      <c r="E619" s="1" t="s">
        <v>115</v>
      </c>
      <c r="F619" s="1">
        <v>13</v>
      </c>
      <c r="G619" s="1">
        <v>2</v>
      </c>
      <c r="H619" s="1">
        <v>22.9</v>
      </c>
      <c r="I619" s="1"/>
      <c r="J619" s="1"/>
    </row>
    <row r="620" spans="1:10" x14ac:dyDescent="0.3">
      <c r="A620" t="str">
        <f t="shared" si="18"/>
        <v>FTA</v>
      </c>
      <c r="B620">
        <f t="shared" si="19"/>
        <v>13316</v>
      </c>
      <c r="D620" s="1"/>
      <c r="E620" s="1" t="s">
        <v>291</v>
      </c>
      <c r="F620" s="1">
        <v>15</v>
      </c>
      <c r="G620" s="1">
        <v>1</v>
      </c>
      <c r="H620" s="1">
        <v>22.6</v>
      </c>
      <c r="I620" s="1"/>
      <c r="J620" s="1"/>
    </row>
    <row r="621" spans="1:10" x14ac:dyDescent="0.3">
      <c r="A621" t="str">
        <f t="shared" si="18"/>
        <v>FTA</v>
      </c>
      <c r="B621">
        <f t="shared" si="19"/>
        <v>8116</v>
      </c>
      <c r="D621" s="1"/>
      <c r="E621" s="1" t="s">
        <v>256</v>
      </c>
      <c r="F621" s="1">
        <v>17</v>
      </c>
      <c r="G621" s="1">
        <v>3</v>
      </c>
      <c r="H621" s="1">
        <v>22.5</v>
      </c>
      <c r="I621" s="1"/>
      <c r="J621" s="1"/>
    </row>
    <row r="622" spans="1:10" x14ac:dyDescent="0.3">
      <c r="A622" t="str">
        <f t="shared" si="18"/>
        <v>FTA</v>
      </c>
      <c r="B622">
        <f t="shared" si="19"/>
        <v>12216</v>
      </c>
      <c r="D622" s="1"/>
      <c r="E622" s="1" t="s">
        <v>284</v>
      </c>
      <c r="F622" s="1">
        <v>23</v>
      </c>
      <c r="G622" s="1">
        <v>1</v>
      </c>
      <c r="H622" s="1">
        <v>22.2</v>
      </c>
      <c r="I622" s="1"/>
      <c r="J622" s="1"/>
    </row>
    <row r="623" spans="1:10" x14ac:dyDescent="0.3">
      <c r="A623" t="str">
        <f t="shared" si="18"/>
        <v>FTA</v>
      </c>
      <c r="B623">
        <f t="shared" si="19"/>
        <v>18716</v>
      </c>
      <c r="D623" s="1"/>
      <c r="E623" s="1" t="s">
        <v>427</v>
      </c>
      <c r="F623" s="1">
        <v>24</v>
      </c>
      <c r="G623" s="1">
        <v>2</v>
      </c>
      <c r="H623" s="1">
        <v>22.1</v>
      </c>
      <c r="I623" s="1"/>
      <c r="J623" s="1"/>
    </row>
    <row r="624" spans="1:10" x14ac:dyDescent="0.3">
      <c r="A624" t="str">
        <f t="shared" si="18"/>
        <v>FTA</v>
      </c>
      <c r="B624">
        <f t="shared" si="19"/>
        <v>6816</v>
      </c>
      <c r="D624" s="1"/>
      <c r="E624" s="1" t="s">
        <v>248</v>
      </c>
      <c r="F624" s="1">
        <v>27</v>
      </c>
      <c r="G624" s="1">
        <v>2</v>
      </c>
      <c r="H624" s="1">
        <v>21.7</v>
      </c>
      <c r="I624" s="1"/>
      <c r="J624" s="1"/>
    </row>
    <row r="625" spans="1:10" x14ac:dyDescent="0.3">
      <c r="A625" t="str">
        <f t="shared" si="18"/>
        <v>FTA</v>
      </c>
      <c r="B625">
        <f t="shared" si="19"/>
        <v>4616</v>
      </c>
      <c r="D625" s="1"/>
      <c r="E625" s="1" t="s">
        <v>101</v>
      </c>
      <c r="F625" s="1">
        <v>31</v>
      </c>
      <c r="G625" s="1">
        <v>2</v>
      </c>
      <c r="H625" s="1">
        <v>21.5</v>
      </c>
      <c r="I625" s="1"/>
      <c r="J625" s="1"/>
    </row>
    <row r="626" spans="1:10" x14ac:dyDescent="0.3">
      <c r="A626" t="str">
        <f t="shared" si="18"/>
        <v>FTA</v>
      </c>
      <c r="B626">
        <f t="shared" si="19"/>
        <v>18316</v>
      </c>
      <c r="D626" s="1"/>
      <c r="E626" s="1" t="s">
        <v>423</v>
      </c>
      <c r="F626" s="1">
        <v>33</v>
      </c>
      <c r="G626" s="1">
        <v>2</v>
      </c>
      <c r="H626" s="1">
        <v>21.4</v>
      </c>
      <c r="I626" s="1"/>
      <c r="J626" s="1"/>
    </row>
    <row r="627" spans="1:10" x14ac:dyDescent="0.3">
      <c r="A627" t="str">
        <f t="shared" si="18"/>
        <v>FTA</v>
      </c>
      <c r="B627">
        <f t="shared" si="19"/>
        <v>4516</v>
      </c>
      <c r="D627" s="1"/>
      <c r="E627" s="1" t="s">
        <v>84</v>
      </c>
      <c r="F627" s="1">
        <v>39</v>
      </c>
      <c r="G627" s="1">
        <v>5</v>
      </c>
      <c r="H627" s="1">
        <v>21.3</v>
      </c>
      <c r="I627" s="1"/>
      <c r="J627" s="1"/>
    </row>
    <row r="628" spans="1:10" x14ac:dyDescent="0.3">
      <c r="A628" t="str">
        <f t="shared" si="18"/>
        <v>FTA</v>
      </c>
      <c r="B628">
        <f t="shared" si="19"/>
        <v>6616</v>
      </c>
      <c r="D628" s="1"/>
      <c r="E628" s="1" t="s">
        <v>247</v>
      </c>
      <c r="F628" s="1">
        <v>41</v>
      </c>
      <c r="G628" s="1">
        <v>3</v>
      </c>
      <c r="H628" s="1">
        <v>21.2</v>
      </c>
      <c r="I628" s="1"/>
      <c r="J628" s="1"/>
    </row>
    <row r="629" spans="1:10" x14ac:dyDescent="0.3">
      <c r="A629" t="str">
        <f t="shared" si="18"/>
        <v>FTA</v>
      </c>
      <c r="B629">
        <f t="shared" si="19"/>
        <v>2916</v>
      </c>
      <c r="D629" s="1"/>
      <c r="E629" s="1" t="s">
        <v>96</v>
      </c>
      <c r="F629" s="1">
        <v>42</v>
      </c>
      <c r="G629" s="1">
        <v>1</v>
      </c>
      <c r="H629" s="1">
        <v>21.2</v>
      </c>
      <c r="I629" s="1"/>
      <c r="J629" s="1"/>
    </row>
    <row r="630" spans="1:10" x14ac:dyDescent="0.3">
      <c r="A630" t="str">
        <f t="shared" si="18"/>
        <v>FTA</v>
      </c>
      <c r="B630">
        <f t="shared" si="19"/>
        <v>3216</v>
      </c>
      <c r="D630" s="1"/>
      <c r="E630" s="1" t="s">
        <v>127</v>
      </c>
      <c r="F630" s="1">
        <v>43</v>
      </c>
      <c r="G630" s="1">
        <v>2</v>
      </c>
      <c r="H630" s="1">
        <v>21.2</v>
      </c>
      <c r="I630" s="1"/>
      <c r="J630" s="1"/>
    </row>
    <row r="631" spans="1:10" x14ac:dyDescent="0.3">
      <c r="A631" t="str">
        <f t="shared" si="18"/>
        <v>FTA</v>
      </c>
      <c r="B631">
        <f t="shared" si="19"/>
        <v>19016</v>
      </c>
      <c r="D631" s="1"/>
      <c r="E631" s="1" t="s">
        <v>176</v>
      </c>
      <c r="F631" s="1">
        <v>43</v>
      </c>
      <c r="G631" s="1">
        <v>2</v>
      </c>
      <c r="H631" s="1">
        <v>21.2</v>
      </c>
      <c r="I631" s="1"/>
      <c r="J631" s="1"/>
    </row>
    <row r="632" spans="1:10" x14ac:dyDescent="0.3">
      <c r="A632" t="str">
        <f t="shared" si="18"/>
        <v>FTA</v>
      </c>
      <c r="B632">
        <f t="shared" si="19"/>
        <v>716</v>
      </c>
      <c r="D632" s="1"/>
      <c r="E632" s="1" t="s">
        <v>319</v>
      </c>
      <c r="F632" s="1">
        <v>48</v>
      </c>
      <c r="G632" s="1">
        <v>3</v>
      </c>
      <c r="H632" s="1">
        <v>20.9</v>
      </c>
      <c r="I632" s="1"/>
      <c r="J632" s="1"/>
    </row>
    <row r="633" spans="1:10" x14ac:dyDescent="0.3">
      <c r="A633" t="str">
        <f t="shared" si="18"/>
        <v>FTA</v>
      </c>
      <c r="B633">
        <f t="shared" si="19"/>
        <v>4416</v>
      </c>
      <c r="D633" s="1"/>
      <c r="E633" s="1" t="s">
        <v>83</v>
      </c>
      <c r="F633" s="1">
        <v>51</v>
      </c>
      <c r="G633" s="1">
        <v>2</v>
      </c>
      <c r="H633" s="1">
        <v>20.8</v>
      </c>
      <c r="I633" s="1"/>
      <c r="J633" s="1"/>
    </row>
    <row r="634" spans="1:10" x14ac:dyDescent="0.3">
      <c r="A634" t="str">
        <f t="shared" si="18"/>
        <v>FTA</v>
      </c>
      <c r="B634">
        <f t="shared" si="19"/>
        <v>5616</v>
      </c>
      <c r="D634" s="1"/>
      <c r="E634" s="1" t="s">
        <v>62</v>
      </c>
      <c r="F634" s="1">
        <v>52</v>
      </c>
      <c r="G634" s="1">
        <v>4</v>
      </c>
      <c r="H634" s="1">
        <v>20.7</v>
      </c>
      <c r="I634" s="1"/>
      <c r="J634" s="1"/>
    </row>
    <row r="635" spans="1:10" x14ac:dyDescent="0.3">
      <c r="A635" t="str">
        <f t="shared" si="18"/>
        <v>FTA</v>
      </c>
      <c r="B635">
        <f t="shared" si="19"/>
        <v>11516</v>
      </c>
      <c r="D635" s="1"/>
      <c r="E635" s="1" t="s">
        <v>97</v>
      </c>
      <c r="F635" s="1">
        <v>54</v>
      </c>
      <c r="G635" s="1">
        <v>1</v>
      </c>
      <c r="H635" s="1">
        <v>20.7</v>
      </c>
      <c r="I635" s="1"/>
      <c r="J635" s="1"/>
    </row>
    <row r="636" spans="1:10" x14ac:dyDescent="0.3">
      <c r="A636" t="str">
        <f t="shared" si="18"/>
        <v>FTA</v>
      </c>
      <c r="B636">
        <f t="shared" si="19"/>
        <v>18616</v>
      </c>
      <c r="D636" s="1"/>
      <c r="E636" s="1" t="s">
        <v>425</v>
      </c>
      <c r="F636" s="1">
        <v>54</v>
      </c>
      <c r="G636" s="1">
        <v>1</v>
      </c>
      <c r="H636" s="1">
        <v>20.7</v>
      </c>
      <c r="I636" s="1"/>
      <c r="J636" s="1"/>
    </row>
    <row r="637" spans="1:10" x14ac:dyDescent="0.3">
      <c r="A637" t="str">
        <f t="shared" si="18"/>
        <v>FTA</v>
      </c>
      <c r="B637">
        <f t="shared" si="19"/>
        <v>3016</v>
      </c>
      <c r="D637" s="1"/>
      <c r="E637" s="1" t="s">
        <v>89</v>
      </c>
      <c r="F637" s="1">
        <v>59</v>
      </c>
      <c r="G637" s="1">
        <v>1</v>
      </c>
      <c r="H637" s="1">
        <v>20.6</v>
      </c>
      <c r="I637" s="1"/>
      <c r="J637" s="1"/>
    </row>
    <row r="638" spans="1:10" x14ac:dyDescent="0.3">
      <c r="A638" t="str">
        <f t="shared" si="18"/>
        <v>FTA</v>
      </c>
      <c r="B638">
        <f t="shared" si="19"/>
        <v>5216</v>
      </c>
      <c r="D638" s="1"/>
      <c r="E638" s="1" t="s">
        <v>241</v>
      </c>
      <c r="F638" s="1">
        <v>64</v>
      </c>
      <c r="G638" s="1">
        <v>2</v>
      </c>
      <c r="H638" s="1">
        <v>20.3</v>
      </c>
      <c r="I638" s="1"/>
      <c r="J638" s="1"/>
    </row>
    <row r="639" spans="1:10" x14ac:dyDescent="0.3">
      <c r="A639" t="str">
        <f t="shared" si="18"/>
        <v>FTA</v>
      </c>
      <c r="B639">
        <f t="shared" si="19"/>
        <v>11816</v>
      </c>
      <c r="D639" s="1"/>
      <c r="E639" s="1" t="s">
        <v>281</v>
      </c>
      <c r="F639" s="1">
        <v>66</v>
      </c>
      <c r="G639" s="1">
        <v>3</v>
      </c>
      <c r="H639" s="1">
        <v>20.3</v>
      </c>
      <c r="I639" s="1"/>
      <c r="J639" s="1"/>
    </row>
    <row r="640" spans="1:10" x14ac:dyDescent="0.3">
      <c r="A640" t="str">
        <f t="shared" si="18"/>
        <v>FTA</v>
      </c>
      <c r="B640">
        <f t="shared" si="19"/>
        <v>4316</v>
      </c>
      <c r="D640" s="1"/>
      <c r="E640" s="1" t="s">
        <v>125</v>
      </c>
      <c r="F640" s="1">
        <v>68</v>
      </c>
      <c r="G640" s="1">
        <v>3</v>
      </c>
      <c r="H640" s="1">
        <v>20.2</v>
      </c>
      <c r="I640" s="1"/>
      <c r="J640" s="1"/>
    </row>
    <row r="641" spans="1:10" x14ac:dyDescent="0.3">
      <c r="A641" t="str">
        <f t="shared" si="18"/>
        <v>FTA</v>
      </c>
      <c r="B641">
        <f t="shared" si="19"/>
        <v>19116</v>
      </c>
      <c r="D641" s="1"/>
      <c r="E641" s="1" t="s">
        <v>421</v>
      </c>
      <c r="F641" s="1">
        <v>69</v>
      </c>
      <c r="G641" s="1">
        <v>2</v>
      </c>
      <c r="H641" s="1">
        <v>20.2</v>
      </c>
      <c r="I641" s="1"/>
      <c r="J641" s="1"/>
    </row>
    <row r="642" spans="1:10" x14ac:dyDescent="0.3">
      <c r="A642" t="str">
        <f t="shared" ref="A642:A705" si="20">IF(NOT(D642=""),INDEX(statAbbr,MATCH(D642,statOfficial,0),1),A641)</f>
        <v>FTA</v>
      </c>
      <c r="B642">
        <f t="shared" ref="B642:B705" si="21">INDEX(statID,MATCH(A642,statAbbr,0),1)+INDEX(teamID,MATCH(E642,teamRawName,0))</f>
        <v>5816</v>
      </c>
      <c r="D642" s="1"/>
      <c r="E642" s="1" t="s">
        <v>139</v>
      </c>
      <c r="F642" s="1">
        <v>73</v>
      </c>
      <c r="G642" s="1">
        <v>5</v>
      </c>
      <c r="H642" s="1">
        <v>20.100000000000001</v>
      </c>
      <c r="I642" s="1"/>
      <c r="J642" s="1"/>
    </row>
    <row r="643" spans="1:10" x14ac:dyDescent="0.3">
      <c r="A643" t="str">
        <f t="shared" si="20"/>
        <v>FTA</v>
      </c>
      <c r="B643">
        <f t="shared" si="21"/>
        <v>8816</v>
      </c>
      <c r="D643" s="1"/>
      <c r="E643" s="1" t="s">
        <v>141</v>
      </c>
      <c r="F643" s="1">
        <v>96</v>
      </c>
      <c r="G643" s="1">
        <v>4</v>
      </c>
      <c r="H643" s="1">
        <v>19.399999999999999</v>
      </c>
      <c r="I643" s="1"/>
      <c r="J643" s="1"/>
    </row>
    <row r="644" spans="1:10" x14ac:dyDescent="0.3">
      <c r="A644" t="str">
        <f t="shared" si="20"/>
        <v>FTA</v>
      </c>
      <c r="B644">
        <f t="shared" si="21"/>
        <v>1416</v>
      </c>
      <c r="D644" s="1"/>
      <c r="E644" s="1" t="s">
        <v>102</v>
      </c>
      <c r="F644" s="1">
        <v>97</v>
      </c>
      <c r="G644" s="1">
        <v>4</v>
      </c>
      <c r="H644" s="1">
        <v>19.399999999999999</v>
      </c>
      <c r="I644" s="1"/>
      <c r="J644" s="1"/>
    </row>
    <row r="645" spans="1:10" x14ac:dyDescent="0.3">
      <c r="A645" t="str">
        <f t="shared" si="20"/>
        <v>FTA</v>
      </c>
      <c r="B645">
        <f t="shared" si="21"/>
        <v>1616</v>
      </c>
      <c r="D645" s="1"/>
      <c r="E645" s="1" t="s">
        <v>137</v>
      </c>
      <c r="F645" s="1">
        <v>100</v>
      </c>
      <c r="G645" s="1">
        <v>7</v>
      </c>
      <c r="H645" s="1">
        <v>19.3</v>
      </c>
      <c r="I645" s="1"/>
      <c r="J645" s="1"/>
    </row>
    <row r="646" spans="1:10" x14ac:dyDescent="0.3">
      <c r="A646" t="str">
        <f t="shared" si="20"/>
        <v>FTA</v>
      </c>
      <c r="B646">
        <f t="shared" si="21"/>
        <v>5516</v>
      </c>
      <c r="D646" s="1"/>
      <c r="E646" s="1" t="s">
        <v>86</v>
      </c>
      <c r="F646" s="1">
        <v>103</v>
      </c>
      <c r="G646" s="1">
        <v>8</v>
      </c>
      <c r="H646" s="1">
        <v>19.2</v>
      </c>
      <c r="I646" s="1"/>
      <c r="J646" s="1"/>
    </row>
    <row r="647" spans="1:10" x14ac:dyDescent="0.3">
      <c r="A647" t="str">
        <f t="shared" si="20"/>
        <v>FTA</v>
      </c>
      <c r="B647">
        <f t="shared" si="21"/>
        <v>7416</v>
      </c>
      <c r="D647" s="1"/>
      <c r="E647" s="1" t="s">
        <v>251</v>
      </c>
      <c r="F647" s="1">
        <v>107</v>
      </c>
      <c r="G647" s="1">
        <v>3</v>
      </c>
      <c r="H647" s="1">
        <v>19.100000000000001</v>
      </c>
      <c r="I647" s="1"/>
      <c r="J647" s="1"/>
    </row>
    <row r="648" spans="1:10" x14ac:dyDescent="0.3">
      <c r="A648" t="str">
        <f t="shared" si="20"/>
        <v>FTA</v>
      </c>
      <c r="B648">
        <f t="shared" si="21"/>
        <v>5316</v>
      </c>
      <c r="D648" s="1"/>
      <c r="E648" s="1" t="s">
        <v>242</v>
      </c>
      <c r="F648" s="1">
        <v>116</v>
      </c>
      <c r="G648" s="1">
        <v>2</v>
      </c>
      <c r="H648" s="1">
        <v>19</v>
      </c>
      <c r="I648" s="1"/>
      <c r="J648" s="1"/>
    </row>
    <row r="649" spans="1:10" x14ac:dyDescent="0.3">
      <c r="A649" t="str">
        <f t="shared" si="20"/>
        <v>FTA</v>
      </c>
      <c r="B649">
        <f t="shared" si="21"/>
        <v>2416</v>
      </c>
      <c r="D649" s="1"/>
      <c r="E649" s="1" t="s">
        <v>330</v>
      </c>
      <c r="F649" s="1">
        <v>121</v>
      </c>
      <c r="G649" s="1">
        <v>2</v>
      </c>
      <c r="H649" s="1">
        <v>18.899999999999999</v>
      </c>
      <c r="I649" s="1"/>
      <c r="J649" s="1"/>
    </row>
    <row r="650" spans="1:10" x14ac:dyDescent="0.3">
      <c r="A650" t="str">
        <f t="shared" si="20"/>
        <v>FTA</v>
      </c>
      <c r="B650">
        <f t="shared" si="21"/>
        <v>1216</v>
      </c>
      <c r="D650" s="1"/>
      <c r="E650" s="1" t="s">
        <v>130</v>
      </c>
      <c r="F650" s="1">
        <v>122</v>
      </c>
      <c r="G650" s="1">
        <v>5</v>
      </c>
      <c r="H650" s="1">
        <v>18.899999999999999</v>
      </c>
      <c r="I650" s="1"/>
      <c r="J650" s="1"/>
    </row>
    <row r="651" spans="1:10" x14ac:dyDescent="0.3">
      <c r="A651" t="str">
        <f t="shared" si="20"/>
        <v>FTA</v>
      </c>
      <c r="B651">
        <f t="shared" si="21"/>
        <v>11116</v>
      </c>
      <c r="D651" s="1"/>
      <c r="E651" s="1" t="s">
        <v>277</v>
      </c>
      <c r="F651" s="1">
        <v>125</v>
      </c>
      <c r="G651" s="1">
        <v>4</v>
      </c>
      <c r="H651" s="1">
        <v>18.899999999999999</v>
      </c>
      <c r="I651" s="1"/>
      <c r="J651" s="1"/>
    </row>
    <row r="652" spans="1:10" x14ac:dyDescent="0.3">
      <c r="A652" t="str">
        <f t="shared" si="20"/>
        <v>FTA</v>
      </c>
      <c r="B652">
        <f t="shared" si="21"/>
        <v>14516</v>
      </c>
      <c r="D652" s="1"/>
      <c r="E652" s="1" t="s">
        <v>402</v>
      </c>
      <c r="F652" s="1">
        <v>129</v>
      </c>
      <c r="G652" s="1">
        <v>3</v>
      </c>
      <c r="H652" s="1">
        <v>18.8</v>
      </c>
      <c r="I652" s="1"/>
      <c r="J652" s="1"/>
    </row>
    <row r="653" spans="1:10" x14ac:dyDescent="0.3">
      <c r="A653" t="str">
        <f t="shared" si="20"/>
        <v>FTA</v>
      </c>
      <c r="B653">
        <f t="shared" si="21"/>
        <v>13416</v>
      </c>
      <c r="D653" s="1"/>
      <c r="E653" s="1" t="s">
        <v>400</v>
      </c>
      <c r="F653" s="1">
        <v>130</v>
      </c>
      <c r="G653" s="1">
        <v>8</v>
      </c>
      <c r="H653" s="1">
        <v>18.7</v>
      </c>
      <c r="I653" s="1"/>
      <c r="J653" s="1"/>
    </row>
    <row r="654" spans="1:10" x14ac:dyDescent="0.3">
      <c r="A654" t="str">
        <f t="shared" si="20"/>
        <v>FTA</v>
      </c>
      <c r="B654">
        <f t="shared" si="21"/>
        <v>2616</v>
      </c>
      <c r="D654" s="1"/>
      <c r="E654" s="1" t="s">
        <v>80</v>
      </c>
      <c r="F654" s="1">
        <v>139</v>
      </c>
      <c r="G654" s="1">
        <v>3</v>
      </c>
      <c r="H654" s="1">
        <v>18.600000000000001</v>
      </c>
      <c r="I654" s="1"/>
      <c r="J654" s="1"/>
    </row>
    <row r="655" spans="1:10" x14ac:dyDescent="0.3">
      <c r="A655" t="str">
        <f t="shared" si="20"/>
        <v>FTA</v>
      </c>
      <c r="B655">
        <f t="shared" si="21"/>
        <v>2316</v>
      </c>
      <c r="D655" s="1"/>
      <c r="E655" s="1" t="s">
        <v>79</v>
      </c>
      <c r="F655" s="1">
        <v>146</v>
      </c>
      <c r="G655" s="1">
        <v>4</v>
      </c>
      <c r="H655" s="1">
        <v>18.399999999999999</v>
      </c>
      <c r="I655" s="1"/>
      <c r="J655" s="1"/>
    </row>
    <row r="656" spans="1:10" x14ac:dyDescent="0.3">
      <c r="A656" t="str">
        <f t="shared" si="20"/>
        <v>FTA</v>
      </c>
      <c r="B656">
        <f t="shared" si="21"/>
        <v>18916</v>
      </c>
      <c r="D656" s="1"/>
      <c r="E656" s="1" t="s">
        <v>422</v>
      </c>
      <c r="F656" s="1">
        <v>147</v>
      </c>
      <c r="G656" s="1">
        <v>5</v>
      </c>
      <c r="H656" s="1">
        <v>18.399999999999999</v>
      </c>
      <c r="I656" s="1"/>
      <c r="J656" s="1"/>
    </row>
    <row r="657" spans="1:10" x14ac:dyDescent="0.3">
      <c r="A657" t="str">
        <f t="shared" si="20"/>
        <v>FTA</v>
      </c>
      <c r="B657">
        <f t="shared" si="21"/>
        <v>6716</v>
      </c>
      <c r="D657" s="1"/>
      <c r="E657" s="1" t="s">
        <v>118</v>
      </c>
      <c r="F657" s="1">
        <v>148</v>
      </c>
      <c r="G657" s="1">
        <v>8</v>
      </c>
      <c r="H657" s="1">
        <v>18.399999999999999</v>
      </c>
      <c r="I657" s="1"/>
      <c r="J657" s="1"/>
    </row>
    <row r="658" spans="1:10" x14ac:dyDescent="0.3">
      <c r="A658" t="str">
        <f t="shared" si="20"/>
        <v>FTA</v>
      </c>
      <c r="B658">
        <f t="shared" si="21"/>
        <v>116</v>
      </c>
      <c r="D658" s="1"/>
      <c r="E658" s="1" t="s">
        <v>312</v>
      </c>
      <c r="F658" s="1">
        <v>156</v>
      </c>
      <c r="G658" s="1">
        <v>5</v>
      </c>
      <c r="H658" s="1">
        <v>18.3</v>
      </c>
      <c r="I658" s="1"/>
      <c r="J658" s="1"/>
    </row>
    <row r="659" spans="1:10" x14ac:dyDescent="0.3">
      <c r="A659" t="str">
        <f t="shared" si="20"/>
        <v>FTA</v>
      </c>
      <c r="B659">
        <f t="shared" si="21"/>
        <v>3416</v>
      </c>
      <c r="D659" s="1"/>
      <c r="E659" s="1" t="s">
        <v>237</v>
      </c>
      <c r="F659" s="1">
        <v>170</v>
      </c>
      <c r="G659" s="1">
        <v>1</v>
      </c>
      <c r="H659" s="1">
        <v>18</v>
      </c>
      <c r="I659" s="1"/>
      <c r="J659" s="1"/>
    </row>
    <row r="660" spans="1:10" x14ac:dyDescent="0.3">
      <c r="A660" t="str">
        <f t="shared" si="20"/>
        <v>FTA</v>
      </c>
      <c r="B660">
        <f t="shared" si="21"/>
        <v>3516</v>
      </c>
      <c r="D660" s="1"/>
      <c r="E660" s="1" t="s">
        <v>87</v>
      </c>
      <c r="F660" s="1">
        <v>179</v>
      </c>
      <c r="G660" s="1">
        <v>11</v>
      </c>
      <c r="H660" s="1">
        <v>17.899999999999999</v>
      </c>
      <c r="I660" s="1"/>
      <c r="J660" s="1"/>
    </row>
    <row r="661" spans="1:10" x14ac:dyDescent="0.3">
      <c r="A661" t="str">
        <f t="shared" si="20"/>
        <v>FTA</v>
      </c>
      <c r="B661">
        <f t="shared" si="21"/>
        <v>2516</v>
      </c>
      <c r="D661" s="1"/>
      <c r="E661" s="1" t="s">
        <v>92</v>
      </c>
      <c r="F661" s="1">
        <v>180</v>
      </c>
      <c r="G661" s="1">
        <v>8</v>
      </c>
      <c r="H661" s="1">
        <v>17.899999999999999</v>
      </c>
      <c r="I661" s="1"/>
      <c r="J661" s="1"/>
    </row>
    <row r="662" spans="1:10" x14ac:dyDescent="0.3">
      <c r="A662" t="str">
        <f t="shared" si="20"/>
        <v>FTA</v>
      </c>
      <c r="B662">
        <f t="shared" si="21"/>
        <v>3916</v>
      </c>
      <c r="D662" s="1"/>
      <c r="E662" s="1" t="s">
        <v>88</v>
      </c>
      <c r="F662" s="1">
        <v>183</v>
      </c>
      <c r="G662" s="1">
        <v>9</v>
      </c>
      <c r="H662" s="1">
        <v>17.8</v>
      </c>
      <c r="I662" s="1"/>
      <c r="J662" s="1"/>
    </row>
    <row r="663" spans="1:10" x14ac:dyDescent="0.3">
      <c r="A663" t="str">
        <f t="shared" si="20"/>
        <v>FTA</v>
      </c>
      <c r="B663">
        <f t="shared" si="21"/>
        <v>8616</v>
      </c>
      <c r="D663" s="1"/>
      <c r="E663" s="1" t="s">
        <v>259</v>
      </c>
      <c r="F663" s="1">
        <v>187</v>
      </c>
      <c r="G663" s="1">
        <v>4</v>
      </c>
      <c r="H663" s="1">
        <v>17.7</v>
      </c>
      <c r="I663" s="1"/>
      <c r="J663" s="1"/>
    </row>
    <row r="664" spans="1:10" x14ac:dyDescent="0.3">
      <c r="A664" t="str">
        <f t="shared" si="20"/>
        <v>FTA</v>
      </c>
      <c r="B664">
        <f t="shared" si="21"/>
        <v>2216</v>
      </c>
      <c r="D664" s="1"/>
      <c r="E664" s="1" t="s">
        <v>119</v>
      </c>
      <c r="F664" s="1">
        <v>193</v>
      </c>
      <c r="G664" s="1">
        <v>6</v>
      </c>
      <c r="H664" s="1">
        <v>17.5</v>
      </c>
      <c r="I664" s="1"/>
      <c r="J664" s="1"/>
    </row>
    <row r="665" spans="1:10" x14ac:dyDescent="0.3">
      <c r="A665" t="str">
        <f t="shared" si="20"/>
        <v>FTA</v>
      </c>
      <c r="B665">
        <f t="shared" si="21"/>
        <v>14116</v>
      </c>
      <c r="D665" s="1"/>
      <c r="E665" s="1" t="s">
        <v>299</v>
      </c>
      <c r="F665" s="1">
        <v>202</v>
      </c>
      <c r="G665" s="1">
        <v>12</v>
      </c>
      <c r="H665" s="1">
        <v>17.399999999999999</v>
      </c>
      <c r="I665" s="1"/>
      <c r="J665" s="1"/>
    </row>
    <row r="666" spans="1:10" x14ac:dyDescent="0.3">
      <c r="A666" t="str">
        <f t="shared" si="20"/>
        <v>FTA</v>
      </c>
      <c r="B666">
        <f t="shared" si="21"/>
        <v>2116</v>
      </c>
      <c r="D666" s="1"/>
      <c r="E666" s="1" t="s">
        <v>136</v>
      </c>
      <c r="F666" s="1">
        <v>210</v>
      </c>
      <c r="G666" s="1">
        <v>7</v>
      </c>
      <c r="H666" s="1">
        <v>17.3</v>
      </c>
      <c r="I666" s="1"/>
      <c r="J666" s="1"/>
    </row>
    <row r="667" spans="1:10" x14ac:dyDescent="0.3">
      <c r="A667" t="str">
        <f t="shared" si="20"/>
        <v>FTA</v>
      </c>
      <c r="B667">
        <f t="shared" si="21"/>
        <v>5416</v>
      </c>
      <c r="D667" s="1"/>
      <c r="E667" s="1" t="s">
        <v>94</v>
      </c>
      <c r="F667" s="1">
        <v>213</v>
      </c>
      <c r="G667" s="1">
        <v>10</v>
      </c>
      <c r="H667" s="1">
        <v>17.2</v>
      </c>
      <c r="I667" s="1"/>
      <c r="J667" s="1"/>
    </row>
    <row r="668" spans="1:10" x14ac:dyDescent="0.3">
      <c r="A668" t="str">
        <f t="shared" si="20"/>
        <v>FTA</v>
      </c>
      <c r="B668">
        <f t="shared" si="21"/>
        <v>9416</v>
      </c>
      <c r="D668" s="1"/>
      <c r="E668" s="1" t="s">
        <v>264</v>
      </c>
      <c r="F668" s="1">
        <v>215</v>
      </c>
      <c r="G668" s="1">
        <v>6</v>
      </c>
      <c r="H668" s="1">
        <v>17.2</v>
      </c>
      <c r="I668" s="1"/>
      <c r="J668" s="1"/>
    </row>
    <row r="669" spans="1:10" x14ac:dyDescent="0.3">
      <c r="A669" t="str">
        <f t="shared" si="20"/>
        <v>FTA</v>
      </c>
      <c r="B669">
        <f t="shared" si="21"/>
        <v>2816</v>
      </c>
      <c r="D669" s="1"/>
      <c r="E669" s="1" t="s">
        <v>106</v>
      </c>
      <c r="F669" s="1">
        <v>218</v>
      </c>
      <c r="G669" s="1">
        <v>8</v>
      </c>
      <c r="H669" s="1">
        <v>17.2</v>
      </c>
      <c r="I669" s="1"/>
      <c r="J669" s="1"/>
    </row>
    <row r="670" spans="1:10" x14ac:dyDescent="0.3">
      <c r="A670" t="str">
        <f t="shared" si="20"/>
        <v>FTA</v>
      </c>
      <c r="B670">
        <f t="shared" si="21"/>
        <v>6216</v>
      </c>
      <c r="D670" s="1"/>
      <c r="E670" s="1" t="s">
        <v>81</v>
      </c>
      <c r="F670" s="1">
        <v>220</v>
      </c>
      <c r="G670" s="1">
        <v>7</v>
      </c>
      <c r="H670" s="1">
        <v>17.2</v>
      </c>
      <c r="I670" s="1"/>
      <c r="J670" s="1"/>
    </row>
    <row r="671" spans="1:10" x14ac:dyDescent="0.3">
      <c r="A671" t="str">
        <f t="shared" si="20"/>
        <v>FTA</v>
      </c>
      <c r="B671">
        <f t="shared" si="21"/>
        <v>18416</v>
      </c>
      <c r="D671" s="1"/>
      <c r="E671" s="1" t="s">
        <v>417</v>
      </c>
      <c r="F671" s="1">
        <v>235</v>
      </c>
      <c r="G671" s="1">
        <v>4</v>
      </c>
      <c r="H671" s="1">
        <v>16.899999999999999</v>
      </c>
      <c r="I671" s="1"/>
      <c r="J671" s="1"/>
    </row>
    <row r="672" spans="1:10" x14ac:dyDescent="0.3">
      <c r="A672" t="str">
        <f t="shared" si="20"/>
        <v>FTA</v>
      </c>
      <c r="B672">
        <f t="shared" si="21"/>
        <v>9016</v>
      </c>
      <c r="D672" s="1"/>
      <c r="E672" s="1" t="s">
        <v>261</v>
      </c>
      <c r="F672" s="1">
        <v>252</v>
      </c>
      <c r="G672" s="1">
        <v>10</v>
      </c>
      <c r="H672" s="1">
        <v>16.600000000000001</v>
      </c>
      <c r="I672" s="1"/>
      <c r="J672" s="1"/>
    </row>
    <row r="673" spans="1:10" x14ac:dyDescent="0.3">
      <c r="A673" t="str">
        <f t="shared" si="20"/>
        <v>FTA</v>
      </c>
      <c r="B673">
        <f t="shared" si="21"/>
        <v>3116</v>
      </c>
      <c r="D673" s="1"/>
      <c r="E673" s="1" t="s">
        <v>93</v>
      </c>
      <c r="F673" s="1">
        <v>253</v>
      </c>
      <c r="G673" s="1">
        <v>7</v>
      </c>
      <c r="H673" s="1">
        <v>16.600000000000001</v>
      </c>
      <c r="I673" s="1"/>
      <c r="J673" s="1"/>
    </row>
    <row r="674" spans="1:10" x14ac:dyDescent="0.3">
      <c r="A674" t="str">
        <f t="shared" si="20"/>
        <v>FTA</v>
      </c>
      <c r="B674">
        <f t="shared" si="21"/>
        <v>3316</v>
      </c>
      <c r="D674" s="1"/>
      <c r="E674" s="1" t="s">
        <v>91</v>
      </c>
      <c r="F674" s="1">
        <v>273</v>
      </c>
      <c r="G674" s="1">
        <v>10</v>
      </c>
      <c r="H674" s="1">
        <v>16.3</v>
      </c>
      <c r="I674" s="1"/>
      <c r="J674" s="1"/>
    </row>
    <row r="675" spans="1:10" x14ac:dyDescent="0.3">
      <c r="A675" t="str">
        <f t="shared" si="20"/>
        <v>FTA</v>
      </c>
      <c r="B675">
        <f t="shared" si="21"/>
        <v>1916</v>
      </c>
      <c r="D675" s="1"/>
      <c r="E675" s="1" t="s">
        <v>112</v>
      </c>
      <c r="F675" s="1">
        <v>278</v>
      </c>
      <c r="G675" s="1">
        <v>11</v>
      </c>
      <c r="H675" s="1">
        <v>16.2</v>
      </c>
      <c r="I675" s="1"/>
      <c r="J675" s="1"/>
    </row>
    <row r="676" spans="1:10" x14ac:dyDescent="0.3">
      <c r="A676" t="str">
        <f t="shared" si="20"/>
        <v>FTA</v>
      </c>
      <c r="B676">
        <f t="shared" si="21"/>
        <v>9516</v>
      </c>
      <c r="D676" s="1"/>
      <c r="E676" s="1" t="s">
        <v>85</v>
      </c>
      <c r="F676" s="1">
        <v>279</v>
      </c>
      <c r="G676" s="1">
        <v>8</v>
      </c>
      <c r="H676" s="1">
        <v>16.2</v>
      </c>
      <c r="I676" s="1"/>
      <c r="J676" s="1"/>
    </row>
    <row r="677" spans="1:10" x14ac:dyDescent="0.3">
      <c r="A677" t="str">
        <f t="shared" si="20"/>
        <v>FTA</v>
      </c>
      <c r="B677">
        <f t="shared" si="21"/>
        <v>7916</v>
      </c>
      <c r="D677" s="1"/>
      <c r="E677" s="1" t="s">
        <v>103</v>
      </c>
      <c r="F677" s="1">
        <v>295</v>
      </c>
      <c r="G677" s="1">
        <v>8</v>
      </c>
      <c r="H677" s="1">
        <v>15.9</v>
      </c>
      <c r="I677" s="1"/>
      <c r="J677" s="1"/>
    </row>
    <row r="678" spans="1:10" x14ac:dyDescent="0.3">
      <c r="A678" t="str">
        <f t="shared" si="20"/>
        <v>FTA</v>
      </c>
      <c r="B678">
        <f t="shared" si="21"/>
        <v>616</v>
      </c>
      <c r="D678" s="1"/>
      <c r="E678" s="1" t="s">
        <v>100</v>
      </c>
      <c r="F678" s="1">
        <v>296</v>
      </c>
      <c r="G678" s="1">
        <v>11</v>
      </c>
      <c r="H678" s="1">
        <v>15.9</v>
      </c>
      <c r="I678" s="1"/>
      <c r="J678" s="1"/>
    </row>
    <row r="679" spans="1:10" x14ac:dyDescent="0.3">
      <c r="A679" t="str">
        <f t="shared" si="20"/>
        <v>FTA</v>
      </c>
      <c r="B679">
        <f t="shared" si="21"/>
        <v>18816</v>
      </c>
      <c r="D679" s="1"/>
      <c r="E679" s="1" t="s">
        <v>424</v>
      </c>
      <c r="F679" s="1">
        <v>297</v>
      </c>
      <c r="G679" s="1">
        <v>9</v>
      </c>
      <c r="H679" s="1">
        <v>15.9</v>
      </c>
      <c r="I679" s="1"/>
      <c r="J679" s="1"/>
    </row>
    <row r="680" spans="1:10" x14ac:dyDescent="0.3">
      <c r="A680" t="str">
        <f t="shared" si="20"/>
        <v>FTA</v>
      </c>
      <c r="B680">
        <f t="shared" si="21"/>
        <v>8416</v>
      </c>
      <c r="D680" s="1"/>
      <c r="E680" s="1" t="s">
        <v>109</v>
      </c>
      <c r="F680" s="1">
        <v>302</v>
      </c>
      <c r="G680" s="1">
        <v>4</v>
      </c>
      <c r="H680" s="1">
        <v>15.7</v>
      </c>
      <c r="I680" s="1"/>
      <c r="J680" s="1"/>
    </row>
    <row r="681" spans="1:10" x14ac:dyDescent="0.3">
      <c r="A681" t="str">
        <f t="shared" si="20"/>
        <v>FTA</v>
      </c>
      <c r="B681">
        <f t="shared" si="21"/>
        <v>18516</v>
      </c>
      <c r="D681" s="1"/>
      <c r="E681" s="1" t="s">
        <v>420</v>
      </c>
      <c r="F681" s="1">
        <v>303</v>
      </c>
      <c r="G681" s="1">
        <v>8</v>
      </c>
      <c r="H681" s="1">
        <v>15.7</v>
      </c>
      <c r="I681" s="1"/>
      <c r="J681" s="1"/>
    </row>
    <row r="682" spans="1:10" x14ac:dyDescent="0.3">
      <c r="A682" t="str">
        <f t="shared" si="20"/>
        <v>FTA</v>
      </c>
      <c r="B682">
        <f t="shared" si="21"/>
        <v>916</v>
      </c>
      <c r="D682" s="1"/>
      <c r="E682" s="1" t="s">
        <v>90</v>
      </c>
      <c r="F682" s="1">
        <v>310</v>
      </c>
      <c r="G682" s="1">
        <v>12</v>
      </c>
      <c r="H682" s="1">
        <v>15.5</v>
      </c>
      <c r="I682" s="1"/>
      <c r="J682" s="1"/>
    </row>
    <row r="683" spans="1:10" x14ac:dyDescent="0.3">
      <c r="A683" t="str">
        <f t="shared" si="20"/>
        <v>FTA</v>
      </c>
      <c r="B683">
        <f t="shared" si="21"/>
        <v>14316</v>
      </c>
      <c r="D683" s="1"/>
      <c r="E683" s="1" t="s">
        <v>391</v>
      </c>
      <c r="F683" s="1">
        <v>352</v>
      </c>
      <c r="G683" s="1">
        <v>14</v>
      </c>
      <c r="H683" s="1">
        <v>12.1</v>
      </c>
      <c r="I683" s="1"/>
      <c r="J683" s="1"/>
    </row>
    <row r="684" spans="1:10" x14ac:dyDescent="0.3">
      <c r="A684" t="str">
        <f t="shared" si="20"/>
        <v>FT%</v>
      </c>
      <c r="B684">
        <f t="shared" si="21"/>
        <v>4615</v>
      </c>
      <c r="D684" s="1" t="s">
        <v>440</v>
      </c>
      <c r="E684" s="1" t="s">
        <v>101</v>
      </c>
      <c r="F684" s="1">
        <v>3</v>
      </c>
      <c r="G684" s="1">
        <v>1</v>
      </c>
      <c r="H684" s="1">
        <v>79.2</v>
      </c>
      <c r="I684" s="1" t="s">
        <v>159</v>
      </c>
      <c r="J684" s="1">
        <v>82</v>
      </c>
    </row>
    <row r="685" spans="1:10" x14ac:dyDescent="0.3">
      <c r="A685" t="str">
        <f t="shared" si="20"/>
        <v>FT%</v>
      </c>
      <c r="B685">
        <f t="shared" si="21"/>
        <v>18315</v>
      </c>
      <c r="D685" s="1"/>
      <c r="E685" s="1" t="s">
        <v>423</v>
      </c>
      <c r="F685" s="1">
        <v>5</v>
      </c>
      <c r="G685" s="1">
        <v>1</v>
      </c>
      <c r="H685" s="1">
        <v>79.2</v>
      </c>
      <c r="I685" s="1"/>
      <c r="J685" s="1"/>
    </row>
    <row r="686" spans="1:10" x14ac:dyDescent="0.3">
      <c r="A686" t="str">
        <f t="shared" si="20"/>
        <v>FT%</v>
      </c>
      <c r="B686">
        <f t="shared" si="21"/>
        <v>115</v>
      </c>
      <c r="D686" s="1"/>
      <c r="E686" s="1" t="s">
        <v>312</v>
      </c>
      <c r="F686" s="1">
        <v>9</v>
      </c>
      <c r="G686" s="1">
        <v>2</v>
      </c>
      <c r="H686" s="1">
        <v>78.400000000000006</v>
      </c>
      <c r="I686" s="1"/>
      <c r="J686" s="1"/>
    </row>
    <row r="687" spans="1:10" x14ac:dyDescent="0.3">
      <c r="A687" t="str">
        <f t="shared" si="20"/>
        <v>FT%</v>
      </c>
      <c r="B687">
        <f t="shared" si="21"/>
        <v>3115</v>
      </c>
      <c r="D687" s="1"/>
      <c r="E687" s="1" t="s">
        <v>93</v>
      </c>
      <c r="F687" s="1">
        <v>11</v>
      </c>
      <c r="G687" s="1">
        <v>2</v>
      </c>
      <c r="H687" s="1">
        <v>78.3</v>
      </c>
      <c r="I687" s="1"/>
      <c r="J687" s="1"/>
    </row>
    <row r="688" spans="1:10" x14ac:dyDescent="0.3">
      <c r="A688" t="str">
        <f t="shared" si="20"/>
        <v>FT%</v>
      </c>
      <c r="B688">
        <f t="shared" si="21"/>
        <v>18515</v>
      </c>
      <c r="D688" s="1"/>
      <c r="E688" s="1" t="s">
        <v>420</v>
      </c>
      <c r="F688" s="1">
        <v>16</v>
      </c>
      <c r="G688" s="1">
        <v>3</v>
      </c>
      <c r="H688" s="1">
        <v>77.400000000000006</v>
      </c>
      <c r="I688" s="1"/>
      <c r="J688" s="1"/>
    </row>
    <row r="689" spans="1:10" x14ac:dyDescent="0.3">
      <c r="A689" t="str">
        <f t="shared" si="20"/>
        <v>FT%</v>
      </c>
      <c r="B689">
        <f t="shared" si="21"/>
        <v>9515</v>
      </c>
      <c r="D689" s="1"/>
      <c r="E689" s="1" t="s">
        <v>85</v>
      </c>
      <c r="F689" s="1">
        <v>23</v>
      </c>
      <c r="G689" s="1">
        <v>3</v>
      </c>
      <c r="H689" s="1">
        <v>76.7</v>
      </c>
      <c r="I689" s="1"/>
      <c r="J689" s="1"/>
    </row>
    <row r="690" spans="1:10" x14ac:dyDescent="0.3">
      <c r="A690" t="str">
        <f t="shared" si="20"/>
        <v>FT%</v>
      </c>
      <c r="B690">
        <f t="shared" si="21"/>
        <v>5415</v>
      </c>
      <c r="D690" s="1"/>
      <c r="E690" s="1" t="s">
        <v>94</v>
      </c>
      <c r="F690" s="1">
        <v>26</v>
      </c>
      <c r="G690" s="1">
        <v>3</v>
      </c>
      <c r="H690" s="1">
        <v>76.599999999999994</v>
      </c>
      <c r="I690" s="1"/>
      <c r="J690" s="1"/>
    </row>
    <row r="691" spans="1:10" x14ac:dyDescent="0.3">
      <c r="A691" t="str">
        <f t="shared" si="20"/>
        <v>FT%</v>
      </c>
      <c r="B691">
        <f t="shared" si="21"/>
        <v>1415</v>
      </c>
      <c r="D691" s="1"/>
      <c r="E691" s="1" t="s">
        <v>102</v>
      </c>
      <c r="F691" s="1">
        <v>31</v>
      </c>
      <c r="G691" s="1">
        <v>3</v>
      </c>
      <c r="H691" s="1">
        <v>76.3</v>
      </c>
      <c r="I691" s="1"/>
      <c r="J691" s="1"/>
    </row>
    <row r="692" spans="1:10" x14ac:dyDescent="0.3">
      <c r="A692" t="str">
        <f t="shared" si="20"/>
        <v>FT%</v>
      </c>
      <c r="B692">
        <f t="shared" si="21"/>
        <v>2315</v>
      </c>
      <c r="D692" s="1"/>
      <c r="E692" s="1" t="s">
        <v>79</v>
      </c>
      <c r="F692" s="1">
        <v>33</v>
      </c>
      <c r="G692" s="1">
        <v>3</v>
      </c>
      <c r="H692" s="1">
        <v>76.099999999999994</v>
      </c>
      <c r="I692" s="1"/>
      <c r="J692" s="1"/>
    </row>
    <row r="693" spans="1:10" x14ac:dyDescent="0.3">
      <c r="A693" t="str">
        <f t="shared" si="20"/>
        <v>FT%</v>
      </c>
      <c r="B693">
        <f t="shared" si="21"/>
        <v>915</v>
      </c>
      <c r="D693" s="1"/>
      <c r="E693" s="1" t="s">
        <v>90</v>
      </c>
      <c r="F693" s="1">
        <v>35</v>
      </c>
      <c r="G693" s="1">
        <v>1</v>
      </c>
      <c r="H693" s="1">
        <v>75.900000000000006</v>
      </c>
      <c r="I693" s="1"/>
      <c r="J693" s="1"/>
    </row>
    <row r="694" spans="1:10" x14ac:dyDescent="0.3">
      <c r="A694" t="str">
        <f t="shared" si="20"/>
        <v>FT%</v>
      </c>
      <c r="B694">
        <f t="shared" si="21"/>
        <v>3615</v>
      </c>
      <c r="D694" s="1"/>
      <c r="E694" s="1" t="s">
        <v>129</v>
      </c>
      <c r="F694" s="1">
        <v>36</v>
      </c>
      <c r="G694" s="1">
        <v>1</v>
      </c>
      <c r="H694" s="1">
        <v>75.900000000000006</v>
      </c>
      <c r="I694" s="1"/>
      <c r="J694" s="1"/>
    </row>
    <row r="695" spans="1:10" x14ac:dyDescent="0.3">
      <c r="A695" t="str">
        <f t="shared" si="20"/>
        <v>FT%</v>
      </c>
      <c r="B695">
        <f t="shared" si="21"/>
        <v>5315</v>
      </c>
      <c r="D695" s="1"/>
      <c r="E695" s="1" t="s">
        <v>242</v>
      </c>
      <c r="F695" s="1">
        <v>37</v>
      </c>
      <c r="G695" s="1">
        <v>5</v>
      </c>
      <c r="H695" s="1">
        <v>75.900000000000006</v>
      </c>
      <c r="I695" s="1"/>
      <c r="J695" s="1"/>
    </row>
    <row r="696" spans="1:10" x14ac:dyDescent="0.3">
      <c r="A696" t="str">
        <f t="shared" si="20"/>
        <v>FT%</v>
      </c>
      <c r="B696">
        <f t="shared" si="21"/>
        <v>14115</v>
      </c>
      <c r="D696" s="1"/>
      <c r="E696" s="1" t="s">
        <v>299</v>
      </c>
      <c r="F696" s="1">
        <v>38</v>
      </c>
      <c r="G696" s="1">
        <v>2</v>
      </c>
      <c r="H696" s="1">
        <v>75.8</v>
      </c>
      <c r="I696" s="1"/>
      <c r="J696" s="1"/>
    </row>
    <row r="697" spans="1:10" x14ac:dyDescent="0.3">
      <c r="A697" t="str">
        <f t="shared" si="20"/>
        <v>FT%</v>
      </c>
      <c r="B697">
        <f t="shared" si="21"/>
        <v>6215</v>
      </c>
      <c r="D697" s="1"/>
      <c r="E697" s="1" t="s">
        <v>81</v>
      </c>
      <c r="F697" s="1">
        <v>40</v>
      </c>
      <c r="G697" s="1">
        <v>2</v>
      </c>
      <c r="H697" s="1">
        <v>75.7</v>
      </c>
      <c r="I697" s="1"/>
      <c r="J697" s="1"/>
    </row>
    <row r="698" spans="1:10" x14ac:dyDescent="0.3">
      <c r="A698" t="str">
        <f t="shared" si="20"/>
        <v>FT%</v>
      </c>
      <c r="B698">
        <f t="shared" si="21"/>
        <v>12015</v>
      </c>
      <c r="D698" s="1"/>
      <c r="E698" s="1" t="s">
        <v>135</v>
      </c>
      <c r="F698" s="1">
        <v>44</v>
      </c>
      <c r="G698" s="1">
        <v>5</v>
      </c>
      <c r="H698" s="1">
        <v>75.400000000000006</v>
      </c>
      <c r="I698" s="1"/>
      <c r="J698" s="1"/>
    </row>
    <row r="699" spans="1:10" x14ac:dyDescent="0.3">
      <c r="A699" t="str">
        <f t="shared" si="20"/>
        <v>FT%</v>
      </c>
      <c r="B699">
        <f t="shared" si="21"/>
        <v>18415</v>
      </c>
      <c r="D699" s="1"/>
      <c r="E699" s="1" t="s">
        <v>417</v>
      </c>
      <c r="F699" s="1">
        <v>46</v>
      </c>
      <c r="G699" s="1">
        <v>1</v>
      </c>
      <c r="H699" s="1">
        <v>75.2</v>
      </c>
      <c r="I699" s="1"/>
      <c r="J699" s="1"/>
    </row>
    <row r="700" spans="1:10" x14ac:dyDescent="0.3">
      <c r="A700" t="str">
        <f t="shared" si="20"/>
        <v>FT%</v>
      </c>
      <c r="B700">
        <f t="shared" si="21"/>
        <v>715</v>
      </c>
      <c r="D700" s="1"/>
      <c r="E700" s="1" t="s">
        <v>319</v>
      </c>
      <c r="F700" s="1">
        <v>54</v>
      </c>
      <c r="G700" s="1">
        <v>1</v>
      </c>
      <c r="H700" s="1">
        <v>74.8</v>
      </c>
      <c r="I700" s="1"/>
      <c r="J700" s="1"/>
    </row>
    <row r="701" spans="1:10" x14ac:dyDescent="0.3">
      <c r="A701" t="str">
        <f t="shared" si="20"/>
        <v>FT%</v>
      </c>
      <c r="B701">
        <f t="shared" si="21"/>
        <v>6715</v>
      </c>
      <c r="D701" s="1"/>
      <c r="E701" s="1" t="s">
        <v>118</v>
      </c>
      <c r="F701" s="1">
        <v>55</v>
      </c>
      <c r="G701" s="1">
        <v>2</v>
      </c>
      <c r="H701" s="1">
        <v>74.8</v>
      </c>
      <c r="I701" s="1"/>
      <c r="J701" s="1"/>
    </row>
    <row r="702" spans="1:10" x14ac:dyDescent="0.3">
      <c r="A702" t="str">
        <f t="shared" si="20"/>
        <v>FT%</v>
      </c>
      <c r="B702">
        <f t="shared" si="21"/>
        <v>6615</v>
      </c>
      <c r="D702" s="1"/>
      <c r="E702" s="1" t="s">
        <v>247</v>
      </c>
      <c r="F702" s="1">
        <v>60</v>
      </c>
      <c r="G702" s="1">
        <v>4</v>
      </c>
      <c r="H702" s="1">
        <v>74.7</v>
      </c>
      <c r="I702" s="1"/>
      <c r="J702" s="1"/>
    </row>
    <row r="703" spans="1:10" x14ac:dyDescent="0.3">
      <c r="A703" t="str">
        <f t="shared" si="20"/>
        <v>FT%</v>
      </c>
      <c r="B703">
        <f t="shared" si="21"/>
        <v>2415</v>
      </c>
      <c r="D703" s="1"/>
      <c r="E703" s="1" t="s">
        <v>330</v>
      </c>
      <c r="F703" s="1">
        <v>64</v>
      </c>
      <c r="G703" s="1">
        <v>3</v>
      </c>
      <c r="H703" s="1">
        <v>74.5</v>
      </c>
      <c r="I703" s="1"/>
      <c r="J703" s="1"/>
    </row>
    <row r="704" spans="1:10" x14ac:dyDescent="0.3">
      <c r="A704" t="str">
        <f t="shared" si="20"/>
        <v>FT%</v>
      </c>
      <c r="B704">
        <f t="shared" si="21"/>
        <v>3215</v>
      </c>
      <c r="D704" s="1"/>
      <c r="E704" s="1" t="s">
        <v>127</v>
      </c>
      <c r="F704" s="1">
        <v>68</v>
      </c>
      <c r="G704" s="1">
        <v>3</v>
      </c>
      <c r="H704" s="1">
        <v>74.400000000000006</v>
      </c>
      <c r="I704" s="1"/>
      <c r="J704" s="1"/>
    </row>
    <row r="705" spans="1:10" x14ac:dyDescent="0.3">
      <c r="A705" t="str">
        <f t="shared" si="20"/>
        <v>FT%</v>
      </c>
      <c r="B705">
        <f t="shared" si="21"/>
        <v>3015</v>
      </c>
      <c r="D705" s="1"/>
      <c r="E705" s="1" t="s">
        <v>89</v>
      </c>
      <c r="F705" s="1">
        <v>68</v>
      </c>
      <c r="G705" s="1">
        <v>3</v>
      </c>
      <c r="H705" s="1">
        <v>74.400000000000006</v>
      </c>
      <c r="I705" s="1"/>
      <c r="J705" s="1"/>
    </row>
    <row r="706" spans="1:10" x14ac:dyDescent="0.3">
      <c r="A706" t="str">
        <f t="shared" ref="A706:A769" si="22">IF(NOT(D706=""),INDEX(statAbbr,MATCH(D706,statOfficial,0),1),A705)</f>
        <v>FT%</v>
      </c>
      <c r="B706">
        <f t="shared" ref="B706:B769" si="23">INDEX(statID,MATCH(A706,statAbbr,0),1)+INDEX(teamID,MATCH(E706,teamRawName,0))</f>
        <v>11515</v>
      </c>
      <c r="D706" s="1"/>
      <c r="E706" s="1" t="s">
        <v>97</v>
      </c>
      <c r="F706" s="1">
        <v>72</v>
      </c>
      <c r="G706" s="1">
        <v>1</v>
      </c>
      <c r="H706" s="1">
        <v>74.400000000000006</v>
      </c>
      <c r="I706" s="1"/>
      <c r="J706" s="1"/>
    </row>
    <row r="707" spans="1:10" x14ac:dyDescent="0.3">
      <c r="A707" t="str">
        <f t="shared" si="22"/>
        <v>FT%</v>
      </c>
      <c r="B707">
        <f t="shared" si="23"/>
        <v>13315</v>
      </c>
      <c r="D707" s="1"/>
      <c r="E707" s="1" t="s">
        <v>291</v>
      </c>
      <c r="F707" s="1">
        <v>76</v>
      </c>
      <c r="G707" s="1">
        <v>4</v>
      </c>
      <c r="H707" s="1">
        <v>74.3</v>
      </c>
      <c r="I707" s="1"/>
      <c r="J707" s="1"/>
    </row>
    <row r="708" spans="1:10" x14ac:dyDescent="0.3">
      <c r="A708" t="str">
        <f t="shared" si="22"/>
        <v>FT%</v>
      </c>
      <c r="B708">
        <f t="shared" si="23"/>
        <v>6815</v>
      </c>
      <c r="D708" s="1"/>
      <c r="E708" s="1" t="s">
        <v>248</v>
      </c>
      <c r="F708" s="1">
        <v>77</v>
      </c>
      <c r="G708" s="1">
        <v>4</v>
      </c>
      <c r="H708" s="1">
        <v>74.2</v>
      </c>
      <c r="I708" s="1"/>
      <c r="J708" s="1"/>
    </row>
    <row r="709" spans="1:10" x14ac:dyDescent="0.3">
      <c r="A709" t="str">
        <f t="shared" si="22"/>
        <v>FT%</v>
      </c>
      <c r="B709">
        <f t="shared" si="23"/>
        <v>19115</v>
      </c>
      <c r="D709" s="1"/>
      <c r="E709" s="1" t="s">
        <v>421</v>
      </c>
      <c r="F709" s="1">
        <v>81</v>
      </c>
      <c r="G709" s="1">
        <v>4</v>
      </c>
      <c r="H709" s="1">
        <v>74.099999999999994</v>
      </c>
      <c r="I709" s="1"/>
      <c r="J709" s="1"/>
    </row>
    <row r="710" spans="1:10" x14ac:dyDescent="0.3">
      <c r="A710" t="str">
        <f t="shared" si="22"/>
        <v>FT%</v>
      </c>
      <c r="B710">
        <f t="shared" si="23"/>
        <v>14315</v>
      </c>
      <c r="D710" s="1"/>
      <c r="E710" s="1" t="s">
        <v>391</v>
      </c>
      <c r="F710" s="1">
        <v>91</v>
      </c>
      <c r="G710" s="1">
        <v>5</v>
      </c>
      <c r="H710" s="1">
        <v>73.900000000000006</v>
      </c>
      <c r="I710" s="1"/>
      <c r="J710" s="1"/>
    </row>
    <row r="711" spans="1:10" x14ac:dyDescent="0.3">
      <c r="A711" t="str">
        <f t="shared" si="22"/>
        <v>FT%</v>
      </c>
      <c r="B711">
        <f t="shared" si="23"/>
        <v>5215</v>
      </c>
      <c r="D711" s="1"/>
      <c r="E711" s="1" t="s">
        <v>241</v>
      </c>
      <c r="F711" s="1">
        <v>100</v>
      </c>
      <c r="G711" s="1">
        <v>6</v>
      </c>
      <c r="H711" s="1">
        <v>73.8</v>
      </c>
      <c r="I711" s="1"/>
      <c r="J711" s="1"/>
    </row>
    <row r="712" spans="1:10" x14ac:dyDescent="0.3">
      <c r="A712" t="str">
        <f t="shared" si="22"/>
        <v>FT%</v>
      </c>
      <c r="B712">
        <f t="shared" si="23"/>
        <v>2815</v>
      </c>
      <c r="D712" s="1"/>
      <c r="E712" s="1" t="s">
        <v>106</v>
      </c>
      <c r="F712" s="1">
        <v>113</v>
      </c>
      <c r="G712" s="1">
        <v>5</v>
      </c>
      <c r="H712" s="1">
        <v>73.3</v>
      </c>
      <c r="I712" s="1"/>
      <c r="J712" s="1"/>
    </row>
    <row r="713" spans="1:10" x14ac:dyDescent="0.3">
      <c r="A713" t="str">
        <f t="shared" si="22"/>
        <v>FT%</v>
      </c>
      <c r="B713">
        <f t="shared" si="23"/>
        <v>2115</v>
      </c>
      <c r="D713" s="1"/>
      <c r="E713" s="1" t="s">
        <v>136</v>
      </c>
      <c r="F713" s="1">
        <v>114</v>
      </c>
      <c r="G713" s="1">
        <v>6</v>
      </c>
      <c r="H713" s="1">
        <v>73.3</v>
      </c>
      <c r="I713" s="1"/>
      <c r="J713" s="1"/>
    </row>
    <row r="714" spans="1:10" x14ac:dyDescent="0.3">
      <c r="A714" t="str">
        <f t="shared" si="22"/>
        <v>FT%</v>
      </c>
      <c r="B714">
        <f t="shared" si="23"/>
        <v>8615</v>
      </c>
      <c r="D714" s="1"/>
      <c r="E714" s="1" t="s">
        <v>259</v>
      </c>
      <c r="F714" s="1">
        <v>117</v>
      </c>
      <c r="G714" s="1">
        <v>5</v>
      </c>
      <c r="H714" s="1">
        <v>73.2</v>
      </c>
      <c r="I714" s="1"/>
      <c r="J714" s="1"/>
    </row>
    <row r="715" spans="1:10" x14ac:dyDescent="0.3">
      <c r="A715" t="str">
        <f t="shared" si="22"/>
        <v>FT%</v>
      </c>
      <c r="B715">
        <f t="shared" si="23"/>
        <v>11115</v>
      </c>
      <c r="D715" s="1"/>
      <c r="E715" s="1" t="s">
        <v>277</v>
      </c>
      <c r="F715" s="1">
        <v>118</v>
      </c>
      <c r="G715" s="1">
        <v>7</v>
      </c>
      <c r="H715" s="1">
        <v>73.2</v>
      </c>
      <c r="I715" s="1"/>
      <c r="J715" s="1"/>
    </row>
    <row r="716" spans="1:10" x14ac:dyDescent="0.3">
      <c r="A716" t="str">
        <f t="shared" si="22"/>
        <v>FT%</v>
      </c>
      <c r="B716">
        <f t="shared" si="23"/>
        <v>9015</v>
      </c>
      <c r="D716" s="1"/>
      <c r="E716" s="1" t="s">
        <v>261</v>
      </c>
      <c r="F716" s="1">
        <v>121</v>
      </c>
      <c r="G716" s="1">
        <v>4</v>
      </c>
      <c r="H716" s="1">
        <v>73.099999999999994</v>
      </c>
      <c r="I716" s="1"/>
      <c r="J716" s="1"/>
    </row>
    <row r="717" spans="1:10" x14ac:dyDescent="0.3">
      <c r="A717" t="str">
        <f t="shared" si="22"/>
        <v>FT%</v>
      </c>
      <c r="B717">
        <f t="shared" si="23"/>
        <v>18915</v>
      </c>
      <c r="D717" s="1"/>
      <c r="E717" s="1" t="s">
        <v>422</v>
      </c>
      <c r="F717" s="1">
        <v>135</v>
      </c>
      <c r="G717" s="1">
        <v>5</v>
      </c>
      <c r="H717" s="1">
        <v>72.7</v>
      </c>
      <c r="I717" s="1"/>
      <c r="J717" s="1"/>
    </row>
    <row r="718" spans="1:10" x14ac:dyDescent="0.3">
      <c r="A718" t="str">
        <f t="shared" si="22"/>
        <v>FT%</v>
      </c>
      <c r="B718">
        <f t="shared" si="23"/>
        <v>13415</v>
      </c>
      <c r="D718" s="1"/>
      <c r="E718" s="1" t="s">
        <v>400</v>
      </c>
      <c r="F718" s="1">
        <v>138</v>
      </c>
      <c r="G718" s="1">
        <v>6</v>
      </c>
      <c r="H718" s="1">
        <v>72.599999999999994</v>
      </c>
      <c r="I718" s="1"/>
      <c r="J718" s="1"/>
    </row>
    <row r="719" spans="1:10" x14ac:dyDescent="0.3">
      <c r="A719" t="str">
        <f t="shared" si="22"/>
        <v>FT%</v>
      </c>
      <c r="B719">
        <f t="shared" si="23"/>
        <v>3715</v>
      </c>
      <c r="D719" s="1"/>
      <c r="E719" s="1" t="s">
        <v>115</v>
      </c>
      <c r="F719" s="1">
        <v>141</v>
      </c>
      <c r="G719" s="1">
        <v>4</v>
      </c>
      <c r="H719" s="1">
        <v>72.5</v>
      </c>
      <c r="I719" s="1"/>
      <c r="J719" s="1"/>
    </row>
    <row r="720" spans="1:10" x14ac:dyDescent="0.3">
      <c r="A720" t="str">
        <f t="shared" si="22"/>
        <v>FT%</v>
      </c>
      <c r="B720">
        <f t="shared" si="23"/>
        <v>1915</v>
      </c>
      <c r="D720" s="1"/>
      <c r="E720" s="1" t="s">
        <v>112</v>
      </c>
      <c r="F720" s="1">
        <v>152</v>
      </c>
      <c r="G720" s="1">
        <v>13</v>
      </c>
      <c r="H720" s="1">
        <v>72.2</v>
      </c>
      <c r="I720" s="1"/>
      <c r="J720" s="1"/>
    </row>
    <row r="721" spans="1:10" x14ac:dyDescent="0.3">
      <c r="A721" t="str">
        <f t="shared" si="22"/>
        <v>FT%</v>
      </c>
      <c r="B721">
        <f t="shared" si="23"/>
        <v>1215</v>
      </c>
      <c r="D721" s="1"/>
      <c r="E721" s="1" t="s">
        <v>130</v>
      </c>
      <c r="F721" s="1">
        <v>155</v>
      </c>
      <c r="G721" s="1">
        <v>9</v>
      </c>
      <c r="H721" s="1">
        <v>72.2</v>
      </c>
      <c r="I721" s="1"/>
      <c r="J721" s="1"/>
    </row>
    <row r="722" spans="1:10" x14ac:dyDescent="0.3">
      <c r="A722" t="str">
        <f t="shared" si="22"/>
        <v>FT%</v>
      </c>
      <c r="B722">
        <f t="shared" si="23"/>
        <v>3915</v>
      </c>
      <c r="D722" s="1"/>
      <c r="E722" s="1" t="s">
        <v>88</v>
      </c>
      <c r="F722" s="1">
        <v>165</v>
      </c>
      <c r="G722" s="1">
        <v>7</v>
      </c>
      <c r="H722" s="1">
        <v>72</v>
      </c>
      <c r="I722" s="1"/>
      <c r="J722" s="1"/>
    </row>
    <row r="723" spans="1:10" x14ac:dyDescent="0.3">
      <c r="A723" t="str">
        <f t="shared" si="22"/>
        <v>FT%</v>
      </c>
      <c r="B723">
        <f t="shared" si="23"/>
        <v>2215</v>
      </c>
      <c r="D723" s="1"/>
      <c r="E723" s="1" t="s">
        <v>119</v>
      </c>
      <c r="F723" s="1">
        <v>166</v>
      </c>
      <c r="G723" s="1">
        <v>7</v>
      </c>
      <c r="H723" s="1">
        <v>71.900000000000006</v>
      </c>
      <c r="I723" s="1"/>
      <c r="J723" s="1"/>
    </row>
    <row r="724" spans="1:10" x14ac:dyDescent="0.3">
      <c r="A724" t="str">
        <f t="shared" si="22"/>
        <v>FT%</v>
      </c>
      <c r="B724">
        <f t="shared" si="23"/>
        <v>3315</v>
      </c>
      <c r="D724" s="1"/>
      <c r="E724" s="1" t="s">
        <v>91</v>
      </c>
      <c r="F724" s="1">
        <v>173</v>
      </c>
      <c r="G724" s="1">
        <v>7</v>
      </c>
      <c r="H724" s="1">
        <v>71.8</v>
      </c>
      <c r="I724" s="1"/>
      <c r="J724" s="1"/>
    </row>
    <row r="725" spans="1:10" x14ac:dyDescent="0.3">
      <c r="A725" t="str">
        <f t="shared" si="22"/>
        <v>FT%</v>
      </c>
      <c r="B725">
        <f t="shared" si="23"/>
        <v>5815</v>
      </c>
      <c r="D725" s="1"/>
      <c r="E725" s="1" t="s">
        <v>139</v>
      </c>
      <c r="F725" s="1">
        <v>180</v>
      </c>
      <c r="G725" s="1">
        <v>6</v>
      </c>
      <c r="H725" s="1">
        <v>71.599999999999994</v>
      </c>
      <c r="I725" s="1"/>
      <c r="J725" s="1"/>
    </row>
    <row r="726" spans="1:10" x14ac:dyDescent="0.3">
      <c r="A726" t="str">
        <f t="shared" si="22"/>
        <v>FT%</v>
      </c>
      <c r="B726">
        <f t="shared" si="23"/>
        <v>8815</v>
      </c>
      <c r="D726" s="1"/>
      <c r="E726" s="1" t="s">
        <v>141</v>
      </c>
      <c r="F726" s="1">
        <v>193</v>
      </c>
      <c r="G726" s="1">
        <v>4</v>
      </c>
      <c r="H726" s="1">
        <v>71.3</v>
      </c>
      <c r="I726" s="1"/>
      <c r="J726" s="1"/>
    </row>
    <row r="727" spans="1:10" x14ac:dyDescent="0.3">
      <c r="A727" t="str">
        <f t="shared" si="22"/>
        <v>FT%</v>
      </c>
      <c r="B727">
        <f t="shared" si="23"/>
        <v>3415</v>
      </c>
      <c r="D727" s="1"/>
      <c r="E727" s="1" t="s">
        <v>237</v>
      </c>
      <c r="F727" s="1">
        <v>199</v>
      </c>
      <c r="G727" s="1">
        <v>4</v>
      </c>
      <c r="H727" s="1">
        <v>71.2</v>
      </c>
      <c r="I727" s="1"/>
      <c r="J727" s="1"/>
    </row>
    <row r="728" spans="1:10" x14ac:dyDescent="0.3">
      <c r="A728" t="str">
        <f t="shared" si="22"/>
        <v>FT%</v>
      </c>
      <c r="B728">
        <f t="shared" si="23"/>
        <v>9415</v>
      </c>
      <c r="D728" s="1"/>
      <c r="E728" s="1" t="s">
        <v>264</v>
      </c>
      <c r="F728" s="1">
        <v>201</v>
      </c>
      <c r="G728" s="1">
        <v>8</v>
      </c>
      <c r="H728" s="1">
        <v>71.099999999999994</v>
      </c>
      <c r="I728" s="1"/>
      <c r="J728" s="1"/>
    </row>
    <row r="729" spans="1:10" x14ac:dyDescent="0.3">
      <c r="A729" t="str">
        <f t="shared" si="22"/>
        <v>FT%</v>
      </c>
      <c r="B729">
        <f t="shared" si="23"/>
        <v>7415</v>
      </c>
      <c r="D729" s="1"/>
      <c r="E729" s="1" t="s">
        <v>251</v>
      </c>
      <c r="F729" s="1">
        <v>204</v>
      </c>
      <c r="G729" s="1">
        <v>9</v>
      </c>
      <c r="H729" s="1">
        <v>71</v>
      </c>
      <c r="I729" s="1"/>
      <c r="J729" s="1"/>
    </row>
    <row r="730" spans="1:10" x14ac:dyDescent="0.3">
      <c r="A730" t="str">
        <f t="shared" si="22"/>
        <v>FT%</v>
      </c>
      <c r="B730">
        <f t="shared" si="23"/>
        <v>15215</v>
      </c>
      <c r="D730" s="1"/>
      <c r="E730" s="1" t="s">
        <v>426</v>
      </c>
      <c r="F730" s="1">
        <v>209</v>
      </c>
      <c r="G730" s="1">
        <v>6</v>
      </c>
      <c r="H730" s="1">
        <v>70.900000000000006</v>
      </c>
      <c r="I730" s="1"/>
      <c r="J730" s="1"/>
    </row>
    <row r="731" spans="1:10" x14ac:dyDescent="0.3">
      <c r="A731" t="str">
        <f t="shared" si="22"/>
        <v>FT%</v>
      </c>
      <c r="B731">
        <f t="shared" si="23"/>
        <v>3515</v>
      </c>
      <c r="D731" s="1"/>
      <c r="E731" s="1" t="s">
        <v>87</v>
      </c>
      <c r="F731" s="1">
        <v>214</v>
      </c>
      <c r="G731" s="1">
        <v>8</v>
      </c>
      <c r="H731" s="1">
        <v>70.8</v>
      </c>
      <c r="I731" s="1"/>
      <c r="J731" s="1"/>
    </row>
    <row r="732" spans="1:10" x14ac:dyDescent="0.3">
      <c r="A732" t="str">
        <f t="shared" si="22"/>
        <v>FT%</v>
      </c>
      <c r="B732">
        <f t="shared" si="23"/>
        <v>2915</v>
      </c>
      <c r="D732" s="1"/>
      <c r="E732" s="1" t="s">
        <v>96</v>
      </c>
      <c r="F732" s="1">
        <v>215</v>
      </c>
      <c r="G732" s="1">
        <v>8</v>
      </c>
      <c r="H732" s="1">
        <v>70.8</v>
      </c>
      <c r="I732" s="1"/>
      <c r="J732" s="1"/>
    </row>
    <row r="733" spans="1:10" x14ac:dyDescent="0.3">
      <c r="A733" t="str">
        <f t="shared" si="22"/>
        <v>FT%</v>
      </c>
      <c r="B733">
        <f t="shared" si="23"/>
        <v>5515</v>
      </c>
      <c r="D733" s="1"/>
      <c r="E733" s="1" t="s">
        <v>86</v>
      </c>
      <c r="F733" s="1">
        <v>219</v>
      </c>
      <c r="G733" s="1">
        <v>9</v>
      </c>
      <c r="H733" s="1">
        <v>70.599999999999994</v>
      </c>
      <c r="I733" s="1"/>
      <c r="J733" s="1"/>
    </row>
    <row r="734" spans="1:10" x14ac:dyDescent="0.3">
      <c r="A734" t="str">
        <f t="shared" si="22"/>
        <v>FT%</v>
      </c>
      <c r="B734">
        <f t="shared" si="23"/>
        <v>2615</v>
      </c>
      <c r="D734" s="1"/>
      <c r="E734" s="1" t="s">
        <v>80</v>
      </c>
      <c r="F734" s="1">
        <v>230</v>
      </c>
      <c r="G734" s="1">
        <v>14</v>
      </c>
      <c r="H734" s="1">
        <v>70.3</v>
      </c>
      <c r="I734" s="1"/>
      <c r="J734" s="1"/>
    </row>
    <row r="735" spans="1:10" x14ac:dyDescent="0.3">
      <c r="A735" t="str">
        <f t="shared" si="22"/>
        <v>FT%</v>
      </c>
      <c r="B735">
        <f t="shared" si="23"/>
        <v>5615</v>
      </c>
      <c r="D735" s="1"/>
      <c r="E735" s="1" t="s">
        <v>62</v>
      </c>
      <c r="F735" s="1">
        <v>239</v>
      </c>
      <c r="G735" s="1">
        <v>9</v>
      </c>
      <c r="H735" s="1">
        <v>69.900000000000006</v>
      </c>
      <c r="I735" s="1"/>
      <c r="J735" s="1"/>
    </row>
    <row r="736" spans="1:10" x14ac:dyDescent="0.3">
      <c r="A736" t="str">
        <f t="shared" si="22"/>
        <v>FT%</v>
      </c>
      <c r="B736">
        <f t="shared" si="23"/>
        <v>8115</v>
      </c>
      <c r="D736" s="1"/>
      <c r="E736" s="1" t="s">
        <v>256</v>
      </c>
      <c r="F736" s="1">
        <v>247</v>
      </c>
      <c r="G736" s="1">
        <v>10</v>
      </c>
      <c r="H736" s="1">
        <v>69.8</v>
      </c>
      <c r="I736" s="1"/>
      <c r="J736" s="1"/>
    </row>
    <row r="737" spans="1:10" x14ac:dyDescent="0.3">
      <c r="A737" t="str">
        <f t="shared" si="22"/>
        <v>FT%</v>
      </c>
      <c r="B737">
        <f t="shared" si="23"/>
        <v>7915</v>
      </c>
      <c r="D737" s="1"/>
      <c r="E737" s="1" t="s">
        <v>103</v>
      </c>
      <c r="F737" s="1">
        <v>250</v>
      </c>
      <c r="G737" s="1">
        <v>7</v>
      </c>
      <c r="H737" s="1">
        <v>69.7</v>
      </c>
      <c r="I737" s="1"/>
      <c r="J737" s="1"/>
    </row>
    <row r="738" spans="1:10" x14ac:dyDescent="0.3">
      <c r="A738" t="str">
        <f t="shared" si="22"/>
        <v>FT%</v>
      </c>
      <c r="B738">
        <f t="shared" si="23"/>
        <v>18815</v>
      </c>
      <c r="D738" s="1"/>
      <c r="E738" s="1" t="s">
        <v>424</v>
      </c>
      <c r="F738" s="1">
        <v>252</v>
      </c>
      <c r="G738" s="1">
        <v>9</v>
      </c>
      <c r="H738" s="1">
        <v>69.599999999999994</v>
      </c>
      <c r="I738" s="1"/>
      <c r="J738" s="1"/>
    </row>
    <row r="739" spans="1:10" x14ac:dyDescent="0.3">
      <c r="A739" t="str">
        <f t="shared" si="22"/>
        <v>FT%</v>
      </c>
      <c r="B739">
        <f t="shared" si="23"/>
        <v>12215</v>
      </c>
      <c r="D739" s="1"/>
      <c r="E739" s="1" t="s">
        <v>284</v>
      </c>
      <c r="F739" s="1">
        <v>254</v>
      </c>
      <c r="G739" s="1">
        <v>12</v>
      </c>
      <c r="H739" s="1">
        <v>69.599999999999994</v>
      </c>
      <c r="I739" s="1"/>
      <c r="J739" s="1"/>
    </row>
    <row r="740" spans="1:10" x14ac:dyDescent="0.3">
      <c r="A740" t="str">
        <f t="shared" si="22"/>
        <v>FT%</v>
      </c>
      <c r="B740">
        <f t="shared" si="23"/>
        <v>4515</v>
      </c>
      <c r="D740" s="1"/>
      <c r="E740" s="1" t="s">
        <v>84</v>
      </c>
      <c r="F740" s="1">
        <v>255</v>
      </c>
      <c r="G740" s="1">
        <v>11</v>
      </c>
      <c r="H740" s="1">
        <v>69.599999999999994</v>
      </c>
      <c r="I740" s="1"/>
      <c r="J740" s="1"/>
    </row>
    <row r="741" spans="1:10" x14ac:dyDescent="0.3">
      <c r="A741" t="str">
        <f t="shared" si="22"/>
        <v>FT%</v>
      </c>
      <c r="B741">
        <f t="shared" si="23"/>
        <v>2515</v>
      </c>
      <c r="D741" s="1"/>
      <c r="E741" s="1" t="s">
        <v>92</v>
      </c>
      <c r="F741" s="1">
        <v>260</v>
      </c>
      <c r="G741" s="1">
        <v>7</v>
      </c>
      <c r="H741" s="1">
        <v>69.400000000000006</v>
      </c>
      <c r="I741" s="1"/>
      <c r="J741" s="1"/>
    </row>
    <row r="742" spans="1:10" x14ac:dyDescent="0.3">
      <c r="A742" t="str">
        <f t="shared" si="22"/>
        <v>FT%</v>
      </c>
      <c r="B742">
        <f t="shared" si="23"/>
        <v>18715</v>
      </c>
      <c r="D742" s="1"/>
      <c r="E742" s="1" t="s">
        <v>427</v>
      </c>
      <c r="F742" s="1">
        <v>261</v>
      </c>
      <c r="G742" s="1">
        <v>5</v>
      </c>
      <c r="H742" s="1">
        <v>69.400000000000006</v>
      </c>
      <c r="I742" s="1"/>
      <c r="J742" s="1"/>
    </row>
    <row r="743" spans="1:10" x14ac:dyDescent="0.3">
      <c r="A743" t="str">
        <f t="shared" si="22"/>
        <v>FT%</v>
      </c>
      <c r="B743">
        <f t="shared" si="23"/>
        <v>4415</v>
      </c>
      <c r="D743" s="1"/>
      <c r="E743" s="1" t="s">
        <v>83</v>
      </c>
      <c r="F743" s="1">
        <v>270</v>
      </c>
      <c r="G743" s="1">
        <v>8</v>
      </c>
      <c r="H743" s="1">
        <v>69.3</v>
      </c>
      <c r="I743" s="1"/>
      <c r="J743" s="1"/>
    </row>
    <row r="744" spans="1:10" x14ac:dyDescent="0.3">
      <c r="A744" t="str">
        <f t="shared" si="22"/>
        <v>FT%</v>
      </c>
      <c r="B744">
        <f t="shared" si="23"/>
        <v>14515</v>
      </c>
      <c r="D744" s="1"/>
      <c r="E744" s="1" t="s">
        <v>402</v>
      </c>
      <c r="F744" s="1">
        <v>279</v>
      </c>
      <c r="G744" s="1">
        <v>12</v>
      </c>
      <c r="H744" s="1">
        <v>68.900000000000006</v>
      </c>
      <c r="I744" s="1"/>
      <c r="J744" s="1"/>
    </row>
    <row r="745" spans="1:10" x14ac:dyDescent="0.3">
      <c r="A745" t="str">
        <f t="shared" si="22"/>
        <v>FT%</v>
      </c>
      <c r="B745">
        <f t="shared" si="23"/>
        <v>19015</v>
      </c>
      <c r="D745" s="1"/>
      <c r="E745" s="1" t="s">
        <v>176</v>
      </c>
      <c r="F745" s="1">
        <v>294</v>
      </c>
      <c r="G745" s="1">
        <v>11</v>
      </c>
      <c r="H745" s="1">
        <v>68.2</v>
      </c>
      <c r="I745" s="1"/>
      <c r="J745" s="1"/>
    </row>
    <row r="746" spans="1:10" x14ac:dyDescent="0.3">
      <c r="A746" t="str">
        <f t="shared" si="22"/>
        <v>FT%</v>
      </c>
      <c r="B746">
        <f t="shared" si="23"/>
        <v>4315</v>
      </c>
      <c r="D746" s="1"/>
      <c r="E746" s="1" t="s">
        <v>125</v>
      </c>
      <c r="F746" s="1">
        <v>300</v>
      </c>
      <c r="G746" s="1">
        <v>12</v>
      </c>
      <c r="H746" s="1">
        <v>67.900000000000006</v>
      </c>
      <c r="I746" s="1"/>
      <c r="J746" s="1"/>
    </row>
    <row r="747" spans="1:10" x14ac:dyDescent="0.3">
      <c r="A747" t="str">
        <f t="shared" si="22"/>
        <v>FT%</v>
      </c>
      <c r="B747">
        <f t="shared" si="23"/>
        <v>615</v>
      </c>
      <c r="D747" s="1"/>
      <c r="E747" s="1" t="s">
        <v>100</v>
      </c>
      <c r="F747" s="1">
        <v>310</v>
      </c>
      <c r="G747" s="1">
        <v>11</v>
      </c>
      <c r="H747" s="1">
        <v>67</v>
      </c>
      <c r="I747" s="1"/>
      <c r="J747" s="1"/>
    </row>
    <row r="748" spans="1:10" x14ac:dyDescent="0.3">
      <c r="A748" t="str">
        <f t="shared" si="22"/>
        <v>FT%</v>
      </c>
      <c r="B748">
        <f t="shared" si="23"/>
        <v>11815</v>
      </c>
      <c r="D748" s="1"/>
      <c r="E748" s="1" t="s">
        <v>281</v>
      </c>
      <c r="F748" s="1">
        <v>318</v>
      </c>
      <c r="G748" s="1">
        <v>10</v>
      </c>
      <c r="H748" s="1">
        <v>66.400000000000006</v>
      </c>
      <c r="I748" s="1"/>
      <c r="J748" s="1"/>
    </row>
    <row r="749" spans="1:10" x14ac:dyDescent="0.3">
      <c r="A749" t="str">
        <f t="shared" si="22"/>
        <v>FT%</v>
      </c>
      <c r="B749">
        <f t="shared" si="23"/>
        <v>8415</v>
      </c>
      <c r="D749" s="1"/>
      <c r="E749" s="1" t="s">
        <v>109</v>
      </c>
      <c r="F749" s="1">
        <v>322</v>
      </c>
      <c r="G749" s="1">
        <v>7</v>
      </c>
      <c r="H749" s="1">
        <v>66.099999999999994</v>
      </c>
      <c r="I749" s="1"/>
      <c r="J749" s="1"/>
    </row>
    <row r="750" spans="1:10" x14ac:dyDescent="0.3">
      <c r="A750" t="str">
        <f t="shared" si="22"/>
        <v>FT%</v>
      </c>
      <c r="B750">
        <f t="shared" si="23"/>
        <v>18615</v>
      </c>
      <c r="D750" s="1"/>
      <c r="E750" s="1" t="s">
        <v>425</v>
      </c>
      <c r="F750" s="1">
        <v>323</v>
      </c>
      <c r="G750" s="1">
        <v>11</v>
      </c>
      <c r="H750" s="1">
        <v>66.099999999999994</v>
      </c>
      <c r="I750" s="1"/>
      <c r="J750" s="1"/>
    </row>
    <row r="751" spans="1:10" x14ac:dyDescent="0.3">
      <c r="A751" t="str">
        <f t="shared" si="22"/>
        <v>FT%</v>
      </c>
      <c r="B751">
        <f t="shared" si="23"/>
        <v>1615</v>
      </c>
      <c r="D751" s="1"/>
      <c r="E751" s="1" t="s">
        <v>137</v>
      </c>
      <c r="F751" s="1">
        <v>335</v>
      </c>
      <c r="G751" s="1">
        <v>14</v>
      </c>
      <c r="H751" s="1">
        <v>64.7</v>
      </c>
      <c r="I751" s="1"/>
      <c r="J751" s="1"/>
    </row>
    <row r="752" spans="1:10" x14ac:dyDescent="0.3">
      <c r="A752" t="str">
        <f t="shared" si="22"/>
        <v>FTPG</v>
      </c>
      <c r="B752">
        <f t="shared" si="23"/>
        <v>3617</v>
      </c>
      <c r="D752" s="1" t="s">
        <v>441</v>
      </c>
      <c r="E752" s="1" t="s">
        <v>129</v>
      </c>
      <c r="F752" s="1">
        <v>1</v>
      </c>
      <c r="G752" s="1">
        <v>1</v>
      </c>
      <c r="H752" s="1">
        <v>18.899999999999999</v>
      </c>
      <c r="I752" s="1" t="s">
        <v>129</v>
      </c>
      <c r="J752" s="1">
        <v>18.899999999999999</v>
      </c>
    </row>
    <row r="753" spans="1:10" x14ac:dyDescent="0.3">
      <c r="A753" t="str">
        <f t="shared" si="22"/>
        <v>FTPG</v>
      </c>
      <c r="B753">
        <f t="shared" si="23"/>
        <v>12017</v>
      </c>
      <c r="D753" s="1"/>
      <c r="E753" s="1" t="s">
        <v>135</v>
      </c>
      <c r="F753" s="1">
        <v>3</v>
      </c>
      <c r="G753" s="1">
        <v>1</v>
      </c>
      <c r="H753" s="1">
        <v>17.5</v>
      </c>
      <c r="I753" s="1"/>
      <c r="J753" s="1"/>
    </row>
    <row r="754" spans="1:10" x14ac:dyDescent="0.3">
      <c r="A754" t="str">
        <f t="shared" si="22"/>
        <v>FTPG</v>
      </c>
      <c r="B754">
        <f t="shared" si="23"/>
        <v>4617</v>
      </c>
      <c r="D754" s="1"/>
      <c r="E754" s="1" t="s">
        <v>101</v>
      </c>
      <c r="F754" s="1">
        <v>8</v>
      </c>
      <c r="G754" s="1">
        <v>2</v>
      </c>
      <c r="H754" s="1">
        <v>17</v>
      </c>
      <c r="I754" s="1"/>
      <c r="J754" s="1"/>
    </row>
    <row r="755" spans="1:10" x14ac:dyDescent="0.3">
      <c r="A755" t="str">
        <f t="shared" si="22"/>
        <v>FTPG</v>
      </c>
      <c r="B755">
        <f t="shared" si="23"/>
        <v>18317</v>
      </c>
      <c r="D755" s="1"/>
      <c r="E755" s="1" t="s">
        <v>423</v>
      </c>
      <c r="F755" s="1">
        <v>9</v>
      </c>
      <c r="G755" s="1">
        <v>1</v>
      </c>
      <c r="H755" s="1">
        <v>16.899999999999999</v>
      </c>
      <c r="I755" s="1"/>
      <c r="J755" s="1"/>
    </row>
    <row r="756" spans="1:10" x14ac:dyDescent="0.3">
      <c r="A756" t="str">
        <f t="shared" si="22"/>
        <v>FTPG</v>
      </c>
      <c r="B756">
        <f t="shared" si="23"/>
        <v>13317</v>
      </c>
      <c r="D756" s="1"/>
      <c r="E756" s="1" t="s">
        <v>291</v>
      </c>
      <c r="F756" s="1">
        <v>12</v>
      </c>
      <c r="G756" s="1">
        <v>1</v>
      </c>
      <c r="H756" s="1">
        <v>16.8</v>
      </c>
      <c r="I756" s="1"/>
      <c r="J756" s="1"/>
    </row>
    <row r="757" spans="1:10" x14ac:dyDescent="0.3">
      <c r="A757" t="str">
        <f t="shared" si="22"/>
        <v>FTPG</v>
      </c>
      <c r="B757">
        <f t="shared" si="23"/>
        <v>3717</v>
      </c>
      <c r="D757" s="1"/>
      <c r="E757" s="1" t="s">
        <v>115</v>
      </c>
      <c r="F757" s="1">
        <v>14</v>
      </c>
      <c r="G757" s="1">
        <v>2</v>
      </c>
      <c r="H757" s="1">
        <v>16.600000000000001</v>
      </c>
      <c r="I757" s="1"/>
      <c r="J757" s="1"/>
    </row>
    <row r="758" spans="1:10" x14ac:dyDescent="0.3">
      <c r="A758" t="str">
        <f t="shared" si="22"/>
        <v>FTPG</v>
      </c>
      <c r="B758">
        <f t="shared" si="23"/>
        <v>15217</v>
      </c>
      <c r="D758" s="1"/>
      <c r="E758" s="1" t="s">
        <v>426</v>
      </c>
      <c r="F758" s="1">
        <v>20</v>
      </c>
      <c r="G758" s="1">
        <v>2</v>
      </c>
      <c r="H758" s="1">
        <v>16.3</v>
      </c>
      <c r="I758" s="1"/>
      <c r="J758" s="1"/>
    </row>
    <row r="759" spans="1:10" x14ac:dyDescent="0.3">
      <c r="A759" t="str">
        <f t="shared" si="22"/>
        <v>FTPG</v>
      </c>
      <c r="B759">
        <f t="shared" si="23"/>
        <v>6817</v>
      </c>
      <c r="D759" s="1"/>
      <c r="E759" s="1" t="s">
        <v>248</v>
      </c>
      <c r="F759" s="1">
        <v>21</v>
      </c>
      <c r="G759" s="1">
        <v>1</v>
      </c>
      <c r="H759" s="1">
        <v>16.100000000000001</v>
      </c>
      <c r="I759" s="1"/>
      <c r="J759" s="1"/>
    </row>
    <row r="760" spans="1:10" x14ac:dyDescent="0.3">
      <c r="A760" t="str">
        <f t="shared" si="22"/>
        <v>FTPG</v>
      </c>
      <c r="B760">
        <f t="shared" si="23"/>
        <v>6617</v>
      </c>
      <c r="D760" s="1"/>
      <c r="E760" s="1" t="s">
        <v>247</v>
      </c>
      <c r="F760" s="1">
        <v>27</v>
      </c>
      <c r="G760" s="1">
        <v>2</v>
      </c>
      <c r="H760" s="1">
        <v>15.9</v>
      </c>
      <c r="I760" s="1"/>
      <c r="J760" s="1"/>
    </row>
    <row r="761" spans="1:10" x14ac:dyDescent="0.3">
      <c r="A761" t="str">
        <f t="shared" si="22"/>
        <v>FTPG</v>
      </c>
      <c r="B761">
        <f t="shared" si="23"/>
        <v>3217</v>
      </c>
      <c r="D761" s="1"/>
      <c r="E761" s="1" t="s">
        <v>127</v>
      </c>
      <c r="F761" s="1">
        <v>28</v>
      </c>
      <c r="G761" s="1">
        <v>2</v>
      </c>
      <c r="H761" s="1">
        <v>15.8</v>
      </c>
      <c r="I761" s="1"/>
      <c r="J761" s="1"/>
    </row>
    <row r="762" spans="1:10" x14ac:dyDescent="0.3">
      <c r="A762" t="str">
        <f t="shared" si="22"/>
        <v>FTPG</v>
      </c>
      <c r="B762">
        <f t="shared" si="23"/>
        <v>8117</v>
      </c>
      <c r="D762" s="1"/>
      <c r="E762" s="1" t="s">
        <v>256</v>
      </c>
      <c r="F762" s="1">
        <v>30</v>
      </c>
      <c r="G762" s="1">
        <v>4</v>
      </c>
      <c r="H762" s="1">
        <v>15.7</v>
      </c>
      <c r="I762" s="1"/>
      <c r="J762" s="1"/>
    </row>
    <row r="763" spans="1:10" x14ac:dyDescent="0.3">
      <c r="A763" t="str">
        <f t="shared" si="22"/>
        <v>FTPG</v>
      </c>
      <c r="B763">
        <f t="shared" si="23"/>
        <v>717</v>
      </c>
      <c r="D763" s="1"/>
      <c r="E763" s="1" t="s">
        <v>319</v>
      </c>
      <c r="F763" s="1">
        <v>32</v>
      </c>
      <c r="G763" s="1">
        <v>3</v>
      </c>
      <c r="H763" s="1">
        <v>15.6</v>
      </c>
      <c r="I763" s="1"/>
      <c r="J763" s="1"/>
    </row>
    <row r="764" spans="1:10" x14ac:dyDescent="0.3">
      <c r="A764" t="str">
        <f t="shared" si="22"/>
        <v>FTPG</v>
      </c>
      <c r="B764">
        <f t="shared" si="23"/>
        <v>12217</v>
      </c>
      <c r="D764" s="1"/>
      <c r="E764" s="1" t="s">
        <v>284</v>
      </c>
      <c r="F764" s="1">
        <v>35</v>
      </c>
      <c r="G764" s="1">
        <v>3</v>
      </c>
      <c r="H764" s="1">
        <v>15.4</v>
      </c>
      <c r="I764" s="1"/>
      <c r="J764" s="1"/>
    </row>
    <row r="765" spans="1:10" x14ac:dyDescent="0.3">
      <c r="A765" t="str">
        <f t="shared" si="22"/>
        <v>FTPG</v>
      </c>
      <c r="B765">
        <f t="shared" si="23"/>
        <v>11517</v>
      </c>
      <c r="D765" s="1"/>
      <c r="E765" s="1" t="s">
        <v>97</v>
      </c>
      <c r="F765" s="1">
        <v>36</v>
      </c>
      <c r="G765" s="1">
        <v>1</v>
      </c>
      <c r="H765" s="1">
        <v>15.4</v>
      </c>
      <c r="I765" s="1"/>
      <c r="J765" s="1"/>
    </row>
    <row r="766" spans="1:10" x14ac:dyDescent="0.3">
      <c r="A766" t="str">
        <f t="shared" si="22"/>
        <v>FTPG</v>
      </c>
      <c r="B766">
        <f t="shared" si="23"/>
        <v>3017</v>
      </c>
      <c r="D766" s="1"/>
      <c r="E766" s="1" t="s">
        <v>89</v>
      </c>
      <c r="F766" s="1">
        <v>37</v>
      </c>
      <c r="G766" s="1">
        <v>1</v>
      </c>
      <c r="H766" s="1">
        <v>15.3</v>
      </c>
      <c r="I766" s="1"/>
      <c r="J766" s="1"/>
    </row>
    <row r="767" spans="1:10" x14ac:dyDescent="0.3">
      <c r="A767" t="str">
        <f t="shared" si="22"/>
        <v>FTPG</v>
      </c>
      <c r="B767">
        <f t="shared" si="23"/>
        <v>18717</v>
      </c>
      <c r="D767" s="1"/>
      <c r="E767" s="1" t="s">
        <v>427</v>
      </c>
      <c r="F767" s="1">
        <v>37</v>
      </c>
      <c r="G767" s="1">
        <v>2</v>
      </c>
      <c r="H767" s="1">
        <v>15.3</v>
      </c>
      <c r="I767" s="1"/>
      <c r="J767" s="1"/>
    </row>
    <row r="768" spans="1:10" x14ac:dyDescent="0.3">
      <c r="A768" t="str">
        <f t="shared" si="22"/>
        <v>FTPG</v>
      </c>
      <c r="B768">
        <f t="shared" si="23"/>
        <v>2917</v>
      </c>
      <c r="D768" s="1"/>
      <c r="E768" s="1" t="s">
        <v>96</v>
      </c>
      <c r="F768" s="1">
        <v>43</v>
      </c>
      <c r="G768" s="1">
        <v>1</v>
      </c>
      <c r="H768" s="1">
        <v>15</v>
      </c>
      <c r="I768" s="1"/>
      <c r="J768" s="1"/>
    </row>
    <row r="769" spans="1:10" x14ac:dyDescent="0.3">
      <c r="A769" t="str">
        <f t="shared" si="22"/>
        <v>FTPG</v>
      </c>
      <c r="B769">
        <f t="shared" si="23"/>
        <v>5217</v>
      </c>
      <c r="D769" s="1"/>
      <c r="E769" s="1" t="s">
        <v>241</v>
      </c>
      <c r="F769" s="1">
        <v>43</v>
      </c>
      <c r="G769" s="1">
        <v>2</v>
      </c>
      <c r="H769" s="1">
        <v>15</v>
      </c>
      <c r="I769" s="1"/>
      <c r="J769" s="1"/>
    </row>
    <row r="770" spans="1:10" x14ac:dyDescent="0.3">
      <c r="A770" t="str">
        <f t="shared" ref="A770:A833" si="24">IF(NOT(D770=""),INDEX(statAbbr,MATCH(D770,statOfficial,0),1),A769)</f>
        <v>FTPG</v>
      </c>
      <c r="B770">
        <f t="shared" ref="B770:B833" si="25">INDEX(statID,MATCH(A770,statAbbr,0),1)+INDEX(teamID,MATCH(E770,teamRawName,0))</f>
        <v>19117</v>
      </c>
      <c r="D770" s="1"/>
      <c r="E770" s="1" t="s">
        <v>421</v>
      </c>
      <c r="F770" s="1">
        <v>45</v>
      </c>
      <c r="G770" s="1">
        <v>2</v>
      </c>
      <c r="H770" s="1">
        <v>15</v>
      </c>
      <c r="I770" s="1"/>
      <c r="J770" s="1"/>
    </row>
    <row r="771" spans="1:10" x14ac:dyDescent="0.3">
      <c r="A771" t="str">
        <f t="shared" si="24"/>
        <v>FTPG</v>
      </c>
      <c r="B771">
        <f t="shared" si="25"/>
        <v>4517</v>
      </c>
      <c r="D771" s="1"/>
      <c r="E771" s="1" t="s">
        <v>84</v>
      </c>
      <c r="F771" s="1">
        <v>55</v>
      </c>
      <c r="G771" s="1">
        <v>5</v>
      </c>
      <c r="H771" s="1">
        <v>14.8</v>
      </c>
      <c r="I771" s="1"/>
      <c r="J771" s="1"/>
    </row>
    <row r="772" spans="1:10" x14ac:dyDescent="0.3">
      <c r="A772" t="str">
        <f t="shared" si="24"/>
        <v>FTPG</v>
      </c>
      <c r="B772">
        <f t="shared" si="25"/>
        <v>1417</v>
      </c>
      <c r="D772" s="1"/>
      <c r="E772" s="1" t="s">
        <v>102</v>
      </c>
      <c r="F772" s="1">
        <v>56</v>
      </c>
      <c r="G772" s="1">
        <v>4</v>
      </c>
      <c r="H772" s="1">
        <v>14.8</v>
      </c>
      <c r="I772" s="1"/>
      <c r="J772" s="1"/>
    </row>
    <row r="773" spans="1:10" x14ac:dyDescent="0.3">
      <c r="A773" t="str">
        <f t="shared" si="24"/>
        <v>FTPG</v>
      </c>
      <c r="B773">
        <f t="shared" si="25"/>
        <v>5617</v>
      </c>
      <c r="D773" s="1"/>
      <c r="E773" s="1" t="s">
        <v>62</v>
      </c>
      <c r="F773" s="1">
        <v>67</v>
      </c>
      <c r="G773" s="1">
        <v>4</v>
      </c>
      <c r="H773" s="1">
        <v>14.5</v>
      </c>
      <c r="I773" s="1"/>
      <c r="J773" s="1"/>
    </row>
    <row r="774" spans="1:10" x14ac:dyDescent="0.3">
      <c r="A774" t="str">
        <f t="shared" si="24"/>
        <v>FTPG</v>
      </c>
      <c r="B774">
        <f t="shared" si="25"/>
        <v>19017</v>
      </c>
      <c r="D774" s="1"/>
      <c r="E774" s="1" t="s">
        <v>176</v>
      </c>
      <c r="F774" s="1">
        <v>70</v>
      </c>
      <c r="G774" s="1">
        <v>2</v>
      </c>
      <c r="H774" s="1">
        <v>14.4</v>
      </c>
      <c r="I774" s="1"/>
      <c r="J774" s="1"/>
    </row>
    <row r="775" spans="1:10" x14ac:dyDescent="0.3">
      <c r="A775" t="str">
        <f t="shared" si="24"/>
        <v>FTPG</v>
      </c>
      <c r="B775">
        <f t="shared" si="25"/>
        <v>5317</v>
      </c>
      <c r="D775" s="1"/>
      <c r="E775" s="1" t="s">
        <v>242</v>
      </c>
      <c r="F775" s="1">
        <v>71</v>
      </c>
      <c r="G775" s="1">
        <v>2</v>
      </c>
      <c r="H775" s="1">
        <v>14.4</v>
      </c>
      <c r="I775" s="1"/>
      <c r="J775" s="1"/>
    </row>
    <row r="776" spans="1:10" x14ac:dyDescent="0.3">
      <c r="A776" t="str">
        <f t="shared" si="24"/>
        <v>FTPG</v>
      </c>
      <c r="B776">
        <f t="shared" si="25"/>
        <v>4417</v>
      </c>
      <c r="D776" s="1"/>
      <c r="E776" s="1" t="s">
        <v>83</v>
      </c>
      <c r="F776" s="1">
        <v>73</v>
      </c>
      <c r="G776" s="1">
        <v>3</v>
      </c>
      <c r="H776" s="1">
        <v>14.4</v>
      </c>
      <c r="I776" s="1"/>
      <c r="J776" s="1"/>
    </row>
    <row r="777" spans="1:10" x14ac:dyDescent="0.3">
      <c r="A777" t="str">
        <f t="shared" si="24"/>
        <v>FTPG</v>
      </c>
      <c r="B777">
        <f t="shared" si="25"/>
        <v>5817</v>
      </c>
      <c r="D777" s="1"/>
      <c r="E777" s="1" t="s">
        <v>139</v>
      </c>
      <c r="F777" s="1">
        <v>74</v>
      </c>
      <c r="G777" s="1">
        <v>5</v>
      </c>
      <c r="H777" s="1">
        <v>14.4</v>
      </c>
      <c r="I777" s="1"/>
      <c r="J777" s="1"/>
    </row>
    <row r="778" spans="1:10" x14ac:dyDescent="0.3">
      <c r="A778" t="str">
        <f t="shared" si="24"/>
        <v>FTPG</v>
      </c>
      <c r="B778">
        <f t="shared" si="25"/>
        <v>117</v>
      </c>
      <c r="D778" s="1"/>
      <c r="E778" s="1" t="s">
        <v>312</v>
      </c>
      <c r="F778" s="1">
        <v>75</v>
      </c>
      <c r="G778" s="1">
        <v>3</v>
      </c>
      <c r="H778" s="1">
        <v>14.4</v>
      </c>
      <c r="I778" s="1"/>
      <c r="J778" s="1"/>
    </row>
    <row r="779" spans="1:10" x14ac:dyDescent="0.3">
      <c r="A779" t="str">
        <f t="shared" si="24"/>
        <v>FTPG</v>
      </c>
      <c r="B779">
        <f t="shared" si="25"/>
        <v>2417</v>
      </c>
      <c r="D779" s="1"/>
      <c r="E779" s="1" t="s">
        <v>330</v>
      </c>
      <c r="F779" s="1">
        <v>90</v>
      </c>
      <c r="G779" s="1">
        <v>2</v>
      </c>
      <c r="H779" s="1">
        <v>14.1</v>
      </c>
      <c r="I779" s="1"/>
      <c r="J779" s="1"/>
    </row>
    <row r="780" spans="1:10" x14ac:dyDescent="0.3">
      <c r="A780" t="str">
        <f t="shared" si="24"/>
        <v>FTPG</v>
      </c>
      <c r="B780">
        <f t="shared" si="25"/>
        <v>2317</v>
      </c>
      <c r="D780" s="1"/>
      <c r="E780" s="1" t="s">
        <v>79</v>
      </c>
      <c r="F780" s="1">
        <v>93</v>
      </c>
      <c r="G780" s="1">
        <v>3</v>
      </c>
      <c r="H780" s="1">
        <v>14</v>
      </c>
      <c r="I780" s="1"/>
      <c r="J780" s="1"/>
    </row>
    <row r="781" spans="1:10" x14ac:dyDescent="0.3">
      <c r="A781" t="str">
        <f t="shared" si="24"/>
        <v>FTPG</v>
      </c>
      <c r="B781">
        <f t="shared" si="25"/>
        <v>8817</v>
      </c>
      <c r="D781" s="1"/>
      <c r="E781" s="1" t="s">
        <v>141</v>
      </c>
      <c r="F781" s="1">
        <v>105</v>
      </c>
      <c r="G781" s="1">
        <v>4</v>
      </c>
      <c r="H781" s="1">
        <v>13.8</v>
      </c>
      <c r="I781" s="1"/>
      <c r="J781" s="1"/>
    </row>
    <row r="782" spans="1:10" x14ac:dyDescent="0.3">
      <c r="A782" t="str">
        <f t="shared" si="24"/>
        <v>FTPG</v>
      </c>
      <c r="B782">
        <f t="shared" si="25"/>
        <v>11117</v>
      </c>
      <c r="D782" s="1"/>
      <c r="E782" s="1" t="s">
        <v>277</v>
      </c>
      <c r="F782" s="1">
        <v>108</v>
      </c>
      <c r="G782" s="1">
        <v>3</v>
      </c>
      <c r="H782" s="1">
        <v>13.8</v>
      </c>
      <c r="I782" s="1"/>
      <c r="J782" s="1"/>
    </row>
    <row r="783" spans="1:10" x14ac:dyDescent="0.3">
      <c r="A783" t="str">
        <f t="shared" si="24"/>
        <v>FTPG</v>
      </c>
      <c r="B783">
        <f t="shared" si="25"/>
        <v>6717</v>
      </c>
      <c r="D783" s="1"/>
      <c r="E783" s="1" t="s">
        <v>118</v>
      </c>
      <c r="F783" s="1">
        <v>111</v>
      </c>
      <c r="G783" s="1">
        <v>6</v>
      </c>
      <c r="H783" s="1">
        <v>13.8</v>
      </c>
      <c r="I783" s="1"/>
      <c r="J783" s="1"/>
    </row>
    <row r="784" spans="1:10" x14ac:dyDescent="0.3">
      <c r="A784" t="str">
        <f t="shared" si="24"/>
        <v>FTPG</v>
      </c>
      <c r="B784">
        <f t="shared" si="25"/>
        <v>4317</v>
      </c>
      <c r="D784" s="1"/>
      <c r="E784" s="1" t="s">
        <v>125</v>
      </c>
      <c r="F784" s="1">
        <v>112</v>
      </c>
      <c r="G784" s="1">
        <v>4</v>
      </c>
      <c r="H784" s="1">
        <v>13.7</v>
      </c>
      <c r="I784" s="1"/>
      <c r="J784" s="1"/>
    </row>
    <row r="785" spans="1:10" x14ac:dyDescent="0.3">
      <c r="A785" t="str">
        <f t="shared" si="24"/>
        <v>FTPG</v>
      </c>
      <c r="B785">
        <f t="shared" si="25"/>
        <v>18617</v>
      </c>
      <c r="D785" s="1"/>
      <c r="E785" s="1" t="s">
        <v>425</v>
      </c>
      <c r="F785" s="1">
        <v>116</v>
      </c>
      <c r="G785" s="1">
        <v>1</v>
      </c>
      <c r="H785" s="1">
        <v>13.7</v>
      </c>
      <c r="I785" s="1"/>
      <c r="J785" s="1"/>
    </row>
    <row r="786" spans="1:10" x14ac:dyDescent="0.3">
      <c r="A786" t="str">
        <f t="shared" si="24"/>
        <v>FTPG</v>
      </c>
      <c r="B786">
        <f t="shared" si="25"/>
        <v>1217</v>
      </c>
      <c r="D786" s="1"/>
      <c r="E786" s="1" t="s">
        <v>130</v>
      </c>
      <c r="F786" s="1">
        <v>118</v>
      </c>
      <c r="G786" s="1">
        <v>5</v>
      </c>
      <c r="H786" s="1">
        <v>13.6</v>
      </c>
      <c r="I786" s="1"/>
      <c r="J786" s="1"/>
    </row>
    <row r="787" spans="1:10" x14ac:dyDescent="0.3">
      <c r="A787" t="str">
        <f t="shared" si="24"/>
        <v>FTPG</v>
      </c>
      <c r="B787">
        <f t="shared" si="25"/>
        <v>13417</v>
      </c>
      <c r="D787" s="1"/>
      <c r="E787" s="1" t="s">
        <v>400</v>
      </c>
      <c r="F787" s="1">
        <v>119</v>
      </c>
      <c r="G787" s="1">
        <v>9</v>
      </c>
      <c r="H787" s="1">
        <v>13.6</v>
      </c>
      <c r="I787" s="1"/>
      <c r="J787" s="1"/>
    </row>
    <row r="788" spans="1:10" x14ac:dyDescent="0.3">
      <c r="A788" t="str">
        <f t="shared" si="24"/>
        <v>FTPG</v>
      </c>
      <c r="B788">
        <f t="shared" si="25"/>
        <v>7417</v>
      </c>
      <c r="D788" s="1"/>
      <c r="E788" s="1" t="s">
        <v>251</v>
      </c>
      <c r="F788" s="1">
        <v>120</v>
      </c>
      <c r="G788" s="1">
        <v>4</v>
      </c>
      <c r="H788" s="1">
        <v>13.6</v>
      </c>
      <c r="I788" s="1"/>
      <c r="J788" s="1"/>
    </row>
    <row r="789" spans="1:10" x14ac:dyDescent="0.3">
      <c r="A789" t="str">
        <f t="shared" si="24"/>
        <v>FTPG</v>
      </c>
      <c r="B789">
        <f t="shared" si="25"/>
        <v>5517</v>
      </c>
      <c r="D789" s="1"/>
      <c r="E789" s="1" t="s">
        <v>86</v>
      </c>
      <c r="F789" s="1">
        <v>123</v>
      </c>
      <c r="G789" s="1">
        <v>8</v>
      </c>
      <c r="H789" s="1">
        <v>13.6</v>
      </c>
      <c r="I789" s="1"/>
      <c r="J789" s="1"/>
    </row>
    <row r="790" spans="1:10" x14ac:dyDescent="0.3">
      <c r="A790" t="str">
        <f t="shared" si="24"/>
        <v>FTPG</v>
      </c>
      <c r="B790">
        <f t="shared" si="25"/>
        <v>11817</v>
      </c>
      <c r="D790" s="1"/>
      <c r="E790" s="1" t="s">
        <v>281</v>
      </c>
      <c r="F790" s="1">
        <v>130</v>
      </c>
      <c r="G790" s="1">
        <v>6</v>
      </c>
      <c r="H790" s="1">
        <v>13.5</v>
      </c>
      <c r="I790" s="1"/>
      <c r="J790" s="1"/>
    </row>
    <row r="791" spans="1:10" x14ac:dyDescent="0.3">
      <c r="A791" t="str">
        <f t="shared" si="24"/>
        <v>FTPG</v>
      </c>
      <c r="B791">
        <f t="shared" si="25"/>
        <v>18917</v>
      </c>
      <c r="D791" s="1"/>
      <c r="E791" s="1" t="s">
        <v>422</v>
      </c>
      <c r="F791" s="1">
        <v>136</v>
      </c>
      <c r="G791" s="1">
        <v>6</v>
      </c>
      <c r="H791" s="1">
        <v>13.4</v>
      </c>
      <c r="I791" s="1"/>
      <c r="J791" s="1"/>
    </row>
    <row r="792" spans="1:10" x14ac:dyDescent="0.3">
      <c r="A792" t="str">
        <f t="shared" si="24"/>
        <v>FTPG</v>
      </c>
      <c r="B792">
        <f t="shared" si="25"/>
        <v>5417</v>
      </c>
      <c r="D792" s="1"/>
      <c r="E792" s="1" t="s">
        <v>94</v>
      </c>
      <c r="F792" s="1">
        <v>145</v>
      </c>
      <c r="G792" s="1">
        <v>7</v>
      </c>
      <c r="H792" s="1">
        <v>13.2</v>
      </c>
      <c r="I792" s="1"/>
      <c r="J792" s="1"/>
    </row>
    <row r="793" spans="1:10" x14ac:dyDescent="0.3">
      <c r="A793" t="str">
        <f t="shared" si="24"/>
        <v>FTPG</v>
      </c>
      <c r="B793">
        <f t="shared" si="25"/>
        <v>14117</v>
      </c>
      <c r="D793" s="1"/>
      <c r="E793" s="1" t="s">
        <v>299</v>
      </c>
      <c r="F793" s="1">
        <v>146</v>
      </c>
      <c r="G793" s="1">
        <v>10</v>
      </c>
      <c r="H793" s="1">
        <v>13.2</v>
      </c>
      <c r="I793" s="1"/>
      <c r="J793" s="1"/>
    </row>
    <row r="794" spans="1:10" x14ac:dyDescent="0.3">
      <c r="A794" t="str">
        <f t="shared" si="24"/>
        <v>FTPG</v>
      </c>
      <c r="B794">
        <f t="shared" si="25"/>
        <v>2617</v>
      </c>
      <c r="D794" s="1"/>
      <c r="E794" s="1" t="s">
        <v>80</v>
      </c>
      <c r="F794" s="1">
        <v>153</v>
      </c>
      <c r="G794" s="1">
        <v>8</v>
      </c>
      <c r="H794" s="1">
        <v>13.1</v>
      </c>
      <c r="I794" s="1"/>
      <c r="J794" s="1"/>
    </row>
    <row r="795" spans="1:10" x14ac:dyDescent="0.3">
      <c r="A795" t="str">
        <f t="shared" si="24"/>
        <v>FTPG</v>
      </c>
      <c r="B795">
        <f t="shared" si="25"/>
        <v>3117</v>
      </c>
      <c r="D795" s="1"/>
      <c r="E795" s="1" t="s">
        <v>93</v>
      </c>
      <c r="F795" s="1">
        <v>158</v>
      </c>
      <c r="G795" s="1">
        <v>6</v>
      </c>
      <c r="H795" s="1">
        <v>13</v>
      </c>
      <c r="I795" s="1"/>
      <c r="J795" s="1"/>
    </row>
    <row r="796" spans="1:10" x14ac:dyDescent="0.3">
      <c r="A796" t="str">
        <f t="shared" si="24"/>
        <v>FTPG</v>
      </c>
      <c r="B796">
        <f t="shared" si="25"/>
        <v>6217</v>
      </c>
      <c r="D796" s="1"/>
      <c r="E796" s="1" t="s">
        <v>81</v>
      </c>
      <c r="F796" s="1">
        <v>158</v>
      </c>
      <c r="G796" s="1">
        <v>5</v>
      </c>
      <c r="H796" s="1">
        <v>13</v>
      </c>
      <c r="I796" s="1"/>
      <c r="J796" s="1"/>
    </row>
    <row r="797" spans="1:10" x14ac:dyDescent="0.3">
      <c r="A797" t="str">
        <f t="shared" si="24"/>
        <v>FTPG</v>
      </c>
      <c r="B797">
        <f t="shared" si="25"/>
        <v>8617</v>
      </c>
      <c r="D797" s="1"/>
      <c r="E797" s="1" t="s">
        <v>259</v>
      </c>
      <c r="F797" s="1">
        <v>165</v>
      </c>
      <c r="G797" s="1">
        <v>4</v>
      </c>
      <c r="H797" s="1">
        <v>12.9</v>
      </c>
      <c r="I797" s="1"/>
      <c r="J797" s="1"/>
    </row>
    <row r="798" spans="1:10" x14ac:dyDescent="0.3">
      <c r="A798" t="str">
        <f t="shared" si="24"/>
        <v>FTPG</v>
      </c>
      <c r="B798">
        <f t="shared" si="25"/>
        <v>14517</v>
      </c>
      <c r="D798" s="1"/>
      <c r="E798" s="1" t="s">
        <v>402</v>
      </c>
      <c r="F798" s="1">
        <v>167</v>
      </c>
      <c r="G798" s="1">
        <v>5</v>
      </c>
      <c r="H798" s="1">
        <v>12.9</v>
      </c>
      <c r="I798" s="1"/>
      <c r="J798" s="1"/>
    </row>
    <row r="799" spans="1:10" x14ac:dyDescent="0.3">
      <c r="A799" t="str">
        <f t="shared" si="24"/>
        <v>FTPG</v>
      </c>
      <c r="B799">
        <f t="shared" si="25"/>
        <v>3417</v>
      </c>
      <c r="D799" s="1"/>
      <c r="E799" s="1" t="s">
        <v>237</v>
      </c>
      <c r="F799" s="1">
        <v>174</v>
      </c>
      <c r="G799" s="1">
        <v>1</v>
      </c>
      <c r="H799" s="1">
        <v>12.8</v>
      </c>
      <c r="I799" s="1"/>
      <c r="J799" s="1"/>
    </row>
    <row r="800" spans="1:10" x14ac:dyDescent="0.3">
      <c r="A800" t="str">
        <f t="shared" si="24"/>
        <v>FTPG</v>
      </c>
      <c r="B800">
        <f t="shared" si="25"/>
        <v>3917</v>
      </c>
      <c r="D800" s="1"/>
      <c r="E800" s="1" t="s">
        <v>88</v>
      </c>
      <c r="F800" s="1">
        <v>179</v>
      </c>
      <c r="G800" s="1">
        <v>9</v>
      </c>
      <c r="H800" s="1">
        <v>12.8</v>
      </c>
      <c r="I800" s="1"/>
      <c r="J800" s="1"/>
    </row>
    <row r="801" spans="1:10" x14ac:dyDescent="0.3">
      <c r="A801" t="str">
        <f t="shared" si="24"/>
        <v>FTPG</v>
      </c>
      <c r="B801">
        <f t="shared" si="25"/>
        <v>18417</v>
      </c>
      <c r="D801" s="1"/>
      <c r="E801" s="1" t="s">
        <v>417</v>
      </c>
      <c r="F801" s="1">
        <v>182</v>
      </c>
      <c r="G801" s="1">
        <v>2</v>
      </c>
      <c r="H801" s="1">
        <v>12.7</v>
      </c>
      <c r="I801" s="1"/>
      <c r="J801" s="1"/>
    </row>
    <row r="802" spans="1:10" x14ac:dyDescent="0.3">
      <c r="A802" t="str">
        <f t="shared" si="24"/>
        <v>FTPG</v>
      </c>
      <c r="B802">
        <f t="shared" si="25"/>
        <v>2117</v>
      </c>
      <c r="D802" s="1"/>
      <c r="E802" s="1" t="s">
        <v>136</v>
      </c>
      <c r="F802" s="1">
        <v>188</v>
      </c>
      <c r="G802" s="1">
        <v>7</v>
      </c>
      <c r="H802" s="1">
        <v>12.6</v>
      </c>
      <c r="I802" s="1"/>
      <c r="J802" s="1"/>
    </row>
    <row r="803" spans="1:10" x14ac:dyDescent="0.3">
      <c r="A803" t="str">
        <f t="shared" si="24"/>
        <v>FTPG</v>
      </c>
      <c r="B803">
        <f t="shared" si="25"/>
        <v>3517</v>
      </c>
      <c r="D803" s="1"/>
      <c r="E803" s="1" t="s">
        <v>87</v>
      </c>
      <c r="F803" s="1">
        <v>189</v>
      </c>
      <c r="G803" s="1">
        <v>11</v>
      </c>
      <c r="H803" s="1">
        <v>12.6</v>
      </c>
      <c r="I803" s="1"/>
      <c r="J803" s="1"/>
    </row>
    <row r="804" spans="1:10" x14ac:dyDescent="0.3">
      <c r="A804" t="str">
        <f t="shared" si="24"/>
        <v>FTPG</v>
      </c>
      <c r="B804">
        <f t="shared" si="25"/>
        <v>2217</v>
      </c>
      <c r="D804" s="1"/>
      <c r="E804" s="1" t="s">
        <v>119</v>
      </c>
      <c r="F804" s="1">
        <v>192</v>
      </c>
      <c r="G804" s="1">
        <v>6</v>
      </c>
      <c r="H804" s="1">
        <v>12.6</v>
      </c>
      <c r="I804" s="1"/>
      <c r="J804" s="1"/>
    </row>
    <row r="805" spans="1:10" x14ac:dyDescent="0.3">
      <c r="A805" t="str">
        <f t="shared" si="24"/>
        <v>FTPG</v>
      </c>
      <c r="B805">
        <f t="shared" si="25"/>
        <v>2817</v>
      </c>
      <c r="D805" s="1"/>
      <c r="E805" s="1" t="s">
        <v>106</v>
      </c>
      <c r="F805" s="1">
        <v>196</v>
      </c>
      <c r="G805" s="1">
        <v>8</v>
      </c>
      <c r="H805" s="1">
        <v>12.6</v>
      </c>
      <c r="I805" s="1"/>
      <c r="J805" s="1"/>
    </row>
    <row r="806" spans="1:10" x14ac:dyDescent="0.3">
      <c r="A806" t="str">
        <f t="shared" si="24"/>
        <v>FTPG</v>
      </c>
      <c r="B806">
        <f t="shared" si="25"/>
        <v>1617</v>
      </c>
      <c r="D806" s="1"/>
      <c r="E806" s="1" t="s">
        <v>137</v>
      </c>
      <c r="F806" s="1">
        <v>199</v>
      </c>
      <c r="G806" s="1">
        <v>12</v>
      </c>
      <c r="H806" s="1">
        <v>12.5</v>
      </c>
      <c r="I806" s="1"/>
      <c r="J806" s="1"/>
    </row>
    <row r="807" spans="1:10" x14ac:dyDescent="0.3">
      <c r="A807" t="str">
        <f t="shared" si="24"/>
        <v>FTPG</v>
      </c>
      <c r="B807">
        <f t="shared" si="25"/>
        <v>9517</v>
      </c>
      <c r="D807" s="1"/>
      <c r="E807" s="1" t="s">
        <v>85</v>
      </c>
      <c r="F807" s="1">
        <v>200</v>
      </c>
      <c r="G807" s="1">
        <v>5</v>
      </c>
      <c r="H807" s="1">
        <v>12.4</v>
      </c>
      <c r="I807" s="1"/>
      <c r="J807" s="1"/>
    </row>
    <row r="808" spans="1:10" x14ac:dyDescent="0.3">
      <c r="A808" t="str">
        <f t="shared" si="24"/>
        <v>FTPG</v>
      </c>
      <c r="B808">
        <f t="shared" si="25"/>
        <v>2517</v>
      </c>
      <c r="D808" s="1"/>
      <c r="E808" s="1" t="s">
        <v>92</v>
      </c>
      <c r="F808" s="1">
        <v>206</v>
      </c>
      <c r="G808" s="1">
        <v>7</v>
      </c>
      <c r="H808" s="1">
        <v>12.4</v>
      </c>
      <c r="I808" s="1"/>
      <c r="J808" s="1"/>
    </row>
    <row r="809" spans="1:10" x14ac:dyDescent="0.3">
      <c r="A809" t="str">
        <f t="shared" si="24"/>
        <v>FTPG</v>
      </c>
      <c r="B809">
        <f t="shared" si="25"/>
        <v>9417</v>
      </c>
      <c r="D809" s="1"/>
      <c r="E809" s="1" t="s">
        <v>264</v>
      </c>
      <c r="F809" s="1">
        <v>217</v>
      </c>
      <c r="G809" s="1">
        <v>7</v>
      </c>
      <c r="H809" s="1">
        <v>12.2</v>
      </c>
      <c r="I809" s="1"/>
      <c r="J809" s="1"/>
    </row>
    <row r="810" spans="1:10" x14ac:dyDescent="0.3">
      <c r="A810" t="str">
        <f t="shared" si="24"/>
        <v>FTPG</v>
      </c>
      <c r="B810">
        <f t="shared" si="25"/>
        <v>9017</v>
      </c>
      <c r="D810" s="1"/>
      <c r="E810" s="1" t="s">
        <v>261</v>
      </c>
      <c r="F810" s="1">
        <v>225</v>
      </c>
      <c r="G810" s="1">
        <v>8</v>
      </c>
      <c r="H810" s="1">
        <v>12.2</v>
      </c>
      <c r="I810" s="1"/>
      <c r="J810" s="1"/>
    </row>
    <row r="811" spans="1:10" x14ac:dyDescent="0.3">
      <c r="A811" t="str">
        <f t="shared" si="24"/>
        <v>FTPG</v>
      </c>
      <c r="B811">
        <f t="shared" si="25"/>
        <v>18517</v>
      </c>
      <c r="D811" s="1"/>
      <c r="E811" s="1" t="s">
        <v>420</v>
      </c>
      <c r="F811" s="1">
        <v>228</v>
      </c>
      <c r="G811" s="1">
        <v>7</v>
      </c>
      <c r="H811" s="1">
        <v>12.1</v>
      </c>
      <c r="I811" s="1"/>
      <c r="J811" s="1"/>
    </row>
    <row r="812" spans="1:10" x14ac:dyDescent="0.3">
      <c r="A812" t="str">
        <f t="shared" si="24"/>
        <v>FTPG</v>
      </c>
      <c r="B812">
        <f t="shared" si="25"/>
        <v>917</v>
      </c>
      <c r="D812" s="1"/>
      <c r="E812" s="1" t="s">
        <v>90</v>
      </c>
      <c r="F812" s="1">
        <v>255</v>
      </c>
      <c r="G812" s="1">
        <v>8</v>
      </c>
      <c r="H812" s="1">
        <v>11.8</v>
      </c>
      <c r="I812" s="1"/>
      <c r="J812" s="1"/>
    </row>
    <row r="813" spans="1:10" x14ac:dyDescent="0.3">
      <c r="A813" t="str">
        <f t="shared" si="24"/>
        <v>FTPG</v>
      </c>
      <c r="B813">
        <f t="shared" si="25"/>
        <v>3317</v>
      </c>
      <c r="D813" s="1"/>
      <c r="E813" s="1" t="s">
        <v>91</v>
      </c>
      <c r="F813" s="1">
        <v>262</v>
      </c>
      <c r="G813" s="1">
        <v>10</v>
      </c>
      <c r="H813" s="1">
        <v>11.7</v>
      </c>
      <c r="I813" s="1"/>
      <c r="J813" s="1"/>
    </row>
    <row r="814" spans="1:10" x14ac:dyDescent="0.3">
      <c r="A814" t="str">
        <f t="shared" si="24"/>
        <v>FTPG</v>
      </c>
      <c r="B814">
        <f t="shared" si="25"/>
        <v>1917</v>
      </c>
      <c r="D814" s="1"/>
      <c r="E814" s="1" t="s">
        <v>112</v>
      </c>
      <c r="F814" s="1">
        <v>264</v>
      </c>
      <c r="G814" s="1">
        <v>11</v>
      </c>
      <c r="H814" s="1">
        <v>11.7</v>
      </c>
      <c r="I814" s="1"/>
      <c r="J814" s="1"/>
    </row>
    <row r="815" spans="1:10" x14ac:dyDescent="0.3">
      <c r="A815" t="str">
        <f t="shared" si="24"/>
        <v>FTPG</v>
      </c>
      <c r="B815">
        <f t="shared" si="25"/>
        <v>7917</v>
      </c>
      <c r="D815" s="1"/>
      <c r="E815" s="1" t="s">
        <v>103</v>
      </c>
      <c r="F815" s="1">
        <v>305</v>
      </c>
      <c r="G815" s="1">
        <v>7</v>
      </c>
      <c r="H815" s="1">
        <v>11.1</v>
      </c>
      <c r="I815" s="1"/>
      <c r="J815" s="1"/>
    </row>
    <row r="816" spans="1:10" x14ac:dyDescent="0.3">
      <c r="A816" t="str">
        <f t="shared" si="24"/>
        <v>FTPG</v>
      </c>
      <c r="B816">
        <f t="shared" si="25"/>
        <v>18817</v>
      </c>
      <c r="D816" s="1"/>
      <c r="E816" s="1" t="s">
        <v>424</v>
      </c>
      <c r="F816" s="1">
        <v>307</v>
      </c>
      <c r="G816" s="1">
        <v>10</v>
      </c>
      <c r="H816" s="1">
        <v>11.1</v>
      </c>
      <c r="I816" s="1"/>
      <c r="J816" s="1"/>
    </row>
    <row r="817" spans="1:10" x14ac:dyDescent="0.3">
      <c r="A817" t="str">
        <f t="shared" si="24"/>
        <v>FTPG</v>
      </c>
      <c r="B817">
        <f t="shared" si="25"/>
        <v>617</v>
      </c>
      <c r="D817" s="1"/>
      <c r="E817" s="1" t="s">
        <v>100</v>
      </c>
      <c r="F817" s="1">
        <v>320</v>
      </c>
      <c r="G817" s="1">
        <v>11</v>
      </c>
      <c r="H817" s="1">
        <v>10.7</v>
      </c>
      <c r="I817" s="1"/>
      <c r="J817" s="1"/>
    </row>
    <row r="818" spans="1:10" x14ac:dyDescent="0.3">
      <c r="A818" t="str">
        <f t="shared" si="24"/>
        <v>FTPG</v>
      </c>
      <c r="B818">
        <f t="shared" si="25"/>
        <v>8417</v>
      </c>
      <c r="D818" s="1"/>
      <c r="E818" s="1" t="s">
        <v>109</v>
      </c>
      <c r="F818" s="1">
        <v>326</v>
      </c>
      <c r="G818" s="1">
        <v>5</v>
      </c>
      <c r="H818" s="1">
        <v>10.4</v>
      </c>
      <c r="I818" s="1"/>
      <c r="J818" s="1"/>
    </row>
    <row r="819" spans="1:10" x14ac:dyDescent="0.3">
      <c r="A819" t="str">
        <f t="shared" si="24"/>
        <v>FTPG</v>
      </c>
      <c r="B819">
        <f t="shared" si="25"/>
        <v>14317</v>
      </c>
      <c r="D819" s="1"/>
      <c r="E819" s="1" t="s">
        <v>391</v>
      </c>
      <c r="F819" s="1">
        <v>348</v>
      </c>
      <c r="G819" s="1">
        <v>14</v>
      </c>
      <c r="H819" s="1">
        <v>9</v>
      </c>
      <c r="I819" s="1"/>
      <c r="J819" s="1"/>
    </row>
    <row r="820" spans="1:10" x14ac:dyDescent="0.3">
      <c r="A820" t="str">
        <f t="shared" si="24"/>
        <v>RM</v>
      </c>
      <c r="B820">
        <f t="shared" si="25"/>
        <v>3021</v>
      </c>
      <c r="D820" s="1" t="s">
        <v>442</v>
      </c>
      <c r="E820" s="1" t="s">
        <v>89</v>
      </c>
      <c r="F820" s="1">
        <v>1</v>
      </c>
      <c r="G820" s="1">
        <v>1</v>
      </c>
      <c r="H820" s="1">
        <v>10.8</v>
      </c>
      <c r="I820" s="1" t="s">
        <v>89</v>
      </c>
      <c r="J820" s="1">
        <v>10.8</v>
      </c>
    </row>
    <row r="821" spans="1:10" x14ac:dyDescent="0.3">
      <c r="A821" t="str">
        <f t="shared" si="24"/>
        <v>RM</v>
      </c>
      <c r="B821">
        <f t="shared" si="25"/>
        <v>5521</v>
      </c>
      <c r="D821" s="1"/>
      <c r="E821" s="1" t="s">
        <v>86</v>
      </c>
      <c r="F821" s="1">
        <v>2</v>
      </c>
      <c r="G821" s="1">
        <v>1</v>
      </c>
      <c r="H821" s="1">
        <v>9.3000000000000007</v>
      </c>
      <c r="I821" s="1"/>
      <c r="J821" s="1"/>
    </row>
    <row r="822" spans="1:10" x14ac:dyDescent="0.3">
      <c r="A822" t="str">
        <f t="shared" si="24"/>
        <v>RM</v>
      </c>
      <c r="B822">
        <f t="shared" si="25"/>
        <v>2321</v>
      </c>
      <c r="D822" s="1"/>
      <c r="E822" s="1" t="s">
        <v>79</v>
      </c>
      <c r="F822" s="1">
        <v>3</v>
      </c>
      <c r="G822" s="1">
        <v>1</v>
      </c>
      <c r="H822" s="1">
        <v>9.3000000000000007</v>
      </c>
      <c r="I822" s="1"/>
      <c r="J822" s="1"/>
    </row>
    <row r="823" spans="1:10" x14ac:dyDescent="0.3">
      <c r="A823" t="str">
        <f t="shared" si="24"/>
        <v>RM</v>
      </c>
      <c r="B823">
        <f t="shared" si="25"/>
        <v>5421</v>
      </c>
      <c r="D823" s="1"/>
      <c r="E823" s="1" t="s">
        <v>94</v>
      </c>
      <c r="F823" s="1">
        <v>5</v>
      </c>
      <c r="G823" s="1">
        <v>1</v>
      </c>
      <c r="H823" s="1">
        <v>7.9</v>
      </c>
      <c r="I823" s="1"/>
      <c r="J823" s="1"/>
    </row>
    <row r="824" spans="1:10" x14ac:dyDescent="0.3">
      <c r="A824" t="str">
        <f t="shared" si="24"/>
        <v>RM</v>
      </c>
      <c r="B824">
        <f t="shared" si="25"/>
        <v>3721</v>
      </c>
      <c r="D824" s="1"/>
      <c r="E824" s="1" t="s">
        <v>115</v>
      </c>
      <c r="F824" s="1">
        <v>7</v>
      </c>
      <c r="G824" s="1">
        <v>2</v>
      </c>
      <c r="H824" s="1">
        <v>7.3</v>
      </c>
      <c r="I824" s="1"/>
      <c r="J824" s="1"/>
    </row>
    <row r="825" spans="1:10" x14ac:dyDescent="0.3">
      <c r="A825" t="str">
        <f t="shared" si="24"/>
        <v>RM</v>
      </c>
      <c r="B825">
        <f t="shared" si="25"/>
        <v>2821</v>
      </c>
      <c r="D825" s="1"/>
      <c r="E825" s="1" t="s">
        <v>106</v>
      </c>
      <c r="F825" s="1">
        <v>8</v>
      </c>
      <c r="G825" s="1">
        <v>1</v>
      </c>
      <c r="H825" s="1">
        <v>7.2</v>
      </c>
      <c r="I825" s="1"/>
      <c r="J825" s="1"/>
    </row>
    <row r="826" spans="1:10" x14ac:dyDescent="0.3">
      <c r="A826" t="str">
        <f t="shared" si="24"/>
        <v>RM</v>
      </c>
      <c r="B826">
        <f t="shared" si="25"/>
        <v>2521</v>
      </c>
      <c r="D826" s="1"/>
      <c r="E826" s="1" t="s">
        <v>92</v>
      </c>
      <c r="F826" s="1">
        <v>9</v>
      </c>
      <c r="G826" s="1">
        <v>1</v>
      </c>
      <c r="H826" s="1">
        <v>6.7</v>
      </c>
      <c r="I826" s="1"/>
      <c r="J826" s="1"/>
    </row>
    <row r="827" spans="1:10" x14ac:dyDescent="0.3">
      <c r="A827" t="str">
        <f t="shared" si="24"/>
        <v>RM</v>
      </c>
      <c r="B827">
        <f t="shared" si="25"/>
        <v>3521</v>
      </c>
      <c r="D827" s="1"/>
      <c r="E827" s="1" t="s">
        <v>87</v>
      </c>
      <c r="F827" s="1">
        <v>10</v>
      </c>
      <c r="G827" s="1">
        <v>3</v>
      </c>
      <c r="H827" s="1">
        <v>6.5</v>
      </c>
      <c r="I827" s="1"/>
      <c r="J827" s="1"/>
    </row>
    <row r="828" spans="1:10" x14ac:dyDescent="0.3">
      <c r="A828" t="str">
        <f t="shared" si="24"/>
        <v>RM</v>
      </c>
      <c r="B828">
        <f t="shared" si="25"/>
        <v>11521</v>
      </c>
      <c r="D828" s="1"/>
      <c r="E828" s="1" t="s">
        <v>97</v>
      </c>
      <c r="F828" s="1">
        <v>11</v>
      </c>
      <c r="G828" s="1">
        <v>1</v>
      </c>
      <c r="H828" s="1">
        <v>6.3</v>
      </c>
      <c r="I828" s="1"/>
      <c r="J828" s="1"/>
    </row>
    <row r="829" spans="1:10" x14ac:dyDescent="0.3">
      <c r="A829" t="str">
        <f t="shared" si="24"/>
        <v>RM</v>
      </c>
      <c r="B829">
        <f t="shared" si="25"/>
        <v>2921</v>
      </c>
      <c r="D829" s="1"/>
      <c r="E829" s="1" t="s">
        <v>96</v>
      </c>
      <c r="F829" s="1">
        <v>13</v>
      </c>
      <c r="G829" s="1">
        <v>1</v>
      </c>
      <c r="H829" s="1">
        <v>6.1</v>
      </c>
      <c r="I829" s="1"/>
      <c r="J829" s="1"/>
    </row>
    <row r="830" spans="1:10" x14ac:dyDescent="0.3">
      <c r="A830" t="str">
        <f t="shared" si="24"/>
        <v>RM</v>
      </c>
      <c r="B830">
        <f t="shared" si="25"/>
        <v>19021</v>
      </c>
      <c r="D830" s="1"/>
      <c r="E830" s="1" t="s">
        <v>176</v>
      </c>
      <c r="F830" s="1">
        <v>14</v>
      </c>
      <c r="G830" s="1">
        <v>1</v>
      </c>
      <c r="H830" s="1">
        <v>6.1</v>
      </c>
      <c r="I830" s="1"/>
      <c r="J830" s="1"/>
    </row>
    <row r="831" spans="1:10" x14ac:dyDescent="0.3">
      <c r="A831" t="str">
        <f t="shared" si="24"/>
        <v>RM</v>
      </c>
      <c r="B831">
        <f t="shared" si="25"/>
        <v>3421</v>
      </c>
      <c r="D831" s="1"/>
      <c r="E831" s="1" t="s">
        <v>237</v>
      </c>
      <c r="F831" s="1">
        <v>15</v>
      </c>
      <c r="G831" s="1">
        <v>1</v>
      </c>
      <c r="H831" s="1">
        <v>6</v>
      </c>
      <c r="I831" s="1"/>
      <c r="J831" s="1"/>
    </row>
    <row r="832" spans="1:10" x14ac:dyDescent="0.3">
      <c r="A832" t="str">
        <f t="shared" si="24"/>
        <v>RM</v>
      </c>
      <c r="B832">
        <f t="shared" si="25"/>
        <v>2221</v>
      </c>
      <c r="D832" s="1"/>
      <c r="E832" s="1" t="s">
        <v>119</v>
      </c>
      <c r="F832" s="1">
        <v>17</v>
      </c>
      <c r="G832" s="1">
        <v>1</v>
      </c>
      <c r="H832" s="1">
        <v>6</v>
      </c>
      <c r="I832" s="1"/>
      <c r="J832" s="1"/>
    </row>
    <row r="833" spans="1:10" x14ac:dyDescent="0.3">
      <c r="A833" t="str">
        <f t="shared" si="24"/>
        <v>RM</v>
      </c>
      <c r="B833">
        <f t="shared" si="25"/>
        <v>6821</v>
      </c>
      <c r="D833" s="1"/>
      <c r="E833" s="1" t="s">
        <v>248</v>
      </c>
      <c r="F833" s="1">
        <v>21</v>
      </c>
      <c r="G833" s="1">
        <v>2</v>
      </c>
      <c r="H833" s="1">
        <v>5.7</v>
      </c>
      <c r="I833" s="1"/>
      <c r="J833" s="1"/>
    </row>
    <row r="834" spans="1:10" x14ac:dyDescent="0.3">
      <c r="A834" t="str">
        <f t="shared" ref="A834:A897" si="26">IF(NOT(D834=""),INDEX(statAbbr,MATCH(D834,statOfficial,0),1),A833)</f>
        <v>RM</v>
      </c>
      <c r="B834">
        <f t="shared" ref="B834:B897" si="27">INDEX(statID,MATCH(A834,statAbbr,0),1)+INDEX(teamID,MATCH(E834,teamRawName,0))</f>
        <v>4421</v>
      </c>
      <c r="D834" s="1"/>
      <c r="E834" s="1" t="s">
        <v>83</v>
      </c>
      <c r="F834" s="1">
        <v>22</v>
      </c>
      <c r="G834" s="1">
        <v>2</v>
      </c>
      <c r="H834" s="1">
        <v>5.5</v>
      </c>
      <c r="I834" s="1"/>
      <c r="J834" s="1"/>
    </row>
    <row r="835" spans="1:10" x14ac:dyDescent="0.3">
      <c r="A835" t="str">
        <f t="shared" si="26"/>
        <v>RM</v>
      </c>
      <c r="B835">
        <f t="shared" si="27"/>
        <v>7421</v>
      </c>
      <c r="D835" s="1"/>
      <c r="E835" s="1" t="s">
        <v>251</v>
      </c>
      <c r="F835" s="1">
        <v>25</v>
      </c>
      <c r="G835" s="1">
        <v>3</v>
      </c>
      <c r="H835" s="1">
        <v>5.4</v>
      </c>
      <c r="I835" s="1"/>
      <c r="J835" s="1"/>
    </row>
    <row r="836" spans="1:10" x14ac:dyDescent="0.3">
      <c r="A836" t="str">
        <f t="shared" si="26"/>
        <v>RM</v>
      </c>
      <c r="B836">
        <f t="shared" si="27"/>
        <v>3621</v>
      </c>
      <c r="D836" s="1"/>
      <c r="E836" s="1" t="s">
        <v>129</v>
      </c>
      <c r="F836" s="1">
        <v>33</v>
      </c>
      <c r="G836" s="1">
        <v>4</v>
      </c>
      <c r="H836" s="1">
        <v>4.7</v>
      </c>
      <c r="I836" s="1"/>
      <c r="J836" s="1"/>
    </row>
    <row r="837" spans="1:10" x14ac:dyDescent="0.3">
      <c r="A837" t="str">
        <f t="shared" si="26"/>
        <v>RM</v>
      </c>
      <c r="B837">
        <f t="shared" si="27"/>
        <v>1621</v>
      </c>
      <c r="D837" s="1"/>
      <c r="E837" s="1" t="s">
        <v>137</v>
      </c>
      <c r="F837" s="1">
        <v>39</v>
      </c>
      <c r="G837" s="1">
        <v>5</v>
      </c>
      <c r="H837" s="1">
        <v>4.4000000000000004</v>
      </c>
      <c r="I837" s="1"/>
      <c r="J837" s="1"/>
    </row>
    <row r="838" spans="1:10" x14ac:dyDescent="0.3">
      <c r="A838" t="str">
        <f t="shared" si="26"/>
        <v>RM</v>
      </c>
      <c r="B838">
        <f t="shared" si="27"/>
        <v>1221</v>
      </c>
      <c r="D838" s="1"/>
      <c r="E838" s="1" t="s">
        <v>130</v>
      </c>
      <c r="F838" s="1">
        <v>45</v>
      </c>
      <c r="G838" s="1">
        <v>2</v>
      </c>
      <c r="H838" s="1">
        <v>4.0999999999999996</v>
      </c>
      <c r="I838" s="1"/>
      <c r="J838" s="1"/>
    </row>
    <row r="839" spans="1:10" x14ac:dyDescent="0.3">
      <c r="A839" t="str">
        <f t="shared" si="26"/>
        <v>RM</v>
      </c>
      <c r="B839">
        <f t="shared" si="27"/>
        <v>4321</v>
      </c>
      <c r="D839" s="1"/>
      <c r="E839" s="1" t="s">
        <v>125</v>
      </c>
      <c r="F839" s="1">
        <v>48</v>
      </c>
      <c r="G839" s="1">
        <v>2</v>
      </c>
      <c r="H839" s="1">
        <v>4</v>
      </c>
      <c r="I839" s="1"/>
      <c r="J839" s="1"/>
    </row>
    <row r="840" spans="1:10" x14ac:dyDescent="0.3">
      <c r="A840" t="str">
        <f t="shared" si="26"/>
        <v>RM</v>
      </c>
      <c r="B840">
        <f t="shared" si="27"/>
        <v>1421</v>
      </c>
      <c r="D840" s="1"/>
      <c r="E840" s="1" t="s">
        <v>102</v>
      </c>
      <c r="F840" s="1">
        <v>49</v>
      </c>
      <c r="G840" s="1">
        <v>3</v>
      </c>
      <c r="H840" s="1">
        <v>4</v>
      </c>
      <c r="I840" s="1"/>
      <c r="J840" s="1"/>
    </row>
    <row r="841" spans="1:10" x14ac:dyDescent="0.3">
      <c r="A841" t="str">
        <f t="shared" si="26"/>
        <v>RM</v>
      </c>
      <c r="B841">
        <f t="shared" si="27"/>
        <v>3121</v>
      </c>
      <c r="D841" s="1"/>
      <c r="E841" s="1" t="s">
        <v>93</v>
      </c>
      <c r="F841" s="1">
        <v>56</v>
      </c>
      <c r="G841" s="1">
        <v>5</v>
      </c>
      <c r="H841" s="1">
        <v>3.8</v>
      </c>
      <c r="I841" s="1"/>
      <c r="J841" s="1"/>
    </row>
    <row r="842" spans="1:10" x14ac:dyDescent="0.3">
      <c r="A842" t="str">
        <f t="shared" si="26"/>
        <v>RM</v>
      </c>
      <c r="B842">
        <f t="shared" si="27"/>
        <v>18321</v>
      </c>
      <c r="D842" s="1"/>
      <c r="E842" s="1" t="s">
        <v>423</v>
      </c>
      <c r="F842" s="1">
        <v>57</v>
      </c>
      <c r="G842" s="1">
        <v>1</v>
      </c>
      <c r="H842" s="1">
        <v>3.7</v>
      </c>
      <c r="I842" s="1"/>
      <c r="J842" s="1"/>
    </row>
    <row r="843" spans="1:10" x14ac:dyDescent="0.3">
      <c r="A843" t="str">
        <f t="shared" si="26"/>
        <v>RM</v>
      </c>
      <c r="B843">
        <f t="shared" si="27"/>
        <v>2121</v>
      </c>
      <c r="D843" s="1"/>
      <c r="E843" s="1" t="s">
        <v>136</v>
      </c>
      <c r="F843" s="1">
        <v>68</v>
      </c>
      <c r="G843" s="1">
        <v>4</v>
      </c>
      <c r="H843" s="1">
        <v>3.5</v>
      </c>
      <c r="I843" s="1"/>
      <c r="J843" s="1"/>
    </row>
    <row r="844" spans="1:10" x14ac:dyDescent="0.3">
      <c r="A844" t="str">
        <f t="shared" si="26"/>
        <v>RM</v>
      </c>
      <c r="B844">
        <f t="shared" si="27"/>
        <v>621</v>
      </c>
      <c r="D844" s="1"/>
      <c r="E844" s="1" t="s">
        <v>100</v>
      </c>
      <c r="F844" s="1">
        <v>76</v>
      </c>
      <c r="G844" s="1">
        <v>3</v>
      </c>
      <c r="H844" s="1">
        <v>3.2</v>
      </c>
      <c r="I844" s="1"/>
      <c r="J844" s="1"/>
    </row>
    <row r="845" spans="1:10" x14ac:dyDescent="0.3">
      <c r="A845" t="str">
        <f t="shared" si="26"/>
        <v>RM</v>
      </c>
      <c r="B845">
        <f t="shared" si="27"/>
        <v>921</v>
      </c>
      <c r="D845" s="1"/>
      <c r="E845" s="1" t="s">
        <v>90</v>
      </c>
      <c r="F845" s="1">
        <v>83</v>
      </c>
      <c r="G845" s="1">
        <v>3</v>
      </c>
      <c r="H845" s="1">
        <v>3</v>
      </c>
      <c r="I845" s="1"/>
      <c r="J845" s="1"/>
    </row>
    <row r="846" spans="1:10" x14ac:dyDescent="0.3">
      <c r="A846" t="str">
        <f t="shared" si="26"/>
        <v>RM</v>
      </c>
      <c r="B846">
        <f t="shared" si="27"/>
        <v>9521</v>
      </c>
      <c r="D846" s="1"/>
      <c r="E846" s="1" t="s">
        <v>85</v>
      </c>
      <c r="F846" s="1">
        <v>84</v>
      </c>
      <c r="G846" s="1">
        <v>3</v>
      </c>
      <c r="H846" s="1">
        <v>3</v>
      </c>
      <c r="I846" s="1"/>
      <c r="J846" s="1"/>
    </row>
    <row r="847" spans="1:10" x14ac:dyDescent="0.3">
      <c r="A847" t="str">
        <f t="shared" si="26"/>
        <v>RM</v>
      </c>
      <c r="B847">
        <f t="shared" si="27"/>
        <v>9021</v>
      </c>
      <c r="D847" s="1"/>
      <c r="E847" s="1" t="s">
        <v>261</v>
      </c>
      <c r="F847" s="1">
        <v>85</v>
      </c>
      <c r="G847" s="1">
        <v>5</v>
      </c>
      <c r="H847" s="1">
        <v>2.9</v>
      </c>
      <c r="I847" s="1"/>
      <c r="J847" s="1"/>
    </row>
    <row r="848" spans="1:10" x14ac:dyDescent="0.3">
      <c r="A848" t="str">
        <f t="shared" si="26"/>
        <v>RM</v>
      </c>
      <c r="B848">
        <f t="shared" si="27"/>
        <v>5821</v>
      </c>
      <c r="D848" s="1"/>
      <c r="E848" s="1" t="s">
        <v>139</v>
      </c>
      <c r="F848" s="1">
        <v>87</v>
      </c>
      <c r="G848" s="1">
        <v>6</v>
      </c>
      <c r="H848" s="1">
        <v>2.9</v>
      </c>
      <c r="I848" s="1"/>
      <c r="J848" s="1"/>
    </row>
    <row r="849" spans="1:10" x14ac:dyDescent="0.3">
      <c r="A849" t="str">
        <f t="shared" si="26"/>
        <v>RM</v>
      </c>
      <c r="B849">
        <f t="shared" si="27"/>
        <v>13321</v>
      </c>
      <c r="D849" s="1"/>
      <c r="E849" s="1" t="s">
        <v>291</v>
      </c>
      <c r="F849" s="1">
        <v>97</v>
      </c>
      <c r="G849" s="1">
        <v>4</v>
      </c>
      <c r="H849" s="1">
        <v>2.6</v>
      </c>
      <c r="I849" s="1"/>
      <c r="J849" s="1"/>
    </row>
    <row r="850" spans="1:10" x14ac:dyDescent="0.3">
      <c r="A850" t="str">
        <f t="shared" si="26"/>
        <v>RM</v>
      </c>
      <c r="B850">
        <f t="shared" si="27"/>
        <v>121</v>
      </c>
      <c r="D850" s="1"/>
      <c r="E850" s="1" t="s">
        <v>312</v>
      </c>
      <c r="F850" s="1">
        <v>98</v>
      </c>
      <c r="G850" s="1">
        <v>3</v>
      </c>
      <c r="H850" s="1">
        <v>2.6</v>
      </c>
      <c r="I850" s="1"/>
      <c r="J850" s="1"/>
    </row>
    <row r="851" spans="1:10" x14ac:dyDescent="0.3">
      <c r="A851" t="str">
        <f t="shared" si="26"/>
        <v>RM</v>
      </c>
      <c r="B851">
        <f t="shared" si="27"/>
        <v>8821</v>
      </c>
      <c r="D851" s="1"/>
      <c r="E851" s="1" t="s">
        <v>141</v>
      </c>
      <c r="F851" s="1">
        <v>105</v>
      </c>
      <c r="G851" s="1">
        <v>3</v>
      </c>
      <c r="H851" s="1">
        <v>2.4</v>
      </c>
      <c r="I851" s="1"/>
      <c r="J851" s="1"/>
    </row>
    <row r="852" spans="1:10" x14ac:dyDescent="0.3">
      <c r="A852" t="str">
        <f t="shared" si="26"/>
        <v>RM</v>
      </c>
      <c r="B852">
        <f t="shared" si="27"/>
        <v>8121</v>
      </c>
      <c r="D852" s="1"/>
      <c r="E852" s="1" t="s">
        <v>256</v>
      </c>
      <c r="F852" s="1">
        <v>110</v>
      </c>
      <c r="G852" s="1">
        <v>6</v>
      </c>
      <c r="H852" s="1">
        <v>2.2999999999999998</v>
      </c>
      <c r="I852" s="1"/>
      <c r="J852" s="1"/>
    </row>
    <row r="853" spans="1:10" x14ac:dyDescent="0.3">
      <c r="A853" t="str">
        <f t="shared" si="26"/>
        <v>RM</v>
      </c>
      <c r="B853">
        <f t="shared" si="27"/>
        <v>12021</v>
      </c>
      <c r="D853" s="1"/>
      <c r="E853" s="1" t="s">
        <v>135</v>
      </c>
      <c r="F853" s="1">
        <v>111</v>
      </c>
      <c r="G853" s="1">
        <v>3</v>
      </c>
      <c r="H853" s="1">
        <v>2.2999999999999998</v>
      </c>
      <c r="I853" s="1"/>
      <c r="J853" s="1"/>
    </row>
    <row r="854" spans="1:10" x14ac:dyDescent="0.3">
      <c r="A854" t="str">
        <f t="shared" si="26"/>
        <v>RM</v>
      </c>
      <c r="B854">
        <f t="shared" si="27"/>
        <v>8421</v>
      </c>
      <c r="D854" s="1"/>
      <c r="E854" s="1" t="s">
        <v>109</v>
      </c>
      <c r="F854" s="1">
        <v>116</v>
      </c>
      <c r="G854" s="1">
        <v>2</v>
      </c>
      <c r="H854" s="1">
        <v>2.2000000000000002</v>
      </c>
      <c r="I854" s="1"/>
      <c r="J854" s="1"/>
    </row>
    <row r="855" spans="1:10" x14ac:dyDescent="0.3">
      <c r="A855" t="str">
        <f t="shared" si="26"/>
        <v>RM</v>
      </c>
      <c r="B855">
        <f t="shared" si="27"/>
        <v>3221</v>
      </c>
      <c r="D855" s="1"/>
      <c r="E855" s="1" t="s">
        <v>127</v>
      </c>
      <c r="F855" s="1">
        <v>125</v>
      </c>
      <c r="G855" s="1">
        <v>6</v>
      </c>
      <c r="H855" s="1">
        <v>2</v>
      </c>
      <c r="I855" s="1"/>
      <c r="J855" s="1"/>
    </row>
    <row r="856" spans="1:10" x14ac:dyDescent="0.3">
      <c r="A856" t="str">
        <f t="shared" si="26"/>
        <v>RM</v>
      </c>
      <c r="B856">
        <f t="shared" si="27"/>
        <v>11821</v>
      </c>
      <c r="D856" s="1"/>
      <c r="E856" s="1" t="s">
        <v>281</v>
      </c>
      <c r="F856" s="1">
        <v>126</v>
      </c>
      <c r="G856" s="1">
        <v>2</v>
      </c>
      <c r="H856" s="1">
        <v>2</v>
      </c>
      <c r="I856" s="1"/>
      <c r="J856" s="1"/>
    </row>
    <row r="857" spans="1:10" x14ac:dyDescent="0.3">
      <c r="A857" t="str">
        <f t="shared" si="26"/>
        <v>RM</v>
      </c>
      <c r="B857">
        <f t="shared" si="27"/>
        <v>5221</v>
      </c>
      <c r="D857" s="1"/>
      <c r="E857" s="1" t="s">
        <v>241</v>
      </c>
      <c r="F857" s="1">
        <v>135</v>
      </c>
      <c r="G857" s="1">
        <v>6</v>
      </c>
      <c r="H857" s="1">
        <v>1.9</v>
      </c>
      <c r="I857" s="1"/>
      <c r="J857" s="1"/>
    </row>
    <row r="858" spans="1:10" x14ac:dyDescent="0.3">
      <c r="A858" t="str">
        <f t="shared" si="26"/>
        <v>RM</v>
      </c>
      <c r="B858">
        <f t="shared" si="27"/>
        <v>1921</v>
      </c>
      <c r="D858" s="1"/>
      <c r="E858" s="1" t="s">
        <v>112</v>
      </c>
      <c r="F858" s="1">
        <v>144</v>
      </c>
      <c r="G858" s="1">
        <v>5</v>
      </c>
      <c r="H858" s="1">
        <v>1.7</v>
      </c>
      <c r="I858" s="1"/>
      <c r="J858" s="1"/>
    </row>
    <row r="859" spans="1:10" x14ac:dyDescent="0.3">
      <c r="A859" t="str">
        <f t="shared" si="26"/>
        <v>RM</v>
      </c>
      <c r="B859">
        <f t="shared" si="27"/>
        <v>19121</v>
      </c>
      <c r="D859" s="1"/>
      <c r="E859" s="1" t="s">
        <v>421</v>
      </c>
      <c r="F859" s="1">
        <v>148</v>
      </c>
      <c r="G859" s="1">
        <v>8</v>
      </c>
      <c r="H859" s="1">
        <v>1.6</v>
      </c>
      <c r="I859" s="1"/>
      <c r="J859" s="1"/>
    </row>
    <row r="860" spans="1:10" x14ac:dyDescent="0.3">
      <c r="A860" t="str">
        <f t="shared" si="26"/>
        <v>RM</v>
      </c>
      <c r="B860">
        <f t="shared" si="27"/>
        <v>18921</v>
      </c>
      <c r="D860" s="1"/>
      <c r="E860" s="1" t="s">
        <v>422</v>
      </c>
      <c r="F860" s="1">
        <v>150</v>
      </c>
      <c r="G860" s="1">
        <v>6</v>
      </c>
      <c r="H860" s="1">
        <v>1.6</v>
      </c>
      <c r="I860" s="1"/>
      <c r="J860" s="1"/>
    </row>
    <row r="861" spans="1:10" x14ac:dyDescent="0.3">
      <c r="A861" t="str">
        <f t="shared" si="26"/>
        <v>RM</v>
      </c>
      <c r="B861">
        <f t="shared" si="27"/>
        <v>5321</v>
      </c>
      <c r="D861" s="1"/>
      <c r="E861" s="1" t="s">
        <v>242</v>
      </c>
      <c r="F861" s="1">
        <v>154</v>
      </c>
      <c r="G861" s="1">
        <v>6</v>
      </c>
      <c r="H861" s="1">
        <v>1.5</v>
      </c>
      <c r="I861" s="1"/>
      <c r="J861" s="1"/>
    </row>
    <row r="862" spans="1:10" x14ac:dyDescent="0.3">
      <c r="A862" t="str">
        <f t="shared" si="26"/>
        <v>RM</v>
      </c>
      <c r="B862">
        <f t="shared" si="27"/>
        <v>9421</v>
      </c>
      <c r="D862" s="1"/>
      <c r="E862" s="1" t="s">
        <v>264</v>
      </c>
      <c r="F862" s="1">
        <v>156</v>
      </c>
      <c r="G862" s="1">
        <v>7</v>
      </c>
      <c r="H862" s="1">
        <v>1.5</v>
      </c>
      <c r="I862" s="1"/>
      <c r="J862" s="1"/>
    </row>
    <row r="863" spans="1:10" x14ac:dyDescent="0.3">
      <c r="A863" t="str">
        <f t="shared" si="26"/>
        <v>RM</v>
      </c>
      <c r="B863">
        <f t="shared" si="27"/>
        <v>11121</v>
      </c>
      <c r="D863" s="1"/>
      <c r="E863" s="1" t="s">
        <v>277</v>
      </c>
      <c r="F863" s="1">
        <v>156</v>
      </c>
      <c r="G863" s="1">
        <v>7</v>
      </c>
      <c r="H863" s="1">
        <v>1.5</v>
      </c>
      <c r="I863" s="1"/>
      <c r="J863" s="1"/>
    </row>
    <row r="864" spans="1:10" x14ac:dyDescent="0.3">
      <c r="A864" t="str">
        <f t="shared" si="26"/>
        <v>RM</v>
      </c>
      <c r="B864">
        <f t="shared" si="27"/>
        <v>18621</v>
      </c>
      <c r="D864" s="1"/>
      <c r="E864" s="1" t="s">
        <v>425</v>
      </c>
      <c r="F864" s="1">
        <v>162</v>
      </c>
      <c r="G864" s="1">
        <v>7</v>
      </c>
      <c r="H864" s="1">
        <v>1.3</v>
      </c>
      <c r="I864" s="1"/>
      <c r="J864" s="1"/>
    </row>
    <row r="865" spans="1:10" x14ac:dyDescent="0.3">
      <c r="A865" t="str">
        <f t="shared" si="26"/>
        <v>RM</v>
      </c>
      <c r="B865">
        <f t="shared" si="27"/>
        <v>3921</v>
      </c>
      <c r="D865" s="1"/>
      <c r="E865" s="1" t="s">
        <v>88</v>
      </c>
      <c r="F865" s="1">
        <v>167</v>
      </c>
      <c r="G865" s="1">
        <v>7</v>
      </c>
      <c r="H865" s="1">
        <v>1.1000000000000001</v>
      </c>
      <c r="I865" s="1"/>
      <c r="J865" s="1"/>
    </row>
    <row r="866" spans="1:10" x14ac:dyDescent="0.3">
      <c r="A866" t="str">
        <f t="shared" si="26"/>
        <v>RM</v>
      </c>
      <c r="B866">
        <f t="shared" si="27"/>
        <v>5621</v>
      </c>
      <c r="D866" s="1"/>
      <c r="E866" s="1" t="s">
        <v>62</v>
      </c>
      <c r="F866" s="1">
        <v>171</v>
      </c>
      <c r="G866" s="1">
        <v>8</v>
      </c>
      <c r="H866" s="1">
        <v>0.9</v>
      </c>
      <c r="I866" s="1"/>
      <c r="J866" s="1"/>
    </row>
    <row r="867" spans="1:10" x14ac:dyDescent="0.3">
      <c r="A867" t="str">
        <f t="shared" si="26"/>
        <v>RM</v>
      </c>
      <c r="B867">
        <f t="shared" si="27"/>
        <v>13421</v>
      </c>
      <c r="D867" s="1"/>
      <c r="E867" s="1" t="s">
        <v>400</v>
      </c>
      <c r="F867" s="1">
        <v>174</v>
      </c>
      <c r="G867" s="1">
        <v>7</v>
      </c>
      <c r="H867" s="1">
        <v>0.7</v>
      </c>
      <c r="I867" s="1"/>
      <c r="J867" s="1"/>
    </row>
    <row r="868" spans="1:10" x14ac:dyDescent="0.3">
      <c r="A868" t="str">
        <f t="shared" si="26"/>
        <v>RM</v>
      </c>
      <c r="B868">
        <f t="shared" si="27"/>
        <v>721</v>
      </c>
      <c r="D868" s="1"/>
      <c r="E868" s="1" t="s">
        <v>319</v>
      </c>
      <c r="F868" s="1">
        <v>175</v>
      </c>
      <c r="G868" s="1">
        <v>9</v>
      </c>
      <c r="H868" s="1">
        <v>0.7</v>
      </c>
      <c r="I868" s="1"/>
      <c r="J868" s="1"/>
    </row>
    <row r="869" spans="1:10" x14ac:dyDescent="0.3">
      <c r="A869" t="str">
        <f t="shared" si="26"/>
        <v>RM</v>
      </c>
      <c r="B869">
        <f t="shared" si="27"/>
        <v>18721</v>
      </c>
      <c r="D869" s="1"/>
      <c r="E869" s="1" t="s">
        <v>427</v>
      </c>
      <c r="F869" s="1">
        <v>177</v>
      </c>
      <c r="G869" s="1">
        <v>5</v>
      </c>
      <c r="H869" s="1">
        <v>0.7</v>
      </c>
      <c r="I869" s="1"/>
      <c r="J869" s="1"/>
    </row>
    <row r="870" spans="1:10" x14ac:dyDescent="0.3">
      <c r="A870" t="str">
        <f t="shared" si="26"/>
        <v>RM</v>
      </c>
      <c r="B870">
        <f t="shared" si="27"/>
        <v>6621</v>
      </c>
      <c r="D870" s="1"/>
      <c r="E870" s="1" t="s">
        <v>247</v>
      </c>
      <c r="F870" s="1">
        <v>178</v>
      </c>
      <c r="G870" s="1">
        <v>7</v>
      </c>
      <c r="H870" s="1">
        <v>0.6</v>
      </c>
      <c r="I870" s="1"/>
      <c r="J870" s="1"/>
    </row>
    <row r="871" spans="1:10" x14ac:dyDescent="0.3">
      <c r="A871" t="str">
        <f t="shared" si="26"/>
        <v>RM</v>
      </c>
      <c r="B871">
        <f t="shared" si="27"/>
        <v>8621</v>
      </c>
      <c r="D871" s="1"/>
      <c r="E871" s="1" t="s">
        <v>259</v>
      </c>
      <c r="F871" s="1">
        <v>178</v>
      </c>
      <c r="G871" s="1">
        <v>5</v>
      </c>
      <c r="H871" s="1">
        <v>0.6</v>
      </c>
      <c r="I871" s="1"/>
      <c r="J871" s="1"/>
    </row>
    <row r="872" spans="1:10" x14ac:dyDescent="0.3">
      <c r="A872" t="str">
        <f t="shared" si="26"/>
        <v>RM</v>
      </c>
      <c r="B872">
        <f t="shared" si="27"/>
        <v>4521</v>
      </c>
      <c r="D872" s="1"/>
      <c r="E872" s="1" t="s">
        <v>84</v>
      </c>
      <c r="F872" s="1">
        <v>180</v>
      </c>
      <c r="G872" s="1">
        <v>9</v>
      </c>
      <c r="H872" s="1">
        <v>0.6</v>
      </c>
      <c r="I872" s="1"/>
      <c r="J872" s="1"/>
    </row>
    <row r="873" spans="1:10" x14ac:dyDescent="0.3">
      <c r="A873" t="str">
        <f t="shared" si="26"/>
        <v>RM</v>
      </c>
      <c r="B873">
        <f t="shared" si="27"/>
        <v>18421</v>
      </c>
      <c r="D873" s="1"/>
      <c r="E873" s="1" t="s">
        <v>417</v>
      </c>
      <c r="F873" s="1">
        <v>188</v>
      </c>
      <c r="G873" s="1">
        <v>2</v>
      </c>
      <c r="H873" s="1">
        <v>0.4</v>
      </c>
      <c r="I873" s="1"/>
      <c r="J873" s="1"/>
    </row>
    <row r="874" spans="1:10" x14ac:dyDescent="0.3">
      <c r="A874" t="str">
        <f t="shared" si="26"/>
        <v>RM</v>
      </c>
      <c r="B874">
        <f t="shared" si="27"/>
        <v>2621</v>
      </c>
      <c r="D874" s="1"/>
      <c r="E874" s="1" t="s">
        <v>80</v>
      </c>
      <c r="F874" s="1">
        <v>193</v>
      </c>
      <c r="G874" s="1">
        <v>7</v>
      </c>
      <c r="H874" s="1">
        <v>0.3</v>
      </c>
      <c r="I874" s="1"/>
      <c r="J874" s="1"/>
    </row>
    <row r="875" spans="1:10" x14ac:dyDescent="0.3">
      <c r="A875" t="str">
        <f t="shared" si="26"/>
        <v>RM</v>
      </c>
      <c r="B875">
        <f t="shared" si="27"/>
        <v>12221</v>
      </c>
      <c r="D875" s="1"/>
      <c r="E875" s="1" t="s">
        <v>284</v>
      </c>
      <c r="F875" s="1">
        <v>198</v>
      </c>
      <c r="G875" s="1">
        <v>7</v>
      </c>
      <c r="H875" s="1">
        <v>0.1</v>
      </c>
      <c r="I875" s="1"/>
      <c r="J875" s="1"/>
    </row>
    <row r="876" spans="1:10" x14ac:dyDescent="0.3">
      <c r="A876" t="str">
        <f t="shared" si="26"/>
        <v>RM</v>
      </c>
      <c r="B876">
        <f t="shared" si="27"/>
        <v>18521</v>
      </c>
      <c r="D876" s="1"/>
      <c r="E876" s="1" t="s">
        <v>420</v>
      </c>
      <c r="F876" s="1">
        <v>201</v>
      </c>
      <c r="G876" s="1">
        <v>4</v>
      </c>
      <c r="H876" s="1">
        <v>0</v>
      </c>
      <c r="I876" s="1"/>
      <c r="J876" s="1"/>
    </row>
    <row r="877" spans="1:10" x14ac:dyDescent="0.3">
      <c r="A877" t="str">
        <f t="shared" si="26"/>
        <v>RM</v>
      </c>
      <c r="B877">
        <f t="shared" si="27"/>
        <v>4621</v>
      </c>
      <c r="D877" s="1"/>
      <c r="E877" s="1" t="s">
        <v>101</v>
      </c>
      <c r="F877" s="1">
        <v>210</v>
      </c>
      <c r="G877" s="1">
        <v>6</v>
      </c>
      <c r="H877" s="1">
        <v>-0.2</v>
      </c>
      <c r="I877" s="1"/>
      <c r="J877" s="1"/>
    </row>
    <row r="878" spans="1:10" x14ac:dyDescent="0.3">
      <c r="A878" t="str">
        <f t="shared" si="26"/>
        <v>RM</v>
      </c>
      <c r="B878">
        <f t="shared" si="27"/>
        <v>6721</v>
      </c>
      <c r="D878" s="1"/>
      <c r="E878" s="1" t="s">
        <v>118</v>
      </c>
      <c r="F878" s="1">
        <v>214</v>
      </c>
      <c r="G878" s="1">
        <v>11</v>
      </c>
      <c r="H878" s="1">
        <v>-0.3</v>
      </c>
      <c r="I878" s="1"/>
      <c r="J878" s="1"/>
    </row>
    <row r="879" spans="1:10" x14ac:dyDescent="0.3">
      <c r="A879" t="str">
        <f t="shared" si="26"/>
        <v>RM</v>
      </c>
      <c r="B879">
        <f t="shared" si="27"/>
        <v>2421</v>
      </c>
      <c r="D879" s="1"/>
      <c r="E879" s="1" t="s">
        <v>330</v>
      </c>
      <c r="F879" s="1">
        <v>224</v>
      </c>
      <c r="G879" s="1">
        <v>8</v>
      </c>
      <c r="H879" s="1">
        <v>-0.5</v>
      </c>
      <c r="I879" s="1"/>
      <c r="J879" s="1"/>
    </row>
    <row r="880" spans="1:10" x14ac:dyDescent="0.3">
      <c r="A880" t="str">
        <f t="shared" si="26"/>
        <v>RM</v>
      </c>
      <c r="B880">
        <f t="shared" si="27"/>
        <v>6221</v>
      </c>
      <c r="D880" s="1"/>
      <c r="E880" s="1" t="s">
        <v>81</v>
      </c>
      <c r="F880" s="1">
        <v>227</v>
      </c>
      <c r="G880" s="1">
        <v>10</v>
      </c>
      <c r="H880" s="1">
        <v>-0.6</v>
      </c>
      <c r="I880" s="1"/>
      <c r="J880" s="1"/>
    </row>
    <row r="881" spans="1:10" x14ac:dyDescent="0.3">
      <c r="A881" t="str">
        <f t="shared" si="26"/>
        <v>RM</v>
      </c>
      <c r="B881">
        <f t="shared" si="27"/>
        <v>7921</v>
      </c>
      <c r="D881" s="1"/>
      <c r="E881" s="1" t="s">
        <v>103</v>
      </c>
      <c r="F881" s="1">
        <v>247</v>
      </c>
      <c r="G881" s="1">
        <v>6</v>
      </c>
      <c r="H881" s="1">
        <v>-1.1000000000000001</v>
      </c>
      <c r="I881" s="1"/>
      <c r="J881" s="1"/>
    </row>
    <row r="882" spans="1:10" x14ac:dyDescent="0.3">
      <c r="A882" t="str">
        <f t="shared" si="26"/>
        <v>RM</v>
      </c>
      <c r="B882">
        <f t="shared" si="27"/>
        <v>15221</v>
      </c>
      <c r="D882" s="1"/>
      <c r="E882" s="1" t="s">
        <v>426</v>
      </c>
      <c r="F882" s="1">
        <v>250</v>
      </c>
      <c r="G882" s="1">
        <v>6</v>
      </c>
      <c r="H882" s="1">
        <v>-1.2</v>
      </c>
      <c r="I882" s="1"/>
      <c r="J882" s="1"/>
    </row>
    <row r="883" spans="1:10" x14ac:dyDescent="0.3">
      <c r="A883" t="str">
        <f t="shared" si="26"/>
        <v>RM</v>
      </c>
      <c r="B883">
        <f t="shared" si="27"/>
        <v>18821</v>
      </c>
      <c r="D883" s="1"/>
      <c r="E883" s="1" t="s">
        <v>424</v>
      </c>
      <c r="F883" s="1">
        <v>253</v>
      </c>
      <c r="G883" s="1">
        <v>8</v>
      </c>
      <c r="H883" s="1">
        <v>-1.3</v>
      </c>
      <c r="I883" s="1"/>
      <c r="J883" s="1"/>
    </row>
    <row r="884" spans="1:10" x14ac:dyDescent="0.3">
      <c r="A884" t="str">
        <f t="shared" si="26"/>
        <v>RM</v>
      </c>
      <c r="B884">
        <f t="shared" si="27"/>
        <v>14521</v>
      </c>
      <c r="D884" s="1"/>
      <c r="E884" s="1" t="s">
        <v>402</v>
      </c>
      <c r="F884" s="1">
        <v>278</v>
      </c>
      <c r="G884" s="1">
        <v>9</v>
      </c>
      <c r="H884" s="1">
        <v>-1.9</v>
      </c>
      <c r="I884" s="1"/>
      <c r="J884" s="1"/>
    </row>
    <row r="885" spans="1:10" x14ac:dyDescent="0.3">
      <c r="A885" t="str">
        <f t="shared" si="26"/>
        <v>RM</v>
      </c>
      <c r="B885">
        <f t="shared" si="27"/>
        <v>14321</v>
      </c>
      <c r="D885" s="1"/>
      <c r="E885" s="1" t="s">
        <v>391</v>
      </c>
      <c r="F885" s="1">
        <v>290</v>
      </c>
      <c r="G885" s="1">
        <v>12</v>
      </c>
      <c r="H885" s="1">
        <v>-2.4</v>
      </c>
      <c r="I885" s="1"/>
      <c r="J885" s="1"/>
    </row>
    <row r="886" spans="1:10" x14ac:dyDescent="0.3">
      <c r="A886" t="str">
        <f t="shared" si="26"/>
        <v>RM</v>
      </c>
      <c r="B886">
        <f t="shared" si="27"/>
        <v>3321</v>
      </c>
      <c r="D886" s="1"/>
      <c r="E886" s="1" t="s">
        <v>91</v>
      </c>
      <c r="F886" s="1">
        <v>323</v>
      </c>
      <c r="G886" s="1">
        <v>9</v>
      </c>
      <c r="H886" s="1">
        <v>-3.6</v>
      </c>
      <c r="I886" s="1"/>
      <c r="J886" s="1"/>
    </row>
    <row r="887" spans="1:10" x14ac:dyDescent="0.3">
      <c r="A887" t="str">
        <f t="shared" si="26"/>
        <v>RM</v>
      </c>
      <c r="B887">
        <f t="shared" si="27"/>
        <v>14121</v>
      </c>
      <c r="D887" s="1"/>
      <c r="E887" s="1" t="s">
        <v>299</v>
      </c>
      <c r="F887" s="1">
        <v>350</v>
      </c>
      <c r="G887" s="1">
        <v>14</v>
      </c>
      <c r="H887" s="1">
        <v>-7.2</v>
      </c>
      <c r="I887" s="1"/>
      <c r="J887" s="1"/>
    </row>
    <row r="888" spans="1:10" x14ac:dyDescent="0.3">
      <c r="A888" t="str">
        <f t="shared" si="26"/>
        <v>DRPG</v>
      </c>
      <c r="B888">
        <f t="shared" si="27"/>
        <v>3710</v>
      </c>
      <c r="D888" s="1" t="s">
        <v>443</v>
      </c>
      <c r="E888" s="1" t="s">
        <v>115</v>
      </c>
      <c r="F888" s="1">
        <v>1</v>
      </c>
      <c r="G888" s="1">
        <v>1</v>
      </c>
      <c r="H888" s="1">
        <v>31.57</v>
      </c>
      <c r="I888" s="1" t="s">
        <v>115</v>
      </c>
      <c r="J888" s="1">
        <v>31.57</v>
      </c>
    </row>
    <row r="889" spans="1:10" x14ac:dyDescent="0.3">
      <c r="A889" t="str">
        <f t="shared" si="26"/>
        <v>DRPG</v>
      </c>
      <c r="B889">
        <f t="shared" si="27"/>
        <v>2910</v>
      </c>
      <c r="D889" s="1"/>
      <c r="E889" s="1" t="s">
        <v>96</v>
      </c>
      <c r="F889" s="1">
        <v>3</v>
      </c>
      <c r="G889" s="1">
        <v>1</v>
      </c>
      <c r="H889" s="1">
        <v>29.14</v>
      </c>
      <c r="I889" s="1"/>
      <c r="J889" s="1"/>
    </row>
    <row r="890" spans="1:10" x14ac:dyDescent="0.3">
      <c r="A890" t="str">
        <f t="shared" si="26"/>
        <v>DRPG</v>
      </c>
      <c r="B890">
        <f t="shared" si="27"/>
        <v>3410</v>
      </c>
      <c r="D890" s="1"/>
      <c r="E890" s="1" t="s">
        <v>237</v>
      </c>
      <c r="F890" s="1">
        <v>4</v>
      </c>
      <c r="G890" s="1">
        <v>1</v>
      </c>
      <c r="H890" s="1">
        <v>28.84</v>
      </c>
      <c r="I890" s="1"/>
      <c r="J890" s="1"/>
    </row>
    <row r="891" spans="1:10" x14ac:dyDescent="0.3">
      <c r="A891" t="str">
        <f t="shared" si="26"/>
        <v>DRPG</v>
      </c>
      <c r="B891">
        <f t="shared" si="27"/>
        <v>3110</v>
      </c>
      <c r="D891" s="1"/>
      <c r="E891" s="1" t="s">
        <v>93</v>
      </c>
      <c r="F891" s="1">
        <v>5</v>
      </c>
      <c r="G891" s="1">
        <v>1</v>
      </c>
      <c r="H891" s="1">
        <v>28.73</v>
      </c>
      <c r="I891" s="1"/>
      <c r="J891" s="1"/>
    </row>
    <row r="892" spans="1:10" x14ac:dyDescent="0.3">
      <c r="A892" t="str">
        <f t="shared" si="26"/>
        <v>DRPG</v>
      </c>
      <c r="B892">
        <f t="shared" si="27"/>
        <v>2210</v>
      </c>
      <c r="D892" s="1"/>
      <c r="E892" s="1" t="s">
        <v>119</v>
      </c>
      <c r="F892" s="1">
        <v>9</v>
      </c>
      <c r="G892" s="1">
        <v>1</v>
      </c>
      <c r="H892" s="1">
        <v>28.05</v>
      </c>
      <c r="I892" s="1"/>
      <c r="J892" s="1"/>
    </row>
    <row r="893" spans="1:10" x14ac:dyDescent="0.3">
      <c r="A893" t="str">
        <f t="shared" si="26"/>
        <v>DRPG</v>
      </c>
      <c r="B893">
        <f t="shared" si="27"/>
        <v>18510</v>
      </c>
      <c r="D893" s="1"/>
      <c r="E893" s="1" t="s">
        <v>420</v>
      </c>
      <c r="F893" s="1">
        <v>13</v>
      </c>
      <c r="G893" s="1">
        <v>1</v>
      </c>
      <c r="H893" s="1">
        <v>27.86</v>
      </c>
      <c r="I893" s="1"/>
      <c r="J893" s="1"/>
    </row>
    <row r="894" spans="1:10" x14ac:dyDescent="0.3">
      <c r="A894" t="str">
        <f t="shared" si="26"/>
        <v>DRPG</v>
      </c>
      <c r="B894">
        <f t="shared" si="27"/>
        <v>9510</v>
      </c>
      <c r="D894" s="1"/>
      <c r="E894" s="1" t="s">
        <v>85</v>
      </c>
      <c r="F894" s="1">
        <v>16</v>
      </c>
      <c r="G894" s="1">
        <v>1</v>
      </c>
      <c r="H894" s="1">
        <v>27.77</v>
      </c>
      <c r="I894" s="1"/>
      <c r="J894" s="1"/>
    </row>
    <row r="895" spans="1:10" x14ac:dyDescent="0.3">
      <c r="A895" t="str">
        <f t="shared" si="26"/>
        <v>DRPG</v>
      </c>
      <c r="B895">
        <f t="shared" si="27"/>
        <v>7410</v>
      </c>
      <c r="D895" s="1"/>
      <c r="E895" s="1" t="s">
        <v>251</v>
      </c>
      <c r="F895" s="1">
        <v>25</v>
      </c>
      <c r="G895" s="1">
        <v>2</v>
      </c>
      <c r="H895" s="1">
        <v>27.46</v>
      </c>
      <c r="I895" s="1"/>
      <c r="J895" s="1"/>
    </row>
    <row r="896" spans="1:10" x14ac:dyDescent="0.3">
      <c r="A896" t="str">
        <f t="shared" si="26"/>
        <v>DRPG</v>
      </c>
      <c r="B896">
        <f t="shared" si="27"/>
        <v>1410</v>
      </c>
      <c r="D896" s="1"/>
      <c r="E896" s="1" t="s">
        <v>102</v>
      </c>
      <c r="F896" s="1">
        <v>34</v>
      </c>
      <c r="G896" s="1">
        <v>2</v>
      </c>
      <c r="H896" s="1">
        <v>26.94</v>
      </c>
      <c r="I896" s="1"/>
      <c r="J896" s="1"/>
    </row>
    <row r="897" spans="1:10" x14ac:dyDescent="0.3">
      <c r="A897" t="str">
        <f t="shared" si="26"/>
        <v>DRPG</v>
      </c>
      <c r="B897">
        <f t="shared" si="27"/>
        <v>4410</v>
      </c>
      <c r="D897" s="1"/>
      <c r="E897" s="1" t="s">
        <v>83</v>
      </c>
      <c r="F897" s="1">
        <v>35</v>
      </c>
      <c r="G897" s="1">
        <v>2</v>
      </c>
      <c r="H897" s="1">
        <v>26.84</v>
      </c>
      <c r="I897" s="1"/>
      <c r="J897" s="1"/>
    </row>
    <row r="898" spans="1:10" x14ac:dyDescent="0.3">
      <c r="A898" t="str">
        <f t="shared" ref="A898:A961" si="28">IF(NOT(D898=""),INDEX(statAbbr,MATCH(D898,statOfficial,0),1),A897)</f>
        <v>DRPG</v>
      </c>
      <c r="B898">
        <f t="shared" ref="B898:B961" si="29">INDEX(statID,MATCH(A898,statAbbr,0),1)+INDEX(teamID,MATCH(E898,teamRawName,0))</f>
        <v>11510</v>
      </c>
      <c r="D898" s="1"/>
      <c r="E898" s="1" t="s">
        <v>97</v>
      </c>
      <c r="F898" s="1">
        <v>36</v>
      </c>
      <c r="G898" s="1">
        <v>1</v>
      </c>
      <c r="H898" s="1">
        <v>26.83</v>
      </c>
      <c r="I898" s="1"/>
      <c r="J898" s="1"/>
    </row>
    <row r="899" spans="1:10" x14ac:dyDescent="0.3">
      <c r="A899" t="str">
        <f t="shared" si="28"/>
        <v>DRPG</v>
      </c>
      <c r="B899">
        <f t="shared" si="29"/>
        <v>4310</v>
      </c>
      <c r="D899" s="1"/>
      <c r="E899" s="1" t="s">
        <v>125</v>
      </c>
      <c r="F899" s="1">
        <v>38</v>
      </c>
      <c r="G899" s="1">
        <v>2</v>
      </c>
      <c r="H899" s="1">
        <v>26.73</v>
      </c>
      <c r="I899" s="1"/>
      <c r="J899" s="1"/>
    </row>
    <row r="900" spans="1:10" x14ac:dyDescent="0.3">
      <c r="A900" t="str">
        <f t="shared" si="28"/>
        <v>DRPG</v>
      </c>
      <c r="B900">
        <f t="shared" si="29"/>
        <v>2110</v>
      </c>
      <c r="D900" s="1"/>
      <c r="E900" s="1" t="s">
        <v>136</v>
      </c>
      <c r="F900" s="1">
        <v>39</v>
      </c>
      <c r="G900" s="1">
        <v>3</v>
      </c>
      <c r="H900" s="1">
        <v>26.71</v>
      </c>
      <c r="I900" s="1"/>
      <c r="J900" s="1"/>
    </row>
    <row r="901" spans="1:10" x14ac:dyDescent="0.3">
      <c r="A901" t="str">
        <f t="shared" si="28"/>
        <v>DRPG</v>
      </c>
      <c r="B901">
        <f t="shared" si="29"/>
        <v>5410</v>
      </c>
      <c r="D901" s="1"/>
      <c r="E901" s="1" t="s">
        <v>94</v>
      </c>
      <c r="F901" s="1">
        <v>43</v>
      </c>
      <c r="G901" s="1">
        <v>3</v>
      </c>
      <c r="H901" s="1">
        <v>26.67</v>
      </c>
      <c r="I901" s="1"/>
      <c r="J901" s="1"/>
    </row>
    <row r="902" spans="1:10" x14ac:dyDescent="0.3">
      <c r="A902" t="str">
        <f t="shared" si="28"/>
        <v>DRPG</v>
      </c>
      <c r="B902">
        <f t="shared" si="29"/>
        <v>910</v>
      </c>
      <c r="D902" s="1"/>
      <c r="E902" s="1" t="s">
        <v>90</v>
      </c>
      <c r="F902" s="1">
        <v>45</v>
      </c>
      <c r="G902" s="1">
        <v>3</v>
      </c>
      <c r="H902" s="1">
        <v>26.65</v>
      </c>
      <c r="I902" s="1"/>
      <c r="J902" s="1"/>
    </row>
    <row r="903" spans="1:10" x14ac:dyDescent="0.3">
      <c r="A903" t="str">
        <f t="shared" si="28"/>
        <v>DRPG</v>
      </c>
      <c r="B903">
        <f t="shared" si="29"/>
        <v>9410</v>
      </c>
      <c r="D903" s="1"/>
      <c r="E903" s="1" t="s">
        <v>264</v>
      </c>
      <c r="F903" s="1">
        <v>53</v>
      </c>
      <c r="G903" s="1">
        <v>4</v>
      </c>
      <c r="H903" s="1">
        <v>26.54</v>
      </c>
      <c r="I903" s="1"/>
      <c r="J903" s="1"/>
    </row>
    <row r="904" spans="1:10" x14ac:dyDescent="0.3">
      <c r="A904" t="str">
        <f t="shared" si="28"/>
        <v>DRPG</v>
      </c>
      <c r="B904">
        <f t="shared" si="29"/>
        <v>5810</v>
      </c>
      <c r="D904" s="1"/>
      <c r="E904" s="1" t="s">
        <v>139</v>
      </c>
      <c r="F904" s="1">
        <v>54</v>
      </c>
      <c r="G904" s="1">
        <v>4</v>
      </c>
      <c r="H904" s="1">
        <v>26.47</v>
      </c>
      <c r="I904" s="1"/>
      <c r="J904" s="1"/>
    </row>
    <row r="905" spans="1:10" x14ac:dyDescent="0.3">
      <c r="A905" t="str">
        <f t="shared" si="28"/>
        <v>DRPG</v>
      </c>
      <c r="B905">
        <f t="shared" si="29"/>
        <v>14310</v>
      </c>
      <c r="D905" s="1"/>
      <c r="E905" s="1" t="s">
        <v>391</v>
      </c>
      <c r="F905" s="1">
        <v>56</v>
      </c>
      <c r="G905" s="1">
        <v>5</v>
      </c>
      <c r="H905" s="1">
        <v>26.43</v>
      </c>
      <c r="I905" s="1"/>
      <c r="J905" s="1"/>
    </row>
    <row r="906" spans="1:10" x14ac:dyDescent="0.3">
      <c r="A906" t="str">
        <f t="shared" si="28"/>
        <v>DRPG</v>
      </c>
      <c r="B906">
        <f t="shared" si="29"/>
        <v>3010</v>
      </c>
      <c r="D906" s="1"/>
      <c r="E906" s="1" t="s">
        <v>89</v>
      </c>
      <c r="F906" s="1">
        <v>59</v>
      </c>
      <c r="G906" s="1">
        <v>6</v>
      </c>
      <c r="H906" s="1">
        <v>26.4</v>
      </c>
      <c r="I906" s="1"/>
      <c r="J906" s="1"/>
    </row>
    <row r="907" spans="1:10" x14ac:dyDescent="0.3">
      <c r="A907" t="str">
        <f t="shared" si="28"/>
        <v>DRPG</v>
      </c>
      <c r="B907">
        <f t="shared" si="29"/>
        <v>18710</v>
      </c>
      <c r="D907" s="1"/>
      <c r="E907" s="1" t="s">
        <v>427</v>
      </c>
      <c r="F907" s="1">
        <v>59</v>
      </c>
      <c r="G907" s="1">
        <v>1</v>
      </c>
      <c r="H907" s="1">
        <v>26.4</v>
      </c>
      <c r="I907" s="1"/>
      <c r="J907" s="1"/>
    </row>
    <row r="908" spans="1:10" x14ac:dyDescent="0.3">
      <c r="A908" t="str">
        <f t="shared" si="28"/>
        <v>DRPG</v>
      </c>
      <c r="B908">
        <f t="shared" si="29"/>
        <v>2310</v>
      </c>
      <c r="D908" s="1"/>
      <c r="E908" s="1" t="s">
        <v>79</v>
      </c>
      <c r="F908" s="1">
        <v>63</v>
      </c>
      <c r="G908" s="1">
        <v>4</v>
      </c>
      <c r="H908" s="1">
        <v>26.33</v>
      </c>
      <c r="I908" s="1"/>
      <c r="J908" s="1"/>
    </row>
    <row r="909" spans="1:10" x14ac:dyDescent="0.3">
      <c r="A909" t="str">
        <f t="shared" si="28"/>
        <v>DRPG</v>
      </c>
      <c r="B909">
        <f t="shared" si="29"/>
        <v>3910</v>
      </c>
      <c r="D909" s="1"/>
      <c r="E909" s="1" t="s">
        <v>88</v>
      </c>
      <c r="F909" s="1">
        <v>71</v>
      </c>
      <c r="G909" s="1">
        <v>2</v>
      </c>
      <c r="H909" s="1">
        <v>26.14</v>
      </c>
      <c r="I909" s="1"/>
      <c r="J909" s="1"/>
    </row>
    <row r="910" spans="1:10" x14ac:dyDescent="0.3">
      <c r="A910" t="str">
        <f t="shared" si="28"/>
        <v>DRPG</v>
      </c>
      <c r="B910">
        <f t="shared" si="29"/>
        <v>2810</v>
      </c>
      <c r="D910" s="1"/>
      <c r="E910" s="1" t="s">
        <v>106</v>
      </c>
      <c r="F910" s="1">
        <v>72</v>
      </c>
      <c r="G910" s="1">
        <v>3</v>
      </c>
      <c r="H910" s="1">
        <v>26.14</v>
      </c>
      <c r="I910" s="1"/>
      <c r="J910" s="1"/>
    </row>
    <row r="911" spans="1:10" x14ac:dyDescent="0.3">
      <c r="A911" t="str">
        <f t="shared" si="28"/>
        <v>DRPG</v>
      </c>
      <c r="B911">
        <f t="shared" si="29"/>
        <v>5310</v>
      </c>
      <c r="D911" s="1"/>
      <c r="E911" s="1" t="s">
        <v>242</v>
      </c>
      <c r="F911" s="1">
        <v>81</v>
      </c>
      <c r="G911" s="1">
        <v>4</v>
      </c>
      <c r="H911" s="1">
        <v>26.03</v>
      </c>
      <c r="I911" s="1"/>
      <c r="J911" s="1"/>
    </row>
    <row r="912" spans="1:10" x14ac:dyDescent="0.3">
      <c r="A912" t="str">
        <f t="shared" si="28"/>
        <v>DRPG</v>
      </c>
      <c r="B912">
        <f t="shared" si="29"/>
        <v>6810</v>
      </c>
      <c r="D912" s="1"/>
      <c r="E912" s="1" t="s">
        <v>248</v>
      </c>
      <c r="F912" s="1">
        <v>85</v>
      </c>
      <c r="G912" s="1">
        <v>5</v>
      </c>
      <c r="H912" s="1">
        <v>25.97</v>
      </c>
      <c r="I912" s="1"/>
      <c r="J912" s="1"/>
    </row>
    <row r="913" spans="1:10" x14ac:dyDescent="0.3">
      <c r="A913" t="str">
        <f t="shared" si="28"/>
        <v>DRPG</v>
      </c>
      <c r="B913">
        <f t="shared" si="29"/>
        <v>11810</v>
      </c>
      <c r="D913" s="1"/>
      <c r="E913" s="1" t="s">
        <v>281</v>
      </c>
      <c r="F913" s="1">
        <v>88</v>
      </c>
      <c r="G913" s="1">
        <v>1</v>
      </c>
      <c r="H913" s="1">
        <v>25.94</v>
      </c>
      <c r="I913" s="1"/>
      <c r="J913" s="1"/>
    </row>
    <row r="914" spans="1:10" x14ac:dyDescent="0.3">
      <c r="A914" t="str">
        <f t="shared" si="28"/>
        <v>DRPG</v>
      </c>
      <c r="B914">
        <f t="shared" si="29"/>
        <v>4610</v>
      </c>
      <c r="D914" s="1"/>
      <c r="E914" s="1" t="s">
        <v>101</v>
      </c>
      <c r="F914" s="1">
        <v>89</v>
      </c>
      <c r="G914" s="1">
        <v>5</v>
      </c>
      <c r="H914" s="1">
        <v>25.94</v>
      </c>
      <c r="I914" s="1"/>
      <c r="J914" s="1"/>
    </row>
    <row r="915" spans="1:10" x14ac:dyDescent="0.3">
      <c r="A915" t="str">
        <f t="shared" si="28"/>
        <v>DRPG</v>
      </c>
      <c r="B915">
        <f t="shared" si="29"/>
        <v>2410</v>
      </c>
      <c r="D915" s="1"/>
      <c r="E915" s="1" t="s">
        <v>330</v>
      </c>
      <c r="F915" s="1">
        <v>91</v>
      </c>
      <c r="G915" s="1">
        <v>5</v>
      </c>
      <c r="H915" s="1">
        <v>25.88</v>
      </c>
      <c r="I915" s="1"/>
      <c r="J915" s="1"/>
    </row>
    <row r="916" spans="1:10" x14ac:dyDescent="0.3">
      <c r="A916" t="str">
        <f t="shared" si="28"/>
        <v>DRPG</v>
      </c>
      <c r="B916">
        <f t="shared" si="29"/>
        <v>8410</v>
      </c>
      <c r="D916" s="1"/>
      <c r="E916" s="1" t="s">
        <v>109</v>
      </c>
      <c r="F916" s="1">
        <v>104</v>
      </c>
      <c r="G916" s="1">
        <v>4</v>
      </c>
      <c r="H916" s="1">
        <v>25.71</v>
      </c>
      <c r="I916" s="1"/>
      <c r="J916" s="1"/>
    </row>
    <row r="917" spans="1:10" x14ac:dyDescent="0.3">
      <c r="A917" t="str">
        <f t="shared" si="28"/>
        <v>DRPG</v>
      </c>
      <c r="B917">
        <f t="shared" si="29"/>
        <v>18610</v>
      </c>
      <c r="D917" s="1"/>
      <c r="E917" s="1" t="s">
        <v>425</v>
      </c>
      <c r="F917" s="1">
        <v>108</v>
      </c>
      <c r="G917" s="1">
        <v>7</v>
      </c>
      <c r="H917" s="1">
        <v>25.63</v>
      </c>
      <c r="I917" s="1"/>
      <c r="J917" s="1"/>
    </row>
    <row r="918" spans="1:10" x14ac:dyDescent="0.3">
      <c r="A918" t="str">
        <f t="shared" si="28"/>
        <v>DRPG</v>
      </c>
      <c r="B918">
        <f t="shared" si="29"/>
        <v>14510</v>
      </c>
      <c r="D918" s="1"/>
      <c r="E918" s="1" t="s">
        <v>402</v>
      </c>
      <c r="F918" s="1">
        <v>112</v>
      </c>
      <c r="G918" s="1">
        <v>6</v>
      </c>
      <c r="H918" s="1">
        <v>25.56</v>
      </c>
      <c r="I918" s="1"/>
      <c r="J918" s="1"/>
    </row>
    <row r="919" spans="1:10" x14ac:dyDescent="0.3">
      <c r="A919" t="str">
        <f t="shared" si="28"/>
        <v>DRPG</v>
      </c>
      <c r="B919">
        <f t="shared" si="29"/>
        <v>5510</v>
      </c>
      <c r="D919" s="1"/>
      <c r="E919" s="1" t="s">
        <v>86</v>
      </c>
      <c r="F919" s="1">
        <v>117</v>
      </c>
      <c r="G919" s="1">
        <v>3</v>
      </c>
      <c r="H919" s="1">
        <v>25.5</v>
      </c>
      <c r="I919" s="1"/>
      <c r="J919" s="1"/>
    </row>
    <row r="920" spans="1:10" x14ac:dyDescent="0.3">
      <c r="A920" t="str">
        <f t="shared" si="28"/>
        <v>DRPG</v>
      </c>
      <c r="B920">
        <f t="shared" si="29"/>
        <v>3510</v>
      </c>
      <c r="D920" s="1"/>
      <c r="E920" s="1" t="s">
        <v>87</v>
      </c>
      <c r="F920" s="1">
        <v>117</v>
      </c>
      <c r="G920" s="1">
        <v>3</v>
      </c>
      <c r="H920" s="1">
        <v>25.5</v>
      </c>
      <c r="I920" s="1"/>
      <c r="J920" s="1"/>
    </row>
    <row r="921" spans="1:10" x14ac:dyDescent="0.3">
      <c r="A921" t="str">
        <f t="shared" si="28"/>
        <v>DRPG</v>
      </c>
      <c r="B921">
        <f t="shared" si="29"/>
        <v>6610</v>
      </c>
      <c r="D921" s="1"/>
      <c r="E921" s="1" t="s">
        <v>247</v>
      </c>
      <c r="F921" s="1">
        <v>120</v>
      </c>
      <c r="G921" s="1">
        <v>6</v>
      </c>
      <c r="H921" s="1">
        <v>25.49</v>
      </c>
      <c r="I921" s="1"/>
      <c r="J921" s="1"/>
    </row>
    <row r="922" spans="1:10" x14ac:dyDescent="0.3">
      <c r="A922" t="str">
        <f t="shared" si="28"/>
        <v>DRPG</v>
      </c>
      <c r="B922">
        <f t="shared" si="29"/>
        <v>15210</v>
      </c>
      <c r="D922" s="1"/>
      <c r="E922" s="1" t="s">
        <v>426</v>
      </c>
      <c r="F922" s="1">
        <v>126</v>
      </c>
      <c r="G922" s="1">
        <v>6</v>
      </c>
      <c r="H922" s="1">
        <v>25.42</v>
      </c>
      <c r="I922" s="1"/>
      <c r="J922" s="1"/>
    </row>
    <row r="923" spans="1:10" x14ac:dyDescent="0.3">
      <c r="A923" t="str">
        <f t="shared" si="28"/>
        <v>DRPG</v>
      </c>
      <c r="B923">
        <f t="shared" si="29"/>
        <v>19010</v>
      </c>
      <c r="D923" s="1"/>
      <c r="E923" s="1" t="s">
        <v>176</v>
      </c>
      <c r="F923" s="1">
        <v>127</v>
      </c>
      <c r="G923" s="1">
        <v>8</v>
      </c>
      <c r="H923" s="1">
        <v>25.41</v>
      </c>
      <c r="I923" s="1"/>
      <c r="J923" s="1"/>
    </row>
    <row r="924" spans="1:10" x14ac:dyDescent="0.3">
      <c r="A924" t="str">
        <f t="shared" si="28"/>
        <v>DRPG</v>
      </c>
      <c r="B924">
        <f t="shared" si="29"/>
        <v>1210</v>
      </c>
      <c r="D924" s="1"/>
      <c r="E924" s="1" t="s">
        <v>130</v>
      </c>
      <c r="F924" s="1">
        <v>129</v>
      </c>
      <c r="G924" s="1">
        <v>6</v>
      </c>
      <c r="H924" s="1">
        <v>25.38</v>
      </c>
      <c r="I924" s="1"/>
      <c r="J924" s="1"/>
    </row>
    <row r="925" spans="1:10" x14ac:dyDescent="0.3">
      <c r="A925" t="str">
        <f t="shared" si="28"/>
        <v>DRPG</v>
      </c>
      <c r="B925">
        <f t="shared" si="29"/>
        <v>19110</v>
      </c>
      <c r="D925" s="1"/>
      <c r="E925" s="1" t="s">
        <v>421</v>
      </c>
      <c r="F925" s="1">
        <v>140</v>
      </c>
      <c r="G925" s="1">
        <v>5</v>
      </c>
      <c r="H925" s="1">
        <v>25.31</v>
      </c>
      <c r="I925" s="1"/>
      <c r="J925" s="1"/>
    </row>
    <row r="926" spans="1:10" x14ac:dyDescent="0.3">
      <c r="A926" t="str">
        <f t="shared" si="28"/>
        <v>DRPG</v>
      </c>
      <c r="B926">
        <f t="shared" si="29"/>
        <v>1910</v>
      </c>
      <c r="D926" s="1"/>
      <c r="E926" s="1" t="s">
        <v>112</v>
      </c>
      <c r="F926" s="1">
        <v>142</v>
      </c>
      <c r="G926" s="1">
        <v>6</v>
      </c>
      <c r="H926" s="1">
        <v>25.26</v>
      </c>
      <c r="I926" s="1"/>
      <c r="J926" s="1"/>
    </row>
    <row r="927" spans="1:10" x14ac:dyDescent="0.3">
      <c r="A927" t="str">
        <f t="shared" si="28"/>
        <v>DRPG</v>
      </c>
      <c r="B927">
        <f t="shared" si="29"/>
        <v>18310</v>
      </c>
      <c r="D927" s="1"/>
      <c r="E927" s="1" t="s">
        <v>423</v>
      </c>
      <c r="F927" s="1">
        <v>155</v>
      </c>
      <c r="G927" s="1">
        <v>1</v>
      </c>
      <c r="H927" s="1">
        <v>25.17</v>
      </c>
      <c r="I927" s="1"/>
      <c r="J927" s="1"/>
    </row>
    <row r="928" spans="1:10" x14ac:dyDescent="0.3">
      <c r="A928" t="str">
        <f t="shared" si="28"/>
        <v>DRPG</v>
      </c>
      <c r="B928">
        <f t="shared" si="29"/>
        <v>8110</v>
      </c>
      <c r="D928" s="1"/>
      <c r="E928" s="1" t="s">
        <v>256</v>
      </c>
      <c r="F928" s="1">
        <v>162</v>
      </c>
      <c r="G928" s="1">
        <v>5</v>
      </c>
      <c r="H928" s="1">
        <v>24.97</v>
      </c>
      <c r="I928" s="1"/>
      <c r="J928" s="1"/>
    </row>
    <row r="929" spans="1:10" x14ac:dyDescent="0.3">
      <c r="A929" t="str">
        <f t="shared" si="28"/>
        <v>DRPG</v>
      </c>
      <c r="B929">
        <f t="shared" si="29"/>
        <v>1610</v>
      </c>
      <c r="D929" s="1"/>
      <c r="E929" s="1" t="s">
        <v>137</v>
      </c>
      <c r="F929" s="1">
        <v>165</v>
      </c>
      <c r="G929" s="1">
        <v>7</v>
      </c>
      <c r="H929" s="1">
        <v>24.94</v>
      </c>
      <c r="I929" s="1"/>
      <c r="J929" s="1"/>
    </row>
    <row r="930" spans="1:10" x14ac:dyDescent="0.3">
      <c r="A930" t="str">
        <f t="shared" si="28"/>
        <v>DRPG</v>
      </c>
      <c r="B930">
        <f t="shared" si="29"/>
        <v>7910</v>
      </c>
      <c r="D930" s="1"/>
      <c r="E930" s="1" t="s">
        <v>103</v>
      </c>
      <c r="F930" s="1">
        <v>174</v>
      </c>
      <c r="G930" s="1">
        <v>7</v>
      </c>
      <c r="H930" s="1">
        <v>24.85</v>
      </c>
      <c r="I930" s="1"/>
      <c r="J930" s="1"/>
    </row>
    <row r="931" spans="1:10" x14ac:dyDescent="0.3">
      <c r="A931" t="str">
        <f t="shared" si="28"/>
        <v>DRPG</v>
      </c>
      <c r="B931">
        <f t="shared" si="29"/>
        <v>710</v>
      </c>
      <c r="D931" s="1"/>
      <c r="E931" s="1" t="s">
        <v>319</v>
      </c>
      <c r="F931" s="1">
        <v>179</v>
      </c>
      <c r="G931" s="1">
        <v>5</v>
      </c>
      <c r="H931" s="1">
        <v>24.78</v>
      </c>
      <c r="I931" s="1"/>
      <c r="J931" s="1"/>
    </row>
    <row r="932" spans="1:10" x14ac:dyDescent="0.3">
      <c r="A932" t="str">
        <f t="shared" si="28"/>
        <v>DRPG</v>
      </c>
      <c r="B932">
        <f t="shared" si="29"/>
        <v>2510</v>
      </c>
      <c r="D932" s="1"/>
      <c r="E932" s="1" t="s">
        <v>92</v>
      </c>
      <c r="F932" s="1">
        <v>185</v>
      </c>
      <c r="G932" s="1">
        <v>6</v>
      </c>
      <c r="H932" s="1">
        <v>24.71</v>
      </c>
      <c r="I932" s="1"/>
      <c r="J932" s="1"/>
    </row>
    <row r="933" spans="1:10" x14ac:dyDescent="0.3">
      <c r="A933" t="str">
        <f t="shared" si="28"/>
        <v>DRPG</v>
      </c>
      <c r="B933">
        <f t="shared" si="29"/>
        <v>13410</v>
      </c>
      <c r="D933" s="1"/>
      <c r="E933" s="1" t="s">
        <v>400</v>
      </c>
      <c r="F933" s="1">
        <v>190</v>
      </c>
      <c r="G933" s="1">
        <v>7</v>
      </c>
      <c r="H933" s="1">
        <v>24.66</v>
      </c>
      <c r="I933" s="1"/>
      <c r="J933" s="1"/>
    </row>
    <row r="934" spans="1:10" x14ac:dyDescent="0.3">
      <c r="A934" t="str">
        <f t="shared" si="28"/>
        <v>DRPG</v>
      </c>
      <c r="B934">
        <f t="shared" si="29"/>
        <v>12010</v>
      </c>
      <c r="D934" s="1"/>
      <c r="E934" s="1" t="s">
        <v>135</v>
      </c>
      <c r="F934" s="1">
        <v>190</v>
      </c>
      <c r="G934" s="1">
        <v>5</v>
      </c>
      <c r="H934" s="1">
        <v>24.66</v>
      </c>
      <c r="I934" s="1"/>
      <c r="J934" s="1"/>
    </row>
    <row r="935" spans="1:10" x14ac:dyDescent="0.3">
      <c r="A935" t="str">
        <f t="shared" si="28"/>
        <v>DRPG</v>
      </c>
      <c r="B935">
        <f t="shared" si="29"/>
        <v>4510</v>
      </c>
      <c r="D935" s="1"/>
      <c r="E935" s="1" t="s">
        <v>84</v>
      </c>
      <c r="F935" s="1">
        <v>197</v>
      </c>
      <c r="G935" s="1">
        <v>9</v>
      </c>
      <c r="H935" s="1">
        <v>24.56</v>
      </c>
      <c r="I935" s="1"/>
      <c r="J935" s="1"/>
    </row>
    <row r="936" spans="1:10" x14ac:dyDescent="0.3">
      <c r="A936" t="str">
        <f t="shared" si="28"/>
        <v>DRPG</v>
      </c>
      <c r="B936">
        <f t="shared" si="29"/>
        <v>5210</v>
      </c>
      <c r="D936" s="1"/>
      <c r="E936" s="1" t="s">
        <v>241</v>
      </c>
      <c r="F936" s="1">
        <v>199</v>
      </c>
      <c r="G936" s="1">
        <v>10</v>
      </c>
      <c r="H936" s="1">
        <v>24.52</v>
      </c>
      <c r="I936" s="1"/>
      <c r="J936" s="1"/>
    </row>
    <row r="937" spans="1:10" x14ac:dyDescent="0.3">
      <c r="A937" t="str">
        <f t="shared" si="28"/>
        <v>DRPG</v>
      </c>
      <c r="B937">
        <f t="shared" si="29"/>
        <v>6710</v>
      </c>
      <c r="D937" s="1"/>
      <c r="E937" s="1" t="s">
        <v>118</v>
      </c>
      <c r="F937" s="1">
        <v>204</v>
      </c>
      <c r="G937" s="1">
        <v>7</v>
      </c>
      <c r="H937" s="1">
        <v>24.47</v>
      </c>
      <c r="I937" s="1"/>
      <c r="J937" s="1"/>
    </row>
    <row r="938" spans="1:10" x14ac:dyDescent="0.3">
      <c r="A938" t="str">
        <f t="shared" si="28"/>
        <v>DRPG</v>
      </c>
      <c r="B938">
        <f t="shared" si="29"/>
        <v>8610</v>
      </c>
      <c r="D938" s="1"/>
      <c r="E938" s="1" t="s">
        <v>259</v>
      </c>
      <c r="F938" s="1">
        <v>207</v>
      </c>
      <c r="G938" s="1">
        <v>4</v>
      </c>
      <c r="H938" s="1">
        <v>24.46</v>
      </c>
      <c r="I938" s="1"/>
      <c r="J938" s="1"/>
    </row>
    <row r="939" spans="1:10" x14ac:dyDescent="0.3">
      <c r="A939" t="str">
        <f t="shared" si="28"/>
        <v>DRPG</v>
      </c>
      <c r="B939">
        <f t="shared" si="29"/>
        <v>3610</v>
      </c>
      <c r="D939" s="1"/>
      <c r="E939" s="1" t="s">
        <v>129</v>
      </c>
      <c r="F939" s="1">
        <v>215</v>
      </c>
      <c r="G939" s="1">
        <v>10</v>
      </c>
      <c r="H939" s="1">
        <v>24.37</v>
      </c>
      <c r="I939" s="1"/>
      <c r="J939" s="1"/>
    </row>
    <row r="940" spans="1:10" x14ac:dyDescent="0.3">
      <c r="A940" t="str">
        <f t="shared" si="28"/>
        <v>DRPG</v>
      </c>
      <c r="B940">
        <f t="shared" si="29"/>
        <v>110</v>
      </c>
      <c r="D940" s="1"/>
      <c r="E940" s="1" t="s">
        <v>312</v>
      </c>
      <c r="F940" s="1">
        <v>218</v>
      </c>
      <c r="G940" s="1">
        <v>11</v>
      </c>
      <c r="H940" s="1">
        <v>24.35</v>
      </c>
      <c r="I940" s="1"/>
      <c r="J940" s="1"/>
    </row>
    <row r="941" spans="1:10" x14ac:dyDescent="0.3">
      <c r="A941" t="str">
        <f t="shared" si="28"/>
        <v>DRPG</v>
      </c>
      <c r="B941">
        <f t="shared" si="29"/>
        <v>5610</v>
      </c>
      <c r="D941" s="1"/>
      <c r="E941" s="1" t="s">
        <v>62</v>
      </c>
      <c r="F941" s="1">
        <v>221</v>
      </c>
      <c r="G941" s="1">
        <v>8</v>
      </c>
      <c r="H941" s="1">
        <v>24.34</v>
      </c>
      <c r="I941" s="1"/>
      <c r="J941" s="1"/>
    </row>
    <row r="942" spans="1:10" x14ac:dyDescent="0.3">
      <c r="A942" t="str">
        <f t="shared" si="28"/>
        <v>DRPG</v>
      </c>
      <c r="B942">
        <f t="shared" si="29"/>
        <v>6210</v>
      </c>
      <c r="D942" s="1"/>
      <c r="E942" s="1" t="s">
        <v>81</v>
      </c>
      <c r="F942" s="1">
        <v>228</v>
      </c>
      <c r="G942" s="1">
        <v>12</v>
      </c>
      <c r="H942" s="1">
        <v>24.24</v>
      </c>
      <c r="I942" s="1"/>
      <c r="J942" s="1"/>
    </row>
    <row r="943" spans="1:10" x14ac:dyDescent="0.3">
      <c r="A943" t="str">
        <f t="shared" si="28"/>
        <v>DRPG</v>
      </c>
      <c r="B943">
        <f t="shared" si="29"/>
        <v>8810</v>
      </c>
      <c r="D943" s="1"/>
      <c r="E943" s="1" t="s">
        <v>141</v>
      </c>
      <c r="F943" s="1">
        <v>234</v>
      </c>
      <c r="G943" s="1">
        <v>3</v>
      </c>
      <c r="H943" s="1">
        <v>24.14</v>
      </c>
      <c r="I943" s="1"/>
      <c r="J943" s="1"/>
    </row>
    <row r="944" spans="1:10" x14ac:dyDescent="0.3">
      <c r="A944" t="str">
        <f t="shared" si="28"/>
        <v>DRPG</v>
      </c>
      <c r="B944">
        <f t="shared" si="29"/>
        <v>9010</v>
      </c>
      <c r="D944" s="1"/>
      <c r="E944" s="1" t="s">
        <v>261</v>
      </c>
      <c r="F944" s="1">
        <v>238</v>
      </c>
      <c r="G944" s="1">
        <v>9</v>
      </c>
      <c r="H944" s="1">
        <v>24.03</v>
      </c>
      <c r="I944" s="1"/>
      <c r="J944" s="1"/>
    </row>
    <row r="945" spans="1:10" x14ac:dyDescent="0.3">
      <c r="A945" t="str">
        <f t="shared" si="28"/>
        <v>DRPG</v>
      </c>
      <c r="B945">
        <f t="shared" si="29"/>
        <v>2610</v>
      </c>
      <c r="D945" s="1"/>
      <c r="E945" s="1" t="s">
        <v>80</v>
      </c>
      <c r="F945" s="1">
        <v>242</v>
      </c>
      <c r="G945" s="1">
        <v>12</v>
      </c>
      <c r="H945" s="1">
        <v>23.97</v>
      </c>
      <c r="I945" s="1"/>
      <c r="J945" s="1"/>
    </row>
    <row r="946" spans="1:10" x14ac:dyDescent="0.3">
      <c r="A946" t="str">
        <f t="shared" si="28"/>
        <v>DRPG</v>
      </c>
      <c r="B946">
        <f t="shared" si="29"/>
        <v>12210</v>
      </c>
      <c r="D946" s="1"/>
      <c r="E946" s="1" t="s">
        <v>284</v>
      </c>
      <c r="F946" s="1">
        <v>246</v>
      </c>
      <c r="G946" s="1">
        <v>12</v>
      </c>
      <c r="H946" s="1">
        <v>23.91</v>
      </c>
      <c r="I946" s="1"/>
      <c r="J946" s="1"/>
    </row>
    <row r="947" spans="1:10" x14ac:dyDescent="0.3">
      <c r="A947" t="str">
        <f t="shared" si="28"/>
        <v>DRPG</v>
      </c>
      <c r="B947">
        <f t="shared" si="29"/>
        <v>18910</v>
      </c>
      <c r="D947" s="1"/>
      <c r="E947" s="1" t="s">
        <v>422</v>
      </c>
      <c r="F947" s="1">
        <v>252</v>
      </c>
      <c r="G947" s="1">
        <v>8</v>
      </c>
      <c r="H947" s="1">
        <v>23.83</v>
      </c>
      <c r="I947" s="1"/>
      <c r="J947" s="1"/>
    </row>
    <row r="948" spans="1:10" x14ac:dyDescent="0.3">
      <c r="A948" t="str">
        <f t="shared" si="28"/>
        <v>DRPG</v>
      </c>
      <c r="B948">
        <f t="shared" si="29"/>
        <v>11110</v>
      </c>
      <c r="D948" s="1"/>
      <c r="E948" s="1" t="s">
        <v>277</v>
      </c>
      <c r="F948" s="1">
        <v>254</v>
      </c>
      <c r="G948" s="1">
        <v>13</v>
      </c>
      <c r="H948" s="1">
        <v>23.8</v>
      </c>
      <c r="I948" s="1"/>
      <c r="J948" s="1"/>
    </row>
    <row r="949" spans="1:10" x14ac:dyDescent="0.3">
      <c r="A949" t="str">
        <f t="shared" si="28"/>
        <v>DRPG</v>
      </c>
      <c r="B949">
        <f t="shared" si="29"/>
        <v>3310</v>
      </c>
      <c r="D949" s="1"/>
      <c r="E949" s="1" t="s">
        <v>91</v>
      </c>
      <c r="F949" s="1">
        <v>302</v>
      </c>
      <c r="G949" s="1">
        <v>11</v>
      </c>
      <c r="H949" s="1">
        <v>23.03</v>
      </c>
      <c r="I949" s="1"/>
      <c r="J949" s="1"/>
    </row>
    <row r="950" spans="1:10" x14ac:dyDescent="0.3">
      <c r="A950" t="str">
        <f t="shared" si="28"/>
        <v>DRPG</v>
      </c>
      <c r="B950">
        <f t="shared" si="29"/>
        <v>18410</v>
      </c>
      <c r="D950" s="1"/>
      <c r="E950" s="1" t="s">
        <v>417</v>
      </c>
      <c r="F950" s="1">
        <v>314</v>
      </c>
      <c r="G950" s="1">
        <v>6</v>
      </c>
      <c r="H950" s="1">
        <v>22.81</v>
      </c>
      <c r="I950" s="1"/>
      <c r="J950" s="1"/>
    </row>
    <row r="951" spans="1:10" x14ac:dyDescent="0.3">
      <c r="A951" t="str">
        <f t="shared" si="28"/>
        <v>DRPG</v>
      </c>
      <c r="B951">
        <f t="shared" si="29"/>
        <v>13310</v>
      </c>
      <c r="D951" s="1"/>
      <c r="E951" s="1" t="s">
        <v>291</v>
      </c>
      <c r="F951" s="1">
        <v>319</v>
      </c>
      <c r="G951" s="1">
        <v>9</v>
      </c>
      <c r="H951" s="1">
        <v>22.62</v>
      </c>
      <c r="I951" s="1"/>
      <c r="J951" s="1"/>
    </row>
    <row r="952" spans="1:10" x14ac:dyDescent="0.3">
      <c r="A952" t="str">
        <f t="shared" si="28"/>
        <v>DRPG</v>
      </c>
      <c r="B952">
        <f t="shared" si="29"/>
        <v>3210</v>
      </c>
      <c r="D952" s="1"/>
      <c r="E952" s="1" t="s">
        <v>127</v>
      </c>
      <c r="F952" s="1">
        <v>326</v>
      </c>
      <c r="G952" s="1">
        <v>10</v>
      </c>
      <c r="H952" s="1">
        <v>22.47</v>
      </c>
      <c r="I952" s="1"/>
      <c r="J952" s="1"/>
    </row>
    <row r="953" spans="1:10" x14ac:dyDescent="0.3">
      <c r="A953" t="str">
        <f t="shared" si="28"/>
        <v>DRPG</v>
      </c>
      <c r="B953">
        <f t="shared" si="29"/>
        <v>610</v>
      </c>
      <c r="D953" s="1"/>
      <c r="E953" s="1" t="s">
        <v>100</v>
      </c>
      <c r="F953" s="1">
        <v>341</v>
      </c>
      <c r="G953" s="1">
        <v>11</v>
      </c>
      <c r="H953" s="1">
        <v>22.15</v>
      </c>
      <c r="I953" s="1"/>
      <c r="J953" s="1"/>
    </row>
    <row r="954" spans="1:10" x14ac:dyDescent="0.3">
      <c r="A954" t="str">
        <f t="shared" si="28"/>
        <v>DRPG</v>
      </c>
      <c r="B954">
        <f t="shared" si="29"/>
        <v>14110</v>
      </c>
      <c r="D954" s="1"/>
      <c r="E954" s="1" t="s">
        <v>299</v>
      </c>
      <c r="F954" s="1">
        <v>349</v>
      </c>
      <c r="G954" s="1">
        <v>14</v>
      </c>
      <c r="H954" s="1">
        <v>21.37</v>
      </c>
      <c r="I954" s="1"/>
      <c r="J954" s="1"/>
    </row>
    <row r="955" spans="1:10" x14ac:dyDescent="0.3">
      <c r="A955" t="str">
        <f t="shared" si="28"/>
        <v>DRPG</v>
      </c>
      <c r="B955">
        <f t="shared" si="29"/>
        <v>18810</v>
      </c>
      <c r="D955" s="1"/>
      <c r="E955" s="1" t="s">
        <v>424</v>
      </c>
      <c r="F955" s="1">
        <v>351</v>
      </c>
      <c r="G955" s="1">
        <v>10</v>
      </c>
      <c r="H955" s="1">
        <v>21.2</v>
      </c>
      <c r="I955" s="1"/>
      <c r="J955" s="1"/>
    </row>
    <row r="956" spans="1:10" x14ac:dyDescent="0.3">
      <c r="A956" t="str">
        <f t="shared" si="28"/>
        <v>ORPG</v>
      </c>
      <c r="B956">
        <f t="shared" si="29"/>
        <v>5519</v>
      </c>
      <c r="D956" s="1" t="s">
        <v>444</v>
      </c>
      <c r="E956" s="1" t="s">
        <v>86</v>
      </c>
      <c r="F956" s="1">
        <v>1</v>
      </c>
      <c r="G956" s="1">
        <v>1</v>
      </c>
      <c r="H956" s="1">
        <v>13.88</v>
      </c>
      <c r="I956" s="1" t="s">
        <v>86</v>
      </c>
      <c r="J956" s="1">
        <v>13.88</v>
      </c>
    </row>
    <row r="957" spans="1:10" x14ac:dyDescent="0.3">
      <c r="A957" t="str">
        <f t="shared" si="28"/>
        <v>ORPG</v>
      </c>
      <c r="B957">
        <f t="shared" si="29"/>
        <v>11519</v>
      </c>
      <c r="D957" s="1"/>
      <c r="E957" s="1" t="s">
        <v>97</v>
      </c>
      <c r="F957" s="1">
        <v>6</v>
      </c>
      <c r="G957" s="1">
        <v>1</v>
      </c>
      <c r="H957" s="1">
        <v>13.49</v>
      </c>
      <c r="I957" s="1"/>
      <c r="J957" s="1"/>
    </row>
    <row r="958" spans="1:10" x14ac:dyDescent="0.3">
      <c r="A958" t="str">
        <f t="shared" si="28"/>
        <v>ORPG</v>
      </c>
      <c r="B958">
        <f t="shared" si="29"/>
        <v>3719</v>
      </c>
      <c r="D958" s="1"/>
      <c r="E958" s="1" t="s">
        <v>115</v>
      </c>
      <c r="F958" s="1">
        <v>10</v>
      </c>
      <c r="G958" s="1">
        <v>2</v>
      </c>
      <c r="H958" s="1">
        <v>13.08</v>
      </c>
      <c r="I958" s="1"/>
      <c r="J958" s="1"/>
    </row>
    <row r="959" spans="1:10" x14ac:dyDescent="0.3">
      <c r="A959" t="str">
        <f t="shared" si="28"/>
        <v>ORPG</v>
      </c>
      <c r="B959">
        <f t="shared" si="29"/>
        <v>2319</v>
      </c>
      <c r="D959" s="1"/>
      <c r="E959" s="1" t="s">
        <v>79</v>
      </c>
      <c r="F959" s="1">
        <v>12</v>
      </c>
      <c r="G959" s="1">
        <v>2</v>
      </c>
      <c r="H959" s="1">
        <v>13</v>
      </c>
      <c r="I959" s="1"/>
      <c r="J959" s="1"/>
    </row>
    <row r="960" spans="1:10" x14ac:dyDescent="0.3">
      <c r="A960" t="str">
        <f t="shared" si="28"/>
        <v>ORPG</v>
      </c>
      <c r="B960">
        <f t="shared" si="29"/>
        <v>1619</v>
      </c>
      <c r="D960" s="1"/>
      <c r="E960" s="1" t="s">
        <v>137</v>
      </c>
      <c r="F960" s="1">
        <v>14</v>
      </c>
      <c r="G960" s="1">
        <v>3</v>
      </c>
      <c r="H960" s="1">
        <v>12.94</v>
      </c>
      <c r="I960" s="1"/>
      <c r="J960" s="1"/>
    </row>
    <row r="961" spans="1:10" x14ac:dyDescent="0.3">
      <c r="A961" t="str">
        <f t="shared" si="28"/>
        <v>ORPG</v>
      </c>
      <c r="B961">
        <f t="shared" si="29"/>
        <v>3519</v>
      </c>
      <c r="D961" s="1"/>
      <c r="E961" s="1" t="s">
        <v>87</v>
      </c>
      <c r="F961" s="1">
        <v>15</v>
      </c>
      <c r="G961" s="1">
        <v>4</v>
      </c>
      <c r="H961" s="1">
        <v>12.89</v>
      </c>
      <c r="I961" s="1"/>
      <c r="J961" s="1"/>
    </row>
    <row r="962" spans="1:10" x14ac:dyDescent="0.3">
      <c r="A962" t="str">
        <f t="shared" ref="A962:A1025" si="30">IF(NOT(D962=""),INDEX(statAbbr,MATCH(D962,statOfficial,0),1),A961)</f>
        <v>ORPG</v>
      </c>
      <c r="B962">
        <f t="shared" ref="B962:B1025" si="31">INDEX(statID,MATCH(A962,statAbbr,0),1)+INDEX(teamID,MATCH(E962,teamRawName,0))</f>
        <v>2819</v>
      </c>
      <c r="D962" s="1"/>
      <c r="E962" s="1" t="s">
        <v>106</v>
      </c>
      <c r="F962" s="1">
        <v>17</v>
      </c>
      <c r="G962" s="1">
        <v>1</v>
      </c>
      <c r="H962" s="1">
        <v>12.81</v>
      </c>
      <c r="I962" s="1"/>
      <c r="J962" s="1"/>
    </row>
    <row r="963" spans="1:10" x14ac:dyDescent="0.3">
      <c r="A963" t="str">
        <f t="shared" si="30"/>
        <v>ORPG</v>
      </c>
      <c r="B963">
        <f t="shared" si="31"/>
        <v>3619</v>
      </c>
      <c r="D963" s="1"/>
      <c r="E963" s="1" t="s">
        <v>129</v>
      </c>
      <c r="F963" s="1">
        <v>21</v>
      </c>
      <c r="G963" s="1">
        <v>5</v>
      </c>
      <c r="H963" s="1">
        <v>12.43</v>
      </c>
      <c r="I963" s="1"/>
      <c r="J963" s="1"/>
    </row>
    <row r="964" spans="1:10" x14ac:dyDescent="0.3">
      <c r="A964" t="str">
        <f t="shared" si="30"/>
        <v>ORPG</v>
      </c>
      <c r="B964">
        <f t="shared" si="31"/>
        <v>3019</v>
      </c>
      <c r="D964" s="1"/>
      <c r="E964" s="1" t="s">
        <v>89</v>
      </c>
      <c r="F964" s="1">
        <v>26</v>
      </c>
      <c r="G964" s="1">
        <v>1</v>
      </c>
      <c r="H964" s="1">
        <v>12.29</v>
      </c>
      <c r="I964" s="1"/>
      <c r="J964" s="1"/>
    </row>
    <row r="965" spans="1:10" x14ac:dyDescent="0.3">
      <c r="A965" t="str">
        <f t="shared" si="30"/>
        <v>ORPG</v>
      </c>
      <c r="B965">
        <f t="shared" si="31"/>
        <v>18319</v>
      </c>
      <c r="D965" s="1"/>
      <c r="E965" s="1" t="s">
        <v>423</v>
      </c>
      <c r="F965" s="1">
        <v>29</v>
      </c>
      <c r="G965" s="1">
        <v>2</v>
      </c>
      <c r="H965" s="1">
        <v>12.14</v>
      </c>
      <c r="I965" s="1"/>
      <c r="J965" s="1"/>
    </row>
    <row r="966" spans="1:10" x14ac:dyDescent="0.3">
      <c r="A966" t="str">
        <f t="shared" si="30"/>
        <v>ORPG</v>
      </c>
      <c r="B966">
        <f t="shared" si="31"/>
        <v>6819</v>
      </c>
      <c r="D966" s="1"/>
      <c r="E966" s="1" t="s">
        <v>248</v>
      </c>
      <c r="F966" s="1">
        <v>30</v>
      </c>
      <c r="G966" s="1">
        <v>3</v>
      </c>
      <c r="H966" s="1">
        <v>12.12</v>
      </c>
      <c r="I966" s="1"/>
      <c r="J966" s="1"/>
    </row>
    <row r="967" spans="1:10" x14ac:dyDescent="0.3">
      <c r="A967" t="str">
        <f t="shared" si="30"/>
        <v>ORPG</v>
      </c>
      <c r="B967">
        <f t="shared" si="31"/>
        <v>5219</v>
      </c>
      <c r="D967" s="1"/>
      <c r="E967" s="1" t="s">
        <v>241</v>
      </c>
      <c r="F967" s="1">
        <v>35</v>
      </c>
      <c r="G967" s="1">
        <v>2</v>
      </c>
      <c r="H967" s="1">
        <v>12.06</v>
      </c>
      <c r="I967" s="1"/>
      <c r="J967" s="1"/>
    </row>
    <row r="968" spans="1:10" x14ac:dyDescent="0.3">
      <c r="A968" t="str">
        <f t="shared" si="30"/>
        <v>ORPG</v>
      </c>
      <c r="B968">
        <f t="shared" si="31"/>
        <v>5419</v>
      </c>
      <c r="D968" s="1"/>
      <c r="E968" s="1" t="s">
        <v>94</v>
      </c>
      <c r="F968" s="1">
        <v>36</v>
      </c>
      <c r="G968" s="1">
        <v>1</v>
      </c>
      <c r="H968" s="1">
        <v>12</v>
      </c>
      <c r="I968" s="1"/>
      <c r="J968" s="1"/>
    </row>
    <row r="969" spans="1:10" x14ac:dyDescent="0.3">
      <c r="A969" t="str">
        <f t="shared" si="30"/>
        <v>ORPG</v>
      </c>
      <c r="B969">
        <f t="shared" si="31"/>
        <v>4519</v>
      </c>
      <c r="D969" s="1"/>
      <c r="E969" s="1" t="s">
        <v>84</v>
      </c>
      <c r="F969" s="1">
        <v>53</v>
      </c>
      <c r="G969" s="1">
        <v>8</v>
      </c>
      <c r="H969" s="1">
        <v>11.65</v>
      </c>
      <c r="I969" s="1"/>
      <c r="J969" s="1"/>
    </row>
    <row r="970" spans="1:10" x14ac:dyDescent="0.3">
      <c r="A970" t="str">
        <f t="shared" si="30"/>
        <v>ORPG</v>
      </c>
      <c r="B970">
        <f t="shared" si="31"/>
        <v>8819</v>
      </c>
      <c r="D970" s="1"/>
      <c r="E970" s="1" t="s">
        <v>141</v>
      </c>
      <c r="F970" s="1">
        <v>55</v>
      </c>
      <c r="G970" s="1">
        <v>3</v>
      </c>
      <c r="H970" s="1">
        <v>11.63</v>
      </c>
      <c r="I970" s="1"/>
      <c r="J970" s="1"/>
    </row>
    <row r="971" spans="1:10" x14ac:dyDescent="0.3">
      <c r="A971" t="str">
        <f t="shared" si="30"/>
        <v>ORPG</v>
      </c>
      <c r="B971">
        <f t="shared" si="31"/>
        <v>11819</v>
      </c>
      <c r="D971" s="1"/>
      <c r="E971" s="1" t="s">
        <v>281</v>
      </c>
      <c r="F971" s="1">
        <v>58</v>
      </c>
      <c r="G971" s="1">
        <v>5</v>
      </c>
      <c r="H971" s="1">
        <v>11.57</v>
      </c>
      <c r="I971" s="1"/>
      <c r="J971" s="1"/>
    </row>
    <row r="972" spans="1:10" x14ac:dyDescent="0.3">
      <c r="A972" t="str">
        <f t="shared" si="30"/>
        <v>ORPG</v>
      </c>
      <c r="B972">
        <f t="shared" si="31"/>
        <v>18419</v>
      </c>
      <c r="D972" s="1"/>
      <c r="E972" s="1" t="s">
        <v>417</v>
      </c>
      <c r="F972" s="1">
        <v>60</v>
      </c>
      <c r="G972" s="1">
        <v>2</v>
      </c>
      <c r="H972" s="1">
        <v>11.54</v>
      </c>
      <c r="I972" s="1"/>
      <c r="J972" s="1"/>
    </row>
    <row r="973" spans="1:10" x14ac:dyDescent="0.3">
      <c r="A973" t="str">
        <f t="shared" si="30"/>
        <v>ORPG</v>
      </c>
      <c r="B973">
        <f t="shared" si="31"/>
        <v>619</v>
      </c>
      <c r="D973" s="1"/>
      <c r="E973" s="1" t="s">
        <v>100</v>
      </c>
      <c r="F973" s="1">
        <v>62</v>
      </c>
      <c r="G973" s="1">
        <v>1</v>
      </c>
      <c r="H973" s="1">
        <v>11.52</v>
      </c>
      <c r="I973" s="1"/>
      <c r="J973" s="1"/>
    </row>
    <row r="974" spans="1:10" x14ac:dyDescent="0.3">
      <c r="A974" t="str">
        <f t="shared" si="30"/>
        <v>ORPG</v>
      </c>
      <c r="B974">
        <f t="shared" si="31"/>
        <v>3219</v>
      </c>
      <c r="D974" s="1"/>
      <c r="E974" s="1" t="s">
        <v>127</v>
      </c>
      <c r="F974" s="1">
        <v>63</v>
      </c>
      <c r="G974" s="1">
        <v>2</v>
      </c>
      <c r="H974" s="1">
        <v>11.5</v>
      </c>
      <c r="I974" s="1"/>
      <c r="J974" s="1"/>
    </row>
    <row r="975" spans="1:10" x14ac:dyDescent="0.3">
      <c r="A975" t="str">
        <f t="shared" si="30"/>
        <v>ORPG</v>
      </c>
      <c r="B975">
        <f t="shared" si="31"/>
        <v>5619</v>
      </c>
      <c r="D975" s="1"/>
      <c r="E975" s="1" t="s">
        <v>62</v>
      </c>
      <c r="F975" s="1">
        <v>64</v>
      </c>
      <c r="G975" s="1">
        <v>3</v>
      </c>
      <c r="H975" s="1">
        <v>11.49</v>
      </c>
      <c r="I975" s="1"/>
      <c r="J975" s="1"/>
    </row>
    <row r="976" spans="1:10" x14ac:dyDescent="0.3">
      <c r="A976" t="str">
        <f t="shared" si="30"/>
        <v>ORPG</v>
      </c>
      <c r="B976">
        <f t="shared" si="31"/>
        <v>1919</v>
      </c>
      <c r="D976" s="1"/>
      <c r="E976" s="1" t="s">
        <v>112</v>
      </c>
      <c r="F976" s="1">
        <v>72</v>
      </c>
      <c r="G976" s="1">
        <v>2</v>
      </c>
      <c r="H976" s="1">
        <v>11.32</v>
      </c>
      <c r="I976" s="1"/>
      <c r="J976" s="1"/>
    </row>
    <row r="977" spans="1:10" x14ac:dyDescent="0.3">
      <c r="A977" t="str">
        <f t="shared" si="30"/>
        <v>ORPG</v>
      </c>
      <c r="B977">
        <f t="shared" si="31"/>
        <v>9019</v>
      </c>
      <c r="D977" s="1"/>
      <c r="E977" s="1" t="s">
        <v>261</v>
      </c>
      <c r="F977" s="1">
        <v>74</v>
      </c>
      <c r="G977" s="1">
        <v>1</v>
      </c>
      <c r="H977" s="1">
        <v>11.3</v>
      </c>
      <c r="I977" s="1"/>
      <c r="J977" s="1"/>
    </row>
    <row r="978" spans="1:10" x14ac:dyDescent="0.3">
      <c r="A978" t="str">
        <f t="shared" si="30"/>
        <v>ORPG</v>
      </c>
      <c r="B978">
        <f t="shared" si="31"/>
        <v>13319</v>
      </c>
      <c r="D978" s="1"/>
      <c r="E978" s="1" t="s">
        <v>291</v>
      </c>
      <c r="F978" s="1">
        <v>78</v>
      </c>
      <c r="G978" s="1">
        <v>5</v>
      </c>
      <c r="H978" s="1">
        <v>11.26</v>
      </c>
      <c r="I978" s="1"/>
      <c r="J978" s="1"/>
    </row>
    <row r="979" spans="1:10" x14ac:dyDescent="0.3">
      <c r="A979" t="str">
        <f t="shared" si="30"/>
        <v>ORPG</v>
      </c>
      <c r="B979">
        <f t="shared" si="31"/>
        <v>18819</v>
      </c>
      <c r="D979" s="1"/>
      <c r="E979" s="1" t="s">
        <v>424</v>
      </c>
      <c r="F979" s="1">
        <v>80</v>
      </c>
      <c r="G979" s="1">
        <v>4</v>
      </c>
      <c r="H979" s="1">
        <v>11.26</v>
      </c>
      <c r="I979" s="1"/>
      <c r="J979" s="1"/>
    </row>
    <row r="980" spans="1:10" x14ac:dyDescent="0.3">
      <c r="A980" t="str">
        <f t="shared" si="30"/>
        <v>ORPG</v>
      </c>
      <c r="B980">
        <f t="shared" si="31"/>
        <v>8619</v>
      </c>
      <c r="D980" s="1"/>
      <c r="E980" s="1" t="s">
        <v>259</v>
      </c>
      <c r="F980" s="1">
        <v>88</v>
      </c>
      <c r="G980" s="1">
        <v>4</v>
      </c>
      <c r="H980" s="1">
        <v>11.11</v>
      </c>
      <c r="I980" s="1"/>
      <c r="J980" s="1"/>
    </row>
    <row r="981" spans="1:10" x14ac:dyDescent="0.3">
      <c r="A981" t="str">
        <f t="shared" si="30"/>
        <v>ORPG</v>
      </c>
      <c r="B981">
        <f t="shared" si="31"/>
        <v>4319</v>
      </c>
      <c r="D981" s="1"/>
      <c r="E981" s="1" t="s">
        <v>125</v>
      </c>
      <c r="F981" s="1">
        <v>89</v>
      </c>
      <c r="G981" s="1">
        <v>4</v>
      </c>
      <c r="H981" s="1">
        <v>11.09</v>
      </c>
      <c r="I981" s="1"/>
      <c r="J981" s="1"/>
    </row>
    <row r="982" spans="1:10" x14ac:dyDescent="0.3">
      <c r="A982" t="str">
        <f t="shared" si="30"/>
        <v>ORPG</v>
      </c>
      <c r="B982">
        <f t="shared" si="31"/>
        <v>19019</v>
      </c>
      <c r="D982" s="1"/>
      <c r="E982" s="1" t="s">
        <v>176</v>
      </c>
      <c r="F982" s="1">
        <v>92</v>
      </c>
      <c r="G982" s="1">
        <v>6</v>
      </c>
      <c r="H982" s="1">
        <v>11.09</v>
      </c>
      <c r="I982" s="1"/>
      <c r="J982" s="1"/>
    </row>
    <row r="983" spans="1:10" x14ac:dyDescent="0.3">
      <c r="A983" t="str">
        <f t="shared" si="30"/>
        <v>ORPG</v>
      </c>
      <c r="B983">
        <f t="shared" si="31"/>
        <v>13419</v>
      </c>
      <c r="D983" s="1"/>
      <c r="E983" s="1" t="s">
        <v>400</v>
      </c>
      <c r="F983" s="1">
        <v>99</v>
      </c>
      <c r="G983" s="1">
        <v>5</v>
      </c>
      <c r="H983" s="1">
        <v>11.03</v>
      </c>
      <c r="I983" s="1"/>
      <c r="J983" s="1"/>
    </row>
    <row r="984" spans="1:10" x14ac:dyDescent="0.3">
      <c r="A984" t="str">
        <f t="shared" si="30"/>
        <v>ORPG</v>
      </c>
      <c r="B984">
        <f t="shared" si="31"/>
        <v>14519</v>
      </c>
      <c r="D984" s="1"/>
      <c r="E984" s="1" t="s">
        <v>402</v>
      </c>
      <c r="F984" s="1">
        <v>102</v>
      </c>
      <c r="G984" s="1">
        <v>5</v>
      </c>
      <c r="H984" s="1">
        <v>10.97</v>
      </c>
      <c r="I984" s="1"/>
      <c r="J984" s="1"/>
    </row>
    <row r="985" spans="1:10" x14ac:dyDescent="0.3">
      <c r="A985" t="str">
        <f t="shared" si="30"/>
        <v>ORPG</v>
      </c>
      <c r="B985">
        <f t="shared" si="31"/>
        <v>1219</v>
      </c>
      <c r="D985" s="1"/>
      <c r="E985" s="1" t="s">
        <v>130</v>
      </c>
      <c r="F985" s="1">
        <v>108</v>
      </c>
      <c r="G985" s="1">
        <v>2</v>
      </c>
      <c r="H985" s="1">
        <v>10.92</v>
      </c>
      <c r="I985" s="1"/>
      <c r="J985" s="1"/>
    </row>
    <row r="986" spans="1:10" x14ac:dyDescent="0.3">
      <c r="A986" t="str">
        <f t="shared" si="30"/>
        <v>ORPG</v>
      </c>
      <c r="B986">
        <f t="shared" si="31"/>
        <v>2219</v>
      </c>
      <c r="D986" s="1"/>
      <c r="E986" s="1" t="s">
        <v>119</v>
      </c>
      <c r="F986" s="1">
        <v>110</v>
      </c>
      <c r="G986" s="1">
        <v>4</v>
      </c>
      <c r="H986" s="1">
        <v>10.9</v>
      </c>
      <c r="I986" s="1"/>
      <c r="J986" s="1"/>
    </row>
    <row r="987" spans="1:10" x14ac:dyDescent="0.3">
      <c r="A987" t="str">
        <f t="shared" si="30"/>
        <v>ORPG</v>
      </c>
      <c r="B987">
        <f t="shared" si="31"/>
        <v>2519</v>
      </c>
      <c r="D987" s="1"/>
      <c r="E987" s="1" t="s">
        <v>92</v>
      </c>
      <c r="F987" s="1">
        <v>126</v>
      </c>
      <c r="G987" s="1">
        <v>2</v>
      </c>
      <c r="H987" s="1">
        <v>10.6</v>
      </c>
      <c r="I987" s="1"/>
      <c r="J987" s="1"/>
    </row>
    <row r="988" spans="1:10" x14ac:dyDescent="0.3">
      <c r="A988" t="str">
        <f t="shared" si="30"/>
        <v>ORPG</v>
      </c>
      <c r="B988">
        <f t="shared" si="31"/>
        <v>6619</v>
      </c>
      <c r="D988" s="1"/>
      <c r="E988" s="1" t="s">
        <v>247</v>
      </c>
      <c r="F988" s="1">
        <v>143</v>
      </c>
      <c r="G988" s="1">
        <v>7</v>
      </c>
      <c r="H988" s="1">
        <v>10.4</v>
      </c>
      <c r="I988" s="1"/>
      <c r="J988" s="1"/>
    </row>
    <row r="989" spans="1:10" x14ac:dyDescent="0.3">
      <c r="A989" t="str">
        <f t="shared" si="30"/>
        <v>ORPG</v>
      </c>
      <c r="B989">
        <f t="shared" si="31"/>
        <v>119</v>
      </c>
      <c r="D989" s="1"/>
      <c r="E989" s="1" t="s">
        <v>312</v>
      </c>
      <c r="F989" s="1">
        <v>145</v>
      </c>
      <c r="G989" s="1">
        <v>5</v>
      </c>
      <c r="H989" s="1">
        <v>10.38</v>
      </c>
      <c r="I989" s="1"/>
      <c r="J989" s="1"/>
    </row>
    <row r="990" spans="1:10" x14ac:dyDescent="0.3">
      <c r="A990" t="str">
        <f t="shared" si="30"/>
        <v>ORPG</v>
      </c>
      <c r="B990">
        <f t="shared" si="31"/>
        <v>8119</v>
      </c>
      <c r="D990" s="1"/>
      <c r="E990" s="1" t="s">
        <v>256</v>
      </c>
      <c r="F990" s="1">
        <v>149</v>
      </c>
      <c r="G990" s="1">
        <v>12</v>
      </c>
      <c r="H990" s="1">
        <v>10.36</v>
      </c>
      <c r="I990" s="1"/>
      <c r="J990" s="1"/>
    </row>
    <row r="991" spans="1:10" x14ac:dyDescent="0.3">
      <c r="A991" t="str">
        <f t="shared" si="30"/>
        <v>ORPG</v>
      </c>
      <c r="B991">
        <f t="shared" si="31"/>
        <v>4419</v>
      </c>
      <c r="D991" s="1"/>
      <c r="E991" s="1" t="s">
        <v>83</v>
      </c>
      <c r="F991" s="1">
        <v>150</v>
      </c>
      <c r="G991" s="1">
        <v>4</v>
      </c>
      <c r="H991" s="1">
        <v>10.35</v>
      </c>
      <c r="I991" s="1"/>
      <c r="J991" s="1"/>
    </row>
    <row r="992" spans="1:10" x14ac:dyDescent="0.3">
      <c r="A992" t="str">
        <f t="shared" si="30"/>
        <v>ORPG</v>
      </c>
      <c r="B992">
        <f t="shared" si="31"/>
        <v>6219</v>
      </c>
      <c r="D992" s="1"/>
      <c r="E992" s="1" t="s">
        <v>81</v>
      </c>
      <c r="F992" s="1">
        <v>156</v>
      </c>
      <c r="G992" s="1">
        <v>6</v>
      </c>
      <c r="H992" s="1">
        <v>10.29</v>
      </c>
      <c r="I992" s="1"/>
      <c r="J992" s="1"/>
    </row>
    <row r="993" spans="1:10" x14ac:dyDescent="0.3">
      <c r="A993" t="str">
        <f t="shared" si="30"/>
        <v>ORPG</v>
      </c>
      <c r="B993">
        <f t="shared" si="31"/>
        <v>7419</v>
      </c>
      <c r="D993" s="1"/>
      <c r="E993" s="1" t="s">
        <v>251</v>
      </c>
      <c r="F993" s="1">
        <v>159</v>
      </c>
      <c r="G993" s="1">
        <v>6</v>
      </c>
      <c r="H993" s="1">
        <v>10.27</v>
      </c>
      <c r="I993" s="1"/>
      <c r="J993" s="1"/>
    </row>
    <row r="994" spans="1:10" x14ac:dyDescent="0.3">
      <c r="A994" t="str">
        <f t="shared" si="30"/>
        <v>ORPG</v>
      </c>
      <c r="B994">
        <f t="shared" si="31"/>
        <v>2919</v>
      </c>
      <c r="D994" s="1"/>
      <c r="E994" s="1" t="s">
        <v>96</v>
      </c>
      <c r="F994" s="1">
        <v>171</v>
      </c>
      <c r="G994" s="1">
        <v>8</v>
      </c>
      <c r="H994" s="1">
        <v>10.17</v>
      </c>
      <c r="I994" s="1"/>
      <c r="J994" s="1"/>
    </row>
    <row r="995" spans="1:10" x14ac:dyDescent="0.3">
      <c r="A995" t="str">
        <f t="shared" si="30"/>
        <v>ORPG</v>
      </c>
      <c r="B995">
        <f t="shared" si="31"/>
        <v>3419</v>
      </c>
      <c r="D995" s="1"/>
      <c r="E995" s="1" t="s">
        <v>237</v>
      </c>
      <c r="F995" s="1">
        <v>172</v>
      </c>
      <c r="G995" s="1">
        <v>4</v>
      </c>
      <c r="H995" s="1">
        <v>10.16</v>
      </c>
      <c r="I995" s="1"/>
      <c r="J995" s="1"/>
    </row>
    <row r="996" spans="1:10" x14ac:dyDescent="0.3">
      <c r="A996" t="str">
        <f t="shared" si="30"/>
        <v>ORPG</v>
      </c>
      <c r="B996">
        <f t="shared" si="31"/>
        <v>5819</v>
      </c>
      <c r="D996" s="1"/>
      <c r="E996" s="1" t="s">
        <v>139</v>
      </c>
      <c r="F996" s="1">
        <v>182</v>
      </c>
      <c r="G996" s="1">
        <v>11</v>
      </c>
      <c r="H996" s="1">
        <v>10.11</v>
      </c>
      <c r="I996" s="1"/>
      <c r="J996" s="1"/>
    </row>
    <row r="997" spans="1:10" x14ac:dyDescent="0.3">
      <c r="A997" t="str">
        <f t="shared" si="30"/>
        <v>ORPG</v>
      </c>
      <c r="B997">
        <f t="shared" si="31"/>
        <v>5319</v>
      </c>
      <c r="D997" s="1"/>
      <c r="E997" s="1" t="s">
        <v>242</v>
      </c>
      <c r="F997" s="1">
        <v>182</v>
      </c>
      <c r="G997" s="1">
        <v>7</v>
      </c>
      <c r="H997" s="1">
        <v>10.11</v>
      </c>
      <c r="I997" s="1"/>
      <c r="J997" s="1"/>
    </row>
    <row r="998" spans="1:10" x14ac:dyDescent="0.3">
      <c r="A998" t="str">
        <f t="shared" si="30"/>
        <v>ORPG</v>
      </c>
      <c r="B998">
        <f t="shared" si="31"/>
        <v>719</v>
      </c>
      <c r="D998" s="1"/>
      <c r="E998" s="1" t="s">
        <v>319</v>
      </c>
      <c r="F998" s="1">
        <v>195</v>
      </c>
      <c r="G998" s="1">
        <v>8</v>
      </c>
      <c r="H998" s="1">
        <v>9.86</v>
      </c>
      <c r="I998" s="1"/>
      <c r="J998" s="1"/>
    </row>
    <row r="999" spans="1:10" x14ac:dyDescent="0.3">
      <c r="A999" t="str">
        <f t="shared" si="30"/>
        <v>ORPG</v>
      </c>
      <c r="B999">
        <f t="shared" si="31"/>
        <v>3919</v>
      </c>
      <c r="D999" s="1"/>
      <c r="E999" s="1" t="s">
        <v>88</v>
      </c>
      <c r="F999" s="1">
        <v>201</v>
      </c>
      <c r="G999" s="1">
        <v>9</v>
      </c>
      <c r="H999" s="1">
        <v>9.81</v>
      </c>
      <c r="I999" s="1"/>
      <c r="J999" s="1"/>
    </row>
    <row r="1000" spans="1:10" x14ac:dyDescent="0.3">
      <c r="A1000" t="str">
        <f t="shared" si="30"/>
        <v>ORPG</v>
      </c>
      <c r="B1000">
        <f t="shared" si="31"/>
        <v>11119</v>
      </c>
      <c r="D1000" s="1"/>
      <c r="E1000" s="1" t="s">
        <v>277</v>
      </c>
      <c r="F1000" s="1">
        <v>203</v>
      </c>
      <c r="G1000" s="1">
        <v>7</v>
      </c>
      <c r="H1000" s="1">
        <v>9.77</v>
      </c>
      <c r="I1000" s="1"/>
      <c r="J1000" s="1"/>
    </row>
    <row r="1001" spans="1:10" x14ac:dyDescent="0.3">
      <c r="A1001" t="str">
        <f t="shared" si="30"/>
        <v>ORPG</v>
      </c>
      <c r="B1001">
        <f t="shared" si="31"/>
        <v>19119</v>
      </c>
      <c r="D1001" s="1"/>
      <c r="E1001" s="1" t="s">
        <v>421</v>
      </c>
      <c r="F1001" s="1">
        <v>205</v>
      </c>
      <c r="G1001" s="1">
        <v>7</v>
      </c>
      <c r="H1001" s="1">
        <v>9.75</v>
      </c>
      <c r="I1001" s="1"/>
      <c r="J1001" s="1"/>
    </row>
    <row r="1002" spans="1:10" x14ac:dyDescent="0.3">
      <c r="A1002" t="str">
        <f t="shared" si="30"/>
        <v>ORPG</v>
      </c>
      <c r="B1002">
        <f t="shared" si="31"/>
        <v>15219</v>
      </c>
      <c r="D1002" s="1"/>
      <c r="E1002" s="1" t="s">
        <v>426</v>
      </c>
      <c r="F1002" s="1">
        <v>213</v>
      </c>
      <c r="G1002" s="1">
        <v>5</v>
      </c>
      <c r="H1002" s="1">
        <v>9.64</v>
      </c>
      <c r="I1002" s="1"/>
      <c r="J1002" s="1"/>
    </row>
    <row r="1003" spans="1:10" x14ac:dyDescent="0.3">
      <c r="A1003" t="str">
        <f t="shared" si="30"/>
        <v>ORPG</v>
      </c>
      <c r="B1003">
        <f t="shared" si="31"/>
        <v>6719</v>
      </c>
      <c r="D1003" s="1"/>
      <c r="E1003" s="1" t="s">
        <v>118</v>
      </c>
      <c r="F1003" s="1">
        <v>214</v>
      </c>
      <c r="G1003" s="1">
        <v>10</v>
      </c>
      <c r="H1003" s="1">
        <v>9.6300000000000008</v>
      </c>
      <c r="I1003" s="1"/>
      <c r="J1003" s="1"/>
    </row>
    <row r="1004" spans="1:10" x14ac:dyDescent="0.3">
      <c r="A1004" t="str">
        <f t="shared" si="30"/>
        <v>ORPG</v>
      </c>
      <c r="B1004">
        <f t="shared" si="31"/>
        <v>18619</v>
      </c>
      <c r="D1004" s="1"/>
      <c r="E1004" s="1" t="s">
        <v>425</v>
      </c>
      <c r="F1004" s="1">
        <v>215</v>
      </c>
      <c r="G1004" s="1">
        <v>6</v>
      </c>
      <c r="H1004" s="1">
        <v>9.6300000000000008</v>
      </c>
      <c r="I1004" s="1"/>
      <c r="J1004" s="1"/>
    </row>
    <row r="1005" spans="1:10" x14ac:dyDescent="0.3">
      <c r="A1005" t="str">
        <f t="shared" si="30"/>
        <v>ORPG</v>
      </c>
      <c r="B1005">
        <f t="shared" si="31"/>
        <v>2419</v>
      </c>
      <c r="D1005" s="1"/>
      <c r="E1005" s="1" t="s">
        <v>330</v>
      </c>
      <c r="F1005" s="1">
        <v>228</v>
      </c>
      <c r="G1005" s="1">
        <v>9</v>
      </c>
      <c r="H1005" s="1">
        <v>9.39</v>
      </c>
      <c r="I1005" s="1"/>
      <c r="J1005" s="1"/>
    </row>
    <row r="1006" spans="1:10" x14ac:dyDescent="0.3">
      <c r="A1006" t="str">
        <f t="shared" si="30"/>
        <v>ORPG</v>
      </c>
      <c r="B1006">
        <f t="shared" si="31"/>
        <v>12219</v>
      </c>
      <c r="D1006" s="1"/>
      <c r="E1006" s="1" t="s">
        <v>284</v>
      </c>
      <c r="F1006" s="1">
        <v>237</v>
      </c>
      <c r="G1006" s="1">
        <v>10</v>
      </c>
      <c r="H1006" s="1">
        <v>9.26</v>
      </c>
      <c r="I1006" s="1"/>
      <c r="J1006" s="1"/>
    </row>
    <row r="1007" spans="1:10" x14ac:dyDescent="0.3">
      <c r="A1007" t="str">
        <f t="shared" si="30"/>
        <v>ORPG</v>
      </c>
      <c r="B1007">
        <f t="shared" si="31"/>
        <v>9419</v>
      </c>
      <c r="D1007" s="1"/>
      <c r="E1007" s="1" t="s">
        <v>264</v>
      </c>
      <c r="F1007" s="1">
        <v>244</v>
      </c>
      <c r="G1007" s="1">
        <v>8</v>
      </c>
      <c r="H1007" s="1">
        <v>9.17</v>
      </c>
      <c r="I1007" s="1"/>
      <c r="J1007" s="1"/>
    </row>
    <row r="1008" spans="1:10" x14ac:dyDescent="0.3">
      <c r="A1008" t="str">
        <f t="shared" si="30"/>
        <v>ORPG</v>
      </c>
      <c r="B1008">
        <f t="shared" si="31"/>
        <v>2119</v>
      </c>
      <c r="D1008" s="1"/>
      <c r="E1008" s="1" t="s">
        <v>136</v>
      </c>
      <c r="F1008" s="1">
        <v>253</v>
      </c>
      <c r="G1008" s="1">
        <v>5</v>
      </c>
      <c r="H1008" s="1">
        <v>9.0299999999999994</v>
      </c>
      <c r="I1008" s="1"/>
      <c r="J1008" s="1"/>
    </row>
    <row r="1009" spans="1:10" x14ac:dyDescent="0.3">
      <c r="A1009" t="str">
        <f t="shared" si="30"/>
        <v>ORPG</v>
      </c>
      <c r="B1009">
        <f t="shared" si="31"/>
        <v>919</v>
      </c>
      <c r="D1009" s="1"/>
      <c r="E1009" s="1" t="s">
        <v>90</v>
      </c>
      <c r="F1009" s="1">
        <v>253</v>
      </c>
      <c r="G1009" s="1">
        <v>9</v>
      </c>
      <c r="H1009" s="1">
        <v>9.0299999999999994</v>
      </c>
      <c r="I1009" s="1"/>
      <c r="J1009" s="1"/>
    </row>
    <row r="1010" spans="1:10" x14ac:dyDescent="0.3">
      <c r="A1010" t="str">
        <f t="shared" si="30"/>
        <v>ORPG</v>
      </c>
      <c r="B1010">
        <f t="shared" si="31"/>
        <v>18519</v>
      </c>
      <c r="D1010" s="1"/>
      <c r="E1010" s="1" t="s">
        <v>420</v>
      </c>
      <c r="F1010" s="1">
        <v>259</v>
      </c>
      <c r="G1010" s="1">
        <v>5</v>
      </c>
      <c r="H1010" s="1">
        <v>8.94</v>
      </c>
      <c r="I1010" s="1"/>
      <c r="J1010" s="1"/>
    </row>
    <row r="1011" spans="1:10" x14ac:dyDescent="0.3">
      <c r="A1011" t="str">
        <f t="shared" si="30"/>
        <v>ORPG</v>
      </c>
      <c r="B1011">
        <f t="shared" si="31"/>
        <v>14119</v>
      </c>
      <c r="D1011" s="1"/>
      <c r="E1011" s="1" t="s">
        <v>299</v>
      </c>
      <c r="F1011" s="1">
        <v>264</v>
      </c>
      <c r="G1011" s="1">
        <v>13</v>
      </c>
      <c r="H1011" s="1">
        <v>8.86</v>
      </c>
      <c r="I1011" s="1"/>
      <c r="J1011" s="1"/>
    </row>
    <row r="1012" spans="1:10" x14ac:dyDescent="0.3">
      <c r="A1012" t="str">
        <f t="shared" si="30"/>
        <v>ORPG</v>
      </c>
      <c r="B1012">
        <f t="shared" si="31"/>
        <v>3319</v>
      </c>
      <c r="D1012" s="1"/>
      <c r="E1012" s="1" t="s">
        <v>91</v>
      </c>
      <c r="F1012" s="1">
        <v>266</v>
      </c>
      <c r="G1012" s="1">
        <v>8</v>
      </c>
      <c r="H1012" s="1">
        <v>8.81</v>
      </c>
      <c r="I1012" s="1"/>
      <c r="J1012" s="1"/>
    </row>
    <row r="1013" spans="1:10" x14ac:dyDescent="0.3">
      <c r="A1013" t="str">
        <f t="shared" si="30"/>
        <v>ORPG</v>
      </c>
      <c r="B1013">
        <f t="shared" si="31"/>
        <v>1419</v>
      </c>
      <c r="D1013" s="1"/>
      <c r="E1013" s="1" t="s">
        <v>102</v>
      </c>
      <c r="F1013" s="1">
        <v>279</v>
      </c>
      <c r="G1013" s="1">
        <v>6</v>
      </c>
      <c r="H1013" s="1">
        <v>8.57</v>
      </c>
      <c r="I1013" s="1"/>
      <c r="J1013" s="1"/>
    </row>
    <row r="1014" spans="1:10" x14ac:dyDescent="0.3">
      <c r="A1014" t="str">
        <f t="shared" si="30"/>
        <v>ORPG</v>
      </c>
      <c r="B1014">
        <f t="shared" si="31"/>
        <v>18719</v>
      </c>
      <c r="D1014" s="1"/>
      <c r="E1014" s="1" t="s">
        <v>427</v>
      </c>
      <c r="F1014" s="1">
        <v>287</v>
      </c>
      <c r="G1014" s="1">
        <v>7</v>
      </c>
      <c r="H1014" s="1">
        <v>8.43</v>
      </c>
      <c r="I1014" s="1"/>
      <c r="J1014" s="1"/>
    </row>
    <row r="1015" spans="1:10" x14ac:dyDescent="0.3">
      <c r="A1015" t="str">
        <f t="shared" si="30"/>
        <v>ORPG</v>
      </c>
      <c r="B1015">
        <f t="shared" si="31"/>
        <v>12019</v>
      </c>
      <c r="D1015" s="1"/>
      <c r="E1015" s="1" t="s">
        <v>135</v>
      </c>
      <c r="F1015" s="1">
        <v>297</v>
      </c>
      <c r="G1015" s="1">
        <v>5</v>
      </c>
      <c r="H1015" s="1">
        <v>8.31</v>
      </c>
      <c r="I1015" s="1"/>
      <c r="J1015" s="1"/>
    </row>
    <row r="1016" spans="1:10" x14ac:dyDescent="0.3">
      <c r="A1016" t="str">
        <f t="shared" si="30"/>
        <v>ORPG</v>
      </c>
      <c r="B1016">
        <f t="shared" si="31"/>
        <v>2619</v>
      </c>
      <c r="D1016" s="1"/>
      <c r="E1016" s="1" t="s">
        <v>80</v>
      </c>
      <c r="F1016" s="1">
        <v>299</v>
      </c>
      <c r="G1016" s="1">
        <v>13</v>
      </c>
      <c r="H1016" s="1">
        <v>8.27</v>
      </c>
      <c r="I1016" s="1"/>
      <c r="J1016" s="1"/>
    </row>
    <row r="1017" spans="1:10" x14ac:dyDescent="0.3">
      <c r="A1017" t="str">
        <f t="shared" si="30"/>
        <v>ORPG</v>
      </c>
      <c r="B1017">
        <f t="shared" si="31"/>
        <v>3119</v>
      </c>
      <c r="D1017" s="1"/>
      <c r="E1017" s="1" t="s">
        <v>93</v>
      </c>
      <c r="F1017" s="1">
        <v>300</v>
      </c>
      <c r="G1017" s="1">
        <v>9</v>
      </c>
      <c r="H1017" s="1">
        <v>8.27</v>
      </c>
      <c r="I1017" s="1"/>
      <c r="J1017" s="1"/>
    </row>
    <row r="1018" spans="1:10" x14ac:dyDescent="0.3">
      <c r="A1018" t="str">
        <f t="shared" si="30"/>
        <v>ORPG</v>
      </c>
      <c r="B1018">
        <f t="shared" si="31"/>
        <v>8419</v>
      </c>
      <c r="D1018" s="1"/>
      <c r="E1018" s="1" t="s">
        <v>109</v>
      </c>
      <c r="F1018" s="1">
        <v>313</v>
      </c>
      <c r="G1018" s="1">
        <v>8</v>
      </c>
      <c r="H1018" s="1">
        <v>7.97</v>
      </c>
      <c r="I1018" s="1"/>
      <c r="J1018" s="1"/>
    </row>
    <row r="1019" spans="1:10" x14ac:dyDescent="0.3">
      <c r="A1019" t="str">
        <f t="shared" si="30"/>
        <v>ORPG</v>
      </c>
      <c r="B1019">
        <f t="shared" si="31"/>
        <v>18919</v>
      </c>
      <c r="D1019" s="1"/>
      <c r="E1019" s="1" t="s">
        <v>422</v>
      </c>
      <c r="F1019" s="1">
        <v>313</v>
      </c>
      <c r="G1019" s="1">
        <v>10</v>
      </c>
      <c r="H1019" s="1">
        <v>7.97</v>
      </c>
      <c r="I1019" s="1"/>
      <c r="J1019" s="1"/>
    </row>
    <row r="1020" spans="1:10" x14ac:dyDescent="0.3">
      <c r="A1020" t="str">
        <f t="shared" si="30"/>
        <v>ORPG</v>
      </c>
      <c r="B1020">
        <f t="shared" si="31"/>
        <v>9519</v>
      </c>
      <c r="D1020" s="1"/>
      <c r="E1020" s="1" t="s">
        <v>85</v>
      </c>
      <c r="F1020" s="1">
        <v>316</v>
      </c>
      <c r="G1020" s="1">
        <v>7</v>
      </c>
      <c r="H1020" s="1">
        <v>7.94</v>
      </c>
      <c r="I1020" s="1"/>
      <c r="J1020" s="1"/>
    </row>
    <row r="1021" spans="1:10" x14ac:dyDescent="0.3">
      <c r="A1021" t="str">
        <f t="shared" si="30"/>
        <v>ORPG</v>
      </c>
      <c r="B1021">
        <f t="shared" si="31"/>
        <v>4619</v>
      </c>
      <c r="D1021" s="1"/>
      <c r="E1021" s="1" t="s">
        <v>101</v>
      </c>
      <c r="F1021" s="1">
        <v>329</v>
      </c>
      <c r="G1021" s="1">
        <v>9</v>
      </c>
      <c r="H1021" s="1">
        <v>7.42</v>
      </c>
      <c r="I1021" s="1"/>
      <c r="J1021" s="1"/>
    </row>
    <row r="1022" spans="1:10" x14ac:dyDescent="0.3">
      <c r="A1022" t="str">
        <f t="shared" si="30"/>
        <v>ORPG</v>
      </c>
      <c r="B1022">
        <f t="shared" si="31"/>
        <v>7919</v>
      </c>
      <c r="D1022" s="1"/>
      <c r="E1022" s="1" t="s">
        <v>103</v>
      </c>
      <c r="F1022" s="1">
        <v>347</v>
      </c>
      <c r="G1022" s="1">
        <v>9</v>
      </c>
      <c r="H1022" s="1">
        <v>6.47</v>
      </c>
      <c r="I1022" s="1"/>
      <c r="J1022" s="1"/>
    </row>
    <row r="1023" spans="1:10" x14ac:dyDescent="0.3">
      <c r="A1023" t="str">
        <f t="shared" si="30"/>
        <v>ORPG</v>
      </c>
      <c r="B1023">
        <f t="shared" si="31"/>
        <v>14319</v>
      </c>
      <c r="D1023" s="1"/>
      <c r="E1023" s="1" t="s">
        <v>391</v>
      </c>
      <c r="F1023" s="1">
        <v>351</v>
      </c>
      <c r="G1023" s="1">
        <v>14</v>
      </c>
      <c r="H1023" s="1">
        <v>6.14</v>
      </c>
      <c r="I1023" s="1"/>
      <c r="J1023" s="1"/>
    </row>
    <row r="1024" spans="1:10" x14ac:dyDescent="0.3">
      <c r="A1024" t="str">
        <f t="shared" si="30"/>
        <v>RPG</v>
      </c>
      <c r="B1024">
        <f t="shared" si="31"/>
        <v>3722</v>
      </c>
      <c r="D1024" s="1" t="s">
        <v>445</v>
      </c>
      <c r="E1024" s="1" t="s">
        <v>115</v>
      </c>
      <c r="F1024" s="1">
        <v>1</v>
      </c>
      <c r="G1024" s="1">
        <v>1</v>
      </c>
      <c r="H1024" s="1">
        <v>44.65</v>
      </c>
      <c r="I1024" s="1" t="s">
        <v>115</v>
      </c>
      <c r="J1024" s="1">
        <v>44.65</v>
      </c>
    </row>
    <row r="1025" spans="1:10" x14ac:dyDescent="0.3">
      <c r="A1025" t="str">
        <f t="shared" si="30"/>
        <v>RPG</v>
      </c>
      <c r="B1025">
        <f t="shared" si="31"/>
        <v>11522</v>
      </c>
      <c r="D1025" s="1"/>
      <c r="E1025" s="1" t="s">
        <v>97</v>
      </c>
      <c r="F1025" s="1">
        <v>5</v>
      </c>
      <c r="G1025" s="1">
        <v>1</v>
      </c>
      <c r="H1025" s="1">
        <v>40.31</v>
      </c>
      <c r="I1025" s="1"/>
      <c r="J1025" s="1"/>
    </row>
    <row r="1026" spans="1:10" x14ac:dyDescent="0.3">
      <c r="A1026" t="str">
        <f t="shared" ref="A1026:A1089" si="32">IF(NOT(D1026=""),INDEX(statAbbr,MATCH(D1026,statOfficial,0),1),A1025)</f>
        <v>RPG</v>
      </c>
      <c r="B1026">
        <f t="shared" ref="B1026:B1089" si="33">INDEX(statID,MATCH(A1026,statAbbr,0),1)+INDEX(teamID,MATCH(E1026,teamRawName,0))</f>
        <v>5522</v>
      </c>
      <c r="D1026" s="1"/>
      <c r="E1026" s="1" t="s">
        <v>86</v>
      </c>
      <c r="F1026" s="1">
        <v>9</v>
      </c>
      <c r="G1026" s="1">
        <v>2</v>
      </c>
      <c r="H1026" s="1">
        <v>39.380000000000003</v>
      </c>
      <c r="I1026" s="1"/>
      <c r="J1026" s="1"/>
    </row>
    <row r="1027" spans="1:10" x14ac:dyDescent="0.3">
      <c r="A1027" t="str">
        <f t="shared" si="32"/>
        <v>RPG</v>
      </c>
      <c r="B1027">
        <f t="shared" si="33"/>
        <v>2322</v>
      </c>
      <c r="D1027" s="1"/>
      <c r="E1027" s="1" t="s">
        <v>79</v>
      </c>
      <c r="F1027" s="1">
        <v>10</v>
      </c>
      <c r="G1027" s="1">
        <v>2</v>
      </c>
      <c r="H1027" s="1">
        <v>39.33</v>
      </c>
      <c r="I1027" s="1"/>
      <c r="J1027" s="1"/>
    </row>
    <row r="1028" spans="1:10" x14ac:dyDescent="0.3">
      <c r="A1028" t="str">
        <f t="shared" si="32"/>
        <v>RPG</v>
      </c>
      <c r="B1028">
        <f t="shared" si="33"/>
        <v>2922</v>
      </c>
      <c r="D1028" s="1"/>
      <c r="E1028" s="1" t="s">
        <v>96</v>
      </c>
      <c r="F1028" s="1">
        <v>11</v>
      </c>
      <c r="G1028" s="1">
        <v>1</v>
      </c>
      <c r="H1028" s="1">
        <v>39.31</v>
      </c>
      <c r="I1028" s="1"/>
      <c r="J1028" s="1"/>
    </row>
    <row r="1029" spans="1:10" x14ac:dyDescent="0.3">
      <c r="A1029" t="str">
        <f t="shared" si="32"/>
        <v>RPG</v>
      </c>
      <c r="B1029">
        <f t="shared" si="33"/>
        <v>3422</v>
      </c>
      <c r="D1029" s="1"/>
      <c r="E1029" s="1" t="s">
        <v>237</v>
      </c>
      <c r="F1029" s="1">
        <v>16</v>
      </c>
      <c r="G1029" s="1">
        <v>1</v>
      </c>
      <c r="H1029" s="1">
        <v>39</v>
      </c>
      <c r="I1029" s="1"/>
      <c r="J1029" s="1"/>
    </row>
    <row r="1030" spans="1:10" x14ac:dyDescent="0.3">
      <c r="A1030" t="str">
        <f t="shared" si="32"/>
        <v>RPG</v>
      </c>
      <c r="B1030">
        <f t="shared" si="33"/>
        <v>2222</v>
      </c>
      <c r="D1030" s="1"/>
      <c r="E1030" s="1" t="s">
        <v>119</v>
      </c>
      <c r="F1030" s="1">
        <v>18</v>
      </c>
      <c r="G1030" s="1">
        <v>2</v>
      </c>
      <c r="H1030" s="1">
        <v>38.950000000000003</v>
      </c>
      <c r="I1030" s="1"/>
      <c r="J1030" s="1"/>
    </row>
    <row r="1031" spans="1:10" x14ac:dyDescent="0.3">
      <c r="A1031" t="str">
        <f t="shared" si="32"/>
        <v>RPG</v>
      </c>
      <c r="B1031">
        <f t="shared" si="33"/>
        <v>2822</v>
      </c>
      <c r="D1031" s="1"/>
      <c r="E1031" s="1" t="s">
        <v>106</v>
      </c>
      <c r="F1031" s="1">
        <v>19</v>
      </c>
      <c r="G1031" s="1">
        <v>1</v>
      </c>
      <c r="H1031" s="1">
        <v>38.950000000000003</v>
      </c>
      <c r="I1031" s="1"/>
      <c r="J1031" s="1"/>
    </row>
    <row r="1032" spans="1:10" x14ac:dyDescent="0.3">
      <c r="A1032" t="str">
        <f t="shared" si="32"/>
        <v>RPG</v>
      </c>
      <c r="B1032">
        <f t="shared" si="33"/>
        <v>3022</v>
      </c>
      <c r="D1032" s="1"/>
      <c r="E1032" s="1" t="s">
        <v>89</v>
      </c>
      <c r="F1032" s="1">
        <v>20</v>
      </c>
      <c r="G1032" s="1">
        <v>1</v>
      </c>
      <c r="H1032" s="1">
        <v>38.69</v>
      </c>
      <c r="I1032" s="1"/>
      <c r="J1032" s="1"/>
    </row>
    <row r="1033" spans="1:10" x14ac:dyDescent="0.3">
      <c r="A1033" t="str">
        <f t="shared" si="32"/>
        <v>RPG</v>
      </c>
      <c r="B1033">
        <f t="shared" si="33"/>
        <v>5422</v>
      </c>
      <c r="D1033" s="1"/>
      <c r="E1033" s="1" t="s">
        <v>94</v>
      </c>
      <c r="F1033" s="1">
        <v>21</v>
      </c>
      <c r="G1033" s="1">
        <v>2</v>
      </c>
      <c r="H1033" s="1">
        <v>38.67</v>
      </c>
      <c r="I1033" s="1"/>
      <c r="J1033" s="1"/>
    </row>
    <row r="1034" spans="1:10" x14ac:dyDescent="0.3">
      <c r="A1034" t="str">
        <f t="shared" si="32"/>
        <v>RPG</v>
      </c>
      <c r="B1034">
        <f t="shared" si="33"/>
        <v>3522</v>
      </c>
      <c r="D1034" s="1"/>
      <c r="E1034" s="1" t="s">
        <v>87</v>
      </c>
      <c r="F1034" s="1">
        <v>24</v>
      </c>
      <c r="G1034" s="1">
        <v>3</v>
      </c>
      <c r="H1034" s="1">
        <v>38.39</v>
      </c>
      <c r="I1034" s="1"/>
      <c r="J1034" s="1"/>
    </row>
    <row r="1035" spans="1:10" x14ac:dyDescent="0.3">
      <c r="A1035" t="str">
        <f t="shared" si="32"/>
        <v>RPG</v>
      </c>
      <c r="B1035">
        <f t="shared" si="33"/>
        <v>6822</v>
      </c>
      <c r="D1035" s="1"/>
      <c r="E1035" s="1" t="s">
        <v>248</v>
      </c>
      <c r="F1035" s="1">
        <v>28</v>
      </c>
      <c r="G1035" s="1">
        <v>3</v>
      </c>
      <c r="H1035" s="1">
        <v>38.090000000000003</v>
      </c>
      <c r="I1035" s="1"/>
      <c r="J1035" s="1"/>
    </row>
    <row r="1036" spans="1:10" x14ac:dyDescent="0.3">
      <c r="A1036" t="str">
        <f t="shared" si="32"/>
        <v>RPG</v>
      </c>
      <c r="B1036">
        <f t="shared" si="33"/>
        <v>1622</v>
      </c>
      <c r="D1036" s="1"/>
      <c r="E1036" s="1" t="s">
        <v>137</v>
      </c>
      <c r="F1036" s="1">
        <v>33</v>
      </c>
      <c r="G1036" s="1">
        <v>4</v>
      </c>
      <c r="H1036" s="1">
        <v>37.880000000000003</v>
      </c>
      <c r="I1036" s="1"/>
      <c r="J1036" s="1"/>
    </row>
    <row r="1037" spans="1:10" x14ac:dyDescent="0.3">
      <c r="A1037" t="str">
        <f t="shared" si="32"/>
        <v>RPG</v>
      </c>
      <c r="B1037">
        <f t="shared" si="33"/>
        <v>4322</v>
      </c>
      <c r="D1037" s="1"/>
      <c r="E1037" s="1" t="s">
        <v>125</v>
      </c>
      <c r="F1037" s="1">
        <v>35</v>
      </c>
      <c r="G1037" s="1">
        <v>2</v>
      </c>
      <c r="H1037" s="1">
        <v>37.82</v>
      </c>
      <c r="I1037" s="1"/>
      <c r="J1037" s="1"/>
    </row>
    <row r="1038" spans="1:10" x14ac:dyDescent="0.3">
      <c r="A1038" t="str">
        <f t="shared" si="32"/>
        <v>RPG</v>
      </c>
      <c r="B1038">
        <f t="shared" si="33"/>
        <v>7422</v>
      </c>
      <c r="D1038" s="1"/>
      <c r="E1038" s="1" t="s">
        <v>251</v>
      </c>
      <c r="F1038" s="1">
        <v>38</v>
      </c>
      <c r="G1038" s="1">
        <v>4</v>
      </c>
      <c r="H1038" s="1">
        <v>37.729999999999997</v>
      </c>
      <c r="I1038" s="1"/>
      <c r="J1038" s="1"/>
    </row>
    <row r="1039" spans="1:10" x14ac:dyDescent="0.3">
      <c r="A1039" t="str">
        <f t="shared" si="32"/>
        <v>RPG</v>
      </c>
      <c r="B1039">
        <f t="shared" si="33"/>
        <v>11822</v>
      </c>
      <c r="D1039" s="1"/>
      <c r="E1039" s="1" t="s">
        <v>281</v>
      </c>
      <c r="F1039" s="1">
        <v>42</v>
      </c>
      <c r="G1039" s="1">
        <v>1</v>
      </c>
      <c r="H1039" s="1">
        <v>37.51</v>
      </c>
      <c r="I1039" s="1"/>
      <c r="J1039" s="1"/>
    </row>
    <row r="1040" spans="1:10" x14ac:dyDescent="0.3">
      <c r="A1040" t="str">
        <f t="shared" si="32"/>
        <v>RPG</v>
      </c>
      <c r="B1040">
        <f t="shared" si="33"/>
        <v>18322</v>
      </c>
      <c r="D1040" s="1"/>
      <c r="E1040" s="1" t="s">
        <v>423</v>
      </c>
      <c r="F1040" s="1">
        <v>48</v>
      </c>
      <c r="G1040" s="1">
        <v>1</v>
      </c>
      <c r="H1040" s="1">
        <v>37.31</v>
      </c>
      <c r="I1040" s="1"/>
      <c r="J1040" s="1"/>
    </row>
    <row r="1041" spans="1:10" x14ac:dyDescent="0.3">
      <c r="A1041" t="str">
        <f t="shared" si="32"/>
        <v>RPG</v>
      </c>
      <c r="B1041">
        <f t="shared" si="33"/>
        <v>4422</v>
      </c>
      <c r="D1041" s="1"/>
      <c r="E1041" s="1" t="s">
        <v>83</v>
      </c>
      <c r="F1041" s="1">
        <v>51</v>
      </c>
      <c r="G1041" s="1">
        <v>2</v>
      </c>
      <c r="H1041" s="1">
        <v>37.19</v>
      </c>
      <c r="I1041" s="1"/>
      <c r="J1041" s="1"/>
    </row>
    <row r="1042" spans="1:10" x14ac:dyDescent="0.3">
      <c r="A1042" t="str">
        <f t="shared" si="32"/>
        <v>RPG</v>
      </c>
      <c r="B1042">
        <f t="shared" si="33"/>
        <v>3122</v>
      </c>
      <c r="D1042" s="1"/>
      <c r="E1042" s="1" t="s">
        <v>93</v>
      </c>
      <c r="F1042" s="1">
        <v>61</v>
      </c>
      <c r="G1042" s="1">
        <v>5</v>
      </c>
      <c r="H1042" s="1">
        <v>37</v>
      </c>
      <c r="I1042" s="1"/>
      <c r="J1042" s="1"/>
    </row>
    <row r="1043" spans="1:10" x14ac:dyDescent="0.3">
      <c r="A1043" t="str">
        <f t="shared" si="32"/>
        <v>RPG</v>
      </c>
      <c r="B1043">
        <f t="shared" si="33"/>
        <v>18522</v>
      </c>
      <c r="D1043" s="1"/>
      <c r="E1043" s="1" t="s">
        <v>420</v>
      </c>
      <c r="F1043" s="1">
        <v>67</v>
      </c>
      <c r="G1043" s="1">
        <v>2</v>
      </c>
      <c r="H1043" s="1">
        <v>36.799999999999997</v>
      </c>
      <c r="I1043" s="1"/>
      <c r="J1043" s="1"/>
    </row>
    <row r="1044" spans="1:10" x14ac:dyDescent="0.3">
      <c r="A1044" t="str">
        <f t="shared" si="32"/>
        <v>RPG</v>
      </c>
      <c r="B1044">
        <f t="shared" si="33"/>
        <v>3622</v>
      </c>
      <c r="D1044" s="1"/>
      <c r="E1044" s="1" t="s">
        <v>129</v>
      </c>
      <c r="F1044" s="1">
        <v>67</v>
      </c>
      <c r="G1044" s="1">
        <v>5</v>
      </c>
      <c r="H1044" s="1">
        <v>36.799999999999997</v>
      </c>
      <c r="I1044" s="1"/>
      <c r="J1044" s="1"/>
    </row>
    <row r="1045" spans="1:10" x14ac:dyDescent="0.3">
      <c r="A1045" t="str">
        <f t="shared" si="32"/>
        <v>RPG</v>
      </c>
      <c r="B1045">
        <f t="shared" si="33"/>
        <v>1922</v>
      </c>
      <c r="D1045" s="1"/>
      <c r="E1045" s="1" t="s">
        <v>112</v>
      </c>
      <c r="F1045" s="1">
        <v>75</v>
      </c>
      <c r="G1045" s="1">
        <v>3</v>
      </c>
      <c r="H1045" s="1">
        <v>36.590000000000003</v>
      </c>
      <c r="I1045" s="1"/>
      <c r="J1045" s="1"/>
    </row>
    <row r="1046" spans="1:10" x14ac:dyDescent="0.3">
      <c r="A1046" t="str">
        <f t="shared" si="32"/>
        <v>RPG</v>
      </c>
      <c r="B1046">
        <f t="shared" si="33"/>
        <v>5822</v>
      </c>
      <c r="D1046" s="1"/>
      <c r="E1046" s="1" t="s">
        <v>139</v>
      </c>
      <c r="F1046" s="1">
        <v>76</v>
      </c>
      <c r="G1046" s="1">
        <v>7</v>
      </c>
      <c r="H1046" s="1">
        <v>36.58</v>
      </c>
      <c r="I1046" s="1"/>
      <c r="J1046" s="1"/>
    </row>
    <row r="1047" spans="1:10" x14ac:dyDescent="0.3">
      <c r="A1047" t="str">
        <f t="shared" si="32"/>
        <v>RPG</v>
      </c>
      <c r="B1047">
        <f t="shared" si="33"/>
        <v>5222</v>
      </c>
      <c r="D1047" s="1"/>
      <c r="E1047" s="1" t="s">
        <v>241</v>
      </c>
      <c r="F1047" s="1">
        <v>77</v>
      </c>
      <c r="G1047" s="1">
        <v>5</v>
      </c>
      <c r="H1047" s="1">
        <v>36.58</v>
      </c>
      <c r="I1047" s="1"/>
      <c r="J1047" s="1"/>
    </row>
    <row r="1048" spans="1:10" x14ac:dyDescent="0.3">
      <c r="A1048" t="str">
        <f t="shared" si="32"/>
        <v>RPG</v>
      </c>
      <c r="B1048">
        <f t="shared" si="33"/>
        <v>14522</v>
      </c>
      <c r="D1048" s="1"/>
      <c r="E1048" s="1" t="s">
        <v>402</v>
      </c>
      <c r="F1048" s="1">
        <v>78</v>
      </c>
      <c r="G1048" s="1">
        <v>5</v>
      </c>
      <c r="H1048" s="1">
        <v>36.53</v>
      </c>
      <c r="I1048" s="1"/>
      <c r="J1048" s="1"/>
    </row>
    <row r="1049" spans="1:10" x14ac:dyDescent="0.3">
      <c r="A1049" t="str">
        <f t="shared" si="32"/>
        <v>RPG</v>
      </c>
      <c r="B1049">
        <f t="shared" si="33"/>
        <v>19022</v>
      </c>
      <c r="D1049" s="1"/>
      <c r="E1049" s="1" t="s">
        <v>176</v>
      </c>
      <c r="F1049" s="1">
        <v>79</v>
      </c>
      <c r="G1049" s="1">
        <v>5</v>
      </c>
      <c r="H1049" s="1">
        <v>36.5</v>
      </c>
      <c r="I1049" s="1"/>
      <c r="J1049" s="1"/>
    </row>
    <row r="1050" spans="1:10" x14ac:dyDescent="0.3">
      <c r="A1050" t="str">
        <f t="shared" si="32"/>
        <v>RPG</v>
      </c>
      <c r="B1050">
        <f t="shared" si="33"/>
        <v>1222</v>
      </c>
      <c r="D1050" s="1"/>
      <c r="E1050" s="1" t="s">
        <v>130</v>
      </c>
      <c r="F1050" s="1">
        <v>84</v>
      </c>
      <c r="G1050" s="1">
        <v>3</v>
      </c>
      <c r="H1050" s="1">
        <v>36.31</v>
      </c>
      <c r="I1050" s="1"/>
      <c r="J1050" s="1"/>
    </row>
    <row r="1051" spans="1:10" x14ac:dyDescent="0.3">
      <c r="A1051" t="str">
        <f t="shared" si="32"/>
        <v>RPG</v>
      </c>
      <c r="B1051">
        <f t="shared" si="33"/>
        <v>4522</v>
      </c>
      <c r="D1051" s="1"/>
      <c r="E1051" s="1" t="s">
        <v>84</v>
      </c>
      <c r="F1051" s="1">
        <v>90</v>
      </c>
      <c r="G1051" s="1">
        <v>7</v>
      </c>
      <c r="H1051" s="1">
        <v>36.21</v>
      </c>
      <c r="I1051" s="1"/>
      <c r="J1051" s="1"/>
    </row>
    <row r="1052" spans="1:10" x14ac:dyDescent="0.3">
      <c r="A1052" t="str">
        <f t="shared" si="32"/>
        <v>RPG</v>
      </c>
      <c r="B1052">
        <f t="shared" si="33"/>
        <v>5322</v>
      </c>
      <c r="D1052" s="1"/>
      <c r="E1052" s="1" t="s">
        <v>242</v>
      </c>
      <c r="F1052" s="1">
        <v>93</v>
      </c>
      <c r="G1052" s="1">
        <v>4</v>
      </c>
      <c r="H1052" s="1">
        <v>36.14</v>
      </c>
      <c r="I1052" s="1"/>
      <c r="J1052" s="1"/>
    </row>
    <row r="1053" spans="1:10" x14ac:dyDescent="0.3">
      <c r="A1053" t="str">
        <f t="shared" si="32"/>
        <v>RPG</v>
      </c>
      <c r="B1053">
        <f t="shared" si="33"/>
        <v>3922</v>
      </c>
      <c r="D1053" s="1"/>
      <c r="E1053" s="1" t="s">
        <v>88</v>
      </c>
      <c r="F1053" s="1">
        <v>101</v>
      </c>
      <c r="G1053" s="1">
        <v>3</v>
      </c>
      <c r="H1053" s="1">
        <v>35.94</v>
      </c>
      <c r="I1053" s="1"/>
      <c r="J1053" s="1"/>
    </row>
    <row r="1054" spans="1:10" x14ac:dyDescent="0.3">
      <c r="A1054" t="str">
        <f t="shared" si="32"/>
        <v>RPG</v>
      </c>
      <c r="B1054">
        <f t="shared" si="33"/>
        <v>6622</v>
      </c>
      <c r="D1054" s="1"/>
      <c r="E1054" s="1" t="s">
        <v>247</v>
      </c>
      <c r="F1054" s="1">
        <v>106</v>
      </c>
      <c r="G1054" s="1">
        <v>6</v>
      </c>
      <c r="H1054" s="1">
        <v>35.89</v>
      </c>
      <c r="I1054" s="1"/>
      <c r="J1054" s="1"/>
    </row>
    <row r="1055" spans="1:10" x14ac:dyDescent="0.3">
      <c r="A1055" t="str">
        <f t="shared" si="32"/>
        <v>RPG</v>
      </c>
      <c r="B1055">
        <f t="shared" si="33"/>
        <v>5622</v>
      </c>
      <c r="D1055" s="1"/>
      <c r="E1055" s="1" t="s">
        <v>62</v>
      </c>
      <c r="F1055" s="1">
        <v>109</v>
      </c>
      <c r="G1055" s="1">
        <v>4</v>
      </c>
      <c r="H1055" s="1">
        <v>35.83</v>
      </c>
      <c r="I1055" s="1"/>
      <c r="J1055" s="1"/>
    </row>
    <row r="1056" spans="1:10" x14ac:dyDescent="0.3">
      <c r="A1056" t="str">
        <f t="shared" si="32"/>
        <v>RPG</v>
      </c>
      <c r="B1056">
        <f t="shared" si="33"/>
        <v>8822</v>
      </c>
      <c r="D1056" s="1"/>
      <c r="E1056" s="1" t="s">
        <v>141</v>
      </c>
      <c r="F1056" s="1">
        <v>114</v>
      </c>
      <c r="G1056" s="1">
        <v>2</v>
      </c>
      <c r="H1056" s="1">
        <v>35.770000000000003</v>
      </c>
      <c r="I1056" s="1"/>
      <c r="J1056" s="1"/>
    </row>
    <row r="1057" spans="1:10" x14ac:dyDescent="0.3">
      <c r="A1057" t="str">
        <f t="shared" si="32"/>
        <v>RPG</v>
      </c>
      <c r="B1057">
        <f t="shared" si="33"/>
        <v>2122</v>
      </c>
      <c r="D1057" s="1"/>
      <c r="E1057" s="1" t="s">
        <v>136</v>
      </c>
      <c r="F1057" s="1">
        <v>119</v>
      </c>
      <c r="G1057" s="1">
        <v>4</v>
      </c>
      <c r="H1057" s="1">
        <v>35.74</v>
      </c>
      <c r="I1057" s="1"/>
      <c r="J1057" s="1"/>
    </row>
    <row r="1058" spans="1:10" x14ac:dyDescent="0.3">
      <c r="A1058" t="str">
        <f t="shared" si="32"/>
        <v>RPG</v>
      </c>
      <c r="B1058">
        <f t="shared" si="33"/>
        <v>9522</v>
      </c>
      <c r="D1058" s="1"/>
      <c r="E1058" s="1" t="s">
        <v>85</v>
      </c>
      <c r="F1058" s="1">
        <v>120</v>
      </c>
      <c r="G1058" s="1">
        <v>1</v>
      </c>
      <c r="H1058" s="1">
        <v>35.71</v>
      </c>
      <c r="I1058" s="1"/>
      <c r="J1058" s="1"/>
    </row>
    <row r="1059" spans="1:10" x14ac:dyDescent="0.3">
      <c r="A1059" t="str">
        <f t="shared" si="32"/>
        <v>RPG</v>
      </c>
      <c r="B1059">
        <f t="shared" si="33"/>
        <v>9422</v>
      </c>
      <c r="D1059" s="1"/>
      <c r="E1059" s="1" t="s">
        <v>264</v>
      </c>
      <c r="F1059" s="1">
        <v>120</v>
      </c>
      <c r="G1059" s="1">
        <v>7</v>
      </c>
      <c r="H1059" s="1">
        <v>35.71</v>
      </c>
      <c r="I1059" s="1"/>
      <c r="J1059" s="1"/>
    </row>
    <row r="1060" spans="1:10" x14ac:dyDescent="0.3">
      <c r="A1060" t="str">
        <f t="shared" si="32"/>
        <v>RPG</v>
      </c>
      <c r="B1060">
        <f t="shared" si="33"/>
        <v>13422</v>
      </c>
      <c r="D1060" s="1"/>
      <c r="E1060" s="1" t="s">
        <v>400</v>
      </c>
      <c r="F1060" s="1">
        <v>126</v>
      </c>
      <c r="G1060" s="1">
        <v>7</v>
      </c>
      <c r="H1060" s="1">
        <v>35.69</v>
      </c>
      <c r="I1060" s="1"/>
      <c r="J1060" s="1"/>
    </row>
    <row r="1061" spans="1:10" x14ac:dyDescent="0.3">
      <c r="A1061" t="str">
        <f t="shared" si="32"/>
        <v>RPG</v>
      </c>
      <c r="B1061">
        <f t="shared" si="33"/>
        <v>922</v>
      </c>
      <c r="D1061" s="1"/>
      <c r="E1061" s="1" t="s">
        <v>90</v>
      </c>
      <c r="F1061" s="1">
        <v>127</v>
      </c>
      <c r="G1061" s="1">
        <v>8</v>
      </c>
      <c r="H1061" s="1">
        <v>35.68</v>
      </c>
      <c r="I1061" s="1"/>
      <c r="J1061" s="1"/>
    </row>
    <row r="1062" spans="1:10" x14ac:dyDescent="0.3">
      <c r="A1062" t="str">
        <f t="shared" si="32"/>
        <v>RPG</v>
      </c>
      <c r="B1062">
        <f t="shared" si="33"/>
        <v>8622</v>
      </c>
      <c r="D1062" s="1"/>
      <c r="E1062" s="1" t="s">
        <v>259</v>
      </c>
      <c r="F1062" s="1">
        <v>132</v>
      </c>
      <c r="G1062" s="1">
        <v>3</v>
      </c>
      <c r="H1062" s="1">
        <v>35.57</v>
      </c>
      <c r="I1062" s="1"/>
      <c r="J1062" s="1"/>
    </row>
    <row r="1063" spans="1:10" x14ac:dyDescent="0.3">
      <c r="A1063" t="str">
        <f t="shared" si="32"/>
        <v>RPG</v>
      </c>
      <c r="B1063">
        <f t="shared" si="33"/>
        <v>1422</v>
      </c>
      <c r="D1063" s="1"/>
      <c r="E1063" s="1" t="s">
        <v>102</v>
      </c>
      <c r="F1063" s="1">
        <v>134</v>
      </c>
      <c r="G1063" s="1">
        <v>5</v>
      </c>
      <c r="H1063" s="1">
        <v>35.51</v>
      </c>
      <c r="I1063" s="1"/>
      <c r="J1063" s="1"/>
    </row>
    <row r="1064" spans="1:10" x14ac:dyDescent="0.3">
      <c r="A1064" t="str">
        <f t="shared" si="32"/>
        <v>RPG</v>
      </c>
      <c r="B1064">
        <f t="shared" si="33"/>
        <v>8122</v>
      </c>
      <c r="D1064" s="1"/>
      <c r="E1064" s="1" t="s">
        <v>256</v>
      </c>
      <c r="F1064" s="1">
        <v>146</v>
      </c>
      <c r="G1064" s="1">
        <v>10</v>
      </c>
      <c r="H1064" s="1">
        <v>35.33</v>
      </c>
      <c r="I1064" s="1"/>
      <c r="J1064" s="1"/>
    </row>
    <row r="1065" spans="1:10" x14ac:dyDescent="0.3">
      <c r="A1065" t="str">
        <f t="shared" si="32"/>
        <v>RPG</v>
      </c>
      <c r="B1065">
        <f t="shared" si="33"/>
        <v>9022</v>
      </c>
      <c r="D1065" s="1"/>
      <c r="E1065" s="1" t="s">
        <v>261</v>
      </c>
      <c r="F1065" s="1">
        <v>147</v>
      </c>
      <c r="G1065" s="1">
        <v>6</v>
      </c>
      <c r="H1065" s="1">
        <v>35.32</v>
      </c>
      <c r="I1065" s="1"/>
      <c r="J1065" s="1"/>
    </row>
    <row r="1066" spans="1:10" x14ac:dyDescent="0.3">
      <c r="A1066" t="str">
        <f t="shared" si="32"/>
        <v>RPG</v>
      </c>
      <c r="B1066">
        <f t="shared" si="33"/>
        <v>2522</v>
      </c>
      <c r="D1066" s="1"/>
      <c r="E1066" s="1" t="s">
        <v>92</v>
      </c>
      <c r="F1066" s="1">
        <v>148</v>
      </c>
      <c r="G1066" s="1">
        <v>5</v>
      </c>
      <c r="H1066" s="1">
        <v>35.31</v>
      </c>
      <c r="I1066" s="1"/>
      <c r="J1066" s="1"/>
    </row>
    <row r="1067" spans="1:10" x14ac:dyDescent="0.3">
      <c r="A1067" t="str">
        <f t="shared" si="32"/>
        <v>RPG</v>
      </c>
      <c r="B1067">
        <f t="shared" si="33"/>
        <v>2422</v>
      </c>
      <c r="D1067" s="1"/>
      <c r="E1067" s="1" t="s">
        <v>330</v>
      </c>
      <c r="F1067" s="1">
        <v>151</v>
      </c>
      <c r="G1067" s="1">
        <v>7</v>
      </c>
      <c r="H1067" s="1">
        <v>35.270000000000003</v>
      </c>
      <c r="I1067" s="1"/>
      <c r="J1067" s="1"/>
    </row>
    <row r="1068" spans="1:10" x14ac:dyDescent="0.3">
      <c r="A1068" t="str">
        <f t="shared" si="32"/>
        <v>RPG</v>
      </c>
      <c r="B1068">
        <f t="shared" si="33"/>
        <v>18622</v>
      </c>
      <c r="D1068" s="1"/>
      <c r="E1068" s="1" t="s">
        <v>425</v>
      </c>
      <c r="F1068" s="1">
        <v>152</v>
      </c>
      <c r="G1068" s="1">
        <v>5</v>
      </c>
      <c r="H1068" s="1">
        <v>35.26</v>
      </c>
      <c r="I1068" s="1"/>
      <c r="J1068" s="1"/>
    </row>
    <row r="1069" spans="1:10" x14ac:dyDescent="0.3">
      <c r="A1069" t="str">
        <f t="shared" si="32"/>
        <v>RPG</v>
      </c>
      <c r="B1069">
        <f t="shared" si="33"/>
        <v>19122</v>
      </c>
      <c r="D1069" s="1"/>
      <c r="E1069" s="1" t="s">
        <v>421</v>
      </c>
      <c r="F1069" s="1">
        <v>167</v>
      </c>
      <c r="G1069" s="1">
        <v>7</v>
      </c>
      <c r="H1069" s="1">
        <v>35.06</v>
      </c>
      <c r="I1069" s="1"/>
      <c r="J1069" s="1"/>
    </row>
    <row r="1070" spans="1:10" x14ac:dyDescent="0.3">
      <c r="A1070" t="str">
        <f t="shared" si="32"/>
        <v>RPG</v>
      </c>
      <c r="B1070">
        <f t="shared" si="33"/>
        <v>15222</v>
      </c>
      <c r="D1070" s="1"/>
      <c r="E1070" s="1" t="s">
        <v>426</v>
      </c>
      <c r="F1070" s="1">
        <v>167</v>
      </c>
      <c r="G1070" s="1">
        <v>7</v>
      </c>
      <c r="H1070" s="1">
        <v>35.06</v>
      </c>
      <c r="I1070" s="1"/>
      <c r="J1070" s="1"/>
    </row>
    <row r="1071" spans="1:10" x14ac:dyDescent="0.3">
      <c r="A1071" t="str">
        <f t="shared" si="32"/>
        <v>RPG</v>
      </c>
      <c r="B1071">
        <f t="shared" si="33"/>
        <v>18722</v>
      </c>
      <c r="D1071" s="1"/>
      <c r="E1071" s="1" t="s">
        <v>427</v>
      </c>
      <c r="F1071" s="1">
        <v>184</v>
      </c>
      <c r="G1071" s="1">
        <v>4</v>
      </c>
      <c r="H1071" s="1">
        <v>34.83</v>
      </c>
      <c r="I1071" s="1"/>
      <c r="J1071" s="1"/>
    </row>
    <row r="1072" spans="1:10" x14ac:dyDescent="0.3">
      <c r="A1072" t="str">
        <f t="shared" si="32"/>
        <v>RPG</v>
      </c>
      <c r="B1072">
        <f t="shared" si="33"/>
        <v>122</v>
      </c>
      <c r="D1072" s="1"/>
      <c r="E1072" s="1" t="s">
        <v>312</v>
      </c>
      <c r="F1072" s="1">
        <v>187</v>
      </c>
      <c r="G1072" s="1">
        <v>8</v>
      </c>
      <c r="H1072" s="1">
        <v>34.729999999999997</v>
      </c>
      <c r="I1072" s="1"/>
      <c r="J1072" s="1"/>
    </row>
    <row r="1073" spans="1:10" x14ac:dyDescent="0.3">
      <c r="A1073" t="str">
        <f t="shared" si="32"/>
        <v>RPG</v>
      </c>
      <c r="B1073">
        <f t="shared" si="33"/>
        <v>722</v>
      </c>
      <c r="D1073" s="1"/>
      <c r="E1073" s="1" t="s">
        <v>319</v>
      </c>
      <c r="F1073" s="1">
        <v>197</v>
      </c>
      <c r="G1073" s="1">
        <v>6</v>
      </c>
      <c r="H1073" s="1">
        <v>34.64</v>
      </c>
      <c r="I1073" s="1"/>
      <c r="J1073" s="1"/>
    </row>
    <row r="1074" spans="1:10" x14ac:dyDescent="0.3">
      <c r="A1074" t="str">
        <f t="shared" si="32"/>
        <v>RPG</v>
      </c>
      <c r="B1074">
        <f t="shared" si="33"/>
        <v>6222</v>
      </c>
      <c r="D1074" s="1"/>
      <c r="E1074" s="1" t="s">
        <v>81</v>
      </c>
      <c r="F1074" s="1">
        <v>205</v>
      </c>
      <c r="G1074" s="1">
        <v>10</v>
      </c>
      <c r="H1074" s="1">
        <v>34.53</v>
      </c>
      <c r="I1074" s="1"/>
      <c r="J1074" s="1"/>
    </row>
    <row r="1075" spans="1:10" x14ac:dyDescent="0.3">
      <c r="A1075" t="str">
        <f t="shared" si="32"/>
        <v>RPG</v>
      </c>
      <c r="B1075">
        <f t="shared" si="33"/>
        <v>18422</v>
      </c>
      <c r="D1075" s="1"/>
      <c r="E1075" s="1" t="s">
        <v>417</v>
      </c>
      <c r="F1075" s="1">
        <v>215</v>
      </c>
      <c r="G1075" s="1">
        <v>4</v>
      </c>
      <c r="H1075" s="1">
        <v>34.35</v>
      </c>
      <c r="I1075" s="1"/>
      <c r="J1075" s="1"/>
    </row>
    <row r="1076" spans="1:10" x14ac:dyDescent="0.3">
      <c r="A1076" t="str">
        <f t="shared" si="32"/>
        <v>RPG</v>
      </c>
      <c r="B1076">
        <f t="shared" si="33"/>
        <v>6722</v>
      </c>
      <c r="D1076" s="1"/>
      <c r="E1076" s="1" t="s">
        <v>118</v>
      </c>
      <c r="F1076" s="1">
        <v>225</v>
      </c>
      <c r="G1076" s="1">
        <v>7</v>
      </c>
      <c r="H1076" s="1">
        <v>34.11</v>
      </c>
      <c r="I1076" s="1"/>
      <c r="J1076" s="1"/>
    </row>
    <row r="1077" spans="1:10" x14ac:dyDescent="0.3">
      <c r="A1077" t="str">
        <f t="shared" si="32"/>
        <v>RPG</v>
      </c>
      <c r="B1077">
        <f t="shared" si="33"/>
        <v>3222</v>
      </c>
      <c r="D1077" s="1"/>
      <c r="E1077" s="1" t="s">
        <v>127</v>
      </c>
      <c r="F1077" s="1">
        <v>230</v>
      </c>
      <c r="G1077" s="1">
        <v>8</v>
      </c>
      <c r="H1077" s="1">
        <v>33.97</v>
      </c>
      <c r="I1077" s="1"/>
      <c r="J1077" s="1"/>
    </row>
    <row r="1078" spans="1:10" x14ac:dyDescent="0.3">
      <c r="A1078" t="str">
        <f t="shared" si="32"/>
        <v>RPG</v>
      </c>
      <c r="B1078">
        <f t="shared" si="33"/>
        <v>13322</v>
      </c>
      <c r="D1078" s="1"/>
      <c r="E1078" s="1" t="s">
        <v>291</v>
      </c>
      <c r="F1078" s="1">
        <v>236</v>
      </c>
      <c r="G1078" s="1">
        <v>9</v>
      </c>
      <c r="H1078" s="1">
        <v>33.880000000000003</v>
      </c>
      <c r="I1078" s="1"/>
      <c r="J1078" s="1"/>
    </row>
    <row r="1079" spans="1:10" x14ac:dyDescent="0.3">
      <c r="A1079" t="str">
        <f t="shared" si="32"/>
        <v>RPG</v>
      </c>
      <c r="B1079">
        <f t="shared" si="33"/>
        <v>8422</v>
      </c>
      <c r="D1079" s="1"/>
      <c r="E1079" s="1" t="s">
        <v>109</v>
      </c>
      <c r="F1079" s="1">
        <v>246</v>
      </c>
      <c r="G1079" s="1">
        <v>5</v>
      </c>
      <c r="H1079" s="1">
        <v>33.69</v>
      </c>
      <c r="I1079" s="1"/>
      <c r="J1079" s="1"/>
    </row>
    <row r="1080" spans="1:10" x14ac:dyDescent="0.3">
      <c r="A1080" t="str">
        <f t="shared" si="32"/>
        <v>RPG</v>
      </c>
      <c r="B1080">
        <f t="shared" si="33"/>
        <v>622</v>
      </c>
      <c r="D1080" s="1"/>
      <c r="E1080" s="1" t="s">
        <v>100</v>
      </c>
      <c r="F1080" s="1">
        <v>247</v>
      </c>
      <c r="G1080" s="1">
        <v>10</v>
      </c>
      <c r="H1080" s="1">
        <v>33.67</v>
      </c>
      <c r="I1080" s="1"/>
      <c r="J1080" s="1"/>
    </row>
    <row r="1081" spans="1:10" x14ac:dyDescent="0.3">
      <c r="A1081" t="str">
        <f t="shared" si="32"/>
        <v>RPG</v>
      </c>
      <c r="B1081">
        <f t="shared" si="33"/>
        <v>11122</v>
      </c>
      <c r="D1081" s="1"/>
      <c r="E1081" s="1" t="s">
        <v>277</v>
      </c>
      <c r="F1081" s="1">
        <v>254</v>
      </c>
      <c r="G1081" s="1">
        <v>11</v>
      </c>
      <c r="H1081" s="1">
        <v>33.57</v>
      </c>
      <c r="I1081" s="1"/>
      <c r="J1081" s="1"/>
    </row>
    <row r="1082" spans="1:10" x14ac:dyDescent="0.3">
      <c r="A1082" t="str">
        <f t="shared" si="32"/>
        <v>RPG</v>
      </c>
      <c r="B1082">
        <f t="shared" si="33"/>
        <v>4622</v>
      </c>
      <c r="D1082" s="1"/>
      <c r="E1082" s="1" t="s">
        <v>101</v>
      </c>
      <c r="F1082" s="1">
        <v>261</v>
      </c>
      <c r="G1082" s="1">
        <v>7</v>
      </c>
      <c r="H1082" s="1">
        <v>33.36</v>
      </c>
      <c r="I1082" s="1"/>
      <c r="J1082" s="1"/>
    </row>
    <row r="1083" spans="1:10" x14ac:dyDescent="0.3">
      <c r="A1083" t="str">
        <f t="shared" si="32"/>
        <v>RPG</v>
      </c>
      <c r="B1083">
        <f t="shared" si="33"/>
        <v>12222</v>
      </c>
      <c r="D1083" s="1"/>
      <c r="E1083" s="1" t="s">
        <v>284</v>
      </c>
      <c r="F1083" s="1">
        <v>268</v>
      </c>
      <c r="G1083" s="1">
        <v>11</v>
      </c>
      <c r="H1083" s="1">
        <v>33.17</v>
      </c>
      <c r="I1083" s="1"/>
      <c r="J1083" s="1"/>
    </row>
    <row r="1084" spans="1:10" x14ac:dyDescent="0.3">
      <c r="A1084" t="str">
        <f t="shared" si="32"/>
        <v>RPG</v>
      </c>
      <c r="B1084">
        <f t="shared" si="33"/>
        <v>12022</v>
      </c>
      <c r="D1084" s="1"/>
      <c r="E1084" s="1" t="s">
        <v>135</v>
      </c>
      <c r="F1084" s="1">
        <v>272</v>
      </c>
      <c r="G1084" s="1">
        <v>5</v>
      </c>
      <c r="H1084" s="1">
        <v>32.97</v>
      </c>
      <c r="I1084" s="1"/>
      <c r="J1084" s="1"/>
    </row>
    <row r="1085" spans="1:10" x14ac:dyDescent="0.3">
      <c r="A1085" t="str">
        <f t="shared" si="32"/>
        <v>RPG</v>
      </c>
      <c r="B1085">
        <f t="shared" si="33"/>
        <v>14322</v>
      </c>
      <c r="D1085" s="1"/>
      <c r="E1085" s="1" t="s">
        <v>391</v>
      </c>
      <c r="F1085" s="1">
        <v>289</v>
      </c>
      <c r="G1085" s="1">
        <v>13</v>
      </c>
      <c r="H1085" s="1">
        <v>32.57</v>
      </c>
      <c r="I1085" s="1"/>
      <c r="J1085" s="1"/>
    </row>
    <row r="1086" spans="1:10" x14ac:dyDescent="0.3">
      <c r="A1086" t="str">
        <f t="shared" si="32"/>
        <v>RPG</v>
      </c>
      <c r="B1086">
        <f t="shared" si="33"/>
        <v>18822</v>
      </c>
      <c r="D1086" s="1"/>
      <c r="E1086" s="1" t="s">
        <v>424</v>
      </c>
      <c r="F1086" s="1">
        <v>293</v>
      </c>
      <c r="G1086" s="1">
        <v>8</v>
      </c>
      <c r="H1086" s="1">
        <v>32.46</v>
      </c>
      <c r="I1086" s="1"/>
      <c r="J1086" s="1"/>
    </row>
    <row r="1087" spans="1:10" x14ac:dyDescent="0.3">
      <c r="A1087" t="str">
        <f t="shared" si="32"/>
        <v>RPG</v>
      </c>
      <c r="B1087">
        <f t="shared" si="33"/>
        <v>2622</v>
      </c>
      <c r="D1087" s="1"/>
      <c r="E1087" s="1" t="s">
        <v>80</v>
      </c>
      <c r="F1087" s="1">
        <v>303</v>
      </c>
      <c r="G1087" s="1">
        <v>12</v>
      </c>
      <c r="H1087" s="1">
        <v>32.24</v>
      </c>
      <c r="I1087" s="1"/>
      <c r="J1087" s="1"/>
    </row>
    <row r="1088" spans="1:10" x14ac:dyDescent="0.3">
      <c r="A1088" t="str">
        <f t="shared" si="32"/>
        <v>RPG</v>
      </c>
      <c r="B1088">
        <f t="shared" si="33"/>
        <v>3322</v>
      </c>
      <c r="D1088" s="1"/>
      <c r="E1088" s="1" t="s">
        <v>91</v>
      </c>
      <c r="F1088" s="1">
        <v>311</v>
      </c>
      <c r="G1088" s="1">
        <v>9</v>
      </c>
      <c r="H1088" s="1">
        <v>31.83</v>
      </c>
      <c r="I1088" s="1"/>
      <c r="J1088" s="1"/>
    </row>
    <row r="1089" spans="1:10" x14ac:dyDescent="0.3">
      <c r="A1089" t="str">
        <f t="shared" si="32"/>
        <v>RPG</v>
      </c>
      <c r="B1089">
        <f t="shared" si="33"/>
        <v>18922</v>
      </c>
      <c r="D1089" s="1"/>
      <c r="E1089" s="1" t="s">
        <v>422</v>
      </c>
      <c r="F1089" s="1">
        <v>312</v>
      </c>
      <c r="G1089" s="1">
        <v>10</v>
      </c>
      <c r="H1089" s="1">
        <v>31.8</v>
      </c>
      <c r="I1089" s="1"/>
      <c r="J1089" s="1"/>
    </row>
    <row r="1090" spans="1:10" x14ac:dyDescent="0.3">
      <c r="A1090" t="str">
        <f t="shared" ref="A1090:A1153" si="34">IF(NOT(D1090=""),INDEX(statAbbr,MATCH(D1090,statOfficial,0),1),A1089)</f>
        <v>RPG</v>
      </c>
      <c r="B1090">
        <f t="shared" ref="B1090:B1153" si="35">INDEX(statID,MATCH(A1090,statAbbr,0),1)+INDEX(teamID,MATCH(E1090,teamRawName,0))</f>
        <v>7922</v>
      </c>
      <c r="D1090" s="1"/>
      <c r="E1090" s="1" t="s">
        <v>103</v>
      </c>
      <c r="F1090" s="1">
        <v>333</v>
      </c>
      <c r="G1090" s="1">
        <v>8</v>
      </c>
      <c r="H1090" s="1">
        <v>31.32</v>
      </c>
      <c r="I1090" s="1"/>
      <c r="J1090" s="1"/>
    </row>
    <row r="1091" spans="1:10" x14ac:dyDescent="0.3">
      <c r="A1091" t="str">
        <f t="shared" si="34"/>
        <v>RPG</v>
      </c>
      <c r="B1091">
        <f t="shared" si="35"/>
        <v>14122</v>
      </c>
      <c r="D1091" s="1"/>
      <c r="E1091" s="1" t="s">
        <v>299</v>
      </c>
      <c r="F1091" s="1">
        <v>348</v>
      </c>
      <c r="G1091" s="1">
        <v>14</v>
      </c>
      <c r="H1091" s="1">
        <v>30.23</v>
      </c>
      <c r="I1091" s="1"/>
      <c r="J1091" s="1"/>
    </row>
    <row r="1092" spans="1:10" x14ac:dyDescent="0.3">
      <c r="A1092" t="str">
        <f t="shared" si="34"/>
        <v>OPPG</v>
      </c>
      <c r="B1092">
        <f t="shared" si="35"/>
        <v>2818</v>
      </c>
      <c r="D1092" s="1" t="s">
        <v>446</v>
      </c>
      <c r="E1092" s="1" t="s">
        <v>106</v>
      </c>
      <c r="F1092" s="1">
        <v>2</v>
      </c>
      <c r="G1092" s="1">
        <v>1</v>
      </c>
      <c r="H1092" s="1">
        <v>57.5</v>
      </c>
      <c r="I1092" s="1" t="s">
        <v>304</v>
      </c>
      <c r="J1092" s="1">
        <v>55.8</v>
      </c>
    </row>
    <row r="1093" spans="1:10" x14ac:dyDescent="0.3">
      <c r="A1093" t="str">
        <f t="shared" si="34"/>
        <v>OPPG</v>
      </c>
      <c r="B1093">
        <f t="shared" si="35"/>
        <v>3518</v>
      </c>
      <c r="D1093" s="1"/>
      <c r="E1093" s="1" t="s">
        <v>87</v>
      </c>
      <c r="F1093" s="1">
        <v>3</v>
      </c>
      <c r="G1093" s="1">
        <v>1</v>
      </c>
      <c r="H1093" s="1">
        <v>57.9</v>
      </c>
      <c r="I1093" s="1"/>
      <c r="J1093" s="1"/>
    </row>
    <row r="1094" spans="1:10" x14ac:dyDescent="0.3">
      <c r="A1094" t="str">
        <f t="shared" si="34"/>
        <v>OPPG</v>
      </c>
      <c r="B1094">
        <f t="shared" si="35"/>
        <v>2518</v>
      </c>
      <c r="D1094" s="1"/>
      <c r="E1094" s="1" t="s">
        <v>92</v>
      </c>
      <c r="F1094" s="1">
        <v>5</v>
      </c>
      <c r="G1094" s="1">
        <v>1</v>
      </c>
      <c r="H1094" s="1">
        <v>60.1</v>
      </c>
      <c r="I1094" s="1"/>
      <c r="J1094" s="1"/>
    </row>
    <row r="1095" spans="1:10" x14ac:dyDescent="0.3">
      <c r="A1095" t="str">
        <f t="shared" si="34"/>
        <v>OPPG</v>
      </c>
      <c r="B1095">
        <f t="shared" si="35"/>
        <v>2618</v>
      </c>
      <c r="D1095" s="1"/>
      <c r="E1095" s="1" t="s">
        <v>80</v>
      </c>
      <c r="F1095" s="1">
        <v>6</v>
      </c>
      <c r="G1095" s="1">
        <v>1</v>
      </c>
      <c r="H1095" s="1">
        <v>60.5</v>
      </c>
      <c r="I1095" s="1"/>
      <c r="J1095" s="1"/>
    </row>
    <row r="1096" spans="1:10" x14ac:dyDescent="0.3">
      <c r="A1096" t="str">
        <f t="shared" si="34"/>
        <v>OPPG</v>
      </c>
      <c r="B1096">
        <f t="shared" si="35"/>
        <v>9018</v>
      </c>
      <c r="D1096" s="1"/>
      <c r="E1096" s="1" t="s">
        <v>261</v>
      </c>
      <c r="F1096" s="1">
        <v>7</v>
      </c>
      <c r="G1096" s="1">
        <v>1</v>
      </c>
      <c r="H1096" s="1">
        <v>60.7</v>
      </c>
      <c r="I1096" s="1"/>
      <c r="J1096" s="1"/>
    </row>
    <row r="1097" spans="1:10" x14ac:dyDescent="0.3">
      <c r="A1097" t="str">
        <f t="shared" si="34"/>
        <v>OPPG</v>
      </c>
      <c r="B1097">
        <f t="shared" si="35"/>
        <v>1618</v>
      </c>
      <c r="D1097" s="1"/>
      <c r="E1097" s="1" t="s">
        <v>137</v>
      </c>
      <c r="F1097" s="1">
        <v>9</v>
      </c>
      <c r="G1097" s="1">
        <v>2</v>
      </c>
      <c r="H1097" s="1">
        <v>61</v>
      </c>
      <c r="I1097" s="1"/>
      <c r="J1097" s="1"/>
    </row>
    <row r="1098" spans="1:10" x14ac:dyDescent="0.3">
      <c r="A1098" t="str">
        <f t="shared" si="34"/>
        <v>OPPG</v>
      </c>
      <c r="B1098">
        <f t="shared" si="35"/>
        <v>618</v>
      </c>
      <c r="D1098" s="1"/>
      <c r="E1098" s="1" t="s">
        <v>100</v>
      </c>
      <c r="F1098" s="1">
        <v>19</v>
      </c>
      <c r="G1098" s="1">
        <v>1</v>
      </c>
      <c r="H1098" s="1">
        <v>62.6</v>
      </c>
      <c r="I1098" s="1"/>
      <c r="J1098" s="1"/>
    </row>
    <row r="1099" spans="1:10" x14ac:dyDescent="0.3">
      <c r="A1099" t="str">
        <f t="shared" si="34"/>
        <v>OPPG</v>
      </c>
      <c r="B1099">
        <f t="shared" si="35"/>
        <v>3018</v>
      </c>
      <c r="D1099" s="1"/>
      <c r="E1099" s="1" t="s">
        <v>89</v>
      </c>
      <c r="F1099" s="1">
        <v>21</v>
      </c>
      <c r="G1099" s="1">
        <v>2</v>
      </c>
      <c r="H1099" s="1">
        <v>62.7</v>
      </c>
      <c r="I1099" s="1"/>
      <c r="J1099" s="1"/>
    </row>
    <row r="1100" spans="1:10" x14ac:dyDescent="0.3">
      <c r="A1100" t="str">
        <f t="shared" si="34"/>
        <v>OPPG</v>
      </c>
      <c r="B1100">
        <f t="shared" si="35"/>
        <v>6218</v>
      </c>
      <c r="D1100" s="1"/>
      <c r="E1100" s="1" t="s">
        <v>81</v>
      </c>
      <c r="F1100" s="1">
        <v>22</v>
      </c>
      <c r="G1100" s="1">
        <v>3</v>
      </c>
      <c r="H1100" s="1">
        <v>62.8</v>
      </c>
      <c r="I1100" s="1"/>
      <c r="J1100" s="1"/>
    </row>
    <row r="1101" spans="1:10" x14ac:dyDescent="0.3">
      <c r="A1101" t="str">
        <f t="shared" si="34"/>
        <v>OPPG</v>
      </c>
      <c r="B1101">
        <f t="shared" si="35"/>
        <v>12218</v>
      </c>
      <c r="D1101" s="1"/>
      <c r="E1101" s="1" t="s">
        <v>284</v>
      </c>
      <c r="F1101" s="1">
        <v>23</v>
      </c>
      <c r="G1101" s="1">
        <v>2</v>
      </c>
      <c r="H1101" s="1">
        <v>62.9</v>
      </c>
      <c r="I1101" s="1"/>
      <c r="J1101" s="1"/>
    </row>
    <row r="1102" spans="1:10" x14ac:dyDescent="0.3">
      <c r="A1102" t="str">
        <f t="shared" si="34"/>
        <v>OPPG</v>
      </c>
      <c r="B1102">
        <f t="shared" si="35"/>
        <v>1218</v>
      </c>
      <c r="D1102" s="1"/>
      <c r="E1102" s="1" t="s">
        <v>130</v>
      </c>
      <c r="F1102" s="1">
        <v>26</v>
      </c>
      <c r="G1102" s="1">
        <v>1</v>
      </c>
      <c r="H1102" s="1">
        <v>63.5</v>
      </c>
      <c r="I1102" s="1"/>
      <c r="J1102" s="1"/>
    </row>
    <row r="1103" spans="1:10" x14ac:dyDescent="0.3">
      <c r="A1103" t="str">
        <f t="shared" si="34"/>
        <v>OPPG</v>
      </c>
      <c r="B1103">
        <f t="shared" si="35"/>
        <v>11118</v>
      </c>
      <c r="D1103" s="1"/>
      <c r="E1103" s="1" t="s">
        <v>277</v>
      </c>
      <c r="F1103" s="1">
        <v>27</v>
      </c>
      <c r="G1103" s="1">
        <v>4</v>
      </c>
      <c r="H1103" s="1">
        <v>63.5</v>
      </c>
      <c r="I1103" s="1"/>
      <c r="J1103" s="1"/>
    </row>
    <row r="1104" spans="1:10" x14ac:dyDescent="0.3">
      <c r="A1104" t="str">
        <f t="shared" si="34"/>
        <v>OPPG</v>
      </c>
      <c r="B1104">
        <f t="shared" si="35"/>
        <v>18818</v>
      </c>
      <c r="D1104" s="1"/>
      <c r="E1104" s="1" t="s">
        <v>424</v>
      </c>
      <c r="F1104" s="1">
        <v>28</v>
      </c>
      <c r="G1104" s="1">
        <v>1</v>
      </c>
      <c r="H1104" s="1">
        <v>63.5</v>
      </c>
      <c r="I1104" s="1"/>
      <c r="J1104" s="1"/>
    </row>
    <row r="1105" spans="1:10" x14ac:dyDescent="0.3">
      <c r="A1105" t="str">
        <f t="shared" si="34"/>
        <v>OPPG</v>
      </c>
      <c r="B1105">
        <f t="shared" si="35"/>
        <v>5418</v>
      </c>
      <c r="D1105" s="1"/>
      <c r="E1105" s="1" t="s">
        <v>94</v>
      </c>
      <c r="F1105" s="1">
        <v>30</v>
      </c>
      <c r="G1105" s="1">
        <v>2</v>
      </c>
      <c r="H1105" s="1">
        <v>63.6</v>
      </c>
      <c r="I1105" s="1"/>
      <c r="J1105" s="1"/>
    </row>
    <row r="1106" spans="1:10" x14ac:dyDescent="0.3">
      <c r="A1106" t="str">
        <f t="shared" si="34"/>
        <v>OPPG</v>
      </c>
      <c r="B1106">
        <f t="shared" si="35"/>
        <v>9518</v>
      </c>
      <c r="D1106" s="1"/>
      <c r="E1106" s="1" t="s">
        <v>85</v>
      </c>
      <c r="F1106" s="1">
        <v>32</v>
      </c>
      <c r="G1106" s="1">
        <v>4</v>
      </c>
      <c r="H1106" s="1">
        <v>63.9</v>
      </c>
      <c r="I1106" s="1"/>
      <c r="J1106" s="1"/>
    </row>
    <row r="1107" spans="1:10" x14ac:dyDescent="0.3">
      <c r="A1107" t="str">
        <f t="shared" si="34"/>
        <v>OPPG</v>
      </c>
      <c r="B1107">
        <f t="shared" si="35"/>
        <v>2318</v>
      </c>
      <c r="D1107" s="1"/>
      <c r="E1107" s="1" t="s">
        <v>79</v>
      </c>
      <c r="F1107" s="1">
        <v>33</v>
      </c>
      <c r="G1107" s="1">
        <v>1</v>
      </c>
      <c r="H1107" s="1">
        <v>64.099999999999994</v>
      </c>
      <c r="I1107" s="1"/>
      <c r="J1107" s="1"/>
    </row>
    <row r="1108" spans="1:10" x14ac:dyDescent="0.3">
      <c r="A1108" t="str">
        <f t="shared" si="34"/>
        <v>OPPG</v>
      </c>
      <c r="B1108">
        <f t="shared" si="35"/>
        <v>2118</v>
      </c>
      <c r="D1108" s="1"/>
      <c r="E1108" s="1" t="s">
        <v>136</v>
      </c>
      <c r="F1108" s="1">
        <v>37</v>
      </c>
      <c r="G1108" s="1">
        <v>2</v>
      </c>
      <c r="H1108" s="1">
        <v>64.599999999999994</v>
      </c>
      <c r="I1108" s="1"/>
      <c r="J1108" s="1"/>
    </row>
    <row r="1109" spans="1:10" x14ac:dyDescent="0.3">
      <c r="A1109" t="str">
        <f t="shared" si="34"/>
        <v>OPPG</v>
      </c>
      <c r="B1109">
        <f t="shared" si="35"/>
        <v>2218</v>
      </c>
      <c r="D1109" s="1"/>
      <c r="E1109" s="1" t="s">
        <v>119</v>
      </c>
      <c r="F1109" s="1">
        <v>45</v>
      </c>
      <c r="G1109" s="1">
        <v>3</v>
      </c>
      <c r="H1109" s="1">
        <v>65.3</v>
      </c>
      <c r="I1109" s="1"/>
      <c r="J1109" s="1"/>
    </row>
    <row r="1110" spans="1:10" x14ac:dyDescent="0.3">
      <c r="A1110" t="str">
        <f t="shared" si="34"/>
        <v>OPPG</v>
      </c>
      <c r="B1110">
        <f t="shared" si="35"/>
        <v>8618</v>
      </c>
      <c r="D1110" s="1"/>
      <c r="E1110" s="1" t="s">
        <v>259</v>
      </c>
      <c r="F1110" s="1">
        <v>49</v>
      </c>
      <c r="G1110" s="1">
        <v>2</v>
      </c>
      <c r="H1110" s="1">
        <v>65.599999999999994</v>
      </c>
      <c r="I1110" s="1"/>
      <c r="J1110" s="1"/>
    </row>
    <row r="1111" spans="1:10" x14ac:dyDescent="0.3">
      <c r="A1111" t="str">
        <f t="shared" si="34"/>
        <v>OPPG</v>
      </c>
      <c r="B1111">
        <f t="shared" si="35"/>
        <v>13418</v>
      </c>
      <c r="D1111" s="1"/>
      <c r="E1111" s="1" t="s">
        <v>400</v>
      </c>
      <c r="F1111" s="1">
        <v>54</v>
      </c>
      <c r="G1111" s="1">
        <v>1</v>
      </c>
      <c r="H1111" s="1">
        <v>65.900000000000006</v>
      </c>
      <c r="I1111" s="1"/>
      <c r="J1111" s="1"/>
    </row>
    <row r="1112" spans="1:10" x14ac:dyDescent="0.3">
      <c r="A1112" t="str">
        <f t="shared" si="34"/>
        <v>OPPG</v>
      </c>
      <c r="B1112">
        <f t="shared" si="35"/>
        <v>18918</v>
      </c>
      <c r="D1112" s="1"/>
      <c r="E1112" s="1" t="s">
        <v>422</v>
      </c>
      <c r="F1112" s="1">
        <v>54</v>
      </c>
      <c r="G1112" s="1">
        <v>4</v>
      </c>
      <c r="H1112" s="1">
        <v>65.900000000000006</v>
      </c>
      <c r="I1112" s="1"/>
      <c r="J1112" s="1"/>
    </row>
    <row r="1113" spans="1:10" x14ac:dyDescent="0.3">
      <c r="A1113" t="str">
        <f t="shared" si="34"/>
        <v>OPPG</v>
      </c>
      <c r="B1113">
        <f t="shared" si="35"/>
        <v>3618</v>
      </c>
      <c r="D1113" s="1"/>
      <c r="E1113" s="1" t="s">
        <v>129</v>
      </c>
      <c r="F1113" s="1">
        <v>70</v>
      </c>
      <c r="G1113" s="1">
        <v>3</v>
      </c>
      <c r="H1113" s="1">
        <v>66.5</v>
      </c>
      <c r="I1113" s="1"/>
      <c r="J1113" s="1"/>
    </row>
    <row r="1114" spans="1:10" x14ac:dyDescent="0.3">
      <c r="A1114" t="str">
        <f t="shared" si="34"/>
        <v>OPPG</v>
      </c>
      <c r="B1114">
        <f t="shared" si="35"/>
        <v>12018</v>
      </c>
      <c r="D1114" s="1"/>
      <c r="E1114" s="1" t="s">
        <v>135</v>
      </c>
      <c r="F1114" s="1">
        <v>78</v>
      </c>
      <c r="G1114" s="1">
        <v>1</v>
      </c>
      <c r="H1114" s="1">
        <v>66.900000000000006</v>
      </c>
      <c r="I1114" s="1"/>
      <c r="J1114" s="1"/>
    </row>
    <row r="1115" spans="1:10" x14ac:dyDescent="0.3">
      <c r="A1115" t="str">
        <f t="shared" si="34"/>
        <v>OPPG</v>
      </c>
      <c r="B1115">
        <f t="shared" si="35"/>
        <v>7918</v>
      </c>
      <c r="D1115" s="1"/>
      <c r="E1115" s="1" t="s">
        <v>103</v>
      </c>
      <c r="F1115" s="1">
        <v>80</v>
      </c>
      <c r="G1115" s="1">
        <v>2</v>
      </c>
      <c r="H1115" s="1">
        <v>66.900000000000006</v>
      </c>
      <c r="I1115" s="1"/>
      <c r="J1115" s="1"/>
    </row>
    <row r="1116" spans="1:10" x14ac:dyDescent="0.3">
      <c r="A1116" t="str">
        <f t="shared" si="34"/>
        <v>OPPG</v>
      </c>
      <c r="B1116">
        <f t="shared" si="35"/>
        <v>4318</v>
      </c>
      <c r="D1116" s="1"/>
      <c r="E1116" s="1" t="s">
        <v>125</v>
      </c>
      <c r="F1116" s="1">
        <v>87</v>
      </c>
      <c r="G1116" s="1">
        <v>6</v>
      </c>
      <c r="H1116" s="1">
        <v>67.2</v>
      </c>
      <c r="I1116" s="1"/>
      <c r="J1116" s="1"/>
    </row>
    <row r="1117" spans="1:10" x14ac:dyDescent="0.3">
      <c r="A1117" t="str">
        <f t="shared" si="34"/>
        <v>OPPG</v>
      </c>
      <c r="B1117">
        <f t="shared" si="35"/>
        <v>11518</v>
      </c>
      <c r="D1117" s="1"/>
      <c r="E1117" s="1" t="s">
        <v>97</v>
      </c>
      <c r="F1117" s="1">
        <v>91</v>
      </c>
      <c r="G1117" s="1">
        <v>5</v>
      </c>
      <c r="H1117" s="1">
        <v>67.2</v>
      </c>
      <c r="I1117" s="1"/>
      <c r="J1117" s="1"/>
    </row>
    <row r="1118" spans="1:10" x14ac:dyDescent="0.3">
      <c r="A1118" t="str">
        <f t="shared" si="34"/>
        <v>OPPG</v>
      </c>
      <c r="B1118">
        <f t="shared" si="35"/>
        <v>5818</v>
      </c>
      <c r="D1118" s="1"/>
      <c r="E1118" s="1" t="s">
        <v>139</v>
      </c>
      <c r="F1118" s="1">
        <v>92</v>
      </c>
      <c r="G1118" s="1">
        <v>3</v>
      </c>
      <c r="H1118" s="1">
        <v>67.3</v>
      </c>
      <c r="I1118" s="1"/>
      <c r="J1118" s="1"/>
    </row>
    <row r="1119" spans="1:10" x14ac:dyDescent="0.3">
      <c r="A1119" t="str">
        <f t="shared" si="34"/>
        <v>OPPG</v>
      </c>
      <c r="B1119">
        <f t="shared" si="35"/>
        <v>2418</v>
      </c>
      <c r="D1119" s="1"/>
      <c r="E1119" s="1" t="s">
        <v>330</v>
      </c>
      <c r="F1119" s="1">
        <v>94</v>
      </c>
      <c r="G1119" s="1">
        <v>7</v>
      </c>
      <c r="H1119" s="1">
        <v>67.400000000000006</v>
      </c>
      <c r="I1119" s="1"/>
      <c r="J1119" s="1"/>
    </row>
    <row r="1120" spans="1:10" x14ac:dyDescent="0.3">
      <c r="A1120" t="str">
        <f t="shared" si="34"/>
        <v>OPPG</v>
      </c>
      <c r="B1120">
        <f t="shared" si="35"/>
        <v>4518</v>
      </c>
      <c r="D1120" s="1"/>
      <c r="E1120" s="1" t="s">
        <v>84</v>
      </c>
      <c r="F1120" s="1">
        <v>102</v>
      </c>
      <c r="G1120" s="1">
        <v>4</v>
      </c>
      <c r="H1120" s="1">
        <v>67.7</v>
      </c>
      <c r="I1120" s="1"/>
      <c r="J1120" s="1"/>
    </row>
    <row r="1121" spans="1:10" x14ac:dyDescent="0.3">
      <c r="A1121" t="str">
        <f t="shared" si="34"/>
        <v>OPPG</v>
      </c>
      <c r="B1121">
        <f t="shared" si="35"/>
        <v>5518</v>
      </c>
      <c r="D1121" s="1"/>
      <c r="E1121" s="1" t="s">
        <v>86</v>
      </c>
      <c r="F1121" s="1">
        <v>106</v>
      </c>
      <c r="G1121" s="1">
        <v>5</v>
      </c>
      <c r="H1121" s="1">
        <v>67.8</v>
      </c>
      <c r="I1121" s="1"/>
      <c r="J1121" s="1"/>
    </row>
    <row r="1122" spans="1:10" x14ac:dyDescent="0.3">
      <c r="A1122" t="str">
        <f t="shared" si="34"/>
        <v>OPPG</v>
      </c>
      <c r="B1122">
        <f t="shared" si="35"/>
        <v>4618</v>
      </c>
      <c r="D1122" s="1"/>
      <c r="E1122" s="1" t="s">
        <v>101</v>
      </c>
      <c r="F1122" s="1">
        <v>108</v>
      </c>
      <c r="G1122" s="1">
        <v>6</v>
      </c>
      <c r="H1122" s="1">
        <v>67.8</v>
      </c>
      <c r="I1122" s="1"/>
      <c r="J1122" s="1"/>
    </row>
    <row r="1123" spans="1:10" x14ac:dyDescent="0.3">
      <c r="A1123" t="str">
        <f t="shared" si="34"/>
        <v>OPPG</v>
      </c>
      <c r="B1123">
        <f t="shared" si="35"/>
        <v>6718</v>
      </c>
      <c r="D1123" s="1"/>
      <c r="E1123" s="1" t="s">
        <v>118</v>
      </c>
      <c r="F1123" s="1">
        <v>109</v>
      </c>
      <c r="G1123" s="1">
        <v>4</v>
      </c>
      <c r="H1123" s="1">
        <v>67.8</v>
      </c>
      <c r="I1123" s="1"/>
      <c r="J1123" s="1"/>
    </row>
    <row r="1124" spans="1:10" x14ac:dyDescent="0.3">
      <c r="A1124" t="str">
        <f t="shared" si="34"/>
        <v>OPPG</v>
      </c>
      <c r="B1124">
        <f t="shared" si="35"/>
        <v>918</v>
      </c>
      <c r="D1124" s="1"/>
      <c r="E1124" s="1" t="s">
        <v>90</v>
      </c>
      <c r="F1124" s="1">
        <v>111</v>
      </c>
      <c r="G1124" s="1">
        <v>7</v>
      </c>
      <c r="H1124" s="1">
        <v>67.900000000000006</v>
      </c>
      <c r="I1124" s="1"/>
      <c r="J1124" s="1"/>
    </row>
    <row r="1125" spans="1:10" x14ac:dyDescent="0.3">
      <c r="A1125" t="str">
        <f t="shared" si="34"/>
        <v>OPPG</v>
      </c>
      <c r="B1125">
        <f t="shared" si="35"/>
        <v>8118</v>
      </c>
      <c r="D1125" s="1"/>
      <c r="E1125" s="1" t="s">
        <v>256</v>
      </c>
      <c r="F1125" s="1">
        <v>113</v>
      </c>
      <c r="G1125" s="1">
        <v>6</v>
      </c>
      <c r="H1125" s="1">
        <v>67.900000000000006</v>
      </c>
      <c r="I1125" s="1"/>
      <c r="J1125" s="1"/>
    </row>
    <row r="1126" spans="1:10" x14ac:dyDescent="0.3">
      <c r="A1126" t="str">
        <f t="shared" si="34"/>
        <v>OPPG</v>
      </c>
      <c r="B1126">
        <f t="shared" si="35"/>
        <v>14518</v>
      </c>
      <c r="D1126" s="1"/>
      <c r="E1126" s="1" t="s">
        <v>402</v>
      </c>
      <c r="F1126" s="1">
        <v>114</v>
      </c>
      <c r="G1126" s="1">
        <v>8</v>
      </c>
      <c r="H1126" s="1">
        <v>68</v>
      </c>
      <c r="I1126" s="1"/>
      <c r="J1126" s="1"/>
    </row>
    <row r="1127" spans="1:10" x14ac:dyDescent="0.3">
      <c r="A1127" t="str">
        <f t="shared" si="34"/>
        <v>OPPG</v>
      </c>
      <c r="B1127">
        <f t="shared" si="35"/>
        <v>3918</v>
      </c>
      <c r="D1127" s="1"/>
      <c r="E1127" s="1" t="s">
        <v>88</v>
      </c>
      <c r="F1127" s="1">
        <v>115</v>
      </c>
      <c r="G1127" s="1">
        <v>5</v>
      </c>
      <c r="H1127" s="1">
        <v>68.099999999999994</v>
      </c>
      <c r="I1127" s="1"/>
      <c r="J1127" s="1"/>
    </row>
    <row r="1128" spans="1:10" x14ac:dyDescent="0.3">
      <c r="A1128" t="str">
        <f t="shared" si="34"/>
        <v>OPPG</v>
      </c>
      <c r="B1128">
        <f t="shared" si="35"/>
        <v>14318</v>
      </c>
      <c r="D1128" s="1"/>
      <c r="E1128" s="1" t="s">
        <v>391</v>
      </c>
      <c r="F1128" s="1">
        <v>118</v>
      </c>
      <c r="G1128" s="1">
        <v>8</v>
      </c>
      <c r="H1128" s="1">
        <v>68.2</v>
      </c>
      <c r="I1128" s="1"/>
      <c r="J1128" s="1"/>
    </row>
    <row r="1129" spans="1:10" x14ac:dyDescent="0.3">
      <c r="A1129" t="str">
        <f t="shared" si="34"/>
        <v>OPPG</v>
      </c>
      <c r="B1129">
        <f t="shared" si="35"/>
        <v>3718</v>
      </c>
      <c r="D1129" s="1"/>
      <c r="E1129" s="1" t="s">
        <v>115</v>
      </c>
      <c r="F1129" s="1">
        <v>119</v>
      </c>
      <c r="G1129" s="1">
        <v>7</v>
      </c>
      <c r="H1129" s="1">
        <v>68.3</v>
      </c>
      <c r="I1129" s="1"/>
      <c r="J1129" s="1"/>
    </row>
    <row r="1130" spans="1:10" x14ac:dyDescent="0.3">
      <c r="A1130" t="str">
        <f t="shared" si="34"/>
        <v>OPPG</v>
      </c>
      <c r="B1130">
        <f t="shared" si="35"/>
        <v>3118</v>
      </c>
      <c r="D1130" s="1"/>
      <c r="E1130" s="1" t="s">
        <v>93</v>
      </c>
      <c r="F1130" s="1">
        <v>121</v>
      </c>
      <c r="G1130" s="1">
        <v>5</v>
      </c>
      <c r="H1130" s="1">
        <v>68.400000000000006</v>
      </c>
      <c r="I1130" s="1"/>
      <c r="J1130" s="1"/>
    </row>
    <row r="1131" spans="1:10" x14ac:dyDescent="0.3">
      <c r="A1131" t="str">
        <f t="shared" si="34"/>
        <v>OPPG</v>
      </c>
      <c r="B1131">
        <f t="shared" si="35"/>
        <v>5618</v>
      </c>
      <c r="D1131" s="1"/>
      <c r="E1131" s="1" t="s">
        <v>62</v>
      </c>
      <c r="F1131" s="1">
        <v>122</v>
      </c>
      <c r="G1131" s="1">
        <v>6</v>
      </c>
      <c r="H1131" s="1">
        <v>68.400000000000006</v>
      </c>
      <c r="I1131" s="1"/>
      <c r="J1131" s="1"/>
    </row>
    <row r="1132" spans="1:10" x14ac:dyDescent="0.3">
      <c r="A1132" t="str">
        <f t="shared" si="34"/>
        <v>OPPG</v>
      </c>
      <c r="B1132">
        <f t="shared" si="35"/>
        <v>3418</v>
      </c>
      <c r="D1132" s="1"/>
      <c r="E1132" s="1" t="s">
        <v>237</v>
      </c>
      <c r="F1132" s="1">
        <v>125</v>
      </c>
      <c r="G1132" s="1">
        <v>3</v>
      </c>
      <c r="H1132" s="1">
        <v>68.5</v>
      </c>
      <c r="I1132" s="1"/>
      <c r="J1132" s="1"/>
    </row>
    <row r="1133" spans="1:10" x14ac:dyDescent="0.3">
      <c r="A1133" t="str">
        <f t="shared" si="34"/>
        <v>OPPG</v>
      </c>
      <c r="B1133">
        <f t="shared" si="35"/>
        <v>9418</v>
      </c>
      <c r="D1133" s="1"/>
      <c r="E1133" s="1" t="s">
        <v>264</v>
      </c>
      <c r="F1133" s="1">
        <v>135</v>
      </c>
      <c r="G1133" s="1">
        <v>9</v>
      </c>
      <c r="H1133" s="1">
        <v>68.7</v>
      </c>
      <c r="I1133" s="1"/>
      <c r="J1133" s="1"/>
    </row>
    <row r="1134" spans="1:10" x14ac:dyDescent="0.3">
      <c r="A1134" t="str">
        <f t="shared" si="34"/>
        <v>OPPG</v>
      </c>
      <c r="B1134">
        <f t="shared" si="35"/>
        <v>18618</v>
      </c>
      <c r="D1134" s="1"/>
      <c r="E1134" s="1" t="s">
        <v>425</v>
      </c>
      <c r="F1134" s="1">
        <v>139</v>
      </c>
      <c r="G1134" s="1">
        <v>3</v>
      </c>
      <c r="H1134" s="1">
        <v>69</v>
      </c>
      <c r="I1134" s="1"/>
      <c r="J1134" s="1"/>
    </row>
    <row r="1135" spans="1:10" x14ac:dyDescent="0.3">
      <c r="A1135" t="str">
        <f t="shared" si="34"/>
        <v>OPPG</v>
      </c>
      <c r="B1135">
        <f t="shared" si="35"/>
        <v>18718</v>
      </c>
      <c r="D1135" s="1"/>
      <c r="E1135" s="1" t="s">
        <v>427</v>
      </c>
      <c r="F1135" s="1">
        <v>145</v>
      </c>
      <c r="G1135" s="1">
        <v>5</v>
      </c>
      <c r="H1135" s="1">
        <v>69.099999999999994</v>
      </c>
      <c r="I1135" s="1"/>
      <c r="J1135" s="1"/>
    </row>
    <row r="1136" spans="1:10" x14ac:dyDescent="0.3">
      <c r="A1136" t="str">
        <f t="shared" si="34"/>
        <v>OPPG</v>
      </c>
      <c r="B1136">
        <f t="shared" si="35"/>
        <v>8418</v>
      </c>
      <c r="D1136" s="1"/>
      <c r="E1136" s="1" t="s">
        <v>109</v>
      </c>
      <c r="F1136" s="1">
        <v>148</v>
      </c>
      <c r="G1136" s="1">
        <v>6</v>
      </c>
      <c r="H1136" s="1">
        <v>69.3</v>
      </c>
      <c r="I1136" s="1"/>
      <c r="J1136" s="1"/>
    </row>
    <row r="1137" spans="1:10" x14ac:dyDescent="0.3">
      <c r="A1137" t="str">
        <f t="shared" si="34"/>
        <v>OPPG</v>
      </c>
      <c r="B1137">
        <f t="shared" si="35"/>
        <v>19018</v>
      </c>
      <c r="D1137" s="1"/>
      <c r="E1137" s="1" t="s">
        <v>176</v>
      </c>
      <c r="F1137" s="1">
        <v>154</v>
      </c>
      <c r="G1137" s="1">
        <v>11</v>
      </c>
      <c r="H1137" s="1">
        <v>69.5</v>
      </c>
      <c r="I1137" s="1"/>
      <c r="J1137" s="1"/>
    </row>
    <row r="1138" spans="1:10" x14ac:dyDescent="0.3">
      <c r="A1138" t="str">
        <f t="shared" si="34"/>
        <v>OPPG</v>
      </c>
      <c r="B1138">
        <f t="shared" si="35"/>
        <v>5318</v>
      </c>
      <c r="D1138" s="1"/>
      <c r="E1138" s="1" t="s">
        <v>242</v>
      </c>
      <c r="F1138" s="1">
        <v>160</v>
      </c>
      <c r="G1138" s="1">
        <v>4</v>
      </c>
      <c r="H1138" s="1">
        <v>69.7</v>
      </c>
      <c r="I1138" s="1"/>
      <c r="J1138" s="1"/>
    </row>
    <row r="1139" spans="1:10" x14ac:dyDescent="0.3">
      <c r="A1139" t="str">
        <f t="shared" si="34"/>
        <v>OPPG</v>
      </c>
      <c r="B1139">
        <f t="shared" si="35"/>
        <v>718</v>
      </c>
      <c r="D1139" s="1"/>
      <c r="E1139" s="1" t="s">
        <v>319</v>
      </c>
      <c r="F1139" s="1">
        <v>165</v>
      </c>
      <c r="G1139" s="1">
        <v>8</v>
      </c>
      <c r="H1139" s="1">
        <v>69.900000000000006</v>
      </c>
      <c r="I1139" s="1"/>
      <c r="J1139" s="1"/>
    </row>
    <row r="1140" spans="1:10" x14ac:dyDescent="0.3">
      <c r="A1140" t="str">
        <f t="shared" si="34"/>
        <v>OPPG</v>
      </c>
      <c r="B1140">
        <f t="shared" si="35"/>
        <v>1418</v>
      </c>
      <c r="D1140" s="1"/>
      <c r="E1140" s="1" t="s">
        <v>102</v>
      </c>
      <c r="F1140" s="1">
        <v>168</v>
      </c>
      <c r="G1140" s="1">
        <v>7</v>
      </c>
      <c r="H1140" s="1">
        <v>69.900000000000006</v>
      </c>
      <c r="I1140" s="1"/>
      <c r="J1140" s="1"/>
    </row>
    <row r="1141" spans="1:10" x14ac:dyDescent="0.3">
      <c r="A1141" t="str">
        <f t="shared" si="34"/>
        <v>OPPG</v>
      </c>
      <c r="B1141">
        <f t="shared" si="35"/>
        <v>18518</v>
      </c>
      <c r="D1141" s="1"/>
      <c r="E1141" s="1" t="s">
        <v>420</v>
      </c>
      <c r="F1141" s="1">
        <v>178</v>
      </c>
      <c r="G1141" s="1">
        <v>3</v>
      </c>
      <c r="H1141" s="1">
        <v>70.2</v>
      </c>
      <c r="I1141" s="1"/>
      <c r="J1141" s="1"/>
    </row>
    <row r="1142" spans="1:10" x14ac:dyDescent="0.3">
      <c r="A1142" t="str">
        <f t="shared" si="34"/>
        <v>OPPG</v>
      </c>
      <c r="B1142">
        <f t="shared" si="35"/>
        <v>3218</v>
      </c>
      <c r="D1142" s="1"/>
      <c r="E1142" s="1" t="s">
        <v>127</v>
      </c>
      <c r="F1142" s="1">
        <v>182</v>
      </c>
      <c r="G1142" s="1">
        <v>10</v>
      </c>
      <c r="H1142" s="1">
        <v>70.3</v>
      </c>
      <c r="I1142" s="1"/>
      <c r="J1142" s="1"/>
    </row>
    <row r="1143" spans="1:10" x14ac:dyDescent="0.3">
      <c r="A1143" t="str">
        <f t="shared" si="34"/>
        <v>OPPG</v>
      </c>
      <c r="B1143">
        <f t="shared" si="35"/>
        <v>3318</v>
      </c>
      <c r="D1143" s="1"/>
      <c r="E1143" s="1" t="s">
        <v>91</v>
      </c>
      <c r="F1143" s="1">
        <v>183</v>
      </c>
      <c r="G1143" s="1">
        <v>6</v>
      </c>
      <c r="H1143" s="1">
        <v>70.3</v>
      </c>
      <c r="I1143" s="1"/>
      <c r="J1143" s="1"/>
    </row>
    <row r="1144" spans="1:10" x14ac:dyDescent="0.3">
      <c r="A1144" t="str">
        <f t="shared" si="34"/>
        <v>OPPG</v>
      </c>
      <c r="B1144">
        <f t="shared" si="35"/>
        <v>1918</v>
      </c>
      <c r="D1144" s="1"/>
      <c r="E1144" s="1" t="s">
        <v>112</v>
      </c>
      <c r="F1144" s="1">
        <v>198</v>
      </c>
      <c r="G1144" s="1">
        <v>8</v>
      </c>
      <c r="H1144" s="1">
        <v>70.8</v>
      </c>
      <c r="I1144" s="1"/>
      <c r="J1144" s="1"/>
    </row>
    <row r="1145" spans="1:10" x14ac:dyDescent="0.3">
      <c r="A1145" t="str">
        <f t="shared" si="34"/>
        <v>OPPG</v>
      </c>
      <c r="B1145">
        <f t="shared" si="35"/>
        <v>13318</v>
      </c>
      <c r="D1145" s="1"/>
      <c r="E1145" s="1" t="s">
        <v>291</v>
      </c>
      <c r="F1145" s="1">
        <v>201</v>
      </c>
      <c r="G1145" s="1">
        <v>11</v>
      </c>
      <c r="H1145" s="1">
        <v>70.900000000000006</v>
      </c>
      <c r="I1145" s="1"/>
      <c r="J1145" s="1"/>
    </row>
    <row r="1146" spans="1:10" x14ac:dyDescent="0.3">
      <c r="A1146" t="str">
        <f t="shared" si="34"/>
        <v>OPPG</v>
      </c>
      <c r="B1146">
        <f t="shared" si="35"/>
        <v>6818</v>
      </c>
      <c r="D1146" s="1"/>
      <c r="E1146" s="1" t="s">
        <v>248</v>
      </c>
      <c r="F1146" s="1">
        <v>202</v>
      </c>
      <c r="G1146" s="1">
        <v>7</v>
      </c>
      <c r="H1146" s="1">
        <v>71</v>
      </c>
      <c r="I1146" s="1"/>
      <c r="J1146" s="1"/>
    </row>
    <row r="1147" spans="1:10" x14ac:dyDescent="0.3">
      <c r="A1147" t="str">
        <f t="shared" si="34"/>
        <v>OPPG</v>
      </c>
      <c r="B1147">
        <f t="shared" si="35"/>
        <v>2918</v>
      </c>
      <c r="D1147" s="1"/>
      <c r="E1147" s="1" t="s">
        <v>96</v>
      </c>
      <c r="F1147" s="1">
        <v>209</v>
      </c>
      <c r="G1147" s="1">
        <v>12</v>
      </c>
      <c r="H1147" s="1">
        <v>71.099999999999994</v>
      </c>
      <c r="I1147" s="1"/>
      <c r="J1147" s="1"/>
    </row>
    <row r="1148" spans="1:10" x14ac:dyDescent="0.3">
      <c r="A1148" t="str">
        <f t="shared" si="34"/>
        <v>OPPG</v>
      </c>
      <c r="B1148">
        <f t="shared" si="35"/>
        <v>19118</v>
      </c>
      <c r="D1148" s="1"/>
      <c r="E1148" s="1" t="s">
        <v>421</v>
      </c>
      <c r="F1148" s="1">
        <v>211</v>
      </c>
      <c r="G1148" s="1">
        <v>5</v>
      </c>
      <c r="H1148" s="1">
        <v>71.2</v>
      </c>
      <c r="I1148" s="1"/>
      <c r="J1148" s="1"/>
    </row>
    <row r="1149" spans="1:10" x14ac:dyDescent="0.3">
      <c r="A1149" t="str">
        <f t="shared" si="34"/>
        <v>OPPG</v>
      </c>
      <c r="B1149">
        <f t="shared" si="35"/>
        <v>6618</v>
      </c>
      <c r="D1149" s="1"/>
      <c r="E1149" s="1" t="s">
        <v>247</v>
      </c>
      <c r="F1149" s="1">
        <v>229</v>
      </c>
      <c r="G1149" s="1">
        <v>7</v>
      </c>
      <c r="H1149" s="1">
        <v>71.8</v>
      </c>
      <c r="I1149" s="1"/>
      <c r="J1149" s="1"/>
    </row>
    <row r="1150" spans="1:10" x14ac:dyDescent="0.3">
      <c r="A1150" t="str">
        <f t="shared" si="34"/>
        <v>OPPG</v>
      </c>
      <c r="B1150">
        <f t="shared" si="35"/>
        <v>118</v>
      </c>
      <c r="D1150" s="1"/>
      <c r="E1150" s="1" t="s">
        <v>312</v>
      </c>
      <c r="F1150" s="1">
        <v>231</v>
      </c>
      <c r="G1150" s="1">
        <v>10</v>
      </c>
      <c r="H1150" s="1">
        <v>71.900000000000006</v>
      </c>
      <c r="I1150" s="1"/>
      <c r="J1150" s="1"/>
    </row>
    <row r="1151" spans="1:10" x14ac:dyDescent="0.3">
      <c r="A1151" t="str">
        <f t="shared" si="34"/>
        <v>OPPG</v>
      </c>
      <c r="B1151">
        <f t="shared" si="35"/>
        <v>11818</v>
      </c>
      <c r="D1151" s="1"/>
      <c r="E1151" s="1" t="s">
        <v>281</v>
      </c>
      <c r="F1151" s="1">
        <v>232</v>
      </c>
      <c r="G1151" s="1">
        <v>8</v>
      </c>
      <c r="H1151" s="1">
        <v>71.900000000000006</v>
      </c>
      <c r="I1151" s="1"/>
      <c r="J1151" s="1"/>
    </row>
    <row r="1152" spans="1:10" x14ac:dyDescent="0.3">
      <c r="A1152" t="str">
        <f t="shared" si="34"/>
        <v>OPPG</v>
      </c>
      <c r="B1152">
        <f t="shared" si="35"/>
        <v>8818</v>
      </c>
      <c r="D1152" s="1"/>
      <c r="E1152" s="1" t="s">
        <v>141</v>
      </c>
      <c r="F1152" s="1">
        <v>253</v>
      </c>
      <c r="G1152" s="1">
        <v>5</v>
      </c>
      <c r="H1152" s="1">
        <v>72.599999999999994</v>
      </c>
      <c r="I1152" s="1"/>
      <c r="J1152" s="1"/>
    </row>
    <row r="1153" spans="1:10" x14ac:dyDescent="0.3">
      <c r="A1153" t="str">
        <f t="shared" si="34"/>
        <v>OPPG</v>
      </c>
      <c r="B1153">
        <f t="shared" si="35"/>
        <v>18318</v>
      </c>
      <c r="D1153" s="1"/>
      <c r="E1153" s="1" t="s">
        <v>423</v>
      </c>
      <c r="F1153" s="1">
        <v>267</v>
      </c>
      <c r="G1153" s="1">
        <v>3</v>
      </c>
      <c r="H1153" s="1">
        <v>73.2</v>
      </c>
      <c r="I1153" s="1"/>
      <c r="J1153" s="1"/>
    </row>
    <row r="1154" spans="1:10" x14ac:dyDescent="0.3">
      <c r="A1154" t="str">
        <f t="shared" ref="A1154:A1217" si="36">IF(NOT(D1154=""),INDEX(statAbbr,MATCH(D1154,statOfficial,0),1),A1153)</f>
        <v>OPPG</v>
      </c>
      <c r="B1154">
        <f t="shared" ref="B1154:B1217" si="37">INDEX(statID,MATCH(A1154,statAbbr,0),1)+INDEX(teamID,MATCH(E1154,teamRawName,0))</f>
        <v>4418</v>
      </c>
      <c r="D1154" s="1"/>
      <c r="E1154" s="1" t="s">
        <v>83</v>
      </c>
      <c r="F1154" s="1">
        <v>269</v>
      </c>
      <c r="G1154" s="1">
        <v>4</v>
      </c>
      <c r="H1154" s="1">
        <v>73.400000000000006</v>
      </c>
      <c r="I1154" s="1"/>
      <c r="J1154" s="1"/>
    </row>
    <row r="1155" spans="1:10" x14ac:dyDescent="0.3">
      <c r="A1155" t="str">
        <f t="shared" si="36"/>
        <v>OPPG</v>
      </c>
      <c r="B1155">
        <f t="shared" si="37"/>
        <v>7418</v>
      </c>
      <c r="D1155" s="1"/>
      <c r="E1155" s="1" t="s">
        <v>251</v>
      </c>
      <c r="F1155" s="1">
        <v>284</v>
      </c>
      <c r="G1155" s="1">
        <v>8</v>
      </c>
      <c r="H1155" s="1">
        <v>74.099999999999994</v>
      </c>
      <c r="I1155" s="1"/>
      <c r="J1155" s="1"/>
    </row>
    <row r="1156" spans="1:10" x14ac:dyDescent="0.3">
      <c r="A1156" t="str">
        <f t="shared" si="36"/>
        <v>OPPG</v>
      </c>
      <c r="B1156">
        <f t="shared" si="37"/>
        <v>18418</v>
      </c>
      <c r="D1156" s="1"/>
      <c r="E1156" s="1" t="s">
        <v>417</v>
      </c>
      <c r="F1156" s="1">
        <v>285</v>
      </c>
      <c r="G1156" s="1">
        <v>6</v>
      </c>
      <c r="H1156" s="1">
        <v>74.2</v>
      </c>
      <c r="I1156" s="1"/>
      <c r="J1156" s="1"/>
    </row>
    <row r="1157" spans="1:10" x14ac:dyDescent="0.3">
      <c r="A1157" t="str">
        <f t="shared" si="36"/>
        <v>OPPG</v>
      </c>
      <c r="B1157">
        <f t="shared" si="37"/>
        <v>14118</v>
      </c>
      <c r="D1157" s="1"/>
      <c r="E1157" s="1" t="s">
        <v>299</v>
      </c>
      <c r="F1157" s="1">
        <v>292</v>
      </c>
      <c r="G1157" s="1">
        <v>14</v>
      </c>
      <c r="H1157" s="1">
        <v>74.400000000000006</v>
      </c>
      <c r="I1157" s="1"/>
      <c r="J1157" s="1"/>
    </row>
    <row r="1158" spans="1:10" x14ac:dyDescent="0.3">
      <c r="A1158" t="str">
        <f t="shared" si="36"/>
        <v>OPPG</v>
      </c>
      <c r="B1158">
        <f t="shared" si="37"/>
        <v>5218</v>
      </c>
      <c r="D1158" s="1"/>
      <c r="E1158" s="1" t="s">
        <v>241</v>
      </c>
      <c r="F1158" s="1">
        <v>296</v>
      </c>
      <c r="G1158" s="1">
        <v>14</v>
      </c>
      <c r="H1158" s="1">
        <v>74.7</v>
      </c>
      <c r="I1158" s="1"/>
      <c r="J1158" s="1"/>
    </row>
    <row r="1159" spans="1:10" x14ac:dyDescent="0.3">
      <c r="A1159" t="str">
        <f t="shared" si="36"/>
        <v>OPPG</v>
      </c>
      <c r="B1159">
        <f t="shared" si="37"/>
        <v>15218</v>
      </c>
      <c r="D1159" s="1"/>
      <c r="E1159" s="1" t="s">
        <v>426</v>
      </c>
      <c r="F1159" s="1">
        <v>316</v>
      </c>
      <c r="G1159" s="1">
        <v>7</v>
      </c>
      <c r="H1159" s="1">
        <v>75.900000000000006</v>
      </c>
      <c r="I1159" s="1"/>
      <c r="J1159" s="1"/>
    </row>
    <row r="1160" spans="1:10" x14ac:dyDescent="0.3">
      <c r="A1160" t="str">
        <f t="shared" si="36"/>
        <v>SM</v>
      </c>
      <c r="B1160">
        <f t="shared" si="37"/>
        <v>2823</v>
      </c>
      <c r="D1160" s="1" t="s">
        <v>447</v>
      </c>
      <c r="E1160" s="1" t="s">
        <v>106</v>
      </c>
      <c r="F1160" s="1">
        <v>1</v>
      </c>
      <c r="G1160" s="1">
        <v>1</v>
      </c>
      <c r="H1160" s="1">
        <v>17.399999999999999</v>
      </c>
      <c r="I1160" s="1" t="s">
        <v>106</v>
      </c>
      <c r="J1160" s="1">
        <v>17.399999999999999</v>
      </c>
    </row>
    <row r="1161" spans="1:10" x14ac:dyDescent="0.3">
      <c r="A1161" t="str">
        <f t="shared" si="36"/>
        <v>SM</v>
      </c>
      <c r="B1161">
        <f t="shared" si="37"/>
        <v>2323</v>
      </c>
      <c r="D1161" s="1"/>
      <c r="E1161" s="1" t="s">
        <v>79</v>
      </c>
      <c r="F1161" s="1">
        <v>2</v>
      </c>
      <c r="G1161" s="1">
        <v>1</v>
      </c>
      <c r="H1161" s="1">
        <v>14.4</v>
      </c>
      <c r="I1161" s="1"/>
      <c r="J1161" s="1"/>
    </row>
    <row r="1162" spans="1:10" x14ac:dyDescent="0.3">
      <c r="A1162" t="str">
        <f t="shared" si="36"/>
        <v>SM</v>
      </c>
      <c r="B1162">
        <f t="shared" si="37"/>
        <v>3723</v>
      </c>
      <c r="D1162" s="1"/>
      <c r="E1162" s="1" t="s">
        <v>115</v>
      </c>
      <c r="F1162" s="1">
        <v>4</v>
      </c>
      <c r="G1162" s="1">
        <v>1</v>
      </c>
      <c r="H1162" s="1">
        <v>13.5</v>
      </c>
      <c r="I1162" s="1"/>
      <c r="J1162" s="1"/>
    </row>
    <row r="1163" spans="1:10" x14ac:dyDescent="0.3">
      <c r="A1163" t="str">
        <f t="shared" si="36"/>
        <v>SM</v>
      </c>
      <c r="B1163">
        <f t="shared" si="37"/>
        <v>9023</v>
      </c>
      <c r="D1163" s="1"/>
      <c r="E1163" s="1" t="s">
        <v>261</v>
      </c>
      <c r="F1163" s="1">
        <v>5</v>
      </c>
      <c r="G1163" s="1">
        <v>1</v>
      </c>
      <c r="H1163" s="1">
        <v>13.5</v>
      </c>
      <c r="I1163" s="1"/>
      <c r="J1163" s="1"/>
    </row>
    <row r="1164" spans="1:10" x14ac:dyDescent="0.3">
      <c r="A1164" t="str">
        <f t="shared" si="36"/>
        <v>SM</v>
      </c>
      <c r="B1164">
        <f t="shared" si="37"/>
        <v>18523</v>
      </c>
      <c r="D1164" s="1"/>
      <c r="E1164" s="1" t="s">
        <v>420</v>
      </c>
      <c r="F1164" s="1">
        <v>6</v>
      </c>
      <c r="G1164" s="1">
        <v>1</v>
      </c>
      <c r="H1164" s="1">
        <v>13.1</v>
      </c>
      <c r="I1164" s="1"/>
      <c r="J1164" s="1"/>
    </row>
    <row r="1165" spans="1:10" x14ac:dyDescent="0.3">
      <c r="A1165" t="str">
        <f t="shared" si="36"/>
        <v>SM</v>
      </c>
      <c r="B1165">
        <f t="shared" si="37"/>
        <v>11523</v>
      </c>
      <c r="D1165" s="1"/>
      <c r="E1165" s="1" t="s">
        <v>97</v>
      </c>
      <c r="F1165" s="1">
        <v>8</v>
      </c>
      <c r="G1165" s="1">
        <v>1</v>
      </c>
      <c r="H1165" s="1">
        <v>12.9</v>
      </c>
      <c r="I1165" s="1"/>
      <c r="J1165" s="1"/>
    </row>
    <row r="1166" spans="1:10" x14ac:dyDescent="0.3">
      <c r="A1166" t="str">
        <f t="shared" si="36"/>
        <v>SM</v>
      </c>
      <c r="B1166">
        <f t="shared" si="37"/>
        <v>3523</v>
      </c>
      <c r="D1166" s="1"/>
      <c r="E1166" s="1" t="s">
        <v>87</v>
      </c>
      <c r="F1166" s="1">
        <v>9</v>
      </c>
      <c r="G1166" s="1">
        <v>2</v>
      </c>
      <c r="H1166" s="1">
        <v>12.9</v>
      </c>
      <c r="I1166" s="1"/>
      <c r="J1166" s="1"/>
    </row>
    <row r="1167" spans="1:10" x14ac:dyDescent="0.3">
      <c r="A1167" t="str">
        <f t="shared" si="36"/>
        <v>SM</v>
      </c>
      <c r="B1167">
        <f t="shared" si="37"/>
        <v>4423</v>
      </c>
      <c r="D1167" s="1"/>
      <c r="E1167" s="1" t="s">
        <v>83</v>
      </c>
      <c r="F1167" s="1">
        <v>10</v>
      </c>
      <c r="G1167" s="1">
        <v>1</v>
      </c>
      <c r="H1167" s="1">
        <v>12.8</v>
      </c>
      <c r="I1167" s="1"/>
      <c r="J1167" s="1"/>
    </row>
    <row r="1168" spans="1:10" x14ac:dyDescent="0.3">
      <c r="A1168" t="str">
        <f t="shared" si="36"/>
        <v>SM</v>
      </c>
      <c r="B1168">
        <f t="shared" si="37"/>
        <v>2223</v>
      </c>
      <c r="D1168" s="1"/>
      <c r="E1168" s="1" t="s">
        <v>119</v>
      </c>
      <c r="F1168" s="1">
        <v>12</v>
      </c>
      <c r="G1168" s="1">
        <v>1</v>
      </c>
      <c r="H1168" s="1">
        <v>12.5</v>
      </c>
      <c r="I1168" s="1"/>
      <c r="J1168" s="1"/>
    </row>
    <row r="1169" spans="1:10" x14ac:dyDescent="0.3">
      <c r="A1169" t="str">
        <f t="shared" si="36"/>
        <v>SM</v>
      </c>
      <c r="B1169">
        <f t="shared" si="37"/>
        <v>9523</v>
      </c>
      <c r="D1169" s="1"/>
      <c r="E1169" s="1" t="s">
        <v>85</v>
      </c>
      <c r="F1169" s="1">
        <v>15</v>
      </c>
      <c r="G1169" s="1">
        <v>1</v>
      </c>
      <c r="H1169" s="1">
        <v>10.9</v>
      </c>
      <c r="I1169" s="1"/>
      <c r="J1169" s="1"/>
    </row>
    <row r="1170" spans="1:10" x14ac:dyDescent="0.3">
      <c r="A1170" t="str">
        <f t="shared" si="36"/>
        <v>SM</v>
      </c>
      <c r="B1170">
        <f t="shared" si="37"/>
        <v>2923</v>
      </c>
      <c r="D1170" s="1"/>
      <c r="E1170" s="1" t="s">
        <v>96</v>
      </c>
      <c r="F1170" s="1">
        <v>16</v>
      </c>
      <c r="G1170" s="1">
        <v>2</v>
      </c>
      <c r="H1170" s="1">
        <v>10.7</v>
      </c>
      <c r="I1170" s="1"/>
      <c r="J1170" s="1"/>
    </row>
    <row r="1171" spans="1:10" x14ac:dyDescent="0.3">
      <c r="A1171" t="str">
        <f t="shared" si="36"/>
        <v>SM</v>
      </c>
      <c r="B1171">
        <f t="shared" si="37"/>
        <v>2523</v>
      </c>
      <c r="D1171" s="1"/>
      <c r="E1171" s="1" t="s">
        <v>92</v>
      </c>
      <c r="F1171" s="1">
        <v>17</v>
      </c>
      <c r="G1171" s="1">
        <v>2</v>
      </c>
      <c r="H1171" s="1">
        <v>10.5</v>
      </c>
      <c r="I1171" s="1"/>
      <c r="J1171" s="1"/>
    </row>
    <row r="1172" spans="1:10" x14ac:dyDescent="0.3">
      <c r="A1172" t="str">
        <f t="shared" si="36"/>
        <v>SM</v>
      </c>
      <c r="B1172">
        <f t="shared" si="37"/>
        <v>8623</v>
      </c>
      <c r="D1172" s="1"/>
      <c r="E1172" s="1" t="s">
        <v>259</v>
      </c>
      <c r="F1172" s="1">
        <v>20</v>
      </c>
      <c r="G1172" s="1">
        <v>1</v>
      </c>
      <c r="H1172" s="1">
        <v>10.3</v>
      </c>
      <c r="I1172" s="1"/>
      <c r="J1172" s="1"/>
    </row>
    <row r="1173" spans="1:10" x14ac:dyDescent="0.3">
      <c r="A1173" t="str">
        <f t="shared" si="36"/>
        <v>SM</v>
      </c>
      <c r="B1173">
        <f t="shared" si="37"/>
        <v>13423</v>
      </c>
      <c r="D1173" s="1"/>
      <c r="E1173" s="1" t="s">
        <v>400</v>
      </c>
      <c r="F1173" s="1">
        <v>21</v>
      </c>
      <c r="G1173" s="1">
        <v>1</v>
      </c>
      <c r="H1173" s="1">
        <v>10.3</v>
      </c>
      <c r="I1173" s="1"/>
      <c r="J1173" s="1"/>
    </row>
    <row r="1174" spans="1:10" x14ac:dyDescent="0.3">
      <c r="A1174" t="str">
        <f t="shared" si="36"/>
        <v>SM</v>
      </c>
      <c r="B1174">
        <f t="shared" si="37"/>
        <v>6723</v>
      </c>
      <c r="D1174" s="1"/>
      <c r="E1174" s="1" t="s">
        <v>118</v>
      </c>
      <c r="F1174" s="1">
        <v>22</v>
      </c>
      <c r="G1174" s="1">
        <v>1</v>
      </c>
      <c r="H1174" s="1">
        <v>10.1</v>
      </c>
      <c r="I1174" s="1"/>
      <c r="J1174" s="1"/>
    </row>
    <row r="1175" spans="1:10" x14ac:dyDescent="0.3">
      <c r="A1175" t="str">
        <f t="shared" si="36"/>
        <v>SM</v>
      </c>
      <c r="B1175">
        <f t="shared" si="37"/>
        <v>3023</v>
      </c>
      <c r="D1175" s="1"/>
      <c r="E1175" s="1" t="s">
        <v>89</v>
      </c>
      <c r="F1175" s="1">
        <v>23</v>
      </c>
      <c r="G1175" s="1">
        <v>1</v>
      </c>
      <c r="H1175" s="1">
        <v>9.9</v>
      </c>
      <c r="I1175" s="1"/>
      <c r="J1175" s="1"/>
    </row>
    <row r="1176" spans="1:10" x14ac:dyDescent="0.3">
      <c r="A1176" t="str">
        <f t="shared" si="36"/>
        <v>SM</v>
      </c>
      <c r="B1176">
        <f t="shared" si="37"/>
        <v>19123</v>
      </c>
      <c r="D1176" s="1"/>
      <c r="E1176" s="1" t="s">
        <v>421</v>
      </c>
      <c r="F1176" s="1">
        <v>25</v>
      </c>
      <c r="G1176" s="1">
        <v>1</v>
      </c>
      <c r="H1176" s="1">
        <v>9.6999999999999993</v>
      </c>
      <c r="I1176" s="1"/>
      <c r="J1176" s="1"/>
    </row>
    <row r="1177" spans="1:10" x14ac:dyDescent="0.3">
      <c r="A1177" t="str">
        <f t="shared" si="36"/>
        <v>SM</v>
      </c>
      <c r="B1177">
        <f t="shared" si="37"/>
        <v>3323</v>
      </c>
      <c r="D1177" s="1"/>
      <c r="E1177" s="1" t="s">
        <v>91</v>
      </c>
      <c r="F1177" s="1">
        <v>28</v>
      </c>
      <c r="G1177" s="1">
        <v>2</v>
      </c>
      <c r="H1177" s="1">
        <v>9.1</v>
      </c>
      <c r="I1177" s="1"/>
      <c r="J1177" s="1"/>
    </row>
    <row r="1178" spans="1:10" x14ac:dyDescent="0.3">
      <c r="A1178" t="str">
        <f t="shared" si="36"/>
        <v>SM</v>
      </c>
      <c r="B1178">
        <f t="shared" si="37"/>
        <v>8423</v>
      </c>
      <c r="D1178" s="1"/>
      <c r="E1178" s="1" t="s">
        <v>109</v>
      </c>
      <c r="F1178" s="1">
        <v>30</v>
      </c>
      <c r="G1178" s="1">
        <v>1</v>
      </c>
      <c r="H1178" s="1">
        <v>8.8000000000000007</v>
      </c>
      <c r="I1178" s="1"/>
      <c r="J1178" s="1"/>
    </row>
    <row r="1179" spans="1:10" x14ac:dyDescent="0.3">
      <c r="A1179" t="str">
        <f t="shared" si="36"/>
        <v>SM</v>
      </c>
      <c r="B1179">
        <f t="shared" si="37"/>
        <v>5423</v>
      </c>
      <c r="D1179" s="1"/>
      <c r="E1179" s="1" t="s">
        <v>94</v>
      </c>
      <c r="F1179" s="1">
        <v>34</v>
      </c>
      <c r="G1179" s="1">
        <v>1</v>
      </c>
      <c r="H1179" s="1">
        <v>8.4</v>
      </c>
      <c r="I1179" s="1"/>
      <c r="J1179" s="1"/>
    </row>
    <row r="1180" spans="1:10" x14ac:dyDescent="0.3">
      <c r="A1180" t="str">
        <f t="shared" si="36"/>
        <v>SM</v>
      </c>
      <c r="B1180">
        <f t="shared" si="37"/>
        <v>1423</v>
      </c>
      <c r="D1180" s="1"/>
      <c r="E1180" s="1" t="s">
        <v>102</v>
      </c>
      <c r="F1180" s="1">
        <v>35</v>
      </c>
      <c r="G1180" s="1">
        <v>1</v>
      </c>
      <c r="H1180" s="1">
        <v>8.3000000000000007</v>
      </c>
      <c r="I1180" s="1"/>
      <c r="J1180" s="1"/>
    </row>
    <row r="1181" spans="1:10" x14ac:dyDescent="0.3">
      <c r="A1181" t="str">
        <f t="shared" si="36"/>
        <v>SM</v>
      </c>
      <c r="B1181">
        <f t="shared" si="37"/>
        <v>3123</v>
      </c>
      <c r="D1181" s="1"/>
      <c r="E1181" s="1" t="s">
        <v>93</v>
      </c>
      <c r="F1181" s="1">
        <v>37</v>
      </c>
      <c r="G1181" s="1">
        <v>3</v>
      </c>
      <c r="H1181" s="1">
        <v>8</v>
      </c>
      <c r="I1181" s="1"/>
      <c r="J1181" s="1"/>
    </row>
    <row r="1182" spans="1:10" x14ac:dyDescent="0.3">
      <c r="A1182" t="str">
        <f t="shared" si="36"/>
        <v>SM</v>
      </c>
      <c r="B1182">
        <f t="shared" si="37"/>
        <v>12223</v>
      </c>
      <c r="D1182" s="1"/>
      <c r="E1182" s="1" t="s">
        <v>284</v>
      </c>
      <c r="F1182" s="1">
        <v>38</v>
      </c>
      <c r="G1182" s="1">
        <v>1</v>
      </c>
      <c r="H1182" s="1">
        <v>7.9</v>
      </c>
      <c r="I1182" s="1"/>
      <c r="J1182" s="1"/>
    </row>
    <row r="1183" spans="1:10" x14ac:dyDescent="0.3">
      <c r="A1183" t="str">
        <f t="shared" si="36"/>
        <v>SM</v>
      </c>
      <c r="B1183">
        <f t="shared" si="37"/>
        <v>5823</v>
      </c>
      <c r="D1183" s="1"/>
      <c r="E1183" s="1" t="s">
        <v>139</v>
      </c>
      <c r="F1183" s="1">
        <v>40</v>
      </c>
      <c r="G1183" s="1">
        <v>4</v>
      </c>
      <c r="H1183" s="1">
        <v>7.9</v>
      </c>
      <c r="I1183" s="1"/>
      <c r="J1183" s="1"/>
    </row>
    <row r="1184" spans="1:10" x14ac:dyDescent="0.3">
      <c r="A1184" t="str">
        <f t="shared" si="36"/>
        <v>SM</v>
      </c>
      <c r="B1184">
        <f t="shared" si="37"/>
        <v>19023</v>
      </c>
      <c r="D1184" s="1"/>
      <c r="E1184" s="1" t="s">
        <v>176</v>
      </c>
      <c r="F1184" s="1">
        <v>41</v>
      </c>
      <c r="G1184" s="1">
        <v>3</v>
      </c>
      <c r="H1184" s="1">
        <v>7.9</v>
      </c>
      <c r="I1184" s="1"/>
      <c r="J1184" s="1"/>
    </row>
    <row r="1185" spans="1:10" x14ac:dyDescent="0.3">
      <c r="A1185" t="str">
        <f t="shared" si="36"/>
        <v>SM</v>
      </c>
      <c r="B1185">
        <f t="shared" si="37"/>
        <v>1223</v>
      </c>
      <c r="D1185" s="1"/>
      <c r="E1185" s="1" t="s">
        <v>130</v>
      </c>
      <c r="F1185" s="1">
        <v>45</v>
      </c>
      <c r="G1185" s="1">
        <v>2</v>
      </c>
      <c r="H1185" s="1">
        <v>7.7</v>
      </c>
      <c r="I1185" s="1"/>
      <c r="J1185" s="1"/>
    </row>
    <row r="1186" spans="1:10" x14ac:dyDescent="0.3">
      <c r="A1186" t="str">
        <f t="shared" si="36"/>
        <v>SM</v>
      </c>
      <c r="B1186">
        <f t="shared" si="37"/>
        <v>6623</v>
      </c>
      <c r="D1186" s="1"/>
      <c r="E1186" s="1" t="s">
        <v>247</v>
      </c>
      <c r="F1186" s="1">
        <v>47</v>
      </c>
      <c r="G1186" s="1">
        <v>3</v>
      </c>
      <c r="H1186" s="1">
        <v>7.6</v>
      </c>
      <c r="I1186" s="1"/>
      <c r="J1186" s="1"/>
    </row>
    <row r="1187" spans="1:10" x14ac:dyDescent="0.3">
      <c r="A1187" t="str">
        <f t="shared" si="36"/>
        <v>SM</v>
      </c>
      <c r="B1187">
        <f t="shared" si="37"/>
        <v>2123</v>
      </c>
      <c r="D1187" s="1"/>
      <c r="E1187" s="1" t="s">
        <v>136</v>
      </c>
      <c r="F1187" s="1">
        <v>50</v>
      </c>
      <c r="G1187" s="1">
        <v>3</v>
      </c>
      <c r="H1187" s="1">
        <v>7.4</v>
      </c>
      <c r="I1187" s="1"/>
      <c r="J1187" s="1"/>
    </row>
    <row r="1188" spans="1:10" x14ac:dyDescent="0.3">
      <c r="A1188" t="str">
        <f t="shared" si="36"/>
        <v>SM</v>
      </c>
      <c r="B1188">
        <f t="shared" si="37"/>
        <v>3923</v>
      </c>
      <c r="D1188" s="1"/>
      <c r="E1188" s="1" t="s">
        <v>88</v>
      </c>
      <c r="F1188" s="1">
        <v>51</v>
      </c>
      <c r="G1188" s="1">
        <v>2</v>
      </c>
      <c r="H1188" s="1">
        <v>7.4</v>
      </c>
      <c r="I1188" s="1"/>
      <c r="J1188" s="1"/>
    </row>
    <row r="1189" spans="1:10" x14ac:dyDescent="0.3">
      <c r="A1189" t="str">
        <f t="shared" si="36"/>
        <v>SM</v>
      </c>
      <c r="B1189">
        <f t="shared" si="37"/>
        <v>2623</v>
      </c>
      <c r="D1189" s="1"/>
      <c r="E1189" s="1" t="s">
        <v>80</v>
      </c>
      <c r="F1189" s="1">
        <v>52</v>
      </c>
      <c r="G1189" s="1">
        <v>2</v>
      </c>
      <c r="H1189" s="1">
        <v>7.3</v>
      </c>
      <c r="I1189" s="1"/>
      <c r="J1189" s="1"/>
    </row>
    <row r="1190" spans="1:10" x14ac:dyDescent="0.3">
      <c r="A1190" t="str">
        <f t="shared" si="36"/>
        <v>SM</v>
      </c>
      <c r="B1190">
        <f t="shared" si="37"/>
        <v>4323</v>
      </c>
      <c r="D1190" s="1"/>
      <c r="E1190" s="1" t="s">
        <v>125</v>
      </c>
      <c r="F1190" s="1">
        <v>56</v>
      </c>
      <c r="G1190" s="1">
        <v>3</v>
      </c>
      <c r="H1190" s="1">
        <v>7.2</v>
      </c>
      <c r="I1190" s="1"/>
      <c r="J1190" s="1"/>
    </row>
    <row r="1191" spans="1:10" x14ac:dyDescent="0.3">
      <c r="A1191" t="str">
        <f t="shared" si="36"/>
        <v>SM</v>
      </c>
      <c r="B1191">
        <f t="shared" si="37"/>
        <v>123</v>
      </c>
      <c r="D1191" s="1"/>
      <c r="E1191" s="1" t="s">
        <v>312</v>
      </c>
      <c r="F1191" s="1">
        <v>57</v>
      </c>
      <c r="G1191" s="1">
        <v>3</v>
      </c>
      <c r="H1191" s="1">
        <v>7.1</v>
      </c>
      <c r="I1191" s="1"/>
      <c r="J1191" s="1"/>
    </row>
    <row r="1192" spans="1:10" x14ac:dyDescent="0.3">
      <c r="A1192" t="str">
        <f t="shared" si="36"/>
        <v>SM</v>
      </c>
      <c r="B1192">
        <f t="shared" si="37"/>
        <v>12023</v>
      </c>
      <c r="D1192" s="1"/>
      <c r="E1192" s="1" t="s">
        <v>135</v>
      </c>
      <c r="F1192" s="1">
        <v>58</v>
      </c>
      <c r="G1192" s="1">
        <v>1</v>
      </c>
      <c r="H1192" s="1">
        <v>7</v>
      </c>
      <c r="I1192" s="1"/>
      <c r="J1192" s="1"/>
    </row>
    <row r="1193" spans="1:10" x14ac:dyDescent="0.3">
      <c r="A1193" t="str">
        <f t="shared" si="36"/>
        <v>SM</v>
      </c>
      <c r="B1193">
        <f t="shared" si="37"/>
        <v>3423</v>
      </c>
      <c r="D1193" s="1"/>
      <c r="E1193" s="1" t="s">
        <v>237</v>
      </c>
      <c r="F1193" s="1">
        <v>59</v>
      </c>
      <c r="G1193" s="1">
        <v>2</v>
      </c>
      <c r="H1193" s="1">
        <v>7</v>
      </c>
      <c r="I1193" s="1"/>
      <c r="J1193" s="1"/>
    </row>
    <row r="1194" spans="1:10" x14ac:dyDescent="0.3">
      <c r="A1194" t="str">
        <f t="shared" si="36"/>
        <v>SM</v>
      </c>
      <c r="B1194">
        <f t="shared" si="37"/>
        <v>18323</v>
      </c>
      <c r="D1194" s="1"/>
      <c r="E1194" s="1" t="s">
        <v>423</v>
      </c>
      <c r="F1194" s="1">
        <v>61</v>
      </c>
      <c r="G1194" s="1">
        <v>1</v>
      </c>
      <c r="H1194" s="1">
        <v>6.9</v>
      </c>
      <c r="I1194" s="1"/>
      <c r="J1194" s="1"/>
    </row>
    <row r="1195" spans="1:10" x14ac:dyDescent="0.3">
      <c r="A1195" t="str">
        <f t="shared" si="36"/>
        <v>SM</v>
      </c>
      <c r="B1195">
        <f t="shared" si="37"/>
        <v>1923</v>
      </c>
      <c r="D1195" s="1"/>
      <c r="E1195" s="1" t="s">
        <v>112</v>
      </c>
      <c r="F1195" s="1">
        <v>62</v>
      </c>
      <c r="G1195" s="1">
        <v>4</v>
      </c>
      <c r="H1195" s="1">
        <v>6.9</v>
      </c>
      <c r="I1195" s="1"/>
      <c r="J1195" s="1"/>
    </row>
    <row r="1196" spans="1:10" x14ac:dyDescent="0.3">
      <c r="A1196" t="str">
        <f t="shared" si="36"/>
        <v>SM</v>
      </c>
      <c r="B1196">
        <f t="shared" si="37"/>
        <v>7423</v>
      </c>
      <c r="D1196" s="1"/>
      <c r="E1196" s="1" t="s">
        <v>251</v>
      </c>
      <c r="F1196" s="1">
        <v>63</v>
      </c>
      <c r="G1196" s="1">
        <v>4</v>
      </c>
      <c r="H1196" s="1">
        <v>6.9</v>
      </c>
      <c r="I1196" s="1"/>
      <c r="J1196" s="1"/>
    </row>
    <row r="1197" spans="1:10" x14ac:dyDescent="0.3">
      <c r="A1197" t="str">
        <f t="shared" si="36"/>
        <v>SM</v>
      </c>
      <c r="B1197">
        <f t="shared" si="37"/>
        <v>5623</v>
      </c>
      <c r="D1197" s="1"/>
      <c r="E1197" s="1" t="s">
        <v>62</v>
      </c>
      <c r="F1197" s="1">
        <v>64</v>
      </c>
      <c r="G1197" s="1">
        <v>3</v>
      </c>
      <c r="H1197" s="1">
        <v>6.8</v>
      </c>
      <c r="I1197" s="1"/>
      <c r="J1197" s="1"/>
    </row>
    <row r="1198" spans="1:10" x14ac:dyDescent="0.3">
      <c r="A1198" t="str">
        <f t="shared" si="36"/>
        <v>SM</v>
      </c>
      <c r="B1198">
        <f t="shared" si="37"/>
        <v>3223</v>
      </c>
      <c r="D1198" s="1"/>
      <c r="E1198" s="1" t="s">
        <v>127</v>
      </c>
      <c r="F1198" s="1">
        <v>66</v>
      </c>
      <c r="G1198" s="1">
        <v>4</v>
      </c>
      <c r="H1198" s="1">
        <v>6.8</v>
      </c>
      <c r="I1198" s="1"/>
      <c r="J1198" s="1"/>
    </row>
    <row r="1199" spans="1:10" x14ac:dyDescent="0.3">
      <c r="A1199" t="str">
        <f t="shared" si="36"/>
        <v>SM</v>
      </c>
      <c r="B1199">
        <f t="shared" si="37"/>
        <v>5523</v>
      </c>
      <c r="D1199" s="1"/>
      <c r="E1199" s="1" t="s">
        <v>86</v>
      </c>
      <c r="F1199" s="1">
        <v>68</v>
      </c>
      <c r="G1199" s="1">
        <v>3</v>
      </c>
      <c r="H1199" s="1">
        <v>6.7</v>
      </c>
      <c r="I1199" s="1"/>
      <c r="J1199" s="1"/>
    </row>
    <row r="1200" spans="1:10" x14ac:dyDescent="0.3">
      <c r="A1200" t="str">
        <f t="shared" si="36"/>
        <v>SM</v>
      </c>
      <c r="B1200">
        <f t="shared" si="37"/>
        <v>3623</v>
      </c>
      <c r="D1200" s="1"/>
      <c r="E1200" s="1" t="s">
        <v>129</v>
      </c>
      <c r="F1200" s="1">
        <v>71</v>
      </c>
      <c r="G1200" s="1">
        <v>4</v>
      </c>
      <c r="H1200" s="1">
        <v>6.3</v>
      </c>
      <c r="I1200" s="1"/>
      <c r="J1200" s="1"/>
    </row>
    <row r="1201" spans="1:10" x14ac:dyDescent="0.3">
      <c r="A1201" t="str">
        <f t="shared" si="36"/>
        <v>SM</v>
      </c>
      <c r="B1201">
        <f t="shared" si="37"/>
        <v>6823</v>
      </c>
      <c r="D1201" s="1"/>
      <c r="E1201" s="1" t="s">
        <v>248</v>
      </c>
      <c r="F1201" s="1">
        <v>72</v>
      </c>
      <c r="G1201" s="1">
        <v>5</v>
      </c>
      <c r="H1201" s="1">
        <v>6.3</v>
      </c>
      <c r="I1201" s="1"/>
      <c r="J1201" s="1"/>
    </row>
    <row r="1202" spans="1:10" x14ac:dyDescent="0.3">
      <c r="A1202" t="str">
        <f t="shared" si="36"/>
        <v>SM</v>
      </c>
      <c r="B1202">
        <f t="shared" si="37"/>
        <v>723</v>
      </c>
      <c r="D1202" s="1"/>
      <c r="E1202" s="1" t="s">
        <v>319</v>
      </c>
      <c r="F1202" s="1">
        <v>73</v>
      </c>
      <c r="G1202" s="1">
        <v>5</v>
      </c>
      <c r="H1202" s="1">
        <v>6.3</v>
      </c>
      <c r="I1202" s="1"/>
      <c r="J1202" s="1"/>
    </row>
    <row r="1203" spans="1:10" x14ac:dyDescent="0.3">
      <c r="A1203" t="str">
        <f t="shared" si="36"/>
        <v>SM</v>
      </c>
      <c r="B1203">
        <f t="shared" si="37"/>
        <v>11123</v>
      </c>
      <c r="D1203" s="1"/>
      <c r="E1203" s="1" t="s">
        <v>277</v>
      </c>
      <c r="F1203" s="1">
        <v>75</v>
      </c>
      <c r="G1203" s="1">
        <v>4</v>
      </c>
      <c r="H1203" s="1">
        <v>6.2</v>
      </c>
      <c r="I1203" s="1"/>
      <c r="J1203" s="1"/>
    </row>
    <row r="1204" spans="1:10" x14ac:dyDescent="0.3">
      <c r="A1204" t="str">
        <f t="shared" si="36"/>
        <v>SM</v>
      </c>
      <c r="B1204">
        <f t="shared" si="37"/>
        <v>8123</v>
      </c>
      <c r="D1204" s="1"/>
      <c r="E1204" s="1" t="s">
        <v>256</v>
      </c>
      <c r="F1204" s="1">
        <v>77</v>
      </c>
      <c r="G1204" s="1">
        <v>5</v>
      </c>
      <c r="H1204" s="1">
        <v>6.1</v>
      </c>
      <c r="I1204" s="1"/>
      <c r="J1204" s="1"/>
    </row>
    <row r="1205" spans="1:10" x14ac:dyDescent="0.3">
      <c r="A1205" t="str">
        <f t="shared" si="36"/>
        <v>SM</v>
      </c>
      <c r="B1205">
        <f t="shared" si="37"/>
        <v>9423</v>
      </c>
      <c r="D1205" s="1"/>
      <c r="E1205" s="1" t="s">
        <v>264</v>
      </c>
      <c r="F1205" s="1">
        <v>78</v>
      </c>
      <c r="G1205" s="1">
        <v>5</v>
      </c>
      <c r="H1205" s="1">
        <v>6.1</v>
      </c>
      <c r="I1205" s="1"/>
      <c r="J1205" s="1"/>
    </row>
    <row r="1206" spans="1:10" x14ac:dyDescent="0.3">
      <c r="A1206" t="str">
        <f t="shared" si="36"/>
        <v>SM</v>
      </c>
      <c r="B1206">
        <f t="shared" si="37"/>
        <v>18623</v>
      </c>
      <c r="D1206" s="1"/>
      <c r="E1206" s="1" t="s">
        <v>425</v>
      </c>
      <c r="F1206" s="1">
        <v>79</v>
      </c>
      <c r="G1206" s="1">
        <v>2</v>
      </c>
      <c r="H1206" s="1">
        <v>6</v>
      </c>
      <c r="I1206" s="1"/>
      <c r="J1206" s="1"/>
    </row>
    <row r="1207" spans="1:10" x14ac:dyDescent="0.3">
      <c r="A1207" t="str">
        <f t="shared" si="36"/>
        <v>SM</v>
      </c>
      <c r="B1207">
        <f t="shared" si="37"/>
        <v>18923</v>
      </c>
      <c r="D1207" s="1"/>
      <c r="E1207" s="1" t="s">
        <v>422</v>
      </c>
      <c r="F1207" s="1">
        <v>82</v>
      </c>
      <c r="G1207" s="1">
        <v>2</v>
      </c>
      <c r="H1207" s="1">
        <v>5.9</v>
      </c>
      <c r="I1207" s="1"/>
      <c r="J1207" s="1"/>
    </row>
    <row r="1208" spans="1:10" x14ac:dyDescent="0.3">
      <c r="A1208" t="str">
        <f t="shared" si="36"/>
        <v>SM</v>
      </c>
      <c r="B1208">
        <f t="shared" si="37"/>
        <v>7923</v>
      </c>
      <c r="D1208" s="1"/>
      <c r="E1208" s="1" t="s">
        <v>103</v>
      </c>
      <c r="F1208" s="1">
        <v>84</v>
      </c>
      <c r="G1208" s="1">
        <v>3</v>
      </c>
      <c r="H1208" s="1">
        <v>5.7</v>
      </c>
      <c r="I1208" s="1"/>
      <c r="J1208" s="1"/>
    </row>
    <row r="1209" spans="1:10" x14ac:dyDescent="0.3">
      <c r="A1209" t="str">
        <f t="shared" si="36"/>
        <v>SM</v>
      </c>
      <c r="B1209">
        <f t="shared" si="37"/>
        <v>5223</v>
      </c>
      <c r="D1209" s="1"/>
      <c r="E1209" s="1" t="s">
        <v>241</v>
      </c>
      <c r="F1209" s="1">
        <v>89</v>
      </c>
      <c r="G1209" s="1">
        <v>6</v>
      </c>
      <c r="H1209" s="1">
        <v>5.4</v>
      </c>
      <c r="I1209" s="1"/>
      <c r="J1209" s="1"/>
    </row>
    <row r="1210" spans="1:10" x14ac:dyDescent="0.3">
      <c r="A1210" t="str">
        <f t="shared" si="36"/>
        <v>SM</v>
      </c>
      <c r="B1210">
        <f t="shared" si="37"/>
        <v>5323</v>
      </c>
      <c r="D1210" s="1"/>
      <c r="E1210" s="1" t="s">
        <v>242</v>
      </c>
      <c r="F1210" s="1">
        <v>91</v>
      </c>
      <c r="G1210" s="1">
        <v>6</v>
      </c>
      <c r="H1210" s="1">
        <v>5.4</v>
      </c>
      <c r="I1210" s="1"/>
      <c r="J1210" s="1"/>
    </row>
    <row r="1211" spans="1:10" x14ac:dyDescent="0.3">
      <c r="A1211" t="str">
        <f t="shared" si="36"/>
        <v>SM</v>
      </c>
      <c r="B1211">
        <f t="shared" si="37"/>
        <v>18723</v>
      </c>
      <c r="D1211" s="1"/>
      <c r="E1211" s="1" t="s">
        <v>427</v>
      </c>
      <c r="F1211" s="1">
        <v>92</v>
      </c>
      <c r="G1211" s="1">
        <v>2</v>
      </c>
      <c r="H1211" s="1">
        <v>5.3</v>
      </c>
      <c r="I1211" s="1"/>
      <c r="J1211" s="1"/>
    </row>
    <row r="1212" spans="1:10" x14ac:dyDescent="0.3">
      <c r="A1212" t="str">
        <f t="shared" si="36"/>
        <v>SM</v>
      </c>
      <c r="B1212">
        <f t="shared" si="37"/>
        <v>13323</v>
      </c>
      <c r="D1212" s="1"/>
      <c r="E1212" s="1" t="s">
        <v>291</v>
      </c>
      <c r="F1212" s="1">
        <v>100</v>
      </c>
      <c r="G1212" s="1">
        <v>7</v>
      </c>
      <c r="H1212" s="1">
        <v>5.0999999999999996</v>
      </c>
      <c r="I1212" s="1"/>
      <c r="J1212" s="1"/>
    </row>
    <row r="1213" spans="1:10" x14ac:dyDescent="0.3">
      <c r="A1213" t="str">
        <f t="shared" si="36"/>
        <v>SM</v>
      </c>
      <c r="B1213">
        <f t="shared" si="37"/>
        <v>4523</v>
      </c>
      <c r="D1213" s="1"/>
      <c r="E1213" s="1" t="s">
        <v>84</v>
      </c>
      <c r="F1213" s="1">
        <v>100</v>
      </c>
      <c r="G1213" s="1">
        <v>6</v>
      </c>
      <c r="H1213" s="1">
        <v>5.0999999999999996</v>
      </c>
      <c r="I1213" s="1"/>
      <c r="J1213" s="1"/>
    </row>
    <row r="1214" spans="1:10" x14ac:dyDescent="0.3">
      <c r="A1214" t="str">
        <f t="shared" si="36"/>
        <v>SM</v>
      </c>
      <c r="B1214">
        <f t="shared" si="37"/>
        <v>2423</v>
      </c>
      <c r="D1214" s="1"/>
      <c r="E1214" s="1" t="s">
        <v>330</v>
      </c>
      <c r="F1214" s="1">
        <v>103</v>
      </c>
      <c r="G1214" s="1">
        <v>3</v>
      </c>
      <c r="H1214" s="1">
        <v>5</v>
      </c>
      <c r="I1214" s="1"/>
      <c r="J1214" s="1"/>
    </row>
    <row r="1215" spans="1:10" x14ac:dyDescent="0.3">
      <c r="A1215" t="str">
        <f t="shared" si="36"/>
        <v>SM</v>
      </c>
      <c r="B1215">
        <f t="shared" si="37"/>
        <v>6223</v>
      </c>
      <c r="D1215" s="1"/>
      <c r="E1215" s="1" t="s">
        <v>81</v>
      </c>
      <c r="F1215" s="1">
        <v>104</v>
      </c>
      <c r="G1215" s="1">
        <v>7</v>
      </c>
      <c r="H1215" s="1">
        <v>5</v>
      </c>
      <c r="I1215" s="1"/>
      <c r="J1215" s="1"/>
    </row>
    <row r="1216" spans="1:10" x14ac:dyDescent="0.3">
      <c r="A1216" t="str">
        <f t="shared" si="36"/>
        <v>SM</v>
      </c>
      <c r="B1216">
        <f t="shared" si="37"/>
        <v>623</v>
      </c>
      <c r="D1216" s="1"/>
      <c r="E1216" s="1" t="s">
        <v>100</v>
      </c>
      <c r="F1216" s="1">
        <v>105</v>
      </c>
      <c r="G1216" s="1">
        <v>8</v>
      </c>
      <c r="H1216" s="1">
        <v>5</v>
      </c>
      <c r="I1216" s="1"/>
      <c r="J1216" s="1"/>
    </row>
    <row r="1217" spans="1:10" x14ac:dyDescent="0.3">
      <c r="A1217" t="str">
        <f t="shared" si="36"/>
        <v>SM</v>
      </c>
      <c r="B1217">
        <f t="shared" si="37"/>
        <v>4623</v>
      </c>
      <c r="D1217" s="1"/>
      <c r="E1217" s="1" t="s">
        <v>101</v>
      </c>
      <c r="F1217" s="1">
        <v>106</v>
      </c>
      <c r="G1217" s="1">
        <v>5</v>
      </c>
      <c r="H1217" s="1">
        <v>4.8</v>
      </c>
      <c r="I1217" s="1"/>
      <c r="J1217" s="1"/>
    </row>
    <row r="1218" spans="1:10" x14ac:dyDescent="0.3">
      <c r="A1218" t="str">
        <f t="shared" ref="A1218:A1281" si="38">IF(NOT(D1218=""),INDEX(statAbbr,MATCH(D1218,statOfficial,0),1),A1217)</f>
        <v>SM</v>
      </c>
      <c r="B1218">
        <f t="shared" ref="B1218:B1281" si="39">INDEX(statID,MATCH(A1218,statAbbr,0),1)+INDEX(teamID,MATCH(E1218,teamRawName,0))</f>
        <v>1623</v>
      </c>
      <c r="D1218" s="1"/>
      <c r="E1218" s="1" t="s">
        <v>137</v>
      </c>
      <c r="F1218" s="1">
        <v>109</v>
      </c>
      <c r="G1218" s="1">
        <v>7</v>
      </c>
      <c r="H1218" s="1">
        <v>4.7</v>
      </c>
      <c r="I1218" s="1"/>
      <c r="J1218" s="1"/>
    </row>
    <row r="1219" spans="1:10" x14ac:dyDescent="0.3">
      <c r="A1219" t="str">
        <f t="shared" si="38"/>
        <v>SM</v>
      </c>
      <c r="B1219">
        <f t="shared" si="39"/>
        <v>14123</v>
      </c>
      <c r="D1219" s="1"/>
      <c r="E1219" s="1" t="s">
        <v>299</v>
      </c>
      <c r="F1219" s="1">
        <v>113</v>
      </c>
      <c r="G1219" s="1">
        <v>8</v>
      </c>
      <c r="H1219" s="1">
        <v>4.5</v>
      </c>
      <c r="I1219" s="1"/>
      <c r="J1219" s="1"/>
    </row>
    <row r="1220" spans="1:10" x14ac:dyDescent="0.3">
      <c r="A1220" t="str">
        <f t="shared" si="38"/>
        <v>SM</v>
      </c>
      <c r="B1220">
        <f t="shared" si="39"/>
        <v>18823</v>
      </c>
      <c r="D1220" s="1"/>
      <c r="E1220" s="1" t="s">
        <v>424</v>
      </c>
      <c r="F1220" s="1">
        <v>122</v>
      </c>
      <c r="G1220" s="1">
        <v>3</v>
      </c>
      <c r="H1220" s="1">
        <v>4.2</v>
      </c>
      <c r="I1220" s="1"/>
      <c r="J1220" s="1"/>
    </row>
    <row r="1221" spans="1:10" x14ac:dyDescent="0.3">
      <c r="A1221" t="str">
        <f t="shared" si="38"/>
        <v>SM</v>
      </c>
      <c r="B1221">
        <f t="shared" si="39"/>
        <v>14323</v>
      </c>
      <c r="D1221" s="1"/>
      <c r="E1221" s="1" t="s">
        <v>391</v>
      </c>
      <c r="F1221" s="1">
        <v>129</v>
      </c>
      <c r="G1221" s="1">
        <v>8</v>
      </c>
      <c r="H1221" s="1">
        <v>4</v>
      </c>
      <c r="I1221" s="1"/>
      <c r="J1221" s="1"/>
    </row>
    <row r="1222" spans="1:10" x14ac:dyDescent="0.3">
      <c r="A1222" t="str">
        <f t="shared" si="38"/>
        <v>SM</v>
      </c>
      <c r="B1222">
        <f t="shared" si="39"/>
        <v>18423</v>
      </c>
      <c r="D1222" s="1"/>
      <c r="E1222" s="1" t="s">
        <v>417</v>
      </c>
      <c r="F1222" s="1">
        <v>141</v>
      </c>
      <c r="G1222" s="1">
        <v>1</v>
      </c>
      <c r="H1222" s="1">
        <v>3.2</v>
      </c>
      <c r="I1222" s="1"/>
      <c r="J1222" s="1"/>
    </row>
    <row r="1223" spans="1:10" x14ac:dyDescent="0.3">
      <c r="A1223" t="str">
        <f t="shared" si="38"/>
        <v>SM</v>
      </c>
      <c r="B1223">
        <f t="shared" si="39"/>
        <v>14523</v>
      </c>
      <c r="D1223" s="1"/>
      <c r="E1223" s="1" t="s">
        <v>402</v>
      </c>
      <c r="F1223" s="1">
        <v>144</v>
      </c>
      <c r="G1223" s="1">
        <v>6</v>
      </c>
      <c r="H1223" s="1">
        <v>3.1</v>
      </c>
      <c r="I1223" s="1"/>
      <c r="J1223" s="1"/>
    </row>
    <row r="1224" spans="1:10" x14ac:dyDescent="0.3">
      <c r="A1224" t="str">
        <f t="shared" si="38"/>
        <v>SM</v>
      </c>
      <c r="B1224">
        <f t="shared" si="39"/>
        <v>923</v>
      </c>
      <c r="D1224" s="1"/>
      <c r="E1224" s="1" t="s">
        <v>90</v>
      </c>
      <c r="F1224" s="1">
        <v>148</v>
      </c>
      <c r="G1224" s="1">
        <v>11</v>
      </c>
      <c r="H1224" s="1">
        <v>3</v>
      </c>
      <c r="I1224" s="1"/>
      <c r="J1224" s="1"/>
    </row>
    <row r="1225" spans="1:10" x14ac:dyDescent="0.3">
      <c r="A1225" t="str">
        <f t="shared" si="38"/>
        <v>SM</v>
      </c>
      <c r="B1225">
        <f t="shared" si="39"/>
        <v>8823</v>
      </c>
      <c r="D1225" s="1"/>
      <c r="E1225" s="1" t="s">
        <v>141</v>
      </c>
      <c r="F1225" s="1">
        <v>158</v>
      </c>
      <c r="G1225" s="1">
        <v>4</v>
      </c>
      <c r="H1225" s="1">
        <v>2.6</v>
      </c>
      <c r="I1225" s="1"/>
      <c r="J1225" s="1"/>
    </row>
    <row r="1226" spans="1:10" x14ac:dyDescent="0.3">
      <c r="A1226" t="str">
        <f t="shared" si="38"/>
        <v>SM</v>
      </c>
      <c r="B1226">
        <f t="shared" si="39"/>
        <v>15223</v>
      </c>
      <c r="D1226" s="1"/>
      <c r="E1226" s="1" t="s">
        <v>426</v>
      </c>
      <c r="F1226" s="1">
        <v>183</v>
      </c>
      <c r="G1226" s="1">
        <v>5</v>
      </c>
      <c r="H1226" s="1">
        <v>1.5</v>
      </c>
      <c r="I1226" s="1"/>
      <c r="J1226" s="1"/>
    </row>
    <row r="1227" spans="1:10" x14ac:dyDescent="0.3">
      <c r="A1227" t="str">
        <f t="shared" si="38"/>
        <v>SM</v>
      </c>
      <c r="B1227">
        <f t="shared" si="39"/>
        <v>11823</v>
      </c>
      <c r="D1227" s="1"/>
      <c r="E1227" s="1" t="s">
        <v>281</v>
      </c>
      <c r="F1227" s="1">
        <v>272</v>
      </c>
      <c r="G1227" s="1">
        <v>5</v>
      </c>
      <c r="H1227" s="1">
        <v>-2.7</v>
      </c>
      <c r="I1227" s="1"/>
      <c r="J1227" s="1"/>
    </row>
    <row r="1228" spans="1:10" x14ac:dyDescent="0.3">
      <c r="A1228" t="str">
        <f t="shared" si="38"/>
        <v>PPG</v>
      </c>
      <c r="B1228">
        <f t="shared" si="39"/>
        <v>4420</v>
      </c>
      <c r="D1228" s="1" t="s">
        <v>448</v>
      </c>
      <c r="E1228" s="1" t="s">
        <v>83</v>
      </c>
      <c r="F1228" s="1">
        <v>1</v>
      </c>
      <c r="G1228" s="1">
        <v>1</v>
      </c>
      <c r="H1228" s="1">
        <v>86.1</v>
      </c>
      <c r="I1228" s="1" t="s">
        <v>83</v>
      </c>
      <c r="J1228" s="1">
        <v>86.1</v>
      </c>
    </row>
    <row r="1229" spans="1:10" x14ac:dyDescent="0.3">
      <c r="A1229" t="str">
        <f t="shared" si="38"/>
        <v>PPG</v>
      </c>
      <c r="B1229">
        <f t="shared" si="39"/>
        <v>18520</v>
      </c>
      <c r="D1229" s="1"/>
      <c r="E1229" s="1" t="s">
        <v>420</v>
      </c>
      <c r="F1229" s="1">
        <v>3</v>
      </c>
      <c r="G1229" s="1">
        <v>1</v>
      </c>
      <c r="H1229" s="1">
        <v>83.3</v>
      </c>
      <c r="I1229" s="1"/>
      <c r="J1229" s="1"/>
    </row>
    <row r="1230" spans="1:10" x14ac:dyDescent="0.3">
      <c r="A1230" t="str">
        <f t="shared" si="38"/>
        <v>PPG</v>
      </c>
      <c r="B1230">
        <f t="shared" si="39"/>
        <v>2920</v>
      </c>
      <c r="D1230" s="1"/>
      <c r="E1230" s="1" t="s">
        <v>96</v>
      </c>
      <c r="F1230" s="1">
        <v>6</v>
      </c>
      <c r="G1230" s="1">
        <v>1</v>
      </c>
      <c r="H1230" s="1">
        <v>81.900000000000006</v>
      </c>
      <c r="I1230" s="1"/>
      <c r="J1230" s="1"/>
    </row>
    <row r="1231" spans="1:10" x14ac:dyDescent="0.3">
      <c r="A1231" t="str">
        <f t="shared" si="38"/>
        <v>PPG</v>
      </c>
      <c r="B1231">
        <f t="shared" si="39"/>
        <v>3720</v>
      </c>
      <c r="D1231" s="1"/>
      <c r="E1231" s="1" t="s">
        <v>115</v>
      </c>
      <c r="F1231" s="1">
        <v>7</v>
      </c>
      <c r="G1231" s="1">
        <v>1</v>
      </c>
      <c r="H1231" s="1">
        <v>81.8</v>
      </c>
      <c r="I1231" s="1"/>
      <c r="J1231" s="1"/>
    </row>
    <row r="1232" spans="1:10" x14ac:dyDescent="0.3">
      <c r="A1232" t="str">
        <f t="shared" si="38"/>
        <v>PPG</v>
      </c>
      <c r="B1232">
        <f t="shared" si="39"/>
        <v>7420</v>
      </c>
      <c r="D1232" s="1"/>
      <c r="E1232" s="1" t="s">
        <v>251</v>
      </c>
      <c r="F1232" s="1">
        <v>10</v>
      </c>
      <c r="G1232" s="1">
        <v>1</v>
      </c>
      <c r="H1232" s="1">
        <v>80.900000000000006</v>
      </c>
      <c r="I1232" s="1"/>
      <c r="J1232" s="1"/>
    </row>
    <row r="1233" spans="1:10" x14ac:dyDescent="0.3">
      <c r="A1233" t="str">
        <f t="shared" si="38"/>
        <v>PPG</v>
      </c>
      <c r="B1233">
        <f t="shared" si="39"/>
        <v>19120</v>
      </c>
      <c r="D1233" s="1"/>
      <c r="E1233" s="1" t="s">
        <v>421</v>
      </c>
      <c r="F1233" s="1">
        <v>11</v>
      </c>
      <c r="G1233" s="1">
        <v>1</v>
      </c>
      <c r="H1233" s="1">
        <v>80.900000000000006</v>
      </c>
      <c r="I1233" s="1"/>
      <c r="J1233" s="1"/>
    </row>
    <row r="1234" spans="1:10" x14ac:dyDescent="0.3">
      <c r="A1234" t="str">
        <f t="shared" si="38"/>
        <v>PPG</v>
      </c>
      <c r="B1234">
        <f t="shared" si="39"/>
        <v>11520</v>
      </c>
      <c r="D1234" s="1"/>
      <c r="E1234" s="1" t="s">
        <v>97</v>
      </c>
      <c r="F1234" s="1">
        <v>16</v>
      </c>
      <c r="G1234" s="1">
        <v>1</v>
      </c>
      <c r="H1234" s="1">
        <v>80.099999999999994</v>
      </c>
      <c r="I1234" s="1"/>
      <c r="J1234" s="1"/>
    </row>
    <row r="1235" spans="1:10" x14ac:dyDescent="0.3">
      <c r="A1235" t="str">
        <f t="shared" si="38"/>
        <v>PPG</v>
      </c>
      <c r="B1235">
        <f t="shared" si="39"/>
        <v>18320</v>
      </c>
      <c r="D1235" s="1"/>
      <c r="E1235" s="1" t="s">
        <v>423</v>
      </c>
      <c r="F1235" s="1">
        <v>17</v>
      </c>
      <c r="G1235" s="1">
        <v>1</v>
      </c>
      <c r="H1235" s="1">
        <v>80.099999999999994</v>
      </c>
      <c r="I1235" s="1"/>
      <c r="J1235" s="1"/>
    </row>
    <row r="1236" spans="1:10" x14ac:dyDescent="0.3">
      <c r="A1236" t="str">
        <f t="shared" si="38"/>
        <v>PPG</v>
      </c>
      <c r="B1236">
        <f t="shared" si="39"/>
        <v>5220</v>
      </c>
      <c r="D1236" s="1"/>
      <c r="E1236" s="1" t="s">
        <v>241</v>
      </c>
      <c r="F1236" s="1">
        <v>18</v>
      </c>
      <c r="G1236" s="1">
        <v>1</v>
      </c>
      <c r="H1236" s="1">
        <v>80.099999999999994</v>
      </c>
      <c r="I1236" s="1"/>
      <c r="J1236" s="1"/>
    </row>
    <row r="1237" spans="1:10" x14ac:dyDescent="0.3">
      <c r="A1237" t="str">
        <f t="shared" si="38"/>
        <v>PPG</v>
      </c>
      <c r="B1237">
        <f t="shared" si="39"/>
        <v>6620</v>
      </c>
      <c r="D1237" s="1"/>
      <c r="E1237" s="1" t="s">
        <v>247</v>
      </c>
      <c r="F1237" s="1">
        <v>21</v>
      </c>
      <c r="G1237" s="1">
        <v>2</v>
      </c>
      <c r="H1237" s="1">
        <v>79.400000000000006</v>
      </c>
      <c r="I1237" s="1"/>
      <c r="J1237" s="1"/>
    </row>
    <row r="1238" spans="1:10" x14ac:dyDescent="0.3">
      <c r="A1238" t="str">
        <f t="shared" si="38"/>
        <v>PPG</v>
      </c>
      <c r="B1238">
        <f t="shared" si="39"/>
        <v>3320</v>
      </c>
      <c r="D1238" s="1"/>
      <c r="E1238" s="1" t="s">
        <v>91</v>
      </c>
      <c r="F1238" s="1">
        <v>23</v>
      </c>
      <c r="G1238" s="1">
        <v>2</v>
      </c>
      <c r="H1238" s="1">
        <v>79.3</v>
      </c>
      <c r="I1238" s="1"/>
      <c r="J1238" s="1"/>
    </row>
    <row r="1239" spans="1:10" x14ac:dyDescent="0.3">
      <c r="A1239" t="str">
        <f t="shared" si="38"/>
        <v>PPG</v>
      </c>
      <c r="B1239">
        <f t="shared" si="39"/>
        <v>120</v>
      </c>
      <c r="D1239" s="1"/>
      <c r="E1239" s="1" t="s">
        <v>312</v>
      </c>
      <c r="F1239" s="1">
        <v>25</v>
      </c>
      <c r="G1239" s="1">
        <v>1</v>
      </c>
      <c r="H1239" s="1">
        <v>79.099999999999994</v>
      </c>
      <c r="I1239" s="1"/>
      <c r="J1239" s="1"/>
    </row>
    <row r="1240" spans="1:10" x14ac:dyDescent="0.3">
      <c r="A1240" t="str">
        <f t="shared" si="38"/>
        <v>PPG</v>
      </c>
      <c r="B1240">
        <f t="shared" si="39"/>
        <v>14120</v>
      </c>
      <c r="D1240" s="1"/>
      <c r="E1240" s="1" t="s">
        <v>299</v>
      </c>
      <c r="F1240" s="1">
        <v>26</v>
      </c>
      <c r="G1240" s="1">
        <v>2</v>
      </c>
      <c r="H1240" s="1">
        <v>78.900000000000006</v>
      </c>
      <c r="I1240" s="1"/>
      <c r="J1240" s="1"/>
    </row>
    <row r="1241" spans="1:10" x14ac:dyDescent="0.3">
      <c r="A1241" t="str">
        <f t="shared" si="38"/>
        <v>PPG</v>
      </c>
      <c r="B1241">
        <f t="shared" si="39"/>
        <v>2320</v>
      </c>
      <c r="D1241" s="1"/>
      <c r="E1241" s="1" t="s">
        <v>79</v>
      </c>
      <c r="F1241" s="1">
        <v>31</v>
      </c>
      <c r="G1241" s="1">
        <v>3</v>
      </c>
      <c r="H1241" s="1">
        <v>78.599999999999994</v>
      </c>
      <c r="I1241" s="1"/>
      <c r="J1241" s="1"/>
    </row>
    <row r="1242" spans="1:10" x14ac:dyDescent="0.3">
      <c r="A1242" t="str">
        <f t="shared" si="38"/>
        <v>PPG</v>
      </c>
      <c r="B1242">
        <f t="shared" si="39"/>
        <v>1420</v>
      </c>
      <c r="D1242" s="1"/>
      <c r="E1242" s="1" t="s">
        <v>102</v>
      </c>
      <c r="F1242" s="1">
        <v>33</v>
      </c>
      <c r="G1242" s="1">
        <v>2</v>
      </c>
      <c r="H1242" s="1">
        <v>78.2</v>
      </c>
      <c r="I1242" s="1"/>
      <c r="J1242" s="1"/>
    </row>
    <row r="1243" spans="1:10" x14ac:dyDescent="0.3">
      <c r="A1243" t="str">
        <f t="shared" si="38"/>
        <v>PPG</v>
      </c>
      <c r="B1243">
        <f t="shared" si="39"/>
        <v>8420</v>
      </c>
      <c r="D1243" s="1"/>
      <c r="E1243" s="1" t="s">
        <v>109</v>
      </c>
      <c r="F1243" s="1">
        <v>35</v>
      </c>
      <c r="G1243" s="1">
        <v>1</v>
      </c>
      <c r="H1243" s="1">
        <v>78.099999999999994</v>
      </c>
      <c r="I1243" s="1"/>
      <c r="J1243" s="1"/>
    </row>
    <row r="1244" spans="1:10" x14ac:dyDescent="0.3">
      <c r="A1244" t="str">
        <f t="shared" si="38"/>
        <v>PPG</v>
      </c>
      <c r="B1244">
        <f t="shared" si="39"/>
        <v>6720</v>
      </c>
      <c r="D1244" s="1"/>
      <c r="E1244" s="1" t="s">
        <v>118</v>
      </c>
      <c r="F1244" s="1">
        <v>37</v>
      </c>
      <c r="G1244" s="1">
        <v>1</v>
      </c>
      <c r="H1244" s="1">
        <v>78</v>
      </c>
      <c r="I1244" s="1"/>
      <c r="J1244" s="1"/>
    </row>
    <row r="1245" spans="1:10" x14ac:dyDescent="0.3">
      <c r="A1245" t="str">
        <f t="shared" si="38"/>
        <v>PPG</v>
      </c>
      <c r="B1245">
        <f t="shared" si="39"/>
        <v>2220</v>
      </c>
      <c r="D1245" s="1"/>
      <c r="E1245" s="1" t="s">
        <v>119</v>
      </c>
      <c r="F1245" s="1">
        <v>39</v>
      </c>
      <c r="G1245" s="1">
        <v>2</v>
      </c>
      <c r="H1245" s="1">
        <v>77.8</v>
      </c>
      <c r="I1245" s="1"/>
      <c r="J1245" s="1"/>
    </row>
    <row r="1246" spans="1:10" x14ac:dyDescent="0.3">
      <c r="A1246" t="str">
        <f t="shared" si="38"/>
        <v>PPG</v>
      </c>
      <c r="B1246">
        <f t="shared" si="39"/>
        <v>1920</v>
      </c>
      <c r="D1246" s="1"/>
      <c r="E1246" s="1" t="s">
        <v>112</v>
      </c>
      <c r="F1246" s="1">
        <v>41</v>
      </c>
      <c r="G1246" s="1">
        <v>2</v>
      </c>
      <c r="H1246" s="1">
        <v>77.7</v>
      </c>
      <c r="I1246" s="1"/>
      <c r="J1246" s="1"/>
    </row>
    <row r="1247" spans="1:10" x14ac:dyDescent="0.3">
      <c r="A1247" t="str">
        <f t="shared" si="38"/>
        <v>PPG</v>
      </c>
      <c r="B1247">
        <f t="shared" si="39"/>
        <v>15220</v>
      </c>
      <c r="D1247" s="1"/>
      <c r="E1247" s="1" t="s">
        <v>426</v>
      </c>
      <c r="F1247" s="1">
        <v>45</v>
      </c>
      <c r="G1247" s="1">
        <v>3</v>
      </c>
      <c r="H1247" s="1">
        <v>77.5</v>
      </c>
      <c r="I1247" s="1"/>
      <c r="J1247" s="1"/>
    </row>
    <row r="1248" spans="1:10" x14ac:dyDescent="0.3">
      <c r="A1248" t="str">
        <f t="shared" si="38"/>
        <v>PPG</v>
      </c>
      <c r="B1248">
        <f t="shared" si="39"/>
        <v>18420</v>
      </c>
      <c r="D1248" s="1"/>
      <c r="E1248" s="1" t="s">
        <v>417</v>
      </c>
      <c r="F1248" s="1">
        <v>46</v>
      </c>
      <c r="G1248" s="1">
        <v>1</v>
      </c>
      <c r="H1248" s="1">
        <v>77.400000000000006</v>
      </c>
      <c r="I1248" s="1"/>
      <c r="J1248" s="1"/>
    </row>
    <row r="1249" spans="1:10" x14ac:dyDescent="0.3">
      <c r="A1249" t="str">
        <f t="shared" si="38"/>
        <v>PPG</v>
      </c>
      <c r="B1249">
        <f t="shared" si="39"/>
        <v>19020</v>
      </c>
      <c r="D1249" s="1"/>
      <c r="E1249" s="1" t="s">
        <v>176</v>
      </c>
      <c r="F1249" s="1">
        <v>48</v>
      </c>
      <c r="G1249" s="1">
        <v>3</v>
      </c>
      <c r="H1249" s="1">
        <v>77.400000000000006</v>
      </c>
      <c r="I1249" s="1"/>
      <c r="J1249" s="1"/>
    </row>
    <row r="1250" spans="1:10" x14ac:dyDescent="0.3">
      <c r="A1250" t="str">
        <f t="shared" si="38"/>
        <v>PPG</v>
      </c>
      <c r="B1250">
        <f t="shared" si="39"/>
        <v>6820</v>
      </c>
      <c r="D1250" s="1"/>
      <c r="E1250" s="1" t="s">
        <v>248</v>
      </c>
      <c r="F1250" s="1">
        <v>49</v>
      </c>
      <c r="G1250" s="1">
        <v>4</v>
      </c>
      <c r="H1250" s="1">
        <v>77.3</v>
      </c>
      <c r="I1250" s="1"/>
      <c r="J1250" s="1"/>
    </row>
    <row r="1251" spans="1:10" x14ac:dyDescent="0.3">
      <c r="A1251" t="str">
        <f t="shared" si="38"/>
        <v>PPG</v>
      </c>
      <c r="B1251">
        <f t="shared" si="39"/>
        <v>3220</v>
      </c>
      <c r="D1251" s="1"/>
      <c r="E1251" s="1" t="s">
        <v>127</v>
      </c>
      <c r="F1251" s="1">
        <v>54</v>
      </c>
      <c r="G1251" s="1">
        <v>2</v>
      </c>
      <c r="H1251" s="1">
        <v>77</v>
      </c>
      <c r="I1251" s="1"/>
      <c r="J1251" s="1"/>
    </row>
    <row r="1252" spans="1:10" x14ac:dyDescent="0.3">
      <c r="A1252" t="str">
        <f t="shared" si="38"/>
        <v>PPG</v>
      </c>
      <c r="B1252">
        <f t="shared" si="39"/>
        <v>3120</v>
      </c>
      <c r="D1252" s="1"/>
      <c r="E1252" s="1" t="s">
        <v>93</v>
      </c>
      <c r="F1252" s="1">
        <v>63</v>
      </c>
      <c r="G1252" s="1">
        <v>6</v>
      </c>
      <c r="H1252" s="1">
        <v>76.400000000000006</v>
      </c>
      <c r="I1252" s="1"/>
      <c r="J1252" s="1"/>
    </row>
    <row r="1253" spans="1:10" x14ac:dyDescent="0.3">
      <c r="A1253" t="str">
        <f t="shared" si="38"/>
        <v>PPG</v>
      </c>
      <c r="B1253">
        <f t="shared" si="39"/>
        <v>720</v>
      </c>
      <c r="D1253" s="1"/>
      <c r="E1253" s="1" t="s">
        <v>319</v>
      </c>
      <c r="F1253" s="1">
        <v>71</v>
      </c>
      <c r="G1253" s="1">
        <v>3</v>
      </c>
      <c r="H1253" s="1">
        <v>76.2</v>
      </c>
      <c r="I1253" s="1"/>
      <c r="J1253" s="1"/>
    </row>
    <row r="1254" spans="1:10" x14ac:dyDescent="0.3">
      <c r="A1254" t="str">
        <f t="shared" si="38"/>
        <v>PPG</v>
      </c>
      <c r="B1254">
        <f t="shared" si="39"/>
        <v>13420</v>
      </c>
      <c r="D1254" s="1"/>
      <c r="E1254" s="1" t="s">
        <v>400</v>
      </c>
      <c r="F1254" s="1">
        <v>72</v>
      </c>
      <c r="G1254" s="1">
        <v>5</v>
      </c>
      <c r="H1254" s="1">
        <v>76.099999999999994</v>
      </c>
      <c r="I1254" s="1"/>
      <c r="J1254" s="1"/>
    </row>
    <row r="1255" spans="1:10" x14ac:dyDescent="0.3">
      <c r="A1255" t="str">
        <f t="shared" si="38"/>
        <v>PPG</v>
      </c>
      <c r="B1255">
        <f t="shared" si="39"/>
        <v>13320</v>
      </c>
      <c r="D1255" s="1"/>
      <c r="E1255" s="1" t="s">
        <v>291</v>
      </c>
      <c r="F1255" s="1">
        <v>73</v>
      </c>
      <c r="G1255" s="1">
        <v>4</v>
      </c>
      <c r="H1255" s="1">
        <v>76</v>
      </c>
      <c r="I1255" s="1"/>
      <c r="J1255" s="1"/>
    </row>
    <row r="1256" spans="1:10" x14ac:dyDescent="0.3">
      <c r="A1256" t="str">
        <f t="shared" si="38"/>
        <v>PPG</v>
      </c>
      <c r="B1256">
        <f t="shared" si="39"/>
        <v>8620</v>
      </c>
      <c r="D1256" s="1"/>
      <c r="E1256" s="1" t="s">
        <v>259</v>
      </c>
      <c r="F1256" s="1">
        <v>75</v>
      </c>
      <c r="G1256" s="1">
        <v>1</v>
      </c>
      <c r="H1256" s="1">
        <v>75.900000000000006</v>
      </c>
      <c r="I1256" s="1"/>
      <c r="J1256" s="1"/>
    </row>
    <row r="1257" spans="1:10" x14ac:dyDescent="0.3">
      <c r="A1257" t="str">
        <f t="shared" si="38"/>
        <v>PPG</v>
      </c>
      <c r="B1257">
        <f t="shared" si="39"/>
        <v>3420</v>
      </c>
      <c r="D1257" s="1"/>
      <c r="E1257" s="1" t="s">
        <v>237</v>
      </c>
      <c r="F1257" s="1">
        <v>84</v>
      </c>
      <c r="G1257" s="1">
        <v>3</v>
      </c>
      <c r="H1257" s="1">
        <v>75.5</v>
      </c>
      <c r="I1257" s="1"/>
      <c r="J1257" s="1"/>
    </row>
    <row r="1258" spans="1:10" x14ac:dyDescent="0.3">
      <c r="A1258" t="str">
        <f t="shared" si="38"/>
        <v>PPG</v>
      </c>
      <c r="B1258">
        <f t="shared" si="39"/>
        <v>3920</v>
      </c>
      <c r="D1258" s="1"/>
      <c r="E1258" s="1" t="s">
        <v>88</v>
      </c>
      <c r="F1258" s="1">
        <v>85</v>
      </c>
      <c r="G1258" s="1">
        <v>6</v>
      </c>
      <c r="H1258" s="1">
        <v>75.400000000000006</v>
      </c>
      <c r="I1258" s="1"/>
      <c r="J1258" s="1"/>
    </row>
    <row r="1259" spans="1:10" x14ac:dyDescent="0.3">
      <c r="A1259" t="str">
        <f t="shared" si="38"/>
        <v>PPG</v>
      </c>
      <c r="B1259">
        <f t="shared" si="39"/>
        <v>8820</v>
      </c>
      <c r="D1259" s="1"/>
      <c r="E1259" s="1" t="s">
        <v>141</v>
      </c>
      <c r="F1259" s="1">
        <v>88</v>
      </c>
      <c r="G1259" s="1">
        <v>3</v>
      </c>
      <c r="H1259" s="1">
        <v>75.3</v>
      </c>
      <c r="I1259" s="1"/>
      <c r="J1259" s="1"/>
    </row>
    <row r="1260" spans="1:10" x14ac:dyDescent="0.3">
      <c r="A1260" t="str">
        <f t="shared" si="38"/>
        <v>PPG</v>
      </c>
      <c r="B1260">
        <f t="shared" si="39"/>
        <v>5620</v>
      </c>
      <c r="D1260" s="1"/>
      <c r="E1260" s="1" t="s">
        <v>62</v>
      </c>
      <c r="F1260" s="1">
        <v>88</v>
      </c>
      <c r="G1260" s="1">
        <v>7</v>
      </c>
      <c r="H1260" s="1">
        <v>75.3</v>
      </c>
      <c r="I1260" s="1"/>
      <c r="J1260" s="1"/>
    </row>
    <row r="1261" spans="1:10" x14ac:dyDescent="0.3">
      <c r="A1261" t="str">
        <f t="shared" si="38"/>
        <v>PPG</v>
      </c>
      <c r="B1261">
        <f t="shared" si="39"/>
        <v>5820</v>
      </c>
      <c r="D1261" s="1"/>
      <c r="E1261" s="1" t="s">
        <v>139</v>
      </c>
      <c r="F1261" s="1">
        <v>90</v>
      </c>
      <c r="G1261" s="1">
        <v>5</v>
      </c>
      <c r="H1261" s="1">
        <v>75.2</v>
      </c>
      <c r="I1261" s="1"/>
      <c r="J1261" s="1"/>
    </row>
    <row r="1262" spans="1:10" x14ac:dyDescent="0.3">
      <c r="A1262" t="str">
        <f t="shared" si="38"/>
        <v>PPG</v>
      </c>
      <c r="B1262">
        <f t="shared" si="39"/>
        <v>5320</v>
      </c>
      <c r="D1262" s="1"/>
      <c r="E1262" s="1" t="s">
        <v>242</v>
      </c>
      <c r="F1262" s="1">
        <v>91</v>
      </c>
      <c r="G1262" s="1">
        <v>5</v>
      </c>
      <c r="H1262" s="1">
        <v>75.099999999999994</v>
      </c>
      <c r="I1262" s="1"/>
      <c r="J1262" s="1"/>
    </row>
    <row r="1263" spans="1:10" x14ac:dyDescent="0.3">
      <c r="A1263" t="str">
        <f t="shared" si="38"/>
        <v>PPG</v>
      </c>
      <c r="B1263">
        <f t="shared" si="39"/>
        <v>18620</v>
      </c>
      <c r="D1263" s="1"/>
      <c r="E1263" s="1" t="s">
        <v>425</v>
      </c>
      <c r="F1263" s="1">
        <v>92</v>
      </c>
      <c r="G1263" s="1">
        <v>5</v>
      </c>
      <c r="H1263" s="1">
        <v>75</v>
      </c>
      <c r="I1263" s="1"/>
      <c r="J1263" s="1"/>
    </row>
    <row r="1264" spans="1:10" x14ac:dyDescent="0.3">
      <c r="A1264" t="str">
        <f t="shared" si="38"/>
        <v>PPG</v>
      </c>
      <c r="B1264">
        <f t="shared" si="39"/>
        <v>2820</v>
      </c>
      <c r="D1264" s="1"/>
      <c r="E1264" s="1" t="s">
        <v>106</v>
      </c>
      <c r="F1264" s="1">
        <v>97</v>
      </c>
      <c r="G1264" s="1">
        <v>4</v>
      </c>
      <c r="H1264" s="1">
        <v>74.900000000000006</v>
      </c>
      <c r="I1264" s="1"/>
      <c r="J1264" s="1"/>
    </row>
    <row r="1265" spans="1:10" x14ac:dyDescent="0.3">
      <c r="A1265" t="str">
        <f t="shared" si="38"/>
        <v>PPG</v>
      </c>
      <c r="B1265">
        <f t="shared" si="39"/>
        <v>9520</v>
      </c>
      <c r="D1265" s="1"/>
      <c r="E1265" s="1" t="s">
        <v>85</v>
      </c>
      <c r="F1265" s="1">
        <v>99</v>
      </c>
      <c r="G1265" s="1">
        <v>3</v>
      </c>
      <c r="H1265" s="1">
        <v>74.8</v>
      </c>
      <c r="I1265" s="1"/>
      <c r="J1265" s="1"/>
    </row>
    <row r="1266" spans="1:10" x14ac:dyDescent="0.3">
      <c r="A1266" t="str">
        <f t="shared" si="38"/>
        <v>PPG</v>
      </c>
      <c r="B1266">
        <f t="shared" si="39"/>
        <v>9420</v>
      </c>
      <c r="D1266" s="1"/>
      <c r="E1266" s="1" t="s">
        <v>264</v>
      </c>
      <c r="F1266" s="1">
        <v>102</v>
      </c>
      <c r="G1266" s="1">
        <v>2</v>
      </c>
      <c r="H1266" s="1">
        <v>74.7</v>
      </c>
      <c r="I1266" s="1"/>
      <c r="J1266" s="1"/>
    </row>
    <row r="1267" spans="1:10" x14ac:dyDescent="0.3">
      <c r="A1267" t="str">
        <f t="shared" si="38"/>
        <v>PPG</v>
      </c>
      <c r="B1267">
        <f t="shared" si="39"/>
        <v>5520</v>
      </c>
      <c r="D1267" s="1"/>
      <c r="E1267" s="1" t="s">
        <v>86</v>
      </c>
      <c r="F1267" s="1">
        <v>110</v>
      </c>
      <c r="G1267" s="1">
        <v>3</v>
      </c>
      <c r="H1267" s="1">
        <v>74.5</v>
      </c>
      <c r="I1267" s="1"/>
      <c r="J1267" s="1"/>
    </row>
    <row r="1268" spans="1:10" x14ac:dyDescent="0.3">
      <c r="A1268" t="str">
        <f t="shared" si="38"/>
        <v>PPG</v>
      </c>
      <c r="B1268">
        <f t="shared" si="39"/>
        <v>18720</v>
      </c>
      <c r="D1268" s="1"/>
      <c r="E1268" s="1" t="s">
        <v>427</v>
      </c>
      <c r="F1268" s="1">
        <v>111</v>
      </c>
      <c r="G1268" s="1">
        <v>2</v>
      </c>
      <c r="H1268" s="1">
        <v>74.400000000000006</v>
      </c>
      <c r="I1268" s="1"/>
      <c r="J1268" s="1"/>
    </row>
    <row r="1269" spans="1:10" x14ac:dyDescent="0.3">
      <c r="A1269" t="str">
        <f t="shared" si="38"/>
        <v>PPG</v>
      </c>
      <c r="B1269">
        <f t="shared" si="39"/>
        <v>4320</v>
      </c>
      <c r="D1269" s="1"/>
      <c r="E1269" s="1" t="s">
        <v>125</v>
      </c>
      <c r="F1269" s="1">
        <v>113</v>
      </c>
      <c r="G1269" s="1">
        <v>3</v>
      </c>
      <c r="H1269" s="1">
        <v>74.3</v>
      </c>
      <c r="I1269" s="1"/>
      <c r="J1269" s="1"/>
    </row>
    <row r="1270" spans="1:10" x14ac:dyDescent="0.3">
      <c r="A1270" t="str">
        <f t="shared" si="38"/>
        <v>PPG</v>
      </c>
      <c r="B1270">
        <f t="shared" si="39"/>
        <v>9020</v>
      </c>
      <c r="D1270" s="1"/>
      <c r="E1270" s="1" t="s">
        <v>261</v>
      </c>
      <c r="F1270" s="1">
        <v>116</v>
      </c>
      <c r="G1270" s="1">
        <v>2</v>
      </c>
      <c r="H1270" s="1">
        <v>74.099999999999994</v>
      </c>
      <c r="I1270" s="1"/>
      <c r="J1270" s="1"/>
    </row>
    <row r="1271" spans="1:10" x14ac:dyDescent="0.3">
      <c r="A1271" t="str">
        <f t="shared" si="38"/>
        <v>PPG</v>
      </c>
      <c r="B1271">
        <f t="shared" si="39"/>
        <v>8120</v>
      </c>
      <c r="D1271" s="1"/>
      <c r="E1271" s="1" t="s">
        <v>256</v>
      </c>
      <c r="F1271" s="1">
        <v>119</v>
      </c>
      <c r="G1271" s="1">
        <v>4</v>
      </c>
      <c r="H1271" s="1">
        <v>74.099999999999994</v>
      </c>
      <c r="I1271" s="1"/>
      <c r="J1271" s="1"/>
    </row>
    <row r="1272" spans="1:10" x14ac:dyDescent="0.3">
      <c r="A1272" t="str">
        <f t="shared" si="38"/>
        <v>PPG</v>
      </c>
      <c r="B1272">
        <f t="shared" si="39"/>
        <v>12020</v>
      </c>
      <c r="D1272" s="1"/>
      <c r="E1272" s="1" t="s">
        <v>135</v>
      </c>
      <c r="F1272" s="1">
        <v>120</v>
      </c>
      <c r="G1272" s="1">
        <v>3</v>
      </c>
      <c r="H1272" s="1">
        <v>73.900000000000006</v>
      </c>
      <c r="I1272" s="1"/>
      <c r="J1272" s="1"/>
    </row>
    <row r="1273" spans="1:10" x14ac:dyDescent="0.3">
      <c r="A1273" t="str">
        <f t="shared" si="38"/>
        <v>PPG</v>
      </c>
      <c r="B1273">
        <f t="shared" si="39"/>
        <v>3620</v>
      </c>
      <c r="D1273" s="1"/>
      <c r="E1273" s="1" t="s">
        <v>129</v>
      </c>
      <c r="F1273" s="1">
        <v>146</v>
      </c>
      <c r="G1273" s="1">
        <v>5</v>
      </c>
      <c r="H1273" s="1">
        <v>72.8</v>
      </c>
      <c r="I1273" s="1"/>
      <c r="J1273" s="1"/>
    </row>
    <row r="1274" spans="1:10" x14ac:dyDescent="0.3">
      <c r="A1274" t="str">
        <f t="shared" si="38"/>
        <v>PPG</v>
      </c>
      <c r="B1274">
        <f t="shared" si="39"/>
        <v>4520</v>
      </c>
      <c r="D1274" s="1"/>
      <c r="E1274" s="1" t="s">
        <v>84</v>
      </c>
      <c r="F1274" s="1">
        <v>147</v>
      </c>
      <c r="G1274" s="1">
        <v>6</v>
      </c>
      <c r="H1274" s="1">
        <v>72.8</v>
      </c>
      <c r="I1274" s="1"/>
      <c r="J1274" s="1"/>
    </row>
    <row r="1275" spans="1:10" x14ac:dyDescent="0.3">
      <c r="A1275" t="str">
        <f t="shared" si="38"/>
        <v>PPG</v>
      </c>
      <c r="B1275">
        <f t="shared" si="39"/>
        <v>7920</v>
      </c>
      <c r="D1275" s="1"/>
      <c r="E1275" s="1" t="s">
        <v>103</v>
      </c>
      <c r="F1275" s="1">
        <v>148</v>
      </c>
      <c r="G1275" s="1">
        <v>4</v>
      </c>
      <c r="H1275" s="1">
        <v>72.7</v>
      </c>
      <c r="I1275" s="1"/>
      <c r="J1275" s="1"/>
    </row>
    <row r="1276" spans="1:10" x14ac:dyDescent="0.3">
      <c r="A1276" t="str">
        <f t="shared" si="38"/>
        <v>PPG</v>
      </c>
      <c r="B1276">
        <f t="shared" si="39"/>
        <v>3020</v>
      </c>
      <c r="D1276" s="1"/>
      <c r="E1276" s="1" t="s">
        <v>89</v>
      </c>
      <c r="F1276" s="1">
        <v>149</v>
      </c>
      <c r="G1276" s="1">
        <v>5</v>
      </c>
      <c r="H1276" s="1">
        <v>72.7</v>
      </c>
      <c r="I1276" s="1"/>
      <c r="J1276" s="1"/>
    </row>
    <row r="1277" spans="1:10" x14ac:dyDescent="0.3">
      <c r="A1277" t="str">
        <f t="shared" si="38"/>
        <v>PPG</v>
      </c>
      <c r="B1277">
        <f t="shared" si="39"/>
        <v>4620</v>
      </c>
      <c r="D1277" s="1"/>
      <c r="E1277" s="1" t="s">
        <v>101</v>
      </c>
      <c r="F1277" s="1">
        <v>151</v>
      </c>
      <c r="G1277" s="1">
        <v>4</v>
      </c>
      <c r="H1277" s="1">
        <v>72.599999999999994</v>
      </c>
      <c r="I1277" s="1"/>
      <c r="J1277" s="1"/>
    </row>
    <row r="1278" spans="1:10" x14ac:dyDescent="0.3">
      <c r="A1278" t="str">
        <f t="shared" si="38"/>
        <v>PPG</v>
      </c>
      <c r="B1278">
        <f t="shared" si="39"/>
        <v>2420</v>
      </c>
      <c r="D1278" s="1"/>
      <c r="E1278" s="1" t="s">
        <v>330</v>
      </c>
      <c r="F1278" s="1">
        <v>156</v>
      </c>
      <c r="G1278" s="1">
        <v>3</v>
      </c>
      <c r="H1278" s="1">
        <v>72.400000000000006</v>
      </c>
      <c r="I1278" s="1"/>
      <c r="J1278" s="1"/>
    </row>
    <row r="1279" spans="1:10" x14ac:dyDescent="0.3">
      <c r="A1279" t="str">
        <f t="shared" si="38"/>
        <v>PPG</v>
      </c>
      <c r="B1279">
        <f t="shared" si="39"/>
        <v>14320</v>
      </c>
      <c r="D1279" s="1"/>
      <c r="E1279" s="1" t="s">
        <v>391</v>
      </c>
      <c r="F1279" s="1">
        <v>158</v>
      </c>
      <c r="G1279" s="1">
        <v>7</v>
      </c>
      <c r="H1279" s="1">
        <v>72.2</v>
      </c>
      <c r="I1279" s="1"/>
      <c r="J1279" s="1"/>
    </row>
    <row r="1280" spans="1:10" x14ac:dyDescent="0.3">
      <c r="A1280" t="str">
        <f t="shared" si="38"/>
        <v>PPG</v>
      </c>
      <c r="B1280">
        <f t="shared" si="39"/>
        <v>2120</v>
      </c>
      <c r="D1280" s="1"/>
      <c r="E1280" s="1" t="s">
        <v>136</v>
      </c>
      <c r="F1280" s="1">
        <v>163</v>
      </c>
      <c r="G1280" s="1">
        <v>6</v>
      </c>
      <c r="H1280" s="1">
        <v>72.099999999999994</v>
      </c>
      <c r="I1280" s="1"/>
      <c r="J1280" s="1"/>
    </row>
    <row r="1281" spans="1:10" x14ac:dyDescent="0.3">
      <c r="A1281" t="str">
        <f t="shared" si="38"/>
        <v>PPG</v>
      </c>
      <c r="B1281">
        <f t="shared" si="39"/>
        <v>5420</v>
      </c>
      <c r="D1281" s="1"/>
      <c r="E1281" s="1" t="s">
        <v>94</v>
      </c>
      <c r="F1281" s="1">
        <v>165</v>
      </c>
      <c r="G1281" s="1">
        <v>9</v>
      </c>
      <c r="H1281" s="1">
        <v>72</v>
      </c>
      <c r="I1281" s="1"/>
      <c r="J1281" s="1"/>
    </row>
    <row r="1282" spans="1:10" x14ac:dyDescent="0.3">
      <c r="A1282" t="str">
        <f t="shared" ref="A1282:A1345" si="40">IF(NOT(D1282=""),INDEX(statAbbr,MATCH(D1282,statOfficial,0),1),A1281)</f>
        <v>PPG</v>
      </c>
      <c r="B1282">
        <f t="shared" ref="B1282:B1345" si="41">INDEX(statID,MATCH(A1282,statAbbr,0),1)+INDEX(teamID,MATCH(E1282,teamRawName,0))</f>
        <v>18920</v>
      </c>
      <c r="D1282" s="1"/>
      <c r="E1282" s="1" t="s">
        <v>422</v>
      </c>
      <c r="F1282" s="1">
        <v>175</v>
      </c>
      <c r="G1282" s="1">
        <v>5</v>
      </c>
      <c r="H1282" s="1">
        <v>71.7</v>
      </c>
      <c r="I1282" s="1"/>
      <c r="J1282" s="1"/>
    </row>
    <row r="1283" spans="1:10" x14ac:dyDescent="0.3">
      <c r="A1283" t="str">
        <f t="shared" si="40"/>
        <v>PPG</v>
      </c>
      <c r="B1283">
        <f t="shared" si="41"/>
        <v>1220</v>
      </c>
      <c r="D1283" s="1"/>
      <c r="E1283" s="1" t="s">
        <v>130</v>
      </c>
      <c r="F1283" s="1">
        <v>182</v>
      </c>
      <c r="G1283" s="1">
        <v>7</v>
      </c>
      <c r="H1283" s="1">
        <v>71.2</v>
      </c>
      <c r="I1283" s="1"/>
      <c r="J1283" s="1"/>
    </row>
    <row r="1284" spans="1:10" x14ac:dyDescent="0.3">
      <c r="A1284" t="str">
        <f t="shared" si="40"/>
        <v>PPG</v>
      </c>
      <c r="B1284">
        <f t="shared" si="41"/>
        <v>14520</v>
      </c>
      <c r="D1284" s="1"/>
      <c r="E1284" s="1" t="s">
        <v>402</v>
      </c>
      <c r="F1284" s="1">
        <v>183</v>
      </c>
      <c r="G1284" s="1">
        <v>4</v>
      </c>
      <c r="H1284" s="1">
        <v>71.099999999999994</v>
      </c>
      <c r="I1284" s="1"/>
      <c r="J1284" s="1"/>
    </row>
    <row r="1285" spans="1:10" x14ac:dyDescent="0.3">
      <c r="A1285" t="str">
        <f t="shared" si="40"/>
        <v>PPG</v>
      </c>
      <c r="B1285">
        <f t="shared" si="41"/>
        <v>920</v>
      </c>
      <c r="D1285" s="1"/>
      <c r="E1285" s="1" t="s">
        <v>90</v>
      </c>
      <c r="F1285" s="1">
        <v>187</v>
      </c>
      <c r="G1285" s="1">
        <v>8</v>
      </c>
      <c r="H1285" s="1">
        <v>70.900000000000006</v>
      </c>
      <c r="I1285" s="1"/>
      <c r="J1285" s="1"/>
    </row>
    <row r="1286" spans="1:10" x14ac:dyDescent="0.3">
      <c r="A1286" t="str">
        <f t="shared" si="40"/>
        <v>PPG</v>
      </c>
      <c r="B1286">
        <f t="shared" si="41"/>
        <v>12220</v>
      </c>
      <c r="D1286" s="1"/>
      <c r="E1286" s="1" t="s">
        <v>284</v>
      </c>
      <c r="F1286" s="1">
        <v>188</v>
      </c>
      <c r="G1286" s="1">
        <v>6</v>
      </c>
      <c r="H1286" s="1">
        <v>70.900000000000006</v>
      </c>
      <c r="I1286" s="1"/>
      <c r="J1286" s="1"/>
    </row>
    <row r="1287" spans="1:10" x14ac:dyDescent="0.3">
      <c r="A1287" t="str">
        <f t="shared" si="40"/>
        <v>PPG</v>
      </c>
      <c r="B1287">
        <f t="shared" si="41"/>
        <v>3520</v>
      </c>
      <c r="D1287" s="1"/>
      <c r="E1287" s="1" t="s">
        <v>87</v>
      </c>
      <c r="F1287" s="1">
        <v>190</v>
      </c>
      <c r="G1287" s="1">
        <v>9</v>
      </c>
      <c r="H1287" s="1">
        <v>70.8</v>
      </c>
      <c r="I1287" s="1"/>
      <c r="J1287" s="1"/>
    </row>
    <row r="1288" spans="1:10" x14ac:dyDescent="0.3">
      <c r="A1288" t="str">
        <f t="shared" si="40"/>
        <v>PPG</v>
      </c>
      <c r="B1288">
        <f t="shared" si="41"/>
        <v>2520</v>
      </c>
      <c r="D1288" s="1"/>
      <c r="E1288" s="1" t="s">
        <v>92</v>
      </c>
      <c r="F1288" s="1">
        <v>194</v>
      </c>
      <c r="G1288" s="1">
        <v>9</v>
      </c>
      <c r="H1288" s="1">
        <v>70.7</v>
      </c>
      <c r="I1288" s="1"/>
      <c r="J1288" s="1"/>
    </row>
    <row r="1289" spans="1:10" x14ac:dyDescent="0.3">
      <c r="A1289" t="str">
        <f t="shared" si="40"/>
        <v>PPG</v>
      </c>
      <c r="B1289">
        <f t="shared" si="41"/>
        <v>11120</v>
      </c>
      <c r="D1289" s="1"/>
      <c r="E1289" s="1" t="s">
        <v>277</v>
      </c>
      <c r="F1289" s="1">
        <v>217</v>
      </c>
      <c r="G1289" s="1">
        <v>9</v>
      </c>
      <c r="H1289" s="1">
        <v>69.7</v>
      </c>
      <c r="I1289" s="1"/>
      <c r="J1289" s="1"/>
    </row>
    <row r="1290" spans="1:10" x14ac:dyDescent="0.3">
      <c r="A1290" t="str">
        <f t="shared" si="40"/>
        <v>PPG</v>
      </c>
      <c r="B1290">
        <f t="shared" si="41"/>
        <v>11820</v>
      </c>
      <c r="D1290" s="1"/>
      <c r="E1290" s="1" t="s">
        <v>281</v>
      </c>
      <c r="F1290" s="1">
        <v>234</v>
      </c>
      <c r="G1290" s="1">
        <v>3</v>
      </c>
      <c r="H1290" s="1">
        <v>69.2</v>
      </c>
      <c r="I1290" s="1"/>
      <c r="J1290" s="1"/>
    </row>
    <row r="1291" spans="1:10" x14ac:dyDescent="0.3">
      <c r="A1291" t="str">
        <f t="shared" si="40"/>
        <v>PPG</v>
      </c>
      <c r="B1291">
        <f t="shared" si="41"/>
        <v>2620</v>
      </c>
      <c r="D1291" s="1"/>
      <c r="E1291" s="1" t="s">
        <v>80</v>
      </c>
      <c r="F1291" s="1">
        <v>269</v>
      </c>
      <c r="G1291" s="1">
        <v>13</v>
      </c>
      <c r="H1291" s="1">
        <v>67.8</v>
      </c>
      <c r="I1291" s="1"/>
      <c r="J1291" s="1"/>
    </row>
    <row r="1292" spans="1:10" x14ac:dyDescent="0.3">
      <c r="A1292" t="str">
        <f t="shared" si="40"/>
        <v>PPG</v>
      </c>
      <c r="B1292">
        <f t="shared" si="41"/>
        <v>18820</v>
      </c>
      <c r="D1292" s="1"/>
      <c r="E1292" s="1" t="s">
        <v>424</v>
      </c>
      <c r="F1292" s="1">
        <v>270</v>
      </c>
      <c r="G1292" s="1">
        <v>9</v>
      </c>
      <c r="H1292" s="1">
        <v>67.8</v>
      </c>
      <c r="I1292" s="1"/>
      <c r="J1292" s="1"/>
    </row>
    <row r="1293" spans="1:10" x14ac:dyDescent="0.3">
      <c r="A1293" t="str">
        <f t="shared" si="40"/>
        <v>PPG</v>
      </c>
      <c r="B1293">
        <f t="shared" si="41"/>
        <v>6220</v>
      </c>
      <c r="D1293" s="1"/>
      <c r="E1293" s="1" t="s">
        <v>81</v>
      </c>
      <c r="F1293" s="1">
        <v>272</v>
      </c>
      <c r="G1293" s="1">
        <v>12</v>
      </c>
      <c r="H1293" s="1">
        <v>67.7</v>
      </c>
      <c r="I1293" s="1"/>
      <c r="J1293" s="1"/>
    </row>
    <row r="1294" spans="1:10" x14ac:dyDescent="0.3">
      <c r="A1294" t="str">
        <f t="shared" si="40"/>
        <v>PPG</v>
      </c>
      <c r="B1294">
        <f t="shared" si="41"/>
        <v>620</v>
      </c>
      <c r="D1294" s="1"/>
      <c r="E1294" s="1" t="s">
        <v>100</v>
      </c>
      <c r="F1294" s="1">
        <v>276</v>
      </c>
      <c r="G1294" s="1">
        <v>11</v>
      </c>
      <c r="H1294" s="1">
        <v>67.599999999999994</v>
      </c>
      <c r="I1294" s="1"/>
      <c r="J1294" s="1"/>
    </row>
    <row r="1295" spans="1:10" x14ac:dyDescent="0.3">
      <c r="A1295" t="str">
        <f t="shared" si="40"/>
        <v>PPG</v>
      </c>
      <c r="B1295">
        <f t="shared" si="41"/>
        <v>1620</v>
      </c>
      <c r="D1295" s="1"/>
      <c r="E1295" s="1" t="s">
        <v>137</v>
      </c>
      <c r="F1295" s="1">
        <v>313</v>
      </c>
      <c r="G1295" s="1">
        <v>13</v>
      </c>
      <c r="H1295" s="1">
        <v>65.7</v>
      </c>
      <c r="I1295" s="1"/>
      <c r="J1295" s="1"/>
    </row>
    <row r="1296" spans="1:10" x14ac:dyDescent="0.3">
      <c r="A1296" t="str">
        <f t="shared" si="40"/>
        <v>SPG</v>
      </c>
      <c r="B1296">
        <f t="shared" si="41"/>
        <v>14124</v>
      </c>
      <c r="D1296" s="1" t="s">
        <v>449</v>
      </c>
      <c r="E1296" s="1" t="s">
        <v>299</v>
      </c>
      <c r="F1296" s="1">
        <v>2</v>
      </c>
      <c r="G1296" s="1">
        <v>1</v>
      </c>
      <c r="H1296" s="1">
        <v>10.199999999999999</v>
      </c>
      <c r="I1296" s="1" t="s">
        <v>450</v>
      </c>
      <c r="J1296" s="1">
        <v>11.1</v>
      </c>
    </row>
    <row r="1297" spans="1:10" x14ac:dyDescent="0.3">
      <c r="A1297" t="str">
        <f t="shared" si="40"/>
        <v>SPG</v>
      </c>
      <c r="B1297">
        <f t="shared" si="41"/>
        <v>18824</v>
      </c>
      <c r="D1297" s="1"/>
      <c r="E1297" s="1" t="s">
        <v>424</v>
      </c>
      <c r="F1297" s="1">
        <v>7</v>
      </c>
      <c r="G1297" s="1">
        <v>1</v>
      </c>
      <c r="H1297" s="1">
        <v>9.4</v>
      </c>
      <c r="I1297" s="1"/>
      <c r="J1297" s="1"/>
    </row>
    <row r="1298" spans="1:10" x14ac:dyDescent="0.3">
      <c r="A1298" t="str">
        <f t="shared" si="40"/>
        <v>SPG</v>
      </c>
      <c r="B1298">
        <f t="shared" si="41"/>
        <v>3324</v>
      </c>
      <c r="D1298" s="1"/>
      <c r="E1298" s="1" t="s">
        <v>91</v>
      </c>
      <c r="F1298" s="1">
        <v>8</v>
      </c>
      <c r="G1298" s="1">
        <v>1</v>
      </c>
      <c r="H1298" s="1">
        <v>9.1999999999999993</v>
      </c>
      <c r="I1298" s="1"/>
      <c r="J1298" s="1"/>
    </row>
    <row r="1299" spans="1:10" x14ac:dyDescent="0.3">
      <c r="A1299" t="str">
        <f t="shared" si="40"/>
        <v>SPG</v>
      </c>
      <c r="B1299">
        <f t="shared" si="41"/>
        <v>12224</v>
      </c>
      <c r="D1299" s="1"/>
      <c r="E1299" s="1" t="s">
        <v>284</v>
      </c>
      <c r="F1299" s="1">
        <v>14</v>
      </c>
      <c r="G1299" s="1">
        <v>1</v>
      </c>
      <c r="H1299" s="1">
        <v>8.9</v>
      </c>
      <c r="I1299" s="1"/>
      <c r="J1299" s="1"/>
    </row>
    <row r="1300" spans="1:10" x14ac:dyDescent="0.3">
      <c r="A1300" t="str">
        <f t="shared" si="40"/>
        <v>SPG</v>
      </c>
      <c r="B1300">
        <f t="shared" si="41"/>
        <v>13424</v>
      </c>
      <c r="D1300" s="1"/>
      <c r="E1300" s="1" t="s">
        <v>400</v>
      </c>
      <c r="F1300" s="1">
        <v>16</v>
      </c>
      <c r="G1300" s="1">
        <v>1</v>
      </c>
      <c r="H1300" s="1">
        <v>8.8000000000000007</v>
      </c>
      <c r="I1300" s="1"/>
      <c r="J1300" s="1"/>
    </row>
    <row r="1301" spans="1:10" x14ac:dyDescent="0.3">
      <c r="A1301" t="str">
        <f t="shared" si="40"/>
        <v>SPG</v>
      </c>
      <c r="B1301">
        <f t="shared" si="41"/>
        <v>3924</v>
      </c>
      <c r="D1301" s="1"/>
      <c r="E1301" s="1" t="s">
        <v>88</v>
      </c>
      <c r="F1301" s="1">
        <v>17</v>
      </c>
      <c r="G1301" s="1">
        <v>1</v>
      </c>
      <c r="H1301" s="1">
        <v>8.8000000000000007</v>
      </c>
      <c r="I1301" s="1"/>
      <c r="J1301" s="1"/>
    </row>
    <row r="1302" spans="1:10" x14ac:dyDescent="0.3">
      <c r="A1302" t="str">
        <f t="shared" si="40"/>
        <v>SPG</v>
      </c>
      <c r="B1302">
        <f t="shared" si="41"/>
        <v>624</v>
      </c>
      <c r="D1302" s="1"/>
      <c r="E1302" s="1" t="s">
        <v>100</v>
      </c>
      <c r="F1302" s="1">
        <v>19</v>
      </c>
      <c r="G1302" s="1">
        <v>2</v>
      </c>
      <c r="H1302" s="1">
        <v>8.8000000000000007</v>
      </c>
      <c r="I1302" s="1"/>
      <c r="J1302" s="1"/>
    </row>
    <row r="1303" spans="1:10" x14ac:dyDescent="0.3">
      <c r="A1303" t="str">
        <f t="shared" si="40"/>
        <v>SPG</v>
      </c>
      <c r="B1303">
        <f t="shared" si="41"/>
        <v>1624</v>
      </c>
      <c r="D1303" s="1"/>
      <c r="E1303" s="1" t="s">
        <v>137</v>
      </c>
      <c r="F1303" s="1">
        <v>23</v>
      </c>
      <c r="G1303" s="1">
        <v>2</v>
      </c>
      <c r="H1303" s="1">
        <v>8.6</v>
      </c>
      <c r="I1303" s="1"/>
      <c r="J1303" s="1"/>
    </row>
    <row r="1304" spans="1:10" x14ac:dyDescent="0.3">
      <c r="A1304" t="str">
        <f t="shared" si="40"/>
        <v>SPG</v>
      </c>
      <c r="B1304">
        <f t="shared" si="41"/>
        <v>6624</v>
      </c>
      <c r="D1304" s="1"/>
      <c r="E1304" s="1" t="s">
        <v>247</v>
      </c>
      <c r="F1304" s="1">
        <v>24</v>
      </c>
      <c r="G1304" s="1">
        <v>1</v>
      </c>
      <c r="H1304" s="1">
        <v>8.6</v>
      </c>
      <c r="I1304" s="1"/>
      <c r="J1304" s="1"/>
    </row>
    <row r="1305" spans="1:10" x14ac:dyDescent="0.3">
      <c r="A1305" t="str">
        <f t="shared" si="40"/>
        <v>SPG</v>
      </c>
      <c r="B1305">
        <f t="shared" si="41"/>
        <v>18324</v>
      </c>
      <c r="D1305" s="1"/>
      <c r="E1305" s="1" t="s">
        <v>423</v>
      </c>
      <c r="F1305" s="1">
        <v>25</v>
      </c>
      <c r="G1305" s="1">
        <v>2</v>
      </c>
      <c r="H1305" s="1">
        <v>8.5</v>
      </c>
      <c r="I1305" s="1"/>
      <c r="J1305" s="1"/>
    </row>
    <row r="1306" spans="1:10" x14ac:dyDescent="0.3">
      <c r="A1306" t="str">
        <f t="shared" si="40"/>
        <v>SPG</v>
      </c>
      <c r="B1306">
        <f t="shared" si="41"/>
        <v>8124</v>
      </c>
      <c r="D1306" s="1"/>
      <c r="E1306" s="1" t="s">
        <v>256</v>
      </c>
      <c r="F1306" s="1">
        <v>28</v>
      </c>
      <c r="G1306" s="1">
        <v>3</v>
      </c>
      <c r="H1306" s="1">
        <v>8.4</v>
      </c>
      <c r="I1306" s="1"/>
      <c r="J1306" s="1"/>
    </row>
    <row r="1307" spans="1:10" x14ac:dyDescent="0.3">
      <c r="A1307" t="str">
        <f t="shared" si="40"/>
        <v>SPG</v>
      </c>
      <c r="B1307">
        <f t="shared" si="41"/>
        <v>9024</v>
      </c>
      <c r="D1307" s="1"/>
      <c r="E1307" s="1" t="s">
        <v>261</v>
      </c>
      <c r="F1307" s="1">
        <v>30</v>
      </c>
      <c r="G1307" s="1">
        <v>1</v>
      </c>
      <c r="H1307" s="1">
        <v>8.4</v>
      </c>
      <c r="I1307" s="1"/>
      <c r="J1307" s="1"/>
    </row>
    <row r="1308" spans="1:10" x14ac:dyDescent="0.3">
      <c r="A1308" t="str">
        <f t="shared" si="40"/>
        <v>SPG</v>
      </c>
      <c r="B1308">
        <f t="shared" si="41"/>
        <v>3524</v>
      </c>
      <c r="D1308" s="1"/>
      <c r="E1308" s="1" t="s">
        <v>87</v>
      </c>
      <c r="F1308" s="1">
        <v>34</v>
      </c>
      <c r="G1308" s="1">
        <v>4</v>
      </c>
      <c r="H1308" s="1">
        <v>8.3000000000000007</v>
      </c>
      <c r="I1308" s="1"/>
      <c r="J1308" s="1"/>
    </row>
    <row r="1309" spans="1:10" x14ac:dyDescent="0.3">
      <c r="A1309" t="str">
        <f t="shared" si="40"/>
        <v>SPG</v>
      </c>
      <c r="B1309">
        <f t="shared" si="41"/>
        <v>5624</v>
      </c>
      <c r="D1309" s="1"/>
      <c r="E1309" s="1" t="s">
        <v>62</v>
      </c>
      <c r="F1309" s="1">
        <v>43</v>
      </c>
      <c r="G1309" s="1">
        <v>3</v>
      </c>
      <c r="H1309" s="1">
        <v>8</v>
      </c>
      <c r="I1309" s="1"/>
      <c r="J1309" s="1"/>
    </row>
    <row r="1310" spans="1:10" x14ac:dyDescent="0.3">
      <c r="A1310" t="str">
        <f t="shared" si="40"/>
        <v>SPG</v>
      </c>
      <c r="B1310">
        <f t="shared" si="41"/>
        <v>724</v>
      </c>
      <c r="D1310" s="1"/>
      <c r="E1310" s="1" t="s">
        <v>319</v>
      </c>
      <c r="F1310" s="1">
        <v>44</v>
      </c>
      <c r="G1310" s="1">
        <v>4</v>
      </c>
      <c r="H1310" s="1">
        <v>8</v>
      </c>
      <c r="I1310" s="1"/>
      <c r="J1310" s="1"/>
    </row>
    <row r="1311" spans="1:10" x14ac:dyDescent="0.3">
      <c r="A1311" t="str">
        <f t="shared" si="40"/>
        <v>SPG</v>
      </c>
      <c r="B1311">
        <f t="shared" si="41"/>
        <v>18424</v>
      </c>
      <c r="D1311" s="1"/>
      <c r="E1311" s="1" t="s">
        <v>417</v>
      </c>
      <c r="F1311" s="1">
        <v>47</v>
      </c>
      <c r="G1311" s="1">
        <v>1</v>
      </c>
      <c r="H1311" s="1">
        <v>8</v>
      </c>
      <c r="I1311" s="1"/>
      <c r="J1311" s="1"/>
    </row>
    <row r="1312" spans="1:10" x14ac:dyDescent="0.3">
      <c r="A1312" t="str">
        <f t="shared" si="40"/>
        <v>SPG</v>
      </c>
      <c r="B1312">
        <f t="shared" si="41"/>
        <v>2824</v>
      </c>
      <c r="D1312" s="1"/>
      <c r="E1312" s="1" t="s">
        <v>106</v>
      </c>
      <c r="F1312" s="1">
        <v>50</v>
      </c>
      <c r="G1312" s="1">
        <v>3</v>
      </c>
      <c r="H1312" s="1">
        <v>7.9</v>
      </c>
      <c r="I1312" s="1"/>
      <c r="J1312" s="1"/>
    </row>
    <row r="1313" spans="1:10" x14ac:dyDescent="0.3">
      <c r="A1313" t="str">
        <f t="shared" si="40"/>
        <v>SPG</v>
      </c>
      <c r="B1313">
        <f t="shared" si="41"/>
        <v>18624</v>
      </c>
      <c r="D1313" s="1"/>
      <c r="E1313" s="1" t="s">
        <v>425</v>
      </c>
      <c r="F1313" s="1">
        <v>51</v>
      </c>
      <c r="G1313" s="1">
        <v>2</v>
      </c>
      <c r="H1313" s="1">
        <v>7.9</v>
      </c>
      <c r="I1313" s="1"/>
      <c r="J1313" s="1"/>
    </row>
    <row r="1314" spans="1:10" x14ac:dyDescent="0.3">
      <c r="A1314" t="str">
        <f t="shared" si="40"/>
        <v>SPG</v>
      </c>
      <c r="B1314">
        <f t="shared" si="41"/>
        <v>6724</v>
      </c>
      <c r="D1314" s="1"/>
      <c r="E1314" s="1" t="s">
        <v>118</v>
      </c>
      <c r="F1314" s="1">
        <v>53</v>
      </c>
      <c r="G1314" s="1">
        <v>5</v>
      </c>
      <c r="H1314" s="1">
        <v>7.9</v>
      </c>
      <c r="I1314" s="1"/>
      <c r="J1314" s="1"/>
    </row>
    <row r="1315" spans="1:10" x14ac:dyDescent="0.3">
      <c r="A1315" t="str">
        <f t="shared" si="40"/>
        <v>SPG</v>
      </c>
      <c r="B1315">
        <f t="shared" si="41"/>
        <v>6224</v>
      </c>
      <c r="D1315" s="1"/>
      <c r="E1315" s="1" t="s">
        <v>81</v>
      </c>
      <c r="F1315" s="1">
        <v>54</v>
      </c>
      <c r="G1315" s="1">
        <v>2</v>
      </c>
      <c r="H1315" s="1">
        <v>7.9</v>
      </c>
      <c r="I1315" s="1"/>
      <c r="J1315" s="1"/>
    </row>
    <row r="1316" spans="1:10" x14ac:dyDescent="0.3">
      <c r="A1316" t="str">
        <f t="shared" si="40"/>
        <v>SPG</v>
      </c>
      <c r="B1316">
        <f t="shared" si="41"/>
        <v>1924</v>
      </c>
      <c r="D1316" s="1"/>
      <c r="E1316" s="1" t="s">
        <v>112</v>
      </c>
      <c r="F1316" s="1">
        <v>56</v>
      </c>
      <c r="G1316" s="1">
        <v>1</v>
      </c>
      <c r="H1316" s="1">
        <v>7.8</v>
      </c>
      <c r="I1316" s="1"/>
      <c r="J1316" s="1"/>
    </row>
    <row r="1317" spans="1:10" x14ac:dyDescent="0.3">
      <c r="A1317" t="str">
        <f t="shared" si="40"/>
        <v>SPG</v>
      </c>
      <c r="B1317">
        <f t="shared" si="41"/>
        <v>4524</v>
      </c>
      <c r="D1317" s="1"/>
      <c r="E1317" s="1" t="s">
        <v>84</v>
      </c>
      <c r="F1317" s="1">
        <v>57</v>
      </c>
      <c r="G1317" s="1">
        <v>5</v>
      </c>
      <c r="H1317" s="1">
        <v>7.7</v>
      </c>
      <c r="I1317" s="1"/>
      <c r="J1317" s="1"/>
    </row>
    <row r="1318" spans="1:10" x14ac:dyDescent="0.3">
      <c r="A1318" t="str">
        <f t="shared" si="40"/>
        <v>SPG</v>
      </c>
      <c r="B1318">
        <f t="shared" si="41"/>
        <v>8624</v>
      </c>
      <c r="D1318" s="1"/>
      <c r="E1318" s="1" t="s">
        <v>259</v>
      </c>
      <c r="F1318" s="1">
        <v>71</v>
      </c>
      <c r="G1318" s="1">
        <v>2</v>
      </c>
      <c r="H1318" s="1">
        <v>7.5</v>
      </c>
      <c r="I1318" s="1"/>
      <c r="J1318" s="1"/>
    </row>
    <row r="1319" spans="1:10" x14ac:dyDescent="0.3">
      <c r="A1319" t="str">
        <f t="shared" si="40"/>
        <v>SPG</v>
      </c>
      <c r="B1319">
        <f t="shared" si="41"/>
        <v>11524</v>
      </c>
      <c r="D1319" s="1"/>
      <c r="E1319" s="1" t="s">
        <v>97</v>
      </c>
      <c r="F1319" s="1">
        <v>78</v>
      </c>
      <c r="G1319" s="1">
        <v>3</v>
      </c>
      <c r="H1319" s="1">
        <v>7.4</v>
      </c>
      <c r="I1319" s="1"/>
      <c r="J1319" s="1"/>
    </row>
    <row r="1320" spans="1:10" x14ac:dyDescent="0.3">
      <c r="A1320" t="str">
        <f t="shared" si="40"/>
        <v>SPG</v>
      </c>
      <c r="B1320">
        <f t="shared" si="41"/>
        <v>124</v>
      </c>
      <c r="D1320" s="1"/>
      <c r="E1320" s="1" t="s">
        <v>312</v>
      </c>
      <c r="F1320" s="1">
        <v>83</v>
      </c>
      <c r="G1320" s="1">
        <v>3</v>
      </c>
      <c r="H1320" s="1">
        <v>7.3</v>
      </c>
      <c r="I1320" s="1"/>
      <c r="J1320" s="1"/>
    </row>
    <row r="1321" spans="1:10" x14ac:dyDescent="0.3">
      <c r="A1321" t="str">
        <f t="shared" si="40"/>
        <v>SPG</v>
      </c>
      <c r="B1321">
        <f t="shared" si="41"/>
        <v>4424</v>
      </c>
      <c r="D1321" s="1"/>
      <c r="E1321" s="1" t="s">
        <v>83</v>
      </c>
      <c r="F1321" s="1">
        <v>85</v>
      </c>
      <c r="G1321" s="1">
        <v>1</v>
      </c>
      <c r="H1321" s="1">
        <v>7.2</v>
      </c>
      <c r="I1321" s="1"/>
      <c r="J1321" s="1"/>
    </row>
    <row r="1322" spans="1:10" x14ac:dyDescent="0.3">
      <c r="A1322" t="str">
        <f t="shared" si="40"/>
        <v>SPG</v>
      </c>
      <c r="B1322">
        <f t="shared" si="41"/>
        <v>8824</v>
      </c>
      <c r="D1322" s="1"/>
      <c r="E1322" s="1" t="s">
        <v>141</v>
      </c>
      <c r="F1322" s="1">
        <v>92</v>
      </c>
      <c r="G1322" s="1">
        <v>6</v>
      </c>
      <c r="H1322" s="1">
        <v>7.2</v>
      </c>
      <c r="I1322" s="1"/>
      <c r="J1322" s="1"/>
    </row>
    <row r="1323" spans="1:10" x14ac:dyDescent="0.3">
      <c r="A1323" t="str">
        <f t="shared" si="40"/>
        <v>SPG</v>
      </c>
      <c r="B1323">
        <f t="shared" si="41"/>
        <v>19024</v>
      </c>
      <c r="D1323" s="1"/>
      <c r="E1323" s="1" t="s">
        <v>176</v>
      </c>
      <c r="F1323" s="1">
        <v>94</v>
      </c>
      <c r="G1323" s="1">
        <v>5</v>
      </c>
      <c r="H1323" s="1">
        <v>7.2</v>
      </c>
      <c r="I1323" s="1"/>
      <c r="J1323" s="1"/>
    </row>
    <row r="1324" spans="1:10" x14ac:dyDescent="0.3">
      <c r="A1324" t="str">
        <f t="shared" si="40"/>
        <v>SPG</v>
      </c>
      <c r="B1324">
        <f t="shared" si="41"/>
        <v>8424</v>
      </c>
      <c r="D1324" s="1"/>
      <c r="E1324" s="1" t="s">
        <v>109</v>
      </c>
      <c r="F1324" s="1">
        <v>102</v>
      </c>
      <c r="G1324" s="1">
        <v>3</v>
      </c>
      <c r="H1324" s="1">
        <v>7.1</v>
      </c>
      <c r="I1324" s="1"/>
      <c r="J1324" s="1"/>
    </row>
    <row r="1325" spans="1:10" x14ac:dyDescent="0.3">
      <c r="A1325" t="str">
        <f t="shared" si="40"/>
        <v>SPG</v>
      </c>
      <c r="B1325">
        <f t="shared" si="41"/>
        <v>14524</v>
      </c>
      <c r="D1325" s="1"/>
      <c r="E1325" s="1" t="s">
        <v>402</v>
      </c>
      <c r="F1325" s="1">
        <v>103</v>
      </c>
      <c r="G1325" s="1">
        <v>3</v>
      </c>
      <c r="H1325" s="1">
        <v>7.1</v>
      </c>
      <c r="I1325" s="1"/>
      <c r="J1325" s="1"/>
    </row>
    <row r="1326" spans="1:10" x14ac:dyDescent="0.3">
      <c r="A1326" t="str">
        <f t="shared" si="40"/>
        <v>SPG</v>
      </c>
      <c r="B1326">
        <f t="shared" si="41"/>
        <v>15224</v>
      </c>
      <c r="D1326" s="1"/>
      <c r="E1326" s="1" t="s">
        <v>426</v>
      </c>
      <c r="F1326" s="1">
        <v>112</v>
      </c>
      <c r="G1326" s="1">
        <v>3</v>
      </c>
      <c r="H1326" s="1">
        <v>7</v>
      </c>
      <c r="I1326" s="1"/>
      <c r="J1326" s="1"/>
    </row>
    <row r="1327" spans="1:10" x14ac:dyDescent="0.3">
      <c r="A1327" t="str">
        <f t="shared" si="40"/>
        <v>SPG</v>
      </c>
      <c r="B1327">
        <f t="shared" si="41"/>
        <v>4324</v>
      </c>
      <c r="D1327" s="1"/>
      <c r="E1327" s="1" t="s">
        <v>125</v>
      </c>
      <c r="F1327" s="1">
        <v>116</v>
      </c>
      <c r="G1327" s="1">
        <v>3</v>
      </c>
      <c r="H1327" s="1">
        <v>6.9</v>
      </c>
      <c r="I1327" s="1"/>
      <c r="J1327" s="1"/>
    </row>
    <row r="1328" spans="1:10" x14ac:dyDescent="0.3">
      <c r="A1328" t="str">
        <f t="shared" si="40"/>
        <v>SPG</v>
      </c>
      <c r="B1328">
        <f t="shared" si="41"/>
        <v>2424</v>
      </c>
      <c r="D1328" s="1"/>
      <c r="E1328" s="1" t="s">
        <v>330</v>
      </c>
      <c r="F1328" s="1">
        <v>121</v>
      </c>
      <c r="G1328" s="1">
        <v>4</v>
      </c>
      <c r="H1328" s="1">
        <v>6.9</v>
      </c>
      <c r="I1328" s="1"/>
      <c r="J1328" s="1"/>
    </row>
    <row r="1329" spans="1:10" x14ac:dyDescent="0.3">
      <c r="A1329" t="str">
        <f t="shared" si="40"/>
        <v>SPG</v>
      </c>
      <c r="B1329">
        <f t="shared" si="41"/>
        <v>6824</v>
      </c>
      <c r="D1329" s="1"/>
      <c r="E1329" s="1" t="s">
        <v>248</v>
      </c>
      <c r="F1329" s="1">
        <v>124</v>
      </c>
      <c r="G1329" s="1">
        <v>4</v>
      </c>
      <c r="H1329" s="1">
        <v>6.8</v>
      </c>
      <c r="I1329" s="1"/>
      <c r="J1329" s="1"/>
    </row>
    <row r="1330" spans="1:10" x14ac:dyDescent="0.3">
      <c r="A1330" t="str">
        <f t="shared" si="40"/>
        <v>SPG</v>
      </c>
      <c r="B1330">
        <f t="shared" si="41"/>
        <v>2524</v>
      </c>
      <c r="D1330" s="1"/>
      <c r="E1330" s="1" t="s">
        <v>92</v>
      </c>
      <c r="F1330" s="1">
        <v>126</v>
      </c>
      <c r="G1330" s="1">
        <v>2</v>
      </c>
      <c r="H1330" s="1">
        <v>6.8</v>
      </c>
      <c r="I1330" s="1"/>
      <c r="J1330" s="1"/>
    </row>
    <row r="1331" spans="1:10" x14ac:dyDescent="0.3">
      <c r="A1331" t="str">
        <f t="shared" si="40"/>
        <v>SPG</v>
      </c>
      <c r="B1331">
        <f t="shared" si="41"/>
        <v>2624</v>
      </c>
      <c r="D1331" s="1"/>
      <c r="E1331" s="1" t="s">
        <v>80</v>
      </c>
      <c r="F1331" s="1">
        <v>127</v>
      </c>
      <c r="G1331" s="1">
        <v>4</v>
      </c>
      <c r="H1331" s="1">
        <v>6.8</v>
      </c>
      <c r="I1331" s="1"/>
      <c r="J1331" s="1"/>
    </row>
    <row r="1332" spans="1:10" x14ac:dyDescent="0.3">
      <c r="A1332" t="str">
        <f t="shared" si="40"/>
        <v>SPG</v>
      </c>
      <c r="B1332">
        <f t="shared" si="41"/>
        <v>18524</v>
      </c>
      <c r="D1332" s="1"/>
      <c r="E1332" s="1" t="s">
        <v>420</v>
      </c>
      <c r="F1332" s="1">
        <v>132</v>
      </c>
      <c r="G1332" s="1">
        <v>1</v>
      </c>
      <c r="H1332" s="1">
        <v>6.8</v>
      </c>
      <c r="I1332" s="1"/>
      <c r="J1332" s="1"/>
    </row>
    <row r="1333" spans="1:10" x14ac:dyDescent="0.3">
      <c r="A1333" t="str">
        <f t="shared" si="40"/>
        <v>SPG</v>
      </c>
      <c r="B1333">
        <f t="shared" si="41"/>
        <v>1224</v>
      </c>
      <c r="D1333" s="1"/>
      <c r="E1333" s="1" t="s">
        <v>130</v>
      </c>
      <c r="F1333" s="1">
        <v>143</v>
      </c>
      <c r="G1333" s="1">
        <v>3</v>
      </c>
      <c r="H1333" s="1">
        <v>6.7</v>
      </c>
      <c r="I1333" s="1"/>
      <c r="J1333" s="1"/>
    </row>
    <row r="1334" spans="1:10" x14ac:dyDescent="0.3">
      <c r="A1334" t="str">
        <f t="shared" si="40"/>
        <v>SPG</v>
      </c>
      <c r="B1334">
        <f t="shared" si="41"/>
        <v>3624</v>
      </c>
      <c r="D1334" s="1"/>
      <c r="E1334" s="1" t="s">
        <v>129</v>
      </c>
      <c r="F1334" s="1">
        <v>144</v>
      </c>
      <c r="G1334" s="1">
        <v>9</v>
      </c>
      <c r="H1334" s="1">
        <v>6.7</v>
      </c>
      <c r="I1334" s="1"/>
      <c r="J1334" s="1"/>
    </row>
    <row r="1335" spans="1:10" x14ac:dyDescent="0.3">
      <c r="A1335" t="str">
        <f t="shared" si="40"/>
        <v>SPG</v>
      </c>
      <c r="B1335">
        <f t="shared" si="41"/>
        <v>11824</v>
      </c>
      <c r="D1335" s="1"/>
      <c r="E1335" s="1" t="s">
        <v>281</v>
      </c>
      <c r="F1335" s="1">
        <v>144</v>
      </c>
      <c r="G1335" s="1">
        <v>10</v>
      </c>
      <c r="H1335" s="1">
        <v>6.7</v>
      </c>
      <c r="I1335" s="1"/>
      <c r="J1335" s="1"/>
    </row>
    <row r="1336" spans="1:10" x14ac:dyDescent="0.3">
      <c r="A1336" t="str">
        <f t="shared" si="40"/>
        <v>SPG</v>
      </c>
      <c r="B1336">
        <f t="shared" si="41"/>
        <v>13324</v>
      </c>
      <c r="D1336" s="1"/>
      <c r="E1336" s="1" t="s">
        <v>291</v>
      </c>
      <c r="F1336" s="1">
        <v>148</v>
      </c>
      <c r="G1336" s="1">
        <v>8</v>
      </c>
      <c r="H1336" s="1">
        <v>6.7</v>
      </c>
      <c r="I1336" s="1"/>
      <c r="J1336" s="1"/>
    </row>
    <row r="1337" spans="1:10" x14ac:dyDescent="0.3">
      <c r="A1337" t="str">
        <f t="shared" si="40"/>
        <v>SPG</v>
      </c>
      <c r="B1337">
        <f t="shared" si="41"/>
        <v>19124</v>
      </c>
      <c r="D1337" s="1"/>
      <c r="E1337" s="1" t="s">
        <v>421</v>
      </c>
      <c r="F1337" s="1">
        <v>153</v>
      </c>
      <c r="G1337" s="1">
        <v>3</v>
      </c>
      <c r="H1337" s="1">
        <v>6.6</v>
      </c>
      <c r="I1337" s="1"/>
      <c r="J1337" s="1"/>
    </row>
    <row r="1338" spans="1:10" x14ac:dyDescent="0.3">
      <c r="A1338" t="str">
        <f t="shared" si="40"/>
        <v>SPG</v>
      </c>
      <c r="B1338">
        <f t="shared" si="41"/>
        <v>3224</v>
      </c>
      <c r="D1338" s="1"/>
      <c r="E1338" s="1" t="s">
        <v>127</v>
      </c>
      <c r="F1338" s="1">
        <v>155</v>
      </c>
      <c r="G1338" s="1">
        <v>9</v>
      </c>
      <c r="H1338" s="1">
        <v>6.6</v>
      </c>
      <c r="I1338" s="1"/>
      <c r="J1338" s="1"/>
    </row>
    <row r="1339" spans="1:10" x14ac:dyDescent="0.3">
      <c r="A1339" t="str">
        <f t="shared" si="40"/>
        <v>SPG</v>
      </c>
      <c r="B1339">
        <f t="shared" si="41"/>
        <v>5224</v>
      </c>
      <c r="D1339" s="1"/>
      <c r="E1339" s="1" t="s">
        <v>241</v>
      </c>
      <c r="F1339" s="1">
        <v>157</v>
      </c>
      <c r="G1339" s="1">
        <v>4</v>
      </c>
      <c r="H1339" s="1">
        <v>6.5</v>
      </c>
      <c r="I1339" s="1"/>
      <c r="J1339" s="1"/>
    </row>
    <row r="1340" spans="1:10" x14ac:dyDescent="0.3">
      <c r="A1340" t="str">
        <f t="shared" si="40"/>
        <v>SPG</v>
      </c>
      <c r="B1340">
        <f t="shared" si="41"/>
        <v>12024</v>
      </c>
      <c r="D1340" s="1"/>
      <c r="E1340" s="1" t="s">
        <v>135</v>
      </c>
      <c r="F1340" s="1">
        <v>159</v>
      </c>
      <c r="G1340" s="1">
        <v>2</v>
      </c>
      <c r="H1340" s="1">
        <v>6.5</v>
      </c>
      <c r="I1340" s="1"/>
      <c r="J1340" s="1"/>
    </row>
    <row r="1341" spans="1:10" x14ac:dyDescent="0.3">
      <c r="A1341" t="str">
        <f t="shared" si="40"/>
        <v>SPG</v>
      </c>
      <c r="B1341">
        <f t="shared" si="41"/>
        <v>2224</v>
      </c>
      <c r="D1341" s="1"/>
      <c r="E1341" s="1" t="s">
        <v>119</v>
      </c>
      <c r="F1341" s="1">
        <v>167</v>
      </c>
      <c r="G1341" s="1">
        <v>7</v>
      </c>
      <c r="H1341" s="1">
        <v>6.5</v>
      </c>
      <c r="I1341" s="1"/>
      <c r="J1341" s="1"/>
    </row>
    <row r="1342" spans="1:10" x14ac:dyDescent="0.3">
      <c r="A1342" t="str">
        <f t="shared" si="40"/>
        <v>SPG</v>
      </c>
      <c r="B1342">
        <f t="shared" si="41"/>
        <v>5524</v>
      </c>
      <c r="D1342" s="1"/>
      <c r="E1342" s="1" t="s">
        <v>86</v>
      </c>
      <c r="F1342" s="1">
        <v>169</v>
      </c>
      <c r="G1342" s="1">
        <v>10</v>
      </c>
      <c r="H1342" s="1">
        <v>6.4</v>
      </c>
      <c r="I1342" s="1"/>
      <c r="J1342" s="1"/>
    </row>
    <row r="1343" spans="1:10" x14ac:dyDescent="0.3">
      <c r="A1343" t="str">
        <f t="shared" si="40"/>
        <v>SPG</v>
      </c>
      <c r="B1343">
        <f t="shared" si="41"/>
        <v>7424</v>
      </c>
      <c r="D1343" s="1"/>
      <c r="E1343" s="1" t="s">
        <v>251</v>
      </c>
      <c r="F1343" s="1">
        <v>177</v>
      </c>
      <c r="G1343" s="1">
        <v>7</v>
      </c>
      <c r="H1343" s="1">
        <v>6.4</v>
      </c>
      <c r="I1343" s="1"/>
      <c r="J1343" s="1"/>
    </row>
    <row r="1344" spans="1:10" x14ac:dyDescent="0.3">
      <c r="A1344" t="str">
        <f t="shared" si="40"/>
        <v>SPG</v>
      </c>
      <c r="B1344">
        <f t="shared" si="41"/>
        <v>18924</v>
      </c>
      <c r="D1344" s="1"/>
      <c r="E1344" s="1" t="s">
        <v>422</v>
      </c>
      <c r="F1344" s="1">
        <v>186</v>
      </c>
      <c r="G1344" s="1">
        <v>5</v>
      </c>
      <c r="H1344" s="1">
        <v>6.3</v>
      </c>
      <c r="I1344" s="1"/>
      <c r="J1344" s="1"/>
    </row>
    <row r="1345" spans="1:10" x14ac:dyDescent="0.3">
      <c r="A1345" t="str">
        <f t="shared" si="40"/>
        <v>SPG</v>
      </c>
      <c r="B1345">
        <f t="shared" si="41"/>
        <v>18724</v>
      </c>
      <c r="D1345" s="1"/>
      <c r="E1345" s="1" t="s">
        <v>427</v>
      </c>
      <c r="F1345" s="1">
        <v>188</v>
      </c>
      <c r="G1345" s="1">
        <v>6</v>
      </c>
      <c r="H1345" s="1">
        <v>6.3</v>
      </c>
      <c r="I1345" s="1"/>
      <c r="J1345" s="1"/>
    </row>
    <row r="1346" spans="1:10" x14ac:dyDescent="0.3">
      <c r="A1346" t="str">
        <f t="shared" ref="A1346:A1409" si="42">IF(NOT(D1346=""),INDEX(statAbbr,MATCH(D1346,statOfficial,0),1),A1345)</f>
        <v>SPG</v>
      </c>
      <c r="B1346">
        <f t="shared" ref="B1346:B1409" si="43">INDEX(statID,MATCH(A1346,statAbbr,0),1)+INDEX(teamID,MATCH(E1346,teamRawName,0))</f>
        <v>2324</v>
      </c>
      <c r="D1346" s="1"/>
      <c r="E1346" s="1" t="s">
        <v>79</v>
      </c>
      <c r="F1346" s="1">
        <v>191</v>
      </c>
      <c r="G1346" s="1">
        <v>8</v>
      </c>
      <c r="H1346" s="1">
        <v>6.3</v>
      </c>
      <c r="I1346" s="1"/>
      <c r="J1346" s="1"/>
    </row>
    <row r="1347" spans="1:10" x14ac:dyDescent="0.3">
      <c r="A1347" t="str">
        <f t="shared" si="42"/>
        <v>SPG</v>
      </c>
      <c r="B1347">
        <f t="shared" si="43"/>
        <v>2924</v>
      </c>
      <c r="D1347" s="1"/>
      <c r="E1347" s="1" t="s">
        <v>96</v>
      </c>
      <c r="F1347" s="1">
        <v>214</v>
      </c>
      <c r="G1347" s="1">
        <v>6</v>
      </c>
      <c r="H1347" s="1">
        <v>6.1</v>
      </c>
      <c r="I1347" s="1"/>
      <c r="J1347" s="1"/>
    </row>
    <row r="1348" spans="1:10" x14ac:dyDescent="0.3">
      <c r="A1348" t="str">
        <f t="shared" si="42"/>
        <v>SPG</v>
      </c>
      <c r="B1348">
        <f t="shared" si="43"/>
        <v>3724</v>
      </c>
      <c r="D1348" s="1"/>
      <c r="E1348" s="1" t="s">
        <v>115</v>
      </c>
      <c r="F1348" s="1">
        <v>219</v>
      </c>
      <c r="G1348" s="1">
        <v>12</v>
      </c>
      <c r="H1348" s="1">
        <v>6.1</v>
      </c>
      <c r="I1348" s="1"/>
      <c r="J1348" s="1"/>
    </row>
    <row r="1349" spans="1:10" x14ac:dyDescent="0.3">
      <c r="A1349" t="str">
        <f t="shared" si="42"/>
        <v>SPG</v>
      </c>
      <c r="B1349">
        <f t="shared" si="43"/>
        <v>4624</v>
      </c>
      <c r="D1349" s="1"/>
      <c r="E1349" s="1" t="s">
        <v>101</v>
      </c>
      <c r="F1349" s="1">
        <v>224</v>
      </c>
      <c r="G1349" s="1">
        <v>5</v>
      </c>
      <c r="H1349" s="1">
        <v>6</v>
      </c>
      <c r="I1349" s="1"/>
      <c r="J1349" s="1"/>
    </row>
    <row r="1350" spans="1:10" x14ac:dyDescent="0.3">
      <c r="A1350" t="str">
        <f t="shared" si="42"/>
        <v>SPG</v>
      </c>
      <c r="B1350">
        <f t="shared" si="43"/>
        <v>7924</v>
      </c>
      <c r="D1350" s="1"/>
      <c r="E1350" s="1" t="s">
        <v>103</v>
      </c>
      <c r="F1350" s="1">
        <v>230</v>
      </c>
      <c r="G1350" s="1">
        <v>4</v>
      </c>
      <c r="H1350" s="1">
        <v>5.9</v>
      </c>
      <c r="I1350" s="1"/>
      <c r="J1350" s="1"/>
    </row>
    <row r="1351" spans="1:10" x14ac:dyDescent="0.3">
      <c r="A1351" t="str">
        <f t="shared" si="42"/>
        <v>SPG</v>
      </c>
      <c r="B1351">
        <f t="shared" si="43"/>
        <v>9424</v>
      </c>
      <c r="D1351" s="1"/>
      <c r="E1351" s="1" t="s">
        <v>264</v>
      </c>
      <c r="F1351" s="1">
        <v>236</v>
      </c>
      <c r="G1351" s="1">
        <v>6</v>
      </c>
      <c r="H1351" s="1">
        <v>5.8</v>
      </c>
      <c r="I1351" s="1"/>
      <c r="J1351" s="1"/>
    </row>
    <row r="1352" spans="1:10" x14ac:dyDescent="0.3">
      <c r="A1352" t="str">
        <f t="shared" si="42"/>
        <v>SPG</v>
      </c>
      <c r="B1352">
        <f t="shared" si="43"/>
        <v>5424</v>
      </c>
      <c r="D1352" s="1"/>
      <c r="E1352" s="1" t="s">
        <v>94</v>
      </c>
      <c r="F1352" s="1">
        <v>255</v>
      </c>
      <c r="G1352" s="1">
        <v>9</v>
      </c>
      <c r="H1352" s="1">
        <v>5.7</v>
      </c>
      <c r="I1352" s="1"/>
      <c r="J1352" s="1"/>
    </row>
    <row r="1353" spans="1:10" x14ac:dyDescent="0.3">
      <c r="A1353" t="str">
        <f t="shared" si="42"/>
        <v>SPG</v>
      </c>
      <c r="B1353">
        <f t="shared" si="43"/>
        <v>11124</v>
      </c>
      <c r="D1353" s="1"/>
      <c r="E1353" s="1" t="s">
        <v>277</v>
      </c>
      <c r="F1353" s="1">
        <v>280</v>
      </c>
      <c r="G1353" s="1">
        <v>8</v>
      </c>
      <c r="H1353" s="1">
        <v>5.5</v>
      </c>
      <c r="I1353" s="1"/>
      <c r="J1353" s="1"/>
    </row>
    <row r="1354" spans="1:10" x14ac:dyDescent="0.3">
      <c r="A1354" t="str">
        <f t="shared" si="42"/>
        <v>SPG</v>
      </c>
      <c r="B1354">
        <f t="shared" si="43"/>
        <v>9524</v>
      </c>
      <c r="D1354" s="1"/>
      <c r="E1354" s="1" t="s">
        <v>85</v>
      </c>
      <c r="F1354" s="1">
        <v>294</v>
      </c>
      <c r="G1354" s="1">
        <v>12</v>
      </c>
      <c r="H1354" s="1">
        <v>5.3</v>
      </c>
      <c r="I1354" s="1"/>
      <c r="J1354" s="1"/>
    </row>
    <row r="1355" spans="1:10" x14ac:dyDescent="0.3">
      <c r="A1355" t="str">
        <f t="shared" si="42"/>
        <v>SPG</v>
      </c>
      <c r="B1355">
        <f t="shared" si="43"/>
        <v>5324</v>
      </c>
      <c r="D1355" s="1"/>
      <c r="E1355" s="1" t="s">
        <v>242</v>
      </c>
      <c r="F1355" s="1">
        <v>304</v>
      </c>
      <c r="G1355" s="1">
        <v>13</v>
      </c>
      <c r="H1355" s="1">
        <v>5.0999999999999996</v>
      </c>
      <c r="I1355" s="1"/>
      <c r="J1355" s="1"/>
    </row>
    <row r="1356" spans="1:10" x14ac:dyDescent="0.3">
      <c r="A1356" t="str">
        <f t="shared" si="42"/>
        <v>SPG</v>
      </c>
      <c r="B1356">
        <f t="shared" si="43"/>
        <v>2124</v>
      </c>
      <c r="D1356" s="1"/>
      <c r="E1356" s="1" t="s">
        <v>136</v>
      </c>
      <c r="F1356" s="1">
        <v>315</v>
      </c>
      <c r="G1356" s="1">
        <v>8</v>
      </c>
      <c r="H1356" s="1">
        <v>5</v>
      </c>
      <c r="I1356" s="1"/>
      <c r="J1356" s="1"/>
    </row>
    <row r="1357" spans="1:10" x14ac:dyDescent="0.3">
      <c r="A1357" t="str">
        <f t="shared" si="42"/>
        <v>SPG</v>
      </c>
      <c r="B1357">
        <f t="shared" si="43"/>
        <v>3124</v>
      </c>
      <c r="D1357" s="1"/>
      <c r="E1357" s="1" t="s">
        <v>93</v>
      </c>
      <c r="F1357" s="1">
        <v>316</v>
      </c>
      <c r="G1357" s="1">
        <v>11</v>
      </c>
      <c r="H1357" s="1">
        <v>5</v>
      </c>
      <c r="I1357" s="1"/>
      <c r="J1357" s="1"/>
    </row>
    <row r="1358" spans="1:10" x14ac:dyDescent="0.3">
      <c r="A1358" t="str">
        <f t="shared" si="42"/>
        <v>SPG</v>
      </c>
      <c r="B1358">
        <f t="shared" si="43"/>
        <v>1424</v>
      </c>
      <c r="D1358" s="1"/>
      <c r="E1358" s="1" t="s">
        <v>102</v>
      </c>
      <c r="F1358" s="1">
        <v>316</v>
      </c>
      <c r="G1358" s="1">
        <v>9</v>
      </c>
      <c r="H1358" s="1">
        <v>5</v>
      </c>
      <c r="I1358" s="1"/>
      <c r="J1358" s="1"/>
    </row>
    <row r="1359" spans="1:10" x14ac:dyDescent="0.3">
      <c r="A1359" t="str">
        <f t="shared" si="42"/>
        <v>SPG</v>
      </c>
      <c r="B1359">
        <f t="shared" si="43"/>
        <v>5824</v>
      </c>
      <c r="D1359" s="1"/>
      <c r="E1359" s="1" t="s">
        <v>139</v>
      </c>
      <c r="F1359" s="1">
        <v>322</v>
      </c>
      <c r="G1359" s="1">
        <v>9</v>
      </c>
      <c r="H1359" s="1">
        <v>4.9000000000000004</v>
      </c>
      <c r="I1359" s="1"/>
      <c r="J1359" s="1"/>
    </row>
    <row r="1360" spans="1:10" x14ac:dyDescent="0.3">
      <c r="A1360" t="str">
        <f t="shared" si="42"/>
        <v>SPG</v>
      </c>
      <c r="B1360">
        <f t="shared" si="43"/>
        <v>3424</v>
      </c>
      <c r="D1360" s="1"/>
      <c r="E1360" s="1" t="s">
        <v>237</v>
      </c>
      <c r="F1360" s="1">
        <v>325</v>
      </c>
      <c r="G1360" s="1">
        <v>8</v>
      </c>
      <c r="H1360" s="1">
        <v>4.9000000000000004</v>
      </c>
      <c r="I1360" s="1"/>
      <c r="J1360" s="1"/>
    </row>
    <row r="1361" spans="1:10" x14ac:dyDescent="0.3">
      <c r="A1361" t="str">
        <f t="shared" si="42"/>
        <v>SPG</v>
      </c>
      <c r="B1361">
        <f t="shared" si="43"/>
        <v>3024</v>
      </c>
      <c r="D1361" s="1"/>
      <c r="E1361" s="1" t="s">
        <v>89</v>
      </c>
      <c r="F1361" s="1">
        <v>328</v>
      </c>
      <c r="G1361" s="1">
        <v>10</v>
      </c>
      <c r="H1361" s="1">
        <v>4.7</v>
      </c>
      <c r="I1361" s="1"/>
      <c r="J1361" s="1"/>
    </row>
    <row r="1362" spans="1:10" x14ac:dyDescent="0.3">
      <c r="A1362" t="str">
        <f t="shared" si="42"/>
        <v>SPG</v>
      </c>
      <c r="B1362">
        <f t="shared" si="43"/>
        <v>924</v>
      </c>
      <c r="D1362" s="1"/>
      <c r="E1362" s="1" t="s">
        <v>90</v>
      </c>
      <c r="F1362" s="1">
        <v>332</v>
      </c>
      <c r="G1362" s="1">
        <v>11</v>
      </c>
      <c r="H1362" s="1">
        <v>4.7</v>
      </c>
      <c r="I1362" s="1"/>
      <c r="J1362" s="1"/>
    </row>
    <row r="1363" spans="1:10" x14ac:dyDescent="0.3">
      <c r="A1363" t="str">
        <f t="shared" si="42"/>
        <v>SPG</v>
      </c>
      <c r="B1363">
        <f t="shared" si="43"/>
        <v>14324</v>
      </c>
      <c r="D1363" s="1"/>
      <c r="E1363" s="1" t="s">
        <v>391</v>
      </c>
      <c r="F1363" s="1">
        <v>348</v>
      </c>
      <c r="G1363" s="1">
        <v>14</v>
      </c>
      <c r="H1363" s="1">
        <v>4.4000000000000004</v>
      </c>
      <c r="I1363" s="1"/>
      <c r="J1363" s="1"/>
    </row>
    <row r="1364" spans="1:10" x14ac:dyDescent="0.3">
      <c r="A1364" t="str">
        <f t="shared" si="42"/>
        <v>3PTA</v>
      </c>
      <c r="B1364">
        <f t="shared" si="43"/>
        <v>11504</v>
      </c>
      <c r="D1364" s="1" t="s">
        <v>451</v>
      </c>
      <c r="E1364" s="1" t="s">
        <v>97</v>
      </c>
      <c r="F1364" s="1">
        <v>3</v>
      </c>
      <c r="G1364" s="1">
        <v>1</v>
      </c>
      <c r="H1364" s="1">
        <v>30</v>
      </c>
      <c r="I1364" s="1" t="s">
        <v>146</v>
      </c>
      <c r="J1364" s="1">
        <v>30.4</v>
      </c>
    </row>
    <row r="1365" spans="1:10" x14ac:dyDescent="0.3">
      <c r="A1365" t="str">
        <f t="shared" si="42"/>
        <v>3PTA</v>
      </c>
      <c r="B1365">
        <f t="shared" si="43"/>
        <v>3704</v>
      </c>
      <c r="D1365" s="1"/>
      <c r="E1365" s="1" t="s">
        <v>115</v>
      </c>
      <c r="F1365" s="1">
        <v>4</v>
      </c>
      <c r="G1365" s="1">
        <v>1</v>
      </c>
      <c r="H1365" s="1">
        <v>29.5</v>
      </c>
      <c r="I1365" s="1"/>
      <c r="J1365" s="1"/>
    </row>
    <row r="1366" spans="1:10" x14ac:dyDescent="0.3">
      <c r="A1366" t="str">
        <f t="shared" si="42"/>
        <v>3PTA</v>
      </c>
      <c r="B1366">
        <f t="shared" si="43"/>
        <v>18504</v>
      </c>
      <c r="D1366" s="1"/>
      <c r="E1366" s="1" t="s">
        <v>420</v>
      </c>
      <c r="F1366" s="1">
        <v>5</v>
      </c>
      <c r="G1366" s="1">
        <v>1</v>
      </c>
      <c r="H1366" s="1">
        <v>29.3</v>
      </c>
      <c r="I1366" s="1"/>
      <c r="J1366" s="1"/>
    </row>
    <row r="1367" spans="1:10" x14ac:dyDescent="0.3">
      <c r="A1367" t="str">
        <f t="shared" si="42"/>
        <v>3PTA</v>
      </c>
      <c r="B1367">
        <f t="shared" si="43"/>
        <v>19104</v>
      </c>
      <c r="D1367" s="1"/>
      <c r="E1367" s="1" t="s">
        <v>421</v>
      </c>
      <c r="F1367" s="1">
        <v>11</v>
      </c>
      <c r="G1367" s="1">
        <v>3</v>
      </c>
      <c r="H1367" s="1">
        <v>27.4</v>
      </c>
      <c r="I1367" s="1"/>
      <c r="J1367" s="1"/>
    </row>
    <row r="1368" spans="1:10" x14ac:dyDescent="0.3">
      <c r="A1368" t="str">
        <f t="shared" si="42"/>
        <v>3PTA</v>
      </c>
      <c r="B1368">
        <f t="shared" si="43"/>
        <v>14304</v>
      </c>
      <c r="D1368" s="1"/>
      <c r="E1368" s="1" t="s">
        <v>391</v>
      </c>
      <c r="F1368" s="1">
        <v>13</v>
      </c>
      <c r="G1368" s="1">
        <v>1</v>
      </c>
      <c r="H1368" s="1">
        <v>26.9</v>
      </c>
      <c r="I1368" s="1"/>
      <c r="J1368" s="1"/>
    </row>
    <row r="1369" spans="1:10" x14ac:dyDescent="0.3">
      <c r="A1369" t="str">
        <f t="shared" si="42"/>
        <v>3PTA</v>
      </c>
      <c r="B1369">
        <f t="shared" si="43"/>
        <v>2204</v>
      </c>
      <c r="D1369" s="1"/>
      <c r="E1369" s="1" t="s">
        <v>119</v>
      </c>
      <c r="F1369" s="1">
        <v>20</v>
      </c>
      <c r="G1369" s="1">
        <v>1</v>
      </c>
      <c r="H1369" s="1">
        <v>26.3</v>
      </c>
      <c r="I1369" s="1"/>
      <c r="J1369" s="1"/>
    </row>
    <row r="1370" spans="1:10" x14ac:dyDescent="0.3">
      <c r="A1370" t="str">
        <f t="shared" si="42"/>
        <v>3PTA</v>
      </c>
      <c r="B1370">
        <f t="shared" si="43"/>
        <v>14104</v>
      </c>
      <c r="D1370" s="1"/>
      <c r="E1370" s="1" t="s">
        <v>299</v>
      </c>
      <c r="F1370" s="1">
        <v>25</v>
      </c>
      <c r="G1370" s="1">
        <v>2</v>
      </c>
      <c r="H1370" s="1">
        <v>25.8</v>
      </c>
      <c r="I1370" s="1"/>
      <c r="J1370" s="1"/>
    </row>
    <row r="1371" spans="1:10" x14ac:dyDescent="0.3">
      <c r="A1371" t="str">
        <f t="shared" si="42"/>
        <v>3PTA</v>
      </c>
      <c r="B1371">
        <f t="shared" si="43"/>
        <v>3204</v>
      </c>
      <c r="D1371" s="1"/>
      <c r="E1371" s="1" t="s">
        <v>127</v>
      </c>
      <c r="F1371" s="1">
        <v>26</v>
      </c>
      <c r="G1371" s="1">
        <v>1</v>
      </c>
      <c r="H1371" s="1">
        <v>25.8</v>
      </c>
      <c r="I1371" s="1"/>
      <c r="J1371" s="1"/>
    </row>
    <row r="1372" spans="1:10" x14ac:dyDescent="0.3">
      <c r="A1372" t="str">
        <f t="shared" si="42"/>
        <v>3PTA</v>
      </c>
      <c r="B1372">
        <f t="shared" si="43"/>
        <v>3304</v>
      </c>
      <c r="D1372" s="1"/>
      <c r="E1372" s="1" t="s">
        <v>91</v>
      </c>
      <c r="F1372" s="1">
        <v>32</v>
      </c>
      <c r="G1372" s="1">
        <v>2</v>
      </c>
      <c r="H1372" s="1">
        <v>25.3</v>
      </c>
      <c r="I1372" s="1"/>
      <c r="J1372" s="1"/>
    </row>
    <row r="1373" spans="1:10" x14ac:dyDescent="0.3">
      <c r="A1373" t="str">
        <f t="shared" si="42"/>
        <v>3PTA</v>
      </c>
      <c r="B1373">
        <f t="shared" si="43"/>
        <v>5304</v>
      </c>
      <c r="D1373" s="1"/>
      <c r="E1373" s="1" t="s">
        <v>242</v>
      </c>
      <c r="F1373" s="1">
        <v>35</v>
      </c>
      <c r="G1373" s="1">
        <v>2</v>
      </c>
      <c r="H1373" s="1">
        <v>25.1</v>
      </c>
      <c r="I1373" s="1"/>
      <c r="J1373" s="1"/>
    </row>
    <row r="1374" spans="1:10" x14ac:dyDescent="0.3">
      <c r="A1374" t="str">
        <f t="shared" si="42"/>
        <v>3PTA</v>
      </c>
      <c r="B1374">
        <f t="shared" si="43"/>
        <v>2304</v>
      </c>
      <c r="D1374" s="1"/>
      <c r="E1374" s="1" t="s">
        <v>79</v>
      </c>
      <c r="F1374" s="1">
        <v>41</v>
      </c>
      <c r="G1374" s="1">
        <v>3</v>
      </c>
      <c r="H1374" s="1">
        <v>24.9</v>
      </c>
      <c r="I1374" s="1"/>
      <c r="J1374" s="1"/>
    </row>
    <row r="1375" spans="1:10" x14ac:dyDescent="0.3">
      <c r="A1375" t="str">
        <f t="shared" si="42"/>
        <v>3PTA</v>
      </c>
      <c r="B1375">
        <f t="shared" si="43"/>
        <v>3404</v>
      </c>
      <c r="D1375" s="1"/>
      <c r="E1375" s="1" t="s">
        <v>237</v>
      </c>
      <c r="F1375" s="1">
        <v>43</v>
      </c>
      <c r="G1375" s="1">
        <v>2</v>
      </c>
      <c r="H1375" s="1">
        <v>24.9</v>
      </c>
      <c r="I1375" s="1"/>
      <c r="J1375" s="1"/>
    </row>
    <row r="1376" spans="1:10" x14ac:dyDescent="0.3">
      <c r="A1376" t="str">
        <f t="shared" si="42"/>
        <v>3PTA</v>
      </c>
      <c r="B1376">
        <f t="shared" si="43"/>
        <v>4304</v>
      </c>
      <c r="D1376" s="1"/>
      <c r="E1376" s="1" t="s">
        <v>125</v>
      </c>
      <c r="F1376" s="1">
        <v>48</v>
      </c>
      <c r="G1376" s="1">
        <v>2</v>
      </c>
      <c r="H1376" s="1">
        <v>24.7</v>
      </c>
      <c r="I1376" s="1"/>
      <c r="J1376" s="1"/>
    </row>
    <row r="1377" spans="1:10" x14ac:dyDescent="0.3">
      <c r="A1377" t="str">
        <f t="shared" si="42"/>
        <v>3PTA</v>
      </c>
      <c r="B1377">
        <f t="shared" si="43"/>
        <v>3104</v>
      </c>
      <c r="D1377" s="1"/>
      <c r="E1377" s="1" t="s">
        <v>93</v>
      </c>
      <c r="F1377" s="1">
        <v>61</v>
      </c>
      <c r="G1377" s="1">
        <v>4</v>
      </c>
      <c r="H1377" s="1">
        <v>24.4</v>
      </c>
      <c r="I1377" s="1"/>
      <c r="J1377" s="1"/>
    </row>
    <row r="1378" spans="1:10" x14ac:dyDescent="0.3">
      <c r="A1378" t="str">
        <f t="shared" si="42"/>
        <v>3PTA</v>
      </c>
      <c r="B1378">
        <f t="shared" si="43"/>
        <v>15204</v>
      </c>
      <c r="D1378" s="1"/>
      <c r="E1378" s="1" t="s">
        <v>426</v>
      </c>
      <c r="F1378" s="1">
        <v>63</v>
      </c>
      <c r="G1378" s="1">
        <v>3</v>
      </c>
      <c r="H1378" s="1">
        <v>24.3</v>
      </c>
      <c r="I1378" s="1"/>
      <c r="J1378" s="1"/>
    </row>
    <row r="1379" spans="1:10" x14ac:dyDescent="0.3">
      <c r="A1379" t="str">
        <f t="shared" si="42"/>
        <v>3PTA</v>
      </c>
      <c r="B1379">
        <f t="shared" si="43"/>
        <v>1404</v>
      </c>
      <c r="D1379" s="1"/>
      <c r="E1379" s="1" t="s">
        <v>102</v>
      </c>
      <c r="F1379" s="1">
        <v>71</v>
      </c>
      <c r="G1379" s="1">
        <v>2</v>
      </c>
      <c r="H1379" s="1">
        <v>24</v>
      </c>
      <c r="I1379" s="1"/>
      <c r="J1379" s="1"/>
    </row>
    <row r="1380" spans="1:10" x14ac:dyDescent="0.3">
      <c r="A1380" t="str">
        <f t="shared" si="42"/>
        <v>3PTA</v>
      </c>
      <c r="B1380">
        <f t="shared" si="43"/>
        <v>7904</v>
      </c>
      <c r="D1380" s="1"/>
      <c r="E1380" s="1" t="s">
        <v>103</v>
      </c>
      <c r="F1380" s="1">
        <v>71</v>
      </c>
      <c r="G1380" s="1">
        <v>2</v>
      </c>
      <c r="H1380" s="1">
        <v>24</v>
      </c>
      <c r="I1380" s="1"/>
      <c r="J1380" s="1"/>
    </row>
    <row r="1381" spans="1:10" x14ac:dyDescent="0.3">
      <c r="A1381" t="str">
        <f t="shared" si="42"/>
        <v>3PTA</v>
      </c>
      <c r="B1381">
        <f t="shared" si="43"/>
        <v>1904</v>
      </c>
      <c r="D1381" s="1"/>
      <c r="E1381" s="1" t="s">
        <v>112</v>
      </c>
      <c r="F1381" s="1">
        <v>80</v>
      </c>
      <c r="G1381" s="1">
        <v>4</v>
      </c>
      <c r="H1381" s="1">
        <v>23.8</v>
      </c>
      <c r="I1381" s="1"/>
      <c r="J1381" s="1"/>
    </row>
    <row r="1382" spans="1:10" x14ac:dyDescent="0.3">
      <c r="A1382" t="str">
        <f t="shared" si="42"/>
        <v>3PTA</v>
      </c>
      <c r="B1382">
        <f t="shared" si="43"/>
        <v>6204</v>
      </c>
      <c r="D1382" s="1"/>
      <c r="E1382" s="1" t="s">
        <v>81</v>
      </c>
      <c r="F1382" s="1">
        <v>82</v>
      </c>
      <c r="G1382" s="1">
        <v>3</v>
      </c>
      <c r="H1382" s="1">
        <v>23.7</v>
      </c>
      <c r="I1382" s="1"/>
      <c r="J1382" s="1"/>
    </row>
    <row r="1383" spans="1:10" x14ac:dyDescent="0.3">
      <c r="A1383" t="str">
        <f t="shared" si="42"/>
        <v>3PTA</v>
      </c>
      <c r="B1383">
        <f t="shared" si="43"/>
        <v>18404</v>
      </c>
      <c r="D1383" s="1"/>
      <c r="E1383" s="1" t="s">
        <v>417</v>
      </c>
      <c r="F1383" s="1">
        <v>83</v>
      </c>
      <c r="G1383" s="1">
        <v>1</v>
      </c>
      <c r="H1383" s="1">
        <v>23.7</v>
      </c>
      <c r="I1383" s="1"/>
      <c r="J1383" s="1"/>
    </row>
    <row r="1384" spans="1:10" x14ac:dyDescent="0.3">
      <c r="A1384" t="str">
        <f t="shared" si="42"/>
        <v>3PTA</v>
      </c>
      <c r="B1384">
        <f t="shared" si="43"/>
        <v>14504</v>
      </c>
      <c r="D1384" s="1"/>
      <c r="E1384" s="1" t="s">
        <v>402</v>
      </c>
      <c r="F1384" s="1">
        <v>85</v>
      </c>
      <c r="G1384" s="1">
        <v>2</v>
      </c>
      <c r="H1384" s="1">
        <v>23.6</v>
      </c>
      <c r="I1384" s="1"/>
      <c r="J1384" s="1"/>
    </row>
    <row r="1385" spans="1:10" x14ac:dyDescent="0.3">
      <c r="A1385" t="str">
        <f t="shared" si="42"/>
        <v>3PTA</v>
      </c>
      <c r="B1385">
        <f t="shared" si="43"/>
        <v>18804</v>
      </c>
      <c r="D1385" s="1"/>
      <c r="E1385" s="1" t="s">
        <v>424</v>
      </c>
      <c r="F1385" s="1">
        <v>86</v>
      </c>
      <c r="G1385" s="1">
        <v>3</v>
      </c>
      <c r="H1385" s="1">
        <v>23.6</v>
      </c>
      <c r="I1385" s="1"/>
      <c r="J1385" s="1"/>
    </row>
    <row r="1386" spans="1:10" x14ac:dyDescent="0.3">
      <c r="A1386" t="str">
        <f t="shared" si="42"/>
        <v>3PTA</v>
      </c>
      <c r="B1386">
        <f t="shared" si="43"/>
        <v>5204</v>
      </c>
      <c r="D1386" s="1"/>
      <c r="E1386" s="1" t="s">
        <v>241</v>
      </c>
      <c r="F1386" s="1">
        <v>87</v>
      </c>
      <c r="G1386" s="1">
        <v>4</v>
      </c>
      <c r="H1386" s="1">
        <v>23.6</v>
      </c>
      <c r="I1386" s="1"/>
      <c r="J1386" s="1"/>
    </row>
    <row r="1387" spans="1:10" x14ac:dyDescent="0.3">
      <c r="A1387" t="str">
        <f t="shared" si="42"/>
        <v>3PTA</v>
      </c>
      <c r="B1387">
        <f t="shared" si="43"/>
        <v>5804</v>
      </c>
      <c r="D1387" s="1"/>
      <c r="E1387" s="1" t="s">
        <v>139</v>
      </c>
      <c r="F1387" s="1">
        <v>95</v>
      </c>
      <c r="G1387" s="1">
        <v>4</v>
      </c>
      <c r="H1387" s="1">
        <v>23.4</v>
      </c>
      <c r="I1387" s="1"/>
      <c r="J1387" s="1"/>
    </row>
    <row r="1388" spans="1:10" x14ac:dyDescent="0.3">
      <c r="A1388" t="str">
        <f t="shared" si="42"/>
        <v>3PTA</v>
      </c>
      <c r="B1388">
        <f t="shared" si="43"/>
        <v>13404</v>
      </c>
      <c r="D1388" s="1"/>
      <c r="E1388" s="1" t="s">
        <v>400</v>
      </c>
      <c r="F1388" s="1">
        <v>97</v>
      </c>
      <c r="G1388" s="1">
        <v>4</v>
      </c>
      <c r="H1388" s="1">
        <v>23.4</v>
      </c>
      <c r="I1388" s="1"/>
      <c r="J1388" s="1"/>
    </row>
    <row r="1389" spans="1:10" x14ac:dyDescent="0.3">
      <c r="A1389" t="str">
        <f t="shared" si="42"/>
        <v>3PTA</v>
      </c>
      <c r="B1389">
        <f t="shared" si="43"/>
        <v>3504</v>
      </c>
      <c r="D1389" s="1"/>
      <c r="E1389" s="1" t="s">
        <v>87</v>
      </c>
      <c r="F1389" s="1">
        <v>100</v>
      </c>
      <c r="G1389" s="1">
        <v>5</v>
      </c>
      <c r="H1389" s="1">
        <v>23.3</v>
      </c>
      <c r="I1389" s="1"/>
      <c r="J1389" s="1"/>
    </row>
    <row r="1390" spans="1:10" x14ac:dyDescent="0.3">
      <c r="A1390" t="str">
        <f t="shared" si="42"/>
        <v>3PTA</v>
      </c>
      <c r="B1390">
        <f t="shared" si="43"/>
        <v>2804</v>
      </c>
      <c r="D1390" s="1"/>
      <c r="E1390" s="1" t="s">
        <v>106</v>
      </c>
      <c r="F1390" s="1">
        <v>132</v>
      </c>
      <c r="G1390" s="1">
        <v>7</v>
      </c>
      <c r="H1390" s="1">
        <v>22.6</v>
      </c>
      <c r="I1390" s="1"/>
      <c r="J1390" s="1"/>
    </row>
    <row r="1391" spans="1:10" x14ac:dyDescent="0.3">
      <c r="A1391" t="str">
        <f t="shared" si="42"/>
        <v>3PTA</v>
      </c>
      <c r="B1391">
        <f t="shared" si="43"/>
        <v>18604</v>
      </c>
      <c r="D1391" s="1"/>
      <c r="E1391" s="1" t="s">
        <v>425</v>
      </c>
      <c r="F1391" s="1">
        <v>140</v>
      </c>
      <c r="G1391" s="1">
        <v>9</v>
      </c>
      <c r="H1391" s="1">
        <v>22.4</v>
      </c>
      <c r="I1391" s="1"/>
      <c r="J1391" s="1"/>
    </row>
    <row r="1392" spans="1:10" x14ac:dyDescent="0.3">
      <c r="A1392" t="str">
        <f t="shared" si="42"/>
        <v>3PTA</v>
      </c>
      <c r="B1392">
        <f t="shared" si="43"/>
        <v>2904</v>
      </c>
      <c r="D1392" s="1"/>
      <c r="E1392" s="1" t="s">
        <v>96</v>
      </c>
      <c r="F1392" s="1">
        <v>141</v>
      </c>
      <c r="G1392" s="1">
        <v>3</v>
      </c>
      <c r="H1392" s="1">
        <v>22.3</v>
      </c>
      <c r="I1392" s="1"/>
      <c r="J1392" s="1"/>
    </row>
    <row r="1393" spans="1:10" x14ac:dyDescent="0.3">
      <c r="A1393" t="str">
        <f t="shared" si="42"/>
        <v>3PTA</v>
      </c>
      <c r="B1393">
        <f t="shared" si="43"/>
        <v>2104</v>
      </c>
      <c r="D1393" s="1"/>
      <c r="E1393" s="1" t="s">
        <v>136</v>
      </c>
      <c r="F1393" s="1">
        <v>175</v>
      </c>
      <c r="G1393" s="1">
        <v>7</v>
      </c>
      <c r="H1393" s="1">
        <v>21.6</v>
      </c>
      <c r="I1393" s="1"/>
      <c r="J1393" s="1"/>
    </row>
    <row r="1394" spans="1:10" x14ac:dyDescent="0.3">
      <c r="A1394" t="str">
        <f t="shared" si="42"/>
        <v>3PTA</v>
      </c>
      <c r="B1394">
        <f t="shared" si="43"/>
        <v>8804</v>
      </c>
      <c r="D1394" s="1"/>
      <c r="E1394" s="1" t="s">
        <v>141</v>
      </c>
      <c r="F1394" s="1">
        <v>176</v>
      </c>
      <c r="G1394" s="1">
        <v>4</v>
      </c>
      <c r="H1394" s="1">
        <v>21.5</v>
      </c>
      <c r="I1394" s="1"/>
      <c r="J1394" s="1"/>
    </row>
    <row r="1395" spans="1:10" x14ac:dyDescent="0.3">
      <c r="A1395" t="str">
        <f t="shared" si="42"/>
        <v>3PTA</v>
      </c>
      <c r="B1395">
        <f t="shared" si="43"/>
        <v>9504</v>
      </c>
      <c r="D1395" s="1"/>
      <c r="E1395" s="1" t="s">
        <v>85</v>
      </c>
      <c r="F1395" s="1">
        <v>179</v>
      </c>
      <c r="G1395" s="1">
        <v>9</v>
      </c>
      <c r="H1395" s="1">
        <v>21.5</v>
      </c>
      <c r="I1395" s="1"/>
      <c r="J1395" s="1"/>
    </row>
    <row r="1396" spans="1:10" x14ac:dyDescent="0.3">
      <c r="A1396" t="str">
        <f t="shared" si="42"/>
        <v>3PTA</v>
      </c>
      <c r="B1396">
        <f t="shared" si="43"/>
        <v>3004</v>
      </c>
      <c r="D1396" s="1"/>
      <c r="E1396" s="1" t="s">
        <v>89</v>
      </c>
      <c r="F1396" s="1">
        <v>189</v>
      </c>
      <c r="G1396" s="1">
        <v>7</v>
      </c>
      <c r="H1396" s="1">
        <v>21.2</v>
      </c>
      <c r="I1396" s="1"/>
      <c r="J1396" s="1"/>
    </row>
    <row r="1397" spans="1:10" x14ac:dyDescent="0.3">
      <c r="A1397" t="str">
        <f t="shared" si="42"/>
        <v>3PTA</v>
      </c>
      <c r="B1397">
        <f t="shared" si="43"/>
        <v>18304</v>
      </c>
      <c r="D1397" s="1"/>
      <c r="E1397" s="1" t="s">
        <v>423</v>
      </c>
      <c r="F1397" s="1">
        <v>198</v>
      </c>
      <c r="G1397" s="1">
        <v>5</v>
      </c>
      <c r="H1397" s="1">
        <v>21</v>
      </c>
      <c r="I1397" s="1"/>
      <c r="J1397" s="1"/>
    </row>
    <row r="1398" spans="1:10" x14ac:dyDescent="0.3">
      <c r="A1398" t="str">
        <f t="shared" si="42"/>
        <v>3PTA</v>
      </c>
      <c r="B1398">
        <f t="shared" si="43"/>
        <v>704</v>
      </c>
      <c r="D1398" s="1"/>
      <c r="E1398" s="1" t="s">
        <v>319</v>
      </c>
      <c r="F1398" s="1">
        <v>202</v>
      </c>
      <c r="G1398" s="1">
        <v>4</v>
      </c>
      <c r="H1398" s="1">
        <v>20.9</v>
      </c>
      <c r="I1398" s="1"/>
      <c r="J1398" s="1"/>
    </row>
    <row r="1399" spans="1:10" x14ac:dyDescent="0.3">
      <c r="A1399" t="str">
        <f t="shared" si="42"/>
        <v>3PTA</v>
      </c>
      <c r="B1399">
        <f t="shared" si="43"/>
        <v>13304</v>
      </c>
      <c r="D1399" s="1"/>
      <c r="E1399" s="1" t="s">
        <v>291</v>
      </c>
      <c r="F1399" s="1">
        <v>207</v>
      </c>
      <c r="G1399" s="1">
        <v>5</v>
      </c>
      <c r="H1399" s="1">
        <v>20.8</v>
      </c>
      <c r="I1399" s="1"/>
      <c r="J1399" s="1"/>
    </row>
    <row r="1400" spans="1:10" x14ac:dyDescent="0.3">
      <c r="A1400" t="str">
        <f t="shared" si="42"/>
        <v>3PTA</v>
      </c>
      <c r="B1400">
        <f t="shared" si="43"/>
        <v>6704</v>
      </c>
      <c r="D1400" s="1"/>
      <c r="E1400" s="1" t="s">
        <v>118</v>
      </c>
      <c r="F1400" s="1">
        <v>210</v>
      </c>
      <c r="G1400" s="1">
        <v>7</v>
      </c>
      <c r="H1400" s="1">
        <v>20.8</v>
      </c>
      <c r="I1400" s="1"/>
      <c r="J1400" s="1"/>
    </row>
    <row r="1401" spans="1:10" x14ac:dyDescent="0.3">
      <c r="A1401" t="str">
        <f t="shared" si="42"/>
        <v>3PTA</v>
      </c>
      <c r="B1401">
        <f t="shared" si="43"/>
        <v>4504</v>
      </c>
      <c r="D1401" s="1"/>
      <c r="E1401" s="1" t="s">
        <v>84</v>
      </c>
      <c r="F1401" s="1">
        <v>218</v>
      </c>
      <c r="G1401" s="1">
        <v>9</v>
      </c>
      <c r="H1401" s="1">
        <v>20.6</v>
      </c>
      <c r="I1401" s="1"/>
      <c r="J1401" s="1"/>
    </row>
    <row r="1402" spans="1:10" x14ac:dyDescent="0.3">
      <c r="A1402" t="str">
        <f t="shared" si="42"/>
        <v>3PTA</v>
      </c>
      <c r="B1402">
        <f t="shared" si="43"/>
        <v>2504</v>
      </c>
      <c r="D1402" s="1"/>
      <c r="E1402" s="1" t="s">
        <v>92</v>
      </c>
      <c r="F1402" s="1">
        <v>220</v>
      </c>
      <c r="G1402" s="1">
        <v>8</v>
      </c>
      <c r="H1402" s="1">
        <v>20.6</v>
      </c>
      <c r="I1402" s="1"/>
      <c r="J1402" s="1"/>
    </row>
    <row r="1403" spans="1:10" x14ac:dyDescent="0.3">
      <c r="A1403" t="str">
        <f t="shared" si="42"/>
        <v>3PTA</v>
      </c>
      <c r="B1403">
        <f t="shared" si="43"/>
        <v>4604</v>
      </c>
      <c r="D1403" s="1"/>
      <c r="E1403" s="1" t="s">
        <v>101</v>
      </c>
      <c r="F1403" s="1">
        <v>222</v>
      </c>
      <c r="G1403" s="1">
        <v>9</v>
      </c>
      <c r="H1403" s="1">
        <v>20.5</v>
      </c>
      <c r="I1403" s="1"/>
      <c r="J1403" s="1"/>
    </row>
    <row r="1404" spans="1:10" x14ac:dyDescent="0.3">
      <c r="A1404" t="str">
        <f t="shared" si="42"/>
        <v>3PTA</v>
      </c>
      <c r="B1404">
        <f t="shared" si="43"/>
        <v>104</v>
      </c>
      <c r="D1404" s="1"/>
      <c r="E1404" s="1" t="s">
        <v>312</v>
      </c>
      <c r="F1404" s="1">
        <v>230</v>
      </c>
      <c r="G1404" s="1">
        <v>9</v>
      </c>
      <c r="H1404" s="1">
        <v>20.399999999999999</v>
      </c>
      <c r="I1404" s="1"/>
      <c r="J1404" s="1"/>
    </row>
    <row r="1405" spans="1:10" x14ac:dyDescent="0.3">
      <c r="A1405" t="str">
        <f t="shared" si="42"/>
        <v>3PTA</v>
      </c>
      <c r="B1405">
        <f t="shared" si="43"/>
        <v>5404</v>
      </c>
      <c r="D1405" s="1"/>
      <c r="E1405" s="1" t="s">
        <v>94</v>
      </c>
      <c r="F1405" s="1">
        <v>235</v>
      </c>
      <c r="G1405" s="1">
        <v>10</v>
      </c>
      <c r="H1405" s="1">
        <v>20.3</v>
      </c>
      <c r="I1405" s="1"/>
      <c r="J1405" s="1"/>
    </row>
    <row r="1406" spans="1:10" x14ac:dyDescent="0.3">
      <c r="A1406" t="str">
        <f t="shared" si="42"/>
        <v>3PTA</v>
      </c>
      <c r="B1406">
        <f t="shared" si="43"/>
        <v>11104</v>
      </c>
      <c r="D1406" s="1"/>
      <c r="E1406" s="1" t="s">
        <v>277</v>
      </c>
      <c r="F1406" s="1">
        <v>236</v>
      </c>
      <c r="G1406" s="1">
        <v>9</v>
      </c>
      <c r="H1406" s="1">
        <v>20.3</v>
      </c>
      <c r="I1406" s="1"/>
      <c r="J1406" s="1"/>
    </row>
    <row r="1407" spans="1:10" x14ac:dyDescent="0.3">
      <c r="A1407" t="str">
        <f t="shared" si="42"/>
        <v>3PTA</v>
      </c>
      <c r="B1407">
        <f t="shared" si="43"/>
        <v>8404</v>
      </c>
      <c r="D1407" s="1"/>
      <c r="E1407" s="1" t="s">
        <v>109</v>
      </c>
      <c r="F1407" s="1">
        <v>238</v>
      </c>
      <c r="G1407" s="1">
        <v>7</v>
      </c>
      <c r="H1407" s="1">
        <v>20.3</v>
      </c>
      <c r="I1407" s="1"/>
      <c r="J1407" s="1"/>
    </row>
    <row r="1408" spans="1:10" x14ac:dyDescent="0.3">
      <c r="A1408" t="str">
        <f t="shared" si="42"/>
        <v>3PTA</v>
      </c>
      <c r="B1408">
        <f t="shared" si="43"/>
        <v>18704</v>
      </c>
      <c r="D1408" s="1"/>
      <c r="E1408" s="1" t="s">
        <v>427</v>
      </c>
      <c r="F1408" s="1">
        <v>241</v>
      </c>
      <c r="G1408" s="1">
        <v>5</v>
      </c>
      <c r="H1408" s="1">
        <v>20.2</v>
      </c>
      <c r="I1408" s="1"/>
      <c r="J1408" s="1"/>
    </row>
    <row r="1409" spans="1:10" x14ac:dyDescent="0.3">
      <c r="A1409" t="str">
        <f t="shared" si="42"/>
        <v>3PTA</v>
      </c>
      <c r="B1409">
        <f t="shared" si="43"/>
        <v>3904</v>
      </c>
      <c r="D1409" s="1"/>
      <c r="E1409" s="1" t="s">
        <v>88</v>
      </c>
      <c r="F1409" s="1">
        <v>244</v>
      </c>
      <c r="G1409" s="1">
        <v>8</v>
      </c>
      <c r="H1409" s="1">
        <v>20.100000000000001</v>
      </c>
      <c r="I1409" s="1"/>
      <c r="J1409" s="1"/>
    </row>
    <row r="1410" spans="1:10" x14ac:dyDescent="0.3">
      <c r="A1410" t="str">
        <f t="shared" ref="A1410:A1473" si="44">IF(NOT(D1410=""),INDEX(statAbbr,MATCH(D1410,statOfficial,0),1),A1409)</f>
        <v>3PTA</v>
      </c>
      <c r="B1410">
        <f t="shared" ref="B1410:B1473" si="45">INDEX(statID,MATCH(A1410,statAbbr,0),1)+INDEX(teamID,MATCH(E1410,teamRawName,0))</f>
        <v>1204</v>
      </c>
      <c r="D1410" s="1"/>
      <c r="E1410" s="1" t="s">
        <v>130</v>
      </c>
      <c r="F1410" s="1">
        <v>250</v>
      </c>
      <c r="G1410" s="1">
        <v>10</v>
      </c>
      <c r="H1410" s="1">
        <v>19.899999999999999</v>
      </c>
      <c r="I1410" s="1"/>
      <c r="J1410" s="1"/>
    </row>
    <row r="1411" spans="1:10" x14ac:dyDescent="0.3">
      <c r="A1411" t="str">
        <f t="shared" si="44"/>
        <v>3PTA</v>
      </c>
      <c r="B1411">
        <f t="shared" si="45"/>
        <v>4404</v>
      </c>
      <c r="D1411" s="1"/>
      <c r="E1411" s="1" t="s">
        <v>83</v>
      </c>
      <c r="F1411" s="1">
        <v>254</v>
      </c>
      <c r="G1411" s="1">
        <v>9</v>
      </c>
      <c r="H1411" s="1">
        <v>19.899999999999999</v>
      </c>
      <c r="I1411" s="1"/>
      <c r="J1411" s="1"/>
    </row>
    <row r="1412" spans="1:10" x14ac:dyDescent="0.3">
      <c r="A1412" t="str">
        <f t="shared" si="44"/>
        <v>3PTA</v>
      </c>
      <c r="B1412">
        <f t="shared" si="45"/>
        <v>1604</v>
      </c>
      <c r="D1412" s="1"/>
      <c r="E1412" s="1" t="s">
        <v>137</v>
      </c>
      <c r="F1412" s="1">
        <v>262</v>
      </c>
      <c r="G1412" s="1">
        <v>11</v>
      </c>
      <c r="H1412" s="1">
        <v>19.7</v>
      </c>
      <c r="I1412" s="1"/>
      <c r="J1412" s="1"/>
    </row>
    <row r="1413" spans="1:10" x14ac:dyDescent="0.3">
      <c r="A1413" t="str">
        <f t="shared" si="44"/>
        <v>3PTA</v>
      </c>
      <c r="B1413">
        <f t="shared" si="45"/>
        <v>8604</v>
      </c>
      <c r="D1413" s="1"/>
      <c r="E1413" s="1" t="s">
        <v>259</v>
      </c>
      <c r="F1413" s="1">
        <v>270</v>
      </c>
      <c r="G1413" s="1">
        <v>7</v>
      </c>
      <c r="H1413" s="1">
        <v>19.5</v>
      </c>
      <c r="I1413" s="1"/>
      <c r="J1413" s="1"/>
    </row>
    <row r="1414" spans="1:10" x14ac:dyDescent="0.3">
      <c r="A1414" t="str">
        <f t="shared" si="44"/>
        <v>3PTA</v>
      </c>
      <c r="B1414">
        <f t="shared" si="45"/>
        <v>604</v>
      </c>
      <c r="D1414" s="1"/>
      <c r="E1414" s="1" t="s">
        <v>100</v>
      </c>
      <c r="F1414" s="1">
        <v>274</v>
      </c>
      <c r="G1414" s="1">
        <v>10</v>
      </c>
      <c r="H1414" s="1">
        <v>19.3</v>
      </c>
      <c r="I1414" s="1"/>
      <c r="J1414" s="1"/>
    </row>
    <row r="1415" spans="1:10" x14ac:dyDescent="0.3">
      <c r="A1415" t="str">
        <f t="shared" si="44"/>
        <v>3PTA</v>
      </c>
      <c r="B1415">
        <f t="shared" si="45"/>
        <v>6804</v>
      </c>
      <c r="D1415" s="1"/>
      <c r="E1415" s="1" t="s">
        <v>248</v>
      </c>
      <c r="F1415" s="1">
        <v>278</v>
      </c>
      <c r="G1415" s="1">
        <v>7</v>
      </c>
      <c r="H1415" s="1">
        <v>19.100000000000001</v>
      </c>
      <c r="I1415" s="1"/>
      <c r="J1415" s="1"/>
    </row>
    <row r="1416" spans="1:10" x14ac:dyDescent="0.3">
      <c r="A1416" t="str">
        <f t="shared" si="44"/>
        <v>3PTA</v>
      </c>
      <c r="B1416">
        <f t="shared" si="45"/>
        <v>2604</v>
      </c>
      <c r="D1416" s="1"/>
      <c r="E1416" s="1" t="s">
        <v>80</v>
      </c>
      <c r="F1416" s="1">
        <v>280</v>
      </c>
      <c r="G1416" s="1">
        <v>12</v>
      </c>
      <c r="H1416" s="1">
        <v>19.100000000000001</v>
      </c>
      <c r="I1416" s="1"/>
      <c r="J1416" s="1"/>
    </row>
    <row r="1417" spans="1:10" x14ac:dyDescent="0.3">
      <c r="A1417" t="str">
        <f t="shared" si="44"/>
        <v>3PTA</v>
      </c>
      <c r="B1417">
        <f t="shared" si="45"/>
        <v>3604</v>
      </c>
      <c r="D1417" s="1"/>
      <c r="E1417" s="1" t="s">
        <v>129</v>
      </c>
      <c r="F1417" s="1">
        <v>281</v>
      </c>
      <c r="G1417" s="1">
        <v>12</v>
      </c>
      <c r="H1417" s="1">
        <v>19</v>
      </c>
      <c r="I1417" s="1"/>
      <c r="J1417" s="1"/>
    </row>
    <row r="1418" spans="1:10" x14ac:dyDescent="0.3">
      <c r="A1418" t="str">
        <f t="shared" si="44"/>
        <v>3PTA</v>
      </c>
      <c r="B1418">
        <f t="shared" si="45"/>
        <v>7404</v>
      </c>
      <c r="D1418" s="1"/>
      <c r="E1418" s="1" t="s">
        <v>251</v>
      </c>
      <c r="F1418" s="1">
        <v>282</v>
      </c>
      <c r="G1418" s="1">
        <v>8</v>
      </c>
      <c r="H1418" s="1">
        <v>19</v>
      </c>
      <c r="I1418" s="1"/>
      <c r="J1418" s="1"/>
    </row>
    <row r="1419" spans="1:10" x14ac:dyDescent="0.3">
      <c r="A1419" t="str">
        <f t="shared" si="44"/>
        <v>3PTA</v>
      </c>
      <c r="B1419">
        <f t="shared" si="45"/>
        <v>904</v>
      </c>
      <c r="D1419" s="1"/>
      <c r="E1419" s="1" t="s">
        <v>90</v>
      </c>
      <c r="F1419" s="1">
        <v>286</v>
      </c>
      <c r="G1419" s="1">
        <v>11</v>
      </c>
      <c r="H1419" s="1">
        <v>18.899999999999999</v>
      </c>
      <c r="I1419" s="1"/>
      <c r="J1419" s="1"/>
    </row>
    <row r="1420" spans="1:10" x14ac:dyDescent="0.3">
      <c r="A1420" t="str">
        <f t="shared" si="44"/>
        <v>3PTA</v>
      </c>
      <c r="B1420">
        <f t="shared" si="45"/>
        <v>2404</v>
      </c>
      <c r="D1420" s="1"/>
      <c r="E1420" s="1" t="s">
        <v>330</v>
      </c>
      <c r="F1420" s="1">
        <v>289</v>
      </c>
      <c r="G1420" s="1">
        <v>10</v>
      </c>
      <c r="H1420" s="1">
        <v>18.8</v>
      </c>
      <c r="I1420" s="1"/>
      <c r="J1420" s="1"/>
    </row>
    <row r="1421" spans="1:10" x14ac:dyDescent="0.3">
      <c r="A1421" t="str">
        <f t="shared" si="44"/>
        <v>3PTA</v>
      </c>
      <c r="B1421">
        <f t="shared" si="45"/>
        <v>19004</v>
      </c>
      <c r="D1421" s="1"/>
      <c r="E1421" s="1" t="s">
        <v>176</v>
      </c>
      <c r="F1421" s="1">
        <v>294</v>
      </c>
      <c r="G1421" s="1">
        <v>10</v>
      </c>
      <c r="H1421" s="1">
        <v>18.7</v>
      </c>
      <c r="I1421" s="1"/>
      <c r="J1421" s="1"/>
    </row>
    <row r="1422" spans="1:10" x14ac:dyDescent="0.3">
      <c r="A1422" t="str">
        <f t="shared" si="44"/>
        <v>3PTA</v>
      </c>
      <c r="B1422">
        <f t="shared" si="45"/>
        <v>12004</v>
      </c>
      <c r="D1422" s="1"/>
      <c r="E1422" s="1" t="s">
        <v>135</v>
      </c>
      <c r="F1422" s="1">
        <v>303</v>
      </c>
      <c r="G1422" s="1">
        <v>10</v>
      </c>
      <c r="H1422" s="1">
        <v>18.3</v>
      </c>
      <c r="I1422" s="1"/>
      <c r="J1422" s="1"/>
    </row>
    <row r="1423" spans="1:10" x14ac:dyDescent="0.3">
      <c r="A1423" t="str">
        <f t="shared" si="44"/>
        <v>3PTA</v>
      </c>
      <c r="B1423">
        <f t="shared" si="45"/>
        <v>5604</v>
      </c>
      <c r="D1423" s="1"/>
      <c r="E1423" s="1" t="s">
        <v>62</v>
      </c>
      <c r="F1423" s="1">
        <v>306</v>
      </c>
      <c r="G1423" s="1">
        <v>11</v>
      </c>
      <c r="H1423" s="1">
        <v>18.2</v>
      </c>
      <c r="I1423" s="1"/>
      <c r="J1423" s="1"/>
    </row>
    <row r="1424" spans="1:10" x14ac:dyDescent="0.3">
      <c r="A1424" t="str">
        <f t="shared" si="44"/>
        <v>3PTA</v>
      </c>
      <c r="B1424">
        <f t="shared" si="45"/>
        <v>5504</v>
      </c>
      <c r="D1424" s="1"/>
      <c r="E1424" s="1" t="s">
        <v>86</v>
      </c>
      <c r="F1424" s="1">
        <v>310</v>
      </c>
      <c r="G1424" s="1">
        <v>13</v>
      </c>
      <c r="H1424" s="1">
        <v>18</v>
      </c>
      <c r="I1424" s="1"/>
      <c r="J1424" s="1"/>
    </row>
    <row r="1425" spans="1:10" x14ac:dyDescent="0.3">
      <c r="A1425" t="str">
        <f t="shared" si="44"/>
        <v>3PTA</v>
      </c>
      <c r="B1425">
        <f t="shared" si="45"/>
        <v>9004</v>
      </c>
      <c r="D1425" s="1"/>
      <c r="E1425" s="1" t="s">
        <v>261</v>
      </c>
      <c r="F1425" s="1">
        <v>323</v>
      </c>
      <c r="G1425" s="1">
        <v>11</v>
      </c>
      <c r="H1425" s="1">
        <v>17.600000000000001</v>
      </c>
      <c r="I1425" s="1"/>
      <c r="J1425" s="1"/>
    </row>
    <row r="1426" spans="1:10" x14ac:dyDescent="0.3">
      <c r="A1426" t="str">
        <f t="shared" si="44"/>
        <v>3PTA</v>
      </c>
      <c r="B1426">
        <f t="shared" si="45"/>
        <v>12204</v>
      </c>
      <c r="D1426" s="1"/>
      <c r="E1426" s="1" t="s">
        <v>284</v>
      </c>
      <c r="F1426" s="1">
        <v>324</v>
      </c>
      <c r="G1426" s="1">
        <v>15</v>
      </c>
      <c r="H1426" s="1">
        <v>17.399999999999999</v>
      </c>
      <c r="I1426" s="1"/>
      <c r="J1426" s="1"/>
    </row>
    <row r="1427" spans="1:10" x14ac:dyDescent="0.3">
      <c r="A1427" t="str">
        <f t="shared" si="44"/>
        <v>3PTA</v>
      </c>
      <c r="B1427">
        <f t="shared" si="45"/>
        <v>6604</v>
      </c>
      <c r="D1427" s="1"/>
      <c r="E1427" s="1" t="s">
        <v>247</v>
      </c>
      <c r="F1427" s="1">
        <v>325</v>
      </c>
      <c r="G1427" s="1">
        <v>11</v>
      </c>
      <c r="H1427" s="1">
        <v>17.399999999999999</v>
      </c>
      <c r="I1427" s="1"/>
      <c r="J1427" s="1"/>
    </row>
    <row r="1428" spans="1:10" x14ac:dyDescent="0.3">
      <c r="A1428" t="str">
        <f t="shared" si="44"/>
        <v>3PTA</v>
      </c>
      <c r="B1428">
        <f t="shared" si="45"/>
        <v>11804</v>
      </c>
      <c r="D1428" s="1"/>
      <c r="E1428" s="1" t="s">
        <v>281</v>
      </c>
      <c r="F1428" s="1">
        <v>332</v>
      </c>
      <c r="G1428" s="1">
        <v>10</v>
      </c>
      <c r="H1428" s="1">
        <v>16.8</v>
      </c>
      <c r="I1428" s="1"/>
      <c r="J1428" s="1"/>
    </row>
    <row r="1429" spans="1:10" x14ac:dyDescent="0.3">
      <c r="A1429" t="str">
        <f t="shared" si="44"/>
        <v>3PTA</v>
      </c>
      <c r="B1429">
        <f t="shared" si="45"/>
        <v>8104</v>
      </c>
      <c r="D1429" s="1"/>
      <c r="E1429" s="1" t="s">
        <v>256</v>
      </c>
      <c r="F1429" s="1">
        <v>340</v>
      </c>
      <c r="G1429" s="1">
        <v>14</v>
      </c>
      <c r="H1429" s="1">
        <v>15.9</v>
      </c>
      <c r="I1429" s="1"/>
      <c r="J1429" s="1"/>
    </row>
    <row r="1430" spans="1:10" x14ac:dyDescent="0.3">
      <c r="A1430" t="str">
        <f t="shared" si="44"/>
        <v>3PTA</v>
      </c>
      <c r="B1430">
        <f t="shared" si="45"/>
        <v>18904</v>
      </c>
      <c r="D1430" s="1"/>
      <c r="E1430" s="1" t="s">
        <v>422</v>
      </c>
      <c r="F1430" s="1">
        <v>341</v>
      </c>
      <c r="G1430" s="1">
        <v>8</v>
      </c>
      <c r="H1430" s="1">
        <v>15.9</v>
      </c>
      <c r="I1430" s="1"/>
      <c r="J1430" s="1"/>
    </row>
    <row r="1431" spans="1:10" x14ac:dyDescent="0.3">
      <c r="A1431" t="str">
        <f t="shared" si="44"/>
        <v>3PTA</v>
      </c>
      <c r="B1431">
        <f t="shared" si="45"/>
        <v>9404</v>
      </c>
      <c r="D1431" s="1"/>
      <c r="E1431" s="1" t="s">
        <v>264</v>
      </c>
      <c r="F1431" s="1">
        <v>342</v>
      </c>
      <c r="G1431" s="1">
        <v>14</v>
      </c>
      <c r="H1431" s="1">
        <v>15.5</v>
      </c>
      <c r="I1431" s="1"/>
      <c r="J1431" s="1"/>
    </row>
    <row r="1432" spans="1:10" x14ac:dyDescent="0.3">
      <c r="A1432" t="str">
        <f t="shared" si="44"/>
        <v>3PT%</v>
      </c>
      <c r="B1432">
        <f t="shared" si="45"/>
        <v>8403</v>
      </c>
      <c r="D1432" s="1" t="s">
        <v>452</v>
      </c>
      <c r="E1432" s="1" t="s">
        <v>109</v>
      </c>
      <c r="F1432" s="1">
        <v>1</v>
      </c>
      <c r="G1432" s="1">
        <v>1</v>
      </c>
      <c r="H1432" s="1">
        <v>40.299999999999997</v>
      </c>
      <c r="I1432" s="1" t="s">
        <v>109</v>
      </c>
      <c r="J1432" s="1">
        <v>40.299999999999997</v>
      </c>
    </row>
    <row r="1433" spans="1:10" x14ac:dyDescent="0.3">
      <c r="A1433" t="str">
        <f t="shared" si="44"/>
        <v>3PT%</v>
      </c>
      <c r="B1433">
        <f t="shared" si="45"/>
        <v>903</v>
      </c>
      <c r="D1433" s="1"/>
      <c r="E1433" s="1" t="s">
        <v>90</v>
      </c>
      <c r="F1433" s="1">
        <v>3</v>
      </c>
      <c r="G1433" s="1">
        <v>1</v>
      </c>
      <c r="H1433" s="1">
        <v>39.299999999999997</v>
      </c>
      <c r="I1433" s="1"/>
      <c r="J1433" s="1"/>
    </row>
    <row r="1434" spans="1:10" x14ac:dyDescent="0.3">
      <c r="A1434" t="str">
        <f t="shared" si="44"/>
        <v>3PT%</v>
      </c>
      <c r="B1434">
        <f t="shared" si="45"/>
        <v>7403</v>
      </c>
      <c r="D1434" s="1"/>
      <c r="E1434" s="1" t="s">
        <v>251</v>
      </c>
      <c r="F1434" s="1">
        <v>5</v>
      </c>
      <c r="G1434" s="1">
        <v>1</v>
      </c>
      <c r="H1434" s="1">
        <v>39</v>
      </c>
      <c r="I1434" s="1"/>
      <c r="J1434" s="1"/>
    </row>
    <row r="1435" spans="1:10" x14ac:dyDescent="0.3">
      <c r="A1435" t="str">
        <f t="shared" si="44"/>
        <v>3PT%</v>
      </c>
      <c r="B1435">
        <f t="shared" si="45"/>
        <v>18703</v>
      </c>
      <c r="D1435" s="1"/>
      <c r="E1435" s="1" t="s">
        <v>427</v>
      </c>
      <c r="F1435" s="1">
        <v>8</v>
      </c>
      <c r="G1435" s="1">
        <v>1</v>
      </c>
      <c r="H1435" s="1">
        <v>38.799999999999997</v>
      </c>
      <c r="I1435" s="1"/>
      <c r="J1435" s="1"/>
    </row>
    <row r="1436" spans="1:10" x14ac:dyDescent="0.3">
      <c r="A1436" t="str">
        <f t="shared" si="44"/>
        <v>3PT%</v>
      </c>
      <c r="B1436">
        <f t="shared" si="45"/>
        <v>14303</v>
      </c>
      <c r="D1436" s="1"/>
      <c r="E1436" s="1" t="s">
        <v>391</v>
      </c>
      <c r="F1436" s="1">
        <v>9</v>
      </c>
      <c r="G1436" s="1">
        <v>2</v>
      </c>
      <c r="H1436" s="1">
        <v>38.700000000000003</v>
      </c>
      <c r="I1436" s="1"/>
      <c r="J1436" s="1"/>
    </row>
    <row r="1437" spans="1:10" x14ac:dyDescent="0.3">
      <c r="A1437" t="str">
        <f t="shared" si="44"/>
        <v>3PT%</v>
      </c>
      <c r="B1437">
        <f t="shared" si="45"/>
        <v>1403</v>
      </c>
      <c r="D1437" s="1"/>
      <c r="E1437" s="1" t="s">
        <v>102</v>
      </c>
      <c r="F1437" s="1">
        <v>10</v>
      </c>
      <c r="G1437" s="1">
        <v>1</v>
      </c>
      <c r="H1437" s="1">
        <v>38.700000000000003</v>
      </c>
      <c r="I1437" s="1"/>
      <c r="J1437" s="1"/>
    </row>
    <row r="1438" spans="1:10" x14ac:dyDescent="0.3">
      <c r="A1438" t="str">
        <f t="shared" si="44"/>
        <v>3PT%</v>
      </c>
      <c r="B1438">
        <f t="shared" si="45"/>
        <v>5803</v>
      </c>
      <c r="D1438" s="1"/>
      <c r="E1438" s="1" t="s">
        <v>139</v>
      </c>
      <c r="F1438" s="1">
        <v>13</v>
      </c>
      <c r="G1438" s="1">
        <v>1</v>
      </c>
      <c r="H1438" s="1">
        <v>38.299999999999997</v>
      </c>
      <c r="I1438" s="1"/>
      <c r="J1438" s="1"/>
    </row>
    <row r="1439" spans="1:10" x14ac:dyDescent="0.3">
      <c r="A1439" t="str">
        <f t="shared" si="44"/>
        <v>3PT%</v>
      </c>
      <c r="B1439">
        <f t="shared" si="45"/>
        <v>4403</v>
      </c>
      <c r="D1439" s="1"/>
      <c r="E1439" s="1" t="s">
        <v>83</v>
      </c>
      <c r="F1439" s="1">
        <v>18</v>
      </c>
      <c r="G1439" s="1">
        <v>2</v>
      </c>
      <c r="H1439" s="1">
        <v>37.9</v>
      </c>
      <c r="I1439" s="1"/>
      <c r="J1439" s="1"/>
    </row>
    <row r="1440" spans="1:10" x14ac:dyDescent="0.3">
      <c r="A1440" t="str">
        <f t="shared" si="44"/>
        <v>3PT%</v>
      </c>
      <c r="B1440">
        <f t="shared" si="45"/>
        <v>2903</v>
      </c>
      <c r="D1440" s="1"/>
      <c r="E1440" s="1" t="s">
        <v>96</v>
      </c>
      <c r="F1440" s="1">
        <v>19</v>
      </c>
      <c r="G1440" s="1">
        <v>1</v>
      </c>
      <c r="H1440" s="1">
        <v>37.799999999999997</v>
      </c>
      <c r="I1440" s="1"/>
      <c r="J1440" s="1"/>
    </row>
    <row r="1441" spans="1:10" x14ac:dyDescent="0.3">
      <c r="A1441" t="str">
        <f t="shared" si="44"/>
        <v>3PT%</v>
      </c>
      <c r="B1441">
        <f t="shared" si="45"/>
        <v>19003</v>
      </c>
      <c r="D1441" s="1"/>
      <c r="E1441" s="1" t="s">
        <v>176</v>
      </c>
      <c r="F1441" s="1">
        <v>24</v>
      </c>
      <c r="G1441" s="1">
        <v>1</v>
      </c>
      <c r="H1441" s="1">
        <v>37.6</v>
      </c>
      <c r="I1441" s="1"/>
      <c r="J1441" s="1"/>
    </row>
    <row r="1442" spans="1:10" x14ac:dyDescent="0.3">
      <c r="A1442" t="str">
        <f t="shared" si="44"/>
        <v>3PT%</v>
      </c>
      <c r="B1442">
        <f t="shared" si="45"/>
        <v>8803</v>
      </c>
      <c r="D1442" s="1"/>
      <c r="E1442" s="1" t="s">
        <v>141</v>
      </c>
      <c r="F1442" s="1">
        <v>27</v>
      </c>
      <c r="G1442" s="1">
        <v>1</v>
      </c>
      <c r="H1442" s="1">
        <v>37.4</v>
      </c>
      <c r="I1442" s="1"/>
      <c r="J1442" s="1"/>
    </row>
    <row r="1443" spans="1:10" x14ac:dyDescent="0.3">
      <c r="A1443" t="str">
        <f t="shared" si="44"/>
        <v>3PT%</v>
      </c>
      <c r="B1443">
        <f t="shared" si="45"/>
        <v>9503</v>
      </c>
      <c r="D1443" s="1"/>
      <c r="E1443" s="1" t="s">
        <v>85</v>
      </c>
      <c r="F1443" s="1">
        <v>36</v>
      </c>
      <c r="G1443" s="1">
        <v>2</v>
      </c>
      <c r="H1443" s="1">
        <v>37</v>
      </c>
      <c r="I1443" s="1"/>
      <c r="J1443" s="1"/>
    </row>
    <row r="1444" spans="1:10" x14ac:dyDescent="0.3">
      <c r="A1444" t="str">
        <f t="shared" si="44"/>
        <v>3PT%</v>
      </c>
      <c r="B1444">
        <f t="shared" si="45"/>
        <v>103</v>
      </c>
      <c r="D1444" s="1"/>
      <c r="E1444" s="1" t="s">
        <v>312</v>
      </c>
      <c r="F1444" s="1">
        <v>42</v>
      </c>
      <c r="G1444" s="1">
        <v>1</v>
      </c>
      <c r="H1444" s="1">
        <v>36.799999999999997</v>
      </c>
      <c r="I1444" s="1"/>
      <c r="J1444" s="1"/>
    </row>
    <row r="1445" spans="1:10" x14ac:dyDescent="0.3">
      <c r="A1445" t="str">
        <f t="shared" si="44"/>
        <v>3PT%</v>
      </c>
      <c r="B1445">
        <f t="shared" si="45"/>
        <v>3203</v>
      </c>
      <c r="D1445" s="1"/>
      <c r="E1445" s="1" t="s">
        <v>127</v>
      </c>
      <c r="F1445" s="1">
        <v>44</v>
      </c>
      <c r="G1445" s="1">
        <v>1</v>
      </c>
      <c r="H1445" s="1">
        <v>36.799999999999997</v>
      </c>
      <c r="I1445" s="1"/>
      <c r="J1445" s="1"/>
    </row>
    <row r="1446" spans="1:10" x14ac:dyDescent="0.3">
      <c r="A1446" t="str">
        <f t="shared" si="44"/>
        <v>3PT%</v>
      </c>
      <c r="B1446">
        <f t="shared" si="45"/>
        <v>9403</v>
      </c>
      <c r="D1446" s="1"/>
      <c r="E1446" s="1" t="s">
        <v>264</v>
      </c>
      <c r="F1446" s="1">
        <v>46</v>
      </c>
      <c r="G1446" s="1">
        <v>4</v>
      </c>
      <c r="H1446" s="1">
        <v>36.799999999999997</v>
      </c>
      <c r="I1446" s="1"/>
      <c r="J1446" s="1"/>
    </row>
    <row r="1447" spans="1:10" x14ac:dyDescent="0.3">
      <c r="A1447" t="str">
        <f t="shared" si="44"/>
        <v>3PT%</v>
      </c>
      <c r="B1447">
        <f t="shared" si="45"/>
        <v>2203</v>
      </c>
      <c r="D1447" s="1"/>
      <c r="E1447" s="1" t="s">
        <v>119</v>
      </c>
      <c r="F1447" s="1">
        <v>51</v>
      </c>
      <c r="G1447" s="1">
        <v>2</v>
      </c>
      <c r="H1447" s="1">
        <v>36.6</v>
      </c>
      <c r="I1447" s="1"/>
      <c r="J1447" s="1"/>
    </row>
    <row r="1448" spans="1:10" x14ac:dyDescent="0.3">
      <c r="A1448" t="str">
        <f t="shared" si="44"/>
        <v>3PT%</v>
      </c>
      <c r="B1448">
        <f t="shared" si="45"/>
        <v>2503</v>
      </c>
      <c r="D1448" s="1"/>
      <c r="E1448" s="1" t="s">
        <v>92</v>
      </c>
      <c r="F1448" s="1">
        <v>54</v>
      </c>
      <c r="G1448" s="1">
        <v>5</v>
      </c>
      <c r="H1448" s="1">
        <v>36.5</v>
      </c>
      <c r="I1448" s="1"/>
      <c r="J1448" s="1"/>
    </row>
    <row r="1449" spans="1:10" x14ac:dyDescent="0.3">
      <c r="A1449" t="str">
        <f t="shared" si="44"/>
        <v>3PT%</v>
      </c>
      <c r="B1449">
        <f t="shared" si="45"/>
        <v>18603</v>
      </c>
      <c r="D1449" s="1"/>
      <c r="E1449" s="1" t="s">
        <v>425</v>
      </c>
      <c r="F1449" s="1">
        <v>55</v>
      </c>
      <c r="G1449" s="1">
        <v>6</v>
      </c>
      <c r="H1449" s="1">
        <v>36.5</v>
      </c>
      <c r="I1449" s="1"/>
      <c r="J1449" s="1"/>
    </row>
    <row r="1450" spans="1:10" x14ac:dyDescent="0.3">
      <c r="A1450" t="str">
        <f t="shared" si="44"/>
        <v>3PT%</v>
      </c>
      <c r="B1450">
        <f t="shared" si="45"/>
        <v>18503</v>
      </c>
      <c r="D1450" s="1"/>
      <c r="E1450" s="1" t="s">
        <v>420</v>
      </c>
      <c r="F1450" s="1">
        <v>56</v>
      </c>
      <c r="G1450" s="1">
        <v>2</v>
      </c>
      <c r="H1450" s="1">
        <v>36.5</v>
      </c>
      <c r="I1450" s="1"/>
      <c r="J1450" s="1"/>
    </row>
    <row r="1451" spans="1:10" x14ac:dyDescent="0.3">
      <c r="A1451" t="str">
        <f t="shared" si="44"/>
        <v>3PT%</v>
      </c>
      <c r="B1451">
        <f t="shared" si="45"/>
        <v>18303</v>
      </c>
      <c r="D1451" s="1"/>
      <c r="E1451" s="1" t="s">
        <v>423</v>
      </c>
      <c r="F1451" s="1">
        <v>62</v>
      </c>
      <c r="G1451" s="1">
        <v>4</v>
      </c>
      <c r="H1451" s="1">
        <v>36.4</v>
      </c>
      <c r="I1451" s="1"/>
      <c r="J1451" s="1"/>
    </row>
    <row r="1452" spans="1:10" x14ac:dyDescent="0.3">
      <c r="A1452" t="str">
        <f t="shared" si="44"/>
        <v>3PT%</v>
      </c>
      <c r="B1452">
        <f t="shared" si="45"/>
        <v>2303</v>
      </c>
      <c r="D1452" s="1"/>
      <c r="E1452" s="1" t="s">
        <v>79</v>
      </c>
      <c r="F1452" s="1">
        <v>65</v>
      </c>
      <c r="G1452" s="1">
        <v>3</v>
      </c>
      <c r="H1452" s="1">
        <v>36.299999999999997</v>
      </c>
      <c r="I1452" s="1"/>
      <c r="J1452" s="1"/>
    </row>
    <row r="1453" spans="1:10" x14ac:dyDescent="0.3">
      <c r="A1453" t="str">
        <f t="shared" si="44"/>
        <v>3PT%</v>
      </c>
      <c r="B1453">
        <f t="shared" si="45"/>
        <v>8603</v>
      </c>
      <c r="D1453" s="1"/>
      <c r="E1453" s="1" t="s">
        <v>259</v>
      </c>
      <c r="F1453" s="1">
        <v>72</v>
      </c>
      <c r="G1453" s="1">
        <v>2</v>
      </c>
      <c r="H1453" s="1">
        <v>36.200000000000003</v>
      </c>
      <c r="I1453" s="1"/>
      <c r="J1453" s="1"/>
    </row>
    <row r="1454" spans="1:10" x14ac:dyDescent="0.3">
      <c r="A1454" t="str">
        <f t="shared" si="44"/>
        <v>3PT%</v>
      </c>
      <c r="B1454">
        <f t="shared" si="45"/>
        <v>2103</v>
      </c>
      <c r="D1454" s="1"/>
      <c r="E1454" s="1" t="s">
        <v>136</v>
      </c>
      <c r="F1454" s="1">
        <v>73</v>
      </c>
      <c r="G1454" s="1">
        <v>3</v>
      </c>
      <c r="H1454" s="1">
        <v>36.200000000000003</v>
      </c>
      <c r="I1454" s="1"/>
      <c r="J1454" s="1"/>
    </row>
    <row r="1455" spans="1:10" x14ac:dyDescent="0.3">
      <c r="A1455" t="str">
        <f t="shared" si="44"/>
        <v>3PT%</v>
      </c>
      <c r="B1455">
        <f t="shared" si="45"/>
        <v>5303</v>
      </c>
      <c r="D1455" s="1"/>
      <c r="E1455" s="1" t="s">
        <v>242</v>
      </c>
      <c r="F1455" s="1">
        <v>79</v>
      </c>
      <c r="G1455" s="1">
        <v>5</v>
      </c>
      <c r="H1455" s="1">
        <v>36</v>
      </c>
      <c r="I1455" s="1"/>
      <c r="J1455" s="1"/>
    </row>
    <row r="1456" spans="1:10" x14ac:dyDescent="0.3">
      <c r="A1456" t="str">
        <f t="shared" si="44"/>
        <v>3PT%</v>
      </c>
      <c r="B1456">
        <f t="shared" si="45"/>
        <v>14103</v>
      </c>
      <c r="D1456" s="1"/>
      <c r="E1456" s="1" t="s">
        <v>299</v>
      </c>
      <c r="F1456" s="1">
        <v>81</v>
      </c>
      <c r="G1456" s="1">
        <v>1</v>
      </c>
      <c r="H1456" s="1">
        <v>36</v>
      </c>
      <c r="I1456" s="1"/>
      <c r="J1456" s="1"/>
    </row>
    <row r="1457" spans="1:10" x14ac:dyDescent="0.3">
      <c r="A1457" t="str">
        <f t="shared" si="44"/>
        <v>3PT%</v>
      </c>
      <c r="B1457">
        <f t="shared" si="45"/>
        <v>7903</v>
      </c>
      <c r="D1457" s="1"/>
      <c r="E1457" s="1" t="s">
        <v>103</v>
      </c>
      <c r="F1457" s="1">
        <v>86</v>
      </c>
      <c r="G1457" s="1">
        <v>2</v>
      </c>
      <c r="H1457" s="1">
        <v>35.799999999999997</v>
      </c>
      <c r="I1457" s="1"/>
      <c r="J1457" s="1"/>
    </row>
    <row r="1458" spans="1:10" x14ac:dyDescent="0.3">
      <c r="A1458" t="str">
        <f t="shared" si="44"/>
        <v>3PT%</v>
      </c>
      <c r="B1458">
        <f t="shared" si="45"/>
        <v>3103</v>
      </c>
      <c r="D1458" s="1"/>
      <c r="E1458" s="1" t="s">
        <v>93</v>
      </c>
      <c r="F1458" s="1">
        <v>103</v>
      </c>
      <c r="G1458" s="1">
        <v>4</v>
      </c>
      <c r="H1458" s="1">
        <v>35.4</v>
      </c>
      <c r="I1458" s="1"/>
      <c r="J1458" s="1"/>
    </row>
    <row r="1459" spans="1:10" x14ac:dyDescent="0.3">
      <c r="A1459" t="str">
        <f t="shared" si="44"/>
        <v>3PT%</v>
      </c>
      <c r="B1459">
        <f t="shared" si="45"/>
        <v>3303</v>
      </c>
      <c r="D1459" s="1"/>
      <c r="E1459" s="1" t="s">
        <v>91</v>
      </c>
      <c r="F1459" s="1">
        <v>107</v>
      </c>
      <c r="G1459" s="1">
        <v>5</v>
      </c>
      <c r="H1459" s="1">
        <v>35.299999999999997</v>
      </c>
      <c r="I1459" s="1"/>
      <c r="J1459" s="1"/>
    </row>
    <row r="1460" spans="1:10" x14ac:dyDescent="0.3">
      <c r="A1460" t="str">
        <f t="shared" si="44"/>
        <v>3PT%</v>
      </c>
      <c r="B1460">
        <f t="shared" si="45"/>
        <v>6603</v>
      </c>
      <c r="D1460" s="1"/>
      <c r="E1460" s="1" t="s">
        <v>247</v>
      </c>
      <c r="F1460" s="1">
        <v>108</v>
      </c>
      <c r="G1460" s="1">
        <v>2</v>
      </c>
      <c r="H1460" s="1">
        <v>35.299999999999997</v>
      </c>
      <c r="I1460" s="1"/>
      <c r="J1460" s="1"/>
    </row>
    <row r="1461" spans="1:10" x14ac:dyDescent="0.3">
      <c r="A1461" t="str">
        <f t="shared" si="44"/>
        <v>3PT%</v>
      </c>
      <c r="B1461">
        <f t="shared" si="45"/>
        <v>4603</v>
      </c>
      <c r="D1461" s="1"/>
      <c r="E1461" s="1" t="s">
        <v>101</v>
      </c>
      <c r="F1461" s="1">
        <v>121</v>
      </c>
      <c r="G1461" s="1">
        <v>6</v>
      </c>
      <c r="H1461" s="1">
        <v>35.1</v>
      </c>
      <c r="I1461" s="1"/>
      <c r="J1461" s="1"/>
    </row>
    <row r="1462" spans="1:10" x14ac:dyDescent="0.3">
      <c r="A1462" t="str">
        <f t="shared" si="44"/>
        <v>3PT%</v>
      </c>
      <c r="B1462">
        <f t="shared" si="45"/>
        <v>13303</v>
      </c>
      <c r="D1462" s="1"/>
      <c r="E1462" s="1" t="s">
        <v>291</v>
      </c>
      <c r="F1462" s="1">
        <v>127</v>
      </c>
      <c r="G1462" s="1">
        <v>3</v>
      </c>
      <c r="H1462" s="1">
        <v>35</v>
      </c>
      <c r="I1462" s="1"/>
      <c r="J1462" s="1"/>
    </row>
    <row r="1463" spans="1:10" x14ac:dyDescent="0.3">
      <c r="A1463" t="str">
        <f t="shared" si="44"/>
        <v>3PT%</v>
      </c>
      <c r="B1463">
        <f t="shared" si="45"/>
        <v>2603</v>
      </c>
      <c r="D1463" s="1"/>
      <c r="E1463" s="1" t="s">
        <v>80</v>
      </c>
      <c r="F1463" s="1">
        <v>130</v>
      </c>
      <c r="G1463" s="1">
        <v>8</v>
      </c>
      <c r="H1463" s="1">
        <v>35</v>
      </c>
      <c r="I1463" s="1"/>
      <c r="J1463" s="1"/>
    </row>
    <row r="1464" spans="1:10" x14ac:dyDescent="0.3">
      <c r="A1464" t="str">
        <f t="shared" si="44"/>
        <v>3PT%</v>
      </c>
      <c r="B1464">
        <f t="shared" si="45"/>
        <v>18903</v>
      </c>
      <c r="D1464" s="1"/>
      <c r="E1464" s="1" t="s">
        <v>422</v>
      </c>
      <c r="F1464" s="1">
        <v>131</v>
      </c>
      <c r="G1464" s="1">
        <v>4</v>
      </c>
      <c r="H1464" s="1">
        <v>35</v>
      </c>
      <c r="I1464" s="1"/>
      <c r="J1464" s="1"/>
    </row>
    <row r="1465" spans="1:10" x14ac:dyDescent="0.3">
      <c r="A1465" t="str">
        <f t="shared" si="44"/>
        <v>3PT%</v>
      </c>
      <c r="B1465">
        <f t="shared" si="45"/>
        <v>9003</v>
      </c>
      <c r="D1465" s="1"/>
      <c r="E1465" s="1" t="s">
        <v>261</v>
      </c>
      <c r="F1465" s="1">
        <v>137</v>
      </c>
      <c r="G1465" s="1">
        <v>4</v>
      </c>
      <c r="H1465" s="1">
        <v>34.9</v>
      </c>
      <c r="I1465" s="1"/>
      <c r="J1465" s="1"/>
    </row>
    <row r="1466" spans="1:10" x14ac:dyDescent="0.3">
      <c r="A1466" t="str">
        <f t="shared" si="44"/>
        <v>3PT%</v>
      </c>
      <c r="B1466">
        <f t="shared" si="45"/>
        <v>1203</v>
      </c>
      <c r="D1466" s="1"/>
      <c r="E1466" s="1" t="s">
        <v>130</v>
      </c>
      <c r="F1466" s="1">
        <v>139</v>
      </c>
      <c r="G1466" s="1">
        <v>9</v>
      </c>
      <c r="H1466" s="1">
        <v>34.799999999999997</v>
      </c>
      <c r="I1466" s="1"/>
      <c r="J1466" s="1"/>
    </row>
    <row r="1467" spans="1:10" x14ac:dyDescent="0.3">
      <c r="A1467" t="str">
        <f t="shared" si="44"/>
        <v>3PT%</v>
      </c>
      <c r="B1467">
        <f t="shared" si="45"/>
        <v>12203</v>
      </c>
      <c r="D1467" s="1"/>
      <c r="E1467" s="1" t="s">
        <v>284</v>
      </c>
      <c r="F1467" s="1">
        <v>144</v>
      </c>
      <c r="G1467" s="1">
        <v>5</v>
      </c>
      <c r="H1467" s="1">
        <v>34.799999999999997</v>
      </c>
      <c r="I1467" s="1"/>
      <c r="J1467" s="1"/>
    </row>
    <row r="1468" spans="1:10" x14ac:dyDescent="0.3">
      <c r="A1468" t="str">
        <f t="shared" si="44"/>
        <v>3PT%</v>
      </c>
      <c r="B1468">
        <f t="shared" si="45"/>
        <v>5503</v>
      </c>
      <c r="D1468" s="1"/>
      <c r="E1468" s="1" t="s">
        <v>86</v>
      </c>
      <c r="F1468" s="1">
        <v>145</v>
      </c>
      <c r="G1468" s="1">
        <v>2</v>
      </c>
      <c r="H1468" s="1">
        <v>34.700000000000003</v>
      </c>
      <c r="I1468" s="1"/>
      <c r="J1468" s="1"/>
    </row>
    <row r="1469" spans="1:10" x14ac:dyDescent="0.3">
      <c r="A1469" t="str">
        <f t="shared" si="44"/>
        <v>3PT%</v>
      </c>
      <c r="B1469">
        <f t="shared" si="45"/>
        <v>1903</v>
      </c>
      <c r="D1469" s="1"/>
      <c r="E1469" s="1" t="s">
        <v>112</v>
      </c>
      <c r="F1469" s="1">
        <v>148</v>
      </c>
      <c r="G1469" s="1">
        <v>9</v>
      </c>
      <c r="H1469" s="1">
        <v>34.700000000000003</v>
      </c>
      <c r="I1469" s="1"/>
      <c r="J1469" s="1"/>
    </row>
    <row r="1470" spans="1:10" x14ac:dyDescent="0.3">
      <c r="A1470" t="str">
        <f t="shared" si="44"/>
        <v>3PT%</v>
      </c>
      <c r="B1470">
        <f t="shared" si="45"/>
        <v>6703</v>
      </c>
      <c r="D1470" s="1"/>
      <c r="E1470" s="1" t="s">
        <v>118</v>
      </c>
      <c r="F1470" s="1">
        <v>149</v>
      </c>
      <c r="G1470" s="1">
        <v>4</v>
      </c>
      <c r="H1470" s="1">
        <v>34.700000000000003</v>
      </c>
      <c r="I1470" s="1"/>
      <c r="J1470" s="1"/>
    </row>
    <row r="1471" spans="1:10" x14ac:dyDescent="0.3">
      <c r="A1471" t="str">
        <f t="shared" si="44"/>
        <v>3PT%</v>
      </c>
      <c r="B1471">
        <f t="shared" si="45"/>
        <v>3903</v>
      </c>
      <c r="D1471" s="1"/>
      <c r="E1471" s="1" t="s">
        <v>88</v>
      </c>
      <c r="F1471" s="1">
        <v>150</v>
      </c>
      <c r="G1471" s="1">
        <v>5</v>
      </c>
      <c r="H1471" s="1">
        <v>34.700000000000003</v>
      </c>
      <c r="I1471" s="1"/>
      <c r="J1471" s="1"/>
    </row>
    <row r="1472" spans="1:10" x14ac:dyDescent="0.3">
      <c r="A1472" t="str">
        <f t="shared" si="44"/>
        <v>3PT%</v>
      </c>
      <c r="B1472">
        <f t="shared" si="45"/>
        <v>6803</v>
      </c>
      <c r="D1472" s="1"/>
      <c r="E1472" s="1" t="s">
        <v>248</v>
      </c>
      <c r="F1472" s="1">
        <v>152</v>
      </c>
      <c r="G1472" s="1">
        <v>6</v>
      </c>
      <c r="H1472" s="1">
        <v>34.6</v>
      </c>
      <c r="I1472" s="1"/>
      <c r="J1472" s="1"/>
    </row>
    <row r="1473" spans="1:10" x14ac:dyDescent="0.3">
      <c r="A1473" t="str">
        <f t="shared" si="44"/>
        <v>3PT%</v>
      </c>
      <c r="B1473">
        <f t="shared" si="45"/>
        <v>2403</v>
      </c>
      <c r="D1473" s="1"/>
      <c r="E1473" s="1" t="s">
        <v>330</v>
      </c>
      <c r="F1473" s="1">
        <v>157</v>
      </c>
      <c r="G1473" s="1">
        <v>5</v>
      </c>
      <c r="H1473" s="1">
        <v>34.5</v>
      </c>
      <c r="I1473" s="1"/>
      <c r="J1473" s="1"/>
    </row>
    <row r="1474" spans="1:10" x14ac:dyDescent="0.3">
      <c r="A1474" t="str">
        <f t="shared" ref="A1474:A1537" si="46">IF(NOT(D1474=""),INDEX(statAbbr,MATCH(D1474,statOfficial,0),1),A1473)</f>
        <v>3PT%</v>
      </c>
      <c r="B1474">
        <f t="shared" ref="B1474:B1537" si="47">INDEX(statID,MATCH(A1474,statAbbr,0),1)+INDEX(teamID,MATCH(E1474,teamRawName,0))</f>
        <v>18403</v>
      </c>
      <c r="D1474" s="1"/>
      <c r="E1474" s="1" t="s">
        <v>417</v>
      </c>
      <c r="F1474" s="1">
        <v>160</v>
      </c>
      <c r="G1474" s="1">
        <v>3</v>
      </c>
      <c r="H1474" s="1">
        <v>34.5</v>
      </c>
      <c r="I1474" s="1"/>
      <c r="J1474" s="1"/>
    </row>
    <row r="1475" spans="1:10" x14ac:dyDescent="0.3">
      <c r="A1475" t="str">
        <f t="shared" si="46"/>
        <v>3PT%</v>
      </c>
      <c r="B1475">
        <f t="shared" si="47"/>
        <v>19103</v>
      </c>
      <c r="D1475" s="1"/>
      <c r="E1475" s="1" t="s">
        <v>421</v>
      </c>
      <c r="F1475" s="1">
        <v>162</v>
      </c>
      <c r="G1475" s="1">
        <v>5</v>
      </c>
      <c r="H1475" s="1">
        <v>34.4</v>
      </c>
      <c r="I1475" s="1"/>
      <c r="J1475" s="1"/>
    </row>
    <row r="1476" spans="1:10" x14ac:dyDescent="0.3">
      <c r="A1476" t="str">
        <f t="shared" si="46"/>
        <v>3PT%</v>
      </c>
      <c r="B1476">
        <f t="shared" si="47"/>
        <v>703</v>
      </c>
      <c r="D1476" s="1"/>
      <c r="E1476" s="1" t="s">
        <v>319</v>
      </c>
      <c r="F1476" s="1">
        <v>165</v>
      </c>
      <c r="G1476" s="1">
        <v>7</v>
      </c>
      <c r="H1476" s="1">
        <v>34.299999999999997</v>
      </c>
      <c r="I1476" s="1"/>
      <c r="J1476" s="1"/>
    </row>
    <row r="1477" spans="1:10" x14ac:dyDescent="0.3">
      <c r="A1477" t="str">
        <f t="shared" si="46"/>
        <v>3PT%</v>
      </c>
      <c r="B1477">
        <f t="shared" si="47"/>
        <v>18803</v>
      </c>
      <c r="D1477" s="1"/>
      <c r="E1477" s="1" t="s">
        <v>424</v>
      </c>
      <c r="F1477" s="1">
        <v>167</v>
      </c>
      <c r="G1477" s="1">
        <v>6</v>
      </c>
      <c r="H1477" s="1">
        <v>34.200000000000003</v>
      </c>
      <c r="I1477" s="1"/>
      <c r="J1477" s="1"/>
    </row>
    <row r="1478" spans="1:10" x14ac:dyDescent="0.3">
      <c r="A1478" t="str">
        <f t="shared" si="46"/>
        <v>3PT%</v>
      </c>
      <c r="B1478">
        <f t="shared" si="47"/>
        <v>3403</v>
      </c>
      <c r="D1478" s="1"/>
      <c r="E1478" s="1" t="s">
        <v>237</v>
      </c>
      <c r="F1478" s="1">
        <v>170</v>
      </c>
      <c r="G1478" s="1">
        <v>5</v>
      </c>
      <c r="H1478" s="1">
        <v>34.200000000000003</v>
      </c>
      <c r="I1478" s="1"/>
      <c r="J1478" s="1"/>
    </row>
    <row r="1479" spans="1:10" x14ac:dyDescent="0.3">
      <c r="A1479" t="str">
        <f t="shared" si="46"/>
        <v>3PT%</v>
      </c>
      <c r="B1479">
        <f t="shared" si="47"/>
        <v>5203</v>
      </c>
      <c r="D1479" s="1"/>
      <c r="E1479" s="1" t="s">
        <v>241</v>
      </c>
      <c r="F1479" s="1">
        <v>178</v>
      </c>
      <c r="G1479" s="1">
        <v>7</v>
      </c>
      <c r="H1479" s="1">
        <v>34</v>
      </c>
      <c r="I1479" s="1"/>
      <c r="J1479" s="1"/>
    </row>
    <row r="1480" spans="1:10" x14ac:dyDescent="0.3">
      <c r="A1480" t="str">
        <f t="shared" si="46"/>
        <v>3PT%</v>
      </c>
      <c r="B1480">
        <f t="shared" si="47"/>
        <v>2803</v>
      </c>
      <c r="D1480" s="1"/>
      <c r="E1480" s="1" t="s">
        <v>106</v>
      </c>
      <c r="F1480" s="1">
        <v>181</v>
      </c>
      <c r="G1480" s="1">
        <v>4</v>
      </c>
      <c r="H1480" s="1">
        <v>34</v>
      </c>
      <c r="I1480" s="1"/>
      <c r="J1480" s="1"/>
    </row>
    <row r="1481" spans="1:10" x14ac:dyDescent="0.3">
      <c r="A1481" t="str">
        <f t="shared" si="46"/>
        <v>3PT%</v>
      </c>
      <c r="B1481">
        <f t="shared" si="47"/>
        <v>12003</v>
      </c>
      <c r="D1481" s="1"/>
      <c r="E1481" s="1" t="s">
        <v>135</v>
      </c>
      <c r="F1481" s="1">
        <v>200</v>
      </c>
      <c r="G1481" s="1">
        <v>10</v>
      </c>
      <c r="H1481" s="1">
        <v>33.6</v>
      </c>
      <c r="I1481" s="1"/>
      <c r="J1481" s="1"/>
    </row>
    <row r="1482" spans="1:10" x14ac:dyDescent="0.3">
      <c r="A1482" t="str">
        <f t="shared" si="46"/>
        <v>3PT%</v>
      </c>
      <c r="B1482">
        <f t="shared" si="47"/>
        <v>13403</v>
      </c>
      <c r="D1482" s="1"/>
      <c r="E1482" s="1" t="s">
        <v>400</v>
      </c>
      <c r="F1482" s="1">
        <v>204</v>
      </c>
      <c r="G1482" s="1">
        <v>8</v>
      </c>
      <c r="H1482" s="1">
        <v>33.6</v>
      </c>
      <c r="I1482" s="1"/>
      <c r="J1482" s="1"/>
    </row>
    <row r="1483" spans="1:10" x14ac:dyDescent="0.3">
      <c r="A1483" t="str">
        <f t="shared" si="46"/>
        <v>3PT%</v>
      </c>
      <c r="B1483">
        <f t="shared" si="47"/>
        <v>5403</v>
      </c>
      <c r="D1483" s="1"/>
      <c r="E1483" s="1" t="s">
        <v>94</v>
      </c>
      <c r="F1483" s="1">
        <v>207</v>
      </c>
      <c r="G1483" s="1">
        <v>10</v>
      </c>
      <c r="H1483" s="1">
        <v>33.5</v>
      </c>
      <c r="I1483" s="1"/>
      <c r="J1483" s="1"/>
    </row>
    <row r="1484" spans="1:10" x14ac:dyDescent="0.3">
      <c r="A1484" t="str">
        <f t="shared" si="46"/>
        <v>3PT%</v>
      </c>
      <c r="B1484">
        <f t="shared" si="47"/>
        <v>3703</v>
      </c>
      <c r="D1484" s="1"/>
      <c r="E1484" s="1" t="s">
        <v>115</v>
      </c>
      <c r="F1484" s="1">
        <v>210</v>
      </c>
      <c r="G1484" s="1">
        <v>4</v>
      </c>
      <c r="H1484" s="1">
        <v>33.5</v>
      </c>
      <c r="I1484" s="1"/>
      <c r="J1484" s="1"/>
    </row>
    <row r="1485" spans="1:10" x14ac:dyDescent="0.3">
      <c r="A1485" t="str">
        <f t="shared" si="46"/>
        <v>3PT%</v>
      </c>
      <c r="B1485">
        <f t="shared" si="47"/>
        <v>603</v>
      </c>
      <c r="D1485" s="1"/>
      <c r="E1485" s="1" t="s">
        <v>100</v>
      </c>
      <c r="F1485" s="1">
        <v>228</v>
      </c>
      <c r="G1485" s="1">
        <v>9</v>
      </c>
      <c r="H1485" s="1">
        <v>33.1</v>
      </c>
      <c r="I1485" s="1"/>
      <c r="J1485" s="1"/>
    </row>
    <row r="1486" spans="1:10" x14ac:dyDescent="0.3">
      <c r="A1486" t="str">
        <f t="shared" si="46"/>
        <v>3PT%</v>
      </c>
      <c r="B1486">
        <f t="shared" si="47"/>
        <v>11503</v>
      </c>
      <c r="D1486" s="1"/>
      <c r="E1486" s="1" t="s">
        <v>97</v>
      </c>
      <c r="F1486" s="1">
        <v>230</v>
      </c>
      <c r="G1486" s="1">
        <v>7</v>
      </c>
      <c r="H1486" s="1">
        <v>33.1</v>
      </c>
      <c r="I1486" s="1"/>
      <c r="J1486" s="1"/>
    </row>
    <row r="1487" spans="1:10" x14ac:dyDescent="0.3">
      <c r="A1487" t="str">
        <f t="shared" si="46"/>
        <v>3PT%</v>
      </c>
      <c r="B1487">
        <f t="shared" si="47"/>
        <v>3503</v>
      </c>
      <c r="D1487" s="1"/>
      <c r="E1487" s="1" t="s">
        <v>87</v>
      </c>
      <c r="F1487" s="1">
        <v>247</v>
      </c>
      <c r="G1487" s="1">
        <v>5</v>
      </c>
      <c r="H1487" s="1">
        <v>32.9</v>
      </c>
      <c r="I1487" s="1"/>
      <c r="J1487" s="1"/>
    </row>
    <row r="1488" spans="1:10" x14ac:dyDescent="0.3">
      <c r="A1488" t="str">
        <f t="shared" si="46"/>
        <v>3PT%</v>
      </c>
      <c r="B1488">
        <f t="shared" si="47"/>
        <v>11103</v>
      </c>
      <c r="D1488" s="1"/>
      <c r="E1488" s="1" t="s">
        <v>277</v>
      </c>
      <c r="F1488" s="1">
        <v>248</v>
      </c>
      <c r="G1488" s="1">
        <v>8</v>
      </c>
      <c r="H1488" s="1">
        <v>32.799999999999997</v>
      </c>
      <c r="I1488" s="1"/>
      <c r="J1488" s="1"/>
    </row>
    <row r="1489" spans="1:10" x14ac:dyDescent="0.3">
      <c r="A1489" t="str">
        <f t="shared" si="46"/>
        <v>3PT%</v>
      </c>
      <c r="B1489">
        <f t="shared" si="47"/>
        <v>15203</v>
      </c>
      <c r="D1489" s="1"/>
      <c r="E1489" s="1" t="s">
        <v>426</v>
      </c>
      <c r="F1489" s="1">
        <v>256</v>
      </c>
      <c r="G1489" s="1">
        <v>7</v>
      </c>
      <c r="H1489" s="1">
        <v>32.700000000000003</v>
      </c>
      <c r="I1489" s="1"/>
      <c r="J1489" s="1"/>
    </row>
    <row r="1490" spans="1:10" x14ac:dyDescent="0.3">
      <c r="A1490" t="str">
        <f t="shared" si="46"/>
        <v>3PT%</v>
      </c>
      <c r="B1490">
        <f t="shared" si="47"/>
        <v>3603</v>
      </c>
      <c r="D1490" s="1"/>
      <c r="E1490" s="1" t="s">
        <v>129</v>
      </c>
      <c r="F1490" s="1">
        <v>259</v>
      </c>
      <c r="G1490" s="1">
        <v>7</v>
      </c>
      <c r="H1490" s="1">
        <v>32.6</v>
      </c>
      <c r="I1490" s="1"/>
      <c r="J1490" s="1"/>
    </row>
    <row r="1491" spans="1:10" x14ac:dyDescent="0.3">
      <c r="A1491" t="str">
        <f t="shared" si="46"/>
        <v>3PT%</v>
      </c>
      <c r="B1491">
        <f t="shared" si="47"/>
        <v>14503</v>
      </c>
      <c r="D1491" s="1"/>
      <c r="E1491" s="1" t="s">
        <v>402</v>
      </c>
      <c r="F1491" s="1">
        <v>277</v>
      </c>
      <c r="G1491" s="1">
        <v>7</v>
      </c>
      <c r="H1491" s="1">
        <v>32.200000000000003</v>
      </c>
      <c r="I1491" s="1"/>
      <c r="J1491" s="1"/>
    </row>
    <row r="1492" spans="1:10" x14ac:dyDescent="0.3">
      <c r="A1492" t="str">
        <f t="shared" si="46"/>
        <v>3PT%</v>
      </c>
      <c r="B1492">
        <f t="shared" si="47"/>
        <v>3003</v>
      </c>
      <c r="D1492" s="1"/>
      <c r="E1492" s="1" t="s">
        <v>89</v>
      </c>
      <c r="F1492" s="1">
        <v>281</v>
      </c>
      <c r="G1492" s="1">
        <v>11</v>
      </c>
      <c r="H1492" s="1">
        <v>32.200000000000003</v>
      </c>
      <c r="I1492" s="1"/>
      <c r="J1492" s="1"/>
    </row>
    <row r="1493" spans="1:10" x14ac:dyDescent="0.3">
      <c r="A1493" t="str">
        <f t="shared" si="46"/>
        <v>3PT%</v>
      </c>
      <c r="B1493">
        <f t="shared" si="47"/>
        <v>6203</v>
      </c>
      <c r="D1493" s="1"/>
      <c r="E1493" s="1" t="s">
        <v>81</v>
      </c>
      <c r="F1493" s="1">
        <v>285</v>
      </c>
      <c r="G1493" s="1">
        <v>12</v>
      </c>
      <c r="H1493" s="1">
        <v>32.1</v>
      </c>
      <c r="I1493" s="1"/>
      <c r="J1493" s="1"/>
    </row>
    <row r="1494" spans="1:10" x14ac:dyDescent="0.3">
      <c r="A1494" t="str">
        <f t="shared" si="46"/>
        <v>3PT%</v>
      </c>
      <c r="B1494">
        <f t="shared" si="47"/>
        <v>4503</v>
      </c>
      <c r="D1494" s="1"/>
      <c r="E1494" s="1" t="s">
        <v>84</v>
      </c>
      <c r="F1494" s="1">
        <v>309</v>
      </c>
      <c r="G1494" s="1">
        <v>10</v>
      </c>
      <c r="H1494" s="1">
        <v>31.5</v>
      </c>
      <c r="I1494" s="1"/>
      <c r="J1494" s="1"/>
    </row>
    <row r="1495" spans="1:10" x14ac:dyDescent="0.3">
      <c r="A1495" t="str">
        <f t="shared" si="46"/>
        <v>3PT%</v>
      </c>
      <c r="B1495">
        <f t="shared" si="47"/>
        <v>8103</v>
      </c>
      <c r="D1495" s="1"/>
      <c r="E1495" s="1" t="s">
        <v>256</v>
      </c>
      <c r="F1495" s="1">
        <v>315</v>
      </c>
      <c r="G1495" s="1">
        <v>12</v>
      </c>
      <c r="H1495" s="1">
        <v>31.3</v>
      </c>
      <c r="I1495" s="1"/>
      <c r="J1495" s="1"/>
    </row>
    <row r="1496" spans="1:10" x14ac:dyDescent="0.3">
      <c r="A1496" t="str">
        <f t="shared" si="46"/>
        <v>3PT%</v>
      </c>
      <c r="B1496">
        <f t="shared" si="47"/>
        <v>5603</v>
      </c>
      <c r="D1496" s="1"/>
      <c r="E1496" s="1" t="s">
        <v>62</v>
      </c>
      <c r="F1496" s="1">
        <v>323</v>
      </c>
      <c r="G1496" s="1">
        <v>11</v>
      </c>
      <c r="H1496" s="1">
        <v>31</v>
      </c>
      <c r="I1496" s="1"/>
      <c r="J1496" s="1"/>
    </row>
    <row r="1497" spans="1:10" x14ac:dyDescent="0.3">
      <c r="A1497" t="str">
        <f t="shared" si="46"/>
        <v>3PT%</v>
      </c>
      <c r="B1497">
        <f t="shared" si="47"/>
        <v>4303</v>
      </c>
      <c r="D1497" s="1"/>
      <c r="E1497" s="1" t="s">
        <v>125</v>
      </c>
      <c r="F1497" s="1">
        <v>329</v>
      </c>
      <c r="G1497" s="1">
        <v>14</v>
      </c>
      <c r="H1497" s="1">
        <v>30.8</v>
      </c>
      <c r="I1497" s="1"/>
      <c r="J1497" s="1"/>
    </row>
    <row r="1498" spans="1:10" x14ac:dyDescent="0.3">
      <c r="A1498" t="str">
        <f t="shared" si="46"/>
        <v>3PT%</v>
      </c>
      <c r="B1498">
        <f t="shared" si="47"/>
        <v>11803</v>
      </c>
      <c r="D1498" s="1"/>
      <c r="E1498" s="1" t="s">
        <v>281</v>
      </c>
      <c r="F1498" s="1">
        <v>351</v>
      </c>
      <c r="G1498" s="1">
        <v>12</v>
      </c>
      <c r="H1498" s="1">
        <v>27.7</v>
      </c>
      <c r="I1498" s="1"/>
      <c r="J1498" s="1"/>
    </row>
    <row r="1499" spans="1:10" x14ac:dyDescent="0.3">
      <c r="A1499" t="str">
        <f t="shared" si="46"/>
        <v>3PT%</v>
      </c>
      <c r="B1499">
        <f t="shared" si="47"/>
        <v>1603</v>
      </c>
      <c r="D1499" s="1"/>
      <c r="E1499" s="1" t="s">
        <v>137</v>
      </c>
      <c r="F1499" s="1">
        <v>352</v>
      </c>
      <c r="G1499" s="1">
        <v>14</v>
      </c>
      <c r="H1499" s="1">
        <v>26.6</v>
      </c>
      <c r="I1499" s="1"/>
      <c r="J1499" s="1"/>
    </row>
    <row r="1500" spans="1:10" x14ac:dyDescent="0.3">
      <c r="A1500" t="str">
        <f t="shared" si="46"/>
        <v>3PD%</v>
      </c>
      <c r="B1500">
        <f t="shared" si="47"/>
        <v>3501</v>
      </c>
      <c r="D1500" s="1" t="s">
        <v>453</v>
      </c>
      <c r="E1500" s="1" t="s">
        <v>87</v>
      </c>
      <c r="F1500" s="1">
        <v>1</v>
      </c>
      <c r="G1500" s="1">
        <v>1</v>
      </c>
      <c r="H1500" s="1">
        <v>26.5</v>
      </c>
      <c r="I1500" s="1" t="s">
        <v>87</v>
      </c>
      <c r="J1500" s="1">
        <v>26.5</v>
      </c>
    </row>
    <row r="1501" spans="1:10" x14ac:dyDescent="0.3">
      <c r="A1501" t="str">
        <f t="shared" si="46"/>
        <v>3PD%</v>
      </c>
      <c r="B1501">
        <f t="shared" si="47"/>
        <v>2801</v>
      </c>
      <c r="D1501" s="1"/>
      <c r="E1501" s="1" t="s">
        <v>106</v>
      </c>
      <c r="F1501" s="1">
        <v>2</v>
      </c>
      <c r="G1501" s="1">
        <v>1</v>
      </c>
      <c r="H1501" s="1">
        <v>27.9</v>
      </c>
      <c r="I1501" s="1"/>
      <c r="J1501" s="1"/>
    </row>
    <row r="1502" spans="1:10" x14ac:dyDescent="0.3">
      <c r="A1502" t="str">
        <f t="shared" si="46"/>
        <v>3PD%</v>
      </c>
      <c r="B1502">
        <f t="shared" si="47"/>
        <v>3701</v>
      </c>
      <c r="D1502" s="1"/>
      <c r="E1502" s="1" t="s">
        <v>115</v>
      </c>
      <c r="F1502" s="1">
        <v>3</v>
      </c>
      <c r="G1502" s="1">
        <v>2</v>
      </c>
      <c r="H1502" s="1">
        <v>28.3</v>
      </c>
      <c r="I1502" s="1"/>
      <c r="J1502" s="1"/>
    </row>
    <row r="1503" spans="1:10" x14ac:dyDescent="0.3">
      <c r="A1503" t="str">
        <f t="shared" si="46"/>
        <v>3PD%</v>
      </c>
      <c r="B1503">
        <f t="shared" si="47"/>
        <v>1201</v>
      </c>
      <c r="D1503" s="1"/>
      <c r="E1503" s="1" t="s">
        <v>130</v>
      </c>
      <c r="F1503" s="1">
        <v>4</v>
      </c>
      <c r="G1503" s="1">
        <v>1</v>
      </c>
      <c r="H1503" s="1">
        <v>28.4</v>
      </c>
      <c r="I1503" s="1"/>
      <c r="J1503" s="1"/>
    </row>
    <row r="1504" spans="1:10" x14ac:dyDescent="0.3">
      <c r="A1504" t="str">
        <f t="shared" si="46"/>
        <v>3PD%</v>
      </c>
      <c r="B1504">
        <f t="shared" si="47"/>
        <v>4501</v>
      </c>
      <c r="D1504" s="1"/>
      <c r="E1504" s="1" t="s">
        <v>84</v>
      </c>
      <c r="F1504" s="1">
        <v>6</v>
      </c>
      <c r="G1504" s="1">
        <v>3</v>
      </c>
      <c r="H1504" s="1">
        <v>28.8</v>
      </c>
      <c r="I1504" s="1"/>
      <c r="J1504" s="1"/>
    </row>
    <row r="1505" spans="1:10" x14ac:dyDescent="0.3">
      <c r="A1505" t="str">
        <f t="shared" si="46"/>
        <v>3PD%</v>
      </c>
      <c r="B1505">
        <f t="shared" si="47"/>
        <v>18701</v>
      </c>
      <c r="D1505" s="1"/>
      <c r="E1505" s="1" t="s">
        <v>427</v>
      </c>
      <c r="F1505" s="1">
        <v>12</v>
      </c>
      <c r="G1505" s="1">
        <v>1</v>
      </c>
      <c r="H1505" s="1">
        <v>29.7</v>
      </c>
      <c r="I1505" s="1"/>
      <c r="J1505" s="1"/>
    </row>
    <row r="1506" spans="1:10" x14ac:dyDescent="0.3">
      <c r="A1506" t="str">
        <f t="shared" si="46"/>
        <v>3PD%</v>
      </c>
      <c r="B1506">
        <f t="shared" si="47"/>
        <v>2301</v>
      </c>
      <c r="D1506" s="1"/>
      <c r="E1506" s="1" t="s">
        <v>79</v>
      </c>
      <c r="F1506" s="1">
        <v>14</v>
      </c>
      <c r="G1506" s="1">
        <v>1</v>
      </c>
      <c r="H1506" s="1">
        <v>29.7</v>
      </c>
      <c r="I1506" s="1"/>
      <c r="J1506" s="1"/>
    </row>
    <row r="1507" spans="1:10" x14ac:dyDescent="0.3">
      <c r="A1507" t="str">
        <f t="shared" si="46"/>
        <v>3PD%</v>
      </c>
      <c r="B1507">
        <f t="shared" si="47"/>
        <v>8601</v>
      </c>
      <c r="D1507" s="1"/>
      <c r="E1507" s="1" t="s">
        <v>259</v>
      </c>
      <c r="F1507" s="1">
        <v>15</v>
      </c>
      <c r="G1507" s="1">
        <v>2</v>
      </c>
      <c r="H1507" s="1">
        <v>29.7</v>
      </c>
      <c r="I1507" s="1"/>
      <c r="J1507" s="1"/>
    </row>
    <row r="1508" spans="1:10" x14ac:dyDescent="0.3">
      <c r="A1508" t="str">
        <f t="shared" si="46"/>
        <v>3PD%</v>
      </c>
      <c r="B1508">
        <f t="shared" si="47"/>
        <v>5401</v>
      </c>
      <c r="D1508" s="1"/>
      <c r="E1508" s="1" t="s">
        <v>94</v>
      </c>
      <c r="F1508" s="1">
        <v>24</v>
      </c>
      <c r="G1508" s="1">
        <v>2</v>
      </c>
      <c r="H1508" s="1">
        <v>30.5</v>
      </c>
      <c r="I1508" s="1"/>
      <c r="J1508" s="1"/>
    </row>
    <row r="1509" spans="1:10" x14ac:dyDescent="0.3">
      <c r="A1509" t="str">
        <f t="shared" si="46"/>
        <v>3PD%</v>
      </c>
      <c r="B1509">
        <f t="shared" si="47"/>
        <v>11501</v>
      </c>
      <c r="D1509" s="1"/>
      <c r="E1509" s="1" t="s">
        <v>97</v>
      </c>
      <c r="F1509" s="1">
        <v>25</v>
      </c>
      <c r="G1509" s="1">
        <v>2</v>
      </c>
      <c r="H1509" s="1">
        <v>30.6</v>
      </c>
      <c r="I1509" s="1"/>
      <c r="J1509" s="1"/>
    </row>
    <row r="1510" spans="1:10" x14ac:dyDescent="0.3">
      <c r="A1510" t="str">
        <f t="shared" si="46"/>
        <v>3PD%</v>
      </c>
      <c r="B1510">
        <f t="shared" si="47"/>
        <v>9501</v>
      </c>
      <c r="D1510" s="1"/>
      <c r="E1510" s="1" t="s">
        <v>85</v>
      </c>
      <c r="F1510" s="1">
        <v>26</v>
      </c>
      <c r="G1510" s="1">
        <v>1</v>
      </c>
      <c r="H1510" s="1">
        <v>30.7</v>
      </c>
      <c r="I1510" s="1"/>
      <c r="J1510" s="1"/>
    </row>
    <row r="1511" spans="1:10" x14ac:dyDescent="0.3">
      <c r="A1511" t="str">
        <f t="shared" si="46"/>
        <v>3PD%</v>
      </c>
      <c r="B1511">
        <f t="shared" si="47"/>
        <v>701</v>
      </c>
      <c r="D1511" s="1"/>
      <c r="E1511" s="1" t="s">
        <v>319</v>
      </c>
      <c r="F1511" s="1">
        <v>31</v>
      </c>
      <c r="G1511" s="1">
        <v>1</v>
      </c>
      <c r="H1511" s="1">
        <v>30.8</v>
      </c>
      <c r="I1511" s="1"/>
      <c r="J1511" s="1"/>
    </row>
    <row r="1512" spans="1:10" x14ac:dyDescent="0.3">
      <c r="A1512" t="str">
        <f t="shared" si="46"/>
        <v>3PD%</v>
      </c>
      <c r="B1512">
        <f t="shared" si="47"/>
        <v>6601</v>
      </c>
      <c r="D1512" s="1"/>
      <c r="E1512" s="1" t="s">
        <v>247</v>
      </c>
      <c r="F1512" s="1">
        <v>32</v>
      </c>
      <c r="G1512" s="1">
        <v>3</v>
      </c>
      <c r="H1512" s="1">
        <v>30.8</v>
      </c>
      <c r="I1512" s="1"/>
      <c r="J1512" s="1"/>
    </row>
    <row r="1513" spans="1:10" x14ac:dyDescent="0.3">
      <c r="A1513" t="str">
        <f t="shared" si="46"/>
        <v>3PD%</v>
      </c>
      <c r="B1513">
        <f t="shared" si="47"/>
        <v>5601</v>
      </c>
      <c r="D1513" s="1"/>
      <c r="E1513" s="1" t="s">
        <v>62</v>
      </c>
      <c r="F1513" s="1">
        <v>35</v>
      </c>
      <c r="G1513" s="1">
        <v>2</v>
      </c>
      <c r="H1513" s="1">
        <v>30.8</v>
      </c>
      <c r="I1513" s="1"/>
      <c r="J1513" s="1"/>
    </row>
    <row r="1514" spans="1:10" x14ac:dyDescent="0.3">
      <c r="A1514" t="str">
        <f t="shared" si="46"/>
        <v>3PD%</v>
      </c>
      <c r="B1514">
        <f t="shared" si="47"/>
        <v>3901</v>
      </c>
      <c r="D1514" s="1"/>
      <c r="E1514" s="1" t="s">
        <v>88</v>
      </c>
      <c r="F1514" s="1">
        <v>37</v>
      </c>
      <c r="G1514" s="1">
        <v>3</v>
      </c>
      <c r="H1514" s="1">
        <v>31</v>
      </c>
      <c r="I1514" s="1"/>
      <c r="J1514" s="1"/>
    </row>
    <row r="1515" spans="1:10" x14ac:dyDescent="0.3">
      <c r="A1515" t="str">
        <f t="shared" si="46"/>
        <v>3PD%</v>
      </c>
      <c r="B1515">
        <f t="shared" si="47"/>
        <v>8101</v>
      </c>
      <c r="D1515" s="1"/>
      <c r="E1515" s="1" t="s">
        <v>256</v>
      </c>
      <c r="F1515" s="1">
        <v>40</v>
      </c>
      <c r="G1515" s="1">
        <v>5</v>
      </c>
      <c r="H1515" s="1">
        <v>31.1</v>
      </c>
      <c r="I1515" s="1"/>
      <c r="J1515" s="1"/>
    </row>
    <row r="1516" spans="1:10" x14ac:dyDescent="0.3">
      <c r="A1516" t="str">
        <f t="shared" si="46"/>
        <v>3PD%</v>
      </c>
      <c r="B1516">
        <f t="shared" si="47"/>
        <v>9001</v>
      </c>
      <c r="D1516" s="1"/>
      <c r="E1516" s="1" t="s">
        <v>261</v>
      </c>
      <c r="F1516" s="1">
        <v>41</v>
      </c>
      <c r="G1516" s="1">
        <v>3</v>
      </c>
      <c r="H1516" s="1">
        <v>31.1</v>
      </c>
      <c r="I1516" s="1"/>
      <c r="J1516" s="1"/>
    </row>
    <row r="1517" spans="1:10" x14ac:dyDescent="0.3">
      <c r="A1517" t="str">
        <f t="shared" si="46"/>
        <v>3PD%</v>
      </c>
      <c r="B1517">
        <f t="shared" si="47"/>
        <v>2101</v>
      </c>
      <c r="D1517" s="1"/>
      <c r="E1517" s="1" t="s">
        <v>136</v>
      </c>
      <c r="F1517" s="1">
        <v>43</v>
      </c>
      <c r="G1517" s="1">
        <v>3</v>
      </c>
      <c r="H1517" s="1">
        <v>31.1</v>
      </c>
      <c r="I1517" s="1"/>
      <c r="J1517" s="1"/>
    </row>
    <row r="1518" spans="1:10" x14ac:dyDescent="0.3">
      <c r="A1518" t="str">
        <f t="shared" si="46"/>
        <v>3PD%</v>
      </c>
      <c r="B1518">
        <f t="shared" si="47"/>
        <v>13401</v>
      </c>
      <c r="D1518" s="1"/>
      <c r="E1518" s="1" t="s">
        <v>400</v>
      </c>
      <c r="F1518" s="1">
        <v>44</v>
      </c>
      <c r="G1518" s="1">
        <v>1</v>
      </c>
      <c r="H1518" s="1">
        <v>31.1</v>
      </c>
      <c r="I1518" s="1"/>
      <c r="J1518" s="1"/>
    </row>
    <row r="1519" spans="1:10" x14ac:dyDescent="0.3">
      <c r="A1519" t="str">
        <f t="shared" si="46"/>
        <v>3PD%</v>
      </c>
      <c r="B1519">
        <f t="shared" si="47"/>
        <v>1601</v>
      </c>
      <c r="D1519" s="1"/>
      <c r="E1519" s="1" t="s">
        <v>137</v>
      </c>
      <c r="F1519" s="1">
        <v>45</v>
      </c>
      <c r="G1519" s="1">
        <v>6</v>
      </c>
      <c r="H1519" s="1">
        <v>31.1</v>
      </c>
      <c r="I1519" s="1"/>
      <c r="J1519" s="1"/>
    </row>
    <row r="1520" spans="1:10" x14ac:dyDescent="0.3">
      <c r="A1520" t="str">
        <f t="shared" si="46"/>
        <v>3PD%</v>
      </c>
      <c r="B1520">
        <f t="shared" si="47"/>
        <v>3001</v>
      </c>
      <c r="D1520" s="1"/>
      <c r="E1520" s="1" t="s">
        <v>89</v>
      </c>
      <c r="F1520" s="1">
        <v>52</v>
      </c>
      <c r="G1520" s="1">
        <v>2</v>
      </c>
      <c r="H1520" s="1">
        <v>31.4</v>
      </c>
      <c r="I1520" s="1"/>
      <c r="J1520" s="1"/>
    </row>
    <row r="1521" spans="1:10" x14ac:dyDescent="0.3">
      <c r="A1521" t="str">
        <f t="shared" si="46"/>
        <v>3PD%</v>
      </c>
      <c r="B1521">
        <f t="shared" si="47"/>
        <v>1901</v>
      </c>
      <c r="D1521" s="1"/>
      <c r="E1521" s="1" t="s">
        <v>112</v>
      </c>
      <c r="F1521" s="1">
        <v>59</v>
      </c>
      <c r="G1521" s="1">
        <v>3</v>
      </c>
      <c r="H1521" s="1">
        <v>31.6</v>
      </c>
      <c r="I1521" s="1"/>
      <c r="J1521" s="1"/>
    </row>
    <row r="1522" spans="1:10" x14ac:dyDescent="0.3">
      <c r="A1522" t="str">
        <f t="shared" si="46"/>
        <v>3PD%</v>
      </c>
      <c r="B1522">
        <f t="shared" si="47"/>
        <v>5801</v>
      </c>
      <c r="D1522" s="1"/>
      <c r="E1522" s="1" t="s">
        <v>139</v>
      </c>
      <c r="F1522" s="1">
        <v>61</v>
      </c>
      <c r="G1522" s="1">
        <v>3</v>
      </c>
      <c r="H1522" s="1">
        <v>31.7</v>
      </c>
      <c r="I1522" s="1"/>
      <c r="J1522" s="1"/>
    </row>
    <row r="1523" spans="1:10" x14ac:dyDescent="0.3">
      <c r="A1523" t="str">
        <f t="shared" si="46"/>
        <v>3PD%</v>
      </c>
      <c r="B1523">
        <f t="shared" si="47"/>
        <v>12201</v>
      </c>
      <c r="D1523" s="1"/>
      <c r="E1523" s="1" t="s">
        <v>284</v>
      </c>
      <c r="F1523" s="1">
        <v>67</v>
      </c>
      <c r="G1523" s="1">
        <v>4</v>
      </c>
      <c r="H1523" s="1">
        <v>31.9</v>
      </c>
      <c r="I1523" s="1"/>
      <c r="J1523" s="1"/>
    </row>
    <row r="1524" spans="1:10" x14ac:dyDescent="0.3">
      <c r="A1524" t="str">
        <f t="shared" si="46"/>
        <v>3PD%</v>
      </c>
      <c r="B1524">
        <f t="shared" si="47"/>
        <v>3401</v>
      </c>
      <c r="D1524" s="1"/>
      <c r="E1524" s="1" t="s">
        <v>237</v>
      </c>
      <c r="F1524" s="1">
        <v>85</v>
      </c>
      <c r="G1524" s="1">
        <v>3</v>
      </c>
      <c r="H1524" s="1">
        <v>32.200000000000003</v>
      </c>
      <c r="I1524" s="1"/>
      <c r="J1524" s="1"/>
    </row>
    <row r="1525" spans="1:10" x14ac:dyDescent="0.3">
      <c r="A1525" t="str">
        <f t="shared" si="46"/>
        <v>3PD%</v>
      </c>
      <c r="B1525">
        <f t="shared" si="47"/>
        <v>2201</v>
      </c>
      <c r="D1525" s="1"/>
      <c r="E1525" s="1" t="s">
        <v>119</v>
      </c>
      <c r="F1525" s="1">
        <v>88</v>
      </c>
      <c r="G1525" s="1">
        <v>3</v>
      </c>
      <c r="H1525" s="1">
        <v>32.299999999999997</v>
      </c>
      <c r="I1525" s="1"/>
      <c r="J1525" s="1"/>
    </row>
    <row r="1526" spans="1:10" x14ac:dyDescent="0.3">
      <c r="A1526" t="str">
        <f t="shared" si="46"/>
        <v>3PD%</v>
      </c>
      <c r="B1526">
        <f t="shared" si="47"/>
        <v>2901</v>
      </c>
      <c r="D1526" s="1"/>
      <c r="E1526" s="1" t="s">
        <v>96</v>
      </c>
      <c r="F1526" s="1">
        <v>91</v>
      </c>
      <c r="G1526" s="1">
        <v>6</v>
      </c>
      <c r="H1526" s="1">
        <v>32.299999999999997</v>
      </c>
      <c r="I1526" s="1"/>
      <c r="J1526" s="1"/>
    </row>
    <row r="1527" spans="1:10" x14ac:dyDescent="0.3">
      <c r="A1527" t="str">
        <f t="shared" si="46"/>
        <v>3PD%</v>
      </c>
      <c r="B1527">
        <f t="shared" si="47"/>
        <v>11101</v>
      </c>
      <c r="D1527" s="1"/>
      <c r="E1527" s="1" t="s">
        <v>277</v>
      </c>
      <c r="F1527" s="1">
        <v>92</v>
      </c>
      <c r="G1527" s="1">
        <v>6</v>
      </c>
      <c r="H1527" s="1">
        <v>32.299999999999997</v>
      </c>
      <c r="I1527" s="1"/>
      <c r="J1527" s="1"/>
    </row>
    <row r="1528" spans="1:10" x14ac:dyDescent="0.3">
      <c r="A1528" t="str">
        <f t="shared" si="46"/>
        <v>3PD%</v>
      </c>
      <c r="B1528">
        <f t="shared" si="47"/>
        <v>901</v>
      </c>
      <c r="D1528" s="1"/>
      <c r="E1528" s="1" t="s">
        <v>90</v>
      </c>
      <c r="F1528" s="1">
        <v>95</v>
      </c>
      <c r="G1528" s="1">
        <v>7</v>
      </c>
      <c r="H1528" s="1">
        <v>32.4</v>
      </c>
      <c r="I1528" s="1"/>
      <c r="J1528" s="1"/>
    </row>
    <row r="1529" spans="1:10" x14ac:dyDescent="0.3">
      <c r="A1529" t="str">
        <f t="shared" si="46"/>
        <v>3PD%</v>
      </c>
      <c r="B1529">
        <f t="shared" si="47"/>
        <v>6701</v>
      </c>
      <c r="D1529" s="1"/>
      <c r="E1529" s="1" t="s">
        <v>118</v>
      </c>
      <c r="F1529" s="1">
        <v>97</v>
      </c>
      <c r="G1529" s="1">
        <v>6</v>
      </c>
      <c r="H1529" s="1">
        <v>32.4</v>
      </c>
      <c r="I1529" s="1"/>
      <c r="J1529" s="1"/>
    </row>
    <row r="1530" spans="1:10" x14ac:dyDescent="0.3">
      <c r="A1530" t="str">
        <f t="shared" si="46"/>
        <v>3PD%</v>
      </c>
      <c r="B1530">
        <f t="shared" si="47"/>
        <v>5501</v>
      </c>
      <c r="D1530" s="1"/>
      <c r="E1530" s="1" t="s">
        <v>86</v>
      </c>
      <c r="F1530" s="1">
        <v>98</v>
      </c>
      <c r="G1530" s="1">
        <v>9</v>
      </c>
      <c r="H1530" s="1">
        <v>32.4</v>
      </c>
      <c r="I1530" s="1"/>
      <c r="J1530" s="1"/>
    </row>
    <row r="1531" spans="1:10" x14ac:dyDescent="0.3">
      <c r="A1531" t="str">
        <f t="shared" si="46"/>
        <v>3PD%</v>
      </c>
      <c r="B1531">
        <f t="shared" si="47"/>
        <v>3201</v>
      </c>
      <c r="D1531" s="1"/>
      <c r="E1531" s="1" t="s">
        <v>127</v>
      </c>
      <c r="F1531" s="1">
        <v>101</v>
      </c>
      <c r="G1531" s="1">
        <v>8</v>
      </c>
      <c r="H1531" s="1">
        <v>32.5</v>
      </c>
      <c r="I1531" s="1"/>
      <c r="J1531" s="1"/>
    </row>
    <row r="1532" spans="1:10" x14ac:dyDescent="0.3">
      <c r="A1532" t="str">
        <f t="shared" si="46"/>
        <v>3PD%</v>
      </c>
      <c r="B1532">
        <f t="shared" si="47"/>
        <v>5301</v>
      </c>
      <c r="D1532" s="1"/>
      <c r="E1532" s="1" t="s">
        <v>242</v>
      </c>
      <c r="F1532" s="1">
        <v>107</v>
      </c>
      <c r="G1532" s="1">
        <v>4</v>
      </c>
      <c r="H1532" s="1">
        <v>32.700000000000003</v>
      </c>
      <c r="I1532" s="1"/>
      <c r="J1532" s="1"/>
    </row>
    <row r="1533" spans="1:10" x14ac:dyDescent="0.3">
      <c r="A1533" t="str">
        <f t="shared" si="46"/>
        <v>3PD%</v>
      </c>
      <c r="B1533">
        <f t="shared" si="47"/>
        <v>14301</v>
      </c>
      <c r="D1533" s="1"/>
      <c r="E1533" s="1" t="s">
        <v>391</v>
      </c>
      <c r="F1533" s="1">
        <v>109</v>
      </c>
      <c r="G1533" s="1">
        <v>8</v>
      </c>
      <c r="H1533" s="1">
        <v>32.700000000000003</v>
      </c>
      <c r="I1533" s="1"/>
      <c r="J1533" s="1"/>
    </row>
    <row r="1534" spans="1:10" x14ac:dyDescent="0.3">
      <c r="A1534" t="str">
        <f t="shared" si="46"/>
        <v>3PD%</v>
      </c>
      <c r="B1534">
        <f t="shared" si="47"/>
        <v>4601</v>
      </c>
      <c r="D1534" s="1"/>
      <c r="E1534" s="1" t="s">
        <v>101</v>
      </c>
      <c r="F1534" s="1">
        <v>110</v>
      </c>
      <c r="G1534" s="1">
        <v>4</v>
      </c>
      <c r="H1534" s="1">
        <v>32.700000000000003</v>
      </c>
      <c r="I1534" s="1"/>
      <c r="J1534" s="1"/>
    </row>
    <row r="1535" spans="1:10" x14ac:dyDescent="0.3">
      <c r="A1535" t="str">
        <f t="shared" si="46"/>
        <v>3PD%</v>
      </c>
      <c r="B1535">
        <f t="shared" si="47"/>
        <v>3601</v>
      </c>
      <c r="D1535" s="1"/>
      <c r="E1535" s="1" t="s">
        <v>129</v>
      </c>
      <c r="F1535" s="1">
        <v>117</v>
      </c>
      <c r="G1535" s="1">
        <v>10</v>
      </c>
      <c r="H1535" s="1">
        <v>33</v>
      </c>
      <c r="I1535" s="1"/>
      <c r="J1535" s="1"/>
    </row>
    <row r="1536" spans="1:10" x14ac:dyDescent="0.3">
      <c r="A1536" t="str">
        <f t="shared" si="46"/>
        <v>3PD%</v>
      </c>
      <c r="B1536">
        <f t="shared" si="47"/>
        <v>19101</v>
      </c>
      <c r="D1536" s="1"/>
      <c r="E1536" s="1" t="s">
        <v>421</v>
      </c>
      <c r="F1536" s="1">
        <v>124</v>
      </c>
      <c r="G1536" s="1">
        <v>5</v>
      </c>
      <c r="H1536" s="1">
        <v>33</v>
      </c>
      <c r="I1536" s="1"/>
      <c r="J1536" s="1"/>
    </row>
    <row r="1537" spans="1:10" x14ac:dyDescent="0.3">
      <c r="A1537" t="str">
        <f t="shared" si="46"/>
        <v>3PD%</v>
      </c>
      <c r="B1537">
        <f t="shared" si="47"/>
        <v>2501</v>
      </c>
      <c r="D1537" s="1"/>
      <c r="E1537" s="1" t="s">
        <v>92</v>
      </c>
      <c r="F1537" s="1">
        <v>128</v>
      </c>
      <c r="G1537" s="1">
        <v>1</v>
      </c>
      <c r="H1537" s="1">
        <v>33.1</v>
      </c>
      <c r="I1537" s="1"/>
      <c r="J1537" s="1"/>
    </row>
    <row r="1538" spans="1:10" x14ac:dyDescent="0.3">
      <c r="A1538" t="str">
        <f t="shared" ref="A1538:A1601" si="48">IF(NOT(D1538=""),INDEX(statAbbr,MATCH(D1538,statOfficial,0),1),A1537)</f>
        <v>3PD%</v>
      </c>
      <c r="B1538">
        <f t="shared" ref="B1538:B1601" si="49">INDEX(statID,MATCH(A1538,statAbbr,0),1)+INDEX(teamID,MATCH(E1538,teamRawName,0))</f>
        <v>18601</v>
      </c>
      <c r="D1538" s="1"/>
      <c r="E1538" s="1" t="s">
        <v>425</v>
      </c>
      <c r="F1538" s="1">
        <v>133</v>
      </c>
      <c r="G1538" s="1">
        <v>2</v>
      </c>
      <c r="H1538" s="1">
        <v>33.1</v>
      </c>
      <c r="I1538" s="1"/>
      <c r="J1538" s="1"/>
    </row>
    <row r="1539" spans="1:10" x14ac:dyDescent="0.3">
      <c r="A1539" t="str">
        <f t="shared" si="48"/>
        <v>3PD%</v>
      </c>
      <c r="B1539">
        <f t="shared" si="49"/>
        <v>11801</v>
      </c>
      <c r="D1539" s="1"/>
      <c r="E1539" s="1" t="s">
        <v>281</v>
      </c>
      <c r="F1539" s="1">
        <v>135</v>
      </c>
      <c r="G1539" s="1">
        <v>5</v>
      </c>
      <c r="H1539" s="1">
        <v>33.1</v>
      </c>
      <c r="I1539" s="1"/>
      <c r="J1539" s="1"/>
    </row>
    <row r="1540" spans="1:10" x14ac:dyDescent="0.3">
      <c r="A1540" t="str">
        <f t="shared" si="48"/>
        <v>3PD%</v>
      </c>
      <c r="B1540">
        <f t="shared" si="49"/>
        <v>9401</v>
      </c>
      <c r="D1540" s="1"/>
      <c r="E1540" s="1" t="s">
        <v>264</v>
      </c>
      <c r="F1540" s="1">
        <v>154</v>
      </c>
      <c r="G1540" s="1">
        <v>9</v>
      </c>
      <c r="H1540" s="1">
        <v>33.4</v>
      </c>
      <c r="I1540" s="1"/>
      <c r="J1540" s="1"/>
    </row>
    <row r="1541" spans="1:10" x14ac:dyDescent="0.3">
      <c r="A1541" t="str">
        <f t="shared" si="48"/>
        <v>3PD%</v>
      </c>
      <c r="B1541">
        <f t="shared" si="49"/>
        <v>2401</v>
      </c>
      <c r="D1541" s="1"/>
      <c r="E1541" s="1" t="s">
        <v>330</v>
      </c>
      <c r="F1541" s="1">
        <v>155</v>
      </c>
      <c r="G1541" s="1">
        <v>7</v>
      </c>
      <c r="H1541" s="1">
        <v>33.4</v>
      </c>
      <c r="I1541" s="1"/>
      <c r="J1541" s="1"/>
    </row>
    <row r="1542" spans="1:10" x14ac:dyDescent="0.3">
      <c r="A1542" t="str">
        <f t="shared" si="48"/>
        <v>3PD%</v>
      </c>
      <c r="B1542">
        <f t="shared" si="49"/>
        <v>4301</v>
      </c>
      <c r="D1542" s="1"/>
      <c r="E1542" s="1" t="s">
        <v>125</v>
      </c>
      <c r="F1542" s="1">
        <v>158</v>
      </c>
      <c r="G1542" s="1">
        <v>10</v>
      </c>
      <c r="H1542" s="1">
        <v>33.4</v>
      </c>
      <c r="I1542" s="1"/>
      <c r="J1542" s="1"/>
    </row>
    <row r="1543" spans="1:10" x14ac:dyDescent="0.3">
      <c r="A1543" t="str">
        <f t="shared" si="48"/>
        <v>3PD%</v>
      </c>
      <c r="B1543">
        <f t="shared" si="49"/>
        <v>101</v>
      </c>
      <c r="D1543" s="1"/>
      <c r="E1543" s="1" t="s">
        <v>312</v>
      </c>
      <c r="F1543" s="1">
        <v>159</v>
      </c>
      <c r="G1543" s="1">
        <v>7</v>
      </c>
      <c r="H1543" s="1">
        <v>33.5</v>
      </c>
      <c r="I1543" s="1"/>
      <c r="J1543" s="1"/>
    </row>
    <row r="1544" spans="1:10" x14ac:dyDescent="0.3">
      <c r="A1544" t="str">
        <f t="shared" si="48"/>
        <v>3PD%</v>
      </c>
      <c r="B1544">
        <f t="shared" si="49"/>
        <v>18301</v>
      </c>
      <c r="D1544" s="1"/>
      <c r="E1544" s="1" t="s">
        <v>423</v>
      </c>
      <c r="F1544" s="1">
        <v>162</v>
      </c>
      <c r="G1544" s="1">
        <v>2</v>
      </c>
      <c r="H1544" s="1">
        <v>33.5</v>
      </c>
      <c r="I1544" s="1"/>
      <c r="J1544" s="1"/>
    </row>
    <row r="1545" spans="1:10" x14ac:dyDescent="0.3">
      <c r="A1545" t="str">
        <f t="shared" si="48"/>
        <v>3PD%</v>
      </c>
      <c r="B1545">
        <f t="shared" si="49"/>
        <v>3101</v>
      </c>
      <c r="D1545" s="1"/>
      <c r="E1545" s="1" t="s">
        <v>93</v>
      </c>
      <c r="F1545" s="1">
        <v>167</v>
      </c>
      <c r="G1545" s="1">
        <v>4</v>
      </c>
      <c r="H1545" s="1">
        <v>33.6</v>
      </c>
      <c r="I1545" s="1"/>
      <c r="J1545" s="1"/>
    </row>
    <row r="1546" spans="1:10" x14ac:dyDescent="0.3">
      <c r="A1546" t="str">
        <f t="shared" si="48"/>
        <v>3PD%</v>
      </c>
      <c r="B1546">
        <f t="shared" si="49"/>
        <v>19001</v>
      </c>
      <c r="D1546" s="1"/>
      <c r="E1546" s="1" t="s">
        <v>176</v>
      </c>
      <c r="F1546" s="1">
        <v>171</v>
      </c>
      <c r="G1546" s="1">
        <v>9</v>
      </c>
      <c r="H1546" s="1">
        <v>33.6</v>
      </c>
      <c r="I1546" s="1"/>
      <c r="J1546" s="1"/>
    </row>
    <row r="1547" spans="1:10" x14ac:dyDescent="0.3">
      <c r="A1547" t="str">
        <f t="shared" si="48"/>
        <v>3PD%</v>
      </c>
      <c r="B1547">
        <f t="shared" si="49"/>
        <v>601</v>
      </c>
      <c r="D1547" s="1"/>
      <c r="E1547" s="1" t="s">
        <v>100</v>
      </c>
      <c r="F1547" s="1">
        <v>181</v>
      </c>
      <c r="G1547" s="1">
        <v>9</v>
      </c>
      <c r="H1547" s="1">
        <v>33.700000000000003</v>
      </c>
      <c r="I1547" s="1"/>
      <c r="J1547" s="1"/>
    </row>
    <row r="1548" spans="1:10" x14ac:dyDescent="0.3">
      <c r="A1548" t="str">
        <f t="shared" si="48"/>
        <v>3PD%</v>
      </c>
      <c r="B1548">
        <f t="shared" si="49"/>
        <v>6201</v>
      </c>
      <c r="D1548" s="1"/>
      <c r="E1548" s="1" t="s">
        <v>81</v>
      </c>
      <c r="F1548" s="1">
        <v>183</v>
      </c>
      <c r="G1548" s="1">
        <v>11</v>
      </c>
      <c r="H1548" s="1">
        <v>33.799999999999997</v>
      </c>
      <c r="I1548" s="1"/>
      <c r="J1548" s="1"/>
    </row>
    <row r="1549" spans="1:10" x14ac:dyDescent="0.3">
      <c r="A1549" t="str">
        <f t="shared" si="48"/>
        <v>3PD%</v>
      </c>
      <c r="B1549">
        <f t="shared" si="49"/>
        <v>6801</v>
      </c>
      <c r="D1549" s="1"/>
      <c r="E1549" s="1" t="s">
        <v>248</v>
      </c>
      <c r="F1549" s="1">
        <v>187</v>
      </c>
      <c r="G1549" s="1">
        <v>5</v>
      </c>
      <c r="H1549" s="1">
        <v>33.799999999999997</v>
      </c>
      <c r="I1549" s="1"/>
      <c r="J1549" s="1"/>
    </row>
    <row r="1550" spans="1:10" x14ac:dyDescent="0.3">
      <c r="A1550" t="str">
        <f t="shared" si="48"/>
        <v>3PD%</v>
      </c>
      <c r="B1550">
        <f t="shared" si="49"/>
        <v>12001</v>
      </c>
      <c r="D1550" s="1"/>
      <c r="E1550" s="1" t="s">
        <v>135</v>
      </c>
      <c r="F1550" s="1">
        <v>193</v>
      </c>
      <c r="G1550" s="1">
        <v>5</v>
      </c>
      <c r="H1550" s="1">
        <v>33.9</v>
      </c>
      <c r="I1550" s="1"/>
      <c r="J1550" s="1"/>
    </row>
    <row r="1551" spans="1:10" x14ac:dyDescent="0.3">
      <c r="A1551" t="str">
        <f t="shared" si="48"/>
        <v>3PD%</v>
      </c>
      <c r="B1551">
        <f t="shared" si="49"/>
        <v>13301</v>
      </c>
      <c r="D1551" s="1"/>
      <c r="E1551" s="1" t="s">
        <v>291</v>
      </c>
      <c r="F1551" s="1">
        <v>203</v>
      </c>
      <c r="G1551" s="1">
        <v>11</v>
      </c>
      <c r="H1551" s="1">
        <v>34</v>
      </c>
      <c r="I1551" s="1"/>
      <c r="J1551" s="1"/>
    </row>
    <row r="1552" spans="1:10" x14ac:dyDescent="0.3">
      <c r="A1552" t="str">
        <f t="shared" si="48"/>
        <v>3PD%</v>
      </c>
      <c r="B1552">
        <f t="shared" si="49"/>
        <v>8801</v>
      </c>
      <c r="D1552" s="1"/>
      <c r="E1552" s="1" t="s">
        <v>141</v>
      </c>
      <c r="F1552" s="1">
        <v>204</v>
      </c>
      <c r="G1552" s="1">
        <v>5</v>
      </c>
      <c r="H1552" s="1">
        <v>34.1</v>
      </c>
      <c r="I1552" s="1"/>
      <c r="J1552" s="1"/>
    </row>
    <row r="1553" spans="1:10" x14ac:dyDescent="0.3">
      <c r="A1553" t="str">
        <f t="shared" si="48"/>
        <v>3PD%</v>
      </c>
      <c r="B1553">
        <f t="shared" si="49"/>
        <v>2601</v>
      </c>
      <c r="D1553" s="1"/>
      <c r="E1553" s="1" t="s">
        <v>80</v>
      </c>
      <c r="F1553" s="1">
        <v>205</v>
      </c>
      <c r="G1553" s="1">
        <v>9</v>
      </c>
      <c r="H1553" s="1">
        <v>34.1</v>
      </c>
      <c r="I1553" s="1"/>
      <c r="J1553" s="1"/>
    </row>
    <row r="1554" spans="1:10" x14ac:dyDescent="0.3">
      <c r="A1554" t="str">
        <f t="shared" si="48"/>
        <v>3PD%</v>
      </c>
      <c r="B1554">
        <f t="shared" si="49"/>
        <v>14501</v>
      </c>
      <c r="D1554" s="1"/>
      <c r="E1554" s="1" t="s">
        <v>402</v>
      </c>
      <c r="F1554" s="1">
        <v>214</v>
      </c>
      <c r="G1554" s="1">
        <v>11</v>
      </c>
      <c r="H1554" s="1">
        <v>34.1</v>
      </c>
      <c r="I1554" s="1"/>
      <c r="J1554" s="1"/>
    </row>
    <row r="1555" spans="1:10" x14ac:dyDescent="0.3">
      <c r="A1555" t="str">
        <f t="shared" si="48"/>
        <v>3PD%</v>
      </c>
      <c r="B1555">
        <f t="shared" si="49"/>
        <v>18901</v>
      </c>
      <c r="D1555" s="1"/>
      <c r="E1555" s="1" t="s">
        <v>422</v>
      </c>
      <c r="F1555" s="1">
        <v>228</v>
      </c>
      <c r="G1555" s="1">
        <v>9</v>
      </c>
      <c r="H1555" s="1">
        <v>34.4</v>
      </c>
      <c r="I1555" s="1"/>
      <c r="J1555" s="1"/>
    </row>
    <row r="1556" spans="1:10" x14ac:dyDescent="0.3">
      <c r="A1556" t="str">
        <f t="shared" si="48"/>
        <v>3PD%</v>
      </c>
      <c r="B1556">
        <f t="shared" si="49"/>
        <v>15201</v>
      </c>
      <c r="D1556" s="1"/>
      <c r="E1556" s="1" t="s">
        <v>426</v>
      </c>
      <c r="F1556" s="1">
        <v>229</v>
      </c>
      <c r="G1556" s="1">
        <v>6</v>
      </c>
      <c r="H1556" s="1">
        <v>34.4</v>
      </c>
      <c r="I1556" s="1"/>
      <c r="J1556" s="1"/>
    </row>
    <row r="1557" spans="1:10" x14ac:dyDescent="0.3">
      <c r="A1557" t="str">
        <f t="shared" si="48"/>
        <v>3PD%</v>
      </c>
      <c r="B1557">
        <f t="shared" si="49"/>
        <v>3301</v>
      </c>
      <c r="D1557" s="1"/>
      <c r="E1557" s="1" t="s">
        <v>91</v>
      </c>
      <c r="F1557" s="1">
        <v>241</v>
      </c>
      <c r="G1557" s="1">
        <v>8</v>
      </c>
      <c r="H1557" s="1">
        <v>34.700000000000003</v>
      </c>
      <c r="I1557" s="1"/>
      <c r="J1557" s="1"/>
    </row>
    <row r="1558" spans="1:10" x14ac:dyDescent="0.3">
      <c r="A1558" t="str">
        <f t="shared" si="48"/>
        <v>3PD%</v>
      </c>
      <c r="B1558">
        <f t="shared" si="49"/>
        <v>18501</v>
      </c>
      <c r="D1558" s="1"/>
      <c r="E1558" s="1" t="s">
        <v>420</v>
      </c>
      <c r="F1558" s="1">
        <v>242</v>
      </c>
      <c r="G1558" s="1">
        <v>6</v>
      </c>
      <c r="H1558" s="1">
        <v>34.700000000000003</v>
      </c>
      <c r="I1558" s="1"/>
      <c r="J1558" s="1"/>
    </row>
    <row r="1559" spans="1:10" x14ac:dyDescent="0.3">
      <c r="A1559" t="str">
        <f t="shared" si="48"/>
        <v>3PD%</v>
      </c>
      <c r="B1559">
        <f t="shared" si="49"/>
        <v>1401</v>
      </c>
      <c r="D1559" s="1"/>
      <c r="E1559" s="1" t="s">
        <v>102</v>
      </c>
      <c r="F1559" s="1">
        <v>246</v>
      </c>
      <c r="G1559" s="1">
        <v>7</v>
      </c>
      <c r="H1559" s="1">
        <v>34.700000000000003</v>
      </c>
      <c r="I1559" s="1"/>
      <c r="J1559" s="1"/>
    </row>
    <row r="1560" spans="1:10" x14ac:dyDescent="0.3">
      <c r="A1560" t="str">
        <f t="shared" si="48"/>
        <v>3PD%</v>
      </c>
      <c r="B1560">
        <f t="shared" si="49"/>
        <v>4401</v>
      </c>
      <c r="D1560" s="1"/>
      <c r="E1560" s="1" t="s">
        <v>83</v>
      </c>
      <c r="F1560" s="1">
        <v>252</v>
      </c>
      <c r="G1560" s="1">
        <v>4</v>
      </c>
      <c r="H1560" s="1">
        <v>34.9</v>
      </c>
      <c r="I1560" s="1"/>
      <c r="J1560" s="1"/>
    </row>
    <row r="1561" spans="1:10" x14ac:dyDescent="0.3">
      <c r="A1561" t="str">
        <f t="shared" si="48"/>
        <v>3PD%</v>
      </c>
      <c r="B1561">
        <f t="shared" si="49"/>
        <v>14101</v>
      </c>
      <c r="D1561" s="1"/>
      <c r="E1561" s="1" t="s">
        <v>299</v>
      </c>
      <c r="F1561" s="1">
        <v>256</v>
      </c>
      <c r="G1561" s="1">
        <v>14</v>
      </c>
      <c r="H1561" s="1">
        <v>35</v>
      </c>
      <c r="I1561" s="1"/>
      <c r="J1561" s="1"/>
    </row>
    <row r="1562" spans="1:10" x14ac:dyDescent="0.3">
      <c r="A1562" t="str">
        <f t="shared" si="48"/>
        <v>3PD%</v>
      </c>
      <c r="B1562">
        <f t="shared" si="49"/>
        <v>18401</v>
      </c>
      <c r="D1562" s="1"/>
      <c r="E1562" s="1" t="s">
        <v>417</v>
      </c>
      <c r="F1562" s="1">
        <v>259</v>
      </c>
      <c r="G1562" s="1">
        <v>4</v>
      </c>
      <c r="H1562" s="1">
        <v>35</v>
      </c>
      <c r="I1562" s="1"/>
      <c r="J1562" s="1"/>
    </row>
    <row r="1563" spans="1:10" x14ac:dyDescent="0.3">
      <c r="A1563" t="str">
        <f t="shared" si="48"/>
        <v>3PD%</v>
      </c>
      <c r="B1563">
        <f t="shared" si="49"/>
        <v>7901</v>
      </c>
      <c r="D1563" s="1"/>
      <c r="E1563" s="1" t="s">
        <v>103</v>
      </c>
      <c r="F1563" s="1">
        <v>294</v>
      </c>
      <c r="G1563" s="1">
        <v>8</v>
      </c>
      <c r="H1563" s="1">
        <v>35.799999999999997</v>
      </c>
      <c r="I1563" s="1"/>
      <c r="J1563" s="1"/>
    </row>
    <row r="1564" spans="1:10" x14ac:dyDescent="0.3">
      <c r="A1564" t="str">
        <f t="shared" si="48"/>
        <v>3PD%</v>
      </c>
      <c r="B1564">
        <f t="shared" si="49"/>
        <v>7401</v>
      </c>
      <c r="D1564" s="1"/>
      <c r="E1564" s="1" t="s">
        <v>251</v>
      </c>
      <c r="F1564" s="1">
        <v>295</v>
      </c>
      <c r="G1564" s="1">
        <v>10</v>
      </c>
      <c r="H1564" s="1">
        <v>35.799999999999997</v>
      </c>
      <c r="I1564" s="1"/>
      <c r="J1564" s="1"/>
    </row>
    <row r="1565" spans="1:10" x14ac:dyDescent="0.3">
      <c r="A1565" t="str">
        <f t="shared" si="48"/>
        <v>3PD%</v>
      </c>
      <c r="B1565">
        <f t="shared" si="49"/>
        <v>8401</v>
      </c>
      <c r="D1565" s="1"/>
      <c r="E1565" s="1" t="s">
        <v>109</v>
      </c>
      <c r="F1565" s="1">
        <v>298</v>
      </c>
      <c r="G1565" s="1">
        <v>8</v>
      </c>
      <c r="H1565" s="1">
        <v>35.9</v>
      </c>
      <c r="I1565" s="1"/>
      <c r="J1565" s="1"/>
    </row>
    <row r="1566" spans="1:10" x14ac:dyDescent="0.3">
      <c r="A1566" t="str">
        <f t="shared" si="48"/>
        <v>3PD%</v>
      </c>
      <c r="B1566">
        <f t="shared" si="49"/>
        <v>18801</v>
      </c>
      <c r="D1566" s="1"/>
      <c r="E1566" s="1" t="s">
        <v>424</v>
      </c>
      <c r="F1566" s="1">
        <v>308</v>
      </c>
      <c r="G1566" s="1">
        <v>9</v>
      </c>
      <c r="H1566" s="1">
        <v>36.200000000000003</v>
      </c>
      <c r="I1566" s="1"/>
      <c r="J1566" s="1"/>
    </row>
    <row r="1567" spans="1:10" x14ac:dyDescent="0.3">
      <c r="A1567" t="str">
        <f t="shared" si="48"/>
        <v>3PD%</v>
      </c>
      <c r="B1567">
        <f t="shared" si="49"/>
        <v>5201</v>
      </c>
      <c r="D1567" s="1"/>
      <c r="E1567" s="1" t="s">
        <v>241</v>
      </c>
      <c r="F1567" s="1">
        <v>320</v>
      </c>
      <c r="G1567" s="1">
        <v>14</v>
      </c>
      <c r="H1567" s="1">
        <v>36.6</v>
      </c>
      <c r="I1567" s="1"/>
      <c r="J1567" s="1"/>
    </row>
    <row r="1568" spans="1:10" x14ac:dyDescent="0.3">
      <c r="A1568" t="str">
        <f t="shared" si="48"/>
        <v>3PPG</v>
      </c>
      <c r="B1568">
        <f t="shared" si="49"/>
        <v>18502</v>
      </c>
      <c r="D1568" s="1" t="s">
        <v>454</v>
      </c>
      <c r="E1568" s="1" t="s">
        <v>420</v>
      </c>
      <c r="F1568" s="1">
        <v>2</v>
      </c>
      <c r="G1568" s="1">
        <v>1</v>
      </c>
      <c r="H1568" s="1">
        <v>10.7</v>
      </c>
      <c r="I1568" s="1" t="s">
        <v>455</v>
      </c>
      <c r="J1568" s="1">
        <v>11.4</v>
      </c>
    </row>
    <row r="1569" spans="1:10" x14ac:dyDescent="0.3">
      <c r="A1569" t="str">
        <f t="shared" si="48"/>
        <v>3PPG</v>
      </c>
      <c r="B1569">
        <f t="shared" si="49"/>
        <v>14302</v>
      </c>
      <c r="D1569" s="1"/>
      <c r="E1569" s="1" t="s">
        <v>391</v>
      </c>
      <c r="F1569" s="1">
        <v>6</v>
      </c>
      <c r="G1569" s="1">
        <v>1</v>
      </c>
      <c r="H1569" s="1">
        <v>10.4</v>
      </c>
      <c r="I1569" s="1"/>
      <c r="J1569" s="1"/>
    </row>
    <row r="1570" spans="1:10" x14ac:dyDescent="0.3">
      <c r="A1570" t="str">
        <f t="shared" si="48"/>
        <v>3PPG</v>
      </c>
      <c r="B1570">
        <f t="shared" si="49"/>
        <v>11502</v>
      </c>
      <c r="D1570" s="1"/>
      <c r="E1570" s="1" t="s">
        <v>97</v>
      </c>
      <c r="F1570" s="1">
        <v>10</v>
      </c>
      <c r="G1570" s="1">
        <v>1</v>
      </c>
      <c r="H1570" s="1">
        <v>9.9</v>
      </c>
      <c r="I1570" s="1"/>
      <c r="J1570" s="1"/>
    </row>
    <row r="1571" spans="1:10" x14ac:dyDescent="0.3">
      <c r="A1571" t="str">
        <f t="shared" si="48"/>
        <v>3PPG</v>
      </c>
      <c r="B1571">
        <f t="shared" si="49"/>
        <v>3702</v>
      </c>
      <c r="D1571" s="1"/>
      <c r="E1571" s="1" t="s">
        <v>115</v>
      </c>
      <c r="F1571" s="1">
        <v>11</v>
      </c>
      <c r="G1571" s="1">
        <v>1</v>
      </c>
      <c r="H1571" s="1">
        <v>9.9</v>
      </c>
      <c r="I1571" s="1"/>
      <c r="J1571" s="1"/>
    </row>
    <row r="1572" spans="1:10" x14ac:dyDescent="0.3">
      <c r="A1572" t="str">
        <f t="shared" si="48"/>
        <v>3PPG</v>
      </c>
      <c r="B1572">
        <f t="shared" si="49"/>
        <v>2202</v>
      </c>
      <c r="D1572" s="1"/>
      <c r="E1572" s="1" t="s">
        <v>119</v>
      </c>
      <c r="F1572" s="1">
        <v>14</v>
      </c>
      <c r="G1572" s="1">
        <v>1</v>
      </c>
      <c r="H1572" s="1">
        <v>9.6</v>
      </c>
      <c r="I1572" s="1"/>
      <c r="J1572" s="1"/>
    </row>
    <row r="1573" spans="1:10" x14ac:dyDescent="0.3">
      <c r="A1573" t="str">
        <f t="shared" si="48"/>
        <v>3PPG</v>
      </c>
      <c r="B1573">
        <f t="shared" si="49"/>
        <v>3202</v>
      </c>
      <c r="D1573" s="1"/>
      <c r="E1573" s="1" t="s">
        <v>127</v>
      </c>
      <c r="F1573" s="1">
        <v>18</v>
      </c>
      <c r="G1573" s="1">
        <v>1</v>
      </c>
      <c r="H1573" s="1">
        <v>9.5</v>
      </c>
      <c r="I1573" s="1"/>
      <c r="J1573" s="1"/>
    </row>
    <row r="1574" spans="1:10" x14ac:dyDescent="0.3">
      <c r="A1574" t="str">
        <f t="shared" si="48"/>
        <v>3PPG</v>
      </c>
      <c r="B1574">
        <f t="shared" si="49"/>
        <v>19102</v>
      </c>
      <c r="D1574" s="1"/>
      <c r="E1574" s="1" t="s">
        <v>421</v>
      </c>
      <c r="F1574" s="1">
        <v>19</v>
      </c>
      <c r="G1574" s="1">
        <v>3</v>
      </c>
      <c r="H1574" s="1">
        <v>9.4</v>
      </c>
      <c r="I1574" s="1"/>
      <c r="J1574" s="1"/>
    </row>
    <row r="1575" spans="1:10" x14ac:dyDescent="0.3">
      <c r="A1575" t="str">
        <f t="shared" si="48"/>
        <v>3PPG</v>
      </c>
      <c r="B1575">
        <f t="shared" si="49"/>
        <v>14102</v>
      </c>
      <c r="D1575" s="1"/>
      <c r="E1575" s="1" t="s">
        <v>299</v>
      </c>
      <c r="F1575" s="1">
        <v>22</v>
      </c>
      <c r="G1575" s="1">
        <v>2</v>
      </c>
      <c r="H1575" s="1">
        <v>9.3000000000000007</v>
      </c>
      <c r="I1575" s="1"/>
      <c r="J1575" s="1"/>
    </row>
    <row r="1576" spans="1:10" x14ac:dyDescent="0.3">
      <c r="A1576" t="str">
        <f t="shared" si="48"/>
        <v>3PPG</v>
      </c>
      <c r="B1576">
        <f t="shared" si="49"/>
        <v>1402</v>
      </c>
      <c r="D1576" s="1"/>
      <c r="E1576" s="1" t="s">
        <v>102</v>
      </c>
      <c r="F1576" s="1">
        <v>22</v>
      </c>
      <c r="G1576" s="1">
        <v>1</v>
      </c>
      <c r="H1576" s="1">
        <v>9.3000000000000007</v>
      </c>
      <c r="I1576" s="1"/>
      <c r="J1576" s="1"/>
    </row>
    <row r="1577" spans="1:10" x14ac:dyDescent="0.3">
      <c r="A1577" t="str">
        <f t="shared" si="48"/>
        <v>3PPG</v>
      </c>
      <c r="B1577">
        <f t="shared" si="49"/>
        <v>2302</v>
      </c>
      <c r="D1577" s="1"/>
      <c r="E1577" s="1" t="s">
        <v>79</v>
      </c>
      <c r="F1577" s="1">
        <v>32</v>
      </c>
      <c r="G1577" s="1">
        <v>1</v>
      </c>
      <c r="H1577" s="1">
        <v>9.1</v>
      </c>
      <c r="I1577" s="1"/>
      <c r="J1577" s="1"/>
    </row>
    <row r="1578" spans="1:10" x14ac:dyDescent="0.3">
      <c r="A1578" t="str">
        <f t="shared" si="48"/>
        <v>3PPG</v>
      </c>
      <c r="B1578">
        <f t="shared" si="49"/>
        <v>5302</v>
      </c>
      <c r="D1578" s="1"/>
      <c r="E1578" s="1" t="s">
        <v>242</v>
      </c>
      <c r="F1578" s="1">
        <v>33</v>
      </c>
      <c r="G1578" s="1">
        <v>2</v>
      </c>
      <c r="H1578" s="1">
        <v>9</v>
      </c>
      <c r="I1578" s="1"/>
      <c r="J1578" s="1"/>
    </row>
    <row r="1579" spans="1:10" x14ac:dyDescent="0.3">
      <c r="A1579" t="str">
        <f t="shared" si="48"/>
        <v>3PPG</v>
      </c>
      <c r="B1579">
        <f t="shared" si="49"/>
        <v>5802</v>
      </c>
      <c r="D1579" s="1"/>
      <c r="E1579" s="1" t="s">
        <v>139</v>
      </c>
      <c r="F1579" s="1">
        <v>35</v>
      </c>
      <c r="G1579" s="1">
        <v>1</v>
      </c>
      <c r="H1579" s="1">
        <v>9</v>
      </c>
      <c r="I1579" s="1"/>
      <c r="J1579" s="1"/>
    </row>
    <row r="1580" spans="1:10" x14ac:dyDescent="0.3">
      <c r="A1580" t="str">
        <f t="shared" si="48"/>
        <v>3PPG</v>
      </c>
      <c r="B1580">
        <f t="shared" si="49"/>
        <v>3302</v>
      </c>
      <c r="D1580" s="1"/>
      <c r="E1580" s="1" t="s">
        <v>91</v>
      </c>
      <c r="F1580" s="1">
        <v>36</v>
      </c>
      <c r="G1580" s="1">
        <v>2</v>
      </c>
      <c r="H1580" s="1">
        <v>8.9</v>
      </c>
      <c r="I1580" s="1"/>
      <c r="J1580" s="1"/>
    </row>
    <row r="1581" spans="1:10" x14ac:dyDescent="0.3">
      <c r="A1581" t="str">
        <f t="shared" si="48"/>
        <v>3PPG</v>
      </c>
      <c r="B1581">
        <f t="shared" si="49"/>
        <v>3102</v>
      </c>
      <c r="D1581" s="1"/>
      <c r="E1581" s="1" t="s">
        <v>93</v>
      </c>
      <c r="F1581" s="1">
        <v>52</v>
      </c>
      <c r="G1581" s="1">
        <v>4</v>
      </c>
      <c r="H1581" s="1">
        <v>8.6</v>
      </c>
      <c r="I1581" s="1"/>
      <c r="J1581" s="1"/>
    </row>
    <row r="1582" spans="1:10" x14ac:dyDescent="0.3">
      <c r="A1582" t="str">
        <f t="shared" si="48"/>
        <v>3PPG</v>
      </c>
      <c r="B1582">
        <f t="shared" si="49"/>
        <v>7902</v>
      </c>
      <c r="D1582" s="1"/>
      <c r="E1582" s="1" t="s">
        <v>103</v>
      </c>
      <c r="F1582" s="1">
        <v>55</v>
      </c>
      <c r="G1582" s="1">
        <v>1</v>
      </c>
      <c r="H1582" s="1">
        <v>8.6</v>
      </c>
      <c r="I1582" s="1"/>
      <c r="J1582" s="1"/>
    </row>
    <row r="1583" spans="1:10" x14ac:dyDescent="0.3">
      <c r="A1583" t="str">
        <f t="shared" si="48"/>
        <v>3PPG</v>
      </c>
      <c r="B1583">
        <f t="shared" si="49"/>
        <v>3402</v>
      </c>
      <c r="D1583" s="1"/>
      <c r="E1583" s="1" t="s">
        <v>237</v>
      </c>
      <c r="F1583" s="1">
        <v>58</v>
      </c>
      <c r="G1583" s="1">
        <v>2</v>
      </c>
      <c r="H1583" s="1">
        <v>8.5</v>
      </c>
      <c r="I1583" s="1"/>
      <c r="J1583" s="1"/>
    </row>
    <row r="1584" spans="1:10" x14ac:dyDescent="0.3">
      <c r="A1584" t="str">
        <f t="shared" si="48"/>
        <v>3PPG</v>
      </c>
      <c r="B1584">
        <f t="shared" si="49"/>
        <v>2902</v>
      </c>
      <c r="D1584" s="1"/>
      <c r="E1584" s="1" t="s">
        <v>96</v>
      </c>
      <c r="F1584" s="1">
        <v>62</v>
      </c>
      <c r="G1584" s="1">
        <v>2</v>
      </c>
      <c r="H1584" s="1">
        <v>8.4</v>
      </c>
      <c r="I1584" s="1"/>
      <c r="J1584" s="1"/>
    </row>
    <row r="1585" spans="1:10" x14ac:dyDescent="0.3">
      <c r="A1585" t="str">
        <f t="shared" si="48"/>
        <v>3PPG</v>
      </c>
      <c r="B1585">
        <f t="shared" si="49"/>
        <v>1902</v>
      </c>
      <c r="D1585" s="1"/>
      <c r="E1585" s="1" t="s">
        <v>112</v>
      </c>
      <c r="F1585" s="1">
        <v>75</v>
      </c>
      <c r="G1585" s="1">
        <v>5</v>
      </c>
      <c r="H1585" s="1">
        <v>8.3000000000000007</v>
      </c>
      <c r="I1585" s="1"/>
      <c r="J1585" s="1"/>
    </row>
    <row r="1586" spans="1:10" x14ac:dyDescent="0.3">
      <c r="A1586" t="str">
        <f t="shared" si="48"/>
        <v>3PPG</v>
      </c>
      <c r="B1586">
        <f t="shared" si="49"/>
        <v>8402</v>
      </c>
      <c r="D1586" s="1"/>
      <c r="E1586" s="1" t="s">
        <v>109</v>
      </c>
      <c r="F1586" s="1">
        <v>81</v>
      </c>
      <c r="G1586" s="1">
        <v>2</v>
      </c>
      <c r="H1586" s="1">
        <v>8.1999999999999993</v>
      </c>
      <c r="I1586" s="1"/>
      <c r="J1586" s="1"/>
    </row>
    <row r="1587" spans="1:10" x14ac:dyDescent="0.3">
      <c r="A1587" t="str">
        <f t="shared" si="48"/>
        <v>3PPG</v>
      </c>
      <c r="B1587">
        <f t="shared" si="49"/>
        <v>18602</v>
      </c>
      <c r="D1587" s="1"/>
      <c r="E1587" s="1" t="s">
        <v>425</v>
      </c>
      <c r="F1587" s="1">
        <v>81</v>
      </c>
      <c r="G1587" s="1">
        <v>8</v>
      </c>
      <c r="H1587" s="1">
        <v>8.1999999999999993</v>
      </c>
      <c r="I1587" s="1"/>
      <c r="J1587" s="1"/>
    </row>
    <row r="1588" spans="1:10" x14ac:dyDescent="0.3">
      <c r="A1588" t="str">
        <f t="shared" si="48"/>
        <v>3PPG</v>
      </c>
      <c r="B1588">
        <f t="shared" si="49"/>
        <v>18402</v>
      </c>
      <c r="D1588" s="1"/>
      <c r="E1588" s="1" t="s">
        <v>417</v>
      </c>
      <c r="F1588" s="1">
        <v>83</v>
      </c>
      <c r="G1588" s="1">
        <v>1</v>
      </c>
      <c r="H1588" s="1">
        <v>8.1999999999999993</v>
      </c>
      <c r="I1588" s="1"/>
      <c r="J1588" s="1"/>
    </row>
    <row r="1589" spans="1:10" x14ac:dyDescent="0.3">
      <c r="A1589" t="str">
        <f t="shared" si="48"/>
        <v>3PPG</v>
      </c>
      <c r="B1589">
        <f t="shared" si="49"/>
        <v>18802</v>
      </c>
      <c r="D1589" s="1"/>
      <c r="E1589" s="1" t="s">
        <v>424</v>
      </c>
      <c r="F1589" s="1">
        <v>94</v>
      </c>
      <c r="G1589" s="1">
        <v>3</v>
      </c>
      <c r="H1589" s="1">
        <v>8.1</v>
      </c>
      <c r="I1589" s="1"/>
      <c r="J1589" s="1"/>
    </row>
    <row r="1590" spans="1:10" x14ac:dyDescent="0.3">
      <c r="A1590" t="str">
        <f t="shared" si="48"/>
        <v>3PPG</v>
      </c>
      <c r="B1590">
        <f t="shared" si="49"/>
        <v>8802</v>
      </c>
      <c r="D1590" s="1"/>
      <c r="E1590" s="1" t="s">
        <v>141</v>
      </c>
      <c r="F1590" s="1">
        <v>98</v>
      </c>
      <c r="G1590" s="1">
        <v>2</v>
      </c>
      <c r="H1590" s="1">
        <v>8.1</v>
      </c>
      <c r="I1590" s="1"/>
      <c r="J1590" s="1"/>
    </row>
    <row r="1591" spans="1:10" x14ac:dyDescent="0.3">
      <c r="A1591" t="str">
        <f t="shared" si="48"/>
        <v>3PPG</v>
      </c>
      <c r="B1591">
        <f t="shared" si="49"/>
        <v>5202</v>
      </c>
      <c r="D1591" s="1"/>
      <c r="E1591" s="1" t="s">
        <v>241</v>
      </c>
      <c r="F1591" s="1">
        <v>100</v>
      </c>
      <c r="G1591" s="1">
        <v>2</v>
      </c>
      <c r="H1591" s="1">
        <v>8</v>
      </c>
      <c r="I1591" s="1"/>
      <c r="J1591" s="1"/>
    </row>
    <row r="1592" spans="1:10" x14ac:dyDescent="0.3">
      <c r="A1592" t="str">
        <f t="shared" si="48"/>
        <v>3PPG</v>
      </c>
      <c r="B1592">
        <f t="shared" si="49"/>
        <v>15202</v>
      </c>
      <c r="D1592" s="1"/>
      <c r="E1592" s="1" t="s">
        <v>426</v>
      </c>
      <c r="F1592" s="1">
        <v>106</v>
      </c>
      <c r="G1592" s="1">
        <v>3</v>
      </c>
      <c r="H1592" s="1">
        <v>7.9</v>
      </c>
      <c r="I1592" s="1"/>
      <c r="J1592" s="1"/>
    </row>
    <row r="1593" spans="1:10" x14ac:dyDescent="0.3">
      <c r="A1593" t="str">
        <f t="shared" si="48"/>
        <v>3PPG</v>
      </c>
      <c r="B1593">
        <f t="shared" si="49"/>
        <v>9502</v>
      </c>
      <c r="D1593" s="1"/>
      <c r="E1593" s="1" t="s">
        <v>85</v>
      </c>
      <c r="F1593" s="1">
        <v>107</v>
      </c>
      <c r="G1593" s="1">
        <v>4</v>
      </c>
      <c r="H1593" s="1">
        <v>7.9</v>
      </c>
      <c r="I1593" s="1"/>
      <c r="J1593" s="1"/>
    </row>
    <row r="1594" spans="1:10" x14ac:dyDescent="0.3">
      <c r="A1594" t="str">
        <f t="shared" si="48"/>
        <v>3PPG</v>
      </c>
      <c r="B1594">
        <f t="shared" si="49"/>
        <v>13402</v>
      </c>
      <c r="D1594" s="1"/>
      <c r="E1594" s="1" t="s">
        <v>400</v>
      </c>
      <c r="F1594" s="1">
        <v>116</v>
      </c>
      <c r="G1594" s="1">
        <v>5</v>
      </c>
      <c r="H1594" s="1">
        <v>7.9</v>
      </c>
      <c r="I1594" s="1"/>
      <c r="J1594" s="1"/>
    </row>
    <row r="1595" spans="1:10" x14ac:dyDescent="0.3">
      <c r="A1595" t="str">
        <f t="shared" si="48"/>
        <v>3PPG</v>
      </c>
      <c r="B1595">
        <f t="shared" si="49"/>
        <v>18702</v>
      </c>
      <c r="D1595" s="1"/>
      <c r="E1595" s="1" t="s">
        <v>427</v>
      </c>
      <c r="F1595" s="1">
        <v>120</v>
      </c>
      <c r="G1595" s="1">
        <v>3</v>
      </c>
      <c r="H1595" s="1">
        <v>7.8</v>
      </c>
      <c r="I1595" s="1"/>
      <c r="J1595" s="1"/>
    </row>
    <row r="1596" spans="1:10" x14ac:dyDescent="0.3">
      <c r="A1596" t="str">
        <f t="shared" si="48"/>
        <v>3PPG</v>
      </c>
      <c r="B1596">
        <f t="shared" si="49"/>
        <v>2102</v>
      </c>
      <c r="D1596" s="1"/>
      <c r="E1596" s="1" t="s">
        <v>136</v>
      </c>
      <c r="F1596" s="1">
        <v>122</v>
      </c>
      <c r="G1596" s="1">
        <v>5</v>
      </c>
      <c r="H1596" s="1">
        <v>7.8</v>
      </c>
      <c r="I1596" s="1"/>
      <c r="J1596" s="1"/>
    </row>
    <row r="1597" spans="1:10" x14ac:dyDescent="0.3">
      <c r="A1597" t="str">
        <f t="shared" si="48"/>
        <v>3PPG</v>
      </c>
      <c r="B1597">
        <f t="shared" si="49"/>
        <v>2802</v>
      </c>
      <c r="D1597" s="1"/>
      <c r="E1597" s="1" t="s">
        <v>106</v>
      </c>
      <c r="F1597" s="1">
        <v>135</v>
      </c>
      <c r="G1597" s="1">
        <v>5</v>
      </c>
      <c r="H1597" s="1">
        <v>7.7</v>
      </c>
      <c r="I1597" s="1"/>
      <c r="J1597" s="1"/>
    </row>
    <row r="1598" spans="1:10" x14ac:dyDescent="0.3">
      <c r="A1598" t="str">
        <f t="shared" si="48"/>
        <v>3PPG</v>
      </c>
      <c r="B1598">
        <f t="shared" si="49"/>
        <v>3502</v>
      </c>
      <c r="D1598" s="1"/>
      <c r="E1598" s="1" t="s">
        <v>87</v>
      </c>
      <c r="F1598" s="1">
        <v>136</v>
      </c>
      <c r="G1598" s="1">
        <v>4</v>
      </c>
      <c r="H1598" s="1">
        <v>7.7</v>
      </c>
      <c r="I1598" s="1"/>
      <c r="J1598" s="1"/>
    </row>
    <row r="1599" spans="1:10" x14ac:dyDescent="0.3">
      <c r="A1599" t="str">
        <f t="shared" si="48"/>
        <v>3PPG</v>
      </c>
      <c r="B1599">
        <f t="shared" si="49"/>
        <v>18302</v>
      </c>
      <c r="D1599" s="1"/>
      <c r="E1599" s="1" t="s">
        <v>423</v>
      </c>
      <c r="F1599" s="1">
        <v>140</v>
      </c>
      <c r="G1599" s="1">
        <v>5</v>
      </c>
      <c r="H1599" s="1">
        <v>7.7</v>
      </c>
      <c r="I1599" s="1"/>
      <c r="J1599" s="1"/>
    </row>
    <row r="1600" spans="1:10" x14ac:dyDescent="0.3">
      <c r="A1600" t="str">
        <f t="shared" si="48"/>
        <v>3PPG</v>
      </c>
      <c r="B1600">
        <f t="shared" si="49"/>
        <v>6202</v>
      </c>
      <c r="D1600" s="1"/>
      <c r="E1600" s="1" t="s">
        <v>81</v>
      </c>
      <c r="F1600" s="1">
        <v>148</v>
      </c>
      <c r="G1600" s="1">
        <v>5</v>
      </c>
      <c r="H1600" s="1">
        <v>7.6</v>
      </c>
      <c r="I1600" s="1"/>
      <c r="J1600" s="1"/>
    </row>
    <row r="1601" spans="1:10" x14ac:dyDescent="0.3">
      <c r="A1601" t="str">
        <f t="shared" si="48"/>
        <v>3PPG</v>
      </c>
      <c r="B1601">
        <f t="shared" si="49"/>
        <v>14502</v>
      </c>
      <c r="D1601" s="1"/>
      <c r="E1601" s="1" t="s">
        <v>402</v>
      </c>
      <c r="F1601" s="1">
        <v>149</v>
      </c>
      <c r="G1601" s="1">
        <v>4</v>
      </c>
      <c r="H1601" s="1">
        <v>7.6</v>
      </c>
      <c r="I1601" s="1"/>
      <c r="J1601" s="1"/>
    </row>
    <row r="1602" spans="1:10" x14ac:dyDescent="0.3">
      <c r="A1602" t="str">
        <f t="shared" ref="A1602:A1665" si="50">IF(NOT(D1602=""),INDEX(statAbbr,MATCH(D1602,statOfficial,0),1),A1601)</f>
        <v>3PPG</v>
      </c>
      <c r="B1602">
        <f t="shared" ref="B1602:B1665" si="51">INDEX(statID,MATCH(A1602,statAbbr,0),1)+INDEX(teamID,MATCH(E1602,teamRawName,0))</f>
        <v>4302</v>
      </c>
      <c r="D1602" s="1"/>
      <c r="E1602" s="1" t="s">
        <v>125</v>
      </c>
      <c r="F1602" s="1">
        <v>150</v>
      </c>
      <c r="G1602" s="1">
        <v>6</v>
      </c>
      <c r="H1602" s="1">
        <v>7.6</v>
      </c>
      <c r="I1602" s="1"/>
      <c r="J1602" s="1"/>
    </row>
    <row r="1603" spans="1:10" x14ac:dyDescent="0.3">
      <c r="A1603" t="str">
        <f t="shared" si="50"/>
        <v>3PPG</v>
      </c>
      <c r="B1603">
        <f t="shared" si="51"/>
        <v>4402</v>
      </c>
      <c r="D1603" s="1"/>
      <c r="E1603" s="1" t="s">
        <v>83</v>
      </c>
      <c r="F1603" s="1">
        <v>163</v>
      </c>
      <c r="G1603" s="1">
        <v>8</v>
      </c>
      <c r="H1603" s="1">
        <v>7.5</v>
      </c>
      <c r="I1603" s="1"/>
      <c r="J1603" s="1"/>
    </row>
    <row r="1604" spans="1:10" x14ac:dyDescent="0.3">
      <c r="A1604" t="str">
        <f t="shared" si="50"/>
        <v>3PPG</v>
      </c>
      <c r="B1604">
        <f t="shared" si="51"/>
        <v>2502</v>
      </c>
      <c r="D1604" s="1"/>
      <c r="E1604" s="1" t="s">
        <v>92</v>
      </c>
      <c r="F1604" s="1">
        <v>165</v>
      </c>
      <c r="G1604" s="1">
        <v>9</v>
      </c>
      <c r="H1604" s="1">
        <v>7.5</v>
      </c>
      <c r="I1604" s="1"/>
      <c r="J1604" s="1"/>
    </row>
    <row r="1605" spans="1:10" x14ac:dyDescent="0.3">
      <c r="A1605" t="str">
        <f t="shared" si="50"/>
        <v>3PPG</v>
      </c>
      <c r="B1605">
        <f t="shared" si="51"/>
        <v>102</v>
      </c>
      <c r="D1605" s="1"/>
      <c r="E1605" s="1" t="s">
        <v>312</v>
      </c>
      <c r="F1605" s="1">
        <v>166</v>
      </c>
      <c r="G1605" s="1">
        <v>8</v>
      </c>
      <c r="H1605" s="1">
        <v>7.5</v>
      </c>
      <c r="I1605" s="1"/>
      <c r="J1605" s="1"/>
    </row>
    <row r="1606" spans="1:10" x14ac:dyDescent="0.3">
      <c r="A1606" t="str">
        <f t="shared" si="50"/>
        <v>3PPG</v>
      </c>
      <c r="B1606">
        <f t="shared" si="51"/>
        <v>902</v>
      </c>
      <c r="D1606" s="1"/>
      <c r="E1606" s="1" t="s">
        <v>90</v>
      </c>
      <c r="F1606" s="1">
        <v>175</v>
      </c>
      <c r="G1606" s="1">
        <v>7</v>
      </c>
      <c r="H1606" s="1">
        <v>7.4</v>
      </c>
      <c r="I1606" s="1"/>
      <c r="J1606" s="1"/>
    </row>
    <row r="1607" spans="1:10" x14ac:dyDescent="0.3">
      <c r="A1607" t="str">
        <f t="shared" si="50"/>
        <v>3PPG</v>
      </c>
      <c r="B1607">
        <f t="shared" si="51"/>
        <v>7402</v>
      </c>
      <c r="D1607" s="1"/>
      <c r="E1607" s="1" t="s">
        <v>251</v>
      </c>
      <c r="F1607" s="1">
        <v>176</v>
      </c>
      <c r="G1607" s="1">
        <v>6</v>
      </c>
      <c r="H1607" s="1">
        <v>7.4</v>
      </c>
      <c r="I1607" s="1"/>
      <c r="J1607" s="1"/>
    </row>
    <row r="1608" spans="1:10" x14ac:dyDescent="0.3">
      <c r="A1608" t="str">
        <f t="shared" si="50"/>
        <v>3PPG</v>
      </c>
      <c r="B1608">
        <f t="shared" si="51"/>
        <v>13302</v>
      </c>
      <c r="D1608" s="1"/>
      <c r="E1608" s="1" t="s">
        <v>291</v>
      </c>
      <c r="F1608" s="1">
        <v>185</v>
      </c>
      <c r="G1608" s="1">
        <v>3</v>
      </c>
      <c r="H1608" s="1">
        <v>7.3</v>
      </c>
      <c r="I1608" s="1"/>
      <c r="J1608" s="1"/>
    </row>
    <row r="1609" spans="1:10" x14ac:dyDescent="0.3">
      <c r="A1609" t="str">
        <f t="shared" si="50"/>
        <v>3PPG</v>
      </c>
      <c r="B1609">
        <f t="shared" si="51"/>
        <v>4602</v>
      </c>
      <c r="D1609" s="1"/>
      <c r="E1609" s="1" t="s">
        <v>101</v>
      </c>
      <c r="F1609" s="1">
        <v>193</v>
      </c>
      <c r="G1609" s="1">
        <v>8</v>
      </c>
      <c r="H1609" s="1">
        <v>7.2</v>
      </c>
      <c r="I1609" s="1"/>
      <c r="J1609" s="1"/>
    </row>
    <row r="1610" spans="1:10" x14ac:dyDescent="0.3">
      <c r="A1610" t="str">
        <f t="shared" si="50"/>
        <v>3PPG</v>
      </c>
      <c r="B1610">
        <f t="shared" si="51"/>
        <v>6702</v>
      </c>
      <c r="D1610" s="1"/>
      <c r="E1610" s="1" t="s">
        <v>118</v>
      </c>
      <c r="F1610" s="1">
        <v>194</v>
      </c>
      <c r="G1610" s="1">
        <v>4</v>
      </c>
      <c r="H1610" s="1">
        <v>7.2</v>
      </c>
      <c r="I1610" s="1"/>
      <c r="J1610" s="1"/>
    </row>
    <row r="1611" spans="1:10" x14ac:dyDescent="0.3">
      <c r="A1611" t="str">
        <f t="shared" si="50"/>
        <v>3PPG</v>
      </c>
      <c r="B1611">
        <f t="shared" si="51"/>
        <v>702</v>
      </c>
      <c r="D1611" s="1"/>
      <c r="E1611" s="1" t="s">
        <v>319</v>
      </c>
      <c r="F1611" s="1">
        <v>197</v>
      </c>
      <c r="G1611" s="1">
        <v>6</v>
      </c>
      <c r="H1611" s="1">
        <v>7.2</v>
      </c>
      <c r="I1611" s="1"/>
      <c r="J1611" s="1"/>
    </row>
    <row r="1612" spans="1:10" x14ac:dyDescent="0.3">
      <c r="A1612" t="str">
        <f t="shared" si="50"/>
        <v>3PPG</v>
      </c>
      <c r="B1612">
        <f t="shared" si="51"/>
        <v>8602</v>
      </c>
      <c r="D1612" s="1"/>
      <c r="E1612" s="1" t="s">
        <v>259</v>
      </c>
      <c r="F1612" s="1">
        <v>210</v>
      </c>
      <c r="G1612" s="1">
        <v>4</v>
      </c>
      <c r="H1612" s="1">
        <v>7.1</v>
      </c>
      <c r="I1612" s="1"/>
      <c r="J1612" s="1"/>
    </row>
    <row r="1613" spans="1:10" x14ac:dyDescent="0.3">
      <c r="A1613" t="str">
        <f t="shared" si="50"/>
        <v>3PPG</v>
      </c>
      <c r="B1613">
        <f t="shared" si="51"/>
        <v>19002</v>
      </c>
      <c r="D1613" s="1"/>
      <c r="E1613" s="1" t="s">
        <v>176</v>
      </c>
      <c r="F1613" s="1">
        <v>214</v>
      </c>
      <c r="G1613" s="1">
        <v>8</v>
      </c>
      <c r="H1613" s="1">
        <v>7</v>
      </c>
      <c r="I1613" s="1"/>
      <c r="J1613" s="1"/>
    </row>
    <row r="1614" spans="1:10" x14ac:dyDescent="0.3">
      <c r="A1614" t="str">
        <f t="shared" si="50"/>
        <v>3PPG</v>
      </c>
      <c r="B1614">
        <f t="shared" si="51"/>
        <v>3902</v>
      </c>
      <c r="D1614" s="1"/>
      <c r="E1614" s="1" t="s">
        <v>88</v>
      </c>
      <c r="F1614" s="1">
        <v>217</v>
      </c>
      <c r="G1614" s="1">
        <v>8</v>
      </c>
      <c r="H1614" s="1">
        <v>7</v>
      </c>
      <c r="I1614" s="1"/>
      <c r="J1614" s="1"/>
    </row>
    <row r="1615" spans="1:10" x14ac:dyDescent="0.3">
      <c r="A1615" t="str">
        <f t="shared" si="50"/>
        <v>3PPG</v>
      </c>
      <c r="B1615">
        <f t="shared" si="51"/>
        <v>1202</v>
      </c>
      <c r="D1615" s="1"/>
      <c r="E1615" s="1" t="s">
        <v>130</v>
      </c>
      <c r="F1615" s="1">
        <v>221</v>
      </c>
      <c r="G1615" s="1">
        <v>9</v>
      </c>
      <c r="H1615" s="1">
        <v>6.9</v>
      </c>
      <c r="I1615" s="1"/>
      <c r="J1615" s="1"/>
    </row>
    <row r="1616" spans="1:10" x14ac:dyDescent="0.3">
      <c r="A1616" t="str">
        <f t="shared" si="50"/>
        <v>3PPG</v>
      </c>
      <c r="B1616">
        <f t="shared" si="51"/>
        <v>3002</v>
      </c>
      <c r="D1616" s="1"/>
      <c r="E1616" s="1" t="s">
        <v>89</v>
      </c>
      <c r="F1616" s="1">
        <v>236</v>
      </c>
      <c r="G1616" s="1">
        <v>8</v>
      </c>
      <c r="H1616" s="1">
        <v>6.8</v>
      </c>
      <c r="I1616" s="1"/>
      <c r="J1616" s="1"/>
    </row>
    <row r="1617" spans="1:10" x14ac:dyDescent="0.3">
      <c r="A1617" t="str">
        <f t="shared" si="50"/>
        <v>3PPG</v>
      </c>
      <c r="B1617">
        <f t="shared" si="51"/>
        <v>5402</v>
      </c>
      <c r="D1617" s="1"/>
      <c r="E1617" s="1" t="s">
        <v>94</v>
      </c>
      <c r="F1617" s="1">
        <v>241</v>
      </c>
      <c r="G1617" s="1">
        <v>10</v>
      </c>
      <c r="H1617" s="1">
        <v>6.8</v>
      </c>
      <c r="I1617" s="1"/>
      <c r="J1617" s="1"/>
    </row>
    <row r="1618" spans="1:10" x14ac:dyDescent="0.3">
      <c r="A1618" t="str">
        <f t="shared" si="50"/>
        <v>3PPG</v>
      </c>
      <c r="B1618">
        <f t="shared" si="51"/>
        <v>2602</v>
      </c>
      <c r="D1618" s="1"/>
      <c r="E1618" s="1" t="s">
        <v>80</v>
      </c>
      <c r="F1618" s="1">
        <v>251</v>
      </c>
      <c r="G1618" s="1">
        <v>11</v>
      </c>
      <c r="H1618" s="1">
        <v>6.7</v>
      </c>
      <c r="I1618" s="1"/>
      <c r="J1618" s="1"/>
    </row>
    <row r="1619" spans="1:10" x14ac:dyDescent="0.3">
      <c r="A1619" t="str">
        <f t="shared" si="50"/>
        <v>3PPG</v>
      </c>
      <c r="B1619">
        <f t="shared" si="51"/>
        <v>11102</v>
      </c>
      <c r="D1619" s="1"/>
      <c r="E1619" s="1" t="s">
        <v>277</v>
      </c>
      <c r="F1619" s="1">
        <v>255</v>
      </c>
      <c r="G1619" s="1">
        <v>11</v>
      </c>
      <c r="H1619" s="1">
        <v>6.7</v>
      </c>
      <c r="I1619" s="1"/>
      <c r="J1619" s="1"/>
    </row>
    <row r="1620" spans="1:10" x14ac:dyDescent="0.3">
      <c r="A1620" t="str">
        <f t="shared" si="50"/>
        <v>3PPG</v>
      </c>
      <c r="B1620">
        <f t="shared" si="51"/>
        <v>6802</v>
      </c>
      <c r="D1620" s="1"/>
      <c r="E1620" s="1" t="s">
        <v>248</v>
      </c>
      <c r="F1620" s="1">
        <v>260</v>
      </c>
      <c r="G1620" s="1">
        <v>7</v>
      </c>
      <c r="H1620" s="1">
        <v>6.6</v>
      </c>
      <c r="I1620" s="1"/>
      <c r="J1620" s="1"/>
    </row>
    <row r="1621" spans="1:10" x14ac:dyDescent="0.3">
      <c r="A1621" t="str">
        <f t="shared" si="50"/>
        <v>3PPG</v>
      </c>
      <c r="B1621">
        <f t="shared" si="51"/>
        <v>4502</v>
      </c>
      <c r="D1621" s="1"/>
      <c r="E1621" s="1" t="s">
        <v>84</v>
      </c>
      <c r="F1621" s="1">
        <v>272</v>
      </c>
      <c r="G1621" s="1">
        <v>9</v>
      </c>
      <c r="H1621" s="1">
        <v>6.5</v>
      </c>
      <c r="I1621" s="1"/>
      <c r="J1621" s="1"/>
    </row>
    <row r="1622" spans="1:10" x14ac:dyDescent="0.3">
      <c r="A1622" t="str">
        <f t="shared" si="50"/>
        <v>3PPG</v>
      </c>
      <c r="B1622">
        <f t="shared" si="51"/>
        <v>2402</v>
      </c>
      <c r="D1622" s="1"/>
      <c r="E1622" s="1" t="s">
        <v>330</v>
      </c>
      <c r="F1622" s="1">
        <v>273</v>
      </c>
      <c r="G1622" s="1">
        <v>9</v>
      </c>
      <c r="H1622" s="1">
        <v>6.5</v>
      </c>
      <c r="I1622" s="1"/>
      <c r="J1622" s="1"/>
    </row>
    <row r="1623" spans="1:10" x14ac:dyDescent="0.3">
      <c r="A1623" t="str">
        <f t="shared" si="50"/>
        <v>3PPG</v>
      </c>
      <c r="B1623">
        <f t="shared" si="51"/>
        <v>602</v>
      </c>
      <c r="D1623" s="1"/>
      <c r="E1623" s="1" t="s">
        <v>100</v>
      </c>
      <c r="F1623" s="1">
        <v>277</v>
      </c>
      <c r="G1623" s="1">
        <v>10</v>
      </c>
      <c r="H1623" s="1">
        <v>6.4</v>
      </c>
      <c r="I1623" s="1"/>
      <c r="J1623" s="1"/>
    </row>
    <row r="1624" spans="1:10" x14ac:dyDescent="0.3">
      <c r="A1624" t="str">
        <f t="shared" si="50"/>
        <v>3PPG</v>
      </c>
      <c r="B1624">
        <f t="shared" si="51"/>
        <v>5502</v>
      </c>
      <c r="D1624" s="1"/>
      <c r="E1624" s="1" t="s">
        <v>86</v>
      </c>
      <c r="F1624" s="1">
        <v>287</v>
      </c>
      <c r="G1624" s="1">
        <v>10</v>
      </c>
      <c r="H1624" s="1">
        <v>6.3</v>
      </c>
      <c r="I1624" s="1"/>
      <c r="J1624" s="1"/>
    </row>
    <row r="1625" spans="1:10" x14ac:dyDescent="0.3">
      <c r="A1625" t="str">
        <f t="shared" si="50"/>
        <v>3PPG</v>
      </c>
      <c r="B1625">
        <f t="shared" si="51"/>
        <v>3602</v>
      </c>
      <c r="D1625" s="1"/>
      <c r="E1625" s="1" t="s">
        <v>129</v>
      </c>
      <c r="F1625" s="1">
        <v>292</v>
      </c>
      <c r="G1625" s="1">
        <v>11</v>
      </c>
      <c r="H1625" s="1">
        <v>6.2</v>
      </c>
      <c r="I1625" s="1"/>
      <c r="J1625" s="1"/>
    </row>
    <row r="1626" spans="1:10" x14ac:dyDescent="0.3">
      <c r="A1626" t="str">
        <f t="shared" si="50"/>
        <v>3PPG</v>
      </c>
      <c r="B1626">
        <f t="shared" si="51"/>
        <v>12002</v>
      </c>
      <c r="D1626" s="1"/>
      <c r="E1626" s="1" t="s">
        <v>135</v>
      </c>
      <c r="F1626" s="1">
        <v>297</v>
      </c>
      <c r="G1626" s="1">
        <v>10</v>
      </c>
      <c r="H1626" s="1">
        <v>6.2</v>
      </c>
      <c r="I1626" s="1"/>
      <c r="J1626" s="1"/>
    </row>
    <row r="1627" spans="1:10" x14ac:dyDescent="0.3">
      <c r="A1627" t="str">
        <f t="shared" si="50"/>
        <v>3PPG</v>
      </c>
      <c r="B1627">
        <f t="shared" si="51"/>
        <v>6602</v>
      </c>
      <c r="D1627" s="1"/>
      <c r="E1627" s="1" t="s">
        <v>247</v>
      </c>
      <c r="F1627" s="1">
        <v>302</v>
      </c>
      <c r="G1627" s="1">
        <v>11</v>
      </c>
      <c r="H1627" s="1">
        <v>6.1</v>
      </c>
      <c r="I1627" s="1"/>
      <c r="J1627" s="1"/>
    </row>
    <row r="1628" spans="1:10" x14ac:dyDescent="0.3">
      <c r="A1628" t="str">
        <f t="shared" si="50"/>
        <v>3PPG</v>
      </c>
      <c r="B1628">
        <f t="shared" si="51"/>
        <v>9002</v>
      </c>
      <c r="D1628" s="1"/>
      <c r="E1628" s="1" t="s">
        <v>261</v>
      </c>
      <c r="F1628" s="1">
        <v>303</v>
      </c>
      <c r="G1628" s="1">
        <v>10</v>
      </c>
      <c r="H1628" s="1">
        <v>6.1</v>
      </c>
      <c r="I1628" s="1"/>
      <c r="J1628" s="1"/>
    </row>
    <row r="1629" spans="1:10" x14ac:dyDescent="0.3">
      <c r="A1629" t="str">
        <f t="shared" si="50"/>
        <v>3PPG</v>
      </c>
      <c r="B1629">
        <f t="shared" si="51"/>
        <v>12202</v>
      </c>
      <c r="D1629" s="1"/>
      <c r="E1629" s="1" t="s">
        <v>284</v>
      </c>
      <c r="F1629" s="1">
        <v>305</v>
      </c>
      <c r="G1629" s="1">
        <v>13</v>
      </c>
      <c r="H1629" s="1">
        <v>6.1</v>
      </c>
      <c r="I1629" s="1"/>
      <c r="J1629" s="1"/>
    </row>
    <row r="1630" spans="1:10" x14ac:dyDescent="0.3">
      <c r="A1630" t="str">
        <f t="shared" si="50"/>
        <v>3PPG</v>
      </c>
      <c r="B1630">
        <f t="shared" si="51"/>
        <v>9402</v>
      </c>
      <c r="D1630" s="1"/>
      <c r="E1630" s="1" t="s">
        <v>264</v>
      </c>
      <c r="F1630" s="1">
        <v>324</v>
      </c>
      <c r="G1630" s="1">
        <v>14</v>
      </c>
      <c r="H1630" s="1">
        <v>5.7</v>
      </c>
      <c r="I1630" s="1"/>
      <c r="J1630" s="1"/>
    </row>
    <row r="1631" spans="1:10" x14ac:dyDescent="0.3">
      <c r="A1631" t="str">
        <f t="shared" si="50"/>
        <v>3PPG</v>
      </c>
      <c r="B1631">
        <f t="shared" si="51"/>
        <v>5602</v>
      </c>
      <c r="D1631" s="1"/>
      <c r="E1631" s="1" t="s">
        <v>62</v>
      </c>
      <c r="F1631" s="1">
        <v>328</v>
      </c>
      <c r="G1631" s="1">
        <v>11</v>
      </c>
      <c r="H1631" s="1">
        <v>5.6</v>
      </c>
      <c r="I1631" s="1"/>
      <c r="J1631" s="1"/>
    </row>
    <row r="1632" spans="1:10" x14ac:dyDescent="0.3">
      <c r="A1632" t="str">
        <f t="shared" si="50"/>
        <v>3PPG</v>
      </c>
      <c r="B1632">
        <f t="shared" si="51"/>
        <v>18902</v>
      </c>
      <c r="D1632" s="1"/>
      <c r="E1632" s="1" t="s">
        <v>422</v>
      </c>
      <c r="F1632" s="1">
        <v>330</v>
      </c>
      <c r="G1632" s="1">
        <v>7</v>
      </c>
      <c r="H1632" s="1">
        <v>5.5</v>
      </c>
      <c r="I1632" s="1"/>
      <c r="J1632" s="1"/>
    </row>
    <row r="1633" spans="1:10" x14ac:dyDescent="0.3">
      <c r="A1633" t="str">
        <f t="shared" si="50"/>
        <v>3PPG</v>
      </c>
      <c r="B1633">
        <f t="shared" si="51"/>
        <v>1602</v>
      </c>
      <c r="D1633" s="1"/>
      <c r="E1633" s="1" t="s">
        <v>137</v>
      </c>
      <c r="F1633" s="1">
        <v>336</v>
      </c>
      <c r="G1633" s="1">
        <v>13</v>
      </c>
      <c r="H1633" s="1">
        <v>5.2</v>
      </c>
      <c r="I1633" s="1"/>
      <c r="J1633" s="1"/>
    </row>
    <row r="1634" spans="1:10" x14ac:dyDescent="0.3">
      <c r="A1634" t="str">
        <f t="shared" si="50"/>
        <v>3PPG</v>
      </c>
      <c r="B1634">
        <f t="shared" si="51"/>
        <v>8102</v>
      </c>
      <c r="D1634" s="1"/>
      <c r="E1634" s="1" t="s">
        <v>256</v>
      </c>
      <c r="F1634" s="1">
        <v>342</v>
      </c>
      <c r="G1634" s="1">
        <v>14</v>
      </c>
      <c r="H1634" s="1">
        <v>5</v>
      </c>
      <c r="I1634" s="1"/>
      <c r="J1634" s="1"/>
    </row>
    <row r="1635" spans="1:10" x14ac:dyDescent="0.3">
      <c r="A1635" t="str">
        <f t="shared" si="50"/>
        <v>3PPG</v>
      </c>
      <c r="B1635">
        <f t="shared" si="51"/>
        <v>11802</v>
      </c>
      <c r="D1635" s="1"/>
      <c r="E1635" s="1" t="s">
        <v>281</v>
      </c>
      <c r="F1635" s="1">
        <v>346</v>
      </c>
      <c r="G1635" s="1">
        <v>12</v>
      </c>
      <c r="H1635" s="1">
        <v>4.7</v>
      </c>
      <c r="I1635" s="1"/>
      <c r="J1635" s="1"/>
    </row>
    <row r="1636" spans="1:10" x14ac:dyDescent="0.3">
      <c r="A1636" t="str">
        <f t="shared" si="50"/>
        <v>TM</v>
      </c>
      <c r="B1636">
        <f t="shared" si="51"/>
        <v>14125</v>
      </c>
      <c r="D1636" s="1" t="s">
        <v>456</v>
      </c>
      <c r="E1636" s="1" t="s">
        <v>299</v>
      </c>
      <c r="F1636" s="1">
        <v>1</v>
      </c>
      <c r="G1636" s="1">
        <v>1</v>
      </c>
      <c r="H1636" s="1">
        <v>5.8</v>
      </c>
      <c r="I1636" s="1" t="s">
        <v>299</v>
      </c>
      <c r="J1636" s="1">
        <v>5.8</v>
      </c>
    </row>
    <row r="1637" spans="1:10" x14ac:dyDescent="0.3">
      <c r="A1637" t="str">
        <f t="shared" si="50"/>
        <v>TM</v>
      </c>
      <c r="B1637">
        <f t="shared" si="51"/>
        <v>9025</v>
      </c>
      <c r="D1637" s="1"/>
      <c r="E1637" s="1" t="s">
        <v>261</v>
      </c>
      <c r="F1637" s="1">
        <v>2</v>
      </c>
      <c r="G1637" s="1">
        <v>1</v>
      </c>
      <c r="H1637" s="1">
        <v>5.6</v>
      </c>
      <c r="I1637" s="1"/>
      <c r="J1637" s="1"/>
    </row>
    <row r="1638" spans="1:10" x14ac:dyDescent="0.3">
      <c r="A1638" t="str">
        <f t="shared" si="50"/>
        <v>TM</v>
      </c>
      <c r="B1638">
        <f t="shared" si="51"/>
        <v>3325</v>
      </c>
      <c r="D1638" s="1"/>
      <c r="E1638" s="1" t="s">
        <v>91</v>
      </c>
      <c r="F1638" s="1">
        <v>4</v>
      </c>
      <c r="G1638" s="1">
        <v>1</v>
      </c>
      <c r="H1638" s="1">
        <v>5.0999999999999996</v>
      </c>
      <c r="I1638" s="1"/>
      <c r="J1638" s="1"/>
    </row>
    <row r="1639" spans="1:10" x14ac:dyDescent="0.3">
      <c r="A1639" t="str">
        <f t="shared" si="50"/>
        <v>TM</v>
      </c>
      <c r="B1639">
        <f t="shared" si="51"/>
        <v>18825</v>
      </c>
      <c r="D1639" s="1"/>
      <c r="E1639" s="1" t="s">
        <v>424</v>
      </c>
      <c r="F1639" s="1">
        <v>6</v>
      </c>
      <c r="G1639" s="1">
        <v>1</v>
      </c>
      <c r="H1639" s="1">
        <v>4.4000000000000004</v>
      </c>
      <c r="I1639" s="1"/>
      <c r="J1639" s="1"/>
    </row>
    <row r="1640" spans="1:10" x14ac:dyDescent="0.3">
      <c r="A1640" t="str">
        <f t="shared" si="50"/>
        <v>TM</v>
      </c>
      <c r="B1640">
        <f t="shared" si="51"/>
        <v>13425</v>
      </c>
      <c r="D1640" s="1"/>
      <c r="E1640" s="1" t="s">
        <v>400</v>
      </c>
      <c r="F1640" s="1">
        <v>7</v>
      </c>
      <c r="G1640" s="1">
        <v>1</v>
      </c>
      <c r="H1640" s="1">
        <v>4.4000000000000004</v>
      </c>
      <c r="I1640" s="1"/>
      <c r="J1640" s="1"/>
    </row>
    <row r="1641" spans="1:10" x14ac:dyDescent="0.3">
      <c r="A1641" t="str">
        <f t="shared" si="50"/>
        <v>TM</v>
      </c>
      <c r="B1641">
        <f t="shared" si="51"/>
        <v>6225</v>
      </c>
      <c r="D1641" s="1"/>
      <c r="E1641" s="1" t="s">
        <v>81</v>
      </c>
      <c r="F1641" s="1">
        <v>9</v>
      </c>
      <c r="G1641" s="1">
        <v>1</v>
      </c>
      <c r="H1641" s="1">
        <v>4.3</v>
      </c>
      <c r="I1641" s="1"/>
      <c r="J1641" s="1"/>
    </row>
    <row r="1642" spans="1:10" x14ac:dyDescent="0.3">
      <c r="A1642" t="str">
        <f t="shared" si="50"/>
        <v>TM</v>
      </c>
      <c r="B1642">
        <f t="shared" si="51"/>
        <v>6725</v>
      </c>
      <c r="D1642" s="1"/>
      <c r="E1642" s="1" t="s">
        <v>118</v>
      </c>
      <c r="F1642" s="1">
        <v>11</v>
      </c>
      <c r="G1642" s="1">
        <v>1</v>
      </c>
      <c r="H1642" s="1">
        <v>4.0999999999999996</v>
      </c>
      <c r="I1642" s="1"/>
      <c r="J1642" s="1"/>
    </row>
    <row r="1643" spans="1:10" x14ac:dyDescent="0.3">
      <c r="A1643" t="str">
        <f t="shared" si="50"/>
        <v>TM</v>
      </c>
      <c r="B1643">
        <f t="shared" si="51"/>
        <v>8625</v>
      </c>
      <c r="D1643" s="1"/>
      <c r="E1643" s="1" t="s">
        <v>259</v>
      </c>
      <c r="F1643" s="1">
        <v>12</v>
      </c>
      <c r="G1643" s="1">
        <v>1</v>
      </c>
      <c r="H1643" s="1">
        <v>3.9</v>
      </c>
      <c r="I1643" s="1"/>
      <c r="J1643" s="1"/>
    </row>
    <row r="1644" spans="1:10" x14ac:dyDescent="0.3">
      <c r="A1644" t="str">
        <f t="shared" si="50"/>
        <v>TM</v>
      </c>
      <c r="B1644">
        <f t="shared" si="51"/>
        <v>18425</v>
      </c>
      <c r="D1644" s="1"/>
      <c r="E1644" s="1" t="s">
        <v>417</v>
      </c>
      <c r="F1644" s="1">
        <v>14</v>
      </c>
      <c r="G1644" s="1">
        <v>1</v>
      </c>
      <c r="H1644" s="1">
        <v>3.8</v>
      </c>
      <c r="I1644" s="1"/>
      <c r="J1644" s="1"/>
    </row>
    <row r="1645" spans="1:10" x14ac:dyDescent="0.3">
      <c r="A1645" t="str">
        <f t="shared" si="50"/>
        <v>TM</v>
      </c>
      <c r="B1645">
        <f t="shared" si="51"/>
        <v>1925</v>
      </c>
      <c r="D1645" s="1"/>
      <c r="E1645" s="1" t="s">
        <v>112</v>
      </c>
      <c r="F1645" s="1">
        <v>15</v>
      </c>
      <c r="G1645" s="1">
        <v>1</v>
      </c>
      <c r="H1645" s="1">
        <v>3.8</v>
      </c>
      <c r="I1645" s="1"/>
      <c r="J1645" s="1"/>
    </row>
    <row r="1646" spans="1:10" x14ac:dyDescent="0.3">
      <c r="A1646" t="str">
        <f t="shared" si="50"/>
        <v>TM</v>
      </c>
      <c r="B1646">
        <f t="shared" si="51"/>
        <v>2825</v>
      </c>
      <c r="D1646" s="1"/>
      <c r="E1646" s="1" t="s">
        <v>106</v>
      </c>
      <c r="F1646" s="1">
        <v>16</v>
      </c>
      <c r="G1646" s="1">
        <v>1</v>
      </c>
      <c r="H1646" s="1">
        <v>3.7</v>
      </c>
      <c r="I1646" s="1"/>
      <c r="J1646" s="1"/>
    </row>
    <row r="1647" spans="1:10" x14ac:dyDescent="0.3">
      <c r="A1647" t="str">
        <f t="shared" si="50"/>
        <v>TM</v>
      </c>
      <c r="B1647">
        <f t="shared" si="51"/>
        <v>2625</v>
      </c>
      <c r="D1647" s="1"/>
      <c r="E1647" s="1" t="s">
        <v>80</v>
      </c>
      <c r="F1647" s="1">
        <v>17</v>
      </c>
      <c r="G1647" s="1">
        <v>2</v>
      </c>
      <c r="H1647" s="1">
        <v>3.7</v>
      </c>
      <c r="I1647" s="1"/>
      <c r="J1647" s="1"/>
    </row>
    <row r="1648" spans="1:10" x14ac:dyDescent="0.3">
      <c r="A1648" t="str">
        <f t="shared" si="50"/>
        <v>TM</v>
      </c>
      <c r="B1648">
        <f t="shared" si="51"/>
        <v>625</v>
      </c>
      <c r="D1648" s="1"/>
      <c r="E1648" s="1" t="s">
        <v>100</v>
      </c>
      <c r="F1648" s="1">
        <v>18</v>
      </c>
      <c r="G1648" s="1">
        <v>2</v>
      </c>
      <c r="H1648" s="1">
        <v>3.6</v>
      </c>
      <c r="I1648" s="1"/>
      <c r="J1648" s="1"/>
    </row>
    <row r="1649" spans="1:10" x14ac:dyDescent="0.3">
      <c r="A1649" t="str">
        <f t="shared" si="50"/>
        <v>TM</v>
      </c>
      <c r="B1649">
        <f t="shared" si="51"/>
        <v>5625</v>
      </c>
      <c r="D1649" s="1"/>
      <c r="E1649" s="1" t="s">
        <v>62</v>
      </c>
      <c r="F1649" s="1">
        <v>19</v>
      </c>
      <c r="G1649" s="1">
        <v>3</v>
      </c>
      <c r="H1649" s="1">
        <v>3.5</v>
      </c>
      <c r="I1649" s="1"/>
      <c r="J1649" s="1"/>
    </row>
    <row r="1650" spans="1:10" x14ac:dyDescent="0.3">
      <c r="A1650" t="str">
        <f t="shared" si="50"/>
        <v>TM</v>
      </c>
      <c r="B1650">
        <f t="shared" si="51"/>
        <v>18525</v>
      </c>
      <c r="D1650" s="1"/>
      <c r="E1650" s="1" t="s">
        <v>420</v>
      </c>
      <c r="F1650" s="1">
        <v>23</v>
      </c>
      <c r="G1650" s="1">
        <v>1</v>
      </c>
      <c r="H1650" s="1">
        <v>3.3</v>
      </c>
      <c r="I1650" s="1"/>
      <c r="J1650" s="1"/>
    </row>
    <row r="1651" spans="1:10" x14ac:dyDescent="0.3">
      <c r="A1651" t="str">
        <f t="shared" si="50"/>
        <v>TM</v>
      </c>
      <c r="B1651">
        <f t="shared" si="51"/>
        <v>5225</v>
      </c>
      <c r="D1651" s="1"/>
      <c r="E1651" s="1" t="s">
        <v>241</v>
      </c>
      <c r="F1651" s="1">
        <v>30</v>
      </c>
      <c r="G1651" s="1">
        <v>4</v>
      </c>
      <c r="H1651" s="1">
        <v>3</v>
      </c>
      <c r="I1651" s="1"/>
      <c r="J1651" s="1"/>
    </row>
    <row r="1652" spans="1:10" x14ac:dyDescent="0.3">
      <c r="A1652" t="str">
        <f t="shared" si="50"/>
        <v>TM</v>
      </c>
      <c r="B1652">
        <f t="shared" si="51"/>
        <v>12225</v>
      </c>
      <c r="D1652" s="1"/>
      <c r="E1652" s="1" t="s">
        <v>284</v>
      </c>
      <c r="F1652" s="1">
        <v>31</v>
      </c>
      <c r="G1652" s="1">
        <v>1</v>
      </c>
      <c r="H1652" s="1">
        <v>3</v>
      </c>
      <c r="I1652" s="1"/>
      <c r="J1652" s="1"/>
    </row>
    <row r="1653" spans="1:10" x14ac:dyDescent="0.3">
      <c r="A1653" t="str">
        <f t="shared" si="50"/>
        <v>TM</v>
      </c>
      <c r="B1653">
        <f t="shared" si="51"/>
        <v>3525</v>
      </c>
      <c r="D1653" s="1"/>
      <c r="E1653" s="1" t="s">
        <v>87</v>
      </c>
      <c r="F1653" s="1">
        <v>35</v>
      </c>
      <c r="G1653" s="1">
        <v>2</v>
      </c>
      <c r="H1653" s="1">
        <v>2.7</v>
      </c>
      <c r="I1653" s="1"/>
      <c r="J1653" s="1"/>
    </row>
    <row r="1654" spans="1:10" x14ac:dyDescent="0.3">
      <c r="A1654" t="str">
        <f t="shared" si="50"/>
        <v>TM</v>
      </c>
      <c r="B1654">
        <f t="shared" si="51"/>
        <v>4425</v>
      </c>
      <c r="D1654" s="1"/>
      <c r="E1654" s="1" t="s">
        <v>83</v>
      </c>
      <c r="F1654" s="1">
        <v>40</v>
      </c>
      <c r="G1654" s="1">
        <v>1</v>
      </c>
      <c r="H1654" s="1">
        <v>2.5</v>
      </c>
      <c r="I1654" s="1"/>
      <c r="J1654" s="1"/>
    </row>
    <row r="1655" spans="1:10" x14ac:dyDescent="0.3">
      <c r="A1655" t="str">
        <f t="shared" si="50"/>
        <v>TM</v>
      </c>
      <c r="B1655">
        <f t="shared" si="51"/>
        <v>18325</v>
      </c>
      <c r="D1655" s="1"/>
      <c r="E1655" s="1" t="s">
        <v>423</v>
      </c>
      <c r="F1655" s="1">
        <v>46</v>
      </c>
      <c r="G1655" s="1">
        <v>4</v>
      </c>
      <c r="H1655" s="1">
        <v>2.2999999999999998</v>
      </c>
      <c r="I1655" s="1"/>
      <c r="J1655" s="1"/>
    </row>
    <row r="1656" spans="1:10" x14ac:dyDescent="0.3">
      <c r="A1656" t="str">
        <f t="shared" si="50"/>
        <v>TM</v>
      </c>
      <c r="B1656">
        <f t="shared" si="51"/>
        <v>14525</v>
      </c>
      <c r="D1656" s="1"/>
      <c r="E1656" s="1" t="s">
        <v>402</v>
      </c>
      <c r="F1656" s="1">
        <v>47</v>
      </c>
      <c r="G1656" s="1">
        <v>2</v>
      </c>
      <c r="H1656" s="1">
        <v>2.2999999999999998</v>
      </c>
      <c r="I1656" s="1"/>
      <c r="J1656" s="1"/>
    </row>
    <row r="1657" spans="1:10" x14ac:dyDescent="0.3">
      <c r="A1657" t="str">
        <f t="shared" si="50"/>
        <v>TM</v>
      </c>
      <c r="B1657">
        <f t="shared" si="51"/>
        <v>4625</v>
      </c>
      <c r="D1657" s="1"/>
      <c r="E1657" s="1" t="s">
        <v>101</v>
      </c>
      <c r="F1657" s="1">
        <v>49</v>
      </c>
      <c r="G1657" s="1">
        <v>2</v>
      </c>
      <c r="H1657" s="1">
        <v>2.2000000000000002</v>
      </c>
      <c r="I1657" s="1"/>
      <c r="J1657" s="1"/>
    </row>
    <row r="1658" spans="1:10" x14ac:dyDescent="0.3">
      <c r="A1658" t="str">
        <f t="shared" si="50"/>
        <v>TM</v>
      </c>
      <c r="B1658">
        <f t="shared" si="51"/>
        <v>8425</v>
      </c>
      <c r="D1658" s="1"/>
      <c r="E1658" s="1" t="s">
        <v>109</v>
      </c>
      <c r="F1658" s="1">
        <v>50</v>
      </c>
      <c r="G1658" s="1">
        <v>1</v>
      </c>
      <c r="H1658" s="1">
        <v>2.1</v>
      </c>
      <c r="I1658" s="1"/>
      <c r="J1658" s="1"/>
    </row>
    <row r="1659" spans="1:10" x14ac:dyDescent="0.3">
      <c r="A1659" t="str">
        <f t="shared" si="50"/>
        <v>TM</v>
      </c>
      <c r="B1659">
        <f t="shared" si="51"/>
        <v>7925</v>
      </c>
      <c r="D1659" s="1"/>
      <c r="E1659" s="1" t="s">
        <v>103</v>
      </c>
      <c r="F1659" s="1">
        <v>51</v>
      </c>
      <c r="G1659" s="1">
        <v>1</v>
      </c>
      <c r="H1659" s="1">
        <v>2.1</v>
      </c>
      <c r="I1659" s="1"/>
      <c r="J1659" s="1"/>
    </row>
    <row r="1660" spans="1:10" x14ac:dyDescent="0.3">
      <c r="A1660" t="str">
        <f t="shared" si="50"/>
        <v>TM</v>
      </c>
      <c r="B1660">
        <f t="shared" si="51"/>
        <v>19125</v>
      </c>
      <c r="D1660" s="1"/>
      <c r="E1660" s="1" t="s">
        <v>421</v>
      </c>
      <c r="F1660" s="1">
        <v>52</v>
      </c>
      <c r="G1660" s="1">
        <v>1</v>
      </c>
      <c r="H1660" s="1">
        <v>2</v>
      </c>
      <c r="I1660" s="1"/>
      <c r="J1660" s="1"/>
    </row>
    <row r="1661" spans="1:10" x14ac:dyDescent="0.3">
      <c r="A1661" t="str">
        <f t="shared" si="50"/>
        <v>TM</v>
      </c>
      <c r="B1661">
        <f t="shared" si="51"/>
        <v>3925</v>
      </c>
      <c r="D1661" s="1"/>
      <c r="E1661" s="1" t="s">
        <v>88</v>
      </c>
      <c r="F1661" s="1">
        <v>53</v>
      </c>
      <c r="G1661" s="1">
        <v>4</v>
      </c>
      <c r="H1661" s="1">
        <v>2</v>
      </c>
      <c r="I1661" s="1"/>
      <c r="J1661" s="1"/>
    </row>
    <row r="1662" spans="1:10" x14ac:dyDescent="0.3">
      <c r="A1662" t="str">
        <f t="shared" si="50"/>
        <v>TM</v>
      </c>
      <c r="B1662">
        <f t="shared" si="51"/>
        <v>18625</v>
      </c>
      <c r="D1662" s="1"/>
      <c r="E1662" s="1" t="s">
        <v>425</v>
      </c>
      <c r="F1662" s="1">
        <v>55</v>
      </c>
      <c r="G1662" s="1">
        <v>3</v>
      </c>
      <c r="H1662" s="1">
        <v>1.9</v>
      </c>
      <c r="I1662" s="1"/>
      <c r="J1662" s="1"/>
    </row>
    <row r="1663" spans="1:10" x14ac:dyDescent="0.3">
      <c r="A1663" t="str">
        <f t="shared" si="50"/>
        <v>TM</v>
      </c>
      <c r="B1663">
        <f t="shared" si="51"/>
        <v>11525</v>
      </c>
      <c r="D1663" s="1"/>
      <c r="E1663" s="1" t="s">
        <v>97</v>
      </c>
      <c r="F1663" s="1">
        <v>60</v>
      </c>
      <c r="G1663" s="1">
        <v>3</v>
      </c>
      <c r="H1663" s="1">
        <v>1.8</v>
      </c>
      <c r="I1663" s="1"/>
      <c r="J1663" s="1"/>
    </row>
    <row r="1664" spans="1:10" x14ac:dyDescent="0.3">
      <c r="A1664" t="str">
        <f t="shared" si="50"/>
        <v>TM</v>
      </c>
      <c r="B1664">
        <f t="shared" si="51"/>
        <v>6625</v>
      </c>
      <c r="D1664" s="1"/>
      <c r="E1664" s="1" t="s">
        <v>247</v>
      </c>
      <c r="F1664" s="1">
        <v>60</v>
      </c>
      <c r="G1664" s="1">
        <v>3</v>
      </c>
      <c r="H1664" s="1">
        <v>1.8</v>
      </c>
      <c r="I1664" s="1"/>
      <c r="J1664" s="1"/>
    </row>
    <row r="1665" spans="1:10" x14ac:dyDescent="0.3">
      <c r="A1665" t="str">
        <f t="shared" si="50"/>
        <v>TM</v>
      </c>
      <c r="B1665">
        <f t="shared" si="51"/>
        <v>12025</v>
      </c>
      <c r="D1665" s="1"/>
      <c r="E1665" s="1" t="s">
        <v>135</v>
      </c>
      <c r="F1665" s="1">
        <v>60</v>
      </c>
      <c r="G1665" s="1">
        <v>2</v>
      </c>
      <c r="H1665" s="1">
        <v>1.8</v>
      </c>
      <c r="I1665" s="1"/>
      <c r="J1665" s="1"/>
    </row>
    <row r="1666" spans="1:10" x14ac:dyDescent="0.3">
      <c r="A1666" t="str">
        <f t="shared" ref="A1666:A1729" si="52">IF(NOT(D1666=""),INDEX(statAbbr,MATCH(D1666,statOfficial,0),1),A1665)</f>
        <v>TM</v>
      </c>
      <c r="B1666">
        <f t="shared" ref="B1666:B1729" si="53">INDEX(statID,MATCH(A1666,statAbbr,0),1)+INDEX(teamID,MATCH(E1666,teamRawName,0))</f>
        <v>2525</v>
      </c>
      <c r="D1666" s="1"/>
      <c r="E1666" s="1" t="s">
        <v>92</v>
      </c>
      <c r="F1666" s="1">
        <v>64</v>
      </c>
      <c r="G1666" s="1">
        <v>2</v>
      </c>
      <c r="H1666" s="1">
        <v>1.8</v>
      </c>
      <c r="I1666" s="1"/>
      <c r="J1666" s="1"/>
    </row>
    <row r="1667" spans="1:10" x14ac:dyDescent="0.3">
      <c r="A1667" t="str">
        <f t="shared" si="52"/>
        <v>TM</v>
      </c>
      <c r="B1667">
        <f t="shared" si="53"/>
        <v>3625</v>
      </c>
      <c r="D1667" s="1"/>
      <c r="E1667" s="1" t="s">
        <v>129</v>
      </c>
      <c r="F1667" s="1">
        <v>67</v>
      </c>
      <c r="G1667" s="1">
        <v>3</v>
      </c>
      <c r="H1667" s="1">
        <v>1.7</v>
      </c>
      <c r="I1667" s="1"/>
      <c r="J1667" s="1"/>
    </row>
    <row r="1668" spans="1:10" x14ac:dyDescent="0.3">
      <c r="A1668" t="str">
        <f t="shared" si="52"/>
        <v>TM</v>
      </c>
      <c r="B1668">
        <f t="shared" si="53"/>
        <v>8125</v>
      </c>
      <c r="D1668" s="1"/>
      <c r="E1668" s="1" t="s">
        <v>256</v>
      </c>
      <c r="F1668" s="1">
        <v>68</v>
      </c>
      <c r="G1668" s="1">
        <v>4</v>
      </c>
      <c r="H1668" s="1">
        <v>1.7</v>
      </c>
      <c r="I1668" s="1"/>
      <c r="J1668" s="1"/>
    </row>
    <row r="1669" spans="1:10" x14ac:dyDescent="0.3">
      <c r="A1669" t="str">
        <f t="shared" si="52"/>
        <v>TM</v>
      </c>
      <c r="B1669">
        <f t="shared" si="53"/>
        <v>13325</v>
      </c>
      <c r="D1669" s="1"/>
      <c r="E1669" s="1" t="s">
        <v>291</v>
      </c>
      <c r="F1669" s="1">
        <v>69</v>
      </c>
      <c r="G1669" s="1">
        <v>5</v>
      </c>
      <c r="H1669" s="1">
        <v>1.6</v>
      </c>
      <c r="I1669" s="1"/>
      <c r="J1669" s="1"/>
    </row>
    <row r="1670" spans="1:10" x14ac:dyDescent="0.3">
      <c r="A1670" t="str">
        <f t="shared" si="52"/>
        <v>TM</v>
      </c>
      <c r="B1670">
        <f t="shared" si="53"/>
        <v>15225</v>
      </c>
      <c r="D1670" s="1"/>
      <c r="E1670" s="1" t="s">
        <v>426</v>
      </c>
      <c r="F1670" s="1">
        <v>74</v>
      </c>
      <c r="G1670" s="1">
        <v>1</v>
      </c>
      <c r="H1670" s="1">
        <v>1.6</v>
      </c>
      <c r="I1670" s="1"/>
      <c r="J1670" s="1"/>
    </row>
    <row r="1671" spans="1:10" x14ac:dyDescent="0.3">
      <c r="A1671" t="str">
        <f t="shared" si="52"/>
        <v>TM</v>
      </c>
      <c r="B1671">
        <f t="shared" si="53"/>
        <v>1625</v>
      </c>
      <c r="D1671" s="1"/>
      <c r="E1671" s="1" t="s">
        <v>137</v>
      </c>
      <c r="F1671" s="1">
        <v>78</v>
      </c>
      <c r="G1671" s="1">
        <v>5</v>
      </c>
      <c r="H1671" s="1">
        <v>1.5</v>
      </c>
      <c r="I1671" s="1"/>
      <c r="J1671" s="1"/>
    </row>
    <row r="1672" spans="1:10" x14ac:dyDescent="0.3">
      <c r="A1672" t="str">
        <f t="shared" si="52"/>
        <v>TM</v>
      </c>
      <c r="B1672">
        <f t="shared" si="53"/>
        <v>9525</v>
      </c>
      <c r="D1672" s="1"/>
      <c r="E1672" s="1" t="s">
        <v>85</v>
      </c>
      <c r="F1672" s="1">
        <v>81</v>
      </c>
      <c r="G1672" s="1">
        <v>1</v>
      </c>
      <c r="H1672" s="1">
        <v>1.5</v>
      </c>
      <c r="I1672" s="1"/>
      <c r="J1672" s="1"/>
    </row>
    <row r="1673" spans="1:10" x14ac:dyDescent="0.3">
      <c r="A1673" t="str">
        <f t="shared" si="52"/>
        <v>TM</v>
      </c>
      <c r="B1673">
        <f t="shared" si="53"/>
        <v>125</v>
      </c>
      <c r="D1673" s="1"/>
      <c r="E1673" s="1" t="s">
        <v>312</v>
      </c>
      <c r="F1673" s="1">
        <v>91</v>
      </c>
      <c r="G1673" s="1">
        <v>3</v>
      </c>
      <c r="H1673" s="1">
        <v>1.4</v>
      </c>
      <c r="I1673" s="1"/>
      <c r="J1673" s="1"/>
    </row>
    <row r="1674" spans="1:10" x14ac:dyDescent="0.3">
      <c r="A1674" t="str">
        <f t="shared" si="52"/>
        <v>TM</v>
      </c>
      <c r="B1674">
        <f t="shared" si="53"/>
        <v>3225</v>
      </c>
      <c r="D1674" s="1"/>
      <c r="E1674" s="1" t="s">
        <v>127</v>
      </c>
      <c r="F1674" s="1">
        <v>92</v>
      </c>
      <c r="G1674" s="1">
        <v>6</v>
      </c>
      <c r="H1674" s="1">
        <v>1.4</v>
      </c>
      <c r="I1674" s="1"/>
      <c r="J1674" s="1"/>
    </row>
    <row r="1675" spans="1:10" x14ac:dyDescent="0.3">
      <c r="A1675" t="str">
        <f t="shared" si="52"/>
        <v>TM</v>
      </c>
      <c r="B1675">
        <f t="shared" si="53"/>
        <v>1225</v>
      </c>
      <c r="D1675" s="1"/>
      <c r="E1675" s="1" t="s">
        <v>130</v>
      </c>
      <c r="F1675" s="1">
        <v>95</v>
      </c>
      <c r="G1675" s="1">
        <v>5</v>
      </c>
      <c r="H1675" s="1">
        <v>1.3</v>
      </c>
      <c r="I1675" s="1"/>
      <c r="J1675" s="1"/>
    </row>
    <row r="1676" spans="1:10" x14ac:dyDescent="0.3">
      <c r="A1676" t="str">
        <f t="shared" si="52"/>
        <v>TM</v>
      </c>
      <c r="B1676">
        <f t="shared" si="53"/>
        <v>11125</v>
      </c>
      <c r="D1676" s="1"/>
      <c r="E1676" s="1" t="s">
        <v>277</v>
      </c>
      <c r="F1676" s="1">
        <v>98</v>
      </c>
      <c r="G1676" s="1">
        <v>5</v>
      </c>
      <c r="H1676" s="1">
        <v>1.3</v>
      </c>
      <c r="I1676" s="1"/>
      <c r="J1676" s="1"/>
    </row>
    <row r="1677" spans="1:10" x14ac:dyDescent="0.3">
      <c r="A1677" t="str">
        <f t="shared" si="52"/>
        <v>TM</v>
      </c>
      <c r="B1677">
        <f t="shared" si="53"/>
        <v>725</v>
      </c>
      <c r="D1677" s="1"/>
      <c r="E1677" s="1" t="s">
        <v>319</v>
      </c>
      <c r="F1677" s="1">
        <v>107</v>
      </c>
      <c r="G1677" s="1">
        <v>7</v>
      </c>
      <c r="H1677" s="1">
        <v>1.2</v>
      </c>
      <c r="I1677" s="1"/>
      <c r="J1677" s="1"/>
    </row>
    <row r="1678" spans="1:10" x14ac:dyDescent="0.3">
      <c r="A1678" t="str">
        <f t="shared" si="52"/>
        <v>TM</v>
      </c>
      <c r="B1678">
        <f t="shared" si="53"/>
        <v>18925</v>
      </c>
      <c r="D1678" s="1"/>
      <c r="E1678" s="1" t="s">
        <v>422</v>
      </c>
      <c r="F1678" s="1">
        <v>122</v>
      </c>
      <c r="G1678" s="1">
        <v>2</v>
      </c>
      <c r="H1678" s="1">
        <v>0.9</v>
      </c>
      <c r="I1678" s="1"/>
      <c r="J1678" s="1"/>
    </row>
    <row r="1679" spans="1:10" x14ac:dyDescent="0.3">
      <c r="A1679" t="str">
        <f t="shared" si="52"/>
        <v>TM</v>
      </c>
      <c r="B1679">
        <f t="shared" si="53"/>
        <v>4525</v>
      </c>
      <c r="D1679" s="1"/>
      <c r="E1679" s="1" t="s">
        <v>84</v>
      </c>
      <c r="F1679" s="1">
        <v>127</v>
      </c>
      <c r="G1679" s="1">
        <v>7</v>
      </c>
      <c r="H1679" s="1">
        <v>0.8</v>
      </c>
      <c r="I1679" s="1"/>
      <c r="J1679" s="1"/>
    </row>
    <row r="1680" spans="1:10" x14ac:dyDescent="0.3">
      <c r="A1680" t="str">
        <f t="shared" si="52"/>
        <v>TM</v>
      </c>
      <c r="B1680">
        <f t="shared" si="53"/>
        <v>2125</v>
      </c>
      <c r="D1680" s="1"/>
      <c r="E1680" s="1" t="s">
        <v>136</v>
      </c>
      <c r="F1680" s="1">
        <v>138</v>
      </c>
      <c r="G1680" s="1">
        <v>7</v>
      </c>
      <c r="H1680" s="1">
        <v>0.6</v>
      </c>
      <c r="I1680" s="1"/>
      <c r="J1680" s="1"/>
    </row>
    <row r="1681" spans="1:10" x14ac:dyDescent="0.3">
      <c r="A1681" t="str">
        <f t="shared" si="52"/>
        <v>TM</v>
      </c>
      <c r="B1681">
        <f t="shared" si="53"/>
        <v>2225</v>
      </c>
      <c r="D1681" s="1"/>
      <c r="E1681" s="1" t="s">
        <v>119</v>
      </c>
      <c r="F1681" s="1">
        <v>144</v>
      </c>
      <c r="G1681" s="1">
        <v>8</v>
      </c>
      <c r="H1681" s="1">
        <v>0.5</v>
      </c>
      <c r="I1681" s="1"/>
      <c r="J1681" s="1"/>
    </row>
    <row r="1682" spans="1:10" x14ac:dyDescent="0.3">
      <c r="A1682" t="str">
        <f t="shared" si="52"/>
        <v>TM</v>
      </c>
      <c r="B1682">
        <f t="shared" si="53"/>
        <v>19025</v>
      </c>
      <c r="D1682" s="1"/>
      <c r="E1682" s="1" t="s">
        <v>176</v>
      </c>
      <c r="F1682" s="1">
        <v>159</v>
      </c>
      <c r="G1682" s="1">
        <v>9</v>
      </c>
      <c r="H1682" s="1">
        <v>0.4</v>
      </c>
      <c r="I1682" s="1"/>
      <c r="J1682" s="1"/>
    </row>
    <row r="1683" spans="1:10" x14ac:dyDescent="0.3">
      <c r="A1683" t="str">
        <f t="shared" si="52"/>
        <v>TM</v>
      </c>
      <c r="B1683">
        <f t="shared" si="53"/>
        <v>5325</v>
      </c>
      <c r="D1683" s="1"/>
      <c r="E1683" s="1" t="s">
        <v>242</v>
      </c>
      <c r="F1683" s="1">
        <v>178</v>
      </c>
      <c r="G1683" s="1">
        <v>8</v>
      </c>
      <c r="H1683" s="1">
        <v>0.2</v>
      </c>
      <c r="I1683" s="1"/>
      <c r="J1683" s="1"/>
    </row>
    <row r="1684" spans="1:10" x14ac:dyDescent="0.3">
      <c r="A1684" t="str">
        <f t="shared" si="52"/>
        <v>TM</v>
      </c>
      <c r="B1684">
        <f t="shared" si="53"/>
        <v>4325</v>
      </c>
      <c r="D1684" s="1"/>
      <c r="E1684" s="1" t="s">
        <v>125</v>
      </c>
      <c r="F1684" s="1">
        <v>183</v>
      </c>
      <c r="G1684" s="1">
        <v>6</v>
      </c>
      <c r="H1684" s="1">
        <v>0.1</v>
      </c>
      <c r="I1684" s="1"/>
      <c r="J1684" s="1"/>
    </row>
    <row r="1685" spans="1:10" x14ac:dyDescent="0.3">
      <c r="A1685" t="str">
        <f t="shared" si="52"/>
        <v>TM</v>
      </c>
      <c r="B1685">
        <f t="shared" si="53"/>
        <v>6825</v>
      </c>
      <c r="D1685" s="1"/>
      <c r="E1685" s="1" t="s">
        <v>248</v>
      </c>
      <c r="F1685" s="1">
        <v>191</v>
      </c>
      <c r="G1685" s="1">
        <v>6</v>
      </c>
      <c r="H1685" s="1">
        <v>0</v>
      </c>
      <c r="I1685" s="1"/>
      <c r="J1685" s="1"/>
    </row>
    <row r="1686" spans="1:10" x14ac:dyDescent="0.3">
      <c r="A1686" t="str">
        <f t="shared" si="52"/>
        <v>TM</v>
      </c>
      <c r="B1686">
        <f t="shared" si="53"/>
        <v>2425</v>
      </c>
      <c r="D1686" s="1"/>
      <c r="E1686" s="1" t="s">
        <v>330</v>
      </c>
      <c r="F1686" s="1">
        <v>200</v>
      </c>
      <c r="G1686" s="1">
        <v>4</v>
      </c>
      <c r="H1686" s="1">
        <v>-0.1</v>
      </c>
      <c r="I1686" s="1"/>
      <c r="J1686" s="1"/>
    </row>
    <row r="1687" spans="1:10" x14ac:dyDescent="0.3">
      <c r="A1687" t="str">
        <f t="shared" si="52"/>
        <v>TM</v>
      </c>
      <c r="B1687">
        <f t="shared" si="53"/>
        <v>2325</v>
      </c>
      <c r="D1687" s="1"/>
      <c r="E1687" s="1" t="s">
        <v>79</v>
      </c>
      <c r="F1687" s="1">
        <v>209</v>
      </c>
      <c r="G1687" s="1">
        <v>7</v>
      </c>
      <c r="H1687" s="1">
        <v>-0.3</v>
      </c>
      <c r="I1687" s="1"/>
      <c r="J1687" s="1"/>
    </row>
    <row r="1688" spans="1:10" x14ac:dyDescent="0.3">
      <c r="A1688" t="str">
        <f t="shared" si="52"/>
        <v>TM</v>
      </c>
      <c r="B1688">
        <f t="shared" si="53"/>
        <v>9425</v>
      </c>
      <c r="D1688" s="1"/>
      <c r="E1688" s="1" t="s">
        <v>264</v>
      </c>
      <c r="F1688" s="1">
        <v>212</v>
      </c>
      <c r="G1688" s="1">
        <v>8</v>
      </c>
      <c r="H1688" s="1">
        <v>-0.3</v>
      </c>
      <c r="I1688" s="1"/>
      <c r="J1688" s="1"/>
    </row>
    <row r="1689" spans="1:10" x14ac:dyDescent="0.3">
      <c r="A1689" t="str">
        <f t="shared" si="52"/>
        <v>TM</v>
      </c>
      <c r="B1689">
        <f t="shared" si="53"/>
        <v>14325</v>
      </c>
      <c r="D1689" s="1"/>
      <c r="E1689" s="1" t="s">
        <v>391</v>
      </c>
      <c r="F1689" s="1">
        <v>219</v>
      </c>
      <c r="G1689" s="1">
        <v>9</v>
      </c>
      <c r="H1689" s="1">
        <v>-0.4</v>
      </c>
      <c r="I1689" s="1"/>
      <c r="J1689" s="1"/>
    </row>
    <row r="1690" spans="1:10" x14ac:dyDescent="0.3">
      <c r="A1690" t="str">
        <f t="shared" si="52"/>
        <v>TM</v>
      </c>
      <c r="B1690">
        <f t="shared" si="53"/>
        <v>5525</v>
      </c>
      <c r="D1690" s="1"/>
      <c r="E1690" s="1" t="s">
        <v>86</v>
      </c>
      <c r="F1690" s="1">
        <v>232</v>
      </c>
      <c r="G1690" s="1">
        <v>10</v>
      </c>
      <c r="H1690" s="1">
        <v>-0.6</v>
      </c>
      <c r="I1690" s="1"/>
      <c r="J1690" s="1"/>
    </row>
    <row r="1691" spans="1:10" x14ac:dyDescent="0.3">
      <c r="A1691" t="str">
        <f t="shared" si="52"/>
        <v>TM</v>
      </c>
      <c r="B1691">
        <f t="shared" si="53"/>
        <v>7425</v>
      </c>
      <c r="D1691" s="1"/>
      <c r="E1691" s="1" t="s">
        <v>251</v>
      </c>
      <c r="F1691" s="1">
        <v>238</v>
      </c>
      <c r="G1691" s="1">
        <v>9</v>
      </c>
      <c r="H1691" s="1">
        <v>-0.7</v>
      </c>
      <c r="I1691" s="1"/>
      <c r="J1691" s="1"/>
    </row>
    <row r="1692" spans="1:10" x14ac:dyDescent="0.3">
      <c r="A1692" t="str">
        <f t="shared" si="52"/>
        <v>TM</v>
      </c>
      <c r="B1692">
        <f t="shared" si="53"/>
        <v>11825</v>
      </c>
      <c r="D1692" s="1"/>
      <c r="E1692" s="1" t="s">
        <v>281</v>
      </c>
      <c r="F1692" s="1">
        <v>250</v>
      </c>
      <c r="G1692" s="1">
        <v>8</v>
      </c>
      <c r="H1692" s="1">
        <v>-0.9</v>
      </c>
      <c r="I1692" s="1"/>
      <c r="J1692" s="1"/>
    </row>
    <row r="1693" spans="1:10" x14ac:dyDescent="0.3">
      <c r="A1693" t="str">
        <f t="shared" si="52"/>
        <v>TM</v>
      </c>
      <c r="B1693">
        <f t="shared" si="53"/>
        <v>8825</v>
      </c>
      <c r="D1693" s="1"/>
      <c r="E1693" s="1" t="s">
        <v>141</v>
      </c>
      <c r="F1693" s="1">
        <v>258</v>
      </c>
      <c r="G1693" s="1">
        <v>6</v>
      </c>
      <c r="H1693" s="1">
        <v>-0.9</v>
      </c>
      <c r="I1693" s="1"/>
      <c r="J1693" s="1"/>
    </row>
    <row r="1694" spans="1:10" x14ac:dyDescent="0.3">
      <c r="A1694" t="str">
        <f t="shared" si="52"/>
        <v>TM</v>
      </c>
      <c r="B1694">
        <f t="shared" si="53"/>
        <v>2925</v>
      </c>
      <c r="D1694" s="1"/>
      <c r="E1694" s="1" t="s">
        <v>96</v>
      </c>
      <c r="F1694" s="1">
        <v>264</v>
      </c>
      <c r="G1694" s="1">
        <v>6</v>
      </c>
      <c r="H1694" s="1">
        <v>-1.1000000000000001</v>
      </c>
      <c r="I1694" s="1"/>
      <c r="J1694" s="1"/>
    </row>
    <row r="1695" spans="1:10" x14ac:dyDescent="0.3">
      <c r="A1695" t="str">
        <f t="shared" si="52"/>
        <v>TM</v>
      </c>
      <c r="B1695">
        <f t="shared" si="53"/>
        <v>1425</v>
      </c>
      <c r="D1695" s="1"/>
      <c r="E1695" s="1" t="s">
        <v>102</v>
      </c>
      <c r="F1695" s="1">
        <v>266</v>
      </c>
      <c r="G1695" s="1">
        <v>9</v>
      </c>
      <c r="H1695" s="1">
        <v>-1.1000000000000001</v>
      </c>
      <c r="I1695" s="1"/>
      <c r="J1695" s="1"/>
    </row>
    <row r="1696" spans="1:10" x14ac:dyDescent="0.3">
      <c r="A1696" t="str">
        <f t="shared" si="52"/>
        <v>TM</v>
      </c>
      <c r="B1696">
        <f t="shared" si="53"/>
        <v>925</v>
      </c>
      <c r="D1696" s="1"/>
      <c r="E1696" s="1" t="s">
        <v>90</v>
      </c>
      <c r="F1696" s="1">
        <v>268</v>
      </c>
      <c r="G1696" s="1">
        <v>12</v>
      </c>
      <c r="H1696" s="1">
        <v>-1.1000000000000001</v>
      </c>
      <c r="I1696" s="1"/>
      <c r="J1696" s="1"/>
    </row>
    <row r="1697" spans="1:10" x14ac:dyDescent="0.3">
      <c r="A1697" t="str">
        <f t="shared" si="52"/>
        <v>TM</v>
      </c>
      <c r="B1697">
        <f t="shared" si="53"/>
        <v>5425</v>
      </c>
      <c r="D1697" s="1"/>
      <c r="E1697" s="1" t="s">
        <v>94</v>
      </c>
      <c r="F1697" s="1">
        <v>273</v>
      </c>
      <c r="G1697" s="1">
        <v>14</v>
      </c>
      <c r="H1697" s="1">
        <v>-1.1000000000000001</v>
      </c>
      <c r="I1697" s="1"/>
      <c r="J1697" s="1"/>
    </row>
    <row r="1698" spans="1:10" x14ac:dyDescent="0.3">
      <c r="A1698" t="str">
        <f t="shared" si="52"/>
        <v>TM</v>
      </c>
      <c r="B1698">
        <f t="shared" si="53"/>
        <v>3025</v>
      </c>
      <c r="D1698" s="1"/>
      <c r="E1698" s="1" t="s">
        <v>89</v>
      </c>
      <c r="F1698" s="1">
        <v>274</v>
      </c>
      <c r="G1698" s="1">
        <v>13</v>
      </c>
      <c r="H1698" s="1">
        <v>-1.1000000000000001</v>
      </c>
      <c r="I1698" s="1"/>
      <c r="J1698" s="1"/>
    </row>
    <row r="1699" spans="1:10" x14ac:dyDescent="0.3">
      <c r="A1699" t="str">
        <f t="shared" si="52"/>
        <v>TM</v>
      </c>
      <c r="B1699">
        <f t="shared" si="53"/>
        <v>5825</v>
      </c>
      <c r="D1699" s="1"/>
      <c r="E1699" s="1" t="s">
        <v>139</v>
      </c>
      <c r="F1699" s="1">
        <v>276</v>
      </c>
      <c r="G1699" s="1">
        <v>9</v>
      </c>
      <c r="H1699" s="1">
        <v>-1.2</v>
      </c>
      <c r="I1699" s="1"/>
      <c r="J1699" s="1"/>
    </row>
    <row r="1700" spans="1:10" x14ac:dyDescent="0.3">
      <c r="A1700" t="str">
        <f t="shared" si="52"/>
        <v>TM</v>
      </c>
      <c r="B1700">
        <f t="shared" si="53"/>
        <v>18725</v>
      </c>
      <c r="D1700" s="1"/>
      <c r="E1700" s="1" t="s">
        <v>427</v>
      </c>
      <c r="F1700" s="1">
        <v>287</v>
      </c>
      <c r="G1700" s="1">
        <v>8</v>
      </c>
      <c r="H1700" s="1">
        <v>-1.4</v>
      </c>
      <c r="I1700" s="1"/>
      <c r="J1700" s="1"/>
    </row>
    <row r="1701" spans="1:10" x14ac:dyDescent="0.3">
      <c r="A1701" t="str">
        <f t="shared" si="52"/>
        <v>TM</v>
      </c>
      <c r="B1701">
        <f t="shared" si="53"/>
        <v>3425</v>
      </c>
      <c r="D1701" s="1"/>
      <c r="E1701" s="1" t="s">
        <v>237</v>
      </c>
      <c r="F1701" s="1">
        <v>291</v>
      </c>
      <c r="G1701" s="1">
        <v>6</v>
      </c>
      <c r="H1701" s="1">
        <v>-1.5</v>
      </c>
      <c r="I1701" s="1"/>
      <c r="J1701" s="1"/>
    </row>
    <row r="1702" spans="1:10" x14ac:dyDescent="0.3">
      <c r="A1702" t="str">
        <f t="shared" si="52"/>
        <v>TM</v>
      </c>
      <c r="B1702">
        <f t="shared" si="53"/>
        <v>3125</v>
      </c>
      <c r="D1702" s="1"/>
      <c r="E1702" s="1" t="s">
        <v>93</v>
      </c>
      <c r="F1702" s="1">
        <v>311</v>
      </c>
      <c r="G1702" s="1">
        <v>11</v>
      </c>
      <c r="H1702" s="1">
        <v>-1.9</v>
      </c>
      <c r="I1702" s="1"/>
      <c r="J1702" s="1"/>
    </row>
    <row r="1703" spans="1:10" x14ac:dyDescent="0.3">
      <c r="A1703" t="str">
        <f t="shared" si="52"/>
        <v>TM</v>
      </c>
      <c r="B1703">
        <f t="shared" si="53"/>
        <v>3725</v>
      </c>
      <c r="D1703" s="1"/>
      <c r="E1703" s="1" t="s">
        <v>115</v>
      </c>
      <c r="F1703" s="1">
        <v>318</v>
      </c>
      <c r="G1703" s="1">
        <v>13</v>
      </c>
      <c r="H1703" s="1">
        <v>-2.1</v>
      </c>
      <c r="I1703" s="1"/>
      <c r="J1703" s="1"/>
    </row>
    <row r="1704" spans="1:10" x14ac:dyDescent="0.3">
      <c r="A1704" t="str">
        <f t="shared" si="52"/>
        <v>TOF</v>
      </c>
      <c r="B1704">
        <f t="shared" si="53"/>
        <v>14126</v>
      </c>
      <c r="D1704" s="1" t="s">
        <v>457</v>
      </c>
      <c r="E1704" s="1" t="s">
        <v>299</v>
      </c>
      <c r="F1704" s="1">
        <v>8</v>
      </c>
      <c r="G1704" s="1">
        <v>1</v>
      </c>
      <c r="H1704" s="1">
        <v>16.91</v>
      </c>
      <c r="I1704" s="1" t="s">
        <v>450</v>
      </c>
      <c r="J1704" s="1">
        <v>19</v>
      </c>
    </row>
    <row r="1705" spans="1:10" x14ac:dyDescent="0.3">
      <c r="A1705" t="str">
        <f t="shared" si="52"/>
        <v>TOF</v>
      </c>
      <c r="B1705">
        <f t="shared" si="53"/>
        <v>626</v>
      </c>
      <c r="D1705" s="1"/>
      <c r="E1705" s="1" t="s">
        <v>100</v>
      </c>
      <c r="F1705" s="1">
        <v>12</v>
      </c>
      <c r="G1705" s="1">
        <v>1</v>
      </c>
      <c r="H1705" s="1">
        <v>16.55</v>
      </c>
      <c r="I1705" s="1"/>
      <c r="J1705" s="1"/>
    </row>
    <row r="1706" spans="1:10" x14ac:dyDescent="0.3">
      <c r="A1706" t="str">
        <f t="shared" si="52"/>
        <v>TOF</v>
      </c>
      <c r="B1706">
        <f t="shared" si="53"/>
        <v>12226</v>
      </c>
      <c r="D1706" s="1"/>
      <c r="E1706" s="1" t="s">
        <v>284</v>
      </c>
      <c r="F1706" s="1">
        <v>15</v>
      </c>
      <c r="G1706" s="1">
        <v>1</v>
      </c>
      <c r="H1706" s="1">
        <v>16.34</v>
      </c>
      <c r="I1706" s="1"/>
      <c r="J1706" s="1"/>
    </row>
    <row r="1707" spans="1:10" x14ac:dyDescent="0.3">
      <c r="A1707" t="str">
        <f t="shared" si="52"/>
        <v>TOF</v>
      </c>
      <c r="B1707">
        <f t="shared" si="53"/>
        <v>3326</v>
      </c>
      <c r="D1707" s="1"/>
      <c r="E1707" s="1" t="s">
        <v>91</v>
      </c>
      <c r="F1707" s="1">
        <v>19</v>
      </c>
      <c r="G1707" s="1">
        <v>1</v>
      </c>
      <c r="H1707" s="1">
        <v>15.83</v>
      </c>
      <c r="I1707" s="1"/>
      <c r="J1707" s="1"/>
    </row>
    <row r="1708" spans="1:10" x14ac:dyDescent="0.3">
      <c r="A1708" t="str">
        <f t="shared" si="52"/>
        <v>TOF</v>
      </c>
      <c r="B1708">
        <f t="shared" si="53"/>
        <v>13426</v>
      </c>
      <c r="D1708" s="1"/>
      <c r="E1708" s="1" t="s">
        <v>400</v>
      </c>
      <c r="F1708" s="1">
        <v>20</v>
      </c>
      <c r="G1708" s="1">
        <v>1</v>
      </c>
      <c r="H1708" s="1">
        <v>15.74</v>
      </c>
      <c r="I1708" s="1"/>
      <c r="J1708" s="1"/>
    </row>
    <row r="1709" spans="1:10" x14ac:dyDescent="0.3">
      <c r="A1709" t="str">
        <f t="shared" si="52"/>
        <v>TOF</v>
      </c>
      <c r="B1709">
        <f t="shared" si="53"/>
        <v>18826</v>
      </c>
      <c r="D1709" s="1"/>
      <c r="E1709" s="1" t="s">
        <v>424</v>
      </c>
      <c r="F1709" s="1">
        <v>21</v>
      </c>
      <c r="G1709" s="1">
        <v>1</v>
      </c>
      <c r="H1709" s="1">
        <v>15.69</v>
      </c>
      <c r="I1709" s="1"/>
      <c r="J1709" s="1"/>
    </row>
    <row r="1710" spans="1:10" x14ac:dyDescent="0.3">
      <c r="A1710" t="str">
        <f t="shared" si="52"/>
        <v>TOF</v>
      </c>
      <c r="B1710">
        <f t="shared" si="53"/>
        <v>9026</v>
      </c>
      <c r="D1710" s="1"/>
      <c r="E1710" s="1" t="s">
        <v>261</v>
      </c>
      <c r="F1710" s="1">
        <v>22</v>
      </c>
      <c r="G1710" s="1">
        <v>1</v>
      </c>
      <c r="H1710" s="1">
        <v>15.68</v>
      </c>
      <c r="I1710" s="1"/>
      <c r="J1710" s="1"/>
    </row>
    <row r="1711" spans="1:10" x14ac:dyDescent="0.3">
      <c r="A1711" t="str">
        <f t="shared" si="52"/>
        <v>TOF</v>
      </c>
      <c r="B1711">
        <f t="shared" si="53"/>
        <v>6726</v>
      </c>
      <c r="D1711" s="1"/>
      <c r="E1711" s="1" t="s">
        <v>118</v>
      </c>
      <c r="F1711" s="1">
        <v>23</v>
      </c>
      <c r="G1711" s="1">
        <v>2</v>
      </c>
      <c r="H1711" s="1">
        <v>15.66</v>
      </c>
      <c r="I1711" s="1"/>
      <c r="J1711" s="1"/>
    </row>
    <row r="1712" spans="1:10" x14ac:dyDescent="0.3">
      <c r="A1712" t="str">
        <f t="shared" si="52"/>
        <v>TOF</v>
      </c>
      <c r="B1712">
        <f t="shared" si="53"/>
        <v>8826</v>
      </c>
      <c r="D1712" s="1"/>
      <c r="E1712" s="1" t="s">
        <v>141</v>
      </c>
      <c r="F1712" s="1">
        <v>28</v>
      </c>
      <c r="G1712" s="1">
        <v>5</v>
      </c>
      <c r="H1712" s="1">
        <v>15.43</v>
      </c>
      <c r="I1712" s="1"/>
      <c r="J1712" s="1"/>
    </row>
    <row r="1713" spans="1:10" x14ac:dyDescent="0.3">
      <c r="A1713" t="str">
        <f t="shared" si="52"/>
        <v>TOF</v>
      </c>
      <c r="B1713">
        <f t="shared" si="53"/>
        <v>5626</v>
      </c>
      <c r="D1713" s="1"/>
      <c r="E1713" s="1" t="s">
        <v>62</v>
      </c>
      <c r="F1713" s="1">
        <v>29</v>
      </c>
      <c r="G1713" s="1">
        <v>3</v>
      </c>
      <c r="H1713" s="1">
        <v>15.4</v>
      </c>
      <c r="I1713" s="1"/>
      <c r="J1713" s="1"/>
    </row>
    <row r="1714" spans="1:10" x14ac:dyDescent="0.3">
      <c r="A1714" t="str">
        <f t="shared" si="52"/>
        <v>TOF</v>
      </c>
      <c r="B1714">
        <f t="shared" si="53"/>
        <v>18426</v>
      </c>
      <c r="D1714" s="1"/>
      <c r="E1714" s="1" t="s">
        <v>417</v>
      </c>
      <c r="F1714" s="1">
        <v>30</v>
      </c>
      <c r="G1714" s="1">
        <v>1</v>
      </c>
      <c r="H1714" s="1">
        <v>15.32</v>
      </c>
      <c r="I1714" s="1"/>
      <c r="J1714" s="1"/>
    </row>
    <row r="1715" spans="1:10" x14ac:dyDescent="0.3">
      <c r="A1715" t="str">
        <f t="shared" si="52"/>
        <v>TOF</v>
      </c>
      <c r="B1715">
        <f t="shared" si="53"/>
        <v>6626</v>
      </c>
      <c r="D1715" s="1"/>
      <c r="E1715" s="1" t="s">
        <v>247</v>
      </c>
      <c r="F1715" s="1">
        <v>33</v>
      </c>
      <c r="G1715" s="1">
        <v>1</v>
      </c>
      <c r="H1715" s="1">
        <v>15.17</v>
      </c>
      <c r="I1715" s="1"/>
      <c r="J1715" s="1"/>
    </row>
    <row r="1716" spans="1:10" x14ac:dyDescent="0.3">
      <c r="A1716" t="str">
        <f t="shared" si="52"/>
        <v>TOF</v>
      </c>
      <c r="B1716">
        <f t="shared" si="53"/>
        <v>18326</v>
      </c>
      <c r="D1716" s="1"/>
      <c r="E1716" s="1" t="s">
        <v>423</v>
      </c>
      <c r="F1716" s="1">
        <v>34</v>
      </c>
      <c r="G1716" s="1">
        <v>3</v>
      </c>
      <c r="H1716" s="1">
        <v>15.11</v>
      </c>
      <c r="I1716" s="1"/>
      <c r="J1716" s="1"/>
    </row>
    <row r="1717" spans="1:10" x14ac:dyDescent="0.3">
      <c r="A1717" t="str">
        <f t="shared" si="52"/>
        <v>TOF</v>
      </c>
      <c r="B1717">
        <f t="shared" si="53"/>
        <v>726</v>
      </c>
      <c r="D1717" s="1"/>
      <c r="E1717" s="1" t="s">
        <v>319</v>
      </c>
      <c r="F1717" s="1">
        <v>35</v>
      </c>
      <c r="G1717" s="1">
        <v>4</v>
      </c>
      <c r="H1717" s="1">
        <v>15.03</v>
      </c>
      <c r="I1717" s="1"/>
      <c r="J1717" s="1"/>
    </row>
    <row r="1718" spans="1:10" x14ac:dyDescent="0.3">
      <c r="A1718" t="str">
        <f t="shared" si="52"/>
        <v>TOF</v>
      </c>
      <c r="B1718">
        <f t="shared" si="53"/>
        <v>3526</v>
      </c>
      <c r="D1718" s="1"/>
      <c r="E1718" s="1" t="s">
        <v>87</v>
      </c>
      <c r="F1718" s="1">
        <v>44</v>
      </c>
      <c r="G1718" s="1">
        <v>2</v>
      </c>
      <c r="H1718" s="1">
        <v>14.67</v>
      </c>
      <c r="I1718" s="1"/>
      <c r="J1718" s="1"/>
    </row>
    <row r="1719" spans="1:10" x14ac:dyDescent="0.3">
      <c r="A1719" t="str">
        <f t="shared" si="52"/>
        <v>TOF</v>
      </c>
      <c r="B1719">
        <f t="shared" si="53"/>
        <v>15226</v>
      </c>
      <c r="D1719" s="1"/>
      <c r="E1719" s="1" t="s">
        <v>426</v>
      </c>
      <c r="F1719" s="1">
        <v>46</v>
      </c>
      <c r="G1719" s="1">
        <v>2</v>
      </c>
      <c r="H1719" s="1">
        <v>14.64</v>
      </c>
      <c r="I1719" s="1"/>
      <c r="J1719" s="1"/>
    </row>
    <row r="1720" spans="1:10" x14ac:dyDescent="0.3">
      <c r="A1720" t="str">
        <f t="shared" si="52"/>
        <v>TOF</v>
      </c>
      <c r="B1720">
        <f t="shared" si="53"/>
        <v>13326</v>
      </c>
      <c r="D1720" s="1"/>
      <c r="E1720" s="1" t="s">
        <v>291</v>
      </c>
      <c r="F1720" s="1">
        <v>48</v>
      </c>
      <c r="G1720" s="1">
        <v>5</v>
      </c>
      <c r="H1720" s="1">
        <v>14.59</v>
      </c>
      <c r="I1720" s="1"/>
      <c r="J1720" s="1"/>
    </row>
    <row r="1721" spans="1:10" x14ac:dyDescent="0.3">
      <c r="A1721" t="str">
        <f t="shared" si="52"/>
        <v>TOF</v>
      </c>
      <c r="B1721">
        <f t="shared" si="53"/>
        <v>8126</v>
      </c>
      <c r="D1721" s="1"/>
      <c r="E1721" s="1" t="s">
        <v>256</v>
      </c>
      <c r="F1721" s="1">
        <v>56</v>
      </c>
      <c r="G1721" s="1">
        <v>3</v>
      </c>
      <c r="H1721" s="1">
        <v>14.42</v>
      </c>
      <c r="I1721" s="1"/>
      <c r="J1721" s="1"/>
    </row>
    <row r="1722" spans="1:10" x14ac:dyDescent="0.3">
      <c r="A1722" t="str">
        <f t="shared" si="52"/>
        <v>TOF</v>
      </c>
      <c r="B1722">
        <f t="shared" si="53"/>
        <v>8626</v>
      </c>
      <c r="D1722" s="1"/>
      <c r="E1722" s="1" t="s">
        <v>259</v>
      </c>
      <c r="F1722" s="1">
        <v>60</v>
      </c>
      <c r="G1722" s="1">
        <v>1</v>
      </c>
      <c r="H1722" s="1">
        <v>14.37</v>
      </c>
      <c r="I1722" s="1"/>
      <c r="J1722" s="1"/>
    </row>
    <row r="1723" spans="1:10" x14ac:dyDescent="0.3">
      <c r="A1723" t="str">
        <f t="shared" si="52"/>
        <v>TOF</v>
      </c>
      <c r="B1723">
        <f t="shared" si="53"/>
        <v>18626</v>
      </c>
      <c r="D1723" s="1"/>
      <c r="E1723" s="1" t="s">
        <v>425</v>
      </c>
      <c r="F1723" s="1">
        <v>62</v>
      </c>
      <c r="G1723" s="1">
        <v>2</v>
      </c>
      <c r="H1723" s="1">
        <v>14.34</v>
      </c>
      <c r="I1723" s="1"/>
      <c r="J1723" s="1"/>
    </row>
    <row r="1724" spans="1:10" x14ac:dyDescent="0.3">
      <c r="A1724" t="str">
        <f t="shared" si="52"/>
        <v>TOF</v>
      </c>
      <c r="B1724">
        <f t="shared" si="53"/>
        <v>3926</v>
      </c>
      <c r="D1724" s="1"/>
      <c r="E1724" s="1" t="s">
        <v>88</v>
      </c>
      <c r="F1724" s="1">
        <v>63</v>
      </c>
      <c r="G1724" s="1">
        <v>6</v>
      </c>
      <c r="H1724" s="1">
        <v>14.31</v>
      </c>
      <c r="I1724" s="1"/>
      <c r="J1724" s="1"/>
    </row>
    <row r="1725" spans="1:10" x14ac:dyDescent="0.3">
      <c r="A1725" t="str">
        <f t="shared" si="52"/>
        <v>TOF</v>
      </c>
      <c r="B1725">
        <f t="shared" si="53"/>
        <v>1626</v>
      </c>
      <c r="D1725" s="1"/>
      <c r="E1725" s="1" t="s">
        <v>137</v>
      </c>
      <c r="F1725" s="1">
        <v>64</v>
      </c>
      <c r="G1725" s="1">
        <v>4</v>
      </c>
      <c r="H1725" s="1">
        <v>14.29</v>
      </c>
      <c r="I1725" s="1"/>
      <c r="J1725" s="1"/>
    </row>
    <row r="1726" spans="1:10" x14ac:dyDescent="0.3">
      <c r="A1726" t="str">
        <f t="shared" si="52"/>
        <v>TOF</v>
      </c>
      <c r="B1726">
        <f t="shared" si="53"/>
        <v>14526</v>
      </c>
      <c r="D1726" s="1"/>
      <c r="E1726" s="1" t="s">
        <v>402</v>
      </c>
      <c r="F1726" s="1">
        <v>75</v>
      </c>
      <c r="G1726" s="1">
        <v>2</v>
      </c>
      <c r="H1726" s="1">
        <v>14.03</v>
      </c>
      <c r="I1726" s="1"/>
      <c r="J1726" s="1"/>
    </row>
    <row r="1727" spans="1:10" x14ac:dyDescent="0.3">
      <c r="A1727" t="str">
        <f t="shared" si="52"/>
        <v>TOF</v>
      </c>
      <c r="B1727">
        <f t="shared" si="53"/>
        <v>3626</v>
      </c>
      <c r="D1727" s="1"/>
      <c r="E1727" s="1" t="s">
        <v>129</v>
      </c>
      <c r="F1727" s="1">
        <v>76</v>
      </c>
      <c r="G1727" s="1">
        <v>5</v>
      </c>
      <c r="H1727" s="1">
        <v>14</v>
      </c>
      <c r="I1727" s="1"/>
      <c r="J1727" s="1"/>
    </row>
    <row r="1728" spans="1:10" x14ac:dyDescent="0.3">
      <c r="A1728" t="str">
        <f t="shared" si="52"/>
        <v>TOF</v>
      </c>
      <c r="B1728">
        <f t="shared" si="53"/>
        <v>6226</v>
      </c>
      <c r="D1728" s="1"/>
      <c r="E1728" s="1" t="s">
        <v>81</v>
      </c>
      <c r="F1728" s="1">
        <v>80</v>
      </c>
      <c r="G1728" s="1">
        <v>2</v>
      </c>
      <c r="H1728" s="1">
        <v>13.91</v>
      </c>
      <c r="I1728" s="1"/>
      <c r="J1728" s="1"/>
    </row>
    <row r="1729" spans="1:10" x14ac:dyDescent="0.3">
      <c r="A1729" t="str">
        <f t="shared" si="52"/>
        <v>TOF</v>
      </c>
      <c r="B1729">
        <f t="shared" si="53"/>
        <v>11526</v>
      </c>
      <c r="D1729" s="1"/>
      <c r="E1729" s="1" t="s">
        <v>97</v>
      </c>
      <c r="F1729" s="1">
        <v>88</v>
      </c>
      <c r="G1729" s="1">
        <v>3</v>
      </c>
      <c r="H1729" s="1">
        <v>13.77</v>
      </c>
      <c r="I1729" s="1"/>
      <c r="J1729" s="1"/>
    </row>
    <row r="1730" spans="1:10" x14ac:dyDescent="0.3">
      <c r="A1730" t="str">
        <f t="shared" ref="A1730:A1793" si="54">IF(NOT(D1730=""),INDEX(statAbbr,MATCH(D1730,statOfficial,0),1),A1729)</f>
        <v>TOF</v>
      </c>
      <c r="B1730">
        <f t="shared" ref="B1730:B1793" si="55">INDEX(statID,MATCH(A1730,statAbbr,0),1)+INDEX(teamID,MATCH(E1730,teamRawName,0))</f>
        <v>11826</v>
      </c>
      <c r="D1730" s="1"/>
      <c r="E1730" s="1" t="s">
        <v>281</v>
      </c>
      <c r="F1730" s="1">
        <v>90</v>
      </c>
      <c r="G1730" s="1">
        <v>7</v>
      </c>
      <c r="H1730" s="1">
        <v>13.74</v>
      </c>
      <c r="I1730" s="1"/>
      <c r="J1730" s="1"/>
    </row>
    <row r="1731" spans="1:10" x14ac:dyDescent="0.3">
      <c r="A1731" t="str">
        <f t="shared" si="54"/>
        <v>TOF</v>
      </c>
      <c r="B1731">
        <f t="shared" si="55"/>
        <v>12026</v>
      </c>
      <c r="D1731" s="1"/>
      <c r="E1731" s="1" t="s">
        <v>135</v>
      </c>
      <c r="F1731" s="1">
        <v>94</v>
      </c>
      <c r="G1731" s="1">
        <v>2</v>
      </c>
      <c r="H1731" s="1">
        <v>13.69</v>
      </c>
      <c r="I1731" s="1"/>
      <c r="J1731" s="1"/>
    </row>
    <row r="1732" spans="1:10" x14ac:dyDescent="0.3">
      <c r="A1732" t="str">
        <f t="shared" si="54"/>
        <v>TOF</v>
      </c>
      <c r="B1732">
        <f t="shared" si="55"/>
        <v>2826</v>
      </c>
      <c r="D1732" s="1"/>
      <c r="E1732" s="1" t="s">
        <v>106</v>
      </c>
      <c r="F1732" s="1">
        <v>96</v>
      </c>
      <c r="G1732" s="1">
        <v>4</v>
      </c>
      <c r="H1732" s="1">
        <v>13.68</v>
      </c>
      <c r="I1732" s="1"/>
      <c r="J1732" s="1"/>
    </row>
    <row r="1733" spans="1:10" x14ac:dyDescent="0.3">
      <c r="A1733" t="str">
        <f t="shared" si="54"/>
        <v>TOF</v>
      </c>
      <c r="B1733">
        <f t="shared" si="55"/>
        <v>3226</v>
      </c>
      <c r="D1733" s="1"/>
      <c r="E1733" s="1" t="s">
        <v>127</v>
      </c>
      <c r="F1733" s="1">
        <v>106</v>
      </c>
      <c r="G1733" s="1">
        <v>9</v>
      </c>
      <c r="H1733" s="1">
        <v>13.53</v>
      </c>
      <c r="I1733" s="1"/>
      <c r="J1733" s="1"/>
    </row>
    <row r="1734" spans="1:10" x14ac:dyDescent="0.3">
      <c r="A1734" t="str">
        <f t="shared" si="54"/>
        <v>TOF</v>
      </c>
      <c r="B1734">
        <f t="shared" si="55"/>
        <v>4426</v>
      </c>
      <c r="D1734" s="1"/>
      <c r="E1734" s="1" t="s">
        <v>83</v>
      </c>
      <c r="F1734" s="1">
        <v>118</v>
      </c>
      <c r="G1734" s="1">
        <v>1</v>
      </c>
      <c r="H1734" s="1">
        <v>13.22</v>
      </c>
      <c r="I1734" s="1"/>
      <c r="J1734" s="1"/>
    </row>
    <row r="1735" spans="1:10" x14ac:dyDescent="0.3">
      <c r="A1735" t="str">
        <f t="shared" si="54"/>
        <v>TOF</v>
      </c>
      <c r="B1735">
        <f t="shared" si="55"/>
        <v>1926</v>
      </c>
      <c r="D1735" s="1"/>
      <c r="E1735" s="1" t="s">
        <v>112</v>
      </c>
      <c r="F1735" s="1">
        <v>119</v>
      </c>
      <c r="G1735" s="1">
        <v>1</v>
      </c>
      <c r="H1735" s="1">
        <v>13.21</v>
      </c>
      <c r="I1735" s="1"/>
      <c r="J1735" s="1"/>
    </row>
    <row r="1736" spans="1:10" x14ac:dyDescent="0.3">
      <c r="A1736" t="str">
        <f t="shared" si="54"/>
        <v>TOF</v>
      </c>
      <c r="B1736">
        <f t="shared" si="55"/>
        <v>19126</v>
      </c>
      <c r="D1736" s="1"/>
      <c r="E1736" s="1" t="s">
        <v>421</v>
      </c>
      <c r="F1736" s="1">
        <v>128</v>
      </c>
      <c r="G1736" s="1">
        <v>3</v>
      </c>
      <c r="H1736" s="1">
        <v>13.06</v>
      </c>
      <c r="I1736" s="1"/>
      <c r="J1736" s="1"/>
    </row>
    <row r="1737" spans="1:10" x14ac:dyDescent="0.3">
      <c r="A1737" t="str">
        <f t="shared" si="54"/>
        <v>TOF</v>
      </c>
      <c r="B1737">
        <f t="shared" si="55"/>
        <v>4526</v>
      </c>
      <c r="D1737" s="1"/>
      <c r="E1737" s="1" t="s">
        <v>84</v>
      </c>
      <c r="F1737" s="1">
        <v>130</v>
      </c>
      <c r="G1737" s="1">
        <v>6</v>
      </c>
      <c r="H1737" s="1">
        <v>13</v>
      </c>
      <c r="I1737" s="1"/>
      <c r="J1737" s="1"/>
    </row>
    <row r="1738" spans="1:10" x14ac:dyDescent="0.3">
      <c r="A1738" t="str">
        <f t="shared" si="54"/>
        <v>TOF</v>
      </c>
      <c r="B1738">
        <f t="shared" si="55"/>
        <v>4326</v>
      </c>
      <c r="D1738" s="1"/>
      <c r="E1738" s="1" t="s">
        <v>125</v>
      </c>
      <c r="F1738" s="1">
        <v>130</v>
      </c>
      <c r="G1738" s="1">
        <v>3</v>
      </c>
      <c r="H1738" s="1">
        <v>13</v>
      </c>
      <c r="I1738" s="1"/>
      <c r="J1738" s="1"/>
    </row>
    <row r="1739" spans="1:10" x14ac:dyDescent="0.3">
      <c r="A1739" t="str">
        <f t="shared" si="54"/>
        <v>TOF</v>
      </c>
      <c r="B1739">
        <f t="shared" si="55"/>
        <v>1226</v>
      </c>
      <c r="D1739" s="1"/>
      <c r="E1739" s="1" t="s">
        <v>130</v>
      </c>
      <c r="F1739" s="1">
        <v>144</v>
      </c>
      <c r="G1739" s="1">
        <v>3</v>
      </c>
      <c r="H1739" s="1">
        <v>12.9</v>
      </c>
      <c r="I1739" s="1"/>
      <c r="J1739" s="1"/>
    </row>
    <row r="1740" spans="1:10" x14ac:dyDescent="0.3">
      <c r="A1740" t="str">
        <f t="shared" si="54"/>
        <v>TOF</v>
      </c>
      <c r="B1740">
        <f t="shared" si="55"/>
        <v>5226</v>
      </c>
      <c r="D1740" s="1"/>
      <c r="E1740" s="1" t="s">
        <v>241</v>
      </c>
      <c r="F1740" s="1">
        <v>149</v>
      </c>
      <c r="G1740" s="1">
        <v>4</v>
      </c>
      <c r="H1740" s="1">
        <v>12.85</v>
      </c>
      <c r="I1740" s="1"/>
      <c r="J1740" s="1"/>
    </row>
    <row r="1741" spans="1:10" x14ac:dyDescent="0.3">
      <c r="A1741" t="str">
        <f t="shared" si="54"/>
        <v>TOF</v>
      </c>
      <c r="B1741">
        <f t="shared" si="55"/>
        <v>18726</v>
      </c>
      <c r="D1741" s="1"/>
      <c r="E1741" s="1" t="s">
        <v>427</v>
      </c>
      <c r="F1741" s="1">
        <v>154</v>
      </c>
      <c r="G1741" s="1">
        <v>5</v>
      </c>
      <c r="H1741" s="1">
        <v>12.74</v>
      </c>
      <c r="I1741" s="1"/>
      <c r="J1741" s="1"/>
    </row>
    <row r="1742" spans="1:10" x14ac:dyDescent="0.3">
      <c r="A1742" t="str">
        <f t="shared" si="54"/>
        <v>TOF</v>
      </c>
      <c r="B1742">
        <f t="shared" si="55"/>
        <v>18526</v>
      </c>
      <c r="D1742" s="1"/>
      <c r="E1742" s="1" t="s">
        <v>420</v>
      </c>
      <c r="F1742" s="1">
        <v>156</v>
      </c>
      <c r="G1742" s="1">
        <v>1</v>
      </c>
      <c r="H1742" s="1">
        <v>12.71</v>
      </c>
      <c r="I1742" s="1"/>
      <c r="J1742" s="1"/>
    </row>
    <row r="1743" spans="1:10" x14ac:dyDescent="0.3">
      <c r="A1743" t="str">
        <f t="shared" si="54"/>
        <v>TOF</v>
      </c>
      <c r="B1743">
        <f t="shared" si="55"/>
        <v>2326</v>
      </c>
      <c r="D1743" s="1"/>
      <c r="E1743" s="1" t="s">
        <v>79</v>
      </c>
      <c r="F1743" s="1">
        <v>162</v>
      </c>
      <c r="G1743" s="1">
        <v>4</v>
      </c>
      <c r="H1743" s="1">
        <v>12.64</v>
      </c>
      <c r="I1743" s="1"/>
      <c r="J1743" s="1"/>
    </row>
    <row r="1744" spans="1:10" x14ac:dyDescent="0.3">
      <c r="A1744" t="str">
        <f t="shared" si="54"/>
        <v>TOF</v>
      </c>
      <c r="B1744">
        <f t="shared" si="55"/>
        <v>19026</v>
      </c>
      <c r="D1744" s="1"/>
      <c r="E1744" s="1" t="s">
        <v>176</v>
      </c>
      <c r="F1744" s="1">
        <v>166</v>
      </c>
      <c r="G1744" s="1">
        <v>7</v>
      </c>
      <c r="H1744" s="1">
        <v>12.59</v>
      </c>
      <c r="I1744" s="1"/>
      <c r="J1744" s="1"/>
    </row>
    <row r="1745" spans="1:10" x14ac:dyDescent="0.3">
      <c r="A1745" t="str">
        <f t="shared" si="54"/>
        <v>TOF</v>
      </c>
      <c r="B1745">
        <f t="shared" si="55"/>
        <v>4626</v>
      </c>
      <c r="D1745" s="1"/>
      <c r="E1745" s="1" t="s">
        <v>101</v>
      </c>
      <c r="F1745" s="1">
        <v>171</v>
      </c>
      <c r="G1745" s="1">
        <v>5</v>
      </c>
      <c r="H1745" s="1">
        <v>12.52</v>
      </c>
      <c r="I1745" s="1"/>
      <c r="J1745" s="1"/>
    </row>
    <row r="1746" spans="1:10" x14ac:dyDescent="0.3">
      <c r="A1746" t="str">
        <f t="shared" si="54"/>
        <v>TOF</v>
      </c>
      <c r="B1746">
        <f t="shared" si="55"/>
        <v>126</v>
      </c>
      <c r="D1746" s="1"/>
      <c r="E1746" s="1" t="s">
        <v>312</v>
      </c>
      <c r="F1746" s="1">
        <v>172</v>
      </c>
      <c r="G1746" s="1">
        <v>3</v>
      </c>
      <c r="H1746" s="1">
        <v>12.51</v>
      </c>
      <c r="I1746" s="1"/>
      <c r="J1746" s="1"/>
    </row>
    <row r="1747" spans="1:10" x14ac:dyDescent="0.3">
      <c r="A1747" t="str">
        <f t="shared" si="54"/>
        <v>TOF</v>
      </c>
      <c r="B1747">
        <f t="shared" si="55"/>
        <v>2526</v>
      </c>
      <c r="D1747" s="1"/>
      <c r="E1747" s="1" t="s">
        <v>92</v>
      </c>
      <c r="F1747" s="1">
        <v>177</v>
      </c>
      <c r="G1747" s="1">
        <v>5</v>
      </c>
      <c r="H1747" s="1">
        <v>12.46</v>
      </c>
      <c r="I1747" s="1"/>
      <c r="J1747" s="1"/>
    </row>
    <row r="1748" spans="1:10" x14ac:dyDescent="0.3">
      <c r="A1748" t="str">
        <f t="shared" si="54"/>
        <v>TOF</v>
      </c>
      <c r="B1748">
        <f t="shared" si="55"/>
        <v>8426</v>
      </c>
      <c r="D1748" s="1"/>
      <c r="E1748" s="1" t="s">
        <v>109</v>
      </c>
      <c r="F1748" s="1">
        <v>191</v>
      </c>
      <c r="G1748" s="1">
        <v>4</v>
      </c>
      <c r="H1748" s="1">
        <v>12.34</v>
      </c>
      <c r="I1748" s="1"/>
      <c r="J1748" s="1"/>
    </row>
    <row r="1749" spans="1:10" x14ac:dyDescent="0.3">
      <c r="A1749" t="str">
        <f t="shared" si="54"/>
        <v>TOF</v>
      </c>
      <c r="B1749">
        <f t="shared" si="55"/>
        <v>2226</v>
      </c>
      <c r="D1749" s="1"/>
      <c r="E1749" s="1" t="s">
        <v>119</v>
      </c>
      <c r="F1749" s="1">
        <v>192</v>
      </c>
      <c r="G1749" s="1">
        <v>7</v>
      </c>
      <c r="H1749" s="1">
        <v>12.33</v>
      </c>
      <c r="I1749" s="1"/>
      <c r="J1749" s="1"/>
    </row>
    <row r="1750" spans="1:10" x14ac:dyDescent="0.3">
      <c r="A1750" t="str">
        <f t="shared" si="54"/>
        <v>TOF</v>
      </c>
      <c r="B1750">
        <f t="shared" si="55"/>
        <v>2926</v>
      </c>
      <c r="D1750" s="1"/>
      <c r="E1750" s="1" t="s">
        <v>96</v>
      </c>
      <c r="F1750" s="1">
        <v>195</v>
      </c>
      <c r="G1750" s="1">
        <v>5</v>
      </c>
      <c r="H1750" s="1">
        <v>12.31</v>
      </c>
      <c r="I1750" s="1"/>
      <c r="J1750" s="1"/>
    </row>
    <row r="1751" spans="1:10" x14ac:dyDescent="0.3">
      <c r="A1751" t="str">
        <f t="shared" si="54"/>
        <v>TOF</v>
      </c>
      <c r="B1751">
        <f t="shared" si="55"/>
        <v>2426</v>
      </c>
      <c r="D1751" s="1"/>
      <c r="E1751" s="1" t="s">
        <v>330</v>
      </c>
      <c r="F1751" s="1">
        <v>196</v>
      </c>
      <c r="G1751" s="1">
        <v>6</v>
      </c>
      <c r="H1751" s="1">
        <v>12.3</v>
      </c>
      <c r="I1751" s="1"/>
      <c r="J1751" s="1"/>
    </row>
    <row r="1752" spans="1:10" x14ac:dyDescent="0.3">
      <c r="A1752" t="str">
        <f t="shared" si="54"/>
        <v>TOF</v>
      </c>
      <c r="B1752">
        <f t="shared" si="55"/>
        <v>18926</v>
      </c>
      <c r="D1752" s="1"/>
      <c r="E1752" s="1" t="s">
        <v>422</v>
      </c>
      <c r="F1752" s="1">
        <v>198</v>
      </c>
      <c r="G1752" s="1">
        <v>7</v>
      </c>
      <c r="H1752" s="1">
        <v>12.29</v>
      </c>
      <c r="I1752" s="1"/>
      <c r="J1752" s="1"/>
    </row>
    <row r="1753" spans="1:10" x14ac:dyDescent="0.3">
      <c r="A1753" t="str">
        <f t="shared" si="54"/>
        <v>TOF</v>
      </c>
      <c r="B1753">
        <f t="shared" si="55"/>
        <v>2626</v>
      </c>
      <c r="D1753" s="1"/>
      <c r="E1753" s="1" t="s">
        <v>80</v>
      </c>
      <c r="F1753" s="1">
        <v>203</v>
      </c>
      <c r="G1753" s="1">
        <v>5</v>
      </c>
      <c r="H1753" s="1">
        <v>12.21</v>
      </c>
      <c r="I1753" s="1"/>
      <c r="J1753" s="1"/>
    </row>
    <row r="1754" spans="1:10" x14ac:dyDescent="0.3">
      <c r="A1754" t="str">
        <f t="shared" si="54"/>
        <v>TOF</v>
      </c>
      <c r="B1754">
        <f t="shared" si="55"/>
        <v>9526</v>
      </c>
      <c r="D1754" s="1"/>
      <c r="E1754" s="1" t="s">
        <v>85</v>
      </c>
      <c r="F1754" s="1">
        <v>220</v>
      </c>
      <c r="G1754" s="1">
        <v>8</v>
      </c>
      <c r="H1754" s="1">
        <v>12.03</v>
      </c>
      <c r="I1754" s="1"/>
      <c r="J1754" s="1"/>
    </row>
    <row r="1755" spans="1:10" x14ac:dyDescent="0.3">
      <c r="A1755" t="str">
        <f t="shared" si="54"/>
        <v>TOF</v>
      </c>
      <c r="B1755">
        <f t="shared" si="55"/>
        <v>11126</v>
      </c>
      <c r="D1755" s="1"/>
      <c r="E1755" s="1" t="s">
        <v>277</v>
      </c>
      <c r="F1755" s="1">
        <v>226</v>
      </c>
      <c r="G1755" s="1">
        <v>6</v>
      </c>
      <c r="H1755" s="1">
        <v>11.91</v>
      </c>
      <c r="I1755" s="1"/>
      <c r="J1755" s="1"/>
    </row>
    <row r="1756" spans="1:10" x14ac:dyDescent="0.3">
      <c r="A1756" t="str">
        <f t="shared" si="54"/>
        <v>TOF</v>
      </c>
      <c r="B1756">
        <f t="shared" si="55"/>
        <v>2126</v>
      </c>
      <c r="D1756" s="1"/>
      <c r="E1756" s="1" t="s">
        <v>136</v>
      </c>
      <c r="F1756" s="1">
        <v>238</v>
      </c>
      <c r="G1756" s="1">
        <v>7</v>
      </c>
      <c r="H1756" s="1">
        <v>11.79</v>
      </c>
      <c r="I1756" s="1"/>
      <c r="J1756" s="1"/>
    </row>
    <row r="1757" spans="1:10" x14ac:dyDescent="0.3">
      <c r="A1757" t="str">
        <f t="shared" si="54"/>
        <v>TOF</v>
      </c>
      <c r="B1757">
        <f t="shared" si="55"/>
        <v>3726</v>
      </c>
      <c r="D1757" s="1"/>
      <c r="E1757" s="1" t="s">
        <v>115</v>
      </c>
      <c r="F1757" s="1">
        <v>247</v>
      </c>
      <c r="G1757" s="1">
        <v>9</v>
      </c>
      <c r="H1757" s="1">
        <v>11.73</v>
      </c>
      <c r="I1757" s="1"/>
      <c r="J1757" s="1"/>
    </row>
    <row r="1758" spans="1:10" x14ac:dyDescent="0.3">
      <c r="A1758" t="str">
        <f t="shared" si="54"/>
        <v>TOF</v>
      </c>
      <c r="B1758">
        <f t="shared" si="55"/>
        <v>7426</v>
      </c>
      <c r="D1758" s="1"/>
      <c r="E1758" s="1" t="s">
        <v>251</v>
      </c>
      <c r="F1758" s="1">
        <v>247</v>
      </c>
      <c r="G1758" s="1">
        <v>7</v>
      </c>
      <c r="H1758" s="1">
        <v>11.73</v>
      </c>
      <c r="I1758" s="1"/>
      <c r="J1758" s="1"/>
    </row>
    <row r="1759" spans="1:10" x14ac:dyDescent="0.3">
      <c r="A1759" t="str">
        <f t="shared" si="54"/>
        <v>TOF</v>
      </c>
      <c r="B1759">
        <f t="shared" si="55"/>
        <v>6826</v>
      </c>
      <c r="D1759" s="1"/>
      <c r="E1759" s="1" t="s">
        <v>248</v>
      </c>
      <c r="F1759" s="1">
        <v>249</v>
      </c>
      <c r="G1759" s="1">
        <v>8</v>
      </c>
      <c r="H1759" s="1">
        <v>11.73</v>
      </c>
      <c r="I1759" s="1"/>
      <c r="J1759" s="1"/>
    </row>
    <row r="1760" spans="1:10" x14ac:dyDescent="0.3">
      <c r="A1760" t="str">
        <f t="shared" si="54"/>
        <v>TOF</v>
      </c>
      <c r="B1760">
        <f t="shared" si="55"/>
        <v>7926</v>
      </c>
      <c r="D1760" s="1"/>
      <c r="E1760" s="1" t="s">
        <v>103</v>
      </c>
      <c r="F1760" s="1">
        <v>270</v>
      </c>
      <c r="G1760" s="1">
        <v>6</v>
      </c>
      <c r="H1760" s="1">
        <v>11.44</v>
      </c>
      <c r="I1760" s="1"/>
      <c r="J1760" s="1"/>
    </row>
    <row r="1761" spans="1:10" x14ac:dyDescent="0.3">
      <c r="A1761" t="str">
        <f t="shared" si="54"/>
        <v>TOF</v>
      </c>
      <c r="B1761">
        <f t="shared" si="55"/>
        <v>5326</v>
      </c>
      <c r="D1761" s="1"/>
      <c r="E1761" s="1" t="s">
        <v>242</v>
      </c>
      <c r="F1761" s="1">
        <v>276</v>
      </c>
      <c r="G1761" s="1">
        <v>8</v>
      </c>
      <c r="H1761" s="1">
        <v>11.28</v>
      </c>
      <c r="I1761" s="1"/>
      <c r="J1761" s="1"/>
    </row>
    <row r="1762" spans="1:10" x14ac:dyDescent="0.3">
      <c r="A1762" t="str">
        <f t="shared" si="54"/>
        <v>TOF</v>
      </c>
      <c r="B1762">
        <f t="shared" si="55"/>
        <v>9426</v>
      </c>
      <c r="D1762" s="1"/>
      <c r="E1762" s="1" t="s">
        <v>264</v>
      </c>
      <c r="F1762" s="1">
        <v>284</v>
      </c>
      <c r="G1762" s="1">
        <v>8</v>
      </c>
      <c r="H1762" s="1">
        <v>11.17</v>
      </c>
      <c r="I1762" s="1"/>
      <c r="J1762" s="1"/>
    </row>
    <row r="1763" spans="1:10" x14ac:dyDescent="0.3">
      <c r="A1763" t="str">
        <f t="shared" si="54"/>
        <v>TOF</v>
      </c>
      <c r="B1763">
        <f t="shared" si="55"/>
        <v>5526</v>
      </c>
      <c r="D1763" s="1"/>
      <c r="E1763" s="1" t="s">
        <v>86</v>
      </c>
      <c r="F1763" s="1">
        <v>289</v>
      </c>
      <c r="G1763" s="1">
        <v>12</v>
      </c>
      <c r="H1763" s="1">
        <v>11.15</v>
      </c>
      <c r="I1763" s="1"/>
      <c r="J1763" s="1"/>
    </row>
    <row r="1764" spans="1:10" x14ac:dyDescent="0.3">
      <c r="A1764" t="str">
        <f t="shared" si="54"/>
        <v>TOF</v>
      </c>
      <c r="B1764">
        <f t="shared" si="55"/>
        <v>1426</v>
      </c>
      <c r="D1764" s="1"/>
      <c r="E1764" s="1" t="s">
        <v>102</v>
      </c>
      <c r="F1764" s="1">
        <v>294</v>
      </c>
      <c r="G1764" s="1">
        <v>9</v>
      </c>
      <c r="H1764" s="1">
        <v>11.09</v>
      </c>
      <c r="I1764" s="1"/>
      <c r="J1764" s="1"/>
    </row>
    <row r="1765" spans="1:10" x14ac:dyDescent="0.3">
      <c r="A1765" t="str">
        <f t="shared" si="54"/>
        <v>TOF</v>
      </c>
      <c r="B1765">
        <f t="shared" si="55"/>
        <v>5426</v>
      </c>
      <c r="D1765" s="1"/>
      <c r="E1765" s="1" t="s">
        <v>94</v>
      </c>
      <c r="F1765" s="1">
        <v>306</v>
      </c>
      <c r="G1765" s="1">
        <v>12</v>
      </c>
      <c r="H1765" s="1">
        <v>10.86</v>
      </c>
      <c r="I1765" s="1"/>
      <c r="J1765" s="1"/>
    </row>
    <row r="1766" spans="1:10" x14ac:dyDescent="0.3">
      <c r="A1766" t="str">
        <f t="shared" si="54"/>
        <v>TOF</v>
      </c>
      <c r="B1766">
        <f t="shared" si="55"/>
        <v>5826</v>
      </c>
      <c r="D1766" s="1"/>
      <c r="E1766" s="1" t="s">
        <v>139</v>
      </c>
      <c r="F1766" s="1">
        <v>315</v>
      </c>
      <c r="G1766" s="1">
        <v>11</v>
      </c>
      <c r="H1766" s="1">
        <v>10.75</v>
      </c>
      <c r="I1766" s="1"/>
      <c r="J1766" s="1"/>
    </row>
    <row r="1767" spans="1:10" x14ac:dyDescent="0.3">
      <c r="A1767" t="str">
        <f t="shared" si="54"/>
        <v>TOF</v>
      </c>
      <c r="B1767">
        <f t="shared" si="55"/>
        <v>3426</v>
      </c>
      <c r="D1767" s="1"/>
      <c r="E1767" s="1" t="s">
        <v>237</v>
      </c>
      <c r="F1767" s="1">
        <v>322</v>
      </c>
      <c r="G1767" s="1">
        <v>7</v>
      </c>
      <c r="H1767" s="1">
        <v>10.5</v>
      </c>
      <c r="I1767" s="1"/>
      <c r="J1767" s="1"/>
    </row>
    <row r="1768" spans="1:10" x14ac:dyDescent="0.3">
      <c r="A1768" t="str">
        <f t="shared" si="54"/>
        <v>TOF</v>
      </c>
      <c r="B1768">
        <f t="shared" si="55"/>
        <v>3026</v>
      </c>
      <c r="D1768" s="1"/>
      <c r="E1768" s="1" t="s">
        <v>89</v>
      </c>
      <c r="F1768" s="1">
        <v>337</v>
      </c>
      <c r="G1768" s="1">
        <v>10</v>
      </c>
      <c r="H1768" s="1">
        <v>9.94</v>
      </c>
      <c r="I1768" s="1"/>
      <c r="J1768" s="1"/>
    </row>
    <row r="1769" spans="1:10" x14ac:dyDescent="0.3">
      <c r="A1769" t="str">
        <f t="shared" si="54"/>
        <v>TOF</v>
      </c>
      <c r="B1769">
        <f t="shared" si="55"/>
        <v>926</v>
      </c>
      <c r="D1769" s="1"/>
      <c r="E1769" s="1" t="s">
        <v>90</v>
      </c>
      <c r="F1769" s="1">
        <v>341</v>
      </c>
      <c r="G1769" s="1">
        <v>12</v>
      </c>
      <c r="H1769" s="1">
        <v>9.7899999999999991</v>
      </c>
      <c r="I1769" s="1"/>
      <c r="J1769" s="1"/>
    </row>
    <row r="1770" spans="1:10" x14ac:dyDescent="0.3">
      <c r="A1770" t="str">
        <f t="shared" si="54"/>
        <v>TOF</v>
      </c>
      <c r="B1770">
        <f t="shared" si="55"/>
        <v>3126</v>
      </c>
      <c r="D1770" s="1"/>
      <c r="E1770" s="1" t="s">
        <v>93</v>
      </c>
      <c r="F1770" s="1">
        <v>345</v>
      </c>
      <c r="G1770" s="1">
        <v>11</v>
      </c>
      <c r="H1770" s="1">
        <v>9.68</v>
      </c>
      <c r="I1770" s="1"/>
      <c r="J1770" s="1"/>
    </row>
    <row r="1771" spans="1:10" x14ac:dyDescent="0.3">
      <c r="A1771" t="str">
        <f t="shared" si="54"/>
        <v>TOF</v>
      </c>
      <c r="B1771">
        <f t="shared" si="55"/>
        <v>14326</v>
      </c>
      <c r="D1771" s="1"/>
      <c r="E1771" s="1" t="s">
        <v>391</v>
      </c>
      <c r="F1771" s="1">
        <v>351</v>
      </c>
      <c r="G1771" s="1">
        <v>14</v>
      </c>
      <c r="H1771" s="1">
        <v>8.57</v>
      </c>
      <c r="I1771" s="1"/>
      <c r="J1771" s="1"/>
    </row>
    <row r="1772" spans="1:10" x14ac:dyDescent="0.3">
      <c r="A1772" t="str">
        <f t="shared" si="54"/>
        <v>TPG</v>
      </c>
      <c r="B1772">
        <f t="shared" si="55"/>
        <v>2627</v>
      </c>
      <c r="D1772" s="1" t="s">
        <v>458</v>
      </c>
      <c r="E1772" s="1" t="s">
        <v>80</v>
      </c>
      <c r="F1772" s="1">
        <v>1</v>
      </c>
      <c r="G1772" s="1">
        <v>1</v>
      </c>
      <c r="H1772" s="1">
        <v>8.5</v>
      </c>
      <c r="I1772" s="1" t="s">
        <v>80</v>
      </c>
      <c r="J1772" s="1">
        <v>8.5</v>
      </c>
    </row>
    <row r="1773" spans="1:10" x14ac:dyDescent="0.3">
      <c r="A1773" t="str">
        <f t="shared" si="54"/>
        <v>TPG</v>
      </c>
      <c r="B1773">
        <f t="shared" si="55"/>
        <v>14327</v>
      </c>
      <c r="D1773" s="1"/>
      <c r="E1773" s="1" t="s">
        <v>391</v>
      </c>
      <c r="F1773" s="1">
        <v>4</v>
      </c>
      <c r="G1773" s="1">
        <v>2</v>
      </c>
      <c r="H1773" s="1">
        <v>9</v>
      </c>
      <c r="I1773" s="1"/>
      <c r="J1773" s="1"/>
    </row>
    <row r="1774" spans="1:10" x14ac:dyDescent="0.3">
      <c r="A1774" t="str">
        <f t="shared" si="54"/>
        <v>TPG</v>
      </c>
      <c r="B1774">
        <f t="shared" si="55"/>
        <v>7927</v>
      </c>
      <c r="D1774" s="1"/>
      <c r="E1774" s="1" t="s">
        <v>103</v>
      </c>
      <c r="F1774" s="1">
        <v>5</v>
      </c>
      <c r="G1774" s="1">
        <v>1</v>
      </c>
      <c r="H1774" s="1">
        <v>9.4</v>
      </c>
      <c r="I1774" s="1"/>
      <c r="J1774" s="1"/>
    </row>
    <row r="1775" spans="1:10" x14ac:dyDescent="0.3">
      <c r="A1775" t="str">
        <f t="shared" si="54"/>
        <v>TPG</v>
      </c>
      <c r="B1775">
        <f t="shared" si="55"/>
        <v>18527</v>
      </c>
      <c r="D1775" s="1"/>
      <c r="E1775" s="1" t="s">
        <v>420</v>
      </c>
      <c r="F1775" s="1">
        <v>6</v>
      </c>
      <c r="G1775" s="1">
        <v>1</v>
      </c>
      <c r="H1775" s="1">
        <v>9.4</v>
      </c>
      <c r="I1775" s="1"/>
      <c r="J1775" s="1"/>
    </row>
    <row r="1776" spans="1:10" x14ac:dyDescent="0.3">
      <c r="A1776" t="str">
        <f t="shared" si="54"/>
        <v>TPG</v>
      </c>
      <c r="B1776">
        <f t="shared" si="55"/>
        <v>1927</v>
      </c>
      <c r="D1776" s="1"/>
      <c r="E1776" s="1" t="s">
        <v>112</v>
      </c>
      <c r="F1776" s="1">
        <v>7</v>
      </c>
      <c r="G1776" s="1">
        <v>3</v>
      </c>
      <c r="H1776" s="1">
        <v>9.4</v>
      </c>
      <c r="I1776" s="1"/>
      <c r="J1776" s="1"/>
    </row>
    <row r="1777" spans="1:10" x14ac:dyDescent="0.3">
      <c r="A1777" t="str">
        <f t="shared" si="54"/>
        <v>TPG</v>
      </c>
      <c r="B1777">
        <f t="shared" si="55"/>
        <v>6227</v>
      </c>
      <c r="D1777" s="1"/>
      <c r="E1777" s="1" t="s">
        <v>81</v>
      </c>
      <c r="F1777" s="1">
        <v>9</v>
      </c>
      <c r="G1777" s="1">
        <v>3</v>
      </c>
      <c r="H1777" s="1">
        <v>9.6</v>
      </c>
      <c r="I1777" s="1"/>
      <c r="J1777" s="1"/>
    </row>
    <row r="1778" spans="1:10" x14ac:dyDescent="0.3">
      <c r="A1778" t="str">
        <f t="shared" si="54"/>
        <v>TPG</v>
      </c>
      <c r="B1778">
        <f t="shared" si="55"/>
        <v>5227</v>
      </c>
      <c r="D1778" s="1"/>
      <c r="E1778" s="1" t="s">
        <v>241</v>
      </c>
      <c r="F1778" s="1">
        <v>11</v>
      </c>
      <c r="G1778" s="1">
        <v>4</v>
      </c>
      <c r="H1778" s="1">
        <v>9.8000000000000007</v>
      </c>
      <c r="I1778" s="1"/>
      <c r="J1778" s="1"/>
    </row>
    <row r="1779" spans="1:10" x14ac:dyDescent="0.3">
      <c r="A1779" t="str">
        <f t="shared" si="54"/>
        <v>TPG</v>
      </c>
      <c r="B1779">
        <f t="shared" si="55"/>
        <v>2827</v>
      </c>
      <c r="D1779" s="1"/>
      <c r="E1779" s="1" t="s">
        <v>106</v>
      </c>
      <c r="F1779" s="1">
        <v>14</v>
      </c>
      <c r="G1779" s="1">
        <v>1</v>
      </c>
      <c r="H1779" s="1">
        <v>10</v>
      </c>
      <c r="I1779" s="1"/>
      <c r="J1779" s="1"/>
    </row>
    <row r="1780" spans="1:10" x14ac:dyDescent="0.3">
      <c r="A1780" t="str">
        <f t="shared" si="54"/>
        <v>TPG</v>
      </c>
      <c r="B1780">
        <f t="shared" si="55"/>
        <v>9027</v>
      </c>
      <c r="D1780" s="1"/>
      <c r="E1780" s="1" t="s">
        <v>261</v>
      </c>
      <c r="F1780" s="1">
        <v>15</v>
      </c>
      <c r="G1780" s="1">
        <v>1</v>
      </c>
      <c r="H1780" s="1">
        <v>10</v>
      </c>
      <c r="I1780" s="1"/>
      <c r="J1780" s="1"/>
    </row>
    <row r="1781" spans="1:10" x14ac:dyDescent="0.3">
      <c r="A1781" t="str">
        <f t="shared" si="54"/>
        <v>TPG</v>
      </c>
      <c r="B1781">
        <f t="shared" si="55"/>
        <v>8427</v>
      </c>
      <c r="D1781" s="1"/>
      <c r="E1781" s="1" t="s">
        <v>109</v>
      </c>
      <c r="F1781" s="1">
        <v>18</v>
      </c>
      <c r="G1781" s="1">
        <v>1</v>
      </c>
      <c r="H1781" s="1">
        <v>10.199999999999999</v>
      </c>
      <c r="I1781" s="1"/>
      <c r="J1781" s="1"/>
    </row>
    <row r="1782" spans="1:10" x14ac:dyDescent="0.3">
      <c r="A1782" t="str">
        <f t="shared" si="54"/>
        <v>TPG</v>
      </c>
      <c r="B1782">
        <f t="shared" si="55"/>
        <v>4627</v>
      </c>
      <c r="D1782" s="1"/>
      <c r="E1782" s="1" t="s">
        <v>101</v>
      </c>
      <c r="F1782" s="1">
        <v>19</v>
      </c>
      <c r="G1782" s="1">
        <v>1</v>
      </c>
      <c r="H1782" s="1">
        <v>10.3</v>
      </c>
      <c r="I1782" s="1"/>
      <c r="J1782" s="1"/>
    </row>
    <row r="1783" spans="1:10" x14ac:dyDescent="0.3">
      <c r="A1783" t="str">
        <f t="shared" si="54"/>
        <v>TPG</v>
      </c>
      <c r="B1783">
        <f t="shared" si="55"/>
        <v>8627</v>
      </c>
      <c r="D1783" s="1"/>
      <c r="E1783" s="1" t="s">
        <v>259</v>
      </c>
      <c r="F1783" s="1">
        <v>22</v>
      </c>
      <c r="G1783" s="1">
        <v>1</v>
      </c>
      <c r="H1783" s="1">
        <v>10.5</v>
      </c>
      <c r="I1783" s="1"/>
      <c r="J1783" s="1"/>
    </row>
    <row r="1784" spans="1:10" x14ac:dyDescent="0.3">
      <c r="A1784" t="str">
        <f t="shared" si="54"/>
        <v>TPG</v>
      </c>
      <c r="B1784">
        <f t="shared" si="55"/>
        <v>9527</v>
      </c>
      <c r="D1784" s="1"/>
      <c r="E1784" s="1" t="s">
        <v>85</v>
      </c>
      <c r="F1784" s="1">
        <v>23</v>
      </c>
      <c r="G1784" s="1">
        <v>1</v>
      </c>
      <c r="H1784" s="1">
        <v>10.5</v>
      </c>
      <c r="I1784" s="1"/>
      <c r="J1784" s="1"/>
    </row>
    <row r="1785" spans="1:10" x14ac:dyDescent="0.3">
      <c r="A1785" t="str">
        <f t="shared" si="54"/>
        <v>TPG</v>
      </c>
      <c r="B1785">
        <f t="shared" si="55"/>
        <v>11127</v>
      </c>
      <c r="D1785" s="1"/>
      <c r="E1785" s="1" t="s">
        <v>277</v>
      </c>
      <c r="F1785" s="1">
        <v>28</v>
      </c>
      <c r="G1785" s="1">
        <v>6</v>
      </c>
      <c r="H1785" s="1">
        <v>10.7</v>
      </c>
      <c r="I1785" s="1"/>
      <c r="J1785" s="1"/>
    </row>
    <row r="1786" spans="1:10" x14ac:dyDescent="0.3">
      <c r="A1786" t="str">
        <f t="shared" si="54"/>
        <v>TPG</v>
      </c>
      <c r="B1786">
        <f t="shared" si="55"/>
        <v>2527</v>
      </c>
      <c r="D1786" s="1"/>
      <c r="E1786" s="1" t="s">
        <v>92</v>
      </c>
      <c r="F1786" s="1">
        <v>28</v>
      </c>
      <c r="G1786" s="1">
        <v>1</v>
      </c>
      <c r="H1786" s="1">
        <v>10.7</v>
      </c>
      <c r="I1786" s="1"/>
      <c r="J1786" s="1"/>
    </row>
    <row r="1787" spans="1:10" x14ac:dyDescent="0.3">
      <c r="A1787" t="str">
        <f t="shared" si="54"/>
        <v>TPG</v>
      </c>
      <c r="B1787">
        <f t="shared" si="55"/>
        <v>3327</v>
      </c>
      <c r="D1787" s="1"/>
      <c r="E1787" s="1" t="s">
        <v>91</v>
      </c>
      <c r="F1787" s="1">
        <v>32</v>
      </c>
      <c r="G1787" s="1">
        <v>2</v>
      </c>
      <c r="H1787" s="1">
        <v>10.7</v>
      </c>
      <c r="I1787" s="1"/>
      <c r="J1787" s="1"/>
    </row>
    <row r="1788" spans="1:10" x14ac:dyDescent="0.3">
      <c r="A1788" t="str">
        <f t="shared" si="54"/>
        <v>TPG</v>
      </c>
      <c r="B1788">
        <f t="shared" si="55"/>
        <v>4427</v>
      </c>
      <c r="D1788" s="1"/>
      <c r="E1788" s="1" t="s">
        <v>83</v>
      </c>
      <c r="F1788" s="1">
        <v>33</v>
      </c>
      <c r="G1788" s="1">
        <v>2</v>
      </c>
      <c r="H1788" s="1">
        <v>10.7</v>
      </c>
      <c r="I1788" s="1"/>
      <c r="J1788" s="1"/>
    </row>
    <row r="1789" spans="1:10" x14ac:dyDescent="0.3">
      <c r="A1789" t="str">
        <f t="shared" si="54"/>
        <v>TPG</v>
      </c>
      <c r="B1789">
        <f t="shared" si="55"/>
        <v>927</v>
      </c>
      <c r="D1789" s="1"/>
      <c r="E1789" s="1" t="s">
        <v>90</v>
      </c>
      <c r="F1789" s="1">
        <v>41</v>
      </c>
      <c r="G1789" s="1">
        <v>8</v>
      </c>
      <c r="H1789" s="1">
        <v>10.9</v>
      </c>
      <c r="I1789" s="1"/>
      <c r="J1789" s="1"/>
    </row>
    <row r="1790" spans="1:10" x14ac:dyDescent="0.3">
      <c r="A1790" t="str">
        <f t="shared" si="54"/>
        <v>TPG</v>
      </c>
      <c r="B1790">
        <f t="shared" si="55"/>
        <v>19127</v>
      </c>
      <c r="D1790" s="1"/>
      <c r="E1790" s="1" t="s">
        <v>421</v>
      </c>
      <c r="F1790" s="1">
        <v>45</v>
      </c>
      <c r="G1790" s="1">
        <v>3</v>
      </c>
      <c r="H1790" s="1">
        <v>11</v>
      </c>
      <c r="I1790" s="1"/>
      <c r="J1790" s="1"/>
    </row>
    <row r="1791" spans="1:10" x14ac:dyDescent="0.3">
      <c r="A1791" t="str">
        <f t="shared" si="54"/>
        <v>TPG</v>
      </c>
      <c r="B1791">
        <f t="shared" si="55"/>
        <v>3027</v>
      </c>
      <c r="D1791" s="1"/>
      <c r="E1791" s="1" t="s">
        <v>89</v>
      </c>
      <c r="F1791" s="1">
        <v>49</v>
      </c>
      <c r="G1791" s="1">
        <v>9</v>
      </c>
      <c r="H1791" s="1">
        <v>11.1</v>
      </c>
      <c r="I1791" s="1"/>
      <c r="J1791" s="1"/>
    </row>
    <row r="1792" spans="1:10" x14ac:dyDescent="0.3">
      <c r="A1792" t="str">
        <f t="shared" si="54"/>
        <v>TPG</v>
      </c>
      <c r="B1792">
        <f t="shared" si="55"/>
        <v>127</v>
      </c>
      <c r="D1792" s="1"/>
      <c r="E1792" s="1" t="s">
        <v>312</v>
      </c>
      <c r="F1792" s="1">
        <v>50</v>
      </c>
      <c r="G1792" s="1">
        <v>8</v>
      </c>
      <c r="H1792" s="1">
        <v>11.1</v>
      </c>
      <c r="I1792" s="1"/>
      <c r="J1792" s="1"/>
    </row>
    <row r="1793" spans="1:10" x14ac:dyDescent="0.3">
      <c r="A1793" t="str">
        <f t="shared" si="54"/>
        <v>TPG</v>
      </c>
      <c r="B1793">
        <f t="shared" si="55"/>
        <v>5327</v>
      </c>
      <c r="D1793" s="1"/>
      <c r="E1793" s="1" t="s">
        <v>242</v>
      </c>
      <c r="F1793" s="1">
        <v>51</v>
      </c>
      <c r="G1793" s="1">
        <v>9</v>
      </c>
      <c r="H1793" s="1">
        <v>11.1</v>
      </c>
      <c r="I1793" s="1"/>
      <c r="J1793" s="1"/>
    </row>
    <row r="1794" spans="1:10" x14ac:dyDescent="0.3">
      <c r="A1794" t="str">
        <f t="shared" ref="A1794:A1857" si="56">IF(NOT(D1794=""),INDEX(statAbbr,MATCH(D1794,statOfficial,0),1),A1793)</f>
        <v>TPG</v>
      </c>
      <c r="B1794">
        <f t="shared" ref="B1794:B1857" si="57">INDEX(statID,MATCH(A1794,statAbbr,0),1)+INDEX(teamID,MATCH(E1794,teamRawName,0))</f>
        <v>14127</v>
      </c>
      <c r="D1794" s="1"/>
      <c r="E1794" s="1" t="s">
        <v>299</v>
      </c>
      <c r="F1794" s="1">
        <v>53</v>
      </c>
      <c r="G1794" s="1">
        <v>2</v>
      </c>
      <c r="H1794" s="1">
        <v>11.1</v>
      </c>
      <c r="I1794" s="1"/>
      <c r="J1794" s="1"/>
    </row>
    <row r="1795" spans="1:10" x14ac:dyDescent="0.3">
      <c r="A1795" t="str">
        <f t="shared" si="56"/>
        <v>TPG</v>
      </c>
      <c r="B1795">
        <f t="shared" si="57"/>
        <v>2127</v>
      </c>
      <c r="D1795" s="1"/>
      <c r="E1795" s="1" t="s">
        <v>136</v>
      </c>
      <c r="F1795" s="1">
        <v>54</v>
      </c>
      <c r="G1795" s="1">
        <v>2</v>
      </c>
      <c r="H1795" s="1">
        <v>11.1</v>
      </c>
      <c r="I1795" s="1"/>
      <c r="J1795" s="1"/>
    </row>
    <row r="1796" spans="1:10" x14ac:dyDescent="0.3">
      <c r="A1796" t="str">
        <f t="shared" si="56"/>
        <v>TPG</v>
      </c>
      <c r="B1796">
        <f t="shared" si="57"/>
        <v>18827</v>
      </c>
      <c r="D1796" s="1"/>
      <c r="E1796" s="1" t="s">
        <v>424</v>
      </c>
      <c r="F1796" s="1">
        <v>63</v>
      </c>
      <c r="G1796" s="1">
        <v>3</v>
      </c>
      <c r="H1796" s="1">
        <v>11.3</v>
      </c>
      <c r="I1796" s="1"/>
      <c r="J1796" s="1"/>
    </row>
    <row r="1797" spans="1:10" x14ac:dyDescent="0.3">
      <c r="A1797" t="str">
        <f t="shared" si="56"/>
        <v>TPG</v>
      </c>
      <c r="B1797">
        <f t="shared" si="57"/>
        <v>18927</v>
      </c>
      <c r="D1797" s="1"/>
      <c r="E1797" s="1" t="s">
        <v>422</v>
      </c>
      <c r="F1797" s="1">
        <v>68</v>
      </c>
      <c r="G1797" s="1">
        <v>1</v>
      </c>
      <c r="H1797" s="1">
        <v>11.3</v>
      </c>
      <c r="I1797" s="1"/>
      <c r="J1797" s="1"/>
    </row>
    <row r="1798" spans="1:10" x14ac:dyDescent="0.3">
      <c r="A1798" t="str">
        <f t="shared" si="56"/>
        <v>TPG</v>
      </c>
      <c r="B1798">
        <f t="shared" si="57"/>
        <v>13427</v>
      </c>
      <c r="D1798" s="1"/>
      <c r="E1798" s="1" t="s">
        <v>400</v>
      </c>
      <c r="F1798" s="1">
        <v>69</v>
      </c>
      <c r="G1798" s="1">
        <v>4</v>
      </c>
      <c r="H1798" s="1">
        <v>11.4</v>
      </c>
      <c r="I1798" s="1"/>
      <c r="J1798" s="1"/>
    </row>
    <row r="1799" spans="1:10" x14ac:dyDescent="0.3">
      <c r="A1799" t="str">
        <f t="shared" si="56"/>
        <v>TPG</v>
      </c>
      <c r="B1799">
        <f t="shared" si="57"/>
        <v>9427</v>
      </c>
      <c r="D1799" s="1"/>
      <c r="E1799" s="1" t="s">
        <v>264</v>
      </c>
      <c r="F1799" s="1">
        <v>80</v>
      </c>
      <c r="G1799" s="1">
        <v>11</v>
      </c>
      <c r="H1799" s="1">
        <v>11.5</v>
      </c>
      <c r="I1799" s="1"/>
      <c r="J1799" s="1"/>
    </row>
    <row r="1800" spans="1:10" x14ac:dyDescent="0.3">
      <c r="A1800" t="str">
        <f t="shared" si="56"/>
        <v>TPG</v>
      </c>
      <c r="B1800">
        <f t="shared" si="57"/>
        <v>18427</v>
      </c>
      <c r="D1800" s="1"/>
      <c r="E1800" s="1" t="s">
        <v>417</v>
      </c>
      <c r="F1800" s="1">
        <v>81</v>
      </c>
      <c r="G1800" s="1">
        <v>1</v>
      </c>
      <c r="H1800" s="1">
        <v>11.5</v>
      </c>
      <c r="I1800" s="1"/>
      <c r="J1800" s="1"/>
    </row>
    <row r="1801" spans="1:10" x14ac:dyDescent="0.3">
      <c r="A1801" t="str">
        <f t="shared" si="56"/>
        <v>TPG</v>
      </c>
      <c r="B1801">
        <f t="shared" si="57"/>
        <v>6727</v>
      </c>
      <c r="D1801" s="1"/>
      <c r="E1801" s="1" t="s">
        <v>118</v>
      </c>
      <c r="F1801" s="1">
        <v>84</v>
      </c>
      <c r="G1801" s="1">
        <v>1</v>
      </c>
      <c r="H1801" s="1">
        <v>11.6</v>
      </c>
      <c r="I1801" s="1"/>
      <c r="J1801" s="1"/>
    </row>
    <row r="1802" spans="1:10" x14ac:dyDescent="0.3">
      <c r="A1802" t="str">
        <f t="shared" si="56"/>
        <v>TPG</v>
      </c>
      <c r="B1802">
        <f t="shared" si="57"/>
        <v>1227</v>
      </c>
      <c r="D1802" s="1"/>
      <c r="E1802" s="1" t="s">
        <v>130</v>
      </c>
      <c r="F1802" s="1">
        <v>87</v>
      </c>
      <c r="G1802" s="1">
        <v>6</v>
      </c>
      <c r="H1802" s="1">
        <v>11.6</v>
      </c>
      <c r="I1802" s="1"/>
      <c r="J1802" s="1"/>
    </row>
    <row r="1803" spans="1:10" x14ac:dyDescent="0.3">
      <c r="A1803" t="str">
        <f t="shared" si="56"/>
        <v>TPG</v>
      </c>
      <c r="B1803">
        <f t="shared" si="57"/>
        <v>3127</v>
      </c>
      <c r="D1803" s="1"/>
      <c r="E1803" s="1" t="s">
        <v>93</v>
      </c>
      <c r="F1803" s="1">
        <v>89</v>
      </c>
      <c r="G1803" s="1">
        <v>3</v>
      </c>
      <c r="H1803" s="1">
        <v>11.6</v>
      </c>
      <c r="I1803" s="1"/>
      <c r="J1803" s="1"/>
    </row>
    <row r="1804" spans="1:10" x14ac:dyDescent="0.3">
      <c r="A1804" t="str">
        <f t="shared" si="56"/>
        <v>TPG</v>
      </c>
      <c r="B1804">
        <f t="shared" si="57"/>
        <v>14527</v>
      </c>
      <c r="D1804" s="1"/>
      <c r="E1804" s="1" t="s">
        <v>402</v>
      </c>
      <c r="F1804" s="1">
        <v>101</v>
      </c>
      <c r="G1804" s="1">
        <v>2</v>
      </c>
      <c r="H1804" s="1">
        <v>11.7</v>
      </c>
      <c r="I1804" s="1"/>
      <c r="J1804" s="1"/>
    </row>
    <row r="1805" spans="1:10" x14ac:dyDescent="0.3">
      <c r="A1805" t="str">
        <f t="shared" si="56"/>
        <v>TPG</v>
      </c>
      <c r="B1805">
        <f t="shared" si="57"/>
        <v>6827</v>
      </c>
      <c r="D1805" s="1"/>
      <c r="E1805" s="1" t="s">
        <v>248</v>
      </c>
      <c r="F1805" s="1">
        <v>102</v>
      </c>
      <c r="G1805" s="1">
        <v>4</v>
      </c>
      <c r="H1805" s="1">
        <v>11.7</v>
      </c>
      <c r="I1805" s="1"/>
      <c r="J1805" s="1"/>
    </row>
    <row r="1806" spans="1:10" x14ac:dyDescent="0.3">
      <c r="A1806" t="str">
        <f t="shared" si="56"/>
        <v>TPG</v>
      </c>
      <c r="B1806">
        <f t="shared" si="57"/>
        <v>5527</v>
      </c>
      <c r="D1806" s="1"/>
      <c r="E1806" s="1" t="s">
        <v>86</v>
      </c>
      <c r="F1806" s="1">
        <v>106</v>
      </c>
      <c r="G1806" s="1">
        <v>4</v>
      </c>
      <c r="H1806" s="1">
        <v>11.8</v>
      </c>
      <c r="I1806" s="1"/>
      <c r="J1806" s="1"/>
    </row>
    <row r="1807" spans="1:10" x14ac:dyDescent="0.3">
      <c r="A1807" t="str">
        <f t="shared" si="56"/>
        <v>TPG</v>
      </c>
      <c r="B1807">
        <f t="shared" si="57"/>
        <v>2227</v>
      </c>
      <c r="D1807" s="1"/>
      <c r="E1807" s="1" t="s">
        <v>119</v>
      </c>
      <c r="F1807" s="1">
        <v>111</v>
      </c>
      <c r="G1807" s="1">
        <v>3</v>
      </c>
      <c r="H1807" s="1">
        <v>11.8</v>
      </c>
      <c r="I1807" s="1"/>
      <c r="J1807" s="1"/>
    </row>
    <row r="1808" spans="1:10" x14ac:dyDescent="0.3">
      <c r="A1808" t="str">
        <f t="shared" si="56"/>
        <v>TPG</v>
      </c>
      <c r="B1808">
        <f t="shared" si="57"/>
        <v>12027</v>
      </c>
      <c r="D1808" s="1"/>
      <c r="E1808" s="1" t="s">
        <v>135</v>
      </c>
      <c r="F1808" s="1">
        <v>119</v>
      </c>
      <c r="G1808" s="1">
        <v>5</v>
      </c>
      <c r="H1808" s="1">
        <v>11.9</v>
      </c>
      <c r="I1808" s="1"/>
      <c r="J1808" s="1"/>
    </row>
    <row r="1809" spans="1:10" x14ac:dyDescent="0.3">
      <c r="A1809" t="str">
        <f t="shared" si="56"/>
        <v>TPG</v>
      </c>
      <c r="B1809">
        <f t="shared" si="57"/>
        <v>5627</v>
      </c>
      <c r="D1809" s="1"/>
      <c r="E1809" s="1" t="s">
        <v>62</v>
      </c>
      <c r="F1809" s="1">
        <v>125</v>
      </c>
      <c r="G1809" s="1">
        <v>2</v>
      </c>
      <c r="H1809" s="1">
        <v>11.9</v>
      </c>
      <c r="I1809" s="1"/>
      <c r="J1809" s="1"/>
    </row>
    <row r="1810" spans="1:10" x14ac:dyDescent="0.3">
      <c r="A1810" t="str">
        <f t="shared" si="56"/>
        <v>TPG</v>
      </c>
      <c r="B1810">
        <f t="shared" si="57"/>
        <v>11527</v>
      </c>
      <c r="D1810" s="1"/>
      <c r="E1810" s="1" t="s">
        <v>97</v>
      </c>
      <c r="F1810" s="1">
        <v>132</v>
      </c>
      <c r="G1810" s="1">
        <v>5</v>
      </c>
      <c r="H1810" s="1">
        <v>11.9</v>
      </c>
      <c r="I1810" s="1"/>
      <c r="J1810" s="1"/>
    </row>
    <row r="1811" spans="1:10" x14ac:dyDescent="0.3">
      <c r="A1811" t="str">
        <f t="shared" si="56"/>
        <v>TPG</v>
      </c>
      <c r="B1811">
        <f t="shared" si="57"/>
        <v>5827</v>
      </c>
      <c r="D1811" s="1"/>
      <c r="E1811" s="1" t="s">
        <v>139</v>
      </c>
      <c r="F1811" s="1">
        <v>133</v>
      </c>
      <c r="G1811" s="1">
        <v>3</v>
      </c>
      <c r="H1811" s="1">
        <v>11.9</v>
      </c>
      <c r="I1811" s="1"/>
      <c r="J1811" s="1"/>
    </row>
    <row r="1812" spans="1:10" x14ac:dyDescent="0.3">
      <c r="A1812" t="str">
        <f t="shared" si="56"/>
        <v>TPG</v>
      </c>
      <c r="B1812">
        <f t="shared" si="57"/>
        <v>3527</v>
      </c>
      <c r="D1812" s="1"/>
      <c r="E1812" s="1" t="s">
        <v>87</v>
      </c>
      <c r="F1812" s="1">
        <v>137</v>
      </c>
      <c r="G1812" s="1">
        <v>5</v>
      </c>
      <c r="H1812" s="1">
        <v>12</v>
      </c>
      <c r="I1812" s="1"/>
      <c r="J1812" s="1"/>
    </row>
    <row r="1813" spans="1:10" x14ac:dyDescent="0.3">
      <c r="A1813" t="str">
        <f t="shared" si="56"/>
        <v>TPG</v>
      </c>
      <c r="B1813">
        <f t="shared" si="57"/>
        <v>5427</v>
      </c>
      <c r="D1813" s="1"/>
      <c r="E1813" s="1" t="s">
        <v>94</v>
      </c>
      <c r="F1813" s="1">
        <v>138</v>
      </c>
      <c r="G1813" s="1">
        <v>11</v>
      </c>
      <c r="H1813" s="1">
        <v>12</v>
      </c>
      <c r="I1813" s="1"/>
      <c r="J1813" s="1"/>
    </row>
    <row r="1814" spans="1:10" x14ac:dyDescent="0.3">
      <c r="A1814" t="str">
        <f t="shared" si="56"/>
        <v>TPG</v>
      </c>
      <c r="B1814">
        <f t="shared" si="57"/>
        <v>3427</v>
      </c>
      <c r="D1814" s="1"/>
      <c r="E1814" s="1" t="s">
        <v>237</v>
      </c>
      <c r="F1814" s="1">
        <v>143</v>
      </c>
      <c r="G1814" s="1">
        <v>2</v>
      </c>
      <c r="H1814" s="1">
        <v>12</v>
      </c>
      <c r="I1814" s="1"/>
      <c r="J1814" s="1"/>
    </row>
    <row r="1815" spans="1:10" x14ac:dyDescent="0.3">
      <c r="A1815" t="str">
        <f t="shared" si="56"/>
        <v>TPG</v>
      </c>
      <c r="B1815">
        <f t="shared" si="57"/>
        <v>3227</v>
      </c>
      <c r="D1815" s="1"/>
      <c r="E1815" s="1" t="s">
        <v>127</v>
      </c>
      <c r="F1815" s="1">
        <v>156</v>
      </c>
      <c r="G1815" s="1">
        <v>3</v>
      </c>
      <c r="H1815" s="1">
        <v>12.1</v>
      </c>
      <c r="I1815" s="1"/>
      <c r="J1815" s="1"/>
    </row>
    <row r="1816" spans="1:10" x14ac:dyDescent="0.3">
      <c r="A1816" t="str">
        <f t="shared" si="56"/>
        <v>TPG</v>
      </c>
      <c r="B1816">
        <f t="shared" si="57"/>
        <v>1427</v>
      </c>
      <c r="D1816" s="1"/>
      <c r="E1816" s="1" t="s">
        <v>102</v>
      </c>
      <c r="F1816" s="1">
        <v>158</v>
      </c>
      <c r="G1816" s="1">
        <v>9</v>
      </c>
      <c r="H1816" s="1">
        <v>12.2</v>
      </c>
      <c r="I1816" s="1"/>
      <c r="J1816" s="1"/>
    </row>
    <row r="1817" spans="1:10" x14ac:dyDescent="0.3">
      <c r="A1817" t="str">
        <f t="shared" si="56"/>
        <v>TPG</v>
      </c>
      <c r="B1817">
        <f t="shared" si="57"/>
        <v>4527</v>
      </c>
      <c r="D1817" s="1"/>
      <c r="E1817" s="1" t="s">
        <v>84</v>
      </c>
      <c r="F1817" s="1">
        <v>159</v>
      </c>
      <c r="G1817" s="1">
        <v>6</v>
      </c>
      <c r="H1817" s="1">
        <v>12.2</v>
      </c>
      <c r="I1817" s="1"/>
      <c r="J1817" s="1"/>
    </row>
    <row r="1818" spans="1:10" x14ac:dyDescent="0.3">
      <c r="A1818" t="str">
        <f t="shared" si="56"/>
        <v>TPG</v>
      </c>
      <c r="B1818">
        <f t="shared" si="57"/>
        <v>19027</v>
      </c>
      <c r="D1818" s="1"/>
      <c r="E1818" s="1" t="s">
        <v>176</v>
      </c>
      <c r="F1818" s="1">
        <v>164</v>
      </c>
      <c r="G1818" s="1">
        <v>8</v>
      </c>
      <c r="H1818" s="1">
        <v>12.2</v>
      </c>
      <c r="I1818" s="1"/>
      <c r="J1818" s="1"/>
    </row>
    <row r="1819" spans="1:10" x14ac:dyDescent="0.3">
      <c r="A1819" t="str">
        <f t="shared" si="56"/>
        <v>TPG</v>
      </c>
      <c r="B1819">
        <f t="shared" si="57"/>
        <v>3627</v>
      </c>
      <c r="D1819" s="1"/>
      <c r="E1819" s="1" t="s">
        <v>129</v>
      </c>
      <c r="F1819" s="1">
        <v>179</v>
      </c>
      <c r="G1819" s="1">
        <v>9</v>
      </c>
      <c r="H1819" s="1">
        <v>12.3</v>
      </c>
      <c r="I1819" s="1"/>
      <c r="J1819" s="1"/>
    </row>
    <row r="1820" spans="1:10" x14ac:dyDescent="0.3">
      <c r="A1820" t="str">
        <f t="shared" si="56"/>
        <v>TPG</v>
      </c>
      <c r="B1820">
        <f t="shared" si="57"/>
        <v>3927</v>
      </c>
      <c r="D1820" s="1"/>
      <c r="E1820" s="1" t="s">
        <v>88</v>
      </c>
      <c r="F1820" s="1">
        <v>182</v>
      </c>
      <c r="G1820" s="1">
        <v>4</v>
      </c>
      <c r="H1820" s="1">
        <v>12.3</v>
      </c>
      <c r="I1820" s="1"/>
      <c r="J1820" s="1"/>
    </row>
    <row r="1821" spans="1:10" x14ac:dyDescent="0.3">
      <c r="A1821" t="str">
        <f t="shared" si="56"/>
        <v>TPG</v>
      </c>
      <c r="B1821">
        <f t="shared" si="57"/>
        <v>18627</v>
      </c>
      <c r="D1821" s="1"/>
      <c r="E1821" s="1" t="s">
        <v>425</v>
      </c>
      <c r="F1821" s="1">
        <v>185</v>
      </c>
      <c r="G1821" s="1">
        <v>10</v>
      </c>
      <c r="H1821" s="1">
        <v>12.4</v>
      </c>
      <c r="I1821" s="1"/>
      <c r="J1821" s="1"/>
    </row>
    <row r="1822" spans="1:10" x14ac:dyDescent="0.3">
      <c r="A1822" t="str">
        <f t="shared" si="56"/>
        <v>TPG</v>
      </c>
      <c r="B1822">
        <f t="shared" si="57"/>
        <v>7427</v>
      </c>
      <c r="D1822" s="1"/>
      <c r="E1822" s="1" t="s">
        <v>251</v>
      </c>
      <c r="F1822" s="1">
        <v>186</v>
      </c>
      <c r="G1822" s="1">
        <v>7</v>
      </c>
      <c r="H1822" s="1">
        <v>12.4</v>
      </c>
      <c r="I1822" s="1"/>
      <c r="J1822" s="1"/>
    </row>
    <row r="1823" spans="1:10" x14ac:dyDescent="0.3">
      <c r="A1823" t="str">
        <f t="shared" si="56"/>
        <v>TPG</v>
      </c>
      <c r="B1823">
        <f t="shared" si="57"/>
        <v>2427</v>
      </c>
      <c r="D1823" s="1"/>
      <c r="E1823" s="1" t="s">
        <v>330</v>
      </c>
      <c r="F1823" s="1">
        <v>187</v>
      </c>
      <c r="G1823" s="1">
        <v>6</v>
      </c>
      <c r="H1823" s="1">
        <v>12.4</v>
      </c>
      <c r="I1823" s="1"/>
      <c r="J1823" s="1"/>
    </row>
    <row r="1824" spans="1:10" x14ac:dyDescent="0.3">
      <c r="A1824" t="str">
        <f t="shared" si="56"/>
        <v>TPG</v>
      </c>
      <c r="B1824">
        <f t="shared" si="57"/>
        <v>8127</v>
      </c>
      <c r="D1824" s="1"/>
      <c r="E1824" s="1" t="s">
        <v>256</v>
      </c>
      <c r="F1824" s="1">
        <v>212</v>
      </c>
      <c r="G1824" s="1">
        <v>10</v>
      </c>
      <c r="H1824" s="1">
        <v>12.7</v>
      </c>
      <c r="I1824" s="1"/>
      <c r="J1824" s="1"/>
    </row>
    <row r="1825" spans="1:10" x14ac:dyDescent="0.3">
      <c r="A1825" t="str">
        <f t="shared" si="56"/>
        <v>TPG</v>
      </c>
      <c r="B1825">
        <f t="shared" si="57"/>
        <v>1627</v>
      </c>
      <c r="D1825" s="1"/>
      <c r="E1825" s="1" t="s">
        <v>137</v>
      </c>
      <c r="F1825" s="1">
        <v>218</v>
      </c>
      <c r="G1825" s="1">
        <v>11</v>
      </c>
      <c r="H1825" s="1">
        <v>12.8</v>
      </c>
      <c r="I1825" s="1"/>
      <c r="J1825" s="1"/>
    </row>
    <row r="1826" spans="1:10" x14ac:dyDescent="0.3">
      <c r="A1826" t="str">
        <f t="shared" si="56"/>
        <v>TPG</v>
      </c>
      <c r="B1826">
        <f t="shared" si="57"/>
        <v>18327</v>
      </c>
      <c r="D1826" s="1"/>
      <c r="E1826" s="1" t="s">
        <v>423</v>
      </c>
      <c r="F1826" s="1">
        <v>220</v>
      </c>
      <c r="G1826" s="1">
        <v>3</v>
      </c>
      <c r="H1826" s="1">
        <v>12.8</v>
      </c>
      <c r="I1826" s="1"/>
      <c r="J1826" s="1"/>
    </row>
    <row r="1827" spans="1:10" x14ac:dyDescent="0.3">
      <c r="A1827" t="str">
        <f t="shared" si="56"/>
        <v>TPG</v>
      </c>
      <c r="B1827">
        <f t="shared" si="57"/>
        <v>2327</v>
      </c>
      <c r="D1827" s="1"/>
      <c r="E1827" s="1" t="s">
        <v>79</v>
      </c>
      <c r="F1827" s="1">
        <v>227</v>
      </c>
      <c r="G1827" s="1">
        <v>8</v>
      </c>
      <c r="H1827" s="1">
        <v>12.9</v>
      </c>
      <c r="I1827" s="1"/>
      <c r="J1827" s="1"/>
    </row>
    <row r="1828" spans="1:10" x14ac:dyDescent="0.3">
      <c r="A1828" t="str">
        <f t="shared" si="56"/>
        <v>TPG</v>
      </c>
      <c r="B1828">
        <f t="shared" si="57"/>
        <v>4327</v>
      </c>
      <c r="D1828" s="1"/>
      <c r="E1828" s="1" t="s">
        <v>125</v>
      </c>
      <c r="F1828" s="1">
        <v>231</v>
      </c>
      <c r="G1828" s="1">
        <v>13</v>
      </c>
      <c r="H1828" s="1">
        <v>12.9</v>
      </c>
      <c r="I1828" s="1"/>
      <c r="J1828" s="1"/>
    </row>
    <row r="1829" spans="1:10" x14ac:dyDescent="0.3">
      <c r="A1829" t="str">
        <f t="shared" si="56"/>
        <v>TPG</v>
      </c>
      <c r="B1829">
        <f t="shared" si="57"/>
        <v>627</v>
      </c>
      <c r="D1829" s="1"/>
      <c r="E1829" s="1" t="s">
        <v>100</v>
      </c>
      <c r="F1829" s="1">
        <v>233</v>
      </c>
      <c r="G1829" s="1">
        <v>5</v>
      </c>
      <c r="H1829" s="1">
        <v>12.9</v>
      </c>
      <c r="I1829" s="1"/>
      <c r="J1829" s="1"/>
    </row>
    <row r="1830" spans="1:10" x14ac:dyDescent="0.3">
      <c r="A1830" t="str">
        <f t="shared" si="56"/>
        <v>TPG</v>
      </c>
      <c r="B1830">
        <f t="shared" si="57"/>
        <v>13327</v>
      </c>
      <c r="D1830" s="1"/>
      <c r="E1830" s="1" t="s">
        <v>291</v>
      </c>
      <c r="F1830" s="1">
        <v>236</v>
      </c>
      <c r="G1830" s="1">
        <v>6</v>
      </c>
      <c r="H1830" s="1">
        <v>12.9</v>
      </c>
      <c r="I1830" s="1"/>
      <c r="J1830" s="1"/>
    </row>
    <row r="1831" spans="1:10" x14ac:dyDescent="0.3">
      <c r="A1831" t="str">
        <f t="shared" si="56"/>
        <v>TPG</v>
      </c>
      <c r="B1831">
        <f t="shared" si="57"/>
        <v>15227</v>
      </c>
      <c r="D1831" s="1"/>
      <c r="E1831" s="1" t="s">
        <v>426</v>
      </c>
      <c r="F1831" s="1">
        <v>240</v>
      </c>
      <c r="G1831" s="1">
        <v>6</v>
      </c>
      <c r="H1831" s="1">
        <v>13.1</v>
      </c>
      <c r="I1831" s="1"/>
      <c r="J1831" s="1"/>
    </row>
    <row r="1832" spans="1:10" x14ac:dyDescent="0.3">
      <c r="A1832" t="str">
        <f t="shared" si="56"/>
        <v>TPG</v>
      </c>
      <c r="B1832">
        <f t="shared" si="57"/>
        <v>6627</v>
      </c>
      <c r="D1832" s="1"/>
      <c r="E1832" s="1" t="s">
        <v>247</v>
      </c>
      <c r="F1832" s="1">
        <v>260</v>
      </c>
      <c r="G1832" s="1">
        <v>9</v>
      </c>
      <c r="H1832" s="1">
        <v>13.3</v>
      </c>
      <c r="I1832" s="1"/>
      <c r="J1832" s="1"/>
    </row>
    <row r="1833" spans="1:10" x14ac:dyDescent="0.3">
      <c r="A1833" t="str">
        <f t="shared" si="56"/>
        <v>TPG</v>
      </c>
      <c r="B1833">
        <f t="shared" si="57"/>
        <v>2927</v>
      </c>
      <c r="D1833" s="1"/>
      <c r="E1833" s="1" t="s">
        <v>96</v>
      </c>
      <c r="F1833" s="1">
        <v>266</v>
      </c>
      <c r="G1833" s="1">
        <v>10</v>
      </c>
      <c r="H1833" s="1">
        <v>13.4</v>
      </c>
      <c r="I1833" s="1"/>
      <c r="J1833" s="1"/>
    </row>
    <row r="1834" spans="1:10" x14ac:dyDescent="0.3">
      <c r="A1834" t="str">
        <f t="shared" si="56"/>
        <v>TPG</v>
      </c>
      <c r="B1834">
        <f t="shared" si="57"/>
        <v>12227</v>
      </c>
      <c r="D1834" s="1"/>
      <c r="E1834" s="1" t="s">
        <v>284</v>
      </c>
      <c r="F1834" s="1">
        <v>266</v>
      </c>
      <c r="G1834" s="1">
        <v>10</v>
      </c>
      <c r="H1834" s="1">
        <v>13.4</v>
      </c>
      <c r="I1834" s="1"/>
      <c r="J1834" s="1"/>
    </row>
    <row r="1835" spans="1:10" x14ac:dyDescent="0.3">
      <c r="A1835" t="str">
        <f t="shared" si="56"/>
        <v>TPG</v>
      </c>
      <c r="B1835">
        <f t="shared" si="57"/>
        <v>727</v>
      </c>
      <c r="D1835" s="1"/>
      <c r="E1835" s="1" t="s">
        <v>319</v>
      </c>
      <c r="F1835" s="1">
        <v>298</v>
      </c>
      <c r="G1835" s="1">
        <v>9</v>
      </c>
      <c r="H1835" s="1">
        <v>13.8</v>
      </c>
      <c r="I1835" s="1"/>
      <c r="J1835" s="1"/>
    </row>
    <row r="1836" spans="1:10" x14ac:dyDescent="0.3">
      <c r="A1836" t="str">
        <f t="shared" si="56"/>
        <v>TPG</v>
      </c>
      <c r="B1836">
        <f t="shared" si="57"/>
        <v>3727</v>
      </c>
      <c r="D1836" s="1"/>
      <c r="E1836" s="1" t="s">
        <v>115</v>
      </c>
      <c r="F1836" s="1">
        <v>299</v>
      </c>
      <c r="G1836" s="1">
        <v>14</v>
      </c>
      <c r="H1836" s="1">
        <v>13.8</v>
      </c>
      <c r="I1836" s="1"/>
      <c r="J1836" s="1"/>
    </row>
    <row r="1837" spans="1:10" x14ac:dyDescent="0.3">
      <c r="A1837" t="str">
        <f t="shared" si="56"/>
        <v>TPG</v>
      </c>
      <c r="B1837">
        <f t="shared" si="57"/>
        <v>18727</v>
      </c>
      <c r="D1837" s="1"/>
      <c r="E1837" s="1" t="s">
        <v>427</v>
      </c>
      <c r="F1837" s="1">
        <v>314</v>
      </c>
      <c r="G1837" s="1">
        <v>10</v>
      </c>
      <c r="H1837" s="1">
        <v>14.2</v>
      </c>
      <c r="I1837" s="1"/>
      <c r="J1837" s="1"/>
    </row>
    <row r="1838" spans="1:10" x14ac:dyDescent="0.3">
      <c r="A1838" t="str">
        <f t="shared" si="56"/>
        <v>TPG</v>
      </c>
      <c r="B1838">
        <f t="shared" si="57"/>
        <v>11827</v>
      </c>
      <c r="D1838" s="1"/>
      <c r="E1838" s="1" t="s">
        <v>281</v>
      </c>
      <c r="F1838" s="1">
        <v>324</v>
      </c>
      <c r="G1838" s="1">
        <v>6</v>
      </c>
      <c r="H1838" s="1">
        <v>14.6</v>
      </c>
      <c r="I1838" s="1"/>
      <c r="J1838" s="1"/>
    </row>
    <row r="1839" spans="1:10" x14ac:dyDescent="0.3">
      <c r="A1839" t="str">
        <f t="shared" si="56"/>
        <v>TPG</v>
      </c>
      <c r="B1839">
        <f t="shared" si="57"/>
        <v>8827</v>
      </c>
      <c r="D1839" s="1"/>
      <c r="E1839" s="1" t="s">
        <v>141</v>
      </c>
      <c r="F1839" s="1">
        <v>350</v>
      </c>
      <c r="G1839" s="1">
        <v>8</v>
      </c>
      <c r="H1839" s="1">
        <v>16.399999999999999</v>
      </c>
      <c r="I1839" s="1"/>
      <c r="J1839" s="1"/>
    </row>
    <row r="1840" spans="1:10" x14ac:dyDescent="0.3">
      <c r="A1840" t="e">
        <f t="shared" si="56"/>
        <v>#N/A</v>
      </c>
      <c r="B1840" t="e">
        <f t="shared" si="57"/>
        <v>#N/A</v>
      </c>
      <c r="D1840" s="1" t="s">
        <v>181</v>
      </c>
      <c r="E1840" s="1" t="s">
        <v>119</v>
      </c>
      <c r="F1840" s="1">
        <v>1</v>
      </c>
      <c r="G1840" s="1">
        <v>1</v>
      </c>
      <c r="H1840" s="1">
        <v>89.7</v>
      </c>
      <c r="I1840" s="1" t="s">
        <v>119</v>
      </c>
      <c r="J1840" s="1"/>
    </row>
    <row r="1841" spans="1:10" x14ac:dyDescent="0.3">
      <c r="A1841" t="e">
        <f t="shared" si="56"/>
        <v>#N/A</v>
      </c>
      <c r="B1841" t="e">
        <f t="shared" si="57"/>
        <v>#N/A</v>
      </c>
      <c r="D1841" s="1"/>
      <c r="E1841" s="1" t="s">
        <v>106</v>
      </c>
      <c r="F1841" s="1">
        <v>2</v>
      </c>
      <c r="G1841" s="1">
        <v>1</v>
      </c>
      <c r="H1841" s="1">
        <v>89.2</v>
      </c>
      <c r="I1841" s="1"/>
      <c r="J1841" s="1"/>
    </row>
    <row r="1842" spans="1:10" x14ac:dyDescent="0.3">
      <c r="A1842" t="e">
        <f t="shared" si="56"/>
        <v>#N/A</v>
      </c>
      <c r="B1842" t="e">
        <f t="shared" si="57"/>
        <v>#N/A</v>
      </c>
      <c r="D1842" s="1"/>
      <c r="E1842" s="1" t="s">
        <v>97</v>
      </c>
      <c r="F1842" s="1">
        <v>3</v>
      </c>
      <c r="G1842" s="1">
        <v>1</v>
      </c>
      <c r="H1842" s="1">
        <v>88.6</v>
      </c>
      <c r="I1842" s="1"/>
      <c r="J1842" s="1"/>
    </row>
    <row r="1843" spans="1:10" x14ac:dyDescent="0.3">
      <c r="A1843" t="e">
        <f t="shared" si="56"/>
        <v>#N/A</v>
      </c>
      <c r="B1843" t="e">
        <f t="shared" si="57"/>
        <v>#N/A</v>
      </c>
      <c r="D1843" s="1"/>
      <c r="E1843" s="1" t="s">
        <v>420</v>
      </c>
      <c r="F1843" s="1">
        <v>4</v>
      </c>
      <c r="G1843" s="1">
        <v>1</v>
      </c>
      <c r="H1843" s="1">
        <v>85.7</v>
      </c>
      <c r="I1843" s="1"/>
      <c r="J1843" s="1"/>
    </row>
    <row r="1844" spans="1:10" x14ac:dyDescent="0.3">
      <c r="A1844" t="e">
        <f t="shared" si="56"/>
        <v>#N/A</v>
      </c>
      <c r="B1844" t="e">
        <f t="shared" si="57"/>
        <v>#N/A</v>
      </c>
      <c r="D1844" s="1"/>
      <c r="E1844" s="1" t="s">
        <v>115</v>
      </c>
      <c r="F1844" s="1">
        <v>5</v>
      </c>
      <c r="G1844" s="1">
        <v>1</v>
      </c>
      <c r="H1844" s="1">
        <v>83.8</v>
      </c>
      <c r="I1844" s="1"/>
      <c r="J1844" s="1"/>
    </row>
    <row r="1845" spans="1:10" x14ac:dyDescent="0.3">
      <c r="A1845" t="e">
        <f t="shared" si="56"/>
        <v>#N/A</v>
      </c>
      <c r="B1845" t="e">
        <f t="shared" si="57"/>
        <v>#N/A</v>
      </c>
      <c r="D1845" s="1"/>
      <c r="E1845" s="1" t="s">
        <v>83</v>
      </c>
      <c r="F1845" s="1">
        <v>5</v>
      </c>
      <c r="G1845" s="1">
        <v>1</v>
      </c>
      <c r="H1845" s="1">
        <v>83.8</v>
      </c>
      <c r="I1845" s="1"/>
      <c r="J1845" s="1"/>
    </row>
    <row r="1846" spans="1:10" x14ac:dyDescent="0.3">
      <c r="A1846" t="e">
        <f t="shared" si="56"/>
        <v>#N/A</v>
      </c>
      <c r="B1846" t="e">
        <f t="shared" si="57"/>
        <v>#N/A</v>
      </c>
      <c r="D1846" s="1"/>
      <c r="E1846" s="1" t="s">
        <v>261</v>
      </c>
      <c r="F1846" s="1">
        <v>5</v>
      </c>
      <c r="G1846" s="1">
        <v>1</v>
      </c>
      <c r="H1846" s="1">
        <v>83.8</v>
      </c>
      <c r="I1846" s="1"/>
      <c r="J1846" s="1"/>
    </row>
    <row r="1847" spans="1:10" x14ac:dyDescent="0.3">
      <c r="A1847" t="e">
        <f t="shared" si="56"/>
        <v>#N/A</v>
      </c>
      <c r="B1847" t="e">
        <f t="shared" si="57"/>
        <v>#N/A</v>
      </c>
      <c r="D1847" s="1"/>
      <c r="E1847" s="1" t="s">
        <v>89</v>
      </c>
      <c r="F1847" s="1">
        <v>8</v>
      </c>
      <c r="G1847" s="1">
        <v>1</v>
      </c>
      <c r="H1847" s="1">
        <v>82.9</v>
      </c>
      <c r="I1847" s="1"/>
      <c r="J1847" s="1"/>
    </row>
    <row r="1848" spans="1:10" x14ac:dyDescent="0.3">
      <c r="A1848" t="e">
        <f t="shared" si="56"/>
        <v>#N/A</v>
      </c>
      <c r="B1848" t="e">
        <f t="shared" si="57"/>
        <v>#N/A</v>
      </c>
      <c r="D1848" s="1"/>
      <c r="E1848" s="1" t="s">
        <v>130</v>
      </c>
      <c r="F1848" s="1">
        <v>9</v>
      </c>
      <c r="G1848" s="1">
        <v>1</v>
      </c>
      <c r="H1848" s="1">
        <v>82.1</v>
      </c>
      <c r="I1848" s="1"/>
      <c r="J1848" s="1"/>
    </row>
    <row r="1849" spans="1:10" x14ac:dyDescent="0.3">
      <c r="A1849" t="e">
        <f t="shared" si="56"/>
        <v>#N/A</v>
      </c>
      <c r="B1849" t="e">
        <f t="shared" si="57"/>
        <v>#N/A</v>
      </c>
      <c r="D1849" s="1"/>
      <c r="E1849" s="1" t="s">
        <v>91</v>
      </c>
      <c r="F1849" s="1">
        <v>11</v>
      </c>
      <c r="G1849" s="1">
        <v>1</v>
      </c>
      <c r="H1849" s="1">
        <v>80.599999999999994</v>
      </c>
      <c r="I1849" s="1"/>
      <c r="J1849" s="1"/>
    </row>
    <row r="1850" spans="1:10" x14ac:dyDescent="0.3">
      <c r="A1850" t="e">
        <f t="shared" si="56"/>
        <v>#N/A</v>
      </c>
      <c r="B1850" t="e">
        <f t="shared" si="57"/>
        <v>#N/A</v>
      </c>
      <c r="D1850" s="1"/>
      <c r="E1850" s="1" t="s">
        <v>96</v>
      </c>
      <c r="F1850" s="1">
        <v>12</v>
      </c>
      <c r="G1850" s="1">
        <v>2</v>
      </c>
      <c r="H1850" s="1">
        <v>80</v>
      </c>
      <c r="I1850" s="1"/>
      <c r="J1850" s="1"/>
    </row>
    <row r="1851" spans="1:10" x14ac:dyDescent="0.3">
      <c r="A1851" t="e">
        <f t="shared" si="56"/>
        <v>#N/A</v>
      </c>
      <c r="B1851" t="e">
        <f t="shared" si="57"/>
        <v>#N/A</v>
      </c>
      <c r="D1851" s="1"/>
      <c r="E1851" s="1" t="s">
        <v>400</v>
      </c>
      <c r="F1851" s="1">
        <v>12</v>
      </c>
      <c r="G1851" s="1">
        <v>1</v>
      </c>
      <c r="H1851" s="1">
        <v>80</v>
      </c>
      <c r="I1851" s="1"/>
      <c r="J1851" s="1"/>
    </row>
    <row r="1852" spans="1:10" x14ac:dyDescent="0.3">
      <c r="A1852" t="e">
        <f t="shared" si="56"/>
        <v>#N/A</v>
      </c>
      <c r="B1852" t="e">
        <f t="shared" si="57"/>
        <v>#N/A</v>
      </c>
      <c r="D1852" s="1"/>
      <c r="E1852" s="1" t="s">
        <v>79</v>
      </c>
      <c r="F1852" s="1">
        <v>14</v>
      </c>
      <c r="G1852" s="1">
        <v>2</v>
      </c>
      <c r="H1852" s="1">
        <v>79.5</v>
      </c>
      <c r="I1852" s="1"/>
      <c r="J1852" s="1"/>
    </row>
    <row r="1853" spans="1:10" x14ac:dyDescent="0.3">
      <c r="A1853" t="e">
        <f t="shared" si="56"/>
        <v>#N/A</v>
      </c>
      <c r="B1853" t="e">
        <f t="shared" si="57"/>
        <v>#N/A</v>
      </c>
      <c r="D1853" s="1"/>
      <c r="E1853" s="1" t="s">
        <v>312</v>
      </c>
      <c r="F1853" s="1">
        <v>15</v>
      </c>
      <c r="G1853" s="1">
        <v>1</v>
      </c>
      <c r="H1853" s="1">
        <v>78.400000000000006</v>
      </c>
      <c r="I1853" s="1"/>
      <c r="J1853" s="1"/>
    </row>
    <row r="1854" spans="1:10" x14ac:dyDescent="0.3">
      <c r="A1854" t="e">
        <f t="shared" si="56"/>
        <v>#N/A</v>
      </c>
      <c r="B1854" t="e">
        <f t="shared" si="57"/>
        <v>#N/A</v>
      </c>
      <c r="D1854" s="1"/>
      <c r="E1854" s="1" t="s">
        <v>421</v>
      </c>
      <c r="F1854" s="1">
        <v>16</v>
      </c>
      <c r="G1854" s="1">
        <v>1</v>
      </c>
      <c r="H1854" s="1">
        <v>77.8</v>
      </c>
      <c r="I1854" s="1"/>
      <c r="J1854" s="1"/>
    </row>
    <row r="1855" spans="1:10" x14ac:dyDescent="0.3">
      <c r="A1855" t="e">
        <f t="shared" si="56"/>
        <v>#N/A</v>
      </c>
      <c r="B1855" t="e">
        <f t="shared" si="57"/>
        <v>#N/A</v>
      </c>
      <c r="D1855" s="1"/>
      <c r="E1855" s="1" t="s">
        <v>88</v>
      </c>
      <c r="F1855" s="1">
        <v>16</v>
      </c>
      <c r="G1855" s="1">
        <v>1</v>
      </c>
      <c r="H1855" s="1">
        <v>77.8</v>
      </c>
      <c r="I1855" s="1"/>
      <c r="J1855" s="1"/>
    </row>
    <row r="1856" spans="1:10" x14ac:dyDescent="0.3">
      <c r="A1856" t="e">
        <f t="shared" si="56"/>
        <v>#N/A</v>
      </c>
      <c r="B1856" t="e">
        <f t="shared" si="57"/>
        <v>#N/A</v>
      </c>
      <c r="D1856" s="1"/>
      <c r="E1856" s="1" t="s">
        <v>85</v>
      </c>
      <c r="F1856" s="1">
        <v>18</v>
      </c>
      <c r="G1856" s="1">
        <v>1</v>
      </c>
      <c r="H1856" s="1">
        <v>77.099999999999994</v>
      </c>
      <c r="I1856" s="1"/>
      <c r="J1856" s="1"/>
    </row>
    <row r="1857" spans="1:10" x14ac:dyDescent="0.3">
      <c r="A1857" t="e">
        <f t="shared" si="56"/>
        <v>#N/A</v>
      </c>
      <c r="B1857" t="e">
        <f t="shared" si="57"/>
        <v>#N/A</v>
      </c>
      <c r="D1857" s="1"/>
      <c r="E1857" s="1" t="s">
        <v>259</v>
      </c>
      <c r="F1857" s="1">
        <v>18</v>
      </c>
      <c r="G1857" s="1">
        <v>1</v>
      </c>
      <c r="H1857" s="1">
        <v>77.099999999999994</v>
      </c>
      <c r="I1857" s="1"/>
      <c r="J1857" s="1"/>
    </row>
    <row r="1858" spans="1:10" x14ac:dyDescent="0.3">
      <c r="A1858" t="e">
        <f t="shared" ref="A1858:A1907" si="58">IF(NOT(D1858=""),INDEX(statAbbr,MATCH(D1858,statOfficial,0),1),A1857)</f>
        <v>#N/A</v>
      </c>
      <c r="B1858" t="e">
        <f t="shared" ref="B1858:B1907" si="59">INDEX(statID,MATCH(A1858,statAbbr,0),1)+INDEX(teamID,MATCH(E1858,teamRawName,0))</f>
        <v>#N/A</v>
      </c>
      <c r="D1858" s="1"/>
      <c r="E1858" s="1" t="s">
        <v>92</v>
      </c>
      <c r="F1858" s="1">
        <v>18</v>
      </c>
      <c r="G1858" s="1">
        <v>2</v>
      </c>
      <c r="H1858" s="1">
        <v>77.099999999999994</v>
      </c>
      <c r="I1858" s="1"/>
      <c r="J1858" s="1"/>
    </row>
    <row r="1859" spans="1:10" x14ac:dyDescent="0.3">
      <c r="A1859" t="e">
        <f t="shared" si="58"/>
        <v>#N/A</v>
      </c>
      <c r="B1859" t="e">
        <f t="shared" si="59"/>
        <v>#N/A</v>
      </c>
      <c r="D1859" s="1"/>
      <c r="E1859" s="1" t="s">
        <v>422</v>
      </c>
      <c r="F1859" s="1">
        <v>18</v>
      </c>
      <c r="G1859" s="1">
        <v>1</v>
      </c>
      <c r="H1859" s="1">
        <v>77.099999999999994</v>
      </c>
      <c r="I1859" s="1"/>
      <c r="J1859" s="1"/>
    </row>
    <row r="1860" spans="1:10" x14ac:dyDescent="0.3">
      <c r="A1860" t="e">
        <f t="shared" si="58"/>
        <v>#N/A</v>
      </c>
      <c r="B1860" t="e">
        <f t="shared" si="59"/>
        <v>#N/A</v>
      </c>
      <c r="D1860" s="1"/>
      <c r="E1860" s="1" t="s">
        <v>427</v>
      </c>
      <c r="F1860" s="1">
        <v>18</v>
      </c>
      <c r="G1860" s="1">
        <v>1</v>
      </c>
      <c r="H1860" s="1">
        <v>77.099999999999994</v>
      </c>
      <c r="I1860" s="1"/>
      <c r="J1860" s="1"/>
    </row>
    <row r="1861" spans="1:10" x14ac:dyDescent="0.3">
      <c r="A1861" t="e">
        <f t="shared" si="58"/>
        <v>#N/A</v>
      </c>
      <c r="B1861" t="e">
        <f t="shared" si="59"/>
        <v>#N/A</v>
      </c>
      <c r="D1861" s="1"/>
      <c r="E1861" s="1" t="s">
        <v>284</v>
      </c>
      <c r="F1861" s="1">
        <v>18</v>
      </c>
      <c r="G1861" s="1">
        <v>1</v>
      </c>
      <c r="H1861" s="1">
        <v>77.099999999999994</v>
      </c>
      <c r="I1861" s="1"/>
      <c r="J1861" s="1"/>
    </row>
    <row r="1862" spans="1:10" x14ac:dyDescent="0.3">
      <c r="A1862" t="e">
        <f t="shared" si="58"/>
        <v>#N/A</v>
      </c>
      <c r="B1862" t="e">
        <f t="shared" si="59"/>
        <v>#N/A</v>
      </c>
      <c r="D1862" s="1"/>
      <c r="E1862" s="1" t="s">
        <v>176</v>
      </c>
      <c r="F1862" s="1">
        <v>25</v>
      </c>
      <c r="G1862" s="1">
        <v>1</v>
      </c>
      <c r="H1862" s="1">
        <v>76.5</v>
      </c>
      <c r="I1862" s="1"/>
      <c r="J1862" s="1"/>
    </row>
    <row r="1863" spans="1:10" x14ac:dyDescent="0.3">
      <c r="A1863" t="e">
        <f t="shared" si="58"/>
        <v>#N/A</v>
      </c>
      <c r="B1863" t="e">
        <f t="shared" si="59"/>
        <v>#N/A</v>
      </c>
      <c r="D1863" s="1"/>
      <c r="E1863" s="1" t="s">
        <v>118</v>
      </c>
      <c r="F1863" s="1">
        <v>28</v>
      </c>
      <c r="G1863" s="1">
        <v>2</v>
      </c>
      <c r="H1863" s="1">
        <v>76.3</v>
      </c>
      <c r="I1863" s="1"/>
      <c r="J1863" s="1"/>
    </row>
    <row r="1864" spans="1:10" x14ac:dyDescent="0.3">
      <c r="A1864" t="e">
        <f t="shared" si="58"/>
        <v>#N/A</v>
      </c>
      <c r="B1864" t="e">
        <f t="shared" si="59"/>
        <v>#N/A</v>
      </c>
      <c r="D1864" s="1"/>
      <c r="E1864" s="1" t="s">
        <v>80</v>
      </c>
      <c r="F1864" s="1">
        <v>29</v>
      </c>
      <c r="G1864" s="1">
        <v>2</v>
      </c>
      <c r="H1864" s="1">
        <v>75.8</v>
      </c>
      <c r="I1864" s="1"/>
      <c r="J1864" s="1"/>
    </row>
    <row r="1865" spans="1:10" x14ac:dyDescent="0.3">
      <c r="A1865" t="e">
        <f t="shared" si="58"/>
        <v>#N/A</v>
      </c>
      <c r="B1865" t="e">
        <f t="shared" si="59"/>
        <v>#N/A</v>
      </c>
      <c r="D1865" s="1"/>
      <c r="E1865" s="1" t="s">
        <v>94</v>
      </c>
      <c r="F1865" s="1">
        <v>33</v>
      </c>
      <c r="G1865" s="1">
        <v>3</v>
      </c>
      <c r="H1865" s="1">
        <v>75</v>
      </c>
      <c r="I1865" s="1"/>
      <c r="J1865" s="1"/>
    </row>
    <row r="1866" spans="1:10" x14ac:dyDescent="0.3">
      <c r="A1866" t="e">
        <f t="shared" si="58"/>
        <v>#N/A</v>
      </c>
      <c r="B1866" t="e">
        <f t="shared" si="59"/>
        <v>#N/A</v>
      </c>
      <c r="D1866" s="1"/>
      <c r="E1866" s="1" t="s">
        <v>109</v>
      </c>
      <c r="F1866" s="1">
        <v>37</v>
      </c>
      <c r="G1866" s="1">
        <v>1</v>
      </c>
      <c r="H1866" s="1">
        <v>74.3</v>
      </c>
      <c r="I1866" s="1"/>
      <c r="J1866" s="1"/>
    </row>
    <row r="1867" spans="1:10" x14ac:dyDescent="0.3">
      <c r="A1867" t="e">
        <f t="shared" si="58"/>
        <v>#N/A</v>
      </c>
      <c r="B1867" t="e">
        <f t="shared" si="59"/>
        <v>#N/A</v>
      </c>
      <c r="D1867" s="1"/>
      <c r="E1867" s="1" t="s">
        <v>425</v>
      </c>
      <c r="F1867" s="1">
        <v>37</v>
      </c>
      <c r="G1867" s="1">
        <v>2</v>
      </c>
      <c r="H1867" s="1">
        <v>74.3</v>
      </c>
      <c r="I1867" s="1"/>
      <c r="J1867" s="1"/>
    </row>
    <row r="1868" spans="1:10" x14ac:dyDescent="0.3">
      <c r="A1868" t="e">
        <f t="shared" si="58"/>
        <v>#N/A</v>
      </c>
      <c r="B1868" t="e">
        <f t="shared" si="59"/>
        <v>#N/A</v>
      </c>
      <c r="D1868" s="1"/>
      <c r="E1868" s="1" t="s">
        <v>247</v>
      </c>
      <c r="F1868" s="1">
        <v>37</v>
      </c>
      <c r="G1868" s="1">
        <v>2</v>
      </c>
      <c r="H1868" s="1">
        <v>74.3</v>
      </c>
      <c r="I1868" s="1"/>
      <c r="J1868" s="1"/>
    </row>
    <row r="1869" spans="1:10" x14ac:dyDescent="0.3">
      <c r="A1869" t="e">
        <f t="shared" si="58"/>
        <v>#N/A</v>
      </c>
      <c r="B1869" t="e">
        <f t="shared" si="59"/>
        <v>#N/A</v>
      </c>
      <c r="D1869" s="1"/>
      <c r="E1869" s="1" t="s">
        <v>102</v>
      </c>
      <c r="F1869" s="1">
        <v>37</v>
      </c>
      <c r="G1869" s="1">
        <v>2</v>
      </c>
      <c r="H1869" s="1">
        <v>74.3</v>
      </c>
      <c r="I1869" s="1"/>
      <c r="J1869" s="1"/>
    </row>
    <row r="1870" spans="1:10" x14ac:dyDescent="0.3">
      <c r="A1870" t="e">
        <f t="shared" si="58"/>
        <v>#N/A</v>
      </c>
      <c r="B1870" t="e">
        <f t="shared" si="59"/>
        <v>#N/A</v>
      </c>
      <c r="D1870" s="1"/>
      <c r="E1870" s="1" t="s">
        <v>251</v>
      </c>
      <c r="F1870" s="1">
        <v>41</v>
      </c>
      <c r="G1870" s="1">
        <v>3</v>
      </c>
      <c r="H1870" s="1">
        <v>73</v>
      </c>
      <c r="I1870" s="1"/>
      <c r="J1870" s="1"/>
    </row>
    <row r="1871" spans="1:10" x14ac:dyDescent="0.3">
      <c r="A1871" t="e">
        <f t="shared" si="58"/>
        <v>#N/A</v>
      </c>
      <c r="B1871" t="e">
        <f t="shared" si="59"/>
        <v>#N/A</v>
      </c>
      <c r="D1871" s="1"/>
      <c r="E1871" s="1" t="s">
        <v>319</v>
      </c>
      <c r="F1871" s="1">
        <v>43</v>
      </c>
      <c r="G1871" s="1">
        <v>3</v>
      </c>
      <c r="H1871" s="1">
        <v>72.2</v>
      </c>
      <c r="I1871" s="1"/>
      <c r="J1871" s="1"/>
    </row>
    <row r="1872" spans="1:10" x14ac:dyDescent="0.3">
      <c r="A1872" t="e">
        <f t="shared" si="58"/>
        <v>#N/A</v>
      </c>
      <c r="B1872" t="e">
        <f t="shared" si="59"/>
        <v>#N/A</v>
      </c>
      <c r="D1872" s="1"/>
      <c r="E1872" s="1" t="s">
        <v>237</v>
      </c>
      <c r="F1872" s="1">
        <v>44</v>
      </c>
      <c r="G1872" s="1">
        <v>1</v>
      </c>
      <c r="H1872" s="1">
        <v>71.900000000000006</v>
      </c>
      <c r="I1872" s="1"/>
      <c r="J1872" s="1"/>
    </row>
    <row r="1873" spans="1:10" x14ac:dyDescent="0.3">
      <c r="A1873" t="e">
        <f t="shared" si="58"/>
        <v>#N/A</v>
      </c>
      <c r="B1873" t="e">
        <f t="shared" si="59"/>
        <v>#N/A</v>
      </c>
      <c r="D1873" s="1"/>
      <c r="E1873" s="1" t="s">
        <v>299</v>
      </c>
      <c r="F1873" s="1">
        <v>45</v>
      </c>
      <c r="G1873" s="1">
        <v>2</v>
      </c>
      <c r="H1873" s="1">
        <v>71.400000000000006</v>
      </c>
      <c r="I1873" s="1"/>
      <c r="J1873" s="1"/>
    </row>
    <row r="1874" spans="1:10" x14ac:dyDescent="0.3">
      <c r="A1874" t="e">
        <f t="shared" si="58"/>
        <v>#N/A</v>
      </c>
      <c r="B1874" t="e">
        <f t="shared" si="59"/>
        <v>#N/A</v>
      </c>
      <c r="D1874" s="1"/>
      <c r="E1874" s="1" t="s">
        <v>135</v>
      </c>
      <c r="F1874" s="1">
        <v>45</v>
      </c>
      <c r="G1874" s="1">
        <v>1</v>
      </c>
      <c r="H1874" s="1">
        <v>71.400000000000006</v>
      </c>
      <c r="I1874" s="1"/>
      <c r="J1874" s="1"/>
    </row>
    <row r="1875" spans="1:10" x14ac:dyDescent="0.3">
      <c r="A1875" t="e">
        <f t="shared" si="58"/>
        <v>#N/A</v>
      </c>
      <c r="B1875" t="e">
        <f t="shared" si="59"/>
        <v>#N/A</v>
      </c>
      <c r="D1875" s="1"/>
      <c r="E1875" s="1" t="s">
        <v>129</v>
      </c>
      <c r="F1875" s="1">
        <v>45</v>
      </c>
      <c r="G1875" s="1">
        <v>2</v>
      </c>
      <c r="H1875" s="1">
        <v>71.400000000000006</v>
      </c>
      <c r="I1875" s="1"/>
      <c r="J1875" s="1"/>
    </row>
    <row r="1876" spans="1:10" x14ac:dyDescent="0.3">
      <c r="A1876" t="e">
        <f t="shared" si="58"/>
        <v>#N/A</v>
      </c>
      <c r="B1876" t="e">
        <f t="shared" si="59"/>
        <v>#N/A</v>
      </c>
      <c r="D1876" s="1"/>
      <c r="E1876" s="1" t="s">
        <v>136</v>
      </c>
      <c r="F1876" s="1">
        <v>50</v>
      </c>
      <c r="G1876" s="1">
        <v>3</v>
      </c>
      <c r="H1876" s="1">
        <v>70.599999999999994</v>
      </c>
      <c r="I1876" s="1"/>
      <c r="J1876" s="1"/>
    </row>
    <row r="1877" spans="1:10" x14ac:dyDescent="0.3">
      <c r="A1877" t="e">
        <f t="shared" si="58"/>
        <v>#N/A</v>
      </c>
      <c r="B1877" t="e">
        <f t="shared" si="59"/>
        <v>#N/A</v>
      </c>
      <c r="D1877" s="1"/>
      <c r="E1877" s="1" t="s">
        <v>87</v>
      </c>
      <c r="F1877" s="1">
        <v>56</v>
      </c>
      <c r="G1877" s="1">
        <v>4</v>
      </c>
      <c r="H1877" s="1">
        <v>69.400000000000006</v>
      </c>
      <c r="I1877" s="1"/>
      <c r="J1877" s="1"/>
    </row>
    <row r="1878" spans="1:10" x14ac:dyDescent="0.3">
      <c r="A1878" t="e">
        <f t="shared" si="58"/>
        <v>#N/A</v>
      </c>
      <c r="B1878" t="e">
        <f t="shared" si="59"/>
        <v>#N/A</v>
      </c>
      <c r="D1878" s="1"/>
      <c r="E1878" s="1" t="s">
        <v>423</v>
      </c>
      <c r="F1878" s="1">
        <v>57</v>
      </c>
      <c r="G1878" s="1">
        <v>1</v>
      </c>
      <c r="H1878" s="1">
        <v>68.599999999999994</v>
      </c>
      <c r="I1878" s="1"/>
      <c r="J1878" s="1"/>
    </row>
    <row r="1879" spans="1:10" x14ac:dyDescent="0.3">
      <c r="A1879" t="e">
        <f t="shared" si="58"/>
        <v>#N/A</v>
      </c>
      <c r="B1879" t="e">
        <f t="shared" si="59"/>
        <v>#N/A</v>
      </c>
      <c r="D1879" s="1"/>
      <c r="E1879" s="1" t="s">
        <v>127</v>
      </c>
      <c r="F1879" s="1">
        <v>58</v>
      </c>
      <c r="G1879" s="1">
        <v>4</v>
      </c>
      <c r="H1879" s="1">
        <v>67.599999999999994</v>
      </c>
      <c r="I1879" s="1"/>
      <c r="J1879" s="1"/>
    </row>
    <row r="1880" spans="1:10" x14ac:dyDescent="0.3">
      <c r="A1880" t="e">
        <f t="shared" si="58"/>
        <v>#N/A</v>
      </c>
      <c r="B1880" t="e">
        <f t="shared" si="59"/>
        <v>#N/A</v>
      </c>
      <c r="D1880" s="1"/>
      <c r="E1880" s="1" t="s">
        <v>112</v>
      </c>
      <c r="F1880" s="1">
        <v>58</v>
      </c>
      <c r="G1880" s="1">
        <v>4</v>
      </c>
      <c r="H1880" s="1">
        <v>67.599999999999994</v>
      </c>
      <c r="I1880" s="1"/>
      <c r="J1880" s="1"/>
    </row>
    <row r="1881" spans="1:10" x14ac:dyDescent="0.3">
      <c r="A1881" t="e">
        <f t="shared" si="58"/>
        <v>#N/A</v>
      </c>
      <c r="B1881" t="e">
        <f t="shared" si="59"/>
        <v>#N/A</v>
      </c>
      <c r="D1881" s="1"/>
      <c r="E1881" s="1" t="s">
        <v>103</v>
      </c>
      <c r="F1881" s="1">
        <v>58</v>
      </c>
      <c r="G1881" s="1">
        <v>2</v>
      </c>
      <c r="H1881" s="1">
        <v>67.599999999999994</v>
      </c>
      <c r="I1881" s="1"/>
      <c r="J1881" s="1"/>
    </row>
    <row r="1882" spans="1:10" x14ac:dyDescent="0.3">
      <c r="A1882" t="e">
        <f t="shared" si="58"/>
        <v>#N/A</v>
      </c>
      <c r="B1882" t="e">
        <f t="shared" si="59"/>
        <v>#N/A</v>
      </c>
      <c r="D1882" s="1"/>
      <c r="E1882" s="1" t="s">
        <v>139</v>
      </c>
      <c r="F1882" s="1">
        <v>63</v>
      </c>
      <c r="G1882" s="1">
        <v>3</v>
      </c>
      <c r="H1882" s="1">
        <v>66.7</v>
      </c>
      <c r="I1882" s="1"/>
      <c r="J1882" s="1"/>
    </row>
    <row r="1883" spans="1:10" x14ac:dyDescent="0.3">
      <c r="A1883" t="e">
        <f t="shared" si="58"/>
        <v>#N/A</v>
      </c>
      <c r="B1883" t="e">
        <f t="shared" si="59"/>
        <v>#N/A</v>
      </c>
      <c r="D1883" s="1"/>
      <c r="E1883" s="1" t="s">
        <v>242</v>
      </c>
      <c r="F1883" s="1">
        <v>63</v>
      </c>
      <c r="G1883" s="1">
        <v>6</v>
      </c>
      <c r="H1883" s="1">
        <v>66.7</v>
      </c>
      <c r="I1883" s="1"/>
      <c r="J1883" s="1"/>
    </row>
    <row r="1884" spans="1:10" x14ac:dyDescent="0.3">
      <c r="A1884" t="e">
        <f t="shared" si="58"/>
        <v>#N/A</v>
      </c>
      <c r="B1884" t="e">
        <f t="shared" si="59"/>
        <v>#N/A</v>
      </c>
      <c r="D1884" s="1"/>
      <c r="E1884" s="1" t="s">
        <v>101</v>
      </c>
      <c r="F1884" s="1">
        <v>63</v>
      </c>
      <c r="G1884" s="1">
        <v>4</v>
      </c>
      <c r="H1884" s="1">
        <v>66.7</v>
      </c>
      <c r="I1884" s="1"/>
      <c r="J1884" s="1"/>
    </row>
    <row r="1885" spans="1:10" x14ac:dyDescent="0.3">
      <c r="A1885" t="e">
        <f t="shared" si="58"/>
        <v>#N/A</v>
      </c>
      <c r="B1885" t="e">
        <f t="shared" si="59"/>
        <v>#N/A</v>
      </c>
      <c r="D1885" s="1"/>
      <c r="E1885" s="1" t="s">
        <v>330</v>
      </c>
      <c r="F1885" s="1">
        <v>63</v>
      </c>
      <c r="G1885" s="1">
        <v>3</v>
      </c>
      <c r="H1885" s="1">
        <v>66.7</v>
      </c>
      <c r="I1885" s="1"/>
      <c r="J1885" s="1"/>
    </row>
    <row r="1886" spans="1:10" x14ac:dyDescent="0.3">
      <c r="A1886" t="e">
        <f t="shared" si="58"/>
        <v>#N/A</v>
      </c>
      <c r="B1886" t="e">
        <f t="shared" si="59"/>
        <v>#N/A</v>
      </c>
      <c r="D1886" s="1"/>
      <c r="E1886" s="1" t="s">
        <v>264</v>
      </c>
      <c r="F1886" s="1">
        <v>72</v>
      </c>
      <c r="G1886" s="1">
        <v>2</v>
      </c>
      <c r="H1886" s="1">
        <v>65.7</v>
      </c>
      <c r="I1886" s="1"/>
      <c r="J1886" s="1"/>
    </row>
    <row r="1887" spans="1:10" x14ac:dyDescent="0.3">
      <c r="A1887" t="e">
        <f t="shared" si="58"/>
        <v>#N/A</v>
      </c>
      <c r="B1887" t="e">
        <f t="shared" si="59"/>
        <v>#N/A</v>
      </c>
      <c r="D1887" s="1"/>
      <c r="E1887" s="1" t="s">
        <v>93</v>
      </c>
      <c r="F1887" s="1">
        <v>76</v>
      </c>
      <c r="G1887" s="1">
        <v>4</v>
      </c>
      <c r="H1887" s="1">
        <v>64.900000000000006</v>
      </c>
      <c r="I1887" s="1"/>
      <c r="J1887" s="1"/>
    </row>
    <row r="1888" spans="1:10" x14ac:dyDescent="0.3">
      <c r="A1888" t="e">
        <f t="shared" si="58"/>
        <v>#N/A</v>
      </c>
      <c r="B1888" t="e">
        <f t="shared" si="59"/>
        <v>#N/A</v>
      </c>
      <c r="D1888" s="1"/>
      <c r="E1888" s="1" t="s">
        <v>86</v>
      </c>
      <c r="F1888" s="1">
        <v>78</v>
      </c>
      <c r="G1888" s="1">
        <v>5</v>
      </c>
      <c r="H1888" s="1">
        <v>64.7</v>
      </c>
      <c r="I1888" s="1"/>
      <c r="J1888" s="1"/>
    </row>
    <row r="1889" spans="1:10" x14ac:dyDescent="0.3">
      <c r="A1889" t="e">
        <f t="shared" si="58"/>
        <v>#N/A</v>
      </c>
      <c r="B1889" t="e">
        <f t="shared" si="59"/>
        <v>#N/A</v>
      </c>
      <c r="D1889" s="1"/>
      <c r="E1889" s="1" t="s">
        <v>81</v>
      </c>
      <c r="F1889" s="1">
        <v>78</v>
      </c>
      <c r="G1889" s="1">
        <v>3</v>
      </c>
      <c r="H1889" s="1">
        <v>64.7</v>
      </c>
      <c r="I1889" s="1"/>
      <c r="J1889" s="1"/>
    </row>
    <row r="1890" spans="1:10" x14ac:dyDescent="0.3">
      <c r="A1890" t="e">
        <f t="shared" si="58"/>
        <v>#N/A</v>
      </c>
      <c r="B1890" t="e">
        <f t="shared" si="59"/>
        <v>#N/A</v>
      </c>
      <c r="D1890" s="1"/>
      <c r="E1890" s="1" t="s">
        <v>402</v>
      </c>
      <c r="F1890" s="1">
        <v>86</v>
      </c>
      <c r="G1890" s="1">
        <v>4</v>
      </c>
      <c r="H1890" s="1">
        <v>63.9</v>
      </c>
      <c r="I1890" s="1"/>
      <c r="J1890" s="1"/>
    </row>
    <row r="1891" spans="1:10" x14ac:dyDescent="0.3">
      <c r="A1891" t="e">
        <f t="shared" si="58"/>
        <v>#N/A</v>
      </c>
      <c r="B1891" t="e">
        <f t="shared" si="59"/>
        <v>#N/A</v>
      </c>
      <c r="D1891" s="1"/>
      <c r="E1891" s="1" t="s">
        <v>248</v>
      </c>
      <c r="F1891" s="1">
        <v>89</v>
      </c>
      <c r="G1891" s="1">
        <v>5</v>
      </c>
      <c r="H1891" s="1">
        <v>63.6</v>
      </c>
      <c r="I1891" s="1"/>
      <c r="J1891" s="1"/>
    </row>
    <row r="1892" spans="1:10" x14ac:dyDescent="0.3">
      <c r="A1892" t="e">
        <f t="shared" si="58"/>
        <v>#N/A</v>
      </c>
      <c r="B1892" t="e">
        <f t="shared" si="59"/>
        <v>#N/A</v>
      </c>
      <c r="D1892" s="1"/>
      <c r="E1892" s="1" t="s">
        <v>141</v>
      </c>
      <c r="F1892" s="1">
        <v>92</v>
      </c>
      <c r="G1892" s="1">
        <v>2</v>
      </c>
      <c r="H1892" s="1">
        <v>62.9</v>
      </c>
      <c r="I1892" s="1"/>
      <c r="J1892" s="1"/>
    </row>
    <row r="1893" spans="1:10" x14ac:dyDescent="0.3">
      <c r="A1893" t="e">
        <f t="shared" si="58"/>
        <v>#N/A</v>
      </c>
      <c r="B1893" t="e">
        <f t="shared" si="59"/>
        <v>#N/A</v>
      </c>
      <c r="D1893" s="1"/>
      <c r="E1893" s="1" t="s">
        <v>277</v>
      </c>
      <c r="F1893" s="1">
        <v>92</v>
      </c>
      <c r="G1893" s="1">
        <v>4</v>
      </c>
      <c r="H1893" s="1">
        <v>62.9</v>
      </c>
      <c r="I1893" s="1"/>
      <c r="J1893" s="1"/>
    </row>
    <row r="1894" spans="1:10" x14ac:dyDescent="0.3">
      <c r="A1894" t="e">
        <f t="shared" si="58"/>
        <v>#N/A</v>
      </c>
      <c r="B1894" t="e">
        <f t="shared" si="59"/>
        <v>#N/A</v>
      </c>
      <c r="D1894" s="1"/>
      <c r="E1894" s="1" t="s">
        <v>424</v>
      </c>
      <c r="F1894" s="1">
        <v>92</v>
      </c>
      <c r="G1894" s="1">
        <v>3</v>
      </c>
      <c r="H1894" s="1">
        <v>62.9</v>
      </c>
      <c r="I1894" s="1"/>
      <c r="J1894" s="1"/>
    </row>
    <row r="1895" spans="1:10" x14ac:dyDescent="0.3">
      <c r="A1895" t="e">
        <f t="shared" si="58"/>
        <v>#N/A</v>
      </c>
      <c r="B1895" t="e">
        <f t="shared" si="59"/>
        <v>#N/A</v>
      </c>
      <c r="D1895" s="1"/>
      <c r="E1895" s="1" t="s">
        <v>62</v>
      </c>
      <c r="F1895" s="1">
        <v>92</v>
      </c>
      <c r="G1895" s="1">
        <v>5</v>
      </c>
      <c r="H1895" s="1">
        <v>62.9</v>
      </c>
      <c r="I1895" s="1"/>
      <c r="J1895" s="1"/>
    </row>
    <row r="1896" spans="1:10" x14ac:dyDescent="0.3">
      <c r="A1896" t="e">
        <f t="shared" si="58"/>
        <v>#N/A</v>
      </c>
      <c r="B1896" t="e">
        <f t="shared" si="59"/>
        <v>#N/A</v>
      </c>
      <c r="D1896" s="1"/>
      <c r="E1896" s="1" t="s">
        <v>391</v>
      </c>
      <c r="F1896" s="1">
        <v>101</v>
      </c>
      <c r="G1896" s="1">
        <v>5</v>
      </c>
      <c r="H1896" s="1">
        <v>62.2</v>
      </c>
      <c r="I1896" s="1"/>
      <c r="J1896" s="1"/>
    </row>
    <row r="1897" spans="1:10" x14ac:dyDescent="0.3">
      <c r="A1897" t="e">
        <f t="shared" si="58"/>
        <v>#N/A</v>
      </c>
      <c r="B1897" t="e">
        <f t="shared" si="59"/>
        <v>#N/A</v>
      </c>
      <c r="D1897" s="1"/>
      <c r="E1897" s="1" t="s">
        <v>84</v>
      </c>
      <c r="F1897" s="1">
        <v>103</v>
      </c>
      <c r="G1897" s="1">
        <v>6</v>
      </c>
      <c r="H1897" s="1">
        <v>61.8</v>
      </c>
      <c r="I1897" s="1"/>
      <c r="J1897" s="1"/>
    </row>
    <row r="1898" spans="1:10" x14ac:dyDescent="0.3">
      <c r="A1898" t="e">
        <f t="shared" si="58"/>
        <v>#N/A</v>
      </c>
      <c r="B1898" t="e">
        <f t="shared" si="59"/>
        <v>#N/A</v>
      </c>
      <c r="D1898" s="1"/>
      <c r="E1898" s="1" t="s">
        <v>90</v>
      </c>
      <c r="F1898" s="1">
        <v>103</v>
      </c>
      <c r="G1898" s="1">
        <v>6</v>
      </c>
      <c r="H1898" s="1">
        <v>61.8</v>
      </c>
      <c r="I1898" s="1"/>
      <c r="J1898" s="1"/>
    </row>
    <row r="1899" spans="1:10" x14ac:dyDescent="0.3">
      <c r="A1899" t="e">
        <f t="shared" si="58"/>
        <v>#N/A</v>
      </c>
      <c r="B1899" t="e">
        <f t="shared" si="59"/>
        <v>#N/A</v>
      </c>
      <c r="D1899" s="1"/>
      <c r="E1899" s="1" t="s">
        <v>137</v>
      </c>
      <c r="F1899" s="1">
        <v>103</v>
      </c>
      <c r="G1899" s="1">
        <v>6</v>
      </c>
      <c r="H1899" s="1">
        <v>61.8</v>
      </c>
      <c r="I1899" s="1"/>
      <c r="J1899" s="1"/>
    </row>
    <row r="1900" spans="1:10" x14ac:dyDescent="0.3">
      <c r="A1900" t="e">
        <f t="shared" si="58"/>
        <v>#N/A</v>
      </c>
      <c r="B1900" t="e">
        <f t="shared" si="59"/>
        <v>#N/A</v>
      </c>
      <c r="D1900" s="1"/>
      <c r="E1900" s="1" t="s">
        <v>256</v>
      </c>
      <c r="F1900" s="1">
        <v>108</v>
      </c>
      <c r="G1900" s="1">
        <v>8</v>
      </c>
      <c r="H1900" s="1">
        <v>61.1</v>
      </c>
      <c r="I1900" s="1"/>
      <c r="J1900" s="1"/>
    </row>
    <row r="1901" spans="1:10" x14ac:dyDescent="0.3">
      <c r="A1901" t="e">
        <f t="shared" si="58"/>
        <v>#N/A</v>
      </c>
      <c r="B1901" t="e">
        <f t="shared" si="59"/>
        <v>#N/A</v>
      </c>
      <c r="D1901" s="1"/>
      <c r="E1901" s="1" t="s">
        <v>125</v>
      </c>
      <c r="F1901" s="1">
        <v>111</v>
      </c>
      <c r="G1901" s="1">
        <v>7</v>
      </c>
      <c r="H1901" s="1">
        <v>60.6</v>
      </c>
      <c r="I1901" s="1"/>
      <c r="J1901" s="1"/>
    </row>
    <row r="1902" spans="1:10" x14ac:dyDescent="0.3">
      <c r="A1902" t="e">
        <f t="shared" si="58"/>
        <v>#N/A</v>
      </c>
      <c r="B1902" t="e">
        <f t="shared" si="59"/>
        <v>#N/A</v>
      </c>
      <c r="D1902" s="1"/>
      <c r="E1902" s="1" t="s">
        <v>241</v>
      </c>
      <c r="F1902" s="1">
        <v>130</v>
      </c>
      <c r="G1902" s="1">
        <v>8</v>
      </c>
      <c r="H1902" s="1">
        <v>57.6</v>
      </c>
      <c r="I1902" s="1"/>
      <c r="J1902" s="1"/>
    </row>
    <row r="1903" spans="1:10" x14ac:dyDescent="0.3">
      <c r="A1903" t="e">
        <f t="shared" si="58"/>
        <v>#N/A</v>
      </c>
      <c r="B1903" t="e">
        <f t="shared" si="59"/>
        <v>#N/A</v>
      </c>
      <c r="D1903" s="1"/>
      <c r="E1903" s="1" t="s">
        <v>100</v>
      </c>
      <c r="F1903" s="1">
        <v>130</v>
      </c>
      <c r="G1903" s="1">
        <v>6</v>
      </c>
      <c r="H1903" s="1">
        <v>57.6</v>
      </c>
      <c r="I1903" s="1"/>
      <c r="J1903" s="1"/>
    </row>
    <row r="1904" spans="1:10" x14ac:dyDescent="0.3">
      <c r="A1904" t="e">
        <f t="shared" si="58"/>
        <v>#N/A</v>
      </c>
      <c r="B1904" t="e">
        <f t="shared" si="59"/>
        <v>#N/A</v>
      </c>
      <c r="D1904" s="1"/>
      <c r="E1904" s="1" t="s">
        <v>417</v>
      </c>
      <c r="F1904" s="1">
        <v>138</v>
      </c>
      <c r="G1904" s="1">
        <v>1</v>
      </c>
      <c r="H1904" s="1">
        <v>56.8</v>
      </c>
      <c r="I1904" s="1"/>
      <c r="J1904" s="1"/>
    </row>
    <row r="1905" spans="1:10" x14ac:dyDescent="0.3">
      <c r="A1905" t="e">
        <f t="shared" si="58"/>
        <v>#N/A</v>
      </c>
      <c r="B1905" t="e">
        <f t="shared" si="59"/>
        <v>#N/A</v>
      </c>
      <c r="D1905" s="1"/>
      <c r="E1905" s="1" t="s">
        <v>291</v>
      </c>
      <c r="F1905" s="1">
        <v>146</v>
      </c>
      <c r="G1905" s="1">
        <v>7</v>
      </c>
      <c r="H1905" s="1">
        <v>55.9</v>
      </c>
      <c r="I1905" s="1"/>
      <c r="J1905" s="1"/>
    </row>
    <row r="1906" spans="1:10" x14ac:dyDescent="0.3">
      <c r="A1906" t="e">
        <f t="shared" si="58"/>
        <v>#N/A</v>
      </c>
      <c r="B1906" t="e">
        <f t="shared" si="59"/>
        <v>#N/A</v>
      </c>
      <c r="D1906" s="1"/>
      <c r="E1906" s="1" t="s">
        <v>426</v>
      </c>
      <c r="F1906" s="1">
        <v>176</v>
      </c>
      <c r="G1906" s="1">
        <v>5</v>
      </c>
      <c r="H1906" s="1">
        <v>52.8</v>
      </c>
      <c r="I1906" s="1"/>
      <c r="J1906" s="1"/>
    </row>
    <row r="1907" spans="1:10" x14ac:dyDescent="0.3">
      <c r="A1907" t="e">
        <f t="shared" si="58"/>
        <v>#N/A</v>
      </c>
      <c r="B1907" t="e">
        <f t="shared" si="59"/>
        <v>#N/A</v>
      </c>
      <c r="D1907" s="1"/>
      <c r="E1907" s="1" t="s">
        <v>281</v>
      </c>
      <c r="F1907" s="1">
        <v>260</v>
      </c>
      <c r="G1907" s="1">
        <v>7</v>
      </c>
      <c r="H1907" s="1">
        <v>40</v>
      </c>
      <c r="I1907" s="1"/>
      <c r="J190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8871-38C5-4612-BDE9-60F0237FCF44}">
  <sheetPr>
    <tabColor theme="9" tint="0.79998168889431442"/>
  </sheetPr>
  <dimension ref="A1:AH69"/>
  <sheetViews>
    <sheetView workbookViewId="0">
      <pane xSplit="1" ySplit="1" topLeftCell="Q48" activePane="bottomRight" state="frozen"/>
      <selection pane="topRight" activeCell="B1" sqref="B1"/>
      <selection pane="bottomLeft" activeCell="A2" sqref="A2"/>
      <selection pane="bottomRight" activeCell="E1" sqref="E1:AH1"/>
    </sheetView>
  </sheetViews>
  <sheetFormatPr defaultRowHeight="14.4" x14ac:dyDescent="0.3"/>
  <cols>
    <col min="5" max="31" width="8.77734375" style="12"/>
  </cols>
  <sheetData>
    <row r="1" spans="1:34" s="8" customFormat="1" ht="16.2" thickBot="1" x14ac:dyDescent="0.35">
      <c r="A1" s="7" t="s">
        <v>0</v>
      </c>
      <c r="B1" s="8" t="s">
        <v>1</v>
      </c>
      <c r="C1" s="8" t="s">
        <v>71</v>
      </c>
      <c r="D1" s="9" t="s">
        <v>403</v>
      </c>
      <c r="E1" s="8" t="s">
        <v>185</v>
      </c>
      <c r="F1" s="8" t="s">
        <v>186</v>
      </c>
      <c r="G1" s="8" t="s">
        <v>187</v>
      </c>
      <c r="H1" s="8" t="s">
        <v>188</v>
      </c>
      <c r="I1" s="8" t="s">
        <v>189</v>
      </c>
      <c r="J1" s="8" t="s">
        <v>190</v>
      </c>
      <c r="K1" s="8" t="s">
        <v>191</v>
      </c>
      <c r="L1" s="8" t="s">
        <v>193</v>
      </c>
      <c r="M1" s="8" t="s">
        <v>194</v>
      </c>
      <c r="N1" s="8" t="s">
        <v>195</v>
      </c>
      <c r="O1" s="8" t="s">
        <v>196</v>
      </c>
      <c r="P1" s="8" t="s">
        <v>197</v>
      </c>
      <c r="Q1" s="8" t="s">
        <v>198</v>
      </c>
      <c r="R1" s="8" t="s">
        <v>199</v>
      </c>
      <c r="S1" s="8" t="s">
        <v>200</v>
      </c>
      <c r="T1" s="8" t="s">
        <v>201</v>
      </c>
      <c r="U1" s="8" t="s">
        <v>202</v>
      </c>
      <c r="V1" s="8" t="s">
        <v>203</v>
      </c>
      <c r="W1" s="8" t="s">
        <v>204</v>
      </c>
      <c r="X1" s="8" t="s">
        <v>205</v>
      </c>
      <c r="Y1" s="8" t="s">
        <v>206</v>
      </c>
      <c r="Z1" s="8" t="s">
        <v>207</v>
      </c>
      <c r="AA1" s="8" t="s">
        <v>208</v>
      </c>
      <c r="AB1" s="8" t="s">
        <v>209</v>
      </c>
      <c r="AC1" s="8" t="s">
        <v>210</v>
      </c>
      <c r="AD1" s="8" t="s">
        <v>211</v>
      </c>
      <c r="AE1" s="8" t="s">
        <v>212</v>
      </c>
      <c r="AF1" s="8" t="s">
        <v>406</v>
      </c>
      <c r="AG1" s="8" t="s">
        <v>408</v>
      </c>
      <c r="AH1" s="8" t="s">
        <v>407</v>
      </c>
    </row>
    <row r="2" spans="1:34" s="2" customFormat="1" ht="15.6" x14ac:dyDescent="0.3">
      <c r="A2" s="6" t="s">
        <v>5</v>
      </c>
      <c r="B2" s="2">
        <v>1</v>
      </c>
      <c r="C2" s="3">
        <v>5</v>
      </c>
      <c r="D2" s="5" t="s">
        <v>404</v>
      </c>
      <c r="E2" s="32">
        <f t="shared" ref="E2:N3" si="0">INDEX(rawValue25,MATCH(INDEX(teamID,MATCH(INDEX(ovrTeamCol,ROW(),1),teamINI,0))+INDEX(statID,MATCH(INDEX(ovrHeaderRow,1,COLUMN()),statAbbr,0),1),rawLookup25,0))</f>
        <v>35</v>
      </c>
      <c r="F2" s="32">
        <f t="shared" si="0"/>
        <v>8.5</v>
      </c>
      <c r="G2" s="32">
        <f t="shared" si="0"/>
        <v>34.799999999999997</v>
      </c>
      <c r="H2" s="32">
        <f t="shared" si="0"/>
        <v>24.5</v>
      </c>
      <c r="I2" s="32">
        <f t="shared" si="0"/>
        <v>1.56</v>
      </c>
      <c r="J2" s="32">
        <f t="shared" si="0"/>
        <v>17.3</v>
      </c>
      <c r="K2" s="32">
        <f t="shared" si="0"/>
        <v>20.74</v>
      </c>
      <c r="L2" s="32">
        <f t="shared" si="0"/>
        <v>6.2</v>
      </c>
      <c r="M2" s="32">
        <f t="shared" si="0"/>
        <v>42.1</v>
      </c>
      <c r="N2" s="32">
        <f t="shared" si="0"/>
        <v>24.54</v>
      </c>
      <c r="O2" s="32">
        <f t="shared" ref="O2:X3" si="1">INDEX(rawValue25,MATCH(INDEX(teamID,MATCH(INDEX(ovrTeamCol,ROW(),1),teamINI,0))+INDEX(statID,MATCH(INDEX(ovrHeaderRow,1,COLUMN()),statAbbr,0),1),rawLookup25,0))</f>
        <v>0.55000000000000004</v>
      </c>
      <c r="P2" s="32">
        <f t="shared" si="1"/>
        <v>8.6300000000000008</v>
      </c>
      <c r="Q2" s="32">
        <f t="shared" si="1"/>
        <v>47.5</v>
      </c>
      <c r="R2" s="32">
        <f t="shared" si="1"/>
        <v>18.3</v>
      </c>
      <c r="S2" s="32">
        <f t="shared" si="1"/>
        <v>79.099999999999994</v>
      </c>
      <c r="T2" s="32">
        <f t="shared" si="1"/>
        <v>17.7</v>
      </c>
      <c r="U2" s="32">
        <f t="shared" si="1"/>
        <v>14</v>
      </c>
      <c r="V2" s="32">
        <f t="shared" si="1"/>
        <v>68</v>
      </c>
      <c r="W2" s="32">
        <f t="shared" si="1"/>
        <v>11.2</v>
      </c>
      <c r="X2" s="32">
        <f t="shared" si="1"/>
        <v>77</v>
      </c>
      <c r="Y2" s="32">
        <f t="shared" ref="Y2:AE3" si="2">INDEX(rawValue25,MATCH(INDEX(teamID,MATCH(INDEX(ovrTeamCol,ROW(),1),teamINI,0))+INDEX(statID,MATCH(INDEX(ovrHeaderRow,1,COLUMN()),statAbbr,0),1),rawLookup25,0))</f>
        <v>6</v>
      </c>
      <c r="Z2" s="32">
        <f t="shared" si="2"/>
        <v>35.74</v>
      </c>
      <c r="AA2" s="32">
        <f t="shared" si="2"/>
        <v>9</v>
      </c>
      <c r="AB2" s="32">
        <f t="shared" si="2"/>
        <v>5.4</v>
      </c>
      <c r="AC2" s="32">
        <f t="shared" si="2"/>
        <v>-0.9</v>
      </c>
      <c r="AD2" s="32">
        <f t="shared" si="2"/>
        <v>10.26</v>
      </c>
      <c r="AE2" s="32">
        <f t="shared" si="2"/>
        <v>11.1</v>
      </c>
      <c r="AF2" s="29">
        <v>68.2</v>
      </c>
      <c r="AG2" s="30">
        <f t="shared" ref="AG2:AG33" si="3">(X2-U2-F2*3)/2</f>
        <v>18.75</v>
      </c>
      <c r="AH2" s="31">
        <f t="shared" ref="AH2:AH33" si="4">(AG2+F2)*100/Q2</f>
        <v>57.368421052631582</v>
      </c>
    </row>
    <row r="3" spans="1:34" s="2" customFormat="1" ht="15.6" x14ac:dyDescent="0.3">
      <c r="A3" s="6" t="s">
        <v>48</v>
      </c>
      <c r="B3" s="2">
        <v>1</v>
      </c>
      <c r="C3" s="3">
        <v>5</v>
      </c>
      <c r="D3" s="5" t="s">
        <v>404</v>
      </c>
      <c r="E3" s="32">
        <f t="shared" si="0"/>
        <v>31.2</v>
      </c>
      <c r="F3" s="32">
        <f t="shared" si="0"/>
        <v>8.3000000000000007</v>
      </c>
      <c r="G3" s="32">
        <f t="shared" si="0"/>
        <v>38.200000000000003</v>
      </c>
      <c r="H3" s="32">
        <f t="shared" si="0"/>
        <v>21.6</v>
      </c>
      <c r="I3" s="32">
        <f t="shared" si="0"/>
        <v>1.53</v>
      </c>
      <c r="J3" s="32">
        <f t="shared" si="0"/>
        <v>15.9</v>
      </c>
      <c r="K3" s="32">
        <f t="shared" si="0"/>
        <v>17.03</v>
      </c>
      <c r="L3" s="32">
        <f t="shared" si="0"/>
        <v>1.6</v>
      </c>
      <c r="M3" s="32">
        <f t="shared" si="0"/>
        <v>45.2</v>
      </c>
      <c r="N3" s="32">
        <f t="shared" si="0"/>
        <v>23.08</v>
      </c>
      <c r="O3" s="32">
        <f t="shared" si="1"/>
        <v>0.55900000000000005</v>
      </c>
      <c r="P3" s="32">
        <f t="shared" si="1"/>
        <v>7.83</v>
      </c>
      <c r="Q3" s="32">
        <f t="shared" si="1"/>
        <v>48.6</v>
      </c>
      <c r="R3" s="32">
        <f t="shared" si="1"/>
        <v>15.8</v>
      </c>
      <c r="S3" s="32">
        <f t="shared" si="1"/>
        <v>73.2</v>
      </c>
      <c r="T3" s="32">
        <f t="shared" si="1"/>
        <v>19.5</v>
      </c>
      <c r="U3" s="32">
        <f t="shared" si="1"/>
        <v>14.3</v>
      </c>
      <c r="V3" s="32">
        <f t="shared" si="1"/>
        <v>70.400000000000006</v>
      </c>
      <c r="W3" s="32">
        <f t="shared" si="1"/>
        <v>9.7799999999999994</v>
      </c>
      <c r="X3" s="32">
        <f t="shared" si="1"/>
        <v>77.3</v>
      </c>
      <c r="Y3" s="32">
        <f t="shared" si="2"/>
        <v>2.1</v>
      </c>
      <c r="Z3" s="32">
        <f t="shared" si="2"/>
        <v>32.86</v>
      </c>
      <c r="AA3" s="32">
        <f t="shared" si="2"/>
        <v>6.9</v>
      </c>
      <c r="AB3" s="32">
        <f t="shared" si="2"/>
        <v>6.4</v>
      </c>
      <c r="AC3" s="32">
        <f t="shared" si="2"/>
        <v>1.2</v>
      </c>
      <c r="AD3" s="32">
        <f t="shared" si="2"/>
        <v>11.61</v>
      </c>
      <c r="AE3" s="32">
        <f t="shared" si="2"/>
        <v>10.4</v>
      </c>
      <c r="AF3" s="29">
        <v>66</v>
      </c>
      <c r="AG3" s="30">
        <f t="shared" si="3"/>
        <v>19.049999999999997</v>
      </c>
      <c r="AH3" s="31">
        <f t="shared" si="4"/>
        <v>56.275720164609055</v>
      </c>
    </row>
    <row r="4" spans="1:34" s="2" customFormat="1" ht="15.6" x14ac:dyDescent="0.3">
      <c r="A4" s="6" t="s">
        <v>51</v>
      </c>
      <c r="B4" s="2">
        <v>1</v>
      </c>
      <c r="C4" s="3">
        <v>6</v>
      </c>
      <c r="D4" s="5" t="s">
        <v>404</v>
      </c>
      <c r="E4" s="32">
        <f t="shared" ref="E4:N13" si="5">INDEX(rawValue25,MATCH(INDEX(teamID,MATCH(INDEX(ovrTeamCol25,ROW(),1),teamINI,0))+INDEX(statID,MATCH(INDEX(ovrHeaderRow25,1,COLUMN()),statAbbr,0),1),rawLookup25,0))</f>
        <v>30.2</v>
      </c>
      <c r="F4" s="32">
        <f t="shared" si="5"/>
        <v>8.1999999999999993</v>
      </c>
      <c r="G4" s="32">
        <f t="shared" si="5"/>
        <v>39.4</v>
      </c>
      <c r="H4" s="32">
        <f t="shared" si="5"/>
        <v>20.7</v>
      </c>
      <c r="I4" s="32">
        <f t="shared" si="5"/>
        <v>1.34</v>
      </c>
      <c r="J4" s="32">
        <f t="shared" si="5"/>
        <v>12.1</v>
      </c>
      <c r="K4" s="32">
        <f t="shared" si="5"/>
        <v>18.73</v>
      </c>
      <c r="L4" s="32">
        <f t="shared" si="5"/>
        <v>4.5999999999999996</v>
      </c>
      <c r="M4" s="32">
        <f t="shared" si="5"/>
        <v>38.299999999999997</v>
      </c>
      <c r="N4" s="32">
        <f t="shared" si="5"/>
        <v>24.08</v>
      </c>
      <c r="O4" s="32">
        <f t="shared" ref="O4:X13" si="6">INDEX(rawValue25,MATCH(INDEX(teamID,MATCH(INDEX(ovrTeamCol25,ROW(),1),teamINI,0))+INDEX(statID,MATCH(INDEX(ovrHeaderRow25,1,COLUMN()),statAbbr,0),1),rawLookup25,0))</f>
        <v>0.51700000000000002</v>
      </c>
      <c r="P4" s="32">
        <f t="shared" si="6"/>
        <v>7.6</v>
      </c>
      <c r="Q4" s="32">
        <f t="shared" si="6"/>
        <v>44.9</v>
      </c>
      <c r="R4" s="32">
        <f t="shared" si="6"/>
        <v>16.3</v>
      </c>
      <c r="S4" s="32">
        <f t="shared" si="6"/>
        <v>74</v>
      </c>
      <c r="T4" s="32">
        <f t="shared" si="6"/>
        <v>16.2</v>
      </c>
      <c r="U4" s="32">
        <f t="shared" si="6"/>
        <v>12</v>
      </c>
      <c r="V4" s="32">
        <f t="shared" si="6"/>
        <v>58.7</v>
      </c>
      <c r="W4" s="32">
        <f t="shared" si="6"/>
        <v>12.8</v>
      </c>
      <c r="X4" s="32">
        <f t="shared" si="6"/>
        <v>73.7</v>
      </c>
      <c r="Y4" s="32">
        <f t="shared" ref="Y4:AE13" si="7">INDEX(rawValue25,MATCH(INDEX(teamID,MATCH(INDEX(ovrTeamCol25,ROW(),1),teamINI,0))+INDEX(statID,MATCH(INDEX(ovrHeaderRow25,1,COLUMN()),statAbbr,0),1),rawLookup25,0))</f>
        <v>5.3</v>
      </c>
      <c r="Z4" s="32">
        <f t="shared" si="7"/>
        <v>36.880000000000003</v>
      </c>
      <c r="AA4" s="32">
        <f t="shared" si="7"/>
        <v>15</v>
      </c>
      <c r="AB4" s="32">
        <f t="shared" si="7"/>
        <v>7.8</v>
      </c>
      <c r="AC4" s="32">
        <f t="shared" si="7"/>
        <v>4.2</v>
      </c>
      <c r="AD4" s="32">
        <f t="shared" si="7"/>
        <v>13.23</v>
      </c>
      <c r="AE4" s="32">
        <f t="shared" si="7"/>
        <v>9</v>
      </c>
      <c r="AF4" s="29">
        <v>61.9</v>
      </c>
      <c r="AG4" s="30">
        <f t="shared" si="3"/>
        <v>18.550000000000004</v>
      </c>
      <c r="AH4" s="31">
        <f t="shared" si="4"/>
        <v>59.576837416481084</v>
      </c>
    </row>
    <row r="5" spans="1:34" s="2" customFormat="1" ht="15.6" x14ac:dyDescent="0.3">
      <c r="A5" s="6" t="s">
        <v>45</v>
      </c>
      <c r="B5" s="2">
        <v>1</v>
      </c>
      <c r="C5" s="3">
        <v>6</v>
      </c>
      <c r="D5" s="5" t="s">
        <v>404</v>
      </c>
      <c r="E5" s="32">
        <f t="shared" si="5"/>
        <v>29.4</v>
      </c>
      <c r="F5" s="32">
        <f t="shared" si="5"/>
        <v>9.8000000000000007</v>
      </c>
      <c r="G5" s="32">
        <f t="shared" si="5"/>
        <v>35.6</v>
      </c>
      <c r="H5" s="32">
        <f t="shared" si="5"/>
        <v>27.4</v>
      </c>
      <c r="I5" s="32">
        <f t="shared" si="5"/>
        <v>1.39</v>
      </c>
      <c r="J5" s="32">
        <f t="shared" si="5"/>
        <v>15.5</v>
      </c>
      <c r="K5" s="32">
        <f t="shared" si="5"/>
        <v>21.98</v>
      </c>
      <c r="L5" s="32">
        <f t="shared" si="5"/>
        <v>4.5</v>
      </c>
      <c r="M5" s="32">
        <f t="shared" si="5"/>
        <v>40</v>
      </c>
      <c r="N5" s="32">
        <f t="shared" si="5"/>
        <v>28.1</v>
      </c>
      <c r="O5" s="32">
        <f t="shared" si="6"/>
        <v>0.54900000000000004</v>
      </c>
      <c r="P5" s="32">
        <f t="shared" si="6"/>
        <v>15.58</v>
      </c>
      <c r="Q5" s="32">
        <f t="shared" si="6"/>
        <v>47.1</v>
      </c>
      <c r="R5" s="32">
        <f t="shared" si="6"/>
        <v>17.100000000000001</v>
      </c>
      <c r="S5" s="32">
        <f t="shared" si="6"/>
        <v>72.8</v>
      </c>
      <c r="T5" s="32">
        <f t="shared" si="6"/>
        <v>21.9</v>
      </c>
      <c r="U5" s="32">
        <f t="shared" si="6"/>
        <v>15.9</v>
      </c>
      <c r="V5" s="32">
        <f t="shared" si="6"/>
        <v>69.599999999999994</v>
      </c>
      <c r="W5" s="32">
        <f t="shared" si="6"/>
        <v>13.73</v>
      </c>
      <c r="X5" s="32">
        <f t="shared" si="6"/>
        <v>84.8</v>
      </c>
      <c r="Y5" s="32">
        <f t="shared" si="7"/>
        <v>8.4</v>
      </c>
      <c r="Z5" s="32">
        <f t="shared" si="7"/>
        <v>41.83</v>
      </c>
      <c r="AA5" s="32">
        <f t="shared" si="7"/>
        <v>15.2</v>
      </c>
      <c r="AB5" s="32">
        <f t="shared" si="7"/>
        <v>7.4</v>
      </c>
      <c r="AC5" s="32">
        <f t="shared" si="7"/>
        <v>0.6</v>
      </c>
      <c r="AD5" s="32">
        <f t="shared" si="7"/>
        <v>11.73</v>
      </c>
      <c r="AE5" s="32">
        <f t="shared" si="7"/>
        <v>11.1</v>
      </c>
      <c r="AF5" s="29">
        <v>70.099999999999994</v>
      </c>
      <c r="AG5" s="30">
        <f t="shared" si="3"/>
        <v>19.749999999999993</v>
      </c>
      <c r="AH5" s="31">
        <f t="shared" si="4"/>
        <v>62.7388535031847</v>
      </c>
    </row>
    <row r="6" spans="1:34" s="2" customFormat="1" ht="15.6" x14ac:dyDescent="0.3">
      <c r="A6" s="6" t="s">
        <v>34</v>
      </c>
      <c r="B6" s="2">
        <v>2</v>
      </c>
      <c r="C6" s="3">
        <v>4</v>
      </c>
      <c r="D6" s="5" t="s">
        <v>404</v>
      </c>
      <c r="E6" s="32">
        <f t="shared" si="5"/>
        <v>28</v>
      </c>
      <c r="F6" s="32">
        <f t="shared" si="5"/>
        <v>6.1</v>
      </c>
      <c r="G6" s="32">
        <f t="shared" si="5"/>
        <v>31.1</v>
      </c>
      <c r="H6" s="32">
        <f t="shared" si="5"/>
        <v>19.5</v>
      </c>
      <c r="I6" s="32">
        <f t="shared" si="5"/>
        <v>1.46</v>
      </c>
      <c r="J6" s="32">
        <f t="shared" si="5"/>
        <v>16.600000000000001</v>
      </c>
      <c r="K6" s="32">
        <f t="shared" si="5"/>
        <v>33.619999999999997</v>
      </c>
      <c r="L6" s="32">
        <f t="shared" si="5"/>
        <v>4.5999999999999996</v>
      </c>
      <c r="M6" s="32">
        <f t="shared" si="5"/>
        <v>40.5</v>
      </c>
      <c r="N6" s="32">
        <f t="shared" si="5"/>
        <v>27.89</v>
      </c>
      <c r="O6" s="32">
        <f t="shared" si="6"/>
        <v>0.50900000000000001</v>
      </c>
      <c r="P6" s="32">
        <f t="shared" si="6"/>
        <v>15.59</v>
      </c>
      <c r="Q6" s="32">
        <f t="shared" si="6"/>
        <v>45.8</v>
      </c>
      <c r="R6" s="32">
        <f t="shared" si="6"/>
        <v>16.7</v>
      </c>
      <c r="S6" s="32">
        <f t="shared" si="6"/>
        <v>77.900000000000006</v>
      </c>
      <c r="T6" s="32">
        <f t="shared" si="6"/>
        <v>22.4</v>
      </c>
      <c r="U6" s="32">
        <f t="shared" si="6"/>
        <v>17.399999999999999</v>
      </c>
      <c r="V6" s="32">
        <f t="shared" si="6"/>
        <v>67.099999999999994</v>
      </c>
      <c r="W6" s="32">
        <f t="shared" si="6"/>
        <v>11.89</v>
      </c>
      <c r="X6" s="32">
        <f t="shared" si="6"/>
        <v>77.7</v>
      </c>
      <c r="Y6" s="32">
        <f t="shared" si="7"/>
        <v>8.9</v>
      </c>
      <c r="Z6" s="32">
        <f t="shared" si="7"/>
        <v>39.78</v>
      </c>
      <c r="AA6" s="32">
        <f t="shared" si="7"/>
        <v>10.5</v>
      </c>
      <c r="AB6" s="32">
        <f t="shared" si="7"/>
        <v>5.3</v>
      </c>
      <c r="AC6" s="32">
        <f t="shared" si="7"/>
        <v>-0.3</v>
      </c>
      <c r="AD6" s="32">
        <f t="shared" si="7"/>
        <v>11.03</v>
      </c>
      <c r="AE6" s="32">
        <f t="shared" si="7"/>
        <v>11.4</v>
      </c>
      <c r="AF6" s="29">
        <v>67.5</v>
      </c>
      <c r="AG6" s="30">
        <f t="shared" si="3"/>
        <v>21.000000000000004</v>
      </c>
      <c r="AH6" s="31">
        <f t="shared" si="4"/>
        <v>59.170305676855897</v>
      </c>
    </row>
    <row r="7" spans="1:34" s="2" customFormat="1" ht="15.6" x14ac:dyDescent="0.3">
      <c r="A7" s="6" t="s">
        <v>21</v>
      </c>
      <c r="B7" s="2">
        <v>2</v>
      </c>
      <c r="C7" s="3">
        <v>4</v>
      </c>
      <c r="D7" s="5" t="s">
        <v>404</v>
      </c>
      <c r="E7" s="32">
        <f t="shared" si="5"/>
        <v>30.4</v>
      </c>
      <c r="F7" s="32">
        <f t="shared" si="5"/>
        <v>10.5</v>
      </c>
      <c r="G7" s="32">
        <f t="shared" si="5"/>
        <v>35.299999999999997</v>
      </c>
      <c r="H7" s="32">
        <f t="shared" si="5"/>
        <v>29.8</v>
      </c>
      <c r="I7" s="32">
        <f t="shared" si="5"/>
        <v>1.36</v>
      </c>
      <c r="J7" s="32">
        <f t="shared" si="5"/>
        <v>17.2</v>
      </c>
      <c r="K7" s="32">
        <f t="shared" si="5"/>
        <v>33.840000000000003</v>
      </c>
      <c r="L7" s="32">
        <f t="shared" si="5"/>
        <v>4.5</v>
      </c>
      <c r="M7" s="32">
        <f t="shared" si="5"/>
        <v>42.6</v>
      </c>
      <c r="N7" s="32">
        <f t="shared" si="5"/>
        <v>29.95</v>
      </c>
      <c r="O7" s="32">
        <f t="shared" si="6"/>
        <v>0.56599999999999995</v>
      </c>
      <c r="P7" s="32">
        <f t="shared" si="6"/>
        <v>13.51</v>
      </c>
      <c r="Q7" s="32">
        <f t="shared" si="6"/>
        <v>48.4</v>
      </c>
      <c r="R7" s="32">
        <f t="shared" si="6"/>
        <v>18.899999999999999</v>
      </c>
      <c r="S7" s="32">
        <f t="shared" si="6"/>
        <v>72</v>
      </c>
      <c r="T7" s="32">
        <f t="shared" si="6"/>
        <v>25.2</v>
      </c>
      <c r="U7" s="32">
        <f t="shared" si="6"/>
        <v>18.100000000000001</v>
      </c>
      <c r="V7" s="32">
        <f t="shared" si="6"/>
        <v>81.3</v>
      </c>
      <c r="W7" s="32">
        <f t="shared" si="6"/>
        <v>12.41</v>
      </c>
      <c r="X7" s="32">
        <f t="shared" si="6"/>
        <v>90.7</v>
      </c>
      <c r="Y7" s="32">
        <f t="shared" si="7"/>
        <v>5.5</v>
      </c>
      <c r="Z7" s="32">
        <f t="shared" si="7"/>
        <v>42.35</v>
      </c>
      <c r="AA7" s="32">
        <f t="shared" si="7"/>
        <v>9.4</v>
      </c>
      <c r="AB7" s="32">
        <f t="shared" si="7"/>
        <v>6.2</v>
      </c>
      <c r="AC7" s="32">
        <f t="shared" si="7"/>
        <v>-2.4</v>
      </c>
      <c r="AD7" s="32">
        <f t="shared" si="7"/>
        <v>10.32</v>
      </c>
      <c r="AE7" s="32">
        <f t="shared" si="7"/>
        <v>12.7</v>
      </c>
      <c r="AF7" s="29">
        <v>75.3</v>
      </c>
      <c r="AG7" s="30">
        <f t="shared" si="3"/>
        <v>20.549999999999997</v>
      </c>
      <c r="AH7" s="31">
        <f t="shared" si="4"/>
        <v>64.152892561983464</v>
      </c>
    </row>
    <row r="8" spans="1:34" s="2" customFormat="1" ht="15.6" x14ac:dyDescent="0.3">
      <c r="A8" s="6" t="s">
        <v>55</v>
      </c>
      <c r="B8" s="2">
        <v>2</v>
      </c>
      <c r="C8" s="3">
        <v>4</v>
      </c>
      <c r="D8" s="5" t="s">
        <v>404</v>
      </c>
      <c r="E8" s="32">
        <f t="shared" si="5"/>
        <v>28.7</v>
      </c>
      <c r="F8" s="32">
        <f t="shared" si="5"/>
        <v>8.1999999999999993</v>
      </c>
      <c r="G8" s="32">
        <f t="shared" si="5"/>
        <v>33.799999999999997</v>
      </c>
      <c r="H8" s="32">
        <f t="shared" si="5"/>
        <v>24.4</v>
      </c>
      <c r="I8" s="32">
        <f t="shared" si="5"/>
        <v>1.48</v>
      </c>
      <c r="J8" s="32">
        <f t="shared" si="5"/>
        <v>15.4</v>
      </c>
      <c r="K8" s="32">
        <f t="shared" si="5"/>
        <v>19.920000000000002</v>
      </c>
      <c r="L8" s="32">
        <f t="shared" si="5"/>
        <v>4.8</v>
      </c>
      <c r="M8" s="32">
        <f t="shared" si="5"/>
        <v>38.6</v>
      </c>
      <c r="N8" s="32">
        <f t="shared" si="5"/>
        <v>24.87</v>
      </c>
      <c r="O8" s="32">
        <f t="shared" si="6"/>
        <v>0.52500000000000002</v>
      </c>
      <c r="P8" s="32">
        <f t="shared" si="6"/>
        <v>7.66</v>
      </c>
      <c r="Q8" s="32">
        <f t="shared" si="6"/>
        <v>45.2</v>
      </c>
      <c r="R8" s="32">
        <f t="shared" si="6"/>
        <v>15.2</v>
      </c>
      <c r="S8" s="32">
        <f t="shared" si="6"/>
        <v>74.5</v>
      </c>
      <c r="T8" s="32">
        <f t="shared" si="6"/>
        <v>20</v>
      </c>
      <c r="U8" s="32">
        <f t="shared" si="6"/>
        <v>14.9</v>
      </c>
      <c r="V8" s="32">
        <f t="shared" si="6"/>
        <v>63</v>
      </c>
      <c r="W8" s="32">
        <f t="shared" si="6"/>
        <v>11.5</v>
      </c>
      <c r="X8" s="32">
        <f t="shared" si="6"/>
        <v>74</v>
      </c>
      <c r="Y8" s="32">
        <f t="shared" si="7"/>
        <v>4.7</v>
      </c>
      <c r="Z8" s="32">
        <f t="shared" si="7"/>
        <v>36.369999999999997</v>
      </c>
      <c r="AA8" s="32">
        <f t="shared" si="7"/>
        <v>11</v>
      </c>
      <c r="AB8" s="32">
        <f t="shared" si="7"/>
        <v>6.9</v>
      </c>
      <c r="AC8" s="32">
        <f t="shared" si="7"/>
        <v>1</v>
      </c>
      <c r="AD8" s="32">
        <f t="shared" si="7"/>
        <v>11.47</v>
      </c>
      <c r="AE8" s="32">
        <f t="shared" si="7"/>
        <v>10.4</v>
      </c>
      <c r="AF8" s="29">
        <v>63.7</v>
      </c>
      <c r="AG8" s="30">
        <f t="shared" si="3"/>
        <v>17.25</v>
      </c>
      <c r="AH8" s="31">
        <f t="shared" si="4"/>
        <v>56.305309734513273</v>
      </c>
    </row>
    <row r="9" spans="1:34" s="2" customFormat="1" ht="15.6" x14ac:dyDescent="0.3">
      <c r="A9" s="6" t="s">
        <v>358</v>
      </c>
      <c r="B9" s="2">
        <v>2</v>
      </c>
      <c r="C9" s="3">
        <v>2</v>
      </c>
      <c r="D9" s="5" t="s">
        <v>404</v>
      </c>
      <c r="E9" s="32">
        <f t="shared" si="5"/>
        <v>30.6</v>
      </c>
      <c r="F9" s="32">
        <f t="shared" si="5"/>
        <v>6.1</v>
      </c>
      <c r="G9" s="32">
        <f t="shared" si="5"/>
        <v>30.1</v>
      </c>
      <c r="H9" s="32">
        <f t="shared" si="5"/>
        <v>20.399999999999999</v>
      </c>
      <c r="I9" s="32">
        <f t="shared" si="5"/>
        <v>1.44</v>
      </c>
      <c r="J9" s="32">
        <f t="shared" si="5"/>
        <v>15.7</v>
      </c>
      <c r="K9" s="32">
        <f t="shared" si="5"/>
        <v>15.33</v>
      </c>
      <c r="L9" s="32">
        <f t="shared" si="5"/>
        <v>5.2</v>
      </c>
      <c r="M9" s="32">
        <f t="shared" si="5"/>
        <v>39.700000000000003</v>
      </c>
      <c r="N9" s="32">
        <f t="shared" si="5"/>
        <v>26.44</v>
      </c>
      <c r="O9" s="32">
        <f t="shared" si="6"/>
        <v>0.49199999999999999</v>
      </c>
      <c r="P9" s="32">
        <f t="shared" si="6"/>
        <v>12.89</v>
      </c>
      <c r="Q9" s="32">
        <f t="shared" si="6"/>
        <v>44.5</v>
      </c>
      <c r="R9" s="32">
        <f t="shared" si="6"/>
        <v>16.7</v>
      </c>
      <c r="S9" s="32">
        <f t="shared" si="6"/>
        <v>69.099999999999994</v>
      </c>
      <c r="T9" s="32">
        <f t="shared" si="6"/>
        <v>19.899999999999999</v>
      </c>
      <c r="U9" s="32">
        <f t="shared" si="6"/>
        <v>13.8</v>
      </c>
      <c r="V9" s="32">
        <f t="shared" si="6"/>
        <v>65.8</v>
      </c>
      <c r="W9" s="32">
        <f t="shared" si="6"/>
        <v>14.86</v>
      </c>
      <c r="X9" s="32">
        <f t="shared" si="6"/>
        <v>78.5</v>
      </c>
      <c r="Y9" s="32">
        <f t="shared" si="7"/>
        <v>5.8</v>
      </c>
      <c r="Z9" s="32">
        <f t="shared" si="7"/>
        <v>41.31</v>
      </c>
      <c r="AA9" s="32">
        <f t="shared" si="7"/>
        <v>12.7</v>
      </c>
      <c r="AB9" s="32">
        <f t="shared" si="7"/>
        <v>8.9</v>
      </c>
      <c r="AC9" s="32">
        <f t="shared" si="7"/>
        <v>4.3</v>
      </c>
      <c r="AD9" s="32">
        <f t="shared" si="7"/>
        <v>15.19</v>
      </c>
      <c r="AE9" s="32">
        <f t="shared" si="7"/>
        <v>10.9</v>
      </c>
      <c r="AF9" s="29">
        <v>70</v>
      </c>
      <c r="AG9" s="30">
        <f t="shared" si="3"/>
        <v>23.200000000000003</v>
      </c>
      <c r="AH9" s="31">
        <f t="shared" si="4"/>
        <v>65.842696629213492</v>
      </c>
    </row>
    <row r="10" spans="1:34" s="2" customFormat="1" ht="15.6" x14ac:dyDescent="0.3">
      <c r="A10" s="6" t="s">
        <v>3</v>
      </c>
      <c r="B10" s="2">
        <v>3</v>
      </c>
      <c r="C10" s="3">
        <v>2</v>
      </c>
      <c r="D10" s="5" t="s">
        <v>404</v>
      </c>
      <c r="E10" s="32">
        <f t="shared" si="5"/>
        <v>33.6</v>
      </c>
      <c r="F10" s="32">
        <f t="shared" si="5"/>
        <v>7.7</v>
      </c>
      <c r="G10" s="32">
        <f t="shared" si="5"/>
        <v>35.799999999999997</v>
      </c>
      <c r="H10" s="32">
        <f t="shared" si="5"/>
        <v>21.4</v>
      </c>
      <c r="I10" s="32">
        <f t="shared" si="5"/>
        <v>1.25</v>
      </c>
      <c r="J10" s="32">
        <f t="shared" si="5"/>
        <v>15</v>
      </c>
      <c r="K10" s="32">
        <f t="shared" si="5"/>
        <v>22.6</v>
      </c>
      <c r="L10" s="32">
        <f t="shared" si="5"/>
        <v>3.4</v>
      </c>
      <c r="M10" s="32">
        <f t="shared" si="5"/>
        <v>42</v>
      </c>
      <c r="N10" s="32">
        <f t="shared" si="5"/>
        <v>25.06</v>
      </c>
      <c r="O10" s="32">
        <f t="shared" si="6"/>
        <v>0.54900000000000004</v>
      </c>
      <c r="P10" s="32">
        <f t="shared" si="6"/>
        <v>11.94</v>
      </c>
      <c r="Q10" s="32">
        <f t="shared" si="6"/>
        <v>48.3</v>
      </c>
      <c r="R10" s="32">
        <f t="shared" si="6"/>
        <v>16.2</v>
      </c>
      <c r="S10" s="32">
        <f t="shared" si="6"/>
        <v>75.3</v>
      </c>
      <c r="T10" s="32">
        <f t="shared" si="6"/>
        <v>22</v>
      </c>
      <c r="U10" s="32">
        <f t="shared" si="6"/>
        <v>16.600000000000001</v>
      </c>
      <c r="V10" s="32">
        <f t="shared" si="6"/>
        <v>68.3</v>
      </c>
      <c r="W10" s="32">
        <f t="shared" si="6"/>
        <v>10.31</v>
      </c>
      <c r="X10" s="32">
        <f t="shared" si="6"/>
        <v>80.3</v>
      </c>
      <c r="Y10" s="32">
        <f t="shared" si="7"/>
        <v>3.9</v>
      </c>
      <c r="Z10" s="32">
        <f t="shared" si="7"/>
        <v>35.369999999999997</v>
      </c>
      <c r="AA10" s="32">
        <f t="shared" si="7"/>
        <v>12</v>
      </c>
      <c r="AB10" s="32">
        <f t="shared" si="7"/>
        <v>9.3000000000000007</v>
      </c>
      <c r="AC10" s="32">
        <f t="shared" si="7"/>
        <v>3.2</v>
      </c>
      <c r="AD10" s="32">
        <f t="shared" si="7"/>
        <v>15.23</v>
      </c>
      <c r="AE10" s="32">
        <f t="shared" si="7"/>
        <v>12</v>
      </c>
      <c r="AF10" s="29">
        <v>68.8</v>
      </c>
      <c r="AG10" s="30">
        <f t="shared" si="3"/>
        <v>20.299999999999997</v>
      </c>
      <c r="AH10" s="31">
        <f t="shared" si="4"/>
        <v>57.971014492753618</v>
      </c>
    </row>
    <row r="11" spans="1:34" s="2" customFormat="1" ht="15.6" x14ac:dyDescent="0.3">
      <c r="A11" s="6" t="s">
        <v>47</v>
      </c>
      <c r="B11" s="2">
        <v>3</v>
      </c>
      <c r="C11" s="3">
        <v>2</v>
      </c>
      <c r="D11" s="5" t="s">
        <v>404</v>
      </c>
      <c r="E11" s="32">
        <f t="shared" si="5"/>
        <v>33.299999999999997</v>
      </c>
      <c r="F11" s="32">
        <f t="shared" si="5"/>
        <v>9.9</v>
      </c>
      <c r="G11" s="32">
        <f t="shared" si="5"/>
        <v>34.799999999999997</v>
      </c>
      <c r="H11" s="32">
        <f t="shared" si="5"/>
        <v>28.4</v>
      </c>
      <c r="I11" s="32">
        <f t="shared" si="5"/>
        <v>1.51</v>
      </c>
      <c r="J11" s="32">
        <f t="shared" si="5"/>
        <v>14.5</v>
      </c>
      <c r="K11" s="32">
        <f t="shared" si="5"/>
        <v>16.54</v>
      </c>
      <c r="L11" s="32">
        <f t="shared" si="5"/>
        <v>2.4</v>
      </c>
      <c r="M11" s="32">
        <f t="shared" si="5"/>
        <v>41.6</v>
      </c>
      <c r="N11" s="32">
        <f t="shared" si="5"/>
        <v>27.11</v>
      </c>
      <c r="O11" s="32">
        <f t="shared" si="6"/>
        <v>0.53800000000000003</v>
      </c>
      <c r="P11" s="32">
        <f t="shared" si="6"/>
        <v>7.14</v>
      </c>
      <c r="Q11" s="32">
        <f t="shared" si="6"/>
        <v>45.4</v>
      </c>
      <c r="R11" s="32">
        <f t="shared" si="6"/>
        <v>16.5</v>
      </c>
      <c r="S11" s="32">
        <f t="shared" si="6"/>
        <v>82.6</v>
      </c>
      <c r="T11" s="32">
        <f t="shared" si="6"/>
        <v>20.2</v>
      </c>
      <c r="U11" s="32">
        <f t="shared" si="6"/>
        <v>16.600000000000001</v>
      </c>
      <c r="V11" s="32">
        <f t="shared" si="6"/>
        <v>70.900000000000006</v>
      </c>
      <c r="W11" s="32">
        <f t="shared" si="6"/>
        <v>9.3800000000000008</v>
      </c>
      <c r="X11" s="32">
        <f t="shared" si="6"/>
        <v>80.099999999999994</v>
      </c>
      <c r="Y11" s="32">
        <f t="shared" si="7"/>
        <v>2.5</v>
      </c>
      <c r="Z11" s="32">
        <f t="shared" si="7"/>
        <v>36.49</v>
      </c>
      <c r="AA11" s="32">
        <f t="shared" si="7"/>
        <v>9.1999999999999993</v>
      </c>
      <c r="AB11" s="32">
        <f t="shared" si="7"/>
        <v>5.0999999999999996</v>
      </c>
      <c r="AC11" s="32">
        <f t="shared" si="7"/>
        <v>0.4</v>
      </c>
      <c r="AD11" s="32">
        <f t="shared" si="7"/>
        <v>9.9700000000000006</v>
      </c>
      <c r="AE11" s="32">
        <f t="shared" si="7"/>
        <v>9.6</v>
      </c>
      <c r="AF11" s="29">
        <v>68</v>
      </c>
      <c r="AG11" s="30">
        <f t="shared" si="3"/>
        <v>16.899999999999995</v>
      </c>
      <c r="AH11" s="31">
        <f t="shared" si="4"/>
        <v>59.030837004405278</v>
      </c>
    </row>
    <row r="12" spans="1:34" s="2" customFormat="1" ht="15.6" x14ac:dyDescent="0.3">
      <c r="A12" s="6" t="s">
        <v>49</v>
      </c>
      <c r="B12" s="2">
        <v>3</v>
      </c>
      <c r="C12" s="3">
        <v>3</v>
      </c>
      <c r="D12" s="5" t="s">
        <v>404</v>
      </c>
      <c r="E12" s="32">
        <f t="shared" si="5"/>
        <v>30.5</v>
      </c>
      <c r="F12" s="32">
        <f t="shared" si="5"/>
        <v>9.5</v>
      </c>
      <c r="G12" s="32">
        <f t="shared" si="5"/>
        <v>37.5</v>
      </c>
      <c r="H12" s="32">
        <f t="shared" si="5"/>
        <v>25.3</v>
      </c>
      <c r="I12" s="32">
        <f t="shared" si="5"/>
        <v>1.55</v>
      </c>
      <c r="J12" s="32">
        <f t="shared" si="5"/>
        <v>16.899999999999999</v>
      </c>
      <c r="K12" s="32">
        <f t="shared" si="5"/>
        <v>22.19</v>
      </c>
      <c r="L12" s="32">
        <f t="shared" si="5"/>
        <v>4</v>
      </c>
      <c r="M12" s="32">
        <f t="shared" si="5"/>
        <v>43.7</v>
      </c>
      <c r="N12" s="32">
        <f t="shared" si="5"/>
        <v>28.14</v>
      </c>
      <c r="O12" s="32">
        <f t="shared" si="6"/>
        <v>0.55900000000000005</v>
      </c>
      <c r="P12" s="32">
        <f t="shared" si="6"/>
        <v>14.03</v>
      </c>
      <c r="Q12" s="32">
        <f t="shared" si="6"/>
        <v>48.2</v>
      </c>
      <c r="R12" s="32">
        <f t="shared" si="6"/>
        <v>17.2</v>
      </c>
      <c r="S12" s="32">
        <f t="shared" si="6"/>
        <v>73.099999999999994</v>
      </c>
      <c r="T12" s="32">
        <f t="shared" si="6"/>
        <v>21.6</v>
      </c>
      <c r="U12" s="32">
        <f t="shared" si="6"/>
        <v>15.8</v>
      </c>
      <c r="V12" s="32">
        <f t="shared" si="6"/>
        <v>77.2</v>
      </c>
      <c r="W12" s="32">
        <f t="shared" si="6"/>
        <v>9.89</v>
      </c>
      <c r="X12" s="32">
        <f t="shared" si="6"/>
        <v>84.4</v>
      </c>
      <c r="Y12" s="32">
        <f t="shared" si="7"/>
        <v>2.7</v>
      </c>
      <c r="Z12" s="32">
        <f t="shared" si="7"/>
        <v>38.03</v>
      </c>
      <c r="AA12" s="32">
        <f t="shared" si="7"/>
        <v>7.2</v>
      </c>
      <c r="AB12" s="32">
        <f t="shared" si="7"/>
        <v>6.9</v>
      </c>
      <c r="AC12" s="32">
        <f t="shared" si="7"/>
        <v>-0.6</v>
      </c>
      <c r="AD12" s="32">
        <f t="shared" si="7"/>
        <v>10.25</v>
      </c>
      <c r="AE12" s="32">
        <f t="shared" si="7"/>
        <v>10.9</v>
      </c>
      <c r="AF12" s="29">
        <v>70.900000000000006</v>
      </c>
      <c r="AG12" s="30">
        <f t="shared" si="3"/>
        <v>20.050000000000004</v>
      </c>
      <c r="AH12" s="31">
        <f t="shared" si="4"/>
        <v>61.30705394190872</v>
      </c>
    </row>
    <row r="13" spans="1:34" s="2" customFormat="1" ht="15.6" x14ac:dyDescent="0.3">
      <c r="A13" s="6" t="s">
        <v>46</v>
      </c>
      <c r="B13" s="2">
        <v>3</v>
      </c>
      <c r="C13" s="3">
        <v>4</v>
      </c>
      <c r="D13" s="5" t="s">
        <v>404</v>
      </c>
      <c r="E13" s="32">
        <f t="shared" si="5"/>
        <v>32.4</v>
      </c>
      <c r="F13" s="32">
        <f t="shared" si="5"/>
        <v>10</v>
      </c>
      <c r="G13" s="32">
        <f t="shared" si="5"/>
        <v>36.700000000000003</v>
      </c>
      <c r="H13" s="32">
        <f t="shared" si="5"/>
        <v>27.3</v>
      </c>
      <c r="I13" s="32">
        <f t="shared" si="5"/>
        <v>1.7</v>
      </c>
      <c r="J13" s="32">
        <f t="shared" si="5"/>
        <v>16.399999999999999</v>
      </c>
      <c r="K13" s="32">
        <f t="shared" si="5"/>
        <v>19.95</v>
      </c>
      <c r="L13" s="32">
        <f t="shared" si="5"/>
        <v>3.1</v>
      </c>
      <c r="M13" s="32">
        <f t="shared" si="5"/>
        <v>42.6</v>
      </c>
      <c r="N13" s="32">
        <f t="shared" si="5"/>
        <v>25.22</v>
      </c>
      <c r="O13" s="32">
        <f t="shared" si="6"/>
        <v>0.54700000000000004</v>
      </c>
      <c r="P13" s="32">
        <f t="shared" si="6"/>
        <v>10.16</v>
      </c>
      <c r="Q13" s="32">
        <f t="shared" si="6"/>
        <v>46.6</v>
      </c>
      <c r="R13" s="32">
        <f t="shared" si="6"/>
        <v>15.7</v>
      </c>
      <c r="S13" s="32">
        <f t="shared" si="6"/>
        <v>76</v>
      </c>
      <c r="T13" s="32">
        <f t="shared" si="6"/>
        <v>17.899999999999999</v>
      </c>
      <c r="U13" s="32">
        <f t="shared" si="6"/>
        <v>13.6</v>
      </c>
      <c r="V13" s="32">
        <f t="shared" si="6"/>
        <v>68.5</v>
      </c>
      <c r="W13" s="32">
        <f t="shared" si="6"/>
        <v>11.84</v>
      </c>
      <c r="X13" s="32">
        <f t="shared" si="6"/>
        <v>80.900000000000006</v>
      </c>
      <c r="Y13" s="32">
        <f t="shared" si="7"/>
        <v>4.3</v>
      </c>
      <c r="Z13" s="32">
        <f t="shared" si="7"/>
        <v>37.049999999999997</v>
      </c>
      <c r="AA13" s="32">
        <f t="shared" si="7"/>
        <v>12.4</v>
      </c>
      <c r="AB13" s="32">
        <f t="shared" si="7"/>
        <v>6.3</v>
      </c>
      <c r="AC13" s="32">
        <f t="shared" si="7"/>
        <v>1.9</v>
      </c>
      <c r="AD13" s="32">
        <f t="shared" si="7"/>
        <v>11.54</v>
      </c>
      <c r="AE13" s="32">
        <f t="shared" si="7"/>
        <v>9.6</v>
      </c>
      <c r="AF13" s="29">
        <v>66.099999999999994</v>
      </c>
      <c r="AG13" s="30">
        <f t="shared" si="3"/>
        <v>18.650000000000006</v>
      </c>
      <c r="AH13" s="31">
        <f t="shared" si="4"/>
        <v>61.480686695278976</v>
      </c>
    </row>
    <row r="14" spans="1:34" s="2" customFormat="1" ht="15.6" x14ac:dyDescent="0.3">
      <c r="A14" s="6" t="s">
        <v>43</v>
      </c>
      <c r="B14" s="2">
        <v>4</v>
      </c>
      <c r="C14" s="3">
        <v>2</v>
      </c>
      <c r="D14" s="5" t="s">
        <v>404</v>
      </c>
      <c r="E14" s="32">
        <f t="shared" ref="E14:N23" si="8">INDEX(rawValue25,MATCH(INDEX(teamID,MATCH(INDEX(ovrTeamCol25,ROW(),1),teamINI,0))+INDEX(statID,MATCH(INDEX(ovrHeaderRow25,1,COLUMN()),statAbbr,0),1),rawLookup25,0))</f>
        <v>33.299999999999997</v>
      </c>
      <c r="F14" s="32">
        <f t="shared" si="8"/>
        <v>7</v>
      </c>
      <c r="G14" s="32">
        <f t="shared" si="8"/>
        <v>30.7</v>
      </c>
      <c r="H14" s="32">
        <f t="shared" si="8"/>
        <v>22.7</v>
      </c>
      <c r="I14" s="32">
        <f t="shared" si="8"/>
        <v>0.98</v>
      </c>
      <c r="J14" s="32">
        <f t="shared" si="8"/>
        <v>11.9</v>
      </c>
      <c r="K14" s="32">
        <f t="shared" si="8"/>
        <v>27.38</v>
      </c>
      <c r="L14" s="32">
        <f t="shared" si="8"/>
        <v>4</v>
      </c>
      <c r="M14" s="32">
        <f t="shared" si="8"/>
        <v>40.6</v>
      </c>
      <c r="N14" s="32">
        <f t="shared" si="8"/>
        <v>25.06</v>
      </c>
      <c r="O14" s="32">
        <f t="shared" ref="O14:X23" si="9">INDEX(rawValue25,MATCH(INDEX(teamID,MATCH(INDEX(ovrTeamCol25,ROW(),1),teamINI,0))+INDEX(statID,MATCH(INDEX(ovrHeaderRow25,1,COLUMN()),statAbbr,0),1),rawLookup25,0))</f>
        <v>0.47599999999999998</v>
      </c>
      <c r="P14" s="32">
        <f t="shared" si="9"/>
        <v>8.7899999999999991</v>
      </c>
      <c r="Q14" s="32">
        <f t="shared" si="9"/>
        <v>41.8</v>
      </c>
      <c r="R14" s="32">
        <f t="shared" si="9"/>
        <v>17.5</v>
      </c>
      <c r="S14" s="32">
        <f t="shared" si="9"/>
        <v>69.2</v>
      </c>
      <c r="T14" s="32">
        <f t="shared" si="9"/>
        <v>24.9</v>
      </c>
      <c r="U14" s="32">
        <f t="shared" si="9"/>
        <v>17.2</v>
      </c>
      <c r="V14" s="32">
        <f t="shared" si="9"/>
        <v>68.7</v>
      </c>
      <c r="W14" s="32">
        <f t="shared" si="9"/>
        <v>15.97</v>
      </c>
      <c r="X14" s="32">
        <f t="shared" si="9"/>
        <v>74.599999999999994</v>
      </c>
      <c r="Y14" s="32">
        <f t="shared" ref="Y14:AE23" si="10">INDEX(rawValue25,MATCH(INDEX(teamID,MATCH(INDEX(ovrTeamCol25,ROW(),1),teamINI,0))+INDEX(statID,MATCH(INDEX(ovrHeaderRow25,1,COLUMN()),statAbbr,0),1),rawLookup25,0))</f>
        <v>8.6999999999999993</v>
      </c>
      <c r="Z14" s="32">
        <f t="shared" si="10"/>
        <v>41.03</v>
      </c>
      <c r="AA14" s="32">
        <f t="shared" si="10"/>
        <v>5.9</v>
      </c>
      <c r="AB14" s="32">
        <f t="shared" si="10"/>
        <v>7.6</v>
      </c>
      <c r="AC14" s="32">
        <f t="shared" si="10"/>
        <v>1.1000000000000001</v>
      </c>
      <c r="AD14" s="32">
        <f t="shared" si="10"/>
        <v>13.26</v>
      </c>
      <c r="AE14" s="32">
        <f t="shared" si="10"/>
        <v>12.2</v>
      </c>
      <c r="AF14" s="29">
        <v>66.8</v>
      </c>
      <c r="AG14" s="30">
        <f t="shared" si="3"/>
        <v>18.199999999999996</v>
      </c>
      <c r="AH14" s="31">
        <f t="shared" si="4"/>
        <v>60.287081339712913</v>
      </c>
    </row>
    <row r="15" spans="1:34" s="2" customFormat="1" ht="15.6" x14ac:dyDescent="0.3">
      <c r="A15" s="6" t="s">
        <v>19</v>
      </c>
      <c r="B15" s="2">
        <v>4</v>
      </c>
      <c r="C15" s="3">
        <v>3</v>
      </c>
      <c r="D15" s="5" t="s">
        <v>404</v>
      </c>
      <c r="E15" s="32">
        <f t="shared" si="8"/>
        <v>34</v>
      </c>
      <c r="F15" s="32">
        <f t="shared" si="8"/>
        <v>7.2</v>
      </c>
      <c r="G15" s="32">
        <f t="shared" si="8"/>
        <v>33.799999999999997</v>
      </c>
      <c r="H15" s="32">
        <f t="shared" si="8"/>
        <v>21.3</v>
      </c>
      <c r="I15" s="32">
        <f t="shared" si="8"/>
        <v>1.42</v>
      </c>
      <c r="J15" s="32">
        <f t="shared" si="8"/>
        <v>16.2</v>
      </c>
      <c r="K15" s="32">
        <f t="shared" si="8"/>
        <v>29.57</v>
      </c>
      <c r="L15" s="32">
        <f t="shared" si="8"/>
        <v>4.4000000000000004</v>
      </c>
      <c r="M15" s="32">
        <f t="shared" si="8"/>
        <v>41.9</v>
      </c>
      <c r="N15" s="32">
        <f t="shared" si="8"/>
        <v>27.41</v>
      </c>
      <c r="O15" s="32">
        <f t="shared" si="9"/>
        <v>0.53300000000000003</v>
      </c>
      <c r="P15" s="32">
        <f t="shared" si="9"/>
        <v>13.76</v>
      </c>
      <c r="Q15" s="32">
        <f t="shared" si="9"/>
        <v>47.4</v>
      </c>
      <c r="R15" s="32">
        <f t="shared" si="9"/>
        <v>16.899999999999999</v>
      </c>
      <c r="S15" s="32">
        <f t="shared" si="9"/>
        <v>78</v>
      </c>
      <c r="T15" s="32">
        <f t="shared" si="9"/>
        <v>22</v>
      </c>
      <c r="U15" s="32">
        <f t="shared" si="9"/>
        <v>17.100000000000001</v>
      </c>
      <c r="V15" s="32">
        <f t="shared" si="9"/>
        <v>73.3</v>
      </c>
      <c r="W15" s="32">
        <f t="shared" si="9"/>
        <v>12.32</v>
      </c>
      <c r="X15" s="32">
        <f t="shared" si="9"/>
        <v>82.5</v>
      </c>
      <c r="Y15" s="32">
        <f t="shared" si="10"/>
        <v>7.2</v>
      </c>
      <c r="Z15" s="32">
        <f t="shared" si="10"/>
        <v>39.729999999999997</v>
      </c>
      <c r="AA15" s="32">
        <f t="shared" si="10"/>
        <v>9.1999999999999993</v>
      </c>
      <c r="AB15" s="32">
        <f t="shared" si="10"/>
        <v>7.5</v>
      </c>
      <c r="AC15" s="32">
        <f t="shared" si="10"/>
        <v>0.1</v>
      </c>
      <c r="AD15" s="32">
        <f t="shared" si="10"/>
        <v>11.49</v>
      </c>
      <c r="AE15" s="32">
        <f t="shared" si="10"/>
        <v>11.4</v>
      </c>
      <c r="AF15" s="29">
        <v>70.3</v>
      </c>
      <c r="AG15" s="30">
        <f t="shared" si="3"/>
        <v>21.900000000000002</v>
      </c>
      <c r="AH15" s="31">
        <f t="shared" si="4"/>
        <v>61.392405063291143</v>
      </c>
    </row>
    <row r="16" spans="1:34" s="2" customFormat="1" ht="15.6" x14ac:dyDescent="0.3">
      <c r="A16" s="6" t="s">
        <v>54</v>
      </c>
      <c r="B16" s="2">
        <v>4</v>
      </c>
      <c r="C16" s="3">
        <v>3</v>
      </c>
      <c r="D16" s="5" t="s">
        <v>404</v>
      </c>
      <c r="E16" s="32">
        <f t="shared" si="8"/>
        <v>31.2</v>
      </c>
      <c r="F16" s="32">
        <f t="shared" si="8"/>
        <v>8.3000000000000007</v>
      </c>
      <c r="G16" s="32">
        <f t="shared" si="8"/>
        <v>38.200000000000003</v>
      </c>
      <c r="H16" s="32">
        <f t="shared" si="8"/>
        <v>21.6</v>
      </c>
      <c r="I16" s="32">
        <f t="shared" si="8"/>
        <v>1.53</v>
      </c>
      <c r="J16" s="32">
        <f t="shared" si="8"/>
        <v>15.9</v>
      </c>
      <c r="K16" s="32">
        <f t="shared" si="8"/>
        <v>17.03</v>
      </c>
      <c r="L16" s="32">
        <f t="shared" si="8"/>
        <v>1.6</v>
      </c>
      <c r="M16" s="32">
        <f t="shared" si="8"/>
        <v>45.2</v>
      </c>
      <c r="N16" s="32">
        <f t="shared" si="8"/>
        <v>23.08</v>
      </c>
      <c r="O16" s="32">
        <f t="shared" si="9"/>
        <v>0.55900000000000005</v>
      </c>
      <c r="P16" s="32">
        <f t="shared" si="9"/>
        <v>7.83</v>
      </c>
      <c r="Q16" s="32">
        <f t="shared" si="9"/>
        <v>48.6</v>
      </c>
      <c r="R16" s="32">
        <f t="shared" si="9"/>
        <v>15.8</v>
      </c>
      <c r="S16" s="32">
        <f t="shared" si="9"/>
        <v>73.2</v>
      </c>
      <c r="T16" s="32">
        <f t="shared" si="9"/>
        <v>19.5</v>
      </c>
      <c r="U16" s="32">
        <f t="shared" si="9"/>
        <v>14.3</v>
      </c>
      <c r="V16" s="32">
        <f t="shared" si="9"/>
        <v>70.400000000000006</v>
      </c>
      <c r="W16" s="32">
        <f t="shared" si="9"/>
        <v>9.7799999999999994</v>
      </c>
      <c r="X16" s="32">
        <f t="shared" si="9"/>
        <v>77.3</v>
      </c>
      <c r="Y16" s="32">
        <f t="shared" si="10"/>
        <v>2.1</v>
      </c>
      <c r="Z16" s="32">
        <f t="shared" si="10"/>
        <v>32.86</v>
      </c>
      <c r="AA16" s="32">
        <f t="shared" si="10"/>
        <v>6.9</v>
      </c>
      <c r="AB16" s="32">
        <f t="shared" si="10"/>
        <v>6.4</v>
      </c>
      <c r="AC16" s="32">
        <f t="shared" si="10"/>
        <v>1.2</v>
      </c>
      <c r="AD16" s="32">
        <f t="shared" si="10"/>
        <v>11.61</v>
      </c>
      <c r="AE16" s="32">
        <f t="shared" si="10"/>
        <v>10.4</v>
      </c>
      <c r="AF16" s="29">
        <v>65.099999999999994</v>
      </c>
      <c r="AG16" s="30">
        <f t="shared" si="3"/>
        <v>19.049999999999997</v>
      </c>
      <c r="AH16" s="31">
        <f t="shared" si="4"/>
        <v>56.275720164609055</v>
      </c>
    </row>
    <row r="17" spans="1:34" s="2" customFormat="1" ht="15.6" x14ac:dyDescent="0.3">
      <c r="A17" s="6" t="s">
        <v>372</v>
      </c>
      <c r="B17" s="2">
        <v>4</v>
      </c>
      <c r="C17" s="3">
        <v>3</v>
      </c>
      <c r="D17" s="5" t="s">
        <v>404</v>
      </c>
      <c r="E17" s="32">
        <f t="shared" si="8"/>
        <v>30.6</v>
      </c>
      <c r="F17" s="32">
        <f t="shared" si="8"/>
        <v>8.1</v>
      </c>
      <c r="G17" s="32">
        <f t="shared" si="8"/>
        <v>37.299999999999997</v>
      </c>
      <c r="H17" s="32">
        <f t="shared" si="8"/>
        <v>21.7</v>
      </c>
      <c r="I17" s="32">
        <f t="shared" si="8"/>
        <v>1.4</v>
      </c>
      <c r="J17" s="32">
        <f t="shared" si="8"/>
        <v>14.2</v>
      </c>
      <c r="K17" s="32">
        <f t="shared" si="8"/>
        <v>12.08</v>
      </c>
      <c r="L17" s="32">
        <f t="shared" si="8"/>
        <v>4.5</v>
      </c>
      <c r="M17" s="32">
        <f t="shared" si="8"/>
        <v>41.6</v>
      </c>
      <c r="N17" s="32">
        <f t="shared" si="8"/>
        <v>25.69</v>
      </c>
      <c r="O17" s="32">
        <f t="shared" si="9"/>
        <v>0.53600000000000003</v>
      </c>
      <c r="P17" s="32">
        <f t="shared" si="9"/>
        <v>12.61</v>
      </c>
      <c r="Q17" s="32">
        <f t="shared" si="9"/>
        <v>47</v>
      </c>
      <c r="R17" s="32">
        <f t="shared" si="9"/>
        <v>15.3</v>
      </c>
      <c r="S17" s="32">
        <f t="shared" si="9"/>
        <v>75</v>
      </c>
      <c r="T17" s="32">
        <f t="shared" si="9"/>
        <v>20.3</v>
      </c>
      <c r="U17" s="32">
        <f t="shared" si="9"/>
        <v>15.3</v>
      </c>
      <c r="V17" s="32">
        <f t="shared" si="9"/>
        <v>67.2</v>
      </c>
      <c r="W17" s="32">
        <f t="shared" si="9"/>
        <v>10.56</v>
      </c>
      <c r="X17" s="32">
        <f t="shared" si="9"/>
        <v>81.099999999999994</v>
      </c>
      <c r="Y17" s="32">
        <f t="shared" si="10"/>
        <v>2.2999999999999998</v>
      </c>
      <c r="Z17" s="32">
        <f t="shared" si="10"/>
        <v>36.25</v>
      </c>
      <c r="AA17" s="32">
        <f t="shared" si="10"/>
        <v>13.9</v>
      </c>
      <c r="AB17" s="32">
        <f t="shared" si="10"/>
        <v>7.9</v>
      </c>
      <c r="AC17" s="32">
        <f t="shared" si="10"/>
        <v>4.0999999999999996</v>
      </c>
      <c r="AD17" s="32">
        <f t="shared" si="10"/>
        <v>14.19</v>
      </c>
      <c r="AE17" s="32">
        <f t="shared" si="10"/>
        <v>10.1</v>
      </c>
      <c r="AF17" s="29">
        <v>69.599999999999994</v>
      </c>
      <c r="AG17" s="30">
        <f t="shared" si="3"/>
        <v>20.75</v>
      </c>
      <c r="AH17" s="31">
        <f t="shared" si="4"/>
        <v>61.382978723404257</v>
      </c>
    </row>
    <row r="18" spans="1:34" s="2" customFormat="1" ht="15.6" x14ac:dyDescent="0.3">
      <c r="A18" s="6" t="s">
        <v>348</v>
      </c>
      <c r="B18" s="2">
        <v>5</v>
      </c>
      <c r="C18" s="3">
        <v>3</v>
      </c>
      <c r="D18" s="5" t="s">
        <v>404</v>
      </c>
      <c r="E18" s="32">
        <f t="shared" si="8"/>
        <v>30.8</v>
      </c>
      <c r="F18" s="32">
        <f t="shared" si="8"/>
        <v>8.1</v>
      </c>
      <c r="G18" s="32">
        <f t="shared" si="8"/>
        <v>33.200000000000003</v>
      </c>
      <c r="H18" s="32">
        <f t="shared" si="8"/>
        <v>24.5</v>
      </c>
      <c r="I18" s="32">
        <f t="shared" si="8"/>
        <v>1.1299999999999999</v>
      </c>
      <c r="J18" s="32">
        <f t="shared" si="8"/>
        <v>15.8</v>
      </c>
      <c r="K18" s="32">
        <f t="shared" si="8"/>
        <v>18.97</v>
      </c>
      <c r="L18" s="32">
        <f t="shared" si="8"/>
        <v>3.6</v>
      </c>
      <c r="M18" s="32">
        <f t="shared" si="8"/>
        <v>40.1</v>
      </c>
      <c r="N18" s="32">
        <f t="shared" si="8"/>
        <v>27.38</v>
      </c>
      <c r="O18" s="32">
        <f t="shared" si="9"/>
        <v>0.53800000000000003</v>
      </c>
      <c r="P18" s="32">
        <f t="shared" si="9"/>
        <v>9.65</v>
      </c>
      <c r="Q18" s="32">
        <f t="shared" si="9"/>
        <v>46.8</v>
      </c>
      <c r="R18" s="32">
        <f t="shared" si="9"/>
        <v>17.100000000000001</v>
      </c>
      <c r="S18" s="32">
        <f t="shared" si="9"/>
        <v>72.8</v>
      </c>
      <c r="T18" s="32">
        <f t="shared" si="9"/>
        <v>20.9</v>
      </c>
      <c r="U18" s="32">
        <f t="shared" si="9"/>
        <v>15.2</v>
      </c>
      <c r="V18" s="32">
        <f t="shared" si="9"/>
        <v>71.5</v>
      </c>
      <c r="W18" s="32">
        <f t="shared" si="9"/>
        <v>11.05</v>
      </c>
      <c r="X18" s="32">
        <f t="shared" si="9"/>
        <v>78</v>
      </c>
      <c r="Y18" s="32">
        <f t="shared" si="10"/>
        <v>4.3</v>
      </c>
      <c r="Z18" s="32">
        <f t="shared" si="10"/>
        <v>38.43</v>
      </c>
      <c r="AA18" s="32">
        <f t="shared" si="10"/>
        <v>6.5</v>
      </c>
      <c r="AB18" s="32">
        <f t="shared" si="10"/>
        <v>5.4</v>
      </c>
      <c r="AC18" s="32">
        <f t="shared" si="10"/>
        <v>-2.7</v>
      </c>
      <c r="AD18" s="32">
        <f t="shared" si="10"/>
        <v>11.27</v>
      </c>
      <c r="AE18" s="32">
        <f t="shared" si="10"/>
        <v>14</v>
      </c>
      <c r="AF18" s="29">
        <v>70.099999999999994</v>
      </c>
      <c r="AG18" s="30">
        <f t="shared" si="3"/>
        <v>19.25</v>
      </c>
      <c r="AH18" s="31">
        <f t="shared" si="4"/>
        <v>58.440170940170944</v>
      </c>
    </row>
    <row r="19" spans="1:34" s="2" customFormat="1" ht="15.6" x14ac:dyDescent="0.3">
      <c r="A19" s="6" t="s">
        <v>65</v>
      </c>
      <c r="B19" s="2">
        <v>5</v>
      </c>
      <c r="C19" s="3">
        <v>2</v>
      </c>
      <c r="D19" s="5" t="s">
        <v>404</v>
      </c>
      <c r="E19" s="32">
        <f t="shared" si="8"/>
        <v>31.7</v>
      </c>
      <c r="F19" s="32">
        <f t="shared" si="8"/>
        <v>7.7</v>
      </c>
      <c r="G19" s="32">
        <f t="shared" si="8"/>
        <v>34.4</v>
      </c>
      <c r="H19" s="32">
        <f t="shared" si="8"/>
        <v>22.5</v>
      </c>
      <c r="I19" s="32">
        <f t="shared" si="8"/>
        <v>1.27</v>
      </c>
      <c r="J19" s="32">
        <f t="shared" si="8"/>
        <v>14.3</v>
      </c>
      <c r="K19" s="32">
        <f t="shared" si="8"/>
        <v>21.94</v>
      </c>
      <c r="L19" s="32">
        <f t="shared" si="8"/>
        <v>3.7</v>
      </c>
      <c r="M19" s="32">
        <f t="shared" si="8"/>
        <v>42.9</v>
      </c>
      <c r="N19" s="32">
        <f t="shared" si="8"/>
        <v>25.6</v>
      </c>
      <c r="O19" s="32">
        <f t="shared" si="9"/>
        <v>0.52500000000000002</v>
      </c>
      <c r="P19" s="32">
        <f t="shared" si="9"/>
        <v>11.91</v>
      </c>
      <c r="Q19" s="32">
        <f t="shared" si="9"/>
        <v>46</v>
      </c>
      <c r="R19" s="32">
        <f t="shared" si="9"/>
        <v>16.3</v>
      </c>
      <c r="S19" s="32">
        <f t="shared" si="9"/>
        <v>75.7</v>
      </c>
      <c r="T19" s="32">
        <f t="shared" si="9"/>
        <v>19.399999999999999</v>
      </c>
      <c r="U19" s="32">
        <f t="shared" si="9"/>
        <v>14.7</v>
      </c>
      <c r="V19" s="32">
        <f t="shared" si="9"/>
        <v>70.900000000000006</v>
      </c>
      <c r="W19" s="32">
        <f t="shared" si="9"/>
        <v>10.199999999999999</v>
      </c>
      <c r="X19" s="32">
        <f t="shared" si="9"/>
        <v>76.5</v>
      </c>
      <c r="Y19" s="32">
        <f t="shared" si="10"/>
        <v>2</v>
      </c>
      <c r="Z19" s="32">
        <f t="shared" si="10"/>
        <v>35.799999999999997</v>
      </c>
      <c r="AA19" s="32">
        <f t="shared" si="10"/>
        <v>5.7</v>
      </c>
      <c r="AB19" s="32">
        <f t="shared" si="10"/>
        <v>7.2</v>
      </c>
      <c r="AC19" s="32">
        <f t="shared" si="10"/>
        <v>0.9</v>
      </c>
      <c r="AD19" s="32">
        <f t="shared" si="10"/>
        <v>12.14</v>
      </c>
      <c r="AE19" s="32">
        <f t="shared" si="10"/>
        <v>11.3</v>
      </c>
      <c r="AF19" s="29">
        <v>68.099999999999994</v>
      </c>
      <c r="AG19" s="30">
        <f t="shared" si="3"/>
        <v>19.349999999999998</v>
      </c>
      <c r="AH19" s="31">
        <f t="shared" si="4"/>
        <v>58.804347826086946</v>
      </c>
    </row>
    <row r="20" spans="1:34" s="2" customFormat="1" ht="15.6" x14ac:dyDescent="0.3">
      <c r="A20" s="6" t="s">
        <v>23</v>
      </c>
      <c r="B20" s="2">
        <v>5</v>
      </c>
      <c r="C20" s="3">
        <v>1</v>
      </c>
      <c r="D20" s="5" t="s">
        <v>404</v>
      </c>
      <c r="E20" s="32">
        <f t="shared" si="8"/>
        <v>31.9</v>
      </c>
      <c r="F20" s="32">
        <f t="shared" si="8"/>
        <v>8.5</v>
      </c>
      <c r="G20" s="32">
        <f t="shared" si="8"/>
        <v>36.9</v>
      </c>
      <c r="H20" s="32">
        <f t="shared" si="8"/>
        <v>23</v>
      </c>
      <c r="I20" s="32">
        <f t="shared" si="8"/>
        <v>1.35</v>
      </c>
      <c r="J20" s="32">
        <f t="shared" si="8"/>
        <v>14.2</v>
      </c>
      <c r="K20" s="32">
        <f t="shared" si="8"/>
        <v>15.35</v>
      </c>
      <c r="L20" s="32">
        <f t="shared" si="8"/>
        <v>3.5</v>
      </c>
      <c r="M20" s="32">
        <f t="shared" si="8"/>
        <v>42.8</v>
      </c>
      <c r="N20" s="32">
        <f t="shared" si="8"/>
        <v>24.09</v>
      </c>
      <c r="O20" s="32">
        <f t="shared" si="9"/>
        <v>0.53400000000000003</v>
      </c>
      <c r="P20" s="32">
        <f t="shared" si="9"/>
        <v>7.12</v>
      </c>
      <c r="Q20" s="32">
        <f t="shared" si="9"/>
        <v>46.2</v>
      </c>
      <c r="R20" s="32">
        <f t="shared" si="9"/>
        <v>15.2</v>
      </c>
      <c r="S20" s="32">
        <f t="shared" si="9"/>
        <v>76.8</v>
      </c>
      <c r="T20" s="32">
        <f t="shared" si="9"/>
        <v>16.8</v>
      </c>
      <c r="U20" s="32">
        <f t="shared" si="9"/>
        <v>12.9</v>
      </c>
      <c r="V20" s="32">
        <f t="shared" si="9"/>
        <v>65.8</v>
      </c>
      <c r="W20" s="32">
        <f t="shared" si="9"/>
        <v>11.26</v>
      </c>
      <c r="X20" s="32">
        <f t="shared" si="9"/>
        <v>76.099999999999994</v>
      </c>
      <c r="Y20" s="32">
        <f t="shared" si="10"/>
        <v>2.7</v>
      </c>
      <c r="Z20" s="32">
        <f t="shared" si="10"/>
        <v>35.35</v>
      </c>
      <c r="AA20" s="32">
        <f t="shared" si="10"/>
        <v>10.3</v>
      </c>
      <c r="AB20" s="32">
        <f t="shared" si="10"/>
        <v>7.4</v>
      </c>
      <c r="AC20" s="32">
        <f t="shared" si="10"/>
        <v>2.8</v>
      </c>
      <c r="AD20" s="32">
        <f t="shared" si="10"/>
        <v>13.29</v>
      </c>
      <c r="AE20" s="32">
        <f t="shared" si="10"/>
        <v>10.5</v>
      </c>
      <c r="AF20" s="29">
        <v>64.599999999999994</v>
      </c>
      <c r="AG20" s="30">
        <f t="shared" si="3"/>
        <v>18.849999999999998</v>
      </c>
      <c r="AH20" s="31">
        <f t="shared" si="4"/>
        <v>59.199134199134193</v>
      </c>
    </row>
    <row r="21" spans="1:34" s="2" customFormat="1" ht="15.6" x14ac:dyDescent="0.3">
      <c r="A21" s="6" t="s">
        <v>342</v>
      </c>
      <c r="B21" s="2">
        <v>5</v>
      </c>
      <c r="C21" s="3">
        <v>1</v>
      </c>
      <c r="D21" s="5" t="s">
        <v>404</v>
      </c>
      <c r="E21" s="32">
        <f t="shared" si="8"/>
        <v>32.4</v>
      </c>
      <c r="F21" s="32">
        <f t="shared" si="8"/>
        <v>7.4</v>
      </c>
      <c r="G21" s="32">
        <f t="shared" si="8"/>
        <v>37.6</v>
      </c>
      <c r="H21" s="32">
        <f t="shared" si="8"/>
        <v>19.8</v>
      </c>
      <c r="I21" s="32">
        <f t="shared" si="8"/>
        <v>1.04</v>
      </c>
      <c r="J21" s="32">
        <f t="shared" si="8"/>
        <v>14.4</v>
      </c>
      <c r="K21" s="32">
        <f t="shared" si="8"/>
        <v>16.86</v>
      </c>
      <c r="L21" s="32">
        <f t="shared" si="8"/>
        <v>4.7</v>
      </c>
      <c r="M21" s="32">
        <f t="shared" si="8"/>
        <v>41.9</v>
      </c>
      <c r="N21" s="32">
        <f t="shared" si="8"/>
        <v>25.31</v>
      </c>
      <c r="O21" s="32">
        <f t="shared" si="9"/>
        <v>0.53500000000000003</v>
      </c>
      <c r="P21" s="32">
        <f t="shared" si="9"/>
        <v>13.91</v>
      </c>
      <c r="Q21" s="32">
        <f t="shared" si="9"/>
        <v>47.2</v>
      </c>
      <c r="R21" s="32">
        <f t="shared" si="9"/>
        <v>17.8</v>
      </c>
      <c r="S21" s="32">
        <f t="shared" si="9"/>
        <v>70.2</v>
      </c>
      <c r="T21" s="32">
        <f t="shared" si="9"/>
        <v>23.3</v>
      </c>
      <c r="U21" s="32">
        <f t="shared" si="9"/>
        <v>16.399999999999999</v>
      </c>
      <c r="V21" s="32">
        <f t="shared" si="9"/>
        <v>73.400000000000006</v>
      </c>
      <c r="W21" s="32">
        <f t="shared" si="9"/>
        <v>12.2</v>
      </c>
      <c r="X21" s="32">
        <f t="shared" si="9"/>
        <v>79.900000000000006</v>
      </c>
      <c r="Y21" s="32">
        <f t="shared" si="10"/>
        <v>3.1</v>
      </c>
      <c r="Z21" s="32">
        <f t="shared" si="10"/>
        <v>37.51</v>
      </c>
      <c r="AA21" s="32">
        <f t="shared" si="10"/>
        <v>6.5</v>
      </c>
      <c r="AB21" s="32">
        <f t="shared" si="10"/>
        <v>7.7</v>
      </c>
      <c r="AC21" s="32">
        <f t="shared" si="10"/>
        <v>-0.3</v>
      </c>
      <c r="AD21" s="32">
        <f t="shared" si="10"/>
        <v>13.63</v>
      </c>
      <c r="AE21" s="32">
        <f t="shared" si="10"/>
        <v>13.9</v>
      </c>
      <c r="AF21" s="29">
        <v>71</v>
      </c>
      <c r="AG21" s="30">
        <f t="shared" si="3"/>
        <v>20.650000000000002</v>
      </c>
      <c r="AH21" s="31">
        <f t="shared" si="4"/>
        <v>59.427966101694921</v>
      </c>
    </row>
    <row r="22" spans="1:34" s="2" customFormat="1" ht="15.6" x14ac:dyDescent="0.3">
      <c r="A22" s="6" t="s">
        <v>314</v>
      </c>
      <c r="B22" s="2">
        <v>6</v>
      </c>
      <c r="C22" s="3">
        <v>3</v>
      </c>
      <c r="D22" s="5" t="s">
        <v>404</v>
      </c>
      <c r="E22" s="32">
        <f t="shared" si="8"/>
        <v>32.5</v>
      </c>
      <c r="F22" s="32">
        <f t="shared" si="8"/>
        <v>8.3000000000000007</v>
      </c>
      <c r="G22" s="32">
        <f t="shared" si="8"/>
        <v>34.799999999999997</v>
      </c>
      <c r="H22" s="32">
        <f t="shared" si="8"/>
        <v>24</v>
      </c>
      <c r="I22" s="32">
        <f t="shared" si="8"/>
        <v>1.57</v>
      </c>
      <c r="J22" s="32">
        <f t="shared" si="8"/>
        <v>14.2</v>
      </c>
      <c r="K22" s="32">
        <f t="shared" si="8"/>
        <v>20.72</v>
      </c>
      <c r="L22" s="32">
        <f t="shared" si="8"/>
        <v>3.7</v>
      </c>
      <c r="M22" s="32">
        <f t="shared" si="8"/>
        <v>43.4</v>
      </c>
      <c r="N22" s="32">
        <f t="shared" si="8"/>
        <v>23.94</v>
      </c>
      <c r="O22" s="32">
        <f t="shared" si="9"/>
        <v>0.51400000000000001</v>
      </c>
      <c r="P22" s="32">
        <f t="shared" si="9"/>
        <v>10.75</v>
      </c>
      <c r="Q22" s="32">
        <f t="shared" si="9"/>
        <v>44.5</v>
      </c>
      <c r="R22" s="32">
        <f t="shared" si="9"/>
        <v>18.3</v>
      </c>
      <c r="S22" s="32">
        <f t="shared" si="9"/>
        <v>73.8</v>
      </c>
      <c r="T22" s="32">
        <f t="shared" si="9"/>
        <v>21.1</v>
      </c>
      <c r="U22" s="32">
        <f t="shared" si="9"/>
        <v>15.6</v>
      </c>
      <c r="V22" s="32">
        <f t="shared" si="9"/>
        <v>71.599999999999994</v>
      </c>
      <c r="W22" s="32">
        <f t="shared" si="9"/>
        <v>9.19</v>
      </c>
      <c r="X22" s="32">
        <f t="shared" si="9"/>
        <v>77.2</v>
      </c>
      <c r="Y22" s="32">
        <f t="shared" si="10"/>
        <v>-4.0999999999999996</v>
      </c>
      <c r="Z22" s="32">
        <f t="shared" si="10"/>
        <v>33.14</v>
      </c>
      <c r="AA22" s="32">
        <f t="shared" si="10"/>
        <v>5.6</v>
      </c>
      <c r="AB22" s="32">
        <f t="shared" si="10"/>
        <v>8.8000000000000007</v>
      </c>
      <c r="AC22" s="32">
        <f t="shared" si="10"/>
        <v>5.0999999999999996</v>
      </c>
      <c r="AD22" s="32">
        <f t="shared" si="10"/>
        <v>14.08</v>
      </c>
      <c r="AE22" s="32">
        <f t="shared" si="10"/>
        <v>9</v>
      </c>
      <c r="AF22" s="29">
        <v>68.099999999999994</v>
      </c>
      <c r="AG22" s="30">
        <f t="shared" si="3"/>
        <v>18.350000000000001</v>
      </c>
      <c r="AH22" s="31">
        <f t="shared" si="4"/>
        <v>59.887640449438202</v>
      </c>
    </row>
    <row r="23" spans="1:34" s="2" customFormat="1" ht="15.6" x14ac:dyDescent="0.3">
      <c r="A23" s="6" t="s">
        <v>7</v>
      </c>
      <c r="B23" s="2">
        <v>6</v>
      </c>
      <c r="C23" s="3">
        <v>3</v>
      </c>
      <c r="D23" s="5" t="s">
        <v>404</v>
      </c>
      <c r="E23" s="32">
        <f t="shared" si="8"/>
        <v>35.700000000000003</v>
      </c>
      <c r="F23" s="32">
        <f t="shared" si="8"/>
        <v>10.5</v>
      </c>
      <c r="G23" s="32">
        <f t="shared" si="8"/>
        <v>36.799999999999997</v>
      </c>
      <c r="H23" s="32">
        <f t="shared" si="8"/>
        <v>28.6</v>
      </c>
      <c r="I23" s="32">
        <f t="shared" si="8"/>
        <v>1.43</v>
      </c>
      <c r="J23" s="32">
        <f t="shared" si="8"/>
        <v>17.3</v>
      </c>
      <c r="K23" s="32">
        <f t="shared" si="8"/>
        <v>30.11</v>
      </c>
      <c r="L23" s="32">
        <f t="shared" si="8"/>
        <v>3.1</v>
      </c>
      <c r="M23" s="32">
        <f t="shared" si="8"/>
        <v>43.1</v>
      </c>
      <c r="N23" s="32">
        <f t="shared" si="8"/>
        <v>26.33</v>
      </c>
      <c r="O23" s="32">
        <f t="shared" si="9"/>
        <v>0.56999999999999995</v>
      </c>
      <c r="P23" s="32">
        <f t="shared" si="9"/>
        <v>10</v>
      </c>
      <c r="Q23" s="32">
        <f t="shared" si="9"/>
        <v>48.2</v>
      </c>
      <c r="R23" s="32">
        <f t="shared" si="9"/>
        <v>16.3</v>
      </c>
      <c r="S23" s="32">
        <f t="shared" si="9"/>
        <v>71.3</v>
      </c>
      <c r="T23" s="32">
        <f t="shared" si="9"/>
        <v>18.3</v>
      </c>
      <c r="U23" s="32">
        <f t="shared" si="9"/>
        <v>13</v>
      </c>
      <c r="V23" s="32">
        <f t="shared" si="9"/>
        <v>72.599999999999994</v>
      </c>
      <c r="W23" s="32">
        <f t="shared" si="9"/>
        <v>11.28</v>
      </c>
      <c r="X23" s="32">
        <f t="shared" si="9"/>
        <v>81.400000000000006</v>
      </c>
      <c r="Y23" s="32">
        <f t="shared" si="10"/>
        <v>5.9</v>
      </c>
      <c r="Z23" s="32">
        <f t="shared" si="10"/>
        <v>37.61</v>
      </c>
      <c r="AA23" s="32">
        <f t="shared" si="10"/>
        <v>8.9</v>
      </c>
      <c r="AB23" s="32">
        <f t="shared" si="10"/>
        <v>7.1</v>
      </c>
      <c r="AC23" s="32">
        <f t="shared" si="10"/>
        <v>-0.4</v>
      </c>
      <c r="AD23" s="32">
        <f t="shared" si="10"/>
        <v>11.69</v>
      </c>
      <c r="AE23" s="32">
        <f t="shared" si="10"/>
        <v>12.1</v>
      </c>
      <c r="AF23" s="29">
        <v>67.599999999999994</v>
      </c>
      <c r="AG23" s="30">
        <f t="shared" si="3"/>
        <v>18.450000000000003</v>
      </c>
      <c r="AH23" s="31">
        <f t="shared" si="4"/>
        <v>60.062240663900418</v>
      </c>
    </row>
    <row r="24" spans="1:34" s="2" customFormat="1" ht="15.6" x14ac:dyDescent="0.3">
      <c r="A24" s="6" t="s">
        <v>4</v>
      </c>
      <c r="B24" s="2">
        <v>6</v>
      </c>
      <c r="C24" s="3">
        <v>2</v>
      </c>
      <c r="D24" s="5" t="s">
        <v>404</v>
      </c>
      <c r="E24" s="32">
        <f t="shared" ref="E24:N33" si="11">INDEX(rawValue25,MATCH(INDEX(teamID,MATCH(INDEX(ovrTeamCol25,ROW(),1),teamINI,0))+INDEX(statID,MATCH(INDEX(ovrHeaderRow25,1,COLUMN()),statAbbr,0),1),rawLookup25,0))</f>
        <v>33.6</v>
      </c>
      <c r="F24" s="32">
        <f t="shared" si="11"/>
        <v>9.4</v>
      </c>
      <c r="G24" s="32">
        <f t="shared" si="11"/>
        <v>31.3</v>
      </c>
      <c r="H24" s="32">
        <f t="shared" si="11"/>
        <v>30.1</v>
      </c>
      <c r="I24" s="32">
        <f t="shared" si="11"/>
        <v>1.27</v>
      </c>
      <c r="J24" s="32">
        <f t="shared" si="11"/>
        <v>14.9</v>
      </c>
      <c r="K24" s="32">
        <f t="shared" si="11"/>
        <v>23.74</v>
      </c>
      <c r="L24" s="32">
        <f t="shared" si="11"/>
        <v>4.2</v>
      </c>
      <c r="M24" s="32">
        <f t="shared" si="11"/>
        <v>42.3</v>
      </c>
      <c r="N24" s="32">
        <f t="shared" si="11"/>
        <v>29.69</v>
      </c>
      <c r="O24" s="32">
        <f t="shared" ref="O24:X33" si="12">INDEX(rawValue25,MATCH(INDEX(teamID,MATCH(INDEX(ovrTeamCol25,ROW(),1),teamINI,0))+INDEX(statID,MATCH(INDEX(ovrHeaderRow25,1,COLUMN()),statAbbr,0),1),rawLookup25,0))</f>
        <v>0.52400000000000002</v>
      </c>
      <c r="P24" s="32">
        <f t="shared" si="12"/>
        <v>7.2</v>
      </c>
      <c r="Q24" s="32">
        <f t="shared" si="12"/>
        <v>45.1</v>
      </c>
      <c r="R24" s="32">
        <f t="shared" si="12"/>
        <v>16.2</v>
      </c>
      <c r="S24" s="32">
        <f t="shared" si="12"/>
        <v>76.2</v>
      </c>
      <c r="T24" s="32">
        <f t="shared" si="12"/>
        <v>21.9</v>
      </c>
      <c r="U24" s="32">
        <f t="shared" si="12"/>
        <v>16.7</v>
      </c>
      <c r="V24" s="32">
        <f t="shared" si="12"/>
        <v>74.8</v>
      </c>
      <c r="W24" s="32">
        <f t="shared" si="12"/>
        <v>12.94</v>
      </c>
      <c r="X24" s="32">
        <f t="shared" si="12"/>
        <v>83.6</v>
      </c>
      <c r="Y24" s="32">
        <f t="shared" ref="Y24:AE33" si="13">INDEX(rawValue25,MATCH(INDEX(teamID,MATCH(INDEX(ovrTeamCol25,ROW(),1),teamINI,0))+INDEX(statID,MATCH(INDEX(ovrHeaderRow25,1,COLUMN()),statAbbr,0),1),rawLookup25,0))</f>
        <v>9.1</v>
      </c>
      <c r="Z24" s="32">
        <f t="shared" si="13"/>
        <v>42.63</v>
      </c>
      <c r="AA24" s="32">
        <f t="shared" si="13"/>
        <v>8.8000000000000007</v>
      </c>
      <c r="AB24" s="32">
        <f t="shared" si="13"/>
        <v>4.3</v>
      </c>
      <c r="AC24" s="32">
        <f t="shared" si="13"/>
        <v>-2.7</v>
      </c>
      <c r="AD24" s="32">
        <f t="shared" si="13"/>
        <v>9</v>
      </c>
      <c r="AE24" s="32">
        <f t="shared" si="13"/>
        <v>11.7</v>
      </c>
      <c r="AF24" s="29">
        <v>71.5</v>
      </c>
      <c r="AG24" s="30">
        <f t="shared" si="3"/>
        <v>19.349999999999994</v>
      </c>
      <c r="AH24" s="31">
        <f t="shared" si="4"/>
        <v>63.747228381374704</v>
      </c>
    </row>
    <row r="25" spans="1:34" s="2" customFormat="1" ht="15.6" x14ac:dyDescent="0.3">
      <c r="A25" s="6" t="s">
        <v>388</v>
      </c>
      <c r="B25" s="2">
        <v>6</v>
      </c>
      <c r="C25" s="3">
        <v>1</v>
      </c>
      <c r="D25" s="5" t="s">
        <v>404</v>
      </c>
      <c r="E25" s="32">
        <f t="shared" si="11"/>
        <v>33.6</v>
      </c>
      <c r="F25" s="32">
        <f t="shared" si="11"/>
        <v>8.6999999999999993</v>
      </c>
      <c r="G25" s="32">
        <f t="shared" si="11"/>
        <v>36.700000000000003</v>
      </c>
      <c r="H25" s="32">
        <f t="shared" si="11"/>
        <v>23.7</v>
      </c>
      <c r="I25" s="32">
        <f t="shared" si="11"/>
        <v>1.26</v>
      </c>
      <c r="J25" s="32">
        <f t="shared" si="11"/>
        <v>13.7</v>
      </c>
      <c r="K25" s="32">
        <f t="shared" si="11"/>
        <v>35.47</v>
      </c>
      <c r="L25" s="32">
        <f t="shared" si="11"/>
        <v>2.6</v>
      </c>
      <c r="M25" s="32">
        <f t="shared" si="11"/>
        <v>44.6</v>
      </c>
      <c r="N25" s="32">
        <f t="shared" si="11"/>
        <v>23.03</v>
      </c>
      <c r="O25" s="32">
        <f t="shared" si="12"/>
        <v>0.55800000000000005</v>
      </c>
      <c r="P25" s="32">
        <f t="shared" si="12"/>
        <v>12.29</v>
      </c>
      <c r="Q25" s="32">
        <f t="shared" si="12"/>
        <v>48.2</v>
      </c>
      <c r="R25" s="32">
        <f t="shared" si="12"/>
        <v>18.2</v>
      </c>
      <c r="S25" s="32">
        <f t="shared" si="12"/>
        <v>73</v>
      </c>
      <c r="T25" s="32">
        <f t="shared" si="12"/>
        <v>27</v>
      </c>
      <c r="U25" s="32">
        <f t="shared" si="12"/>
        <v>19.7</v>
      </c>
      <c r="V25" s="32">
        <f t="shared" si="12"/>
        <v>73.599999999999994</v>
      </c>
      <c r="W25" s="32">
        <f t="shared" si="12"/>
        <v>11</v>
      </c>
      <c r="X25" s="32">
        <f t="shared" si="12"/>
        <v>83.6</v>
      </c>
      <c r="Y25" s="32">
        <f t="shared" si="13"/>
        <v>1.3</v>
      </c>
      <c r="Z25" s="32">
        <f t="shared" si="13"/>
        <v>34.03</v>
      </c>
      <c r="AA25" s="32">
        <f t="shared" si="13"/>
        <v>10</v>
      </c>
      <c r="AB25" s="32">
        <f t="shared" si="13"/>
        <v>9.4</v>
      </c>
      <c r="AC25" s="32">
        <f t="shared" si="13"/>
        <v>3.2</v>
      </c>
      <c r="AD25" s="32">
        <f t="shared" si="13"/>
        <v>14.09</v>
      </c>
      <c r="AE25" s="32">
        <f t="shared" si="13"/>
        <v>10.9</v>
      </c>
      <c r="AF25" s="29">
        <v>68.599999999999994</v>
      </c>
      <c r="AG25" s="30">
        <f t="shared" si="3"/>
        <v>18.899999999999999</v>
      </c>
      <c r="AH25" s="31">
        <f t="shared" si="4"/>
        <v>57.261410788381738</v>
      </c>
    </row>
    <row r="26" spans="1:34" s="2" customFormat="1" ht="15.6" x14ac:dyDescent="0.3">
      <c r="A26" s="6" t="s">
        <v>50</v>
      </c>
      <c r="B26" s="2">
        <v>7</v>
      </c>
      <c r="C26" s="3">
        <v>1</v>
      </c>
      <c r="D26" s="5" t="s">
        <v>404</v>
      </c>
      <c r="E26" s="32">
        <f t="shared" si="11"/>
        <v>31.8</v>
      </c>
      <c r="F26" s="32">
        <f t="shared" si="11"/>
        <v>9.4</v>
      </c>
      <c r="G26" s="32">
        <f t="shared" si="11"/>
        <v>32.6</v>
      </c>
      <c r="H26" s="32">
        <f t="shared" si="11"/>
        <v>29</v>
      </c>
      <c r="I26" s="32">
        <f t="shared" si="11"/>
        <v>1.47</v>
      </c>
      <c r="J26" s="32">
        <f t="shared" si="11"/>
        <v>13.7</v>
      </c>
      <c r="K26" s="32">
        <f t="shared" si="11"/>
        <v>14.59</v>
      </c>
      <c r="L26" s="32">
        <f t="shared" si="11"/>
        <v>3.6</v>
      </c>
      <c r="M26" s="32">
        <f t="shared" si="11"/>
        <v>43.6</v>
      </c>
      <c r="N26" s="32">
        <f t="shared" si="11"/>
        <v>23.15</v>
      </c>
      <c r="O26" s="32">
        <f t="shared" si="12"/>
        <v>0.52</v>
      </c>
      <c r="P26" s="32">
        <f t="shared" si="12"/>
        <v>12.35</v>
      </c>
      <c r="Q26" s="32">
        <f t="shared" si="12"/>
        <v>44.4</v>
      </c>
      <c r="R26" s="32">
        <f t="shared" si="12"/>
        <v>16</v>
      </c>
      <c r="S26" s="32">
        <f t="shared" si="12"/>
        <v>72</v>
      </c>
      <c r="T26" s="32">
        <f t="shared" si="12"/>
        <v>16.2</v>
      </c>
      <c r="U26" s="32">
        <f t="shared" si="12"/>
        <v>11.6</v>
      </c>
      <c r="V26" s="32">
        <f t="shared" si="12"/>
        <v>68.7</v>
      </c>
      <c r="W26" s="32">
        <f t="shared" si="12"/>
        <v>10.94</v>
      </c>
      <c r="X26" s="32">
        <f t="shared" si="12"/>
        <v>76.599999999999994</v>
      </c>
      <c r="Y26" s="32">
        <f t="shared" si="13"/>
        <v>-1.8</v>
      </c>
      <c r="Z26" s="32">
        <f t="shared" si="13"/>
        <v>34.090000000000003</v>
      </c>
      <c r="AA26" s="32">
        <f t="shared" si="13"/>
        <v>7.8</v>
      </c>
      <c r="AB26" s="32">
        <f t="shared" si="13"/>
        <v>9</v>
      </c>
      <c r="AC26" s="32">
        <f t="shared" si="13"/>
        <v>5.4</v>
      </c>
      <c r="AD26" s="32">
        <f t="shared" si="13"/>
        <v>14.71</v>
      </c>
      <c r="AE26" s="32">
        <f t="shared" si="13"/>
        <v>9.4</v>
      </c>
      <c r="AF26" s="29">
        <v>67.7</v>
      </c>
      <c r="AG26" s="30">
        <f t="shared" si="3"/>
        <v>18.399999999999999</v>
      </c>
      <c r="AH26" s="31">
        <f t="shared" si="4"/>
        <v>62.612612612612601</v>
      </c>
    </row>
    <row r="27" spans="1:34" s="2" customFormat="1" ht="15.6" x14ac:dyDescent="0.3">
      <c r="A27" s="6" t="s">
        <v>22</v>
      </c>
      <c r="B27" s="2">
        <v>7</v>
      </c>
      <c r="C27" s="3">
        <v>2</v>
      </c>
      <c r="D27" s="5" t="s">
        <v>404</v>
      </c>
      <c r="E27" s="32">
        <f t="shared" si="11"/>
        <v>31.1</v>
      </c>
      <c r="F27" s="32">
        <f t="shared" si="11"/>
        <v>6.4</v>
      </c>
      <c r="G27" s="32">
        <f t="shared" si="11"/>
        <v>31.9</v>
      </c>
      <c r="H27" s="32">
        <f t="shared" si="11"/>
        <v>19.899999999999999</v>
      </c>
      <c r="I27" s="32">
        <f t="shared" si="11"/>
        <v>1.57</v>
      </c>
      <c r="J27" s="32">
        <f t="shared" si="11"/>
        <v>15.1</v>
      </c>
      <c r="K27" s="32">
        <f t="shared" si="11"/>
        <v>17.71</v>
      </c>
      <c r="L27" s="32">
        <f t="shared" si="11"/>
        <v>4</v>
      </c>
      <c r="M27" s="32">
        <f t="shared" si="11"/>
        <v>41.1</v>
      </c>
      <c r="N27" s="32">
        <f t="shared" si="11"/>
        <v>25.74</v>
      </c>
      <c r="O27" s="32">
        <f t="shared" si="12"/>
        <v>0.504</v>
      </c>
      <c r="P27" s="32">
        <f t="shared" si="12"/>
        <v>6.09</v>
      </c>
      <c r="Q27" s="32">
        <f t="shared" si="12"/>
        <v>45</v>
      </c>
      <c r="R27" s="32">
        <f t="shared" si="12"/>
        <v>14.9</v>
      </c>
      <c r="S27" s="32">
        <f t="shared" si="12"/>
        <v>69.5</v>
      </c>
      <c r="T27" s="32">
        <f t="shared" si="12"/>
        <v>18.399999999999999</v>
      </c>
      <c r="U27" s="32">
        <f t="shared" si="12"/>
        <v>12.8</v>
      </c>
      <c r="V27" s="32">
        <f t="shared" si="12"/>
        <v>61.1</v>
      </c>
      <c r="W27" s="32">
        <f t="shared" si="12"/>
        <v>13.97</v>
      </c>
      <c r="X27" s="32">
        <f t="shared" si="12"/>
        <v>72.900000000000006</v>
      </c>
      <c r="Y27" s="32">
        <f t="shared" si="13"/>
        <v>10.3</v>
      </c>
      <c r="Z27" s="32">
        <f t="shared" si="13"/>
        <v>39.71</v>
      </c>
      <c r="AA27" s="32">
        <f t="shared" si="13"/>
        <v>11.8</v>
      </c>
      <c r="AB27" s="32">
        <f t="shared" si="13"/>
        <v>6.1</v>
      </c>
      <c r="AC27" s="32">
        <f t="shared" si="13"/>
        <v>0.9</v>
      </c>
      <c r="AD27" s="32">
        <f t="shared" si="13"/>
        <v>10.57</v>
      </c>
      <c r="AE27" s="32">
        <f t="shared" si="13"/>
        <v>9.6999999999999993</v>
      </c>
      <c r="AF27" s="29">
        <v>61.7</v>
      </c>
      <c r="AG27" s="30">
        <f t="shared" si="3"/>
        <v>20.450000000000003</v>
      </c>
      <c r="AH27" s="31">
        <f t="shared" si="4"/>
        <v>59.666666666666664</v>
      </c>
    </row>
    <row r="28" spans="1:34" s="2" customFormat="1" ht="15.6" x14ac:dyDescent="0.3">
      <c r="A28" s="6" t="s">
        <v>261</v>
      </c>
      <c r="B28" s="2">
        <v>7</v>
      </c>
      <c r="C28" s="3">
        <v>2</v>
      </c>
      <c r="D28" s="5" t="s">
        <v>404</v>
      </c>
      <c r="E28" s="32">
        <f t="shared" si="11"/>
        <v>32.799999999999997</v>
      </c>
      <c r="F28" s="32">
        <f t="shared" si="11"/>
        <v>7.4</v>
      </c>
      <c r="G28" s="32">
        <f t="shared" si="11"/>
        <v>35.200000000000003</v>
      </c>
      <c r="H28" s="32">
        <f t="shared" si="11"/>
        <v>21</v>
      </c>
      <c r="I28" s="32">
        <f t="shared" si="11"/>
        <v>1.55</v>
      </c>
      <c r="J28" s="32">
        <f t="shared" si="11"/>
        <v>16.3</v>
      </c>
      <c r="K28" s="32">
        <f t="shared" si="11"/>
        <v>25.94</v>
      </c>
      <c r="L28" s="32">
        <f t="shared" si="11"/>
        <v>3.1</v>
      </c>
      <c r="M28" s="32">
        <f t="shared" si="11"/>
        <v>42.7</v>
      </c>
      <c r="N28" s="32">
        <f t="shared" si="11"/>
        <v>21.85</v>
      </c>
      <c r="O28" s="32">
        <f t="shared" si="12"/>
        <v>0.52800000000000002</v>
      </c>
      <c r="P28" s="32">
        <f t="shared" si="12"/>
        <v>8</v>
      </c>
      <c r="Q28" s="32">
        <f t="shared" si="12"/>
        <v>46.4</v>
      </c>
      <c r="R28" s="32">
        <f t="shared" si="12"/>
        <v>17.2</v>
      </c>
      <c r="S28" s="32">
        <f t="shared" si="12"/>
        <v>71</v>
      </c>
      <c r="T28" s="32">
        <f t="shared" si="12"/>
        <v>18.600000000000001</v>
      </c>
      <c r="U28" s="32">
        <f t="shared" si="12"/>
        <v>13.2</v>
      </c>
      <c r="V28" s="32">
        <f t="shared" si="12"/>
        <v>65.2</v>
      </c>
      <c r="W28" s="32">
        <f t="shared" si="12"/>
        <v>10.76</v>
      </c>
      <c r="X28" s="32">
        <f t="shared" si="12"/>
        <v>74.099999999999994</v>
      </c>
      <c r="Y28" s="32">
        <f t="shared" si="13"/>
        <v>1.2</v>
      </c>
      <c r="Z28" s="32">
        <f t="shared" si="13"/>
        <v>32.619999999999997</v>
      </c>
      <c r="AA28" s="32">
        <f t="shared" si="13"/>
        <v>8.9</v>
      </c>
      <c r="AB28" s="32">
        <f t="shared" si="13"/>
        <v>8.1</v>
      </c>
      <c r="AC28" s="32">
        <f t="shared" si="13"/>
        <v>4.5999999999999996</v>
      </c>
      <c r="AD28" s="32">
        <f t="shared" si="13"/>
        <v>15.12</v>
      </c>
      <c r="AE28" s="32">
        <f t="shared" si="13"/>
        <v>10.6</v>
      </c>
      <c r="AF28" s="29">
        <v>65</v>
      </c>
      <c r="AG28" s="30">
        <f t="shared" si="3"/>
        <v>19.349999999999994</v>
      </c>
      <c r="AH28" s="31">
        <f t="shared" si="4"/>
        <v>57.650862068965502</v>
      </c>
    </row>
    <row r="29" spans="1:34" s="2" customFormat="1" ht="15.6" x14ac:dyDescent="0.3">
      <c r="A29" s="6" t="s">
        <v>57</v>
      </c>
      <c r="B29" s="2">
        <v>7</v>
      </c>
      <c r="C29" s="3">
        <v>1</v>
      </c>
      <c r="D29" s="5" t="s">
        <v>404</v>
      </c>
      <c r="E29" s="32">
        <f t="shared" si="11"/>
        <v>30.8</v>
      </c>
      <c r="F29" s="32">
        <f t="shared" si="11"/>
        <v>7.4</v>
      </c>
      <c r="G29" s="32">
        <f t="shared" si="11"/>
        <v>35.4</v>
      </c>
      <c r="H29" s="32">
        <f t="shared" si="11"/>
        <v>21</v>
      </c>
      <c r="I29" s="32">
        <f t="shared" si="11"/>
        <v>1.5</v>
      </c>
      <c r="J29" s="32">
        <f t="shared" si="11"/>
        <v>17.7</v>
      </c>
      <c r="K29" s="32">
        <f t="shared" si="11"/>
        <v>20.79</v>
      </c>
      <c r="L29" s="32">
        <f t="shared" si="11"/>
        <v>4.7</v>
      </c>
      <c r="M29" s="32">
        <f t="shared" si="11"/>
        <v>40</v>
      </c>
      <c r="N29" s="32">
        <f t="shared" si="11"/>
        <v>27.97</v>
      </c>
      <c r="O29" s="32">
        <f t="shared" si="12"/>
        <v>0.53100000000000003</v>
      </c>
      <c r="P29" s="32">
        <f t="shared" si="12"/>
        <v>10.18</v>
      </c>
      <c r="Q29" s="32">
        <f t="shared" si="12"/>
        <v>47</v>
      </c>
      <c r="R29" s="32">
        <f t="shared" si="12"/>
        <v>14.3</v>
      </c>
      <c r="S29" s="32">
        <f t="shared" si="12"/>
        <v>71.599999999999994</v>
      </c>
      <c r="T29" s="32">
        <f t="shared" si="12"/>
        <v>15</v>
      </c>
      <c r="U29" s="32">
        <f t="shared" si="12"/>
        <v>10.8</v>
      </c>
      <c r="V29" s="32">
        <f t="shared" si="12"/>
        <v>69.599999999999994</v>
      </c>
      <c r="W29" s="32">
        <f t="shared" si="12"/>
        <v>10.56</v>
      </c>
      <c r="X29" s="32">
        <f t="shared" si="12"/>
        <v>76.099999999999994</v>
      </c>
      <c r="Y29" s="32">
        <f t="shared" si="13"/>
        <v>3.8</v>
      </c>
      <c r="Z29" s="32">
        <f t="shared" si="13"/>
        <v>38.53</v>
      </c>
      <c r="AA29" s="32">
        <f t="shared" si="13"/>
        <v>6.5</v>
      </c>
      <c r="AB29" s="32">
        <f t="shared" si="13"/>
        <v>6.2</v>
      </c>
      <c r="AC29" s="32">
        <f t="shared" si="13"/>
        <v>-0.9</v>
      </c>
      <c r="AD29" s="32">
        <f t="shared" si="13"/>
        <v>10.91</v>
      </c>
      <c r="AE29" s="32">
        <f t="shared" si="13"/>
        <v>11.8</v>
      </c>
      <c r="AF29" s="29">
        <v>68.599999999999994</v>
      </c>
      <c r="AG29" s="30">
        <f t="shared" si="3"/>
        <v>21.549999999999997</v>
      </c>
      <c r="AH29" s="31">
        <f t="shared" si="4"/>
        <v>61.595744680851055</v>
      </c>
    </row>
    <row r="30" spans="1:34" s="2" customFormat="1" ht="15.6" x14ac:dyDescent="0.3">
      <c r="A30" s="6" t="s">
        <v>378</v>
      </c>
      <c r="B30" s="2">
        <v>8</v>
      </c>
      <c r="C30" s="3">
        <v>1</v>
      </c>
      <c r="D30" s="5" t="s">
        <v>404</v>
      </c>
      <c r="E30" s="32">
        <f t="shared" si="11"/>
        <v>34.1</v>
      </c>
      <c r="F30" s="32">
        <f t="shared" si="11"/>
        <v>9.4</v>
      </c>
      <c r="G30" s="32">
        <f t="shared" si="11"/>
        <v>32.799999999999997</v>
      </c>
      <c r="H30" s="32">
        <f t="shared" si="11"/>
        <v>28.5</v>
      </c>
      <c r="I30" s="32">
        <f t="shared" si="11"/>
        <v>1.23</v>
      </c>
      <c r="J30" s="32">
        <f t="shared" si="11"/>
        <v>13.9</v>
      </c>
      <c r="K30" s="32">
        <f t="shared" si="11"/>
        <v>17</v>
      </c>
      <c r="L30" s="32">
        <f t="shared" si="11"/>
        <v>2.9</v>
      </c>
      <c r="M30" s="32">
        <f t="shared" si="11"/>
        <v>42.9</v>
      </c>
      <c r="N30" s="32">
        <f t="shared" si="11"/>
        <v>26.17</v>
      </c>
      <c r="O30" s="32">
        <f t="shared" si="12"/>
        <v>0.53200000000000003</v>
      </c>
      <c r="P30" s="32">
        <f t="shared" si="12"/>
        <v>6.89</v>
      </c>
      <c r="Q30" s="32">
        <f t="shared" si="12"/>
        <v>45.4</v>
      </c>
      <c r="R30" s="32">
        <f t="shared" si="12"/>
        <v>15.6</v>
      </c>
      <c r="S30" s="32">
        <f t="shared" si="12"/>
        <v>74.599999999999994</v>
      </c>
      <c r="T30" s="32">
        <f t="shared" si="12"/>
        <v>20.100000000000001</v>
      </c>
      <c r="U30" s="32">
        <f t="shared" si="12"/>
        <v>15</v>
      </c>
      <c r="V30" s="32">
        <f t="shared" si="12"/>
        <v>69.5</v>
      </c>
      <c r="W30" s="32">
        <f t="shared" si="12"/>
        <v>11.11</v>
      </c>
      <c r="X30" s="32">
        <f t="shared" si="12"/>
        <v>78.5</v>
      </c>
      <c r="Y30" s="32">
        <f t="shared" si="13"/>
        <v>3.9</v>
      </c>
      <c r="Z30" s="32">
        <f t="shared" si="13"/>
        <v>37.29</v>
      </c>
      <c r="AA30" s="32">
        <f t="shared" si="13"/>
        <v>9</v>
      </c>
      <c r="AB30" s="32">
        <f t="shared" si="13"/>
        <v>6.4</v>
      </c>
      <c r="AC30" s="32">
        <f t="shared" si="13"/>
        <v>1.5</v>
      </c>
      <c r="AD30" s="32">
        <f t="shared" si="13"/>
        <v>12.8</v>
      </c>
      <c r="AE30" s="32">
        <f t="shared" si="13"/>
        <v>11.3</v>
      </c>
      <c r="AF30" s="29">
        <v>69.099999999999994</v>
      </c>
      <c r="AG30" s="30">
        <f t="shared" si="3"/>
        <v>17.649999999999999</v>
      </c>
      <c r="AH30" s="31">
        <f t="shared" si="4"/>
        <v>59.581497797356818</v>
      </c>
    </row>
    <row r="31" spans="1:34" s="2" customFormat="1" ht="15.6" x14ac:dyDescent="0.3">
      <c r="A31" s="6" t="s">
        <v>25</v>
      </c>
      <c r="B31" s="2">
        <v>8</v>
      </c>
      <c r="C31" s="3">
        <v>1</v>
      </c>
      <c r="D31" s="5" t="s">
        <v>404</v>
      </c>
      <c r="E31" s="32">
        <f t="shared" si="11"/>
        <v>35.799999999999997</v>
      </c>
      <c r="F31" s="32">
        <f t="shared" si="11"/>
        <v>8.5</v>
      </c>
      <c r="G31" s="32">
        <f t="shared" si="11"/>
        <v>31.4</v>
      </c>
      <c r="H31" s="32">
        <f t="shared" si="11"/>
        <v>26.9</v>
      </c>
      <c r="I31" s="32">
        <f t="shared" si="11"/>
        <v>1.42</v>
      </c>
      <c r="J31" s="32">
        <f t="shared" si="11"/>
        <v>15.2</v>
      </c>
      <c r="K31" s="32">
        <f t="shared" si="11"/>
        <v>29.65</v>
      </c>
      <c r="L31" s="32">
        <f t="shared" si="11"/>
        <v>4.5</v>
      </c>
      <c r="M31" s="32">
        <f t="shared" si="11"/>
        <v>43.9</v>
      </c>
      <c r="N31" s="32">
        <f t="shared" si="11"/>
        <v>25.09</v>
      </c>
      <c r="O31" s="32">
        <f t="shared" si="12"/>
        <v>0.51900000000000002</v>
      </c>
      <c r="P31" s="32">
        <f t="shared" si="12"/>
        <v>12.88</v>
      </c>
      <c r="Q31" s="32">
        <f t="shared" si="12"/>
        <v>45.2</v>
      </c>
      <c r="R31" s="32">
        <f t="shared" si="12"/>
        <v>17.399999999999999</v>
      </c>
      <c r="S31" s="32">
        <f t="shared" si="12"/>
        <v>70.099999999999994</v>
      </c>
      <c r="T31" s="32">
        <f t="shared" si="12"/>
        <v>19.899999999999999</v>
      </c>
      <c r="U31" s="32">
        <f t="shared" si="12"/>
        <v>13.9</v>
      </c>
      <c r="V31" s="32">
        <f t="shared" si="12"/>
        <v>74.2</v>
      </c>
      <c r="W31" s="32">
        <f t="shared" si="12"/>
        <v>12.79</v>
      </c>
      <c r="X31" s="32">
        <f t="shared" si="12"/>
        <v>79.5</v>
      </c>
      <c r="Y31" s="32">
        <f t="shared" si="13"/>
        <v>2.2000000000000002</v>
      </c>
      <c r="Z31" s="32">
        <f t="shared" si="13"/>
        <v>37.880000000000003</v>
      </c>
      <c r="AA31" s="32">
        <f t="shared" si="13"/>
        <v>5.4</v>
      </c>
      <c r="AB31" s="32">
        <f t="shared" si="13"/>
        <v>9.1</v>
      </c>
      <c r="AC31" s="32">
        <f t="shared" si="13"/>
        <v>2.6</v>
      </c>
      <c r="AD31" s="32">
        <f t="shared" si="13"/>
        <v>13.29</v>
      </c>
      <c r="AE31" s="32">
        <f t="shared" si="13"/>
        <v>10.7</v>
      </c>
      <c r="AF31" s="29">
        <v>68.3</v>
      </c>
      <c r="AG31" s="30">
        <f t="shared" si="3"/>
        <v>20.049999999999997</v>
      </c>
      <c r="AH31" s="31">
        <f t="shared" si="4"/>
        <v>63.16371681415928</v>
      </c>
    </row>
    <row r="32" spans="1:34" s="2" customFormat="1" ht="15.6" x14ac:dyDescent="0.3">
      <c r="A32" s="6" t="s">
        <v>58</v>
      </c>
      <c r="B32" s="2">
        <v>8</v>
      </c>
      <c r="C32" s="3">
        <v>2</v>
      </c>
      <c r="D32" s="5" t="s">
        <v>404</v>
      </c>
      <c r="E32" s="32">
        <f t="shared" si="11"/>
        <v>30.2</v>
      </c>
      <c r="F32" s="32">
        <f t="shared" si="11"/>
        <v>7.5</v>
      </c>
      <c r="G32" s="32">
        <f t="shared" si="11"/>
        <v>35.4</v>
      </c>
      <c r="H32" s="32">
        <f t="shared" si="11"/>
        <v>21.2</v>
      </c>
      <c r="I32" s="32">
        <f t="shared" si="11"/>
        <v>2.0699999999999998</v>
      </c>
      <c r="J32" s="32">
        <f t="shared" si="11"/>
        <v>19.7</v>
      </c>
      <c r="K32" s="32">
        <f t="shared" si="11"/>
        <v>26.89</v>
      </c>
      <c r="L32" s="32">
        <f t="shared" si="11"/>
        <v>3</v>
      </c>
      <c r="M32" s="32">
        <f t="shared" si="11"/>
        <v>41.4</v>
      </c>
      <c r="N32" s="32">
        <f t="shared" si="11"/>
        <v>27.26</v>
      </c>
      <c r="O32" s="32">
        <f t="shared" si="12"/>
        <v>0.56000000000000005</v>
      </c>
      <c r="P32" s="32">
        <f t="shared" si="12"/>
        <v>14.34</v>
      </c>
      <c r="Q32" s="32">
        <f t="shared" si="12"/>
        <v>50.1</v>
      </c>
      <c r="R32" s="32">
        <f t="shared" si="12"/>
        <v>16.8</v>
      </c>
      <c r="S32" s="32">
        <f t="shared" si="12"/>
        <v>80.400000000000006</v>
      </c>
      <c r="T32" s="32">
        <f t="shared" si="12"/>
        <v>19.399999999999999</v>
      </c>
      <c r="U32" s="32">
        <f t="shared" si="12"/>
        <v>15.6</v>
      </c>
      <c r="V32" s="32">
        <f t="shared" si="12"/>
        <v>69.900000000000006</v>
      </c>
      <c r="W32" s="32">
        <f t="shared" si="12"/>
        <v>11</v>
      </c>
      <c r="X32" s="32">
        <f t="shared" si="12"/>
        <v>86.4</v>
      </c>
      <c r="Y32" s="32">
        <f t="shared" si="13"/>
        <v>5.4</v>
      </c>
      <c r="Z32" s="32">
        <f t="shared" si="13"/>
        <v>38.26</v>
      </c>
      <c r="AA32" s="32">
        <f t="shared" si="13"/>
        <v>16.5</v>
      </c>
      <c r="AB32" s="32">
        <f t="shared" si="13"/>
        <v>7.5</v>
      </c>
      <c r="AC32" s="32">
        <f t="shared" si="13"/>
        <v>3.3</v>
      </c>
      <c r="AD32" s="32">
        <f t="shared" si="13"/>
        <v>12.83</v>
      </c>
      <c r="AE32" s="32">
        <f t="shared" si="13"/>
        <v>9.5</v>
      </c>
      <c r="AF32" s="29">
        <v>70.5</v>
      </c>
      <c r="AG32" s="30">
        <f t="shared" si="3"/>
        <v>24.150000000000006</v>
      </c>
      <c r="AH32" s="31">
        <f t="shared" si="4"/>
        <v>63.173652694610787</v>
      </c>
    </row>
    <row r="33" spans="1:34" s="2" customFormat="1" ht="15.6" x14ac:dyDescent="0.3">
      <c r="A33" s="6" t="s">
        <v>2</v>
      </c>
      <c r="B33" s="2">
        <v>8</v>
      </c>
      <c r="C33" s="3">
        <v>2</v>
      </c>
      <c r="D33" s="5" t="s">
        <v>404</v>
      </c>
      <c r="E33" s="32">
        <f t="shared" si="11"/>
        <v>35</v>
      </c>
      <c r="F33" s="32">
        <f t="shared" si="11"/>
        <v>8.5</v>
      </c>
      <c r="G33" s="32">
        <f t="shared" si="11"/>
        <v>34.799999999999997</v>
      </c>
      <c r="H33" s="32">
        <f t="shared" si="11"/>
        <v>24.5</v>
      </c>
      <c r="I33" s="32">
        <f t="shared" si="11"/>
        <v>1.56</v>
      </c>
      <c r="J33" s="32">
        <f t="shared" si="11"/>
        <v>17.3</v>
      </c>
      <c r="K33" s="32">
        <f t="shared" si="11"/>
        <v>20.74</v>
      </c>
      <c r="L33" s="32">
        <f t="shared" si="11"/>
        <v>6.2</v>
      </c>
      <c r="M33" s="32">
        <f t="shared" si="11"/>
        <v>42.1</v>
      </c>
      <c r="N33" s="32">
        <f t="shared" si="11"/>
        <v>24.54</v>
      </c>
      <c r="O33" s="32">
        <f t="shared" si="12"/>
        <v>0.55000000000000004</v>
      </c>
      <c r="P33" s="32">
        <f t="shared" si="12"/>
        <v>8.6300000000000008</v>
      </c>
      <c r="Q33" s="32">
        <f t="shared" si="12"/>
        <v>47.5</v>
      </c>
      <c r="R33" s="32">
        <f t="shared" si="12"/>
        <v>18.3</v>
      </c>
      <c r="S33" s="32">
        <f t="shared" si="12"/>
        <v>79.099999999999994</v>
      </c>
      <c r="T33" s="32">
        <f t="shared" si="12"/>
        <v>17.7</v>
      </c>
      <c r="U33" s="32">
        <f t="shared" si="12"/>
        <v>14</v>
      </c>
      <c r="V33" s="32">
        <f t="shared" si="12"/>
        <v>68</v>
      </c>
      <c r="W33" s="32">
        <f t="shared" si="12"/>
        <v>11.2</v>
      </c>
      <c r="X33" s="32">
        <f t="shared" si="12"/>
        <v>77</v>
      </c>
      <c r="Y33" s="32">
        <f t="shared" si="13"/>
        <v>6</v>
      </c>
      <c r="Z33" s="32">
        <f t="shared" si="13"/>
        <v>35.74</v>
      </c>
      <c r="AA33" s="32">
        <f t="shared" si="13"/>
        <v>9</v>
      </c>
      <c r="AB33" s="32">
        <f t="shared" si="13"/>
        <v>5.4</v>
      </c>
      <c r="AC33" s="32">
        <f t="shared" si="13"/>
        <v>-0.9</v>
      </c>
      <c r="AD33" s="32">
        <f t="shared" si="13"/>
        <v>10.26</v>
      </c>
      <c r="AE33" s="32">
        <f t="shared" si="13"/>
        <v>11.1</v>
      </c>
      <c r="AF33" s="29">
        <v>64</v>
      </c>
      <c r="AG33" s="30">
        <f t="shared" si="3"/>
        <v>18.75</v>
      </c>
      <c r="AH33" s="31">
        <f t="shared" si="4"/>
        <v>57.368421052631582</v>
      </c>
    </row>
    <row r="34" spans="1:34" s="2" customFormat="1" ht="15.6" x14ac:dyDescent="0.3">
      <c r="A34" s="6" t="s">
        <v>56</v>
      </c>
      <c r="B34" s="2">
        <v>9</v>
      </c>
      <c r="C34" s="3">
        <v>2</v>
      </c>
      <c r="D34" s="5" t="s">
        <v>404</v>
      </c>
      <c r="E34" s="32">
        <f t="shared" ref="E34:N43" si="14">INDEX(rawValue25,MATCH(INDEX(teamID,MATCH(INDEX(ovrTeamCol25,ROW(),1),teamINI,0))+INDEX(statID,MATCH(INDEX(ovrHeaderRow25,1,COLUMN()),statAbbr,0),1),rawLookup25,0))</f>
        <v>32.6</v>
      </c>
      <c r="F34" s="32">
        <f t="shared" si="14"/>
        <v>9.6</v>
      </c>
      <c r="G34" s="32">
        <f t="shared" si="14"/>
        <v>34.5</v>
      </c>
      <c r="H34" s="32">
        <f t="shared" si="14"/>
        <v>27.7</v>
      </c>
      <c r="I34" s="32">
        <f t="shared" si="14"/>
        <v>1.4</v>
      </c>
      <c r="J34" s="32">
        <f t="shared" si="14"/>
        <v>17.100000000000001</v>
      </c>
      <c r="K34" s="32">
        <f t="shared" si="14"/>
        <v>13.31</v>
      </c>
      <c r="L34" s="32">
        <f t="shared" si="14"/>
        <v>4.5</v>
      </c>
      <c r="M34" s="32">
        <f t="shared" si="14"/>
        <v>41.4</v>
      </c>
      <c r="N34" s="32">
        <f t="shared" si="14"/>
        <v>28.97</v>
      </c>
      <c r="O34" s="32">
        <f t="shared" ref="O34:X43" si="15">INDEX(rawValue25,MATCH(INDEX(teamID,MATCH(INDEX(ovrTeamCol25,ROW(),1),teamINI,0))+INDEX(statID,MATCH(INDEX(ovrHeaderRow25,1,COLUMN()),statAbbr,0),1),rawLookup25,0))</f>
        <v>0.56100000000000005</v>
      </c>
      <c r="P34" s="32">
        <f t="shared" si="15"/>
        <v>9.36</v>
      </c>
      <c r="Q34" s="32">
        <f t="shared" si="15"/>
        <v>47.7</v>
      </c>
      <c r="R34" s="32">
        <f t="shared" si="15"/>
        <v>11.1</v>
      </c>
      <c r="S34" s="32">
        <f t="shared" si="15"/>
        <v>72.8</v>
      </c>
      <c r="T34" s="32">
        <f t="shared" si="15"/>
        <v>16.2</v>
      </c>
      <c r="U34" s="32">
        <f t="shared" si="15"/>
        <v>11.8</v>
      </c>
      <c r="V34" s="32">
        <f t="shared" si="15"/>
        <v>70</v>
      </c>
      <c r="W34" s="32">
        <f t="shared" si="15"/>
        <v>8.42</v>
      </c>
      <c r="X34" s="32">
        <f t="shared" si="15"/>
        <v>75.5</v>
      </c>
      <c r="Y34" s="32">
        <f t="shared" ref="Y34:AE43" si="16">INDEX(rawValue25,MATCH(INDEX(teamID,MATCH(INDEX(ovrTeamCol25,ROW(),1),teamINI,0))+INDEX(statID,MATCH(INDEX(ovrHeaderRow25,1,COLUMN()),statAbbr,0),1),rawLookup25,0))</f>
        <v>3.1</v>
      </c>
      <c r="Z34" s="32">
        <f t="shared" si="16"/>
        <v>37.39</v>
      </c>
      <c r="AA34" s="32">
        <f t="shared" si="16"/>
        <v>5.4</v>
      </c>
      <c r="AB34" s="32">
        <f t="shared" si="16"/>
        <v>3.6</v>
      </c>
      <c r="AC34" s="32">
        <f t="shared" si="16"/>
        <v>-4.3</v>
      </c>
      <c r="AD34" s="32">
        <f t="shared" si="16"/>
        <v>7.92</v>
      </c>
      <c r="AE34" s="32">
        <f t="shared" si="16"/>
        <v>12.2</v>
      </c>
      <c r="AF34" s="29">
        <v>67.3</v>
      </c>
      <c r="AG34" s="30">
        <f t="shared" ref="AG34:AG69" si="17">(X34-U34-F34*3)/2</f>
        <v>17.450000000000003</v>
      </c>
      <c r="AH34" s="31">
        <f t="shared" ref="AH34:AH65" si="18">(AG34+F34)*100/Q34</f>
        <v>56.708595387840674</v>
      </c>
    </row>
    <row r="35" spans="1:34" s="2" customFormat="1" ht="15.6" x14ac:dyDescent="0.3">
      <c r="A35" s="6" t="s">
        <v>20</v>
      </c>
      <c r="B35" s="2">
        <v>9</v>
      </c>
      <c r="C35" s="3">
        <v>2</v>
      </c>
      <c r="D35" s="5" t="s">
        <v>404</v>
      </c>
      <c r="E35" s="32">
        <f t="shared" si="14"/>
        <v>35.5</v>
      </c>
      <c r="F35" s="32">
        <f t="shared" si="14"/>
        <v>8.4</v>
      </c>
      <c r="G35" s="32">
        <f t="shared" si="14"/>
        <v>34.799999999999997</v>
      </c>
      <c r="H35" s="32">
        <f t="shared" si="14"/>
        <v>24.2</v>
      </c>
      <c r="I35" s="32">
        <f t="shared" si="14"/>
        <v>1.33</v>
      </c>
      <c r="J35" s="32">
        <f t="shared" si="14"/>
        <v>14.4</v>
      </c>
      <c r="K35" s="32">
        <f t="shared" si="14"/>
        <v>17.66</v>
      </c>
      <c r="L35" s="32">
        <f t="shared" si="14"/>
        <v>2.8</v>
      </c>
      <c r="M35" s="32">
        <f t="shared" si="14"/>
        <v>44</v>
      </c>
      <c r="N35" s="32">
        <f t="shared" si="14"/>
        <v>22.91</v>
      </c>
      <c r="O35" s="32">
        <f t="shared" si="15"/>
        <v>0.51400000000000001</v>
      </c>
      <c r="P35" s="32">
        <f t="shared" si="15"/>
        <v>10.029999999999999</v>
      </c>
      <c r="Q35" s="32">
        <f t="shared" si="15"/>
        <v>44.5</v>
      </c>
      <c r="R35" s="32">
        <f t="shared" si="15"/>
        <v>16.3</v>
      </c>
      <c r="S35" s="32">
        <f t="shared" si="15"/>
        <v>74.7</v>
      </c>
      <c r="T35" s="32">
        <f t="shared" si="15"/>
        <v>18.3</v>
      </c>
      <c r="U35" s="32">
        <f t="shared" si="15"/>
        <v>13.7</v>
      </c>
      <c r="V35" s="32">
        <f t="shared" si="15"/>
        <v>69.8</v>
      </c>
      <c r="W35" s="32">
        <f t="shared" si="15"/>
        <v>12.97</v>
      </c>
      <c r="X35" s="32">
        <f t="shared" si="15"/>
        <v>76.099999999999994</v>
      </c>
      <c r="Y35" s="32">
        <f t="shared" si="16"/>
        <v>3.4</v>
      </c>
      <c r="Z35" s="32">
        <f t="shared" si="16"/>
        <v>35.89</v>
      </c>
      <c r="AA35" s="32">
        <f t="shared" si="16"/>
        <v>6.3</v>
      </c>
      <c r="AB35" s="32">
        <f t="shared" si="16"/>
        <v>7.5</v>
      </c>
      <c r="AC35" s="32">
        <f t="shared" si="16"/>
        <v>1.8</v>
      </c>
      <c r="AD35" s="32">
        <f t="shared" si="16"/>
        <v>12.57</v>
      </c>
      <c r="AE35" s="32">
        <f t="shared" si="16"/>
        <v>10.8</v>
      </c>
      <c r="AF35" s="29">
        <v>64.599999999999994</v>
      </c>
      <c r="AG35" s="30">
        <f t="shared" si="17"/>
        <v>18.599999999999994</v>
      </c>
      <c r="AH35" s="31">
        <f t="shared" si="18"/>
        <v>60.67415730337077</v>
      </c>
    </row>
    <row r="36" spans="1:34" s="2" customFormat="1" ht="15.6" x14ac:dyDescent="0.3">
      <c r="A36" s="6" t="s">
        <v>387</v>
      </c>
      <c r="B36" s="2">
        <v>9</v>
      </c>
      <c r="C36" s="3">
        <v>1</v>
      </c>
      <c r="D36" s="5" t="s">
        <v>404</v>
      </c>
      <c r="E36" s="32">
        <f t="shared" si="14"/>
        <v>31.6</v>
      </c>
      <c r="F36" s="32">
        <f t="shared" si="14"/>
        <v>6.9</v>
      </c>
      <c r="G36" s="32">
        <f t="shared" si="14"/>
        <v>32.9</v>
      </c>
      <c r="H36" s="32">
        <f t="shared" si="14"/>
        <v>21</v>
      </c>
      <c r="I36" s="32">
        <f t="shared" si="14"/>
        <v>0.96</v>
      </c>
      <c r="J36" s="32">
        <f t="shared" si="14"/>
        <v>12.5</v>
      </c>
      <c r="K36" s="32">
        <f t="shared" si="14"/>
        <v>22.7</v>
      </c>
      <c r="L36" s="32">
        <f t="shared" si="14"/>
        <v>5.0999999999999996</v>
      </c>
      <c r="M36" s="32">
        <f t="shared" si="14"/>
        <v>41.3</v>
      </c>
      <c r="N36" s="32">
        <f t="shared" si="14"/>
        <v>24.61</v>
      </c>
      <c r="O36" s="32">
        <f t="shared" si="15"/>
        <v>0.52100000000000002</v>
      </c>
      <c r="P36" s="32">
        <f t="shared" si="15"/>
        <v>10.210000000000001</v>
      </c>
      <c r="Q36" s="32">
        <f t="shared" si="15"/>
        <v>46</v>
      </c>
      <c r="R36" s="32">
        <f t="shared" si="15"/>
        <v>16.600000000000001</v>
      </c>
      <c r="S36" s="32">
        <f t="shared" si="15"/>
        <v>71.7</v>
      </c>
      <c r="T36" s="32">
        <f t="shared" si="15"/>
        <v>22.7</v>
      </c>
      <c r="U36" s="32">
        <f t="shared" si="15"/>
        <v>16.3</v>
      </c>
      <c r="V36" s="32">
        <f t="shared" si="15"/>
        <v>69.900000000000006</v>
      </c>
      <c r="W36" s="32">
        <f t="shared" si="15"/>
        <v>11.85</v>
      </c>
      <c r="X36" s="32">
        <f t="shared" si="15"/>
        <v>75.3</v>
      </c>
      <c r="Y36" s="32">
        <f t="shared" si="16"/>
        <v>3.8</v>
      </c>
      <c r="Z36" s="32">
        <f t="shared" si="16"/>
        <v>36.450000000000003</v>
      </c>
      <c r="AA36" s="32">
        <f t="shared" si="16"/>
        <v>5.4</v>
      </c>
      <c r="AB36" s="32">
        <f t="shared" si="16"/>
        <v>7.8</v>
      </c>
      <c r="AC36" s="32">
        <f t="shared" si="16"/>
        <v>-0.6</v>
      </c>
      <c r="AD36" s="32">
        <f t="shared" si="16"/>
        <v>12.33</v>
      </c>
      <c r="AE36" s="32">
        <f t="shared" si="16"/>
        <v>12.9</v>
      </c>
      <c r="AF36" s="29">
        <v>66.7</v>
      </c>
      <c r="AG36" s="30">
        <f t="shared" si="17"/>
        <v>19.149999999999999</v>
      </c>
      <c r="AH36" s="31">
        <f t="shared" si="18"/>
        <v>56.630434782608688</v>
      </c>
    </row>
    <row r="37" spans="1:34" s="2" customFormat="1" ht="15.6" x14ac:dyDescent="0.3">
      <c r="A37" s="6" t="s">
        <v>332</v>
      </c>
      <c r="B37" s="2">
        <v>9</v>
      </c>
      <c r="C37" s="3">
        <v>1</v>
      </c>
      <c r="D37" s="5" t="s">
        <v>404</v>
      </c>
      <c r="E37" s="32">
        <f t="shared" si="14"/>
        <v>30.3</v>
      </c>
      <c r="F37" s="32">
        <f t="shared" si="14"/>
        <v>8.5</v>
      </c>
      <c r="G37" s="32">
        <f t="shared" si="14"/>
        <v>36.5</v>
      </c>
      <c r="H37" s="32">
        <f t="shared" si="14"/>
        <v>23.2</v>
      </c>
      <c r="I37" s="32">
        <f t="shared" si="14"/>
        <v>1.1100000000000001</v>
      </c>
      <c r="J37" s="32">
        <f t="shared" si="14"/>
        <v>13.4</v>
      </c>
      <c r="K37" s="32">
        <f t="shared" si="14"/>
        <v>20.94</v>
      </c>
      <c r="L37" s="32">
        <f t="shared" si="14"/>
        <v>2.2999999999999998</v>
      </c>
      <c r="M37" s="32">
        <f t="shared" si="14"/>
        <v>44.6</v>
      </c>
      <c r="N37" s="32">
        <f t="shared" si="14"/>
        <v>23.68</v>
      </c>
      <c r="O37" s="32">
        <f t="shared" si="15"/>
        <v>0.54400000000000004</v>
      </c>
      <c r="P37" s="32">
        <f t="shared" si="15"/>
        <v>12.21</v>
      </c>
      <c r="Q37" s="32">
        <f t="shared" si="15"/>
        <v>46.8</v>
      </c>
      <c r="R37" s="32">
        <f t="shared" si="15"/>
        <v>18.5</v>
      </c>
      <c r="S37" s="32">
        <f t="shared" si="15"/>
        <v>79.5</v>
      </c>
      <c r="T37" s="32">
        <f t="shared" si="15"/>
        <v>22.2</v>
      </c>
      <c r="U37" s="32">
        <f t="shared" si="15"/>
        <v>17.7</v>
      </c>
      <c r="V37" s="32">
        <f t="shared" si="15"/>
        <v>74.599999999999994</v>
      </c>
      <c r="W37" s="32">
        <f t="shared" si="15"/>
        <v>8.44</v>
      </c>
      <c r="X37" s="32">
        <f t="shared" si="15"/>
        <v>78.3</v>
      </c>
      <c r="Y37" s="32">
        <f t="shared" si="16"/>
        <v>-2.2000000000000002</v>
      </c>
      <c r="Z37" s="32">
        <f t="shared" si="16"/>
        <v>32.119999999999997</v>
      </c>
      <c r="AA37" s="32">
        <f t="shared" si="16"/>
        <v>3.6</v>
      </c>
      <c r="AB37" s="32">
        <f t="shared" si="16"/>
        <v>7.8</v>
      </c>
      <c r="AC37" s="32">
        <f t="shared" si="16"/>
        <v>0.6</v>
      </c>
      <c r="AD37" s="32">
        <f t="shared" si="16"/>
        <v>12.71</v>
      </c>
      <c r="AE37" s="32">
        <f t="shared" si="16"/>
        <v>12.1</v>
      </c>
      <c r="AF37" s="29">
        <v>68.8</v>
      </c>
      <c r="AG37" s="30">
        <f t="shared" si="17"/>
        <v>17.549999999999997</v>
      </c>
      <c r="AH37" s="31">
        <f t="shared" si="18"/>
        <v>55.662393162393158</v>
      </c>
    </row>
    <row r="38" spans="1:34" s="2" customFormat="1" ht="15.6" x14ac:dyDescent="0.3">
      <c r="A38" s="6" t="s">
        <v>27</v>
      </c>
      <c r="B38" s="2">
        <v>10</v>
      </c>
      <c r="C38" s="3">
        <v>2</v>
      </c>
      <c r="D38" s="5" t="s">
        <v>404</v>
      </c>
      <c r="E38" s="32">
        <f t="shared" si="14"/>
        <v>33.799999999999997</v>
      </c>
      <c r="F38" s="32">
        <f t="shared" si="14"/>
        <v>6.9</v>
      </c>
      <c r="G38" s="32">
        <f t="shared" si="14"/>
        <v>34.700000000000003</v>
      </c>
      <c r="H38" s="32">
        <f t="shared" si="14"/>
        <v>20</v>
      </c>
      <c r="I38" s="32">
        <f t="shared" si="14"/>
        <v>1.3</v>
      </c>
      <c r="J38" s="32">
        <f t="shared" si="14"/>
        <v>14.9</v>
      </c>
      <c r="K38" s="32">
        <f t="shared" si="14"/>
        <v>18.510000000000002</v>
      </c>
      <c r="L38" s="32">
        <f t="shared" si="14"/>
        <v>5</v>
      </c>
      <c r="M38" s="32">
        <f t="shared" si="14"/>
        <v>42.8</v>
      </c>
      <c r="N38" s="32">
        <f t="shared" si="14"/>
        <v>26.91</v>
      </c>
      <c r="O38" s="32">
        <f t="shared" si="15"/>
        <v>0.51500000000000001</v>
      </c>
      <c r="P38" s="32">
        <f t="shared" si="15"/>
        <v>15.83</v>
      </c>
      <c r="Q38" s="32">
        <f t="shared" si="15"/>
        <v>46</v>
      </c>
      <c r="R38" s="32">
        <f t="shared" si="15"/>
        <v>17.5</v>
      </c>
      <c r="S38" s="32">
        <f t="shared" si="15"/>
        <v>68.900000000000006</v>
      </c>
      <c r="T38" s="32">
        <f t="shared" si="15"/>
        <v>23.1</v>
      </c>
      <c r="U38" s="32">
        <f t="shared" si="15"/>
        <v>15.9</v>
      </c>
      <c r="V38" s="32">
        <f t="shared" si="15"/>
        <v>70.599999999999994</v>
      </c>
      <c r="W38" s="32">
        <f t="shared" si="15"/>
        <v>11.97</v>
      </c>
      <c r="X38" s="32">
        <f t="shared" si="15"/>
        <v>80.5</v>
      </c>
      <c r="Y38" s="32">
        <f t="shared" si="16"/>
        <v>3.7</v>
      </c>
      <c r="Z38" s="32">
        <f t="shared" si="16"/>
        <v>38.89</v>
      </c>
      <c r="AA38" s="32">
        <f t="shared" si="16"/>
        <v>9.9</v>
      </c>
      <c r="AB38" s="32">
        <f t="shared" si="16"/>
        <v>8.6999999999999993</v>
      </c>
      <c r="AC38" s="32">
        <f t="shared" si="16"/>
        <v>3.6</v>
      </c>
      <c r="AD38" s="32">
        <f t="shared" si="16"/>
        <v>15.06</v>
      </c>
      <c r="AE38" s="32">
        <f t="shared" si="16"/>
        <v>11.4</v>
      </c>
      <c r="AF38" s="29">
        <v>72.5</v>
      </c>
      <c r="AG38" s="30">
        <f t="shared" si="17"/>
        <v>21.949999999999996</v>
      </c>
      <c r="AH38" s="31">
        <f t="shared" si="18"/>
        <v>62.717391304347814</v>
      </c>
    </row>
    <row r="39" spans="1:34" s="2" customFormat="1" ht="15.6" x14ac:dyDescent="0.3">
      <c r="A39" s="6" t="s">
        <v>393</v>
      </c>
      <c r="B39" s="2">
        <v>10</v>
      </c>
      <c r="C39" s="3">
        <v>1</v>
      </c>
      <c r="D39" s="5" t="s">
        <v>404</v>
      </c>
      <c r="E39" s="32">
        <f t="shared" si="14"/>
        <v>36.6</v>
      </c>
      <c r="F39" s="32">
        <f t="shared" si="14"/>
        <v>8.1</v>
      </c>
      <c r="G39" s="32">
        <f t="shared" si="14"/>
        <v>32.5</v>
      </c>
      <c r="H39" s="32">
        <f t="shared" si="14"/>
        <v>24.9</v>
      </c>
      <c r="I39" s="32">
        <f t="shared" si="14"/>
        <v>1.37</v>
      </c>
      <c r="J39" s="32">
        <f t="shared" si="14"/>
        <v>13.9</v>
      </c>
      <c r="K39" s="32">
        <f t="shared" si="14"/>
        <v>28.48</v>
      </c>
      <c r="L39" s="32">
        <f t="shared" si="14"/>
        <v>3.9</v>
      </c>
      <c r="M39" s="32">
        <f t="shared" si="14"/>
        <v>45.8</v>
      </c>
      <c r="N39" s="32">
        <f t="shared" si="14"/>
        <v>23.21</v>
      </c>
      <c r="O39" s="32">
        <f t="shared" si="15"/>
        <v>0.51500000000000001</v>
      </c>
      <c r="P39" s="32">
        <f t="shared" si="15"/>
        <v>11.58</v>
      </c>
      <c r="Q39" s="32">
        <f t="shared" si="15"/>
        <v>45</v>
      </c>
      <c r="R39" s="32">
        <f t="shared" si="15"/>
        <v>17.899999999999999</v>
      </c>
      <c r="S39" s="32">
        <f t="shared" si="15"/>
        <v>74.599999999999994</v>
      </c>
      <c r="T39" s="32">
        <f t="shared" si="15"/>
        <v>20.6</v>
      </c>
      <c r="U39" s="32">
        <f t="shared" si="15"/>
        <v>15.4</v>
      </c>
      <c r="V39" s="32">
        <f t="shared" si="15"/>
        <v>74.3</v>
      </c>
      <c r="W39" s="32">
        <f t="shared" si="15"/>
        <v>11.48</v>
      </c>
      <c r="X39" s="32">
        <f t="shared" si="15"/>
        <v>78.900000000000006</v>
      </c>
      <c r="Y39" s="32">
        <f t="shared" si="16"/>
        <v>0</v>
      </c>
      <c r="Z39" s="32">
        <f t="shared" si="16"/>
        <v>34.700000000000003</v>
      </c>
      <c r="AA39" s="32">
        <f t="shared" si="16"/>
        <v>4.5999999999999996</v>
      </c>
      <c r="AB39" s="32">
        <f t="shared" si="16"/>
        <v>8.9</v>
      </c>
      <c r="AC39" s="32">
        <f t="shared" si="16"/>
        <v>3.7</v>
      </c>
      <c r="AD39" s="32">
        <f t="shared" si="16"/>
        <v>13.91</v>
      </c>
      <c r="AE39" s="32">
        <f t="shared" si="16"/>
        <v>10.199999999999999</v>
      </c>
      <c r="AF39" s="29">
        <v>69.5</v>
      </c>
      <c r="AG39" s="30">
        <f t="shared" si="17"/>
        <v>19.600000000000005</v>
      </c>
      <c r="AH39" s="31">
        <f t="shared" si="18"/>
        <v>61.555555555555564</v>
      </c>
    </row>
    <row r="40" spans="1:34" s="2" customFormat="1" ht="15.6" x14ac:dyDescent="0.3">
      <c r="A40" s="6" t="s">
        <v>61</v>
      </c>
      <c r="B40" s="2">
        <v>10</v>
      </c>
      <c r="C40" s="3">
        <v>1</v>
      </c>
      <c r="D40" s="5" t="s">
        <v>404</v>
      </c>
      <c r="E40" s="32">
        <f t="shared" si="14"/>
        <v>34.1</v>
      </c>
      <c r="F40" s="32">
        <f t="shared" si="14"/>
        <v>8.8000000000000007</v>
      </c>
      <c r="G40" s="32">
        <f t="shared" si="14"/>
        <v>35.6</v>
      </c>
      <c r="H40" s="32">
        <f t="shared" si="14"/>
        <v>24.8</v>
      </c>
      <c r="I40" s="32">
        <f t="shared" si="14"/>
        <v>1.6</v>
      </c>
      <c r="J40" s="32">
        <f t="shared" si="14"/>
        <v>17.100000000000001</v>
      </c>
      <c r="K40" s="32">
        <f t="shared" si="14"/>
        <v>27.68</v>
      </c>
      <c r="L40" s="32">
        <f t="shared" si="14"/>
        <v>2.8</v>
      </c>
      <c r="M40" s="32">
        <f t="shared" si="14"/>
        <v>44.1</v>
      </c>
      <c r="N40" s="32">
        <f t="shared" si="14"/>
        <v>23</v>
      </c>
      <c r="O40" s="32">
        <f t="shared" si="15"/>
        <v>0.56000000000000005</v>
      </c>
      <c r="P40" s="32">
        <f t="shared" si="15"/>
        <v>13.18</v>
      </c>
      <c r="Q40" s="32">
        <f t="shared" si="15"/>
        <v>48.4</v>
      </c>
      <c r="R40" s="32">
        <f t="shared" si="15"/>
        <v>18.100000000000001</v>
      </c>
      <c r="S40" s="32">
        <f t="shared" si="15"/>
        <v>70.2</v>
      </c>
      <c r="T40" s="32">
        <f t="shared" si="15"/>
        <v>21.4</v>
      </c>
      <c r="U40" s="32">
        <f t="shared" si="15"/>
        <v>15</v>
      </c>
      <c r="V40" s="32">
        <f t="shared" si="15"/>
        <v>70</v>
      </c>
      <c r="W40" s="32">
        <f t="shared" si="15"/>
        <v>11.62</v>
      </c>
      <c r="X40" s="32">
        <f t="shared" si="15"/>
        <v>79.900000000000006</v>
      </c>
      <c r="Y40" s="32">
        <f t="shared" si="16"/>
        <v>2.9</v>
      </c>
      <c r="Z40" s="32">
        <f t="shared" si="16"/>
        <v>34.619999999999997</v>
      </c>
      <c r="AA40" s="32">
        <f t="shared" si="16"/>
        <v>9.9</v>
      </c>
      <c r="AB40" s="32">
        <f t="shared" si="16"/>
        <v>8.6</v>
      </c>
      <c r="AC40" s="32">
        <f t="shared" si="16"/>
        <v>3.1</v>
      </c>
      <c r="AD40" s="32">
        <f t="shared" si="16"/>
        <v>13.79</v>
      </c>
      <c r="AE40" s="32">
        <f t="shared" si="16"/>
        <v>10.7</v>
      </c>
      <c r="AF40" s="29">
        <v>67.599999999999994</v>
      </c>
      <c r="AG40" s="30">
        <f t="shared" si="17"/>
        <v>19.25</v>
      </c>
      <c r="AH40" s="31">
        <f t="shared" si="18"/>
        <v>57.954545454545453</v>
      </c>
    </row>
    <row r="41" spans="1:34" s="2" customFormat="1" ht="15.6" x14ac:dyDescent="0.3">
      <c r="A41" s="6" t="s">
        <v>351</v>
      </c>
      <c r="B41" s="2">
        <v>10</v>
      </c>
      <c r="C41" s="3">
        <v>3</v>
      </c>
      <c r="D41" s="5" t="s">
        <v>404</v>
      </c>
      <c r="E41" s="32">
        <f t="shared" si="14"/>
        <v>31.4</v>
      </c>
      <c r="F41" s="32">
        <f t="shared" si="14"/>
        <v>7</v>
      </c>
      <c r="G41" s="32">
        <f t="shared" si="14"/>
        <v>32.700000000000003</v>
      </c>
      <c r="H41" s="32">
        <f t="shared" si="14"/>
        <v>21.5</v>
      </c>
      <c r="I41" s="32">
        <f t="shared" si="14"/>
        <v>1.23</v>
      </c>
      <c r="J41" s="32">
        <f t="shared" si="14"/>
        <v>14.2</v>
      </c>
      <c r="K41" s="32">
        <f t="shared" si="14"/>
        <v>16.670000000000002</v>
      </c>
      <c r="L41" s="32">
        <f t="shared" si="14"/>
        <v>5.6</v>
      </c>
      <c r="M41" s="32">
        <f t="shared" si="14"/>
        <v>41.5</v>
      </c>
      <c r="N41" s="32">
        <f t="shared" si="14"/>
        <v>26.11</v>
      </c>
      <c r="O41" s="32">
        <f t="shared" si="15"/>
        <v>0.52200000000000002</v>
      </c>
      <c r="P41" s="32">
        <f t="shared" si="15"/>
        <v>12.22</v>
      </c>
      <c r="Q41" s="32">
        <f t="shared" si="15"/>
        <v>46.2</v>
      </c>
      <c r="R41" s="32">
        <f t="shared" si="15"/>
        <v>16.2</v>
      </c>
      <c r="S41" s="32">
        <f t="shared" si="15"/>
        <v>73.900000000000006</v>
      </c>
      <c r="T41" s="32">
        <f t="shared" si="15"/>
        <v>20.9</v>
      </c>
      <c r="U41" s="32">
        <f t="shared" si="15"/>
        <v>15.4</v>
      </c>
      <c r="V41" s="32">
        <f t="shared" si="15"/>
        <v>71.400000000000006</v>
      </c>
      <c r="W41" s="32">
        <f t="shared" si="15"/>
        <v>9.5299999999999994</v>
      </c>
      <c r="X41" s="32">
        <f t="shared" si="15"/>
        <v>76.8</v>
      </c>
      <c r="Y41" s="32">
        <f t="shared" si="16"/>
        <v>0.1</v>
      </c>
      <c r="Z41" s="32">
        <f t="shared" si="16"/>
        <v>35.64</v>
      </c>
      <c r="AA41" s="32">
        <f t="shared" si="16"/>
        <v>5.4</v>
      </c>
      <c r="AB41" s="32">
        <f t="shared" si="16"/>
        <v>7.5</v>
      </c>
      <c r="AC41" s="32">
        <f t="shared" si="16"/>
        <v>0.7</v>
      </c>
      <c r="AD41" s="32">
        <f t="shared" si="16"/>
        <v>12.19</v>
      </c>
      <c r="AE41" s="32">
        <f t="shared" si="16"/>
        <v>11.5</v>
      </c>
      <c r="AF41" s="29">
        <v>69.400000000000006</v>
      </c>
      <c r="AG41" s="30">
        <f t="shared" si="17"/>
        <v>20.2</v>
      </c>
      <c r="AH41" s="31">
        <f t="shared" si="18"/>
        <v>58.874458874458874</v>
      </c>
    </row>
    <row r="42" spans="1:34" s="2" customFormat="1" ht="15.6" x14ac:dyDescent="0.3">
      <c r="A42" s="6" t="s">
        <v>18</v>
      </c>
      <c r="B42" s="2">
        <v>11</v>
      </c>
      <c r="C42" s="3">
        <v>2</v>
      </c>
      <c r="D42" s="5" t="s">
        <v>404</v>
      </c>
      <c r="E42" s="32">
        <f t="shared" si="14"/>
        <v>33.5</v>
      </c>
      <c r="F42" s="32">
        <f t="shared" si="14"/>
        <v>8</v>
      </c>
      <c r="G42" s="32">
        <f t="shared" si="14"/>
        <v>35.6</v>
      </c>
      <c r="H42" s="32">
        <f t="shared" si="14"/>
        <v>22.4</v>
      </c>
      <c r="I42" s="32">
        <f t="shared" si="14"/>
        <v>1.38</v>
      </c>
      <c r="J42" s="32">
        <f t="shared" si="14"/>
        <v>14.8</v>
      </c>
      <c r="K42" s="32">
        <f t="shared" si="14"/>
        <v>23.95</v>
      </c>
      <c r="L42" s="32">
        <f t="shared" si="14"/>
        <v>3.6</v>
      </c>
      <c r="M42" s="32">
        <f t="shared" si="14"/>
        <v>43.2</v>
      </c>
      <c r="N42" s="32">
        <f t="shared" si="14"/>
        <v>26.89</v>
      </c>
      <c r="O42" s="32">
        <f t="shared" si="15"/>
        <v>0.54100000000000004</v>
      </c>
      <c r="P42" s="32">
        <f t="shared" si="15"/>
        <v>12.95</v>
      </c>
      <c r="Q42" s="32">
        <f t="shared" si="15"/>
        <v>47.5</v>
      </c>
      <c r="R42" s="32">
        <f t="shared" si="15"/>
        <v>16.899999999999999</v>
      </c>
      <c r="S42" s="32">
        <f t="shared" si="15"/>
        <v>74.099999999999994</v>
      </c>
      <c r="T42" s="32">
        <f t="shared" si="15"/>
        <v>20.9</v>
      </c>
      <c r="U42" s="32">
        <f t="shared" si="15"/>
        <v>15.5</v>
      </c>
      <c r="V42" s="32">
        <f t="shared" si="15"/>
        <v>74.7</v>
      </c>
      <c r="W42" s="32">
        <f t="shared" si="15"/>
        <v>9.7799999999999994</v>
      </c>
      <c r="X42" s="32">
        <f t="shared" si="15"/>
        <v>80.7</v>
      </c>
      <c r="Y42" s="32">
        <f t="shared" si="16"/>
        <v>2.9</v>
      </c>
      <c r="Z42" s="32">
        <f t="shared" si="16"/>
        <v>36.68</v>
      </c>
      <c r="AA42" s="32">
        <f t="shared" si="16"/>
        <v>6.1</v>
      </c>
      <c r="AB42" s="32">
        <f t="shared" si="16"/>
        <v>6</v>
      </c>
      <c r="AC42" s="32">
        <f t="shared" si="16"/>
        <v>0.2</v>
      </c>
      <c r="AD42" s="32">
        <f t="shared" si="16"/>
        <v>10.89</v>
      </c>
      <c r="AE42" s="32">
        <f t="shared" si="16"/>
        <v>10.7</v>
      </c>
      <c r="AF42" s="29">
        <v>70.7</v>
      </c>
      <c r="AG42" s="30">
        <f t="shared" si="17"/>
        <v>20.6</v>
      </c>
      <c r="AH42" s="31">
        <f t="shared" si="18"/>
        <v>60.210526315789473</v>
      </c>
    </row>
    <row r="43" spans="1:34" s="2" customFormat="1" ht="15.6" x14ac:dyDescent="0.3">
      <c r="A43" s="6" t="s">
        <v>284</v>
      </c>
      <c r="B43" s="2">
        <v>11</v>
      </c>
      <c r="C43" s="3">
        <v>1</v>
      </c>
      <c r="D43" s="5" t="s">
        <v>404</v>
      </c>
      <c r="E43" s="32">
        <f t="shared" si="14"/>
        <v>30.5</v>
      </c>
      <c r="F43" s="32">
        <f t="shared" si="14"/>
        <v>9.6</v>
      </c>
      <c r="G43" s="32">
        <f t="shared" si="14"/>
        <v>33.6</v>
      </c>
      <c r="H43" s="32">
        <f t="shared" si="14"/>
        <v>28.6</v>
      </c>
      <c r="I43" s="32">
        <f t="shared" si="14"/>
        <v>1.33</v>
      </c>
      <c r="J43" s="32">
        <f t="shared" si="14"/>
        <v>15</v>
      </c>
      <c r="K43" s="32">
        <f t="shared" si="14"/>
        <v>22.03</v>
      </c>
      <c r="L43" s="32">
        <f t="shared" si="14"/>
        <v>5.4</v>
      </c>
      <c r="M43" s="32">
        <f t="shared" si="14"/>
        <v>39.1</v>
      </c>
      <c r="N43" s="32">
        <f t="shared" si="14"/>
        <v>24.97</v>
      </c>
      <c r="O43" s="32">
        <f t="shared" si="15"/>
        <v>0.52600000000000002</v>
      </c>
      <c r="P43" s="32">
        <f t="shared" si="15"/>
        <v>12.4</v>
      </c>
      <c r="Q43" s="32">
        <f t="shared" si="15"/>
        <v>44.5</v>
      </c>
      <c r="R43" s="32">
        <f t="shared" si="15"/>
        <v>18.100000000000001</v>
      </c>
      <c r="S43" s="32">
        <f t="shared" si="15"/>
        <v>74.3</v>
      </c>
      <c r="T43" s="32">
        <f t="shared" si="15"/>
        <v>19.100000000000001</v>
      </c>
      <c r="U43" s="32">
        <f t="shared" si="15"/>
        <v>14.2</v>
      </c>
      <c r="V43" s="32">
        <f t="shared" si="15"/>
        <v>62.9</v>
      </c>
      <c r="W43" s="32">
        <f t="shared" si="15"/>
        <v>13.23</v>
      </c>
      <c r="X43" s="32">
        <f t="shared" si="15"/>
        <v>76.900000000000006</v>
      </c>
      <c r="Y43" s="32">
        <f t="shared" si="16"/>
        <v>4.7</v>
      </c>
      <c r="Z43" s="32">
        <f t="shared" si="16"/>
        <v>38.200000000000003</v>
      </c>
      <c r="AA43" s="32">
        <f t="shared" si="16"/>
        <v>14.1</v>
      </c>
      <c r="AB43" s="32">
        <f t="shared" si="16"/>
        <v>8.1</v>
      </c>
      <c r="AC43" s="32">
        <f t="shared" si="16"/>
        <v>2.5</v>
      </c>
      <c r="AD43" s="32">
        <f t="shared" si="16"/>
        <v>13.74</v>
      </c>
      <c r="AE43" s="32">
        <f t="shared" si="16"/>
        <v>11.3</v>
      </c>
      <c r="AF43" s="29">
        <v>66.3</v>
      </c>
      <c r="AG43" s="30">
        <f t="shared" si="17"/>
        <v>16.950000000000003</v>
      </c>
      <c r="AH43" s="31">
        <f t="shared" si="18"/>
        <v>59.662921348314619</v>
      </c>
    </row>
    <row r="44" spans="1:34" s="2" customFormat="1" ht="15.6" x14ac:dyDescent="0.3">
      <c r="A44" s="6" t="s">
        <v>346</v>
      </c>
      <c r="B44" s="2">
        <v>11</v>
      </c>
      <c r="C44" s="3">
        <v>2</v>
      </c>
      <c r="D44" s="5" t="s">
        <v>404</v>
      </c>
      <c r="E44" s="32">
        <f t="shared" ref="E44:N53" si="19">INDEX(rawValue25,MATCH(INDEX(teamID,MATCH(INDEX(ovrTeamCol25,ROW(),1),teamINI,0))+INDEX(statID,MATCH(INDEX(ovrHeaderRow25,1,COLUMN()),statAbbr,0),1),rawLookup25,0))</f>
        <v>34.4</v>
      </c>
      <c r="F44" s="32">
        <f t="shared" si="19"/>
        <v>8.4</v>
      </c>
      <c r="G44" s="32">
        <f t="shared" si="19"/>
        <v>39.1</v>
      </c>
      <c r="H44" s="32">
        <f t="shared" si="19"/>
        <v>21.4</v>
      </c>
      <c r="I44" s="32">
        <f t="shared" si="19"/>
        <v>1.53</v>
      </c>
      <c r="J44" s="32">
        <f t="shared" si="19"/>
        <v>16.7</v>
      </c>
      <c r="K44" s="32">
        <f t="shared" si="19"/>
        <v>19.38</v>
      </c>
      <c r="L44" s="32">
        <f t="shared" si="19"/>
        <v>2.5</v>
      </c>
      <c r="M44" s="32">
        <f t="shared" si="19"/>
        <v>44.6</v>
      </c>
      <c r="N44" s="32">
        <f t="shared" si="19"/>
        <v>25.5</v>
      </c>
      <c r="O44" s="32">
        <f t="shared" ref="O44:X53" si="20">INDEX(rawValue25,MATCH(INDEX(teamID,MATCH(INDEX(ovrTeamCol25,ROW(),1),teamINI,0))+INDEX(statID,MATCH(INDEX(ovrHeaderRow25,1,COLUMN()),statAbbr,0),1),rawLookup25,0))</f>
        <v>0.54100000000000004</v>
      </c>
      <c r="P44" s="32">
        <f t="shared" si="20"/>
        <v>15.09</v>
      </c>
      <c r="Q44" s="32">
        <f t="shared" si="20"/>
        <v>46.7</v>
      </c>
      <c r="R44" s="32">
        <f t="shared" si="20"/>
        <v>15.7</v>
      </c>
      <c r="S44" s="32">
        <f t="shared" si="20"/>
        <v>78.900000000000006</v>
      </c>
      <c r="T44" s="32">
        <f t="shared" si="20"/>
        <v>20.9</v>
      </c>
      <c r="U44" s="32">
        <f t="shared" si="20"/>
        <v>16.5</v>
      </c>
      <c r="V44" s="32">
        <f t="shared" si="20"/>
        <v>71.599999999999994</v>
      </c>
      <c r="W44" s="32">
        <f t="shared" si="20"/>
        <v>7.76</v>
      </c>
      <c r="X44" s="32">
        <f t="shared" si="20"/>
        <v>78.099999999999994</v>
      </c>
      <c r="Y44" s="32">
        <f t="shared" ref="Y44:AE53" si="21">INDEX(rawValue25,MATCH(INDEX(teamID,MATCH(INDEX(ovrTeamCol25,ROW(),1),teamINI,0))+INDEX(statID,MATCH(INDEX(ovrHeaderRow25,1,COLUMN()),statAbbr,0),1),rawLookup25,0))</f>
        <v>0.6</v>
      </c>
      <c r="Z44" s="32">
        <f t="shared" si="21"/>
        <v>33.26</v>
      </c>
      <c r="AA44" s="32">
        <f t="shared" si="21"/>
        <v>6.5</v>
      </c>
      <c r="AB44" s="32">
        <f t="shared" si="21"/>
        <v>7.7</v>
      </c>
      <c r="AC44" s="32">
        <f t="shared" si="21"/>
        <v>1.4</v>
      </c>
      <c r="AD44" s="32">
        <f t="shared" si="21"/>
        <v>12.29</v>
      </c>
      <c r="AE44" s="32">
        <f t="shared" si="21"/>
        <v>10.9</v>
      </c>
      <c r="AF44" s="29">
        <v>69.2</v>
      </c>
      <c r="AG44" s="30">
        <f t="shared" si="17"/>
        <v>18.199999999999996</v>
      </c>
      <c r="AH44" s="31">
        <f t="shared" si="18"/>
        <v>56.959314775160585</v>
      </c>
    </row>
    <row r="45" spans="1:34" s="2" customFormat="1" ht="15.6" x14ac:dyDescent="0.3">
      <c r="A45" s="6" t="s">
        <v>11</v>
      </c>
      <c r="B45" s="2">
        <v>11</v>
      </c>
      <c r="C45" s="3">
        <v>2</v>
      </c>
      <c r="D45" s="5" t="s">
        <v>404</v>
      </c>
      <c r="E45" s="32">
        <f t="shared" si="19"/>
        <v>30.5</v>
      </c>
      <c r="F45" s="32">
        <f t="shared" si="19"/>
        <v>6.6</v>
      </c>
      <c r="G45" s="32">
        <f t="shared" si="19"/>
        <v>36</v>
      </c>
      <c r="H45" s="32">
        <f t="shared" si="19"/>
        <v>18.399999999999999</v>
      </c>
      <c r="I45" s="32">
        <f t="shared" si="19"/>
        <v>1.22</v>
      </c>
      <c r="J45" s="32">
        <f t="shared" si="19"/>
        <v>13.5</v>
      </c>
      <c r="K45" s="32">
        <f t="shared" si="19"/>
        <v>19.89</v>
      </c>
      <c r="L45" s="32">
        <f t="shared" si="19"/>
        <v>2.4</v>
      </c>
      <c r="M45" s="32">
        <f t="shared" si="19"/>
        <v>44.2</v>
      </c>
      <c r="N45" s="32">
        <f t="shared" si="19"/>
        <v>20.71</v>
      </c>
      <c r="O45" s="32">
        <f t="shared" si="20"/>
        <v>0.54700000000000004</v>
      </c>
      <c r="P45" s="32">
        <f t="shared" si="20"/>
        <v>6.03</v>
      </c>
      <c r="Q45" s="32">
        <f t="shared" si="20"/>
        <v>48.1</v>
      </c>
      <c r="R45" s="32">
        <f t="shared" si="20"/>
        <v>15.8</v>
      </c>
      <c r="S45" s="32">
        <f t="shared" si="20"/>
        <v>69.900000000000006</v>
      </c>
      <c r="T45" s="32">
        <f t="shared" si="20"/>
        <v>21.3</v>
      </c>
      <c r="U45" s="32">
        <f t="shared" si="20"/>
        <v>14.9</v>
      </c>
      <c r="V45" s="32">
        <f t="shared" si="20"/>
        <v>58.9</v>
      </c>
      <c r="W45" s="32">
        <f t="shared" si="20"/>
        <v>10.11</v>
      </c>
      <c r="X45" s="32">
        <f t="shared" si="20"/>
        <v>69.8</v>
      </c>
      <c r="Y45" s="32">
        <f t="shared" si="21"/>
        <v>5.5</v>
      </c>
      <c r="Z45" s="32">
        <f t="shared" si="21"/>
        <v>30.83</v>
      </c>
      <c r="AA45" s="32">
        <f t="shared" si="21"/>
        <v>10.9</v>
      </c>
      <c r="AB45" s="32">
        <f t="shared" si="21"/>
        <v>8.9</v>
      </c>
      <c r="AC45" s="32">
        <f t="shared" si="21"/>
        <v>2.5</v>
      </c>
      <c r="AD45" s="32">
        <f t="shared" si="21"/>
        <v>13.6</v>
      </c>
      <c r="AE45" s="32">
        <f t="shared" si="21"/>
        <v>11.1</v>
      </c>
      <c r="AF45" s="29">
        <v>59.4</v>
      </c>
      <c r="AG45" s="30">
        <f t="shared" si="17"/>
        <v>17.55</v>
      </c>
      <c r="AH45" s="31">
        <f t="shared" si="18"/>
        <v>50.207900207900209</v>
      </c>
    </row>
    <row r="46" spans="1:34" s="2" customFormat="1" ht="15.6" x14ac:dyDescent="0.3">
      <c r="A46" s="6" t="s">
        <v>6</v>
      </c>
      <c r="B46" s="2">
        <v>11</v>
      </c>
      <c r="C46" s="3">
        <v>1</v>
      </c>
      <c r="D46" s="5" t="s">
        <v>404</v>
      </c>
      <c r="E46" s="32">
        <f t="shared" si="19"/>
        <v>31.1</v>
      </c>
      <c r="F46" s="32">
        <f t="shared" si="19"/>
        <v>7.7</v>
      </c>
      <c r="G46" s="32">
        <f t="shared" si="19"/>
        <v>33.299999999999997</v>
      </c>
      <c r="H46" s="32">
        <f t="shared" si="19"/>
        <v>23.1</v>
      </c>
      <c r="I46" s="32">
        <f t="shared" si="19"/>
        <v>1.19</v>
      </c>
      <c r="J46" s="32">
        <f t="shared" si="19"/>
        <v>13</v>
      </c>
      <c r="K46" s="32">
        <f t="shared" si="19"/>
        <v>20.52</v>
      </c>
      <c r="L46" s="32">
        <f t="shared" si="19"/>
        <v>5.5</v>
      </c>
      <c r="M46" s="32">
        <f t="shared" si="19"/>
        <v>38.299999999999997</v>
      </c>
      <c r="N46" s="32">
        <f t="shared" si="19"/>
        <v>25.03</v>
      </c>
      <c r="O46" s="32">
        <f t="shared" si="20"/>
        <v>0.50900000000000001</v>
      </c>
      <c r="P46" s="32">
        <f t="shared" si="20"/>
        <v>8.9700000000000006</v>
      </c>
      <c r="Q46" s="32">
        <f t="shared" si="20"/>
        <v>44.2</v>
      </c>
      <c r="R46" s="32">
        <f t="shared" si="20"/>
        <v>18.399999999999999</v>
      </c>
      <c r="S46" s="32">
        <f t="shared" si="20"/>
        <v>66.400000000000006</v>
      </c>
      <c r="T46" s="32">
        <f t="shared" si="20"/>
        <v>18.2</v>
      </c>
      <c r="U46" s="32">
        <f t="shared" si="20"/>
        <v>12.1</v>
      </c>
      <c r="V46" s="32">
        <f t="shared" si="20"/>
        <v>64.599999999999994</v>
      </c>
      <c r="W46" s="32">
        <f t="shared" si="20"/>
        <v>10.130000000000001</v>
      </c>
      <c r="X46" s="32">
        <f t="shared" si="20"/>
        <v>70.7</v>
      </c>
      <c r="Y46" s="32">
        <f t="shared" si="21"/>
        <v>-0.3</v>
      </c>
      <c r="Z46" s="32">
        <f t="shared" si="21"/>
        <v>35.159999999999997</v>
      </c>
      <c r="AA46" s="32">
        <f t="shared" si="21"/>
        <v>6.1</v>
      </c>
      <c r="AB46" s="32">
        <f t="shared" si="21"/>
        <v>7.6</v>
      </c>
      <c r="AC46" s="32">
        <f t="shared" si="21"/>
        <v>2.2999999999999998</v>
      </c>
      <c r="AD46" s="32">
        <f t="shared" si="21"/>
        <v>13.29</v>
      </c>
      <c r="AE46" s="32">
        <f t="shared" si="21"/>
        <v>11</v>
      </c>
      <c r="AF46" s="29">
        <v>66.3</v>
      </c>
      <c r="AG46" s="30">
        <f t="shared" si="17"/>
        <v>17.75</v>
      </c>
      <c r="AH46" s="31">
        <f t="shared" si="18"/>
        <v>57.579185520361989</v>
      </c>
    </row>
    <row r="47" spans="1:34" s="2" customFormat="1" ht="15.6" x14ac:dyDescent="0.3">
      <c r="A47" s="6" t="s">
        <v>60</v>
      </c>
      <c r="B47" s="2">
        <v>11</v>
      </c>
      <c r="C47" s="3">
        <v>1</v>
      </c>
      <c r="D47" s="5" t="s">
        <v>404</v>
      </c>
      <c r="E47" s="32">
        <f t="shared" si="19"/>
        <v>33.799999999999997</v>
      </c>
      <c r="F47" s="32">
        <f t="shared" si="19"/>
        <v>7.5</v>
      </c>
      <c r="G47" s="32">
        <f t="shared" si="19"/>
        <v>36.200000000000003</v>
      </c>
      <c r="H47" s="32">
        <f t="shared" si="19"/>
        <v>20.8</v>
      </c>
      <c r="I47" s="32">
        <f t="shared" si="19"/>
        <v>1.3</v>
      </c>
      <c r="J47" s="32">
        <f t="shared" si="19"/>
        <v>12.9</v>
      </c>
      <c r="K47" s="32">
        <f t="shared" si="19"/>
        <v>18.23</v>
      </c>
      <c r="L47" s="32">
        <f t="shared" si="19"/>
        <v>4.3</v>
      </c>
      <c r="M47" s="32">
        <f t="shared" si="19"/>
        <v>42.7</v>
      </c>
      <c r="N47" s="32">
        <f t="shared" si="19"/>
        <v>25.49</v>
      </c>
      <c r="O47" s="32">
        <f t="shared" si="20"/>
        <v>0.52600000000000002</v>
      </c>
      <c r="P47" s="32">
        <f t="shared" si="20"/>
        <v>11.31</v>
      </c>
      <c r="Q47" s="32">
        <f t="shared" si="20"/>
        <v>46.3</v>
      </c>
      <c r="R47" s="32">
        <f t="shared" si="20"/>
        <v>18.7</v>
      </c>
      <c r="S47" s="32">
        <f t="shared" si="20"/>
        <v>74.900000000000006</v>
      </c>
      <c r="T47" s="32">
        <f t="shared" si="20"/>
        <v>21.7</v>
      </c>
      <c r="U47" s="32">
        <f t="shared" si="20"/>
        <v>16.3</v>
      </c>
      <c r="V47" s="32">
        <f t="shared" si="20"/>
        <v>72.599999999999994</v>
      </c>
      <c r="W47" s="32">
        <f t="shared" si="20"/>
        <v>10.17</v>
      </c>
      <c r="X47" s="32">
        <f t="shared" si="20"/>
        <v>78.400000000000006</v>
      </c>
      <c r="Y47" s="32">
        <f t="shared" si="21"/>
        <v>1</v>
      </c>
      <c r="Z47" s="32">
        <f t="shared" si="21"/>
        <v>35.659999999999997</v>
      </c>
      <c r="AA47" s="32">
        <f t="shared" si="21"/>
        <v>5.8</v>
      </c>
      <c r="AB47" s="32">
        <f t="shared" si="21"/>
        <v>6.3</v>
      </c>
      <c r="AC47" s="32">
        <f t="shared" si="21"/>
        <v>1.4</v>
      </c>
      <c r="AD47" s="32">
        <f t="shared" si="21"/>
        <v>11.37</v>
      </c>
      <c r="AE47" s="32">
        <f t="shared" si="21"/>
        <v>9.9</v>
      </c>
      <c r="AF47" s="29">
        <v>67.599999999999994</v>
      </c>
      <c r="AG47" s="30">
        <f t="shared" si="17"/>
        <v>19.800000000000004</v>
      </c>
      <c r="AH47" s="31">
        <f t="shared" si="18"/>
        <v>58.963282937365022</v>
      </c>
    </row>
    <row r="48" spans="1:34" s="2" customFormat="1" ht="15.6" x14ac:dyDescent="0.3">
      <c r="A48" s="6" t="s">
        <v>504</v>
      </c>
      <c r="B48" s="2">
        <v>12</v>
      </c>
      <c r="C48" s="3">
        <v>1</v>
      </c>
      <c r="D48" s="5" t="s">
        <v>404</v>
      </c>
      <c r="E48" s="32">
        <f t="shared" si="19"/>
        <v>32.9</v>
      </c>
      <c r="F48" s="32">
        <f t="shared" si="19"/>
        <v>10.7</v>
      </c>
      <c r="G48" s="32">
        <f t="shared" si="19"/>
        <v>36.200000000000003</v>
      </c>
      <c r="H48" s="32">
        <f t="shared" si="19"/>
        <v>29.6</v>
      </c>
      <c r="I48" s="32">
        <f t="shared" si="19"/>
        <v>1.8</v>
      </c>
      <c r="J48" s="32">
        <f t="shared" si="19"/>
        <v>15.7</v>
      </c>
      <c r="K48" s="32">
        <f t="shared" si="19"/>
        <v>16.34</v>
      </c>
      <c r="L48" s="32">
        <f t="shared" si="19"/>
        <v>2.1</v>
      </c>
      <c r="M48" s="32">
        <f t="shared" si="19"/>
        <v>39.700000000000003</v>
      </c>
      <c r="N48" s="32">
        <f t="shared" si="19"/>
        <v>24.89</v>
      </c>
      <c r="O48" s="32">
        <f t="shared" si="20"/>
        <v>0.55500000000000005</v>
      </c>
      <c r="P48" s="32">
        <f t="shared" si="20"/>
        <v>13.03</v>
      </c>
      <c r="Q48" s="32">
        <f t="shared" si="20"/>
        <v>46.4</v>
      </c>
      <c r="R48" s="32">
        <f t="shared" si="20"/>
        <v>16.5</v>
      </c>
      <c r="S48" s="32">
        <f t="shared" si="20"/>
        <v>74.599999999999994</v>
      </c>
      <c r="T48" s="32">
        <f t="shared" si="20"/>
        <v>18.899999999999999</v>
      </c>
      <c r="U48" s="32">
        <f t="shared" si="20"/>
        <v>14.1</v>
      </c>
      <c r="V48" s="32">
        <f t="shared" si="20"/>
        <v>61.8</v>
      </c>
      <c r="W48" s="32">
        <f t="shared" si="20"/>
        <v>9.11</v>
      </c>
      <c r="X48" s="32">
        <f t="shared" si="20"/>
        <v>79.3</v>
      </c>
      <c r="Y48" s="32">
        <f t="shared" si="21"/>
        <v>-0.4</v>
      </c>
      <c r="Z48" s="32">
        <f t="shared" si="21"/>
        <v>34</v>
      </c>
      <c r="AA48" s="32">
        <f t="shared" si="21"/>
        <v>17.5</v>
      </c>
      <c r="AB48" s="32">
        <f t="shared" si="21"/>
        <v>9.9</v>
      </c>
      <c r="AC48" s="32">
        <f t="shared" si="21"/>
        <v>7.2</v>
      </c>
      <c r="AD48" s="32">
        <f t="shared" si="21"/>
        <v>15.91</v>
      </c>
      <c r="AE48" s="32">
        <f t="shared" si="21"/>
        <v>8.6999999999999993</v>
      </c>
      <c r="AF48" s="29">
        <v>65.8</v>
      </c>
      <c r="AG48" s="30">
        <f t="shared" si="17"/>
        <v>16.550000000000004</v>
      </c>
      <c r="AH48" s="31">
        <f t="shared" si="18"/>
        <v>58.728448275862078</v>
      </c>
    </row>
    <row r="49" spans="1:34" s="2" customFormat="1" ht="15.6" x14ac:dyDescent="0.3">
      <c r="A49" s="6" t="s">
        <v>334</v>
      </c>
      <c r="B49" s="2">
        <v>12</v>
      </c>
      <c r="C49" s="3">
        <v>1</v>
      </c>
      <c r="D49" s="5" t="s">
        <v>404</v>
      </c>
      <c r="E49" s="32">
        <f t="shared" si="19"/>
        <v>28.8</v>
      </c>
      <c r="F49" s="32">
        <f t="shared" si="19"/>
        <v>10.5</v>
      </c>
      <c r="G49" s="32">
        <f t="shared" si="19"/>
        <v>38.299999999999997</v>
      </c>
      <c r="H49" s="32">
        <f t="shared" si="19"/>
        <v>27.4</v>
      </c>
      <c r="I49" s="32">
        <f t="shared" si="19"/>
        <v>1.66</v>
      </c>
      <c r="J49" s="32">
        <f t="shared" si="19"/>
        <v>16.8</v>
      </c>
      <c r="K49" s="32">
        <f t="shared" si="19"/>
        <v>24.46</v>
      </c>
      <c r="L49" s="32">
        <f t="shared" si="19"/>
        <v>2.9</v>
      </c>
      <c r="M49" s="32">
        <f t="shared" si="19"/>
        <v>40.5</v>
      </c>
      <c r="N49" s="32">
        <f t="shared" si="19"/>
        <v>26.37</v>
      </c>
      <c r="O49" s="32">
        <f t="shared" si="20"/>
        <v>0.58299999999999996</v>
      </c>
      <c r="P49" s="32">
        <f t="shared" si="20"/>
        <v>7.74</v>
      </c>
      <c r="Q49" s="32">
        <f t="shared" si="20"/>
        <v>48.9</v>
      </c>
      <c r="R49" s="32">
        <f t="shared" si="20"/>
        <v>13.4</v>
      </c>
      <c r="S49" s="32">
        <f t="shared" si="20"/>
        <v>65.8</v>
      </c>
      <c r="T49" s="32">
        <f t="shared" si="20"/>
        <v>16.100000000000001</v>
      </c>
      <c r="U49" s="32">
        <f t="shared" si="20"/>
        <v>10.6</v>
      </c>
      <c r="V49" s="32">
        <f t="shared" si="20"/>
        <v>63.4</v>
      </c>
      <c r="W49" s="32">
        <f t="shared" si="20"/>
        <v>6.49</v>
      </c>
      <c r="X49" s="32">
        <f t="shared" si="20"/>
        <v>75.900000000000006</v>
      </c>
      <c r="Y49" s="32">
        <f t="shared" si="21"/>
        <v>-1.5</v>
      </c>
      <c r="Z49" s="32">
        <f t="shared" si="21"/>
        <v>32.86</v>
      </c>
      <c r="AA49" s="32">
        <f t="shared" si="21"/>
        <v>12.5</v>
      </c>
      <c r="AB49" s="32">
        <f t="shared" si="21"/>
        <v>6.6</v>
      </c>
      <c r="AC49" s="32">
        <f t="shared" si="21"/>
        <v>2</v>
      </c>
      <c r="AD49" s="32">
        <f t="shared" si="21"/>
        <v>12.09</v>
      </c>
      <c r="AE49" s="32">
        <f t="shared" si="21"/>
        <v>10.1</v>
      </c>
      <c r="AF49" s="29">
        <v>65.599999999999994</v>
      </c>
      <c r="AG49" s="30">
        <f t="shared" si="17"/>
        <v>16.900000000000006</v>
      </c>
      <c r="AH49" s="31">
        <f t="shared" si="18"/>
        <v>56.03271983640083</v>
      </c>
    </row>
    <row r="50" spans="1:34" s="2" customFormat="1" ht="15.6" x14ac:dyDescent="0.3">
      <c r="A50" s="6" t="s">
        <v>66</v>
      </c>
      <c r="B50" s="2">
        <v>12</v>
      </c>
      <c r="C50" s="3">
        <v>2</v>
      </c>
      <c r="D50" s="5" t="s">
        <v>404</v>
      </c>
      <c r="E50" s="32">
        <f t="shared" si="19"/>
        <v>32.299999999999997</v>
      </c>
      <c r="F50" s="32">
        <f t="shared" si="19"/>
        <v>7.5</v>
      </c>
      <c r="G50" s="32">
        <f t="shared" si="19"/>
        <v>35.4</v>
      </c>
      <c r="H50" s="32">
        <f t="shared" si="19"/>
        <v>21.2</v>
      </c>
      <c r="I50" s="32">
        <f t="shared" si="19"/>
        <v>1.29</v>
      </c>
      <c r="J50" s="32">
        <f t="shared" si="19"/>
        <v>14</v>
      </c>
      <c r="K50" s="32">
        <f t="shared" si="19"/>
        <v>26.43</v>
      </c>
      <c r="L50" s="32">
        <f t="shared" si="19"/>
        <v>3.4</v>
      </c>
      <c r="M50" s="32">
        <f t="shared" si="19"/>
        <v>40.299999999999997</v>
      </c>
      <c r="N50" s="32">
        <f t="shared" si="19"/>
        <v>24.34</v>
      </c>
      <c r="O50" s="32">
        <f t="shared" si="20"/>
        <v>0.54200000000000004</v>
      </c>
      <c r="P50" s="32">
        <f t="shared" si="20"/>
        <v>10.6</v>
      </c>
      <c r="Q50" s="32">
        <f t="shared" si="20"/>
        <v>47.7</v>
      </c>
      <c r="R50" s="32">
        <f t="shared" si="20"/>
        <v>16.3</v>
      </c>
      <c r="S50" s="32">
        <f t="shared" si="20"/>
        <v>69.7</v>
      </c>
      <c r="T50" s="32">
        <f t="shared" si="20"/>
        <v>20.100000000000001</v>
      </c>
      <c r="U50" s="32">
        <f t="shared" si="20"/>
        <v>14</v>
      </c>
      <c r="V50" s="32">
        <f t="shared" si="20"/>
        <v>64.5</v>
      </c>
      <c r="W50" s="32">
        <f t="shared" si="20"/>
        <v>11.71</v>
      </c>
      <c r="X50" s="32">
        <f t="shared" si="20"/>
        <v>76.599999999999994</v>
      </c>
      <c r="Y50" s="32">
        <f t="shared" si="21"/>
        <v>3.2</v>
      </c>
      <c r="Z50" s="32">
        <f t="shared" si="21"/>
        <v>36.06</v>
      </c>
      <c r="AA50" s="32">
        <f t="shared" si="21"/>
        <v>12.1</v>
      </c>
      <c r="AB50" s="32">
        <f t="shared" si="21"/>
        <v>9</v>
      </c>
      <c r="AC50" s="32">
        <f t="shared" si="21"/>
        <v>3.8</v>
      </c>
      <c r="AD50" s="32">
        <f t="shared" si="21"/>
        <v>14.63</v>
      </c>
      <c r="AE50" s="32">
        <f t="shared" si="21"/>
        <v>10.8</v>
      </c>
      <c r="AF50" s="29">
        <v>65.900000000000006</v>
      </c>
      <c r="AG50" s="30">
        <f t="shared" si="17"/>
        <v>20.049999999999997</v>
      </c>
      <c r="AH50" s="31">
        <f t="shared" si="18"/>
        <v>57.756813417190763</v>
      </c>
    </row>
    <row r="51" spans="1:34" s="2" customFormat="1" ht="15.6" x14ac:dyDescent="0.3">
      <c r="A51" s="6" t="s">
        <v>64</v>
      </c>
      <c r="B51" s="2">
        <v>12</v>
      </c>
      <c r="C51" s="3">
        <v>2</v>
      </c>
      <c r="D51" s="5" t="s">
        <v>404</v>
      </c>
      <c r="E51" s="32">
        <f t="shared" si="19"/>
        <v>33.200000000000003</v>
      </c>
      <c r="F51" s="32">
        <f t="shared" si="19"/>
        <v>8.6</v>
      </c>
      <c r="G51" s="32">
        <f t="shared" si="19"/>
        <v>36.299999999999997</v>
      </c>
      <c r="H51" s="32">
        <f t="shared" si="19"/>
        <v>23.8</v>
      </c>
      <c r="I51" s="32">
        <f t="shared" si="19"/>
        <v>1.43</v>
      </c>
      <c r="J51" s="32">
        <f t="shared" si="19"/>
        <v>16.5</v>
      </c>
      <c r="K51" s="32">
        <f t="shared" si="19"/>
        <v>19.670000000000002</v>
      </c>
      <c r="L51" s="32">
        <f t="shared" si="19"/>
        <v>2.8</v>
      </c>
      <c r="M51" s="32">
        <f t="shared" si="19"/>
        <v>42.2</v>
      </c>
      <c r="N51" s="32">
        <f t="shared" si="19"/>
        <v>26.53</v>
      </c>
      <c r="O51" s="32">
        <f t="shared" si="20"/>
        <v>0.55500000000000005</v>
      </c>
      <c r="P51" s="32">
        <f t="shared" si="20"/>
        <v>7.78</v>
      </c>
      <c r="Q51" s="32">
        <f t="shared" si="20"/>
        <v>47.7</v>
      </c>
      <c r="R51" s="32">
        <f t="shared" si="20"/>
        <v>17.2</v>
      </c>
      <c r="S51" s="32">
        <f t="shared" si="20"/>
        <v>77.5</v>
      </c>
      <c r="T51" s="32">
        <f t="shared" si="20"/>
        <v>17.5</v>
      </c>
      <c r="U51" s="32">
        <f t="shared" si="20"/>
        <v>13.6</v>
      </c>
      <c r="V51" s="32">
        <f t="shared" si="20"/>
        <v>67.3</v>
      </c>
      <c r="W51" s="32">
        <f t="shared" si="20"/>
        <v>8.39</v>
      </c>
      <c r="X51" s="32">
        <f t="shared" si="20"/>
        <v>75.099999999999994</v>
      </c>
      <c r="Y51" s="32">
        <f t="shared" si="21"/>
        <v>3.1</v>
      </c>
      <c r="Z51" s="32">
        <f t="shared" si="21"/>
        <v>34.92</v>
      </c>
      <c r="AA51" s="32">
        <f t="shared" si="21"/>
        <v>7.8</v>
      </c>
      <c r="AB51" s="32">
        <f t="shared" si="21"/>
        <v>5.0999999999999996</v>
      </c>
      <c r="AC51" s="32">
        <f t="shared" si="21"/>
        <v>-0.3</v>
      </c>
      <c r="AD51" s="32">
        <f t="shared" si="21"/>
        <v>11.19</v>
      </c>
      <c r="AE51" s="32">
        <f t="shared" si="21"/>
        <v>11.5</v>
      </c>
      <c r="AF51" s="29">
        <v>66</v>
      </c>
      <c r="AG51" s="30">
        <f t="shared" si="17"/>
        <v>17.849999999999998</v>
      </c>
      <c r="AH51" s="31">
        <f t="shared" si="18"/>
        <v>55.450733752620529</v>
      </c>
    </row>
    <row r="52" spans="1:34" s="2" customFormat="1" ht="15.6" x14ac:dyDescent="0.3">
      <c r="A52" s="6" t="s">
        <v>14</v>
      </c>
      <c r="B52" s="2">
        <v>13</v>
      </c>
      <c r="C52" s="3">
        <v>1</v>
      </c>
      <c r="D52" s="5" t="s">
        <v>404</v>
      </c>
      <c r="E52" s="32">
        <f t="shared" si="19"/>
        <v>32.700000000000003</v>
      </c>
      <c r="F52" s="32">
        <f t="shared" si="19"/>
        <v>7.6</v>
      </c>
      <c r="G52" s="32">
        <f t="shared" si="19"/>
        <v>38.700000000000003</v>
      </c>
      <c r="H52" s="32">
        <f t="shared" si="19"/>
        <v>19.7</v>
      </c>
      <c r="I52" s="32">
        <f t="shared" si="19"/>
        <v>1.63</v>
      </c>
      <c r="J52" s="32">
        <f t="shared" si="19"/>
        <v>16.399999999999999</v>
      </c>
      <c r="K52" s="32">
        <f t="shared" si="19"/>
        <v>18.8</v>
      </c>
      <c r="L52" s="32">
        <f t="shared" si="19"/>
        <v>3.6</v>
      </c>
      <c r="M52" s="32">
        <f t="shared" si="19"/>
        <v>40.9</v>
      </c>
      <c r="N52" s="32">
        <f t="shared" si="19"/>
        <v>27.4</v>
      </c>
      <c r="O52" s="32">
        <f t="shared" si="20"/>
        <v>0.55200000000000005</v>
      </c>
      <c r="P52" s="32">
        <f t="shared" si="20"/>
        <v>9.57</v>
      </c>
      <c r="Q52" s="32">
        <f t="shared" si="20"/>
        <v>49</v>
      </c>
      <c r="R52" s="32">
        <f t="shared" si="20"/>
        <v>16.3</v>
      </c>
      <c r="S52" s="32">
        <f t="shared" si="20"/>
        <v>72.900000000000006</v>
      </c>
      <c r="T52" s="32">
        <f t="shared" si="20"/>
        <v>19.100000000000001</v>
      </c>
      <c r="U52" s="32">
        <f t="shared" si="20"/>
        <v>13.9</v>
      </c>
      <c r="V52" s="32">
        <f t="shared" si="20"/>
        <v>70.099999999999994</v>
      </c>
      <c r="W52" s="32">
        <f t="shared" si="20"/>
        <v>10.97</v>
      </c>
      <c r="X52" s="32">
        <f t="shared" si="20"/>
        <v>81.3</v>
      </c>
      <c r="Y52" s="32">
        <f t="shared" si="21"/>
        <v>6.7</v>
      </c>
      <c r="Z52" s="32">
        <f t="shared" si="21"/>
        <v>38.369999999999997</v>
      </c>
      <c r="AA52" s="32">
        <f t="shared" si="21"/>
        <v>11.2</v>
      </c>
      <c r="AB52" s="32">
        <f t="shared" si="21"/>
        <v>5.8</v>
      </c>
      <c r="AC52" s="32">
        <f t="shared" si="21"/>
        <v>1.2</v>
      </c>
      <c r="AD52" s="32">
        <f t="shared" si="21"/>
        <v>11.3</v>
      </c>
      <c r="AE52" s="32">
        <f t="shared" si="21"/>
        <v>10.1</v>
      </c>
      <c r="AF52" s="29">
        <v>67.7</v>
      </c>
      <c r="AG52" s="30">
        <f t="shared" si="17"/>
        <v>22.299999999999997</v>
      </c>
      <c r="AH52" s="31">
        <f t="shared" si="18"/>
        <v>61.020408163265309</v>
      </c>
    </row>
    <row r="53" spans="1:34" s="2" customFormat="1" ht="15.6" x14ac:dyDescent="0.3">
      <c r="A53" s="6" t="s">
        <v>68</v>
      </c>
      <c r="B53" s="2">
        <v>13</v>
      </c>
      <c r="C53" s="3">
        <v>1</v>
      </c>
      <c r="D53" s="5" t="s">
        <v>404</v>
      </c>
      <c r="E53" s="32">
        <f t="shared" si="19"/>
        <v>31.9</v>
      </c>
      <c r="F53" s="32">
        <f t="shared" si="19"/>
        <v>10.7</v>
      </c>
      <c r="G53" s="32">
        <f t="shared" si="19"/>
        <v>36.200000000000003</v>
      </c>
      <c r="H53" s="32">
        <f t="shared" si="19"/>
        <v>29.7</v>
      </c>
      <c r="I53" s="32">
        <f t="shared" si="19"/>
        <v>1.5</v>
      </c>
      <c r="J53" s="32">
        <f t="shared" si="19"/>
        <v>17.7</v>
      </c>
      <c r="K53" s="32">
        <f t="shared" si="19"/>
        <v>33.97</v>
      </c>
      <c r="L53" s="32">
        <f t="shared" si="19"/>
        <v>3.7</v>
      </c>
      <c r="M53" s="32">
        <f t="shared" si="19"/>
        <v>43.3</v>
      </c>
      <c r="N53" s="32">
        <f t="shared" si="19"/>
        <v>26.66</v>
      </c>
      <c r="O53" s="32">
        <f t="shared" si="20"/>
        <v>0.55200000000000005</v>
      </c>
      <c r="P53" s="32">
        <f t="shared" si="20"/>
        <v>13.2</v>
      </c>
      <c r="Q53" s="32">
        <f t="shared" si="20"/>
        <v>46.9</v>
      </c>
      <c r="R53" s="32">
        <f t="shared" si="20"/>
        <v>17.8</v>
      </c>
      <c r="S53" s="32">
        <f t="shared" si="20"/>
        <v>75.400000000000006</v>
      </c>
      <c r="T53" s="32">
        <f t="shared" si="20"/>
        <v>16.899999999999999</v>
      </c>
      <c r="U53" s="32">
        <f t="shared" si="20"/>
        <v>12.7</v>
      </c>
      <c r="V53" s="32">
        <f t="shared" si="20"/>
        <v>75.099999999999994</v>
      </c>
      <c r="W53" s="32">
        <f t="shared" si="20"/>
        <v>11.83</v>
      </c>
      <c r="X53" s="32">
        <f t="shared" si="20"/>
        <v>84</v>
      </c>
      <c r="Y53" s="32">
        <f t="shared" si="21"/>
        <v>3.4</v>
      </c>
      <c r="Z53" s="32">
        <f t="shared" si="21"/>
        <v>38.49</v>
      </c>
      <c r="AA53" s="32">
        <f t="shared" si="21"/>
        <v>9</v>
      </c>
      <c r="AB53" s="32">
        <f t="shared" si="21"/>
        <v>7.6</v>
      </c>
      <c r="AC53" s="32">
        <f t="shared" si="21"/>
        <v>0.9</v>
      </c>
      <c r="AD53" s="32">
        <f t="shared" si="21"/>
        <v>12.69</v>
      </c>
      <c r="AE53" s="32">
        <f t="shared" si="21"/>
        <v>11.8</v>
      </c>
      <c r="AF53" s="29">
        <v>71.7</v>
      </c>
      <c r="AG53" s="30">
        <f t="shared" si="17"/>
        <v>19.600000000000001</v>
      </c>
      <c r="AH53" s="31">
        <f t="shared" si="18"/>
        <v>64.605543710021323</v>
      </c>
    </row>
    <row r="54" spans="1:34" s="2" customFormat="1" ht="15.6" x14ac:dyDescent="0.3">
      <c r="A54" s="6" t="s">
        <v>368</v>
      </c>
      <c r="B54" s="2">
        <v>13</v>
      </c>
      <c r="C54" s="3">
        <v>1</v>
      </c>
      <c r="D54" s="5" t="s">
        <v>404</v>
      </c>
      <c r="E54" s="32">
        <f t="shared" ref="E54:N63" si="22">INDEX(rawValue25,MATCH(INDEX(teamID,MATCH(INDEX(ovrTeamCol25,ROW(),1),teamINI,0))+INDEX(statID,MATCH(INDEX(ovrHeaderRow25,1,COLUMN()),statAbbr,0),1),rawLookup25,0))</f>
        <v>32.700000000000003</v>
      </c>
      <c r="F54" s="32">
        <f t="shared" si="22"/>
        <v>8.3000000000000007</v>
      </c>
      <c r="G54" s="32">
        <f t="shared" si="22"/>
        <v>36.299999999999997</v>
      </c>
      <c r="H54" s="32">
        <f t="shared" si="22"/>
        <v>22.8</v>
      </c>
      <c r="I54" s="32">
        <f t="shared" si="22"/>
        <v>1.25</v>
      </c>
      <c r="J54" s="32">
        <f t="shared" si="22"/>
        <v>13</v>
      </c>
      <c r="K54" s="32">
        <f t="shared" si="22"/>
        <v>28.51</v>
      </c>
      <c r="L54" s="32">
        <f t="shared" si="22"/>
        <v>2.9</v>
      </c>
      <c r="M54" s="32">
        <f t="shared" si="22"/>
        <v>42.7</v>
      </c>
      <c r="N54" s="32">
        <f t="shared" si="22"/>
        <v>24.94</v>
      </c>
      <c r="O54" s="32">
        <f t="shared" ref="O54:X63" si="23">INDEX(rawValue25,MATCH(INDEX(teamID,MATCH(INDEX(ovrTeamCol25,ROW(),1),teamINI,0))+INDEX(statID,MATCH(INDEX(ovrHeaderRow25,1,COLUMN()),statAbbr,0),1),rawLookup25,0))</f>
        <v>0.56399999999999995</v>
      </c>
      <c r="P54" s="32">
        <f t="shared" si="23"/>
        <v>11.2</v>
      </c>
      <c r="Q54" s="32">
        <f t="shared" si="23"/>
        <v>49.2</v>
      </c>
      <c r="R54" s="32">
        <f t="shared" si="23"/>
        <v>18.100000000000001</v>
      </c>
      <c r="S54" s="32">
        <f t="shared" si="23"/>
        <v>76.099999999999994</v>
      </c>
      <c r="T54" s="32">
        <f t="shared" si="23"/>
        <v>21.3</v>
      </c>
      <c r="U54" s="32">
        <f t="shared" si="23"/>
        <v>16.2</v>
      </c>
      <c r="V54" s="32">
        <f t="shared" si="23"/>
        <v>68.900000000000006</v>
      </c>
      <c r="W54" s="32">
        <f t="shared" si="23"/>
        <v>11.14</v>
      </c>
      <c r="X54" s="32">
        <f t="shared" si="23"/>
        <v>81.7</v>
      </c>
      <c r="Y54" s="32">
        <f t="shared" ref="Y54:AE63" si="24">INDEX(rawValue25,MATCH(INDEX(teamID,MATCH(INDEX(ovrTeamCol25,ROW(),1),teamINI,0))+INDEX(statID,MATCH(INDEX(ovrHeaderRow25,1,COLUMN()),statAbbr,0),1),rawLookup25,0))</f>
        <v>5</v>
      </c>
      <c r="Z54" s="32">
        <f t="shared" si="24"/>
        <v>36.090000000000003</v>
      </c>
      <c r="AA54" s="32">
        <f t="shared" si="24"/>
        <v>12.7</v>
      </c>
      <c r="AB54" s="32">
        <f t="shared" si="24"/>
        <v>6.1</v>
      </c>
      <c r="AC54" s="32">
        <f t="shared" si="24"/>
        <v>1.2</v>
      </c>
      <c r="AD54" s="32">
        <f t="shared" si="24"/>
        <v>11.57</v>
      </c>
      <c r="AE54" s="32">
        <f t="shared" si="24"/>
        <v>10.4</v>
      </c>
      <c r="AF54" s="29">
        <v>66.5</v>
      </c>
      <c r="AG54" s="30">
        <f t="shared" si="17"/>
        <v>20.299999999999997</v>
      </c>
      <c r="AH54" s="31">
        <f t="shared" si="18"/>
        <v>58.130081300813004</v>
      </c>
    </row>
    <row r="55" spans="1:34" s="2" customFormat="1" ht="15.6" x14ac:dyDescent="0.3">
      <c r="A55" s="6" t="s">
        <v>28</v>
      </c>
      <c r="B55" s="2">
        <v>13</v>
      </c>
      <c r="C55" s="3">
        <v>1</v>
      </c>
      <c r="D55" s="5" t="s">
        <v>404</v>
      </c>
      <c r="E55" s="32">
        <f t="shared" si="22"/>
        <v>32</v>
      </c>
      <c r="F55" s="32">
        <f t="shared" si="22"/>
        <v>6.2</v>
      </c>
      <c r="G55" s="32">
        <f t="shared" si="22"/>
        <v>31.2</v>
      </c>
      <c r="H55" s="32">
        <f t="shared" si="22"/>
        <v>19.899999999999999</v>
      </c>
      <c r="I55" s="32">
        <f t="shared" si="22"/>
        <v>1.05</v>
      </c>
      <c r="J55" s="32">
        <f t="shared" si="22"/>
        <v>13.8</v>
      </c>
      <c r="K55" s="32">
        <f t="shared" si="22"/>
        <v>22.65</v>
      </c>
      <c r="L55" s="32">
        <f t="shared" si="22"/>
        <v>5.0999999999999996</v>
      </c>
      <c r="M55" s="32">
        <f t="shared" si="22"/>
        <v>41.2</v>
      </c>
      <c r="N55" s="32">
        <f t="shared" si="22"/>
        <v>26.03</v>
      </c>
      <c r="O55" s="32">
        <f t="shared" si="23"/>
        <v>0.50900000000000001</v>
      </c>
      <c r="P55" s="32">
        <f t="shared" si="23"/>
        <v>10.56</v>
      </c>
      <c r="Q55" s="32">
        <f t="shared" si="23"/>
        <v>45.6</v>
      </c>
      <c r="R55" s="32">
        <f t="shared" si="23"/>
        <v>17.5</v>
      </c>
      <c r="S55" s="32">
        <f t="shared" si="23"/>
        <v>73.099999999999994</v>
      </c>
      <c r="T55" s="32">
        <f t="shared" si="23"/>
        <v>25.7</v>
      </c>
      <c r="U55" s="32">
        <f t="shared" si="23"/>
        <v>18.8</v>
      </c>
      <c r="V55" s="32">
        <f t="shared" si="23"/>
        <v>69.5</v>
      </c>
      <c r="W55" s="32">
        <f t="shared" si="23"/>
        <v>11.21</v>
      </c>
      <c r="X55" s="32">
        <f t="shared" si="23"/>
        <v>78.3</v>
      </c>
      <c r="Y55" s="32">
        <f t="shared" si="24"/>
        <v>3.5</v>
      </c>
      <c r="Z55" s="32">
        <f t="shared" si="24"/>
        <v>37.24</v>
      </c>
      <c r="AA55" s="32">
        <f t="shared" si="24"/>
        <v>8.8000000000000007</v>
      </c>
      <c r="AB55" s="32">
        <f t="shared" si="24"/>
        <v>9.1999999999999993</v>
      </c>
      <c r="AC55" s="32">
        <f t="shared" si="24"/>
        <v>1.7</v>
      </c>
      <c r="AD55" s="32">
        <f t="shared" si="24"/>
        <v>14.91</v>
      </c>
      <c r="AE55" s="32">
        <f t="shared" si="24"/>
        <v>13.2</v>
      </c>
      <c r="AF55" s="29">
        <v>71.400000000000006</v>
      </c>
      <c r="AG55" s="30">
        <f t="shared" si="17"/>
        <v>20.45</v>
      </c>
      <c r="AH55" s="31">
        <f t="shared" si="18"/>
        <v>58.442982456140349</v>
      </c>
    </row>
    <row r="56" spans="1:34" s="2" customFormat="1" ht="15.6" x14ac:dyDescent="0.3">
      <c r="A56" s="6" t="s">
        <v>352</v>
      </c>
      <c r="B56" s="2">
        <v>14</v>
      </c>
      <c r="C56" s="3">
        <v>1</v>
      </c>
      <c r="D56" s="5" t="s">
        <v>404</v>
      </c>
      <c r="E56" s="32">
        <f t="shared" si="22"/>
        <v>31</v>
      </c>
      <c r="F56" s="32">
        <f t="shared" si="22"/>
        <v>9.8000000000000007</v>
      </c>
      <c r="G56" s="32">
        <f t="shared" si="22"/>
        <v>35.700000000000003</v>
      </c>
      <c r="H56" s="32">
        <f t="shared" si="22"/>
        <v>27.5</v>
      </c>
      <c r="I56" s="32">
        <f t="shared" si="22"/>
        <v>1.55</v>
      </c>
      <c r="J56" s="32">
        <f t="shared" si="22"/>
        <v>15.1</v>
      </c>
      <c r="K56" s="32">
        <f t="shared" si="22"/>
        <v>14.6</v>
      </c>
      <c r="L56" s="32">
        <f t="shared" si="22"/>
        <v>3</v>
      </c>
      <c r="M56" s="32">
        <f t="shared" si="22"/>
        <v>42.7</v>
      </c>
      <c r="N56" s="32">
        <f t="shared" si="22"/>
        <v>27.26</v>
      </c>
      <c r="O56" s="32">
        <f t="shared" si="23"/>
        <v>0.55500000000000005</v>
      </c>
      <c r="P56" s="32">
        <f t="shared" si="23"/>
        <v>8.23</v>
      </c>
      <c r="Q56" s="32">
        <f t="shared" si="23"/>
        <v>47.1</v>
      </c>
      <c r="R56" s="32">
        <f t="shared" si="23"/>
        <v>12.5</v>
      </c>
      <c r="S56" s="32">
        <f t="shared" si="23"/>
        <v>79.400000000000006</v>
      </c>
      <c r="T56" s="32">
        <f t="shared" si="23"/>
        <v>17.7</v>
      </c>
      <c r="U56" s="32">
        <f t="shared" si="23"/>
        <v>14.1</v>
      </c>
      <c r="V56" s="32">
        <f t="shared" si="23"/>
        <v>67.7</v>
      </c>
      <c r="W56" s="32">
        <f t="shared" si="23"/>
        <v>8.1999999999999993</v>
      </c>
      <c r="X56" s="32">
        <f t="shared" si="23"/>
        <v>78.599999999999994</v>
      </c>
      <c r="Y56" s="32">
        <f t="shared" si="24"/>
        <v>1.5</v>
      </c>
      <c r="Z56" s="32">
        <f t="shared" si="24"/>
        <v>35.46</v>
      </c>
      <c r="AA56" s="32">
        <f t="shared" si="24"/>
        <v>10.9</v>
      </c>
      <c r="AB56" s="32">
        <f t="shared" si="24"/>
        <v>6.9</v>
      </c>
      <c r="AC56" s="32">
        <f t="shared" si="24"/>
        <v>1.4</v>
      </c>
      <c r="AD56" s="32">
        <f t="shared" si="24"/>
        <v>11.17</v>
      </c>
      <c r="AE56" s="32">
        <f t="shared" si="24"/>
        <v>9.6999999999999993</v>
      </c>
      <c r="AF56" s="29">
        <v>66.2</v>
      </c>
      <c r="AG56" s="30">
        <f t="shared" si="17"/>
        <v>17.549999999999997</v>
      </c>
      <c r="AH56" s="31">
        <f t="shared" si="18"/>
        <v>58.067940552016985</v>
      </c>
    </row>
    <row r="57" spans="1:34" s="2" customFormat="1" ht="15.6" x14ac:dyDescent="0.3">
      <c r="A57" s="6" t="s">
        <v>374</v>
      </c>
      <c r="B57" s="2">
        <v>14</v>
      </c>
      <c r="C57" s="3">
        <v>1</v>
      </c>
      <c r="D57" s="5" t="s">
        <v>404</v>
      </c>
      <c r="E57" s="32">
        <f t="shared" si="22"/>
        <v>32.700000000000003</v>
      </c>
      <c r="F57" s="32">
        <f t="shared" si="22"/>
        <v>7.3</v>
      </c>
      <c r="G57" s="32">
        <f t="shared" si="22"/>
        <v>35.799999999999997</v>
      </c>
      <c r="H57" s="32">
        <f t="shared" si="22"/>
        <v>20.5</v>
      </c>
      <c r="I57" s="32">
        <f t="shared" si="22"/>
        <v>1.25</v>
      </c>
      <c r="J57" s="32">
        <f t="shared" si="22"/>
        <v>13.5</v>
      </c>
      <c r="K57" s="32">
        <f t="shared" si="22"/>
        <v>21</v>
      </c>
      <c r="L57" s="32">
        <f t="shared" si="22"/>
        <v>3.2</v>
      </c>
      <c r="M57" s="32">
        <f t="shared" si="22"/>
        <v>45.7</v>
      </c>
      <c r="N57" s="32">
        <f t="shared" si="22"/>
        <v>24.43</v>
      </c>
      <c r="O57" s="32">
        <f t="shared" si="23"/>
        <v>0.56499999999999995</v>
      </c>
      <c r="P57" s="32">
        <f t="shared" si="23"/>
        <v>8.6300000000000008</v>
      </c>
      <c r="Q57" s="32">
        <f t="shared" si="23"/>
        <v>49.8</v>
      </c>
      <c r="R57" s="32">
        <f t="shared" si="23"/>
        <v>16.100000000000001</v>
      </c>
      <c r="S57" s="32">
        <f t="shared" si="23"/>
        <v>73.599999999999994</v>
      </c>
      <c r="T57" s="32">
        <f t="shared" si="23"/>
        <v>19.3</v>
      </c>
      <c r="U57" s="32">
        <f t="shared" si="23"/>
        <v>14.2</v>
      </c>
      <c r="V57" s="32">
        <f t="shared" si="23"/>
        <v>73.3</v>
      </c>
      <c r="W57" s="32">
        <f t="shared" si="23"/>
        <v>7.23</v>
      </c>
      <c r="X57" s="32">
        <f t="shared" si="23"/>
        <v>76.599999999999994</v>
      </c>
      <c r="Y57" s="32">
        <f t="shared" si="24"/>
        <v>-1</v>
      </c>
      <c r="Z57" s="32">
        <f t="shared" si="24"/>
        <v>31.66</v>
      </c>
      <c r="AA57" s="32">
        <f t="shared" si="24"/>
        <v>3.3</v>
      </c>
      <c r="AB57" s="32">
        <f t="shared" si="24"/>
        <v>6.3</v>
      </c>
      <c r="AC57" s="32">
        <f t="shared" si="24"/>
        <v>0</v>
      </c>
      <c r="AD57" s="32">
        <f t="shared" si="24"/>
        <v>10.89</v>
      </c>
      <c r="AE57" s="32">
        <f t="shared" si="24"/>
        <v>10.9</v>
      </c>
      <c r="AF57" s="29">
        <v>67.3</v>
      </c>
      <c r="AG57" s="30">
        <f t="shared" si="17"/>
        <v>20.249999999999996</v>
      </c>
      <c r="AH57" s="31">
        <f t="shared" si="18"/>
        <v>55.321285140562246</v>
      </c>
    </row>
    <row r="58" spans="1:34" s="2" customFormat="1" ht="15.6" x14ac:dyDescent="0.3">
      <c r="A58" s="6" t="s">
        <v>509</v>
      </c>
      <c r="B58" s="2">
        <v>14</v>
      </c>
      <c r="C58" s="3">
        <v>1</v>
      </c>
      <c r="D58" s="5" t="s">
        <v>404</v>
      </c>
      <c r="E58" s="32">
        <f t="shared" si="22"/>
        <v>32.4</v>
      </c>
      <c r="F58" s="32">
        <f t="shared" si="22"/>
        <v>7.7</v>
      </c>
      <c r="G58" s="32">
        <f t="shared" si="22"/>
        <v>29.7</v>
      </c>
      <c r="H58" s="32">
        <f t="shared" si="22"/>
        <v>25.8</v>
      </c>
      <c r="I58" s="32">
        <f t="shared" si="22"/>
        <v>1.03</v>
      </c>
      <c r="J58" s="32">
        <f t="shared" si="22"/>
        <v>13.9</v>
      </c>
      <c r="K58" s="32">
        <f t="shared" si="22"/>
        <v>23.18</v>
      </c>
      <c r="L58" s="32">
        <f t="shared" si="22"/>
        <v>4.5999999999999996</v>
      </c>
      <c r="M58" s="32">
        <f t="shared" si="22"/>
        <v>40.6</v>
      </c>
      <c r="N58" s="32">
        <f t="shared" si="22"/>
        <v>24.71</v>
      </c>
      <c r="O58" s="32">
        <f t="shared" si="23"/>
        <v>0.502</v>
      </c>
      <c r="P58" s="32">
        <f t="shared" si="23"/>
        <v>12.82</v>
      </c>
      <c r="Q58" s="32">
        <f t="shared" si="23"/>
        <v>43.6</v>
      </c>
      <c r="R58" s="32">
        <f t="shared" si="23"/>
        <v>16.5</v>
      </c>
      <c r="S58" s="32">
        <f t="shared" si="23"/>
        <v>71.8</v>
      </c>
      <c r="T58" s="32">
        <f t="shared" si="23"/>
        <v>21.8</v>
      </c>
      <c r="U58" s="32">
        <f t="shared" si="23"/>
        <v>15.6</v>
      </c>
      <c r="V58" s="32">
        <f t="shared" si="23"/>
        <v>65.7</v>
      </c>
      <c r="W58" s="32">
        <f t="shared" si="23"/>
        <v>13.85</v>
      </c>
      <c r="X58" s="32">
        <f t="shared" si="23"/>
        <v>73.400000000000006</v>
      </c>
      <c r="Y58" s="32">
        <f t="shared" si="24"/>
        <v>5.4</v>
      </c>
      <c r="Z58" s="32">
        <f t="shared" si="24"/>
        <v>38.56</v>
      </c>
      <c r="AA58" s="32">
        <f t="shared" si="24"/>
        <v>7.6</v>
      </c>
      <c r="AB58" s="32">
        <f t="shared" si="24"/>
        <v>9.4</v>
      </c>
      <c r="AC58" s="32">
        <f t="shared" si="24"/>
        <v>0.1</v>
      </c>
      <c r="AD58" s="32">
        <f t="shared" si="24"/>
        <v>13.59</v>
      </c>
      <c r="AE58" s="32">
        <f t="shared" si="24"/>
        <v>13.5</v>
      </c>
      <c r="AF58" s="29">
        <v>66.5</v>
      </c>
      <c r="AG58" s="30">
        <f t="shared" si="17"/>
        <v>17.350000000000001</v>
      </c>
      <c r="AH58" s="31">
        <f t="shared" si="18"/>
        <v>57.454128440366972</v>
      </c>
    </row>
    <row r="59" spans="1:34" s="2" customFormat="1" ht="15.6" x14ac:dyDescent="0.3">
      <c r="A59" s="6" t="s">
        <v>369</v>
      </c>
      <c r="B59" s="2">
        <v>14</v>
      </c>
      <c r="C59" s="3">
        <v>1</v>
      </c>
      <c r="D59" s="5" t="s">
        <v>404</v>
      </c>
      <c r="E59" s="32">
        <f t="shared" si="22"/>
        <v>33.200000000000003</v>
      </c>
      <c r="F59" s="32">
        <f t="shared" si="22"/>
        <v>7.3</v>
      </c>
      <c r="G59" s="32">
        <f t="shared" si="22"/>
        <v>33.6</v>
      </c>
      <c r="H59" s="32">
        <f t="shared" si="22"/>
        <v>21.7</v>
      </c>
      <c r="I59" s="32">
        <f t="shared" si="22"/>
        <v>1.4</v>
      </c>
      <c r="J59" s="32">
        <f t="shared" si="22"/>
        <v>15.4</v>
      </c>
      <c r="K59" s="32">
        <f t="shared" si="22"/>
        <v>29.46</v>
      </c>
      <c r="L59" s="32">
        <f t="shared" si="22"/>
        <v>3.4</v>
      </c>
      <c r="M59" s="32">
        <f t="shared" si="22"/>
        <v>42.8</v>
      </c>
      <c r="N59" s="32">
        <f t="shared" si="22"/>
        <v>26.34</v>
      </c>
      <c r="O59" s="32">
        <f t="shared" si="23"/>
        <v>0.53100000000000003</v>
      </c>
      <c r="P59" s="32">
        <f t="shared" si="23"/>
        <v>10.199999999999999</v>
      </c>
      <c r="Q59" s="32">
        <f t="shared" si="23"/>
        <v>47</v>
      </c>
      <c r="R59" s="32">
        <f t="shared" si="23"/>
        <v>16.7</v>
      </c>
      <c r="S59" s="32">
        <f t="shared" si="23"/>
        <v>75</v>
      </c>
      <c r="T59" s="32">
        <f t="shared" si="23"/>
        <v>21.9</v>
      </c>
      <c r="U59" s="32">
        <f t="shared" si="23"/>
        <v>16.399999999999999</v>
      </c>
      <c r="V59" s="32">
        <f t="shared" si="23"/>
        <v>70.3</v>
      </c>
      <c r="W59" s="32">
        <f t="shared" si="23"/>
        <v>12.46</v>
      </c>
      <c r="X59" s="32">
        <f t="shared" si="23"/>
        <v>79.2</v>
      </c>
      <c r="Y59" s="32">
        <f t="shared" si="24"/>
        <v>7.1</v>
      </c>
      <c r="Z59" s="32">
        <f t="shared" si="24"/>
        <v>38.799999999999997</v>
      </c>
      <c r="AA59" s="32">
        <f t="shared" si="24"/>
        <v>8.9</v>
      </c>
      <c r="AB59" s="32">
        <f t="shared" si="24"/>
        <v>6.4</v>
      </c>
      <c r="AC59" s="32">
        <f t="shared" si="24"/>
        <v>0.5</v>
      </c>
      <c r="AD59" s="32">
        <f t="shared" si="24"/>
        <v>11.54</v>
      </c>
      <c r="AE59" s="32">
        <f t="shared" si="24"/>
        <v>11</v>
      </c>
      <c r="AF59" s="29">
        <v>65.900000000000006</v>
      </c>
      <c r="AG59" s="30">
        <f t="shared" si="17"/>
        <v>20.450000000000003</v>
      </c>
      <c r="AH59" s="31">
        <f t="shared" si="18"/>
        <v>59.042553191489368</v>
      </c>
    </row>
    <row r="60" spans="1:34" s="2" customFormat="1" ht="15.6" x14ac:dyDescent="0.3">
      <c r="A60" s="6" t="s">
        <v>399</v>
      </c>
      <c r="B60" s="2">
        <v>15</v>
      </c>
      <c r="C60" s="3">
        <v>1</v>
      </c>
      <c r="D60" s="5" t="s">
        <v>404</v>
      </c>
      <c r="E60" s="32">
        <f t="shared" si="22"/>
        <v>32.6</v>
      </c>
      <c r="F60" s="32">
        <f t="shared" si="22"/>
        <v>7.7</v>
      </c>
      <c r="G60" s="32">
        <f t="shared" si="22"/>
        <v>33.299999999999997</v>
      </c>
      <c r="H60" s="32">
        <f t="shared" si="22"/>
        <v>23.3</v>
      </c>
      <c r="I60" s="32">
        <f t="shared" si="22"/>
        <v>1.26</v>
      </c>
      <c r="J60" s="32">
        <f t="shared" si="22"/>
        <v>14.9</v>
      </c>
      <c r="K60" s="32">
        <f t="shared" si="22"/>
        <v>16.510000000000002</v>
      </c>
      <c r="L60" s="32">
        <f t="shared" si="22"/>
        <v>6</v>
      </c>
      <c r="M60" s="32">
        <f t="shared" si="22"/>
        <v>41.6</v>
      </c>
      <c r="N60" s="32">
        <f t="shared" si="22"/>
        <v>27.83</v>
      </c>
      <c r="O60" s="32">
        <f t="shared" si="23"/>
        <v>0.51600000000000001</v>
      </c>
      <c r="P60" s="32">
        <f t="shared" si="23"/>
        <v>11.94</v>
      </c>
      <c r="Q60" s="32">
        <f t="shared" si="23"/>
        <v>45.7</v>
      </c>
      <c r="R60" s="32">
        <f t="shared" si="23"/>
        <v>15.7</v>
      </c>
      <c r="S60" s="32">
        <f t="shared" si="23"/>
        <v>71.400000000000006</v>
      </c>
      <c r="T60" s="32">
        <f t="shared" si="23"/>
        <v>19.3</v>
      </c>
      <c r="U60" s="32">
        <f t="shared" si="23"/>
        <v>13.8</v>
      </c>
      <c r="V60" s="32">
        <f t="shared" si="23"/>
        <v>74.2</v>
      </c>
      <c r="W60" s="32">
        <f t="shared" si="23"/>
        <v>13.29</v>
      </c>
      <c r="X60" s="32">
        <f t="shared" si="23"/>
        <v>81.8</v>
      </c>
      <c r="Y60" s="32">
        <f t="shared" si="24"/>
        <v>4.5</v>
      </c>
      <c r="Z60" s="32">
        <f t="shared" si="24"/>
        <v>41.11</v>
      </c>
      <c r="AA60" s="32">
        <f t="shared" si="24"/>
        <v>7.5</v>
      </c>
      <c r="AB60" s="32">
        <f t="shared" si="24"/>
        <v>6.7</v>
      </c>
      <c r="AC60" s="32">
        <f t="shared" si="24"/>
        <v>0.3</v>
      </c>
      <c r="AD60" s="32">
        <f t="shared" si="24"/>
        <v>12.11</v>
      </c>
      <c r="AE60" s="32">
        <f t="shared" si="24"/>
        <v>11.9</v>
      </c>
      <c r="AF60" s="29">
        <v>72.7</v>
      </c>
      <c r="AG60" s="30">
        <f t="shared" si="17"/>
        <v>22.45</v>
      </c>
      <c r="AH60" s="31">
        <f t="shared" si="18"/>
        <v>65.973741794310712</v>
      </c>
    </row>
    <row r="61" spans="1:34" s="2" customFormat="1" ht="15.6" x14ac:dyDescent="0.3">
      <c r="A61" s="6" t="s">
        <v>505</v>
      </c>
      <c r="B61" s="2">
        <v>15</v>
      </c>
      <c r="C61" s="3">
        <v>1</v>
      </c>
      <c r="D61" s="5" t="s">
        <v>404</v>
      </c>
      <c r="E61" s="32">
        <f t="shared" si="22"/>
        <v>33.4</v>
      </c>
      <c r="F61" s="32">
        <f t="shared" si="22"/>
        <v>7.5</v>
      </c>
      <c r="G61" s="32">
        <f t="shared" si="22"/>
        <v>34.700000000000003</v>
      </c>
      <c r="H61" s="32">
        <f t="shared" si="22"/>
        <v>21.7</v>
      </c>
      <c r="I61" s="32">
        <f t="shared" si="22"/>
        <v>1.25</v>
      </c>
      <c r="J61" s="32">
        <f t="shared" si="22"/>
        <v>16.100000000000001</v>
      </c>
      <c r="K61" s="32">
        <f t="shared" si="22"/>
        <v>14.91</v>
      </c>
      <c r="L61" s="32">
        <f t="shared" si="22"/>
        <v>4.5</v>
      </c>
      <c r="M61" s="32">
        <f t="shared" si="22"/>
        <v>44.2</v>
      </c>
      <c r="N61" s="32">
        <f t="shared" si="22"/>
        <v>24.89</v>
      </c>
      <c r="O61" s="32">
        <f t="shared" si="23"/>
        <v>0.51300000000000001</v>
      </c>
      <c r="P61" s="32">
        <f t="shared" si="23"/>
        <v>10.97</v>
      </c>
      <c r="Q61" s="32">
        <f t="shared" si="23"/>
        <v>44.9</v>
      </c>
      <c r="R61" s="32">
        <f t="shared" si="23"/>
        <v>16.7</v>
      </c>
      <c r="S61" s="32">
        <f t="shared" si="23"/>
        <v>72.099999999999994</v>
      </c>
      <c r="T61" s="32">
        <f t="shared" si="23"/>
        <v>22.3</v>
      </c>
      <c r="U61" s="32">
        <f t="shared" si="23"/>
        <v>16.100000000000001</v>
      </c>
      <c r="V61" s="32">
        <f t="shared" si="23"/>
        <v>71</v>
      </c>
      <c r="W61" s="32">
        <f t="shared" si="23"/>
        <v>12.54</v>
      </c>
      <c r="X61" s="32">
        <f t="shared" si="23"/>
        <v>77</v>
      </c>
      <c r="Y61" s="32">
        <f t="shared" si="24"/>
        <v>4.8</v>
      </c>
      <c r="Z61" s="32">
        <f t="shared" si="24"/>
        <v>37.43</v>
      </c>
      <c r="AA61" s="32">
        <f t="shared" si="24"/>
        <v>6</v>
      </c>
      <c r="AB61" s="32">
        <f t="shared" si="24"/>
        <v>6.4</v>
      </c>
      <c r="AC61" s="32">
        <f t="shared" si="24"/>
        <v>0.2</v>
      </c>
      <c r="AD61" s="32">
        <f t="shared" si="24"/>
        <v>13.06</v>
      </c>
      <c r="AE61" s="32">
        <f t="shared" si="24"/>
        <v>12.9</v>
      </c>
      <c r="AF61" s="29">
        <v>68.099999999999994</v>
      </c>
      <c r="AG61" s="30">
        <f t="shared" si="17"/>
        <v>19.2</v>
      </c>
      <c r="AH61" s="31">
        <f t="shared" si="18"/>
        <v>59.465478841870826</v>
      </c>
    </row>
    <row r="62" spans="1:34" s="2" customFormat="1" ht="15.6" x14ac:dyDescent="0.3">
      <c r="A62" s="6" t="s">
        <v>510</v>
      </c>
      <c r="B62" s="2">
        <v>15</v>
      </c>
      <c r="C62" s="3">
        <v>1</v>
      </c>
      <c r="D62" s="5" t="s">
        <v>404</v>
      </c>
      <c r="E62" s="32">
        <f t="shared" si="22"/>
        <v>33.9</v>
      </c>
      <c r="F62" s="32">
        <f t="shared" si="22"/>
        <v>9.6999999999999993</v>
      </c>
      <c r="G62" s="32">
        <f t="shared" si="22"/>
        <v>34.299999999999997</v>
      </c>
      <c r="H62" s="32">
        <f t="shared" si="22"/>
        <v>28.3</v>
      </c>
      <c r="I62" s="32">
        <f t="shared" si="22"/>
        <v>1.37</v>
      </c>
      <c r="J62" s="32">
        <f t="shared" si="22"/>
        <v>15</v>
      </c>
      <c r="K62" s="32">
        <f t="shared" si="22"/>
        <v>19.399999999999999</v>
      </c>
      <c r="L62" s="32">
        <f t="shared" si="22"/>
        <v>2.5</v>
      </c>
      <c r="M62" s="32">
        <f t="shared" si="22"/>
        <v>43.6</v>
      </c>
      <c r="N62" s="32">
        <f t="shared" si="22"/>
        <v>25.26</v>
      </c>
      <c r="O62" s="32">
        <f t="shared" si="23"/>
        <v>0.53400000000000003</v>
      </c>
      <c r="P62" s="32">
        <f t="shared" si="23"/>
        <v>8.06</v>
      </c>
      <c r="Q62" s="32">
        <f t="shared" si="23"/>
        <v>45.2</v>
      </c>
      <c r="R62" s="32">
        <f t="shared" si="23"/>
        <v>16.899999999999999</v>
      </c>
      <c r="S62" s="32">
        <f t="shared" si="23"/>
        <v>66</v>
      </c>
      <c r="T62" s="32">
        <f t="shared" si="23"/>
        <v>17.899999999999999</v>
      </c>
      <c r="U62" s="32">
        <f t="shared" si="23"/>
        <v>11.8</v>
      </c>
      <c r="V62" s="32">
        <f t="shared" si="23"/>
        <v>70</v>
      </c>
      <c r="W62" s="32">
        <f t="shared" si="23"/>
        <v>12.94</v>
      </c>
      <c r="X62" s="32">
        <f t="shared" si="23"/>
        <v>74.900000000000006</v>
      </c>
      <c r="Y62" s="32">
        <f t="shared" si="24"/>
        <v>7.4</v>
      </c>
      <c r="Z62" s="32">
        <f t="shared" si="24"/>
        <v>38.200000000000003</v>
      </c>
      <c r="AA62" s="32">
        <f t="shared" si="24"/>
        <v>4.9000000000000004</v>
      </c>
      <c r="AB62" s="32">
        <f t="shared" si="24"/>
        <v>6</v>
      </c>
      <c r="AC62" s="32">
        <f t="shared" si="24"/>
        <v>-0.8</v>
      </c>
      <c r="AD62" s="32">
        <f t="shared" si="24"/>
        <v>10.17</v>
      </c>
      <c r="AE62" s="32">
        <f t="shared" si="24"/>
        <v>10.9</v>
      </c>
      <c r="AF62" s="29">
        <v>64.3</v>
      </c>
      <c r="AG62" s="30">
        <f t="shared" si="17"/>
        <v>17.000000000000007</v>
      </c>
      <c r="AH62" s="31">
        <f t="shared" si="18"/>
        <v>59.070796460177</v>
      </c>
    </row>
    <row r="63" spans="1:34" s="2" customFormat="1" ht="15.6" x14ac:dyDescent="0.3">
      <c r="A63" s="6" t="s">
        <v>506</v>
      </c>
      <c r="B63" s="2">
        <v>15</v>
      </c>
      <c r="C63" s="3">
        <v>1</v>
      </c>
      <c r="D63" s="5" t="s">
        <v>404</v>
      </c>
      <c r="E63" s="32">
        <f t="shared" si="22"/>
        <v>34.799999999999997</v>
      </c>
      <c r="F63" s="32">
        <f t="shared" si="22"/>
        <v>8.1999999999999993</v>
      </c>
      <c r="G63" s="32">
        <f t="shared" si="22"/>
        <v>35.6</v>
      </c>
      <c r="H63" s="32">
        <f t="shared" si="22"/>
        <v>23.1</v>
      </c>
      <c r="I63" s="32">
        <f t="shared" si="22"/>
        <v>1.23</v>
      </c>
      <c r="J63" s="32">
        <f t="shared" si="22"/>
        <v>13.3</v>
      </c>
      <c r="K63" s="32">
        <f t="shared" si="22"/>
        <v>20.71</v>
      </c>
      <c r="L63" s="32">
        <f t="shared" si="22"/>
        <v>2.2999999999999998</v>
      </c>
      <c r="M63" s="32">
        <f t="shared" si="22"/>
        <v>44.8</v>
      </c>
      <c r="N63" s="32">
        <f t="shared" si="22"/>
        <v>25.54</v>
      </c>
      <c r="O63" s="32">
        <f t="shared" si="23"/>
        <v>0.52900000000000003</v>
      </c>
      <c r="P63" s="32">
        <f t="shared" si="23"/>
        <v>9.74</v>
      </c>
      <c r="Q63" s="32">
        <f t="shared" si="23"/>
        <v>45.9</v>
      </c>
      <c r="R63" s="32">
        <f t="shared" si="23"/>
        <v>18.3</v>
      </c>
      <c r="S63" s="32">
        <f t="shared" si="23"/>
        <v>72.2</v>
      </c>
      <c r="T63" s="32">
        <f t="shared" si="23"/>
        <v>21.3</v>
      </c>
      <c r="U63" s="32">
        <f t="shared" si="23"/>
        <v>15.3</v>
      </c>
      <c r="V63" s="32">
        <f t="shared" si="23"/>
        <v>75.3</v>
      </c>
      <c r="W63" s="32">
        <f t="shared" si="23"/>
        <v>10.29</v>
      </c>
      <c r="X63" s="32">
        <f t="shared" si="23"/>
        <v>77.3</v>
      </c>
      <c r="Y63" s="32">
        <f t="shared" si="24"/>
        <v>2.7</v>
      </c>
      <c r="Z63" s="32">
        <f t="shared" si="24"/>
        <v>35.83</v>
      </c>
      <c r="AA63" s="32">
        <f t="shared" si="24"/>
        <v>2.1</v>
      </c>
      <c r="AB63" s="32">
        <f t="shared" si="24"/>
        <v>5.9</v>
      </c>
      <c r="AC63" s="32">
        <f t="shared" si="24"/>
        <v>-0.5</v>
      </c>
      <c r="AD63" s="32">
        <f t="shared" si="24"/>
        <v>10.37</v>
      </c>
      <c r="AE63" s="32">
        <f t="shared" si="24"/>
        <v>10.8</v>
      </c>
      <c r="AF63" s="29">
        <v>67.7</v>
      </c>
      <c r="AG63" s="30">
        <f t="shared" si="17"/>
        <v>18.700000000000003</v>
      </c>
      <c r="AH63" s="31">
        <f t="shared" si="18"/>
        <v>58.605664488017432</v>
      </c>
    </row>
    <row r="64" spans="1:34" s="2" customFormat="1" ht="15.6" x14ac:dyDescent="0.3">
      <c r="A64" s="6" t="s">
        <v>514</v>
      </c>
      <c r="B64" s="2">
        <v>16</v>
      </c>
      <c r="C64" s="3">
        <v>2</v>
      </c>
      <c r="D64" s="5" t="s">
        <v>404</v>
      </c>
      <c r="E64" s="32">
        <f t="shared" ref="E64:N69" si="25">INDEX(rawValue25,MATCH(INDEX(teamID,MATCH(INDEX(ovrTeamCol25,ROW(),1),teamINI,0))+INDEX(statID,MATCH(INDEX(ovrHeaderRow25,1,COLUMN()),statAbbr,0),1),rawLookup25,0))</f>
        <v>33.299999999999997</v>
      </c>
      <c r="F64" s="32">
        <f t="shared" si="25"/>
        <v>8.9</v>
      </c>
      <c r="G64" s="32">
        <f t="shared" si="25"/>
        <v>32.700000000000003</v>
      </c>
      <c r="H64" s="32">
        <f t="shared" si="25"/>
        <v>27.2</v>
      </c>
      <c r="I64" s="32">
        <f t="shared" si="25"/>
        <v>1.28</v>
      </c>
      <c r="J64" s="32">
        <f t="shared" si="25"/>
        <v>11.6</v>
      </c>
      <c r="K64" s="32">
        <f t="shared" si="25"/>
        <v>24.17</v>
      </c>
      <c r="L64" s="32">
        <f t="shared" si="25"/>
        <v>2.8</v>
      </c>
      <c r="M64" s="32">
        <f t="shared" si="25"/>
        <v>43.7</v>
      </c>
      <c r="N64" s="32">
        <f t="shared" si="25"/>
        <v>24.61</v>
      </c>
      <c r="O64" s="32">
        <f t="shared" ref="O64:X69" si="26">INDEX(rawValue25,MATCH(INDEX(teamID,MATCH(INDEX(ovrTeamCol25,ROW(),1),teamINI,0))+INDEX(statID,MATCH(INDEX(ovrHeaderRow25,1,COLUMN()),statAbbr,0),1),rawLookup25,0))</f>
        <v>0.47499999999999998</v>
      </c>
      <c r="P64" s="32">
        <f t="shared" si="26"/>
        <v>13.39</v>
      </c>
      <c r="Q64" s="32">
        <f t="shared" si="26"/>
        <v>40.5</v>
      </c>
      <c r="R64" s="32">
        <f t="shared" si="26"/>
        <v>18.399999999999999</v>
      </c>
      <c r="S64" s="32">
        <f t="shared" si="26"/>
        <v>68.599999999999994</v>
      </c>
      <c r="T64" s="32">
        <f t="shared" si="26"/>
        <v>18.5</v>
      </c>
      <c r="U64" s="32">
        <f t="shared" si="26"/>
        <v>12.7</v>
      </c>
      <c r="V64" s="32">
        <f t="shared" si="26"/>
        <v>72.400000000000006</v>
      </c>
      <c r="W64" s="32">
        <f t="shared" si="26"/>
        <v>11.58</v>
      </c>
      <c r="X64" s="32">
        <f t="shared" si="26"/>
        <v>73.099999999999994</v>
      </c>
      <c r="Y64" s="32">
        <f t="shared" ref="Y64:AE69" si="27">INDEX(rawValue25,MATCH(INDEX(teamID,MATCH(INDEX(ovrTeamCol25,ROW(),1),teamINI,0))+INDEX(statID,MATCH(INDEX(ovrHeaderRow25,1,COLUMN()),statAbbr,0),1),rawLookup25,0))</f>
        <v>-3.4</v>
      </c>
      <c r="Z64" s="32">
        <f t="shared" si="27"/>
        <v>36.19</v>
      </c>
      <c r="AA64" s="32">
        <f t="shared" si="27"/>
        <v>0.6</v>
      </c>
      <c r="AB64" s="32">
        <f t="shared" si="27"/>
        <v>7.9</v>
      </c>
      <c r="AC64" s="32">
        <f t="shared" si="27"/>
        <v>4.0999999999999996</v>
      </c>
      <c r="AD64" s="32">
        <f t="shared" si="27"/>
        <v>13.17</v>
      </c>
      <c r="AE64" s="32">
        <f t="shared" si="27"/>
        <v>9.1</v>
      </c>
      <c r="AF64" s="29">
        <v>68.099999999999994</v>
      </c>
      <c r="AG64" s="30">
        <f t="shared" si="17"/>
        <v>16.849999999999994</v>
      </c>
      <c r="AH64" s="31">
        <f t="shared" si="18"/>
        <v>63.580246913580226</v>
      </c>
    </row>
    <row r="65" spans="1:34" s="2" customFormat="1" ht="15.6" x14ac:dyDescent="0.3">
      <c r="A65" s="6" t="s">
        <v>513</v>
      </c>
      <c r="B65" s="2">
        <v>16</v>
      </c>
      <c r="C65" s="3">
        <v>2</v>
      </c>
      <c r="D65" s="5" t="s">
        <v>404</v>
      </c>
      <c r="E65" s="32">
        <f t="shared" si="25"/>
        <v>31.6</v>
      </c>
      <c r="F65" s="32">
        <f t="shared" si="25"/>
        <v>7.9</v>
      </c>
      <c r="G65" s="32">
        <f t="shared" si="25"/>
        <v>34.5</v>
      </c>
      <c r="H65" s="32">
        <f t="shared" si="25"/>
        <v>23</v>
      </c>
      <c r="I65" s="32">
        <f t="shared" si="25"/>
        <v>1</v>
      </c>
      <c r="J65" s="32">
        <f t="shared" si="25"/>
        <v>14.9</v>
      </c>
      <c r="K65" s="32">
        <f t="shared" si="25"/>
        <v>19.14</v>
      </c>
      <c r="L65" s="32">
        <f t="shared" si="25"/>
        <v>2.8</v>
      </c>
      <c r="M65" s="32">
        <f t="shared" si="25"/>
        <v>41.1</v>
      </c>
      <c r="N65" s="32">
        <f t="shared" si="25"/>
        <v>27.33</v>
      </c>
      <c r="O65" s="32">
        <f t="shared" si="26"/>
        <v>0.51200000000000001</v>
      </c>
      <c r="P65" s="32">
        <f t="shared" si="26"/>
        <v>7.97</v>
      </c>
      <c r="Q65" s="32">
        <f t="shared" si="26"/>
        <v>44.1</v>
      </c>
      <c r="R65" s="32">
        <f t="shared" si="26"/>
        <v>15.6</v>
      </c>
      <c r="S65" s="32">
        <f t="shared" si="26"/>
        <v>73.599999999999994</v>
      </c>
      <c r="T65" s="32">
        <f t="shared" si="26"/>
        <v>17.399999999999999</v>
      </c>
      <c r="U65" s="32">
        <f t="shared" si="26"/>
        <v>12.8</v>
      </c>
      <c r="V65" s="32">
        <f t="shared" si="26"/>
        <v>70.5</v>
      </c>
      <c r="W65" s="32">
        <f t="shared" si="26"/>
        <v>10.17</v>
      </c>
      <c r="X65" s="32">
        <f t="shared" si="26"/>
        <v>70.099999999999994</v>
      </c>
      <c r="Y65" s="32">
        <f t="shared" si="27"/>
        <v>4.0999999999999996</v>
      </c>
      <c r="Z65" s="32">
        <f t="shared" si="27"/>
        <v>37.5</v>
      </c>
      <c r="AA65" s="32">
        <f t="shared" si="27"/>
        <v>-0.4</v>
      </c>
      <c r="AB65" s="32">
        <f t="shared" si="27"/>
        <v>6</v>
      </c>
      <c r="AC65" s="32">
        <f t="shared" si="27"/>
        <v>-3.9</v>
      </c>
      <c r="AD65" s="32">
        <f t="shared" si="27"/>
        <v>11</v>
      </c>
      <c r="AE65" s="32">
        <f t="shared" si="27"/>
        <v>14.9</v>
      </c>
      <c r="AF65" s="29">
        <v>67.8</v>
      </c>
      <c r="AG65" s="30">
        <f t="shared" si="17"/>
        <v>16.799999999999997</v>
      </c>
      <c r="AH65" s="31">
        <f t="shared" si="18"/>
        <v>56.009070294784571</v>
      </c>
    </row>
    <row r="66" spans="1:34" s="2" customFormat="1" ht="15.6" x14ac:dyDescent="0.3">
      <c r="A66" s="6" t="s">
        <v>494</v>
      </c>
      <c r="B66" s="2">
        <v>16</v>
      </c>
      <c r="C66" s="3">
        <v>1</v>
      </c>
      <c r="D66" s="5" t="s">
        <v>404</v>
      </c>
      <c r="E66" s="32">
        <f t="shared" si="25"/>
        <v>32.799999999999997</v>
      </c>
      <c r="F66" s="32">
        <f t="shared" si="25"/>
        <v>7.3</v>
      </c>
      <c r="G66" s="32">
        <f t="shared" si="25"/>
        <v>33.299999999999997</v>
      </c>
      <c r="H66" s="32">
        <f t="shared" si="25"/>
        <v>22</v>
      </c>
      <c r="I66" s="32">
        <f t="shared" si="25"/>
        <v>1.19</v>
      </c>
      <c r="J66" s="32">
        <f t="shared" si="25"/>
        <v>13.6</v>
      </c>
      <c r="K66" s="32">
        <f t="shared" si="25"/>
        <v>17.649999999999999</v>
      </c>
      <c r="L66" s="32">
        <f t="shared" si="25"/>
        <v>4</v>
      </c>
      <c r="M66" s="32">
        <f t="shared" si="25"/>
        <v>40.200000000000003</v>
      </c>
      <c r="N66" s="32">
        <f t="shared" si="25"/>
        <v>26.29</v>
      </c>
      <c r="O66" s="32">
        <f t="shared" si="26"/>
        <v>0.49199999999999999</v>
      </c>
      <c r="P66" s="32">
        <f t="shared" si="26"/>
        <v>12.12</v>
      </c>
      <c r="Q66" s="32">
        <f t="shared" si="26"/>
        <v>43.1</v>
      </c>
      <c r="R66" s="32">
        <f t="shared" si="26"/>
        <v>16.5</v>
      </c>
      <c r="S66" s="32">
        <f t="shared" si="26"/>
        <v>67</v>
      </c>
      <c r="T66" s="32">
        <f t="shared" si="26"/>
        <v>19.3</v>
      </c>
      <c r="U66" s="32">
        <f t="shared" si="26"/>
        <v>12.9</v>
      </c>
      <c r="V66" s="32">
        <f t="shared" si="26"/>
        <v>66.5</v>
      </c>
      <c r="W66" s="32">
        <f t="shared" si="26"/>
        <v>11.85</v>
      </c>
      <c r="X66" s="32">
        <f t="shared" si="26"/>
        <v>71.599999999999994</v>
      </c>
      <c r="Y66" s="32">
        <f t="shared" si="27"/>
        <v>2.2999999999999998</v>
      </c>
      <c r="Z66" s="32">
        <f t="shared" si="27"/>
        <v>38.15</v>
      </c>
      <c r="AA66" s="32">
        <f t="shared" si="27"/>
        <v>5.2</v>
      </c>
      <c r="AB66" s="32">
        <f t="shared" si="27"/>
        <v>6.6</v>
      </c>
      <c r="AC66" s="32">
        <f t="shared" si="27"/>
        <v>1.1000000000000001</v>
      </c>
      <c r="AD66" s="32">
        <f t="shared" si="27"/>
        <v>12.5</v>
      </c>
      <c r="AE66" s="32">
        <f t="shared" si="27"/>
        <v>11.4</v>
      </c>
      <c r="AF66" s="29">
        <v>66.2</v>
      </c>
      <c r="AG66" s="30">
        <f t="shared" si="17"/>
        <v>18.399999999999999</v>
      </c>
      <c r="AH66" s="31">
        <f t="shared" ref="AH66:AH69" si="28">(AG66+F66)*100/Q66</f>
        <v>59.62877030162413</v>
      </c>
    </row>
    <row r="67" spans="1:34" s="2" customFormat="1" ht="15.6" x14ac:dyDescent="0.3">
      <c r="A67" s="6" t="s">
        <v>329</v>
      </c>
      <c r="B67" s="2">
        <v>16</v>
      </c>
      <c r="C67" s="3">
        <v>1</v>
      </c>
      <c r="D67" s="5" t="s">
        <v>404</v>
      </c>
      <c r="E67" s="32">
        <f t="shared" si="25"/>
        <v>33.5</v>
      </c>
      <c r="F67" s="32">
        <f t="shared" si="25"/>
        <v>5.3</v>
      </c>
      <c r="G67" s="32">
        <f t="shared" si="25"/>
        <v>32.6</v>
      </c>
      <c r="H67" s="32">
        <f t="shared" si="25"/>
        <v>16.2</v>
      </c>
      <c r="I67" s="32">
        <f t="shared" si="25"/>
        <v>1.1200000000000001</v>
      </c>
      <c r="J67" s="32">
        <f t="shared" si="25"/>
        <v>13.8</v>
      </c>
      <c r="K67" s="32">
        <f t="shared" si="25"/>
        <v>22.89</v>
      </c>
      <c r="L67" s="32">
        <f t="shared" si="25"/>
        <v>3</v>
      </c>
      <c r="M67" s="32">
        <f t="shared" si="25"/>
        <v>41.5</v>
      </c>
      <c r="N67" s="32">
        <f t="shared" si="25"/>
        <v>24.29</v>
      </c>
      <c r="O67" s="32">
        <f t="shared" si="26"/>
        <v>0.53500000000000003</v>
      </c>
      <c r="P67" s="32">
        <f t="shared" si="26"/>
        <v>15.54</v>
      </c>
      <c r="Q67" s="32">
        <f t="shared" si="26"/>
        <v>48.8</v>
      </c>
      <c r="R67" s="32">
        <f t="shared" si="26"/>
        <v>17.8</v>
      </c>
      <c r="S67" s="32">
        <f t="shared" si="26"/>
        <v>75.7</v>
      </c>
      <c r="T67" s="32">
        <f t="shared" si="26"/>
        <v>21.7</v>
      </c>
      <c r="U67" s="32">
        <f t="shared" si="26"/>
        <v>16.399999999999999</v>
      </c>
      <c r="V67" s="32">
        <f t="shared" si="26"/>
        <v>69.7</v>
      </c>
      <c r="W67" s="32">
        <f t="shared" si="26"/>
        <v>10.23</v>
      </c>
      <c r="X67" s="32">
        <f t="shared" si="26"/>
        <v>77</v>
      </c>
      <c r="Y67" s="32">
        <f t="shared" si="27"/>
        <v>2</v>
      </c>
      <c r="Z67" s="32">
        <f t="shared" si="27"/>
        <v>34.51</v>
      </c>
      <c r="AA67" s="32">
        <f t="shared" si="27"/>
        <v>7.3</v>
      </c>
      <c r="AB67" s="32">
        <f t="shared" si="27"/>
        <v>7</v>
      </c>
      <c r="AC67" s="32">
        <f t="shared" si="27"/>
        <v>0.8</v>
      </c>
      <c r="AD67" s="32">
        <f t="shared" si="27"/>
        <v>13.17</v>
      </c>
      <c r="AE67" s="32">
        <f t="shared" si="27"/>
        <v>12.4</v>
      </c>
      <c r="AF67" s="29">
        <v>66.5</v>
      </c>
      <c r="AG67" s="30">
        <f t="shared" si="17"/>
        <v>22.35</v>
      </c>
      <c r="AH67" s="31">
        <f t="shared" si="28"/>
        <v>56.659836065573771</v>
      </c>
    </row>
    <row r="68" spans="1:34" s="2" customFormat="1" ht="15.6" x14ac:dyDescent="0.3">
      <c r="A68" s="6" t="s">
        <v>511</v>
      </c>
      <c r="B68" s="2">
        <v>16</v>
      </c>
      <c r="C68" s="3">
        <v>1</v>
      </c>
      <c r="D68" s="5" t="s">
        <v>404</v>
      </c>
      <c r="E68" s="32">
        <f t="shared" si="25"/>
        <v>30.9</v>
      </c>
      <c r="F68" s="32">
        <f t="shared" si="25"/>
        <v>8.3000000000000007</v>
      </c>
      <c r="G68" s="32">
        <f t="shared" si="25"/>
        <v>34.200000000000003</v>
      </c>
      <c r="H68" s="32">
        <f t="shared" si="25"/>
        <v>24.2</v>
      </c>
      <c r="I68" s="32">
        <f t="shared" si="25"/>
        <v>1.1000000000000001</v>
      </c>
      <c r="J68" s="32">
        <f t="shared" si="25"/>
        <v>14.2</v>
      </c>
      <c r="K68" s="32">
        <f t="shared" si="25"/>
        <v>19.03</v>
      </c>
      <c r="L68" s="32">
        <f t="shared" si="25"/>
        <v>2.5</v>
      </c>
      <c r="M68" s="32">
        <f t="shared" si="25"/>
        <v>43.2</v>
      </c>
      <c r="N68" s="32">
        <f t="shared" si="25"/>
        <v>25.44</v>
      </c>
      <c r="O68" s="32">
        <f t="shared" si="26"/>
        <v>0.53400000000000003</v>
      </c>
      <c r="P68" s="32">
        <f t="shared" si="26"/>
        <v>8.5299999999999994</v>
      </c>
      <c r="Q68" s="32">
        <f t="shared" si="26"/>
        <v>46.2</v>
      </c>
      <c r="R68" s="32">
        <f t="shared" si="26"/>
        <v>15.2</v>
      </c>
      <c r="S68" s="32">
        <f t="shared" si="26"/>
        <v>72.7</v>
      </c>
      <c r="T68" s="32">
        <f t="shared" si="26"/>
        <v>13.4</v>
      </c>
      <c r="U68" s="32">
        <f t="shared" si="26"/>
        <v>9.6999999999999993</v>
      </c>
      <c r="V68" s="32">
        <f t="shared" si="26"/>
        <v>71.599999999999994</v>
      </c>
      <c r="W68" s="32">
        <f t="shared" si="26"/>
        <v>8.5299999999999994</v>
      </c>
      <c r="X68" s="32">
        <f t="shared" si="26"/>
        <v>71</v>
      </c>
      <c r="Y68" s="32">
        <f t="shared" si="27"/>
        <v>-0.4</v>
      </c>
      <c r="Z68" s="32">
        <f t="shared" si="27"/>
        <v>33.97</v>
      </c>
      <c r="AA68" s="32">
        <f t="shared" si="27"/>
        <v>-0.5</v>
      </c>
      <c r="AB68" s="32">
        <f t="shared" si="27"/>
        <v>6.2</v>
      </c>
      <c r="AC68" s="32">
        <f t="shared" si="27"/>
        <v>-1.9</v>
      </c>
      <c r="AD68" s="32">
        <f t="shared" si="27"/>
        <v>11.06</v>
      </c>
      <c r="AE68" s="32">
        <f t="shared" si="27"/>
        <v>12.9</v>
      </c>
      <c r="AF68" s="29">
        <v>67.099999999999994</v>
      </c>
      <c r="AG68" s="30">
        <f t="shared" si="17"/>
        <v>18.199999999999996</v>
      </c>
      <c r="AH68" s="31">
        <f t="shared" si="28"/>
        <v>57.359307359307344</v>
      </c>
    </row>
    <row r="69" spans="1:34" s="2" customFormat="1" ht="15.6" x14ac:dyDescent="0.3">
      <c r="A69" s="6" t="s">
        <v>508</v>
      </c>
      <c r="B69" s="2">
        <v>16</v>
      </c>
      <c r="C69" s="3">
        <v>1</v>
      </c>
      <c r="D69" s="5" t="s">
        <v>404</v>
      </c>
      <c r="E69" s="32">
        <f t="shared" si="25"/>
        <v>33.1</v>
      </c>
      <c r="F69" s="32">
        <f t="shared" si="25"/>
        <v>8.5</v>
      </c>
      <c r="G69" s="32">
        <f t="shared" si="25"/>
        <v>34.799999999999997</v>
      </c>
      <c r="H69" s="32">
        <f t="shared" si="25"/>
        <v>24.5</v>
      </c>
      <c r="I69" s="32">
        <f t="shared" si="25"/>
        <v>1.1299999999999999</v>
      </c>
      <c r="J69" s="32">
        <f t="shared" si="25"/>
        <v>12.6</v>
      </c>
      <c r="K69" s="32">
        <f t="shared" si="25"/>
        <v>15.74</v>
      </c>
      <c r="L69" s="32">
        <f t="shared" si="25"/>
        <v>1.9</v>
      </c>
      <c r="M69" s="32">
        <f t="shared" si="25"/>
        <v>45.7</v>
      </c>
      <c r="N69" s="32">
        <f t="shared" si="25"/>
        <v>22.49</v>
      </c>
      <c r="O69" s="32">
        <f t="shared" si="26"/>
        <v>0.52300000000000002</v>
      </c>
      <c r="P69" s="32">
        <f t="shared" si="26"/>
        <v>8.89</v>
      </c>
      <c r="Q69" s="32">
        <f t="shared" si="26"/>
        <v>44.4</v>
      </c>
      <c r="R69" s="32">
        <f t="shared" si="26"/>
        <v>17.899999999999999</v>
      </c>
      <c r="S69" s="32">
        <f t="shared" si="26"/>
        <v>75.400000000000006</v>
      </c>
      <c r="T69" s="32">
        <f t="shared" si="26"/>
        <v>16.2</v>
      </c>
      <c r="U69" s="32">
        <f t="shared" si="26"/>
        <v>12.2</v>
      </c>
      <c r="V69" s="32">
        <f t="shared" si="26"/>
        <v>67.7</v>
      </c>
      <c r="W69" s="32">
        <f t="shared" si="26"/>
        <v>7.71</v>
      </c>
      <c r="X69" s="32">
        <f t="shared" si="26"/>
        <v>68.7</v>
      </c>
      <c r="Y69" s="32">
        <f t="shared" si="27"/>
        <v>-2.1</v>
      </c>
      <c r="Z69" s="32">
        <f t="shared" si="27"/>
        <v>30.2</v>
      </c>
      <c r="AA69" s="32">
        <f t="shared" si="27"/>
        <v>1</v>
      </c>
      <c r="AB69" s="32">
        <f t="shared" si="27"/>
        <v>6.5</v>
      </c>
      <c r="AC69" s="32">
        <f t="shared" si="27"/>
        <v>0.8</v>
      </c>
      <c r="AD69" s="32">
        <f t="shared" si="27"/>
        <v>11.94</v>
      </c>
      <c r="AE69" s="32">
        <f t="shared" si="27"/>
        <v>11.1</v>
      </c>
      <c r="AF69" s="29">
        <v>63.8</v>
      </c>
      <c r="AG69" s="30">
        <f t="shared" si="17"/>
        <v>15.5</v>
      </c>
      <c r="AH69" s="31">
        <f t="shared" si="28"/>
        <v>54.054054054054056</v>
      </c>
    </row>
  </sheetData>
  <sortState xmlns:xlrd2="http://schemas.microsoft.com/office/spreadsheetml/2017/richdata2" ref="A2:AH69">
    <sortCondition ref="B5:B69"/>
  </sortState>
  <conditionalFormatting sqref="C2:C69">
    <cfRule type="colorScale" priority="4">
      <colorScale>
        <cfvo type="min"/>
        <cfvo type="max"/>
        <color rgb="FFFCFCFF"/>
        <color rgb="FF63BE7B"/>
      </colorScale>
    </cfRule>
  </conditionalFormatting>
  <conditionalFormatting sqref="C1:D1">
    <cfRule type="colorScale" priority="66">
      <colorScale>
        <cfvo type="min"/>
        <cfvo type="max"/>
        <color rgb="FFFCFCFF"/>
        <color rgb="FF63BE7B"/>
      </colorScale>
    </cfRule>
  </conditionalFormatting>
  <conditionalFormatting sqref="D1:D69">
    <cfRule type="cellIs" dxfId="0" priority="1" operator="equal">
      <formula>"SEASON"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577D-1230-473B-82FB-4631D76B691E}">
  <sheetPr>
    <tabColor theme="7" tint="0.79998168889431442"/>
  </sheetPr>
  <dimension ref="A1:J1992"/>
  <sheetViews>
    <sheetView topLeftCell="A1929" workbookViewId="0">
      <selection activeCell="D1936" sqref="D1936"/>
    </sheetView>
  </sheetViews>
  <sheetFormatPr defaultRowHeight="14.4" x14ac:dyDescent="0.3"/>
  <cols>
    <col min="4" max="10" width="8.77734375" style="1"/>
  </cols>
  <sheetData>
    <row r="1" spans="1:10" x14ac:dyDescent="0.3">
      <c r="D1" s="1" t="s">
        <v>72</v>
      </c>
      <c r="E1" s="1" t="s">
        <v>0</v>
      </c>
      <c r="F1" s="1" t="s">
        <v>73</v>
      </c>
      <c r="G1" s="1" t="s">
        <v>75</v>
      </c>
      <c r="H1" s="1" t="s">
        <v>76</v>
      </c>
      <c r="I1" s="1" t="s">
        <v>77</v>
      </c>
      <c r="J1" s="1" t="s">
        <v>76</v>
      </c>
    </row>
    <row r="2" spans="1:10" x14ac:dyDescent="0.3">
      <c r="A2">
        <f t="shared" ref="A2:A65" si="0">IF(NOT(D2=""),INDEX(statAbbr,MATCH(D2,statOfficial,0),1),A1)</f>
        <v>0</v>
      </c>
      <c r="B2" t="e">
        <f t="shared" ref="B2:B65" si="1">INDEX(statID,MATCH(A2,statAbbr,0),1)+INDEX(teamID,MATCH(E2,teamRawName,0))</f>
        <v>#N/A</v>
      </c>
      <c r="F2" s="1" t="s">
        <v>74</v>
      </c>
      <c r="G2" s="1" t="s">
        <v>74</v>
      </c>
    </row>
    <row r="3" spans="1:10" x14ac:dyDescent="0.3">
      <c r="A3" t="str">
        <f t="shared" si="0"/>
        <v>A:T</v>
      </c>
      <c r="B3">
        <f t="shared" si="1"/>
        <v>4405</v>
      </c>
      <c r="D3" s="1" t="s">
        <v>537</v>
      </c>
      <c r="E3" s="1" t="s">
        <v>83</v>
      </c>
      <c r="F3" s="1">
        <v>1</v>
      </c>
      <c r="G3" s="1">
        <v>1</v>
      </c>
      <c r="H3" s="1">
        <v>2.0699999999999998</v>
      </c>
      <c r="I3" s="1" t="s">
        <v>83</v>
      </c>
      <c r="J3" s="1">
        <v>2.0699999999999998</v>
      </c>
    </row>
    <row r="4" spans="1:10" x14ac:dyDescent="0.3">
      <c r="A4" t="str">
        <f t="shared" si="0"/>
        <v>A:T</v>
      </c>
      <c r="B4">
        <f t="shared" si="1"/>
        <v>5405</v>
      </c>
      <c r="E4" s="1" t="s">
        <v>94</v>
      </c>
      <c r="F4" s="1">
        <v>3</v>
      </c>
      <c r="G4" s="1">
        <v>1</v>
      </c>
      <c r="H4" s="1">
        <v>1.82</v>
      </c>
    </row>
    <row r="5" spans="1:10" x14ac:dyDescent="0.3">
      <c r="A5" t="str">
        <f t="shared" si="0"/>
        <v>A:T</v>
      </c>
      <c r="B5">
        <f t="shared" si="1"/>
        <v>15005</v>
      </c>
      <c r="E5" s="1" t="s">
        <v>463</v>
      </c>
      <c r="F5" s="1">
        <v>4</v>
      </c>
      <c r="G5" s="1">
        <v>1</v>
      </c>
      <c r="H5" s="1">
        <v>1.8</v>
      </c>
    </row>
    <row r="6" spans="1:10" x14ac:dyDescent="0.3">
      <c r="A6" t="str">
        <f t="shared" si="0"/>
        <v>A:T</v>
      </c>
      <c r="B6">
        <f t="shared" si="1"/>
        <v>4505</v>
      </c>
      <c r="E6" s="1" t="s">
        <v>84</v>
      </c>
      <c r="F6" s="1">
        <v>6</v>
      </c>
      <c r="G6" s="1">
        <v>1</v>
      </c>
      <c r="H6" s="1">
        <v>1.71</v>
      </c>
    </row>
    <row r="7" spans="1:10" x14ac:dyDescent="0.3">
      <c r="A7" t="str">
        <f t="shared" si="0"/>
        <v>A:T</v>
      </c>
      <c r="B7">
        <f t="shared" si="1"/>
        <v>7205</v>
      </c>
      <c r="E7" s="1" t="s">
        <v>116</v>
      </c>
      <c r="F7" s="1">
        <v>7</v>
      </c>
      <c r="G7" s="1">
        <v>1</v>
      </c>
      <c r="H7" s="1">
        <v>1.7</v>
      </c>
    </row>
    <row r="8" spans="1:10" x14ac:dyDescent="0.3">
      <c r="A8" t="str">
        <f t="shared" si="0"/>
        <v>A:T</v>
      </c>
      <c r="B8">
        <f t="shared" si="1"/>
        <v>5105</v>
      </c>
      <c r="E8" s="1" t="s">
        <v>240</v>
      </c>
      <c r="F8" s="1">
        <v>8</v>
      </c>
      <c r="G8" s="1">
        <v>1</v>
      </c>
      <c r="H8" s="1">
        <v>1.66</v>
      </c>
    </row>
    <row r="9" spans="1:10" x14ac:dyDescent="0.3">
      <c r="A9" t="str">
        <f t="shared" si="0"/>
        <v>A:T</v>
      </c>
      <c r="B9">
        <f t="shared" si="1"/>
        <v>12505</v>
      </c>
      <c r="E9" s="1" t="s">
        <v>95</v>
      </c>
      <c r="F9" s="1">
        <v>9</v>
      </c>
      <c r="G9" s="1">
        <v>1</v>
      </c>
      <c r="H9" s="1">
        <v>1.63</v>
      </c>
    </row>
    <row r="10" spans="1:10" x14ac:dyDescent="0.3">
      <c r="A10" t="str">
        <f t="shared" si="0"/>
        <v>A:T</v>
      </c>
      <c r="B10">
        <f t="shared" si="1"/>
        <v>1405</v>
      </c>
      <c r="E10" s="1" t="s">
        <v>102</v>
      </c>
      <c r="F10" s="1">
        <v>11</v>
      </c>
      <c r="G10" s="1">
        <v>1</v>
      </c>
      <c r="H10" s="1">
        <v>1.6</v>
      </c>
    </row>
    <row r="11" spans="1:10" x14ac:dyDescent="0.3">
      <c r="A11" t="str">
        <f t="shared" si="0"/>
        <v>A:T</v>
      </c>
      <c r="B11">
        <f t="shared" si="1"/>
        <v>305</v>
      </c>
      <c r="E11" s="1" t="s">
        <v>215</v>
      </c>
      <c r="F11" s="1">
        <v>14</v>
      </c>
      <c r="G11" s="1">
        <v>2</v>
      </c>
      <c r="H11" s="1">
        <v>1.57</v>
      </c>
    </row>
    <row r="12" spans="1:10" x14ac:dyDescent="0.3">
      <c r="A12" t="str">
        <f t="shared" si="0"/>
        <v>A:T</v>
      </c>
      <c r="B12">
        <f t="shared" si="1"/>
        <v>2505</v>
      </c>
      <c r="E12" s="1" t="s">
        <v>92</v>
      </c>
      <c r="F12" s="1">
        <v>15</v>
      </c>
      <c r="G12" s="1">
        <v>2</v>
      </c>
      <c r="H12" s="1">
        <v>1.57</v>
      </c>
    </row>
    <row r="13" spans="1:10" x14ac:dyDescent="0.3">
      <c r="A13" t="str">
        <f t="shared" si="0"/>
        <v>A:T</v>
      </c>
      <c r="B13">
        <f t="shared" si="1"/>
        <v>2305</v>
      </c>
      <c r="E13" s="1" t="s">
        <v>79</v>
      </c>
      <c r="F13" s="1">
        <v>16</v>
      </c>
      <c r="G13" s="1">
        <v>1</v>
      </c>
      <c r="H13" s="1">
        <v>1.56</v>
      </c>
    </row>
    <row r="14" spans="1:10" x14ac:dyDescent="0.3">
      <c r="A14" t="str">
        <f t="shared" si="0"/>
        <v>A:T</v>
      </c>
      <c r="B14">
        <f t="shared" si="1"/>
        <v>8305</v>
      </c>
      <c r="E14" s="1" t="s">
        <v>257</v>
      </c>
      <c r="F14" s="1">
        <v>17</v>
      </c>
      <c r="G14" s="1">
        <v>1</v>
      </c>
      <c r="H14" s="1">
        <v>1.55</v>
      </c>
    </row>
    <row r="15" spans="1:10" x14ac:dyDescent="0.3">
      <c r="A15" t="str">
        <f t="shared" si="0"/>
        <v>A:T</v>
      </c>
      <c r="B15">
        <f t="shared" si="1"/>
        <v>5505</v>
      </c>
      <c r="E15" s="1" t="s">
        <v>86</v>
      </c>
      <c r="F15" s="1">
        <v>19</v>
      </c>
      <c r="G15" s="1">
        <v>3</v>
      </c>
      <c r="H15" s="1">
        <v>1.55</v>
      </c>
    </row>
    <row r="16" spans="1:10" x14ac:dyDescent="0.3">
      <c r="A16" t="str">
        <f t="shared" si="0"/>
        <v>A:T</v>
      </c>
      <c r="B16">
        <f t="shared" si="1"/>
        <v>9005</v>
      </c>
      <c r="E16" s="1" t="s">
        <v>261</v>
      </c>
      <c r="F16" s="1">
        <v>20</v>
      </c>
      <c r="G16" s="1">
        <v>2</v>
      </c>
      <c r="H16" s="1">
        <v>1.55</v>
      </c>
    </row>
    <row r="17" spans="1:8" x14ac:dyDescent="0.3">
      <c r="A17" t="str">
        <f t="shared" si="0"/>
        <v>A:T</v>
      </c>
      <c r="B17">
        <f t="shared" si="1"/>
        <v>7405</v>
      </c>
      <c r="E17" s="1" t="s">
        <v>251</v>
      </c>
      <c r="F17" s="1">
        <v>22</v>
      </c>
      <c r="G17" s="1">
        <v>2</v>
      </c>
      <c r="H17" s="1">
        <v>1.53</v>
      </c>
    </row>
    <row r="18" spans="1:8" x14ac:dyDescent="0.3">
      <c r="A18" t="str">
        <f t="shared" si="0"/>
        <v>A:T</v>
      </c>
      <c r="B18">
        <f t="shared" si="1"/>
        <v>3005</v>
      </c>
      <c r="E18" s="1" t="s">
        <v>89</v>
      </c>
      <c r="F18" s="1">
        <v>24</v>
      </c>
      <c r="G18" s="1">
        <v>3</v>
      </c>
      <c r="H18" s="1">
        <v>1.53</v>
      </c>
    </row>
    <row r="19" spans="1:8" x14ac:dyDescent="0.3">
      <c r="A19" t="str">
        <f t="shared" si="0"/>
        <v>A:T</v>
      </c>
      <c r="B19">
        <f t="shared" si="1"/>
        <v>4205</v>
      </c>
      <c r="E19" s="1" t="s">
        <v>123</v>
      </c>
      <c r="F19" s="1">
        <v>26</v>
      </c>
      <c r="G19" s="1">
        <v>4</v>
      </c>
      <c r="H19" s="1">
        <v>1.51</v>
      </c>
    </row>
    <row r="20" spans="1:8" x14ac:dyDescent="0.3">
      <c r="A20" t="str">
        <f t="shared" si="0"/>
        <v>A:T</v>
      </c>
      <c r="B20">
        <f t="shared" si="1"/>
        <v>8205</v>
      </c>
      <c r="E20" s="1" t="s">
        <v>131</v>
      </c>
      <c r="F20" s="1">
        <v>27</v>
      </c>
      <c r="G20" s="1">
        <v>1</v>
      </c>
      <c r="H20" s="1">
        <v>1.5</v>
      </c>
    </row>
    <row r="21" spans="1:8" x14ac:dyDescent="0.3">
      <c r="A21" t="str">
        <f t="shared" si="0"/>
        <v>A:T</v>
      </c>
      <c r="B21">
        <f t="shared" si="1"/>
        <v>3905</v>
      </c>
      <c r="E21" s="1" t="s">
        <v>88</v>
      </c>
      <c r="F21" s="1">
        <v>28</v>
      </c>
      <c r="G21" s="1">
        <v>2</v>
      </c>
      <c r="H21" s="1">
        <v>1.5</v>
      </c>
    </row>
    <row r="22" spans="1:8" x14ac:dyDescent="0.3">
      <c r="A22" t="str">
        <f t="shared" si="0"/>
        <v>A:T</v>
      </c>
      <c r="B22">
        <f t="shared" si="1"/>
        <v>3505</v>
      </c>
      <c r="E22" s="1" t="s">
        <v>87</v>
      </c>
      <c r="F22" s="1">
        <v>30</v>
      </c>
      <c r="G22" s="1">
        <v>4</v>
      </c>
      <c r="H22" s="1">
        <v>1.48</v>
      </c>
    </row>
    <row r="23" spans="1:8" x14ac:dyDescent="0.3">
      <c r="A23" t="str">
        <f t="shared" si="0"/>
        <v>A:T</v>
      </c>
      <c r="B23">
        <f t="shared" si="1"/>
        <v>3305</v>
      </c>
      <c r="E23" s="1" t="s">
        <v>91</v>
      </c>
      <c r="F23" s="1">
        <v>32</v>
      </c>
      <c r="G23" s="1">
        <v>3</v>
      </c>
      <c r="H23" s="1">
        <v>1.47</v>
      </c>
    </row>
    <row r="24" spans="1:8" x14ac:dyDescent="0.3">
      <c r="A24" t="str">
        <f t="shared" si="0"/>
        <v>A:T</v>
      </c>
      <c r="B24">
        <f t="shared" si="1"/>
        <v>905</v>
      </c>
      <c r="E24" s="1" t="s">
        <v>90</v>
      </c>
      <c r="F24" s="1">
        <v>34</v>
      </c>
      <c r="G24" s="1">
        <v>5</v>
      </c>
      <c r="H24" s="1">
        <v>1.46</v>
      </c>
    </row>
    <row r="25" spans="1:8" x14ac:dyDescent="0.3">
      <c r="A25" t="str">
        <f t="shared" si="0"/>
        <v>A:T</v>
      </c>
      <c r="B25">
        <f t="shared" si="1"/>
        <v>9305</v>
      </c>
      <c r="E25" s="1" t="s">
        <v>357</v>
      </c>
      <c r="F25" s="1">
        <v>41</v>
      </c>
      <c r="G25" s="1">
        <v>4</v>
      </c>
      <c r="H25" s="1">
        <v>1.44</v>
      </c>
    </row>
    <row r="26" spans="1:8" x14ac:dyDescent="0.3">
      <c r="A26" t="str">
        <f t="shared" si="0"/>
        <v>A:T</v>
      </c>
      <c r="B26">
        <f t="shared" si="1"/>
        <v>1305</v>
      </c>
      <c r="E26" s="1" t="s">
        <v>82</v>
      </c>
      <c r="F26" s="1">
        <v>43</v>
      </c>
      <c r="G26" s="1">
        <v>3</v>
      </c>
      <c r="H26" s="1">
        <v>1.43</v>
      </c>
    </row>
    <row r="27" spans="1:8" x14ac:dyDescent="0.3">
      <c r="A27" t="str">
        <f t="shared" si="0"/>
        <v>A:T</v>
      </c>
      <c r="B27">
        <f t="shared" si="1"/>
        <v>2705</v>
      </c>
      <c r="E27" s="1" t="s">
        <v>7</v>
      </c>
      <c r="F27" s="1">
        <v>45</v>
      </c>
      <c r="G27" s="1">
        <v>3</v>
      </c>
      <c r="H27" s="1">
        <v>1.43</v>
      </c>
    </row>
    <row r="28" spans="1:8" x14ac:dyDescent="0.3">
      <c r="A28" t="str">
        <f t="shared" si="0"/>
        <v>A:T</v>
      </c>
      <c r="B28">
        <f t="shared" si="1"/>
        <v>2905</v>
      </c>
      <c r="E28" s="1" t="s">
        <v>96</v>
      </c>
      <c r="F28" s="1">
        <v>47</v>
      </c>
      <c r="G28" s="1">
        <v>4</v>
      </c>
      <c r="H28" s="1">
        <v>1.42</v>
      </c>
    </row>
    <row r="29" spans="1:8" x14ac:dyDescent="0.3">
      <c r="A29" t="str">
        <f t="shared" si="0"/>
        <v>A:T</v>
      </c>
      <c r="B29">
        <f t="shared" si="1"/>
        <v>1605</v>
      </c>
      <c r="E29" s="1" t="s">
        <v>137</v>
      </c>
      <c r="F29" s="1">
        <v>49</v>
      </c>
      <c r="G29" s="1">
        <v>5</v>
      </c>
      <c r="H29" s="1">
        <v>1.42</v>
      </c>
    </row>
    <row r="30" spans="1:8" x14ac:dyDescent="0.3">
      <c r="A30" t="str">
        <f t="shared" si="0"/>
        <v>A:T</v>
      </c>
      <c r="B30">
        <f t="shared" si="1"/>
        <v>11105</v>
      </c>
      <c r="E30" s="1" t="s">
        <v>277</v>
      </c>
      <c r="F30" s="1">
        <v>55</v>
      </c>
      <c r="G30" s="1">
        <v>8</v>
      </c>
      <c r="H30" s="1">
        <v>1.4</v>
      </c>
    </row>
    <row r="31" spans="1:8" x14ac:dyDescent="0.3">
      <c r="A31" t="str">
        <f t="shared" si="0"/>
        <v>A:T</v>
      </c>
      <c r="B31">
        <f t="shared" si="1"/>
        <v>3105</v>
      </c>
      <c r="E31" s="1" t="s">
        <v>93</v>
      </c>
      <c r="F31" s="1">
        <v>56</v>
      </c>
      <c r="G31" s="1">
        <v>5</v>
      </c>
      <c r="H31" s="1">
        <v>1.4</v>
      </c>
    </row>
    <row r="32" spans="1:8" x14ac:dyDescent="0.3">
      <c r="A32" t="str">
        <f t="shared" si="0"/>
        <v>A:T</v>
      </c>
      <c r="B32">
        <f t="shared" si="1"/>
        <v>5705</v>
      </c>
      <c r="E32" s="1" t="s">
        <v>120</v>
      </c>
      <c r="F32" s="1">
        <v>58</v>
      </c>
      <c r="G32" s="1">
        <v>6</v>
      </c>
      <c r="H32" s="1">
        <v>1.39</v>
      </c>
    </row>
    <row r="33" spans="1:8" x14ac:dyDescent="0.3">
      <c r="A33" t="str">
        <f t="shared" si="0"/>
        <v>A:T</v>
      </c>
      <c r="B33">
        <f t="shared" si="1"/>
        <v>4905</v>
      </c>
      <c r="E33" s="1" t="s">
        <v>108</v>
      </c>
      <c r="F33" s="1">
        <v>60</v>
      </c>
      <c r="G33" s="1">
        <v>3</v>
      </c>
      <c r="H33" s="1">
        <v>1.38</v>
      </c>
    </row>
    <row r="34" spans="1:8" x14ac:dyDescent="0.3">
      <c r="A34" t="str">
        <f t="shared" si="0"/>
        <v>A:T</v>
      </c>
      <c r="B34">
        <f t="shared" si="1"/>
        <v>15805</v>
      </c>
      <c r="E34" s="1" t="s">
        <v>470</v>
      </c>
      <c r="F34" s="1">
        <v>64</v>
      </c>
      <c r="G34" s="1">
        <v>3</v>
      </c>
      <c r="H34" s="1">
        <v>1.37</v>
      </c>
    </row>
    <row r="35" spans="1:8" x14ac:dyDescent="0.3">
      <c r="A35" t="str">
        <f t="shared" si="0"/>
        <v>A:T</v>
      </c>
      <c r="B35">
        <f t="shared" si="1"/>
        <v>14405</v>
      </c>
      <c r="E35" s="1" t="s">
        <v>302</v>
      </c>
      <c r="F35" s="1">
        <v>65</v>
      </c>
      <c r="G35" s="1">
        <v>7</v>
      </c>
      <c r="H35" s="1">
        <v>1.37</v>
      </c>
    </row>
    <row r="36" spans="1:8" x14ac:dyDescent="0.3">
      <c r="A36" t="str">
        <f t="shared" si="0"/>
        <v>A:T</v>
      </c>
      <c r="B36">
        <f t="shared" si="1"/>
        <v>3705</v>
      </c>
      <c r="E36" s="1" t="s">
        <v>115</v>
      </c>
      <c r="F36" s="1">
        <v>68</v>
      </c>
      <c r="G36" s="1">
        <v>8</v>
      </c>
      <c r="H36" s="1">
        <v>1.36</v>
      </c>
    </row>
    <row r="37" spans="1:8" x14ac:dyDescent="0.3">
      <c r="A37" t="str">
        <f t="shared" si="0"/>
        <v>A:T</v>
      </c>
      <c r="B37">
        <f t="shared" si="1"/>
        <v>4005</v>
      </c>
      <c r="E37" s="1" t="s">
        <v>105</v>
      </c>
      <c r="F37" s="1">
        <v>70</v>
      </c>
      <c r="G37" s="1">
        <v>4</v>
      </c>
      <c r="H37" s="1">
        <v>1.35</v>
      </c>
    </row>
    <row r="38" spans="1:8" x14ac:dyDescent="0.3">
      <c r="A38" t="str">
        <f t="shared" si="0"/>
        <v>A:T</v>
      </c>
      <c r="B38">
        <f t="shared" si="1"/>
        <v>2805</v>
      </c>
      <c r="E38" s="1" t="s">
        <v>106</v>
      </c>
      <c r="F38" s="1">
        <v>77</v>
      </c>
      <c r="G38" s="1">
        <v>7</v>
      </c>
      <c r="H38" s="1">
        <v>1.34</v>
      </c>
    </row>
    <row r="39" spans="1:8" x14ac:dyDescent="0.3">
      <c r="A39" t="str">
        <f t="shared" si="0"/>
        <v>A:T</v>
      </c>
      <c r="B39">
        <f t="shared" si="1"/>
        <v>3205</v>
      </c>
      <c r="E39" s="1" t="s">
        <v>127</v>
      </c>
      <c r="F39" s="1">
        <v>80</v>
      </c>
      <c r="G39" s="1">
        <v>8</v>
      </c>
      <c r="H39" s="1">
        <v>1.33</v>
      </c>
    </row>
    <row r="40" spans="1:8" x14ac:dyDescent="0.3">
      <c r="A40" t="str">
        <f t="shared" si="0"/>
        <v>A:T</v>
      </c>
      <c r="B40">
        <f t="shared" si="1"/>
        <v>12205</v>
      </c>
      <c r="E40" s="1" t="s">
        <v>284</v>
      </c>
      <c r="F40" s="1">
        <v>81</v>
      </c>
      <c r="G40" s="1">
        <v>4</v>
      </c>
      <c r="H40" s="1">
        <v>1.33</v>
      </c>
    </row>
    <row r="41" spans="1:8" x14ac:dyDescent="0.3">
      <c r="A41" t="str">
        <f t="shared" si="0"/>
        <v>A:T</v>
      </c>
      <c r="B41">
        <f t="shared" si="1"/>
        <v>4705</v>
      </c>
      <c r="E41" s="1" t="s">
        <v>107</v>
      </c>
      <c r="F41" s="1">
        <v>94</v>
      </c>
      <c r="G41" s="1">
        <v>5</v>
      </c>
      <c r="H41" s="1">
        <v>1.3</v>
      </c>
    </row>
    <row r="42" spans="1:8" x14ac:dyDescent="0.3">
      <c r="A42" t="str">
        <f t="shared" si="0"/>
        <v>A:T</v>
      </c>
      <c r="B42">
        <f t="shared" si="1"/>
        <v>6705</v>
      </c>
      <c r="E42" s="1" t="s">
        <v>118</v>
      </c>
      <c r="F42" s="1">
        <v>96</v>
      </c>
      <c r="G42" s="1">
        <v>9</v>
      </c>
      <c r="H42" s="1">
        <v>1.3</v>
      </c>
    </row>
    <row r="43" spans="1:8" x14ac:dyDescent="0.3">
      <c r="A43" t="str">
        <f t="shared" si="0"/>
        <v>A:T</v>
      </c>
      <c r="B43">
        <f t="shared" si="1"/>
        <v>205</v>
      </c>
      <c r="E43" s="1" t="s">
        <v>98</v>
      </c>
      <c r="F43" s="1">
        <v>101</v>
      </c>
      <c r="G43" s="1">
        <v>1</v>
      </c>
      <c r="H43" s="1">
        <v>1.29</v>
      </c>
    </row>
    <row r="44" spans="1:8" x14ac:dyDescent="0.3">
      <c r="A44" t="str">
        <f t="shared" si="0"/>
        <v>A:T</v>
      </c>
      <c r="B44">
        <f t="shared" si="1"/>
        <v>16205</v>
      </c>
      <c r="E44" s="1" t="s">
        <v>497</v>
      </c>
      <c r="F44" s="1">
        <v>108</v>
      </c>
      <c r="G44" s="1">
        <v>1</v>
      </c>
      <c r="H44" s="1">
        <v>1.28</v>
      </c>
    </row>
    <row r="45" spans="1:8" x14ac:dyDescent="0.3">
      <c r="A45" t="str">
        <f t="shared" si="0"/>
        <v>A:T</v>
      </c>
      <c r="B45">
        <f t="shared" si="1"/>
        <v>4305</v>
      </c>
      <c r="E45" s="1" t="s">
        <v>125</v>
      </c>
      <c r="F45" s="1">
        <v>112</v>
      </c>
      <c r="G45" s="1">
        <v>11</v>
      </c>
      <c r="H45" s="1">
        <v>1.27</v>
      </c>
    </row>
    <row r="46" spans="1:8" x14ac:dyDescent="0.3">
      <c r="A46" t="str">
        <f t="shared" si="0"/>
        <v>A:T</v>
      </c>
      <c r="B46">
        <f t="shared" si="1"/>
        <v>6905</v>
      </c>
      <c r="E46" s="1" t="s">
        <v>114</v>
      </c>
      <c r="F46" s="1">
        <v>116</v>
      </c>
      <c r="G46" s="1">
        <v>12</v>
      </c>
      <c r="H46" s="1">
        <v>1.27</v>
      </c>
    </row>
    <row r="47" spans="1:8" x14ac:dyDescent="0.3">
      <c r="A47" t="str">
        <f t="shared" si="0"/>
        <v>A:T</v>
      </c>
      <c r="B47">
        <f t="shared" si="1"/>
        <v>14105</v>
      </c>
      <c r="E47" s="1" t="s">
        <v>299</v>
      </c>
      <c r="F47" s="1">
        <v>121</v>
      </c>
      <c r="G47" s="1">
        <v>10</v>
      </c>
      <c r="H47" s="1">
        <v>1.26</v>
      </c>
    </row>
    <row r="48" spans="1:8" x14ac:dyDescent="0.3">
      <c r="A48" t="str">
        <f t="shared" si="0"/>
        <v>A:T</v>
      </c>
      <c r="B48">
        <f t="shared" si="1"/>
        <v>14905</v>
      </c>
      <c r="E48" s="1" t="s">
        <v>307</v>
      </c>
      <c r="F48" s="1">
        <v>123</v>
      </c>
      <c r="G48" s="1">
        <v>3</v>
      </c>
      <c r="H48" s="1">
        <v>1.26</v>
      </c>
    </row>
    <row r="49" spans="1:8" x14ac:dyDescent="0.3">
      <c r="A49" t="str">
        <f t="shared" si="0"/>
        <v>A:T</v>
      </c>
      <c r="B49">
        <f t="shared" si="1"/>
        <v>10605</v>
      </c>
      <c r="E49" s="1" t="s">
        <v>161</v>
      </c>
      <c r="F49" s="1">
        <v>128</v>
      </c>
      <c r="G49" s="1">
        <v>2</v>
      </c>
      <c r="H49" s="1">
        <v>1.25</v>
      </c>
    </row>
    <row r="50" spans="1:8" x14ac:dyDescent="0.3">
      <c r="A50" t="str">
        <f t="shared" si="0"/>
        <v>A:T</v>
      </c>
      <c r="B50">
        <f t="shared" si="1"/>
        <v>605</v>
      </c>
      <c r="E50" s="1" t="s">
        <v>100</v>
      </c>
      <c r="F50" s="1">
        <v>131</v>
      </c>
      <c r="G50" s="1">
        <v>11</v>
      </c>
      <c r="H50" s="1">
        <v>1.25</v>
      </c>
    </row>
    <row r="51" spans="1:8" x14ac:dyDescent="0.3">
      <c r="A51" t="str">
        <f t="shared" si="0"/>
        <v>A:T</v>
      </c>
      <c r="B51">
        <f t="shared" si="1"/>
        <v>18305</v>
      </c>
      <c r="E51" s="1" t="s">
        <v>423</v>
      </c>
      <c r="F51" s="1">
        <v>132</v>
      </c>
      <c r="G51" s="1">
        <v>3</v>
      </c>
      <c r="H51" s="1">
        <v>1.25</v>
      </c>
    </row>
    <row r="52" spans="1:8" x14ac:dyDescent="0.3">
      <c r="A52" t="str">
        <f t="shared" si="0"/>
        <v>A:T</v>
      </c>
      <c r="B52">
        <f t="shared" si="1"/>
        <v>11705</v>
      </c>
      <c r="E52" s="1" t="s">
        <v>280</v>
      </c>
      <c r="F52" s="1">
        <v>133</v>
      </c>
      <c r="G52" s="1">
        <v>4</v>
      </c>
      <c r="H52" s="1">
        <v>1.25</v>
      </c>
    </row>
    <row r="53" spans="1:8" x14ac:dyDescent="0.3">
      <c r="A53" t="str">
        <f t="shared" si="0"/>
        <v>A:T</v>
      </c>
      <c r="B53">
        <f t="shared" si="1"/>
        <v>15105</v>
      </c>
      <c r="E53" s="1" t="s">
        <v>464</v>
      </c>
      <c r="F53" s="1">
        <v>134</v>
      </c>
      <c r="G53" s="1">
        <v>4</v>
      </c>
      <c r="H53" s="1">
        <v>1.25</v>
      </c>
    </row>
    <row r="54" spans="1:8" x14ac:dyDescent="0.3">
      <c r="A54" t="str">
        <f t="shared" si="0"/>
        <v>A:T</v>
      </c>
      <c r="B54">
        <f t="shared" si="1"/>
        <v>8105</v>
      </c>
      <c r="E54" s="1" t="s">
        <v>256</v>
      </c>
      <c r="F54" s="1">
        <v>139</v>
      </c>
      <c r="G54" s="1">
        <v>11</v>
      </c>
      <c r="H54" s="1">
        <v>1.23</v>
      </c>
    </row>
    <row r="55" spans="1:8" x14ac:dyDescent="0.3">
      <c r="A55" t="str">
        <f t="shared" si="0"/>
        <v>A:T</v>
      </c>
      <c r="B55">
        <f t="shared" si="1"/>
        <v>13105</v>
      </c>
      <c r="E55" s="1" t="s">
        <v>289</v>
      </c>
      <c r="F55" s="1">
        <v>142</v>
      </c>
      <c r="G55" s="1">
        <v>9</v>
      </c>
      <c r="H55" s="1">
        <v>1.23</v>
      </c>
    </row>
    <row r="56" spans="1:8" x14ac:dyDescent="0.3">
      <c r="A56" t="str">
        <f t="shared" si="0"/>
        <v>A:T</v>
      </c>
      <c r="B56">
        <f t="shared" si="1"/>
        <v>9505</v>
      </c>
      <c r="E56" s="1" t="s">
        <v>85</v>
      </c>
      <c r="F56" s="1">
        <v>147</v>
      </c>
      <c r="G56" s="1">
        <v>7</v>
      </c>
      <c r="H56" s="1">
        <v>1.22</v>
      </c>
    </row>
    <row r="57" spans="1:8" x14ac:dyDescent="0.3">
      <c r="A57" t="str">
        <f t="shared" si="0"/>
        <v>A:T</v>
      </c>
      <c r="B57">
        <f t="shared" si="1"/>
        <v>15405</v>
      </c>
      <c r="E57" s="1" t="s">
        <v>494</v>
      </c>
      <c r="F57" s="1">
        <v>163</v>
      </c>
      <c r="G57" s="1">
        <v>3</v>
      </c>
      <c r="H57" s="1">
        <v>1.19</v>
      </c>
    </row>
    <row r="58" spans="1:8" x14ac:dyDescent="0.3">
      <c r="A58" t="str">
        <f t="shared" si="0"/>
        <v>A:T</v>
      </c>
      <c r="B58">
        <f t="shared" si="1"/>
        <v>1205</v>
      </c>
      <c r="E58" s="1" t="s">
        <v>130</v>
      </c>
      <c r="F58" s="1">
        <v>165</v>
      </c>
      <c r="G58" s="1">
        <v>6</v>
      </c>
      <c r="H58" s="1">
        <v>1.19</v>
      </c>
    </row>
    <row r="59" spans="1:8" x14ac:dyDescent="0.3">
      <c r="A59" t="str">
        <f t="shared" si="0"/>
        <v>A:T</v>
      </c>
      <c r="B59">
        <f t="shared" si="1"/>
        <v>18405</v>
      </c>
      <c r="E59" s="1" t="s">
        <v>417</v>
      </c>
      <c r="F59" s="1">
        <v>178</v>
      </c>
      <c r="G59" s="1">
        <v>2</v>
      </c>
      <c r="H59" s="1">
        <v>1.1599999999999999</v>
      </c>
    </row>
    <row r="60" spans="1:8" x14ac:dyDescent="0.3">
      <c r="A60" t="str">
        <f t="shared" si="0"/>
        <v>A:T</v>
      </c>
      <c r="B60">
        <f t="shared" si="1"/>
        <v>15605</v>
      </c>
      <c r="E60" s="1" t="s">
        <v>468</v>
      </c>
      <c r="F60" s="1">
        <v>190</v>
      </c>
      <c r="G60" s="1">
        <v>7</v>
      </c>
      <c r="H60" s="1">
        <v>1.1299999999999999</v>
      </c>
    </row>
    <row r="61" spans="1:8" x14ac:dyDescent="0.3">
      <c r="A61" t="str">
        <f t="shared" si="0"/>
        <v>A:T</v>
      </c>
      <c r="B61">
        <f t="shared" si="1"/>
        <v>7605</v>
      </c>
      <c r="E61" s="1" t="s">
        <v>253</v>
      </c>
      <c r="F61" s="1">
        <v>192</v>
      </c>
      <c r="G61" s="1">
        <v>17</v>
      </c>
      <c r="H61" s="1">
        <v>1.1299999999999999</v>
      </c>
    </row>
    <row r="62" spans="1:8" x14ac:dyDescent="0.3">
      <c r="A62" t="str">
        <f t="shared" si="0"/>
        <v>A:T</v>
      </c>
      <c r="B62">
        <f t="shared" si="1"/>
        <v>2005</v>
      </c>
      <c r="E62" s="1" t="s">
        <v>328</v>
      </c>
      <c r="F62" s="1">
        <v>200</v>
      </c>
      <c r="G62" s="1">
        <v>2</v>
      </c>
      <c r="H62" s="1">
        <v>1.1200000000000001</v>
      </c>
    </row>
    <row r="63" spans="1:8" x14ac:dyDescent="0.3">
      <c r="A63" t="str">
        <f t="shared" si="0"/>
        <v>A:T</v>
      </c>
      <c r="B63">
        <f t="shared" si="1"/>
        <v>3805</v>
      </c>
      <c r="E63" s="1" t="s">
        <v>238</v>
      </c>
      <c r="F63" s="1">
        <v>202</v>
      </c>
      <c r="G63" s="1">
        <v>12</v>
      </c>
      <c r="H63" s="1">
        <v>1.1100000000000001</v>
      </c>
    </row>
    <row r="64" spans="1:8" x14ac:dyDescent="0.3">
      <c r="A64" t="str">
        <f t="shared" si="0"/>
        <v>A:T</v>
      </c>
      <c r="B64">
        <f t="shared" si="1"/>
        <v>15905</v>
      </c>
      <c r="E64" s="1" t="s">
        <v>495</v>
      </c>
      <c r="F64" s="1">
        <v>211</v>
      </c>
      <c r="G64" s="1">
        <v>3</v>
      </c>
      <c r="H64" s="1">
        <v>1.1000000000000001</v>
      </c>
    </row>
    <row r="65" spans="1:10" x14ac:dyDescent="0.3">
      <c r="A65" t="str">
        <f t="shared" si="0"/>
        <v>A:T</v>
      </c>
      <c r="B65">
        <f t="shared" si="1"/>
        <v>5805</v>
      </c>
      <c r="E65" s="1" t="s">
        <v>139</v>
      </c>
      <c r="F65" s="1">
        <v>242</v>
      </c>
      <c r="G65" s="1">
        <v>3</v>
      </c>
      <c r="H65" s="1">
        <v>1.05</v>
      </c>
    </row>
    <row r="66" spans="1:10" x14ac:dyDescent="0.3">
      <c r="A66" t="str">
        <f t="shared" ref="A66:A129" si="2">IF(NOT(D66=""),INDEX(statAbbr,MATCH(D66,statOfficial,0),1),A65)</f>
        <v>A:T</v>
      </c>
      <c r="B66">
        <f t="shared" ref="B66:B129" si="3">INDEX(statID,MATCH(A66,statAbbr,0),1)+INDEX(teamID,MATCH(E66,teamRawName,0))</f>
        <v>6605</v>
      </c>
      <c r="E66" s="1" t="s">
        <v>247</v>
      </c>
      <c r="F66" s="1">
        <v>251</v>
      </c>
      <c r="G66" s="1">
        <v>9</v>
      </c>
      <c r="H66" s="1">
        <v>1.04</v>
      </c>
    </row>
    <row r="67" spans="1:10" x14ac:dyDescent="0.3">
      <c r="A67" t="str">
        <f t="shared" si="2"/>
        <v>A:T</v>
      </c>
      <c r="B67">
        <f t="shared" si="3"/>
        <v>15705</v>
      </c>
      <c r="E67" s="1" t="s">
        <v>469</v>
      </c>
      <c r="F67" s="1">
        <v>258</v>
      </c>
      <c r="G67" s="1">
        <v>9</v>
      </c>
      <c r="H67" s="1">
        <v>1.03</v>
      </c>
    </row>
    <row r="68" spans="1:10" x14ac:dyDescent="0.3">
      <c r="A68" t="str">
        <f t="shared" si="2"/>
        <v>A:T</v>
      </c>
      <c r="B68">
        <f t="shared" si="3"/>
        <v>16105</v>
      </c>
      <c r="E68" s="1" t="s">
        <v>473</v>
      </c>
      <c r="F68" s="1">
        <v>278</v>
      </c>
      <c r="G68" s="1">
        <v>10</v>
      </c>
      <c r="H68" s="1">
        <v>1</v>
      </c>
    </row>
    <row r="69" spans="1:10" x14ac:dyDescent="0.3">
      <c r="A69" t="str">
        <f t="shared" si="2"/>
        <v>A:T</v>
      </c>
      <c r="B69">
        <f t="shared" si="3"/>
        <v>3605</v>
      </c>
      <c r="E69" s="1" t="s">
        <v>129</v>
      </c>
      <c r="F69" s="1">
        <v>286</v>
      </c>
      <c r="G69" s="1">
        <v>14</v>
      </c>
      <c r="H69" s="1">
        <v>0.98</v>
      </c>
    </row>
    <row r="70" spans="1:10" x14ac:dyDescent="0.3">
      <c r="A70" t="str">
        <f t="shared" si="2"/>
        <v>A:T</v>
      </c>
      <c r="B70">
        <f t="shared" si="3"/>
        <v>13905</v>
      </c>
      <c r="E70" s="1" t="s">
        <v>297</v>
      </c>
      <c r="F70" s="1">
        <v>298</v>
      </c>
      <c r="G70" s="1">
        <v>16</v>
      </c>
      <c r="H70" s="1">
        <v>0.96</v>
      </c>
    </row>
    <row r="71" spans="1:10" x14ac:dyDescent="0.3">
      <c r="A71" t="str">
        <f t="shared" si="2"/>
        <v>A:T</v>
      </c>
      <c r="B71">
        <f t="shared" si="3"/>
        <v>18505</v>
      </c>
      <c r="E71" s="1" t="s">
        <v>420</v>
      </c>
      <c r="F71" s="1">
        <v>331</v>
      </c>
      <c r="G71" s="1">
        <v>8</v>
      </c>
      <c r="H71" s="1">
        <v>0.88</v>
      </c>
    </row>
    <row r="72" spans="1:10" x14ac:dyDescent="0.3">
      <c r="A72" t="str">
        <f t="shared" si="2"/>
        <v>APG</v>
      </c>
      <c r="B72">
        <f t="shared" si="3"/>
        <v>4406</v>
      </c>
      <c r="D72" s="1" t="s">
        <v>538</v>
      </c>
      <c r="E72" s="1" t="s">
        <v>83</v>
      </c>
      <c r="F72" s="1">
        <v>1</v>
      </c>
      <c r="G72" s="1">
        <v>1</v>
      </c>
      <c r="H72" s="1">
        <v>19.7</v>
      </c>
      <c r="I72" s="1" t="s">
        <v>83</v>
      </c>
      <c r="J72" s="1">
        <v>19.7</v>
      </c>
    </row>
    <row r="73" spans="1:10" x14ac:dyDescent="0.3">
      <c r="A73" t="str">
        <f t="shared" si="2"/>
        <v>APG</v>
      </c>
      <c r="B73">
        <f t="shared" si="3"/>
        <v>8206</v>
      </c>
      <c r="E73" s="1" t="s">
        <v>131</v>
      </c>
      <c r="F73" s="1">
        <v>4</v>
      </c>
      <c r="G73" s="1">
        <v>1</v>
      </c>
      <c r="H73" s="1">
        <v>17.7</v>
      </c>
    </row>
    <row r="74" spans="1:10" x14ac:dyDescent="0.3">
      <c r="A74" t="str">
        <f t="shared" si="2"/>
        <v>APG</v>
      </c>
      <c r="B74">
        <f t="shared" si="3"/>
        <v>3906</v>
      </c>
      <c r="E74" s="1" t="s">
        <v>88</v>
      </c>
      <c r="F74" s="1">
        <v>5</v>
      </c>
      <c r="G74" s="1">
        <v>1</v>
      </c>
      <c r="H74" s="1">
        <v>17.7</v>
      </c>
    </row>
    <row r="75" spans="1:10" x14ac:dyDescent="0.3">
      <c r="A75" t="str">
        <f t="shared" si="2"/>
        <v>APG</v>
      </c>
      <c r="B75">
        <f t="shared" si="3"/>
        <v>2306</v>
      </c>
      <c r="E75" s="1" t="s">
        <v>79</v>
      </c>
      <c r="F75" s="1">
        <v>9</v>
      </c>
      <c r="G75" s="1">
        <v>1</v>
      </c>
      <c r="H75" s="1">
        <v>17.3</v>
      </c>
    </row>
    <row r="76" spans="1:10" x14ac:dyDescent="0.3">
      <c r="A76" t="str">
        <f t="shared" si="2"/>
        <v>APG</v>
      </c>
      <c r="B76">
        <f t="shared" si="3"/>
        <v>2706</v>
      </c>
      <c r="E76" s="1" t="s">
        <v>7</v>
      </c>
      <c r="F76" s="1">
        <v>10</v>
      </c>
      <c r="G76" s="1">
        <v>3</v>
      </c>
      <c r="H76" s="1">
        <v>17.3</v>
      </c>
    </row>
    <row r="77" spans="1:10" x14ac:dyDescent="0.3">
      <c r="A77" t="str">
        <f t="shared" si="2"/>
        <v>APG</v>
      </c>
      <c r="B77">
        <f t="shared" si="3"/>
        <v>3706</v>
      </c>
      <c r="E77" s="1" t="s">
        <v>115</v>
      </c>
      <c r="F77" s="1">
        <v>13</v>
      </c>
      <c r="G77" s="1">
        <v>1</v>
      </c>
      <c r="H77" s="1">
        <v>17.2</v>
      </c>
    </row>
    <row r="78" spans="1:10" x14ac:dyDescent="0.3">
      <c r="A78" t="str">
        <f t="shared" si="2"/>
        <v>APG</v>
      </c>
      <c r="B78">
        <f t="shared" si="3"/>
        <v>1406</v>
      </c>
      <c r="E78" s="1" t="s">
        <v>102</v>
      </c>
      <c r="F78" s="1">
        <v>14</v>
      </c>
      <c r="G78" s="1">
        <v>1</v>
      </c>
      <c r="H78" s="1">
        <v>17.100000000000001</v>
      </c>
    </row>
    <row r="79" spans="1:10" x14ac:dyDescent="0.3">
      <c r="A79" t="str">
        <f t="shared" si="2"/>
        <v>APG</v>
      </c>
      <c r="B79">
        <f t="shared" si="3"/>
        <v>3106</v>
      </c>
      <c r="E79" s="1" t="s">
        <v>93</v>
      </c>
      <c r="F79" s="1">
        <v>16</v>
      </c>
      <c r="G79" s="1">
        <v>2</v>
      </c>
      <c r="H79" s="1">
        <v>17.100000000000001</v>
      </c>
    </row>
    <row r="80" spans="1:10" x14ac:dyDescent="0.3">
      <c r="A80" t="str">
        <f t="shared" si="2"/>
        <v>APG</v>
      </c>
      <c r="B80">
        <f t="shared" si="3"/>
        <v>5406</v>
      </c>
      <c r="E80" s="1" t="s">
        <v>94</v>
      </c>
      <c r="F80" s="1">
        <v>17</v>
      </c>
      <c r="G80" s="1">
        <v>1</v>
      </c>
      <c r="H80" s="1">
        <v>17</v>
      </c>
    </row>
    <row r="81" spans="1:8" x14ac:dyDescent="0.3">
      <c r="A81" t="str">
        <f t="shared" si="2"/>
        <v>APG</v>
      </c>
      <c r="B81">
        <f t="shared" si="3"/>
        <v>5506</v>
      </c>
      <c r="E81" s="1" t="s">
        <v>86</v>
      </c>
      <c r="F81" s="1">
        <v>20</v>
      </c>
      <c r="G81" s="1">
        <v>2</v>
      </c>
      <c r="H81" s="1">
        <v>16.899999999999999</v>
      </c>
    </row>
    <row r="82" spans="1:8" x14ac:dyDescent="0.3">
      <c r="A82" t="str">
        <f t="shared" si="2"/>
        <v>APG</v>
      </c>
      <c r="B82">
        <f t="shared" si="3"/>
        <v>5106</v>
      </c>
      <c r="E82" s="1" t="s">
        <v>240</v>
      </c>
      <c r="F82" s="1">
        <v>21</v>
      </c>
      <c r="G82" s="1">
        <v>1</v>
      </c>
      <c r="H82" s="1">
        <v>16.8</v>
      </c>
    </row>
    <row r="83" spans="1:8" x14ac:dyDescent="0.3">
      <c r="A83" t="str">
        <f t="shared" si="2"/>
        <v>APG</v>
      </c>
      <c r="B83">
        <f t="shared" si="3"/>
        <v>7406</v>
      </c>
      <c r="E83" s="1" t="s">
        <v>251</v>
      </c>
      <c r="F83" s="1">
        <v>22</v>
      </c>
      <c r="G83" s="1">
        <v>3</v>
      </c>
      <c r="H83" s="1">
        <v>16.7</v>
      </c>
    </row>
    <row r="84" spans="1:8" x14ac:dyDescent="0.3">
      <c r="A84" t="str">
        <f t="shared" si="2"/>
        <v>APG</v>
      </c>
      <c r="B84">
        <f t="shared" si="3"/>
        <v>906</v>
      </c>
      <c r="E84" s="1" t="s">
        <v>90</v>
      </c>
      <c r="F84" s="1">
        <v>24</v>
      </c>
      <c r="G84" s="1">
        <v>2</v>
      </c>
      <c r="H84" s="1">
        <v>16.600000000000001</v>
      </c>
    </row>
    <row r="85" spans="1:8" x14ac:dyDescent="0.3">
      <c r="A85" t="str">
        <f t="shared" si="2"/>
        <v>APG</v>
      </c>
      <c r="B85">
        <f t="shared" si="3"/>
        <v>1306</v>
      </c>
      <c r="E85" s="1" t="s">
        <v>82</v>
      </c>
      <c r="F85" s="1">
        <v>26</v>
      </c>
      <c r="G85" s="1">
        <v>2</v>
      </c>
      <c r="H85" s="1">
        <v>16.5</v>
      </c>
    </row>
    <row r="86" spans="1:8" x14ac:dyDescent="0.3">
      <c r="A86" t="str">
        <f t="shared" si="2"/>
        <v>APG</v>
      </c>
      <c r="B86">
        <f t="shared" si="3"/>
        <v>12506</v>
      </c>
      <c r="E86" s="1" t="s">
        <v>95</v>
      </c>
      <c r="F86" s="1">
        <v>28</v>
      </c>
      <c r="G86" s="1">
        <v>3</v>
      </c>
      <c r="H86" s="1">
        <v>16.399999999999999</v>
      </c>
    </row>
    <row r="87" spans="1:8" x14ac:dyDescent="0.3">
      <c r="A87" t="str">
        <f t="shared" si="2"/>
        <v>APG</v>
      </c>
      <c r="B87">
        <f t="shared" si="3"/>
        <v>7206</v>
      </c>
      <c r="E87" s="1" t="s">
        <v>116</v>
      </c>
      <c r="F87" s="1">
        <v>29</v>
      </c>
      <c r="G87" s="1">
        <v>4</v>
      </c>
      <c r="H87" s="1">
        <v>16.399999999999999</v>
      </c>
    </row>
    <row r="88" spans="1:8" x14ac:dyDescent="0.3">
      <c r="A88" t="str">
        <f t="shared" si="2"/>
        <v>APG</v>
      </c>
      <c r="B88">
        <f t="shared" si="3"/>
        <v>9006</v>
      </c>
      <c r="E88" s="1" t="s">
        <v>261</v>
      </c>
      <c r="F88" s="1">
        <v>31</v>
      </c>
      <c r="G88" s="1">
        <v>3</v>
      </c>
      <c r="H88" s="1">
        <v>16.3</v>
      </c>
    </row>
    <row r="89" spans="1:8" x14ac:dyDescent="0.3">
      <c r="A89" t="str">
        <f t="shared" si="2"/>
        <v>APG</v>
      </c>
      <c r="B89">
        <f t="shared" si="3"/>
        <v>2906</v>
      </c>
      <c r="E89" s="1" t="s">
        <v>96</v>
      </c>
      <c r="F89" s="1">
        <v>34</v>
      </c>
      <c r="G89" s="1">
        <v>5</v>
      </c>
      <c r="H89" s="1">
        <v>16.2</v>
      </c>
    </row>
    <row r="90" spans="1:8" x14ac:dyDescent="0.3">
      <c r="A90" t="str">
        <f t="shared" si="2"/>
        <v>APG</v>
      </c>
      <c r="B90">
        <f t="shared" si="3"/>
        <v>4506</v>
      </c>
      <c r="E90" s="1" t="s">
        <v>84</v>
      </c>
      <c r="F90" s="1">
        <v>35</v>
      </c>
      <c r="G90" s="1">
        <v>3</v>
      </c>
      <c r="H90" s="1">
        <v>16.100000000000001</v>
      </c>
    </row>
    <row r="91" spans="1:8" x14ac:dyDescent="0.3">
      <c r="A91" t="str">
        <f t="shared" si="2"/>
        <v>APG</v>
      </c>
      <c r="B91">
        <f t="shared" si="3"/>
        <v>15106</v>
      </c>
      <c r="E91" s="1" t="s">
        <v>464</v>
      </c>
      <c r="F91" s="1">
        <v>38</v>
      </c>
      <c r="G91" s="1">
        <v>1</v>
      </c>
      <c r="H91" s="1">
        <v>16.100000000000001</v>
      </c>
    </row>
    <row r="92" spans="1:8" x14ac:dyDescent="0.3">
      <c r="A92" t="str">
        <f t="shared" si="2"/>
        <v>APG</v>
      </c>
      <c r="B92">
        <f t="shared" si="3"/>
        <v>3006</v>
      </c>
      <c r="E92" s="1" t="s">
        <v>89</v>
      </c>
      <c r="F92" s="1">
        <v>41</v>
      </c>
      <c r="G92" s="1">
        <v>5</v>
      </c>
      <c r="H92" s="1">
        <v>15.9</v>
      </c>
    </row>
    <row r="93" spans="1:8" x14ac:dyDescent="0.3">
      <c r="A93" t="str">
        <f t="shared" si="2"/>
        <v>APG</v>
      </c>
      <c r="B93">
        <f t="shared" si="3"/>
        <v>7606</v>
      </c>
      <c r="E93" s="1" t="s">
        <v>253</v>
      </c>
      <c r="F93" s="1">
        <v>47</v>
      </c>
      <c r="G93" s="1">
        <v>7</v>
      </c>
      <c r="H93" s="1">
        <v>15.8</v>
      </c>
    </row>
    <row r="94" spans="1:8" x14ac:dyDescent="0.3">
      <c r="A94" t="str">
        <f t="shared" si="2"/>
        <v>APG</v>
      </c>
      <c r="B94">
        <f t="shared" si="3"/>
        <v>15006</v>
      </c>
      <c r="E94" s="1" t="s">
        <v>463</v>
      </c>
      <c r="F94" s="1">
        <v>51</v>
      </c>
      <c r="G94" s="1">
        <v>2</v>
      </c>
      <c r="H94" s="1">
        <v>15.7</v>
      </c>
    </row>
    <row r="95" spans="1:8" x14ac:dyDescent="0.3">
      <c r="A95" t="str">
        <f t="shared" si="2"/>
        <v>APG</v>
      </c>
      <c r="B95">
        <f t="shared" si="3"/>
        <v>9306</v>
      </c>
      <c r="E95" s="1" t="s">
        <v>357</v>
      </c>
      <c r="F95" s="1">
        <v>52</v>
      </c>
      <c r="G95" s="1">
        <v>4</v>
      </c>
      <c r="H95" s="1">
        <v>15.7</v>
      </c>
    </row>
    <row r="96" spans="1:8" x14ac:dyDescent="0.3">
      <c r="A96" t="str">
        <f t="shared" si="2"/>
        <v>APG</v>
      </c>
      <c r="B96">
        <f t="shared" si="3"/>
        <v>5706</v>
      </c>
      <c r="E96" s="1" t="s">
        <v>120</v>
      </c>
      <c r="F96" s="1">
        <v>58</v>
      </c>
      <c r="G96" s="1">
        <v>4</v>
      </c>
      <c r="H96" s="1">
        <v>15.5</v>
      </c>
    </row>
    <row r="97" spans="1:8" x14ac:dyDescent="0.3">
      <c r="A97" t="str">
        <f t="shared" si="2"/>
        <v>APG</v>
      </c>
      <c r="B97">
        <f t="shared" si="3"/>
        <v>3506</v>
      </c>
      <c r="E97" s="1" t="s">
        <v>87</v>
      </c>
      <c r="F97" s="1">
        <v>60</v>
      </c>
      <c r="G97" s="1">
        <v>5</v>
      </c>
      <c r="H97" s="1">
        <v>15.4</v>
      </c>
    </row>
    <row r="98" spans="1:8" x14ac:dyDescent="0.3">
      <c r="A98" t="str">
        <f t="shared" si="2"/>
        <v>APG</v>
      </c>
      <c r="B98">
        <f t="shared" si="3"/>
        <v>1606</v>
      </c>
      <c r="E98" s="1" t="s">
        <v>137</v>
      </c>
      <c r="F98" s="1">
        <v>70</v>
      </c>
      <c r="G98" s="1">
        <v>6</v>
      </c>
      <c r="H98" s="1">
        <v>15.2</v>
      </c>
    </row>
    <row r="99" spans="1:8" x14ac:dyDescent="0.3">
      <c r="A99" t="str">
        <f t="shared" si="2"/>
        <v>APG</v>
      </c>
      <c r="B99">
        <f t="shared" si="3"/>
        <v>8306</v>
      </c>
      <c r="E99" s="1" t="s">
        <v>257</v>
      </c>
      <c r="F99" s="1">
        <v>74</v>
      </c>
      <c r="G99" s="1">
        <v>2</v>
      </c>
      <c r="H99" s="1">
        <v>15.1</v>
      </c>
    </row>
    <row r="100" spans="1:8" x14ac:dyDescent="0.3">
      <c r="A100" t="str">
        <f t="shared" si="2"/>
        <v>APG</v>
      </c>
      <c r="B100">
        <f t="shared" si="3"/>
        <v>2506</v>
      </c>
      <c r="E100" s="1" t="s">
        <v>92</v>
      </c>
      <c r="F100" s="1">
        <v>75</v>
      </c>
      <c r="G100" s="1">
        <v>6</v>
      </c>
      <c r="H100" s="1">
        <v>15.1</v>
      </c>
    </row>
    <row r="101" spans="1:8" x14ac:dyDescent="0.3">
      <c r="A101" t="str">
        <f t="shared" si="2"/>
        <v>APG</v>
      </c>
      <c r="B101">
        <f t="shared" si="3"/>
        <v>606</v>
      </c>
      <c r="E101" s="1" t="s">
        <v>100</v>
      </c>
      <c r="F101" s="1">
        <v>79</v>
      </c>
      <c r="G101" s="1">
        <v>7</v>
      </c>
      <c r="H101" s="1">
        <v>15</v>
      </c>
    </row>
    <row r="102" spans="1:8" x14ac:dyDescent="0.3">
      <c r="A102" t="str">
        <f t="shared" si="2"/>
        <v>APG</v>
      </c>
      <c r="B102">
        <f t="shared" si="3"/>
        <v>12206</v>
      </c>
      <c r="E102" s="1" t="s">
        <v>284</v>
      </c>
      <c r="F102" s="1">
        <v>79</v>
      </c>
      <c r="G102" s="1">
        <v>3</v>
      </c>
      <c r="H102" s="1">
        <v>15</v>
      </c>
    </row>
    <row r="103" spans="1:8" x14ac:dyDescent="0.3">
      <c r="A103" t="str">
        <f t="shared" si="2"/>
        <v>APG</v>
      </c>
      <c r="B103">
        <f t="shared" si="3"/>
        <v>15806</v>
      </c>
      <c r="E103" s="1" t="s">
        <v>470</v>
      </c>
      <c r="F103" s="1">
        <v>79</v>
      </c>
      <c r="G103" s="1">
        <v>4</v>
      </c>
      <c r="H103" s="1">
        <v>15</v>
      </c>
    </row>
    <row r="104" spans="1:8" x14ac:dyDescent="0.3">
      <c r="A104" t="str">
        <f t="shared" si="2"/>
        <v>APG</v>
      </c>
      <c r="B104">
        <f t="shared" si="3"/>
        <v>18306</v>
      </c>
      <c r="E104" s="1" t="s">
        <v>423</v>
      </c>
      <c r="F104" s="1">
        <v>82</v>
      </c>
      <c r="G104" s="1">
        <v>3</v>
      </c>
      <c r="H104" s="1">
        <v>15</v>
      </c>
    </row>
    <row r="105" spans="1:8" x14ac:dyDescent="0.3">
      <c r="A105" t="str">
        <f t="shared" si="2"/>
        <v>APG</v>
      </c>
      <c r="B105">
        <f t="shared" si="3"/>
        <v>16106</v>
      </c>
      <c r="E105" s="1" t="s">
        <v>473</v>
      </c>
      <c r="F105" s="1">
        <v>85</v>
      </c>
      <c r="G105" s="1">
        <v>2</v>
      </c>
      <c r="H105" s="1">
        <v>14.9</v>
      </c>
    </row>
    <row r="106" spans="1:8" x14ac:dyDescent="0.3">
      <c r="A106" t="str">
        <f t="shared" si="2"/>
        <v>APG</v>
      </c>
      <c r="B106">
        <f t="shared" si="3"/>
        <v>14906</v>
      </c>
      <c r="E106" s="1" t="s">
        <v>307</v>
      </c>
      <c r="F106" s="1">
        <v>86</v>
      </c>
      <c r="G106" s="1">
        <v>2</v>
      </c>
      <c r="H106" s="1">
        <v>14.9</v>
      </c>
    </row>
    <row r="107" spans="1:8" x14ac:dyDescent="0.3">
      <c r="A107" t="str">
        <f t="shared" si="2"/>
        <v>APG</v>
      </c>
      <c r="B107">
        <f t="shared" si="3"/>
        <v>4706</v>
      </c>
      <c r="E107" s="1" t="s">
        <v>107</v>
      </c>
      <c r="F107" s="1">
        <v>88</v>
      </c>
      <c r="G107" s="1">
        <v>4</v>
      </c>
      <c r="H107" s="1">
        <v>14.9</v>
      </c>
    </row>
    <row r="108" spans="1:8" x14ac:dyDescent="0.3">
      <c r="A108" t="str">
        <f t="shared" si="2"/>
        <v>APG</v>
      </c>
      <c r="B108">
        <f t="shared" si="3"/>
        <v>4306</v>
      </c>
      <c r="E108" s="1" t="s">
        <v>125</v>
      </c>
      <c r="F108" s="1">
        <v>90</v>
      </c>
      <c r="G108" s="1">
        <v>10</v>
      </c>
      <c r="H108" s="1">
        <v>14.9</v>
      </c>
    </row>
    <row r="109" spans="1:8" x14ac:dyDescent="0.3">
      <c r="A109" t="str">
        <f t="shared" si="2"/>
        <v>APG</v>
      </c>
      <c r="B109">
        <f t="shared" si="3"/>
        <v>4906</v>
      </c>
      <c r="E109" s="1" t="s">
        <v>108</v>
      </c>
      <c r="F109" s="1">
        <v>94</v>
      </c>
      <c r="G109" s="1">
        <v>4</v>
      </c>
      <c r="H109" s="1">
        <v>14.8</v>
      </c>
    </row>
    <row r="110" spans="1:8" x14ac:dyDescent="0.3">
      <c r="A110" t="str">
        <f t="shared" si="2"/>
        <v>APG</v>
      </c>
      <c r="B110">
        <f t="shared" si="3"/>
        <v>4206</v>
      </c>
      <c r="E110" s="1" t="s">
        <v>123</v>
      </c>
      <c r="F110" s="1">
        <v>106</v>
      </c>
      <c r="G110" s="1">
        <v>12</v>
      </c>
      <c r="H110" s="1">
        <v>14.5</v>
      </c>
    </row>
    <row r="111" spans="1:8" x14ac:dyDescent="0.3">
      <c r="A111" t="str">
        <f t="shared" si="2"/>
        <v>APG</v>
      </c>
      <c r="B111">
        <f t="shared" si="3"/>
        <v>6606</v>
      </c>
      <c r="E111" s="1" t="s">
        <v>247</v>
      </c>
      <c r="F111" s="1">
        <v>111</v>
      </c>
      <c r="G111" s="1">
        <v>4</v>
      </c>
      <c r="H111" s="1">
        <v>14.4</v>
      </c>
    </row>
    <row r="112" spans="1:8" x14ac:dyDescent="0.3">
      <c r="A112" t="str">
        <f t="shared" si="2"/>
        <v>APG</v>
      </c>
      <c r="B112">
        <f t="shared" si="3"/>
        <v>3206</v>
      </c>
      <c r="E112" s="1" t="s">
        <v>127</v>
      </c>
      <c r="F112" s="1">
        <v>115</v>
      </c>
      <c r="G112" s="1">
        <v>8</v>
      </c>
      <c r="H112" s="1">
        <v>14.4</v>
      </c>
    </row>
    <row r="113" spans="1:8" x14ac:dyDescent="0.3">
      <c r="A113" t="str">
        <f t="shared" si="2"/>
        <v>APG</v>
      </c>
      <c r="B113">
        <f t="shared" si="3"/>
        <v>6906</v>
      </c>
      <c r="E113" s="1" t="s">
        <v>114</v>
      </c>
      <c r="F113" s="1">
        <v>117</v>
      </c>
      <c r="G113" s="1">
        <v>13</v>
      </c>
      <c r="H113" s="1">
        <v>14.3</v>
      </c>
    </row>
    <row r="114" spans="1:8" x14ac:dyDescent="0.3">
      <c r="A114" t="str">
        <f t="shared" si="2"/>
        <v>APG</v>
      </c>
      <c r="B114">
        <f t="shared" si="3"/>
        <v>4006</v>
      </c>
      <c r="E114" s="1" t="s">
        <v>105</v>
      </c>
      <c r="F114" s="1">
        <v>121</v>
      </c>
      <c r="G114" s="1">
        <v>6</v>
      </c>
      <c r="H114" s="1">
        <v>14.2</v>
      </c>
    </row>
    <row r="115" spans="1:8" x14ac:dyDescent="0.3">
      <c r="A115" t="str">
        <f t="shared" si="2"/>
        <v>APG</v>
      </c>
      <c r="B115">
        <f t="shared" si="3"/>
        <v>15906</v>
      </c>
      <c r="E115" s="1" t="s">
        <v>495</v>
      </c>
      <c r="F115" s="1">
        <v>121</v>
      </c>
      <c r="G115" s="1">
        <v>2</v>
      </c>
      <c r="H115" s="1">
        <v>14.2</v>
      </c>
    </row>
    <row r="116" spans="1:8" x14ac:dyDescent="0.3">
      <c r="A116" t="str">
        <f t="shared" si="2"/>
        <v>APG</v>
      </c>
      <c r="B116">
        <f t="shared" si="3"/>
        <v>8106</v>
      </c>
      <c r="E116" s="1" t="s">
        <v>256</v>
      </c>
      <c r="F116" s="1">
        <v>125</v>
      </c>
      <c r="G116" s="1">
        <v>7</v>
      </c>
      <c r="H116" s="1">
        <v>14.2</v>
      </c>
    </row>
    <row r="117" spans="1:8" x14ac:dyDescent="0.3">
      <c r="A117" t="str">
        <f t="shared" si="2"/>
        <v>APG</v>
      </c>
      <c r="B117">
        <f t="shared" si="3"/>
        <v>11106</v>
      </c>
      <c r="E117" s="1" t="s">
        <v>277</v>
      </c>
      <c r="F117" s="1">
        <v>125</v>
      </c>
      <c r="G117" s="1">
        <v>15</v>
      </c>
      <c r="H117" s="1">
        <v>14.2</v>
      </c>
    </row>
    <row r="118" spans="1:8" x14ac:dyDescent="0.3">
      <c r="A118" t="str">
        <f t="shared" si="2"/>
        <v>APG</v>
      </c>
      <c r="B118">
        <f t="shared" si="3"/>
        <v>306</v>
      </c>
      <c r="E118" s="1" t="s">
        <v>215</v>
      </c>
      <c r="F118" s="1">
        <v>125</v>
      </c>
      <c r="G118" s="1">
        <v>7</v>
      </c>
      <c r="H118" s="1">
        <v>14.2</v>
      </c>
    </row>
    <row r="119" spans="1:8" x14ac:dyDescent="0.3">
      <c r="A119" t="str">
        <f t="shared" si="2"/>
        <v>APG</v>
      </c>
      <c r="B119">
        <f t="shared" si="3"/>
        <v>206</v>
      </c>
      <c r="E119" s="1" t="s">
        <v>98</v>
      </c>
      <c r="F119" s="1">
        <v>141</v>
      </c>
      <c r="G119" s="1">
        <v>4</v>
      </c>
      <c r="H119" s="1">
        <v>14</v>
      </c>
    </row>
    <row r="120" spans="1:8" x14ac:dyDescent="0.3">
      <c r="A120" t="str">
        <f t="shared" si="2"/>
        <v>APG</v>
      </c>
      <c r="B120">
        <f t="shared" si="3"/>
        <v>15706</v>
      </c>
      <c r="E120" s="1" t="s">
        <v>469</v>
      </c>
      <c r="F120" s="1">
        <v>146</v>
      </c>
      <c r="G120" s="1">
        <v>6</v>
      </c>
      <c r="H120" s="1">
        <v>13.9</v>
      </c>
    </row>
    <row r="121" spans="1:8" x14ac:dyDescent="0.3">
      <c r="A121" t="str">
        <f t="shared" si="2"/>
        <v>APG</v>
      </c>
      <c r="B121">
        <f t="shared" si="3"/>
        <v>14406</v>
      </c>
      <c r="E121" s="1" t="s">
        <v>302</v>
      </c>
      <c r="F121" s="1">
        <v>147</v>
      </c>
      <c r="G121" s="1">
        <v>9</v>
      </c>
      <c r="H121" s="1">
        <v>13.9</v>
      </c>
    </row>
    <row r="122" spans="1:8" x14ac:dyDescent="0.3">
      <c r="A122" t="str">
        <f t="shared" si="2"/>
        <v>APG</v>
      </c>
      <c r="B122">
        <f t="shared" si="3"/>
        <v>13106</v>
      </c>
      <c r="E122" s="1" t="s">
        <v>289</v>
      </c>
      <c r="F122" s="1">
        <v>149</v>
      </c>
      <c r="G122" s="1">
        <v>7</v>
      </c>
      <c r="H122" s="1">
        <v>13.9</v>
      </c>
    </row>
    <row r="123" spans="1:8" x14ac:dyDescent="0.3">
      <c r="A123" t="str">
        <f t="shared" si="2"/>
        <v>APG</v>
      </c>
      <c r="B123">
        <f t="shared" si="3"/>
        <v>2006</v>
      </c>
      <c r="E123" s="1" t="s">
        <v>328</v>
      </c>
      <c r="F123" s="1">
        <v>154</v>
      </c>
      <c r="G123" s="1">
        <v>5</v>
      </c>
      <c r="H123" s="1">
        <v>13.8</v>
      </c>
    </row>
    <row r="124" spans="1:8" x14ac:dyDescent="0.3">
      <c r="A124" t="str">
        <f t="shared" si="2"/>
        <v>APG</v>
      </c>
      <c r="B124">
        <f t="shared" si="3"/>
        <v>5806</v>
      </c>
      <c r="E124" s="1" t="s">
        <v>139</v>
      </c>
      <c r="F124" s="1">
        <v>158</v>
      </c>
      <c r="G124" s="1">
        <v>3</v>
      </c>
      <c r="H124" s="1">
        <v>13.8</v>
      </c>
    </row>
    <row r="125" spans="1:8" x14ac:dyDescent="0.3">
      <c r="A125" t="str">
        <f t="shared" si="2"/>
        <v>APG</v>
      </c>
      <c r="B125">
        <f t="shared" si="3"/>
        <v>3306</v>
      </c>
      <c r="E125" s="1" t="s">
        <v>91</v>
      </c>
      <c r="F125" s="1">
        <v>164</v>
      </c>
      <c r="G125" s="1">
        <v>8</v>
      </c>
      <c r="H125" s="1">
        <v>13.7</v>
      </c>
    </row>
    <row r="126" spans="1:8" x14ac:dyDescent="0.3">
      <c r="A126" t="str">
        <f t="shared" si="2"/>
        <v>APG</v>
      </c>
      <c r="B126">
        <f t="shared" si="3"/>
        <v>14106</v>
      </c>
      <c r="E126" s="1" t="s">
        <v>299</v>
      </c>
      <c r="F126" s="1">
        <v>164</v>
      </c>
      <c r="G126" s="1">
        <v>10</v>
      </c>
      <c r="H126" s="1">
        <v>13.7</v>
      </c>
    </row>
    <row r="127" spans="1:8" x14ac:dyDescent="0.3">
      <c r="A127" t="str">
        <f t="shared" si="2"/>
        <v>APG</v>
      </c>
      <c r="B127">
        <f t="shared" si="3"/>
        <v>18406</v>
      </c>
      <c r="E127" s="1" t="s">
        <v>417</v>
      </c>
      <c r="F127" s="1">
        <v>175</v>
      </c>
      <c r="G127" s="1">
        <v>3</v>
      </c>
      <c r="H127" s="1">
        <v>13.6</v>
      </c>
    </row>
    <row r="128" spans="1:8" x14ac:dyDescent="0.3">
      <c r="A128" t="str">
        <f t="shared" si="2"/>
        <v>APG</v>
      </c>
      <c r="B128">
        <f t="shared" si="3"/>
        <v>15406</v>
      </c>
      <c r="E128" s="1" t="s">
        <v>494</v>
      </c>
      <c r="F128" s="1">
        <v>176</v>
      </c>
      <c r="G128" s="1">
        <v>2</v>
      </c>
      <c r="H128" s="1">
        <v>13.6</v>
      </c>
    </row>
    <row r="129" spans="1:10" x14ac:dyDescent="0.3">
      <c r="A129" t="str">
        <f t="shared" si="2"/>
        <v>APG</v>
      </c>
      <c r="B129">
        <f t="shared" si="3"/>
        <v>9506</v>
      </c>
      <c r="E129" s="1" t="s">
        <v>85</v>
      </c>
      <c r="F129" s="1">
        <v>185</v>
      </c>
      <c r="G129" s="1">
        <v>8</v>
      </c>
      <c r="H129" s="1">
        <v>13.5</v>
      </c>
    </row>
    <row r="130" spans="1:10" x14ac:dyDescent="0.3">
      <c r="A130" t="str">
        <f t="shared" ref="A130:A193" si="4">IF(NOT(D130=""),INDEX(statAbbr,MATCH(D130,statOfficial,0),1),A129)</f>
        <v>APG</v>
      </c>
      <c r="B130">
        <f t="shared" ref="B130:B193" si="5">INDEX(statID,MATCH(A130,statAbbr,0),1)+INDEX(teamID,MATCH(E130,teamRawName,0))</f>
        <v>11706</v>
      </c>
      <c r="E130" s="1" t="s">
        <v>280</v>
      </c>
      <c r="F130" s="1">
        <v>185</v>
      </c>
      <c r="G130" s="1">
        <v>5</v>
      </c>
      <c r="H130" s="1">
        <v>13.5</v>
      </c>
    </row>
    <row r="131" spans="1:10" x14ac:dyDescent="0.3">
      <c r="A131" t="str">
        <f t="shared" si="4"/>
        <v>APG</v>
      </c>
      <c r="B131">
        <f t="shared" si="5"/>
        <v>3806</v>
      </c>
      <c r="E131" s="1" t="s">
        <v>238</v>
      </c>
      <c r="F131" s="1">
        <v>189</v>
      </c>
      <c r="G131" s="1">
        <v>11</v>
      </c>
      <c r="H131" s="1">
        <v>13.4</v>
      </c>
    </row>
    <row r="132" spans="1:10" x14ac:dyDescent="0.3">
      <c r="A132" t="str">
        <f t="shared" si="4"/>
        <v>APG</v>
      </c>
      <c r="B132">
        <f t="shared" si="5"/>
        <v>1206</v>
      </c>
      <c r="E132" s="1" t="s">
        <v>130</v>
      </c>
      <c r="F132" s="1">
        <v>212</v>
      </c>
      <c r="G132" s="1">
        <v>7</v>
      </c>
      <c r="H132" s="1">
        <v>13</v>
      </c>
    </row>
    <row r="133" spans="1:10" x14ac:dyDescent="0.3">
      <c r="A133" t="str">
        <f t="shared" si="4"/>
        <v>APG</v>
      </c>
      <c r="B133">
        <f t="shared" si="5"/>
        <v>10606</v>
      </c>
      <c r="E133" s="1" t="s">
        <v>161</v>
      </c>
      <c r="F133" s="1">
        <v>218</v>
      </c>
      <c r="G133" s="1">
        <v>5</v>
      </c>
      <c r="H133" s="1">
        <v>13</v>
      </c>
    </row>
    <row r="134" spans="1:10" x14ac:dyDescent="0.3">
      <c r="A134" t="str">
        <f t="shared" si="4"/>
        <v>APG</v>
      </c>
      <c r="B134">
        <f t="shared" si="5"/>
        <v>6706</v>
      </c>
      <c r="E134" s="1" t="s">
        <v>118</v>
      </c>
      <c r="F134" s="1">
        <v>224</v>
      </c>
      <c r="G134" s="1">
        <v>12</v>
      </c>
      <c r="H134" s="1">
        <v>12.9</v>
      </c>
    </row>
    <row r="135" spans="1:10" x14ac:dyDescent="0.3">
      <c r="A135" t="str">
        <f t="shared" si="4"/>
        <v>APG</v>
      </c>
      <c r="B135">
        <f t="shared" si="5"/>
        <v>15606</v>
      </c>
      <c r="E135" s="1" t="s">
        <v>468</v>
      </c>
      <c r="F135" s="1">
        <v>251</v>
      </c>
      <c r="G135" s="1">
        <v>8</v>
      </c>
      <c r="H135" s="1">
        <v>12.6</v>
      </c>
    </row>
    <row r="136" spans="1:10" x14ac:dyDescent="0.3">
      <c r="A136" t="str">
        <f t="shared" si="4"/>
        <v>APG</v>
      </c>
      <c r="B136">
        <f t="shared" si="5"/>
        <v>13906</v>
      </c>
      <c r="E136" s="1" t="s">
        <v>297</v>
      </c>
      <c r="F136" s="1">
        <v>262</v>
      </c>
      <c r="G136" s="1">
        <v>15</v>
      </c>
      <c r="H136" s="1">
        <v>12.5</v>
      </c>
    </row>
    <row r="137" spans="1:10" x14ac:dyDescent="0.3">
      <c r="A137" t="str">
        <f t="shared" si="4"/>
        <v>APG</v>
      </c>
      <c r="B137">
        <f t="shared" si="5"/>
        <v>2806</v>
      </c>
      <c r="E137" s="1" t="s">
        <v>106</v>
      </c>
      <c r="F137" s="1">
        <v>281</v>
      </c>
      <c r="G137" s="1">
        <v>16</v>
      </c>
      <c r="H137" s="1">
        <v>12.1</v>
      </c>
    </row>
    <row r="138" spans="1:10" x14ac:dyDescent="0.3">
      <c r="A138" t="str">
        <f t="shared" si="4"/>
        <v>APG</v>
      </c>
      <c r="B138">
        <f t="shared" si="5"/>
        <v>3606</v>
      </c>
      <c r="E138" s="1" t="s">
        <v>129</v>
      </c>
      <c r="F138" s="1">
        <v>289</v>
      </c>
      <c r="G138" s="1">
        <v>16</v>
      </c>
      <c r="H138" s="1">
        <v>11.9</v>
      </c>
    </row>
    <row r="139" spans="1:10" x14ac:dyDescent="0.3">
      <c r="A139" t="str">
        <f t="shared" si="4"/>
        <v>APG</v>
      </c>
      <c r="B139">
        <f t="shared" si="5"/>
        <v>16206</v>
      </c>
      <c r="E139" s="1" t="s">
        <v>497</v>
      </c>
      <c r="F139" s="1">
        <v>311</v>
      </c>
      <c r="G139" s="1">
        <v>9</v>
      </c>
      <c r="H139" s="1">
        <v>11.6</v>
      </c>
    </row>
    <row r="140" spans="1:10" x14ac:dyDescent="0.3">
      <c r="A140" t="str">
        <f t="shared" si="4"/>
        <v>APG</v>
      </c>
      <c r="B140">
        <f t="shared" si="5"/>
        <v>18506</v>
      </c>
      <c r="E140" s="1" t="s">
        <v>420</v>
      </c>
      <c r="F140" s="1">
        <v>351</v>
      </c>
      <c r="G140" s="1">
        <v>8</v>
      </c>
      <c r="H140" s="1">
        <v>10.199999999999999</v>
      </c>
    </row>
    <row r="141" spans="1:10" x14ac:dyDescent="0.3">
      <c r="A141" t="str">
        <f t="shared" si="4"/>
        <v>Bench</v>
      </c>
      <c r="B141">
        <f t="shared" si="5"/>
        <v>14107</v>
      </c>
      <c r="D141" s="1" t="s">
        <v>561</v>
      </c>
      <c r="E141" s="1" t="s">
        <v>299</v>
      </c>
      <c r="F141" s="1">
        <v>3</v>
      </c>
      <c r="G141" s="1">
        <v>1</v>
      </c>
      <c r="H141" s="1">
        <v>35.47</v>
      </c>
      <c r="I141" s="1" t="s">
        <v>362</v>
      </c>
      <c r="J141" s="1">
        <v>39.159999999999997</v>
      </c>
    </row>
    <row r="142" spans="1:10" x14ac:dyDescent="0.3">
      <c r="A142" t="str">
        <f t="shared" si="4"/>
        <v>Bench</v>
      </c>
      <c r="B142">
        <f t="shared" si="5"/>
        <v>8207</v>
      </c>
      <c r="E142" s="1" t="s">
        <v>131</v>
      </c>
      <c r="F142" s="1">
        <v>5</v>
      </c>
      <c r="G142" s="1">
        <v>1</v>
      </c>
      <c r="H142" s="1">
        <v>33.97</v>
      </c>
    </row>
    <row r="143" spans="1:10" x14ac:dyDescent="0.3">
      <c r="A143" t="str">
        <f t="shared" si="4"/>
        <v>Bench</v>
      </c>
      <c r="B143">
        <f t="shared" si="5"/>
        <v>3707</v>
      </c>
      <c r="E143" s="1" t="s">
        <v>115</v>
      </c>
      <c r="F143" s="1">
        <v>6</v>
      </c>
      <c r="G143" s="1">
        <v>2</v>
      </c>
      <c r="H143" s="1">
        <v>33.840000000000003</v>
      </c>
    </row>
    <row r="144" spans="1:10" x14ac:dyDescent="0.3">
      <c r="A144" t="str">
        <f t="shared" si="4"/>
        <v>Bench</v>
      </c>
      <c r="B144">
        <f t="shared" si="5"/>
        <v>907</v>
      </c>
      <c r="E144" s="1" t="s">
        <v>90</v>
      </c>
      <c r="F144" s="1">
        <v>7</v>
      </c>
      <c r="G144" s="1">
        <v>1</v>
      </c>
      <c r="H144" s="1">
        <v>33.619999999999997</v>
      </c>
    </row>
    <row r="145" spans="1:8" x14ac:dyDescent="0.3">
      <c r="A145" t="str">
        <f t="shared" si="4"/>
        <v>Bench</v>
      </c>
      <c r="B145">
        <f t="shared" si="5"/>
        <v>18307</v>
      </c>
      <c r="E145" s="1" t="s">
        <v>423</v>
      </c>
      <c r="F145" s="1">
        <v>9</v>
      </c>
      <c r="G145" s="1">
        <v>1</v>
      </c>
      <c r="H145" s="1">
        <v>31.62</v>
      </c>
    </row>
    <row r="146" spans="1:8" x14ac:dyDescent="0.3">
      <c r="A146" t="str">
        <f t="shared" si="4"/>
        <v>Bench</v>
      </c>
      <c r="B146">
        <f t="shared" si="5"/>
        <v>2707</v>
      </c>
      <c r="E146" s="1" t="s">
        <v>7</v>
      </c>
      <c r="F146" s="1">
        <v>15</v>
      </c>
      <c r="G146" s="1">
        <v>2</v>
      </c>
      <c r="H146" s="1">
        <v>30.11</v>
      </c>
    </row>
    <row r="147" spans="1:8" x14ac:dyDescent="0.3">
      <c r="A147" t="str">
        <f t="shared" si="4"/>
        <v>Bench</v>
      </c>
      <c r="B147">
        <f t="shared" si="5"/>
        <v>1607</v>
      </c>
      <c r="E147" s="1" t="s">
        <v>137</v>
      </c>
      <c r="F147" s="1">
        <v>18</v>
      </c>
      <c r="G147" s="1">
        <v>3</v>
      </c>
      <c r="H147" s="1">
        <v>29.65</v>
      </c>
    </row>
    <row r="148" spans="1:8" x14ac:dyDescent="0.3">
      <c r="A148" t="str">
        <f t="shared" si="4"/>
        <v>Bench</v>
      </c>
      <c r="B148">
        <f t="shared" si="5"/>
        <v>2907</v>
      </c>
      <c r="E148" s="1" t="s">
        <v>96</v>
      </c>
      <c r="F148" s="1">
        <v>19</v>
      </c>
      <c r="G148" s="1">
        <v>3</v>
      </c>
      <c r="H148" s="1">
        <v>29.57</v>
      </c>
    </row>
    <row r="149" spans="1:8" x14ac:dyDescent="0.3">
      <c r="A149" t="str">
        <f t="shared" si="4"/>
        <v>Bench</v>
      </c>
      <c r="B149">
        <f t="shared" si="5"/>
        <v>10607</v>
      </c>
      <c r="E149" s="1" t="s">
        <v>161</v>
      </c>
      <c r="F149" s="1">
        <v>25</v>
      </c>
      <c r="G149" s="1">
        <v>2</v>
      </c>
      <c r="H149" s="1">
        <v>28.51</v>
      </c>
    </row>
    <row r="150" spans="1:8" x14ac:dyDescent="0.3">
      <c r="A150" t="str">
        <f t="shared" si="4"/>
        <v>Bench</v>
      </c>
      <c r="B150">
        <f t="shared" si="5"/>
        <v>14407</v>
      </c>
      <c r="E150" s="1" t="s">
        <v>302</v>
      </c>
      <c r="F150" s="1">
        <v>26</v>
      </c>
      <c r="G150" s="1">
        <v>4</v>
      </c>
      <c r="H150" s="1">
        <v>28.48</v>
      </c>
    </row>
    <row r="151" spans="1:8" x14ac:dyDescent="0.3">
      <c r="A151" t="str">
        <f t="shared" si="4"/>
        <v>Bench</v>
      </c>
      <c r="B151">
        <f t="shared" si="5"/>
        <v>1407</v>
      </c>
      <c r="E151" s="1" t="s">
        <v>102</v>
      </c>
      <c r="F151" s="1">
        <v>32</v>
      </c>
      <c r="G151" s="1">
        <v>1</v>
      </c>
      <c r="H151" s="1">
        <v>27.68</v>
      </c>
    </row>
    <row r="152" spans="1:8" x14ac:dyDescent="0.3">
      <c r="A152" t="str">
        <f t="shared" si="4"/>
        <v>Bench</v>
      </c>
      <c r="B152">
        <f t="shared" si="5"/>
        <v>3607</v>
      </c>
      <c r="E152" s="1" t="s">
        <v>129</v>
      </c>
      <c r="F152" s="1">
        <v>35</v>
      </c>
      <c r="G152" s="1">
        <v>5</v>
      </c>
      <c r="H152" s="1">
        <v>27.38</v>
      </c>
    </row>
    <row r="153" spans="1:8" x14ac:dyDescent="0.3">
      <c r="A153" t="str">
        <f t="shared" si="4"/>
        <v>Bench</v>
      </c>
      <c r="B153">
        <f t="shared" si="5"/>
        <v>4407</v>
      </c>
      <c r="E153" s="1" t="s">
        <v>83</v>
      </c>
      <c r="F153" s="1">
        <v>39</v>
      </c>
      <c r="G153" s="1">
        <v>3</v>
      </c>
      <c r="H153" s="1">
        <v>26.89</v>
      </c>
    </row>
    <row r="154" spans="1:8" x14ac:dyDescent="0.3">
      <c r="A154" t="str">
        <f t="shared" si="4"/>
        <v>Bench</v>
      </c>
      <c r="B154">
        <f t="shared" si="5"/>
        <v>4507</v>
      </c>
      <c r="E154" s="1" t="s">
        <v>84</v>
      </c>
      <c r="F154" s="1">
        <v>42</v>
      </c>
      <c r="G154" s="1">
        <v>6</v>
      </c>
      <c r="H154" s="1">
        <v>26.47</v>
      </c>
    </row>
    <row r="155" spans="1:8" x14ac:dyDescent="0.3">
      <c r="A155" t="str">
        <f t="shared" si="4"/>
        <v>Bench</v>
      </c>
      <c r="B155">
        <f t="shared" si="5"/>
        <v>207</v>
      </c>
      <c r="E155" s="1" t="s">
        <v>98</v>
      </c>
      <c r="F155" s="1">
        <v>43</v>
      </c>
      <c r="G155" s="1">
        <v>2</v>
      </c>
      <c r="H155" s="1">
        <v>26.43</v>
      </c>
    </row>
    <row r="156" spans="1:8" x14ac:dyDescent="0.3">
      <c r="A156" t="str">
        <f t="shared" si="4"/>
        <v>Bench</v>
      </c>
      <c r="B156">
        <f t="shared" si="5"/>
        <v>9007</v>
      </c>
      <c r="E156" s="1" t="s">
        <v>261</v>
      </c>
      <c r="F156" s="1">
        <v>47</v>
      </c>
      <c r="G156" s="1">
        <v>2</v>
      </c>
      <c r="H156" s="1">
        <v>25.94</v>
      </c>
    </row>
    <row r="157" spans="1:8" x14ac:dyDescent="0.3">
      <c r="A157" t="str">
        <f t="shared" si="4"/>
        <v>Bench</v>
      </c>
      <c r="B157">
        <f t="shared" si="5"/>
        <v>5107</v>
      </c>
      <c r="E157" s="1" t="s">
        <v>240</v>
      </c>
      <c r="F157" s="1">
        <v>61</v>
      </c>
      <c r="G157" s="1">
        <v>3</v>
      </c>
      <c r="H157" s="1">
        <v>24.46</v>
      </c>
    </row>
    <row r="158" spans="1:8" x14ac:dyDescent="0.3">
      <c r="A158" t="str">
        <f t="shared" si="4"/>
        <v>Bench</v>
      </c>
      <c r="B158">
        <f t="shared" si="5"/>
        <v>16207</v>
      </c>
      <c r="E158" s="1" t="s">
        <v>497</v>
      </c>
      <c r="F158" s="1">
        <v>69</v>
      </c>
      <c r="G158" s="1">
        <v>6</v>
      </c>
      <c r="H158" s="1">
        <v>24.17</v>
      </c>
    </row>
    <row r="159" spans="1:8" x14ac:dyDescent="0.3">
      <c r="A159" t="str">
        <f t="shared" si="4"/>
        <v>Bench</v>
      </c>
      <c r="B159">
        <f t="shared" si="5"/>
        <v>4907</v>
      </c>
      <c r="E159" s="1" t="s">
        <v>108</v>
      </c>
      <c r="F159" s="1">
        <v>73</v>
      </c>
      <c r="G159" s="1">
        <v>3</v>
      </c>
      <c r="H159" s="1">
        <v>23.95</v>
      </c>
    </row>
    <row r="160" spans="1:8" x14ac:dyDescent="0.3">
      <c r="A160" t="str">
        <f t="shared" si="4"/>
        <v>Bench</v>
      </c>
      <c r="B160">
        <f t="shared" si="5"/>
        <v>4307</v>
      </c>
      <c r="E160" s="1" t="s">
        <v>125</v>
      </c>
      <c r="F160" s="1">
        <v>82</v>
      </c>
      <c r="G160" s="1">
        <v>3</v>
      </c>
      <c r="H160" s="1">
        <v>23.74</v>
      </c>
    </row>
    <row r="161" spans="1:8" x14ac:dyDescent="0.3">
      <c r="A161" t="str">
        <f t="shared" si="4"/>
        <v>Bench</v>
      </c>
      <c r="B161">
        <f t="shared" si="5"/>
        <v>15707</v>
      </c>
      <c r="E161" s="1" t="s">
        <v>469</v>
      </c>
      <c r="F161" s="1">
        <v>92</v>
      </c>
      <c r="G161" s="1">
        <v>4</v>
      </c>
      <c r="H161" s="1">
        <v>23.18</v>
      </c>
    </row>
    <row r="162" spans="1:8" x14ac:dyDescent="0.3">
      <c r="A162" t="str">
        <f t="shared" si="4"/>
        <v>Bench</v>
      </c>
      <c r="B162">
        <f t="shared" si="5"/>
        <v>2007</v>
      </c>
      <c r="E162" s="1" t="s">
        <v>328</v>
      </c>
      <c r="F162" s="1">
        <v>95</v>
      </c>
      <c r="G162" s="1">
        <v>3</v>
      </c>
      <c r="H162" s="1">
        <v>22.89</v>
      </c>
    </row>
    <row r="163" spans="1:8" x14ac:dyDescent="0.3">
      <c r="A163" t="str">
        <f t="shared" si="4"/>
        <v>Bench</v>
      </c>
      <c r="B163">
        <f t="shared" si="5"/>
        <v>13907</v>
      </c>
      <c r="E163" s="1" t="s">
        <v>297</v>
      </c>
      <c r="F163" s="1">
        <v>101</v>
      </c>
      <c r="G163" s="1">
        <v>8</v>
      </c>
      <c r="H163" s="1">
        <v>22.7</v>
      </c>
    </row>
    <row r="164" spans="1:8" x14ac:dyDescent="0.3">
      <c r="A164" t="str">
        <f t="shared" si="4"/>
        <v>Bench</v>
      </c>
      <c r="B164">
        <f t="shared" si="5"/>
        <v>5807</v>
      </c>
      <c r="E164" s="1" t="s">
        <v>139</v>
      </c>
      <c r="F164" s="1">
        <v>103</v>
      </c>
      <c r="G164" s="1">
        <v>2</v>
      </c>
      <c r="H164" s="1">
        <v>22.65</v>
      </c>
    </row>
    <row r="165" spans="1:8" x14ac:dyDescent="0.3">
      <c r="A165" t="str">
        <f t="shared" si="4"/>
        <v>Bench</v>
      </c>
      <c r="B165">
        <f t="shared" si="5"/>
        <v>607</v>
      </c>
      <c r="E165" s="1" t="s">
        <v>100</v>
      </c>
      <c r="F165" s="1">
        <v>105</v>
      </c>
      <c r="G165" s="1">
        <v>6</v>
      </c>
      <c r="H165" s="1">
        <v>22.6</v>
      </c>
    </row>
    <row r="166" spans="1:8" x14ac:dyDescent="0.3">
      <c r="A166" t="str">
        <f t="shared" si="4"/>
        <v>Bench</v>
      </c>
      <c r="B166">
        <f t="shared" si="5"/>
        <v>5507</v>
      </c>
      <c r="E166" s="1" t="s">
        <v>86</v>
      </c>
      <c r="F166" s="1">
        <v>114</v>
      </c>
      <c r="G166" s="1">
        <v>9</v>
      </c>
      <c r="H166" s="1">
        <v>22.19</v>
      </c>
    </row>
    <row r="167" spans="1:8" x14ac:dyDescent="0.3">
      <c r="A167" t="str">
        <f t="shared" si="4"/>
        <v>Bench</v>
      </c>
      <c r="B167">
        <f t="shared" si="5"/>
        <v>12207</v>
      </c>
      <c r="E167" s="1" t="s">
        <v>284</v>
      </c>
      <c r="F167" s="1">
        <v>117</v>
      </c>
      <c r="G167" s="1">
        <v>3</v>
      </c>
      <c r="H167" s="1">
        <v>22.03</v>
      </c>
    </row>
    <row r="168" spans="1:8" x14ac:dyDescent="0.3">
      <c r="A168" t="str">
        <f t="shared" si="4"/>
        <v>Bench</v>
      </c>
      <c r="B168">
        <f t="shared" si="5"/>
        <v>5707</v>
      </c>
      <c r="E168" s="1" t="s">
        <v>120</v>
      </c>
      <c r="F168" s="1">
        <v>119</v>
      </c>
      <c r="G168" s="1">
        <v>10</v>
      </c>
      <c r="H168" s="1">
        <v>21.98</v>
      </c>
    </row>
    <row r="169" spans="1:8" x14ac:dyDescent="0.3">
      <c r="A169" t="str">
        <f t="shared" si="4"/>
        <v>Bench</v>
      </c>
      <c r="B169">
        <f t="shared" si="5"/>
        <v>6907</v>
      </c>
      <c r="E169" s="1" t="s">
        <v>114</v>
      </c>
      <c r="F169" s="1">
        <v>120</v>
      </c>
      <c r="G169" s="1">
        <v>7</v>
      </c>
      <c r="H169" s="1">
        <v>21.94</v>
      </c>
    </row>
    <row r="170" spans="1:8" x14ac:dyDescent="0.3">
      <c r="A170" t="str">
        <f t="shared" si="4"/>
        <v>Bench</v>
      </c>
      <c r="B170">
        <f t="shared" si="5"/>
        <v>11707</v>
      </c>
      <c r="E170" s="1" t="s">
        <v>280</v>
      </c>
      <c r="F170" s="1">
        <v>143</v>
      </c>
      <c r="G170" s="1">
        <v>3</v>
      </c>
      <c r="H170" s="1">
        <v>21</v>
      </c>
    </row>
    <row r="171" spans="1:8" x14ac:dyDescent="0.3">
      <c r="A171" t="str">
        <f t="shared" si="4"/>
        <v>Bench</v>
      </c>
      <c r="B171">
        <f t="shared" si="5"/>
        <v>3807</v>
      </c>
      <c r="E171" s="1" t="s">
        <v>238</v>
      </c>
      <c r="F171" s="1">
        <v>145</v>
      </c>
      <c r="G171" s="1">
        <v>11</v>
      </c>
      <c r="H171" s="1">
        <v>20.94</v>
      </c>
    </row>
    <row r="172" spans="1:8" x14ac:dyDescent="0.3">
      <c r="A172" t="str">
        <f t="shared" si="4"/>
        <v>Bench</v>
      </c>
      <c r="B172">
        <f t="shared" si="5"/>
        <v>3907</v>
      </c>
      <c r="E172" s="1" t="s">
        <v>88</v>
      </c>
      <c r="F172" s="1">
        <v>150</v>
      </c>
      <c r="G172" s="1">
        <v>9</v>
      </c>
      <c r="H172" s="1">
        <v>20.79</v>
      </c>
    </row>
    <row r="173" spans="1:8" x14ac:dyDescent="0.3">
      <c r="A173" t="str">
        <f t="shared" si="4"/>
        <v>Bench</v>
      </c>
      <c r="B173">
        <f t="shared" si="5"/>
        <v>2307</v>
      </c>
      <c r="E173" s="1" t="s">
        <v>79</v>
      </c>
      <c r="F173" s="1">
        <v>152</v>
      </c>
      <c r="G173" s="1">
        <v>2</v>
      </c>
      <c r="H173" s="1">
        <v>20.74</v>
      </c>
    </row>
    <row r="174" spans="1:8" x14ac:dyDescent="0.3">
      <c r="A174" t="str">
        <f t="shared" si="4"/>
        <v>Bench</v>
      </c>
      <c r="B174">
        <f t="shared" si="5"/>
        <v>307</v>
      </c>
      <c r="E174" s="1" t="s">
        <v>215</v>
      </c>
      <c r="F174" s="1">
        <v>154</v>
      </c>
      <c r="G174" s="1">
        <v>12</v>
      </c>
      <c r="H174" s="1">
        <v>20.72</v>
      </c>
    </row>
    <row r="175" spans="1:8" x14ac:dyDescent="0.3">
      <c r="A175" t="str">
        <f t="shared" si="4"/>
        <v>Bench</v>
      </c>
      <c r="B175">
        <f t="shared" si="5"/>
        <v>1207</v>
      </c>
      <c r="E175" s="1" t="s">
        <v>130</v>
      </c>
      <c r="F175" s="1">
        <v>162</v>
      </c>
      <c r="G175" s="1">
        <v>4</v>
      </c>
      <c r="H175" s="1">
        <v>20.52</v>
      </c>
    </row>
    <row r="176" spans="1:8" x14ac:dyDescent="0.3">
      <c r="A176" t="str">
        <f t="shared" si="4"/>
        <v>Bench</v>
      </c>
      <c r="B176">
        <f t="shared" si="5"/>
        <v>5407</v>
      </c>
      <c r="E176" s="1" t="s">
        <v>94</v>
      </c>
      <c r="F176" s="1">
        <v>163</v>
      </c>
      <c r="G176" s="1">
        <v>8</v>
      </c>
      <c r="H176" s="1">
        <v>20.51</v>
      </c>
    </row>
    <row r="177" spans="1:8" x14ac:dyDescent="0.3">
      <c r="A177" t="str">
        <f t="shared" si="4"/>
        <v>Bench</v>
      </c>
      <c r="B177">
        <f t="shared" si="5"/>
        <v>18507</v>
      </c>
      <c r="E177" s="1" t="s">
        <v>420</v>
      </c>
      <c r="F177" s="1">
        <v>164</v>
      </c>
      <c r="G177" s="1">
        <v>6</v>
      </c>
      <c r="H177" s="1">
        <v>20.5</v>
      </c>
    </row>
    <row r="178" spans="1:8" x14ac:dyDescent="0.3">
      <c r="A178" t="str">
        <f t="shared" si="4"/>
        <v>Bench</v>
      </c>
      <c r="B178">
        <f t="shared" si="5"/>
        <v>7207</v>
      </c>
      <c r="E178" s="1" t="s">
        <v>116</v>
      </c>
      <c r="F178" s="1">
        <v>176</v>
      </c>
      <c r="G178" s="1">
        <v>10</v>
      </c>
      <c r="H178" s="1">
        <v>19.95</v>
      </c>
    </row>
    <row r="179" spans="1:8" x14ac:dyDescent="0.3">
      <c r="A179" t="str">
        <f t="shared" si="4"/>
        <v>Bench</v>
      </c>
      <c r="B179">
        <f t="shared" si="5"/>
        <v>3507</v>
      </c>
      <c r="E179" s="1" t="s">
        <v>87</v>
      </c>
      <c r="F179" s="1">
        <v>178</v>
      </c>
      <c r="G179" s="1">
        <v>13</v>
      </c>
      <c r="H179" s="1">
        <v>19.920000000000002</v>
      </c>
    </row>
    <row r="180" spans="1:8" x14ac:dyDescent="0.3">
      <c r="A180" t="str">
        <f t="shared" si="4"/>
        <v>Bench</v>
      </c>
      <c r="B180">
        <f t="shared" si="5"/>
        <v>9507</v>
      </c>
      <c r="E180" s="1" t="s">
        <v>85</v>
      </c>
      <c r="F180" s="1">
        <v>181</v>
      </c>
      <c r="G180" s="1">
        <v>7</v>
      </c>
      <c r="H180" s="1">
        <v>19.89</v>
      </c>
    </row>
    <row r="181" spans="1:8" x14ac:dyDescent="0.3">
      <c r="A181" t="str">
        <f t="shared" si="4"/>
        <v>Bench</v>
      </c>
      <c r="B181">
        <f t="shared" si="5"/>
        <v>1307</v>
      </c>
      <c r="E181" s="1" t="s">
        <v>82</v>
      </c>
      <c r="F181" s="1">
        <v>189</v>
      </c>
      <c r="G181" s="1">
        <v>7</v>
      </c>
      <c r="H181" s="1">
        <v>19.670000000000002</v>
      </c>
    </row>
    <row r="182" spans="1:8" x14ac:dyDescent="0.3">
      <c r="A182" t="str">
        <f t="shared" si="4"/>
        <v>Bench</v>
      </c>
      <c r="B182">
        <f t="shared" si="5"/>
        <v>15807</v>
      </c>
      <c r="E182" s="1" t="s">
        <v>470</v>
      </c>
      <c r="F182" s="1">
        <v>197</v>
      </c>
      <c r="G182" s="1">
        <v>7</v>
      </c>
      <c r="H182" s="1">
        <v>19.399999999999999</v>
      </c>
    </row>
    <row r="183" spans="1:8" x14ac:dyDescent="0.3">
      <c r="A183" t="str">
        <f t="shared" si="4"/>
        <v>Bench</v>
      </c>
      <c r="B183">
        <f t="shared" si="5"/>
        <v>7407</v>
      </c>
      <c r="E183" s="1" t="s">
        <v>251</v>
      </c>
      <c r="F183" s="1">
        <v>198</v>
      </c>
      <c r="G183" s="1">
        <v>5</v>
      </c>
      <c r="H183" s="1">
        <v>19.38</v>
      </c>
    </row>
    <row r="184" spans="1:8" x14ac:dyDescent="0.3">
      <c r="A184" t="str">
        <f t="shared" si="4"/>
        <v>Bench</v>
      </c>
      <c r="B184">
        <f t="shared" si="5"/>
        <v>16107</v>
      </c>
      <c r="E184" s="1" t="s">
        <v>473</v>
      </c>
      <c r="F184" s="1">
        <v>204</v>
      </c>
      <c r="G184" s="1">
        <v>8</v>
      </c>
      <c r="H184" s="1">
        <v>19.14</v>
      </c>
    </row>
    <row r="185" spans="1:8" x14ac:dyDescent="0.3">
      <c r="A185" t="str">
        <f t="shared" si="4"/>
        <v>Bench</v>
      </c>
      <c r="B185">
        <f t="shared" si="5"/>
        <v>15907</v>
      </c>
      <c r="E185" s="1" t="s">
        <v>495</v>
      </c>
      <c r="F185" s="1">
        <v>208</v>
      </c>
      <c r="G185" s="1">
        <v>4</v>
      </c>
      <c r="H185" s="1">
        <v>19.03</v>
      </c>
    </row>
    <row r="186" spans="1:8" x14ac:dyDescent="0.3">
      <c r="A186" t="str">
        <f t="shared" si="4"/>
        <v>Bench</v>
      </c>
      <c r="B186">
        <f t="shared" si="5"/>
        <v>7607</v>
      </c>
      <c r="E186" s="1" t="s">
        <v>253</v>
      </c>
      <c r="F186" s="1">
        <v>210</v>
      </c>
      <c r="G186" s="1">
        <v>11</v>
      </c>
      <c r="H186" s="1">
        <v>18.97</v>
      </c>
    </row>
    <row r="187" spans="1:8" x14ac:dyDescent="0.3">
      <c r="A187" t="str">
        <f t="shared" si="4"/>
        <v>Bench</v>
      </c>
      <c r="B187">
        <f t="shared" si="5"/>
        <v>12507</v>
      </c>
      <c r="E187" s="1" t="s">
        <v>95</v>
      </c>
      <c r="F187" s="1">
        <v>216</v>
      </c>
      <c r="G187" s="1">
        <v>5</v>
      </c>
      <c r="H187" s="1">
        <v>18.8</v>
      </c>
    </row>
    <row r="188" spans="1:8" x14ac:dyDescent="0.3">
      <c r="A188" t="str">
        <f t="shared" si="4"/>
        <v>Bench</v>
      </c>
      <c r="B188">
        <f t="shared" si="5"/>
        <v>2807</v>
      </c>
      <c r="E188" s="1" t="s">
        <v>106</v>
      </c>
      <c r="F188" s="1">
        <v>220</v>
      </c>
      <c r="G188" s="1">
        <v>11</v>
      </c>
      <c r="H188" s="1">
        <v>18.73</v>
      </c>
    </row>
    <row r="189" spans="1:8" x14ac:dyDescent="0.3">
      <c r="A189" t="str">
        <f t="shared" si="4"/>
        <v>Bench</v>
      </c>
      <c r="B189">
        <f t="shared" si="5"/>
        <v>4707</v>
      </c>
      <c r="E189" s="1" t="s">
        <v>107</v>
      </c>
      <c r="F189" s="1">
        <v>223</v>
      </c>
      <c r="G189" s="1">
        <v>10</v>
      </c>
      <c r="H189" s="1">
        <v>18.510000000000002</v>
      </c>
    </row>
    <row r="190" spans="1:8" x14ac:dyDescent="0.3">
      <c r="A190" t="str">
        <f t="shared" si="4"/>
        <v>Bench</v>
      </c>
      <c r="B190">
        <f t="shared" si="5"/>
        <v>6707</v>
      </c>
      <c r="E190" s="1" t="s">
        <v>118</v>
      </c>
      <c r="F190" s="1">
        <v>231</v>
      </c>
      <c r="G190" s="1">
        <v>14</v>
      </c>
      <c r="H190" s="1">
        <v>18.23</v>
      </c>
    </row>
    <row r="191" spans="1:8" x14ac:dyDescent="0.3">
      <c r="A191" t="str">
        <f t="shared" si="4"/>
        <v>Bench</v>
      </c>
      <c r="B191">
        <f t="shared" si="5"/>
        <v>2507</v>
      </c>
      <c r="E191" s="1" t="s">
        <v>92</v>
      </c>
      <c r="F191" s="1">
        <v>241</v>
      </c>
      <c r="G191" s="1">
        <v>6</v>
      </c>
      <c r="H191" s="1">
        <v>17.71</v>
      </c>
    </row>
    <row r="192" spans="1:8" x14ac:dyDescent="0.3">
      <c r="A192" t="str">
        <f t="shared" si="4"/>
        <v>Bench</v>
      </c>
      <c r="B192">
        <f t="shared" si="5"/>
        <v>3207</v>
      </c>
      <c r="E192" s="1" t="s">
        <v>127</v>
      </c>
      <c r="F192" s="1">
        <v>244</v>
      </c>
      <c r="G192" s="1">
        <v>13</v>
      </c>
      <c r="H192" s="1">
        <v>17.66</v>
      </c>
    </row>
    <row r="193" spans="1:8" x14ac:dyDescent="0.3">
      <c r="A193" t="str">
        <f t="shared" si="4"/>
        <v>Bench</v>
      </c>
      <c r="B193">
        <f t="shared" si="5"/>
        <v>15407</v>
      </c>
      <c r="E193" s="1" t="s">
        <v>494</v>
      </c>
      <c r="F193" s="1">
        <v>245</v>
      </c>
      <c r="G193" s="1">
        <v>6</v>
      </c>
      <c r="H193" s="1">
        <v>17.649999999999999</v>
      </c>
    </row>
    <row r="194" spans="1:8" x14ac:dyDescent="0.3">
      <c r="A194" t="str">
        <f t="shared" ref="A194:A257" si="6">IF(NOT(D194=""),INDEX(statAbbr,MATCH(D194,statOfficial,0),1),A193)</f>
        <v>Bench</v>
      </c>
      <c r="B194">
        <f t="shared" ref="B194:B257" si="7">INDEX(statID,MATCH(A194,statAbbr,0),1)+INDEX(teamID,MATCH(E194,teamRawName,0))</f>
        <v>18407</v>
      </c>
      <c r="E194" s="1" t="s">
        <v>417</v>
      </c>
      <c r="F194" s="1">
        <v>247</v>
      </c>
      <c r="G194" s="1">
        <v>5</v>
      </c>
      <c r="H194" s="1">
        <v>17.45</v>
      </c>
    </row>
    <row r="195" spans="1:8" x14ac:dyDescent="0.3">
      <c r="A195" t="str">
        <f t="shared" si="6"/>
        <v>Bench</v>
      </c>
      <c r="B195">
        <f t="shared" si="7"/>
        <v>3007</v>
      </c>
      <c r="E195" s="1" t="s">
        <v>89</v>
      </c>
      <c r="F195" s="1">
        <v>266</v>
      </c>
      <c r="G195" s="1">
        <v>15</v>
      </c>
      <c r="H195" s="1">
        <v>17.03</v>
      </c>
    </row>
    <row r="196" spans="1:8" x14ac:dyDescent="0.3">
      <c r="A196" t="str">
        <f t="shared" si="6"/>
        <v>Bench</v>
      </c>
      <c r="B196">
        <f t="shared" si="7"/>
        <v>13107</v>
      </c>
      <c r="E196" s="1" t="s">
        <v>289</v>
      </c>
      <c r="F196" s="1">
        <v>267</v>
      </c>
      <c r="G196" s="1">
        <v>13</v>
      </c>
      <c r="H196" s="1">
        <v>17</v>
      </c>
    </row>
    <row r="197" spans="1:8" x14ac:dyDescent="0.3">
      <c r="A197" t="str">
        <f t="shared" si="6"/>
        <v>Bench</v>
      </c>
      <c r="B197">
        <f t="shared" si="7"/>
        <v>6607</v>
      </c>
      <c r="E197" s="1" t="s">
        <v>247</v>
      </c>
      <c r="F197" s="1">
        <v>272</v>
      </c>
      <c r="G197" s="1">
        <v>11</v>
      </c>
      <c r="H197" s="1">
        <v>16.86</v>
      </c>
    </row>
    <row r="198" spans="1:8" x14ac:dyDescent="0.3">
      <c r="A198" t="str">
        <f t="shared" si="6"/>
        <v>Bench</v>
      </c>
      <c r="B198">
        <f t="shared" si="7"/>
        <v>8107</v>
      </c>
      <c r="E198" s="1" t="s">
        <v>256</v>
      </c>
      <c r="F198" s="1">
        <v>277</v>
      </c>
      <c r="G198" s="1">
        <v>16</v>
      </c>
      <c r="H198" s="1">
        <v>16.670000000000002</v>
      </c>
    </row>
    <row r="199" spans="1:8" x14ac:dyDescent="0.3">
      <c r="A199" t="str">
        <f t="shared" si="6"/>
        <v>Bench</v>
      </c>
      <c r="B199">
        <f t="shared" si="7"/>
        <v>4207</v>
      </c>
      <c r="E199" s="1" t="s">
        <v>123</v>
      </c>
      <c r="F199" s="1">
        <v>278</v>
      </c>
      <c r="G199" s="1">
        <v>16</v>
      </c>
      <c r="H199" s="1">
        <v>16.54</v>
      </c>
    </row>
    <row r="200" spans="1:8" x14ac:dyDescent="0.3">
      <c r="A200" t="str">
        <f t="shared" si="6"/>
        <v>Bench</v>
      </c>
      <c r="B200">
        <f t="shared" si="7"/>
        <v>14907</v>
      </c>
      <c r="E200" s="1" t="s">
        <v>307</v>
      </c>
      <c r="F200" s="1">
        <v>279</v>
      </c>
      <c r="G200" s="1">
        <v>6</v>
      </c>
      <c r="H200" s="1">
        <v>16.510000000000002</v>
      </c>
    </row>
    <row r="201" spans="1:8" x14ac:dyDescent="0.3">
      <c r="A201" t="str">
        <f t="shared" si="6"/>
        <v>Bench</v>
      </c>
      <c r="B201">
        <f t="shared" si="7"/>
        <v>15007</v>
      </c>
      <c r="E201" s="1" t="s">
        <v>463</v>
      </c>
      <c r="F201" s="1">
        <v>282</v>
      </c>
      <c r="G201" s="1">
        <v>9</v>
      </c>
      <c r="H201" s="1">
        <v>16.34</v>
      </c>
    </row>
    <row r="202" spans="1:8" x14ac:dyDescent="0.3">
      <c r="A202" t="str">
        <f t="shared" si="6"/>
        <v>Bench</v>
      </c>
      <c r="B202">
        <f t="shared" si="7"/>
        <v>15607</v>
      </c>
      <c r="E202" s="1" t="s">
        <v>468</v>
      </c>
      <c r="F202" s="1">
        <v>293</v>
      </c>
      <c r="G202" s="1">
        <v>8</v>
      </c>
      <c r="H202" s="1">
        <v>15.74</v>
      </c>
    </row>
    <row r="203" spans="1:8" x14ac:dyDescent="0.3">
      <c r="A203" t="str">
        <f t="shared" si="6"/>
        <v>Bench</v>
      </c>
      <c r="B203">
        <f t="shared" si="7"/>
        <v>4007</v>
      </c>
      <c r="E203" s="1" t="s">
        <v>105</v>
      </c>
      <c r="F203" s="1">
        <v>301</v>
      </c>
      <c r="G203" s="1">
        <v>16</v>
      </c>
      <c r="H203" s="1">
        <v>15.35</v>
      </c>
    </row>
    <row r="204" spans="1:8" x14ac:dyDescent="0.3">
      <c r="A204" t="str">
        <f t="shared" si="6"/>
        <v>Bench</v>
      </c>
      <c r="B204">
        <f t="shared" si="7"/>
        <v>9307</v>
      </c>
      <c r="E204" s="1" t="s">
        <v>357</v>
      </c>
      <c r="F204" s="1">
        <v>303</v>
      </c>
      <c r="G204" s="1">
        <v>7</v>
      </c>
      <c r="H204" s="1">
        <v>15.33</v>
      </c>
    </row>
    <row r="205" spans="1:8" x14ac:dyDescent="0.3">
      <c r="A205" t="str">
        <f t="shared" si="6"/>
        <v>Bench</v>
      </c>
      <c r="B205">
        <f t="shared" si="7"/>
        <v>15107</v>
      </c>
      <c r="E205" s="1" t="s">
        <v>464</v>
      </c>
      <c r="F205" s="1">
        <v>312</v>
      </c>
      <c r="G205" s="1">
        <v>11</v>
      </c>
      <c r="H205" s="1">
        <v>14.91</v>
      </c>
    </row>
    <row r="206" spans="1:8" x14ac:dyDescent="0.3">
      <c r="A206" t="str">
        <f t="shared" si="6"/>
        <v>Bench</v>
      </c>
      <c r="B206">
        <f t="shared" si="7"/>
        <v>8307</v>
      </c>
      <c r="E206" s="1" t="s">
        <v>257</v>
      </c>
      <c r="F206" s="1">
        <v>316</v>
      </c>
      <c r="G206" s="1">
        <v>10</v>
      </c>
      <c r="H206" s="1">
        <v>14.6</v>
      </c>
    </row>
    <row r="207" spans="1:8" x14ac:dyDescent="0.3">
      <c r="A207" t="str">
        <f t="shared" si="6"/>
        <v>Bench</v>
      </c>
      <c r="B207">
        <f t="shared" si="7"/>
        <v>3307</v>
      </c>
      <c r="E207" s="1" t="s">
        <v>91</v>
      </c>
      <c r="F207" s="1">
        <v>318</v>
      </c>
      <c r="G207" s="1">
        <v>8</v>
      </c>
      <c r="H207" s="1">
        <v>14.59</v>
      </c>
    </row>
    <row r="208" spans="1:8" x14ac:dyDescent="0.3">
      <c r="A208" t="str">
        <f t="shared" si="6"/>
        <v>Bench</v>
      </c>
      <c r="B208">
        <f t="shared" si="7"/>
        <v>3107</v>
      </c>
      <c r="E208" s="1" t="s">
        <v>93</v>
      </c>
      <c r="F208" s="1">
        <v>338</v>
      </c>
      <c r="G208" s="1">
        <v>9</v>
      </c>
      <c r="H208" s="1">
        <v>13.31</v>
      </c>
    </row>
    <row r="209" spans="1:10" x14ac:dyDescent="0.3">
      <c r="A209" t="str">
        <f t="shared" si="6"/>
        <v>Bench</v>
      </c>
      <c r="B209">
        <f t="shared" si="7"/>
        <v>11107</v>
      </c>
      <c r="E209" s="1" t="s">
        <v>277</v>
      </c>
      <c r="F209" s="1">
        <v>346</v>
      </c>
      <c r="G209" s="1">
        <v>18</v>
      </c>
      <c r="H209" s="1">
        <v>12.08</v>
      </c>
    </row>
    <row r="210" spans="1:10" x14ac:dyDescent="0.3">
      <c r="A210" t="str">
        <f t="shared" si="6"/>
        <v>BPG</v>
      </c>
      <c r="B210">
        <f t="shared" si="7"/>
        <v>2308</v>
      </c>
      <c r="D210" s="1" t="s">
        <v>539</v>
      </c>
      <c r="E210" s="1" t="s">
        <v>79</v>
      </c>
      <c r="F210" s="1">
        <v>1</v>
      </c>
      <c r="G210" s="1">
        <v>1</v>
      </c>
      <c r="H210" s="1">
        <v>6.2</v>
      </c>
      <c r="I210" s="1" t="s">
        <v>79</v>
      </c>
      <c r="J210" s="1">
        <v>6.2</v>
      </c>
    </row>
    <row r="211" spans="1:10" x14ac:dyDescent="0.3">
      <c r="A211" t="str">
        <f t="shared" si="6"/>
        <v>BPG</v>
      </c>
      <c r="B211">
        <f t="shared" si="7"/>
        <v>14908</v>
      </c>
      <c r="E211" s="1" t="s">
        <v>307</v>
      </c>
      <c r="F211" s="1">
        <v>2</v>
      </c>
      <c r="G211" s="1">
        <v>1</v>
      </c>
      <c r="H211" s="1">
        <v>6</v>
      </c>
    </row>
    <row r="212" spans="1:10" x14ac:dyDescent="0.3">
      <c r="A212" t="str">
        <f t="shared" si="6"/>
        <v>BPG</v>
      </c>
      <c r="B212">
        <f t="shared" si="7"/>
        <v>4508</v>
      </c>
      <c r="E212" s="1" t="s">
        <v>84</v>
      </c>
      <c r="F212" s="1">
        <v>3</v>
      </c>
      <c r="G212" s="1">
        <v>1</v>
      </c>
      <c r="H212" s="1">
        <v>5.9</v>
      </c>
    </row>
    <row r="213" spans="1:10" x14ac:dyDescent="0.3">
      <c r="A213" t="str">
        <f t="shared" si="6"/>
        <v>BPG</v>
      </c>
      <c r="B213">
        <f t="shared" si="7"/>
        <v>8108</v>
      </c>
      <c r="E213" s="1" t="s">
        <v>256</v>
      </c>
      <c r="F213" s="1">
        <v>6</v>
      </c>
      <c r="G213" s="1">
        <v>2</v>
      </c>
      <c r="H213" s="1">
        <v>5.6</v>
      </c>
    </row>
    <row r="214" spans="1:10" x14ac:dyDescent="0.3">
      <c r="A214" t="str">
        <f t="shared" si="6"/>
        <v>BPG</v>
      </c>
      <c r="B214">
        <f t="shared" si="7"/>
        <v>1208</v>
      </c>
      <c r="E214" s="1" t="s">
        <v>130</v>
      </c>
      <c r="F214" s="1">
        <v>8</v>
      </c>
      <c r="G214" s="1">
        <v>1</v>
      </c>
      <c r="H214" s="1">
        <v>5.5</v>
      </c>
    </row>
    <row r="215" spans="1:10" x14ac:dyDescent="0.3">
      <c r="A215" t="str">
        <f t="shared" si="6"/>
        <v>BPG</v>
      </c>
      <c r="B215">
        <f t="shared" si="7"/>
        <v>12208</v>
      </c>
      <c r="E215" s="1" t="s">
        <v>284</v>
      </c>
      <c r="F215" s="1">
        <v>9</v>
      </c>
      <c r="G215" s="1">
        <v>2</v>
      </c>
      <c r="H215" s="1">
        <v>5.4</v>
      </c>
    </row>
    <row r="216" spans="1:10" x14ac:dyDescent="0.3">
      <c r="A216" t="str">
        <f t="shared" si="6"/>
        <v>BPG</v>
      </c>
      <c r="B216">
        <f t="shared" si="7"/>
        <v>9308</v>
      </c>
      <c r="E216" s="1" t="s">
        <v>357</v>
      </c>
      <c r="F216" s="1">
        <v>13</v>
      </c>
      <c r="G216" s="1">
        <v>2</v>
      </c>
      <c r="H216" s="1">
        <v>5.2</v>
      </c>
    </row>
    <row r="217" spans="1:10" x14ac:dyDescent="0.3">
      <c r="A217" t="str">
        <f t="shared" si="6"/>
        <v>BPG</v>
      </c>
      <c r="B217">
        <f t="shared" si="7"/>
        <v>5808</v>
      </c>
      <c r="E217" s="1" t="s">
        <v>139</v>
      </c>
      <c r="F217" s="1">
        <v>14</v>
      </c>
      <c r="G217" s="1">
        <v>2</v>
      </c>
      <c r="H217" s="1">
        <v>5.0999999999999996</v>
      </c>
    </row>
    <row r="218" spans="1:10" x14ac:dyDescent="0.3">
      <c r="A218" t="str">
        <f t="shared" si="6"/>
        <v>BPG</v>
      </c>
      <c r="B218">
        <f t="shared" si="7"/>
        <v>13908</v>
      </c>
      <c r="E218" s="1" t="s">
        <v>297</v>
      </c>
      <c r="F218" s="1">
        <v>15</v>
      </c>
      <c r="G218" s="1">
        <v>3</v>
      </c>
      <c r="H218" s="1">
        <v>5.0999999999999996</v>
      </c>
    </row>
    <row r="219" spans="1:10" x14ac:dyDescent="0.3">
      <c r="A219" t="str">
        <f t="shared" si="6"/>
        <v>BPG</v>
      </c>
      <c r="B219">
        <f t="shared" si="7"/>
        <v>4708</v>
      </c>
      <c r="E219" s="1" t="s">
        <v>107</v>
      </c>
      <c r="F219" s="1">
        <v>17</v>
      </c>
      <c r="G219" s="1">
        <v>2</v>
      </c>
      <c r="H219" s="1">
        <v>5</v>
      </c>
    </row>
    <row r="220" spans="1:10" x14ac:dyDescent="0.3">
      <c r="A220" t="str">
        <f t="shared" si="6"/>
        <v>BPG</v>
      </c>
      <c r="B220">
        <f t="shared" si="7"/>
        <v>3508</v>
      </c>
      <c r="E220" s="1" t="s">
        <v>87</v>
      </c>
      <c r="F220" s="1">
        <v>22</v>
      </c>
      <c r="G220" s="1">
        <v>4</v>
      </c>
      <c r="H220" s="1">
        <v>4.8</v>
      </c>
    </row>
    <row r="221" spans="1:10" x14ac:dyDescent="0.3">
      <c r="A221" t="str">
        <f t="shared" si="6"/>
        <v>BPG</v>
      </c>
      <c r="B221">
        <f t="shared" si="7"/>
        <v>6608</v>
      </c>
      <c r="E221" s="1" t="s">
        <v>247</v>
      </c>
      <c r="F221" s="1">
        <v>24</v>
      </c>
      <c r="G221" s="1">
        <v>1</v>
      </c>
      <c r="H221" s="1">
        <v>4.7</v>
      </c>
    </row>
    <row r="222" spans="1:10" x14ac:dyDescent="0.3">
      <c r="A222" t="str">
        <f t="shared" si="6"/>
        <v>BPG</v>
      </c>
      <c r="B222">
        <f t="shared" si="7"/>
        <v>3908</v>
      </c>
      <c r="E222" s="1" t="s">
        <v>88</v>
      </c>
      <c r="F222" s="1">
        <v>28</v>
      </c>
      <c r="G222" s="1">
        <v>1</v>
      </c>
      <c r="H222" s="1">
        <v>4.7</v>
      </c>
    </row>
    <row r="223" spans="1:10" x14ac:dyDescent="0.3">
      <c r="A223" t="str">
        <f t="shared" si="6"/>
        <v>BPG</v>
      </c>
      <c r="B223">
        <f t="shared" si="7"/>
        <v>15708</v>
      </c>
      <c r="E223" s="1" t="s">
        <v>469</v>
      </c>
      <c r="F223" s="1">
        <v>33</v>
      </c>
      <c r="G223" s="1">
        <v>2</v>
      </c>
      <c r="H223" s="1">
        <v>4.5999999999999996</v>
      </c>
    </row>
    <row r="224" spans="1:10" x14ac:dyDescent="0.3">
      <c r="A224" t="str">
        <f t="shared" si="6"/>
        <v>BPG</v>
      </c>
      <c r="B224">
        <f t="shared" si="7"/>
        <v>2808</v>
      </c>
      <c r="E224" s="1" t="s">
        <v>106</v>
      </c>
      <c r="F224" s="1">
        <v>35</v>
      </c>
      <c r="G224" s="1">
        <v>2</v>
      </c>
      <c r="H224" s="1">
        <v>4.5999999999999996</v>
      </c>
    </row>
    <row r="225" spans="1:8" x14ac:dyDescent="0.3">
      <c r="A225" t="str">
        <f t="shared" si="6"/>
        <v>BPG</v>
      </c>
      <c r="B225">
        <f t="shared" si="7"/>
        <v>908</v>
      </c>
      <c r="E225" s="1" t="s">
        <v>90</v>
      </c>
      <c r="F225" s="1">
        <v>36</v>
      </c>
      <c r="G225" s="1">
        <v>2</v>
      </c>
      <c r="H225" s="1">
        <v>4.5999999999999996</v>
      </c>
    </row>
    <row r="226" spans="1:8" x14ac:dyDescent="0.3">
      <c r="A226" t="str">
        <f t="shared" si="6"/>
        <v>BPG</v>
      </c>
      <c r="B226">
        <f t="shared" si="7"/>
        <v>15108</v>
      </c>
      <c r="E226" s="1" t="s">
        <v>464</v>
      </c>
      <c r="F226" s="1">
        <v>38</v>
      </c>
      <c r="G226" s="1">
        <v>3</v>
      </c>
      <c r="H226" s="1">
        <v>4.5</v>
      </c>
    </row>
    <row r="227" spans="1:8" x14ac:dyDescent="0.3">
      <c r="A227" t="str">
        <f t="shared" si="6"/>
        <v>BPG</v>
      </c>
      <c r="B227">
        <f t="shared" si="7"/>
        <v>3708</v>
      </c>
      <c r="E227" s="1" t="s">
        <v>115</v>
      </c>
      <c r="F227" s="1">
        <v>40</v>
      </c>
      <c r="G227" s="1">
        <v>6</v>
      </c>
      <c r="H227" s="1">
        <v>4.5</v>
      </c>
    </row>
    <row r="228" spans="1:8" x14ac:dyDescent="0.3">
      <c r="A228" t="str">
        <f t="shared" si="6"/>
        <v>BPG</v>
      </c>
      <c r="B228">
        <f t="shared" si="7"/>
        <v>5708</v>
      </c>
      <c r="E228" s="1" t="s">
        <v>120</v>
      </c>
      <c r="F228" s="1">
        <v>42</v>
      </c>
      <c r="G228" s="1">
        <v>7</v>
      </c>
      <c r="H228" s="1">
        <v>4.5</v>
      </c>
    </row>
    <row r="229" spans="1:8" x14ac:dyDescent="0.3">
      <c r="A229" t="str">
        <f t="shared" si="6"/>
        <v>BPG</v>
      </c>
      <c r="B229">
        <f t="shared" si="7"/>
        <v>3108</v>
      </c>
      <c r="E229" s="1" t="s">
        <v>93</v>
      </c>
      <c r="F229" s="1">
        <v>43</v>
      </c>
      <c r="G229" s="1">
        <v>3</v>
      </c>
      <c r="H229" s="1">
        <v>4.5</v>
      </c>
    </row>
    <row r="230" spans="1:8" x14ac:dyDescent="0.3">
      <c r="A230" t="str">
        <f t="shared" si="6"/>
        <v>BPG</v>
      </c>
      <c r="B230">
        <f t="shared" si="7"/>
        <v>11108</v>
      </c>
      <c r="E230" s="1" t="s">
        <v>277</v>
      </c>
      <c r="F230" s="1">
        <v>43</v>
      </c>
      <c r="G230" s="1">
        <v>3</v>
      </c>
      <c r="H230" s="1">
        <v>4.5</v>
      </c>
    </row>
    <row r="231" spans="1:8" x14ac:dyDescent="0.3">
      <c r="A231" t="str">
        <f t="shared" si="6"/>
        <v>BPG</v>
      </c>
      <c r="B231">
        <f t="shared" si="7"/>
        <v>1608</v>
      </c>
      <c r="E231" s="1" t="s">
        <v>137</v>
      </c>
      <c r="F231" s="1">
        <v>45</v>
      </c>
      <c r="G231" s="1">
        <v>8</v>
      </c>
      <c r="H231" s="1">
        <v>4.5</v>
      </c>
    </row>
    <row r="232" spans="1:8" x14ac:dyDescent="0.3">
      <c r="A232" t="str">
        <f t="shared" si="6"/>
        <v>BPG</v>
      </c>
      <c r="B232">
        <f t="shared" si="7"/>
        <v>2908</v>
      </c>
      <c r="E232" s="1" t="s">
        <v>96</v>
      </c>
      <c r="F232" s="1">
        <v>54</v>
      </c>
      <c r="G232" s="1">
        <v>5</v>
      </c>
      <c r="H232" s="1">
        <v>4.4000000000000004</v>
      </c>
    </row>
    <row r="233" spans="1:8" x14ac:dyDescent="0.3">
      <c r="A233" t="str">
        <f t="shared" si="6"/>
        <v>BPG</v>
      </c>
      <c r="B233">
        <f t="shared" si="7"/>
        <v>6708</v>
      </c>
      <c r="E233" s="1" t="s">
        <v>118</v>
      </c>
      <c r="F233" s="1">
        <v>60</v>
      </c>
      <c r="G233" s="1">
        <v>9</v>
      </c>
      <c r="H233" s="1">
        <v>4.3</v>
      </c>
    </row>
    <row r="234" spans="1:8" x14ac:dyDescent="0.3">
      <c r="A234" t="str">
        <f t="shared" si="6"/>
        <v>BPG</v>
      </c>
      <c r="B234">
        <f t="shared" si="7"/>
        <v>4308</v>
      </c>
      <c r="E234" s="1" t="s">
        <v>125</v>
      </c>
      <c r="F234" s="1">
        <v>65</v>
      </c>
      <c r="G234" s="1">
        <v>4</v>
      </c>
      <c r="H234" s="1">
        <v>4.2</v>
      </c>
    </row>
    <row r="235" spans="1:8" x14ac:dyDescent="0.3">
      <c r="A235" t="str">
        <f t="shared" si="6"/>
        <v>BPG</v>
      </c>
      <c r="B235">
        <f t="shared" si="7"/>
        <v>15408</v>
      </c>
      <c r="E235" s="1" t="s">
        <v>494</v>
      </c>
      <c r="F235" s="1">
        <v>79</v>
      </c>
      <c r="G235" s="1">
        <v>2</v>
      </c>
      <c r="H235" s="1">
        <v>4</v>
      </c>
    </row>
    <row r="236" spans="1:8" x14ac:dyDescent="0.3">
      <c r="A236" t="str">
        <f t="shared" si="6"/>
        <v>BPG</v>
      </c>
      <c r="B236">
        <f t="shared" si="7"/>
        <v>3608</v>
      </c>
      <c r="E236" s="1" t="s">
        <v>129</v>
      </c>
      <c r="F236" s="1">
        <v>79</v>
      </c>
      <c r="G236" s="1">
        <v>10</v>
      </c>
      <c r="H236" s="1">
        <v>4</v>
      </c>
    </row>
    <row r="237" spans="1:8" x14ac:dyDescent="0.3">
      <c r="A237" t="str">
        <f t="shared" si="6"/>
        <v>BPG</v>
      </c>
      <c r="B237">
        <f t="shared" si="7"/>
        <v>5508</v>
      </c>
      <c r="E237" s="1" t="s">
        <v>86</v>
      </c>
      <c r="F237" s="1">
        <v>81</v>
      </c>
      <c r="G237" s="1">
        <v>11</v>
      </c>
      <c r="H237" s="1">
        <v>4</v>
      </c>
    </row>
    <row r="238" spans="1:8" x14ac:dyDescent="0.3">
      <c r="A238" t="str">
        <f t="shared" si="6"/>
        <v>BPG</v>
      </c>
      <c r="B238">
        <f t="shared" si="7"/>
        <v>2508</v>
      </c>
      <c r="E238" s="1" t="s">
        <v>92</v>
      </c>
      <c r="F238" s="1">
        <v>82</v>
      </c>
      <c r="G238" s="1">
        <v>2</v>
      </c>
      <c r="H238" s="1">
        <v>4</v>
      </c>
    </row>
    <row r="239" spans="1:8" x14ac:dyDescent="0.3">
      <c r="A239" t="str">
        <f t="shared" si="6"/>
        <v>BPG</v>
      </c>
      <c r="B239">
        <f t="shared" si="7"/>
        <v>5408</v>
      </c>
      <c r="E239" s="1" t="s">
        <v>94</v>
      </c>
      <c r="F239" s="1">
        <v>86</v>
      </c>
      <c r="G239" s="1">
        <v>4</v>
      </c>
      <c r="H239" s="1">
        <v>3.9</v>
      </c>
    </row>
    <row r="240" spans="1:8" x14ac:dyDescent="0.3">
      <c r="A240" t="str">
        <f t="shared" si="6"/>
        <v>BPG</v>
      </c>
      <c r="B240">
        <f t="shared" si="7"/>
        <v>14408</v>
      </c>
      <c r="E240" s="1" t="s">
        <v>302</v>
      </c>
      <c r="F240" s="1">
        <v>87</v>
      </c>
      <c r="G240" s="1">
        <v>12</v>
      </c>
      <c r="H240" s="1">
        <v>3.9</v>
      </c>
    </row>
    <row r="241" spans="1:8" x14ac:dyDescent="0.3">
      <c r="A241" t="str">
        <f t="shared" si="6"/>
        <v>BPG</v>
      </c>
      <c r="B241">
        <f t="shared" si="7"/>
        <v>8208</v>
      </c>
      <c r="E241" s="1" t="s">
        <v>131</v>
      </c>
      <c r="F241" s="1">
        <v>100</v>
      </c>
      <c r="G241" s="1">
        <v>1</v>
      </c>
      <c r="H241" s="1">
        <v>3.7</v>
      </c>
    </row>
    <row r="242" spans="1:8" x14ac:dyDescent="0.3">
      <c r="A242" t="str">
        <f t="shared" si="6"/>
        <v>BPG</v>
      </c>
      <c r="B242">
        <f t="shared" si="7"/>
        <v>308</v>
      </c>
      <c r="E242" s="1" t="s">
        <v>215</v>
      </c>
      <c r="F242" s="1">
        <v>105</v>
      </c>
      <c r="G242" s="1">
        <v>13</v>
      </c>
      <c r="H242" s="1">
        <v>3.7</v>
      </c>
    </row>
    <row r="243" spans="1:8" x14ac:dyDescent="0.3">
      <c r="A243" t="str">
        <f t="shared" si="6"/>
        <v>BPG</v>
      </c>
      <c r="B243">
        <f t="shared" si="7"/>
        <v>6908</v>
      </c>
      <c r="E243" s="1" t="s">
        <v>114</v>
      </c>
      <c r="F243" s="1">
        <v>108</v>
      </c>
      <c r="G243" s="1">
        <v>9</v>
      </c>
      <c r="H243" s="1">
        <v>3.7</v>
      </c>
    </row>
    <row r="244" spans="1:8" x14ac:dyDescent="0.3">
      <c r="A244" t="str">
        <f t="shared" si="6"/>
        <v>BPG</v>
      </c>
      <c r="B244">
        <f t="shared" si="7"/>
        <v>7608</v>
      </c>
      <c r="E244" s="1" t="s">
        <v>253</v>
      </c>
      <c r="F244" s="1">
        <v>117</v>
      </c>
      <c r="G244" s="1">
        <v>10</v>
      </c>
      <c r="H244" s="1">
        <v>3.6</v>
      </c>
    </row>
    <row r="245" spans="1:8" x14ac:dyDescent="0.3">
      <c r="A245" t="str">
        <f t="shared" si="6"/>
        <v>BPG</v>
      </c>
      <c r="B245">
        <f t="shared" si="7"/>
        <v>4908</v>
      </c>
      <c r="E245" s="1" t="s">
        <v>108</v>
      </c>
      <c r="F245" s="1">
        <v>117</v>
      </c>
      <c r="G245" s="1">
        <v>12</v>
      </c>
      <c r="H245" s="1">
        <v>3.6</v>
      </c>
    </row>
    <row r="246" spans="1:8" x14ac:dyDescent="0.3">
      <c r="A246" t="str">
        <f t="shared" si="6"/>
        <v>BPG</v>
      </c>
      <c r="B246">
        <f t="shared" si="7"/>
        <v>3308</v>
      </c>
      <c r="E246" s="1" t="s">
        <v>91</v>
      </c>
      <c r="F246" s="1">
        <v>119</v>
      </c>
      <c r="G246" s="1">
        <v>5</v>
      </c>
      <c r="H246" s="1">
        <v>3.6</v>
      </c>
    </row>
    <row r="247" spans="1:8" x14ac:dyDescent="0.3">
      <c r="A247" t="str">
        <f t="shared" si="6"/>
        <v>BPG</v>
      </c>
      <c r="B247">
        <f t="shared" si="7"/>
        <v>12508</v>
      </c>
      <c r="E247" s="1" t="s">
        <v>95</v>
      </c>
      <c r="F247" s="1">
        <v>129</v>
      </c>
      <c r="G247" s="1">
        <v>2</v>
      </c>
      <c r="H247" s="1">
        <v>3.6</v>
      </c>
    </row>
    <row r="248" spans="1:8" x14ac:dyDescent="0.3">
      <c r="A248" t="str">
        <f t="shared" si="6"/>
        <v>BPG</v>
      </c>
      <c r="B248">
        <f t="shared" si="7"/>
        <v>18308</v>
      </c>
      <c r="E248" s="1" t="s">
        <v>423</v>
      </c>
      <c r="F248" s="1">
        <v>136</v>
      </c>
      <c r="G248" s="1">
        <v>7</v>
      </c>
      <c r="H248" s="1">
        <v>3.6</v>
      </c>
    </row>
    <row r="249" spans="1:8" x14ac:dyDescent="0.3">
      <c r="A249" t="str">
        <f t="shared" si="6"/>
        <v>BPG</v>
      </c>
      <c r="B249">
        <f t="shared" si="7"/>
        <v>4008</v>
      </c>
      <c r="E249" s="1" t="s">
        <v>105</v>
      </c>
      <c r="F249" s="1">
        <v>146</v>
      </c>
      <c r="G249" s="1">
        <v>13</v>
      </c>
      <c r="H249" s="1">
        <v>3.5</v>
      </c>
    </row>
    <row r="250" spans="1:8" x14ac:dyDescent="0.3">
      <c r="A250" t="str">
        <f t="shared" si="6"/>
        <v>BPG</v>
      </c>
      <c r="B250">
        <f t="shared" si="7"/>
        <v>608</v>
      </c>
      <c r="E250" s="1" t="s">
        <v>100</v>
      </c>
      <c r="F250" s="1">
        <v>156</v>
      </c>
      <c r="G250" s="1">
        <v>12</v>
      </c>
      <c r="H250" s="1">
        <v>3.4</v>
      </c>
    </row>
    <row r="251" spans="1:8" x14ac:dyDescent="0.3">
      <c r="A251" t="str">
        <f t="shared" si="6"/>
        <v>BPG</v>
      </c>
      <c r="B251">
        <f t="shared" si="7"/>
        <v>208</v>
      </c>
      <c r="E251" s="1" t="s">
        <v>98</v>
      </c>
      <c r="F251" s="1">
        <v>156</v>
      </c>
      <c r="G251" s="1">
        <v>8</v>
      </c>
      <c r="H251" s="1">
        <v>3.4</v>
      </c>
    </row>
    <row r="252" spans="1:8" x14ac:dyDescent="0.3">
      <c r="A252" t="str">
        <f t="shared" si="6"/>
        <v>BPG</v>
      </c>
      <c r="B252">
        <f t="shared" si="7"/>
        <v>11708</v>
      </c>
      <c r="E252" s="1" t="s">
        <v>280</v>
      </c>
      <c r="F252" s="1">
        <v>187</v>
      </c>
      <c r="G252" s="1">
        <v>4</v>
      </c>
      <c r="H252" s="1">
        <v>3.2</v>
      </c>
    </row>
    <row r="253" spans="1:8" x14ac:dyDescent="0.3">
      <c r="A253" t="str">
        <f t="shared" si="6"/>
        <v>BPG</v>
      </c>
      <c r="B253">
        <f t="shared" si="7"/>
        <v>9008</v>
      </c>
      <c r="E253" s="1" t="s">
        <v>261</v>
      </c>
      <c r="F253" s="1">
        <v>194</v>
      </c>
      <c r="G253" s="1">
        <v>14</v>
      </c>
      <c r="H253" s="1">
        <v>3.1</v>
      </c>
    </row>
    <row r="254" spans="1:8" x14ac:dyDescent="0.3">
      <c r="A254" t="str">
        <f t="shared" si="6"/>
        <v>BPG</v>
      </c>
      <c r="B254">
        <f t="shared" si="7"/>
        <v>2708</v>
      </c>
      <c r="E254" s="1" t="s">
        <v>7</v>
      </c>
      <c r="F254" s="1">
        <v>195</v>
      </c>
      <c r="G254" s="1">
        <v>13</v>
      </c>
      <c r="H254" s="1">
        <v>3.1</v>
      </c>
    </row>
    <row r="255" spans="1:8" x14ac:dyDescent="0.3">
      <c r="A255" t="str">
        <f t="shared" si="6"/>
        <v>BPG</v>
      </c>
      <c r="B255">
        <f t="shared" si="7"/>
        <v>7208</v>
      </c>
      <c r="E255" s="1" t="s">
        <v>116</v>
      </c>
      <c r="F255" s="1">
        <v>202</v>
      </c>
      <c r="G255" s="1">
        <v>14</v>
      </c>
      <c r="H255" s="1">
        <v>3.1</v>
      </c>
    </row>
    <row r="256" spans="1:8" x14ac:dyDescent="0.3">
      <c r="A256" t="str">
        <f t="shared" si="6"/>
        <v>BPG</v>
      </c>
      <c r="B256">
        <f t="shared" si="7"/>
        <v>2008</v>
      </c>
      <c r="E256" s="1" t="s">
        <v>328</v>
      </c>
      <c r="F256" s="1">
        <v>219</v>
      </c>
      <c r="G256" s="1">
        <v>4</v>
      </c>
      <c r="H256" s="1">
        <v>3</v>
      </c>
    </row>
    <row r="257" spans="1:8" x14ac:dyDescent="0.3">
      <c r="A257" t="str">
        <f t="shared" si="6"/>
        <v>BPG</v>
      </c>
      <c r="B257">
        <f t="shared" si="7"/>
        <v>4408</v>
      </c>
      <c r="E257" s="1" t="s">
        <v>83</v>
      </c>
      <c r="F257" s="1">
        <v>230</v>
      </c>
      <c r="G257" s="1">
        <v>9</v>
      </c>
      <c r="H257" s="1">
        <v>3</v>
      </c>
    </row>
    <row r="258" spans="1:8" x14ac:dyDescent="0.3">
      <c r="A258" t="str">
        <f t="shared" ref="A258:A321" si="8">IF(NOT(D258=""),INDEX(statAbbr,MATCH(D258,statOfficial,0),1),A257)</f>
        <v>BPG</v>
      </c>
      <c r="B258">
        <f t="shared" ref="B258:B321" si="9">INDEX(statID,MATCH(A258,statAbbr,0),1)+INDEX(teamID,MATCH(E258,teamRawName,0))</f>
        <v>8308</v>
      </c>
      <c r="E258" s="1" t="s">
        <v>257</v>
      </c>
      <c r="F258" s="1">
        <v>230</v>
      </c>
      <c r="G258" s="1">
        <v>6</v>
      </c>
      <c r="H258" s="1">
        <v>3</v>
      </c>
    </row>
    <row r="259" spans="1:8" x14ac:dyDescent="0.3">
      <c r="A259" t="str">
        <f t="shared" si="8"/>
        <v>BPG</v>
      </c>
      <c r="B259">
        <f t="shared" si="9"/>
        <v>5108</v>
      </c>
      <c r="E259" s="1" t="s">
        <v>240</v>
      </c>
      <c r="F259" s="1">
        <v>234</v>
      </c>
      <c r="G259" s="1">
        <v>7</v>
      </c>
      <c r="H259" s="1">
        <v>2.9</v>
      </c>
    </row>
    <row r="260" spans="1:8" x14ac:dyDescent="0.3">
      <c r="A260" t="str">
        <f t="shared" si="8"/>
        <v>BPG</v>
      </c>
      <c r="B260">
        <f t="shared" si="9"/>
        <v>10608</v>
      </c>
      <c r="E260" s="1" t="s">
        <v>161</v>
      </c>
      <c r="F260" s="1">
        <v>246</v>
      </c>
      <c r="G260" s="1">
        <v>6</v>
      </c>
      <c r="H260" s="1">
        <v>2.9</v>
      </c>
    </row>
    <row r="261" spans="1:8" x14ac:dyDescent="0.3">
      <c r="A261" t="str">
        <f t="shared" si="8"/>
        <v>BPG</v>
      </c>
      <c r="B261">
        <f t="shared" si="9"/>
        <v>13108</v>
      </c>
      <c r="E261" s="1" t="s">
        <v>289</v>
      </c>
      <c r="F261" s="1">
        <v>246</v>
      </c>
      <c r="G261" s="1">
        <v>15</v>
      </c>
      <c r="H261" s="1">
        <v>2.9</v>
      </c>
    </row>
    <row r="262" spans="1:8" x14ac:dyDescent="0.3">
      <c r="A262" t="str">
        <f t="shared" si="8"/>
        <v>BPG</v>
      </c>
      <c r="B262">
        <f t="shared" si="9"/>
        <v>16208</v>
      </c>
      <c r="E262" s="1" t="s">
        <v>497</v>
      </c>
      <c r="F262" s="1">
        <v>257</v>
      </c>
      <c r="G262" s="1">
        <v>9</v>
      </c>
      <c r="H262" s="1">
        <v>2.8</v>
      </c>
    </row>
    <row r="263" spans="1:8" x14ac:dyDescent="0.3">
      <c r="A263" t="str">
        <f t="shared" si="8"/>
        <v>BPG</v>
      </c>
      <c r="B263">
        <f t="shared" si="9"/>
        <v>3208</v>
      </c>
      <c r="E263" s="1" t="s">
        <v>127</v>
      </c>
      <c r="F263" s="1">
        <v>258</v>
      </c>
      <c r="G263" s="1">
        <v>16</v>
      </c>
      <c r="H263" s="1">
        <v>2.8</v>
      </c>
    </row>
    <row r="264" spans="1:8" x14ac:dyDescent="0.3">
      <c r="A264" t="str">
        <f t="shared" si="8"/>
        <v>BPG</v>
      </c>
      <c r="B264">
        <f t="shared" si="9"/>
        <v>1408</v>
      </c>
      <c r="E264" s="1" t="s">
        <v>102</v>
      </c>
      <c r="F264" s="1">
        <v>262</v>
      </c>
      <c r="G264" s="1">
        <v>9</v>
      </c>
      <c r="H264" s="1">
        <v>2.8</v>
      </c>
    </row>
    <row r="265" spans="1:8" x14ac:dyDescent="0.3">
      <c r="A265" t="str">
        <f t="shared" si="8"/>
        <v>BPG</v>
      </c>
      <c r="B265">
        <f t="shared" si="9"/>
        <v>1308</v>
      </c>
      <c r="E265" s="1" t="s">
        <v>82</v>
      </c>
      <c r="F265" s="1">
        <v>264</v>
      </c>
      <c r="G265" s="1">
        <v>10</v>
      </c>
      <c r="H265" s="1">
        <v>2.8</v>
      </c>
    </row>
    <row r="266" spans="1:8" x14ac:dyDescent="0.3">
      <c r="A266" t="str">
        <f t="shared" si="8"/>
        <v>BPG</v>
      </c>
      <c r="B266">
        <f t="shared" si="9"/>
        <v>16108</v>
      </c>
      <c r="E266" s="1" t="s">
        <v>473</v>
      </c>
      <c r="F266" s="1">
        <v>264</v>
      </c>
      <c r="G266" s="1">
        <v>10</v>
      </c>
      <c r="H266" s="1">
        <v>2.8</v>
      </c>
    </row>
    <row r="267" spans="1:8" x14ac:dyDescent="0.3">
      <c r="A267" t="str">
        <f t="shared" si="8"/>
        <v>BPG</v>
      </c>
      <c r="B267">
        <f t="shared" si="9"/>
        <v>18408</v>
      </c>
      <c r="E267" s="1" t="s">
        <v>417</v>
      </c>
      <c r="F267" s="1">
        <v>271</v>
      </c>
      <c r="G267" s="1">
        <v>4</v>
      </c>
      <c r="H267" s="1">
        <v>2.7</v>
      </c>
    </row>
    <row r="268" spans="1:8" x14ac:dyDescent="0.3">
      <c r="A268" t="str">
        <f t="shared" si="8"/>
        <v>BPG</v>
      </c>
      <c r="B268">
        <f t="shared" si="9"/>
        <v>14108</v>
      </c>
      <c r="E268" s="1" t="s">
        <v>299</v>
      </c>
      <c r="F268" s="1">
        <v>283</v>
      </c>
      <c r="G268" s="1">
        <v>15</v>
      </c>
      <c r="H268" s="1">
        <v>2.6</v>
      </c>
    </row>
    <row r="269" spans="1:8" x14ac:dyDescent="0.3">
      <c r="A269" t="str">
        <f t="shared" si="8"/>
        <v>BPG</v>
      </c>
      <c r="B269">
        <f t="shared" si="9"/>
        <v>7408</v>
      </c>
      <c r="E269" s="1" t="s">
        <v>251</v>
      </c>
      <c r="F269" s="1">
        <v>291</v>
      </c>
      <c r="G269" s="1">
        <v>10</v>
      </c>
      <c r="H269" s="1">
        <v>2.5</v>
      </c>
    </row>
    <row r="270" spans="1:8" x14ac:dyDescent="0.3">
      <c r="A270" t="str">
        <f t="shared" si="8"/>
        <v>BPG</v>
      </c>
      <c r="B270">
        <f t="shared" si="9"/>
        <v>15808</v>
      </c>
      <c r="E270" s="1" t="s">
        <v>470</v>
      </c>
      <c r="F270" s="1">
        <v>295</v>
      </c>
      <c r="G270" s="1">
        <v>9</v>
      </c>
      <c r="H270" s="1">
        <v>2.5</v>
      </c>
    </row>
    <row r="271" spans="1:8" x14ac:dyDescent="0.3">
      <c r="A271" t="str">
        <f t="shared" si="8"/>
        <v>BPG</v>
      </c>
      <c r="B271">
        <f t="shared" si="9"/>
        <v>15908</v>
      </c>
      <c r="E271" s="1" t="s">
        <v>495</v>
      </c>
      <c r="F271" s="1">
        <v>296</v>
      </c>
      <c r="G271" s="1">
        <v>5</v>
      </c>
      <c r="H271" s="1">
        <v>2.5</v>
      </c>
    </row>
    <row r="272" spans="1:8" x14ac:dyDescent="0.3">
      <c r="A272" t="str">
        <f t="shared" si="8"/>
        <v>BPG</v>
      </c>
      <c r="B272">
        <f t="shared" si="9"/>
        <v>9508</v>
      </c>
      <c r="E272" s="1" t="s">
        <v>85</v>
      </c>
      <c r="F272" s="1">
        <v>300</v>
      </c>
      <c r="G272" s="1">
        <v>10</v>
      </c>
      <c r="H272" s="1">
        <v>2.4</v>
      </c>
    </row>
    <row r="273" spans="1:10" x14ac:dyDescent="0.3">
      <c r="A273" t="str">
        <f t="shared" si="8"/>
        <v>BPG</v>
      </c>
      <c r="B273">
        <f t="shared" si="9"/>
        <v>4208</v>
      </c>
      <c r="E273" s="1" t="s">
        <v>123</v>
      </c>
      <c r="F273" s="1">
        <v>310</v>
      </c>
      <c r="G273" s="1">
        <v>17</v>
      </c>
      <c r="H273" s="1">
        <v>2.4</v>
      </c>
    </row>
    <row r="274" spans="1:10" x14ac:dyDescent="0.3">
      <c r="A274" t="str">
        <f t="shared" si="8"/>
        <v>BPG</v>
      </c>
      <c r="B274">
        <f t="shared" si="9"/>
        <v>18508</v>
      </c>
      <c r="E274" s="1" t="s">
        <v>420</v>
      </c>
      <c r="F274" s="1">
        <v>314</v>
      </c>
      <c r="G274" s="1">
        <v>7</v>
      </c>
      <c r="H274" s="1">
        <v>2.2999999999999998</v>
      </c>
    </row>
    <row r="275" spans="1:10" x14ac:dyDescent="0.3">
      <c r="A275" t="str">
        <f t="shared" si="8"/>
        <v>BPG</v>
      </c>
      <c r="B275">
        <f t="shared" si="9"/>
        <v>3808</v>
      </c>
      <c r="E275" s="1" t="s">
        <v>238</v>
      </c>
      <c r="F275" s="1">
        <v>321</v>
      </c>
      <c r="G275" s="1">
        <v>16</v>
      </c>
      <c r="H275" s="1">
        <v>2.2999999999999998</v>
      </c>
    </row>
    <row r="276" spans="1:10" x14ac:dyDescent="0.3">
      <c r="A276" t="str">
        <f t="shared" si="8"/>
        <v>BPG</v>
      </c>
      <c r="B276">
        <f t="shared" si="9"/>
        <v>15008</v>
      </c>
      <c r="E276" s="1" t="s">
        <v>463</v>
      </c>
      <c r="F276" s="1">
        <v>331</v>
      </c>
      <c r="G276" s="1">
        <v>10</v>
      </c>
      <c r="H276" s="1">
        <v>2.1</v>
      </c>
    </row>
    <row r="277" spans="1:10" x14ac:dyDescent="0.3">
      <c r="A277" t="str">
        <f t="shared" si="8"/>
        <v>BPG</v>
      </c>
      <c r="B277">
        <f t="shared" si="9"/>
        <v>15608</v>
      </c>
      <c r="E277" s="1" t="s">
        <v>468</v>
      </c>
      <c r="F277" s="1">
        <v>345</v>
      </c>
      <c r="G277" s="1">
        <v>10</v>
      </c>
      <c r="H277" s="1">
        <v>1.9</v>
      </c>
    </row>
    <row r="278" spans="1:10" x14ac:dyDescent="0.3">
      <c r="A278" t="str">
        <f t="shared" si="8"/>
        <v>BPG</v>
      </c>
      <c r="B278">
        <f t="shared" si="9"/>
        <v>3008</v>
      </c>
      <c r="E278" s="1" t="s">
        <v>89</v>
      </c>
      <c r="F278" s="1">
        <v>353</v>
      </c>
      <c r="G278" s="1">
        <v>18</v>
      </c>
      <c r="H278" s="1">
        <v>1.6</v>
      </c>
    </row>
    <row r="279" spans="1:10" x14ac:dyDescent="0.3">
      <c r="A279" t="str">
        <f t="shared" si="8"/>
        <v>EFG%</v>
      </c>
      <c r="B279">
        <f t="shared" si="9"/>
        <v>5111</v>
      </c>
      <c r="D279" s="1" t="s">
        <v>542</v>
      </c>
      <c r="E279" s="1" t="s">
        <v>240</v>
      </c>
      <c r="F279" s="1">
        <v>2</v>
      </c>
      <c r="G279" s="1">
        <v>1</v>
      </c>
      <c r="H279" s="1">
        <v>0.58299999999999996</v>
      </c>
      <c r="I279" s="1" t="s">
        <v>146</v>
      </c>
      <c r="J279" s="1">
        <v>0.59199999999999997</v>
      </c>
    </row>
    <row r="280" spans="1:10" x14ac:dyDescent="0.3">
      <c r="A280" t="str">
        <f t="shared" si="8"/>
        <v>EFG%</v>
      </c>
      <c r="B280">
        <f t="shared" si="9"/>
        <v>5411</v>
      </c>
      <c r="E280" s="1" t="s">
        <v>94</v>
      </c>
      <c r="F280" s="1">
        <v>5</v>
      </c>
      <c r="G280" s="1">
        <v>1</v>
      </c>
      <c r="H280" s="1">
        <v>0.57899999999999996</v>
      </c>
    </row>
    <row r="281" spans="1:10" x14ac:dyDescent="0.3">
      <c r="A281" t="str">
        <f t="shared" si="8"/>
        <v>EFG%</v>
      </c>
      <c r="B281">
        <f t="shared" si="9"/>
        <v>2711</v>
      </c>
      <c r="E281" s="1" t="s">
        <v>7</v>
      </c>
      <c r="F281" s="1">
        <v>8</v>
      </c>
      <c r="G281" s="1">
        <v>1</v>
      </c>
      <c r="H281" s="1">
        <v>0.56999999999999995</v>
      </c>
    </row>
    <row r="282" spans="1:10" x14ac:dyDescent="0.3">
      <c r="A282" t="str">
        <f t="shared" si="8"/>
        <v>EFG%</v>
      </c>
      <c r="B282">
        <f t="shared" si="9"/>
        <v>3711</v>
      </c>
      <c r="E282" s="1" t="s">
        <v>115</v>
      </c>
      <c r="F282" s="1">
        <v>12</v>
      </c>
      <c r="G282" s="1">
        <v>1</v>
      </c>
      <c r="H282" s="1">
        <v>0.56599999999999995</v>
      </c>
    </row>
    <row r="283" spans="1:10" x14ac:dyDescent="0.3">
      <c r="A283" t="str">
        <f t="shared" si="8"/>
        <v>EFG%</v>
      </c>
      <c r="B283">
        <f t="shared" si="9"/>
        <v>11711</v>
      </c>
      <c r="E283" s="1" t="s">
        <v>280</v>
      </c>
      <c r="F283" s="1">
        <v>15</v>
      </c>
      <c r="G283" s="1">
        <v>2</v>
      </c>
      <c r="H283" s="1">
        <v>0.56499999999999995</v>
      </c>
    </row>
    <row r="284" spans="1:10" x14ac:dyDescent="0.3">
      <c r="A284" t="str">
        <f t="shared" si="8"/>
        <v>EFG%</v>
      </c>
      <c r="B284">
        <f t="shared" si="9"/>
        <v>10611</v>
      </c>
      <c r="E284" s="1" t="s">
        <v>161</v>
      </c>
      <c r="F284" s="1">
        <v>16</v>
      </c>
      <c r="G284" s="1">
        <v>1</v>
      </c>
      <c r="H284" s="1">
        <v>0.56399999999999995</v>
      </c>
    </row>
    <row r="285" spans="1:10" x14ac:dyDescent="0.3">
      <c r="A285" t="str">
        <f t="shared" si="8"/>
        <v>EFG%</v>
      </c>
      <c r="B285">
        <f t="shared" si="9"/>
        <v>3111</v>
      </c>
      <c r="E285" s="1" t="s">
        <v>93</v>
      </c>
      <c r="F285" s="1">
        <v>18</v>
      </c>
      <c r="G285" s="1">
        <v>1</v>
      </c>
      <c r="H285" s="1">
        <v>0.56100000000000005</v>
      </c>
    </row>
    <row r="286" spans="1:10" x14ac:dyDescent="0.3">
      <c r="A286" t="str">
        <f t="shared" si="8"/>
        <v>EFG%</v>
      </c>
      <c r="B286">
        <f t="shared" si="9"/>
        <v>4411</v>
      </c>
      <c r="E286" s="1" t="s">
        <v>83</v>
      </c>
      <c r="F286" s="1">
        <v>19</v>
      </c>
      <c r="G286" s="1">
        <v>2</v>
      </c>
      <c r="H286" s="1">
        <v>0.56000000000000005</v>
      </c>
    </row>
    <row r="287" spans="1:10" x14ac:dyDescent="0.3">
      <c r="A287" t="str">
        <f t="shared" si="8"/>
        <v>EFG%</v>
      </c>
      <c r="B287">
        <f t="shared" si="9"/>
        <v>1411</v>
      </c>
      <c r="E287" s="1" t="s">
        <v>102</v>
      </c>
      <c r="F287" s="1">
        <v>21</v>
      </c>
      <c r="G287" s="1">
        <v>1</v>
      </c>
      <c r="H287" s="1">
        <v>0.56000000000000005</v>
      </c>
    </row>
    <row r="288" spans="1:10" x14ac:dyDescent="0.3">
      <c r="A288" t="str">
        <f t="shared" si="8"/>
        <v>EFG%</v>
      </c>
      <c r="B288">
        <f t="shared" si="9"/>
        <v>3011</v>
      </c>
      <c r="E288" s="1" t="s">
        <v>89</v>
      </c>
      <c r="F288" s="1">
        <v>23</v>
      </c>
      <c r="G288" s="1">
        <v>2</v>
      </c>
      <c r="H288" s="1">
        <v>0.55900000000000005</v>
      </c>
    </row>
    <row r="289" spans="1:8" x14ac:dyDescent="0.3">
      <c r="A289" t="str">
        <f t="shared" si="8"/>
        <v>EFG%</v>
      </c>
      <c r="B289">
        <f t="shared" si="9"/>
        <v>5511</v>
      </c>
      <c r="E289" s="1" t="s">
        <v>86</v>
      </c>
      <c r="F289" s="1">
        <v>24</v>
      </c>
      <c r="G289" s="1">
        <v>2</v>
      </c>
      <c r="H289" s="1">
        <v>0.55900000000000005</v>
      </c>
    </row>
    <row r="290" spans="1:8" x14ac:dyDescent="0.3">
      <c r="A290" t="str">
        <f t="shared" si="8"/>
        <v>EFG%</v>
      </c>
      <c r="B290">
        <f t="shared" si="9"/>
        <v>14111</v>
      </c>
      <c r="E290" s="1" t="s">
        <v>299</v>
      </c>
      <c r="F290" s="1">
        <v>26</v>
      </c>
      <c r="G290" s="1">
        <v>3</v>
      </c>
      <c r="H290" s="1">
        <v>0.55800000000000005</v>
      </c>
    </row>
    <row r="291" spans="1:8" x14ac:dyDescent="0.3">
      <c r="A291" t="str">
        <f t="shared" si="8"/>
        <v>EFG%</v>
      </c>
      <c r="B291">
        <f t="shared" si="9"/>
        <v>8311</v>
      </c>
      <c r="E291" s="1" t="s">
        <v>257</v>
      </c>
      <c r="F291" s="1">
        <v>27</v>
      </c>
      <c r="G291" s="1">
        <v>1</v>
      </c>
      <c r="H291" s="1">
        <v>0.55500000000000005</v>
      </c>
    </row>
    <row r="292" spans="1:8" x14ac:dyDescent="0.3">
      <c r="A292" t="str">
        <f t="shared" si="8"/>
        <v>EFG%</v>
      </c>
      <c r="B292">
        <f t="shared" si="9"/>
        <v>1311</v>
      </c>
      <c r="E292" s="1" t="s">
        <v>82</v>
      </c>
      <c r="F292" s="1">
        <v>28</v>
      </c>
      <c r="G292" s="1">
        <v>2</v>
      </c>
      <c r="H292" s="1">
        <v>0.55500000000000005</v>
      </c>
    </row>
    <row r="293" spans="1:8" x14ac:dyDescent="0.3">
      <c r="A293" t="str">
        <f t="shared" si="8"/>
        <v>EFG%</v>
      </c>
      <c r="B293">
        <f t="shared" si="9"/>
        <v>15011</v>
      </c>
      <c r="E293" s="1" t="s">
        <v>463</v>
      </c>
      <c r="F293" s="1">
        <v>29</v>
      </c>
      <c r="G293" s="1">
        <v>1</v>
      </c>
      <c r="H293" s="1">
        <v>0.55500000000000005</v>
      </c>
    </row>
    <row r="294" spans="1:8" x14ac:dyDescent="0.3">
      <c r="A294" t="str">
        <f t="shared" si="8"/>
        <v>EFG%</v>
      </c>
      <c r="B294">
        <f t="shared" si="9"/>
        <v>8211</v>
      </c>
      <c r="E294" s="1" t="s">
        <v>131</v>
      </c>
      <c r="F294" s="1">
        <v>34</v>
      </c>
      <c r="G294" s="1">
        <v>2</v>
      </c>
      <c r="H294" s="1">
        <v>0.55200000000000005</v>
      </c>
    </row>
    <row r="295" spans="1:8" x14ac:dyDescent="0.3">
      <c r="A295" t="str">
        <f t="shared" si="8"/>
        <v>EFG%</v>
      </c>
      <c r="B295">
        <f t="shared" si="9"/>
        <v>12511</v>
      </c>
      <c r="E295" s="1" t="s">
        <v>95</v>
      </c>
      <c r="F295" s="1">
        <v>35</v>
      </c>
      <c r="G295" s="1">
        <v>2</v>
      </c>
      <c r="H295" s="1">
        <v>0.55200000000000005</v>
      </c>
    </row>
    <row r="296" spans="1:8" x14ac:dyDescent="0.3">
      <c r="A296" t="str">
        <f t="shared" si="8"/>
        <v>EFG%</v>
      </c>
      <c r="B296">
        <f t="shared" si="9"/>
        <v>2311</v>
      </c>
      <c r="E296" s="1" t="s">
        <v>79</v>
      </c>
      <c r="F296" s="1">
        <v>40</v>
      </c>
      <c r="G296" s="1">
        <v>2</v>
      </c>
      <c r="H296" s="1">
        <v>0.55000000000000004</v>
      </c>
    </row>
    <row r="297" spans="1:8" x14ac:dyDescent="0.3">
      <c r="A297" t="str">
        <f t="shared" si="8"/>
        <v>EFG%</v>
      </c>
      <c r="B297">
        <f t="shared" si="9"/>
        <v>4511</v>
      </c>
      <c r="E297" s="1" t="s">
        <v>84</v>
      </c>
      <c r="F297" s="1">
        <v>41</v>
      </c>
      <c r="G297" s="1">
        <v>4</v>
      </c>
      <c r="H297" s="1">
        <v>0.54900000000000004</v>
      </c>
    </row>
    <row r="298" spans="1:8" x14ac:dyDescent="0.3">
      <c r="A298" t="str">
        <f t="shared" si="8"/>
        <v>EFG%</v>
      </c>
      <c r="B298">
        <f t="shared" si="9"/>
        <v>611</v>
      </c>
      <c r="E298" s="1" t="s">
        <v>100</v>
      </c>
      <c r="F298" s="1">
        <v>42</v>
      </c>
      <c r="G298" s="1">
        <v>2</v>
      </c>
      <c r="H298" s="1">
        <v>0.54900000000000004</v>
      </c>
    </row>
    <row r="299" spans="1:8" x14ac:dyDescent="0.3">
      <c r="A299" t="str">
        <f t="shared" si="8"/>
        <v>EFG%</v>
      </c>
      <c r="B299">
        <f t="shared" si="9"/>
        <v>5711</v>
      </c>
      <c r="E299" s="1" t="s">
        <v>120</v>
      </c>
      <c r="F299" s="1">
        <v>43</v>
      </c>
      <c r="G299" s="1">
        <v>5</v>
      </c>
      <c r="H299" s="1">
        <v>0.54900000000000004</v>
      </c>
    </row>
    <row r="300" spans="1:8" x14ac:dyDescent="0.3">
      <c r="A300" t="str">
        <f t="shared" si="8"/>
        <v>EFG%</v>
      </c>
      <c r="B300">
        <f t="shared" si="9"/>
        <v>7211</v>
      </c>
      <c r="E300" s="1" t="s">
        <v>116</v>
      </c>
      <c r="F300" s="1">
        <v>47</v>
      </c>
      <c r="G300" s="1">
        <v>3</v>
      </c>
      <c r="H300" s="1">
        <v>0.54700000000000004</v>
      </c>
    </row>
    <row r="301" spans="1:8" x14ac:dyDescent="0.3">
      <c r="A301" t="str">
        <f t="shared" si="8"/>
        <v>EFG%</v>
      </c>
      <c r="B301">
        <f t="shared" si="9"/>
        <v>9511</v>
      </c>
      <c r="E301" s="1" t="s">
        <v>85</v>
      </c>
      <c r="F301" s="1">
        <v>48</v>
      </c>
      <c r="G301" s="1">
        <v>6</v>
      </c>
      <c r="H301" s="1">
        <v>0.54700000000000004</v>
      </c>
    </row>
    <row r="302" spans="1:8" x14ac:dyDescent="0.3">
      <c r="A302" t="str">
        <f t="shared" si="8"/>
        <v>EFG%</v>
      </c>
      <c r="B302">
        <f t="shared" si="9"/>
        <v>3811</v>
      </c>
      <c r="E302" s="1" t="s">
        <v>238</v>
      </c>
      <c r="F302" s="1">
        <v>52</v>
      </c>
      <c r="G302" s="1">
        <v>6</v>
      </c>
      <c r="H302" s="1">
        <v>0.54400000000000004</v>
      </c>
    </row>
    <row r="303" spans="1:8" x14ac:dyDescent="0.3">
      <c r="A303" t="str">
        <f t="shared" si="8"/>
        <v>EFG%</v>
      </c>
      <c r="B303">
        <f t="shared" si="9"/>
        <v>211</v>
      </c>
      <c r="E303" s="1" t="s">
        <v>98</v>
      </c>
      <c r="F303" s="1">
        <v>56</v>
      </c>
      <c r="G303" s="1">
        <v>1</v>
      </c>
      <c r="H303" s="1">
        <v>0.54200000000000004</v>
      </c>
    </row>
    <row r="304" spans="1:8" x14ac:dyDescent="0.3">
      <c r="A304" t="str">
        <f t="shared" si="8"/>
        <v>EFG%</v>
      </c>
      <c r="B304">
        <f t="shared" si="9"/>
        <v>4911</v>
      </c>
      <c r="E304" s="1" t="s">
        <v>108</v>
      </c>
      <c r="F304" s="1">
        <v>58</v>
      </c>
      <c r="G304" s="1">
        <v>3</v>
      </c>
      <c r="H304" s="1">
        <v>0.54100000000000004</v>
      </c>
    </row>
    <row r="305" spans="1:8" x14ac:dyDescent="0.3">
      <c r="A305" t="str">
        <f t="shared" si="8"/>
        <v>EFG%</v>
      </c>
      <c r="B305">
        <f t="shared" si="9"/>
        <v>7411</v>
      </c>
      <c r="E305" s="1" t="s">
        <v>251</v>
      </c>
      <c r="F305" s="1">
        <v>60</v>
      </c>
      <c r="G305" s="1">
        <v>4</v>
      </c>
      <c r="H305" s="1">
        <v>0.54100000000000004</v>
      </c>
    </row>
    <row r="306" spans="1:8" x14ac:dyDescent="0.3">
      <c r="A306" t="str">
        <f t="shared" si="8"/>
        <v>EFG%</v>
      </c>
      <c r="B306">
        <f t="shared" si="9"/>
        <v>18311</v>
      </c>
      <c r="E306" s="1" t="s">
        <v>423</v>
      </c>
      <c r="F306" s="1">
        <v>63</v>
      </c>
      <c r="G306" s="1">
        <v>2</v>
      </c>
      <c r="H306" s="1">
        <v>0.54</v>
      </c>
    </row>
    <row r="307" spans="1:8" x14ac:dyDescent="0.3">
      <c r="A307" t="str">
        <f t="shared" si="8"/>
        <v>EFG%</v>
      </c>
      <c r="B307">
        <f t="shared" si="9"/>
        <v>7611</v>
      </c>
      <c r="E307" s="1" t="s">
        <v>253</v>
      </c>
      <c r="F307" s="1">
        <v>67</v>
      </c>
      <c r="G307" s="1">
        <v>5</v>
      </c>
      <c r="H307" s="1">
        <v>0.53800000000000003</v>
      </c>
    </row>
    <row r="308" spans="1:8" x14ac:dyDescent="0.3">
      <c r="A308" t="str">
        <f t="shared" si="8"/>
        <v>EFG%</v>
      </c>
      <c r="B308">
        <f t="shared" si="9"/>
        <v>4211</v>
      </c>
      <c r="E308" s="1" t="s">
        <v>123</v>
      </c>
      <c r="F308" s="1">
        <v>68</v>
      </c>
      <c r="G308" s="1">
        <v>6</v>
      </c>
      <c r="H308" s="1">
        <v>0.53800000000000003</v>
      </c>
    </row>
    <row r="309" spans="1:8" x14ac:dyDescent="0.3">
      <c r="A309" t="str">
        <f t="shared" si="8"/>
        <v>EFG%</v>
      </c>
      <c r="B309">
        <f t="shared" si="9"/>
        <v>11111</v>
      </c>
      <c r="E309" s="1" t="s">
        <v>277</v>
      </c>
      <c r="F309" s="1">
        <v>75</v>
      </c>
      <c r="G309" s="1">
        <v>7</v>
      </c>
      <c r="H309" s="1">
        <v>0.53600000000000003</v>
      </c>
    </row>
    <row r="310" spans="1:8" x14ac:dyDescent="0.3">
      <c r="A310" t="str">
        <f t="shared" si="8"/>
        <v>EFG%</v>
      </c>
      <c r="B310">
        <f t="shared" si="9"/>
        <v>2011</v>
      </c>
      <c r="E310" s="1" t="s">
        <v>328</v>
      </c>
      <c r="F310" s="1">
        <v>78</v>
      </c>
      <c r="G310" s="1">
        <v>2</v>
      </c>
      <c r="H310" s="1">
        <v>0.53500000000000003</v>
      </c>
    </row>
    <row r="311" spans="1:8" x14ac:dyDescent="0.3">
      <c r="A311" t="str">
        <f t="shared" si="8"/>
        <v>EFG%</v>
      </c>
      <c r="B311">
        <f t="shared" si="9"/>
        <v>6611</v>
      </c>
      <c r="E311" s="1" t="s">
        <v>247</v>
      </c>
      <c r="F311" s="1">
        <v>79</v>
      </c>
      <c r="G311" s="1">
        <v>2</v>
      </c>
      <c r="H311" s="1">
        <v>0.53500000000000003</v>
      </c>
    </row>
    <row r="312" spans="1:8" x14ac:dyDescent="0.3">
      <c r="A312" t="str">
        <f t="shared" si="8"/>
        <v>EFG%</v>
      </c>
      <c r="B312">
        <f t="shared" si="9"/>
        <v>15811</v>
      </c>
      <c r="E312" s="1" t="s">
        <v>470</v>
      </c>
      <c r="F312" s="1">
        <v>80</v>
      </c>
      <c r="G312" s="1">
        <v>4</v>
      </c>
      <c r="H312" s="1">
        <v>0.53400000000000003</v>
      </c>
    </row>
    <row r="313" spans="1:8" x14ac:dyDescent="0.3">
      <c r="A313" t="str">
        <f t="shared" si="8"/>
        <v>EFG%</v>
      </c>
      <c r="B313">
        <f t="shared" si="9"/>
        <v>15911</v>
      </c>
      <c r="E313" s="1" t="s">
        <v>495</v>
      </c>
      <c r="F313" s="1">
        <v>82</v>
      </c>
      <c r="G313" s="1">
        <v>2</v>
      </c>
      <c r="H313" s="1">
        <v>0.53400000000000003</v>
      </c>
    </row>
    <row r="314" spans="1:8" x14ac:dyDescent="0.3">
      <c r="A314" t="str">
        <f t="shared" si="8"/>
        <v>EFG%</v>
      </c>
      <c r="B314">
        <f t="shared" si="9"/>
        <v>4011</v>
      </c>
      <c r="E314" s="1" t="s">
        <v>105</v>
      </c>
      <c r="F314" s="1">
        <v>83</v>
      </c>
      <c r="G314" s="1">
        <v>4</v>
      </c>
      <c r="H314" s="1">
        <v>0.53400000000000003</v>
      </c>
    </row>
    <row r="315" spans="1:8" x14ac:dyDescent="0.3">
      <c r="A315" t="str">
        <f t="shared" si="8"/>
        <v>EFG%</v>
      </c>
      <c r="B315">
        <f t="shared" si="9"/>
        <v>2911</v>
      </c>
      <c r="E315" s="1" t="s">
        <v>96</v>
      </c>
      <c r="F315" s="1">
        <v>84</v>
      </c>
      <c r="G315" s="1">
        <v>4</v>
      </c>
      <c r="H315" s="1">
        <v>0.53300000000000003</v>
      </c>
    </row>
    <row r="316" spans="1:8" x14ac:dyDescent="0.3">
      <c r="A316" t="str">
        <f t="shared" si="8"/>
        <v>EFG%</v>
      </c>
      <c r="B316">
        <f t="shared" si="9"/>
        <v>13111</v>
      </c>
      <c r="E316" s="1" t="s">
        <v>289</v>
      </c>
      <c r="F316" s="1">
        <v>87</v>
      </c>
      <c r="G316" s="1">
        <v>5</v>
      </c>
      <c r="H316" s="1">
        <v>0.53200000000000003</v>
      </c>
    </row>
    <row r="317" spans="1:8" x14ac:dyDescent="0.3">
      <c r="A317" t="str">
        <f t="shared" si="8"/>
        <v>EFG%</v>
      </c>
      <c r="B317">
        <f t="shared" si="9"/>
        <v>3911</v>
      </c>
      <c r="E317" s="1" t="s">
        <v>88</v>
      </c>
      <c r="F317" s="1">
        <v>91</v>
      </c>
      <c r="G317" s="1">
        <v>5</v>
      </c>
      <c r="H317" s="1">
        <v>0.53100000000000003</v>
      </c>
    </row>
    <row r="318" spans="1:8" x14ac:dyDescent="0.3">
      <c r="A318" t="str">
        <f t="shared" si="8"/>
        <v>EFG%</v>
      </c>
      <c r="B318">
        <f t="shared" si="9"/>
        <v>9011</v>
      </c>
      <c r="E318" s="1" t="s">
        <v>261</v>
      </c>
      <c r="F318" s="1">
        <v>97</v>
      </c>
      <c r="G318" s="1">
        <v>9</v>
      </c>
      <c r="H318" s="1">
        <v>0.52800000000000002</v>
      </c>
    </row>
    <row r="319" spans="1:8" x14ac:dyDescent="0.3">
      <c r="A319" t="str">
        <f t="shared" si="8"/>
        <v>EFG%</v>
      </c>
      <c r="B319">
        <f t="shared" si="9"/>
        <v>6711</v>
      </c>
      <c r="E319" s="1" t="s">
        <v>118</v>
      </c>
      <c r="F319" s="1">
        <v>102</v>
      </c>
      <c r="G319" s="1">
        <v>7</v>
      </c>
      <c r="H319" s="1">
        <v>0.52600000000000002</v>
      </c>
    </row>
    <row r="320" spans="1:8" x14ac:dyDescent="0.3">
      <c r="A320" t="str">
        <f t="shared" si="8"/>
        <v>EFG%</v>
      </c>
      <c r="B320">
        <f t="shared" si="9"/>
        <v>12211</v>
      </c>
      <c r="E320" s="1" t="s">
        <v>284</v>
      </c>
      <c r="F320" s="1">
        <v>105</v>
      </c>
      <c r="G320" s="1">
        <v>5</v>
      </c>
      <c r="H320" s="1">
        <v>0.52600000000000002</v>
      </c>
    </row>
    <row r="321" spans="1:8" x14ac:dyDescent="0.3">
      <c r="A321" t="str">
        <f t="shared" si="8"/>
        <v>EFG%</v>
      </c>
      <c r="B321">
        <f t="shared" si="9"/>
        <v>3511</v>
      </c>
      <c r="E321" s="1" t="s">
        <v>87</v>
      </c>
      <c r="F321" s="1">
        <v>106</v>
      </c>
      <c r="G321" s="1">
        <v>8</v>
      </c>
      <c r="H321" s="1">
        <v>0.52500000000000002</v>
      </c>
    </row>
    <row r="322" spans="1:8" x14ac:dyDescent="0.3">
      <c r="A322" t="str">
        <f t="shared" ref="A322:A385" si="10">IF(NOT(D322=""),INDEX(statAbbr,MATCH(D322,statOfficial,0),1),A321)</f>
        <v>EFG%</v>
      </c>
      <c r="B322">
        <f t="shared" ref="B322:B385" si="11">INDEX(statID,MATCH(A322,statAbbr,0),1)+INDEX(teamID,MATCH(E322,teamRawName,0))</f>
        <v>6911</v>
      </c>
      <c r="E322" s="1" t="s">
        <v>114</v>
      </c>
      <c r="F322" s="1">
        <v>107</v>
      </c>
      <c r="G322" s="1">
        <v>10</v>
      </c>
      <c r="H322" s="1">
        <v>0.52500000000000002</v>
      </c>
    </row>
    <row r="323" spans="1:8" x14ac:dyDescent="0.3">
      <c r="A323" t="str">
        <f t="shared" si="10"/>
        <v>EFG%</v>
      </c>
      <c r="B323">
        <f t="shared" si="11"/>
        <v>4311</v>
      </c>
      <c r="E323" s="1" t="s">
        <v>125</v>
      </c>
      <c r="F323" s="1">
        <v>113</v>
      </c>
      <c r="G323" s="1">
        <v>11</v>
      </c>
      <c r="H323" s="1">
        <v>0.52400000000000002</v>
      </c>
    </row>
    <row r="324" spans="1:8" x14ac:dyDescent="0.3">
      <c r="A324" t="str">
        <f t="shared" si="10"/>
        <v>EFG%</v>
      </c>
      <c r="B324">
        <f t="shared" si="11"/>
        <v>15611</v>
      </c>
      <c r="E324" s="1" t="s">
        <v>468</v>
      </c>
      <c r="F324" s="1">
        <v>115</v>
      </c>
      <c r="G324" s="1">
        <v>4</v>
      </c>
      <c r="H324" s="1">
        <v>0.52300000000000002</v>
      </c>
    </row>
    <row r="325" spans="1:8" x14ac:dyDescent="0.3">
      <c r="A325" t="str">
        <f t="shared" si="10"/>
        <v>EFG%</v>
      </c>
      <c r="B325">
        <f t="shared" si="11"/>
        <v>8111</v>
      </c>
      <c r="E325" s="1" t="s">
        <v>256</v>
      </c>
      <c r="F325" s="1">
        <v>116</v>
      </c>
      <c r="G325" s="1">
        <v>9</v>
      </c>
      <c r="H325" s="1">
        <v>0.52200000000000002</v>
      </c>
    </row>
    <row r="326" spans="1:8" x14ac:dyDescent="0.3">
      <c r="A326" t="str">
        <f t="shared" si="10"/>
        <v>EFG%</v>
      </c>
      <c r="B326">
        <f t="shared" si="11"/>
        <v>13911</v>
      </c>
      <c r="E326" s="1" t="s">
        <v>297</v>
      </c>
      <c r="F326" s="1">
        <v>127</v>
      </c>
      <c r="G326" s="1">
        <v>10</v>
      </c>
      <c r="H326" s="1">
        <v>0.52100000000000002</v>
      </c>
    </row>
    <row r="327" spans="1:8" x14ac:dyDescent="0.3">
      <c r="A327" t="str">
        <f t="shared" si="10"/>
        <v>EFG%</v>
      </c>
      <c r="B327">
        <f t="shared" si="11"/>
        <v>3311</v>
      </c>
      <c r="E327" s="1" t="s">
        <v>91</v>
      </c>
      <c r="F327" s="1">
        <v>137</v>
      </c>
      <c r="G327" s="1">
        <v>8</v>
      </c>
      <c r="H327" s="1">
        <v>0.52</v>
      </c>
    </row>
    <row r="328" spans="1:8" x14ac:dyDescent="0.3">
      <c r="A328" t="str">
        <f t="shared" si="10"/>
        <v>EFG%</v>
      </c>
      <c r="B328">
        <f t="shared" si="11"/>
        <v>1611</v>
      </c>
      <c r="E328" s="1" t="s">
        <v>137</v>
      </c>
      <c r="F328" s="1">
        <v>140</v>
      </c>
      <c r="G328" s="1">
        <v>11</v>
      </c>
      <c r="H328" s="1">
        <v>0.51900000000000002</v>
      </c>
    </row>
    <row r="329" spans="1:8" x14ac:dyDescent="0.3">
      <c r="A329" t="str">
        <f t="shared" si="10"/>
        <v>EFG%</v>
      </c>
      <c r="B329">
        <f t="shared" si="11"/>
        <v>18511</v>
      </c>
      <c r="E329" s="1" t="s">
        <v>420</v>
      </c>
      <c r="F329" s="1">
        <v>145</v>
      </c>
      <c r="G329" s="1">
        <v>4</v>
      </c>
      <c r="H329" s="1">
        <v>0.51900000000000002</v>
      </c>
    </row>
    <row r="330" spans="1:8" x14ac:dyDescent="0.3">
      <c r="A330" t="str">
        <f t="shared" si="10"/>
        <v>EFG%</v>
      </c>
      <c r="B330">
        <f t="shared" si="11"/>
        <v>2811</v>
      </c>
      <c r="E330" s="1" t="s">
        <v>106</v>
      </c>
      <c r="F330" s="1">
        <v>151</v>
      </c>
      <c r="G330" s="1">
        <v>7</v>
      </c>
      <c r="H330" s="1">
        <v>0.51700000000000002</v>
      </c>
    </row>
    <row r="331" spans="1:8" x14ac:dyDescent="0.3">
      <c r="A331" t="str">
        <f t="shared" si="10"/>
        <v>EFG%</v>
      </c>
      <c r="B331">
        <f t="shared" si="11"/>
        <v>14911</v>
      </c>
      <c r="E331" s="1" t="s">
        <v>307</v>
      </c>
      <c r="F331" s="1">
        <v>159</v>
      </c>
      <c r="G331" s="1">
        <v>5</v>
      </c>
      <c r="H331" s="1">
        <v>0.51600000000000001</v>
      </c>
    </row>
    <row r="332" spans="1:8" x14ac:dyDescent="0.3">
      <c r="A332" t="str">
        <f t="shared" si="10"/>
        <v>EFG%</v>
      </c>
      <c r="B332">
        <f t="shared" si="11"/>
        <v>14411</v>
      </c>
      <c r="E332" s="1" t="s">
        <v>302</v>
      </c>
      <c r="F332" s="1">
        <v>164</v>
      </c>
      <c r="G332" s="1">
        <v>12</v>
      </c>
      <c r="H332" s="1">
        <v>0.51500000000000001</v>
      </c>
    </row>
    <row r="333" spans="1:8" x14ac:dyDescent="0.3">
      <c r="A333" t="str">
        <f t="shared" si="10"/>
        <v>EFG%</v>
      </c>
      <c r="B333">
        <f t="shared" si="11"/>
        <v>4711</v>
      </c>
      <c r="E333" s="1" t="s">
        <v>107</v>
      </c>
      <c r="F333" s="1">
        <v>166</v>
      </c>
      <c r="G333" s="1">
        <v>5</v>
      </c>
      <c r="H333" s="1">
        <v>0.51500000000000001</v>
      </c>
    </row>
    <row r="334" spans="1:8" x14ac:dyDescent="0.3">
      <c r="A334" t="str">
        <f t="shared" si="10"/>
        <v>EFG%</v>
      </c>
      <c r="B334">
        <f t="shared" si="11"/>
        <v>311</v>
      </c>
      <c r="E334" s="1" t="s">
        <v>215</v>
      </c>
      <c r="F334" s="1">
        <v>170</v>
      </c>
      <c r="G334" s="1">
        <v>13</v>
      </c>
      <c r="H334" s="1">
        <v>0.51400000000000001</v>
      </c>
    </row>
    <row r="335" spans="1:8" x14ac:dyDescent="0.3">
      <c r="A335" t="str">
        <f t="shared" si="10"/>
        <v>EFG%</v>
      </c>
      <c r="B335">
        <f t="shared" si="11"/>
        <v>3211</v>
      </c>
      <c r="E335" s="1" t="s">
        <v>127</v>
      </c>
      <c r="F335" s="1">
        <v>171</v>
      </c>
      <c r="G335" s="1">
        <v>9</v>
      </c>
      <c r="H335" s="1">
        <v>0.51400000000000001</v>
      </c>
    </row>
    <row r="336" spans="1:8" x14ac:dyDescent="0.3">
      <c r="A336" t="str">
        <f t="shared" si="10"/>
        <v>EFG%</v>
      </c>
      <c r="B336">
        <f t="shared" si="11"/>
        <v>15111</v>
      </c>
      <c r="E336" s="1" t="s">
        <v>464</v>
      </c>
      <c r="F336" s="1">
        <v>174</v>
      </c>
      <c r="G336" s="1">
        <v>5</v>
      </c>
      <c r="H336" s="1">
        <v>0.51300000000000001</v>
      </c>
    </row>
    <row r="337" spans="1:10" x14ac:dyDescent="0.3">
      <c r="A337" t="str">
        <f t="shared" si="10"/>
        <v>EFG%</v>
      </c>
      <c r="B337">
        <f t="shared" si="11"/>
        <v>16111</v>
      </c>
      <c r="E337" s="1" t="s">
        <v>473</v>
      </c>
      <c r="F337" s="1">
        <v>180</v>
      </c>
      <c r="G337" s="1">
        <v>3</v>
      </c>
      <c r="H337" s="1">
        <v>0.51200000000000001</v>
      </c>
    </row>
    <row r="338" spans="1:10" x14ac:dyDescent="0.3">
      <c r="A338" t="str">
        <f t="shared" si="10"/>
        <v>EFG%</v>
      </c>
      <c r="B338">
        <f t="shared" si="11"/>
        <v>1211</v>
      </c>
      <c r="E338" s="1" t="s">
        <v>130</v>
      </c>
      <c r="F338" s="1">
        <v>198</v>
      </c>
      <c r="G338" s="1">
        <v>7</v>
      </c>
      <c r="H338" s="1">
        <v>0.50900000000000001</v>
      </c>
    </row>
    <row r="339" spans="1:10" x14ac:dyDescent="0.3">
      <c r="A339" t="str">
        <f t="shared" si="10"/>
        <v>EFG%</v>
      </c>
      <c r="B339">
        <f t="shared" si="11"/>
        <v>5811</v>
      </c>
      <c r="E339" s="1" t="s">
        <v>139</v>
      </c>
      <c r="F339" s="1">
        <v>200</v>
      </c>
      <c r="G339" s="1">
        <v>3</v>
      </c>
      <c r="H339" s="1">
        <v>0.50900000000000001</v>
      </c>
    </row>
    <row r="340" spans="1:10" x14ac:dyDescent="0.3">
      <c r="A340" t="str">
        <f t="shared" si="10"/>
        <v>EFG%</v>
      </c>
      <c r="B340">
        <f t="shared" si="11"/>
        <v>911</v>
      </c>
      <c r="E340" s="1" t="s">
        <v>90</v>
      </c>
      <c r="F340" s="1">
        <v>201</v>
      </c>
      <c r="G340" s="1">
        <v>14</v>
      </c>
      <c r="H340" s="1">
        <v>0.50900000000000001</v>
      </c>
    </row>
    <row r="341" spans="1:10" x14ac:dyDescent="0.3">
      <c r="A341" t="str">
        <f t="shared" si="10"/>
        <v>EFG%</v>
      </c>
      <c r="B341">
        <f t="shared" si="11"/>
        <v>18411</v>
      </c>
      <c r="E341" s="1" t="s">
        <v>417</v>
      </c>
      <c r="F341" s="1">
        <v>209</v>
      </c>
      <c r="G341" s="1">
        <v>3</v>
      </c>
      <c r="H341" s="1">
        <v>0.50700000000000001</v>
      </c>
    </row>
    <row r="342" spans="1:10" x14ac:dyDescent="0.3">
      <c r="A342" t="str">
        <f t="shared" si="10"/>
        <v>EFG%</v>
      </c>
      <c r="B342">
        <f t="shared" si="11"/>
        <v>2511</v>
      </c>
      <c r="E342" s="1" t="s">
        <v>92</v>
      </c>
      <c r="F342" s="1">
        <v>232</v>
      </c>
      <c r="G342" s="1">
        <v>8</v>
      </c>
      <c r="H342" s="1">
        <v>0.504</v>
      </c>
    </row>
    <row r="343" spans="1:10" x14ac:dyDescent="0.3">
      <c r="A343" t="str">
        <f t="shared" si="10"/>
        <v>EFG%</v>
      </c>
      <c r="B343">
        <f t="shared" si="11"/>
        <v>15711</v>
      </c>
      <c r="E343" s="1" t="s">
        <v>469</v>
      </c>
      <c r="F343" s="1">
        <v>238</v>
      </c>
      <c r="G343" s="1">
        <v>8</v>
      </c>
      <c r="H343" s="1">
        <v>0.502</v>
      </c>
    </row>
    <row r="344" spans="1:10" x14ac:dyDescent="0.3">
      <c r="A344" t="str">
        <f t="shared" si="10"/>
        <v>EFG%</v>
      </c>
      <c r="B344">
        <f t="shared" si="11"/>
        <v>9311</v>
      </c>
      <c r="E344" s="1" t="s">
        <v>357</v>
      </c>
      <c r="F344" s="1">
        <v>277</v>
      </c>
      <c r="G344" s="1">
        <v>10</v>
      </c>
      <c r="H344" s="1">
        <v>0.49199999999999999</v>
      </c>
    </row>
    <row r="345" spans="1:10" x14ac:dyDescent="0.3">
      <c r="A345" t="str">
        <f t="shared" si="10"/>
        <v>EFG%</v>
      </c>
      <c r="B345">
        <f t="shared" si="11"/>
        <v>15411</v>
      </c>
      <c r="E345" s="1" t="s">
        <v>494</v>
      </c>
      <c r="F345" s="1">
        <v>278</v>
      </c>
      <c r="G345" s="1">
        <v>7</v>
      </c>
      <c r="H345" s="1">
        <v>0.49199999999999999</v>
      </c>
    </row>
    <row r="346" spans="1:10" x14ac:dyDescent="0.3">
      <c r="A346" t="str">
        <f t="shared" si="10"/>
        <v>EFG%</v>
      </c>
      <c r="B346">
        <f t="shared" si="11"/>
        <v>3611</v>
      </c>
      <c r="E346" s="1" t="s">
        <v>129</v>
      </c>
      <c r="F346" s="1">
        <v>319</v>
      </c>
      <c r="G346" s="1">
        <v>16</v>
      </c>
      <c r="H346" s="1">
        <v>0.47599999999999998</v>
      </c>
    </row>
    <row r="347" spans="1:10" x14ac:dyDescent="0.3">
      <c r="A347" t="str">
        <f t="shared" si="10"/>
        <v>EFG%</v>
      </c>
      <c r="B347">
        <f t="shared" si="11"/>
        <v>16211</v>
      </c>
      <c r="E347" s="1" t="s">
        <v>497</v>
      </c>
      <c r="F347" s="1">
        <v>324</v>
      </c>
      <c r="G347" s="1">
        <v>9</v>
      </c>
      <c r="H347" s="1">
        <v>0.47499999999999998</v>
      </c>
    </row>
    <row r="348" spans="1:10" x14ac:dyDescent="0.3">
      <c r="A348" t="str">
        <f t="shared" si="10"/>
        <v>FB</v>
      </c>
      <c r="B348">
        <f t="shared" si="11"/>
        <v>4712</v>
      </c>
      <c r="D348" s="1" t="s">
        <v>543</v>
      </c>
      <c r="E348" s="1" t="s">
        <v>107</v>
      </c>
      <c r="F348" s="1">
        <v>2</v>
      </c>
      <c r="G348" s="1">
        <v>1</v>
      </c>
      <c r="H348" s="1">
        <v>15.83</v>
      </c>
      <c r="I348" s="1" t="s">
        <v>305</v>
      </c>
      <c r="J348" s="1">
        <v>18.38</v>
      </c>
    </row>
    <row r="349" spans="1:10" x14ac:dyDescent="0.3">
      <c r="A349" t="str">
        <f t="shared" si="10"/>
        <v>FB</v>
      </c>
      <c r="B349">
        <f t="shared" si="11"/>
        <v>912</v>
      </c>
      <c r="E349" s="1" t="s">
        <v>90</v>
      </c>
      <c r="F349" s="1">
        <v>4</v>
      </c>
      <c r="G349" s="1">
        <v>1</v>
      </c>
      <c r="H349" s="1">
        <v>15.59</v>
      </c>
    </row>
    <row r="350" spans="1:10" x14ac:dyDescent="0.3">
      <c r="A350" t="str">
        <f t="shared" si="10"/>
        <v>FB</v>
      </c>
      <c r="B350">
        <f t="shared" si="11"/>
        <v>5712</v>
      </c>
      <c r="E350" s="1" t="s">
        <v>120</v>
      </c>
      <c r="F350" s="1">
        <v>5</v>
      </c>
      <c r="G350" s="1">
        <v>1</v>
      </c>
      <c r="H350" s="1">
        <v>15.58</v>
      </c>
    </row>
    <row r="351" spans="1:10" x14ac:dyDescent="0.3">
      <c r="A351" t="str">
        <f t="shared" si="10"/>
        <v>FB</v>
      </c>
      <c r="B351">
        <f t="shared" si="11"/>
        <v>2012</v>
      </c>
      <c r="E351" s="1" t="s">
        <v>328</v>
      </c>
      <c r="F351" s="1">
        <v>6</v>
      </c>
      <c r="G351" s="1">
        <v>2</v>
      </c>
      <c r="H351" s="1">
        <v>15.54</v>
      </c>
    </row>
    <row r="352" spans="1:10" x14ac:dyDescent="0.3">
      <c r="A352" t="str">
        <f t="shared" si="10"/>
        <v>FB</v>
      </c>
      <c r="B352">
        <f t="shared" si="11"/>
        <v>7412</v>
      </c>
      <c r="E352" s="1" t="s">
        <v>251</v>
      </c>
      <c r="F352" s="1">
        <v>10</v>
      </c>
      <c r="G352" s="1">
        <v>1</v>
      </c>
      <c r="H352" s="1">
        <v>15.09</v>
      </c>
    </row>
    <row r="353" spans="1:8" x14ac:dyDescent="0.3">
      <c r="A353" t="str">
        <f t="shared" si="10"/>
        <v>FB</v>
      </c>
      <c r="B353">
        <f t="shared" si="11"/>
        <v>4412</v>
      </c>
      <c r="E353" s="1" t="s">
        <v>83</v>
      </c>
      <c r="F353" s="1">
        <v>17</v>
      </c>
      <c r="G353" s="1">
        <v>1</v>
      </c>
      <c r="H353" s="1">
        <v>14.34</v>
      </c>
    </row>
    <row r="354" spans="1:8" x14ac:dyDescent="0.3">
      <c r="A354" t="str">
        <f t="shared" si="10"/>
        <v>FB</v>
      </c>
      <c r="B354">
        <f t="shared" si="11"/>
        <v>5512</v>
      </c>
      <c r="E354" s="1" t="s">
        <v>86</v>
      </c>
      <c r="F354" s="1">
        <v>21</v>
      </c>
      <c r="G354" s="1">
        <v>2</v>
      </c>
      <c r="H354" s="1">
        <v>14.03</v>
      </c>
    </row>
    <row r="355" spans="1:8" x14ac:dyDescent="0.3">
      <c r="A355" t="str">
        <f t="shared" si="10"/>
        <v>FB</v>
      </c>
      <c r="B355">
        <f t="shared" si="11"/>
        <v>6612</v>
      </c>
      <c r="E355" s="1" t="s">
        <v>247</v>
      </c>
      <c r="F355" s="1">
        <v>22</v>
      </c>
      <c r="G355" s="1">
        <v>4</v>
      </c>
      <c r="H355" s="1">
        <v>13.91</v>
      </c>
    </row>
    <row r="356" spans="1:8" x14ac:dyDescent="0.3">
      <c r="A356" t="str">
        <f t="shared" si="10"/>
        <v>FB</v>
      </c>
      <c r="B356">
        <f t="shared" si="11"/>
        <v>2912</v>
      </c>
      <c r="E356" s="1" t="s">
        <v>96</v>
      </c>
      <c r="F356" s="1">
        <v>25</v>
      </c>
      <c r="G356" s="1">
        <v>1</v>
      </c>
      <c r="H356" s="1">
        <v>13.76</v>
      </c>
    </row>
    <row r="357" spans="1:8" x14ac:dyDescent="0.3">
      <c r="A357" t="str">
        <f t="shared" si="10"/>
        <v>FB</v>
      </c>
      <c r="B357">
        <f t="shared" si="11"/>
        <v>3712</v>
      </c>
      <c r="E357" s="1" t="s">
        <v>115</v>
      </c>
      <c r="F357" s="1">
        <v>27</v>
      </c>
      <c r="G357" s="1">
        <v>3</v>
      </c>
      <c r="H357" s="1">
        <v>13.51</v>
      </c>
    </row>
    <row r="358" spans="1:8" x14ac:dyDescent="0.3">
      <c r="A358" t="str">
        <f t="shared" si="10"/>
        <v>FB</v>
      </c>
      <c r="B358">
        <f t="shared" si="11"/>
        <v>16212</v>
      </c>
      <c r="E358" s="1" t="s">
        <v>497</v>
      </c>
      <c r="F358" s="1">
        <v>28</v>
      </c>
      <c r="G358" s="1">
        <v>1</v>
      </c>
      <c r="H358" s="1">
        <v>13.39</v>
      </c>
    </row>
    <row r="359" spans="1:8" x14ac:dyDescent="0.3">
      <c r="A359" t="str">
        <f t="shared" si="10"/>
        <v>FB</v>
      </c>
      <c r="B359">
        <f t="shared" si="11"/>
        <v>8212</v>
      </c>
      <c r="E359" s="1" t="s">
        <v>131</v>
      </c>
      <c r="F359" s="1">
        <v>32</v>
      </c>
      <c r="G359" s="1">
        <v>2</v>
      </c>
      <c r="H359" s="1">
        <v>13.2</v>
      </c>
    </row>
    <row r="360" spans="1:8" x14ac:dyDescent="0.3">
      <c r="A360" t="str">
        <f t="shared" si="10"/>
        <v>FB</v>
      </c>
      <c r="B360">
        <f t="shared" si="11"/>
        <v>1412</v>
      </c>
      <c r="E360" s="1" t="s">
        <v>102</v>
      </c>
      <c r="F360" s="1">
        <v>33</v>
      </c>
      <c r="G360" s="1">
        <v>2</v>
      </c>
      <c r="H360" s="1">
        <v>13.18</v>
      </c>
    </row>
    <row r="361" spans="1:8" x14ac:dyDescent="0.3">
      <c r="A361" t="str">
        <f t="shared" si="10"/>
        <v>FB</v>
      </c>
      <c r="B361">
        <f t="shared" si="11"/>
        <v>15012</v>
      </c>
      <c r="E361" s="1" t="s">
        <v>463</v>
      </c>
      <c r="F361" s="1">
        <v>38</v>
      </c>
      <c r="G361" s="1">
        <v>2</v>
      </c>
      <c r="H361" s="1">
        <v>13.03</v>
      </c>
    </row>
    <row r="362" spans="1:8" x14ac:dyDescent="0.3">
      <c r="A362" t="str">
        <f t="shared" si="10"/>
        <v>FB</v>
      </c>
      <c r="B362">
        <f t="shared" si="11"/>
        <v>4912</v>
      </c>
      <c r="E362" s="1" t="s">
        <v>108</v>
      </c>
      <c r="F362" s="1">
        <v>41</v>
      </c>
      <c r="G362" s="1">
        <v>2</v>
      </c>
      <c r="H362" s="1">
        <v>12.95</v>
      </c>
    </row>
    <row r="363" spans="1:8" x14ac:dyDescent="0.3">
      <c r="A363" t="str">
        <f t="shared" si="10"/>
        <v>FB</v>
      </c>
      <c r="B363">
        <f t="shared" si="11"/>
        <v>9312</v>
      </c>
      <c r="E363" s="1" t="s">
        <v>357</v>
      </c>
      <c r="F363" s="1">
        <v>42</v>
      </c>
      <c r="G363" s="1">
        <v>2</v>
      </c>
      <c r="H363" s="1">
        <v>12.89</v>
      </c>
    </row>
    <row r="364" spans="1:8" x14ac:dyDescent="0.3">
      <c r="A364" t="str">
        <f t="shared" si="10"/>
        <v>FB</v>
      </c>
      <c r="B364">
        <f t="shared" si="11"/>
        <v>1612</v>
      </c>
      <c r="E364" s="1" t="s">
        <v>137</v>
      </c>
      <c r="F364" s="1">
        <v>43</v>
      </c>
      <c r="G364" s="1">
        <v>4</v>
      </c>
      <c r="H364" s="1">
        <v>12.88</v>
      </c>
    </row>
    <row r="365" spans="1:8" x14ac:dyDescent="0.3">
      <c r="A365" t="str">
        <f t="shared" si="10"/>
        <v>FB</v>
      </c>
      <c r="B365">
        <f t="shared" si="11"/>
        <v>15712</v>
      </c>
      <c r="E365" s="1" t="s">
        <v>469</v>
      </c>
      <c r="F365" s="1">
        <v>45</v>
      </c>
      <c r="G365" s="1">
        <v>3</v>
      </c>
      <c r="H365" s="1">
        <v>12.82</v>
      </c>
    </row>
    <row r="366" spans="1:8" x14ac:dyDescent="0.3">
      <c r="A366" t="str">
        <f t="shared" si="10"/>
        <v>FB</v>
      </c>
      <c r="B366">
        <f t="shared" si="11"/>
        <v>18312</v>
      </c>
      <c r="E366" s="1" t="s">
        <v>423</v>
      </c>
      <c r="F366" s="1">
        <v>46</v>
      </c>
      <c r="G366" s="1">
        <v>2</v>
      </c>
      <c r="H366" s="1">
        <v>12.79</v>
      </c>
    </row>
    <row r="367" spans="1:8" x14ac:dyDescent="0.3">
      <c r="A367" t="str">
        <f t="shared" si="10"/>
        <v>FB</v>
      </c>
      <c r="B367">
        <f t="shared" si="11"/>
        <v>11112</v>
      </c>
      <c r="E367" s="1" t="s">
        <v>277</v>
      </c>
      <c r="F367" s="1">
        <v>51</v>
      </c>
      <c r="G367" s="1">
        <v>4</v>
      </c>
      <c r="H367" s="1">
        <v>12.61</v>
      </c>
    </row>
    <row r="368" spans="1:8" x14ac:dyDescent="0.3">
      <c r="A368" t="str">
        <f t="shared" si="10"/>
        <v>FB</v>
      </c>
      <c r="B368">
        <f t="shared" si="11"/>
        <v>12212</v>
      </c>
      <c r="E368" s="1" t="s">
        <v>284</v>
      </c>
      <c r="F368" s="1">
        <v>57</v>
      </c>
      <c r="G368" s="1">
        <v>3</v>
      </c>
      <c r="H368" s="1">
        <v>12.4</v>
      </c>
    </row>
    <row r="369" spans="1:8" x14ac:dyDescent="0.3">
      <c r="A369" t="str">
        <f t="shared" si="10"/>
        <v>FB</v>
      </c>
      <c r="B369">
        <f t="shared" si="11"/>
        <v>3312</v>
      </c>
      <c r="E369" s="1" t="s">
        <v>91</v>
      </c>
      <c r="F369" s="1">
        <v>60</v>
      </c>
      <c r="G369" s="1">
        <v>4</v>
      </c>
      <c r="H369" s="1">
        <v>12.35</v>
      </c>
    </row>
    <row r="370" spans="1:8" x14ac:dyDescent="0.3">
      <c r="A370" t="str">
        <f t="shared" si="10"/>
        <v>FB</v>
      </c>
      <c r="B370">
        <f t="shared" si="11"/>
        <v>14112</v>
      </c>
      <c r="E370" s="1" t="s">
        <v>299</v>
      </c>
      <c r="F370" s="1">
        <v>61</v>
      </c>
      <c r="G370" s="1">
        <v>5</v>
      </c>
      <c r="H370" s="1">
        <v>12.29</v>
      </c>
    </row>
    <row r="371" spans="1:8" x14ac:dyDescent="0.3">
      <c r="A371" t="str">
        <f t="shared" si="10"/>
        <v>FB</v>
      </c>
      <c r="B371">
        <f t="shared" si="11"/>
        <v>8112</v>
      </c>
      <c r="E371" s="1" t="s">
        <v>256</v>
      </c>
      <c r="F371" s="1">
        <v>65</v>
      </c>
      <c r="G371" s="1">
        <v>6</v>
      </c>
      <c r="H371" s="1">
        <v>12.22</v>
      </c>
    </row>
    <row r="372" spans="1:8" x14ac:dyDescent="0.3">
      <c r="A372" t="str">
        <f t="shared" si="10"/>
        <v>FB</v>
      </c>
      <c r="B372">
        <f t="shared" si="11"/>
        <v>3812</v>
      </c>
      <c r="E372" s="1" t="s">
        <v>238</v>
      </c>
      <c r="F372" s="1">
        <v>66</v>
      </c>
      <c r="G372" s="1">
        <v>7</v>
      </c>
      <c r="H372" s="1">
        <v>12.21</v>
      </c>
    </row>
    <row r="373" spans="1:8" x14ac:dyDescent="0.3">
      <c r="A373" t="str">
        <f t="shared" si="10"/>
        <v>FB</v>
      </c>
      <c r="B373">
        <f t="shared" si="11"/>
        <v>15412</v>
      </c>
      <c r="E373" s="1" t="s">
        <v>494</v>
      </c>
      <c r="F373" s="1">
        <v>69</v>
      </c>
      <c r="G373" s="1">
        <v>1</v>
      </c>
      <c r="H373" s="1">
        <v>12.12</v>
      </c>
    </row>
    <row r="374" spans="1:8" x14ac:dyDescent="0.3">
      <c r="A374" t="str">
        <f t="shared" si="10"/>
        <v>FB</v>
      </c>
      <c r="B374">
        <f t="shared" si="11"/>
        <v>14912</v>
      </c>
      <c r="E374" s="1" t="s">
        <v>307</v>
      </c>
      <c r="F374" s="1">
        <v>74</v>
      </c>
      <c r="G374" s="1">
        <v>2</v>
      </c>
      <c r="H374" s="1">
        <v>11.94</v>
      </c>
    </row>
    <row r="375" spans="1:8" x14ac:dyDescent="0.3">
      <c r="A375" t="str">
        <f t="shared" si="10"/>
        <v>FB</v>
      </c>
      <c r="B375">
        <f t="shared" si="11"/>
        <v>612</v>
      </c>
      <c r="E375" s="1" t="s">
        <v>100</v>
      </c>
      <c r="F375" s="1">
        <v>74</v>
      </c>
      <c r="G375" s="1">
        <v>4</v>
      </c>
      <c r="H375" s="1">
        <v>11.94</v>
      </c>
    </row>
    <row r="376" spans="1:8" x14ac:dyDescent="0.3">
      <c r="A376" t="str">
        <f t="shared" si="10"/>
        <v>FB</v>
      </c>
      <c r="B376">
        <f t="shared" si="11"/>
        <v>6912</v>
      </c>
      <c r="E376" s="1" t="s">
        <v>114</v>
      </c>
      <c r="F376" s="1">
        <v>76</v>
      </c>
      <c r="G376" s="1">
        <v>6</v>
      </c>
      <c r="H376" s="1">
        <v>11.91</v>
      </c>
    </row>
    <row r="377" spans="1:8" x14ac:dyDescent="0.3">
      <c r="A377" t="str">
        <f t="shared" si="10"/>
        <v>FB</v>
      </c>
      <c r="B377">
        <f t="shared" si="11"/>
        <v>14412</v>
      </c>
      <c r="E377" s="1" t="s">
        <v>302</v>
      </c>
      <c r="F377" s="1">
        <v>85</v>
      </c>
      <c r="G377" s="1">
        <v>8</v>
      </c>
      <c r="H377" s="1">
        <v>11.58</v>
      </c>
    </row>
    <row r="378" spans="1:8" x14ac:dyDescent="0.3">
      <c r="A378" t="str">
        <f t="shared" si="10"/>
        <v>FB</v>
      </c>
      <c r="B378">
        <f t="shared" si="11"/>
        <v>6712</v>
      </c>
      <c r="E378" s="1" t="s">
        <v>118</v>
      </c>
      <c r="F378" s="1">
        <v>93</v>
      </c>
      <c r="G378" s="1">
        <v>9</v>
      </c>
      <c r="H378" s="1">
        <v>11.31</v>
      </c>
    </row>
    <row r="379" spans="1:8" x14ac:dyDescent="0.3">
      <c r="A379" t="str">
        <f t="shared" si="10"/>
        <v>FB</v>
      </c>
      <c r="B379">
        <f t="shared" si="11"/>
        <v>5412</v>
      </c>
      <c r="E379" s="1" t="s">
        <v>94</v>
      </c>
      <c r="F379" s="1">
        <v>95</v>
      </c>
      <c r="G379" s="1">
        <v>4</v>
      </c>
      <c r="H379" s="1">
        <v>11.28</v>
      </c>
    </row>
    <row r="380" spans="1:8" x14ac:dyDescent="0.3">
      <c r="A380" t="str">
        <f t="shared" si="10"/>
        <v>FB</v>
      </c>
      <c r="B380">
        <f t="shared" si="11"/>
        <v>10612</v>
      </c>
      <c r="E380" s="1" t="s">
        <v>161</v>
      </c>
      <c r="F380" s="1">
        <v>101</v>
      </c>
      <c r="G380" s="1">
        <v>5</v>
      </c>
      <c r="H380" s="1">
        <v>11.2</v>
      </c>
    </row>
    <row r="381" spans="1:8" x14ac:dyDescent="0.3">
      <c r="A381" t="str">
        <f t="shared" si="10"/>
        <v>FB</v>
      </c>
      <c r="B381">
        <f t="shared" si="11"/>
        <v>15112</v>
      </c>
      <c r="E381" s="1" t="s">
        <v>464</v>
      </c>
      <c r="F381" s="1">
        <v>110</v>
      </c>
      <c r="G381" s="1">
        <v>5</v>
      </c>
      <c r="H381" s="1">
        <v>10.97</v>
      </c>
    </row>
    <row r="382" spans="1:8" x14ac:dyDescent="0.3">
      <c r="A382" t="str">
        <f t="shared" si="10"/>
        <v>FB</v>
      </c>
      <c r="B382">
        <f t="shared" si="11"/>
        <v>312</v>
      </c>
      <c r="E382" s="1" t="s">
        <v>215</v>
      </c>
      <c r="F382" s="1">
        <v>115</v>
      </c>
      <c r="G382" s="1">
        <v>11</v>
      </c>
      <c r="H382" s="1">
        <v>10.75</v>
      </c>
    </row>
    <row r="383" spans="1:8" x14ac:dyDescent="0.3">
      <c r="A383" t="str">
        <f t="shared" si="10"/>
        <v>FB</v>
      </c>
      <c r="B383">
        <f t="shared" si="11"/>
        <v>212</v>
      </c>
      <c r="E383" s="1" t="s">
        <v>98</v>
      </c>
      <c r="F383" s="1">
        <v>121</v>
      </c>
      <c r="G383" s="1">
        <v>5</v>
      </c>
      <c r="H383" s="1">
        <v>10.6</v>
      </c>
    </row>
    <row r="384" spans="1:8" x14ac:dyDescent="0.3">
      <c r="A384" t="str">
        <f t="shared" si="10"/>
        <v>FB</v>
      </c>
      <c r="B384">
        <f t="shared" si="11"/>
        <v>5812</v>
      </c>
      <c r="E384" s="1" t="s">
        <v>139</v>
      </c>
      <c r="F384" s="1">
        <v>128</v>
      </c>
      <c r="G384" s="1">
        <v>4</v>
      </c>
      <c r="H384" s="1">
        <v>10.56</v>
      </c>
    </row>
    <row r="385" spans="1:8" x14ac:dyDescent="0.3">
      <c r="A385" t="str">
        <f t="shared" si="10"/>
        <v>FB</v>
      </c>
      <c r="B385">
        <f t="shared" si="11"/>
        <v>13912</v>
      </c>
      <c r="E385" s="1" t="s">
        <v>297</v>
      </c>
      <c r="F385" s="1">
        <v>146</v>
      </c>
      <c r="G385" s="1">
        <v>12</v>
      </c>
      <c r="H385" s="1">
        <v>10.210000000000001</v>
      </c>
    </row>
    <row r="386" spans="1:8" x14ac:dyDescent="0.3">
      <c r="A386" t="str">
        <f t="shared" ref="A386:A449" si="12">IF(NOT(D386=""),INDEX(statAbbr,MATCH(D386,statOfficial,0),1),A385)</f>
        <v>FB</v>
      </c>
      <c r="B386">
        <f t="shared" ref="B386:B449" si="13">INDEX(statID,MATCH(A386,statAbbr,0),1)+INDEX(teamID,MATCH(E386,teamRawName,0))</f>
        <v>3912</v>
      </c>
      <c r="E386" s="1" t="s">
        <v>88</v>
      </c>
      <c r="F386" s="1">
        <v>151</v>
      </c>
      <c r="G386" s="1">
        <v>8</v>
      </c>
      <c r="H386" s="1">
        <v>10.18</v>
      </c>
    </row>
    <row r="387" spans="1:8" x14ac:dyDescent="0.3">
      <c r="A387" t="str">
        <f t="shared" si="12"/>
        <v>FB</v>
      </c>
      <c r="B387">
        <f t="shared" si="13"/>
        <v>7212</v>
      </c>
      <c r="E387" s="1" t="s">
        <v>116</v>
      </c>
      <c r="F387" s="1">
        <v>152</v>
      </c>
      <c r="G387" s="1">
        <v>9</v>
      </c>
      <c r="H387" s="1">
        <v>10.16</v>
      </c>
    </row>
    <row r="388" spans="1:8" x14ac:dyDescent="0.3">
      <c r="A388" t="str">
        <f t="shared" si="12"/>
        <v>FB</v>
      </c>
      <c r="B388">
        <f t="shared" si="13"/>
        <v>3212</v>
      </c>
      <c r="E388" s="1" t="s">
        <v>127</v>
      </c>
      <c r="F388" s="1">
        <v>158</v>
      </c>
      <c r="G388" s="1">
        <v>10</v>
      </c>
      <c r="H388" s="1">
        <v>10.029999999999999</v>
      </c>
    </row>
    <row r="389" spans="1:8" x14ac:dyDescent="0.3">
      <c r="A389" t="str">
        <f t="shared" si="12"/>
        <v>FB</v>
      </c>
      <c r="B389">
        <f t="shared" si="13"/>
        <v>2712</v>
      </c>
      <c r="E389" s="1" t="s">
        <v>7</v>
      </c>
      <c r="F389" s="1">
        <v>159</v>
      </c>
      <c r="G389" s="1">
        <v>11</v>
      </c>
      <c r="H389" s="1">
        <v>10</v>
      </c>
    </row>
    <row r="390" spans="1:8" x14ac:dyDescent="0.3">
      <c r="A390" t="str">
        <f t="shared" si="12"/>
        <v>FB</v>
      </c>
      <c r="B390">
        <f t="shared" si="13"/>
        <v>4512</v>
      </c>
      <c r="E390" s="1" t="s">
        <v>84</v>
      </c>
      <c r="F390" s="1">
        <v>173</v>
      </c>
      <c r="G390" s="1">
        <v>13</v>
      </c>
      <c r="H390" s="1">
        <v>9.66</v>
      </c>
    </row>
    <row r="391" spans="1:8" x14ac:dyDescent="0.3">
      <c r="A391" t="str">
        <f t="shared" si="12"/>
        <v>FB</v>
      </c>
      <c r="B391">
        <f t="shared" si="13"/>
        <v>7612</v>
      </c>
      <c r="E391" s="1" t="s">
        <v>253</v>
      </c>
      <c r="F391" s="1">
        <v>174</v>
      </c>
      <c r="G391" s="1">
        <v>8</v>
      </c>
      <c r="H391" s="1">
        <v>9.65</v>
      </c>
    </row>
    <row r="392" spans="1:8" x14ac:dyDescent="0.3">
      <c r="A392" t="str">
        <f t="shared" si="12"/>
        <v>FB</v>
      </c>
      <c r="B392">
        <f t="shared" si="13"/>
        <v>12512</v>
      </c>
      <c r="E392" s="1" t="s">
        <v>95</v>
      </c>
      <c r="F392" s="1">
        <v>181</v>
      </c>
      <c r="G392" s="1">
        <v>5</v>
      </c>
      <c r="H392" s="1">
        <v>9.57</v>
      </c>
    </row>
    <row r="393" spans="1:8" x14ac:dyDescent="0.3">
      <c r="A393" t="str">
        <f t="shared" si="12"/>
        <v>FB</v>
      </c>
      <c r="B393">
        <f t="shared" si="13"/>
        <v>3112</v>
      </c>
      <c r="E393" s="1" t="s">
        <v>93</v>
      </c>
      <c r="F393" s="1">
        <v>195</v>
      </c>
      <c r="G393" s="1">
        <v>5</v>
      </c>
      <c r="H393" s="1">
        <v>9.36</v>
      </c>
    </row>
    <row r="394" spans="1:8" x14ac:dyDescent="0.3">
      <c r="A394" t="str">
        <f t="shared" si="12"/>
        <v>FB</v>
      </c>
      <c r="B394">
        <f t="shared" si="13"/>
        <v>1212</v>
      </c>
      <c r="E394" s="1" t="s">
        <v>130</v>
      </c>
      <c r="F394" s="1">
        <v>212</v>
      </c>
      <c r="G394" s="1">
        <v>5</v>
      </c>
      <c r="H394" s="1">
        <v>8.9700000000000006</v>
      </c>
    </row>
    <row r="395" spans="1:8" x14ac:dyDescent="0.3">
      <c r="A395" t="str">
        <f t="shared" si="12"/>
        <v>FB</v>
      </c>
      <c r="B395">
        <f t="shared" si="13"/>
        <v>15612</v>
      </c>
      <c r="E395" s="1" t="s">
        <v>468</v>
      </c>
      <c r="F395" s="1">
        <v>217</v>
      </c>
      <c r="G395" s="1">
        <v>3</v>
      </c>
      <c r="H395" s="1">
        <v>8.89</v>
      </c>
    </row>
    <row r="396" spans="1:8" x14ac:dyDescent="0.3">
      <c r="A396" t="str">
        <f t="shared" si="12"/>
        <v>FB</v>
      </c>
      <c r="B396">
        <f t="shared" si="13"/>
        <v>3612</v>
      </c>
      <c r="E396" s="1" t="s">
        <v>129</v>
      </c>
      <c r="F396" s="1">
        <v>222</v>
      </c>
      <c r="G396" s="1">
        <v>14</v>
      </c>
      <c r="H396" s="1">
        <v>8.7899999999999991</v>
      </c>
    </row>
    <row r="397" spans="1:8" x14ac:dyDescent="0.3">
      <c r="A397" t="str">
        <f t="shared" si="12"/>
        <v>FB</v>
      </c>
      <c r="B397">
        <f t="shared" si="13"/>
        <v>18412</v>
      </c>
      <c r="E397" s="1" t="s">
        <v>417</v>
      </c>
      <c r="F397" s="1">
        <v>226</v>
      </c>
      <c r="G397" s="1">
        <v>3</v>
      </c>
      <c r="H397" s="1">
        <v>8.76</v>
      </c>
    </row>
    <row r="398" spans="1:8" x14ac:dyDescent="0.3">
      <c r="A398" t="str">
        <f t="shared" si="12"/>
        <v>FB</v>
      </c>
      <c r="B398">
        <f t="shared" si="13"/>
        <v>11712</v>
      </c>
      <c r="E398" s="1" t="s">
        <v>280</v>
      </c>
      <c r="F398" s="1">
        <v>235</v>
      </c>
      <c r="G398" s="1">
        <v>8</v>
      </c>
      <c r="H398" s="1">
        <v>8.6300000000000008</v>
      </c>
    </row>
    <row r="399" spans="1:8" x14ac:dyDescent="0.3">
      <c r="A399" t="str">
        <f t="shared" si="12"/>
        <v>FB</v>
      </c>
      <c r="B399">
        <f t="shared" si="13"/>
        <v>2312</v>
      </c>
      <c r="E399" s="1" t="s">
        <v>79</v>
      </c>
      <c r="F399" s="1">
        <v>235</v>
      </c>
      <c r="G399" s="1">
        <v>6</v>
      </c>
      <c r="H399" s="1">
        <v>8.6300000000000008</v>
      </c>
    </row>
    <row r="400" spans="1:8" x14ac:dyDescent="0.3">
      <c r="A400" t="str">
        <f t="shared" si="12"/>
        <v>FB</v>
      </c>
      <c r="B400">
        <f t="shared" si="13"/>
        <v>15912</v>
      </c>
      <c r="E400" s="1" t="s">
        <v>495</v>
      </c>
      <c r="F400" s="1">
        <v>240</v>
      </c>
      <c r="G400" s="1">
        <v>4</v>
      </c>
      <c r="H400" s="1">
        <v>8.5299999999999994</v>
      </c>
    </row>
    <row r="401" spans="1:8" x14ac:dyDescent="0.3">
      <c r="A401" t="str">
        <f t="shared" si="12"/>
        <v>FB</v>
      </c>
      <c r="B401">
        <f t="shared" si="13"/>
        <v>8312</v>
      </c>
      <c r="E401" s="1" t="s">
        <v>257</v>
      </c>
      <c r="F401" s="1">
        <v>259</v>
      </c>
      <c r="G401" s="1">
        <v>9</v>
      </c>
      <c r="H401" s="1">
        <v>8.23</v>
      </c>
    </row>
    <row r="402" spans="1:8" x14ac:dyDescent="0.3">
      <c r="A402" t="str">
        <f t="shared" si="12"/>
        <v>FB</v>
      </c>
      <c r="B402">
        <f t="shared" si="13"/>
        <v>15812</v>
      </c>
      <c r="E402" s="1" t="s">
        <v>470</v>
      </c>
      <c r="F402" s="1">
        <v>265</v>
      </c>
      <c r="G402" s="1">
        <v>7</v>
      </c>
      <c r="H402" s="1">
        <v>8.06</v>
      </c>
    </row>
    <row r="403" spans="1:8" x14ac:dyDescent="0.3">
      <c r="A403" t="str">
        <f t="shared" si="12"/>
        <v>FB</v>
      </c>
      <c r="B403">
        <f t="shared" si="13"/>
        <v>9012</v>
      </c>
      <c r="E403" s="1" t="s">
        <v>261</v>
      </c>
      <c r="F403" s="1">
        <v>267</v>
      </c>
      <c r="G403" s="1">
        <v>10</v>
      </c>
      <c r="H403" s="1">
        <v>8</v>
      </c>
    </row>
    <row r="404" spans="1:8" x14ac:dyDescent="0.3">
      <c r="A404" t="str">
        <f t="shared" si="12"/>
        <v>FB</v>
      </c>
      <c r="B404">
        <f t="shared" si="13"/>
        <v>16112</v>
      </c>
      <c r="E404" s="1" t="s">
        <v>473</v>
      </c>
      <c r="F404" s="1">
        <v>268</v>
      </c>
      <c r="G404" s="1">
        <v>10</v>
      </c>
      <c r="H404" s="1">
        <v>7.97</v>
      </c>
    </row>
    <row r="405" spans="1:8" x14ac:dyDescent="0.3">
      <c r="A405" t="str">
        <f t="shared" si="12"/>
        <v>FB</v>
      </c>
      <c r="B405">
        <f t="shared" si="13"/>
        <v>3012</v>
      </c>
      <c r="E405" s="1" t="s">
        <v>89</v>
      </c>
      <c r="F405" s="1">
        <v>272</v>
      </c>
      <c r="G405" s="1">
        <v>11</v>
      </c>
      <c r="H405" s="1">
        <v>7.83</v>
      </c>
    </row>
    <row r="406" spans="1:8" x14ac:dyDescent="0.3">
      <c r="A406" t="str">
        <f t="shared" si="12"/>
        <v>FB</v>
      </c>
      <c r="B406">
        <f t="shared" si="13"/>
        <v>1312</v>
      </c>
      <c r="E406" s="1" t="s">
        <v>82</v>
      </c>
      <c r="F406" s="1">
        <v>273</v>
      </c>
      <c r="G406" s="1">
        <v>7</v>
      </c>
      <c r="H406" s="1">
        <v>7.78</v>
      </c>
    </row>
    <row r="407" spans="1:8" x14ac:dyDescent="0.3">
      <c r="A407" t="str">
        <f t="shared" si="12"/>
        <v>FB</v>
      </c>
      <c r="B407">
        <f t="shared" si="13"/>
        <v>5112</v>
      </c>
      <c r="E407" s="1" t="s">
        <v>240</v>
      </c>
      <c r="F407" s="1">
        <v>277</v>
      </c>
      <c r="G407" s="1">
        <v>10</v>
      </c>
      <c r="H407" s="1">
        <v>7.74</v>
      </c>
    </row>
    <row r="408" spans="1:8" x14ac:dyDescent="0.3">
      <c r="A408" t="str">
        <f t="shared" si="12"/>
        <v>FB</v>
      </c>
      <c r="B408">
        <f t="shared" si="13"/>
        <v>3512</v>
      </c>
      <c r="E408" s="1" t="s">
        <v>87</v>
      </c>
      <c r="F408" s="1">
        <v>279</v>
      </c>
      <c r="G408" s="1">
        <v>15</v>
      </c>
      <c r="H408" s="1">
        <v>7.66</v>
      </c>
    </row>
    <row r="409" spans="1:8" x14ac:dyDescent="0.3">
      <c r="A409" t="str">
        <f t="shared" si="12"/>
        <v>FB</v>
      </c>
      <c r="B409">
        <f t="shared" si="13"/>
        <v>2812</v>
      </c>
      <c r="E409" s="1" t="s">
        <v>106</v>
      </c>
      <c r="F409" s="1">
        <v>283</v>
      </c>
      <c r="G409" s="1">
        <v>16</v>
      </c>
      <c r="H409" s="1">
        <v>7.6</v>
      </c>
    </row>
    <row r="410" spans="1:8" x14ac:dyDescent="0.3">
      <c r="A410" t="str">
        <f t="shared" si="12"/>
        <v>FB</v>
      </c>
      <c r="B410">
        <f t="shared" si="13"/>
        <v>4312</v>
      </c>
      <c r="E410" s="1" t="s">
        <v>125</v>
      </c>
      <c r="F410" s="1">
        <v>299</v>
      </c>
      <c r="G410" s="1">
        <v>14</v>
      </c>
      <c r="H410" s="1">
        <v>7.2</v>
      </c>
    </row>
    <row r="411" spans="1:8" x14ac:dyDescent="0.3">
      <c r="A411" t="str">
        <f t="shared" si="12"/>
        <v>FB</v>
      </c>
      <c r="B411">
        <f t="shared" si="13"/>
        <v>4212</v>
      </c>
      <c r="E411" s="1" t="s">
        <v>123</v>
      </c>
      <c r="F411" s="1">
        <v>304</v>
      </c>
      <c r="G411" s="1">
        <v>16</v>
      </c>
      <c r="H411" s="1">
        <v>7.14</v>
      </c>
    </row>
    <row r="412" spans="1:8" x14ac:dyDescent="0.3">
      <c r="A412" t="str">
        <f t="shared" si="12"/>
        <v>FB</v>
      </c>
      <c r="B412">
        <f t="shared" si="13"/>
        <v>4012</v>
      </c>
      <c r="E412" s="1" t="s">
        <v>105</v>
      </c>
      <c r="F412" s="1">
        <v>305</v>
      </c>
      <c r="G412" s="1">
        <v>13</v>
      </c>
      <c r="H412" s="1">
        <v>7.12</v>
      </c>
    </row>
    <row r="413" spans="1:8" x14ac:dyDescent="0.3">
      <c r="A413" t="str">
        <f t="shared" si="12"/>
        <v>FB</v>
      </c>
      <c r="B413">
        <f t="shared" si="13"/>
        <v>13112</v>
      </c>
      <c r="E413" s="1" t="s">
        <v>289</v>
      </c>
      <c r="F413" s="1">
        <v>310</v>
      </c>
      <c r="G413" s="1">
        <v>14</v>
      </c>
      <c r="H413" s="1">
        <v>6.89</v>
      </c>
    </row>
    <row r="414" spans="1:8" x14ac:dyDescent="0.3">
      <c r="A414" t="str">
        <f t="shared" si="12"/>
        <v>FB</v>
      </c>
      <c r="B414">
        <f t="shared" si="13"/>
        <v>18512</v>
      </c>
      <c r="E414" s="1" t="s">
        <v>420</v>
      </c>
      <c r="F414" s="1">
        <v>329</v>
      </c>
      <c r="G414" s="1">
        <v>7</v>
      </c>
      <c r="H414" s="1">
        <v>6.4</v>
      </c>
    </row>
    <row r="415" spans="1:8" x14ac:dyDescent="0.3">
      <c r="A415" t="str">
        <f t="shared" si="12"/>
        <v>FB</v>
      </c>
      <c r="B415">
        <f t="shared" si="13"/>
        <v>2512</v>
      </c>
      <c r="E415" s="1" t="s">
        <v>92</v>
      </c>
      <c r="F415" s="1">
        <v>333</v>
      </c>
      <c r="G415" s="1">
        <v>11</v>
      </c>
      <c r="H415" s="1">
        <v>6.09</v>
      </c>
    </row>
    <row r="416" spans="1:8" x14ac:dyDescent="0.3">
      <c r="A416" t="str">
        <f t="shared" si="12"/>
        <v>FB</v>
      </c>
      <c r="B416">
        <f t="shared" si="13"/>
        <v>9512</v>
      </c>
      <c r="E416" s="1" t="s">
        <v>85</v>
      </c>
      <c r="F416" s="1">
        <v>335</v>
      </c>
      <c r="G416" s="1">
        <v>12</v>
      </c>
      <c r="H416" s="1">
        <v>6.03</v>
      </c>
    </row>
    <row r="417" spans="1:10" x14ac:dyDescent="0.3">
      <c r="A417" t="str">
        <f t="shared" si="12"/>
        <v>FG%</v>
      </c>
      <c r="B417">
        <f t="shared" si="13"/>
        <v>4413</v>
      </c>
      <c r="D417" s="1" t="s">
        <v>544</v>
      </c>
      <c r="E417" s="1" t="s">
        <v>83</v>
      </c>
      <c r="F417" s="1">
        <v>2</v>
      </c>
      <c r="G417" s="1">
        <v>1</v>
      </c>
      <c r="H417" s="1">
        <v>50.1</v>
      </c>
      <c r="I417" s="1" t="s">
        <v>397</v>
      </c>
      <c r="J417" s="1">
        <v>50.7</v>
      </c>
    </row>
    <row r="418" spans="1:10" x14ac:dyDescent="0.3">
      <c r="A418" t="str">
        <f t="shared" si="12"/>
        <v>FG%</v>
      </c>
      <c r="B418">
        <f t="shared" si="13"/>
        <v>11713</v>
      </c>
      <c r="E418" s="1" t="s">
        <v>280</v>
      </c>
      <c r="F418" s="1">
        <v>4</v>
      </c>
      <c r="G418" s="1">
        <v>2</v>
      </c>
      <c r="H418" s="1">
        <v>49.8</v>
      </c>
    </row>
    <row r="419" spans="1:10" x14ac:dyDescent="0.3">
      <c r="A419" t="str">
        <f t="shared" si="12"/>
        <v>FG%</v>
      </c>
      <c r="B419">
        <f t="shared" si="13"/>
        <v>5413</v>
      </c>
      <c r="E419" s="1" t="s">
        <v>94</v>
      </c>
      <c r="F419" s="1">
        <v>7</v>
      </c>
      <c r="G419" s="1">
        <v>1</v>
      </c>
      <c r="H419" s="1">
        <v>49.3</v>
      </c>
    </row>
    <row r="420" spans="1:10" x14ac:dyDescent="0.3">
      <c r="A420" t="str">
        <f t="shared" si="12"/>
        <v>FG%</v>
      </c>
      <c r="B420">
        <f t="shared" si="13"/>
        <v>10613</v>
      </c>
      <c r="E420" s="1" t="s">
        <v>161</v>
      </c>
      <c r="F420" s="1">
        <v>8</v>
      </c>
      <c r="G420" s="1">
        <v>1</v>
      </c>
      <c r="H420" s="1">
        <v>49.2</v>
      </c>
    </row>
    <row r="421" spans="1:10" x14ac:dyDescent="0.3">
      <c r="A421" t="str">
        <f t="shared" si="12"/>
        <v>FG%</v>
      </c>
      <c r="B421">
        <f t="shared" si="13"/>
        <v>18313</v>
      </c>
      <c r="E421" s="1" t="s">
        <v>423</v>
      </c>
      <c r="F421" s="1">
        <v>10</v>
      </c>
      <c r="G421" s="1">
        <v>1</v>
      </c>
      <c r="H421" s="1">
        <v>49</v>
      </c>
    </row>
    <row r="422" spans="1:10" x14ac:dyDescent="0.3">
      <c r="A422" t="str">
        <f t="shared" si="12"/>
        <v>FG%</v>
      </c>
      <c r="B422">
        <f t="shared" si="13"/>
        <v>12513</v>
      </c>
      <c r="E422" s="1" t="s">
        <v>95</v>
      </c>
      <c r="F422" s="1">
        <v>11</v>
      </c>
      <c r="G422" s="1">
        <v>2</v>
      </c>
      <c r="H422" s="1">
        <v>49</v>
      </c>
    </row>
    <row r="423" spans="1:10" x14ac:dyDescent="0.3">
      <c r="A423" t="str">
        <f t="shared" si="12"/>
        <v>FG%</v>
      </c>
      <c r="B423">
        <f t="shared" si="13"/>
        <v>5113</v>
      </c>
      <c r="E423" s="1" t="s">
        <v>240</v>
      </c>
      <c r="F423" s="1">
        <v>13</v>
      </c>
      <c r="G423" s="1">
        <v>1</v>
      </c>
      <c r="H423" s="1">
        <v>48.9</v>
      </c>
    </row>
    <row r="424" spans="1:10" x14ac:dyDescent="0.3">
      <c r="A424" t="str">
        <f t="shared" si="12"/>
        <v>FG%</v>
      </c>
      <c r="B424">
        <f t="shared" si="13"/>
        <v>2013</v>
      </c>
      <c r="E424" s="1" t="s">
        <v>328</v>
      </c>
      <c r="F424" s="1">
        <v>14</v>
      </c>
      <c r="G424" s="1">
        <v>1</v>
      </c>
      <c r="H424" s="1">
        <v>48.8</v>
      </c>
    </row>
    <row r="425" spans="1:10" x14ac:dyDescent="0.3">
      <c r="A425" t="str">
        <f t="shared" si="12"/>
        <v>FG%</v>
      </c>
      <c r="B425">
        <f t="shared" si="13"/>
        <v>3013</v>
      </c>
      <c r="E425" s="1" t="s">
        <v>89</v>
      </c>
      <c r="F425" s="1">
        <v>16</v>
      </c>
      <c r="G425" s="1">
        <v>2</v>
      </c>
      <c r="H425" s="1">
        <v>48.6</v>
      </c>
    </row>
    <row r="426" spans="1:10" x14ac:dyDescent="0.3">
      <c r="A426" t="str">
        <f t="shared" si="12"/>
        <v>FG%</v>
      </c>
      <c r="B426">
        <f t="shared" si="13"/>
        <v>3713</v>
      </c>
      <c r="E426" s="1" t="s">
        <v>115</v>
      </c>
      <c r="F426" s="1">
        <v>19</v>
      </c>
      <c r="G426" s="1">
        <v>1</v>
      </c>
      <c r="H426" s="1">
        <v>48.4</v>
      </c>
    </row>
    <row r="427" spans="1:10" x14ac:dyDescent="0.3">
      <c r="A427" t="str">
        <f t="shared" si="12"/>
        <v>FG%</v>
      </c>
      <c r="B427">
        <f t="shared" si="13"/>
        <v>1413</v>
      </c>
      <c r="E427" s="1" t="s">
        <v>102</v>
      </c>
      <c r="F427" s="1">
        <v>20</v>
      </c>
      <c r="G427" s="1">
        <v>1</v>
      </c>
      <c r="H427" s="1">
        <v>48.4</v>
      </c>
    </row>
    <row r="428" spans="1:10" x14ac:dyDescent="0.3">
      <c r="A428" t="str">
        <f t="shared" si="12"/>
        <v>FG%</v>
      </c>
      <c r="B428">
        <f t="shared" si="13"/>
        <v>613</v>
      </c>
      <c r="E428" s="1" t="s">
        <v>100</v>
      </c>
      <c r="F428" s="1">
        <v>23</v>
      </c>
      <c r="G428" s="1">
        <v>1</v>
      </c>
      <c r="H428" s="1">
        <v>48.3</v>
      </c>
    </row>
    <row r="429" spans="1:10" x14ac:dyDescent="0.3">
      <c r="A429" t="str">
        <f t="shared" si="12"/>
        <v>FG%</v>
      </c>
      <c r="B429">
        <f t="shared" si="13"/>
        <v>2713</v>
      </c>
      <c r="E429" s="1" t="s">
        <v>7</v>
      </c>
      <c r="F429" s="1">
        <v>24</v>
      </c>
      <c r="G429" s="1">
        <v>2</v>
      </c>
      <c r="H429" s="1">
        <v>48.2</v>
      </c>
    </row>
    <row r="430" spans="1:10" x14ac:dyDescent="0.3">
      <c r="A430" t="str">
        <f t="shared" si="12"/>
        <v>FG%</v>
      </c>
      <c r="B430">
        <f t="shared" si="13"/>
        <v>14113</v>
      </c>
      <c r="E430" s="1" t="s">
        <v>299</v>
      </c>
      <c r="F430" s="1">
        <v>25</v>
      </c>
      <c r="G430" s="1">
        <v>2</v>
      </c>
      <c r="H430" s="1">
        <v>48.2</v>
      </c>
    </row>
    <row r="431" spans="1:10" x14ac:dyDescent="0.3">
      <c r="A431" t="str">
        <f t="shared" si="12"/>
        <v>FG%</v>
      </c>
      <c r="B431">
        <f t="shared" si="13"/>
        <v>5513</v>
      </c>
      <c r="E431" s="1" t="s">
        <v>86</v>
      </c>
      <c r="F431" s="1">
        <v>26</v>
      </c>
      <c r="G431" s="1">
        <v>3</v>
      </c>
      <c r="H431" s="1">
        <v>48.2</v>
      </c>
    </row>
    <row r="432" spans="1:10" x14ac:dyDescent="0.3">
      <c r="A432" t="str">
        <f t="shared" si="12"/>
        <v>FG%</v>
      </c>
      <c r="B432">
        <f t="shared" si="13"/>
        <v>9513</v>
      </c>
      <c r="E432" s="1" t="s">
        <v>85</v>
      </c>
      <c r="F432" s="1">
        <v>29</v>
      </c>
      <c r="G432" s="1">
        <v>4</v>
      </c>
      <c r="H432" s="1">
        <v>48.1</v>
      </c>
    </row>
    <row r="433" spans="1:8" x14ac:dyDescent="0.3">
      <c r="A433" t="str">
        <f t="shared" si="12"/>
        <v>FG%</v>
      </c>
      <c r="B433">
        <f t="shared" si="13"/>
        <v>1313</v>
      </c>
      <c r="E433" s="1" t="s">
        <v>82</v>
      </c>
      <c r="F433" s="1">
        <v>33</v>
      </c>
      <c r="G433" s="1">
        <v>2</v>
      </c>
      <c r="H433" s="1">
        <v>47.7</v>
      </c>
    </row>
    <row r="434" spans="1:8" x14ac:dyDescent="0.3">
      <c r="A434" t="str">
        <f t="shared" si="12"/>
        <v>FG%</v>
      </c>
      <c r="B434">
        <f t="shared" si="13"/>
        <v>3113</v>
      </c>
      <c r="E434" s="1" t="s">
        <v>93</v>
      </c>
      <c r="F434" s="1">
        <v>34</v>
      </c>
      <c r="G434" s="1">
        <v>1</v>
      </c>
      <c r="H434" s="1">
        <v>47.7</v>
      </c>
    </row>
    <row r="435" spans="1:8" x14ac:dyDescent="0.3">
      <c r="A435" t="str">
        <f t="shared" si="12"/>
        <v>FG%</v>
      </c>
      <c r="B435">
        <f t="shared" si="13"/>
        <v>213</v>
      </c>
      <c r="E435" s="1" t="s">
        <v>98</v>
      </c>
      <c r="F435" s="1">
        <v>36</v>
      </c>
      <c r="G435" s="1">
        <v>2</v>
      </c>
      <c r="H435" s="1">
        <v>47.7</v>
      </c>
    </row>
    <row r="436" spans="1:8" x14ac:dyDescent="0.3">
      <c r="A436" t="str">
        <f t="shared" si="12"/>
        <v>FG%</v>
      </c>
      <c r="B436">
        <f t="shared" si="13"/>
        <v>4513</v>
      </c>
      <c r="E436" s="1" t="s">
        <v>84</v>
      </c>
      <c r="F436" s="1">
        <v>40</v>
      </c>
      <c r="G436" s="1">
        <v>4</v>
      </c>
      <c r="H436" s="1">
        <v>47.6</v>
      </c>
    </row>
    <row r="437" spans="1:8" x14ac:dyDescent="0.3">
      <c r="A437" t="str">
        <f t="shared" si="12"/>
        <v>FG%</v>
      </c>
      <c r="B437">
        <f t="shared" si="13"/>
        <v>2313</v>
      </c>
      <c r="E437" s="1" t="s">
        <v>79</v>
      </c>
      <c r="F437" s="1">
        <v>41</v>
      </c>
      <c r="G437" s="1">
        <v>2</v>
      </c>
      <c r="H437" s="1">
        <v>47.5</v>
      </c>
    </row>
    <row r="438" spans="1:8" x14ac:dyDescent="0.3">
      <c r="A438" t="str">
        <f t="shared" si="12"/>
        <v>FG%</v>
      </c>
      <c r="B438">
        <f t="shared" si="13"/>
        <v>4913</v>
      </c>
      <c r="E438" s="1" t="s">
        <v>108</v>
      </c>
      <c r="F438" s="1">
        <v>42</v>
      </c>
      <c r="G438" s="1">
        <v>3</v>
      </c>
      <c r="H438" s="1">
        <v>47.5</v>
      </c>
    </row>
    <row r="439" spans="1:8" x14ac:dyDescent="0.3">
      <c r="A439" t="str">
        <f t="shared" si="12"/>
        <v>FG%</v>
      </c>
      <c r="B439">
        <f t="shared" si="13"/>
        <v>2913</v>
      </c>
      <c r="E439" s="1" t="s">
        <v>96</v>
      </c>
      <c r="F439" s="1">
        <v>44</v>
      </c>
      <c r="G439" s="1">
        <v>3</v>
      </c>
      <c r="H439" s="1">
        <v>47.4</v>
      </c>
    </row>
    <row r="440" spans="1:8" x14ac:dyDescent="0.3">
      <c r="A440" t="str">
        <f t="shared" si="12"/>
        <v>FG%</v>
      </c>
      <c r="B440">
        <f t="shared" si="13"/>
        <v>6613</v>
      </c>
      <c r="E440" s="1" t="s">
        <v>247</v>
      </c>
      <c r="F440" s="1">
        <v>49</v>
      </c>
      <c r="G440" s="1">
        <v>1</v>
      </c>
      <c r="H440" s="1">
        <v>47.2</v>
      </c>
    </row>
    <row r="441" spans="1:8" x14ac:dyDescent="0.3">
      <c r="A441" t="str">
        <f t="shared" si="12"/>
        <v>FG%</v>
      </c>
      <c r="B441">
        <f t="shared" si="13"/>
        <v>5713</v>
      </c>
      <c r="E441" s="1" t="s">
        <v>120</v>
      </c>
      <c r="F441" s="1">
        <v>52</v>
      </c>
      <c r="G441" s="1">
        <v>5</v>
      </c>
      <c r="H441" s="1">
        <v>47.1</v>
      </c>
    </row>
    <row r="442" spans="1:8" x14ac:dyDescent="0.3">
      <c r="A442" t="str">
        <f t="shared" si="12"/>
        <v>FG%</v>
      </c>
      <c r="B442">
        <f t="shared" si="13"/>
        <v>8313</v>
      </c>
      <c r="E442" s="1" t="s">
        <v>257</v>
      </c>
      <c r="F442" s="1">
        <v>53</v>
      </c>
      <c r="G442" s="1">
        <v>1</v>
      </c>
      <c r="H442" s="1">
        <v>47.1</v>
      </c>
    </row>
    <row r="443" spans="1:8" x14ac:dyDescent="0.3">
      <c r="A443" t="str">
        <f t="shared" si="12"/>
        <v>FG%</v>
      </c>
      <c r="B443">
        <f t="shared" si="13"/>
        <v>3913</v>
      </c>
      <c r="E443" s="1" t="s">
        <v>88</v>
      </c>
      <c r="F443" s="1">
        <v>54</v>
      </c>
      <c r="G443" s="1">
        <v>4</v>
      </c>
      <c r="H443" s="1">
        <v>47</v>
      </c>
    </row>
    <row r="444" spans="1:8" x14ac:dyDescent="0.3">
      <c r="A444" t="str">
        <f t="shared" si="12"/>
        <v>FG%</v>
      </c>
      <c r="B444">
        <f t="shared" si="13"/>
        <v>11113</v>
      </c>
      <c r="E444" s="1" t="s">
        <v>277</v>
      </c>
      <c r="F444" s="1">
        <v>56</v>
      </c>
      <c r="G444" s="1">
        <v>5</v>
      </c>
      <c r="H444" s="1">
        <v>47</v>
      </c>
    </row>
    <row r="445" spans="1:8" x14ac:dyDescent="0.3">
      <c r="A445" t="str">
        <f t="shared" si="12"/>
        <v>FG%</v>
      </c>
      <c r="B445">
        <f t="shared" si="13"/>
        <v>8213</v>
      </c>
      <c r="E445" s="1" t="s">
        <v>131</v>
      </c>
      <c r="F445" s="1">
        <v>60</v>
      </c>
      <c r="G445" s="1">
        <v>3</v>
      </c>
      <c r="H445" s="1">
        <v>46.9</v>
      </c>
    </row>
    <row r="446" spans="1:8" x14ac:dyDescent="0.3">
      <c r="A446" t="str">
        <f t="shared" si="12"/>
        <v>FG%</v>
      </c>
      <c r="B446">
        <f t="shared" si="13"/>
        <v>7613</v>
      </c>
      <c r="E446" s="1" t="s">
        <v>253</v>
      </c>
      <c r="F446" s="1">
        <v>64</v>
      </c>
      <c r="G446" s="1">
        <v>6</v>
      </c>
      <c r="H446" s="1">
        <v>46.8</v>
      </c>
    </row>
    <row r="447" spans="1:8" x14ac:dyDescent="0.3">
      <c r="A447" t="str">
        <f t="shared" si="12"/>
        <v>FG%</v>
      </c>
      <c r="B447">
        <f t="shared" si="13"/>
        <v>3813</v>
      </c>
      <c r="E447" s="1" t="s">
        <v>238</v>
      </c>
      <c r="F447" s="1">
        <v>68</v>
      </c>
      <c r="G447" s="1">
        <v>6</v>
      </c>
      <c r="H447" s="1">
        <v>46.8</v>
      </c>
    </row>
    <row r="448" spans="1:8" x14ac:dyDescent="0.3">
      <c r="A448" t="str">
        <f t="shared" si="12"/>
        <v>FG%</v>
      </c>
      <c r="B448">
        <f t="shared" si="13"/>
        <v>7413</v>
      </c>
      <c r="E448" s="1" t="s">
        <v>251</v>
      </c>
      <c r="F448" s="1">
        <v>71</v>
      </c>
      <c r="G448" s="1">
        <v>3</v>
      </c>
      <c r="H448" s="1">
        <v>46.7</v>
      </c>
    </row>
    <row r="449" spans="1:8" x14ac:dyDescent="0.3">
      <c r="A449" t="str">
        <f t="shared" si="12"/>
        <v>FG%</v>
      </c>
      <c r="B449">
        <f t="shared" si="13"/>
        <v>7213</v>
      </c>
      <c r="E449" s="1" t="s">
        <v>116</v>
      </c>
      <c r="F449" s="1">
        <v>76</v>
      </c>
      <c r="G449" s="1">
        <v>5</v>
      </c>
      <c r="H449" s="1">
        <v>46.6</v>
      </c>
    </row>
    <row r="450" spans="1:8" x14ac:dyDescent="0.3">
      <c r="A450" t="str">
        <f t="shared" ref="A450:A513" si="14">IF(NOT(D450=""),INDEX(statAbbr,MATCH(D450,statOfficial,0),1),A449)</f>
        <v>FG%</v>
      </c>
      <c r="B450">
        <f t="shared" ref="B450:B513" si="15">INDEX(statID,MATCH(A450,statAbbr,0),1)+INDEX(teamID,MATCH(E450,teamRawName,0))</f>
        <v>9013</v>
      </c>
      <c r="E450" s="1" t="s">
        <v>261</v>
      </c>
      <c r="F450" s="1">
        <v>84</v>
      </c>
      <c r="G450" s="1">
        <v>8</v>
      </c>
      <c r="H450" s="1">
        <v>46.4</v>
      </c>
    </row>
    <row r="451" spans="1:8" x14ac:dyDescent="0.3">
      <c r="A451" t="str">
        <f t="shared" si="14"/>
        <v>FG%</v>
      </c>
      <c r="B451">
        <f t="shared" si="15"/>
        <v>15013</v>
      </c>
      <c r="E451" s="1" t="s">
        <v>463</v>
      </c>
      <c r="F451" s="1">
        <v>85</v>
      </c>
      <c r="G451" s="1">
        <v>2</v>
      </c>
      <c r="H451" s="1">
        <v>46.4</v>
      </c>
    </row>
    <row r="452" spans="1:8" x14ac:dyDescent="0.3">
      <c r="A452" t="str">
        <f t="shared" si="14"/>
        <v>FG%</v>
      </c>
      <c r="B452">
        <f t="shared" si="15"/>
        <v>6713</v>
      </c>
      <c r="E452" s="1" t="s">
        <v>118</v>
      </c>
      <c r="F452" s="1">
        <v>92</v>
      </c>
      <c r="G452" s="1">
        <v>7</v>
      </c>
      <c r="H452" s="1">
        <v>46.3</v>
      </c>
    </row>
    <row r="453" spans="1:8" x14ac:dyDescent="0.3">
      <c r="A453" t="str">
        <f t="shared" si="14"/>
        <v>FG%</v>
      </c>
      <c r="B453">
        <f t="shared" si="15"/>
        <v>8113</v>
      </c>
      <c r="E453" s="1" t="s">
        <v>256</v>
      </c>
      <c r="F453" s="1">
        <v>93</v>
      </c>
      <c r="G453" s="1">
        <v>8</v>
      </c>
      <c r="H453" s="1">
        <v>46.2</v>
      </c>
    </row>
    <row r="454" spans="1:8" x14ac:dyDescent="0.3">
      <c r="A454" t="str">
        <f t="shared" si="14"/>
        <v>FG%</v>
      </c>
      <c r="B454">
        <f t="shared" si="15"/>
        <v>4013</v>
      </c>
      <c r="E454" s="1" t="s">
        <v>105</v>
      </c>
      <c r="F454" s="1">
        <v>95</v>
      </c>
      <c r="G454" s="1">
        <v>4</v>
      </c>
      <c r="H454" s="1">
        <v>46.2</v>
      </c>
    </row>
    <row r="455" spans="1:8" x14ac:dyDescent="0.3">
      <c r="A455" t="str">
        <f t="shared" si="14"/>
        <v>FG%</v>
      </c>
      <c r="B455">
        <f t="shared" si="15"/>
        <v>15913</v>
      </c>
      <c r="E455" s="1" t="s">
        <v>495</v>
      </c>
      <c r="F455" s="1">
        <v>97</v>
      </c>
      <c r="G455" s="1">
        <v>2</v>
      </c>
      <c r="H455" s="1">
        <v>46.2</v>
      </c>
    </row>
    <row r="456" spans="1:8" x14ac:dyDescent="0.3">
      <c r="A456" t="str">
        <f t="shared" si="14"/>
        <v>FG%</v>
      </c>
      <c r="B456">
        <f t="shared" si="15"/>
        <v>13913</v>
      </c>
      <c r="E456" s="1" t="s">
        <v>297</v>
      </c>
      <c r="F456" s="1">
        <v>102</v>
      </c>
      <c r="G456" s="1">
        <v>9</v>
      </c>
      <c r="H456" s="1">
        <v>46</v>
      </c>
    </row>
    <row r="457" spans="1:8" x14ac:dyDescent="0.3">
      <c r="A457" t="str">
        <f t="shared" si="14"/>
        <v>FG%</v>
      </c>
      <c r="B457">
        <f t="shared" si="15"/>
        <v>6913</v>
      </c>
      <c r="E457" s="1" t="s">
        <v>114</v>
      </c>
      <c r="F457" s="1">
        <v>105</v>
      </c>
      <c r="G457" s="1">
        <v>9</v>
      </c>
      <c r="H457" s="1">
        <v>46</v>
      </c>
    </row>
    <row r="458" spans="1:8" x14ac:dyDescent="0.3">
      <c r="A458" t="str">
        <f t="shared" si="14"/>
        <v>FG%</v>
      </c>
      <c r="B458">
        <f t="shared" si="15"/>
        <v>4713</v>
      </c>
      <c r="E458" s="1" t="s">
        <v>107</v>
      </c>
      <c r="F458" s="1">
        <v>107</v>
      </c>
      <c r="G458" s="1">
        <v>5</v>
      </c>
      <c r="H458" s="1">
        <v>46</v>
      </c>
    </row>
    <row r="459" spans="1:8" x14ac:dyDescent="0.3">
      <c r="A459" t="str">
        <f t="shared" si="14"/>
        <v>FG%</v>
      </c>
      <c r="B459">
        <f t="shared" si="15"/>
        <v>913</v>
      </c>
      <c r="E459" s="1" t="s">
        <v>90</v>
      </c>
      <c r="F459" s="1">
        <v>116</v>
      </c>
      <c r="G459" s="1">
        <v>11</v>
      </c>
      <c r="H459" s="1">
        <v>45.8</v>
      </c>
    </row>
    <row r="460" spans="1:8" x14ac:dyDescent="0.3">
      <c r="A460" t="str">
        <f t="shared" si="14"/>
        <v>FG%</v>
      </c>
      <c r="B460">
        <f t="shared" si="15"/>
        <v>14913</v>
      </c>
      <c r="E460" s="1" t="s">
        <v>307</v>
      </c>
      <c r="F460" s="1">
        <v>117</v>
      </c>
      <c r="G460" s="1">
        <v>5</v>
      </c>
      <c r="H460" s="1">
        <v>45.7</v>
      </c>
    </row>
    <row r="461" spans="1:8" x14ac:dyDescent="0.3">
      <c r="A461" t="str">
        <f t="shared" si="14"/>
        <v>FG%</v>
      </c>
      <c r="B461">
        <f t="shared" si="15"/>
        <v>5813</v>
      </c>
      <c r="E461" s="1" t="s">
        <v>139</v>
      </c>
      <c r="F461" s="1">
        <v>125</v>
      </c>
      <c r="G461" s="1">
        <v>2</v>
      </c>
      <c r="H461" s="1">
        <v>45.6</v>
      </c>
    </row>
    <row r="462" spans="1:8" x14ac:dyDescent="0.3">
      <c r="A462" t="str">
        <f t="shared" si="14"/>
        <v>FG%</v>
      </c>
      <c r="B462">
        <f t="shared" si="15"/>
        <v>4213</v>
      </c>
      <c r="E462" s="1" t="s">
        <v>123</v>
      </c>
      <c r="F462" s="1">
        <v>138</v>
      </c>
      <c r="G462" s="1">
        <v>13</v>
      </c>
      <c r="H462" s="1">
        <v>45.4</v>
      </c>
    </row>
    <row r="463" spans="1:8" x14ac:dyDescent="0.3">
      <c r="A463" t="str">
        <f t="shared" si="14"/>
        <v>FG%</v>
      </c>
      <c r="B463">
        <f t="shared" si="15"/>
        <v>13113</v>
      </c>
      <c r="E463" s="1" t="s">
        <v>289</v>
      </c>
      <c r="F463" s="1">
        <v>141</v>
      </c>
      <c r="G463" s="1">
        <v>8</v>
      </c>
      <c r="H463" s="1">
        <v>45.4</v>
      </c>
    </row>
    <row r="464" spans="1:8" x14ac:dyDescent="0.3">
      <c r="A464" t="str">
        <f t="shared" si="14"/>
        <v>FG%</v>
      </c>
      <c r="B464">
        <f t="shared" si="15"/>
        <v>3513</v>
      </c>
      <c r="E464" s="1" t="s">
        <v>87</v>
      </c>
      <c r="F464" s="1">
        <v>144</v>
      </c>
      <c r="G464" s="1">
        <v>10</v>
      </c>
      <c r="H464" s="1">
        <v>45.2</v>
      </c>
    </row>
    <row r="465" spans="1:8" x14ac:dyDescent="0.3">
      <c r="A465" t="str">
        <f t="shared" si="14"/>
        <v>FG%</v>
      </c>
      <c r="B465">
        <f t="shared" si="15"/>
        <v>1613</v>
      </c>
      <c r="E465" s="1" t="s">
        <v>137</v>
      </c>
      <c r="F465" s="1">
        <v>145</v>
      </c>
      <c r="G465" s="1">
        <v>11</v>
      </c>
      <c r="H465" s="1">
        <v>45.2</v>
      </c>
    </row>
    <row r="466" spans="1:8" x14ac:dyDescent="0.3">
      <c r="A466" t="str">
        <f t="shared" si="14"/>
        <v>FG%</v>
      </c>
      <c r="B466">
        <f t="shared" si="15"/>
        <v>15813</v>
      </c>
      <c r="E466" s="1" t="s">
        <v>470</v>
      </c>
      <c r="F466" s="1">
        <v>146</v>
      </c>
      <c r="G466" s="1">
        <v>4</v>
      </c>
      <c r="H466" s="1">
        <v>45.2</v>
      </c>
    </row>
    <row r="467" spans="1:8" x14ac:dyDescent="0.3">
      <c r="A467" t="str">
        <f t="shared" si="14"/>
        <v>FG%</v>
      </c>
      <c r="B467">
        <f t="shared" si="15"/>
        <v>4313</v>
      </c>
      <c r="E467" s="1" t="s">
        <v>125</v>
      </c>
      <c r="F467" s="1">
        <v>152</v>
      </c>
      <c r="G467" s="1">
        <v>14</v>
      </c>
      <c r="H467" s="1">
        <v>45.1</v>
      </c>
    </row>
    <row r="468" spans="1:8" x14ac:dyDescent="0.3">
      <c r="A468" t="str">
        <f t="shared" si="14"/>
        <v>FG%</v>
      </c>
      <c r="B468">
        <f t="shared" si="15"/>
        <v>2513</v>
      </c>
      <c r="E468" s="1" t="s">
        <v>92</v>
      </c>
      <c r="F468" s="1">
        <v>155</v>
      </c>
      <c r="G468" s="1">
        <v>6</v>
      </c>
      <c r="H468" s="1">
        <v>45</v>
      </c>
    </row>
    <row r="469" spans="1:8" x14ac:dyDescent="0.3">
      <c r="A469" t="str">
        <f t="shared" si="14"/>
        <v>FG%</v>
      </c>
      <c r="B469">
        <f t="shared" si="15"/>
        <v>14413</v>
      </c>
      <c r="E469" s="1" t="s">
        <v>302</v>
      </c>
      <c r="F469" s="1">
        <v>156</v>
      </c>
      <c r="G469" s="1">
        <v>12</v>
      </c>
      <c r="H469" s="1">
        <v>45</v>
      </c>
    </row>
    <row r="470" spans="1:8" x14ac:dyDescent="0.3">
      <c r="A470" t="str">
        <f t="shared" si="14"/>
        <v>FG%</v>
      </c>
      <c r="B470">
        <f t="shared" si="15"/>
        <v>15113</v>
      </c>
      <c r="E470" s="1" t="s">
        <v>464</v>
      </c>
      <c r="F470" s="1">
        <v>158</v>
      </c>
      <c r="G470" s="1">
        <v>5</v>
      </c>
      <c r="H470" s="1">
        <v>44.9</v>
      </c>
    </row>
    <row r="471" spans="1:8" x14ac:dyDescent="0.3">
      <c r="A471" t="str">
        <f t="shared" si="14"/>
        <v>FG%</v>
      </c>
      <c r="B471">
        <f t="shared" si="15"/>
        <v>2813</v>
      </c>
      <c r="E471" s="1" t="s">
        <v>106</v>
      </c>
      <c r="F471" s="1">
        <v>162</v>
      </c>
      <c r="G471" s="1">
        <v>6</v>
      </c>
      <c r="H471" s="1">
        <v>44.9</v>
      </c>
    </row>
    <row r="472" spans="1:8" x14ac:dyDescent="0.3">
      <c r="A472" t="str">
        <f t="shared" si="14"/>
        <v>FG%</v>
      </c>
      <c r="B472">
        <f t="shared" si="15"/>
        <v>9313</v>
      </c>
      <c r="E472" s="1" t="s">
        <v>357</v>
      </c>
      <c r="F472" s="1">
        <v>176</v>
      </c>
      <c r="G472" s="1">
        <v>7</v>
      </c>
      <c r="H472" s="1">
        <v>44.5</v>
      </c>
    </row>
    <row r="473" spans="1:8" x14ac:dyDescent="0.3">
      <c r="A473" t="str">
        <f t="shared" si="14"/>
        <v>FG%</v>
      </c>
      <c r="B473">
        <f t="shared" si="15"/>
        <v>3213</v>
      </c>
      <c r="E473" s="1" t="s">
        <v>127</v>
      </c>
      <c r="F473" s="1">
        <v>178</v>
      </c>
      <c r="G473" s="1">
        <v>9</v>
      </c>
      <c r="H473" s="1">
        <v>44.5</v>
      </c>
    </row>
    <row r="474" spans="1:8" x14ac:dyDescent="0.3">
      <c r="A474" t="str">
        <f t="shared" si="14"/>
        <v>FG%</v>
      </c>
      <c r="B474">
        <f t="shared" si="15"/>
        <v>12213</v>
      </c>
      <c r="E474" s="1" t="s">
        <v>284</v>
      </c>
      <c r="F474" s="1">
        <v>181</v>
      </c>
      <c r="G474" s="1">
        <v>8</v>
      </c>
      <c r="H474" s="1">
        <v>44.5</v>
      </c>
    </row>
    <row r="475" spans="1:8" x14ac:dyDescent="0.3">
      <c r="A475" t="str">
        <f t="shared" si="14"/>
        <v>FG%</v>
      </c>
      <c r="B475">
        <f t="shared" si="15"/>
        <v>313</v>
      </c>
      <c r="E475" s="1" t="s">
        <v>215</v>
      </c>
      <c r="F475" s="1">
        <v>182</v>
      </c>
      <c r="G475" s="1">
        <v>13</v>
      </c>
      <c r="H475" s="1">
        <v>44.5</v>
      </c>
    </row>
    <row r="476" spans="1:8" x14ac:dyDescent="0.3">
      <c r="A476" t="str">
        <f t="shared" si="14"/>
        <v>FG%</v>
      </c>
      <c r="B476">
        <f t="shared" si="15"/>
        <v>3313</v>
      </c>
      <c r="E476" s="1" t="s">
        <v>91</v>
      </c>
      <c r="F476" s="1">
        <v>188</v>
      </c>
      <c r="G476" s="1">
        <v>8</v>
      </c>
      <c r="H476" s="1">
        <v>44.4</v>
      </c>
    </row>
    <row r="477" spans="1:8" x14ac:dyDescent="0.3">
      <c r="A477" t="str">
        <f t="shared" si="14"/>
        <v>FG%</v>
      </c>
      <c r="B477">
        <f t="shared" si="15"/>
        <v>15613</v>
      </c>
      <c r="E477" s="1" t="s">
        <v>468</v>
      </c>
      <c r="F477" s="1">
        <v>193</v>
      </c>
      <c r="G477" s="1">
        <v>5</v>
      </c>
      <c r="H477" s="1">
        <v>44.4</v>
      </c>
    </row>
    <row r="478" spans="1:8" x14ac:dyDescent="0.3">
      <c r="A478" t="str">
        <f t="shared" si="14"/>
        <v>FG%</v>
      </c>
      <c r="B478">
        <f t="shared" si="15"/>
        <v>1213</v>
      </c>
      <c r="E478" s="1" t="s">
        <v>130</v>
      </c>
      <c r="F478" s="1">
        <v>199</v>
      </c>
      <c r="G478" s="1">
        <v>7</v>
      </c>
      <c r="H478" s="1">
        <v>44.2</v>
      </c>
    </row>
    <row r="479" spans="1:8" x14ac:dyDescent="0.3">
      <c r="A479" t="str">
        <f t="shared" si="14"/>
        <v>FG%</v>
      </c>
      <c r="B479">
        <f t="shared" si="15"/>
        <v>16113</v>
      </c>
      <c r="E479" s="1" t="s">
        <v>473</v>
      </c>
      <c r="F479" s="1">
        <v>204</v>
      </c>
      <c r="G479" s="1">
        <v>2</v>
      </c>
      <c r="H479" s="1">
        <v>44.1</v>
      </c>
    </row>
    <row r="480" spans="1:8" x14ac:dyDescent="0.3">
      <c r="A480" t="str">
        <f t="shared" si="14"/>
        <v>FG%</v>
      </c>
      <c r="B480">
        <f t="shared" si="15"/>
        <v>18413</v>
      </c>
      <c r="E480" s="1" t="s">
        <v>417</v>
      </c>
      <c r="F480" s="1">
        <v>236</v>
      </c>
      <c r="G480" s="1">
        <v>3</v>
      </c>
      <c r="H480" s="1">
        <v>43.6</v>
      </c>
    </row>
    <row r="481" spans="1:10" x14ac:dyDescent="0.3">
      <c r="A481" t="str">
        <f t="shared" si="14"/>
        <v>FG%</v>
      </c>
      <c r="B481">
        <f t="shared" si="15"/>
        <v>18513</v>
      </c>
      <c r="E481" s="1" t="s">
        <v>420</v>
      </c>
      <c r="F481" s="1">
        <v>239</v>
      </c>
      <c r="G481" s="1">
        <v>6</v>
      </c>
      <c r="H481" s="1">
        <v>43.6</v>
      </c>
    </row>
    <row r="482" spans="1:10" x14ac:dyDescent="0.3">
      <c r="A482" t="str">
        <f t="shared" si="14"/>
        <v>FG%</v>
      </c>
      <c r="B482">
        <f t="shared" si="15"/>
        <v>15713</v>
      </c>
      <c r="E482" s="1" t="s">
        <v>469</v>
      </c>
      <c r="F482" s="1">
        <v>245</v>
      </c>
      <c r="G482" s="1">
        <v>7</v>
      </c>
      <c r="H482" s="1">
        <v>43.6</v>
      </c>
    </row>
    <row r="483" spans="1:10" x14ac:dyDescent="0.3">
      <c r="A483" t="str">
        <f t="shared" si="14"/>
        <v>FG%</v>
      </c>
      <c r="B483">
        <f t="shared" si="15"/>
        <v>15413</v>
      </c>
      <c r="E483" s="1" t="s">
        <v>494</v>
      </c>
      <c r="F483" s="1">
        <v>266</v>
      </c>
      <c r="G483" s="1">
        <v>6</v>
      </c>
      <c r="H483" s="1">
        <v>43.1</v>
      </c>
    </row>
    <row r="484" spans="1:10" x14ac:dyDescent="0.3">
      <c r="A484" t="str">
        <f t="shared" si="14"/>
        <v>FG%</v>
      </c>
      <c r="B484">
        <f t="shared" si="15"/>
        <v>3613</v>
      </c>
      <c r="E484" s="1" t="s">
        <v>129</v>
      </c>
      <c r="F484" s="1">
        <v>320</v>
      </c>
      <c r="G484" s="1">
        <v>16</v>
      </c>
      <c r="H484" s="1">
        <v>41.8</v>
      </c>
    </row>
    <row r="485" spans="1:10" x14ac:dyDescent="0.3">
      <c r="A485" t="str">
        <f t="shared" si="14"/>
        <v>FG%</v>
      </c>
      <c r="B485">
        <f t="shared" si="15"/>
        <v>16213</v>
      </c>
      <c r="E485" s="1" t="s">
        <v>497</v>
      </c>
      <c r="F485" s="1">
        <v>344</v>
      </c>
      <c r="G485" s="1">
        <v>10</v>
      </c>
      <c r="H485" s="1">
        <v>40.5</v>
      </c>
    </row>
    <row r="486" spans="1:10" x14ac:dyDescent="0.3">
      <c r="A486" t="str">
        <f t="shared" si="14"/>
        <v>DFG%</v>
      </c>
      <c r="B486">
        <f t="shared" si="15"/>
        <v>2809</v>
      </c>
      <c r="D486" s="1" t="s">
        <v>540</v>
      </c>
      <c r="E486" s="1" t="s">
        <v>106</v>
      </c>
      <c r="F486" s="1">
        <v>1</v>
      </c>
      <c r="G486" s="1">
        <v>1</v>
      </c>
      <c r="H486" s="1">
        <v>38.299999999999997</v>
      </c>
      <c r="I486" s="1" t="s">
        <v>106</v>
      </c>
      <c r="J486" s="1">
        <v>38.299999999999997</v>
      </c>
    </row>
    <row r="487" spans="1:10" x14ac:dyDescent="0.3">
      <c r="A487" t="str">
        <f t="shared" si="14"/>
        <v>DFG%</v>
      </c>
      <c r="B487">
        <f t="shared" si="15"/>
        <v>1209</v>
      </c>
      <c r="E487" s="1" t="s">
        <v>130</v>
      </c>
      <c r="F487" s="1">
        <v>2</v>
      </c>
      <c r="G487" s="1">
        <v>1</v>
      </c>
      <c r="H487" s="1">
        <v>38.299999999999997</v>
      </c>
    </row>
    <row r="488" spans="1:10" x14ac:dyDescent="0.3">
      <c r="A488" t="str">
        <f t="shared" si="14"/>
        <v>DFG%</v>
      </c>
      <c r="B488">
        <f t="shared" si="15"/>
        <v>5409</v>
      </c>
      <c r="E488" s="1" t="s">
        <v>94</v>
      </c>
      <c r="F488" s="1">
        <v>4</v>
      </c>
      <c r="G488" s="1">
        <v>1</v>
      </c>
      <c r="H488" s="1">
        <v>38.4</v>
      </c>
    </row>
    <row r="489" spans="1:10" x14ac:dyDescent="0.3">
      <c r="A489" t="str">
        <f t="shared" si="14"/>
        <v>DFG%</v>
      </c>
      <c r="B489">
        <f t="shared" si="15"/>
        <v>3509</v>
      </c>
      <c r="E489" s="1" t="s">
        <v>87</v>
      </c>
      <c r="F489" s="1">
        <v>7</v>
      </c>
      <c r="G489" s="1">
        <v>1</v>
      </c>
      <c r="H489" s="1">
        <v>38.6</v>
      </c>
    </row>
    <row r="490" spans="1:10" x14ac:dyDescent="0.3">
      <c r="A490" t="str">
        <f t="shared" si="14"/>
        <v>DFG%</v>
      </c>
      <c r="B490">
        <f t="shared" si="15"/>
        <v>12209</v>
      </c>
      <c r="E490" s="1" t="s">
        <v>284</v>
      </c>
      <c r="F490" s="1">
        <v>8</v>
      </c>
      <c r="G490" s="1">
        <v>2</v>
      </c>
      <c r="H490" s="1">
        <v>39.1</v>
      </c>
    </row>
    <row r="491" spans="1:10" x14ac:dyDescent="0.3">
      <c r="A491" t="str">
        <f t="shared" si="14"/>
        <v>DFG%</v>
      </c>
      <c r="B491">
        <f t="shared" si="15"/>
        <v>15009</v>
      </c>
      <c r="E491" s="1" t="s">
        <v>463</v>
      </c>
      <c r="F491" s="1">
        <v>13</v>
      </c>
      <c r="G491" s="1">
        <v>2</v>
      </c>
      <c r="H491" s="1">
        <v>39.700000000000003</v>
      </c>
    </row>
    <row r="492" spans="1:10" x14ac:dyDescent="0.3">
      <c r="A492" t="str">
        <f t="shared" si="14"/>
        <v>DFG%</v>
      </c>
      <c r="B492">
        <f t="shared" si="15"/>
        <v>9309</v>
      </c>
      <c r="E492" s="1" t="s">
        <v>357</v>
      </c>
      <c r="F492" s="1">
        <v>14</v>
      </c>
      <c r="G492" s="1">
        <v>1</v>
      </c>
      <c r="H492" s="1">
        <v>39.700000000000003</v>
      </c>
    </row>
    <row r="493" spans="1:10" x14ac:dyDescent="0.3">
      <c r="A493" t="str">
        <f t="shared" si="14"/>
        <v>DFG%</v>
      </c>
      <c r="B493">
        <f t="shared" si="15"/>
        <v>5709</v>
      </c>
      <c r="E493" s="1" t="s">
        <v>120</v>
      </c>
      <c r="F493" s="1">
        <v>16</v>
      </c>
      <c r="G493" s="1">
        <v>2</v>
      </c>
      <c r="H493" s="1">
        <v>40</v>
      </c>
    </row>
    <row r="494" spans="1:10" x14ac:dyDescent="0.3">
      <c r="A494" t="str">
        <f t="shared" si="14"/>
        <v>DFG%</v>
      </c>
      <c r="B494">
        <f t="shared" si="15"/>
        <v>3909</v>
      </c>
      <c r="E494" s="1" t="s">
        <v>88</v>
      </c>
      <c r="F494" s="1">
        <v>17</v>
      </c>
      <c r="G494" s="1">
        <v>2</v>
      </c>
      <c r="H494" s="1">
        <v>40</v>
      </c>
    </row>
    <row r="495" spans="1:10" x14ac:dyDescent="0.3">
      <c r="A495" t="str">
        <f t="shared" si="14"/>
        <v>DFG%</v>
      </c>
      <c r="B495">
        <f t="shared" si="15"/>
        <v>7609</v>
      </c>
      <c r="E495" s="1" t="s">
        <v>253</v>
      </c>
      <c r="F495" s="1">
        <v>18</v>
      </c>
      <c r="G495" s="1">
        <v>1</v>
      </c>
      <c r="H495" s="1">
        <v>40.1</v>
      </c>
    </row>
    <row r="496" spans="1:10" x14ac:dyDescent="0.3">
      <c r="A496" t="str">
        <f t="shared" si="14"/>
        <v>DFG%</v>
      </c>
      <c r="B496">
        <f t="shared" si="15"/>
        <v>15409</v>
      </c>
      <c r="E496" s="1" t="s">
        <v>494</v>
      </c>
      <c r="F496" s="1">
        <v>20</v>
      </c>
      <c r="G496" s="1">
        <v>2</v>
      </c>
      <c r="H496" s="1">
        <v>40.200000000000003</v>
      </c>
    </row>
    <row r="497" spans="1:8" x14ac:dyDescent="0.3">
      <c r="A497" t="str">
        <f t="shared" si="14"/>
        <v>DFG%</v>
      </c>
      <c r="B497">
        <f t="shared" si="15"/>
        <v>209</v>
      </c>
      <c r="E497" s="1" t="s">
        <v>98</v>
      </c>
      <c r="F497" s="1">
        <v>21</v>
      </c>
      <c r="G497" s="1">
        <v>1</v>
      </c>
      <c r="H497" s="1">
        <v>40.299999999999997</v>
      </c>
    </row>
    <row r="498" spans="1:8" x14ac:dyDescent="0.3">
      <c r="A498" t="str">
        <f t="shared" si="14"/>
        <v>DFG%</v>
      </c>
      <c r="B498">
        <f t="shared" si="15"/>
        <v>909</v>
      </c>
      <c r="E498" s="1" t="s">
        <v>90</v>
      </c>
      <c r="F498" s="1">
        <v>26</v>
      </c>
      <c r="G498" s="1">
        <v>2</v>
      </c>
      <c r="H498" s="1">
        <v>40.5</v>
      </c>
    </row>
    <row r="499" spans="1:8" x14ac:dyDescent="0.3">
      <c r="A499" t="str">
        <f t="shared" si="14"/>
        <v>DFG%</v>
      </c>
      <c r="B499">
        <f t="shared" si="15"/>
        <v>5109</v>
      </c>
      <c r="E499" s="1" t="s">
        <v>240</v>
      </c>
      <c r="F499" s="1">
        <v>27</v>
      </c>
      <c r="G499" s="1">
        <v>2</v>
      </c>
      <c r="H499" s="1">
        <v>40.5</v>
      </c>
    </row>
    <row r="500" spans="1:8" x14ac:dyDescent="0.3">
      <c r="A500" t="str">
        <f t="shared" si="14"/>
        <v>DFG%</v>
      </c>
      <c r="B500">
        <f t="shared" si="15"/>
        <v>15709</v>
      </c>
      <c r="E500" s="1" t="s">
        <v>469</v>
      </c>
      <c r="F500" s="1">
        <v>28</v>
      </c>
      <c r="G500" s="1">
        <v>4</v>
      </c>
      <c r="H500" s="1">
        <v>40.6</v>
      </c>
    </row>
    <row r="501" spans="1:8" x14ac:dyDescent="0.3">
      <c r="A501" t="str">
        <f t="shared" si="14"/>
        <v>DFG%</v>
      </c>
      <c r="B501">
        <f t="shared" si="15"/>
        <v>3609</v>
      </c>
      <c r="E501" s="1" t="s">
        <v>129</v>
      </c>
      <c r="F501" s="1">
        <v>30</v>
      </c>
      <c r="G501" s="1">
        <v>3</v>
      </c>
      <c r="H501" s="1">
        <v>40.6</v>
      </c>
    </row>
    <row r="502" spans="1:8" x14ac:dyDescent="0.3">
      <c r="A502" t="str">
        <f t="shared" si="14"/>
        <v>DFG%</v>
      </c>
      <c r="B502">
        <f t="shared" si="15"/>
        <v>4509</v>
      </c>
      <c r="E502" s="1" t="s">
        <v>84</v>
      </c>
      <c r="F502" s="1">
        <v>31</v>
      </c>
      <c r="G502" s="1">
        <v>4</v>
      </c>
      <c r="H502" s="1">
        <v>40.799999999999997</v>
      </c>
    </row>
    <row r="503" spans="1:8" x14ac:dyDescent="0.3">
      <c r="A503" t="str">
        <f t="shared" si="14"/>
        <v>DFG%</v>
      </c>
      <c r="B503">
        <f t="shared" si="15"/>
        <v>12509</v>
      </c>
      <c r="E503" s="1" t="s">
        <v>95</v>
      </c>
      <c r="F503" s="1">
        <v>35</v>
      </c>
      <c r="G503" s="1">
        <v>1</v>
      </c>
      <c r="H503" s="1">
        <v>40.9</v>
      </c>
    </row>
    <row r="504" spans="1:8" x14ac:dyDescent="0.3">
      <c r="A504" t="str">
        <f t="shared" si="14"/>
        <v>DFG%</v>
      </c>
      <c r="B504">
        <f t="shared" si="15"/>
        <v>2509</v>
      </c>
      <c r="E504" s="1" t="s">
        <v>92</v>
      </c>
      <c r="F504" s="1">
        <v>40</v>
      </c>
      <c r="G504" s="1">
        <v>1</v>
      </c>
      <c r="H504" s="1">
        <v>41.1</v>
      </c>
    </row>
    <row r="505" spans="1:8" x14ac:dyDescent="0.3">
      <c r="A505" t="str">
        <f t="shared" si="14"/>
        <v>DFG%</v>
      </c>
      <c r="B505">
        <f t="shared" si="15"/>
        <v>16109</v>
      </c>
      <c r="E505" s="1" t="s">
        <v>473</v>
      </c>
      <c r="F505" s="1">
        <v>41</v>
      </c>
      <c r="G505" s="1">
        <v>3</v>
      </c>
      <c r="H505" s="1">
        <v>41.1</v>
      </c>
    </row>
    <row r="506" spans="1:8" x14ac:dyDescent="0.3">
      <c r="A506" t="str">
        <f t="shared" si="14"/>
        <v>DFG%</v>
      </c>
      <c r="B506">
        <f t="shared" si="15"/>
        <v>5809</v>
      </c>
      <c r="E506" s="1" t="s">
        <v>139</v>
      </c>
      <c r="F506" s="1">
        <v>44</v>
      </c>
      <c r="G506" s="1">
        <v>1</v>
      </c>
      <c r="H506" s="1">
        <v>41.2</v>
      </c>
    </row>
    <row r="507" spans="1:8" x14ac:dyDescent="0.3">
      <c r="A507" t="str">
        <f t="shared" si="14"/>
        <v>DFG%</v>
      </c>
      <c r="B507">
        <f t="shared" si="15"/>
        <v>13909</v>
      </c>
      <c r="E507" s="1" t="s">
        <v>297</v>
      </c>
      <c r="F507" s="1">
        <v>49</v>
      </c>
      <c r="G507" s="1">
        <v>5</v>
      </c>
      <c r="H507" s="1">
        <v>41.3</v>
      </c>
    </row>
    <row r="508" spans="1:8" x14ac:dyDescent="0.3">
      <c r="A508" t="str">
        <f t="shared" si="14"/>
        <v>DFG%</v>
      </c>
      <c r="B508">
        <f t="shared" si="15"/>
        <v>4409</v>
      </c>
      <c r="E508" s="1" t="s">
        <v>83</v>
      </c>
      <c r="F508" s="1">
        <v>51</v>
      </c>
      <c r="G508" s="1">
        <v>2</v>
      </c>
      <c r="H508" s="1">
        <v>41.4</v>
      </c>
    </row>
    <row r="509" spans="1:8" x14ac:dyDescent="0.3">
      <c r="A509" t="str">
        <f t="shared" si="14"/>
        <v>DFG%</v>
      </c>
      <c r="B509">
        <f t="shared" si="15"/>
        <v>3109</v>
      </c>
      <c r="E509" s="1" t="s">
        <v>93</v>
      </c>
      <c r="F509" s="1">
        <v>52</v>
      </c>
      <c r="G509" s="1">
        <v>2</v>
      </c>
      <c r="H509" s="1">
        <v>41.4</v>
      </c>
    </row>
    <row r="510" spans="1:8" x14ac:dyDescent="0.3">
      <c r="A510" t="str">
        <f t="shared" si="14"/>
        <v>DFG%</v>
      </c>
      <c r="B510">
        <f t="shared" si="15"/>
        <v>8109</v>
      </c>
      <c r="E510" s="1" t="s">
        <v>256</v>
      </c>
      <c r="F510" s="1">
        <v>56</v>
      </c>
      <c r="G510" s="1">
        <v>6</v>
      </c>
      <c r="H510" s="1">
        <v>41.5</v>
      </c>
    </row>
    <row r="511" spans="1:8" x14ac:dyDescent="0.3">
      <c r="A511" t="str">
        <f t="shared" si="14"/>
        <v>DFG%</v>
      </c>
      <c r="B511">
        <f t="shared" si="15"/>
        <v>2009</v>
      </c>
      <c r="E511" s="1" t="s">
        <v>328</v>
      </c>
      <c r="F511" s="1">
        <v>57</v>
      </c>
      <c r="G511" s="1">
        <v>1</v>
      </c>
      <c r="H511" s="1">
        <v>41.5</v>
      </c>
    </row>
    <row r="512" spans="1:8" x14ac:dyDescent="0.3">
      <c r="A512" t="str">
        <f t="shared" si="14"/>
        <v>DFG%</v>
      </c>
      <c r="B512">
        <f t="shared" si="15"/>
        <v>11109</v>
      </c>
      <c r="E512" s="1" t="s">
        <v>277</v>
      </c>
      <c r="F512" s="1">
        <v>59</v>
      </c>
      <c r="G512" s="1">
        <v>3</v>
      </c>
      <c r="H512" s="1">
        <v>41.6</v>
      </c>
    </row>
    <row r="513" spans="1:8" x14ac:dyDescent="0.3">
      <c r="A513" t="str">
        <f t="shared" si="14"/>
        <v>DFG%</v>
      </c>
      <c r="B513">
        <f t="shared" si="15"/>
        <v>4209</v>
      </c>
      <c r="E513" s="1" t="s">
        <v>123</v>
      </c>
      <c r="F513" s="1">
        <v>60</v>
      </c>
      <c r="G513" s="1">
        <v>4</v>
      </c>
      <c r="H513" s="1">
        <v>41.6</v>
      </c>
    </row>
    <row r="514" spans="1:8" x14ac:dyDescent="0.3">
      <c r="A514" t="str">
        <f t="shared" ref="A514:A577" si="16">IF(NOT(D514=""),INDEX(statAbbr,MATCH(D514,statOfficial,0),1),A513)</f>
        <v>DFG%</v>
      </c>
      <c r="B514">
        <f t="shared" ref="B514:B577" si="17">INDEX(statID,MATCH(A514,statAbbr,0),1)+INDEX(teamID,MATCH(E514,teamRawName,0))</f>
        <v>14909</v>
      </c>
      <c r="E514" s="1" t="s">
        <v>307</v>
      </c>
      <c r="F514" s="1">
        <v>62</v>
      </c>
      <c r="G514" s="1">
        <v>1</v>
      </c>
      <c r="H514" s="1">
        <v>41.6</v>
      </c>
    </row>
    <row r="515" spans="1:8" x14ac:dyDescent="0.3">
      <c r="A515" t="str">
        <f t="shared" si="16"/>
        <v>DFG%</v>
      </c>
      <c r="B515">
        <f t="shared" si="17"/>
        <v>18309</v>
      </c>
      <c r="E515" s="1" t="s">
        <v>423</v>
      </c>
      <c r="F515" s="1">
        <v>67</v>
      </c>
      <c r="G515" s="1">
        <v>5</v>
      </c>
      <c r="H515" s="1">
        <v>41.8</v>
      </c>
    </row>
    <row r="516" spans="1:8" x14ac:dyDescent="0.3">
      <c r="A516" t="str">
        <f t="shared" si="16"/>
        <v>DFG%</v>
      </c>
      <c r="B516">
        <f t="shared" si="17"/>
        <v>2909</v>
      </c>
      <c r="E516" s="1" t="s">
        <v>96</v>
      </c>
      <c r="F516" s="1">
        <v>70</v>
      </c>
      <c r="G516" s="1">
        <v>4</v>
      </c>
      <c r="H516" s="1">
        <v>41.9</v>
      </c>
    </row>
    <row r="517" spans="1:8" x14ac:dyDescent="0.3">
      <c r="A517" t="str">
        <f t="shared" si="16"/>
        <v>DFG%</v>
      </c>
      <c r="B517">
        <f t="shared" si="17"/>
        <v>6609</v>
      </c>
      <c r="E517" s="1" t="s">
        <v>247</v>
      </c>
      <c r="F517" s="1">
        <v>71</v>
      </c>
      <c r="G517" s="1">
        <v>3</v>
      </c>
      <c r="H517" s="1">
        <v>41.9</v>
      </c>
    </row>
    <row r="518" spans="1:8" x14ac:dyDescent="0.3">
      <c r="A518" t="str">
        <f t="shared" si="16"/>
        <v>DFG%</v>
      </c>
      <c r="B518">
        <f t="shared" si="17"/>
        <v>609</v>
      </c>
      <c r="E518" s="1" t="s">
        <v>100</v>
      </c>
      <c r="F518" s="1">
        <v>75</v>
      </c>
      <c r="G518" s="1">
        <v>5</v>
      </c>
      <c r="H518" s="1">
        <v>42</v>
      </c>
    </row>
    <row r="519" spans="1:8" x14ac:dyDescent="0.3">
      <c r="A519" t="str">
        <f t="shared" si="16"/>
        <v>DFG%</v>
      </c>
      <c r="B519">
        <f t="shared" si="17"/>
        <v>2309</v>
      </c>
      <c r="E519" s="1" t="s">
        <v>79</v>
      </c>
      <c r="F519" s="1">
        <v>78</v>
      </c>
      <c r="G519" s="1">
        <v>3</v>
      </c>
      <c r="H519" s="1">
        <v>42.1</v>
      </c>
    </row>
    <row r="520" spans="1:8" x14ac:dyDescent="0.3">
      <c r="A520" t="str">
        <f t="shared" si="16"/>
        <v>DFG%</v>
      </c>
      <c r="B520">
        <f t="shared" si="17"/>
        <v>1309</v>
      </c>
      <c r="E520" s="1" t="s">
        <v>82</v>
      </c>
      <c r="F520" s="1">
        <v>81</v>
      </c>
      <c r="G520" s="1">
        <v>2</v>
      </c>
      <c r="H520" s="1">
        <v>42.2</v>
      </c>
    </row>
    <row r="521" spans="1:8" x14ac:dyDescent="0.3">
      <c r="A521" t="str">
        <f t="shared" si="16"/>
        <v>DFG%</v>
      </c>
      <c r="B521">
        <f t="shared" si="17"/>
        <v>4309</v>
      </c>
      <c r="E521" s="1" t="s">
        <v>125</v>
      </c>
      <c r="F521" s="1">
        <v>89</v>
      </c>
      <c r="G521" s="1">
        <v>5</v>
      </c>
      <c r="H521" s="1">
        <v>42.3</v>
      </c>
    </row>
    <row r="522" spans="1:8" x14ac:dyDescent="0.3">
      <c r="A522" t="str">
        <f t="shared" si="16"/>
        <v>DFG%</v>
      </c>
      <c r="B522">
        <f t="shared" si="17"/>
        <v>7209</v>
      </c>
      <c r="E522" s="1" t="s">
        <v>116</v>
      </c>
      <c r="F522" s="1">
        <v>99</v>
      </c>
      <c r="G522" s="1">
        <v>7</v>
      </c>
      <c r="H522" s="1">
        <v>42.6</v>
      </c>
    </row>
    <row r="523" spans="1:8" x14ac:dyDescent="0.3">
      <c r="A523" t="str">
        <f t="shared" si="16"/>
        <v>DFG%</v>
      </c>
      <c r="B523">
        <f t="shared" si="17"/>
        <v>3709</v>
      </c>
      <c r="E523" s="1" t="s">
        <v>115</v>
      </c>
      <c r="F523" s="1">
        <v>101</v>
      </c>
      <c r="G523" s="1">
        <v>8</v>
      </c>
      <c r="H523" s="1">
        <v>42.6</v>
      </c>
    </row>
    <row r="524" spans="1:8" x14ac:dyDescent="0.3">
      <c r="A524" t="str">
        <f t="shared" si="16"/>
        <v>DFG%</v>
      </c>
      <c r="B524">
        <f t="shared" si="17"/>
        <v>9009</v>
      </c>
      <c r="E524" s="1" t="s">
        <v>261</v>
      </c>
      <c r="F524" s="1">
        <v>103</v>
      </c>
      <c r="G524" s="1">
        <v>6</v>
      </c>
      <c r="H524" s="1">
        <v>42.7</v>
      </c>
    </row>
    <row r="525" spans="1:8" x14ac:dyDescent="0.3">
      <c r="A525" t="str">
        <f t="shared" si="16"/>
        <v>DFG%</v>
      </c>
      <c r="B525">
        <f t="shared" si="17"/>
        <v>10609</v>
      </c>
      <c r="E525" s="1" t="s">
        <v>161</v>
      </c>
      <c r="F525" s="1">
        <v>105</v>
      </c>
      <c r="G525" s="1">
        <v>1</v>
      </c>
      <c r="H525" s="1">
        <v>42.7</v>
      </c>
    </row>
    <row r="526" spans="1:8" x14ac:dyDescent="0.3">
      <c r="A526" t="str">
        <f t="shared" si="16"/>
        <v>DFG%</v>
      </c>
      <c r="B526">
        <f t="shared" si="17"/>
        <v>8309</v>
      </c>
      <c r="E526" s="1" t="s">
        <v>257</v>
      </c>
      <c r="F526" s="1">
        <v>106</v>
      </c>
      <c r="G526" s="1">
        <v>2</v>
      </c>
      <c r="H526" s="1">
        <v>42.7</v>
      </c>
    </row>
    <row r="527" spans="1:8" x14ac:dyDescent="0.3">
      <c r="A527" t="str">
        <f t="shared" si="16"/>
        <v>DFG%</v>
      </c>
      <c r="B527">
        <f t="shared" si="17"/>
        <v>6709</v>
      </c>
      <c r="E527" s="1" t="s">
        <v>118</v>
      </c>
      <c r="F527" s="1">
        <v>109</v>
      </c>
      <c r="G527" s="1">
        <v>9</v>
      </c>
      <c r="H527" s="1">
        <v>42.7</v>
      </c>
    </row>
    <row r="528" spans="1:8" x14ac:dyDescent="0.3">
      <c r="A528" t="str">
        <f t="shared" si="16"/>
        <v>DFG%</v>
      </c>
      <c r="B528">
        <f t="shared" si="17"/>
        <v>4009</v>
      </c>
      <c r="E528" s="1" t="s">
        <v>105</v>
      </c>
      <c r="F528" s="1">
        <v>112</v>
      </c>
      <c r="G528" s="1">
        <v>6</v>
      </c>
      <c r="H528" s="1">
        <v>42.8</v>
      </c>
    </row>
    <row r="529" spans="1:8" x14ac:dyDescent="0.3">
      <c r="A529" t="str">
        <f t="shared" si="16"/>
        <v>DFG%</v>
      </c>
      <c r="B529">
        <f t="shared" si="17"/>
        <v>4709</v>
      </c>
      <c r="E529" s="1" t="s">
        <v>107</v>
      </c>
      <c r="F529" s="1">
        <v>116</v>
      </c>
      <c r="G529" s="1">
        <v>4</v>
      </c>
      <c r="H529" s="1">
        <v>42.8</v>
      </c>
    </row>
    <row r="530" spans="1:8" x14ac:dyDescent="0.3">
      <c r="A530" t="str">
        <f t="shared" si="16"/>
        <v>DFG%</v>
      </c>
      <c r="B530">
        <f t="shared" si="17"/>
        <v>13109</v>
      </c>
      <c r="E530" s="1" t="s">
        <v>289</v>
      </c>
      <c r="F530" s="1">
        <v>117</v>
      </c>
      <c r="G530" s="1">
        <v>7</v>
      </c>
      <c r="H530" s="1">
        <v>42.9</v>
      </c>
    </row>
    <row r="531" spans="1:8" x14ac:dyDescent="0.3">
      <c r="A531" t="str">
        <f t="shared" si="16"/>
        <v>DFG%</v>
      </c>
      <c r="B531">
        <f t="shared" si="17"/>
        <v>6909</v>
      </c>
      <c r="E531" s="1" t="s">
        <v>114</v>
      </c>
      <c r="F531" s="1">
        <v>118</v>
      </c>
      <c r="G531" s="1">
        <v>9</v>
      </c>
      <c r="H531" s="1">
        <v>42.9</v>
      </c>
    </row>
    <row r="532" spans="1:8" x14ac:dyDescent="0.3">
      <c r="A532" t="str">
        <f t="shared" si="16"/>
        <v>DFG%</v>
      </c>
      <c r="B532">
        <f t="shared" si="17"/>
        <v>2709</v>
      </c>
      <c r="E532" s="1" t="s">
        <v>7</v>
      </c>
      <c r="F532" s="1">
        <v>129</v>
      </c>
      <c r="G532" s="1">
        <v>9</v>
      </c>
      <c r="H532" s="1">
        <v>43.1</v>
      </c>
    </row>
    <row r="533" spans="1:8" x14ac:dyDescent="0.3">
      <c r="A533" t="str">
        <f t="shared" si="16"/>
        <v>DFG%</v>
      </c>
      <c r="B533">
        <f t="shared" si="17"/>
        <v>4909</v>
      </c>
      <c r="E533" s="1" t="s">
        <v>108</v>
      </c>
      <c r="F533" s="1">
        <v>131</v>
      </c>
      <c r="G533" s="1">
        <v>8</v>
      </c>
      <c r="H533" s="1">
        <v>43.2</v>
      </c>
    </row>
    <row r="534" spans="1:8" x14ac:dyDescent="0.3">
      <c r="A534" t="str">
        <f t="shared" si="16"/>
        <v>DFG%</v>
      </c>
      <c r="B534">
        <f t="shared" si="17"/>
        <v>15909</v>
      </c>
      <c r="E534" s="1" t="s">
        <v>495</v>
      </c>
      <c r="F534" s="1">
        <v>134</v>
      </c>
      <c r="G534" s="1">
        <v>4</v>
      </c>
      <c r="H534" s="1">
        <v>43.2</v>
      </c>
    </row>
    <row r="535" spans="1:8" x14ac:dyDescent="0.3">
      <c r="A535" t="str">
        <f t="shared" si="16"/>
        <v>DFG%</v>
      </c>
      <c r="B535">
        <f t="shared" si="17"/>
        <v>8209</v>
      </c>
      <c r="E535" s="1" t="s">
        <v>131</v>
      </c>
      <c r="F535" s="1">
        <v>139</v>
      </c>
      <c r="G535" s="1">
        <v>2</v>
      </c>
      <c r="H535" s="1">
        <v>43.3</v>
      </c>
    </row>
    <row r="536" spans="1:8" x14ac:dyDescent="0.3">
      <c r="A536" t="str">
        <f t="shared" si="16"/>
        <v>DFG%</v>
      </c>
      <c r="B536">
        <f t="shared" si="17"/>
        <v>309</v>
      </c>
      <c r="E536" s="1" t="s">
        <v>215</v>
      </c>
      <c r="F536" s="1">
        <v>152</v>
      </c>
      <c r="G536" s="1">
        <v>10</v>
      </c>
      <c r="H536" s="1">
        <v>43.4</v>
      </c>
    </row>
    <row r="537" spans="1:8" x14ac:dyDescent="0.3">
      <c r="A537" t="str">
        <f t="shared" si="16"/>
        <v>DFG%</v>
      </c>
      <c r="B537">
        <f t="shared" si="17"/>
        <v>15809</v>
      </c>
      <c r="E537" s="1" t="s">
        <v>470</v>
      </c>
      <c r="F537" s="1">
        <v>163</v>
      </c>
      <c r="G537" s="1">
        <v>6</v>
      </c>
      <c r="H537" s="1">
        <v>43.6</v>
      </c>
    </row>
    <row r="538" spans="1:8" x14ac:dyDescent="0.3">
      <c r="A538" t="str">
        <f t="shared" si="16"/>
        <v>DFG%</v>
      </c>
      <c r="B538">
        <f t="shared" si="17"/>
        <v>3309</v>
      </c>
      <c r="E538" s="1" t="s">
        <v>91</v>
      </c>
      <c r="F538" s="1">
        <v>166</v>
      </c>
      <c r="G538" s="1">
        <v>7</v>
      </c>
      <c r="H538" s="1">
        <v>43.6</v>
      </c>
    </row>
    <row r="539" spans="1:8" x14ac:dyDescent="0.3">
      <c r="A539" t="str">
        <f t="shared" si="16"/>
        <v>DFG%</v>
      </c>
      <c r="B539">
        <f t="shared" si="17"/>
        <v>5509</v>
      </c>
      <c r="E539" s="1" t="s">
        <v>86</v>
      </c>
      <c r="F539" s="1">
        <v>167</v>
      </c>
      <c r="G539" s="1">
        <v>11</v>
      </c>
      <c r="H539" s="1">
        <v>43.7</v>
      </c>
    </row>
    <row r="540" spans="1:8" x14ac:dyDescent="0.3">
      <c r="A540" t="str">
        <f t="shared" si="16"/>
        <v>DFG%</v>
      </c>
      <c r="B540">
        <f t="shared" si="17"/>
        <v>16209</v>
      </c>
      <c r="E540" s="1" t="s">
        <v>497</v>
      </c>
      <c r="F540" s="1">
        <v>170</v>
      </c>
      <c r="G540" s="1">
        <v>6</v>
      </c>
      <c r="H540" s="1">
        <v>43.7</v>
      </c>
    </row>
    <row r="541" spans="1:8" x14ac:dyDescent="0.3">
      <c r="A541" t="str">
        <f t="shared" si="16"/>
        <v>DFG%</v>
      </c>
      <c r="B541">
        <f t="shared" si="17"/>
        <v>1609</v>
      </c>
      <c r="E541" s="1" t="s">
        <v>137</v>
      </c>
      <c r="F541" s="1">
        <v>184</v>
      </c>
      <c r="G541" s="1">
        <v>12</v>
      </c>
      <c r="H541" s="1">
        <v>43.9</v>
      </c>
    </row>
    <row r="542" spans="1:8" x14ac:dyDescent="0.3">
      <c r="A542" t="str">
        <f t="shared" si="16"/>
        <v>DFG%</v>
      </c>
      <c r="B542">
        <f t="shared" si="17"/>
        <v>3209</v>
      </c>
      <c r="E542" s="1" t="s">
        <v>127</v>
      </c>
      <c r="F542" s="1">
        <v>188</v>
      </c>
      <c r="G542" s="1">
        <v>12</v>
      </c>
      <c r="H542" s="1">
        <v>44</v>
      </c>
    </row>
    <row r="543" spans="1:8" x14ac:dyDescent="0.3">
      <c r="A543" t="str">
        <f t="shared" si="16"/>
        <v>DFG%</v>
      </c>
      <c r="B543">
        <f t="shared" si="17"/>
        <v>1409</v>
      </c>
      <c r="E543" s="1" t="s">
        <v>102</v>
      </c>
      <c r="F543" s="1">
        <v>193</v>
      </c>
      <c r="G543" s="1">
        <v>7</v>
      </c>
      <c r="H543" s="1">
        <v>44.1</v>
      </c>
    </row>
    <row r="544" spans="1:8" x14ac:dyDescent="0.3">
      <c r="A544" t="str">
        <f t="shared" si="16"/>
        <v>DFG%</v>
      </c>
      <c r="B544">
        <f t="shared" si="17"/>
        <v>18409</v>
      </c>
      <c r="E544" s="1" t="s">
        <v>417</v>
      </c>
      <c r="F544" s="1">
        <v>194</v>
      </c>
      <c r="G544" s="1">
        <v>5</v>
      </c>
      <c r="H544" s="1">
        <v>44.1</v>
      </c>
    </row>
    <row r="545" spans="1:10" x14ac:dyDescent="0.3">
      <c r="A545" t="str">
        <f t="shared" si="16"/>
        <v>DFG%</v>
      </c>
      <c r="B545">
        <f t="shared" si="17"/>
        <v>15109</v>
      </c>
      <c r="E545" s="1" t="s">
        <v>464</v>
      </c>
      <c r="F545" s="1">
        <v>201</v>
      </c>
      <c r="G545" s="1">
        <v>5</v>
      </c>
      <c r="H545" s="1">
        <v>44.2</v>
      </c>
    </row>
    <row r="546" spans="1:10" x14ac:dyDescent="0.3">
      <c r="A546" t="str">
        <f t="shared" si="16"/>
        <v>DFG%</v>
      </c>
      <c r="B546">
        <f t="shared" si="17"/>
        <v>9509</v>
      </c>
      <c r="E546" s="1" t="s">
        <v>85</v>
      </c>
      <c r="F546" s="1">
        <v>205</v>
      </c>
      <c r="G546" s="1">
        <v>4</v>
      </c>
      <c r="H546" s="1">
        <v>44.2</v>
      </c>
    </row>
    <row r="547" spans="1:10" x14ac:dyDescent="0.3">
      <c r="A547" t="str">
        <f t="shared" si="16"/>
        <v>DFG%</v>
      </c>
      <c r="B547">
        <f t="shared" si="17"/>
        <v>14109</v>
      </c>
      <c r="E547" s="1" t="s">
        <v>299</v>
      </c>
      <c r="F547" s="1">
        <v>219</v>
      </c>
      <c r="G547" s="1">
        <v>13</v>
      </c>
      <c r="H547" s="1">
        <v>44.6</v>
      </c>
    </row>
    <row r="548" spans="1:10" x14ac:dyDescent="0.3">
      <c r="A548" t="str">
        <f t="shared" si="16"/>
        <v>DFG%</v>
      </c>
      <c r="B548">
        <f t="shared" si="17"/>
        <v>7409</v>
      </c>
      <c r="E548" s="1" t="s">
        <v>251</v>
      </c>
      <c r="F548" s="1">
        <v>220</v>
      </c>
      <c r="G548" s="1">
        <v>9</v>
      </c>
      <c r="H548" s="1">
        <v>44.6</v>
      </c>
    </row>
    <row r="549" spans="1:10" x14ac:dyDescent="0.3">
      <c r="A549" t="str">
        <f t="shared" si="16"/>
        <v>DFG%</v>
      </c>
      <c r="B549">
        <f t="shared" si="17"/>
        <v>3809</v>
      </c>
      <c r="E549" s="1" t="s">
        <v>238</v>
      </c>
      <c r="F549" s="1">
        <v>224</v>
      </c>
      <c r="G549" s="1">
        <v>14</v>
      </c>
      <c r="H549" s="1">
        <v>44.6</v>
      </c>
    </row>
    <row r="550" spans="1:10" x14ac:dyDescent="0.3">
      <c r="A550" t="str">
        <f t="shared" si="16"/>
        <v>DFG%</v>
      </c>
      <c r="B550">
        <f t="shared" si="17"/>
        <v>3009</v>
      </c>
      <c r="E550" s="1" t="s">
        <v>89</v>
      </c>
      <c r="F550" s="1">
        <v>256</v>
      </c>
      <c r="G550" s="1">
        <v>14</v>
      </c>
      <c r="H550" s="1">
        <v>45.2</v>
      </c>
    </row>
    <row r="551" spans="1:10" x14ac:dyDescent="0.3">
      <c r="A551" t="str">
        <f t="shared" si="16"/>
        <v>DFG%</v>
      </c>
      <c r="B551">
        <f t="shared" si="17"/>
        <v>11709</v>
      </c>
      <c r="E551" s="1" t="s">
        <v>280</v>
      </c>
      <c r="F551" s="1">
        <v>285</v>
      </c>
      <c r="G551" s="1">
        <v>8</v>
      </c>
      <c r="H551" s="1">
        <v>45.7</v>
      </c>
    </row>
    <row r="552" spans="1:10" x14ac:dyDescent="0.3">
      <c r="A552" t="str">
        <f t="shared" si="16"/>
        <v>DFG%</v>
      </c>
      <c r="B552">
        <f t="shared" si="17"/>
        <v>15609</v>
      </c>
      <c r="E552" s="1" t="s">
        <v>468</v>
      </c>
      <c r="F552" s="1">
        <v>286</v>
      </c>
      <c r="G552" s="1">
        <v>7</v>
      </c>
      <c r="H552" s="1">
        <v>45.7</v>
      </c>
    </row>
    <row r="553" spans="1:10" x14ac:dyDescent="0.3">
      <c r="A553" t="str">
        <f t="shared" si="16"/>
        <v>DFG%</v>
      </c>
      <c r="B553">
        <f t="shared" si="17"/>
        <v>14409</v>
      </c>
      <c r="E553" s="1" t="s">
        <v>302</v>
      </c>
      <c r="F553" s="1">
        <v>291</v>
      </c>
      <c r="G553" s="1">
        <v>16</v>
      </c>
      <c r="H553" s="1">
        <v>45.8</v>
      </c>
    </row>
    <row r="554" spans="1:10" x14ac:dyDescent="0.3">
      <c r="A554" t="str">
        <f t="shared" si="16"/>
        <v>DFG%</v>
      </c>
      <c r="B554">
        <f t="shared" si="17"/>
        <v>18509</v>
      </c>
      <c r="E554" s="1" t="s">
        <v>420</v>
      </c>
      <c r="F554" s="1">
        <v>320</v>
      </c>
      <c r="G554" s="1">
        <v>6</v>
      </c>
      <c r="H554" s="1">
        <v>46.7</v>
      </c>
    </row>
    <row r="555" spans="1:10" x14ac:dyDescent="0.3">
      <c r="A555" t="str">
        <f t="shared" si="16"/>
        <v>FPG</v>
      </c>
      <c r="B555">
        <f t="shared" si="17"/>
        <v>3114</v>
      </c>
      <c r="D555" s="1" t="s">
        <v>545</v>
      </c>
      <c r="E555" s="1" t="s">
        <v>93</v>
      </c>
      <c r="F555" s="1">
        <v>1</v>
      </c>
      <c r="G555" s="1">
        <v>1</v>
      </c>
      <c r="H555" s="1">
        <v>11.1</v>
      </c>
      <c r="I555" s="1" t="s">
        <v>93</v>
      </c>
      <c r="J555" s="1">
        <v>11.1</v>
      </c>
    </row>
    <row r="556" spans="1:10" x14ac:dyDescent="0.3">
      <c r="A556" t="str">
        <f t="shared" si="16"/>
        <v>FPG</v>
      </c>
      <c r="B556">
        <f t="shared" si="17"/>
        <v>8314</v>
      </c>
      <c r="E556" s="1" t="s">
        <v>257</v>
      </c>
      <c r="F556" s="1">
        <v>3</v>
      </c>
      <c r="G556" s="1">
        <v>1</v>
      </c>
      <c r="H556" s="1">
        <v>12.5</v>
      </c>
    </row>
    <row r="557" spans="1:10" x14ac:dyDescent="0.3">
      <c r="A557" t="str">
        <f t="shared" si="16"/>
        <v>FPG</v>
      </c>
      <c r="B557">
        <f t="shared" si="17"/>
        <v>5114</v>
      </c>
      <c r="E557" s="1" t="s">
        <v>240</v>
      </c>
      <c r="F557" s="1">
        <v>7</v>
      </c>
      <c r="G557" s="1">
        <v>1</v>
      </c>
      <c r="H557" s="1">
        <v>13.4</v>
      </c>
    </row>
    <row r="558" spans="1:10" x14ac:dyDescent="0.3">
      <c r="A558" t="str">
        <f t="shared" si="16"/>
        <v>FPG</v>
      </c>
      <c r="B558">
        <f t="shared" si="17"/>
        <v>3914</v>
      </c>
      <c r="E558" s="1" t="s">
        <v>88</v>
      </c>
      <c r="F558" s="1">
        <v>22</v>
      </c>
      <c r="G558" s="1">
        <v>2</v>
      </c>
      <c r="H558" s="1">
        <v>14.3</v>
      </c>
    </row>
    <row r="559" spans="1:10" x14ac:dyDescent="0.3">
      <c r="A559" t="str">
        <f t="shared" si="16"/>
        <v>FPG</v>
      </c>
      <c r="B559">
        <f t="shared" si="17"/>
        <v>2514</v>
      </c>
      <c r="E559" s="1" t="s">
        <v>92</v>
      </c>
      <c r="F559" s="1">
        <v>39</v>
      </c>
      <c r="G559" s="1">
        <v>1</v>
      </c>
      <c r="H559" s="1">
        <v>14.9</v>
      </c>
    </row>
    <row r="560" spans="1:10" x14ac:dyDescent="0.3">
      <c r="A560" t="str">
        <f t="shared" si="16"/>
        <v>FPG</v>
      </c>
      <c r="B560">
        <f t="shared" si="17"/>
        <v>15914</v>
      </c>
      <c r="E560" s="1" t="s">
        <v>495</v>
      </c>
      <c r="F560" s="1">
        <v>44</v>
      </c>
      <c r="G560" s="1">
        <v>2</v>
      </c>
      <c r="H560" s="1">
        <v>15.2</v>
      </c>
    </row>
    <row r="561" spans="1:8" x14ac:dyDescent="0.3">
      <c r="A561" t="str">
        <f t="shared" si="16"/>
        <v>FPG</v>
      </c>
      <c r="B561">
        <f t="shared" si="17"/>
        <v>4014</v>
      </c>
      <c r="E561" s="1" t="s">
        <v>105</v>
      </c>
      <c r="F561" s="1">
        <v>47</v>
      </c>
      <c r="G561" s="1">
        <v>2</v>
      </c>
      <c r="H561" s="1">
        <v>15.2</v>
      </c>
    </row>
    <row r="562" spans="1:8" x14ac:dyDescent="0.3">
      <c r="A562" t="str">
        <f t="shared" si="16"/>
        <v>FPG</v>
      </c>
      <c r="B562">
        <f t="shared" si="17"/>
        <v>3514</v>
      </c>
      <c r="E562" s="1" t="s">
        <v>87</v>
      </c>
      <c r="F562" s="1">
        <v>48</v>
      </c>
      <c r="G562" s="1">
        <v>1</v>
      </c>
      <c r="H562" s="1">
        <v>15.2</v>
      </c>
    </row>
    <row r="563" spans="1:8" x14ac:dyDescent="0.3">
      <c r="A563" t="str">
        <f t="shared" si="16"/>
        <v>FPG</v>
      </c>
      <c r="B563">
        <f t="shared" si="17"/>
        <v>11114</v>
      </c>
      <c r="E563" s="1" t="s">
        <v>277</v>
      </c>
      <c r="F563" s="1">
        <v>55</v>
      </c>
      <c r="G563" s="1">
        <v>1</v>
      </c>
      <c r="H563" s="1">
        <v>15.3</v>
      </c>
    </row>
    <row r="564" spans="1:8" x14ac:dyDescent="0.3">
      <c r="A564" t="str">
        <f t="shared" si="16"/>
        <v>FPG</v>
      </c>
      <c r="B564">
        <f t="shared" si="17"/>
        <v>13114</v>
      </c>
      <c r="E564" s="1" t="s">
        <v>289</v>
      </c>
      <c r="F564" s="1">
        <v>63</v>
      </c>
      <c r="G564" s="1">
        <v>4</v>
      </c>
      <c r="H564" s="1">
        <v>15.6</v>
      </c>
    </row>
    <row r="565" spans="1:8" x14ac:dyDescent="0.3">
      <c r="A565" t="str">
        <f t="shared" si="16"/>
        <v>FPG</v>
      </c>
      <c r="B565">
        <f t="shared" si="17"/>
        <v>16114</v>
      </c>
      <c r="E565" s="1" t="s">
        <v>473</v>
      </c>
      <c r="F565" s="1">
        <v>74</v>
      </c>
      <c r="G565" s="1">
        <v>4</v>
      </c>
      <c r="H565" s="1">
        <v>15.6</v>
      </c>
    </row>
    <row r="566" spans="1:8" x14ac:dyDescent="0.3">
      <c r="A566" t="str">
        <f t="shared" si="16"/>
        <v>FPG</v>
      </c>
      <c r="B566">
        <f t="shared" si="17"/>
        <v>14914</v>
      </c>
      <c r="E566" s="1" t="s">
        <v>307</v>
      </c>
      <c r="F566" s="1">
        <v>76</v>
      </c>
      <c r="G566" s="1">
        <v>5</v>
      </c>
      <c r="H566" s="1">
        <v>15.7</v>
      </c>
    </row>
    <row r="567" spans="1:8" x14ac:dyDescent="0.3">
      <c r="A567" t="str">
        <f t="shared" si="16"/>
        <v>FPG</v>
      </c>
      <c r="B567">
        <f t="shared" si="17"/>
        <v>7414</v>
      </c>
      <c r="E567" s="1" t="s">
        <v>251</v>
      </c>
      <c r="F567" s="1">
        <v>77</v>
      </c>
      <c r="G567" s="1">
        <v>4</v>
      </c>
      <c r="H567" s="1">
        <v>15.7</v>
      </c>
    </row>
    <row r="568" spans="1:8" x14ac:dyDescent="0.3">
      <c r="A568" t="str">
        <f t="shared" si="16"/>
        <v>FPG</v>
      </c>
      <c r="B568">
        <f t="shared" si="17"/>
        <v>7214</v>
      </c>
      <c r="E568" s="1" t="s">
        <v>116</v>
      </c>
      <c r="F568" s="1">
        <v>81</v>
      </c>
      <c r="G568" s="1">
        <v>5</v>
      </c>
      <c r="H568" s="1">
        <v>15.7</v>
      </c>
    </row>
    <row r="569" spans="1:8" x14ac:dyDescent="0.3">
      <c r="A569" t="str">
        <f t="shared" si="16"/>
        <v>FPG</v>
      </c>
      <c r="B569">
        <f t="shared" si="17"/>
        <v>9514</v>
      </c>
      <c r="E569" s="1" t="s">
        <v>85</v>
      </c>
      <c r="F569" s="1">
        <v>92</v>
      </c>
      <c r="G569" s="1">
        <v>3</v>
      </c>
      <c r="H569" s="1">
        <v>15.8</v>
      </c>
    </row>
    <row r="570" spans="1:8" x14ac:dyDescent="0.3">
      <c r="A570" t="str">
        <f t="shared" si="16"/>
        <v>FPG</v>
      </c>
      <c r="B570">
        <f t="shared" si="17"/>
        <v>3014</v>
      </c>
      <c r="E570" s="1" t="s">
        <v>89</v>
      </c>
      <c r="F570" s="1">
        <v>94</v>
      </c>
      <c r="G570" s="1">
        <v>4</v>
      </c>
      <c r="H570" s="1">
        <v>15.8</v>
      </c>
    </row>
    <row r="571" spans="1:8" x14ac:dyDescent="0.3">
      <c r="A571" t="str">
        <f t="shared" si="16"/>
        <v>FPG</v>
      </c>
      <c r="B571">
        <f t="shared" si="17"/>
        <v>5414</v>
      </c>
      <c r="E571" s="1" t="s">
        <v>94</v>
      </c>
      <c r="F571" s="1">
        <v>95</v>
      </c>
      <c r="G571" s="1">
        <v>7</v>
      </c>
      <c r="H571" s="1">
        <v>15.8</v>
      </c>
    </row>
    <row r="572" spans="1:8" x14ac:dyDescent="0.3">
      <c r="A572" t="str">
        <f t="shared" si="16"/>
        <v>FPG</v>
      </c>
      <c r="B572">
        <f t="shared" si="17"/>
        <v>3314</v>
      </c>
      <c r="E572" s="1" t="s">
        <v>91</v>
      </c>
      <c r="F572" s="1">
        <v>104</v>
      </c>
      <c r="G572" s="1">
        <v>6</v>
      </c>
      <c r="H572" s="1">
        <v>16</v>
      </c>
    </row>
    <row r="573" spans="1:8" x14ac:dyDescent="0.3">
      <c r="A573" t="str">
        <f t="shared" si="16"/>
        <v>FPG</v>
      </c>
      <c r="B573">
        <f t="shared" si="17"/>
        <v>18414</v>
      </c>
      <c r="E573" s="1" t="s">
        <v>417</v>
      </c>
      <c r="F573" s="1">
        <v>107</v>
      </c>
      <c r="G573" s="1">
        <v>3</v>
      </c>
      <c r="H573" s="1">
        <v>16.100000000000001</v>
      </c>
    </row>
    <row r="574" spans="1:8" x14ac:dyDescent="0.3">
      <c r="A574" t="str">
        <f t="shared" si="16"/>
        <v>FPG</v>
      </c>
      <c r="B574">
        <f t="shared" si="17"/>
        <v>11714</v>
      </c>
      <c r="E574" s="1" t="s">
        <v>280</v>
      </c>
      <c r="F574" s="1">
        <v>112</v>
      </c>
      <c r="G574" s="1">
        <v>3</v>
      </c>
      <c r="H574" s="1">
        <v>16.100000000000001</v>
      </c>
    </row>
    <row r="575" spans="1:8" x14ac:dyDescent="0.3">
      <c r="A575" t="str">
        <f t="shared" si="16"/>
        <v>FPG</v>
      </c>
      <c r="B575">
        <f t="shared" si="17"/>
        <v>614</v>
      </c>
      <c r="E575" s="1" t="s">
        <v>100</v>
      </c>
      <c r="F575" s="1">
        <v>117</v>
      </c>
      <c r="G575" s="1">
        <v>6</v>
      </c>
      <c r="H575" s="1">
        <v>16.2</v>
      </c>
    </row>
    <row r="576" spans="1:8" x14ac:dyDescent="0.3">
      <c r="A576" t="str">
        <f t="shared" si="16"/>
        <v>FPG</v>
      </c>
      <c r="B576">
        <f t="shared" si="17"/>
        <v>8114</v>
      </c>
      <c r="E576" s="1" t="s">
        <v>256</v>
      </c>
      <c r="F576" s="1">
        <v>120</v>
      </c>
      <c r="G576" s="1">
        <v>3</v>
      </c>
      <c r="H576" s="1">
        <v>16.2</v>
      </c>
    </row>
    <row r="577" spans="1:8" x14ac:dyDescent="0.3">
      <c r="A577" t="str">
        <f t="shared" si="16"/>
        <v>FPG</v>
      </c>
      <c r="B577">
        <f t="shared" si="17"/>
        <v>4314</v>
      </c>
      <c r="E577" s="1" t="s">
        <v>125</v>
      </c>
      <c r="F577" s="1">
        <v>121</v>
      </c>
      <c r="G577" s="1">
        <v>5</v>
      </c>
      <c r="H577" s="1">
        <v>16.2</v>
      </c>
    </row>
    <row r="578" spans="1:8" x14ac:dyDescent="0.3">
      <c r="A578" t="str">
        <f t="shared" ref="A578:A641" si="18">IF(NOT(D578=""),INDEX(statAbbr,MATCH(D578,statOfficial,0),1),A577)</f>
        <v>FPG</v>
      </c>
      <c r="B578">
        <f t="shared" ref="B578:B641" si="19">INDEX(statID,MATCH(A578,statAbbr,0),1)+INDEX(teamID,MATCH(E578,teamRawName,0))</f>
        <v>6914</v>
      </c>
      <c r="E578" s="1" t="s">
        <v>114</v>
      </c>
      <c r="F578" s="1">
        <v>124</v>
      </c>
      <c r="G578" s="1">
        <v>6</v>
      </c>
      <c r="H578" s="1">
        <v>16.3</v>
      </c>
    </row>
    <row r="579" spans="1:8" x14ac:dyDescent="0.3">
      <c r="A579" t="str">
        <f t="shared" si="18"/>
        <v>FPG</v>
      </c>
      <c r="B579">
        <f t="shared" si="19"/>
        <v>2814</v>
      </c>
      <c r="E579" s="1" t="s">
        <v>106</v>
      </c>
      <c r="F579" s="1">
        <v>125</v>
      </c>
      <c r="G579" s="1">
        <v>7</v>
      </c>
      <c r="H579" s="1">
        <v>16.3</v>
      </c>
    </row>
    <row r="580" spans="1:8" x14ac:dyDescent="0.3">
      <c r="A580" t="str">
        <f t="shared" si="18"/>
        <v>FPG</v>
      </c>
      <c r="B580">
        <f t="shared" si="19"/>
        <v>3214</v>
      </c>
      <c r="E580" s="1" t="s">
        <v>127</v>
      </c>
      <c r="F580" s="1">
        <v>127</v>
      </c>
      <c r="G580" s="1">
        <v>8</v>
      </c>
      <c r="H580" s="1">
        <v>16.3</v>
      </c>
    </row>
    <row r="581" spans="1:8" x14ac:dyDescent="0.3">
      <c r="A581" t="str">
        <f t="shared" si="18"/>
        <v>FPG</v>
      </c>
      <c r="B581">
        <f t="shared" si="19"/>
        <v>214</v>
      </c>
      <c r="E581" s="1" t="s">
        <v>98</v>
      </c>
      <c r="F581" s="1">
        <v>127</v>
      </c>
      <c r="G581" s="1">
        <v>5</v>
      </c>
      <c r="H581" s="1">
        <v>16.3</v>
      </c>
    </row>
    <row r="582" spans="1:8" x14ac:dyDescent="0.3">
      <c r="A582" t="str">
        <f t="shared" si="18"/>
        <v>FPG</v>
      </c>
      <c r="B582">
        <f t="shared" si="19"/>
        <v>12514</v>
      </c>
      <c r="E582" s="1" t="s">
        <v>95</v>
      </c>
      <c r="F582" s="1">
        <v>129</v>
      </c>
      <c r="G582" s="1">
        <v>7</v>
      </c>
      <c r="H582" s="1">
        <v>16.3</v>
      </c>
    </row>
    <row r="583" spans="1:8" x14ac:dyDescent="0.3">
      <c r="A583" t="str">
        <f t="shared" si="18"/>
        <v>FPG</v>
      </c>
      <c r="B583">
        <f t="shared" si="19"/>
        <v>2714</v>
      </c>
      <c r="E583" s="1" t="s">
        <v>7</v>
      </c>
      <c r="F583" s="1">
        <v>130</v>
      </c>
      <c r="G583" s="1">
        <v>9</v>
      </c>
      <c r="H583" s="1">
        <v>16.3</v>
      </c>
    </row>
    <row r="584" spans="1:8" x14ac:dyDescent="0.3">
      <c r="A584" t="str">
        <f t="shared" si="18"/>
        <v>FPG</v>
      </c>
      <c r="B584">
        <f t="shared" si="19"/>
        <v>15014</v>
      </c>
      <c r="E584" s="1" t="s">
        <v>463</v>
      </c>
      <c r="F584" s="1">
        <v>147</v>
      </c>
      <c r="G584" s="1">
        <v>2</v>
      </c>
      <c r="H584" s="1">
        <v>16.5</v>
      </c>
    </row>
    <row r="585" spans="1:8" x14ac:dyDescent="0.3">
      <c r="A585" t="str">
        <f t="shared" si="18"/>
        <v>FPG</v>
      </c>
      <c r="B585">
        <f t="shared" si="19"/>
        <v>15414</v>
      </c>
      <c r="E585" s="1" t="s">
        <v>494</v>
      </c>
      <c r="F585" s="1">
        <v>152</v>
      </c>
      <c r="G585" s="1">
        <v>4</v>
      </c>
      <c r="H585" s="1">
        <v>16.5</v>
      </c>
    </row>
    <row r="586" spans="1:8" x14ac:dyDescent="0.3">
      <c r="A586" t="str">
        <f t="shared" si="18"/>
        <v>FPG</v>
      </c>
      <c r="B586">
        <f t="shared" si="19"/>
        <v>4214</v>
      </c>
      <c r="E586" s="1" t="s">
        <v>123</v>
      </c>
      <c r="F586" s="1">
        <v>157</v>
      </c>
      <c r="G586" s="1">
        <v>7</v>
      </c>
      <c r="H586" s="1">
        <v>16.5</v>
      </c>
    </row>
    <row r="587" spans="1:8" x14ac:dyDescent="0.3">
      <c r="A587" t="str">
        <f t="shared" si="18"/>
        <v>FPG</v>
      </c>
      <c r="B587">
        <f t="shared" si="19"/>
        <v>15714</v>
      </c>
      <c r="E587" s="1" t="s">
        <v>469</v>
      </c>
      <c r="F587" s="1">
        <v>160</v>
      </c>
      <c r="G587" s="1">
        <v>6</v>
      </c>
      <c r="H587" s="1">
        <v>16.5</v>
      </c>
    </row>
    <row r="588" spans="1:8" x14ac:dyDescent="0.3">
      <c r="A588" t="str">
        <f t="shared" si="18"/>
        <v>FPG</v>
      </c>
      <c r="B588">
        <f t="shared" si="19"/>
        <v>13914</v>
      </c>
      <c r="E588" s="1" t="s">
        <v>297</v>
      </c>
      <c r="F588" s="1">
        <v>167</v>
      </c>
      <c r="G588" s="1">
        <v>4</v>
      </c>
      <c r="H588" s="1">
        <v>16.600000000000001</v>
      </c>
    </row>
    <row r="589" spans="1:8" x14ac:dyDescent="0.3">
      <c r="A589" t="str">
        <f t="shared" si="18"/>
        <v>FPG</v>
      </c>
      <c r="B589">
        <f t="shared" si="19"/>
        <v>914</v>
      </c>
      <c r="E589" s="1" t="s">
        <v>90</v>
      </c>
      <c r="F589" s="1">
        <v>172</v>
      </c>
      <c r="G589" s="1">
        <v>10</v>
      </c>
      <c r="H589" s="1">
        <v>16.7</v>
      </c>
    </row>
    <row r="590" spans="1:8" x14ac:dyDescent="0.3">
      <c r="A590" t="str">
        <f t="shared" si="18"/>
        <v>FPG</v>
      </c>
      <c r="B590">
        <f t="shared" si="19"/>
        <v>9314</v>
      </c>
      <c r="E590" s="1" t="s">
        <v>357</v>
      </c>
      <c r="F590" s="1">
        <v>174</v>
      </c>
      <c r="G590" s="1">
        <v>8</v>
      </c>
      <c r="H590" s="1">
        <v>16.7</v>
      </c>
    </row>
    <row r="591" spans="1:8" x14ac:dyDescent="0.3">
      <c r="A591" t="str">
        <f t="shared" si="18"/>
        <v>FPG</v>
      </c>
      <c r="B591">
        <f t="shared" si="19"/>
        <v>15114</v>
      </c>
      <c r="E591" s="1" t="s">
        <v>464</v>
      </c>
      <c r="F591" s="1">
        <v>180</v>
      </c>
      <c r="G591" s="1">
        <v>4</v>
      </c>
      <c r="H591" s="1">
        <v>16.7</v>
      </c>
    </row>
    <row r="592" spans="1:8" x14ac:dyDescent="0.3">
      <c r="A592" t="str">
        <f t="shared" si="18"/>
        <v>FPG</v>
      </c>
      <c r="B592">
        <f t="shared" si="19"/>
        <v>4414</v>
      </c>
      <c r="E592" s="1" t="s">
        <v>83</v>
      </c>
      <c r="F592" s="1">
        <v>187</v>
      </c>
      <c r="G592" s="1">
        <v>7</v>
      </c>
      <c r="H592" s="1">
        <v>16.8</v>
      </c>
    </row>
    <row r="593" spans="1:8" x14ac:dyDescent="0.3">
      <c r="A593" t="str">
        <f t="shared" si="18"/>
        <v>FPG</v>
      </c>
      <c r="B593">
        <f t="shared" si="19"/>
        <v>2914</v>
      </c>
      <c r="E593" s="1" t="s">
        <v>96</v>
      </c>
      <c r="F593" s="1">
        <v>191</v>
      </c>
      <c r="G593" s="1">
        <v>12</v>
      </c>
      <c r="H593" s="1">
        <v>16.899999999999999</v>
      </c>
    </row>
    <row r="594" spans="1:8" x14ac:dyDescent="0.3">
      <c r="A594" t="str">
        <f t="shared" si="18"/>
        <v>FPG</v>
      </c>
      <c r="B594">
        <f t="shared" si="19"/>
        <v>4914</v>
      </c>
      <c r="E594" s="1" t="s">
        <v>108</v>
      </c>
      <c r="F594" s="1">
        <v>191</v>
      </c>
      <c r="G594" s="1">
        <v>14</v>
      </c>
      <c r="H594" s="1">
        <v>16.899999999999999</v>
      </c>
    </row>
    <row r="595" spans="1:8" x14ac:dyDescent="0.3">
      <c r="A595" t="str">
        <f t="shared" si="18"/>
        <v>FPG</v>
      </c>
      <c r="B595">
        <f t="shared" si="19"/>
        <v>15814</v>
      </c>
      <c r="E595" s="1" t="s">
        <v>470</v>
      </c>
      <c r="F595" s="1">
        <v>194</v>
      </c>
      <c r="G595" s="1">
        <v>8</v>
      </c>
      <c r="H595" s="1">
        <v>16.899999999999999</v>
      </c>
    </row>
    <row r="596" spans="1:8" x14ac:dyDescent="0.3">
      <c r="A596" t="str">
        <f t="shared" si="18"/>
        <v>FPG</v>
      </c>
      <c r="B596">
        <f t="shared" si="19"/>
        <v>5714</v>
      </c>
      <c r="E596" s="1" t="s">
        <v>120</v>
      </c>
      <c r="F596" s="1">
        <v>202</v>
      </c>
      <c r="G596" s="1">
        <v>6</v>
      </c>
      <c r="H596" s="1">
        <v>17.100000000000001</v>
      </c>
    </row>
    <row r="597" spans="1:8" x14ac:dyDescent="0.3">
      <c r="A597" t="str">
        <f t="shared" si="18"/>
        <v>FPG</v>
      </c>
      <c r="B597">
        <f t="shared" si="19"/>
        <v>7614</v>
      </c>
      <c r="E597" s="1" t="s">
        <v>253</v>
      </c>
      <c r="F597" s="1">
        <v>206</v>
      </c>
      <c r="G597" s="1">
        <v>12</v>
      </c>
      <c r="H597" s="1">
        <v>17.100000000000001</v>
      </c>
    </row>
    <row r="598" spans="1:8" x14ac:dyDescent="0.3">
      <c r="A598" t="str">
        <f t="shared" si="18"/>
        <v>FPG</v>
      </c>
      <c r="B598">
        <f t="shared" si="19"/>
        <v>1314</v>
      </c>
      <c r="E598" s="1" t="s">
        <v>82</v>
      </c>
      <c r="F598" s="1">
        <v>212</v>
      </c>
      <c r="G598" s="1">
        <v>5</v>
      </c>
      <c r="H598" s="1">
        <v>17.2</v>
      </c>
    </row>
    <row r="599" spans="1:8" x14ac:dyDescent="0.3">
      <c r="A599" t="str">
        <f t="shared" si="18"/>
        <v>FPG</v>
      </c>
      <c r="B599">
        <f t="shared" si="19"/>
        <v>5514</v>
      </c>
      <c r="E599" s="1" t="s">
        <v>86</v>
      </c>
      <c r="F599" s="1">
        <v>212</v>
      </c>
      <c r="G599" s="1">
        <v>7</v>
      </c>
      <c r="H599" s="1">
        <v>17.2</v>
      </c>
    </row>
    <row r="600" spans="1:8" x14ac:dyDescent="0.3">
      <c r="A600" t="str">
        <f t="shared" si="18"/>
        <v>FPG</v>
      </c>
      <c r="B600">
        <f t="shared" si="19"/>
        <v>9014</v>
      </c>
      <c r="E600" s="1" t="s">
        <v>261</v>
      </c>
      <c r="F600" s="1">
        <v>214</v>
      </c>
      <c r="G600" s="1">
        <v>13</v>
      </c>
      <c r="H600" s="1">
        <v>17.2</v>
      </c>
    </row>
    <row r="601" spans="1:8" x14ac:dyDescent="0.3">
      <c r="A601" t="str">
        <f t="shared" si="18"/>
        <v>FPG</v>
      </c>
      <c r="B601">
        <f t="shared" si="19"/>
        <v>1614</v>
      </c>
      <c r="E601" s="1" t="s">
        <v>137</v>
      </c>
      <c r="F601" s="1">
        <v>223</v>
      </c>
      <c r="G601" s="1">
        <v>8</v>
      </c>
      <c r="H601" s="1">
        <v>17.399999999999999</v>
      </c>
    </row>
    <row r="602" spans="1:8" x14ac:dyDescent="0.3">
      <c r="A602" t="str">
        <f t="shared" si="18"/>
        <v>FPG</v>
      </c>
      <c r="B602">
        <f t="shared" si="19"/>
        <v>5814</v>
      </c>
      <c r="E602" s="1" t="s">
        <v>139</v>
      </c>
      <c r="F602" s="1">
        <v>229</v>
      </c>
      <c r="G602" s="1">
        <v>3</v>
      </c>
      <c r="H602" s="1">
        <v>17.5</v>
      </c>
    </row>
    <row r="603" spans="1:8" x14ac:dyDescent="0.3">
      <c r="A603" t="str">
        <f t="shared" si="18"/>
        <v>FPG</v>
      </c>
      <c r="B603">
        <f t="shared" si="19"/>
        <v>3614</v>
      </c>
      <c r="E603" s="1" t="s">
        <v>129</v>
      </c>
      <c r="F603" s="1">
        <v>229</v>
      </c>
      <c r="G603" s="1">
        <v>9</v>
      </c>
      <c r="H603" s="1">
        <v>17.5</v>
      </c>
    </row>
    <row r="604" spans="1:8" x14ac:dyDescent="0.3">
      <c r="A604" t="str">
        <f t="shared" si="18"/>
        <v>FPG</v>
      </c>
      <c r="B604">
        <f t="shared" si="19"/>
        <v>4714</v>
      </c>
      <c r="E604" s="1" t="s">
        <v>107</v>
      </c>
      <c r="F604" s="1">
        <v>237</v>
      </c>
      <c r="G604" s="1">
        <v>7</v>
      </c>
      <c r="H604" s="1">
        <v>17.5</v>
      </c>
    </row>
    <row r="605" spans="1:8" x14ac:dyDescent="0.3">
      <c r="A605" t="str">
        <f t="shared" si="18"/>
        <v>FPG</v>
      </c>
      <c r="B605">
        <f t="shared" si="19"/>
        <v>18314</v>
      </c>
      <c r="E605" s="1" t="s">
        <v>423</v>
      </c>
      <c r="F605" s="1">
        <v>250</v>
      </c>
      <c r="G605" s="1">
        <v>11</v>
      </c>
      <c r="H605" s="1">
        <v>17.7</v>
      </c>
    </row>
    <row r="606" spans="1:8" x14ac:dyDescent="0.3">
      <c r="A606" t="str">
        <f t="shared" si="18"/>
        <v>FPG</v>
      </c>
      <c r="B606">
        <f t="shared" si="19"/>
        <v>18514</v>
      </c>
      <c r="E606" s="1" t="s">
        <v>420</v>
      </c>
      <c r="F606" s="1">
        <v>252</v>
      </c>
      <c r="G606" s="1">
        <v>5</v>
      </c>
      <c r="H606" s="1">
        <v>17.7</v>
      </c>
    </row>
    <row r="607" spans="1:8" x14ac:dyDescent="0.3">
      <c r="A607" t="str">
        <f t="shared" si="18"/>
        <v>FPG</v>
      </c>
      <c r="B607">
        <f t="shared" si="19"/>
        <v>2014</v>
      </c>
      <c r="E607" s="1" t="s">
        <v>328</v>
      </c>
      <c r="F607" s="1">
        <v>254</v>
      </c>
      <c r="G607" s="1">
        <v>2</v>
      </c>
      <c r="H607" s="1">
        <v>17.8</v>
      </c>
    </row>
    <row r="608" spans="1:8" x14ac:dyDescent="0.3">
      <c r="A608" t="str">
        <f t="shared" si="18"/>
        <v>FPG</v>
      </c>
      <c r="B608">
        <f t="shared" si="19"/>
        <v>8214</v>
      </c>
      <c r="E608" s="1" t="s">
        <v>131</v>
      </c>
      <c r="F608" s="1">
        <v>256</v>
      </c>
      <c r="G608" s="1">
        <v>8</v>
      </c>
      <c r="H608" s="1">
        <v>17.8</v>
      </c>
    </row>
    <row r="609" spans="1:10" x14ac:dyDescent="0.3">
      <c r="A609" t="str">
        <f t="shared" si="18"/>
        <v>FPG</v>
      </c>
      <c r="B609">
        <f t="shared" si="19"/>
        <v>6614</v>
      </c>
      <c r="E609" s="1" t="s">
        <v>247</v>
      </c>
      <c r="F609" s="1">
        <v>260</v>
      </c>
      <c r="G609" s="1">
        <v>10</v>
      </c>
      <c r="H609" s="1">
        <v>17.8</v>
      </c>
    </row>
    <row r="610" spans="1:10" x14ac:dyDescent="0.3">
      <c r="A610" t="str">
        <f t="shared" si="18"/>
        <v>FPG</v>
      </c>
      <c r="B610">
        <f t="shared" si="19"/>
        <v>15614</v>
      </c>
      <c r="E610" s="1" t="s">
        <v>468</v>
      </c>
      <c r="F610" s="1">
        <v>265</v>
      </c>
      <c r="G610" s="1">
        <v>10</v>
      </c>
      <c r="H610" s="1">
        <v>17.899999999999999</v>
      </c>
    </row>
    <row r="611" spans="1:10" x14ac:dyDescent="0.3">
      <c r="A611" t="str">
        <f t="shared" si="18"/>
        <v>FPG</v>
      </c>
      <c r="B611">
        <f t="shared" si="19"/>
        <v>14414</v>
      </c>
      <c r="E611" s="1" t="s">
        <v>302</v>
      </c>
      <c r="F611" s="1">
        <v>269</v>
      </c>
      <c r="G611" s="1">
        <v>10</v>
      </c>
      <c r="H611" s="1">
        <v>17.899999999999999</v>
      </c>
    </row>
    <row r="612" spans="1:10" x14ac:dyDescent="0.3">
      <c r="A612" t="str">
        <f t="shared" si="18"/>
        <v>FPG</v>
      </c>
      <c r="B612">
        <f t="shared" si="19"/>
        <v>12214</v>
      </c>
      <c r="E612" s="1" t="s">
        <v>284</v>
      </c>
      <c r="F612" s="1">
        <v>280</v>
      </c>
      <c r="G612" s="1">
        <v>13</v>
      </c>
      <c r="H612" s="1">
        <v>18.100000000000001</v>
      </c>
    </row>
    <row r="613" spans="1:10" x14ac:dyDescent="0.3">
      <c r="A613" t="str">
        <f t="shared" si="18"/>
        <v>FPG</v>
      </c>
      <c r="B613">
        <f t="shared" si="19"/>
        <v>10614</v>
      </c>
      <c r="E613" s="1" t="s">
        <v>161</v>
      </c>
      <c r="F613" s="1">
        <v>283</v>
      </c>
      <c r="G613" s="1">
        <v>4</v>
      </c>
      <c r="H613" s="1">
        <v>18.100000000000001</v>
      </c>
    </row>
    <row r="614" spans="1:10" x14ac:dyDescent="0.3">
      <c r="A614" t="str">
        <f t="shared" si="18"/>
        <v>FPG</v>
      </c>
      <c r="B614">
        <f t="shared" si="19"/>
        <v>1414</v>
      </c>
      <c r="E614" s="1" t="s">
        <v>102</v>
      </c>
      <c r="F614" s="1">
        <v>287</v>
      </c>
      <c r="G614" s="1">
        <v>9</v>
      </c>
      <c r="H614" s="1">
        <v>18.100000000000001</v>
      </c>
    </row>
    <row r="615" spans="1:10" x14ac:dyDescent="0.3">
      <c r="A615" t="str">
        <f t="shared" si="18"/>
        <v>FPG</v>
      </c>
      <c r="B615">
        <f t="shared" si="19"/>
        <v>14114</v>
      </c>
      <c r="E615" s="1" t="s">
        <v>299</v>
      </c>
      <c r="F615" s="1">
        <v>292</v>
      </c>
      <c r="G615" s="1">
        <v>11</v>
      </c>
      <c r="H615" s="1">
        <v>18.2</v>
      </c>
    </row>
    <row r="616" spans="1:10" x14ac:dyDescent="0.3">
      <c r="A616" t="str">
        <f t="shared" si="18"/>
        <v>FPG</v>
      </c>
      <c r="B616">
        <f t="shared" si="19"/>
        <v>314</v>
      </c>
      <c r="E616" s="1" t="s">
        <v>215</v>
      </c>
      <c r="F616" s="1">
        <v>294</v>
      </c>
      <c r="G616" s="1">
        <v>12</v>
      </c>
      <c r="H616" s="1">
        <v>18.3</v>
      </c>
    </row>
    <row r="617" spans="1:10" x14ac:dyDescent="0.3">
      <c r="A617" t="str">
        <f t="shared" si="18"/>
        <v>FPG</v>
      </c>
      <c r="B617">
        <f t="shared" si="19"/>
        <v>2314</v>
      </c>
      <c r="E617" s="1" t="s">
        <v>79</v>
      </c>
      <c r="F617" s="1">
        <v>296</v>
      </c>
      <c r="G617" s="1">
        <v>11</v>
      </c>
      <c r="H617" s="1">
        <v>18.3</v>
      </c>
    </row>
    <row r="618" spans="1:10" x14ac:dyDescent="0.3">
      <c r="A618" t="str">
        <f t="shared" si="18"/>
        <v>FPG</v>
      </c>
      <c r="B618">
        <f t="shared" si="19"/>
        <v>16214</v>
      </c>
      <c r="E618" s="1" t="s">
        <v>497</v>
      </c>
      <c r="F618" s="1">
        <v>306</v>
      </c>
      <c r="G618" s="1">
        <v>8</v>
      </c>
      <c r="H618" s="1">
        <v>18.399999999999999</v>
      </c>
    </row>
    <row r="619" spans="1:10" x14ac:dyDescent="0.3">
      <c r="A619" t="str">
        <f t="shared" si="18"/>
        <v>FPG</v>
      </c>
      <c r="B619">
        <f t="shared" si="19"/>
        <v>1214</v>
      </c>
      <c r="E619" s="1" t="s">
        <v>130</v>
      </c>
      <c r="F619" s="1">
        <v>307</v>
      </c>
      <c r="G619" s="1">
        <v>10</v>
      </c>
      <c r="H619" s="1">
        <v>18.399999999999999</v>
      </c>
    </row>
    <row r="620" spans="1:10" x14ac:dyDescent="0.3">
      <c r="A620" t="str">
        <f t="shared" si="18"/>
        <v>FPG</v>
      </c>
      <c r="B620">
        <f t="shared" si="19"/>
        <v>4514</v>
      </c>
      <c r="E620" s="1" t="s">
        <v>84</v>
      </c>
      <c r="F620" s="1">
        <v>311</v>
      </c>
      <c r="G620" s="1">
        <v>13</v>
      </c>
      <c r="H620" s="1">
        <v>18.5</v>
      </c>
    </row>
    <row r="621" spans="1:10" x14ac:dyDescent="0.3">
      <c r="A621" t="str">
        <f t="shared" si="18"/>
        <v>FPG</v>
      </c>
      <c r="B621">
        <f t="shared" si="19"/>
        <v>3814</v>
      </c>
      <c r="E621" s="1" t="s">
        <v>238</v>
      </c>
      <c r="F621" s="1">
        <v>313</v>
      </c>
      <c r="G621" s="1">
        <v>14</v>
      </c>
      <c r="H621" s="1">
        <v>18.5</v>
      </c>
    </row>
    <row r="622" spans="1:10" x14ac:dyDescent="0.3">
      <c r="A622" t="str">
        <f t="shared" si="18"/>
        <v>FPG</v>
      </c>
      <c r="B622">
        <f t="shared" si="19"/>
        <v>6714</v>
      </c>
      <c r="E622" s="1" t="s">
        <v>118</v>
      </c>
      <c r="F622" s="1">
        <v>320</v>
      </c>
      <c r="G622" s="1">
        <v>15</v>
      </c>
      <c r="H622" s="1">
        <v>18.7</v>
      </c>
    </row>
    <row r="623" spans="1:10" x14ac:dyDescent="0.3">
      <c r="A623" t="str">
        <f t="shared" si="18"/>
        <v>FPG</v>
      </c>
      <c r="B623">
        <f t="shared" si="19"/>
        <v>3714</v>
      </c>
      <c r="E623" s="1" t="s">
        <v>115</v>
      </c>
      <c r="F623" s="1">
        <v>328</v>
      </c>
      <c r="G623" s="1">
        <v>16</v>
      </c>
      <c r="H623" s="1">
        <v>18.899999999999999</v>
      </c>
    </row>
    <row r="624" spans="1:10" x14ac:dyDescent="0.3">
      <c r="A624" t="str">
        <f t="shared" si="18"/>
        <v>FTA</v>
      </c>
      <c r="B624">
        <f t="shared" si="19"/>
        <v>14116</v>
      </c>
      <c r="D624" s="1" t="s">
        <v>547</v>
      </c>
      <c r="E624" s="1" t="s">
        <v>299</v>
      </c>
      <c r="F624" s="1">
        <v>3</v>
      </c>
      <c r="G624" s="1">
        <v>1</v>
      </c>
      <c r="H624" s="1">
        <v>27</v>
      </c>
      <c r="I624" s="1" t="s">
        <v>157</v>
      </c>
      <c r="J624" s="1">
        <v>28.5</v>
      </c>
    </row>
    <row r="625" spans="1:8" x14ac:dyDescent="0.3">
      <c r="A625" t="str">
        <f t="shared" si="18"/>
        <v>FTA</v>
      </c>
      <c r="B625">
        <f t="shared" si="19"/>
        <v>5816</v>
      </c>
      <c r="E625" s="1" t="s">
        <v>139</v>
      </c>
      <c r="F625" s="1">
        <v>6</v>
      </c>
      <c r="G625" s="1">
        <v>1</v>
      </c>
      <c r="H625" s="1">
        <v>25.7</v>
      </c>
    </row>
    <row r="626" spans="1:8" x14ac:dyDescent="0.3">
      <c r="A626" t="str">
        <f t="shared" si="18"/>
        <v>FTA</v>
      </c>
      <c r="B626">
        <f t="shared" si="19"/>
        <v>3716</v>
      </c>
      <c r="E626" s="1" t="s">
        <v>115</v>
      </c>
      <c r="F626" s="1">
        <v>9</v>
      </c>
      <c r="G626" s="1">
        <v>2</v>
      </c>
      <c r="H626" s="1">
        <v>25.2</v>
      </c>
    </row>
    <row r="627" spans="1:8" x14ac:dyDescent="0.3">
      <c r="A627" t="str">
        <f t="shared" si="18"/>
        <v>FTA</v>
      </c>
      <c r="B627">
        <f t="shared" si="19"/>
        <v>3616</v>
      </c>
      <c r="E627" s="1" t="s">
        <v>129</v>
      </c>
      <c r="F627" s="1">
        <v>11</v>
      </c>
      <c r="G627" s="1">
        <v>3</v>
      </c>
      <c r="H627" s="1">
        <v>24.9</v>
      </c>
    </row>
    <row r="628" spans="1:8" x14ac:dyDescent="0.3">
      <c r="A628" t="str">
        <f t="shared" si="18"/>
        <v>FTA</v>
      </c>
      <c r="B628">
        <f t="shared" si="19"/>
        <v>6616</v>
      </c>
      <c r="E628" s="1" t="s">
        <v>247</v>
      </c>
      <c r="F628" s="1">
        <v>20</v>
      </c>
      <c r="G628" s="1">
        <v>3</v>
      </c>
      <c r="H628" s="1">
        <v>23.3</v>
      </c>
    </row>
    <row r="629" spans="1:8" x14ac:dyDescent="0.3">
      <c r="A629" t="str">
        <f t="shared" si="18"/>
        <v>FTA</v>
      </c>
      <c r="B629">
        <f t="shared" si="19"/>
        <v>4716</v>
      </c>
      <c r="E629" s="1" t="s">
        <v>107</v>
      </c>
      <c r="F629" s="1">
        <v>24</v>
      </c>
      <c r="G629" s="1">
        <v>1</v>
      </c>
      <c r="H629" s="1">
        <v>23.1</v>
      </c>
    </row>
    <row r="630" spans="1:8" x14ac:dyDescent="0.3">
      <c r="A630" t="str">
        <f t="shared" si="18"/>
        <v>FTA</v>
      </c>
      <c r="B630">
        <f t="shared" si="19"/>
        <v>13916</v>
      </c>
      <c r="E630" s="1" t="s">
        <v>297</v>
      </c>
      <c r="F630" s="1">
        <v>27</v>
      </c>
      <c r="G630" s="1">
        <v>5</v>
      </c>
      <c r="H630" s="1">
        <v>22.7</v>
      </c>
    </row>
    <row r="631" spans="1:8" x14ac:dyDescent="0.3">
      <c r="A631" t="str">
        <f t="shared" si="18"/>
        <v>FTA</v>
      </c>
      <c r="B631">
        <f t="shared" si="19"/>
        <v>916</v>
      </c>
      <c r="E631" s="1" t="s">
        <v>90</v>
      </c>
      <c r="F631" s="1">
        <v>32</v>
      </c>
      <c r="G631" s="1">
        <v>1</v>
      </c>
      <c r="H631" s="1">
        <v>22.4</v>
      </c>
    </row>
    <row r="632" spans="1:8" x14ac:dyDescent="0.3">
      <c r="A632" t="str">
        <f t="shared" si="18"/>
        <v>FTA</v>
      </c>
      <c r="B632">
        <f t="shared" si="19"/>
        <v>15116</v>
      </c>
      <c r="E632" s="1" t="s">
        <v>464</v>
      </c>
      <c r="F632" s="1">
        <v>34</v>
      </c>
      <c r="G632" s="1">
        <v>2</v>
      </c>
      <c r="H632" s="1">
        <v>22.3</v>
      </c>
    </row>
    <row r="633" spans="1:8" x14ac:dyDescent="0.3">
      <c r="A633" t="str">
        <f t="shared" si="18"/>
        <v>FTA</v>
      </c>
      <c r="B633">
        <f t="shared" si="19"/>
        <v>3816</v>
      </c>
      <c r="E633" s="1" t="s">
        <v>238</v>
      </c>
      <c r="F633" s="1">
        <v>36</v>
      </c>
      <c r="G633" s="1">
        <v>6</v>
      </c>
      <c r="H633" s="1">
        <v>22.2</v>
      </c>
    </row>
    <row r="634" spans="1:8" x14ac:dyDescent="0.3">
      <c r="A634" t="str">
        <f t="shared" si="18"/>
        <v>FTA</v>
      </c>
      <c r="B634">
        <f t="shared" si="19"/>
        <v>616</v>
      </c>
      <c r="E634" s="1" t="s">
        <v>100</v>
      </c>
      <c r="F634" s="1">
        <v>39</v>
      </c>
      <c r="G634" s="1">
        <v>3</v>
      </c>
      <c r="H634" s="1">
        <v>22</v>
      </c>
    </row>
    <row r="635" spans="1:8" x14ac:dyDescent="0.3">
      <c r="A635" t="str">
        <f t="shared" si="18"/>
        <v>FTA</v>
      </c>
      <c r="B635">
        <f t="shared" si="19"/>
        <v>2916</v>
      </c>
      <c r="E635" s="1" t="s">
        <v>96</v>
      </c>
      <c r="F635" s="1">
        <v>40</v>
      </c>
      <c r="G635" s="1">
        <v>4</v>
      </c>
      <c r="H635" s="1">
        <v>22</v>
      </c>
    </row>
    <row r="636" spans="1:8" x14ac:dyDescent="0.3">
      <c r="A636" t="str">
        <f t="shared" si="18"/>
        <v>FTA</v>
      </c>
      <c r="B636">
        <f t="shared" si="19"/>
        <v>4316</v>
      </c>
      <c r="E636" s="1" t="s">
        <v>125</v>
      </c>
      <c r="F636" s="1">
        <v>42</v>
      </c>
      <c r="G636" s="1">
        <v>2</v>
      </c>
      <c r="H636" s="1">
        <v>21.9</v>
      </c>
    </row>
    <row r="637" spans="1:8" x14ac:dyDescent="0.3">
      <c r="A637" t="str">
        <f t="shared" si="18"/>
        <v>FTA</v>
      </c>
      <c r="B637">
        <f t="shared" si="19"/>
        <v>5716</v>
      </c>
      <c r="E637" s="1" t="s">
        <v>120</v>
      </c>
      <c r="F637" s="1">
        <v>48</v>
      </c>
      <c r="G637" s="1">
        <v>7</v>
      </c>
      <c r="H637" s="1">
        <v>21.9</v>
      </c>
    </row>
    <row r="638" spans="1:8" x14ac:dyDescent="0.3">
      <c r="A638" t="str">
        <f t="shared" si="18"/>
        <v>FTA</v>
      </c>
      <c r="B638">
        <f t="shared" si="19"/>
        <v>15716</v>
      </c>
      <c r="E638" s="1" t="s">
        <v>469</v>
      </c>
      <c r="F638" s="1">
        <v>51</v>
      </c>
      <c r="G638" s="1">
        <v>1</v>
      </c>
      <c r="H638" s="1">
        <v>21.8</v>
      </c>
    </row>
    <row r="639" spans="1:8" x14ac:dyDescent="0.3">
      <c r="A639" t="str">
        <f t="shared" si="18"/>
        <v>FTA</v>
      </c>
      <c r="B639">
        <f t="shared" si="19"/>
        <v>2016</v>
      </c>
      <c r="E639" s="1" t="s">
        <v>328</v>
      </c>
      <c r="F639" s="1">
        <v>53</v>
      </c>
      <c r="G639" s="1">
        <v>4</v>
      </c>
      <c r="H639" s="1">
        <v>21.7</v>
      </c>
    </row>
    <row r="640" spans="1:8" x14ac:dyDescent="0.3">
      <c r="A640" t="str">
        <f t="shared" si="18"/>
        <v>FTA</v>
      </c>
      <c r="B640">
        <f t="shared" si="19"/>
        <v>6716</v>
      </c>
      <c r="E640" s="1" t="s">
        <v>118</v>
      </c>
      <c r="F640" s="1">
        <v>53</v>
      </c>
      <c r="G640" s="1">
        <v>8</v>
      </c>
      <c r="H640" s="1">
        <v>21.7</v>
      </c>
    </row>
    <row r="641" spans="1:8" x14ac:dyDescent="0.3">
      <c r="A641" t="str">
        <f t="shared" si="18"/>
        <v>FTA</v>
      </c>
      <c r="B641">
        <f t="shared" si="19"/>
        <v>5516</v>
      </c>
      <c r="E641" s="1" t="s">
        <v>86</v>
      </c>
      <c r="F641" s="1">
        <v>57</v>
      </c>
      <c r="G641" s="1">
        <v>9</v>
      </c>
      <c r="H641" s="1">
        <v>21.6</v>
      </c>
    </row>
    <row r="642" spans="1:8" x14ac:dyDescent="0.3">
      <c r="A642" t="str">
        <f t="shared" ref="A642:A705" si="20">IF(NOT(D642=""),INDEX(statAbbr,MATCH(D642,statOfficial,0),1),A641)</f>
        <v>FTA</v>
      </c>
      <c r="B642">
        <f t="shared" ref="B642:B705" si="21">INDEX(statID,MATCH(A642,statAbbr,0),1)+INDEX(teamID,MATCH(E642,teamRawName,0))</f>
        <v>1416</v>
      </c>
      <c r="E642" s="1" t="s">
        <v>102</v>
      </c>
      <c r="F642" s="1">
        <v>60</v>
      </c>
      <c r="G642" s="1">
        <v>3</v>
      </c>
      <c r="H642" s="1">
        <v>21.4</v>
      </c>
    </row>
    <row r="643" spans="1:8" x14ac:dyDescent="0.3">
      <c r="A643" t="str">
        <f t="shared" si="20"/>
        <v>FTA</v>
      </c>
      <c r="B643">
        <f t="shared" si="21"/>
        <v>10616</v>
      </c>
      <c r="E643" s="1" t="s">
        <v>161</v>
      </c>
      <c r="F643" s="1">
        <v>63</v>
      </c>
      <c r="G643" s="1">
        <v>6</v>
      </c>
      <c r="H643" s="1">
        <v>21.3</v>
      </c>
    </row>
    <row r="644" spans="1:8" x14ac:dyDescent="0.3">
      <c r="A644" t="str">
        <f t="shared" si="20"/>
        <v>FTA</v>
      </c>
      <c r="B644">
        <f t="shared" si="21"/>
        <v>9516</v>
      </c>
      <c r="E644" s="1" t="s">
        <v>85</v>
      </c>
      <c r="F644" s="1">
        <v>67</v>
      </c>
      <c r="G644" s="1">
        <v>2</v>
      </c>
      <c r="H644" s="1">
        <v>21.3</v>
      </c>
    </row>
    <row r="645" spans="1:8" x14ac:dyDescent="0.3">
      <c r="A645" t="str">
        <f t="shared" si="20"/>
        <v>FTA</v>
      </c>
      <c r="B645">
        <f t="shared" si="21"/>
        <v>316</v>
      </c>
      <c r="E645" s="1" t="s">
        <v>215</v>
      </c>
      <c r="F645" s="1">
        <v>75</v>
      </c>
      <c r="G645" s="1">
        <v>10</v>
      </c>
      <c r="H645" s="1">
        <v>21.1</v>
      </c>
    </row>
    <row r="646" spans="1:8" x14ac:dyDescent="0.3">
      <c r="A646" t="str">
        <f t="shared" si="20"/>
        <v>FTA</v>
      </c>
      <c r="B646">
        <f t="shared" si="21"/>
        <v>4916</v>
      </c>
      <c r="E646" s="1" t="s">
        <v>108</v>
      </c>
      <c r="F646" s="1">
        <v>82</v>
      </c>
      <c r="G646" s="1">
        <v>4</v>
      </c>
      <c r="H646" s="1">
        <v>20.9</v>
      </c>
    </row>
    <row r="647" spans="1:8" x14ac:dyDescent="0.3">
      <c r="A647" t="str">
        <f t="shared" si="20"/>
        <v>FTA</v>
      </c>
      <c r="B647">
        <f t="shared" si="21"/>
        <v>4516</v>
      </c>
      <c r="E647" s="1" t="s">
        <v>84</v>
      </c>
      <c r="F647" s="1">
        <v>84</v>
      </c>
      <c r="G647" s="1">
        <v>11</v>
      </c>
      <c r="H647" s="1">
        <v>20.9</v>
      </c>
    </row>
    <row r="648" spans="1:8" x14ac:dyDescent="0.3">
      <c r="A648" t="str">
        <f t="shared" si="20"/>
        <v>FTA</v>
      </c>
      <c r="B648">
        <f t="shared" si="21"/>
        <v>7416</v>
      </c>
      <c r="E648" s="1" t="s">
        <v>251</v>
      </c>
      <c r="F648" s="1">
        <v>85</v>
      </c>
      <c r="G648" s="1">
        <v>1</v>
      </c>
      <c r="H648" s="1">
        <v>20.9</v>
      </c>
    </row>
    <row r="649" spans="1:8" x14ac:dyDescent="0.3">
      <c r="A649" t="str">
        <f t="shared" si="20"/>
        <v>FTA</v>
      </c>
      <c r="B649">
        <f t="shared" si="21"/>
        <v>8116</v>
      </c>
      <c r="E649" s="1" t="s">
        <v>256</v>
      </c>
      <c r="F649" s="1">
        <v>86</v>
      </c>
      <c r="G649" s="1">
        <v>12</v>
      </c>
      <c r="H649" s="1">
        <v>20.9</v>
      </c>
    </row>
    <row r="650" spans="1:8" x14ac:dyDescent="0.3">
      <c r="A650" t="str">
        <f t="shared" si="20"/>
        <v>FTA</v>
      </c>
      <c r="B650">
        <f t="shared" si="21"/>
        <v>7616</v>
      </c>
      <c r="E650" s="1" t="s">
        <v>253</v>
      </c>
      <c r="F650" s="1">
        <v>88</v>
      </c>
      <c r="G650" s="1">
        <v>6</v>
      </c>
      <c r="H650" s="1">
        <v>20.9</v>
      </c>
    </row>
    <row r="651" spans="1:8" x14ac:dyDescent="0.3">
      <c r="A651" t="str">
        <f t="shared" si="20"/>
        <v>FTA</v>
      </c>
      <c r="B651">
        <f t="shared" si="21"/>
        <v>14416</v>
      </c>
      <c r="E651" s="1" t="s">
        <v>302</v>
      </c>
      <c r="F651" s="1">
        <v>98</v>
      </c>
      <c r="G651" s="1">
        <v>13</v>
      </c>
      <c r="H651" s="1">
        <v>20.6</v>
      </c>
    </row>
    <row r="652" spans="1:8" x14ac:dyDescent="0.3">
      <c r="A652" t="str">
        <f t="shared" si="20"/>
        <v>FTA</v>
      </c>
      <c r="B652">
        <f t="shared" si="21"/>
        <v>18316</v>
      </c>
      <c r="E652" s="1" t="s">
        <v>423</v>
      </c>
      <c r="F652" s="1">
        <v>103</v>
      </c>
      <c r="G652" s="1">
        <v>1</v>
      </c>
      <c r="H652" s="1">
        <v>20.6</v>
      </c>
    </row>
    <row r="653" spans="1:8" x14ac:dyDescent="0.3">
      <c r="A653" t="str">
        <f t="shared" si="20"/>
        <v>FTA</v>
      </c>
      <c r="B653">
        <f t="shared" si="21"/>
        <v>11116</v>
      </c>
      <c r="E653" s="1" t="s">
        <v>277</v>
      </c>
      <c r="F653" s="1">
        <v>109</v>
      </c>
      <c r="G653" s="1">
        <v>8</v>
      </c>
      <c r="H653" s="1">
        <v>20.3</v>
      </c>
    </row>
    <row r="654" spans="1:8" x14ac:dyDescent="0.3">
      <c r="A654" t="str">
        <f t="shared" si="20"/>
        <v>FTA</v>
      </c>
      <c r="B654">
        <f t="shared" si="21"/>
        <v>4216</v>
      </c>
      <c r="E654" s="1" t="s">
        <v>123</v>
      </c>
      <c r="F654" s="1">
        <v>119</v>
      </c>
      <c r="G654" s="1">
        <v>9</v>
      </c>
      <c r="H654" s="1">
        <v>20.2</v>
      </c>
    </row>
    <row r="655" spans="1:8" x14ac:dyDescent="0.3">
      <c r="A655" t="str">
        <f t="shared" si="20"/>
        <v>FTA</v>
      </c>
      <c r="B655">
        <f t="shared" si="21"/>
        <v>13116</v>
      </c>
      <c r="E655" s="1" t="s">
        <v>289</v>
      </c>
      <c r="F655" s="1">
        <v>122</v>
      </c>
      <c r="G655" s="1">
        <v>6</v>
      </c>
      <c r="H655" s="1">
        <v>20.100000000000001</v>
      </c>
    </row>
    <row r="656" spans="1:8" x14ac:dyDescent="0.3">
      <c r="A656" t="str">
        <f t="shared" si="20"/>
        <v>FTA</v>
      </c>
      <c r="B656">
        <f t="shared" si="21"/>
        <v>216</v>
      </c>
      <c r="E656" s="1" t="s">
        <v>98</v>
      </c>
      <c r="F656" s="1">
        <v>122</v>
      </c>
      <c r="G656" s="1">
        <v>3</v>
      </c>
      <c r="H656" s="1">
        <v>20.100000000000001</v>
      </c>
    </row>
    <row r="657" spans="1:8" x14ac:dyDescent="0.3">
      <c r="A657" t="str">
        <f t="shared" si="20"/>
        <v>FTA</v>
      </c>
      <c r="B657">
        <f t="shared" si="21"/>
        <v>3516</v>
      </c>
      <c r="E657" s="1" t="s">
        <v>87</v>
      </c>
      <c r="F657" s="1">
        <v>130</v>
      </c>
      <c r="G657" s="1">
        <v>14</v>
      </c>
      <c r="H657" s="1">
        <v>20</v>
      </c>
    </row>
    <row r="658" spans="1:8" x14ac:dyDescent="0.3">
      <c r="A658" t="str">
        <f t="shared" si="20"/>
        <v>FTA</v>
      </c>
      <c r="B658">
        <f t="shared" si="21"/>
        <v>9316</v>
      </c>
      <c r="E658" s="1" t="s">
        <v>357</v>
      </c>
      <c r="F658" s="1">
        <v>133</v>
      </c>
      <c r="G658" s="1">
        <v>3</v>
      </c>
      <c r="H658" s="1">
        <v>19.899999999999999</v>
      </c>
    </row>
    <row r="659" spans="1:8" x14ac:dyDescent="0.3">
      <c r="A659" t="str">
        <f t="shared" si="20"/>
        <v>FTA</v>
      </c>
      <c r="B659">
        <f t="shared" si="21"/>
        <v>1616</v>
      </c>
      <c r="E659" s="1" t="s">
        <v>137</v>
      </c>
      <c r="F659" s="1">
        <v>135</v>
      </c>
      <c r="G659" s="1">
        <v>15</v>
      </c>
      <c r="H659" s="1">
        <v>19.899999999999999</v>
      </c>
    </row>
    <row r="660" spans="1:8" x14ac:dyDescent="0.3">
      <c r="A660" t="str">
        <f t="shared" si="20"/>
        <v>FTA</v>
      </c>
      <c r="B660">
        <f t="shared" si="21"/>
        <v>18516</v>
      </c>
      <c r="E660" s="1" t="s">
        <v>420</v>
      </c>
      <c r="F660" s="1">
        <v>149</v>
      </c>
      <c r="G660" s="1">
        <v>4</v>
      </c>
      <c r="H660" s="1">
        <v>19.7</v>
      </c>
    </row>
    <row r="661" spans="1:8" x14ac:dyDescent="0.3">
      <c r="A661" t="str">
        <f t="shared" si="20"/>
        <v>FTA</v>
      </c>
      <c r="B661">
        <f t="shared" si="21"/>
        <v>18416</v>
      </c>
      <c r="E661" s="1" t="s">
        <v>417</v>
      </c>
      <c r="F661" s="1">
        <v>158</v>
      </c>
      <c r="G661" s="1">
        <v>1</v>
      </c>
      <c r="H661" s="1">
        <v>19.5</v>
      </c>
    </row>
    <row r="662" spans="1:8" x14ac:dyDescent="0.3">
      <c r="A662" t="str">
        <f t="shared" si="20"/>
        <v>FTA</v>
      </c>
      <c r="B662">
        <f t="shared" si="21"/>
        <v>3016</v>
      </c>
      <c r="E662" s="1" t="s">
        <v>89</v>
      </c>
      <c r="F662" s="1">
        <v>159</v>
      </c>
      <c r="G662" s="1">
        <v>13</v>
      </c>
      <c r="H662" s="1">
        <v>19.5</v>
      </c>
    </row>
    <row r="663" spans="1:8" x14ac:dyDescent="0.3">
      <c r="A663" t="str">
        <f t="shared" si="20"/>
        <v>FTA</v>
      </c>
      <c r="B663">
        <f t="shared" si="21"/>
        <v>6916</v>
      </c>
      <c r="E663" s="1" t="s">
        <v>114</v>
      </c>
      <c r="F663" s="1">
        <v>164</v>
      </c>
      <c r="G663" s="1">
        <v>14</v>
      </c>
      <c r="H663" s="1">
        <v>19.399999999999999</v>
      </c>
    </row>
    <row r="664" spans="1:8" x14ac:dyDescent="0.3">
      <c r="A664" t="str">
        <f t="shared" si="20"/>
        <v>FTA</v>
      </c>
      <c r="B664">
        <f t="shared" si="21"/>
        <v>4416</v>
      </c>
      <c r="E664" s="1" t="s">
        <v>83</v>
      </c>
      <c r="F664" s="1">
        <v>167</v>
      </c>
      <c r="G664" s="1">
        <v>3</v>
      </c>
      <c r="H664" s="1">
        <v>19.399999999999999</v>
      </c>
    </row>
    <row r="665" spans="1:8" x14ac:dyDescent="0.3">
      <c r="A665" t="str">
        <f t="shared" si="20"/>
        <v>FTA</v>
      </c>
      <c r="B665">
        <f t="shared" si="21"/>
        <v>14916</v>
      </c>
      <c r="E665" s="1" t="s">
        <v>307</v>
      </c>
      <c r="F665" s="1">
        <v>168</v>
      </c>
      <c r="G665" s="1">
        <v>2</v>
      </c>
      <c r="H665" s="1">
        <v>19.3</v>
      </c>
    </row>
    <row r="666" spans="1:8" x14ac:dyDescent="0.3">
      <c r="A666" t="str">
        <f t="shared" si="20"/>
        <v>FTA</v>
      </c>
      <c r="B666">
        <f t="shared" si="21"/>
        <v>5416</v>
      </c>
      <c r="E666" s="1" t="s">
        <v>94</v>
      </c>
      <c r="F666" s="1">
        <v>170</v>
      </c>
      <c r="G666" s="1">
        <v>9</v>
      </c>
      <c r="H666" s="1">
        <v>19.3</v>
      </c>
    </row>
    <row r="667" spans="1:8" x14ac:dyDescent="0.3">
      <c r="A667" t="str">
        <f t="shared" si="20"/>
        <v>FTA</v>
      </c>
      <c r="B667">
        <f t="shared" si="21"/>
        <v>15416</v>
      </c>
      <c r="E667" s="1" t="s">
        <v>494</v>
      </c>
      <c r="F667" s="1">
        <v>172</v>
      </c>
      <c r="G667" s="1">
        <v>5</v>
      </c>
      <c r="H667" s="1">
        <v>19.3</v>
      </c>
    </row>
    <row r="668" spans="1:8" x14ac:dyDescent="0.3">
      <c r="A668" t="str">
        <f t="shared" si="20"/>
        <v>FTA</v>
      </c>
      <c r="B668">
        <f t="shared" si="21"/>
        <v>11716</v>
      </c>
      <c r="E668" s="1" t="s">
        <v>280</v>
      </c>
      <c r="F668" s="1">
        <v>173</v>
      </c>
      <c r="G668" s="1">
        <v>3</v>
      </c>
      <c r="H668" s="1">
        <v>19.3</v>
      </c>
    </row>
    <row r="669" spans="1:8" x14ac:dyDescent="0.3">
      <c r="A669" t="str">
        <f t="shared" si="20"/>
        <v>FTA</v>
      </c>
      <c r="B669">
        <f t="shared" si="21"/>
        <v>12216</v>
      </c>
      <c r="E669" s="1" t="s">
        <v>284</v>
      </c>
      <c r="F669" s="1">
        <v>180</v>
      </c>
      <c r="G669" s="1">
        <v>7</v>
      </c>
      <c r="H669" s="1">
        <v>19.100000000000001</v>
      </c>
    </row>
    <row r="670" spans="1:8" x14ac:dyDescent="0.3">
      <c r="A670" t="str">
        <f t="shared" si="20"/>
        <v>FTA</v>
      </c>
      <c r="B670">
        <f t="shared" si="21"/>
        <v>12516</v>
      </c>
      <c r="E670" s="1" t="s">
        <v>95</v>
      </c>
      <c r="F670" s="1">
        <v>185</v>
      </c>
      <c r="G670" s="1">
        <v>1</v>
      </c>
      <c r="H670" s="1">
        <v>19.100000000000001</v>
      </c>
    </row>
    <row r="671" spans="1:8" x14ac:dyDescent="0.3">
      <c r="A671" t="str">
        <f t="shared" si="20"/>
        <v>FTA</v>
      </c>
      <c r="B671">
        <f t="shared" si="21"/>
        <v>15016</v>
      </c>
      <c r="E671" s="1" t="s">
        <v>463</v>
      </c>
      <c r="F671" s="1">
        <v>197</v>
      </c>
      <c r="G671" s="1">
        <v>8</v>
      </c>
      <c r="H671" s="1">
        <v>18.899999999999999</v>
      </c>
    </row>
    <row r="672" spans="1:8" x14ac:dyDescent="0.3">
      <c r="A672" t="str">
        <f t="shared" si="20"/>
        <v>FTA</v>
      </c>
      <c r="B672">
        <f t="shared" si="21"/>
        <v>9016</v>
      </c>
      <c r="E672" s="1" t="s">
        <v>261</v>
      </c>
      <c r="F672" s="1">
        <v>206</v>
      </c>
      <c r="G672" s="1">
        <v>15</v>
      </c>
      <c r="H672" s="1">
        <v>18.600000000000001</v>
      </c>
    </row>
    <row r="673" spans="1:8" x14ac:dyDescent="0.3">
      <c r="A673" t="str">
        <f t="shared" si="20"/>
        <v>FTA</v>
      </c>
      <c r="B673">
        <f t="shared" si="21"/>
        <v>16216</v>
      </c>
      <c r="E673" s="1" t="s">
        <v>497</v>
      </c>
      <c r="F673" s="1">
        <v>217</v>
      </c>
      <c r="G673" s="1">
        <v>8</v>
      </c>
      <c r="H673" s="1">
        <v>18.5</v>
      </c>
    </row>
    <row r="674" spans="1:8" x14ac:dyDescent="0.3">
      <c r="A674" t="str">
        <f t="shared" si="20"/>
        <v>FTA</v>
      </c>
      <c r="B674">
        <f t="shared" si="21"/>
        <v>2516</v>
      </c>
      <c r="E674" s="1" t="s">
        <v>92</v>
      </c>
      <c r="F674" s="1">
        <v>222</v>
      </c>
      <c r="G674" s="1">
        <v>8</v>
      </c>
      <c r="H674" s="1">
        <v>18.399999999999999</v>
      </c>
    </row>
    <row r="675" spans="1:8" x14ac:dyDescent="0.3">
      <c r="A675" t="str">
        <f t="shared" si="20"/>
        <v>FTA</v>
      </c>
      <c r="B675">
        <f t="shared" si="21"/>
        <v>3216</v>
      </c>
      <c r="E675" s="1" t="s">
        <v>127</v>
      </c>
      <c r="F675" s="1">
        <v>227</v>
      </c>
      <c r="G675" s="1">
        <v>9</v>
      </c>
      <c r="H675" s="1">
        <v>18.3</v>
      </c>
    </row>
    <row r="676" spans="1:8" x14ac:dyDescent="0.3">
      <c r="A676" t="str">
        <f t="shared" si="20"/>
        <v>FTA</v>
      </c>
      <c r="B676">
        <f t="shared" si="21"/>
        <v>2716</v>
      </c>
      <c r="E676" s="1" t="s">
        <v>7</v>
      </c>
      <c r="F676" s="1">
        <v>228</v>
      </c>
      <c r="G676" s="1">
        <v>10</v>
      </c>
      <c r="H676" s="1">
        <v>18.3</v>
      </c>
    </row>
    <row r="677" spans="1:8" x14ac:dyDescent="0.3">
      <c r="A677" t="str">
        <f t="shared" si="20"/>
        <v>FTA</v>
      </c>
      <c r="B677">
        <f t="shared" si="21"/>
        <v>1216</v>
      </c>
      <c r="E677" s="1" t="s">
        <v>130</v>
      </c>
      <c r="F677" s="1">
        <v>230</v>
      </c>
      <c r="G677" s="1">
        <v>7</v>
      </c>
      <c r="H677" s="1">
        <v>18.2</v>
      </c>
    </row>
    <row r="678" spans="1:8" x14ac:dyDescent="0.3">
      <c r="A678" t="str">
        <f t="shared" si="20"/>
        <v>FTA</v>
      </c>
      <c r="B678">
        <f t="shared" si="21"/>
        <v>7216</v>
      </c>
      <c r="E678" s="1" t="s">
        <v>116</v>
      </c>
      <c r="F678" s="1">
        <v>239</v>
      </c>
      <c r="G678" s="1">
        <v>11</v>
      </c>
      <c r="H678" s="1">
        <v>17.899999999999999</v>
      </c>
    </row>
    <row r="679" spans="1:8" x14ac:dyDescent="0.3">
      <c r="A679" t="str">
        <f t="shared" si="20"/>
        <v>FTA</v>
      </c>
      <c r="B679">
        <f t="shared" si="21"/>
        <v>15816</v>
      </c>
      <c r="E679" s="1" t="s">
        <v>470</v>
      </c>
      <c r="F679" s="1">
        <v>243</v>
      </c>
      <c r="G679" s="1">
        <v>7</v>
      </c>
      <c r="H679" s="1">
        <v>17.899999999999999</v>
      </c>
    </row>
    <row r="680" spans="1:8" x14ac:dyDescent="0.3">
      <c r="A680" t="str">
        <f t="shared" si="20"/>
        <v>FTA</v>
      </c>
      <c r="B680">
        <f t="shared" si="21"/>
        <v>8316</v>
      </c>
      <c r="E680" s="1" t="s">
        <v>257</v>
      </c>
      <c r="F680" s="1">
        <v>249</v>
      </c>
      <c r="G680" s="1">
        <v>3</v>
      </c>
      <c r="H680" s="1">
        <v>17.7</v>
      </c>
    </row>
    <row r="681" spans="1:8" x14ac:dyDescent="0.3">
      <c r="A681" t="str">
        <f t="shared" si="20"/>
        <v>FTA</v>
      </c>
      <c r="B681">
        <f t="shared" si="21"/>
        <v>2316</v>
      </c>
      <c r="E681" s="1" t="s">
        <v>79</v>
      </c>
      <c r="F681" s="1">
        <v>250</v>
      </c>
      <c r="G681" s="1">
        <v>5</v>
      </c>
      <c r="H681" s="1">
        <v>17.7</v>
      </c>
    </row>
    <row r="682" spans="1:8" x14ac:dyDescent="0.3">
      <c r="A682" t="str">
        <f t="shared" si="20"/>
        <v>FTA</v>
      </c>
      <c r="B682">
        <f t="shared" si="21"/>
        <v>1316</v>
      </c>
      <c r="E682" s="1" t="s">
        <v>82</v>
      </c>
      <c r="F682" s="1">
        <v>259</v>
      </c>
      <c r="G682" s="1">
        <v>10</v>
      </c>
      <c r="H682" s="1">
        <v>17.5</v>
      </c>
    </row>
    <row r="683" spans="1:8" x14ac:dyDescent="0.3">
      <c r="A683" t="str">
        <f t="shared" si="20"/>
        <v>FTA</v>
      </c>
      <c r="B683">
        <f t="shared" si="21"/>
        <v>16116</v>
      </c>
      <c r="E683" s="1" t="s">
        <v>473</v>
      </c>
      <c r="F683" s="1">
        <v>263</v>
      </c>
      <c r="G683" s="1">
        <v>5</v>
      </c>
      <c r="H683" s="1">
        <v>17.399999999999999</v>
      </c>
    </row>
    <row r="684" spans="1:8" x14ac:dyDescent="0.3">
      <c r="A684" t="str">
        <f t="shared" si="20"/>
        <v>FTA</v>
      </c>
      <c r="B684">
        <f t="shared" si="21"/>
        <v>8216</v>
      </c>
      <c r="E684" s="1" t="s">
        <v>131</v>
      </c>
      <c r="F684" s="1">
        <v>296</v>
      </c>
      <c r="G684" s="1">
        <v>11</v>
      </c>
      <c r="H684" s="1">
        <v>16.899999999999999</v>
      </c>
    </row>
    <row r="685" spans="1:8" x14ac:dyDescent="0.3">
      <c r="A685" t="str">
        <f t="shared" si="20"/>
        <v>FTA</v>
      </c>
      <c r="B685">
        <f t="shared" si="21"/>
        <v>4016</v>
      </c>
      <c r="E685" s="1" t="s">
        <v>105</v>
      </c>
      <c r="F685" s="1">
        <v>298</v>
      </c>
      <c r="G685" s="1">
        <v>16</v>
      </c>
      <c r="H685" s="1">
        <v>16.8</v>
      </c>
    </row>
    <row r="686" spans="1:8" x14ac:dyDescent="0.3">
      <c r="A686" t="str">
        <f t="shared" si="20"/>
        <v>FTA</v>
      </c>
      <c r="B686">
        <f t="shared" si="21"/>
        <v>2816</v>
      </c>
      <c r="E686" s="1" t="s">
        <v>106</v>
      </c>
      <c r="F686" s="1">
        <v>316</v>
      </c>
      <c r="G686" s="1">
        <v>13</v>
      </c>
      <c r="H686" s="1">
        <v>16.2</v>
      </c>
    </row>
    <row r="687" spans="1:8" x14ac:dyDescent="0.3">
      <c r="A687" t="str">
        <f t="shared" si="20"/>
        <v>FTA</v>
      </c>
      <c r="B687">
        <f t="shared" si="21"/>
        <v>3116</v>
      </c>
      <c r="E687" s="1" t="s">
        <v>93</v>
      </c>
      <c r="F687" s="1">
        <v>317</v>
      </c>
      <c r="G687" s="1">
        <v>8</v>
      </c>
      <c r="H687" s="1">
        <v>16.2</v>
      </c>
    </row>
    <row r="688" spans="1:8" x14ac:dyDescent="0.3">
      <c r="A688" t="str">
        <f t="shared" si="20"/>
        <v>FTA</v>
      </c>
      <c r="B688">
        <f t="shared" si="21"/>
        <v>3316</v>
      </c>
      <c r="E688" s="1" t="s">
        <v>91</v>
      </c>
      <c r="F688" s="1">
        <v>319</v>
      </c>
      <c r="G688" s="1">
        <v>9</v>
      </c>
      <c r="H688" s="1">
        <v>16.2</v>
      </c>
    </row>
    <row r="689" spans="1:10" x14ac:dyDescent="0.3">
      <c r="A689" t="str">
        <f t="shared" si="20"/>
        <v>FTA</v>
      </c>
      <c r="B689">
        <f t="shared" si="21"/>
        <v>15616</v>
      </c>
      <c r="E689" s="1" t="s">
        <v>468</v>
      </c>
      <c r="F689" s="1">
        <v>320</v>
      </c>
      <c r="G689" s="1">
        <v>7</v>
      </c>
      <c r="H689" s="1">
        <v>16.2</v>
      </c>
    </row>
    <row r="690" spans="1:10" x14ac:dyDescent="0.3">
      <c r="A690" t="str">
        <f t="shared" si="20"/>
        <v>FTA</v>
      </c>
      <c r="B690">
        <f t="shared" si="21"/>
        <v>5116</v>
      </c>
      <c r="E690" s="1" t="s">
        <v>240</v>
      </c>
      <c r="F690" s="1">
        <v>323</v>
      </c>
      <c r="G690" s="1">
        <v>10</v>
      </c>
      <c r="H690" s="1">
        <v>16.100000000000001</v>
      </c>
    </row>
    <row r="691" spans="1:10" x14ac:dyDescent="0.3">
      <c r="A691" t="str">
        <f t="shared" si="20"/>
        <v>FTA</v>
      </c>
      <c r="B691">
        <f t="shared" si="21"/>
        <v>3916</v>
      </c>
      <c r="E691" s="1" t="s">
        <v>88</v>
      </c>
      <c r="F691" s="1">
        <v>338</v>
      </c>
      <c r="G691" s="1">
        <v>14</v>
      </c>
      <c r="H691" s="1">
        <v>15</v>
      </c>
    </row>
    <row r="692" spans="1:10" x14ac:dyDescent="0.3">
      <c r="A692" t="str">
        <f t="shared" si="20"/>
        <v>FTA</v>
      </c>
      <c r="B692">
        <f t="shared" si="21"/>
        <v>15916</v>
      </c>
      <c r="E692" s="1" t="s">
        <v>495</v>
      </c>
      <c r="F692" s="1">
        <v>351</v>
      </c>
      <c r="G692" s="1">
        <v>6</v>
      </c>
      <c r="H692" s="1">
        <v>13.4</v>
      </c>
    </row>
    <row r="693" spans="1:10" x14ac:dyDescent="0.3">
      <c r="A693" t="str">
        <f t="shared" si="20"/>
        <v>FT%</v>
      </c>
      <c r="B693">
        <f t="shared" si="21"/>
        <v>4215</v>
      </c>
      <c r="D693" s="1" t="s">
        <v>546</v>
      </c>
      <c r="E693" s="1" t="s">
        <v>123</v>
      </c>
      <c r="F693" s="1">
        <v>1</v>
      </c>
      <c r="G693" s="1">
        <v>1</v>
      </c>
      <c r="H693" s="1">
        <v>82.6</v>
      </c>
      <c r="I693" s="1" t="s">
        <v>123</v>
      </c>
      <c r="J693" s="1">
        <v>82.6</v>
      </c>
    </row>
    <row r="694" spans="1:10" x14ac:dyDescent="0.3">
      <c r="A694" t="str">
        <f t="shared" si="20"/>
        <v>FT%</v>
      </c>
      <c r="B694">
        <f t="shared" si="21"/>
        <v>4415</v>
      </c>
      <c r="E694" s="1" t="s">
        <v>83</v>
      </c>
      <c r="F694" s="1">
        <v>2</v>
      </c>
      <c r="G694" s="1">
        <v>1</v>
      </c>
      <c r="H694" s="1">
        <v>80.400000000000006</v>
      </c>
    </row>
    <row r="695" spans="1:10" x14ac:dyDescent="0.3">
      <c r="A695" t="str">
        <f t="shared" si="20"/>
        <v>FT%</v>
      </c>
      <c r="B695">
        <f t="shared" si="21"/>
        <v>3815</v>
      </c>
      <c r="E695" s="1" t="s">
        <v>238</v>
      </c>
      <c r="F695" s="1">
        <v>4</v>
      </c>
      <c r="G695" s="1">
        <v>1</v>
      </c>
      <c r="H695" s="1">
        <v>79.5</v>
      </c>
    </row>
    <row r="696" spans="1:10" x14ac:dyDescent="0.3">
      <c r="A696" t="str">
        <f t="shared" si="20"/>
        <v>FT%</v>
      </c>
      <c r="B696">
        <f t="shared" si="21"/>
        <v>8315</v>
      </c>
      <c r="E696" s="1" t="s">
        <v>257</v>
      </c>
      <c r="F696" s="1">
        <v>6</v>
      </c>
      <c r="G696" s="1">
        <v>1</v>
      </c>
      <c r="H696" s="1">
        <v>79.400000000000006</v>
      </c>
    </row>
    <row r="697" spans="1:10" x14ac:dyDescent="0.3">
      <c r="A697" t="str">
        <f t="shared" si="20"/>
        <v>FT%</v>
      </c>
      <c r="B697">
        <f t="shared" si="21"/>
        <v>2315</v>
      </c>
      <c r="E697" s="1" t="s">
        <v>79</v>
      </c>
      <c r="F697" s="1">
        <v>9</v>
      </c>
      <c r="G697" s="1">
        <v>2</v>
      </c>
      <c r="H697" s="1">
        <v>79.099999999999994</v>
      </c>
    </row>
    <row r="698" spans="1:10" x14ac:dyDescent="0.3">
      <c r="A698" t="str">
        <f t="shared" si="20"/>
        <v>FT%</v>
      </c>
      <c r="B698">
        <f t="shared" si="21"/>
        <v>5415</v>
      </c>
      <c r="E698" s="1" t="s">
        <v>94</v>
      </c>
      <c r="F698" s="1">
        <v>10</v>
      </c>
      <c r="G698" s="1">
        <v>1</v>
      </c>
      <c r="H698" s="1">
        <v>79</v>
      </c>
    </row>
    <row r="699" spans="1:10" x14ac:dyDescent="0.3">
      <c r="A699" t="str">
        <f t="shared" si="20"/>
        <v>FT%</v>
      </c>
      <c r="B699">
        <f t="shared" si="21"/>
        <v>7415</v>
      </c>
      <c r="E699" s="1" t="s">
        <v>251</v>
      </c>
      <c r="F699" s="1">
        <v>12</v>
      </c>
      <c r="G699" s="1">
        <v>3</v>
      </c>
      <c r="H699" s="1">
        <v>78.900000000000006</v>
      </c>
    </row>
    <row r="700" spans="1:10" x14ac:dyDescent="0.3">
      <c r="A700" t="str">
        <f t="shared" si="20"/>
        <v>FT%</v>
      </c>
      <c r="B700">
        <f t="shared" si="21"/>
        <v>2915</v>
      </c>
      <c r="E700" s="1" t="s">
        <v>96</v>
      </c>
      <c r="F700" s="1">
        <v>18</v>
      </c>
      <c r="G700" s="1">
        <v>1</v>
      </c>
      <c r="H700" s="1">
        <v>78</v>
      </c>
    </row>
    <row r="701" spans="1:10" x14ac:dyDescent="0.3">
      <c r="A701" t="str">
        <f t="shared" si="20"/>
        <v>FT%</v>
      </c>
      <c r="B701">
        <f t="shared" si="21"/>
        <v>915</v>
      </c>
      <c r="E701" s="1" t="s">
        <v>90</v>
      </c>
      <c r="F701" s="1">
        <v>20</v>
      </c>
      <c r="G701" s="1">
        <v>2</v>
      </c>
      <c r="H701" s="1">
        <v>77.900000000000006</v>
      </c>
    </row>
    <row r="702" spans="1:10" x14ac:dyDescent="0.3">
      <c r="A702" t="str">
        <f t="shared" si="20"/>
        <v>FT%</v>
      </c>
      <c r="B702">
        <f t="shared" si="21"/>
        <v>1315</v>
      </c>
      <c r="E702" s="1" t="s">
        <v>82</v>
      </c>
      <c r="F702" s="1">
        <v>25</v>
      </c>
      <c r="G702" s="1">
        <v>2</v>
      </c>
      <c r="H702" s="1">
        <v>77.5</v>
      </c>
    </row>
    <row r="703" spans="1:10" x14ac:dyDescent="0.3">
      <c r="A703" t="str">
        <f t="shared" si="20"/>
        <v>FT%</v>
      </c>
      <c r="B703">
        <f t="shared" si="21"/>
        <v>4015</v>
      </c>
      <c r="E703" s="1" t="s">
        <v>105</v>
      </c>
      <c r="F703" s="1">
        <v>31</v>
      </c>
      <c r="G703" s="1">
        <v>4</v>
      </c>
      <c r="H703" s="1">
        <v>76.8</v>
      </c>
    </row>
    <row r="704" spans="1:10" x14ac:dyDescent="0.3">
      <c r="A704" t="str">
        <f t="shared" si="20"/>
        <v>FT%</v>
      </c>
      <c r="B704">
        <f t="shared" si="21"/>
        <v>4315</v>
      </c>
      <c r="E704" s="1" t="s">
        <v>125</v>
      </c>
      <c r="F704" s="1">
        <v>42</v>
      </c>
      <c r="G704" s="1">
        <v>3</v>
      </c>
      <c r="H704" s="1">
        <v>76.2</v>
      </c>
    </row>
    <row r="705" spans="1:8" x14ac:dyDescent="0.3">
      <c r="A705" t="str">
        <f t="shared" si="20"/>
        <v>FT%</v>
      </c>
      <c r="B705">
        <f t="shared" si="21"/>
        <v>10615</v>
      </c>
      <c r="E705" s="1" t="s">
        <v>161</v>
      </c>
      <c r="F705" s="1">
        <v>43</v>
      </c>
      <c r="G705" s="1">
        <v>2</v>
      </c>
      <c r="H705" s="1">
        <v>76.099999999999994</v>
      </c>
    </row>
    <row r="706" spans="1:8" x14ac:dyDescent="0.3">
      <c r="A706" t="str">
        <f t="shared" ref="A706:A769" si="22">IF(NOT(D706=""),INDEX(statAbbr,MATCH(D706,statOfficial,0),1),A705)</f>
        <v>FT%</v>
      </c>
      <c r="B706">
        <f t="shared" ref="B706:B769" si="23">INDEX(statID,MATCH(A706,statAbbr,0),1)+INDEX(teamID,MATCH(E706,teamRawName,0))</f>
        <v>7215</v>
      </c>
      <c r="E706" s="1" t="s">
        <v>116</v>
      </c>
      <c r="F706" s="1">
        <v>46</v>
      </c>
      <c r="G706" s="1">
        <v>3</v>
      </c>
      <c r="H706" s="1">
        <v>76</v>
      </c>
    </row>
    <row r="707" spans="1:8" x14ac:dyDescent="0.3">
      <c r="A707" t="str">
        <f t="shared" si="22"/>
        <v>FT%</v>
      </c>
      <c r="B707">
        <f t="shared" si="23"/>
        <v>6915</v>
      </c>
      <c r="E707" s="1" t="s">
        <v>114</v>
      </c>
      <c r="F707" s="1">
        <v>50</v>
      </c>
      <c r="G707" s="1">
        <v>4</v>
      </c>
      <c r="H707" s="1">
        <v>75.7</v>
      </c>
    </row>
    <row r="708" spans="1:8" x14ac:dyDescent="0.3">
      <c r="A708" t="str">
        <f t="shared" si="22"/>
        <v>FT%</v>
      </c>
      <c r="B708">
        <f t="shared" si="23"/>
        <v>2015</v>
      </c>
      <c r="E708" s="1" t="s">
        <v>328</v>
      </c>
      <c r="F708" s="1">
        <v>51</v>
      </c>
      <c r="G708" s="1">
        <v>1</v>
      </c>
      <c r="H708" s="1">
        <v>75.7</v>
      </c>
    </row>
    <row r="709" spans="1:8" x14ac:dyDescent="0.3">
      <c r="A709" t="str">
        <f t="shared" si="22"/>
        <v>FT%</v>
      </c>
      <c r="B709">
        <f t="shared" si="23"/>
        <v>15615</v>
      </c>
      <c r="E709" s="1" t="s">
        <v>468</v>
      </c>
      <c r="F709" s="1">
        <v>58</v>
      </c>
      <c r="G709" s="1">
        <v>1</v>
      </c>
      <c r="H709" s="1">
        <v>75.400000000000006</v>
      </c>
    </row>
    <row r="710" spans="1:8" x14ac:dyDescent="0.3">
      <c r="A710" t="str">
        <f t="shared" si="22"/>
        <v>FT%</v>
      </c>
      <c r="B710">
        <f t="shared" si="23"/>
        <v>8215</v>
      </c>
      <c r="E710" s="1" t="s">
        <v>131</v>
      </c>
      <c r="F710" s="1">
        <v>59</v>
      </c>
      <c r="G710" s="1">
        <v>2</v>
      </c>
      <c r="H710" s="1">
        <v>75.400000000000006</v>
      </c>
    </row>
    <row r="711" spans="1:8" x14ac:dyDescent="0.3">
      <c r="A711" t="str">
        <f t="shared" si="22"/>
        <v>FT%</v>
      </c>
      <c r="B711">
        <f t="shared" si="23"/>
        <v>615</v>
      </c>
      <c r="E711" s="1" t="s">
        <v>100</v>
      </c>
      <c r="F711" s="1">
        <v>61</v>
      </c>
      <c r="G711" s="1">
        <v>4</v>
      </c>
      <c r="H711" s="1">
        <v>75.3</v>
      </c>
    </row>
    <row r="712" spans="1:8" x14ac:dyDescent="0.3">
      <c r="A712" t="str">
        <f t="shared" si="22"/>
        <v>FT%</v>
      </c>
      <c r="B712">
        <f t="shared" si="23"/>
        <v>18515</v>
      </c>
      <c r="E712" s="1" t="s">
        <v>420</v>
      </c>
      <c r="F712" s="1">
        <v>63</v>
      </c>
      <c r="G712" s="1">
        <v>3</v>
      </c>
      <c r="H712" s="1">
        <v>75.3</v>
      </c>
    </row>
    <row r="713" spans="1:8" x14ac:dyDescent="0.3">
      <c r="A713" t="str">
        <f t="shared" si="22"/>
        <v>FT%</v>
      </c>
      <c r="B713">
        <f t="shared" si="23"/>
        <v>11115</v>
      </c>
      <c r="E713" s="1" t="s">
        <v>277</v>
      </c>
      <c r="F713" s="1">
        <v>69</v>
      </c>
      <c r="G713" s="1">
        <v>6</v>
      </c>
      <c r="H713" s="1">
        <v>75</v>
      </c>
    </row>
    <row r="714" spans="1:8" x14ac:dyDescent="0.3">
      <c r="A714" t="str">
        <f t="shared" si="22"/>
        <v>FT%</v>
      </c>
      <c r="B714">
        <f t="shared" si="23"/>
        <v>6715</v>
      </c>
      <c r="E714" s="1" t="s">
        <v>118</v>
      </c>
      <c r="F714" s="1">
        <v>80</v>
      </c>
      <c r="G714" s="1">
        <v>2</v>
      </c>
      <c r="H714" s="1">
        <v>74.900000000000006</v>
      </c>
    </row>
    <row r="715" spans="1:8" x14ac:dyDescent="0.3">
      <c r="A715" t="str">
        <f t="shared" si="22"/>
        <v>FT%</v>
      </c>
      <c r="B715">
        <f t="shared" si="23"/>
        <v>3215</v>
      </c>
      <c r="E715" s="1" t="s">
        <v>127</v>
      </c>
      <c r="F715" s="1">
        <v>84</v>
      </c>
      <c r="G715" s="1">
        <v>6</v>
      </c>
      <c r="H715" s="1">
        <v>74.7</v>
      </c>
    </row>
    <row r="716" spans="1:8" x14ac:dyDescent="0.3">
      <c r="A716" t="str">
        <f t="shared" si="22"/>
        <v>FT%</v>
      </c>
      <c r="B716">
        <f t="shared" si="23"/>
        <v>15015</v>
      </c>
      <c r="E716" s="1" t="s">
        <v>463</v>
      </c>
      <c r="F716" s="1">
        <v>86</v>
      </c>
      <c r="G716" s="1">
        <v>7</v>
      </c>
      <c r="H716" s="1">
        <v>74.599999999999994</v>
      </c>
    </row>
    <row r="717" spans="1:8" x14ac:dyDescent="0.3">
      <c r="A717" t="str">
        <f t="shared" si="22"/>
        <v>FT%</v>
      </c>
      <c r="B717">
        <f t="shared" si="23"/>
        <v>13115</v>
      </c>
      <c r="E717" s="1" t="s">
        <v>289</v>
      </c>
      <c r="F717" s="1">
        <v>90</v>
      </c>
      <c r="G717" s="1">
        <v>8</v>
      </c>
      <c r="H717" s="1">
        <v>74.599999999999994</v>
      </c>
    </row>
    <row r="718" spans="1:8" x14ac:dyDescent="0.3">
      <c r="A718" t="str">
        <f t="shared" si="22"/>
        <v>FT%</v>
      </c>
      <c r="B718">
        <f t="shared" si="23"/>
        <v>14415</v>
      </c>
      <c r="E718" s="1" t="s">
        <v>302</v>
      </c>
      <c r="F718" s="1">
        <v>91</v>
      </c>
      <c r="G718" s="1">
        <v>3</v>
      </c>
      <c r="H718" s="1">
        <v>74.599999999999994</v>
      </c>
    </row>
    <row r="719" spans="1:8" x14ac:dyDescent="0.3">
      <c r="A719" t="str">
        <f t="shared" si="22"/>
        <v>FT%</v>
      </c>
      <c r="B719">
        <f t="shared" si="23"/>
        <v>3515</v>
      </c>
      <c r="E719" s="1" t="s">
        <v>87</v>
      </c>
      <c r="F719" s="1">
        <v>96</v>
      </c>
      <c r="G719" s="1">
        <v>4</v>
      </c>
      <c r="H719" s="1">
        <v>74.5</v>
      </c>
    </row>
    <row r="720" spans="1:8" x14ac:dyDescent="0.3">
      <c r="A720" t="str">
        <f t="shared" si="22"/>
        <v>FT%</v>
      </c>
      <c r="B720">
        <f t="shared" si="23"/>
        <v>12215</v>
      </c>
      <c r="E720" s="1" t="s">
        <v>284</v>
      </c>
      <c r="F720" s="1">
        <v>97</v>
      </c>
      <c r="G720" s="1">
        <v>4</v>
      </c>
      <c r="H720" s="1">
        <v>74.3</v>
      </c>
    </row>
    <row r="721" spans="1:8" x14ac:dyDescent="0.3">
      <c r="A721" t="str">
        <f t="shared" si="22"/>
        <v>FT%</v>
      </c>
      <c r="B721">
        <f t="shared" si="23"/>
        <v>4915</v>
      </c>
      <c r="E721" s="1" t="s">
        <v>108</v>
      </c>
      <c r="F721" s="1">
        <v>107</v>
      </c>
      <c r="G721" s="1">
        <v>10</v>
      </c>
      <c r="H721" s="1">
        <v>74.099999999999994</v>
      </c>
    </row>
    <row r="722" spans="1:8" x14ac:dyDescent="0.3">
      <c r="A722" t="str">
        <f t="shared" si="22"/>
        <v>FT%</v>
      </c>
      <c r="B722">
        <f t="shared" si="23"/>
        <v>2815</v>
      </c>
      <c r="E722" s="1" t="s">
        <v>106</v>
      </c>
      <c r="F722" s="1">
        <v>112</v>
      </c>
      <c r="G722" s="1">
        <v>7</v>
      </c>
      <c r="H722" s="1">
        <v>74</v>
      </c>
    </row>
    <row r="723" spans="1:8" x14ac:dyDescent="0.3">
      <c r="A723" t="str">
        <f t="shared" si="22"/>
        <v>FT%</v>
      </c>
      <c r="B723">
        <f t="shared" si="23"/>
        <v>8115</v>
      </c>
      <c r="E723" s="1" t="s">
        <v>256</v>
      </c>
      <c r="F723" s="1">
        <v>113</v>
      </c>
      <c r="G723" s="1">
        <v>5</v>
      </c>
      <c r="H723" s="1">
        <v>73.900000000000006</v>
      </c>
    </row>
    <row r="724" spans="1:8" x14ac:dyDescent="0.3">
      <c r="A724" t="str">
        <f t="shared" si="22"/>
        <v>FT%</v>
      </c>
      <c r="B724">
        <f t="shared" si="23"/>
        <v>315</v>
      </c>
      <c r="E724" s="1" t="s">
        <v>215</v>
      </c>
      <c r="F724" s="1">
        <v>118</v>
      </c>
      <c r="G724" s="1">
        <v>6</v>
      </c>
      <c r="H724" s="1">
        <v>73.8</v>
      </c>
    </row>
    <row r="725" spans="1:8" x14ac:dyDescent="0.3">
      <c r="A725" t="str">
        <f t="shared" si="22"/>
        <v>FT%</v>
      </c>
      <c r="B725">
        <f t="shared" si="23"/>
        <v>16115</v>
      </c>
      <c r="E725" s="1" t="s">
        <v>473</v>
      </c>
      <c r="F725" s="1">
        <v>120</v>
      </c>
      <c r="G725" s="1">
        <v>7</v>
      </c>
      <c r="H725" s="1">
        <v>73.599999999999994</v>
      </c>
    </row>
    <row r="726" spans="1:8" x14ac:dyDescent="0.3">
      <c r="A726" t="str">
        <f t="shared" si="22"/>
        <v>FT%</v>
      </c>
      <c r="B726">
        <f t="shared" si="23"/>
        <v>11715</v>
      </c>
      <c r="E726" s="1" t="s">
        <v>280</v>
      </c>
      <c r="F726" s="1">
        <v>121</v>
      </c>
      <c r="G726" s="1">
        <v>4</v>
      </c>
      <c r="H726" s="1">
        <v>73.599999999999994</v>
      </c>
    </row>
    <row r="727" spans="1:8" x14ac:dyDescent="0.3">
      <c r="A727" t="str">
        <f t="shared" si="22"/>
        <v>FT%</v>
      </c>
      <c r="B727">
        <f t="shared" si="23"/>
        <v>3015</v>
      </c>
      <c r="E727" s="1" t="s">
        <v>89</v>
      </c>
      <c r="F727" s="1">
        <v>132</v>
      </c>
      <c r="G727" s="1">
        <v>11</v>
      </c>
      <c r="H727" s="1">
        <v>73.2</v>
      </c>
    </row>
    <row r="728" spans="1:8" x14ac:dyDescent="0.3">
      <c r="A728" t="str">
        <f t="shared" si="22"/>
        <v>FT%</v>
      </c>
      <c r="B728">
        <f t="shared" si="23"/>
        <v>5515</v>
      </c>
      <c r="E728" s="1" t="s">
        <v>86</v>
      </c>
      <c r="F728" s="1">
        <v>133</v>
      </c>
      <c r="G728" s="1">
        <v>7</v>
      </c>
      <c r="H728" s="1">
        <v>73.099999999999994</v>
      </c>
    </row>
    <row r="729" spans="1:8" x14ac:dyDescent="0.3">
      <c r="A729" t="str">
        <f t="shared" si="22"/>
        <v>FT%</v>
      </c>
      <c r="B729">
        <f t="shared" si="23"/>
        <v>5815</v>
      </c>
      <c r="E729" s="1" t="s">
        <v>139</v>
      </c>
      <c r="F729" s="1">
        <v>136</v>
      </c>
      <c r="G729" s="1">
        <v>3</v>
      </c>
      <c r="H729" s="1">
        <v>73.099999999999994</v>
      </c>
    </row>
    <row r="730" spans="1:8" x14ac:dyDescent="0.3">
      <c r="A730" t="str">
        <f t="shared" si="22"/>
        <v>FT%</v>
      </c>
      <c r="B730">
        <f t="shared" si="23"/>
        <v>14115</v>
      </c>
      <c r="E730" s="1" t="s">
        <v>299</v>
      </c>
      <c r="F730" s="1">
        <v>138</v>
      </c>
      <c r="G730" s="1">
        <v>8</v>
      </c>
      <c r="H730" s="1">
        <v>73</v>
      </c>
    </row>
    <row r="731" spans="1:8" x14ac:dyDescent="0.3">
      <c r="A731" t="str">
        <f t="shared" si="22"/>
        <v>FT%</v>
      </c>
      <c r="B731">
        <f t="shared" si="23"/>
        <v>12515</v>
      </c>
      <c r="E731" s="1" t="s">
        <v>95</v>
      </c>
      <c r="F731" s="1">
        <v>141</v>
      </c>
      <c r="G731" s="1">
        <v>5</v>
      </c>
      <c r="H731" s="1">
        <v>72.900000000000006</v>
      </c>
    </row>
    <row r="732" spans="1:8" x14ac:dyDescent="0.3">
      <c r="A732" t="str">
        <f t="shared" si="22"/>
        <v>FT%</v>
      </c>
      <c r="B732">
        <f t="shared" si="23"/>
        <v>5715</v>
      </c>
      <c r="E732" s="1" t="s">
        <v>120</v>
      </c>
      <c r="F732" s="1">
        <v>148</v>
      </c>
      <c r="G732" s="1">
        <v>9</v>
      </c>
      <c r="H732" s="1">
        <v>72.8</v>
      </c>
    </row>
    <row r="733" spans="1:8" x14ac:dyDescent="0.3">
      <c r="A733" t="str">
        <f t="shared" si="22"/>
        <v>FT%</v>
      </c>
      <c r="B733">
        <f t="shared" si="23"/>
        <v>7615</v>
      </c>
      <c r="E733" s="1" t="s">
        <v>253</v>
      </c>
      <c r="F733" s="1">
        <v>149</v>
      </c>
      <c r="G733" s="1">
        <v>12</v>
      </c>
      <c r="H733" s="1">
        <v>72.8</v>
      </c>
    </row>
    <row r="734" spans="1:8" x14ac:dyDescent="0.3">
      <c r="A734" t="str">
        <f t="shared" si="22"/>
        <v>FT%</v>
      </c>
      <c r="B734">
        <f t="shared" si="23"/>
        <v>3115</v>
      </c>
      <c r="E734" s="1" t="s">
        <v>93</v>
      </c>
      <c r="F734" s="1">
        <v>150</v>
      </c>
      <c r="G734" s="1">
        <v>5</v>
      </c>
      <c r="H734" s="1">
        <v>72.8</v>
      </c>
    </row>
    <row r="735" spans="1:8" x14ac:dyDescent="0.3">
      <c r="A735" t="str">
        <f t="shared" si="22"/>
        <v>FT%</v>
      </c>
      <c r="B735">
        <f t="shared" si="23"/>
        <v>4515</v>
      </c>
      <c r="E735" s="1" t="s">
        <v>84</v>
      </c>
      <c r="F735" s="1">
        <v>152</v>
      </c>
      <c r="G735" s="1">
        <v>10</v>
      </c>
      <c r="H735" s="1">
        <v>72.7</v>
      </c>
    </row>
    <row r="736" spans="1:8" x14ac:dyDescent="0.3">
      <c r="A736" t="str">
        <f t="shared" si="22"/>
        <v>FT%</v>
      </c>
      <c r="B736">
        <f t="shared" si="23"/>
        <v>15915</v>
      </c>
      <c r="E736" s="1" t="s">
        <v>495</v>
      </c>
      <c r="F736" s="1">
        <v>154</v>
      </c>
      <c r="G736" s="1">
        <v>2</v>
      </c>
      <c r="H736" s="1">
        <v>72.7</v>
      </c>
    </row>
    <row r="737" spans="1:8" x14ac:dyDescent="0.3">
      <c r="A737" t="str">
        <f t="shared" si="22"/>
        <v>FT%</v>
      </c>
      <c r="B737">
        <f t="shared" si="23"/>
        <v>15115</v>
      </c>
      <c r="E737" s="1" t="s">
        <v>464</v>
      </c>
      <c r="F737" s="1">
        <v>179</v>
      </c>
      <c r="G737" s="1">
        <v>7</v>
      </c>
      <c r="H737" s="1">
        <v>72.099999999999994</v>
      </c>
    </row>
    <row r="738" spans="1:8" x14ac:dyDescent="0.3">
      <c r="A738" t="str">
        <f t="shared" si="22"/>
        <v>FT%</v>
      </c>
      <c r="B738">
        <f t="shared" si="23"/>
        <v>3315</v>
      </c>
      <c r="E738" s="1" t="s">
        <v>91</v>
      </c>
      <c r="F738" s="1">
        <v>183</v>
      </c>
      <c r="G738" s="1">
        <v>6</v>
      </c>
      <c r="H738" s="1">
        <v>72</v>
      </c>
    </row>
    <row r="739" spans="1:8" x14ac:dyDescent="0.3">
      <c r="A739" t="str">
        <f t="shared" si="22"/>
        <v>FT%</v>
      </c>
      <c r="B739">
        <f t="shared" si="23"/>
        <v>3715</v>
      </c>
      <c r="E739" s="1" t="s">
        <v>115</v>
      </c>
      <c r="F739" s="1">
        <v>185</v>
      </c>
      <c r="G739" s="1">
        <v>11</v>
      </c>
      <c r="H739" s="1">
        <v>72</v>
      </c>
    </row>
    <row r="740" spans="1:8" x14ac:dyDescent="0.3">
      <c r="A740" t="str">
        <f t="shared" si="22"/>
        <v>FT%</v>
      </c>
      <c r="B740">
        <f t="shared" si="23"/>
        <v>15715</v>
      </c>
      <c r="E740" s="1" t="s">
        <v>469</v>
      </c>
      <c r="F740" s="1">
        <v>194</v>
      </c>
      <c r="G740" s="1">
        <v>5</v>
      </c>
      <c r="H740" s="1">
        <v>71.8</v>
      </c>
    </row>
    <row r="741" spans="1:8" x14ac:dyDescent="0.3">
      <c r="A741" t="str">
        <f t="shared" si="22"/>
        <v>FT%</v>
      </c>
      <c r="B741">
        <f t="shared" si="23"/>
        <v>13915</v>
      </c>
      <c r="E741" s="1" t="s">
        <v>297</v>
      </c>
      <c r="F741" s="1">
        <v>198</v>
      </c>
      <c r="G741" s="1">
        <v>12</v>
      </c>
      <c r="H741" s="1">
        <v>71.7</v>
      </c>
    </row>
    <row r="742" spans="1:8" x14ac:dyDescent="0.3">
      <c r="A742" t="str">
        <f t="shared" si="22"/>
        <v>FT%</v>
      </c>
      <c r="B742">
        <f t="shared" si="23"/>
        <v>3915</v>
      </c>
      <c r="E742" s="1" t="s">
        <v>88</v>
      </c>
      <c r="F742" s="1">
        <v>202</v>
      </c>
      <c r="G742" s="1">
        <v>11</v>
      </c>
      <c r="H742" s="1">
        <v>71.599999999999994</v>
      </c>
    </row>
    <row r="743" spans="1:8" x14ac:dyDescent="0.3">
      <c r="A743" t="str">
        <f t="shared" si="22"/>
        <v>FT%</v>
      </c>
      <c r="B743">
        <f t="shared" si="23"/>
        <v>14915</v>
      </c>
      <c r="E743" s="1" t="s">
        <v>307</v>
      </c>
      <c r="F743" s="1">
        <v>212</v>
      </c>
      <c r="G743" s="1">
        <v>6</v>
      </c>
      <c r="H743" s="1">
        <v>71.400000000000006</v>
      </c>
    </row>
    <row r="744" spans="1:8" x14ac:dyDescent="0.3">
      <c r="A744" t="str">
        <f t="shared" si="22"/>
        <v>FT%</v>
      </c>
      <c r="B744">
        <f t="shared" si="23"/>
        <v>2715</v>
      </c>
      <c r="E744" s="1" t="s">
        <v>7</v>
      </c>
      <c r="F744" s="1">
        <v>221</v>
      </c>
      <c r="G744" s="1">
        <v>12</v>
      </c>
      <c r="H744" s="1">
        <v>71.3</v>
      </c>
    </row>
    <row r="745" spans="1:8" x14ac:dyDescent="0.3">
      <c r="A745" t="str">
        <f t="shared" si="22"/>
        <v>FT%</v>
      </c>
      <c r="B745">
        <f t="shared" si="23"/>
        <v>18415</v>
      </c>
      <c r="E745" s="1" t="s">
        <v>417</v>
      </c>
      <c r="F745" s="1">
        <v>224</v>
      </c>
      <c r="G745" s="1">
        <v>4</v>
      </c>
      <c r="H745" s="1">
        <v>71.099999999999994</v>
      </c>
    </row>
    <row r="746" spans="1:8" x14ac:dyDescent="0.3">
      <c r="A746" t="str">
        <f t="shared" si="22"/>
        <v>FT%</v>
      </c>
      <c r="B746">
        <f t="shared" si="23"/>
        <v>9015</v>
      </c>
      <c r="E746" s="1" t="s">
        <v>261</v>
      </c>
      <c r="F746" s="1">
        <v>226</v>
      </c>
      <c r="G746" s="1">
        <v>14</v>
      </c>
      <c r="H746" s="1">
        <v>71</v>
      </c>
    </row>
    <row r="747" spans="1:8" x14ac:dyDescent="0.3">
      <c r="A747" t="str">
        <f t="shared" si="22"/>
        <v>FT%</v>
      </c>
      <c r="B747">
        <f t="shared" si="23"/>
        <v>1415</v>
      </c>
      <c r="E747" s="1" t="s">
        <v>102</v>
      </c>
      <c r="F747" s="1">
        <v>247</v>
      </c>
      <c r="G747" s="1">
        <v>6</v>
      </c>
      <c r="H747" s="1">
        <v>70.2</v>
      </c>
    </row>
    <row r="748" spans="1:8" x14ac:dyDescent="0.3">
      <c r="A748" t="str">
        <f t="shared" si="22"/>
        <v>FT%</v>
      </c>
      <c r="B748">
        <f t="shared" si="23"/>
        <v>6615</v>
      </c>
      <c r="E748" s="1" t="s">
        <v>247</v>
      </c>
      <c r="F748" s="1">
        <v>248</v>
      </c>
      <c r="G748" s="1">
        <v>10</v>
      </c>
      <c r="H748" s="1">
        <v>70.2</v>
      </c>
    </row>
    <row r="749" spans="1:8" x14ac:dyDescent="0.3">
      <c r="A749" t="str">
        <f t="shared" si="22"/>
        <v>FT%</v>
      </c>
      <c r="B749">
        <f t="shared" si="23"/>
        <v>1615</v>
      </c>
      <c r="E749" s="1" t="s">
        <v>137</v>
      </c>
      <c r="F749" s="1">
        <v>250</v>
      </c>
      <c r="G749" s="1">
        <v>15</v>
      </c>
      <c r="H749" s="1">
        <v>70.099999999999994</v>
      </c>
    </row>
    <row r="750" spans="1:8" x14ac:dyDescent="0.3">
      <c r="A750" t="str">
        <f t="shared" si="22"/>
        <v>FT%</v>
      </c>
      <c r="B750">
        <f t="shared" si="23"/>
        <v>9515</v>
      </c>
      <c r="E750" s="1" t="s">
        <v>85</v>
      </c>
      <c r="F750" s="1">
        <v>255</v>
      </c>
      <c r="G750" s="1">
        <v>8</v>
      </c>
      <c r="H750" s="1">
        <v>69.900000000000006</v>
      </c>
    </row>
    <row r="751" spans="1:8" x14ac:dyDescent="0.3">
      <c r="A751" t="str">
        <f t="shared" si="22"/>
        <v>FT%</v>
      </c>
      <c r="B751">
        <f t="shared" si="23"/>
        <v>215</v>
      </c>
      <c r="E751" s="1" t="s">
        <v>98</v>
      </c>
      <c r="F751" s="1">
        <v>259</v>
      </c>
      <c r="G751" s="1">
        <v>4</v>
      </c>
      <c r="H751" s="1">
        <v>69.7</v>
      </c>
    </row>
    <row r="752" spans="1:8" x14ac:dyDescent="0.3">
      <c r="A752" t="str">
        <f t="shared" si="22"/>
        <v>FT%</v>
      </c>
      <c r="B752">
        <f t="shared" si="23"/>
        <v>2515</v>
      </c>
      <c r="E752" s="1" t="s">
        <v>92</v>
      </c>
      <c r="F752" s="1">
        <v>267</v>
      </c>
      <c r="G752" s="1">
        <v>11</v>
      </c>
      <c r="H752" s="1">
        <v>69.5</v>
      </c>
    </row>
    <row r="753" spans="1:10" x14ac:dyDescent="0.3">
      <c r="A753" t="str">
        <f t="shared" si="22"/>
        <v>FT%</v>
      </c>
      <c r="B753">
        <f t="shared" si="23"/>
        <v>3615</v>
      </c>
      <c r="E753" s="1" t="s">
        <v>129</v>
      </c>
      <c r="F753" s="1">
        <v>275</v>
      </c>
      <c r="G753" s="1">
        <v>16</v>
      </c>
      <c r="H753" s="1">
        <v>69.2</v>
      </c>
    </row>
    <row r="754" spans="1:10" x14ac:dyDescent="0.3">
      <c r="A754" t="str">
        <f t="shared" si="22"/>
        <v>FT%</v>
      </c>
      <c r="B754">
        <f t="shared" si="23"/>
        <v>9315</v>
      </c>
      <c r="E754" s="1" t="s">
        <v>357</v>
      </c>
      <c r="F754" s="1">
        <v>279</v>
      </c>
      <c r="G754" s="1">
        <v>9</v>
      </c>
      <c r="H754" s="1">
        <v>69.099999999999994</v>
      </c>
    </row>
    <row r="755" spans="1:10" x14ac:dyDescent="0.3">
      <c r="A755" t="str">
        <f t="shared" si="22"/>
        <v>FT%</v>
      </c>
      <c r="B755">
        <f t="shared" si="23"/>
        <v>4715</v>
      </c>
      <c r="E755" s="1" t="s">
        <v>107</v>
      </c>
      <c r="F755" s="1">
        <v>282</v>
      </c>
      <c r="G755" s="1">
        <v>8</v>
      </c>
      <c r="H755" s="1">
        <v>68.900000000000006</v>
      </c>
    </row>
    <row r="756" spans="1:10" x14ac:dyDescent="0.3">
      <c r="A756" t="str">
        <f t="shared" si="22"/>
        <v>FT%</v>
      </c>
      <c r="B756">
        <f t="shared" si="23"/>
        <v>16215</v>
      </c>
      <c r="E756" s="1" t="s">
        <v>497</v>
      </c>
      <c r="F756" s="1">
        <v>293</v>
      </c>
      <c r="G756" s="1">
        <v>8</v>
      </c>
      <c r="H756" s="1">
        <v>68.599999999999994</v>
      </c>
    </row>
    <row r="757" spans="1:10" x14ac:dyDescent="0.3">
      <c r="A757" t="str">
        <f t="shared" si="22"/>
        <v>FT%</v>
      </c>
      <c r="B757">
        <f t="shared" si="23"/>
        <v>15415</v>
      </c>
      <c r="E757" s="1" t="s">
        <v>494</v>
      </c>
      <c r="F757" s="1">
        <v>317</v>
      </c>
      <c r="G757" s="1">
        <v>9</v>
      </c>
      <c r="H757" s="1">
        <v>67</v>
      </c>
    </row>
    <row r="758" spans="1:10" x14ac:dyDescent="0.3">
      <c r="A758" t="str">
        <f t="shared" si="22"/>
        <v>FT%</v>
      </c>
      <c r="B758">
        <f t="shared" si="23"/>
        <v>1215</v>
      </c>
      <c r="E758" s="1" t="s">
        <v>130</v>
      </c>
      <c r="F758" s="1">
        <v>330</v>
      </c>
      <c r="G758" s="1">
        <v>9</v>
      </c>
      <c r="H758" s="1">
        <v>66.400000000000006</v>
      </c>
    </row>
    <row r="759" spans="1:10" x14ac:dyDescent="0.3">
      <c r="A759" t="str">
        <f t="shared" si="22"/>
        <v>FT%</v>
      </c>
      <c r="B759">
        <f t="shared" si="23"/>
        <v>15815</v>
      </c>
      <c r="E759" s="1" t="s">
        <v>470</v>
      </c>
      <c r="F759" s="1">
        <v>338</v>
      </c>
      <c r="G759" s="1">
        <v>8</v>
      </c>
      <c r="H759" s="1">
        <v>66</v>
      </c>
    </row>
    <row r="760" spans="1:10" x14ac:dyDescent="0.3">
      <c r="A760" t="str">
        <f t="shared" si="22"/>
        <v>FT%</v>
      </c>
      <c r="B760">
        <f t="shared" si="23"/>
        <v>5115</v>
      </c>
      <c r="E760" s="1" t="s">
        <v>240</v>
      </c>
      <c r="F760" s="1">
        <v>340</v>
      </c>
      <c r="G760" s="1">
        <v>10</v>
      </c>
      <c r="H760" s="1">
        <v>65.8</v>
      </c>
    </row>
    <row r="761" spans="1:10" x14ac:dyDescent="0.3">
      <c r="A761" t="str">
        <f t="shared" si="22"/>
        <v>FT%</v>
      </c>
      <c r="B761">
        <f t="shared" si="23"/>
        <v>18315</v>
      </c>
      <c r="E761" s="1" t="s">
        <v>423</v>
      </c>
      <c r="F761" s="1">
        <v>352</v>
      </c>
      <c r="G761" s="1">
        <v>11</v>
      </c>
      <c r="H761" s="1">
        <v>63.1</v>
      </c>
    </row>
    <row r="762" spans="1:10" x14ac:dyDescent="0.3">
      <c r="A762" t="str">
        <f t="shared" si="22"/>
        <v>FTPG</v>
      </c>
      <c r="B762">
        <f t="shared" si="23"/>
        <v>14117</v>
      </c>
      <c r="D762" s="1" t="s">
        <v>548</v>
      </c>
      <c r="E762" s="1" t="s">
        <v>299</v>
      </c>
      <c r="F762" s="1">
        <v>2</v>
      </c>
      <c r="G762" s="1">
        <v>1</v>
      </c>
      <c r="H762" s="1">
        <v>19.7</v>
      </c>
      <c r="I762" s="1" t="s">
        <v>562</v>
      </c>
      <c r="J762" s="1">
        <v>20</v>
      </c>
    </row>
    <row r="763" spans="1:10" x14ac:dyDescent="0.3">
      <c r="A763" t="str">
        <f t="shared" si="22"/>
        <v>FTPG</v>
      </c>
      <c r="B763">
        <f t="shared" si="23"/>
        <v>5817</v>
      </c>
      <c r="E763" s="1" t="s">
        <v>139</v>
      </c>
      <c r="F763" s="1">
        <v>6</v>
      </c>
      <c r="G763" s="1">
        <v>1</v>
      </c>
      <c r="H763" s="1">
        <v>18.8</v>
      </c>
    </row>
    <row r="764" spans="1:10" x14ac:dyDescent="0.3">
      <c r="A764" t="str">
        <f t="shared" si="22"/>
        <v>FTPG</v>
      </c>
      <c r="B764">
        <f t="shared" si="23"/>
        <v>3717</v>
      </c>
      <c r="E764" s="1" t="s">
        <v>115</v>
      </c>
      <c r="F764" s="1">
        <v>7</v>
      </c>
      <c r="G764" s="1">
        <v>2</v>
      </c>
      <c r="H764" s="1">
        <v>18.100000000000001</v>
      </c>
    </row>
    <row r="765" spans="1:10" x14ac:dyDescent="0.3">
      <c r="A765" t="str">
        <f t="shared" si="22"/>
        <v>FTPG</v>
      </c>
      <c r="B765">
        <f t="shared" si="23"/>
        <v>3817</v>
      </c>
      <c r="E765" s="1" t="s">
        <v>238</v>
      </c>
      <c r="F765" s="1">
        <v>10</v>
      </c>
      <c r="G765" s="1">
        <v>3</v>
      </c>
      <c r="H765" s="1">
        <v>17.7</v>
      </c>
    </row>
    <row r="766" spans="1:10" x14ac:dyDescent="0.3">
      <c r="A766" t="str">
        <f t="shared" si="22"/>
        <v>FTPG</v>
      </c>
      <c r="B766">
        <f t="shared" si="23"/>
        <v>917</v>
      </c>
      <c r="E766" s="1" t="s">
        <v>90</v>
      </c>
      <c r="F766" s="1">
        <v>13</v>
      </c>
      <c r="G766" s="1">
        <v>1</v>
      </c>
      <c r="H766" s="1">
        <v>17.399999999999999</v>
      </c>
    </row>
    <row r="767" spans="1:10" x14ac:dyDescent="0.3">
      <c r="A767" t="str">
        <f t="shared" si="22"/>
        <v>FTPG</v>
      </c>
      <c r="B767">
        <f t="shared" si="23"/>
        <v>3617</v>
      </c>
      <c r="E767" s="1" t="s">
        <v>129</v>
      </c>
      <c r="F767" s="1">
        <v>15</v>
      </c>
      <c r="G767" s="1">
        <v>4</v>
      </c>
      <c r="H767" s="1">
        <v>17.2</v>
      </c>
    </row>
    <row r="768" spans="1:10" x14ac:dyDescent="0.3">
      <c r="A768" t="str">
        <f t="shared" si="22"/>
        <v>FTPG</v>
      </c>
      <c r="B768">
        <f t="shared" si="23"/>
        <v>2917</v>
      </c>
      <c r="E768" s="1" t="s">
        <v>96</v>
      </c>
      <c r="F768" s="1">
        <v>16</v>
      </c>
      <c r="G768" s="1">
        <v>2</v>
      </c>
      <c r="H768" s="1">
        <v>17.100000000000001</v>
      </c>
    </row>
    <row r="769" spans="1:8" x14ac:dyDescent="0.3">
      <c r="A769" t="str">
        <f t="shared" si="22"/>
        <v>FTPG</v>
      </c>
      <c r="B769">
        <f t="shared" si="23"/>
        <v>4317</v>
      </c>
      <c r="E769" s="1" t="s">
        <v>125</v>
      </c>
      <c r="F769" s="1">
        <v>22</v>
      </c>
      <c r="G769" s="1">
        <v>2</v>
      </c>
      <c r="H769" s="1">
        <v>16.7</v>
      </c>
    </row>
    <row r="770" spans="1:8" x14ac:dyDescent="0.3">
      <c r="A770" t="str">
        <f t="shared" ref="A770:A833" si="24">IF(NOT(D770=""),INDEX(statAbbr,MATCH(D770,statOfficial,0),1),A769)</f>
        <v>FTPG</v>
      </c>
      <c r="B770">
        <f t="shared" ref="B770:B833" si="25">INDEX(statID,MATCH(A770,statAbbr,0),1)+INDEX(teamID,MATCH(E770,teamRawName,0))</f>
        <v>4217</v>
      </c>
      <c r="E770" s="1" t="s">
        <v>123</v>
      </c>
      <c r="F770" s="1">
        <v>25</v>
      </c>
      <c r="G770" s="1">
        <v>3</v>
      </c>
      <c r="H770" s="1">
        <v>16.600000000000001</v>
      </c>
    </row>
    <row r="771" spans="1:8" x14ac:dyDescent="0.3">
      <c r="A771" t="str">
        <f t="shared" si="24"/>
        <v>FTPG</v>
      </c>
      <c r="B771">
        <f t="shared" si="25"/>
        <v>617</v>
      </c>
      <c r="E771" s="1" t="s">
        <v>100</v>
      </c>
      <c r="F771" s="1">
        <v>27</v>
      </c>
      <c r="G771" s="1">
        <v>4</v>
      </c>
      <c r="H771" s="1">
        <v>16.600000000000001</v>
      </c>
    </row>
    <row r="772" spans="1:8" x14ac:dyDescent="0.3">
      <c r="A772" t="str">
        <f t="shared" si="24"/>
        <v>FTPG</v>
      </c>
      <c r="B772">
        <f t="shared" si="25"/>
        <v>7417</v>
      </c>
      <c r="E772" s="1" t="s">
        <v>251</v>
      </c>
      <c r="F772" s="1">
        <v>28</v>
      </c>
      <c r="G772" s="1">
        <v>1</v>
      </c>
      <c r="H772" s="1">
        <v>16.5</v>
      </c>
    </row>
    <row r="773" spans="1:8" x14ac:dyDescent="0.3">
      <c r="A773" t="str">
        <f t="shared" si="24"/>
        <v>FTPG</v>
      </c>
      <c r="B773">
        <f t="shared" si="25"/>
        <v>2017</v>
      </c>
      <c r="E773" s="1" t="s">
        <v>328</v>
      </c>
      <c r="F773" s="1">
        <v>31</v>
      </c>
      <c r="G773" s="1">
        <v>2</v>
      </c>
      <c r="H773" s="1">
        <v>16.399999999999999</v>
      </c>
    </row>
    <row r="774" spans="1:8" x14ac:dyDescent="0.3">
      <c r="A774" t="str">
        <f t="shared" si="24"/>
        <v>FTPG</v>
      </c>
      <c r="B774">
        <f t="shared" si="25"/>
        <v>6617</v>
      </c>
      <c r="E774" s="1" t="s">
        <v>247</v>
      </c>
      <c r="F774" s="1">
        <v>34</v>
      </c>
      <c r="G774" s="1">
        <v>4</v>
      </c>
      <c r="H774" s="1">
        <v>16.399999999999999</v>
      </c>
    </row>
    <row r="775" spans="1:8" x14ac:dyDescent="0.3">
      <c r="A775" t="str">
        <f t="shared" si="24"/>
        <v>FTPG</v>
      </c>
      <c r="B775">
        <f t="shared" si="25"/>
        <v>13917</v>
      </c>
      <c r="E775" s="1" t="s">
        <v>297</v>
      </c>
      <c r="F775" s="1">
        <v>38</v>
      </c>
      <c r="G775" s="1">
        <v>6</v>
      </c>
      <c r="H775" s="1">
        <v>16.3</v>
      </c>
    </row>
    <row r="776" spans="1:8" x14ac:dyDescent="0.3">
      <c r="A776" t="str">
        <f t="shared" si="24"/>
        <v>FTPG</v>
      </c>
      <c r="B776">
        <f t="shared" si="25"/>
        <v>6717</v>
      </c>
      <c r="E776" s="1" t="s">
        <v>118</v>
      </c>
      <c r="F776" s="1">
        <v>39</v>
      </c>
      <c r="G776" s="1">
        <v>7</v>
      </c>
      <c r="H776" s="1">
        <v>16.3</v>
      </c>
    </row>
    <row r="777" spans="1:8" x14ac:dyDescent="0.3">
      <c r="A777" t="str">
        <f t="shared" si="24"/>
        <v>FTPG</v>
      </c>
      <c r="B777">
        <f t="shared" si="25"/>
        <v>10617</v>
      </c>
      <c r="E777" s="1" t="s">
        <v>161</v>
      </c>
      <c r="F777" s="1">
        <v>41</v>
      </c>
      <c r="G777" s="1">
        <v>5</v>
      </c>
      <c r="H777" s="1">
        <v>16.2</v>
      </c>
    </row>
    <row r="778" spans="1:8" x14ac:dyDescent="0.3">
      <c r="A778" t="str">
        <f t="shared" si="24"/>
        <v>FTPG</v>
      </c>
      <c r="B778">
        <f t="shared" si="25"/>
        <v>15117</v>
      </c>
      <c r="E778" s="1" t="s">
        <v>464</v>
      </c>
      <c r="F778" s="1">
        <v>46</v>
      </c>
      <c r="G778" s="1">
        <v>1</v>
      </c>
      <c r="H778" s="1">
        <v>16.100000000000001</v>
      </c>
    </row>
    <row r="779" spans="1:8" x14ac:dyDescent="0.3">
      <c r="A779" t="str">
        <f t="shared" si="24"/>
        <v>FTPG</v>
      </c>
      <c r="B779">
        <f t="shared" si="25"/>
        <v>5717</v>
      </c>
      <c r="E779" s="1" t="s">
        <v>120</v>
      </c>
      <c r="F779" s="1">
        <v>51</v>
      </c>
      <c r="G779" s="1">
        <v>8</v>
      </c>
      <c r="H779" s="1">
        <v>15.9</v>
      </c>
    </row>
    <row r="780" spans="1:8" x14ac:dyDescent="0.3">
      <c r="A780" t="str">
        <f t="shared" si="24"/>
        <v>FTPG</v>
      </c>
      <c r="B780">
        <f t="shared" si="25"/>
        <v>4717</v>
      </c>
      <c r="E780" s="1" t="s">
        <v>107</v>
      </c>
      <c r="F780" s="1">
        <v>53</v>
      </c>
      <c r="G780" s="1">
        <v>2</v>
      </c>
      <c r="H780" s="1">
        <v>15.9</v>
      </c>
    </row>
    <row r="781" spans="1:8" x14ac:dyDescent="0.3">
      <c r="A781" t="str">
        <f t="shared" si="24"/>
        <v>FTPG</v>
      </c>
      <c r="B781">
        <f t="shared" si="25"/>
        <v>5517</v>
      </c>
      <c r="E781" s="1" t="s">
        <v>86</v>
      </c>
      <c r="F781" s="1">
        <v>57</v>
      </c>
      <c r="G781" s="1">
        <v>9</v>
      </c>
      <c r="H781" s="1">
        <v>15.8</v>
      </c>
    </row>
    <row r="782" spans="1:8" x14ac:dyDescent="0.3">
      <c r="A782" t="str">
        <f t="shared" si="24"/>
        <v>FTPG</v>
      </c>
      <c r="B782">
        <f t="shared" si="25"/>
        <v>15717</v>
      </c>
      <c r="E782" s="1" t="s">
        <v>469</v>
      </c>
      <c r="F782" s="1">
        <v>64</v>
      </c>
      <c r="G782" s="1">
        <v>2</v>
      </c>
      <c r="H782" s="1">
        <v>15.6</v>
      </c>
    </row>
    <row r="783" spans="1:8" x14ac:dyDescent="0.3">
      <c r="A783" t="str">
        <f t="shared" si="24"/>
        <v>FTPG</v>
      </c>
      <c r="B783">
        <f t="shared" si="25"/>
        <v>317</v>
      </c>
      <c r="E783" s="1" t="s">
        <v>215</v>
      </c>
      <c r="F783" s="1">
        <v>69</v>
      </c>
      <c r="G783" s="1">
        <v>10</v>
      </c>
      <c r="H783" s="1">
        <v>15.6</v>
      </c>
    </row>
    <row r="784" spans="1:8" x14ac:dyDescent="0.3">
      <c r="A784" t="str">
        <f t="shared" si="24"/>
        <v>FTPG</v>
      </c>
      <c r="B784">
        <f t="shared" si="25"/>
        <v>4417</v>
      </c>
      <c r="E784" s="1" t="s">
        <v>83</v>
      </c>
      <c r="F784" s="1">
        <v>71</v>
      </c>
      <c r="G784" s="1">
        <v>2</v>
      </c>
      <c r="H784" s="1">
        <v>15.6</v>
      </c>
    </row>
    <row r="785" spans="1:8" x14ac:dyDescent="0.3">
      <c r="A785" t="str">
        <f t="shared" si="24"/>
        <v>FTPG</v>
      </c>
      <c r="B785">
        <f t="shared" si="25"/>
        <v>4917</v>
      </c>
      <c r="E785" s="1" t="s">
        <v>108</v>
      </c>
      <c r="F785" s="1">
        <v>74</v>
      </c>
      <c r="G785" s="1">
        <v>3</v>
      </c>
      <c r="H785" s="1">
        <v>15.5</v>
      </c>
    </row>
    <row r="786" spans="1:8" x14ac:dyDescent="0.3">
      <c r="A786" t="str">
        <f t="shared" si="24"/>
        <v>FTPG</v>
      </c>
      <c r="B786">
        <f t="shared" si="25"/>
        <v>8117</v>
      </c>
      <c r="E786" s="1" t="s">
        <v>256</v>
      </c>
      <c r="F786" s="1">
        <v>79</v>
      </c>
      <c r="G786" s="1">
        <v>11</v>
      </c>
      <c r="H786" s="1">
        <v>15.4</v>
      </c>
    </row>
    <row r="787" spans="1:8" x14ac:dyDescent="0.3">
      <c r="A787" t="str">
        <f t="shared" si="24"/>
        <v>FTPG</v>
      </c>
      <c r="B787">
        <f t="shared" si="25"/>
        <v>14417</v>
      </c>
      <c r="E787" s="1" t="s">
        <v>302</v>
      </c>
      <c r="F787" s="1">
        <v>84</v>
      </c>
      <c r="G787" s="1">
        <v>12</v>
      </c>
      <c r="H787" s="1">
        <v>15.4</v>
      </c>
    </row>
    <row r="788" spans="1:8" x14ac:dyDescent="0.3">
      <c r="A788" t="str">
        <f t="shared" si="24"/>
        <v>FTPG</v>
      </c>
      <c r="B788">
        <f t="shared" si="25"/>
        <v>11117</v>
      </c>
      <c r="E788" s="1" t="s">
        <v>277</v>
      </c>
      <c r="F788" s="1">
        <v>90</v>
      </c>
      <c r="G788" s="1">
        <v>8</v>
      </c>
      <c r="H788" s="1">
        <v>15.3</v>
      </c>
    </row>
    <row r="789" spans="1:8" x14ac:dyDescent="0.3">
      <c r="A789" t="str">
        <f t="shared" si="24"/>
        <v>FTPG</v>
      </c>
      <c r="B789">
        <f t="shared" si="25"/>
        <v>5417</v>
      </c>
      <c r="E789" s="1" t="s">
        <v>94</v>
      </c>
      <c r="F789" s="1">
        <v>91</v>
      </c>
      <c r="G789" s="1">
        <v>6</v>
      </c>
      <c r="H789" s="1">
        <v>15.2</v>
      </c>
    </row>
    <row r="790" spans="1:8" x14ac:dyDescent="0.3">
      <c r="A790" t="str">
        <f t="shared" si="24"/>
        <v>FTPG</v>
      </c>
      <c r="B790">
        <f t="shared" si="25"/>
        <v>4517</v>
      </c>
      <c r="E790" s="1" t="s">
        <v>84</v>
      </c>
      <c r="F790" s="1">
        <v>93</v>
      </c>
      <c r="G790" s="1">
        <v>13</v>
      </c>
      <c r="H790" s="1">
        <v>15.2</v>
      </c>
    </row>
    <row r="791" spans="1:8" x14ac:dyDescent="0.3">
      <c r="A791" t="str">
        <f t="shared" si="24"/>
        <v>FTPG</v>
      </c>
      <c r="B791">
        <f t="shared" si="25"/>
        <v>7617</v>
      </c>
      <c r="E791" s="1" t="s">
        <v>253</v>
      </c>
      <c r="F791" s="1">
        <v>95</v>
      </c>
      <c r="G791" s="1">
        <v>9</v>
      </c>
      <c r="H791" s="1">
        <v>15.2</v>
      </c>
    </row>
    <row r="792" spans="1:8" x14ac:dyDescent="0.3">
      <c r="A792" t="str">
        <f t="shared" si="24"/>
        <v>FTPG</v>
      </c>
      <c r="B792">
        <f t="shared" si="25"/>
        <v>13117</v>
      </c>
      <c r="E792" s="1" t="s">
        <v>289</v>
      </c>
      <c r="F792" s="1">
        <v>107</v>
      </c>
      <c r="G792" s="1">
        <v>8</v>
      </c>
      <c r="H792" s="1">
        <v>15</v>
      </c>
    </row>
    <row r="793" spans="1:8" x14ac:dyDescent="0.3">
      <c r="A793" t="str">
        <f t="shared" si="24"/>
        <v>FTPG</v>
      </c>
      <c r="B793">
        <f t="shared" si="25"/>
        <v>1417</v>
      </c>
      <c r="E793" s="1" t="s">
        <v>102</v>
      </c>
      <c r="F793" s="1">
        <v>107</v>
      </c>
      <c r="G793" s="1">
        <v>4</v>
      </c>
      <c r="H793" s="1">
        <v>15</v>
      </c>
    </row>
    <row r="794" spans="1:8" x14ac:dyDescent="0.3">
      <c r="A794" t="str">
        <f t="shared" si="24"/>
        <v>FTPG</v>
      </c>
      <c r="B794">
        <f t="shared" si="25"/>
        <v>3517</v>
      </c>
      <c r="E794" s="1" t="s">
        <v>87</v>
      </c>
      <c r="F794" s="1">
        <v>110</v>
      </c>
      <c r="G794" s="1">
        <v>14</v>
      </c>
      <c r="H794" s="1">
        <v>14.9</v>
      </c>
    </row>
    <row r="795" spans="1:8" x14ac:dyDescent="0.3">
      <c r="A795" t="str">
        <f t="shared" si="24"/>
        <v>FTPG</v>
      </c>
      <c r="B795">
        <f t="shared" si="25"/>
        <v>9517</v>
      </c>
      <c r="E795" s="1" t="s">
        <v>85</v>
      </c>
      <c r="F795" s="1">
        <v>112</v>
      </c>
      <c r="G795" s="1">
        <v>4</v>
      </c>
      <c r="H795" s="1">
        <v>14.9</v>
      </c>
    </row>
    <row r="796" spans="1:8" x14ac:dyDescent="0.3">
      <c r="A796" t="str">
        <f t="shared" si="24"/>
        <v>FTPG</v>
      </c>
      <c r="B796">
        <f t="shared" si="25"/>
        <v>18517</v>
      </c>
      <c r="E796" s="1" t="s">
        <v>420</v>
      </c>
      <c r="F796" s="1">
        <v>116</v>
      </c>
      <c r="G796" s="1">
        <v>3</v>
      </c>
      <c r="H796" s="1">
        <v>14.8</v>
      </c>
    </row>
    <row r="797" spans="1:8" x14ac:dyDescent="0.3">
      <c r="A797" t="str">
        <f t="shared" si="24"/>
        <v>FTPG</v>
      </c>
      <c r="B797">
        <f t="shared" si="25"/>
        <v>6917</v>
      </c>
      <c r="E797" s="1" t="s">
        <v>114</v>
      </c>
      <c r="F797" s="1">
        <v>119</v>
      </c>
      <c r="G797" s="1">
        <v>11</v>
      </c>
      <c r="H797" s="1">
        <v>14.7</v>
      </c>
    </row>
    <row r="798" spans="1:8" x14ac:dyDescent="0.3">
      <c r="A798" t="str">
        <f t="shared" si="24"/>
        <v>FTPG</v>
      </c>
      <c r="B798">
        <f t="shared" si="25"/>
        <v>3017</v>
      </c>
      <c r="E798" s="1" t="s">
        <v>89</v>
      </c>
      <c r="F798" s="1">
        <v>138</v>
      </c>
      <c r="G798" s="1">
        <v>12</v>
      </c>
      <c r="H798" s="1">
        <v>14.3</v>
      </c>
    </row>
    <row r="799" spans="1:8" x14ac:dyDescent="0.3">
      <c r="A799" t="str">
        <f t="shared" si="24"/>
        <v>FTPG</v>
      </c>
      <c r="B799">
        <f t="shared" si="25"/>
        <v>12217</v>
      </c>
      <c r="E799" s="1" t="s">
        <v>284</v>
      </c>
      <c r="F799" s="1">
        <v>141</v>
      </c>
      <c r="G799" s="1">
        <v>7</v>
      </c>
      <c r="H799" s="1">
        <v>14.2</v>
      </c>
    </row>
    <row r="800" spans="1:8" x14ac:dyDescent="0.3">
      <c r="A800" t="str">
        <f t="shared" si="24"/>
        <v>FTPG</v>
      </c>
      <c r="B800">
        <f t="shared" si="25"/>
        <v>11717</v>
      </c>
      <c r="E800" s="1" t="s">
        <v>280</v>
      </c>
      <c r="F800" s="1">
        <v>145</v>
      </c>
      <c r="G800" s="1">
        <v>3</v>
      </c>
      <c r="H800" s="1">
        <v>14.2</v>
      </c>
    </row>
    <row r="801" spans="1:8" x14ac:dyDescent="0.3">
      <c r="A801" t="str">
        <f t="shared" si="24"/>
        <v>FTPG</v>
      </c>
      <c r="B801">
        <f t="shared" si="25"/>
        <v>15017</v>
      </c>
      <c r="E801" s="1" t="s">
        <v>463</v>
      </c>
      <c r="F801" s="1">
        <v>148</v>
      </c>
      <c r="G801" s="1">
        <v>8</v>
      </c>
      <c r="H801" s="1">
        <v>14.1</v>
      </c>
    </row>
    <row r="802" spans="1:8" x14ac:dyDescent="0.3">
      <c r="A802" t="str">
        <f t="shared" si="24"/>
        <v>FTPG</v>
      </c>
      <c r="B802">
        <f t="shared" si="25"/>
        <v>8317</v>
      </c>
      <c r="E802" s="1" t="s">
        <v>257</v>
      </c>
      <c r="F802" s="1">
        <v>151</v>
      </c>
      <c r="G802" s="1">
        <v>2</v>
      </c>
      <c r="H802" s="1">
        <v>14.1</v>
      </c>
    </row>
    <row r="803" spans="1:8" x14ac:dyDescent="0.3">
      <c r="A803" t="str">
        <f t="shared" si="24"/>
        <v>FTPG</v>
      </c>
      <c r="B803">
        <f t="shared" si="25"/>
        <v>217</v>
      </c>
      <c r="E803" s="1" t="s">
        <v>98</v>
      </c>
      <c r="F803" s="1">
        <v>155</v>
      </c>
      <c r="G803" s="1">
        <v>2</v>
      </c>
      <c r="H803" s="1">
        <v>14</v>
      </c>
    </row>
    <row r="804" spans="1:8" x14ac:dyDescent="0.3">
      <c r="A804" t="str">
        <f t="shared" si="24"/>
        <v>FTPG</v>
      </c>
      <c r="B804">
        <f t="shared" si="25"/>
        <v>2317</v>
      </c>
      <c r="E804" s="1" t="s">
        <v>79</v>
      </c>
      <c r="F804" s="1">
        <v>160</v>
      </c>
      <c r="G804" s="1">
        <v>3</v>
      </c>
      <c r="H804" s="1">
        <v>14</v>
      </c>
    </row>
    <row r="805" spans="1:8" x14ac:dyDescent="0.3">
      <c r="A805" t="str">
        <f t="shared" si="24"/>
        <v>FTPG</v>
      </c>
      <c r="B805">
        <f t="shared" si="25"/>
        <v>1617</v>
      </c>
      <c r="E805" s="1" t="s">
        <v>137</v>
      </c>
      <c r="F805" s="1">
        <v>162</v>
      </c>
      <c r="G805" s="1">
        <v>15</v>
      </c>
      <c r="H805" s="1">
        <v>13.9</v>
      </c>
    </row>
    <row r="806" spans="1:8" x14ac:dyDescent="0.3">
      <c r="A806" t="str">
        <f t="shared" si="24"/>
        <v>FTPG</v>
      </c>
      <c r="B806">
        <f t="shared" si="25"/>
        <v>12517</v>
      </c>
      <c r="E806" s="1" t="s">
        <v>95</v>
      </c>
      <c r="F806" s="1">
        <v>163</v>
      </c>
      <c r="G806" s="1">
        <v>1</v>
      </c>
      <c r="H806" s="1">
        <v>13.9</v>
      </c>
    </row>
    <row r="807" spans="1:8" x14ac:dyDescent="0.3">
      <c r="A807" t="str">
        <f t="shared" si="24"/>
        <v>FTPG</v>
      </c>
      <c r="B807">
        <f t="shared" si="25"/>
        <v>18417</v>
      </c>
      <c r="E807" s="1" t="s">
        <v>417</v>
      </c>
      <c r="F807" s="1">
        <v>167</v>
      </c>
      <c r="G807" s="1">
        <v>1</v>
      </c>
      <c r="H807" s="1">
        <v>13.9</v>
      </c>
    </row>
    <row r="808" spans="1:8" x14ac:dyDescent="0.3">
      <c r="A808" t="str">
        <f t="shared" si="24"/>
        <v>FTPG</v>
      </c>
      <c r="B808">
        <f t="shared" si="25"/>
        <v>14917</v>
      </c>
      <c r="E808" s="1" t="s">
        <v>307</v>
      </c>
      <c r="F808" s="1">
        <v>177</v>
      </c>
      <c r="G808" s="1">
        <v>2</v>
      </c>
      <c r="H808" s="1">
        <v>13.8</v>
      </c>
    </row>
    <row r="809" spans="1:8" x14ac:dyDescent="0.3">
      <c r="A809" t="str">
        <f t="shared" si="24"/>
        <v>FTPG</v>
      </c>
      <c r="B809">
        <f t="shared" si="25"/>
        <v>9317</v>
      </c>
      <c r="E809" s="1" t="s">
        <v>357</v>
      </c>
      <c r="F809" s="1">
        <v>179</v>
      </c>
      <c r="G809" s="1">
        <v>4</v>
      </c>
      <c r="H809" s="1">
        <v>13.8</v>
      </c>
    </row>
    <row r="810" spans="1:8" x14ac:dyDescent="0.3">
      <c r="A810" t="str">
        <f t="shared" si="24"/>
        <v>FTPG</v>
      </c>
      <c r="B810">
        <f t="shared" si="25"/>
        <v>3217</v>
      </c>
      <c r="E810" s="1" t="s">
        <v>127</v>
      </c>
      <c r="F810" s="1">
        <v>185</v>
      </c>
      <c r="G810" s="1">
        <v>8</v>
      </c>
      <c r="H810" s="1">
        <v>13.7</v>
      </c>
    </row>
    <row r="811" spans="1:8" x14ac:dyDescent="0.3">
      <c r="A811" t="str">
        <f t="shared" si="24"/>
        <v>FTPG</v>
      </c>
      <c r="B811">
        <f t="shared" si="25"/>
        <v>7217</v>
      </c>
      <c r="E811" s="1" t="s">
        <v>116</v>
      </c>
      <c r="F811" s="1">
        <v>188</v>
      </c>
      <c r="G811" s="1">
        <v>9</v>
      </c>
      <c r="H811" s="1">
        <v>13.6</v>
      </c>
    </row>
    <row r="812" spans="1:8" x14ac:dyDescent="0.3">
      <c r="A812" t="str">
        <f t="shared" si="24"/>
        <v>FTPG</v>
      </c>
      <c r="B812">
        <f t="shared" si="25"/>
        <v>1317</v>
      </c>
      <c r="E812" s="1" t="s">
        <v>82</v>
      </c>
      <c r="F812" s="1">
        <v>189</v>
      </c>
      <c r="G812" s="1">
        <v>7</v>
      </c>
      <c r="H812" s="1">
        <v>13.6</v>
      </c>
    </row>
    <row r="813" spans="1:8" x14ac:dyDescent="0.3">
      <c r="A813" t="str">
        <f t="shared" si="24"/>
        <v>FTPG</v>
      </c>
      <c r="B813">
        <f t="shared" si="25"/>
        <v>9017</v>
      </c>
      <c r="E813" s="1" t="s">
        <v>261</v>
      </c>
      <c r="F813" s="1">
        <v>215</v>
      </c>
      <c r="G813" s="1">
        <v>16</v>
      </c>
      <c r="H813" s="1">
        <v>13.2</v>
      </c>
    </row>
    <row r="814" spans="1:8" x14ac:dyDescent="0.3">
      <c r="A814" t="str">
        <f t="shared" si="24"/>
        <v>FTPG</v>
      </c>
      <c r="B814">
        <f t="shared" si="25"/>
        <v>2717</v>
      </c>
      <c r="E814" s="1" t="s">
        <v>7</v>
      </c>
      <c r="F814" s="1">
        <v>230</v>
      </c>
      <c r="G814" s="1">
        <v>10</v>
      </c>
      <c r="H814" s="1">
        <v>13</v>
      </c>
    </row>
    <row r="815" spans="1:8" x14ac:dyDescent="0.3">
      <c r="A815" t="str">
        <f t="shared" si="24"/>
        <v>FTPG</v>
      </c>
      <c r="B815">
        <f t="shared" si="25"/>
        <v>18317</v>
      </c>
      <c r="E815" s="1" t="s">
        <v>423</v>
      </c>
      <c r="F815" s="1">
        <v>233</v>
      </c>
      <c r="G815" s="1">
        <v>5</v>
      </c>
      <c r="H815" s="1">
        <v>13</v>
      </c>
    </row>
    <row r="816" spans="1:8" x14ac:dyDescent="0.3">
      <c r="A816" t="str">
        <f t="shared" si="24"/>
        <v>FTPG</v>
      </c>
      <c r="B816">
        <f t="shared" si="25"/>
        <v>15417</v>
      </c>
      <c r="E816" s="1" t="s">
        <v>494</v>
      </c>
      <c r="F816" s="1">
        <v>237</v>
      </c>
      <c r="G816" s="1">
        <v>5</v>
      </c>
      <c r="H816" s="1">
        <v>12.9</v>
      </c>
    </row>
    <row r="817" spans="1:10" x14ac:dyDescent="0.3">
      <c r="A817" t="str">
        <f t="shared" si="24"/>
        <v>FTPG</v>
      </c>
      <c r="B817">
        <f t="shared" si="25"/>
        <v>4017</v>
      </c>
      <c r="E817" s="1" t="s">
        <v>105</v>
      </c>
      <c r="F817" s="1">
        <v>238</v>
      </c>
      <c r="G817" s="1">
        <v>14</v>
      </c>
      <c r="H817" s="1">
        <v>12.9</v>
      </c>
    </row>
    <row r="818" spans="1:10" x14ac:dyDescent="0.3">
      <c r="A818" t="str">
        <f t="shared" si="24"/>
        <v>FTPG</v>
      </c>
      <c r="B818">
        <f t="shared" si="25"/>
        <v>16117</v>
      </c>
      <c r="E818" s="1" t="s">
        <v>473</v>
      </c>
      <c r="F818" s="1">
        <v>243</v>
      </c>
      <c r="G818" s="1">
        <v>5</v>
      </c>
      <c r="H818" s="1">
        <v>12.8</v>
      </c>
    </row>
    <row r="819" spans="1:10" x14ac:dyDescent="0.3">
      <c r="A819" t="str">
        <f t="shared" si="24"/>
        <v>FTPG</v>
      </c>
      <c r="B819">
        <f t="shared" si="25"/>
        <v>2517</v>
      </c>
      <c r="E819" s="1" t="s">
        <v>92</v>
      </c>
      <c r="F819" s="1">
        <v>244</v>
      </c>
      <c r="G819" s="1">
        <v>9</v>
      </c>
      <c r="H819" s="1">
        <v>12.8</v>
      </c>
    </row>
    <row r="820" spans="1:10" x14ac:dyDescent="0.3">
      <c r="A820" t="str">
        <f t="shared" si="24"/>
        <v>FTPG</v>
      </c>
      <c r="B820">
        <f t="shared" si="25"/>
        <v>8217</v>
      </c>
      <c r="E820" s="1" t="s">
        <v>131</v>
      </c>
      <c r="F820" s="1">
        <v>252</v>
      </c>
      <c r="G820" s="1">
        <v>10</v>
      </c>
      <c r="H820" s="1">
        <v>12.7</v>
      </c>
    </row>
    <row r="821" spans="1:10" x14ac:dyDescent="0.3">
      <c r="A821" t="str">
        <f t="shared" si="24"/>
        <v>FTPG</v>
      </c>
      <c r="B821">
        <f t="shared" si="25"/>
        <v>16217</v>
      </c>
      <c r="E821" s="1" t="s">
        <v>497</v>
      </c>
      <c r="F821" s="1">
        <v>254</v>
      </c>
      <c r="G821" s="1">
        <v>8</v>
      </c>
      <c r="H821" s="1">
        <v>12.7</v>
      </c>
    </row>
    <row r="822" spans="1:10" x14ac:dyDescent="0.3">
      <c r="A822" t="str">
        <f t="shared" si="24"/>
        <v>FTPG</v>
      </c>
      <c r="B822">
        <f t="shared" si="25"/>
        <v>15617</v>
      </c>
      <c r="E822" s="1" t="s">
        <v>468</v>
      </c>
      <c r="F822" s="1">
        <v>276</v>
      </c>
      <c r="G822" s="1">
        <v>3</v>
      </c>
      <c r="H822" s="1">
        <v>12.2</v>
      </c>
    </row>
    <row r="823" spans="1:10" x14ac:dyDescent="0.3">
      <c r="A823" t="str">
        <f t="shared" si="24"/>
        <v>FTPG</v>
      </c>
      <c r="B823">
        <f t="shared" si="25"/>
        <v>1217</v>
      </c>
      <c r="E823" s="1" t="s">
        <v>130</v>
      </c>
      <c r="F823" s="1">
        <v>280</v>
      </c>
      <c r="G823" s="1">
        <v>9</v>
      </c>
      <c r="H823" s="1">
        <v>12.1</v>
      </c>
    </row>
    <row r="824" spans="1:10" x14ac:dyDescent="0.3">
      <c r="A824" t="str">
        <f t="shared" si="24"/>
        <v>FTPG</v>
      </c>
      <c r="B824">
        <f t="shared" si="25"/>
        <v>2817</v>
      </c>
      <c r="E824" s="1" t="s">
        <v>106</v>
      </c>
      <c r="F824" s="1">
        <v>285</v>
      </c>
      <c r="G824" s="1">
        <v>12</v>
      </c>
      <c r="H824" s="1">
        <v>12</v>
      </c>
    </row>
    <row r="825" spans="1:10" x14ac:dyDescent="0.3">
      <c r="A825" t="str">
        <f t="shared" si="24"/>
        <v>FTPG</v>
      </c>
      <c r="B825">
        <f t="shared" si="25"/>
        <v>3117</v>
      </c>
      <c r="E825" s="1" t="s">
        <v>93</v>
      </c>
      <c r="F825" s="1">
        <v>294</v>
      </c>
      <c r="G825" s="1">
        <v>7</v>
      </c>
      <c r="H825" s="1">
        <v>11.8</v>
      </c>
    </row>
    <row r="826" spans="1:10" x14ac:dyDescent="0.3">
      <c r="A826" t="str">
        <f t="shared" si="24"/>
        <v>FTPG</v>
      </c>
      <c r="B826">
        <f t="shared" si="25"/>
        <v>15817</v>
      </c>
      <c r="E826" s="1" t="s">
        <v>470</v>
      </c>
      <c r="F826" s="1">
        <v>295</v>
      </c>
      <c r="G826" s="1">
        <v>10</v>
      </c>
      <c r="H826" s="1">
        <v>11.8</v>
      </c>
    </row>
    <row r="827" spans="1:10" x14ac:dyDescent="0.3">
      <c r="A827" t="str">
        <f t="shared" si="24"/>
        <v>FTPG</v>
      </c>
      <c r="B827">
        <f t="shared" si="25"/>
        <v>3317</v>
      </c>
      <c r="E827" s="1" t="s">
        <v>91</v>
      </c>
      <c r="F827" s="1">
        <v>305</v>
      </c>
      <c r="G827" s="1">
        <v>8</v>
      </c>
      <c r="H827" s="1">
        <v>11.6</v>
      </c>
    </row>
    <row r="828" spans="1:10" x14ac:dyDescent="0.3">
      <c r="A828" t="str">
        <f t="shared" si="24"/>
        <v>FTPG</v>
      </c>
      <c r="B828">
        <f t="shared" si="25"/>
        <v>3917</v>
      </c>
      <c r="E828" s="1" t="s">
        <v>88</v>
      </c>
      <c r="F828" s="1">
        <v>337</v>
      </c>
      <c r="G828" s="1">
        <v>14</v>
      </c>
      <c r="H828" s="1">
        <v>10.8</v>
      </c>
    </row>
    <row r="829" spans="1:10" x14ac:dyDescent="0.3">
      <c r="A829" t="str">
        <f t="shared" si="24"/>
        <v>FTPG</v>
      </c>
      <c r="B829">
        <f t="shared" si="25"/>
        <v>5117</v>
      </c>
      <c r="E829" s="1" t="s">
        <v>240</v>
      </c>
      <c r="F829" s="1">
        <v>338</v>
      </c>
      <c r="G829" s="1">
        <v>10</v>
      </c>
      <c r="H829" s="1">
        <v>10.6</v>
      </c>
    </row>
    <row r="830" spans="1:10" x14ac:dyDescent="0.3">
      <c r="A830" t="str">
        <f t="shared" si="24"/>
        <v>FTPG</v>
      </c>
      <c r="B830">
        <f t="shared" si="25"/>
        <v>15917</v>
      </c>
      <c r="E830" s="1" t="s">
        <v>495</v>
      </c>
      <c r="F830" s="1">
        <v>349</v>
      </c>
      <c r="G830" s="1">
        <v>6</v>
      </c>
      <c r="H830" s="1">
        <v>9.6999999999999993</v>
      </c>
    </row>
    <row r="831" spans="1:10" x14ac:dyDescent="0.3">
      <c r="A831" t="str">
        <f t="shared" si="24"/>
        <v>RM</v>
      </c>
      <c r="B831">
        <f t="shared" si="25"/>
        <v>2521</v>
      </c>
      <c r="D831" s="1" t="s">
        <v>552</v>
      </c>
      <c r="E831" s="1" t="s">
        <v>92</v>
      </c>
      <c r="F831" s="1">
        <v>1</v>
      </c>
      <c r="G831" s="1">
        <v>1</v>
      </c>
      <c r="H831" s="1">
        <v>10.3</v>
      </c>
      <c r="I831" s="1" t="s">
        <v>92</v>
      </c>
      <c r="J831" s="1">
        <v>10.3</v>
      </c>
    </row>
    <row r="832" spans="1:10" x14ac:dyDescent="0.3">
      <c r="A832" t="str">
        <f t="shared" si="24"/>
        <v>RM</v>
      </c>
      <c r="B832">
        <f t="shared" si="25"/>
        <v>4321</v>
      </c>
      <c r="E832" s="1" t="s">
        <v>125</v>
      </c>
      <c r="F832" s="1">
        <v>4</v>
      </c>
      <c r="G832" s="1">
        <v>1</v>
      </c>
      <c r="H832" s="1">
        <v>9.1</v>
      </c>
    </row>
    <row r="833" spans="1:8" x14ac:dyDescent="0.3">
      <c r="A833" t="str">
        <f t="shared" si="24"/>
        <v>RM</v>
      </c>
      <c r="B833">
        <f t="shared" si="25"/>
        <v>921</v>
      </c>
      <c r="E833" s="1" t="s">
        <v>90</v>
      </c>
      <c r="F833" s="1">
        <v>5</v>
      </c>
      <c r="G833" s="1">
        <v>2</v>
      </c>
      <c r="H833" s="1">
        <v>8.9</v>
      </c>
    </row>
    <row r="834" spans="1:8" x14ac:dyDescent="0.3">
      <c r="A834" t="str">
        <f t="shared" ref="A834:A897" si="26">IF(NOT(D834=""),INDEX(statAbbr,MATCH(D834,statOfficial,0),1),A833)</f>
        <v>RM</v>
      </c>
      <c r="B834">
        <f t="shared" ref="B834:B897" si="27">INDEX(statID,MATCH(A834,statAbbr,0),1)+INDEX(teamID,MATCH(E834,teamRawName,0))</f>
        <v>3621</v>
      </c>
      <c r="E834" s="1" t="s">
        <v>129</v>
      </c>
      <c r="F834" s="1">
        <v>6</v>
      </c>
      <c r="G834" s="1">
        <v>1</v>
      </c>
      <c r="H834" s="1">
        <v>8.6999999999999993</v>
      </c>
    </row>
    <row r="835" spans="1:8" x14ac:dyDescent="0.3">
      <c r="A835" t="str">
        <f t="shared" si="26"/>
        <v>RM</v>
      </c>
      <c r="B835">
        <f t="shared" si="27"/>
        <v>5721</v>
      </c>
      <c r="E835" s="1" t="s">
        <v>120</v>
      </c>
      <c r="F835" s="1">
        <v>8</v>
      </c>
      <c r="G835" s="1">
        <v>2</v>
      </c>
      <c r="H835" s="1">
        <v>8.4</v>
      </c>
    </row>
    <row r="836" spans="1:8" x14ac:dyDescent="0.3">
      <c r="A836" t="str">
        <f t="shared" si="26"/>
        <v>RM</v>
      </c>
      <c r="B836">
        <f t="shared" si="27"/>
        <v>15821</v>
      </c>
      <c r="E836" s="1" t="s">
        <v>470</v>
      </c>
      <c r="F836" s="1">
        <v>10</v>
      </c>
      <c r="G836" s="1">
        <v>1</v>
      </c>
      <c r="H836" s="1">
        <v>7.4</v>
      </c>
    </row>
    <row r="837" spans="1:8" x14ac:dyDescent="0.3">
      <c r="A837" t="str">
        <f t="shared" si="26"/>
        <v>RM</v>
      </c>
      <c r="B837">
        <f t="shared" si="27"/>
        <v>2921</v>
      </c>
      <c r="E837" s="1" t="s">
        <v>96</v>
      </c>
      <c r="F837" s="1">
        <v>12</v>
      </c>
      <c r="G837" s="1">
        <v>1</v>
      </c>
      <c r="H837" s="1">
        <v>7.2</v>
      </c>
    </row>
    <row r="838" spans="1:8" x14ac:dyDescent="0.3">
      <c r="A838" t="str">
        <f t="shared" si="26"/>
        <v>RM</v>
      </c>
      <c r="B838">
        <f t="shared" si="27"/>
        <v>5421</v>
      </c>
      <c r="E838" s="1" t="s">
        <v>94</v>
      </c>
      <c r="F838" s="1">
        <v>13</v>
      </c>
      <c r="G838" s="1">
        <v>1</v>
      </c>
      <c r="H838" s="1">
        <v>7.2</v>
      </c>
    </row>
    <row r="839" spans="1:8" x14ac:dyDescent="0.3">
      <c r="A839" t="str">
        <f t="shared" si="26"/>
        <v>RM</v>
      </c>
      <c r="B839">
        <f t="shared" si="27"/>
        <v>12521</v>
      </c>
      <c r="E839" s="1" t="s">
        <v>95</v>
      </c>
      <c r="F839" s="1">
        <v>16</v>
      </c>
      <c r="G839" s="1">
        <v>1</v>
      </c>
      <c r="H839" s="1">
        <v>6.7</v>
      </c>
    </row>
    <row r="840" spans="1:8" x14ac:dyDescent="0.3">
      <c r="A840" t="str">
        <f t="shared" si="26"/>
        <v>RM</v>
      </c>
      <c r="B840">
        <f t="shared" si="27"/>
        <v>2321</v>
      </c>
      <c r="E840" s="1" t="s">
        <v>79</v>
      </c>
      <c r="F840" s="1">
        <v>19</v>
      </c>
      <c r="G840" s="1">
        <v>1</v>
      </c>
      <c r="H840" s="1">
        <v>6</v>
      </c>
    </row>
    <row r="841" spans="1:8" x14ac:dyDescent="0.3">
      <c r="A841" t="str">
        <f t="shared" si="26"/>
        <v>RM</v>
      </c>
      <c r="B841">
        <f t="shared" si="27"/>
        <v>2721</v>
      </c>
      <c r="E841" s="1" t="s">
        <v>7</v>
      </c>
      <c r="F841" s="1">
        <v>20</v>
      </c>
      <c r="G841" s="1">
        <v>2</v>
      </c>
      <c r="H841" s="1">
        <v>5.9</v>
      </c>
    </row>
    <row r="842" spans="1:8" x14ac:dyDescent="0.3">
      <c r="A842" t="str">
        <f t="shared" si="26"/>
        <v>RM</v>
      </c>
      <c r="B842">
        <f t="shared" si="27"/>
        <v>9321</v>
      </c>
      <c r="E842" s="1" t="s">
        <v>357</v>
      </c>
      <c r="F842" s="1">
        <v>21</v>
      </c>
      <c r="G842" s="1">
        <v>2</v>
      </c>
      <c r="H842" s="1">
        <v>5.8</v>
      </c>
    </row>
    <row r="843" spans="1:8" x14ac:dyDescent="0.3">
      <c r="A843" t="str">
        <f t="shared" si="26"/>
        <v>RM</v>
      </c>
      <c r="B843">
        <f t="shared" si="27"/>
        <v>3721</v>
      </c>
      <c r="E843" s="1" t="s">
        <v>115</v>
      </c>
      <c r="F843" s="1">
        <v>24</v>
      </c>
      <c r="G843" s="1">
        <v>3</v>
      </c>
      <c r="H843" s="1">
        <v>5.5</v>
      </c>
    </row>
    <row r="844" spans="1:8" x14ac:dyDescent="0.3">
      <c r="A844" t="str">
        <f t="shared" si="26"/>
        <v>RM</v>
      </c>
      <c r="B844">
        <f t="shared" si="27"/>
        <v>9521</v>
      </c>
      <c r="E844" s="1" t="s">
        <v>85</v>
      </c>
      <c r="F844" s="1">
        <v>25</v>
      </c>
      <c r="G844" s="1">
        <v>1</v>
      </c>
      <c r="H844" s="1">
        <v>5.5</v>
      </c>
    </row>
    <row r="845" spans="1:8" x14ac:dyDescent="0.3">
      <c r="A845" t="str">
        <f t="shared" si="26"/>
        <v>RM</v>
      </c>
      <c r="B845">
        <f t="shared" si="27"/>
        <v>4421</v>
      </c>
      <c r="E845" s="1" t="s">
        <v>83</v>
      </c>
      <c r="F845" s="1">
        <v>29</v>
      </c>
      <c r="G845" s="1">
        <v>2</v>
      </c>
      <c r="H845" s="1">
        <v>5.4</v>
      </c>
    </row>
    <row r="846" spans="1:8" x14ac:dyDescent="0.3">
      <c r="A846" t="str">
        <f t="shared" si="26"/>
        <v>RM</v>
      </c>
      <c r="B846">
        <f t="shared" si="27"/>
        <v>15721</v>
      </c>
      <c r="E846" s="1" t="s">
        <v>469</v>
      </c>
      <c r="F846" s="1">
        <v>30</v>
      </c>
      <c r="G846" s="1">
        <v>1</v>
      </c>
      <c r="H846" s="1">
        <v>5.4</v>
      </c>
    </row>
    <row r="847" spans="1:8" x14ac:dyDescent="0.3">
      <c r="A847" t="str">
        <f t="shared" si="26"/>
        <v>RM</v>
      </c>
      <c r="B847">
        <f t="shared" si="27"/>
        <v>2821</v>
      </c>
      <c r="E847" s="1" t="s">
        <v>106</v>
      </c>
      <c r="F847" s="1">
        <v>32</v>
      </c>
      <c r="G847" s="1">
        <v>3</v>
      </c>
      <c r="H847" s="1">
        <v>5.3</v>
      </c>
    </row>
    <row r="848" spans="1:8" x14ac:dyDescent="0.3">
      <c r="A848" t="str">
        <f t="shared" si="26"/>
        <v>RM</v>
      </c>
      <c r="B848">
        <f t="shared" si="27"/>
        <v>10621</v>
      </c>
      <c r="E848" s="1" t="s">
        <v>161</v>
      </c>
      <c r="F848" s="1">
        <v>37</v>
      </c>
      <c r="G848" s="1">
        <v>1</v>
      </c>
      <c r="H848" s="1">
        <v>5</v>
      </c>
    </row>
    <row r="849" spans="1:8" x14ac:dyDescent="0.3">
      <c r="A849" t="str">
        <f t="shared" si="26"/>
        <v>RM</v>
      </c>
      <c r="B849">
        <f t="shared" si="27"/>
        <v>15121</v>
      </c>
      <c r="E849" s="1" t="s">
        <v>464</v>
      </c>
      <c r="F849" s="1">
        <v>40</v>
      </c>
      <c r="G849" s="1">
        <v>2</v>
      </c>
      <c r="H849" s="1">
        <v>4.8</v>
      </c>
    </row>
    <row r="850" spans="1:8" x14ac:dyDescent="0.3">
      <c r="A850" t="str">
        <f t="shared" si="26"/>
        <v>RM</v>
      </c>
      <c r="B850">
        <f t="shared" si="27"/>
        <v>3521</v>
      </c>
      <c r="E850" s="1" t="s">
        <v>87</v>
      </c>
      <c r="F850" s="1">
        <v>41</v>
      </c>
      <c r="G850" s="1">
        <v>4</v>
      </c>
      <c r="H850" s="1">
        <v>4.7</v>
      </c>
    </row>
    <row r="851" spans="1:8" x14ac:dyDescent="0.3">
      <c r="A851" t="str">
        <f t="shared" si="26"/>
        <v>RM</v>
      </c>
      <c r="B851">
        <f t="shared" si="27"/>
        <v>12221</v>
      </c>
      <c r="E851" s="1" t="s">
        <v>284</v>
      </c>
      <c r="F851" s="1">
        <v>43</v>
      </c>
      <c r="G851" s="1">
        <v>1</v>
      </c>
      <c r="H851" s="1">
        <v>4.7</v>
      </c>
    </row>
    <row r="852" spans="1:8" x14ac:dyDescent="0.3">
      <c r="A852" t="str">
        <f t="shared" si="26"/>
        <v>RM</v>
      </c>
      <c r="B852">
        <f t="shared" si="27"/>
        <v>14921</v>
      </c>
      <c r="E852" s="1" t="s">
        <v>307</v>
      </c>
      <c r="F852" s="1">
        <v>46</v>
      </c>
      <c r="G852" s="1">
        <v>1</v>
      </c>
      <c r="H852" s="1">
        <v>4.5</v>
      </c>
    </row>
    <row r="853" spans="1:8" x14ac:dyDescent="0.3">
      <c r="A853" t="str">
        <f t="shared" si="26"/>
        <v>RM</v>
      </c>
      <c r="B853">
        <f t="shared" si="27"/>
        <v>7621</v>
      </c>
      <c r="E853" s="1" t="s">
        <v>253</v>
      </c>
      <c r="F853" s="1">
        <v>50</v>
      </c>
      <c r="G853" s="1">
        <v>3</v>
      </c>
      <c r="H853" s="1">
        <v>4.3</v>
      </c>
    </row>
    <row r="854" spans="1:8" x14ac:dyDescent="0.3">
      <c r="A854" t="str">
        <f t="shared" si="26"/>
        <v>RM</v>
      </c>
      <c r="B854">
        <f t="shared" si="27"/>
        <v>7221</v>
      </c>
      <c r="E854" s="1" t="s">
        <v>116</v>
      </c>
      <c r="F854" s="1">
        <v>52</v>
      </c>
      <c r="G854" s="1">
        <v>5</v>
      </c>
      <c r="H854" s="1">
        <v>4.3</v>
      </c>
    </row>
    <row r="855" spans="1:8" x14ac:dyDescent="0.3">
      <c r="A855" t="str">
        <f t="shared" si="26"/>
        <v>RM</v>
      </c>
      <c r="B855">
        <f t="shared" si="27"/>
        <v>18321</v>
      </c>
      <c r="E855" s="1" t="s">
        <v>423</v>
      </c>
      <c r="F855" s="1">
        <v>57</v>
      </c>
      <c r="G855" s="1">
        <v>1</v>
      </c>
      <c r="H855" s="1">
        <v>4.0999999999999996</v>
      </c>
    </row>
    <row r="856" spans="1:8" x14ac:dyDescent="0.3">
      <c r="A856" t="str">
        <f t="shared" si="26"/>
        <v>RM</v>
      </c>
      <c r="B856">
        <f t="shared" si="27"/>
        <v>16121</v>
      </c>
      <c r="E856" s="1" t="s">
        <v>473</v>
      </c>
      <c r="F856" s="1">
        <v>58</v>
      </c>
      <c r="G856" s="1">
        <v>4</v>
      </c>
      <c r="H856" s="1">
        <v>4.0999999999999996</v>
      </c>
    </row>
    <row r="857" spans="1:8" x14ac:dyDescent="0.3">
      <c r="A857" t="str">
        <f t="shared" si="26"/>
        <v>RM</v>
      </c>
      <c r="B857">
        <f t="shared" si="27"/>
        <v>621</v>
      </c>
      <c r="E857" s="1" t="s">
        <v>100</v>
      </c>
      <c r="F857" s="1">
        <v>63</v>
      </c>
      <c r="G857" s="1">
        <v>6</v>
      </c>
      <c r="H857" s="1">
        <v>3.9</v>
      </c>
    </row>
    <row r="858" spans="1:8" x14ac:dyDescent="0.3">
      <c r="A858" t="str">
        <f t="shared" si="26"/>
        <v>RM</v>
      </c>
      <c r="B858">
        <f t="shared" si="27"/>
        <v>4521</v>
      </c>
      <c r="E858" s="1" t="s">
        <v>84</v>
      </c>
      <c r="F858" s="1">
        <v>65</v>
      </c>
      <c r="G858" s="1">
        <v>5</v>
      </c>
      <c r="H858" s="1">
        <v>3.9</v>
      </c>
    </row>
    <row r="859" spans="1:8" x14ac:dyDescent="0.3">
      <c r="A859" t="str">
        <f t="shared" si="26"/>
        <v>RM</v>
      </c>
      <c r="B859">
        <f t="shared" si="27"/>
        <v>13121</v>
      </c>
      <c r="E859" s="1" t="s">
        <v>289</v>
      </c>
      <c r="F859" s="1">
        <v>66</v>
      </c>
      <c r="G859" s="1">
        <v>3</v>
      </c>
      <c r="H859" s="1">
        <v>3.9</v>
      </c>
    </row>
    <row r="860" spans="1:8" x14ac:dyDescent="0.3">
      <c r="A860" t="str">
        <f t="shared" si="26"/>
        <v>RM</v>
      </c>
      <c r="B860">
        <f t="shared" si="27"/>
        <v>3921</v>
      </c>
      <c r="E860" s="1" t="s">
        <v>88</v>
      </c>
      <c r="F860" s="1">
        <v>67</v>
      </c>
      <c r="G860" s="1">
        <v>7</v>
      </c>
      <c r="H860" s="1">
        <v>3.8</v>
      </c>
    </row>
    <row r="861" spans="1:8" x14ac:dyDescent="0.3">
      <c r="A861" t="str">
        <f t="shared" si="26"/>
        <v>RM</v>
      </c>
      <c r="B861">
        <f t="shared" si="27"/>
        <v>13921</v>
      </c>
      <c r="E861" s="1" t="s">
        <v>297</v>
      </c>
      <c r="F861" s="1">
        <v>68</v>
      </c>
      <c r="G861" s="1">
        <v>6</v>
      </c>
      <c r="H861" s="1">
        <v>3.8</v>
      </c>
    </row>
    <row r="862" spans="1:8" x14ac:dyDescent="0.3">
      <c r="A862" t="str">
        <f t="shared" si="26"/>
        <v>RM</v>
      </c>
      <c r="B862">
        <f t="shared" si="27"/>
        <v>4721</v>
      </c>
      <c r="E862" s="1" t="s">
        <v>107</v>
      </c>
      <c r="F862" s="1">
        <v>72</v>
      </c>
      <c r="G862" s="1">
        <v>2</v>
      </c>
      <c r="H862" s="1">
        <v>3.7</v>
      </c>
    </row>
    <row r="863" spans="1:8" x14ac:dyDescent="0.3">
      <c r="A863" t="str">
        <f t="shared" si="26"/>
        <v>RM</v>
      </c>
      <c r="B863">
        <f t="shared" si="27"/>
        <v>5821</v>
      </c>
      <c r="E863" s="1" t="s">
        <v>139</v>
      </c>
      <c r="F863" s="1">
        <v>78</v>
      </c>
      <c r="G863" s="1">
        <v>2</v>
      </c>
      <c r="H863" s="1">
        <v>3.5</v>
      </c>
    </row>
    <row r="864" spans="1:8" x14ac:dyDescent="0.3">
      <c r="A864" t="str">
        <f t="shared" si="26"/>
        <v>RM</v>
      </c>
      <c r="B864">
        <f t="shared" si="27"/>
        <v>8221</v>
      </c>
      <c r="E864" s="1" t="s">
        <v>131</v>
      </c>
      <c r="F864" s="1">
        <v>84</v>
      </c>
      <c r="G864" s="1">
        <v>3</v>
      </c>
      <c r="H864" s="1">
        <v>3.4</v>
      </c>
    </row>
    <row r="865" spans="1:8" x14ac:dyDescent="0.3">
      <c r="A865" t="str">
        <f t="shared" si="26"/>
        <v>RM</v>
      </c>
      <c r="B865">
        <f t="shared" si="27"/>
        <v>3221</v>
      </c>
      <c r="E865" s="1" t="s">
        <v>127</v>
      </c>
      <c r="F865" s="1">
        <v>87</v>
      </c>
      <c r="G865" s="1">
        <v>8</v>
      </c>
      <c r="H865" s="1">
        <v>3.4</v>
      </c>
    </row>
    <row r="866" spans="1:8" x14ac:dyDescent="0.3">
      <c r="A866" t="str">
        <f t="shared" si="26"/>
        <v>RM</v>
      </c>
      <c r="B866">
        <f t="shared" si="27"/>
        <v>221</v>
      </c>
      <c r="E866" s="1" t="s">
        <v>98</v>
      </c>
      <c r="F866" s="1">
        <v>93</v>
      </c>
      <c r="G866" s="1">
        <v>4</v>
      </c>
      <c r="H866" s="1">
        <v>3.2</v>
      </c>
    </row>
    <row r="867" spans="1:8" x14ac:dyDescent="0.3">
      <c r="A867" t="str">
        <f t="shared" si="26"/>
        <v>RM</v>
      </c>
      <c r="B867">
        <f t="shared" si="27"/>
        <v>3121</v>
      </c>
      <c r="E867" s="1" t="s">
        <v>93</v>
      </c>
      <c r="F867" s="1">
        <v>94</v>
      </c>
      <c r="G867" s="1">
        <v>4</v>
      </c>
      <c r="H867" s="1">
        <v>3.1</v>
      </c>
    </row>
    <row r="868" spans="1:8" x14ac:dyDescent="0.3">
      <c r="A868" t="str">
        <f t="shared" si="26"/>
        <v>RM</v>
      </c>
      <c r="B868">
        <f t="shared" si="27"/>
        <v>6621</v>
      </c>
      <c r="E868" s="1" t="s">
        <v>247</v>
      </c>
      <c r="F868" s="1">
        <v>95</v>
      </c>
      <c r="G868" s="1">
        <v>5</v>
      </c>
      <c r="H868" s="1">
        <v>3.1</v>
      </c>
    </row>
    <row r="869" spans="1:8" x14ac:dyDescent="0.3">
      <c r="A869" t="str">
        <f t="shared" si="26"/>
        <v>RM</v>
      </c>
      <c r="B869">
        <f t="shared" si="27"/>
        <v>1321</v>
      </c>
      <c r="E869" s="1" t="s">
        <v>82</v>
      </c>
      <c r="F869" s="1">
        <v>96</v>
      </c>
      <c r="G869" s="1">
        <v>3</v>
      </c>
      <c r="H869" s="1">
        <v>3.1</v>
      </c>
    </row>
    <row r="870" spans="1:8" x14ac:dyDescent="0.3">
      <c r="A870" t="str">
        <f t="shared" si="26"/>
        <v>RM</v>
      </c>
      <c r="B870">
        <f t="shared" si="27"/>
        <v>4921</v>
      </c>
      <c r="E870" s="1" t="s">
        <v>108</v>
      </c>
      <c r="F870" s="1">
        <v>98</v>
      </c>
      <c r="G870" s="1">
        <v>5</v>
      </c>
      <c r="H870" s="1">
        <v>2.9</v>
      </c>
    </row>
    <row r="871" spans="1:8" x14ac:dyDescent="0.3">
      <c r="A871" t="str">
        <f t="shared" si="26"/>
        <v>RM</v>
      </c>
      <c r="B871">
        <f t="shared" si="27"/>
        <v>1421</v>
      </c>
      <c r="E871" s="1" t="s">
        <v>102</v>
      </c>
      <c r="F871" s="1">
        <v>102</v>
      </c>
      <c r="G871" s="1">
        <v>4</v>
      </c>
      <c r="H871" s="1">
        <v>2.9</v>
      </c>
    </row>
    <row r="872" spans="1:8" x14ac:dyDescent="0.3">
      <c r="A872" t="str">
        <f t="shared" si="26"/>
        <v>RM</v>
      </c>
      <c r="B872">
        <f t="shared" si="27"/>
        <v>5521</v>
      </c>
      <c r="E872" s="1" t="s">
        <v>86</v>
      </c>
      <c r="F872" s="1">
        <v>106</v>
      </c>
      <c r="G872" s="1">
        <v>7</v>
      </c>
      <c r="H872" s="1">
        <v>2.7</v>
      </c>
    </row>
    <row r="873" spans="1:8" x14ac:dyDescent="0.3">
      <c r="A873" t="str">
        <f t="shared" si="26"/>
        <v>RM</v>
      </c>
      <c r="B873">
        <f t="shared" si="27"/>
        <v>4021</v>
      </c>
      <c r="E873" s="1" t="s">
        <v>105</v>
      </c>
      <c r="F873" s="1">
        <v>110</v>
      </c>
      <c r="G873" s="1">
        <v>6</v>
      </c>
      <c r="H873" s="1">
        <v>2.7</v>
      </c>
    </row>
    <row r="874" spans="1:8" x14ac:dyDescent="0.3">
      <c r="A874" t="str">
        <f t="shared" si="26"/>
        <v>RM</v>
      </c>
      <c r="B874">
        <f t="shared" si="27"/>
        <v>4221</v>
      </c>
      <c r="E874" s="1" t="s">
        <v>123</v>
      </c>
      <c r="F874" s="1">
        <v>116</v>
      </c>
      <c r="G874" s="1">
        <v>5</v>
      </c>
      <c r="H874" s="1">
        <v>2.5</v>
      </c>
    </row>
    <row r="875" spans="1:8" x14ac:dyDescent="0.3">
      <c r="A875" t="str">
        <f t="shared" si="26"/>
        <v>RM</v>
      </c>
      <c r="B875">
        <f t="shared" si="27"/>
        <v>11121</v>
      </c>
      <c r="E875" s="1" t="s">
        <v>277</v>
      </c>
      <c r="F875" s="1">
        <v>124</v>
      </c>
      <c r="G875" s="1">
        <v>6</v>
      </c>
      <c r="H875" s="1">
        <v>2.2999999999999998</v>
      </c>
    </row>
    <row r="876" spans="1:8" x14ac:dyDescent="0.3">
      <c r="A876" t="str">
        <f t="shared" si="26"/>
        <v>RM</v>
      </c>
      <c r="B876">
        <f t="shared" si="27"/>
        <v>15421</v>
      </c>
      <c r="E876" s="1" t="s">
        <v>494</v>
      </c>
      <c r="F876" s="1">
        <v>126</v>
      </c>
      <c r="G876" s="1">
        <v>4</v>
      </c>
      <c r="H876" s="1">
        <v>2.2999999999999998</v>
      </c>
    </row>
    <row r="877" spans="1:8" x14ac:dyDescent="0.3">
      <c r="A877" t="str">
        <f t="shared" si="26"/>
        <v>RM</v>
      </c>
      <c r="B877">
        <f t="shared" si="27"/>
        <v>1621</v>
      </c>
      <c r="E877" s="1" t="s">
        <v>137</v>
      </c>
      <c r="F877" s="1">
        <v>127</v>
      </c>
      <c r="G877" s="1">
        <v>8</v>
      </c>
      <c r="H877" s="1">
        <v>2.2000000000000002</v>
      </c>
    </row>
    <row r="878" spans="1:8" x14ac:dyDescent="0.3">
      <c r="A878" t="str">
        <f t="shared" si="26"/>
        <v>RM</v>
      </c>
      <c r="B878">
        <f t="shared" si="27"/>
        <v>3021</v>
      </c>
      <c r="E878" s="1" t="s">
        <v>89</v>
      </c>
      <c r="F878" s="1">
        <v>130</v>
      </c>
      <c r="G878" s="1">
        <v>7</v>
      </c>
      <c r="H878" s="1">
        <v>2.1</v>
      </c>
    </row>
    <row r="879" spans="1:8" x14ac:dyDescent="0.3">
      <c r="A879" t="str">
        <f t="shared" si="26"/>
        <v>RM</v>
      </c>
      <c r="B879">
        <f t="shared" si="27"/>
        <v>6921</v>
      </c>
      <c r="E879" s="1" t="s">
        <v>114</v>
      </c>
      <c r="F879" s="1">
        <v>135</v>
      </c>
      <c r="G879" s="1">
        <v>8</v>
      </c>
      <c r="H879" s="1">
        <v>2</v>
      </c>
    </row>
    <row r="880" spans="1:8" x14ac:dyDescent="0.3">
      <c r="A880" t="str">
        <f t="shared" si="26"/>
        <v>RM</v>
      </c>
      <c r="B880">
        <f t="shared" si="27"/>
        <v>2021</v>
      </c>
      <c r="E880" s="1" t="s">
        <v>328</v>
      </c>
      <c r="F880" s="1">
        <v>136</v>
      </c>
      <c r="G880" s="1">
        <v>3</v>
      </c>
      <c r="H880" s="1">
        <v>2</v>
      </c>
    </row>
    <row r="881" spans="1:8" x14ac:dyDescent="0.3">
      <c r="A881" t="str">
        <f t="shared" si="26"/>
        <v>RM</v>
      </c>
      <c r="B881">
        <f t="shared" si="27"/>
        <v>8321</v>
      </c>
      <c r="E881" s="1" t="s">
        <v>257</v>
      </c>
      <c r="F881" s="1">
        <v>150</v>
      </c>
      <c r="G881" s="1">
        <v>4</v>
      </c>
      <c r="H881" s="1">
        <v>1.5</v>
      </c>
    </row>
    <row r="882" spans="1:8" x14ac:dyDescent="0.3">
      <c r="A882" t="str">
        <f t="shared" si="26"/>
        <v>RM</v>
      </c>
      <c r="B882">
        <f t="shared" si="27"/>
        <v>14121</v>
      </c>
      <c r="E882" s="1" t="s">
        <v>299</v>
      </c>
      <c r="F882" s="1">
        <v>156</v>
      </c>
      <c r="G882" s="1">
        <v>10</v>
      </c>
      <c r="H882" s="1">
        <v>1.3</v>
      </c>
    </row>
    <row r="883" spans="1:8" x14ac:dyDescent="0.3">
      <c r="A883" t="str">
        <f t="shared" si="26"/>
        <v>RM</v>
      </c>
      <c r="B883">
        <f t="shared" si="27"/>
        <v>9021</v>
      </c>
      <c r="E883" s="1" t="s">
        <v>261</v>
      </c>
      <c r="F883" s="1">
        <v>161</v>
      </c>
      <c r="G883" s="1">
        <v>9</v>
      </c>
      <c r="H883" s="1">
        <v>1.2</v>
      </c>
    </row>
    <row r="884" spans="1:8" x14ac:dyDescent="0.3">
      <c r="A884" t="str">
        <f t="shared" si="26"/>
        <v>RM</v>
      </c>
      <c r="B884">
        <f t="shared" si="27"/>
        <v>6721</v>
      </c>
      <c r="E884" s="1" t="s">
        <v>118</v>
      </c>
      <c r="F884" s="1">
        <v>173</v>
      </c>
      <c r="G884" s="1">
        <v>11</v>
      </c>
      <c r="H884" s="1">
        <v>1</v>
      </c>
    </row>
    <row r="885" spans="1:8" x14ac:dyDescent="0.3">
      <c r="A885" t="str">
        <f t="shared" si="26"/>
        <v>RM</v>
      </c>
      <c r="B885">
        <f t="shared" si="27"/>
        <v>7421</v>
      </c>
      <c r="E885" s="1" t="s">
        <v>251</v>
      </c>
      <c r="F885" s="1">
        <v>190</v>
      </c>
      <c r="G885" s="1">
        <v>7</v>
      </c>
      <c r="H885" s="1">
        <v>0.6</v>
      </c>
    </row>
    <row r="886" spans="1:8" x14ac:dyDescent="0.3">
      <c r="A886" t="str">
        <f t="shared" si="26"/>
        <v>RM</v>
      </c>
      <c r="B886">
        <f t="shared" si="27"/>
        <v>8121</v>
      </c>
      <c r="E886" s="1" t="s">
        <v>256</v>
      </c>
      <c r="F886" s="1">
        <v>213</v>
      </c>
      <c r="G886" s="1">
        <v>12</v>
      </c>
      <c r="H886" s="1">
        <v>0.1</v>
      </c>
    </row>
    <row r="887" spans="1:8" x14ac:dyDescent="0.3">
      <c r="A887" t="str">
        <f t="shared" si="26"/>
        <v>RM</v>
      </c>
      <c r="B887">
        <f t="shared" si="27"/>
        <v>14421</v>
      </c>
      <c r="E887" s="1" t="s">
        <v>302</v>
      </c>
      <c r="F887" s="1">
        <v>217</v>
      </c>
      <c r="G887" s="1">
        <v>13</v>
      </c>
      <c r="H887" s="1">
        <v>0</v>
      </c>
    </row>
    <row r="888" spans="1:8" x14ac:dyDescent="0.3">
      <c r="A888" t="str">
        <f t="shared" si="26"/>
        <v>RM</v>
      </c>
      <c r="B888">
        <f t="shared" si="27"/>
        <v>1221</v>
      </c>
      <c r="E888" s="1" t="s">
        <v>130</v>
      </c>
      <c r="F888" s="1">
        <v>228</v>
      </c>
      <c r="G888" s="1">
        <v>7</v>
      </c>
      <c r="H888" s="1">
        <v>-0.3</v>
      </c>
    </row>
    <row r="889" spans="1:8" x14ac:dyDescent="0.3">
      <c r="A889" t="str">
        <f t="shared" si="26"/>
        <v>RM</v>
      </c>
      <c r="B889">
        <f t="shared" si="27"/>
        <v>15021</v>
      </c>
      <c r="E889" s="1" t="s">
        <v>463</v>
      </c>
      <c r="F889" s="1">
        <v>231</v>
      </c>
      <c r="G889" s="1">
        <v>7</v>
      </c>
      <c r="H889" s="1">
        <v>-0.4</v>
      </c>
    </row>
    <row r="890" spans="1:8" x14ac:dyDescent="0.3">
      <c r="A890" t="str">
        <f t="shared" si="26"/>
        <v>RM</v>
      </c>
      <c r="B890">
        <f t="shared" si="27"/>
        <v>15921</v>
      </c>
      <c r="E890" s="1" t="s">
        <v>495</v>
      </c>
      <c r="F890" s="1">
        <v>232</v>
      </c>
      <c r="G890" s="1">
        <v>4</v>
      </c>
      <c r="H890" s="1">
        <v>-0.4</v>
      </c>
    </row>
    <row r="891" spans="1:8" x14ac:dyDescent="0.3">
      <c r="A891" t="str">
        <f t="shared" si="26"/>
        <v>RM</v>
      </c>
      <c r="B891">
        <f t="shared" si="27"/>
        <v>11721</v>
      </c>
      <c r="E891" s="1" t="s">
        <v>280</v>
      </c>
      <c r="F891" s="1">
        <v>252</v>
      </c>
      <c r="G891" s="1">
        <v>8</v>
      </c>
      <c r="H891" s="1">
        <v>-1</v>
      </c>
    </row>
    <row r="892" spans="1:8" x14ac:dyDescent="0.3">
      <c r="A892" t="str">
        <f t="shared" si="26"/>
        <v>RM</v>
      </c>
      <c r="B892">
        <f t="shared" si="27"/>
        <v>5121</v>
      </c>
      <c r="E892" s="1" t="s">
        <v>240</v>
      </c>
      <c r="F892" s="1">
        <v>274</v>
      </c>
      <c r="G892" s="1">
        <v>8</v>
      </c>
      <c r="H892" s="1">
        <v>-1.5</v>
      </c>
    </row>
    <row r="893" spans="1:8" x14ac:dyDescent="0.3">
      <c r="A893" t="str">
        <f t="shared" si="26"/>
        <v>RM</v>
      </c>
      <c r="B893">
        <f t="shared" si="27"/>
        <v>3321</v>
      </c>
      <c r="E893" s="1" t="s">
        <v>91</v>
      </c>
      <c r="F893" s="1">
        <v>279</v>
      </c>
      <c r="G893" s="1">
        <v>10</v>
      </c>
      <c r="H893" s="1">
        <v>-1.8</v>
      </c>
    </row>
    <row r="894" spans="1:8" x14ac:dyDescent="0.3">
      <c r="A894" t="str">
        <f t="shared" si="26"/>
        <v>RM</v>
      </c>
      <c r="B894">
        <f t="shared" si="27"/>
        <v>15621</v>
      </c>
      <c r="E894" s="1" t="s">
        <v>468</v>
      </c>
      <c r="F894" s="1">
        <v>283</v>
      </c>
      <c r="G894" s="1">
        <v>8</v>
      </c>
      <c r="H894" s="1">
        <v>-2.1</v>
      </c>
    </row>
    <row r="895" spans="1:8" x14ac:dyDescent="0.3">
      <c r="A895" t="str">
        <f t="shared" si="26"/>
        <v>RM</v>
      </c>
      <c r="B895">
        <f t="shared" si="27"/>
        <v>3821</v>
      </c>
      <c r="E895" s="1" t="s">
        <v>238</v>
      </c>
      <c r="F895" s="1">
        <v>289</v>
      </c>
      <c r="G895" s="1">
        <v>14</v>
      </c>
      <c r="H895" s="1">
        <v>-2.2000000000000002</v>
      </c>
    </row>
    <row r="896" spans="1:8" x14ac:dyDescent="0.3">
      <c r="A896" t="str">
        <f t="shared" si="26"/>
        <v>RM</v>
      </c>
      <c r="B896">
        <f t="shared" si="27"/>
        <v>18421</v>
      </c>
      <c r="E896" s="1" t="s">
        <v>417</v>
      </c>
      <c r="F896" s="1">
        <v>307</v>
      </c>
      <c r="G896" s="1">
        <v>5</v>
      </c>
      <c r="H896" s="1">
        <v>-3.3</v>
      </c>
    </row>
    <row r="897" spans="1:10" x14ac:dyDescent="0.3">
      <c r="A897" t="str">
        <f t="shared" si="26"/>
        <v>RM</v>
      </c>
      <c r="B897">
        <f t="shared" si="27"/>
        <v>16221</v>
      </c>
      <c r="E897" s="1" t="s">
        <v>497</v>
      </c>
      <c r="F897" s="1">
        <v>313</v>
      </c>
      <c r="G897" s="1">
        <v>9</v>
      </c>
      <c r="H897" s="1">
        <v>-3.4</v>
      </c>
    </row>
    <row r="898" spans="1:10" x14ac:dyDescent="0.3">
      <c r="A898" t="str">
        <f t="shared" ref="A898:A961" si="28">IF(NOT(D898=""),INDEX(statAbbr,MATCH(D898,statOfficial,0),1),A897)</f>
        <v>RM</v>
      </c>
      <c r="B898">
        <f t="shared" ref="B898:B961" si="29">INDEX(statID,MATCH(A898,statAbbr,0),1)+INDEX(teamID,MATCH(E898,teamRawName,0))</f>
        <v>321</v>
      </c>
      <c r="E898" s="1" t="s">
        <v>215</v>
      </c>
      <c r="F898" s="1">
        <v>326</v>
      </c>
      <c r="G898" s="1">
        <v>16</v>
      </c>
      <c r="H898" s="1">
        <v>-4.0999999999999996</v>
      </c>
    </row>
    <row r="899" spans="1:10" x14ac:dyDescent="0.3">
      <c r="A899" t="str">
        <f t="shared" si="28"/>
        <v>RM</v>
      </c>
      <c r="B899">
        <f t="shared" si="29"/>
        <v>18521</v>
      </c>
      <c r="E899" s="1" t="s">
        <v>420</v>
      </c>
      <c r="F899" s="1">
        <v>338</v>
      </c>
      <c r="G899" s="1">
        <v>8</v>
      </c>
      <c r="H899" s="1">
        <v>-4.8</v>
      </c>
    </row>
    <row r="900" spans="1:10" x14ac:dyDescent="0.3">
      <c r="A900" t="str">
        <f t="shared" si="28"/>
        <v>DRPG</v>
      </c>
      <c r="B900">
        <f t="shared" si="29"/>
        <v>3710</v>
      </c>
      <c r="D900" s="1" t="s">
        <v>541</v>
      </c>
      <c r="E900" s="1" t="s">
        <v>115</v>
      </c>
      <c r="F900" s="1">
        <v>1</v>
      </c>
      <c r="G900" s="1">
        <v>1</v>
      </c>
      <c r="H900" s="1">
        <v>29.95</v>
      </c>
      <c r="I900" s="1" t="s">
        <v>115</v>
      </c>
      <c r="J900" s="1">
        <v>29.95</v>
      </c>
    </row>
    <row r="901" spans="1:10" x14ac:dyDescent="0.3">
      <c r="A901" t="str">
        <f t="shared" si="28"/>
        <v>DRPG</v>
      </c>
      <c r="B901">
        <f t="shared" si="29"/>
        <v>4310</v>
      </c>
      <c r="E901" s="1" t="s">
        <v>125</v>
      </c>
      <c r="F901" s="1">
        <v>2</v>
      </c>
      <c r="G901" s="1">
        <v>1</v>
      </c>
      <c r="H901" s="1">
        <v>29.69</v>
      </c>
    </row>
    <row r="902" spans="1:10" x14ac:dyDescent="0.3">
      <c r="A902" t="str">
        <f t="shared" si="28"/>
        <v>DRPG</v>
      </c>
      <c r="B902">
        <f t="shared" si="29"/>
        <v>3110</v>
      </c>
      <c r="E902" s="1" t="s">
        <v>93</v>
      </c>
      <c r="F902" s="1">
        <v>5</v>
      </c>
      <c r="G902" s="1">
        <v>1</v>
      </c>
      <c r="H902" s="1">
        <v>28.97</v>
      </c>
    </row>
    <row r="903" spans="1:10" x14ac:dyDescent="0.3">
      <c r="A903" t="str">
        <f t="shared" si="28"/>
        <v>DRPG</v>
      </c>
      <c r="B903">
        <f t="shared" si="29"/>
        <v>5510</v>
      </c>
      <c r="E903" s="1" t="s">
        <v>86</v>
      </c>
      <c r="F903" s="1">
        <v>7</v>
      </c>
      <c r="G903" s="1">
        <v>2</v>
      </c>
      <c r="H903" s="1">
        <v>28.14</v>
      </c>
    </row>
    <row r="904" spans="1:10" x14ac:dyDescent="0.3">
      <c r="A904" t="str">
        <f t="shared" si="28"/>
        <v>DRPG</v>
      </c>
      <c r="B904">
        <f t="shared" si="29"/>
        <v>5710</v>
      </c>
      <c r="E904" s="1" t="s">
        <v>120</v>
      </c>
      <c r="F904" s="1">
        <v>8</v>
      </c>
      <c r="G904" s="1">
        <v>3</v>
      </c>
      <c r="H904" s="1">
        <v>28.1</v>
      </c>
    </row>
    <row r="905" spans="1:10" x14ac:dyDescent="0.3">
      <c r="A905" t="str">
        <f t="shared" si="28"/>
        <v>DRPG</v>
      </c>
      <c r="B905">
        <f t="shared" si="29"/>
        <v>3910</v>
      </c>
      <c r="E905" s="1" t="s">
        <v>88</v>
      </c>
      <c r="F905" s="1">
        <v>10</v>
      </c>
      <c r="G905" s="1">
        <v>1</v>
      </c>
      <c r="H905" s="1">
        <v>27.97</v>
      </c>
    </row>
    <row r="906" spans="1:10" x14ac:dyDescent="0.3">
      <c r="A906" t="str">
        <f t="shared" si="28"/>
        <v>DRPG</v>
      </c>
      <c r="B906">
        <f t="shared" si="29"/>
        <v>910</v>
      </c>
      <c r="E906" s="1" t="s">
        <v>90</v>
      </c>
      <c r="F906" s="1">
        <v>11</v>
      </c>
      <c r="G906" s="1">
        <v>2</v>
      </c>
      <c r="H906" s="1">
        <v>27.89</v>
      </c>
    </row>
    <row r="907" spans="1:10" x14ac:dyDescent="0.3">
      <c r="A907" t="str">
        <f t="shared" si="28"/>
        <v>DRPG</v>
      </c>
      <c r="B907">
        <f t="shared" si="29"/>
        <v>14910</v>
      </c>
      <c r="E907" s="1" t="s">
        <v>307</v>
      </c>
      <c r="F907" s="1">
        <v>13</v>
      </c>
      <c r="G907" s="1">
        <v>1</v>
      </c>
      <c r="H907" s="1">
        <v>27.83</v>
      </c>
    </row>
    <row r="908" spans="1:10" x14ac:dyDescent="0.3">
      <c r="A908" t="str">
        <f t="shared" si="28"/>
        <v>DRPG</v>
      </c>
      <c r="B908">
        <f t="shared" si="29"/>
        <v>5410</v>
      </c>
      <c r="E908" s="1" t="s">
        <v>94</v>
      </c>
      <c r="F908" s="1">
        <v>18</v>
      </c>
      <c r="G908" s="1">
        <v>1</v>
      </c>
      <c r="H908" s="1">
        <v>27.51</v>
      </c>
    </row>
    <row r="909" spans="1:10" x14ac:dyDescent="0.3">
      <c r="A909" t="str">
        <f t="shared" si="28"/>
        <v>DRPG</v>
      </c>
      <c r="B909">
        <f t="shared" si="29"/>
        <v>2910</v>
      </c>
      <c r="E909" s="1" t="s">
        <v>96</v>
      </c>
      <c r="F909" s="1">
        <v>20</v>
      </c>
      <c r="G909" s="1">
        <v>2</v>
      </c>
      <c r="H909" s="1">
        <v>27.41</v>
      </c>
    </row>
    <row r="910" spans="1:10" x14ac:dyDescent="0.3">
      <c r="A910" t="str">
        <f t="shared" si="28"/>
        <v>DRPG</v>
      </c>
      <c r="B910">
        <f t="shared" si="29"/>
        <v>12510</v>
      </c>
      <c r="E910" s="1" t="s">
        <v>95</v>
      </c>
      <c r="F910" s="1">
        <v>21</v>
      </c>
      <c r="G910" s="1">
        <v>2</v>
      </c>
      <c r="H910" s="1">
        <v>27.4</v>
      </c>
    </row>
    <row r="911" spans="1:10" x14ac:dyDescent="0.3">
      <c r="A911" t="str">
        <f t="shared" si="28"/>
        <v>DRPG</v>
      </c>
      <c r="B911">
        <f t="shared" si="29"/>
        <v>7610</v>
      </c>
      <c r="E911" s="1" t="s">
        <v>253</v>
      </c>
      <c r="F911" s="1">
        <v>23</v>
      </c>
      <c r="G911" s="1">
        <v>3</v>
      </c>
      <c r="H911" s="1">
        <v>27.38</v>
      </c>
    </row>
    <row r="912" spans="1:10" x14ac:dyDescent="0.3">
      <c r="A912" t="str">
        <f t="shared" si="28"/>
        <v>DRPG</v>
      </c>
      <c r="B912">
        <f t="shared" si="29"/>
        <v>16110</v>
      </c>
      <c r="E912" s="1" t="s">
        <v>473</v>
      </c>
      <c r="F912" s="1">
        <v>26</v>
      </c>
      <c r="G912" s="1">
        <v>1</v>
      </c>
      <c r="H912" s="1">
        <v>27.33</v>
      </c>
    </row>
    <row r="913" spans="1:8" x14ac:dyDescent="0.3">
      <c r="A913" t="str">
        <f t="shared" si="28"/>
        <v>DRPG</v>
      </c>
      <c r="B913">
        <f t="shared" si="29"/>
        <v>4410</v>
      </c>
      <c r="E913" s="1" t="s">
        <v>83</v>
      </c>
      <c r="F913" s="1">
        <v>27</v>
      </c>
      <c r="G913" s="1">
        <v>1</v>
      </c>
      <c r="H913" s="1">
        <v>27.26</v>
      </c>
    </row>
    <row r="914" spans="1:8" x14ac:dyDescent="0.3">
      <c r="A914" t="str">
        <f t="shared" si="28"/>
        <v>DRPG</v>
      </c>
      <c r="B914">
        <f t="shared" si="29"/>
        <v>8310</v>
      </c>
      <c r="E914" s="1" t="s">
        <v>257</v>
      </c>
      <c r="F914" s="1">
        <v>27</v>
      </c>
      <c r="G914" s="1">
        <v>1</v>
      </c>
      <c r="H914" s="1">
        <v>27.26</v>
      </c>
    </row>
    <row r="915" spans="1:8" x14ac:dyDescent="0.3">
      <c r="A915" t="str">
        <f t="shared" si="28"/>
        <v>DRPG</v>
      </c>
      <c r="B915">
        <f t="shared" si="29"/>
        <v>4210</v>
      </c>
      <c r="E915" s="1" t="s">
        <v>123</v>
      </c>
      <c r="F915" s="1">
        <v>34</v>
      </c>
      <c r="G915" s="1">
        <v>4</v>
      </c>
      <c r="H915" s="1">
        <v>27.11</v>
      </c>
    </row>
    <row r="916" spans="1:8" x14ac:dyDescent="0.3">
      <c r="A916" t="str">
        <f t="shared" si="28"/>
        <v>DRPG</v>
      </c>
      <c r="B916">
        <f t="shared" si="29"/>
        <v>4710</v>
      </c>
      <c r="E916" s="1" t="s">
        <v>107</v>
      </c>
      <c r="F916" s="1">
        <v>37</v>
      </c>
      <c r="G916" s="1">
        <v>1</v>
      </c>
      <c r="H916" s="1">
        <v>26.91</v>
      </c>
    </row>
    <row r="917" spans="1:8" x14ac:dyDescent="0.3">
      <c r="A917" t="str">
        <f t="shared" si="28"/>
        <v>DRPG</v>
      </c>
      <c r="B917">
        <f t="shared" si="29"/>
        <v>4910</v>
      </c>
      <c r="E917" s="1" t="s">
        <v>108</v>
      </c>
      <c r="F917" s="1">
        <v>38</v>
      </c>
      <c r="G917" s="1">
        <v>2</v>
      </c>
      <c r="H917" s="1">
        <v>26.89</v>
      </c>
    </row>
    <row r="918" spans="1:8" x14ac:dyDescent="0.3">
      <c r="A918" t="str">
        <f t="shared" si="28"/>
        <v>DRPG</v>
      </c>
      <c r="B918">
        <f t="shared" si="29"/>
        <v>8210</v>
      </c>
      <c r="E918" s="1" t="s">
        <v>131</v>
      </c>
      <c r="F918" s="1">
        <v>46</v>
      </c>
      <c r="G918" s="1">
        <v>1</v>
      </c>
      <c r="H918" s="1">
        <v>26.66</v>
      </c>
    </row>
    <row r="919" spans="1:8" x14ac:dyDescent="0.3">
      <c r="A919" t="str">
        <f t="shared" si="28"/>
        <v>DRPG</v>
      </c>
      <c r="B919">
        <f t="shared" si="29"/>
        <v>1310</v>
      </c>
      <c r="E919" s="1" t="s">
        <v>82</v>
      </c>
      <c r="F919" s="1">
        <v>48</v>
      </c>
      <c r="G919" s="1">
        <v>2</v>
      </c>
      <c r="H919" s="1">
        <v>26.53</v>
      </c>
    </row>
    <row r="920" spans="1:8" x14ac:dyDescent="0.3">
      <c r="A920" t="str">
        <f t="shared" si="28"/>
        <v>DRPG</v>
      </c>
      <c r="B920">
        <f t="shared" si="29"/>
        <v>9310</v>
      </c>
      <c r="E920" s="1" t="s">
        <v>357</v>
      </c>
      <c r="F920" s="1">
        <v>51</v>
      </c>
      <c r="G920" s="1">
        <v>2</v>
      </c>
      <c r="H920" s="1">
        <v>26.44</v>
      </c>
    </row>
    <row r="921" spans="1:8" x14ac:dyDescent="0.3">
      <c r="A921" t="str">
        <f t="shared" si="28"/>
        <v>DRPG</v>
      </c>
      <c r="B921">
        <f t="shared" si="29"/>
        <v>5110</v>
      </c>
      <c r="E921" s="1" t="s">
        <v>240</v>
      </c>
      <c r="F921" s="1">
        <v>54</v>
      </c>
      <c r="G921" s="1">
        <v>6</v>
      </c>
      <c r="H921" s="1">
        <v>26.37</v>
      </c>
    </row>
    <row r="922" spans="1:8" x14ac:dyDescent="0.3">
      <c r="A922" t="str">
        <f t="shared" si="28"/>
        <v>DRPG</v>
      </c>
      <c r="B922">
        <f t="shared" si="29"/>
        <v>2710</v>
      </c>
      <c r="E922" s="1" t="s">
        <v>7</v>
      </c>
      <c r="F922" s="1">
        <v>56</v>
      </c>
      <c r="G922" s="1">
        <v>4</v>
      </c>
      <c r="H922" s="1">
        <v>26.33</v>
      </c>
    </row>
    <row r="923" spans="1:8" x14ac:dyDescent="0.3">
      <c r="A923" t="str">
        <f t="shared" si="28"/>
        <v>DRPG</v>
      </c>
      <c r="B923">
        <f t="shared" si="29"/>
        <v>15410</v>
      </c>
      <c r="E923" s="1" t="s">
        <v>494</v>
      </c>
      <c r="F923" s="1">
        <v>57</v>
      </c>
      <c r="G923" s="1">
        <v>2</v>
      </c>
      <c r="H923" s="1">
        <v>26.29</v>
      </c>
    </row>
    <row r="924" spans="1:8" x14ac:dyDescent="0.3">
      <c r="A924" t="str">
        <f t="shared" si="28"/>
        <v>DRPG</v>
      </c>
      <c r="B924">
        <f t="shared" si="29"/>
        <v>13110</v>
      </c>
      <c r="E924" s="1" t="s">
        <v>289</v>
      </c>
      <c r="F924" s="1">
        <v>62</v>
      </c>
      <c r="G924" s="1">
        <v>4</v>
      </c>
      <c r="H924" s="1">
        <v>26.17</v>
      </c>
    </row>
    <row r="925" spans="1:8" x14ac:dyDescent="0.3">
      <c r="A925" t="str">
        <f t="shared" si="28"/>
        <v>DRPG</v>
      </c>
      <c r="B925">
        <f t="shared" si="29"/>
        <v>8110</v>
      </c>
      <c r="E925" s="1" t="s">
        <v>256</v>
      </c>
      <c r="F925" s="1">
        <v>66</v>
      </c>
      <c r="G925" s="1">
        <v>4</v>
      </c>
      <c r="H925" s="1">
        <v>26.11</v>
      </c>
    </row>
    <row r="926" spans="1:8" x14ac:dyDescent="0.3">
      <c r="A926" t="str">
        <f t="shared" si="28"/>
        <v>DRPG</v>
      </c>
      <c r="B926">
        <f t="shared" si="29"/>
        <v>5810</v>
      </c>
      <c r="E926" s="1" t="s">
        <v>139</v>
      </c>
      <c r="F926" s="1">
        <v>73</v>
      </c>
      <c r="G926" s="1">
        <v>3</v>
      </c>
      <c r="H926" s="1">
        <v>26.03</v>
      </c>
    </row>
    <row r="927" spans="1:8" x14ac:dyDescent="0.3">
      <c r="A927" t="str">
        <f t="shared" si="28"/>
        <v>DRPG</v>
      </c>
      <c r="B927">
        <f t="shared" si="29"/>
        <v>2510</v>
      </c>
      <c r="E927" s="1" t="s">
        <v>92</v>
      </c>
      <c r="F927" s="1">
        <v>84</v>
      </c>
      <c r="G927" s="1">
        <v>3</v>
      </c>
      <c r="H927" s="1">
        <v>25.74</v>
      </c>
    </row>
    <row r="928" spans="1:8" x14ac:dyDescent="0.3">
      <c r="A928" t="str">
        <f t="shared" si="28"/>
        <v>DRPG</v>
      </c>
      <c r="B928">
        <f t="shared" si="29"/>
        <v>11110</v>
      </c>
      <c r="E928" s="1" t="s">
        <v>277</v>
      </c>
      <c r="F928" s="1">
        <v>90</v>
      </c>
      <c r="G928" s="1">
        <v>6</v>
      </c>
      <c r="H928" s="1">
        <v>25.69</v>
      </c>
    </row>
    <row r="929" spans="1:8" x14ac:dyDescent="0.3">
      <c r="A929" t="str">
        <f t="shared" si="28"/>
        <v>DRPG</v>
      </c>
      <c r="B929">
        <f t="shared" si="29"/>
        <v>4510</v>
      </c>
      <c r="E929" s="1" t="s">
        <v>84</v>
      </c>
      <c r="F929" s="1">
        <v>94</v>
      </c>
      <c r="G929" s="1">
        <v>5</v>
      </c>
      <c r="H929" s="1">
        <v>25.63</v>
      </c>
    </row>
    <row r="930" spans="1:8" x14ac:dyDescent="0.3">
      <c r="A930" t="str">
        <f t="shared" si="28"/>
        <v>DRPG</v>
      </c>
      <c r="B930">
        <f t="shared" si="29"/>
        <v>6910</v>
      </c>
      <c r="E930" s="1" t="s">
        <v>114</v>
      </c>
      <c r="F930" s="1">
        <v>96</v>
      </c>
      <c r="G930" s="1">
        <v>7</v>
      </c>
      <c r="H930" s="1">
        <v>25.6</v>
      </c>
    </row>
    <row r="931" spans="1:8" x14ac:dyDescent="0.3">
      <c r="A931" t="str">
        <f t="shared" si="28"/>
        <v>DRPG</v>
      </c>
      <c r="B931">
        <f t="shared" si="29"/>
        <v>7410</v>
      </c>
      <c r="E931" s="1" t="s">
        <v>251</v>
      </c>
      <c r="F931" s="1">
        <v>106</v>
      </c>
      <c r="G931" s="1">
        <v>5</v>
      </c>
      <c r="H931" s="1">
        <v>25.5</v>
      </c>
    </row>
    <row r="932" spans="1:8" x14ac:dyDescent="0.3">
      <c r="A932" t="str">
        <f t="shared" si="28"/>
        <v>DRPG</v>
      </c>
      <c r="B932">
        <f t="shared" si="29"/>
        <v>6710</v>
      </c>
      <c r="E932" s="1" t="s">
        <v>118</v>
      </c>
      <c r="F932" s="1">
        <v>107</v>
      </c>
      <c r="G932" s="1">
        <v>6</v>
      </c>
      <c r="H932" s="1">
        <v>25.49</v>
      </c>
    </row>
    <row r="933" spans="1:8" x14ac:dyDescent="0.3">
      <c r="A933" t="str">
        <f t="shared" si="28"/>
        <v>DRPG</v>
      </c>
      <c r="B933">
        <f t="shared" si="29"/>
        <v>15910</v>
      </c>
      <c r="E933" s="1" t="s">
        <v>495</v>
      </c>
      <c r="F933" s="1">
        <v>111</v>
      </c>
      <c r="G933" s="1">
        <v>2</v>
      </c>
      <c r="H933" s="1">
        <v>25.44</v>
      </c>
    </row>
    <row r="934" spans="1:8" x14ac:dyDescent="0.3">
      <c r="A934" t="str">
        <f t="shared" si="28"/>
        <v>DRPG</v>
      </c>
      <c r="B934">
        <f t="shared" si="29"/>
        <v>6610</v>
      </c>
      <c r="E934" s="1" t="s">
        <v>247</v>
      </c>
      <c r="F934" s="1">
        <v>120</v>
      </c>
      <c r="G934" s="1">
        <v>7</v>
      </c>
      <c r="H934" s="1">
        <v>25.31</v>
      </c>
    </row>
    <row r="935" spans="1:8" x14ac:dyDescent="0.3">
      <c r="A935" t="str">
        <f t="shared" si="28"/>
        <v>DRPG</v>
      </c>
      <c r="B935">
        <f t="shared" si="29"/>
        <v>18310</v>
      </c>
      <c r="E935" s="1" t="s">
        <v>423</v>
      </c>
      <c r="F935" s="1">
        <v>129</v>
      </c>
      <c r="G935" s="1">
        <v>4</v>
      </c>
      <c r="H935" s="1">
        <v>25.26</v>
      </c>
    </row>
    <row r="936" spans="1:8" x14ac:dyDescent="0.3">
      <c r="A936" t="str">
        <f t="shared" si="28"/>
        <v>DRPG</v>
      </c>
      <c r="B936">
        <f t="shared" si="29"/>
        <v>15810</v>
      </c>
      <c r="E936" s="1" t="s">
        <v>470</v>
      </c>
      <c r="F936" s="1">
        <v>132</v>
      </c>
      <c r="G936" s="1">
        <v>5</v>
      </c>
      <c r="H936" s="1">
        <v>25.26</v>
      </c>
    </row>
    <row r="937" spans="1:8" x14ac:dyDescent="0.3">
      <c r="A937" t="str">
        <f t="shared" si="28"/>
        <v>DRPG</v>
      </c>
      <c r="B937">
        <f t="shared" si="29"/>
        <v>7210</v>
      </c>
      <c r="E937" s="1" t="s">
        <v>116</v>
      </c>
      <c r="F937" s="1">
        <v>136</v>
      </c>
      <c r="G937" s="1">
        <v>7</v>
      </c>
      <c r="H937" s="1">
        <v>25.22</v>
      </c>
    </row>
    <row r="938" spans="1:8" x14ac:dyDescent="0.3">
      <c r="A938" t="str">
        <f t="shared" si="28"/>
        <v>DRPG</v>
      </c>
      <c r="B938">
        <f t="shared" si="29"/>
        <v>1610</v>
      </c>
      <c r="E938" s="1" t="s">
        <v>137</v>
      </c>
      <c r="F938" s="1">
        <v>144</v>
      </c>
      <c r="G938" s="1">
        <v>8</v>
      </c>
      <c r="H938" s="1">
        <v>25.09</v>
      </c>
    </row>
    <row r="939" spans="1:8" x14ac:dyDescent="0.3">
      <c r="A939" t="str">
        <f t="shared" si="28"/>
        <v>DRPG</v>
      </c>
      <c r="B939">
        <f t="shared" si="29"/>
        <v>3610</v>
      </c>
      <c r="E939" s="1" t="s">
        <v>129</v>
      </c>
      <c r="F939" s="1">
        <v>146</v>
      </c>
      <c r="G939" s="1">
        <v>9</v>
      </c>
      <c r="H939" s="1">
        <v>25.06</v>
      </c>
    </row>
    <row r="940" spans="1:8" x14ac:dyDescent="0.3">
      <c r="A940" t="str">
        <f t="shared" si="28"/>
        <v>DRPG</v>
      </c>
      <c r="B940">
        <f t="shared" si="29"/>
        <v>610</v>
      </c>
      <c r="E940" s="1" t="s">
        <v>100</v>
      </c>
      <c r="F940" s="1">
        <v>147</v>
      </c>
      <c r="G940" s="1">
        <v>8</v>
      </c>
      <c r="H940" s="1">
        <v>25.06</v>
      </c>
    </row>
    <row r="941" spans="1:8" x14ac:dyDescent="0.3">
      <c r="A941" t="str">
        <f t="shared" si="28"/>
        <v>DRPG</v>
      </c>
      <c r="B941">
        <f t="shared" si="29"/>
        <v>1210</v>
      </c>
      <c r="E941" s="1" t="s">
        <v>130</v>
      </c>
      <c r="F941" s="1">
        <v>148</v>
      </c>
      <c r="G941" s="1">
        <v>4</v>
      </c>
      <c r="H941" s="1">
        <v>25.03</v>
      </c>
    </row>
    <row r="942" spans="1:8" x14ac:dyDescent="0.3">
      <c r="A942" t="str">
        <f t="shared" si="28"/>
        <v>DRPG</v>
      </c>
      <c r="B942">
        <f t="shared" si="29"/>
        <v>12210</v>
      </c>
      <c r="E942" s="1" t="s">
        <v>284</v>
      </c>
      <c r="F942" s="1">
        <v>157</v>
      </c>
      <c r="G942" s="1">
        <v>9</v>
      </c>
      <c r="H942" s="1">
        <v>24.97</v>
      </c>
    </row>
    <row r="943" spans="1:8" x14ac:dyDescent="0.3">
      <c r="A943" t="str">
        <f t="shared" si="28"/>
        <v>DRPG</v>
      </c>
      <c r="B943">
        <f t="shared" si="29"/>
        <v>10610</v>
      </c>
      <c r="E943" s="1" t="s">
        <v>161</v>
      </c>
      <c r="F943" s="1">
        <v>158</v>
      </c>
      <c r="G943" s="1">
        <v>3</v>
      </c>
      <c r="H943" s="1">
        <v>24.94</v>
      </c>
    </row>
    <row r="944" spans="1:8" x14ac:dyDescent="0.3">
      <c r="A944" t="str">
        <f t="shared" si="28"/>
        <v>DRPG</v>
      </c>
      <c r="B944">
        <f t="shared" si="29"/>
        <v>15110</v>
      </c>
      <c r="E944" s="1" t="s">
        <v>464</v>
      </c>
      <c r="F944" s="1">
        <v>162</v>
      </c>
      <c r="G944" s="1">
        <v>4</v>
      </c>
      <c r="H944" s="1">
        <v>24.89</v>
      </c>
    </row>
    <row r="945" spans="1:8" x14ac:dyDescent="0.3">
      <c r="A945" t="str">
        <f t="shared" si="28"/>
        <v>DRPG</v>
      </c>
      <c r="B945">
        <f t="shared" si="29"/>
        <v>15010</v>
      </c>
      <c r="E945" s="1" t="s">
        <v>463</v>
      </c>
      <c r="F945" s="1">
        <v>162</v>
      </c>
      <c r="G945" s="1">
        <v>5</v>
      </c>
      <c r="H945" s="1">
        <v>24.89</v>
      </c>
    </row>
    <row r="946" spans="1:8" x14ac:dyDescent="0.3">
      <c r="A946" t="str">
        <f t="shared" si="28"/>
        <v>DRPG</v>
      </c>
      <c r="B946">
        <f t="shared" si="29"/>
        <v>3510</v>
      </c>
      <c r="E946" s="1" t="s">
        <v>87</v>
      </c>
      <c r="F946" s="1">
        <v>165</v>
      </c>
      <c r="G946" s="1">
        <v>10</v>
      </c>
      <c r="H946" s="1">
        <v>24.87</v>
      </c>
    </row>
    <row r="947" spans="1:8" x14ac:dyDescent="0.3">
      <c r="A947" t="str">
        <f t="shared" si="28"/>
        <v>DRPG</v>
      </c>
      <c r="B947">
        <f t="shared" si="29"/>
        <v>15710</v>
      </c>
      <c r="E947" s="1" t="s">
        <v>469</v>
      </c>
      <c r="F947" s="1">
        <v>178</v>
      </c>
      <c r="G947" s="1">
        <v>10</v>
      </c>
      <c r="H947" s="1">
        <v>24.71</v>
      </c>
    </row>
    <row r="948" spans="1:8" x14ac:dyDescent="0.3">
      <c r="A948" t="str">
        <f t="shared" si="28"/>
        <v>DRPG</v>
      </c>
      <c r="B948">
        <f t="shared" si="29"/>
        <v>16210</v>
      </c>
      <c r="E948" s="1" t="s">
        <v>497</v>
      </c>
      <c r="F948" s="1">
        <v>188</v>
      </c>
      <c r="G948" s="1">
        <v>5</v>
      </c>
      <c r="H948" s="1">
        <v>24.61</v>
      </c>
    </row>
    <row r="949" spans="1:8" x14ac:dyDescent="0.3">
      <c r="A949" t="str">
        <f t="shared" si="28"/>
        <v>DRPG</v>
      </c>
      <c r="B949">
        <f t="shared" si="29"/>
        <v>13910</v>
      </c>
      <c r="E949" s="1" t="s">
        <v>297</v>
      </c>
      <c r="F949" s="1">
        <v>189</v>
      </c>
      <c r="G949" s="1">
        <v>11</v>
      </c>
      <c r="H949" s="1">
        <v>24.61</v>
      </c>
    </row>
    <row r="950" spans="1:8" x14ac:dyDescent="0.3">
      <c r="A950" t="str">
        <f t="shared" si="28"/>
        <v>DRPG</v>
      </c>
      <c r="B950">
        <f t="shared" si="29"/>
        <v>2310</v>
      </c>
      <c r="E950" s="1" t="s">
        <v>79</v>
      </c>
      <c r="F950" s="1">
        <v>200</v>
      </c>
      <c r="G950" s="1">
        <v>8</v>
      </c>
      <c r="H950" s="1">
        <v>24.54</v>
      </c>
    </row>
    <row r="951" spans="1:8" x14ac:dyDescent="0.3">
      <c r="A951" t="str">
        <f t="shared" si="28"/>
        <v>DRPG</v>
      </c>
      <c r="B951">
        <f t="shared" si="29"/>
        <v>11710</v>
      </c>
      <c r="E951" s="1" t="s">
        <v>280</v>
      </c>
      <c r="F951" s="1">
        <v>210</v>
      </c>
      <c r="G951" s="1">
        <v>5</v>
      </c>
      <c r="H951" s="1">
        <v>24.43</v>
      </c>
    </row>
    <row r="952" spans="1:8" x14ac:dyDescent="0.3">
      <c r="A952" t="str">
        <f t="shared" si="28"/>
        <v>DRPG</v>
      </c>
      <c r="B952">
        <f t="shared" si="29"/>
        <v>210</v>
      </c>
      <c r="E952" s="1" t="s">
        <v>98</v>
      </c>
      <c r="F952" s="1">
        <v>214</v>
      </c>
      <c r="G952" s="1">
        <v>7</v>
      </c>
      <c r="H952" s="1">
        <v>24.34</v>
      </c>
    </row>
    <row r="953" spans="1:8" x14ac:dyDescent="0.3">
      <c r="A953" t="str">
        <f t="shared" si="28"/>
        <v>DRPG</v>
      </c>
      <c r="B953">
        <f t="shared" si="29"/>
        <v>2010</v>
      </c>
      <c r="E953" s="1" t="s">
        <v>328</v>
      </c>
      <c r="F953" s="1">
        <v>221</v>
      </c>
      <c r="G953" s="1">
        <v>2</v>
      </c>
      <c r="H953" s="1">
        <v>24.29</v>
      </c>
    </row>
    <row r="954" spans="1:8" x14ac:dyDescent="0.3">
      <c r="A954" t="str">
        <f t="shared" si="28"/>
        <v>DRPG</v>
      </c>
      <c r="B954">
        <f t="shared" si="29"/>
        <v>18410</v>
      </c>
      <c r="E954" s="1" t="s">
        <v>417</v>
      </c>
      <c r="F954" s="1">
        <v>230</v>
      </c>
      <c r="G954" s="1">
        <v>3</v>
      </c>
      <c r="H954" s="1">
        <v>24.21</v>
      </c>
    </row>
    <row r="955" spans="1:8" x14ac:dyDescent="0.3">
      <c r="A955" t="str">
        <f t="shared" si="28"/>
        <v>DRPG</v>
      </c>
      <c r="B955">
        <f t="shared" si="29"/>
        <v>4010</v>
      </c>
      <c r="E955" s="1" t="s">
        <v>105</v>
      </c>
      <c r="F955" s="1">
        <v>242</v>
      </c>
      <c r="G955" s="1">
        <v>12</v>
      </c>
      <c r="H955" s="1">
        <v>24.09</v>
      </c>
    </row>
    <row r="956" spans="1:8" x14ac:dyDescent="0.3">
      <c r="A956" t="str">
        <f t="shared" si="28"/>
        <v>DRPG</v>
      </c>
      <c r="B956">
        <f t="shared" si="29"/>
        <v>2810</v>
      </c>
      <c r="E956" s="1" t="s">
        <v>106</v>
      </c>
      <c r="F956" s="1">
        <v>243</v>
      </c>
      <c r="G956" s="1">
        <v>11</v>
      </c>
      <c r="H956" s="1">
        <v>24.08</v>
      </c>
    </row>
    <row r="957" spans="1:8" x14ac:dyDescent="0.3">
      <c r="A957" t="str">
        <f t="shared" si="28"/>
        <v>DRPG</v>
      </c>
      <c r="B957">
        <f t="shared" si="29"/>
        <v>310</v>
      </c>
      <c r="E957" s="1" t="s">
        <v>215</v>
      </c>
      <c r="F957" s="1">
        <v>252</v>
      </c>
      <c r="G957" s="1">
        <v>13</v>
      </c>
      <c r="H957" s="1">
        <v>23.94</v>
      </c>
    </row>
    <row r="958" spans="1:8" x14ac:dyDescent="0.3">
      <c r="A958" t="str">
        <f t="shared" si="28"/>
        <v>DRPG</v>
      </c>
      <c r="B958">
        <f t="shared" si="29"/>
        <v>3810</v>
      </c>
      <c r="E958" s="1" t="s">
        <v>238</v>
      </c>
      <c r="F958" s="1">
        <v>264</v>
      </c>
      <c r="G958" s="1">
        <v>14</v>
      </c>
      <c r="H958" s="1">
        <v>23.68</v>
      </c>
    </row>
    <row r="959" spans="1:8" x14ac:dyDescent="0.3">
      <c r="A959" t="str">
        <f t="shared" si="28"/>
        <v>DRPG</v>
      </c>
      <c r="B959">
        <f t="shared" si="29"/>
        <v>14410</v>
      </c>
      <c r="E959" s="1" t="s">
        <v>302</v>
      </c>
      <c r="F959" s="1">
        <v>290</v>
      </c>
      <c r="G959" s="1">
        <v>15</v>
      </c>
      <c r="H959" s="1">
        <v>23.21</v>
      </c>
    </row>
    <row r="960" spans="1:8" x14ac:dyDescent="0.3">
      <c r="A960" t="str">
        <f t="shared" si="28"/>
        <v>DRPG</v>
      </c>
      <c r="B960">
        <f t="shared" si="29"/>
        <v>3310</v>
      </c>
      <c r="E960" s="1" t="s">
        <v>91</v>
      </c>
      <c r="F960" s="1">
        <v>293</v>
      </c>
      <c r="G960" s="1">
        <v>10</v>
      </c>
      <c r="H960" s="1">
        <v>23.15</v>
      </c>
    </row>
    <row r="961" spans="1:10" x14ac:dyDescent="0.3">
      <c r="A961" t="str">
        <f t="shared" si="28"/>
        <v>DRPG</v>
      </c>
      <c r="B961">
        <f t="shared" si="29"/>
        <v>3010</v>
      </c>
      <c r="E961" s="1" t="s">
        <v>89</v>
      </c>
      <c r="F961" s="1">
        <v>297</v>
      </c>
      <c r="G961" s="1">
        <v>15</v>
      </c>
      <c r="H961" s="1">
        <v>23.08</v>
      </c>
    </row>
    <row r="962" spans="1:10" x14ac:dyDescent="0.3">
      <c r="A962" t="str">
        <f t="shared" ref="A962:A1025" si="30">IF(NOT(D962=""),INDEX(statAbbr,MATCH(D962,statOfficial,0),1),A961)</f>
        <v>DRPG</v>
      </c>
      <c r="B962">
        <f t="shared" ref="B962:B1025" si="31">INDEX(statID,MATCH(A962,statAbbr,0),1)+INDEX(teamID,MATCH(E962,teamRawName,0))</f>
        <v>14110</v>
      </c>
      <c r="E962" s="1" t="s">
        <v>299</v>
      </c>
      <c r="F962" s="1">
        <v>301</v>
      </c>
      <c r="G962" s="1">
        <v>16</v>
      </c>
      <c r="H962" s="1">
        <v>23.03</v>
      </c>
    </row>
    <row r="963" spans="1:10" x14ac:dyDescent="0.3">
      <c r="A963" t="str">
        <f t="shared" si="30"/>
        <v>DRPG</v>
      </c>
      <c r="B963">
        <f t="shared" si="31"/>
        <v>1410</v>
      </c>
      <c r="E963" s="1" t="s">
        <v>102</v>
      </c>
      <c r="F963" s="1">
        <v>302</v>
      </c>
      <c r="G963" s="1">
        <v>10</v>
      </c>
      <c r="H963" s="1">
        <v>23</v>
      </c>
    </row>
    <row r="964" spans="1:10" x14ac:dyDescent="0.3">
      <c r="A964" t="str">
        <f t="shared" si="30"/>
        <v>DRPG</v>
      </c>
      <c r="B964">
        <f t="shared" si="31"/>
        <v>18510</v>
      </c>
      <c r="E964" s="1" t="s">
        <v>420</v>
      </c>
      <c r="F964" s="1">
        <v>307</v>
      </c>
      <c r="G964" s="1">
        <v>7</v>
      </c>
      <c r="H964" s="1">
        <v>22.93</v>
      </c>
    </row>
    <row r="965" spans="1:10" x14ac:dyDescent="0.3">
      <c r="A965" t="str">
        <f t="shared" si="30"/>
        <v>DRPG</v>
      </c>
      <c r="B965">
        <f t="shared" si="31"/>
        <v>3210</v>
      </c>
      <c r="E965" s="1" t="s">
        <v>127</v>
      </c>
      <c r="F965" s="1">
        <v>308</v>
      </c>
      <c r="G965" s="1">
        <v>15</v>
      </c>
      <c r="H965" s="1">
        <v>22.91</v>
      </c>
    </row>
    <row r="966" spans="1:10" x14ac:dyDescent="0.3">
      <c r="A966" t="str">
        <f t="shared" si="30"/>
        <v>DRPG</v>
      </c>
      <c r="B966">
        <f t="shared" si="31"/>
        <v>15610</v>
      </c>
      <c r="E966" s="1" t="s">
        <v>468</v>
      </c>
      <c r="F966" s="1">
        <v>325</v>
      </c>
      <c r="G966" s="1">
        <v>10</v>
      </c>
      <c r="H966" s="1">
        <v>22.49</v>
      </c>
    </row>
    <row r="967" spans="1:10" x14ac:dyDescent="0.3">
      <c r="A967" t="str">
        <f t="shared" si="30"/>
        <v>DRPG</v>
      </c>
      <c r="B967">
        <f t="shared" si="31"/>
        <v>9010</v>
      </c>
      <c r="E967" s="1" t="s">
        <v>261</v>
      </c>
      <c r="F967" s="1">
        <v>342</v>
      </c>
      <c r="G967" s="1">
        <v>18</v>
      </c>
      <c r="H967" s="1">
        <v>21.85</v>
      </c>
    </row>
    <row r="968" spans="1:10" x14ac:dyDescent="0.3">
      <c r="A968" t="str">
        <f t="shared" si="30"/>
        <v>DRPG</v>
      </c>
      <c r="B968">
        <f t="shared" si="31"/>
        <v>9510</v>
      </c>
      <c r="E968" s="1" t="s">
        <v>85</v>
      </c>
      <c r="F968" s="1">
        <v>350</v>
      </c>
      <c r="G968" s="1">
        <v>12</v>
      </c>
      <c r="H968" s="1">
        <v>20.71</v>
      </c>
    </row>
    <row r="969" spans="1:10" x14ac:dyDescent="0.3">
      <c r="A969" t="str">
        <f t="shared" si="30"/>
        <v>ORPG</v>
      </c>
      <c r="B969">
        <f t="shared" si="31"/>
        <v>3619</v>
      </c>
      <c r="D969" s="1" t="s">
        <v>550</v>
      </c>
      <c r="E969" s="1" t="s">
        <v>129</v>
      </c>
      <c r="F969" s="1">
        <v>1</v>
      </c>
      <c r="G969" s="1">
        <v>1</v>
      </c>
      <c r="H969" s="1">
        <v>15.97</v>
      </c>
      <c r="I969" s="1" t="s">
        <v>129</v>
      </c>
      <c r="J969" s="1">
        <v>15.97</v>
      </c>
    </row>
    <row r="970" spans="1:10" x14ac:dyDescent="0.3">
      <c r="A970" t="str">
        <f t="shared" si="30"/>
        <v>ORPG</v>
      </c>
      <c r="B970">
        <f t="shared" si="31"/>
        <v>9319</v>
      </c>
      <c r="E970" s="1" t="s">
        <v>357</v>
      </c>
      <c r="F970" s="1">
        <v>2</v>
      </c>
      <c r="G970" s="1">
        <v>1</v>
      </c>
      <c r="H970" s="1">
        <v>14.86</v>
      </c>
    </row>
    <row r="971" spans="1:10" x14ac:dyDescent="0.3">
      <c r="A971" t="str">
        <f t="shared" si="30"/>
        <v>ORPG</v>
      </c>
      <c r="B971">
        <f t="shared" si="31"/>
        <v>2519</v>
      </c>
      <c r="E971" s="1" t="s">
        <v>92</v>
      </c>
      <c r="F971" s="1">
        <v>9</v>
      </c>
      <c r="G971" s="1">
        <v>1</v>
      </c>
      <c r="H971" s="1">
        <v>13.97</v>
      </c>
    </row>
    <row r="972" spans="1:10" x14ac:dyDescent="0.3">
      <c r="A972" t="str">
        <f t="shared" si="30"/>
        <v>ORPG</v>
      </c>
      <c r="B972">
        <f t="shared" si="31"/>
        <v>15719</v>
      </c>
      <c r="E972" s="1" t="s">
        <v>469</v>
      </c>
      <c r="F972" s="1">
        <v>11</v>
      </c>
      <c r="G972" s="1">
        <v>2</v>
      </c>
      <c r="H972" s="1">
        <v>13.85</v>
      </c>
    </row>
    <row r="973" spans="1:10" x14ac:dyDescent="0.3">
      <c r="A973" t="str">
        <f t="shared" si="30"/>
        <v>ORPG</v>
      </c>
      <c r="B973">
        <f t="shared" si="31"/>
        <v>5719</v>
      </c>
      <c r="E973" s="1" t="s">
        <v>120</v>
      </c>
      <c r="F973" s="1">
        <v>13</v>
      </c>
      <c r="G973" s="1">
        <v>2</v>
      </c>
      <c r="H973" s="1">
        <v>13.73</v>
      </c>
    </row>
    <row r="974" spans="1:10" x14ac:dyDescent="0.3">
      <c r="A974" t="str">
        <f t="shared" si="30"/>
        <v>ORPG</v>
      </c>
      <c r="B974">
        <f t="shared" si="31"/>
        <v>14919</v>
      </c>
      <c r="E974" s="1" t="s">
        <v>307</v>
      </c>
      <c r="F974" s="1">
        <v>20</v>
      </c>
      <c r="G974" s="1">
        <v>1</v>
      </c>
      <c r="H974" s="1">
        <v>13.29</v>
      </c>
    </row>
    <row r="975" spans="1:10" x14ac:dyDescent="0.3">
      <c r="A975" t="str">
        <f t="shared" si="30"/>
        <v>ORPG</v>
      </c>
      <c r="B975">
        <f t="shared" si="31"/>
        <v>12219</v>
      </c>
      <c r="E975" s="1" t="s">
        <v>284</v>
      </c>
      <c r="F975" s="1">
        <v>23</v>
      </c>
      <c r="G975" s="1">
        <v>2</v>
      </c>
      <c r="H975" s="1">
        <v>13.23</v>
      </c>
    </row>
    <row r="976" spans="1:10" x14ac:dyDescent="0.3">
      <c r="A976" t="str">
        <f t="shared" si="30"/>
        <v>ORPG</v>
      </c>
      <c r="B976">
        <f t="shared" si="31"/>
        <v>3219</v>
      </c>
      <c r="E976" s="1" t="s">
        <v>127</v>
      </c>
      <c r="F976" s="1">
        <v>29</v>
      </c>
      <c r="G976" s="1">
        <v>1</v>
      </c>
      <c r="H976" s="1">
        <v>12.97</v>
      </c>
    </row>
    <row r="977" spans="1:8" x14ac:dyDescent="0.3">
      <c r="A977" t="str">
        <f t="shared" si="30"/>
        <v>ORPG</v>
      </c>
      <c r="B977">
        <f t="shared" si="31"/>
        <v>4319</v>
      </c>
      <c r="E977" s="1" t="s">
        <v>125</v>
      </c>
      <c r="F977" s="1">
        <v>32</v>
      </c>
      <c r="G977" s="1">
        <v>1</v>
      </c>
      <c r="H977" s="1">
        <v>12.94</v>
      </c>
    </row>
    <row r="978" spans="1:8" x14ac:dyDescent="0.3">
      <c r="A978" t="str">
        <f t="shared" si="30"/>
        <v>ORPG</v>
      </c>
      <c r="B978">
        <f t="shared" si="31"/>
        <v>15819</v>
      </c>
      <c r="E978" s="1" t="s">
        <v>470</v>
      </c>
      <c r="F978" s="1">
        <v>32</v>
      </c>
      <c r="G978" s="1">
        <v>2</v>
      </c>
      <c r="H978" s="1">
        <v>12.94</v>
      </c>
    </row>
    <row r="979" spans="1:8" x14ac:dyDescent="0.3">
      <c r="A979" t="str">
        <f t="shared" si="30"/>
        <v>ORPG</v>
      </c>
      <c r="B979">
        <f t="shared" si="31"/>
        <v>2819</v>
      </c>
      <c r="E979" s="1" t="s">
        <v>106</v>
      </c>
      <c r="F979" s="1">
        <v>38</v>
      </c>
      <c r="G979" s="1">
        <v>2</v>
      </c>
      <c r="H979" s="1">
        <v>12.8</v>
      </c>
    </row>
    <row r="980" spans="1:8" x14ac:dyDescent="0.3">
      <c r="A980" t="str">
        <f t="shared" si="30"/>
        <v>ORPG</v>
      </c>
      <c r="B980">
        <f t="shared" si="31"/>
        <v>1619</v>
      </c>
      <c r="E980" s="1" t="s">
        <v>137</v>
      </c>
      <c r="F980" s="1">
        <v>39</v>
      </c>
      <c r="G980" s="1">
        <v>3</v>
      </c>
      <c r="H980" s="1">
        <v>12.79</v>
      </c>
    </row>
    <row r="981" spans="1:8" x14ac:dyDescent="0.3">
      <c r="A981" t="str">
        <f t="shared" si="30"/>
        <v>ORPG</v>
      </c>
      <c r="B981">
        <f t="shared" si="31"/>
        <v>15119</v>
      </c>
      <c r="E981" s="1" t="s">
        <v>464</v>
      </c>
      <c r="F981" s="1">
        <v>46</v>
      </c>
      <c r="G981" s="1">
        <v>2</v>
      </c>
      <c r="H981" s="1">
        <v>12.54</v>
      </c>
    </row>
    <row r="982" spans="1:8" x14ac:dyDescent="0.3">
      <c r="A982" t="str">
        <f t="shared" si="30"/>
        <v>ORPG</v>
      </c>
      <c r="B982">
        <f t="shared" si="31"/>
        <v>3719</v>
      </c>
      <c r="E982" s="1" t="s">
        <v>115</v>
      </c>
      <c r="F982" s="1">
        <v>52</v>
      </c>
      <c r="G982" s="1">
        <v>4</v>
      </c>
      <c r="H982" s="1">
        <v>12.41</v>
      </c>
    </row>
    <row r="983" spans="1:8" x14ac:dyDescent="0.3">
      <c r="A983" t="str">
        <f t="shared" si="30"/>
        <v>ORPG</v>
      </c>
      <c r="B983">
        <f t="shared" si="31"/>
        <v>2919</v>
      </c>
      <c r="E983" s="1" t="s">
        <v>96</v>
      </c>
      <c r="F983" s="1">
        <v>56</v>
      </c>
      <c r="G983" s="1">
        <v>4</v>
      </c>
      <c r="H983" s="1">
        <v>12.32</v>
      </c>
    </row>
    <row r="984" spans="1:8" x14ac:dyDescent="0.3">
      <c r="A984" t="str">
        <f t="shared" si="30"/>
        <v>ORPG</v>
      </c>
      <c r="B984">
        <f t="shared" si="31"/>
        <v>6619</v>
      </c>
      <c r="E984" s="1" t="s">
        <v>247</v>
      </c>
      <c r="F984" s="1">
        <v>59</v>
      </c>
      <c r="G984" s="1">
        <v>4</v>
      </c>
      <c r="H984" s="1">
        <v>12.2</v>
      </c>
    </row>
    <row r="985" spans="1:8" x14ac:dyDescent="0.3">
      <c r="A985" t="str">
        <f t="shared" si="30"/>
        <v>ORPG</v>
      </c>
      <c r="B985">
        <f t="shared" si="31"/>
        <v>4719</v>
      </c>
      <c r="E985" s="1" t="s">
        <v>107</v>
      </c>
      <c r="F985" s="1">
        <v>71</v>
      </c>
      <c r="G985" s="1">
        <v>1</v>
      </c>
      <c r="H985" s="1">
        <v>11.97</v>
      </c>
    </row>
    <row r="986" spans="1:8" x14ac:dyDescent="0.3">
      <c r="A986" t="str">
        <f t="shared" si="30"/>
        <v>ORPG</v>
      </c>
      <c r="B986">
        <f t="shared" si="31"/>
        <v>919</v>
      </c>
      <c r="E986" s="1" t="s">
        <v>90</v>
      </c>
      <c r="F986" s="1">
        <v>76</v>
      </c>
      <c r="G986" s="1">
        <v>2</v>
      </c>
      <c r="H986" s="1">
        <v>11.89</v>
      </c>
    </row>
    <row r="987" spans="1:8" x14ac:dyDescent="0.3">
      <c r="A987" t="str">
        <f t="shared" si="30"/>
        <v>ORPG</v>
      </c>
      <c r="B987">
        <f t="shared" si="31"/>
        <v>15419</v>
      </c>
      <c r="E987" s="1" t="s">
        <v>494</v>
      </c>
      <c r="F987" s="1">
        <v>80</v>
      </c>
      <c r="G987" s="1">
        <v>3</v>
      </c>
      <c r="H987" s="1">
        <v>11.85</v>
      </c>
    </row>
    <row r="988" spans="1:8" x14ac:dyDescent="0.3">
      <c r="A988" t="str">
        <f t="shared" si="30"/>
        <v>ORPG</v>
      </c>
      <c r="B988">
        <f t="shared" si="31"/>
        <v>13919</v>
      </c>
      <c r="E988" s="1" t="s">
        <v>297</v>
      </c>
      <c r="F988" s="1">
        <v>81</v>
      </c>
      <c r="G988" s="1">
        <v>5</v>
      </c>
      <c r="H988" s="1">
        <v>11.85</v>
      </c>
    </row>
    <row r="989" spans="1:8" x14ac:dyDescent="0.3">
      <c r="A989" t="str">
        <f t="shared" si="30"/>
        <v>ORPG</v>
      </c>
      <c r="B989">
        <f t="shared" si="31"/>
        <v>7219</v>
      </c>
      <c r="E989" s="1" t="s">
        <v>116</v>
      </c>
      <c r="F989" s="1">
        <v>83</v>
      </c>
      <c r="G989" s="1">
        <v>7</v>
      </c>
      <c r="H989" s="1">
        <v>11.84</v>
      </c>
    </row>
    <row r="990" spans="1:8" x14ac:dyDescent="0.3">
      <c r="A990" t="str">
        <f t="shared" si="30"/>
        <v>ORPG</v>
      </c>
      <c r="B990">
        <f t="shared" si="31"/>
        <v>8219</v>
      </c>
      <c r="E990" s="1" t="s">
        <v>131</v>
      </c>
      <c r="F990" s="1">
        <v>84</v>
      </c>
      <c r="G990" s="1">
        <v>3</v>
      </c>
      <c r="H990" s="1">
        <v>11.83</v>
      </c>
    </row>
    <row r="991" spans="1:8" x14ac:dyDescent="0.3">
      <c r="A991" t="str">
        <f t="shared" si="30"/>
        <v>ORPG</v>
      </c>
      <c r="B991">
        <f t="shared" si="31"/>
        <v>4519</v>
      </c>
      <c r="E991" s="1" t="s">
        <v>84</v>
      </c>
      <c r="F991" s="1">
        <v>86</v>
      </c>
      <c r="G991" s="1">
        <v>6</v>
      </c>
      <c r="H991" s="1">
        <v>11.82</v>
      </c>
    </row>
    <row r="992" spans="1:8" x14ac:dyDescent="0.3">
      <c r="A992" t="str">
        <f t="shared" si="30"/>
        <v>ORPG</v>
      </c>
      <c r="B992">
        <f t="shared" si="31"/>
        <v>219</v>
      </c>
      <c r="E992" s="1" t="s">
        <v>98</v>
      </c>
      <c r="F992" s="1">
        <v>91</v>
      </c>
      <c r="G992" s="1">
        <v>7</v>
      </c>
      <c r="H992" s="1">
        <v>11.71</v>
      </c>
    </row>
    <row r="993" spans="1:8" x14ac:dyDescent="0.3">
      <c r="A993" t="str">
        <f t="shared" si="30"/>
        <v>ORPG</v>
      </c>
      <c r="B993">
        <f t="shared" si="31"/>
        <v>1419</v>
      </c>
      <c r="E993" s="1" t="s">
        <v>102</v>
      </c>
      <c r="F993" s="1">
        <v>97</v>
      </c>
      <c r="G993" s="1">
        <v>2</v>
      </c>
      <c r="H993" s="1">
        <v>11.62</v>
      </c>
    </row>
    <row r="994" spans="1:8" x14ac:dyDescent="0.3">
      <c r="A994" t="str">
        <f t="shared" si="30"/>
        <v>ORPG</v>
      </c>
      <c r="B994">
        <f t="shared" si="31"/>
        <v>16219</v>
      </c>
      <c r="E994" s="1" t="s">
        <v>497</v>
      </c>
      <c r="F994" s="1">
        <v>98</v>
      </c>
      <c r="G994" s="1">
        <v>4</v>
      </c>
      <c r="H994" s="1">
        <v>11.58</v>
      </c>
    </row>
    <row r="995" spans="1:8" x14ac:dyDescent="0.3">
      <c r="A995" t="str">
        <f t="shared" si="30"/>
        <v>ORPG</v>
      </c>
      <c r="B995">
        <f t="shared" si="31"/>
        <v>3519</v>
      </c>
      <c r="E995" s="1" t="s">
        <v>87</v>
      </c>
      <c r="F995" s="1">
        <v>103</v>
      </c>
      <c r="G995" s="1">
        <v>7</v>
      </c>
      <c r="H995" s="1">
        <v>11.5</v>
      </c>
    </row>
    <row r="996" spans="1:8" x14ac:dyDescent="0.3">
      <c r="A996" t="str">
        <f t="shared" si="30"/>
        <v>ORPG</v>
      </c>
      <c r="B996">
        <f t="shared" si="31"/>
        <v>14419</v>
      </c>
      <c r="E996" s="1" t="s">
        <v>302</v>
      </c>
      <c r="F996" s="1">
        <v>105</v>
      </c>
      <c r="G996" s="1">
        <v>8</v>
      </c>
      <c r="H996" s="1">
        <v>11.48</v>
      </c>
    </row>
    <row r="997" spans="1:8" x14ac:dyDescent="0.3">
      <c r="A997" t="str">
        <f t="shared" si="30"/>
        <v>ORPG</v>
      </c>
      <c r="B997">
        <f t="shared" si="31"/>
        <v>2719</v>
      </c>
      <c r="E997" s="1" t="s">
        <v>7</v>
      </c>
      <c r="F997" s="1">
        <v>118</v>
      </c>
      <c r="G997" s="1">
        <v>9</v>
      </c>
      <c r="H997" s="1">
        <v>11.28</v>
      </c>
    </row>
    <row r="998" spans="1:8" x14ac:dyDescent="0.3">
      <c r="A998" t="str">
        <f t="shared" si="30"/>
        <v>ORPG</v>
      </c>
      <c r="B998">
        <f t="shared" si="31"/>
        <v>4019</v>
      </c>
      <c r="E998" s="1" t="s">
        <v>105</v>
      </c>
      <c r="F998" s="1">
        <v>119</v>
      </c>
      <c r="G998" s="1">
        <v>3</v>
      </c>
      <c r="H998" s="1">
        <v>11.26</v>
      </c>
    </row>
    <row r="999" spans="1:8" x14ac:dyDescent="0.3">
      <c r="A999" t="str">
        <f t="shared" si="30"/>
        <v>ORPG</v>
      </c>
      <c r="B999">
        <f t="shared" si="31"/>
        <v>18319</v>
      </c>
      <c r="E999" s="1" t="s">
        <v>423</v>
      </c>
      <c r="F999" s="1">
        <v>128</v>
      </c>
      <c r="G999" s="1">
        <v>9</v>
      </c>
      <c r="H999" s="1">
        <v>11.21</v>
      </c>
    </row>
    <row r="1000" spans="1:8" x14ac:dyDescent="0.3">
      <c r="A1000" t="str">
        <f t="shared" si="30"/>
        <v>ORPG</v>
      </c>
      <c r="B1000">
        <f t="shared" si="31"/>
        <v>5819</v>
      </c>
      <c r="E1000" s="1" t="s">
        <v>139</v>
      </c>
      <c r="F1000" s="1">
        <v>128</v>
      </c>
      <c r="G1000" s="1">
        <v>3</v>
      </c>
      <c r="H1000" s="1">
        <v>11.21</v>
      </c>
    </row>
    <row r="1001" spans="1:8" x14ac:dyDescent="0.3">
      <c r="A1001" t="str">
        <f t="shared" si="30"/>
        <v>ORPG</v>
      </c>
      <c r="B1001">
        <f t="shared" si="31"/>
        <v>2319</v>
      </c>
      <c r="E1001" s="1" t="s">
        <v>79</v>
      </c>
      <c r="F1001" s="1">
        <v>130</v>
      </c>
      <c r="G1001" s="1">
        <v>5</v>
      </c>
      <c r="H1001" s="1">
        <v>11.2</v>
      </c>
    </row>
    <row r="1002" spans="1:8" x14ac:dyDescent="0.3">
      <c r="A1002" t="str">
        <f t="shared" si="30"/>
        <v>ORPG</v>
      </c>
      <c r="B1002">
        <f t="shared" si="31"/>
        <v>10619</v>
      </c>
      <c r="E1002" s="1" t="s">
        <v>161</v>
      </c>
      <c r="F1002" s="1">
        <v>135</v>
      </c>
      <c r="G1002" s="1">
        <v>7</v>
      </c>
      <c r="H1002" s="1">
        <v>11.14</v>
      </c>
    </row>
    <row r="1003" spans="1:8" x14ac:dyDescent="0.3">
      <c r="A1003" t="str">
        <f t="shared" si="30"/>
        <v>ORPG</v>
      </c>
      <c r="B1003">
        <f t="shared" si="31"/>
        <v>13119</v>
      </c>
      <c r="E1003" s="1" t="s">
        <v>289</v>
      </c>
      <c r="F1003" s="1">
        <v>137</v>
      </c>
      <c r="G1003" s="1">
        <v>4</v>
      </c>
      <c r="H1003" s="1">
        <v>11.11</v>
      </c>
    </row>
    <row r="1004" spans="1:8" x14ac:dyDescent="0.3">
      <c r="A1004" t="str">
        <f t="shared" si="30"/>
        <v>ORPG</v>
      </c>
      <c r="B1004">
        <f t="shared" si="31"/>
        <v>7619</v>
      </c>
      <c r="E1004" s="1" t="s">
        <v>253</v>
      </c>
      <c r="F1004" s="1">
        <v>140</v>
      </c>
      <c r="G1004" s="1">
        <v>4</v>
      </c>
      <c r="H1004" s="1">
        <v>11.05</v>
      </c>
    </row>
    <row r="1005" spans="1:8" x14ac:dyDescent="0.3">
      <c r="A1005" t="str">
        <f t="shared" si="30"/>
        <v>ORPG</v>
      </c>
      <c r="B1005">
        <f t="shared" si="31"/>
        <v>4419</v>
      </c>
      <c r="E1005" s="1" t="s">
        <v>83</v>
      </c>
      <c r="F1005" s="1">
        <v>143</v>
      </c>
      <c r="G1005" s="1">
        <v>4</v>
      </c>
      <c r="H1005" s="1">
        <v>11</v>
      </c>
    </row>
    <row r="1006" spans="1:8" x14ac:dyDescent="0.3">
      <c r="A1006" t="str">
        <f t="shared" si="30"/>
        <v>ORPG</v>
      </c>
      <c r="B1006">
        <f t="shared" si="31"/>
        <v>14119</v>
      </c>
      <c r="E1006" s="1" t="s">
        <v>299</v>
      </c>
      <c r="F1006" s="1">
        <v>143</v>
      </c>
      <c r="G1006" s="1">
        <v>9</v>
      </c>
      <c r="H1006" s="1">
        <v>11</v>
      </c>
    </row>
    <row r="1007" spans="1:8" x14ac:dyDescent="0.3">
      <c r="A1007" t="str">
        <f t="shared" si="30"/>
        <v>ORPG</v>
      </c>
      <c r="B1007">
        <f t="shared" si="31"/>
        <v>12519</v>
      </c>
      <c r="E1007" s="1" t="s">
        <v>95</v>
      </c>
      <c r="F1007" s="1">
        <v>148</v>
      </c>
      <c r="G1007" s="1">
        <v>1</v>
      </c>
      <c r="H1007" s="1">
        <v>10.97</v>
      </c>
    </row>
    <row r="1008" spans="1:8" x14ac:dyDescent="0.3">
      <c r="A1008" t="str">
        <f t="shared" si="30"/>
        <v>ORPG</v>
      </c>
      <c r="B1008">
        <f t="shared" si="31"/>
        <v>3319</v>
      </c>
      <c r="E1008" s="1" t="s">
        <v>91</v>
      </c>
      <c r="F1008" s="1">
        <v>150</v>
      </c>
      <c r="G1008" s="1">
        <v>6</v>
      </c>
      <c r="H1008" s="1">
        <v>10.94</v>
      </c>
    </row>
    <row r="1009" spans="1:8" x14ac:dyDescent="0.3">
      <c r="A1009" t="str">
        <f t="shared" si="30"/>
        <v>ORPG</v>
      </c>
      <c r="B1009">
        <f t="shared" si="31"/>
        <v>9019</v>
      </c>
      <c r="E1009" s="1" t="s">
        <v>261</v>
      </c>
      <c r="F1009" s="1">
        <v>164</v>
      </c>
      <c r="G1009" s="1">
        <v>7</v>
      </c>
      <c r="H1009" s="1">
        <v>10.76</v>
      </c>
    </row>
    <row r="1010" spans="1:8" x14ac:dyDescent="0.3">
      <c r="A1010" t="str">
        <f t="shared" si="30"/>
        <v>ORPG</v>
      </c>
      <c r="B1010">
        <f t="shared" si="31"/>
        <v>5419</v>
      </c>
      <c r="E1010" s="1" t="s">
        <v>94</v>
      </c>
      <c r="F1010" s="1">
        <v>170</v>
      </c>
      <c r="G1010" s="1">
        <v>8</v>
      </c>
      <c r="H1010" s="1">
        <v>10.64</v>
      </c>
    </row>
    <row r="1011" spans="1:8" x14ac:dyDescent="0.3">
      <c r="A1011" t="str">
        <f t="shared" si="30"/>
        <v>ORPG</v>
      </c>
      <c r="B1011">
        <f t="shared" si="31"/>
        <v>3919</v>
      </c>
      <c r="E1011" s="1" t="s">
        <v>88</v>
      </c>
      <c r="F1011" s="1">
        <v>176</v>
      </c>
      <c r="G1011" s="1">
        <v>11</v>
      </c>
      <c r="H1011" s="1">
        <v>10.56</v>
      </c>
    </row>
    <row r="1012" spans="1:8" x14ac:dyDescent="0.3">
      <c r="A1012" t="str">
        <f t="shared" si="30"/>
        <v>ORPG</v>
      </c>
      <c r="B1012">
        <f t="shared" si="31"/>
        <v>11119</v>
      </c>
      <c r="E1012" s="1" t="s">
        <v>277</v>
      </c>
      <c r="F1012" s="1">
        <v>177</v>
      </c>
      <c r="G1012" s="1">
        <v>8</v>
      </c>
      <c r="H1012" s="1">
        <v>10.56</v>
      </c>
    </row>
    <row r="1013" spans="1:8" x14ac:dyDescent="0.3">
      <c r="A1013" t="str">
        <f t="shared" si="30"/>
        <v>ORPG</v>
      </c>
      <c r="B1013">
        <f t="shared" si="31"/>
        <v>619</v>
      </c>
      <c r="E1013" s="1" t="s">
        <v>100</v>
      </c>
      <c r="F1013" s="1">
        <v>191</v>
      </c>
      <c r="G1013" s="1">
        <v>12</v>
      </c>
      <c r="H1013" s="1">
        <v>10.31</v>
      </c>
    </row>
    <row r="1014" spans="1:8" x14ac:dyDescent="0.3">
      <c r="A1014" t="str">
        <f t="shared" si="30"/>
        <v>ORPG</v>
      </c>
      <c r="B1014">
        <f t="shared" si="31"/>
        <v>2019</v>
      </c>
      <c r="E1014" s="1" t="s">
        <v>328</v>
      </c>
      <c r="F1014" s="1">
        <v>200</v>
      </c>
      <c r="G1014" s="1">
        <v>5</v>
      </c>
      <c r="H1014" s="1">
        <v>10.23</v>
      </c>
    </row>
    <row r="1015" spans="1:8" x14ac:dyDescent="0.3">
      <c r="A1015" t="str">
        <f t="shared" si="30"/>
        <v>ORPG</v>
      </c>
      <c r="B1015">
        <f t="shared" si="31"/>
        <v>6919</v>
      </c>
      <c r="E1015" s="1" t="s">
        <v>114</v>
      </c>
      <c r="F1015" s="1">
        <v>203</v>
      </c>
      <c r="G1015" s="1">
        <v>10</v>
      </c>
      <c r="H1015" s="1">
        <v>10.199999999999999</v>
      </c>
    </row>
    <row r="1016" spans="1:8" x14ac:dyDescent="0.3">
      <c r="A1016" t="str">
        <f t="shared" si="30"/>
        <v>ORPG</v>
      </c>
      <c r="B1016">
        <f t="shared" si="31"/>
        <v>6719</v>
      </c>
      <c r="E1016" s="1" t="s">
        <v>118</v>
      </c>
      <c r="F1016" s="1">
        <v>207</v>
      </c>
      <c r="G1016" s="1">
        <v>11</v>
      </c>
      <c r="H1016" s="1">
        <v>10.17</v>
      </c>
    </row>
    <row r="1017" spans="1:8" x14ac:dyDescent="0.3">
      <c r="A1017" t="str">
        <f t="shared" si="30"/>
        <v>ORPG</v>
      </c>
      <c r="B1017">
        <f t="shared" si="31"/>
        <v>16119</v>
      </c>
      <c r="E1017" s="1" t="s">
        <v>473</v>
      </c>
      <c r="F1017" s="1">
        <v>208</v>
      </c>
      <c r="G1017" s="1">
        <v>9</v>
      </c>
      <c r="H1017" s="1">
        <v>10.17</v>
      </c>
    </row>
    <row r="1018" spans="1:8" x14ac:dyDescent="0.3">
      <c r="A1018" t="str">
        <f t="shared" si="30"/>
        <v>ORPG</v>
      </c>
      <c r="B1018">
        <f t="shared" si="31"/>
        <v>1219</v>
      </c>
      <c r="E1018" s="1" t="s">
        <v>130</v>
      </c>
      <c r="F1018" s="1">
        <v>210</v>
      </c>
      <c r="G1018" s="1">
        <v>6</v>
      </c>
      <c r="H1018" s="1">
        <v>10.130000000000001</v>
      </c>
    </row>
    <row r="1019" spans="1:8" x14ac:dyDescent="0.3">
      <c r="A1019" t="str">
        <f t="shared" si="30"/>
        <v>ORPG</v>
      </c>
      <c r="B1019">
        <f t="shared" si="31"/>
        <v>9519</v>
      </c>
      <c r="E1019" s="1" t="s">
        <v>85</v>
      </c>
      <c r="F1019" s="1">
        <v>212</v>
      </c>
      <c r="G1019" s="1">
        <v>4</v>
      </c>
      <c r="H1019" s="1">
        <v>10.11</v>
      </c>
    </row>
    <row r="1020" spans="1:8" x14ac:dyDescent="0.3">
      <c r="A1020" t="str">
        <f t="shared" si="30"/>
        <v>ORPG</v>
      </c>
      <c r="B1020">
        <f t="shared" si="31"/>
        <v>5519</v>
      </c>
      <c r="E1020" s="1" t="s">
        <v>86</v>
      </c>
      <c r="F1020" s="1">
        <v>234</v>
      </c>
      <c r="G1020" s="1">
        <v>13</v>
      </c>
      <c r="H1020" s="1">
        <v>9.89</v>
      </c>
    </row>
    <row r="1021" spans="1:8" x14ac:dyDescent="0.3">
      <c r="A1021" t="str">
        <f t="shared" si="30"/>
        <v>ORPG</v>
      </c>
      <c r="B1021">
        <f t="shared" si="31"/>
        <v>4919</v>
      </c>
      <c r="E1021" s="1" t="s">
        <v>108</v>
      </c>
      <c r="F1021" s="1">
        <v>240</v>
      </c>
      <c r="G1021" s="1">
        <v>15</v>
      </c>
      <c r="H1021" s="1">
        <v>9.7799999999999994</v>
      </c>
    </row>
    <row r="1022" spans="1:8" x14ac:dyDescent="0.3">
      <c r="A1022" t="str">
        <f t="shared" si="30"/>
        <v>ORPG</v>
      </c>
      <c r="B1022">
        <f t="shared" si="31"/>
        <v>3019</v>
      </c>
      <c r="E1022" s="1" t="s">
        <v>89</v>
      </c>
      <c r="F1022" s="1">
        <v>241</v>
      </c>
      <c r="G1022" s="1">
        <v>11</v>
      </c>
      <c r="H1022" s="1">
        <v>9.7799999999999994</v>
      </c>
    </row>
    <row r="1023" spans="1:8" x14ac:dyDescent="0.3">
      <c r="A1023" t="str">
        <f t="shared" si="30"/>
        <v>ORPG</v>
      </c>
      <c r="B1023">
        <f t="shared" si="31"/>
        <v>18419</v>
      </c>
      <c r="E1023" s="1" t="s">
        <v>417</v>
      </c>
      <c r="F1023" s="1">
        <v>242</v>
      </c>
      <c r="G1023" s="1">
        <v>3</v>
      </c>
      <c r="H1023" s="1">
        <v>9.73</v>
      </c>
    </row>
    <row r="1024" spans="1:8" x14ac:dyDescent="0.3">
      <c r="A1024" t="str">
        <f t="shared" si="30"/>
        <v>ORPG</v>
      </c>
      <c r="B1024">
        <f t="shared" si="31"/>
        <v>8119</v>
      </c>
      <c r="E1024" s="1" t="s">
        <v>256</v>
      </c>
      <c r="F1024" s="1">
        <v>257</v>
      </c>
      <c r="G1024" s="1">
        <v>14</v>
      </c>
      <c r="H1024" s="1">
        <v>9.5299999999999994</v>
      </c>
    </row>
    <row r="1025" spans="1:10" x14ac:dyDescent="0.3">
      <c r="A1025" t="str">
        <f t="shared" si="30"/>
        <v>ORPG</v>
      </c>
      <c r="B1025">
        <f t="shared" si="31"/>
        <v>4219</v>
      </c>
      <c r="E1025" s="1" t="s">
        <v>123</v>
      </c>
      <c r="F1025" s="1">
        <v>269</v>
      </c>
      <c r="G1025" s="1">
        <v>15</v>
      </c>
      <c r="H1025" s="1">
        <v>9.3800000000000008</v>
      </c>
    </row>
    <row r="1026" spans="1:10" x14ac:dyDescent="0.3">
      <c r="A1026" t="str">
        <f t="shared" ref="A1026:A1089" si="32">IF(NOT(D1026=""),INDEX(statAbbr,MATCH(D1026,statOfficial,0),1),A1025)</f>
        <v>ORPG</v>
      </c>
      <c r="B1026">
        <f t="shared" ref="B1026:B1089" si="33">INDEX(statID,MATCH(A1026,statAbbr,0),1)+INDEX(teamID,MATCH(E1026,teamRawName,0))</f>
        <v>319</v>
      </c>
      <c r="E1026" s="1" t="s">
        <v>215</v>
      </c>
      <c r="F1026" s="1">
        <v>282</v>
      </c>
      <c r="G1026" s="1">
        <v>15</v>
      </c>
      <c r="H1026" s="1">
        <v>9.19</v>
      </c>
    </row>
    <row r="1027" spans="1:10" x14ac:dyDescent="0.3">
      <c r="A1027" t="str">
        <f t="shared" si="32"/>
        <v>ORPG</v>
      </c>
      <c r="B1027">
        <f t="shared" si="33"/>
        <v>15019</v>
      </c>
      <c r="E1027" s="1" t="s">
        <v>463</v>
      </c>
      <c r="F1027" s="1">
        <v>285</v>
      </c>
      <c r="G1027" s="1">
        <v>10</v>
      </c>
      <c r="H1027" s="1">
        <v>9.11</v>
      </c>
    </row>
    <row r="1028" spans="1:10" x14ac:dyDescent="0.3">
      <c r="A1028" t="str">
        <f t="shared" si="32"/>
        <v>ORPG</v>
      </c>
      <c r="B1028">
        <f t="shared" si="33"/>
        <v>15919</v>
      </c>
      <c r="E1028" s="1" t="s">
        <v>495</v>
      </c>
      <c r="F1028" s="1">
        <v>310</v>
      </c>
      <c r="G1028" s="1">
        <v>6</v>
      </c>
      <c r="H1028" s="1">
        <v>8.5299999999999994</v>
      </c>
    </row>
    <row r="1029" spans="1:10" x14ac:dyDescent="0.3">
      <c r="A1029" t="str">
        <f t="shared" si="32"/>
        <v>ORPG</v>
      </c>
      <c r="B1029">
        <f t="shared" si="33"/>
        <v>3819</v>
      </c>
      <c r="E1029" s="1" t="s">
        <v>238</v>
      </c>
      <c r="F1029" s="1">
        <v>314</v>
      </c>
      <c r="G1029" s="1">
        <v>16</v>
      </c>
      <c r="H1029" s="1">
        <v>8.44</v>
      </c>
    </row>
    <row r="1030" spans="1:10" x14ac:dyDescent="0.3">
      <c r="A1030" t="str">
        <f t="shared" si="32"/>
        <v>ORPG</v>
      </c>
      <c r="B1030">
        <f t="shared" si="33"/>
        <v>3119</v>
      </c>
      <c r="E1030" s="1" t="s">
        <v>93</v>
      </c>
      <c r="F1030" s="1">
        <v>317</v>
      </c>
      <c r="G1030" s="1">
        <v>10</v>
      </c>
      <c r="H1030" s="1">
        <v>8.42</v>
      </c>
    </row>
    <row r="1031" spans="1:10" x14ac:dyDescent="0.3">
      <c r="A1031" t="str">
        <f t="shared" si="32"/>
        <v>ORPG</v>
      </c>
      <c r="B1031">
        <f t="shared" si="33"/>
        <v>18519</v>
      </c>
      <c r="E1031" s="1" t="s">
        <v>420</v>
      </c>
      <c r="F1031" s="1">
        <v>318</v>
      </c>
      <c r="G1031" s="1">
        <v>8</v>
      </c>
      <c r="H1031" s="1">
        <v>8.4</v>
      </c>
    </row>
    <row r="1032" spans="1:10" x14ac:dyDescent="0.3">
      <c r="A1032" t="str">
        <f t="shared" si="32"/>
        <v>ORPG</v>
      </c>
      <c r="B1032">
        <f t="shared" si="33"/>
        <v>1319</v>
      </c>
      <c r="E1032" s="1" t="s">
        <v>82</v>
      </c>
      <c r="F1032" s="1">
        <v>319</v>
      </c>
      <c r="G1032" s="1">
        <v>10</v>
      </c>
      <c r="H1032" s="1">
        <v>8.39</v>
      </c>
    </row>
    <row r="1033" spans="1:10" x14ac:dyDescent="0.3">
      <c r="A1033" t="str">
        <f t="shared" si="32"/>
        <v>ORPG</v>
      </c>
      <c r="B1033">
        <f t="shared" si="33"/>
        <v>8319</v>
      </c>
      <c r="E1033" s="1" t="s">
        <v>257</v>
      </c>
      <c r="F1033" s="1">
        <v>326</v>
      </c>
      <c r="G1033" s="1">
        <v>9</v>
      </c>
      <c r="H1033" s="1">
        <v>8.1999999999999993</v>
      </c>
    </row>
    <row r="1034" spans="1:10" x14ac:dyDescent="0.3">
      <c r="A1034" t="str">
        <f t="shared" si="32"/>
        <v>ORPG</v>
      </c>
      <c r="B1034">
        <f t="shared" si="33"/>
        <v>7419</v>
      </c>
      <c r="E1034" s="1" t="s">
        <v>251</v>
      </c>
      <c r="F1034" s="1">
        <v>331</v>
      </c>
      <c r="G1034" s="1">
        <v>11</v>
      </c>
      <c r="H1034" s="1">
        <v>7.76</v>
      </c>
    </row>
    <row r="1035" spans="1:10" x14ac:dyDescent="0.3">
      <c r="A1035" t="str">
        <f t="shared" si="32"/>
        <v>ORPG</v>
      </c>
      <c r="B1035">
        <f t="shared" si="33"/>
        <v>15619</v>
      </c>
      <c r="E1035" s="1" t="s">
        <v>468</v>
      </c>
      <c r="F1035" s="1">
        <v>334</v>
      </c>
      <c r="G1035" s="1">
        <v>8</v>
      </c>
      <c r="H1035" s="1">
        <v>7.71</v>
      </c>
    </row>
    <row r="1036" spans="1:10" x14ac:dyDescent="0.3">
      <c r="A1036" t="str">
        <f t="shared" si="32"/>
        <v>ORPG</v>
      </c>
      <c r="B1036">
        <f t="shared" si="33"/>
        <v>11719</v>
      </c>
      <c r="E1036" s="1" t="s">
        <v>280</v>
      </c>
      <c r="F1036" s="1">
        <v>347</v>
      </c>
      <c r="G1036" s="1">
        <v>9</v>
      </c>
      <c r="H1036" s="1">
        <v>7.23</v>
      </c>
    </row>
    <row r="1037" spans="1:10" x14ac:dyDescent="0.3">
      <c r="A1037" t="str">
        <f t="shared" si="32"/>
        <v>ORPG</v>
      </c>
      <c r="B1037">
        <f t="shared" si="33"/>
        <v>5119</v>
      </c>
      <c r="E1037" s="1" t="s">
        <v>240</v>
      </c>
      <c r="F1037" s="1">
        <v>353</v>
      </c>
      <c r="G1037" s="1">
        <v>10</v>
      </c>
      <c r="H1037" s="1">
        <v>6.49</v>
      </c>
    </row>
    <row r="1038" spans="1:10" x14ac:dyDescent="0.3">
      <c r="A1038" t="str">
        <f t="shared" si="32"/>
        <v>RPG</v>
      </c>
      <c r="B1038">
        <f t="shared" si="33"/>
        <v>4322</v>
      </c>
      <c r="D1038" s="1" t="s">
        <v>553</v>
      </c>
      <c r="E1038" s="1" t="s">
        <v>125</v>
      </c>
      <c r="F1038" s="1">
        <v>1</v>
      </c>
      <c r="G1038" s="1">
        <v>1</v>
      </c>
      <c r="H1038" s="1">
        <v>42.63</v>
      </c>
      <c r="I1038" s="1" t="s">
        <v>125</v>
      </c>
      <c r="J1038" s="1">
        <v>42.63</v>
      </c>
    </row>
    <row r="1039" spans="1:10" x14ac:dyDescent="0.3">
      <c r="A1039" t="str">
        <f t="shared" si="32"/>
        <v>RPG</v>
      </c>
      <c r="B1039">
        <f t="shared" si="33"/>
        <v>3722</v>
      </c>
      <c r="E1039" s="1" t="s">
        <v>115</v>
      </c>
      <c r="F1039" s="1">
        <v>2</v>
      </c>
      <c r="G1039" s="1">
        <v>1</v>
      </c>
      <c r="H1039" s="1">
        <v>42.35</v>
      </c>
    </row>
    <row r="1040" spans="1:10" x14ac:dyDescent="0.3">
      <c r="A1040" t="str">
        <f t="shared" si="32"/>
        <v>RPG</v>
      </c>
      <c r="B1040">
        <f t="shared" si="33"/>
        <v>5722</v>
      </c>
      <c r="E1040" s="1" t="s">
        <v>120</v>
      </c>
      <c r="F1040" s="1">
        <v>3</v>
      </c>
      <c r="G1040" s="1">
        <v>2</v>
      </c>
      <c r="H1040" s="1">
        <v>41.83</v>
      </c>
    </row>
    <row r="1041" spans="1:8" x14ac:dyDescent="0.3">
      <c r="A1041" t="str">
        <f t="shared" si="32"/>
        <v>RPG</v>
      </c>
      <c r="B1041">
        <f t="shared" si="33"/>
        <v>9322</v>
      </c>
      <c r="E1041" s="1" t="s">
        <v>357</v>
      </c>
      <c r="F1041" s="1">
        <v>4</v>
      </c>
      <c r="G1041" s="1">
        <v>1</v>
      </c>
      <c r="H1041" s="1">
        <v>41.31</v>
      </c>
    </row>
    <row r="1042" spans="1:8" x14ac:dyDescent="0.3">
      <c r="A1042" t="str">
        <f t="shared" si="32"/>
        <v>RPG</v>
      </c>
      <c r="B1042">
        <f t="shared" si="33"/>
        <v>14922</v>
      </c>
      <c r="E1042" s="1" t="s">
        <v>307</v>
      </c>
      <c r="F1042" s="1">
        <v>5</v>
      </c>
      <c r="G1042" s="1">
        <v>1</v>
      </c>
      <c r="H1042" s="1">
        <v>41.11</v>
      </c>
    </row>
    <row r="1043" spans="1:8" x14ac:dyDescent="0.3">
      <c r="A1043" t="str">
        <f t="shared" si="32"/>
        <v>RPG</v>
      </c>
      <c r="B1043">
        <f t="shared" si="33"/>
        <v>3622</v>
      </c>
      <c r="E1043" s="1" t="s">
        <v>129</v>
      </c>
      <c r="F1043" s="1">
        <v>6</v>
      </c>
      <c r="G1043" s="1">
        <v>3</v>
      </c>
      <c r="H1043" s="1">
        <v>41.03</v>
      </c>
    </row>
    <row r="1044" spans="1:8" x14ac:dyDescent="0.3">
      <c r="A1044" t="str">
        <f t="shared" si="32"/>
        <v>RPG</v>
      </c>
      <c r="B1044">
        <f t="shared" si="33"/>
        <v>922</v>
      </c>
      <c r="E1044" s="1" t="s">
        <v>90</v>
      </c>
      <c r="F1044" s="1">
        <v>14</v>
      </c>
      <c r="G1044" s="1">
        <v>2</v>
      </c>
      <c r="H1044" s="1">
        <v>39.78</v>
      </c>
    </row>
    <row r="1045" spans="1:8" x14ac:dyDescent="0.3">
      <c r="A1045" t="str">
        <f t="shared" si="32"/>
        <v>RPG</v>
      </c>
      <c r="B1045">
        <f t="shared" si="33"/>
        <v>2922</v>
      </c>
      <c r="E1045" s="1" t="s">
        <v>96</v>
      </c>
      <c r="F1045" s="1">
        <v>16</v>
      </c>
      <c r="G1045" s="1">
        <v>2</v>
      </c>
      <c r="H1045" s="1">
        <v>39.729999999999997</v>
      </c>
    </row>
    <row r="1046" spans="1:8" x14ac:dyDescent="0.3">
      <c r="A1046" t="str">
        <f t="shared" si="32"/>
        <v>RPG</v>
      </c>
      <c r="B1046">
        <f t="shared" si="33"/>
        <v>2522</v>
      </c>
      <c r="E1046" s="1" t="s">
        <v>92</v>
      </c>
      <c r="F1046" s="1">
        <v>17</v>
      </c>
      <c r="G1046" s="1">
        <v>1</v>
      </c>
      <c r="H1046" s="1">
        <v>39.71</v>
      </c>
    </row>
    <row r="1047" spans="1:8" x14ac:dyDescent="0.3">
      <c r="A1047" t="str">
        <f t="shared" si="32"/>
        <v>RPG</v>
      </c>
      <c r="B1047">
        <f t="shared" si="33"/>
        <v>4722</v>
      </c>
      <c r="E1047" s="1" t="s">
        <v>107</v>
      </c>
      <c r="F1047" s="1">
        <v>22</v>
      </c>
      <c r="G1047" s="1">
        <v>1</v>
      </c>
      <c r="H1047" s="1">
        <v>38.89</v>
      </c>
    </row>
    <row r="1048" spans="1:8" x14ac:dyDescent="0.3">
      <c r="A1048" t="str">
        <f t="shared" si="32"/>
        <v>RPG</v>
      </c>
      <c r="B1048">
        <f t="shared" si="33"/>
        <v>15722</v>
      </c>
      <c r="E1048" s="1" t="s">
        <v>469</v>
      </c>
      <c r="F1048" s="1">
        <v>26</v>
      </c>
      <c r="G1048" s="1">
        <v>2</v>
      </c>
      <c r="H1048" s="1">
        <v>38.56</v>
      </c>
    </row>
    <row r="1049" spans="1:8" x14ac:dyDescent="0.3">
      <c r="A1049" t="str">
        <f t="shared" si="32"/>
        <v>RPG</v>
      </c>
      <c r="B1049">
        <f t="shared" si="33"/>
        <v>3922</v>
      </c>
      <c r="E1049" s="1" t="s">
        <v>88</v>
      </c>
      <c r="F1049" s="1">
        <v>28</v>
      </c>
      <c r="G1049" s="1">
        <v>3</v>
      </c>
      <c r="H1049" s="1">
        <v>38.53</v>
      </c>
    </row>
    <row r="1050" spans="1:8" x14ac:dyDescent="0.3">
      <c r="A1050" t="str">
        <f t="shared" si="32"/>
        <v>RPG</v>
      </c>
      <c r="B1050">
        <f t="shared" si="33"/>
        <v>8222</v>
      </c>
      <c r="E1050" s="1" t="s">
        <v>131</v>
      </c>
      <c r="F1050" s="1">
        <v>29</v>
      </c>
      <c r="G1050" s="1">
        <v>1</v>
      </c>
      <c r="H1050" s="1">
        <v>38.49</v>
      </c>
    </row>
    <row r="1051" spans="1:8" x14ac:dyDescent="0.3">
      <c r="A1051" t="str">
        <f t="shared" si="32"/>
        <v>RPG</v>
      </c>
      <c r="B1051">
        <f t="shared" si="33"/>
        <v>7622</v>
      </c>
      <c r="E1051" s="1" t="s">
        <v>253</v>
      </c>
      <c r="F1051" s="1">
        <v>30</v>
      </c>
      <c r="G1051" s="1">
        <v>3</v>
      </c>
      <c r="H1051" s="1">
        <v>38.43</v>
      </c>
    </row>
    <row r="1052" spans="1:8" x14ac:dyDescent="0.3">
      <c r="A1052" t="str">
        <f t="shared" si="32"/>
        <v>RPG</v>
      </c>
      <c r="B1052">
        <f t="shared" si="33"/>
        <v>12522</v>
      </c>
      <c r="E1052" s="1" t="s">
        <v>95</v>
      </c>
      <c r="F1052" s="1">
        <v>36</v>
      </c>
      <c r="G1052" s="1">
        <v>1</v>
      </c>
      <c r="H1052" s="1">
        <v>38.369999999999997</v>
      </c>
    </row>
    <row r="1053" spans="1:8" x14ac:dyDescent="0.3">
      <c r="A1053" t="str">
        <f t="shared" si="32"/>
        <v>RPG</v>
      </c>
      <c r="B1053">
        <f t="shared" si="33"/>
        <v>4422</v>
      </c>
      <c r="E1053" s="1" t="s">
        <v>83</v>
      </c>
      <c r="F1053" s="1">
        <v>39</v>
      </c>
      <c r="G1053" s="1">
        <v>2</v>
      </c>
      <c r="H1053" s="1">
        <v>38.26</v>
      </c>
    </row>
    <row r="1054" spans="1:8" x14ac:dyDescent="0.3">
      <c r="A1054" t="str">
        <f t="shared" si="32"/>
        <v>RPG</v>
      </c>
      <c r="B1054">
        <f t="shared" si="33"/>
        <v>12222</v>
      </c>
      <c r="E1054" s="1" t="s">
        <v>284</v>
      </c>
      <c r="F1054" s="1">
        <v>42</v>
      </c>
      <c r="G1054" s="1">
        <v>2</v>
      </c>
      <c r="H1054" s="1">
        <v>38.200000000000003</v>
      </c>
    </row>
    <row r="1055" spans="1:8" x14ac:dyDescent="0.3">
      <c r="A1055" t="str">
        <f t="shared" si="32"/>
        <v>RPG</v>
      </c>
      <c r="B1055">
        <f t="shared" si="33"/>
        <v>15822</v>
      </c>
      <c r="E1055" s="1" t="s">
        <v>470</v>
      </c>
      <c r="F1055" s="1">
        <v>42</v>
      </c>
      <c r="G1055" s="1">
        <v>3</v>
      </c>
      <c r="H1055" s="1">
        <v>38.200000000000003</v>
      </c>
    </row>
    <row r="1056" spans="1:8" x14ac:dyDescent="0.3">
      <c r="A1056" t="str">
        <f t="shared" si="32"/>
        <v>RPG</v>
      </c>
      <c r="B1056">
        <f t="shared" si="33"/>
        <v>5422</v>
      </c>
      <c r="E1056" s="1" t="s">
        <v>94</v>
      </c>
      <c r="F1056" s="1">
        <v>45</v>
      </c>
      <c r="G1056" s="1">
        <v>2</v>
      </c>
      <c r="H1056" s="1">
        <v>38.15</v>
      </c>
    </row>
    <row r="1057" spans="1:8" x14ac:dyDescent="0.3">
      <c r="A1057" t="str">
        <f t="shared" si="32"/>
        <v>RPG</v>
      </c>
      <c r="B1057">
        <f t="shared" si="33"/>
        <v>15422</v>
      </c>
      <c r="E1057" s="1" t="s">
        <v>494</v>
      </c>
      <c r="F1057" s="1">
        <v>46</v>
      </c>
      <c r="G1057" s="1">
        <v>3</v>
      </c>
      <c r="H1057" s="1">
        <v>38.15</v>
      </c>
    </row>
    <row r="1058" spans="1:8" x14ac:dyDescent="0.3">
      <c r="A1058" t="str">
        <f t="shared" si="32"/>
        <v>RPG</v>
      </c>
      <c r="B1058">
        <f t="shared" si="33"/>
        <v>5522</v>
      </c>
      <c r="E1058" s="1" t="s">
        <v>86</v>
      </c>
      <c r="F1058" s="1">
        <v>49</v>
      </c>
      <c r="G1058" s="1">
        <v>4</v>
      </c>
      <c r="H1058" s="1">
        <v>38.03</v>
      </c>
    </row>
    <row r="1059" spans="1:8" x14ac:dyDescent="0.3">
      <c r="A1059" t="str">
        <f t="shared" si="32"/>
        <v>RPG</v>
      </c>
      <c r="B1059">
        <f t="shared" si="33"/>
        <v>1622</v>
      </c>
      <c r="E1059" s="1" t="s">
        <v>137</v>
      </c>
      <c r="F1059" s="1">
        <v>52</v>
      </c>
      <c r="G1059" s="1">
        <v>5</v>
      </c>
      <c r="H1059" s="1">
        <v>37.880000000000003</v>
      </c>
    </row>
    <row r="1060" spans="1:8" x14ac:dyDescent="0.3">
      <c r="A1060" t="str">
        <f t="shared" si="32"/>
        <v>RPG</v>
      </c>
      <c r="B1060">
        <f t="shared" si="33"/>
        <v>2722</v>
      </c>
      <c r="E1060" s="1" t="s">
        <v>7</v>
      </c>
      <c r="F1060" s="1">
        <v>57</v>
      </c>
      <c r="G1060" s="1">
        <v>4</v>
      </c>
      <c r="H1060" s="1">
        <v>37.61</v>
      </c>
    </row>
    <row r="1061" spans="1:8" x14ac:dyDescent="0.3">
      <c r="A1061" t="str">
        <f t="shared" si="32"/>
        <v>RPG</v>
      </c>
      <c r="B1061">
        <f t="shared" si="33"/>
        <v>6622</v>
      </c>
      <c r="E1061" s="1" t="s">
        <v>247</v>
      </c>
      <c r="F1061" s="1">
        <v>64</v>
      </c>
      <c r="G1061" s="1">
        <v>4</v>
      </c>
      <c r="H1061" s="1">
        <v>37.51</v>
      </c>
    </row>
    <row r="1062" spans="1:8" x14ac:dyDescent="0.3">
      <c r="A1062" t="str">
        <f t="shared" si="32"/>
        <v>RPG</v>
      </c>
      <c r="B1062">
        <f t="shared" si="33"/>
        <v>16122</v>
      </c>
      <c r="E1062" s="1" t="s">
        <v>473</v>
      </c>
      <c r="F1062" s="1">
        <v>65</v>
      </c>
      <c r="G1062" s="1">
        <v>2</v>
      </c>
      <c r="H1062" s="1">
        <v>37.5</v>
      </c>
    </row>
    <row r="1063" spans="1:8" x14ac:dyDescent="0.3">
      <c r="A1063" t="str">
        <f t="shared" si="32"/>
        <v>RPG</v>
      </c>
      <c r="B1063">
        <f t="shared" si="33"/>
        <v>4522</v>
      </c>
      <c r="E1063" s="1" t="s">
        <v>84</v>
      </c>
      <c r="F1063" s="1">
        <v>66</v>
      </c>
      <c r="G1063" s="1">
        <v>6</v>
      </c>
      <c r="H1063" s="1">
        <v>37.450000000000003</v>
      </c>
    </row>
    <row r="1064" spans="1:8" x14ac:dyDescent="0.3">
      <c r="A1064" t="str">
        <f t="shared" si="32"/>
        <v>RPG</v>
      </c>
      <c r="B1064">
        <f t="shared" si="33"/>
        <v>15122</v>
      </c>
      <c r="E1064" s="1" t="s">
        <v>464</v>
      </c>
      <c r="F1064" s="1">
        <v>68</v>
      </c>
      <c r="G1064" s="1">
        <v>3</v>
      </c>
      <c r="H1064" s="1">
        <v>37.43</v>
      </c>
    </row>
    <row r="1065" spans="1:8" x14ac:dyDescent="0.3">
      <c r="A1065" t="str">
        <f t="shared" si="32"/>
        <v>RPG</v>
      </c>
      <c r="B1065">
        <f t="shared" si="33"/>
        <v>3122</v>
      </c>
      <c r="E1065" s="1" t="s">
        <v>93</v>
      </c>
      <c r="F1065" s="1">
        <v>72</v>
      </c>
      <c r="G1065" s="1">
        <v>2</v>
      </c>
      <c r="H1065" s="1">
        <v>37.39</v>
      </c>
    </row>
    <row r="1066" spans="1:8" x14ac:dyDescent="0.3">
      <c r="A1066" t="str">
        <f t="shared" si="32"/>
        <v>RPG</v>
      </c>
      <c r="B1066">
        <f t="shared" si="33"/>
        <v>13122</v>
      </c>
      <c r="E1066" s="1" t="s">
        <v>289</v>
      </c>
      <c r="F1066" s="1">
        <v>75</v>
      </c>
      <c r="G1066" s="1">
        <v>4</v>
      </c>
      <c r="H1066" s="1">
        <v>37.29</v>
      </c>
    </row>
    <row r="1067" spans="1:8" x14ac:dyDescent="0.3">
      <c r="A1067" t="str">
        <f t="shared" si="32"/>
        <v>RPG</v>
      </c>
      <c r="B1067">
        <f t="shared" si="33"/>
        <v>5822</v>
      </c>
      <c r="E1067" s="1" t="s">
        <v>139</v>
      </c>
      <c r="F1067" s="1">
        <v>78</v>
      </c>
      <c r="G1067" s="1">
        <v>2</v>
      </c>
      <c r="H1067" s="1">
        <v>37.24</v>
      </c>
    </row>
    <row r="1068" spans="1:8" x14ac:dyDescent="0.3">
      <c r="A1068" t="str">
        <f t="shared" si="32"/>
        <v>RPG</v>
      </c>
      <c r="B1068">
        <f t="shared" si="33"/>
        <v>7222</v>
      </c>
      <c r="E1068" s="1" t="s">
        <v>116</v>
      </c>
      <c r="F1068" s="1">
        <v>91</v>
      </c>
      <c r="G1068" s="1">
        <v>5</v>
      </c>
      <c r="H1068" s="1">
        <v>37.049999999999997</v>
      </c>
    </row>
    <row r="1069" spans="1:8" x14ac:dyDescent="0.3">
      <c r="A1069" t="str">
        <f t="shared" si="32"/>
        <v>RPG</v>
      </c>
      <c r="B1069">
        <f t="shared" si="33"/>
        <v>2822</v>
      </c>
      <c r="E1069" s="1" t="s">
        <v>106</v>
      </c>
      <c r="F1069" s="1">
        <v>99</v>
      </c>
      <c r="G1069" s="1">
        <v>7</v>
      </c>
      <c r="H1069" s="1">
        <v>36.880000000000003</v>
      </c>
    </row>
    <row r="1070" spans="1:8" x14ac:dyDescent="0.3">
      <c r="A1070" t="str">
        <f t="shared" si="32"/>
        <v>RPG</v>
      </c>
      <c r="B1070">
        <f t="shared" si="33"/>
        <v>4922</v>
      </c>
      <c r="E1070" s="1" t="s">
        <v>108</v>
      </c>
      <c r="F1070" s="1">
        <v>105</v>
      </c>
      <c r="G1070" s="1">
        <v>7</v>
      </c>
      <c r="H1070" s="1">
        <v>36.68</v>
      </c>
    </row>
    <row r="1071" spans="1:8" x14ac:dyDescent="0.3">
      <c r="A1071" t="str">
        <f t="shared" si="32"/>
        <v>RPG</v>
      </c>
      <c r="B1071">
        <f t="shared" si="33"/>
        <v>4222</v>
      </c>
      <c r="E1071" s="1" t="s">
        <v>123</v>
      </c>
      <c r="F1071" s="1">
        <v>112</v>
      </c>
      <c r="G1071" s="1">
        <v>4</v>
      </c>
      <c r="H1071" s="1">
        <v>36.49</v>
      </c>
    </row>
    <row r="1072" spans="1:8" x14ac:dyDescent="0.3">
      <c r="A1072" t="str">
        <f t="shared" si="32"/>
        <v>RPG</v>
      </c>
      <c r="B1072">
        <f t="shared" si="33"/>
        <v>18322</v>
      </c>
      <c r="E1072" s="1" t="s">
        <v>423</v>
      </c>
      <c r="F1072" s="1">
        <v>113</v>
      </c>
      <c r="G1072" s="1">
        <v>5</v>
      </c>
      <c r="H1072" s="1">
        <v>36.47</v>
      </c>
    </row>
    <row r="1073" spans="1:8" x14ac:dyDescent="0.3">
      <c r="A1073" t="str">
        <f t="shared" si="32"/>
        <v>RPG</v>
      </c>
      <c r="B1073">
        <f t="shared" si="33"/>
        <v>13922</v>
      </c>
      <c r="E1073" s="1" t="s">
        <v>297</v>
      </c>
      <c r="F1073" s="1">
        <v>114</v>
      </c>
      <c r="G1073" s="1">
        <v>7</v>
      </c>
      <c r="H1073" s="1">
        <v>36.450000000000003</v>
      </c>
    </row>
    <row r="1074" spans="1:8" x14ac:dyDescent="0.3">
      <c r="A1074" t="str">
        <f t="shared" si="32"/>
        <v>RPG</v>
      </c>
      <c r="B1074">
        <f t="shared" si="33"/>
        <v>3522</v>
      </c>
      <c r="E1074" s="1" t="s">
        <v>87</v>
      </c>
      <c r="F1074" s="1">
        <v>121</v>
      </c>
      <c r="G1074" s="1">
        <v>8</v>
      </c>
      <c r="H1074" s="1">
        <v>36.369999999999997</v>
      </c>
    </row>
    <row r="1075" spans="1:8" x14ac:dyDescent="0.3">
      <c r="A1075" t="str">
        <f t="shared" si="32"/>
        <v>RPG</v>
      </c>
      <c r="B1075">
        <f t="shared" si="33"/>
        <v>11122</v>
      </c>
      <c r="E1075" s="1" t="s">
        <v>277</v>
      </c>
      <c r="F1075" s="1">
        <v>125</v>
      </c>
      <c r="G1075" s="1">
        <v>6</v>
      </c>
      <c r="H1075" s="1">
        <v>36.25</v>
      </c>
    </row>
    <row r="1076" spans="1:8" x14ac:dyDescent="0.3">
      <c r="A1076" t="str">
        <f t="shared" si="32"/>
        <v>RPG</v>
      </c>
      <c r="B1076">
        <f t="shared" si="33"/>
        <v>16222</v>
      </c>
      <c r="E1076" s="1" t="s">
        <v>497</v>
      </c>
      <c r="F1076" s="1">
        <v>127</v>
      </c>
      <c r="G1076" s="1">
        <v>5</v>
      </c>
      <c r="H1076" s="1">
        <v>36.19</v>
      </c>
    </row>
    <row r="1077" spans="1:8" x14ac:dyDescent="0.3">
      <c r="A1077" t="str">
        <f t="shared" si="32"/>
        <v>RPG</v>
      </c>
      <c r="B1077">
        <f t="shared" si="33"/>
        <v>10622</v>
      </c>
      <c r="E1077" s="1" t="s">
        <v>161</v>
      </c>
      <c r="F1077" s="1">
        <v>132</v>
      </c>
      <c r="G1077" s="1">
        <v>4</v>
      </c>
      <c r="H1077" s="1">
        <v>36.090000000000003</v>
      </c>
    </row>
    <row r="1078" spans="1:8" x14ac:dyDescent="0.3">
      <c r="A1078" t="str">
        <f t="shared" si="32"/>
        <v>RPG</v>
      </c>
      <c r="B1078">
        <f t="shared" si="33"/>
        <v>222</v>
      </c>
      <c r="E1078" s="1" t="s">
        <v>98</v>
      </c>
      <c r="F1078" s="1">
        <v>133</v>
      </c>
      <c r="G1078" s="1">
        <v>6</v>
      </c>
      <c r="H1078" s="1">
        <v>36.06</v>
      </c>
    </row>
    <row r="1079" spans="1:8" x14ac:dyDescent="0.3">
      <c r="A1079" t="str">
        <f t="shared" si="32"/>
        <v>RPG</v>
      </c>
      <c r="B1079">
        <f t="shared" si="33"/>
        <v>3222</v>
      </c>
      <c r="E1079" s="1" t="s">
        <v>127</v>
      </c>
      <c r="F1079" s="1">
        <v>139</v>
      </c>
      <c r="G1079" s="1">
        <v>8</v>
      </c>
      <c r="H1079" s="1">
        <v>35.89</v>
      </c>
    </row>
    <row r="1080" spans="1:8" x14ac:dyDescent="0.3">
      <c r="A1080" t="str">
        <f t="shared" si="32"/>
        <v>RPG</v>
      </c>
      <c r="B1080">
        <f t="shared" si="33"/>
        <v>6922</v>
      </c>
      <c r="E1080" s="1" t="s">
        <v>114</v>
      </c>
      <c r="F1080" s="1">
        <v>143</v>
      </c>
      <c r="G1080" s="1">
        <v>7</v>
      </c>
      <c r="H1080" s="1">
        <v>35.799999999999997</v>
      </c>
    </row>
    <row r="1081" spans="1:8" x14ac:dyDescent="0.3">
      <c r="A1081" t="str">
        <f t="shared" si="32"/>
        <v>RPG</v>
      </c>
      <c r="B1081">
        <f t="shared" si="33"/>
        <v>2322</v>
      </c>
      <c r="E1081" s="1" t="s">
        <v>79</v>
      </c>
      <c r="F1081" s="1">
        <v>148</v>
      </c>
      <c r="G1081" s="1">
        <v>4</v>
      </c>
      <c r="H1081" s="1">
        <v>35.74</v>
      </c>
    </row>
    <row r="1082" spans="1:8" x14ac:dyDescent="0.3">
      <c r="A1082" t="str">
        <f t="shared" si="32"/>
        <v>RPG</v>
      </c>
      <c r="B1082">
        <f t="shared" si="33"/>
        <v>6722</v>
      </c>
      <c r="E1082" s="1" t="s">
        <v>118</v>
      </c>
      <c r="F1082" s="1">
        <v>152</v>
      </c>
      <c r="G1082" s="1">
        <v>9</v>
      </c>
      <c r="H1082" s="1">
        <v>35.659999999999997</v>
      </c>
    </row>
    <row r="1083" spans="1:8" x14ac:dyDescent="0.3">
      <c r="A1083" t="str">
        <f t="shared" si="32"/>
        <v>RPG</v>
      </c>
      <c r="B1083">
        <f t="shared" si="33"/>
        <v>8122</v>
      </c>
      <c r="E1083" s="1" t="s">
        <v>256</v>
      </c>
      <c r="F1083" s="1">
        <v>154</v>
      </c>
      <c r="G1083" s="1">
        <v>11</v>
      </c>
      <c r="H1083" s="1">
        <v>35.64</v>
      </c>
    </row>
    <row r="1084" spans="1:8" x14ac:dyDescent="0.3">
      <c r="A1084" t="str">
        <f t="shared" si="32"/>
        <v>RPG</v>
      </c>
      <c r="B1084">
        <f t="shared" si="33"/>
        <v>8322</v>
      </c>
      <c r="E1084" s="1" t="s">
        <v>257</v>
      </c>
      <c r="F1084" s="1">
        <v>168</v>
      </c>
      <c r="G1084" s="1">
        <v>7</v>
      </c>
      <c r="H1084" s="1">
        <v>35.46</v>
      </c>
    </row>
    <row r="1085" spans="1:8" x14ac:dyDescent="0.3">
      <c r="A1085" t="str">
        <f t="shared" si="32"/>
        <v>RPG</v>
      </c>
      <c r="B1085">
        <f t="shared" si="33"/>
        <v>622</v>
      </c>
      <c r="E1085" s="1" t="s">
        <v>100</v>
      </c>
      <c r="F1085" s="1">
        <v>172</v>
      </c>
      <c r="G1085" s="1">
        <v>9</v>
      </c>
      <c r="H1085" s="1">
        <v>35.369999999999997</v>
      </c>
    </row>
    <row r="1086" spans="1:8" x14ac:dyDescent="0.3">
      <c r="A1086" t="str">
        <f t="shared" si="32"/>
        <v>RPG</v>
      </c>
      <c r="B1086">
        <f t="shared" si="33"/>
        <v>4022</v>
      </c>
      <c r="E1086" s="1" t="s">
        <v>105</v>
      </c>
      <c r="F1086" s="1">
        <v>174</v>
      </c>
      <c r="G1086" s="1">
        <v>8</v>
      </c>
      <c r="H1086" s="1">
        <v>35.35</v>
      </c>
    </row>
    <row r="1087" spans="1:8" x14ac:dyDescent="0.3">
      <c r="A1087" t="str">
        <f t="shared" si="32"/>
        <v>RPG</v>
      </c>
      <c r="B1087">
        <f t="shared" si="33"/>
        <v>1222</v>
      </c>
      <c r="E1087" s="1" t="s">
        <v>130</v>
      </c>
      <c r="F1087" s="1">
        <v>184</v>
      </c>
      <c r="G1087" s="1">
        <v>3</v>
      </c>
      <c r="H1087" s="1">
        <v>35.159999999999997</v>
      </c>
    </row>
    <row r="1088" spans="1:8" x14ac:dyDescent="0.3">
      <c r="A1088" t="str">
        <f t="shared" si="32"/>
        <v>RPG</v>
      </c>
      <c r="B1088">
        <f t="shared" si="33"/>
        <v>1322</v>
      </c>
      <c r="E1088" s="1" t="s">
        <v>82</v>
      </c>
      <c r="F1088" s="1">
        <v>197</v>
      </c>
      <c r="G1088" s="1">
        <v>4</v>
      </c>
      <c r="H1088" s="1">
        <v>34.92</v>
      </c>
    </row>
    <row r="1089" spans="1:8" x14ac:dyDescent="0.3">
      <c r="A1089" t="str">
        <f t="shared" si="32"/>
        <v>RPG</v>
      </c>
      <c r="B1089">
        <f t="shared" si="33"/>
        <v>14422</v>
      </c>
      <c r="E1089" s="1" t="s">
        <v>302</v>
      </c>
      <c r="F1089" s="1">
        <v>210</v>
      </c>
      <c r="G1089" s="1">
        <v>12</v>
      </c>
      <c r="H1089" s="1">
        <v>34.700000000000003</v>
      </c>
    </row>
    <row r="1090" spans="1:8" x14ac:dyDescent="0.3">
      <c r="A1090" t="str">
        <f t="shared" ref="A1090:A1153" si="34">IF(NOT(D1090=""),INDEX(statAbbr,MATCH(D1090,statOfficial,0),1),A1089)</f>
        <v>RPG</v>
      </c>
      <c r="B1090">
        <f t="shared" ref="B1090:B1153" si="35">INDEX(statID,MATCH(A1090,statAbbr,0),1)+INDEX(teamID,MATCH(E1090,teamRawName,0))</f>
        <v>1422</v>
      </c>
      <c r="E1090" s="1" t="s">
        <v>102</v>
      </c>
      <c r="F1090" s="1">
        <v>212</v>
      </c>
      <c r="G1090" s="1">
        <v>7</v>
      </c>
      <c r="H1090" s="1">
        <v>34.619999999999997</v>
      </c>
    </row>
    <row r="1091" spans="1:8" x14ac:dyDescent="0.3">
      <c r="A1091" t="str">
        <f t="shared" si="34"/>
        <v>RPG</v>
      </c>
      <c r="B1091">
        <f t="shared" si="35"/>
        <v>2022</v>
      </c>
      <c r="E1091" s="1" t="s">
        <v>328</v>
      </c>
      <c r="F1091" s="1">
        <v>218</v>
      </c>
      <c r="G1091" s="1">
        <v>4</v>
      </c>
      <c r="H1091" s="1">
        <v>34.51</v>
      </c>
    </row>
    <row r="1092" spans="1:8" x14ac:dyDescent="0.3">
      <c r="A1092" t="str">
        <f t="shared" si="34"/>
        <v>RPG</v>
      </c>
      <c r="B1092">
        <f t="shared" si="35"/>
        <v>3322</v>
      </c>
      <c r="E1092" s="1" t="s">
        <v>91</v>
      </c>
      <c r="F1092" s="1">
        <v>241</v>
      </c>
      <c r="G1092" s="1">
        <v>9</v>
      </c>
      <c r="H1092" s="1">
        <v>34.090000000000003</v>
      </c>
    </row>
    <row r="1093" spans="1:8" x14ac:dyDescent="0.3">
      <c r="A1093" t="str">
        <f t="shared" si="34"/>
        <v>RPG</v>
      </c>
      <c r="B1093">
        <f t="shared" si="35"/>
        <v>14122</v>
      </c>
      <c r="E1093" s="1" t="s">
        <v>299</v>
      </c>
      <c r="F1093" s="1">
        <v>249</v>
      </c>
      <c r="G1093" s="1">
        <v>14</v>
      </c>
      <c r="H1093" s="1">
        <v>34.03</v>
      </c>
    </row>
    <row r="1094" spans="1:8" x14ac:dyDescent="0.3">
      <c r="A1094" t="str">
        <f t="shared" si="34"/>
        <v>RPG</v>
      </c>
      <c r="B1094">
        <f t="shared" si="35"/>
        <v>15022</v>
      </c>
      <c r="E1094" s="1" t="s">
        <v>463</v>
      </c>
      <c r="F1094" s="1">
        <v>250</v>
      </c>
      <c r="G1094" s="1">
        <v>7</v>
      </c>
      <c r="H1094" s="1">
        <v>34</v>
      </c>
    </row>
    <row r="1095" spans="1:8" x14ac:dyDescent="0.3">
      <c r="A1095" t="str">
        <f t="shared" si="34"/>
        <v>RPG</v>
      </c>
      <c r="B1095">
        <f t="shared" si="35"/>
        <v>15922</v>
      </c>
      <c r="E1095" s="1" t="s">
        <v>495</v>
      </c>
      <c r="F1095" s="1">
        <v>252</v>
      </c>
      <c r="G1095" s="1">
        <v>4</v>
      </c>
      <c r="H1095" s="1">
        <v>33.97</v>
      </c>
    </row>
    <row r="1096" spans="1:8" x14ac:dyDescent="0.3">
      <c r="A1096" t="str">
        <f t="shared" si="34"/>
        <v>RPG</v>
      </c>
      <c r="B1096">
        <f t="shared" si="35"/>
        <v>18422</v>
      </c>
      <c r="E1096" s="1" t="s">
        <v>417</v>
      </c>
      <c r="F1096" s="1">
        <v>256</v>
      </c>
      <c r="G1096" s="1">
        <v>5</v>
      </c>
      <c r="H1096" s="1">
        <v>33.94</v>
      </c>
    </row>
    <row r="1097" spans="1:8" x14ac:dyDescent="0.3">
      <c r="A1097" t="str">
        <f t="shared" si="34"/>
        <v>RPG</v>
      </c>
      <c r="B1097">
        <f t="shared" si="35"/>
        <v>7422</v>
      </c>
      <c r="E1097" s="1" t="s">
        <v>251</v>
      </c>
      <c r="F1097" s="1">
        <v>286</v>
      </c>
      <c r="G1097" s="1">
        <v>10</v>
      </c>
      <c r="H1097" s="1">
        <v>33.26</v>
      </c>
    </row>
    <row r="1098" spans="1:8" x14ac:dyDescent="0.3">
      <c r="A1098" t="str">
        <f t="shared" si="34"/>
        <v>RPG</v>
      </c>
      <c r="B1098">
        <f t="shared" si="35"/>
        <v>322</v>
      </c>
      <c r="E1098" s="1" t="s">
        <v>215</v>
      </c>
      <c r="F1098" s="1">
        <v>293</v>
      </c>
      <c r="G1098" s="1">
        <v>15</v>
      </c>
      <c r="H1098" s="1">
        <v>33.14</v>
      </c>
    </row>
    <row r="1099" spans="1:8" x14ac:dyDescent="0.3">
      <c r="A1099" t="str">
        <f t="shared" si="34"/>
        <v>RPG</v>
      </c>
      <c r="B1099">
        <f t="shared" si="35"/>
        <v>3022</v>
      </c>
      <c r="E1099" s="1" t="s">
        <v>89</v>
      </c>
      <c r="F1099" s="1">
        <v>305</v>
      </c>
      <c r="G1099" s="1">
        <v>14</v>
      </c>
      <c r="H1099" s="1">
        <v>32.86</v>
      </c>
    </row>
    <row r="1100" spans="1:8" x14ac:dyDescent="0.3">
      <c r="A1100" t="str">
        <f t="shared" si="34"/>
        <v>RPG</v>
      </c>
      <c r="B1100">
        <f t="shared" si="35"/>
        <v>5122</v>
      </c>
      <c r="E1100" s="1" t="s">
        <v>240</v>
      </c>
      <c r="F1100" s="1">
        <v>306</v>
      </c>
      <c r="G1100" s="1">
        <v>9</v>
      </c>
      <c r="H1100" s="1">
        <v>32.86</v>
      </c>
    </row>
    <row r="1101" spans="1:8" x14ac:dyDescent="0.3">
      <c r="A1101" t="str">
        <f t="shared" si="34"/>
        <v>RPG</v>
      </c>
      <c r="B1101">
        <f t="shared" si="35"/>
        <v>9022</v>
      </c>
      <c r="E1101" s="1" t="s">
        <v>261</v>
      </c>
      <c r="F1101" s="1">
        <v>309</v>
      </c>
      <c r="G1101" s="1">
        <v>15</v>
      </c>
      <c r="H1101" s="1">
        <v>32.619999999999997</v>
      </c>
    </row>
    <row r="1102" spans="1:8" x14ac:dyDescent="0.3">
      <c r="A1102" t="str">
        <f t="shared" si="34"/>
        <v>RPG</v>
      </c>
      <c r="B1102">
        <f t="shared" si="35"/>
        <v>3822</v>
      </c>
      <c r="E1102" s="1" t="s">
        <v>238</v>
      </c>
      <c r="F1102" s="1">
        <v>318</v>
      </c>
      <c r="G1102" s="1">
        <v>16</v>
      </c>
      <c r="H1102" s="1">
        <v>32.119999999999997</v>
      </c>
    </row>
    <row r="1103" spans="1:8" x14ac:dyDescent="0.3">
      <c r="A1103" t="str">
        <f t="shared" si="34"/>
        <v>RPG</v>
      </c>
      <c r="B1103">
        <f t="shared" si="35"/>
        <v>11722</v>
      </c>
      <c r="E1103" s="1" t="s">
        <v>280</v>
      </c>
      <c r="F1103" s="1">
        <v>326</v>
      </c>
      <c r="G1103" s="1">
        <v>8</v>
      </c>
      <c r="H1103" s="1">
        <v>31.66</v>
      </c>
    </row>
    <row r="1104" spans="1:8" x14ac:dyDescent="0.3">
      <c r="A1104" t="str">
        <f t="shared" si="34"/>
        <v>RPG</v>
      </c>
      <c r="B1104">
        <f t="shared" si="35"/>
        <v>18522</v>
      </c>
      <c r="E1104" s="1" t="s">
        <v>420</v>
      </c>
      <c r="F1104" s="1">
        <v>331</v>
      </c>
      <c r="G1104" s="1">
        <v>7</v>
      </c>
      <c r="H1104" s="1">
        <v>31.33</v>
      </c>
    </row>
    <row r="1105" spans="1:10" x14ac:dyDescent="0.3">
      <c r="A1105" t="str">
        <f t="shared" si="34"/>
        <v>RPG</v>
      </c>
      <c r="B1105">
        <f t="shared" si="35"/>
        <v>9522</v>
      </c>
      <c r="E1105" s="1" t="s">
        <v>85</v>
      </c>
      <c r="F1105" s="1">
        <v>337</v>
      </c>
      <c r="G1105" s="1">
        <v>12</v>
      </c>
      <c r="H1105" s="1">
        <v>30.83</v>
      </c>
    </row>
    <row r="1106" spans="1:10" x14ac:dyDescent="0.3">
      <c r="A1106" t="str">
        <f t="shared" si="34"/>
        <v>RPG</v>
      </c>
      <c r="B1106">
        <f t="shared" si="35"/>
        <v>15622</v>
      </c>
      <c r="E1106" s="1" t="s">
        <v>468</v>
      </c>
      <c r="F1106" s="1">
        <v>346</v>
      </c>
      <c r="G1106" s="1">
        <v>10</v>
      </c>
      <c r="H1106" s="1">
        <v>30.2</v>
      </c>
    </row>
    <row r="1107" spans="1:10" x14ac:dyDescent="0.3">
      <c r="A1107" t="str">
        <f t="shared" si="34"/>
        <v>OPPG</v>
      </c>
      <c r="B1107">
        <f t="shared" si="35"/>
        <v>2818</v>
      </c>
      <c r="D1107" s="1" t="s">
        <v>549</v>
      </c>
      <c r="E1107" s="1" t="s">
        <v>106</v>
      </c>
      <c r="F1107" s="1">
        <v>1</v>
      </c>
      <c r="G1107" s="1">
        <v>1</v>
      </c>
      <c r="H1107" s="1">
        <v>58.7</v>
      </c>
      <c r="I1107" s="1" t="s">
        <v>106</v>
      </c>
      <c r="J1107" s="1">
        <v>58.7</v>
      </c>
    </row>
    <row r="1108" spans="1:10" x14ac:dyDescent="0.3">
      <c r="A1108" t="str">
        <f t="shared" si="34"/>
        <v>OPPG</v>
      </c>
      <c r="B1108">
        <f t="shared" si="35"/>
        <v>9518</v>
      </c>
      <c r="E1108" s="1" t="s">
        <v>85</v>
      </c>
      <c r="F1108" s="1">
        <v>2</v>
      </c>
      <c r="G1108" s="1">
        <v>1</v>
      </c>
      <c r="H1108" s="1">
        <v>58.9</v>
      </c>
    </row>
    <row r="1109" spans="1:10" x14ac:dyDescent="0.3">
      <c r="A1109" t="str">
        <f t="shared" si="34"/>
        <v>OPPG</v>
      </c>
      <c r="B1109">
        <f t="shared" si="35"/>
        <v>2518</v>
      </c>
      <c r="E1109" s="1" t="s">
        <v>92</v>
      </c>
      <c r="F1109" s="1">
        <v>5</v>
      </c>
      <c r="G1109" s="1">
        <v>1</v>
      </c>
      <c r="H1109" s="1">
        <v>61.1</v>
      </c>
    </row>
    <row r="1110" spans="1:10" x14ac:dyDescent="0.3">
      <c r="A1110" t="str">
        <f t="shared" si="34"/>
        <v>OPPG</v>
      </c>
      <c r="B1110">
        <f t="shared" si="35"/>
        <v>15018</v>
      </c>
      <c r="E1110" s="1" t="s">
        <v>463</v>
      </c>
      <c r="F1110" s="1">
        <v>6</v>
      </c>
      <c r="G1110" s="1">
        <v>1</v>
      </c>
      <c r="H1110" s="1">
        <v>61.8</v>
      </c>
    </row>
    <row r="1111" spans="1:10" x14ac:dyDescent="0.3">
      <c r="A1111" t="str">
        <f t="shared" si="34"/>
        <v>OPPG</v>
      </c>
      <c r="B1111">
        <f t="shared" si="35"/>
        <v>5418</v>
      </c>
      <c r="E1111" s="1" t="s">
        <v>94</v>
      </c>
      <c r="F1111" s="1">
        <v>7</v>
      </c>
      <c r="G1111" s="1">
        <v>1</v>
      </c>
      <c r="H1111" s="1">
        <v>62.8</v>
      </c>
    </row>
    <row r="1112" spans="1:10" x14ac:dyDescent="0.3">
      <c r="A1112" t="str">
        <f t="shared" si="34"/>
        <v>OPPG</v>
      </c>
      <c r="B1112">
        <f t="shared" si="35"/>
        <v>12218</v>
      </c>
      <c r="E1112" s="1" t="s">
        <v>284</v>
      </c>
      <c r="F1112" s="1">
        <v>9</v>
      </c>
      <c r="G1112" s="1">
        <v>1</v>
      </c>
      <c r="H1112" s="1">
        <v>62.9</v>
      </c>
    </row>
    <row r="1113" spans="1:10" x14ac:dyDescent="0.3">
      <c r="A1113" t="str">
        <f t="shared" si="34"/>
        <v>OPPG</v>
      </c>
      <c r="B1113">
        <f t="shared" si="35"/>
        <v>3518</v>
      </c>
      <c r="E1113" s="1" t="s">
        <v>87</v>
      </c>
      <c r="F1113" s="1">
        <v>10</v>
      </c>
      <c r="G1113" s="1">
        <v>1</v>
      </c>
      <c r="H1113" s="1">
        <v>63</v>
      </c>
    </row>
    <row r="1114" spans="1:10" x14ac:dyDescent="0.3">
      <c r="A1114" t="str">
        <f t="shared" si="34"/>
        <v>OPPG</v>
      </c>
      <c r="B1114">
        <f t="shared" si="35"/>
        <v>5118</v>
      </c>
      <c r="E1114" s="1" t="s">
        <v>240</v>
      </c>
      <c r="F1114" s="1">
        <v>11</v>
      </c>
      <c r="G1114" s="1">
        <v>1</v>
      </c>
      <c r="H1114" s="1">
        <v>63.4</v>
      </c>
    </row>
    <row r="1115" spans="1:10" x14ac:dyDescent="0.3">
      <c r="A1115" t="str">
        <f t="shared" si="34"/>
        <v>OPPG</v>
      </c>
      <c r="B1115">
        <f t="shared" si="35"/>
        <v>218</v>
      </c>
      <c r="E1115" s="1" t="s">
        <v>98</v>
      </c>
      <c r="F1115" s="1">
        <v>16</v>
      </c>
      <c r="G1115" s="1">
        <v>1</v>
      </c>
      <c r="H1115" s="1">
        <v>64.5</v>
      </c>
    </row>
    <row r="1116" spans="1:10" x14ac:dyDescent="0.3">
      <c r="A1116" t="str">
        <f t="shared" si="34"/>
        <v>OPPG</v>
      </c>
      <c r="B1116">
        <f t="shared" si="35"/>
        <v>1218</v>
      </c>
      <c r="E1116" s="1" t="s">
        <v>130</v>
      </c>
      <c r="F1116" s="1">
        <v>19</v>
      </c>
      <c r="G1116" s="1">
        <v>1</v>
      </c>
      <c r="H1116" s="1">
        <v>64.599999999999994</v>
      </c>
    </row>
    <row r="1117" spans="1:10" x14ac:dyDescent="0.3">
      <c r="A1117" t="str">
        <f t="shared" si="34"/>
        <v>OPPG</v>
      </c>
      <c r="B1117">
        <f t="shared" si="35"/>
        <v>9018</v>
      </c>
      <c r="E1117" s="1" t="s">
        <v>261</v>
      </c>
      <c r="F1117" s="1">
        <v>22</v>
      </c>
      <c r="G1117" s="1">
        <v>1</v>
      </c>
      <c r="H1117" s="1">
        <v>65.2</v>
      </c>
    </row>
    <row r="1118" spans="1:10" x14ac:dyDescent="0.3">
      <c r="A1118" t="str">
        <f t="shared" si="34"/>
        <v>OPPG</v>
      </c>
      <c r="B1118">
        <f t="shared" si="35"/>
        <v>15718</v>
      </c>
      <c r="E1118" s="1" t="s">
        <v>469</v>
      </c>
      <c r="F1118" s="1">
        <v>26</v>
      </c>
      <c r="G1118" s="1">
        <v>3</v>
      </c>
      <c r="H1118" s="1">
        <v>65.7</v>
      </c>
    </row>
    <row r="1119" spans="1:10" x14ac:dyDescent="0.3">
      <c r="A1119" t="str">
        <f t="shared" si="34"/>
        <v>OPPG</v>
      </c>
      <c r="B1119">
        <f t="shared" si="35"/>
        <v>4018</v>
      </c>
      <c r="E1119" s="1" t="s">
        <v>105</v>
      </c>
      <c r="F1119" s="1">
        <v>28</v>
      </c>
      <c r="G1119" s="1">
        <v>2</v>
      </c>
      <c r="H1119" s="1">
        <v>65.8</v>
      </c>
    </row>
    <row r="1120" spans="1:10" x14ac:dyDescent="0.3">
      <c r="A1120" t="str">
        <f t="shared" si="34"/>
        <v>OPPG</v>
      </c>
      <c r="B1120">
        <f t="shared" si="35"/>
        <v>9318</v>
      </c>
      <c r="E1120" s="1" t="s">
        <v>357</v>
      </c>
      <c r="F1120" s="1">
        <v>29</v>
      </c>
      <c r="G1120" s="1">
        <v>1</v>
      </c>
      <c r="H1120" s="1">
        <v>65.8</v>
      </c>
    </row>
    <row r="1121" spans="1:8" x14ac:dyDescent="0.3">
      <c r="A1121" t="str">
        <f t="shared" si="34"/>
        <v>OPPG</v>
      </c>
      <c r="B1121">
        <f t="shared" si="35"/>
        <v>15418</v>
      </c>
      <c r="E1121" s="1" t="s">
        <v>494</v>
      </c>
      <c r="F1121" s="1">
        <v>35</v>
      </c>
      <c r="G1121" s="1">
        <v>1</v>
      </c>
      <c r="H1121" s="1">
        <v>66.5</v>
      </c>
    </row>
    <row r="1122" spans="1:8" x14ac:dyDescent="0.3">
      <c r="A1122" t="str">
        <f t="shared" si="34"/>
        <v>OPPG</v>
      </c>
      <c r="B1122">
        <f t="shared" si="35"/>
        <v>918</v>
      </c>
      <c r="E1122" s="1" t="s">
        <v>90</v>
      </c>
      <c r="F1122" s="1">
        <v>44</v>
      </c>
      <c r="G1122" s="1">
        <v>2</v>
      </c>
      <c r="H1122" s="1">
        <v>67.099999999999994</v>
      </c>
    </row>
    <row r="1123" spans="1:8" x14ac:dyDescent="0.3">
      <c r="A1123" t="str">
        <f t="shared" si="34"/>
        <v>OPPG</v>
      </c>
      <c r="B1123">
        <f t="shared" si="35"/>
        <v>11118</v>
      </c>
      <c r="E1123" s="1" t="s">
        <v>277</v>
      </c>
      <c r="F1123" s="1">
        <v>45</v>
      </c>
      <c r="G1123" s="1">
        <v>3</v>
      </c>
      <c r="H1123" s="1">
        <v>67.2</v>
      </c>
    </row>
    <row r="1124" spans="1:8" x14ac:dyDescent="0.3">
      <c r="A1124" t="str">
        <f t="shared" si="34"/>
        <v>OPPG</v>
      </c>
      <c r="B1124">
        <f t="shared" si="35"/>
        <v>1318</v>
      </c>
      <c r="E1124" s="1" t="s">
        <v>82</v>
      </c>
      <c r="F1124" s="1">
        <v>48</v>
      </c>
      <c r="G1124" s="1">
        <v>3</v>
      </c>
      <c r="H1124" s="1">
        <v>67.3</v>
      </c>
    </row>
    <row r="1125" spans="1:8" x14ac:dyDescent="0.3">
      <c r="A1125" t="str">
        <f t="shared" si="34"/>
        <v>OPPG</v>
      </c>
      <c r="B1125">
        <f t="shared" si="35"/>
        <v>18318</v>
      </c>
      <c r="E1125" s="1" t="s">
        <v>423</v>
      </c>
      <c r="F1125" s="1">
        <v>51</v>
      </c>
      <c r="G1125" s="1">
        <v>3</v>
      </c>
      <c r="H1125" s="1">
        <v>67.400000000000006</v>
      </c>
    </row>
    <row r="1126" spans="1:8" x14ac:dyDescent="0.3">
      <c r="A1126" t="str">
        <f t="shared" si="34"/>
        <v>OPPG</v>
      </c>
      <c r="B1126">
        <f t="shared" si="35"/>
        <v>15618</v>
      </c>
      <c r="E1126" s="1" t="s">
        <v>468</v>
      </c>
      <c r="F1126" s="1">
        <v>53</v>
      </c>
      <c r="G1126" s="1">
        <v>1</v>
      </c>
      <c r="H1126" s="1">
        <v>67.7</v>
      </c>
    </row>
    <row r="1127" spans="1:8" x14ac:dyDescent="0.3">
      <c r="A1127" t="str">
        <f t="shared" si="34"/>
        <v>OPPG</v>
      </c>
      <c r="B1127">
        <f t="shared" si="35"/>
        <v>8318</v>
      </c>
      <c r="E1127" s="1" t="s">
        <v>257</v>
      </c>
      <c r="F1127" s="1">
        <v>54</v>
      </c>
      <c r="G1127" s="1">
        <v>1</v>
      </c>
      <c r="H1127" s="1">
        <v>67.7</v>
      </c>
    </row>
    <row r="1128" spans="1:8" x14ac:dyDescent="0.3">
      <c r="A1128" t="str">
        <f t="shared" si="34"/>
        <v>OPPG</v>
      </c>
      <c r="B1128">
        <f t="shared" si="35"/>
        <v>2318</v>
      </c>
      <c r="E1128" s="1" t="s">
        <v>79</v>
      </c>
      <c r="F1128" s="1">
        <v>56</v>
      </c>
      <c r="G1128" s="1">
        <v>2</v>
      </c>
      <c r="H1128" s="1">
        <v>68</v>
      </c>
    </row>
    <row r="1129" spans="1:8" x14ac:dyDescent="0.3">
      <c r="A1129" t="str">
        <f t="shared" si="34"/>
        <v>OPPG</v>
      </c>
      <c r="B1129">
        <f t="shared" si="35"/>
        <v>618</v>
      </c>
      <c r="E1129" s="1" t="s">
        <v>100</v>
      </c>
      <c r="F1129" s="1">
        <v>65</v>
      </c>
      <c r="G1129" s="1">
        <v>4</v>
      </c>
      <c r="H1129" s="1">
        <v>68.3</v>
      </c>
    </row>
    <row r="1130" spans="1:8" x14ac:dyDescent="0.3">
      <c r="A1130" t="str">
        <f t="shared" si="34"/>
        <v>OPPG</v>
      </c>
      <c r="B1130">
        <f t="shared" si="35"/>
        <v>7218</v>
      </c>
      <c r="E1130" s="1" t="s">
        <v>116</v>
      </c>
      <c r="F1130" s="1">
        <v>69</v>
      </c>
      <c r="G1130" s="1">
        <v>5</v>
      </c>
      <c r="H1130" s="1">
        <v>68.5</v>
      </c>
    </row>
    <row r="1131" spans="1:8" x14ac:dyDescent="0.3">
      <c r="A1131" t="str">
        <f t="shared" si="34"/>
        <v>OPPG</v>
      </c>
      <c r="B1131">
        <f t="shared" si="35"/>
        <v>3618</v>
      </c>
      <c r="E1131" s="1" t="s">
        <v>129</v>
      </c>
      <c r="F1131" s="1">
        <v>73</v>
      </c>
      <c r="G1131" s="1">
        <v>2</v>
      </c>
      <c r="H1131" s="1">
        <v>68.7</v>
      </c>
    </row>
    <row r="1132" spans="1:8" x14ac:dyDescent="0.3">
      <c r="A1132" t="str">
        <f t="shared" si="34"/>
        <v>OPPG</v>
      </c>
      <c r="B1132">
        <f t="shared" si="35"/>
        <v>3318</v>
      </c>
      <c r="E1132" s="1" t="s">
        <v>91</v>
      </c>
      <c r="F1132" s="1">
        <v>76</v>
      </c>
      <c r="G1132" s="1">
        <v>4</v>
      </c>
      <c r="H1132" s="1">
        <v>68.7</v>
      </c>
    </row>
    <row r="1133" spans="1:8" x14ac:dyDescent="0.3">
      <c r="A1133" t="str">
        <f t="shared" si="34"/>
        <v>OPPG</v>
      </c>
      <c r="B1133">
        <f t="shared" si="35"/>
        <v>10618</v>
      </c>
      <c r="E1133" s="1" t="s">
        <v>161</v>
      </c>
      <c r="F1133" s="1">
        <v>80</v>
      </c>
      <c r="G1133" s="1">
        <v>1</v>
      </c>
      <c r="H1133" s="1">
        <v>68.900000000000006</v>
      </c>
    </row>
    <row r="1134" spans="1:8" x14ac:dyDescent="0.3">
      <c r="A1134" t="str">
        <f t="shared" si="34"/>
        <v>OPPG</v>
      </c>
      <c r="B1134">
        <f t="shared" si="35"/>
        <v>4518</v>
      </c>
      <c r="E1134" s="1" t="s">
        <v>84</v>
      </c>
      <c r="F1134" s="1">
        <v>88</v>
      </c>
      <c r="G1134" s="1">
        <v>3</v>
      </c>
      <c r="H1134" s="1">
        <v>69.400000000000006</v>
      </c>
    </row>
    <row r="1135" spans="1:8" x14ac:dyDescent="0.3">
      <c r="A1135" t="str">
        <f t="shared" si="34"/>
        <v>OPPG</v>
      </c>
      <c r="B1135">
        <f t="shared" si="35"/>
        <v>5818</v>
      </c>
      <c r="E1135" s="1" t="s">
        <v>139</v>
      </c>
      <c r="F1135" s="1">
        <v>89</v>
      </c>
      <c r="G1135" s="1">
        <v>3</v>
      </c>
      <c r="H1135" s="1">
        <v>69.5</v>
      </c>
    </row>
    <row r="1136" spans="1:8" x14ac:dyDescent="0.3">
      <c r="A1136" t="str">
        <f t="shared" si="34"/>
        <v>OPPG</v>
      </c>
      <c r="B1136">
        <f t="shared" si="35"/>
        <v>13118</v>
      </c>
      <c r="E1136" s="1" t="s">
        <v>289</v>
      </c>
      <c r="F1136" s="1">
        <v>90</v>
      </c>
      <c r="G1136" s="1">
        <v>5</v>
      </c>
      <c r="H1136" s="1">
        <v>69.5</v>
      </c>
    </row>
    <row r="1137" spans="1:8" x14ac:dyDescent="0.3">
      <c r="A1137" t="str">
        <f t="shared" si="34"/>
        <v>OPPG</v>
      </c>
      <c r="B1137">
        <f t="shared" si="35"/>
        <v>3918</v>
      </c>
      <c r="E1137" s="1" t="s">
        <v>88</v>
      </c>
      <c r="F1137" s="1">
        <v>91</v>
      </c>
      <c r="G1137" s="1">
        <v>7</v>
      </c>
      <c r="H1137" s="1">
        <v>69.599999999999994</v>
      </c>
    </row>
    <row r="1138" spans="1:8" x14ac:dyDescent="0.3">
      <c r="A1138" t="str">
        <f t="shared" si="34"/>
        <v>OPPG</v>
      </c>
      <c r="B1138">
        <f t="shared" si="35"/>
        <v>5718</v>
      </c>
      <c r="E1138" s="1" t="s">
        <v>120</v>
      </c>
      <c r="F1138" s="1">
        <v>96</v>
      </c>
      <c r="G1138" s="1">
        <v>4</v>
      </c>
      <c r="H1138" s="1">
        <v>69.599999999999994</v>
      </c>
    </row>
    <row r="1139" spans="1:8" x14ac:dyDescent="0.3">
      <c r="A1139" t="str">
        <f t="shared" si="34"/>
        <v>OPPG</v>
      </c>
      <c r="B1139">
        <f t="shared" si="35"/>
        <v>2018</v>
      </c>
      <c r="E1139" s="1" t="s">
        <v>328</v>
      </c>
      <c r="F1139" s="1">
        <v>102</v>
      </c>
      <c r="G1139" s="1">
        <v>1</v>
      </c>
      <c r="H1139" s="1">
        <v>69.7</v>
      </c>
    </row>
    <row r="1140" spans="1:8" x14ac:dyDescent="0.3">
      <c r="A1140" t="str">
        <f t="shared" si="34"/>
        <v>OPPG</v>
      </c>
      <c r="B1140">
        <f t="shared" si="35"/>
        <v>3218</v>
      </c>
      <c r="E1140" s="1" t="s">
        <v>127</v>
      </c>
      <c r="F1140" s="1">
        <v>105</v>
      </c>
      <c r="G1140" s="1">
        <v>9</v>
      </c>
      <c r="H1140" s="1">
        <v>69.8</v>
      </c>
    </row>
    <row r="1141" spans="1:8" x14ac:dyDescent="0.3">
      <c r="A1141" t="str">
        <f t="shared" si="34"/>
        <v>OPPG</v>
      </c>
      <c r="B1141">
        <f t="shared" si="35"/>
        <v>13918</v>
      </c>
      <c r="E1141" s="1" t="s">
        <v>297</v>
      </c>
      <c r="F1141" s="1">
        <v>107</v>
      </c>
      <c r="G1141" s="1">
        <v>5</v>
      </c>
      <c r="H1141" s="1">
        <v>69.900000000000006</v>
      </c>
    </row>
    <row r="1142" spans="1:8" x14ac:dyDescent="0.3">
      <c r="A1142" t="str">
        <f t="shared" si="34"/>
        <v>OPPG</v>
      </c>
      <c r="B1142">
        <f t="shared" si="35"/>
        <v>4418</v>
      </c>
      <c r="E1142" s="1" t="s">
        <v>83</v>
      </c>
      <c r="F1142" s="1">
        <v>108</v>
      </c>
      <c r="G1142" s="1">
        <v>4</v>
      </c>
      <c r="H1142" s="1">
        <v>69.900000000000006</v>
      </c>
    </row>
    <row r="1143" spans="1:8" x14ac:dyDescent="0.3">
      <c r="A1143" t="str">
        <f t="shared" si="34"/>
        <v>OPPG</v>
      </c>
      <c r="B1143">
        <f t="shared" si="35"/>
        <v>3118</v>
      </c>
      <c r="E1143" s="1" t="s">
        <v>93</v>
      </c>
      <c r="F1143" s="1">
        <v>111</v>
      </c>
      <c r="G1143" s="1">
        <v>6</v>
      </c>
      <c r="H1143" s="1">
        <v>70</v>
      </c>
    </row>
    <row r="1144" spans="1:8" x14ac:dyDescent="0.3">
      <c r="A1144" t="str">
        <f t="shared" si="34"/>
        <v>OPPG</v>
      </c>
      <c r="B1144">
        <f t="shared" si="35"/>
        <v>15818</v>
      </c>
      <c r="E1144" s="1" t="s">
        <v>470</v>
      </c>
      <c r="F1144" s="1">
        <v>112</v>
      </c>
      <c r="G1144" s="1">
        <v>4</v>
      </c>
      <c r="H1144" s="1">
        <v>70</v>
      </c>
    </row>
    <row r="1145" spans="1:8" x14ac:dyDescent="0.3">
      <c r="A1145" t="str">
        <f t="shared" si="34"/>
        <v>OPPG</v>
      </c>
      <c r="B1145">
        <f t="shared" si="35"/>
        <v>1418</v>
      </c>
      <c r="E1145" s="1" t="s">
        <v>102</v>
      </c>
      <c r="F1145" s="1">
        <v>113</v>
      </c>
      <c r="G1145" s="1">
        <v>6</v>
      </c>
      <c r="H1145" s="1">
        <v>70</v>
      </c>
    </row>
    <row r="1146" spans="1:8" x14ac:dyDescent="0.3">
      <c r="A1146" t="str">
        <f t="shared" si="34"/>
        <v>OPPG</v>
      </c>
      <c r="B1146">
        <f t="shared" si="35"/>
        <v>12518</v>
      </c>
      <c r="E1146" s="1" t="s">
        <v>95</v>
      </c>
      <c r="F1146" s="1">
        <v>115</v>
      </c>
      <c r="G1146" s="1">
        <v>1</v>
      </c>
      <c r="H1146" s="1">
        <v>70.099999999999994</v>
      </c>
    </row>
    <row r="1147" spans="1:8" x14ac:dyDescent="0.3">
      <c r="A1147" t="str">
        <f t="shared" si="34"/>
        <v>OPPG</v>
      </c>
      <c r="B1147">
        <f t="shared" si="35"/>
        <v>3018</v>
      </c>
      <c r="E1147" s="1" t="s">
        <v>89</v>
      </c>
      <c r="F1147" s="1">
        <v>124</v>
      </c>
      <c r="G1147" s="1">
        <v>6</v>
      </c>
      <c r="H1147" s="1">
        <v>70.400000000000006</v>
      </c>
    </row>
    <row r="1148" spans="1:8" x14ac:dyDescent="0.3">
      <c r="A1148" t="str">
        <f t="shared" si="34"/>
        <v>OPPG</v>
      </c>
      <c r="B1148">
        <f t="shared" si="35"/>
        <v>16118</v>
      </c>
      <c r="E1148" s="1" t="s">
        <v>473</v>
      </c>
      <c r="F1148" s="1">
        <v>130</v>
      </c>
      <c r="G1148" s="1">
        <v>5</v>
      </c>
      <c r="H1148" s="1">
        <v>70.5</v>
      </c>
    </row>
    <row r="1149" spans="1:8" x14ac:dyDescent="0.3">
      <c r="A1149" t="str">
        <f t="shared" si="34"/>
        <v>OPPG</v>
      </c>
      <c r="B1149">
        <f t="shared" si="35"/>
        <v>4718</v>
      </c>
      <c r="E1149" s="1" t="s">
        <v>107</v>
      </c>
      <c r="F1149" s="1">
        <v>134</v>
      </c>
      <c r="G1149" s="1">
        <v>7</v>
      </c>
      <c r="H1149" s="1">
        <v>70.599999999999994</v>
      </c>
    </row>
    <row r="1150" spans="1:8" x14ac:dyDescent="0.3">
      <c r="A1150" t="str">
        <f t="shared" si="34"/>
        <v>OPPG</v>
      </c>
      <c r="B1150">
        <f t="shared" si="35"/>
        <v>6918</v>
      </c>
      <c r="E1150" s="1" t="s">
        <v>114</v>
      </c>
      <c r="F1150" s="1">
        <v>141</v>
      </c>
      <c r="G1150" s="1">
        <v>7</v>
      </c>
      <c r="H1150" s="1">
        <v>70.900000000000006</v>
      </c>
    </row>
    <row r="1151" spans="1:8" x14ac:dyDescent="0.3">
      <c r="A1151" t="str">
        <f t="shared" si="34"/>
        <v>OPPG</v>
      </c>
      <c r="B1151">
        <f t="shared" si="35"/>
        <v>4218</v>
      </c>
      <c r="E1151" s="1" t="s">
        <v>123</v>
      </c>
      <c r="F1151" s="1">
        <v>142</v>
      </c>
      <c r="G1151" s="1">
        <v>8</v>
      </c>
      <c r="H1151" s="1">
        <v>70.900000000000006</v>
      </c>
    </row>
    <row r="1152" spans="1:8" x14ac:dyDescent="0.3">
      <c r="A1152" t="str">
        <f t="shared" si="34"/>
        <v>OPPG</v>
      </c>
      <c r="B1152">
        <f t="shared" si="35"/>
        <v>15118</v>
      </c>
      <c r="E1152" s="1" t="s">
        <v>464</v>
      </c>
      <c r="F1152" s="1">
        <v>145</v>
      </c>
      <c r="G1152" s="1">
        <v>2</v>
      </c>
      <c r="H1152" s="1">
        <v>71</v>
      </c>
    </row>
    <row r="1153" spans="1:8" x14ac:dyDescent="0.3">
      <c r="A1153" t="str">
        <f t="shared" si="34"/>
        <v>OPPG</v>
      </c>
      <c r="B1153">
        <f t="shared" si="35"/>
        <v>8118</v>
      </c>
      <c r="E1153" s="1" t="s">
        <v>256</v>
      </c>
      <c r="F1153" s="1">
        <v>153</v>
      </c>
      <c r="G1153" s="1">
        <v>6</v>
      </c>
      <c r="H1153" s="1">
        <v>71.400000000000006</v>
      </c>
    </row>
    <row r="1154" spans="1:8" x14ac:dyDescent="0.3">
      <c r="A1154" t="str">
        <f t="shared" ref="A1154:A1217" si="36">IF(NOT(D1154=""),INDEX(statAbbr,MATCH(D1154,statOfficial,0),1),A1153)</f>
        <v>OPPG</v>
      </c>
      <c r="B1154">
        <f t="shared" ref="B1154:B1217" si="37">INDEX(statID,MATCH(A1154,statAbbr,0),1)+INDEX(teamID,MATCH(E1154,teamRawName,0))</f>
        <v>7618</v>
      </c>
      <c r="E1154" s="1" t="s">
        <v>253</v>
      </c>
      <c r="F1154" s="1">
        <v>159</v>
      </c>
      <c r="G1154" s="1">
        <v>9</v>
      </c>
      <c r="H1154" s="1">
        <v>71.5</v>
      </c>
    </row>
    <row r="1155" spans="1:8" x14ac:dyDescent="0.3">
      <c r="A1155" t="str">
        <f t="shared" si="36"/>
        <v>OPPG</v>
      </c>
      <c r="B1155">
        <f t="shared" si="37"/>
        <v>15918</v>
      </c>
      <c r="E1155" s="1" t="s">
        <v>495</v>
      </c>
      <c r="F1155" s="1">
        <v>162</v>
      </c>
      <c r="G1155" s="1">
        <v>4</v>
      </c>
      <c r="H1155" s="1">
        <v>71.599999999999994</v>
      </c>
    </row>
    <row r="1156" spans="1:8" x14ac:dyDescent="0.3">
      <c r="A1156" t="str">
        <f t="shared" si="36"/>
        <v>OPPG</v>
      </c>
      <c r="B1156">
        <f t="shared" si="37"/>
        <v>7418</v>
      </c>
      <c r="E1156" s="1" t="s">
        <v>251</v>
      </c>
      <c r="F1156" s="1">
        <v>164</v>
      </c>
      <c r="G1156" s="1">
        <v>8</v>
      </c>
      <c r="H1156" s="1">
        <v>71.599999999999994</v>
      </c>
    </row>
    <row r="1157" spans="1:8" x14ac:dyDescent="0.3">
      <c r="A1157" t="str">
        <f t="shared" si="36"/>
        <v>OPPG</v>
      </c>
      <c r="B1157">
        <f t="shared" si="37"/>
        <v>318</v>
      </c>
      <c r="E1157" s="1" t="s">
        <v>215</v>
      </c>
      <c r="F1157" s="1">
        <v>166</v>
      </c>
      <c r="G1157" s="1">
        <v>8</v>
      </c>
      <c r="H1157" s="1">
        <v>71.599999999999994</v>
      </c>
    </row>
    <row r="1158" spans="1:8" x14ac:dyDescent="0.3">
      <c r="A1158" t="str">
        <f t="shared" si="36"/>
        <v>OPPG</v>
      </c>
      <c r="B1158">
        <f t="shared" si="37"/>
        <v>16218</v>
      </c>
      <c r="E1158" s="1" t="s">
        <v>497</v>
      </c>
      <c r="F1158" s="1">
        <v>191</v>
      </c>
      <c r="G1158" s="1">
        <v>6</v>
      </c>
      <c r="H1158" s="1">
        <v>72.400000000000006</v>
      </c>
    </row>
    <row r="1159" spans="1:8" x14ac:dyDescent="0.3">
      <c r="A1159" t="str">
        <f t="shared" si="36"/>
        <v>OPPG</v>
      </c>
      <c r="B1159">
        <f t="shared" si="37"/>
        <v>2718</v>
      </c>
      <c r="E1159" s="1" t="s">
        <v>7</v>
      </c>
      <c r="F1159" s="1">
        <v>196</v>
      </c>
      <c r="G1159" s="1">
        <v>11</v>
      </c>
      <c r="H1159" s="1">
        <v>72.599999999999994</v>
      </c>
    </row>
    <row r="1160" spans="1:8" x14ac:dyDescent="0.3">
      <c r="A1160" t="str">
        <f t="shared" si="36"/>
        <v>OPPG</v>
      </c>
      <c r="B1160">
        <f t="shared" si="37"/>
        <v>6718</v>
      </c>
      <c r="E1160" s="1" t="s">
        <v>118</v>
      </c>
      <c r="F1160" s="1">
        <v>200</v>
      </c>
      <c r="G1160" s="1">
        <v>9</v>
      </c>
      <c r="H1160" s="1">
        <v>72.599999999999994</v>
      </c>
    </row>
    <row r="1161" spans="1:8" x14ac:dyDescent="0.3">
      <c r="A1161" t="str">
        <f t="shared" si="36"/>
        <v>OPPG</v>
      </c>
      <c r="B1161">
        <f t="shared" si="37"/>
        <v>18418</v>
      </c>
      <c r="E1161" s="1" t="s">
        <v>417</v>
      </c>
      <c r="F1161" s="1">
        <v>212</v>
      </c>
      <c r="G1161" s="1">
        <v>5</v>
      </c>
      <c r="H1161" s="1">
        <v>73.2</v>
      </c>
    </row>
    <row r="1162" spans="1:8" x14ac:dyDescent="0.3">
      <c r="A1162" t="str">
        <f t="shared" si="36"/>
        <v>OPPG</v>
      </c>
      <c r="B1162">
        <f t="shared" si="37"/>
        <v>2918</v>
      </c>
      <c r="E1162" s="1" t="s">
        <v>96</v>
      </c>
      <c r="F1162" s="1">
        <v>216</v>
      </c>
      <c r="G1162" s="1">
        <v>13</v>
      </c>
      <c r="H1162" s="1">
        <v>73.3</v>
      </c>
    </row>
    <row r="1163" spans="1:8" x14ac:dyDescent="0.3">
      <c r="A1163" t="str">
        <f t="shared" si="36"/>
        <v>OPPG</v>
      </c>
      <c r="B1163">
        <f t="shared" si="37"/>
        <v>11718</v>
      </c>
      <c r="E1163" s="1" t="s">
        <v>280</v>
      </c>
      <c r="F1163" s="1">
        <v>218</v>
      </c>
      <c r="G1163" s="1">
        <v>8</v>
      </c>
      <c r="H1163" s="1">
        <v>73.3</v>
      </c>
    </row>
    <row r="1164" spans="1:8" x14ac:dyDescent="0.3">
      <c r="A1164" t="str">
        <f t="shared" si="36"/>
        <v>OPPG</v>
      </c>
      <c r="B1164">
        <f t="shared" si="37"/>
        <v>6618</v>
      </c>
      <c r="E1164" s="1" t="s">
        <v>247</v>
      </c>
      <c r="F1164" s="1">
        <v>221</v>
      </c>
      <c r="G1164" s="1">
        <v>5</v>
      </c>
      <c r="H1164" s="1">
        <v>73.400000000000006</v>
      </c>
    </row>
    <row r="1165" spans="1:8" x14ac:dyDescent="0.3">
      <c r="A1165" t="str">
        <f t="shared" si="36"/>
        <v>OPPG</v>
      </c>
      <c r="B1165">
        <f t="shared" si="37"/>
        <v>14118</v>
      </c>
      <c r="E1165" s="1" t="s">
        <v>299</v>
      </c>
      <c r="F1165" s="1">
        <v>227</v>
      </c>
      <c r="G1165" s="1">
        <v>11</v>
      </c>
      <c r="H1165" s="1">
        <v>73.599999999999994</v>
      </c>
    </row>
    <row r="1166" spans="1:8" x14ac:dyDescent="0.3">
      <c r="A1166" t="str">
        <f t="shared" si="36"/>
        <v>OPPG</v>
      </c>
      <c r="B1166">
        <f t="shared" si="37"/>
        <v>1618</v>
      </c>
      <c r="E1166" s="1" t="s">
        <v>137</v>
      </c>
      <c r="F1166" s="1">
        <v>241</v>
      </c>
      <c r="G1166" s="1">
        <v>12</v>
      </c>
      <c r="H1166" s="1">
        <v>74.2</v>
      </c>
    </row>
    <row r="1167" spans="1:8" x14ac:dyDescent="0.3">
      <c r="A1167" t="str">
        <f t="shared" si="36"/>
        <v>OPPG</v>
      </c>
      <c r="B1167">
        <f t="shared" si="37"/>
        <v>14918</v>
      </c>
      <c r="E1167" s="1" t="s">
        <v>307</v>
      </c>
      <c r="F1167" s="1">
        <v>244</v>
      </c>
      <c r="G1167" s="1">
        <v>7</v>
      </c>
      <c r="H1167" s="1">
        <v>74.2</v>
      </c>
    </row>
    <row r="1168" spans="1:8" x14ac:dyDescent="0.3">
      <c r="A1168" t="str">
        <f t="shared" si="36"/>
        <v>OPPG</v>
      </c>
      <c r="B1168">
        <f t="shared" si="37"/>
        <v>14418</v>
      </c>
      <c r="E1168" s="1" t="s">
        <v>302</v>
      </c>
      <c r="F1168" s="1">
        <v>246</v>
      </c>
      <c r="G1168" s="1">
        <v>13</v>
      </c>
      <c r="H1168" s="1">
        <v>74.3</v>
      </c>
    </row>
    <row r="1169" spans="1:10" x14ac:dyDescent="0.3">
      <c r="A1169" t="str">
        <f t="shared" si="36"/>
        <v>OPPG</v>
      </c>
      <c r="B1169">
        <f t="shared" si="37"/>
        <v>3818</v>
      </c>
      <c r="E1169" s="1" t="s">
        <v>238</v>
      </c>
      <c r="F1169" s="1">
        <v>254</v>
      </c>
      <c r="G1169" s="1">
        <v>14</v>
      </c>
      <c r="H1169" s="1">
        <v>74.599999999999994</v>
      </c>
    </row>
    <row r="1170" spans="1:10" x14ac:dyDescent="0.3">
      <c r="A1170" t="str">
        <f t="shared" si="36"/>
        <v>OPPG</v>
      </c>
      <c r="B1170">
        <f t="shared" si="37"/>
        <v>4918</v>
      </c>
      <c r="E1170" s="1" t="s">
        <v>108</v>
      </c>
      <c r="F1170" s="1">
        <v>256</v>
      </c>
      <c r="G1170" s="1">
        <v>14</v>
      </c>
      <c r="H1170" s="1">
        <v>74.7</v>
      </c>
    </row>
    <row r="1171" spans="1:10" x14ac:dyDescent="0.3">
      <c r="A1171" t="str">
        <f t="shared" si="36"/>
        <v>OPPG</v>
      </c>
      <c r="B1171">
        <f t="shared" si="37"/>
        <v>4318</v>
      </c>
      <c r="E1171" s="1" t="s">
        <v>125</v>
      </c>
      <c r="F1171" s="1">
        <v>260</v>
      </c>
      <c r="G1171" s="1">
        <v>15</v>
      </c>
      <c r="H1171" s="1">
        <v>74.8</v>
      </c>
    </row>
    <row r="1172" spans="1:10" x14ac:dyDescent="0.3">
      <c r="A1172" t="str">
        <f t="shared" si="36"/>
        <v>OPPG</v>
      </c>
      <c r="B1172">
        <f t="shared" si="37"/>
        <v>8218</v>
      </c>
      <c r="E1172" s="1" t="s">
        <v>131</v>
      </c>
      <c r="F1172" s="1">
        <v>268</v>
      </c>
      <c r="G1172" s="1">
        <v>6</v>
      </c>
      <c r="H1172" s="1">
        <v>75.099999999999994</v>
      </c>
    </row>
    <row r="1173" spans="1:10" x14ac:dyDescent="0.3">
      <c r="A1173" t="str">
        <f t="shared" si="36"/>
        <v>OPPG</v>
      </c>
      <c r="B1173">
        <f t="shared" si="37"/>
        <v>5518</v>
      </c>
      <c r="E1173" s="1" t="s">
        <v>86</v>
      </c>
      <c r="F1173" s="1">
        <v>308</v>
      </c>
      <c r="G1173" s="1">
        <v>15</v>
      </c>
      <c r="H1173" s="1">
        <v>77.2</v>
      </c>
    </row>
    <row r="1174" spans="1:10" x14ac:dyDescent="0.3">
      <c r="A1174" t="str">
        <f t="shared" si="36"/>
        <v>OPPG</v>
      </c>
      <c r="B1174">
        <f t="shared" si="37"/>
        <v>18518</v>
      </c>
      <c r="E1174" s="1" t="s">
        <v>420</v>
      </c>
      <c r="F1174" s="1">
        <v>325</v>
      </c>
      <c r="G1174" s="1">
        <v>6</v>
      </c>
      <c r="H1174" s="1">
        <v>78.5</v>
      </c>
    </row>
    <row r="1175" spans="1:10" x14ac:dyDescent="0.3">
      <c r="A1175" t="str">
        <f t="shared" si="36"/>
        <v>OPPG</v>
      </c>
      <c r="B1175">
        <f t="shared" si="37"/>
        <v>3718</v>
      </c>
      <c r="E1175" s="1" t="s">
        <v>115</v>
      </c>
      <c r="F1175" s="1">
        <v>347</v>
      </c>
      <c r="G1175" s="1">
        <v>16</v>
      </c>
      <c r="H1175" s="1">
        <v>81.3</v>
      </c>
    </row>
    <row r="1176" spans="1:10" x14ac:dyDescent="0.3">
      <c r="A1176" t="str">
        <f t="shared" si="36"/>
        <v>SM</v>
      </c>
      <c r="B1176">
        <f t="shared" si="37"/>
        <v>5423</v>
      </c>
      <c r="D1176" s="1" t="s">
        <v>554</v>
      </c>
      <c r="E1176" s="1" t="s">
        <v>94</v>
      </c>
      <c r="F1176" s="1">
        <v>1</v>
      </c>
      <c r="G1176" s="1">
        <v>1</v>
      </c>
      <c r="H1176" s="1">
        <v>20.5</v>
      </c>
      <c r="I1176" s="1" t="s">
        <v>94</v>
      </c>
      <c r="J1176" s="1">
        <v>20.5</v>
      </c>
    </row>
    <row r="1177" spans="1:10" x14ac:dyDescent="0.3">
      <c r="A1177" t="str">
        <f t="shared" si="36"/>
        <v>SM</v>
      </c>
      <c r="B1177">
        <f t="shared" si="37"/>
        <v>15023</v>
      </c>
      <c r="E1177" s="1" t="s">
        <v>463</v>
      </c>
      <c r="F1177" s="1">
        <v>2</v>
      </c>
      <c r="G1177" s="1">
        <v>1</v>
      </c>
      <c r="H1177" s="1">
        <v>17.5</v>
      </c>
    </row>
    <row r="1178" spans="1:10" x14ac:dyDescent="0.3">
      <c r="A1178" t="str">
        <f t="shared" si="36"/>
        <v>SM</v>
      </c>
      <c r="B1178">
        <f t="shared" si="37"/>
        <v>4423</v>
      </c>
      <c r="E1178" s="1" t="s">
        <v>83</v>
      </c>
      <c r="F1178" s="1">
        <v>3</v>
      </c>
      <c r="G1178" s="1">
        <v>1</v>
      </c>
      <c r="H1178" s="1">
        <v>16.5</v>
      </c>
    </row>
    <row r="1179" spans="1:10" x14ac:dyDescent="0.3">
      <c r="A1179" t="str">
        <f t="shared" si="36"/>
        <v>SM</v>
      </c>
      <c r="B1179">
        <f t="shared" si="37"/>
        <v>5723</v>
      </c>
      <c r="E1179" s="1" t="s">
        <v>120</v>
      </c>
      <c r="F1179" s="1">
        <v>4</v>
      </c>
      <c r="G1179" s="1">
        <v>1</v>
      </c>
      <c r="H1179" s="1">
        <v>15.2</v>
      </c>
    </row>
    <row r="1180" spans="1:10" x14ac:dyDescent="0.3">
      <c r="A1180" t="str">
        <f t="shared" si="36"/>
        <v>SM</v>
      </c>
      <c r="B1180">
        <f t="shared" si="37"/>
        <v>2823</v>
      </c>
      <c r="E1180" s="1" t="s">
        <v>106</v>
      </c>
      <c r="F1180" s="1">
        <v>5</v>
      </c>
      <c r="G1180" s="1">
        <v>1</v>
      </c>
      <c r="H1180" s="1">
        <v>15</v>
      </c>
    </row>
    <row r="1181" spans="1:10" x14ac:dyDescent="0.3">
      <c r="A1181" t="str">
        <f t="shared" si="36"/>
        <v>SM</v>
      </c>
      <c r="B1181">
        <f t="shared" si="37"/>
        <v>12223</v>
      </c>
      <c r="E1181" s="1" t="s">
        <v>284</v>
      </c>
      <c r="F1181" s="1">
        <v>6</v>
      </c>
      <c r="G1181" s="1">
        <v>1</v>
      </c>
      <c r="H1181" s="1">
        <v>14.1</v>
      </c>
    </row>
    <row r="1182" spans="1:10" x14ac:dyDescent="0.3">
      <c r="A1182" t="str">
        <f t="shared" si="36"/>
        <v>SM</v>
      </c>
      <c r="B1182">
        <f t="shared" si="37"/>
        <v>11123</v>
      </c>
      <c r="E1182" s="1" t="s">
        <v>277</v>
      </c>
      <c r="F1182" s="1">
        <v>7</v>
      </c>
      <c r="G1182" s="1">
        <v>1</v>
      </c>
      <c r="H1182" s="1">
        <v>13.9</v>
      </c>
    </row>
    <row r="1183" spans="1:10" x14ac:dyDescent="0.3">
      <c r="A1183" t="str">
        <f t="shared" si="36"/>
        <v>SM</v>
      </c>
      <c r="B1183">
        <f t="shared" si="37"/>
        <v>4523</v>
      </c>
      <c r="E1183" s="1" t="s">
        <v>84</v>
      </c>
      <c r="F1183" s="1">
        <v>8</v>
      </c>
      <c r="G1183" s="1">
        <v>2</v>
      </c>
      <c r="H1183" s="1">
        <v>13.6</v>
      </c>
    </row>
    <row r="1184" spans="1:10" x14ac:dyDescent="0.3">
      <c r="A1184" t="str">
        <f t="shared" si="36"/>
        <v>SM</v>
      </c>
      <c r="B1184">
        <f t="shared" si="37"/>
        <v>10623</v>
      </c>
      <c r="E1184" s="1" t="s">
        <v>161</v>
      </c>
      <c r="F1184" s="1">
        <v>9</v>
      </c>
      <c r="G1184" s="1">
        <v>1</v>
      </c>
      <c r="H1184" s="1">
        <v>12.7</v>
      </c>
    </row>
    <row r="1185" spans="1:8" x14ac:dyDescent="0.3">
      <c r="A1185" t="str">
        <f t="shared" si="36"/>
        <v>SM</v>
      </c>
      <c r="B1185">
        <f t="shared" si="37"/>
        <v>9323</v>
      </c>
      <c r="E1185" s="1" t="s">
        <v>357</v>
      </c>
      <c r="F1185" s="1">
        <v>10</v>
      </c>
      <c r="G1185" s="1">
        <v>1</v>
      </c>
      <c r="H1185" s="1">
        <v>12.7</v>
      </c>
    </row>
    <row r="1186" spans="1:8" x14ac:dyDescent="0.3">
      <c r="A1186" t="str">
        <f t="shared" si="36"/>
        <v>SM</v>
      </c>
      <c r="B1186">
        <f t="shared" si="37"/>
        <v>5123</v>
      </c>
      <c r="E1186" s="1" t="s">
        <v>240</v>
      </c>
      <c r="F1186" s="1">
        <v>11</v>
      </c>
      <c r="G1186" s="1">
        <v>1</v>
      </c>
      <c r="H1186" s="1">
        <v>12.5</v>
      </c>
    </row>
    <row r="1187" spans="1:8" x14ac:dyDescent="0.3">
      <c r="A1187" t="str">
        <f t="shared" si="36"/>
        <v>SM</v>
      </c>
      <c r="B1187">
        <f t="shared" si="37"/>
        <v>7223</v>
      </c>
      <c r="E1187" s="1" t="s">
        <v>116</v>
      </c>
      <c r="F1187" s="1">
        <v>12</v>
      </c>
      <c r="G1187" s="1">
        <v>2</v>
      </c>
      <c r="H1187" s="1">
        <v>12.4</v>
      </c>
    </row>
    <row r="1188" spans="1:8" x14ac:dyDescent="0.3">
      <c r="A1188" t="str">
        <f t="shared" si="36"/>
        <v>SM</v>
      </c>
      <c r="B1188">
        <f t="shared" si="37"/>
        <v>223</v>
      </c>
      <c r="E1188" s="1" t="s">
        <v>98</v>
      </c>
      <c r="F1188" s="1">
        <v>13</v>
      </c>
      <c r="G1188" s="1">
        <v>1</v>
      </c>
      <c r="H1188" s="1">
        <v>12.1</v>
      </c>
    </row>
    <row r="1189" spans="1:8" x14ac:dyDescent="0.3">
      <c r="A1189" t="str">
        <f t="shared" si="36"/>
        <v>SM</v>
      </c>
      <c r="B1189">
        <f t="shared" si="37"/>
        <v>623</v>
      </c>
      <c r="E1189" s="1" t="s">
        <v>100</v>
      </c>
      <c r="F1189" s="1">
        <v>14</v>
      </c>
      <c r="G1189" s="1">
        <v>3</v>
      </c>
      <c r="H1189" s="1">
        <v>12</v>
      </c>
    </row>
    <row r="1190" spans="1:8" x14ac:dyDescent="0.3">
      <c r="A1190" t="str">
        <f t="shared" si="36"/>
        <v>SM</v>
      </c>
      <c r="B1190">
        <f t="shared" si="37"/>
        <v>2523</v>
      </c>
      <c r="E1190" s="1" t="s">
        <v>92</v>
      </c>
      <c r="F1190" s="1">
        <v>15</v>
      </c>
      <c r="G1190" s="1">
        <v>2</v>
      </c>
      <c r="H1190" s="1">
        <v>11.8</v>
      </c>
    </row>
    <row r="1191" spans="1:8" x14ac:dyDescent="0.3">
      <c r="A1191" t="str">
        <f t="shared" si="36"/>
        <v>SM</v>
      </c>
      <c r="B1191">
        <f t="shared" si="37"/>
        <v>12523</v>
      </c>
      <c r="E1191" s="1" t="s">
        <v>95</v>
      </c>
      <c r="F1191" s="1">
        <v>16</v>
      </c>
      <c r="G1191" s="1">
        <v>1</v>
      </c>
      <c r="H1191" s="1">
        <v>11.2</v>
      </c>
    </row>
    <row r="1192" spans="1:8" x14ac:dyDescent="0.3">
      <c r="A1192" t="str">
        <f t="shared" si="36"/>
        <v>SM</v>
      </c>
      <c r="B1192">
        <f t="shared" si="37"/>
        <v>3523</v>
      </c>
      <c r="E1192" s="1" t="s">
        <v>87</v>
      </c>
      <c r="F1192" s="1">
        <v>17</v>
      </c>
      <c r="G1192" s="1">
        <v>3</v>
      </c>
      <c r="H1192" s="1">
        <v>11</v>
      </c>
    </row>
    <row r="1193" spans="1:8" x14ac:dyDescent="0.3">
      <c r="A1193" t="str">
        <f t="shared" si="36"/>
        <v>SM</v>
      </c>
      <c r="B1193">
        <f t="shared" si="37"/>
        <v>9523</v>
      </c>
      <c r="E1193" s="1" t="s">
        <v>85</v>
      </c>
      <c r="F1193" s="1">
        <v>18</v>
      </c>
      <c r="G1193" s="1">
        <v>1</v>
      </c>
      <c r="H1193" s="1">
        <v>10.9</v>
      </c>
    </row>
    <row r="1194" spans="1:8" x14ac:dyDescent="0.3">
      <c r="A1194" t="str">
        <f t="shared" si="36"/>
        <v>SM</v>
      </c>
      <c r="B1194">
        <f t="shared" si="37"/>
        <v>8323</v>
      </c>
      <c r="E1194" s="1" t="s">
        <v>257</v>
      </c>
      <c r="F1194" s="1">
        <v>19</v>
      </c>
      <c r="G1194" s="1">
        <v>1</v>
      </c>
      <c r="H1194" s="1">
        <v>10.9</v>
      </c>
    </row>
    <row r="1195" spans="1:8" x14ac:dyDescent="0.3">
      <c r="A1195" t="str">
        <f t="shared" si="36"/>
        <v>SM</v>
      </c>
      <c r="B1195">
        <f t="shared" si="37"/>
        <v>923</v>
      </c>
      <c r="E1195" s="1" t="s">
        <v>90</v>
      </c>
      <c r="F1195" s="1">
        <v>20</v>
      </c>
      <c r="G1195" s="1">
        <v>2</v>
      </c>
      <c r="H1195" s="1">
        <v>10.5</v>
      </c>
    </row>
    <row r="1196" spans="1:8" x14ac:dyDescent="0.3">
      <c r="A1196" t="str">
        <f t="shared" si="36"/>
        <v>SM</v>
      </c>
      <c r="B1196">
        <f t="shared" si="37"/>
        <v>4023</v>
      </c>
      <c r="E1196" s="1" t="s">
        <v>105</v>
      </c>
      <c r="F1196" s="1">
        <v>21</v>
      </c>
      <c r="G1196" s="1">
        <v>2</v>
      </c>
      <c r="H1196" s="1">
        <v>10.3</v>
      </c>
    </row>
    <row r="1197" spans="1:8" x14ac:dyDescent="0.3">
      <c r="A1197" t="str">
        <f t="shared" si="36"/>
        <v>SM</v>
      </c>
      <c r="B1197">
        <f t="shared" si="37"/>
        <v>14123</v>
      </c>
      <c r="E1197" s="1" t="s">
        <v>299</v>
      </c>
      <c r="F1197" s="1">
        <v>22</v>
      </c>
      <c r="G1197" s="1">
        <v>4</v>
      </c>
      <c r="H1197" s="1">
        <v>10</v>
      </c>
    </row>
    <row r="1198" spans="1:8" x14ac:dyDescent="0.3">
      <c r="A1198" t="str">
        <f t="shared" si="36"/>
        <v>SM</v>
      </c>
      <c r="B1198">
        <f t="shared" si="37"/>
        <v>4723</v>
      </c>
      <c r="E1198" s="1" t="s">
        <v>107</v>
      </c>
      <c r="F1198" s="1">
        <v>23</v>
      </c>
      <c r="G1198" s="1">
        <v>1</v>
      </c>
      <c r="H1198" s="1">
        <v>9.9</v>
      </c>
    </row>
    <row r="1199" spans="1:8" x14ac:dyDescent="0.3">
      <c r="A1199" t="str">
        <f t="shared" si="36"/>
        <v>SM</v>
      </c>
      <c r="B1199">
        <f t="shared" si="37"/>
        <v>1423</v>
      </c>
      <c r="E1199" s="1" t="s">
        <v>102</v>
      </c>
      <c r="F1199" s="1">
        <v>24</v>
      </c>
      <c r="G1199" s="1">
        <v>2</v>
      </c>
      <c r="H1199" s="1">
        <v>9.9</v>
      </c>
    </row>
    <row r="1200" spans="1:8" x14ac:dyDescent="0.3">
      <c r="A1200" t="str">
        <f t="shared" si="36"/>
        <v>SM</v>
      </c>
      <c r="B1200">
        <f t="shared" si="37"/>
        <v>3723</v>
      </c>
      <c r="E1200" s="1" t="s">
        <v>115</v>
      </c>
      <c r="F1200" s="1">
        <v>25</v>
      </c>
      <c r="G1200" s="1">
        <v>5</v>
      </c>
      <c r="H1200" s="1">
        <v>9.4</v>
      </c>
    </row>
    <row r="1201" spans="1:8" x14ac:dyDescent="0.3">
      <c r="A1201" t="str">
        <f t="shared" si="36"/>
        <v>SM</v>
      </c>
      <c r="B1201">
        <f t="shared" si="37"/>
        <v>4223</v>
      </c>
      <c r="E1201" s="1" t="s">
        <v>123</v>
      </c>
      <c r="F1201" s="1">
        <v>27</v>
      </c>
      <c r="G1201" s="1">
        <v>3</v>
      </c>
      <c r="H1201" s="1">
        <v>9.1999999999999993</v>
      </c>
    </row>
    <row r="1202" spans="1:8" x14ac:dyDescent="0.3">
      <c r="A1202" t="str">
        <f t="shared" si="36"/>
        <v>SM</v>
      </c>
      <c r="B1202">
        <f t="shared" si="37"/>
        <v>2923</v>
      </c>
      <c r="E1202" s="1" t="s">
        <v>96</v>
      </c>
      <c r="F1202" s="1">
        <v>28</v>
      </c>
      <c r="G1202" s="1">
        <v>4</v>
      </c>
      <c r="H1202" s="1">
        <v>9.1999999999999993</v>
      </c>
    </row>
    <row r="1203" spans="1:8" x14ac:dyDescent="0.3">
      <c r="A1203" t="str">
        <f t="shared" si="36"/>
        <v>SM</v>
      </c>
      <c r="B1203">
        <f t="shared" si="37"/>
        <v>13123</v>
      </c>
      <c r="E1203" s="1" t="s">
        <v>289</v>
      </c>
      <c r="F1203" s="1">
        <v>31</v>
      </c>
      <c r="G1203" s="1">
        <v>3</v>
      </c>
      <c r="H1203" s="1">
        <v>9</v>
      </c>
    </row>
    <row r="1204" spans="1:8" x14ac:dyDescent="0.3">
      <c r="A1204" t="str">
        <f t="shared" si="36"/>
        <v>SM</v>
      </c>
      <c r="B1204">
        <f t="shared" si="37"/>
        <v>2323</v>
      </c>
      <c r="E1204" s="1" t="s">
        <v>79</v>
      </c>
      <c r="F1204" s="1">
        <v>31</v>
      </c>
      <c r="G1204" s="1">
        <v>2</v>
      </c>
      <c r="H1204" s="1">
        <v>9</v>
      </c>
    </row>
    <row r="1205" spans="1:8" x14ac:dyDescent="0.3">
      <c r="A1205" t="str">
        <f t="shared" si="36"/>
        <v>SM</v>
      </c>
      <c r="B1205">
        <f t="shared" si="37"/>
        <v>8223</v>
      </c>
      <c r="E1205" s="1" t="s">
        <v>131</v>
      </c>
      <c r="F1205" s="1">
        <v>33</v>
      </c>
      <c r="G1205" s="1">
        <v>1</v>
      </c>
      <c r="H1205" s="1">
        <v>9</v>
      </c>
    </row>
    <row r="1206" spans="1:8" x14ac:dyDescent="0.3">
      <c r="A1206" t="str">
        <f t="shared" si="36"/>
        <v>SM</v>
      </c>
      <c r="B1206">
        <f t="shared" si="37"/>
        <v>9023</v>
      </c>
      <c r="E1206" s="1" t="s">
        <v>261</v>
      </c>
      <c r="F1206" s="1">
        <v>37</v>
      </c>
      <c r="G1206" s="1">
        <v>4</v>
      </c>
      <c r="H1206" s="1">
        <v>8.9</v>
      </c>
    </row>
    <row r="1207" spans="1:8" x14ac:dyDescent="0.3">
      <c r="A1207" t="str">
        <f t="shared" si="36"/>
        <v>SM</v>
      </c>
      <c r="B1207">
        <f t="shared" si="37"/>
        <v>2723</v>
      </c>
      <c r="E1207" s="1" t="s">
        <v>7</v>
      </c>
      <c r="F1207" s="1">
        <v>38</v>
      </c>
      <c r="G1207" s="1">
        <v>5</v>
      </c>
      <c r="H1207" s="1">
        <v>8.9</v>
      </c>
    </row>
    <row r="1208" spans="1:8" x14ac:dyDescent="0.3">
      <c r="A1208" t="str">
        <f t="shared" si="36"/>
        <v>SM</v>
      </c>
      <c r="B1208">
        <f t="shared" si="37"/>
        <v>4323</v>
      </c>
      <c r="E1208" s="1" t="s">
        <v>125</v>
      </c>
      <c r="F1208" s="1">
        <v>39</v>
      </c>
      <c r="G1208" s="1">
        <v>5</v>
      </c>
      <c r="H1208" s="1">
        <v>8.8000000000000007</v>
      </c>
    </row>
    <row r="1209" spans="1:8" x14ac:dyDescent="0.3">
      <c r="A1209" t="str">
        <f t="shared" si="36"/>
        <v>SM</v>
      </c>
      <c r="B1209">
        <f t="shared" si="37"/>
        <v>5823</v>
      </c>
      <c r="E1209" s="1" t="s">
        <v>139</v>
      </c>
      <c r="F1209" s="1">
        <v>40</v>
      </c>
      <c r="G1209" s="1">
        <v>1</v>
      </c>
      <c r="H1209" s="1">
        <v>8.8000000000000007</v>
      </c>
    </row>
    <row r="1210" spans="1:8" x14ac:dyDescent="0.3">
      <c r="A1210" t="str">
        <f t="shared" si="36"/>
        <v>SM</v>
      </c>
      <c r="B1210">
        <f t="shared" si="37"/>
        <v>18323</v>
      </c>
      <c r="E1210" s="1" t="s">
        <v>423</v>
      </c>
      <c r="F1210" s="1">
        <v>43</v>
      </c>
      <c r="G1210" s="1">
        <v>2</v>
      </c>
      <c r="H1210" s="1">
        <v>8.4</v>
      </c>
    </row>
    <row r="1211" spans="1:8" x14ac:dyDescent="0.3">
      <c r="A1211" t="str">
        <f t="shared" si="36"/>
        <v>SM</v>
      </c>
      <c r="B1211">
        <f t="shared" si="37"/>
        <v>1323</v>
      </c>
      <c r="E1211" s="1" t="s">
        <v>82</v>
      </c>
      <c r="F1211" s="1">
        <v>48</v>
      </c>
      <c r="G1211" s="1">
        <v>4</v>
      </c>
      <c r="H1211" s="1">
        <v>7.8</v>
      </c>
    </row>
    <row r="1212" spans="1:8" x14ac:dyDescent="0.3">
      <c r="A1212" t="str">
        <f t="shared" si="36"/>
        <v>SM</v>
      </c>
      <c r="B1212">
        <f t="shared" si="37"/>
        <v>3323</v>
      </c>
      <c r="E1212" s="1" t="s">
        <v>91</v>
      </c>
      <c r="F1212" s="1">
        <v>50</v>
      </c>
      <c r="G1212" s="1">
        <v>3</v>
      </c>
      <c r="H1212" s="1">
        <v>7.8</v>
      </c>
    </row>
    <row r="1213" spans="1:8" x14ac:dyDescent="0.3">
      <c r="A1213" t="str">
        <f t="shared" si="36"/>
        <v>SM</v>
      </c>
      <c r="B1213">
        <f t="shared" si="37"/>
        <v>15723</v>
      </c>
      <c r="E1213" s="1" t="s">
        <v>469</v>
      </c>
      <c r="F1213" s="1">
        <v>53</v>
      </c>
      <c r="G1213" s="1">
        <v>3</v>
      </c>
      <c r="H1213" s="1">
        <v>7.6</v>
      </c>
    </row>
    <row r="1214" spans="1:8" x14ac:dyDescent="0.3">
      <c r="A1214" t="str">
        <f t="shared" si="36"/>
        <v>SM</v>
      </c>
      <c r="B1214">
        <f t="shared" si="37"/>
        <v>14923</v>
      </c>
      <c r="E1214" s="1" t="s">
        <v>307</v>
      </c>
      <c r="F1214" s="1">
        <v>55</v>
      </c>
      <c r="G1214" s="1">
        <v>1</v>
      </c>
      <c r="H1214" s="1">
        <v>7.5</v>
      </c>
    </row>
    <row r="1215" spans="1:8" x14ac:dyDescent="0.3">
      <c r="A1215" t="str">
        <f t="shared" si="36"/>
        <v>SM</v>
      </c>
      <c r="B1215">
        <f t="shared" si="37"/>
        <v>2023</v>
      </c>
      <c r="E1215" s="1" t="s">
        <v>328</v>
      </c>
      <c r="F1215" s="1">
        <v>61</v>
      </c>
      <c r="G1215" s="1">
        <v>2</v>
      </c>
      <c r="H1215" s="1">
        <v>7.3</v>
      </c>
    </row>
    <row r="1216" spans="1:8" x14ac:dyDescent="0.3">
      <c r="A1216" t="str">
        <f t="shared" si="36"/>
        <v>SM</v>
      </c>
      <c r="B1216">
        <f t="shared" si="37"/>
        <v>5523</v>
      </c>
      <c r="E1216" s="1" t="s">
        <v>86</v>
      </c>
      <c r="F1216" s="1">
        <v>63</v>
      </c>
      <c r="G1216" s="1">
        <v>6</v>
      </c>
      <c r="H1216" s="1">
        <v>7.2</v>
      </c>
    </row>
    <row r="1217" spans="1:8" x14ac:dyDescent="0.3">
      <c r="A1217" t="str">
        <f t="shared" si="36"/>
        <v>SM</v>
      </c>
      <c r="B1217">
        <f t="shared" si="37"/>
        <v>3023</v>
      </c>
      <c r="E1217" s="1" t="s">
        <v>89</v>
      </c>
      <c r="F1217" s="1">
        <v>65</v>
      </c>
      <c r="G1217" s="1">
        <v>6</v>
      </c>
      <c r="H1217" s="1">
        <v>6.9</v>
      </c>
    </row>
    <row r="1218" spans="1:8" x14ac:dyDescent="0.3">
      <c r="A1218" t="str">
        <f t="shared" ref="A1218:A1281" si="38">IF(NOT(D1218=""),INDEX(statAbbr,MATCH(D1218,statOfficial,0),1),A1217)</f>
        <v>SM</v>
      </c>
      <c r="B1218">
        <f t="shared" ref="B1218:B1281" si="39">INDEX(statID,MATCH(A1218,statAbbr,0),1)+INDEX(teamID,MATCH(E1218,teamRawName,0))</f>
        <v>7423</v>
      </c>
      <c r="E1218" s="1" t="s">
        <v>251</v>
      </c>
      <c r="F1218" s="1">
        <v>72</v>
      </c>
      <c r="G1218" s="1">
        <v>4</v>
      </c>
      <c r="H1218" s="1">
        <v>6.5</v>
      </c>
    </row>
    <row r="1219" spans="1:8" x14ac:dyDescent="0.3">
      <c r="A1219" t="str">
        <f t="shared" si="38"/>
        <v>SM</v>
      </c>
      <c r="B1219">
        <f t="shared" si="39"/>
        <v>3923</v>
      </c>
      <c r="E1219" s="1" t="s">
        <v>88</v>
      </c>
      <c r="F1219" s="1">
        <v>72</v>
      </c>
      <c r="G1219" s="1">
        <v>6</v>
      </c>
      <c r="H1219" s="1">
        <v>6.5</v>
      </c>
    </row>
    <row r="1220" spans="1:8" x14ac:dyDescent="0.3">
      <c r="A1220" t="str">
        <f t="shared" si="38"/>
        <v>SM</v>
      </c>
      <c r="B1220">
        <f t="shared" si="39"/>
        <v>7623</v>
      </c>
      <c r="E1220" s="1" t="s">
        <v>253</v>
      </c>
      <c r="F1220" s="1">
        <v>74</v>
      </c>
      <c r="G1220" s="1">
        <v>7</v>
      </c>
      <c r="H1220" s="1">
        <v>6.5</v>
      </c>
    </row>
    <row r="1221" spans="1:8" x14ac:dyDescent="0.3">
      <c r="A1221" t="str">
        <f t="shared" si="38"/>
        <v>SM</v>
      </c>
      <c r="B1221">
        <f t="shared" si="39"/>
        <v>6623</v>
      </c>
      <c r="E1221" s="1" t="s">
        <v>247</v>
      </c>
      <c r="F1221" s="1">
        <v>76</v>
      </c>
      <c r="G1221" s="1">
        <v>2</v>
      </c>
      <c r="H1221" s="1">
        <v>6.5</v>
      </c>
    </row>
    <row r="1222" spans="1:8" x14ac:dyDescent="0.3">
      <c r="A1222" t="str">
        <f t="shared" si="38"/>
        <v>SM</v>
      </c>
      <c r="B1222">
        <f t="shared" si="39"/>
        <v>3223</v>
      </c>
      <c r="E1222" s="1" t="s">
        <v>127</v>
      </c>
      <c r="F1222" s="1">
        <v>78</v>
      </c>
      <c r="G1222" s="1">
        <v>7</v>
      </c>
      <c r="H1222" s="1">
        <v>6.3</v>
      </c>
    </row>
    <row r="1223" spans="1:8" x14ac:dyDescent="0.3">
      <c r="A1223" t="str">
        <f t="shared" si="38"/>
        <v>SM</v>
      </c>
      <c r="B1223">
        <f t="shared" si="39"/>
        <v>1223</v>
      </c>
      <c r="E1223" s="1" t="s">
        <v>130</v>
      </c>
      <c r="F1223" s="1">
        <v>79</v>
      </c>
      <c r="G1223" s="1">
        <v>5</v>
      </c>
      <c r="H1223" s="1">
        <v>6.1</v>
      </c>
    </row>
    <row r="1224" spans="1:8" x14ac:dyDescent="0.3">
      <c r="A1224" t="str">
        <f t="shared" si="38"/>
        <v>SM</v>
      </c>
      <c r="B1224">
        <f t="shared" si="39"/>
        <v>4923</v>
      </c>
      <c r="E1224" s="1" t="s">
        <v>108</v>
      </c>
      <c r="F1224" s="1">
        <v>82</v>
      </c>
      <c r="G1224" s="1">
        <v>5</v>
      </c>
      <c r="H1224" s="1">
        <v>6.1</v>
      </c>
    </row>
    <row r="1225" spans="1:8" x14ac:dyDescent="0.3">
      <c r="A1225" t="str">
        <f t="shared" si="38"/>
        <v>SM</v>
      </c>
      <c r="B1225">
        <f t="shared" si="39"/>
        <v>15123</v>
      </c>
      <c r="E1225" s="1" t="s">
        <v>464</v>
      </c>
      <c r="F1225" s="1">
        <v>83</v>
      </c>
      <c r="G1225" s="1">
        <v>4</v>
      </c>
      <c r="H1225" s="1">
        <v>6</v>
      </c>
    </row>
    <row r="1226" spans="1:8" x14ac:dyDescent="0.3">
      <c r="A1226" t="str">
        <f t="shared" si="38"/>
        <v>SM</v>
      </c>
      <c r="B1226">
        <f t="shared" si="39"/>
        <v>3623</v>
      </c>
      <c r="E1226" s="1" t="s">
        <v>129</v>
      </c>
      <c r="F1226" s="1">
        <v>86</v>
      </c>
      <c r="G1226" s="1">
        <v>7</v>
      </c>
      <c r="H1226" s="1">
        <v>5.9</v>
      </c>
    </row>
    <row r="1227" spans="1:8" x14ac:dyDescent="0.3">
      <c r="A1227" t="str">
        <f t="shared" si="38"/>
        <v>SM</v>
      </c>
      <c r="B1227">
        <f t="shared" si="39"/>
        <v>6723</v>
      </c>
      <c r="E1227" s="1" t="s">
        <v>118</v>
      </c>
      <c r="F1227" s="1">
        <v>90</v>
      </c>
      <c r="G1227" s="1">
        <v>8</v>
      </c>
      <c r="H1227" s="1">
        <v>5.8</v>
      </c>
    </row>
    <row r="1228" spans="1:8" x14ac:dyDescent="0.3">
      <c r="A1228" t="str">
        <f t="shared" si="38"/>
        <v>SM</v>
      </c>
      <c r="B1228">
        <f t="shared" si="39"/>
        <v>6923</v>
      </c>
      <c r="E1228" s="1" t="s">
        <v>114</v>
      </c>
      <c r="F1228" s="1">
        <v>91</v>
      </c>
      <c r="G1228" s="1">
        <v>9</v>
      </c>
      <c r="H1228" s="1">
        <v>5.7</v>
      </c>
    </row>
    <row r="1229" spans="1:8" x14ac:dyDescent="0.3">
      <c r="A1229" t="str">
        <f t="shared" si="38"/>
        <v>SM</v>
      </c>
      <c r="B1229">
        <f t="shared" si="39"/>
        <v>323</v>
      </c>
      <c r="E1229" s="1" t="s">
        <v>215</v>
      </c>
      <c r="F1229" s="1">
        <v>93</v>
      </c>
      <c r="G1229" s="1">
        <v>9</v>
      </c>
      <c r="H1229" s="1">
        <v>5.6</v>
      </c>
    </row>
    <row r="1230" spans="1:8" x14ac:dyDescent="0.3">
      <c r="A1230" t="str">
        <f t="shared" si="38"/>
        <v>SM</v>
      </c>
      <c r="B1230">
        <f t="shared" si="39"/>
        <v>3123</v>
      </c>
      <c r="E1230" s="1" t="s">
        <v>93</v>
      </c>
      <c r="F1230" s="1">
        <v>97</v>
      </c>
      <c r="G1230" s="1">
        <v>6</v>
      </c>
      <c r="H1230" s="1">
        <v>5.4</v>
      </c>
    </row>
    <row r="1231" spans="1:8" x14ac:dyDescent="0.3">
      <c r="A1231" t="str">
        <f t="shared" si="38"/>
        <v>SM</v>
      </c>
      <c r="B1231">
        <f t="shared" si="39"/>
        <v>13923</v>
      </c>
      <c r="E1231" s="1" t="s">
        <v>297</v>
      </c>
      <c r="F1231" s="1">
        <v>98</v>
      </c>
      <c r="G1231" s="1">
        <v>10</v>
      </c>
      <c r="H1231" s="1">
        <v>5.4</v>
      </c>
    </row>
    <row r="1232" spans="1:8" x14ac:dyDescent="0.3">
      <c r="A1232" t="str">
        <f t="shared" si="38"/>
        <v>SM</v>
      </c>
      <c r="B1232">
        <f t="shared" si="39"/>
        <v>8123</v>
      </c>
      <c r="E1232" s="1" t="s">
        <v>256</v>
      </c>
      <c r="F1232" s="1">
        <v>100</v>
      </c>
      <c r="G1232" s="1">
        <v>11</v>
      </c>
      <c r="H1232" s="1">
        <v>5.4</v>
      </c>
    </row>
    <row r="1233" spans="1:10" x14ac:dyDescent="0.3">
      <c r="A1233" t="str">
        <f t="shared" si="38"/>
        <v>SM</v>
      </c>
      <c r="B1233">
        <f t="shared" si="39"/>
        <v>1623</v>
      </c>
      <c r="E1233" s="1" t="s">
        <v>137</v>
      </c>
      <c r="F1233" s="1">
        <v>102</v>
      </c>
      <c r="G1233" s="1">
        <v>12</v>
      </c>
      <c r="H1233" s="1">
        <v>5.4</v>
      </c>
    </row>
    <row r="1234" spans="1:10" x14ac:dyDescent="0.3">
      <c r="A1234" t="str">
        <f t="shared" si="38"/>
        <v>SM</v>
      </c>
      <c r="B1234">
        <f t="shared" si="39"/>
        <v>15423</v>
      </c>
      <c r="E1234" s="1" t="s">
        <v>494</v>
      </c>
      <c r="F1234" s="1">
        <v>106</v>
      </c>
      <c r="G1234" s="1">
        <v>2</v>
      </c>
      <c r="H1234" s="1">
        <v>5.2</v>
      </c>
    </row>
    <row r="1235" spans="1:10" x14ac:dyDescent="0.3">
      <c r="A1235" t="str">
        <f t="shared" si="38"/>
        <v>SM</v>
      </c>
      <c r="B1235">
        <f t="shared" si="39"/>
        <v>15823</v>
      </c>
      <c r="E1235" s="1" t="s">
        <v>470</v>
      </c>
      <c r="F1235" s="1">
        <v>110</v>
      </c>
      <c r="G1235" s="1">
        <v>6</v>
      </c>
      <c r="H1235" s="1">
        <v>4.9000000000000004</v>
      </c>
    </row>
    <row r="1236" spans="1:10" x14ac:dyDescent="0.3">
      <c r="A1236" t="str">
        <f t="shared" si="38"/>
        <v>SM</v>
      </c>
      <c r="B1236">
        <f t="shared" si="39"/>
        <v>14423</v>
      </c>
      <c r="E1236" s="1" t="s">
        <v>302</v>
      </c>
      <c r="F1236" s="1">
        <v>114</v>
      </c>
      <c r="G1236" s="1">
        <v>13</v>
      </c>
      <c r="H1236" s="1">
        <v>4.5999999999999996</v>
      </c>
    </row>
    <row r="1237" spans="1:10" x14ac:dyDescent="0.3">
      <c r="A1237" t="str">
        <f t="shared" si="38"/>
        <v>SM</v>
      </c>
      <c r="B1237">
        <f t="shared" si="39"/>
        <v>3823</v>
      </c>
      <c r="E1237" s="1" t="s">
        <v>238</v>
      </c>
      <c r="F1237" s="1">
        <v>134</v>
      </c>
      <c r="G1237" s="1">
        <v>14</v>
      </c>
      <c r="H1237" s="1">
        <v>3.6</v>
      </c>
    </row>
    <row r="1238" spans="1:10" x14ac:dyDescent="0.3">
      <c r="A1238" t="str">
        <f t="shared" si="38"/>
        <v>SM</v>
      </c>
      <c r="B1238">
        <f t="shared" si="39"/>
        <v>11723</v>
      </c>
      <c r="E1238" s="1" t="s">
        <v>280</v>
      </c>
      <c r="F1238" s="1">
        <v>144</v>
      </c>
      <c r="G1238" s="1">
        <v>5</v>
      </c>
      <c r="H1238" s="1">
        <v>3.3</v>
      </c>
    </row>
    <row r="1239" spans="1:10" x14ac:dyDescent="0.3">
      <c r="A1239" t="str">
        <f t="shared" si="38"/>
        <v>SM</v>
      </c>
      <c r="B1239">
        <f t="shared" si="39"/>
        <v>15623</v>
      </c>
      <c r="E1239" s="1" t="s">
        <v>468</v>
      </c>
      <c r="F1239" s="1">
        <v>196</v>
      </c>
      <c r="G1239" s="1">
        <v>1</v>
      </c>
      <c r="H1239" s="1">
        <v>1</v>
      </c>
    </row>
    <row r="1240" spans="1:10" x14ac:dyDescent="0.3">
      <c r="A1240" t="str">
        <f t="shared" si="38"/>
        <v>SM</v>
      </c>
      <c r="B1240">
        <f t="shared" si="39"/>
        <v>16223</v>
      </c>
      <c r="E1240" s="1" t="s">
        <v>497</v>
      </c>
      <c r="F1240" s="1">
        <v>203</v>
      </c>
      <c r="G1240" s="1">
        <v>2</v>
      </c>
      <c r="H1240" s="1">
        <v>0.6</v>
      </c>
    </row>
    <row r="1241" spans="1:10" x14ac:dyDescent="0.3">
      <c r="A1241" t="str">
        <f t="shared" si="38"/>
        <v>SM</v>
      </c>
      <c r="B1241">
        <f t="shared" si="39"/>
        <v>18423</v>
      </c>
      <c r="E1241" s="1" t="s">
        <v>417</v>
      </c>
      <c r="F1241" s="1">
        <v>209</v>
      </c>
      <c r="G1241" s="1">
        <v>4</v>
      </c>
      <c r="H1241" s="1">
        <v>0.5</v>
      </c>
    </row>
    <row r="1242" spans="1:10" x14ac:dyDescent="0.3">
      <c r="A1242" t="str">
        <f t="shared" si="38"/>
        <v>SM</v>
      </c>
      <c r="B1242">
        <f t="shared" si="39"/>
        <v>16123</v>
      </c>
      <c r="E1242" s="1" t="s">
        <v>473</v>
      </c>
      <c r="F1242" s="1">
        <v>232</v>
      </c>
      <c r="G1242" s="1">
        <v>8</v>
      </c>
      <c r="H1242" s="1">
        <v>-0.4</v>
      </c>
    </row>
    <row r="1243" spans="1:10" x14ac:dyDescent="0.3">
      <c r="A1243" t="str">
        <f t="shared" si="38"/>
        <v>SM</v>
      </c>
      <c r="B1243">
        <f t="shared" si="39"/>
        <v>15923</v>
      </c>
      <c r="E1243" s="1" t="s">
        <v>495</v>
      </c>
      <c r="F1243" s="1">
        <v>235</v>
      </c>
      <c r="G1243" s="1">
        <v>5</v>
      </c>
      <c r="H1243" s="1">
        <v>-0.5</v>
      </c>
    </row>
    <row r="1244" spans="1:10" x14ac:dyDescent="0.3">
      <c r="A1244" t="str">
        <f t="shared" si="38"/>
        <v>SM</v>
      </c>
      <c r="B1244">
        <f t="shared" si="39"/>
        <v>18523</v>
      </c>
      <c r="E1244" s="1" t="s">
        <v>420</v>
      </c>
      <c r="F1244" s="1">
        <v>314</v>
      </c>
      <c r="G1244" s="1">
        <v>7</v>
      </c>
      <c r="H1244" s="1">
        <v>-5.2</v>
      </c>
    </row>
    <row r="1245" spans="1:10" x14ac:dyDescent="0.3">
      <c r="A1245" t="str">
        <f t="shared" si="38"/>
        <v>PPG</v>
      </c>
      <c r="B1245">
        <f t="shared" si="39"/>
        <v>3720</v>
      </c>
      <c r="D1245" s="1" t="s">
        <v>551</v>
      </c>
      <c r="E1245" s="1" t="s">
        <v>115</v>
      </c>
      <c r="F1245" s="1">
        <v>1</v>
      </c>
      <c r="G1245" s="1">
        <v>1</v>
      </c>
      <c r="H1245" s="1">
        <v>90.7</v>
      </c>
      <c r="I1245" s="1" t="s">
        <v>115</v>
      </c>
      <c r="J1245" s="1">
        <v>90.7</v>
      </c>
    </row>
    <row r="1246" spans="1:10" x14ac:dyDescent="0.3">
      <c r="A1246" t="str">
        <f t="shared" si="38"/>
        <v>PPG</v>
      </c>
      <c r="B1246">
        <f t="shared" si="39"/>
        <v>4420</v>
      </c>
      <c r="E1246" s="1" t="s">
        <v>83</v>
      </c>
      <c r="F1246" s="1">
        <v>2</v>
      </c>
      <c r="G1246" s="1">
        <v>1</v>
      </c>
      <c r="H1246" s="1">
        <v>86.4</v>
      </c>
    </row>
    <row r="1247" spans="1:10" x14ac:dyDescent="0.3">
      <c r="A1247" t="str">
        <f t="shared" si="38"/>
        <v>PPG</v>
      </c>
      <c r="B1247">
        <f t="shared" si="39"/>
        <v>5720</v>
      </c>
      <c r="E1247" s="1" t="s">
        <v>120</v>
      </c>
      <c r="F1247" s="1">
        <v>5</v>
      </c>
      <c r="G1247" s="1">
        <v>2</v>
      </c>
      <c r="H1247" s="1">
        <v>84.8</v>
      </c>
    </row>
    <row r="1248" spans="1:10" x14ac:dyDescent="0.3">
      <c r="A1248" t="str">
        <f t="shared" si="38"/>
        <v>PPG</v>
      </c>
      <c r="B1248">
        <f t="shared" si="39"/>
        <v>5520</v>
      </c>
      <c r="E1248" s="1" t="s">
        <v>86</v>
      </c>
      <c r="F1248" s="1">
        <v>7</v>
      </c>
      <c r="G1248" s="1">
        <v>3</v>
      </c>
      <c r="H1248" s="1">
        <v>84.4</v>
      </c>
    </row>
    <row r="1249" spans="1:8" x14ac:dyDescent="0.3">
      <c r="A1249" t="str">
        <f t="shared" si="38"/>
        <v>PPG</v>
      </c>
      <c r="B1249">
        <f t="shared" si="39"/>
        <v>8220</v>
      </c>
      <c r="E1249" s="1" t="s">
        <v>131</v>
      </c>
      <c r="F1249" s="1">
        <v>8</v>
      </c>
      <c r="G1249" s="1">
        <v>1</v>
      </c>
      <c r="H1249" s="1">
        <v>84</v>
      </c>
    </row>
    <row r="1250" spans="1:8" x14ac:dyDescent="0.3">
      <c r="A1250" t="str">
        <f t="shared" si="38"/>
        <v>PPG</v>
      </c>
      <c r="B1250">
        <f t="shared" si="39"/>
        <v>14120</v>
      </c>
      <c r="E1250" s="1" t="s">
        <v>299</v>
      </c>
      <c r="F1250" s="1">
        <v>9</v>
      </c>
      <c r="G1250" s="1">
        <v>4</v>
      </c>
      <c r="H1250" s="1">
        <v>83.6</v>
      </c>
    </row>
    <row r="1251" spans="1:8" x14ac:dyDescent="0.3">
      <c r="A1251" t="str">
        <f t="shared" si="38"/>
        <v>PPG</v>
      </c>
      <c r="B1251">
        <f t="shared" si="39"/>
        <v>4320</v>
      </c>
      <c r="E1251" s="1" t="s">
        <v>125</v>
      </c>
      <c r="F1251" s="1">
        <v>10</v>
      </c>
      <c r="G1251" s="1">
        <v>1</v>
      </c>
      <c r="H1251" s="1">
        <v>83.6</v>
      </c>
    </row>
    <row r="1252" spans="1:8" x14ac:dyDescent="0.3">
      <c r="A1252" t="str">
        <f t="shared" si="38"/>
        <v>PPG</v>
      </c>
      <c r="B1252">
        <f t="shared" si="39"/>
        <v>5420</v>
      </c>
      <c r="E1252" s="1" t="s">
        <v>94</v>
      </c>
      <c r="F1252" s="1">
        <v>11</v>
      </c>
      <c r="G1252" s="1">
        <v>1</v>
      </c>
      <c r="H1252" s="1">
        <v>83.2</v>
      </c>
    </row>
    <row r="1253" spans="1:8" x14ac:dyDescent="0.3">
      <c r="A1253" t="str">
        <f t="shared" si="38"/>
        <v>PPG</v>
      </c>
      <c r="B1253">
        <f t="shared" si="39"/>
        <v>4520</v>
      </c>
      <c r="E1253" s="1" t="s">
        <v>84</v>
      </c>
      <c r="F1253" s="1">
        <v>12</v>
      </c>
      <c r="G1253" s="1">
        <v>5</v>
      </c>
      <c r="H1253" s="1">
        <v>83</v>
      </c>
    </row>
    <row r="1254" spans="1:8" x14ac:dyDescent="0.3">
      <c r="A1254" t="str">
        <f t="shared" si="38"/>
        <v>PPG</v>
      </c>
      <c r="B1254">
        <f t="shared" si="39"/>
        <v>2920</v>
      </c>
      <c r="E1254" s="1" t="s">
        <v>96</v>
      </c>
      <c r="F1254" s="1">
        <v>15</v>
      </c>
      <c r="G1254" s="1">
        <v>1</v>
      </c>
      <c r="H1254" s="1">
        <v>82.5</v>
      </c>
    </row>
    <row r="1255" spans="1:8" x14ac:dyDescent="0.3">
      <c r="A1255" t="str">
        <f t="shared" si="38"/>
        <v>PPG</v>
      </c>
      <c r="B1255">
        <f t="shared" si="39"/>
        <v>14920</v>
      </c>
      <c r="E1255" s="1" t="s">
        <v>307</v>
      </c>
      <c r="F1255" s="1">
        <v>21</v>
      </c>
      <c r="G1255" s="1">
        <v>1</v>
      </c>
      <c r="H1255" s="1">
        <v>81.8</v>
      </c>
    </row>
    <row r="1256" spans="1:8" x14ac:dyDescent="0.3">
      <c r="A1256" t="str">
        <f t="shared" si="38"/>
        <v>PPG</v>
      </c>
      <c r="B1256">
        <f t="shared" si="39"/>
        <v>10620</v>
      </c>
      <c r="E1256" s="1" t="s">
        <v>161</v>
      </c>
      <c r="F1256" s="1">
        <v>22</v>
      </c>
      <c r="G1256" s="1">
        <v>3</v>
      </c>
      <c r="H1256" s="1">
        <v>81.7</v>
      </c>
    </row>
    <row r="1257" spans="1:8" x14ac:dyDescent="0.3">
      <c r="A1257" t="str">
        <f t="shared" si="38"/>
        <v>PPG</v>
      </c>
      <c r="B1257">
        <f t="shared" si="39"/>
        <v>2720</v>
      </c>
      <c r="E1257" s="1" t="s">
        <v>7</v>
      </c>
      <c r="F1257" s="1">
        <v>23</v>
      </c>
      <c r="G1257" s="1">
        <v>2</v>
      </c>
      <c r="H1257" s="1">
        <v>81.400000000000006</v>
      </c>
    </row>
    <row r="1258" spans="1:8" x14ac:dyDescent="0.3">
      <c r="A1258" t="str">
        <f t="shared" si="38"/>
        <v>PPG</v>
      </c>
      <c r="B1258">
        <f t="shared" si="39"/>
        <v>12520</v>
      </c>
      <c r="E1258" s="1" t="s">
        <v>95</v>
      </c>
      <c r="F1258" s="1">
        <v>24</v>
      </c>
      <c r="G1258" s="1">
        <v>2</v>
      </c>
      <c r="H1258" s="1">
        <v>81.3</v>
      </c>
    </row>
    <row r="1259" spans="1:8" x14ac:dyDescent="0.3">
      <c r="A1259" t="str">
        <f t="shared" si="38"/>
        <v>PPG</v>
      </c>
      <c r="B1259">
        <f t="shared" si="39"/>
        <v>11120</v>
      </c>
      <c r="E1259" s="1" t="s">
        <v>277</v>
      </c>
      <c r="F1259" s="1">
        <v>26</v>
      </c>
      <c r="G1259" s="1">
        <v>3</v>
      </c>
      <c r="H1259" s="1">
        <v>81.099999999999994</v>
      </c>
    </row>
    <row r="1260" spans="1:8" x14ac:dyDescent="0.3">
      <c r="A1260" t="str">
        <f t="shared" si="38"/>
        <v>PPG</v>
      </c>
      <c r="B1260">
        <f t="shared" si="39"/>
        <v>7220</v>
      </c>
      <c r="E1260" s="1" t="s">
        <v>116</v>
      </c>
      <c r="F1260" s="1">
        <v>27</v>
      </c>
      <c r="G1260" s="1">
        <v>3</v>
      </c>
      <c r="H1260" s="1">
        <v>80.900000000000006</v>
      </c>
    </row>
    <row r="1261" spans="1:8" x14ac:dyDescent="0.3">
      <c r="A1261" t="str">
        <f t="shared" si="38"/>
        <v>PPG</v>
      </c>
      <c r="B1261">
        <f t="shared" si="39"/>
        <v>4920</v>
      </c>
      <c r="E1261" s="1" t="s">
        <v>108</v>
      </c>
      <c r="F1261" s="1">
        <v>28</v>
      </c>
      <c r="G1261" s="1">
        <v>2</v>
      </c>
      <c r="H1261" s="1">
        <v>80.7</v>
      </c>
    </row>
    <row r="1262" spans="1:8" x14ac:dyDescent="0.3">
      <c r="A1262" t="str">
        <f t="shared" si="38"/>
        <v>PPG</v>
      </c>
      <c r="B1262">
        <f t="shared" si="39"/>
        <v>4720</v>
      </c>
      <c r="E1262" s="1" t="s">
        <v>107</v>
      </c>
      <c r="F1262" s="1">
        <v>32</v>
      </c>
      <c r="G1262" s="1">
        <v>1</v>
      </c>
      <c r="H1262" s="1">
        <v>80.5</v>
      </c>
    </row>
    <row r="1263" spans="1:8" x14ac:dyDescent="0.3">
      <c r="A1263" t="str">
        <f t="shared" si="38"/>
        <v>PPG</v>
      </c>
      <c r="B1263">
        <f t="shared" si="39"/>
        <v>620</v>
      </c>
      <c r="E1263" s="1" t="s">
        <v>100</v>
      </c>
      <c r="F1263" s="1">
        <v>33</v>
      </c>
      <c r="G1263" s="1">
        <v>4</v>
      </c>
      <c r="H1263" s="1">
        <v>80.3</v>
      </c>
    </row>
    <row r="1264" spans="1:8" x14ac:dyDescent="0.3">
      <c r="A1264" t="str">
        <f t="shared" si="38"/>
        <v>PPG</v>
      </c>
      <c r="B1264">
        <f t="shared" si="39"/>
        <v>4220</v>
      </c>
      <c r="E1264" s="1" t="s">
        <v>123</v>
      </c>
      <c r="F1264" s="1">
        <v>35</v>
      </c>
      <c r="G1264" s="1">
        <v>4</v>
      </c>
      <c r="H1264" s="1">
        <v>80.099999999999994</v>
      </c>
    </row>
    <row r="1265" spans="1:8" x14ac:dyDescent="0.3">
      <c r="A1265" t="str">
        <f t="shared" si="38"/>
        <v>PPG</v>
      </c>
      <c r="B1265">
        <f t="shared" si="39"/>
        <v>1420</v>
      </c>
      <c r="E1265" s="1" t="s">
        <v>102</v>
      </c>
      <c r="F1265" s="1">
        <v>40</v>
      </c>
      <c r="G1265" s="1">
        <v>2</v>
      </c>
      <c r="H1265" s="1">
        <v>79.900000000000006</v>
      </c>
    </row>
    <row r="1266" spans="1:8" x14ac:dyDescent="0.3">
      <c r="A1266" t="str">
        <f t="shared" si="38"/>
        <v>PPG</v>
      </c>
      <c r="B1266">
        <f t="shared" si="39"/>
        <v>6620</v>
      </c>
      <c r="E1266" s="1" t="s">
        <v>247</v>
      </c>
      <c r="F1266" s="1">
        <v>41</v>
      </c>
      <c r="G1266" s="1">
        <v>2</v>
      </c>
      <c r="H1266" s="1">
        <v>79.900000000000006</v>
      </c>
    </row>
    <row r="1267" spans="1:8" x14ac:dyDescent="0.3">
      <c r="A1267" t="str">
        <f t="shared" si="38"/>
        <v>PPG</v>
      </c>
      <c r="B1267">
        <f t="shared" si="39"/>
        <v>1620</v>
      </c>
      <c r="E1267" s="1" t="s">
        <v>137</v>
      </c>
      <c r="F1267" s="1">
        <v>46</v>
      </c>
      <c r="G1267" s="1">
        <v>6</v>
      </c>
      <c r="H1267" s="1">
        <v>79.5</v>
      </c>
    </row>
    <row r="1268" spans="1:8" x14ac:dyDescent="0.3">
      <c r="A1268" t="str">
        <f t="shared" si="38"/>
        <v>PPG</v>
      </c>
      <c r="B1268">
        <f t="shared" si="39"/>
        <v>15020</v>
      </c>
      <c r="E1268" s="1" t="s">
        <v>463</v>
      </c>
      <c r="F1268" s="1">
        <v>50</v>
      </c>
      <c r="G1268" s="1">
        <v>3</v>
      </c>
      <c r="H1268" s="1">
        <v>79.3</v>
      </c>
    </row>
    <row r="1269" spans="1:8" x14ac:dyDescent="0.3">
      <c r="A1269" t="str">
        <f t="shared" si="38"/>
        <v>PPG</v>
      </c>
      <c r="B1269">
        <f t="shared" si="39"/>
        <v>14420</v>
      </c>
      <c r="E1269" s="1" t="s">
        <v>302</v>
      </c>
      <c r="F1269" s="1">
        <v>55</v>
      </c>
      <c r="G1269" s="1">
        <v>7</v>
      </c>
      <c r="H1269" s="1">
        <v>78.900000000000006</v>
      </c>
    </row>
    <row r="1270" spans="1:8" x14ac:dyDescent="0.3">
      <c r="A1270" t="str">
        <f t="shared" si="38"/>
        <v>PPG</v>
      </c>
      <c r="B1270">
        <f t="shared" si="39"/>
        <v>8320</v>
      </c>
      <c r="E1270" s="1" t="s">
        <v>257</v>
      </c>
      <c r="F1270" s="1">
        <v>63</v>
      </c>
      <c r="G1270" s="1">
        <v>3</v>
      </c>
      <c r="H1270" s="1">
        <v>78.599999999999994</v>
      </c>
    </row>
    <row r="1271" spans="1:8" x14ac:dyDescent="0.3">
      <c r="A1271" t="str">
        <f t="shared" si="38"/>
        <v>PPG</v>
      </c>
      <c r="B1271">
        <f t="shared" si="39"/>
        <v>13120</v>
      </c>
      <c r="E1271" s="1" t="s">
        <v>289</v>
      </c>
      <c r="F1271" s="1">
        <v>64</v>
      </c>
      <c r="G1271" s="1">
        <v>4</v>
      </c>
      <c r="H1271" s="1">
        <v>78.5</v>
      </c>
    </row>
    <row r="1272" spans="1:8" x14ac:dyDescent="0.3">
      <c r="A1272" t="str">
        <f t="shared" si="38"/>
        <v>PPG</v>
      </c>
      <c r="B1272">
        <f t="shared" si="39"/>
        <v>9320</v>
      </c>
      <c r="E1272" s="1" t="s">
        <v>357</v>
      </c>
      <c r="F1272" s="1">
        <v>65</v>
      </c>
      <c r="G1272" s="1">
        <v>1</v>
      </c>
      <c r="H1272" s="1">
        <v>78.5</v>
      </c>
    </row>
    <row r="1273" spans="1:8" x14ac:dyDescent="0.3">
      <c r="A1273" t="str">
        <f t="shared" si="38"/>
        <v>PPG</v>
      </c>
      <c r="B1273">
        <f t="shared" si="39"/>
        <v>6720</v>
      </c>
      <c r="E1273" s="1" t="s">
        <v>118</v>
      </c>
      <c r="F1273" s="1">
        <v>67</v>
      </c>
      <c r="G1273" s="1">
        <v>8</v>
      </c>
      <c r="H1273" s="1">
        <v>78.400000000000006</v>
      </c>
    </row>
    <row r="1274" spans="1:8" x14ac:dyDescent="0.3">
      <c r="A1274" t="str">
        <f t="shared" si="38"/>
        <v>PPG</v>
      </c>
      <c r="B1274">
        <f t="shared" si="39"/>
        <v>5820</v>
      </c>
      <c r="E1274" s="1" t="s">
        <v>139</v>
      </c>
      <c r="F1274" s="1">
        <v>69</v>
      </c>
      <c r="G1274" s="1">
        <v>1</v>
      </c>
      <c r="H1274" s="1">
        <v>78.3</v>
      </c>
    </row>
    <row r="1275" spans="1:8" x14ac:dyDescent="0.3">
      <c r="A1275" t="str">
        <f t="shared" si="38"/>
        <v>PPG</v>
      </c>
      <c r="B1275">
        <f t="shared" si="39"/>
        <v>3820</v>
      </c>
      <c r="E1275" s="1" t="s">
        <v>238</v>
      </c>
      <c r="F1275" s="1">
        <v>69</v>
      </c>
      <c r="G1275" s="1">
        <v>9</v>
      </c>
      <c r="H1275" s="1">
        <v>78.3</v>
      </c>
    </row>
    <row r="1276" spans="1:8" x14ac:dyDescent="0.3">
      <c r="A1276" t="str">
        <f t="shared" si="38"/>
        <v>PPG</v>
      </c>
      <c r="B1276">
        <f t="shared" si="39"/>
        <v>7420</v>
      </c>
      <c r="E1276" s="1" t="s">
        <v>251</v>
      </c>
      <c r="F1276" s="1">
        <v>72</v>
      </c>
      <c r="G1276" s="1">
        <v>2</v>
      </c>
      <c r="H1276" s="1">
        <v>78.099999999999994</v>
      </c>
    </row>
    <row r="1277" spans="1:8" x14ac:dyDescent="0.3">
      <c r="A1277" t="str">
        <f t="shared" si="38"/>
        <v>PPG</v>
      </c>
      <c r="B1277">
        <f t="shared" si="39"/>
        <v>7620</v>
      </c>
      <c r="E1277" s="1" t="s">
        <v>253</v>
      </c>
      <c r="F1277" s="1">
        <v>75</v>
      </c>
      <c r="G1277" s="1">
        <v>7</v>
      </c>
      <c r="H1277" s="1">
        <v>78</v>
      </c>
    </row>
    <row r="1278" spans="1:8" x14ac:dyDescent="0.3">
      <c r="A1278" t="str">
        <f t="shared" si="38"/>
        <v>PPG</v>
      </c>
      <c r="B1278">
        <f t="shared" si="39"/>
        <v>920</v>
      </c>
      <c r="E1278" s="1" t="s">
        <v>90</v>
      </c>
      <c r="F1278" s="1">
        <v>78</v>
      </c>
      <c r="G1278" s="1">
        <v>8</v>
      </c>
      <c r="H1278" s="1">
        <v>77.7</v>
      </c>
    </row>
    <row r="1279" spans="1:8" x14ac:dyDescent="0.3">
      <c r="A1279" t="str">
        <f t="shared" si="38"/>
        <v>PPG</v>
      </c>
      <c r="B1279">
        <f t="shared" si="39"/>
        <v>3020</v>
      </c>
      <c r="E1279" s="1" t="s">
        <v>89</v>
      </c>
      <c r="F1279" s="1">
        <v>84</v>
      </c>
      <c r="G1279" s="1">
        <v>9</v>
      </c>
      <c r="H1279" s="1">
        <v>77.3</v>
      </c>
    </row>
    <row r="1280" spans="1:8" x14ac:dyDescent="0.3">
      <c r="A1280" t="str">
        <f t="shared" si="38"/>
        <v>PPG</v>
      </c>
      <c r="B1280">
        <f t="shared" si="39"/>
        <v>320</v>
      </c>
      <c r="E1280" s="1" t="s">
        <v>215</v>
      </c>
      <c r="F1280" s="1">
        <v>88</v>
      </c>
      <c r="G1280" s="1">
        <v>10</v>
      </c>
      <c r="H1280" s="1">
        <v>77.2</v>
      </c>
    </row>
    <row r="1281" spans="1:8" x14ac:dyDescent="0.3">
      <c r="A1281" t="str">
        <f t="shared" si="38"/>
        <v>PPG</v>
      </c>
      <c r="B1281">
        <f t="shared" si="39"/>
        <v>2020</v>
      </c>
      <c r="E1281" s="1" t="s">
        <v>328</v>
      </c>
      <c r="F1281" s="1">
        <v>90</v>
      </c>
      <c r="G1281" s="1">
        <v>6</v>
      </c>
      <c r="H1281" s="1">
        <v>77</v>
      </c>
    </row>
    <row r="1282" spans="1:8" x14ac:dyDescent="0.3">
      <c r="A1282" t="str">
        <f t="shared" ref="A1282:A1345" si="40">IF(NOT(D1282=""),INDEX(statAbbr,MATCH(D1282,statOfficial,0),1),A1281)</f>
        <v>PPG</v>
      </c>
      <c r="B1282">
        <f t="shared" ref="B1282:B1345" si="41">INDEX(statID,MATCH(A1282,statAbbr,0),1)+INDEX(teamID,MATCH(E1282,teamRawName,0))</f>
        <v>2320</v>
      </c>
      <c r="E1282" s="1" t="s">
        <v>79</v>
      </c>
      <c r="F1282" s="1">
        <v>90</v>
      </c>
      <c r="G1282" s="1">
        <v>3</v>
      </c>
      <c r="H1282" s="1">
        <v>77</v>
      </c>
    </row>
    <row r="1283" spans="1:8" x14ac:dyDescent="0.3">
      <c r="A1283" t="str">
        <f t="shared" si="40"/>
        <v>PPG</v>
      </c>
      <c r="B1283">
        <f t="shared" si="41"/>
        <v>15120</v>
      </c>
      <c r="E1283" s="1" t="s">
        <v>464</v>
      </c>
      <c r="F1283" s="1">
        <v>92</v>
      </c>
      <c r="G1283" s="1">
        <v>4</v>
      </c>
      <c r="H1283" s="1">
        <v>77</v>
      </c>
    </row>
    <row r="1284" spans="1:8" x14ac:dyDescent="0.3">
      <c r="A1284" t="str">
        <f t="shared" si="40"/>
        <v>PPG</v>
      </c>
      <c r="B1284">
        <f t="shared" si="41"/>
        <v>12220</v>
      </c>
      <c r="E1284" s="1" t="s">
        <v>284</v>
      </c>
      <c r="F1284" s="1">
        <v>93</v>
      </c>
      <c r="G1284" s="1">
        <v>2</v>
      </c>
      <c r="H1284" s="1">
        <v>76.900000000000006</v>
      </c>
    </row>
    <row r="1285" spans="1:8" x14ac:dyDescent="0.3">
      <c r="A1285" t="str">
        <f t="shared" si="40"/>
        <v>PPG</v>
      </c>
      <c r="B1285">
        <f t="shared" si="41"/>
        <v>8120</v>
      </c>
      <c r="E1285" s="1" t="s">
        <v>256</v>
      </c>
      <c r="F1285" s="1">
        <v>94</v>
      </c>
      <c r="G1285" s="1">
        <v>11</v>
      </c>
      <c r="H1285" s="1">
        <v>76.8</v>
      </c>
    </row>
    <row r="1286" spans="1:8" x14ac:dyDescent="0.3">
      <c r="A1286" t="str">
        <f t="shared" si="40"/>
        <v>PPG</v>
      </c>
      <c r="B1286">
        <f t="shared" si="41"/>
        <v>220</v>
      </c>
      <c r="E1286" s="1" t="s">
        <v>98</v>
      </c>
      <c r="F1286" s="1">
        <v>99</v>
      </c>
      <c r="G1286" s="1">
        <v>2</v>
      </c>
      <c r="H1286" s="1">
        <v>76.599999999999994</v>
      </c>
    </row>
    <row r="1287" spans="1:8" x14ac:dyDescent="0.3">
      <c r="A1287" t="str">
        <f t="shared" si="40"/>
        <v>PPG</v>
      </c>
      <c r="B1287">
        <f t="shared" si="41"/>
        <v>11720</v>
      </c>
      <c r="E1287" s="1" t="s">
        <v>280</v>
      </c>
      <c r="F1287" s="1">
        <v>99</v>
      </c>
      <c r="G1287" s="1">
        <v>2</v>
      </c>
      <c r="H1287" s="1">
        <v>76.599999999999994</v>
      </c>
    </row>
    <row r="1288" spans="1:8" x14ac:dyDescent="0.3">
      <c r="A1288" t="str">
        <f t="shared" si="40"/>
        <v>PPG</v>
      </c>
      <c r="B1288">
        <f t="shared" si="41"/>
        <v>3320</v>
      </c>
      <c r="E1288" s="1" t="s">
        <v>91</v>
      </c>
      <c r="F1288" s="1">
        <v>101</v>
      </c>
      <c r="G1288" s="1">
        <v>4</v>
      </c>
      <c r="H1288" s="1">
        <v>76.599999999999994</v>
      </c>
    </row>
    <row r="1289" spans="1:8" x14ac:dyDescent="0.3">
      <c r="A1289" t="str">
        <f t="shared" si="40"/>
        <v>PPG</v>
      </c>
      <c r="B1289">
        <f t="shared" si="41"/>
        <v>6920</v>
      </c>
      <c r="E1289" s="1" t="s">
        <v>114</v>
      </c>
      <c r="F1289" s="1">
        <v>103</v>
      </c>
      <c r="G1289" s="1">
        <v>12</v>
      </c>
      <c r="H1289" s="1">
        <v>76.5</v>
      </c>
    </row>
    <row r="1290" spans="1:8" x14ac:dyDescent="0.3">
      <c r="A1290" t="str">
        <f t="shared" si="40"/>
        <v>PPG</v>
      </c>
      <c r="B1290">
        <f t="shared" si="41"/>
        <v>3220</v>
      </c>
      <c r="E1290" s="1" t="s">
        <v>127</v>
      </c>
      <c r="F1290" s="1">
        <v>109</v>
      </c>
      <c r="G1290" s="1">
        <v>6</v>
      </c>
      <c r="H1290" s="1">
        <v>76.099999999999994</v>
      </c>
    </row>
    <row r="1291" spans="1:8" x14ac:dyDescent="0.3">
      <c r="A1291" t="str">
        <f t="shared" si="40"/>
        <v>PPG</v>
      </c>
      <c r="B1291">
        <f t="shared" si="41"/>
        <v>3920</v>
      </c>
      <c r="E1291" s="1" t="s">
        <v>88</v>
      </c>
      <c r="F1291" s="1">
        <v>111</v>
      </c>
      <c r="G1291" s="1">
        <v>7</v>
      </c>
      <c r="H1291" s="1">
        <v>76.099999999999994</v>
      </c>
    </row>
    <row r="1292" spans="1:8" x14ac:dyDescent="0.3">
      <c r="A1292" t="str">
        <f t="shared" si="40"/>
        <v>PPG</v>
      </c>
      <c r="B1292">
        <f t="shared" si="41"/>
        <v>4020</v>
      </c>
      <c r="E1292" s="1" t="s">
        <v>105</v>
      </c>
      <c r="F1292" s="1">
        <v>112</v>
      </c>
      <c r="G1292" s="1">
        <v>5</v>
      </c>
      <c r="H1292" s="1">
        <v>76.099999999999994</v>
      </c>
    </row>
    <row r="1293" spans="1:8" x14ac:dyDescent="0.3">
      <c r="A1293" t="str">
        <f t="shared" si="40"/>
        <v>PPG</v>
      </c>
      <c r="B1293">
        <f t="shared" si="41"/>
        <v>5120</v>
      </c>
      <c r="E1293" s="1" t="s">
        <v>240</v>
      </c>
      <c r="F1293" s="1">
        <v>120</v>
      </c>
      <c r="G1293" s="1">
        <v>3</v>
      </c>
      <c r="H1293" s="1">
        <v>75.900000000000006</v>
      </c>
    </row>
    <row r="1294" spans="1:8" x14ac:dyDescent="0.3">
      <c r="A1294" t="str">
        <f t="shared" si="40"/>
        <v>PPG</v>
      </c>
      <c r="B1294">
        <f t="shared" si="41"/>
        <v>18320</v>
      </c>
      <c r="E1294" s="1" t="s">
        <v>423</v>
      </c>
      <c r="F1294" s="1">
        <v>122</v>
      </c>
      <c r="G1294" s="1">
        <v>3</v>
      </c>
      <c r="H1294" s="1">
        <v>75.8</v>
      </c>
    </row>
    <row r="1295" spans="1:8" x14ac:dyDescent="0.3">
      <c r="A1295" t="str">
        <f t="shared" si="40"/>
        <v>PPG</v>
      </c>
      <c r="B1295">
        <f t="shared" si="41"/>
        <v>3120</v>
      </c>
      <c r="E1295" s="1" t="s">
        <v>93</v>
      </c>
      <c r="F1295" s="1">
        <v>131</v>
      </c>
      <c r="G1295" s="1">
        <v>5</v>
      </c>
      <c r="H1295" s="1">
        <v>75.5</v>
      </c>
    </row>
    <row r="1296" spans="1:8" x14ac:dyDescent="0.3">
      <c r="A1296" t="str">
        <f t="shared" si="40"/>
        <v>PPG</v>
      </c>
      <c r="B1296">
        <f t="shared" si="41"/>
        <v>13920</v>
      </c>
      <c r="E1296" s="1" t="s">
        <v>297</v>
      </c>
      <c r="F1296" s="1">
        <v>135</v>
      </c>
      <c r="G1296" s="1">
        <v>12</v>
      </c>
      <c r="H1296" s="1">
        <v>75.3</v>
      </c>
    </row>
    <row r="1297" spans="1:8" x14ac:dyDescent="0.3">
      <c r="A1297" t="str">
        <f t="shared" si="40"/>
        <v>PPG</v>
      </c>
      <c r="B1297">
        <f t="shared" si="41"/>
        <v>1320</v>
      </c>
      <c r="E1297" s="1" t="s">
        <v>82</v>
      </c>
      <c r="F1297" s="1">
        <v>136</v>
      </c>
      <c r="G1297" s="1">
        <v>4</v>
      </c>
      <c r="H1297" s="1">
        <v>75.099999999999994</v>
      </c>
    </row>
    <row r="1298" spans="1:8" x14ac:dyDescent="0.3">
      <c r="A1298" t="str">
        <f t="shared" si="40"/>
        <v>PPG</v>
      </c>
      <c r="B1298">
        <f t="shared" si="41"/>
        <v>15820</v>
      </c>
      <c r="E1298" s="1" t="s">
        <v>470</v>
      </c>
      <c r="F1298" s="1">
        <v>140</v>
      </c>
      <c r="G1298" s="1">
        <v>5</v>
      </c>
      <c r="H1298" s="1">
        <v>74.900000000000006</v>
      </c>
    </row>
    <row r="1299" spans="1:8" x14ac:dyDescent="0.3">
      <c r="A1299" t="str">
        <f t="shared" si="40"/>
        <v>PPG</v>
      </c>
      <c r="B1299">
        <f t="shared" si="41"/>
        <v>3620</v>
      </c>
      <c r="E1299" s="1" t="s">
        <v>129</v>
      </c>
      <c r="F1299" s="1">
        <v>150</v>
      </c>
      <c r="G1299" s="1">
        <v>13</v>
      </c>
      <c r="H1299" s="1">
        <v>74.599999999999994</v>
      </c>
    </row>
    <row r="1300" spans="1:8" x14ac:dyDescent="0.3">
      <c r="A1300" t="str">
        <f t="shared" si="40"/>
        <v>PPG</v>
      </c>
      <c r="B1300">
        <f t="shared" si="41"/>
        <v>9020</v>
      </c>
      <c r="E1300" s="1" t="s">
        <v>261</v>
      </c>
      <c r="F1300" s="1">
        <v>162</v>
      </c>
      <c r="G1300" s="1">
        <v>15</v>
      </c>
      <c r="H1300" s="1">
        <v>74.099999999999994</v>
      </c>
    </row>
    <row r="1301" spans="1:8" x14ac:dyDescent="0.3">
      <c r="A1301" t="str">
        <f t="shared" si="40"/>
        <v>PPG</v>
      </c>
      <c r="B1301">
        <f t="shared" si="41"/>
        <v>3520</v>
      </c>
      <c r="E1301" s="1" t="s">
        <v>87</v>
      </c>
      <c r="F1301" s="1">
        <v>166</v>
      </c>
      <c r="G1301" s="1">
        <v>14</v>
      </c>
      <c r="H1301" s="1">
        <v>74</v>
      </c>
    </row>
    <row r="1302" spans="1:8" x14ac:dyDescent="0.3">
      <c r="A1302" t="str">
        <f t="shared" si="40"/>
        <v>PPG</v>
      </c>
      <c r="B1302">
        <f t="shared" si="41"/>
        <v>18420</v>
      </c>
      <c r="E1302" s="1" t="s">
        <v>417</v>
      </c>
      <c r="F1302" s="1">
        <v>181</v>
      </c>
      <c r="G1302" s="1">
        <v>1</v>
      </c>
      <c r="H1302" s="1">
        <v>73.7</v>
      </c>
    </row>
    <row r="1303" spans="1:8" x14ac:dyDescent="0.3">
      <c r="A1303" t="str">
        <f t="shared" si="40"/>
        <v>PPG</v>
      </c>
      <c r="B1303">
        <f t="shared" si="41"/>
        <v>2820</v>
      </c>
      <c r="E1303" s="1" t="s">
        <v>106</v>
      </c>
      <c r="F1303" s="1">
        <v>182</v>
      </c>
      <c r="G1303" s="1">
        <v>10</v>
      </c>
      <c r="H1303" s="1">
        <v>73.7</v>
      </c>
    </row>
    <row r="1304" spans="1:8" x14ac:dyDescent="0.3">
      <c r="A1304" t="str">
        <f t="shared" si="40"/>
        <v>PPG</v>
      </c>
      <c r="B1304">
        <f t="shared" si="41"/>
        <v>15720</v>
      </c>
      <c r="E1304" s="1" t="s">
        <v>469</v>
      </c>
      <c r="F1304" s="1">
        <v>190</v>
      </c>
      <c r="G1304" s="1">
        <v>7</v>
      </c>
      <c r="H1304" s="1">
        <v>73.400000000000006</v>
      </c>
    </row>
    <row r="1305" spans="1:8" x14ac:dyDescent="0.3">
      <c r="A1305" t="str">
        <f t="shared" si="40"/>
        <v>PPG</v>
      </c>
      <c r="B1305">
        <f t="shared" si="41"/>
        <v>18520</v>
      </c>
      <c r="E1305" s="1" t="s">
        <v>420</v>
      </c>
      <c r="F1305" s="1">
        <v>191</v>
      </c>
      <c r="G1305" s="1">
        <v>6</v>
      </c>
      <c r="H1305" s="1">
        <v>73.3</v>
      </c>
    </row>
    <row r="1306" spans="1:8" x14ac:dyDescent="0.3">
      <c r="A1306" t="str">
        <f t="shared" si="40"/>
        <v>PPG</v>
      </c>
      <c r="B1306">
        <f t="shared" si="41"/>
        <v>16220</v>
      </c>
      <c r="E1306" s="1" t="s">
        <v>497</v>
      </c>
      <c r="F1306" s="1">
        <v>199</v>
      </c>
      <c r="G1306" s="1">
        <v>2</v>
      </c>
      <c r="H1306" s="1">
        <v>73.099999999999994</v>
      </c>
    </row>
    <row r="1307" spans="1:8" x14ac:dyDescent="0.3">
      <c r="A1307" t="str">
        <f t="shared" si="40"/>
        <v>PPG</v>
      </c>
      <c r="B1307">
        <f t="shared" si="41"/>
        <v>2520</v>
      </c>
      <c r="E1307" s="1" t="s">
        <v>92</v>
      </c>
      <c r="F1307" s="1">
        <v>205</v>
      </c>
      <c r="G1307" s="1">
        <v>8</v>
      </c>
      <c r="H1307" s="1">
        <v>72.900000000000006</v>
      </c>
    </row>
    <row r="1308" spans="1:8" x14ac:dyDescent="0.3">
      <c r="A1308" t="str">
        <f t="shared" si="40"/>
        <v>PPG</v>
      </c>
      <c r="B1308">
        <f t="shared" si="41"/>
        <v>15420</v>
      </c>
      <c r="E1308" s="1" t="s">
        <v>494</v>
      </c>
      <c r="F1308" s="1">
        <v>240</v>
      </c>
      <c r="G1308" s="1">
        <v>5</v>
      </c>
      <c r="H1308" s="1">
        <v>71.599999999999994</v>
      </c>
    </row>
    <row r="1309" spans="1:8" x14ac:dyDescent="0.3">
      <c r="A1309" t="str">
        <f t="shared" si="40"/>
        <v>PPG</v>
      </c>
      <c r="B1309">
        <f t="shared" si="41"/>
        <v>15920</v>
      </c>
      <c r="E1309" s="1" t="s">
        <v>495</v>
      </c>
      <c r="F1309" s="1">
        <v>254</v>
      </c>
      <c r="G1309" s="1">
        <v>3</v>
      </c>
      <c r="H1309" s="1">
        <v>71</v>
      </c>
    </row>
    <row r="1310" spans="1:8" x14ac:dyDescent="0.3">
      <c r="A1310" t="str">
        <f t="shared" si="40"/>
        <v>PPG</v>
      </c>
      <c r="B1310">
        <f t="shared" si="41"/>
        <v>1220</v>
      </c>
      <c r="E1310" s="1" t="s">
        <v>130</v>
      </c>
      <c r="F1310" s="1">
        <v>259</v>
      </c>
      <c r="G1310" s="1">
        <v>7</v>
      </c>
      <c r="H1310" s="1">
        <v>70.7</v>
      </c>
    </row>
    <row r="1311" spans="1:8" x14ac:dyDescent="0.3">
      <c r="A1311" t="str">
        <f t="shared" si="40"/>
        <v>PPG</v>
      </c>
      <c r="B1311">
        <f t="shared" si="41"/>
        <v>16120</v>
      </c>
      <c r="E1311" s="1" t="s">
        <v>473</v>
      </c>
      <c r="F1311" s="1">
        <v>274</v>
      </c>
      <c r="G1311" s="1">
        <v>5</v>
      </c>
      <c r="H1311" s="1">
        <v>70.099999999999994</v>
      </c>
    </row>
    <row r="1312" spans="1:8" x14ac:dyDescent="0.3">
      <c r="A1312" t="str">
        <f t="shared" si="40"/>
        <v>PPG</v>
      </c>
      <c r="B1312">
        <f t="shared" si="41"/>
        <v>9520</v>
      </c>
      <c r="E1312" s="1" t="s">
        <v>85</v>
      </c>
      <c r="F1312" s="1">
        <v>281</v>
      </c>
      <c r="G1312" s="1">
        <v>10</v>
      </c>
      <c r="H1312" s="1">
        <v>69.8</v>
      </c>
    </row>
    <row r="1313" spans="1:10" x14ac:dyDescent="0.3">
      <c r="A1313" t="str">
        <f t="shared" si="40"/>
        <v>PPG</v>
      </c>
      <c r="B1313">
        <f t="shared" si="41"/>
        <v>15620</v>
      </c>
      <c r="E1313" s="1" t="s">
        <v>468</v>
      </c>
      <c r="F1313" s="1">
        <v>301</v>
      </c>
      <c r="G1313" s="1">
        <v>8</v>
      </c>
      <c r="H1313" s="1">
        <v>68.7</v>
      </c>
    </row>
    <row r="1314" spans="1:10" x14ac:dyDescent="0.3">
      <c r="A1314" t="str">
        <f t="shared" si="40"/>
        <v>SPG</v>
      </c>
      <c r="B1314">
        <f t="shared" si="41"/>
        <v>15024</v>
      </c>
      <c r="D1314" s="1" t="s">
        <v>555</v>
      </c>
      <c r="E1314" s="1" t="s">
        <v>463</v>
      </c>
      <c r="F1314" s="1">
        <v>4</v>
      </c>
      <c r="G1314" s="1">
        <v>1</v>
      </c>
      <c r="H1314" s="1">
        <v>9.9</v>
      </c>
      <c r="I1314" s="1" t="s">
        <v>563</v>
      </c>
      <c r="J1314" s="1">
        <v>10.3</v>
      </c>
    </row>
    <row r="1315" spans="1:10" x14ac:dyDescent="0.3">
      <c r="A1315" t="str">
        <f t="shared" si="40"/>
        <v>SPG</v>
      </c>
      <c r="B1315">
        <f t="shared" si="41"/>
        <v>15724</v>
      </c>
      <c r="E1315" s="1" t="s">
        <v>469</v>
      </c>
      <c r="F1315" s="1">
        <v>10</v>
      </c>
      <c r="G1315" s="1">
        <v>1</v>
      </c>
      <c r="H1315" s="1">
        <v>9.4</v>
      </c>
    </row>
    <row r="1316" spans="1:10" x14ac:dyDescent="0.3">
      <c r="A1316" t="str">
        <f t="shared" si="40"/>
        <v>SPG</v>
      </c>
      <c r="B1316">
        <f t="shared" si="41"/>
        <v>14124</v>
      </c>
      <c r="E1316" s="1" t="s">
        <v>299</v>
      </c>
      <c r="F1316" s="1">
        <v>12</v>
      </c>
      <c r="G1316" s="1">
        <v>1</v>
      </c>
      <c r="H1316" s="1">
        <v>9.4</v>
      </c>
    </row>
    <row r="1317" spans="1:10" x14ac:dyDescent="0.3">
      <c r="A1317" t="str">
        <f t="shared" si="40"/>
        <v>SPG</v>
      </c>
      <c r="B1317">
        <f t="shared" si="41"/>
        <v>624</v>
      </c>
      <c r="E1317" s="1" t="s">
        <v>100</v>
      </c>
      <c r="F1317" s="1">
        <v>14</v>
      </c>
      <c r="G1317" s="1">
        <v>1</v>
      </c>
      <c r="H1317" s="1">
        <v>9.3000000000000007</v>
      </c>
    </row>
    <row r="1318" spans="1:10" x14ac:dyDescent="0.3">
      <c r="A1318" t="str">
        <f t="shared" si="40"/>
        <v>SPG</v>
      </c>
      <c r="B1318">
        <f t="shared" si="41"/>
        <v>5824</v>
      </c>
      <c r="E1318" s="1" t="s">
        <v>139</v>
      </c>
      <c r="F1318" s="1">
        <v>15</v>
      </c>
      <c r="G1318" s="1">
        <v>3</v>
      </c>
      <c r="H1318" s="1">
        <v>9.1999999999999993</v>
      </c>
    </row>
    <row r="1319" spans="1:10" x14ac:dyDescent="0.3">
      <c r="A1319" t="str">
        <f t="shared" si="40"/>
        <v>SPG</v>
      </c>
      <c r="B1319">
        <f t="shared" si="41"/>
        <v>1624</v>
      </c>
      <c r="E1319" s="1" t="s">
        <v>137</v>
      </c>
      <c r="F1319" s="1">
        <v>16</v>
      </c>
      <c r="G1319" s="1">
        <v>2</v>
      </c>
      <c r="H1319" s="1">
        <v>9.1</v>
      </c>
    </row>
    <row r="1320" spans="1:10" x14ac:dyDescent="0.3">
      <c r="A1320" t="str">
        <f t="shared" si="40"/>
        <v>SPG</v>
      </c>
      <c r="B1320">
        <f t="shared" si="41"/>
        <v>224</v>
      </c>
      <c r="E1320" s="1" t="s">
        <v>98</v>
      </c>
      <c r="F1320" s="1">
        <v>20</v>
      </c>
      <c r="G1320" s="1">
        <v>1</v>
      </c>
      <c r="H1320" s="1">
        <v>9</v>
      </c>
    </row>
    <row r="1321" spans="1:10" x14ac:dyDescent="0.3">
      <c r="A1321" t="str">
        <f t="shared" si="40"/>
        <v>SPG</v>
      </c>
      <c r="B1321">
        <f t="shared" si="41"/>
        <v>3324</v>
      </c>
      <c r="E1321" s="1" t="s">
        <v>91</v>
      </c>
      <c r="F1321" s="1">
        <v>22</v>
      </c>
      <c r="G1321" s="1">
        <v>1</v>
      </c>
      <c r="H1321" s="1">
        <v>9</v>
      </c>
    </row>
    <row r="1322" spans="1:10" x14ac:dyDescent="0.3">
      <c r="A1322" t="str">
        <f t="shared" si="40"/>
        <v>SPG</v>
      </c>
      <c r="B1322">
        <f t="shared" si="41"/>
        <v>9524</v>
      </c>
      <c r="E1322" s="1" t="s">
        <v>85</v>
      </c>
      <c r="F1322" s="1">
        <v>24</v>
      </c>
      <c r="G1322" s="1">
        <v>1</v>
      </c>
      <c r="H1322" s="1">
        <v>8.9</v>
      </c>
    </row>
    <row r="1323" spans="1:10" x14ac:dyDescent="0.3">
      <c r="A1323" t="str">
        <f t="shared" si="40"/>
        <v>SPG</v>
      </c>
      <c r="B1323">
        <f t="shared" si="41"/>
        <v>14424</v>
      </c>
      <c r="E1323" s="1" t="s">
        <v>302</v>
      </c>
      <c r="F1323" s="1">
        <v>25</v>
      </c>
      <c r="G1323" s="1">
        <v>3</v>
      </c>
      <c r="H1323" s="1">
        <v>8.9</v>
      </c>
    </row>
    <row r="1324" spans="1:10" x14ac:dyDescent="0.3">
      <c r="A1324" t="str">
        <f t="shared" si="40"/>
        <v>SPG</v>
      </c>
      <c r="B1324">
        <f t="shared" si="41"/>
        <v>9324</v>
      </c>
      <c r="E1324" s="1" t="s">
        <v>357</v>
      </c>
      <c r="F1324" s="1">
        <v>26</v>
      </c>
      <c r="G1324" s="1">
        <v>2</v>
      </c>
      <c r="H1324" s="1">
        <v>8.9</v>
      </c>
    </row>
    <row r="1325" spans="1:10" x14ac:dyDescent="0.3">
      <c r="A1325" t="str">
        <f t="shared" si="40"/>
        <v>SPG</v>
      </c>
      <c r="B1325">
        <f t="shared" si="41"/>
        <v>324</v>
      </c>
      <c r="E1325" s="1" t="s">
        <v>215</v>
      </c>
      <c r="F1325" s="1">
        <v>28</v>
      </c>
      <c r="G1325" s="1">
        <v>4</v>
      </c>
      <c r="H1325" s="1">
        <v>8.8000000000000007</v>
      </c>
    </row>
    <row r="1326" spans="1:10" x14ac:dyDescent="0.3">
      <c r="A1326" t="str">
        <f t="shared" si="40"/>
        <v>SPG</v>
      </c>
      <c r="B1326">
        <f t="shared" si="41"/>
        <v>4724</v>
      </c>
      <c r="E1326" s="1" t="s">
        <v>107</v>
      </c>
      <c r="F1326" s="1">
        <v>29</v>
      </c>
      <c r="G1326" s="1">
        <v>1</v>
      </c>
      <c r="H1326" s="1">
        <v>8.6999999999999993</v>
      </c>
    </row>
    <row r="1327" spans="1:10" x14ac:dyDescent="0.3">
      <c r="A1327" t="str">
        <f t="shared" si="40"/>
        <v>SPG</v>
      </c>
      <c r="B1327">
        <f t="shared" si="41"/>
        <v>1424</v>
      </c>
      <c r="E1327" s="1" t="s">
        <v>102</v>
      </c>
      <c r="F1327" s="1">
        <v>35</v>
      </c>
      <c r="G1327" s="1">
        <v>2</v>
      </c>
      <c r="H1327" s="1">
        <v>8.6</v>
      </c>
    </row>
    <row r="1328" spans="1:10" x14ac:dyDescent="0.3">
      <c r="A1328" t="str">
        <f t="shared" si="40"/>
        <v>SPG</v>
      </c>
      <c r="B1328">
        <f t="shared" si="41"/>
        <v>9024</v>
      </c>
      <c r="E1328" s="1" t="s">
        <v>261</v>
      </c>
      <c r="F1328" s="1">
        <v>52</v>
      </c>
      <c r="G1328" s="1">
        <v>1</v>
      </c>
      <c r="H1328" s="1">
        <v>8.1</v>
      </c>
    </row>
    <row r="1329" spans="1:8" x14ac:dyDescent="0.3">
      <c r="A1329" t="str">
        <f t="shared" si="40"/>
        <v>SPG</v>
      </c>
      <c r="B1329">
        <f t="shared" si="41"/>
        <v>12224</v>
      </c>
      <c r="E1329" s="1" t="s">
        <v>284</v>
      </c>
      <c r="F1329" s="1">
        <v>55</v>
      </c>
      <c r="G1329" s="1">
        <v>2</v>
      </c>
      <c r="H1329" s="1">
        <v>8.1</v>
      </c>
    </row>
    <row r="1330" spans="1:8" x14ac:dyDescent="0.3">
      <c r="A1330" t="str">
        <f t="shared" si="40"/>
        <v>SPG</v>
      </c>
      <c r="B1330">
        <f t="shared" si="41"/>
        <v>16224</v>
      </c>
      <c r="E1330" s="1" t="s">
        <v>497</v>
      </c>
      <c r="F1330" s="1">
        <v>60</v>
      </c>
      <c r="G1330" s="1">
        <v>5</v>
      </c>
      <c r="H1330" s="1">
        <v>7.9</v>
      </c>
    </row>
    <row r="1331" spans="1:8" x14ac:dyDescent="0.3">
      <c r="A1331" t="str">
        <f t="shared" si="40"/>
        <v>SPG</v>
      </c>
      <c r="B1331">
        <f t="shared" si="41"/>
        <v>11124</v>
      </c>
      <c r="E1331" s="1" t="s">
        <v>277</v>
      </c>
      <c r="F1331" s="1">
        <v>62</v>
      </c>
      <c r="G1331" s="1">
        <v>3</v>
      </c>
      <c r="H1331" s="1">
        <v>7.9</v>
      </c>
    </row>
    <row r="1332" spans="1:8" x14ac:dyDescent="0.3">
      <c r="A1332" t="str">
        <f t="shared" si="40"/>
        <v>SPG</v>
      </c>
      <c r="B1332">
        <f t="shared" si="41"/>
        <v>18324</v>
      </c>
      <c r="E1332" s="1" t="s">
        <v>423</v>
      </c>
      <c r="F1332" s="1">
        <v>63</v>
      </c>
      <c r="G1332" s="1">
        <v>4</v>
      </c>
      <c r="H1332" s="1">
        <v>7.9</v>
      </c>
    </row>
    <row r="1333" spans="1:8" x14ac:dyDescent="0.3">
      <c r="A1333" t="str">
        <f t="shared" si="40"/>
        <v>SPG</v>
      </c>
      <c r="B1333">
        <f t="shared" si="41"/>
        <v>3824</v>
      </c>
      <c r="E1333" s="1" t="s">
        <v>238</v>
      </c>
      <c r="F1333" s="1">
        <v>69</v>
      </c>
      <c r="G1333" s="1">
        <v>5</v>
      </c>
      <c r="H1333" s="1">
        <v>7.8</v>
      </c>
    </row>
    <row r="1334" spans="1:8" x14ac:dyDescent="0.3">
      <c r="A1334" t="str">
        <f t="shared" si="40"/>
        <v>SPG</v>
      </c>
      <c r="B1334">
        <f t="shared" si="41"/>
        <v>13924</v>
      </c>
      <c r="E1334" s="1" t="s">
        <v>297</v>
      </c>
      <c r="F1334" s="1">
        <v>72</v>
      </c>
      <c r="G1334" s="1">
        <v>6</v>
      </c>
      <c r="H1334" s="1">
        <v>7.8</v>
      </c>
    </row>
    <row r="1335" spans="1:8" x14ac:dyDescent="0.3">
      <c r="A1335" t="str">
        <f t="shared" si="40"/>
        <v>SPG</v>
      </c>
      <c r="B1335">
        <f t="shared" si="41"/>
        <v>2824</v>
      </c>
      <c r="E1335" s="1" t="s">
        <v>106</v>
      </c>
      <c r="F1335" s="1">
        <v>75</v>
      </c>
      <c r="G1335" s="1">
        <v>3</v>
      </c>
      <c r="H1335" s="1">
        <v>7.8</v>
      </c>
    </row>
    <row r="1336" spans="1:8" x14ac:dyDescent="0.3">
      <c r="A1336" t="str">
        <f t="shared" si="40"/>
        <v>SPG</v>
      </c>
      <c r="B1336">
        <f t="shared" si="41"/>
        <v>6624</v>
      </c>
      <c r="E1336" s="1" t="s">
        <v>247</v>
      </c>
      <c r="F1336" s="1">
        <v>76</v>
      </c>
      <c r="G1336" s="1">
        <v>3</v>
      </c>
      <c r="H1336" s="1">
        <v>7.7</v>
      </c>
    </row>
    <row r="1337" spans="1:8" x14ac:dyDescent="0.3">
      <c r="A1337" t="str">
        <f t="shared" si="40"/>
        <v>SPG</v>
      </c>
      <c r="B1337">
        <f t="shared" si="41"/>
        <v>7424</v>
      </c>
      <c r="E1337" s="1" t="s">
        <v>251</v>
      </c>
      <c r="F1337" s="1">
        <v>77</v>
      </c>
      <c r="G1337" s="1">
        <v>5</v>
      </c>
      <c r="H1337" s="1">
        <v>7.7</v>
      </c>
    </row>
    <row r="1338" spans="1:8" x14ac:dyDescent="0.3">
      <c r="A1338" t="str">
        <f t="shared" si="40"/>
        <v>SPG</v>
      </c>
      <c r="B1338">
        <f t="shared" si="41"/>
        <v>1224</v>
      </c>
      <c r="E1338" s="1" t="s">
        <v>130</v>
      </c>
      <c r="F1338" s="1">
        <v>79</v>
      </c>
      <c r="G1338" s="1">
        <v>3</v>
      </c>
      <c r="H1338" s="1">
        <v>7.6</v>
      </c>
    </row>
    <row r="1339" spans="1:8" x14ac:dyDescent="0.3">
      <c r="A1339" t="str">
        <f t="shared" si="40"/>
        <v>SPG</v>
      </c>
      <c r="B1339">
        <f t="shared" si="41"/>
        <v>8224</v>
      </c>
      <c r="E1339" s="1" t="s">
        <v>131</v>
      </c>
      <c r="F1339" s="1">
        <v>80</v>
      </c>
      <c r="G1339" s="1">
        <v>2</v>
      </c>
      <c r="H1339" s="1">
        <v>7.6</v>
      </c>
    </row>
    <row r="1340" spans="1:8" x14ac:dyDescent="0.3">
      <c r="A1340" t="str">
        <f t="shared" si="40"/>
        <v>SPG</v>
      </c>
      <c r="B1340">
        <f t="shared" si="41"/>
        <v>3624</v>
      </c>
      <c r="E1340" s="1" t="s">
        <v>129</v>
      </c>
      <c r="F1340" s="1">
        <v>94</v>
      </c>
      <c r="G1340" s="1">
        <v>7</v>
      </c>
      <c r="H1340" s="1">
        <v>7.6</v>
      </c>
    </row>
    <row r="1341" spans="1:8" x14ac:dyDescent="0.3">
      <c r="A1341" t="str">
        <f t="shared" si="40"/>
        <v>SPG</v>
      </c>
      <c r="B1341">
        <f t="shared" si="41"/>
        <v>3224</v>
      </c>
      <c r="E1341" s="1" t="s">
        <v>127</v>
      </c>
      <c r="F1341" s="1">
        <v>98</v>
      </c>
      <c r="G1341" s="1">
        <v>8</v>
      </c>
      <c r="H1341" s="1">
        <v>7.5</v>
      </c>
    </row>
    <row r="1342" spans="1:8" x14ac:dyDescent="0.3">
      <c r="A1342" t="str">
        <f t="shared" si="40"/>
        <v>SPG</v>
      </c>
      <c r="B1342">
        <f t="shared" si="41"/>
        <v>2924</v>
      </c>
      <c r="E1342" s="1" t="s">
        <v>96</v>
      </c>
      <c r="F1342" s="1">
        <v>99</v>
      </c>
      <c r="G1342" s="1">
        <v>9</v>
      </c>
      <c r="H1342" s="1">
        <v>7.5</v>
      </c>
    </row>
    <row r="1343" spans="1:8" x14ac:dyDescent="0.3">
      <c r="A1343" t="str">
        <f t="shared" si="40"/>
        <v>SPG</v>
      </c>
      <c r="B1343">
        <f t="shared" si="41"/>
        <v>8124</v>
      </c>
      <c r="E1343" s="1" t="s">
        <v>256</v>
      </c>
      <c r="F1343" s="1">
        <v>102</v>
      </c>
      <c r="G1343" s="1">
        <v>8</v>
      </c>
      <c r="H1343" s="1">
        <v>7.5</v>
      </c>
    </row>
    <row r="1344" spans="1:8" x14ac:dyDescent="0.3">
      <c r="A1344" t="str">
        <f t="shared" si="40"/>
        <v>SPG</v>
      </c>
      <c r="B1344">
        <f t="shared" si="41"/>
        <v>4424</v>
      </c>
      <c r="E1344" s="1" t="s">
        <v>83</v>
      </c>
      <c r="F1344" s="1">
        <v>108</v>
      </c>
      <c r="G1344" s="1">
        <v>1</v>
      </c>
      <c r="H1344" s="1">
        <v>7.5</v>
      </c>
    </row>
    <row r="1345" spans="1:8" x14ac:dyDescent="0.3">
      <c r="A1345" t="str">
        <f t="shared" si="40"/>
        <v>SPG</v>
      </c>
      <c r="B1345">
        <f t="shared" si="41"/>
        <v>4024</v>
      </c>
      <c r="E1345" s="1" t="s">
        <v>105</v>
      </c>
      <c r="F1345" s="1">
        <v>111</v>
      </c>
      <c r="G1345" s="1">
        <v>3</v>
      </c>
      <c r="H1345" s="1">
        <v>7.4</v>
      </c>
    </row>
    <row r="1346" spans="1:8" x14ac:dyDescent="0.3">
      <c r="A1346" t="str">
        <f t="shared" ref="A1346:A1409" si="42">IF(NOT(D1346=""),INDEX(statAbbr,MATCH(D1346,statOfficial,0),1),A1345)</f>
        <v>SPG</v>
      </c>
      <c r="B1346">
        <f t="shared" ref="B1346:B1409" si="43">INDEX(statID,MATCH(A1346,statAbbr,0),1)+INDEX(teamID,MATCH(E1346,teamRawName,0))</f>
        <v>5724</v>
      </c>
      <c r="E1346" s="1" t="s">
        <v>120</v>
      </c>
      <c r="F1346" s="1">
        <v>112</v>
      </c>
      <c r="G1346" s="1">
        <v>9</v>
      </c>
      <c r="H1346" s="1">
        <v>7.4</v>
      </c>
    </row>
    <row r="1347" spans="1:8" x14ac:dyDescent="0.3">
      <c r="A1347" t="str">
        <f t="shared" si="42"/>
        <v>SPG</v>
      </c>
      <c r="B1347">
        <f t="shared" si="43"/>
        <v>6924</v>
      </c>
      <c r="E1347" s="1" t="s">
        <v>114</v>
      </c>
      <c r="F1347" s="1">
        <v>135</v>
      </c>
      <c r="G1347" s="1">
        <v>4</v>
      </c>
      <c r="H1347" s="1">
        <v>7.2</v>
      </c>
    </row>
    <row r="1348" spans="1:8" x14ac:dyDescent="0.3">
      <c r="A1348" t="str">
        <f t="shared" si="42"/>
        <v>SPG</v>
      </c>
      <c r="B1348">
        <f t="shared" si="43"/>
        <v>2724</v>
      </c>
      <c r="E1348" s="1" t="s">
        <v>7</v>
      </c>
      <c r="F1348" s="1">
        <v>138</v>
      </c>
      <c r="G1348" s="1">
        <v>11</v>
      </c>
      <c r="H1348" s="1">
        <v>7.1</v>
      </c>
    </row>
    <row r="1349" spans="1:8" x14ac:dyDescent="0.3">
      <c r="A1349" t="str">
        <f t="shared" si="42"/>
        <v>SPG</v>
      </c>
      <c r="B1349">
        <f t="shared" si="43"/>
        <v>2024</v>
      </c>
      <c r="E1349" s="1" t="s">
        <v>328</v>
      </c>
      <c r="F1349" s="1">
        <v>147</v>
      </c>
      <c r="G1349" s="1">
        <v>5</v>
      </c>
      <c r="H1349" s="1">
        <v>7</v>
      </c>
    </row>
    <row r="1350" spans="1:8" x14ac:dyDescent="0.3">
      <c r="A1350" t="str">
        <f t="shared" si="42"/>
        <v>SPG</v>
      </c>
      <c r="B1350">
        <f t="shared" si="43"/>
        <v>18424</v>
      </c>
      <c r="E1350" s="1" t="s">
        <v>417</v>
      </c>
      <c r="F1350" s="1">
        <v>152</v>
      </c>
      <c r="G1350" s="1">
        <v>5</v>
      </c>
      <c r="H1350" s="1">
        <v>6.9</v>
      </c>
    </row>
    <row r="1351" spans="1:8" x14ac:dyDescent="0.3">
      <c r="A1351" t="str">
        <f t="shared" si="42"/>
        <v>SPG</v>
      </c>
      <c r="B1351">
        <f t="shared" si="43"/>
        <v>3524</v>
      </c>
      <c r="E1351" s="1" t="s">
        <v>87</v>
      </c>
      <c r="F1351" s="1">
        <v>158</v>
      </c>
      <c r="G1351" s="1">
        <v>11</v>
      </c>
      <c r="H1351" s="1">
        <v>6.9</v>
      </c>
    </row>
    <row r="1352" spans="1:8" x14ac:dyDescent="0.3">
      <c r="A1352" t="str">
        <f t="shared" si="42"/>
        <v>SPG</v>
      </c>
      <c r="B1352">
        <f t="shared" si="43"/>
        <v>5524</v>
      </c>
      <c r="E1352" s="1" t="s">
        <v>86</v>
      </c>
      <c r="F1352" s="1">
        <v>159</v>
      </c>
      <c r="G1352" s="1">
        <v>12</v>
      </c>
      <c r="H1352" s="1">
        <v>6.9</v>
      </c>
    </row>
    <row r="1353" spans="1:8" x14ac:dyDescent="0.3">
      <c r="A1353" t="str">
        <f t="shared" si="42"/>
        <v>SPG</v>
      </c>
      <c r="B1353">
        <f t="shared" si="43"/>
        <v>8324</v>
      </c>
      <c r="E1353" s="1" t="s">
        <v>257</v>
      </c>
      <c r="F1353" s="1">
        <v>160</v>
      </c>
      <c r="G1353" s="1">
        <v>6</v>
      </c>
      <c r="H1353" s="1">
        <v>6.9</v>
      </c>
    </row>
    <row r="1354" spans="1:8" x14ac:dyDescent="0.3">
      <c r="A1354" t="str">
        <f t="shared" si="42"/>
        <v>SPG</v>
      </c>
      <c r="B1354">
        <f t="shared" si="43"/>
        <v>4524</v>
      </c>
      <c r="E1354" s="1" t="s">
        <v>84</v>
      </c>
      <c r="F1354" s="1">
        <v>164</v>
      </c>
      <c r="G1354" s="1">
        <v>13</v>
      </c>
      <c r="H1354" s="1">
        <v>6.9</v>
      </c>
    </row>
    <row r="1355" spans="1:8" x14ac:dyDescent="0.3">
      <c r="A1355" t="str">
        <f t="shared" si="42"/>
        <v>SPG</v>
      </c>
      <c r="B1355">
        <f t="shared" si="43"/>
        <v>5424</v>
      </c>
      <c r="E1355" s="1" t="s">
        <v>94</v>
      </c>
      <c r="F1355" s="1">
        <v>178</v>
      </c>
      <c r="G1355" s="1">
        <v>7</v>
      </c>
      <c r="H1355" s="1">
        <v>6.7</v>
      </c>
    </row>
    <row r="1356" spans="1:8" x14ac:dyDescent="0.3">
      <c r="A1356" t="str">
        <f t="shared" si="42"/>
        <v>SPG</v>
      </c>
      <c r="B1356">
        <f t="shared" si="43"/>
        <v>14924</v>
      </c>
      <c r="E1356" s="1" t="s">
        <v>307</v>
      </c>
      <c r="F1356" s="1">
        <v>184</v>
      </c>
      <c r="G1356" s="1">
        <v>4</v>
      </c>
      <c r="H1356" s="1">
        <v>6.7</v>
      </c>
    </row>
    <row r="1357" spans="1:8" x14ac:dyDescent="0.3">
      <c r="A1357" t="str">
        <f t="shared" si="42"/>
        <v>SPG</v>
      </c>
      <c r="B1357">
        <f t="shared" si="43"/>
        <v>15424</v>
      </c>
      <c r="E1357" s="1" t="s">
        <v>494</v>
      </c>
      <c r="F1357" s="1">
        <v>185</v>
      </c>
      <c r="G1357" s="1">
        <v>6</v>
      </c>
      <c r="H1357" s="1">
        <v>6.6</v>
      </c>
    </row>
    <row r="1358" spans="1:8" x14ac:dyDescent="0.3">
      <c r="A1358" t="str">
        <f t="shared" si="42"/>
        <v>SPG</v>
      </c>
      <c r="B1358">
        <f t="shared" si="43"/>
        <v>5124</v>
      </c>
      <c r="E1358" s="1" t="s">
        <v>240</v>
      </c>
      <c r="F1358" s="1">
        <v>192</v>
      </c>
      <c r="G1358" s="1">
        <v>5</v>
      </c>
      <c r="H1358" s="1">
        <v>6.6</v>
      </c>
    </row>
    <row r="1359" spans="1:8" x14ac:dyDescent="0.3">
      <c r="A1359" t="str">
        <f t="shared" si="42"/>
        <v>SPG</v>
      </c>
      <c r="B1359">
        <f t="shared" si="43"/>
        <v>15624</v>
      </c>
      <c r="E1359" s="1" t="s">
        <v>468</v>
      </c>
      <c r="F1359" s="1">
        <v>199</v>
      </c>
      <c r="G1359" s="1">
        <v>4</v>
      </c>
      <c r="H1359" s="1">
        <v>6.5</v>
      </c>
    </row>
    <row r="1360" spans="1:8" x14ac:dyDescent="0.3">
      <c r="A1360" t="str">
        <f t="shared" si="42"/>
        <v>SPG</v>
      </c>
      <c r="B1360">
        <f t="shared" si="43"/>
        <v>15124</v>
      </c>
      <c r="E1360" s="1" t="s">
        <v>464</v>
      </c>
      <c r="F1360" s="1">
        <v>217</v>
      </c>
      <c r="G1360" s="1">
        <v>7</v>
      </c>
      <c r="H1360" s="1">
        <v>6.4</v>
      </c>
    </row>
    <row r="1361" spans="1:8" x14ac:dyDescent="0.3">
      <c r="A1361" t="str">
        <f t="shared" si="42"/>
        <v>SPG</v>
      </c>
      <c r="B1361">
        <f t="shared" si="43"/>
        <v>3024</v>
      </c>
      <c r="E1361" s="1" t="s">
        <v>89</v>
      </c>
      <c r="F1361" s="1">
        <v>221</v>
      </c>
      <c r="G1361" s="1">
        <v>11</v>
      </c>
      <c r="H1361" s="1">
        <v>6.4</v>
      </c>
    </row>
    <row r="1362" spans="1:8" x14ac:dyDescent="0.3">
      <c r="A1362" t="str">
        <f t="shared" si="42"/>
        <v>SPG</v>
      </c>
      <c r="B1362">
        <f t="shared" si="43"/>
        <v>13124</v>
      </c>
      <c r="E1362" s="1" t="s">
        <v>289</v>
      </c>
      <c r="F1362" s="1">
        <v>225</v>
      </c>
      <c r="G1362" s="1">
        <v>10</v>
      </c>
      <c r="H1362" s="1">
        <v>6.4</v>
      </c>
    </row>
    <row r="1363" spans="1:8" x14ac:dyDescent="0.3">
      <c r="A1363" t="str">
        <f t="shared" si="42"/>
        <v>SPG</v>
      </c>
      <c r="B1363">
        <f t="shared" si="43"/>
        <v>7224</v>
      </c>
      <c r="E1363" s="1" t="s">
        <v>116</v>
      </c>
      <c r="F1363" s="1">
        <v>236</v>
      </c>
      <c r="G1363" s="1">
        <v>14</v>
      </c>
      <c r="H1363" s="1">
        <v>6.3</v>
      </c>
    </row>
    <row r="1364" spans="1:8" x14ac:dyDescent="0.3">
      <c r="A1364" t="str">
        <f t="shared" si="42"/>
        <v>SPG</v>
      </c>
      <c r="B1364">
        <f t="shared" si="43"/>
        <v>11724</v>
      </c>
      <c r="E1364" s="1" t="s">
        <v>280</v>
      </c>
      <c r="F1364" s="1">
        <v>238</v>
      </c>
      <c r="G1364" s="1">
        <v>5</v>
      </c>
      <c r="H1364" s="1">
        <v>6.3</v>
      </c>
    </row>
    <row r="1365" spans="1:8" x14ac:dyDescent="0.3">
      <c r="A1365" t="str">
        <f t="shared" si="42"/>
        <v>SPG</v>
      </c>
      <c r="B1365">
        <f t="shared" si="43"/>
        <v>6724</v>
      </c>
      <c r="E1365" s="1" t="s">
        <v>118</v>
      </c>
      <c r="F1365" s="1">
        <v>238</v>
      </c>
      <c r="G1365" s="1">
        <v>14</v>
      </c>
      <c r="H1365" s="1">
        <v>6.3</v>
      </c>
    </row>
    <row r="1366" spans="1:8" x14ac:dyDescent="0.3">
      <c r="A1366" t="str">
        <f t="shared" si="42"/>
        <v>SPG</v>
      </c>
      <c r="B1366">
        <f t="shared" si="43"/>
        <v>15924</v>
      </c>
      <c r="E1366" s="1" t="s">
        <v>495</v>
      </c>
      <c r="F1366" s="1">
        <v>240</v>
      </c>
      <c r="G1366" s="1">
        <v>6</v>
      </c>
      <c r="H1366" s="1">
        <v>6.2</v>
      </c>
    </row>
    <row r="1367" spans="1:8" x14ac:dyDescent="0.3">
      <c r="A1367" t="str">
        <f t="shared" si="42"/>
        <v>SPG</v>
      </c>
      <c r="B1367">
        <f t="shared" si="43"/>
        <v>3924</v>
      </c>
      <c r="E1367" s="1" t="s">
        <v>88</v>
      </c>
      <c r="F1367" s="1">
        <v>244</v>
      </c>
      <c r="G1367" s="1">
        <v>15</v>
      </c>
      <c r="H1367" s="1">
        <v>6.2</v>
      </c>
    </row>
    <row r="1368" spans="1:8" x14ac:dyDescent="0.3">
      <c r="A1368" t="str">
        <f t="shared" si="42"/>
        <v>SPG</v>
      </c>
      <c r="B1368">
        <f t="shared" si="43"/>
        <v>3724</v>
      </c>
      <c r="E1368" s="1" t="s">
        <v>115</v>
      </c>
      <c r="F1368" s="1">
        <v>246</v>
      </c>
      <c r="G1368" s="1">
        <v>15</v>
      </c>
      <c r="H1368" s="1">
        <v>6.2</v>
      </c>
    </row>
    <row r="1369" spans="1:8" x14ac:dyDescent="0.3">
      <c r="A1369" t="str">
        <f t="shared" si="42"/>
        <v>SPG</v>
      </c>
      <c r="B1369">
        <f t="shared" si="43"/>
        <v>10624</v>
      </c>
      <c r="E1369" s="1" t="s">
        <v>161</v>
      </c>
      <c r="F1369" s="1">
        <v>253</v>
      </c>
      <c r="G1369" s="1">
        <v>6</v>
      </c>
      <c r="H1369" s="1">
        <v>6.1</v>
      </c>
    </row>
    <row r="1370" spans="1:8" x14ac:dyDescent="0.3">
      <c r="A1370" t="str">
        <f t="shared" si="42"/>
        <v>SPG</v>
      </c>
      <c r="B1370">
        <f t="shared" si="43"/>
        <v>2524</v>
      </c>
      <c r="E1370" s="1" t="s">
        <v>92</v>
      </c>
      <c r="F1370" s="1">
        <v>253</v>
      </c>
      <c r="G1370" s="1">
        <v>7</v>
      </c>
      <c r="H1370" s="1">
        <v>6.1</v>
      </c>
    </row>
    <row r="1371" spans="1:8" x14ac:dyDescent="0.3">
      <c r="A1371" t="str">
        <f t="shared" si="42"/>
        <v>SPG</v>
      </c>
      <c r="B1371">
        <f t="shared" si="43"/>
        <v>16124</v>
      </c>
      <c r="E1371" s="1" t="s">
        <v>473</v>
      </c>
      <c r="F1371" s="1">
        <v>262</v>
      </c>
      <c r="G1371" s="1">
        <v>11</v>
      </c>
      <c r="H1371" s="1">
        <v>6</v>
      </c>
    </row>
    <row r="1372" spans="1:8" x14ac:dyDescent="0.3">
      <c r="A1372" t="str">
        <f t="shared" si="42"/>
        <v>SPG</v>
      </c>
      <c r="B1372">
        <f t="shared" si="43"/>
        <v>4924</v>
      </c>
      <c r="E1372" s="1" t="s">
        <v>108</v>
      </c>
      <c r="F1372" s="1">
        <v>267</v>
      </c>
      <c r="G1372" s="1">
        <v>12</v>
      </c>
      <c r="H1372" s="1">
        <v>6</v>
      </c>
    </row>
    <row r="1373" spans="1:8" x14ac:dyDescent="0.3">
      <c r="A1373" t="str">
        <f t="shared" si="42"/>
        <v>SPG</v>
      </c>
      <c r="B1373">
        <f t="shared" si="43"/>
        <v>15824</v>
      </c>
      <c r="E1373" s="1" t="s">
        <v>470</v>
      </c>
      <c r="F1373" s="1">
        <v>268</v>
      </c>
      <c r="G1373" s="1">
        <v>9</v>
      </c>
      <c r="H1373" s="1">
        <v>6</v>
      </c>
    </row>
    <row r="1374" spans="1:8" x14ac:dyDescent="0.3">
      <c r="A1374" t="str">
        <f t="shared" si="42"/>
        <v>SPG</v>
      </c>
      <c r="B1374">
        <f t="shared" si="43"/>
        <v>12524</v>
      </c>
      <c r="E1374" s="1" t="s">
        <v>95</v>
      </c>
      <c r="F1374" s="1">
        <v>288</v>
      </c>
      <c r="G1374" s="1">
        <v>6</v>
      </c>
      <c r="H1374" s="1">
        <v>5.8</v>
      </c>
    </row>
    <row r="1375" spans="1:8" x14ac:dyDescent="0.3">
      <c r="A1375" t="str">
        <f t="shared" si="42"/>
        <v>SPG</v>
      </c>
      <c r="B1375">
        <f t="shared" si="43"/>
        <v>2324</v>
      </c>
      <c r="E1375" s="1" t="s">
        <v>79</v>
      </c>
      <c r="F1375" s="1">
        <v>312</v>
      </c>
      <c r="G1375" s="1">
        <v>8</v>
      </c>
      <c r="H1375" s="1">
        <v>5.4</v>
      </c>
    </row>
    <row r="1376" spans="1:8" x14ac:dyDescent="0.3">
      <c r="A1376" t="str">
        <f t="shared" si="42"/>
        <v>SPG</v>
      </c>
      <c r="B1376">
        <f t="shared" si="43"/>
        <v>7624</v>
      </c>
      <c r="E1376" s="1" t="s">
        <v>253</v>
      </c>
      <c r="F1376" s="1">
        <v>316</v>
      </c>
      <c r="G1376" s="1">
        <v>15</v>
      </c>
      <c r="H1376" s="1">
        <v>5.4</v>
      </c>
    </row>
    <row r="1377" spans="1:10" x14ac:dyDescent="0.3">
      <c r="A1377" t="str">
        <f t="shared" si="42"/>
        <v>SPG</v>
      </c>
      <c r="B1377">
        <f t="shared" si="43"/>
        <v>924</v>
      </c>
      <c r="E1377" s="1" t="s">
        <v>90</v>
      </c>
      <c r="F1377" s="1">
        <v>319</v>
      </c>
      <c r="G1377" s="1">
        <v>16</v>
      </c>
      <c r="H1377" s="1">
        <v>5.3</v>
      </c>
    </row>
    <row r="1378" spans="1:10" x14ac:dyDescent="0.3">
      <c r="A1378" t="str">
        <f t="shared" si="42"/>
        <v>SPG</v>
      </c>
      <c r="B1378">
        <f t="shared" si="43"/>
        <v>1324</v>
      </c>
      <c r="E1378" s="1" t="s">
        <v>82</v>
      </c>
      <c r="F1378" s="1">
        <v>329</v>
      </c>
      <c r="G1378" s="1">
        <v>10</v>
      </c>
      <c r="H1378" s="1">
        <v>5.0999999999999996</v>
      </c>
    </row>
    <row r="1379" spans="1:10" x14ac:dyDescent="0.3">
      <c r="A1379" t="str">
        <f t="shared" si="42"/>
        <v>SPG</v>
      </c>
      <c r="B1379">
        <f t="shared" si="43"/>
        <v>4224</v>
      </c>
      <c r="E1379" s="1" t="s">
        <v>123</v>
      </c>
      <c r="F1379" s="1">
        <v>330</v>
      </c>
      <c r="G1379" s="1">
        <v>17</v>
      </c>
      <c r="H1379" s="1">
        <v>5.0999999999999996</v>
      </c>
    </row>
    <row r="1380" spans="1:10" x14ac:dyDescent="0.3">
      <c r="A1380" t="str">
        <f t="shared" si="42"/>
        <v>SPG</v>
      </c>
      <c r="B1380">
        <f t="shared" si="43"/>
        <v>18524</v>
      </c>
      <c r="E1380" s="1" t="s">
        <v>420</v>
      </c>
      <c r="F1380" s="1">
        <v>337</v>
      </c>
      <c r="G1380" s="1">
        <v>6</v>
      </c>
      <c r="H1380" s="1">
        <v>5</v>
      </c>
    </row>
    <row r="1381" spans="1:10" x14ac:dyDescent="0.3">
      <c r="A1381" t="str">
        <f t="shared" si="42"/>
        <v>SPG</v>
      </c>
      <c r="B1381">
        <f t="shared" si="43"/>
        <v>4324</v>
      </c>
      <c r="E1381" s="1" t="s">
        <v>125</v>
      </c>
      <c r="F1381" s="1">
        <v>350</v>
      </c>
      <c r="G1381" s="1">
        <v>18</v>
      </c>
      <c r="H1381" s="1">
        <v>4.3</v>
      </c>
    </row>
    <row r="1382" spans="1:10" x14ac:dyDescent="0.3">
      <c r="A1382" t="str">
        <f t="shared" si="42"/>
        <v>SPG</v>
      </c>
      <c r="B1382">
        <f t="shared" si="43"/>
        <v>3124</v>
      </c>
      <c r="E1382" s="1" t="s">
        <v>93</v>
      </c>
      <c r="F1382" s="1">
        <v>353</v>
      </c>
      <c r="G1382" s="1">
        <v>11</v>
      </c>
      <c r="H1382" s="1">
        <v>3.6</v>
      </c>
    </row>
    <row r="1383" spans="1:10" x14ac:dyDescent="0.3">
      <c r="A1383" t="str">
        <f t="shared" si="42"/>
        <v>3PTA</v>
      </c>
      <c r="B1383">
        <f t="shared" si="43"/>
        <v>4304</v>
      </c>
      <c r="D1383" s="1" t="s">
        <v>536</v>
      </c>
      <c r="E1383" s="1" t="s">
        <v>125</v>
      </c>
      <c r="F1383" s="1">
        <v>4</v>
      </c>
      <c r="G1383" s="1">
        <v>1</v>
      </c>
      <c r="H1383" s="1">
        <v>30.1</v>
      </c>
      <c r="I1383" s="1" t="s">
        <v>173</v>
      </c>
      <c r="J1383" s="1">
        <v>35.799999999999997</v>
      </c>
    </row>
    <row r="1384" spans="1:10" x14ac:dyDescent="0.3">
      <c r="A1384" t="str">
        <f t="shared" si="42"/>
        <v>3PTA</v>
      </c>
      <c r="B1384">
        <f t="shared" si="43"/>
        <v>3704</v>
      </c>
      <c r="E1384" s="1" t="s">
        <v>115</v>
      </c>
      <c r="F1384" s="1">
        <v>7</v>
      </c>
      <c r="G1384" s="1">
        <v>1</v>
      </c>
      <c r="H1384" s="1">
        <v>29.8</v>
      </c>
    </row>
    <row r="1385" spans="1:10" x14ac:dyDescent="0.3">
      <c r="A1385" t="str">
        <f t="shared" si="42"/>
        <v>3PTA</v>
      </c>
      <c r="B1385">
        <f t="shared" si="43"/>
        <v>8204</v>
      </c>
      <c r="E1385" s="1" t="s">
        <v>131</v>
      </c>
      <c r="F1385" s="1">
        <v>10</v>
      </c>
      <c r="G1385" s="1">
        <v>1</v>
      </c>
      <c r="H1385" s="1">
        <v>29.7</v>
      </c>
    </row>
    <row r="1386" spans="1:10" x14ac:dyDescent="0.3">
      <c r="A1386" t="str">
        <f t="shared" si="42"/>
        <v>3PTA</v>
      </c>
      <c r="B1386">
        <f t="shared" si="43"/>
        <v>15004</v>
      </c>
      <c r="E1386" s="1" t="s">
        <v>463</v>
      </c>
      <c r="F1386" s="1">
        <v>14</v>
      </c>
      <c r="G1386" s="1">
        <v>2</v>
      </c>
      <c r="H1386" s="1">
        <v>29.6</v>
      </c>
    </row>
    <row r="1387" spans="1:10" x14ac:dyDescent="0.3">
      <c r="A1387" t="str">
        <f t="shared" si="42"/>
        <v>3PTA</v>
      </c>
      <c r="B1387">
        <f t="shared" si="43"/>
        <v>3304</v>
      </c>
      <c r="E1387" s="1" t="s">
        <v>91</v>
      </c>
      <c r="F1387" s="1">
        <v>18</v>
      </c>
      <c r="G1387" s="1">
        <v>1</v>
      </c>
      <c r="H1387" s="1">
        <v>29</v>
      </c>
    </row>
    <row r="1388" spans="1:10" x14ac:dyDescent="0.3">
      <c r="A1388" t="str">
        <f t="shared" si="42"/>
        <v>3PTA</v>
      </c>
      <c r="B1388">
        <f t="shared" si="43"/>
        <v>12204</v>
      </c>
      <c r="E1388" s="1" t="s">
        <v>284</v>
      </c>
      <c r="F1388" s="1">
        <v>21</v>
      </c>
      <c r="G1388" s="1">
        <v>1</v>
      </c>
      <c r="H1388" s="1">
        <v>28.6</v>
      </c>
    </row>
    <row r="1389" spans="1:10" x14ac:dyDescent="0.3">
      <c r="A1389" t="str">
        <f t="shared" si="42"/>
        <v>3PTA</v>
      </c>
      <c r="B1389">
        <f t="shared" si="43"/>
        <v>2704</v>
      </c>
      <c r="E1389" s="1" t="s">
        <v>7</v>
      </c>
      <c r="F1389" s="1">
        <v>23</v>
      </c>
      <c r="G1389" s="1">
        <v>1</v>
      </c>
      <c r="H1389" s="1">
        <v>28.6</v>
      </c>
    </row>
    <row r="1390" spans="1:10" x14ac:dyDescent="0.3">
      <c r="A1390" t="str">
        <f t="shared" si="42"/>
        <v>3PTA</v>
      </c>
      <c r="B1390">
        <f t="shared" si="43"/>
        <v>13104</v>
      </c>
      <c r="E1390" s="1" t="s">
        <v>289</v>
      </c>
      <c r="F1390" s="1">
        <v>24</v>
      </c>
      <c r="G1390" s="1">
        <v>1</v>
      </c>
      <c r="H1390" s="1">
        <v>28.5</v>
      </c>
    </row>
    <row r="1391" spans="1:10" x14ac:dyDescent="0.3">
      <c r="A1391" t="str">
        <f t="shared" si="42"/>
        <v>3PTA</v>
      </c>
      <c r="B1391">
        <f t="shared" si="43"/>
        <v>4204</v>
      </c>
      <c r="E1391" s="1" t="s">
        <v>123</v>
      </c>
      <c r="F1391" s="1">
        <v>26</v>
      </c>
      <c r="G1391" s="1">
        <v>2</v>
      </c>
      <c r="H1391" s="1">
        <v>28.4</v>
      </c>
    </row>
    <row r="1392" spans="1:10" x14ac:dyDescent="0.3">
      <c r="A1392" t="str">
        <f t="shared" si="42"/>
        <v>3PTA</v>
      </c>
      <c r="B1392">
        <f t="shared" si="43"/>
        <v>15804</v>
      </c>
      <c r="E1392" s="1" t="s">
        <v>470</v>
      </c>
      <c r="F1392" s="1">
        <v>27</v>
      </c>
      <c r="G1392" s="1">
        <v>4</v>
      </c>
      <c r="H1392" s="1">
        <v>28.3</v>
      </c>
    </row>
    <row r="1393" spans="1:8" x14ac:dyDescent="0.3">
      <c r="A1393" t="str">
        <f t="shared" si="42"/>
        <v>3PTA</v>
      </c>
      <c r="B1393">
        <f t="shared" si="43"/>
        <v>3104</v>
      </c>
      <c r="E1393" s="1" t="s">
        <v>93</v>
      </c>
      <c r="F1393" s="1">
        <v>31</v>
      </c>
      <c r="G1393" s="1">
        <v>2</v>
      </c>
      <c r="H1393" s="1">
        <v>27.7</v>
      </c>
    </row>
    <row r="1394" spans="1:8" x14ac:dyDescent="0.3">
      <c r="A1394" t="str">
        <f t="shared" si="42"/>
        <v>3PTA</v>
      </c>
      <c r="B1394">
        <f t="shared" si="43"/>
        <v>8304</v>
      </c>
      <c r="E1394" s="1" t="s">
        <v>257</v>
      </c>
      <c r="F1394" s="1">
        <v>35</v>
      </c>
      <c r="G1394" s="1">
        <v>4</v>
      </c>
      <c r="H1394" s="1">
        <v>27.5</v>
      </c>
    </row>
    <row r="1395" spans="1:8" x14ac:dyDescent="0.3">
      <c r="A1395" t="str">
        <f t="shared" si="42"/>
        <v>3PTA</v>
      </c>
      <c r="B1395">
        <f t="shared" si="43"/>
        <v>5704</v>
      </c>
      <c r="E1395" s="1" t="s">
        <v>120</v>
      </c>
      <c r="F1395" s="1">
        <v>41</v>
      </c>
      <c r="G1395" s="1">
        <v>2</v>
      </c>
      <c r="H1395" s="1">
        <v>27.4</v>
      </c>
    </row>
    <row r="1396" spans="1:8" x14ac:dyDescent="0.3">
      <c r="A1396" t="str">
        <f t="shared" si="42"/>
        <v>3PTA</v>
      </c>
      <c r="B1396">
        <f t="shared" si="43"/>
        <v>5104</v>
      </c>
      <c r="E1396" s="1" t="s">
        <v>240</v>
      </c>
      <c r="F1396" s="1">
        <v>44</v>
      </c>
      <c r="G1396" s="1">
        <v>2</v>
      </c>
      <c r="H1396" s="1">
        <v>27.4</v>
      </c>
    </row>
    <row r="1397" spans="1:8" x14ac:dyDescent="0.3">
      <c r="A1397" t="str">
        <f t="shared" si="42"/>
        <v>3PTA</v>
      </c>
      <c r="B1397">
        <f t="shared" si="43"/>
        <v>7204</v>
      </c>
      <c r="E1397" s="1" t="s">
        <v>116</v>
      </c>
      <c r="F1397" s="1">
        <v>45</v>
      </c>
      <c r="G1397" s="1">
        <v>2</v>
      </c>
      <c r="H1397" s="1">
        <v>27.3</v>
      </c>
    </row>
    <row r="1398" spans="1:8" x14ac:dyDescent="0.3">
      <c r="A1398" t="str">
        <f t="shared" si="42"/>
        <v>3PTA</v>
      </c>
      <c r="B1398">
        <f t="shared" si="43"/>
        <v>16204</v>
      </c>
      <c r="E1398" s="1" t="s">
        <v>497</v>
      </c>
      <c r="F1398" s="1">
        <v>46</v>
      </c>
      <c r="G1398" s="1">
        <v>1</v>
      </c>
      <c r="H1398" s="1">
        <v>27.2</v>
      </c>
    </row>
    <row r="1399" spans="1:8" x14ac:dyDescent="0.3">
      <c r="A1399" t="str">
        <f t="shared" si="42"/>
        <v>3PTA</v>
      </c>
      <c r="B1399">
        <f t="shared" si="43"/>
        <v>1604</v>
      </c>
      <c r="E1399" s="1" t="s">
        <v>137</v>
      </c>
      <c r="F1399" s="1">
        <v>48</v>
      </c>
      <c r="G1399" s="1">
        <v>3</v>
      </c>
      <c r="H1399" s="1">
        <v>26.9</v>
      </c>
    </row>
    <row r="1400" spans="1:8" x14ac:dyDescent="0.3">
      <c r="A1400" t="str">
        <f t="shared" si="42"/>
        <v>3PTA</v>
      </c>
      <c r="B1400">
        <f t="shared" si="43"/>
        <v>5404</v>
      </c>
      <c r="E1400" s="1" t="s">
        <v>94</v>
      </c>
      <c r="F1400" s="1">
        <v>58</v>
      </c>
      <c r="G1400" s="1">
        <v>2</v>
      </c>
      <c r="H1400" s="1">
        <v>26.2</v>
      </c>
    </row>
    <row r="1401" spans="1:8" x14ac:dyDescent="0.3">
      <c r="A1401" t="str">
        <f t="shared" si="42"/>
        <v>3PTA</v>
      </c>
      <c r="B1401">
        <f t="shared" si="43"/>
        <v>15704</v>
      </c>
      <c r="E1401" s="1" t="s">
        <v>469</v>
      </c>
      <c r="F1401" s="1">
        <v>65</v>
      </c>
      <c r="G1401" s="1">
        <v>5</v>
      </c>
      <c r="H1401" s="1">
        <v>25.8</v>
      </c>
    </row>
    <row r="1402" spans="1:8" x14ac:dyDescent="0.3">
      <c r="A1402" t="str">
        <f t="shared" si="42"/>
        <v>3PTA</v>
      </c>
      <c r="B1402">
        <f t="shared" si="43"/>
        <v>18504</v>
      </c>
      <c r="E1402" s="1" t="s">
        <v>420</v>
      </c>
      <c r="F1402" s="1">
        <v>67</v>
      </c>
      <c r="G1402" s="1">
        <v>2</v>
      </c>
      <c r="H1402" s="1">
        <v>25.8</v>
      </c>
    </row>
    <row r="1403" spans="1:8" x14ac:dyDescent="0.3">
      <c r="A1403" t="str">
        <f t="shared" si="42"/>
        <v>3PTA</v>
      </c>
      <c r="B1403">
        <f t="shared" si="43"/>
        <v>5504</v>
      </c>
      <c r="E1403" s="1" t="s">
        <v>86</v>
      </c>
      <c r="F1403" s="1">
        <v>75</v>
      </c>
      <c r="G1403" s="1">
        <v>5</v>
      </c>
      <c r="H1403" s="1">
        <v>25.3</v>
      </c>
    </row>
    <row r="1404" spans="1:8" x14ac:dyDescent="0.3">
      <c r="A1404" t="str">
        <f t="shared" si="42"/>
        <v>3PTA</v>
      </c>
      <c r="B1404">
        <f t="shared" si="43"/>
        <v>4504</v>
      </c>
      <c r="E1404" s="1" t="s">
        <v>84</v>
      </c>
      <c r="F1404" s="1">
        <v>78</v>
      </c>
      <c r="G1404" s="1">
        <v>6</v>
      </c>
      <c r="H1404" s="1">
        <v>25.2</v>
      </c>
    </row>
    <row r="1405" spans="1:8" x14ac:dyDescent="0.3">
      <c r="A1405" t="str">
        <f t="shared" si="42"/>
        <v>3PTA</v>
      </c>
      <c r="B1405">
        <f t="shared" si="43"/>
        <v>14404</v>
      </c>
      <c r="E1405" s="1" t="s">
        <v>302</v>
      </c>
      <c r="F1405" s="1">
        <v>82</v>
      </c>
      <c r="G1405" s="1">
        <v>7</v>
      </c>
      <c r="H1405" s="1">
        <v>24.9</v>
      </c>
    </row>
    <row r="1406" spans="1:8" x14ac:dyDescent="0.3">
      <c r="A1406" t="str">
        <f t="shared" si="42"/>
        <v>3PTA</v>
      </c>
      <c r="B1406">
        <f t="shared" si="43"/>
        <v>18404</v>
      </c>
      <c r="E1406" s="1" t="s">
        <v>417</v>
      </c>
      <c r="F1406" s="1">
        <v>85</v>
      </c>
      <c r="G1406" s="1">
        <v>1</v>
      </c>
      <c r="H1406" s="1">
        <v>24.8</v>
      </c>
    </row>
    <row r="1407" spans="1:8" x14ac:dyDescent="0.3">
      <c r="A1407" t="str">
        <f t="shared" si="42"/>
        <v>3PTA</v>
      </c>
      <c r="B1407">
        <f t="shared" si="43"/>
        <v>1404</v>
      </c>
      <c r="E1407" s="1" t="s">
        <v>102</v>
      </c>
      <c r="F1407" s="1">
        <v>86</v>
      </c>
      <c r="G1407" s="1">
        <v>1</v>
      </c>
      <c r="H1407" s="1">
        <v>24.8</v>
      </c>
    </row>
    <row r="1408" spans="1:8" x14ac:dyDescent="0.3">
      <c r="A1408" t="str">
        <f t="shared" si="42"/>
        <v>3PTA</v>
      </c>
      <c r="B1408">
        <f t="shared" si="43"/>
        <v>15604</v>
      </c>
      <c r="E1408" s="1" t="s">
        <v>468</v>
      </c>
      <c r="F1408" s="1">
        <v>98</v>
      </c>
      <c r="G1408" s="1">
        <v>2</v>
      </c>
      <c r="H1408" s="1">
        <v>24.5</v>
      </c>
    </row>
    <row r="1409" spans="1:8" x14ac:dyDescent="0.3">
      <c r="A1409" t="str">
        <f t="shared" si="42"/>
        <v>3PTA</v>
      </c>
      <c r="B1409">
        <f t="shared" si="43"/>
        <v>2304</v>
      </c>
      <c r="E1409" s="1" t="s">
        <v>79</v>
      </c>
      <c r="F1409" s="1">
        <v>100</v>
      </c>
      <c r="G1409" s="1">
        <v>5</v>
      </c>
      <c r="H1409" s="1">
        <v>24.5</v>
      </c>
    </row>
    <row r="1410" spans="1:8" x14ac:dyDescent="0.3">
      <c r="A1410" t="str">
        <f t="shared" ref="A1410:A1473" si="44">IF(NOT(D1410=""),INDEX(statAbbr,MATCH(D1410,statOfficial,0),1),A1409)</f>
        <v>3PTA</v>
      </c>
      <c r="B1410">
        <f t="shared" ref="B1410:B1473" si="45">INDEX(statID,MATCH(A1410,statAbbr,0),1)+INDEX(teamID,MATCH(E1410,teamRawName,0))</f>
        <v>7604</v>
      </c>
      <c r="E1410" s="1" t="s">
        <v>253</v>
      </c>
      <c r="F1410" s="1">
        <v>101</v>
      </c>
      <c r="G1410" s="1">
        <v>4</v>
      </c>
      <c r="H1410" s="1">
        <v>24.5</v>
      </c>
    </row>
    <row r="1411" spans="1:8" x14ac:dyDescent="0.3">
      <c r="A1411" t="str">
        <f t="shared" si="44"/>
        <v>3PTA</v>
      </c>
      <c r="B1411">
        <f t="shared" si="45"/>
        <v>3504</v>
      </c>
      <c r="E1411" s="1" t="s">
        <v>87</v>
      </c>
      <c r="F1411" s="1">
        <v>110</v>
      </c>
      <c r="G1411" s="1">
        <v>8</v>
      </c>
      <c r="H1411" s="1">
        <v>24.4</v>
      </c>
    </row>
    <row r="1412" spans="1:8" x14ac:dyDescent="0.3">
      <c r="A1412" t="str">
        <f t="shared" si="44"/>
        <v>3PTA</v>
      </c>
      <c r="B1412">
        <f t="shared" si="45"/>
        <v>15904</v>
      </c>
      <c r="E1412" s="1" t="s">
        <v>495</v>
      </c>
      <c r="F1412" s="1">
        <v>114</v>
      </c>
      <c r="G1412" s="1">
        <v>2</v>
      </c>
      <c r="H1412" s="1">
        <v>24.2</v>
      </c>
    </row>
    <row r="1413" spans="1:8" x14ac:dyDescent="0.3">
      <c r="A1413" t="str">
        <f t="shared" si="44"/>
        <v>3PTA</v>
      </c>
      <c r="B1413">
        <f t="shared" si="45"/>
        <v>3204</v>
      </c>
      <c r="E1413" s="1" t="s">
        <v>127</v>
      </c>
      <c r="F1413" s="1">
        <v>115</v>
      </c>
      <c r="G1413" s="1">
        <v>7</v>
      </c>
      <c r="H1413" s="1">
        <v>24.2</v>
      </c>
    </row>
    <row r="1414" spans="1:8" x14ac:dyDescent="0.3">
      <c r="A1414" t="str">
        <f t="shared" si="44"/>
        <v>3PTA</v>
      </c>
      <c r="B1414">
        <f t="shared" si="45"/>
        <v>304</v>
      </c>
      <c r="E1414" s="1" t="s">
        <v>215</v>
      </c>
      <c r="F1414" s="1">
        <v>121</v>
      </c>
      <c r="G1414" s="1">
        <v>9</v>
      </c>
      <c r="H1414" s="1">
        <v>24</v>
      </c>
    </row>
    <row r="1415" spans="1:8" x14ac:dyDescent="0.3">
      <c r="A1415" t="str">
        <f t="shared" si="44"/>
        <v>3PTA</v>
      </c>
      <c r="B1415">
        <f t="shared" si="45"/>
        <v>1304</v>
      </c>
      <c r="E1415" s="1" t="s">
        <v>82</v>
      </c>
      <c r="F1415" s="1">
        <v>128</v>
      </c>
      <c r="G1415" s="1">
        <v>3</v>
      </c>
      <c r="H1415" s="1">
        <v>23.8</v>
      </c>
    </row>
    <row r="1416" spans="1:8" x14ac:dyDescent="0.3">
      <c r="A1416" t="str">
        <f t="shared" si="44"/>
        <v>3PTA</v>
      </c>
      <c r="B1416">
        <f t="shared" si="45"/>
        <v>14104</v>
      </c>
      <c r="E1416" s="1" t="s">
        <v>299</v>
      </c>
      <c r="F1416" s="1">
        <v>130</v>
      </c>
      <c r="G1416" s="1">
        <v>10</v>
      </c>
      <c r="H1416" s="1">
        <v>23.7</v>
      </c>
    </row>
    <row r="1417" spans="1:8" x14ac:dyDescent="0.3">
      <c r="A1417" t="str">
        <f t="shared" si="44"/>
        <v>3PTA</v>
      </c>
      <c r="B1417">
        <f t="shared" si="45"/>
        <v>14904</v>
      </c>
      <c r="E1417" s="1" t="s">
        <v>307</v>
      </c>
      <c r="F1417" s="1">
        <v>144</v>
      </c>
      <c r="G1417" s="1">
        <v>3</v>
      </c>
      <c r="H1417" s="1">
        <v>23.3</v>
      </c>
    </row>
    <row r="1418" spans="1:8" x14ac:dyDescent="0.3">
      <c r="A1418" t="str">
        <f t="shared" si="44"/>
        <v>3PTA</v>
      </c>
      <c r="B1418">
        <f t="shared" si="45"/>
        <v>3804</v>
      </c>
      <c r="E1418" s="1" t="s">
        <v>238</v>
      </c>
      <c r="F1418" s="1">
        <v>146</v>
      </c>
      <c r="G1418" s="1">
        <v>11</v>
      </c>
      <c r="H1418" s="1">
        <v>23.2</v>
      </c>
    </row>
    <row r="1419" spans="1:8" x14ac:dyDescent="0.3">
      <c r="A1419" t="str">
        <f t="shared" si="44"/>
        <v>3PTA</v>
      </c>
      <c r="B1419">
        <f t="shared" si="45"/>
        <v>1204</v>
      </c>
      <c r="E1419" s="1" t="s">
        <v>130</v>
      </c>
      <c r="F1419" s="1">
        <v>149</v>
      </c>
      <c r="G1419" s="1">
        <v>6</v>
      </c>
      <c r="H1419" s="1">
        <v>23.1</v>
      </c>
    </row>
    <row r="1420" spans="1:8" x14ac:dyDescent="0.3">
      <c r="A1420" t="str">
        <f t="shared" si="44"/>
        <v>3PTA</v>
      </c>
      <c r="B1420">
        <f t="shared" si="45"/>
        <v>16104</v>
      </c>
      <c r="E1420" s="1" t="s">
        <v>473</v>
      </c>
      <c r="F1420" s="1">
        <v>159</v>
      </c>
      <c r="G1420" s="1">
        <v>5</v>
      </c>
      <c r="H1420" s="1">
        <v>23</v>
      </c>
    </row>
    <row r="1421" spans="1:8" x14ac:dyDescent="0.3">
      <c r="A1421" t="str">
        <f t="shared" si="44"/>
        <v>3PTA</v>
      </c>
      <c r="B1421">
        <f t="shared" si="45"/>
        <v>4004</v>
      </c>
      <c r="E1421" s="1" t="s">
        <v>105</v>
      </c>
      <c r="F1421" s="1">
        <v>160</v>
      </c>
      <c r="G1421" s="1">
        <v>5</v>
      </c>
      <c r="H1421" s="1">
        <v>23</v>
      </c>
    </row>
    <row r="1422" spans="1:8" x14ac:dyDescent="0.3">
      <c r="A1422" t="str">
        <f t="shared" si="44"/>
        <v>3PTA</v>
      </c>
      <c r="B1422">
        <f t="shared" si="45"/>
        <v>10604</v>
      </c>
      <c r="E1422" s="1" t="s">
        <v>161</v>
      </c>
      <c r="F1422" s="1">
        <v>168</v>
      </c>
      <c r="G1422" s="1">
        <v>4</v>
      </c>
      <c r="H1422" s="1">
        <v>22.8</v>
      </c>
    </row>
    <row r="1423" spans="1:8" x14ac:dyDescent="0.3">
      <c r="A1423" t="str">
        <f t="shared" si="44"/>
        <v>3PTA</v>
      </c>
      <c r="B1423">
        <f t="shared" si="45"/>
        <v>3604</v>
      </c>
      <c r="E1423" s="1" t="s">
        <v>129</v>
      </c>
      <c r="F1423" s="1">
        <v>171</v>
      </c>
      <c r="G1423" s="1">
        <v>12</v>
      </c>
      <c r="H1423" s="1">
        <v>22.7</v>
      </c>
    </row>
    <row r="1424" spans="1:8" x14ac:dyDescent="0.3">
      <c r="A1424" t="str">
        <f t="shared" si="44"/>
        <v>3PTA</v>
      </c>
      <c r="B1424">
        <f t="shared" si="45"/>
        <v>6904</v>
      </c>
      <c r="E1424" s="1" t="s">
        <v>114</v>
      </c>
      <c r="F1424" s="1">
        <v>180</v>
      </c>
      <c r="G1424" s="1">
        <v>5</v>
      </c>
      <c r="H1424" s="1">
        <v>22.5</v>
      </c>
    </row>
    <row r="1425" spans="1:8" x14ac:dyDescent="0.3">
      <c r="A1425" t="str">
        <f t="shared" si="44"/>
        <v>3PTA</v>
      </c>
      <c r="B1425">
        <f t="shared" si="45"/>
        <v>4904</v>
      </c>
      <c r="E1425" s="1" t="s">
        <v>108</v>
      </c>
      <c r="F1425" s="1">
        <v>187</v>
      </c>
      <c r="G1425" s="1">
        <v>9</v>
      </c>
      <c r="H1425" s="1">
        <v>22.4</v>
      </c>
    </row>
    <row r="1426" spans="1:8" x14ac:dyDescent="0.3">
      <c r="A1426" t="str">
        <f t="shared" si="44"/>
        <v>3PTA</v>
      </c>
      <c r="B1426">
        <f t="shared" si="45"/>
        <v>15404</v>
      </c>
      <c r="E1426" s="1" t="s">
        <v>494</v>
      </c>
      <c r="F1426" s="1">
        <v>204</v>
      </c>
      <c r="G1426" s="1">
        <v>3</v>
      </c>
      <c r="H1426" s="1">
        <v>22</v>
      </c>
    </row>
    <row r="1427" spans="1:8" x14ac:dyDescent="0.3">
      <c r="A1427" t="str">
        <f t="shared" si="44"/>
        <v>3PTA</v>
      </c>
      <c r="B1427">
        <f t="shared" si="45"/>
        <v>15104</v>
      </c>
      <c r="E1427" s="1" t="s">
        <v>464</v>
      </c>
      <c r="F1427" s="1">
        <v>213</v>
      </c>
      <c r="G1427" s="1">
        <v>8</v>
      </c>
      <c r="H1427" s="1">
        <v>21.7</v>
      </c>
    </row>
    <row r="1428" spans="1:8" x14ac:dyDescent="0.3">
      <c r="A1428" t="str">
        <f t="shared" si="44"/>
        <v>3PTA</v>
      </c>
      <c r="B1428">
        <f t="shared" si="45"/>
        <v>11104</v>
      </c>
      <c r="E1428" s="1" t="s">
        <v>277</v>
      </c>
      <c r="F1428" s="1">
        <v>216</v>
      </c>
      <c r="G1428" s="1">
        <v>9</v>
      </c>
      <c r="H1428" s="1">
        <v>21.7</v>
      </c>
    </row>
    <row r="1429" spans="1:8" x14ac:dyDescent="0.3">
      <c r="A1429" t="str">
        <f t="shared" si="44"/>
        <v>3PTA</v>
      </c>
      <c r="B1429">
        <f t="shared" si="45"/>
        <v>3004</v>
      </c>
      <c r="E1429" s="1" t="s">
        <v>89</v>
      </c>
      <c r="F1429" s="1">
        <v>221</v>
      </c>
      <c r="G1429" s="1">
        <v>10</v>
      </c>
      <c r="H1429" s="1">
        <v>21.6</v>
      </c>
    </row>
    <row r="1430" spans="1:8" x14ac:dyDescent="0.3">
      <c r="A1430" t="str">
        <f t="shared" si="44"/>
        <v>3PTA</v>
      </c>
      <c r="B1430">
        <f t="shared" si="45"/>
        <v>8104</v>
      </c>
      <c r="E1430" s="1" t="s">
        <v>256</v>
      </c>
      <c r="F1430" s="1">
        <v>225</v>
      </c>
      <c r="G1430" s="1">
        <v>13</v>
      </c>
      <c r="H1430" s="1">
        <v>21.5</v>
      </c>
    </row>
    <row r="1431" spans="1:8" x14ac:dyDescent="0.3">
      <c r="A1431" t="str">
        <f t="shared" si="44"/>
        <v>3PTA</v>
      </c>
      <c r="B1431">
        <f t="shared" si="45"/>
        <v>7404</v>
      </c>
      <c r="E1431" s="1" t="s">
        <v>251</v>
      </c>
      <c r="F1431" s="1">
        <v>231</v>
      </c>
      <c r="G1431" s="1">
        <v>9</v>
      </c>
      <c r="H1431" s="1">
        <v>21.4</v>
      </c>
    </row>
    <row r="1432" spans="1:8" x14ac:dyDescent="0.3">
      <c r="A1432" t="str">
        <f t="shared" si="44"/>
        <v>3PTA</v>
      </c>
      <c r="B1432">
        <f t="shared" si="45"/>
        <v>604</v>
      </c>
      <c r="E1432" s="1" t="s">
        <v>100</v>
      </c>
      <c r="F1432" s="1">
        <v>234</v>
      </c>
      <c r="G1432" s="1">
        <v>10</v>
      </c>
      <c r="H1432" s="1">
        <v>21.4</v>
      </c>
    </row>
    <row r="1433" spans="1:8" x14ac:dyDescent="0.3">
      <c r="A1433" t="str">
        <f t="shared" si="44"/>
        <v>3PTA</v>
      </c>
      <c r="B1433">
        <f t="shared" si="45"/>
        <v>2904</v>
      </c>
      <c r="E1433" s="1" t="s">
        <v>96</v>
      </c>
      <c r="F1433" s="1">
        <v>237</v>
      </c>
      <c r="G1433" s="1">
        <v>11</v>
      </c>
      <c r="H1433" s="1">
        <v>21.3</v>
      </c>
    </row>
    <row r="1434" spans="1:8" x14ac:dyDescent="0.3">
      <c r="A1434" t="str">
        <f t="shared" si="44"/>
        <v>3PTA</v>
      </c>
      <c r="B1434">
        <f t="shared" si="45"/>
        <v>4404</v>
      </c>
      <c r="E1434" s="1" t="s">
        <v>83</v>
      </c>
      <c r="F1434" s="1">
        <v>241</v>
      </c>
      <c r="G1434" s="1">
        <v>8</v>
      </c>
      <c r="H1434" s="1">
        <v>21.2</v>
      </c>
    </row>
    <row r="1435" spans="1:8" x14ac:dyDescent="0.3">
      <c r="A1435" t="str">
        <f t="shared" si="44"/>
        <v>3PTA</v>
      </c>
      <c r="B1435">
        <f t="shared" si="45"/>
        <v>204</v>
      </c>
      <c r="E1435" s="1" t="s">
        <v>98</v>
      </c>
      <c r="F1435" s="1">
        <v>243</v>
      </c>
      <c r="G1435" s="1">
        <v>5</v>
      </c>
      <c r="H1435" s="1">
        <v>21.2</v>
      </c>
    </row>
    <row r="1436" spans="1:8" x14ac:dyDescent="0.3">
      <c r="A1436" t="str">
        <f t="shared" si="44"/>
        <v>3PTA</v>
      </c>
      <c r="B1436">
        <f t="shared" si="45"/>
        <v>9004</v>
      </c>
      <c r="E1436" s="1" t="s">
        <v>261</v>
      </c>
      <c r="F1436" s="1">
        <v>245</v>
      </c>
      <c r="G1436" s="1">
        <v>11</v>
      </c>
      <c r="H1436" s="1">
        <v>21</v>
      </c>
    </row>
    <row r="1437" spans="1:8" x14ac:dyDescent="0.3">
      <c r="A1437" t="str">
        <f t="shared" si="44"/>
        <v>3PTA</v>
      </c>
      <c r="B1437">
        <f t="shared" si="45"/>
        <v>3904</v>
      </c>
      <c r="E1437" s="1" t="s">
        <v>88</v>
      </c>
      <c r="F1437" s="1">
        <v>246</v>
      </c>
      <c r="G1437" s="1">
        <v>12</v>
      </c>
      <c r="H1437" s="1">
        <v>21</v>
      </c>
    </row>
    <row r="1438" spans="1:8" x14ac:dyDescent="0.3">
      <c r="A1438" t="str">
        <f t="shared" si="44"/>
        <v>3PTA</v>
      </c>
      <c r="B1438">
        <f t="shared" si="45"/>
        <v>13904</v>
      </c>
      <c r="E1438" s="1" t="s">
        <v>297</v>
      </c>
      <c r="F1438" s="1">
        <v>247</v>
      </c>
      <c r="G1438" s="1">
        <v>15</v>
      </c>
      <c r="H1438" s="1">
        <v>21</v>
      </c>
    </row>
    <row r="1439" spans="1:8" x14ac:dyDescent="0.3">
      <c r="A1439" t="str">
        <f t="shared" si="44"/>
        <v>3PTA</v>
      </c>
      <c r="B1439">
        <f t="shared" si="45"/>
        <v>6704</v>
      </c>
      <c r="E1439" s="1" t="s">
        <v>118</v>
      </c>
      <c r="F1439" s="1">
        <v>254</v>
      </c>
      <c r="G1439" s="1">
        <v>16</v>
      </c>
      <c r="H1439" s="1">
        <v>20.8</v>
      </c>
    </row>
    <row r="1440" spans="1:8" x14ac:dyDescent="0.3">
      <c r="A1440" t="str">
        <f t="shared" si="44"/>
        <v>3PTA</v>
      </c>
      <c r="B1440">
        <f t="shared" si="45"/>
        <v>2804</v>
      </c>
      <c r="E1440" s="1" t="s">
        <v>106</v>
      </c>
      <c r="F1440" s="1">
        <v>260</v>
      </c>
      <c r="G1440" s="1">
        <v>13</v>
      </c>
      <c r="H1440" s="1">
        <v>20.7</v>
      </c>
    </row>
    <row r="1441" spans="1:10" x14ac:dyDescent="0.3">
      <c r="A1441" t="str">
        <f t="shared" si="44"/>
        <v>3PTA</v>
      </c>
      <c r="B1441">
        <f t="shared" si="45"/>
        <v>11704</v>
      </c>
      <c r="E1441" s="1" t="s">
        <v>280</v>
      </c>
      <c r="F1441" s="1">
        <v>269</v>
      </c>
      <c r="G1441" s="1">
        <v>9</v>
      </c>
      <c r="H1441" s="1">
        <v>20.5</v>
      </c>
    </row>
    <row r="1442" spans="1:10" x14ac:dyDescent="0.3">
      <c r="A1442" t="str">
        <f t="shared" si="44"/>
        <v>3PTA</v>
      </c>
      <c r="B1442">
        <f t="shared" si="45"/>
        <v>9304</v>
      </c>
      <c r="E1442" s="1" t="s">
        <v>357</v>
      </c>
      <c r="F1442" s="1">
        <v>276</v>
      </c>
      <c r="G1442" s="1">
        <v>10</v>
      </c>
      <c r="H1442" s="1">
        <v>20.399999999999999</v>
      </c>
    </row>
    <row r="1443" spans="1:10" x14ac:dyDescent="0.3">
      <c r="A1443" t="str">
        <f t="shared" si="44"/>
        <v>3PTA</v>
      </c>
      <c r="B1443">
        <f t="shared" si="45"/>
        <v>4704</v>
      </c>
      <c r="E1443" s="1" t="s">
        <v>107</v>
      </c>
      <c r="F1443" s="1">
        <v>286</v>
      </c>
      <c r="G1443" s="1">
        <v>10</v>
      </c>
      <c r="H1443" s="1">
        <v>20</v>
      </c>
    </row>
    <row r="1444" spans="1:10" x14ac:dyDescent="0.3">
      <c r="A1444" t="str">
        <f t="shared" si="44"/>
        <v>3PTA</v>
      </c>
      <c r="B1444">
        <f t="shared" si="45"/>
        <v>2504</v>
      </c>
      <c r="E1444" s="1" t="s">
        <v>92</v>
      </c>
      <c r="F1444" s="1">
        <v>290</v>
      </c>
      <c r="G1444" s="1">
        <v>10</v>
      </c>
      <c r="H1444" s="1">
        <v>19.899999999999999</v>
      </c>
    </row>
    <row r="1445" spans="1:10" x14ac:dyDescent="0.3">
      <c r="A1445" t="str">
        <f t="shared" si="44"/>
        <v>3PTA</v>
      </c>
      <c r="B1445">
        <f t="shared" si="45"/>
        <v>5804</v>
      </c>
      <c r="E1445" s="1" t="s">
        <v>139</v>
      </c>
      <c r="F1445" s="1">
        <v>291</v>
      </c>
      <c r="G1445" s="1">
        <v>5</v>
      </c>
      <c r="H1445" s="1">
        <v>19.899999999999999</v>
      </c>
    </row>
    <row r="1446" spans="1:10" x14ac:dyDescent="0.3">
      <c r="A1446" t="str">
        <f t="shared" si="44"/>
        <v>3PTA</v>
      </c>
      <c r="B1446">
        <f t="shared" si="45"/>
        <v>6604</v>
      </c>
      <c r="E1446" s="1" t="s">
        <v>247</v>
      </c>
      <c r="F1446" s="1">
        <v>296</v>
      </c>
      <c r="G1446" s="1">
        <v>9</v>
      </c>
      <c r="H1446" s="1">
        <v>19.8</v>
      </c>
    </row>
    <row r="1447" spans="1:10" x14ac:dyDescent="0.3">
      <c r="A1447" t="str">
        <f t="shared" si="44"/>
        <v>3PTA</v>
      </c>
      <c r="B1447">
        <f t="shared" si="45"/>
        <v>12504</v>
      </c>
      <c r="E1447" s="1" t="s">
        <v>95</v>
      </c>
      <c r="F1447" s="1">
        <v>298</v>
      </c>
      <c r="G1447" s="1">
        <v>8</v>
      </c>
      <c r="H1447" s="1">
        <v>19.7</v>
      </c>
    </row>
    <row r="1448" spans="1:10" x14ac:dyDescent="0.3">
      <c r="A1448" t="str">
        <f t="shared" si="44"/>
        <v>3PTA</v>
      </c>
      <c r="B1448">
        <f t="shared" si="45"/>
        <v>904</v>
      </c>
      <c r="E1448" s="1" t="s">
        <v>90</v>
      </c>
      <c r="F1448" s="1">
        <v>311</v>
      </c>
      <c r="G1448" s="1">
        <v>18</v>
      </c>
      <c r="H1448" s="1">
        <v>19.5</v>
      </c>
    </row>
    <row r="1449" spans="1:10" x14ac:dyDescent="0.3">
      <c r="A1449" t="str">
        <f t="shared" si="44"/>
        <v>3PTA</v>
      </c>
      <c r="B1449">
        <f t="shared" si="45"/>
        <v>9504</v>
      </c>
      <c r="E1449" s="1" t="s">
        <v>85</v>
      </c>
      <c r="F1449" s="1">
        <v>333</v>
      </c>
      <c r="G1449" s="1">
        <v>12</v>
      </c>
      <c r="H1449" s="1">
        <v>18.399999999999999</v>
      </c>
    </row>
    <row r="1450" spans="1:10" x14ac:dyDescent="0.3">
      <c r="A1450" t="str">
        <f t="shared" si="44"/>
        <v>3PTA</v>
      </c>
      <c r="B1450">
        <f t="shared" si="45"/>
        <v>18304</v>
      </c>
      <c r="E1450" s="1" t="s">
        <v>423</v>
      </c>
      <c r="F1450" s="1">
        <v>344</v>
      </c>
      <c r="G1450" s="1">
        <v>11</v>
      </c>
      <c r="H1450" s="1">
        <v>17.100000000000001</v>
      </c>
    </row>
    <row r="1451" spans="1:10" x14ac:dyDescent="0.3">
      <c r="A1451" t="str">
        <f t="shared" si="44"/>
        <v>3PTA</v>
      </c>
      <c r="B1451">
        <f t="shared" si="45"/>
        <v>2004</v>
      </c>
      <c r="E1451" s="1" t="s">
        <v>328</v>
      </c>
      <c r="F1451" s="1">
        <v>349</v>
      </c>
      <c r="G1451" s="1">
        <v>6</v>
      </c>
      <c r="H1451" s="1">
        <v>16.2</v>
      </c>
    </row>
    <row r="1452" spans="1:10" x14ac:dyDescent="0.3">
      <c r="A1452" t="str">
        <f t="shared" si="44"/>
        <v>3PT%</v>
      </c>
      <c r="B1452">
        <f t="shared" si="45"/>
        <v>2803</v>
      </c>
      <c r="D1452" s="1" t="s">
        <v>535</v>
      </c>
      <c r="E1452" s="1" t="s">
        <v>106</v>
      </c>
      <c r="F1452" s="1">
        <v>4</v>
      </c>
      <c r="G1452" s="1">
        <v>1</v>
      </c>
      <c r="H1452" s="1">
        <v>39.4</v>
      </c>
      <c r="I1452" s="1" t="s">
        <v>293</v>
      </c>
      <c r="J1452" s="1">
        <v>39.799999999999997</v>
      </c>
    </row>
    <row r="1453" spans="1:10" x14ac:dyDescent="0.3">
      <c r="A1453" t="str">
        <f t="shared" si="44"/>
        <v>3PT%</v>
      </c>
      <c r="B1453">
        <f t="shared" si="45"/>
        <v>7403</v>
      </c>
      <c r="E1453" s="1" t="s">
        <v>251</v>
      </c>
      <c r="F1453" s="1">
        <v>5</v>
      </c>
      <c r="G1453" s="1">
        <v>1</v>
      </c>
      <c r="H1453" s="1">
        <v>39.1</v>
      </c>
    </row>
    <row r="1454" spans="1:10" x14ac:dyDescent="0.3">
      <c r="A1454" t="str">
        <f t="shared" si="44"/>
        <v>3PT%</v>
      </c>
      <c r="B1454">
        <f t="shared" si="45"/>
        <v>12503</v>
      </c>
      <c r="E1454" s="1" t="s">
        <v>95</v>
      </c>
      <c r="F1454" s="1">
        <v>8</v>
      </c>
      <c r="G1454" s="1">
        <v>1</v>
      </c>
      <c r="H1454" s="1">
        <v>38.700000000000003</v>
      </c>
    </row>
    <row r="1455" spans="1:10" x14ac:dyDescent="0.3">
      <c r="A1455" t="str">
        <f t="shared" si="44"/>
        <v>3PT%</v>
      </c>
      <c r="B1455">
        <f t="shared" si="45"/>
        <v>5403</v>
      </c>
      <c r="E1455" s="1" t="s">
        <v>94</v>
      </c>
      <c r="F1455" s="1">
        <v>11</v>
      </c>
      <c r="G1455" s="1">
        <v>1</v>
      </c>
      <c r="H1455" s="1">
        <v>38.6</v>
      </c>
    </row>
    <row r="1456" spans="1:10" x14ac:dyDescent="0.3">
      <c r="A1456" t="str">
        <f t="shared" si="44"/>
        <v>3PT%</v>
      </c>
      <c r="B1456">
        <f t="shared" si="45"/>
        <v>5103</v>
      </c>
      <c r="E1456" s="1" t="s">
        <v>240</v>
      </c>
      <c r="F1456" s="1">
        <v>14</v>
      </c>
      <c r="G1456" s="1">
        <v>2</v>
      </c>
      <c r="H1456" s="1">
        <v>38.299999999999997</v>
      </c>
    </row>
    <row r="1457" spans="1:8" x14ac:dyDescent="0.3">
      <c r="A1457" t="str">
        <f t="shared" si="44"/>
        <v>3PT%</v>
      </c>
      <c r="B1457">
        <f t="shared" si="45"/>
        <v>3003</v>
      </c>
      <c r="E1457" s="1" t="s">
        <v>89</v>
      </c>
      <c r="F1457" s="1">
        <v>16</v>
      </c>
      <c r="G1457" s="1">
        <v>1</v>
      </c>
      <c r="H1457" s="1">
        <v>38.200000000000003</v>
      </c>
    </row>
    <row r="1458" spans="1:8" x14ac:dyDescent="0.3">
      <c r="A1458" t="str">
        <f t="shared" si="44"/>
        <v>3PT%</v>
      </c>
      <c r="B1458">
        <f t="shared" si="45"/>
        <v>6603</v>
      </c>
      <c r="E1458" s="1" t="s">
        <v>247</v>
      </c>
      <c r="F1458" s="1">
        <v>23</v>
      </c>
      <c r="G1458" s="1">
        <v>1</v>
      </c>
      <c r="H1458" s="1">
        <v>37.6</v>
      </c>
    </row>
    <row r="1459" spans="1:8" x14ac:dyDescent="0.3">
      <c r="A1459" t="str">
        <f t="shared" si="44"/>
        <v>3PT%</v>
      </c>
      <c r="B1459">
        <f t="shared" si="45"/>
        <v>5503</v>
      </c>
      <c r="E1459" s="1" t="s">
        <v>86</v>
      </c>
      <c r="F1459" s="1">
        <v>27</v>
      </c>
      <c r="G1459" s="1">
        <v>1</v>
      </c>
      <c r="H1459" s="1">
        <v>37.5</v>
      </c>
    </row>
    <row r="1460" spans="1:8" x14ac:dyDescent="0.3">
      <c r="A1460" t="str">
        <f t="shared" si="44"/>
        <v>3PT%</v>
      </c>
      <c r="B1460">
        <f t="shared" si="45"/>
        <v>11103</v>
      </c>
      <c r="E1460" s="1" t="s">
        <v>277</v>
      </c>
      <c r="F1460" s="1">
        <v>29</v>
      </c>
      <c r="G1460" s="1">
        <v>3</v>
      </c>
      <c r="H1460" s="1">
        <v>37.299999999999997</v>
      </c>
    </row>
    <row r="1461" spans="1:8" x14ac:dyDescent="0.3">
      <c r="A1461" t="str">
        <f t="shared" si="44"/>
        <v>3PT%</v>
      </c>
      <c r="B1461">
        <f t="shared" si="45"/>
        <v>4003</v>
      </c>
      <c r="E1461" s="1" t="s">
        <v>105</v>
      </c>
      <c r="F1461" s="1">
        <v>39</v>
      </c>
      <c r="G1461" s="1">
        <v>4</v>
      </c>
      <c r="H1461" s="1">
        <v>36.9</v>
      </c>
    </row>
    <row r="1462" spans="1:8" x14ac:dyDescent="0.3">
      <c r="A1462" t="str">
        <f t="shared" si="44"/>
        <v>3PT%</v>
      </c>
      <c r="B1462">
        <f t="shared" si="45"/>
        <v>2703</v>
      </c>
      <c r="E1462" s="1" t="s">
        <v>7</v>
      </c>
      <c r="F1462" s="1">
        <v>40</v>
      </c>
      <c r="G1462" s="1">
        <v>2</v>
      </c>
      <c r="H1462" s="1">
        <v>36.799999999999997</v>
      </c>
    </row>
    <row r="1463" spans="1:8" x14ac:dyDescent="0.3">
      <c r="A1463" t="str">
        <f t="shared" si="44"/>
        <v>3PT%</v>
      </c>
      <c r="B1463">
        <f t="shared" si="45"/>
        <v>14103</v>
      </c>
      <c r="E1463" s="1" t="s">
        <v>299</v>
      </c>
      <c r="F1463" s="1">
        <v>43</v>
      </c>
      <c r="G1463" s="1">
        <v>2</v>
      </c>
      <c r="H1463" s="1">
        <v>36.700000000000003</v>
      </c>
    </row>
    <row r="1464" spans="1:8" x14ac:dyDescent="0.3">
      <c r="A1464" t="str">
        <f t="shared" si="44"/>
        <v>3PT%</v>
      </c>
      <c r="B1464">
        <f t="shared" si="45"/>
        <v>7203</v>
      </c>
      <c r="E1464" s="1" t="s">
        <v>116</v>
      </c>
      <c r="F1464" s="1">
        <v>45</v>
      </c>
      <c r="G1464" s="1">
        <v>3</v>
      </c>
      <c r="H1464" s="1">
        <v>36.700000000000003</v>
      </c>
    </row>
    <row r="1465" spans="1:8" x14ac:dyDescent="0.3">
      <c r="A1465" t="str">
        <f t="shared" si="44"/>
        <v>3PT%</v>
      </c>
      <c r="B1465">
        <f t="shared" si="45"/>
        <v>3803</v>
      </c>
      <c r="E1465" s="1" t="s">
        <v>238</v>
      </c>
      <c r="F1465" s="1">
        <v>49</v>
      </c>
      <c r="G1465" s="1">
        <v>3</v>
      </c>
      <c r="H1465" s="1">
        <v>36.5</v>
      </c>
    </row>
    <row r="1466" spans="1:8" x14ac:dyDescent="0.3">
      <c r="A1466" t="str">
        <f t="shared" si="44"/>
        <v>3PT%</v>
      </c>
      <c r="B1466">
        <f t="shared" si="45"/>
        <v>10603</v>
      </c>
      <c r="E1466" s="1" t="s">
        <v>161</v>
      </c>
      <c r="F1466" s="1">
        <v>53</v>
      </c>
      <c r="G1466" s="1">
        <v>3</v>
      </c>
      <c r="H1466" s="1">
        <v>36.299999999999997</v>
      </c>
    </row>
    <row r="1467" spans="1:8" x14ac:dyDescent="0.3">
      <c r="A1467" t="str">
        <f t="shared" si="44"/>
        <v>3PT%</v>
      </c>
      <c r="B1467">
        <f t="shared" si="45"/>
        <v>1303</v>
      </c>
      <c r="E1467" s="1" t="s">
        <v>82</v>
      </c>
      <c r="F1467" s="1">
        <v>55</v>
      </c>
      <c r="G1467" s="1">
        <v>1</v>
      </c>
      <c r="H1467" s="1">
        <v>36.299999999999997</v>
      </c>
    </row>
    <row r="1468" spans="1:8" x14ac:dyDescent="0.3">
      <c r="A1468" t="str">
        <f t="shared" si="44"/>
        <v>3PT%</v>
      </c>
      <c r="B1468">
        <f t="shared" si="45"/>
        <v>15003</v>
      </c>
      <c r="E1468" s="1" t="s">
        <v>463</v>
      </c>
      <c r="F1468" s="1">
        <v>57</v>
      </c>
      <c r="G1468" s="1">
        <v>3</v>
      </c>
      <c r="H1468" s="1">
        <v>36.200000000000003</v>
      </c>
    </row>
    <row r="1469" spans="1:8" x14ac:dyDescent="0.3">
      <c r="A1469" t="str">
        <f t="shared" si="44"/>
        <v>3PT%</v>
      </c>
      <c r="B1469">
        <f t="shared" si="45"/>
        <v>8203</v>
      </c>
      <c r="E1469" s="1" t="s">
        <v>131</v>
      </c>
      <c r="F1469" s="1">
        <v>58</v>
      </c>
      <c r="G1469" s="1">
        <v>2</v>
      </c>
      <c r="H1469" s="1">
        <v>36.200000000000003</v>
      </c>
    </row>
    <row r="1470" spans="1:8" x14ac:dyDescent="0.3">
      <c r="A1470" t="str">
        <f t="shared" si="44"/>
        <v>3PT%</v>
      </c>
      <c r="B1470">
        <f t="shared" si="45"/>
        <v>18503</v>
      </c>
      <c r="E1470" s="1" t="s">
        <v>420</v>
      </c>
      <c r="F1470" s="1">
        <v>59</v>
      </c>
      <c r="G1470" s="1">
        <v>2</v>
      </c>
      <c r="H1470" s="1">
        <v>36.200000000000003</v>
      </c>
    </row>
    <row r="1471" spans="1:8" x14ac:dyDescent="0.3">
      <c r="A1471" t="str">
        <f t="shared" si="44"/>
        <v>3PT%</v>
      </c>
      <c r="B1471">
        <f t="shared" si="45"/>
        <v>6703</v>
      </c>
      <c r="E1471" s="1" t="s">
        <v>118</v>
      </c>
      <c r="F1471" s="1">
        <v>60</v>
      </c>
      <c r="G1471" s="1">
        <v>4</v>
      </c>
      <c r="H1471" s="1">
        <v>36.200000000000003</v>
      </c>
    </row>
    <row r="1472" spans="1:8" x14ac:dyDescent="0.3">
      <c r="A1472" t="str">
        <f t="shared" si="44"/>
        <v>3PT%</v>
      </c>
      <c r="B1472">
        <f t="shared" si="45"/>
        <v>9503</v>
      </c>
      <c r="E1472" s="1" t="s">
        <v>85</v>
      </c>
      <c r="F1472" s="1">
        <v>69</v>
      </c>
      <c r="G1472" s="1">
        <v>5</v>
      </c>
      <c r="H1472" s="1">
        <v>36</v>
      </c>
    </row>
    <row r="1473" spans="1:8" x14ac:dyDescent="0.3">
      <c r="A1473" t="str">
        <f t="shared" si="44"/>
        <v>3PT%</v>
      </c>
      <c r="B1473">
        <f t="shared" si="45"/>
        <v>4503</v>
      </c>
      <c r="E1473" s="1" t="s">
        <v>84</v>
      </c>
      <c r="F1473" s="1">
        <v>72</v>
      </c>
      <c r="G1473" s="1">
        <v>5</v>
      </c>
      <c r="H1473" s="1">
        <v>35.9</v>
      </c>
    </row>
    <row r="1474" spans="1:8" x14ac:dyDescent="0.3">
      <c r="A1474" t="str">
        <f t="shared" ref="A1474:A1537" si="46">IF(NOT(D1474=""),INDEX(statAbbr,MATCH(D1474,statOfficial,0),1),A1473)</f>
        <v>3PT%</v>
      </c>
      <c r="B1474">
        <f t="shared" ref="B1474:B1537" si="47">INDEX(statID,MATCH(A1474,statAbbr,0),1)+INDEX(teamID,MATCH(E1474,teamRawName,0))</f>
        <v>603</v>
      </c>
      <c r="E1474" s="1" t="s">
        <v>100</v>
      </c>
      <c r="F1474" s="1">
        <v>74</v>
      </c>
      <c r="G1474" s="1">
        <v>4</v>
      </c>
      <c r="H1474" s="1">
        <v>35.799999999999997</v>
      </c>
    </row>
    <row r="1475" spans="1:8" x14ac:dyDescent="0.3">
      <c r="A1475" t="str">
        <f t="shared" si="46"/>
        <v>3PT%</v>
      </c>
      <c r="B1475">
        <f t="shared" si="47"/>
        <v>11703</v>
      </c>
      <c r="E1475" s="1" t="s">
        <v>280</v>
      </c>
      <c r="F1475" s="1">
        <v>76</v>
      </c>
      <c r="G1475" s="1">
        <v>2</v>
      </c>
      <c r="H1475" s="1">
        <v>35.799999999999997</v>
      </c>
    </row>
    <row r="1476" spans="1:8" x14ac:dyDescent="0.3">
      <c r="A1476" t="str">
        <f t="shared" si="46"/>
        <v>3PT%</v>
      </c>
      <c r="B1476">
        <f t="shared" si="47"/>
        <v>8303</v>
      </c>
      <c r="E1476" s="1" t="s">
        <v>257</v>
      </c>
      <c r="F1476" s="1">
        <v>77</v>
      </c>
      <c r="G1476" s="1">
        <v>3</v>
      </c>
      <c r="H1476" s="1">
        <v>35.700000000000003</v>
      </c>
    </row>
    <row r="1477" spans="1:8" x14ac:dyDescent="0.3">
      <c r="A1477" t="str">
        <f t="shared" si="46"/>
        <v>3PT%</v>
      </c>
      <c r="B1477">
        <f t="shared" si="47"/>
        <v>1403</v>
      </c>
      <c r="E1477" s="1" t="s">
        <v>102</v>
      </c>
      <c r="F1477" s="1">
        <v>81</v>
      </c>
      <c r="G1477" s="1">
        <v>2</v>
      </c>
      <c r="H1477" s="1">
        <v>35.6</v>
      </c>
    </row>
    <row r="1478" spans="1:8" x14ac:dyDescent="0.3">
      <c r="A1478" t="str">
        <f t="shared" si="46"/>
        <v>3PT%</v>
      </c>
      <c r="B1478">
        <f t="shared" si="47"/>
        <v>4903</v>
      </c>
      <c r="E1478" s="1" t="s">
        <v>108</v>
      </c>
      <c r="F1478" s="1">
        <v>85</v>
      </c>
      <c r="G1478" s="1">
        <v>5</v>
      </c>
      <c r="H1478" s="1">
        <v>35.6</v>
      </c>
    </row>
    <row r="1479" spans="1:8" x14ac:dyDescent="0.3">
      <c r="A1479" t="str">
        <f t="shared" si="46"/>
        <v>3PT%</v>
      </c>
      <c r="B1479">
        <f t="shared" si="47"/>
        <v>5703</v>
      </c>
      <c r="E1479" s="1" t="s">
        <v>120</v>
      </c>
      <c r="F1479" s="1">
        <v>86</v>
      </c>
      <c r="G1479" s="1">
        <v>6</v>
      </c>
      <c r="H1479" s="1">
        <v>35.6</v>
      </c>
    </row>
    <row r="1480" spans="1:8" x14ac:dyDescent="0.3">
      <c r="A1480" t="str">
        <f t="shared" si="46"/>
        <v>3PT%</v>
      </c>
      <c r="B1480">
        <f t="shared" si="47"/>
        <v>203</v>
      </c>
      <c r="E1480" s="1" t="s">
        <v>98</v>
      </c>
      <c r="F1480" s="1">
        <v>92</v>
      </c>
      <c r="G1480" s="1">
        <v>2</v>
      </c>
      <c r="H1480" s="1">
        <v>35.4</v>
      </c>
    </row>
    <row r="1481" spans="1:8" x14ac:dyDescent="0.3">
      <c r="A1481" t="str">
        <f t="shared" si="46"/>
        <v>3PT%</v>
      </c>
      <c r="B1481">
        <f t="shared" si="47"/>
        <v>3903</v>
      </c>
      <c r="E1481" s="1" t="s">
        <v>88</v>
      </c>
      <c r="F1481" s="1">
        <v>94</v>
      </c>
      <c r="G1481" s="1">
        <v>6</v>
      </c>
      <c r="H1481" s="1">
        <v>35.4</v>
      </c>
    </row>
    <row r="1482" spans="1:8" x14ac:dyDescent="0.3">
      <c r="A1482" t="str">
        <f t="shared" si="46"/>
        <v>3PT%</v>
      </c>
      <c r="B1482">
        <f t="shared" si="47"/>
        <v>4403</v>
      </c>
      <c r="E1482" s="1" t="s">
        <v>83</v>
      </c>
      <c r="F1482" s="1">
        <v>95</v>
      </c>
      <c r="G1482" s="1">
        <v>4</v>
      </c>
      <c r="H1482" s="1">
        <v>35.4</v>
      </c>
    </row>
    <row r="1483" spans="1:8" x14ac:dyDescent="0.3">
      <c r="A1483" t="str">
        <f t="shared" si="46"/>
        <v>3PT%</v>
      </c>
      <c r="B1483">
        <f t="shared" si="47"/>
        <v>3703</v>
      </c>
      <c r="E1483" s="1" t="s">
        <v>115</v>
      </c>
      <c r="F1483" s="1">
        <v>98</v>
      </c>
      <c r="G1483" s="1">
        <v>7</v>
      </c>
      <c r="H1483" s="1">
        <v>35.299999999999997</v>
      </c>
    </row>
    <row r="1484" spans="1:8" x14ac:dyDescent="0.3">
      <c r="A1484" t="str">
        <f t="shared" si="46"/>
        <v>3PT%</v>
      </c>
      <c r="B1484">
        <f t="shared" si="47"/>
        <v>9003</v>
      </c>
      <c r="E1484" s="1" t="s">
        <v>261</v>
      </c>
      <c r="F1484" s="1">
        <v>104</v>
      </c>
      <c r="G1484" s="1">
        <v>6</v>
      </c>
      <c r="H1484" s="1">
        <v>35.200000000000003</v>
      </c>
    </row>
    <row r="1485" spans="1:8" x14ac:dyDescent="0.3">
      <c r="A1485" t="str">
        <f t="shared" si="46"/>
        <v>3PT%</v>
      </c>
      <c r="B1485">
        <f t="shared" si="47"/>
        <v>2303</v>
      </c>
      <c r="E1485" s="1" t="s">
        <v>79</v>
      </c>
      <c r="F1485" s="1">
        <v>124</v>
      </c>
      <c r="G1485" s="1">
        <v>5</v>
      </c>
      <c r="H1485" s="1">
        <v>34.799999999999997</v>
      </c>
    </row>
    <row r="1486" spans="1:8" x14ac:dyDescent="0.3">
      <c r="A1486" t="str">
        <f t="shared" si="46"/>
        <v>3PT%</v>
      </c>
      <c r="B1486">
        <f t="shared" si="47"/>
        <v>15603</v>
      </c>
      <c r="E1486" s="1" t="s">
        <v>468</v>
      </c>
      <c r="F1486" s="1">
        <v>126</v>
      </c>
      <c r="G1486" s="1">
        <v>5</v>
      </c>
      <c r="H1486" s="1">
        <v>34.799999999999997</v>
      </c>
    </row>
    <row r="1487" spans="1:8" x14ac:dyDescent="0.3">
      <c r="A1487" t="str">
        <f t="shared" si="46"/>
        <v>3PT%</v>
      </c>
      <c r="B1487">
        <f t="shared" si="47"/>
        <v>4203</v>
      </c>
      <c r="E1487" s="1" t="s">
        <v>123</v>
      </c>
      <c r="F1487" s="1">
        <v>128</v>
      </c>
      <c r="G1487" s="1">
        <v>7</v>
      </c>
      <c r="H1487" s="1">
        <v>34.799999999999997</v>
      </c>
    </row>
    <row r="1488" spans="1:8" x14ac:dyDescent="0.3">
      <c r="A1488" t="str">
        <f t="shared" si="46"/>
        <v>3PT%</v>
      </c>
      <c r="B1488">
        <f t="shared" si="47"/>
        <v>303</v>
      </c>
      <c r="E1488" s="1" t="s">
        <v>215</v>
      </c>
      <c r="F1488" s="1">
        <v>130</v>
      </c>
      <c r="G1488" s="1">
        <v>8</v>
      </c>
      <c r="H1488" s="1">
        <v>34.799999999999997</v>
      </c>
    </row>
    <row r="1489" spans="1:8" x14ac:dyDescent="0.3">
      <c r="A1489" t="str">
        <f t="shared" si="46"/>
        <v>3PT%</v>
      </c>
      <c r="B1489">
        <f t="shared" si="47"/>
        <v>3203</v>
      </c>
      <c r="E1489" s="1" t="s">
        <v>127</v>
      </c>
      <c r="F1489" s="1">
        <v>131</v>
      </c>
      <c r="G1489" s="1">
        <v>7</v>
      </c>
      <c r="H1489" s="1">
        <v>34.799999999999997</v>
      </c>
    </row>
    <row r="1490" spans="1:8" x14ac:dyDescent="0.3">
      <c r="A1490" t="str">
        <f t="shared" si="46"/>
        <v>3PT%</v>
      </c>
      <c r="B1490">
        <f t="shared" si="47"/>
        <v>15103</v>
      </c>
      <c r="E1490" s="1" t="s">
        <v>464</v>
      </c>
      <c r="F1490" s="1">
        <v>134</v>
      </c>
      <c r="G1490" s="1">
        <v>4</v>
      </c>
      <c r="H1490" s="1">
        <v>34.700000000000003</v>
      </c>
    </row>
    <row r="1491" spans="1:8" x14ac:dyDescent="0.3">
      <c r="A1491" t="str">
        <f t="shared" si="46"/>
        <v>3PT%</v>
      </c>
      <c r="B1491">
        <f t="shared" si="47"/>
        <v>4703</v>
      </c>
      <c r="E1491" s="1" t="s">
        <v>107</v>
      </c>
      <c r="F1491" s="1">
        <v>137</v>
      </c>
      <c r="G1491" s="1">
        <v>4</v>
      </c>
      <c r="H1491" s="1">
        <v>34.700000000000003</v>
      </c>
    </row>
    <row r="1492" spans="1:8" x14ac:dyDescent="0.3">
      <c r="A1492" t="str">
        <f t="shared" si="46"/>
        <v>3PT%</v>
      </c>
      <c r="B1492">
        <f t="shared" si="47"/>
        <v>3103</v>
      </c>
      <c r="E1492" s="1" t="s">
        <v>93</v>
      </c>
      <c r="F1492" s="1">
        <v>152</v>
      </c>
      <c r="G1492" s="1">
        <v>6</v>
      </c>
      <c r="H1492" s="1">
        <v>34.5</v>
      </c>
    </row>
    <row r="1493" spans="1:8" x14ac:dyDescent="0.3">
      <c r="A1493" t="str">
        <f t="shared" si="46"/>
        <v>3PT%</v>
      </c>
      <c r="B1493">
        <f t="shared" si="47"/>
        <v>16103</v>
      </c>
      <c r="E1493" s="1" t="s">
        <v>473</v>
      </c>
      <c r="F1493" s="1">
        <v>153</v>
      </c>
      <c r="G1493" s="1">
        <v>4</v>
      </c>
      <c r="H1493" s="1">
        <v>34.5</v>
      </c>
    </row>
    <row r="1494" spans="1:8" x14ac:dyDescent="0.3">
      <c r="A1494" t="str">
        <f t="shared" si="46"/>
        <v>3PT%</v>
      </c>
      <c r="B1494">
        <f t="shared" si="47"/>
        <v>6903</v>
      </c>
      <c r="E1494" s="1" t="s">
        <v>114</v>
      </c>
      <c r="F1494" s="1">
        <v>157</v>
      </c>
      <c r="G1494" s="1">
        <v>9</v>
      </c>
      <c r="H1494" s="1">
        <v>34.4</v>
      </c>
    </row>
    <row r="1495" spans="1:8" x14ac:dyDescent="0.3">
      <c r="A1495" t="str">
        <f t="shared" si="46"/>
        <v>3PT%</v>
      </c>
      <c r="B1495">
        <f t="shared" si="47"/>
        <v>18303</v>
      </c>
      <c r="E1495" s="1" t="s">
        <v>423</v>
      </c>
      <c r="F1495" s="1">
        <v>162</v>
      </c>
      <c r="G1495" s="1">
        <v>6</v>
      </c>
      <c r="H1495" s="1">
        <v>34.299999999999997</v>
      </c>
    </row>
    <row r="1496" spans="1:8" x14ac:dyDescent="0.3">
      <c r="A1496" t="str">
        <f t="shared" si="46"/>
        <v>3PT%</v>
      </c>
      <c r="B1496">
        <f t="shared" si="47"/>
        <v>15803</v>
      </c>
      <c r="E1496" s="1" t="s">
        <v>470</v>
      </c>
      <c r="F1496" s="1">
        <v>163</v>
      </c>
      <c r="G1496" s="1">
        <v>6</v>
      </c>
      <c r="H1496" s="1">
        <v>34.299999999999997</v>
      </c>
    </row>
    <row r="1497" spans="1:8" x14ac:dyDescent="0.3">
      <c r="A1497" t="str">
        <f t="shared" si="46"/>
        <v>3PT%</v>
      </c>
      <c r="B1497">
        <f t="shared" si="47"/>
        <v>15903</v>
      </c>
      <c r="E1497" s="1" t="s">
        <v>495</v>
      </c>
      <c r="F1497" s="1">
        <v>170</v>
      </c>
      <c r="G1497" s="1">
        <v>2</v>
      </c>
      <c r="H1497" s="1">
        <v>34.200000000000003</v>
      </c>
    </row>
    <row r="1498" spans="1:8" x14ac:dyDescent="0.3">
      <c r="A1498" t="str">
        <f t="shared" si="46"/>
        <v>3PT%</v>
      </c>
      <c r="B1498">
        <f t="shared" si="47"/>
        <v>2903</v>
      </c>
      <c r="E1498" s="1" t="s">
        <v>96</v>
      </c>
      <c r="F1498" s="1">
        <v>183</v>
      </c>
      <c r="G1498" s="1">
        <v>8</v>
      </c>
      <c r="H1498" s="1">
        <v>33.799999999999997</v>
      </c>
    </row>
    <row r="1499" spans="1:8" x14ac:dyDescent="0.3">
      <c r="A1499" t="str">
        <f t="shared" si="46"/>
        <v>3PT%</v>
      </c>
      <c r="B1499">
        <f t="shared" si="47"/>
        <v>3503</v>
      </c>
      <c r="E1499" s="1" t="s">
        <v>87</v>
      </c>
      <c r="F1499" s="1">
        <v>189</v>
      </c>
      <c r="G1499" s="1">
        <v>9</v>
      </c>
      <c r="H1499" s="1">
        <v>33.799999999999997</v>
      </c>
    </row>
    <row r="1500" spans="1:8" x14ac:dyDescent="0.3">
      <c r="A1500" t="str">
        <f t="shared" si="46"/>
        <v>3PT%</v>
      </c>
      <c r="B1500">
        <f t="shared" si="47"/>
        <v>12203</v>
      </c>
      <c r="E1500" s="1" t="s">
        <v>284</v>
      </c>
      <c r="F1500" s="1">
        <v>196</v>
      </c>
      <c r="G1500" s="1">
        <v>8</v>
      </c>
      <c r="H1500" s="1">
        <v>33.6</v>
      </c>
    </row>
    <row r="1501" spans="1:8" x14ac:dyDescent="0.3">
      <c r="A1501" t="str">
        <f t="shared" si="46"/>
        <v>3PT%</v>
      </c>
      <c r="B1501">
        <f t="shared" si="47"/>
        <v>18403</v>
      </c>
      <c r="E1501" s="1" t="s">
        <v>417</v>
      </c>
      <c r="F1501" s="1">
        <v>199</v>
      </c>
      <c r="G1501" s="1">
        <v>3</v>
      </c>
      <c r="H1501" s="1">
        <v>33.6</v>
      </c>
    </row>
    <row r="1502" spans="1:8" x14ac:dyDescent="0.3">
      <c r="A1502" t="str">
        <f t="shared" si="46"/>
        <v>3PT%</v>
      </c>
      <c r="B1502">
        <f t="shared" si="47"/>
        <v>1203</v>
      </c>
      <c r="E1502" s="1" t="s">
        <v>130</v>
      </c>
      <c r="F1502" s="1">
        <v>211</v>
      </c>
      <c r="G1502" s="1">
        <v>7</v>
      </c>
      <c r="H1502" s="1">
        <v>33.299999999999997</v>
      </c>
    </row>
    <row r="1503" spans="1:8" x14ac:dyDescent="0.3">
      <c r="A1503" t="str">
        <f t="shared" si="46"/>
        <v>3PT%</v>
      </c>
      <c r="B1503">
        <f t="shared" si="47"/>
        <v>14903</v>
      </c>
      <c r="E1503" s="1" t="s">
        <v>307</v>
      </c>
      <c r="F1503" s="1">
        <v>215</v>
      </c>
      <c r="G1503" s="1">
        <v>5</v>
      </c>
      <c r="H1503" s="1">
        <v>33.299999999999997</v>
      </c>
    </row>
    <row r="1504" spans="1:8" x14ac:dyDescent="0.3">
      <c r="A1504" t="str">
        <f t="shared" si="46"/>
        <v>3PT%</v>
      </c>
      <c r="B1504">
        <f t="shared" si="47"/>
        <v>15403</v>
      </c>
      <c r="E1504" s="1" t="s">
        <v>494</v>
      </c>
      <c r="F1504" s="1">
        <v>216</v>
      </c>
      <c r="G1504" s="1">
        <v>5</v>
      </c>
      <c r="H1504" s="1">
        <v>33.299999999999997</v>
      </c>
    </row>
    <row r="1505" spans="1:8" x14ac:dyDescent="0.3">
      <c r="A1505" t="str">
        <f t="shared" si="46"/>
        <v>3PT%</v>
      </c>
      <c r="B1505">
        <f t="shared" si="47"/>
        <v>7603</v>
      </c>
      <c r="E1505" s="1" t="s">
        <v>253</v>
      </c>
      <c r="F1505" s="1">
        <v>220</v>
      </c>
      <c r="G1505" s="1">
        <v>13</v>
      </c>
      <c r="H1505" s="1">
        <v>33.200000000000003</v>
      </c>
    </row>
    <row r="1506" spans="1:8" x14ac:dyDescent="0.3">
      <c r="A1506" t="str">
        <f t="shared" si="46"/>
        <v>3PT%</v>
      </c>
      <c r="B1506">
        <f t="shared" si="47"/>
        <v>13903</v>
      </c>
      <c r="E1506" s="1" t="s">
        <v>297</v>
      </c>
      <c r="F1506" s="1">
        <v>230</v>
      </c>
      <c r="G1506" s="1">
        <v>10</v>
      </c>
      <c r="H1506" s="1">
        <v>32.9</v>
      </c>
    </row>
    <row r="1507" spans="1:8" x14ac:dyDescent="0.3">
      <c r="A1507" t="str">
        <f t="shared" si="46"/>
        <v>3PT%</v>
      </c>
      <c r="B1507">
        <f t="shared" si="47"/>
        <v>13103</v>
      </c>
      <c r="E1507" s="1" t="s">
        <v>289</v>
      </c>
      <c r="F1507" s="1">
        <v>238</v>
      </c>
      <c r="G1507" s="1">
        <v>12</v>
      </c>
      <c r="H1507" s="1">
        <v>32.799999999999997</v>
      </c>
    </row>
    <row r="1508" spans="1:8" x14ac:dyDescent="0.3">
      <c r="A1508" t="str">
        <f t="shared" si="46"/>
        <v>3PT%</v>
      </c>
      <c r="B1508">
        <f t="shared" si="47"/>
        <v>16203</v>
      </c>
      <c r="E1508" s="1" t="s">
        <v>497</v>
      </c>
      <c r="F1508" s="1">
        <v>242</v>
      </c>
      <c r="G1508" s="1">
        <v>4</v>
      </c>
      <c r="H1508" s="1">
        <v>32.700000000000003</v>
      </c>
    </row>
    <row r="1509" spans="1:8" x14ac:dyDescent="0.3">
      <c r="A1509" t="str">
        <f t="shared" si="46"/>
        <v>3PT%</v>
      </c>
      <c r="B1509">
        <f t="shared" si="47"/>
        <v>8103</v>
      </c>
      <c r="E1509" s="1" t="s">
        <v>256</v>
      </c>
      <c r="F1509" s="1">
        <v>243</v>
      </c>
      <c r="G1509" s="1">
        <v>11</v>
      </c>
      <c r="H1509" s="1">
        <v>32.700000000000003</v>
      </c>
    </row>
    <row r="1510" spans="1:8" x14ac:dyDescent="0.3">
      <c r="A1510" t="str">
        <f t="shared" si="46"/>
        <v>3PT%</v>
      </c>
      <c r="B1510">
        <f t="shared" si="47"/>
        <v>2003</v>
      </c>
      <c r="E1510" s="1" t="s">
        <v>328</v>
      </c>
      <c r="F1510" s="1">
        <v>247</v>
      </c>
      <c r="G1510" s="1">
        <v>7</v>
      </c>
      <c r="H1510" s="1">
        <v>32.6</v>
      </c>
    </row>
    <row r="1511" spans="1:8" x14ac:dyDescent="0.3">
      <c r="A1511" t="str">
        <f t="shared" si="46"/>
        <v>3PT%</v>
      </c>
      <c r="B1511">
        <f t="shared" si="47"/>
        <v>3303</v>
      </c>
      <c r="E1511" s="1" t="s">
        <v>91</v>
      </c>
      <c r="F1511" s="1">
        <v>250</v>
      </c>
      <c r="G1511" s="1">
        <v>8</v>
      </c>
      <c r="H1511" s="1">
        <v>32.6</v>
      </c>
    </row>
    <row r="1512" spans="1:8" x14ac:dyDescent="0.3">
      <c r="A1512" t="str">
        <f t="shared" si="46"/>
        <v>3PT%</v>
      </c>
      <c r="B1512">
        <f t="shared" si="47"/>
        <v>14403</v>
      </c>
      <c r="E1512" s="1" t="s">
        <v>302</v>
      </c>
      <c r="F1512" s="1">
        <v>261</v>
      </c>
      <c r="G1512" s="1">
        <v>12</v>
      </c>
      <c r="H1512" s="1">
        <v>32.5</v>
      </c>
    </row>
    <row r="1513" spans="1:8" x14ac:dyDescent="0.3">
      <c r="A1513" t="str">
        <f t="shared" si="46"/>
        <v>3PT%</v>
      </c>
      <c r="B1513">
        <f t="shared" si="47"/>
        <v>2503</v>
      </c>
      <c r="E1513" s="1" t="s">
        <v>92</v>
      </c>
      <c r="F1513" s="1">
        <v>287</v>
      </c>
      <c r="G1513" s="1">
        <v>9</v>
      </c>
      <c r="H1513" s="1">
        <v>31.9</v>
      </c>
    </row>
    <row r="1514" spans="1:8" x14ac:dyDescent="0.3">
      <c r="A1514" t="str">
        <f t="shared" si="46"/>
        <v>3PT%</v>
      </c>
      <c r="B1514">
        <f t="shared" si="47"/>
        <v>1603</v>
      </c>
      <c r="E1514" s="1" t="s">
        <v>137</v>
      </c>
      <c r="F1514" s="1">
        <v>306</v>
      </c>
      <c r="G1514" s="1">
        <v>14</v>
      </c>
      <c r="H1514" s="1">
        <v>31.4</v>
      </c>
    </row>
    <row r="1515" spans="1:8" x14ac:dyDescent="0.3">
      <c r="A1515" t="str">
        <f t="shared" si="46"/>
        <v>3PT%</v>
      </c>
      <c r="B1515">
        <f t="shared" si="47"/>
        <v>4303</v>
      </c>
      <c r="E1515" s="1" t="s">
        <v>125</v>
      </c>
      <c r="F1515" s="1">
        <v>311</v>
      </c>
      <c r="G1515" s="1">
        <v>17</v>
      </c>
      <c r="H1515" s="1">
        <v>31.3</v>
      </c>
    </row>
    <row r="1516" spans="1:8" x14ac:dyDescent="0.3">
      <c r="A1516" t="str">
        <f t="shared" si="46"/>
        <v>3PT%</v>
      </c>
      <c r="B1516">
        <f t="shared" si="47"/>
        <v>5803</v>
      </c>
      <c r="E1516" s="1" t="s">
        <v>139</v>
      </c>
      <c r="F1516" s="1">
        <v>316</v>
      </c>
      <c r="G1516" s="1">
        <v>8</v>
      </c>
      <c r="H1516" s="1">
        <v>31.2</v>
      </c>
    </row>
    <row r="1517" spans="1:8" x14ac:dyDescent="0.3">
      <c r="A1517" t="str">
        <f t="shared" si="46"/>
        <v>3PT%</v>
      </c>
      <c r="B1517">
        <f t="shared" si="47"/>
        <v>903</v>
      </c>
      <c r="E1517" s="1" t="s">
        <v>90</v>
      </c>
      <c r="F1517" s="1">
        <v>317</v>
      </c>
      <c r="G1517" s="1">
        <v>18</v>
      </c>
      <c r="H1517" s="1">
        <v>31.1</v>
      </c>
    </row>
    <row r="1518" spans="1:8" x14ac:dyDescent="0.3">
      <c r="A1518" t="str">
        <f t="shared" si="46"/>
        <v>3PT%</v>
      </c>
      <c r="B1518">
        <f t="shared" si="47"/>
        <v>3603</v>
      </c>
      <c r="E1518" s="1" t="s">
        <v>129</v>
      </c>
      <c r="F1518" s="1">
        <v>325</v>
      </c>
      <c r="G1518" s="1">
        <v>15</v>
      </c>
      <c r="H1518" s="1">
        <v>30.7</v>
      </c>
    </row>
    <row r="1519" spans="1:8" x14ac:dyDescent="0.3">
      <c r="A1519" t="str">
        <f t="shared" si="46"/>
        <v>3PT%</v>
      </c>
      <c r="B1519">
        <f t="shared" si="47"/>
        <v>9303</v>
      </c>
      <c r="E1519" s="1" t="s">
        <v>357</v>
      </c>
      <c r="F1519" s="1">
        <v>339</v>
      </c>
      <c r="G1519" s="1">
        <v>11</v>
      </c>
      <c r="H1519" s="1">
        <v>30.1</v>
      </c>
    </row>
    <row r="1520" spans="1:8" x14ac:dyDescent="0.3">
      <c r="A1520" t="str">
        <f t="shared" si="46"/>
        <v>3PT%</v>
      </c>
      <c r="B1520">
        <f t="shared" si="47"/>
        <v>15703</v>
      </c>
      <c r="E1520" s="1" t="s">
        <v>469</v>
      </c>
      <c r="F1520" s="1">
        <v>342</v>
      </c>
      <c r="G1520" s="1">
        <v>13</v>
      </c>
      <c r="H1520" s="1">
        <v>29.7</v>
      </c>
    </row>
    <row r="1521" spans="1:10" x14ac:dyDescent="0.3">
      <c r="A1521" t="str">
        <f t="shared" si="46"/>
        <v>3PD%</v>
      </c>
      <c r="B1521">
        <f t="shared" si="47"/>
        <v>901</v>
      </c>
      <c r="D1521" s="1" t="s">
        <v>533</v>
      </c>
      <c r="E1521" s="1" t="s">
        <v>90</v>
      </c>
      <c r="F1521" s="1">
        <v>2</v>
      </c>
      <c r="G1521" s="1">
        <v>1</v>
      </c>
      <c r="H1521" s="1">
        <v>28</v>
      </c>
      <c r="I1521" s="1" t="s">
        <v>265</v>
      </c>
      <c r="J1521" s="1">
        <v>27.9</v>
      </c>
    </row>
    <row r="1522" spans="1:10" x14ac:dyDescent="0.3">
      <c r="A1522" t="str">
        <f t="shared" si="46"/>
        <v>3PD%</v>
      </c>
      <c r="B1522">
        <f t="shared" si="47"/>
        <v>3501</v>
      </c>
      <c r="E1522" s="1" t="s">
        <v>87</v>
      </c>
      <c r="F1522" s="1">
        <v>4</v>
      </c>
      <c r="G1522" s="1">
        <v>1</v>
      </c>
      <c r="H1522" s="1">
        <v>28.7</v>
      </c>
    </row>
    <row r="1523" spans="1:10" x14ac:dyDescent="0.3">
      <c r="A1523" t="str">
        <f t="shared" si="46"/>
        <v>3PD%</v>
      </c>
      <c r="B1523">
        <f t="shared" si="47"/>
        <v>5101</v>
      </c>
      <c r="E1523" s="1" t="s">
        <v>240</v>
      </c>
      <c r="F1523" s="1">
        <v>5</v>
      </c>
      <c r="G1523" s="1">
        <v>1</v>
      </c>
      <c r="H1523" s="1">
        <v>28.8</v>
      </c>
    </row>
    <row r="1524" spans="1:10" x14ac:dyDescent="0.3">
      <c r="A1524" t="str">
        <f t="shared" si="46"/>
        <v>3PD%</v>
      </c>
      <c r="B1524">
        <f t="shared" si="47"/>
        <v>5701</v>
      </c>
      <c r="E1524" s="1" t="s">
        <v>120</v>
      </c>
      <c r="F1524" s="1">
        <v>7</v>
      </c>
      <c r="G1524" s="1">
        <v>2</v>
      </c>
      <c r="H1524" s="1">
        <v>29.4</v>
      </c>
    </row>
    <row r="1525" spans="1:10" x14ac:dyDescent="0.3">
      <c r="A1525" t="str">
        <f t="shared" si="46"/>
        <v>3PD%</v>
      </c>
      <c r="B1525">
        <f t="shared" si="47"/>
        <v>4501</v>
      </c>
      <c r="E1525" s="1" t="s">
        <v>84</v>
      </c>
      <c r="F1525" s="1">
        <v>12</v>
      </c>
      <c r="G1525" s="1">
        <v>3</v>
      </c>
      <c r="H1525" s="1">
        <v>29.8</v>
      </c>
    </row>
    <row r="1526" spans="1:10" x14ac:dyDescent="0.3">
      <c r="A1526" t="str">
        <f t="shared" si="46"/>
        <v>3PD%</v>
      </c>
      <c r="B1526">
        <f t="shared" si="47"/>
        <v>18401</v>
      </c>
      <c r="E1526" s="1" t="s">
        <v>417</v>
      </c>
      <c r="F1526" s="1">
        <v>15</v>
      </c>
      <c r="G1526" s="1">
        <v>1</v>
      </c>
      <c r="H1526" s="1">
        <v>30.1</v>
      </c>
    </row>
    <row r="1527" spans="1:10" x14ac:dyDescent="0.3">
      <c r="A1527" t="str">
        <f t="shared" si="46"/>
        <v>3PD%</v>
      </c>
      <c r="B1527">
        <f t="shared" si="47"/>
        <v>2801</v>
      </c>
      <c r="E1527" s="1" t="s">
        <v>106</v>
      </c>
      <c r="F1527" s="1">
        <v>16</v>
      </c>
      <c r="G1527" s="1">
        <v>2</v>
      </c>
      <c r="H1527" s="1">
        <v>30.2</v>
      </c>
    </row>
    <row r="1528" spans="1:10" x14ac:dyDescent="0.3">
      <c r="A1528" t="str">
        <f t="shared" si="46"/>
        <v>3PD%</v>
      </c>
      <c r="B1528">
        <f t="shared" si="47"/>
        <v>4401</v>
      </c>
      <c r="E1528" s="1" t="s">
        <v>83</v>
      </c>
      <c r="F1528" s="1">
        <v>18</v>
      </c>
      <c r="G1528" s="1">
        <v>2</v>
      </c>
      <c r="H1528" s="1">
        <v>30.2</v>
      </c>
    </row>
    <row r="1529" spans="1:10" x14ac:dyDescent="0.3">
      <c r="A1529" t="str">
        <f t="shared" si="46"/>
        <v>3PD%</v>
      </c>
      <c r="B1529">
        <f t="shared" si="47"/>
        <v>3801</v>
      </c>
      <c r="E1529" s="1" t="s">
        <v>238</v>
      </c>
      <c r="F1529" s="1">
        <v>20</v>
      </c>
      <c r="G1529" s="1">
        <v>4</v>
      </c>
      <c r="H1529" s="1">
        <v>30.3</v>
      </c>
    </row>
    <row r="1530" spans="1:10" x14ac:dyDescent="0.3">
      <c r="A1530" t="str">
        <f t="shared" si="46"/>
        <v>3PD%</v>
      </c>
      <c r="B1530">
        <f t="shared" si="47"/>
        <v>3701</v>
      </c>
      <c r="E1530" s="1" t="s">
        <v>115</v>
      </c>
      <c r="F1530" s="1">
        <v>21</v>
      </c>
      <c r="G1530" s="1">
        <v>5</v>
      </c>
      <c r="H1530" s="1">
        <v>30.4</v>
      </c>
    </row>
    <row r="1531" spans="1:10" x14ac:dyDescent="0.3">
      <c r="A1531" t="str">
        <f t="shared" si="46"/>
        <v>3PD%</v>
      </c>
      <c r="B1531">
        <f t="shared" si="47"/>
        <v>5501</v>
      </c>
      <c r="E1531" s="1" t="s">
        <v>86</v>
      </c>
      <c r="F1531" s="1">
        <v>23</v>
      </c>
      <c r="G1531" s="1">
        <v>6</v>
      </c>
      <c r="H1531" s="1">
        <v>30.5</v>
      </c>
    </row>
    <row r="1532" spans="1:10" x14ac:dyDescent="0.3">
      <c r="A1532" t="str">
        <f t="shared" si="46"/>
        <v>3PD%</v>
      </c>
      <c r="B1532">
        <f t="shared" si="47"/>
        <v>9501</v>
      </c>
      <c r="E1532" s="1" t="s">
        <v>85</v>
      </c>
      <c r="F1532" s="1">
        <v>24</v>
      </c>
      <c r="G1532" s="1">
        <v>1</v>
      </c>
      <c r="H1532" s="1">
        <v>30.5</v>
      </c>
    </row>
    <row r="1533" spans="1:10" x14ac:dyDescent="0.3">
      <c r="A1533" t="str">
        <f t="shared" si="46"/>
        <v>3PD%</v>
      </c>
      <c r="B1533">
        <f t="shared" si="47"/>
        <v>12201</v>
      </c>
      <c r="E1533" s="1" t="s">
        <v>284</v>
      </c>
      <c r="F1533" s="1">
        <v>25</v>
      </c>
      <c r="G1533" s="1">
        <v>1</v>
      </c>
      <c r="H1533" s="1">
        <v>30.5</v>
      </c>
    </row>
    <row r="1534" spans="1:10" x14ac:dyDescent="0.3">
      <c r="A1534" t="str">
        <f t="shared" si="46"/>
        <v>3PD%</v>
      </c>
      <c r="B1534">
        <f t="shared" si="47"/>
        <v>11101</v>
      </c>
      <c r="E1534" s="1" t="s">
        <v>277</v>
      </c>
      <c r="F1534" s="1">
        <v>26</v>
      </c>
      <c r="G1534" s="1">
        <v>3</v>
      </c>
      <c r="H1534" s="1">
        <v>30.6</v>
      </c>
    </row>
    <row r="1535" spans="1:10" x14ac:dyDescent="0.3">
      <c r="A1535" t="str">
        <f t="shared" si="46"/>
        <v>3PD%</v>
      </c>
      <c r="B1535">
        <f t="shared" si="47"/>
        <v>9301</v>
      </c>
      <c r="E1535" s="1" t="s">
        <v>357</v>
      </c>
      <c r="F1535" s="1">
        <v>27</v>
      </c>
      <c r="G1535" s="1">
        <v>1</v>
      </c>
      <c r="H1535" s="1">
        <v>30.6</v>
      </c>
    </row>
    <row r="1536" spans="1:10" x14ac:dyDescent="0.3">
      <c r="A1536" t="str">
        <f t="shared" si="46"/>
        <v>3PD%</v>
      </c>
      <c r="B1536">
        <f t="shared" si="47"/>
        <v>3901</v>
      </c>
      <c r="E1536" s="1" t="s">
        <v>88</v>
      </c>
      <c r="F1536" s="1">
        <v>31</v>
      </c>
      <c r="G1536" s="1">
        <v>3</v>
      </c>
      <c r="H1536" s="1">
        <v>30.8</v>
      </c>
    </row>
    <row r="1537" spans="1:8" x14ac:dyDescent="0.3">
      <c r="A1537" t="str">
        <f t="shared" si="46"/>
        <v>3PD%</v>
      </c>
      <c r="B1537">
        <f t="shared" si="47"/>
        <v>7601</v>
      </c>
      <c r="E1537" s="1" t="s">
        <v>253</v>
      </c>
      <c r="F1537" s="1">
        <v>33</v>
      </c>
      <c r="G1537" s="1">
        <v>4</v>
      </c>
      <c r="H1537" s="1">
        <v>30.8</v>
      </c>
    </row>
    <row r="1538" spans="1:8" x14ac:dyDescent="0.3">
      <c r="A1538" t="str">
        <f t="shared" ref="A1538:A1601" si="48">IF(NOT(D1538=""),INDEX(statAbbr,MATCH(D1538,statOfficial,0),1),A1537)</f>
        <v>3PD%</v>
      </c>
      <c r="B1538">
        <f t="shared" ref="B1538:B1601" si="49">INDEX(statID,MATCH(A1538,statAbbr,0),1)+INDEX(teamID,MATCH(E1538,teamRawName,0))</f>
        <v>15901</v>
      </c>
      <c r="E1538" s="1" t="s">
        <v>495</v>
      </c>
      <c r="F1538" s="1">
        <v>37</v>
      </c>
      <c r="G1538" s="1">
        <v>3</v>
      </c>
      <c r="H1538" s="1">
        <v>30.9</v>
      </c>
    </row>
    <row r="1539" spans="1:8" x14ac:dyDescent="0.3">
      <c r="A1539" t="str">
        <f t="shared" si="48"/>
        <v>3PD%</v>
      </c>
      <c r="B1539">
        <f t="shared" si="49"/>
        <v>8301</v>
      </c>
      <c r="E1539" s="1" t="s">
        <v>257</v>
      </c>
      <c r="F1539" s="1">
        <v>40</v>
      </c>
      <c r="G1539" s="1">
        <v>1</v>
      </c>
      <c r="H1539" s="1">
        <v>31</v>
      </c>
    </row>
    <row r="1540" spans="1:8" x14ac:dyDescent="0.3">
      <c r="A1540" t="str">
        <f t="shared" si="48"/>
        <v>3PD%</v>
      </c>
      <c r="B1540">
        <f t="shared" si="49"/>
        <v>1201</v>
      </c>
      <c r="E1540" s="1" t="s">
        <v>130</v>
      </c>
      <c r="F1540" s="1">
        <v>45</v>
      </c>
      <c r="G1540" s="1">
        <v>1</v>
      </c>
      <c r="H1540" s="1">
        <v>31.1</v>
      </c>
    </row>
    <row r="1541" spans="1:8" x14ac:dyDescent="0.3">
      <c r="A1541" t="str">
        <f t="shared" si="48"/>
        <v>3PD%</v>
      </c>
      <c r="B1541">
        <f t="shared" si="49"/>
        <v>2501</v>
      </c>
      <c r="E1541" s="1" t="s">
        <v>92</v>
      </c>
      <c r="F1541" s="1">
        <v>47</v>
      </c>
      <c r="G1541" s="1">
        <v>3</v>
      </c>
      <c r="H1541" s="1">
        <v>31.1</v>
      </c>
    </row>
    <row r="1542" spans="1:8" x14ac:dyDescent="0.3">
      <c r="A1542" t="str">
        <f t="shared" si="48"/>
        <v>3PD%</v>
      </c>
      <c r="B1542">
        <f t="shared" si="49"/>
        <v>5401</v>
      </c>
      <c r="E1542" s="1" t="s">
        <v>94</v>
      </c>
      <c r="F1542" s="1">
        <v>49</v>
      </c>
      <c r="G1542" s="1">
        <v>2</v>
      </c>
      <c r="H1542" s="1">
        <v>31.1</v>
      </c>
    </row>
    <row r="1543" spans="1:8" x14ac:dyDescent="0.3">
      <c r="A1543" t="str">
        <f t="shared" si="48"/>
        <v>3PD%</v>
      </c>
      <c r="B1543">
        <f t="shared" si="49"/>
        <v>3001</v>
      </c>
      <c r="E1543" s="1" t="s">
        <v>89</v>
      </c>
      <c r="F1543" s="1">
        <v>51</v>
      </c>
      <c r="G1543" s="1">
        <v>5</v>
      </c>
      <c r="H1543" s="1">
        <v>31.2</v>
      </c>
    </row>
    <row r="1544" spans="1:8" x14ac:dyDescent="0.3">
      <c r="A1544" t="str">
        <f t="shared" si="48"/>
        <v>3PD%</v>
      </c>
      <c r="B1544">
        <f t="shared" si="49"/>
        <v>8101</v>
      </c>
      <c r="E1544" s="1" t="s">
        <v>256</v>
      </c>
      <c r="F1544" s="1">
        <v>57</v>
      </c>
      <c r="G1544" s="1">
        <v>7</v>
      </c>
      <c r="H1544" s="1">
        <v>31.4</v>
      </c>
    </row>
    <row r="1545" spans="1:8" x14ac:dyDescent="0.3">
      <c r="A1545" t="str">
        <f t="shared" si="48"/>
        <v>3PD%</v>
      </c>
      <c r="B1545">
        <f t="shared" si="49"/>
        <v>13901</v>
      </c>
      <c r="E1545" s="1" t="s">
        <v>297</v>
      </c>
      <c r="F1545" s="1">
        <v>67</v>
      </c>
      <c r="G1545" s="1">
        <v>8</v>
      </c>
      <c r="H1545" s="1">
        <v>31.6</v>
      </c>
    </row>
    <row r="1546" spans="1:8" x14ac:dyDescent="0.3">
      <c r="A1546" t="str">
        <f t="shared" si="48"/>
        <v>3PD%</v>
      </c>
      <c r="B1546">
        <f t="shared" si="49"/>
        <v>16101</v>
      </c>
      <c r="E1546" s="1" t="s">
        <v>473</v>
      </c>
      <c r="F1546" s="1">
        <v>71</v>
      </c>
      <c r="G1546" s="1">
        <v>3</v>
      </c>
      <c r="H1546" s="1">
        <v>31.6</v>
      </c>
    </row>
    <row r="1547" spans="1:8" x14ac:dyDescent="0.3">
      <c r="A1547" t="str">
        <f t="shared" si="48"/>
        <v>3PD%</v>
      </c>
      <c r="B1547">
        <f t="shared" si="49"/>
        <v>6901</v>
      </c>
      <c r="E1547" s="1" t="s">
        <v>114</v>
      </c>
      <c r="F1547" s="1">
        <v>72</v>
      </c>
      <c r="G1547" s="1">
        <v>6</v>
      </c>
      <c r="H1547" s="1">
        <v>31.7</v>
      </c>
    </row>
    <row r="1548" spans="1:8" x14ac:dyDescent="0.3">
      <c r="A1548" t="str">
        <f t="shared" si="48"/>
        <v>3PD%</v>
      </c>
      <c r="B1548">
        <f t="shared" si="49"/>
        <v>3301</v>
      </c>
      <c r="E1548" s="1" t="s">
        <v>91</v>
      </c>
      <c r="F1548" s="1">
        <v>77</v>
      </c>
      <c r="G1548" s="1">
        <v>3</v>
      </c>
      <c r="H1548" s="1">
        <v>31.8</v>
      </c>
    </row>
    <row r="1549" spans="1:8" x14ac:dyDescent="0.3">
      <c r="A1549" t="str">
        <f t="shared" si="48"/>
        <v>3PD%</v>
      </c>
      <c r="B1549">
        <f t="shared" si="49"/>
        <v>4001</v>
      </c>
      <c r="E1549" s="1" t="s">
        <v>105</v>
      </c>
      <c r="F1549" s="1">
        <v>79</v>
      </c>
      <c r="G1549" s="1">
        <v>3</v>
      </c>
      <c r="H1549" s="1">
        <v>31.9</v>
      </c>
    </row>
    <row r="1550" spans="1:8" x14ac:dyDescent="0.3">
      <c r="A1550" t="str">
        <f t="shared" si="48"/>
        <v>3PD%</v>
      </c>
      <c r="B1550">
        <f t="shared" si="49"/>
        <v>8201</v>
      </c>
      <c r="E1550" s="1" t="s">
        <v>131</v>
      </c>
      <c r="F1550" s="1">
        <v>82</v>
      </c>
      <c r="G1550" s="1">
        <v>3</v>
      </c>
      <c r="H1550" s="1">
        <v>31.9</v>
      </c>
    </row>
    <row r="1551" spans="1:8" x14ac:dyDescent="0.3">
      <c r="A1551" t="str">
        <f t="shared" si="48"/>
        <v>3PD%</v>
      </c>
      <c r="B1551">
        <f t="shared" si="49"/>
        <v>5801</v>
      </c>
      <c r="E1551" s="1" t="s">
        <v>139</v>
      </c>
      <c r="F1551" s="1">
        <v>84</v>
      </c>
      <c r="G1551" s="1">
        <v>3</v>
      </c>
      <c r="H1551" s="1">
        <v>32</v>
      </c>
    </row>
    <row r="1552" spans="1:8" x14ac:dyDescent="0.3">
      <c r="A1552" t="str">
        <f t="shared" si="48"/>
        <v>3PD%</v>
      </c>
      <c r="B1552">
        <f t="shared" si="49"/>
        <v>201</v>
      </c>
      <c r="E1552" s="1" t="s">
        <v>98</v>
      </c>
      <c r="F1552" s="1">
        <v>96</v>
      </c>
      <c r="G1552" s="1">
        <v>4</v>
      </c>
      <c r="H1552" s="1">
        <v>32.299999999999997</v>
      </c>
    </row>
    <row r="1553" spans="1:8" x14ac:dyDescent="0.3">
      <c r="A1553" t="str">
        <f t="shared" si="48"/>
        <v>3PD%</v>
      </c>
      <c r="B1553">
        <f t="shared" si="49"/>
        <v>7201</v>
      </c>
      <c r="E1553" s="1" t="s">
        <v>116</v>
      </c>
      <c r="F1553" s="1">
        <v>103</v>
      </c>
      <c r="G1553" s="1">
        <v>6</v>
      </c>
      <c r="H1553" s="1">
        <v>32.4</v>
      </c>
    </row>
    <row r="1554" spans="1:8" x14ac:dyDescent="0.3">
      <c r="A1554" t="str">
        <f t="shared" si="48"/>
        <v>3PD%</v>
      </c>
      <c r="B1554">
        <f t="shared" si="49"/>
        <v>6601</v>
      </c>
      <c r="E1554" s="1" t="s">
        <v>247</v>
      </c>
      <c r="F1554" s="1">
        <v>104</v>
      </c>
      <c r="G1554" s="1">
        <v>4</v>
      </c>
      <c r="H1554" s="1">
        <v>32.4</v>
      </c>
    </row>
    <row r="1555" spans="1:8" x14ac:dyDescent="0.3">
      <c r="A1555" t="str">
        <f t="shared" si="48"/>
        <v>3PD%</v>
      </c>
      <c r="B1555">
        <f t="shared" si="49"/>
        <v>15701</v>
      </c>
      <c r="E1555" s="1" t="s">
        <v>469</v>
      </c>
      <c r="F1555" s="1">
        <v>108</v>
      </c>
      <c r="G1555" s="1">
        <v>8</v>
      </c>
      <c r="H1555" s="1">
        <v>32.4</v>
      </c>
    </row>
    <row r="1556" spans="1:8" x14ac:dyDescent="0.3">
      <c r="A1556" t="str">
        <f t="shared" si="48"/>
        <v>3PD%</v>
      </c>
      <c r="B1556">
        <f t="shared" si="49"/>
        <v>301</v>
      </c>
      <c r="E1556" s="1" t="s">
        <v>215</v>
      </c>
      <c r="F1556" s="1">
        <v>110</v>
      </c>
      <c r="G1556" s="1">
        <v>10</v>
      </c>
      <c r="H1556" s="1">
        <v>32.5</v>
      </c>
    </row>
    <row r="1557" spans="1:8" x14ac:dyDescent="0.3">
      <c r="A1557" t="str">
        <f t="shared" si="48"/>
        <v>3PD%</v>
      </c>
      <c r="B1557">
        <f t="shared" si="49"/>
        <v>14901</v>
      </c>
      <c r="E1557" s="1" t="s">
        <v>307</v>
      </c>
      <c r="F1557" s="1">
        <v>112</v>
      </c>
      <c r="G1557" s="1">
        <v>4</v>
      </c>
      <c r="H1557" s="1">
        <v>32.6</v>
      </c>
    </row>
    <row r="1558" spans="1:8" x14ac:dyDescent="0.3">
      <c r="A1558" t="str">
        <f t="shared" si="48"/>
        <v>3PD%</v>
      </c>
      <c r="B1558">
        <f t="shared" si="49"/>
        <v>3101</v>
      </c>
      <c r="E1558" s="1" t="s">
        <v>93</v>
      </c>
      <c r="F1558" s="1">
        <v>114</v>
      </c>
      <c r="G1558" s="1">
        <v>4</v>
      </c>
      <c r="H1558" s="1">
        <v>32.6</v>
      </c>
    </row>
    <row r="1559" spans="1:8" x14ac:dyDescent="0.3">
      <c r="A1559" t="str">
        <f t="shared" si="48"/>
        <v>3PD%</v>
      </c>
      <c r="B1559">
        <f t="shared" si="49"/>
        <v>11701</v>
      </c>
      <c r="E1559" s="1" t="s">
        <v>280</v>
      </c>
      <c r="F1559" s="1">
        <v>117</v>
      </c>
      <c r="G1559" s="1">
        <v>3</v>
      </c>
      <c r="H1559" s="1">
        <v>32.700000000000003</v>
      </c>
    </row>
    <row r="1560" spans="1:8" x14ac:dyDescent="0.3">
      <c r="A1560" t="str">
        <f t="shared" si="48"/>
        <v>3PD%</v>
      </c>
      <c r="B1560">
        <f t="shared" si="49"/>
        <v>10601</v>
      </c>
      <c r="E1560" s="1" t="s">
        <v>161</v>
      </c>
      <c r="F1560" s="1">
        <v>119</v>
      </c>
      <c r="G1560" s="1">
        <v>2</v>
      </c>
      <c r="H1560" s="1">
        <v>32.700000000000003</v>
      </c>
    </row>
    <row r="1561" spans="1:8" x14ac:dyDescent="0.3">
      <c r="A1561" t="str">
        <f t="shared" si="48"/>
        <v>3PD%</v>
      </c>
      <c r="B1561">
        <f t="shared" si="49"/>
        <v>12501</v>
      </c>
      <c r="E1561" s="1" t="s">
        <v>95</v>
      </c>
      <c r="F1561" s="1">
        <v>121</v>
      </c>
      <c r="G1561" s="1">
        <v>2</v>
      </c>
      <c r="H1561" s="1">
        <v>32.700000000000003</v>
      </c>
    </row>
    <row r="1562" spans="1:8" x14ac:dyDescent="0.3">
      <c r="A1562" t="str">
        <f t="shared" si="48"/>
        <v>3PD%</v>
      </c>
      <c r="B1562">
        <f t="shared" si="49"/>
        <v>15401</v>
      </c>
      <c r="E1562" s="1" t="s">
        <v>494</v>
      </c>
      <c r="F1562" s="1">
        <v>124</v>
      </c>
      <c r="G1562" s="1">
        <v>5</v>
      </c>
      <c r="H1562" s="1">
        <v>32.799999999999997</v>
      </c>
    </row>
    <row r="1563" spans="1:8" x14ac:dyDescent="0.3">
      <c r="A1563" t="str">
        <f t="shared" si="48"/>
        <v>3PD%</v>
      </c>
      <c r="B1563">
        <f t="shared" si="49"/>
        <v>9001</v>
      </c>
      <c r="E1563" s="1" t="s">
        <v>261</v>
      </c>
      <c r="F1563" s="1">
        <v>126</v>
      </c>
      <c r="G1563" s="1">
        <v>8</v>
      </c>
      <c r="H1563" s="1">
        <v>32.799999999999997</v>
      </c>
    </row>
    <row r="1564" spans="1:8" x14ac:dyDescent="0.3">
      <c r="A1564" t="str">
        <f t="shared" si="48"/>
        <v>3PD%</v>
      </c>
      <c r="B1564">
        <f t="shared" si="49"/>
        <v>15001</v>
      </c>
      <c r="E1564" s="1" t="s">
        <v>463</v>
      </c>
      <c r="F1564" s="1">
        <v>134</v>
      </c>
      <c r="G1564" s="1">
        <v>2</v>
      </c>
      <c r="H1564" s="1">
        <v>32.9</v>
      </c>
    </row>
    <row r="1565" spans="1:8" x14ac:dyDescent="0.3">
      <c r="A1565" t="str">
        <f t="shared" si="48"/>
        <v>3PD%</v>
      </c>
      <c r="B1565">
        <f t="shared" si="49"/>
        <v>15601</v>
      </c>
      <c r="E1565" s="1" t="s">
        <v>468</v>
      </c>
      <c r="F1565" s="1">
        <v>147</v>
      </c>
      <c r="G1565" s="1">
        <v>2</v>
      </c>
      <c r="H1565" s="1">
        <v>33.1</v>
      </c>
    </row>
    <row r="1566" spans="1:8" x14ac:dyDescent="0.3">
      <c r="A1566" t="str">
        <f t="shared" si="48"/>
        <v>3PD%</v>
      </c>
      <c r="B1566">
        <f t="shared" si="49"/>
        <v>1301</v>
      </c>
      <c r="E1566" s="1" t="s">
        <v>82</v>
      </c>
      <c r="F1566" s="1">
        <v>150</v>
      </c>
      <c r="G1566" s="1">
        <v>4</v>
      </c>
      <c r="H1566" s="1">
        <v>33.200000000000003</v>
      </c>
    </row>
    <row r="1567" spans="1:8" x14ac:dyDescent="0.3">
      <c r="A1567" t="str">
        <f t="shared" si="48"/>
        <v>3PD%</v>
      </c>
      <c r="B1567">
        <f t="shared" si="49"/>
        <v>4201</v>
      </c>
      <c r="E1567" s="1" t="s">
        <v>123</v>
      </c>
      <c r="F1567" s="1">
        <v>161</v>
      </c>
      <c r="G1567" s="1">
        <v>10</v>
      </c>
      <c r="H1567" s="1">
        <v>33.299999999999997</v>
      </c>
    </row>
    <row r="1568" spans="1:8" x14ac:dyDescent="0.3">
      <c r="A1568" t="str">
        <f t="shared" si="48"/>
        <v>3PD%</v>
      </c>
      <c r="B1568">
        <f t="shared" si="49"/>
        <v>16201</v>
      </c>
      <c r="E1568" s="1" t="s">
        <v>497</v>
      </c>
      <c r="F1568" s="1">
        <v>162</v>
      </c>
      <c r="G1568" s="1">
        <v>3</v>
      </c>
      <c r="H1568" s="1">
        <v>33.299999999999997</v>
      </c>
    </row>
    <row r="1569" spans="1:8" x14ac:dyDescent="0.3">
      <c r="A1569" t="str">
        <f t="shared" si="48"/>
        <v>3PD%</v>
      </c>
      <c r="B1569">
        <f t="shared" si="49"/>
        <v>3601</v>
      </c>
      <c r="E1569" s="1" t="s">
        <v>129</v>
      </c>
      <c r="F1569" s="1">
        <v>162</v>
      </c>
      <c r="G1569" s="1">
        <v>11</v>
      </c>
      <c r="H1569" s="1">
        <v>33.299999999999997</v>
      </c>
    </row>
    <row r="1570" spans="1:8" x14ac:dyDescent="0.3">
      <c r="A1570" t="str">
        <f t="shared" si="48"/>
        <v>3PD%</v>
      </c>
      <c r="B1570">
        <f t="shared" si="49"/>
        <v>15101</v>
      </c>
      <c r="E1570" s="1" t="s">
        <v>464</v>
      </c>
      <c r="F1570" s="1">
        <v>170</v>
      </c>
      <c r="G1570" s="1">
        <v>4</v>
      </c>
      <c r="H1570" s="1">
        <v>33.4</v>
      </c>
    </row>
    <row r="1571" spans="1:8" x14ac:dyDescent="0.3">
      <c r="A1571" t="str">
        <f t="shared" si="48"/>
        <v>3PD%</v>
      </c>
      <c r="B1571">
        <f t="shared" si="49"/>
        <v>2001</v>
      </c>
      <c r="E1571" s="1" t="s">
        <v>328</v>
      </c>
      <c r="F1571" s="1">
        <v>171</v>
      </c>
      <c r="G1571" s="1">
        <v>5</v>
      </c>
      <c r="H1571" s="1">
        <v>33.5</v>
      </c>
    </row>
    <row r="1572" spans="1:8" x14ac:dyDescent="0.3">
      <c r="A1572" t="str">
        <f t="shared" si="48"/>
        <v>3PD%</v>
      </c>
      <c r="B1572">
        <f t="shared" si="49"/>
        <v>4901</v>
      </c>
      <c r="E1572" s="1" t="s">
        <v>108</v>
      </c>
      <c r="F1572" s="1">
        <v>173</v>
      </c>
      <c r="G1572" s="1">
        <v>9</v>
      </c>
      <c r="H1572" s="1">
        <v>33.5</v>
      </c>
    </row>
    <row r="1573" spans="1:8" x14ac:dyDescent="0.3">
      <c r="A1573" t="str">
        <f t="shared" si="48"/>
        <v>3PD%</v>
      </c>
      <c r="B1573">
        <f t="shared" si="49"/>
        <v>14101</v>
      </c>
      <c r="E1573" s="1" t="s">
        <v>299</v>
      </c>
      <c r="F1573" s="1">
        <v>184</v>
      </c>
      <c r="G1573" s="1">
        <v>12</v>
      </c>
      <c r="H1573" s="1">
        <v>33.6</v>
      </c>
    </row>
    <row r="1574" spans="1:8" x14ac:dyDescent="0.3">
      <c r="A1574" t="str">
        <f t="shared" si="48"/>
        <v>3PD%</v>
      </c>
      <c r="B1574">
        <f t="shared" si="49"/>
        <v>4301</v>
      </c>
      <c r="E1574" s="1" t="s">
        <v>125</v>
      </c>
      <c r="F1574" s="1">
        <v>187</v>
      </c>
      <c r="G1574" s="1">
        <v>11</v>
      </c>
      <c r="H1574" s="1">
        <v>33.6</v>
      </c>
    </row>
    <row r="1575" spans="1:8" x14ac:dyDescent="0.3">
      <c r="A1575" t="str">
        <f t="shared" si="48"/>
        <v>3PD%</v>
      </c>
      <c r="B1575">
        <f t="shared" si="49"/>
        <v>601</v>
      </c>
      <c r="E1575" s="1" t="s">
        <v>100</v>
      </c>
      <c r="F1575" s="1">
        <v>188</v>
      </c>
      <c r="G1575" s="1">
        <v>10</v>
      </c>
      <c r="H1575" s="1">
        <v>33.6</v>
      </c>
    </row>
    <row r="1576" spans="1:8" x14ac:dyDescent="0.3">
      <c r="A1576" t="str">
        <f t="shared" si="48"/>
        <v>3PD%</v>
      </c>
      <c r="B1576">
        <f t="shared" si="49"/>
        <v>18301</v>
      </c>
      <c r="E1576" s="1" t="s">
        <v>423</v>
      </c>
      <c r="F1576" s="1">
        <v>191</v>
      </c>
      <c r="G1576" s="1">
        <v>8</v>
      </c>
      <c r="H1576" s="1">
        <v>33.700000000000003</v>
      </c>
    </row>
    <row r="1577" spans="1:8" x14ac:dyDescent="0.3">
      <c r="A1577" t="str">
        <f t="shared" si="48"/>
        <v>3PD%</v>
      </c>
      <c r="B1577">
        <f t="shared" si="49"/>
        <v>6701</v>
      </c>
      <c r="E1577" s="1" t="s">
        <v>118</v>
      </c>
      <c r="F1577" s="1">
        <v>197</v>
      </c>
      <c r="G1577" s="1">
        <v>13</v>
      </c>
      <c r="H1577" s="1">
        <v>33.799999999999997</v>
      </c>
    </row>
    <row r="1578" spans="1:8" x14ac:dyDescent="0.3">
      <c r="A1578" t="str">
        <f t="shared" si="48"/>
        <v>3PD%</v>
      </c>
      <c r="B1578">
        <f t="shared" si="49"/>
        <v>4701</v>
      </c>
      <c r="E1578" s="1" t="s">
        <v>107</v>
      </c>
      <c r="F1578" s="1">
        <v>202</v>
      </c>
      <c r="G1578" s="1">
        <v>6</v>
      </c>
      <c r="H1578" s="1">
        <v>33.799999999999997</v>
      </c>
    </row>
    <row r="1579" spans="1:8" x14ac:dyDescent="0.3">
      <c r="A1579" t="str">
        <f t="shared" si="48"/>
        <v>3PD%</v>
      </c>
      <c r="B1579">
        <f t="shared" si="49"/>
        <v>15801</v>
      </c>
      <c r="E1579" s="1" t="s">
        <v>470</v>
      </c>
      <c r="F1579" s="1">
        <v>205</v>
      </c>
      <c r="G1579" s="1">
        <v>5</v>
      </c>
      <c r="H1579" s="1">
        <v>33.9</v>
      </c>
    </row>
    <row r="1580" spans="1:8" x14ac:dyDescent="0.3">
      <c r="A1580" t="str">
        <f t="shared" si="48"/>
        <v>3PD%</v>
      </c>
      <c r="B1580">
        <f t="shared" si="49"/>
        <v>2901</v>
      </c>
      <c r="E1580" s="1" t="s">
        <v>96</v>
      </c>
      <c r="F1580" s="1">
        <v>212</v>
      </c>
      <c r="G1580" s="1">
        <v>11</v>
      </c>
      <c r="H1580" s="1">
        <v>34</v>
      </c>
    </row>
    <row r="1581" spans="1:8" x14ac:dyDescent="0.3">
      <c r="A1581" t="str">
        <f t="shared" si="48"/>
        <v>3PD%</v>
      </c>
      <c r="B1581">
        <f t="shared" si="49"/>
        <v>13101</v>
      </c>
      <c r="E1581" s="1" t="s">
        <v>289</v>
      </c>
      <c r="F1581" s="1">
        <v>215</v>
      </c>
      <c r="G1581" s="1">
        <v>10</v>
      </c>
      <c r="H1581" s="1">
        <v>34.1</v>
      </c>
    </row>
    <row r="1582" spans="1:8" x14ac:dyDescent="0.3">
      <c r="A1582" t="str">
        <f t="shared" si="48"/>
        <v>3PD%</v>
      </c>
      <c r="B1582">
        <f t="shared" si="49"/>
        <v>1401</v>
      </c>
      <c r="E1582" s="1" t="s">
        <v>102</v>
      </c>
      <c r="F1582" s="1">
        <v>217</v>
      </c>
      <c r="G1582" s="1">
        <v>7</v>
      </c>
      <c r="H1582" s="1">
        <v>34.1</v>
      </c>
    </row>
    <row r="1583" spans="1:8" x14ac:dyDescent="0.3">
      <c r="A1583" t="str">
        <f t="shared" si="48"/>
        <v>3PD%</v>
      </c>
      <c r="B1583">
        <f t="shared" si="49"/>
        <v>18501</v>
      </c>
      <c r="E1583" s="1" t="s">
        <v>420</v>
      </c>
      <c r="F1583" s="1">
        <v>219</v>
      </c>
      <c r="G1583" s="1">
        <v>3</v>
      </c>
      <c r="H1583" s="1">
        <v>34.1</v>
      </c>
    </row>
    <row r="1584" spans="1:8" x14ac:dyDescent="0.3">
      <c r="A1584" t="str">
        <f t="shared" si="48"/>
        <v>3PD%</v>
      </c>
      <c r="B1584">
        <f t="shared" si="49"/>
        <v>7401</v>
      </c>
      <c r="E1584" s="1" t="s">
        <v>251</v>
      </c>
      <c r="F1584" s="1">
        <v>236</v>
      </c>
      <c r="G1584" s="1">
        <v>7</v>
      </c>
      <c r="H1584" s="1">
        <v>34.4</v>
      </c>
    </row>
    <row r="1585" spans="1:10" x14ac:dyDescent="0.3">
      <c r="A1585" t="str">
        <f t="shared" si="48"/>
        <v>3PD%</v>
      </c>
      <c r="B1585">
        <f t="shared" si="49"/>
        <v>2301</v>
      </c>
      <c r="E1585" s="1" t="s">
        <v>79</v>
      </c>
      <c r="F1585" s="1">
        <v>274</v>
      </c>
      <c r="G1585" s="1">
        <v>10</v>
      </c>
      <c r="H1585" s="1">
        <v>35</v>
      </c>
    </row>
    <row r="1586" spans="1:10" x14ac:dyDescent="0.3">
      <c r="A1586" t="str">
        <f t="shared" si="48"/>
        <v>3PD%</v>
      </c>
      <c r="B1586">
        <f t="shared" si="49"/>
        <v>3201</v>
      </c>
      <c r="E1586" s="1" t="s">
        <v>127</v>
      </c>
      <c r="F1586" s="1">
        <v>298</v>
      </c>
      <c r="G1586" s="1">
        <v>15</v>
      </c>
      <c r="H1586" s="1">
        <v>35.5</v>
      </c>
    </row>
    <row r="1587" spans="1:10" x14ac:dyDescent="0.3">
      <c r="A1587" t="str">
        <f t="shared" si="48"/>
        <v>3PD%</v>
      </c>
      <c r="B1587">
        <f t="shared" si="49"/>
        <v>2701</v>
      </c>
      <c r="E1587" s="1" t="s">
        <v>7</v>
      </c>
      <c r="F1587" s="1">
        <v>306</v>
      </c>
      <c r="G1587" s="1">
        <v>16</v>
      </c>
      <c r="H1587" s="1">
        <v>35.700000000000003</v>
      </c>
    </row>
    <row r="1588" spans="1:10" x14ac:dyDescent="0.3">
      <c r="A1588" t="str">
        <f t="shared" si="48"/>
        <v>3PD%</v>
      </c>
      <c r="B1588">
        <f t="shared" si="49"/>
        <v>1601</v>
      </c>
      <c r="E1588" s="1" t="s">
        <v>137</v>
      </c>
      <c r="F1588" s="1">
        <v>316</v>
      </c>
      <c r="G1588" s="1">
        <v>15</v>
      </c>
      <c r="H1588" s="1">
        <v>35.799999999999997</v>
      </c>
    </row>
    <row r="1589" spans="1:10" x14ac:dyDescent="0.3">
      <c r="A1589" t="str">
        <f t="shared" si="48"/>
        <v>3PD%</v>
      </c>
      <c r="B1589">
        <f t="shared" si="49"/>
        <v>14401</v>
      </c>
      <c r="E1589" s="1" t="s">
        <v>302</v>
      </c>
      <c r="F1589" s="1">
        <v>334</v>
      </c>
      <c r="G1589" s="1">
        <v>16</v>
      </c>
      <c r="H1589" s="1">
        <v>36.6</v>
      </c>
    </row>
    <row r="1590" spans="1:10" x14ac:dyDescent="0.3">
      <c r="A1590" t="str">
        <f t="shared" si="48"/>
        <v>3PPG</v>
      </c>
      <c r="B1590">
        <f t="shared" si="49"/>
        <v>8202</v>
      </c>
      <c r="D1590" s="1" t="s">
        <v>534</v>
      </c>
      <c r="E1590" s="1" t="s">
        <v>131</v>
      </c>
      <c r="F1590" s="1">
        <v>8</v>
      </c>
      <c r="G1590" s="1">
        <v>1</v>
      </c>
      <c r="H1590" s="1">
        <v>10.7</v>
      </c>
      <c r="I1590" s="1" t="s">
        <v>173</v>
      </c>
      <c r="J1590" s="1">
        <v>12.8</v>
      </c>
    </row>
    <row r="1591" spans="1:10" x14ac:dyDescent="0.3">
      <c r="A1591" t="str">
        <f t="shared" si="48"/>
        <v>3PPG</v>
      </c>
      <c r="B1591">
        <f t="shared" si="49"/>
        <v>15002</v>
      </c>
      <c r="E1591" s="1" t="s">
        <v>463</v>
      </c>
      <c r="F1591" s="1">
        <v>9</v>
      </c>
      <c r="G1591" s="1">
        <v>2</v>
      </c>
      <c r="H1591" s="1">
        <v>10.7</v>
      </c>
    </row>
    <row r="1592" spans="1:10" x14ac:dyDescent="0.3">
      <c r="A1592" t="str">
        <f t="shared" si="48"/>
        <v>3PPG</v>
      </c>
      <c r="B1592">
        <f t="shared" si="49"/>
        <v>3702</v>
      </c>
      <c r="E1592" s="1" t="s">
        <v>115</v>
      </c>
      <c r="F1592" s="1">
        <v>12</v>
      </c>
      <c r="G1592" s="1">
        <v>1</v>
      </c>
      <c r="H1592" s="1">
        <v>10.5</v>
      </c>
    </row>
    <row r="1593" spans="1:10" x14ac:dyDescent="0.3">
      <c r="A1593" t="str">
        <f t="shared" si="48"/>
        <v>3PPG</v>
      </c>
      <c r="B1593">
        <f t="shared" si="49"/>
        <v>2702</v>
      </c>
      <c r="E1593" s="1" t="s">
        <v>7</v>
      </c>
      <c r="F1593" s="1">
        <v>15</v>
      </c>
      <c r="G1593" s="1">
        <v>1</v>
      </c>
      <c r="H1593" s="1">
        <v>10.5</v>
      </c>
    </row>
    <row r="1594" spans="1:10" x14ac:dyDescent="0.3">
      <c r="A1594" t="str">
        <f t="shared" si="48"/>
        <v>3PPG</v>
      </c>
      <c r="B1594">
        <f t="shared" si="49"/>
        <v>5102</v>
      </c>
      <c r="E1594" s="1" t="s">
        <v>240</v>
      </c>
      <c r="F1594" s="1">
        <v>17</v>
      </c>
      <c r="G1594" s="1">
        <v>1</v>
      </c>
      <c r="H1594" s="1">
        <v>10.5</v>
      </c>
    </row>
    <row r="1595" spans="1:10" x14ac:dyDescent="0.3">
      <c r="A1595" t="str">
        <f t="shared" si="48"/>
        <v>3PPG</v>
      </c>
      <c r="B1595">
        <f t="shared" si="49"/>
        <v>5402</v>
      </c>
      <c r="E1595" s="1" t="s">
        <v>94</v>
      </c>
      <c r="F1595" s="1">
        <v>21</v>
      </c>
      <c r="G1595" s="1">
        <v>1</v>
      </c>
      <c r="H1595" s="1">
        <v>10.1</v>
      </c>
    </row>
    <row r="1596" spans="1:10" x14ac:dyDescent="0.3">
      <c r="A1596" t="str">
        <f t="shared" si="48"/>
        <v>3PPG</v>
      </c>
      <c r="B1596">
        <f t="shared" si="49"/>
        <v>7202</v>
      </c>
      <c r="E1596" s="1" t="s">
        <v>116</v>
      </c>
      <c r="F1596" s="1">
        <v>23</v>
      </c>
      <c r="G1596" s="1">
        <v>2</v>
      </c>
      <c r="H1596" s="1">
        <v>10</v>
      </c>
    </row>
    <row r="1597" spans="1:10" x14ac:dyDescent="0.3">
      <c r="A1597" t="str">
        <f t="shared" si="48"/>
        <v>3PPG</v>
      </c>
      <c r="B1597">
        <f t="shared" si="49"/>
        <v>4202</v>
      </c>
      <c r="E1597" s="1" t="s">
        <v>123</v>
      </c>
      <c r="F1597" s="1">
        <v>26</v>
      </c>
      <c r="G1597" s="1">
        <v>1</v>
      </c>
      <c r="H1597" s="1">
        <v>9.9</v>
      </c>
    </row>
    <row r="1598" spans="1:10" x14ac:dyDescent="0.3">
      <c r="A1598" t="str">
        <f t="shared" si="48"/>
        <v>3PPG</v>
      </c>
      <c r="B1598">
        <f t="shared" si="49"/>
        <v>8302</v>
      </c>
      <c r="E1598" s="1" t="s">
        <v>257</v>
      </c>
      <c r="F1598" s="1">
        <v>27</v>
      </c>
      <c r="G1598" s="1">
        <v>2</v>
      </c>
      <c r="H1598" s="1">
        <v>9.8000000000000007</v>
      </c>
    </row>
    <row r="1599" spans="1:10" x14ac:dyDescent="0.3">
      <c r="A1599" t="str">
        <f t="shared" si="48"/>
        <v>3PPG</v>
      </c>
      <c r="B1599">
        <f t="shared" si="49"/>
        <v>5702</v>
      </c>
      <c r="E1599" s="1" t="s">
        <v>120</v>
      </c>
      <c r="F1599" s="1">
        <v>32</v>
      </c>
      <c r="G1599" s="1">
        <v>2</v>
      </c>
      <c r="H1599" s="1">
        <v>9.8000000000000007</v>
      </c>
    </row>
    <row r="1600" spans="1:10" x14ac:dyDescent="0.3">
      <c r="A1600" t="str">
        <f t="shared" si="48"/>
        <v>3PPG</v>
      </c>
      <c r="B1600">
        <f t="shared" si="49"/>
        <v>15802</v>
      </c>
      <c r="E1600" s="1" t="s">
        <v>470</v>
      </c>
      <c r="F1600" s="1">
        <v>33</v>
      </c>
      <c r="G1600" s="1">
        <v>4</v>
      </c>
      <c r="H1600" s="1">
        <v>9.6999999999999993</v>
      </c>
    </row>
    <row r="1601" spans="1:8" x14ac:dyDescent="0.3">
      <c r="A1601" t="str">
        <f t="shared" si="48"/>
        <v>3PPG</v>
      </c>
      <c r="B1601">
        <f t="shared" si="49"/>
        <v>12202</v>
      </c>
      <c r="E1601" s="1" t="s">
        <v>284</v>
      </c>
      <c r="F1601" s="1">
        <v>36</v>
      </c>
      <c r="G1601" s="1">
        <v>2</v>
      </c>
      <c r="H1601" s="1">
        <v>9.6</v>
      </c>
    </row>
    <row r="1602" spans="1:8" x14ac:dyDescent="0.3">
      <c r="A1602" t="str">
        <f t="shared" ref="A1602:A1665" si="50">IF(NOT(D1602=""),INDEX(statAbbr,MATCH(D1602,statOfficial,0),1),A1601)</f>
        <v>3PPG</v>
      </c>
      <c r="B1602">
        <f t="shared" ref="B1602:B1665" si="51">INDEX(statID,MATCH(A1602,statAbbr,0),1)+INDEX(teamID,MATCH(E1602,teamRawName,0))</f>
        <v>3102</v>
      </c>
      <c r="E1602" s="1" t="s">
        <v>93</v>
      </c>
      <c r="F1602" s="1">
        <v>38</v>
      </c>
      <c r="G1602" s="1">
        <v>1</v>
      </c>
      <c r="H1602" s="1">
        <v>9.6</v>
      </c>
    </row>
    <row r="1603" spans="1:8" x14ac:dyDescent="0.3">
      <c r="A1603" t="str">
        <f t="shared" si="50"/>
        <v>3PPG</v>
      </c>
      <c r="B1603">
        <f t="shared" si="51"/>
        <v>5502</v>
      </c>
      <c r="E1603" s="1" t="s">
        <v>86</v>
      </c>
      <c r="F1603" s="1">
        <v>43</v>
      </c>
      <c r="G1603" s="1">
        <v>3</v>
      </c>
      <c r="H1603" s="1">
        <v>9.5</v>
      </c>
    </row>
    <row r="1604" spans="1:8" x14ac:dyDescent="0.3">
      <c r="A1604" t="str">
        <f t="shared" si="50"/>
        <v>3PPG</v>
      </c>
      <c r="B1604">
        <f t="shared" si="51"/>
        <v>3302</v>
      </c>
      <c r="E1604" s="1" t="s">
        <v>91</v>
      </c>
      <c r="F1604" s="1">
        <v>44</v>
      </c>
      <c r="G1604" s="1">
        <v>3</v>
      </c>
      <c r="H1604" s="1">
        <v>9.4</v>
      </c>
    </row>
    <row r="1605" spans="1:8" x14ac:dyDescent="0.3">
      <c r="A1605" t="str">
        <f t="shared" si="50"/>
        <v>3PPG</v>
      </c>
      <c r="B1605">
        <f t="shared" si="51"/>
        <v>4302</v>
      </c>
      <c r="E1605" s="1" t="s">
        <v>125</v>
      </c>
      <c r="F1605" s="1">
        <v>45</v>
      </c>
      <c r="G1605" s="1">
        <v>3</v>
      </c>
      <c r="H1605" s="1">
        <v>9.4</v>
      </c>
    </row>
    <row r="1606" spans="1:8" x14ac:dyDescent="0.3">
      <c r="A1606" t="str">
        <f t="shared" si="50"/>
        <v>3PPG</v>
      </c>
      <c r="B1606">
        <f t="shared" si="51"/>
        <v>13102</v>
      </c>
      <c r="E1606" s="1" t="s">
        <v>289</v>
      </c>
      <c r="F1606" s="1">
        <v>47</v>
      </c>
      <c r="G1606" s="1">
        <v>2</v>
      </c>
      <c r="H1606" s="1">
        <v>9.4</v>
      </c>
    </row>
    <row r="1607" spans="1:8" x14ac:dyDescent="0.3">
      <c r="A1607" t="str">
        <f t="shared" si="50"/>
        <v>3PPG</v>
      </c>
      <c r="B1607">
        <f t="shared" si="51"/>
        <v>18502</v>
      </c>
      <c r="E1607" s="1" t="s">
        <v>420</v>
      </c>
      <c r="F1607" s="1">
        <v>48</v>
      </c>
      <c r="G1607" s="1">
        <v>2</v>
      </c>
      <c r="H1607" s="1">
        <v>9.3000000000000007</v>
      </c>
    </row>
    <row r="1608" spans="1:8" x14ac:dyDescent="0.3">
      <c r="A1608" t="str">
        <f t="shared" si="50"/>
        <v>3PPG</v>
      </c>
      <c r="B1608">
        <f t="shared" si="51"/>
        <v>4502</v>
      </c>
      <c r="E1608" s="1" t="s">
        <v>84</v>
      </c>
      <c r="F1608" s="1">
        <v>58</v>
      </c>
      <c r="G1608" s="1">
        <v>4</v>
      </c>
      <c r="H1608" s="1">
        <v>9</v>
      </c>
    </row>
    <row r="1609" spans="1:8" x14ac:dyDescent="0.3">
      <c r="A1609" t="str">
        <f t="shared" si="50"/>
        <v>3PPG</v>
      </c>
      <c r="B1609">
        <f t="shared" si="51"/>
        <v>16202</v>
      </c>
      <c r="E1609" s="1" t="s">
        <v>497</v>
      </c>
      <c r="F1609" s="1">
        <v>64</v>
      </c>
      <c r="G1609" s="1">
        <v>2</v>
      </c>
      <c r="H1609" s="1">
        <v>8.9</v>
      </c>
    </row>
    <row r="1610" spans="1:8" x14ac:dyDescent="0.3">
      <c r="A1610" t="str">
        <f t="shared" si="50"/>
        <v>3PPG</v>
      </c>
      <c r="B1610">
        <f t="shared" si="51"/>
        <v>1402</v>
      </c>
      <c r="E1610" s="1" t="s">
        <v>102</v>
      </c>
      <c r="F1610" s="1">
        <v>66</v>
      </c>
      <c r="G1610" s="1">
        <v>1</v>
      </c>
      <c r="H1610" s="1">
        <v>8.8000000000000007</v>
      </c>
    </row>
    <row r="1611" spans="1:8" x14ac:dyDescent="0.3">
      <c r="A1611" t="str">
        <f t="shared" si="50"/>
        <v>3PPG</v>
      </c>
      <c r="B1611">
        <f t="shared" si="51"/>
        <v>14102</v>
      </c>
      <c r="E1611" s="1" t="s">
        <v>299</v>
      </c>
      <c r="F1611" s="1">
        <v>70</v>
      </c>
      <c r="G1611" s="1">
        <v>5</v>
      </c>
      <c r="H1611" s="1">
        <v>8.6999999999999993</v>
      </c>
    </row>
    <row r="1612" spans="1:8" x14ac:dyDescent="0.3">
      <c r="A1612" t="str">
        <f t="shared" si="50"/>
        <v>3PPG</v>
      </c>
      <c r="B1612">
        <f t="shared" si="51"/>
        <v>1302</v>
      </c>
      <c r="E1612" s="1" t="s">
        <v>82</v>
      </c>
      <c r="F1612" s="1">
        <v>80</v>
      </c>
      <c r="G1612" s="1">
        <v>2</v>
      </c>
      <c r="H1612" s="1">
        <v>8.6</v>
      </c>
    </row>
    <row r="1613" spans="1:8" x14ac:dyDescent="0.3">
      <c r="A1613" t="str">
        <f t="shared" si="50"/>
        <v>3PPG</v>
      </c>
      <c r="B1613">
        <f t="shared" si="51"/>
        <v>15602</v>
      </c>
      <c r="E1613" s="1" t="s">
        <v>468</v>
      </c>
      <c r="F1613" s="1">
        <v>85</v>
      </c>
      <c r="G1613" s="1">
        <v>3</v>
      </c>
      <c r="H1613" s="1">
        <v>8.5</v>
      </c>
    </row>
    <row r="1614" spans="1:8" x14ac:dyDescent="0.3">
      <c r="A1614" t="str">
        <f t="shared" si="50"/>
        <v>3PPG</v>
      </c>
      <c r="B1614">
        <f t="shared" si="51"/>
        <v>2302</v>
      </c>
      <c r="E1614" s="1" t="s">
        <v>79</v>
      </c>
      <c r="F1614" s="1">
        <v>85</v>
      </c>
      <c r="G1614" s="1">
        <v>6</v>
      </c>
      <c r="H1614" s="1">
        <v>8.5</v>
      </c>
    </row>
    <row r="1615" spans="1:8" x14ac:dyDescent="0.3">
      <c r="A1615" t="str">
        <f t="shared" si="50"/>
        <v>3PPG</v>
      </c>
      <c r="B1615">
        <f t="shared" si="51"/>
        <v>4002</v>
      </c>
      <c r="E1615" s="1" t="s">
        <v>105</v>
      </c>
      <c r="F1615" s="1">
        <v>94</v>
      </c>
      <c r="G1615" s="1">
        <v>3</v>
      </c>
      <c r="H1615" s="1">
        <v>8.5</v>
      </c>
    </row>
    <row r="1616" spans="1:8" x14ac:dyDescent="0.3">
      <c r="A1616" t="str">
        <f t="shared" si="50"/>
        <v>3PPG</v>
      </c>
      <c r="B1616">
        <f t="shared" si="51"/>
        <v>1602</v>
      </c>
      <c r="E1616" s="1" t="s">
        <v>137</v>
      </c>
      <c r="F1616" s="1">
        <v>94</v>
      </c>
      <c r="G1616" s="1">
        <v>6</v>
      </c>
      <c r="H1616" s="1">
        <v>8.5</v>
      </c>
    </row>
    <row r="1617" spans="1:8" x14ac:dyDescent="0.3">
      <c r="A1617" t="str">
        <f t="shared" si="50"/>
        <v>3PPG</v>
      </c>
      <c r="B1617">
        <f t="shared" si="51"/>
        <v>3802</v>
      </c>
      <c r="E1617" s="1" t="s">
        <v>238</v>
      </c>
      <c r="F1617" s="1">
        <v>94</v>
      </c>
      <c r="G1617" s="1">
        <v>6</v>
      </c>
      <c r="H1617" s="1">
        <v>8.5</v>
      </c>
    </row>
    <row r="1618" spans="1:8" x14ac:dyDescent="0.3">
      <c r="A1618" t="str">
        <f t="shared" si="50"/>
        <v>3PPG</v>
      </c>
      <c r="B1618">
        <f t="shared" si="51"/>
        <v>3202</v>
      </c>
      <c r="E1618" s="1" t="s">
        <v>127</v>
      </c>
      <c r="F1618" s="1">
        <v>100</v>
      </c>
      <c r="G1618" s="1">
        <v>7</v>
      </c>
      <c r="H1618" s="1">
        <v>8.4</v>
      </c>
    </row>
    <row r="1619" spans="1:8" x14ac:dyDescent="0.3">
      <c r="A1619" t="str">
        <f t="shared" si="50"/>
        <v>3PPG</v>
      </c>
      <c r="B1619">
        <f t="shared" si="51"/>
        <v>7402</v>
      </c>
      <c r="E1619" s="1" t="s">
        <v>251</v>
      </c>
      <c r="F1619" s="1">
        <v>103</v>
      </c>
      <c r="G1619" s="1">
        <v>8</v>
      </c>
      <c r="H1619" s="1">
        <v>8.4</v>
      </c>
    </row>
    <row r="1620" spans="1:8" x14ac:dyDescent="0.3">
      <c r="A1620" t="str">
        <f t="shared" si="50"/>
        <v>3PPG</v>
      </c>
      <c r="B1620">
        <f t="shared" si="51"/>
        <v>302</v>
      </c>
      <c r="E1620" s="1" t="s">
        <v>215</v>
      </c>
      <c r="F1620" s="1">
        <v>107</v>
      </c>
      <c r="G1620" s="1">
        <v>8</v>
      </c>
      <c r="H1620" s="1">
        <v>8.3000000000000007</v>
      </c>
    </row>
    <row r="1621" spans="1:8" x14ac:dyDescent="0.3">
      <c r="A1621" t="str">
        <f t="shared" si="50"/>
        <v>3PPG</v>
      </c>
      <c r="B1621">
        <f t="shared" si="51"/>
        <v>18402</v>
      </c>
      <c r="E1621" s="1" t="s">
        <v>417</v>
      </c>
      <c r="F1621" s="1">
        <v>107</v>
      </c>
      <c r="G1621" s="1">
        <v>1</v>
      </c>
      <c r="H1621" s="1">
        <v>8.3000000000000007</v>
      </c>
    </row>
    <row r="1622" spans="1:8" x14ac:dyDescent="0.3">
      <c r="A1622" t="str">
        <f t="shared" si="50"/>
        <v>3PPG</v>
      </c>
      <c r="B1622">
        <f t="shared" si="51"/>
        <v>10602</v>
      </c>
      <c r="E1622" s="1" t="s">
        <v>161</v>
      </c>
      <c r="F1622" s="1">
        <v>111</v>
      </c>
      <c r="G1622" s="1">
        <v>1</v>
      </c>
      <c r="H1622" s="1">
        <v>8.3000000000000007</v>
      </c>
    </row>
    <row r="1623" spans="1:8" x14ac:dyDescent="0.3">
      <c r="A1623" t="str">
        <f t="shared" si="50"/>
        <v>3PPG</v>
      </c>
      <c r="B1623">
        <f t="shared" si="51"/>
        <v>15902</v>
      </c>
      <c r="E1623" s="1" t="s">
        <v>495</v>
      </c>
      <c r="F1623" s="1">
        <v>115</v>
      </c>
      <c r="G1623" s="1">
        <v>2</v>
      </c>
      <c r="H1623" s="1">
        <v>8.3000000000000007</v>
      </c>
    </row>
    <row r="1624" spans="1:8" x14ac:dyDescent="0.3">
      <c r="A1624" t="str">
        <f t="shared" si="50"/>
        <v>3PPG</v>
      </c>
      <c r="B1624">
        <f t="shared" si="51"/>
        <v>3002</v>
      </c>
      <c r="E1624" s="1" t="s">
        <v>89</v>
      </c>
      <c r="F1624" s="1">
        <v>116</v>
      </c>
      <c r="G1624" s="1">
        <v>4</v>
      </c>
      <c r="H1624" s="1">
        <v>8.3000000000000007</v>
      </c>
    </row>
    <row r="1625" spans="1:8" x14ac:dyDescent="0.3">
      <c r="A1625" t="str">
        <f t="shared" si="50"/>
        <v>3PPG</v>
      </c>
      <c r="B1625">
        <f t="shared" si="51"/>
        <v>3502</v>
      </c>
      <c r="E1625" s="1" t="s">
        <v>87</v>
      </c>
      <c r="F1625" s="1">
        <v>118</v>
      </c>
      <c r="G1625" s="1">
        <v>9</v>
      </c>
      <c r="H1625" s="1">
        <v>8.1999999999999993</v>
      </c>
    </row>
    <row r="1626" spans="1:8" x14ac:dyDescent="0.3">
      <c r="A1626" t="str">
        <f t="shared" si="50"/>
        <v>3PPG</v>
      </c>
      <c r="B1626">
        <f t="shared" si="51"/>
        <v>2802</v>
      </c>
      <c r="E1626" s="1" t="s">
        <v>106</v>
      </c>
      <c r="F1626" s="1">
        <v>128</v>
      </c>
      <c r="G1626" s="1">
        <v>8</v>
      </c>
      <c r="H1626" s="1">
        <v>8.1999999999999993</v>
      </c>
    </row>
    <row r="1627" spans="1:8" x14ac:dyDescent="0.3">
      <c r="A1627" t="str">
        <f t="shared" si="50"/>
        <v>3PPG</v>
      </c>
      <c r="B1627">
        <f t="shared" si="51"/>
        <v>7602</v>
      </c>
      <c r="E1627" s="1" t="s">
        <v>253</v>
      </c>
      <c r="F1627" s="1">
        <v>129</v>
      </c>
      <c r="G1627" s="1">
        <v>6</v>
      </c>
      <c r="H1627" s="1">
        <v>8.1</v>
      </c>
    </row>
    <row r="1628" spans="1:8" x14ac:dyDescent="0.3">
      <c r="A1628" t="str">
        <f t="shared" si="50"/>
        <v>3PPG</v>
      </c>
      <c r="B1628">
        <f t="shared" si="51"/>
        <v>11102</v>
      </c>
      <c r="E1628" s="1" t="s">
        <v>277</v>
      </c>
      <c r="F1628" s="1">
        <v>132</v>
      </c>
      <c r="G1628" s="1">
        <v>7</v>
      </c>
      <c r="H1628" s="1">
        <v>8.1</v>
      </c>
    </row>
    <row r="1629" spans="1:8" x14ac:dyDescent="0.3">
      <c r="A1629" t="str">
        <f t="shared" si="50"/>
        <v>3PPG</v>
      </c>
      <c r="B1629">
        <f t="shared" si="51"/>
        <v>14402</v>
      </c>
      <c r="E1629" s="1" t="s">
        <v>302</v>
      </c>
      <c r="F1629" s="1">
        <v>136</v>
      </c>
      <c r="G1629" s="1">
        <v>10</v>
      </c>
      <c r="H1629" s="1">
        <v>8.1</v>
      </c>
    </row>
    <row r="1630" spans="1:8" x14ac:dyDescent="0.3">
      <c r="A1630" t="str">
        <f t="shared" si="50"/>
        <v>3PPG</v>
      </c>
      <c r="B1630">
        <f t="shared" si="51"/>
        <v>4902</v>
      </c>
      <c r="E1630" s="1" t="s">
        <v>108</v>
      </c>
      <c r="F1630" s="1">
        <v>143</v>
      </c>
      <c r="G1630" s="1">
        <v>7</v>
      </c>
      <c r="H1630" s="1">
        <v>8</v>
      </c>
    </row>
    <row r="1631" spans="1:8" x14ac:dyDescent="0.3">
      <c r="A1631" t="str">
        <f t="shared" si="50"/>
        <v>3PPG</v>
      </c>
      <c r="B1631">
        <f t="shared" si="51"/>
        <v>16102</v>
      </c>
      <c r="E1631" s="1" t="s">
        <v>473</v>
      </c>
      <c r="F1631" s="1">
        <v>149</v>
      </c>
      <c r="G1631" s="1">
        <v>6</v>
      </c>
      <c r="H1631" s="1">
        <v>7.9</v>
      </c>
    </row>
    <row r="1632" spans="1:8" x14ac:dyDescent="0.3">
      <c r="A1632" t="str">
        <f t="shared" si="50"/>
        <v>3PPG</v>
      </c>
      <c r="B1632">
        <f t="shared" si="51"/>
        <v>14902</v>
      </c>
      <c r="E1632" s="1" t="s">
        <v>307</v>
      </c>
      <c r="F1632" s="1">
        <v>168</v>
      </c>
      <c r="G1632" s="1">
        <v>4</v>
      </c>
      <c r="H1632" s="1">
        <v>7.7</v>
      </c>
    </row>
    <row r="1633" spans="1:8" x14ac:dyDescent="0.3">
      <c r="A1633" t="str">
        <f t="shared" si="50"/>
        <v>3PPG</v>
      </c>
      <c r="B1633">
        <f t="shared" si="51"/>
        <v>6902</v>
      </c>
      <c r="E1633" s="1" t="s">
        <v>114</v>
      </c>
      <c r="F1633" s="1">
        <v>168</v>
      </c>
      <c r="G1633" s="1">
        <v>8</v>
      </c>
      <c r="H1633" s="1">
        <v>7.7</v>
      </c>
    </row>
    <row r="1634" spans="1:8" x14ac:dyDescent="0.3">
      <c r="A1634" t="str">
        <f t="shared" si="50"/>
        <v>3PPG</v>
      </c>
      <c r="B1634">
        <f t="shared" si="51"/>
        <v>1202</v>
      </c>
      <c r="E1634" s="1" t="s">
        <v>130</v>
      </c>
      <c r="F1634" s="1">
        <v>172</v>
      </c>
      <c r="G1634" s="1">
        <v>5</v>
      </c>
      <c r="H1634" s="1">
        <v>7.7</v>
      </c>
    </row>
    <row r="1635" spans="1:8" x14ac:dyDescent="0.3">
      <c r="A1635" t="str">
        <f t="shared" si="50"/>
        <v>3PPG</v>
      </c>
      <c r="B1635">
        <f t="shared" si="51"/>
        <v>15702</v>
      </c>
      <c r="E1635" s="1" t="s">
        <v>469</v>
      </c>
      <c r="F1635" s="1">
        <v>175</v>
      </c>
      <c r="G1635" s="1">
        <v>7</v>
      </c>
      <c r="H1635" s="1">
        <v>7.7</v>
      </c>
    </row>
    <row r="1636" spans="1:8" x14ac:dyDescent="0.3">
      <c r="A1636" t="str">
        <f t="shared" si="50"/>
        <v>3PPG</v>
      </c>
      <c r="B1636">
        <f t="shared" si="51"/>
        <v>602</v>
      </c>
      <c r="E1636" s="1" t="s">
        <v>100</v>
      </c>
      <c r="F1636" s="1">
        <v>179</v>
      </c>
      <c r="G1636" s="1">
        <v>10</v>
      </c>
      <c r="H1636" s="1">
        <v>7.7</v>
      </c>
    </row>
    <row r="1637" spans="1:8" x14ac:dyDescent="0.3">
      <c r="A1637" t="str">
        <f t="shared" si="50"/>
        <v>3PPG</v>
      </c>
      <c r="B1637">
        <f t="shared" si="51"/>
        <v>12502</v>
      </c>
      <c r="E1637" s="1" t="s">
        <v>95</v>
      </c>
      <c r="F1637" s="1">
        <v>181</v>
      </c>
      <c r="G1637" s="1">
        <v>7</v>
      </c>
      <c r="H1637" s="1">
        <v>7.6</v>
      </c>
    </row>
    <row r="1638" spans="1:8" x14ac:dyDescent="0.3">
      <c r="A1638" t="str">
        <f t="shared" si="50"/>
        <v>3PPG</v>
      </c>
      <c r="B1638">
        <f t="shared" si="51"/>
        <v>15102</v>
      </c>
      <c r="E1638" s="1" t="s">
        <v>464</v>
      </c>
      <c r="F1638" s="1">
        <v>189</v>
      </c>
      <c r="G1638" s="1">
        <v>7</v>
      </c>
      <c r="H1638" s="1">
        <v>7.5</v>
      </c>
    </row>
    <row r="1639" spans="1:8" x14ac:dyDescent="0.3">
      <c r="A1639" t="str">
        <f t="shared" si="50"/>
        <v>3PPG</v>
      </c>
      <c r="B1639">
        <f t="shared" si="51"/>
        <v>6702</v>
      </c>
      <c r="E1639" s="1" t="s">
        <v>118</v>
      </c>
      <c r="F1639" s="1">
        <v>189</v>
      </c>
      <c r="G1639" s="1">
        <v>12</v>
      </c>
      <c r="H1639" s="1">
        <v>7.5</v>
      </c>
    </row>
    <row r="1640" spans="1:8" x14ac:dyDescent="0.3">
      <c r="A1640" t="str">
        <f t="shared" si="50"/>
        <v>3PPG</v>
      </c>
      <c r="B1640">
        <f t="shared" si="51"/>
        <v>4402</v>
      </c>
      <c r="E1640" s="1" t="s">
        <v>83</v>
      </c>
      <c r="F1640" s="1">
        <v>193</v>
      </c>
      <c r="G1640" s="1">
        <v>6</v>
      </c>
      <c r="H1640" s="1">
        <v>7.5</v>
      </c>
    </row>
    <row r="1641" spans="1:8" x14ac:dyDescent="0.3">
      <c r="A1641" t="str">
        <f t="shared" si="50"/>
        <v>3PPG</v>
      </c>
      <c r="B1641">
        <f t="shared" si="51"/>
        <v>202</v>
      </c>
      <c r="E1641" s="1" t="s">
        <v>98</v>
      </c>
      <c r="F1641" s="1">
        <v>193</v>
      </c>
      <c r="G1641" s="1">
        <v>5</v>
      </c>
      <c r="H1641" s="1">
        <v>7.5</v>
      </c>
    </row>
    <row r="1642" spans="1:8" x14ac:dyDescent="0.3">
      <c r="A1642" t="str">
        <f t="shared" si="50"/>
        <v>3PPG</v>
      </c>
      <c r="B1642">
        <f t="shared" si="51"/>
        <v>3902</v>
      </c>
      <c r="E1642" s="1" t="s">
        <v>88</v>
      </c>
      <c r="F1642" s="1">
        <v>205</v>
      </c>
      <c r="G1642" s="1">
        <v>12</v>
      </c>
      <c r="H1642" s="1">
        <v>7.4</v>
      </c>
    </row>
    <row r="1643" spans="1:8" x14ac:dyDescent="0.3">
      <c r="A1643" t="str">
        <f t="shared" si="50"/>
        <v>3PPG</v>
      </c>
      <c r="B1643">
        <f t="shared" si="51"/>
        <v>6602</v>
      </c>
      <c r="E1643" s="1" t="s">
        <v>247</v>
      </c>
      <c r="F1643" s="1">
        <v>207</v>
      </c>
      <c r="G1643" s="1">
        <v>5</v>
      </c>
      <c r="H1643" s="1">
        <v>7.4</v>
      </c>
    </row>
    <row r="1644" spans="1:8" x14ac:dyDescent="0.3">
      <c r="A1644" t="str">
        <f t="shared" si="50"/>
        <v>3PPG</v>
      </c>
      <c r="B1644">
        <f t="shared" si="51"/>
        <v>9002</v>
      </c>
      <c r="E1644" s="1" t="s">
        <v>261</v>
      </c>
      <c r="F1644" s="1">
        <v>208</v>
      </c>
      <c r="G1644" s="1">
        <v>10</v>
      </c>
      <c r="H1644" s="1">
        <v>7.4</v>
      </c>
    </row>
    <row r="1645" spans="1:8" x14ac:dyDescent="0.3">
      <c r="A1645" t="str">
        <f t="shared" si="50"/>
        <v>3PPG</v>
      </c>
      <c r="B1645">
        <f t="shared" si="51"/>
        <v>15402</v>
      </c>
      <c r="E1645" s="1" t="s">
        <v>494</v>
      </c>
      <c r="F1645" s="1">
        <v>216</v>
      </c>
      <c r="G1645" s="1">
        <v>5</v>
      </c>
      <c r="H1645" s="1">
        <v>7.3</v>
      </c>
    </row>
    <row r="1646" spans="1:8" x14ac:dyDescent="0.3">
      <c r="A1646" t="str">
        <f t="shared" si="50"/>
        <v>3PPG</v>
      </c>
      <c r="B1646">
        <f t="shared" si="51"/>
        <v>11702</v>
      </c>
      <c r="E1646" s="1" t="s">
        <v>280</v>
      </c>
      <c r="F1646" s="1">
        <v>218</v>
      </c>
      <c r="G1646" s="1">
        <v>8</v>
      </c>
      <c r="H1646" s="1">
        <v>7.3</v>
      </c>
    </row>
    <row r="1647" spans="1:8" x14ac:dyDescent="0.3">
      <c r="A1647" t="str">
        <f t="shared" si="50"/>
        <v>3PPG</v>
      </c>
      <c r="B1647">
        <f t="shared" si="51"/>
        <v>2902</v>
      </c>
      <c r="E1647" s="1" t="s">
        <v>96</v>
      </c>
      <c r="F1647" s="1">
        <v>235</v>
      </c>
      <c r="G1647" s="1">
        <v>13</v>
      </c>
      <c r="H1647" s="1">
        <v>7.2</v>
      </c>
    </row>
    <row r="1648" spans="1:8" x14ac:dyDescent="0.3">
      <c r="A1648" t="str">
        <f t="shared" si="50"/>
        <v>3PPG</v>
      </c>
      <c r="B1648">
        <f t="shared" si="51"/>
        <v>8102</v>
      </c>
      <c r="E1648" s="1" t="s">
        <v>256</v>
      </c>
      <c r="F1648" s="1">
        <v>256</v>
      </c>
      <c r="G1648" s="1">
        <v>13</v>
      </c>
      <c r="H1648" s="1">
        <v>7</v>
      </c>
    </row>
    <row r="1649" spans="1:10" x14ac:dyDescent="0.3">
      <c r="A1649" t="str">
        <f t="shared" si="50"/>
        <v>3PPG</v>
      </c>
      <c r="B1649">
        <f t="shared" si="51"/>
        <v>3602</v>
      </c>
      <c r="E1649" s="1" t="s">
        <v>129</v>
      </c>
      <c r="F1649" s="1">
        <v>258</v>
      </c>
      <c r="G1649" s="1">
        <v>14</v>
      </c>
      <c r="H1649" s="1">
        <v>7</v>
      </c>
    </row>
    <row r="1650" spans="1:10" x14ac:dyDescent="0.3">
      <c r="A1650" t="str">
        <f t="shared" si="50"/>
        <v>3PPG</v>
      </c>
      <c r="B1650">
        <f t="shared" si="51"/>
        <v>4702</v>
      </c>
      <c r="E1650" s="1" t="s">
        <v>107</v>
      </c>
      <c r="F1650" s="1">
        <v>263</v>
      </c>
      <c r="G1650" s="1">
        <v>8</v>
      </c>
      <c r="H1650" s="1">
        <v>6.9</v>
      </c>
    </row>
    <row r="1651" spans="1:10" x14ac:dyDescent="0.3">
      <c r="A1651" t="str">
        <f t="shared" si="50"/>
        <v>3PPG</v>
      </c>
      <c r="B1651">
        <f t="shared" si="51"/>
        <v>13902</v>
      </c>
      <c r="E1651" s="1" t="s">
        <v>297</v>
      </c>
      <c r="F1651" s="1">
        <v>265</v>
      </c>
      <c r="G1651" s="1">
        <v>15</v>
      </c>
      <c r="H1651" s="1">
        <v>6.9</v>
      </c>
    </row>
    <row r="1652" spans="1:10" x14ac:dyDescent="0.3">
      <c r="A1652" t="str">
        <f t="shared" si="50"/>
        <v>3PPG</v>
      </c>
      <c r="B1652">
        <f t="shared" si="51"/>
        <v>9502</v>
      </c>
      <c r="E1652" s="1" t="s">
        <v>85</v>
      </c>
      <c r="F1652" s="1">
        <v>293</v>
      </c>
      <c r="G1652" s="1">
        <v>12</v>
      </c>
      <c r="H1652" s="1">
        <v>6.6</v>
      </c>
    </row>
    <row r="1653" spans="1:10" x14ac:dyDescent="0.3">
      <c r="A1653" t="str">
        <f t="shared" si="50"/>
        <v>3PPG</v>
      </c>
      <c r="B1653">
        <f t="shared" si="51"/>
        <v>2502</v>
      </c>
      <c r="E1653" s="1" t="s">
        <v>92</v>
      </c>
      <c r="F1653" s="1">
        <v>312</v>
      </c>
      <c r="G1653" s="1">
        <v>11</v>
      </c>
      <c r="H1653" s="1">
        <v>6.4</v>
      </c>
    </row>
    <row r="1654" spans="1:10" x14ac:dyDescent="0.3">
      <c r="A1654" t="str">
        <f t="shared" si="50"/>
        <v>3PPG</v>
      </c>
      <c r="B1654">
        <f t="shared" si="51"/>
        <v>5802</v>
      </c>
      <c r="E1654" s="1" t="s">
        <v>139</v>
      </c>
      <c r="F1654" s="1">
        <v>320</v>
      </c>
      <c r="G1654" s="1">
        <v>5</v>
      </c>
      <c r="H1654" s="1">
        <v>6.2</v>
      </c>
    </row>
    <row r="1655" spans="1:10" x14ac:dyDescent="0.3">
      <c r="A1655" t="str">
        <f t="shared" si="50"/>
        <v>3PPG</v>
      </c>
      <c r="B1655">
        <f t="shared" si="51"/>
        <v>9302</v>
      </c>
      <c r="E1655" s="1" t="s">
        <v>357</v>
      </c>
      <c r="F1655" s="1">
        <v>323</v>
      </c>
      <c r="G1655" s="1">
        <v>10</v>
      </c>
      <c r="H1655" s="1">
        <v>6.1</v>
      </c>
    </row>
    <row r="1656" spans="1:10" x14ac:dyDescent="0.3">
      <c r="A1656" t="str">
        <f t="shared" si="50"/>
        <v>3PPG</v>
      </c>
      <c r="B1656">
        <f t="shared" si="51"/>
        <v>902</v>
      </c>
      <c r="E1656" s="1" t="s">
        <v>90</v>
      </c>
      <c r="F1656" s="1">
        <v>329</v>
      </c>
      <c r="G1656" s="1">
        <v>18</v>
      </c>
      <c r="H1656" s="1">
        <v>6.1</v>
      </c>
    </row>
    <row r="1657" spans="1:10" x14ac:dyDescent="0.3">
      <c r="A1657" t="str">
        <f t="shared" si="50"/>
        <v>3PPG</v>
      </c>
      <c r="B1657">
        <f t="shared" si="51"/>
        <v>18302</v>
      </c>
      <c r="E1657" s="1" t="s">
        <v>423</v>
      </c>
      <c r="F1657" s="1">
        <v>336</v>
      </c>
      <c r="G1657" s="1">
        <v>10</v>
      </c>
      <c r="H1657" s="1">
        <v>5.9</v>
      </c>
    </row>
    <row r="1658" spans="1:10" x14ac:dyDescent="0.3">
      <c r="A1658" t="str">
        <f t="shared" si="50"/>
        <v>3PPG</v>
      </c>
      <c r="B1658">
        <f t="shared" si="51"/>
        <v>2002</v>
      </c>
      <c r="E1658" s="1" t="s">
        <v>328</v>
      </c>
      <c r="F1658" s="1">
        <v>345</v>
      </c>
      <c r="G1658" s="1">
        <v>5</v>
      </c>
      <c r="H1658" s="1">
        <v>5.3</v>
      </c>
    </row>
    <row r="1659" spans="1:10" x14ac:dyDescent="0.3">
      <c r="A1659" t="str">
        <f t="shared" si="50"/>
        <v>TM</v>
      </c>
      <c r="B1659">
        <f t="shared" si="51"/>
        <v>15025</v>
      </c>
      <c r="D1659" s="1" t="s">
        <v>556</v>
      </c>
      <c r="E1659" s="1" t="s">
        <v>463</v>
      </c>
      <c r="F1659" s="1">
        <v>1</v>
      </c>
      <c r="G1659" s="1">
        <v>1</v>
      </c>
      <c r="H1659" s="1">
        <v>7.2</v>
      </c>
      <c r="I1659" s="1" t="s">
        <v>463</v>
      </c>
      <c r="J1659" s="1">
        <v>7.2</v>
      </c>
    </row>
    <row r="1660" spans="1:10" x14ac:dyDescent="0.3">
      <c r="A1660" t="str">
        <f t="shared" si="50"/>
        <v>TM</v>
      </c>
      <c r="B1660">
        <f t="shared" si="51"/>
        <v>3325</v>
      </c>
      <c r="E1660" s="1" t="s">
        <v>91</v>
      </c>
      <c r="F1660" s="1">
        <v>3</v>
      </c>
      <c r="G1660" s="1">
        <v>1</v>
      </c>
      <c r="H1660" s="1">
        <v>5.4</v>
      </c>
    </row>
    <row r="1661" spans="1:10" x14ac:dyDescent="0.3">
      <c r="A1661" t="str">
        <f t="shared" si="50"/>
        <v>TM</v>
      </c>
      <c r="B1661">
        <f t="shared" si="51"/>
        <v>325</v>
      </c>
      <c r="E1661" s="1" t="s">
        <v>215</v>
      </c>
      <c r="F1661" s="1">
        <v>5</v>
      </c>
      <c r="G1661" s="1">
        <v>1</v>
      </c>
      <c r="H1661" s="1">
        <v>5.0999999999999996</v>
      </c>
    </row>
    <row r="1662" spans="1:10" x14ac:dyDescent="0.3">
      <c r="A1662" t="str">
        <f t="shared" si="50"/>
        <v>TM</v>
      </c>
      <c r="B1662">
        <f t="shared" si="51"/>
        <v>9025</v>
      </c>
      <c r="E1662" s="1" t="s">
        <v>261</v>
      </c>
      <c r="F1662" s="1">
        <v>7</v>
      </c>
      <c r="G1662" s="1">
        <v>1</v>
      </c>
      <c r="H1662" s="1">
        <v>4.5999999999999996</v>
      </c>
    </row>
    <row r="1663" spans="1:10" x14ac:dyDescent="0.3">
      <c r="A1663" t="str">
        <f t="shared" si="50"/>
        <v>TM</v>
      </c>
      <c r="B1663">
        <f t="shared" si="51"/>
        <v>9325</v>
      </c>
      <c r="E1663" s="1" t="s">
        <v>357</v>
      </c>
      <c r="F1663" s="1">
        <v>9</v>
      </c>
      <c r="G1663" s="1">
        <v>2</v>
      </c>
      <c r="H1663" s="1">
        <v>4.3</v>
      </c>
    </row>
    <row r="1664" spans="1:10" x14ac:dyDescent="0.3">
      <c r="A1664" t="str">
        <f t="shared" si="50"/>
        <v>TM</v>
      </c>
      <c r="B1664">
        <f t="shared" si="51"/>
        <v>2825</v>
      </c>
      <c r="E1664" s="1" t="s">
        <v>106</v>
      </c>
      <c r="F1664" s="1">
        <v>11</v>
      </c>
      <c r="G1664" s="1">
        <v>1</v>
      </c>
      <c r="H1664" s="1">
        <v>4.2</v>
      </c>
    </row>
    <row r="1665" spans="1:8" x14ac:dyDescent="0.3">
      <c r="A1665" t="str">
        <f t="shared" si="50"/>
        <v>TM</v>
      </c>
      <c r="B1665">
        <f t="shared" si="51"/>
        <v>16225</v>
      </c>
      <c r="E1665" s="1" t="s">
        <v>497</v>
      </c>
      <c r="F1665" s="1">
        <v>13</v>
      </c>
      <c r="G1665" s="1">
        <v>1</v>
      </c>
      <c r="H1665" s="1">
        <v>4.0999999999999996</v>
      </c>
    </row>
    <row r="1666" spans="1:8" x14ac:dyDescent="0.3">
      <c r="A1666" t="str">
        <f t="shared" ref="A1666:A1729" si="52">IF(NOT(D1666=""),INDEX(statAbbr,MATCH(D1666,statOfficial,0),1),A1665)</f>
        <v>TM</v>
      </c>
      <c r="B1666">
        <f t="shared" ref="B1666:B1729" si="53">INDEX(statID,MATCH(A1666,statAbbr,0),1)+INDEX(teamID,MATCH(E1666,teamRawName,0))</f>
        <v>11125</v>
      </c>
      <c r="E1666" s="1" t="s">
        <v>277</v>
      </c>
      <c r="F1666" s="1">
        <v>13</v>
      </c>
      <c r="G1666" s="1">
        <v>2</v>
      </c>
      <c r="H1666" s="1">
        <v>4.0999999999999996</v>
      </c>
    </row>
    <row r="1667" spans="1:8" x14ac:dyDescent="0.3">
      <c r="A1667" t="str">
        <f t="shared" si="52"/>
        <v>TM</v>
      </c>
      <c r="B1667">
        <f t="shared" si="53"/>
        <v>225</v>
      </c>
      <c r="E1667" s="1" t="s">
        <v>98</v>
      </c>
      <c r="F1667" s="1">
        <v>15</v>
      </c>
      <c r="G1667" s="1">
        <v>1</v>
      </c>
      <c r="H1667" s="1">
        <v>3.8</v>
      </c>
    </row>
    <row r="1668" spans="1:8" x14ac:dyDescent="0.3">
      <c r="A1668" t="str">
        <f t="shared" si="52"/>
        <v>TM</v>
      </c>
      <c r="B1668">
        <f t="shared" si="53"/>
        <v>14425</v>
      </c>
      <c r="E1668" s="1" t="s">
        <v>302</v>
      </c>
      <c r="F1668" s="1">
        <v>17</v>
      </c>
      <c r="G1668" s="1">
        <v>2</v>
      </c>
      <c r="H1668" s="1">
        <v>3.7</v>
      </c>
    </row>
    <row r="1669" spans="1:8" x14ac:dyDescent="0.3">
      <c r="A1669" t="str">
        <f t="shared" si="52"/>
        <v>TM</v>
      </c>
      <c r="B1669">
        <f t="shared" si="53"/>
        <v>4725</v>
      </c>
      <c r="E1669" s="1" t="s">
        <v>107</v>
      </c>
      <c r="F1669" s="1">
        <v>18</v>
      </c>
      <c r="G1669" s="1">
        <v>1</v>
      </c>
      <c r="H1669" s="1">
        <v>3.6</v>
      </c>
    </row>
    <row r="1670" spans="1:8" x14ac:dyDescent="0.3">
      <c r="A1670" t="str">
        <f t="shared" si="52"/>
        <v>TM</v>
      </c>
      <c r="B1670">
        <f t="shared" si="53"/>
        <v>4425</v>
      </c>
      <c r="E1670" s="1" t="s">
        <v>83</v>
      </c>
      <c r="F1670" s="1">
        <v>21</v>
      </c>
      <c r="G1670" s="1">
        <v>1</v>
      </c>
      <c r="H1670" s="1">
        <v>3.3</v>
      </c>
    </row>
    <row r="1671" spans="1:8" x14ac:dyDescent="0.3">
      <c r="A1671" t="str">
        <f t="shared" si="52"/>
        <v>TM</v>
      </c>
      <c r="B1671">
        <f t="shared" si="53"/>
        <v>625</v>
      </c>
      <c r="E1671" s="1" t="s">
        <v>100</v>
      </c>
      <c r="F1671" s="1">
        <v>23</v>
      </c>
      <c r="G1671" s="1">
        <v>2</v>
      </c>
      <c r="H1671" s="1">
        <v>3.2</v>
      </c>
    </row>
    <row r="1672" spans="1:8" x14ac:dyDescent="0.3">
      <c r="A1672" t="str">
        <f t="shared" si="52"/>
        <v>TM</v>
      </c>
      <c r="B1672">
        <f t="shared" si="53"/>
        <v>14125</v>
      </c>
      <c r="E1672" s="1" t="s">
        <v>299</v>
      </c>
      <c r="F1672" s="1">
        <v>24</v>
      </c>
      <c r="G1672" s="1">
        <v>3</v>
      </c>
      <c r="H1672" s="1">
        <v>3.2</v>
      </c>
    </row>
    <row r="1673" spans="1:8" x14ac:dyDescent="0.3">
      <c r="A1673" t="str">
        <f t="shared" si="52"/>
        <v>TM</v>
      </c>
      <c r="B1673">
        <f t="shared" si="53"/>
        <v>1425</v>
      </c>
      <c r="E1673" s="1" t="s">
        <v>102</v>
      </c>
      <c r="F1673" s="1">
        <v>28</v>
      </c>
      <c r="G1673" s="1">
        <v>2</v>
      </c>
      <c r="H1673" s="1">
        <v>3.1</v>
      </c>
    </row>
    <row r="1674" spans="1:8" x14ac:dyDescent="0.3">
      <c r="A1674" t="str">
        <f t="shared" si="52"/>
        <v>TM</v>
      </c>
      <c r="B1674">
        <f t="shared" si="53"/>
        <v>4025</v>
      </c>
      <c r="E1674" s="1" t="s">
        <v>105</v>
      </c>
      <c r="F1674" s="1">
        <v>34</v>
      </c>
      <c r="G1674" s="1">
        <v>2</v>
      </c>
      <c r="H1674" s="1">
        <v>2.8</v>
      </c>
    </row>
    <row r="1675" spans="1:8" x14ac:dyDescent="0.3">
      <c r="A1675" t="str">
        <f t="shared" si="52"/>
        <v>TM</v>
      </c>
      <c r="B1675">
        <f t="shared" si="53"/>
        <v>4525</v>
      </c>
      <c r="E1675" s="1" t="s">
        <v>84</v>
      </c>
      <c r="F1675" s="1">
        <v>39</v>
      </c>
      <c r="G1675" s="1">
        <v>4</v>
      </c>
      <c r="H1675" s="1">
        <v>2.6</v>
      </c>
    </row>
    <row r="1676" spans="1:8" x14ac:dyDescent="0.3">
      <c r="A1676" t="str">
        <f t="shared" si="52"/>
        <v>TM</v>
      </c>
      <c r="B1676">
        <f t="shared" si="53"/>
        <v>1625</v>
      </c>
      <c r="E1676" s="1" t="s">
        <v>137</v>
      </c>
      <c r="F1676" s="1">
        <v>40</v>
      </c>
      <c r="G1676" s="1">
        <v>5</v>
      </c>
      <c r="H1676" s="1">
        <v>2.6</v>
      </c>
    </row>
    <row r="1677" spans="1:8" x14ac:dyDescent="0.3">
      <c r="A1677" t="str">
        <f t="shared" si="52"/>
        <v>TM</v>
      </c>
      <c r="B1677">
        <f t="shared" si="53"/>
        <v>9525</v>
      </c>
      <c r="E1677" s="1" t="s">
        <v>85</v>
      </c>
      <c r="F1677" s="1">
        <v>41</v>
      </c>
      <c r="G1677" s="1">
        <v>1</v>
      </c>
      <c r="H1677" s="1">
        <v>2.5</v>
      </c>
    </row>
    <row r="1678" spans="1:8" x14ac:dyDescent="0.3">
      <c r="A1678" t="str">
        <f t="shared" si="52"/>
        <v>TM</v>
      </c>
      <c r="B1678">
        <f t="shared" si="53"/>
        <v>12225</v>
      </c>
      <c r="E1678" s="1" t="s">
        <v>284</v>
      </c>
      <c r="F1678" s="1">
        <v>42</v>
      </c>
      <c r="G1678" s="1">
        <v>1</v>
      </c>
      <c r="H1678" s="1">
        <v>2.5</v>
      </c>
    </row>
    <row r="1679" spans="1:8" x14ac:dyDescent="0.3">
      <c r="A1679" t="str">
        <f t="shared" si="52"/>
        <v>TM</v>
      </c>
      <c r="B1679">
        <f t="shared" si="53"/>
        <v>1225</v>
      </c>
      <c r="E1679" s="1" t="s">
        <v>130</v>
      </c>
      <c r="F1679" s="1">
        <v>47</v>
      </c>
      <c r="G1679" s="1">
        <v>3</v>
      </c>
      <c r="H1679" s="1">
        <v>2.2999999999999998</v>
      </c>
    </row>
    <row r="1680" spans="1:8" x14ac:dyDescent="0.3">
      <c r="A1680" t="str">
        <f t="shared" si="52"/>
        <v>TM</v>
      </c>
      <c r="B1680">
        <f t="shared" si="53"/>
        <v>5425</v>
      </c>
      <c r="E1680" s="1" t="s">
        <v>94</v>
      </c>
      <c r="F1680" s="1">
        <v>61</v>
      </c>
      <c r="G1680" s="1">
        <v>4</v>
      </c>
      <c r="H1680" s="1">
        <v>2.1</v>
      </c>
    </row>
    <row r="1681" spans="1:8" x14ac:dyDescent="0.3">
      <c r="A1681" t="str">
        <f t="shared" si="52"/>
        <v>TM</v>
      </c>
      <c r="B1681">
        <f t="shared" si="53"/>
        <v>5125</v>
      </c>
      <c r="E1681" s="1" t="s">
        <v>240</v>
      </c>
      <c r="F1681" s="1">
        <v>65</v>
      </c>
      <c r="G1681" s="1">
        <v>2</v>
      </c>
      <c r="H1681" s="1">
        <v>2</v>
      </c>
    </row>
    <row r="1682" spans="1:8" x14ac:dyDescent="0.3">
      <c r="A1682" t="str">
        <f t="shared" si="52"/>
        <v>TM</v>
      </c>
      <c r="B1682">
        <f t="shared" si="53"/>
        <v>7225</v>
      </c>
      <c r="E1682" s="1" t="s">
        <v>116</v>
      </c>
      <c r="F1682" s="1">
        <v>67</v>
      </c>
      <c r="G1682" s="1">
        <v>5</v>
      </c>
      <c r="H1682" s="1">
        <v>1.9</v>
      </c>
    </row>
    <row r="1683" spans="1:8" x14ac:dyDescent="0.3">
      <c r="A1683" t="str">
        <f t="shared" si="52"/>
        <v>TM</v>
      </c>
      <c r="B1683">
        <f t="shared" si="53"/>
        <v>3225</v>
      </c>
      <c r="E1683" s="1" t="s">
        <v>127</v>
      </c>
      <c r="F1683" s="1">
        <v>75</v>
      </c>
      <c r="G1683" s="1">
        <v>6</v>
      </c>
      <c r="H1683" s="1">
        <v>1.8</v>
      </c>
    </row>
    <row r="1684" spans="1:8" x14ac:dyDescent="0.3">
      <c r="A1684" t="str">
        <f t="shared" si="52"/>
        <v>TM</v>
      </c>
      <c r="B1684">
        <f t="shared" si="53"/>
        <v>5825</v>
      </c>
      <c r="E1684" s="1" t="s">
        <v>139</v>
      </c>
      <c r="F1684" s="1">
        <v>76</v>
      </c>
      <c r="G1684" s="1">
        <v>3</v>
      </c>
      <c r="H1684" s="1">
        <v>1.7</v>
      </c>
    </row>
    <row r="1685" spans="1:8" x14ac:dyDescent="0.3">
      <c r="A1685" t="str">
        <f t="shared" si="52"/>
        <v>TM</v>
      </c>
      <c r="B1685">
        <f t="shared" si="53"/>
        <v>13125</v>
      </c>
      <c r="E1685" s="1" t="s">
        <v>289</v>
      </c>
      <c r="F1685" s="1">
        <v>85</v>
      </c>
      <c r="G1685" s="1">
        <v>6</v>
      </c>
      <c r="H1685" s="1">
        <v>1.5</v>
      </c>
    </row>
    <row r="1686" spans="1:8" x14ac:dyDescent="0.3">
      <c r="A1686" t="str">
        <f t="shared" si="52"/>
        <v>TM</v>
      </c>
      <c r="B1686">
        <f t="shared" si="53"/>
        <v>8325</v>
      </c>
      <c r="E1686" s="1" t="s">
        <v>257</v>
      </c>
      <c r="F1686" s="1">
        <v>87</v>
      </c>
      <c r="G1686" s="1">
        <v>4</v>
      </c>
      <c r="H1686" s="1">
        <v>1.4</v>
      </c>
    </row>
    <row r="1687" spans="1:8" x14ac:dyDescent="0.3">
      <c r="A1687" t="str">
        <f t="shared" si="52"/>
        <v>TM</v>
      </c>
      <c r="B1687">
        <f t="shared" si="53"/>
        <v>6725</v>
      </c>
      <c r="E1687" s="1" t="s">
        <v>118</v>
      </c>
      <c r="F1687" s="1">
        <v>87</v>
      </c>
      <c r="G1687" s="1">
        <v>6</v>
      </c>
      <c r="H1687" s="1">
        <v>1.4</v>
      </c>
    </row>
    <row r="1688" spans="1:8" x14ac:dyDescent="0.3">
      <c r="A1688" t="str">
        <f t="shared" si="52"/>
        <v>TM</v>
      </c>
      <c r="B1688">
        <f t="shared" si="53"/>
        <v>18325</v>
      </c>
      <c r="E1688" s="1" t="s">
        <v>423</v>
      </c>
      <c r="F1688" s="1">
        <v>89</v>
      </c>
      <c r="G1688" s="1">
        <v>3</v>
      </c>
      <c r="H1688" s="1">
        <v>1.4</v>
      </c>
    </row>
    <row r="1689" spans="1:8" x14ac:dyDescent="0.3">
      <c r="A1689" t="str">
        <f t="shared" si="52"/>
        <v>TM</v>
      </c>
      <c r="B1689">
        <f t="shared" si="53"/>
        <v>7425</v>
      </c>
      <c r="E1689" s="1" t="s">
        <v>251</v>
      </c>
      <c r="F1689" s="1">
        <v>93</v>
      </c>
      <c r="G1689" s="1">
        <v>5</v>
      </c>
      <c r="H1689" s="1">
        <v>1.4</v>
      </c>
    </row>
    <row r="1690" spans="1:8" x14ac:dyDescent="0.3">
      <c r="A1690" t="str">
        <f t="shared" si="52"/>
        <v>TM</v>
      </c>
      <c r="B1690">
        <f t="shared" si="53"/>
        <v>12525</v>
      </c>
      <c r="E1690" s="1" t="s">
        <v>95</v>
      </c>
      <c r="F1690" s="1">
        <v>98</v>
      </c>
      <c r="G1690" s="1">
        <v>2</v>
      </c>
      <c r="H1690" s="1">
        <v>1.2</v>
      </c>
    </row>
    <row r="1691" spans="1:8" x14ac:dyDescent="0.3">
      <c r="A1691" t="str">
        <f t="shared" si="52"/>
        <v>TM</v>
      </c>
      <c r="B1691">
        <f t="shared" si="53"/>
        <v>10625</v>
      </c>
      <c r="E1691" s="1" t="s">
        <v>161</v>
      </c>
      <c r="F1691" s="1">
        <v>99</v>
      </c>
      <c r="G1691" s="1">
        <v>5</v>
      </c>
      <c r="H1691" s="1">
        <v>1.2</v>
      </c>
    </row>
    <row r="1692" spans="1:8" x14ac:dyDescent="0.3">
      <c r="A1692" t="str">
        <f t="shared" si="52"/>
        <v>TM</v>
      </c>
      <c r="B1692">
        <f t="shared" si="53"/>
        <v>3025</v>
      </c>
      <c r="E1692" s="1" t="s">
        <v>89</v>
      </c>
      <c r="F1692" s="1">
        <v>101</v>
      </c>
      <c r="G1692" s="1">
        <v>7</v>
      </c>
      <c r="H1692" s="1">
        <v>1.2</v>
      </c>
    </row>
    <row r="1693" spans="1:8" x14ac:dyDescent="0.3">
      <c r="A1693" t="str">
        <f t="shared" si="52"/>
        <v>TM</v>
      </c>
      <c r="B1693">
        <f t="shared" si="53"/>
        <v>15425</v>
      </c>
      <c r="E1693" s="1" t="s">
        <v>494</v>
      </c>
      <c r="F1693" s="1">
        <v>110</v>
      </c>
      <c r="G1693" s="1">
        <v>3</v>
      </c>
      <c r="H1693" s="1">
        <v>1.1000000000000001</v>
      </c>
    </row>
    <row r="1694" spans="1:8" x14ac:dyDescent="0.3">
      <c r="A1694" t="str">
        <f t="shared" si="52"/>
        <v>TM</v>
      </c>
      <c r="B1694">
        <f t="shared" si="53"/>
        <v>3625</v>
      </c>
      <c r="E1694" s="1" t="s">
        <v>129</v>
      </c>
      <c r="F1694" s="1">
        <v>110</v>
      </c>
      <c r="G1694" s="1">
        <v>7</v>
      </c>
      <c r="H1694" s="1">
        <v>1.1000000000000001</v>
      </c>
    </row>
    <row r="1695" spans="1:8" x14ac:dyDescent="0.3">
      <c r="A1695" t="str">
        <f t="shared" si="52"/>
        <v>TM</v>
      </c>
      <c r="B1695">
        <f t="shared" si="53"/>
        <v>3525</v>
      </c>
      <c r="E1695" s="1" t="s">
        <v>87</v>
      </c>
      <c r="F1695" s="1">
        <v>119</v>
      </c>
      <c r="G1695" s="1">
        <v>8</v>
      </c>
      <c r="H1695" s="1">
        <v>1</v>
      </c>
    </row>
    <row r="1696" spans="1:8" x14ac:dyDescent="0.3">
      <c r="A1696" t="str">
        <f t="shared" si="52"/>
        <v>TM</v>
      </c>
      <c r="B1696">
        <f t="shared" si="53"/>
        <v>18425</v>
      </c>
      <c r="E1696" s="1" t="s">
        <v>417</v>
      </c>
      <c r="F1696" s="1">
        <v>122</v>
      </c>
      <c r="G1696" s="1">
        <v>2</v>
      </c>
      <c r="H1696" s="1">
        <v>1</v>
      </c>
    </row>
    <row r="1697" spans="1:8" x14ac:dyDescent="0.3">
      <c r="A1697" t="str">
        <f t="shared" si="52"/>
        <v>TM</v>
      </c>
      <c r="B1697">
        <f t="shared" si="53"/>
        <v>2525</v>
      </c>
      <c r="E1697" s="1" t="s">
        <v>92</v>
      </c>
      <c r="F1697" s="1">
        <v>126</v>
      </c>
      <c r="G1697" s="1">
        <v>2</v>
      </c>
      <c r="H1697" s="1">
        <v>0.9</v>
      </c>
    </row>
    <row r="1698" spans="1:8" x14ac:dyDescent="0.3">
      <c r="A1698" t="str">
        <f t="shared" si="52"/>
        <v>TM</v>
      </c>
      <c r="B1698">
        <f t="shared" si="53"/>
        <v>8225</v>
      </c>
      <c r="E1698" s="1" t="s">
        <v>131</v>
      </c>
      <c r="F1698" s="1">
        <v>129</v>
      </c>
      <c r="G1698" s="1">
        <v>6</v>
      </c>
      <c r="H1698" s="1">
        <v>0.9</v>
      </c>
    </row>
    <row r="1699" spans="1:8" x14ac:dyDescent="0.3">
      <c r="A1699" t="str">
        <f t="shared" si="52"/>
        <v>TM</v>
      </c>
      <c r="B1699">
        <f t="shared" si="53"/>
        <v>6925</v>
      </c>
      <c r="E1699" s="1" t="s">
        <v>114</v>
      </c>
      <c r="F1699" s="1">
        <v>129</v>
      </c>
      <c r="G1699" s="1">
        <v>9</v>
      </c>
      <c r="H1699" s="1">
        <v>0.9</v>
      </c>
    </row>
    <row r="1700" spans="1:8" x14ac:dyDescent="0.3">
      <c r="A1700" t="str">
        <f t="shared" si="52"/>
        <v>TM</v>
      </c>
      <c r="B1700">
        <f t="shared" si="53"/>
        <v>15625</v>
      </c>
      <c r="E1700" s="1" t="s">
        <v>468</v>
      </c>
      <c r="F1700" s="1">
        <v>135</v>
      </c>
      <c r="G1700" s="1">
        <v>3</v>
      </c>
      <c r="H1700" s="1">
        <v>0.8</v>
      </c>
    </row>
    <row r="1701" spans="1:8" x14ac:dyDescent="0.3">
      <c r="A1701" t="str">
        <f t="shared" si="52"/>
        <v>TM</v>
      </c>
      <c r="B1701">
        <f t="shared" si="53"/>
        <v>2025</v>
      </c>
      <c r="E1701" s="1" t="s">
        <v>328</v>
      </c>
      <c r="F1701" s="1">
        <v>139</v>
      </c>
      <c r="G1701" s="1">
        <v>4</v>
      </c>
      <c r="H1701" s="1">
        <v>0.8</v>
      </c>
    </row>
    <row r="1702" spans="1:8" x14ac:dyDescent="0.3">
      <c r="A1702" t="str">
        <f t="shared" si="52"/>
        <v>TM</v>
      </c>
      <c r="B1702">
        <f t="shared" si="53"/>
        <v>8125</v>
      </c>
      <c r="E1702" s="1" t="s">
        <v>256</v>
      </c>
      <c r="F1702" s="1">
        <v>142</v>
      </c>
      <c r="G1702" s="1">
        <v>9</v>
      </c>
      <c r="H1702" s="1">
        <v>0.7</v>
      </c>
    </row>
    <row r="1703" spans="1:8" x14ac:dyDescent="0.3">
      <c r="A1703" t="str">
        <f t="shared" si="52"/>
        <v>TM</v>
      </c>
      <c r="B1703">
        <f t="shared" si="53"/>
        <v>5725</v>
      </c>
      <c r="E1703" s="1" t="s">
        <v>120</v>
      </c>
      <c r="F1703" s="1">
        <v>146</v>
      </c>
      <c r="G1703" s="1">
        <v>10</v>
      </c>
      <c r="H1703" s="1">
        <v>0.6</v>
      </c>
    </row>
    <row r="1704" spans="1:8" x14ac:dyDescent="0.3">
      <c r="A1704" t="str">
        <f t="shared" si="52"/>
        <v>TM</v>
      </c>
      <c r="B1704">
        <f t="shared" si="53"/>
        <v>3825</v>
      </c>
      <c r="E1704" s="1" t="s">
        <v>238</v>
      </c>
      <c r="F1704" s="1">
        <v>148</v>
      </c>
      <c r="G1704" s="1">
        <v>11</v>
      </c>
      <c r="H1704" s="1">
        <v>0.6</v>
      </c>
    </row>
    <row r="1705" spans="1:8" x14ac:dyDescent="0.3">
      <c r="A1705" t="str">
        <f t="shared" si="52"/>
        <v>TM</v>
      </c>
      <c r="B1705">
        <f t="shared" si="53"/>
        <v>4225</v>
      </c>
      <c r="E1705" s="1" t="s">
        <v>123</v>
      </c>
      <c r="F1705" s="1">
        <v>161</v>
      </c>
      <c r="G1705" s="1">
        <v>11</v>
      </c>
      <c r="H1705" s="1">
        <v>0.4</v>
      </c>
    </row>
    <row r="1706" spans="1:8" x14ac:dyDescent="0.3">
      <c r="A1706" t="str">
        <f t="shared" si="52"/>
        <v>TM</v>
      </c>
      <c r="B1706">
        <f t="shared" si="53"/>
        <v>14925</v>
      </c>
      <c r="E1706" s="1" t="s">
        <v>307</v>
      </c>
      <c r="F1706" s="1">
        <v>168</v>
      </c>
      <c r="G1706" s="1">
        <v>4</v>
      </c>
      <c r="H1706" s="1">
        <v>0.3</v>
      </c>
    </row>
    <row r="1707" spans="1:8" x14ac:dyDescent="0.3">
      <c r="A1707" t="str">
        <f t="shared" si="52"/>
        <v>TM</v>
      </c>
      <c r="B1707">
        <f t="shared" si="53"/>
        <v>15125</v>
      </c>
      <c r="E1707" s="1" t="s">
        <v>464</v>
      </c>
      <c r="F1707" s="1">
        <v>178</v>
      </c>
      <c r="G1707" s="1">
        <v>6</v>
      </c>
      <c r="H1707" s="1">
        <v>0.2</v>
      </c>
    </row>
    <row r="1708" spans="1:8" x14ac:dyDescent="0.3">
      <c r="A1708" t="str">
        <f t="shared" si="52"/>
        <v>TM</v>
      </c>
      <c r="B1708">
        <f t="shared" si="53"/>
        <v>4925</v>
      </c>
      <c r="E1708" s="1" t="s">
        <v>108</v>
      </c>
      <c r="F1708" s="1">
        <v>180</v>
      </c>
      <c r="G1708" s="1">
        <v>10</v>
      </c>
      <c r="H1708" s="1">
        <v>0.2</v>
      </c>
    </row>
    <row r="1709" spans="1:8" x14ac:dyDescent="0.3">
      <c r="A1709" t="str">
        <f t="shared" si="52"/>
        <v>TM</v>
      </c>
      <c r="B1709">
        <f t="shared" si="53"/>
        <v>15725</v>
      </c>
      <c r="E1709" s="1" t="s">
        <v>469</v>
      </c>
      <c r="F1709" s="1">
        <v>185</v>
      </c>
      <c r="G1709" s="1">
        <v>5</v>
      </c>
      <c r="H1709" s="1">
        <v>0.1</v>
      </c>
    </row>
    <row r="1710" spans="1:8" x14ac:dyDescent="0.3">
      <c r="A1710" t="str">
        <f t="shared" si="52"/>
        <v>TM</v>
      </c>
      <c r="B1710">
        <f t="shared" si="53"/>
        <v>2925</v>
      </c>
      <c r="E1710" s="1" t="s">
        <v>96</v>
      </c>
      <c r="F1710" s="1">
        <v>187</v>
      </c>
      <c r="G1710" s="1">
        <v>11</v>
      </c>
      <c r="H1710" s="1">
        <v>0.1</v>
      </c>
    </row>
    <row r="1711" spans="1:8" x14ac:dyDescent="0.3">
      <c r="A1711" t="str">
        <f t="shared" si="52"/>
        <v>TM</v>
      </c>
      <c r="B1711">
        <f t="shared" si="53"/>
        <v>11725</v>
      </c>
      <c r="E1711" s="1" t="s">
        <v>280</v>
      </c>
      <c r="F1711" s="1">
        <v>195</v>
      </c>
      <c r="G1711" s="1">
        <v>7</v>
      </c>
      <c r="H1711" s="1">
        <v>0</v>
      </c>
    </row>
    <row r="1712" spans="1:8" x14ac:dyDescent="0.3">
      <c r="A1712" t="str">
        <f t="shared" si="52"/>
        <v>TM</v>
      </c>
      <c r="B1712">
        <f t="shared" si="53"/>
        <v>6625</v>
      </c>
      <c r="E1712" s="1" t="s">
        <v>247</v>
      </c>
      <c r="F1712" s="1">
        <v>217</v>
      </c>
      <c r="G1712" s="1">
        <v>9</v>
      </c>
      <c r="H1712" s="1">
        <v>-0.3</v>
      </c>
    </row>
    <row r="1713" spans="1:10" x14ac:dyDescent="0.3">
      <c r="A1713" t="str">
        <f t="shared" si="52"/>
        <v>TM</v>
      </c>
      <c r="B1713">
        <f t="shared" si="53"/>
        <v>1325</v>
      </c>
      <c r="E1713" s="1" t="s">
        <v>82</v>
      </c>
      <c r="F1713" s="1">
        <v>223</v>
      </c>
      <c r="G1713" s="1">
        <v>8</v>
      </c>
      <c r="H1713" s="1">
        <v>-0.3</v>
      </c>
    </row>
    <row r="1714" spans="1:10" x14ac:dyDescent="0.3">
      <c r="A1714" t="str">
        <f t="shared" si="52"/>
        <v>TM</v>
      </c>
      <c r="B1714">
        <f t="shared" si="53"/>
        <v>925</v>
      </c>
      <c r="E1714" s="1" t="s">
        <v>90</v>
      </c>
      <c r="F1714" s="1">
        <v>226</v>
      </c>
      <c r="G1714" s="1">
        <v>16</v>
      </c>
      <c r="H1714" s="1">
        <v>-0.3</v>
      </c>
    </row>
    <row r="1715" spans="1:10" x14ac:dyDescent="0.3">
      <c r="A1715" t="str">
        <f t="shared" si="52"/>
        <v>TM</v>
      </c>
      <c r="B1715">
        <f t="shared" si="53"/>
        <v>2725</v>
      </c>
      <c r="E1715" s="1" t="s">
        <v>7</v>
      </c>
      <c r="F1715" s="1">
        <v>229</v>
      </c>
      <c r="G1715" s="1">
        <v>12</v>
      </c>
      <c r="H1715" s="1">
        <v>-0.4</v>
      </c>
    </row>
    <row r="1716" spans="1:10" x14ac:dyDescent="0.3">
      <c r="A1716" t="str">
        <f t="shared" si="52"/>
        <v>TM</v>
      </c>
      <c r="B1716">
        <f t="shared" si="53"/>
        <v>13925</v>
      </c>
      <c r="E1716" s="1" t="s">
        <v>297</v>
      </c>
      <c r="F1716" s="1">
        <v>238</v>
      </c>
      <c r="G1716" s="1">
        <v>12</v>
      </c>
      <c r="H1716" s="1">
        <v>-0.6</v>
      </c>
    </row>
    <row r="1717" spans="1:10" x14ac:dyDescent="0.3">
      <c r="A1717" t="str">
        <f t="shared" si="52"/>
        <v>TM</v>
      </c>
      <c r="B1717">
        <f t="shared" si="53"/>
        <v>5525</v>
      </c>
      <c r="E1717" s="1" t="s">
        <v>86</v>
      </c>
      <c r="F1717" s="1">
        <v>243</v>
      </c>
      <c r="G1717" s="1">
        <v>13</v>
      </c>
      <c r="H1717" s="1">
        <v>-0.6</v>
      </c>
    </row>
    <row r="1718" spans="1:10" x14ac:dyDescent="0.3">
      <c r="A1718" t="str">
        <f t="shared" si="52"/>
        <v>TM</v>
      </c>
      <c r="B1718">
        <f t="shared" si="53"/>
        <v>15825</v>
      </c>
      <c r="E1718" s="1" t="s">
        <v>470</v>
      </c>
      <c r="F1718" s="1">
        <v>253</v>
      </c>
      <c r="G1718" s="1">
        <v>8</v>
      </c>
      <c r="H1718" s="1">
        <v>-0.8</v>
      </c>
    </row>
    <row r="1719" spans="1:10" x14ac:dyDescent="0.3">
      <c r="A1719" t="str">
        <f t="shared" si="52"/>
        <v>TM</v>
      </c>
      <c r="B1719">
        <f t="shared" si="53"/>
        <v>2325</v>
      </c>
      <c r="E1719" s="1" t="s">
        <v>79</v>
      </c>
      <c r="F1719" s="1">
        <v>257</v>
      </c>
      <c r="G1719" s="1">
        <v>7</v>
      </c>
      <c r="H1719" s="1">
        <v>-0.9</v>
      </c>
    </row>
    <row r="1720" spans="1:10" x14ac:dyDescent="0.3">
      <c r="A1720" t="str">
        <f t="shared" si="52"/>
        <v>TM</v>
      </c>
      <c r="B1720">
        <f t="shared" si="53"/>
        <v>3925</v>
      </c>
      <c r="E1720" s="1" t="s">
        <v>88</v>
      </c>
      <c r="F1720" s="1">
        <v>261</v>
      </c>
      <c r="G1720" s="1">
        <v>13</v>
      </c>
      <c r="H1720" s="1">
        <v>-0.9</v>
      </c>
    </row>
    <row r="1721" spans="1:10" x14ac:dyDescent="0.3">
      <c r="A1721" t="str">
        <f t="shared" si="52"/>
        <v>TM</v>
      </c>
      <c r="B1721">
        <f t="shared" si="53"/>
        <v>18525</v>
      </c>
      <c r="E1721" s="1" t="s">
        <v>420</v>
      </c>
      <c r="F1721" s="1">
        <v>277</v>
      </c>
      <c r="G1721" s="1">
        <v>6</v>
      </c>
      <c r="H1721" s="1">
        <v>-1.3</v>
      </c>
    </row>
    <row r="1722" spans="1:10" x14ac:dyDescent="0.3">
      <c r="A1722" t="str">
        <f t="shared" si="52"/>
        <v>TM</v>
      </c>
      <c r="B1722">
        <f t="shared" si="53"/>
        <v>15925</v>
      </c>
      <c r="E1722" s="1" t="s">
        <v>495</v>
      </c>
      <c r="F1722" s="1">
        <v>299</v>
      </c>
      <c r="G1722" s="1">
        <v>6</v>
      </c>
      <c r="H1722" s="1">
        <v>-1.9</v>
      </c>
    </row>
    <row r="1723" spans="1:10" x14ac:dyDescent="0.3">
      <c r="A1723" t="str">
        <f t="shared" si="52"/>
        <v>TM</v>
      </c>
      <c r="B1723">
        <f t="shared" si="53"/>
        <v>3725</v>
      </c>
      <c r="E1723" s="1" t="s">
        <v>115</v>
      </c>
      <c r="F1723" s="1">
        <v>316</v>
      </c>
      <c r="G1723" s="1">
        <v>16</v>
      </c>
      <c r="H1723" s="1">
        <v>-2.4</v>
      </c>
    </row>
    <row r="1724" spans="1:10" x14ac:dyDescent="0.3">
      <c r="A1724" t="str">
        <f t="shared" si="52"/>
        <v>TM</v>
      </c>
      <c r="B1724">
        <f t="shared" si="53"/>
        <v>4325</v>
      </c>
      <c r="E1724" s="1" t="s">
        <v>125</v>
      </c>
      <c r="F1724" s="1">
        <v>331</v>
      </c>
      <c r="G1724" s="1">
        <v>17</v>
      </c>
      <c r="H1724" s="1">
        <v>-2.7</v>
      </c>
    </row>
    <row r="1725" spans="1:10" x14ac:dyDescent="0.3">
      <c r="A1725" t="str">
        <f t="shared" si="52"/>
        <v>TM</v>
      </c>
      <c r="B1725">
        <f t="shared" si="53"/>
        <v>7625</v>
      </c>
      <c r="E1725" s="1" t="s">
        <v>253</v>
      </c>
      <c r="F1725" s="1">
        <v>333</v>
      </c>
      <c r="G1725" s="1">
        <v>18</v>
      </c>
      <c r="H1725" s="1">
        <v>-2.7</v>
      </c>
    </row>
    <row r="1726" spans="1:10" x14ac:dyDescent="0.3">
      <c r="A1726" t="str">
        <f t="shared" si="52"/>
        <v>TM</v>
      </c>
      <c r="B1726">
        <f t="shared" si="53"/>
        <v>16125</v>
      </c>
      <c r="E1726" s="1" t="s">
        <v>473</v>
      </c>
      <c r="F1726" s="1">
        <v>349</v>
      </c>
      <c r="G1726" s="1">
        <v>13</v>
      </c>
      <c r="H1726" s="1">
        <v>-3.9</v>
      </c>
    </row>
    <row r="1727" spans="1:10" x14ac:dyDescent="0.3">
      <c r="A1727" t="str">
        <f t="shared" si="52"/>
        <v>TM</v>
      </c>
      <c r="B1727">
        <f t="shared" si="53"/>
        <v>3125</v>
      </c>
      <c r="E1727" s="1" t="s">
        <v>93</v>
      </c>
      <c r="F1727" s="1">
        <v>351</v>
      </c>
      <c r="G1727" s="1">
        <v>11</v>
      </c>
      <c r="H1727" s="1">
        <v>-4.3</v>
      </c>
    </row>
    <row r="1728" spans="1:10" x14ac:dyDescent="0.3">
      <c r="A1728" t="str">
        <f t="shared" si="52"/>
        <v>TOF</v>
      </c>
      <c r="B1728">
        <f t="shared" si="53"/>
        <v>15026</v>
      </c>
      <c r="D1728" s="1" t="s">
        <v>557</v>
      </c>
      <c r="E1728" s="1" t="s">
        <v>463</v>
      </c>
      <c r="F1728" s="1">
        <v>8</v>
      </c>
      <c r="G1728" s="1">
        <v>1</v>
      </c>
      <c r="H1728" s="1">
        <v>15.91</v>
      </c>
      <c r="I1728" s="1" t="s">
        <v>563</v>
      </c>
      <c r="J1728" s="1">
        <v>17.09</v>
      </c>
    </row>
    <row r="1729" spans="1:8" x14ac:dyDescent="0.3">
      <c r="A1729" t="str">
        <f t="shared" si="52"/>
        <v>TOF</v>
      </c>
      <c r="B1729">
        <f t="shared" si="53"/>
        <v>626</v>
      </c>
      <c r="E1729" s="1" t="s">
        <v>100</v>
      </c>
      <c r="F1729" s="1">
        <v>11</v>
      </c>
      <c r="G1729" s="1">
        <v>1</v>
      </c>
      <c r="H1729" s="1">
        <v>15.23</v>
      </c>
    </row>
    <row r="1730" spans="1:8" x14ac:dyDescent="0.3">
      <c r="A1730" t="str">
        <f t="shared" ref="A1730:A1793" si="54">IF(NOT(D1730=""),INDEX(statAbbr,MATCH(D1730,statOfficial,0),1),A1729)</f>
        <v>TOF</v>
      </c>
      <c r="B1730">
        <f t="shared" ref="B1730:B1793" si="55">INDEX(statID,MATCH(A1730,statAbbr,0),1)+INDEX(teamID,MATCH(E1730,teamRawName,0))</f>
        <v>9326</v>
      </c>
      <c r="E1730" s="1" t="s">
        <v>357</v>
      </c>
      <c r="F1730" s="1">
        <v>12</v>
      </c>
      <c r="G1730" s="1">
        <v>1</v>
      </c>
      <c r="H1730" s="1">
        <v>15.19</v>
      </c>
    </row>
    <row r="1731" spans="1:8" x14ac:dyDescent="0.3">
      <c r="A1731" t="str">
        <f t="shared" si="54"/>
        <v>TOF</v>
      </c>
      <c r="B1731">
        <f t="shared" si="55"/>
        <v>9026</v>
      </c>
      <c r="E1731" s="1" t="s">
        <v>261</v>
      </c>
      <c r="F1731" s="1">
        <v>16</v>
      </c>
      <c r="G1731" s="1">
        <v>1</v>
      </c>
      <c r="H1731" s="1">
        <v>15.12</v>
      </c>
    </row>
    <row r="1732" spans="1:8" x14ac:dyDescent="0.3">
      <c r="A1732" t="str">
        <f t="shared" si="54"/>
        <v>TOF</v>
      </c>
      <c r="B1732">
        <f t="shared" si="55"/>
        <v>4726</v>
      </c>
      <c r="E1732" s="1" t="s">
        <v>107</v>
      </c>
      <c r="F1732" s="1">
        <v>18</v>
      </c>
      <c r="G1732" s="1">
        <v>1</v>
      </c>
      <c r="H1732" s="1">
        <v>15.06</v>
      </c>
    </row>
    <row r="1733" spans="1:8" x14ac:dyDescent="0.3">
      <c r="A1733" t="str">
        <f t="shared" si="54"/>
        <v>TOF</v>
      </c>
      <c r="B1733">
        <f t="shared" si="55"/>
        <v>5826</v>
      </c>
      <c r="E1733" s="1" t="s">
        <v>139</v>
      </c>
      <c r="F1733" s="1">
        <v>20</v>
      </c>
      <c r="G1733" s="1">
        <v>3</v>
      </c>
      <c r="H1733" s="1">
        <v>14.91</v>
      </c>
    </row>
    <row r="1734" spans="1:8" x14ac:dyDescent="0.3">
      <c r="A1734" t="str">
        <f t="shared" si="54"/>
        <v>TOF</v>
      </c>
      <c r="B1734">
        <f t="shared" si="55"/>
        <v>3326</v>
      </c>
      <c r="E1734" s="1" t="s">
        <v>91</v>
      </c>
      <c r="F1734" s="1">
        <v>28</v>
      </c>
      <c r="G1734" s="1">
        <v>2</v>
      </c>
      <c r="H1734" s="1">
        <v>14.71</v>
      </c>
    </row>
    <row r="1735" spans="1:8" x14ac:dyDescent="0.3">
      <c r="A1735" t="str">
        <f t="shared" si="54"/>
        <v>TOF</v>
      </c>
      <c r="B1735">
        <f t="shared" si="55"/>
        <v>226</v>
      </c>
      <c r="E1735" s="1" t="s">
        <v>98</v>
      </c>
      <c r="F1735" s="1">
        <v>29</v>
      </c>
      <c r="G1735" s="1">
        <v>1</v>
      </c>
      <c r="H1735" s="1">
        <v>14.63</v>
      </c>
    </row>
    <row r="1736" spans="1:8" x14ac:dyDescent="0.3">
      <c r="A1736" t="str">
        <f t="shared" si="54"/>
        <v>TOF</v>
      </c>
      <c r="B1736">
        <f t="shared" si="55"/>
        <v>11126</v>
      </c>
      <c r="E1736" s="1" t="s">
        <v>277</v>
      </c>
      <c r="F1736" s="1">
        <v>38</v>
      </c>
      <c r="G1736" s="1">
        <v>2</v>
      </c>
      <c r="H1736" s="1">
        <v>14.19</v>
      </c>
    </row>
    <row r="1737" spans="1:8" x14ac:dyDescent="0.3">
      <c r="A1737" t="str">
        <f t="shared" si="54"/>
        <v>TOF</v>
      </c>
      <c r="B1737">
        <f t="shared" si="55"/>
        <v>14126</v>
      </c>
      <c r="E1737" s="1" t="s">
        <v>299</v>
      </c>
      <c r="F1737" s="1">
        <v>41</v>
      </c>
      <c r="G1737" s="1">
        <v>1</v>
      </c>
      <c r="H1737" s="1">
        <v>14.09</v>
      </c>
    </row>
    <row r="1738" spans="1:8" x14ac:dyDescent="0.3">
      <c r="A1738" t="str">
        <f t="shared" si="54"/>
        <v>TOF</v>
      </c>
      <c r="B1738">
        <f t="shared" si="55"/>
        <v>326</v>
      </c>
      <c r="E1738" s="1" t="s">
        <v>215</v>
      </c>
      <c r="F1738" s="1">
        <v>42</v>
      </c>
      <c r="G1738" s="1">
        <v>2</v>
      </c>
      <c r="H1738" s="1">
        <v>14.08</v>
      </c>
    </row>
    <row r="1739" spans="1:8" x14ac:dyDescent="0.3">
      <c r="A1739" t="str">
        <f t="shared" si="54"/>
        <v>TOF</v>
      </c>
      <c r="B1739">
        <f t="shared" si="55"/>
        <v>14426</v>
      </c>
      <c r="E1739" s="1" t="s">
        <v>302</v>
      </c>
      <c r="F1739" s="1">
        <v>47</v>
      </c>
      <c r="G1739" s="1">
        <v>3</v>
      </c>
      <c r="H1739" s="1">
        <v>13.91</v>
      </c>
    </row>
    <row r="1740" spans="1:8" x14ac:dyDescent="0.3">
      <c r="A1740" t="str">
        <f t="shared" si="54"/>
        <v>TOF</v>
      </c>
      <c r="B1740">
        <f t="shared" si="55"/>
        <v>1426</v>
      </c>
      <c r="E1740" s="1" t="s">
        <v>102</v>
      </c>
      <c r="F1740" s="1">
        <v>49</v>
      </c>
      <c r="G1740" s="1">
        <v>2</v>
      </c>
      <c r="H1740" s="1">
        <v>13.79</v>
      </c>
    </row>
    <row r="1741" spans="1:8" x14ac:dyDescent="0.3">
      <c r="A1741" t="str">
        <f t="shared" si="54"/>
        <v>TOF</v>
      </c>
      <c r="B1741">
        <f t="shared" si="55"/>
        <v>12226</v>
      </c>
      <c r="E1741" s="1" t="s">
        <v>284</v>
      </c>
      <c r="F1741" s="1">
        <v>50</v>
      </c>
      <c r="G1741" s="1">
        <v>1</v>
      </c>
      <c r="H1741" s="1">
        <v>13.74</v>
      </c>
    </row>
    <row r="1742" spans="1:8" x14ac:dyDescent="0.3">
      <c r="A1742" t="str">
        <f t="shared" si="54"/>
        <v>TOF</v>
      </c>
      <c r="B1742">
        <f t="shared" si="55"/>
        <v>6626</v>
      </c>
      <c r="E1742" s="1" t="s">
        <v>247</v>
      </c>
      <c r="F1742" s="1">
        <v>53</v>
      </c>
      <c r="G1742" s="1">
        <v>2</v>
      </c>
      <c r="H1742" s="1">
        <v>13.63</v>
      </c>
    </row>
    <row r="1743" spans="1:8" x14ac:dyDescent="0.3">
      <c r="A1743" t="str">
        <f t="shared" si="54"/>
        <v>TOF</v>
      </c>
      <c r="B1743">
        <f t="shared" si="55"/>
        <v>9526</v>
      </c>
      <c r="E1743" s="1" t="s">
        <v>85</v>
      </c>
      <c r="F1743" s="1">
        <v>54</v>
      </c>
      <c r="G1743" s="1">
        <v>1</v>
      </c>
      <c r="H1743" s="1">
        <v>13.6</v>
      </c>
    </row>
    <row r="1744" spans="1:8" x14ac:dyDescent="0.3">
      <c r="A1744" t="str">
        <f t="shared" si="54"/>
        <v>TOF</v>
      </c>
      <c r="B1744">
        <f t="shared" si="55"/>
        <v>15726</v>
      </c>
      <c r="E1744" s="1" t="s">
        <v>469</v>
      </c>
      <c r="F1744" s="1">
        <v>55</v>
      </c>
      <c r="G1744" s="1">
        <v>2</v>
      </c>
      <c r="H1744" s="1">
        <v>13.59</v>
      </c>
    </row>
    <row r="1745" spans="1:8" x14ac:dyDescent="0.3">
      <c r="A1745" t="str">
        <f t="shared" si="54"/>
        <v>TOF</v>
      </c>
      <c r="B1745">
        <f t="shared" si="55"/>
        <v>18326</v>
      </c>
      <c r="E1745" s="1" t="s">
        <v>423</v>
      </c>
      <c r="F1745" s="1">
        <v>59</v>
      </c>
      <c r="G1745" s="1">
        <v>3</v>
      </c>
      <c r="H1745" s="1">
        <v>13.41</v>
      </c>
    </row>
    <row r="1746" spans="1:8" x14ac:dyDescent="0.3">
      <c r="A1746" t="str">
        <f t="shared" si="54"/>
        <v>TOF</v>
      </c>
      <c r="B1746">
        <f t="shared" si="55"/>
        <v>4026</v>
      </c>
      <c r="E1746" s="1" t="s">
        <v>105</v>
      </c>
      <c r="F1746" s="1">
        <v>65</v>
      </c>
      <c r="G1746" s="1">
        <v>3</v>
      </c>
      <c r="H1746" s="1">
        <v>13.29</v>
      </c>
    </row>
    <row r="1747" spans="1:8" x14ac:dyDescent="0.3">
      <c r="A1747" t="str">
        <f t="shared" si="54"/>
        <v>TOF</v>
      </c>
      <c r="B1747">
        <f t="shared" si="55"/>
        <v>1626</v>
      </c>
      <c r="E1747" s="1" t="s">
        <v>137</v>
      </c>
      <c r="F1747" s="1">
        <v>65</v>
      </c>
      <c r="G1747" s="1">
        <v>4</v>
      </c>
      <c r="H1747" s="1">
        <v>13.29</v>
      </c>
    </row>
    <row r="1748" spans="1:8" x14ac:dyDescent="0.3">
      <c r="A1748" t="str">
        <f t="shared" si="54"/>
        <v>TOF</v>
      </c>
      <c r="B1748">
        <f t="shared" si="55"/>
        <v>1226</v>
      </c>
      <c r="E1748" s="1" t="s">
        <v>130</v>
      </c>
      <c r="F1748" s="1">
        <v>67</v>
      </c>
      <c r="G1748" s="1">
        <v>3</v>
      </c>
      <c r="H1748" s="1">
        <v>13.29</v>
      </c>
    </row>
    <row r="1749" spans="1:8" x14ac:dyDescent="0.3">
      <c r="A1749" t="str">
        <f t="shared" si="54"/>
        <v>TOF</v>
      </c>
      <c r="B1749">
        <f t="shared" si="55"/>
        <v>3626</v>
      </c>
      <c r="E1749" s="1" t="s">
        <v>129</v>
      </c>
      <c r="F1749" s="1">
        <v>69</v>
      </c>
      <c r="G1749" s="1">
        <v>5</v>
      </c>
      <c r="H1749" s="1">
        <v>13.26</v>
      </c>
    </row>
    <row r="1750" spans="1:8" x14ac:dyDescent="0.3">
      <c r="A1750" t="str">
        <f t="shared" si="54"/>
        <v>TOF</v>
      </c>
      <c r="B1750">
        <f t="shared" si="55"/>
        <v>2826</v>
      </c>
      <c r="E1750" s="1" t="s">
        <v>106</v>
      </c>
      <c r="F1750" s="1">
        <v>72</v>
      </c>
      <c r="G1750" s="1">
        <v>3</v>
      </c>
      <c r="H1750" s="1">
        <v>13.23</v>
      </c>
    </row>
    <row r="1751" spans="1:8" x14ac:dyDescent="0.3">
      <c r="A1751" t="str">
        <f t="shared" si="54"/>
        <v>TOF</v>
      </c>
      <c r="B1751">
        <f t="shared" si="55"/>
        <v>2026</v>
      </c>
      <c r="E1751" s="1" t="s">
        <v>328</v>
      </c>
      <c r="F1751" s="1">
        <v>74</v>
      </c>
      <c r="G1751" s="1">
        <v>6</v>
      </c>
      <c r="H1751" s="1">
        <v>13.17</v>
      </c>
    </row>
    <row r="1752" spans="1:8" x14ac:dyDescent="0.3">
      <c r="A1752" t="str">
        <f t="shared" si="54"/>
        <v>TOF</v>
      </c>
      <c r="B1752">
        <f t="shared" si="55"/>
        <v>16226</v>
      </c>
      <c r="E1752" s="1" t="s">
        <v>497</v>
      </c>
      <c r="F1752" s="1">
        <v>75</v>
      </c>
      <c r="G1752" s="1">
        <v>5</v>
      </c>
      <c r="H1752" s="1">
        <v>13.17</v>
      </c>
    </row>
    <row r="1753" spans="1:8" x14ac:dyDescent="0.3">
      <c r="A1753" t="str">
        <f t="shared" si="54"/>
        <v>TOF</v>
      </c>
      <c r="B1753">
        <f t="shared" si="55"/>
        <v>15126</v>
      </c>
      <c r="E1753" s="1" t="s">
        <v>464</v>
      </c>
      <c r="F1753" s="1">
        <v>84</v>
      </c>
      <c r="G1753" s="1">
        <v>5</v>
      </c>
      <c r="H1753" s="1">
        <v>13.06</v>
      </c>
    </row>
    <row r="1754" spans="1:8" x14ac:dyDescent="0.3">
      <c r="A1754" t="str">
        <f t="shared" si="54"/>
        <v>TOF</v>
      </c>
      <c r="B1754">
        <f t="shared" si="55"/>
        <v>4426</v>
      </c>
      <c r="E1754" s="1" t="s">
        <v>83</v>
      </c>
      <c r="F1754" s="1">
        <v>99</v>
      </c>
      <c r="G1754" s="1">
        <v>2</v>
      </c>
      <c r="H1754" s="1">
        <v>12.83</v>
      </c>
    </row>
    <row r="1755" spans="1:8" x14ac:dyDescent="0.3">
      <c r="A1755" t="str">
        <f t="shared" si="54"/>
        <v>TOF</v>
      </c>
      <c r="B1755">
        <f t="shared" si="55"/>
        <v>13126</v>
      </c>
      <c r="E1755" s="1" t="s">
        <v>289</v>
      </c>
      <c r="F1755" s="1">
        <v>103</v>
      </c>
      <c r="G1755" s="1">
        <v>4</v>
      </c>
      <c r="H1755" s="1">
        <v>12.8</v>
      </c>
    </row>
    <row r="1756" spans="1:8" x14ac:dyDescent="0.3">
      <c r="A1756" t="str">
        <f t="shared" si="54"/>
        <v>TOF</v>
      </c>
      <c r="B1756">
        <f t="shared" si="55"/>
        <v>3826</v>
      </c>
      <c r="E1756" s="1" t="s">
        <v>238</v>
      </c>
      <c r="F1756" s="1">
        <v>108</v>
      </c>
      <c r="G1756" s="1">
        <v>6</v>
      </c>
      <c r="H1756" s="1">
        <v>12.71</v>
      </c>
    </row>
    <row r="1757" spans="1:8" x14ac:dyDescent="0.3">
      <c r="A1757" t="str">
        <f t="shared" si="54"/>
        <v>TOF</v>
      </c>
      <c r="B1757">
        <f t="shared" si="55"/>
        <v>18426</v>
      </c>
      <c r="E1757" s="1" t="s">
        <v>417</v>
      </c>
      <c r="F1757" s="1">
        <v>109</v>
      </c>
      <c r="G1757" s="1">
        <v>2</v>
      </c>
      <c r="H1757" s="1">
        <v>12.7</v>
      </c>
    </row>
    <row r="1758" spans="1:8" x14ac:dyDescent="0.3">
      <c r="A1758" t="str">
        <f t="shared" si="54"/>
        <v>TOF</v>
      </c>
      <c r="B1758">
        <f t="shared" si="55"/>
        <v>8226</v>
      </c>
      <c r="E1758" s="1" t="s">
        <v>131</v>
      </c>
      <c r="F1758" s="1">
        <v>111</v>
      </c>
      <c r="G1758" s="1">
        <v>4</v>
      </c>
      <c r="H1758" s="1">
        <v>12.69</v>
      </c>
    </row>
    <row r="1759" spans="1:8" x14ac:dyDescent="0.3">
      <c r="A1759" t="str">
        <f t="shared" si="54"/>
        <v>TOF</v>
      </c>
      <c r="B1759">
        <f t="shared" si="55"/>
        <v>3226</v>
      </c>
      <c r="E1759" s="1" t="s">
        <v>127</v>
      </c>
      <c r="F1759" s="1">
        <v>117</v>
      </c>
      <c r="G1759" s="1">
        <v>8</v>
      </c>
      <c r="H1759" s="1">
        <v>12.57</v>
      </c>
    </row>
    <row r="1760" spans="1:8" x14ac:dyDescent="0.3">
      <c r="A1760" t="str">
        <f t="shared" si="54"/>
        <v>TOF</v>
      </c>
      <c r="B1760">
        <f t="shared" si="55"/>
        <v>15426</v>
      </c>
      <c r="E1760" s="1" t="s">
        <v>494</v>
      </c>
      <c r="F1760" s="1">
        <v>121</v>
      </c>
      <c r="G1760" s="1">
        <v>6</v>
      </c>
      <c r="H1760" s="1">
        <v>12.5</v>
      </c>
    </row>
    <row r="1761" spans="1:8" x14ac:dyDescent="0.3">
      <c r="A1761" t="str">
        <f t="shared" si="54"/>
        <v>TOF</v>
      </c>
      <c r="B1761">
        <f t="shared" si="55"/>
        <v>13926</v>
      </c>
      <c r="E1761" s="1" t="s">
        <v>297</v>
      </c>
      <c r="F1761" s="1">
        <v>139</v>
      </c>
      <c r="G1761" s="1">
        <v>7</v>
      </c>
      <c r="H1761" s="1">
        <v>12.33</v>
      </c>
    </row>
    <row r="1762" spans="1:8" x14ac:dyDescent="0.3">
      <c r="A1762" t="str">
        <f t="shared" si="54"/>
        <v>TOF</v>
      </c>
      <c r="B1762">
        <f t="shared" si="55"/>
        <v>7426</v>
      </c>
      <c r="E1762" s="1" t="s">
        <v>251</v>
      </c>
      <c r="F1762" s="1">
        <v>148</v>
      </c>
      <c r="G1762" s="1">
        <v>5</v>
      </c>
      <c r="H1762" s="1">
        <v>12.29</v>
      </c>
    </row>
    <row r="1763" spans="1:8" x14ac:dyDescent="0.3">
      <c r="A1763" t="str">
        <f t="shared" si="54"/>
        <v>TOF</v>
      </c>
      <c r="B1763">
        <f t="shared" si="55"/>
        <v>8126</v>
      </c>
      <c r="E1763" s="1" t="s">
        <v>256</v>
      </c>
      <c r="F1763" s="1">
        <v>153</v>
      </c>
      <c r="G1763" s="1">
        <v>8</v>
      </c>
      <c r="H1763" s="1">
        <v>12.19</v>
      </c>
    </row>
    <row r="1764" spans="1:8" x14ac:dyDescent="0.3">
      <c r="A1764" t="str">
        <f t="shared" si="54"/>
        <v>TOF</v>
      </c>
      <c r="B1764">
        <f t="shared" si="55"/>
        <v>6926</v>
      </c>
      <c r="E1764" s="1" t="s">
        <v>114</v>
      </c>
      <c r="F1764" s="1">
        <v>157</v>
      </c>
      <c r="G1764" s="1">
        <v>9</v>
      </c>
      <c r="H1764" s="1">
        <v>12.14</v>
      </c>
    </row>
    <row r="1765" spans="1:8" x14ac:dyDescent="0.3">
      <c r="A1765" t="str">
        <f t="shared" si="54"/>
        <v>TOF</v>
      </c>
      <c r="B1765">
        <f t="shared" si="55"/>
        <v>14926</v>
      </c>
      <c r="E1765" s="1" t="s">
        <v>307</v>
      </c>
      <c r="F1765" s="1">
        <v>160</v>
      </c>
      <c r="G1765" s="1">
        <v>4</v>
      </c>
      <c r="H1765" s="1">
        <v>12.11</v>
      </c>
    </row>
    <row r="1766" spans="1:8" x14ac:dyDescent="0.3">
      <c r="A1766" t="str">
        <f t="shared" si="54"/>
        <v>TOF</v>
      </c>
      <c r="B1766">
        <f t="shared" si="55"/>
        <v>5126</v>
      </c>
      <c r="E1766" s="1" t="s">
        <v>240</v>
      </c>
      <c r="F1766" s="1">
        <v>161</v>
      </c>
      <c r="G1766" s="1">
        <v>5</v>
      </c>
      <c r="H1766" s="1">
        <v>12.09</v>
      </c>
    </row>
    <row r="1767" spans="1:8" x14ac:dyDescent="0.3">
      <c r="A1767" t="str">
        <f t="shared" si="54"/>
        <v>TOF</v>
      </c>
      <c r="B1767">
        <f t="shared" si="55"/>
        <v>4526</v>
      </c>
      <c r="E1767" s="1" t="s">
        <v>84</v>
      </c>
      <c r="F1767" s="1">
        <v>165</v>
      </c>
      <c r="G1767" s="1">
        <v>9</v>
      </c>
      <c r="H1767" s="1">
        <v>12.05</v>
      </c>
    </row>
    <row r="1768" spans="1:8" x14ac:dyDescent="0.3">
      <c r="A1768" t="str">
        <f t="shared" si="54"/>
        <v>TOF</v>
      </c>
      <c r="B1768">
        <f t="shared" si="55"/>
        <v>15626</v>
      </c>
      <c r="E1768" s="1" t="s">
        <v>468</v>
      </c>
      <c r="F1768" s="1">
        <v>172</v>
      </c>
      <c r="G1768" s="1">
        <v>3</v>
      </c>
      <c r="H1768" s="1">
        <v>11.94</v>
      </c>
    </row>
    <row r="1769" spans="1:8" x14ac:dyDescent="0.3">
      <c r="A1769" t="str">
        <f t="shared" si="54"/>
        <v>TOF</v>
      </c>
      <c r="B1769">
        <f t="shared" si="55"/>
        <v>5726</v>
      </c>
      <c r="E1769" s="1" t="s">
        <v>120</v>
      </c>
      <c r="F1769" s="1">
        <v>189</v>
      </c>
      <c r="G1769" s="1">
        <v>10</v>
      </c>
      <c r="H1769" s="1">
        <v>11.73</v>
      </c>
    </row>
    <row r="1770" spans="1:8" x14ac:dyDescent="0.3">
      <c r="A1770" t="str">
        <f t="shared" si="54"/>
        <v>TOF</v>
      </c>
      <c r="B1770">
        <f t="shared" si="55"/>
        <v>2726</v>
      </c>
      <c r="E1770" s="1" t="s">
        <v>7</v>
      </c>
      <c r="F1770" s="1">
        <v>194</v>
      </c>
      <c r="G1770" s="1">
        <v>10</v>
      </c>
      <c r="H1770" s="1">
        <v>11.69</v>
      </c>
    </row>
    <row r="1771" spans="1:8" x14ac:dyDescent="0.3">
      <c r="A1771" t="str">
        <f t="shared" si="54"/>
        <v>TOF</v>
      </c>
      <c r="B1771">
        <f t="shared" si="55"/>
        <v>3026</v>
      </c>
      <c r="E1771" s="1" t="s">
        <v>89</v>
      </c>
      <c r="F1771" s="1">
        <v>206</v>
      </c>
      <c r="G1771" s="1">
        <v>12</v>
      </c>
      <c r="H1771" s="1">
        <v>11.61</v>
      </c>
    </row>
    <row r="1772" spans="1:8" x14ac:dyDescent="0.3">
      <c r="A1772" t="str">
        <f t="shared" si="54"/>
        <v>TOF</v>
      </c>
      <c r="B1772">
        <f t="shared" si="55"/>
        <v>10626</v>
      </c>
      <c r="E1772" s="1" t="s">
        <v>161</v>
      </c>
      <c r="F1772" s="1">
        <v>209</v>
      </c>
      <c r="G1772" s="1">
        <v>6</v>
      </c>
      <c r="H1772" s="1">
        <v>11.57</v>
      </c>
    </row>
    <row r="1773" spans="1:8" x14ac:dyDescent="0.3">
      <c r="A1773" t="str">
        <f t="shared" si="54"/>
        <v>TOF</v>
      </c>
      <c r="B1773">
        <f t="shared" si="55"/>
        <v>7226</v>
      </c>
      <c r="E1773" s="1" t="s">
        <v>116</v>
      </c>
      <c r="F1773" s="1">
        <v>213</v>
      </c>
      <c r="G1773" s="1">
        <v>11</v>
      </c>
      <c r="H1773" s="1">
        <v>11.54</v>
      </c>
    </row>
    <row r="1774" spans="1:8" x14ac:dyDescent="0.3">
      <c r="A1774" t="str">
        <f t="shared" si="54"/>
        <v>TOF</v>
      </c>
      <c r="B1774">
        <f t="shared" si="55"/>
        <v>2926</v>
      </c>
      <c r="E1774" s="1" t="s">
        <v>96</v>
      </c>
      <c r="F1774" s="1">
        <v>217</v>
      </c>
      <c r="G1774" s="1">
        <v>12</v>
      </c>
      <c r="H1774" s="1">
        <v>11.49</v>
      </c>
    </row>
    <row r="1775" spans="1:8" x14ac:dyDescent="0.3">
      <c r="A1775" t="str">
        <f t="shared" si="54"/>
        <v>TOF</v>
      </c>
      <c r="B1775">
        <f t="shared" si="55"/>
        <v>3526</v>
      </c>
      <c r="E1775" s="1" t="s">
        <v>87</v>
      </c>
      <c r="F1775" s="1">
        <v>219</v>
      </c>
      <c r="G1775" s="1">
        <v>12</v>
      </c>
      <c r="H1775" s="1">
        <v>11.47</v>
      </c>
    </row>
    <row r="1776" spans="1:8" x14ac:dyDescent="0.3">
      <c r="A1776" t="str">
        <f t="shared" si="54"/>
        <v>TOF</v>
      </c>
      <c r="B1776">
        <f t="shared" si="55"/>
        <v>6726</v>
      </c>
      <c r="E1776" s="1" t="s">
        <v>118</v>
      </c>
      <c r="F1776" s="1">
        <v>224</v>
      </c>
      <c r="G1776" s="1">
        <v>13</v>
      </c>
      <c r="H1776" s="1">
        <v>11.37</v>
      </c>
    </row>
    <row r="1777" spans="1:8" x14ac:dyDescent="0.3">
      <c r="A1777" t="str">
        <f t="shared" si="54"/>
        <v>TOF</v>
      </c>
      <c r="B1777">
        <f t="shared" si="55"/>
        <v>5426</v>
      </c>
      <c r="E1777" s="1" t="s">
        <v>94</v>
      </c>
      <c r="F1777" s="1">
        <v>226</v>
      </c>
      <c r="G1777" s="1">
        <v>10</v>
      </c>
      <c r="H1777" s="1">
        <v>11.36</v>
      </c>
    </row>
    <row r="1778" spans="1:8" x14ac:dyDescent="0.3">
      <c r="A1778" t="str">
        <f t="shared" si="54"/>
        <v>TOF</v>
      </c>
      <c r="B1778">
        <f t="shared" si="55"/>
        <v>12526</v>
      </c>
      <c r="E1778" s="1" t="s">
        <v>95</v>
      </c>
      <c r="F1778" s="1">
        <v>230</v>
      </c>
      <c r="G1778" s="1">
        <v>5</v>
      </c>
      <c r="H1778" s="1">
        <v>11.3</v>
      </c>
    </row>
    <row r="1779" spans="1:8" x14ac:dyDescent="0.3">
      <c r="A1779" t="str">
        <f t="shared" si="54"/>
        <v>TOF</v>
      </c>
      <c r="B1779">
        <f t="shared" si="55"/>
        <v>7626</v>
      </c>
      <c r="E1779" s="1" t="s">
        <v>253</v>
      </c>
      <c r="F1779" s="1">
        <v>232</v>
      </c>
      <c r="G1779" s="1">
        <v>14</v>
      </c>
      <c r="H1779" s="1">
        <v>11.27</v>
      </c>
    </row>
    <row r="1780" spans="1:8" x14ac:dyDescent="0.3">
      <c r="A1780" t="str">
        <f t="shared" si="54"/>
        <v>TOF</v>
      </c>
      <c r="B1780">
        <f t="shared" si="55"/>
        <v>1326</v>
      </c>
      <c r="E1780" s="1" t="s">
        <v>82</v>
      </c>
      <c r="F1780" s="1">
        <v>237</v>
      </c>
      <c r="G1780" s="1">
        <v>7</v>
      </c>
      <c r="H1780" s="1">
        <v>11.19</v>
      </c>
    </row>
    <row r="1781" spans="1:8" x14ac:dyDescent="0.3">
      <c r="A1781" t="str">
        <f t="shared" si="54"/>
        <v>TOF</v>
      </c>
      <c r="B1781">
        <f t="shared" si="55"/>
        <v>8326</v>
      </c>
      <c r="E1781" s="1" t="s">
        <v>257</v>
      </c>
      <c r="F1781" s="1">
        <v>239</v>
      </c>
      <c r="G1781" s="1">
        <v>6</v>
      </c>
      <c r="H1781" s="1">
        <v>11.17</v>
      </c>
    </row>
    <row r="1782" spans="1:8" x14ac:dyDescent="0.3">
      <c r="A1782" t="str">
        <f t="shared" si="54"/>
        <v>TOF</v>
      </c>
      <c r="B1782">
        <f t="shared" si="55"/>
        <v>15926</v>
      </c>
      <c r="E1782" s="1" t="s">
        <v>495</v>
      </c>
      <c r="F1782" s="1">
        <v>248</v>
      </c>
      <c r="G1782" s="1">
        <v>6</v>
      </c>
      <c r="H1782" s="1">
        <v>11.06</v>
      </c>
    </row>
    <row r="1783" spans="1:8" x14ac:dyDescent="0.3">
      <c r="A1783" t="str">
        <f t="shared" si="54"/>
        <v>TOF</v>
      </c>
      <c r="B1783">
        <f t="shared" si="55"/>
        <v>926</v>
      </c>
      <c r="E1783" s="1" t="s">
        <v>90</v>
      </c>
      <c r="F1783" s="1">
        <v>255</v>
      </c>
      <c r="G1783" s="1">
        <v>15</v>
      </c>
      <c r="H1783" s="1">
        <v>11.03</v>
      </c>
    </row>
    <row r="1784" spans="1:8" x14ac:dyDescent="0.3">
      <c r="A1784" t="str">
        <f t="shared" si="54"/>
        <v>TOF</v>
      </c>
      <c r="B1784">
        <f t="shared" si="55"/>
        <v>16126</v>
      </c>
      <c r="E1784" s="1" t="s">
        <v>473</v>
      </c>
      <c r="F1784" s="1">
        <v>256</v>
      </c>
      <c r="G1784" s="1">
        <v>9</v>
      </c>
      <c r="H1784" s="1">
        <v>11</v>
      </c>
    </row>
    <row r="1785" spans="1:8" x14ac:dyDescent="0.3">
      <c r="A1785" t="str">
        <f t="shared" si="54"/>
        <v>TOF</v>
      </c>
      <c r="B1785">
        <f t="shared" si="55"/>
        <v>3926</v>
      </c>
      <c r="E1785" s="1" t="s">
        <v>88</v>
      </c>
      <c r="F1785" s="1">
        <v>268</v>
      </c>
      <c r="G1785" s="1">
        <v>15</v>
      </c>
      <c r="H1785" s="1">
        <v>10.91</v>
      </c>
    </row>
    <row r="1786" spans="1:8" x14ac:dyDescent="0.3">
      <c r="A1786" t="str">
        <f t="shared" si="54"/>
        <v>TOF</v>
      </c>
      <c r="B1786">
        <f t="shared" si="55"/>
        <v>4926</v>
      </c>
      <c r="E1786" s="1" t="s">
        <v>108</v>
      </c>
      <c r="F1786" s="1">
        <v>271</v>
      </c>
      <c r="G1786" s="1">
        <v>12</v>
      </c>
      <c r="H1786" s="1">
        <v>10.89</v>
      </c>
    </row>
    <row r="1787" spans="1:8" x14ac:dyDescent="0.3">
      <c r="A1787" t="str">
        <f t="shared" si="54"/>
        <v>TOF</v>
      </c>
      <c r="B1787">
        <f t="shared" si="55"/>
        <v>11726</v>
      </c>
      <c r="E1787" s="1" t="s">
        <v>280</v>
      </c>
      <c r="F1787" s="1">
        <v>272</v>
      </c>
      <c r="G1787" s="1">
        <v>7</v>
      </c>
      <c r="H1787" s="1">
        <v>10.89</v>
      </c>
    </row>
    <row r="1788" spans="1:8" x14ac:dyDescent="0.3">
      <c r="A1788" t="str">
        <f t="shared" si="54"/>
        <v>TOF</v>
      </c>
      <c r="B1788">
        <f t="shared" si="55"/>
        <v>2526</v>
      </c>
      <c r="E1788" s="1" t="s">
        <v>92</v>
      </c>
      <c r="F1788" s="1">
        <v>296</v>
      </c>
      <c r="G1788" s="1">
        <v>10</v>
      </c>
      <c r="H1788" s="1">
        <v>10.57</v>
      </c>
    </row>
    <row r="1789" spans="1:8" x14ac:dyDescent="0.3">
      <c r="A1789" t="str">
        <f t="shared" si="54"/>
        <v>TOF</v>
      </c>
      <c r="B1789">
        <f t="shared" si="55"/>
        <v>3726</v>
      </c>
      <c r="E1789" s="1" t="s">
        <v>115</v>
      </c>
      <c r="F1789" s="1">
        <v>311</v>
      </c>
      <c r="G1789" s="1">
        <v>15</v>
      </c>
      <c r="H1789" s="1">
        <v>10.32</v>
      </c>
    </row>
    <row r="1790" spans="1:8" x14ac:dyDescent="0.3">
      <c r="A1790" t="str">
        <f t="shared" si="54"/>
        <v>TOF</v>
      </c>
      <c r="B1790">
        <f t="shared" si="55"/>
        <v>18526</v>
      </c>
      <c r="E1790" s="1" t="s">
        <v>420</v>
      </c>
      <c r="F1790" s="1">
        <v>314</v>
      </c>
      <c r="G1790" s="1">
        <v>6</v>
      </c>
      <c r="H1790" s="1">
        <v>10.3</v>
      </c>
    </row>
    <row r="1791" spans="1:8" x14ac:dyDescent="0.3">
      <c r="A1791" t="str">
        <f t="shared" si="54"/>
        <v>TOF</v>
      </c>
      <c r="B1791">
        <f t="shared" si="55"/>
        <v>2326</v>
      </c>
      <c r="E1791" s="1" t="s">
        <v>79</v>
      </c>
      <c r="F1791" s="1">
        <v>315</v>
      </c>
      <c r="G1791" s="1">
        <v>7</v>
      </c>
      <c r="H1791" s="1">
        <v>10.26</v>
      </c>
    </row>
    <row r="1792" spans="1:8" x14ac:dyDescent="0.3">
      <c r="A1792" t="str">
        <f t="shared" si="54"/>
        <v>TOF</v>
      </c>
      <c r="B1792">
        <f t="shared" si="55"/>
        <v>5526</v>
      </c>
      <c r="E1792" s="1" t="s">
        <v>86</v>
      </c>
      <c r="F1792" s="1">
        <v>316</v>
      </c>
      <c r="G1792" s="1">
        <v>16</v>
      </c>
      <c r="H1792" s="1">
        <v>10.25</v>
      </c>
    </row>
    <row r="1793" spans="1:10" x14ac:dyDescent="0.3">
      <c r="A1793" t="str">
        <f t="shared" si="54"/>
        <v>TOF</v>
      </c>
      <c r="B1793">
        <f t="shared" si="55"/>
        <v>15826</v>
      </c>
      <c r="E1793" s="1" t="s">
        <v>470</v>
      </c>
      <c r="F1793" s="1">
        <v>320</v>
      </c>
      <c r="G1793" s="1">
        <v>9</v>
      </c>
      <c r="H1793" s="1">
        <v>10.17</v>
      </c>
    </row>
    <row r="1794" spans="1:10" x14ac:dyDescent="0.3">
      <c r="A1794" t="str">
        <f t="shared" ref="A1794:A1857" si="56">IF(NOT(D1794=""),INDEX(statAbbr,MATCH(D1794,statOfficial,0),1),A1793)</f>
        <v>TOF</v>
      </c>
      <c r="B1794">
        <f t="shared" ref="B1794:B1857" si="57">INDEX(statID,MATCH(A1794,statAbbr,0),1)+INDEX(teamID,MATCH(E1794,teamRawName,0))</f>
        <v>4226</v>
      </c>
      <c r="E1794" s="1" t="s">
        <v>123</v>
      </c>
      <c r="F1794" s="1">
        <v>328</v>
      </c>
      <c r="G1794" s="1">
        <v>17</v>
      </c>
      <c r="H1794" s="1">
        <v>9.9700000000000006</v>
      </c>
    </row>
    <row r="1795" spans="1:10" x14ac:dyDescent="0.3">
      <c r="A1795" t="str">
        <f t="shared" si="56"/>
        <v>TOF</v>
      </c>
      <c r="B1795">
        <f t="shared" si="57"/>
        <v>4326</v>
      </c>
      <c r="E1795" s="1" t="s">
        <v>125</v>
      </c>
      <c r="F1795" s="1">
        <v>348</v>
      </c>
      <c r="G1795" s="1">
        <v>18</v>
      </c>
      <c r="H1795" s="1">
        <v>9</v>
      </c>
    </row>
    <row r="1796" spans="1:10" x14ac:dyDescent="0.3">
      <c r="A1796" t="str">
        <f t="shared" si="56"/>
        <v>TOF</v>
      </c>
      <c r="B1796">
        <f t="shared" si="57"/>
        <v>3126</v>
      </c>
      <c r="E1796" s="1" t="s">
        <v>93</v>
      </c>
      <c r="F1796" s="1">
        <v>352</v>
      </c>
      <c r="G1796" s="1">
        <v>10</v>
      </c>
      <c r="H1796" s="1">
        <v>7.92</v>
      </c>
    </row>
    <row r="1797" spans="1:10" x14ac:dyDescent="0.3">
      <c r="A1797" t="str">
        <f t="shared" si="56"/>
        <v>TPG</v>
      </c>
      <c r="B1797">
        <f t="shared" si="57"/>
        <v>15027</v>
      </c>
      <c r="D1797" s="1" t="s">
        <v>558</v>
      </c>
      <c r="E1797" s="1" t="s">
        <v>463</v>
      </c>
      <c r="F1797" s="1">
        <v>1</v>
      </c>
      <c r="G1797" s="1">
        <v>1</v>
      </c>
      <c r="H1797" s="1">
        <v>8.6999999999999993</v>
      </c>
      <c r="I1797" s="1" t="s">
        <v>463</v>
      </c>
      <c r="J1797" s="1">
        <v>8.6999999999999993</v>
      </c>
    </row>
    <row r="1798" spans="1:10" x14ac:dyDescent="0.3">
      <c r="A1798" t="str">
        <f t="shared" si="56"/>
        <v>TPG</v>
      </c>
      <c r="B1798">
        <f t="shared" si="57"/>
        <v>327</v>
      </c>
      <c r="E1798" s="1" t="s">
        <v>215</v>
      </c>
      <c r="F1798" s="1">
        <v>3</v>
      </c>
      <c r="G1798" s="1">
        <v>1</v>
      </c>
      <c r="H1798" s="1">
        <v>9</v>
      </c>
    </row>
    <row r="1799" spans="1:10" x14ac:dyDescent="0.3">
      <c r="A1799" t="str">
        <f t="shared" si="56"/>
        <v>TPG</v>
      </c>
      <c r="B1799">
        <f t="shared" si="57"/>
        <v>2827</v>
      </c>
      <c r="E1799" s="1" t="s">
        <v>106</v>
      </c>
      <c r="F1799" s="1">
        <v>3</v>
      </c>
      <c r="G1799" s="1">
        <v>1</v>
      </c>
      <c r="H1799" s="1">
        <v>9</v>
      </c>
    </row>
    <row r="1800" spans="1:10" x14ac:dyDescent="0.3">
      <c r="A1800" t="str">
        <f t="shared" si="56"/>
        <v>TPG</v>
      </c>
      <c r="B1800">
        <f t="shared" si="57"/>
        <v>16227</v>
      </c>
      <c r="E1800" s="1" t="s">
        <v>497</v>
      </c>
      <c r="F1800" s="1">
        <v>6</v>
      </c>
      <c r="G1800" s="1">
        <v>1</v>
      </c>
      <c r="H1800" s="1">
        <v>9.1</v>
      </c>
    </row>
    <row r="1801" spans="1:10" x14ac:dyDescent="0.3">
      <c r="A1801" t="str">
        <f t="shared" si="56"/>
        <v>TPG</v>
      </c>
      <c r="B1801">
        <f t="shared" si="57"/>
        <v>5427</v>
      </c>
      <c r="E1801" s="1" t="s">
        <v>94</v>
      </c>
      <c r="F1801" s="1">
        <v>8</v>
      </c>
      <c r="G1801" s="1">
        <v>1</v>
      </c>
      <c r="H1801" s="1">
        <v>9.3000000000000007</v>
      </c>
    </row>
    <row r="1802" spans="1:10" x14ac:dyDescent="0.3">
      <c r="A1802" t="str">
        <f t="shared" si="56"/>
        <v>TPG</v>
      </c>
      <c r="B1802">
        <f t="shared" si="57"/>
        <v>3327</v>
      </c>
      <c r="E1802" s="1" t="s">
        <v>91</v>
      </c>
      <c r="F1802" s="1">
        <v>9</v>
      </c>
      <c r="G1802" s="1">
        <v>1</v>
      </c>
      <c r="H1802" s="1">
        <v>9.4</v>
      </c>
    </row>
    <row r="1803" spans="1:10" x14ac:dyDescent="0.3">
      <c r="A1803" t="str">
        <f t="shared" si="56"/>
        <v>TPG</v>
      </c>
      <c r="B1803">
        <f t="shared" si="57"/>
        <v>4527</v>
      </c>
      <c r="E1803" s="1" t="s">
        <v>84</v>
      </c>
      <c r="F1803" s="1">
        <v>12</v>
      </c>
      <c r="G1803" s="1">
        <v>2</v>
      </c>
      <c r="H1803" s="1">
        <v>9.4</v>
      </c>
    </row>
    <row r="1804" spans="1:10" x14ac:dyDescent="0.3">
      <c r="A1804" t="str">
        <f t="shared" si="56"/>
        <v>TPG</v>
      </c>
      <c r="B1804">
        <f t="shared" si="57"/>
        <v>4427</v>
      </c>
      <c r="E1804" s="1" t="s">
        <v>83</v>
      </c>
      <c r="F1804" s="1">
        <v>14</v>
      </c>
      <c r="G1804" s="1">
        <v>1</v>
      </c>
      <c r="H1804" s="1">
        <v>9.5</v>
      </c>
    </row>
    <row r="1805" spans="1:10" x14ac:dyDescent="0.3">
      <c r="A1805" t="str">
        <f t="shared" si="56"/>
        <v>TPG</v>
      </c>
      <c r="B1805">
        <f t="shared" si="57"/>
        <v>7227</v>
      </c>
      <c r="E1805" s="1" t="s">
        <v>116</v>
      </c>
      <c r="F1805" s="1">
        <v>17</v>
      </c>
      <c r="G1805" s="1">
        <v>2</v>
      </c>
      <c r="H1805" s="1">
        <v>9.6</v>
      </c>
    </row>
    <row r="1806" spans="1:10" x14ac:dyDescent="0.3">
      <c r="A1806" t="str">
        <f t="shared" si="56"/>
        <v>TPG</v>
      </c>
      <c r="B1806">
        <f t="shared" si="57"/>
        <v>4227</v>
      </c>
      <c r="E1806" s="1" t="s">
        <v>123</v>
      </c>
      <c r="F1806" s="1">
        <v>17</v>
      </c>
      <c r="G1806" s="1">
        <v>1</v>
      </c>
      <c r="H1806" s="1">
        <v>9.6</v>
      </c>
    </row>
    <row r="1807" spans="1:10" x14ac:dyDescent="0.3">
      <c r="A1807" t="str">
        <f t="shared" si="56"/>
        <v>TPG</v>
      </c>
      <c r="B1807">
        <f t="shared" si="57"/>
        <v>2527</v>
      </c>
      <c r="E1807" s="1" t="s">
        <v>92</v>
      </c>
      <c r="F1807" s="1">
        <v>20</v>
      </c>
      <c r="G1807" s="1">
        <v>2</v>
      </c>
      <c r="H1807" s="1">
        <v>9.6999999999999993</v>
      </c>
    </row>
    <row r="1808" spans="1:10" x14ac:dyDescent="0.3">
      <c r="A1808" t="str">
        <f t="shared" si="56"/>
        <v>TPG</v>
      </c>
      <c r="B1808">
        <f t="shared" si="57"/>
        <v>8327</v>
      </c>
      <c r="E1808" s="1" t="s">
        <v>257</v>
      </c>
      <c r="F1808" s="1">
        <v>22</v>
      </c>
      <c r="G1808" s="1">
        <v>2</v>
      </c>
      <c r="H1808" s="1">
        <v>9.6999999999999993</v>
      </c>
    </row>
    <row r="1809" spans="1:8" x14ac:dyDescent="0.3">
      <c r="A1809" t="str">
        <f t="shared" si="56"/>
        <v>TPG</v>
      </c>
      <c r="B1809">
        <f t="shared" si="57"/>
        <v>6727</v>
      </c>
      <c r="E1809" s="1" t="s">
        <v>118</v>
      </c>
      <c r="F1809" s="1">
        <v>29</v>
      </c>
      <c r="G1809" s="1">
        <v>3</v>
      </c>
      <c r="H1809" s="1">
        <v>9.9</v>
      </c>
    </row>
    <row r="1810" spans="1:8" x14ac:dyDescent="0.3">
      <c r="A1810" t="str">
        <f t="shared" si="56"/>
        <v>TPG</v>
      </c>
      <c r="B1810">
        <f t="shared" si="57"/>
        <v>12527</v>
      </c>
      <c r="E1810" s="1" t="s">
        <v>95</v>
      </c>
      <c r="F1810" s="1">
        <v>36</v>
      </c>
      <c r="G1810" s="1">
        <v>1</v>
      </c>
      <c r="H1810" s="1">
        <v>10.1</v>
      </c>
    </row>
    <row r="1811" spans="1:8" x14ac:dyDescent="0.3">
      <c r="A1811" t="str">
        <f t="shared" si="56"/>
        <v>TPG</v>
      </c>
      <c r="B1811">
        <f t="shared" si="57"/>
        <v>11127</v>
      </c>
      <c r="E1811" s="1" t="s">
        <v>277</v>
      </c>
      <c r="F1811" s="1">
        <v>39</v>
      </c>
      <c r="G1811" s="1">
        <v>4</v>
      </c>
      <c r="H1811" s="1">
        <v>10.1</v>
      </c>
    </row>
    <row r="1812" spans="1:8" x14ac:dyDescent="0.3">
      <c r="A1812" t="str">
        <f t="shared" si="56"/>
        <v>TPG</v>
      </c>
      <c r="B1812">
        <f t="shared" si="57"/>
        <v>5127</v>
      </c>
      <c r="E1812" s="1" t="s">
        <v>240</v>
      </c>
      <c r="F1812" s="1">
        <v>40</v>
      </c>
      <c r="G1812" s="1">
        <v>1</v>
      </c>
      <c r="H1812" s="1">
        <v>10.1</v>
      </c>
    </row>
    <row r="1813" spans="1:8" x14ac:dyDescent="0.3">
      <c r="A1813" t="str">
        <f t="shared" si="56"/>
        <v>TPG</v>
      </c>
      <c r="B1813">
        <f t="shared" si="57"/>
        <v>14427</v>
      </c>
      <c r="E1813" s="1" t="s">
        <v>302</v>
      </c>
      <c r="F1813" s="1">
        <v>43</v>
      </c>
      <c r="G1813" s="1">
        <v>4</v>
      </c>
      <c r="H1813" s="1">
        <v>10.199999999999999</v>
      </c>
    </row>
    <row r="1814" spans="1:8" x14ac:dyDescent="0.3">
      <c r="A1814" t="str">
        <f t="shared" si="56"/>
        <v>TPG</v>
      </c>
      <c r="B1814">
        <f t="shared" si="57"/>
        <v>10627</v>
      </c>
      <c r="E1814" s="1" t="s">
        <v>161</v>
      </c>
      <c r="F1814" s="1">
        <v>50</v>
      </c>
      <c r="G1814" s="1">
        <v>1</v>
      </c>
      <c r="H1814" s="1">
        <v>10.4</v>
      </c>
    </row>
    <row r="1815" spans="1:8" x14ac:dyDescent="0.3">
      <c r="A1815" t="str">
        <f t="shared" si="56"/>
        <v>TPG</v>
      </c>
      <c r="B1815">
        <f t="shared" si="57"/>
        <v>3027</v>
      </c>
      <c r="E1815" s="1" t="s">
        <v>89</v>
      </c>
      <c r="F1815" s="1">
        <v>54</v>
      </c>
      <c r="G1815" s="1">
        <v>5</v>
      </c>
      <c r="H1815" s="1">
        <v>10.4</v>
      </c>
    </row>
    <row r="1816" spans="1:8" x14ac:dyDescent="0.3">
      <c r="A1816" t="str">
        <f t="shared" si="56"/>
        <v>TPG</v>
      </c>
      <c r="B1816">
        <f t="shared" si="57"/>
        <v>3527</v>
      </c>
      <c r="E1816" s="1" t="s">
        <v>87</v>
      </c>
      <c r="F1816" s="1">
        <v>59</v>
      </c>
      <c r="G1816" s="1">
        <v>5</v>
      </c>
      <c r="H1816" s="1">
        <v>10.4</v>
      </c>
    </row>
    <row r="1817" spans="1:8" x14ac:dyDescent="0.3">
      <c r="A1817" t="str">
        <f t="shared" si="56"/>
        <v>TPG</v>
      </c>
      <c r="B1817">
        <f t="shared" si="57"/>
        <v>4027</v>
      </c>
      <c r="E1817" s="1" t="s">
        <v>105</v>
      </c>
      <c r="F1817" s="1">
        <v>63</v>
      </c>
      <c r="G1817" s="1">
        <v>6</v>
      </c>
      <c r="H1817" s="1">
        <v>10.5</v>
      </c>
    </row>
    <row r="1818" spans="1:8" x14ac:dyDescent="0.3">
      <c r="A1818" t="str">
        <f t="shared" si="56"/>
        <v>TPG</v>
      </c>
      <c r="B1818">
        <f t="shared" si="57"/>
        <v>9027</v>
      </c>
      <c r="E1818" s="1" t="s">
        <v>261</v>
      </c>
      <c r="F1818" s="1">
        <v>66</v>
      </c>
      <c r="G1818" s="1">
        <v>6</v>
      </c>
      <c r="H1818" s="1">
        <v>10.6</v>
      </c>
    </row>
    <row r="1819" spans="1:8" x14ac:dyDescent="0.3">
      <c r="A1819" t="str">
        <f t="shared" si="56"/>
        <v>TPG</v>
      </c>
      <c r="B1819">
        <f t="shared" si="57"/>
        <v>1427</v>
      </c>
      <c r="E1819" s="1" t="s">
        <v>102</v>
      </c>
      <c r="F1819" s="1">
        <v>75</v>
      </c>
      <c r="G1819" s="1">
        <v>3</v>
      </c>
      <c r="H1819" s="1">
        <v>10.7</v>
      </c>
    </row>
    <row r="1820" spans="1:8" x14ac:dyDescent="0.3">
      <c r="A1820" t="str">
        <f t="shared" si="56"/>
        <v>TPG</v>
      </c>
      <c r="B1820">
        <f t="shared" si="57"/>
        <v>4927</v>
      </c>
      <c r="E1820" s="1" t="s">
        <v>108</v>
      </c>
      <c r="F1820" s="1">
        <v>77</v>
      </c>
      <c r="G1820" s="1">
        <v>7</v>
      </c>
      <c r="H1820" s="1">
        <v>10.7</v>
      </c>
    </row>
    <row r="1821" spans="1:8" x14ac:dyDescent="0.3">
      <c r="A1821" t="str">
        <f t="shared" si="56"/>
        <v>TPG</v>
      </c>
      <c r="B1821">
        <f t="shared" si="57"/>
        <v>1627</v>
      </c>
      <c r="E1821" s="1" t="s">
        <v>137</v>
      </c>
      <c r="F1821" s="1">
        <v>78</v>
      </c>
      <c r="G1821" s="1">
        <v>6</v>
      </c>
      <c r="H1821" s="1">
        <v>10.7</v>
      </c>
    </row>
    <row r="1822" spans="1:8" x14ac:dyDescent="0.3">
      <c r="A1822" t="str">
        <f t="shared" si="56"/>
        <v>TPG</v>
      </c>
      <c r="B1822">
        <f t="shared" si="57"/>
        <v>3227</v>
      </c>
      <c r="E1822" s="1" t="s">
        <v>127</v>
      </c>
      <c r="F1822" s="1">
        <v>82</v>
      </c>
      <c r="G1822" s="1">
        <v>5</v>
      </c>
      <c r="H1822" s="1">
        <v>10.8</v>
      </c>
    </row>
    <row r="1823" spans="1:8" x14ac:dyDescent="0.3">
      <c r="A1823" t="str">
        <f t="shared" si="56"/>
        <v>TPG</v>
      </c>
      <c r="B1823">
        <f t="shared" si="57"/>
        <v>227</v>
      </c>
      <c r="E1823" s="1" t="s">
        <v>98</v>
      </c>
      <c r="F1823" s="1">
        <v>87</v>
      </c>
      <c r="G1823" s="1">
        <v>2</v>
      </c>
      <c r="H1823" s="1">
        <v>10.8</v>
      </c>
    </row>
    <row r="1824" spans="1:8" x14ac:dyDescent="0.3">
      <c r="A1824" t="str">
        <f t="shared" si="56"/>
        <v>TPG</v>
      </c>
      <c r="B1824">
        <f t="shared" si="57"/>
        <v>11727</v>
      </c>
      <c r="E1824" s="1" t="s">
        <v>280</v>
      </c>
      <c r="F1824" s="1">
        <v>91</v>
      </c>
      <c r="G1824" s="1">
        <v>4</v>
      </c>
      <c r="H1824" s="1">
        <v>10.9</v>
      </c>
    </row>
    <row r="1825" spans="1:8" x14ac:dyDescent="0.3">
      <c r="A1825" t="str">
        <f t="shared" si="56"/>
        <v>TPG</v>
      </c>
      <c r="B1825">
        <f t="shared" si="57"/>
        <v>14127</v>
      </c>
      <c r="E1825" s="1" t="s">
        <v>299</v>
      </c>
      <c r="F1825" s="1">
        <v>95</v>
      </c>
      <c r="G1825" s="1">
        <v>7</v>
      </c>
      <c r="H1825" s="1">
        <v>10.9</v>
      </c>
    </row>
    <row r="1826" spans="1:8" x14ac:dyDescent="0.3">
      <c r="A1826" t="str">
        <f t="shared" si="56"/>
        <v>TPG</v>
      </c>
      <c r="B1826">
        <f t="shared" si="57"/>
        <v>5527</v>
      </c>
      <c r="E1826" s="1" t="s">
        <v>86</v>
      </c>
      <c r="F1826" s="1">
        <v>96</v>
      </c>
      <c r="G1826" s="1">
        <v>8</v>
      </c>
      <c r="H1826" s="1">
        <v>10.9</v>
      </c>
    </row>
    <row r="1827" spans="1:8" x14ac:dyDescent="0.3">
      <c r="A1827" t="str">
        <f t="shared" si="56"/>
        <v>TPG</v>
      </c>
      <c r="B1827">
        <f t="shared" si="57"/>
        <v>9327</v>
      </c>
      <c r="E1827" s="1" t="s">
        <v>357</v>
      </c>
      <c r="F1827" s="1">
        <v>96</v>
      </c>
      <c r="G1827" s="1">
        <v>3</v>
      </c>
      <c r="H1827" s="1">
        <v>10.9</v>
      </c>
    </row>
    <row r="1828" spans="1:8" x14ac:dyDescent="0.3">
      <c r="A1828" t="str">
        <f t="shared" si="56"/>
        <v>TPG</v>
      </c>
      <c r="B1828">
        <f t="shared" si="57"/>
        <v>7427</v>
      </c>
      <c r="E1828" s="1" t="s">
        <v>251</v>
      </c>
      <c r="F1828" s="1">
        <v>100</v>
      </c>
      <c r="G1828" s="1">
        <v>4</v>
      </c>
      <c r="H1828" s="1">
        <v>10.9</v>
      </c>
    </row>
    <row r="1829" spans="1:8" x14ac:dyDescent="0.3">
      <c r="A1829" t="str">
        <f t="shared" si="56"/>
        <v>TPG</v>
      </c>
      <c r="B1829">
        <f t="shared" si="57"/>
        <v>15827</v>
      </c>
      <c r="E1829" s="1" t="s">
        <v>470</v>
      </c>
      <c r="F1829" s="1">
        <v>105</v>
      </c>
      <c r="G1829" s="1">
        <v>4</v>
      </c>
      <c r="H1829" s="1">
        <v>10.9</v>
      </c>
    </row>
    <row r="1830" spans="1:8" x14ac:dyDescent="0.3">
      <c r="A1830" t="str">
        <f t="shared" si="56"/>
        <v>TPG</v>
      </c>
      <c r="B1830">
        <f t="shared" si="57"/>
        <v>1227</v>
      </c>
      <c r="E1830" s="1" t="s">
        <v>130</v>
      </c>
      <c r="F1830" s="1">
        <v>106</v>
      </c>
      <c r="G1830" s="1">
        <v>5</v>
      </c>
      <c r="H1830" s="1">
        <v>11</v>
      </c>
    </row>
    <row r="1831" spans="1:8" x14ac:dyDescent="0.3">
      <c r="A1831" t="str">
        <f t="shared" si="56"/>
        <v>TPG</v>
      </c>
      <c r="B1831">
        <f t="shared" si="57"/>
        <v>9527</v>
      </c>
      <c r="E1831" s="1" t="s">
        <v>85</v>
      </c>
      <c r="F1831" s="1">
        <v>118</v>
      </c>
      <c r="G1831" s="1">
        <v>4</v>
      </c>
      <c r="H1831" s="1">
        <v>11.1</v>
      </c>
    </row>
    <row r="1832" spans="1:8" x14ac:dyDescent="0.3">
      <c r="A1832" t="str">
        <f t="shared" si="56"/>
        <v>TPG</v>
      </c>
      <c r="B1832">
        <f t="shared" si="57"/>
        <v>5727</v>
      </c>
      <c r="E1832" s="1" t="s">
        <v>120</v>
      </c>
      <c r="F1832" s="1">
        <v>121</v>
      </c>
      <c r="G1832" s="1">
        <v>9</v>
      </c>
      <c r="H1832" s="1">
        <v>11.1</v>
      </c>
    </row>
    <row r="1833" spans="1:8" x14ac:dyDescent="0.3">
      <c r="A1833" t="str">
        <f t="shared" si="56"/>
        <v>TPG</v>
      </c>
      <c r="B1833">
        <f t="shared" si="57"/>
        <v>15627</v>
      </c>
      <c r="E1833" s="1" t="s">
        <v>468</v>
      </c>
      <c r="F1833" s="1">
        <v>123</v>
      </c>
      <c r="G1833" s="1">
        <v>5</v>
      </c>
      <c r="H1833" s="1">
        <v>11.1</v>
      </c>
    </row>
    <row r="1834" spans="1:8" x14ac:dyDescent="0.3">
      <c r="A1834" t="str">
        <f t="shared" si="56"/>
        <v>TPG</v>
      </c>
      <c r="B1834">
        <f t="shared" si="57"/>
        <v>2327</v>
      </c>
      <c r="E1834" s="1" t="s">
        <v>79</v>
      </c>
      <c r="F1834" s="1">
        <v>123</v>
      </c>
      <c r="G1834" s="1">
        <v>6</v>
      </c>
      <c r="H1834" s="1">
        <v>11.1</v>
      </c>
    </row>
    <row r="1835" spans="1:8" x14ac:dyDescent="0.3">
      <c r="A1835" t="str">
        <f t="shared" si="56"/>
        <v>TPG</v>
      </c>
      <c r="B1835">
        <f t="shared" si="57"/>
        <v>12227</v>
      </c>
      <c r="E1835" s="1" t="s">
        <v>284</v>
      </c>
      <c r="F1835" s="1">
        <v>132</v>
      </c>
      <c r="G1835" s="1">
        <v>6</v>
      </c>
      <c r="H1835" s="1">
        <v>11.3</v>
      </c>
    </row>
    <row r="1836" spans="1:8" x14ac:dyDescent="0.3">
      <c r="A1836" t="str">
        <f t="shared" si="56"/>
        <v>TPG</v>
      </c>
      <c r="B1836">
        <f t="shared" si="57"/>
        <v>13127</v>
      </c>
      <c r="E1836" s="1" t="s">
        <v>289</v>
      </c>
      <c r="F1836" s="1">
        <v>135</v>
      </c>
      <c r="G1836" s="1">
        <v>10</v>
      </c>
      <c r="H1836" s="1">
        <v>11.3</v>
      </c>
    </row>
    <row r="1837" spans="1:8" x14ac:dyDescent="0.3">
      <c r="A1837" t="str">
        <f t="shared" si="56"/>
        <v>TPG</v>
      </c>
      <c r="B1837">
        <f t="shared" si="57"/>
        <v>6927</v>
      </c>
      <c r="E1837" s="1" t="s">
        <v>114</v>
      </c>
      <c r="F1837" s="1">
        <v>135</v>
      </c>
      <c r="G1837" s="1">
        <v>10</v>
      </c>
      <c r="H1837" s="1">
        <v>11.3</v>
      </c>
    </row>
    <row r="1838" spans="1:8" x14ac:dyDescent="0.3">
      <c r="A1838" t="str">
        <f t="shared" si="56"/>
        <v>TPG</v>
      </c>
      <c r="B1838">
        <f t="shared" si="57"/>
        <v>927</v>
      </c>
      <c r="E1838" s="1" t="s">
        <v>90</v>
      </c>
      <c r="F1838" s="1">
        <v>141</v>
      </c>
      <c r="G1838" s="1">
        <v>12</v>
      </c>
      <c r="H1838" s="1">
        <v>11.4</v>
      </c>
    </row>
    <row r="1839" spans="1:8" x14ac:dyDescent="0.3">
      <c r="A1839" t="str">
        <f t="shared" si="56"/>
        <v>TPG</v>
      </c>
      <c r="B1839">
        <f t="shared" si="57"/>
        <v>2927</v>
      </c>
      <c r="E1839" s="1" t="s">
        <v>96</v>
      </c>
      <c r="F1839" s="1">
        <v>145</v>
      </c>
      <c r="G1839" s="1">
        <v>6</v>
      </c>
      <c r="H1839" s="1">
        <v>11.4</v>
      </c>
    </row>
    <row r="1840" spans="1:8" x14ac:dyDescent="0.3">
      <c r="A1840" t="str">
        <f t="shared" si="56"/>
        <v>TPG</v>
      </c>
      <c r="B1840">
        <f t="shared" si="57"/>
        <v>15427</v>
      </c>
      <c r="E1840" s="1" t="s">
        <v>494</v>
      </c>
      <c r="F1840" s="1">
        <v>147</v>
      </c>
      <c r="G1840" s="1">
        <v>2</v>
      </c>
      <c r="H1840" s="1">
        <v>11.4</v>
      </c>
    </row>
    <row r="1841" spans="1:8" x14ac:dyDescent="0.3">
      <c r="A1841" t="str">
        <f t="shared" si="56"/>
        <v>TPG</v>
      </c>
      <c r="B1841">
        <f t="shared" si="57"/>
        <v>4727</v>
      </c>
      <c r="E1841" s="1" t="s">
        <v>107</v>
      </c>
      <c r="F1841" s="1">
        <v>150</v>
      </c>
      <c r="G1841" s="1">
        <v>6</v>
      </c>
      <c r="H1841" s="1">
        <v>11.4</v>
      </c>
    </row>
    <row r="1842" spans="1:8" x14ac:dyDescent="0.3">
      <c r="A1842" t="str">
        <f t="shared" si="56"/>
        <v>TPG</v>
      </c>
      <c r="B1842">
        <f t="shared" si="57"/>
        <v>8127</v>
      </c>
      <c r="E1842" s="1" t="s">
        <v>256</v>
      </c>
      <c r="F1842" s="1">
        <v>156</v>
      </c>
      <c r="G1842" s="1">
        <v>10</v>
      </c>
      <c r="H1842" s="1">
        <v>11.5</v>
      </c>
    </row>
    <row r="1843" spans="1:8" x14ac:dyDescent="0.3">
      <c r="A1843" t="str">
        <f t="shared" si="56"/>
        <v>TPG</v>
      </c>
      <c r="B1843">
        <f t="shared" si="57"/>
        <v>1327</v>
      </c>
      <c r="E1843" s="1" t="s">
        <v>82</v>
      </c>
      <c r="F1843" s="1">
        <v>156</v>
      </c>
      <c r="G1843" s="1">
        <v>8</v>
      </c>
      <c r="H1843" s="1">
        <v>11.5</v>
      </c>
    </row>
    <row r="1844" spans="1:8" x14ac:dyDescent="0.3">
      <c r="A1844" t="str">
        <f t="shared" si="56"/>
        <v>TPG</v>
      </c>
      <c r="B1844">
        <f t="shared" si="57"/>
        <v>18527</v>
      </c>
      <c r="E1844" s="1" t="s">
        <v>420</v>
      </c>
      <c r="F1844" s="1">
        <v>165</v>
      </c>
      <c r="G1844" s="1">
        <v>5</v>
      </c>
      <c r="H1844" s="1">
        <v>11.6</v>
      </c>
    </row>
    <row r="1845" spans="1:8" x14ac:dyDescent="0.3">
      <c r="A1845" t="str">
        <f t="shared" si="56"/>
        <v>TPG</v>
      </c>
      <c r="B1845">
        <f t="shared" si="57"/>
        <v>4327</v>
      </c>
      <c r="E1845" s="1" t="s">
        <v>125</v>
      </c>
      <c r="F1845" s="1">
        <v>173</v>
      </c>
      <c r="G1845" s="1">
        <v>14</v>
      </c>
      <c r="H1845" s="1">
        <v>11.7</v>
      </c>
    </row>
    <row r="1846" spans="1:8" x14ac:dyDescent="0.3">
      <c r="A1846" t="str">
        <f t="shared" si="56"/>
        <v>TPG</v>
      </c>
      <c r="B1846">
        <f t="shared" si="57"/>
        <v>18427</v>
      </c>
      <c r="E1846" s="1" t="s">
        <v>417</v>
      </c>
      <c r="F1846" s="1">
        <v>180</v>
      </c>
      <c r="G1846" s="1">
        <v>2</v>
      </c>
      <c r="H1846" s="1">
        <v>11.7</v>
      </c>
    </row>
    <row r="1847" spans="1:8" x14ac:dyDescent="0.3">
      <c r="A1847" t="str">
        <f t="shared" si="56"/>
        <v>TPG</v>
      </c>
      <c r="B1847">
        <f t="shared" si="57"/>
        <v>3927</v>
      </c>
      <c r="E1847" s="1" t="s">
        <v>88</v>
      </c>
      <c r="F1847" s="1">
        <v>187</v>
      </c>
      <c r="G1847" s="1">
        <v>8</v>
      </c>
      <c r="H1847" s="1">
        <v>11.8</v>
      </c>
    </row>
    <row r="1848" spans="1:8" x14ac:dyDescent="0.3">
      <c r="A1848" t="str">
        <f t="shared" si="56"/>
        <v>TPG</v>
      </c>
      <c r="B1848">
        <f t="shared" si="57"/>
        <v>8227</v>
      </c>
      <c r="E1848" s="1" t="s">
        <v>131</v>
      </c>
      <c r="F1848" s="1">
        <v>188</v>
      </c>
      <c r="G1848" s="1">
        <v>7</v>
      </c>
      <c r="H1848" s="1">
        <v>11.8</v>
      </c>
    </row>
    <row r="1849" spans="1:8" x14ac:dyDescent="0.3">
      <c r="A1849" t="str">
        <f t="shared" si="56"/>
        <v>TPG</v>
      </c>
      <c r="B1849">
        <f t="shared" si="57"/>
        <v>14927</v>
      </c>
      <c r="E1849" s="1" t="s">
        <v>307</v>
      </c>
      <c r="F1849" s="1">
        <v>195</v>
      </c>
      <c r="G1849" s="1">
        <v>5</v>
      </c>
      <c r="H1849" s="1">
        <v>11.9</v>
      </c>
    </row>
    <row r="1850" spans="1:8" x14ac:dyDescent="0.3">
      <c r="A1850" t="str">
        <f t="shared" si="56"/>
        <v>TPG</v>
      </c>
      <c r="B1850">
        <f t="shared" si="57"/>
        <v>18327</v>
      </c>
      <c r="E1850" s="1" t="s">
        <v>423</v>
      </c>
      <c r="F1850" s="1">
        <v>207</v>
      </c>
      <c r="G1850" s="1">
        <v>6</v>
      </c>
      <c r="H1850" s="1">
        <v>12</v>
      </c>
    </row>
    <row r="1851" spans="1:8" x14ac:dyDescent="0.3">
      <c r="A1851" t="str">
        <f t="shared" si="56"/>
        <v>TPG</v>
      </c>
      <c r="B1851">
        <f t="shared" si="57"/>
        <v>627</v>
      </c>
      <c r="E1851" s="1" t="s">
        <v>100</v>
      </c>
      <c r="F1851" s="1">
        <v>207</v>
      </c>
      <c r="G1851" s="1">
        <v>9</v>
      </c>
      <c r="H1851" s="1">
        <v>12</v>
      </c>
    </row>
    <row r="1852" spans="1:8" x14ac:dyDescent="0.3">
      <c r="A1852" t="str">
        <f t="shared" si="56"/>
        <v>TPG</v>
      </c>
      <c r="B1852">
        <f t="shared" si="57"/>
        <v>2727</v>
      </c>
      <c r="E1852" s="1" t="s">
        <v>7</v>
      </c>
      <c r="F1852" s="1">
        <v>214</v>
      </c>
      <c r="G1852" s="1">
        <v>10</v>
      </c>
      <c r="H1852" s="1">
        <v>12.1</v>
      </c>
    </row>
    <row r="1853" spans="1:8" x14ac:dyDescent="0.3">
      <c r="A1853" t="str">
        <f t="shared" si="56"/>
        <v>TPG</v>
      </c>
      <c r="B1853">
        <f t="shared" si="57"/>
        <v>3827</v>
      </c>
      <c r="E1853" s="1" t="s">
        <v>238</v>
      </c>
      <c r="F1853" s="1">
        <v>218</v>
      </c>
      <c r="G1853" s="1">
        <v>11</v>
      </c>
      <c r="H1853" s="1">
        <v>12.1</v>
      </c>
    </row>
    <row r="1854" spans="1:8" x14ac:dyDescent="0.3">
      <c r="A1854" t="str">
        <f t="shared" si="56"/>
        <v>TPG</v>
      </c>
      <c r="B1854">
        <f t="shared" si="57"/>
        <v>3627</v>
      </c>
      <c r="E1854" s="1" t="s">
        <v>129</v>
      </c>
      <c r="F1854" s="1">
        <v>225</v>
      </c>
      <c r="G1854" s="1">
        <v>12</v>
      </c>
      <c r="H1854" s="1">
        <v>12.2</v>
      </c>
    </row>
    <row r="1855" spans="1:8" x14ac:dyDescent="0.3">
      <c r="A1855" t="str">
        <f t="shared" si="56"/>
        <v>TPG</v>
      </c>
      <c r="B1855">
        <f t="shared" si="57"/>
        <v>3127</v>
      </c>
      <c r="E1855" s="1" t="s">
        <v>93</v>
      </c>
      <c r="F1855" s="1">
        <v>230</v>
      </c>
      <c r="G1855" s="1">
        <v>8</v>
      </c>
      <c r="H1855" s="1">
        <v>12.2</v>
      </c>
    </row>
    <row r="1856" spans="1:8" x14ac:dyDescent="0.3">
      <c r="A1856" t="str">
        <f t="shared" si="56"/>
        <v>TPG</v>
      </c>
      <c r="B1856">
        <f t="shared" si="57"/>
        <v>2027</v>
      </c>
      <c r="E1856" s="1" t="s">
        <v>328</v>
      </c>
      <c r="F1856" s="1">
        <v>242</v>
      </c>
      <c r="G1856" s="1">
        <v>1</v>
      </c>
      <c r="H1856" s="1">
        <v>12.4</v>
      </c>
    </row>
    <row r="1857" spans="1:9" x14ac:dyDescent="0.3">
      <c r="A1857" t="str">
        <f t="shared" si="56"/>
        <v>TPG</v>
      </c>
      <c r="B1857">
        <f t="shared" si="57"/>
        <v>3727</v>
      </c>
      <c r="E1857" s="1" t="s">
        <v>115</v>
      </c>
      <c r="F1857" s="1">
        <v>268</v>
      </c>
      <c r="G1857" s="1">
        <v>14</v>
      </c>
      <c r="H1857" s="1">
        <v>12.7</v>
      </c>
    </row>
    <row r="1858" spans="1:9" x14ac:dyDescent="0.3">
      <c r="A1858" t="str">
        <f t="shared" ref="A1858:A1907" si="58">IF(NOT(D1858=""),INDEX(statAbbr,MATCH(D1858,statOfficial,0),1),A1857)</f>
        <v>TPG</v>
      </c>
      <c r="B1858">
        <f t="shared" ref="B1858:B1907" si="59">INDEX(statID,MATCH(A1858,statAbbr,0),1)+INDEX(teamID,MATCH(E1858,teamRawName,0))</f>
        <v>15127</v>
      </c>
      <c r="E1858" s="1" t="s">
        <v>464</v>
      </c>
      <c r="F1858" s="1">
        <v>280</v>
      </c>
      <c r="G1858" s="1">
        <v>9</v>
      </c>
      <c r="H1858" s="1">
        <v>12.9</v>
      </c>
    </row>
    <row r="1859" spans="1:9" x14ac:dyDescent="0.3">
      <c r="A1859" t="str">
        <f t="shared" si="58"/>
        <v>TPG</v>
      </c>
      <c r="B1859">
        <f t="shared" si="59"/>
        <v>13927</v>
      </c>
      <c r="E1859" s="1" t="s">
        <v>297</v>
      </c>
      <c r="F1859" s="1">
        <v>281</v>
      </c>
      <c r="G1859" s="1">
        <v>15</v>
      </c>
      <c r="H1859" s="1">
        <v>12.9</v>
      </c>
    </row>
    <row r="1860" spans="1:9" x14ac:dyDescent="0.3">
      <c r="A1860" t="str">
        <f t="shared" si="58"/>
        <v>TPG</v>
      </c>
      <c r="B1860">
        <f t="shared" si="59"/>
        <v>15927</v>
      </c>
      <c r="E1860" s="1" t="s">
        <v>495</v>
      </c>
      <c r="F1860" s="1">
        <v>283</v>
      </c>
      <c r="G1860" s="1">
        <v>5</v>
      </c>
      <c r="H1860" s="1">
        <v>12.9</v>
      </c>
    </row>
    <row r="1861" spans="1:9" x14ac:dyDescent="0.3">
      <c r="A1861" t="str">
        <f t="shared" si="58"/>
        <v>TPG</v>
      </c>
      <c r="B1861">
        <f t="shared" si="59"/>
        <v>5827</v>
      </c>
      <c r="E1861" s="1" t="s">
        <v>139</v>
      </c>
      <c r="F1861" s="1">
        <v>299</v>
      </c>
      <c r="G1861" s="1">
        <v>5</v>
      </c>
      <c r="H1861" s="1">
        <v>13.2</v>
      </c>
    </row>
    <row r="1862" spans="1:9" x14ac:dyDescent="0.3">
      <c r="A1862" t="str">
        <f t="shared" si="58"/>
        <v>TPG</v>
      </c>
      <c r="B1862">
        <f t="shared" si="59"/>
        <v>15727</v>
      </c>
      <c r="E1862" s="1" t="s">
        <v>469</v>
      </c>
      <c r="F1862" s="1">
        <v>313</v>
      </c>
      <c r="G1862" s="1">
        <v>13</v>
      </c>
      <c r="H1862" s="1">
        <v>13.5</v>
      </c>
    </row>
    <row r="1863" spans="1:9" x14ac:dyDescent="0.3">
      <c r="A1863" t="str">
        <f t="shared" si="58"/>
        <v>TPG</v>
      </c>
      <c r="B1863">
        <f t="shared" si="59"/>
        <v>6627</v>
      </c>
      <c r="E1863" s="1" t="s">
        <v>247</v>
      </c>
      <c r="F1863" s="1">
        <v>330</v>
      </c>
      <c r="G1863" s="1">
        <v>13</v>
      </c>
      <c r="H1863" s="1">
        <v>13.9</v>
      </c>
    </row>
    <row r="1864" spans="1:9" x14ac:dyDescent="0.3">
      <c r="A1864" t="str">
        <f t="shared" si="58"/>
        <v>TPG</v>
      </c>
      <c r="B1864">
        <f t="shared" si="59"/>
        <v>7627</v>
      </c>
      <c r="E1864" s="1" t="s">
        <v>253</v>
      </c>
      <c r="F1864" s="1">
        <v>332</v>
      </c>
      <c r="G1864" s="1">
        <v>18</v>
      </c>
      <c r="H1864" s="1">
        <v>14</v>
      </c>
    </row>
    <row r="1865" spans="1:9" x14ac:dyDescent="0.3">
      <c r="A1865" t="str">
        <f t="shared" si="58"/>
        <v>TPG</v>
      </c>
      <c r="B1865">
        <f t="shared" si="59"/>
        <v>16127</v>
      </c>
      <c r="E1865" s="1" t="s">
        <v>473</v>
      </c>
      <c r="F1865" s="1">
        <v>349</v>
      </c>
      <c r="G1865" s="1">
        <v>13</v>
      </c>
      <c r="H1865" s="1">
        <v>14.9</v>
      </c>
    </row>
    <row r="1866" spans="1:9" x14ac:dyDescent="0.3">
      <c r="A1866" t="e">
        <f t="shared" si="58"/>
        <v>#N/A</v>
      </c>
      <c r="B1866" t="e">
        <f t="shared" si="59"/>
        <v>#N/A</v>
      </c>
      <c r="D1866" s="1" t="s">
        <v>564</v>
      </c>
      <c r="E1866" s="1" t="s">
        <v>120</v>
      </c>
      <c r="F1866" s="1">
        <v>1</v>
      </c>
      <c r="G1866" s="1">
        <v>1</v>
      </c>
      <c r="H1866" s="1">
        <v>90</v>
      </c>
      <c r="I1866" s="1" t="s">
        <v>120</v>
      </c>
    </row>
    <row r="1867" spans="1:9" x14ac:dyDescent="0.3">
      <c r="A1867" t="e">
        <f t="shared" si="58"/>
        <v>#N/A</v>
      </c>
      <c r="B1867" t="e">
        <f t="shared" si="59"/>
        <v>#N/A</v>
      </c>
      <c r="E1867" s="1" t="s">
        <v>94</v>
      </c>
      <c r="F1867" s="1">
        <v>2</v>
      </c>
      <c r="G1867" s="1">
        <v>1</v>
      </c>
      <c r="H1867" s="1">
        <v>89.7</v>
      </c>
    </row>
    <row r="1868" spans="1:9" x14ac:dyDescent="0.3">
      <c r="A1868" t="e">
        <f t="shared" si="58"/>
        <v>#N/A</v>
      </c>
      <c r="B1868" t="e">
        <f t="shared" si="59"/>
        <v>#N/A</v>
      </c>
      <c r="E1868" s="1" t="s">
        <v>85</v>
      </c>
      <c r="F1868" s="1">
        <v>3</v>
      </c>
      <c r="G1868" s="1">
        <v>1</v>
      </c>
      <c r="H1868" s="1">
        <v>88.6</v>
      </c>
    </row>
    <row r="1869" spans="1:9" x14ac:dyDescent="0.3">
      <c r="A1869" t="e">
        <f t="shared" si="58"/>
        <v>#N/A</v>
      </c>
      <c r="B1869" t="e">
        <f t="shared" si="59"/>
        <v>#N/A</v>
      </c>
      <c r="E1869" s="1" t="s">
        <v>106</v>
      </c>
      <c r="F1869" s="1">
        <v>4</v>
      </c>
      <c r="G1869" s="1">
        <v>1</v>
      </c>
      <c r="H1869" s="1">
        <v>87.5</v>
      </c>
    </row>
    <row r="1870" spans="1:9" x14ac:dyDescent="0.3">
      <c r="A1870" t="e">
        <f t="shared" si="58"/>
        <v>#N/A</v>
      </c>
      <c r="B1870" t="e">
        <f t="shared" si="59"/>
        <v>#N/A</v>
      </c>
      <c r="E1870" s="1" t="s">
        <v>357</v>
      </c>
      <c r="F1870" s="1">
        <v>5</v>
      </c>
      <c r="G1870" s="1">
        <v>1</v>
      </c>
      <c r="H1870" s="1">
        <v>86.1</v>
      </c>
    </row>
    <row r="1871" spans="1:9" x14ac:dyDescent="0.3">
      <c r="A1871" t="e">
        <f t="shared" si="58"/>
        <v>#N/A</v>
      </c>
      <c r="B1871" t="e">
        <f t="shared" si="59"/>
        <v>#N/A</v>
      </c>
      <c r="E1871" s="1" t="s">
        <v>463</v>
      </c>
      <c r="F1871" s="1">
        <v>6</v>
      </c>
      <c r="G1871" s="1">
        <v>1</v>
      </c>
      <c r="H1871" s="1">
        <v>85.7</v>
      </c>
    </row>
    <row r="1872" spans="1:9" x14ac:dyDescent="0.3">
      <c r="A1872" t="e">
        <f t="shared" si="58"/>
        <v>#N/A</v>
      </c>
      <c r="B1872" t="e">
        <f t="shared" si="59"/>
        <v>#N/A</v>
      </c>
      <c r="E1872" s="1" t="s">
        <v>84</v>
      </c>
      <c r="F1872" s="1">
        <v>7</v>
      </c>
      <c r="G1872" s="1">
        <v>2</v>
      </c>
      <c r="H1872" s="1">
        <v>84.2</v>
      </c>
    </row>
    <row r="1873" spans="1:8" x14ac:dyDescent="0.3">
      <c r="A1873" t="e">
        <f t="shared" si="58"/>
        <v>#N/A</v>
      </c>
      <c r="B1873" t="e">
        <f t="shared" si="59"/>
        <v>#N/A</v>
      </c>
      <c r="E1873" s="1" t="s">
        <v>161</v>
      </c>
      <c r="F1873" s="1">
        <v>8</v>
      </c>
      <c r="G1873" s="1">
        <v>1</v>
      </c>
      <c r="H1873" s="1">
        <v>82.9</v>
      </c>
    </row>
    <row r="1874" spans="1:8" x14ac:dyDescent="0.3">
      <c r="A1874" t="e">
        <f t="shared" si="58"/>
        <v>#N/A</v>
      </c>
      <c r="B1874" t="e">
        <f t="shared" si="59"/>
        <v>#N/A</v>
      </c>
      <c r="E1874" s="1" t="s">
        <v>247</v>
      </c>
      <c r="F1874" s="1">
        <v>8</v>
      </c>
      <c r="G1874" s="1">
        <v>1</v>
      </c>
      <c r="H1874" s="1">
        <v>82.9</v>
      </c>
    </row>
    <row r="1875" spans="1:8" x14ac:dyDescent="0.3">
      <c r="A1875" t="e">
        <f t="shared" si="58"/>
        <v>#N/A</v>
      </c>
      <c r="B1875" t="e">
        <f t="shared" si="59"/>
        <v>#N/A</v>
      </c>
      <c r="E1875" s="1" t="s">
        <v>92</v>
      </c>
      <c r="F1875" s="1">
        <v>8</v>
      </c>
      <c r="G1875" s="1">
        <v>1</v>
      </c>
      <c r="H1875" s="1">
        <v>82.9</v>
      </c>
    </row>
    <row r="1876" spans="1:8" x14ac:dyDescent="0.3">
      <c r="A1876" t="e">
        <f t="shared" si="58"/>
        <v>#N/A</v>
      </c>
      <c r="B1876" t="e">
        <f t="shared" si="59"/>
        <v>#N/A</v>
      </c>
      <c r="E1876" s="1" t="s">
        <v>90</v>
      </c>
      <c r="F1876" s="1">
        <v>12</v>
      </c>
      <c r="G1876" s="1">
        <v>1</v>
      </c>
      <c r="H1876" s="1">
        <v>81.099999999999994</v>
      </c>
    </row>
    <row r="1877" spans="1:8" x14ac:dyDescent="0.3">
      <c r="A1877" t="e">
        <f t="shared" si="58"/>
        <v>#N/A</v>
      </c>
      <c r="B1877" t="e">
        <f t="shared" si="59"/>
        <v>#N/A</v>
      </c>
      <c r="E1877" s="1" t="s">
        <v>131</v>
      </c>
      <c r="F1877" s="1">
        <v>13</v>
      </c>
      <c r="G1877" s="1">
        <v>1</v>
      </c>
      <c r="H1877" s="1">
        <v>80</v>
      </c>
    </row>
    <row r="1878" spans="1:8" x14ac:dyDescent="0.3">
      <c r="A1878" t="e">
        <f t="shared" si="58"/>
        <v>#N/A</v>
      </c>
      <c r="B1878" t="e">
        <f t="shared" si="59"/>
        <v>#N/A</v>
      </c>
      <c r="E1878" s="1" t="s">
        <v>240</v>
      </c>
      <c r="F1878" s="1">
        <v>13</v>
      </c>
      <c r="G1878" s="1">
        <v>1</v>
      </c>
      <c r="H1878" s="1">
        <v>80</v>
      </c>
    </row>
    <row r="1879" spans="1:8" x14ac:dyDescent="0.3">
      <c r="A1879" t="e">
        <f t="shared" si="58"/>
        <v>#N/A</v>
      </c>
      <c r="B1879" t="e">
        <f t="shared" si="59"/>
        <v>#N/A</v>
      </c>
      <c r="E1879" s="1" t="s">
        <v>98</v>
      </c>
      <c r="F1879" s="1">
        <v>13</v>
      </c>
      <c r="G1879" s="1">
        <v>1</v>
      </c>
      <c r="H1879" s="1">
        <v>80</v>
      </c>
    </row>
    <row r="1880" spans="1:8" x14ac:dyDescent="0.3">
      <c r="A1880" t="e">
        <f t="shared" si="58"/>
        <v>#N/A</v>
      </c>
      <c r="B1880" t="e">
        <f t="shared" si="59"/>
        <v>#N/A</v>
      </c>
      <c r="E1880" s="1" t="s">
        <v>284</v>
      </c>
      <c r="F1880" s="1">
        <v>13</v>
      </c>
      <c r="G1880" s="1">
        <v>1</v>
      </c>
      <c r="H1880" s="1">
        <v>80</v>
      </c>
    </row>
    <row r="1881" spans="1:8" x14ac:dyDescent="0.3">
      <c r="A1881" t="e">
        <f t="shared" si="58"/>
        <v>#N/A</v>
      </c>
      <c r="B1881" t="e">
        <f t="shared" si="59"/>
        <v>#N/A</v>
      </c>
      <c r="E1881" s="1" t="s">
        <v>105</v>
      </c>
      <c r="F1881" s="1">
        <v>17</v>
      </c>
      <c r="G1881" s="1">
        <v>2</v>
      </c>
      <c r="H1881" s="1">
        <v>79.400000000000006</v>
      </c>
    </row>
    <row r="1882" spans="1:8" x14ac:dyDescent="0.3">
      <c r="A1882" t="e">
        <f t="shared" si="58"/>
        <v>#N/A</v>
      </c>
      <c r="B1882" t="e">
        <f t="shared" si="59"/>
        <v>#N/A</v>
      </c>
      <c r="E1882" s="1" t="s">
        <v>87</v>
      </c>
      <c r="F1882" s="1">
        <v>18</v>
      </c>
      <c r="G1882" s="1">
        <v>3</v>
      </c>
      <c r="H1882" s="1">
        <v>78.900000000000006</v>
      </c>
    </row>
    <row r="1883" spans="1:8" x14ac:dyDescent="0.3">
      <c r="A1883" t="e">
        <f t="shared" si="58"/>
        <v>#N/A</v>
      </c>
      <c r="B1883" t="e">
        <f t="shared" si="59"/>
        <v>#N/A</v>
      </c>
      <c r="E1883" s="1" t="s">
        <v>289</v>
      </c>
      <c r="F1883" s="1">
        <v>20</v>
      </c>
      <c r="G1883" s="1">
        <v>3</v>
      </c>
      <c r="H1883" s="1">
        <v>77.099999999999994</v>
      </c>
    </row>
    <row r="1884" spans="1:8" x14ac:dyDescent="0.3">
      <c r="A1884" t="e">
        <f t="shared" si="58"/>
        <v>#N/A</v>
      </c>
      <c r="B1884" t="e">
        <f t="shared" si="59"/>
        <v>#N/A</v>
      </c>
      <c r="E1884" s="1" t="s">
        <v>107</v>
      </c>
      <c r="F1884" s="1">
        <v>20</v>
      </c>
      <c r="G1884" s="1">
        <v>1</v>
      </c>
      <c r="H1884" s="1">
        <v>77.099999999999994</v>
      </c>
    </row>
    <row r="1885" spans="1:8" x14ac:dyDescent="0.3">
      <c r="A1885" t="e">
        <f t="shared" si="58"/>
        <v>#N/A</v>
      </c>
      <c r="B1885" t="e">
        <f t="shared" si="59"/>
        <v>#N/A</v>
      </c>
      <c r="E1885" s="1" t="s">
        <v>139</v>
      </c>
      <c r="F1885" s="1">
        <v>23</v>
      </c>
      <c r="G1885" s="1">
        <v>1</v>
      </c>
      <c r="H1885" s="1">
        <v>76.5</v>
      </c>
    </row>
    <row r="1886" spans="1:8" x14ac:dyDescent="0.3">
      <c r="A1886" t="e">
        <f t="shared" si="58"/>
        <v>#N/A</v>
      </c>
      <c r="B1886" t="e">
        <f t="shared" si="59"/>
        <v>#N/A</v>
      </c>
      <c r="E1886" s="1" t="s">
        <v>102</v>
      </c>
      <c r="F1886" s="1">
        <v>23</v>
      </c>
      <c r="G1886" s="1">
        <v>2</v>
      </c>
      <c r="H1886" s="1">
        <v>76.5</v>
      </c>
    </row>
    <row r="1887" spans="1:8" x14ac:dyDescent="0.3">
      <c r="A1887" t="e">
        <f t="shared" si="58"/>
        <v>#N/A</v>
      </c>
      <c r="B1887" t="e">
        <f t="shared" si="59"/>
        <v>#N/A</v>
      </c>
      <c r="E1887" s="1" t="s">
        <v>115</v>
      </c>
      <c r="F1887" s="1">
        <v>26</v>
      </c>
      <c r="G1887" s="1">
        <v>4</v>
      </c>
      <c r="H1887" s="1">
        <v>75.7</v>
      </c>
    </row>
    <row r="1888" spans="1:8" x14ac:dyDescent="0.3">
      <c r="A1888" t="e">
        <f t="shared" si="58"/>
        <v>#N/A</v>
      </c>
      <c r="B1888" t="e">
        <f t="shared" si="59"/>
        <v>#N/A</v>
      </c>
      <c r="E1888" s="1" t="s">
        <v>116</v>
      </c>
      <c r="F1888" s="1">
        <v>26</v>
      </c>
      <c r="G1888" s="1">
        <v>2</v>
      </c>
      <c r="H1888" s="1">
        <v>75.7</v>
      </c>
    </row>
    <row r="1889" spans="1:8" x14ac:dyDescent="0.3">
      <c r="A1889" t="e">
        <f t="shared" si="58"/>
        <v>#N/A</v>
      </c>
      <c r="B1889" t="e">
        <f t="shared" si="59"/>
        <v>#N/A</v>
      </c>
      <c r="E1889" s="1" t="s">
        <v>277</v>
      </c>
      <c r="F1889" s="1">
        <v>29</v>
      </c>
      <c r="G1889" s="1">
        <v>2</v>
      </c>
      <c r="H1889" s="1">
        <v>75</v>
      </c>
    </row>
    <row r="1890" spans="1:8" x14ac:dyDescent="0.3">
      <c r="A1890" t="e">
        <f t="shared" si="58"/>
        <v>#N/A</v>
      </c>
      <c r="B1890" t="e">
        <f t="shared" si="59"/>
        <v>#N/A</v>
      </c>
      <c r="E1890" s="1" t="s">
        <v>83</v>
      </c>
      <c r="F1890" s="1">
        <v>32</v>
      </c>
      <c r="G1890" s="1">
        <v>2</v>
      </c>
      <c r="H1890" s="1">
        <v>74.3</v>
      </c>
    </row>
    <row r="1891" spans="1:8" x14ac:dyDescent="0.3">
      <c r="A1891" t="e">
        <f t="shared" si="58"/>
        <v>#N/A</v>
      </c>
      <c r="B1891" t="e">
        <f t="shared" si="59"/>
        <v>#N/A</v>
      </c>
      <c r="E1891" s="1" t="s">
        <v>464</v>
      </c>
      <c r="F1891" s="1">
        <v>32</v>
      </c>
      <c r="G1891" s="1">
        <v>1</v>
      </c>
      <c r="H1891" s="1">
        <v>74.3</v>
      </c>
    </row>
    <row r="1892" spans="1:8" x14ac:dyDescent="0.3">
      <c r="A1892" t="e">
        <f t="shared" si="58"/>
        <v>#N/A</v>
      </c>
      <c r="B1892" t="e">
        <f t="shared" si="59"/>
        <v>#N/A</v>
      </c>
      <c r="E1892" s="1" t="s">
        <v>95</v>
      </c>
      <c r="F1892" s="1">
        <v>36</v>
      </c>
      <c r="G1892" s="1">
        <v>1</v>
      </c>
      <c r="H1892" s="1">
        <v>73.3</v>
      </c>
    </row>
    <row r="1893" spans="1:8" x14ac:dyDescent="0.3">
      <c r="A1893" t="e">
        <f t="shared" si="58"/>
        <v>#N/A</v>
      </c>
      <c r="B1893" t="e">
        <f t="shared" si="59"/>
        <v>#N/A</v>
      </c>
      <c r="E1893" s="1" t="s">
        <v>253</v>
      </c>
      <c r="F1893" s="1">
        <v>37</v>
      </c>
      <c r="G1893" s="1">
        <v>3</v>
      </c>
      <c r="H1893" s="1">
        <v>73</v>
      </c>
    </row>
    <row r="1894" spans="1:8" x14ac:dyDescent="0.3">
      <c r="A1894" t="e">
        <f t="shared" si="58"/>
        <v>#N/A</v>
      </c>
      <c r="B1894" t="e">
        <f t="shared" si="59"/>
        <v>#N/A</v>
      </c>
      <c r="E1894" s="1" t="s">
        <v>123</v>
      </c>
      <c r="F1894" s="1">
        <v>37</v>
      </c>
      <c r="G1894" s="1">
        <v>3</v>
      </c>
      <c r="H1894" s="1">
        <v>73</v>
      </c>
    </row>
    <row r="1895" spans="1:8" x14ac:dyDescent="0.3">
      <c r="A1895" t="e">
        <f t="shared" si="58"/>
        <v>#N/A</v>
      </c>
      <c r="B1895" t="e">
        <f t="shared" si="59"/>
        <v>#N/A</v>
      </c>
      <c r="E1895" s="1" t="s">
        <v>7</v>
      </c>
      <c r="F1895" s="1">
        <v>40</v>
      </c>
      <c r="G1895" s="1">
        <v>3</v>
      </c>
      <c r="H1895" s="1">
        <v>72.2</v>
      </c>
    </row>
    <row r="1896" spans="1:8" x14ac:dyDescent="0.3">
      <c r="A1896" t="e">
        <f t="shared" si="58"/>
        <v>#N/A</v>
      </c>
      <c r="B1896" t="e">
        <f t="shared" si="59"/>
        <v>#N/A</v>
      </c>
      <c r="E1896" s="1" t="s">
        <v>82</v>
      </c>
      <c r="F1896" s="1">
        <v>40</v>
      </c>
      <c r="G1896" s="1">
        <v>3</v>
      </c>
      <c r="H1896" s="1">
        <v>72.2</v>
      </c>
    </row>
    <row r="1897" spans="1:8" x14ac:dyDescent="0.3">
      <c r="A1897" t="e">
        <f t="shared" si="58"/>
        <v>#N/A</v>
      </c>
      <c r="B1897" t="e">
        <f t="shared" si="59"/>
        <v>#N/A</v>
      </c>
      <c r="E1897" s="1" t="s">
        <v>100</v>
      </c>
      <c r="F1897" s="1">
        <v>42</v>
      </c>
      <c r="G1897" s="1">
        <v>4</v>
      </c>
      <c r="H1897" s="1">
        <v>71.400000000000006</v>
      </c>
    </row>
    <row r="1898" spans="1:8" x14ac:dyDescent="0.3">
      <c r="A1898" t="e">
        <f t="shared" si="58"/>
        <v>#N/A</v>
      </c>
      <c r="B1898" t="e">
        <f t="shared" si="59"/>
        <v>#N/A</v>
      </c>
      <c r="E1898" s="1" t="s">
        <v>257</v>
      </c>
      <c r="F1898" s="1">
        <v>42</v>
      </c>
      <c r="G1898" s="1">
        <v>1</v>
      </c>
      <c r="H1898" s="1">
        <v>71.400000000000006</v>
      </c>
    </row>
    <row r="1899" spans="1:8" x14ac:dyDescent="0.3">
      <c r="A1899" t="e">
        <f t="shared" si="58"/>
        <v>#N/A</v>
      </c>
      <c r="B1899" t="e">
        <f t="shared" si="59"/>
        <v>#N/A</v>
      </c>
      <c r="E1899" s="1" t="s">
        <v>280</v>
      </c>
      <c r="F1899" s="1">
        <v>42</v>
      </c>
      <c r="G1899" s="1">
        <v>1</v>
      </c>
      <c r="H1899" s="1">
        <v>71.400000000000006</v>
      </c>
    </row>
    <row r="1900" spans="1:8" x14ac:dyDescent="0.3">
      <c r="A1900" t="e">
        <f t="shared" si="58"/>
        <v>#N/A</v>
      </c>
      <c r="B1900" t="e">
        <f t="shared" si="59"/>
        <v>#N/A</v>
      </c>
      <c r="E1900" s="1" t="s">
        <v>114</v>
      </c>
      <c r="F1900" s="1">
        <v>42</v>
      </c>
      <c r="G1900" s="1">
        <v>5</v>
      </c>
      <c r="H1900" s="1">
        <v>71.400000000000006</v>
      </c>
    </row>
    <row r="1901" spans="1:8" x14ac:dyDescent="0.3">
      <c r="A1901" t="e">
        <f t="shared" si="58"/>
        <v>#N/A</v>
      </c>
      <c r="B1901" t="e">
        <f t="shared" si="59"/>
        <v>#N/A</v>
      </c>
      <c r="E1901" s="1" t="s">
        <v>93</v>
      </c>
      <c r="F1901" s="1">
        <v>50</v>
      </c>
      <c r="G1901" s="1">
        <v>2</v>
      </c>
      <c r="H1901" s="1">
        <v>69.400000000000006</v>
      </c>
    </row>
    <row r="1902" spans="1:8" x14ac:dyDescent="0.3">
      <c r="A1902" t="e">
        <f t="shared" si="58"/>
        <v>#N/A</v>
      </c>
      <c r="B1902" t="e">
        <f t="shared" si="59"/>
        <v>#N/A</v>
      </c>
      <c r="E1902" s="1" t="s">
        <v>328</v>
      </c>
      <c r="F1902" s="1">
        <v>52</v>
      </c>
      <c r="G1902" s="1">
        <v>1</v>
      </c>
      <c r="H1902" s="1">
        <v>68.599999999999994</v>
      </c>
    </row>
    <row r="1903" spans="1:8" x14ac:dyDescent="0.3">
      <c r="A1903" t="e">
        <f t="shared" si="58"/>
        <v>#N/A</v>
      </c>
      <c r="B1903" t="e">
        <f t="shared" si="59"/>
        <v>#N/A</v>
      </c>
      <c r="E1903" s="1" t="s">
        <v>79</v>
      </c>
      <c r="F1903" s="1">
        <v>52</v>
      </c>
      <c r="G1903" s="1">
        <v>3</v>
      </c>
      <c r="H1903" s="1">
        <v>68.599999999999994</v>
      </c>
    </row>
    <row r="1904" spans="1:8" x14ac:dyDescent="0.3">
      <c r="A1904" t="e">
        <f t="shared" si="58"/>
        <v>#N/A</v>
      </c>
      <c r="B1904" t="e">
        <f t="shared" si="59"/>
        <v>#N/A</v>
      </c>
      <c r="E1904" s="1" t="s">
        <v>130</v>
      </c>
      <c r="F1904" s="1">
        <v>56</v>
      </c>
      <c r="G1904" s="1">
        <v>5</v>
      </c>
      <c r="H1904" s="1">
        <v>67.7</v>
      </c>
    </row>
    <row r="1905" spans="1:8" x14ac:dyDescent="0.3">
      <c r="A1905" t="e">
        <f t="shared" si="58"/>
        <v>#N/A</v>
      </c>
      <c r="B1905" t="e">
        <f t="shared" si="59"/>
        <v>#N/A</v>
      </c>
      <c r="E1905" s="1" t="s">
        <v>91</v>
      </c>
      <c r="F1905" s="1">
        <v>57</v>
      </c>
      <c r="G1905" s="1">
        <v>4</v>
      </c>
      <c r="H1905" s="1">
        <v>67.599999999999994</v>
      </c>
    </row>
    <row r="1906" spans="1:8" x14ac:dyDescent="0.3">
      <c r="A1906" t="e">
        <f t="shared" si="58"/>
        <v>#N/A</v>
      </c>
      <c r="B1906" t="e">
        <f t="shared" si="59"/>
        <v>#N/A</v>
      </c>
      <c r="E1906" s="1" t="s">
        <v>129</v>
      </c>
      <c r="F1906" s="1">
        <v>57</v>
      </c>
      <c r="G1906" s="1">
        <v>5</v>
      </c>
      <c r="H1906" s="1">
        <v>67.599999999999994</v>
      </c>
    </row>
    <row r="1907" spans="1:8" x14ac:dyDescent="0.3">
      <c r="A1907" t="e">
        <f t="shared" si="58"/>
        <v>#N/A</v>
      </c>
      <c r="B1907" t="e">
        <f t="shared" si="59"/>
        <v>#N/A</v>
      </c>
      <c r="E1907" s="1" t="s">
        <v>469</v>
      </c>
      <c r="F1907" s="1">
        <v>57</v>
      </c>
      <c r="G1907" s="1">
        <v>2</v>
      </c>
      <c r="H1907" s="1">
        <v>67.599999999999994</v>
      </c>
    </row>
    <row r="1908" spans="1:8" x14ac:dyDescent="0.3">
      <c r="A1908" t="e">
        <f t="shared" ref="A1908:A1971" si="60">IF(NOT(D1908=""),INDEX(statAbbr,MATCH(D1908,statOfficial,0),1),A1907)</f>
        <v>#N/A</v>
      </c>
      <c r="B1908" t="e">
        <f t="shared" ref="B1908:B1971" si="61">INDEX(statID,MATCH(A1908,statAbbr,0),1)+INDEX(teamID,MATCH(E1908,teamRawName,0))</f>
        <v>#N/A</v>
      </c>
      <c r="E1908" s="1" t="s">
        <v>261</v>
      </c>
      <c r="F1908" s="1">
        <v>57</v>
      </c>
      <c r="G1908" s="1">
        <v>6</v>
      </c>
      <c r="H1908" s="1">
        <v>67.599999999999994</v>
      </c>
    </row>
    <row r="1909" spans="1:8" x14ac:dyDescent="0.3">
      <c r="A1909" t="e">
        <f t="shared" si="60"/>
        <v>#N/A</v>
      </c>
      <c r="B1909" t="e">
        <f t="shared" si="61"/>
        <v>#N/A</v>
      </c>
      <c r="E1909" s="1" t="s">
        <v>86</v>
      </c>
      <c r="F1909" s="1">
        <v>64</v>
      </c>
      <c r="G1909" s="1">
        <v>6</v>
      </c>
      <c r="H1909" s="1">
        <v>66.7</v>
      </c>
    </row>
    <row r="1910" spans="1:8" x14ac:dyDescent="0.3">
      <c r="A1910" t="e">
        <f t="shared" si="60"/>
        <v>#N/A</v>
      </c>
      <c r="B1910" t="e">
        <f t="shared" si="61"/>
        <v>#N/A</v>
      </c>
      <c r="E1910" s="1" t="s">
        <v>215</v>
      </c>
      <c r="F1910" s="1">
        <v>64</v>
      </c>
      <c r="G1910" s="1">
        <v>6</v>
      </c>
      <c r="H1910" s="1">
        <v>66.7</v>
      </c>
    </row>
    <row r="1911" spans="1:8" x14ac:dyDescent="0.3">
      <c r="A1911" t="e">
        <f t="shared" si="60"/>
        <v>#N/A</v>
      </c>
      <c r="B1911" t="e">
        <f t="shared" si="61"/>
        <v>#N/A</v>
      </c>
      <c r="E1911" s="1" t="s">
        <v>89</v>
      </c>
      <c r="F1911" s="1">
        <v>64</v>
      </c>
      <c r="G1911" s="1">
        <v>7</v>
      </c>
      <c r="H1911" s="1">
        <v>66.7</v>
      </c>
    </row>
    <row r="1912" spans="1:8" x14ac:dyDescent="0.3">
      <c r="A1912" t="e">
        <f t="shared" si="60"/>
        <v>#N/A</v>
      </c>
      <c r="B1912" t="e">
        <f t="shared" si="61"/>
        <v>#N/A</v>
      </c>
      <c r="E1912" s="1" t="s">
        <v>307</v>
      </c>
      <c r="F1912" s="1">
        <v>73</v>
      </c>
      <c r="G1912" s="1">
        <v>1</v>
      </c>
      <c r="H1912" s="1">
        <v>65.7</v>
      </c>
    </row>
    <row r="1913" spans="1:8" x14ac:dyDescent="0.3">
      <c r="A1913" t="e">
        <f t="shared" si="60"/>
        <v>#N/A</v>
      </c>
      <c r="B1913" t="e">
        <f t="shared" si="61"/>
        <v>#N/A</v>
      </c>
      <c r="E1913" s="1" t="s">
        <v>96</v>
      </c>
      <c r="F1913" s="1">
        <v>79</v>
      </c>
      <c r="G1913" s="1">
        <v>5</v>
      </c>
      <c r="H1913" s="1">
        <v>64.900000000000006</v>
      </c>
    </row>
    <row r="1914" spans="1:8" x14ac:dyDescent="0.3">
      <c r="A1914" t="e">
        <f t="shared" si="60"/>
        <v>#N/A</v>
      </c>
      <c r="B1914" t="e">
        <f t="shared" si="61"/>
        <v>#N/A</v>
      </c>
      <c r="E1914" s="1" t="s">
        <v>299</v>
      </c>
      <c r="F1914" s="1">
        <v>81</v>
      </c>
      <c r="G1914" s="1">
        <v>8</v>
      </c>
      <c r="H1914" s="1">
        <v>64.7</v>
      </c>
    </row>
    <row r="1915" spans="1:8" x14ac:dyDescent="0.3">
      <c r="A1915" t="e">
        <f t="shared" si="60"/>
        <v>#N/A</v>
      </c>
      <c r="B1915" t="e">
        <f t="shared" si="61"/>
        <v>#N/A</v>
      </c>
      <c r="E1915" s="1" t="s">
        <v>494</v>
      </c>
      <c r="F1915" s="1">
        <v>81</v>
      </c>
      <c r="G1915" s="1">
        <v>1</v>
      </c>
      <c r="H1915" s="1">
        <v>64.7</v>
      </c>
    </row>
    <row r="1916" spans="1:8" x14ac:dyDescent="0.3">
      <c r="A1916" t="e">
        <f t="shared" si="60"/>
        <v>#N/A</v>
      </c>
      <c r="B1916" t="e">
        <f t="shared" si="61"/>
        <v>#N/A</v>
      </c>
      <c r="E1916" s="1" t="s">
        <v>251</v>
      </c>
      <c r="F1916" s="1">
        <v>81</v>
      </c>
      <c r="G1916" s="1">
        <v>5</v>
      </c>
      <c r="H1916" s="1">
        <v>64.7</v>
      </c>
    </row>
    <row r="1917" spans="1:8" x14ac:dyDescent="0.3">
      <c r="A1917" t="e">
        <f t="shared" si="60"/>
        <v>#N/A</v>
      </c>
      <c r="B1917" t="e">
        <f t="shared" si="61"/>
        <v>#N/A</v>
      </c>
      <c r="E1917" s="1" t="s">
        <v>473</v>
      </c>
      <c r="F1917" s="1">
        <v>86</v>
      </c>
      <c r="G1917" s="1">
        <v>2</v>
      </c>
      <c r="H1917" s="1">
        <v>63.9</v>
      </c>
    </row>
    <row r="1918" spans="1:8" x14ac:dyDescent="0.3">
      <c r="A1918" t="e">
        <f t="shared" si="60"/>
        <v>#N/A</v>
      </c>
      <c r="B1918" t="e">
        <f t="shared" si="61"/>
        <v>#N/A</v>
      </c>
      <c r="E1918" s="1" t="s">
        <v>468</v>
      </c>
      <c r="F1918" s="1">
        <v>92</v>
      </c>
      <c r="G1918" s="1">
        <v>1</v>
      </c>
      <c r="H1918" s="1">
        <v>62.9</v>
      </c>
    </row>
    <row r="1919" spans="1:8" x14ac:dyDescent="0.3">
      <c r="A1919" t="e">
        <f t="shared" si="60"/>
        <v>#N/A</v>
      </c>
      <c r="B1919" t="e">
        <f t="shared" si="61"/>
        <v>#N/A</v>
      </c>
      <c r="E1919" s="1" t="s">
        <v>125</v>
      </c>
      <c r="F1919" s="1">
        <v>92</v>
      </c>
      <c r="G1919" s="1">
        <v>8</v>
      </c>
      <c r="H1919" s="1">
        <v>62.9</v>
      </c>
    </row>
    <row r="1920" spans="1:8" x14ac:dyDescent="0.3">
      <c r="A1920" t="e">
        <f t="shared" si="60"/>
        <v>#N/A</v>
      </c>
      <c r="B1920" t="e">
        <f t="shared" si="61"/>
        <v>#N/A</v>
      </c>
      <c r="E1920" s="1" t="s">
        <v>108</v>
      </c>
      <c r="F1920" s="1">
        <v>101</v>
      </c>
      <c r="G1920" s="1">
        <v>6</v>
      </c>
      <c r="H1920" s="1">
        <v>62.2</v>
      </c>
    </row>
    <row r="1921" spans="1:10" x14ac:dyDescent="0.3">
      <c r="A1921" t="e">
        <f t="shared" si="60"/>
        <v>#N/A</v>
      </c>
      <c r="B1921" t="e">
        <f t="shared" si="61"/>
        <v>#N/A</v>
      </c>
      <c r="E1921" s="1" t="s">
        <v>88</v>
      </c>
      <c r="F1921" s="1">
        <v>103</v>
      </c>
      <c r="G1921" s="1">
        <v>6</v>
      </c>
      <c r="H1921" s="1">
        <v>61.8</v>
      </c>
    </row>
    <row r="1922" spans="1:10" x14ac:dyDescent="0.3">
      <c r="A1922" t="e">
        <f t="shared" si="60"/>
        <v>#N/A</v>
      </c>
      <c r="B1922" t="e">
        <f t="shared" si="61"/>
        <v>#N/A</v>
      </c>
      <c r="E1922" s="1" t="s">
        <v>137</v>
      </c>
      <c r="F1922" s="1">
        <v>103</v>
      </c>
      <c r="G1922" s="1">
        <v>9</v>
      </c>
      <c r="H1922" s="1">
        <v>61.8</v>
      </c>
    </row>
    <row r="1923" spans="1:10" x14ac:dyDescent="0.3">
      <c r="A1923" t="e">
        <f t="shared" si="60"/>
        <v>#N/A</v>
      </c>
      <c r="B1923" t="e">
        <f t="shared" si="61"/>
        <v>#N/A</v>
      </c>
      <c r="E1923" s="1" t="s">
        <v>256</v>
      </c>
      <c r="F1923" s="1">
        <v>110</v>
      </c>
      <c r="G1923" s="1">
        <v>10</v>
      </c>
      <c r="H1923" s="1">
        <v>61.1</v>
      </c>
    </row>
    <row r="1924" spans="1:10" x14ac:dyDescent="0.3">
      <c r="A1924" t="e">
        <f t="shared" si="60"/>
        <v>#N/A</v>
      </c>
      <c r="B1924" t="e">
        <f t="shared" si="61"/>
        <v>#N/A</v>
      </c>
      <c r="E1924" s="1" t="s">
        <v>297</v>
      </c>
      <c r="F1924" s="1">
        <v>112</v>
      </c>
      <c r="G1924" s="1">
        <v>11</v>
      </c>
      <c r="H1924" s="1">
        <v>60.6</v>
      </c>
    </row>
    <row r="1925" spans="1:10" x14ac:dyDescent="0.3">
      <c r="A1925" t="e">
        <f t="shared" si="60"/>
        <v>#N/A</v>
      </c>
      <c r="B1925" t="e">
        <f t="shared" si="61"/>
        <v>#N/A</v>
      </c>
      <c r="E1925" s="1" t="s">
        <v>302</v>
      </c>
      <c r="F1925" s="1">
        <v>112</v>
      </c>
      <c r="G1925" s="1">
        <v>11</v>
      </c>
      <c r="H1925" s="1">
        <v>60.6</v>
      </c>
    </row>
    <row r="1926" spans="1:10" x14ac:dyDescent="0.3">
      <c r="A1926" t="e">
        <f t="shared" si="60"/>
        <v>#N/A</v>
      </c>
      <c r="B1926" t="e">
        <f t="shared" si="61"/>
        <v>#N/A</v>
      </c>
      <c r="E1926" s="1" t="s">
        <v>423</v>
      </c>
      <c r="F1926" s="1">
        <v>129</v>
      </c>
      <c r="G1926" s="1">
        <v>4</v>
      </c>
      <c r="H1926" s="1">
        <v>58.8</v>
      </c>
    </row>
    <row r="1927" spans="1:10" x14ac:dyDescent="0.3">
      <c r="A1927" t="e">
        <f t="shared" si="60"/>
        <v>#N/A</v>
      </c>
      <c r="B1927" t="e">
        <f t="shared" si="61"/>
        <v>#N/A</v>
      </c>
      <c r="E1927" s="1" t="s">
        <v>238</v>
      </c>
      <c r="F1927" s="1">
        <v>129</v>
      </c>
      <c r="G1927" s="1">
        <v>13</v>
      </c>
      <c r="H1927" s="1">
        <v>58.8</v>
      </c>
    </row>
    <row r="1928" spans="1:10" x14ac:dyDescent="0.3">
      <c r="A1928" t="e">
        <f t="shared" si="60"/>
        <v>#N/A</v>
      </c>
      <c r="B1928" t="e">
        <f t="shared" si="61"/>
        <v>#N/A</v>
      </c>
      <c r="E1928" s="1" t="s">
        <v>127</v>
      </c>
      <c r="F1928" s="1">
        <v>139</v>
      </c>
      <c r="G1928" s="1">
        <v>8</v>
      </c>
      <c r="H1928" s="1">
        <v>57.1</v>
      </c>
    </row>
    <row r="1929" spans="1:10" x14ac:dyDescent="0.3">
      <c r="A1929" t="e">
        <f t="shared" si="60"/>
        <v>#N/A</v>
      </c>
      <c r="B1929" t="e">
        <f t="shared" si="61"/>
        <v>#N/A</v>
      </c>
      <c r="E1929" s="1" t="s">
        <v>497</v>
      </c>
      <c r="F1929" s="1">
        <v>148</v>
      </c>
      <c r="G1929" s="1">
        <v>2</v>
      </c>
      <c r="H1929" s="1">
        <v>55.6</v>
      </c>
    </row>
    <row r="1930" spans="1:10" x14ac:dyDescent="0.3">
      <c r="A1930" t="e">
        <f t="shared" si="60"/>
        <v>#N/A</v>
      </c>
      <c r="B1930" t="e">
        <f t="shared" si="61"/>
        <v>#N/A</v>
      </c>
      <c r="E1930" s="1" t="s">
        <v>118</v>
      </c>
      <c r="F1930" s="1">
        <v>158</v>
      </c>
      <c r="G1930" s="1">
        <v>14</v>
      </c>
      <c r="H1930" s="1">
        <v>54.3</v>
      </c>
    </row>
    <row r="1931" spans="1:10" x14ac:dyDescent="0.3">
      <c r="A1931" t="e">
        <f t="shared" si="60"/>
        <v>#N/A</v>
      </c>
      <c r="B1931" t="e">
        <f t="shared" si="61"/>
        <v>#N/A</v>
      </c>
      <c r="E1931" s="1" t="s">
        <v>470</v>
      </c>
      <c r="F1931" s="1">
        <v>158</v>
      </c>
      <c r="G1931" s="1">
        <v>6</v>
      </c>
      <c r="H1931" s="1">
        <v>54.3</v>
      </c>
    </row>
    <row r="1932" spans="1:10" x14ac:dyDescent="0.3">
      <c r="A1932" t="e">
        <f t="shared" si="60"/>
        <v>#N/A</v>
      </c>
      <c r="B1932" t="e">
        <f t="shared" si="61"/>
        <v>#N/A</v>
      </c>
      <c r="E1932" s="1" t="s">
        <v>495</v>
      </c>
      <c r="F1932" s="1">
        <v>211</v>
      </c>
      <c r="G1932" s="1">
        <v>3</v>
      </c>
      <c r="H1932" s="1">
        <v>47.1</v>
      </c>
    </row>
    <row r="1933" spans="1:10" x14ac:dyDescent="0.3">
      <c r="A1933" t="e">
        <f t="shared" si="60"/>
        <v>#N/A</v>
      </c>
      <c r="B1933" t="e">
        <f t="shared" si="61"/>
        <v>#N/A</v>
      </c>
      <c r="E1933" s="1" t="s">
        <v>417</v>
      </c>
      <c r="F1933" s="1">
        <v>276</v>
      </c>
      <c r="G1933" s="1">
        <v>5</v>
      </c>
      <c r="H1933" s="1">
        <v>39.4</v>
      </c>
    </row>
    <row r="1934" spans="1:10" x14ac:dyDescent="0.3">
      <c r="A1934" t="e">
        <f t="shared" si="60"/>
        <v>#N/A</v>
      </c>
      <c r="B1934" t="e">
        <f t="shared" si="61"/>
        <v>#N/A</v>
      </c>
      <c r="E1934" s="1" t="s">
        <v>420</v>
      </c>
      <c r="F1934" s="1">
        <v>330</v>
      </c>
      <c r="G1934" s="1">
        <v>8</v>
      </c>
      <c r="H1934" s="1">
        <v>23.3</v>
      </c>
    </row>
    <row r="1935" spans="1:10" x14ac:dyDescent="0.3">
      <c r="A1935" t="e">
        <f t="shared" si="60"/>
        <v>#N/A</v>
      </c>
      <c r="B1935" t="e">
        <f t="shared" si="61"/>
        <v>#N/A</v>
      </c>
      <c r="D1935" s="1" t="s">
        <v>72</v>
      </c>
      <c r="E1935" s="1" t="s">
        <v>0</v>
      </c>
      <c r="F1935" s="1" t="s">
        <v>73</v>
      </c>
      <c r="G1935" s="1" t="s">
        <v>75</v>
      </c>
      <c r="H1935" s="1" t="s">
        <v>76</v>
      </c>
      <c r="I1935" s="1" t="s">
        <v>77</v>
      </c>
      <c r="J1935" s="1" t="s">
        <v>76</v>
      </c>
    </row>
    <row r="1936" spans="1:10" x14ac:dyDescent="0.3">
      <c r="A1936" t="e">
        <f t="shared" si="60"/>
        <v>#N/A</v>
      </c>
      <c r="B1936" t="e">
        <f t="shared" si="61"/>
        <v>#N/A</v>
      </c>
      <c r="F1936" s="1" t="s">
        <v>74</v>
      </c>
      <c r="G1936" s="1" t="s">
        <v>74</v>
      </c>
    </row>
    <row r="1937" spans="1:10" x14ac:dyDescent="0.3">
      <c r="A1937" t="str">
        <f t="shared" si="60"/>
        <v>A:T</v>
      </c>
      <c r="B1937">
        <f t="shared" si="61"/>
        <v>10705</v>
      </c>
      <c r="D1937" s="1" t="s">
        <v>537</v>
      </c>
      <c r="E1937" s="1" t="s">
        <v>369</v>
      </c>
      <c r="F1937" s="1">
        <v>57</v>
      </c>
      <c r="G1937" s="1">
        <v>1</v>
      </c>
      <c r="H1937" s="1">
        <v>1.4</v>
      </c>
      <c r="I1937" s="1" t="s">
        <v>83</v>
      </c>
      <c r="J1937" s="1">
        <v>2.0699999999999998</v>
      </c>
    </row>
    <row r="1938" spans="1:10" x14ac:dyDescent="0.3">
      <c r="A1938" t="str">
        <f t="shared" si="60"/>
        <v>A:T</v>
      </c>
      <c r="B1938">
        <f t="shared" si="61"/>
        <v>15305</v>
      </c>
      <c r="E1938" s="1" t="s">
        <v>466</v>
      </c>
      <c r="F1938" s="1">
        <v>146</v>
      </c>
      <c r="G1938" s="1">
        <v>2</v>
      </c>
      <c r="H1938" s="1">
        <v>1.23</v>
      </c>
    </row>
    <row r="1939" spans="1:10" x14ac:dyDescent="0.3">
      <c r="A1939" t="str">
        <f t="shared" si="60"/>
        <v>APG</v>
      </c>
      <c r="B1939">
        <f t="shared" si="61"/>
        <v>10706</v>
      </c>
      <c r="D1939" s="1" t="s">
        <v>538</v>
      </c>
      <c r="E1939" s="1" t="s">
        <v>369</v>
      </c>
      <c r="F1939" s="1">
        <v>63</v>
      </c>
      <c r="G1939" s="1">
        <v>3</v>
      </c>
      <c r="H1939" s="1">
        <v>15.4</v>
      </c>
      <c r="I1939" s="1" t="s">
        <v>83</v>
      </c>
      <c r="J1939" s="1">
        <v>19.7</v>
      </c>
    </row>
    <row r="1940" spans="1:10" x14ac:dyDescent="0.3">
      <c r="A1940" t="str">
        <f t="shared" si="60"/>
        <v>APG</v>
      </c>
      <c r="B1940">
        <f t="shared" si="61"/>
        <v>15306</v>
      </c>
      <c r="E1940" s="1" t="s">
        <v>466</v>
      </c>
      <c r="F1940" s="1">
        <v>199</v>
      </c>
      <c r="G1940" s="1">
        <v>3</v>
      </c>
      <c r="H1940" s="1">
        <v>13.3</v>
      </c>
    </row>
    <row r="1941" spans="1:10" x14ac:dyDescent="0.3">
      <c r="A1941" t="str">
        <f t="shared" si="60"/>
        <v>Bench</v>
      </c>
      <c r="B1941">
        <f t="shared" si="61"/>
        <v>10707</v>
      </c>
      <c r="D1941" s="1" t="s">
        <v>561</v>
      </c>
      <c r="E1941" s="1" t="s">
        <v>369</v>
      </c>
      <c r="F1941" s="1">
        <v>20</v>
      </c>
      <c r="G1941" s="1">
        <v>3</v>
      </c>
      <c r="H1941" s="1">
        <v>29.46</v>
      </c>
      <c r="I1941" s="1" t="s">
        <v>362</v>
      </c>
      <c r="J1941" s="1">
        <v>39.159999999999997</v>
      </c>
    </row>
    <row r="1942" spans="1:10" x14ac:dyDescent="0.3">
      <c r="A1942" t="str">
        <f t="shared" si="60"/>
        <v>Bench</v>
      </c>
      <c r="B1942">
        <f t="shared" si="61"/>
        <v>15307</v>
      </c>
      <c r="E1942" s="1" t="s">
        <v>466</v>
      </c>
      <c r="F1942" s="1">
        <v>156</v>
      </c>
      <c r="G1942" s="1">
        <v>4</v>
      </c>
      <c r="H1942" s="1">
        <v>20.71</v>
      </c>
    </row>
    <row r="1943" spans="1:10" x14ac:dyDescent="0.3">
      <c r="A1943" t="str">
        <f t="shared" si="60"/>
        <v>BPG</v>
      </c>
      <c r="B1943">
        <f t="shared" si="61"/>
        <v>10708</v>
      </c>
      <c r="D1943" s="1" t="s">
        <v>539</v>
      </c>
      <c r="E1943" s="1" t="s">
        <v>369</v>
      </c>
      <c r="F1943" s="1">
        <v>156</v>
      </c>
      <c r="G1943" s="1">
        <v>6</v>
      </c>
      <c r="H1943" s="1">
        <v>3.4</v>
      </c>
      <c r="I1943" s="1" t="s">
        <v>79</v>
      </c>
      <c r="J1943" s="1">
        <v>6.2</v>
      </c>
    </row>
    <row r="1944" spans="1:10" x14ac:dyDescent="0.3">
      <c r="A1944" t="str">
        <f t="shared" si="60"/>
        <v>BPG</v>
      </c>
      <c r="B1944">
        <f t="shared" si="61"/>
        <v>15308</v>
      </c>
      <c r="E1944" s="1" t="s">
        <v>466</v>
      </c>
      <c r="F1944" s="1">
        <v>312</v>
      </c>
      <c r="G1944" s="1">
        <v>6</v>
      </c>
      <c r="H1944" s="1">
        <v>2.2999999999999998</v>
      </c>
    </row>
    <row r="1945" spans="1:10" x14ac:dyDescent="0.3">
      <c r="A1945" t="str">
        <f t="shared" si="60"/>
        <v>EFG%</v>
      </c>
      <c r="B1945">
        <f t="shared" si="61"/>
        <v>10711</v>
      </c>
      <c r="D1945" s="1" t="s">
        <v>542</v>
      </c>
      <c r="E1945" s="1" t="s">
        <v>369</v>
      </c>
      <c r="F1945" s="1">
        <v>89</v>
      </c>
      <c r="G1945" s="1">
        <v>3</v>
      </c>
      <c r="H1945" s="1">
        <v>0.53100000000000003</v>
      </c>
      <c r="I1945" s="1" t="s">
        <v>146</v>
      </c>
      <c r="J1945" s="1">
        <v>0.59199999999999997</v>
      </c>
    </row>
    <row r="1946" spans="1:10" x14ac:dyDescent="0.3">
      <c r="A1946" t="str">
        <f t="shared" si="60"/>
        <v>EFG%</v>
      </c>
      <c r="B1946">
        <f t="shared" si="61"/>
        <v>15311</v>
      </c>
      <c r="E1946" s="1" t="s">
        <v>466</v>
      </c>
      <c r="F1946" s="1">
        <v>95</v>
      </c>
      <c r="G1946" s="1">
        <v>3</v>
      </c>
      <c r="H1946" s="1">
        <v>0.52900000000000003</v>
      </c>
    </row>
    <row r="1947" spans="1:10" x14ac:dyDescent="0.3">
      <c r="A1947" t="str">
        <f t="shared" si="60"/>
        <v>FB</v>
      </c>
      <c r="B1947">
        <f t="shared" si="61"/>
        <v>10712</v>
      </c>
      <c r="D1947" s="1" t="s">
        <v>543</v>
      </c>
      <c r="E1947" s="1" t="s">
        <v>369</v>
      </c>
      <c r="F1947" s="1">
        <v>148</v>
      </c>
      <c r="G1947" s="1">
        <v>6</v>
      </c>
      <c r="H1947" s="1">
        <v>10.199999999999999</v>
      </c>
      <c r="I1947" s="1" t="s">
        <v>305</v>
      </c>
      <c r="J1947" s="1">
        <v>18.38</v>
      </c>
    </row>
    <row r="1948" spans="1:10" x14ac:dyDescent="0.3">
      <c r="A1948" t="str">
        <f t="shared" si="60"/>
        <v>FB</v>
      </c>
      <c r="B1948">
        <f t="shared" si="61"/>
        <v>15312</v>
      </c>
      <c r="E1948" s="1" t="s">
        <v>466</v>
      </c>
      <c r="F1948" s="1">
        <v>170</v>
      </c>
      <c r="G1948" s="1">
        <v>2</v>
      </c>
      <c r="H1948" s="1">
        <v>9.74</v>
      </c>
    </row>
    <row r="1949" spans="1:10" x14ac:dyDescent="0.3">
      <c r="A1949" t="str">
        <f t="shared" si="60"/>
        <v>FG%</v>
      </c>
      <c r="B1949">
        <f t="shared" si="61"/>
        <v>10713</v>
      </c>
      <c r="D1949" s="1" t="s">
        <v>544</v>
      </c>
      <c r="E1949" s="1" t="s">
        <v>369</v>
      </c>
      <c r="F1949" s="1">
        <v>55</v>
      </c>
      <c r="G1949" s="1">
        <v>2</v>
      </c>
      <c r="H1949" s="1">
        <v>47</v>
      </c>
      <c r="I1949" s="1" t="s">
        <v>397</v>
      </c>
      <c r="J1949" s="1">
        <v>50.7</v>
      </c>
    </row>
    <row r="1950" spans="1:10" x14ac:dyDescent="0.3">
      <c r="A1950" t="str">
        <f t="shared" si="60"/>
        <v>FG%</v>
      </c>
      <c r="B1950">
        <f t="shared" si="61"/>
        <v>15313</v>
      </c>
      <c r="E1950" s="1" t="s">
        <v>466</v>
      </c>
      <c r="F1950" s="1">
        <v>110</v>
      </c>
      <c r="G1950" s="1">
        <v>3</v>
      </c>
      <c r="H1950" s="1">
        <v>45.9</v>
      </c>
    </row>
    <row r="1951" spans="1:10" x14ac:dyDescent="0.3">
      <c r="A1951" t="str">
        <f t="shared" si="60"/>
        <v>DFG%</v>
      </c>
      <c r="B1951">
        <f t="shared" si="61"/>
        <v>10709</v>
      </c>
      <c r="D1951" s="1" t="s">
        <v>540</v>
      </c>
      <c r="E1951" s="1" t="s">
        <v>369</v>
      </c>
      <c r="F1951" s="1">
        <v>114</v>
      </c>
      <c r="G1951" s="1">
        <v>4</v>
      </c>
      <c r="H1951" s="1">
        <v>42.8</v>
      </c>
      <c r="I1951" s="1" t="s">
        <v>106</v>
      </c>
      <c r="J1951" s="1">
        <v>38.299999999999997</v>
      </c>
    </row>
    <row r="1952" spans="1:10" x14ac:dyDescent="0.3">
      <c r="A1952" t="str">
        <f t="shared" si="60"/>
        <v>DFG%</v>
      </c>
      <c r="B1952">
        <f t="shared" si="61"/>
        <v>15309</v>
      </c>
      <c r="E1952" s="1" t="s">
        <v>466</v>
      </c>
      <c r="F1952" s="1">
        <v>236</v>
      </c>
      <c r="G1952" s="1">
        <v>4</v>
      </c>
      <c r="H1952" s="1">
        <v>44.8</v>
      </c>
    </row>
    <row r="1953" spans="1:10" x14ac:dyDescent="0.3">
      <c r="A1953" t="str">
        <f t="shared" si="60"/>
        <v>FPG</v>
      </c>
      <c r="B1953">
        <f t="shared" si="61"/>
        <v>10714</v>
      </c>
      <c r="D1953" s="1" t="s">
        <v>545</v>
      </c>
      <c r="E1953" s="1" t="s">
        <v>369</v>
      </c>
      <c r="F1953" s="1">
        <v>177</v>
      </c>
      <c r="G1953" s="1">
        <v>10</v>
      </c>
      <c r="H1953" s="1">
        <v>16.7</v>
      </c>
      <c r="I1953" s="1" t="s">
        <v>93</v>
      </c>
      <c r="J1953" s="1">
        <v>11.1</v>
      </c>
    </row>
    <row r="1954" spans="1:10" x14ac:dyDescent="0.3">
      <c r="A1954" t="str">
        <f t="shared" si="60"/>
        <v>FPG</v>
      </c>
      <c r="B1954">
        <f t="shared" si="61"/>
        <v>15314</v>
      </c>
      <c r="E1954" s="1" t="s">
        <v>466</v>
      </c>
      <c r="F1954" s="1">
        <v>296</v>
      </c>
      <c r="G1954" s="1">
        <v>6</v>
      </c>
      <c r="H1954" s="1">
        <v>18.3</v>
      </c>
    </row>
    <row r="1955" spans="1:10" x14ac:dyDescent="0.3">
      <c r="A1955" t="str">
        <f t="shared" si="60"/>
        <v>FTA</v>
      </c>
      <c r="B1955">
        <f t="shared" si="61"/>
        <v>10716</v>
      </c>
      <c r="D1955" s="1" t="s">
        <v>547</v>
      </c>
      <c r="E1955" s="1" t="s">
        <v>369</v>
      </c>
      <c r="F1955" s="1">
        <v>49</v>
      </c>
      <c r="G1955" s="1">
        <v>1</v>
      </c>
      <c r="H1955" s="1">
        <v>21.9</v>
      </c>
      <c r="I1955" s="1" t="s">
        <v>157</v>
      </c>
      <c r="J1955" s="1">
        <v>28.5</v>
      </c>
    </row>
    <row r="1956" spans="1:10" x14ac:dyDescent="0.3">
      <c r="A1956" t="str">
        <f t="shared" si="60"/>
        <v>FTA</v>
      </c>
      <c r="B1956">
        <f t="shared" si="61"/>
        <v>15316</v>
      </c>
      <c r="E1956" s="1" t="s">
        <v>466</v>
      </c>
      <c r="F1956" s="1">
        <v>67</v>
      </c>
      <c r="G1956" s="1">
        <v>2</v>
      </c>
      <c r="H1956" s="1">
        <v>21.3</v>
      </c>
    </row>
    <row r="1957" spans="1:10" x14ac:dyDescent="0.3">
      <c r="A1957" t="str">
        <f t="shared" si="60"/>
        <v>FT%</v>
      </c>
      <c r="B1957">
        <f t="shared" si="61"/>
        <v>10715</v>
      </c>
      <c r="D1957" s="1" t="s">
        <v>546</v>
      </c>
      <c r="E1957" s="1" t="s">
        <v>369</v>
      </c>
      <c r="F1957" s="1">
        <v>68</v>
      </c>
      <c r="G1957" s="1">
        <v>3</v>
      </c>
      <c r="H1957" s="1">
        <v>75</v>
      </c>
      <c r="I1957" s="1" t="s">
        <v>123</v>
      </c>
      <c r="J1957" s="1">
        <v>82.6</v>
      </c>
    </row>
    <row r="1958" spans="1:10" x14ac:dyDescent="0.3">
      <c r="A1958" t="str">
        <f t="shared" si="60"/>
        <v>FT%</v>
      </c>
      <c r="B1958">
        <f t="shared" si="61"/>
        <v>15315</v>
      </c>
      <c r="E1958" s="1" t="s">
        <v>466</v>
      </c>
      <c r="F1958" s="1">
        <v>176</v>
      </c>
      <c r="G1958" s="1">
        <v>6</v>
      </c>
      <c r="H1958" s="1">
        <v>72.2</v>
      </c>
    </row>
    <row r="1959" spans="1:10" x14ac:dyDescent="0.3">
      <c r="A1959" t="str">
        <f t="shared" si="60"/>
        <v>FTPG</v>
      </c>
      <c r="B1959">
        <f t="shared" si="61"/>
        <v>10717</v>
      </c>
      <c r="D1959" s="1" t="s">
        <v>548</v>
      </c>
      <c r="E1959" s="1" t="s">
        <v>369</v>
      </c>
      <c r="F1959" s="1">
        <v>33</v>
      </c>
      <c r="G1959" s="1">
        <v>1</v>
      </c>
      <c r="H1959" s="1">
        <v>16.399999999999999</v>
      </c>
      <c r="I1959" s="1" t="s">
        <v>562</v>
      </c>
      <c r="J1959" s="1">
        <v>20</v>
      </c>
    </row>
    <row r="1960" spans="1:10" x14ac:dyDescent="0.3">
      <c r="A1960" t="str">
        <f t="shared" si="60"/>
        <v>FTPG</v>
      </c>
      <c r="B1960">
        <f t="shared" si="61"/>
        <v>15317</v>
      </c>
      <c r="E1960" s="1" t="s">
        <v>466</v>
      </c>
      <c r="F1960" s="1">
        <v>87</v>
      </c>
      <c r="G1960" s="1">
        <v>2</v>
      </c>
      <c r="H1960" s="1">
        <v>15.3</v>
      </c>
    </row>
    <row r="1961" spans="1:10" x14ac:dyDescent="0.3">
      <c r="A1961" t="str">
        <f t="shared" si="60"/>
        <v>RM</v>
      </c>
      <c r="B1961">
        <f t="shared" si="61"/>
        <v>10721</v>
      </c>
      <c r="D1961" s="1" t="s">
        <v>552</v>
      </c>
      <c r="E1961" s="1" t="s">
        <v>369</v>
      </c>
      <c r="F1961" s="1">
        <v>14</v>
      </c>
      <c r="G1961" s="1">
        <v>1</v>
      </c>
      <c r="H1961" s="1">
        <v>7.1</v>
      </c>
      <c r="I1961" s="1" t="s">
        <v>92</v>
      </c>
      <c r="J1961" s="1">
        <v>10.3</v>
      </c>
    </row>
    <row r="1962" spans="1:10" x14ac:dyDescent="0.3">
      <c r="A1962" t="str">
        <f t="shared" si="60"/>
        <v>RM</v>
      </c>
      <c r="B1962">
        <f t="shared" si="61"/>
        <v>15321</v>
      </c>
      <c r="E1962" s="1" t="s">
        <v>466</v>
      </c>
      <c r="F1962" s="1">
        <v>109</v>
      </c>
      <c r="G1962" s="1">
        <v>3</v>
      </c>
      <c r="H1962" s="1">
        <v>2.7</v>
      </c>
    </row>
    <row r="1963" spans="1:10" x14ac:dyDescent="0.3">
      <c r="A1963" t="str">
        <f t="shared" si="60"/>
        <v>DRPG</v>
      </c>
      <c r="B1963">
        <f t="shared" si="61"/>
        <v>10710</v>
      </c>
      <c r="D1963" s="1" t="s">
        <v>541</v>
      </c>
      <c r="E1963" s="1" t="s">
        <v>369</v>
      </c>
      <c r="F1963" s="1">
        <v>55</v>
      </c>
      <c r="G1963" s="1">
        <v>4</v>
      </c>
      <c r="H1963" s="1">
        <v>26.34</v>
      </c>
      <c r="I1963" s="1" t="s">
        <v>115</v>
      </c>
      <c r="J1963" s="1">
        <v>29.95</v>
      </c>
    </row>
    <row r="1964" spans="1:10" x14ac:dyDescent="0.3">
      <c r="A1964" t="str">
        <f t="shared" si="60"/>
        <v>DRPG</v>
      </c>
      <c r="B1964">
        <f t="shared" si="61"/>
        <v>15310</v>
      </c>
      <c r="E1964" s="1" t="s">
        <v>466</v>
      </c>
      <c r="F1964" s="1">
        <v>99</v>
      </c>
      <c r="G1964" s="1">
        <v>3</v>
      </c>
      <c r="H1964" s="1">
        <v>25.54</v>
      </c>
    </row>
    <row r="1965" spans="1:10" x14ac:dyDescent="0.3">
      <c r="A1965" t="str">
        <f t="shared" si="60"/>
        <v>ORPG</v>
      </c>
      <c r="B1965">
        <f t="shared" si="61"/>
        <v>10719</v>
      </c>
      <c r="D1965" s="1" t="s">
        <v>550</v>
      </c>
      <c r="E1965" s="1" t="s">
        <v>369</v>
      </c>
      <c r="F1965" s="1">
        <v>48</v>
      </c>
      <c r="G1965" s="1">
        <v>4</v>
      </c>
      <c r="H1965" s="1">
        <v>12.46</v>
      </c>
      <c r="I1965" s="1" t="s">
        <v>129</v>
      </c>
      <c r="J1965" s="1">
        <v>15.97</v>
      </c>
    </row>
    <row r="1966" spans="1:10" x14ac:dyDescent="0.3">
      <c r="A1966" t="str">
        <f t="shared" si="60"/>
        <v>ORPG</v>
      </c>
      <c r="B1966">
        <f t="shared" si="61"/>
        <v>15319</v>
      </c>
      <c r="E1966" s="1" t="s">
        <v>466</v>
      </c>
      <c r="F1966" s="1">
        <v>193</v>
      </c>
      <c r="G1966" s="1">
        <v>5</v>
      </c>
      <c r="H1966" s="1">
        <v>10.29</v>
      </c>
    </row>
    <row r="1967" spans="1:10" x14ac:dyDescent="0.3">
      <c r="A1967" t="str">
        <f t="shared" si="60"/>
        <v>RPG</v>
      </c>
      <c r="B1967">
        <f t="shared" si="61"/>
        <v>10722</v>
      </c>
      <c r="D1967" s="1" t="s">
        <v>553</v>
      </c>
      <c r="E1967" s="1" t="s">
        <v>369</v>
      </c>
      <c r="F1967" s="1">
        <v>23</v>
      </c>
      <c r="G1967" s="1">
        <v>2</v>
      </c>
      <c r="H1967" s="1">
        <v>38.799999999999997</v>
      </c>
      <c r="I1967" s="1" t="s">
        <v>125</v>
      </c>
      <c r="J1967" s="1">
        <v>42.63</v>
      </c>
    </row>
    <row r="1968" spans="1:10" x14ac:dyDescent="0.3">
      <c r="A1968" t="str">
        <f t="shared" si="60"/>
        <v>RPG</v>
      </c>
      <c r="B1968">
        <f t="shared" si="61"/>
        <v>15322</v>
      </c>
      <c r="E1968" s="1" t="s">
        <v>466</v>
      </c>
      <c r="F1968" s="1">
        <v>142</v>
      </c>
      <c r="G1968" s="1">
        <v>3</v>
      </c>
      <c r="H1968" s="1">
        <v>35.83</v>
      </c>
    </row>
    <row r="1969" spans="1:10" x14ac:dyDescent="0.3">
      <c r="A1969" t="str">
        <f t="shared" si="60"/>
        <v>OPPG</v>
      </c>
      <c r="B1969">
        <f t="shared" si="61"/>
        <v>10718</v>
      </c>
      <c r="D1969" s="1" t="s">
        <v>549</v>
      </c>
      <c r="E1969" s="1" t="s">
        <v>369</v>
      </c>
      <c r="F1969" s="1">
        <v>120</v>
      </c>
      <c r="G1969" s="1">
        <v>8</v>
      </c>
      <c r="H1969" s="1">
        <v>70.3</v>
      </c>
      <c r="I1969" s="1" t="s">
        <v>106</v>
      </c>
      <c r="J1969" s="1">
        <v>58.7</v>
      </c>
    </row>
    <row r="1970" spans="1:10" x14ac:dyDescent="0.3">
      <c r="A1970" t="str">
        <f t="shared" si="60"/>
        <v>OPPG</v>
      </c>
      <c r="B1970">
        <f t="shared" si="61"/>
        <v>15318</v>
      </c>
      <c r="E1970" s="1" t="s">
        <v>466</v>
      </c>
      <c r="F1970" s="1">
        <v>272</v>
      </c>
      <c r="G1970" s="1">
        <v>4</v>
      </c>
      <c r="H1970" s="1">
        <v>75.3</v>
      </c>
    </row>
    <row r="1971" spans="1:10" x14ac:dyDescent="0.3">
      <c r="A1971" t="str">
        <f t="shared" si="60"/>
        <v>SM</v>
      </c>
      <c r="B1971">
        <f t="shared" si="61"/>
        <v>10723</v>
      </c>
      <c r="D1971" s="1" t="s">
        <v>554</v>
      </c>
      <c r="E1971" s="1" t="s">
        <v>369</v>
      </c>
      <c r="F1971" s="1">
        <v>36</v>
      </c>
      <c r="G1971" s="1">
        <v>1</v>
      </c>
      <c r="H1971" s="1">
        <v>8.9</v>
      </c>
      <c r="I1971" s="1" t="s">
        <v>94</v>
      </c>
      <c r="J1971" s="1">
        <v>20.5</v>
      </c>
    </row>
    <row r="1972" spans="1:10" x14ac:dyDescent="0.3">
      <c r="A1972" t="str">
        <f t="shared" ref="A1972:A1992" si="62">IF(NOT(D1972=""),INDEX(statAbbr,MATCH(D1972,statOfficial,0),1),A1971)</f>
        <v>SM</v>
      </c>
      <c r="B1972">
        <f t="shared" ref="B1972:B1992" si="63">INDEX(statID,MATCH(A1972,statAbbr,0),1)+INDEX(teamID,MATCH(E1972,teamRawName,0))</f>
        <v>15323</v>
      </c>
      <c r="E1972" s="1" t="s">
        <v>466</v>
      </c>
      <c r="F1972" s="1">
        <v>174</v>
      </c>
      <c r="G1972" s="1">
        <v>4</v>
      </c>
      <c r="H1972" s="1">
        <v>2.1</v>
      </c>
    </row>
    <row r="1973" spans="1:10" x14ac:dyDescent="0.3">
      <c r="A1973" t="str">
        <f t="shared" si="62"/>
        <v>PPG</v>
      </c>
      <c r="B1973">
        <f t="shared" si="63"/>
        <v>10720</v>
      </c>
      <c r="D1973" s="1" t="s">
        <v>551</v>
      </c>
      <c r="E1973" s="1" t="s">
        <v>369</v>
      </c>
      <c r="F1973" s="1">
        <v>52</v>
      </c>
      <c r="G1973" s="1">
        <v>1</v>
      </c>
      <c r="H1973" s="1">
        <v>79.2</v>
      </c>
      <c r="I1973" s="1" t="s">
        <v>115</v>
      </c>
      <c r="J1973" s="1">
        <v>90.7</v>
      </c>
    </row>
    <row r="1974" spans="1:10" x14ac:dyDescent="0.3">
      <c r="A1974" t="str">
        <f t="shared" si="62"/>
        <v>PPG</v>
      </c>
      <c r="B1974">
        <f t="shared" si="63"/>
        <v>15320</v>
      </c>
      <c r="E1974" s="1" t="s">
        <v>466</v>
      </c>
      <c r="F1974" s="1">
        <v>81</v>
      </c>
      <c r="G1974" s="1">
        <v>4</v>
      </c>
      <c r="H1974" s="1">
        <v>77.3</v>
      </c>
    </row>
    <row r="1975" spans="1:10" x14ac:dyDescent="0.3">
      <c r="A1975" t="str">
        <f t="shared" si="62"/>
        <v>SPG</v>
      </c>
      <c r="B1975">
        <f t="shared" si="63"/>
        <v>10724</v>
      </c>
      <c r="D1975" s="1" t="s">
        <v>555</v>
      </c>
      <c r="E1975" s="1" t="s">
        <v>369</v>
      </c>
      <c r="F1975" s="1">
        <v>217</v>
      </c>
      <c r="G1975" s="1">
        <v>7</v>
      </c>
      <c r="H1975" s="1">
        <v>6.4</v>
      </c>
      <c r="I1975" s="1" t="s">
        <v>563</v>
      </c>
      <c r="J1975" s="1">
        <v>10.3</v>
      </c>
    </row>
    <row r="1976" spans="1:10" x14ac:dyDescent="0.3">
      <c r="A1976" t="str">
        <f t="shared" si="62"/>
        <v>SPG</v>
      </c>
      <c r="B1976">
        <f t="shared" si="63"/>
        <v>15324</v>
      </c>
      <c r="E1976" s="1" t="s">
        <v>466</v>
      </c>
      <c r="F1976" s="1">
        <v>277</v>
      </c>
      <c r="G1976" s="1">
        <v>4</v>
      </c>
      <c r="H1976" s="1">
        <v>5.9</v>
      </c>
    </row>
    <row r="1977" spans="1:10" x14ac:dyDescent="0.3">
      <c r="A1977" t="str">
        <f t="shared" si="62"/>
        <v>3PTA</v>
      </c>
      <c r="B1977">
        <f t="shared" si="63"/>
        <v>15304</v>
      </c>
      <c r="D1977" s="1" t="s">
        <v>536</v>
      </c>
      <c r="E1977" s="1" t="s">
        <v>466</v>
      </c>
      <c r="F1977" s="1">
        <v>154</v>
      </c>
      <c r="G1977" s="1">
        <v>7</v>
      </c>
      <c r="H1977" s="1">
        <v>23.1</v>
      </c>
      <c r="I1977" s="1" t="s">
        <v>173</v>
      </c>
      <c r="J1977" s="1">
        <v>35.799999999999997</v>
      </c>
    </row>
    <row r="1978" spans="1:10" x14ac:dyDescent="0.3">
      <c r="A1978" t="str">
        <f t="shared" si="62"/>
        <v>3PTA</v>
      </c>
      <c r="B1978">
        <f t="shared" si="63"/>
        <v>10704</v>
      </c>
      <c r="E1978" s="1" t="s">
        <v>369</v>
      </c>
      <c r="F1978" s="1">
        <v>219</v>
      </c>
      <c r="G1978" s="1">
        <v>11</v>
      </c>
      <c r="H1978" s="1">
        <v>21.7</v>
      </c>
    </row>
    <row r="1979" spans="1:10" x14ac:dyDescent="0.3">
      <c r="A1979" t="str">
        <f t="shared" si="62"/>
        <v>3PT%</v>
      </c>
      <c r="B1979">
        <f t="shared" si="63"/>
        <v>15303</v>
      </c>
      <c r="D1979" s="1" t="s">
        <v>535</v>
      </c>
      <c r="E1979" s="1" t="s">
        <v>466</v>
      </c>
      <c r="F1979" s="1">
        <v>80</v>
      </c>
      <c r="G1979" s="1">
        <v>3</v>
      </c>
      <c r="H1979" s="1">
        <v>35.6</v>
      </c>
      <c r="I1979" s="1" t="s">
        <v>293</v>
      </c>
      <c r="J1979" s="1">
        <v>39.799999999999997</v>
      </c>
    </row>
    <row r="1980" spans="1:10" x14ac:dyDescent="0.3">
      <c r="A1980" t="str">
        <f t="shared" si="62"/>
        <v>3PT%</v>
      </c>
      <c r="B1980">
        <f t="shared" si="63"/>
        <v>10703</v>
      </c>
      <c r="E1980" s="1" t="s">
        <v>369</v>
      </c>
      <c r="F1980" s="1">
        <v>195</v>
      </c>
      <c r="G1980" s="1">
        <v>10</v>
      </c>
      <c r="H1980" s="1">
        <v>33.6</v>
      </c>
    </row>
    <row r="1981" spans="1:10" x14ac:dyDescent="0.3">
      <c r="A1981" t="str">
        <f t="shared" si="62"/>
        <v>3PD%</v>
      </c>
      <c r="B1981">
        <f t="shared" si="63"/>
        <v>10701</v>
      </c>
      <c r="D1981" s="1" t="s">
        <v>533</v>
      </c>
      <c r="E1981" s="1" t="s">
        <v>369</v>
      </c>
      <c r="F1981" s="1">
        <v>153</v>
      </c>
      <c r="G1981" s="1">
        <v>7</v>
      </c>
      <c r="H1981" s="1">
        <v>33.200000000000003</v>
      </c>
      <c r="I1981" s="1" t="s">
        <v>265</v>
      </c>
      <c r="J1981" s="1">
        <v>27.9</v>
      </c>
    </row>
    <row r="1982" spans="1:10" x14ac:dyDescent="0.3">
      <c r="A1982" t="str">
        <f t="shared" si="62"/>
        <v>3PD%</v>
      </c>
      <c r="B1982">
        <f t="shared" si="63"/>
        <v>15301</v>
      </c>
      <c r="E1982" s="1" t="s">
        <v>466</v>
      </c>
      <c r="F1982" s="1">
        <v>258</v>
      </c>
      <c r="G1982" s="1">
        <v>5</v>
      </c>
      <c r="H1982" s="1">
        <v>34.799999999999997</v>
      </c>
    </row>
    <row r="1983" spans="1:10" x14ac:dyDescent="0.3">
      <c r="A1983" t="str">
        <f t="shared" si="62"/>
        <v>3PPG</v>
      </c>
      <c r="B1983">
        <f t="shared" si="63"/>
        <v>15302</v>
      </c>
      <c r="D1983" s="1" t="s">
        <v>534</v>
      </c>
      <c r="E1983" s="1" t="s">
        <v>466</v>
      </c>
      <c r="F1983" s="1">
        <v>119</v>
      </c>
      <c r="G1983" s="1">
        <v>5</v>
      </c>
      <c r="H1983" s="1">
        <v>8.1999999999999993</v>
      </c>
      <c r="I1983" s="1" t="s">
        <v>173</v>
      </c>
      <c r="J1983" s="1">
        <v>12.8</v>
      </c>
    </row>
    <row r="1984" spans="1:10" x14ac:dyDescent="0.3">
      <c r="A1984" t="str">
        <f t="shared" si="62"/>
        <v>3PPG</v>
      </c>
      <c r="B1984">
        <f t="shared" si="63"/>
        <v>10702</v>
      </c>
      <c r="E1984" s="1" t="s">
        <v>369</v>
      </c>
      <c r="F1984" s="1">
        <v>222</v>
      </c>
      <c r="G1984" s="1">
        <v>11</v>
      </c>
      <c r="H1984" s="1">
        <v>7.3</v>
      </c>
    </row>
    <row r="1985" spans="1:10" x14ac:dyDescent="0.3">
      <c r="A1985" t="str">
        <f t="shared" si="62"/>
        <v>TM</v>
      </c>
      <c r="B1985">
        <f t="shared" si="63"/>
        <v>10725</v>
      </c>
      <c r="D1985" s="1" t="s">
        <v>556</v>
      </c>
      <c r="E1985" s="1" t="s">
        <v>369</v>
      </c>
      <c r="F1985" s="1">
        <v>152</v>
      </c>
      <c r="G1985" s="1">
        <v>4</v>
      </c>
      <c r="H1985" s="1">
        <v>0.5</v>
      </c>
      <c r="I1985" s="1" t="s">
        <v>463</v>
      </c>
      <c r="J1985" s="1">
        <v>7.2</v>
      </c>
    </row>
    <row r="1986" spans="1:10" x14ac:dyDescent="0.3">
      <c r="A1986" t="str">
        <f t="shared" si="62"/>
        <v>TM</v>
      </c>
      <c r="B1986">
        <f t="shared" si="63"/>
        <v>15325</v>
      </c>
      <c r="E1986" s="1" t="s">
        <v>466</v>
      </c>
      <c r="F1986" s="1">
        <v>234</v>
      </c>
      <c r="G1986" s="1">
        <v>4</v>
      </c>
      <c r="H1986" s="1">
        <v>-0.5</v>
      </c>
    </row>
    <row r="1987" spans="1:10" x14ac:dyDescent="0.3">
      <c r="A1987" t="str">
        <f t="shared" si="62"/>
        <v>TOF</v>
      </c>
      <c r="B1987">
        <f t="shared" si="63"/>
        <v>10726</v>
      </c>
      <c r="D1987" s="1" t="s">
        <v>557</v>
      </c>
      <c r="E1987" s="1" t="s">
        <v>369</v>
      </c>
      <c r="F1987" s="1">
        <v>212</v>
      </c>
      <c r="G1987" s="1">
        <v>6</v>
      </c>
      <c r="H1987" s="1">
        <v>11.54</v>
      </c>
      <c r="I1987" s="1" t="s">
        <v>563</v>
      </c>
      <c r="J1987" s="1">
        <v>17.09</v>
      </c>
    </row>
    <row r="1988" spans="1:10" x14ac:dyDescent="0.3">
      <c r="A1988" t="str">
        <f t="shared" si="62"/>
        <v>TOF</v>
      </c>
      <c r="B1988">
        <f t="shared" si="63"/>
        <v>15326</v>
      </c>
      <c r="E1988" s="1" t="s">
        <v>466</v>
      </c>
      <c r="F1988" s="1">
        <v>307</v>
      </c>
      <c r="G1988" s="1">
        <v>5</v>
      </c>
      <c r="H1988" s="1">
        <v>10.37</v>
      </c>
    </row>
    <row r="1989" spans="1:10" x14ac:dyDescent="0.3">
      <c r="A1989" t="str">
        <f t="shared" si="62"/>
        <v>TPG</v>
      </c>
      <c r="B1989">
        <f t="shared" si="63"/>
        <v>15327</v>
      </c>
      <c r="D1989" s="1" t="s">
        <v>558</v>
      </c>
      <c r="E1989" s="1" t="s">
        <v>466</v>
      </c>
      <c r="F1989" s="1">
        <v>87</v>
      </c>
      <c r="G1989" s="1">
        <v>3</v>
      </c>
      <c r="H1989" s="1">
        <v>10.8</v>
      </c>
      <c r="I1989" s="1" t="s">
        <v>463</v>
      </c>
      <c r="J1989" s="1">
        <v>8.6999999999999993</v>
      </c>
    </row>
    <row r="1990" spans="1:10" x14ac:dyDescent="0.3">
      <c r="A1990" t="str">
        <f t="shared" si="62"/>
        <v>TPG</v>
      </c>
      <c r="B1990">
        <f t="shared" si="63"/>
        <v>10727</v>
      </c>
      <c r="E1990" s="1" t="s">
        <v>369</v>
      </c>
      <c r="F1990" s="1">
        <v>111</v>
      </c>
      <c r="G1990" s="1">
        <v>5</v>
      </c>
      <c r="H1990" s="1">
        <v>11</v>
      </c>
    </row>
    <row r="1991" spans="1:10" x14ac:dyDescent="0.3">
      <c r="A1991" t="e">
        <f t="shared" si="62"/>
        <v>#N/A</v>
      </c>
      <c r="B1991" t="e">
        <f t="shared" si="63"/>
        <v>#N/A</v>
      </c>
      <c r="D1991" s="1" t="s">
        <v>564</v>
      </c>
      <c r="E1991" s="1" t="s">
        <v>369</v>
      </c>
      <c r="F1991" s="1">
        <v>20</v>
      </c>
      <c r="G1991" s="1">
        <v>1</v>
      </c>
      <c r="H1991" s="1">
        <v>77.099999999999994</v>
      </c>
      <c r="I1991" s="1" t="s">
        <v>120</v>
      </c>
      <c r="J1991" s="1">
        <v>90</v>
      </c>
    </row>
    <row r="1992" spans="1:10" x14ac:dyDescent="0.3">
      <c r="A1992" t="e">
        <f t="shared" si="62"/>
        <v>#N/A</v>
      </c>
      <c r="B1992" t="e">
        <f t="shared" si="63"/>
        <v>#N/A</v>
      </c>
      <c r="E1992" s="1" t="s">
        <v>466</v>
      </c>
      <c r="F1992" s="1">
        <v>92</v>
      </c>
      <c r="G1992" s="1">
        <v>2</v>
      </c>
      <c r="H1992" s="1">
        <v>62.9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33</vt:i4>
      </vt:variant>
    </vt:vector>
  </HeadingPairs>
  <TitlesOfParts>
    <vt:vector size="44" baseType="lpstr">
      <vt:lpstr>Overall 2024 Reference</vt:lpstr>
      <vt:lpstr>Raw 2024 Season</vt:lpstr>
      <vt:lpstr>mapping</vt:lpstr>
      <vt:lpstr>Structured 2023</vt:lpstr>
      <vt:lpstr>Structured 2024</vt:lpstr>
      <vt:lpstr>Structured 2025</vt:lpstr>
      <vt:lpstr>Sheet1</vt:lpstr>
      <vt:lpstr>Overall 2023 Reference</vt:lpstr>
      <vt:lpstr>Raw 2023 Season</vt:lpstr>
      <vt:lpstr>Overall 2025 Reference</vt:lpstr>
      <vt:lpstr>Raw 2025 Season</vt:lpstr>
      <vt:lpstr>'Structured 2025'!headerRow</vt:lpstr>
      <vt:lpstr>headerRow</vt:lpstr>
      <vt:lpstr>headerRow2</vt:lpstr>
      <vt:lpstr>oppCol</vt:lpstr>
      <vt:lpstr>oppCol23</vt:lpstr>
      <vt:lpstr>oppCol24</vt:lpstr>
      <vt:lpstr>ovrHeaderRow</vt:lpstr>
      <vt:lpstr>ovrHeaderRow2</vt:lpstr>
      <vt:lpstr>ovrHeaderRow25</vt:lpstr>
      <vt:lpstr>ovrTable</vt:lpstr>
      <vt:lpstr>ovrTable2</vt:lpstr>
      <vt:lpstr>ovrTable25</vt:lpstr>
      <vt:lpstr>ovrTeamCol</vt:lpstr>
      <vt:lpstr>ovrTeamCol2</vt:lpstr>
      <vt:lpstr>ovrTeamCol25</vt:lpstr>
      <vt:lpstr>rawLookup</vt:lpstr>
      <vt:lpstr>rawLookup2</vt:lpstr>
      <vt:lpstr>rawLookup25</vt:lpstr>
      <vt:lpstr>rawTeamCol</vt:lpstr>
      <vt:lpstr>rawTeamCol2</vt:lpstr>
      <vt:lpstr>rawTeamCol25</vt:lpstr>
      <vt:lpstr>rawValue</vt:lpstr>
      <vt:lpstr>rawValue2</vt:lpstr>
      <vt:lpstr>rawValue25</vt:lpstr>
      <vt:lpstr>statAbbr</vt:lpstr>
      <vt:lpstr>statID</vt:lpstr>
      <vt:lpstr>statOfficial</vt:lpstr>
      <vt:lpstr>'Structured 2025'!teamCol</vt:lpstr>
      <vt:lpstr>teamCol</vt:lpstr>
      <vt:lpstr>teamCol2</vt:lpstr>
      <vt:lpstr>teamID</vt:lpstr>
      <vt:lpstr>teamINI</vt:lpstr>
      <vt:lpstr>teamRawName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Collins</dc:creator>
  <cp:lastModifiedBy>Alex Collins</cp:lastModifiedBy>
  <dcterms:created xsi:type="dcterms:W3CDTF">2015-06-05T18:17:20Z</dcterms:created>
  <dcterms:modified xsi:type="dcterms:W3CDTF">2026-03-15T18:59:16Z</dcterms:modified>
</cp:coreProperties>
</file>